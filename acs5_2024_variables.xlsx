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Variables" sheetId="1" r:id="rId5"/>
    <sheet state="visible" name="Variable Coding" sheetId="2" r:id="rId6"/>
    <sheet state="visible" name="Variable Summary Stats" sheetId="3" r:id="rId7"/>
    <sheet state="visible" name="Demographic Definition" sheetId="4" r:id="rId8"/>
  </sheets>
  <definedNames>
    <definedName hidden="1" localSheetId="1" name="_xlnm._FilterDatabase">'Variable Coding'!$F$1:$F$1200</definedName>
  </definedNames>
  <calcPr/>
</workbook>
</file>

<file path=xl/sharedStrings.xml><?xml version="1.0" encoding="utf-8"?>
<sst xmlns="http://schemas.openxmlformats.org/spreadsheetml/2006/main" count="119888" uniqueCount="43271">
  <si>
    <t>name</t>
  </si>
  <si>
    <t>High Priority</t>
  </si>
  <si>
    <t>label</t>
  </si>
  <si>
    <t xml:space="preserve">Beats -&gt; </t>
  </si>
  <si>
    <t>concept</t>
  </si>
  <si>
    <t>table</t>
  </si>
  <si>
    <t>B01001A_001</t>
  </si>
  <si>
    <t>Estimate!!Total:</t>
  </si>
  <si>
    <t>Sex by Age (White Alone)</t>
  </si>
  <si>
    <t>B01001A</t>
  </si>
  <si>
    <t>B01001A_002</t>
  </si>
  <si>
    <t>demographic</t>
  </si>
  <si>
    <t>Demographic</t>
  </si>
  <si>
    <t>Estimate!!Total:!!Male:</t>
  </si>
  <si>
    <t>Housing</t>
  </si>
  <si>
    <t>B01001A_003</t>
  </si>
  <si>
    <t>Education</t>
  </si>
  <si>
    <t>Estimate!!Total:!!Male:!!Under 5 years</t>
  </si>
  <si>
    <t>Race</t>
  </si>
  <si>
    <t>Immigration</t>
  </si>
  <si>
    <t>income</t>
  </si>
  <si>
    <t>Language</t>
  </si>
  <si>
    <t>B01001A_004</t>
  </si>
  <si>
    <t>Income/Economy</t>
  </si>
  <si>
    <t>economy</t>
  </si>
  <si>
    <t>Estimate!!Total:!!Male:!!5 to 9 years</t>
  </si>
  <si>
    <t>Health</t>
  </si>
  <si>
    <t>human services</t>
  </si>
  <si>
    <t>Human Services</t>
  </si>
  <si>
    <t>B01001A_005</t>
  </si>
  <si>
    <t>Estimate!!Total:!!Male:!!10 to 14 years</t>
  </si>
  <si>
    <t>age</t>
  </si>
  <si>
    <t>beat</t>
  </si>
  <si>
    <t>B01001A_006</t>
  </si>
  <si>
    <t>Estimate!!Total:!!Male:!!15 to 17 years</t>
  </si>
  <si>
    <t>sex</t>
  </si>
  <si>
    <t>high priority</t>
  </si>
  <si>
    <t>B01001A_007</t>
  </si>
  <si>
    <t>veteran status</t>
  </si>
  <si>
    <t>Estimate!!Total:!!Male:!!18 and 19 years</t>
  </si>
  <si>
    <t>B01001_001</t>
  </si>
  <si>
    <t xml:space="preserve">disibility status </t>
  </si>
  <si>
    <t>B01001A_008</t>
  </si>
  <si>
    <t>disibility status</t>
  </si>
  <si>
    <t>Estimate!!Total:!!Male:!!20 to 24 years</t>
  </si>
  <si>
    <t xml:space="preserve">citizenship status </t>
  </si>
  <si>
    <t>B01001A_009</t>
  </si>
  <si>
    <t>Estimate!!Total:!!Male:!!25 to 29 years</t>
  </si>
  <si>
    <t>Sex by Age</t>
  </si>
  <si>
    <t xml:space="preserve">poverty status </t>
  </si>
  <si>
    <t>B01001A_010</t>
  </si>
  <si>
    <t>B01001</t>
  </si>
  <si>
    <t>employment status</t>
  </si>
  <si>
    <t>Estimate!!Total:!!Male:!!30 to 34 years</t>
  </si>
  <si>
    <t xml:space="preserve">employment status </t>
  </si>
  <si>
    <t>B01001A_011</t>
  </si>
  <si>
    <t>SNAP</t>
  </si>
  <si>
    <t>Estimate!!Total:!!Male:!!35 to 44 years</t>
  </si>
  <si>
    <t>foster care</t>
  </si>
  <si>
    <t>B01001A_012</t>
  </si>
  <si>
    <t>Estimate!!Total:!!Male:!!45 to 54 years</t>
  </si>
  <si>
    <t>B01001A_013</t>
  </si>
  <si>
    <t>Estimate!!Total:!!Male:!!55 to 64 years</t>
  </si>
  <si>
    <t>B01001A_014</t>
  </si>
  <si>
    <t>Estimate!!Total:!!Male:!!65 to 74 years</t>
  </si>
  <si>
    <t>B01001A_015</t>
  </si>
  <si>
    <t>Estimate!!Total:!!Male:!!75 to 84 years</t>
  </si>
  <si>
    <t>B01001A_016</t>
  </si>
  <si>
    <t>Estimate!!Total:!!Male:!!85 years and over</t>
  </si>
  <si>
    <t>B01001A_017</t>
  </si>
  <si>
    <t>Estimate!!Total:!!Female:</t>
  </si>
  <si>
    <t>yes</t>
  </si>
  <si>
    <t>B01001A_018</t>
  </si>
  <si>
    <t>Estimate!!Total:!!Female:!!Under 5 years</t>
  </si>
  <si>
    <t>B01001A_019</t>
  </si>
  <si>
    <t>Estimate!!Total:!!Female:!!5 to 9 years</t>
  </si>
  <si>
    <t>B01001A_020</t>
  </si>
  <si>
    <t>Household Type (Including Living Alone)</t>
  </si>
  <si>
    <t>demographic, race</t>
  </si>
  <si>
    <t>School Enrollment by Level of School for the Population 3 Years and Over</t>
  </si>
  <si>
    <t>Geographical Mobility in the Past Year for Current Residence--Metropolitan Statistical Area Level in the United States</t>
  </si>
  <si>
    <t>Language Spoken at Home by Ability to Speak English for the Population 5 Years and Over</t>
  </si>
  <si>
    <t>Means of Transportation to Work</t>
  </si>
  <si>
    <t>Health Insurance Coverage Status by Sex by Age</t>
  </si>
  <si>
    <t>B01001B_001</t>
  </si>
  <si>
    <t>Receipt of Supplemental Security Income (SSI), Cash Public Assistance Income, or Food Stamps/SNAP in the Past 12 Months by Household Type for Children Under 18 Years in Households</t>
  </si>
  <si>
    <t>Estimate!!Total:!!Female:!!10 to 14 years</t>
  </si>
  <si>
    <t>Sex by Age (Black or African American Alone)</t>
  </si>
  <si>
    <t>B01001B</t>
  </si>
  <si>
    <t>B01001A_021</t>
  </si>
  <si>
    <t>Estimate!!Total:!!Female:!!15 to 17 years</t>
  </si>
  <si>
    <t>Total Population</t>
  </si>
  <si>
    <t>B01001A_022</t>
  </si>
  <si>
    <t>Estimate!!Total:!!Female:!!18 and 19 years</t>
  </si>
  <si>
    <t>Housing Units</t>
  </si>
  <si>
    <t>Sex by Educational Attainment for the Population 25 Years and Over</t>
  </si>
  <si>
    <t>Hispanic or Latino Origin</t>
  </si>
  <si>
    <t>B01001A_023</t>
  </si>
  <si>
    <t>B01001C_001</t>
  </si>
  <si>
    <t>Estimate!!Total:!!Female:!!20 to 24 years</t>
  </si>
  <si>
    <t>Geographical Mobility in the Past Year for Current Residence--Micropolitan Statistical Area Level in the United States</t>
  </si>
  <si>
    <t>Language Spoken at Home for the Population 5 Years and Over</t>
  </si>
  <si>
    <t>Sex by Age (American Indian and Alaska Native Alone)</t>
  </si>
  <si>
    <t>Travel Time to Work</t>
  </si>
  <si>
    <t>B01001C</t>
  </si>
  <si>
    <t>B01001A_024</t>
  </si>
  <si>
    <t>TRICARE/Military Health Coverage by Sex by Age</t>
  </si>
  <si>
    <t>Estimate!!Total:!!Female:!!25 to 29 years</t>
  </si>
  <si>
    <t>Sex by Age by Disability Status</t>
  </si>
  <si>
    <t>B01001A_025</t>
  </si>
  <si>
    <t>Estimate!!Total:!!Female:!!30 to 34 years</t>
  </si>
  <si>
    <t>Tenure</t>
  </si>
  <si>
    <t>B01001A_026</t>
  </si>
  <si>
    <t>B01001D_001</t>
  </si>
  <si>
    <t>Estimate!!Total:!!Female:!!35 to 44 years</t>
  </si>
  <si>
    <t>Educational Attainment for the Population 25 Years and Over</t>
  </si>
  <si>
    <t>Detailed Race</t>
  </si>
  <si>
    <t>Sex by Age (Asian Alone)</t>
  </si>
  <si>
    <t>Geographical Mobility in the Past Year for Current Residence--Not Metropolitan or Micropolitan Statistical Area Level in the United States</t>
  </si>
  <si>
    <t>B01001D</t>
  </si>
  <si>
    <t>B01001A_027</t>
  </si>
  <si>
    <t>Household Language by Household Limited English Speaking Status</t>
  </si>
  <si>
    <t>Wage or Salary Income in the Past 12 Months for Households</t>
  </si>
  <si>
    <t>Estimate!!Total:!!Female:!!45 to 54 years</t>
  </si>
  <si>
    <t>Medicare Coverage by Sex by Age</t>
  </si>
  <si>
    <t>Age by Number of Disabilities</t>
  </si>
  <si>
    <t>B01001A_028</t>
  </si>
  <si>
    <t>Estimate!!Total:!!Female:!!55 to 64 years</t>
  </si>
  <si>
    <t>B01001E_001</t>
  </si>
  <si>
    <t>Total Population in Occupied Housing Units by Tenure</t>
  </si>
  <si>
    <t>B01001A_029</t>
  </si>
  <si>
    <t>Field of Bachelor's Degree for First Major for the Population 25 Years and Over</t>
  </si>
  <si>
    <t>Estimate!!Total:!!Female:!!65 to 74 years</t>
  </si>
  <si>
    <t>Geographical Mobility in the Past Year for Current Residence--State, County and Place Level in the United States</t>
  </si>
  <si>
    <t>Sex by Age (Native Hawaiian and Other Pacific Islander Alone)</t>
  </si>
  <si>
    <t>Poverty Status in the Past 12 Months of People in Housing Units</t>
  </si>
  <si>
    <t>B01001E</t>
  </si>
  <si>
    <t>B01001A_030</t>
  </si>
  <si>
    <t>Sex by Age by Veteran Status for the Civilian Population 18 Years and Over</t>
  </si>
  <si>
    <t>Estimate!!Total:!!Female:!!75 to 84 years</t>
  </si>
  <si>
    <t>B01001A_031</t>
  </si>
  <si>
    <t>Estimate!!Total:!!Female:!!85 years and over</t>
  </si>
  <si>
    <t>Units in Structure</t>
  </si>
  <si>
    <t>Nativity and Citizenship Status in the United States</t>
  </si>
  <si>
    <t>Gini Index of Income Inequality</t>
  </si>
  <si>
    <t>B01001F_001</t>
  </si>
  <si>
    <t>Sex by Age (Some Other Race Alone)</t>
  </si>
  <si>
    <t>B01001B_002</t>
  </si>
  <si>
    <t>Gross Rent</t>
  </si>
  <si>
    <t>B01001F</t>
  </si>
  <si>
    <t>Place of Birth by Nativity and Citizenship Status</t>
  </si>
  <si>
    <t>Per Capita Income in the Past 12 Months (in 2024 Inflation-Adjusted Dollars)</t>
  </si>
  <si>
    <t>B01001B_003</t>
  </si>
  <si>
    <t>Value</t>
  </si>
  <si>
    <t>B01001B_004</t>
  </si>
  <si>
    <t>Employment Status for the Population 16 Years and Over</t>
  </si>
  <si>
    <t>B01001G_001</t>
  </si>
  <si>
    <t>Sex by Age (Two or More Races)</t>
  </si>
  <si>
    <t>B01001B_005</t>
  </si>
  <si>
    <t>B01001G</t>
  </si>
  <si>
    <t>Household Income in the Past 12 Months (in 2024 Inflation-Adjusted Dollars) by Gross Rent</t>
  </si>
  <si>
    <t>Industry by Occupation for the Civilian Employed Population 16 Years and Over</t>
  </si>
  <si>
    <t>B01001B_006</t>
  </si>
  <si>
    <t>Housing Costs as a Percentage of Household Income in the Past 12 Months</t>
  </si>
  <si>
    <t>B01001H_001</t>
  </si>
  <si>
    <t>Sex by Age (White Alone, Not Hispanic or Latino)</t>
  </si>
  <si>
    <t>B01001H</t>
  </si>
  <si>
    <t>B01001B_007</t>
  </si>
  <si>
    <t>Group Quarters Type (3 Types)</t>
  </si>
  <si>
    <t>B01001I_001</t>
  </si>
  <si>
    <t>Sex by Age (Hispanic or Latino)</t>
  </si>
  <si>
    <t>B01001I</t>
  </si>
  <si>
    <t>B01001B_008</t>
  </si>
  <si>
    <t>Group Quarters Type (5 Types)</t>
  </si>
  <si>
    <t>B01001B_009</t>
  </si>
  <si>
    <t>B01002_001</t>
  </si>
  <si>
    <t>Estimate!!Median age --!!Total:</t>
  </si>
  <si>
    <t>Median Age by Sex</t>
  </si>
  <si>
    <t>B01002</t>
  </si>
  <si>
    <t>Group Quarters Population</t>
  </si>
  <si>
    <t>B01001B_010</t>
  </si>
  <si>
    <t>B01001B_011</t>
  </si>
  <si>
    <t>B01002A_001</t>
  </si>
  <si>
    <t>x</t>
  </si>
  <si>
    <t>B01002A</t>
  </si>
  <si>
    <t>B01001B_012</t>
  </si>
  <si>
    <t>B01001B_013</t>
  </si>
  <si>
    <t>B01001B_014</t>
  </si>
  <si>
    <t>B01001B_015</t>
  </si>
  <si>
    <t>B01002B_001</t>
  </si>
  <si>
    <t>Median Age by Sex (Black or African American Alone)</t>
  </si>
  <si>
    <t>B01002B</t>
  </si>
  <si>
    <t>B01001B_016</t>
  </si>
  <si>
    <t>B01001B_017</t>
  </si>
  <si>
    <t>B01002C_001</t>
  </si>
  <si>
    <t>Median Age by Sex (American Indian and Alaska Native Alone)</t>
  </si>
  <si>
    <t>B01001B_018</t>
  </si>
  <si>
    <t>B01002C</t>
  </si>
  <si>
    <t>B01001B_019</t>
  </si>
  <si>
    <t>B01001B_020</t>
  </si>
  <si>
    <t>B01002D_001</t>
  </si>
  <si>
    <t>B01001B_021</t>
  </si>
  <si>
    <t>B01001B_022</t>
  </si>
  <si>
    <t>Median Age by Sex (Asian Alone)</t>
  </si>
  <si>
    <t>B01002D</t>
  </si>
  <si>
    <t>B01001B_023</t>
  </si>
  <si>
    <t>B01001B_024</t>
  </si>
  <si>
    <t>B01002E_001</t>
  </si>
  <si>
    <t>B01001B_025</t>
  </si>
  <si>
    <t>Median Age by Sex (Native Hawaiian and Other Pacific Islander Alone)</t>
  </si>
  <si>
    <t>B01001B_026</t>
  </si>
  <si>
    <t>B01002E</t>
  </si>
  <si>
    <t>B01002F_001</t>
  </si>
  <si>
    <t>Median Age by Sex (Some Other Race Alone)</t>
  </si>
  <si>
    <t>B01001B_027</t>
  </si>
  <si>
    <t>B01002F</t>
  </si>
  <si>
    <t>B01001B_028</t>
  </si>
  <si>
    <t>B01001B_029</t>
  </si>
  <si>
    <t>B01002G_001</t>
  </si>
  <si>
    <t>Median Age by Sex (Two or More Races)</t>
  </si>
  <si>
    <t>B01002G</t>
  </si>
  <si>
    <t>B01001B_030</t>
  </si>
  <si>
    <t>B01001B_031</t>
  </si>
  <si>
    <t>B01002H_001</t>
  </si>
  <si>
    <t>Median Age by Sex (White Alone, Not Hispanic or Latino)</t>
  </si>
  <si>
    <t>B01002H</t>
  </si>
  <si>
    <t>B01001C_002</t>
  </si>
  <si>
    <t>B01002I_001</t>
  </si>
  <si>
    <t>B01001C_003</t>
  </si>
  <si>
    <t>Median Age by Sex (Hispanic or Latino)</t>
  </si>
  <si>
    <t>B01002I</t>
  </si>
  <si>
    <t>B01001C_004</t>
  </si>
  <si>
    <t>B01003_001</t>
  </si>
  <si>
    <t>B01001C_005</t>
  </si>
  <si>
    <t>Estimate!!Total</t>
  </si>
  <si>
    <t>B01003</t>
  </si>
  <si>
    <t>B01001C_006</t>
  </si>
  <si>
    <t>B01001C_007</t>
  </si>
  <si>
    <t>B02001_001</t>
  </si>
  <si>
    <t>B01001C_008</t>
  </si>
  <si>
    <t>B02001</t>
  </si>
  <si>
    <t>race</t>
  </si>
  <si>
    <t>B01001C_009</t>
  </si>
  <si>
    <t>B02008_001</t>
  </si>
  <si>
    <t>B01001C_010</t>
  </si>
  <si>
    <t>White Alone or in Combination With One or More Other Races</t>
  </si>
  <si>
    <t>B02008</t>
  </si>
  <si>
    <t>B01001C_011</t>
  </si>
  <si>
    <t>B01001C_012</t>
  </si>
  <si>
    <t>B02009_001</t>
  </si>
  <si>
    <t>Black or African American Alone or in Combination With One or More Other Races</t>
  </si>
  <si>
    <t>B02009</t>
  </si>
  <si>
    <t>B01001C_013</t>
  </si>
  <si>
    <t>race, demographic</t>
  </si>
  <si>
    <t>B01001C_014</t>
  </si>
  <si>
    <t>B02010_001</t>
  </si>
  <si>
    <t>American Indian and Alaska Native Alone or in Combination With One or More Other Races</t>
  </si>
  <si>
    <t>B01001C_015</t>
  </si>
  <si>
    <t>B02010</t>
  </si>
  <si>
    <t>B01001C_016</t>
  </si>
  <si>
    <t>B01001C_017</t>
  </si>
  <si>
    <t>B02011_001</t>
  </si>
  <si>
    <t>Asian Alone or in Combination With One or More Other Races</t>
  </si>
  <si>
    <t>B02011</t>
  </si>
  <si>
    <t>B01001C_018</t>
  </si>
  <si>
    <t>B01001C_019</t>
  </si>
  <si>
    <t>B02012_001</t>
  </si>
  <si>
    <t>Native Hawaiian and Other Pacific Islander Alone or in Combination With One or More Other Races</t>
  </si>
  <si>
    <t>B01001C_020</t>
  </si>
  <si>
    <t>B02012</t>
  </si>
  <si>
    <t>B01001C_021</t>
  </si>
  <si>
    <t>B02013_001</t>
  </si>
  <si>
    <t>Some Other Race Alone or in Combination With One or More Other Races</t>
  </si>
  <si>
    <t>B01001C_022</t>
  </si>
  <si>
    <t>B02013</t>
  </si>
  <si>
    <t>B01001C_023</t>
  </si>
  <si>
    <t>B01001C_024</t>
  </si>
  <si>
    <t>B02015_001</t>
  </si>
  <si>
    <t>Asian Alone by Selected Groups</t>
  </si>
  <si>
    <t>B01001C_025</t>
  </si>
  <si>
    <t>B02015</t>
  </si>
  <si>
    <t>B01001C_026</t>
  </si>
  <si>
    <t>B01001C_027</t>
  </si>
  <si>
    <t>B02016_001</t>
  </si>
  <si>
    <t>B01001C_028</t>
  </si>
  <si>
    <t>Native Hawaiian and Other Pacific Islander Alone by Selected Groups</t>
  </si>
  <si>
    <t>B02016</t>
  </si>
  <si>
    <t>B01001C_029</t>
  </si>
  <si>
    <t>B01001C_030</t>
  </si>
  <si>
    <t>B02018_001</t>
  </si>
  <si>
    <t>Estimate!!Total Groups Tallied:</t>
  </si>
  <si>
    <t>B01001C_031</t>
  </si>
  <si>
    <t>Asian Alone or in Any Combination by Selected Groups</t>
  </si>
  <si>
    <t>B02018</t>
  </si>
  <si>
    <t>B01001D_002</t>
  </si>
  <si>
    <t>B02019_001</t>
  </si>
  <si>
    <t>B01001D_003</t>
  </si>
  <si>
    <t>Native Hawaiian and Other Pacific Islander Alone or in Any Combination by Selected Groups</t>
  </si>
  <si>
    <t>B02019</t>
  </si>
  <si>
    <t>B01001D_004</t>
  </si>
  <si>
    <t>B01001D_005</t>
  </si>
  <si>
    <t>B02020_001</t>
  </si>
  <si>
    <t>American Indian and Alaska Native Alone by Selected Tribes and Villages</t>
  </si>
  <si>
    <t>B01001D_006</t>
  </si>
  <si>
    <t>B02020</t>
  </si>
  <si>
    <t>B02021_001</t>
  </si>
  <si>
    <t>American Indian and Alaska Native Alone or in Any Combination by Selected Tribes and Villages</t>
  </si>
  <si>
    <t>B02021</t>
  </si>
  <si>
    <t>B02022_001</t>
  </si>
  <si>
    <t>White Alone by Selected Groups</t>
  </si>
  <si>
    <t>B01001D_007</t>
  </si>
  <si>
    <t>B02022</t>
  </si>
  <si>
    <t>B01001D_008</t>
  </si>
  <si>
    <t>B01001D_009</t>
  </si>
  <si>
    <t>B02023_001</t>
  </si>
  <si>
    <t>Black or African American Alone by Selected Groups</t>
  </si>
  <si>
    <t>B01001D_010</t>
  </si>
  <si>
    <t>B02023</t>
  </si>
  <si>
    <t>B01001D_011</t>
  </si>
  <si>
    <t>B01001D_012</t>
  </si>
  <si>
    <t>B02024_001</t>
  </si>
  <si>
    <t>White Alone or in Any Combination by Selected Groups</t>
  </si>
  <si>
    <t>B01001D_013</t>
  </si>
  <si>
    <t>B02024</t>
  </si>
  <si>
    <t>B01001D_014</t>
  </si>
  <si>
    <t>B01001D_015</t>
  </si>
  <si>
    <t>B02025_001</t>
  </si>
  <si>
    <t>B01001D_016</t>
  </si>
  <si>
    <t>Black or African American Alone or in Any Combination by Selected Groups</t>
  </si>
  <si>
    <t>B02025</t>
  </si>
  <si>
    <t>B01001D_017</t>
  </si>
  <si>
    <t>B01001D_018</t>
  </si>
  <si>
    <t>B03001_001</t>
  </si>
  <si>
    <t>Hispanic or Latino Origin by Specific Origin</t>
  </si>
  <si>
    <t>B01001D_019</t>
  </si>
  <si>
    <t>B03001</t>
  </si>
  <si>
    <t>B01001D_020</t>
  </si>
  <si>
    <t>race, immigration</t>
  </si>
  <si>
    <t>B01001D_021</t>
  </si>
  <si>
    <t>B03002_001</t>
  </si>
  <si>
    <t>Hispanic or Latino Origin by Race</t>
  </si>
  <si>
    <t>B01001D_022</t>
  </si>
  <si>
    <t>B03002</t>
  </si>
  <si>
    <t>B01001D_023</t>
  </si>
  <si>
    <t>B01001D_024</t>
  </si>
  <si>
    <t>B03003_001</t>
  </si>
  <si>
    <t>B01001D_025</t>
  </si>
  <si>
    <t>B03003</t>
  </si>
  <si>
    <t>B01001D_026</t>
  </si>
  <si>
    <t>B04004_001</t>
  </si>
  <si>
    <t>B01001D_027</t>
  </si>
  <si>
    <t>People Reporting Single Ancestry</t>
  </si>
  <si>
    <t>B04004</t>
  </si>
  <si>
    <t>B01001D_028</t>
  </si>
  <si>
    <t>B01001D_029</t>
  </si>
  <si>
    <t>B04005_001</t>
  </si>
  <si>
    <t>People Reporting Multiple Ancestry</t>
  </si>
  <si>
    <t>B01001D_030</t>
  </si>
  <si>
    <t>B04005</t>
  </si>
  <si>
    <t>B01001D_031</t>
  </si>
  <si>
    <t>B04006_001</t>
  </si>
  <si>
    <t>People Reporting Ancestry</t>
  </si>
  <si>
    <t>B04006</t>
  </si>
  <si>
    <t>B01001E_002</t>
  </si>
  <si>
    <t>B04007_001</t>
  </si>
  <si>
    <t>B01001E_003</t>
  </si>
  <si>
    <t>Ancestry</t>
  </si>
  <si>
    <t>B04007</t>
  </si>
  <si>
    <t>B01001E_004</t>
  </si>
  <si>
    <t>B01001E_005</t>
  </si>
  <si>
    <t>B05001_001</t>
  </si>
  <si>
    <t>B01001E_006</t>
  </si>
  <si>
    <t>B05001</t>
  </si>
  <si>
    <t>B01001E_007</t>
  </si>
  <si>
    <t>B05001PR_001</t>
  </si>
  <si>
    <t>B01001E_008</t>
  </si>
  <si>
    <t>Nativity and Citizenship Status in Puerto Rico</t>
  </si>
  <si>
    <t>B05001PR</t>
  </si>
  <si>
    <t>B01001E_009</t>
  </si>
  <si>
    <t>B01001E_010</t>
  </si>
  <si>
    <t>B05002_001</t>
  </si>
  <si>
    <t>B01001E_011</t>
  </si>
  <si>
    <t>B05002</t>
  </si>
  <si>
    <t>B01001E_012</t>
  </si>
  <si>
    <t>demographic, immigration</t>
  </si>
  <si>
    <t>B01001E_013</t>
  </si>
  <si>
    <t>B05003_001</t>
  </si>
  <si>
    <t>Sex by Age by Nativity and Citizenship Status</t>
  </si>
  <si>
    <t>B01001E_014</t>
  </si>
  <si>
    <t>B05003</t>
  </si>
  <si>
    <t>demographic, race, immigration</t>
  </si>
  <si>
    <t>B01001E_015</t>
  </si>
  <si>
    <t>B05003A_001</t>
  </si>
  <si>
    <t>B01001E_016</t>
  </si>
  <si>
    <t>Sex by Age by Nativity and Citizenship Status (White Alone)</t>
  </si>
  <si>
    <t>B05003A</t>
  </si>
  <si>
    <t>B01001E_017</t>
  </si>
  <si>
    <t>B01001E_018</t>
  </si>
  <si>
    <t>B05003B_001</t>
  </si>
  <si>
    <t>Sex by Age by Nativity and Citizenship Status (Black or African American Alone)</t>
  </si>
  <si>
    <t>B01001E_019</t>
  </si>
  <si>
    <t>B05003B</t>
  </si>
  <si>
    <t>B01001E_020</t>
  </si>
  <si>
    <t>B05003C_001</t>
  </si>
  <si>
    <t>Sex by Age by Nativity and Citizenship Status (American Indian and Alaska Native Alone)</t>
  </si>
  <si>
    <t>B05003C</t>
  </si>
  <si>
    <t>B01001E_021</t>
  </si>
  <si>
    <t>B01001E_022</t>
  </si>
  <si>
    <t>B01001E_023</t>
  </si>
  <si>
    <t>B01001E_024</t>
  </si>
  <si>
    <t>B01001E_025</t>
  </si>
  <si>
    <t>B01001E_026</t>
  </si>
  <si>
    <t>B01001E_027</t>
  </si>
  <si>
    <t>B01001E_028</t>
  </si>
  <si>
    <t>B01001E_029</t>
  </si>
  <si>
    <t>B01001E_030</t>
  </si>
  <si>
    <t>B01001E_031</t>
  </si>
  <si>
    <t>B01001F_002</t>
  </si>
  <si>
    <t>B01001F_003</t>
  </si>
  <si>
    <t>B01001F_004</t>
  </si>
  <si>
    <t>B01001F_005</t>
  </si>
  <si>
    <t>B01001F_006</t>
  </si>
  <si>
    <t>B01001F_007</t>
  </si>
  <si>
    <t>B01001F_008</t>
  </si>
  <si>
    <t>B01001F_009</t>
  </si>
  <si>
    <t>B01001F_010</t>
  </si>
  <si>
    <t>B01001F_011</t>
  </si>
  <si>
    <t>B01001F_012</t>
  </si>
  <si>
    <t>B01001F_013</t>
  </si>
  <si>
    <t>B05003D_001</t>
  </si>
  <si>
    <t>B01001F_014</t>
  </si>
  <si>
    <t>Sex by Age by Nativity and Citizenship Status (Asian Alone)</t>
  </si>
  <si>
    <t>B01001F_015</t>
  </si>
  <si>
    <t>B05003D</t>
  </si>
  <si>
    <t>B01001F_016</t>
  </si>
  <si>
    <t>B01001F_017</t>
  </si>
  <si>
    <t>B01001F_018</t>
  </si>
  <si>
    <t>B05003E_001</t>
  </si>
  <si>
    <t>Sex by Age by Nativity and Citizenship Status (Native Hawaiian and Other Pacific Islander Alone)</t>
  </si>
  <si>
    <t>B01001F_019</t>
  </si>
  <si>
    <t>B05003E</t>
  </si>
  <si>
    <t>B01001F_020</t>
  </si>
  <si>
    <t>B05003F_001</t>
  </si>
  <si>
    <t>B01001F_021</t>
  </si>
  <si>
    <t>Sex by Age by Nativity and Citizenship Status (Some Other Race Alone)</t>
  </si>
  <si>
    <t>B05003F</t>
  </si>
  <si>
    <t>B01001F_022</t>
  </si>
  <si>
    <t>B01001F_023</t>
  </si>
  <si>
    <t>B05003G_001</t>
  </si>
  <si>
    <t>B01001F_024</t>
  </si>
  <si>
    <t>Sex by Age by Nativity and Citizenship Status (Two or More Races)</t>
  </si>
  <si>
    <t>B05003G</t>
  </si>
  <si>
    <t>B01001F_025</t>
  </si>
  <si>
    <t>B01001F_026</t>
  </si>
  <si>
    <t>B05003H_001</t>
  </si>
  <si>
    <t>Sex by Age by Nativity and Citizenship Status (White Alone, Not Hispanic or Latino)</t>
  </si>
  <si>
    <t>B01001F_027</t>
  </si>
  <si>
    <t>B05003H</t>
  </si>
  <si>
    <t>B01001F_028</t>
  </si>
  <si>
    <t>B01001F_029</t>
  </si>
  <si>
    <t>B05003I_001</t>
  </si>
  <si>
    <t>B01001F_030</t>
  </si>
  <si>
    <t>Sex by Age by Nativity and Citizenship Status (Hispanic or Latino)</t>
  </si>
  <si>
    <t>B05003I</t>
  </si>
  <si>
    <t>B01001F_031</t>
  </si>
  <si>
    <t>B05004_001</t>
  </si>
  <si>
    <t>Median Age by Nativity and Citizenship Status by Sex</t>
  </si>
  <si>
    <t>B01001G_002</t>
  </si>
  <si>
    <t>B05004</t>
  </si>
  <si>
    <t>B01001G_003</t>
  </si>
  <si>
    <t>B01001G_004</t>
  </si>
  <si>
    <t>B05005_001</t>
  </si>
  <si>
    <t>B01001G_005</t>
  </si>
  <si>
    <t>Period of Entry by Nativity and Citizenship Status in the United States</t>
  </si>
  <si>
    <t>B05005</t>
  </si>
  <si>
    <t>B01001G_006</t>
  </si>
  <si>
    <t>immigration</t>
  </si>
  <si>
    <t>B01001G_007</t>
  </si>
  <si>
    <t>B01001G_008</t>
  </si>
  <si>
    <t>B05005PR_001</t>
  </si>
  <si>
    <t>Period of Entry by Nativity and Citizenship Status in Puerto Rico</t>
  </si>
  <si>
    <t>B01001G_009</t>
  </si>
  <si>
    <t>B05005PR</t>
  </si>
  <si>
    <t>B01001G_010</t>
  </si>
  <si>
    <t>B01001G_011</t>
  </si>
  <si>
    <t>B05006_001</t>
  </si>
  <si>
    <t>Place of Birth for the Foreign-Born Population in the United States</t>
  </si>
  <si>
    <t>B05006</t>
  </si>
  <si>
    <t>B01001G_012</t>
  </si>
  <si>
    <t>B05006PR_001</t>
  </si>
  <si>
    <t>B01001G_013</t>
  </si>
  <si>
    <t>Place of Birth for the Foreign-Born Population in Puerto Rico</t>
  </si>
  <si>
    <t>B05006PR</t>
  </si>
  <si>
    <t>B01001G_014</t>
  </si>
  <si>
    <t>B05007_001</t>
  </si>
  <si>
    <t>B01001G_015</t>
  </si>
  <si>
    <t>Place of Birth by Year of Entry by Citizenship Status for the Foreign-Born Population</t>
  </si>
  <si>
    <t>B05007</t>
  </si>
  <si>
    <t>B01001G_016</t>
  </si>
  <si>
    <t>B05008_001</t>
  </si>
  <si>
    <t>B01001G_017</t>
  </si>
  <si>
    <t>Sex by Place of Birth by Year of Entry for the Foreign-Born Population</t>
  </si>
  <si>
    <t>B05008</t>
  </si>
  <si>
    <t>B01001G_018</t>
  </si>
  <si>
    <t>B05009_001</t>
  </si>
  <si>
    <t>B01001G_019</t>
  </si>
  <si>
    <t>Age and Nativity of Own Children Under 18 Years in Families and Subfamilies by Number and Nativity of Parents</t>
  </si>
  <si>
    <t>B05009</t>
  </si>
  <si>
    <t>B01001G_020</t>
  </si>
  <si>
    <t>B05010_001</t>
  </si>
  <si>
    <t>B01001G_021</t>
  </si>
  <si>
    <t>Ratio of Income to Poverty Level in the Past 12 Months by Nativity of Children Under 18 Years in Families and Subfamilies by Living Arrangements and Nativity of Parents</t>
  </si>
  <si>
    <t>B05010</t>
  </si>
  <si>
    <t>B01001G_022</t>
  </si>
  <si>
    <t>income, demographic, immigration</t>
  </si>
  <si>
    <t>B01001G_023</t>
  </si>
  <si>
    <t>B05011_001</t>
  </si>
  <si>
    <t>Period of Naturalization</t>
  </si>
  <si>
    <t>B01001G_024</t>
  </si>
  <si>
    <t>B05011</t>
  </si>
  <si>
    <t>B01001G_025</t>
  </si>
  <si>
    <t>B01001G_026</t>
  </si>
  <si>
    <t>B01001G_027</t>
  </si>
  <si>
    <t>B01001G_028</t>
  </si>
  <si>
    <t>B01001G_029</t>
  </si>
  <si>
    <t>B01001G_030</t>
  </si>
  <si>
    <t>B01001G_031</t>
  </si>
  <si>
    <t>B05012_001</t>
  </si>
  <si>
    <t>B01001H_002</t>
  </si>
  <si>
    <t>Nativity in the United States</t>
  </si>
  <si>
    <t>B05012</t>
  </si>
  <si>
    <t>B01001H_003</t>
  </si>
  <si>
    <t>B05012PR_001</t>
  </si>
  <si>
    <t>B01001H_004</t>
  </si>
  <si>
    <t>Nativity in Puerto Rico</t>
  </si>
  <si>
    <t>B05012PR</t>
  </si>
  <si>
    <t>B01001H_005</t>
  </si>
  <si>
    <t>B05013_001</t>
  </si>
  <si>
    <t>B01001H_006</t>
  </si>
  <si>
    <t>Sex by Age for the Foreign-Born Population</t>
  </si>
  <si>
    <t>B05013</t>
  </si>
  <si>
    <t>B01001H_007</t>
  </si>
  <si>
    <t>B01001H_008</t>
  </si>
  <si>
    <t>B05014_001</t>
  </si>
  <si>
    <t>B01001H_009</t>
  </si>
  <si>
    <t>B05014</t>
  </si>
  <si>
    <t>B01001H_010</t>
  </si>
  <si>
    <t>B05015_001</t>
  </si>
  <si>
    <t>B01001H_011</t>
  </si>
  <si>
    <t>Place of Birth by Year of Entry for the Foreign-Born Population</t>
  </si>
  <si>
    <t>B05015</t>
  </si>
  <si>
    <t>B01001H_012</t>
  </si>
  <si>
    <t>B01001H_013</t>
  </si>
  <si>
    <t>B06001_001</t>
  </si>
  <si>
    <t>B01001H_014</t>
  </si>
  <si>
    <t>Place of Birth by Age in the United States</t>
  </si>
  <si>
    <t>B06001</t>
  </si>
  <si>
    <t>B01001H_015</t>
  </si>
  <si>
    <t>B06001PR_001</t>
  </si>
  <si>
    <t>B01001H_016</t>
  </si>
  <si>
    <t>Place of Birth by Age in Puerto Rico</t>
  </si>
  <si>
    <t>B06001PR</t>
  </si>
  <si>
    <t>B01001H_017</t>
  </si>
  <si>
    <t>B01001H_018</t>
  </si>
  <si>
    <t>B06002_001</t>
  </si>
  <si>
    <t>Median Age by Place of Birth in the United States</t>
  </si>
  <si>
    <t>B06002</t>
  </si>
  <si>
    <t>B01001H_019</t>
  </si>
  <si>
    <t>B01001H_020</t>
  </si>
  <si>
    <t>B06002PR_001</t>
  </si>
  <si>
    <t>Median Age by Place of Birth in Puerto Rico</t>
  </si>
  <si>
    <t>B06002PR</t>
  </si>
  <si>
    <t>B01001H_021</t>
  </si>
  <si>
    <t>B01001H_022</t>
  </si>
  <si>
    <t>B06003_001</t>
  </si>
  <si>
    <t>B01001H_023</t>
  </si>
  <si>
    <t>Place of Birth by Sex in the United States</t>
  </si>
  <si>
    <t>B06003</t>
  </si>
  <si>
    <t>B01001H_024</t>
  </si>
  <si>
    <t>B06003PR_001</t>
  </si>
  <si>
    <t>B01001H_025</t>
  </si>
  <si>
    <t>Place of Birth by Sex in Puerto Rico</t>
  </si>
  <si>
    <t>B06003PR</t>
  </si>
  <si>
    <t>B01001H_026</t>
  </si>
  <si>
    <t>B01001H_027</t>
  </si>
  <si>
    <t>B06004A_001</t>
  </si>
  <si>
    <t>Place of Birth (White Alone) in the United States</t>
  </si>
  <si>
    <t>B06004A</t>
  </si>
  <si>
    <t>B01001H_028</t>
  </si>
  <si>
    <t>B01001H_029</t>
  </si>
  <si>
    <t>B01001H_030</t>
  </si>
  <si>
    <t>B06004APR_001</t>
  </si>
  <si>
    <t>B01001H_031</t>
  </si>
  <si>
    <t>Place of Birth (White Alone) in Puerto Rico</t>
  </si>
  <si>
    <t>B06004APR</t>
  </si>
  <si>
    <t>B06004B_001</t>
  </si>
  <si>
    <t>B01001I_002</t>
  </si>
  <si>
    <t>Place of Birth (Black or African American Alone) in the United States</t>
  </si>
  <si>
    <t>B06004B</t>
  </si>
  <si>
    <t>B01001I_003</t>
  </si>
  <si>
    <t>B06004BPR_001</t>
  </si>
  <si>
    <t>B01001I_004</t>
  </si>
  <si>
    <t>Place of Birth (Black or African American Alone) in Puerto Rico</t>
  </si>
  <si>
    <t>B06004BPR</t>
  </si>
  <si>
    <t>B01001I_005</t>
  </si>
  <si>
    <t>B01001I_006</t>
  </si>
  <si>
    <t>B06004C_001</t>
  </si>
  <si>
    <t>B01001I_007</t>
  </si>
  <si>
    <t>Place of Birth (American Indian and Alaska Native Alone) in the United States</t>
  </si>
  <si>
    <t>B06004C</t>
  </si>
  <si>
    <t>B01001I_008</t>
  </si>
  <si>
    <t>B01001I_009</t>
  </si>
  <si>
    <t>B06004CPR_001</t>
  </si>
  <si>
    <t>Place of Birth (American Indian and Alaska Native Alone) in Puerto Rico</t>
  </si>
  <si>
    <t>B01001I_010</t>
  </si>
  <si>
    <t>B06004CPR</t>
  </si>
  <si>
    <t>B01001I_011</t>
  </si>
  <si>
    <t>B01001I_012</t>
  </si>
  <si>
    <t>B06004D_001</t>
  </si>
  <si>
    <t>B01001I_013</t>
  </si>
  <si>
    <t>Place of Birth (Asian Alone) in the United States</t>
  </si>
  <si>
    <t>B06004D</t>
  </si>
  <si>
    <t>B01001I_014</t>
  </si>
  <si>
    <t>B01001I_015</t>
  </si>
  <si>
    <t>B06004DPR_001</t>
  </si>
  <si>
    <t>B01001I_016</t>
  </si>
  <si>
    <t>Place of Birth (Asian Alone) in Puerto Rico</t>
  </si>
  <si>
    <t>B06004DPR</t>
  </si>
  <si>
    <t>B01001I_017</t>
  </si>
  <si>
    <t>B01001I_018</t>
  </si>
  <si>
    <t>B06004E_001</t>
  </si>
  <si>
    <t>B01001I_019</t>
  </si>
  <si>
    <t>Place of Birth (Native Hawaiian and Other Pacific Islander Alone) in the United States</t>
  </si>
  <si>
    <t>B06004E</t>
  </si>
  <si>
    <t>B01001I_020</t>
  </si>
  <si>
    <t>B01001I_021</t>
  </si>
  <si>
    <t>B01001I_022</t>
  </si>
  <si>
    <t>B06004EPR_001</t>
  </si>
  <si>
    <t>Place of Birth (Native Hawaiian and Other Pacific Islander Alone) in Puerto Rico</t>
  </si>
  <si>
    <t>B01001I_023</t>
  </si>
  <si>
    <t>B06004EPR</t>
  </si>
  <si>
    <t>B01001I_024</t>
  </si>
  <si>
    <t>B01001I_025</t>
  </si>
  <si>
    <t>B06004F_001</t>
  </si>
  <si>
    <t>Place of Birth (Some Other Race Alone) in the United States</t>
  </si>
  <si>
    <t>B06004F</t>
  </si>
  <si>
    <t>B01001I_026</t>
  </si>
  <si>
    <t>B01001I_027</t>
  </si>
  <si>
    <t>B06004FPR_001</t>
  </si>
  <si>
    <t>B01001I_028</t>
  </si>
  <si>
    <t>Place of Birth (Some Other Race Alone) in Puerto Rico</t>
  </si>
  <si>
    <t>B06004FPR</t>
  </si>
  <si>
    <t>B01001I_029</t>
  </si>
  <si>
    <t>B06004G_001</t>
  </si>
  <si>
    <t>B01001I_030</t>
  </si>
  <si>
    <t>Place of Birth (Two or More Races) in the United States</t>
  </si>
  <si>
    <t>B06004G</t>
  </si>
  <si>
    <t>B01001I_031</t>
  </si>
  <si>
    <t>B06004GPR_001</t>
  </si>
  <si>
    <t>B01001_002</t>
  </si>
  <si>
    <t>Place of Birth (Two or More Races) in Puerto Rico</t>
  </si>
  <si>
    <t>B06004GPR</t>
  </si>
  <si>
    <t>B01001_003</t>
  </si>
  <si>
    <t>B01001_004</t>
  </si>
  <si>
    <t>B06004H_001</t>
  </si>
  <si>
    <t>B01001_005</t>
  </si>
  <si>
    <t>Place of Birth (White Alone, Not Hispanic or Latino) in the United States</t>
  </si>
  <si>
    <t>B06004H</t>
  </si>
  <si>
    <t>B01001_006</t>
  </si>
  <si>
    <t>B01001_007</t>
  </si>
  <si>
    <t>B01001_008</t>
  </si>
  <si>
    <t>Estimate!!Total:!!Male:!!20 years</t>
  </si>
  <si>
    <t>B01001_009</t>
  </si>
  <si>
    <t>Estimate!!Total:!!Male:!!21 years</t>
  </si>
  <si>
    <t>B01001_010</t>
  </si>
  <si>
    <t>Estimate!!Total:!!Male:!!22 to 24 years</t>
  </si>
  <si>
    <t>B06004HPR_001</t>
  </si>
  <si>
    <t>B01001_011</t>
  </si>
  <si>
    <t>Place of Birth (White Alone, Not Hispanic or Latino) in Puerto Rico</t>
  </si>
  <si>
    <t>B06004HPR</t>
  </si>
  <si>
    <t>B01001_012</t>
  </si>
  <si>
    <t>B01001_013</t>
  </si>
  <si>
    <t>Estimate!!Total:!!Male:!!35 to 39 years</t>
  </si>
  <si>
    <t>B06004I_001</t>
  </si>
  <si>
    <t>B01001_014</t>
  </si>
  <si>
    <t>Estimate!!Total:!!Male:!!40 to 44 years</t>
  </si>
  <si>
    <t>Place of Birth (Hispanic or Latino) in the United States</t>
  </si>
  <si>
    <t>B06004I</t>
  </si>
  <si>
    <t>B01001_015</t>
  </si>
  <si>
    <t>Estimate!!Total:!!Male:!!45 to 49 years</t>
  </si>
  <si>
    <t>B01001_016</t>
  </si>
  <si>
    <t>Estimate!!Total:!!Male:!!50 to 54 years</t>
  </si>
  <si>
    <t>B06004IPR_001</t>
  </si>
  <si>
    <t>B01001_017</t>
  </si>
  <si>
    <t>Estimate!!Total:!!Male:!!55 to 59 years</t>
  </si>
  <si>
    <t>Place of Birth (Hispanic or Latino) in Puerto Rico</t>
  </si>
  <si>
    <t>B06004IPR</t>
  </si>
  <si>
    <t>B01001_018</t>
  </si>
  <si>
    <t>Estimate!!Total:!!Male:!!60 and 61 years</t>
  </si>
  <si>
    <t>B01001_019</t>
  </si>
  <si>
    <t>Estimate!!Total:!!Male:!!62 to 64 years</t>
  </si>
  <si>
    <t>B06007_001</t>
  </si>
  <si>
    <t>B01001_020</t>
  </si>
  <si>
    <t>Estimate!!Total:!!Male:!!65 and 66 years</t>
  </si>
  <si>
    <t>B01001_021</t>
  </si>
  <si>
    <t>Estimate!!Total:!!Male:!!67 to 69 years</t>
  </si>
  <si>
    <t>Place of Birth by Language Spoken at Home and Ability to Speak English in the United States</t>
  </si>
  <si>
    <t>B06007</t>
  </si>
  <si>
    <t>B01001_022</t>
  </si>
  <si>
    <t>Estimate!!Total:!!Male:!!70 to 74 years</t>
  </si>
  <si>
    <t>demographic, language</t>
  </si>
  <si>
    <t>B01001_023</t>
  </si>
  <si>
    <t>Estimate!!Total:!!Male:!!75 to 79 years</t>
  </si>
  <si>
    <t>B01001_024</t>
  </si>
  <si>
    <t>B06007PR_001</t>
  </si>
  <si>
    <t>Estimate!!Total:!!Male:!!80 to 84 years</t>
  </si>
  <si>
    <t>Place of Birth by Language Spoken at Home and Ability to Speak English in Puerto Rico</t>
  </si>
  <si>
    <t>B01001_025</t>
  </si>
  <si>
    <t>B06007PR</t>
  </si>
  <si>
    <t>B01001_026</t>
  </si>
  <si>
    <t>B01001_027</t>
  </si>
  <si>
    <t>B06008_001</t>
  </si>
  <si>
    <t>B01001_028</t>
  </si>
  <si>
    <t>Place of Birth by Marital Status in the United States</t>
  </si>
  <si>
    <t>B06008</t>
  </si>
  <si>
    <t>B01001_029</t>
  </si>
  <si>
    <t>B01001_030</t>
  </si>
  <si>
    <t>B06008PR_001</t>
  </si>
  <si>
    <t>B01001_031</t>
  </si>
  <si>
    <t>Place of Birth by Marital Status in Puerto Rico</t>
  </si>
  <si>
    <t>B06008PR</t>
  </si>
  <si>
    <t>B01001_032</t>
  </si>
  <si>
    <t>Estimate!!Total:!!Female:!!20 years</t>
  </si>
  <si>
    <t>B01001_033</t>
  </si>
  <si>
    <t>Estimate!!Total:!!Female:!!21 years</t>
  </si>
  <si>
    <t>B06009_001</t>
  </si>
  <si>
    <t>B01001_034</t>
  </si>
  <si>
    <t>Estimate!!Total:!!Female:!!22 to 24 years</t>
  </si>
  <si>
    <t>Place of Birth by Educational Attainment in the United States</t>
  </si>
  <si>
    <t>B06009</t>
  </si>
  <si>
    <t>B01001_035</t>
  </si>
  <si>
    <t>demographic, education</t>
  </si>
  <si>
    <t>B01001_036</t>
  </si>
  <si>
    <t>B01001_037</t>
  </si>
  <si>
    <t>Estimate!!Total:!!Female:!!35 to 39 years</t>
  </si>
  <si>
    <t>B06009PR_001</t>
  </si>
  <si>
    <t>B01001_038</t>
  </si>
  <si>
    <t>Estimate!!Total:!!Female:!!40 to 44 years</t>
  </si>
  <si>
    <t>Place of Birth by Educational Attainment in Puerto Rico</t>
  </si>
  <si>
    <t>B01001_039</t>
  </si>
  <si>
    <t>B06009PR</t>
  </si>
  <si>
    <t>Estimate!!Total:!!Female:!!45 to 49 years</t>
  </si>
  <si>
    <t>B01001_040</t>
  </si>
  <si>
    <t>Estimate!!Total:!!Female:!!50 to 54 years</t>
  </si>
  <si>
    <t>B01001_041</t>
  </si>
  <si>
    <t>Estimate!!Total:!!Female:!!55 to 59 years</t>
  </si>
  <si>
    <t>B06010_001</t>
  </si>
  <si>
    <t>B01001_042</t>
  </si>
  <si>
    <t>Estimate!!Total:!!Female:!!60 and 61 years</t>
  </si>
  <si>
    <t>Place of Birth by Individual Income in the Past 12 Months (in 2024 Inflation-Adjusted Dollars) in the United States</t>
  </si>
  <si>
    <t>B06010</t>
  </si>
  <si>
    <t>B01001_043</t>
  </si>
  <si>
    <t>Estimate!!Total:!!Female:!!62 to 64 years</t>
  </si>
  <si>
    <t>income, demographic</t>
  </si>
  <si>
    <t>B01001_044</t>
  </si>
  <si>
    <t>Estimate!!Total:!!Female:!!65 and 66 years</t>
  </si>
  <si>
    <t>B01001_045</t>
  </si>
  <si>
    <t>Estimate!!Total:!!Female:!!67 to 69 years</t>
  </si>
  <si>
    <t>B06010PR_001</t>
  </si>
  <si>
    <t>Place of Birth by Individual Income in the Past 12 Months (in 2024 Inflation-Adjusted Dollars) in Puerto Rico</t>
  </si>
  <si>
    <t>B06010PR</t>
  </si>
  <si>
    <t>B06011_001</t>
  </si>
  <si>
    <t>Estimate!!Median income in the past 12 months --!!Total:</t>
  </si>
  <si>
    <t>Median Income in the Past 12 Months (in 2024 Inflation-Adjusted Dollars) by Place of Birth in the United States</t>
  </si>
  <si>
    <t>B06011</t>
  </si>
  <si>
    <t>B01001_046</t>
  </si>
  <si>
    <t>Estimate!!Total:!!Female:!!70 to 74 years</t>
  </si>
  <si>
    <t>B06011PR_001</t>
  </si>
  <si>
    <t>B01001_047</t>
  </si>
  <si>
    <t>Median Income in the Past 12 Months (in 2024 Inflation-Adjusted Dollars) by Place of Birth in Puerto Rico</t>
  </si>
  <si>
    <t>Estimate!!Total:!!Female:!!75 to 79 years</t>
  </si>
  <si>
    <t>B06011PR</t>
  </si>
  <si>
    <t>B01001_048</t>
  </si>
  <si>
    <t>Estimate!!Total:!!Female:!!80 to 84 years</t>
  </si>
  <si>
    <t>B01001_049</t>
  </si>
  <si>
    <t>Median Age by Sex (White Alone)</t>
  </si>
  <si>
    <t>B01002A_002</t>
  </si>
  <si>
    <t>B06012_001</t>
  </si>
  <si>
    <t>Estimate!!Median age --!!Male</t>
  </si>
  <si>
    <t>Place of Birth by Poverty Status in the Past 12 Months in the United States</t>
  </si>
  <si>
    <t>B06012</t>
  </si>
  <si>
    <t>B01002A_003</t>
  </si>
  <si>
    <t>Estimate!!Median age --!!Female</t>
  </si>
  <si>
    <t>demographic, income, economy</t>
  </si>
  <si>
    <t>B06012PR_001</t>
  </si>
  <si>
    <t>Place of Birth by Poverty Status in the Past 12 Months in Puerto Rico</t>
  </si>
  <si>
    <t>B06012PR</t>
  </si>
  <si>
    <t>B01002B_002</t>
  </si>
  <si>
    <t>B01002B_003</t>
  </si>
  <si>
    <t>B07001_001</t>
  </si>
  <si>
    <t>Geographical Mobility in the Past Year by Age for Current Residence in the United States</t>
  </si>
  <si>
    <t>B07001</t>
  </si>
  <si>
    <t>immigration, economy, housing, demographic</t>
  </si>
  <si>
    <t>B07001PR_001</t>
  </si>
  <si>
    <t>Geographical Mobility in the Past Year by Age for Current Residence in Puerto Rico</t>
  </si>
  <si>
    <t>B07001PR</t>
  </si>
  <si>
    <t>B01002C_002</t>
  </si>
  <si>
    <t>B01002C_003</t>
  </si>
  <si>
    <t>B07002_001</t>
  </si>
  <si>
    <t>Median Age by Geographical Mobility in the Past Year for Current Residence in the United States</t>
  </si>
  <si>
    <t>B07002</t>
  </si>
  <si>
    <t>housing, economy</t>
  </si>
  <si>
    <t>B01002D_002</t>
  </si>
  <si>
    <t>B07002PR_001</t>
  </si>
  <si>
    <t>Median Age by Geographical Mobility in the Past Year for Current Residence in Puerto Rico</t>
  </si>
  <si>
    <t>B01002D_003</t>
  </si>
  <si>
    <t>B07002PR</t>
  </si>
  <si>
    <t>B07003_001</t>
  </si>
  <si>
    <t>B01002E_002</t>
  </si>
  <si>
    <t>Geographical Mobility in the Past Year by Sex for Current Residence in the United States</t>
  </si>
  <si>
    <t>B07003</t>
  </si>
  <si>
    <t>B01002E_003</t>
  </si>
  <si>
    <t>B07003PR_001</t>
  </si>
  <si>
    <t>Geographical Mobility in the Past Year by Sex for Current Residence in Puerto Rico</t>
  </si>
  <si>
    <t>B01002F_002</t>
  </si>
  <si>
    <t>B07003PR</t>
  </si>
  <si>
    <t>B01002F_003</t>
  </si>
  <si>
    <t>B07004A_001</t>
  </si>
  <si>
    <t>Geographical Mobility in the Past Year (White Alone) for Current Residence in the United States</t>
  </si>
  <si>
    <t>B01002G_002</t>
  </si>
  <si>
    <t>B07004A</t>
  </si>
  <si>
    <t>immigration, economy, housing, race</t>
  </si>
  <si>
    <t>B01002G_003</t>
  </si>
  <si>
    <t>B07004APR_001</t>
  </si>
  <si>
    <t>Geographical Mobility in the Past Year (White Alone) for Current Residence in Puerto Rico</t>
  </si>
  <si>
    <t>B01002H_002</t>
  </si>
  <si>
    <t>B07004APR</t>
  </si>
  <si>
    <t>B01002H_003</t>
  </si>
  <si>
    <t>B07004B_001</t>
  </si>
  <si>
    <t>B01002I_002</t>
  </si>
  <si>
    <t>Geographical Mobility in the Past Year (Black or African American Alone) for Current Residence in the United States</t>
  </si>
  <si>
    <t>B07004B</t>
  </si>
  <si>
    <t>B01002I_003</t>
  </si>
  <si>
    <t>B07004BPR_001</t>
  </si>
  <si>
    <t>Geographical Mobility in the Past Year (Black or African American Alone) for Current Residence in Puerto Rico</t>
  </si>
  <si>
    <t>B01002_002</t>
  </si>
  <si>
    <t>B07004BPR</t>
  </si>
  <si>
    <t>B01002_003</t>
  </si>
  <si>
    <t>B07004C_001</t>
  </si>
  <si>
    <t>Geographical Mobility in the Past Year (American Indian and Alaska Native Alone) for Current Residence in the United States</t>
  </si>
  <si>
    <t>B07004C</t>
  </si>
  <si>
    <t>B02001_002</t>
  </si>
  <si>
    <t>Estimate!!Total:!!White alone</t>
  </si>
  <si>
    <t>B02001_003</t>
  </si>
  <si>
    <t>Estimate!!Total:!!Black or African American alone</t>
  </si>
  <si>
    <t>B07004CPR_001</t>
  </si>
  <si>
    <t>B02001_004</t>
  </si>
  <si>
    <t>Geographical Mobility in the Past Year (American Indian and Alaska Native Alone) for Current Residence in Puerto Rico</t>
  </si>
  <si>
    <t>Estimate!!Total:!!American Indian and Alaska Native alone</t>
  </si>
  <si>
    <t>B07004CPR</t>
  </si>
  <si>
    <t>B02001_005</t>
  </si>
  <si>
    <t>Estimate!!Total:!!Asian alone</t>
  </si>
  <si>
    <t>B02001_006</t>
  </si>
  <si>
    <t>Estimate!!Total:!!Native Hawaiian and Other Pacific Islander alone</t>
  </si>
  <si>
    <t>B07004D_001</t>
  </si>
  <si>
    <t>B02001_007</t>
  </si>
  <si>
    <t>Estimate!!Total:!!Some Other Race alone</t>
  </si>
  <si>
    <t>Geographical Mobility in the Past Year (Asian Alone) for Current Residence in the United States</t>
  </si>
  <si>
    <t>B07004D</t>
  </si>
  <si>
    <t>B02001_008</t>
  </si>
  <si>
    <t>Estimate!!Total:!!Two or More Races:</t>
  </si>
  <si>
    <t>B02001_009</t>
  </si>
  <si>
    <t>Estimate!!Total:!!Two or More Races:!!Two races including Some Other Race</t>
  </si>
  <si>
    <t>B07004DPR_001</t>
  </si>
  <si>
    <t>B02001_010</t>
  </si>
  <si>
    <t>Estimate!!Total:!!Two or More Races:!!Two races excluding Some Other Race, and three or more races</t>
  </si>
  <si>
    <t>Geographical Mobility in the Past Year (Asian Alone) for Current Residence in Puerto Rico</t>
  </si>
  <si>
    <t>B07004DPR</t>
  </si>
  <si>
    <t>B07004E_001</t>
  </si>
  <si>
    <t>Geographical Mobility in the Past Year (Native Hawaiian and Other Pacific Islander Alone) for Current Residence in the United States</t>
  </si>
  <si>
    <t>B07004E</t>
  </si>
  <si>
    <t>B07004EPR_001</t>
  </si>
  <si>
    <t>Geographical Mobility in the Past Year (Native Hawaiian and Other Pacific Islander Alone) for Current Residence in Puerto Rico</t>
  </si>
  <si>
    <t>B07004EPR</t>
  </si>
  <si>
    <t>B02015_002</t>
  </si>
  <si>
    <t>Estimate!!Total:!!East Asian:!!Chinese, except Taiwanese</t>
  </si>
  <si>
    <t>B02015_003</t>
  </si>
  <si>
    <t>Estimate!!Total:!!East Asian:!!Hmong</t>
  </si>
  <si>
    <t>B02015_004</t>
  </si>
  <si>
    <t>Estimate!!Total:!!East Asian:!!Japanese</t>
  </si>
  <si>
    <t>B02015_005</t>
  </si>
  <si>
    <t>Estimate!!Total:!!East Asian:!!Korean</t>
  </si>
  <si>
    <t>B02015_006</t>
  </si>
  <si>
    <t>Estimate!!Total:!!East Asian:!!Mongolian</t>
  </si>
  <si>
    <t>B07004F_001</t>
  </si>
  <si>
    <t>B02015_007</t>
  </si>
  <si>
    <t>Geographical Mobility in the Past Year (Some Other Race Alone) for Current Residence in the United States</t>
  </si>
  <si>
    <t>Estimate!!Total:!!East Asian:!!Okinawan</t>
  </si>
  <si>
    <t>B07004F</t>
  </si>
  <si>
    <t>B02015_008</t>
  </si>
  <si>
    <t>Estimate!!Total:!!East Asian:!!Taiwanese</t>
  </si>
  <si>
    <t>B07004FPR_001</t>
  </si>
  <si>
    <t>Geographical Mobility in the Past Year (Some Other Race Alone) for Current Residence in Puerto Rico</t>
  </si>
  <si>
    <t>B02015_009</t>
  </si>
  <si>
    <t>B07004FPR</t>
  </si>
  <si>
    <t>Estimate!!Total:!!East Asian:!!Other East Asian</t>
  </si>
  <si>
    <t>B02015_010</t>
  </si>
  <si>
    <t>Estimate!!Total:!!Southeast Asian:!!Burmese</t>
  </si>
  <si>
    <t>B07004G_001</t>
  </si>
  <si>
    <t>B02015_011</t>
  </si>
  <si>
    <t>Geographical Mobility in the Past Year (Two or More Races) for Current Residence in the United States</t>
  </si>
  <si>
    <t>Estimate!!Total:!!Southeast Asian:!!Cambodian</t>
  </si>
  <si>
    <t>B07004G</t>
  </si>
  <si>
    <t>B02015_012</t>
  </si>
  <si>
    <t>Estimate!!Total:!!Southeast Asian:!!Filipino</t>
  </si>
  <si>
    <t>B07004GPR_001</t>
  </si>
  <si>
    <t>Geographical Mobility in the Past Year (Two or More Races) for Current Residence in Puerto Rico</t>
  </si>
  <si>
    <t>B07004GPR</t>
  </si>
  <si>
    <t>B07004H_001</t>
  </si>
  <si>
    <t>Geographical Mobility in the Past Year (White Alone, Not Hispanic or Latino) for Current Residence in the United States</t>
  </si>
  <si>
    <t>B07004H</t>
  </si>
  <si>
    <t>B07004HPR_001</t>
  </si>
  <si>
    <t>Geographical Mobility in the Past Year (White Alone, Not Hispanic or Latino) for Current Residence in Puerto Rico</t>
  </si>
  <si>
    <t>B07004HPR</t>
  </si>
  <si>
    <t>B07004I_001</t>
  </si>
  <si>
    <t>Geographical Mobility in the Past Year (Hispanic or Latino) for Current Residence in the United States</t>
  </si>
  <si>
    <t>B07004I</t>
  </si>
  <si>
    <t>B07004IPR_001</t>
  </si>
  <si>
    <t>Geographical Mobility in the Past Year (Hispanic or Latino) for Current Residence in Puerto Rico</t>
  </si>
  <si>
    <t>B07004IPR</t>
  </si>
  <si>
    <t>B07007_001</t>
  </si>
  <si>
    <t>Geographical Mobility in the Past Year by Citizenship Status for Current Residence in the United States</t>
  </si>
  <si>
    <t>B07007</t>
  </si>
  <si>
    <t>B07007PR_001</t>
  </si>
  <si>
    <t>Geographical Mobility in the Past Year by Citizenship Status for Current Residence in Puerto Rico</t>
  </si>
  <si>
    <t>B07007PR</t>
  </si>
  <si>
    <t>B07008_001</t>
  </si>
  <si>
    <t>Geographical Mobility in the Past Year by Marital Status for Current Residence in the United States</t>
  </si>
  <si>
    <t>B07008</t>
  </si>
  <si>
    <t>B07008PR_001</t>
  </si>
  <si>
    <t>Geographical Mobility in the Past Year by Marital Status for Current Residence in Puerto Rico</t>
  </si>
  <si>
    <t>B07008PR</t>
  </si>
  <si>
    <t>B02015_013</t>
  </si>
  <si>
    <t>Estimate!!Total:!!Southeast Asian:!!Indonesian</t>
  </si>
  <si>
    <t>B02015_014</t>
  </si>
  <si>
    <t>Estimate!!Total:!!Southeast Asian:!!Laotian</t>
  </si>
  <si>
    <t>B07009_001</t>
  </si>
  <si>
    <t>B02015_015</t>
  </si>
  <si>
    <t>Estimate!!Total:!!Southeast Asian:!!Malaysian</t>
  </si>
  <si>
    <t>Geographical Mobility in the Past Year by Educational Attainment for Current Residence in the United States</t>
  </si>
  <si>
    <t>B02015_016</t>
  </si>
  <si>
    <t>Estimate!!Total:!!Southeast Asian:!!Mien</t>
  </si>
  <si>
    <t>B02015_017</t>
  </si>
  <si>
    <t>Estimate!!Total:!!Southeast Asian:!!Singaporean</t>
  </si>
  <si>
    <t>B07009</t>
  </si>
  <si>
    <t>B02015_018</t>
  </si>
  <si>
    <t>Estimate!!Total:!!Southeast Asian:!!Thai</t>
  </si>
  <si>
    <t>immigration, economy, housing, education</t>
  </si>
  <si>
    <t>B02015_019</t>
  </si>
  <si>
    <t>Estimate!!Total:!!Southeast Asian:!!Vietnamese</t>
  </si>
  <si>
    <t>B07009PR_001</t>
  </si>
  <si>
    <t>B02015_020</t>
  </si>
  <si>
    <t>Geographical Mobility in the Past Year by Educational Attainment for Current Residence in Puerto Rico</t>
  </si>
  <si>
    <t>Estimate!!Total:!!Southeast Asian:!!Other Southeast Asian</t>
  </si>
  <si>
    <t>B07009PR</t>
  </si>
  <si>
    <t>B02015_021</t>
  </si>
  <si>
    <t>Estimate!!Total:!!South Asian:!!Asian Indian</t>
  </si>
  <si>
    <t>B02015_022</t>
  </si>
  <si>
    <t>Estimate!!Total:!!South Asian:!!Bangladeshi</t>
  </si>
  <si>
    <t>B07010_001</t>
  </si>
  <si>
    <t>B02015_023</t>
  </si>
  <si>
    <t>Geographical Mobility in the Past Year by Individual Income in the Past 12 Months (in 2024 Inflation-Adjusted Dollars) for Current Residence in the United States</t>
  </si>
  <si>
    <t>Estimate!!Total:!!South Asian:!!Bhutanese</t>
  </si>
  <si>
    <t>B07010</t>
  </si>
  <si>
    <t>B02015_024</t>
  </si>
  <si>
    <t>immigration, economy, housing, income</t>
  </si>
  <si>
    <t>Estimate!!Total:!!South Asian:!!Nepalese</t>
  </si>
  <si>
    <t>B02015_025</t>
  </si>
  <si>
    <t>Estimate!!Total:!!South Asian:!!Pakistani</t>
  </si>
  <si>
    <t>B07010PR_001</t>
  </si>
  <si>
    <t>B02015_026</t>
  </si>
  <si>
    <t>Estimate!!Total:!!South Asian:!!Sikh</t>
  </si>
  <si>
    <t>Geographical Mobility in the Past Year by Individual Income in the Past 12 Months (in 2024 Inflation-Adjusted Dollars) for Current Residence in Puerto Rico</t>
  </si>
  <si>
    <t>B07010PR</t>
  </si>
  <si>
    <t>B02015_027</t>
  </si>
  <si>
    <t>Estimate!!Total:!!South Asian:!!Sri Lankan</t>
  </si>
  <si>
    <t>B02015_028</t>
  </si>
  <si>
    <t>Estimate!!Total:!!South Asian:!!Other South Asian</t>
  </si>
  <si>
    <t>B07011_001</t>
  </si>
  <si>
    <t>B02015_029</t>
  </si>
  <si>
    <t>Median Income in the Past 12 Months (in 2024 Inflation-Adjusted Dollars) by Geographical Mobility in the Past Year for Current Residence in the United States</t>
  </si>
  <si>
    <t>Estimate!!Total:!!Central Asian:!!Afghan</t>
  </si>
  <si>
    <t>B07011</t>
  </si>
  <si>
    <t>B02015_030</t>
  </si>
  <si>
    <t>income, economy</t>
  </si>
  <si>
    <t>Estimate!!Total:!!Central Asian:!!Kazakh</t>
  </si>
  <si>
    <t>B02015_031</t>
  </si>
  <si>
    <t>Estimate!!Total:!!Central Asian:!!Uzbek</t>
  </si>
  <si>
    <t>B07011PR_001</t>
  </si>
  <si>
    <t>B02015_032</t>
  </si>
  <si>
    <t>Estimate!!Total:!!Central Asian:!!Other Central Asian</t>
  </si>
  <si>
    <t>Median Income in the Past 12 Months (in 2024 Inflation-Adjusted Dollars) by Geographical Mobility in the Past Year for Current Residence in Puerto Rico</t>
  </si>
  <si>
    <t>B07011PR</t>
  </si>
  <si>
    <t>B02015_033</t>
  </si>
  <si>
    <t>Estimate!!Total:!!Other Asian, specified</t>
  </si>
  <si>
    <t>B02015_034</t>
  </si>
  <si>
    <t>Estimate!!Total:!!Other Asian, not specified</t>
  </si>
  <si>
    <t>B07012_001</t>
  </si>
  <si>
    <t>Geographical Mobility in the Past Year by Poverty Status in the Past 12 Months for Current Residence in the United States</t>
  </si>
  <si>
    <t>B07012</t>
  </si>
  <si>
    <t>B07012PR_001</t>
  </si>
  <si>
    <t>Geographical Mobility in the Past Year by Poverty Status in the Past 12 Months for Current Residence in Puerto Rico</t>
  </si>
  <si>
    <t>B07012PR</t>
  </si>
  <si>
    <t>B07013_001</t>
  </si>
  <si>
    <t>B02015_035</t>
  </si>
  <si>
    <t>Geographical Mobility in the Past Year by Tenure for Current Residence in the United States</t>
  </si>
  <si>
    <t>Estimate!!Total:!!Two or more Asian</t>
  </si>
  <si>
    <t>B07013</t>
  </si>
  <si>
    <t>immigration, economy, housing</t>
  </si>
  <si>
    <t>B02016_002</t>
  </si>
  <si>
    <t>B07013PR_001</t>
  </si>
  <si>
    <t>Estimate!!Total:!!Polynesian:!!Native Hawaiian</t>
  </si>
  <si>
    <t>Geographical Mobility in the Past Year by Tenure for Current Residence in Puerto Rico</t>
  </si>
  <si>
    <t>B02016_003</t>
  </si>
  <si>
    <t>B07013PR</t>
  </si>
  <si>
    <t>Estimate!!Total:!!Polynesian:!!Samoan</t>
  </si>
  <si>
    <t>B02016_004</t>
  </si>
  <si>
    <t>Estimate!!Total:!!Polynesian:!!Tongan</t>
  </si>
  <si>
    <t>B02016_005</t>
  </si>
  <si>
    <t>B07101_001</t>
  </si>
  <si>
    <t>Estimate!!Total:!!Polynesian:!!Other Polynesian</t>
  </si>
  <si>
    <t>Movers Between Regions in the United States</t>
  </si>
  <si>
    <t>B02016_006</t>
  </si>
  <si>
    <t>B07101</t>
  </si>
  <si>
    <t>Estimate!!Total:!!Micronesian:!!Chamorro</t>
  </si>
  <si>
    <t>economy, immigration</t>
  </si>
  <si>
    <t>B02016_007</t>
  </si>
  <si>
    <t>Estimate!!Total:!!Micronesian:!!Chuukese</t>
  </si>
  <si>
    <t>B02016_008</t>
  </si>
  <si>
    <t>Estimate!!Total:!!Micronesian:!!Guamanian</t>
  </si>
  <si>
    <t>B07201_001</t>
  </si>
  <si>
    <t>B02016_009</t>
  </si>
  <si>
    <t>Estimate!!Total:!!Micronesian:!!Marshallese</t>
  </si>
  <si>
    <t>B07201</t>
  </si>
  <si>
    <t>B02016_010</t>
  </si>
  <si>
    <t>Estimate!!Total:!!Micronesian:!!Other Micronesian</t>
  </si>
  <si>
    <t>B02016_011</t>
  </si>
  <si>
    <t>Estimate!!Total:!!Melanesian:!!Fijian</t>
  </si>
  <si>
    <t>no</t>
  </si>
  <si>
    <t>B02016_012</t>
  </si>
  <si>
    <t>Estimate!!Total:!!Melanesian:!!Other Melanesian</t>
  </si>
  <si>
    <t>B07201PR_001</t>
  </si>
  <si>
    <t>B02016_013</t>
  </si>
  <si>
    <t>Geographical Mobility in the Past Year for Current Residence--Metropolitan Statistical Area Level in Puerto Rico</t>
  </si>
  <si>
    <t>Estimate!!Total:!!Other Native Hawaiian and Other Pacific Islander, not specified</t>
  </si>
  <si>
    <t>B07201PR</t>
  </si>
  <si>
    <t>B02016_014</t>
  </si>
  <si>
    <t>Estimate!!Total:!!Two or more Native Hawaiian and Other Pacific Islander</t>
  </si>
  <si>
    <t>B07202_001</t>
  </si>
  <si>
    <t>B02018_002</t>
  </si>
  <si>
    <t>Estimate!!Total Groups Tallied:!!East Asian:!!Chinese, except Taiwanese</t>
  </si>
  <si>
    <t>B07202</t>
  </si>
  <si>
    <t>B02018_003</t>
  </si>
  <si>
    <t>Estimate!!Total Groups Tallied:!!East Asian:!!Hmong</t>
  </si>
  <si>
    <t>B02018_004</t>
  </si>
  <si>
    <t>Estimate!!Total Groups Tallied:!!East Asian:!!Japanese</t>
  </si>
  <si>
    <t>B02018_005</t>
  </si>
  <si>
    <t>B07202PR_001</t>
  </si>
  <si>
    <t>Estimate!!Total Groups Tallied:!!East Asian:!!Korean</t>
  </si>
  <si>
    <t>Geographical Mobility in the Past Year for Current Residence--Micropolitan Statistical Area Level in Puerto Rico</t>
  </si>
  <si>
    <t>B02018_006</t>
  </si>
  <si>
    <t>B07202PR</t>
  </si>
  <si>
    <t>Estimate!!Total Groups Tallied:!!East Asian:!!Mongolian</t>
  </si>
  <si>
    <t>B02018_007</t>
  </si>
  <si>
    <t>Estimate!!Total Groups Tallied:!!East Asian:!!Okinawan</t>
  </si>
  <si>
    <t>B02018_008</t>
  </si>
  <si>
    <t>Estimate!!Total Groups Tallied:!!East Asian:!!Taiwanese</t>
  </si>
  <si>
    <t>B02018_009</t>
  </si>
  <si>
    <t>B07203_001</t>
  </si>
  <si>
    <t>Estimate!!Total Groups Tallied:!!East Asian:!!Other East Asian</t>
  </si>
  <si>
    <t>B02018_010</t>
  </si>
  <si>
    <t>B07203</t>
  </si>
  <si>
    <t>Estimate!!Total Groups Tallied:!!Southeast Asian:!!Burmese</t>
  </si>
  <si>
    <t>B02018_011</t>
  </si>
  <si>
    <t>Estimate!!Total Groups Tallied:!!Southeast Asian:!!Cambodian</t>
  </si>
  <si>
    <t>B02018_012</t>
  </si>
  <si>
    <t>Estimate!!Total Groups Tallied:!!Southeast Asian:!!Filipino</t>
  </si>
  <si>
    <t>B07203PR_001</t>
  </si>
  <si>
    <t>B02018_013</t>
  </si>
  <si>
    <t>Geographical Mobility in the Past Year for Current Residence--Not Metropolitan or Micropolitan Statistical Area Level in Puerto Rico</t>
  </si>
  <si>
    <t>Estimate!!Total Groups Tallied:!!Southeast Asian:!!Indonesian</t>
  </si>
  <si>
    <t>B07203PR</t>
  </si>
  <si>
    <t>B02018_014</t>
  </si>
  <si>
    <t>Estimate!!Total Groups Tallied:!!Southeast Asian:!!Laotian</t>
  </si>
  <si>
    <t>B02018_015</t>
  </si>
  <si>
    <t>Estimate!!Total Groups Tallied:!!Southeast Asian:!!Malaysian</t>
  </si>
  <si>
    <t>B07204_001</t>
  </si>
  <si>
    <t>B02018_016</t>
  </si>
  <si>
    <t>Estimate!!Total Groups Tallied:!!Southeast Asian:!!Mien</t>
  </si>
  <si>
    <t>B07204</t>
  </si>
  <si>
    <t>B02018_017</t>
  </si>
  <si>
    <t>Estimate!!Total Groups Tallied:!!Southeast Asian:!!Singaporean</t>
  </si>
  <si>
    <t>B02018_018</t>
  </si>
  <si>
    <t>B07204PR_001</t>
  </si>
  <si>
    <t>Estimate!!Total Groups Tallied:!!Southeast Asian:!!Thai</t>
  </si>
  <si>
    <t>Geographical Mobility in the Past Year for Current Residence--State, County and Place Level in Puerto Rico</t>
  </si>
  <si>
    <t>B02018_019</t>
  </si>
  <si>
    <t>B07204PR</t>
  </si>
  <si>
    <t>Estimate!!Total Groups Tallied:!!Southeast Asian:!!Vietnamese</t>
  </si>
  <si>
    <t>B02018_020</t>
  </si>
  <si>
    <t>Estimate!!Total Groups Tallied:!!Southeast Asian:!!Other Southeast Asian</t>
  </si>
  <si>
    <t>B02018_021</t>
  </si>
  <si>
    <t>Estimate!!Total Groups Tallied:!!South Asian:!!Asian Indian</t>
  </si>
  <si>
    <t>B07401_001</t>
  </si>
  <si>
    <t>Estimate!!Total living in area 1 year ago:</t>
  </si>
  <si>
    <t>Geographical Mobility in the Past Year by Age for Residence 1 Year Ago in the United States</t>
  </si>
  <si>
    <t>B02018_022</t>
  </si>
  <si>
    <t>B07401</t>
  </si>
  <si>
    <t>Estimate!!Total Groups Tallied:!!South Asian:!!Bangladeshi</t>
  </si>
  <si>
    <t>B02018_023</t>
  </si>
  <si>
    <t>Estimate!!Total Groups Tallied:!!South Asian:!!Bhutanese</t>
  </si>
  <si>
    <t>B07401PR_001</t>
  </si>
  <si>
    <t>B02018_024</t>
  </si>
  <si>
    <t>Estimate!!Total Groups Tallied:!!South Asian:!!Nepalese</t>
  </si>
  <si>
    <t>Geographical Mobility in the Past Year by Age for Residence 1 Year Ago in Puerto Rico</t>
  </si>
  <si>
    <t>B07401PR</t>
  </si>
  <si>
    <t>B02018_025</t>
  </si>
  <si>
    <t>Estimate!!Total Groups Tallied:!!South Asian:!!Pakistani</t>
  </si>
  <si>
    <t>B07402_001</t>
  </si>
  <si>
    <t>B02018_026</t>
  </si>
  <si>
    <t>Estimate!!Median age --!!Total living in area 1 year ago:</t>
  </si>
  <si>
    <t>Estimate!!Total Groups Tallied:!!South Asian:!!Sikh</t>
  </si>
  <si>
    <t>Median Age by Geographical Mobility in the Past Year for Residence 1 Year Ago in the United States</t>
  </si>
  <si>
    <t>B07402</t>
  </si>
  <si>
    <t>B02018_027</t>
  </si>
  <si>
    <t>Estimate!!Total Groups Tallied:!!South Asian:!!Sri Lankan</t>
  </si>
  <si>
    <t>B02018_028</t>
  </si>
  <si>
    <t>Estimate!!Total Groups Tallied:!!South Asian:!!Other South Asian</t>
  </si>
  <si>
    <t>B07402PR_001</t>
  </si>
  <si>
    <t>B02018_029</t>
  </si>
  <si>
    <t>Estimate!!Total Groups Tallied:!!Central Asian:!!Afghan</t>
  </si>
  <si>
    <t>Median Age by Geographical Mobility in the Past Year for Residence 1 Year Ago in Puerto Rico</t>
  </si>
  <si>
    <t>B07402PR</t>
  </si>
  <si>
    <t>B02018_030</t>
  </si>
  <si>
    <t>Estimate!!Total Groups Tallied:!!Central Asian:!!Kazakh</t>
  </si>
  <si>
    <t>B02018_031</t>
  </si>
  <si>
    <t>Estimate!!Total Groups Tallied:!!Central Asian:!!Uzbek</t>
  </si>
  <si>
    <t>B07403_001</t>
  </si>
  <si>
    <t>B02018_032</t>
  </si>
  <si>
    <t>Estimate!!Total Groups Tallied:!!Central Asian:!!Other Central Asian</t>
  </si>
  <si>
    <t>Geographical Mobility in the Past Year by Sex for Residence 1 Year Ago in the United States</t>
  </si>
  <si>
    <t>B07403</t>
  </si>
  <si>
    <t>B02018_033</t>
  </si>
  <si>
    <t>Estimate!!Total Groups Tallied:!!Other Asian, specified</t>
  </si>
  <si>
    <t>B02018_034</t>
  </si>
  <si>
    <t>Estimate!!Total Groups Tallied:!!Other Asian, not specified</t>
  </si>
  <si>
    <t>B07403PR_001</t>
  </si>
  <si>
    <t>Geographical Mobility in the Past Year by Sex for Residence 1 Year Ago in Puerto Rico</t>
  </si>
  <si>
    <t>B07403PR</t>
  </si>
  <si>
    <t>B02019_002</t>
  </si>
  <si>
    <t>Estimate!!Total Groups Tallied:!!Polynesian:!!Native Hawaiian</t>
  </si>
  <si>
    <t>B02019_003</t>
  </si>
  <si>
    <t>B07404A_001</t>
  </si>
  <si>
    <t>Estimate!!Total Groups Tallied:!!Polynesian:!!Samoan</t>
  </si>
  <si>
    <t>Geographical Mobility in the Past Year (White Alone) for Residence 1 Year Ago in the United States</t>
  </si>
  <si>
    <t>B02019_004</t>
  </si>
  <si>
    <t>B07404A</t>
  </si>
  <si>
    <t>Estimate!!Total Groups Tallied:!!Polynesian:!!Tongan</t>
  </si>
  <si>
    <t>B02019_005</t>
  </si>
  <si>
    <t>Estimate!!Total Groups Tallied:!!Polynesian:!!Other Polynesian</t>
  </si>
  <si>
    <t>B02019_006</t>
  </si>
  <si>
    <t>Estimate!!Total Groups Tallied:!!Micronesian:!!Chamorro</t>
  </si>
  <si>
    <t>B07404APR_001</t>
  </si>
  <si>
    <t>B02019_007</t>
  </si>
  <si>
    <t>Estimate!!Total Groups Tallied:!!Micronesian:!!Chuukese</t>
  </si>
  <si>
    <t>Geographical Mobility in the Past Year (White Alone) for Residence 1 Year Ago in Puerto Rico</t>
  </si>
  <si>
    <t>B07404APR</t>
  </si>
  <si>
    <t>B02019_008</t>
  </si>
  <si>
    <t>Estimate!!Total Groups Tallied:!!Micronesian:!!Guamanian</t>
  </si>
  <si>
    <t>B02019_009</t>
  </si>
  <si>
    <t>Estimate!!Total Groups Tallied:!!Micronesian:!!Marshallese</t>
  </si>
  <si>
    <t>B07404B_001</t>
  </si>
  <si>
    <t>B02019_010</t>
  </si>
  <si>
    <t>Estimate!!Total Groups Tallied:!!Micronesian:!!Other Micronesian</t>
  </si>
  <si>
    <t>Geographical Mobility in the Past Year (Black or African American Alone) for Residence 1 Year Ago in the United States</t>
  </si>
  <si>
    <t>B07404B</t>
  </si>
  <si>
    <t>B02019_011</t>
  </si>
  <si>
    <t>Estimate!!Total Groups Tallied:!!Melanesian:!!Fijian</t>
  </si>
  <si>
    <t>B02019_012</t>
  </si>
  <si>
    <t>Estimate!!Total Groups Tallied:!!Melanesian:!!Other Melanesian</t>
  </si>
  <si>
    <t>B07404BPR_001</t>
  </si>
  <si>
    <t>B02019_013</t>
  </si>
  <si>
    <t>Estimate!!Total Groups Tallied:!!Other Native Hawaiian and Other Pacific Islander, not specified</t>
  </si>
  <si>
    <t>Geographical Mobility in the Past Year (Black or African American Alone) for Residence 1 Year Ago in Puerto Rico</t>
  </si>
  <si>
    <t>B07404BPR</t>
  </si>
  <si>
    <t>B02020_002</t>
  </si>
  <si>
    <t>Estimate!!Total:!!American Indian tribes, specified:</t>
  </si>
  <si>
    <t>B02020_003</t>
  </si>
  <si>
    <t>B07404C_001</t>
  </si>
  <si>
    <t>Estimate!!Total:!!American Indian tribes, specified:!!Blackfeet Tribe of the Blackfeet Indian Reservation of Montana</t>
  </si>
  <si>
    <t>Geographical Mobility in the Past Year (American Indian and Alaska Native Alone) for Residence 1 Year Ago in the United States</t>
  </si>
  <si>
    <t>B02020_004</t>
  </si>
  <si>
    <t>B07404C</t>
  </si>
  <si>
    <t>Estimate!!Total:!!American Indian tribes, specified:!!Cherokee Nation</t>
  </si>
  <si>
    <t>B02020_005</t>
  </si>
  <si>
    <t>Estimate!!Total:!!American Indian tribes, specified:!!Cheyenne River Sioux Tribe of the Cheyenne River Reservation, South Dakota</t>
  </si>
  <si>
    <t>B02020_006</t>
  </si>
  <si>
    <t>B07404CPR_001</t>
  </si>
  <si>
    <t>Estimate!!Total:!!American Indian tribes, specified:!!Comanche Nation, Oklahoma</t>
  </si>
  <si>
    <t>Geographical Mobility in the Past Year (American Indian and Alaska Native Alone) for Residence 1 Year Ago in Puerto Rico</t>
  </si>
  <si>
    <t>B02020_007</t>
  </si>
  <si>
    <t>B07404CPR</t>
  </si>
  <si>
    <t>Estimate!!Total:!!American Indian tribes, specified:!!Crow Tribe of Montana</t>
  </si>
  <si>
    <t>B02020_008</t>
  </si>
  <si>
    <t>Estimate!!Total:!!American Indian tribes, specified:!!Gila River Indian Community of the Gila River Indian Reservation</t>
  </si>
  <si>
    <t>B02020_009</t>
  </si>
  <si>
    <t>B07404D_001</t>
  </si>
  <si>
    <t>Estimate!!Total:!!American Indian tribes, specified:!!Hopi Tribe of Arizona</t>
  </si>
  <si>
    <t>Geographical Mobility in the Past Year (Asian Alone) for Residence 1 Year Ago in the United States</t>
  </si>
  <si>
    <t>B07404D</t>
  </si>
  <si>
    <t>B02020_010</t>
  </si>
  <si>
    <t>Estimate!!Total:!!American Indian tribes, specified:!!Lumbee Tribe of North Carolina</t>
  </si>
  <si>
    <t>B02020_011</t>
  </si>
  <si>
    <t>Estimate!!Total:!!American Indian tribes, specified:!!Navajo Nation</t>
  </si>
  <si>
    <t>B07404DPR_001</t>
  </si>
  <si>
    <t>Geographical Mobility in the Past Year (Asian Alone) for Residence 1 Year Ago in Puerto Rico</t>
  </si>
  <si>
    <t>B02020_012</t>
  </si>
  <si>
    <t>B07404DPR</t>
  </si>
  <si>
    <t>Estimate!!Total:!!American Indian tribes, specified:!!Oglala Sioux Tribe</t>
  </si>
  <si>
    <t>B02020_013</t>
  </si>
  <si>
    <t>Estimate!!Total:!!American Indian tribes, specified:!!Pascua Yaqui Tribe of Arizona</t>
  </si>
  <si>
    <t>B07404E_001</t>
  </si>
  <si>
    <t>Geographical Mobility in the Past Year (Native Hawaiian and Other Pacific Islander Alone) for Residence 1 Year Ago in the United States</t>
  </si>
  <si>
    <t>B02020_014</t>
  </si>
  <si>
    <t>B07404E</t>
  </si>
  <si>
    <t>Estimate!!Total:!!American Indian tribes, specified:!!Rosebud Sioux Tribe of the Rosebud Indian Reservation, South Dakota</t>
  </si>
  <si>
    <t>B02020_015</t>
  </si>
  <si>
    <t>Estimate!!Total:!!American Indian tribes, specified:!!The Chickasaw Nation</t>
  </si>
  <si>
    <t>B07404EPR_001</t>
  </si>
  <si>
    <t>Geographical Mobility in the Past Year (Native Hawaiian and Other Pacific Islander Alone) for Residence 1 Year Ago in Puerto Rico</t>
  </si>
  <si>
    <t>B02020_016</t>
  </si>
  <si>
    <t>B07404EPR</t>
  </si>
  <si>
    <t>Estimate!!Total:!!American Indian tribes, specified:!!The Choctaw Nation of Oklahoma</t>
  </si>
  <si>
    <t>B02020_017</t>
  </si>
  <si>
    <t>B07404F_001</t>
  </si>
  <si>
    <t>Geographical Mobility in the Past Year (Some Other Race Alone) for Residence 1 Year Ago in the United States</t>
  </si>
  <si>
    <t>B07404F</t>
  </si>
  <si>
    <t>Estimate!!Total:!!American Indian tribes, specified:!!The Muscogee (Creek) Nation</t>
  </si>
  <si>
    <t>B07404FPR_001</t>
  </si>
  <si>
    <t>B02020_018</t>
  </si>
  <si>
    <t>Geographical Mobility in the Past Year (Some Other Race Alone) for Residence 1 Year Ago in Puerto Rico</t>
  </si>
  <si>
    <t>Estimate!!Total:!!American Indian tribes, specified:!!Tohono O'odham Nation of Arizona</t>
  </si>
  <si>
    <t>B07404FPR</t>
  </si>
  <si>
    <t>B02020_019</t>
  </si>
  <si>
    <t>Estimate!!Total:!!American Indian tribes, specified:!!Turtle Mountain Band of Chippewa Indians of North Dakota</t>
  </si>
  <si>
    <t>B07404G_001</t>
  </si>
  <si>
    <t>B02020_020</t>
  </si>
  <si>
    <t>Geographical Mobility in the Past Year (Two or More Races) for Residence 1 Year Ago in the United States</t>
  </si>
  <si>
    <t>Estimate!!Total:!!American Indian tribes, specified:!!White Mountain Apache Tribe of the Fort Apache Reservation, Arizona</t>
  </si>
  <si>
    <t>B07404G</t>
  </si>
  <si>
    <t>B02020_021</t>
  </si>
  <si>
    <t>Estimate!!Total:!!American Indian tribes, specified:!!All other American Indian tribes (with only one tribe reported)</t>
  </si>
  <si>
    <t>B07404GPR_001</t>
  </si>
  <si>
    <t>B02020_022</t>
  </si>
  <si>
    <t>Geographical Mobility in the Past Year (Two or More Races) for Residence 1 Year Ago in Puerto Rico</t>
  </si>
  <si>
    <t>Estimate!!Total:!!American Indian, not specified</t>
  </si>
  <si>
    <t>B07404GPR</t>
  </si>
  <si>
    <t>B02020_023</t>
  </si>
  <si>
    <t>Estimate!!Total:!!Latin American Indian:</t>
  </si>
  <si>
    <t>B07404H_001</t>
  </si>
  <si>
    <t>Geographical Mobility in the Past Year (White Alone, Not Hispanic or Latino) for Residence 1 Year Ago in the United States</t>
  </si>
  <si>
    <t>B02020_024</t>
  </si>
  <si>
    <t>B07404H</t>
  </si>
  <si>
    <t>Estimate!!Total:!!Latin American Indian:!!Aztec</t>
  </si>
  <si>
    <t>B02020_025</t>
  </si>
  <si>
    <t>Estimate!!Total:!!Latin American Indian:!!Inca</t>
  </si>
  <si>
    <t>B07404HPR_001</t>
  </si>
  <si>
    <t>B02020_026</t>
  </si>
  <si>
    <t>Geographical Mobility in the Past Year (White Alone, Not Hispanic or Latino) for Residence 1 Year Ago in Puerto Rico</t>
  </si>
  <si>
    <t>Estimate!!Total:!!Latin American Indian:!!Maya</t>
  </si>
  <si>
    <t>B07404HPR</t>
  </si>
  <si>
    <t>B02020_027</t>
  </si>
  <si>
    <t>Estimate!!Total:!!Latin American Indian:!!Mixtec</t>
  </si>
  <si>
    <t>B02020_028</t>
  </si>
  <si>
    <t>Estimate!!Total:!!Latin American Indian:!!Taino</t>
  </si>
  <si>
    <t>B07404I_001</t>
  </si>
  <si>
    <t>B02020_029</t>
  </si>
  <si>
    <t>Geographical Mobility in the Past Year (Hispanic or Latino) for Residence 1 Year Ago in the United States</t>
  </si>
  <si>
    <t>Estimate!!Total:!!Latin American Indian:!!Tarasco (Purepecha)</t>
  </si>
  <si>
    <t>B07404I</t>
  </si>
  <si>
    <t>B02020_030</t>
  </si>
  <si>
    <t>Estimate!!Total:!!Latin American Indian:!!All other Latin American Indian (with only one group reported)</t>
  </si>
  <si>
    <t>B02020_031</t>
  </si>
  <si>
    <t>Estimate!!Total:!!Alaska Native tribes and villages, specified:</t>
  </si>
  <si>
    <t>B02020_032</t>
  </si>
  <si>
    <t>Estimate!!Total:!!Alaska Native tribes and villages, specified:!!Central Council of the Tlingit and Haida Indian Tribes</t>
  </si>
  <si>
    <t>B02020_033</t>
  </si>
  <si>
    <t>Estimate!!Total:!!Alaska Native tribes and villages, specified:!!Metlakatla Indian Community, Annette Island Reserve</t>
  </si>
  <si>
    <t>B02020_034</t>
  </si>
  <si>
    <t>Estimate!!Total:!!Alaska Native tribes and villages, specified:!!Native Village of Barrow Inupiat Traditional Government</t>
  </si>
  <si>
    <t>B02020_035</t>
  </si>
  <si>
    <t>Estimate!!Total:!!Alaska Native tribes and villages, specified:!!Native Village of Hooper Bay (Naparyarmiut)</t>
  </si>
  <si>
    <t>B02020_036</t>
  </si>
  <si>
    <t>Estimate!!Total:!!Alaska Native tribes and villages, specified:!!Native Village of Kotzebue</t>
  </si>
  <si>
    <t>B07404IPR_001</t>
  </si>
  <si>
    <t>B02020_037</t>
  </si>
  <si>
    <t>Estimate!!Total:!!Alaska Native tribes and villages, specified:!!Nome Eskimo Community</t>
  </si>
  <si>
    <t>Geographical Mobility in the Past Year (Hispanic or Latino) for Residence 1 Year Ago in Puerto Rico</t>
  </si>
  <si>
    <t>B07404IPR</t>
  </si>
  <si>
    <t>B02020_038</t>
  </si>
  <si>
    <t>Estimate!!Total:!!Alaska Native tribes and villages, specified:!!All other Alaska Native tribes and villages (with only one tribe or village reported)</t>
  </si>
  <si>
    <t>B02020_039</t>
  </si>
  <si>
    <t>Estimate!!Total:!!Alaska Native, not specified</t>
  </si>
  <si>
    <t>B02020_040</t>
  </si>
  <si>
    <t>Estimate!!Total:!!American Indian and Alaska Native, not specified</t>
  </si>
  <si>
    <t>B07407_001</t>
  </si>
  <si>
    <t>B02020_041</t>
  </si>
  <si>
    <t>Estimate!!Total:!!Two or more American Indian and Alaska Native tribes and villages</t>
  </si>
  <si>
    <t>Geographical Mobility in the Past Year by Citizenship Status for Residence 1 Year Ago in the United States</t>
  </si>
  <si>
    <t>B07407</t>
  </si>
  <si>
    <t>B02021_002</t>
  </si>
  <si>
    <t>Estimate!!Total Groups Tallied:!!American Indian tribes, specified:</t>
  </si>
  <si>
    <t>B07407PR_001</t>
  </si>
  <si>
    <t>B02021_003</t>
  </si>
  <si>
    <t>Estimate!!Total Groups Tallied:!!American Indian tribes, specified:!!Blackfeet Tribe of the Blackfeet Indian Reservation of Montana</t>
  </si>
  <si>
    <t>Geographical Mobility in the Past Year by Citizenship Status for Residence 1 Year Ago in Puerto Rico</t>
  </si>
  <si>
    <t>B07407PR</t>
  </si>
  <si>
    <t>B02021_004</t>
  </si>
  <si>
    <t>Estimate!!Total Groups Tallied:!!American Indian tribes, specified:!!Cherokee Nation</t>
  </si>
  <si>
    <t>B02021_005</t>
  </si>
  <si>
    <t>Estimate!!Total Groups Tallied:!!American Indian tribes, specified:!!Cheyenne River Sioux Tribe of the Cheyenne River Reservation, South Dakota</t>
  </si>
  <si>
    <t>B07408_001</t>
  </si>
  <si>
    <t>B02021_006</t>
  </si>
  <si>
    <t>Geographical Mobility in the Past Year by Marital Status for Residence 1 Year Ago in the United States</t>
  </si>
  <si>
    <t>Estimate!!Total Groups Tallied:!!American Indian tribes, specified:!!Comanche Nation, Oklahoma</t>
  </si>
  <si>
    <t>B07408</t>
  </si>
  <si>
    <t>B02021_007</t>
  </si>
  <si>
    <t>Estimate!!Total Groups Tallied:!!American Indian tribes, specified:!!Crow Tribe of Montana</t>
  </si>
  <si>
    <t>B02021_008</t>
  </si>
  <si>
    <t>B07408PR_001</t>
  </si>
  <si>
    <t>Estimate!!Total Groups Tallied:!!American Indian tribes, specified:!!Gila River Indian Community of the Gila River Indian Reservation</t>
  </si>
  <si>
    <t>Geographical Mobility in the Past Year by Marital Status for Residence 1 Year Ago in Puerto Rico</t>
  </si>
  <si>
    <t>B07408PR</t>
  </si>
  <si>
    <t>B02021_009</t>
  </si>
  <si>
    <t>Estimate!!Total Groups Tallied:!!American Indian tribes, specified:!!Hopi Tribe of Arizona</t>
  </si>
  <si>
    <t>B02021_010</t>
  </si>
  <si>
    <t>Estimate!!Total Groups Tallied:!!American Indian tribes, specified:!!Lumbee Tribe of North Carolina</t>
  </si>
  <si>
    <t>B07409_001</t>
  </si>
  <si>
    <t>B02021_011</t>
  </si>
  <si>
    <t>Estimate!!Total Groups Tallied:!!American Indian tribes, specified:!!Navajo Nation</t>
  </si>
  <si>
    <t>Geographical Mobility in the Past Year by Educational Attainment for Residence 1 Year Ago in the United States</t>
  </si>
  <si>
    <t>B07409</t>
  </si>
  <si>
    <t>B02021_012</t>
  </si>
  <si>
    <t>Estimate!!Total Groups Tallied:!!American Indian tribes, specified:!!Oglala Sioux Tribe</t>
  </si>
  <si>
    <t>B02021_013</t>
  </si>
  <si>
    <t>Estimate!!Total Groups Tallied:!!American Indian tribes, specified:!!Pascua Yaqui Tribe of Arizona</t>
  </si>
  <si>
    <t>B07409PR_001</t>
  </si>
  <si>
    <t>B02021_014</t>
  </si>
  <si>
    <t>Estimate!!Total Groups Tallied:!!American Indian tribes, specified:!!Rosebud Sioux Tribe of the Rosebud Indian Reservation, South Dakota</t>
  </si>
  <si>
    <t>Geographical Mobility in the Past Year by Educational Attainment for Residence 1 Year Ago in Puerto Rico</t>
  </si>
  <si>
    <t>B07409PR</t>
  </si>
  <si>
    <t>B02021_015</t>
  </si>
  <si>
    <t>Estimate!!Total Groups Tallied:!!American Indian tribes, specified:!!The Chickasaw Nation</t>
  </si>
  <si>
    <t>B02021_016</t>
  </si>
  <si>
    <t>Estimate!!Total Groups Tallied:!!American Indian tribes, specified:!!The Choctaw Nation of Oklahoma</t>
  </si>
  <si>
    <t>B07410_001</t>
  </si>
  <si>
    <t>B02021_017</t>
  </si>
  <si>
    <t>Estimate!!Total Groups Tallied:!!American Indian tribes, specified:!!The Muscogee (Creek) Nation</t>
  </si>
  <si>
    <t>Geographical Mobility in the Past Year by Individual Income in the Past 12 Months (in 2024 Inflation-Adjusted Dollars) for Residence 1 Year Ago in the United States</t>
  </si>
  <si>
    <t>B07410</t>
  </si>
  <si>
    <t>B02021_018</t>
  </si>
  <si>
    <t>Estimate!!Total Groups Tallied:!!American Indian tribes, specified:!!Tohono O'odham Nation of Arizona</t>
  </si>
  <si>
    <t>B02021_019</t>
  </si>
  <si>
    <t>Estimate!!Total Groups Tallied:!!American Indian tribes, specified:!!Turtle Mountain Band of Chippewa Indians of North Dakota</t>
  </si>
  <si>
    <t>B02021_020</t>
  </si>
  <si>
    <t>Estimate!!Total Groups Tallied:!!American Indian tribes, specified:!!White Mountain Apache Tribe of the Fort Apache Reservation, Arizona</t>
  </si>
  <si>
    <t>B02021_021</t>
  </si>
  <si>
    <t>B07410PR_001</t>
  </si>
  <si>
    <t>Estimate!!Total Groups Tallied:!!American Indian tribes, specified:!!All other American Indian tribes (with only one tribe reported)</t>
  </si>
  <si>
    <t>B02021_022</t>
  </si>
  <si>
    <t>Geographical Mobility in the Past Year by Individual Income in the Past 12 Months (in 2024 Inflation-Adjusted Dollars) for Residence 1 Year Ago in Puerto Rico</t>
  </si>
  <si>
    <t>Estimate!!Total Groups Tallied:!!American Indian, not specified</t>
  </si>
  <si>
    <t>B07410PR</t>
  </si>
  <si>
    <t>B02021_023</t>
  </si>
  <si>
    <t>Estimate!!Total Groups Tallied:!!Latin American Indian:</t>
  </si>
  <si>
    <t>B02021_024</t>
  </si>
  <si>
    <t>B07411_001</t>
  </si>
  <si>
    <t>Estimate!!Total Groups Tallied:!!Latin American Indian:!!Aztec</t>
  </si>
  <si>
    <t>Estimate!!Median income in the past 12 months --!!Total living in area 1 year ago:</t>
  </si>
  <si>
    <t>B02021_025</t>
  </si>
  <si>
    <t>Estimate!!Total Groups Tallied:!!Latin American Indian:!!Inca</t>
  </si>
  <si>
    <t>Median Income in the Past 12 Months (in 2024 Inflation-Adjusted Dollars) by Geographical Mobility in the Past Year for Residence 1 Year Ago in the United States</t>
  </si>
  <si>
    <t>B07411</t>
  </si>
  <si>
    <t>B02021_026</t>
  </si>
  <si>
    <t>Estimate!!Total Groups Tallied:!!Latin American Indian:!!Maya</t>
  </si>
  <si>
    <t>B02021_027</t>
  </si>
  <si>
    <t>B07411PR_001</t>
  </si>
  <si>
    <t>Estimate!!Total Groups Tallied:!!Latin American Indian:!!Mixtec</t>
  </si>
  <si>
    <t>Median Income in the Past 12 Months (in 2024 Inflation-Adjusted Dollars) by Geographical Mobility in the Past Year for Residence 1 Year Ago in Puerto Rico</t>
  </si>
  <si>
    <t>B07411PR</t>
  </si>
  <si>
    <t>B02021_028</t>
  </si>
  <si>
    <t>Estimate!!Total Groups Tallied:!!Latin American Indian:!!Taino</t>
  </si>
  <si>
    <t>B07412_001</t>
  </si>
  <si>
    <t>B02021_029</t>
  </si>
  <si>
    <t>Estimate!!Total Groups Tallied:!!Latin American Indian:!!Tarasco (Purepecha)</t>
  </si>
  <si>
    <t>Geographical Mobility in the Past Year by Poverty Status in the Past 12 Months for Residence 1 Year Ago in the United States</t>
  </si>
  <si>
    <t>B07412</t>
  </si>
  <si>
    <t>B02021_030</t>
  </si>
  <si>
    <t>Estimate!!Total Groups Tallied:!!Latin American Indian:!!All other Latin American Indian (with only one group reported)</t>
  </si>
  <si>
    <t>B07412PR_001</t>
  </si>
  <si>
    <t>B02021_031</t>
  </si>
  <si>
    <t>Estimate!!Total Groups Tallied:!!Alaska Native tribes and villages, specified:</t>
  </si>
  <si>
    <t>Geographical Mobility in the Past Year by Poverty Status in the Past 12 Months for Residence 1 Year Ago in Puerto Rico</t>
  </si>
  <si>
    <t>B07412PR</t>
  </si>
  <si>
    <t>B02021_032</t>
  </si>
  <si>
    <t>Estimate!!Total Groups Tallied:!!Alaska Native tribes and villages, specified:!!Central Council of the Tlingit and Haida Indian Tribes</t>
  </si>
  <si>
    <t>B07413_001</t>
  </si>
  <si>
    <t>B02021_033</t>
  </si>
  <si>
    <t>Estimate!!Total Groups Tallied:!!Alaska Native tribes and villages, specified:!!Metlakatla Indian Community, Annette Island Reserve</t>
  </si>
  <si>
    <t>Geographical Mobility in the Past Year by Tenure for Residence 1 Year Ago in the United States</t>
  </si>
  <si>
    <t>B07413</t>
  </si>
  <si>
    <t>B02021_034</t>
  </si>
  <si>
    <t>B07413PR_001</t>
  </si>
  <si>
    <t>Estimate!!Total Groups Tallied:!!Alaska Native tribes and villages, specified:!!Native Village of Barrow Inupiat Traditional Government</t>
  </si>
  <si>
    <t>Geographical Mobility in the Past Year by Tenure for Residence 1 Year Ago in Puerto Rico</t>
  </si>
  <si>
    <t>B07413PR</t>
  </si>
  <si>
    <t>B02021_035</t>
  </si>
  <si>
    <t>Estimate!!Total Groups Tallied:!!Alaska Native tribes and villages, specified:!!Native Village of Hooper Bay (Naparyarmiut)</t>
  </si>
  <si>
    <t>B02021_036</t>
  </si>
  <si>
    <t>B08006_001</t>
  </si>
  <si>
    <t>Estimate!!Total Groups Tallied:!!Alaska Native tribes and villages, specified:!!Native Village of Kotzebue</t>
  </si>
  <si>
    <t>Sex of Workers by Means of Transportation to Work</t>
  </si>
  <si>
    <t>B08006</t>
  </si>
  <si>
    <t>B02021_037</t>
  </si>
  <si>
    <t>Estimate!!Total Groups Tallied:!!Alaska Native tribes and villages, specified:!!Nome Eskimo Community</t>
  </si>
  <si>
    <t>B02021_038</t>
  </si>
  <si>
    <t>B08007_001</t>
  </si>
  <si>
    <t>Estimate!!Total Groups Tallied:!!Alaska Native tribes and villages, specified:!!All other Alaska Native tribes and villages (with only one tribe or village reported)</t>
  </si>
  <si>
    <t>Sex of Workers by Place of Work--State and County Level</t>
  </si>
  <si>
    <t>B08007</t>
  </si>
  <si>
    <t>B02021_039</t>
  </si>
  <si>
    <t>Estimate!!Total Groups Tallied:!!Alaska Native, not specified</t>
  </si>
  <si>
    <t>B02021_040</t>
  </si>
  <si>
    <t>Estimate!!Total Groups Tallied:!!American Indian and Alaska Native, not specified</t>
  </si>
  <si>
    <t>B02022_002</t>
  </si>
  <si>
    <t>Estimate!!Total:!!European:!!Albanian</t>
  </si>
  <si>
    <t>B02022_003</t>
  </si>
  <si>
    <t>Estimate!!Total:!!European:!!Armenian</t>
  </si>
  <si>
    <t>B02022_004</t>
  </si>
  <si>
    <t>Estimate!!Total:!!European:!!Austrian</t>
  </si>
  <si>
    <t>B02022_005</t>
  </si>
  <si>
    <t>Estimate!!Total:!!European:!!Belgian</t>
  </si>
  <si>
    <t>B02022_006</t>
  </si>
  <si>
    <t>Estimate!!Total:!!European:!!Bosnian and Herzegovinian</t>
  </si>
  <si>
    <t>B02022_007</t>
  </si>
  <si>
    <t>Estimate!!Total:!!European:!!British</t>
  </si>
  <si>
    <t>B02022_008</t>
  </si>
  <si>
    <t>Estimate!!Total:!!European:!!Croatian</t>
  </si>
  <si>
    <t>B02022_009</t>
  </si>
  <si>
    <t>Estimate!!Total:!!European:!!Czech</t>
  </si>
  <si>
    <t>B02022_010</t>
  </si>
  <si>
    <t>Estimate!!Total:!!European:!!Danish</t>
  </si>
  <si>
    <t>B02022_011</t>
  </si>
  <si>
    <t>Estimate!!Total:!!European:!!Dutch</t>
  </si>
  <si>
    <t>B02022_012</t>
  </si>
  <si>
    <t>Estimate!!Total:!!European:!!English</t>
  </si>
  <si>
    <t>B02022_013</t>
  </si>
  <si>
    <t>Estimate!!Total:!!European:!!Finnish</t>
  </si>
  <si>
    <t>B02022_014</t>
  </si>
  <si>
    <t>Estimate!!Total:!!European:!!French</t>
  </si>
  <si>
    <t>B02022_015</t>
  </si>
  <si>
    <t>Estimate!!Total:!!European:!!German</t>
  </si>
  <si>
    <t>B02022_016</t>
  </si>
  <si>
    <t>Estimate!!Total:!!European:!!Greek</t>
  </si>
  <si>
    <t>B02022_017</t>
  </si>
  <si>
    <t>Estimate!!Total:!!European:!!Hungarian</t>
  </si>
  <si>
    <t>B02022_018</t>
  </si>
  <si>
    <t>Estimate!!Total:!!European:!!Irish</t>
  </si>
  <si>
    <t>B02022_019</t>
  </si>
  <si>
    <t>Estimate!!Total:!!European:!!Italian</t>
  </si>
  <si>
    <t>B02022_020</t>
  </si>
  <si>
    <t>Estimate!!Total:!!European:!!Lithuanian</t>
  </si>
  <si>
    <t>B08008_001</t>
  </si>
  <si>
    <t>B02022_021</t>
  </si>
  <si>
    <t>Estimate!!Total:!!European:!!Norwegian</t>
  </si>
  <si>
    <t>Sex of Workers by Place of Work--Place Level</t>
  </si>
  <si>
    <t>B02022_022</t>
  </si>
  <si>
    <t>Estimate!!Total:!!European:!!Polish</t>
  </si>
  <si>
    <t>B08008</t>
  </si>
  <si>
    <t>B02022_023</t>
  </si>
  <si>
    <t>Estimate!!Total:!!European:!!Portuguese</t>
  </si>
  <si>
    <t>B02022_024</t>
  </si>
  <si>
    <t>Estimate!!Total:!!European:!!Romanian</t>
  </si>
  <si>
    <t>B08009_001</t>
  </si>
  <si>
    <t>B02022_025</t>
  </si>
  <si>
    <t>Estimate!!Total:!!European:!!Russian</t>
  </si>
  <si>
    <t>Sex of Workers by Place of Work--Minor Civil Division Level for 12 Selected States (CT, ME, MA, MI, MN, NH, NJ, NY, PA, RI, VT, WI)</t>
  </si>
  <si>
    <t>B02022_026</t>
  </si>
  <si>
    <t>B08009</t>
  </si>
  <si>
    <t>Estimate!!Total:!!European:!!Scandinavian</t>
  </si>
  <si>
    <t>B02022_027</t>
  </si>
  <si>
    <t>Estimate!!Total:!!European:!!Scots-Irish</t>
  </si>
  <si>
    <t>B02022_028</t>
  </si>
  <si>
    <t>Estimate!!Total:!!European:!!Scottish</t>
  </si>
  <si>
    <t>B08011_001</t>
  </si>
  <si>
    <t>B02022_029</t>
  </si>
  <si>
    <t>Sex of Workers by Time of Departure to Go to Work</t>
  </si>
  <si>
    <t>Estimate!!Total:!!European:!!Serbian</t>
  </si>
  <si>
    <t>B08011</t>
  </si>
  <si>
    <t>B02022_030</t>
  </si>
  <si>
    <t>Estimate!!Total:!!European:!!Slovak</t>
  </si>
  <si>
    <t>B02022_031</t>
  </si>
  <si>
    <t>Estimate!!Total:!!European:!!Swedish</t>
  </si>
  <si>
    <t>B08012_001</t>
  </si>
  <si>
    <t>B02022_032</t>
  </si>
  <si>
    <t>Estimate!!Total:!!European:!!Swiss</t>
  </si>
  <si>
    <t>Sex of Workers by Travel Time to Work</t>
  </si>
  <si>
    <t>B08012</t>
  </si>
  <si>
    <t>B02022_033</t>
  </si>
  <si>
    <t>Estimate!!Total:!!European:!!Turkish</t>
  </si>
  <si>
    <t>B02022_034</t>
  </si>
  <si>
    <t>Estimate!!Total:!!European:!!Ukrainian</t>
  </si>
  <si>
    <t>B02022_035</t>
  </si>
  <si>
    <t>B08013_001</t>
  </si>
  <si>
    <t>Estimate!!Aggregate travel time to work (in minutes):</t>
  </si>
  <si>
    <t>Estimate!!Total:!!European:!!Welsh</t>
  </si>
  <si>
    <t>Aggregate Travel Time to Work (in Minutes) of Workers by Sex</t>
  </si>
  <si>
    <t>B08013</t>
  </si>
  <si>
    <t>B02022_036</t>
  </si>
  <si>
    <t>Estimate!!Total:!!European:!!Other European</t>
  </si>
  <si>
    <t>economy, demographic</t>
  </si>
  <si>
    <t>B02022_037</t>
  </si>
  <si>
    <t>Estimate!!Total:!!Middle Eastern or North African:!!Arab</t>
  </si>
  <si>
    <t>B02022_038</t>
  </si>
  <si>
    <t>B08014_001</t>
  </si>
  <si>
    <t>Estimate!!Total:!!Middle Eastern or North African:!!Assyrian</t>
  </si>
  <si>
    <t>Sex of Workers by Vehicles Available</t>
  </si>
  <si>
    <t>B08014</t>
  </si>
  <si>
    <t>demographic, tech</t>
  </si>
  <si>
    <t>B02022_039</t>
  </si>
  <si>
    <t>B08015_001</t>
  </si>
  <si>
    <t>Estimate!!Aggregate number of vehicles (car, truck, or van) used in commuting:</t>
  </si>
  <si>
    <t>Aggregate Number of Vehicles (Car, Truck, or Van) Used in Commuting by Workers 16 Years and Over by Sex</t>
  </si>
  <si>
    <t>B08015</t>
  </si>
  <si>
    <t>Estimate!!Total:!!Middle Eastern or North African:!!Chaldean</t>
  </si>
  <si>
    <t>tech, economy, demographic</t>
  </si>
  <si>
    <t>B02022_040</t>
  </si>
  <si>
    <t>Estimate!!Total:!!Middle Eastern or North African:!!Egyptian</t>
  </si>
  <si>
    <t>B02022_041</t>
  </si>
  <si>
    <t>B08016_001</t>
  </si>
  <si>
    <t>Estimate!!Total:!!Middle Eastern or North African:!!Iranian</t>
  </si>
  <si>
    <t>Place of Work for Workers 16 Years and Over--Metropolitan Statistical Area Level</t>
  </si>
  <si>
    <t>B02022_042</t>
  </si>
  <si>
    <t>B08016</t>
  </si>
  <si>
    <t>Estimate!!Total:!!Middle Eastern or North African:!!Iraqi</t>
  </si>
  <si>
    <t>B02022_043</t>
  </si>
  <si>
    <t>demographic, economy</t>
  </si>
  <si>
    <t>Estimate!!Total:!!Middle Eastern or North African:!!Israeli</t>
  </si>
  <si>
    <t>B02022_044</t>
  </si>
  <si>
    <t>Estimate!!Total:!!Middle Eastern or North African:!!Jordanian</t>
  </si>
  <si>
    <t>B08017_001</t>
  </si>
  <si>
    <t>B02022_045</t>
  </si>
  <si>
    <t>Place of Work for Workers 16 Years and Over--Micropolitan Statistical Area Level</t>
  </si>
  <si>
    <t>Estimate!!Total:!!Middle Eastern or North African:!!Lebanese</t>
  </si>
  <si>
    <t>B08017</t>
  </si>
  <si>
    <t>B02022_046</t>
  </si>
  <si>
    <t>Estimate!!Total:!!Middle Eastern or North African:!!Moroccan</t>
  </si>
  <si>
    <t>B02022_047</t>
  </si>
  <si>
    <t>Estimate!!Total:!!Middle Eastern or North African:!!Palestinian</t>
  </si>
  <si>
    <t>B08018_001</t>
  </si>
  <si>
    <t>B02022_048</t>
  </si>
  <si>
    <t>Estimate!!Total:!!Middle Eastern or North African:!!Syrian</t>
  </si>
  <si>
    <t>Place of Work for Workers 16 Years and Over--Not Metropolitan or Micropolitan Statistical Area Level</t>
  </si>
  <si>
    <t>B08018</t>
  </si>
  <si>
    <t>B02022_049</t>
  </si>
  <si>
    <t>Estimate!!Total:!!Middle Eastern or North African:!!Yemeni</t>
  </si>
  <si>
    <t>B02022_050</t>
  </si>
  <si>
    <t>Estimate!!Total:!!Middle Eastern or North African:!!Other Middle Eastern or North African</t>
  </si>
  <si>
    <t>B08101_001</t>
  </si>
  <si>
    <t>B02022_051</t>
  </si>
  <si>
    <t>Estimate!!Total:!!Other White:!!Australian</t>
  </si>
  <si>
    <t>Means of Transportation to Work by Age</t>
  </si>
  <si>
    <t>B08101</t>
  </si>
  <si>
    <t>B02022_052</t>
  </si>
  <si>
    <t>Estimate!!Total:!!Other White:!!Cajun</t>
  </si>
  <si>
    <t>B02022_053</t>
  </si>
  <si>
    <t>Estimate!!Total:!!Other White:!!Canadian</t>
  </si>
  <si>
    <t>B02022_054</t>
  </si>
  <si>
    <t>B08103_001</t>
  </si>
  <si>
    <t>Median Age by Means of Transportation to Work</t>
  </si>
  <si>
    <t>Estimate!!Total:!!Other White:!!French Canadian</t>
  </si>
  <si>
    <t>B08103</t>
  </si>
  <si>
    <t>B02022_055</t>
  </si>
  <si>
    <t>Estimate!!Total:!!Other White:!!Pennsylvania German</t>
  </si>
  <si>
    <t>B02022_056</t>
  </si>
  <si>
    <t>Estimate!!Total:!!Other White:!!Other White, specified</t>
  </si>
  <si>
    <t>B08105A_001</t>
  </si>
  <si>
    <t>B02022_057</t>
  </si>
  <si>
    <t>Estimate!!Total:!!Other White, not specified</t>
  </si>
  <si>
    <t>Means of Transportation to Work (White Alone)</t>
  </si>
  <si>
    <t>B08105A</t>
  </si>
  <si>
    <t>B02022_058</t>
  </si>
  <si>
    <t>Estimate!!Total:!!Two or more White</t>
  </si>
  <si>
    <t>economy, race</t>
  </si>
  <si>
    <t>B08105B_001</t>
  </si>
  <si>
    <t>B02023_002</t>
  </si>
  <si>
    <t>Means of Transportation to Work (Black or African American Alone)</t>
  </si>
  <si>
    <t>Estimate!!Total:!!African American</t>
  </si>
  <si>
    <t>B08105B</t>
  </si>
  <si>
    <t>B02023_003</t>
  </si>
  <si>
    <t>Estimate!!Total:!!Sub-Saharan African:!!Cameroonian</t>
  </si>
  <si>
    <t>B02023_004</t>
  </si>
  <si>
    <t>Estimate!!Total:!!Sub-Saharan African:!!Congolese</t>
  </si>
  <si>
    <t>B08105C_001</t>
  </si>
  <si>
    <t>B02023_005</t>
  </si>
  <si>
    <t>Means of Transportation to Work (American Indian and Alaska Native Alone)</t>
  </si>
  <si>
    <t>Estimate!!Total:!!Sub-Saharan African:!!Eritrean</t>
  </si>
  <si>
    <t>B08105C</t>
  </si>
  <si>
    <t>B02023_006</t>
  </si>
  <si>
    <t>Estimate!!Total:!!Sub-Saharan African:!!Ethiopian</t>
  </si>
  <si>
    <t>B02023_007</t>
  </si>
  <si>
    <t>Estimate!!Total:!!Sub-Saharan African:!!Ghanaian</t>
  </si>
  <si>
    <t>B08105D_001</t>
  </si>
  <si>
    <t>B02023_008</t>
  </si>
  <si>
    <t>Means of Transportation to Work (Asian Alone)</t>
  </si>
  <si>
    <t>Estimate!!Total:!!Sub-Saharan African:!!Kenyan</t>
  </si>
  <si>
    <t>B08105D</t>
  </si>
  <si>
    <t>B02023_009</t>
  </si>
  <si>
    <t>Estimate!!Total:!!Sub-Saharan African:!!Liberian</t>
  </si>
  <si>
    <t>B02023_010</t>
  </si>
  <si>
    <t>Estimate!!Total:!!Sub-Saharan African:!!Nigerian</t>
  </si>
  <si>
    <t>B08105E_001</t>
  </si>
  <si>
    <t>B02023_011</t>
  </si>
  <si>
    <t>Means of Transportation to Work (Native Hawaiian and Other Pacific Islander Alone)</t>
  </si>
  <si>
    <t>Estimate!!Total:!!Sub-Saharan African:!!Sierra Leonean</t>
  </si>
  <si>
    <t>B08105E</t>
  </si>
  <si>
    <t>B02023_012</t>
  </si>
  <si>
    <t>Estimate!!Total:!!Sub-Saharan African:!!Somali</t>
  </si>
  <si>
    <t>B02023_013</t>
  </si>
  <si>
    <t>Estimate!!Total:!!Sub-Saharan African:!!Sudanese</t>
  </si>
  <si>
    <t>B08105F_001</t>
  </si>
  <si>
    <t>B02023_014</t>
  </si>
  <si>
    <t>Means of Transportation to Work (Some Other Race Alone)</t>
  </si>
  <si>
    <t>Estimate!!Total:!!Caribbean:!!Bahamian</t>
  </si>
  <si>
    <t>B08105F</t>
  </si>
  <si>
    <t>B02023_015</t>
  </si>
  <si>
    <t>Estimate!!Total:!!Caribbean:!!Barbadian</t>
  </si>
  <si>
    <t>B02023_016</t>
  </si>
  <si>
    <t>Estimate!!Total:!!Caribbean:!!Haitian</t>
  </si>
  <si>
    <t>B08105G_001</t>
  </si>
  <si>
    <t>B02023_017</t>
  </si>
  <si>
    <t>Means of Transportation to Work (Two or More Races)</t>
  </si>
  <si>
    <t>Estimate!!Total:!!Caribbean:!!Jamaican</t>
  </si>
  <si>
    <t>B08105G</t>
  </si>
  <si>
    <t>B02023_018</t>
  </si>
  <si>
    <t>Estimate!!Total:!!Caribbean:!!Trinidadian and Tobagonian</t>
  </si>
  <si>
    <t>B02023_019</t>
  </si>
  <si>
    <t>Estimate!!Total:!!Caribbean:!!West Indian</t>
  </si>
  <si>
    <t>B08105H_001</t>
  </si>
  <si>
    <t>B02023_020</t>
  </si>
  <si>
    <t>Estimate!!Total:!!Other Black or African American, specified</t>
  </si>
  <si>
    <t>Means of Transportation to Work (White Alone, Not Hispanic or Latino)</t>
  </si>
  <si>
    <t>B02023_021</t>
  </si>
  <si>
    <t>B08105H</t>
  </si>
  <si>
    <t>Estimate!!Total:!!Other Black or African American, not specified</t>
  </si>
  <si>
    <t>B02023_022</t>
  </si>
  <si>
    <t>Estimate!!Total:!!Two or more Black or African American</t>
  </si>
  <si>
    <t>B08105I_001</t>
  </si>
  <si>
    <t>Means of Transportation to Work (Hispanic or Latino)</t>
  </si>
  <si>
    <t>B08105I</t>
  </si>
  <si>
    <t>B02024_002</t>
  </si>
  <si>
    <t>Estimate!!Total Groups Tallied:!!European:!!Albanian</t>
  </si>
  <si>
    <t>B02024_003</t>
  </si>
  <si>
    <t>Estimate!!Total Groups Tallied:!!European:!!Armenian</t>
  </si>
  <si>
    <t>B08111_001</t>
  </si>
  <si>
    <t>B02024_004</t>
  </si>
  <si>
    <t>Estimate!!Total Groups Tallied:!!European:!!Austrian</t>
  </si>
  <si>
    <t>Means of Transportation to Work by Citizenship Status</t>
  </si>
  <si>
    <t>B08111</t>
  </si>
  <si>
    <t>B02024_005</t>
  </si>
  <si>
    <t>Estimate!!Total Groups Tallied:!!European:!!Belgian</t>
  </si>
  <si>
    <t>B02024_006</t>
  </si>
  <si>
    <t>Estimate!!Total Groups Tallied:!!European:!!Bosnian and Herzegovinian</t>
  </si>
  <si>
    <t>B08113_001</t>
  </si>
  <si>
    <t>B02024_007</t>
  </si>
  <si>
    <t>Estimate!!Total Groups Tallied:!!European:!!British</t>
  </si>
  <si>
    <t>Means of Transportation to Work by Language Spoken at Home and Ability to Speak English</t>
  </si>
  <si>
    <t>B08113</t>
  </si>
  <si>
    <t>B02024_008</t>
  </si>
  <si>
    <t>Estimate!!Total Groups Tallied:!!European:!!Croatian</t>
  </si>
  <si>
    <t>economy, language</t>
  </si>
  <si>
    <t>B02024_009</t>
  </si>
  <si>
    <t>Estimate!!Total Groups Tallied:!!European:!!Czech</t>
  </si>
  <si>
    <t>B08119_001</t>
  </si>
  <si>
    <t>B02024_010</t>
  </si>
  <si>
    <t>Estimate!!Total Groups Tallied:!!European:!!Danish</t>
  </si>
  <si>
    <t>Means of Transportation to Work by Workers' Earnings in the Past 12 Months (in 2024 Inflation-Adjusted Dollars)</t>
  </si>
  <si>
    <t>B08119</t>
  </si>
  <si>
    <t>B02024_011</t>
  </si>
  <si>
    <t>Estimate!!Total Groups Tallied:!!European:!!Dutch</t>
  </si>
  <si>
    <t>economy, income</t>
  </si>
  <si>
    <t>B02024_012</t>
  </si>
  <si>
    <t>Estimate!!Total Groups Tallied:!!European:!!English</t>
  </si>
  <si>
    <t>B08121_001</t>
  </si>
  <si>
    <t>B02024_013</t>
  </si>
  <si>
    <t>Estimate!!Median earnings in the past 12 months --!!Total:</t>
  </si>
  <si>
    <t>Estimate!!Total Groups Tallied:!!European:!!Finnish</t>
  </si>
  <si>
    <t>Median Earnings in the Past 12 Months (in 2024 Inflation-Adjusted Dollars) by Means of Transportation to Work</t>
  </si>
  <si>
    <t>B08121</t>
  </si>
  <si>
    <t>B02024_014</t>
  </si>
  <si>
    <t>Estimate!!Total Groups Tallied:!!European:!!French</t>
  </si>
  <si>
    <t>B02024_015</t>
  </si>
  <si>
    <t>Estimate!!Total Groups Tallied:!!European:!!German</t>
  </si>
  <si>
    <t>B02024_016</t>
  </si>
  <si>
    <t>B08122_001</t>
  </si>
  <si>
    <t>Estimate!!Total Groups Tallied:!!European:!!Greek</t>
  </si>
  <si>
    <t>Means of Transportation to Work by Poverty Status in the Past 12 Months</t>
  </si>
  <si>
    <t>B02024_017</t>
  </si>
  <si>
    <t>B08122</t>
  </si>
  <si>
    <t>Estimate!!Total Groups Tallied:!!European:!!Hungarian</t>
  </si>
  <si>
    <t>B02024_018</t>
  </si>
  <si>
    <t>Estimate!!Total Groups Tallied:!!European:!!Irish</t>
  </si>
  <si>
    <t>B02024_019</t>
  </si>
  <si>
    <t>Estimate!!Total Groups Tallied:!!European:!!Italian</t>
  </si>
  <si>
    <t>B08124_001</t>
  </si>
  <si>
    <t>Means of Transportation to Work by Occupation</t>
  </si>
  <si>
    <t>B02024_020</t>
  </si>
  <si>
    <t>B08124</t>
  </si>
  <si>
    <t>Estimate!!Total Groups Tallied:!!European:!!Lithuanian</t>
  </si>
  <si>
    <t>B02024_021</t>
  </si>
  <si>
    <t>Estimate!!Total Groups Tallied:!!European:!!Norwegian</t>
  </si>
  <si>
    <t>B02024_022</t>
  </si>
  <si>
    <t>Estimate!!Total Groups Tallied:!!European:!!Polish</t>
  </si>
  <si>
    <t>B08126_001</t>
  </si>
  <si>
    <t>Means of Transportation to Work by Industry</t>
  </si>
  <si>
    <t>B02024_023</t>
  </si>
  <si>
    <t>B08126</t>
  </si>
  <si>
    <t>Estimate!!Total Groups Tallied:!!European:!!Portuguese</t>
  </si>
  <si>
    <t>B02024_024</t>
  </si>
  <si>
    <t>Estimate!!Total Groups Tallied:!!European:!!Romanian</t>
  </si>
  <si>
    <t>B02024_025</t>
  </si>
  <si>
    <t>Estimate!!Total Groups Tallied:!!European:!!Russian</t>
  </si>
  <si>
    <t>B08128_001</t>
  </si>
  <si>
    <t>B02024_026</t>
  </si>
  <si>
    <t>Estimate!!Total Groups Tallied:!!European:!!Scandinavian</t>
  </si>
  <si>
    <t>Means of Transportation to Work by Class of Worker</t>
  </si>
  <si>
    <t>B08128</t>
  </si>
  <si>
    <t>B02024_027</t>
  </si>
  <si>
    <t>Estimate!!Total Groups Tallied:!!European:!!Scots-Irish</t>
  </si>
  <si>
    <t>B02024_028</t>
  </si>
  <si>
    <t>Estimate!!Total Groups Tallied:!!European:!!Scottish</t>
  </si>
  <si>
    <t>B08130_001</t>
  </si>
  <si>
    <t>B02024_029</t>
  </si>
  <si>
    <t>Estimate!!Total Groups Tallied:!!European:!!Serbian</t>
  </si>
  <si>
    <t>Means of Transportation to Work by Place of Work--State and County Level</t>
  </si>
  <si>
    <t>B08130</t>
  </si>
  <si>
    <t>B02024_030</t>
  </si>
  <si>
    <t>Estimate!!Total Groups Tallied:!!European:!!Slovak</t>
  </si>
  <si>
    <t>B02024_031</t>
  </si>
  <si>
    <t>Estimate!!Total Groups Tallied:!!European:!!Swedish</t>
  </si>
  <si>
    <t>B08131_001</t>
  </si>
  <si>
    <t>B02024_032</t>
  </si>
  <si>
    <t>Estimate!!Total Groups Tallied:!!European:!!Swiss</t>
  </si>
  <si>
    <t>Aggregate Travel Time to Work (in Minutes) of Workers by Place of Work--State and County Level</t>
  </si>
  <si>
    <t>B02024_033</t>
  </si>
  <si>
    <t>B08131</t>
  </si>
  <si>
    <t>Estimate!!Total Groups Tallied:!!European:!!Turkish</t>
  </si>
  <si>
    <t>B02024_034</t>
  </si>
  <si>
    <t>Estimate!!Total Groups Tallied:!!European:!!Ukrainian</t>
  </si>
  <si>
    <t>B02024_035</t>
  </si>
  <si>
    <t>Estimate!!Total Groups Tallied:!!European:!!Welsh</t>
  </si>
  <si>
    <t>B08132_001</t>
  </si>
  <si>
    <t>B02024_036</t>
  </si>
  <si>
    <t>Means of Transportation to Work by Time of Departure to Go to Work</t>
  </si>
  <si>
    <t>Estimate!!Total Groups Tallied:!!European:!!Other European</t>
  </si>
  <si>
    <t>B08132</t>
  </si>
  <si>
    <t>B02024_037</t>
  </si>
  <si>
    <t>Estimate!!Total Groups Tallied:!!Middle Eastern or North African:!!Arab</t>
  </si>
  <si>
    <t>B02024_038</t>
  </si>
  <si>
    <t>Estimate!!Total Groups Tallied:!!Middle Eastern or North African:!!Assyrian</t>
  </si>
  <si>
    <t>B08133_001</t>
  </si>
  <si>
    <t>B02024_039</t>
  </si>
  <si>
    <t>Aggregate Travel Time to Work (in Minutes) of Workers by Time of Departure to Go to Work</t>
  </si>
  <si>
    <t>Estimate!!Total Groups Tallied:!!Middle Eastern or North African:!!Chaldean</t>
  </si>
  <si>
    <t>B08133</t>
  </si>
  <si>
    <t>B02024_040</t>
  </si>
  <si>
    <t>Estimate!!Total Groups Tallied:!!Middle Eastern or North African:!!Egyptian</t>
  </si>
  <si>
    <t>B02024_041</t>
  </si>
  <si>
    <t>Estimate!!Total Groups Tallied:!!Middle Eastern or North African:!!Iranian</t>
  </si>
  <si>
    <t>B08134_001</t>
  </si>
  <si>
    <t>Means of Transportation to Work by Travel Time to Work</t>
  </si>
  <si>
    <t>B02024_042</t>
  </si>
  <si>
    <t>B08134</t>
  </si>
  <si>
    <t>Estimate!!Total Groups Tallied:!!Middle Eastern or North African:!!Iraqi</t>
  </si>
  <si>
    <t>B02024_043</t>
  </si>
  <si>
    <t>Estimate!!Total Groups Tallied:!!Middle Eastern or North African:!!Israeli</t>
  </si>
  <si>
    <t>B02024_044</t>
  </si>
  <si>
    <t>B08135_001</t>
  </si>
  <si>
    <t>Estimate!!Total Groups Tallied:!!Middle Eastern or North African:!!Jordanian</t>
  </si>
  <si>
    <t>Aggregate Travel Time to Work (in Minutes) of Workers by Travel Time to Work</t>
  </si>
  <si>
    <t>B02024_045</t>
  </si>
  <si>
    <t>B08135</t>
  </si>
  <si>
    <t>Estimate!!Total Groups Tallied:!!Middle Eastern or North African:!!Lebanese</t>
  </si>
  <si>
    <t>B02024_046</t>
  </si>
  <si>
    <t>Estimate!!Total Groups Tallied:!!Middle Eastern or North African:!!Moroccan</t>
  </si>
  <si>
    <t>B02024_047</t>
  </si>
  <si>
    <t>Estimate!!Total Groups Tallied:!!Middle Eastern or North African:!!Palestinian</t>
  </si>
  <si>
    <t>B08136_001</t>
  </si>
  <si>
    <t>B02024_048</t>
  </si>
  <si>
    <t>Aggregate Travel Time to Work (in Minutes) of Workers by Means of Transportation to Work</t>
  </si>
  <si>
    <t>Estimate!!Total Groups Tallied:!!Middle Eastern or North African:!!Syrian</t>
  </si>
  <si>
    <t>B08136</t>
  </si>
  <si>
    <t>B02024_049</t>
  </si>
  <si>
    <t>Estimate!!Total Groups Tallied:!!Middle Eastern or North African:!!Yemeni</t>
  </si>
  <si>
    <t>B02024_050</t>
  </si>
  <si>
    <t>Estimate!!Total Groups Tallied:!!Middle Eastern or North African:!!Other Middle Eastern or North African</t>
  </si>
  <si>
    <t>B08137_001</t>
  </si>
  <si>
    <t>B02024_051</t>
  </si>
  <si>
    <t>Means of Transportation to Work by Tenure</t>
  </si>
  <si>
    <t>Estimate!!Total Groups Tallied:!!Other White:!!Australian</t>
  </si>
  <si>
    <t>B08137</t>
  </si>
  <si>
    <t>B02024_052</t>
  </si>
  <si>
    <t>Estimate!!Total Groups Tallied:!!Other White:!!Cajun</t>
  </si>
  <si>
    <t>economy, housing, income</t>
  </si>
  <si>
    <t>B02024_053</t>
  </si>
  <si>
    <t>Estimate!!Total Groups Tallied:!!Other White:!!Canadian</t>
  </si>
  <si>
    <t>B08141_001</t>
  </si>
  <si>
    <t>B02024_054</t>
  </si>
  <si>
    <t>Estimate!!Total Groups Tallied:!!Other White:!!French Canadian</t>
  </si>
  <si>
    <t>Means of Transportation to Work by Vehicles Available</t>
  </si>
  <si>
    <t>B08141</t>
  </si>
  <si>
    <t>B02024_055</t>
  </si>
  <si>
    <t>Estimate!!Total Groups Tallied:!!Other White:!!Pennsylvania German</t>
  </si>
  <si>
    <t>B02024_056</t>
  </si>
  <si>
    <t>Estimate!!Total Groups Tallied:!!Other White:!!Other White, specified</t>
  </si>
  <si>
    <t>B08201_001</t>
  </si>
  <si>
    <t>B02024_057</t>
  </si>
  <si>
    <t>Household Size by Vehicles Available</t>
  </si>
  <si>
    <t>Estimate!!Total Groups Tallied:!!Other White, not specified</t>
  </si>
  <si>
    <t>B08201</t>
  </si>
  <si>
    <t>housing, tech</t>
  </si>
  <si>
    <t>B08202_001</t>
  </si>
  <si>
    <t>Household Size by Number of Workers in Household</t>
  </si>
  <si>
    <t>B08202</t>
  </si>
  <si>
    <t>B02025_002</t>
  </si>
  <si>
    <t>Estimate!!Total Groups Tallied:!!African American</t>
  </si>
  <si>
    <t>housing, income, demographic</t>
  </si>
  <si>
    <t>B02025_003</t>
  </si>
  <si>
    <t>Estimate!!Total Groups Tallied:!!Sub-Saharan African:!!Cameroonian</t>
  </si>
  <si>
    <t>B08203_001</t>
  </si>
  <si>
    <t>B02025_004</t>
  </si>
  <si>
    <t>Estimate!!Total Groups Tallied:!!Sub-Saharan African:!!Congolese</t>
  </si>
  <si>
    <t>B02025_005</t>
  </si>
  <si>
    <t>Estimate!!Total Groups Tallied:!!Sub-Saharan African:!!Eritrean</t>
  </si>
  <si>
    <t>Number of Workers in Household by Vehicles Available</t>
  </si>
  <si>
    <t>B08203</t>
  </si>
  <si>
    <t>B02025_006</t>
  </si>
  <si>
    <t>Estimate!!Total Groups Tallied:!!Sub-Saharan African:!!Ethiopian</t>
  </si>
  <si>
    <t>income, housing, economy</t>
  </si>
  <si>
    <t>B02025_007</t>
  </si>
  <si>
    <t>Estimate!!Total Groups Tallied:!!Sub-Saharan African:!!Ghanaian</t>
  </si>
  <si>
    <t>B08301_001</t>
  </si>
  <si>
    <t>B02025_008</t>
  </si>
  <si>
    <t>Estimate!!Total Groups Tallied:!!Sub-Saharan African:!!Kenyan</t>
  </si>
  <si>
    <t>B08301</t>
  </si>
  <si>
    <t>B02025_009</t>
  </si>
  <si>
    <t>Estimate!!Total Groups Tallied:!!Sub-Saharan African:!!Liberian</t>
  </si>
  <si>
    <t>B08302_001</t>
  </si>
  <si>
    <t>B02025_010</t>
  </si>
  <si>
    <t>Estimate!!Total Groups Tallied:!!Sub-Saharan African:!!Nigerian</t>
  </si>
  <si>
    <t>Time of Departure to Go to Work</t>
  </si>
  <si>
    <t>B08302</t>
  </si>
  <si>
    <t>B02025_011</t>
  </si>
  <si>
    <t>Estimate!!Total Groups Tallied:!!Sub-Saharan African:!!Sierra Leonean</t>
  </si>
  <si>
    <t>B02025_012</t>
  </si>
  <si>
    <t>Estimate!!Total Groups Tallied:!!Sub-Saharan African:!!Somali</t>
  </si>
  <si>
    <t>B08303_001</t>
  </si>
  <si>
    <t>B02025_013</t>
  </si>
  <si>
    <t>Estimate!!Total Groups Tallied:!!Sub-Saharan African:!!Sudanese</t>
  </si>
  <si>
    <t>B08303</t>
  </si>
  <si>
    <t>B02025_014</t>
  </si>
  <si>
    <t>Estimate!!Total Groups Tallied:!!Caribbean:!!Bahamian</t>
  </si>
  <si>
    <t>B02025_015</t>
  </si>
  <si>
    <t>Estimate!!Total Groups Tallied:!!Caribbean:!!Barbadian</t>
  </si>
  <si>
    <t>B02025_016</t>
  </si>
  <si>
    <t>Estimate!!Total Groups Tallied:!!Caribbean:!!Haitian</t>
  </si>
  <si>
    <t>B08406_001</t>
  </si>
  <si>
    <t>B02025_017</t>
  </si>
  <si>
    <t>Sex of Workers by Means of Transportation to Work for Workplace Geography</t>
  </si>
  <si>
    <t>Estimate!!Total Groups Tallied:!!Caribbean:!!Jamaican</t>
  </si>
  <si>
    <t>B08406</t>
  </si>
  <si>
    <t>B02025_018</t>
  </si>
  <si>
    <t>Estimate!!Total Groups Tallied:!!Caribbean:!!Trinidadian and Tobagonian</t>
  </si>
  <si>
    <t>B02025_019</t>
  </si>
  <si>
    <t>Estimate!!Total Groups Tallied:!!Caribbean:!!West Indian</t>
  </si>
  <si>
    <t>B08412_001</t>
  </si>
  <si>
    <t>B02025_020</t>
  </si>
  <si>
    <t>Estimate!!Total Groups Tallied:!!Other Black or African American, specified</t>
  </si>
  <si>
    <t>Sex of Workers by Travel Time to Work for Workplace Geography</t>
  </si>
  <si>
    <t>B08412</t>
  </si>
  <si>
    <t>B02025_021</t>
  </si>
  <si>
    <t>Estimate!!Total Groups Tallied:!!Other Black or African American, not specified</t>
  </si>
  <si>
    <t>B08501_001</t>
  </si>
  <si>
    <t>Means of Transportation to Work by Age for Workplace Geography</t>
  </si>
  <si>
    <t>B03001_002</t>
  </si>
  <si>
    <t>B08501</t>
  </si>
  <si>
    <t>Estimate!!Total:!!Not Hispanic or Latino</t>
  </si>
  <si>
    <t>B03001_003</t>
  </si>
  <si>
    <t>Estimate!!Total:!!Hispanic or Latino:</t>
  </si>
  <si>
    <t>B03001_004</t>
  </si>
  <si>
    <t>Estimate!!Total:!!Hispanic or Latino:!!Mexican</t>
  </si>
  <si>
    <t>B08503_001</t>
  </si>
  <si>
    <t>B03001_005</t>
  </si>
  <si>
    <t>Median Age by Means of Transportation to Work for Workplace Geography</t>
  </si>
  <si>
    <t>Estimate!!Total:!!Hispanic or Latino:!!Puerto Rican</t>
  </si>
  <si>
    <t>B08503</t>
  </si>
  <si>
    <t>B03001_006</t>
  </si>
  <si>
    <t>Estimate!!Total:!!Hispanic or Latino:!!Cuban</t>
  </si>
  <si>
    <t>B03001_007</t>
  </si>
  <si>
    <t>Estimate!!Total:!!Hispanic or Latino:!!Dominican (Dominican Republic)</t>
  </si>
  <si>
    <t>B08505A_001</t>
  </si>
  <si>
    <t>B03001_008</t>
  </si>
  <si>
    <t>Means of Transportation to Work for Workplace Geography (White Alone)</t>
  </si>
  <si>
    <t>Estimate!!Total:!!Hispanic or Latino:!!Central American:</t>
  </si>
  <si>
    <t>B08505A</t>
  </si>
  <si>
    <t>B03001_009</t>
  </si>
  <si>
    <t>Estimate!!Total:!!Hispanic or Latino:!!Central American:!!Costa Rican</t>
  </si>
  <si>
    <t>economy, income, race</t>
  </si>
  <si>
    <t>B03001_010</t>
  </si>
  <si>
    <t>Estimate!!Total:!!Hispanic or Latino:!!Central American:!!Guatemalan</t>
  </si>
  <si>
    <t>B08505B_001</t>
  </si>
  <si>
    <t>B03001_011</t>
  </si>
  <si>
    <t>Estimate!!Total:!!Hispanic or Latino:!!Central American:!!Honduran</t>
  </si>
  <si>
    <t>Means of Transportation to Work for Workplace Geography (Black or African American Alone)</t>
  </si>
  <si>
    <t>B08505B</t>
  </si>
  <si>
    <t>B03001_012</t>
  </si>
  <si>
    <t>Estimate!!Total:!!Hispanic or Latino:!!Central American:!!Nicaraguan</t>
  </si>
  <si>
    <t>B03001_013</t>
  </si>
  <si>
    <t>Estimate!!Total:!!Hispanic or Latino:!!Central American:!!Panamanian</t>
  </si>
  <si>
    <t>B08505C_001</t>
  </si>
  <si>
    <t>B03001_014</t>
  </si>
  <si>
    <t>Estimate!!Total:!!Hispanic or Latino:!!Central American:!!Salvadoran</t>
  </si>
  <si>
    <t>Means of Transportation to Work for Workplace Geography (American Indian and Alaska Native Alone)</t>
  </si>
  <si>
    <t>B08505C</t>
  </si>
  <si>
    <t>B03001_015</t>
  </si>
  <si>
    <t>Estimate!!Total:!!Hispanic or Latino:!!Central American:!!Other Central American</t>
  </si>
  <si>
    <t>B03001_016</t>
  </si>
  <si>
    <t>Estimate!!Total:!!Hispanic or Latino:!!South American:</t>
  </si>
  <si>
    <t>B08505D_001</t>
  </si>
  <si>
    <t>B03001_017</t>
  </si>
  <si>
    <t>Estimate!!Total:!!Hispanic or Latino:!!South American:!!Argentinean</t>
  </si>
  <si>
    <t>Means of Transportation to Work for Workplace Geography (Asian Alone)</t>
  </si>
  <si>
    <t>B08505D</t>
  </si>
  <si>
    <t>B03001_018</t>
  </si>
  <si>
    <t>Estimate!!Total:!!Hispanic or Latino:!!South American:!!Bolivian</t>
  </si>
  <si>
    <t>B03001_019</t>
  </si>
  <si>
    <t>Estimate!!Total:!!Hispanic or Latino:!!South American:!!Chilean</t>
  </si>
  <si>
    <t>B03001_020</t>
  </si>
  <si>
    <t>B08505E_001</t>
  </si>
  <si>
    <t>Estimate!!Total:!!Hispanic or Latino:!!South American:!!Colombian</t>
  </si>
  <si>
    <t>Means of Transportation to Work for Workplace Geography (Native Hawaiian and Other Pacific Islander Alone)</t>
  </si>
  <si>
    <t>B03001_021</t>
  </si>
  <si>
    <t>B08505E</t>
  </si>
  <si>
    <t>Estimate!!Total:!!Hispanic or Latino:!!South American:!!Ecuadorian</t>
  </si>
  <si>
    <t>B03001_022</t>
  </si>
  <si>
    <t>Estimate!!Total:!!Hispanic or Latino:!!South American:!!Paraguayan</t>
  </si>
  <si>
    <t>B03001_023</t>
  </si>
  <si>
    <t>Estimate!!Total:!!Hispanic or Latino:!!South American:!!Peruvian</t>
  </si>
  <si>
    <t>B08505F_001</t>
  </si>
  <si>
    <t>B03001_024</t>
  </si>
  <si>
    <t>Estimate!!Total:!!Hispanic or Latino:!!South American:!!Uruguayan</t>
  </si>
  <si>
    <t>Means of Transportation to Work for Workplace Geography (Some Other Race Alone)</t>
  </si>
  <si>
    <t>B08505F</t>
  </si>
  <si>
    <t>B03001_025</t>
  </si>
  <si>
    <t>Estimate!!Total:!!Hispanic or Latino:!!South American:!!Venezuelan</t>
  </si>
  <si>
    <t>B03001_026</t>
  </si>
  <si>
    <t>Estimate!!Total:!!Hispanic or Latino:!!South American:!!Other South American</t>
  </si>
  <si>
    <t>B08505G_001</t>
  </si>
  <si>
    <t>B03001_027</t>
  </si>
  <si>
    <t>Estimate!!Total:!!Hispanic or Latino:!!Other Hispanic or Latino:</t>
  </si>
  <si>
    <t>Means of Transportation to Work for Workplace Geography (Two or More Races)</t>
  </si>
  <si>
    <t>B03001_028</t>
  </si>
  <si>
    <t>Estimate!!Total:!!Hispanic or Latino:!!Other Hispanic or Latino:!!Spaniard</t>
  </si>
  <si>
    <t>B03001_029</t>
  </si>
  <si>
    <t>Estimate!!Total:!!Hispanic or Latino:!!Other Hispanic or Latino:!!Spanish</t>
  </si>
  <si>
    <t>B03001_030</t>
  </si>
  <si>
    <t>B08505G</t>
  </si>
  <si>
    <t>Estimate!!Total:!!Hispanic or Latino:!!Other Hispanic or Latino:!!Spanish American</t>
  </si>
  <si>
    <t>B03001_031</t>
  </si>
  <si>
    <t>Estimate!!Total:!!Hispanic or Latino:!!Other Hispanic or Latino:!!All other Hispanic or Latino</t>
  </si>
  <si>
    <t>B08505H_001</t>
  </si>
  <si>
    <t>B03002_002</t>
  </si>
  <si>
    <t>Means of Transportation to Work for Workplace Geography (White Alone, Not Hispanic or Latino)</t>
  </si>
  <si>
    <t>Estimate!!Total:!!Not Hispanic or Latino:</t>
  </si>
  <si>
    <t>B08505H</t>
  </si>
  <si>
    <t>B03002_003</t>
  </si>
  <si>
    <t>Estimate!!Total:!!Not Hispanic or Latino:!!White alone</t>
  </si>
  <si>
    <t>B03002_004</t>
  </si>
  <si>
    <t>Estimate!!Total:!!Not Hispanic or Latino:!!Black or African American alone</t>
  </si>
  <si>
    <t>B08505I_001</t>
  </si>
  <si>
    <t>B03002_005</t>
  </si>
  <si>
    <t>Means of Transportation to Work for Workplace Geography (Hispanic or Latino)</t>
  </si>
  <si>
    <t>Estimate!!Total:!!Not Hispanic or Latino:!!American Indian and Alaska Native alone</t>
  </si>
  <si>
    <t>B08505I</t>
  </si>
  <si>
    <t>B03002_006</t>
  </si>
  <si>
    <t>Estimate!!Total:!!Not Hispanic or Latino:!!Asian alone</t>
  </si>
  <si>
    <t>B03002_007</t>
  </si>
  <si>
    <t>Estimate!!Total:!!Not Hispanic or Latino:!!Native Hawaiian and Other Pacific Islander alone</t>
  </si>
  <si>
    <t>B03002_008</t>
  </si>
  <si>
    <t>B08511_001</t>
  </si>
  <si>
    <t>Estimate!!Total:!!Not Hispanic or Latino:!!Some other race alone</t>
  </si>
  <si>
    <t>Means of Transportation to Work by Citizenship Status for Workplace Geography</t>
  </si>
  <si>
    <t>B03002_009</t>
  </si>
  <si>
    <t>B08511</t>
  </si>
  <si>
    <t>Estimate!!Total:!!Not Hispanic or Latino:!!Two or more races:</t>
  </si>
  <si>
    <t>B03002_010</t>
  </si>
  <si>
    <t>Estimate!!Total:!!Not Hispanic or Latino:!!Two or more races:!!Two races including Some other race</t>
  </si>
  <si>
    <t>B03002_011</t>
  </si>
  <si>
    <t>Estimate!!Total:!!Not Hispanic or Latino:!!Two or more races:!!Two races excluding Some other race, and three or more races</t>
  </si>
  <si>
    <t>B03002_012</t>
  </si>
  <si>
    <t>B03002_013</t>
  </si>
  <si>
    <t>Estimate!!Total:!!Hispanic or Latino:!!White alone</t>
  </si>
  <si>
    <t>B03002_014</t>
  </si>
  <si>
    <t>Estimate!!Total:!!Hispanic or Latino:!!Black or African American alone</t>
  </si>
  <si>
    <t>B03002_015</t>
  </si>
  <si>
    <t>Estimate!!Total:!!Hispanic or Latino:!!American Indian and Alaska Native alone</t>
  </si>
  <si>
    <t>B03002_016</t>
  </si>
  <si>
    <t>Estimate!!Total:!!Hispanic or Latino:!!Asian alone</t>
  </si>
  <si>
    <t>B03002_017</t>
  </si>
  <si>
    <t>Estimate!!Total:!!Hispanic or Latino:!!Native Hawaiian and Other Pacific Islander alone</t>
  </si>
  <si>
    <t>B08513_001</t>
  </si>
  <si>
    <t>B03002_018</t>
  </si>
  <si>
    <t>Estimate!!Total:!!Hispanic or Latino:!!Some other race alone</t>
  </si>
  <si>
    <t>B03002_019</t>
  </si>
  <si>
    <t>Estimate!!Total:!!Hispanic or Latino:!!Two or more races:</t>
  </si>
  <si>
    <t>B03002_020</t>
  </si>
  <si>
    <t>Means of Transportation to Work by Language Spoken at Home and Ability to Speak English for Workplace Geography</t>
  </si>
  <si>
    <t>Estimate!!Total:!!Hispanic or Latino:!!Two or more races:!!Two races including Some other race</t>
  </si>
  <si>
    <t>B08513</t>
  </si>
  <si>
    <t>B03002_021</t>
  </si>
  <si>
    <t>Estimate!!Total:!!Hispanic or Latino:!!Two or more races:!!Two races excluding Some other race, and three or more races</t>
  </si>
  <si>
    <t>B03003_002</t>
  </si>
  <si>
    <t>B03003_003</t>
  </si>
  <si>
    <t>Estimate!!Total:!!Hispanic or Latino</t>
  </si>
  <si>
    <t>B08519_001</t>
  </si>
  <si>
    <t>B04004_002</t>
  </si>
  <si>
    <t>Estimate!!Total:!!Afghan</t>
  </si>
  <si>
    <t>Means of Transportation to Work by Workers' Earnings in the Past 12 Months (in 2024 Inflation-Adjusted Dollars) for Workplace Geography</t>
  </si>
  <si>
    <t>B08519</t>
  </si>
  <si>
    <t>B04004_003</t>
  </si>
  <si>
    <t>Estimate!!Total:!!Albanian</t>
  </si>
  <si>
    <t>B08521_001</t>
  </si>
  <si>
    <t>B04004_004</t>
  </si>
  <si>
    <t>Estimate!!Total:!!Alsatian</t>
  </si>
  <si>
    <t>Median Earnings in the Past 12 Months (in 2024 Inflation-Adjusted Dollars) by Means of Transportation to Work for Workplace Geography</t>
  </si>
  <si>
    <t>B08521</t>
  </si>
  <si>
    <t>B04004_005</t>
  </si>
  <si>
    <t>Estimate!!Total:!!American</t>
  </si>
  <si>
    <t>B04004_006</t>
  </si>
  <si>
    <t>Estimate!!Total:!!Arab:</t>
  </si>
  <si>
    <t>B08522_001</t>
  </si>
  <si>
    <t>B04004_007</t>
  </si>
  <si>
    <t>Means of Transportation to Work by Poverty Status in the Past 12 Months for Workplace Geography</t>
  </si>
  <si>
    <t>Estimate!!Total:!!Arab:!!Egyptian</t>
  </si>
  <si>
    <t>B04004_008</t>
  </si>
  <si>
    <t>Estimate!!Total:!!Arab:!!Iraqi</t>
  </si>
  <si>
    <t>B04004_009</t>
  </si>
  <si>
    <t>Estimate!!Total:!!Arab:!!Jordanian</t>
  </si>
  <si>
    <t>B04004_010</t>
  </si>
  <si>
    <t>Estimate!!Total:!!Arab:!!Lebanese</t>
  </si>
  <si>
    <t>B08522</t>
  </si>
  <si>
    <t>B04004_011</t>
  </si>
  <si>
    <t>Estimate!!Total:!!Arab:!!Moroccan</t>
  </si>
  <si>
    <t>B04004_012</t>
  </si>
  <si>
    <t>Estimate!!Total:!!Arab:!!Palestinian</t>
  </si>
  <si>
    <t>B04004_013</t>
  </si>
  <si>
    <t>Estimate!!Total:!!Arab:!!Syrian</t>
  </si>
  <si>
    <t>B08524_001</t>
  </si>
  <si>
    <t>B04004_014</t>
  </si>
  <si>
    <t>Means of Transportation to Work by Occupation for Workplace Geography</t>
  </si>
  <si>
    <t>Estimate!!Total:!!Arab:!!Arab</t>
  </si>
  <si>
    <t>B08524</t>
  </si>
  <si>
    <t>B04004_015</t>
  </si>
  <si>
    <t>Estimate!!Total:!!Arab:!!Other Arab</t>
  </si>
  <si>
    <t>B04004_016</t>
  </si>
  <si>
    <t>Estimate!!Total:!!Armenian</t>
  </si>
  <si>
    <t>B08526_001</t>
  </si>
  <si>
    <t>B04004_017</t>
  </si>
  <si>
    <t>Means of Transportation to Work by Industry for Workplace Geography</t>
  </si>
  <si>
    <t>Estimate!!Total:!!Assyrian/Chaldean/Syriac</t>
  </si>
  <si>
    <t>B08526</t>
  </si>
  <si>
    <t>B04004_018</t>
  </si>
  <si>
    <t>Estimate!!Total:!!Australian</t>
  </si>
  <si>
    <t>B04004_019</t>
  </si>
  <si>
    <t>Estimate!!Total:!!Austrian</t>
  </si>
  <si>
    <t>B08528_001</t>
  </si>
  <si>
    <t>Means of Transportation to Work by Class of Worker for Workplace Geography</t>
  </si>
  <si>
    <t>B04004_020</t>
  </si>
  <si>
    <t>B08528</t>
  </si>
  <si>
    <t>Estimate!!Total:!!Basque</t>
  </si>
  <si>
    <t>B04004_021</t>
  </si>
  <si>
    <t>Estimate!!Total:!!Belgian</t>
  </si>
  <si>
    <t>B04004_022</t>
  </si>
  <si>
    <t>Estimate!!Total:!!Brazilian</t>
  </si>
  <si>
    <t>B08532_001</t>
  </si>
  <si>
    <t>B04004_023</t>
  </si>
  <si>
    <t>Means of Transportation to Work by Time Arriving at Work for Workplace Geography</t>
  </si>
  <si>
    <t>Estimate!!Total:!!British</t>
  </si>
  <si>
    <t>B08532</t>
  </si>
  <si>
    <t>B04004_024</t>
  </si>
  <si>
    <t>Estimate!!Total:!!Bulgarian</t>
  </si>
  <si>
    <t>B04004_025</t>
  </si>
  <si>
    <t>Estimate!!Total:!!Cajun</t>
  </si>
  <si>
    <t>B08534_001</t>
  </si>
  <si>
    <t>B04004_026</t>
  </si>
  <si>
    <t>Means of Transportation to Work by Travel Time to Work for Workplace Geography</t>
  </si>
  <si>
    <t>Estimate!!Total:!!Canadian</t>
  </si>
  <si>
    <t>B08534</t>
  </si>
  <si>
    <t>B04004_027</t>
  </si>
  <si>
    <t>Estimate!!Total:!!Carpatho Rusyn</t>
  </si>
  <si>
    <t>B04004_028</t>
  </si>
  <si>
    <t>Estimate!!Total:!!Celtic</t>
  </si>
  <si>
    <t>B08536_001</t>
  </si>
  <si>
    <t>B04004_029</t>
  </si>
  <si>
    <t>Estimate!!Total:!!Croatian</t>
  </si>
  <si>
    <t>Aggregate Travel Time to Work (in Minutes) of Workers by Means of Transportation to Work for Workplace Geography</t>
  </si>
  <si>
    <t>B08536</t>
  </si>
  <si>
    <t>B04004_030</t>
  </si>
  <si>
    <t>Estimate!!Total:!!Cypriot</t>
  </si>
  <si>
    <t>B08537_001</t>
  </si>
  <si>
    <t>Means of Transportation to Work by Tenure for Workplace Geography</t>
  </si>
  <si>
    <t>B08537</t>
  </si>
  <si>
    <t>B04004_031</t>
  </si>
  <si>
    <t>Estimate!!Total:!!Czech</t>
  </si>
  <si>
    <t>B04004_032</t>
  </si>
  <si>
    <t>Estimate!!Total:!!Czechoslovakian</t>
  </si>
  <si>
    <t>B04004_033</t>
  </si>
  <si>
    <t>B08541_001</t>
  </si>
  <si>
    <t>Estimate!!Total:!!Danish</t>
  </si>
  <si>
    <t>B04004_034</t>
  </si>
  <si>
    <t>Estimate!!Total:!!Dutch</t>
  </si>
  <si>
    <t>Means of Transportation to Work by Vehicles Available for Workplace Geography</t>
  </si>
  <si>
    <t>B08541</t>
  </si>
  <si>
    <t>B04004_035</t>
  </si>
  <si>
    <t>Estimate!!Total:!!Eastern European</t>
  </si>
  <si>
    <t>B04004_036</t>
  </si>
  <si>
    <t>Estimate!!Total:!!English</t>
  </si>
  <si>
    <t>B08601_001</t>
  </si>
  <si>
    <t>B04004_037</t>
  </si>
  <si>
    <t>Estimate!!Total:!!Estonian</t>
  </si>
  <si>
    <t>Means of Transportation to Work for Workplace Geography</t>
  </si>
  <si>
    <t>B08601</t>
  </si>
  <si>
    <t>B04004_038</t>
  </si>
  <si>
    <t>Estimate!!Total:!!European</t>
  </si>
  <si>
    <t>B04004_039</t>
  </si>
  <si>
    <t>Estimate!!Total:!!Finnish</t>
  </si>
  <si>
    <t>B04004_040</t>
  </si>
  <si>
    <t>B08602_001</t>
  </si>
  <si>
    <t>Estimate!!Total:!!French (except Basque)</t>
  </si>
  <si>
    <t>Time Arriving at Work for Workplace Geography</t>
  </si>
  <si>
    <t>B04004_041</t>
  </si>
  <si>
    <t>B08602</t>
  </si>
  <si>
    <t>Estimate!!Total:!!French Canadian</t>
  </si>
  <si>
    <t>B04004_042</t>
  </si>
  <si>
    <t>Estimate!!Total:!!German</t>
  </si>
  <si>
    <t>B04004_043</t>
  </si>
  <si>
    <t>B08603_001</t>
  </si>
  <si>
    <t>Estimate!!Total:!!German Russian</t>
  </si>
  <si>
    <t>Travel Time to Work for Workplace Geography</t>
  </si>
  <si>
    <t>B04004_044</t>
  </si>
  <si>
    <t>B08603</t>
  </si>
  <si>
    <t>Estimate!!Total:!!Greek</t>
  </si>
  <si>
    <t>B04004_045</t>
  </si>
  <si>
    <t>Estimate!!Total:!!Guyanese</t>
  </si>
  <si>
    <t>B04004_046</t>
  </si>
  <si>
    <t>B08604_001</t>
  </si>
  <si>
    <t>Estimate!!Total:!!Hungarian</t>
  </si>
  <si>
    <t>Worker Population for Workplace Geography</t>
  </si>
  <si>
    <t>B08604</t>
  </si>
  <si>
    <t>B04004_047</t>
  </si>
  <si>
    <t>Estimate!!Total:!!Icelander</t>
  </si>
  <si>
    <t>B04004_048</t>
  </si>
  <si>
    <t>Estimate!!Total:!!Iranian</t>
  </si>
  <si>
    <t>B09001_001</t>
  </si>
  <si>
    <t>B04004_049</t>
  </si>
  <si>
    <t>Estimate!!Total:!!Irish</t>
  </si>
  <si>
    <t>Population Under 18 Years by Age</t>
  </si>
  <si>
    <t>B09001</t>
  </si>
  <si>
    <t>B04004_050</t>
  </si>
  <si>
    <t>Estimate!!Total:!!Israeli</t>
  </si>
  <si>
    <t>B04004_051</t>
  </si>
  <si>
    <t>Estimate!!Total:!!Italian</t>
  </si>
  <si>
    <t>B09002_001</t>
  </si>
  <si>
    <t>B04004_052</t>
  </si>
  <si>
    <t>Estimate!!Total:!!Latvian</t>
  </si>
  <si>
    <t>B04004_053</t>
  </si>
  <si>
    <t>Estimate!!Total:!!Lithuanian</t>
  </si>
  <si>
    <t>Own Children Under 18 Years by Family Type and Age</t>
  </si>
  <si>
    <t>B09002</t>
  </si>
  <si>
    <t>B04004_054</t>
  </si>
  <si>
    <t>Estimate!!Total:!!Luxembourger</t>
  </si>
  <si>
    <t>B04004_055</t>
  </si>
  <si>
    <t>Estimate!!Total:!!Macedonian</t>
  </si>
  <si>
    <t>B04004_056</t>
  </si>
  <si>
    <t>Estimate!!Total:!!Maltese</t>
  </si>
  <si>
    <t>B04004_057</t>
  </si>
  <si>
    <t>Estimate!!Total:!!New Zealander</t>
  </si>
  <si>
    <t>B09005_001</t>
  </si>
  <si>
    <t>B04004_058</t>
  </si>
  <si>
    <t>Estimate!!Total:!!Northern European</t>
  </si>
  <si>
    <t>Household Type for Children Under 18 Years in Households (Excluding Householders, Spouses, and Unmarried Partners)</t>
  </si>
  <si>
    <t>B09005</t>
  </si>
  <si>
    <t>B04004_059</t>
  </si>
  <si>
    <t>Estimate!!Total:!!Norwegian</t>
  </si>
  <si>
    <t>B04004_060</t>
  </si>
  <si>
    <t>Estimate!!Total:!!Pennsylvania German</t>
  </si>
  <si>
    <t>B04004_061</t>
  </si>
  <si>
    <t>Estimate!!Total:!!Polish</t>
  </si>
  <si>
    <t>B04004_062</t>
  </si>
  <si>
    <t>Estimate!!Total:!!Portuguese</t>
  </si>
  <si>
    <t>B04004_063</t>
  </si>
  <si>
    <t>Estimate!!Total:!!Romanian</t>
  </si>
  <si>
    <t>B04004_064</t>
  </si>
  <si>
    <t>Estimate!!Total:!!Russian</t>
  </si>
  <si>
    <t>B04004_065</t>
  </si>
  <si>
    <t>Estimate!!Total:!!Scandinavian</t>
  </si>
  <si>
    <t>B04004_066</t>
  </si>
  <si>
    <t>Estimate!!Total:!!Scotch-Irish</t>
  </si>
  <si>
    <t>B04004_067</t>
  </si>
  <si>
    <t>Estimate!!Total:!!Scottish</t>
  </si>
  <si>
    <t>B04004_068</t>
  </si>
  <si>
    <t>Estimate!!Total:!!Serbian</t>
  </si>
  <si>
    <t>B04004_069</t>
  </si>
  <si>
    <t>Estimate!!Total:!!Slavic</t>
  </si>
  <si>
    <t>B04004_070</t>
  </si>
  <si>
    <t>Estimate!!Total:!!Slovak</t>
  </si>
  <si>
    <t>B04004_071</t>
  </si>
  <si>
    <t>Estimate!!Total:!!Slovene</t>
  </si>
  <si>
    <t>B04004_072</t>
  </si>
  <si>
    <t>Estimate!!Total:!!Soviet Union</t>
  </si>
  <si>
    <t>B04004_073</t>
  </si>
  <si>
    <t>Estimate!!Total:!!Subsaharan African:</t>
  </si>
  <si>
    <t>B04004_074</t>
  </si>
  <si>
    <t>Estimate!!Total:!!Subsaharan African:!!Cape Verdean</t>
  </si>
  <si>
    <t>B04004_075</t>
  </si>
  <si>
    <t>Estimate!!Total:!!Subsaharan African:!!Ethiopian</t>
  </si>
  <si>
    <t>B04004_076</t>
  </si>
  <si>
    <t>Estimate!!Total:!!Subsaharan African:!!Ghanaian</t>
  </si>
  <si>
    <t>B04004_077</t>
  </si>
  <si>
    <t>Estimate!!Total:!!Subsaharan African:!!Kenyan</t>
  </si>
  <si>
    <t>B04004_078</t>
  </si>
  <si>
    <t>Estimate!!Total:!!Subsaharan African:!!Liberian</t>
  </si>
  <si>
    <t>B04004_079</t>
  </si>
  <si>
    <t>Estimate!!Total:!!Subsaharan African:!!Nigerian</t>
  </si>
  <si>
    <t>B04004_080</t>
  </si>
  <si>
    <t>Estimate!!Total:!!Subsaharan African:!!Senegalese</t>
  </si>
  <si>
    <t>B04004_081</t>
  </si>
  <si>
    <t>Estimate!!Total:!!Subsaharan African:!!Sierra Leonean</t>
  </si>
  <si>
    <t>B04004_082</t>
  </si>
  <si>
    <t>Estimate!!Total:!!Subsaharan African:!!Somali</t>
  </si>
  <si>
    <t>B04004_083</t>
  </si>
  <si>
    <t>Estimate!!Total:!!Subsaharan African:!!South African</t>
  </si>
  <si>
    <t>B04004_084</t>
  </si>
  <si>
    <t>Estimate!!Total:!!Subsaharan African:!!Sudanese</t>
  </si>
  <si>
    <t>B04004_085</t>
  </si>
  <si>
    <t>Estimate!!Total:!!Subsaharan African:!!Ugandan</t>
  </si>
  <si>
    <t>B04004_086</t>
  </si>
  <si>
    <t>Estimate!!Total:!!Subsaharan African:!!Zimbabwean</t>
  </si>
  <si>
    <t>B04004_087</t>
  </si>
  <si>
    <t>Estimate!!Total:!!Subsaharan African:!!African</t>
  </si>
  <si>
    <t>B04004_088</t>
  </si>
  <si>
    <t>Estimate!!Total:!!Subsaharan African:!!Other Subsaharan African</t>
  </si>
  <si>
    <t>B04004_089</t>
  </si>
  <si>
    <t>Estimate!!Total:!!Swedish</t>
  </si>
  <si>
    <t>B04004_090</t>
  </si>
  <si>
    <t>Estimate!!Total:!!Swiss</t>
  </si>
  <si>
    <t>B04004_091</t>
  </si>
  <si>
    <t>Estimate!!Total:!!Turkish</t>
  </si>
  <si>
    <t>housing, demographic</t>
  </si>
  <si>
    <t>B04004_092</t>
  </si>
  <si>
    <t>Estimate!!Total:!!Ukrainian</t>
  </si>
  <si>
    <t>B04004_093</t>
  </si>
  <si>
    <t>Estimate!!Total:!!Welsh</t>
  </si>
  <si>
    <t>B04004_094</t>
  </si>
  <si>
    <t>Estimate!!Total:!!West Indian (except Hispanic groups):</t>
  </si>
  <si>
    <t>B04004_095</t>
  </si>
  <si>
    <t>Estimate!!Total:!!West Indian (except Hispanic groups):!!Bahamian</t>
  </si>
  <si>
    <t>B04004_096</t>
  </si>
  <si>
    <t>Estimate!!Total:!!West Indian (except Hispanic groups):!!Barbadian</t>
  </si>
  <si>
    <t>B04004_097</t>
  </si>
  <si>
    <t>Estimate!!Total:!!West Indian (except Hispanic groups):!!Belizean</t>
  </si>
  <si>
    <t>B04004_098</t>
  </si>
  <si>
    <t>Estimate!!Total:!!West Indian (except Hispanic groups):!!Bermudan</t>
  </si>
  <si>
    <t>B04004_099</t>
  </si>
  <si>
    <t>Estimate!!Total:!!West Indian (except Hispanic groups):!!British West Indian</t>
  </si>
  <si>
    <t>B04004_100</t>
  </si>
  <si>
    <t>Estimate!!Total:!!West Indian (except Hispanic groups):!!Dutch West Indian</t>
  </si>
  <si>
    <t>B04004_101</t>
  </si>
  <si>
    <t>Estimate!!Total:!!West Indian (except Hispanic groups):!!Haitian</t>
  </si>
  <si>
    <t>B04004_102</t>
  </si>
  <si>
    <t>Estimate!!Total:!!West Indian (except Hispanic groups):!!Jamaican</t>
  </si>
  <si>
    <t>B04004_103</t>
  </si>
  <si>
    <t>Estimate!!Total:!!West Indian (except Hispanic groups):!!Trinidadian and Tobagonian</t>
  </si>
  <si>
    <t>B04004_104</t>
  </si>
  <si>
    <t>Estimate!!Total:!!West Indian (except Hispanic groups):!!U.S. Virgin Islander</t>
  </si>
  <si>
    <t>B09010_001</t>
  </si>
  <si>
    <t>B04004_105</t>
  </si>
  <si>
    <t>Estimate!!Total:!!West Indian (except Hispanic groups):!!West Indian</t>
  </si>
  <si>
    <t>B04004_106</t>
  </si>
  <si>
    <t>Estimate!!Total:!!West Indian (except Hispanic groups):!!Other West Indian</t>
  </si>
  <si>
    <t>B09010</t>
  </si>
  <si>
    <t>B04004_107</t>
  </si>
  <si>
    <t>Estimate!!Total:!!Yugoslavian</t>
  </si>
  <si>
    <t>B04004_108</t>
  </si>
  <si>
    <t>Estimate!!Total:!!Other groups</t>
  </si>
  <si>
    <t>B09018_001</t>
  </si>
  <si>
    <t>B04005_002</t>
  </si>
  <si>
    <t>Relationship to Householder for Children Under 18 Years in Households</t>
  </si>
  <si>
    <t>B09018</t>
  </si>
  <si>
    <t>B04005_003</t>
  </si>
  <si>
    <t>demographic, housing</t>
  </si>
  <si>
    <t>B04005_004</t>
  </si>
  <si>
    <t>B04005_005</t>
  </si>
  <si>
    <t>B04005_006</t>
  </si>
  <si>
    <t>B09019_001</t>
  </si>
  <si>
    <t>B04005_007</t>
  </si>
  <si>
    <t>Household Type (Including Living Alone) by Relationship</t>
  </si>
  <si>
    <t>B09019</t>
  </si>
  <si>
    <t>B04005_008</t>
  </si>
  <si>
    <t>B04005_009</t>
  </si>
  <si>
    <t>B04005_010</t>
  </si>
  <si>
    <t>B09020_001</t>
  </si>
  <si>
    <t>Relationship by Household Type (Including Living Alone) for the Population 65 Years and Over</t>
  </si>
  <si>
    <t>B04005_011</t>
  </si>
  <si>
    <t>B09020</t>
  </si>
  <si>
    <t>B04005_012</t>
  </si>
  <si>
    <t>B04005_013</t>
  </si>
  <si>
    <t>B04005_014</t>
  </si>
  <si>
    <t>B09021_001</t>
  </si>
  <si>
    <t>B04005_015</t>
  </si>
  <si>
    <t>Living Arrangements of Adults 18 Years and Over by Age</t>
  </si>
  <si>
    <t>B09021</t>
  </si>
  <si>
    <t>B04005_016</t>
  </si>
  <si>
    <t>B04005_017</t>
  </si>
  <si>
    <t>B04005_018</t>
  </si>
  <si>
    <t>B10001_001</t>
  </si>
  <si>
    <t>B04005_019</t>
  </si>
  <si>
    <t>Grandchildren Under 18 Years Living With a Grandparent Householder by Age of Grandchild</t>
  </si>
  <si>
    <t>B10001</t>
  </si>
  <si>
    <t>B04005_020</t>
  </si>
  <si>
    <t>demographic, human services</t>
  </si>
  <si>
    <t>B04005_021</t>
  </si>
  <si>
    <t>B04005_022</t>
  </si>
  <si>
    <t>B10002_001</t>
  </si>
  <si>
    <t>B04005_023</t>
  </si>
  <si>
    <t>Grandchildren Under 18 Years Living With a Grandparent Householder by Grandparent Responsibility and Presence of Parent</t>
  </si>
  <si>
    <t>B10002</t>
  </si>
  <si>
    <t>B04005_024</t>
  </si>
  <si>
    <t>B04005_025</t>
  </si>
  <si>
    <t>B10010_001</t>
  </si>
  <si>
    <t>B04005_026</t>
  </si>
  <si>
    <t>Estimate!!Median family income in the past 12 months--!!Total:</t>
  </si>
  <si>
    <t>B04005_027</t>
  </si>
  <si>
    <t>Median Family Income for Families With Grandparent Householders and/or Spouses Living With Own Grandchildren Under 18 Years by Responsibility for Own Grandchildren and Presence of Parent of Grandchildren</t>
  </si>
  <si>
    <t>B10010</t>
  </si>
  <si>
    <t>B04005_028</t>
  </si>
  <si>
    <t>income, human services</t>
  </si>
  <si>
    <t>B04005_029</t>
  </si>
  <si>
    <t>B10050_001</t>
  </si>
  <si>
    <t>B04005_030</t>
  </si>
  <si>
    <t>Grandparents Living With Own Grandchildren Under 18 Years by Responsibility for Own Grandchildren by Length of Time Responsible for Own Grandchildren for the Population 30 Years and Over</t>
  </si>
  <si>
    <t>B10050</t>
  </si>
  <si>
    <t>B04005_031</t>
  </si>
  <si>
    <t>B04005_032</t>
  </si>
  <si>
    <t>B10051_001</t>
  </si>
  <si>
    <t>B04005_033</t>
  </si>
  <si>
    <t>Grandparents Living With Own Grandchildren Under 18 Years by Responsibility for Own Grandchildren by Presence of Parent of Grandchildren and Age of Grandparent</t>
  </si>
  <si>
    <t>B10051</t>
  </si>
  <si>
    <t>B04005_034</t>
  </si>
  <si>
    <t>B04005_035</t>
  </si>
  <si>
    <t>B10051A_001</t>
  </si>
  <si>
    <t>B04005_036</t>
  </si>
  <si>
    <t>Grandparents Living With Own Grandchildren Under 18 Years by Responsibility for Own Grandchildren and Age of Grandparent (White Alone)</t>
  </si>
  <si>
    <t>B10051A</t>
  </si>
  <si>
    <t>B04005_037</t>
  </si>
  <si>
    <t>B04005_038</t>
  </si>
  <si>
    <t>B10051B_001</t>
  </si>
  <si>
    <t>B04005_039</t>
  </si>
  <si>
    <t>Grandparents Living With Own Grandchildren Under 18 Years by Responsibility for Own Grandchildren and Age of Grandparent (Black or African American Alone)</t>
  </si>
  <si>
    <t>B04005_040</t>
  </si>
  <si>
    <t>B10051B</t>
  </si>
  <si>
    <t>B04005_041</t>
  </si>
  <si>
    <t>demographic, human services, race</t>
  </si>
  <si>
    <t>B04005_042</t>
  </si>
  <si>
    <t>B10051C_001</t>
  </si>
  <si>
    <t>B04005_043</t>
  </si>
  <si>
    <t>Grandparents Living With Own Grandchildren Under 18 Years by Responsibility for Own Grandchildren and Age of Grandparent (American Indian and Alaska Native Alone)</t>
  </si>
  <si>
    <t>B10051C</t>
  </si>
  <si>
    <t>B04005_044</t>
  </si>
  <si>
    <t>B04005_045</t>
  </si>
  <si>
    <t>B04005_046</t>
  </si>
  <si>
    <t>B10051D_001</t>
  </si>
  <si>
    <t>B04005_047</t>
  </si>
  <si>
    <t>Grandparents Living With Own Grandchildren Under 18 Years by Responsibility for Own Grandchildren and Age of Grandparent (Asian Alone)</t>
  </si>
  <si>
    <t>B04005_048</t>
  </si>
  <si>
    <t>B10051D</t>
  </si>
  <si>
    <t>B04005_049</t>
  </si>
  <si>
    <t>B04005_050</t>
  </si>
  <si>
    <t>B10051E_001</t>
  </si>
  <si>
    <t>B04005_051</t>
  </si>
  <si>
    <t>Grandparents Living With Own Grandchildren Under 18 Years by Responsibility for Own Grandchildren and Age of Grandparent (Native Hawaiian and Other Pacific Islander Alone)</t>
  </si>
  <si>
    <t>B10051E</t>
  </si>
  <si>
    <t>B04005_052</t>
  </si>
  <si>
    <t>B04005_053</t>
  </si>
  <si>
    <t>B04005_054</t>
  </si>
  <si>
    <t>B04005_055</t>
  </si>
  <si>
    <t>B04005_056</t>
  </si>
  <si>
    <t>B04005_057</t>
  </si>
  <si>
    <t>B10051F_001</t>
  </si>
  <si>
    <t>Grandparents Living With Own Grandchildren Under 18 Years by Responsibility for Own Grandchildren and Age of Grandparent (Some Other Race Alone)</t>
  </si>
  <si>
    <t>B04005_058</t>
  </si>
  <si>
    <t>B10051F</t>
  </si>
  <si>
    <t>B04005_059</t>
  </si>
  <si>
    <t>B10051G_001</t>
  </si>
  <si>
    <t>B04005_060</t>
  </si>
  <si>
    <t>Grandparents Living With Own Grandchildren Under 18 Years by Responsibility for Own Grandchildren and Age of Grandparent (Two or More Races)</t>
  </si>
  <si>
    <t>B04005_061</t>
  </si>
  <si>
    <t>B10051G</t>
  </si>
  <si>
    <t>B04005_062</t>
  </si>
  <si>
    <t>B04005_063</t>
  </si>
  <si>
    <t>B10051H_001</t>
  </si>
  <si>
    <t>B04005_064</t>
  </si>
  <si>
    <t>Grandparents Living With Own Grandchildren Under 18 Years by Responsibility for Own Grandchildren and Age of Grandparent (White Alone, Not Hispanic or Latino)</t>
  </si>
  <si>
    <t>B10051H</t>
  </si>
  <si>
    <t>B04005_065</t>
  </si>
  <si>
    <t>B04005_066</t>
  </si>
  <si>
    <t>B10051I_001</t>
  </si>
  <si>
    <t>B04005_067</t>
  </si>
  <si>
    <t>Grandparents Living With Own Grandchildren Under 18 Years by Responsibility for Own Grandchildren and Age of Grandparent (Hispanic or Latino)</t>
  </si>
  <si>
    <t>B10051I</t>
  </si>
  <si>
    <t>B04005_068</t>
  </si>
  <si>
    <t>B04005_069</t>
  </si>
  <si>
    <t>B10052_001</t>
  </si>
  <si>
    <t>B04005_070</t>
  </si>
  <si>
    <t>Disability Status of Grandparents Living With Own Grandchildren Under 18 Years by Responsibility for Own Grandchildren and Age of Grandparent</t>
  </si>
  <si>
    <t>B10052</t>
  </si>
  <si>
    <t>B04005_071</t>
  </si>
  <si>
    <t>human services, demographic</t>
  </si>
  <si>
    <t>B04005_072</t>
  </si>
  <si>
    <t>B10053_001</t>
  </si>
  <si>
    <t>Nativity by Grandparents Responsible for Own Grandchildren Under 18 Years by Age of Grandparent</t>
  </si>
  <si>
    <t>B10053</t>
  </si>
  <si>
    <t>B10054_001</t>
  </si>
  <si>
    <t>B04005_073</t>
  </si>
  <si>
    <t>Language and Ability to Speak English of Grandparents Living With Own Grandchildren Under 18 Years by Responsibility for Own Grandchildren and Age of Grandparent</t>
  </si>
  <si>
    <t>B10054</t>
  </si>
  <si>
    <t>B04005_074</t>
  </si>
  <si>
    <t>language, demographic, human services</t>
  </si>
  <si>
    <t>B04005_075</t>
  </si>
  <si>
    <t>B04005_076</t>
  </si>
  <si>
    <t>B04005_077</t>
  </si>
  <si>
    <t>B04005_078</t>
  </si>
  <si>
    <t>B04005_079</t>
  </si>
  <si>
    <t>B04005_080</t>
  </si>
  <si>
    <t>B10056_001</t>
  </si>
  <si>
    <t>Sex of Grandparents Living With Own Grandchildren Under 18 Years by Responsibility for Own Grandchildren and Age of Grandparent</t>
  </si>
  <si>
    <t>B10056</t>
  </si>
  <si>
    <t>B04005_081</t>
  </si>
  <si>
    <t>B04005_082</t>
  </si>
  <si>
    <t>B04005_083</t>
  </si>
  <si>
    <t>B10057_001</t>
  </si>
  <si>
    <t>B04005_084</t>
  </si>
  <si>
    <t>Marital Status by Grandparents Living With Own Grandchildren Under 18 Years by Responsibility for Own Grandchildren and Age of Grandparent</t>
  </si>
  <si>
    <t>B10057</t>
  </si>
  <si>
    <t>B04005_085</t>
  </si>
  <si>
    <t>B04005_086</t>
  </si>
  <si>
    <t>B10058_001</t>
  </si>
  <si>
    <t>Employment Status of Grandparents Living With Own Grandchildren Under 18 Years by Responsibility for Own Grandchildren and Age of Grandparent</t>
  </si>
  <si>
    <t>B04005_087</t>
  </si>
  <si>
    <t>B10058</t>
  </si>
  <si>
    <t>B04005_088</t>
  </si>
  <si>
    <t>B10059_001</t>
  </si>
  <si>
    <t>B04005_089</t>
  </si>
  <si>
    <t>B04005_090</t>
  </si>
  <si>
    <t>Poverty Status in the Past 12 Months of Grandparents Living With Own Grandchildren Under 18 Years by Responsibility for Own Grandchildren and Age of Grandparent</t>
  </si>
  <si>
    <t>B10059</t>
  </si>
  <si>
    <t>B04005_091</t>
  </si>
  <si>
    <t>income, economy, demographic</t>
  </si>
  <si>
    <t>B04005_092</t>
  </si>
  <si>
    <t>B10063_001</t>
  </si>
  <si>
    <t>B04005_093</t>
  </si>
  <si>
    <t>Households With Grandparents Living With Own Grandchildren Under 18 Years by Responsibility for Own Grandchildren and Presence of Parent of Grandchildren</t>
  </si>
  <si>
    <t>B10063</t>
  </si>
  <si>
    <t>B04005_094</t>
  </si>
  <si>
    <t>housing, demographic, human services</t>
  </si>
  <si>
    <t>B04005_095</t>
  </si>
  <si>
    <t>B11001_001</t>
  </si>
  <si>
    <t>B04005_096</t>
  </si>
  <si>
    <t>B11001</t>
  </si>
  <si>
    <t>B04005_097</t>
  </si>
  <si>
    <t>housing</t>
  </si>
  <si>
    <t>B04005_098</t>
  </si>
  <si>
    <t>B11001A_001</t>
  </si>
  <si>
    <t>B04005_099</t>
  </si>
  <si>
    <t>Household Type (Including Living Alone) (White Alone)</t>
  </si>
  <si>
    <t>B11001A</t>
  </si>
  <si>
    <t>B04005_100</t>
  </si>
  <si>
    <t>housing, race</t>
  </si>
  <si>
    <t>B11001B_001</t>
  </si>
  <si>
    <t>B04005_101</t>
  </si>
  <si>
    <t>Household Type (Including Living Alone) (Black or African American Alone)</t>
  </si>
  <si>
    <t>B11001B</t>
  </si>
  <si>
    <t>B04005_102</t>
  </si>
  <si>
    <t>B04005_103</t>
  </si>
  <si>
    <t>B11001C_001</t>
  </si>
  <si>
    <t>B04005_104</t>
  </si>
  <si>
    <t>Household Type (Including Living Alone) (American Indian and Alaska Native Alone)</t>
  </si>
  <si>
    <t>B11001C</t>
  </si>
  <si>
    <t>B04005_105</t>
  </si>
  <si>
    <t>B04005_106</t>
  </si>
  <si>
    <t>B11001D_001</t>
  </si>
  <si>
    <t>B04005_107</t>
  </si>
  <si>
    <t>Household Type (Including Living Alone) (Asian Alone)</t>
  </si>
  <si>
    <t>B11001D</t>
  </si>
  <si>
    <t>B04005_108</t>
  </si>
  <si>
    <t>B11001E_001</t>
  </si>
  <si>
    <t>Household Type (Including Living Alone) (Native Hawaiian and Other Pacific Islander Alone)</t>
  </si>
  <si>
    <t>B11001E</t>
  </si>
  <si>
    <t>B04006_002</t>
  </si>
  <si>
    <t>B04006_003</t>
  </si>
  <si>
    <t>B11001F_001</t>
  </si>
  <si>
    <t>B04006_004</t>
  </si>
  <si>
    <t>Household Type (Including Living Alone) (Some Other Race Alone)</t>
  </si>
  <si>
    <t>B11001F</t>
  </si>
  <si>
    <t>B04006_005</t>
  </si>
  <si>
    <t>B04006_006</t>
  </si>
  <si>
    <t>B11001G_001</t>
  </si>
  <si>
    <t>B04006_007</t>
  </si>
  <si>
    <t>Household Type (Including Living Alone) (Two or More Races)</t>
  </si>
  <si>
    <t>B11001G</t>
  </si>
  <si>
    <t>B04006_008</t>
  </si>
  <si>
    <t>B04006_009</t>
  </si>
  <si>
    <t>B11001H_001</t>
  </si>
  <si>
    <t>B04006_010</t>
  </si>
  <si>
    <t>Household Type (Including Living Alone) (White Alone, Not Hispanic or Latino)</t>
  </si>
  <si>
    <t>B11001H</t>
  </si>
  <si>
    <t>B04006_011</t>
  </si>
  <si>
    <t>B04006_012</t>
  </si>
  <si>
    <t>B11001I_001</t>
  </si>
  <si>
    <t>B04006_013</t>
  </si>
  <si>
    <t>Household Type (Including Living Alone) (Hispanic or Latino)</t>
  </si>
  <si>
    <t>B11001I</t>
  </si>
  <si>
    <t>B04006_014</t>
  </si>
  <si>
    <t>B04006_015</t>
  </si>
  <si>
    <t>B11002_001</t>
  </si>
  <si>
    <t>Household Type by Relatives and Nonrelatives for Population in Households</t>
  </si>
  <si>
    <t>B11002</t>
  </si>
  <si>
    <t>B04006_016</t>
  </si>
  <si>
    <t>B04006_017</t>
  </si>
  <si>
    <t>B11002A_001</t>
  </si>
  <si>
    <t>B04006_018</t>
  </si>
  <si>
    <t>Household Type by Relatives and Nonrelatives for Population in Households (White Alone)</t>
  </si>
  <si>
    <t>B11002A</t>
  </si>
  <si>
    <t>B04006_019</t>
  </si>
  <si>
    <t>housing, demographic, race</t>
  </si>
  <si>
    <t>B04006_020</t>
  </si>
  <si>
    <t>B11002B_001</t>
  </si>
  <si>
    <t>B04006_021</t>
  </si>
  <si>
    <t>Household Type by Relatives and Nonrelatives for Population in Households (Black or African American Alone)</t>
  </si>
  <si>
    <t>B11002B</t>
  </si>
  <si>
    <t>B04006_022</t>
  </si>
  <si>
    <t>B04006_023</t>
  </si>
  <si>
    <t>B04006_024</t>
  </si>
  <si>
    <t>B11002C_001</t>
  </si>
  <si>
    <t>Household Type by Relatives and Nonrelatives for Population in Households (American Indian and Alaska Native Alone)</t>
  </si>
  <si>
    <t>B04006_025</t>
  </si>
  <si>
    <t>B11002C</t>
  </si>
  <si>
    <t>B04006_026</t>
  </si>
  <si>
    <t>B11002D_001</t>
  </si>
  <si>
    <t>B04006_027</t>
  </si>
  <si>
    <t>Household Type by Relatives and Nonrelatives for Population in Households (Asian Alone)</t>
  </si>
  <si>
    <t>B11002D</t>
  </si>
  <si>
    <t>B04006_028</t>
  </si>
  <si>
    <t>B04006_029</t>
  </si>
  <si>
    <t>B11002E_001</t>
  </si>
  <si>
    <t>B04006_030</t>
  </si>
  <si>
    <t>Household Type by Relatives and Nonrelatives for Population in Households (Native Hawaiian and Other Pacific Islander Alone)</t>
  </si>
  <si>
    <t>B11002E</t>
  </si>
  <si>
    <t>B04006_031</t>
  </si>
  <si>
    <t>B04006_032</t>
  </si>
  <si>
    <t>B11002F_001</t>
  </si>
  <si>
    <t>Household Type by Relatives and Nonrelatives for Population in Households (Some Other Race Alone)</t>
  </si>
  <si>
    <t>B11002F</t>
  </si>
  <si>
    <t>B04006_033</t>
  </si>
  <si>
    <t>B04006_034</t>
  </si>
  <si>
    <t>B11002G_001</t>
  </si>
  <si>
    <t>Household Type by Relatives and Nonrelatives for Population in Households (Two or More Races)</t>
  </si>
  <si>
    <t>B04006_035</t>
  </si>
  <si>
    <t>B11002G</t>
  </si>
  <si>
    <t>B04006_036</t>
  </si>
  <si>
    <t>B04006_037</t>
  </si>
  <si>
    <t>B11002H_001</t>
  </si>
  <si>
    <t>B04006_038</t>
  </si>
  <si>
    <t>Household Type by Relatives and Nonrelatives for Population in Households (White Alone, Not Hispanic or Latino)</t>
  </si>
  <si>
    <t>B11002H</t>
  </si>
  <si>
    <t>B04006_039</t>
  </si>
  <si>
    <t>B04006_040</t>
  </si>
  <si>
    <t>B11002I_001</t>
  </si>
  <si>
    <t>Household Type by Relatives and Nonrelatives for Population in Households (Hispanic or Latino)</t>
  </si>
  <si>
    <t>B11002I</t>
  </si>
  <si>
    <t>B04006_041</t>
  </si>
  <si>
    <t>B04006_042</t>
  </si>
  <si>
    <t>B04006_043</t>
  </si>
  <si>
    <t>B11003_001</t>
  </si>
  <si>
    <t>B04006_044</t>
  </si>
  <si>
    <t>Family Type by Presence and Age of Own Children Under 18 Years</t>
  </si>
  <si>
    <t>B11003</t>
  </si>
  <si>
    <t>B04006_045</t>
  </si>
  <si>
    <t>B04006_046</t>
  </si>
  <si>
    <t>B11004_001</t>
  </si>
  <si>
    <t>Family Type by Presence and Age of Related Children Under 18 Years</t>
  </si>
  <si>
    <t>B11004</t>
  </si>
  <si>
    <t>B11005_001</t>
  </si>
  <si>
    <t>Households by Presence of People Under 18 Years by Household Type</t>
  </si>
  <si>
    <t>B11005</t>
  </si>
  <si>
    <t>B04006_047</t>
  </si>
  <si>
    <t>B04006_048</t>
  </si>
  <si>
    <t>B11006_001</t>
  </si>
  <si>
    <t>B04006_049</t>
  </si>
  <si>
    <t>Households by Presence of People 60 Years and Over by Household Type</t>
  </si>
  <si>
    <t>B11006</t>
  </si>
  <si>
    <t>B04006_050</t>
  </si>
  <si>
    <t>B04006_051</t>
  </si>
  <si>
    <t>B11007_001</t>
  </si>
  <si>
    <t>B04006_052</t>
  </si>
  <si>
    <t>Households by Presence of People 65 Years and Over, Household Size and Household Type</t>
  </si>
  <si>
    <t>B11007</t>
  </si>
  <si>
    <t>B04006_053</t>
  </si>
  <si>
    <t>B04006_054</t>
  </si>
  <si>
    <t>B11008_001</t>
  </si>
  <si>
    <t>Cohabiting Couple Households by Presence and Age of Own Children Under 18 Years</t>
  </si>
  <si>
    <t>B04006_055</t>
  </si>
  <si>
    <t>B11008</t>
  </si>
  <si>
    <t>B04006_056</t>
  </si>
  <si>
    <t>B04006_057</t>
  </si>
  <si>
    <t>B11009_001</t>
  </si>
  <si>
    <t>B04006_058</t>
  </si>
  <si>
    <t>Coupled Households by Type</t>
  </si>
  <si>
    <t>B11009</t>
  </si>
  <si>
    <t>B04006_059</t>
  </si>
  <si>
    <t>B04006_060</t>
  </si>
  <si>
    <t>B11010_001</t>
  </si>
  <si>
    <t>Nonfamily Households by Sex of Householder by Living Alone by Age of Householder</t>
  </si>
  <si>
    <t>B04006_061</t>
  </si>
  <si>
    <t>B11010</t>
  </si>
  <si>
    <t>B04006_062</t>
  </si>
  <si>
    <t>B11011_001</t>
  </si>
  <si>
    <t>Household Type by Units in Structure</t>
  </si>
  <si>
    <t>B04006_063</t>
  </si>
  <si>
    <t>B11011</t>
  </si>
  <si>
    <t>B11012_001</t>
  </si>
  <si>
    <t>Households by Type</t>
  </si>
  <si>
    <t>B04006_064</t>
  </si>
  <si>
    <t>B11012</t>
  </si>
  <si>
    <t>B04006_065</t>
  </si>
  <si>
    <t>B11013_001</t>
  </si>
  <si>
    <t>B04006_066</t>
  </si>
  <si>
    <t>Subfamily Type by Presence of Own Children Under 18 Years</t>
  </si>
  <si>
    <t>B11013</t>
  </si>
  <si>
    <t>B04006_067</t>
  </si>
  <si>
    <t>B04006_068</t>
  </si>
  <si>
    <t>B04006_069</t>
  </si>
  <si>
    <t>B04006_070</t>
  </si>
  <si>
    <t>B04006_071</t>
  </si>
  <si>
    <t>B11014_001</t>
  </si>
  <si>
    <t>Population in Subfamilies by Subfamily Type by Relationship</t>
  </si>
  <si>
    <t>B04006_072</t>
  </si>
  <si>
    <t>B11014</t>
  </si>
  <si>
    <t>B04006_073</t>
  </si>
  <si>
    <t>B11015_001</t>
  </si>
  <si>
    <t>B04006_074</t>
  </si>
  <si>
    <t>Households by Presence of Nonrelatives</t>
  </si>
  <si>
    <t>B11015</t>
  </si>
  <si>
    <t>B04006_075</t>
  </si>
  <si>
    <t>B04006_076</t>
  </si>
  <si>
    <t>B11016_001</t>
  </si>
  <si>
    <t>Household Type by Household Size</t>
  </si>
  <si>
    <t>B11016</t>
  </si>
  <si>
    <t>B04006_077</t>
  </si>
  <si>
    <t>B04006_078</t>
  </si>
  <si>
    <t>B04006_079</t>
  </si>
  <si>
    <t>B11017_001</t>
  </si>
  <si>
    <t>Multigenerational Households</t>
  </si>
  <si>
    <t>B04006_080</t>
  </si>
  <si>
    <t>B11017</t>
  </si>
  <si>
    <t>B04006_081</t>
  </si>
  <si>
    <t>B04006_082</t>
  </si>
  <si>
    <t>B12001_001</t>
  </si>
  <si>
    <t>Sex by Marital Status for the Population 15 Years and Over</t>
  </si>
  <si>
    <t>B04006_083</t>
  </si>
  <si>
    <t>B12001</t>
  </si>
  <si>
    <t>B04006_084</t>
  </si>
  <si>
    <t>B04006_085</t>
  </si>
  <si>
    <t>B12002_001</t>
  </si>
  <si>
    <t>Sex by Marital Status by Age for the Population 15 Years and Over</t>
  </si>
  <si>
    <t>B12002</t>
  </si>
  <si>
    <t>B04006_086</t>
  </si>
  <si>
    <t>B04006_087</t>
  </si>
  <si>
    <t>B12002A_001</t>
  </si>
  <si>
    <t>Sex by Marital Status for the Population 15 Years and Over (White Alone)</t>
  </si>
  <si>
    <t>B04006_088</t>
  </si>
  <si>
    <t>B12002A</t>
  </si>
  <si>
    <t>B04006_089</t>
  </si>
  <si>
    <t>B12002B_001</t>
  </si>
  <si>
    <t>B04006_090</t>
  </si>
  <si>
    <t>Sex by Marital Status for the Population 15 Years and Over (Black or African American Alone)</t>
  </si>
  <si>
    <t>B12002B</t>
  </si>
  <si>
    <t>B04006_091</t>
  </si>
  <si>
    <t>B04006_092</t>
  </si>
  <si>
    <t>B12002C_001</t>
  </si>
  <si>
    <t>Sex by Marital Status for the Population 15 Years and Over (American Indian and Alaska Native Alone)</t>
  </si>
  <si>
    <t>B12002C</t>
  </si>
  <si>
    <t>B04006_093</t>
  </si>
  <si>
    <t>B04006_094</t>
  </si>
  <si>
    <t>B12002D_001</t>
  </si>
  <si>
    <t>Sex by Marital Status for the Population 15 Years and Over (Asian Alone)</t>
  </si>
  <si>
    <t>B04006_095</t>
  </si>
  <si>
    <t>B12002D</t>
  </si>
  <si>
    <t>B04006_096</t>
  </si>
  <si>
    <t>B04006_097</t>
  </si>
  <si>
    <t>B04006_098</t>
  </si>
  <si>
    <t>B12002E_001</t>
  </si>
  <si>
    <t>Sex by Marital Status for the Population 15 Years and Over (Native Hawaiian and Other Pacific Islander Alone)</t>
  </si>
  <si>
    <t>B12002E</t>
  </si>
  <si>
    <t>B04006_099</t>
  </si>
  <si>
    <t>B04006_100</t>
  </si>
  <si>
    <t>B12002F_001</t>
  </si>
  <si>
    <t>Sex by Marital Status for the Population 15 Years and Over (Some Other Race Alone)</t>
  </si>
  <si>
    <t>B04006_101</t>
  </si>
  <si>
    <t>B12002F</t>
  </si>
  <si>
    <t>B04006_102</t>
  </si>
  <si>
    <t>B12002G_001</t>
  </si>
  <si>
    <t>Sex by Marital Status for the Population 15 Years and Over (Two or More Races)</t>
  </si>
  <si>
    <t>B04006_103</t>
  </si>
  <si>
    <t>B12002G</t>
  </si>
  <si>
    <t>B04006_104</t>
  </si>
  <si>
    <t>B12002H_001</t>
  </si>
  <si>
    <t>Sex by Marital Status for the Population 15 Years and Over (White Alone, Not Hispanic or Latino)</t>
  </si>
  <si>
    <t>B04006_105</t>
  </si>
  <si>
    <t>B12002H</t>
  </si>
  <si>
    <t>B04006_106</t>
  </si>
  <si>
    <t>B12002I_001</t>
  </si>
  <si>
    <t>B04006_107</t>
  </si>
  <si>
    <t>Sex by Marital Status for the Population 15 Years and Over (Hispanic or Latino)</t>
  </si>
  <si>
    <t>B12002I</t>
  </si>
  <si>
    <t>B04006_108</t>
  </si>
  <si>
    <t>B12006_001</t>
  </si>
  <si>
    <t>B04006_109</t>
  </si>
  <si>
    <t>Estimate!!Total:!!Unclassified or not reported</t>
  </si>
  <si>
    <t>Marital Status by Sex by Labor Force Participation</t>
  </si>
  <si>
    <t>B12006</t>
  </si>
  <si>
    <t>B12007_001</t>
  </si>
  <si>
    <t>B04007_002</t>
  </si>
  <si>
    <t>Estimate!!Median age at first marriage --!!Male</t>
  </si>
  <si>
    <t>Estimate!!Total:!!Ancestry specified:</t>
  </si>
  <si>
    <t>Median Age at First Marriage</t>
  </si>
  <si>
    <t>B12007</t>
  </si>
  <si>
    <t>B04007_003</t>
  </si>
  <si>
    <t>Estimate!!Total:!!Ancestry specified:!!Single ancestry</t>
  </si>
  <si>
    <t>B04007_004</t>
  </si>
  <si>
    <t>B12007A_001</t>
  </si>
  <si>
    <t>Estimate!!Total:!!Ancestry specified:!!Multiple ancestry</t>
  </si>
  <si>
    <t>Median Age at First Marriage (White Alone)</t>
  </si>
  <si>
    <t>B12007A</t>
  </si>
  <si>
    <t>B04007_005</t>
  </si>
  <si>
    <t>Estimate!!Total:!!Ancestry not specified:</t>
  </si>
  <si>
    <t>B12007B_001</t>
  </si>
  <si>
    <t>Median Age at First Marriage (Black or African American Alone)</t>
  </si>
  <si>
    <t>B04007_006</t>
  </si>
  <si>
    <t>B12007B</t>
  </si>
  <si>
    <t>Estimate!!Total:!!Ancestry not specified:!!Ancestry unclassified</t>
  </si>
  <si>
    <t>B04007_007</t>
  </si>
  <si>
    <t>Estimate!!Total:!!Ancestry not specified:!!Ancestry not reported</t>
  </si>
  <si>
    <t>B12007C_001</t>
  </si>
  <si>
    <t>Median Age at First Marriage (American Indian and Alaska Native Alone)</t>
  </si>
  <si>
    <t>B12007C</t>
  </si>
  <si>
    <t>B05001PR_002</t>
  </si>
  <si>
    <t>Estimate!!Total:!!U.S. citizen, born in Puerto Rico</t>
  </si>
  <si>
    <t>B05001PR_003</t>
  </si>
  <si>
    <t>Estimate!!Total:!!U.S. citizen, born in U.S. or U.S. Island Areas</t>
  </si>
  <si>
    <t>B12007D_001</t>
  </si>
  <si>
    <t>Median Age at First Marriage (Asian Alone)</t>
  </si>
  <si>
    <t>B05001PR_004</t>
  </si>
  <si>
    <t>B12007D</t>
  </si>
  <si>
    <t>Estimate!!Total:!!U.S. citizen, born abroad of American parent(s)</t>
  </si>
  <si>
    <t>B05001PR_005</t>
  </si>
  <si>
    <t>Estimate!!Total:!!U.S. citizen by naturalization</t>
  </si>
  <si>
    <t>B12007E_001</t>
  </si>
  <si>
    <t>Median Age at First Marriage (Native Hawaiian and Other Pacific Islander Alone)</t>
  </si>
  <si>
    <t>B05001PR_006</t>
  </si>
  <si>
    <t>B12007E</t>
  </si>
  <si>
    <t>Estimate!!Total:!!Not a U.S. citizen</t>
  </si>
  <si>
    <t>B12007F_001</t>
  </si>
  <si>
    <t>B05001_002</t>
  </si>
  <si>
    <t>Median Age at First Marriage (Some Other Race Alone)</t>
  </si>
  <si>
    <t>Estimate!!Total:!!U.S. citizen, born in the United States</t>
  </si>
  <si>
    <t>B12007F</t>
  </si>
  <si>
    <t>B05001_003</t>
  </si>
  <si>
    <t>Estimate!!Total:!!U.S. citizen, born in Puerto Rico or U.S. Island Areas</t>
  </si>
  <si>
    <t>B12007G_001</t>
  </si>
  <si>
    <t>B05001_004</t>
  </si>
  <si>
    <t>Median Age at First Marriage (Two or More Races)</t>
  </si>
  <si>
    <t>B12007G</t>
  </si>
  <si>
    <t>B05001_005</t>
  </si>
  <si>
    <t>B05001_006</t>
  </si>
  <si>
    <t>B12007H_001</t>
  </si>
  <si>
    <t>Median Age at First Marriage (White Alone, Not Hispanic or Latino)</t>
  </si>
  <si>
    <t>B12007H</t>
  </si>
  <si>
    <t>B05002_002</t>
  </si>
  <si>
    <t>B12007I_001</t>
  </si>
  <si>
    <t>Estimate!!Total:!!Native:</t>
  </si>
  <si>
    <t>Median Age at First Marriage (Hispanic or Latino)</t>
  </si>
  <si>
    <t>B12007I</t>
  </si>
  <si>
    <t>B05002_003</t>
  </si>
  <si>
    <t>Estimate!!Total:!!Native:!!Born in state of residence</t>
  </si>
  <si>
    <t>B05002_004</t>
  </si>
  <si>
    <t>B12501_001</t>
  </si>
  <si>
    <t>Estimate!!Total:!!Native:!!Born in other state in the United States:</t>
  </si>
  <si>
    <t>Marriages in the Last Year by Sex by Marital Status for the Population 15 Years and Over</t>
  </si>
  <si>
    <t>B12501</t>
  </si>
  <si>
    <t>B05002_005</t>
  </si>
  <si>
    <t>Estimate!!Total:!!Native:!!Born in other state in the United States:!!Northeast</t>
  </si>
  <si>
    <t>B05002_006</t>
  </si>
  <si>
    <t>B12502_001</t>
  </si>
  <si>
    <t>Estimate!!Total:!!Native:!!Born in other state in the United States:!!Midwest</t>
  </si>
  <si>
    <t>Marriages Ending in Widowhood in the Last Year by Sex by Marital Status for the Population 15 Years and Over</t>
  </si>
  <si>
    <t>B12502</t>
  </si>
  <si>
    <t>B05002_007</t>
  </si>
  <si>
    <t>Estimate!!Total:!!Native:!!Born in other state in the United States:!!South</t>
  </si>
  <si>
    <t>B05002_008</t>
  </si>
  <si>
    <t>B12503_001</t>
  </si>
  <si>
    <t>Estimate!!Total:!!Native:!!Born in other state in the United States:!!West</t>
  </si>
  <si>
    <t>Divorces in the Last Year by Sex by Marital Status for the Population 15 Years and Over</t>
  </si>
  <si>
    <t>B12503</t>
  </si>
  <si>
    <t>B05002_009</t>
  </si>
  <si>
    <t>Estimate!!Total:!!Native:!!Born outside the United States:</t>
  </si>
  <si>
    <t>B05002_010</t>
  </si>
  <si>
    <t>B12504_001</t>
  </si>
  <si>
    <t>Estimate!!Total:!!Native:!!Born outside the United States:!!Puerto Rico</t>
  </si>
  <si>
    <t>B05002_011</t>
  </si>
  <si>
    <t>Median Duration of Current Marriage in Years by Sex by Marital Status for the Married Population 15 Years and Over</t>
  </si>
  <si>
    <t>Estimate!!Total:!!Native:!!Born outside the United States:!!U.S. Island Areas</t>
  </si>
  <si>
    <t>B12504</t>
  </si>
  <si>
    <t>B05002_012</t>
  </si>
  <si>
    <t>Estimate!!Total:!!Native:!!Born outside the United States:!!Born abroad of American parent(s)</t>
  </si>
  <si>
    <t>B12505_001</t>
  </si>
  <si>
    <t>B05002_013</t>
  </si>
  <si>
    <t>Number of Times Married by Sex by Marital Status for the Population 15 Years and Over</t>
  </si>
  <si>
    <t>Estimate!!Total:!!Foreign-born:</t>
  </si>
  <si>
    <t>B12505</t>
  </si>
  <si>
    <t>B05002_014</t>
  </si>
  <si>
    <t>Estimate!!Total:!!Foreign-born:!!Naturalized U.S. citizen</t>
  </si>
  <si>
    <t>B13002_001</t>
  </si>
  <si>
    <t>B05002_015</t>
  </si>
  <si>
    <t>Women 15 to 50 Years Who Had a Birth in the Past 12 Months by Marital Status and Age</t>
  </si>
  <si>
    <t>Estimate!!Total:!!Foreign-born:!!Naturalized U.S. citizen!!Europe</t>
  </si>
  <si>
    <t>B13002</t>
  </si>
  <si>
    <t>B05002_016</t>
  </si>
  <si>
    <t>Estimate!!Total:!!Foreign-born:!!Naturalized U.S. citizen!!Asia</t>
  </si>
  <si>
    <t>B13002A_001</t>
  </si>
  <si>
    <t>B05002_017</t>
  </si>
  <si>
    <t>Women 15 to 50 Years Who Had a Birth in the Past 12 Months by Marital Status (White Alone)</t>
  </si>
  <si>
    <t>B13002A</t>
  </si>
  <si>
    <t>B13002B_001</t>
  </si>
  <si>
    <t>Women 15 to 50 Years Who Had a Birth in the Past 12 Months by Marital Status (Black or African American Alone)</t>
  </si>
  <si>
    <t>B13002B</t>
  </si>
  <si>
    <t>Estimate!!Total:!!Foreign-born:!!Naturalized U.S. citizen!!Africa</t>
  </si>
  <si>
    <t>B13002C_001</t>
  </si>
  <si>
    <t>Women 15 to 50 Years Who Had a Birth in the Past 12 Months by Marital Status (American Indian and Alaska Native Alone)</t>
  </si>
  <si>
    <t>B13002C</t>
  </si>
  <si>
    <t>B05002_018</t>
  </si>
  <si>
    <t>Estimate!!Total:!!Foreign-born:!!Naturalized U.S. citizen!!Oceania</t>
  </si>
  <si>
    <t>B05002_019</t>
  </si>
  <si>
    <t>B13002D_001</t>
  </si>
  <si>
    <t>Estimate!!Total:!!Foreign-born:!!Naturalized U.S. citizen!!Latin America</t>
  </si>
  <si>
    <t>Women 15 to 50 Years Who Had a Birth in the Past 12 Months by Marital Status (Asian Alone)</t>
  </si>
  <si>
    <t>B13002D</t>
  </si>
  <si>
    <t>B05002_020</t>
  </si>
  <si>
    <t>Estimate!!Total:!!Foreign-born:!!Naturalized U.S. citizen!!Northern America</t>
  </si>
  <si>
    <t>B13002E_001</t>
  </si>
  <si>
    <t>B05002_021</t>
  </si>
  <si>
    <t>Estimate!!Total:!!Foreign-born:!!Not a U.S. citizen</t>
  </si>
  <si>
    <t>Women 15 to 50 Years Who Had a Birth in the Past 12 Months by Marital Status (Native Hawaiian and Other Pacific Islander Alone)</t>
  </si>
  <si>
    <t>B13002E</t>
  </si>
  <si>
    <t>B05002_022</t>
  </si>
  <si>
    <t>Estimate!!Total:!!Foreign-born:!!Not a U.S. citizen!!Europe</t>
  </si>
  <si>
    <t>B13002F_001</t>
  </si>
  <si>
    <t>B05002_023</t>
  </si>
  <si>
    <t>Estimate!!Total:!!Foreign-born:!!Not a U.S. citizen!!Asia</t>
  </si>
  <si>
    <t>Women 15 to 50 Years Who Had a Birth in the Past 12 Months by Marital Status (Some Other Race Alone)</t>
  </si>
  <si>
    <t>B13002F</t>
  </si>
  <si>
    <t>B05002_024</t>
  </si>
  <si>
    <t>Estimate!!Total:!!Foreign-born:!!Not a U.S. citizen!!Africa</t>
  </si>
  <si>
    <t>B13002G_001</t>
  </si>
  <si>
    <t>B05002_025</t>
  </si>
  <si>
    <t>Estimate!!Total:!!Foreign-born:!!Not a U.S. citizen!!Oceania</t>
  </si>
  <si>
    <t>Women 15 to 50 Years Who Had a Birth in the Past 12 Months by Marital Status (Two or More Races)</t>
  </si>
  <si>
    <t>B13002G</t>
  </si>
  <si>
    <t>B05002_026</t>
  </si>
  <si>
    <t>Estimate!!Total:!!Foreign-born:!!Not a U.S. citizen!!Latin America</t>
  </si>
  <si>
    <t>B05002_027</t>
  </si>
  <si>
    <t>B13002H_001</t>
  </si>
  <si>
    <t>Estimate!!Total:!!Foreign-born:!!Not a U.S. citizen!!Northern America</t>
  </si>
  <si>
    <t>Women 15 to 50 Years Who Had a Birth in the Past 12 Months by Marital Status (White Alone, Not Hispanic or Latino)</t>
  </si>
  <si>
    <t>B13002H</t>
  </si>
  <si>
    <t>B13002I_001</t>
  </si>
  <si>
    <t>B05003A_002</t>
  </si>
  <si>
    <t>Women 15 to 50 Years Who Had a Birth in the Past 12 Months by Marital Status (Hispanic or Latino)</t>
  </si>
  <si>
    <t>B13002I</t>
  </si>
  <si>
    <t>B05003A_003</t>
  </si>
  <si>
    <t>Estimate!!Total:!!Male:!!Under 18 years:</t>
  </si>
  <si>
    <t>B13004_001</t>
  </si>
  <si>
    <t>B05003A_004</t>
  </si>
  <si>
    <t>Estimate!!Total:!!Male:!!Under 18 years:!!Native</t>
  </si>
  <si>
    <t>Women 15 to 50 Years Who Had a Birth in the Past 12 Months by Presence of Spouse or Unmarried Partner</t>
  </si>
  <si>
    <t>B13004</t>
  </si>
  <si>
    <t>B05003A_005</t>
  </si>
  <si>
    <t>Estimate!!Total:!!Male:!!Under 18 years:!!Foreign-born:</t>
  </si>
  <si>
    <t>B05003A_006</t>
  </si>
  <si>
    <t>Estimate!!Total:!!Male:!!Under 18 years:!!Foreign-born:!!Naturalized U.S. citizen</t>
  </si>
  <si>
    <t>B13008_001</t>
  </si>
  <si>
    <t>Women 15 to 50 Years Who Had a Birth in the Past 12 Months by Marital Status and Nativity</t>
  </si>
  <si>
    <t>B05003A_007</t>
  </si>
  <si>
    <t>B13008</t>
  </si>
  <si>
    <t>Estimate!!Total:!!Male:!!Under 18 years:!!Foreign-born:!!Not a U.S. citizen</t>
  </si>
  <si>
    <t>B05003A_008</t>
  </si>
  <si>
    <t>Estimate!!Total:!!Male:!!18 years and over:</t>
  </si>
  <si>
    <t>B13010_001</t>
  </si>
  <si>
    <t>B05003A_009</t>
  </si>
  <si>
    <t>Women 15 to 50 Years Who Had a Birth in the Past 12 Months by Marital Status and Poverty Status in the Past 12 Months</t>
  </si>
  <si>
    <t>Estimate!!Total:!!Male:!!18 years and over:!!Native</t>
  </si>
  <si>
    <t>B13010</t>
  </si>
  <si>
    <t>B05003A_010</t>
  </si>
  <si>
    <t>Estimate!!Total:!!Male:!!18 years and over:!!Foreign-born:</t>
  </si>
  <si>
    <t>B13012_001</t>
  </si>
  <si>
    <t>B05003A_011</t>
  </si>
  <si>
    <t>Women 16 to 50 Years Who Had a Birth in the Past 12 Months by Marital Status and Labor Force Status</t>
  </si>
  <si>
    <t>Estimate!!Total:!!Male:!!18 years and over:!!Foreign-born:!!Naturalized U.S. citizen</t>
  </si>
  <si>
    <t>B13012</t>
  </si>
  <si>
    <t>B05003A_012</t>
  </si>
  <si>
    <t>Estimate!!Total:!!Male:!!18 years and over:!!Foreign-born:!!Not a U.S. citizen</t>
  </si>
  <si>
    <t>B13014_001</t>
  </si>
  <si>
    <t>B05003A_013</t>
  </si>
  <si>
    <t>Women 15 to 50 Years Who Had a Birth in the Past 12 Months by Marital Status and Educational Attainment</t>
  </si>
  <si>
    <t>B13014</t>
  </si>
  <si>
    <t>B05003A_014</t>
  </si>
  <si>
    <t>Estimate!!Total:!!Female:!!Under 18 years:</t>
  </si>
  <si>
    <t>B05003A_015</t>
  </si>
  <si>
    <t>B13015_001</t>
  </si>
  <si>
    <t>Estimate!!Total:!!Female:!!Under 18 years:!!Native</t>
  </si>
  <si>
    <t>Women 15 to 50 Years Who Had a Birth in the Past 12 Months by Marital Status and Receipt of Public Assistance Income in the Past 12 Months</t>
  </si>
  <si>
    <t>B13015</t>
  </si>
  <si>
    <t>B05003A_016</t>
  </si>
  <si>
    <t>Estimate!!Total:!!Female:!!Under 18 years:!!Foreign-born:</t>
  </si>
  <si>
    <t>B05003A_017</t>
  </si>
  <si>
    <t>B13016_001</t>
  </si>
  <si>
    <t>Estimate!!Total:!!Female:!!Under 18 years:!!Foreign-born:!!Naturalized U.S. citizen</t>
  </si>
  <si>
    <t>Women 15 to 50 Years Who Had a Birth in the Past 12 Months by Age</t>
  </si>
  <si>
    <t>B13016</t>
  </si>
  <si>
    <t>B05003A_018</t>
  </si>
  <si>
    <t>Estimate!!Total:!!Female:!!Under 18 years:!!Foreign-born:!!Not a U.S. citizen</t>
  </si>
  <si>
    <t>B05003A_019</t>
  </si>
  <si>
    <t>Estimate!!Total:!!Female:!!18 years and over:</t>
  </si>
  <si>
    <t>B14001_001</t>
  </si>
  <si>
    <t>B05003A_020</t>
  </si>
  <si>
    <t>B14001</t>
  </si>
  <si>
    <t>Estimate!!Total:!!Female:!!18 years and over:!!Native</t>
  </si>
  <si>
    <t>education</t>
  </si>
  <si>
    <t>B05003A_021</t>
  </si>
  <si>
    <t>Estimate!!Total:!!Female:!!18 years and over:!!Foreign-born:</t>
  </si>
  <si>
    <t>B14002_001</t>
  </si>
  <si>
    <t>B05003A_022</t>
  </si>
  <si>
    <t>Estimate!!Total:!!Female:!!18 years and over:!!Foreign-born:!!Naturalized U.S. citizen</t>
  </si>
  <si>
    <t>Sex by School Enrollment by Level of School by Type of School for the Population 3 Years and Over</t>
  </si>
  <si>
    <t>B14002</t>
  </si>
  <si>
    <t>B05003A_023</t>
  </si>
  <si>
    <t>education, demographic</t>
  </si>
  <si>
    <t>Estimate!!Total:!!Female:!!18 years and over:!!Foreign-born:!!Not a U.S. citizen</t>
  </si>
  <si>
    <t>B14003_001</t>
  </si>
  <si>
    <t>Sex by School Enrollment by Type of School by Age for the Population 3 Years and Over</t>
  </si>
  <si>
    <t>B14003</t>
  </si>
  <si>
    <t>B05003B_002</t>
  </si>
  <si>
    <t>B05003B_003</t>
  </si>
  <si>
    <t>B14004_001</t>
  </si>
  <si>
    <t>Sex by College or Graduate School Enrollment by Type of School by Age for the Population 15 Years and Over</t>
  </si>
  <si>
    <t>B05003B_004</t>
  </si>
  <si>
    <t>B14004</t>
  </si>
  <si>
    <t>demographic, economy, education</t>
  </si>
  <si>
    <t>B05003B_005</t>
  </si>
  <si>
    <t>B14005_001</t>
  </si>
  <si>
    <t>B05003B_006</t>
  </si>
  <si>
    <t>Sex by School Enrollment by Educational Attainment by Employment Status for the Population 16 to 19 Years</t>
  </si>
  <si>
    <t>B14005</t>
  </si>
  <si>
    <t>B05003B_007</t>
  </si>
  <si>
    <t>B05003B_008</t>
  </si>
  <si>
    <t>B14006_001</t>
  </si>
  <si>
    <t>Poverty Status in the Past 12 Months by School Enrollment by Level of School for the Population 3 Years and Over</t>
  </si>
  <si>
    <t>B14006</t>
  </si>
  <si>
    <t>B05003B_009</t>
  </si>
  <si>
    <t>income, economy, education</t>
  </si>
  <si>
    <t>B05003B_010</t>
  </si>
  <si>
    <t>B14007_001</t>
  </si>
  <si>
    <t>School Enrollment by Detailed Level of School for the Population 3 Years and Over</t>
  </si>
  <si>
    <t>B14007</t>
  </si>
  <si>
    <t>B05003B_011</t>
  </si>
  <si>
    <t>B05003B_012</t>
  </si>
  <si>
    <t>B14007A_001</t>
  </si>
  <si>
    <t>School Enrollment by Detailed Level of School for the Population 3 Years and Over (White Alone)</t>
  </si>
  <si>
    <t>B05003B_013</t>
  </si>
  <si>
    <t>B14007A</t>
  </si>
  <si>
    <t>education, race</t>
  </si>
  <si>
    <t>B05003B_014</t>
  </si>
  <si>
    <t>B14007B_001</t>
  </si>
  <si>
    <t>B05003B_015</t>
  </si>
  <si>
    <t>School Enrollment by Detailed Level of School for the Population 3 Years and Over (Black or African American Alone)</t>
  </si>
  <si>
    <t>B14007B</t>
  </si>
  <si>
    <t>B05003B_016</t>
  </si>
  <si>
    <t>B05003B_017</t>
  </si>
  <si>
    <t>B14007C_001</t>
  </si>
  <si>
    <t>B05003B_018</t>
  </si>
  <si>
    <t>School Enrollment by Detailed Level of School for the Population 3 Years and Over (American Indian and Alaska Native Alone)</t>
  </si>
  <si>
    <t>B14007C</t>
  </si>
  <si>
    <t>B05003B_019</t>
  </si>
  <si>
    <t>B14007D_001</t>
  </si>
  <si>
    <t>B05003B_020</t>
  </si>
  <si>
    <t>School Enrollment by Detailed Level of School for the Population 3 Years and Over (Asian Alone)</t>
  </si>
  <si>
    <t>B14007D</t>
  </si>
  <si>
    <t>B05003B_021</t>
  </si>
  <si>
    <t>B05003B_022</t>
  </si>
  <si>
    <t>B14007E_001</t>
  </si>
  <si>
    <t>B05003B_023</t>
  </si>
  <si>
    <t>School Enrollment by Detailed Level of School for the Population 3 Years and Over (Native Hawaiian and Other Pacific Islander Alone)</t>
  </si>
  <si>
    <t>B14007E</t>
  </si>
  <si>
    <t>B14007F_001</t>
  </si>
  <si>
    <t>B05003C_002</t>
  </si>
  <si>
    <t>School Enrollment by Detailed Level of School for the Population 3 Years and Over (Some Other Race Alone)</t>
  </si>
  <si>
    <t>B14007F</t>
  </si>
  <si>
    <t>B05003C_003</t>
  </si>
  <si>
    <t>B05003C_004</t>
  </si>
  <si>
    <t>B14007G_001</t>
  </si>
  <si>
    <t>School Enrollment by Detailed Level of School for the Population 3 Years and Over (Two or More Races)</t>
  </si>
  <si>
    <t>B14007G</t>
  </si>
  <si>
    <t>B05003C_005</t>
  </si>
  <si>
    <t>B05003C_006</t>
  </si>
  <si>
    <t>B14007H_001</t>
  </si>
  <si>
    <t>School Enrollment by Detailed Level of School for the Population 3 Years and Over (White Alone, Not Hispanic or Latino)</t>
  </si>
  <si>
    <t>B05003C_007</t>
  </si>
  <si>
    <t>B14007H</t>
  </si>
  <si>
    <t>B05003C_008</t>
  </si>
  <si>
    <t>B14007I_001</t>
  </si>
  <si>
    <t>School Enrollment by Detailed Level of School for the Population 3 Years and Over (Hispanic or Latino)</t>
  </si>
  <si>
    <t>B05003C_009</t>
  </si>
  <si>
    <t>B14007I</t>
  </si>
  <si>
    <t>B05003C_010</t>
  </si>
  <si>
    <t>B15001_001</t>
  </si>
  <si>
    <t>Sex by Age by Educational Attainment for the Population 18 Years and Over</t>
  </si>
  <si>
    <t>B05003C_011</t>
  </si>
  <si>
    <t>B15001</t>
  </si>
  <si>
    <t>B05003C_012</t>
  </si>
  <si>
    <t>B15002_001</t>
  </si>
  <si>
    <t>B05003C_013</t>
  </si>
  <si>
    <t>B15002</t>
  </si>
  <si>
    <t>B05003C_014</t>
  </si>
  <si>
    <t>B05003C_015</t>
  </si>
  <si>
    <t>B05003C_016</t>
  </si>
  <si>
    <t>B05003C_017</t>
  </si>
  <si>
    <t>B05003C_018</t>
  </si>
  <si>
    <t>B05003C_019</t>
  </si>
  <si>
    <t>B15003_001</t>
  </si>
  <si>
    <t>B05003C_020</t>
  </si>
  <si>
    <t>B05003C_021</t>
  </si>
  <si>
    <t>B05003C_022</t>
  </si>
  <si>
    <t>B15003</t>
  </si>
  <si>
    <t>B05003C_023</t>
  </si>
  <si>
    <t>B05003D_002</t>
  </si>
  <si>
    <t>B05003D_003</t>
  </si>
  <si>
    <t>B15011_001</t>
  </si>
  <si>
    <t>B05003D_004</t>
  </si>
  <si>
    <t>Sex by Age by Field of Bachelor's Degree for First Major for the Population 25 Years and Over</t>
  </si>
  <si>
    <t>B05003D_005</t>
  </si>
  <si>
    <t>B15011</t>
  </si>
  <si>
    <t>B05003D_006</t>
  </si>
  <si>
    <t>B05003D_007</t>
  </si>
  <si>
    <t>B05003D_008</t>
  </si>
  <si>
    <t>B15012_001</t>
  </si>
  <si>
    <t>Total Fields of Bachelor's Degrees Reported</t>
  </si>
  <si>
    <t>B15012</t>
  </si>
  <si>
    <t>B05003D_009</t>
  </si>
  <si>
    <t>B05003D_010</t>
  </si>
  <si>
    <t>B15013_001</t>
  </si>
  <si>
    <t>B05003D_011</t>
  </si>
  <si>
    <t>Median Earnings in the Past 12 Months (in 2024 Inflation-Adjusted Dollars) by Sex by Field of Bachelor's Degree for First Major</t>
  </si>
  <si>
    <t>B05003D_012</t>
  </si>
  <si>
    <t>B15013</t>
  </si>
  <si>
    <t>B05003D_013</t>
  </si>
  <si>
    <t>education, income</t>
  </si>
  <si>
    <t>B05003D_014</t>
  </si>
  <si>
    <t>B05003D_015</t>
  </si>
  <si>
    <t>B15014_001</t>
  </si>
  <si>
    <t>Median Earnings in the Past 12 Months (in 2024 Inflation-Adjusted Dollars) by Age by Field of Bachelor's Degree for First Major</t>
  </si>
  <si>
    <t>B05003D_016</t>
  </si>
  <si>
    <t>B15014</t>
  </si>
  <si>
    <t>B05003D_017</t>
  </si>
  <si>
    <t>B05003D_018</t>
  </si>
  <si>
    <t>B16001_001</t>
  </si>
  <si>
    <t>B05003D_019</t>
  </si>
  <si>
    <t>B16001</t>
  </si>
  <si>
    <t>B05003D_020</t>
  </si>
  <si>
    <t>language</t>
  </si>
  <si>
    <t>B05003D_021</t>
  </si>
  <si>
    <t>B05003D_022</t>
  </si>
  <si>
    <t>B16002_001</t>
  </si>
  <si>
    <t>Detailed Household Language by Household Limited English Speaking Status</t>
  </si>
  <si>
    <t>B05003D_023</t>
  </si>
  <si>
    <t>B16002</t>
  </si>
  <si>
    <t>housing, language</t>
  </si>
  <si>
    <t>B05003E_002</t>
  </si>
  <si>
    <t>B16003_001</t>
  </si>
  <si>
    <t>B05003E_003</t>
  </si>
  <si>
    <t>B05003E_004</t>
  </si>
  <si>
    <t>Age by Language Spoken at Home for the Population 5 Years and Over in Limited English Speaking Households</t>
  </si>
  <si>
    <t>B16003</t>
  </si>
  <si>
    <t>B05003E_005</t>
  </si>
  <si>
    <t>language, demographic</t>
  </si>
  <si>
    <t>B05003E_006</t>
  </si>
  <si>
    <t>B16004_001</t>
  </si>
  <si>
    <t>B05003E_007</t>
  </si>
  <si>
    <t>Age by Language Spoken at Home by Ability to Speak English for the Population 5 Years and Over</t>
  </si>
  <si>
    <t>B16004</t>
  </si>
  <si>
    <t>B05003E_008</t>
  </si>
  <si>
    <t>B05003E_009</t>
  </si>
  <si>
    <t>B05003E_010</t>
  </si>
  <si>
    <t>B16005_001</t>
  </si>
  <si>
    <t>B05003E_011</t>
  </si>
  <si>
    <t>Nativity by Language Spoken at Home by Ability to Speak English for the Population 5 Years and Over</t>
  </si>
  <si>
    <t>B16005</t>
  </si>
  <si>
    <t>B05003E_012</t>
  </si>
  <si>
    <t>B05003E_013</t>
  </si>
  <si>
    <t>B16005A_001</t>
  </si>
  <si>
    <t>B05003E_014</t>
  </si>
  <si>
    <t>Nativity by Language Spoken at Home by Ability to Speak English for the Population 5 Years and Over (White Alone)</t>
  </si>
  <si>
    <t>B16005A</t>
  </si>
  <si>
    <t>B05003E_015</t>
  </si>
  <si>
    <t>language, race</t>
  </si>
  <si>
    <t>B05003E_016</t>
  </si>
  <si>
    <t>B05003E_017</t>
  </si>
  <si>
    <t>B16005B_001</t>
  </si>
  <si>
    <t>Nativity by Language Spoken at Home by Ability to Speak English for the Population 5 Years and Over (Black or African American Alone)</t>
  </si>
  <si>
    <t>B05003E_018</t>
  </si>
  <si>
    <t>B16005B</t>
  </si>
  <si>
    <t>B05003E_019</t>
  </si>
  <si>
    <t>B05003E_020</t>
  </si>
  <si>
    <t>B16005C_001</t>
  </si>
  <si>
    <t>B05003E_021</t>
  </si>
  <si>
    <t>Nativity by Language Spoken at Home by Ability to Speak English for the Population 5 Years and Over (American Indian and Alaska Native Alone)</t>
  </si>
  <si>
    <t>B16005C</t>
  </si>
  <si>
    <t>B05003E_022</t>
  </si>
  <si>
    <t>B05003E_023</t>
  </si>
  <si>
    <t>B16005D_001</t>
  </si>
  <si>
    <t>Nativity by Language Spoken at Home by Ability to Speak English for the Population 5 Years and Over (Asian Alone)</t>
  </si>
  <si>
    <t>B16005D</t>
  </si>
  <si>
    <t>B05003F_002</t>
  </si>
  <si>
    <t>B05003F_003</t>
  </si>
  <si>
    <t>B05003F_004</t>
  </si>
  <si>
    <t>B16005E_001</t>
  </si>
  <si>
    <t>B05003F_005</t>
  </si>
  <si>
    <t>Nativity by Language Spoken at Home by Ability to Speak English for the Population 5 Years and Over (Native Hawaiian and Other Pacific Islander Alone)</t>
  </si>
  <si>
    <t>B16005E</t>
  </si>
  <si>
    <t>B05003F_006</t>
  </si>
  <si>
    <t>B05003F_007</t>
  </si>
  <si>
    <t>B16005F_001</t>
  </si>
  <si>
    <t>B05003F_008</t>
  </si>
  <si>
    <t>Nativity by Language Spoken at Home by Ability to Speak English for the Population 5 Years and Over (Some Other Race Alone)</t>
  </si>
  <si>
    <t>B16005F</t>
  </si>
  <si>
    <t>B05003F_009</t>
  </si>
  <si>
    <t>B05003F_010</t>
  </si>
  <si>
    <t>B05003F_011</t>
  </si>
  <si>
    <t>B16005G_001</t>
  </si>
  <si>
    <t>Nativity by Language Spoken at Home by Ability to Speak English for the Population 5 Years and Over (Two or More Races)</t>
  </si>
  <si>
    <t>B05003F_012</t>
  </si>
  <si>
    <t>B16005G</t>
  </si>
  <si>
    <t>B05003F_013</t>
  </si>
  <si>
    <t>B05003F_014</t>
  </si>
  <si>
    <t>B05003F_015</t>
  </si>
  <si>
    <t>B05003F_016</t>
  </si>
  <si>
    <t>B05003F_017</t>
  </si>
  <si>
    <t>B05003F_018</t>
  </si>
  <si>
    <t>B05003F_019</t>
  </si>
  <si>
    <t>B05003F_020</t>
  </si>
  <si>
    <t>B16005H_001</t>
  </si>
  <si>
    <t>B05003F_021</t>
  </si>
  <si>
    <t>Nativity by Language Spoken at Home by Ability to Speak English for the Population 5 Years and Over (White Alone, Not Hispanic or Latino)</t>
  </si>
  <si>
    <t>B05003F_022</t>
  </si>
  <si>
    <t>B16005H</t>
  </si>
  <si>
    <t>B05003F_023</t>
  </si>
  <si>
    <t>B16005I_001</t>
  </si>
  <si>
    <t>B05003G_002</t>
  </si>
  <si>
    <t>Nativity by Language Spoken at Home by Ability to Speak English for the Population 5 Years and Over (Hispanic or Latino)</t>
  </si>
  <si>
    <t>B16005I</t>
  </si>
  <si>
    <t>B05003G_003</t>
  </si>
  <si>
    <t>B05003G_004</t>
  </si>
  <si>
    <t>B16006_001</t>
  </si>
  <si>
    <t>B05003G_005</t>
  </si>
  <si>
    <t>Language Spoken at Home by Ability to Speak English for the Population 5 Years and Over (Hispanic or Latino)</t>
  </si>
  <si>
    <t>B05003G_006</t>
  </si>
  <si>
    <t>B16006</t>
  </si>
  <si>
    <t>B05003G_007</t>
  </si>
  <si>
    <t>B05003G_008</t>
  </si>
  <si>
    <t>B05003G_009</t>
  </si>
  <si>
    <t>B05003G_010</t>
  </si>
  <si>
    <t>B16007_001</t>
  </si>
  <si>
    <t>B05003G_011</t>
  </si>
  <si>
    <t>Age by Language Spoken at Home for the Population 5 Years and Over</t>
  </si>
  <si>
    <t>B16007</t>
  </si>
  <si>
    <t>B05003G_012</t>
  </si>
  <si>
    <t>B05003G_013</t>
  </si>
  <si>
    <t>B05003G_014</t>
  </si>
  <si>
    <t>B16008_001</t>
  </si>
  <si>
    <t>B05003G_015</t>
  </si>
  <si>
    <t>Citizenship Status by Age by Language Spoken at Home and Ability to Speak English for the Population 5 Years and Over</t>
  </si>
  <si>
    <t>B16008</t>
  </si>
  <si>
    <t>B05003G_016</t>
  </si>
  <si>
    <t>B05003G_017</t>
  </si>
  <si>
    <t>B05003G_018</t>
  </si>
  <si>
    <t>B16009_001</t>
  </si>
  <si>
    <t>Poverty Status in the Past 12 Months by Age by Language Spoken at Home for the Population 5 Years and Over</t>
  </si>
  <si>
    <t>B05003G_019</t>
  </si>
  <si>
    <t>B16009</t>
  </si>
  <si>
    <t>B05003G_020</t>
  </si>
  <si>
    <t>income, economy, language</t>
  </si>
  <si>
    <t>B05003G_021</t>
  </si>
  <si>
    <t>B05003G_022</t>
  </si>
  <si>
    <t>B16010_001</t>
  </si>
  <si>
    <t>B05003G_023</t>
  </si>
  <si>
    <t>Educational Attainment and Employment Status by Language Spoken at Home for the Population 25 Years and Over</t>
  </si>
  <si>
    <t>B16010</t>
  </si>
  <si>
    <t>education, economy, language</t>
  </si>
  <si>
    <t>B05003H_002</t>
  </si>
  <si>
    <t>B05003H_003</t>
  </si>
  <si>
    <t>B17001_001</t>
  </si>
  <si>
    <t>Poverty Status in the Past 12 Months by Sex by Age</t>
  </si>
  <si>
    <t>B17001</t>
  </si>
  <si>
    <t>B05003H_004</t>
  </si>
  <si>
    <t>B05003H_005</t>
  </si>
  <si>
    <t>B05003H_006</t>
  </si>
  <si>
    <t>B17001A_001</t>
  </si>
  <si>
    <t>B05003H_007</t>
  </si>
  <si>
    <t>Poverty Status in the Past 12 Months by Sex by Age (White Alone)</t>
  </si>
  <si>
    <t>B17001A</t>
  </si>
  <si>
    <t>B05003H_008</t>
  </si>
  <si>
    <t>B05003H_009</t>
  </si>
  <si>
    <t>income, economy, demographic, race</t>
  </si>
  <si>
    <t>B05003H_010</t>
  </si>
  <si>
    <t>B17001B_001</t>
  </si>
  <si>
    <t>B05003H_011</t>
  </si>
  <si>
    <t>Poverty Status in the Past 12 Months by Sex by Age (Black or African American Alone)</t>
  </si>
  <si>
    <t>B17001B</t>
  </si>
  <si>
    <t>B05003H_012</t>
  </si>
  <si>
    <t>B05003H_013</t>
  </si>
  <si>
    <t>B17001C_001</t>
  </si>
  <si>
    <t>B05003H_014</t>
  </si>
  <si>
    <t>Poverty Status in the Past 12 Months by Sex by Age (American Indian and Alaska Native Alone)</t>
  </si>
  <si>
    <t>B17001C</t>
  </si>
  <si>
    <t>B05003H_015</t>
  </si>
  <si>
    <t>B05003H_016</t>
  </si>
  <si>
    <t>B05003H_017</t>
  </si>
  <si>
    <t>B05003H_018</t>
  </si>
  <si>
    <t>B17001D_001</t>
  </si>
  <si>
    <t>B05003H_019</t>
  </si>
  <si>
    <t>Poverty Status in the Past 12 Months by Sex by Age (Asian Alone)</t>
  </si>
  <si>
    <t>B17001D</t>
  </si>
  <si>
    <t>B05003H_020</t>
  </si>
  <si>
    <t>B05003H_021</t>
  </si>
  <si>
    <t>B05003H_022</t>
  </si>
  <si>
    <t>B17001E_001</t>
  </si>
  <si>
    <t>B05003H_023</t>
  </si>
  <si>
    <t>Poverty Status in the Past 12 Months by Sex by Age (Native Hawaiian and Other Pacific Islander Alone)</t>
  </si>
  <si>
    <t>B17001E</t>
  </si>
  <si>
    <t>B05003I_002</t>
  </si>
  <si>
    <t>B05003I_003</t>
  </si>
  <si>
    <t>B05003I_004</t>
  </si>
  <si>
    <t>B17001F_001</t>
  </si>
  <si>
    <t>B05003I_005</t>
  </si>
  <si>
    <t>Poverty Status in the Past 12 Months by Sex by Age (Some Other Race Alone)</t>
  </si>
  <si>
    <t>B17001F</t>
  </si>
  <si>
    <t>B05003I_006</t>
  </si>
  <si>
    <t>B05003I_007</t>
  </si>
  <si>
    <t>B05003I_008</t>
  </si>
  <si>
    <t>B17001G_001</t>
  </si>
  <si>
    <t>B05003I_009</t>
  </si>
  <si>
    <t>Poverty Status in the Past 12 Months by Sex by Age (Two or More Races)</t>
  </si>
  <si>
    <t>B05003I_010</t>
  </si>
  <si>
    <t>B17001G</t>
  </si>
  <si>
    <t>B05003I_011</t>
  </si>
  <si>
    <t>B17001H_001</t>
  </si>
  <si>
    <t>B05003I_012</t>
  </si>
  <si>
    <t>Poverty Status in the Past 12 Months by Sex by Age (White Alone, Not Hispanic or Latino)</t>
  </si>
  <si>
    <t>B17001H</t>
  </si>
  <si>
    <t>B05003I_013</t>
  </si>
  <si>
    <t>B05003I_014</t>
  </si>
  <si>
    <t>B05003I_015</t>
  </si>
  <si>
    <t>B05003I_016</t>
  </si>
  <si>
    <t>B17001I_001</t>
  </si>
  <si>
    <t>Poverty Status in the Past 12 Months by Sex by Age (Hispanic or Latino)</t>
  </si>
  <si>
    <t>B17001I</t>
  </si>
  <si>
    <t>B05003I_017</t>
  </si>
  <si>
    <t>B05003I_018</t>
  </si>
  <si>
    <t>B17003_001</t>
  </si>
  <si>
    <t>B05003I_019</t>
  </si>
  <si>
    <t>Poverty Status in the Past 12 Months of Individuals by Sex by Educational Attainment</t>
  </si>
  <si>
    <t>B17003</t>
  </si>
  <si>
    <t>B05003I_020</t>
  </si>
  <si>
    <t>income, economy, housing</t>
  </si>
  <si>
    <t>B05003I_021</t>
  </si>
  <si>
    <t>B17004_001</t>
  </si>
  <si>
    <t>B05003I_022</t>
  </si>
  <si>
    <t>Poverty Status in the Past 12 Months of Individuals by Sex by Work Experience</t>
  </si>
  <si>
    <t>B17004</t>
  </si>
  <si>
    <t>B05003I_023</t>
  </si>
  <si>
    <t>B17005_001</t>
  </si>
  <si>
    <t>B05003_002</t>
  </si>
  <si>
    <t>Poverty Status in the Past 12 Months of Individuals by Sex by Employment Status</t>
  </si>
  <si>
    <t>B17005</t>
  </si>
  <si>
    <t>B05003_003</t>
  </si>
  <si>
    <t>B05003_004</t>
  </si>
  <si>
    <t>B05003_005</t>
  </si>
  <si>
    <t>B17006_001</t>
  </si>
  <si>
    <t>B05003_006</t>
  </si>
  <si>
    <t>Poverty Status in the Past 12 Months of Related Children Under 18 Years by Family Type by Age of Related Children Under 18 Years</t>
  </si>
  <si>
    <t>B17006</t>
  </si>
  <si>
    <t>B05003_007</t>
  </si>
  <si>
    <t>B05003_008</t>
  </si>
  <si>
    <t>B05003_009</t>
  </si>
  <si>
    <t>B17007_001</t>
  </si>
  <si>
    <t>Poverty Status in the Past 12 Months of Unrelated Individuals 15 Years and Over by Sex by Age</t>
  </si>
  <si>
    <t>B05003_010</t>
  </si>
  <si>
    <t>B17007</t>
  </si>
  <si>
    <t>B05003_011</t>
  </si>
  <si>
    <t>B05003_012</t>
  </si>
  <si>
    <t>B05003_013</t>
  </si>
  <si>
    <t>B17008_001</t>
  </si>
  <si>
    <t>Estimate!!Aggregate income deficit in the past 12 months of unrelated individuals (dollars):</t>
  </si>
  <si>
    <t>B05003_014</t>
  </si>
  <si>
    <t>Aggregate Income Deficit (Dollars) in the Past 12 Months of Unrelated Individuals by Sex</t>
  </si>
  <si>
    <t>B17008</t>
  </si>
  <si>
    <t>B05003_015</t>
  </si>
  <si>
    <t>demographic, income</t>
  </si>
  <si>
    <t>B05003_016</t>
  </si>
  <si>
    <t>B05003_017</t>
  </si>
  <si>
    <t>B17009_001</t>
  </si>
  <si>
    <t>B05003_018</t>
  </si>
  <si>
    <t>Poverty Status by Work Experience of Unrelated Individuals by Householder Status</t>
  </si>
  <si>
    <t>B17009</t>
  </si>
  <si>
    <t>B05003_019</t>
  </si>
  <si>
    <t>B05003_020</t>
  </si>
  <si>
    <t>B05003_021</t>
  </si>
  <si>
    <t>B17010_001</t>
  </si>
  <si>
    <t>B05003_022</t>
  </si>
  <si>
    <t>Poverty Status in the Past 12 Months of Families by Family Type by Presence of Related Children Under 18 Years by Age of Related Children</t>
  </si>
  <si>
    <t>B17010</t>
  </si>
  <si>
    <t>B05003_023</t>
  </si>
  <si>
    <t>B17010A_001</t>
  </si>
  <si>
    <t>B05004_002</t>
  </si>
  <si>
    <t>Estimate!!Total:!!Male</t>
  </si>
  <si>
    <t>B05004_003</t>
  </si>
  <si>
    <t>Poverty Status in the Past 12 Months of Families by Family Type by Presence of Related Children Under 18 Years by Age of Related Children (White Alone Householder)</t>
  </si>
  <si>
    <t>Estimate!!Total:!!Female</t>
  </si>
  <si>
    <t>B17010A</t>
  </si>
  <si>
    <t>B05004_004</t>
  </si>
  <si>
    <t>B05004_005</t>
  </si>
  <si>
    <t>Estimate!!Total:!!Native:!!Male</t>
  </si>
  <si>
    <t>B05004_006</t>
  </si>
  <si>
    <t>B17010B_001</t>
  </si>
  <si>
    <t>Estimate!!Total:!!Native:!!Female</t>
  </si>
  <si>
    <t>Poverty Status in the Past 12 Months of Families by Family Type by Presence of Related Children Under 18 Years by Age of Related Children (Black or African American Alone Householder)</t>
  </si>
  <si>
    <t>B05004_007</t>
  </si>
  <si>
    <t>B17010B</t>
  </si>
  <si>
    <t>B05004_008</t>
  </si>
  <si>
    <t>Estimate!!Total:!!Foreign-born:!!Male</t>
  </si>
  <si>
    <t>B17010C_001</t>
  </si>
  <si>
    <t>B05004_009</t>
  </si>
  <si>
    <t>Poverty Status in the Past 12 Months of Families by Family Type by Presence of Related Children Under 18 Years by Age of Related Children (American Indian and Alaska Native Alone)</t>
  </si>
  <si>
    <t>Estimate!!Total:!!Foreign-born:!!Female</t>
  </si>
  <si>
    <t>B17010C</t>
  </si>
  <si>
    <t>B05004_010</t>
  </si>
  <si>
    <t>Estimate!!Total:!!Foreign-born:!!Naturalized U.S. citizen:</t>
  </si>
  <si>
    <t>B05004_011</t>
  </si>
  <si>
    <t>B17010D_001</t>
  </si>
  <si>
    <t>Estimate!!Total:!!Foreign-born:!!Naturalized U.S. citizen:!!Male</t>
  </si>
  <si>
    <t>Poverty Status in the Past 12 Months of Families by Family Type by Presence of Related Children Under 18 Years by Age of Related Children (Asian Alone Householder)</t>
  </si>
  <si>
    <t>B05004_012</t>
  </si>
  <si>
    <t>B17010D</t>
  </si>
  <si>
    <t>Estimate!!Total:!!Foreign-born:!!Naturalized U.S. citizen:!!Female</t>
  </si>
  <si>
    <t>B05004_013</t>
  </si>
  <si>
    <t>Estimate!!Total:!!Foreign-born:!!Not a U.S. citizen:</t>
  </si>
  <si>
    <t>B05004_014</t>
  </si>
  <si>
    <t>Estimate!!Total:!!Foreign-born:!!Not a U.S. citizen:!!Male</t>
  </si>
  <si>
    <t>B17010E_001</t>
  </si>
  <si>
    <t>B05004_015</t>
  </si>
  <si>
    <t>Estimate!!Total:!!Foreign-born:!!Not a U.S. citizen:!!Female</t>
  </si>
  <si>
    <t>Poverty Status in the Past 12 Months of Families by Family Type by Presence of Related Children Under 18 Years by Age of Related Children (Native Hawaiian and Other Pacific Islander Alone Householder)</t>
  </si>
  <si>
    <t>B17010E</t>
  </si>
  <si>
    <t>B05005PR_002</t>
  </si>
  <si>
    <t>Estimate!!Total:!!Entered 2010 or later:</t>
  </si>
  <si>
    <t>B05005PR_003</t>
  </si>
  <si>
    <t>Estimate!!Total:!!Entered 2010 or later:!!Native</t>
  </si>
  <si>
    <t>B17010F_001</t>
  </si>
  <si>
    <t>B05005PR_004</t>
  </si>
  <si>
    <t>Poverty Status in the Past 12 Months of Families by Family Type by Presence of Related Children Under 18 Years by Age of Related Children (Some Other Race Alone Householder)</t>
  </si>
  <si>
    <t>Estimate!!Total:!!Entered 2010 or later:!!Foreign-born:</t>
  </si>
  <si>
    <t>B17010F</t>
  </si>
  <si>
    <t>B05005PR_005</t>
  </si>
  <si>
    <t>Estimate!!Total:!!Entered 2010 or later:!!Foreign-born:!!Naturalized U.S. citizen</t>
  </si>
  <si>
    <t>B05005PR_006</t>
  </si>
  <si>
    <t>Estimate!!Total:!!Entered 2010 or later:!!Foreign-born:!!Not a U.S. citizen</t>
  </si>
  <si>
    <t>B17010G_001</t>
  </si>
  <si>
    <t>B05005PR_007</t>
  </si>
  <si>
    <t>Estimate!!Total:!!Entered 2000 to 2009:</t>
  </si>
  <si>
    <t>Poverty Status in the Past 12 Months of Families by Family Type by Presence of Related Children Under 18 Years by Age of Related Children (Two or More Races Householder)</t>
  </si>
  <si>
    <t>B05005PR_008</t>
  </si>
  <si>
    <t>Estimate!!Total:!!Entered 2000 to 2009:!!Native</t>
  </si>
  <si>
    <t>B17010G</t>
  </si>
  <si>
    <t>B05005PR_009</t>
  </si>
  <si>
    <t>Estimate!!Total:!!Entered 2000 to 2009:!!Foreign-born:</t>
  </si>
  <si>
    <t>B05005PR_010</t>
  </si>
  <si>
    <t>Estimate!!Total:!!Entered 2000 to 2009:!!Foreign-born:!!Naturalized U.S. citizen</t>
  </si>
  <si>
    <t>B17010H_001</t>
  </si>
  <si>
    <t>B05005PR_011</t>
  </si>
  <si>
    <t>Estimate!!Total:!!Entered 2000 to 2009:!!Foreign-born:!!Not a U.S. citizen</t>
  </si>
  <si>
    <t>Poverty Status in the Past 12 Months of Families by Family Type by Presence of Related Children Under 18 Years by Age of Related Children (White Alone, Not Hispanic or Latino Householder)</t>
  </si>
  <si>
    <t>B17010H</t>
  </si>
  <si>
    <t>B05005PR_012</t>
  </si>
  <si>
    <t>Estimate!!Total:!!Entered 1990 to 1999:</t>
  </si>
  <si>
    <t>B05005PR_013</t>
  </si>
  <si>
    <t>Estimate!!Total:!!Entered 1990 to 1999:!!Native</t>
  </si>
  <si>
    <t>B05005PR_014</t>
  </si>
  <si>
    <t>Estimate!!Total:!!Entered 1990 to 1999:!!Foreign-born:</t>
  </si>
  <si>
    <t>B17010I_001</t>
  </si>
  <si>
    <t>B05005PR_015</t>
  </si>
  <si>
    <t>Estimate!!Total:!!Entered 1990 to 1999:!!Foreign-born:!!Naturalized U.S. citizen</t>
  </si>
  <si>
    <t>Poverty Status in the Past 12 Months of Families by Family Type by Presence of Related Children Under 18 Years by Age of Related Children (Hispanic or Latino)</t>
  </si>
  <si>
    <t>B17010I</t>
  </si>
  <si>
    <t>B05005PR_016</t>
  </si>
  <si>
    <t>Estimate!!Total:!!Entered 1990 to 1999:!!Foreign-born:!!Not a U.S. citizen</t>
  </si>
  <si>
    <t>B05005PR_017</t>
  </si>
  <si>
    <t>Estimate!!Total:!!Entered before 1990:</t>
  </si>
  <si>
    <t>B05005PR_018</t>
  </si>
  <si>
    <t>Estimate!!Total:!!Entered before 1990:!!Native</t>
  </si>
  <si>
    <t>B17011_001</t>
  </si>
  <si>
    <t>B05005PR_019</t>
  </si>
  <si>
    <t>Estimate!!Aggregate income deficit in the past 12 months:</t>
  </si>
  <si>
    <t>Estimate!!Total:!!Entered before 1990:!!Foreign-born:</t>
  </si>
  <si>
    <t>Aggregate Income Deficit (Dollars) in the Past 12 Months for Families by Family Type</t>
  </si>
  <si>
    <t>B05005PR_020</t>
  </si>
  <si>
    <t>B17011</t>
  </si>
  <si>
    <t>Estimate!!Total:!!Entered before 1990:!!Foreign-born:!!Naturalized U.S. citizen</t>
  </si>
  <si>
    <t>B05005PR_021</t>
  </si>
  <si>
    <t>Estimate!!Total:!!Entered before 1990:!!Foreign-born:!!Not a U.S. citizen</t>
  </si>
  <si>
    <t>B17012_001</t>
  </si>
  <si>
    <t>B05005_002</t>
  </si>
  <si>
    <t>Poverty Status in the Past 12 Months of Families by Household Type by Number of Related Children Under 18 Years</t>
  </si>
  <si>
    <t>B17012</t>
  </si>
  <si>
    <t>B05005_003</t>
  </si>
  <si>
    <t>B05005_004</t>
  </si>
  <si>
    <t>B05005_005</t>
  </si>
  <si>
    <t>B17013_001</t>
  </si>
  <si>
    <t>B05005_006</t>
  </si>
  <si>
    <t>Poverty Status in the Past 12 Months of Families by Household Type by Number of Persons in Family</t>
  </si>
  <si>
    <t>B05005_007</t>
  </si>
  <si>
    <t>B17013</t>
  </si>
  <si>
    <t>B05005_008</t>
  </si>
  <si>
    <t>B05005_009</t>
  </si>
  <si>
    <t>B17014_001</t>
  </si>
  <si>
    <t>B05005_010</t>
  </si>
  <si>
    <t>Poverty Status in the Past 12 Months of Families by Household Type by Number of Workers in Family</t>
  </si>
  <si>
    <t>B05005_011</t>
  </si>
  <si>
    <t>B17014</t>
  </si>
  <si>
    <t>B05005_012</t>
  </si>
  <si>
    <t>B05005_013</t>
  </si>
  <si>
    <t>B17015_001</t>
  </si>
  <si>
    <t>B05005_014</t>
  </si>
  <si>
    <t>Poverty Status in the Past 12 Months of Families by Family Type by Social Security Income by Supplemental Security Income (SSI) and Cash Public Assistance Income</t>
  </si>
  <si>
    <t>B05005_015</t>
  </si>
  <si>
    <t>B17015</t>
  </si>
  <si>
    <t>B05005_016</t>
  </si>
  <si>
    <t>income, economy, human services</t>
  </si>
  <si>
    <t>B05005_017</t>
  </si>
  <si>
    <t>B17016_001</t>
  </si>
  <si>
    <t>B05005_018</t>
  </si>
  <si>
    <t>Poverty Status in the Past 12 Months of Families by Family Type by Work Experience of Householder and Spouse</t>
  </si>
  <si>
    <t>B05005_019</t>
  </si>
  <si>
    <t>B17016</t>
  </si>
  <si>
    <t>B05005_020</t>
  </si>
  <si>
    <t>B05005_021</t>
  </si>
  <si>
    <t>B17017_001</t>
  </si>
  <si>
    <t>B05006PR_002</t>
  </si>
  <si>
    <t>Poverty Status in the Past 12 Months by Household Type by Age of Householder</t>
  </si>
  <si>
    <t>Estimate!!Total:!!Europe:</t>
  </si>
  <si>
    <t>B17017</t>
  </si>
  <si>
    <t>B05006PR_003</t>
  </si>
  <si>
    <t>Estimate!!Total:!!Europe:!!Northern Europe</t>
  </si>
  <si>
    <t>B05006PR_004</t>
  </si>
  <si>
    <t>Estimate!!Total:!!Europe:!!Western Europe</t>
  </si>
  <si>
    <t>B05006PR_005</t>
  </si>
  <si>
    <t>Estimate!!Total:!!Europe:!!Southern Europe:</t>
  </si>
  <si>
    <t>B05006PR_006</t>
  </si>
  <si>
    <t>Estimate!!Total:!!Europe:!!Southern Europe:!!Spain</t>
  </si>
  <si>
    <t>B17018_001</t>
  </si>
  <si>
    <t>B05006PR_007</t>
  </si>
  <si>
    <t>Estimate!!Total:!!Europe:!!Southern Europe:!!Other Southern Europe</t>
  </si>
  <si>
    <t>Poverty Status in the Past 12 Months of Families by Household Type by Educational Attainment of Householder</t>
  </si>
  <si>
    <t>B17018</t>
  </si>
  <si>
    <t>B05006PR_008</t>
  </si>
  <si>
    <t>Estimate!!Total:!!Europe:!!Eastern Europe</t>
  </si>
  <si>
    <t>B05006PR_009</t>
  </si>
  <si>
    <t>Estimate!!Total:!!Europe:!!Europe, n.e.c.</t>
  </si>
  <si>
    <t>B05006PR_010</t>
  </si>
  <si>
    <t>Estimate!!Total:!!Asia:</t>
  </si>
  <si>
    <t>B17019_001</t>
  </si>
  <si>
    <t>Poverty Status in the Past 12 Months of Families by Household Type by Tenure</t>
  </si>
  <si>
    <t>B17019</t>
  </si>
  <si>
    <t>B05006PR_011</t>
  </si>
  <si>
    <t>Estimate!!Total:!!Asia:!!Eastern Asia:</t>
  </si>
  <si>
    <t>B05006PR_012</t>
  </si>
  <si>
    <t>Estimate!!Total:!!Asia:!!Eastern Asia:!!China:</t>
  </si>
  <si>
    <t>B17020_001</t>
  </si>
  <si>
    <t>B05006PR_013</t>
  </si>
  <si>
    <t>Estimate!!Total:!!Asia:!!Eastern Asia:!!China:!!China, excluding Taiwan</t>
  </si>
  <si>
    <t>B05006PR_014</t>
  </si>
  <si>
    <t>Estimate!!Total:!!Asia:!!Eastern Asia:!!China:!!Taiwan</t>
  </si>
  <si>
    <t>B05006PR_015</t>
  </si>
  <si>
    <t>Poverty Status in the Past 12 Months by Age</t>
  </si>
  <si>
    <t>Estimate!!Total:!!Asia:!!Eastern Asia:!!Korea</t>
  </si>
  <si>
    <t>B17020</t>
  </si>
  <si>
    <t>B05006PR_016</t>
  </si>
  <si>
    <t>Estimate!!Total:!!Asia:!!Eastern Asia:!!Other Eastern Asia</t>
  </si>
  <si>
    <t>B05006PR_017</t>
  </si>
  <si>
    <t>Estimate!!Total:!!Asia:!!South Central Asia</t>
  </si>
  <si>
    <t>B05006PR_018</t>
  </si>
  <si>
    <t>Estimate!!Total:!!Asia:!!South Eastern Asia</t>
  </si>
  <si>
    <t>B17020A_001</t>
  </si>
  <si>
    <t>B05006PR_019</t>
  </si>
  <si>
    <t>Estimate!!Total:!!Asia:!!Western Asia</t>
  </si>
  <si>
    <t>Poverty Status in the Past 12 Months by Age (White Alone)</t>
  </si>
  <si>
    <t>B17020A</t>
  </si>
  <si>
    <t>B05006PR_020</t>
  </si>
  <si>
    <t>income, economy, race</t>
  </si>
  <si>
    <t>Estimate!!Total:!!Asia:!!Asia, n.e.c.</t>
  </si>
  <si>
    <t>B17020B_001</t>
  </si>
  <si>
    <t>B05006PR_021</t>
  </si>
  <si>
    <t>Estimate!!Total:!!Africa</t>
  </si>
  <si>
    <t>Poverty Status in the Past 12 Months by Age (Black or African American Alone)</t>
  </si>
  <si>
    <t>B17020B</t>
  </si>
  <si>
    <t>B05006PR_022</t>
  </si>
  <si>
    <t>Estimate!!Total:!!Oceania</t>
  </si>
  <si>
    <t>B05006PR_023</t>
  </si>
  <si>
    <t>Estimate!!Total:!!Americas:</t>
  </si>
  <si>
    <t>B17020C_001</t>
  </si>
  <si>
    <t>Poverty Status in the Past 12 Months by Age (American Indian and Alaska Native Alone)</t>
  </si>
  <si>
    <t>B05006PR_024</t>
  </si>
  <si>
    <t>B17020C</t>
  </si>
  <si>
    <t>Estimate!!Total:!!Americas:!!Latin America:</t>
  </si>
  <si>
    <t>B05006PR_025</t>
  </si>
  <si>
    <t>Estimate!!Total:!!Americas:!!Latin America:!!Caribbean:</t>
  </si>
  <si>
    <t>B17020D_001</t>
  </si>
  <si>
    <t>B05006PR_026</t>
  </si>
  <si>
    <t>Estimate!!Total:!!Americas:!!Latin America:!!Caribbean:!!Cuba</t>
  </si>
  <si>
    <t>Poverty Status in the Past 12 Months by Age (Asian Alone)</t>
  </si>
  <si>
    <t>B17020D</t>
  </si>
  <si>
    <t>B05006PR_027</t>
  </si>
  <si>
    <t>Estimate!!Total:!!Americas:!!Latin America:!!Caribbean:!!Dominican Republic</t>
  </si>
  <si>
    <t>B05006PR_028</t>
  </si>
  <si>
    <t>Estimate!!Total:!!Americas:!!Latin America:!!Caribbean:!!Haiti</t>
  </si>
  <si>
    <t>B17020E_001</t>
  </si>
  <si>
    <t>B05006PR_029</t>
  </si>
  <si>
    <t>Poverty Status in the Past 12 Months by Age (Native Hawaiian and Other Pacific Islander Alone)</t>
  </si>
  <si>
    <t>Estimate!!Total:!!Americas:!!Latin America:!!Caribbean:!!Other Caribbean</t>
  </si>
  <si>
    <t>B17020E</t>
  </si>
  <si>
    <t>B05006PR_030</t>
  </si>
  <si>
    <t>Estimate!!Total:!!Americas:!!Latin America:!!Central America:</t>
  </si>
  <si>
    <t>B17020F_001</t>
  </si>
  <si>
    <t>B05006PR_031</t>
  </si>
  <si>
    <t>Estimate!!Total:!!Americas:!!Latin America:!!Central America:!!Costa Rica</t>
  </si>
  <si>
    <t>Poverty Status in the Past 12 Months by Age (Some Other Race Alone)</t>
  </si>
  <si>
    <t>B17020F</t>
  </si>
  <si>
    <t>B05006PR_032</t>
  </si>
  <si>
    <t>Estimate!!Total:!!Americas:!!Latin America:!!Central America:!!El Salvador</t>
  </si>
  <si>
    <t>B05006PR_033</t>
  </si>
  <si>
    <t>B17020G_001</t>
  </si>
  <si>
    <t>Estimate!!Total:!!Americas:!!Latin America:!!Central America:!!Guatemala</t>
  </si>
  <si>
    <t>Poverty Status in the Past 12 Months by Age (Two or More Races)</t>
  </si>
  <si>
    <t>B17020G</t>
  </si>
  <si>
    <t>B05006PR_034</t>
  </si>
  <si>
    <t>Estimate!!Total:!!Americas:!!Latin America:!!Central America:!!Honduras</t>
  </si>
  <si>
    <t>B05006PR_035</t>
  </si>
  <si>
    <t>Estimate!!Total:!!Americas:!!Latin America:!!Central America:!!Mexico</t>
  </si>
  <si>
    <t>B17020H_001</t>
  </si>
  <si>
    <t>B05006PR_036</t>
  </si>
  <si>
    <t>Poverty Status in the Past 12 Months by Age (White Alone, Not Hispanic or Latino)</t>
  </si>
  <si>
    <t>Estimate!!Total:!!Americas:!!Latin America:!!Central America:!!Panama</t>
  </si>
  <si>
    <t>B17020H</t>
  </si>
  <si>
    <t>B05006PR_037</t>
  </si>
  <si>
    <t>Estimate!!Total:!!Americas:!!Latin America:!!Central America:!!Other Central America</t>
  </si>
  <si>
    <t>B05006PR_038</t>
  </si>
  <si>
    <t>Estimate!!Total:!!Americas:!!Latin America:!!South America:</t>
  </si>
  <si>
    <t>B05006PR_039</t>
  </si>
  <si>
    <t>Estimate!!Total:!!Americas:!!Latin America:!!South America:!!Argentina</t>
  </si>
  <si>
    <t>B05006PR_040</t>
  </si>
  <si>
    <t>Estimate!!Total:!!Americas:!!Latin America:!!South America:!!Chile</t>
  </si>
  <si>
    <t>B17020I_001</t>
  </si>
  <si>
    <t>B05006PR_041</t>
  </si>
  <si>
    <t>Estimate!!Total:!!Americas:!!Latin America:!!South America:!!Colombia</t>
  </si>
  <si>
    <t>Poverty Status in the Past 12 Months by Age (Hispanic or Latino)</t>
  </si>
  <si>
    <t>B17020I</t>
  </si>
  <si>
    <t>B05006PR_042</t>
  </si>
  <si>
    <t>Estimate!!Total:!!Americas:!!Latin America:!!South America:!!Ecuador</t>
  </si>
  <si>
    <t>B05006PR_043</t>
  </si>
  <si>
    <t>Estimate!!Total:!!Americas:!!Latin America:!!South America:!!Peru</t>
  </si>
  <si>
    <t>B17021_001</t>
  </si>
  <si>
    <t>Poverty Status of Individuals in the Past 12 Months by Living Arrangement</t>
  </si>
  <si>
    <t>B05006PR_044</t>
  </si>
  <si>
    <t>B17021</t>
  </si>
  <si>
    <t>Estimate!!Total:!!Americas:!!Latin America:!!South America:!!Venezuela</t>
  </si>
  <si>
    <t>B05006PR_045</t>
  </si>
  <si>
    <t>Estimate!!Total:!!Americas:!!Latin America:!!South America:!!Other South America</t>
  </si>
  <si>
    <t>B17022_001</t>
  </si>
  <si>
    <t>B05006PR_046</t>
  </si>
  <si>
    <t>Estimate!!Total:!!Americas:!!Northern America</t>
  </si>
  <si>
    <t>Ratio of Income to Poverty Level in the Past 12 Months of Families by Family Type by Presence of Related Children Under 18 Years by Age of Related Children</t>
  </si>
  <si>
    <t>B17022</t>
  </si>
  <si>
    <t>B05006_002</t>
  </si>
  <si>
    <t>B17023_001</t>
  </si>
  <si>
    <t>Poverty Status in the Past 12 Months of Families by Household Type by Number of Own Children Under 18 Years</t>
  </si>
  <si>
    <t>B17023</t>
  </si>
  <si>
    <t>B05006_003</t>
  </si>
  <si>
    <t>Estimate!!Total:!!Europe:!!Northern Europe:</t>
  </si>
  <si>
    <t>B17024_001</t>
  </si>
  <si>
    <t>B05006_004</t>
  </si>
  <si>
    <t>Estimate!!Total:!!Europe:!!Northern Europe:!!Denmark</t>
  </si>
  <si>
    <t>Age by Ratio of Income to Poverty Level in the Past 12 Months</t>
  </si>
  <si>
    <t>B17024</t>
  </si>
  <si>
    <t>demographic, economy, income</t>
  </si>
  <si>
    <t>B05006_005</t>
  </si>
  <si>
    <t>Estimate!!Total:!!Europe:!!Northern Europe:!!Ireland</t>
  </si>
  <si>
    <t>B17025_001</t>
  </si>
  <si>
    <t>B05006_006</t>
  </si>
  <si>
    <t>Poverty Status in the Past 12 Months by Nativity</t>
  </si>
  <si>
    <t>Estimate!!Total:!!Europe:!!Northern Europe:!!Norway</t>
  </si>
  <si>
    <t>B17025</t>
  </si>
  <si>
    <t>B05006_007</t>
  </si>
  <si>
    <t>Estimate!!Total:!!Europe:!!Northern Europe:!!Sweden</t>
  </si>
  <si>
    <t>B17026_001</t>
  </si>
  <si>
    <t>B05006_008</t>
  </si>
  <si>
    <t>Ratio of Income to Poverty Level of Families in the Past 12 Months</t>
  </si>
  <si>
    <t>B17026</t>
  </si>
  <si>
    <t>Estimate!!Total:!!Europe:!!Northern Europe:!!United Kingdom (inc. Crown Dependencies):</t>
  </si>
  <si>
    <t>B05006_009</t>
  </si>
  <si>
    <t>Estimate!!Total:!!Europe:!!Northern Europe:!!United Kingdom (inc. Crown Dependencies):!!United Kingdom, excluding England and Scotland</t>
  </si>
  <si>
    <t>B05006_010</t>
  </si>
  <si>
    <t>Estimate!!Total:!!Europe:!!Northern Europe:!!United Kingdom (inc. Crown Dependencies):!!England</t>
  </si>
  <si>
    <t>B17101_001</t>
  </si>
  <si>
    <t>B05006_011</t>
  </si>
  <si>
    <t>Estimate!!Total:!!Europe:!!Northern Europe:!!United Kingdom (inc. Crown Dependencies):!!Scotland</t>
  </si>
  <si>
    <t>B17101</t>
  </si>
  <si>
    <t>B05006_012</t>
  </si>
  <si>
    <t>Estimate!!Total:!!Europe:!!Northern Europe:!!Other Northern Europe</t>
  </si>
  <si>
    <t>B05006_013</t>
  </si>
  <si>
    <t>Estimate!!Total:!!Europe:!!Western Europe:</t>
  </si>
  <si>
    <t>B18101_001</t>
  </si>
  <si>
    <t>B18101</t>
  </si>
  <si>
    <t>B05006_014</t>
  </si>
  <si>
    <t>B18101A_001</t>
  </si>
  <si>
    <t>Age by Disability Status (White Alone)</t>
  </si>
  <si>
    <t>B18101A</t>
  </si>
  <si>
    <t>demographic, race, human services</t>
  </si>
  <si>
    <t>Estimate!!Total:!!Europe:!!Western Europe:!!Austria</t>
  </si>
  <si>
    <t>B18101B_001</t>
  </si>
  <si>
    <t>Age by Disability Status (Black or African American Alone)</t>
  </si>
  <si>
    <t>B05006_015</t>
  </si>
  <si>
    <t>B18101B</t>
  </si>
  <si>
    <t>Estimate!!Total:!!Europe:!!Western Europe:!!Belgium</t>
  </si>
  <si>
    <t>B05006_016</t>
  </si>
  <si>
    <t>B18101C_001</t>
  </si>
  <si>
    <t>Estimate!!Total:!!Europe:!!Western Europe:!!France</t>
  </si>
  <si>
    <t>Age by Disability Status (American Indian and Alaska Native Alone)</t>
  </si>
  <si>
    <t>B18101C</t>
  </si>
  <si>
    <t>B05006_017</t>
  </si>
  <si>
    <t>Estimate!!Total:!!Europe:!!Western Europe:!!Germany</t>
  </si>
  <si>
    <t>B05006_018</t>
  </si>
  <si>
    <t>B18101D_001</t>
  </si>
  <si>
    <t>Estimate!!Total:!!Europe:!!Western Europe:!!Netherlands</t>
  </si>
  <si>
    <t>Age by Disability Status (Asian Alone)</t>
  </si>
  <si>
    <t>B18101D</t>
  </si>
  <si>
    <t>B05006_019</t>
  </si>
  <si>
    <t>Estimate!!Total:!!Europe:!!Western Europe:!!Switzerland</t>
  </si>
  <si>
    <t>B05006_020</t>
  </si>
  <si>
    <t>Estimate!!Total:!!Europe:!!Western Europe:!!Other Western Europe</t>
  </si>
  <si>
    <t>B18101E_001</t>
  </si>
  <si>
    <t>B05006_021</t>
  </si>
  <si>
    <t>Age by Disability Status (Native Hawaiian and Other Pacific Islander Alone)</t>
  </si>
  <si>
    <t>B18101E</t>
  </si>
  <si>
    <t>B05006_022</t>
  </si>
  <si>
    <t>Estimate!!Total:!!Europe:!!Southern Europe:!!Greece</t>
  </si>
  <si>
    <t>B18101F_001</t>
  </si>
  <si>
    <t>B05006_023</t>
  </si>
  <si>
    <t>Estimate!!Total:!!Europe:!!Southern Europe:!!Italy</t>
  </si>
  <si>
    <t>Age by Disability Status (Some Other Race Alone)</t>
  </si>
  <si>
    <t>B18101F</t>
  </si>
  <si>
    <t>B05006_024</t>
  </si>
  <si>
    <t>Estimate!!Total:!!Europe:!!Southern Europe:!!Portugal</t>
  </si>
  <si>
    <t>B18101G_001</t>
  </si>
  <si>
    <t>B05006_025</t>
  </si>
  <si>
    <t>Age by Disability Status (Two or More Races)</t>
  </si>
  <si>
    <t>Estimate!!Total:!!Europe:!!Southern Europe:!!Portugal!!Azores Islands</t>
  </si>
  <si>
    <t>B18101G</t>
  </si>
  <si>
    <t>B05006_026</t>
  </si>
  <si>
    <t>B18101H_001</t>
  </si>
  <si>
    <t>B05006_027</t>
  </si>
  <si>
    <t>Age by Disability Status (White Alone, Not Hispanic or Latino)</t>
  </si>
  <si>
    <t>B18101H</t>
  </si>
  <si>
    <t>B05006_028</t>
  </si>
  <si>
    <t>Estimate!!Total:!!Europe:!!Eastern Europe:</t>
  </si>
  <si>
    <t>B05006_029</t>
  </si>
  <si>
    <t>B18101I_001</t>
  </si>
  <si>
    <t>Estimate!!Total:!!Europe:!!Eastern Europe:!!Albania</t>
  </si>
  <si>
    <t>Age by Disability Status (Hispanic or Latino)</t>
  </si>
  <si>
    <t>B18101I</t>
  </si>
  <si>
    <t>B05006_030</t>
  </si>
  <si>
    <t>Estimate!!Total:!!Europe:!!Eastern Europe:!!Belarus</t>
  </si>
  <si>
    <t>B05006_031</t>
  </si>
  <si>
    <t>B18102_001</t>
  </si>
  <si>
    <t>Estimate!!Total:!!Europe:!!Eastern Europe:!!Bosnia and Herzegovina</t>
  </si>
  <si>
    <t>Sex by Age by Hearing Difficulty</t>
  </si>
  <si>
    <t>B18102</t>
  </si>
  <si>
    <t>B05006_032</t>
  </si>
  <si>
    <t>Estimate!!Total:!!Europe:!!Eastern Europe:!!Bulgaria</t>
  </si>
  <si>
    <t>B18103_001</t>
  </si>
  <si>
    <t>B05006_033</t>
  </si>
  <si>
    <t>Estimate!!Total:!!Europe:!!Eastern Europe:!!Croatia</t>
  </si>
  <si>
    <t>Sex by Age by Vision Difficulty</t>
  </si>
  <si>
    <t>B18103</t>
  </si>
  <si>
    <t>B05006_034</t>
  </si>
  <si>
    <t>Estimate!!Total:!!Europe:!!Eastern Europe:!!Czechoslovakia (includes Czech Republic and Slovakia)</t>
  </si>
  <si>
    <t>B18104_001</t>
  </si>
  <si>
    <t>B05006_035</t>
  </si>
  <si>
    <t>Estimate!!Total:!!Europe:!!Eastern Europe:!!Hungary</t>
  </si>
  <si>
    <t>Sex by Age by Cognitive Difficulty</t>
  </si>
  <si>
    <t>B18104</t>
  </si>
  <si>
    <t>B05006_036</t>
  </si>
  <si>
    <t>Estimate!!Total:!!Europe:!!Eastern Europe:!!Latvia</t>
  </si>
  <si>
    <t>B05006_037</t>
  </si>
  <si>
    <t>B18105_001</t>
  </si>
  <si>
    <t>Estimate!!Total:!!Europe:!!Eastern Europe:!!Lithuania</t>
  </si>
  <si>
    <t>Sex by Age by Ambulatory Difficulty</t>
  </si>
  <si>
    <t>B18105</t>
  </si>
  <si>
    <t>B05006_038</t>
  </si>
  <si>
    <t>Estimate!!Total:!!Europe:!!Eastern Europe:!!Moldova</t>
  </si>
  <si>
    <t>B05006_039</t>
  </si>
  <si>
    <t>Estimate!!Total:!!Europe:!!Eastern Europe:!!North Macedonia (Macedonia)</t>
  </si>
  <si>
    <t>B18106_001</t>
  </si>
  <si>
    <t>Sex by Age by Self-Care Difficulty</t>
  </si>
  <si>
    <t>B05006_040</t>
  </si>
  <si>
    <t>B18106</t>
  </si>
  <si>
    <t>Estimate!!Total:!!Europe:!!Eastern Europe:!!Poland</t>
  </si>
  <si>
    <t>B05006_041</t>
  </si>
  <si>
    <t>Estimate!!Total:!!Europe:!!Eastern Europe:!!Romania</t>
  </si>
  <si>
    <t>B18107_001</t>
  </si>
  <si>
    <t>B05006_042</t>
  </si>
  <si>
    <t>Estimate!!Total:!!Europe:!!Eastern Europe:!!Russia</t>
  </si>
  <si>
    <t>Sex by Age by Independent Living Difficulty</t>
  </si>
  <si>
    <t>B18107</t>
  </si>
  <si>
    <t>B05006_043</t>
  </si>
  <si>
    <t>Estimate!!Total:!!Europe:!!Eastern Europe:!!Serbia</t>
  </si>
  <si>
    <t>B05006_044</t>
  </si>
  <si>
    <t>Estimate!!Total:!!Europe:!!Eastern Europe:!!Ukraine</t>
  </si>
  <si>
    <t>B18135_001</t>
  </si>
  <si>
    <t>B05006_045</t>
  </si>
  <si>
    <t>Estimate!!Total:!!Europe:!!Eastern Europe:!!Other Eastern Europe</t>
  </si>
  <si>
    <t>B05006_046</t>
  </si>
  <si>
    <t>Age by Disability Status by Health Insurance Coverage Status</t>
  </si>
  <si>
    <t>B18135</t>
  </si>
  <si>
    <t>B05006_047</t>
  </si>
  <si>
    <t>B05006_048</t>
  </si>
  <si>
    <t>B18140_001</t>
  </si>
  <si>
    <t>B05006_049</t>
  </si>
  <si>
    <t>Median Earnings in the Past 12 Months (in 2024 Inflation-Adjusted Dollars) by Disability Status by Sex for the Civilian Noninstitutionalized Population 16 Years and Over With Earnings</t>
  </si>
  <si>
    <t>B18140</t>
  </si>
  <si>
    <t>B05006_050</t>
  </si>
  <si>
    <t>Estimate!!Total:!!Asia:!!Eastern Asia:!!China:!!China, excluding Hong Kong and Taiwan</t>
  </si>
  <si>
    <t>B05006_051</t>
  </si>
  <si>
    <t>Estimate!!Total:!!Asia:!!Eastern Asia:!!China:!!Hong Kong</t>
  </si>
  <si>
    <t>B05006_052</t>
  </si>
  <si>
    <t>B19001_001</t>
  </si>
  <si>
    <t>Household Income in the Past 12 Months (in 2024 Inflation-Adjusted Dollars)</t>
  </si>
  <si>
    <t>B05006_053</t>
  </si>
  <si>
    <t>Estimate!!Total:!!Asia:!!Eastern Asia:!!Japan</t>
  </si>
  <si>
    <t>B19001</t>
  </si>
  <si>
    <t>B05006_054</t>
  </si>
  <si>
    <t>housing, income</t>
  </si>
  <si>
    <t>B05006_055</t>
  </si>
  <si>
    <t>B05006_056</t>
  </si>
  <si>
    <t>Estimate!!Total:!!Asia:!!South Central Asia:</t>
  </si>
  <si>
    <t>B19001A_001</t>
  </si>
  <si>
    <t>B05006_057</t>
  </si>
  <si>
    <t>Household Income in the Past 12 Months (in 2024 Inflation-Adjusted Dollars) (White Alone Householder)</t>
  </si>
  <si>
    <t>Estimate!!Total:!!Asia:!!South Central Asia:!!Afghanistan</t>
  </si>
  <si>
    <t>B19001A</t>
  </si>
  <si>
    <t>B05006_058</t>
  </si>
  <si>
    <t>Estimate!!Total:!!Asia:!!South Central Asia:!!Bangladesh</t>
  </si>
  <si>
    <t>housing, income, race</t>
  </si>
  <si>
    <t>B05006_059</t>
  </si>
  <si>
    <t>Estimate!!Total:!!Asia:!!South Central Asia:!!Bhutan</t>
  </si>
  <si>
    <t>B19001B_001</t>
  </si>
  <si>
    <t>B05006_060</t>
  </si>
  <si>
    <t>Estimate!!Total:!!Asia:!!South Central Asia:!!India</t>
  </si>
  <si>
    <t>Household Income in the Past 12 Months (in 2024 Inflation-Adjusted Dollars) (Black or African American Alone Householder)</t>
  </si>
  <si>
    <t>B19001B</t>
  </si>
  <si>
    <t>B05006_061</t>
  </si>
  <si>
    <t>Estimate!!Total:!!Asia:!!South Central Asia:!!Iran</t>
  </si>
  <si>
    <t>B05006_062</t>
  </si>
  <si>
    <t>Estimate!!Total:!!Asia:!!South Central Asia:!!Kazakhstan</t>
  </si>
  <si>
    <t>B19001C_001</t>
  </si>
  <si>
    <t>Household Income in the Past 12 Months (in 2024 Inflation-Adjusted Dollars) (American Indian and Alaska Native Alone Householder)</t>
  </si>
  <si>
    <t>B05006_063</t>
  </si>
  <si>
    <t>B19001C</t>
  </si>
  <si>
    <t>Estimate!!Total:!!Asia:!!South Central Asia:!!Nepal</t>
  </si>
  <si>
    <t>B05006_064</t>
  </si>
  <si>
    <t>Estimate!!Total:!!Asia:!!South Central Asia:!!Pakistan</t>
  </si>
  <si>
    <t>B05006_065</t>
  </si>
  <si>
    <t>Estimate!!Total:!!Asia:!!South Central Asia:!!Sri Lanka</t>
  </si>
  <si>
    <t>B19001D_001</t>
  </si>
  <si>
    <t>B05006_066</t>
  </si>
  <si>
    <t>Household Income in the Past 12 Months (in 2024 Inflation-Adjusted Dollars) (Asian Alone Householder)</t>
  </si>
  <si>
    <t>Estimate!!Total:!!Asia:!!South Central Asia:!!Uzbekistan</t>
  </si>
  <si>
    <t>B19001D</t>
  </si>
  <si>
    <t>B05006_067</t>
  </si>
  <si>
    <t>Estimate!!Total:!!Asia:!!South Central Asia:!!Other South Central Asia</t>
  </si>
  <si>
    <t>B05006_068</t>
  </si>
  <si>
    <t>Estimate!!Total:!!Asia:!!South Eastern Asia:</t>
  </si>
  <si>
    <t>B19001E_001</t>
  </si>
  <si>
    <t>B05006_069</t>
  </si>
  <si>
    <t>Estimate!!Total:!!Asia:!!South Eastern Asia:!!Burma (Myanmar)</t>
  </si>
  <si>
    <t>Household Income in the Past 12 Months (in 2024 Inflation-Adjusted Dollars) (Native Hawaiian and Other Pacific Islander Alone Householder)</t>
  </si>
  <si>
    <t>B19001E</t>
  </si>
  <si>
    <t>B05006_070</t>
  </si>
  <si>
    <t>Estimate!!Total:!!Asia:!!South Eastern Asia:!!Cambodia</t>
  </si>
  <si>
    <t>B05006_071</t>
  </si>
  <si>
    <t>Estimate!!Total:!!Asia:!!South Eastern Asia:!!Indonesia</t>
  </si>
  <si>
    <t>B19001F_001</t>
  </si>
  <si>
    <t>B05006_072</t>
  </si>
  <si>
    <t>Estimate!!Total:!!Asia:!!South Eastern Asia:!!Laos</t>
  </si>
  <si>
    <t>Household Income in the Past 12 Months (in 2024 Inflation-Adjusted Dollars) (Some Other Race Alone Householder)</t>
  </si>
  <si>
    <t>B19001F</t>
  </si>
  <si>
    <t>B05006_073</t>
  </si>
  <si>
    <t>Estimate!!Total:!!Asia:!!South Eastern Asia:!!Malaysia</t>
  </si>
  <si>
    <t>B05006_074</t>
  </si>
  <si>
    <t>Estimate!!Total:!!Asia:!!South Eastern Asia:!!Philippines</t>
  </si>
  <si>
    <t>B19001G_001</t>
  </si>
  <si>
    <t>B05006_075</t>
  </si>
  <si>
    <t>Estimate!!Total:!!Asia:!!South Eastern Asia:!!Singapore</t>
  </si>
  <si>
    <t>Household Income in the Past 12 Months (in 2024 Inflation-Adjusted Dollars) (Two or More Races Householder)</t>
  </si>
  <si>
    <t>B19001G</t>
  </si>
  <si>
    <t>B05006_076</t>
  </si>
  <si>
    <t>Estimate!!Total:!!Asia:!!South Eastern Asia:!!Thailand</t>
  </si>
  <si>
    <t>B05006_077</t>
  </si>
  <si>
    <t>Estimate!!Total:!!Asia:!!South Eastern Asia:!!Vietnam</t>
  </si>
  <si>
    <t>B19001H_001</t>
  </si>
  <si>
    <t>B05006_078</t>
  </si>
  <si>
    <t>Estimate!!Total:!!Asia:!!South Eastern Asia:!!Other South Eastern Asia</t>
  </si>
  <si>
    <t>Household Income in the Past 12 Months (in 2024 Inflation-Adjusted Dollars) (White Alone, Not Hispanic or Latino Householder)</t>
  </si>
  <si>
    <t>B19001H</t>
  </si>
  <si>
    <t>B05006_079</t>
  </si>
  <si>
    <t>Estimate!!Total:!!Asia:!!Western Asia:</t>
  </si>
  <si>
    <t>B05006_080</t>
  </si>
  <si>
    <t>Estimate!!Total:!!Asia:!!Western Asia:!!Armenia</t>
  </si>
  <si>
    <t>B19001I_001</t>
  </si>
  <si>
    <t>B05006_081</t>
  </si>
  <si>
    <t>Estimate!!Total:!!Asia:!!Western Asia:!!Azerbaijan</t>
  </si>
  <si>
    <t>Household Income in the Past 12 Months (in 2024 Inflation-Adjusted Dollars) (Hispanic or Latino Householder)</t>
  </si>
  <si>
    <t>B19001I</t>
  </si>
  <si>
    <t>B05006_082</t>
  </si>
  <si>
    <t>Estimate!!Total:!!Asia:!!Western Asia:!!Georgia</t>
  </si>
  <si>
    <t>B05006_083</t>
  </si>
  <si>
    <t>B19013_001</t>
  </si>
  <si>
    <t>Estimate!!Total:!!Asia:!!Western Asia:!!Iraq</t>
  </si>
  <si>
    <t>Estimate!!Median household income in the past 12 months (in 2024 inflation-adjusted dollars)</t>
  </si>
  <si>
    <t>Median Household Income in the Past 12 Months (in 2024 Inflation-Adjusted Dollars)</t>
  </si>
  <si>
    <t>B19013</t>
  </si>
  <si>
    <t>B05006_084</t>
  </si>
  <si>
    <t>Estimate!!Total:!!Asia:!!Western Asia:!!Israel</t>
  </si>
  <si>
    <t>B05006_085</t>
  </si>
  <si>
    <t>Estimate!!Total:!!Asia:!!Western Asia:!!Jordan</t>
  </si>
  <si>
    <t>B05006_086</t>
  </si>
  <si>
    <t>Estimate!!Total:!!Asia:!!Western Asia:!!Kuwait</t>
  </si>
  <si>
    <t>B05006_087</t>
  </si>
  <si>
    <t>Estimate!!Total:!!Asia:!!Western Asia:!!Lebanon</t>
  </si>
  <si>
    <t>B05006_088</t>
  </si>
  <si>
    <t>Estimate!!Total:!!Asia:!!Western Asia:!!Saudi Arabia</t>
  </si>
  <si>
    <t>B19013A_001</t>
  </si>
  <si>
    <t>B05006_089</t>
  </si>
  <si>
    <t>Estimate!!Total:!!Asia:!!Western Asia:!!Syria</t>
  </si>
  <si>
    <t>Median Household Income in the Past 12 Months (in 2024 Inflation-Adjusted Dollars) (White Alone Householder)</t>
  </si>
  <si>
    <t>B19013A</t>
  </si>
  <si>
    <t>B05006_090</t>
  </si>
  <si>
    <t>Estimate!!Total:!!Asia:!!Western Asia:!!Turkey</t>
  </si>
  <si>
    <t>income, race</t>
  </si>
  <si>
    <t>B05006_091</t>
  </si>
  <si>
    <t>Estimate!!Total:!!Asia:!!Western Asia:!!United Arab Emirates</t>
  </si>
  <si>
    <t>B05006_092</t>
  </si>
  <si>
    <t>B19013B_001</t>
  </si>
  <si>
    <t>Estimate!!Total:!!Asia:!!Western Asia:!!Yemen</t>
  </si>
  <si>
    <t>B05006_093</t>
  </si>
  <si>
    <t>Median Household Income in the Past 12 Months (in 2024 Inflation-Adjusted Dollars) (Black or African American Alone Householder)</t>
  </si>
  <si>
    <t>Estimate!!Total:!!Asia:!!Western Asia:!!Other Western Asia</t>
  </si>
  <si>
    <t>B19013B</t>
  </si>
  <si>
    <t>B05006_094</t>
  </si>
  <si>
    <t>B05006_095</t>
  </si>
  <si>
    <t>Estimate!!Total:!!Africa:</t>
  </si>
  <si>
    <t>B05006_096</t>
  </si>
  <si>
    <t>Estimate!!Total:!!Africa:!!Eastern Africa:</t>
  </si>
  <si>
    <t>B05006_097</t>
  </si>
  <si>
    <t>Estimate!!Total:!!Africa:!!Eastern Africa:!!Eritrea</t>
  </si>
  <si>
    <t>B05006_098</t>
  </si>
  <si>
    <t>Estimate!!Total:!!Africa:!!Eastern Africa:!!Ethiopia</t>
  </si>
  <si>
    <t>B05006_099</t>
  </si>
  <si>
    <t>Estimate!!Total:!!Africa:!!Eastern Africa:!!Kenya</t>
  </si>
  <si>
    <t>B05006_100</t>
  </si>
  <si>
    <t>Estimate!!Total:!!Africa:!!Eastern Africa:!!Somalia</t>
  </si>
  <si>
    <t>B05006_101</t>
  </si>
  <si>
    <t>Estimate!!Total:!!Africa:!!Eastern Africa:!!Tanzania</t>
  </si>
  <si>
    <t>B05006_102</t>
  </si>
  <si>
    <t>Estimate!!Total:!!Africa:!!Eastern Africa:!!Uganda</t>
  </si>
  <si>
    <t>B05006_103</t>
  </si>
  <si>
    <t>Estimate!!Total:!!Africa:!!Eastern Africa:!!Zimbabwe</t>
  </si>
  <si>
    <t>B05006_104</t>
  </si>
  <si>
    <t>Estimate!!Total:!!Africa:!!Eastern Africa:!!Other Eastern Africa</t>
  </si>
  <si>
    <t>B19013C_001</t>
  </si>
  <si>
    <t>B05006_105</t>
  </si>
  <si>
    <t>Estimate!!Total:!!Africa:!!Middle Africa:</t>
  </si>
  <si>
    <t>Median Household Income in the Past 12 Months (in 2024 Inflation-Adjusted Dollars) (American Indian and Alaska Native Alone Householder)</t>
  </si>
  <si>
    <t>B19013C</t>
  </si>
  <si>
    <t>B05006_106</t>
  </si>
  <si>
    <t>Estimate!!Total:!!Africa:!!Middle Africa:!!Cameroon</t>
  </si>
  <si>
    <t>B05006_107</t>
  </si>
  <si>
    <t>Estimate!!Total:!!Africa:!!Middle Africa:!!Congo</t>
  </si>
  <si>
    <t>B05006_108</t>
  </si>
  <si>
    <t>B19013D_001</t>
  </si>
  <si>
    <t>Estimate!!Total:!!Africa:!!Middle Africa:!!Democratic Republic of Congo (Zaire)</t>
  </si>
  <si>
    <t>B05006_109</t>
  </si>
  <si>
    <t>Median Household Income in the Past 12 Months (in 2024 Inflation-Adjusted Dollars) (Asian Alone Householder)</t>
  </si>
  <si>
    <t>Estimate!!Total:!!Africa:!!Middle Africa:!!Other Middle Africa</t>
  </si>
  <si>
    <t>B19013D</t>
  </si>
  <si>
    <t>B05006_110</t>
  </si>
  <si>
    <t>Estimate!!Total:!!Africa:!!Northern Africa:</t>
  </si>
  <si>
    <t>B05006_111</t>
  </si>
  <si>
    <t>Estimate!!Total:!!Africa:!!Northern Africa:!!Algeria</t>
  </si>
  <si>
    <t>B19013E_001</t>
  </si>
  <si>
    <t>B05006_112</t>
  </si>
  <si>
    <t>Estimate!!Total:!!Africa:!!Northern Africa:!!Egypt</t>
  </si>
  <si>
    <t>Median Household Income in the Past 12 Months (in 2024 Inflation-Adjusted Dollars) (Native Hawaiian and Other Pacific Islander Alone Householder)</t>
  </si>
  <si>
    <t>B19013E</t>
  </si>
  <si>
    <t>B05006_113</t>
  </si>
  <si>
    <t>Estimate!!Total:!!Africa:!!Northern Africa:!!Morocco</t>
  </si>
  <si>
    <t>B05006_114</t>
  </si>
  <si>
    <t>Estimate!!Total:!!Africa:!!Northern Africa:!!Sudan</t>
  </si>
  <si>
    <t>B19013F_001</t>
  </si>
  <si>
    <t>B05006_115</t>
  </si>
  <si>
    <t>Estimate!!Total:!!Africa:!!Northern Africa:!!Other Northern Africa</t>
  </si>
  <si>
    <t>Median Household Income in the Past 12 Months (in 2024 Inflation-Adjusted Dollars) (Some Other Race Alone Householder)</t>
  </si>
  <si>
    <t>B19013F</t>
  </si>
  <si>
    <t>B05006_116</t>
  </si>
  <si>
    <t>Estimate!!Total:!!Africa:!!Southern Africa:</t>
  </si>
  <si>
    <t>B05006_117</t>
  </si>
  <si>
    <t>Estimate!!Total:!!Africa:!!Southern Africa:!!South Africa</t>
  </si>
  <si>
    <t>B05006_118</t>
  </si>
  <si>
    <t>B19013G_001</t>
  </si>
  <si>
    <t>Estimate!!Total:!!Africa:!!Southern Africa:!!Other Southern Africa</t>
  </si>
  <si>
    <t>Median Household Income in the Past 12 Months (in 2024 Inflation-Adjusted Dollars) (Two or More Races Householder)</t>
  </si>
  <si>
    <t>B05006_119</t>
  </si>
  <si>
    <t>B19013G</t>
  </si>
  <si>
    <t>Estimate!!Total:!!Africa:!!Western Africa:</t>
  </si>
  <si>
    <t>B05006_120</t>
  </si>
  <si>
    <t>Estimate!!Total:!!Africa:!!Western Africa:!!Cabo Verde</t>
  </si>
  <si>
    <t>B05006_121</t>
  </si>
  <si>
    <t>B19013H_001</t>
  </si>
  <si>
    <t>Estimate!!Total:!!Africa:!!Western Africa:!!Ghana</t>
  </si>
  <si>
    <t>Median Household Income in the Past 12 Months (in 2024 Inflation-Adjusted Dollars) (White Alone, Not Hispanic or Latino Householder)</t>
  </si>
  <si>
    <t>B05006_122</t>
  </si>
  <si>
    <t>B19013H</t>
  </si>
  <si>
    <t>Estimate!!Total:!!Africa:!!Western Africa:!!Ivory Coast</t>
  </si>
  <si>
    <t>B05006_123</t>
  </si>
  <si>
    <t>Estimate!!Total:!!Africa:!!Western Africa:!!Liberia</t>
  </si>
  <si>
    <t>B05006_124</t>
  </si>
  <si>
    <t>B19013I_001</t>
  </si>
  <si>
    <t>Estimate!!Total:!!Africa:!!Western Africa:!!Nigeria</t>
  </si>
  <si>
    <t>Median Household Income in the Past 12 Months (in 2024 Inflation-Adjusted Dollars) (Hispanic or Latino Householder)</t>
  </si>
  <si>
    <t>B05006_125</t>
  </si>
  <si>
    <t>B19013I</t>
  </si>
  <si>
    <t>Estimate!!Total:!!Africa:!!Western Africa:!!Senegal</t>
  </si>
  <si>
    <t>B05006_126</t>
  </si>
  <si>
    <t>Estimate!!Total:!!Africa:!!Western Africa:!!Sierra Leone</t>
  </si>
  <si>
    <t>B05006_127</t>
  </si>
  <si>
    <t>B19019_001</t>
  </si>
  <si>
    <t>Estimate!!Total:!!Africa:!!Western Africa:!!Togo</t>
  </si>
  <si>
    <t>Median Household Income in the Past 12 Months (in 2024 Inflation-Adjusted Dollars) by Household Size</t>
  </si>
  <si>
    <t>B05006_128</t>
  </si>
  <si>
    <t>B19019</t>
  </si>
  <si>
    <t>Estimate!!Total:!!Africa:!!Western Africa:!!Other Western Africa</t>
  </si>
  <si>
    <t>B05006_129</t>
  </si>
  <si>
    <t>Estimate!!Total:!!Africa:!!Africa, n.e.c.</t>
  </si>
  <si>
    <t>B19025_001</t>
  </si>
  <si>
    <t>B05006_130</t>
  </si>
  <si>
    <t>Estimate!!Total:!!Oceania:</t>
  </si>
  <si>
    <t>Estimate!!Aggregate household income in the past 12 months (in 2024 inflation-adjusted dollars)</t>
  </si>
  <si>
    <t>Aggregate Household Income in the Past 12 Months (in 2024 Inflation-Adjusted Dollars)</t>
  </si>
  <si>
    <t>B19025</t>
  </si>
  <si>
    <t>B05006_131</t>
  </si>
  <si>
    <t>Estimate!!Total:!!Oceania:!!Australia and New Zealand Subregion:</t>
  </si>
  <si>
    <t>B05006_132</t>
  </si>
  <si>
    <t>Estimate!!Total:!!Oceania:!!Australia and New Zealand Subregion:!!Australia</t>
  </si>
  <si>
    <t>B19025A_001</t>
  </si>
  <si>
    <t>B05006_133</t>
  </si>
  <si>
    <t>Estimate!!Total:!!Oceania:!!Australia and New Zealand Subregion:!!Other Australian and New Zealand Subregion</t>
  </si>
  <si>
    <t>Aggregate Household Income in the Past 12 Months (in 2024 Inflation-Adjusted Dollars) (White Alone Householder)</t>
  </si>
  <si>
    <t>B19025A</t>
  </si>
  <si>
    <t>B05006_134</t>
  </si>
  <si>
    <t>Estimate!!Total:!!Oceania:!!Fiji</t>
  </si>
  <si>
    <t>B05006_135</t>
  </si>
  <si>
    <t>Estimate!!Total:!!Oceania:!!Marshall Islands</t>
  </si>
  <si>
    <t>B19025B_001</t>
  </si>
  <si>
    <t>B05006_136</t>
  </si>
  <si>
    <t>Estimate!!Total:!!Oceania:!!Micronesia</t>
  </si>
  <si>
    <t>Aggregate Household Income in the Past 12 Months (in 2024 Inflation-Adjusted Dollars) (Black or African American Alone Householder)</t>
  </si>
  <si>
    <t>B05006_137</t>
  </si>
  <si>
    <t>B19025B</t>
  </si>
  <si>
    <t>Estimate!!Total:!!Oceania:!!Oceania, n.e.c.</t>
  </si>
  <si>
    <t>B05006_138</t>
  </si>
  <si>
    <t>B19025C_001</t>
  </si>
  <si>
    <t>B05006_139</t>
  </si>
  <si>
    <t>Aggregate Household Income in the Past 12 Months (in 2024 Inflation-Adjusted Dollars) (American Indian and Alaska Native Alone Householder)</t>
  </si>
  <si>
    <t>B19025C</t>
  </si>
  <si>
    <t>B05006_140</t>
  </si>
  <si>
    <t>B05006_141</t>
  </si>
  <si>
    <t>Estimate!!Total:!!Americas:!!Latin America:!!Caribbean:!!Bahamas</t>
  </si>
  <si>
    <t>B19025D_001</t>
  </si>
  <si>
    <t>B05006_142</t>
  </si>
  <si>
    <t>Estimate!!Total:!!Americas:!!Latin America:!!Caribbean:!!Barbados</t>
  </si>
  <si>
    <t>Aggregate Household Income in the Past 12 Months (in 2024 Inflation-Adjusted Dollars) (Asian Alone Householder)</t>
  </si>
  <si>
    <t>B19025D</t>
  </si>
  <si>
    <t>B05006_143</t>
  </si>
  <si>
    <t>B05006_144</t>
  </si>
  <si>
    <t>Estimate!!Total:!!Americas:!!Latin America:!!Caribbean:!!Dominica</t>
  </si>
  <si>
    <t>B05006_145</t>
  </si>
  <si>
    <t>B19025E_001</t>
  </si>
  <si>
    <t>Aggregate Household Income in the Past 12 Months (in 2024 Inflation-Adjusted Dollars) (Native Hawaiian and Other Pacific Islander Alone Householder)</t>
  </si>
  <si>
    <t>B05006_146</t>
  </si>
  <si>
    <t>B19025E</t>
  </si>
  <si>
    <t>Estimate!!Total:!!Americas:!!Latin America:!!Caribbean:!!Grenada</t>
  </si>
  <si>
    <t>B05006_147</t>
  </si>
  <si>
    <t>B19025F_001</t>
  </si>
  <si>
    <t>Aggregate Household Income in the Past 12 Months (in 2024 Inflation-Adjusted Dollars) (Some Other Race Alone Householder)</t>
  </si>
  <si>
    <t>B19025F</t>
  </si>
  <si>
    <t>B19025G_001</t>
  </si>
  <si>
    <t>B05006_148</t>
  </si>
  <si>
    <t>Estimate!!Total:!!Americas:!!Latin America:!!Caribbean:!!Jamaica</t>
  </si>
  <si>
    <t>Aggregate Household Income in the Past 12 Months (in 2024 Inflation-Adjusted Dollars) (Two or More Races Householder)</t>
  </si>
  <si>
    <t>B19025G</t>
  </si>
  <si>
    <t>B05006_149</t>
  </si>
  <si>
    <t>Estimate!!Total:!!Americas:!!Latin America:!!Caribbean:!!St. Lucia</t>
  </si>
  <si>
    <t>B05006_150</t>
  </si>
  <si>
    <t>Estimate!!Total:!!Americas:!!Latin America:!!Caribbean:!!St. Vincent and the Grenadines</t>
  </si>
  <si>
    <t>B19025H_001</t>
  </si>
  <si>
    <t>B05006_151</t>
  </si>
  <si>
    <t>Aggregate Household Income in the Past 12 Months (in 2024 Inflation-Adjusted Dollars) (White Alone, Not Hispanic or Latino Householder)</t>
  </si>
  <si>
    <t>Estimate!!Total:!!Americas:!!Latin America:!!Caribbean:!!Trinidad and Tobago</t>
  </si>
  <si>
    <t>B19025H</t>
  </si>
  <si>
    <t>B05006_152</t>
  </si>
  <si>
    <t>Estimate!!Total:!!Americas:!!Latin America:!!Caribbean:!!West Indies</t>
  </si>
  <si>
    <t>B05006_153</t>
  </si>
  <si>
    <t>B19025I_001</t>
  </si>
  <si>
    <t>Aggregate Household Income in the Past 12 Months (in 2024 Inflation-Adjusted Dollars) (Hispanic or Latino Householder)</t>
  </si>
  <si>
    <t>B05006_154</t>
  </si>
  <si>
    <t>B19025I</t>
  </si>
  <si>
    <t>B05006_155</t>
  </si>
  <si>
    <t>Estimate!!Total:!!Americas:!!Latin America:!!Central America:!!Belize</t>
  </si>
  <si>
    <t>B05006_156</t>
  </si>
  <si>
    <t>B19037_001</t>
  </si>
  <si>
    <t>Age of Householder by Household Income in the Past 12 Months (in 2024 Inflation-Adjusted Dollars)</t>
  </si>
  <si>
    <t>B19037</t>
  </si>
  <si>
    <t>B05006_157</t>
  </si>
  <si>
    <t>demographic, housing, income, race</t>
  </si>
  <si>
    <t>B05006_158</t>
  </si>
  <si>
    <t>B05006_159</t>
  </si>
  <si>
    <t>B19037A_001</t>
  </si>
  <si>
    <t>Age of Householder by Household Income in the Past 12 Months (in 2024 Inflation-Adjusted Dollars) (White Alone Householder)</t>
  </si>
  <si>
    <t>B05006_160</t>
  </si>
  <si>
    <t>B19037A</t>
  </si>
  <si>
    <t>B05006_161</t>
  </si>
  <si>
    <t>Estimate!!Total:!!Americas:!!Latin America:!!Central America:!!Nicaragua</t>
  </si>
  <si>
    <t>B05006_162</t>
  </si>
  <si>
    <t>B05006_163</t>
  </si>
  <si>
    <t>B19037B_001</t>
  </si>
  <si>
    <t>Age of Householder by Household Income in the Past 12 Months (in 2024 Inflation-Adjusted Dollars) (Black or African American Alone Householder)</t>
  </si>
  <si>
    <t>B05006_164</t>
  </si>
  <si>
    <t>B19037B</t>
  </si>
  <si>
    <t>B05006_165</t>
  </si>
  <si>
    <t>B05006_166</t>
  </si>
  <si>
    <t>Estimate!!Total:!!Americas:!!Latin America:!!South America:!!Bolivia</t>
  </si>
  <si>
    <t>B19037C_001</t>
  </si>
  <si>
    <t>B05006_167</t>
  </si>
  <si>
    <t>Estimate!!Total:!!Americas:!!Latin America:!!South America:!!Brazil</t>
  </si>
  <si>
    <t>Age of Householder by Household Income in the Past 12 Months (in 2024 Inflation-Adjusted Dollars) (American Indian and Alaska Native Alone Householder)</t>
  </si>
  <si>
    <t>B05006_168</t>
  </si>
  <si>
    <t>B19037C</t>
  </si>
  <si>
    <t>B05006_169</t>
  </si>
  <si>
    <t>B05006_170</t>
  </si>
  <si>
    <t>B19037D_001</t>
  </si>
  <si>
    <t>B05006_171</t>
  </si>
  <si>
    <t>Estimate!!Total:!!Americas:!!Latin America:!!South America:!!Guyana</t>
  </si>
  <si>
    <t>Age of Householder by Household Income in the Past 12 Months (in 2024 Inflation-Adjusted Dollars) (Asian Alone Householder)</t>
  </si>
  <si>
    <t>B05006_172</t>
  </si>
  <si>
    <t>B19037D</t>
  </si>
  <si>
    <t>B05006_173</t>
  </si>
  <si>
    <t>Estimate!!Total:!!Americas:!!Latin America:!!South America:!!Uruguay</t>
  </si>
  <si>
    <t>B05006_174</t>
  </si>
  <si>
    <t>B19037E_001</t>
  </si>
  <si>
    <t>B05006_175</t>
  </si>
  <si>
    <t>Age of Householder by Household Income in the Past 12 Months (in 2024 Inflation-Adjusted Dollars) (Native Hawaiian and Other Pacific Islander Alone Householder)</t>
  </si>
  <si>
    <t>B05006_176</t>
  </si>
  <si>
    <t>B19037E</t>
  </si>
  <si>
    <t>Estimate!!Total:!!Americas:!!Northern America:</t>
  </si>
  <si>
    <t>B05006_177</t>
  </si>
  <si>
    <t>Estimate!!Total:!!Americas:!!Northern America:!!Canada</t>
  </si>
  <si>
    <t>B05006_178</t>
  </si>
  <si>
    <t>Estimate!!Total:!!Americas:!!Northern America:!!Other Northern America</t>
  </si>
  <si>
    <t>B19037F_001</t>
  </si>
  <si>
    <t>Age of Householder by Household Income in the Past 12 Months (in 2024 Inflation-Adjusted Dollars) (Some Other Race Alone Householder)</t>
  </si>
  <si>
    <t>B19037F</t>
  </si>
  <si>
    <t>B05007_002</t>
  </si>
  <si>
    <t>B05007_003</t>
  </si>
  <si>
    <t>Estimate!!Total:!!Entered 2010 or later:!!Naturalized U.S. citizen</t>
  </si>
  <si>
    <t>B05007_004</t>
  </si>
  <si>
    <t>B19037G_001</t>
  </si>
  <si>
    <t>Estimate!!Total:!!Entered 2010 or later:!!Not a U.S. citizen</t>
  </si>
  <si>
    <t>B05007_005</t>
  </si>
  <si>
    <t>Age of Householder by Household Income in the Past 12 Months (in 2024 Inflation-Adjusted Dollars) (Two or More Races Householder)</t>
  </si>
  <si>
    <t>B19037G</t>
  </si>
  <si>
    <t>B05007_006</t>
  </si>
  <si>
    <t>Estimate!!Total:!!Entered 2000 to 2009:!!Naturalized U.S. citizen</t>
  </si>
  <si>
    <t>B05007_007</t>
  </si>
  <si>
    <t>Estimate!!Total:!!Entered 2000 to 2009:!!Not a U.S. citizen</t>
  </si>
  <si>
    <t>B19037H_001</t>
  </si>
  <si>
    <t>B05007_008</t>
  </si>
  <si>
    <t>Age of Householder by Household Income in the Past 12 Months (in 2024 Inflation-Adjusted Dollars) (White Alone, Not Hispanic or Latino Householder)</t>
  </si>
  <si>
    <t>B19037H</t>
  </si>
  <si>
    <t>B05007_009</t>
  </si>
  <si>
    <t>Estimate!!Total:!!Entered 1990 to 1999:!!Naturalized U.S. citizen</t>
  </si>
  <si>
    <t>B05007_010</t>
  </si>
  <si>
    <t>Estimate!!Total:!!Entered 1990 to 1999:!!Not a U.S. citizen</t>
  </si>
  <si>
    <t>B05007_011</t>
  </si>
  <si>
    <t>B19037I_001</t>
  </si>
  <si>
    <t>B05007_012</t>
  </si>
  <si>
    <t>Estimate!!Total:!!Entered before 1990:!!Naturalized U.S. citizen</t>
  </si>
  <si>
    <t>Age of Householder by Household Income in the Past 12 Months (in 2024 Inflation-Adjusted Dollars) (Hispanic or Latino Householder)</t>
  </si>
  <si>
    <t>B19037I</t>
  </si>
  <si>
    <t>B05007_013</t>
  </si>
  <si>
    <t>Estimate!!Total:!!Entered before 1990:!!Not a U.S. citizen</t>
  </si>
  <si>
    <t>B05007_014</t>
  </si>
  <si>
    <t>B05007_015</t>
  </si>
  <si>
    <t>Estimate!!Total:!!Europe:!!Entered 2010 or later:</t>
  </si>
  <si>
    <t>B19049_001</t>
  </si>
  <si>
    <t>Estimate!!Median household income in the past 12 months (in 2024 inflation-adjusted dollars) --!!Total:</t>
  </si>
  <si>
    <t>B05007_016</t>
  </si>
  <si>
    <t>Estimate!!Total:!!Europe:!!Entered 2010 or later:!!Naturalized U.S. citizen</t>
  </si>
  <si>
    <t>Median Household Income in the Past 12 Months (in 2024 Inflation-Adjusted Dollars) by Age of Householder</t>
  </si>
  <si>
    <t>B19049</t>
  </si>
  <si>
    <t>B05007_017</t>
  </si>
  <si>
    <t>Estimate!!Total:!!Europe:!!Entered 2010 or later:!!Not a U.S. citizen</t>
  </si>
  <si>
    <t>B05007_018</t>
  </si>
  <si>
    <t>Estimate!!Total:!!Europe:!!Entered 2000 to 2009:</t>
  </si>
  <si>
    <t>B05007_019</t>
  </si>
  <si>
    <t>Estimate!!Total:!!Europe:!!Entered 2000 to 2009:!!Naturalized U.S. citizen</t>
  </si>
  <si>
    <t>B19050_001</t>
  </si>
  <si>
    <t>B05007_020</t>
  </si>
  <si>
    <t>Estimate!!Aggregate household income in the past 12 months (in 2024 inflation-adjusted dollars):</t>
  </si>
  <si>
    <t>Estimate!!Total:!!Europe:!!Entered 2000 to 2009:!!Not a U.S. citizen</t>
  </si>
  <si>
    <t>Aggregate Household Income in the Past 12 Months (in 2024 Inflation-Adjusted Dollars) by Age of Householder</t>
  </si>
  <si>
    <t>B19050</t>
  </si>
  <si>
    <t>B05007_021</t>
  </si>
  <si>
    <t>Estimate!!Total:!!Europe:!!Entered 1990 to 1999:</t>
  </si>
  <si>
    <t>B05007_022</t>
  </si>
  <si>
    <t>Estimate!!Total:!!Europe:!!Entered 1990 to 1999:!!Naturalized U.S. citizen</t>
  </si>
  <si>
    <t>B05007_023</t>
  </si>
  <si>
    <t>Estimate!!Total:!!Europe:!!Entered 1990 to 1999:!!Not a U.S. citizen</t>
  </si>
  <si>
    <t>B05007_024</t>
  </si>
  <si>
    <t>Estimate!!Total:!!Europe:!!Entered before 1990:</t>
  </si>
  <si>
    <t>demographic, housing, income</t>
  </si>
  <si>
    <t>B05007_025</t>
  </si>
  <si>
    <t>Estimate!!Total:!!Europe:!!Entered before 1990:!!Naturalized U.S. citizen</t>
  </si>
  <si>
    <t>B05007_026</t>
  </si>
  <si>
    <t>B19051_001</t>
  </si>
  <si>
    <t>Estimate!!Total:!!Europe:!!Entered before 1990:!!Not a U.S. citizen</t>
  </si>
  <si>
    <t>B05007_027</t>
  </si>
  <si>
    <t>Earnings in the Past 12 Months for Households</t>
  </si>
  <si>
    <t>B19051</t>
  </si>
  <si>
    <t>B05007_028</t>
  </si>
  <si>
    <t>Estimate!!Total:!!Asia:!!Entered 2010 or later:</t>
  </si>
  <si>
    <t>B05007_029</t>
  </si>
  <si>
    <t>Estimate!!Total:!!Asia:!!Entered 2010 or later:!!Naturalized U.S. citizen</t>
  </si>
  <si>
    <t>B05007_030</t>
  </si>
  <si>
    <t>B19052_001</t>
  </si>
  <si>
    <t>Estimate!!Total:!!Asia:!!Entered 2010 or later:!!Not a U.S. citizen</t>
  </si>
  <si>
    <t>B05007_031</t>
  </si>
  <si>
    <t>Estimate!!Total:!!Asia:!!Entered 2000 to 2009:</t>
  </si>
  <si>
    <t>B19052</t>
  </si>
  <si>
    <t>B05007_032</t>
  </si>
  <si>
    <t>Estimate!!Total:!!Asia:!!Entered 2000 to 2009:!!Naturalized U.S. citizen</t>
  </si>
  <si>
    <t>B05007_033</t>
  </si>
  <si>
    <t>Estimate!!Total:!!Asia:!!Entered 2000 to 2009:!!Not a U.S. citizen</t>
  </si>
  <si>
    <t>B05007_034</t>
  </si>
  <si>
    <t>Estimate!!Total:!!Asia:!!Entered 1990 to 1999:</t>
  </si>
  <si>
    <t>B19053_001</t>
  </si>
  <si>
    <t>B05007_035</t>
  </si>
  <si>
    <t>Estimate!!Total:!!Asia:!!Entered 1990 to 1999:!!Naturalized U.S. citizen</t>
  </si>
  <si>
    <t>Self-Employment Income in the Past 12 Months for Households</t>
  </si>
  <si>
    <t>B05007_036</t>
  </si>
  <si>
    <t>B19053</t>
  </si>
  <si>
    <t>Estimate!!Total:!!Asia:!!Entered 1990 to 1999:!!Not a U.S. citizen</t>
  </si>
  <si>
    <t>B05007_037</t>
  </si>
  <si>
    <t>Estimate!!Total:!!Asia:!!Entered before 1990:</t>
  </si>
  <si>
    <t>B05007_038</t>
  </si>
  <si>
    <t>Estimate!!Total:!!Asia:!!Entered before 1990:!!Naturalized U.S. citizen</t>
  </si>
  <si>
    <t>B19054_001</t>
  </si>
  <si>
    <t>B05007_039</t>
  </si>
  <si>
    <t>Estimate!!Total:!!Asia:!!Entered before 1990:!!Not a U.S. citizen</t>
  </si>
  <si>
    <t>Interest, Dividends, or Net Rental Income in the Past 12 Months for Households</t>
  </si>
  <si>
    <t>B05007_040</t>
  </si>
  <si>
    <t>B19054</t>
  </si>
  <si>
    <t>Estimate!!Total:!!Latin America:</t>
  </si>
  <si>
    <t>B05007_041</t>
  </si>
  <si>
    <t>Estimate!!Total:!!Latin America:!!Caribbean:</t>
  </si>
  <si>
    <t>B05007_042</t>
  </si>
  <si>
    <t>Estimate!!Total:!!Latin America:!!Caribbean:!!Entered 2010 or later:</t>
  </si>
  <si>
    <t>B19055_001</t>
  </si>
  <si>
    <t>Social Security Income in the Past 12 Months for Households</t>
  </si>
  <si>
    <t>B05007_043</t>
  </si>
  <si>
    <t>B19055</t>
  </si>
  <si>
    <t>Estimate!!Total:!!Latin America:!!Caribbean:!!Entered 2010 or later:!!Naturalized U.S. citizen</t>
  </si>
  <si>
    <t>B05007_044</t>
  </si>
  <si>
    <t>Estimate!!Total:!!Latin America:!!Caribbean:!!Entered 2010 or later:!!Not a U.S. citizen</t>
  </si>
  <si>
    <t>B19056_001</t>
  </si>
  <si>
    <t>B05007_045</t>
  </si>
  <si>
    <t>Estimate!!Total:!!Latin America:!!Caribbean:!!Entered 2000 to 2009:</t>
  </si>
  <si>
    <t>Supplemental Security Income (SSI) in the Past 12 Months for Households</t>
  </si>
  <si>
    <t>B19056</t>
  </si>
  <si>
    <t>B05007_046</t>
  </si>
  <si>
    <t>Estimate!!Total:!!Latin America:!!Caribbean:!!Entered 2000 to 2009:!!Naturalized U.S. citizen</t>
  </si>
  <si>
    <t>B05007_047</t>
  </si>
  <si>
    <t>Estimate!!Total:!!Latin America:!!Caribbean:!!Entered 2000 to 2009:!!Not a U.S. citizen</t>
  </si>
  <si>
    <t>B19057_001</t>
  </si>
  <si>
    <t>B05007_048</t>
  </si>
  <si>
    <t>Estimate!!Total:!!Latin America:!!Caribbean:!!Entered 1990 to 1999:</t>
  </si>
  <si>
    <t>Public Assistance Income in the Past 12 Months for Households</t>
  </si>
  <si>
    <t>B05007_049</t>
  </si>
  <si>
    <t>B19057</t>
  </si>
  <si>
    <t>Estimate!!Total:!!Latin America:!!Caribbean:!!Entered 1990 to 1999:!!Naturalized U.S. citizen</t>
  </si>
  <si>
    <t>B05007_050</t>
  </si>
  <si>
    <t>Estimate!!Total:!!Latin America:!!Caribbean:!!Entered 1990 to 1999:!!Not a U.S. citizen</t>
  </si>
  <si>
    <t>B05007_051</t>
  </si>
  <si>
    <t>Estimate!!Total:!!Latin America:!!Caribbean:!!Entered before 1990:</t>
  </si>
  <si>
    <t>B19058_001</t>
  </si>
  <si>
    <t>B05007_052</t>
  </si>
  <si>
    <t>Estimate!!Total:!!Latin America:!!Caribbean:!!Entered before 1990:!!Naturalized U.S. citizen</t>
  </si>
  <si>
    <t>Public Assistance Income or Food Stamps/SNAP in the Past 12 Months for Households</t>
  </si>
  <si>
    <t>B19058</t>
  </si>
  <si>
    <t>B05007_053</t>
  </si>
  <si>
    <t>Estimate!!Total:!!Latin America:!!Caribbean:!!Entered before 1990:!!Not a U.S. citizen</t>
  </si>
  <si>
    <t>B05007_054</t>
  </si>
  <si>
    <t>Estimate!!Total:!!Latin America:!!Central America:</t>
  </si>
  <si>
    <t>B05007_055</t>
  </si>
  <si>
    <t>Estimate!!Total:!!Latin America:!!Central America:!!Mexico:</t>
  </si>
  <si>
    <t>B19059_001</t>
  </si>
  <si>
    <t>B05007_056</t>
  </si>
  <si>
    <t>Estimate!!Total:!!Latin America:!!Central America:!!Mexico:!!Entered 2010 or later:</t>
  </si>
  <si>
    <t>Retirement Income in the Past 12 Months for Households</t>
  </si>
  <si>
    <t>B05007_057</t>
  </si>
  <si>
    <t>B19059</t>
  </si>
  <si>
    <t>Estimate!!Total:!!Latin America:!!Central America:!!Mexico:!!Entered 2010 or later:!!Naturalized U.S. citizen</t>
  </si>
  <si>
    <t>B05007_058</t>
  </si>
  <si>
    <t>Estimate!!Total:!!Latin America:!!Central America:!!Mexico:!!Entered 2010 or later:!!Not a U.S. citizen</t>
  </si>
  <si>
    <t>B05007_059</t>
  </si>
  <si>
    <t>Estimate!!Total:!!Latin America:!!Central America:!!Mexico:!!Entered 2000 to 2009:</t>
  </si>
  <si>
    <t>B19060_001</t>
  </si>
  <si>
    <t>B05007_060</t>
  </si>
  <si>
    <t>Estimate!!Total:!!Latin America:!!Central America:!!Mexico:!!Entered 2000 to 2009:!!Naturalized U.S. citizen</t>
  </si>
  <si>
    <t>Other Types of Income in the Past 12 Months for Households</t>
  </si>
  <si>
    <t>B19060</t>
  </si>
  <si>
    <t>B05007_061</t>
  </si>
  <si>
    <t>Estimate!!Total:!!Latin America:!!Central America:!!Mexico:!!Entered 2000 to 2009:!!Not a U.S. citizen</t>
  </si>
  <si>
    <t>B05007_062</t>
  </si>
  <si>
    <t>Estimate!!Total:!!Latin America:!!Central America:!!Mexico:!!Entered 1990 to 1999:</t>
  </si>
  <si>
    <t>B05007_063</t>
  </si>
  <si>
    <t>Estimate!!Total:!!Latin America:!!Central America:!!Mexico:!!Entered 1990 to 1999:!!Naturalized U.S. citizen</t>
  </si>
  <si>
    <t>B19061_001</t>
  </si>
  <si>
    <t>B05007_064</t>
  </si>
  <si>
    <t>Estimate!!Aggregate earnings in the past 12 months (in 2024 inflation-adjusted dollars)</t>
  </si>
  <si>
    <t>Estimate!!Total:!!Latin America:!!Central America:!!Mexico:!!Entered 1990 to 1999:!!Not a U.S. citizen</t>
  </si>
  <si>
    <t>Aggregate Earnings in the Past 12 Months (in 2024 Inflation-Adjusted Dollars) for Households</t>
  </si>
  <si>
    <t>B19061</t>
  </si>
  <si>
    <t>B05007_065</t>
  </si>
  <si>
    <t>Estimate!!Total:!!Latin America:!!Central America:!!Mexico:!!Entered before 1990:</t>
  </si>
  <si>
    <t>B05007_066</t>
  </si>
  <si>
    <t>income, housing</t>
  </si>
  <si>
    <t>Estimate!!Total:!!Latin America:!!Central America:!!Mexico:!!Entered before 1990:!!Naturalized U.S. citizen</t>
  </si>
  <si>
    <t>B05007_067</t>
  </si>
  <si>
    <t>Estimate!!Total:!!Latin America:!!Central America:!!Mexico:!!Entered before 1990:!!Not a U.S. citizen</t>
  </si>
  <si>
    <t>B19062_001</t>
  </si>
  <si>
    <t>B05007_068</t>
  </si>
  <si>
    <t>Estimate!!Aggregate wage or salary income in the past 12 months (in 2024 inflation-adjusted dollars)</t>
  </si>
  <si>
    <t>Estimate!!Total:!!Latin America:!!Central America:!!Other Central America:</t>
  </si>
  <si>
    <t>Aggregate Wage or Salary Income in the Past 12 Months (in 2024 Inflation-Adjusted Dollars) for Households</t>
  </si>
  <si>
    <t>B05007_069</t>
  </si>
  <si>
    <t>B19062</t>
  </si>
  <si>
    <t>Estimate!!Total:!!Latin America:!!Central America:!!Other Central America:!!Entered 2010 or later:</t>
  </si>
  <si>
    <t>B05007_070</t>
  </si>
  <si>
    <t>Estimate!!Total:!!Latin America:!!Central America:!!Other Central America:!!Entered 2010 or later:!!Naturalized U.S. citizen</t>
  </si>
  <si>
    <t>B05007_071</t>
  </si>
  <si>
    <t>Estimate!!Total:!!Latin America:!!Central America:!!Other Central America:!!Entered 2010 or later:!!Not a U.S. citizen</t>
  </si>
  <si>
    <t>B19063_001</t>
  </si>
  <si>
    <t>B05007_072</t>
  </si>
  <si>
    <t>Estimate!!Aggregate self-employment income in the past 12 months (in 2024 inflation-adjusted dollars)</t>
  </si>
  <si>
    <t>Estimate!!Total:!!Latin America:!!Central America:!!Other Central America:!!Entered 2000 to 2009:</t>
  </si>
  <si>
    <t>Aggregate Self-Employment Income in the Past 12 Months (in 2024 Inflation-Adjusted Dollars) for Households</t>
  </si>
  <si>
    <t>B19063</t>
  </si>
  <si>
    <t>B05007_073</t>
  </si>
  <si>
    <t>Estimate!!Total:!!Latin America:!!Central America:!!Other Central America:!!Entered 2000 to 2009:!!Naturalized U.S. citizen</t>
  </si>
  <si>
    <t>B05007_074</t>
  </si>
  <si>
    <t>Estimate!!Total:!!Latin America:!!Central America:!!Other Central America:!!Entered 2000 to 2009:!!Not a U.S. citizen</t>
  </si>
  <si>
    <t>B05007_075</t>
  </si>
  <si>
    <t>Estimate!!Total:!!Latin America:!!Central America:!!Other Central America:!!Entered 1990 to 1999:</t>
  </si>
  <si>
    <t>B19064_001</t>
  </si>
  <si>
    <t>Estimate!!Aggregate interest, dividends, or net rental income in the past 12 months (in 2024 inflation-adjusted dollars)</t>
  </si>
  <si>
    <t>B05007_076</t>
  </si>
  <si>
    <t>Estimate!!Total:!!Latin America:!!Central America:!!Other Central America:!!Entered 1990 to 1999:!!Naturalized U.S. citizen</t>
  </si>
  <si>
    <t>Aggregate Interest, Dividends, or Net Rental Income in the Past 12 Months (in 2024 Inflation-Adjusted Dollars) for Households</t>
  </si>
  <si>
    <t>B19064</t>
  </si>
  <si>
    <t>B05007_077</t>
  </si>
  <si>
    <t>Estimate!!Total:!!Latin America:!!Central America:!!Other Central America:!!Entered 1990 to 1999:!!Not a U.S. citizen</t>
  </si>
  <si>
    <t>B05007_078</t>
  </si>
  <si>
    <t>Estimate!!Total:!!Latin America:!!Central America:!!Other Central America:!!Entered before 1990:</t>
  </si>
  <si>
    <t>B05007_079</t>
  </si>
  <si>
    <t>Estimate!!Total:!!Latin America:!!Central America:!!Other Central America:!!Entered before 1990:!!Naturalized U.S. citizen</t>
  </si>
  <si>
    <t>B19065_001</t>
  </si>
  <si>
    <t>Estimate!!Aggregate Social Security income in the past 12 months (in 2024 inflation-adjusted dollars)</t>
  </si>
  <si>
    <t>B05007_080</t>
  </si>
  <si>
    <t>Estimate!!Total:!!Latin America:!!Central America:!!Other Central America:!!Entered before 1990:!!Not a U.S. citizen</t>
  </si>
  <si>
    <t>Aggregate Social Security Income in the Past 12 Months (in 2024 Inflation-Adjusted Dollars) for Households</t>
  </si>
  <si>
    <t>B19065</t>
  </si>
  <si>
    <t>B05007_081</t>
  </si>
  <si>
    <t>Estimate!!Total:!!Latin America:!!South America:</t>
  </si>
  <si>
    <t>B05007_082</t>
  </si>
  <si>
    <t>Estimate!!Total:!!Latin America:!!South America:!!Entered 2010 or later:</t>
  </si>
  <si>
    <t>B05007_083</t>
  </si>
  <si>
    <t>Estimate!!Total:!!Latin America:!!South America:!!Entered 2010 or later:!!Naturalized U.S. citizen</t>
  </si>
  <si>
    <t>B05007_084</t>
  </si>
  <si>
    <t>Estimate!!Total:!!Latin America:!!South America:!!Entered 2010 or later:!!Not a U.S. citizen</t>
  </si>
  <si>
    <t>B05007_085</t>
  </si>
  <si>
    <t>Estimate!!Total:!!Latin America:!!South America:!!Entered 2000 to 2009:</t>
  </si>
  <si>
    <t>B05007_086</t>
  </si>
  <si>
    <t>Estimate!!Total:!!Latin America:!!South America:!!Entered 2000 to 2009:!!Naturalized U.S. citizen</t>
  </si>
  <si>
    <t>B19066_001</t>
  </si>
  <si>
    <t>B05007_087</t>
  </si>
  <si>
    <t>Estimate!!Total:!!Latin America:!!South America:!!Entered 2000 to 2009:!!Not a U.S. citizen</t>
  </si>
  <si>
    <t>Estimate!!Aggregate Supplemental Security Income (SSI) in the past 12 months (in 2024 inflation-adjusted dollars)</t>
  </si>
  <si>
    <t>Aggregate Supplemental Security Income (SSI) in the Past 12 Months (in 2024 Inflation-Adjusted Dollars) for Households</t>
  </si>
  <si>
    <t>B05007_088</t>
  </si>
  <si>
    <t>Estimate!!Total:!!Latin America:!!South America:!!Entered 1990 to 1999:</t>
  </si>
  <si>
    <t>B19066</t>
  </si>
  <si>
    <t>B05007_089</t>
  </si>
  <si>
    <t>Estimate!!Total:!!Latin America:!!South America:!!Entered 1990 to 1999:!!Naturalized U.S. citizen</t>
  </si>
  <si>
    <t>B05007_090</t>
  </si>
  <si>
    <t>Estimate!!Total:!!Latin America:!!South America:!!Entered 1990 to 1999:!!Not a U.S. citizen</t>
  </si>
  <si>
    <t>B05007_091</t>
  </si>
  <si>
    <t>Estimate!!Total:!!Latin America:!!South America:!!Entered before 1990:</t>
  </si>
  <si>
    <t>B05007_092</t>
  </si>
  <si>
    <t>Estimate!!Total:!!Latin America:!!South America:!!Entered before 1990:!!Naturalized U.S. citizen</t>
  </si>
  <si>
    <t>B05007_093</t>
  </si>
  <si>
    <t>Estimate!!Total:!!Latin America:!!South America:!!Entered before 1990:!!Not a U.S. citizen</t>
  </si>
  <si>
    <t>B05007_094</t>
  </si>
  <si>
    <t>B19067_001</t>
  </si>
  <si>
    <t>Estimate!!Total:!!Other areas:</t>
  </si>
  <si>
    <t>Estimate!!Aggregate public assistance income in the past 12 months (in 2024 inflation-adjusted dollars)</t>
  </si>
  <si>
    <t>B05007_095</t>
  </si>
  <si>
    <t>Estimate!!Total:!!Other areas:!!Entered 2010 or later:</t>
  </si>
  <si>
    <t>Aggregate Public Assistance Income in the Past 12 Months (in 2024 Inflation-Adjusted Dollars) for Households</t>
  </si>
  <si>
    <t>B19067</t>
  </si>
  <si>
    <t>B05007_096</t>
  </si>
  <si>
    <t>Estimate!!Total:!!Other areas:!!Entered 2010 or later:!!Naturalized U.S. citizen</t>
  </si>
  <si>
    <t>B05007_097</t>
  </si>
  <si>
    <t>income, human services, housing</t>
  </si>
  <si>
    <t>Estimate!!Total:!!Other areas:!!Entered 2010 or later:!!Not a U.S. citizen</t>
  </si>
  <si>
    <t>B05007_098</t>
  </si>
  <si>
    <t>Estimate!!Total:!!Other areas:!!Entered 2000 to 2009:</t>
  </si>
  <si>
    <t>B19069_001</t>
  </si>
  <si>
    <t>Estimate!!Aggregate retirement income in the past 12 months (in 2024 inflation-adjusted dollars)</t>
  </si>
  <si>
    <t>B05007_099</t>
  </si>
  <si>
    <t>Aggregate Retirement Income in the Past 12 Months (in 2024 Inflation-Adjusted Dollars) for Households</t>
  </si>
  <si>
    <t>Estimate!!Total:!!Other areas:!!Entered 2000 to 2009:!!Naturalized U.S. citizen</t>
  </si>
  <si>
    <t>B19069</t>
  </si>
  <si>
    <t>B05007_100</t>
  </si>
  <si>
    <t>Estimate!!Total:!!Other areas:!!Entered 2000 to 2009:!!Not a U.S. citizen</t>
  </si>
  <si>
    <t>B05007_101</t>
  </si>
  <si>
    <t>Estimate!!Total:!!Other areas:!!Entered 1990 to 1999:</t>
  </si>
  <si>
    <t>B19070_001</t>
  </si>
  <si>
    <t>Estimate!!Aggregate other types of income in the past 12 months (in 2024 inflation-adjusted dollars):</t>
  </si>
  <si>
    <t>B05007_102</t>
  </si>
  <si>
    <t>Aggregate Other Types of Income in the Past 12 Months (in 2024 Inflation-Adjusted Dollars) for Households</t>
  </si>
  <si>
    <t>Estimate!!Total:!!Other areas:!!Entered 1990 to 1999:!!Naturalized U.S. citizen</t>
  </si>
  <si>
    <t>B19070</t>
  </si>
  <si>
    <t>B05007_103</t>
  </si>
  <si>
    <t>Estimate!!Total:!!Other areas:!!Entered 1990 to 1999:!!Not a U.S. citizen</t>
  </si>
  <si>
    <t>B05007_104</t>
  </si>
  <si>
    <t>Estimate!!Total:!!Other areas:!!Entered before 1990:</t>
  </si>
  <si>
    <t>B05007_105</t>
  </si>
  <si>
    <t>Estimate!!Total:!!Other areas:!!Entered before 1990:!!Naturalized U.S. citizen</t>
  </si>
  <si>
    <t>B05007_106</t>
  </si>
  <si>
    <t>Estimate!!Total:!!Other areas:!!Entered before 1990:!!Not a U.S. citizen</t>
  </si>
  <si>
    <t>B19080_001</t>
  </si>
  <si>
    <t>Estimate!!Quintile Upper Limits:!!Lowest Quintile</t>
  </si>
  <si>
    <t>B05008_002</t>
  </si>
  <si>
    <t>Household Income Quintile Upper Limits</t>
  </si>
  <si>
    <t>B19080</t>
  </si>
  <si>
    <t>B05008_003</t>
  </si>
  <si>
    <t>Estimate!!Total:!!Male:!!Europe:</t>
  </si>
  <si>
    <t>housing, income, meta</t>
  </si>
  <si>
    <t>B05008_004</t>
  </si>
  <si>
    <t>Estimate!!Total:!!Male:!!Europe:!!Entered 2010 or later</t>
  </si>
  <si>
    <t>B19081_001</t>
  </si>
  <si>
    <t>B05008_005</t>
  </si>
  <si>
    <t>Estimate!!Quintile Means:!!Lowest Quintile</t>
  </si>
  <si>
    <t>Estimate!!Total:!!Male:!!Europe:!!Entered 2000 to 2009</t>
  </si>
  <si>
    <t>Mean Household Income of Quintiles</t>
  </si>
  <si>
    <t>B19081</t>
  </si>
  <si>
    <t>B05008_006</t>
  </si>
  <si>
    <t>Estimate!!Total:!!Male:!!Europe:!!Entered before 2000</t>
  </si>
  <si>
    <t>B05008_007</t>
  </si>
  <si>
    <t>Estimate!!Total:!!Male:!!Asia:</t>
  </si>
  <si>
    <t>B05008_008</t>
  </si>
  <si>
    <t>B19082_001</t>
  </si>
  <si>
    <t>Estimate!!Total:!!Male:!!Asia:!!Entered 2010 or later</t>
  </si>
  <si>
    <t>Estimate!!Quintile Share of Aggregate Income:!!Lowest Quintile</t>
  </si>
  <si>
    <t>Shares of Aggregate Household Income by Quintile</t>
  </si>
  <si>
    <t>B05008_009</t>
  </si>
  <si>
    <t>B19082</t>
  </si>
  <si>
    <t>Estimate!!Total:!!Male:!!Asia:!!Entered 2000 to 2009</t>
  </si>
  <si>
    <t>B05008_010</t>
  </si>
  <si>
    <t>Estimate!!Total:!!Male:!!Asia:!!Entered before 2000</t>
  </si>
  <si>
    <t>B05008_011</t>
  </si>
  <si>
    <t>B19083_001</t>
  </si>
  <si>
    <t>Estimate!!Total:!!Male:!!Latin America:</t>
  </si>
  <si>
    <t>Estimate!!Gini Index</t>
  </si>
  <si>
    <t>B05008_012</t>
  </si>
  <si>
    <t>B19083</t>
  </si>
  <si>
    <t>Estimate!!Total:!!Male:!!Latin America:!!Entered 2010 or later</t>
  </si>
  <si>
    <t>B05008_013</t>
  </si>
  <si>
    <t>Estimate!!Total:!!Male:!!Latin America:!!Entered 2000 to 2009</t>
  </si>
  <si>
    <t>B05008_014</t>
  </si>
  <si>
    <t>Estimate!!Total:!!Male:!!Latin America:!!Entered before 2000</t>
  </si>
  <si>
    <t>B19101_001</t>
  </si>
  <si>
    <t>B05008_015</t>
  </si>
  <si>
    <t>Family Income in the Past 12 Months (in 2024 Inflation-Adjusted Dollars)</t>
  </si>
  <si>
    <t>Estimate!!Total:!!Male:!!Latin America:!!Caribbean:</t>
  </si>
  <si>
    <t>B19101</t>
  </si>
  <si>
    <t>B05008_016</t>
  </si>
  <si>
    <t>Estimate!!Total:!!Male:!!Latin America:!!Caribbean:!!Entered 2010 or later</t>
  </si>
  <si>
    <t>B05008_017</t>
  </si>
  <si>
    <t>Estimate!!Total:!!Male:!!Latin America:!!Caribbean:!!Entered 2000 to 2009</t>
  </si>
  <si>
    <t>B19101A_001</t>
  </si>
  <si>
    <t>B05008_018</t>
  </si>
  <si>
    <t>Family Income in the Past 12 Months (in 2024 Inflation-Adjusted Dollars) (White Alone Householder)</t>
  </si>
  <si>
    <t>Estimate!!Total:!!Male:!!Latin America:!!Caribbean:!!Entered before 2000</t>
  </si>
  <si>
    <t>B19101A</t>
  </si>
  <si>
    <t>B05008_019</t>
  </si>
  <si>
    <t>Estimate!!Total:!!Male:!!Latin America:!!Central America:</t>
  </si>
  <si>
    <t>B05008_020</t>
  </si>
  <si>
    <t>Estimate!!Total:!!Male:!!Latin America:!!Central America:!!Mexico:</t>
  </si>
  <si>
    <t>B19101B_001</t>
  </si>
  <si>
    <t>B05008_021</t>
  </si>
  <si>
    <t>Estimate!!Total:!!Male:!!Latin America:!!Central America:!!Mexico:!!Entered 2010 or later</t>
  </si>
  <si>
    <t>Family Income in the Past 12 Months (in 2024 Inflation-Adjusted Dollars) (Black or African American Alone Householder)</t>
  </si>
  <si>
    <t>B19101B</t>
  </si>
  <si>
    <t>B05008_022</t>
  </si>
  <si>
    <t>Estimate!!Total:!!Male:!!Latin America:!!Central America:!!Mexico:!!Entered 2000 to 2009</t>
  </si>
  <si>
    <t>B05008_023</t>
  </si>
  <si>
    <t>B19101C_001</t>
  </si>
  <si>
    <t>Estimate!!Total:!!Male:!!Latin America:!!Central America:!!Mexico:!!Entered before 2000</t>
  </si>
  <si>
    <t>Family Income in the Past 12 Months (in 2024 Inflation-Adjusted Dollars) (American Indian and Alaska Native Alone Householder)</t>
  </si>
  <si>
    <t>B19101C</t>
  </si>
  <si>
    <t>B05008_024</t>
  </si>
  <si>
    <t>Estimate!!Total:!!Male:!!Latin America:!!Central America:!!Other Central America:</t>
  </si>
  <si>
    <t>B05008_025</t>
  </si>
  <si>
    <t>B19101D_001</t>
  </si>
  <si>
    <t>Estimate!!Total:!!Male:!!Latin America:!!Central America:!!Other Central America:!!Entered 2010 or later</t>
  </si>
  <si>
    <t>Family Income in the Past 12 Months (in 2024 Inflation-Adjusted Dollars) (Asian Alone Householder)</t>
  </si>
  <si>
    <t>B19101D</t>
  </si>
  <si>
    <t>B05008_026</t>
  </si>
  <si>
    <t>Estimate!!Total:!!Male:!!Latin America:!!Central America:!!Other Central America:!!Entered 2000 to 2009</t>
  </si>
  <si>
    <t>B05008_027</t>
  </si>
  <si>
    <t>B19101E_001</t>
  </si>
  <si>
    <t>Estimate!!Total:!!Male:!!Latin America:!!Central America:!!Other Central America:!!Entered before 2000</t>
  </si>
  <si>
    <t>Family Income in the Past 12 Months (in 2024 Inflation-Adjusted Dollars) (Native Hawaiian and Other Pacific Islander Alone Householder)</t>
  </si>
  <si>
    <t>B19101E</t>
  </si>
  <si>
    <t>B05008_028</t>
  </si>
  <si>
    <t>Estimate!!Total:!!Male:!!Latin America:!!South America:</t>
  </si>
  <si>
    <t>B19101F_001</t>
  </si>
  <si>
    <t>Family Income in the Past 12 Months (in 2024 Inflation-Adjusted Dollars) (Some Other Race Alone Householder)</t>
  </si>
  <si>
    <t>B19101F</t>
  </si>
  <si>
    <t>B19101G_001</t>
  </si>
  <si>
    <t>Family Income in the Past 12 Months (in 2024 Inflation-Adjusted Dollars) (Two or More Races Householder)</t>
  </si>
  <si>
    <t>B19101G</t>
  </si>
  <si>
    <t>B19101H_001</t>
  </si>
  <si>
    <t>Family Income in the Past 12 Months (in 2024 Inflation-Adjusted Dollars) (White Alone, Not Hispanic or Latino Householder)</t>
  </si>
  <si>
    <t>B19101H</t>
  </si>
  <si>
    <t>B19101I_001</t>
  </si>
  <si>
    <t>Family Income in the Past 12 Months (in 2024 Inflation-Adjusted Dollars) (Hispanic or Latino Householder)</t>
  </si>
  <si>
    <t>B19101I</t>
  </si>
  <si>
    <t>B19113_001</t>
  </si>
  <si>
    <t>Estimate!!Median family income in the past 12 months (in 2024 inflation-adjusted dollars)</t>
  </si>
  <si>
    <t>B05008_029</t>
  </si>
  <si>
    <t>Median Family Income in the Past 12 Months (in 2024 Inflation-Adjusted Dollars)</t>
  </si>
  <si>
    <t>Estimate!!Total:!!Male:!!Latin America:!!South America:!!Entered 2010 or later</t>
  </si>
  <si>
    <t>B19113</t>
  </si>
  <si>
    <t>B05008_030</t>
  </si>
  <si>
    <t>Estimate!!Total:!!Male:!!Latin America:!!South America:!!Entered 2000 to 2009</t>
  </si>
  <si>
    <t>B05008_031</t>
  </si>
  <si>
    <t>B19113A_001</t>
  </si>
  <si>
    <t>Estimate!!Total:!!Male:!!Latin America:!!South America:!!Entered before 2000</t>
  </si>
  <si>
    <t>Median Family Income in the Past 12 Months (in 2024 Inflation-Adjusted Dollars) (White Alone Householder)</t>
  </si>
  <si>
    <t>B05008_032</t>
  </si>
  <si>
    <t>B19113A</t>
  </si>
  <si>
    <t>Estimate!!Total:!!Male:!!Other areas:</t>
  </si>
  <si>
    <t>B05008_033</t>
  </si>
  <si>
    <t>Estimate!!Total:!!Male:!!Other areas:!!Entered 2010 or later</t>
  </si>
  <si>
    <t>B19113B_001</t>
  </si>
  <si>
    <t>B05008_034</t>
  </si>
  <si>
    <t>Estimate!!Total:!!Male:!!Other areas:!!Entered 2000 to 2009</t>
  </si>
  <si>
    <t>Median Family Income in the Past 12 Months (in 2024 Inflation-Adjusted Dollars) (Black or African American Alone Householder)</t>
  </si>
  <si>
    <t>B19113B</t>
  </si>
  <si>
    <t>B05008_035</t>
  </si>
  <si>
    <t>Estimate!!Total:!!Male:!!Other areas:!!Entered before 2000</t>
  </si>
  <si>
    <t>B05008_036</t>
  </si>
  <si>
    <t>B19113C_001</t>
  </si>
  <si>
    <t>B05008_037</t>
  </si>
  <si>
    <t>Estimate!!Total:!!Female:!!Europe:</t>
  </si>
  <si>
    <t>Median Family Income in the Past 12 Months (in 2024 Inflation-Adjusted Dollars) (American Indian and Alaska Native Alone Householder)</t>
  </si>
  <si>
    <t>B19113C</t>
  </si>
  <si>
    <t>B05008_038</t>
  </si>
  <si>
    <t>Estimate!!Total:!!Female:!!Europe:!!Entered 2010 or later</t>
  </si>
  <si>
    <t>B05008_039</t>
  </si>
  <si>
    <t>Estimate!!Total:!!Female:!!Europe:!!Entered 2000 to 2009</t>
  </si>
  <si>
    <t>B19113D_001</t>
  </si>
  <si>
    <t>B05008_040</t>
  </si>
  <si>
    <t>Estimate!!Total:!!Female:!!Europe:!!Entered before 2000</t>
  </si>
  <si>
    <t>Median Family Income in the Past 12 Months (in 2024 Inflation-Adjusted Dollars) (Asian Alone Householder)</t>
  </si>
  <si>
    <t>B19113D</t>
  </si>
  <si>
    <t>B05008_041</t>
  </si>
  <si>
    <t>Estimate!!Total:!!Female:!!Asia:</t>
  </si>
  <si>
    <t>B05008_042</t>
  </si>
  <si>
    <t>Estimate!!Total:!!Female:!!Asia:!!Entered 2010 or later</t>
  </si>
  <si>
    <t>B19113E_001</t>
  </si>
  <si>
    <t>B05008_043</t>
  </si>
  <si>
    <t>Estimate!!Total:!!Female:!!Asia:!!Entered 2000 to 2009</t>
  </si>
  <si>
    <t>Median Family Income in the Past 12 Months (in 2024 Inflation-Adjusted Dollars) (Native Hawaiian and Other Pacific Islander Alone Householder)</t>
  </si>
  <si>
    <t>B19113E</t>
  </si>
  <si>
    <t>B05008_044</t>
  </si>
  <si>
    <t>Estimate!!Total:!!Female:!!Asia:!!Entered before 2000</t>
  </si>
  <si>
    <t>B05008_045</t>
  </si>
  <si>
    <t>Estimate!!Total:!!Female:!!Latin America:</t>
  </si>
  <si>
    <t>B19113F_001</t>
  </si>
  <si>
    <t>B05008_046</t>
  </si>
  <si>
    <t>Median Family Income in the Past 12 Months (in 2024 Inflation-Adjusted Dollars) (Some Other Race Alone Householder)</t>
  </si>
  <si>
    <t>Estimate!!Total:!!Female:!!Latin America:!!Entered 2010 or later</t>
  </si>
  <si>
    <t>B19113F</t>
  </si>
  <si>
    <t>B05008_047</t>
  </si>
  <si>
    <t>Estimate!!Total:!!Female:!!Latin America:!!Entered 2000 to 2009</t>
  </si>
  <si>
    <t>B05008_048</t>
  </si>
  <si>
    <t>B19113G_001</t>
  </si>
  <si>
    <t>Estimate!!Total:!!Female:!!Latin America:!!Entered before 2000</t>
  </si>
  <si>
    <t>Median Family Income in the Past 12 Months (in 2024 Inflation-Adjusted Dollars) (Two or More Races)</t>
  </si>
  <si>
    <t>B05008_049</t>
  </si>
  <si>
    <t>B19113G</t>
  </si>
  <si>
    <t>Estimate!!Total:!!Female:!!Latin America:!!Caribbean:</t>
  </si>
  <si>
    <t>B05008_050</t>
  </si>
  <si>
    <t>Estimate!!Total:!!Female:!!Latin America:!!Caribbean:!!Entered 2010 or later</t>
  </si>
  <si>
    <t>B05008_051</t>
  </si>
  <si>
    <t>B19113H_001</t>
  </si>
  <si>
    <t>Estimate!!Total:!!Female:!!Latin America:!!Caribbean:!!Entered 2000 to 2009</t>
  </si>
  <si>
    <t>Median Family Income in the Past 12 Months (in 2024 Inflation-Adjusted Dollars) (White Alone, Not Hispanic or Latino Householder)</t>
  </si>
  <si>
    <t>B05008_052</t>
  </si>
  <si>
    <t>B19113H</t>
  </si>
  <si>
    <t>Estimate!!Total:!!Female:!!Latin America:!!Caribbean:!!Entered before 2000</t>
  </si>
  <si>
    <t>B05008_053</t>
  </si>
  <si>
    <t>Estimate!!Total:!!Female:!!Latin America:!!Central America:</t>
  </si>
  <si>
    <t>B05008_054</t>
  </si>
  <si>
    <t>Estimate!!Total:!!Female:!!Latin America:!!Central America:!!Mexico:</t>
  </si>
  <si>
    <t>B05008_055</t>
  </si>
  <si>
    <t>Estimate!!Total:!!Female:!!Latin America:!!Central America:!!Mexico:!!Entered 2010 or later</t>
  </si>
  <si>
    <t>B05008_056</t>
  </si>
  <si>
    <t>Estimate!!Total:!!Female:!!Latin America:!!Central America:!!Mexico:!!Entered 2000 to 2009</t>
  </si>
  <si>
    <t>B19113I_001</t>
  </si>
  <si>
    <t>B05008_057</t>
  </si>
  <si>
    <t>Median Family Income in the Past 12 Months (in 2024 Inflation-Adjusted Dollars) (Hispanic or Latino Householder)</t>
  </si>
  <si>
    <t>Estimate!!Total:!!Female:!!Latin America:!!Central America:!!Mexico:!!Entered before 2000</t>
  </si>
  <si>
    <t>B19113I</t>
  </si>
  <si>
    <t>B05008_058</t>
  </si>
  <si>
    <t>Estimate!!Total:!!Female:!!Latin America:!!Central America:!!Other Central America:</t>
  </si>
  <si>
    <t>B05008_059</t>
  </si>
  <si>
    <t>Estimate!!Total:!!Female:!!Latin America:!!Central America:!!Other Central America:!!Entered 2010 or later</t>
  </si>
  <si>
    <t>B19119_001</t>
  </si>
  <si>
    <t>B05008_060</t>
  </si>
  <si>
    <t>Median Family Income in the Past 12 Months (in 2024 Inflation-Adjusted Dollars) by Family Size</t>
  </si>
  <si>
    <t>Estimate!!Total:!!Female:!!Latin America:!!Central America:!!Other Central America:!!Entered 2000 to 2009</t>
  </si>
  <si>
    <t>B19119</t>
  </si>
  <si>
    <t>B05008_061</t>
  </si>
  <si>
    <t>Estimate!!Total:!!Female:!!Latin America:!!Central America:!!Other Central America:!!Entered before 2000</t>
  </si>
  <si>
    <t>B05008_062</t>
  </si>
  <si>
    <t>Estimate!!Total:!!Female:!!Latin America:!!South America:</t>
  </si>
  <si>
    <t>B19121_001</t>
  </si>
  <si>
    <t>B05008_063</t>
  </si>
  <si>
    <t>Median Family Income in the Past 12 Months (in 2024 Inflation-Adjusted Dollars) by Number of Earners in Family</t>
  </si>
  <si>
    <t>Estimate!!Total:!!Female:!!Latin America:!!South America:!!Entered 2010 or later</t>
  </si>
  <si>
    <t>B19121</t>
  </si>
  <si>
    <t>B05008_064</t>
  </si>
  <si>
    <t>Estimate!!Total:!!Female:!!Latin America:!!South America:!!Entered 2000 to 2009</t>
  </si>
  <si>
    <t>B05008_065</t>
  </si>
  <si>
    <t>B19122_001</t>
  </si>
  <si>
    <t>Estimate!!Total:!!Female:!!Latin America:!!South America:!!Entered before 2000</t>
  </si>
  <si>
    <t>Number of Earners in Family</t>
  </si>
  <si>
    <t>B05008_066</t>
  </si>
  <si>
    <t>B19122</t>
  </si>
  <si>
    <t>Estimate!!Total:!!Female:!!Other areas:</t>
  </si>
  <si>
    <t>B05008_067</t>
  </si>
  <si>
    <t>Estimate!!Total:!!Female:!!Other areas:!!Entered 2010 or later</t>
  </si>
  <si>
    <t>B19123_001</t>
  </si>
  <si>
    <t>B05008_068</t>
  </si>
  <si>
    <t>Estimate!!Total:!!Female:!!Other areas:!!Entered 2000 to 2009</t>
  </si>
  <si>
    <t>Family Size by Cash Public Assistance Income or Households Receiving Food Stamps/SNAP Benefits in the Past 12 Months</t>
  </si>
  <si>
    <t>B19123</t>
  </si>
  <si>
    <t>B05008_069</t>
  </si>
  <si>
    <t>Estimate!!Total:!!Female:!!Other areas:!!Entered before 2000</t>
  </si>
  <si>
    <t>B19125_001</t>
  </si>
  <si>
    <t>B05009_002</t>
  </si>
  <si>
    <t>Estimate!!Total:!!Under 6 years:</t>
  </si>
  <si>
    <t>Median Family Income in the Past 12 Months (in 2024 Inflation-Adjusted Dollars) by Presence of Own Children Under 18 Years</t>
  </si>
  <si>
    <t>B19125</t>
  </si>
  <si>
    <t>B05009_003</t>
  </si>
  <si>
    <t>Estimate!!Total:!!Under 6 years:!!Living with two parents:</t>
  </si>
  <si>
    <t>B05009_004</t>
  </si>
  <si>
    <t>Estimate!!Total:!!Under 6 years:!!Living with two parents:!!Child is native</t>
  </si>
  <si>
    <t>B19126_001</t>
  </si>
  <si>
    <t>Estimate!!Median family income in the past 12 months (in 2024 inflation-adjusted dollars) --!!Total:</t>
  </si>
  <si>
    <t>B05009_005</t>
  </si>
  <si>
    <t>Median Family Income in the Past 12 Months (in 2024 Inflation-Adjusted Dollars) by Family Type by Presence of Own Children Under 18 Years</t>
  </si>
  <si>
    <t>Estimate!!Total:!!Under 6 years:!!Living with two parents:!!Child is foreign-born</t>
  </si>
  <si>
    <t>B19126</t>
  </si>
  <si>
    <t>B05009_006</t>
  </si>
  <si>
    <t>Estimate!!Total:!!Under 6 years:!!Living with two parents:!!Both parents native</t>
  </si>
  <si>
    <t>B05009_007</t>
  </si>
  <si>
    <t>Estimate!!Total:!!Under 6 years:!!Living with two parents:!!Both parents foreign-born:</t>
  </si>
  <si>
    <t>B19127_001</t>
  </si>
  <si>
    <t>B05009_008</t>
  </si>
  <si>
    <t>Estimate!!Aggregate family income in the past 12 months (in 2024 inflation-adjusted dollars)</t>
  </si>
  <si>
    <t>Estimate!!Total:!!Under 6 years:!!Living with two parents:!!Both parents foreign-born:!!Child is native</t>
  </si>
  <si>
    <t>Aggregate Family Income in the Past 12 Months (in 2024 Inflation-Adjusted Dollars)</t>
  </si>
  <si>
    <t>B19127</t>
  </si>
  <si>
    <t>B05009_009</t>
  </si>
  <si>
    <t>Estimate!!Total:!!Under 6 years:!!Living with two parents:!!Both parents foreign-born:!!Child is foreign-born</t>
  </si>
  <si>
    <t>B05009_010</t>
  </si>
  <si>
    <t>Estimate!!Total:!!Under 6 years:!!Living with two parents:!!One native and one foreign-born parent:</t>
  </si>
  <si>
    <t>B19128_001</t>
  </si>
  <si>
    <t>B05009_011</t>
  </si>
  <si>
    <t>Estimate!!Aggregate family income in the past 12 months (in 2024 inflation-adjusted dollars):</t>
  </si>
  <si>
    <t>Estimate!!Total:!!Under 6 years:!!Living with two parents:!!One native and one foreign-born parent:!!Child is native</t>
  </si>
  <si>
    <t>Aggregate Family Income in the Past 12 Months (in 2024 Inflation-Adjusted Dollars) by Family Type by Presence of Own Children Under 18 Years</t>
  </si>
  <si>
    <t>B05009_012</t>
  </si>
  <si>
    <t>Estimate!!Total:!!Under 6 years:!!Living with two parents:!!One native and one foreign-born parent:!!Child is foreign-born</t>
  </si>
  <si>
    <t>B19128</t>
  </si>
  <si>
    <t>B05009_013</t>
  </si>
  <si>
    <t>Estimate!!Total:!!Under 6 years:!!Living with one parent:</t>
  </si>
  <si>
    <t>B05009_014</t>
  </si>
  <si>
    <t>Estimate!!Total:!!Under 6 years:!!Living with one parent:!!Child is native</t>
  </si>
  <si>
    <t>B19129_001</t>
  </si>
  <si>
    <t>B05009_015</t>
  </si>
  <si>
    <t>Estimate!!Total:!!Under 6 years:!!Living with one parent:!!Child is foreign-born</t>
  </si>
  <si>
    <t>Aggregate Family Income in the Past 12 Months (in 2024 Inflation-Adjusted Dollars) by Number of Workers in Family</t>
  </si>
  <si>
    <t>B05009_016</t>
  </si>
  <si>
    <t>B19129</t>
  </si>
  <si>
    <t>Estimate!!Total:!!Under 6 years:!!Living with one parent:!!Native parent</t>
  </si>
  <si>
    <t>B05009_017</t>
  </si>
  <si>
    <t>Estimate!!Total:!!Under 6 years:!!Living with one parent:!!Foreign-born parent:</t>
  </si>
  <si>
    <t>B19130_001</t>
  </si>
  <si>
    <t>B05009_018</t>
  </si>
  <si>
    <t>Estimate!!Total:!!Under 6 years:!!Living with one parent:!!Foreign-born parent:!!Child is native</t>
  </si>
  <si>
    <t>Aggregate Family Income in the Past 12 Months (in 2024 Inflation-Adjusted Dollars) by Family Type by Age of Householder</t>
  </si>
  <si>
    <t>B19130</t>
  </si>
  <si>
    <t>B05009_019</t>
  </si>
  <si>
    <t>Estimate!!Total:!!Under 6 years:!!Living with one parent:!!Foreign-born parent:!!Child is foreign-born</t>
  </si>
  <si>
    <t>income, demographic, housing</t>
  </si>
  <si>
    <t>B05009_020</t>
  </si>
  <si>
    <t>Estimate!!Total:!!6 to 17 years:</t>
  </si>
  <si>
    <t>B05009_021</t>
  </si>
  <si>
    <t>Estimate!!Total:!!6 to 17 years:!!Living with two parents:</t>
  </si>
  <si>
    <t>B19131_001</t>
  </si>
  <si>
    <t>B05009_022</t>
  </si>
  <si>
    <t>Estimate!!Total:!!6 to 17 years:!!Living with two parents:!!Child is native</t>
  </si>
  <si>
    <t>Family Type by Presence of Own Children Under 18 Years by Family Income in the Past 12 Months (in 2024 Inflation-Adjusted Dollars)</t>
  </si>
  <si>
    <t>B19131</t>
  </si>
  <si>
    <t>B05009_023</t>
  </si>
  <si>
    <t>Estimate!!Total:!!6 to 17 years:!!Living with two parents:!!Child is foreign-born</t>
  </si>
  <si>
    <t>B05009_024</t>
  </si>
  <si>
    <t>Estimate!!Total:!!6 to 17 years:!!Living with two parents:!!Both parents native</t>
  </si>
  <si>
    <t>B19201_001</t>
  </si>
  <si>
    <t>B05009_025</t>
  </si>
  <si>
    <t>Estimate!!Total:!!6 to 17 years:!!Living with two parents:!!Both parents foreign-born:</t>
  </si>
  <si>
    <t>Nonfamily Household Income in the Past 12 Months (in 2024 Inflation-Adjusted Dollars)</t>
  </si>
  <si>
    <t>B19201</t>
  </si>
  <si>
    <t>B05009_026</t>
  </si>
  <si>
    <t>Estimate!!Total:!!6 to 17 years:!!Living with two parents:!!Both parents foreign-born:!!Child is native</t>
  </si>
  <si>
    <t>B05009_027</t>
  </si>
  <si>
    <t>Estimate!!Total:!!6 to 17 years:!!Living with two parents:!!Both parents foreign-born:!!Child is foreign-born</t>
  </si>
  <si>
    <t>B05009_028</t>
  </si>
  <si>
    <t>B19202_001</t>
  </si>
  <si>
    <t>Estimate!!Total:!!6 to 17 years:!!Living with two parents:!!One native and one foreign-born parent:</t>
  </si>
  <si>
    <t>Estimate!!Median nonfamily household income in the past 12 months (in 2024 inflation-adjusted dollars)</t>
  </si>
  <si>
    <t>Median Nonfamily Household Income in the Past 12 Months (in 2024 Inflation-Adjusted Dollars)</t>
  </si>
  <si>
    <t>B05009_029</t>
  </si>
  <si>
    <t>Estimate!!Total:!!6 to 17 years:!!Living with two parents:!!One native and one foreign-born parent:!!Child is native</t>
  </si>
  <si>
    <t>B19202</t>
  </si>
  <si>
    <t>B05009_030</t>
  </si>
  <si>
    <t>Estimate!!Total:!!6 to 17 years:!!Living with two parents:!!One native and one foreign-born parent:!!Child is foreign-born</t>
  </si>
  <si>
    <t>B05009_031</t>
  </si>
  <si>
    <t>Estimate!!Total:!!6 to 17 years:!!Living with one parent:</t>
  </si>
  <si>
    <t>B19202A_001</t>
  </si>
  <si>
    <t>B05009_032</t>
  </si>
  <si>
    <t>Estimate!!Total:!!6 to 17 years:!!Living with one parent:!!Child is native</t>
  </si>
  <si>
    <t>Median Nonfamily Household Income in the Past 12 Months (in 2024 Inflation-Adjusted Dollars) (White Alone Householder)</t>
  </si>
  <si>
    <t>B05009_033</t>
  </si>
  <si>
    <t>B19202A</t>
  </si>
  <si>
    <t>Estimate!!Total:!!6 to 17 years:!!Living with one parent:!!Child is foreign-born</t>
  </si>
  <si>
    <t>B05009_034</t>
  </si>
  <si>
    <t>Estimate!!Total:!!6 to 17 years:!!Living with one parent:!!Native parent</t>
  </si>
  <si>
    <t>B05009_035</t>
  </si>
  <si>
    <t>Estimate!!Total:!!6 to 17 years:!!Living with one parent:!!Foreign-born parent:</t>
  </si>
  <si>
    <t>B19202B_001</t>
  </si>
  <si>
    <t>B05009_036</t>
  </si>
  <si>
    <t>Estimate!!Total:!!6 to 17 years:!!Living with one parent:!!Foreign-born parent:!!Child is native</t>
  </si>
  <si>
    <t>B05009_037</t>
  </si>
  <si>
    <t>Median Nonfamily Household Income in the Past 12 Months (in 2024 Inflation-Adjusted Dollars) (Black or African American Alone Householder)</t>
  </si>
  <si>
    <t>Estimate!!Total:!!6 to 17 years:!!Living with one parent:!!Foreign-born parent:!!Child is foreign-born</t>
  </si>
  <si>
    <t>B19202B</t>
  </si>
  <si>
    <t>B05010_002</t>
  </si>
  <si>
    <t>B19202C_001</t>
  </si>
  <si>
    <t>Estimate!!Total:!!Under 1.00:</t>
  </si>
  <si>
    <t>Median Nonfamily Household Income in the Past 12 Months (in 2024 Inflation-Adjusted Dollars) (American Indian and Alaska Native Alone Householder)</t>
  </si>
  <si>
    <t>B05010_003</t>
  </si>
  <si>
    <t>B19202C</t>
  </si>
  <si>
    <t>Estimate!!Total:!!Under 1.00:!!Living with two parents:</t>
  </si>
  <si>
    <t>B05010_004</t>
  </si>
  <si>
    <t>Estimate!!Total:!!Under 1.00:!!Living with two parents:!!Both parents native</t>
  </si>
  <si>
    <t>B19202D_001</t>
  </si>
  <si>
    <t>B05010_005</t>
  </si>
  <si>
    <t>Estimate!!Total:!!Under 1.00:!!Living with two parents:!!Both parents foreign-born</t>
  </si>
  <si>
    <t>Median Nonfamily Household Income in the Past 12 Months (in 2024 Inflation-Adjusted Dollars) (Asian Alone Householder)</t>
  </si>
  <si>
    <t>B19202D</t>
  </si>
  <si>
    <t>B05010_006</t>
  </si>
  <si>
    <t>Estimate!!Total:!!Under 1.00:!!Living with two parents:!!One native and one foreign-born parent</t>
  </si>
  <si>
    <t>B05010_007</t>
  </si>
  <si>
    <t>Estimate!!Total:!!Under 1.00:!!Living with one parent:</t>
  </si>
  <si>
    <t>B19202E_001</t>
  </si>
  <si>
    <t>B05010_008</t>
  </si>
  <si>
    <t>Estimate!!Total:!!Under 1.00:!!Living with one parent:!!Native parent</t>
  </si>
  <si>
    <t>Median Nonfamily Household Income in the Past 12 Months (in 2024 Inflation-Adjusted Dollars) (Native Hawaiian and Other Pacific Islander Alone Householder)</t>
  </si>
  <si>
    <t>B19202E</t>
  </si>
  <si>
    <t>B05010_009</t>
  </si>
  <si>
    <t>Estimate!!Total:!!Under 1.00:!!Living with one parent:!!Foreign-born parent</t>
  </si>
  <si>
    <t>B05010_010</t>
  </si>
  <si>
    <t>Estimate!!Total:!!1.00 to 1.99:</t>
  </si>
  <si>
    <t>B19202F_001</t>
  </si>
  <si>
    <t>B05010_011</t>
  </si>
  <si>
    <t>Median Nonfamily Household Income in the Past 12 Months (in 2024 Inflation-Adjusted Dollars) (Some Other Race Alone Householder)</t>
  </si>
  <si>
    <t>Estimate!!Total:!!1.00 to 1.99:!!Living with two parents:</t>
  </si>
  <si>
    <t>B19202F</t>
  </si>
  <si>
    <t>B05010_012</t>
  </si>
  <si>
    <t>Estimate!!Total:!!1.00 to 1.99:!!Living with two parents:!!Both parents native</t>
  </si>
  <si>
    <t>B05010_013</t>
  </si>
  <si>
    <t>B19202G_001</t>
  </si>
  <si>
    <t>Estimate!!Total:!!1.00 to 1.99:!!Living with two parents:!!Both parents foreign-born</t>
  </si>
  <si>
    <t>Median Nonfamily Household Income in the Past 12 Months (in 2024 Inflation-Adjusted Dollars) (Two or More Races Householder)</t>
  </si>
  <si>
    <t>B05010_014</t>
  </si>
  <si>
    <t>Estimate!!Total:!!1.00 to 1.99:!!Living with two parents:!!One native and one foreign-born parent</t>
  </si>
  <si>
    <t>B19202G</t>
  </si>
  <si>
    <t>B05010_015</t>
  </si>
  <si>
    <t>Estimate!!Total:!!1.00 to 1.99:!!Living with one parent:</t>
  </si>
  <si>
    <t>B05010_016</t>
  </si>
  <si>
    <t>Estimate!!Total:!!1.00 to 1.99:!!Living with one parent:!!Native parent</t>
  </si>
  <si>
    <t>B19202H_001</t>
  </si>
  <si>
    <t>B05010_017</t>
  </si>
  <si>
    <t>Estimate!!Total:!!1.00 to 1.99:!!Living with one parent:!!Foreign-born parent</t>
  </si>
  <si>
    <t>Median Nonfamily Household Income in the Past 12 Months (in 2024 Inflation-Adjusted Dollars) (White Alone, Not Hispanic or Latino Householder)</t>
  </si>
  <si>
    <t>B05010_018</t>
  </si>
  <si>
    <t>B19202H</t>
  </si>
  <si>
    <t>Estimate!!Total:!!2.00 and over:</t>
  </si>
  <si>
    <t>B19202I_001</t>
  </si>
  <si>
    <t>B05010_019</t>
  </si>
  <si>
    <t>Estimate!!Total:!!2.00 and over:!!Living with two parents:</t>
  </si>
  <si>
    <t>Median Nonfamily Household Income in the Past 12 Months (in 2024 Inflation-Adjusted Dollars) (Hispanic or Latino Householder)</t>
  </si>
  <si>
    <t>B19202I</t>
  </si>
  <si>
    <t>B05010_020</t>
  </si>
  <si>
    <t>Estimate!!Total:!!2.00 and over:!!Living with two parents:!!Both parents native</t>
  </si>
  <si>
    <t>B05010_021</t>
  </si>
  <si>
    <t>Estimate!!Total:!!2.00 and over:!!Living with two parents:!!Both parents foreign-born</t>
  </si>
  <si>
    <t>B05010_022</t>
  </si>
  <si>
    <t>B19214_001</t>
  </si>
  <si>
    <t>Estimate!!Total:!!2.00 and over:!!Living with two parents:!!One native and one foreign-born parent</t>
  </si>
  <si>
    <t>Estimate!!Aggregate nonfamily household income in the past 12 months (in 2024 inflation-adjusted dollars)</t>
  </si>
  <si>
    <t>Aggregate Nonfamily Household Income in the Past 12 Months (in 2024 Inflation-Adjusted Dollars)</t>
  </si>
  <si>
    <t>B05010_023</t>
  </si>
  <si>
    <t>Estimate!!Total:!!2.00 and over:!!Living with one parent:</t>
  </si>
  <si>
    <t>B19214</t>
  </si>
  <si>
    <t>B05010_024</t>
  </si>
  <si>
    <t>Estimate!!Total:!!2.00 and over:!!Living with one parent:!!Native parent</t>
  </si>
  <si>
    <t>B05010_025</t>
  </si>
  <si>
    <t>Estimate!!Total:!!2.00 and over:!!Living with one parent:!!Foreign-born parent</t>
  </si>
  <si>
    <t>B19215_001</t>
  </si>
  <si>
    <t>Estimate!!Median nonfamily household income in the past 12 months (in 2024 inflation-adjusted dollars) --!!Total (dollars):</t>
  </si>
  <si>
    <t>Median Nonfamily Household Income in the Past 12 Months (in 2024 Inflation-Adjusted Dollars) by Sex of Householder by Living Alone by Age of Householder</t>
  </si>
  <si>
    <t>B19215</t>
  </si>
  <si>
    <t>B05011_002</t>
  </si>
  <si>
    <t>B05011_003</t>
  </si>
  <si>
    <t>Estimate!!Total:!!Naturalized citizens:</t>
  </si>
  <si>
    <t>B19216_001</t>
  </si>
  <si>
    <t>B05011_004</t>
  </si>
  <si>
    <t>Estimate!!Total:!!Naturalized citizens:!!Naturalized 2015 or later</t>
  </si>
  <si>
    <t>Estimate!!Aggregate nonfamily household income in the past 12 months (in 2024 inflation-adjusted dollars):</t>
  </si>
  <si>
    <t>Aggregate Nonfamily Household Income in the Past 12 Months (in 2024 Inflation-Adjusted Dollars) by Sex of Householder by Living Alone by Age of Householder</t>
  </si>
  <si>
    <t>B05011_005</t>
  </si>
  <si>
    <t>B19216</t>
  </si>
  <si>
    <t>Estimate!!Total:!!Naturalized citizens:!!Naturalized 2010 to 2014</t>
  </si>
  <si>
    <t>B05011_006</t>
  </si>
  <si>
    <t>income, housing, demographic</t>
  </si>
  <si>
    <t>Estimate!!Total:!!Naturalized citizens:!!Naturalized 2005 to 2009</t>
  </si>
  <si>
    <t>B05011_007</t>
  </si>
  <si>
    <t>B19301_001</t>
  </si>
  <si>
    <t>Estimate!!Total:!!Naturalized citizens:!!Naturalized 2000 to 2004</t>
  </si>
  <si>
    <t>Estimate!!Per capita income in the past 12 months (in 2024 inflation-adjusted dollars)</t>
  </si>
  <si>
    <t>B05011_008</t>
  </si>
  <si>
    <t>Estimate!!Total:!!Naturalized citizens:!!Naturalized 1995 to 1999</t>
  </si>
  <si>
    <t>B19301</t>
  </si>
  <si>
    <t>B05011_009</t>
  </si>
  <si>
    <t>Estimate!!Total:!!Naturalized citizens:!!Naturalized 1990 to 1994</t>
  </si>
  <si>
    <t>B05011_010</t>
  </si>
  <si>
    <t>Estimate!!Total:!!Naturalized citizens:!!Naturalized before 1990</t>
  </si>
  <si>
    <t>B19301A_001</t>
  </si>
  <si>
    <t>Per Capita Income in the Past 12 Months (in 2024 Inflation-Adjusted Dollars) (White Alone)</t>
  </si>
  <si>
    <t>B05012PR_002</t>
  </si>
  <si>
    <t>B19301A</t>
  </si>
  <si>
    <t>Estimate!!Total:!!Native</t>
  </si>
  <si>
    <t>income, housing, race</t>
  </si>
  <si>
    <t>B05012PR_003</t>
  </si>
  <si>
    <t>Estimate!!Total:!!Foreign-born</t>
  </si>
  <si>
    <t>B19301B_001</t>
  </si>
  <si>
    <t>Per Capita Income in the Past 12 Months (in 2024 Inflation-Adjusted Dollars) (Black or African American Alone)</t>
  </si>
  <si>
    <t>B05012_002</t>
  </si>
  <si>
    <t>B19301B</t>
  </si>
  <si>
    <t>B05012_003</t>
  </si>
  <si>
    <t>B19301C_001</t>
  </si>
  <si>
    <t>Per Capita Income in the Past 12 Months (in 2024 Inflation-Adjusted Dollars) (American Indian and Alaska Native Alone)</t>
  </si>
  <si>
    <t>B19301C</t>
  </si>
  <si>
    <t>B05013_002</t>
  </si>
  <si>
    <t>B05013_003</t>
  </si>
  <si>
    <t>B19301D_001</t>
  </si>
  <si>
    <t>B05013_004</t>
  </si>
  <si>
    <t>Per Capita Income in the Past 12 Months (in 2024 Inflation-Adjusted Dollars) (Asian Alone)</t>
  </si>
  <si>
    <t>B19301D</t>
  </si>
  <si>
    <t>B05013_005</t>
  </si>
  <si>
    <t>B05013_006</t>
  </si>
  <si>
    <t>B19301E_001</t>
  </si>
  <si>
    <t>Estimate!!Total:!!Male:!!15 to 19 years</t>
  </si>
  <si>
    <t>Per Capita Income in the Past 12 Months (in 2024 Inflation-Adjusted Dollars) (Native Hawaiian and Other Pacific Islander Alone)</t>
  </si>
  <si>
    <t>B19301E</t>
  </si>
  <si>
    <t>B05013_007</t>
  </si>
  <si>
    <t>B05013_008</t>
  </si>
  <si>
    <t>B19301F_001</t>
  </si>
  <si>
    <t>Per Capita Income in the Past 12 Months (in 2024 Inflation-Adjusted Dollars) (Some Other Race Alone)</t>
  </si>
  <si>
    <t>B19301F</t>
  </si>
  <si>
    <t>B05013_009</t>
  </si>
  <si>
    <t>B05013_010</t>
  </si>
  <si>
    <t>B19301G_001</t>
  </si>
  <si>
    <t>B05013_011</t>
  </si>
  <si>
    <t>Per Capita Income in the Past 12 Months (in 2024 Inflation-Adjusted Dollars) (Two or More Races)</t>
  </si>
  <si>
    <t>B19301G</t>
  </si>
  <si>
    <t>B05013_012</t>
  </si>
  <si>
    <t>B05013_013</t>
  </si>
  <si>
    <t>B19301H_001</t>
  </si>
  <si>
    <t>B05013_014</t>
  </si>
  <si>
    <t>Per Capita Income in the Past 12 Months (in 2024 Inflation-Adjusted Dollars) (White Alone, Not Hispanic or Latino)</t>
  </si>
  <si>
    <t>B19301H</t>
  </si>
  <si>
    <t>B05013_015</t>
  </si>
  <si>
    <t>Estimate!!Total:!!Male:!!60 to 64 years</t>
  </si>
  <si>
    <t>B05013_016</t>
  </si>
  <si>
    <t>B19301I_001</t>
  </si>
  <si>
    <t>Estimate!!Total:!!Male:!!65 to 69 years</t>
  </si>
  <si>
    <t>Per Capita Income in the Past 12 Months (in 2024 Inflation-Adjusted Dollars) (Hispanic or Latino)</t>
  </si>
  <si>
    <t>B05013_017</t>
  </si>
  <si>
    <t>B19301I</t>
  </si>
  <si>
    <t>B05013_018</t>
  </si>
  <si>
    <t>B19313_001</t>
  </si>
  <si>
    <t>B05013_019</t>
  </si>
  <si>
    <t>Estimate!!Aggregate income in the past 12 months (in 2024 inflation-adjusted dollars)</t>
  </si>
  <si>
    <t>Aggregate Income in the Past 12 Months (in 2024 Inflation-Adjusted Dollars)</t>
  </si>
  <si>
    <t>B19313</t>
  </si>
  <si>
    <t>B05013_020</t>
  </si>
  <si>
    <t>B05013_021</t>
  </si>
  <si>
    <t>B19313A_001</t>
  </si>
  <si>
    <t>B05013_022</t>
  </si>
  <si>
    <t>Aggregate Income in the Past 12 Months (in 2024 Inflation-Adjusted Dollars) for the Population 15 Years and Over (White Alone)</t>
  </si>
  <si>
    <t>B19313A</t>
  </si>
  <si>
    <t>B05013_023</t>
  </si>
  <si>
    <t>B05013_024</t>
  </si>
  <si>
    <t>B19313B_001</t>
  </si>
  <si>
    <t>B05013_025</t>
  </si>
  <si>
    <t>Aggregate Income in the Past 12 Months (in 2024 Inflation-Adjusted Dollars) for the Population 15 Years and Over (Black or African American Alone)</t>
  </si>
  <si>
    <t>Estimate!!Total:!!Female:!!15 to 19 years</t>
  </si>
  <si>
    <t>B19313B</t>
  </si>
  <si>
    <t>B05013_026</t>
  </si>
  <si>
    <t>B05013_027</t>
  </si>
  <si>
    <t>B19313C_001</t>
  </si>
  <si>
    <t>Aggregate Income in the Past 12 Months (in 2024 Inflation-Adjusted Dollars) for the Population 15 Years and Over (American Indian and Alaska Native Alone)</t>
  </si>
  <si>
    <t>B05013_028</t>
  </si>
  <si>
    <t>B19313C</t>
  </si>
  <si>
    <t>B05013_029</t>
  </si>
  <si>
    <t>B05013_030</t>
  </si>
  <si>
    <t>B19313D_001</t>
  </si>
  <si>
    <t>B05013_031</t>
  </si>
  <si>
    <t>Aggregate Income in the Past 12 Months (in 2024 Inflation-Adjusted Dollars) for the Population 15 Years and Over (Asian Alone)</t>
  </si>
  <si>
    <t>B19313D</t>
  </si>
  <si>
    <t>B05013_032</t>
  </si>
  <si>
    <t>B05013_033</t>
  </si>
  <si>
    <t>B19313E_001</t>
  </si>
  <si>
    <t>Aggregate Income in the Past 12 Months (in 2024 Inflation-Adjusted Dollars) for the Population 15 Years and Over (Native Hawaiian and Other Pacific Islander Alone)</t>
  </si>
  <si>
    <t>B19313E</t>
  </si>
  <si>
    <t>B19313F_001</t>
  </si>
  <si>
    <t>Aggregate Income in the Past 12 Months (in 2024 Inflation-Adjusted Dollars) for the Population 15 Years and Over (Some Other Race Alone)</t>
  </si>
  <si>
    <t>B19313F</t>
  </si>
  <si>
    <t>B05013_034</t>
  </si>
  <si>
    <t>B19313G_001</t>
  </si>
  <si>
    <t>Estimate!!Total:!!Female:!!60 to 64 years</t>
  </si>
  <si>
    <t>B05013_035</t>
  </si>
  <si>
    <t>Aggregate Income in the Past 12 Months (in 2024 Inflation-Adjusted Dollars) for the Population 15 Years and Over (Two or More Races)</t>
  </si>
  <si>
    <t>Estimate!!Total:!!Female:!!65 to 69 years</t>
  </si>
  <si>
    <t>B19313G</t>
  </si>
  <si>
    <t>B05013_036</t>
  </si>
  <si>
    <t>B05013_037</t>
  </si>
  <si>
    <t>B19313H_001</t>
  </si>
  <si>
    <t>Aggregate Income in the Past 12 Months (in 2024 Inflation-Adjusted Dollars) for the Population 15 Years and Over (White Alone, Not Hispanic or Latino)</t>
  </si>
  <si>
    <t>B19313H</t>
  </si>
  <si>
    <t>B05013_038</t>
  </si>
  <si>
    <t>B05013_039</t>
  </si>
  <si>
    <t>B19313I_001</t>
  </si>
  <si>
    <t>B05014_002</t>
  </si>
  <si>
    <t>B05014_003</t>
  </si>
  <si>
    <t>Aggregate Income in the Past 12 Months (in 2024 Inflation-Adjusted Dollars) for the Population 15 Years and Over (Hispanic or Latino)</t>
  </si>
  <si>
    <t>Estimate!!Total:!!Male:!!Under 10 years</t>
  </si>
  <si>
    <t>B19313I</t>
  </si>
  <si>
    <t>B05014_004</t>
  </si>
  <si>
    <t>Estimate!!Total:!!Male:!!10 to 19 years</t>
  </si>
  <si>
    <t>B05014_005</t>
  </si>
  <si>
    <t>Estimate!!Total:!!Male:!!20 to 29 years</t>
  </si>
  <si>
    <t>B19325_001</t>
  </si>
  <si>
    <t>B05014_006</t>
  </si>
  <si>
    <t>Estimate!!Total:!!Male:!!30 to 39 years</t>
  </si>
  <si>
    <t>Sex by Work Experience in the Past 12 Months by Income in the Past 12 Months (in 2024 Inflation-Adjusted Dollars) for the Population 15 Years and Over</t>
  </si>
  <si>
    <t>B19325</t>
  </si>
  <si>
    <t>B05014_007</t>
  </si>
  <si>
    <t>Estimate!!Total:!!Male:!!40 to 49 years</t>
  </si>
  <si>
    <t>B05014_008</t>
  </si>
  <si>
    <t>Estimate!!Total:!!Male:!!50 to 59 years</t>
  </si>
  <si>
    <t>B19326_001</t>
  </si>
  <si>
    <t>B05014_009</t>
  </si>
  <si>
    <t>Estimate!!Total:!!Male:!!60 to 69 years</t>
  </si>
  <si>
    <t>Estimate!!Median income in the past 12 months (in 2024 inflation-adjusted dollars) --!!Total (dollars):</t>
  </si>
  <si>
    <t>Median Income in the Past 12 Months (in 2024 Inflation-Adjusted Dollars) by Sex by Work Experience in the Past 12 Months for the Population 15 Years and Over With Income</t>
  </si>
  <si>
    <t>B05014_010</t>
  </si>
  <si>
    <t>Estimate!!Total:!!Male:!!70 years and over</t>
  </si>
  <si>
    <t>B19326</t>
  </si>
  <si>
    <t>B05014_011</t>
  </si>
  <si>
    <t>B05014_012</t>
  </si>
  <si>
    <t>Estimate!!Total:!!Female:!!Under 10 years</t>
  </si>
  <si>
    <t>B20001_001</t>
  </si>
  <si>
    <t>B05014_013</t>
  </si>
  <si>
    <t>Estimate!!Total:!!Female:!!10 to 19 years</t>
  </si>
  <si>
    <t>Sex by Earnings in the Past 12 Months (in 2024 Inflation-Adjusted Dollars) for the Population 16 Years and Over With Earnings in the Past 12 Months</t>
  </si>
  <si>
    <t>B05014_014</t>
  </si>
  <si>
    <t>Estimate!!Total:!!Female:!!20 to 29 years</t>
  </si>
  <si>
    <t>B20001</t>
  </si>
  <si>
    <t>B05014_015</t>
  </si>
  <si>
    <t>Estimate!!Total:!!Female:!!30 to 39 years</t>
  </si>
  <si>
    <t>B05014_016</t>
  </si>
  <si>
    <t>Estimate!!Total:!!Female:!!40 to 49 years</t>
  </si>
  <si>
    <t>B20002_001</t>
  </si>
  <si>
    <t>B05014_017</t>
  </si>
  <si>
    <t>Estimate!!Total:!!Female:!!50 to 59 years</t>
  </si>
  <si>
    <t>Estimate!!Median earnings in the past 12 months (in 2024 inflation-adjusted dollars) --!!Total:</t>
  </si>
  <si>
    <t>B05014_018</t>
  </si>
  <si>
    <t>Median Earnings in the Past 12 Months (in 2024 Inflation-Adjusted Dollars) by Sex for the Population 16 Years and Over With Earnings in the Past 12 Months</t>
  </si>
  <si>
    <t>Estimate!!Total:!!Female:!!60 to 69 years</t>
  </si>
  <si>
    <t>B20002</t>
  </si>
  <si>
    <t>B05014_019</t>
  </si>
  <si>
    <t>Estimate!!Total:!!Female:!!70 years and over</t>
  </si>
  <si>
    <t>B20003_001</t>
  </si>
  <si>
    <t>Estimate!!Aggregate earnings in the past 12 months (in 2024 inflation-adjusted dollars):</t>
  </si>
  <si>
    <t>B05015_002</t>
  </si>
  <si>
    <t>Estimate!!Total:!!China, Hong Kong, and Taiwan:</t>
  </si>
  <si>
    <t>Aggregate Earnings in the Past 12 Months (in 2024 Inflation-Adjusted Dollars) by Sex by Work Experience for the Population 16 Years and Over With Earnings</t>
  </si>
  <si>
    <t>B20003</t>
  </si>
  <si>
    <t>B05015_003</t>
  </si>
  <si>
    <t>Estimate!!Total:!!China, Hong Kong, and Taiwan:!!Entered 2010 or later</t>
  </si>
  <si>
    <t>B05015_004</t>
  </si>
  <si>
    <t>Estimate!!Total:!!China, Hong Kong, and Taiwan:!!Entered before 2010</t>
  </si>
  <si>
    <t>B20004_001</t>
  </si>
  <si>
    <t>B05015_005</t>
  </si>
  <si>
    <t>Median Earnings in the Past 12 Months (in 2024 Inflation-Adjusted Dollars) by Sex by Educational Attainment for the Population 25 Years and Over</t>
  </si>
  <si>
    <t>Estimate!!Total:!!Cuba:</t>
  </si>
  <si>
    <t>B20004</t>
  </si>
  <si>
    <t>B05015_006</t>
  </si>
  <si>
    <t>income, education</t>
  </si>
  <si>
    <t>Estimate!!Total:!!Cuba:!!Entered 2010 or later</t>
  </si>
  <si>
    <t>B05015_007</t>
  </si>
  <si>
    <t>Estimate!!Total:!!Cuba:!!Entered before 2010</t>
  </si>
  <si>
    <t>B20005_001</t>
  </si>
  <si>
    <t>B05015_008</t>
  </si>
  <si>
    <t>Sex by Work Experience in the Past 12 Months by Earnings in the Past 12 Months (in 2024 Inflation-Adjusted Dollars) for the Population 16 Years and Over</t>
  </si>
  <si>
    <t>Estimate!!Total:!!Dominican Republic:</t>
  </si>
  <si>
    <t>B20005</t>
  </si>
  <si>
    <t>B05015_009</t>
  </si>
  <si>
    <t>Estimate!!Total:!!Dominican Republic:!!Entered 2010 or later</t>
  </si>
  <si>
    <t>demographic, economy, income, race</t>
  </si>
  <si>
    <t>B20005A_001</t>
  </si>
  <si>
    <t>B05015_010</t>
  </si>
  <si>
    <t>Estimate!!Total:!!Dominican Republic:!!Entered before 2010</t>
  </si>
  <si>
    <t>Sex by Work Experience in the Past 12 Months by Earnings in the Past 12 Months (in 2024 Inflation-Adjusted Dollars) for the Population 16 Years and Over (White Alone)</t>
  </si>
  <si>
    <t>B20005A</t>
  </si>
  <si>
    <t>B05015_011</t>
  </si>
  <si>
    <t>Estimate!!Total:!!El Salvador:</t>
  </si>
  <si>
    <t>B05015_012</t>
  </si>
  <si>
    <t>Estimate!!Total:!!El Salvador:!!Entered 2010 or later</t>
  </si>
  <si>
    <t>B20005B_001</t>
  </si>
  <si>
    <t>B05015_013</t>
  </si>
  <si>
    <t>Estimate!!Total:!!El Salvador:!!Entered before 2010</t>
  </si>
  <si>
    <t>Sex by Work Experience in the Past 12 Months by Earnings in the Past 12 Months (in 2024 Inflation-Adjusted Dollars) for the Population 16 Years and Over (Black or African American Alone)</t>
  </si>
  <si>
    <t>B20005B</t>
  </si>
  <si>
    <t>B05015_014</t>
  </si>
  <si>
    <t>Estimate!!Total:!!Guatemala:</t>
  </si>
  <si>
    <t>B05015_015</t>
  </si>
  <si>
    <t>Estimate!!Total:!!Guatemala:!!Entered 2010 or later</t>
  </si>
  <si>
    <t>B05015_016</t>
  </si>
  <si>
    <t>B20005C_001</t>
  </si>
  <si>
    <t>Estimate!!Total:!!Guatemala:!!Entered before 2010</t>
  </si>
  <si>
    <t>B05015_017</t>
  </si>
  <si>
    <t>Sex by Work Experience in the Past 12 Months by Earnings in the Past 12 Months (in 2024 Inflation-Adjusted Dollars) for the Population 16 Years and Over (American Indian and Alaska Native Alone)</t>
  </si>
  <si>
    <t>Estimate!!Total:!!India:</t>
  </si>
  <si>
    <t>B20005C</t>
  </si>
  <si>
    <t>B05015_018</t>
  </si>
  <si>
    <t>Estimate!!Total:!!India:!!Entered 2010 or later</t>
  </si>
  <si>
    <t>B05015_019</t>
  </si>
  <si>
    <t>Estimate!!Total:!!India:!!Entered before 2010</t>
  </si>
  <si>
    <t>B20005D_001</t>
  </si>
  <si>
    <t>B05015_020</t>
  </si>
  <si>
    <t>Sex by Work Experience in the Past 12 Months by Earnings in the Past 12 Months (in 2024 Inflation-Adjusted Dollars) for the Population 16 Years and Over (Asian Alone)</t>
  </si>
  <si>
    <t>Estimate!!Total:!!Mexico:</t>
  </si>
  <si>
    <t>B20005D</t>
  </si>
  <si>
    <t>B05015_021</t>
  </si>
  <si>
    <t>Estimate!!Total:!!Mexico:!!Entered 2010 or later</t>
  </si>
  <si>
    <t>B05015_022</t>
  </si>
  <si>
    <t>Estimate!!Total:!!Mexico:!!Entered before 2010</t>
  </si>
  <si>
    <t>B20005E_001</t>
  </si>
  <si>
    <t>B05015_023</t>
  </si>
  <si>
    <t>Sex by Work Experience in the Past 12 Months by Earnings in the Past 12 Months (in 2024 Inflation-Adjusted Dollars) for the Population 16 Years and Over (Native Hawaiian and Other Pacific Islander Alone)</t>
  </si>
  <si>
    <t>Estimate!!Total:!!Philippines:</t>
  </si>
  <si>
    <t>B20005E</t>
  </si>
  <si>
    <t>B20005F_001</t>
  </si>
  <si>
    <t>B05015_024</t>
  </si>
  <si>
    <t>Estimate!!Total:!!Philippines:!!Entered 2010 or later</t>
  </si>
  <si>
    <t>Sex by Work Experience in the Past 12 Months by Earnings in the Past 12 Months (in 2024 Inflation-Adjusted Dollars) for the Population 16 Years and Over (Some Other Race Alone)</t>
  </si>
  <si>
    <t>B20005F</t>
  </si>
  <si>
    <t>B05015_025</t>
  </si>
  <si>
    <t>Estimate!!Total:!!Philippines:!!Entered before 2010</t>
  </si>
  <si>
    <t>B05015_026</t>
  </si>
  <si>
    <t>Estimate!!Total:!!Vietnam:</t>
  </si>
  <si>
    <t>B20005G_001</t>
  </si>
  <si>
    <t>B05015_027</t>
  </si>
  <si>
    <t>Estimate!!Total:!!Vietnam:!!Entered 2010 or later</t>
  </si>
  <si>
    <t>Sex by Work Experience in the Past 12 Months by Earnings in the Past 12 Months (in 2024 Inflation-Adjusted Dollars) for the Population 16 Years and Over (Two or More Races)</t>
  </si>
  <si>
    <t>B20005G</t>
  </si>
  <si>
    <t>B05015_028</t>
  </si>
  <si>
    <t>Estimate!!Total:!!Vietnam:!!Entered before 2010</t>
  </si>
  <si>
    <t>B05015_029</t>
  </si>
  <si>
    <t>Estimate!!Total:!!All Other Countries:</t>
  </si>
  <si>
    <t>B20005H_001</t>
  </si>
  <si>
    <t>B05015_030</t>
  </si>
  <si>
    <t>Estimate!!Total:!!All Other Countries:!!Entered 2010 or later</t>
  </si>
  <si>
    <t>Sex by Work Experience in the Past 12 Months by Earnings in the Past 12 Months (in 2024 Inflation-Adjusted Dollars) for the Population 16 Years and Over (White Alone, Not Hispanic or Latino)</t>
  </si>
  <si>
    <t>B20005H</t>
  </si>
  <si>
    <t>B05015_031</t>
  </si>
  <si>
    <t>Estimate!!Total:!!All Other Countries:!!Entered before 2010</t>
  </si>
  <si>
    <t>B20005I_001</t>
  </si>
  <si>
    <t>B06001PR_002</t>
  </si>
  <si>
    <t>Estimate!!Total:!!Under 5 years</t>
  </si>
  <si>
    <t>Sex by Work Experience in the Past 12 Months by Earnings in the Past 12 Months (in 2024 Inflation-Adjusted Dollars) for the Population 16 Years and Over (Hispanic or Latino)</t>
  </si>
  <si>
    <t>B20005I</t>
  </si>
  <si>
    <t>B06001PR_003</t>
  </si>
  <si>
    <t>Estimate!!Total:!!5 to 17 years</t>
  </si>
  <si>
    <t>B06001PR_004</t>
  </si>
  <si>
    <t>Estimate!!Total:!!18 to 24 years</t>
  </si>
  <si>
    <t>B20017_001</t>
  </si>
  <si>
    <t>Estimate!!Median earnings in the past 12 months (in 2024 inflation-adjusted dollars) --!!Total (dollars):</t>
  </si>
  <si>
    <t>B06001PR_005</t>
  </si>
  <si>
    <t>Estimate!!Total:!!25 to 34 years</t>
  </si>
  <si>
    <t>Median Earnings in the Past 12 Months (in 2024 Inflation-Adjusted Dollars) by Sex by Work Experience in the Past 12 Months for the Population 16 Years and Over With Earnings in the Past 12 Months</t>
  </si>
  <si>
    <t>B20017</t>
  </si>
  <si>
    <t>B06001PR_006</t>
  </si>
  <si>
    <t>Estimate!!Total:!!35 to 44 years</t>
  </si>
  <si>
    <t>B20017A_001</t>
  </si>
  <si>
    <t>Median Earnings in the Past 12 Months (in 2024 Inflation-Adjusted Dollars) by Sex by Work Experience in the Past 12 Months for the Population 16 Years and Over With Earnings in the Past 12 Months (White Alone)</t>
  </si>
  <si>
    <t>B20017A</t>
  </si>
  <si>
    <t>B06001PR_007</t>
  </si>
  <si>
    <t>Estimate!!Total:!!45 to 54 years</t>
  </si>
  <si>
    <t>B06001PR_008</t>
  </si>
  <si>
    <t>Estimate!!Total:!!55 to 59 years</t>
  </si>
  <si>
    <t>B20017B_001</t>
  </si>
  <si>
    <t>B06001PR_009</t>
  </si>
  <si>
    <t>Estimate!!Total:!!60 and 61 years</t>
  </si>
  <si>
    <t>Median Earnings in the Past 12 Months (in 2024 Inflation-Adjusted Dollars) by Sex by Work Experience in the Past 12 Months for the Population 16 Years and Over With Earnings in the Past 12 Months (Black or African American Alone)</t>
  </si>
  <si>
    <t>B20017B</t>
  </si>
  <si>
    <t>B06001PR_010</t>
  </si>
  <si>
    <t>Estimate!!Total:!!62 to 64 years</t>
  </si>
  <si>
    <t>B06001PR_011</t>
  </si>
  <si>
    <t>Estimate!!Total:!!65 to 74 years</t>
  </si>
  <si>
    <t>B20017C_001</t>
  </si>
  <si>
    <t>B06001PR_012</t>
  </si>
  <si>
    <t>Median Earnings in the Past 12 Months (in 2024 Inflation-Adjusted Dollars) by Sex by Work Experience in the Past 12 Months for the Population 16 Years and Over With Earnings in the Past 12 Months (American Indian and Alaska Native Alone)</t>
  </si>
  <si>
    <t>Estimate!!Total:!!75 years and over</t>
  </si>
  <si>
    <t>B20017C</t>
  </si>
  <si>
    <t>B06001PR_013</t>
  </si>
  <si>
    <t>Estimate!!Total:!!Born in Puerto Rico:</t>
  </si>
  <si>
    <t>B06001PR_014</t>
  </si>
  <si>
    <t>Estimate!!Total:!!Born in Puerto Rico:!!Under 5 years</t>
  </si>
  <si>
    <t>B20017D_001</t>
  </si>
  <si>
    <t>B06001PR_015</t>
  </si>
  <si>
    <t>Median Earnings in the Past 12 Months (in 2024 Inflation-Adjusted Dollars) by Sex by Work Experience in the Past 12 Months for the Population 16 Years and Over With Earnings in the Past 12 Months (Asian Alone)</t>
  </si>
  <si>
    <t>Estimate!!Total:!!Born in Puerto Rico:!!5 to 17 years</t>
  </si>
  <si>
    <t>B20017D</t>
  </si>
  <si>
    <t>B06001PR_016</t>
  </si>
  <si>
    <t>Estimate!!Total:!!Born in Puerto Rico:!!18 to 24 years</t>
  </si>
  <si>
    <t>B06001PR_017</t>
  </si>
  <si>
    <t>Estimate!!Total:!!Born in Puerto Rico:!!25 to 34 years</t>
  </si>
  <si>
    <t>B20017E_001</t>
  </si>
  <si>
    <t>B06001PR_018</t>
  </si>
  <si>
    <t>Estimate!!Total:!!Born in Puerto Rico:!!35 to 44 years</t>
  </si>
  <si>
    <t>Median Earnings in the Past 12 Months (in 2024 Inflation-Adjusted Dollars) by Sex by Work Experience in the Past 12 Months for the Population 16 Years and Over With Earnings in the Past 12 Months (Native Hawaiian and Other Pacific Islander Alone)</t>
  </si>
  <si>
    <t>B20017E</t>
  </si>
  <si>
    <t>B06001PR_019</t>
  </si>
  <si>
    <t>Estimate!!Total:!!Born in Puerto Rico:!!45 to 54 years</t>
  </si>
  <si>
    <t>B06001PR_020</t>
  </si>
  <si>
    <t>B20017F_001</t>
  </si>
  <si>
    <t>Estimate!!Total:!!Born in Puerto Rico:!!55 to 59 years</t>
  </si>
  <si>
    <t>Median Earnings in the Past 12 Months (in 2024 Inflation-Adjusted Dollars) by Sex by Work Experience in the Past 12 Months for the Population 16 Years and Over With Earnings in the Past 12 Months (Some Other Race Alone)</t>
  </si>
  <si>
    <t>B06001PR_021</t>
  </si>
  <si>
    <t>B20017F</t>
  </si>
  <si>
    <t>Estimate!!Total:!!Born in Puerto Rico:!!60 and 61 years</t>
  </si>
  <si>
    <t>B06001PR_022</t>
  </si>
  <si>
    <t>Estimate!!Total:!!Born in Puerto Rico:!!62 to 64 years</t>
  </si>
  <si>
    <t>B06001PR_023</t>
  </si>
  <si>
    <t>B20017G_001</t>
  </si>
  <si>
    <t>Estimate!!Total:!!Born in Puerto Rico:!!65 to 74 years</t>
  </si>
  <si>
    <t>Median Earnings in the Past 12 Months (in 2024 Inflation-Adjusted Dollars) by Sex by Work Experience in the Past 12 Months for the Population 16 Years and Over With Earnings in the Past 12 Months (Two or More Races)</t>
  </si>
  <si>
    <t>B06001PR_024</t>
  </si>
  <si>
    <t>B20017G</t>
  </si>
  <si>
    <t>Estimate!!Total:!!Born in Puerto Rico:!!75 years and over</t>
  </si>
  <si>
    <t>B06001PR_025</t>
  </si>
  <si>
    <t>Estimate!!Total:!!Born in the United States:</t>
  </si>
  <si>
    <t>B06001PR_026</t>
  </si>
  <si>
    <t>Estimate!!Total:!!Born in the United States:!!Under 5 years</t>
  </si>
  <si>
    <t>B20017H_001</t>
  </si>
  <si>
    <t>B06001PR_027</t>
  </si>
  <si>
    <t>Median Earnings in the Past 12 Months (in 2024 Inflation-Adjusted Dollars) by Sex by Work Experience in the Past 12 Months for the Population 16 Years and Over With Earnings in the Past 12 Months (White Alone, Not Hispanic or Latino)</t>
  </si>
  <si>
    <t>Estimate!!Total:!!Born in the United States:!!5 to 17 years</t>
  </si>
  <si>
    <t>B20017H</t>
  </si>
  <si>
    <t>B06001PR_028</t>
  </si>
  <si>
    <t>Estimate!!Total:!!Born in the United States:!!18 to 24 years</t>
  </si>
  <si>
    <t>B06001PR_029</t>
  </si>
  <si>
    <t>B20017I_001</t>
  </si>
  <si>
    <t>Estimate!!Total:!!Born in the United States:!!25 to 34 years</t>
  </si>
  <si>
    <t>Median Earnings in the Past 12 Months (in 2024 Inflation-Adjusted Dollars) by Sex by Work Experience in the Past 12 Months for the Population 16 Years and Over With Earnings (Hispanic or Latino)</t>
  </si>
  <si>
    <t>B06001PR_030</t>
  </si>
  <si>
    <t>B20017I</t>
  </si>
  <si>
    <t>Estimate!!Total:!!Born in the United States:!!35 to 44 years</t>
  </si>
  <si>
    <t>B06001PR_031</t>
  </si>
  <si>
    <t>Estimate!!Total:!!Born in the United States:!!45 to 54 years</t>
  </si>
  <si>
    <t>B20018_001</t>
  </si>
  <si>
    <t>B06001PR_032</t>
  </si>
  <si>
    <t>Estimate!!Median earnings in the past 12 months (in 2024 inflation-adjusted dollars)</t>
  </si>
  <si>
    <t>Estimate!!Total:!!Born in the United States:!!55 to 59 years</t>
  </si>
  <si>
    <t>Median Earnings in the Past 12 Months (in 2024 Inflation-Adjusted Dollars) for the Population 16 Years and Over Who Worked Full-Time, Year-Round With Earnings in the Past 12 Months</t>
  </si>
  <si>
    <t>B20018</t>
  </si>
  <si>
    <t>B06001PR_033</t>
  </si>
  <si>
    <t>Estimate!!Total:!!Born in the United States:!!60 and 61 years</t>
  </si>
  <si>
    <t>B06001PR_034</t>
  </si>
  <si>
    <t>Estimate!!Total:!!Born in the United States:!!62 to 64 years</t>
  </si>
  <si>
    <t>B21001_001</t>
  </si>
  <si>
    <t>B06001PR_035</t>
  </si>
  <si>
    <t>Estimate!!Total:!!Born in the United States:!!65 to 74 years</t>
  </si>
  <si>
    <t>B21001</t>
  </si>
  <si>
    <t>B06001PR_036</t>
  </si>
  <si>
    <t>Estimate!!Total:!!Born in the United States:!!75 years and over</t>
  </si>
  <si>
    <t>B06001PR_037</t>
  </si>
  <si>
    <t>Estimate!!Total:!!Native; born elsewhere:</t>
  </si>
  <si>
    <t>B21002_001</t>
  </si>
  <si>
    <t>B06001PR_038</t>
  </si>
  <si>
    <t>Estimate!!Total:!!Native; born elsewhere:!!Under 5 years</t>
  </si>
  <si>
    <t>Period of Military Service for Civilian Veterans 18 Years and Over</t>
  </si>
  <si>
    <t>B21002</t>
  </si>
  <si>
    <t>B06001PR_039</t>
  </si>
  <si>
    <t>Estimate!!Total:!!Native; born elsewhere:!!5 to 17 years</t>
  </si>
  <si>
    <t>B06001PR_040</t>
  </si>
  <si>
    <t>Estimate!!Total:!!Native; born elsewhere:!!18 to 24 years</t>
  </si>
  <si>
    <t>B21003_001</t>
  </si>
  <si>
    <t>B06001PR_041</t>
  </si>
  <si>
    <t>Estimate!!Total:!!Native; born elsewhere:!!25 to 34 years</t>
  </si>
  <si>
    <t>Veteran Status by Educational Attainment for the Civilian Population 25 Years and Over</t>
  </si>
  <si>
    <t>B06001PR_042</t>
  </si>
  <si>
    <t>Estimate!!Total:!!Native; born elsewhere:!!35 to 44 years</t>
  </si>
  <si>
    <t>B06001PR_043</t>
  </si>
  <si>
    <t>Estimate!!Total:!!Native; born elsewhere:!!45 to 54 years</t>
  </si>
  <si>
    <t>B06001PR_044</t>
  </si>
  <si>
    <t>Estimate!!Total:!!Native; born elsewhere:!!55 to 59 years</t>
  </si>
  <si>
    <t>B06001PR_045</t>
  </si>
  <si>
    <t>B21003</t>
  </si>
  <si>
    <t>Estimate!!Total:!!Native; born elsewhere:!!60 and 61 years</t>
  </si>
  <si>
    <t>B06001PR_046</t>
  </si>
  <si>
    <t>Estimate!!Total:!!Native; born elsewhere:!!62 to 64 years</t>
  </si>
  <si>
    <t>B06001PR_047</t>
  </si>
  <si>
    <t>B21004_001</t>
  </si>
  <si>
    <t>Estimate!!Total:!!Native; born elsewhere:!!65 to 74 years</t>
  </si>
  <si>
    <t>Estimate!!Median income in the past 12 months (in 2024 inflation-adjusted dollars)--!!Total:</t>
  </si>
  <si>
    <t>B06001PR_048</t>
  </si>
  <si>
    <t>Median Income in the Past 12 Months (in 2024 Inflation-Adjusted Dollars) by Veteran Status by Sex for the Civilian Population 18 Years and Over With Income</t>
  </si>
  <si>
    <t>Estimate!!Total:!!Native; born elsewhere:!!75 years and over</t>
  </si>
  <si>
    <t>B21004</t>
  </si>
  <si>
    <t>B06001PR_049</t>
  </si>
  <si>
    <t>Estimate!!Total:!!Foreign born:</t>
  </si>
  <si>
    <t>B06001PR_050</t>
  </si>
  <si>
    <t>Estimate!!Total:!!Foreign born:!!Under 5 years</t>
  </si>
  <si>
    <t>B21005_001</t>
  </si>
  <si>
    <t>B06001PR_051</t>
  </si>
  <si>
    <t>Estimate!!Total:!!Foreign born:!!5 to 17 years</t>
  </si>
  <si>
    <t>Age by Veteran Status by Employment Status for the Civilian Population 18 to 64 Years</t>
  </si>
  <si>
    <t>B21005</t>
  </si>
  <si>
    <t>B06001PR_052</t>
  </si>
  <si>
    <t>Estimate!!Total:!!Foreign born:!!18 to 24 years</t>
  </si>
  <si>
    <t>B06001PR_053</t>
  </si>
  <si>
    <t>Estimate!!Total:!!Foreign born:!!25 to 34 years</t>
  </si>
  <si>
    <t>B21100_001</t>
  </si>
  <si>
    <t>B06001PR_054</t>
  </si>
  <si>
    <t>Service-Connected Disability-Rating Status and Ratings for Civilian Veterans 18 Years and Over</t>
  </si>
  <si>
    <t>Estimate!!Total:!!Foreign born:!!35 to 44 years</t>
  </si>
  <si>
    <t>B21100</t>
  </si>
  <si>
    <t>B06001PR_055</t>
  </si>
  <si>
    <t>Estimate!!Total:!!Foreign born:!!45 to 54 years</t>
  </si>
  <si>
    <t>B06001PR_056</t>
  </si>
  <si>
    <t>B22001_001</t>
  </si>
  <si>
    <t>Estimate!!Total:!!Foreign born:!!55 to 59 years</t>
  </si>
  <si>
    <t>Receipt of Food Stamps/SNAP in the Past 12 Months by Presence of People 60 Years and Over for Households</t>
  </si>
  <si>
    <t>B22001</t>
  </si>
  <si>
    <t>B06001PR_057</t>
  </si>
  <si>
    <t>Estimate!!Total:!!Foreign born:!!60 and 61 years</t>
  </si>
  <si>
    <t>B06001PR_058</t>
  </si>
  <si>
    <t>Estimate!!Total:!!Foreign born:!!62 to 64 years</t>
  </si>
  <si>
    <t>B22002_001</t>
  </si>
  <si>
    <t>B06001PR_059</t>
  </si>
  <si>
    <t>Receipt of Food Stamps/SNAP in the Past 12 Months by Presence of Children Under 18 Years by Household Type for Households</t>
  </si>
  <si>
    <t>Estimate!!Total:!!Foreign born:!!65 to 74 years</t>
  </si>
  <si>
    <t>B22002</t>
  </si>
  <si>
    <t>B06001PR_060</t>
  </si>
  <si>
    <t>Estimate!!Total:!!Foreign born:!!75 years and over</t>
  </si>
  <si>
    <t>B22003_001</t>
  </si>
  <si>
    <t>Receipt of Food Stamps/SNAP in the Past 12 Months by Poverty Status in the Past 12 Months for Households</t>
  </si>
  <si>
    <t>B22003</t>
  </si>
  <si>
    <t>B06001_002</t>
  </si>
  <si>
    <t>B06001_003</t>
  </si>
  <si>
    <t>B22005A_001</t>
  </si>
  <si>
    <t>B06001_004</t>
  </si>
  <si>
    <t>Receipt of Food Stamps/SNAP in the Past 12 Months by Race of Householder (White Alone)</t>
  </si>
  <si>
    <t>B22005A</t>
  </si>
  <si>
    <t>B06001_005</t>
  </si>
  <si>
    <t>human services, race</t>
  </si>
  <si>
    <t>B22005B_001</t>
  </si>
  <si>
    <t>B06001_006</t>
  </si>
  <si>
    <t>Receipt of Food Stamps/SNAP in the Past 12 Months by Race of Householder (Black or African American Alone)</t>
  </si>
  <si>
    <t>B22005B</t>
  </si>
  <si>
    <t>B06001_007</t>
  </si>
  <si>
    <t>B06001_008</t>
  </si>
  <si>
    <t>B22005C_001</t>
  </si>
  <si>
    <t>Receipt of Food Stamps/SNAP in the Past 12 Months by Race of Householder (American Indian and Alaska Native Alone)</t>
  </si>
  <si>
    <t>B22005C</t>
  </si>
  <si>
    <t>B06001_009</t>
  </si>
  <si>
    <t>B06001_010</t>
  </si>
  <si>
    <t>B22005D_001</t>
  </si>
  <si>
    <t>Receipt of Food Stamps/SNAP in the Past 12 Months by Race of Householder (Asian Alone)</t>
  </si>
  <si>
    <t>B22005D</t>
  </si>
  <si>
    <t>B06001_011</t>
  </si>
  <si>
    <t>B22005E_001</t>
  </si>
  <si>
    <t>B06001_012</t>
  </si>
  <si>
    <t>Receipt of Food Stamps/SNAP in the Past 12 Months by Race of Householder (Native Hawaiian and Other Pacific Islander Alone)</t>
  </si>
  <si>
    <t>B22005E</t>
  </si>
  <si>
    <t>B06001_013</t>
  </si>
  <si>
    <t>Estimate!!Total:!!Born in state of residence:</t>
  </si>
  <si>
    <t>B22005F_001</t>
  </si>
  <si>
    <t>B06001_014</t>
  </si>
  <si>
    <t>Estimate!!Total:!!Born in state of residence:!!Under 5 years</t>
  </si>
  <si>
    <t>Receipt of Food Stamps/SNAP in the Past 12 Months by Race of Householder (Some Other Race Alone)</t>
  </si>
  <si>
    <t>B22005F</t>
  </si>
  <si>
    <t>B06001_015</t>
  </si>
  <si>
    <t>Estimate!!Total:!!Born in state of residence:!!5 to 17 years</t>
  </si>
  <si>
    <t>B06001_016</t>
  </si>
  <si>
    <t>B22005G_001</t>
  </si>
  <si>
    <t>Estimate!!Total:!!Born in state of residence:!!18 to 24 years</t>
  </si>
  <si>
    <t>Receipt of Food Stamps/SNAP in the Past 12 Months by Race of Householder (Two or More Races)</t>
  </si>
  <si>
    <t>B22005G</t>
  </si>
  <si>
    <t>B06001_017</t>
  </si>
  <si>
    <t>Estimate!!Total:!!Born in state of residence:!!25 to 34 years</t>
  </si>
  <si>
    <t>B06001_018</t>
  </si>
  <si>
    <t>Estimate!!Total:!!Born in state of residence:!!35 to 44 years</t>
  </si>
  <si>
    <t>B22005H_001</t>
  </si>
  <si>
    <t>B06001_019</t>
  </si>
  <si>
    <t>Receipt of Food Stamps/SNAP in the Past 12 Months by Race of Householder (White Alone, Not Hispanic or Latino)</t>
  </si>
  <si>
    <t>Estimate!!Total:!!Born in state of residence:!!45 to 54 years</t>
  </si>
  <si>
    <t>B22005H</t>
  </si>
  <si>
    <t>B06001_020</t>
  </si>
  <si>
    <t>Estimate!!Total:!!Born in state of residence:!!55 to 59 years</t>
  </si>
  <si>
    <t>B22005I_001</t>
  </si>
  <si>
    <t>B06001_021</t>
  </si>
  <si>
    <t>Estimate!!Total:!!Born in state of residence:!!60 and 61 years</t>
  </si>
  <si>
    <t>Receipt of Food Stamps/SNAP in the Past 12 Months by Race of Householder (Hispanic or Latino)</t>
  </si>
  <si>
    <t>B22005I</t>
  </si>
  <si>
    <t>B06001_022</t>
  </si>
  <si>
    <t>Estimate!!Total:!!Born in state of residence:!!62 to 64 years</t>
  </si>
  <si>
    <t>B06001_023</t>
  </si>
  <si>
    <t>Estimate!!Total:!!Born in state of residence:!!65 to 74 years</t>
  </si>
  <si>
    <t>B22007_001</t>
  </si>
  <si>
    <t>Receipt of Food Stamps/SNAP in the Past 12 Months by Family Type by Number of Workers in Family in the Past 12 Months</t>
  </si>
  <si>
    <t>B06001_024</t>
  </si>
  <si>
    <t>B22007</t>
  </si>
  <si>
    <t>Estimate!!Total:!!Born in state of residence:!!75 years and over</t>
  </si>
  <si>
    <t>B06001_025</t>
  </si>
  <si>
    <t>Estimate!!Total:!!Born in other state in the United States:</t>
  </si>
  <si>
    <t>B22008_001</t>
  </si>
  <si>
    <t>Estimate!!Median household income in the past 12 months (in 2024 inflation-adjusted dollars)--!!Total:</t>
  </si>
  <si>
    <t>B06001_026</t>
  </si>
  <si>
    <t>Median Household Income in the Past 12 Months (in 2024 Inflation-Adjusted Dollars) by Receipt of Food Stamps/SNAP in the Past 12 Months</t>
  </si>
  <si>
    <t>B22008</t>
  </si>
  <si>
    <t>Estimate!!Total:!!Born in other state in the United States:!!Under 5 years</t>
  </si>
  <si>
    <t>B06001_027</t>
  </si>
  <si>
    <t>Estimate!!Total:!!Born in other state in the United States:!!5 to 17 years</t>
  </si>
  <si>
    <t>B22010_001</t>
  </si>
  <si>
    <t>B06001_028</t>
  </si>
  <si>
    <t>Receipt of Food Stamps/SNAP in the Past 12 Months by Disability Status for Households</t>
  </si>
  <si>
    <t>B22010</t>
  </si>
  <si>
    <t>Estimate!!Total:!!Born in other state in the United States:!!18 to 24 years</t>
  </si>
  <si>
    <t>B06001_029</t>
  </si>
  <si>
    <t>Estimate!!Total:!!Born in other state in the United States:!!25 to 34 years</t>
  </si>
  <si>
    <t>B23001_001</t>
  </si>
  <si>
    <t>B06001_030</t>
  </si>
  <si>
    <t>Sex by Age by Employment Status for the Population 16 Years and Over</t>
  </si>
  <si>
    <t>Estimate!!Total:!!Born in other state in the United States:!!35 to 44 years</t>
  </si>
  <si>
    <t>B23001</t>
  </si>
  <si>
    <t>B06001_031</t>
  </si>
  <si>
    <t>Estimate!!Total:!!Born in other state in the United States:!!45 to 54 years</t>
  </si>
  <si>
    <t>B06001_032</t>
  </si>
  <si>
    <t>B23003_001</t>
  </si>
  <si>
    <t>Estimate!!Total:!!Born in other state in the United States:!!55 to 59 years</t>
  </si>
  <si>
    <t>Presence of Own Children Under 18 Years by Age of Own Children Under 18 Years by Employment Status for Females 20 to 64 Years</t>
  </si>
  <si>
    <t>B06001_033</t>
  </si>
  <si>
    <t>B23003</t>
  </si>
  <si>
    <t>Estimate!!Total:!!Born in other state in the United States:!!60 and 61 years</t>
  </si>
  <si>
    <t>B06001_034</t>
  </si>
  <si>
    <t>Estimate!!Total:!!Born in other state in the United States:!!62 to 64 years</t>
  </si>
  <si>
    <t>B06001_035</t>
  </si>
  <si>
    <t>B23006_001</t>
  </si>
  <si>
    <t>Estimate!!Total:!!Born in other state in the United States:!!65 to 74 years</t>
  </si>
  <si>
    <t>Educational Attainment by Employment Status for the Population 25 to 64 Years</t>
  </si>
  <si>
    <t>B06001_036</t>
  </si>
  <si>
    <t>B23006</t>
  </si>
  <si>
    <t>Estimate!!Total:!!Born in other state in the United States:!!75 years and over</t>
  </si>
  <si>
    <t>education, economy, demographic</t>
  </si>
  <si>
    <t>B06001_037</t>
  </si>
  <si>
    <t>Estimate!!Total:!!Native; born outside the United States:</t>
  </si>
  <si>
    <t>B06001_038</t>
  </si>
  <si>
    <t>B23007_001</t>
  </si>
  <si>
    <t>Estimate!!Total:!!Native; born outside the United States:!!Under 5 years</t>
  </si>
  <si>
    <t>Presence of Own Children Under 18 Years by Family Type by Employment Status</t>
  </si>
  <si>
    <t>B06001_039</t>
  </si>
  <si>
    <t>B23007</t>
  </si>
  <si>
    <t>Estimate!!Total:!!Native; born outside the United States:!!5 to 17 years</t>
  </si>
  <si>
    <t>B06001_040</t>
  </si>
  <si>
    <t>Estimate!!Total:!!Native; born outside the United States:!!18 to 24 years</t>
  </si>
  <si>
    <t>B06001_041</t>
  </si>
  <si>
    <t>B23008_001</t>
  </si>
  <si>
    <t>Estimate!!Total:!!Native; born outside the United States:!!25 to 34 years</t>
  </si>
  <si>
    <t>B06001_042</t>
  </si>
  <si>
    <t>Age of Own Children Under 18 Years in Families and Subfamilies by Living Arrangements by Employment Status of Parents</t>
  </si>
  <si>
    <t>Estimate!!Total:!!Native; born outside the United States:!!35 to 44 years</t>
  </si>
  <si>
    <t>B23008</t>
  </si>
  <si>
    <t>B06001_043</t>
  </si>
  <si>
    <t>Estimate!!Total:!!Native; born outside the United States:!!45 to 54 years</t>
  </si>
  <si>
    <t>demographic, economy, income, housing</t>
  </si>
  <si>
    <t>B06001_044</t>
  </si>
  <si>
    <t>Estimate!!Total:!!Native; born outside the United States:!!55 to 59 years</t>
  </si>
  <si>
    <t>B06001_045</t>
  </si>
  <si>
    <t>B23009_001</t>
  </si>
  <si>
    <t>Estimate!!Total:!!Native; born outside the United States:!!60 and 61 years</t>
  </si>
  <si>
    <t>B06001_046</t>
  </si>
  <si>
    <t>Presence of Own Children Under 18 Years by Family Type by Number of Workers in Family in the Past 12 Months</t>
  </si>
  <si>
    <t>Estimate!!Total:!!Native; born outside the United States:!!62 to 64 years</t>
  </si>
  <si>
    <t>B23009</t>
  </si>
  <si>
    <t>B06001_047</t>
  </si>
  <si>
    <t>Estimate!!Total:!!Native; born outside the United States:!!65 to 74 years</t>
  </si>
  <si>
    <t>B06001_048</t>
  </si>
  <si>
    <t>Estimate!!Total:!!Native; born outside the United States:!!75 years and over</t>
  </si>
  <si>
    <t>B23010_001</t>
  </si>
  <si>
    <t>B06001_049</t>
  </si>
  <si>
    <t>Presence of Own Children Under 18 Years in Married-Couple Families by Work Experience of Householder and Spouse</t>
  </si>
  <si>
    <t>B23010</t>
  </si>
  <si>
    <t>B06001_050</t>
  </si>
  <si>
    <t>B06001_051</t>
  </si>
  <si>
    <t>B23013_001</t>
  </si>
  <si>
    <t>B06001_052</t>
  </si>
  <si>
    <t>Estimate!!Median age--!!Total:</t>
  </si>
  <si>
    <t>Median Age by Sex for Workers 16 to 64 Years</t>
  </si>
  <si>
    <t>B06001_053</t>
  </si>
  <si>
    <t>B23013</t>
  </si>
  <si>
    <t>B06001_054</t>
  </si>
  <si>
    <t>B06001_055</t>
  </si>
  <si>
    <t>B23018_001</t>
  </si>
  <si>
    <t>Estimate!!Aggregate usual hours:</t>
  </si>
  <si>
    <t>B06001_056</t>
  </si>
  <si>
    <t>Aggregate Usual Hours Worked in the Past 12 Months by Sex for Workers 16 to 64 Years</t>
  </si>
  <si>
    <t>B23018</t>
  </si>
  <si>
    <t>B06001_057</t>
  </si>
  <si>
    <t>B06001_058</t>
  </si>
  <si>
    <t>B23020_001</t>
  </si>
  <si>
    <t>B06001_059</t>
  </si>
  <si>
    <t>Estimate!!Mean usual hours--!!Total:</t>
  </si>
  <si>
    <t>Mean Usual Hours Worked in the Past 12 Months for Workers 16 to 64 Years</t>
  </si>
  <si>
    <t>B06001_060</t>
  </si>
  <si>
    <t>B23020</t>
  </si>
  <si>
    <t>B06002PR_002</t>
  </si>
  <si>
    <t>B23022_001</t>
  </si>
  <si>
    <t>Estimate!!Median age --!!Total:!!Born in Puerto Rico</t>
  </si>
  <si>
    <t>B06002PR_003</t>
  </si>
  <si>
    <t>Sex by Work Status in the Past 12 Months by Usual Hours Worked per Week in the Past 12 Months by Weeks Worked in the Past 12 Months for the Population 16 to 64 Years</t>
  </si>
  <si>
    <t>Estimate!!Median age --!!Total:!!Born in the United States</t>
  </si>
  <si>
    <t>B23022</t>
  </si>
  <si>
    <t>B06002PR_004</t>
  </si>
  <si>
    <t>Estimate!!Median age --!!Total:!!Native; born elsewhere</t>
  </si>
  <si>
    <t>B06002PR_005</t>
  </si>
  <si>
    <t>Estimate!!Median age --!!Total:!!Foreign born</t>
  </si>
  <si>
    <t>B23024_001</t>
  </si>
  <si>
    <t>Poverty Status in the Past 12 Months by Disability Status by Employment Status for the Population 20 to 64 Years</t>
  </si>
  <si>
    <t>B23024</t>
  </si>
  <si>
    <t>B06002_002</t>
  </si>
  <si>
    <t>Estimate!!Median age --!!Total:!!Born in state of residence</t>
  </si>
  <si>
    <t>B06002_003</t>
  </si>
  <si>
    <t>Estimate!!Median age --!!Total:!!Born in other state of the United States</t>
  </si>
  <si>
    <t>B06002_004</t>
  </si>
  <si>
    <t>Estimate!!Median age --!!Total:!!Native; born outside the United States</t>
  </si>
  <si>
    <t>B23025_001</t>
  </si>
  <si>
    <t>B06002_005</t>
  </si>
  <si>
    <t>B23025</t>
  </si>
  <si>
    <t>economy, human services</t>
  </si>
  <si>
    <t>B06003PR_002</t>
  </si>
  <si>
    <t>B06003PR_003</t>
  </si>
  <si>
    <t>B23026_001</t>
  </si>
  <si>
    <t>Sex by Work Status in the Past 12 Months by Usual Hours Worked per Week in the Past 12 Months by Weeks Worked in the Past 12 Months for the Population 65 Years and Over</t>
  </si>
  <si>
    <t>B06003PR_004</t>
  </si>
  <si>
    <t>B23026</t>
  </si>
  <si>
    <t>B06003PR_005</t>
  </si>
  <si>
    <t>Estimate!!Total:!!Born in Puerto Rico:!!Male</t>
  </si>
  <si>
    <t>B06003PR_006</t>
  </si>
  <si>
    <t>B23027_001</t>
  </si>
  <si>
    <t>Estimate!!Total:!!Born in Puerto Rico:!!Female</t>
  </si>
  <si>
    <t>B06003PR_007</t>
  </si>
  <si>
    <t>Full-Time, Year-Round Work Status in the Past 12 Months by Age for the Population 16 Years and Over</t>
  </si>
  <si>
    <t>B23027</t>
  </si>
  <si>
    <t>B06003PR_008</t>
  </si>
  <si>
    <t>Estimate!!Total:!!Born in the United States:!!Male</t>
  </si>
  <si>
    <t>B06003PR_009</t>
  </si>
  <si>
    <t>Estimate!!Total:!!Born in the United States:!!Female</t>
  </si>
  <si>
    <t>B06003PR_010</t>
  </si>
  <si>
    <t>B06003PR_011</t>
  </si>
  <si>
    <t>B24011_001</t>
  </si>
  <si>
    <t>Estimate!!Total:!!Native; born elsewhere:!!Male</t>
  </si>
  <si>
    <t>Occupation by Median Earnings in the Past 12 Months (in 2024 Inflation-Adjusted Dollars) for the Civilian Employed Population 16 Years and Over</t>
  </si>
  <si>
    <t>B06003PR_012</t>
  </si>
  <si>
    <t>B24011</t>
  </si>
  <si>
    <t>Estimate!!Total:!!Native; born elsewhere:!!Female</t>
  </si>
  <si>
    <t>B06003PR_013</t>
  </si>
  <si>
    <t>B06003PR_014</t>
  </si>
  <si>
    <t>Estimate!!Total:!!Foreign born:!!Male</t>
  </si>
  <si>
    <t>B24012_001</t>
  </si>
  <si>
    <t>B06003PR_015</t>
  </si>
  <si>
    <t>Sex by Occupation and Median Earnings in the Past 12 Months (in 2024 Inflation-Adjusted Dollars) for the Civilian Employed Population 16 Years and Over</t>
  </si>
  <si>
    <t>Estimate!!Total:!!Foreign born:!!Female</t>
  </si>
  <si>
    <t>B24012</t>
  </si>
  <si>
    <t>B06003_002</t>
  </si>
  <si>
    <t>B24021_001</t>
  </si>
  <si>
    <t>B06003_003</t>
  </si>
  <si>
    <t>Occupation by Median Earnings in the Past 12 Months (in 2024 Inflation-Adjusted Dollars) for the Full-Time, Year-Round Civilian Employed Population 16 Years and Over</t>
  </si>
  <si>
    <t>B06003_004</t>
  </si>
  <si>
    <t>B24021</t>
  </si>
  <si>
    <t>B06003_005</t>
  </si>
  <si>
    <t>Estimate!!Total:!!Born in state of residence:!!Male</t>
  </si>
  <si>
    <t>B06003_006</t>
  </si>
  <si>
    <t>B24022_001</t>
  </si>
  <si>
    <t>Estimate!!Total:!!Born in state of residence:!!Female</t>
  </si>
  <si>
    <t>B06003_007</t>
  </si>
  <si>
    <t>Sex by Occupation and Median Earnings in the Past 12 Months (in 2024 Inflation-Adjusted Dollars) for the Full-Time, Year-Round Civilian Employed Population 16 Years and Over</t>
  </si>
  <si>
    <t>B24022</t>
  </si>
  <si>
    <t>B06003_008</t>
  </si>
  <si>
    <t>Estimate!!Total:!!Born in other state in the United States:!!Male</t>
  </si>
  <si>
    <t>B06003_009</t>
  </si>
  <si>
    <t>Estimate!!Total:!!Born in other state in the United States:!!Female</t>
  </si>
  <si>
    <t>B06003_010</t>
  </si>
  <si>
    <t>B24031_001</t>
  </si>
  <si>
    <t>B06003_011</t>
  </si>
  <si>
    <t>Estimate!!Total:!!Native; born outside the United States:!!Male</t>
  </si>
  <si>
    <t>Industry by Median Earnings in the Past 12 Months (in 2024 Inflation-Adjusted Dollars) for the Civilian Employed Population 16 Years and Over</t>
  </si>
  <si>
    <t>B24031</t>
  </si>
  <si>
    <t>B06003_012</t>
  </si>
  <si>
    <t>Estimate!!Total:!!Native; born outside the United States:!!Female</t>
  </si>
  <si>
    <t>B06003_013</t>
  </si>
  <si>
    <t>B24032_001</t>
  </si>
  <si>
    <t>B06003_014</t>
  </si>
  <si>
    <t>Estimate!!Male:</t>
  </si>
  <si>
    <t>Sex by Industry and Median Earnings in the Past 12 Months (in 2024 Inflation-Adjusted Dollars) for the Civilian Employed Population 16 Years and Over</t>
  </si>
  <si>
    <t>B06003_015</t>
  </si>
  <si>
    <t>B24032</t>
  </si>
  <si>
    <t>B06004APR_002</t>
  </si>
  <si>
    <t>B24041_001</t>
  </si>
  <si>
    <t>Estimate!!Total:!!Born in Puerto Rico</t>
  </si>
  <si>
    <t>Industry by Median Earnings in the Past 12 Months (in 2024 Inflation-Adjusted Dollars) for the Full-Time, Year-Round Civilian Employed Population 16 Years and Over</t>
  </si>
  <si>
    <t>B06004APR_003</t>
  </si>
  <si>
    <t>B24041</t>
  </si>
  <si>
    <t>Estimate!!Total:!!Born in the United States</t>
  </si>
  <si>
    <t>B06004APR_004</t>
  </si>
  <si>
    <t>Estimate!!Total:!!Native; born elsewhere</t>
  </si>
  <si>
    <t>B06004APR_005</t>
  </si>
  <si>
    <t>Estimate!!Total:!!Foreign born</t>
  </si>
  <si>
    <t>B24042_001</t>
  </si>
  <si>
    <t>B06004A_002</t>
  </si>
  <si>
    <t>Estimate!!Total:!!Born in state of residence</t>
  </si>
  <si>
    <t>B06004A_003</t>
  </si>
  <si>
    <t>Estimate!!Total:!!Born in other state in the United States</t>
  </si>
  <si>
    <t>B06004A_004</t>
  </si>
  <si>
    <t>Estimate!!Total:!!Native; born outside the United States</t>
  </si>
  <si>
    <t>B06004A_005</t>
  </si>
  <si>
    <t>Sex by Industry and Median Earnings in the Past 12 Months (in 2024 Inflation-Adjusted Dollars) for the Full-Time, Year-Round Civilian Employed Population 16 Years and Over</t>
  </si>
  <si>
    <t>B24042</t>
  </si>
  <si>
    <t>B24080_001</t>
  </si>
  <si>
    <t>B06004BPR_002</t>
  </si>
  <si>
    <t>Sex by Class of Worker for the Civilian Employed Population 16 Years and Over</t>
  </si>
  <si>
    <t>B24080</t>
  </si>
  <si>
    <t>B06004BPR_003</t>
  </si>
  <si>
    <t>B06004BPR_004</t>
  </si>
  <si>
    <t>B06004BPR_005</t>
  </si>
  <si>
    <t>B24081_001</t>
  </si>
  <si>
    <t>Class of Worker by Median Earnings in the Past 12 Months (in 2024 Inflation-Adjusted Dollars) for the Civilian Employed Population 16 Years and Over</t>
  </si>
  <si>
    <t>B24081</t>
  </si>
  <si>
    <t>B06004B_002</t>
  </si>
  <si>
    <t>economy, income, demographic</t>
  </si>
  <si>
    <t>B06004B_003</t>
  </si>
  <si>
    <t>B24082_001</t>
  </si>
  <si>
    <t>B06004B_004</t>
  </si>
  <si>
    <t>Sex by Class of Worker and Median Earnings in the Past 12 Months (in 2024 Inflation-Adjusted Dollars) for the Civilian Employed Population 16 Years and Over</t>
  </si>
  <si>
    <t>B24082</t>
  </si>
  <si>
    <t>B06004B_005</t>
  </si>
  <si>
    <t>B06004CPR_002</t>
  </si>
  <si>
    <t>B24090_001</t>
  </si>
  <si>
    <t>B06004CPR_003</t>
  </si>
  <si>
    <t>Sex by Class of Worker for the Full-Time, Year-Round Civilian Employed Population 16 Years and Over</t>
  </si>
  <si>
    <t>B24090</t>
  </si>
  <si>
    <t>B06004CPR_004</t>
  </si>
  <si>
    <t>B06004CPR_005</t>
  </si>
  <si>
    <t>B24091_001</t>
  </si>
  <si>
    <t>B06004C_002</t>
  </si>
  <si>
    <t>Class of Worker by Median Earnings in the Past 12 Months (in 2024 Inflation-Adjusted Dollars) for the Full-Time, Year-Round Civilian Employed Population 16 Years and Over</t>
  </si>
  <si>
    <t>B24091</t>
  </si>
  <si>
    <t>B06004C_003</t>
  </si>
  <si>
    <t>B06004C_004</t>
  </si>
  <si>
    <t>B06004C_005</t>
  </si>
  <si>
    <t>B24092_001</t>
  </si>
  <si>
    <t>Sex by Class of Worker and Median Earnings in the Past 12 Months (in 2024 Inflation-Adjusted Dollars) for the Full-Time, Year-Round Civilian Employed Population 16 Years and Over</t>
  </si>
  <si>
    <t>B24092</t>
  </si>
  <si>
    <t>B06004DPR_002</t>
  </si>
  <si>
    <t>B06004DPR_003</t>
  </si>
  <si>
    <t>B06004DPR_004</t>
  </si>
  <si>
    <t>B24114_001</t>
  </si>
  <si>
    <t>B06004DPR_005</t>
  </si>
  <si>
    <t>Detailed Occupation for the Civilian Employed Population 16 Years and Over</t>
  </si>
  <si>
    <t>B24114</t>
  </si>
  <si>
    <t>B06004D_002</t>
  </si>
  <si>
    <t>B06004D_003</t>
  </si>
  <si>
    <t>B24115_001</t>
  </si>
  <si>
    <t>B06004D_004</t>
  </si>
  <si>
    <t>Detailed Occupation for the Civilian Employed Male Population 16 Years and Over</t>
  </si>
  <si>
    <t>B24115</t>
  </si>
  <si>
    <t>B06004D_005</t>
  </si>
  <si>
    <t>B06004EPR_002</t>
  </si>
  <si>
    <t>B24116_001</t>
  </si>
  <si>
    <t>B06004EPR_003</t>
  </si>
  <si>
    <t>Detailed Occupation for the Civilian Employed Female Population 16 Years and Over</t>
  </si>
  <si>
    <t>B24116</t>
  </si>
  <si>
    <t>B06004EPR_004</t>
  </si>
  <si>
    <t>B06004EPR_005</t>
  </si>
  <si>
    <t>B24121_001</t>
  </si>
  <si>
    <t>B06004E_002</t>
  </si>
  <si>
    <t>Detailed Occupation by Median Earnings in the Past 12 Months (in 2024 Inflation-Adjusted Dollars) for the Full-Time, Year-Round Civilian Employed Population 16 Years and Over</t>
  </si>
  <si>
    <t>B24121</t>
  </si>
  <si>
    <t>B06004E_003</t>
  </si>
  <si>
    <t>B06004E_004</t>
  </si>
  <si>
    <t>B06004E_005</t>
  </si>
  <si>
    <t>B24122_001</t>
  </si>
  <si>
    <t>Detailed Occupation by Median Earnings in the Past 12 Months (in 2024 Inflation-Adjusted Dollars) for the Full-Time, Year-Round Civilian Employed Male Population 16 Years and Over</t>
  </si>
  <si>
    <t>B24122</t>
  </si>
  <si>
    <t>B06004FPR_002</t>
  </si>
  <si>
    <t>B06004FPR_003</t>
  </si>
  <si>
    <t>B24123_001</t>
  </si>
  <si>
    <t>B06004FPR_004</t>
  </si>
  <si>
    <t>Detailed Occupation by Median Earnings in the Past 12 Months (in 2024 Inflation-Adjusted Dollars) for the Full-Time, Year-Round Civilian Employed Female Population 16 Years and Over</t>
  </si>
  <si>
    <t>B24123</t>
  </si>
  <si>
    <t>B06004FPR_005</t>
  </si>
  <si>
    <t>B24124_001</t>
  </si>
  <si>
    <t>Detailed Occupation for the Full-Time, Year-Round Civilian Employed Population 16 Years and Over</t>
  </si>
  <si>
    <t>B06004F_002</t>
  </si>
  <si>
    <t>B24124</t>
  </si>
  <si>
    <t>B06004F_003</t>
  </si>
  <si>
    <t>B06004F_004</t>
  </si>
  <si>
    <t>B24125_001</t>
  </si>
  <si>
    <t>B06004F_005</t>
  </si>
  <si>
    <t>Detailed Occupation for the Full-Time, Year-Round Civilian Employed Male Population 16 Years and Over</t>
  </si>
  <si>
    <t>B24125</t>
  </si>
  <si>
    <t>B06004GPR_002</t>
  </si>
  <si>
    <t>B24126_001</t>
  </si>
  <si>
    <t>B06004GPR_003</t>
  </si>
  <si>
    <t>Detailed Occupation for the Full-Time, Year-Round Civilian Employed Female Population 16 Years and Over</t>
  </si>
  <si>
    <t>B24126</t>
  </si>
  <si>
    <t>B06004GPR_004</t>
  </si>
  <si>
    <t>B06004GPR_005</t>
  </si>
  <si>
    <t>B24134_001</t>
  </si>
  <si>
    <t>Detailed Industry for the Civilian Employed Population 16 Years and Over</t>
  </si>
  <si>
    <t>B06004G_002</t>
  </si>
  <si>
    <t>B24134</t>
  </si>
  <si>
    <t>B06004G_003</t>
  </si>
  <si>
    <t>B06004G_004</t>
  </si>
  <si>
    <t>B24135_001</t>
  </si>
  <si>
    <t>B06004G_005</t>
  </si>
  <si>
    <t>Detailed Industry for the Civilian Employed Male Population 16 Years and Over</t>
  </si>
  <si>
    <t>B24135</t>
  </si>
  <si>
    <t>B06004HPR_002</t>
  </si>
  <si>
    <t>B06004HPR_003</t>
  </si>
  <si>
    <t>B24136_001</t>
  </si>
  <si>
    <t>B06004HPR_004</t>
  </si>
  <si>
    <t>Detailed Industry for the Civilian Employed Female Population 16 Years and Over</t>
  </si>
  <si>
    <t>B24136</t>
  </si>
  <si>
    <t>B06004HPR_005</t>
  </si>
  <si>
    <t>B06004H_002</t>
  </si>
  <si>
    <t>B25001_001</t>
  </si>
  <si>
    <t>B06004H_003</t>
  </si>
  <si>
    <t>B25001</t>
  </si>
  <si>
    <t>B06004H_004</t>
  </si>
  <si>
    <t>B06004H_005</t>
  </si>
  <si>
    <t>B25002_001</t>
  </si>
  <si>
    <t>Occupancy Status</t>
  </si>
  <si>
    <t>B25002</t>
  </si>
  <si>
    <t>B06004IPR_002</t>
  </si>
  <si>
    <t>B06004IPR_003</t>
  </si>
  <si>
    <t>B06004IPR_004</t>
  </si>
  <si>
    <t>B25003_001</t>
  </si>
  <si>
    <t>B06004IPR_005</t>
  </si>
  <si>
    <t>B25003</t>
  </si>
  <si>
    <t>B06004I_002</t>
  </si>
  <si>
    <t>B25003A_001</t>
  </si>
  <si>
    <t>B06004I_003</t>
  </si>
  <si>
    <t>Tenure (White Alone Householder)</t>
  </si>
  <si>
    <t>B25003A</t>
  </si>
  <si>
    <t>B06004I_004</t>
  </si>
  <si>
    <t>B06004I_005</t>
  </si>
  <si>
    <t>B25003B_001</t>
  </si>
  <si>
    <t>Tenure (Black or African American Alone Householder)</t>
  </si>
  <si>
    <t>B25003B</t>
  </si>
  <si>
    <t>B06007PR_002</t>
  </si>
  <si>
    <t>Estimate!!Total:!!Speak only English</t>
  </si>
  <si>
    <t>B06007PR_003</t>
  </si>
  <si>
    <t>Estimate!!Total:!!Speak Spanish:</t>
  </si>
  <si>
    <t>B25003C_001</t>
  </si>
  <si>
    <t>Tenure (American Indian and Alaska Native Alone Householder)</t>
  </si>
  <si>
    <t>B06007PR_004</t>
  </si>
  <si>
    <t>B25003C</t>
  </si>
  <si>
    <t>Estimate!!Total:!!Speak Spanish:!!Speak English "very well"</t>
  </si>
  <si>
    <t>B06007PR_005</t>
  </si>
  <si>
    <t>Estimate!!Total:!!Speak Spanish:!!Speak English less than "very well"</t>
  </si>
  <si>
    <t>B06007PR_006</t>
  </si>
  <si>
    <t>Estimate!!Total:!!Speak other languages:</t>
  </si>
  <si>
    <t>B06007PR_007</t>
  </si>
  <si>
    <t>Estimate!!Total:!!Speak other languages:!!Speak English "very well"</t>
  </si>
  <si>
    <t>B06007PR_008</t>
  </si>
  <si>
    <t>Estimate!!Total:!!Speak other languages:!!Speak English less than "very well"</t>
  </si>
  <si>
    <t>B06007PR_009</t>
  </si>
  <si>
    <t>B06007PR_010</t>
  </si>
  <si>
    <t>Estimate!!Total:!!Born in Puerto Rico:!!Speak only English</t>
  </si>
  <si>
    <t>B06007PR_011</t>
  </si>
  <si>
    <t>Estimate!!Total:!!Born in Puerto Rico:!!Speak Spanish:</t>
  </si>
  <si>
    <t>B06007PR_012</t>
  </si>
  <si>
    <t>Estimate!!Total:!!Born in Puerto Rico:!!Speak Spanish:!!Speak English "very well"</t>
  </si>
  <si>
    <t>B06007PR_013</t>
  </si>
  <si>
    <t>Estimate!!Total:!!Born in Puerto Rico:!!Speak Spanish:!!Speak English less than "very well"</t>
  </si>
  <si>
    <t>B06007PR_014</t>
  </si>
  <si>
    <t>Estimate!!Total:!!Born in Puerto Rico:!!Speak other languages:</t>
  </si>
  <si>
    <t>B06007PR_015</t>
  </si>
  <si>
    <t>Estimate!!Total:!!Born in Puerto Rico:!!Speak other languages:!!Speak English "very well"</t>
  </si>
  <si>
    <t>B06007PR_016</t>
  </si>
  <si>
    <t>Estimate!!Total:!!Born in Puerto Rico:!!Speak other languages:!!Speak English less than "very well"</t>
  </si>
  <si>
    <t>B25003D_001</t>
  </si>
  <si>
    <t>B06007PR_017</t>
  </si>
  <si>
    <t>Tenure (Asian Alone Householder)</t>
  </si>
  <si>
    <t>B06007PR_018</t>
  </si>
  <si>
    <t>B25003D</t>
  </si>
  <si>
    <t>Estimate!!Total:!!Born in the United States:!!Speak only English</t>
  </si>
  <si>
    <t>B06007PR_019</t>
  </si>
  <si>
    <t>Estimate!!Total:!!Born in the United States:!!Speak Spanish:</t>
  </si>
  <si>
    <t>B06007PR_020</t>
  </si>
  <si>
    <t>B25003E_001</t>
  </si>
  <si>
    <t>Estimate!!Total:!!Born in the United States:!!Speak Spanish:!!Speak English "very well"</t>
  </si>
  <si>
    <t>Tenure (Native Hawaiian and Other Pacific Islander Alone Householder)</t>
  </si>
  <si>
    <t>B06007PR_021</t>
  </si>
  <si>
    <t>B25003E</t>
  </si>
  <si>
    <t>Estimate!!Total:!!Born in the United States:!!Speak Spanish:!!Speak English less than "very well"</t>
  </si>
  <si>
    <t>B06007PR_022</t>
  </si>
  <si>
    <t>Estimate!!Total:!!Born in the United States:!!Speak other languages:</t>
  </si>
  <si>
    <t>B06007PR_023</t>
  </si>
  <si>
    <t>B25003F_001</t>
  </si>
  <si>
    <t>Estimate!!Total:!!Born in the United States:!!Speak other languages:!!Speak English "very well"</t>
  </si>
  <si>
    <t>Tenure (Some Other Race Alone Householder)</t>
  </si>
  <si>
    <t>B06007PR_024</t>
  </si>
  <si>
    <t>B25003F</t>
  </si>
  <si>
    <t>Estimate!!Total:!!Born in the United States:!!Speak other languages:!!Speak English less than "very well"</t>
  </si>
  <si>
    <t>B06007PR_025</t>
  </si>
  <si>
    <t>B06007PR_026</t>
  </si>
  <si>
    <t>Estimate!!Total:!!Native; born elsewhere:!!Speak only English</t>
  </si>
  <si>
    <t>B25003G_001</t>
  </si>
  <si>
    <t>B06007PR_027</t>
  </si>
  <si>
    <t>Estimate!!Total:!!Native; born elsewhere:!!Speak Spanish:</t>
  </si>
  <si>
    <t>Tenure (Two or More Races Householder)</t>
  </si>
  <si>
    <t>B25003G</t>
  </si>
  <si>
    <t>B06007PR_028</t>
  </si>
  <si>
    <t>Estimate!!Total:!!Native; born elsewhere:!!Speak Spanish:!!Speak English "very well"</t>
  </si>
  <si>
    <t>B06007PR_029</t>
  </si>
  <si>
    <t>Estimate!!Total:!!Native; born elsewhere:!!Speak Spanish:!!Speak English less than "very well"</t>
  </si>
  <si>
    <t>B25003H_001</t>
  </si>
  <si>
    <t>B06007PR_030</t>
  </si>
  <si>
    <t>Estimate!!Total:!!Native; born elsewhere:!!Speak other languages:</t>
  </si>
  <si>
    <t>Tenure (White Alone, Not Hispanic or Latino Householder)</t>
  </si>
  <si>
    <t>B25003H</t>
  </si>
  <si>
    <t>B06007PR_031</t>
  </si>
  <si>
    <t>Estimate!!Total:!!Native; born elsewhere:!!Speak other languages:!!Speak English "very well"</t>
  </si>
  <si>
    <t>B06007PR_032</t>
  </si>
  <si>
    <t>Estimate!!Total:!!Native; born elsewhere:!!Speak other languages:!!Speak English less than "very well"</t>
  </si>
  <si>
    <t>B25003I_001</t>
  </si>
  <si>
    <t>B06007PR_033</t>
  </si>
  <si>
    <t>Tenure (Hispanic or Latino Householder)</t>
  </si>
  <si>
    <t>B25003I</t>
  </si>
  <si>
    <t>B06007PR_034</t>
  </si>
  <si>
    <t>Estimate!!Total:!!Foreign born:!!Speak only English</t>
  </si>
  <si>
    <t>B06007PR_035</t>
  </si>
  <si>
    <t>Estimate!!Total:!!Foreign born:!!Speak Spanish:</t>
  </si>
  <si>
    <t>B25004_001</t>
  </si>
  <si>
    <t>B06007PR_036</t>
  </si>
  <si>
    <t>Estimate!!Total:!!Foreign born:!!Speak Spanish:!!Speak English "very well"</t>
  </si>
  <si>
    <t>Vacancy Status</t>
  </si>
  <si>
    <t>B25004</t>
  </si>
  <si>
    <t>B06007PR_037</t>
  </si>
  <si>
    <t>Estimate!!Total:!!Foreign born:!!Speak Spanish:!!Speak English less than "very well"</t>
  </si>
  <si>
    <t>B06007PR_038</t>
  </si>
  <si>
    <t>Estimate!!Total:!!Foreign born:!!Speak other languages:</t>
  </si>
  <si>
    <t>B25005_001</t>
  </si>
  <si>
    <t>B06007PR_039</t>
  </si>
  <si>
    <t>Estimate!!Total:!!Foreign born:!!Speak other languages:!!Speak English "very well"</t>
  </si>
  <si>
    <t>Vacant - Current Residence Elsewhere</t>
  </si>
  <si>
    <t>B06007PR_040</t>
  </si>
  <si>
    <t>B25005</t>
  </si>
  <si>
    <t>Estimate!!Total:!!Foreign born:!!Speak other languages:!!Speak English less than "very well"</t>
  </si>
  <si>
    <t>B06007_002</t>
  </si>
  <si>
    <t>B25006_001</t>
  </si>
  <si>
    <t>Race of Householder</t>
  </si>
  <si>
    <t>B06007_003</t>
  </si>
  <si>
    <t>B25006</t>
  </si>
  <si>
    <t>B06007_004</t>
  </si>
  <si>
    <t>B06007_005</t>
  </si>
  <si>
    <t>B25007_001</t>
  </si>
  <si>
    <t>B06007_006</t>
  </si>
  <si>
    <t>Tenure by Age of Householder</t>
  </si>
  <si>
    <t>B25007</t>
  </si>
  <si>
    <t>B06007_007</t>
  </si>
  <si>
    <t>B06007_008</t>
  </si>
  <si>
    <t>B25008_001</t>
  </si>
  <si>
    <t>B06007_009</t>
  </si>
  <si>
    <t>B25008</t>
  </si>
  <si>
    <t>B06007_010</t>
  </si>
  <si>
    <t>Estimate!!Total:!!Born in state of residence:!!Speak only English</t>
  </si>
  <si>
    <t>B06007_011</t>
  </si>
  <si>
    <t>Estimate!!Total:!!Born in state of residence:!!Speak Spanish:</t>
  </si>
  <si>
    <t>B06007_012</t>
  </si>
  <si>
    <t>B25008A_001</t>
  </si>
  <si>
    <t>Estimate!!Total:!!Born in state of residence:!!Speak Spanish:!!Speak English "very well"</t>
  </si>
  <si>
    <t>Total Population in Occupied Housing Units by Tenure (White Alone Householder)</t>
  </si>
  <si>
    <t>B06007_013</t>
  </si>
  <si>
    <t>B25008A</t>
  </si>
  <si>
    <t>Estimate!!Total:!!Born in state of residence:!!Speak Spanish:!!Speak English less than "very well"</t>
  </si>
  <si>
    <t>B06007_014</t>
  </si>
  <si>
    <t>Estimate!!Total:!!Born in state of residence:!!Speak other languages:</t>
  </si>
  <si>
    <t>B06007_015</t>
  </si>
  <si>
    <t>B25008B_001</t>
  </si>
  <si>
    <t>Estimate!!Total:!!Born in state of residence:!!Speak other languages:!!Speak English "very well"</t>
  </si>
  <si>
    <t>Total Population in Occupied Housing Units by Tenure (Black or African American Alone Householder)</t>
  </si>
  <si>
    <t>B06007_016</t>
  </si>
  <si>
    <t>B25008B</t>
  </si>
  <si>
    <t>Estimate!!Total:!!Born in state of residence:!!Speak other languages:!!Speak English less than "very well"</t>
  </si>
  <si>
    <t>B06007_017</t>
  </si>
  <si>
    <t>B06007_018</t>
  </si>
  <si>
    <t>B25008C_001</t>
  </si>
  <si>
    <t>Estimate!!Total:!!Born in other state in the United States:!!Speak only English</t>
  </si>
  <si>
    <t>Total Population in Occupied Housing Units by Tenure (American Indian and Alaska Native Alone Householder)</t>
  </si>
  <si>
    <t>B06007_019</t>
  </si>
  <si>
    <t>B25008C</t>
  </si>
  <si>
    <t>Estimate!!Total:!!Born in other state in the United States:!!Speak Spanish:</t>
  </si>
  <si>
    <t>B06007_020</t>
  </si>
  <si>
    <t>Estimate!!Total:!!Born in other state in the United States:!!Speak Spanish:!!Speak English "very well"</t>
  </si>
  <si>
    <t>B06007_021</t>
  </si>
  <si>
    <t>B25008D_001</t>
  </si>
  <si>
    <t>Estimate!!Total:!!Born in other state in the United States:!!Speak Spanish:!!Speak English less than "very well"</t>
  </si>
  <si>
    <t>Total Population in Occupied Housing Units by Tenure (Asian Alone Householder)</t>
  </si>
  <si>
    <t>B25008D</t>
  </si>
  <si>
    <t>B06007_022</t>
  </si>
  <si>
    <t>Estimate!!Total:!!Born in other state in the United States:!!Speak other languages:</t>
  </si>
  <si>
    <t>B06007_023</t>
  </si>
  <si>
    <t>Estimate!!Total:!!Born in other state in the United States:!!Speak other languages:!!Speak English "very well"</t>
  </si>
  <si>
    <t>B25008E_001</t>
  </si>
  <si>
    <t>B06007_024</t>
  </si>
  <si>
    <t>Estimate!!Total:!!Born in other state in the United States:!!Speak other languages:!!Speak English less than "very well"</t>
  </si>
  <si>
    <t>Total Population in Occupied Housing Units by Tenure (Native Hawaiian and Other Pacific Islander Alone Householder)</t>
  </si>
  <si>
    <t>B25008E</t>
  </si>
  <si>
    <t>B06007_025</t>
  </si>
  <si>
    <t>B06007_026</t>
  </si>
  <si>
    <t>Estimate!!Total:!!Native; born outside the United States:!!Speak only English</t>
  </si>
  <si>
    <t>B25008F_001</t>
  </si>
  <si>
    <t>B06007_027</t>
  </si>
  <si>
    <t>Total Population in Occupied Housing Units by Tenure (Some Other Race Alone Householder)</t>
  </si>
  <si>
    <t>Estimate!!Total:!!Native; born outside the United States:!!Speak Spanish:</t>
  </si>
  <si>
    <t>B25008F</t>
  </si>
  <si>
    <t>B06007_028</t>
  </si>
  <si>
    <t>Estimate!!Total:!!Native; born outside the United States:!!Speak Spanish:!!Speak English "very well"</t>
  </si>
  <si>
    <t>B06007_029</t>
  </si>
  <si>
    <t>Estimate!!Total:!!Native; born outside the United States:!!Speak Spanish:!!Speak English less than "very well"</t>
  </si>
  <si>
    <t>B25008G_001</t>
  </si>
  <si>
    <t>B06007_030</t>
  </si>
  <si>
    <t>Total Population in Occupied Housing Units by Tenure (Two or More Races Householder)</t>
  </si>
  <si>
    <t>Estimate!!Total:!!Native; born outside the United States:!!Speak other languages:</t>
  </si>
  <si>
    <t>B25008G</t>
  </si>
  <si>
    <t>B06007_031</t>
  </si>
  <si>
    <t>Estimate!!Total:!!Native; born outside the United States:!!Speak other languages:!!Speak English "very well"</t>
  </si>
  <si>
    <t>B06007_032</t>
  </si>
  <si>
    <t>Estimate!!Total:!!Native; born outside the United States:!!Speak other languages:!!Speak English less than "very well"</t>
  </si>
  <si>
    <t>B25008H_001</t>
  </si>
  <si>
    <t>B06007_033</t>
  </si>
  <si>
    <t>Total Population in Occupied Housing Units by Tenure (White Alone, Not Hispanic or Latino Householder)</t>
  </si>
  <si>
    <t>B06007_034</t>
  </si>
  <si>
    <t>B25008H</t>
  </si>
  <si>
    <t>B06007_035</t>
  </si>
  <si>
    <t>B25008I_001</t>
  </si>
  <si>
    <t>B06007_036</t>
  </si>
  <si>
    <t>Total Population in Occupied Housing Units by Tenure (Hispanic or Latino Householder)</t>
  </si>
  <si>
    <t>B25008I</t>
  </si>
  <si>
    <t>B06007_037</t>
  </si>
  <si>
    <t>B06007_038</t>
  </si>
  <si>
    <t>B25009_001</t>
  </si>
  <si>
    <t>B06007_039</t>
  </si>
  <si>
    <t>Tenure by Household Size</t>
  </si>
  <si>
    <t>B25009</t>
  </si>
  <si>
    <t>B06007_040</t>
  </si>
  <si>
    <t>B25010_001</t>
  </si>
  <si>
    <t>Estimate!!Average household size --!!Total:</t>
  </si>
  <si>
    <t>B06008PR_002</t>
  </si>
  <si>
    <t>Estimate!!Total:!!Never married</t>
  </si>
  <si>
    <t>Average Household Size of Occupied Housing Units by Tenure</t>
  </si>
  <si>
    <t>B25010</t>
  </si>
  <si>
    <t>B06008PR_003</t>
  </si>
  <si>
    <t>Estimate!!Total:!!Now married, except separated</t>
  </si>
  <si>
    <t>B06008PR_004</t>
  </si>
  <si>
    <t>Estimate!!Total:!!Divorced</t>
  </si>
  <si>
    <t>B25010A_001</t>
  </si>
  <si>
    <t>B06008PR_005</t>
  </si>
  <si>
    <t>Average Household Size of Occupied Housing Units by Tenure (White Alone Householder)</t>
  </si>
  <si>
    <t>Estimate!!Total:!!Separated</t>
  </si>
  <si>
    <t>B25010A</t>
  </si>
  <si>
    <t>B06008PR_006</t>
  </si>
  <si>
    <t>Estimate!!Total:!!Widowed</t>
  </si>
  <si>
    <t>B06008PR_007</t>
  </si>
  <si>
    <t>B25010B_001</t>
  </si>
  <si>
    <t>Average Household Size of Occupied Housing Units by Tenure (Black or African American Alone Householder)</t>
  </si>
  <si>
    <t>B06008PR_008</t>
  </si>
  <si>
    <t>B25010B</t>
  </si>
  <si>
    <t>Estimate!!Total:!!Born in Puerto Rico:!!Never married</t>
  </si>
  <si>
    <t>B06008PR_009</t>
  </si>
  <si>
    <t>Estimate!!Total:!!Born in Puerto Rico:!!Now married, except separated</t>
  </si>
  <si>
    <t>B06008PR_010</t>
  </si>
  <si>
    <t>B25010C_001</t>
  </si>
  <si>
    <t>Estimate!!Total:!!Born in Puerto Rico:!!Divorced</t>
  </si>
  <si>
    <t>Average Household Size of Occupied Housing Units by Tenure (American Indian and Alaska Native Alone Householder)</t>
  </si>
  <si>
    <t>B06008PR_011</t>
  </si>
  <si>
    <t>B25010C</t>
  </si>
  <si>
    <t>Estimate!!Total:!!Born in Puerto Rico:!!Separated</t>
  </si>
  <si>
    <t>B06008PR_012</t>
  </si>
  <si>
    <t>Estimate!!Total:!!Born in Puerto Rico:!!Widowed</t>
  </si>
  <si>
    <t>B06008PR_013</t>
  </si>
  <si>
    <t>B25010D_001</t>
  </si>
  <si>
    <t>Average Household Size of Occupied Housing Units by Tenure (Asian Alone Householder)</t>
  </si>
  <si>
    <t>B06008PR_014</t>
  </si>
  <si>
    <t>B25010D</t>
  </si>
  <si>
    <t>Estimate!!Total:!!Born in the United States:!!Never married</t>
  </si>
  <si>
    <t>B06008PR_015</t>
  </si>
  <si>
    <t>Estimate!!Total:!!Born in the United States:!!Now married, except separated</t>
  </si>
  <si>
    <t>B06008PR_016</t>
  </si>
  <si>
    <t>Estimate!!Total:!!Born in the United States:!!Divorced</t>
  </si>
  <si>
    <t>B25010E_001</t>
  </si>
  <si>
    <t>B06008PR_017</t>
  </si>
  <si>
    <t>Estimate!!Total:!!Born in the United States:!!Separated</t>
  </si>
  <si>
    <t>Average Household Size of Occupied Housing Units by Tenure (Native Hawaiian and Other Pacific Islander Alone Householder)</t>
  </si>
  <si>
    <t>B25010E</t>
  </si>
  <si>
    <t>B06008PR_018</t>
  </si>
  <si>
    <t>Estimate!!Total:!!Born in the United States:!!Widowed</t>
  </si>
  <si>
    <t>B06008PR_019</t>
  </si>
  <si>
    <t>B25010F_001</t>
  </si>
  <si>
    <t>B06008PR_020</t>
  </si>
  <si>
    <t>Estimate!!Total:!!Native; born elsewhere:!!Never married</t>
  </si>
  <si>
    <t>Average Household Size of Occupied Housing Units by Tenure (Some Other Race Alone Householder)</t>
  </si>
  <si>
    <t>B25010F</t>
  </si>
  <si>
    <t>B06008PR_021</t>
  </si>
  <si>
    <t>Estimate!!Total:!!Native; born elsewhere:!!Now married, except separated</t>
  </si>
  <si>
    <t>B06008PR_022</t>
  </si>
  <si>
    <t>Estimate!!Total:!!Native; born elsewhere:!!Divorced</t>
  </si>
  <si>
    <t>B25010G_001</t>
  </si>
  <si>
    <t>B06008PR_023</t>
  </si>
  <si>
    <t>Estimate!!Total:!!Native; born elsewhere:!!Separated</t>
  </si>
  <si>
    <t>Average Household Size of Occupied Housing Units by Tenure (Two or More Races Householder)</t>
  </si>
  <si>
    <t>B25010G</t>
  </si>
  <si>
    <t>B06008PR_024</t>
  </si>
  <si>
    <t>Estimate!!Total:!!Native; born elsewhere:!!Widowed</t>
  </si>
  <si>
    <t>B06008PR_025</t>
  </si>
  <si>
    <t>B06008PR_026</t>
  </si>
  <si>
    <t>Estimate!!Total:!!Foreign born:!!Never married</t>
  </si>
  <si>
    <t>B06008PR_027</t>
  </si>
  <si>
    <t>Estimate!!Total:!!Foreign born:!!Now married, except separated</t>
  </si>
  <si>
    <t>B06008PR_028</t>
  </si>
  <si>
    <t>Estimate!!Total:!!Foreign born:!!Divorced</t>
  </si>
  <si>
    <t>B06008PR_029</t>
  </si>
  <si>
    <t>Estimate!!Total:!!Foreign born:!!Separated</t>
  </si>
  <si>
    <t>B06008PR_030</t>
  </si>
  <si>
    <t>Estimate!!Total:!!Foreign born:!!Widowed</t>
  </si>
  <si>
    <t>B06008_002</t>
  </si>
  <si>
    <t>B06008_003</t>
  </si>
  <si>
    <t>B06008_004</t>
  </si>
  <si>
    <t>B25010H_001</t>
  </si>
  <si>
    <t>B06008_005</t>
  </si>
  <si>
    <t>Average Household Size of Occupied Housing Units by Tenure (White Alone, Not Hispanic or Latino Householder)</t>
  </si>
  <si>
    <t>B06008_006</t>
  </si>
  <si>
    <t>B25010H</t>
  </si>
  <si>
    <t>B06008_007</t>
  </si>
  <si>
    <t>B06008_008</t>
  </si>
  <si>
    <t>Estimate!!Total:!!Born in state of residence:!!Never married</t>
  </si>
  <si>
    <t>B06008_009</t>
  </si>
  <si>
    <t>Estimate!!Total:!!Born in state of residence:!!Now married, except separated</t>
  </si>
  <si>
    <t>B06008_010</t>
  </si>
  <si>
    <t>B25010I_001</t>
  </si>
  <si>
    <t>Estimate!!Total:!!Born in state of residence:!!Divorced</t>
  </si>
  <si>
    <t>Average Household Size of Occupied Housing Units by Tenure (Hispanic or Latino Householder)</t>
  </si>
  <si>
    <t>B06008_011</t>
  </si>
  <si>
    <t>B25010I</t>
  </si>
  <si>
    <t>Estimate!!Total:!!Born in state of residence:!!Separated</t>
  </si>
  <si>
    <t>B06008_012</t>
  </si>
  <si>
    <t>Estimate!!Total:!!Born in state of residence:!!Widowed</t>
  </si>
  <si>
    <t>B06008_013</t>
  </si>
  <si>
    <t>B25011_001</t>
  </si>
  <si>
    <t>B06008_014</t>
  </si>
  <si>
    <t>Tenure by Household Type (Including Living Alone) and Age of Householder</t>
  </si>
  <si>
    <t>Estimate!!Total:!!Born in other state in the United States:!!Never married</t>
  </si>
  <si>
    <t>B25011</t>
  </si>
  <si>
    <t>B06008_015</t>
  </si>
  <si>
    <t>Estimate!!Total:!!Born in other state in the United States:!!Now married, except separated</t>
  </si>
  <si>
    <t>B06008_016</t>
  </si>
  <si>
    <t>Estimate!!Total:!!Born in other state in the United States:!!Divorced</t>
  </si>
  <si>
    <t>B06008_017</t>
  </si>
  <si>
    <t>B25012_001</t>
  </si>
  <si>
    <t>Estimate!!Total:!!Born in other state in the United States:!!Separated</t>
  </si>
  <si>
    <t>Tenure by Families and Presence of Own Children</t>
  </si>
  <si>
    <t>B06008_018</t>
  </si>
  <si>
    <t>B25012</t>
  </si>
  <si>
    <t>Estimate!!Total:!!Born in other state in the United States:!!Widowed</t>
  </si>
  <si>
    <t>B06008_019</t>
  </si>
  <si>
    <t>B06008_020</t>
  </si>
  <si>
    <t>B25013_001</t>
  </si>
  <si>
    <t>Estimate!!Total:!!Native; born outside the United States:!!Never married</t>
  </si>
  <si>
    <t>Tenure by Educational Attainment of Householder</t>
  </si>
  <si>
    <t>B06008_021</t>
  </si>
  <si>
    <t>B25013</t>
  </si>
  <si>
    <t>Estimate!!Total:!!Native; born outside the United States:!!Now married, except separated</t>
  </si>
  <si>
    <t>B06008_022</t>
  </si>
  <si>
    <t>Estimate!!Total:!!Native; born outside the United States:!!Divorced</t>
  </si>
  <si>
    <t>B25014_001</t>
  </si>
  <si>
    <t>B06008_023</t>
  </si>
  <si>
    <t>Estimate!!Total:!!Native; born outside the United States:!!Separated</t>
  </si>
  <si>
    <t>Tenure by Occupants per Room</t>
  </si>
  <si>
    <t>B25014</t>
  </si>
  <si>
    <t>B06008_024</t>
  </si>
  <si>
    <t>Estimate!!Total:!!Native; born outside the United States:!!Widowed</t>
  </si>
  <si>
    <t>B06008_025</t>
  </si>
  <si>
    <t>B25014A_001</t>
  </si>
  <si>
    <t>Occupants per Room (White Alone Householder)</t>
  </si>
  <si>
    <t>B25014A</t>
  </si>
  <si>
    <t>B06008_026</t>
  </si>
  <si>
    <t>B06008_027</t>
  </si>
  <si>
    <t>B06008_028</t>
  </si>
  <si>
    <t>B06008_029</t>
  </si>
  <si>
    <t>B06008_030</t>
  </si>
  <si>
    <t>B06009PR_002</t>
  </si>
  <si>
    <t>Estimate!!Total:!!Less than high school graduate</t>
  </si>
  <si>
    <t>B06009PR_003</t>
  </si>
  <si>
    <t>Estimate!!Total:!!High school graduate (includes equivalency)</t>
  </si>
  <si>
    <t>B06009PR_004</t>
  </si>
  <si>
    <t>housing, economy, race</t>
  </si>
  <si>
    <t>Estimate!!Total:!!Some college or associate's degree</t>
  </si>
  <si>
    <t>B06009PR_005</t>
  </si>
  <si>
    <t>B25014B_001</t>
  </si>
  <si>
    <t>Estimate!!Total:!!Bachelor's degree</t>
  </si>
  <si>
    <t>Occupants per Room (Black or African American Alone Householder)</t>
  </si>
  <si>
    <t>B25014B</t>
  </si>
  <si>
    <t>B06009PR_006</t>
  </si>
  <si>
    <t>Estimate!!Total:!!Graduate or professional degree</t>
  </si>
  <si>
    <t>B06009PR_007</t>
  </si>
  <si>
    <t>B25014C_001</t>
  </si>
  <si>
    <t>B06009PR_008</t>
  </si>
  <si>
    <t>Occupants per Room (American Indian and Alaska Native Alone Householder)</t>
  </si>
  <si>
    <t>Estimate!!Total:!!Born in Puerto Rico:!!Less than high school graduate</t>
  </si>
  <si>
    <t>B25014C</t>
  </si>
  <si>
    <t>B06009PR_009</t>
  </si>
  <si>
    <t>Estimate!!Total:!!Born in Puerto Rico:!!High school graduate (includes equivalency)</t>
  </si>
  <si>
    <t>B06009PR_010</t>
  </si>
  <si>
    <t>B25014D_001</t>
  </si>
  <si>
    <t>Estimate!!Total:!!Born in Puerto Rico:!!Some college or associate's degree</t>
  </si>
  <si>
    <t>Occupants per Room (Asian Alone Householder)</t>
  </si>
  <si>
    <t>B25014D</t>
  </si>
  <si>
    <t>B06009PR_011</t>
  </si>
  <si>
    <t>Estimate!!Total:!!Born in Puerto Rico:!!Bachelor's degree</t>
  </si>
  <si>
    <t>B06009PR_012</t>
  </si>
  <si>
    <t>B25014E_001</t>
  </si>
  <si>
    <t>Estimate!!Total:!!Born in Puerto Rico:!!Graduate or professional degree</t>
  </si>
  <si>
    <t>Occupants per Room (Native Hawaiian and Other Pacific Islander Alone Householder)</t>
  </si>
  <si>
    <t>B25014E</t>
  </si>
  <si>
    <t>B06009PR_013</t>
  </si>
  <si>
    <t>B06009PR_014</t>
  </si>
  <si>
    <t>B25014F_001</t>
  </si>
  <si>
    <t>Estimate!!Total:!!Born in the United States:!!Less than high school graduate</t>
  </si>
  <si>
    <t>Occupants per Room (Some Other Race Alone Householder)</t>
  </si>
  <si>
    <t>B25014F</t>
  </si>
  <si>
    <t>B06009PR_015</t>
  </si>
  <si>
    <t>Estimate!!Total:!!Born in the United States:!!High school graduate (includes equivalency)</t>
  </si>
  <si>
    <t>B25014G_001</t>
  </si>
  <si>
    <t>B06009PR_016</t>
  </si>
  <si>
    <t>Estimate!!Total:!!Born in the United States:!!Some college or associate's degree</t>
  </si>
  <si>
    <t>Occupants per Room (Two or More Races Householder)</t>
  </si>
  <si>
    <t>B25014G</t>
  </si>
  <si>
    <t>B06009PR_017</t>
  </si>
  <si>
    <t>Estimate!!Total:!!Born in the United States:!!Bachelor's degree</t>
  </si>
  <si>
    <t>B25014H_001</t>
  </si>
  <si>
    <t>B06009PR_018</t>
  </si>
  <si>
    <t>Estimate!!Total:!!Born in the United States:!!Graduate or professional degree</t>
  </si>
  <si>
    <t>Occupants per Room (White Alone, Not Hispanic or Latino Householder)</t>
  </si>
  <si>
    <t>B25014H</t>
  </si>
  <si>
    <t>B06009PR_019</t>
  </si>
  <si>
    <t>B25014I_001</t>
  </si>
  <si>
    <t>Occupants per Room (Hispanic or Latino Householder)</t>
  </si>
  <si>
    <t>B06009PR_020</t>
  </si>
  <si>
    <t>B25014I</t>
  </si>
  <si>
    <t>Estimate!!Total:!!Native; born elsewhere:!!Less than high school graduate</t>
  </si>
  <si>
    <t>B06009PR_021</t>
  </si>
  <si>
    <t>Estimate!!Total:!!Native; born elsewhere:!!High school graduate (includes equivalency)</t>
  </si>
  <si>
    <t>B25015_001</t>
  </si>
  <si>
    <t>Tenure by Age of Householder by Occupants per Room</t>
  </si>
  <si>
    <t>B06009PR_022</t>
  </si>
  <si>
    <t>B25015</t>
  </si>
  <si>
    <t>Estimate!!Total:!!Native; born elsewhere:!!Some college or associate's degree</t>
  </si>
  <si>
    <t>B06009PR_023</t>
  </si>
  <si>
    <t>Estimate!!Total:!!Native; born elsewhere:!!Bachelor's degree</t>
  </si>
  <si>
    <t>B25016_001</t>
  </si>
  <si>
    <t>Tenure by Plumbing Facilities by Occupants per Room</t>
  </si>
  <si>
    <t>B06009PR_024</t>
  </si>
  <si>
    <t>B25016</t>
  </si>
  <si>
    <t>Estimate!!Total:!!Native; born elsewhere:!!Graduate or professional degree</t>
  </si>
  <si>
    <t>B06009PR_025</t>
  </si>
  <si>
    <t>B25017_001</t>
  </si>
  <si>
    <t>Rooms</t>
  </si>
  <si>
    <t>B25017</t>
  </si>
  <si>
    <t>B06009PR_026</t>
  </si>
  <si>
    <t>Estimate!!Total:!!Foreign born:!!Less than high school graduate</t>
  </si>
  <si>
    <t>B25018_001</t>
  </si>
  <si>
    <t>B06009PR_027</t>
  </si>
  <si>
    <t>Estimate!!Total:!!Foreign born:!!High school graduate (includes equivalency)</t>
  </si>
  <si>
    <t>B06009PR_028</t>
  </si>
  <si>
    <t>Estimate!!Total:!!Foreign born:!!Some college or associate's degree</t>
  </si>
  <si>
    <t>Estimate!!Median number of rooms</t>
  </si>
  <si>
    <t>B06009PR_029</t>
  </si>
  <si>
    <t>Estimate!!Total:!!Foreign born:!!Bachelor's degree</t>
  </si>
  <si>
    <t>B06009PR_030</t>
  </si>
  <si>
    <t>Median Number of Rooms</t>
  </si>
  <si>
    <t>Estimate!!Total:!!Foreign born:!!Graduate or professional degree</t>
  </si>
  <si>
    <t>B25018</t>
  </si>
  <si>
    <t>B06009_002</t>
  </si>
  <si>
    <t>B06009_003</t>
  </si>
  <si>
    <t>B06009_004</t>
  </si>
  <si>
    <t>B06009_005</t>
  </si>
  <si>
    <t>B06009_006</t>
  </si>
  <si>
    <t>B06009_007</t>
  </si>
  <si>
    <t>B06009_008</t>
  </si>
  <si>
    <t>Estimate!!Total:!!Born in state of residence:!!Less than high school graduate</t>
  </si>
  <si>
    <t>B06009_009</t>
  </si>
  <si>
    <t>Estimate!!Total:!!Born in state of residence:!!High school graduate (includes equivalency)</t>
  </si>
  <si>
    <t>B06009_010</t>
  </si>
  <si>
    <t>Estimate!!Total:!!Born in state of residence:!!Some college or associate's degree</t>
  </si>
  <si>
    <t>B25019_001</t>
  </si>
  <si>
    <t>Estimate!!Aggregate number of rooms</t>
  </si>
  <si>
    <t>B06009_011</t>
  </si>
  <si>
    <t>Estimate!!Total:!!Born in state of residence:!!Bachelor's degree</t>
  </si>
  <si>
    <t>Aggregate Number of Rooms</t>
  </si>
  <si>
    <t>B06009_012</t>
  </si>
  <si>
    <t>B25019</t>
  </si>
  <si>
    <t>Estimate!!Total:!!Born in state of residence:!!Graduate or professional degree</t>
  </si>
  <si>
    <t>B06009_013</t>
  </si>
  <si>
    <t>B06009_014</t>
  </si>
  <si>
    <t>Estimate!!Total:!!Born in other state in the United States:!!Less than high school graduate</t>
  </si>
  <si>
    <t>B25020_001</t>
  </si>
  <si>
    <t>B06009_015</t>
  </si>
  <si>
    <t>Tenure by Rooms</t>
  </si>
  <si>
    <t>Estimate!!Total:!!Born in other state in the United States:!!High school graduate (includes equivalency)</t>
  </si>
  <si>
    <t>B25020</t>
  </si>
  <si>
    <t>B06009_016</t>
  </si>
  <si>
    <t>Estimate!!Total:!!Born in other state in the United States:!!Some college or associate's degree</t>
  </si>
  <si>
    <t>B06009_017</t>
  </si>
  <si>
    <t>Estimate!!Total:!!Born in other state in the United States:!!Bachelor's degree</t>
  </si>
  <si>
    <t>B25021_001</t>
  </si>
  <si>
    <t>B06009_018</t>
  </si>
  <si>
    <t>Estimate!!Median number of rooms --!!Total:</t>
  </si>
  <si>
    <t>Estimate!!Total:!!Born in other state in the United States:!!Graduate or professional degree</t>
  </si>
  <si>
    <t>Median Number of Rooms by Tenure</t>
  </si>
  <si>
    <t>B25021</t>
  </si>
  <si>
    <t>B06009_019</t>
  </si>
  <si>
    <t>B06009_020</t>
  </si>
  <si>
    <t>Estimate!!Total:!!Native; born outside the United States:!!Less than high school graduate</t>
  </si>
  <si>
    <t>B25022_001</t>
  </si>
  <si>
    <t>Estimate!!Aggregate number of rooms:</t>
  </si>
  <si>
    <t>B06009_021</t>
  </si>
  <si>
    <t>Estimate!!Total:!!Native; born outside the United States:!!High school graduate (includes equivalency)</t>
  </si>
  <si>
    <t>Aggregate Number of Rooms by Tenure</t>
  </si>
  <si>
    <t>B25022</t>
  </si>
  <si>
    <t>B06009_022</t>
  </si>
  <si>
    <t>Estimate!!Total:!!Native; born outside the United States:!!Some college or associate's degree</t>
  </si>
  <si>
    <t>B06009_023</t>
  </si>
  <si>
    <t>Estimate!!Total:!!Native; born outside the United States:!!Bachelor's degree</t>
  </si>
  <si>
    <t>B25024_001</t>
  </si>
  <si>
    <t>B06009_024</t>
  </si>
  <si>
    <t>Estimate!!Total:!!Native; born outside the United States:!!Graduate or professional degree</t>
  </si>
  <si>
    <t>B25024</t>
  </si>
  <si>
    <t>B06009_025</t>
  </si>
  <si>
    <t>B06009_026</t>
  </si>
  <si>
    <t>B06009_027</t>
  </si>
  <si>
    <t>B25026_001</t>
  </si>
  <si>
    <t>B06009_028</t>
  </si>
  <si>
    <t>Estimate!!Total population in occupied housing units:</t>
  </si>
  <si>
    <t>Total Population in Occupied Housing Units by Tenure by Year Householder Moved Into Unit</t>
  </si>
  <si>
    <t>B06009_029</t>
  </si>
  <si>
    <t>B25026</t>
  </si>
  <si>
    <t>B06009_030</t>
  </si>
  <si>
    <t>B25027_001</t>
  </si>
  <si>
    <t>Mortgage Status by Age of Householder</t>
  </si>
  <si>
    <t>B25027</t>
  </si>
  <si>
    <t>B06010PR_002</t>
  </si>
  <si>
    <t>economy, housing, demographic</t>
  </si>
  <si>
    <t>Estimate!!Total:!!No income</t>
  </si>
  <si>
    <t>B06010PR_003</t>
  </si>
  <si>
    <t>B25031_001</t>
  </si>
  <si>
    <t>Estimate!!Total:!!With income:</t>
  </si>
  <si>
    <t>Estimate!!Median gross rent --!!Total:</t>
  </si>
  <si>
    <t>Median Gross Rent by Bedrooms</t>
  </si>
  <si>
    <t>B25031</t>
  </si>
  <si>
    <t>B06010PR_004</t>
  </si>
  <si>
    <t>Estimate!!Total:!!With income:!!$1 to $9,999 or loss</t>
  </si>
  <si>
    <t>B06010PR_005</t>
  </si>
  <si>
    <t>Estimate!!Total:!!With income:!!$10,000 to $14,999</t>
  </si>
  <si>
    <t>B25032_001</t>
  </si>
  <si>
    <t>Tenure by Units in Structure</t>
  </si>
  <si>
    <t>B06010PR_006</t>
  </si>
  <si>
    <t>B25032</t>
  </si>
  <si>
    <t>Estimate!!Total:!!With income:!!$15,000 to $24,999</t>
  </si>
  <si>
    <t>B06010PR_007</t>
  </si>
  <si>
    <t>Estimate!!Total:!!With income:!!$25,000 to $34,999</t>
  </si>
  <si>
    <t>B25032A_001</t>
  </si>
  <si>
    <t>Units in Structure (White Alone Householder)</t>
  </si>
  <si>
    <t>B06010PR_008</t>
  </si>
  <si>
    <t>B25032A</t>
  </si>
  <si>
    <t>Estimate!!Total:!!With income:!!$35,000 to $49,999</t>
  </si>
  <si>
    <t>B06010PR_009</t>
  </si>
  <si>
    <t>Estimate!!Total:!!With income:!!$50,000 to $64,999</t>
  </si>
  <si>
    <t>B25032B_001</t>
  </si>
  <si>
    <t>Units in Structure (Black or African American Alone Householder)</t>
  </si>
  <si>
    <t>B06010PR_010</t>
  </si>
  <si>
    <t>B25032B</t>
  </si>
  <si>
    <t>Estimate!!Total:!!With income:!!$65,000 to $74,999</t>
  </si>
  <si>
    <t>B06010PR_011</t>
  </si>
  <si>
    <t>Estimate!!Total:!!With income:!!$75,000 or more</t>
  </si>
  <si>
    <t>B25032C_001</t>
  </si>
  <si>
    <t>Units in Structure (American Indian and Alaska Native Alone Householder)</t>
  </si>
  <si>
    <t>B25032C</t>
  </si>
  <si>
    <t>B06010PR_012</t>
  </si>
  <si>
    <t>B06010PR_013</t>
  </si>
  <si>
    <t>Estimate!!Total:!!Born in Puerto Rico:!!No income</t>
  </si>
  <si>
    <t>B25032D_001</t>
  </si>
  <si>
    <t>Units in Structure (Asian Alone Householder)</t>
  </si>
  <si>
    <t>B25032D</t>
  </si>
  <si>
    <t>B06010PR_014</t>
  </si>
  <si>
    <t>Estimate!!Total:!!Born in Puerto Rico:!!With income:</t>
  </si>
  <si>
    <t>B06010PR_015</t>
  </si>
  <si>
    <t>Estimate!!Total:!!Born in Puerto Rico:!!With income:!!$1 to $9,999 or loss</t>
  </si>
  <si>
    <t>B25032E_001</t>
  </si>
  <si>
    <t>B06010PR_016</t>
  </si>
  <si>
    <t>Estimate!!Total:!!Born in Puerto Rico:!!With income:!!$10,000 to $14,999</t>
  </si>
  <si>
    <t>Units in Structure (Native Hawaiian and Other Pacific Islander Alone Householder)</t>
  </si>
  <si>
    <t>B25032E</t>
  </si>
  <si>
    <t>B06010PR_017</t>
  </si>
  <si>
    <t>Estimate!!Total:!!Born in Puerto Rico:!!With income:!!$15,000 to $24,999</t>
  </si>
  <si>
    <t>B06010PR_018</t>
  </si>
  <si>
    <t>Estimate!!Total:!!Born in Puerto Rico:!!With income:!!$25,000 to $34,999</t>
  </si>
  <si>
    <t>B06010PR_019</t>
  </si>
  <si>
    <t>Estimate!!Total:!!Born in Puerto Rico:!!With income:!!$35,000 to $49,999</t>
  </si>
  <si>
    <t>B06010PR_020</t>
  </si>
  <si>
    <t>Estimate!!Total:!!Born in Puerto Rico:!!With income:!!$50,000 to $64,999</t>
  </si>
  <si>
    <t>B06010PR_021</t>
  </si>
  <si>
    <t>Estimate!!Total:!!Born in Puerto Rico:!!With income:!!$65,000 to $74,999</t>
  </si>
  <si>
    <t>B06010PR_022</t>
  </si>
  <si>
    <t>Estimate!!Total:!!Born in Puerto Rico:!!With income:!!$75,000 or more</t>
  </si>
  <si>
    <t>B06010PR_023</t>
  </si>
  <si>
    <t>B06010PR_024</t>
  </si>
  <si>
    <t>Estimate!!Total:!!Born in the United States:!!No income</t>
  </si>
  <si>
    <t>B06010PR_025</t>
  </si>
  <si>
    <t>Estimate!!Total:!!Born in the United States:!!With income:</t>
  </si>
  <si>
    <t>B25032F_001</t>
  </si>
  <si>
    <t>B06010PR_026</t>
  </si>
  <si>
    <t>Units in Structure (Some Other Race Alone Householder)</t>
  </si>
  <si>
    <t>Estimate!!Total:!!Born in the United States:!!With income:!!$1 to $9,999 or loss</t>
  </si>
  <si>
    <t>B25032F</t>
  </si>
  <si>
    <t>B06010PR_027</t>
  </si>
  <si>
    <t>Estimate!!Total:!!Born in the United States:!!With income:!!$10,000 to $14,999</t>
  </si>
  <si>
    <t>B25032G_001</t>
  </si>
  <si>
    <t>Units in Structure (Two or More Races Householder)</t>
  </si>
  <si>
    <t>B06010PR_028</t>
  </si>
  <si>
    <t>B25032G</t>
  </si>
  <si>
    <t>Estimate!!Total:!!Born in the United States:!!With income:!!$15,000 to $24,999</t>
  </si>
  <si>
    <t>B06010PR_029</t>
  </si>
  <si>
    <t>Estimate!!Total:!!Born in the United States:!!With income:!!$25,000 to $34,999</t>
  </si>
  <si>
    <t>B25032H_001</t>
  </si>
  <si>
    <t>Units in Structure (White Alone, Not Hispanic or Latino Householder)</t>
  </si>
  <si>
    <t>B25032H</t>
  </si>
  <si>
    <t>B06010PR_030</t>
  </si>
  <si>
    <t>Estimate!!Total:!!Born in the United States:!!With income:!!$35,000 to $49,999</t>
  </si>
  <si>
    <t>B06010PR_031</t>
  </si>
  <si>
    <t>Estimate!!Total:!!Born in the United States:!!With income:!!$50,000 to $64,999</t>
  </si>
  <si>
    <t>B25032I_001</t>
  </si>
  <si>
    <t>Units in Structure (Hispanic or Latino Householder)</t>
  </si>
  <si>
    <t>B06010PR_032</t>
  </si>
  <si>
    <t>B25032I</t>
  </si>
  <si>
    <t>Estimate!!Total:!!Born in the United States:!!With income:!!$65,000 to $74,999</t>
  </si>
  <si>
    <t>B06010PR_033</t>
  </si>
  <si>
    <t>Estimate!!Total:!!Born in the United States:!!With income:!!$75,000 or more</t>
  </si>
  <si>
    <t>B25033_001</t>
  </si>
  <si>
    <t>B06010PR_034</t>
  </si>
  <si>
    <t>Total Population in Occupied Housing Units by Tenure by Units in Structure</t>
  </si>
  <si>
    <t>B25033</t>
  </si>
  <si>
    <t>B06010PR_035</t>
  </si>
  <si>
    <t>Estimate!!Total:!!Native; born elsewhere:!!No income</t>
  </si>
  <si>
    <t>B06010PR_036</t>
  </si>
  <si>
    <t>Estimate!!Total:!!Native; born elsewhere:!!With income:</t>
  </si>
  <si>
    <t>B06010PR_037</t>
  </si>
  <si>
    <t>Estimate!!Total:!!Native; born elsewhere:!!With income:!!$1 to $9,999 or loss</t>
  </si>
  <si>
    <t>B25034_001</t>
  </si>
  <si>
    <t>B06010PR_038</t>
  </si>
  <si>
    <t>Year Structure Built</t>
  </si>
  <si>
    <t>Estimate!!Total:!!Native; born elsewhere:!!With income:!!$10,000 to $14,999</t>
  </si>
  <si>
    <t>B25034</t>
  </si>
  <si>
    <t>B06010PR_039</t>
  </si>
  <si>
    <t>Estimate!!Total:!!Native; born elsewhere:!!With income:!!$15,000 to $24,999</t>
  </si>
  <si>
    <t>B06010PR_040</t>
  </si>
  <si>
    <t>Estimate!!Total:!!Native; born elsewhere:!!With income:!!$25,000 to $34,999</t>
  </si>
  <si>
    <t>B25035_001</t>
  </si>
  <si>
    <t>Estimate!!Median year structure built</t>
  </si>
  <si>
    <t>B06010PR_041</t>
  </si>
  <si>
    <t>Median Year Structure Built</t>
  </si>
  <si>
    <t>Estimate!!Total:!!Native; born elsewhere:!!With income:!!$35,000 to $49,999</t>
  </si>
  <si>
    <t>B25035</t>
  </si>
  <si>
    <t>B06010PR_042</t>
  </si>
  <si>
    <t>Estimate!!Total:!!Native; born elsewhere:!!With income:!!$50,000 to $64,999</t>
  </si>
  <si>
    <t>B06010PR_043</t>
  </si>
  <si>
    <t>Estimate!!Total:!!Native; born elsewhere:!!With income:!!$65,000 to $74,999</t>
  </si>
  <si>
    <t>B25036_001</t>
  </si>
  <si>
    <t>Tenure by Year Structure Built</t>
  </si>
  <si>
    <t>B06010PR_044</t>
  </si>
  <si>
    <t>B25036</t>
  </si>
  <si>
    <t>Estimate!!Total:!!Native; born elsewhere:!!With income:!!$75,000 or more</t>
  </si>
  <si>
    <t>B06010PR_045</t>
  </si>
  <si>
    <t>B06010PR_046</t>
  </si>
  <si>
    <t>B25037_001</t>
  </si>
  <si>
    <t>Estimate!!Total:!!Foreign born:!!No income</t>
  </si>
  <si>
    <t>Estimate!!Median year structure built --!!Total:</t>
  </si>
  <si>
    <t>Median Year Structure Built by Tenure</t>
  </si>
  <si>
    <t>B25037</t>
  </si>
  <si>
    <t>B06010PR_047</t>
  </si>
  <si>
    <t>Estimate!!Total:!!Foreign born:!!With income:</t>
  </si>
  <si>
    <t>B06010PR_048</t>
  </si>
  <si>
    <t>Estimate!!Total:!!Foreign born:!!With income:!!$1 to $9,999 or loss</t>
  </si>
  <si>
    <t>B06010PR_049</t>
  </si>
  <si>
    <t>B25038_001</t>
  </si>
  <si>
    <t>Estimate!!Total:!!Foreign born:!!With income:!!$10,000 to $14,999</t>
  </si>
  <si>
    <t>Tenure by Year Householder Moved Into Unit</t>
  </si>
  <si>
    <t>B06010PR_050</t>
  </si>
  <si>
    <t>B25038</t>
  </si>
  <si>
    <t>Estimate!!Total:!!Foreign born:!!With income:!!$15,000 to $24,999</t>
  </si>
  <si>
    <t>B06010PR_051</t>
  </si>
  <si>
    <t>Estimate!!Total:!!Foreign born:!!With income:!!$25,000 to $34,999</t>
  </si>
  <si>
    <t>B06010PR_052</t>
  </si>
  <si>
    <t>Estimate!!Total:!!Foreign born:!!With income:!!$35,000 to $49,999</t>
  </si>
  <si>
    <t>B25039_001</t>
  </si>
  <si>
    <t>Estimate!!Median year householder moved into unit --!!Total:</t>
  </si>
  <si>
    <t>B06010PR_053</t>
  </si>
  <si>
    <t>Median Year Householder Moved Into Unit by Tenure</t>
  </si>
  <si>
    <t>Estimate!!Total:!!Foreign born:!!With income:!!$50,000 to $64,999</t>
  </si>
  <si>
    <t>B25039</t>
  </si>
  <si>
    <t>B06010PR_054</t>
  </si>
  <si>
    <t>Estimate!!Total:!!Foreign born:!!With income:!!$65,000 to $74,999</t>
  </si>
  <si>
    <t>B06010PR_055</t>
  </si>
  <si>
    <t>Estimate!!Total:!!Foreign born:!!With income:!!$75,000 or more</t>
  </si>
  <si>
    <t>B25040_001</t>
  </si>
  <si>
    <t>House Heating Fuel</t>
  </si>
  <si>
    <t>B25040</t>
  </si>
  <si>
    <t>B06010_002</t>
  </si>
  <si>
    <t>B06010_003</t>
  </si>
  <si>
    <t>B25041_001</t>
  </si>
  <si>
    <t>B06010_004</t>
  </si>
  <si>
    <t>Bedrooms</t>
  </si>
  <si>
    <t>B25041</t>
  </si>
  <si>
    <t>B06010_005</t>
  </si>
  <si>
    <t>B06010_006</t>
  </si>
  <si>
    <t>B06010_007</t>
  </si>
  <si>
    <t>B25042_001</t>
  </si>
  <si>
    <t>Tenure by Bedrooms</t>
  </si>
  <si>
    <t>B25042</t>
  </si>
  <si>
    <t>B06010_008</t>
  </si>
  <si>
    <t>B06010_009</t>
  </si>
  <si>
    <t>B25043_001</t>
  </si>
  <si>
    <t>B06010_010</t>
  </si>
  <si>
    <t>Tenure by Telephone Service Available by Age of Householder</t>
  </si>
  <si>
    <t>B25043</t>
  </si>
  <si>
    <t>B06010_011</t>
  </si>
  <si>
    <t>B06010_012</t>
  </si>
  <si>
    <t>B25044_001</t>
  </si>
  <si>
    <t>B06010_013</t>
  </si>
  <si>
    <t>Tenure by Vehicles Available</t>
  </si>
  <si>
    <t>B25044</t>
  </si>
  <si>
    <t>Estimate!!Total:!!Born in state of residence:!!No income</t>
  </si>
  <si>
    <t>B06010_014</t>
  </si>
  <si>
    <t>Estimate!!Total:!!Born in state of residence:!!With income:</t>
  </si>
  <si>
    <t>B06010_015</t>
  </si>
  <si>
    <t>Estimate!!Total:!!Born in state of residence:!!With income:!!$1 to $9,999 or loss</t>
  </si>
  <si>
    <t>B06010_016</t>
  </si>
  <si>
    <t>Estimate!!Total:!!Born in state of residence:!!With income:!!$10,000 to $14,999</t>
  </si>
  <si>
    <t>B06010_017</t>
  </si>
  <si>
    <t>Estimate!!Total:!!Born in state of residence:!!With income:!!$15,000 to $24,999</t>
  </si>
  <si>
    <t>B06010_018</t>
  </si>
  <si>
    <t>Estimate!!Total:!!Born in state of residence:!!With income:!!$25,000 to $34,999</t>
  </si>
  <si>
    <t>B06010_019</t>
  </si>
  <si>
    <t>Estimate!!Total:!!Born in state of residence:!!With income:!!$35,000 to $49,999</t>
  </si>
  <si>
    <t>B06010_020</t>
  </si>
  <si>
    <t>Estimate!!Total:!!Born in state of residence:!!With income:!!$50,000 to $64,999</t>
  </si>
  <si>
    <t>B06010_021</t>
  </si>
  <si>
    <t>Estimate!!Total:!!Born in state of residence:!!With income:!!$65,000 to $74,999</t>
  </si>
  <si>
    <t>B06010_022</t>
  </si>
  <si>
    <t>Estimate!!Total:!!Born in state of residence:!!With income:!!$75,000 or more</t>
  </si>
  <si>
    <t>B06010_023</t>
  </si>
  <si>
    <t>B06010_024</t>
  </si>
  <si>
    <t>Estimate!!Total:!!Born in other state in the United States:!!No income</t>
  </si>
  <si>
    <t>B06010_025</t>
  </si>
  <si>
    <t>Estimate!!Total:!!Born in other state in the United States:!!With income:</t>
  </si>
  <si>
    <t>B06010_026</t>
  </si>
  <si>
    <t>Estimate!!Total:!!Born in other state in the United States:!!With income:!!$1 to $9,999 or loss</t>
  </si>
  <si>
    <t>B06010_027</t>
  </si>
  <si>
    <t>Estimate!!Total:!!Born in other state in the United States:!!With income:!!$10,000 to $14,999</t>
  </si>
  <si>
    <t>B06010_028</t>
  </si>
  <si>
    <t>Estimate!!Total:!!Born in other state in the United States:!!With income:!!$15,000 to $24,999</t>
  </si>
  <si>
    <t>B06010_029</t>
  </si>
  <si>
    <t>Estimate!!Total:!!Born in other state in the United States:!!With income:!!$25,000 to $34,999</t>
  </si>
  <si>
    <t>B06010_030</t>
  </si>
  <si>
    <t>Estimate!!Total:!!Born in other state in the United States:!!With income:!!$35,000 to $49,999</t>
  </si>
  <si>
    <t>B06010_031</t>
  </si>
  <si>
    <t>Estimate!!Total:!!Born in other state in the United States:!!With income:!!$50,000 to $64,999</t>
  </si>
  <si>
    <t>B06010_032</t>
  </si>
  <si>
    <t>Estimate!!Total:!!Born in other state in the United States:!!With income:!!$65,000 to $74,999</t>
  </si>
  <si>
    <t>B06010_033</t>
  </si>
  <si>
    <t>Estimate!!Total:!!Born in other state in the United States:!!With income:!!$75,000 or more</t>
  </si>
  <si>
    <t>B06010_034</t>
  </si>
  <si>
    <t>B06010_035</t>
  </si>
  <si>
    <t>Estimate!!Total:!!Native; born outside the United States:!!No income</t>
  </si>
  <si>
    <t>B06010_036</t>
  </si>
  <si>
    <t>Estimate!!Total:!!Native; born outside the United States:!!With income:</t>
  </si>
  <si>
    <t>B06010_037</t>
  </si>
  <si>
    <t>Estimate!!Total:!!Native; born outside the United States:!!With income:!!$1 to $9,999 or loss</t>
  </si>
  <si>
    <t>B06010_038</t>
  </si>
  <si>
    <t>Estimate!!Total:!!Native; born outside the United States:!!With income:!!$10,000 to $14,999</t>
  </si>
  <si>
    <t>B25045_001</t>
  </si>
  <si>
    <t>B06010_039</t>
  </si>
  <si>
    <t>Estimate!!Total:!!Native; born outside the United States:!!With income:!!$15,000 to $24,999</t>
  </si>
  <si>
    <t>Tenure by Vehicles Available by Age of Householder</t>
  </si>
  <si>
    <t>B25045</t>
  </si>
  <si>
    <t>B06010_040</t>
  </si>
  <si>
    <t>Estimate!!Total:!!Native; born outside the United States:!!With income:!!$25,000 to $34,999</t>
  </si>
  <si>
    <t>B06010_041</t>
  </si>
  <si>
    <t>Estimate!!Total:!!Native; born outside the United States:!!With income:!!$35,000 to $49,999</t>
  </si>
  <si>
    <t>B06010_042</t>
  </si>
  <si>
    <t>B25046_001</t>
  </si>
  <si>
    <t>Estimate!!Total:!!Native; born outside the United States:!!With income:!!$50,000 to $64,999</t>
  </si>
  <si>
    <t>Estimate!!Aggregate number of vehicles available:</t>
  </si>
  <si>
    <t>Aggregate Number of Vehicles Available by Tenure</t>
  </si>
  <si>
    <t>B25046</t>
  </si>
  <si>
    <t>B06010_043</t>
  </si>
  <si>
    <t>Estimate!!Total:!!Native; born outside the United States:!!With income:!!$65,000 to $74,999</t>
  </si>
  <si>
    <t>B06010_044</t>
  </si>
  <si>
    <t>Estimate!!Total:!!Native; born outside the United States:!!With income:!!$75,000 or more</t>
  </si>
  <si>
    <t>B25047_001</t>
  </si>
  <si>
    <t>Plumbing Facilities for All Housing Units</t>
  </si>
  <si>
    <t>B25047</t>
  </si>
  <si>
    <t>B06010_045</t>
  </si>
  <si>
    <t>B06010_046</t>
  </si>
  <si>
    <t>B25048_001</t>
  </si>
  <si>
    <t>B06010_047</t>
  </si>
  <si>
    <t>Plumbing Facilities for Occupied Housing Units</t>
  </si>
  <si>
    <t>B25048</t>
  </si>
  <si>
    <t>B06010_048</t>
  </si>
  <si>
    <t>B06010_049</t>
  </si>
  <si>
    <t>B25049_001</t>
  </si>
  <si>
    <t>B06010_050</t>
  </si>
  <si>
    <t>Tenure by Plumbing Facilities</t>
  </si>
  <si>
    <t>B25049</t>
  </si>
  <si>
    <t>B06010_051</t>
  </si>
  <si>
    <t>B06010_052</t>
  </si>
  <si>
    <t>B25050_001</t>
  </si>
  <si>
    <t>B06010_053</t>
  </si>
  <si>
    <t>Plumbing Facilities by Occupants per Room by Year Structure Built</t>
  </si>
  <si>
    <t>B25050</t>
  </si>
  <si>
    <t>B06010_054</t>
  </si>
  <si>
    <t>B06010_055</t>
  </si>
  <si>
    <t>B25051_001</t>
  </si>
  <si>
    <t>Kitchen Facilities for All Housing Units</t>
  </si>
  <si>
    <t>B25051</t>
  </si>
  <si>
    <t>B06011PR_002</t>
  </si>
  <si>
    <t>Estimate!!Median income in the past 12 months --!!Total:!!Born in Puerto Rico</t>
  </si>
  <si>
    <t>B06011PR_003</t>
  </si>
  <si>
    <t>B25052_001</t>
  </si>
  <si>
    <t>Estimate!!Median income in the past 12 months --!!Total:!!Born in other state of the United States</t>
  </si>
  <si>
    <t>Kitchen Facilities for Occupied Housing Units</t>
  </si>
  <si>
    <t>B06011PR_004</t>
  </si>
  <si>
    <t>B25052</t>
  </si>
  <si>
    <t>Estimate!!Median income in the past 12 months --!!Total:!!Native; born elsewhere</t>
  </si>
  <si>
    <t>B06011PR_005</t>
  </si>
  <si>
    <t>Estimate!!Median income in the past 12 months --!!Total:!!Foreign born</t>
  </si>
  <si>
    <t>B25053_001</t>
  </si>
  <si>
    <t>Tenure by Kitchen Facilities</t>
  </si>
  <si>
    <t>B25053</t>
  </si>
  <si>
    <t>B06011_002</t>
  </si>
  <si>
    <t>Estimate!!Median income in the past 12 months --!!Total:!!Born in state of residence</t>
  </si>
  <si>
    <t>B06011_003</t>
  </si>
  <si>
    <t>B25054_001</t>
  </si>
  <si>
    <t>Kitchen Facilities by Meals Included in Rent</t>
  </si>
  <si>
    <t>B25054</t>
  </si>
  <si>
    <t>B06011_004</t>
  </si>
  <si>
    <t>Estimate!!Median income in the past 12 months --!!Total:!!Native; born outside the United States</t>
  </si>
  <si>
    <t>B06011_005</t>
  </si>
  <si>
    <t>B25055_001</t>
  </si>
  <si>
    <t>Age of Householder by Meals Included in Rent</t>
  </si>
  <si>
    <t>B25055</t>
  </si>
  <si>
    <t>B25056_001</t>
  </si>
  <si>
    <t>B06012PR_002</t>
  </si>
  <si>
    <t>Contract Rent</t>
  </si>
  <si>
    <t>B25056</t>
  </si>
  <si>
    <t>Estimate!!Total:!!Below 100 percent of the poverty level</t>
  </si>
  <si>
    <t>B06012PR_003</t>
  </si>
  <si>
    <t>Estimate!!Total:!!100 to 149 percent of the poverty level</t>
  </si>
  <si>
    <t>B25057_001</t>
  </si>
  <si>
    <t>Estimate!!Lower contract rent quartile</t>
  </si>
  <si>
    <t>B06012PR_004</t>
  </si>
  <si>
    <t>Lower Contract Rent Quartile (Dollars)</t>
  </si>
  <si>
    <t>Estimate!!Total:!!At or above 150 percent of the poverty level</t>
  </si>
  <si>
    <t>B25057</t>
  </si>
  <si>
    <t>B06012PR_005</t>
  </si>
  <si>
    <t>housing, economy, meta</t>
  </si>
  <si>
    <t>B06012PR_006</t>
  </si>
  <si>
    <t>Estimate!!Total:!!Born in Puerto Rico:!!Below 100 percent of the poverty level</t>
  </si>
  <si>
    <t>B25058_001</t>
  </si>
  <si>
    <t>Estimate!!Median contract rent</t>
  </si>
  <si>
    <t>B06012PR_007</t>
  </si>
  <si>
    <t>Median Contract Rent (Dollars)</t>
  </si>
  <si>
    <t>Estimate!!Total:!!Born in Puerto Rico:!!100 to 149 percent of the poverty level</t>
  </si>
  <si>
    <t>B25058</t>
  </si>
  <si>
    <t>B06012PR_008</t>
  </si>
  <si>
    <t>Estimate!!Total:!!Born in Puerto Rico:!!At or above 150 percent of the poverty level</t>
  </si>
  <si>
    <t>B06012PR_009</t>
  </si>
  <si>
    <t>B25059_001</t>
  </si>
  <si>
    <t>Estimate!!Upper contract rent quartile</t>
  </si>
  <si>
    <t>Upper Contract Rent Quartile (Dollars)</t>
  </si>
  <si>
    <t>B06012PR_010</t>
  </si>
  <si>
    <t>B25059</t>
  </si>
  <si>
    <t>Estimate!!Total:!!Born in the United States:!!Below 100 percent of the poverty level</t>
  </si>
  <si>
    <t>B06012PR_011</t>
  </si>
  <si>
    <t>Estimate!!Total:!!Born in the United States:!!100 to 149 percent of the poverty level</t>
  </si>
  <si>
    <t>B25060_001</t>
  </si>
  <si>
    <t>B06012PR_012</t>
  </si>
  <si>
    <t>Estimate!!Total:!!Born in the United States:!!At or above 150 percent of the poverty level</t>
  </si>
  <si>
    <t>Estimate!!Aggregate contract rent</t>
  </si>
  <si>
    <t>Aggregate Contract Rent (Dollars)</t>
  </si>
  <si>
    <t>B06012PR_013</t>
  </si>
  <si>
    <t>B25060</t>
  </si>
  <si>
    <t>B06012PR_014</t>
  </si>
  <si>
    <t>Estimate!!Total:!!Native; born elsewhere:!!Below 100 percent of the poverty level</t>
  </si>
  <si>
    <t>B25061_001</t>
  </si>
  <si>
    <t>Rent Asked</t>
  </si>
  <si>
    <t>B25061</t>
  </si>
  <si>
    <t>B25062_001</t>
  </si>
  <si>
    <t>Estimate!!Aggregate rent asked</t>
  </si>
  <si>
    <t>Aggregate Rent Asked (Dollars)</t>
  </si>
  <si>
    <t>B25062</t>
  </si>
  <si>
    <t>B25063_001</t>
  </si>
  <si>
    <t>B06012PR_015</t>
  </si>
  <si>
    <t>Estimate!!Total:!!Native; born elsewhere:!!100 to 149 percent of the poverty level</t>
  </si>
  <si>
    <t>B25063</t>
  </si>
  <si>
    <t>B06012PR_016</t>
  </si>
  <si>
    <t>Estimate!!Total:!!Native; born elsewhere:!!At or above 150 percent of the poverty level</t>
  </si>
  <si>
    <t>B06012PR_017</t>
  </si>
  <si>
    <t>B25064_001</t>
  </si>
  <si>
    <t>B06012PR_018</t>
  </si>
  <si>
    <t>Estimate!!Median gross rent</t>
  </si>
  <si>
    <t>Estimate!!Total:!!Foreign born:!!Below 100 percent of the poverty level</t>
  </si>
  <si>
    <t>Median Gross Rent (Dollars)</t>
  </si>
  <si>
    <t>B25064</t>
  </si>
  <si>
    <t>B06012PR_019</t>
  </si>
  <si>
    <t>Estimate!!Total:!!Foreign born:!!100 to 149 percent of the poverty level</t>
  </si>
  <si>
    <t>B06012PR_020</t>
  </si>
  <si>
    <t>Estimate!!Total:!!Foreign born:!!At or above 150 percent of the poverty level</t>
  </si>
  <si>
    <t>B25065_001</t>
  </si>
  <si>
    <t>Estimate!!Aggregate gross rent</t>
  </si>
  <si>
    <t>Aggregate Gross Rent (Dollars)</t>
  </si>
  <si>
    <t>B25065</t>
  </si>
  <si>
    <t>B06012_002</t>
  </si>
  <si>
    <t>B06012_003</t>
  </si>
  <si>
    <t>B25066_001</t>
  </si>
  <si>
    <t>Estimate!!Aggregate gross rent:</t>
  </si>
  <si>
    <t>B06012_004</t>
  </si>
  <si>
    <t>Aggregate Gross Rent (Dollars) by Units in Structure</t>
  </si>
  <si>
    <t>B25066</t>
  </si>
  <si>
    <t>B06012_005</t>
  </si>
  <si>
    <t>B06012_006</t>
  </si>
  <si>
    <t>Estimate!!Total:!!Born in state of residence:!!Below 100 percent of the poverty level</t>
  </si>
  <si>
    <t>B25067_001</t>
  </si>
  <si>
    <t>B06012_007</t>
  </si>
  <si>
    <t>Aggregate Gross Rent (Dollars) by Meals Included in Rent</t>
  </si>
  <si>
    <t>Estimate!!Total:!!Born in state of residence:!!100 to 149 percent of the poverty level</t>
  </si>
  <si>
    <t>B25067</t>
  </si>
  <si>
    <t>B06012_008</t>
  </si>
  <si>
    <t>Estimate!!Total:!!Born in state of residence:!!At or above 150 percent of the poverty level</t>
  </si>
  <si>
    <t>B25068_001</t>
  </si>
  <si>
    <t>B06012_009</t>
  </si>
  <si>
    <t>Bedrooms by Gross Rent</t>
  </si>
  <si>
    <t>B25068</t>
  </si>
  <si>
    <t>B06012_010</t>
  </si>
  <si>
    <t>Estimate!!Total:!!Born in other state in the United States:!!Below 100 percent of the poverty level</t>
  </si>
  <si>
    <t>B06012_011</t>
  </si>
  <si>
    <t>B25069_001</t>
  </si>
  <si>
    <t>Estimate!!Total:!!Born in other state in the United States:!!100 to 149 percent of the poverty level</t>
  </si>
  <si>
    <t>Inclusion of Utilities in Rent</t>
  </si>
  <si>
    <t>B25069</t>
  </si>
  <si>
    <t>B06012_012</t>
  </si>
  <si>
    <t>Estimate!!Total:!!Born in other state in the United States:!!At or above 150 percent of the poverty level</t>
  </si>
  <si>
    <t>B06012_013</t>
  </si>
  <si>
    <t>B25070_001</t>
  </si>
  <si>
    <t>Gross Rent as a Percentage of Household Income in the Past 12 Months</t>
  </si>
  <si>
    <t>B25070</t>
  </si>
  <si>
    <t>B06012_014</t>
  </si>
  <si>
    <t>Estimate!!Total:!!Native; born outside the United States:!!Below 100 percent of the poverty level</t>
  </si>
  <si>
    <t>housing, economy, income</t>
  </si>
  <si>
    <t>B06012_015</t>
  </si>
  <si>
    <t>B25071_001</t>
  </si>
  <si>
    <t>Estimate!!Median gross rent as a percentage of household income</t>
  </si>
  <si>
    <t>Estimate!!Total:!!Native; born outside the United States:!!100 to 149 percent of the poverty level</t>
  </si>
  <si>
    <t>Median Gross Rent as a Percentage of Household Income in the Past 12 Months (Dollars)</t>
  </si>
  <si>
    <t>B25071</t>
  </si>
  <si>
    <t>B06012_016</t>
  </si>
  <si>
    <t>Estimate!!Total:!!Native; born outside the United States:!!At or above 150 percent of the poverty level</t>
  </si>
  <si>
    <t>B25072_001</t>
  </si>
  <si>
    <t>B06012_017</t>
  </si>
  <si>
    <t>Age of Householder by Gross Rent as a Percentage of Household Income in the Past 12 Months</t>
  </si>
  <si>
    <t>B25072</t>
  </si>
  <si>
    <t>B06012_018</t>
  </si>
  <si>
    <t>housing, demographic, income</t>
  </si>
  <si>
    <t>B25074_001</t>
  </si>
  <si>
    <t>B06012_019</t>
  </si>
  <si>
    <t>Household Income by Gross Rent as a Percentage of Household Income in the Past 12 Months</t>
  </si>
  <si>
    <t>B25074</t>
  </si>
  <si>
    <t>B06012_020</t>
  </si>
  <si>
    <t>B25075_001</t>
  </si>
  <si>
    <t>B25075</t>
  </si>
  <si>
    <t>B07001PR_002</t>
  </si>
  <si>
    <t>Estimate!!Total:!!1 to 4 years</t>
  </si>
  <si>
    <t>B07001PR_003</t>
  </si>
  <si>
    <t>B25076_001</t>
  </si>
  <si>
    <t>Estimate!!Lower value quartile (dollars)</t>
  </si>
  <si>
    <t>Lower Value Quartile (Dollars)</t>
  </si>
  <si>
    <t>B25076</t>
  </si>
  <si>
    <t>B07001PR_004</t>
  </si>
  <si>
    <t>Estimate!!Total:!!18 and 19 years</t>
  </si>
  <si>
    <t>B07001PR_005</t>
  </si>
  <si>
    <t>B25077_001</t>
  </si>
  <si>
    <t>Estimate!!Total:!!20 to 24 years</t>
  </si>
  <si>
    <t>Estimate!!Median value (dollars)</t>
  </si>
  <si>
    <t>Median Value (Dollars)</t>
  </si>
  <si>
    <t>B25077</t>
  </si>
  <si>
    <t>B07001PR_006</t>
  </si>
  <si>
    <t>Estimate!!Total:!!25 to 29 years</t>
  </si>
  <si>
    <t>B07001PR_007</t>
  </si>
  <si>
    <t>Estimate!!Total:!!30 to 34 years</t>
  </si>
  <si>
    <t>B25077A_001</t>
  </si>
  <si>
    <t>Median Value (Dollars, White Alone Householder)</t>
  </si>
  <si>
    <t>B07001PR_008</t>
  </si>
  <si>
    <t>B25077A</t>
  </si>
  <si>
    <t>Estimate!!Total:!!35 to 39 years</t>
  </si>
  <si>
    <t>B07001PR_009</t>
  </si>
  <si>
    <t>Estimate!!Total:!!40 to 44 years</t>
  </si>
  <si>
    <t>B25077B_001</t>
  </si>
  <si>
    <t>Median Value (Dollars, Black or African American Alone Householder)</t>
  </si>
  <si>
    <t>B07001PR_010</t>
  </si>
  <si>
    <t>B25077B</t>
  </si>
  <si>
    <t>Estimate!!Total:!!45 to 49 years</t>
  </si>
  <si>
    <t>B07001PR_011</t>
  </si>
  <si>
    <t>Estimate!!Total:!!50 to 54 years</t>
  </si>
  <si>
    <t>B25077C_001</t>
  </si>
  <si>
    <t>Median Value (Dollars, American Indian and Alaska Native Alone Householder)</t>
  </si>
  <si>
    <t>B25077C</t>
  </si>
  <si>
    <t>B07001PR_012</t>
  </si>
  <si>
    <t>B07001PR_013</t>
  </si>
  <si>
    <t>B25077D_001</t>
  </si>
  <si>
    <t>Estimate!!Total:!!60 to 64 years</t>
  </si>
  <si>
    <t>Median Value (Dollars, Asian Alone Householder)</t>
  </si>
  <si>
    <t>B25077D</t>
  </si>
  <si>
    <t>B07001PR_014</t>
  </si>
  <si>
    <t>Estimate!!Total:!!65 to 69 years</t>
  </si>
  <si>
    <t>B07001PR_015</t>
  </si>
  <si>
    <t>Estimate!!Total:!!70 to 74 years</t>
  </si>
  <si>
    <t>B25077E_001</t>
  </si>
  <si>
    <t>Median Value (Dollars, Native Hawaiian and Other Pacific Islander Alone Householder)</t>
  </si>
  <si>
    <t>B25077E</t>
  </si>
  <si>
    <t>B07001PR_016</t>
  </si>
  <si>
    <t>B07001PR_017</t>
  </si>
  <si>
    <t>Estimate!!Total:!!Same house 1 year ago:</t>
  </si>
  <si>
    <t>B25077F_001</t>
  </si>
  <si>
    <t>Median Value (Dollars, Some Other Race Alone Householder)</t>
  </si>
  <si>
    <t>B25077F</t>
  </si>
  <si>
    <t>B07001PR_018</t>
  </si>
  <si>
    <t>Estimate!!Total:!!Same house 1 year ago:!!1 to 4 years</t>
  </si>
  <si>
    <t>B25077G_001</t>
  </si>
  <si>
    <t>B07001PR_019</t>
  </si>
  <si>
    <t>Estimate!!Total:!!Same house 1 year ago:!!5 to 17 years</t>
  </si>
  <si>
    <t>Median Value (Dollars, Two or More Races Householder)</t>
  </si>
  <si>
    <t>B25077G</t>
  </si>
  <si>
    <t>B07001PR_020</t>
  </si>
  <si>
    <t>Estimate!!Total:!!Same house 1 year ago:!!18 and 19 years</t>
  </si>
  <si>
    <t>B07001PR_021</t>
  </si>
  <si>
    <t>B25077H_001</t>
  </si>
  <si>
    <t>Estimate!!Total:!!Same house 1 year ago:!!20 to 24 years</t>
  </si>
  <si>
    <t>Median Value (Dollars, White Alone, Not Hispanic or Latino Householder)</t>
  </si>
  <si>
    <t>B25077H</t>
  </si>
  <si>
    <t>B07001PR_022</t>
  </si>
  <si>
    <t>Estimate!!Total:!!Same house 1 year ago:!!25 to 29 years</t>
  </si>
  <si>
    <t>B07001PR_023</t>
  </si>
  <si>
    <t>B25077I_001</t>
  </si>
  <si>
    <t>Estimate!!Total:!!Same house 1 year ago:!!30 to 34 years</t>
  </si>
  <si>
    <t>Median Value (Dollars, Hispanic or Latino Householder)</t>
  </si>
  <si>
    <t>B25077I</t>
  </si>
  <si>
    <t>B07001PR_024</t>
  </si>
  <si>
    <t>Estimate!!Total:!!Same house 1 year ago:!!35 to 39 years</t>
  </si>
  <si>
    <t>B07001PR_025</t>
  </si>
  <si>
    <t>B25078_001</t>
  </si>
  <si>
    <t>Estimate!!Total:!!Same house 1 year ago:!!40 to 44 years</t>
  </si>
  <si>
    <t>Estimate!!Upper value quartile (dollars)</t>
  </si>
  <si>
    <t>Upper Value Quartile (Dollars)</t>
  </si>
  <si>
    <t>B25078</t>
  </si>
  <si>
    <t>B07001PR_026</t>
  </si>
  <si>
    <t>Estimate!!Total:!!Same house 1 year ago:!!45 to 49 years</t>
  </si>
  <si>
    <t>B07001PR_027</t>
  </si>
  <si>
    <t>B25079_001</t>
  </si>
  <si>
    <t>Estimate!!Aggregate value (dollars):</t>
  </si>
  <si>
    <t>Estimate!!Total:!!Same house 1 year ago:!!50 to 54 years</t>
  </si>
  <si>
    <t>Aggregate Value (Dollars) by Age of Householder</t>
  </si>
  <si>
    <t>B25079</t>
  </si>
  <si>
    <t>B07001PR_028</t>
  </si>
  <si>
    <t>housing, economy, demographic</t>
  </si>
  <si>
    <t>Estimate!!Total:!!Same house 1 year ago:!!55 to 59 years</t>
  </si>
  <si>
    <t>B07001PR_029</t>
  </si>
  <si>
    <t>B25080_001</t>
  </si>
  <si>
    <t>Estimate!!Total:!!Same house 1 year ago:!!60 to 64 years</t>
  </si>
  <si>
    <t>Aggregate Value (Dollars) by Units in Structure</t>
  </si>
  <si>
    <t>B25080</t>
  </si>
  <si>
    <t>B07001PR_030</t>
  </si>
  <si>
    <t>Estimate!!Total:!!Same house 1 year ago:!!65 to 69 years</t>
  </si>
  <si>
    <t>B07001PR_031</t>
  </si>
  <si>
    <t>Estimate!!Total:!!Same house 1 year ago:!!70 to 74 years</t>
  </si>
  <si>
    <t>B25081_001</t>
  </si>
  <si>
    <t>B07001PR_032</t>
  </si>
  <si>
    <t>Estimate!!Total:!!Same house 1 year ago:!!75 years and over</t>
  </si>
  <si>
    <t>Mortgage Status</t>
  </si>
  <si>
    <t>B25081</t>
  </si>
  <si>
    <t>B07001PR_033</t>
  </si>
  <si>
    <t>Estimate!!Total:!!Moved within same municipio:</t>
  </si>
  <si>
    <t>economy, housing</t>
  </si>
  <si>
    <t>B07001PR_034</t>
  </si>
  <si>
    <t>B25082_001</t>
  </si>
  <si>
    <t>Estimate!!Total:!!Moved within same municipio:!!1 to 4 years</t>
  </si>
  <si>
    <t>Aggregate Value (Dollars) by Mortgage Status</t>
  </si>
  <si>
    <t>B25082</t>
  </si>
  <si>
    <t>B07001PR_035</t>
  </si>
  <si>
    <t>Estimate!!Total:!!Moved within same municipio:!!5 to 17 years</t>
  </si>
  <si>
    <t>B07001PR_036</t>
  </si>
  <si>
    <t>B25083_001</t>
  </si>
  <si>
    <t>Estimate!!Total:!!Moved within same municipio:!!18 and 19 years</t>
  </si>
  <si>
    <t>Median Value (Dollars) for Mobile Homes</t>
  </si>
  <si>
    <t>B07001PR_037</t>
  </si>
  <si>
    <t>B25083</t>
  </si>
  <si>
    <t>Estimate!!Total:!!Moved within same municipio:!!20 to 24 years</t>
  </si>
  <si>
    <t>B07001PR_038</t>
  </si>
  <si>
    <t>Estimate!!Total:!!Moved within same municipio:!!25 to 29 years</t>
  </si>
  <si>
    <t>B25085_001</t>
  </si>
  <si>
    <t>B07001PR_039</t>
  </si>
  <si>
    <t>Estimate!!Total:!!Moved within same municipio:!!30 to 34 years</t>
  </si>
  <si>
    <t>Price Asked</t>
  </si>
  <si>
    <t>B25085</t>
  </si>
  <si>
    <t>B07001PR_040</t>
  </si>
  <si>
    <t>Estimate!!Total:!!Moved within same municipio:!!35 to 39 years</t>
  </si>
  <si>
    <t>B07001PR_041</t>
  </si>
  <si>
    <t>Estimate!!Total:!!Moved within same municipio:!!40 to 44 years</t>
  </si>
  <si>
    <t>B25086_001</t>
  </si>
  <si>
    <t>Estimate!!Aggregate price asked (dollars)</t>
  </si>
  <si>
    <t>B07001PR_042</t>
  </si>
  <si>
    <t>Aggregate Price Asked (Dollars)</t>
  </si>
  <si>
    <t>Estimate!!Total:!!Moved within same municipio:!!45 to 49 years</t>
  </si>
  <si>
    <t>B25086</t>
  </si>
  <si>
    <t>B07001PR_043</t>
  </si>
  <si>
    <t>Estimate!!Total:!!Moved within same municipio:!!50 to 54 years</t>
  </si>
  <si>
    <t>B07001PR_044</t>
  </si>
  <si>
    <t>Estimate!!Total:!!Moved within same municipio:!!55 to 59 years</t>
  </si>
  <si>
    <t>B25087_001</t>
  </si>
  <si>
    <t>Mortgage Status and Selected Monthly Owner Costs</t>
  </si>
  <si>
    <t>B07001PR_045</t>
  </si>
  <si>
    <t>B25087</t>
  </si>
  <si>
    <t>Estimate!!Total:!!Moved within same municipio:!!60 to 64 years</t>
  </si>
  <si>
    <t>B07001PR_046</t>
  </si>
  <si>
    <t>Estimate!!Total:!!Moved within same municipio:!!65 to 69 years</t>
  </si>
  <si>
    <t>B07001PR_047</t>
  </si>
  <si>
    <t>Estimate!!Total:!!Moved within same municipio:!!70 to 74 years</t>
  </si>
  <si>
    <t>B25088_001</t>
  </si>
  <si>
    <t>Estimate!!Median selected monthly owner costs (dollars) --!!Total:</t>
  </si>
  <si>
    <t>B07001PR_048</t>
  </si>
  <si>
    <t>Median Selected Monthly Owner Costs (Dollars) by Mortgage Status</t>
  </si>
  <si>
    <t>Estimate!!Total:!!Moved within same municipio:!!75 years and over</t>
  </si>
  <si>
    <t>B25088</t>
  </si>
  <si>
    <t>B07001PR_049</t>
  </si>
  <si>
    <t>Estimate!!Total:!!Moved from different municipio:</t>
  </si>
  <si>
    <t>B07001PR_050</t>
  </si>
  <si>
    <t>Estimate!!Total:!!Moved from different municipio:!!1 to 4 years</t>
  </si>
  <si>
    <t>B25089_001</t>
  </si>
  <si>
    <t>Estimate!!Aggregate selected monthly owner costs (dollars):</t>
  </si>
  <si>
    <t>B07001PR_051</t>
  </si>
  <si>
    <t>Estimate!!Total:!!Moved from different municipio:!!5 to 17 years</t>
  </si>
  <si>
    <t>Aggregate Selected Monthly Owner Costs (Dollars) by Mortgage Status</t>
  </si>
  <si>
    <t>B25089</t>
  </si>
  <si>
    <t>B07001PR_052</t>
  </si>
  <si>
    <t>Estimate!!Total:!!Moved from different municipio:!!18 and 19 years</t>
  </si>
  <si>
    <t>B07001PR_053</t>
  </si>
  <si>
    <t>Estimate!!Total:!!Moved from different municipio:!!20 to 24 years</t>
  </si>
  <si>
    <t>B25090_001</t>
  </si>
  <si>
    <t>Estimate!!Aggregate real estate taxes paid (dollars):</t>
  </si>
  <si>
    <t>B07001PR_054</t>
  </si>
  <si>
    <t>Mortgage Status by Aggregate Real Estate Taxes Paid (Dollars)</t>
  </si>
  <si>
    <t>Estimate!!Total:!!Moved from different municipio:!!25 to 29 years</t>
  </si>
  <si>
    <t>B25090</t>
  </si>
  <si>
    <t>B07001PR_055</t>
  </si>
  <si>
    <t>Estimate!!Total:!!Moved from different municipio:!!30 to 34 years</t>
  </si>
  <si>
    <t>B07001PR_056</t>
  </si>
  <si>
    <t>Estimate!!Total:!!Moved from different municipio:!!35 to 39 years</t>
  </si>
  <si>
    <t>B25091_001</t>
  </si>
  <si>
    <t>B07001PR_057</t>
  </si>
  <si>
    <t>Mortgage Status by Selected Monthly Owner Costs as a Percentage of Household Income in the Past 12 Months</t>
  </si>
  <si>
    <t>Estimate!!Total:!!Moved from different municipio:!!40 to 44 years</t>
  </si>
  <si>
    <t>B25091</t>
  </si>
  <si>
    <t>B07001PR_058</t>
  </si>
  <si>
    <t>Estimate!!Total:!!Moved from different municipio:!!45 to 49 years</t>
  </si>
  <si>
    <t>B07001PR_059</t>
  </si>
  <si>
    <t>Estimate!!Total:!!Moved from different municipio:!!50 to 54 years</t>
  </si>
  <si>
    <t>B25092_001</t>
  </si>
  <si>
    <t>Estimate!!Median selected monthly owner costs as a percentage of household income in the past 12 months --!!Total:</t>
  </si>
  <si>
    <t>B07001PR_060</t>
  </si>
  <si>
    <t>Median Selected Monthly Owner Costs as a Percentage of Household Income in the Past 12 Months</t>
  </si>
  <si>
    <t>Estimate!!Total:!!Moved from different municipio:!!55 to 59 years</t>
  </si>
  <si>
    <t>B25092</t>
  </si>
  <si>
    <t>B07001PR_061</t>
  </si>
  <si>
    <t>Estimate!!Total:!!Moved from different municipio:!!60 to 64 years</t>
  </si>
  <si>
    <t>B07001PR_062</t>
  </si>
  <si>
    <t>Estimate!!Total:!!Moved from different municipio:!!65 to 69 years</t>
  </si>
  <si>
    <t>B25093_001</t>
  </si>
  <si>
    <t>B07001PR_063</t>
  </si>
  <si>
    <t>Age of Householder by Selected Monthly Owner Costs as a Percentage of Household Income in the Past 12 Months</t>
  </si>
  <si>
    <t>Estimate!!Total:!!Moved from different municipio:!!70 to 74 years</t>
  </si>
  <si>
    <t>B25093</t>
  </si>
  <si>
    <t>B07001PR_064</t>
  </si>
  <si>
    <t>Estimate!!Total:!!Moved from different municipio:!!75 years and over</t>
  </si>
  <si>
    <t>B07001PR_065</t>
  </si>
  <si>
    <t>Estimate!!Total:!!Moved from the United States:</t>
  </si>
  <si>
    <t>B25094_001</t>
  </si>
  <si>
    <t>B07001PR_066</t>
  </si>
  <si>
    <t>Selected Monthly Owner Costs</t>
  </si>
  <si>
    <t>Estimate!!Total:!!Moved from the United States:!!1 to 4 years</t>
  </si>
  <si>
    <t>B25094</t>
  </si>
  <si>
    <t>B07001PR_067</t>
  </si>
  <si>
    <t>Estimate!!Total:!!Moved from the United States:!!5 to 17 years</t>
  </si>
  <si>
    <t>B07001PR_068</t>
  </si>
  <si>
    <t>B25095_001</t>
  </si>
  <si>
    <t>Estimate!!Total:!!Moved from the United States:!!18 and 19 years</t>
  </si>
  <si>
    <t>Household Income by Selected Monthly Owner Costs as a Percentage of Household Income in the Past 12 Months</t>
  </si>
  <si>
    <t>B07001PR_069</t>
  </si>
  <si>
    <t>B25095</t>
  </si>
  <si>
    <t>Estimate!!Total:!!Moved from the United States:!!20 to 24 years</t>
  </si>
  <si>
    <t>B07001PR_070</t>
  </si>
  <si>
    <t>Estimate!!Total:!!Moved from the United States:!!25 to 29 years</t>
  </si>
  <si>
    <t>B07001PR_071</t>
  </si>
  <si>
    <t>B25096_001</t>
  </si>
  <si>
    <t>Estimate!!Total:!!Moved from the United States:!!30 to 34 years</t>
  </si>
  <si>
    <t>Mortgage Status by Value</t>
  </si>
  <si>
    <t>B07001PR_072</t>
  </si>
  <si>
    <t>B25096</t>
  </si>
  <si>
    <t>Estimate!!Total:!!Moved from the United States:!!35 to 39 years</t>
  </si>
  <si>
    <t>B07001PR_073</t>
  </si>
  <si>
    <t>Estimate!!Total:!!Moved from the United States:!!40 to 44 years</t>
  </si>
  <si>
    <t>B07001PR_074</t>
  </si>
  <si>
    <t>Estimate!!Total:!!Moved from the United States:!!45 to 49 years</t>
  </si>
  <si>
    <t>B25097_001</t>
  </si>
  <si>
    <t>Estimate!!Median value --!!Total:</t>
  </si>
  <si>
    <t>Mortgage Status by Median Value (Dollars)</t>
  </si>
  <si>
    <t>B07001PR_075</t>
  </si>
  <si>
    <t>B25097</t>
  </si>
  <si>
    <t>Estimate!!Total:!!Moved from the United States:!!50 to 54 years</t>
  </si>
  <si>
    <t>B07001PR_076</t>
  </si>
  <si>
    <t>Estimate!!Total:!!Moved from the United States:!!55 to 59 years</t>
  </si>
  <si>
    <t>B25098_001</t>
  </si>
  <si>
    <t>B07001PR_077</t>
  </si>
  <si>
    <t>Mortgage Status by Household Income in the Past 12 Months (in 2024 Inflation-Adjusted Dollars)</t>
  </si>
  <si>
    <t>Estimate!!Total:!!Moved from the United States:!!60 to 64 years</t>
  </si>
  <si>
    <t>B25098</t>
  </si>
  <si>
    <t>B07001PR_078</t>
  </si>
  <si>
    <t>Estimate!!Total:!!Moved from the United States:!!65 to 69 years</t>
  </si>
  <si>
    <t>B25099_001</t>
  </si>
  <si>
    <t>B07001PR_079</t>
  </si>
  <si>
    <t>Estimate!!Median household income --!!Total:</t>
  </si>
  <si>
    <t>Estimate!!Total:!!Moved from the United States:!!70 to 74 years</t>
  </si>
  <si>
    <t>Mortgage Status by Median Household Income in the Past 12 Months (in 2024 Inflation-Adjusted Dollars)</t>
  </si>
  <si>
    <t>B25099</t>
  </si>
  <si>
    <t>B07001PR_080</t>
  </si>
  <si>
    <t>Estimate!!Total:!!Moved from the United States:!!75 years and over</t>
  </si>
  <si>
    <t>B07001PR_081</t>
  </si>
  <si>
    <t>B25100_001</t>
  </si>
  <si>
    <t>Estimate!!Total:!!Moved from elsewhere:</t>
  </si>
  <si>
    <t>Mortgage Status by Ratio of Value to Household Income in the Past 12 Months</t>
  </si>
  <si>
    <t>B25100</t>
  </si>
  <si>
    <t>B07001PR_082</t>
  </si>
  <si>
    <t>Estimate!!Total:!!Moved from elsewhere:!!1 to 4 years</t>
  </si>
  <si>
    <t>B07001PR_083</t>
  </si>
  <si>
    <t>Estimate!!Total:!!Moved from elsewhere:!!5 to 17 years</t>
  </si>
  <si>
    <t>B25101_001</t>
  </si>
  <si>
    <t>B07001PR_084</t>
  </si>
  <si>
    <t>Mortgage Status by Monthly Housing Costs as a Percentage of Household Income in the Past 12 Months</t>
  </si>
  <si>
    <t>Estimate!!Total:!!Moved from elsewhere:!!18 and 19 years</t>
  </si>
  <si>
    <t>B25101</t>
  </si>
  <si>
    <t>B07001PR_085</t>
  </si>
  <si>
    <t>Estimate!!Total:!!Moved from elsewhere:!!20 to 24 years</t>
  </si>
  <si>
    <t>B07001PR_086</t>
  </si>
  <si>
    <t>B25102_001</t>
  </si>
  <si>
    <t>Estimate!!Total:!!Moved from elsewhere:!!25 to 29 years</t>
  </si>
  <si>
    <t>Mortgage Status by Real Estate Taxes Paid</t>
  </si>
  <si>
    <t>B25102</t>
  </si>
  <si>
    <t>B07001PR_087</t>
  </si>
  <si>
    <t>Estimate!!Total:!!Moved from elsewhere:!!30 to 34 years</t>
  </si>
  <si>
    <t>B07001PR_088</t>
  </si>
  <si>
    <t>Estimate!!Total:!!Moved from elsewhere:!!35 to 39 years</t>
  </si>
  <si>
    <t>B25103_001</t>
  </si>
  <si>
    <t>Estimate!!Median real estate taxes paid --!!Total:</t>
  </si>
  <si>
    <t>Mortgage Status by Median Real Estate Taxes Paid (Dollars)</t>
  </si>
  <si>
    <t>B07001PR_089</t>
  </si>
  <si>
    <t>B25103</t>
  </si>
  <si>
    <t>Estimate!!Total:!!Moved from elsewhere:!!40 to 44 years</t>
  </si>
  <si>
    <t>B07001PR_090</t>
  </si>
  <si>
    <t>Estimate!!Total:!!Moved from elsewhere:!!45 to 49 years</t>
  </si>
  <si>
    <t>B25104_001</t>
  </si>
  <si>
    <t>Monthly Housing Costs</t>
  </si>
  <si>
    <t>B25104</t>
  </si>
  <si>
    <t>B07001PR_091</t>
  </si>
  <si>
    <t>Estimate!!Total:!!Moved from elsewhere:!!50 to 54 years</t>
  </si>
  <si>
    <t>B07001PR_092</t>
  </si>
  <si>
    <t>Estimate!!Total:!!Moved from elsewhere:!!55 to 59 years</t>
  </si>
  <si>
    <t>B25105_001</t>
  </si>
  <si>
    <t>B07001PR_093</t>
  </si>
  <si>
    <t>Estimate!!Total:!!Moved from elsewhere:!!60 to 64 years</t>
  </si>
  <si>
    <t>Estimate!!Median monthly housing costs</t>
  </si>
  <si>
    <t>Median Monthly Housing Costs (Dollars)</t>
  </si>
  <si>
    <t>B07001PR_094</t>
  </si>
  <si>
    <t>B25105</t>
  </si>
  <si>
    <t>Estimate!!Total:!!Moved from elsewhere:!!65 to 69 years</t>
  </si>
  <si>
    <t>B07001PR_095</t>
  </si>
  <si>
    <t>Estimate!!Total:!!Moved from elsewhere:!!70 to 74 years</t>
  </si>
  <si>
    <t>B07001PR_096</t>
  </si>
  <si>
    <t>Estimate!!Total:!!Moved from elsewhere:!!75 years and over</t>
  </si>
  <si>
    <t>B25106_001</t>
  </si>
  <si>
    <t>Tenure by Housing Costs as a Percentage of Household Income in the Past 12 Months</t>
  </si>
  <si>
    <t>B25106</t>
  </si>
  <si>
    <t>B07001_002</t>
  </si>
  <si>
    <t>B07001_003</t>
  </si>
  <si>
    <t>B07001_004</t>
  </si>
  <si>
    <t>B25107_001</t>
  </si>
  <si>
    <t>B07001_005</t>
  </si>
  <si>
    <t>Median Value by Year Structure Built</t>
  </si>
  <si>
    <t>B25107</t>
  </si>
  <si>
    <t>B07001_006</t>
  </si>
  <si>
    <t>B07001_007</t>
  </si>
  <si>
    <t>B07001_008</t>
  </si>
  <si>
    <t>B25108_001</t>
  </si>
  <si>
    <t>Aggregate Value (Dollars) by Year Structure Built</t>
  </si>
  <si>
    <t>B07001_009</t>
  </si>
  <si>
    <t>B25108</t>
  </si>
  <si>
    <t>B07001_010</t>
  </si>
  <si>
    <t>B07001_011</t>
  </si>
  <si>
    <t>B07001_012</t>
  </si>
  <si>
    <t>B25109_001</t>
  </si>
  <si>
    <t>Median Value by Year Householder Moved Into Unit</t>
  </si>
  <si>
    <t>B07001_013</t>
  </si>
  <si>
    <t>B25109</t>
  </si>
  <si>
    <t>B07001_014</t>
  </si>
  <si>
    <t>B07001_015</t>
  </si>
  <si>
    <t>B25110_001</t>
  </si>
  <si>
    <t>B07001_016</t>
  </si>
  <si>
    <t>Aggregate Value (Dollars) by Year Householder Moved Into Unit</t>
  </si>
  <si>
    <t>B07001_017</t>
  </si>
  <si>
    <t>B25110</t>
  </si>
  <si>
    <t>B07001_018</t>
  </si>
  <si>
    <t>B07001_019</t>
  </si>
  <si>
    <t>B25111_001</t>
  </si>
  <si>
    <t>B07001_020</t>
  </si>
  <si>
    <t>Median Gross Rent by Year Structure Built</t>
  </si>
  <si>
    <t>B25111</t>
  </si>
  <si>
    <t>B07001_021</t>
  </si>
  <si>
    <t>B07001_022</t>
  </si>
  <si>
    <t>B07001_023</t>
  </si>
  <si>
    <t>B25112_001</t>
  </si>
  <si>
    <t>Estimate!!Aggregate gross rent (dollars):</t>
  </si>
  <si>
    <t>Aggregate Gross Rent (Dollars) by Year Structure Built</t>
  </si>
  <si>
    <t>B07001_024</t>
  </si>
  <si>
    <t>B25112</t>
  </si>
  <si>
    <t>B07001_025</t>
  </si>
  <si>
    <t>B07001_026</t>
  </si>
  <si>
    <t>B25113_001</t>
  </si>
  <si>
    <t>B07001_027</t>
  </si>
  <si>
    <t>Median Gross Rent by Year Householder Moved Into Unit</t>
  </si>
  <si>
    <t>B25113</t>
  </si>
  <si>
    <t>B07001_028</t>
  </si>
  <si>
    <t>B07001_029</t>
  </si>
  <si>
    <t>B25114_001</t>
  </si>
  <si>
    <t>B07001_030</t>
  </si>
  <si>
    <t>Aggregate Gross Rent (Dollars) by Year Householder Moved Into Unit</t>
  </si>
  <si>
    <t>B25114</t>
  </si>
  <si>
    <t>B07001_031</t>
  </si>
  <si>
    <t>B07001_032</t>
  </si>
  <si>
    <t>B07001_033</t>
  </si>
  <si>
    <t>Estimate!!Total:!!Moved within same county:</t>
  </si>
  <si>
    <t>B25115_001</t>
  </si>
  <si>
    <t>B07001_034</t>
  </si>
  <si>
    <t>Tenure by Household Type and Presence and Age of Own Children</t>
  </si>
  <si>
    <t>Estimate!!Total:!!Moved within same county:!!1 to 4 years</t>
  </si>
  <si>
    <t>B25115</t>
  </si>
  <si>
    <t>B07001_035</t>
  </si>
  <si>
    <t>Estimate!!Total:!!Moved within same county:!!5 to 17 years</t>
  </si>
  <si>
    <t>B07001_036</t>
  </si>
  <si>
    <t>Estimate!!Total:!!Moved within same county:!!18 and 19 years</t>
  </si>
  <si>
    <t>B25116_001</t>
  </si>
  <si>
    <t>B07001_037</t>
  </si>
  <si>
    <t>Estimate!!Total:!!Moved within same county:!!20 to 24 years</t>
  </si>
  <si>
    <t>Tenure by Household Size by Age of Householder</t>
  </si>
  <si>
    <t>B25116</t>
  </si>
  <si>
    <t>B07001_038</t>
  </si>
  <si>
    <t>Estimate!!Total:!!Moved within same county:!!25 to 29 years</t>
  </si>
  <si>
    <t>B07001_039</t>
  </si>
  <si>
    <t>Estimate!!Total:!!Moved within same county:!!30 to 34 years</t>
  </si>
  <si>
    <t>B07001_040</t>
  </si>
  <si>
    <t>Estimate!!Total:!!Moved within same county:!!35 to 39 years</t>
  </si>
  <si>
    <t>B25117_001</t>
  </si>
  <si>
    <t>B07001_041</t>
  </si>
  <si>
    <t>Estimate!!Total:!!Moved within same county:!!40 to 44 years</t>
  </si>
  <si>
    <t>B07001_042</t>
  </si>
  <si>
    <t>Estimate!!Total:!!Moved within same county:!!45 to 49 years</t>
  </si>
  <si>
    <t>B07001_043</t>
  </si>
  <si>
    <t>Estimate!!Total:!!Moved within same county:!!50 to 54 years</t>
  </si>
  <si>
    <t>Tenure by House Heating Fuel</t>
  </si>
  <si>
    <t>B25117</t>
  </si>
  <si>
    <t>B07001_044</t>
  </si>
  <si>
    <t>Estimate!!Total:!!Moved within same county:!!55 to 59 years</t>
  </si>
  <si>
    <t>B07001_045</t>
  </si>
  <si>
    <t>Estimate!!Total:!!Moved within same county:!!60 to 64 years</t>
  </si>
  <si>
    <t>B07001_046</t>
  </si>
  <si>
    <t>B25118_001</t>
  </si>
  <si>
    <t>Estimate!!Total:!!Moved within same county:!!65 to 69 years</t>
  </si>
  <si>
    <t>Tenure by Household Income in the Past 12 Months (in 2024 Inflation-Adjusted Dollars)</t>
  </si>
  <si>
    <t>B07001_047</t>
  </si>
  <si>
    <t>Estimate!!Total:!!Moved within same county:!!70 to 74 years</t>
  </si>
  <si>
    <t>B25118</t>
  </si>
  <si>
    <t>B07001_048</t>
  </si>
  <si>
    <t>Estimate!!Total:!!Moved within same county:!!75 years and over</t>
  </si>
  <si>
    <t>B07001_049</t>
  </si>
  <si>
    <t>Estimate!!Total:!!Moved from different county within same state:</t>
  </si>
  <si>
    <t>B25119_001</t>
  </si>
  <si>
    <t>B07001_050</t>
  </si>
  <si>
    <t>Estimate!!Total:!!Moved from different county within same state:!!1 to 4 years</t>
  </si>
  <si>
    <t>Median Household Income in the Past 12 Months (in 2024 Inflation-Adjusted Dollars) by Tenure</t>
  </si>
  <si>
    <t>B25119</t>
  </si>
  <si>
    <t>B07001_051</t>
  </si>
  <si>
    <t>Estimate!!Total:!!Moved from different county within same state:!!5 to 17 years</t>
  </si>
  <si>
    <t>B07001_052</t>
  </si>
  <si>
    <t>Estimate!!Total:!!Moved from different county within same state:!!18 and 19 years</t>
  </si>
  <si>
    <t>B25120_001</t>
  </si>
  <si>
    <t>B07001_053</t>
  </si>
  <si>
    <t>Estimate!!Total:!!Moved from different county within same state:!!20 to 24 years</t>
  </si>
  <si>
    <t>Aggregate Household Income in the Past 12 Months (in 2024 Inflation-Adjusted Dollars) by Tenure and Mortgage Status</t>
  </si>
  <si>
    <t>B07001_054</t>
  </si>
  <si>
    <t>Estimate!!Total:!!Moved from different county within same state:!!25 to 29 years</t>
  </si>
  <si>
    <t>B25120</t>
  </si>
  <si>
    <t>B07001_055</t>
  </si>
  <si>
    <t>Estimate!!Total:!!Moved from different county within same state:!!30 to 34 years</t>
  </si>
  <si>
    <t>B07001_056</t>
  </si>
  <si>
    <t>Estimate!!Total:!!Moved from different county within same state:!!35 to 39 years</t>
  </si>
  <si>
    <t>B07001_057</t>
  </si>
  <si>
    <t>Estimate!!Total:!!Moved from different county within same state:!!40 to 44 years</t>
  </si>
  <si>
    <t>B07001_058</t>
  </si>
  <si>
    <t>Estimate!!Total:!!Moved from different county within same state:!!45 to 49 years</t>
  </si>
  <si>
    <t>B25121_001</t>
  </si>
  <si>
    <t>B07001_059</t>
  </si>
  <si>
    <t>Estimate!!Total:!!Moved from different county within same state:!!50 to 54 years</t>
  </si>
  <si>
    <t>Household Income in the Past 12 Months (in 2024 Inflation-Adjusted Dollars) by Value</t>
  </si>
  <si>
    <t>B25121</t>
  </si>
  <si>
    <t>B07001_060</t>
  </si>
  <si>
    <t>Estimate!!Total:!!Moved from different county within same state:!!55 to 59 years</t>
  </si>
  <si>
    <t>B07001_061</t>
  </si>
  <si>
    <t>Estimate!!Total:!!Moved from different county within same state:!!60 to 64 years</t>
  </si>
  <si>
    <t>B25122_001</t>
  </si>
  <si>
    <t>B07001_062</t>
  </si>
  <si>
    <t>Estimate!!Total:!!Moved from different county within same state:!!65 to 69 years</t>
  </si>
  <si>
    <t>B07001_063</t>
  </si>
  <si>
    <t>B25122</t>
  </si>
  <si>
    <t>Estimate!!Total:!!Moved from different county within same state:!!70 to 74 years</t>
  </si>
  <si>
    <t>B07001_064</t>
  </si>
  <si>
    <t>Estimate!!Total:!!Moved from different county within same state:!!75 years and over</t>
  </si>
  <si>
    <t>B07001_065</t>
  </si>
  <si>
    <t>Estimate!!Total:!!Moved from different state:</t>
  </si>
  <si>
    <t>B25123_001</t>
  </si>
  <si>
    <t>B07001_066</t>
  </si>
  <si>
    <t>Estimate!!Total:!!Moved from different state:!!1 to 4 years</t>
  </si>
  <si>
    <t>Tenure by Selected Physical and Financial Conditions</t>
  </si>
  <si>
    <t>B25123</t>
  </si>
  <si>
    <t>B07001_067</t>
  </si>
  <si>
    <t>Estimate!!Total:!!Moved from different state:!!5 to 17 years</t>
  </si>
  <si>
    <t>B07001_068</t>
  </si>
  <si>
    <t>Estimate!!Total:!!Moved from different state:!!18 and 19 years</t>
  </si>
  <si>
    <t>B25124_001</t>
  </si>
  <si>
    <t>B07001_069</t>
  </si>
  <si>
    <t>Estimate!!Total:!!Moved from different state:!!20 to 24 years</t>
  </si>
  <si>
    <t>Tenure by Household Size by Units in Structure</t>
  </si>
  <si>
    <t>B25124</t>
  </si>
  <si>
    <t>B07001_070</t>
  </si>
  <si>
    <t>Estimate!!Total:!!Moved from different state:!!25 to 29 years</t>
  </si>
  <si>
    <t>B07001_071</t>
  </si>
  <si>
    <t>Estimate!!Total:!!Moved from different state:!!30 to 34 years</t>
  </si>
  <si>
    <t>B07001_072</t>
  </si>
  <si>
    <t>Estimate!!Total:!!Moved from different state:!!35 to 39 years</t>
  </si>
  <si>
    <t>B07001_073</t>
  </si>
  <si>
    <t>Estimate!!Total:!!Moved from different state:!!40 to 44 years</t>
  </si>
  <si>
    <t>B07001_074</t>
  </si>
  <si>
    <t>Estimate!!Total:!!Moved from different state:!!45 to 49 years</t>
  </si>
  <si>
    <t>B07001_075</t>
  </si>
  <si>
    <t>Estimate!!Total:!!Moved from different state:!!50 to 54 years</t>
  </si>
  <si>
    <t>B25125_001</t>
  </si>
  <si>
    <t>B07001_076</t>
  </si>
  <si>
    <t>Estimate!!Total:!!Moved from different state:!!55 to 59 years</t>
  </si>
  <si>
    <t>Tenure by Age of Householder by Units in Structure</t>
  </si>
  <si>
    <t>B25125</t>
  </si>
  <si>
    <t>B07001_077</t>
  </si>
  <si>
    <t>Estimate!!Total:!!Moved from different state:!!60 to 64 years</t>
  </si>
  <si>
    <t>B07001_078</t>
  </si>
  <si>
    <t>Estimate!!Total:!!Moved from different state:!!65 to 69 years</t>
  </si>
  <si>
    <t>B25126_001</t>
  </si>
  <si>
    <t>B07001_079</t>
  </si>
  <si>
    <t>Estimate!!Total:!!Moved from different state:!!70 to 74 years</t>
  </si>
  <si>
    <t>Tenure by Age of Householder by Year Structure Built</t>
  </si>
  <si>
    <t>B25126</t>
  </si>
  <si>
    <t>B07001_080</t>
  </si>
  <si>
    <t>Estimate!!Total:!!Moved from different state:!!75 years and over</t>
  </si>
  <si>
    <t>B07001_081</t>
  </si>
  <si>
    <t>Estimate!!Total:!!Moved from abroad:</t>
  </si>
  <si>
    <t>B07001_082</t>
  </si>
  <si>
    <t>Estimate!!Total:!!Moved from abroad:!!1 to 4 years</t>
  </si>
  <si>
    <t>B25127_001</t>
  </si>
  <si>
    <t>Tenure by Year Structure Built by Units in Structure</t>
  </si>
  <si>
    <t>B25127</t>
  </si>
  <si>
    <t>B07001_083</t>
  </si>
  <si>
    <t>Estimate!!Total:!!Moved from abroad:!!5 to 17 years</t>
  </si>
  <si>
    <t>B25128_001</t>
  </si>
  <si>
    <t>B07001_084</t>
  </si>
  <si>
    <t>Estimate!!Total:!!Moved from abroad:!!18 and 19 years</t>
  </si>
  <si>
    <t>Tenure by Age of Householder by Year Householder Moved Into Unit</t>
  </si>
  <si>
    <t>B25128</t>
  </si>
  <si>
    <t>B07001_085</t>
  </si>
  <si>
    <t>Estimate!!Total:!!Moved from abroad:!!20 to 24 years</t>
  </si>
  <si>
    <t>B07001_086</t>
  </si>
  <si>
    <t>Estimate!!Total:!!Moved from abroad:!!25 to 29 years</t>
  </si>
  <si>
    <t>B25129_001</t>
  </si>
  <si>
    <t>B07001_087</t>
  </si>
  <si>
    <t>Estimate!!Total:!!Moved from abroad:!!30 to 34 years</t>
  </si>
  <si>
    <t>Tenure by Year Householder Moved Into Unit by Units in Structure</t>
  </si>
  <si>
    <t>B07001_088</t>
  </si>
  <si>
    <t>B25129</t>
  </si>
  <si>
    <t>Estimate!!Total:!!Moved from abroad:!!35 to 39 years</t>
  </si>
  <si>
    <t>B07001_089</t>
  </si>
  <si>
    <t>Estimate!!Total:!!Moved from abroad:!!40 to 44 years</t>
  </si>
  <si>
    <t>B07001_090</t>
  </si>
  <si>
    <t>Estimate!!Total:!!Moved from abroad:!!45 to 49 years</t>
  </si>
  <si>
    <t>B25132_001</t>
  </si>
  <si>
    <t>B07001_091</t>
  </si>
  <si>
    <t>Estimate!!Total:!!Moved from abroad:!!50 to 54 years</t>
  </si>
  <si>
    <t>Monthly Electricity Costs</t>
  </si>
  <si>
    <t>B07001_092</t>
  </si>
  <si>
    <t>Estimate!!Total:!!Moved from abroad:!!55 to 59 years</t>
  </si>
  <si>
    <t>B25132</t>
  </si>
  <si>
    <t>B07001_093</t>
  </si>
  <si>
    <t>Estimate!!Total:!!Moved from abroad:!!60 to 64 years</t>
  </si>
  <si>
    <t>B07001_094</t>
  </si>
  <si>
    <t>Estimate!!Total:!!Moved from abroad:!!65 to 69 years</t>
  </si>
  <si>
    <t>B25133_001</t>
  </si>
  <si>
    <t>B07001_095</t>
  </si>
  <si>
    <t>Estimate!!Total:!!Moved from abroad:!!70 to 74 years</t>
  </si>
  <si>
    <t>Monthly Gas Costs</t>
  </si>
  <si>
    <t>B25133</t>
  </si>
  <si>
    <t>B07001_096</t>
  </si>
  <si>
    <t>Estimate!!Total:!!Moved from abroad:!!75 years and over</t>
  </si>
  <si>
    <t>B25134_001</t>
  </si>
  <si>
    <t>B07002PR_002</t>
  </si>
  <si>
    <t>Estimate!!Median age --!!Total:!!Same house 1 year ago</t>
  </si>
  <si>
    <t>Annual Water and Sewer Costs</t>
  </si>
  <si>
    <t>B25134</t>
  </si>
  <si>
    <t>B07002PR_003</t>
  </si>
  <si>
    <t>Estimate!!Median age --!!Total:!!Moved within same municipio</t>
  </si>
  <si>
    <t>B07002PR_004</t>
  </si>
  <si>
    <t>Estimate!!Median age --!!Total:!!Moved from different municipio</t>
  </si>
  <si>
    <t>B07002PR_005</t>
  </si>
  <si>
    <t>B25135_001</t>
  </si>
  <si>
    <t>Estimate!!Median age --!!Total:!!Moved from the United States</t>
  </si>
  <si>
    <t>Annual Other Fuel Costs</t>
  </si>
  <si>
    <t>B25135</t>
  </si>
  <si>
    <t>B07002PR_006</t>
  </si>
  <si>
    <t>B25136_001</t>
  </si>
  <si>
    <t>Estimate!!Total Housing Units:</t>
  </si>
  <si>
    <t>Estimate!!Median age --!!Total:!!Moved from elsewhere</t>
  </si>
  <si>
    <t>Structure Type by Occupancy Status</t>
  </si>
  <si>
    <t>B25136</t>
  </si>
  <si>
    <t>B25137_001</t>
  </si>
  <si>
    <t>Bedrooms by Occupancy Status</t>
  </si>
  <si>
    <t>B07002_002</t>
  </si>
  <si>
    <t>B25137</t>
  </si>
  <si>
    <t>B07002_003</t>
  </si>
  <si>
    <t>Estimate!!Median age --!!Total:!!Moved within same county</t>
  </si>
  <si>
    <t>B25138_001</t>
  </si>
  <si>
    <t>Estimate!!Lower gross rent quartile (dollars)</t>
  </si>
  <si>
    <t>Lower Gross Rent Quartile (Dollars)</t>
  </si>
  <si>
    <t>B25138</t>
  </si>
  <si>
    <t>B07002_004</t>
  </si>
  <si>
    <t>Estimate!!Median age --!!Total:!!Moved from different county within same state</t>
  </si>
  <si>
    <t>B25139_001</t>
  </si>
  <si>
    <t>B07002_005</t>
  </si>
  <si>
    <t>Estimate!!Upper gross rent quartile (dollars)</t>
  </si>
  <si>
    <t>Estimate!!Median age --!!Total:!!Moved from different state</t>
  </si>
  <si>
    <t>Upper Gross Rent Quartile (Dollars)</t>
  </si>
  <si>
    <t>B25139</t>
  </si>
  <si>
    <t>B07002_006</t>
  </si>
  <si>
    <t>Estimate!!Median age --!!Total:!!Moved from abroad</t>
  </si>
  <si>
    <t>B25140_001</t>
  </si>
  <si>
    <t>B25140</t>
  </si>
  <si>
    <t>B07003PR_002</t>
  </si>
  <si>
    <t>B07003PR_003</t>
  </si>
  <si>
    <t>B25140A_001</t>
  </si>
  <si>
    <t>B07003PR_004</t>
  </si>
  <si>
    <t>Housing Costs as a Percentage of Household Income in the Past 12 Months (White Alone Householder)</t>
  </si>
  <si>
    <t>B25140A</t>
  </si>
  <si>
    <t>B07003PR_005</t>
  </si>
  <si>
    <t>housing, economy, income, race</t>
  </si>
  <si>
    <t>Estimate!!Total:!!Same house 1 year ago:!!Male</t>
  </si>
  <si>
    <t>B07003PR_006</t>
  </si>
  <si>
    <t>Estimate!!Total:!!Same house 1 year ago:!!Female</t>
  </si>
  <si>
    <t>B25140B_001</t>
  </si>
  <si>
    <t>B07003PR_007</t>
  </si>
  <si>
    <t>Housing Costs as a Percentage of Household Income in the Past 12 Months (Black Alone Householder)</t>
  </si>
  <si>
    <t>B25140B</t>
  </si>
  <si>
    <t>B07003PR_008</t>
  </si>
  <si>
    <t>Estimate!!Total:!!Moved within same municipio:!!Male</t>
  </si>
  <si>
    <t>B07003PR_009</t>
  </si>
  <si>
    <t>Estimate!!Total:!!Moved within same municipio:!!Female</t>
  </si>
  <si>
    <t>B07003PR_010</t>
  </si>
  <si>
    <t>B07003PR_011</t>
  </si>
  <si>
    <t>Estimate!!Total:!!Moved from different municipio:!!Male</t>
  </si>
  <si>
    <t>B07003PR_012</t>
  </si>
  <si>
    <t>Estimate!!Total:!!Moved from different municipio:!!Female</t>
  </si>
  <si>
    <t>B07003PR_013</t>
  </si>
  <si>
    <t>B25140C_001</t>
  </si>
  <si>
    <t>Housing Costs as a Percentage of Household Income in the Past 12 Months (American Indian and Alaska Native Alone Householder)</t>
  </si>
  <si>
    <t>B25140C</t>
  </si>
  <si>
    <t>B07003PR_014</t>
  </si>
  <si>
    <t>Estimate!!Total:!!Moved from the United States:!!Male</t>
  </si>
  <si>
    <t>B07003PR_015</t>
  </si>
  <si>
    <t>B25140D_001</t>
  </si>
  <si>
    <t>Estimate!!Total:!!Moved from the United States:!!Female</t>
  </si>
  <si>
    <t>Housing Costs as a Percentage of Household Income in the Past 12 Months (Asian Alone Householder)</t>
  </si>
  <si>
    <t>B25140D</t>
  </si>
  <si>
    <t>B07003PR_016</t>
  </si>
  <si>
    <t>B25140E_001</t>
  </si>
  <si>
    <t>B07003PR_017</t>
  </si>
  <si>
    <t>Estimate!!Total:!!Moved from elsewhere:!!Male</t>
  </si>
  <si>
    <t>Housing Costs as a Percentage of Household Income in the Past 12 Months (Native Hawaiian and Other Pacific Islander Alone Householder)</t>
  </si>
  <si>
    <t>B25140E</t>
  </si>
  <si>
    <t>B07003PR_018</t>
  </si>
  <si>
    <t>Estimate!!Total:!!Moved from elsewhere:!!Female</t>
  </si>
  <si>
    <t>B25140F_001</t>
  </si>
  <si>
    <t>Housing Costs as a Percentage of Household Income in the Past 12 Months (Some Other Race Alone Householder)</t>
  </si>
  <si>
    <t>B25140F</t>
  </si>
  <si>
    <t>B07003_002</t>
  </si>
  <si>
    <t>B25140G_001</t>
  </si>
  <si>
    <t>B07003_003</t>
  </si>
  <si>
    <t>Housing Costs as a Percentage of Household Income in the Past 12 Months (Two or More Races Householder)</t>
  </si>
  <si>
    <t>B25140G</t>
  </si>
  <si>
    <t>B07003_004</t>
  </si>
  <si>
    <t>B07003_005</t>
  </si>
  <si>
    <t>B25140H_001</t>
  </si>
  <si>
    <t>B07003_006</t>
  </si>
  <si>
    <t>Housing Costs as a Percentage of Household Income in the Past 12 Months (White Alone, Not Hispanic or Latino Householder)</t>
  </si>
  <si>
    <t>B25140H</t>
  </si>
  <si>
    <t>B07003_007</t>
  </si>
  <si>
    <t>B07003_008</t>
  </si>
  <si>
    <t>Estimate!!Total:!!Moved within same county:!!Male</t>
  </si>
  <si>
    <t>B25140I_001</t>
  </si>
  <si>
    <t>B07003_009</t>
  </si>
  <si>
    <t>Housing Costs as a Percentage of Household Income in the Past 12 Months (Hispanic or Latino Householder)</t>
  </si>
  <si>
    <t>Estimate!!Total:!!Moved within same county:!!Female</t>
  </si>
  <si>
    <t>B25140I</t>
  </si>
  <si>
    <t>B07003_010</t>
  </si>
  <si>
    <t>B25141_001</t>
  </si>
  <si>
    <t>B07003_011</t>
  </si>
  <si>
    <t>Homeowners Insurance Costs by Mortgage Status (Yearly)</t>
  </si>
  <si>
    <t>Estimate!!Total:!!Moved from different county within same state:!!Male</t>
  </si>
  <si>
    <t>B25141</t>
  </si>
  <si>
    <t>B07003_012</t>
  </si>
  <si>
    <t>Estimate!!Total:!!Moved from different county within same state:!!Female</t>
  </si>
  <si>
    <t>B26001_001</t>
  </si>
  <si>
    <t>B07003_013</t>
  </si>
  <si>
    <t>B26001</t>
  </si>
  <si>
    <t>B07003_014</t>
  </si>
  <si>
    <t>Estimate!!Total:!!Moved from different state:!!Male</t>
  </si>
  <si>
    <t>B07003_015</t>
  </si>
  <si>
    <t>B26101_001</t>
  </si>
  <si>
    <t>Estimate!!Total:!!Moved from different state:!!Female</t>
  </si>
  <si>
    <t>Group Quarters Type (3 Types) by Sex by Age</t>
  </si>
  <si>
    <t>B26101</t>
  </si>
  <si>
    <t>B07003_016</t>
  </si>
  <si>
    <t>B26102_001</t>
  </si>
  <si>
    <t>B07003_017</t>
  </si>
  <si>
    <t>Estimate!!Total:!!Moved from abroad:!!Male</t>
  </si>
  <si>
    <t>Median Age by Group Quarters Type (3 Types)</t>
  </si>
  <si>
    <t>B26102</t>
  </si>
  <si>
    <t>B07003_018</t>
  </si>
  <si>
    <t>Estimate!!Total:!!Moved from abroad:!!Female</t>
  </si>
  <si>
    <t>B26103_001</t>
  </si>
  <si>
    <t>B26103</t>
  </si>
  <si>
    <t>B07004APR_002</t>
  </si>
  <si>
    <t>Estimate!!Total:!!Same house 1 year ago</t>
  </si>
  <si>
    <t>B26103A_001</t>
  </si>
  <si>
    <t>B07004APR_003</t>
  </si>
  <si>
    <t>Estimate!!Total:!!Moved within same municipio</t>
  </si>
  <si>
    <t>Group Quarters Type (3 Types) (White Alone)</t>
  </si>
  <si>
    <t>B26103A</t>
  </si>
  <si>
    <t>B07004APR_004</t>
  </si>
  <si>
    <t>Estimate!!Total:!!Moved from different municipio</t>
  </si>
  <si>
    <t>B26103B_001</t>
  </si>
  <si>
    <t>B07004APR_005</t>
  </si>
  <si>
    <t>Estimate!!Total:!!Moved from the United States</t>
  </si>
  <si>
    <t>Group Quarters Type (3 Types) (Black or African American Alone)</t>
  </si>
  <si>
    <t>B26103B</t>
  </si>
  <si>
    <t>B07004APR_006</t>
  </si>
  <si>
    <t>Estimate!!Total:!!Moved from elsewhere</t>
  </si>
  <si>
    <t>B07004A_002</t>
  </si>
  <si>
    <t>B07004A_003</t>
  </si>
  <si>
    <t>Estimate!!Total:!!Moved within same county</t>
  </si>
  <si>
    <t>B07004A_004</t>
  </si>
  <si>
    <t>Estimate!!Total:!!Moved from different county within same state</t>
  </si>
  <si>
    <t>B07004A_005</t>
  </si>
  <si>
    <t>B26103C_001</t>
  </si>
  <si>
    <t>Estimate!!Total:!!Moved from different state</t>
  </si>
  <si>
    <t>Group Quarters Type (3 Types) (American Indian and Alaska Native Alone)</t>
  </si>
  <si>
    <t>B26103C</t>
  </si>
  <si>
    <t>B07004A_006</t>
  </si>
  <si>
    <t>Estimate!!Total:!!Moved from abroad</t>
  </si>
  <si>
    <t>B26103D_001</t>
  </si>
  <si>
    <t>Group Quarters Type (3 Types) (Asian Alone)</t>
  </si>
  <si>
    <t>B26103D</t>
  </si>
  <si>
    <t>B07004BPR_002</t>
  </si>
  <si>
    <t>B07004BPR_003</t>
  </si>
  <si>
    <t>B26103E_001</t>
  </si>
  <si>
    <t>Group Quarters Type (3 Types) (Native Hawaiian and Other Pacific Islander Alone)</t>
  </si>
  <si>
    <t>B26103E</t>
  </si>
  <si>
    <t>B07004BPR_004</t>
  </si>
  <si>
    <t>B07004BPR_005</t>
  </si>
  <si>
    <t>B26103F_001</t>
  </si>
  <si>
    <t>Group Quarters Type (3 Types) (Some Other Race Alone)</t>
  </si>
  <si>
    <t>B26103F</t>
  </si>
  <si>
    <t>B07004BPR_006</t>
  </si>
  <si>
    <t>B26103G_001</t>
  </si>
  <si>
    <t>Group Quarters Type (3 Types) (Two or More Races)</t>
  </si>
  <si>
    <t>B26103G</t>
  </si>
  <si>
    <t>B07004B_002</t>
  </si>
  <si>
    <t>B26103H_001</t>
  </si>
  <si>
    <t>B07004B_003</t>
  </si>
  <si>
    <t>Group Quarters Type (3 Types) (White Alone, Not Hispanic or Latino)</t>
  </si>
  <si>
    <t>B26103H</t>
  </si>
  <si>
    <t>B07004B_004</t>
  </si>
  <si>
    <t>B26103I_001</t>
  </si>
  <si>
    <t>B07004B_005</t>
  </si>
  <si>
    <t>Group Quarters Type (3 Types) (Hispanic or Latino)</t>
  </si>
  <si>
    <t>B26103I</t>
  </si>
  <si>
    <t>B07004B_006</t>
  </si>
  <si>
    <t>B26104_001</t>
  </si>
  <si>
    <t>Group Quarters Type (3 Types) by Marital Status</t>
  </si>
  <si>
    <t>B26104</t>
  </si>
  <si>
    <t>B07004CPR_002</t>
  </si>
  <si>
    <t>B07004CPR_003</t>
  </si>
  <si>
    <t>B26105_001</t>
  </si>
  <si>
    <t>Group Quarters Type (3 Types) by School Enrollment</t>
  </si>
  <si>
    <t>B26105</t>
  </si>
  <si>
    <t>B07004CPR_004</t>
  </si>
  <si>
    <t>housing, income, education</t>
  </si>
  <si>
    <t>B07004CPR_005</t>
  </si>
  <si>
    <t>B26106_001</t>
  </si>
  <si>
    <t>B07004CPR_006</t>
  </si>
  <si>
    <t>Group Quarters Type (3 Types) by Educational Attainment</t>
  </si>
  <si>
    <t>B26106</t>
  </si>
  <si>
    <t>housing, education</t>
  </si>
  <si>
    <t>B07004C_002</t>
  </si>
  <si>
    <t>B26107_001</t>
  </si>
  <si>
    <t>B07004C_003</t>
  </si>
  <si>
    <t>Group Quarters Type (3 Types) by Veteran Status</t>
  </si>
  <si>
    <t>B26107</t>
  </si>
  <si>
    <t>B07004C_004</t>
  </si>
  <si>
    <t>B07004C_005</t>
  </si>
  <si>
    <t>B26108_001</t>
  </si>
  <si>
    <t>B07004C_006</t>
  </si>
  <si>
    <t>Group Quarters Type (3 Types) by Age by Disability Status</t>
  </si>
  <si>
    <t>B26108</t>
  </si>
  <si>
    <t>B07004DPR_002</t>
  </si>
  <si>
    <t>B07004DPR_003</t>
  </si>
  <si>
    <t>B07004DPR_004</t>
  </si>
  <si>
    <t>B26109_001</t>
  </si>
  <si>
    <t>B07004DPR_005</t>
  </si>
  <si>
    <t>Group Quarters Type (3 Types) by Geographical Mobility in the Past Year for Current Residence in the United States</t>
  </si>
  <si>
    <t>B26109</t>
  </si>
  <si>
    <t>B07004DPR_006</t>
  </si>
  <si>
    <t>B26109PR_001</t>
  </si>
  <si>
    <t>B07004D_002</t>
  </si>
  <si>
    <t>Group Quarters Type (3 Types) by Geographical Mobility in the Past Year for Current Residence in Puerto Rico</t>
  </si>
  <si>
    <t>B26109PR</t>
  </si>
  <si>
    <t>B07004D_003</t>
  </si>
  <si>
    <t>B07004D_004</t>
  </si>
  <si>
    <t>B07004D_005</t>
  </si>
  <si>
    <t>B26110_001</t>
  </si>
  <si>
    <t>Group Quarters Type (3 Types) by Nativity and Citizenship Status by Sex</t>
  </si>
  <si>
    <t>B26110</t>
  </si>
  <si>
    <t>B07004D_006</t>
  </si>
  <si>
    <t>B26113_001</t>
  </si>
  <si>
    <t>Group Quarters Type (3 Types) by Language Spoken at Home by Ability to Speak English</t>
  </si>
  <si>
    <t>B26113</t>
  </si>
  <si>
    <t>B07004EPR_002</t>
  </si>
  <si>
    <t>housing, income, language</t>
  </si>
  <si>
    <t>B26114_001</t>
  </si>
  <si>
    <t>B07004EPR_003</t>
  </si>
  <si>
    <t>Group Quarters Type (3 Types) by Employment Status</t>
  </si>
  <si>
    <t>B26114</t>
  </si>
  <si>
    <t>B07004EPR_004</t>
  </si>
  <si>
    <t>housing, income, economy</t>
  </si>
  <si>
    <t>B07004EPR_005</t>
  </si>
  <si>
    <t>B26115_001</t>
  </si>
  <si>
    <t>Group Quarters Type (3 Types) by Occupation</t>
  </si>
  <si>
    <t>B07004EPR_006</t>
  </si>
  <si>
    <t>B26115</t>
  </si>
  <si>
    <t>B26117_001</t>
  </si>
  <si>
    <t>B07004E_002</t>
  </si>
  <si>
    <t>Group Quarters Type (3 Types) by Sex With Earnings in the Past 12 Months</t>
  </si>
  <si>
    <t>B26117</t>
  </si>
  <si>
    <t>B07004E_003</t>
  </si>
  <si>
    <t>B07004E_004</t>
  </si>
  <si>
    <t>B26118_001</t>
  </si>
  <si>
    <t>B07004E_005</t>
  </si>
  <si>
    <t>Aggregate Earnings in the Past 12 Months by Group Quarters Type (3 Types) by Sex</t>
  </si>
  <si>
    <t>B26118</t>
  </si>
  <si>
    <t>B07004E_006</t>
  </si>
  <si>
    <t>B26119_001</t>
  </si>
  <si>
    <t>B07004FPR_002</t>
  </si>
  <si>
    <t>Median Earnings in the Past 12 Months by Group Quarters Type (3 Types) by Sex</t>
  </si>
  <si>
    <t>B26119</t>
  </si>
  <si>
    <t>B07004FPR_003</t>
  </si>
  <si>
    <t>B07004FPR_004</t>
  </si>
  <si>
    <t>B26120_001</t>
  </si>
  <si>
    <t>B07004FPR_005</t>
  </si>
  <si>
    <t>Estimate!!Group quarters population:</t>
  </si>
  <si>
    <t>Group Quarters Type (3 Types) by Receipt of Food Stamps/SNAP in the Past 12 Months</t>
  </si>
  <si>
    <t>B26120</t>
  </si>
  <si>
    <t>B07004FPR_006</t>
  </si>
  <si>
    <t>housing, income, human services</t>
  </si>
  <si>
    <t>B26201_001</t>
  </si>
  <si>
    <t>B07004F_002</t>
  </si>
  <si>
    <t>Group Quarters Type (5 Types) by Sex by Age</t>
  </si>
  <si>
    <t>B26201</t>
  </si>
  <si>
    <t>B07004F_003</t>
  </si>
  <si>
    <t>B07004F_004</t>
  </si>
  <si>
    <t>B26202_001</t>
  </si>
  <si>
    <t>B07004F_005</t>
  </si>
  <si>
    <t>Median Age by Group Quarters Type (5 Types)</t>
  </si>
  <si>
    <t>B07004F_006</t>
  </si>
  <si>
    <t>B26202</t>
  </si>
  <si>
    <t>B26203_001</t>
  </si>
  <si>
    <t>B07004GPR_002</t>
  </si>
  <si>
    <t>B26203</t>
  </si>
  <si>
    <t>B07004GPR_003</t>
  </si>
  <si>
    <t>B07004GPR_004</t>
  </si>
  <si>
    <t>B07004GPR_005</t>
  </si>
  <si>
    <t>B26203A_001</t>
  </si>
  <si>
    <t>B07004GPR_006</t>
  </si>
  <si>
    <t>Group Quarters Type (5 Types) (White Alone)</t>
  </si>
  <si>
    <t>B26203A</t>
  </si>
  <si>
    <t>B26203B_001</t>
  </si>
  <si>
    <t>B07004G_002</t>
  </si>
  <si>
    <t>Group Quarters Type (5 Types) (Black or African American Alone)</t>
  </si>
  <si>
    <t>B26203B</t>
  </si>
  <si>
    <t>B07004G_003</t>
  </si>
  <si>
    <t>B07004G_004</t>
  </si>
  <si>
    <t>B26203C_001</t>
  </si>
  <si>
    <t>B07004G_005</t>
  </si>
  <si>
    <t>B07004G_006</t>
  </si>
  <si>
    <t>Group Quarters Type (5 Types) (American Indian and Alaska Native Alone)</t>
  </si>
  <si>
    <t>B26203C</t>
  </si>
  <si>
    <t>B07004HPR_002</t>
  </si>
  <si>
    <t>B07004HPR_003</t>
  </si>
  <si>
    <t>B26203D_001</t>
  </si>
  <si>
    <t>Group Quarters Type (5 Types) (Asian Alone)</t>
  </si>
  <si>
    <t>B07004HPR_004</t>
  </si>
  <si>
    <t>B26203D</t>
  </si>
  <si>
    <t>B07004HPR_005</t>
  </si>
  <si>
    <t>B26203E_001</t>
  </si>
  <si>
    <t>Group Quarters Type (5 Types) (Native Hawaiian and Other Pacific Islander Alone)</t>
  </si>
  <si>
    <t>B07004HPR_006</t>
  </si>
  <si>
    <t>B26203E</t>
  </si>
  <si>
    <t>B26203F_001</t>
  </si>
  <si>
    <t>B07004H_002</t>
  </si>
  <si>
    <t>Group Quarters Type (5 Types) (Some Other Race Alone)</t>
  </si>
  <si>
    <t>B26203F</t>
  </si>
  <si>
    <t>B07004H_003</t>
  </si>
  <si>
    <t>B07004H_004</t>
  </si>
  <si>
    <t>B26203G_001</t>
  </si>
  <si>
    <t>Group Quarters Type (5 Types) (Two or More Races)</t>
  </si>
  <si>
    <t>B26203G</t>
  </si>
  <si>
    <t>B07004H_005</t>
  </si>
  <si>
    <t>B07004H_006</t>
  </si>
  <si>
    <t>B26203H_001</t>
  </si>
  <si>
    <t>Group Quarters Type (5 Types) (White Alone, Not Hispanic or Latino)</t>
  </si>
  <si>
    <t>B26203H</t>
  </si>
  <si>
    <t>B07004IPR_002</t>
  </si>
  <si>
    <t>B07004IPR_003</t>
  </si>
  <si>
    <t>B26203I_001</t>
  </si>
  <si>
    <t>Group Quarters Type (5 Types) (Hispanic or Latino)</t>
  </si>
  <si>
    <t>B07004IPR_004</t>
  </si>
  <si>
    <t>B26203I</t>
  </si>
  <si>
    <t>B07004IPR_005</t>
  </si>
  <si>
    <t>B26204_001</t>
  </si>
  <si>
    <t>B07004IPR_006</t>
  </si>
  <si>
    <t>Group Quarters Type (5 Types) by Marital Status</t>
  </si>
  <si>
    <t>B26204</t>
  </si>
  <si>
    <t>B26205_001</t>
  </si>
  <si>
    <t>B07004I_002</t>
  </si>
  <si>
    <t>Group Quarters Type (5 Types) by School Enrollment</t>
  </si>
  <si>
    <t>B26205</t>
  </si>
  <si>
    <t>B07004I_003</t>
  </si>
  <si>
    <t>B07004I_004</t>
  </si>
  <si>
    <t>B26206_001</t>
  </si>
  <si>
    <t>Group Quarters Type (5 Types) by Educational Attainment</t>
  </si>
  <si>
    <t>B07004I_005</t>
  </si>
  <si>
    <t>B26206</t>
  </si>
  <si>
    <t>B07004I_006</t>
  </si>
  <si>
    <t>B26207_001</t>
  </si>
  <si>
    <t>Group Quarters Type (5 Types) by Veteran Status</t>
  </si>
  <si>
    <t>B26207</t>
  </si>
  <si>
    <t>B07007PR_002</t>
  </si>
  <si>
    <t>B07007PR_003</t>
  </si>
  <si>
    <t>B26208_001</t>
  </si>
  <si>
    <t>B07007PR_004</t>
  </si>
  <si>
    <t>Group Quarters Type (5 Types) by Age by Disability Status</t>
  </si>
  <si>
    <t>Estimate!!Total:!!Foreign born:!!Naturalized U.S. citizen</t>
  </si>
  <si>
    <t>B26208</t>
  </si>
  <si>
    <t>B07007PR_005</t>
  </si>
  <si>
    <t>housing, income, demographic, human services</t>
  </si>
  <si>
    <t>Estimate!!Total:!!Foreign born:!!Not a U.S. citizen</t>
  </si>
  <si>
    <t>B07007PR_006</t>
  </si>
  <si>
    <t>B26209_001</t>
  </si>
  <si>
    <t>B07007PR_007</t>
  </si>
  <si>
    <t>Group Quarters Type (5 Types) by Geographical Mobility in the Past Year for Current Residence in the United States</t>
  </si>
  <si>
    <t>Estimate!!Total:!!Same house 1 year ago:!!Native</t>
  </si>
  <si>
    <t>B26209</t>
  </si>
  <si>
    <t>B07007PR_008</t>
  </si>
  <si>
    <t>Estimate!!Total:!!Same house 1 year ago:!!Foreign born:</t>
  </si>
  <si>
    <t>B07007PR_009</t>
  </si>
  <si>
    <t>B26210_001</t>
  </si>
  <si>
    <t>Estimate!!Total:!!Same house 1 year ago:!!Foreign born:!!Naturalized U.S. citizen</t>
  </si>
  <si>
    <t>Group Quarters Type (5 Types) by Nativity and Citizenship Status by Sex</t>
  </si>
  <si>
    <t>B07007PR_010</t>
  </si>
  <si>
    <t>B26210</t>
  </si>
  <si>
    <t>Estimate!!Total:!!Same house 1 year ago:!!Foreign born:!!Not a U.S. citizen</t>
  </si>
  <si>
    <t>B07007PR_011</t>
  </si>
  <si>
    <t>B07007PR_012</t>
  </si>
  <si>
    <t>B26211_001</t>
  </si>
  <si>
    <t>Estimate!!Total:!!Moved within same municipio:!!Native</t>
  </si>
  <si>
    <t>Group Quarters Type (5 Types) by Year of Entry</t>
  </si>
  <si>
    <t>B07007PR_013</t>
  </si>
  <si>
    <t>B26211</t>
  </si>
  <si>
    <t>Estimate!!Total:!!Moved within same municipio:!!Foreign born:</t>
  </si>
  <si>
    <t>housing, income, immigration</t>
  </si>
  <si>
    <t>B07007PR_014</t>
  </si>
  <si>
    <t>Estimate!!Total:!!Moved within same municipio:!!Foreign born:!!Naturalized U.S. citizen</t>
  </si>
  <si>
    <t>B07007PR_015</t>
  </si>
  <si>
    <t>B26212_001</t>
  </si>
  <si>
    <t>Estimate!!Total:!!Moved within same municipio:!!Foreign born:!!Not a U.S. citizen</t>
  </si>
  <si>
    <t>Group Quarters Type (5 Types) by World Region of Birth</t>
  </si>
  <si>
    <t>B07007PR_016</t>
  </si>
  <si>
    <t>B26212</t>
  </si>
  <si>
    <t>B07007PR_017</t>
  </si>
  <si>
    <t>housing, income, demographic, immigration</t>
  </si>
  <si>
    <t>Estimate!!Total:!!Moved from different municipio:!!Native</t>
  </si>
  <si>
    <t>B07007PR_018</t>
  </si>
  <si>
    <t>B26213_001</t>
  </si>
  <si>
    <t>Estimate!!Total:!!Moved from different municipio:!!Foreign born:</t>
  </si>
  <si>
    <t>Group Quarters Type (5 Types) by Language Spoken at Home by Ability to Speak English</t>
  </si>
  <si>
    <t>B07007PR_019</t>
  </si>
  <si>
    <t>B26213</t>
  </si>
  <si>
    <t>Estimate!!Total:!!Moved from different municipio:!!Foreign born:!!Naturalized U.S. citizen</t>
  </si>
  <si>
    <t>B07007PR_020</t>
  </si>
  <si>
    <t>Estimate!!Total:!!Moved from different municipio:!!Foreign born:!!Not a U.S. citizen</t>
  </si>
  <si>
    <t>B07007PR_021</t>
  </si>
  <si>
    <t>B26214_001</t>
  </si>
  <si>
    <t>B07007PR_022</t>
  </si>
  <si>
    <t>Group Quarters Type (5 Types) by Employment Status</t>
  </si>
  <si>
    <t>Estimate!!Total:!!Moved from the United States:!!Native</t>
  </si>
  <si>
    <t>B26214</t>
  </si>
  <si>
    <t>B07007PR_023</t>
  </si>
  <si>
    <t>B26215_001</t>
  </si>
  <si>
    <t>Group Quarters Type (5 Types) by Occupation</t>
  </si>
  <si>
    <t>B26215</t>
  </si>
  <si>
    <t>B26216_001</t>
  </si>
  <si>
    <t>Aggregate Income in the Past 12 Months by Group Quarters Type (5 Types)</t>
  </si>
  <si>
    <t>B26216</t>
  </si>
  <si>
    <t>Estimate!!Total:!!Moved from the United States:!!Foreign born:</t>
  </si>
  <si>
    <t>B07007PR_024</t>
  </si>
  <si>
    <t>Estimate!!Total:!!Moved from the United States:!!Foreign born:!!Naturalized U.S. citizen</t>
  </si>
  <si>
    <t>B07007PR_025</t>
  </si>
  <si>
    <t>B26217_001</t>
  </si>
  <si>
    <t>Estimate!!Total:!!Moved from the United States:!!Foreign born:!!Not a U.S. citizen</t>
  </si>
  <si>
    <t>Group Quarters Type (5 Types) by Sex With Earnings in the Past 12 Months</t>
  </si>
  <si>
    <t>B07007PR_026</t>
  </si>
  <si>
    <t>B26217</t>
  </si>
  <si>
    <t>B07007PR_027</t>
  </si>
  <si>
    <t>Estimate!!Total:!!Moved from elsewhere:!!Native</t>
  </si>
  <si>
    <t>B07007PR_028</t>
  </si>
  <si>
    <t>B26218_001</t>
  </si>
  <si>
    <t>Estimate!!Total:!!Moved from elsewhere:!!Foreign born:</t>
  </si>
  <si>
    <t>Aggregate Earnings in the Past 12 Months by Group Quarters Type (5 Types) by Sex</t>
  </si>
  <si>
    <t>B07007PR_029</t>
  </si>
  <si>
    <t>B26218</t>
  </si>
  <si>
    <t>Estimate!!Total:!!Moved from elsewhere:!!Foreign born:!!Naturalized U.S. citizen</t>
  </si>
  <si>
    <t>B07007PR_030</t>
  </si>
  <si>
    <t>Estimate!!Total:!!Moved from elsewhere:!!Foreign born:!!Not a U.S. citizen</t>
  </si>
  <si>
    <t>B26219_001</t>
  </si>
  <si>
    <t>Median Earnings in the Past 12 Months by Group Quarters Type (5 Types) by Sex</t>
  </si>
  <si>
    <t>B07007_002</t>
  </si>
  <si>
    <t>B26219</t>
  </si>
  <si>
    <t>B07007_003</t>
  </si>
  <si>
    <t>B07007_004</t>
  </si>
  <si>
    <t>B26220_001</t>
  </si>
  <si>
    <t>Group Quarters Type (5 Types) by Receipt of Food Stamps/SNAP in the Past 12 Months</t>
  </si>
  <si>
    <t>B07007_005</t>
  </si>
  <si>
    <t>B26220</t>
  </si>
  <si>
    <t>B07007_006</t>
  </si>
  <si>
    <t>B07007_007</t>
  </si>
  <si>
    <t>B27001_001</t>
  </si>
  <si>
    <t>B07007_008</t>
  </si>
  <si>
    <t>B27001</t>
  </si>
  <si>
    <t>B07007_009</t>
  </si>
  <si>
    <t>health, demographic</t>
  </si>
  <si>
    <t>B07007_010</t>
  </si>
  <si>
    <t>B27002_001</t>
  </si>
  <si>
    <t>B07007_011</t>
  </si>
  <si>
    <t>Private Health Insurance Status by Sex by Age</t>
  </si>
  <si>
    <t>B27002</t>
  </si>
  <si>
    <t>B07007_012</t>
  </si>
  <si>
    <t>Estimate!!Total:!!Moved within same county:!!Native</t>
  </si>
  <si>
    <t>health, economy</t>
  </si>
  <si>
    <t>B07007_013</t>
  </si>
  <si>
    <t>Estimate!!Total:!!Moved within same county:!!Foreign born:</t>
  </si>
  <si>
    <t>B27003_001</t>
  </si>
  <si>
    <t>B07007_014</t>
  </si>
  <si>
    <t>Estimate!!Total:!!Moved within same county:!!Foreign born:!!Naturalized U.S. citizen</t>
  </si>
  <si>
    <t>Public Health Insurance Status by Sex by Age</t>
  </si>
  <si>
    <t>B27003</t>
  </si>
  <si>
    <t>B07007_015</t>
  </si>
  <si>
    <t>Estimate!!Total:!!Moved within same county:!!Foreign born:!!Not a U.S. citizen</t>
  </si>
  <si>
    <t>demographic, human services, health</t>
  </si>
  <si>
    <t>B07007_016</t>
  </si>
  <si>
    <t>B27010_001</t>
  </si>
  <si>
    <t>B07007_017</t>
  </si>
  <si>
    <t>Estimate!!Total:!!Moved from different county within same state:!!Native</t>
  </si>
  <si>
    <t>Types of Health Insurance Coverage by Age</t>
  </si>
  <si>
    <t>B27010</t>
  </si>
  <si>
    <t>B07007_018</t>
  </si>
  <si>
    <t>Estimate!!Total:!!Moved from different county within same state:!!Foreign born:</t>
  </si>
  <si>
    <t>health</t>
  </si>
  <si>
    <t>B07007_019</t>
  </si>
  <si>
    <t>Estimate!!Total:!!Moved from different county within same state:!!Foreign born:!!Naturalized U.S. citizen</t>
  </si>
  <si>
    <t>B07007_020</t>
  </si>
  <si>
    <t>B27011_001</t>
  </si>
  <si>
    <t>Estimate!!Total:!!Moved from different county within same state:!!Foreign born:!!Not a U.S. citizen</t>
  </si>
  <si>
    <t>Health Insurance Coverage Status and Type by Employment Status</t>
  </si>
  <si>
    <t>B07007_021</t>
  </si>
  <si>
    <t>B27011</t>
  </si>
  <si>
    <t>B07007_022</t>
  </si>
  <si>
    <t>Estimate!!Total:!!Moved from different state:!!Native</t>
  </si>
  <si>
    <t>B27015_001</t>
  </si>
  <si>
    <t>B07007_023</t>
  </si>
  <si>
    <t>Estimate!!Total:!!Moved from different state:!!Foreign born:</t>
  </si>
  <si>
    <t>Health Insurance Coverage Status and Type by Household Income in the Past 12 Months (in 2024 Inflation-Adjusted Dollars)</t>
  </si>
  <si>
    <t>B27015</t>
  </si>
  <si>
    <t>B07007_024</t>
  </si>
  <si>
    <t>Estimate!!Total:!!Moved from different state:!!Foreign born:!!Naturalized U.S. citizen</t>
  </si>
  <si>
    <t>health, economy, income</t>
  </si>
  <si>
    <t>B07007_025</t>
  </si>
  <si>
    <t>Estimate!!Total:!!Moved from different state:!!Foreign born:!!Not a U.S. citizen</t>
  </si>
  <si>
    <t>B27019_001</t>
  </si>
  <si>
    <t>B07007_026</t>
  </si>
  <si>
    <t>Health Insurance Coverage Status and Type by Age by Educational Attainment</t>
  </si>
  <si>
    <t>B27019</t>
  </si>
  <si>
    <t>B07007_027</t>
  </si>
  <si>
    <t>Estimate!!Total:!!Moved from abroad:!!Native</t>
  </si>
  <si>
    <t>B07007_028</t>
  </si>
  <si>
    <t>Estimate!!Total:!!Moved from abroad:!!Foreign born:</t>
  </si>
  <si>
    <t>B07007_029</t>
  </si>
  <si>
    <t>Estimate!!Total:!!Moved from abroad:!!Foreign born:!!Naturalized U.S. citizen</t>
  </si>
  <si>
    <t>B07007_030</t>
  </si>
  <si>
    <t>Estimate!!Total:!!Moved from abroad:!!Foreign born:!!Not a U.S. citizen</t>
  </si>
  <si>
    <t>B07008PR_002</t>
  </si>
  <si>
    <t>health, education, demographic</t>
  </si>
  <si>
    <t>B07008PR_003</t>
  </si>
  <si>
    <t>B07008PR_004</t>
  </si>
  <si>
    <t>B27020_001</t>
  </si>
  <si>
    <t>B07008PR_005</t>
  </si>
  <si>
    <t>Health Insurance Coverage Status and Type by Citizenship Status</t>
  </si>
  <si>
    <t>B27020</t>
  </si>
  <si>
    <t>B07008PR_006</t>
  </si>
  <si>
    <t>B07008PR_007</t>
  </si>
  <si>
    <t>B07008PR_008</t>
  </si>
  <si>
    <t>Estimate!!Total:!!Same house 1 year ago:!!Never married</t>
  </si>
  <si>
    <t>B27022_001</t>
  </si>
  <si>
    <t>B07008PR_009</t>
  </si>
  <si>
    <t>Health Insurance Coverage Status by Sex by Enrollment Status for Young Adults Aged 19 to 25</t>
  </si>
  <si>
    <t>Estimate!!Total:!!Same house 1 year ago:!!Now married, except separated</t>
  </si>
  <si>
    <t>B27022</t>
  </si>
  <si>
    <t>B07008PR_010</t>
  </si>
  <si>
    <t>Estimate!!Total:!!Same house 1 year ago:!!Divorced</t>
  </si>
  <si>
    <t>B07008PR_011</t>
  </si>
  <si>
    <t>Estimate!!Total:!!Same house 1 year ago:!!Separated</t>
  </si>
  <si>
    <t>B27023_001</t>
  </si>
  <si>
    <t>B07008PR_012</t>
  </si>
  <si>
    <t>Private Health Insurance by Sex by Enrollment Status for Young Adults Aged 19 to 25</t>
  </si>
  <si>
    <t>Estimate!!Total:!!Same house 1 year ago:!!Widowed</t>
  </si>
  <si>
    <t>B27023</t>
  </si>
  <si>
    <t>B07008PR_013</t>
  </si>
  <si>
    <t>B28001_001</t>
  </si>
  <si>
    <t>B07008PR_014</t>
  </si>
  <si>
    <t>Estimate!!Total:!!Moved within same municipio:!!Never married</t>
  </si>
  <si>
    <t>Types of Computers in Household</t>
  </si>
  <si>
    <t>B28001</t>
  </si>
  <si>
    <t>B07008PR_015</t>
  </si>
  <si>
    <t>tech</t>
  </si>
  <si>
    <t>Estimate!!Total:!!Moved within same municipio:!!Now married, except separated</t>
  </si>
  <si>
    <t>B28002_001</t>
  </si>
  <si>
    <t>B07008PR_016</t>
  </si>
  <si>
    <t>Estimate!!Total:!!Moved within same municipio:!!Divorced</t>
  </si>
  <si>
    <t>Presence and Types of Internet Subscriptions in Household</t>
  </si>
  <si>
    <t>B28002</t>
  </si>
  <si>
    <t>B07008PR_017</t>
  </si>
  <si>
    <t>Estimate!!Total:!!Moved within same municipio:!!Separated</t>
  </si>
  <si>
    <t>B07008PR_018</t>
  </si>
  <si>
    <t>Estimate!!Total:!!Moved within same municipio:!!Widowed</t>
  </si>
  <si>
    <t>B28003_001</t>
  </si>
  <si>
    <t>B07008PR_019</t>
  </si>
  <si>
    <t>Presence of a Computer and Type of Internet Subscription in Household</t>
  </si>
  <si>
    <t>B28003</t>
  </si>
  <si>
    <t>B07008PR_020</t>
  </si>
  <si>
    <t>Estimate!!Total:!!Moved from different municipio:!!Never married</t>
  </si>
  <si>
    <t>B07008PR_021</t>
  </si>
  <si>
    <t>B28004_001</t>
  </si>
  <si>
    <t>Estimate!!Total:!!Moved from different municipio:!!Now married, except separated</t>
  </si>
  <si>
    <t>Household Income in the Last 12 Months (in 2024 Inflation-Adjusted Dollars) by Presence and Type of Internet Subscription in Household</t>
  </si>
  <si>
    <t>B07008PR_022</t>
  </si>
  <si>
    <t>B28004</t>
  </si>
  <si>
    <t>Estimate!!Total:!!Moved from different municipio:!!Divorced</t>
  </si>
  <si>
    <t>B07008PR_023</t>
  </si>
  <si>
    <t>Estimate!!Total:!!Moved from different municipio:!!Separated</t>
  </si>
  <si>
    <t>B07008PR_024</t>
  </si>
  <si>
    <t>B28005_001</t>
  </si>
  <si>
    <t>Estimate!!Total:!!Moved from different municipio:!!Widowed</t>
  </si>
  <si>
    <t>Age by Presence of a Computer and Types of Internet Subscription in Household</t>
  </si>
  <si>
    <t>B07008PR_025</t>
  </si>
  <si>
    <t>B28005</t>
  </si>
  <si>
    <t>tech, demographic</t>
  </si>
  <si>
    <t>B07008PR_026</t>
  </si>
  <si>
    <t>Estimate!!Total:!!Moved from the United States:!!Never married</t>
  </si>
  <si>
    <t>B07008PR_027</t>
  </si>
  <si>
    <t>B28006_001</t>
  </si>
  <si>
    <t>Estimate!!Total:!!Moved from the United States:!!Now married, except separated</t>
  </si>
  <si>
    <t>Educational Attainment by Presence of a Computer and Types of Internet Subscription in Household</t>
  </si>
  <si>
    <t>B07008PR_028</t>
  </si>
  <si>
    <t>B28006</t>
  </si>
  <si>
    <t>Estimate!!Total:!!Moved from the United States:!!Divorced</t>
  </si>
  <si>
    <t>education, tech</t>
  </si>
  <si>
    <t>B07008PR_029</t>
  </si>
  <si>
    <t>Estimate!!Total:!!Moved from the United States:!!Separated</t>
  </si>
  <si>
    <t>B07008PR_030</t>
  </si>
  <si>
    <t>B28007_001</t>
  </si>
  <si>
    <t>Estimate!!Total:!!Moved from the United States:!!Widowed</t>
  </si>
  <si>
    <t>Labor Force Status by Presence of a Computer and Types of Internet Subscription in Household</t>
  </si>
  <si>
    <t>B07008PR_031</t>
  </si>
  <si>
    <t>B28007</t>
  </si>
  <si>
    <t>B07008PR_032</t>
  </si>
  <si>
    <t>demographic, tech, economy</t>
  </si>
  <si>
    <t>Estimate!!Total:!!Moved from elsewhere:!!Never married</t>
  </si>
  <si>
    <t>B07008PR_033</t>
  </si>
  <si>
    <t>Estimate!!Total:!!Moved from elsewhere:!!Now married, except separated</t>
  </si>
  <si>
    <t>B28008_001</t>
  </si>
  <si>
    <t>B07008PR_034</t>
  </si>
  <si>
    <t>Estimate!!Total:!!Moved from elsewhere:!!Divorced</t>
  </si>
  <si>
    <t>B28008</t>
  </si>
  <si>
    <t>B07008PR_035</t>
  </si>
  <si>
    <t>Estimate!!Total:!!Moved from elsewhere:!!Separated</t>
  </si>
  <si>
    <t>B07008PR_036</t>
  </si>
  <si>
    <t>Estimate!!Total:!!Moved from elsewhere:!!Widowed</t>
  </si>
  <si>
    <t>B28009A_001</t>
  </si>
  <si>
    <t>Presence of a Computer and Type of Internet Subscription in Household (White Alone)</t>
  </si>
  <si>
    <t>B28009A</t>
  </si>
  <si>
    <t>B07008_002</t>
  </si>
  <si>
    <t>tech, race</t>
  </si>
  <si>
    <t>B07008_003</t>
  </si>
  <si>
    <t>B07008_004</t>
  </si>
  <si>
    <t>B28009B_001</t>
  </si>
  <si>
    <t>Presence of a Computer and Type of Internet Subscription in Household (Black or African American Alone)</t>
  </si>
  <si>
    <t>B07008_005</t>
  </si>
  <si>
    <t>B28009B</t>
  </si>
  <si>
    <t>B07008_006</t>
  </si>
  <si>
    <t>B07008_007</t>
  </si>
  <si>
    <t>B28009C_001</t>
  </si>
  <si>
    <t>B07008_008</t>
  </si>
  <si>
    <t>Presence of a Computer and Type of Internet Subscription in Household (American Indian and Alaska Native Alone)</t>
  </si>
  <si>
    <t>B28009C</t>
  </si>
  <si>
    <t>B07008_009</t>
  </si>
  <si>
    <t>B07008_010</t>
  </si>
  <si>
    <t>B28009D_001</t>
  </si>
  <si>
    <t>B07008_011</t>
  </si>
  <si>
    <t>Presence of a Computer and Type of Internet Subscription in Household (Asian Alone)</t>
  </si>
  <si>
    <t>B28009D</t>
  </si>
  <si>
    <t>B07008_012</t>
  </si>
  <si>
    <t>B07008_013</t>
  </si>
  <si>
    <t>B28009E_001</t>
  </si>
  <si>
    <t>B07008_014</t>
  </si>
  <si>
    <t>Estimate!!Total:!!Moved within same county:!!Never married</t>
  </si>
  <si>
    <t>Presence of a Computer and Type of Internet Subscription in Household (Native Hawaiian and Other Pacific Islander Alone)</t>
  </si>
  <si>
    <t>B28009E</t>
  </si>
  <si>
    <t>B07008_015</t>
  </si>
  <si>
    <t>Estimate!!Total:!!Moved within same county:!!Now married, except separated</t>
  </si>
  <si>
    <t>B07008_016</t>
  </si>
  <si>
    <t>Estimate!!Total:!!Moved within same county:!!Divorced</t>
  </si>
  <si>
    <t>B28009F_001</t>
  </si>
  <si>
    <t>B07008_017</t>
  </si>
  <si>
    <t>Presence of a Computer and Type of Internet Subscription in Household (Some Other Race Alone)</t>
  </si>
  <si>
    <t>Estimate!!Total:!!Moved within same county:!!Separated</t>
  </si>
  <si>
    <t>B28009F</t>
  </si>
  <si>
    <t>B07008_018</t>
  </si>
  <si>
    <t>Estimate!!Total:!!Moved within same county:!!Widowed</t>
  </si>
  <si>
    <t>B07008_019</t>
  </si>
  <si>
    <t>B28009G_001</t>
  </si>
  <si>
    <t>Presence of a Computer and Type of Internet Subscription in Household (Two or More Races)</t>
  </si>
  <si>
    <t>B07008_020</t>
  </si>
  <si>
    <t>B28009G</t>
  </si>
  <si>
    <t>Estimate!!Total:!!Moved from different county within same state:!!Never married</t>
  </si>
  <si>
    <t>B07008_021</t>
  </si>
  <si>
    <t>Estimate!!Total:!!Moved from different county within same state:!!Now married, except separated</t>
  </si>
  <si>
    <t>B07008_022</t>
  </si>
  <si>
    <t>B28009H_001</t>
  </si>
  <si>
    <t>Presence of a Computer and Type of Internet Subscription in Household (White Alone, Not Hispanic or Latino)</t>
  </si>
  <si>
    <t>B28009H</t>
  </si>
  <si>
    <t>Estimate!!Total:!!Moved from different county within same state:!!Divorced</t>
  </si>
  <si>
    <t>B07008_023</t>
  </si>
  <si>
    <t>Estimate!!Total:!!Moved from different county within same state:!!Separated</t>
  </si>
  <si>
    <t>B07008_024</t>
  </si>
  <si>
    <t>Estimate!!Total:!!Moved from different county within same state:!!Widowed</t>
  </si>
  <si>
    <t>B07008_025</t>
  </si>
  <si>
    <t>B07008_026</t>
  </si>
  <si>
    <t>Estimate!!Total:!!Moved from different state:!!Never married</t>
  </si>
  <si>
    <t>B07008_027</t>
  </si>
  <si>
    <t>Estimate!!Total:!!Moved from different state:!!Now married, except separated</t>
  </si>
  <si>
    <t>B07008_028</t>
  </si>
  <si>
    <t>Estimate!!Total:!!Moved from different state:!!Divorced</t>
  </si>
  <si>
    <t>B07008_029</t>
  </si>
  <si>
    <t>Estimate!!Total:!!Moved from different state:!!Separated</t>
  </si>
  <si>
    <t>B07008_030</t>
  </si>
  <si>
    <t>Estimate!!Total:!!Moved from different state:!!Widowed</t>
  </si>
  <si>
    <t>B07008_031</t>
  </si>
  <si>
    <t>B07008_032</t>
  </si>
  <si>
    <t>Estimate!!Total:!!Moved from abroad:!!Never married</t>
  </si>
  <si>
    <t>B07008_033</t>
  </si>
  <si>
    <t>Estimate!!Total:!!Moved from abroad:!!Now married, except separated</t>
  </si>
  <si>
    <t>B07008_034</t>
  </si>
  <si>
    <t>Estimate!!Total:!!Moved from abroad:!!Divorced</t>
  </si>
  <si>
    <t>B07008_035</t>
  </si>
  <si>
    <t>Estimate!!Total:!!Moved from abroad:!!Separated</t>
  </si>
  <si>
    <t>B07008_036</t>
  </si>
  <si>
    <t>Estimate!!Total:!!Moved from abroad:!!Widowed</t>
  </si>
  <si>
    <t>B07009PR_002</t>
  </si>
  <si>
    <t>B07009PR_003</t>
  </si>
  <si>
    <t>B07009PR_004</t>
  </si>
  <si>
    <t>B07009PR_005</t>
  </si>
  <si>
    <t>B07009PR_006</t>
  </si>
  <si>
    <t>B07009PR_007</t>
  </si>
  <si>
    <t>B07009PR_008</t>
  </si>
  <si>
    <t>Estimate!!Total:!!Same house 1 year ago:!!Less than high school graduate</t>
  </si>
  <si>
    <t>B07009PR_009</t>
  </si>
  <si>
    <t>Estimate!!Total:!!Same house 1 year ago:!!High school graduate (includes equivalency)</t>
  </si>
  <si>
    <t>B07009PR_010</t>
  </si>
  <si>
    <t>Estimate!!Total:!!Same house 1 year ago:!!Some college or associate's degree</t>
  </si>
  <si>
    <t>B07009PR_011</t>
  </si>
  <si>
    <t>Estimate!!Total:!!Same house 1 year ago:!!Bachelor's degree</t>
  </si>
  <si>
    <t>B07009PR_012</t>
  </si>
  <si>
    <t>Estimate!!Total:!!Same house 1 year ago:!!Graduate or professional degree</t>
  </si>
  <si>
    <t>B07009PR_013</t>
  </si>
  <si>
    <t>B28009I_001</t>
  </si>
  <si>
    <t>Presence of a Computer and Type of Internet Subscription in Household (Hispanic or Latino)</t>
  </si>
  <si>
    <t>B07009PR_014</t>
  </si>
  <si>
    <t>Estimate!!Total:!!Moved within same municipio:!!Less than high school graduate</t>
  </si>
  <si>
    <t>B28009I</t>
  </si>
  <si>
    <t>B07009PR_015</t>
  </si>
  <si>
    <t>Estimate!!Total:!!Moved within same municipio:!!High school graduate (includes equivalency)</t>
  </si>
  <si>
    <t>B07009PR_016</t>
  </si>
  <si>
    <t>Estimate!!Total:!!Moved within same municipio:!!Some college or associate's degree</t>
  </si>
  <si>
    <t>B28010_001</t>
  </si>
  <si>
    <t>B07009PR_017</t>
  </si>
  <si>
    <t>Computers in Household</t>
  </si>
  <si>
    <t>Estimate!!Total:!!Moved within same municipio:!!Bachelor's degree</t>
  </si>
  <si>
    <t>B28010</t>
  </si>
  <si>
    <t>B07009PR_018</t>
  </si>
  <si>
    <t>tech, housing</t>
  </si>
  <si>
    <t>Estimate!!Total:!!Moved within same municipio:!!Graduate or professional degree</t>
  </si>
  <si>
    <t>B07009PR_019</t>
  </si>
  <si>
    <t>B28011_001</t>
  </si>
  <si>
    <t>B07009PR_020</t>
  </si>
  <si>
    <t>Internet Subscriptions in Household</t>
  </si>
  <si>
    <t>Estimate!!Total:!!Moved from different municipio:!!Less than high school graduate</t>
  </si>
  <si>
    <t>B28011</t>
  </si>
  <si>
    <t>B07009PR_021</t>
  </si>
  <si>
    <t>Estimate!!Total:!!Moved from different municipio:!!High school graduate (includes equivalency)</t>
  </si>
  <si>
    <t>B07009PR_022</t>
  </si>
  <si>
    <t>Estimate!!Total:!!Moved from different municipio:!!Some college or associate's degree</t>
  </si>
  <si>
    <t>B28012_001</t>
  </si>
  <si>
    <t>B07009PR_023</t>
  </si>
  <si>
    <t>Age and Enrollment Status by Computer Ownership and Internet Subscription Status</t>
  </si>
  <si>
    <t>Estimate!!Total:!!Moved from different municipio:!!Bachelor's degree</t>
  </si>
  <si>
    <t>B28012</t>
  </si>
  <si>
    <t>B07009PR_024</t>
  </si>
  <si>
    <t>Estimate!!Total:!!Moved from different municipio:!!Graduate or professional degree</t>
  </si>
  <si>
    <t>B07009PR_025</t>
  </si>
  <si>
    <t>B07009PR_026</t>
  </si>
  <si>
    <t>B29001_001</t>
  </si>
  <si>
    <t>Estimate!!Total:!!Moved from the United States:!!Less than high school graduate</t>
  </si>
  <si>
    <t>Citizen, Voting-Age Population by Age</t>
  </si>
  <si>
    <t>B07009PR_027</t>
  </si>
  <si>
    <t>B29001</t>
  </si>
  <si>
    <t>Estimate!!Total:!!Moved from the United States:!!High school graduate (includes equivalency)</t>
  </si>
  <si>
    <t>B07009PR_028</t>
  </si>
  <si>
    <t>Estimate!!Total:!!Moved from the United States:!!Some college or associate's degree</t>
  </si>
  <si>
    <t>B07009PR_029</t>
  </si>
  <si>
    <t>B29002_001</t>
  </si>
  <si>
    <t>Estimate!!Total:!!Moved from the United States:!!Bachelor's degree</t>
  </si>
  <si>
    <t>Citizen, Voting-Age Population by Educational Attainment</t>
  </si>
  <si>
    <t>B29002</t>
  </si>
  <si>
    <t>B07009PR_030</t>
  </si>
  <si>
    <t>Estimate!!Total:!!Moved from the United States:!!Graduate or professional degree</t>
  </si>
  <si>
    <t>B07009PR_031</t>
  </si>
  <si>
    <t>B07009PR_032</t>
  </si>
  <si>
    <t>B29003_001</t>
  </si>
  <si>
    <t>Estimate!!Total:!!Moved from elsewhere:!!Less than high school graduate</t>
  </si>
  <si>
    <t>Citizen, Voting-Age Population by Poverty Status</t>
  </si>
  <si>
    <t>B07009PR_033</t>
  </si>
  <si>
    <t>B29003</t>
  </si>
  <si>
    <t>Estimate!!Total:!!Moved from elsewhere:!!High school graduate (includes equivalency)</t>
  </si>
  <si>
    <t>B07009PR_034</t>
  </si>
  <si>
    <t>Estimate!!Total:!!Moved from elsewhere:!!Some college or associate's degree</t>
  </si>
  <si>
    <t>B07009PR_035</t>
  </si>
  <si>
    <t>B29004_001</t>
  </si>
  <si>
    <t>Estimate!!Total:!!Moved from elsewhere:!!Bachelor's degree</t>
  </si>
  <si>
    <t>B07009PR_036</t>
  </si>
  <si>
    <t>Median Household Income for Households With a Citizen, Voting-Age Householder (in 2024 Inflation-Adjusted Dollars)</t>
  </si>
  <si>
    <t>Estimate!!Total:!!Moved from elsewhere:!!Graduate or professional degree</t>
  </si>
  <si>
    <t>B29004</t>
  </si>
  <si>
    <t>B07009_002</t>
  </si>
  <si>
    <t>B98001_001</t>
  </si>
  <si>
    <t>Estimate!!Initial addresses selected</t>
  </si>
  <si>
    <t>Unweighted Housing Unit Sample</t>
  </si>
  <si>
    <t>B07009_003</t>
  </si>
  <si>
    <t>B98001</t>
  </si>
  <si>
    <t>housing, demographic, meta</t>
  </si>
  <si>
    <t>B07009_004</t>
  </si>
  <si>
    <t>B07009_005</t>
  </si>
  <si>
    <t>B98002_001</t>
  </si>
  <si>
    <t>Estimate!!Initial sample selected</t>
  </si>
  <si>
    <t>Unweighted Group Quarters Population Sample</t>
  </si>
  <si>
    <t>B07009_006</t>
  </si>
  <si>
    <t>B98002</t>
  </si>
  <si>
    <t>B07009_007</t>
  </si>
  <si>
    <t>demographic, meta</t>
  </si>
  <si>
    <t>B07009_008</t>
  </si>
  <si>
    <t>B98003_001</t>
  </si>
  <si>
    <t>Estimate!!Final interviews (actual and synthetic)</t>
  </si>
  <si>
    <t>B07009_009</t>
  </si>
  <si>
    <t>Unweighted Total Population Sample</t>
  </si>
  <si>
    <t>B98003</t>
  </si>
  <si>
    <t>B07009_010</t>
  </si>
  <si>
    <t>B07009_011</t>
  </si>
  <si>
    <t>B98011_001</t>
  </si>
  <si>
    <t>B07009_012</t>
  </si>
  <si>
    <t>Housing Unit Coverage Rate</t>
  </si>
  <si>
    <t>B98011</t>
  </si>
  <si>
    <t>B07009_013</t>
  </si>
  <si>
    <t>housing, meta</t>
  </si>
  <si>
    <t>B07009_014</t>
  </si>
  <si>
    <t>Estimate!!Total:!!Moved within same county:!!Less than high school graduate</t>
  </si>
  <si>
    <t>B98012_001</t>
  </si>
  <si>
    <t>B07009_015</t>
  </si>
  <si>
    <t>Total Population Coverage Rate by Sex</t>
  </si>
  <si>
    <t>Estimate!!Total:!!Moved within same county:!!High school graduate (includes equivalency)</t>
  </si>
  <si>
    <t>B98012</t>
  </si>
  <si>
    <t>B07009_016</t>
  </si>
  <si>
    <t>Estimate!!Total:!!Moved within same county:!!Some college or associate's degree</t>
  </si>
  <si>
    <t>B07009_017</t>
  </si>
  <si>
    <t>Estimate!!Total:!!Moved within same county:!!Bachelor's degree</t>
  </si>
  <si>
    <t>B98013_001</t>
  </si>
  <si>
    <t>B07009_018</t>
  </si>
  <si>
    <t>Total Population Coverage Rate by Weighting Race and Hispanic or Latino Groups</t>
  </si>
  <si>
    <t>Estimate!!Total:!!Moved within same county:!!Graduate or professional degree</t>
  </si>
  <si>
    <t>B98013</t>
  </si>
  <si>
    <t>B07009_019</t>
  </si>
  <si>
    <t>B07009_020</t>
  </si>
  <si>
    <t>Estimate!!Total:!!Moved from different county within same state:!!Less than high school graduate</t>
  </si>
  <si>
    <t>B98014_001</t>
  </si>
  <si>
    <t>B07009_021</t>
  </si>
  <si>
    <t>Group Quarters Population Coverage Rate</t>
  </si>
  <si>
    <t>Estimate!!Total:!!Moved from different county within same state:!!High school graduate (includes equivalency)</t>
  </si>
  <si>
    <t>B98014</t>
  </si>
  <si>
    <t>B07009_022</t>
  </si>
  <si>
    <t>Estimate!!Total:!!Moved from different county within same state:!!Some college or associate's degree</t>
  </si>
  <si>
    <t>B07009_023</t>
  </si>
  <si>
    <t>Estimate!!Total:!!Moved from different county within same state:!!Bachelor's degree</t>
  </si>
  <si>
    <t>B98021_001</t>
  </si>
  <si>
    <t>Estimate!!Response Rate</t>
  </si>
  <si>
    <t>B07009_024</t>
  </si>
  <si>
    <t>Housing Unit Response and Nonresponse Rates With Reasons for Noninterviews</t>
  </si>
  <si>
    <t>Estimate!!Total:!!Moved from different county within same state:!!Graduate or professional degree</t>
  </si>
  <si>
    <t>B98021</t>
  </si>
  <si>
    <t>B07009_025</t>
  </si>
  <si>
    <t>B07009_026</t>
  </si>
  <si>
    <t>Estimate!!Total:!!Moved from different state:!!Less than high school graduate</t>
  </si>
  <si>
    <t>B98022_001</t>
  </si>
  <si>
    <t>Group Quarters Population Response and Nonresponse Rates With Reasons for Noninterviews</t>
  </si>
  <si>
    <t>B98022</t>
  </si>
  <si>
    <t>B07009_027</t>
  </si>
  <si>
    <t>Estimate!!Total:!!Moved from different state:!!High school graduate (includes equivalency)</t>
  </si>
  <si>
    <t>B98031_001</t>
  </si>
  <si>
    <t>B07009_028</t>
  </si>
  <si>
    <t>Estimate!!Total:!!Moved from different state:!!Some college or associate's degree</t>
  </si>
  <si>
    <t>Overall Person Characteristic Allocation Rate</t>
  </si>
  <si>
    <t>B98031</t>
  </si>
  <si>
    <t>B07009_029</t>
  </si>
  <si>
    <t>Estimate!!Total:!!Moved from different state:!!Bachelor's degree</t>
  </si>
  <si>
    <t>meta</t>
  </si>
  <si>
    <t>B07009_030</t>
  </si>
  <si>
    <t>Estimate!!Total:!!Moved from different state:!!Graduate or professional degree</t>
  </si>
  <si>
    <t>B98032_001</t>
  </si>
  <si>
    <t>B07009_031</t>
  </si>
  <si>
    <t>Overall Housing Unit Characteristic Allocation Rate</t>
  </si>
  <si>
    <t>B98032</t>
  </si>
  <si>
    <t>B07009_032</t>
  </si>
  <si>
    <t>Estimate!!Total:!!Moved from abroad:!!Less than high school graduate</t>
  </si>
  <si>
    <t>B07009_033</t>
  </si>
  <si>
    <t>Estimate!!Total:!!Moved from abroad:!!High school graduate (includes equivalency)</t>
  </si>
  <si>
    <t>B99011_001</t>
  </si>
  <si>
    <t>B07009_034</t>
  </si>
  <si>
    <t>Estimate!!Total:!!Moved from abroad:!!Some college or associate's degree</t>
  </si>
  <si>
    <t>Allocation of Sex</t>
  </si>
  <si>
    <t>B99011</t>
  </si>
  <si>
    <t>B07009_035</t>
  </si>
  <si>
    <t>Estimate!!Total:!!Moved from abroad:!!Bachelor's degree</t>
  </si>
  <si>
    <t>B07009_036</t>
  </si>
  <si>
    <t>Estimate!!Total:!!Moved from abroad:!!Graduate or professional degree</t>
  </si>
  <si>
    <t>B99012_001</t>
  </si>
  <si>
    <t>Allocation of Age</t>
  </si>
  <si>
    <t>B99012</t>
  </si>
  <si>
    <t>B07010PR_002</t>
  </si>
  <si>
    <t>B07010PR_003</t>
  </si>
  <si>
    <t>B99021_001</t>
  </si>
  <si>
    <t>Allocation of Race</t>
  </si>
  <si>
    <t>B07010PR_004</t>
  </si>
  <si>
    <t>B99021</t>
  </si>
  <si>
    <t>B07010PR_005</t>
  </si>
  <si>
    <t>B99031_001</t>
  </si>
  <si>
    <t>B07010PR_006</t>
  </si>
  <si>
    <t>Allocation of Hispanic or Latino Origin</t>
  </si>
  <si>
    <t>B99031</t>
  </si>
  <si>
    <t>B07010PR_007</t>
  </si>
  <si>
    <t>B07010PR_008</t>
  </si>
  <si>
    <t>B99051_001</t>
  </si>
  <si>
    <t>B07010PR_009</t>
  </si>
  <si>
    <t>Allocation of Citizenship Status</t>
  </si>
  <si>
    <t>B99051</t>
  </si>
  <si>
    <t>B07010PR_010</t>
  </si>
  <si>
    <t>B07010PR_011</t>
  </si>
  <si>
    <t>B99052_001</t>
  </si>
  <si>
    <t>B07010PR_012</t>
  </si>
  <si>
    <t>Allocation of Year of Entry</t>
  </si>
  <si>
    <t>B99052</t>
  </si>
  <si>
    <t>B07010PR_013</t>
  </si>
  <si>
    <t>Estimate!!Total:!!Same house 1 year ago:!!No income</t>
  </si>
  <si>
    <t>B07010PR_014</t>
  </si>
  <si>
    <t>Estimate!!Total:!!Same house 1 year ago:!!With income:</t>
  </si>
  <si>
    <t>B99052PR_001</t>
  </si>
  <si>
    <t>B07010PR_015</t>
  </si>
  <si>
    <t>Allocation of Year of Entry for Population Born Outside Puerto Rico</t>
  </si>
  <si>
    <t>Estimate!!Total:!!Same house 1 year ago:!!With income:!!$1 to $9,999 or loss</t>
  </si>
  <si>
    <t>B99052PR</t>
  </si>
  <si>
    <t>B07010PR_016</t>
  </si>
  <si>
    <t>Estimate!!Total:!!Same house 1 year ago:!!With income:!!$10,000 to $14,999</t>
  </si>
  <si>
    <t>B07010PR_017</t>
  </si>
  <si>
    <t>Estimate!!Total:!!Same house 1 year ago:!!With income:!!$15,000 to $24,999</t>
  </si>
  <si>
    <t>B99053_001</t>
  </si>
  <si>
    <t>Allocation of Year of Naturalization</t>
  </si>
  <si>
    <t>B07010PR_018</t>
  </si>
  <si>
    <t>B99053</t>
  </si>
  <si>
    <t>Estimate!!Total:!!Same house 1 year ago:!!With income:!!$25,000 to $34,999</t>
  </si>
  <si>
    <t>B07010PR_019</t>
  </si>
  <si>
    <t>Estimate!!Total:!!Same house 1 year ago:!!With income:!!$35,000 to $49,999</t>
  </si>
  <si>
    <t>B99061_001</t>
  </si>
  <si>
    <t>B07010PR_020</t>
  </si>
  <si>
    <t>Estimate!!Total:!!Same house 1 year ago:!!With income:!!$50,000 to $64,999</t>
  </si>
  <si>
    <t>Allocation of Place of Birth</t>
  </si>
  <si>
    <t>B99061</t>
  </si>
  <si>
    <t>B07010PR_021</t>
  </si>
  <si>
    <t>Estimate!!Total:!!Same house 1 year ago:!!With income:!!$65,000 to $74,999</t>
  </si>
  <si>
    <t>B07010PR_022</t>
  </si>
  <si>
    <t>Estimate!!Total:!!Same house 1 year ago:!!With income:!!$75,000 or more</t>
  </si>
  <si>
    <t>B99071_001</t>
  </si>
  <si>
    <t>Allocation of Mobility Status for the Population 1 Year and Over</t>
  </si>
  <si>
    <t>B07010PR_023</t>
  </si>
  <si>
    <t>B99071</t>
  </si>
  <si>
    <t>B07010PR_024</t>
  </si>
  <si>
    <t>Estimate!!Total:!!Moved within same municipio:!!No income</t>
  </si>
  <si>
    <t>B07010PR_025</t>
  </si>
  <si>
    <t>B99072_001</t>
  </si>
  <si>
    <t>Estimate!!Total:!!Moved within same municipio:!!With income:</t>
  </si>
  <si>
    <t>Allocation of Residence 1 Year Ago for the Population 1 Year and Over</t>
  </si>
  <si>
    <t>B99072</t>
  </si>
  <si>
    <t>B07010PR_026</t>
  </si>
  <si>
    <t>Estimate!!Total:!!Moved within same municipio:!!With income:!!$1 to $9,999 or loss</t>
  </si>
  <si>
    <t>B07010PR_027</t>
  </si>
  <si>
    <t>Estimate!!Total:!!Moved within same municipio:!!With income:!!$10,000 to $14,999</t>
  </si>
  <si>
    <t>B99080_001</t>
  </si>
  <si>
    <t>B07010PR_028</t>
  </si>
  <si>
    <t>Estimate!!Total:!!Moved within same municipio:!!With income:!!$15,000 to $24,999</t>
  </si>
  <si>
    <t>Allocation of Means of Transportation to Work</t>
  </si>
  <si>
    <t>B99080</t>
  </si>
  <si>
    <t>B07010PR_029</t>
  </si>
  <si>
    <t>Estimate!!Total:!!Moved within same municipio:!!With income:!!$25,000 to $34,999</t>
  </si>
  <si>
    <t>B07010PR_030</t>
  </si>
  <si>
    <t>Estimate!!Total:!!Moved within same municipio:!!With income:!!$35,000 to $49,999</t>
  </si>
  <si>
    <t>B99081_001</t>
  </si>
  <si>
    <t>B07010PR_031</t>
  </si>
  <si>
    <t>Allocation of Place of Work</t>
  </si>
  <si>
    <t>Estimate!!Total:!!Moved within same municipio:!!With income:!!$50,000 to $64,999</t>
  </si>
  <si>
    <t>B99081</t>
  </si>
  <si>
    <t>B07010PR_032</t>
  </si>
  <si>
    <t>Estimate!!Total:!!Moved within same municipio:!!With income:!!$65,000 to $74,999</t>
  </si>
  <si>
    <t>B07010PR_033</t>
  </si>
  <si>
    <t>B99082_001</t>
  </si>
  <si>
    <t>Estimate!!Total:!!Moved within same municipio:!!With income:!!$75,000 or more</t>
  </si>
  <si>
    <t>B07010PR_034</t>
  </si>
  <si>
    <t>Allocation of Private Vehicle Occupancy</t>
  </si>
  <si>
    <t>B07010PR_035</t>
  </si>
  <si>
    <t>B99082</t>
  </si>
  <si>
    <t>Estimate!!Total:!!Moved from different municipio:!!No income</t>
  </si>
  <si>
    <t>B07010PR_036</t>
  </si>
  <si>
    <t>Estimate!!Total:!!Moved from different municipio:!!With income:</t>
  </si>
  <si>
    <t>B07010PR_037</t>
  </si>
  <si>
    <t>Estimate!!Total:!!Moved from different municipio:!!With income:!!$1 to $9,999 or loss</t>
  </si>
  <si>
    <t>B99083_001</t>
  </si>
  <si>
    <t>B07010PR_038</t>
  </si>
  <si>
    <t>Estimate!!Total:!!Moved from different municipio:!!With income:!!$10,000 to $14,999</t>
  </si>
  <si>
    <t>Allocation of Time of Departure to Go to Work</t>
  </si>
  <si>
    <t>B99083</t>
  </si>
  <si>
    <t>B99084_001</t>
  </si>
  <si>
    <t>Allocation of Travel Time to Work</t>
  </si>
  <si>
    <t>B07010PR_039</t>
  </si>
  <si>
    <t>B99084</t>
  </si>
  <si>
    <t>Estimate!!Total:!!Moved from different municipio:!!With income:!!$15,000 to $24,999</t>
  </si>
  <si>
    <t>B07010PR_040</t>
  </si>
  <si>
    <t>Estimate!!Total:!!Moved from different municipio:!!With income:!!$25,000 to $34,999</t>
  </si>
  <si>
    <t>B99085_001</t>
  </si>
  <si>
    <t>Allocation of Vehicles Available for Workers</t>
  </si>
  <si>
    <t>B07010PR_041</t>
  </si>
  <si>
    <t>B99085</t>
  </si>
  <si>
    <t>Estimate!!Total:!!Moved from different municipio:!!With income:!!$35,000 to $49,999</t>
  </si>
  <si>
    <t>tech, economy</t>
  </si>
  <si>
    <t>B07010PR_042</t>
  </si>
  <si>
    <t>Estimate!!Total:!!Moved from different municipio:!!With income:!!$50,000 to $64,999</t>
  </si>
  <si>
    <t>B99086_001</t>
  </si>
  <si>
    <t>B07010PR_043</t>
  </si>
  <si>
    <t>Estimate!!Total:!!Moved from different municipio:!!With income:!!$65,000 to $74,999</t>
  </si>
  <si>
    <t>Allocation of Means of Transportation to Work for Workplace Geography</t>
  </si>
  <si>
    <t>B99086</t>
  </si>
  <si>
    <t>B07010PR_044</t>
  </si>
  <si>
    <t>Estimate!!Total:!!Moved from different municipio:!!With income:!!$75,000 or more</t>
  </si>
  <si>
    <t>B07010PR_045</t>
  </si>
  <si>
    <t>B99087_001</t>
  </si>
  <si>
    <t>Allocation of Time Arriving at Work From Home for Workplace Geography</t>
  </si>
  <si>
    <t>B99087</t>
  </si>
  <si>
    <t>B07010PR_046</t>
  </si>
  <si>
    <t>Estimate!!Total:!!Moved from the United States:!!No income</t>
  </si>
  <si>
    <t>B07010PR_047</t>
  </si>
  <si>
    <t>B99088_001</t>
  </si>
  <si>
    <t>Estimate!!Total:!!Moved from the United States:!!With income:</t>
  </si>
  <si>
    <t>Allocation of Travel Time to Work for Workplace Geography</t>
  </si>
  <si>
    <t>B99088</t>
  </si>
  <si>
    <t>B07010PR_048</t>
  </si>
  <si>
    <t>Estimate!!Total:!!Moved from the United States:!!With income:!!$1 to $9,999 or loss</t>
  </si>
  <si>
    <t>B99089_001</t>
  </si>
  <si>
    <t>B07010PR_049</t>
  </si>
  <si>
    <t>Estimate!!Total:!!Moved from the United States:!!With income:!!$10,000 to $14,999</t>
  </si>
  <si>
    <t>Allocation of Vehicles Available for Workers for Workplace Geography</t>
  </si>
  <si>
    <t>B99089</t>
  </si>
  <si>
    <t>B07010PR_050</t>
  </si>
  <si>
    <t>Estimate!!Total:!!Moved from the United States:!!With income:!!$15,000 to $24,999</t>
  </si>
  <si>
    <t>B99092_001</t>
  </si>
  <si>
    <t>Allocation of Relationship</t>
  </si>
  <si>
    <t>B07010PR_051</t>
  </si>
  <si>
    <t>B99092</t>
  </si>
  <si>
    <t>Estimate!!Total:!!Moved from the United States:!!With income:!!$25,000 to $34,999</t>
  </si>
  <si>
    <t>B07010PR_052</t>
  </si>
  <si>
    <t>Estimate!!Total:!!Moved from the United States:!!With income:!!$35,000 to $49,999</t>
  </si>
  <si>
    <t>B99102_001</t>
  </si>
  <si>
    <t>B07010PR_053</t>
  </si>
  <si>
    <t>Allocation of Grandparents Living With Grandchildren Under 18 Years</t>
  </si>
  <si>
    <t>Estimate!!Total:!!Moved from the United States:!!With income:!!$50,000 to $64,999</t>
  </si>
  <si>
    <t>B99102</t>
  </si>
  <si>
    <t>B07010PR_054</t>
  </si>
  <si>
    <t>Estimate!!Total:!!Moved from the United States:!!With income:!!$65,000 to $74,999</t>
  </si>
  <si>
    <t>B07010PR_055</t>
  </si>
  <si>
    <t>B99103_001</t>
  </si>
  <si>
    <t>Estimate!!Total:!!Moved from the United States:!!With income:!!$75,000 or more</t>
  </si>
  <si>
    <t>Allocation of Grandparents Responsible for Grandchildren Under 18 Years</t>
  </si>
  <si>
    <t>B07010PR_056</t>
  </si>
  <si>
    <t>B99103</t>
  </si>
  <si>
    <t>B07010PR_057</t>
  </si>
  <si>
    <t>Estimate!!Total:!!Moved from elsewhere:!!No income</t>
  </si>
  <si>
    <t>B99104_001</t>
  </si>
  <si>
    <t>B07010PR_058</t>
  </si>
  <si>
    <t>Estimate!!Total:!!Moved from elsewhere:!!With income:</t>
  </si>
  <si>
    <t>Allocation of Length of Time Grandparent Responsible for Own Grandchildren Under 18 Years for the Population 30 Years and Over</t>
  </si>
  <si>
    <t>B99104</t>
  </si>
  <si>
    <t>B07010PR_059</t>
  </si>
  <si>
    <t>Estimate!!Total:!!Moved from elsewhere:!!With income:!!$1 to $9,999 or loss</t>
  </si>
  <si>
    <t>B07010PR_060</t>
  </si>
  <si>
    <t>Estimate!!Total:!!Moved from elsewhere:!!With income:!!$10,000 to $14,999</t>
  </si>
  <si>
    <t>B99121_001</t>
  </si>
  <si>
    <t>B07010PR_061</t>
  </si>
  <si>
    <t>Estimate!!Total:!!Moved from elsewhere:!!With income:!!$15,000 to $24,999</t>
  </si>
  <si>
    <t>Allocation of Marital Status for the Population 15 Years and Over</t>
  </si>
  <si>
    <t>B99121</t>
  </si>
  <si>
    <t>B07010PR_062</t>
  </si>
  <si>
    <t>Estimate!!Total:!!Moved from elsewhere:!!With income:!!$25,000 to $34,999</t>
  </si>
  <si>
    <t>B07010PR_063</t>
  </si>
  <si>
    <t>Estimate!!Total:!!Moved from elsewhere:!!With income:!!$35,000 to $49,999</t>
  </si>
  <si>
    <t>B99122_001</t>
  </si>
  <si>
    <t>B07010PR_064</t>
  </si>
  <si>
    <t>Estimate!!Total:!!Moved from elsewhere:!!With income:!!$50,000 to $64,999</t>
  </si>
  <si>
    <t>Allocation of Divorced in the Past 12 Months for the Population 15 Years and Over</t>
  </si>
  <si>
    <t>B99122</t>
  </si>
  <si>
    <t>B07010PR_065</t>
  </si>
  <si>
    <t>Estimate!!Total:!!Moved from elsewhere:!!With income:!!$65,000 to $74,999</t>
  </si>
  <si>
    <t>B07010PR_066</t>
  </si>
  <si>
    <t>Estimate!!Total:!!Moved from elsewhere:!!With income:!!$75,000 or more</t>
  </si>
  <si>
    <t>B99123_001</t>
  </si>
  <si>
    <t>Allocation of Married in the Past 12 Months for the Population 15 Years and Over</t>
  </si>
  <si>
    <t>B99123</t>
  </si>
  <si>
    <t>B07010_002</t>
  </si>
  <si>
    <t>B07010_003</t>
  </si>
  <si>
    <t>B99124_001</t>
  </si>
  <si>
    <t>Allocation of Widowed in the Past 12 Months for the Population 15 Years and Over</t>
  </si>
  <si>
    <t>B07010_004</t>
  </si>
  <si>
    <t>B99124</t>
  </si>
  <si>
    <t>B07010_005</t>
  </si>
  <si>
    <t>B07010_006</t>
  </si>
  <si>
    <t>B99125_001</t>
  </si>
  <si>
    <t>Allocation of Times Married for the Population 15 Years and Over</t>
  </si>
  <si>
    <t>B07010_007</t>
  </si>
  <si>
    <t>B99125</t>
  </si>
  <si>
    <t>B07010_008</t>
  </si>
  <si>
    <t>B99126_001</t>
  </si>
  <si>
    <t>B07010_009</t>
  </si>
  <si>
    <t>Allocation of Year Last Married for the Population 15 Years and Over</t>
  </si>
  <si>
    <t>B99126</t>
  </si>
  <si>
    <t>B07010_010</t>
  </si>
  <si>
    <t>B07010_011</t>
  </si>
  <si>
    <t>B99131_001</t>
  </si>
  <si>
    <t>B07010_012</t>
  </si>
  <si>
    <t>Allocation of Marital Status for Females 15 to 50 Years</t>
  </si>
  <si>
    <t>B99131</t>
  </si>
  <si>
    <t>B07010_013</t>
  </si>
  <si>
    <t>B07010_014</t>
  </si>
  <si>
    <t>B99132_001</t>
  </si>
  <si>
    <t>B07010_015</t>
  </si>
  <si>
    <t>Allocation of Fertility of Women 15 to 50 Years</t>
  </si>
  <si>
    <t>B99132</t>
  </si>
  <si>
    <t>B07010_016</t>
  </si>
  <si>
    <t>B07010_017</t>
  </si>
  <si>
    <t>B99141_001</t>
  </si>
  <si>
    <t>B07010_018</t>
  </si>
  <si>
    <t>Allocation of School Enrollment for the Population 3 Years and Over</t>
  </si>
  <si>
    <t>B99141</t>
  </si>
  <si>
    <t>B07010_019</t>
  </si>
  <si>
    <t>B07010_020</t>
  </si>
  <si>
    <t>B99142_001</t>
  </si>
  <si>
    <t>B07010_021</t>
  </si>
  <si>
    <t>Allocation of Grade Enrolled for the Population 3 Years and Over Enrolled in School</t>
  </si>
  <si>
    <t>B99142</t>
  </si>
  <si>
    <t>B07010_022</t>
  </si>
  <si>
    <t>B07010_023</t>
  </si>
  <si>
    <t>B99151_001</t>
  </si>
  <si>
    <t>B07010_024</t>
  </si>
  <si>
    <t>Allocation of Educational Attainment for the Population 25 Years and Over</t>
  </si>
  <si>
    <t>Estimate!!Total:!!Moved within same county:!!No income</t>
  </si>
  <si>
    <t>B99151</t>
  </si>
  <si>
    <t>B07010_025</t>
  </si>
  <si>
    <t>Estimate!!Total:!!Moved within same county:!!With income:</t>
  </si>
  <si>
    <t>B07010_026</t>
  </si>
  <si>
    <t>B99152_001</t>
  </si>
  <si>
    <t>Estimate!!Total:!!Moved within same county:!!With income:!!$1 to $9,999 or loss</t>
  </si>
  <si>
    <t>Allocation of Field of Degree for the Population 25 Years and Over</t>
  </si>
  <si>
    <t>B07010_027</t>
  </si>
  <si>
    <t>B99152</t>
  </si>
  <si>
    <t>Estimate!!Total:!!Moved within same county:!!With income:!!$10,000 to $14,999</t>
  </si>
  <si>
    <t>B07010_028</t>
  </si>
  <si>
    <t>Estimate!!Total:!!Moved within same county:!!With income:!!$15,000 to $24,999</t>
  </si>
  <si>
    <t>B99161_001</t>
  </si>
  <si>
    <t>B07010_029</t>
  </si>
  <si>
    <t>Estimate!!Total:!!Moved within same county:!!With income:!!$25,000 to $34,999</t>
  </si>
  <si>
    <t>Allocation of Language Status for the Population 5 Years and Over</t>
  </si>
  <si>
    <t>B99161</t>
  </si>
  <si>
    <t>B07010_030</t>
  </si>
  <si>
    <t>Estimate!!Total:!!Moved within same county:!!With income:!!$35,000 to $49,999</t>
  </si>
  <si>
    <t>B07010_031</t>
  </si>
  <si>
    <t>Estimate!!Total:!!Moved within same county:!!With income:!!$50,000 to $64,999</t>
  </si>
  <si>
    <t>B99162_001</t>
  </si>
  <si>
    <t>B07010_032</t>
  </si>
  <si>
    <t>Allocation of Language Spoken at Home for the Population 5 Years and Over</t>
  </si>
  <si>
    <t>Estimate!!Total:!!Moved within same county:!!With income:!!$65,000 to $74,999</t>
  </si>
  <si>
    <t>B99162</t>
  </si>
  <si>
    <t>B07010_033</t>
  </si>
  <si>
    <t>Estimate!!Total:!!Moved within same county:!!With income:!!$75,000 or more</t>
  </si>
  <si>
    <t>B07010_034</t>
  </si>
  <si>
    <t>B99163_001</t>
  </si>
  <si>
    <t>Allocation of Ability to Speak English for the Population 5 Years and Over</t>
  </si>
  <si>
    <t>B99163</t>
  </si>
  <si>
    <t>B07010_035</t>
  </si>
  <si>
    <t>Estimate!!Total:!!Moved from different county within same state:!!No income</t>
  </si>
  <si>
    <t>B07010_036</t>
  </si>
  <si>
    <t>Estimate!!Total:!!Moved from different county within same state:!!With income:</t>
  </si>
  <si>
    <t>B99171_001</t>
  </si>
  <si>
    <t>B07010_037</t>
  </si>
  <si>
    <t>Allocation of Poverty Status in the Past 12 Months for Unrelated Individuals</t>
  </si>
  <si>
    <t>Estimate!!Total:!!Moved from different county within same state:!!With income:!!$1 to $9,999 or loss</t>
  </si>
  <si>
    <t>B99171</t>
  </si>
  <si>
    <t>B07010_038</t>
  </si>
  <si>
    <t>Estimate!!Total:!!Moved from different county within same state:!!With income:!!$10,000 to $14,999</t>
  </si>
  <si>
    <t>B07010_039</t>
  </si>
  <si>
    <t>Estimate!!Total:!!Moved from different county within same state:!!With income:!!$15,000 to $24,999</t>
  </si>
  <si>
    <t>B99172_001</t>
  </si>
  <si>
    <t>B07010_040</t>
  </si>
  <si>
    <t>Allocation of Poverty Status in the Past 12 Months for Families</t>
  </si>
  <si>
    <t>Estimate!!Total:!!Moved from different county within same state:!!With income:!!$25,000 to $34,999</t>
  </si>
  <si>
    <t>B99172</t>
  </si>
  <si>
    <t>B07010_041</t>
  </si>
  <si>
    <t>Estimate!!Total:!!Moved from different county within same state:!!With income:!!$35,000 to $49,999</t>
  </si>
  <si>
    <t>B07010_042</t>
  </si>
  <si>
    <t>B99181_001</t>
  </si>
  <si>
    <t>Estimate!!Total:!!Moved from different county within same state:!!With income:!!$50,000 to $64,999</t>
  </si>
  <si>
    <t>Allocation of Disability Items for the Civilian Noninstitutionalized Population</t>
  </si>
  <si>
    <t>B99181</t>
  </si>
  <si>
    <t>B99182_001</t>
  </si>
  <si>
    <t>Allocation of Hearing Difficulty for the Civilian Noninstitutionalized Population</t>
  </si>
  <si>
    <t>B99182</t>
  </si>
  <si>
    <t>B07010_043</t>
  </si>
  <si>
    <t>B99183_001</t>
  </si>
  <si>
    <t>Estimate!!Total:!!Moved from different county within same state:!!With income:!!$65,000 to $74,999</t>
  </si>
  <si>
    <t>Allocation of Vision Difficulty for the Civilian Noninstitutionalized Population</t>
  </si>
  <si>
    <t>B99183</t>
  </si>
  <si>
    <t>B07010_044</t>
  </si>
  <si>
    <t>Estimate!!Total:!!Moved from different county within same state:!!With income:!!$75,000 or more</t>
  </si>
  <si>
    <t>health, human services</t>
  </si>
  <si>
    <t>B07010_045</t>
  </si>
  <si>
    <t>B99184_001</t>
  </si>
  <si>
    <t>B07010_046</t>
  </si>
  <si>
    <t>Estimate!!Total:!!Moved from different state:!!No income</t>
  </si>
  <si>
    <t>Allocation of Cognitive Difficulty for the Civilian Noninstitutionalized Population 5 Years and Over</t>
  </si>
  <si>
    <t>B99184</t>
  </si>
  <si>
    <t>B07010_047</t>
  </si>
  <si>
    <t>Estimate!!Total:!!Moved from different state:!!With income:</t>
  </si>
  <si>
    <t>B07010_048</t>
  </si>
  <si>
    <t>Estimate!!Total:!!Moved from different state:!!With income:!!$1 to $9,999 or loss</t>
  </si>
  <si>
    <t>B99185_001</t>
  </si>
  <si>
    <t>B07010_049</t>
  </si>
  <si>
    <t>Estimate!!Total:!!Moved from different state:!!With income:!!$10,000 to $14,999</t>
  </si>
  <si>
    <t>Allocation of Ambulatory Difficulty for the Civilian Noninstitutionalized Population 5 Years and Over</t>
  </si>
  <si>
    <t>B99185</t>
  </si>
  <si>
    <t>B07010_050</t>
  </si>
  <si>
    <t>Estimate!!Total:!!Moved from different state:!!With income:!!$15,000 to $24,999</t>
  </si>
  <si>
    <t>B07010_051</t>
  </si>
  <si>
    <t>Estimate!!Total:!!Moved from different state:!!With income:!!$25,000 to $34,999</t>
  </si>
  <si>
    <t>B99186_001</t>
  </si>
  <si>
    <t>B07010_052</t>
  </si>
  <si>
    <t>Allocation of Self-Care Difficulty for the Civilian Noninstitutionalized Population 5 Years and Over</t>
  </si>
  <si>
    <t>Estimate!!Total:!!Moved from different state:!!With income:!!$35,000 to $49,999</t>
  </si>
  <si>
    <t>B99186</t>
  </si>
  <si>
    <t>B07010_053</t>
  </si>
  <si>
    <t>Estimate!!Total:!!Moved from different state:!!With income:!!$50,000 to $64,999</t>
  </si>
  <si>
    <t>B07010_054</t>
  </si>
  <si>
    <t>B99187_001</t>
  </si>
  <si>
    <t>Estimate!!Total:!!Moved from different state:!!With income:!!$65,000 to $74,999</t>
  </si>
  <si>
    <t>Age by Allocation of Independent Living Difficulty for the Civilian Noninstitutionalized Population 15 Years and Over</t>
  </si>
  <si>
    <t>B07010_055</t>
  </si>
  <si>
    <t>B99187</t>
  </si>
  <si>
    <t>Estimate!!Total:!!Moved from different state:!!With income:!!$75,000 or more</t>
  </si>
  <si>
    <t>B07010_056</t>
  </si>
  <si>
    <t>B99191_001</t>
  </si>
  <si>
    <t>B07010_057</t>
  </si>
  <si>
    <t>Estimate!!Total:!!Moved from abroad:!!No income</t>
  </si>
  <si>
    <t>Allocation of Individuals' Income in the Past 12 Months for the Population 15 Years and Over - Percent of Income Allocated</t>
  </si>
  <si>
    <t>B99191</t>
  </si>
  <si>
    <t>B07010_058</t>
  </si>
  <si>
    <t>Estimate!!Total:!!Moved from abroad:!!With income:</t>
  </si>
  <si>
    <t>B07010_059</t>
  </si>
  <si>
    <t>Estimate!!Total:!!Moved from abroad:!!With income:!!$1 to $9,999 or loss</t>
  </si>
  <si>
    <t>B99192_001</t>
  </si>
  <si>
    <t>B07010_060</t>
  </si>
  <si>
    <t>Estimate!!Total:!!Moved from abroad:!!With income:!!$10,000 to $14,999</t>
  </si>
  <si>
    <t>Allocation of Household Income in the Past 12 Months - Percent of Income Allocated</t>
  </si>
  <si>
    <t>B99192</t>
  </si>
  <si>
    <t>B07010_061</t>
  </si>
  <si>
    <t>Estimate!!Total:!!Moved from abroad:!!With income:!!$15,000 to $24,999</t>
  </si>
  <si>
    <t>B07010_062</t>
  </si>
  <si>
    <t>Estimate!!Total:!!Moved from abroad:!!With income:!!$25,000 to $34,999</t>
  </si>
  <si>
    <t>B99193_001</t>
  </si>
  <si>
    <t>B07010_063</t>
  </si>
  <si>
    <t>Estimate!!Total:!!Moved from abroad:!!With income:!!$35,000 to $49,999</t>
  </si>
  <si>
    <t>Allocation of Family Income in the Past 12 Months -- Percent of Income Allocated</t>
  </si>
  <si>
    <t>B99193</t>
  </si>
  <si>
    <t>B07010_064</t>
  </si>
  <si>
    <t>Estimate!!Total:!!Moved from abroad:!!With income:!!$50,000 to $64,999</t>
  </si>
  <si>
    <t>B07010_065</t>
  </si>
  <si>
    <t>Estimate!!Total:!!Moved from abroad:!!With income:!!$65,000 to $74,999</t>
  </si>
  <si>
    <t>B99194_001</t>
  </si>
  <si>
    <t>B07010_066</t>
  </si>
  <si>
    <t>Estimate!!Total:!!Moved from abroad:!!With income:!!$75,000 or more</t>
  </si>
  <si>
    <t>Allocation of Nonfamily Household Income in the Past 12 Months -- Percent of Income Allocated</t>
  </si>
  <si>
    <t>B99194</t>
  </si>
  <si>
    <t>B07011PR_002</t>
  </si>
  <si>
    <t>Estimate!!Median income in the past 12 months --!!Total:!!Same house 1 year ago</t>
  </si>
  <si>
    <t>B99201_001</t>
  </si>
  <si>
    <t>B07011PR_003</t>
  </si>
  <si>
    <t>Estimate!!Median income in the past 12 months --!!Total:!!Moved within same municipio</t>
  </si>
  <si>
    <t>Allocation of Earnings in the Past 12 Months for the Population 16 Years and Over - Percent of Earnings Allocated</t>
  </si>
  <si>
    <t>B99201</t>
  </si>
  <si>
    <t>B07011PR_004</t>
  </si>
  <si>
    <t>Estimate!!Median income in the past 12 months --!!Total:!!Moved from different municipio</t>
  </si>
  <si>
    <t>B07011PR_005</t>
  </si>
  <si>
    <t>Estimate!!Median income in the past 12 months --!!Total:!!Moved from the United States</t>
  </si>
  <si>
    <t>B99211_001</t>
  </si>
  <si>
    <t>B07011PR_006</t>
  </si>
  <si>
    <t>Allocation of Veteran Status for the Population 18 Years and Over</t>
  </si>
  <si>
    <t>Estimate!!Median income in the past 12 months --!!Total:!!Moved from elsewhere</t>
  </si>
  <si>
    <t>B99211</t>
  </si>
  <si>
    <t>B99212_001</t>
  </si>
  <si>
    <t>Allocation of Period of Military Service for Civilian Veterans 18 Years and Over</t>
  </si>
  <si>
    <t>B99212</t>
  </si>
  <si>
    <t>B07011_002</t>
  </si>
  <si>
    <t>B07011_003</t>
  </si>
  <si>
    <t>Estimate!!Median income in the past 12 months --!!Total:!!Moved within same county</t>
  </si>
  <si>
    <t>B99221_001</t>
  </si>
  <si>
    <t>B07011_004</t>
  </si>
  <si>
    <t>Allocation of Food Stamps/SNAP Receipt</t>
  </si>
  <si>
    <t>Estimate!!Median income in the past 12 months --!!Total:!!Moved from different county within same state</t>
  </si>
  <si>
    <t>B99221</t>
  </si>
  <si>
    <t>B07011_005</t>
  </si>
  <si>
    <t>Estimate!!Median income in the past 12 months --!!Total:!!Moved from different state</t>
  </si>
  <si>
    <t>B07011_006</t>
  </si>
  <si>
    <t>Estimate!!Median income in the past 12 months --!!Total:!!Moved from abroad</t>
  </si>
  <si>
    <t>B99231_001</t>
  </si>
  <si>
    <t>Allocation of Employment Status for the Population 16 Years and Over</t>
  </si>
  <si>
    <t>B99231</t>
  </si>
  <si>
    <t>B07012PR_002</t>
  </si>
  <si>
    <t>B07012PR_003</t>
  </si>
  <si>
    <t>B99232_001</t>
  </si>
  <si>
    <t>B07012PR_004</t>
  </si>
  <si>
    <t>Allocation of Work Status in the Past 12 Months for the Population 16 Years and Over</t>
  </si>
  <si>
    <t>B99232</t>
  </si>
  <si>
    <t>B07012PR_005</t>
  </si>
  <si>
    <t>B07012PR_006</t>
  </si>
  <si>
    <t>Estimate!!Total:!!Same house 1 year ago:!!Below 100 percent of the poverty level</t>
  </si>
  <si>
    <t>B07012PR_007</t>
  </si>
  <si>
    <t>Estimate!!Total:!!Same house 1 year ago:!!100 to 149 percent of the poverty level</t>
  </si>
  <si>
    <t>B07012PR_008</t>
  </si>
  <si>
    <t>Estimate!!Total:!!Same house 1 year ago:!!At or above 150 percent of the poverty level</t>
  </si>
  <si>
    <t>B07012PR_009</t>
  </si>
  <si>
    <t>B07012PR_010</t>
  </si>
  <si>
    <t>Estimate!!Total:!!Moved within same municipio:!!Below 100 percent of the poverty level</t>
  </si>
  <si>
    <t>B07012PR_011</t>
  </si>
  <si>
    <t>Estimate!!Total:!!Moved within same municipio:!!100 to 149 percent of the poverty level</t>
  </si>
  <si>
    <t>B07012PR_012</t>
  </si>
  <si>
    <t>Estimate!!Total:!!Moved within same municipio:!!At or above 150 percent of the poverty level</t>
  </si>
  <si>
    <t>B07012PR_013</t>
  </si>
  <si>
    <t>B07012PR_014</t>
  </si>
  <si>
    <t>Estimate!!Total:!!Moved from different municipio:!!Below 100 percent of the poverty level</t>
  </si>
  <si>
    <t>B07012PR_015</t>
  </si>
  <si>
    <t>Estimate!!Total:!!Moved from different municipio:!!100 to 149 percent of the poverty level</t>
  </si>
  <si>
    <t>B07012PR_016</t>
  </si>
  <si>
    <t>Estimate!!Total:!!Moved from different municipio:!!At or above 150 percent of the poverty level</t>
  </si>
  <si>
    <t>B07012PR_017</t>
  </si>
  <si>
    <t>B07012PR_018</t>
  </si>
  <si>
    <t>Estimate!!Total:!!Moved from the United States:!!Below 100 percent of the poverty level</t>
  </si>
  <si>
    <t>B07012PR_019</t>
  </si>
  <si>
    <t>Estimate!!Total:!!Moved from the United States:!!100 to 149 percent of the poverty level</t>
  </si>
  <si>
    <t>B07012PR_020</t>
  </si>
  <si>
    <t>Estimate!!Total:!!Moved from the United States:!!At or above 150 percent of the poverty level</t>
  </si>
  <si>
    <t>B07012PR_021</t>
  </si>
  <si>
    <t>B99233_001</t>
  </si>
  <si>
    <t>B07012PR_022</t>
  </si>
  <si>
    <t>Estimate!!Total:!!Moved from elsewhere:!!Below 100 percent of the poverty level</t>
  </si>
  <si>
    <t>Allocation of Usual Hours Worked per Week in the Past 12 Months for the Population 16 Years and Over</t>
  </si>
  <si>
    <t>B07012PR_023</t>
  </si>
  <si>
    <t>B99233</t>
  </si>
  <si>
    <t>Estimate!!Total:!!Moved from elsewhere:!!100 to 149 percent of the poverty level</t>
  </si>
  <si>
    <t>B07012PR_024</t>
  </si>
  <si>
    <t>Estimate!!Total:!!Moved from elsewhere:!!At or above 150 percent of the poverty level</t>
  </si>
  <si>
    <t>B99234_001</t>
  </si>
  <si>
    <t>Allocation of Weeks Worked in the Past 12 Months for the Population 16 Years and Over</t>
  </si>
  <si>
    <t>B99234</t>
  </si>
  <si>
    <t>B07012_002</t>
  </si>
  <si>
    <t>B07012_003</t>
  </si>
  <si>
    <t>B99241_001</t>
  </si>
  <si>
    <t>B07012_004</t>
  </si>
  <si>
    <t>Allocation of Industry for the Civilian Employed Population 16 Years and Over</t>
  </si>
  <si>
    <t>B99241</t>
  </si>
  <si>
    <t>B07012_005</t>
  </si>
  <si>
    <t>B07012_006</t>
  </si>
  <si>
    <t>B99242_001</t>
  </si>
  <si>
    <t>B07012_007</t>
  </si>
  <si>
    <t>Allocation of Occupation for the Civilian Employed Population 16 Years and Over</t>
  </si>
  <si>
    <t>B99242</t>
  </si>
  <si>
    <t>B07012_008</t>
  </si>
  <si>
    <t>B07012_009</t>
  </si>
  <si>
    <t>B99243_001</t>
  </si>
  <si>
    <t>Allocation of Class of Worker for the Civilian Employed Population 16 Years and Over</t>
  </si>
  <si>
    <t>B07012_010</t>
  </si>
  <si>
    <t>B99243</t>
  </si>
  <si>
    <t>Estimate!!Total:!!Moved within same county:!!Below 100 percent of the poverty level</t>
  </si>
  <si>
    <t>B07012_011</t>
  </si>
  <si>
    <t>Estimate!!Total:!!Moved within same county:!!100 to 149 percent of the poverty level</t>
  </si>
  <si>
    <t>B99244_001</t>
  </si>
  <si>
    <t>B07012_012</t>
  </si>
  <si>
    <t>Estimate!!Total:!!Moved within same county:!!At or above 150 percent of the poverty level</t>
  </si>
  <si>
    <t>Allocation of Industry for the Full-Time, Year-Round Civilian Employed Population 16 Years and Over</t>
  </si>
  <si>
    <t>B99244</t>
  </si>
  <si>
    <t>B07012_013</t>
  </si>
  <si>
    <t>B07012_014</t>
  </si>
  <si>
    <t>Estimate!!Total:!!Moved from different county within same state:!!Below 100 percent of the poverty level</t>
  </si>
  <si>
    <t>B99245_001</t>
  </si>
  <si>
    <t>B07012_015</t>
  </si>
  <si>
    <t>Estimate!!Total:!!Moved from different county within same state:!!100 to 149 percent of the poverty level</t>
  </si>
  <si>
    <t>Allocation of Occupation for the Full-Time, Year-Round Civilian Employed Population 16 Years and Over</t>
  </si>
  <si>
    <t>B99245</t>
  </si>
  <si>
    <t>B07012_016</t>
  </si>
  <si>
    <t>Estimate!!Total:!!Moved from different county within same state:!!At or above 150 percent of the poverty level</t>
  </si>
  <si>
    <t>B07012_017</t>
  </si>
  <si>
    <t>B99246_001</t>
  </si>
  <si>
    <t>B07012_018</t>
  </si>
  <si>
    <t>Allocation of Class of Worker for the Full-Time, Year-Round Civilian Employed Population 16 Years and Over</t>
  </si>
  <si>
    <t>Estimate!!Total:!!Moved from different state:!!Below 100 percent of the poverty level</t>
  </si>
  <si>
    <t>B99246</t>
  </si>
  <si>
    <t>B07012_019</t>
  </si>
  <si>
    <t>Estimate!!Total:!!Moved from different state:!!100 to 149 percent of the poverty level</t>
  </si>
  <si>
    <t>B992510_001</t>
  </si>
  <si>
    <t>Allocation of Kitchen Facilities</t>
  </si>
  <si>
    <t>B07012_020</t>
  </si>
  <si>
    <t>B992510</t>
  </si>
  <si>
    <t>Estimate!!Total:!!Moved from different state:!!At or above 150 percent of the poverty level</t>
  </si>
  <si>
    <t>B07012_021</t>
  </si>
  <si>
    <t>B07012_022</t>
  </si>
  <si>
    <t>Estimate!!Total:!!Moved from abroad:!!Below 100 percent of the poverty level</t>
  </si>
  <si>
    <t>B07012_023</t>
  </si>
  <si>
    <t>Estimate!!Total:!!Moved from abroad:!!100 to 149 percent of the poverty level</t>
  </si>
  <si>
    <t>B07012_024</t>
  </si>
  <si>
    <t>Estimate!!Total:!!Moved from abroad:!!At or above 150 percent of the poverty level</t>
  </si>
  <si>
    <t>B07013PR_002</t>
  </si>
  <si>
    <t>Estimate!!Total:!!Householder lived in owner-occupied housing units</t>
  </si>
  <si>
    <t>B07013PR_003</t>
  </si>
  <si>
    <t>Estimate!!Total:!!Householder lived in renter-occupied housing units</t>
  </si>
  <si>
    <t>B07013PR_004</t>
  </si>
  <si>
    <t>B992511_001</t>
  </si>
  <si>
    <t>B07013PR_005</t>
  </si>
  <si>
    <t>Allocation of House Heating Fuel</t>
  </si>
  <si>
    <t>Estimate!!Total:!!Same house 1 year ago:!!Householder lived in owner-occupied housing units</t>
  </si>
  <si>
    <t>B992511</t>
  </si>
  <si>
    <t>B07013PR_006</t>
  </si>
  <si>
    <t>Estimate!!Total:!!Same house 1 year ago:!!Householder lived in renter-occupied housing units</t>
  </si>
  <si>
    <t>B07013PR_007</t>
  </si>
  <si>
    <t>B992512_001</t>
  </si>
  <si>
    <t>Allocation of Vehicles Available</t>
  </si>
  <si>
    <t>B07013PR_008</t>
  </si>
  <si>
    <t>B992512</t>
  </si>
  <si>
    <t>Estimate!!Total:!!Moved within same municipio:!!Householder lived in owner-occupied housing units</t>
  </si>
  <si>
    <t>B07013PR_009</t>
  </si>
  <si>
    <t>Estimate!!Total:!!Moved within same municipio:!!Householder lived in renter-occupied housing units</t>
  </si>
  <si>
    <t>B992513_001</t>
  </si>
  <si>
    <t>B07013PR_010</t>
  </si>
  <si>
    <t>Allocation of Telephone Service Available</t>
  </si>
  <si>
    <t>B992513</t>
  </si>
  <si>
    <t>B07013PR_011</t>
  </si>
  <si>
    <t>Estimate!!Total:!!Moved from different municipio:!!Householder lived in owner-occupied housing units</t>
  </si>
  <si>
    <t>B07013PR_012</t>
  </si>
  <si>
    <t>Estimate!!Total:!!Moved from different municipio:!!Householder lived in renter-occupied housing units</t>
  </si>
  <si>
    <t>B07013PR_013</t>
  </si>
  <si>
    <t>B07013PR_014</t>
  </si>
  <si>
    <t>Estimate!!Total:!!Moved from the United States:!!Householder lived in owner-occupied housing units</t>
  </si>
  <si>
    <t>B07013PR_015</t>
  </si>
  <si>
    <t>Estimate!!Total:!!Moved from the United States:!!Householder lived in renter-occupied housing units</t>
  </si>
  <si>
    <t>B992514_001</t>
  </si>
  <si>
    <t>B07013PR_016</t>
  </si>
  <si>
    <t>Allocation of Meals Included in Rent</t>
  </si>
  <si>
    <t>B992514</t>
  </si>
  <si>
    <t>B07013PR_017</t>
  </si>
  <si>
    <t>Estimate!!Total:!!Moved from elsewhere:!!Householder lived in owner-occupied housing units</t>
  </si>
  <si>
    <t>B07013PR_018</t>
  </si>
  <si>
    <t>Estimate!!Total:!!Moved from elsewhere:!!Householder lived in renter-occupied housing units</t>
  </si>
  <si>
    <t>B992515_001</t>
  </si>
  <si>
    <t>Allocation of Contract Rent</t>
  </si>
  <si>
    <t>B992515</t>
  </si>
  <si>
    <t>B07013_002</t>
  </si>
  <si>
    <t>B07013_003</t>
  </si>
  <si>
    <t>B992516_001</t>
  </si>
  <si>
    <t>B07013_004</t>
  </si>
  <si>
    <t>Allocation of Rent Asked</t>
  </si>
  <si>
    <t>B992516</t>
  </si>
  <si>
    <t>B07013_005</t>
  </si>
  <si>
    <t>B07013_006</t>
  </si>
  <si>
    <t>B992518_001</t>
  </si>
  <si>
    <t>B07013_007</t>
  </si>
  <si>
    <t>Allocation of Gross Rent</t>
  </si>
  <si>
    <t>B992518</t>
  </si>
  <si>
    <t>B07013_008</t>
  </si>
  <si>
    <t>Estimate!!Total:!!Moved within same county:!!Householder lived in owner-occupied housing units</t>
  </si>
  <si>
    <t>B07013_009</t>
  </si>
  <si>
    <t>Estimate!!Total:!!Moved within same county:!!Householder lived in renter-occupied housing units</t>
  </si>
  <si>
    <t>B992519_001</t>
  </si>
  <si>
    <t>B07013_010</t>
  </si>
  <si>
    <t>Allocation of Value</t>
  </si>
  <si>
    <t>B992519</t>
  </si>
  <si>
    <t>B07013_011</t>
  </si>
  <si>
    <t>Estimate!!Total:!!Moved from different county within same state:!!Householder lived in owner-occupied housing units</t>
  </si>
  <si>
    <t>B07013_012</t>
  </si>
  <si>
    <t>Estimate!!Total:!!Moved from different county within same state:!!Householder lived in renter-occupied housing units</t>
  </si>
  <si>
    <t>B99252_001</t>
  </si>
  <si>
    <t>B07013_013</t>
  </si>
  <si>
    <t>Allocation of Tenure</t>
  </si>
  <si>
    <t>B99252</t>
  </si>
  <si>
    <t>B07013_014</t>
  </si>
  <si>
    <t>Estimate!!Total:!!Moved from different state:!!Householder lived in owner-occupied housing units</t>
  </si>
  <si>
    <t>B07013_015</t>
  </si>
  <si>
    <t>Estimate!!Total:!!Moved from different state:!!Householder lived in renter-occupied housing units</t>
  </si>
  <si>
    <t>B992520_001</t>
  </si>
  <si>
    <t>B07013_016</t>
  </si>
  <si>
    <t>Allocation of Price Asked</t>
  </si>
  <si>
    <t>B992520</t>
  </si>
  <si>
    <t>B07013_017</t>
  </si>
  <si>
    <t>Estimate!!Total:!!Moved from abroad:!!Householder lived in owner-occupied housing units</t>
  </si>
  <si>
    <t>B07013_018</t>
  </si>
  <si>
    <t>Estimate!!Total:!!Moved from abroad:!!Householder lived in renter-occupied housing units</t>
  </si>
  <si>
    <t>B992521_001</t>
  </si>
  <si>
    <t>Allocation of Mortgage Status</t>
  </si>
  <si>
    <t>B992521</t>
  </si>
  <si>
    <t>B07101_002</t>
  </si>
  <si>
    <t>Estimate!!Total:!!Same residence (non-movers)</t>
  </si>
  <si>
    <t>B992522_001</t>
  </si>
  <si>
    <t>B07101_003</t>
  </si>
  <si>
    <t>Allocation of Mortgage Status and Selected Monthly Owner Costs</t>
  </si>
  <si>
    <t>Estimate!!Total:!!Movers within same state</t>
  </si>
  <si>
    <t>B992522</t>
  </si>
  <si>
    <t>B07101_004</t>
  </si>
  <si>
    <t>Estimate!!Total:!!Movers to different state:</t>
  </si>
  <si>
    <t>B07101_005</t>
  </si>
  <si>
    <t>Estimate!!Total:!!Movers to different state:!!Residence 1 year ago--!!Northeast</t>
  </si>
  <si>
    <t>B992523_001</t>
  </si>
  <si>
    <t>B07101_006</t>
  </si>
  <si>
    <t>Estimate!!Total:!!Movers to different state:!!Residence 1 year ago--!!Midwest</t>
  </si>
  <si>
    <t>Allocation of Selected Monthly Owner Costs for Owner-Occupied Housing Units</t>
  </si>
  <si>
    <t>B992523</t>
  </si>
  <si>
    <t>B07101_007</t>
  </si>
  <si>
    <t>Estimate!!Total:!!Movers to different state:!!Residence 1 year ago--!!South</t>
  </si>
  <si>
    <t>B07101_008</t>
  </si>
  <si>
    <t>Estimate!!Total:!!Movers to different state:!!Residence 1 year ago--!!West</t>
  </si>
  <si>
    <t>B99253_001</t>
  </si>
  <si>
    <t>B07101_009</t>
  </si>
  <si>
    <t>Estimate!!Total:!!Movers from abroad:</t>
  </si>
  <si>
    <t>Allocation of Vacancy Status</t>
  </si>
  <si>
    <t>B99253</t>
  </si>
  <si>
    <t>B07101_010</t>
  </si>
  <si>
    <t>Estimate!!Total:!!Movers from abroad:!!Puerto Rico</t>
  </si>
  <si>
    <t>B07101_011</t>
  </si>
  <si>
    <t>Estimate!!Total:!!Movers from abroad:!!U.S. Island Areas</t>
  </si>
  <si>
    <t>B99254_001</t>
  </si>
  <si>
    <t>Allocation of Rooms</t>
  </si>
  <si>
    <t>B07101_012</t>
  </si>
  <si>
    <t>B99254</t>
  </si>
  <si>
    <t>Estimate!!Total:!!Movers from abroad:!!Foreign country</t>
  </si>
  <si>
    <t>B07101_013</t>
  </si>
  <si>
    <t>Estimate!!Total:!!Current residence; Northeast:</t>
  </si>
  <si>
    <t>B99255_001</t>
  </si>
  <si>
    <t>B07101_014</t>
  </si>
  <si>
    <t>Estimate!!Total:!!Current residence; Northeast:!!Same residence (non-movers)</t>
  </si>
  <si>
    <t>Allocation of Units in Structure</t>
  </si>
  <si>
    <t>B99255</t>
  </si>
  <si>
    <t>B07101_015</t>
  </si>
  <si>
    <t>Estimate!!Total:!!Current residence; Northeast:!!Movers within same state</t>
  </si>
  <si>
    <t>B07101_016</t>
  </si>
  <si>
    <t>Estimate!!Total:!!Current residence; Northeast:!!Movers to different state:</t>
  </si>
  <si>
    <t>B99256_001</t>
  </si>
  <si>
    <t>Allocation of Year Structure Built</t>
  </si>
  <si>
    <t>B99256</t>
  </si>
  <si>
    <t>B07101_017</t>
  </si>
  <si>
    <t>Estimate!!Total:!!Current residence; Northeast:!!Movers to different state:!!Residence 1 year ago--!!Northeast</t>
  </si>
  <si>
    <t>B07101_018</t>
  </si>
  <si>
    <t>B99257_001</t>
  </si>
  <si>
    <t>Estimate!!Total:!!Current residence; Northeast:!!Movers to different state:!!Residence 1 year ago--!!Midwest</t>
  </si>
  <si>
    <t>Allocation of Year Householder Moved Into Unit</t>
  </si>
  <si>
    <t>B99257</t>
  </si>
  <si>
    <t>B07101_019</t>
  </si>
  <si>
    <t>Estimate!!Total:!!Current residence; Northeast:!!Movers to different state:!!Residence 1 year ago--!!South</t>
  </si>
  <si>
    <t>B07101_020</t>
  </si>
  <si>
    <t>Estimate!!Total:!!Current residence; Northeast:!!Movers to different state:!!Residence 1 year ago--!!West</t>
  </si>
  <si>
    <t>B99258_001</t>
  </si>
  <si>
    <t>B07101_021</t>
  </si>
  <si>
    <t>Estimate!!Total:!!Current residence; Northeast:!!Movers from abroad:</t>
  </si>
  <si>
    <t>Allocation of Bedrooms</t>
  </si>
  <si>
    <t>B99258</t>
  </si>
  <si>
    <t>B07101_022</t>
  </si>
  <si>
    <t>Estimate!!Total:!!Current residence; Northeast:!!Movers from abroad:!!Puerto Rico</t>
  </si>
  <si>
    <t>B07101_023</t>
  </si>
  <si>
    <t>Estimate!!Total:!!Current residence; Northeast:!!Movers from abroad:!!U.S. Island Areas</t>
  </si>
  <si>
    <t>B99259_001</t>
  </si>
  <si>
    <t>B07101_024</t>
  </si>
  <si>
    <t>Allocation of Plumbing Facilities</t>
  </si>
  <si>
    <t>Estimate!!Total:!!Current residence; Northeast:!!Movers from abroad:!!Foreign country</t>
  </si>
  <si>
    <t>B99259</t>
  </si>
  <si>
    <t>B07101_025</t>
  </si>
  <si>
    <t>Estimate!!Total:!!Current residence; Midwest:</t>
  </si>
  <si>
    <t>B07101_026</t>
  </si>
  <si>
    <t>Estimate!!Total:!!Current residence; Midwest:!!Same residence (non-movers)</t>
  </si>
  <si>
    <t>B992701_001</t>
  </si>
  <si>
    <t>B07101_027</t>
  </si>
  <si>
    <t>Allocation of Health Insurance Coverage</t>
  </si>
  <si>
    <t>Estimate!!Total:!!Current residence; Midwest:!!Movers within same state</t>
  </si>
  <si>
    <t>B992701</t>
  </si>
  <si>
    <t>B07101_028</t>
  </si>
  <si>
    <t>Estimate!!Total:!!Current residence; Midwest:!!Movers to different state:</t>
  </si>
  <si>
    <t>B07101_029</t>
  </si>
  <si>
    <t>B992702_001</t>
  </si>
  <si>
    <t>Estimate!!Total:!!Current residence; Midwest:!!Movers to different state:!!Residence 1 year ago--!!Northeast</t>
  </si>
  <si>
    <t>Allocation of Private Health Insurance</t>
  </si>
  <si>
    <t>B992702</t>
  </si>
  <si>
    <t>B07101_030</t>
  </si>
  <si>
    <t>Estimate!!Total:!!Current residence; Midwest:!!Movers to different state:!!Residence 1 year ago--!!Midwest</t>
  </si>
  <si>
    <t>B07101_031</t>
  </si>
  <si>
    <t>Estimate!!Total:!!Current residence; Midwest:!!Movers to different state:!!Residence 1 year ago--!!South</t>
  </si>
  <si>
    <t>B992703_001</t>
  </si>
  <si>
    <t>Allocation of Public Health Insurance</t>
  </si>
  <si>
    <t>B07101_032</t>
  </si>
  <si>
    <t>B992703</t>
  </si>
  <si>
    <t>Estimate!!Total:!!Current residence; Midwest:!!Movers to different state:!!Residence 1 year ago--!!West</t>
  </si>
  <si>
    <t>B07101_033</t>
  </si>
  <si>
    <t>Estimate!!Total:!!Current residence; Midwest:!!Movers from abroad:</t>
  </si>
  <si>
    <t>B992704_001</t>
  </si>
  <si>
    <t>Allocation of Employer-Based Health Insurance</t>
  </si>
  <si>
    <t>B07101_034</t>
  </si>
  <si>
    <t>B992704</t>
  </si>
  <si>
    <t>Estimate!!Total:!!Current residence; Midwest:!!Movers from abroad:!!Puerto Rico</t>
  </si>
  <si>
    <t>economy, health</t>
  </si>
  <si>
    <t>B07101_035</t>
  </si>
  <si>
    <t>Estimate!!Total:!!Current residence; Midwest:!!Movers from abroad:!!U.S. Island Areas</t>
  </si>
  <si>
    <t>B07101_036</t>
  </si>
  <si>
    <t>B992705_001</t>
  </si>
  <si>
    <t>Estimate!!Total:!!Current residence; Midwest:!!Movers from abroad:!!Foreign country</t>
  </si>
  <si>
    <t>Allocation of Direct-Purchase Health Insurance</t>
  </si>
  <si>
    <t>B07101_037</t>
  </si>
  <si>
    <t>B992705</t>
  </si>
  <si>
    <t>Estimate!!Total:!!Current residence; South:</t>
  </si>
  <si>
    <t>B07101_038</t>
  </si>
  <si>
    <t>Estimate!!Total:!!Current residence; South:!!Same residence (non-movers)</t>
  </si>
  <si>
    <t>B07101_039</t>
  </si>
  <si>
    <t>B992706_001</t>
  </si>
  <si>
    <t>Estimate!!Total:!!Current residence; South:!!Movers within same state</t>
  </si>
  <si>
    <t>Allocation of Medicare Coverage</t>
  </si>
  <si>
    <t>B07101_040</t>
  </si>
  <si>
    <t>B992706</t>
  </si>
  <si>
    <t>Estimate!!Total:!!Current residence; South:!!Movers to different state:</t>
  </si>
  <si>
    <t>B07101_041</t>
  </si>
  <si>
    <t>Estimate!!Total:!!Current residence; South:!!Movers to different state:!!Residence 1 year ago--!!Northeast</t>
  </si>
  <si>
    <t>B07101_042</t>
  </si>
  <si>
    <t>B992707_001</t>
  </si>
  <si>
    <t>Estimate!!Total:!!Current residence; South:!!Movers to different state:!!Residence 1 year ago--!!Midwest</t>
  </si>
  <si>
    <t>Allocation of Medicaid/Means-Tested Public Coverage</t>
  </si>
  <si>
    <t>B07101_043</t>
  </si>
  <si>
    <t>B992707</t>
  </si>
  <si>
    <t>Estimate!!Total:!!Current residence; South:!!Movers to different state:!!Residence 1 year ago--!!South</t>
  </si>
  <si>
    <t>B07101_044</t>
  </si>
  <si>
    <t>Estimate!!Total:!!Current residence; South:!!Movers to different state:!!Residence 1 year ago--!!West</t>
  </si>
  <si>
    <t>B992708_001</t>
  </si>
  <si>
    <t>B07101_045</t>
  </si>
  <si>
    <t>Allocation of TRICARE/Military Health Coverage</t>
  </si>
  <si>
    <t>Estimate!!Total:!!Current residence; South:!!Movers from abroad:</t>
  </si>
  <si>
    <t>B992708</t>
  </si>
  <si>
    <t>B07101_046</t>
  </si>
  <si>
    <t>Estimate!!Total:!!Current residence; South:!!Movers from abroad:!!Puerto Rico</t>
  </si>
  <si>
    <t>B992709_001</t>
  </si>
  <si>
    <t>B07101_047</t>
  </si>
  <si>
    <t>Allocation of VA Health Care</t>
  </si>
  <si>
    <t>Estimate!!Total:!!Current residence; South:!!Movers from abroad:!!U.S. Island Areas</t>
  </si>
  <si>
    <t>B992709</t>
  </si>
  <si>
    <t>B07101_048</t>
  </si>
  <si>
    <t>Estimate!!Total:!!Current residence; South:!!Movers from abroad:!!Foreign country</t>
  </si>
  <si>
    <t>B99281_001</t>
  </si>
  <si>
    <t>B07101_049</t>
  </si>
  <si>
    <t>Estimate!!Total:!!Current residence; West:</t>
  </si>
  <si>
    <t>Allocation of Household Internet Access</t>
  </si>
  <si>
    <t>B99281</t>
  </si>
  <si>
    <t>B07101_050</t>
  </si>
  <si>
    <t>Estimate!!Total:!!Current residence; West:!!Same residence (non-movers)</t>
  </si>
  <si>
    <t>B07101_051</t>
  </si>
  <si>
    <t>Estimate!!Total:!!Current residence; West:!!Movers within same state</t>
  </si>
  <si>
    <t>B99282_001</t>
  </si>
  <si>
    <t>B07101_052</t>
  </si>
  <si>
    <t>Estimate!!Total:!!Current residence; West:!!Movers to different state:</t>
  </si>
  <si>
    <t>Allocation of Household Computer Type</t>
  </si>
  <si>
    <t>B99282</t>
  </si>
  <si>
    <t>B07101_053</t>
  </si>
  <si>
    <t>Estimate!!Total:!!Current residence; West:!!Movers to different state:!!Residence 1 year ago--!!Northeast</t>
  </si>
  <si>
    <t>B07101_054</t>
  </si>
  <si>
    <t>Estimate!!Total:!!Current residence; West:!!Movers to different state:!!Residence 1 year ago--!!Midwest</t>
  </si>
  <si>
    <t>B99283_001</t>
  </si>
  <si>
    <t>B07101_055</t>
  </si>
  <si>
    <t>Allocation of Household Internet Subscription Type</t>
  </si>
  <si>
    <t>Estimate!!Total:!!Current residence; West:!!Movers to different state:!!Residence 1 year ago--!!South</t>
  </si>
  <si>
    <t>B99283</t>
  </si>
  <si>
    <t>B07101_056</t>
  </si>
  <si>
    <t>Estimate!!Total:!!Current residence; West:!!Movers to different state:!!Residence 1 year ago--!!West</t>
  </si>
  <si>
    <t>B07101_057</t>
  </si>
  <si>
    <t>Estimate!!Total:!!Current residence; West:!!Movers from abroad:</t>
  </si>
  <si>
    <t>C02003_001</t>
  </si>
  <si>
    <t>B07101_058</t>
  </si>
  <si>
    <t>Estimate!!Total:!!Current residence; West:!!Movers from abroad:!!Puerto Rico</t>
  </si>
  <si>
    <t>C02003</t>
  </si>
  <si>
    <t>B07101_059</t>
  </si>
  <si>
    <t>Estimate!!Total:!!Current residence; West:!!Movers from abroad:!!U.S. Island Areas</t>
  </si>
  <si>
    <t>B07101_060</t>
  </si>
  <si>
    <t>Estimate!!Total:!!Current residence; West:!!Movers from abroad:!!Foreign country</t>
  </si>
  <si>
    <t>C02015_001</t>
  </si>
  <si>
    <t>B07201PR_002</t>
  </si>
  <si>
    <t>C02015</t>
  </si>
  <si>
    <t>B07201PR_003</t>
  </si>
  <si>
    <t>Estimate!!Total:!!Different house in Puerto Rico 1 year ago:</t>
  </si>
  <si>
    <t>B07201PR_004</t>
  </si>
  <si>
    <t>Estimate!!Total:!!Different house in Puerto Rico 1 year ago:!!Same Metropolitan Statistical Area:</t>
  </si>
  <si>
    <t>C02016_001</t>
  </si>
  <si>
    <t>B07201PR_005</t>
  </si>
  <si>
    <t>Estimate!!Total:!!Different house in Puerto Rico 1 year ago:!!Same Metropolitan Statistical Area:!!Moved from principal city</t>
  </si>
  <si>
    <t>C02016</t>
  </si>
  <si>
    <t>B07201PR_006</t>
  </si>
  <si>
    <t>Estimate!!Total:!!Different house in Puerto Rico 1 year ago:!!Same Metropolitan Statistical Area:!!Moved from remainder of Metropolitan Statistical Area</t>
  </si>
  <si>
    <t>B07201PR_007</t>
  </si>
  <si>
    <t>Estimate!!Total:!!Different house in Puerto Rico 1 year ago:!!Different Metropolitan Statistical Area:</t>
  </si>
  <si>
    <t>C02020_001</t>
  </si>
  <si>
    <t>B07201PR_008</t>
  </si>
  <si>
    <t>Estimate!!Total:!!Different house in Puerto Rico 1 year ago:!!Different Metropolitan Statistical Area:!!Moved from principal city</t>
  </si>
  <si>
    <t>C02020</t>
  </si>
  <si>
    <t>B07201PR_009</t>
  </si>
  <si>
    <t>Estimate!!Total:!!Different house in Puerto Rico 1 year ago:!!Different Metropolitan Statistical Area:!!Moved from remainder of Metropolitan Statistical Area</t>
  </si>
  <si>
    <t>B07201PR_010</t>
  </si>
  <si>
    <t>Estimate!!Total:!!Different house in Puerto Rico 1 year ago:!!Micropolitan Statistical Area:</t>
  </si>
  <si>
    <t>C02022_001</t>
  </si>
  <si>
    <t>B07201PR_011</t>
  </si>
  <si>
    <t>C02022</t>
  </si>
  <si>
    <t>Estimate!!Total:!!Different house in Puerto Rico 1 year ago:!!Micropolitan Statistical Area:!!Moved from principal city</t>
  </si>
  <si>
    <t>B07201PR_012</t>
  </si>
  <si>
    <t>Estimate!!Total:!!Different house in Puerto Rico 1 year ago:!!Micropolitan Statistical Area:!!Moved from remainder of Micropolitan Statistical Area</t>
  </si>
  <si>
    <t>C02023_001</t>
  </si>
  <si>
    <t>B07201PR_013</t>
  </si>
  <si>
    <t>Estimate!!Total:!!Different house in Puerto Rico 1 year ago:!!Not in a Metropolitan or Micropolitan Statistical Area 1 year ago</t>
  </si>
  <si>
    <t>C02023</t>
  </si>
  <si>
    <t>B07201PR_014</t>
  </si>
  <si>
    <t>Estimate!!Total:!!United States 1 year ago:</t>
  </si>
  <si>
    <t>B07201PR_015</t>
  </si>
  <si>
    <t>Estimate!!Total:!!United States 1 year ago:!!Metropolitan Statistical Area:</t>
  </si>
  <si>
    <t>C15002A_001</t>
  </si>
  <si>
    <t>B07201PR_016</t>
  </si>
  <si>
    <t>Estimate!!Total:!!United States 1 year ago:!!Metropolitan Statistical Area:!!Moved from principal city</t>
  </si>
  <si>
    <t>Sex by Educational Attainment for the Population 25 Years and Over (White Alone)</t>
  </si>
  <si>
    <t>C15002A</t>
  </si>
  <si>
    <t>B07201PR_017</t>
  </si>
  <si>
    <t>Estimate!!Total:!!United States 1 year ago:!!Metropolitan Statistical Area:!!Moved from remainder of Metropolitan Statistical Area</t>
  </si>
  <si>
    <t>B07201PR_018</t>
  </si>
  <si>
    <t>Estimate!!Total:!!United States 1 year ago:!!Micropolitan Statistical Area:</t>
  </si>
  <si>
    <t>C15002B_001</t>
  </si>
  <si>
    <t>B07201PR_019</t>
  </si>
  <si>
    <t>Estimate!!Total:!!United States 1 year ago:!!Micropolitan Statistical Area:!!Moved from principal city</t>
  </si>
  <si>
    <t>Sex by Educational Attainment for the Population 25 Years and Over (Black or African American Alone)</t>
  </si>
  <si>
    <t>C15002B</t>
  </si>
  <si>
    <t>B07201PR_020</t>
  </si>
  <si>
    <t>Estimate!!Total:!!United States 1 year ago:!!Micropolitan Statistical Area:!!Moved from remainder of Micropolitan Statistical Area</t>
  </si>
  <si>
    <t>demographic, education, race</t>
  </si>
  <si>
    <t>B07201PR_021</t>
  </si>
  <si>
    <t>Estimate!!Total:!!United States 1 year ago:!!Not in a Metropolitan or Micropolitan Statistical Area 1 year ago</t>
  </si>
  <si>
    <t>C15002C_001</t>
  </si>
  <si>
    <t>B07201PR_022</t>
  </si>
  <si>
    <t>Sex by Educational Attainment for the Population 25 Years and Over (American Indian and Alaska Native Alone)</t>
  </si>
  <si>
    <t>Estimate!!Total:!!Abroad 1 year ago</t>
  </si>
  <si>
    <t>C15002C</t>
  </si>
  <si>
    <t>C15002D_001</t>
  </si>
  <si>
    <t>B07201_002</t>
  </si>
  <si>
    <t>Sex by Educational Attainment for the Population 25 Years and Over (Asian Alone)</t>
  </si>
  <si>
    <t>C15002D</t>
  </si>
  <si>
    <t>B07201_003</t>
  </si>
  <si>
    <t>Estimate!!Total:!!Different house in United States 1 year ago:</t>
  </si>
  <si>
    <t>C15002E_001</t>
  </si>
  <si>
    <t>B07201_004</t>
  </si>
  <si>
    <t>Estimate!!Total:!!Different house in United States 1 year ago:!!Same Metropolitan Statistical Area:</t>
  </si>
  <si>
    <t>Sex by Educational Attainment for the Population 25 Years and Over (Native Hawaiian and Other Pacific Islander Alone)</t>
  </si>
  <si>
    <t>C15002E</t>
  </si>
  <si>
    <t>B07201_005</t>
  </si>
  <si>
    <t>Estimate!!Total:!!Different house in United States 1 year ago:!!Same Metropolitan Statistical Area:!!Moved from principal city</t>
  </si>
  <si>
    <t>B07201_006</t>
  </si>
  <si>
    <t>Estimate!!Total:!!Different house in United States 1 year ago:!!Same Metropolitan Statistical Area:!!Moved from remainder of Metropolitan Statistical Area</t>
  </si>
  <si>
    <t>C15002F_001</t>
  </si>
  <si>
    <t>Sex by Educational Attainment for the Population 25 Years and Over (Some Other Race Alone)</t>
  </si>
  <si>
    <t>B07201_007</t>
  </si>
  <si>
    <t>C15002F</t>
  </si>
  <si>
    <t>Estimate!!Total:!!Different house in United States 1 year ago:!!Different Metropolitan Statistical Area:</t>
  </si>
  <si>
    <t>B07201_008</t>
  </si>
  <si>
    <t>Estimate!!Total:!!Different house in United States 1 year ago:!!Different Metropolitan Statistical Area:!!Moved from principal city</t>
  </si>
  <si>
    <t>C15002G_001</t>
  </si>
  <si>
    <t>B07201_009</t>
  </si>
  <si>
    <t>Estimate!!Total:!!Different house in United States 1 year ago:!!Different Metropolitan Statistical Area:!!Moved from remainder of Metropolitan Statistical Area</t>
  </si>
  <si>
    <t>Sex by Educational Attainment for the Population 25 Years and Over (Two or More Races)</t>
  </si>
  <si>
    <t>C15002G</t>
  </si>
  <si>
    <t>B07201_010</t>
  </si>
  <si>
    <t>Estimate!!Total:!!Different house in United States 1 year ago:!!Micropolitan Statistical Area:</t>
  </si>
  <si>
    <t>B07201_011</t>
  </si>
  <si>
    <t>C15002H_001</t>
  </si>
  <si>
    <t>Estimate!!Total:!!Different house in United States 1 year ago:!!Micropolitan Statistical Area:!!Moved from principal city</t>
  </si>
  <si>
    <t>Sex by Educational Attainment for the Population 25 Years and Over (White Alone, Not Hispanic or Latino)</t>
  </si>
  <si>
    <t>C15002H</t>
  </si>
  <si>
    <t>B07201_012</t>
  </si>
  <si>
    <t>Estimate!!Total:!!Different house in United States 1 year ago:!!Micropolitan Statistical Area:!!Moved from remainder of Micropolitan Statistical Area</t>
  </si>
  <si>
    <t>B07201_013</t>
  </si>
  <si>
    <t>C15002I_001</t>
  </si>
  <si>
    <t>Estimate!!Total:!!Different house in United States 1 year ago:!!Not in a Metropolitan or Micropolitan Statistical Area 1 year ago</t>
  </si>
  <si>
    <t>Sex by Educational Attainment for the Population 25 Years and Over (Hispanic or Latino)</t>
  </si>
  <si>
    <t>B07201_014</t>
  </si>
  <si>
    <t>C15002I</t>
  </si>
  <si>
    <t>C15010_001</t>
  </si>
  <si>
    <t>B07202PR_002</t>
  </si>
  <si>
    <t>C15010</t>
  </si>
  <si>
    <t>B07202PR_003</t>
  </si>
  <si>
    <t>B07202PR_004</t>
  </si>
  <si>
    <t>Estimate!!Total:!!Different house in Puerto Rico 1 year ago:!!Same Micropolitan Statistical Area:</t>
  </si>
  <si>
    <t>B07202PR_005</t>
  </si>
  <si>
    <t>C15010A_001</t>
  </si>
  <si>
    <t>Estimate!!Total:!!Different house in Puerto Rico 1 year ago:!!Same Micropolitan Statistical Area:!!Moved from principal city</t>
  </si>
  <si>
    <t>Field of Bachelor's Degree for First Major for the Population 25 Years and Over (White Alone)</t>
  </si>
  <si>
    <t>C15010A</t>
  </si>
  <si>
    <t>B07202PR_006</t>
  </si>
  <si>
    <t>Estimate!!Total:!!Different house in Puerto Rico 1 year ago:!!Same Micropolitan Statistical Area:!!Moved from remainder of Micropolitan Statistical Area</t>
  </si>
  <si>
    <t>education, demographic, race</t>
  </si>
  <si>
    <t>B07202PR_007</t>
  </si>
  <si>
    <t>Estimate!!Total:!!Different house in Puerto Rico 1 year ago:!!Different Micropolitan Statistical Area</t>
  </si>
  <si>
    <t>C15010B_001</t>
  </si>
  <si>
    <t>Field of Bachelor's Degree for First Major for the Population 25 Years and Over (Black or African American Alone)</t>
  </si>
  <si>
    <t>B07202PR_008</t>
  </si>
  <si>
    <t>C15010B</t>
  </si>
  <si>
    <t>Estimate!!Total:!!Different house in Puerto Rico 1 year ago:!!Metropolitan Statistical Area</t>
  </si>
  <si>
    <t>B07202PR_009</t>
  </si>
  <si>
    <t>C15010C_001</t>
  </si>
  <si>
    <t>B07202PR_010</t>
  </si>
  <si>
    <t>Field of Bachelor's Degree for First Major for the Population 25 Years and Over (American Indian and Alaska Native Alone)</t>
  </si>
  <si>
    <t>Estimate!!Total:!!United States 1 year ago</t>
  </si>
  <si>
    <t>C15010C</t>
  </si>
  <si>
    <t>B07202PR_011</t>
  </si>
  <si>
    <t>C15010D_001</t>
  </si>
  <si>
    <t>Field of Bachelor's Degree for First Major for the Population 25 Years and Over (Asian Alone)</t>
  </si>
  <si>
    <t>C15010D</t>
  </si>
  <si>
    <t>B07202_002</t>
  </si>
  <si>
    <t>C15010E_001</t>
  </si>
  <si>
    <t>B07202_003</t>
  </si>
  <si>
    <t>Field of Bachelor's Degree for First Major for the Population 25 Years and Over (Native Hawaiian and Other Pacific Islander Alone)</t>
  </si>
  <si>
    <t>C15010E</t>
  </si>
  <si>
    <t>B07202_004</t>
  </si>
  <si>
    <t>Estimate!!Total:!!Different house in United States 1 year ago:!!Same Micropolitan Statistical Area:</t>
  </si>
  <si>
    <t>C15010F_001</t>
  </si>
  <si>
    <t>Field of Bachelor's Degree for First Major for the Population 25 Years and Over (Some Other Race Alone)</t>
  </si>
  <si>
    <t>C15010F</t>
  </si>
  <si>
    <t>B07202_005</t>
  </si>
  <si>
    <t>Estimate!!Total:!!Different house in United States 1 year ago:!!Same Micropolitan Statistical Area:!!Moved from principal city</t>
  </si>
  <si>
    <t>C15010G_001</t>
  </si>
  <si>
    <t>B07202_006</t>
  </si>
  <si>
    <t>Field of Bachelor's Degree for First Major for the Population 25 Years and Over (Two or More Races)</t>
  </si>
  <si>
    <t>C15010G</t>
  </si>
  <si>
    <t>Estimate!!Total:!!Different house in United States 1 year ago:!!Same Micropolitan Statistical Area:!!Moved from remainder of Micropolitan Statistical Area</t>
  </si>
  <si>
    <t>B07202_007</t>
  </si>
  <si>
    <t>Estimate!!Total:!!Different house in United States 1 year ago:!!Different Micropolitan Statistical Area:</t>
  </si>
  <si>
    <t>C15010H_001</t>
  </si>
  <si>
    <t>B07202_008</t>
  </si>
  <si>
    <t>Estimate!!Total:!!Different house in United States 1 year ago:!!Different Micropolitan Statistical Area:!!Moved from principal city</t>
  </si>
  <si>
    <t>Field of Bachelor's Degree for First Major for the Population 25 Years and Over (White Alone, Not Hispanic or Latino)</t>
  </si>
  <si>
    <t>C15010H</t>
  </si>
  <si>
    <t>B07202_009</t>
  </si>
  <si>
    <t>Estimate!!Total:!!Different house in United States 1 year ago:!!Different Micropolitan Statistical Area:!!Moved from remainder of Micropolitan Statistical Area</t>
  </si>
  <si>
    <t>B07202_010</t>
  </si>
  <si>
    <t>C15010I_001</t>
  </si>
  <si>
    <t>Estimate!!Total:!!Different house in United States 1 year ago:!!Metropolitan Statistical Area:</t>
  </si>
  <si>
    <t>Field of Bachelor's Degree for First Major for the Population 25 Years and Over (Hispanic or Latino)</t>
  </si>
  <si>
    <t>B07202_011</t>
  </si>
  <si>
    <t>C15010I</t>
  </si>
  <si>
    <t>Estimate!!Total:!!Different house in United States 1 year ago:!!Metropolitan Statistical Area:!!Moved from principal city</t>
  </si>
  <si>
    <t>B07202_012</t>
  </si>
  <si>
    <t>Estimate!!Total:!!Different house in United States 1 year ago:!!Metropolitan Statistical Area:!!Moved from remainder of Metropolitan Statistical Area</t>
  </si>
  <si>
    <t>C16001_001</t>
  </si>
  <si>
    <t>B07202_013</t>
  </si>
  <si>
    <t>C16001</t>
  </si>
  <si>
    <t>B07202_014</t>
  </si>
  <si>
    <t>C16002_001</t>
  </si>
  <si>
    <t>B07203PR_002</t>
  </si>
  <si>
    <t>C16002</t>
  </si>
  <si>
    <t>B07203PR_003</t>
  </si>
  <si>
    <t>B07203PR_004</t>
  </si>
  <si>
    <t>C17002_001</t>
  </si>
  <si>
    <t>B07203PR_005</t>
  </si>
  <si>
    <t>Estimate!!Total:!!Different house in Puerto Rico 1 year ago:!!Micropolitan Statistical Area</t>
  </si>
  <si>
    <t>Ratio of Income to Poverty Level in the Past 12 Months</t>
  </si>
  <si>
    <t>C17002</t>
  </si>
  <si>
    <t>B07203PR_006</t>
  </si>
  <si>
    <t>B07203PR_007</t>
  </si>
  <si>
    <t>C18108_001</t>
  </si>
  <si>
    <t>B07203PR_008</t>
  </si>
  <si>
    <t>C18108</t>
  </si>
  <si>
    <t>B07203_002</t>
  </si>
  <si>
    <t>C18120_001</t>
  </si>
  <si>
    <t>B07203_003</t>
  </si>
  <si>
    <t>Employment Status by Disability Status</t>
  </si>
  <si>
    <t>C18120</t>
  </si>
  <si>
    <t>B07203_004</t>
  </si>
  <si>
    <t>B07203_005</t>
  </si>
  <si>
    <t>C18121_001</t>
  </si>
  <si>
    <t>B07203_006</t>
  </si>
  <si>
    <t>B07203_007</t>
  </si>
  <si>
    <t>B07203_008</t>
  </si>
  <si>
    <t>B07203_009</t>
  </si>
  <si>
    <t>B07203_010</t>
  </si>
  <si>
    <t>Work Experience by Disability Status</t>
  </si>
  <si>
    <t>C18121</t>
  </si>
  <si>
    <t>B07203_011</t>
  </si>
  <si>
    <t>C18130_001</t>
  </si>
  <si>
    <t>B07204PR_002</t>
  </si>
  <si>
    <t>Age by Disability Status by Poverty Status</t>
  </si>
  <si>
    <t>C18130</t>
  </si>
  <si>
    <t>B07204PR_003</t>
  </si>
  <si>
    <t>demographic, income, economy, human services</t>
  </si>
  <si>
    <t>B07204PR_004</t>
  </si>
  <si>
    <t>Estimate!!Total:!!Different house in Puerto Rico 1 year ago:!!Same city or town:</t>
  </si>
  <si>
    <t>C18131_001</t>
  </si>
  <si>
    <t>B07204PR_005</t>
  </si>
  <si>
    <t>Ratio of Income to Poverty Level in the Past 12 Months by Disability Status</t>
  </si>
  <si>
    <t>Estimate!!Total:!!Different house in Puerto Rico 1 year ago:!!Same city or town:!!Same municipio</t>
  </si>
  <si>
    <t>C18131</t>
  </si>
  <si>
    <t>B07204PR_006</t>
  </si>
  <si>
    <t>Estimate!!Total:!!Different house in Puerto Rico 1 year ago:!!Same city or town:!!Different municipio</t>
  </si>
  <si>
    <t>B07204PR_007</t>
  </si>
  <si>
    <t>C21001A_001</t>
  </si>
  <si>
    <t>Estimate!!Total:!!Different house in Puerto Rico 1 year ago:!!Elsewhere in Puerto Rico:</t>
  </si>
  <si>
    <t>Sex by Age by Veteran Status for the Civilian Population 18 Years and Over (White Alone)</t>
  </si>
  <si>
    <t>B07204PR_008</t>
  </si>
  <si>
    <t>C21001A</t>
  </si>
  <si>
    <t>Estimate!!Total:!!Different house in Puerto Rico 1 year ago:!!Elsewhere in Puerto Rico:!!Same municipio</t>
  </si>
  <si>
    <t>B07204PR_009</t>
  </si>
  <si>
    <t>Estimate!!Total:!!Different house in Puerto Rico 1 year ago:!!Elsewhere in Puerto Rico:!!Different municipio</t>
  </si>
  <si>
    <t>B07204PR_010</t>
  </si>
  <si>
    <t>C21001B_001</t>
  </si>
  <si>
    <t>Sex by Age by Veteran Status for the Civilian Population 18 Years and Over (Black or African American Alone)</t>
  </si>
  <si>
    <t>B07204PR_011</t>
  </si>
  <si>
    <t>C21001B</t>
  </si>
  <si>
    <t>Estimate!!Total:!!United States 1 year ago:!!Northeast</t>
  </si>
  <si>
    <t>B07204PR_012</t>
  </si>
  <si>
    <t>Estimate!!Total:!!United States 1 year ago:!!Midwest</t>
  </si>
  <si>
    <t>C21001C_001</t>
  </si>
  <si>
    <t>B07204PR_013</t>
  </si>
  <si>
    <t>Estimate!!Total:!!United States 1 year ago:!!South</t>
  </si>
  <si>
    <t>Sex by Age by Veteran Status for the Civilian Population 18 Years and Over (American Indian and Alaska Native Alone)</t>
  </si>
  <si>
    <t>C21001C</t>
  </si>
  <si>
    <t>B07204PR_014</t>
  </si>
  <si>
    <t>Estimate!!Total:!!United States 1 year ago:!!West</t>
  </si>
  <si>
    <t>B07204PR_015</t>
  </si>
  <si>
    <t>Estimate!!Total:!!Elsewhere 1 year ago:</t>
  </si>
  <si>
    <t>B07204PR_016</t>
  </si>
  <si>
    <t>Estimate!!Total:!!Elsewhere 1 year ago:!!U.S. Island Areas</t>
  </si>
  <si>
    <t>B07204PR_017</t>
  </si>
  <si>
    <t>Estimate!!Total:!!Elsewhere 1 year ago:!!Foreign country</t>
  </si>
  <si>
    <t>B07204_002</t>
  </si>
  <si>
    <t>B07204_003</t>
  </si>
  <si>
    <t>B07204_004</t>
  </si>
  <si>
    <t>Estimate!!Total:!!Different house in United States 1 year ago:!!Same city or town:</t>
  </si>
  <si>
    <t>B07204_005</t>
  </si>
  <si>
    <t>Estimate!!Total:!!Different house in United States 1 year ago:!!Same city or town:!!Same county</t>
  </si>
  <si>
    <t>B07204_006</t>
  </si>
  <si>
    <t>Estimate!!Total:!!Different house in United States 1 year ago:!!Same city or town:!!Different county (same state)</t>
  </si>
  <si>
    <t>B07204_007</t>
  </si>
  <si>
    <t>Estimate!!Total:!!Different house in United States 1 year ago:!!Elsewhere:</t>
  </si>
  <si>
    <t>B07204_008</t>
  </si>
  <si>
    <t>Estimate!!Total:!!Different house in United States 1 year ago:!!Elsewhere:!!Same county</t>
  </si>
  <si>
    <t>C21001D_001</t>
  </si>
  <si>
    <t>B07204_009</t>
  </si>
  <si>
    <t>Estimate!!Total:!!Different house in United States 1 year ago:!!Elsewhere:!!Different county:</t>
  </si>
  <si>
    <t>Sex by Age by Veteran Status for the Civilian Population 18 Years and Over (Asian Alone)</t>
  </si>
  <si>
    <t>C21001D</t>
  </si>
  <si>
    <t>B07204_010</t>
  </si>
  <si>
    <t>Estimate!!Total:!!Different house in United States 1 year ago:!!Elsewhere:!!Different county:!!Same state</t>
  </si>
  <si>
    <t>B07204_011</t>
  </si>
  <si>
    <t>Estimate!!Total:!!Different house in United States 1 year ago:!!Elsewhere:!!Different county:!!Different state:</t>
  </si>
  <si>
    <t>B07204_012</t>
  </si>
  <si>
    <t>Estimate!!Total:!!Different house in United States 1 year ago:!!Elsewhere:!!Different county:!!Different state:!!Northeast</t>
  </si>
  <si>
    <t>C21001E_001</t>
  </si>
  <si>
    <t>B07204_013</t>
  </si>
  <si>
    <t>Sex by Age by Veteran Status for the Civilian Population 18 Years and Over (Native Hawaiian and Other Pacific Islander Alone)</t>
  </si>
  <si>
    <t>Estimate!!Total:!!Different house in United States 1 year ago:!!Elsewhere:!!Different county:!!Different state:!!Midwest</t>
  </si>
  <si>
    <t>C21001E</t>
  </si>
  <si>
    <t>B07204_014</t>
  </si>
  <si>
    <t>Estimate!!Total:!!Different house in United States 1 year ago:!!Elsewhere:!!Different county:!!Different state:!!South</t>
  </si>
  <si>
    <t>B07204_015</t>
  </si>
  <si>
    <t>C21001F_001</t>
  </si>
  <si>
    <t>Estimate!!Total:!!Different house in United States 1 year ago:!!Elsewhere:!!Different county:!!Different state:!!West</t>
  </si>
  <si>
    <t>Sex by Age by Veteran Status for the Civilian Population 18 Years and Over (Some Other Race Alone)</t>
  </si>
  <si>
    <t>B07204_016</t>
  </si>
  <si>
    <t>C21001F</t>
  </si>
  <si>
    <t>Estimate!!Total:!!Abroad 1 year ago:</t>
  </si>
  <si>
    <t>B07204_017</t>
  </si>
  <si>
    <t>Estimate!!Total:!!Abroad 1 year ago:!!Puerto Rico</t>
  </si>
  <si>
    <t>C21001G_001</t>
  </si>
  <si>
    <t>B07204_018</t>
  </si>
  <si>
    <t>Estimate!!Total:!!Abroad 1 year ago:!!U.S. Island Areas</t>
  </si>
  <si>
    <t>Sex by Age by Veteran Status for the Civilian Population 18 Years and Over (Two or More Races)</t>
  </si>
  <si>
    <t>C21001G</t>
  </si>
  <si>
    <t>B07204_019</t>
  </si>
  <si>
    <t>Estimate!!Total:!!Abroad 1 year ago:!!Foreign country</t>
  </si>
  <si>
    <t>C21001H_001</t>
  </si>
  <si>
    <t>Sex by Age by Veteran Status for the Civilian Population 18 Years and Over (White Alone, Not Hispanic or Latino)</t>
  </si>
  <si>
    <t>B07401PR_002</t>
  </si>
  <si>
    <t>C21001H</t>
  </si>
  <si>
    <t>Estimate!!Total living in area 1 year ago:!!1 to 4 years</t>
  </si>
  <si>
    <t>B07401PR_003</t>
  </si>
  <si>
    <t>Estimate!!Total living in area 1 year ago:!!5 to 17 years</t>
  </si>
  <si>
    <t>B07401PR_004</t>
  </si>
  <si>
    <t>Estimate!!Total living in area 1 year ago:!!18 and 19 years</t>
  </si>
  <si>
    <t>C21001I_001</t>
  </si>
  <si>
    <t>B07401PR_005</t>
  </si>
  <si>
    <t>Sex by Age by Veteran Status for the Civilian Population 18 Years and Over (Hispanic or Latino)</t>
  </si>
  <si>
    <t>Estimate!!Total living in area 1 year ago:!!20 to 24 years</t>
  </si>
  <si>
    <t>B07401PR_006</t>
  </si>
  <si>
    <t>Estimate!!Total living in area 1 year ago:!!25 to 29 years</t>
  </si>
  <si>
    <t>B07401PR_007</t>
  </si>
  <si>
    <t>C21001I</t>
  </si>
  <si>
    <t>Estimate!!Total living in area 1 year ago:!!30 to 34 years</t>
  </si>
  <si>
    <t>B07401PR_008</t>
  </si>
  <si>
    <t>Estimate!!Total living in area 1 year ago:!!35 to 39 years</t>
  </si>
  <si>
    <t>C21007_001</t>
  </si>
  <si>
    <t>B07401PR_009</t>
  </si>
  <si>
    <t>Estimate!!Total living in area 1 year ago:!!40 to 44 years</t>
  </si>
  <si>
    <t>Age by Veteran Status by Poverty Status in the Past 12 Months by Disability Status for the Civilian Population 18 Years and Over</t>
  </si>
  <si>
    <t>C21007</t>
  </si>
  <si>
    <t>B07401PR_010</t>
  </si>
  <si>
    <t>Estimate!!Total living in area 1 year ago:!!45 to 49 years</t>
  </si>
  <si>
    <t>B07401PR_011</t>
  </si>
  <si>
    <t>Estimate!!Total living in area 1 year ago:!!50 to 54 years</t>
  </si>
  <si>
    <t>C23002A_001</t>
  </si>
  <si>
    <t>B07401PR_012</t>
  </si>
  <si>
    <t>Sex by Age by Employment Status for the Population 16 Years and Over (White Alone)</t>
  </si>
  <si>
    <t>Estimate!!Total living in area 1 year ago:!!55 to 59 years</t>
  </si>
  <si>
    <t>C23002A</t>
  </si>
  <si>
    <t>B07401PR_013</t>
  </si>
  <si>
    <t>Estimate!!Total living in area 1 year ago:!!60 to 64 years</t>
  </si>
  <si>
    <t>demographic, economy, race</t>
  </si>
  <si>
    <t>B07401PR_014</t>
  </si>
  <si>
    <t>Estimate!!Total living in area 1 year ago:!!65 to 69 years</t>
  </si>
  <si>
    <t>C23002B_001</t>
  </si>
  <si>
    <t>B07401PR_015</t>
  </si>
  <si>
    <t>Sex by Age by Employment Status for the Population 16 Years and Over (Black or African American Alone)</t>
  </si>
  <si>
    <t>Estimate!!Total living in area 1 year ago:!!70 to 74 years</t>
  </si>
  <si>
    <t>C23002B</t>
  </si>
  <si>
    <t>B07401PR_016</t>
  </si>
  <si>
    <t>Estimate!!Total living in area 1 year ago:!!75 years and over</t>
  </si>
  <si>
    <t>B07401PR_017</t>
  </si>
  <si>
    <t>C23002C_001</t>
  </si>
  <si>
    <t>Estimate!!Total living in area 1 year ago:!!Same house:</t>
  </si>
  <si>
    <t>Sex by Age by Employment Status for the Population 16 Years and Over (American Indian and Alaska Native Alone)</t>
  </si>
  <si>
    <t>B07401PR_018</t>
  </si>
  <si>
    <t>C23002C</t>
  </si>
  <si>
    <t>Estimate!!Total living in area 1 year ago:!!Same house:!!1 to 4 years</t>
  </si>
  <si>
    <t>B07401PR_019</t>
  </si>
  <si>
    <t>Estimate!!Total living in area 1 year ago:!!Same house:!!5 to 17 years</t>
  </si>
  <si>
    <t>B07401PR_020</t>
  </si>
  <si>
    <t>C23002D_001</t>
  </si>
  <si>
    <t>Estimate!!Total living in area 1 year ago:!!Same house:!!18 and 19 years</t>
  </si>
  <si>
    <t>Sex by Age by Employment Status for the Population 16 Years and Over (Asian Alone)</t>
  </si>
  <si>
    <t>C23002D</t>
  </si>
  <si>
    <t>B07401PR_021</t>
  </si>
  <si>
    <t>Estimate!!Total living in area 1 year ago:!!Same house:!!20 to 24 years</t>
  </si>
  <si>
    <t>B07401PR_022</t>
  </si>
  <si>
    <t>Estimate!!Total living in area 1 year ago:!!Same house:!!25 to 29 years</t>
  </si>
  <si>
    <t>B07401PR_023</t>
  </si>
  <si>
    <t>Estimate!!Total living in area 1 year ago:!!Same house:!!30 to 34 years</t>
  </si>
  <si>
    <t>B07401PR_024</t>
  </si>
  <si>
    <t>Estimate!!Total living in area 1 year ago:!!Same house:!!35 to 39 years</t>
  </si>
  <si>
    <t>C23002E_001</t>
  </si>
  <si>
    <t>B07401PR_025</t>
  </si>
  <si>
    <t>Sex by Age by Employment Status for the Population 16 Years and Over (Native Hawaiian and Other Pacific Islander Alone)</t>
  </si>
  <si>
    <t>Estimate!!Total living in area 1 year ago:!!Same house:!!40 to 44 years</t>
  </si>
  <si>
    <t>C23002E</t>
  </si>
  <si>
    <t>B07401PR_026</t>
  </si>
  <si>
    <t>Estimate!!Total living in area 1 year ago:!!Same house:!!45 to 49 years</t>
  </si>
  <si>
    <t>B07401PR_027</t>
  </si>
  <si>
    <t>Estimate!!Total living in area 1 year ago:!!Same house:!!50 to 54 years</t>
  </si>
  <si>
    <t>C23002F_001</t>
  </si>
  <si>
    <t>B07401PR_028</t>
  </si>
  <si>
    <t>Sex by Age by Employment Status for the Population 16 Years and Over (Some Other Race Alone)</t>
  </si>
  <si>
    <t>Estimate!!Total living in area 1 year ago:!!Same house:!!55 to 59 years</t>
  </si>
  <si>
    <t>C23002F</t>
  </si>
  <si>
    <t>B07401PR_029</t>
  </si>
  <si>
    <t>Estimate!!Total living in area 1 year ago:!!Same house:!!60 to 64 years</t>
  </si>
  <si>
    <t>B07401PR_030</t>
  </si>
  <si>
    <t>Estimate!!Total living in area 1 year ago:!!Same house:!!65 to 69 years</t>
  </si>
  <si>
    <t>C23002G_001</t>
  </si>
  <si>
    <t>B07401PR_031</t>
  </si>
  <si>
    <t>Sex by Age by Employment Status for the Population 16 Years and Over (Two or More Races)</t>
  </si>
  <si>
    <t>Estimate!!Total living in area 1 year ago:!!Same house:!!70 to 74 years</t>
  </si>
  <si>
    <t>C23002G</t>
  </si>
  <si>
    <t>B07401PR_032</t>
  </si>
  <si>
    <t>Estimate!!Total living in area 1 year ago:!!Same house:!!75 years and over</t>
  </si>
  <si>
    <t>C23002H_001</t>
  </si>
  <si>
    <t>B07401PR_033</t>
  </si>
  <si>
    <t>Sex by Age by Employment Status for the Population 16 Years and Over (White Alone, Not Hispanic or Latino)</t>
  </si>
  <si>
    <t>Estimate!!Total living in area 1 year ago:!!Moved within same municipio:</t>
  </si>
  <si>
    <t>C23002H</t>
  </si>
  <si>
    <t>B07401PR_034</t>
  </si>
  <si>
    <t>Estimate!!Total living in area 1 year ago:!!Moved within same municipio:!!1 to 4 years</t>
  </si>
  <si>
    <t>C23002I_001</t>
  </si>
  <si>
    <t>B07401PR_035</t>
  </si>
  <si>
    <t>Sex by Age by Employment Status for the Population 16 Years and Over (Hispanic or Latino)</t>
  </si>
  <si>
    <t>Estimate!!Total living in area 1 year ago:!!Moved within same municipio:!!5 to 17 years</t>
  </si>
  <si>
    <t>C23002I</t>
  </si>
  <si>
    <t>B07401PR_036</t>
  </si>
  <si>
    <t>Estimate!!Total living in area 1 year ago:!!Moved within same municipio:!!18 and 19 years</t>
  </si>
  <si>
    <t>C24010_001</t>
  </si>
  <si>
    <t>B07401PR_037</t>
  </si>
  <si>
    <t>Sex by Occupation for the Civilian Employed Population 16 Years and Over</t>
  </si>
  <si>
    <t>Estimate!!Total living in area 1 year ago:!!Moved within same municipio:!!20 to 24 years</t>
  </si>
  <si>
    <t>C24010</t>
  </si>
  <si>
    <t>B07401PR_038</t>
  </si>
  <si>
    <t>Estimate!!Total living in area 1 year ago:!!Moved within same municipio:!!25 to 29 years</t>
  </si>
  <si>
    <t>C24010A_001</t>
  </si>
  <si>
    <t>B07401PR_039</t>
  </si>
  <si>
    <t>Estimate!!Total living in area 1 year ago:!!Moved within same municipio:!!30 to 34 years</t>
  </si>
  <si>
    <t>Sex by Occupation for the Civilian Employed Population 16 Years and Over (White Alone)</t>
  </si>
  <si>
    <t>C24010A</t>
  </si>
  <si>
    <t>B07401PR_040</t>
  </si>
  <si>
    <t>Estimate!!Total living in area 1 year ago:!!Moved within same municipio:!!35 to 39 years</t>
  </si>
  <si>
    <t>B07401PR_041</t>
  </si>
  <si>
    <t>Estimate!!Total living in area 1 year ago:!!Moved within same municipio:!!40 to 44 years</t>
  </si>
  <si>
    <t>C24010B_001</t>
  </si>
  <si>
    <t>B07401PR_042</t>
  </si>
  <si>
    <t>Sex by Occupation for the Civilian Employed Population 16 Years and Over (Black or African American Alone)</t>
  </si>
  <si>
    <t>Estimate!!Total living in area 1 year ago:!!Moved within same municipio:!!45 to 49 years</t>
  </si>
  <si>
    <t>C24010B</t>
  </si>
  <si>
    <t>B07401PR_043</t>
  </si>
  <si>
    <t>Estimate!!Total living in area 1 year ago:!!Moved within same municipio:!!50 to 54 years</t>
  </si>
  <si>
    <t>C24010C_001</t>
  </si>
  <si>
    <t>B07401PR_044</t>
  </si>
  <si>
    <t>Estimate!!Total living in area 1 year ago:!!Moved within same municipio:!!55 to 59 years</t>
  </si>
  <si>
    <t>Sex by Occupation for the Civilian Employed Population 16 Years and Over (American Indian and Alaska Native Alone)</t>
  </si>
  <si>
    <t>C24010C</t>
  </si>
  <si>
    <t>B07401PR_045</t>
  </si>
  <si>
    <t>Estimate!!Total living in area 1 year ago:!!Moved within same municipio:!!60 to 64 years</t>
  </si>
  <si>
    <t>B07401PR_046</t>
  </si>
  <si>
    <t>Estimate!!Total living in area 1 year ago:!!Moved within same municipio:!!65 to 69 years</t>
  </si>
  <si>
    <t>C24010D_001</t>
  </si>
  <si>
    <t>B07401PR_047</t>
  </si>
  <si>
    <t>Estimate!!Total living in area 1 year ago:!!Moved within same municipio:!!70 to 74 years</t>
  </si>
  <si>
    <t>B07401PR_048</t>
  </si>
  <si>
    <t>Estimate!!Total living in area 1 year ago:!!Moved within same municipio:!!75 years and over</t>
  </si>
  <si>
    <t>B07401PR_049</t>
  </si>
  <si>
    <t>Estimate!!Total living in area 1 year ago:!!Moved to different municipio:</t>
  </si>
  <si>
    <t>B07401PR_050</t>
  </si>
  <si>
    <t>Estimate!!Total living in area 1 year ago:!!Moved to different municipio:!!1 to 4 years</t>
  </si>
  <si>
    <t>Sex by Occupation for the Civilian Employed Population 16 Years and Over (Asian Alone)</t>
  </si>
  <si>
    <t>C24010D</t>
  </si>
  <si>
    <t>B07401PR_051</t>
  </si>
  <si>
    <t>Estimate!!Total living in area 1 year ago:!!Moved to different municipio:!!5 to 17 years</t>
  </si>
  <si>
    <t>B07401PR_052</t>
  </si>
  <si>
    <t>Estimate!!Total living in area 1 year ago:!!Moved to different municipio:!!18 and 19 years</t>
  </si>
  <si>
    <t>C24010E_001</t>
  </si>
  <si>
    <t>B07401PR_053</t>
  </si>
  <si>
    <t>Estimate!!Total living in area 1 year ago:!!Moved to different municipio:!!20 to 24 years</t>
  </si>
  <si>
    <t>Sex by Occupation for the Civilian Employed Population 16 Years and Over (Native Hawaiian and Other Pacific Islander Alone)</t>
  </si>
  <si>
    <t>C24010E</t>
  </si>
  <si>
    <t>B07401PR_054</t>
  </si>
  <si>
    <t>Estimate!!Total living in area 1 year ago:!!Moved to different municipio:!!25 to 29 years</t>
  </si>
  <si>
    <t>B07401PR_055</t>
  </si>
  <si>
    <t>Estimate!!Total living in area 1 year ago:!!Moved to different municipio:!!30 to 34 years</t>
  </si>
  <si>
    <t>C24010F_001</t>
  </si>
  <si>
    <t>B07401PR_056</t>
  </si>
  <si>
    <t>Sex by Occupation for the Civilian Employed Population 16 Years and Over (Some Other Race Alone)</t>
  </si>
  <si>
    <t>Estimate!!Total living in area 1 year ago:!!Moved to different municipio:!!35 to 39 years</t>
  </si>
  <si>
    <t>C24010F</t>
  </si>
  <si>
    <t>B07401PR_057</t>
  </si>
  <si>
    <t>Estimate!!Total living in area 1 year ago:!!Moved to different municipio:!!40 to 44 years</t>
  </si>
  <si>
    <t>B07401PR_058</t>
  </si>
  <si>
    <t>C24010G_001</t>
  </si>
  <si>
    <t>Estimate!!Total living in area 1 year ago:!!Moved to different municipio:!!45 to 49 years</t>
  </si>
  <si>
    <t>Sex by Occupation for the Civilian Employed Population 16 Years and Over (Two or More Races)</t>
  </si>
  <si>
    <t>B07401PR_059</t>
  </si>
  <si>
    <t>C24010G</t>
  </si>
  <si>
    <t>Estimate!!Total living in area 1 year ago:!!Moved to different municipio:!!50 to 54 years</t>
  </si>
  <si>
    <t>B07401PR_060</t>
  </si>
  <si>
    <t>Estimate!!Total living in area 1 year ago:!!Moved to different municipio:!!55 to 59 years</t>
  </si>
  <si>
    <t>C24010H_001</t>
  </si>
  <si>
    <t>B07401PR_061</t>
  </si>
  <si>
    <t>Estimate!!Total living in area 1 year ago:!!Moved to different municipio:!!60 to 64 years</t>
  </si>
  <si>
    <t>Sex by Occupation for the Civilian Employed Population 16 Years and Over (White Alone, Not Hispanic or Latino)</t>
  </si>
  <si>
    <t>C24010H</t>
  </si>
  <si>
    <t>B07401PR_062</t>
  </si>
  <si>
    <t>Estimate!!Total living in area 1 year ago:!!Moved to different municipio:!!65 to 69 years</t>
  </si>
  <si>
    <t>B07401PR_063</t>
  </si>
  <si>
    <t>Estimate!!Total living in area 1 year ago:!!Moved to different municipio:!!70 to 74 years</t>
  </si>
  <si>
    <t>C24010I_001</t>
  </si>
  <si>
    <t>B07401PR_064</t>
  </si>
  <si>
    <t>Estimate!!Total living in area 1 year ago:!!Moved to different municipio:!!75 years and over</t>
  </si>
  <si>
    <t>Sex by Occupation for the Civilian Employed Population 16 Years and Over (Hispanic or Latino)</t>
  </si>
  <si>
    <t>C24010I</t>
  </si>
  <si>
    <t>B07401PR_065</t>
  </si>
  <si>
    <t>Estimate!!Total living in area 1 year ago:!!Moved to the United States:</t>
  </si>
  <si>
    <t>B07401PR_066</t>
  </si>
  <si>
    <t>Estimate!!Total living in area 1 year ago:!!Moved to the United States:!!1 to 4 years</t>
  </si>
  <si>
    <t>C24020_001</t>
  </si>
  <si>
    <t>B07401PR_067</t>
  </si>
  <si>
    <t>Estimate!!Total living in area 1 year ago:!!Moved to the United States:!!5 to 17 years</t>
  </si>
  <si>
    <t>Sex by Occupation for the Full-Time, Year-Round Civilian Employed Population 16 Years and Over</t>
  </si>
  <si>
    <t>C24020</t>
  </si>
  <si>
    <t>B07401PR_068</t>
  </si>
  <si>
    <t>Estimate!!Total living in area 1 year ago:!!Moved to the United States:!!18 and 19 years</t>
  </si>
  <si>
    <t>B07401PR_069</t>
  </si>
  <si>
    <t>C24030_001</t>
  </si>
  <si>
    <t>Estimate!!Total living in area 1 year ago:!!Moved to the United States:!!20 to 24 years</t>
  </si>
  <si>
    <t>Sex by Industry for the Civilian Employed Population 16 Years and Over</t>
  </si>
  <si>
    <t>C24030</t>
  </si>
  <si>
    <t>B07401PR_070</t>
  </si>
  <si>
    <t>Estimate!!Total living in area 1 year ago:!!Moved to the United States:!!25 to 29 years</t>
  </si>
  <si>
    <t>B07401PR_071</t>
  </si>
  <si>
    <t>C24040_001</t>
  </si>
  <si>
    <t>Estimate!!Total living in area 1 year ago:!!Moved to the United States:!!30 to 34 years</t>
  </si>
  <si>
    <t>Sex by Industry for the Full-Time, Year-Round Civilian Employed Population 16 Years and Over</t>
  </si>
  <si>
    <t>C24040</t>
  </si>
  <si>
    <t>B07401PR_072</t>
  </si>
  <si>
    <t>Estimate!!Total living in area 1 year ago:!!Moved to the United States:!!35 to 39 years</t>
  </si>
  <si>
    <t>B07401PR_073</t>
  </si>
  <si>
    <t>Estimate!!Total living in area 1 year ago:!!Moved to the United States:!!40 to 44 years</t>
  </si>
  <si>
    <t>C24050_001</t>
  </si>
  <si>
    <t>B07401PR_074</t>
  </si>
  <si>
    <t>Estimate!!Total living in area 1 year ago:!!Moved to the United States:!!45 to 49 years</t>
  </si>
  <si>
    <t>C24050</t>
  </si>
  <si>
    <t>B07401PR_075</t>
  </si>
  <si>
    <t>Estimate!!Total living in area 1 year ago:!!Moved to the United States:!!50 to 54 years</t>
  </si>
  <si>
    <t>B07401PR_076</t>
  </si>
  <si>
    <t>Estimate!!Total living in area 1 year ago:!!Moved to the United States:!!55 to 59 years</t>
  </si>
  <si>
    <t>B07401PR_077</t>
  </si>
  <si>
    <t>C24060_001</t>
  </si>
  <si>
    <t>Estimate!!Total living in area 1 year ago:!!Moved to the United States:!!60 to 64 years</t>
  </si>
  <si>
    <t>Occupation by Class of Worker for the Civilian Employed Population 16 Years and Over</t>
  </si>
  <si>
    <t>B07401PR_078</t>
  </si>
  <si>
    <t>C24060</t>
  </si>
  <si>
    <t>Estimate!!Total living in area 1 year ago:!!Moved to the United States:!!65 to 69 years</t>
  </si>
  <si>
    <t>B07401PR_079</t>
  </si>
  <si>
    <t>Estimate!!Total living in area 1 year ago:!!Moved to the United States:!!70 to 74 years</t>
  </si>
  <si>
    <t>B07401PR_080</t>
  </si>
  <si>
    <t>Estimate!!Total living in area 1 year ago:!!Moved to the United States:!!75 years and over</t>
  </si>
  <si>
    <t>C24070_001</t>
  </si>
  <si>
    <t>Industry by Class of Worker for the Civilian Employed Population 16 Years and Over</t>
  </si>
  <si>
    <t>C24070</t>
  </si>
  <si>
    <t>B07401_002</t>
  </si>
  <si>
    <t>B07401_003</t>
  </si>
  <si>
    <t>C27001A_001</t>
  </si>
  <si>
    <t>B07401_004</t>
  </si>
  <si>
    <t>Health Insurance Coverage Status by Age (White Alone)</t>
  </si>
  <si>
    <t>C27001A</t>
  </si>
  <si>
    <t>B07401_005</t>
  </si>
  <si>
    <t>health, race, demographic</t>
  </si>
  <si>
    <t>B07401_006</t>
  </si>
  <si>
    <t>C27001B_001</t>
  </si>
  <si>
    <t>B07401_007</t>
  </si>
  <si>
    <t>Health Insurance Coverage Status by Age (Black or African American Alone)</t>
  </si>
  <si>
    <t>C27001B</t>
  </si>
  <si>
    <t>B07401_008</t>
  </si>
  <si>
    <t>B07401_009</t>
  </si>
  <si>
    <t>C27001C_001</t>
  </si>
  <si>
    <t>B07401_010</t>
  </si>
  <si>
    <t>Health Insurance Coverage Status by Age (American Indian and Alaska Native Alone)</t>
  </si>
  <si>
    <t>B07401_011</t>
  </si>
  <si>
    <t>C27001C</t>
  </si>
  <si>
    <t>C27001D_001</t>
  </si>
  <si>
    <t>B07401_012</t>
  </si>
  <si>
    <t>Health Insurance Coverage Status by Age (Asian Alone)</t>
  </si>
  <si>
    <t>C27001D</t>
  </si>
  <si>
    <t>C27001E_001</t>
  </si>
  <si>
    <t>Health Insurance Coverage Status by Age (Native Hawaiian and Other Pacific Islander Alone)</t>
  </si>
  <si>
    <t>C27001E</t>
  </si>
  <si>
    <t>B07401_013</t>
  </si>
  <si>
    <t>C27001F_001</t>
  </si>
  <si>
    <t>B07401_014</t>
  </si>
  <si>
    <t>Health Insurance Coverage Status by Age (Some Other Race Alone)</t>
  </si>
  <si>
    <t>C27001F</t>
  </si>
  <si>
    <t>B07401_015</t>
  </si>
  <si>
    <t>C27001G_001</t>
  </si>
  <si>
    <t>B07401_016</t>
  </si>
  <si>
    <t>Health Insurance Coverage Status by Age (Two or More Races)</t>
  </si>
  <si>
    <t>C27001G</t>
  </si>
  <si>
    <t>B07401_017</t>
  </si>
  <si>
    <t>C27001H_001</t>
  </si>
  <si>
    <t>B07401_018</t>
  </si>
  <si>
    <t>Health Insurance Coverage Status by Age (White Alone, Not Hispanic or Latino)</t>
  </si>
  <si>
    <t>C27001H</t>
  </si>
  <si>
    <t>B07401_019</t>
  </si>
  <si>
    <t>B07401_020</t>
  </si>
  <si>
    <t>C27001I_001</t>
  </si>
  <si>
    <t>Health Insurance Coverage Status by Age (Hispanic or Latino)</t>
  </si>
  <si>
    <t>C27001I</t>
  </si>
  <si>
    <t>B07401_021</t>
  </si>
  <si>
    <t>B07401_022</t>
  </si>
  <si>
    <t>C27004_001</t>
  </si>
  <si>
    <t>Employer-Based Health Insurance by Sex by Age</t>
  </si>
  <si>
    <t>C27004</t>
  </si>
  <si>
    <t>B07401_023</t>
  </si>
  <si>
    <t>B07401_024</t>
  </si>
  <si>
    <t>C27005_001</t>
  </si>
  <si>
    <t>Direct-Purchase Health Insurance by Sex by Age</t>
  </si>
  <si>
    <t>B07401_025</t>
  </si>
  <si>
    <t>C27005</t>
  </si>
  <si>
    <t>B07401_026</t>
  </si>
  <si>
    <t>C27006_001</t>
  </si>
  <si>
    <t>B07401_027</t>
  </si>
  <si>
    <t>C27006</t>
  </si>
  <si>
    <t>B07401_028</t>
  </si>
  <si>
    <t>C27007_001</t>
  </si>
  <si>
    <t>B07401_029</t>
  </si>
  <si>
    <t>Medicaid/Means-Tested Public Coverage by Sex by Age</t>
  </si>
  <si>
    <t>C27007</t>
  </si>
  <si>
    <t>B07401_030</t>
  </si>
  <si>
    <t>C27008_001</t>
  </si>
  <si>
    <t>B07401_031</t>
  </si>
  <si>
    <t>C27008</t>
  </si>
  <si>
    <t>B07401_032</t>
  </si>
  <si>
    <t>C27009_001</t>
  </si>
  <si>
    <t>B07401_033</t>
  </si>
  <si>
    <t>Estimate!!Total living in area 1 year ago:!!Moved within same county:</t>
  </si>
  <si>
    <t>VA Health Care by Sex by Age</t>
  </si>
  <si>
    <t>C27009</t>
  </si>
  <si>
    <t>B07401_034</t>
  </si>
  <si>
    <t>Estimate!!Total living in area 1 year ago:!!Moved within same county:!!1 to 4 years</t>
  </si>
  <si>
    <t>B07401_035</t>
  </si>
  <si>
    <t>C27012_001</t>
  </si>
  <si>
    <t>Estimate!!Total living in area 1 year ago:!!Moved within same county:!!5 to 17 years</t>
  </si>
  <si>
    <t>Health Insurance Coverage Status and Type by Work Experience</t>
  </si>
  <si>
    <t>C27012</t>
  </si>
  <si>
    <t>B07401_036</t>
  </si>
  <si>
    <t>Estimate!!Total living in area 1 year ago:!!Moved within same county:!!18 and 19 years</t>
  </si>
  <si>
    <t>B07401_037</t>
  </si>
  <si>
    <t>C27013_001</t>
  </si>
  <si>
    <t>Estimate!!Total living in area 1 year ago:!!Moved within same county:!!20 to 24 years</t>
  </si>
  <si>
    <t>Private Health Insurance by Work Experience</t>
  </si>
  <si>
    <t>C27013</t>
  </si>
  <si>
    <t>B07401_038</t>
  </si>
  <si>
    <t>C27014_001</t>
  </si>
  <si>
    <t>Estimate!!Total living in area 1 year ago:!!Moved within same county:!!25 to 29 years</t>
  </si>
  <si>
    <t>Public Health Insurance by Work Experience</t>
  </si>
  <si>
    <t>C27014</t>
  </si>
  <si>
    <t>B07401_039</t>
  </si>
  <si>
    <t>human services, economy</t>
  </si>
  <si>
    <t>Estimate!!Total living in area 1 year ago:!!Moved within same county:!!30 to 34 years</t>
  </si>
  <si>
    <t>C27016_001</t>
  </si>
  <si>
    <t>B07401_040</t>
  </si>
  <si>
    <t>Health Insurance Coverage Status by Ratio of Income to Poverty Level in the Past 12 Months by Age</t>
  </si>
  <si>
    <t>Estimate!!Total living in area 1 year ago:!!Moved within same county:!!35 to 39 years</t>
  </si>
  <si>
    <t>C27016</t>
  </si>
  <si>
    <t>health, income, economy, demographic</t>
  </si>
  <si>
    <t>B07401_041</t>
  </si>
  <si>
    <t>Estimate!!Total living in area 1 year ago:!!Moved within same county:!!40 to 44 years</t>
  </si>
  <si>
    <t>C27017_001</t>
  </si>
  <si>
    <t>B07401_042</t>
  </si>
  <si>
    <t>Private Health Insurance by Ratio of Income to Poverty Level in the Past 12 Months by Age</t>
  </si>
  <si>
    <t>C27017</t>
  </si>
  <si>
    <t>Estimate!!Total living in area 1 year ago:!!Moved within same county:!!45 to 49 years</t>
  </si>
  <si>
    <t>health, income, economy</t>
  </si>
  <si>
    <t>C27018_001</t>
  </si>
  <si>
    <t>Public Health Insurance by Ratio of Income to Poverty Level in the Past 12 Months by Age</t>
  </si>
  <si>
    <t>B07401_043</t>
  </si>
  <si>
    <t>C27018</t>
  </si>
  <si>
    <t>Estimate!!Total living in area 1 year ago:!!Moved within same county:!!50 to 54 years</t>
  </si>
  <si>
    <t>human services, income</t>
  </si>
  <si>
    <t>B07401_044</t>
  </si>
  <si>
    <t>Estimate!!Total living in area 1 year ago:!!Moved within same county:!!55 to 59 years</t>
  </si>
  <si>
    <t>C27021_001</t>
  </si>
  <si>
    <t>B07401_045</t>
  </si>
  <si>
    <t>Health Insurance Coverage Status by Living Arrangement</t>
  </si>
  <si>
    <t>Estimate!!Total living in area 1 year ago:!!Moved within same county:!!60 to 64 years</t>
  </si>
  <si>
    <t>C27021</t>
  </si>
  <si>
    <t>B07401_046</t>
  </si>
  <si>
    <t>Estimate!!Total living in area 1 year ago:!!Moved within same county:!!65 to 69 years</t>
  </si>
  <si>
    <t>B07401_047</t>
  </si>
  <si>
    <t>Estimate!!Total living in area 1 year ago:!!Moved within same county:!!70 to 74 years</t>
  </si>
  <si>
    <t>B07401_048</t>
  </si>
  <si>
    <t>Estimate!!Total living in area 1 year ago:!!Moved within same county:!!75 years and over</t>
  </si>
  <si>
    <t>B07401_049</t>
  </si>
  <si>
    <t>Estimate!!Total living in area 1 year ago:!!Moved to different county within same state:</t>
  </si>
  <si>
    <t>B07401_050</t>
  </si>
  <si>
    <t>Estimate!!Total living in area 1 year ago:!!Moved to different county within same state:!!1 to 4 years</t>
  </si>
  <si>
    <t>B07401_051</t>
  </si>
  <si>
    <t>Estimate!!Total living in area 1 year ago:!!Moved to different county within same state:!!5 to 17 years</t>
  </si>
  <si>
    <t>B07401_052</t>
  </si>
  <si>
    <t>Estimate!!Total living in area 1 year ago:!!Moved to different county within same state:!!18 and 19 years</t>
  </si>
  <si>
    <t>B07401_053</t>
  </si>
  <si>
    <t>Estimate!!Total living in area 1 year ago:!!Moved to different county within same state:!!20 to 24 years</t>
  </si>
  <si>
    <t>B07401_054</t>
  </si>
  <si>
    <t>Estimate!!Total living in area 1 year ago:!!Moved to different county within same state:!!25 to 29 years</t>
  </si>
  <si>
    <t>B07401_055</t>
  </si>
  <si>
    <t>Estimate!!Total living in area 1 year ago:!!Moved to different county within same state:!!30 to 34 years</t>
  </si>
  <si>
    <t>B07401_056</t>
  </si>
  <si>
    <t>Estimate!!Total living in area 1 year ago:!!Moved to different county within same state:!!35 to 39 years</t>
  </si>
  <si>
    <t>B07401_057</t>
  </si>
  <si>
    <t>Estimate!!Total living in area 1 year ago:!!Moved to different county within same state:!!40 to 44 years</t>
  </si>
  <si>
    <t>B07401_058</t>
  </si>
  <si>
    <t>Estimate!!Total living in area 1 year ago:!!Moved to different county within same state:!!45 to 49 years</t>
  </si>
  <si>
    <t>B07401_059</t>
  </si>
  <si>
    <t>Estimate!!Total living in area 1 year ago:!!Moved to different county within same state:!!50 to 54 years</t>
  </si>
  <si>
    <t>B07401_060</t>
  </si>
  <si>
    <t>Estimate!!Total living in area 1 year ago:!!Moved to different county within same state:!!55 to 59 years</t>
  </si>
  <si>
    <t>B07401_061</t>
  </si>
  <si>
    <t>Estimate!!Total living in area 1 year ago:!!Moved to different county within same state:!!60 to 64 years</t>
  </si>
  <si>
    <t>B07401_062</t>
  </si>
  <si>
    <t>Estimate!!Total living in area 1 year ago:!!Moved to different county within same state:!!65 to 69 years</t>
  </si>
  <si>
    <t>B07401_063</t>
  </si>
  <si>
    <t>Estimate!!Total living in area 1 year ago:!!Moved to different county within same state:!!70 to 74 years</t>
  </si>
  <si>
    <t>B07401_064</t>
  </si>
  <si>
    <t>Estimate!!Total living in area 1 year ago:!!Moved to different county within same state:!!75 years and over</t>
  </si>
  <si>
    <t>B07401_065</t>
  </si>
  <si>
    <t>Estimate!!Total living in area 1 year ago:!!Moved to different state:</t>
  </si>
  <si>
    <t>B07401_066</t>
  </si>
  <si>
    <t>Estimate!!Total living in area 1 year ago:!!Moved to different state:!!1 to 4 years</t>
  </si>
  <si>
    <t>B07401_067</t>
  </si>
  <si>
    <t>Estimate!!Total living in area 1 year ago:!!Moved to different state:!!5 to 17 years</t>
  </si>
  <si>
    <t>B07401_068</t>
  </si>
  <si>
    <t>Estimate!!Total living in area 1 year ago:!!Moved to different state:!!18 and 19 years</t>
  </si>
  <si>
    <t>B07401_069</t>
  </si>
  <si>
    <t>Estimate!!Total living in area 1 year ago:!!Moved to different state:!!20 to 24 years</t>
  </si>
  <si>
    <t>B07401_070</t>
  </si>
  <si>
    <t>Estimate!!Total living in area 1 year ago:!!Moved to different state:!!25 to 29 years</t>
  </si>
  <si>
    <t>B07401_071</t>
  </si>
  <si>
    <t>Estimate!!Total living in area 1 year ago:!!Moved to different state:!!30 to 34 years</t>
  </si>
  <si>
    <t>B07401_072</t>
  </si>
  <si>
    <t>Estimate!!Total living in area 1 year ago:!!Moved to different state:!!35 to 39 years</t>
  </si>
  <si>
    <t>B07401_073</t>
  </si>
  <si>
    <t>Estimate!!Total living in area 1 year ago:!!Moved to different state:!!40 to 44 years</t>
  </si>
  <si>
    <t>B07401_074</t>
  </si>
  <si>
    <t>Estimate!!Total living in area 1 year ago:!!Moved to different state:!!45 to 49 years</t>
  </si>
  <si>
    <t>B07401_075</t>
  </si>
  <si>
    <t>Estimate!!Total living in area 1 year ago:!!Moved to different state:!!50 to 54 years</t>
  </si>
  <si>
    <t>B07401_076</t>
  </si>
  <si>
    <t>Estimate!!Total living in area 1 year ago:!!Moved to different state:!!55 to 59 years</t>
  </si>
  <si>
    <t>B07401_077</t>
  </si>
  <si>
    <t>Estimate!!Total living in area 1 year ago:!!Moved to different state:!!60 to 64 years</t>
  </si>
  <si>
    <t>B07401_078</t>
  </si>
  <si>
    <t>Estimate!!Total living in area 1 year ago:!!Moved to different state:!!65 to 69 years</t>
  </si>
  <si>
    <t>B07401_079</t>
  </si>
  <si>
    <t>Estimate!!Total living in area 1 year ago:!!Moved to different state:!!70 to 74 years</t>
  </si>
  <si>
    <t>B07401_080</t>
  </si>
  <si>
    <t>Estimate!!Total living in area 1 year ago:!!Moved to different state:!!75 years and over</t>
  </si>
  <si>
    <t>B07402PR_002</t>
  </si>
  <si>
    <t>Estimate!!Median age --!!Total living in area 1 year ago:!!Same house</t>
  </si>
  <si>
    <t>B07402PR_003</t>
  </si>
  <si>
    <t>Estimate!!Median age --!!Total living in area 1 year ago:!!Moved within same municipio</t>
  </si>
  <si>
    <t>B07402PR_004</t>
  </si>
  <si>
    <t>Estimate!!Median age --!!Total living in area 1 year ago:!!Moved to different municipio</t>
  </si>
  <si>
    <t>B07402PR_005</t>
  </si>
  <si>
    <t>Estimate!!Median age --!!Total living in area 1 year ago:!!Moved to the United States</t>
  </si>
  <si>
    <t>B07402_002</t>
  </si>
  <si>
    <t>B07402_003</t>
  </si>
  <si>
    <t>Estimate!!Median age --!!Total living in area 1 year ago:!!Moved within same county</t>
  </si>
  <si>
    <t>B07402_004</t>
  </si>
  <si>
    <t>Estimate!!Median age --!!Total living in area 1 year ago:!!Moved to different county within same state</t>
  </si>
  <si>
    <t>B07402_005</t>
  </si>
  <si>
    <t>Estimate!!Median age --!!Total living in area 1 year ago:!!Moved to different state</t>
  </si>
  <si>
    <t>B07403PR_002</t>
  </si>
  <si>
    <t>Estimate!!Total living in area 1 year ago:!!Male</t>
  </si>
  <si>
    <t>B07403PR_003</t>
  </si>
  <si>
    <t>Estimate!!Total living in area 1 year ago:!!Female</t>
  </si>
  <si>
    <t>B07403PR_004</t>
  </si>
  <si>
    <t>B07403PR_005</t>
  </si>
  <si>
    <t>Estimate!!Total living in area 1 year ago:!!Same house:!!Male</t>
  </si>
  <si>
    <t>B07403PR_006</t>
  </si>
  <si>
    <t>Estimate!!Total living in area 1 year ago:!!Same house:!!Female</t>
  </si>
  <si>
    <t>B07403PR_007</t>
  </si>
  <si>
    <t>B07403PR_008</t>
  </si>
  <si>
    <t>Estimate!!Total living in area 1 year ago:!!Moved within same municipio:!!Male</t>
  </si>
  <si>
    <t>B07403PR_009</t>
  </si>
  <si>
    <t>Estimate!!Total living in area 1 year ago:!!Moved within same municipio:!!Female</t>
  </si>
  <si>
    <t>B07403PR_010</t>
  </si>
  <si>
    <t>B07403PR_011</t>
  </si>
  <si>
    <t>Estimate!!Total living in area 1 year ago:!!Moved to different municipio:!!Male</t>
  </si>
  <si>
    <t>B07403PR_012</t>
  </si>
  <si>
    <t>Estimate!!Total living in area 1 year ago:!!Moved to different municipio:!!Female</t>
  </si>
  <si>
    <t>B07403PR_013</t>
  </si>
  <si>
    <t>B07403PR_014</t>
  </si>
  <si>
    <t>Estimate!!Total living in area 1 year ago:!!Moved to the United States:!!Male</t>
  </si>
  <si>
    <t>B07403PR_015</t>
  </si>
  <si>
    <t>Estimate!!Total living in area 1 year ago:!!Moved to the United States:!!Female</t>
  </si>
  <si>
    <t>B07403_002</t>
  </si>
  <si>
    <t>B07403_003</t>
  </si>
  <si>
    <t>B07403_004</t>
  </si>
  <si>
    <t>B07403_005</t>
  </si>
  <si>
    <t>B07403_006</t>
  </si>
  <si>
    <t>B07403_007</t>
  </si>
  <si>
    <t>B07403_008</t>
  </si>
  <si>
    <t>Estimate!!Total living in area 1 year ago:!!Moved within same county:!!Male</t>
  </si>
  <si>
    <t>B07403_009</t>
  </si>
  <si>
    <t>Estimate!!Total living in area 1 year ago:!!Moved within same county:!!Female</t>
  </si>
  <si>
    <t>B07403_010</t>
  </si>
  <si>
    <t>B07403_011</t>
  </si>
  <si>
    <t>Estimate!!Total living in area 1 year ago:!!Moved to different county within same state:!!Male</t>
  </si>
  <si>
    <t>B07403_012</t>
  </si>
  <si>
    <t>Estimate!!Total living in area 1 year ago:!!Moved to different county within same state:!!Female</t>
  </si>
  <si>
    <t>B07403_013</t>
  </si>
  <si>
    <t>B07403_014</t>
  </si>
  <si>
    <t>Estimate!!Total living in area 1 year ago:!!Moved to different state:!!Male</t>
  </si>
  <si>
    <t>B07403_015</t>
  </si>
  <si>
    <t>Estimate!!Total living in area 1 year ago:!!Moved to different state:!!Female</t>
  </si>
  <si>
    <t>B07404APR_002</t>
  </si>
  <si>
    <t>Estimate!!Total living in area 1 year ago:!!Same house</t>
  </si>
  <si>
    <t>B07404APR_003</t>
  </si>
  <si>
    <t>Estimate!!Total living in area 1 year ago:!!Moved within same municipio</t>
  </si>
  <si>
    <t>B07404APR_004</t>
  </si>
  <si>
    <t>Estimate!!Total living in area 1 year ago:!!Moved to different municipio</t>
  </si>
  <si>
    <t>B07404APR_005</t>
  </si>
  <si>
    <t>Estimate!!Total living in area 1 year ago:!!Moved to the United States</t>
  </si>
  <si>
    <t>B07404A_002</t>
  </si>
  <si>
    <t>B07404A_003</t>
  </si>
  <si>
    <t>Estimate!!Total living in area 1 year ago:!!Moved within same county</t>
  </si>
  <si>
    <t>B07404A_004</t>
  </si>
  <si>
    <t>Estimate!!Total living in area 1 year ago:!!Moved to different county within same state</t>
  </si>
  <si>
    <t>B07404A_005</t>
  </si>
  <si>
    <t>Estimate!!Total living in area 1 year ago:!!Moved to different state</t>
  </si>
  <si>
    <t>B07404BPR_002</t>
  </si>
  <si>
    <t>B07404BPR_003</t>
  </si>
  <si>
    <t>B07404BPR_004</t>
  </si>
  <si>
    <t>B07404BPR_005</t>
  </si>
  <si>
    <t>B07404B_002</t>
  </si>
  <si>
    <t>B07404B_003</t>
  </si>
  <si>
    <t>B07404B_004</t>
  </si>
  <si>
    <t>B07404B_005</t>
  </si>
  <si>
    <t>B07404CPR_002</t>
  </si>
  <si>
    <t>B07404CPR_003</t>
  </si>
  <si>
    <t>B07404CPR_004</t>
  </si>
  <si>
    <t>B07404CPR_005</t>
  </si>
  <si>
    <t>B07404C_002</t>
  </si>
  <si>
    <t>B07404C_003</t>
  </si>
  <si>
    <t>B07404C_004</t>
  </si>
  <si>
    <t>B07404C_005</t>
  </si>
  <si>
    <t>B07404DPR_002</t>
  </si>
  <si>
    <t>B07404DPR_003</t>
  </si>
  <si>
    <t>B07404DPR_004</t>
  </si>
  <si>
    <t>B07404DPR_005</t>
  </si>
  <si>
    <t>B07404D_002</t>
  </si>
  <si>
    <t>B07404D_003</t>
  </si>
  <si>
    <t>B07404D_004</t>
  </si>
  <si>
    <t>B07404D_005</t>
  </si>
  <si>
    <t>B07404EPR_002</t>
  </si>
  <si>
    <t>B07404EPR_003</t>
  </si>
  <si>
    <t>B07404EPR_004</t>
  </si>
  <si>
    <t>B07404EPR_005</t>
  </si>
  <si>
    <t>B07404E_002</t>
  </si>
  <si>
    <t>B07404E_003</t>
  </si>
  <si>
    <t>B07404E_004</t>
  </si>
  <si>
    <t>B07404E_005</t>
  </si>
  <si>
    <t>B07404FPR_002</t>
  </si>
  <si>
    <t>B07404FPR_003</t>
  </si>
  <si>
    <t>B07404FPR_004</t>
  </si>
  <si>
    <t>B07404FPR_005</t>
  </si>
  <si>
    <t>B07404F_002</t>
  </si>
  <si>
    <t>B07404F_003</t>
  </si>
  <si>
    <t>B07404F_004</t>
  </si>
  <si>
    <t>B07404F_005</t>
  </si>
  <si>
    <t>B07404GPR_002</t>
  </si>
  <si>
    <t>B07404GPR_003</t>
  </si>
  <si>
    <t>B07404GPR_004</t>
  </si>
  <si>
    <t>B07404GPR_005</t>
  </si>
  <si>
    <t>B07404G_002</t>
  </si>
  <si>
    <t>B07404G_003</t>
  </si>
  <si>
    <t>B07404G_004</t>
  </si>
  <si>
    <t>B07404G_005</t>
  </si>
  <si>
    <t>B07404HPR_002</t>
  </si>
  <si>
    <t>B07404HPR_003</t>
  </si>
  <si>
    <t>B07404HPR_004</t>
  </si>
  <si>
    <t>B07404HPR_005</t>
  </si>
  <si>
    <t>B07404H_002</t>
  </si>
  <si>
    <t>B07404H_003</t>
  </si>
  <si>
    <t>B07404H_004</t>
  </si>
  <si>
    <t>B07404H_005</t>
  </si>
  <si>
    <t>B07404IPR_002</t>
  </si>
  <si>
    <t>B07404IPR_003</t>
  </si>
  <si>
    <t>B07404IPR_004</t>
  </si>
  <si>
    <t>B07404IPR_005</t>
  </si>
  <si>
    <t>B07404I_002</t>
  </si>
  <si>
    <t>B07404I_003</t>
  </si>
  <si>
    <t>B07404I_004</t>
  </si>
  <si>
    <t>B07404I_005</t>
  </si>
  <si>
    <t>B07407PR_002</t>
  </si>
  <si>
    <t>Estimate!!Total living in area 1 year ago:!!Native</t>
  </si>
  <si>
    <t>B07407PR_003</t>
  </si>
  <si>
    <t>Estimate!!Total living in area 1 year ago:!!Foreign born:</t>
  </si>
  <si>
    <t>B07407PR_004</t>
  </si>
  <si>
    <t>Estimate!!Total living in area 1 year ago:!!Foreign born:!!Naturalized U.S. citizen</t>
  </si>
  <si>
    <t>B07407PR_005</t>
  </si>
  <si>
    <t>Estimate!!Total living in area 1 year ago:!!Foreign born:!!Not a U.S. citizen</t>
  </si>
  <si>
    <t>B07407PR_006</t>
  </si>
  <si>
    <t>B07407PR_007</t>
  </si>
  <si>
    <t>Estimate!!Total living in area 1 year ago:!!Same house:!!Native</t>
  </si>
  <si>
    <t>B07407PR_008</t>
  </si>
  <si>
    <t>Estimate!!Total living in area 1 year ago:!!Same house:!!Foreign born:</t>
  </si>
  <si>
    <t>B07407PR_009</t>
  </si>
  <si>
    <t>Estimate!!Total living in area 1 year ago:!!Same house:!!Foreign born:!!Naturalized U.S. citizen</t>
  </si>
  <si>
    <t>B07407PR_010</t>
  </si>
  <si>
    <t>Estimate!!Total living in area 1 year ago:!!Same house:!!Foreign born:!!Not a U.S. citizen</t>
  </si>
  <si>
    <t>B07407PR_011</t>
  </si>
  <si>
    <t>B07407PR_012</t>
  </si>
  <si>
    <t>Estimate!!Total living in area 1 year ago:!!Moved within same municipio:!!Native</t>
  </si>
  <si>
    <t>B07407PR_013</t>
  </si>
  <si>
    <t>Estimate!!Total living in area 1 year ago:!!Moved within same municipio:!!Foreign born:</t>
  </si>
  <si>
    <t>B07407PR_014</t>
  </si>
  <si>
    <t>Estimate!!Total living in area 1 year ago:!!Moved within same municipio:!!Foreign born:!!Naturalized U.S. citizen</t>
  </si>
  <si>
    <t>B07407PR_015</t>
  </si>
  <si>
    <t>Estimate!!Total living in area 1 year ago:!!Moved within same municipio:!!Foreign born:!!Not a U.S. citizen</t>
  </si>
  <si>
    <t>B07407PR_016</t>
  </si>
  <si>
    <t>B07407PR_017</t>
  </si>
  <si>
    <t>Estimate!!Total living in area 1 year ago:!!Moved to different municipio:!!Native</t>
  </si>
  <si>
    <t>B07407PR_018</t>
  </si>
  <si>
    <t>Estimate!!Total living in area 1 year ago:!!Moved to different municipio:!!Foreign born:</t>
  </si>
  <si>
    <t>B07407PR_019</t>
  </si>
  <si>
    <t>Estimate!!Total living in area 1 year ago:!!Moved to different municipio:!!Foreign born:!!Naturalized U.S. citizen</t>
  </si>
  <si>
    <t>B07407PR_020</t>
  </si>
  <si>
    <t>Estimate!!Total living in area 1 year ago:!!Moved to different municipio:!!Foreign born:!!Not a U.S. citizen</t>
  </si>
  <si>
    <t>B07407PR_021</t>
  </si>
  <si>
    <t>B07407PR_022</t>
  </si>
  <si>
    <t>Estimate!!Total living in area 1 year ago:!!Moved to the United States:!!Native</t>
  </si>
  <si>
    <t>B07407PR_023</t>
  </si>
  <si>
    <t>Estimate!!Total living in area 1 year ago:!!Moved to the United States:!!Foreign born:</t>
  </si>
  <si>
    <t>B07407PR_024</t>
  </si>
  <si>
    <t>Estimate!!Total living in area 1 year ago:!!Moved to the United States:!!Foreign born:!!Naturalized U.S. citizen</t>
  </si>
  <si>
    <t>B07407PR_025</t>
  </si>
  <si>
    <t>Estimate!!Total living in area 1 year ago:!!Moved to the United States:!!Foreign born:!!Not a U.S. citizen</t>
  </si>
  <si>
    <t>B07407_002</t>
  </si>
  <si>
    <t>B07407_003</t>
  </si>
  <si>
    <t>B07407_004</t>
  </si>
  <si>
    <t>B07407_005</t>
  </si>
  <si>
    <t>B07407_006</t>
  </si>
  <si>
    <t>B07407_007</t>
  </si>
  <si>
    <t>B07407_008</t>
  </si>
  <si>
    <t>B07407_009</t>
  </si>
  <si>
    <t>B07407_010</t>
  </si>
  <si>
    <t>B07407_011</t>
  </si>
  <si>
    <t>B07407_012</t>
  </si>
  <si>
    <t>Estimate!!Total living in area 1 year ago:!!Moved within same county:!!Native</t>
  </si>
  <si>
    <t>B07407_013</t>
  </si>
  <si>
    <t>Estimate!!Total living in area 1 year ago:!!Moved within same county:!!Foreign born:</t>
  </si>
  <si>
    <t>B07407_014</t>
  </si>
  <si>
    <t>Estimate!!Total living in area 1 year ago:!!Moved within same county:!!Foreign born:!!Naturalized U.S. citizen</t>
  </si>
  <si>
    <t>B07407_015</t>
  </si>
  <si>
    <t>Estimate!!Total living in area 1 year ago:!!Moved within same county:!!Foreign born:!!Not a U.S. citizen</t>
  </si>
  <si>
    <t>B07407_016</t>
  </si>
  <si>
    <t>B07407_017</t>
  </si>
  <si>
    <t>Estimate!!Total living in area 1 year ago:!!Moved to different county within same state:!!Native</t>
  </si>
  <si>
    <t>B07407_018</t>
  </si>
  <si>
    <t>Estimate!!Total living in area 1 year ago:!!Moved to different county within same state:!!Foreign born:</t>
  </si>
  <si>
    <t>B07407_019</t>
  </si>
  <si>
    <t>Estimate!!Total living in area 1 year ago:!!Moved to different county within same state:!!Foreign born:!!Naturalized U.S. citizen</t>
  </si>
  <si>
    <t>B07407_020</t>
  </si>
  <si>
    <t>Estimate!!Total living in area 1 year ago:!!Moved to different county within same state:!!Foreign born:!!Not a U.S. citizen</t>
  </si>
  <si>
    <t>B07407_021</t>
  </si>
  <si>
    <t>B07407_022</t>
  </si>
  <si>
    <t>Estimate!!Total living in area 1 year ago:!!Moved to different state:!!Native</t>
  </si>
  <si>
    <t>B07407_023</t>
  </si>
  <si>
    <t>Estimate!!Total living in area 1 year ago:!!Moved to different state:!!Foreign born:</t>
  </si>
  <si>
    <t>B07407_024</t>
  </si>
  <si>
    <t>Estimate!!Total living in area 1 year ago:!!Moved to different state:!!Foreign born:!!Naturalized U.S. citizen</t>
  </si>
  <si>
    <t>B07407_025</t>
  </si>
  <si>
    <t>Estimate!!Total living in area 1 year ago:!!Moved to different state:!!Foreign born:!!Not a U.S. citizen</t>
  </si>
  <si>
    <t>B07408PR_002</t>
  </si>
  <si>
    <t>Estimate!!Total living in area 1 year ago:!!Never married</t>
  </si>
  <si>
    <t>B07408PR_003</t>
  </si>
  <si>
    <t>Estimate!!Total living in area 1 year ago:!!Now married, except separated</t>
  </si>
  <si>
    <t>B07408PR_004</t>
  </si>
  <si>
    <t>Estimate!!Total living in area 1 year ago:!!Divorced</t>
  </si>
  <si>
    <t>B07408PR_005</t>
  </si>
  <si>
    <t>Estimate!!Total living in area 1 year ago:!!Separated</t>
  </si>
  <si>
    <t>B07408PR_006</t>
  </si>
  <si>
    <t>Estimate!!Total living in area 1 year ago:!!Widowed</t>
  </si>
  <si>
    <t>B07408PR_007</t>
  </si>
  <si>
    <t>B07408PR_008</t>
  </si>
  <si>
    <t>Estimate!!Total living in area 1 year ago:!!Same house:!!Never married</t>
  </si>
  <si>
    <t>B07408PR_009</t>
  </si>
  <si>
    <t>Estimate!!Total living in area 1 year ago:!!Same house:!!Now married, except separated</t>
  </si>
  <si>
    <t>B07408PR_010</t>
  </si>
  <si>
    <t>Estimate!!Total living in area 1 year ago:!!Same house:!!Divorced</t>
  </si>
  <si>
    <t>B07408PR_011</t>
  </si>
  <si>
    <t>Estimate!!Total living in area 1 year ago:!!Same house:!!Separated</t>
  </si>
  <si>
    <t>B07408PR_012</t>
  </si>
  <si>
    <t>Estimate!!Total living in area 1 year ago:!!Same house:!!Widowed</t>
  </si>
  <si>
    <t>B07408PR_013</t>
  </si>
  <si>
    <t>B07408PR_014</t>
  </si>
  <si>
    <t>Estimate!!Total living in area 1 year ago:!!Moved within same municipio:!!Never married</t>
  </si>
  <si>
    <t>B07408PR_015</t>
  </si>
  <si>
    <t>Estimate!!Total living in area 1 year ago:!!Moved within same municipio:!!Now married, except separated</t>
  </si>
  <si>
    <t>B07408PR_016</t>
  </si>
  <si>
    <t>Estimate!!Total living in area 1 year ago:!!Moved within same municipio:!!Divorced</t>
  </si>
  <si>
    <t>B07408PR_017</t>
  </si>
  <si>
    <t>Estimate!!Total living in area 1 year ago:!!Moved within same municipio:!!Separated</t>
  </si>
  <si>
    <t>B07408PR_018</t>
  </si>
  <si>
    <t>Estimate!!Total living in area 1 year ago:!!Moved within same municipio:!!Widowed</t>
  </si>
  <si>
    <t>B07408PR_019</t>
  </si>
  <si>
    <t>B07408PR_020</t>
  </si>
  <si>
    <t>Estimate!!Total living in area 1 year ago:!!Moved to different municipio:!!Never married</t>
  </si>
  <si>
    <t>B07408PR_021</t>
  </si>
  <si>
    <t>Estimate!!Total living in area 1 year ago:!!Moved to different municipio:!!Now married, except separated</t>
  </si>
  <si>
    <t>B07408PR_022</t>
  </si>
  <si>
    <t>Estimate!!Total living in area 1 year ago:!!Moved to different municipio:!!Divorced</t>
  </si>
  <si>
    <t>B07408PR_023</t>
  </si>
  <si>
    <t>Estimate!!Total living in area 1 year ago:!!Moved to different municipio:!!Separated</t>
  </si>
  <si>
    <t>B07408PR_024</t>
  </si>
  <si>
    <t>Estimate!!Total living in area 1 year ago:!!Moved to different municipio:!!Widowed</t>
  </si>
  <si>
    <t>B07408PR_025</t>
  </si>
  <si>
    <t>B07408PR_026</t>
  </si>
  <si>
    <t>Estimate!!Total living in area 1 year ago:!!Moved to the United States:!!Never married</t>
  </si>
  <si>
    <t>B07408PR_027</t>
  </si>
  <si>
    <t>Estimate!!Total living in area 1 year ago:!!Moved to the United States:!!Now married, except separated</t>
  </si>
  <si>
    <t>B07408PR_028</t>
  </si>
  <si>
    <t>Estimate!!Total living in area 1 year ago:!!Moved to the United States:!!Divorced</t>
  </si>
  <si>
    <t>B07408PR_029</t>
  </si>
  <si>
    <t>Estimate!!Total living in area 1 year ago:!!Moved to the United States:!!Separated</t>
  </si>
  <si>
    <t>B07408PR_030</t>
  </si>
  <si>
    <t>Estimate!!Total living in area 1 year ago:!!Moved to the United States:!!Widowed</t>
  </si>
  <si>
    <t>B07408_002</t>
  </si>
  <si>
    <t>B07408_003</t>
  </si>
  <si>
    <t>B07408_004</t>
  </si>
  <si>
    <t>B07408_005</t>
  </si>
  <si>
    <t>B07408_006</t>
  </si>
  <si>
    <t>B07408_007</t>
  </si>
  <si>
    <t>B07408_008</t>
  </si>
  <si>
    <t>B07408_009</t>
  </si>
  <si>
    <t>B07408_010</t>
  </si>
  <si>
    <t>B07408_011</t>
  </si>
  <si>
    <t>B07408_012</t>
  </si>
  <si>
    <t>B07408_013</t>
  </si>
  <si>
    <t>B07408_014</t>
  </si>
  <si>
    <t>Estimate!!Total living in area 1 year ago:!!Moved within same county:!!Never married</t>
  </si>
  <si>
    <t>B07408_015</t>
  </si>
  <si>
    <t>Estimate!!Total living in area 1 year ago:!!Moved within same county:!!Now married, except separated</t>
  </si>
  <si>
    <t>B07408_016</t>
  </si>
  <si>
    <t>Estimate!!Total living in area 1 year ago:!!Moved within same county:!!Divorced</t>
  </si>
  <si>
    <t>B07408_017</t>
  </si>
  <si>
    <t>Estimate!!Total living in area 1 year ago:!!Moved within same county:!!Separated</t>
  </si>
  <si>
    <t>B07408_018</t>
  </si>
  <si>
    <t>Estimate!!Total living in area 1 year ago:!!Moved within same county:!!Widowed</t>
  </si>
  <si>
    <t>B07408_019</t>
  </si>
  <si>
    <t>B07408_020</t>
  </si>
  <si>
    <t>Estimate!!Total living in area 1 year ago:!!Moved to different county within same state:!!Never married</t>
  </si>
  <si>
    <t>B07408_021</t>
  </si>
  <si>
    <t>Estimate!!Total living in area 1 year ago:!!Moved to different county within same state:!!Now married, except separated</t>
  </si>
  <si>
    <t>B07408_022</t>
  </si>
  <si>
    <t>Estimate!!Total living in area 1 year ago:!!Moved to different county within same state:!!Divorced</t>
  </si>
  <si>
    <t>B07408_023</t>
  </si>
  <si>
    <t>Estimate!!Total living in area 1 year ago:!!Moved to different county within same state:!!Separated</t>
  </si>
  <si>
    <t>B07408_024</t>
  </si>
  <si>
    <t>Estimate!!Total living in area 1 year ago:!!Moved to different county within same state:!!Widowed</t>
  </si>
  <si>
    <t>B07408_025</t>
  </si>
  <si>
    <t>B07408_026</t>
  </si>
  <si>
    <t>Estimate!!Total living in area 1 year ago:!!Moved to different state:!!Never married</t>
  </si>
  <si>
    <t>B07408_027</t>
  </si>
  <si>
    <t>Estimate!!Total living in area 1 year ago:!!Moved to different state:!!Now married, except separated</t>
  </si>
  <si>
    <t>B07408_028</t>
  </si>
  <si>
    <t>Estimate!!Total living in area 1 year ago:!!Moved to different state:!!Divorced</t>
  </si>
  <si>
    <t>B07408_029</t>
  </si>
  <si>
    <t>Estimate!!Total living in area 1 year ago:!!Moved to different state:!!Separated</t>
  </si>
  <si>
    <t>B07408_030</t>
  </si>
  <si>
    <t>Estimate!!Total living in area 1 year ago:!!Moved to different state:!!Widowed</t>
  </si>
  <si>
    <t>B07409PR_002</t>
  </si>
  <si>
    <t>Estimate!!Total living in area 1 year ago:!!Less than high school graduate</t>
  </si>
  <si>
    <t>B07409PR_003</t>
  </si>
  <si>
    <t>Estimate!!Total living in area 1 year ago:!!High school graduate (includes equivalency)</t>
  </si>
  <si>
    <t>B07409PR_004</t>
  </si>
  <si>
    <t>Estimate!!Total living in area 1 year ago:!!Some college or associate's degree</t>
  </si>
  <si>
    <t>B07409PR_005</t>
  </si>
  <si>
    <t>Estimate!!Total living in area 1 year ago:!!Bachelor's degree</t>
  </si>
  <si>
    <t>B07409PR_006</t>
  </si>
  <si>
    <t>Estimate!!Total living in area 1 year ago:!!Graduate or professional degree</t>
  </si>
  <si>
    <t>B07409PR_007</t>
  </si>
  <si>
    <t>B07409PR_008</t>
  </si>
  <si>
    <t>Estimate!!Total living in area 1 year ago:!!Same house:!!Less than high school graduate</t>
  </si>
  <si>
    <t>B07409PR_009</t>
  </si>
  <si>
    <t>Estimate!!Total living in area 1 year ago:!!Same house:!!High school graduate (includes equivalency)</t>
  </si>
  <si>
    <t>B07409PR_010</t>
  </si>
  <si>
    <t>Estimate!!Total living in area 1 year ago:!!Same house:!!Some college or associate's degree</t>
  </si>
  <si>
    <t>B07409PR_011</t>
  </si>
  <si>
    <t>Estimate!!Total living in area 1 year ago:!!Same house:!!Bachelor's degree</t>
  </si>
  <si>
    <t>B07409PR_012</t>
  </si>
  <si>
    <t>Estimate!!Total living in area 1 year ago:!!Same house:!!Graduate or professional degree</t>
  </si>
  <si>
    <t>B07409PR_013</t>
  </si>
  <si>
    <t>B07409PR_014</t>
  </si>
  <si>
    <t>Estimate!!Total living in area 1 year ago:!!Moved within same municipio:!!Less than high school graduate</t>
  </si>
  <si>
    <t>B07409PR_015</t>
  </si>
  <si>
    <t>Estimate!!Total living in area 1 year ago:!!Moved within same municipio:!!High school graduate (includes equivalency)</t>
  </si>
  <si>
    <t>B07409PR_016</t>
  </si>
  <si>
    <t>Estimate!!Total living in area 1 year ago:!!Moved within same municipio:!!Some college or associate's degree</t>
  </si>
  <si>
    <t>B07409PR_017</t>
  </si>
  <si>
    <t>Estimate!!Total living in area 1 year ago:!!Moved within same municipio:!!Bachelor's degree</t>
  </si>
  <si>
    <t>B07409PR_018</t>
  </si>
  <si>
    <t>Estimate!!Total living in area 1 year ago:!!Moved within same municipio:!!Graduate or professional degree</t>
  </si>
  <si>
    <t>B07409PR_019</t>
  </si>
  <si>
    <t>B07409PR_020</t>
  </si>
  <si>
    <t>Estimate!!Total living in area 1 year ago:!!Moved to different municipio:!!Less than high school graduate</t>
  </si>
  <si>
    <t>B07409PR_021</t>
  </si>
  <si>
    <t>Estimate!!Total living in area 1 year ago:!!Moved to different municipio:!!High school graduate (includes equivalency)</t>
  </si>
  <si>
    <t>B07409PR_022</t>
  </si>
  <si>
    <t>Estimate!!Total living in area 1 year ago:!!Moved to different municipio:!!Some college or associate's degree</t>
  </si>
  <si>
    <t>B07409PR_023</t>
  </si>
  <si>
    <t>Estimate!!Total living in area 1 year ago:!!Moved to different municipio:!!Bachelor's degree</t>
  </si>
  <si>
    <t>B07409PR_024</t>
  </si>
  <si>
    <t>Estimate!!Total living in area 1 year ago:!!Moved to different municipio:!!Graduate or professional degree</t>
  </si>
  <si>
    <t>B07409PR_025</t>
  </si>
  <si>
    <t>B07409PR_026</t>
  </si>
  <si>
    <t>Estimate!!Total living in area 1 year ago:!!Moved to the United States:!!Less than high school graduate</t>
  </si>
  <si>
    <t>B07409PR_027</t>
  </si>
  <si>
    <t>Estimate!!Total living in area 1 year ago:!!Moved to the United States:!!High school graduate (includes equivalency)</t>
  </si>
  <si>
    <t>B07409PR_028</t>
  </si>
  <si>
    <t>Estimate!!Total living in area 1 year ago:!!Moved to the United States:!!Some college or associate's degree</t>
  </si>
  <si>
    <t>B07409PR_029</t>
  </si>
  <si>
    <t>Estimate!!Total living in area 1 year ago:!!Moved to the United States:!!Bachelor's degree</t>
  </si>
  <si>
    <t>B07409PR_030</t>
  </si>
  <si>
    <t>Estimate!!Total living in area 1 year ago:!!Moved to the United States:!!Graduate or professional degree</t>
  </si>
  <si>
    <t>B07409_002</t>
  </si>
  <si>
    <t>B07409_003</t>
  </si>
  <si>
    <t>B07409_004</t>
  </si>
  <si>
    <t>B07409_005</t>
  </si>
  <si>
    <t>B07409_006</t>
  </si>
  <si>
    <t>B07409_007</t>
  </si>
  <si>
    <t>B07409_008</t>
  </si>
  <si>
    <t>B07409_009</t>
  </si>
  <si>
    <t>B07409_010</t>
  </si>
  <si>
    <t>B07409_011</t>
  </si>
  <si>
    <t>B07409_012</t>
  </si>
  <si>
    <t>B07409_013</t>
  </si>
  <si>
    <t>B07409_014</t>
  </si>
  <si>
    <t>Estimate!!Total living in area 1 year ago:!!Moved within same county:!!Less than high school graduate</t>
  </si>
  <si>
    <t>B07409_015</t>
  </si>
  <si>
    <t>Estimate!!Total living in area 1 year ago:!!Moved within same county:!!High school graduate (includes equivalency)</t>
  </si>
  <si>
    <t>B07409_016</t>
  </si>
  <si>
    <t>Estimate!!Total living in area 1 year ago:!!Moved within same county:!!Some college or associate's degree</t>
  </si>
  <si>
    <t>B07409_017</t>
  </si>
  <si>
    <t>Estimate!!Total living in area 1 year ago:!!Moved within same county:!!Bachelor's degree</t>
  </si>
  <si>
    <t>B07409_018</t>
  </si>
  <si>
    <t>Estimate!!Total living in area 1 year ago:!!Moved within same county:!!Graduate or professional degree</t>
  </si>
  <si>
    <t>B07409_019</t>
  </si>
  <si>
    <t>B07409_020</t>
  </si>
  <si>
    <t>Estimate!!Total living in area 1 year ago:!!Moved to different county within same state:!!Less than high school graduate</t>
  </si>
  <si>
    <t>B07409_021</t>
  </si>
  <si>
    <t>Estimate!!Total living in area 1 year ago:!!Moved to different county within same state:!!High school graduate (includes equivalency)</t>
  </si>
  <si>
    <t>B07409_022</t>
  </si>
  <si>
    <t>Estimate!!Total living in area 1 year ago:!!Moved to different county within same state:!!Some college or associate's degree</t>
  </si>
  <si>
    <t>B07409_023</t>
  </si>
  <si>
    <t>Estimate!!Total living in area 1 year ago:!!Moved to different county within same state:!!Bachelor's degree</t>
  </si>
  <si>
    <t>B07409_024</t>
  </si>
  <si>
    <t>Estimate!!Total living in area 1 year ago:!!Moved to different county within same state:!!Graduate or professional degree</t>
  </si>
  <si>
    <t>B07409_025</t>
  </si>
  <si>
    <t>B07409_026</t>
  </si>
  <si>
    <t>Estimate!!Total living in area 1 year ago:!!Moved to different state:!!Less than high school graduate</t>
  </si>
  <si>
    <t>B07409_027</t>
  </si>
  <si>
    <t>Estimate!!Total living in area 1 year ago:!!Moved to different state:!!High school graduate (includes equivalency)</t>
  </si>
  <si>
    <t>B07409_028</t>
  </si>
  <si>
    <t>Estimate!!Total living in area 1 year ago:!!Moved to different state:!!Some college or associate's degree</t>
  </si>
  <si>
    <t>B07409_029</t>
  </si>
  <si>
    <t>Estimate!!Total living in area 1 year ago:!!Moved to different state:!!Bachelor's degree</t>
  </si>
  <si>
    <t>B07409_030</t>
  </si>
  <si>
    <t>Estimate!!Total living in area 1 year ago:!!Moved to different state:!!Graduate or professional degree</t>
  </si>
  <si>
    <t>B07410PR_002</t>
  </si>
  <si>
    <t>Estimate!!Total living in area 1 year ago:!!No income</t>
  </si>
  <si>
    <t>B07410PR_003</t>
  </si>
  <si>
    <t>Estimate!!Total living in area 1 year ago:!!With income:</t>
  </si>
  <si>
    <t>B07410PR_004</t>
  </si>
  <si>
    <t>Estimate!!Total living in area 1 year ago:!!With income:!!$1 to $9,999 or loss</t>
  </si>
  <si>
    <t>B07410PR_005</t>
  </si>
  <si>
    <t>Estimate!!Total living in area 1 year ago:!!With income:!!$10,000 to $14,999</t>
  </si>
  <si>
    <t>B07410PR_006</t>
  </si>
  <si>
    <t>Estimate!!Total living in area 1 year ago:!!With income:!!$15,000 to $24,999</t>
  </si>
  <si>
    <t>B07410PR_007</t>
  </si>
  <si>
    <t>Estimate!!Total living in area 1 year ago:!!With income:!!$25,000 to $34,999</t>
  </si>
  <si>
    <t>B07410PR_008</t>
  </si>
  <si>
    <t>Estimate!!Total living in area 1 year ago:!!With income:!!$35,000 to $49,999</t>
  </si>
  <si>
    <t>B07410PR_009</t>
  </si>
  <si>
    <t>Estimate!!Total living in area 1 year ago:!!With income:!!$50,000 to $64,999</t>
  </si>
  <si>
    <t>B07410PR_010</t>
  </si>
  <si>
    <t>Estimate!!Total living in area 1 year ago:!!With income:!!$65,000 to $74,999</t>
  </si>
  <si>
    <t>B07410PR_011</t>
  </si>
  <si>
    <t>Estimate!!Total living in area 1 year ago:!!With income:!!$75,000 or more</t>
  </si>
  <si>
    <t>B07410PR_012</t>
  </si>
  <si>
    <t>B07410PR_013</t>
  </si>
  <si>
    <t>Estimate!!Total living in area 1 year ago:!!Same house:!!No income</t>
  </si>
  <si>
    <t>B07410PR_014</t>
  </si>
  <si>
    <t>Estimate!!Total living in area 1 year ago:!!Same house:!!With income:</t>
  </si>
  <si>
    <t>B07410PR_015</t>
  </si>
  <si>
    <t>Estimate!!Total living in area 1 year ago:!!Same house:!!With income:!!$1 to $9,999 or loss</t>
  </si>
  <si>
    <t>B07410PR_016</t>
  </si>
  <si>
    <t>Estimate!!Total living in area 1 year ago:!!Same house:!!With income:!!$10,000 to $14,999</t>
  </si>
  <si>
    <t>B07410PR_017</t>
  </si>
  <si>
    <t>Estimate!!Total living in area 1 year ago:!!Same house:!!With income:!!$15,000 to $24,999</t>
  </si>
  <si>
    <t>B07410PR_018</t>
  </si>
  <si>
    <t>Estimate!!Total living in area 1 year ago:!!Same house:!!With income:!!$25,000 to $34,999</t>
  </si>
  <si>
    <t>B07410PR_019</t>
  </si>
  <si>
    <t>Estimate!!Total living in area 1 year ago:!!Same house:!!With income:!!$35,000 to $49,999</t>
  </si>
  <si>
    <t>B07410PR_020</t>
  </si>
  <si>
    <t>Estimate!!Total living in area 1 year ago:!!Same house:!!With income:!!$50,000 to $64,999</t>
  </si>
  <si>
    <t>B07410PR_021</t>
  </si>
  <si>
    <t>Estimate!!Total living in area 1 year ago:!!Same house:!!With income:!!$65,000 to $74,999</t>
  </si>
  <si>
    <t>B07410PR_022</t>
  </si>
  <si>
    <t>Estimate!!Total living in area 1 year ago:!!Same house:!!With income:!!$75,000 or more</t>
  </si>
  <si>
    <t>B07410PR_023</t>
  </si>
  <si>
    <t>B07410PR_024</t>
  </si>
  <si>
    <t>Estimate!!Total living in area 1 year ago:!!Moved within same municipio:!!No income</t>
  </si>
  <si>
    <t>B07410PR_025</t>
  </si>
  <si>
    <t>Estimate!!Total living in area 1 year ago:!!Moved within same municipio:!!With income:</t>
  </si>
  <si>
    <t>B07410PR_026</t>
  </si>
  <si>
    <t>Estimate!!Total living in area 1 year ago:!!Moved within same municipio:!!With income:!!$1 to $9,999 or loss</t>
  </si>
  <si>
    <t>B07410PR_027</t>
  </si>
  <si>
    <t>Estimate!!Total living in area 1 year ago:!!Moved within same municipio:!!With income:!!$10,000 to $14,999</t>
  </si>
  <si>
    <t>B07410PR_028</t>
  </si>
  <si>
    <t>Estimate!!Total living in area 1 year ago:!!Moved within same municipio:!!With income:!!$15,000 to $24,999</t>
  </si>
  <si>
    <t>B07410PR_029</t>
  </si>
  <si>
    <t>Estimate!!Total living in area 1 year ago:!!Moved within same municipio:!!With income:!!$25,000 to $34,999</t>
  </si>
  <si>
    <t>B07410PR_030</t>
  </si>
  <si>
    <t>Estimate!!Total living in area 1 year ago:!!Moved within same municipio:!!With income:!!$35,000 to $49,999</t>
  </si>
  <si>
    <t>B07410PR_031</t>
  </si>
  <si>
    <t>Estimate!!Total living in area 1 year ago:!!Moved within same municipio:!!With income:!!$50,000 to $64,999</t>
  </si>
  <si>
    <t>B07410PR_032</t>
  </si>
  <si>
    <t>Estimate!!Total living in area 1 year ago:!!Moved within same municipio:!!With income:!!$65,000 to $74,999</t>
  </si>
  <si>
    <t>B07410PR_033</t>
  </si>
  <si>
    <t>Estimate!!Total living in area 1 year ago:!!Moved within same municipio:!!With income:!!$75,000 or more</t>
  </si>
  <si>
    <t>B07410PR_034</t>
  </si>
  <si>
    <t>B07410PR_035</t>
  </si>
  <si>
    <t>Estimate!!Total living in area 1 year ago:!!Moved to different municipio:!!No income</t>
  </si>
  <si>
    <t>B07410PR_036</t>
  </si>
  <si>
    <t>Estimate!!Total living in area 1 year ago:!!Moved to different municipio:!!With income:</t>
  </si>
  <si>
    <t>B07410PR_037</t>
  </si>
  <si>
    <t>Estimate!!Total living in area 1 year ago:!!Moved to different municipio:!!With income:!!$1 to $9,999 or loss</t>
  </si>
  <si>
    <t>B07410PR_038</t>
  </si>
  <si>
    <t>Estimate!!Total living in area 1 year ago:!!Moved to different municipio:!!With income:!!$10,000 to $14,999</t>
  </si>
  <si>
    <t>B07410PR_039</t>
  </si>
  <si>
    <t>Estimate!!Total living in area 1 year ago:!!Moved to different municipio:!!With income:!!$15,000 to $24,999</t>
  </si>
  <si>
    <t>B07410PR_040</t>
  </si>
  <si>
    <t>Estimate!!Total living in area 1 year ago:!!Moved to different municipio:!!With income:!!$25,000 to $34,999</t>
  </si>
  <si>
    <t>B07410PR_041</t>
  </si>
  <si>
    <t>Estimate!!Total living in area 1 year ago:!!Moved to different municipio:!!With income:!!$35,000 to $49,999</t>
  </si>
  <si>
    <t>B07410PR_042</t>
  </si>
  <si>
    <t>Estimate!!Total living in area 1 year ago:!!Moved to different municipio:!!With income:!!$50,000 to $64,999</t>
  </si>
  <si>
    <t>B07410PR_043</t>
  </si>
  <si>
    <t>Estimate!!Total living in area 1 year ago:!!Moved to different municipio:!!With income:!!$65,000 to $74,999</t>
  </si>
  <si>
    <t>B07410PR_044</t>
  </si>
  <si>
    <t>Estimate!!Total living in area 1 year ago:!!Moved to different municipio:!!With income:!!$75,000 or more</t>
  </si>
  <si>
    <t>B07410PR_045</t>
  </si>
  <si>
    <t>B07410PR_046</t>
  </si>
  <si>
    <t>Estimate!!Total living in area 1 year ago:!!Moved to the United States:!!No income</t>
  </si>
  <si>
    <t>B07410PR_047</t>
  </si>
  <si>
    <t>Estimate!!Total living in area 1 year ago:!!Moved to the United States:!!With income:</t>
  </si>
  <si>
    <t>B07410PR_048</t>
  </si>
  <si>
    <t>Estimate!!Total living in area 1 year ago:!!Moved to the United States:!!With income:!!$1 to $9,999 or loss</t>
  </si>
  <si>
    <t>B07410PR_049</t>
  </si>
  <si>
    <t>Estimate!!Total living in area 1 year ago:!!Moved to the United States:!!With income:!!$10,000 to $14,999</t>
  </si>
  <si>
    <t>B07410PR_050</t>
  </si>
  <si>
    <t>Estimate!!Total living in area 1 year ago:!!Moved to the United States:!!With income:!!$15,000 to $24,999</t>
  </si>
  <si>
    <t>B07410PR_051</t>
  </si>
  <si>
    <t>Estimate!!Total living in area 1 year ago:!!Moved to the United States:!!With income:!!$25,000 to $34,999</t>
  </si>
  <si>
    <t>B07410PR_052</t>
  </si>
  <si>
    <t>Estimate!!Total living in area 1 year ago:!!Moved to the United States:!!With income:!!$35,000 to $49,999</t>
  </si>
  <si>
    <t>B07410PR_053</t>
  </si>
  <si>
    <t>Estimate!!Total living in area 1 year ago:!!Moved to the United States:!!With income:!!$50,000 to $64,999</t>
  </si>
  <si>
    <t>B07410PR_054</t>
  </si>
  <si>
    <t>Estimate!!Total living in area 1 year ago:!!Moved to the United States:!!With income:!!$65,000 to $74,999</t>
  </si>
  <si>
    <t>B07410PR_055</t>
  </si>
  <si>
    <t>Estimate!!Total living in area 1 year ago:!!Moved to the United States:!!With income:!!$75,000 or more</t>
  </si>
  <si>
    <t>B07410_002</t>
  </si>
  <si>
    <t>B07410_003</t>
  </si>
  <si>
    <t>B07410_004</t>
  </si>
  <si>
    <t>B07410_005</t>
  </si>
  <si>
    <t>B07410_006</t>
  </si>
  <si>
    <t>B07410_007</t>
  </si>
  <si>
    <t>B07410_008</t>
  </si>
  <si>
    <t>B07410_009</t>
  </si>
  <si>
    <t>B07410_010</t>
  </si>
  <si>
    <t>B07410_011</t>
  </si>
  <si>
    <t>B07410_012</t>
  </si>
  <si>
    <t>B07410_013</t>
  </si>
  <si>
    <t>B07410_014</t>
  </si>
  <si>
    <t>B07410_015</t>
  </si>
  <si>
    <t>B07410_016</t>
  </si>
  <si>
    <t>B07410_017</t>
  </si>
  <si>
    <t>B07410_018</t>
  </si>
  <si>
    <t>B07410_019</t>
  </si>
  <si>
    <t>B07410_020</t>
  </si>
  <si>
    <t>B07410_021</t>
  </si>
  <si>
    <t>B07410_022</t>
  </si>
  <si>
    <t>B07410_023</t>
  </si>
  <si>
    <t>B07410_024</t>
  </si>
  <si>
    <t>Estimate!!Total living in area 1 year ago:!!Moved within same county:!!No income</t>
  </si>
  <si>
    <t>B07410_025</t>
  </si>
  <si>
    <t>Estimate!!Total living in area 1 year ago:!!Moved within same county:!!With income:</t>
  </si>
  <si>
    <t>B07410_026</t>
  </si>
  <si>
    <t>Estimate!!Total living in area 1 year ago:!!Moved within same county:!!With income:!!$1 to $9,999 or loss</t>
  </si>
  <si>
    <t>B07410_027</t>
  </si>
  <si>
    <t>Estimate!!Total living in area 1 year ago:!!Moved within same county:!!With income:!!$10,000 to $14,999</t>
  </si>
  <si>
    <t>B07410_028</t>
  </si>
  <si>
    <t>Estimate!!Total living in area 1 year ago:!!Moved within same county:!!With income:!!$15,000 to $24,999</t>
  </si>
  <si>
    <t>B07410_029</t>
  </si>
  <si>
    <t>Estimate!!Total living in area 1 year ago:!!Moved within same county:!!With income:!!$25,000 to $34,999</t>
  </si>
  <si>
    <t>B07410_030</t>
  </si>
  <si>
    <t>Estimate!!Total living in area 1 year ago:!!Moved within same county:!!With income:!!$35,000 to $49,999</t>
  </si>
  <si>
    <t>B07410_031</t>
  </si>
  <si>
    <t>Estimate!!Total living in area 1 year ago:!!Moved within same county:!!With income:!!$50,000 to $64,999</t>
  </si>
  <si>
    <t>B07410_032</t>
  </si>
  <si>
    <t>Estimate!!Total living in area 1 year ago:!!Moved within same county:!!With income:!!$65,000 to $74,999</t>
  </si>
  <si>
    <t>B07410_033</t>
  </si>
  <si>
    <t>Estimate!!Total living in area 1 year ago:!!Moved within same county:!!With income:!!$75,000 or more</t>
  </si>
  <si>
    <t>B07410_034</t>
  </si>
  <si>
    <t>B07410_035</t>
  </si>
  <si>
    <t>Estimate!!Total living in area 1 year ago:!!Moved to different county within same state:!!No income</t>
  </si>
  <si>
    <t>B07410_036</t>
  </si>
  <si>
    <t>Estimate!!Total living in area 1 year ago:!!Moved to different county within same state:!!With income:</t>
  </si>
  <si>
    <t>B07410_037</t>
  </si>
  <si>
    <t>Estimate!!Total living in area 1 year ago:!!Moved to different county within same state:!!With income:!!$1 to $9,999 or loss</t>
  </si>
  <si>
    <t>B07410_038</t>
  </si>
  <si>
    <t>Estimate!!Total living in area 1 year ago:!!Moved to different county within same state:!!With income:!!$10,000 to $14,999</t>
  </si>
  <si>
    <t>B07410_039</t>
  </si>
  <si>
    <t>Estimate!!Total living in area 1 year ago:!!Moved to different county within same state:!!With income:!!$15,000 to $24,999</t>
  </si>
  <si>
    <t>B07410_040</t>
  </si>
  <si>
    <t>Estimate!!Total living in area 1 year ago:!!Moved to different county within same state:!!With income:!!$25,000 to $34,999</t>
  </si>
  <si>
    <t>B07410_041</t>
  </si>
  <si>
    <t>Estimate!!Total living in area 1 year ago:!!Moved to different county within same state:!!With income:!!$35,000 to $49,999</t>
  </si>
  <si>
    <t>B07410_042</t>
  </si>
  <si>
    <t>Estimate!!Total living in area 1 year ago:!!Moved to different county within same state:!!With income:!!$50,000 to $64,999</t>
  </si>
  <si>
    <t>B07410_043</t>
  </si>
  <si>
    <t>Estimate!!Total living in area 1 year ago:!!Moved to different county within same state:!!With income:!!$65,000 to $74,999</t>
  </si>
  <si>
    <t>B07410_044</t>
  </si>
  <si>
    <t>Estimate!!Total living in area 1 year ago:!!Moved to different county within same state:!!With income:!!$75,000 or more</t>
  </si>
  <si>
    <t>B07410_045</t>
  </si>
  <si>
    <t>B07410_046</t>
  </si>
  <si>
    <t>Estimate!!Total living in area 1 year ago:!!Moved to different state:!!No income</t>
  </si>
  <si>
    <t>B07410_047</t>
  </si>
  <si>
    <t>Estimate!!Total living in area 1 year ago:!!Moved to different state:!!With income:</t>
  </si>
  <si>
    <t>B07410_048</t>
  </si>
  <si>
    <t>Estimate!!Total living in area 1 year ago:!!Moved to different state:!!With income:!!$1 to $9,999 or loss</t>
  </si>
  <si>
    <t>B07410_049</t>
  </si>
  <si>
    <t>Estimate!!Total living in area 1 year ago:!!Moved to different state:!!With income:!!$10,000 to $14,999</t>
  </si>
  <si>
    <t>B07410_050</t>
  </si>
  <si>
    <t>Estimate!!Total living in area 1 year ago:!!Moved to different state:!!With income:!!$15,000 to $24,999</t>
  </si>
  <si>
    <t>B07410_051</t>
  </si>
  <si>
    <t>Estimate!!Total living in area 1 year ago:!!Moved to different state:!!With income:!!$25,000 to $34,999</t>
  </si>
  <si>
    <t>B07410_052</t>
  </si>
  <si>
    <t>Estimate!!Total living in area 1 year ago:!!Moved to different state:!!With income:!!$35,000 to $49,999</t>
  </si>
  <si>
    <t>B07410_053</t>
  </si>
  <si>
    <t>Estimate!!Total living in area 1 year ago:!!Moved to different state:!!With income:!!$50,000 to $64,999</t>
  </si>
  <si>
    <t>B07410_054</t>
  </si>
  <si>
    <t>Estimate!!Total living in area 1 year ago:!!Moved to different state:!!With income:!!$65,000 to $74,999</t>
  </si>
  <si>
    <t>B07410_055</t>
  </si>
  <si>
    <t>Estimate!!Total living in area 1 year ago:!!Moved to different state:!!With income:!!$75,000 or more</t>
  </si>
  <si>
    <t>B07411PR_002</t>
  </si>
  <si>
    <t>Estimate!!Median income in the past 12 months --!!Total living in area 1 year ago:!!Same house</t>
  </si>
  <si>
    <t>B07411PR_003</t>
  </si>
  <si>
    <t>Estimate!!Median income in the past 12 months --!!Total living in area 1 year ago:!!Moved within same municipio</t>
  </si>
  <si>
    <t>B07411PR_004</t>
  </si>
  <si>
    <t>Estimate!!Median income in the past 12 months --!!Total living in area 1 year ago:!!Moved to different municipio</t>
  </si>
  <si>
    <t>B07411PR_005</t>
  </si>
  <si>
    <t>Estimate!!Median income in the past 12 months --!!Total living in area 1 year ago:!!Moved to the United States</t>
  </si>
  <si>
    <t>B07411_002</t>
  </si>
  <si>
    <t>B07411_003</t>
  </si>
  <si>
    <t>Estimate!!Median income in the past 12 months --!!Total living in area 1 year ago:!!Moved within same county</t>
  </si>
  <si>
    <t>B07411_004</t>
  </si>
  <si>
    <t>Estimate!!Median income in the past 12 months --!!Total living in area 1 year ago:!!Moved to different county within same state</t>
  </si>
  <si>
    <t>B07411_005</t>
  </si>
  <si>
    <t>Estimate!!Median income in the past 12 months --!!Total living in area 1 year ago:!!Moved to different state</t>
  </si>
  <si>
    <t>B07412PR_002</t>
  </si>
  <si>
    <t>Estimate!!Total living in area 1 year ago:!!Below 100 percent of the poverty level</t>
  </si>
  <si>
    <t>B07412PR_003</t>
  </si>
  <si>
    <t>Estimate!!Total living in area 1 year ago:!!100 to 149 percent of the poverty level</t>
  </si>
  <si>
    <t>B07412PR_004</t>
  </si>
  <si>
    <t>Estimate!!Total living in area 1 year ago:!!At or above 150 percent of the poverty level</t>
  </si>
  <si>
    <t>B07412PR_005</t>
  </si>
  <si>
    <t>B07412PR_006</t>
  </si>
  <si>
    <t>Estimate!!Total living in area 1 year ago:!!Same house:!!Below 100 percent of the poverty level</t>
  </si>
  <si>
    <t>B07412PR_007</t>
  </si>
  <si>
    <t>Estimate!!Total living in area 1 year ago:!!Same house:!!100 to 149 percent of the poverty level</t>
  </si>
  <si>
    <t>B07412PR_008</t>
  </si>
  <si>
    <t>Estimate!!Total living in area 1 year ago:!!Same house:!!At or above 150 percent of the poverty level</t>
  </si>
  <si>
    <t>B07412PR_009</t>
  </si>
  <si>
    <t>B07412PR_010</t>
  </si>
  <si>
    <t>Estimate!!Total living in area 1 year ago:!!Moved within same municipio:!!Below 100 percent of the poverty level</t>
  </si>
  <si>
    <t>B07412PR_011</t>
  </si>
  <si>
    <t>Estimate!!Total living in area 1 year ago:!!Moved within same municipio:!!100 to 149 percent of the poverty level</t>
  </si>
  <si>
    <t>B07412PR_012</t>
  </si>
  <si>
    <t>Estimate!!Total living in area 1 year ago:!!Moved within same municipio:!!At or above 150 percent of the poverty level</t>
  </si>
  <si>
    <t>B07412PR_013</t>
  </si>
  <si>
    <t>B07412PR_014</t>
  </si>
  <si>
    <t>Estimate!!Total living in area 1 year ago:!!Moved to different municipio:!!Below 100 percent of the poverty level</t>
  </si>
  <si>
    <t>B07412PR_015</t>
  </si>
  <si>
    <t>Estimate!!Total living in area 1 year ago:!!Moved to different municipio:!!100 to 149 percent of the poverty level</t>
  </si>
  <si>
    <t>B07412PR_016</t>
  </si>
  <si>
    <t>Estimate!!Total living in area 1 year ago:!!Moved to different municipio:!!At or above 150 percent of the poverty level</t>
  </si>
  <si>
    <t>B07412PR_017</t>
  </si>
  <si>
    <t>B07412PR_018</t>
  </si>
  <si>
    <t>Estimate!!Total living in area 1 year ago:!!Moved to the United States:!!Below 100 percent of the poverty level</t>
  </si>
  <si>
    <t>B07412PR_019</t>
  </si>
  <si>
    <t>Estimate!!Total living in area 1 year ago:!!Moved to the United States:!!100 to 149 percent of the poverty level</t>
  </si>
  <si>
    <t>B07412PR_020</t>
  </si>
  <si>
    <t>Estimate!!Total living in area 1 year ago:!!Moved to the United States:!!At or above 150 percent of the poverty level</t>
  </si>
  <si>
    <t>B07412_002</t>
  </si>
  <si>
    <t>B07412_003</t>
  </si>
  <si>
    <t>B07412_004</t>
  </si>
  <si>
    <t>B07412_005</t>
  </si>
  <si>
    <t>B07412_006</t>
  </si>
  <si>
    <t>B07412_007</t>
  </si>
  <si>
    <t>B07412_008</t>
  </si>
  <si>
    <t>B07412_009</t>
  </si>
  <si>
    <t>B07412_010</t>
  </si>
  <si>
    <t>Estimate!!Total living in area 1 year ago:!!Moved within same county:!!Below 100 percent of the poverty level</t>
  </si>
  <si>
    <t>B07412_011</t>
  </si>
  <si>
    <t>Estimate!!Total living in area 1 year ago:!!Moved within same county:!!100 to 149 percent of the poverty level</t>
  </si>
  <si>
    <t>B07412_012</t>
  </si>
  <si>
    <t>Estimate!!Total living in area 1 year ago:!!Moved within same county:!!At or above 150 percent of the poverty level</t>
  </si>
  <si>
    <t>B07412_013</t>
  </si>
  <si>
    <t>B07412_014</t>
  </si>
  <si>
    <t>Estimate!!Total living in area 1 year ago:!!Moved to different county within same state:!!Below 100 percent of the poverty level</t>
  </si>
  <si>
    <t>B07412_015</t>
  </si>
  <si>
    <t>Estimate!!Total living in area 1 year ago:!!Moved to different county within same state:!!100 to 149 percent of the poverty level</t>
  </si>
  <si>
    <t>B07412_016</t>
  </si>
  <si>
    <t>Estimate!!Total living in area 1 year ago:!!Moved to different county within same state:!!At or above 150 percent of the poverty level</t>
  </si>
  <si>
    <t>B07412_017</t>
  </si>
  <si>
    <t>B07412_018</t>
  </si>
  <si>
    <t>Estimate!!Total living in area 1 year ago:!!Moved to different state:!!Below 100 percent of the poverty level</t>
  </si>
  <si>
    <t>B07412_019</t>
  </si>
  <si>
    <t>Estimate!!Total living in area 1 year ago:!!Moved to different state:!!100 to 149 percent of the poverty level</t>
  </si>
  <si>
    <t>B07412_020</t>
  </si>
  <si>
    <t>Estimate!!Total living in area 1 year ago:!!Moved to different state:!!At or above 150 percent of the poverty level</t>
  </si>
  <si>
    <t>B07413PR_002</t>
  </si>
  <si>
    <t>Estimate!!Total living in area 1 year ago:!!Householder lived in owner-occupied housing units</t>
  </si>
  <si>
    <t>B07413PR_003</t>
  </si>
  <si>
    <t>Estimate!!Total living in area 1 year ago:!!Householder lived in renter-occupied housing units</t>
  </si>
  <si>
    <t>B07413PR_004</t>
  </si>
  <si>
    <t>Estimate!!Total living in area 1 year ago:!!Same house 1 year ago:</t>
  </si>
  <si>
    <t>B07413PR_005</t>
  </si>
  <si>
    <t>Estimate!!Total living in area 1 year ago:!!Same house 1 year ago:!!Householder lived in owner-occupied housing units</t>
  </si>
  <si>
    <t>B07413PR_006</t>
  </si>
  <si>
    <t>Estimate!!Total living in area 1 year ago:!!Same house 1 year ago:!!Householder lived in renter-occupied housing units</t>
  </si>
  <si>
    <t>B07413PR_007</t>
  </si>
  <si>
    <t>B07413PR_008</t>
  </si>
  <si>
    <t>Estimate!!Total living in area 1 year ago:!!Moved within same municipio:!!Householder lived in owner-occupied housing units</t>
  </si>
  <si>
    <t>B07413PR_009</t>
  </si>
  <si>
    <t>Estimate!!Total living in area 1 year ago:!!Moved within same municipio:!!Householder lived in renter-occupied housing units</t>
  </si>
  <si>
    <t>B07413PR_010</t>
  </si>
  <si>
    <t>B07413PR_011</t>
  </si>
  <si>
    <t>Estimate!!Total living in area 1 year ago:!!Moved to different municipio:!!Householder lived in owner-occupied housing units</t>
  </si>
  <si>
    <t>B07413PR_012</t>
  </si>
  <si>
    <t>Estimate!!Total living in area 1 year ago:!!Moved to different municipio:!!Householder lived in renter-occupied housing units</t>
  </si>
  <si>
    <t>B07413PR_013</t>
  </si>
  <si>
    <t>B07413PR_014</t>
  </si>
  <si>
    <t>Estimate!!Total living in area 1 year ago:!!Moved to the United States:!!Householder lived in owner-occupied housing units</t>
  </si>
  <si>
    <t>B07413PR_015</t>
  </si>
  <si>
    <t>Estimate!!Total living in area 1 year ago:!!Moved to the United States:!!Householder lived in renter-occupied housing units</t>
  </si>
  <si>
    <t>B07413_002</t>
  </si>
  <si>
    <t>B07413_003</t>
  </si>
  <si>
    <t>B07413_004</t>
  </si>
  <si>
    <t>B07413_005</t>
  </si>
  <si>
    <t>Estimate!!Total living in area 1 year ago:!!Same house:!!Householder lived in owner-occupied housing units</t>
  </si>
  <si>
    <t>B07413_006</t>
  </si>
  <si>
    <t>Estimate!!Total living in area 1 year ago:!!Same house:!!Householder lived in renter-occupied housing units</t>
  </si>
  <si>
    <t>B07413_007</t>
  </si>
  <si>
    <t>B07413_008</t>
  </si>
  <si>
    <t>Estimate!!Total living in area 1 year ago:!!Moved within same county:!!Householder lived in owner-occupied housing units</t>
  </si>
  <si>
    <t>B07413_009</t>
  </si>
  <si>
    <t>Estimate!!Total living in area 1 year ago:!!Moved within same county:!!Householder lived in renter-occupied housing units</t>
  </si>
  <si>
    <t>B07413_010</t>
  </si>
  <si>
    <t>B07413_011</t>
  </si>
  <si>
    <t>Estimate!!Total living in area 1 year ago:!!Moved to different county within same state:!!Householder lived in owner-occupied housing units</t>
  </si>
  <si>
    <t>B07413_012</t>
  </si>
  <si>
    <t>Estimate!!Total living in area 1 year ago:!!Moved to different county within same state:!!Householder lived in renter-occupied housing units</t>
  </si>
  <si>
    <t>B07413_013</t>
  </si>
  <si>
    <t>B07413_014</t>
  </si>
  <si>
    <t>Estimate!!Total living in area 1 year ago:!!Moved to different state:!!Householder lived in owner-occupied housing units</t>
  </si>
  <si>
    <t>B07413_015</t>
  </si>
  <si>
    <t>Estimate!!Total living in area 1 year ago:!!Moved to different state:!!Householder lived in renter-occupied housing units</t>
  </si>
  <si>
    <t>B08006_002</t>
  </si>
  <si>
    <t>Estimate!!Total:!!Car, truck, or van:</t>
  </si>
  <si>
    <t>B08006_003</t>
  </si>
  <si>
    <t>Estimate!!Total:!!Car, truck, or van:!!Drove alone</t>
  </si>
  <si>
    <t>B08006_004</t>
  </si>
  <si>
    <t>Estimate!!Total:!!Car, truck, or van:!!Carpooled:</t>
  </si>
  <si>
    <t>B08006_005</t>
  </si>
  <si>
    <t>Estimate!!Total:!!Car, truck, or van:!!Carpooled:!!In 2-person carpool</t>
  </si>
  <si>
    <t>B08006_006</t>
  </si>
  <si>
    <t>Estimate!!Total:!!Car, truck, or van:!!Carpooled:!!In 3-person carpool</t>
  </si>
  <si>
    <t>B08006_007</t>
  </si>
  <si>
    <t>Estimate!!Total:!!Car, truck, or van:!!Carpooled:!!In 4-or-more-person carpool</t>
  </si>
  <si>
    <t>B08006_008</t>
  </si>
  <si>
    <t>Estimate!!Total:!!Public transportation:</t>
  </si>
  <si>
    <t>B08006_009</t>
  </si>
  <si>
    <t>Estimate!!Total:!!Public transportation:!!Bus</t>
  </si>
  <si>
    <t>B08006_010</t>
  </si>
  <si>
    <t>Estimate!!Total:!!Public transportation:!!Subway or elevated rail</t>
  </si>
  <si>
    <t>B08006_011</t>
  </si>
  <si>
    <t>Estimate!!Total:!!Public transportation:!!Long-distance train or commuter rail</t>
  </si>
  <si>
    <t>B08006_012</t>
  </si>
  <si>
    <t>Estimate!!Total:!!Public transportation:!!Light rail, streetcar or trolley (carro p��blico in Puerto Rico)</t>
  </si>
  <si>
    <t>B08006_013</t>
  </si>
  <si>
    <t>Estimate!!Total:!!Public transportation:!!Ferryboat</t>
  </si>
  <si>
    <t>B08006_014</t>
  </si>
  <si>
    <t>Estimate!!Total:!!Bicycle</t>
  </si>
  <si>
    <t>B08006_015</t>
  </si>
  <si>
    <t>Estimate!!Total:!!Walked</t>
  </si>
  <si>
    <t>B08006_016</t>
  </si>
  <si>
    <t>Estimate!!Total:!!Taxi or ride-hailing services, motorcycle, or other means</t>
  </si>
  <si>
    <t>B08006_017</t>
  </si>
  <si>
    <t>Estimate!!Total:!!Worked from home</t>
  </si>
  <si>
    <t>B08006_018</t>
  </si>
  <si>
    <t>B08006_019</t>
  </si>
  <si>
    <t>Estimate!!Total:!!Male:!!Car, truck, or van:</t>
  </si>
  <si>
    <t>B08006_020</t>
  </si>
  <si>
    <t>Estimate!!Total:!!Male:!!Car, truck, or van:!!Drove alone</t>
  </si>
  <si>
    <t>B08006_021</t>
  </si>
  <si>
    <t>Estimate!!Total:!!Male:!!Car, truck, or van:!!Carpooled:</t>
  </si>
  <si>
    <t>B08006_022</t>
  </si>
  <si>
    <t>Estimate!!Total:!!Male:!!Car, truck, or van:!!Carpooled:!!In 2-person carpool</t>
  </si>
  <si>
    <t>B08006_023</t>
  </si>
  <si>
    <t>Estimate!!Total:!!Male:!!Car, truck, or van:!!Carpooled:!!In 3-person carpool</t>
  </si>
  <si>
    <t>B08006_024</t>
  </si>
  <si>
    <t>Estimate!!Total:!!Male:!!Car, truck, or van:!!Carpooled:!!In 4-or-more-person carpool</t>
  </si>
  <si>
    <t>B08006_025</t>
  </si>
  <si>
    <t>Estimate!!Total:!!Male:!!Public transportation:</t>
  </si>
  <si>
    <t>B08006_026</t>
  </si>
  <si>
    <t>Estimate!!Total:!!Male:!!Public transportation:!!Bus</t>
  </si>
  <si>
    <t>B08006_027</t>
  </si>
  <si>
    <t>Estimate!!Total:!!Male:!!Public transportation:!!Subway or elevated rail</t>
  </si>
  <si>
    <t>B08006_028</t>
  </si>
  <si>
    <t>Estimate!!Total:!!Male:!!Public transportation:!!Long-distance train or commuter rail</t>
  </si>
  <si>
    <t>B08006_029</t>
  </si>
  <si>
    <t>Estimate!!Total:!!Male:!!Public transportation:!!Light rail, streetcar or trolley (carro p��blico in Puerto Rico)</t>
  </si>
  <si>
    <t>B08006_030</t>
  </si>
  <si>
    <t>Estimate!!Total:!!Male:!!Public transportation:!!Ferryboat</t>
  </si>
  <si>
    <t>B08006_031</t>
  </si>
  <si>
    <t>Estimate!!Total:!!Male:!!Bicycle</t>
  </si>
  <si>
    <t>B08006_032</t>
  </si>
  <si>
    <t>Estimate!!Total:!!Male:!!Walked</t>
  </si>
  <si>
    <t>B08006_033</t>
  </si>
  <si>
    <t>Estimate!!Total:!!Male:!!Taxi or ride-hailing services, motorcycle, or other means</t>
  </si>
  <si>
    <t>B08006_034</t>
  </si>
  <si>
    <t>Estimate!!Total:!!Male:!!Worked from home</t>
  </si>
  <si>
    <t>B08006_035</t>
  </si>
  <si>
    <t>B08006_036</t>
  </si>
  <si>
    <t>Estimate!!Total:!!Female:!!Car, truck, or van:</t>
  </si>
  <si>
    <t>B08006_037</t>
  </si>
  <si>
    <t>Estimate!!Total:!!Female:!!Car, truck, or van:!!Drove alone</t>
  </si>
  <si>
    <t>B08006_038</t>
  </si>
  <si>
    <t>Estimate!!Total:!!Female:!!Car, truck, or van:!!Carpooled:</t>
  </si>
  <si>
    <t>B08006_039</t>
  </si>
  <si>
    <t>Estimate!!Total:!!Female:!!Car, truck, or van:!!Carpooled:!!In 2-person carpool</t>
  </si>
  <si>
    <t>B08006_040</t>
  </si>
  <si>
    <t>Estimate!!Total:!!Female:!!Car, truck, or van:!!Carpooled:!!In 3-person carpool</t>
  </si>
  <si>
    <t>B08006_041</t>
  </si>
  <si>
    <t>Estimate!!Total:!!Female:!!Car, truck, or van:!!Carpooled:!!In 4-or-more-person carpool</t>
  </si>
  <si>
    <t>B08006_042</t>
  </si>
  <si>
    <t>Estimate!!Total:!!Female:!!Public transportation:</t>
  </si>
  <si>
    <t>B08006_043</t>
  </si>
  <si>
    <t>Estimate!!Total:!!Female:!!Public transportation:!!Bus</t>
  </si>
  <si>
    <t>B08006_044</t>
  </si>
  <si>
    <t>Estimate!!Total:!!Female:!!Public transportation:!!Subway or elevated rail</t>
  </si>
  <si>
    <t>B08006_045</t>
  </si>
  <si>
    <t>Estimate!!Total:!!Female:!!Public transportation:!!Long-distance train or commuter rail</t>
  </si>
  <si>
    <t>B08006_046</t>
  </si>
  <si>
    <t>Estimate!!Total:!!Female:!!Public transportation:!!Light rail, streetcar or trolley (carro p��blico in Puerto Rico)</t>
  </si>
  <si>
    <t>B08006_047</t>
  </si>
  <si>
    <t>Estimate!!Total:!!Female:!!Public transportation:!!Ferryboat</t>
  </si>
  <si>
    <t>B08006_048</t>
  </si>
  <si>
    <t>Estimate!!Total:!!Female:!!Bicycle</t>
  </si>
  <si>
    <t>B08006_049</t>
  </si>
  <si>
    <t>Estimate!!Total:!!Female:!!Walked</t>
  </si>
  <si>
    <t>B08006_050</t>
  </si>
  <si>
    <t>Estimate!!Total:!!Female:!!Taxi or ride-hailing services, motorcycle, or other means</t>
  </si>
  <si>
    <t>B08006_051</t>
  </si>
  <si>
    <t>Estimate!!Total:!!Female:!!Worked from home</t>
  </si>
  <si>
    <t>B08007_002</t>
  </si>
  <si>
    <t>Estimate!!Total:!!Worked in state of residence:</t>
  </si>
  <si>
    <t>B08007_003</t>
  </si>
  <si>
    <t>Estimate!!Total:!!Worked in state of residence:!!Worked in county of residence</t>
  </si>
  <si>
    <t>B08007_004</t>
  </si>
  <si>
    <t>Estimate!!Total:!!Worked in state of residence:!!Worked outside county of residence</t>
  </si>
  <si>
    <t>B08007_005</t>
  </si>
  <si>
    <t>Estimate!!Total:!!Worked outside state of residence</t>
  </si>
  <si>
    <t>B08007_006</t>
  </si>
  <si>
    <t>B08007_007</t>
  </si>
  <si>
    <t>Estimate!!Total:!!Male:!!Worked in state of residence:</t>
  </si>
  <si>
    <t>B08007_008</t>
  </si>
  <si>
    <t>Estimate!!Total:!!Male:!!Worked in state of residence:!!Worked in county of residence</t>
  </si>
  <si>
    <t>B08007_009</t>
  </si>
  <si>
    <t>Estimate!!Total:!!Male:!!Worked in state of residence:!!Worked outside county of residence</t>
  </si>
  <si>
    <t>B08007_010</t>
  </si>
  <si>
    <t>Estimate!!Total:!!Male:!!Worked outside state of residence</t>
  </si>
  <si>
    <t>B08007_011</t>
  </si>
  <si>
    <t>B08007_012</t>
  </si>
  <si>
    <t>Estimate!!Total:!!Female:!!Worked in state of residence:</t>
  </si>
  <si>
    <t>B08007_013</t>
  </si>
  <si>
    <t>Estimate!!Total:!!Female:!!Worked in state of residence:!!Worked in county of residence</t>
  </si>
  <si>
    <t>B08007_014</t>
  </si>
  <si>
    <t>Estimate!!Total:!!Female:!!Worked in state of residence:!!Worked outside county of residence</t>
  </si>
  <si>
    <t>B08007_015</t>
  </si>
  <si>
    <t>Estimate!!Total:!!Female:!!Worked outside state of residence</t>
  </si>
  <si>
    <t>B08008_002</t>
  </si>
  <si>
    <t>Estimate!!Total:!!Living in a place:</t>
  </si>
  <si>
    <t>B08008_003</t>
  </si>
  <si>
    <t>Estimate!!Total:!!Living in a place:!!Worked in place of residence</t>
  </si>
  <si>
    <t>B08008_004</t>
  </si>
  <si>
    <t>Estimate!!Total:!!Living in a place:!!Worked outside place of residence</t>
  </si>
  <si>
    <t>B08008_005</t>
  </si>
  <si>
    <t>Estimate!!Total:!!Not living in a place</t>
  </si>
  <si>
    <t>B08008_006</t>
  </si>
  <si>
    <t>B08008_007</t>
  </si>
  <si>
    <t>Estimate!!Total:!!Male:!!Living in a place:</t>
  </si>
  <si>
    <t>B08008_008</t>
  </si>
  <si>
    <t>Estimate!!Total:!!Male:!!Living in a place:!!Worked in place of residence</t>
  </si>
  <si>
    <t>B08008_009</t>
  </si>
  <si>
    <t>Estimate!!Total:!!Male:!!Living in a place:!!Worked outside place of residence</t>
  </si>
  <si>
    <t>B08008_010</t>
  </si>
  <si>
    <t>Estimate!!Total:!!Male:!!Not living in a place</t>
  </si>
  <si>
    <t>B08008_011</t>
  </si>
  <si>
    <t>B08008_012</t>
  </si>
  <si>
    <t>Estimate!!Total:!!Female:!!Living in a place:</t>
  </si>
  <si>
    <t>B08008_013</t>
  </si>
  <si>
    <t>Estimate!!Total:!!Female:!!Living in a place:!!Worked in place of residence</t>
  </si>
  <si>
    <t>B08008_014</t>
  </si>
  <si>
    <t>Estimate!!Total:!!Female:!!Living in a place:!!Worked outside place of residence</t>
  </si>
  <si>
    <t>B08008_015</t>
  </si>
  <si>
    <t>Estimate!!Total:!!Female:!!Not living in a place</t>
  </si>
  <si>
    <t>B08009_002</t>
  </si>
  <si>
    <t>Estimate!!Total:!!Living in the 12 selected states:</t>
  </si>
  <si>
    <t>B08009_003</t>
  </si>
  <si>
    <t>Estimate!!Total:!!Living in the 12 selected states:!!Worked in MCD of residence</t>
  </si>
  <si>
    <t>B08009_004</t>
  </si>
  <si>
    <t>Estimate!!Total:!!Living in the 12 selected states:!!Worked outside MCD of residence</t>
  </si>
  <si>
    <t>B08009_005</t>
  </si>
  <si>
    <t>Estimate!!Total:!!Not living in the 12 selected states</t>
  </si>
  <si>
    <t>B08009_006</t>
  </si>
  <si>
    <t>B08009_007</t>
  </si>
  <si>
    <t>Estimate!!Total:!!Male:!!Living in the 12 selected states:</t>
  </si>
  <si>
    <t>B08009_008</t>
  </si>
  <si>
    <t>Estimate!!Total:!!Male:!!Living in the 12 selected states:!!Worked in MCD of residence</t>
  </si>
  <si>
    <t>B08009_009</t>
  </si>
  <si>
    <t>Estimate!!Total:!!Male:!!Living in the 12 selected states:!!Worked outside MCD of residence</t>
  </si>
  <si>
    <t>B08009_010</t>
  </si>
  <si>
    <t>Estimate!!Total:!!Male:!!Not living in the 12 selected states</t>
  </si>
  <si>
    <t>B08009_011</t>
  </si>
  <si>
    <t>B08009_012</t>
  </si>
  <si>
    <t>Estimate!!Total:!!Female:!!Living in the 12 selected states:</t>
  </si>
  <si>
    <t>B08009_013</t>
  </si>
  <si>
    <t>Estimate!!Total:!!Female:!!Living in the 12 selected states:!!Worked in MCD of residence</t>
  </si>
  <si>
    <t>B08009_014</t>
  </si>
  <si>
    <t>Estimate!!Total:!!Female:!!Living in the 12 selected states:!!Worked outside MCD of residence</t>
  </si>
  <si>
    <t>B08009_015</t>
  </si>
  <si>
    <t>Estimate!!Total:!!Female:!!Not living in the 12 selected states</t>
  </si>
  <si>
    <t>B08011_002</t>
  </si>
  <si>
    <t>Estimate!!Total:!!12:00 a.m. to 4:59 a.m.</t>
  </si>
  <si>
    <t>B08011_003</t>
  </si>
  <si>
    <t>Estimate!!Total:!!5:00 a.m. to 5:29 a.m.</t>
  </si>
  <si>
    <t>B08011_004</t>
  </si>
  <si>
    <t>Estimate!!Total:!!5:30 a.m. to 5:59 a.m.</t>
  </si>
  <si>
    <t>B08011_005</t>
  </si>
  <si>
    <t>Estimate!!Total:!!6:00 a.m. to 6:29 a.m.</t>
  </si>
  <si>
    <t>B08011_006</t>
  </si>
  <si>
    <t>Estimate!!Total:!!6:30 a.m. to 6:59 a.m.</t>
  </si>
  <si>
    <t>B08011_007</t>
  </si>
  <si>
    <t>Estimate!!Total:!!7:00 a.m. to 7:29 a.m.</t>
  </si>
  <si>
    <t>B08011_008</t>
  </si>
  <si>
    <t>Estimate!!Total:!!7:30 a.m. to 7:59 a.m.</t>
  </si>
  <si>
    <t>B08011_009</t>
  </si>
  <si>
    <t>Estimate!!Total:!!8:00 a.m. to 8:29 a.m.</t>
  </si>
  <si>
    <t>B08011_010</t>
  </si>
  <si>
    <t>Estimate!!Total:!!8:30 a.m. to 8:59 a.m.</t>
  </si>
  <si>
    <t>B08011_011</t>
  </si>
  <si>
    <t>Estimate!!Total:!!9:00 a.m. to 9:59 a.m.</t>
  </si>
  <si>
    <t>B08011_012</t>
  </si>
  <si>
    <t>Estimate!!Total:!!10:00 a.m. to 10:59 a.m.</t>
  </si>
  <si>
    <t>B08011_013</t>
  </si>
  <si>
    <t>Estimate!!Total:!!11:00 a.m. to 11:59 a.m.</t>
  </si>
  <si>
    <t>B08011_014</t>
  </si>
  <si>
    <t>Estimate!!Total:!!12:00 p.m. to 3:59 p.m.</t>
  </si>
  <si>
    <t>B08011_015</t>
  </si>
  <si>
    <t>Estimate!!Total:!!4:00 p.m. to 11:59 p.m.</t>
  </si>
  <si>
    <t>B08011_016</t>
  </si>
  <si>
    <t>B08011_017</t>
  </si>
  <si>
    <t>Estimate!!Total:!!Male:!!12:00 a.m. to 4:59 a.m.</t>
  </si>
  <si>
    <t>B08011_018</t>
  </si>
  <si>
    <t>Estimate!!Total:!!Male:!!5:00 a.m. to 5:29 a.m.</t>
  </si>
  <si>
    <t>B08011_019</t>
  </si>
  <si>
    <t>Estimate!!Total:!!Male:!!5:30 a.m. to 5:59 a.m.</t>
  </si>
  <si>
    <t>B08011_020</t>
  </si>
  <si>
    <t>Estimate!!Total:!!Male:!!6:00 a.m. to 6:29 a.m.</t>
  </si>
  <si>
    <t>B08011_021</t>
  </si>
  <si>
    <t>Estimate!!Total:!!Male:!!6:30 a.m. to 6:59 a.m.</t>
  </si>
  <si>
    <t>B08011_022</t>
  </si>
  <si>
    <t>Estimate!!Total:!!Male:!!7:00 a.m. to 7:29 a.m.</t>
  </si>
  <si>
    <t>B08011_023</t>
  </si>
  <si>
    <t>Estimate!!Total:!!Male:!!7:30 a.m. to 7:59 a.m.</t>
  </si>
  <si>
    <t>B08011_024</t>
  </si>
  <si>
    <t>Estimate!!Total:!!Male:!!8:00 a.m. to 8:29 a.m.</t>
  </si>
  <si>
    <t>B08011_025</t>
  </si>
  <si>
    <t>Estimate!!Total:!!Male:!!8:30 a.m. to 8:59 a.m.</t>
  </si>
  <si>
    <t>B08011_026</t>
  </si>
  <si>
    <t>Estimate!!Total:!!Male:!!9:00 a.m. to 9:59 a.m.</t>
  </si>
  <si>
    <t>B08011_027</t>
  </si>
  <si>
    <t>Estimate!!Total:!!Male:!!10:00 a.m. to 10:59 a.m.</t>
  </si>
  <si>
    <t>B08011_028</t>
  </si>
  <si>
    <t>Estimate!!Total:!!Male:!!11:00 a.m. to 11:59 a.m.</t>
  </si>
  <si>
    <t>B08011_029</t>
  </si>
  <si>
    <t>Estimate!!Total:!!Male:!!12:00 p.m. to 3:59 p.m.</t>
  </si>
  <si>
    <t>B08011_030</t>
  </si>
  <si>
    <t>Estimate!!Total:!!Male:!!4:00 p.m. to 11:59 p.m.</t>
  </si>
  <si>
    <t>B08011_031</t>
  </si>
  <si>
    <t>B08011_032</t>
  </si>
  <si>
    <t>Estimate!!Total:!!Female:!!12:00 a.m. to 4:59 a.m.</t>
  </si>
  <si>
    <t>B08011_033</t>
  </si>
  <si>
    <t>Estimate!!Total:!!Female:!!5:00 a.m. to 5:29 a.m.</t>
  </si>
  <si>
    <t>B08011_034</t>
  </si>
  <si>
    <t>Estimate!!Total:!!Female:!!5:30 a.m. to 5:59 a.m.</t>
  </si>
  <si>
    <t>B08011_035</t>
  </si>
  <si>
    <t>Estimate!!Total:!!Female:!!6:00 a.m. to 6:29 a.m.</t>
  </si>
  <si>
    <t>B08011_036</t>
  </si>
  <si>
    <t>Estimate!!Total:!!Female:!!6:30 a.m. to 6:59 a.m.</t>
  </si>
  <si>
    <t>B08011_037</t>
  </si>
  <si>
    <t>Estimate!!Total:!!Female:!!7:00 a.m. to 7:29 a.m.</t>
  </si>
  <si>
    <t>B08011_038</t>
  </si>
  <si>
    <t>Estimate!!Total:!!Female:!!7:30 a.m. to 7:59 a.m.</t>
  </si>
  <si>
    <t>B08011_039</t>
  </si>
  <si>
    <t>Estimate!!Total:!!Female:!!8:00 a.m. to 8:29 a.m.</t>
  </si>
  <si>
    <t>B08011_040</t>
  </si>
  <si>
    <t>Estimate!!Total:!!Female:!!8:30 a.m. to 8:59 a.m.</t>
  </si>
  <si>
    <t>B08011_041</t>
  </si>
  <si>
    <t>Estimate!!Total:!!Female:!!9:00 a.m. to 9:59 a.m.</t>
  </si>
  <si>
    <t>B08011_042</t>
  </si>
  <si>
    <t>Estimate!!Total:!!Female:!!10:00 a.m. to 10:59 a.m.</t>
  </si>
  <si>
    <t>B08011_043</t>
  </si>
  <si>
    <t>Estimate!!Total:!!Female:!!11:00 a.m. to 11:59 a.m.</t>
  </si>
  <si>
    <t>B08011_044</t>
  </si>
  <si>
    <t>Estimate!!Total:!!Female:!!12:00 p.m. to 3:59 p.m.</t>
  </si>
  <si>
    <t>B08011_045</t>
  </si>
  <si>
    <t>Estimate!!Total:!!Female:!!4:00 p.m. to 11:59 p.m.</t>
  </si>
  <si>
    <t>B08012_002</t>
  </si>
  <si>
    <t>Estimate!!Total:!!Less than 5 minutes</t>
  </si>
  <si>
    <t>B08012_003</t>
  </si>
  <si>
    <t>Estimate!!Total:!!5 to 9 minutes</t>
  </si>
  <si>
    <t>B08012_004</t>
  </si>
  <si>
    <t>Estimate!!Total:!!10 to 14 minutes</t>
  </si>
  <si>
    <t>B08012_005</t>
  </si>
  <si>
    <t>Estimate!!Total:!!15 to 19 minutes</t>
  </si>
  <si>
    <t>B08012_006</t>
  </si>
  <si>
    <t>Estimate!!Total:!!20 to 24 minutes</t>
  </si>
  <si>
    <t>B08012_007</t>
  </si>
  <si>
    <t>Estimate!!Total:!!25 to 29 minutes</t>
  </si>
  <si>
    <t>B08012_008</t>
  </si>
  <si>
    <t>Estimate!!Total:!!30 to 34 minutes</t>
  </si>
  <si>
    <t>B08012_009</t>
  </si>
  <si>
    <t>Estimate!!Total:!!35 to 39 minutes</t>
  </si>
  <si>
    <t>B08012_010</t>
  </si>
  <si>
    <t>Estimate!!Total:!!40 to 44 minutes</t>
  </si>
  <si>
    <t>B08012_011</t>
  </si>
  <si>
    <t>Estimate!!Total:!!45 to 59 minutes</t>
  </si>
  <si>
    <t>B08012_012</t>
  </si>
  <si>
    <t>Estimate!!Total:!!60 to 89 minutes</t>
  </si>
  <si>
    <t>B08012_013</t>
  </si>
  <si>
    <t>Estimate!!Total:!!90 or more minutes</t>
  </si>
  <si>
    <t>B08012_014</t>
  </si>
  <si>
    <t>B08012_015</t>
  </si>
  <si>
    <t>Estimate!!Total:!!Male:!!Less than 5 minutes</t>
  </si>
  <si>
    <t>B08012_016</t>
  </si>
  <si>
    <t>Estimate!!Total:!!Male:!!5 to 9 minutes</t>
  </si>
  <si>
    <t>B08012_017</t>
  </si>
  <si>
    <t>Estimate!!Total:!!Male:!!10 to 14 minutes</t>
  </si>
  <si>
    <t>B08012_018</t>
  </si>
  <si>
    <t>Estimate!!Total:!!Male:!!15 to 19 minutes</t>
  </si>
  <si>
    <t>B08012_019</t>
  </si>
  <si>
    <t>Estimate!!Total:!!Male:!!20 to 24 minutes</t>
  </si>
  <si>
    <t>B08012_020</t>
  </si>
  <si>
    <t>Estimate!!Total:!!Male:!!25 to 29 minutes</t>
  </si>
  <si>
    <t>B08012_021</t>
  </si>
  <si>
    <t>Estimate!!Total:!!Male:!!30 to 34 minutes</t>
  </si>
  <si>
    <t>B08012_022</t>
  </si>
  <si>
    <t>Estimate!!Total:!!Male:!!35 to 39 minutes</t>
  </si>
  <si>
    <t>B08012_023</t>
  </si>
  <si>
    <t>Estimate!!Total:!!Male:!!40 to 44 minutes</t>
  </si>
  <si>
    <t>B08012_024</t>
  </si>
  <si>
    <t>Estimate!!Total:!!Male:!!45 to 59 minutes</t>
  </si>
  <si>
    <t>B08012_025</t>
  </si>
  <si>
    <t>Estimate!!Total:!!Male:!!60 to 89 minutes</t>
  </si>
  <si>
    <t>B08012_026</t>
  </si>
  <si>
    <t>Estimate!!Total:!!Male:!!90 or more minutes</t>
  </si>
  <si>
    <t>B08012_027</t>
  </si>
  <si>
    <t>B08012_028</t>
  </si>
  <si>
    <t>Estimate!!Total:!!Female:!!Less than 5 minutes</t>
  </si>
  <si>
    <t>B08012_029</t>
  </si>
  <si>
    <t>Estimate!!Total:!!Female:!!5 to 9 minutes</t>
  </si>
  <si>
    <t>B08012_030</t>
  </si>
  <si>
    <t>Estimate!!Total:!!Female:!!10 to 14 minutes</t>
  </si>
  <si>
    <t>B08012_031</t>
  </si>
  <si>
    <t>Estimate!!Total:!!Female:!!15 to 19 minutes</t>
  </si>
  <si>
    <t>B08012_032</t>
  </si>
  <si>
    <t>Estimate!!Total:!!Female:!!20 to 24 minutes</t>
  </si>
  <si>
    <t>B08012_033</t>
  </si>
  <si>
    <t>Estimate!!Total:!!Female:!!25 to 29 minutes</t>
  </si>
  <si>
    <t>B08012_034</t>
  </si>
  <si>
    <t>Estimate!!Total:!!Female:!!30 to 34 minutes</t>
  </si>
  <si>
    <t>B08012_035</t>
  </si>
  <si>
    <t>Estimate!!Total:!!Female:!!35 to 39 minutes</t>
  </si>
  <si>
    <t>B08012_036</t>
  </si>
  <si>
    <t>Estimate!!Total:!!Female:!!40 to 44 minutes</t>
  </si>
  <si>
    <t>B08012_037</t>
  </si>
  <si>
    <t>Estimate!!Total:!!Female:!!45 to 59 minutes</t>
  </si>
  <si>
    <t>B08012_038</t>
  </si>
  <si>
    <t>Estimate!!Total:!!Female:!!60 to 89 minutes</t>
  </si>
  <si>
    <t>B08012_039</t>
  </si>
  <si>
    <t>Estimate!!Total:!!Female:!!90 or more minutes</t>
  </si>
  <si>
    <t>B08013_002</t>
  </si>
  <si>
    <t>Estimate!!Aggregate travel time to work (in minutes):!!Male</t>
  </si>
  <si>
    <t>B08013_003</t>
  </si>
  <si>
    <t>Estimate!!Aggregate travel time to work (in minutes):!!Female</t>
  </si>
  <si>
    <t>B08014_002</t>
  </si>
  <si>
    <t>Estimate!!Total:!!No vehicle available</t>
  </si>
  <si>
    <t>B08014_003</t>
  </si>
  <si>
    <t>Estimate!!Total:!!1 vehicle available</t>
  </si>
  <si>
    <t>B08014_004</t>
  </si>
  <si>
    <t>Estimate!!Total:!!2 vehicles available</t>
  </si>
  <si>
    <t>B08014_005</t>
  </si>
  <si>
    <t>Estimate!!Total:!!3 vehicles available</t>
  </si>
  <si>
    <t>B08014_006</t>
  </si>
  <si>
    <t>Estimate!!Total:!!4 vehicles available</t>
  </si>
  <si>
    <t>B08014_007</t>
  </si>
  <si>
    <t>Estimate!!Total:!!5 or more vehicles available</t>
  </si>
  <si>
    <t>B08014_008</t>
  </si>
  <si>
    <t>B08014_009</t>
  </si>
  <si>
    <t>Estimate!!Total:!!Male:!!No vehicle available</t>
  </si>
  <si>
    <t>B08014_010</t>
  </si>
  <si>
    <t>Estimate!!Total:!!Male:!!1 vehicle available</t>
  </si>
  <si>
    <t>B08014_011</t>
  </si>
  <si>
    <t>Estimate!!Total:!!Male:!!2 vehicles available</t>
  </si>
  <si>
    <t>B08014_012</t>
  </si>
  <si>
    <t>Estimate!!Total:!!Male:!!3 vehicles available</t>
  </si>
  <si>
    <t>B08014_013</t>
  </si>
  <si>
    <t>Estimate!!Total:!!Male:!!4 vehicles available</t>
  </si>
  <si>
    <t>B08014_014</t>
  </si>
  <si>
    <t>Estimate!!Total:!!Male:!!5 or more vehicles available</t>
  </si>
  <si>
    <t>B08014_015</t>
  </si>
  <si>
    <t>B08014_016</t>
  </si>
  <si>
    <t>Estimate!!Total:!!Female:!!No vehicle available</t>
  </si>
  <si>
    <t>B08014_017</t>
  </si>
  <si>
    <t>Estimate!!Total:!!Female:!!1 vehicle available</t>
  </si>
  <si>
    <t>B08014_018</t>
  </si>
  <si>
    <t>Estimate!!Total:!!Female:!!2 vehicles available</t>
  </si>
  <si>
    <t>B08014_019</t>
  </si>
  <si>
    <t>Estimate!!Total:!!Female:!!3 vehicles available</t>
  </si>
  <si>
    <t>B08014_020</t>
  </si>
  <si>
    <t>Estimate!!Total:!!Female:!!4 vehicles available</t>
  </si>
  <si>
    <t>B08014_021</t>
  </si>
  <si>
    <t>Estimate!!Total:!!Female:!!5 or more vehicles available</t>
  </si>
  <si>
    <t>B08015_002</t>
  </si>
  <si>
    <t>Estimate!!Aggregate number of vehicles (car, truck, or van) used in commuting:!!Male</t>
  </si>
  <si>
    <t>B08015_003</t>
  </si>
  <si>
    <t>Estimate!!Aggregate number of vehicles (car, truck, or van) used in commuting:!!Female</t>
  </si>
  <si>
    <t>B08016_002</t>
  </si>
  <si>
    <t>Estimate!!Total:!!Living in a principal city:</t>
  </si>
  <si>
    <t>B08016_003</t>
  </si>
  <si>
    <t>Estimate!!Total:!!Living in a principal city:!!Worked in Metropolitan Statistical Area of residence:</t>
  </si>
  <si>
    <t>B08016_004</t>
  </si>
  <si>
    <t>Estimate!!Total:!!Living in a principal city:!!Worked in Metropolitan Statistical Area of residence:!!Worked in a principal city</t>
  </si>
  <si>
    <t>B08016_005</t>
  </si>
  <si>
    <t>Estimate!!Total:!!Living in a principal city:!!Worked in Metropolitan Statistical Area of residence:!!Worked outside any principal city</t>
  </si>
  <si>
    <t>B08016_006</t>
  </si>
  <si>
    <t>Estimate!!Total:!!Living in a principal city:!!Worked in a different Metropolitan Statistical Area:</t>
  </si>
  <si>
    <t>B08016_007</t>
  </si>
  <si>
    <t>Estimate!!Total:!!Living in a principal city:!!Worked in a different Metropolitan Statistical Area:!!Worked in a principal city</t>
  </si>
  <si>
    <t>B08016_008</t>
  </si>
  <si>
    <t>Estimate!!Total:!!Living in a principal city:!!Worked in a different Metropolitan Statistical Area:!!Worked outside any principal city</t>
  </si>
  <si>
    <t>B08016_009</t>
  </si>
  <si>
    <t>Estimate!!Total:!!Living in a principal city:!!Worked in a Micropolitan Statistical Area:</t>
  </si>
  <si>
    <t>B08016_010</t>
  </si>
  <si>
    <t>Estimate!!Total:!!Living in a principal city:!!Worked in a Micropolitan Statistical Area:!!Worked in a principal city</t>
  </si>
  <si>
    <t>B08016_011</t>
  </si>
  <si>
    <t>Estimate!!Total:!!Living in a principal city:!!Worked in a Micropolitan Statistical Area:!!Worked outside any principal city</t>
  </si>
  <si>
    <t>B08016_012</t>
  </si>
  <si>
    <t>Estimate!!Total:!!Living in a principal city:!!Worked outside any Metropolitan or Micropolitan Statistical Area</t>
  </si>
  <si>
    <t>B08016_013</t>
  </si>
  <si>
    <t>Estimate!!Total:!!Living outside any principal city:</t>
  </si>
  <si>
    <t>B08016_014</t>
  </si>
  <si>
    <t>Estimate!!Total:!!Living outside any principal city:!!Worked in Metropolitan Statistical Area of residence:</t>
  </si>
  <si>
    <t>B08016_015</t>
  </si>
  <si>
    <t>Estimate!!Total:!!Living outside any principal city:!!Worked in Metropolitan Statistical Area of residence:!!Worked in a principal city</t>
  </si>
  <si>
    <t>B08016_016</t>
  </si>
  <si>
    <t>Estimate!!Total:!!Living outside any principal city:!!Worked in Metropolitan Statistical Area of residence:!!Worked outside any principal city</t>
  </si>
  <si>
    <t>B08016_017</t>
  </si>
  <si>
    <t>Estimate!!Total:!!Living outside any principal city:!!Worked in a different Metropolitan Statistical Area:</t>
  </si>
  <si>
    <t>B08016_018</t>
  </si>
  <si>
    <t>Estimate!!Total:!!Living outside any principal city:!!Worked in a different Metropolitan Statistical Area:!!Worked in a principal city</t>
  </si>
  <si>
    <t>B08016_019</t>
  </si>
  <si>
    <t>Estimate!!Total:!!Living outside any principal city:!!Worked in a different Metropolitan Statistical Area:!!Worked outside any principal city</t>
  </si>
  <si>
    <t>B08016_020</t>
  </si>
  <si>
    <t>Estimate!!Total:!!Living outside any principal city:!!Worked in a Micropolitan Statistical Area:</t>
  </si>
  <si>
    <t>B08016_021</t>
  </si>
  <si>
    <t>Estimate!!Total:!!Living outside any principal city:!!Worked in a Micropolitan Statistical Area:!!Worked in a principal city</t>
  </si>
  <si>
    <t>B08016_022</t>
  </si>
  <si>
    <t>Estimate!!Total:!!Living outside any principal city:!!Worked in a Micropolitan Statistical Area:!!Worked outside any principal city</t>
  </si>
  <si>
    <t>B08016_023</t>
  </si>
  <si>
    <t>Estimate!!Total:!!Living outside any principal city:!!Worked outside any Metropolitan or Micropolitan Statistical Area</t>
  </si>
  <si>
    <t>B08017_002</t>
  </si>
  <si>
    <t>B08017_003</t>
  </si>
  <si>
    <t>Estimate!!Total:!!Living in a principal city:!!Worked in Micropolitan Statistical Area of residence:</t>
  </si>
  <si>
    <t>B08017_004</t>
  </si>
  <si>
    <t>Estimate!!Total:!!Living in a principal city:!!Worked in Micropolitan Statistical Area of residence:!!Worked in a principal city</t>
  </si>
  <si>
    <t>B08017_005</t>
  </si>
  <si>
    <t>Estimate!!Total:!!Living in a principal city:!!Worked in Micropolitan Statistical Area of residence:!!Worked outside any principal city</t>
  </si>
  <si>
    <t>B08017_006</t>
  </si>
  <si>
    <t>Estimate!!Total:!!Living in a principal city:!!Worked in a different Micropolitan Statistical Area:</t>
  </si>
  <si>
    <t>B08017_007</t>
  </si>
  <si>
    <t>Estimate!!Total:!!Living in a principal city:!!Worked in a different Micropolitan Statistical Area:!!Worked in a principal city</t>
  </si>
  <si>
    <t>B08017_008</t>
  </si>
  <si>
    <t>Estimate!!Total:!!Living in a principal city:!!Worked in a different Micropolitan Statistical Area:!!Worked outside any principal city</t>
  </si>
  <si>
    <t>B08017_009</t>
  </si>
  <si>
    <t>Estimate!!Total:!!Living in a principal city:!!Worked in a Metropolitan Statistical Area:</t>
  </si>
  <si>
    <t>B08017_010</t>
  </si>
  <si>
    <t>Estimate!!Total:!!Living in a principal city:!!Worked in a Metropolitan Statistical Area:!!Worked in a principal city</t>
  </si>
  <si>
    <t>B08017_011</t>
  </si>
  <si>
    <t>Estimate!!Total:!!Living in a principal city:!!Worked in a Metropolitan Statistical Area:!!Worked outside any principal city</t>
  </si>
  <si>
    <t>B08017_012</t>
  </si>
  <si>
    <t>B08017_013</t>
  </si>
  <si>
    <t>B08017_014</t>
  </si>
  <si>
    <t>Estimate!!Total:!!Living outside any principal city:!!Worked in Micropolitan Statistical Area of residence:</t>
  </si>
  <si>
    <t>B08017_015</t>
  </si>
  <si>
    <t>Estimate!!Total:!!Living outside any principal city:!!Worked in Micropolitan Statistical Area of residence:!!Worked in a principal city</t>
  </si>
  <si>
    <t>B08017_016</t>
  </si>
  <si>
    <t>Estimate!!Total:!!Living outside any principal city:!!Worked in Micropolitan Statistical Area of residence:!!Worked outside any principal city</t>
  </si>
  <si>
    <t>B08017_017</t>
  </si>
  <si>
    <t>Estimate!!Total:!!Living outside any principal city:!!Worked in a different Micropolitan Statistical Area:</t>
  </si>
  <si>
    <t>B08017_018</t>
  </si>
  <si>
    <t>Estimate!!Total:!!Living outside any principal city:!!Worked in a different Micropolitan Statistical Area:!!Worked in a principal city</t>
  </si>
  <si>
    <t>B08017_019</t>
  </si>
  <si>
    <t>Estimate!!Total:!!Living outside any principal city:!!Worked in a different Micropolitan Statistical Area:!!Worked outside any principal city</t>
  </si>
  <si>
    <t>B08017_020</t>
  </si>
  <si>
    <t>Estimate!!Total:!!Living outside any principal city:!!Worked in a Metropolitan Statistical Area:</t>
  </si>
  <si>
    <t>B08017_021</t>
  </si>
  <si>
    <t>Estimate!!Total:!!Living outside any principal city:!!Worked in a Metropolitan Statistical Area:!!Worked in a principal city</t>
  </si>
  <si>
    <t>B08017_022</t>
  </si>
  <si>
    <t>Estimate!!Total:!!Living outside any principal city:!!Worked in a Metropolitan Statistical Area:!!Worked outside any principal city</t>
  </si>
  <si>
    <t>B08017_023</t>
  </si>
  <si>
    <t>B08018_002</t>
  </si>
  <si>
    <t>Estimate!!Total:!!Worked in a Metropolitan Statistical Area:</t>
  </si>
  <si>
    <t>B08018_003</t>
  </si>
  <si>
    <t>Estimate!!Total:!!Worked in a Metropolitan Statistical Area:!!Worked in a principal city</t>
  </si>
  <si>
    <t>B08018_004</t>
  </si>
  <si>
    <t>Estimate!!Total:!!Worked in a Metropolitan Statistical Area:!!Worked outside any principal city</t>
  </si>
  <si>
    <t>B08018_005</t>
  </si>
  <si>
    <t>Estimate!!Total:!!Worked in a Micropolitan Statistical Area:</t>
  </si>
  <si>
    <t>B08018_006</t>
  </si>
  <si>
    <t>Estimate!!Total:!!Worked in a Micropolitan Statistical Area:!!Worked in a principal city</t>
  </si>
  <si>
    <t>B08018_007</t>
  </si>
  <si>
    <t>Estimate!!Total:!!Worked in a Micropolitan Statistical Area:!!Worked outside any principal city</t>
  </si>
  <si>
    <t>B08018_008</t>
  </si>
  <si>
    <t>Estimate!!Total:!!Worked outside any Metropolitan or Micropolitan Statistical Area</t>
  </si>
  <si>
    <t>B08101_002</t>
  </si>
  <si>
    <t>Estimate!!Total:!!16 to 19 years</t>
  </si>
  <si>
    <t>B08101_003</t>
  </si>
  <si>
    <t>B08101_004</t>
  </si>
  <si>
    <t>Estimate!!Total:!!25 to 44 years</t>
  </si>
  <si>
    <t>B08101_005</t>
  </si>
  <si>
    <t>B08101_006</t>
  </si>
  <si>
    <t>B08101_007</t>
  </si>
  <si>
    <t>B08101_008</t>
  </si>
  <si>
    <t>Estimate!!Total:!!65 years and over</t>
  </si>
  <si>
    <t>B08101_009</t>
  </si>
  <si>
    <t>Estimate!!Total:!!Car, truck, or van - drove alone:</t>
  </si>
  <si>
    <t>B08101_010</t>
  </si>
  <si>
    <t>Estimate!!Total:!!Car, truck, or van - drove alone:!!16 to 19 years</t>
  </si>
  <si>
    <t>B08101_011</t>
  </si>
  <si>
    <t>Estimate!!Total:!!Car, truck, or van - drove alone:!!20 to 24 years</t>
  </si>
  <si>
    <t>B08101_012</t>
  </si>
  <si>
    <t>Estimate!!Total:!!Car, truck, or van - drove alone:!!25 to 44 years</t>
  </si>
  <si>
    <t>B08101_013</t>
  </si>
  <si>
    <t>Estimate!!Total:!!Car, truck, or van - drove alone:!!45 to 54 years</t>
  </si>
  <si>
    <t>B08101_014</t>
  </si>
  <si>
    <t>Estimate!!Total:!!Car, truck, or van - drove alone:!!55 to 59 years</t>
  </si>
  <si>
    <t>B08101_015</t>
  </si>
  <si>
    <t>Estimate!!Total:!!Car, truck, or van - drove alone:!!60 to 64 years</t>
  </si>
  <si>
    <t>B08101_016</t>
  </si>
  <si>
    <t>Estimate!!Total:!!Car, truck, or van - drove alone:!!65 years and over</t>
  </si>
  <si>
    <t>B08101_017</t>
  </si>
  <si>
    <t>Estimate!!Total:!!Car, truck, or van - carpooled:</t>
  </si>
  <si>
    <t>B08101_018</t>
  </si>
  <si>
    <t>Estimate!!Total:!!Car, truck, or van - carpooled:!!16 to 19 years</t>
  </si>
  <si>
    <t>B08101_019</t>
  </si>
  <si>
    <t>Estimate!!Total:!!Car, truck, or van - carpooled:!!20 to 24 years</t>
  </si>
  <si>
    <t>B08101_020</t>
  </si>
  <si>
    <t>Estimate!!Total:!!Car, truck, or van - carpooled:!!25 to 44 years</t>
  </si>
  <si>
    <t>B08101_021</t>
  </si>
  <si>
    <t>Estimate!!Total:!!Car, truck, or van - carpooled:!!45 to 54 years</t>
  </si>
  <si>
    <t>B08101_022</t>
  </si>
  <si>
    <t>Estimate!!Total:!!Car, truck, or van - carpooled:!!55 to 59 years</t>
  </si>
  <si>
    <t>B08101_023</t>
  </si>
  <si>
    <t>Estimate!!Total:!!Car, truck, or van - carpooled:!!60 to 64 years</t>
  </si>
  <si>
    <t>B08101_024</t>
  </si>
  <si>
    <t>Estimate!!Total:!!Car, truck, or van - carpooled:!!65 years and over</t>
  </si>
  <si>
    <t>B08101_025</t>
  </si>
  <si>
    <t>B08101_026</t>
  </si>
  <si>
    <t>Estimate!!Total:!!Public transportation:!!16 to 19 years</t>
  </si>
  <si>
    <t>B08101_027</t>
  </si>
  <si>
    <t>Estimate!!Total:!!Public transportation:!!20 to 24 years</t>
  </si>
  <si>
    <t>B08101_028</t>
  </si>
  <si>
    <t>Estimate!!Total:!!Public transportation:!!25 to 44 years</t>
  </si>
  <si>
    <t>B08101_029</t>
  </si>
  <si>
    <t>Estimate!!Total:!!Public transportation:!!45 to 54 years</t>
  </si>
  <si>
    <t>B08101_030</t>
  </si>
  <si>
    <t>Estimate!!Total:!!Public transportation:!!55 to 59 years</t>
  </si>
  <si>
    <t>B08101_031</t>
  </si>
  <si>
    <t>Estimate!!Total:!!Public transportation:!!60 to 64 years</t>
  </si>
  <si>
    <t>B08101_032</t>
  </si>
  <si>
    <t>Estimate!!Total:!!Public transportation:!!65 years and over</t>
  </si>
  <si>
    <t>B08101_033</t>
  </si>
  <si>
    <t>Estimate!!Total:!!Walked:</t>
  </si>
  <si>
    <t>B08101_034</t>
  </si>
  <si>
    <t>Estimate!!Total:!!Walked:!!16 to 19 years</t>
  </si>
  <si>
    <t>B08101_035</t>
  </si>
  <si>
    <t>Estimate!!Total:!!Walked:!!20 to 24 years</t>
  </si>
  <si>
    <t>B08101_036</t>
  </si>
  <si>
    <t>Estimate!!Total:!!Walked:!!25 to 44 years</t>
  </si>
  <si>
    <t>B08101_037</t>
  </si>
  <si>
    <t>Estimate!!Total:!!Walked:!!45 to 54 years</t>
  </si>
  <si>
    <t>B08101_038</t>
  </si>
  <si>
    <t>Estimate!!Total:!!Walked:!!55 to 59 years</t>
  </si>
  <si>
    <t>B08101_039</t>
  </si>
  <si>
    <t>Estimate!!Total:!!Walked:!!60 to 64 years</t>
  </si>
  <si>
    <t>B08101_040</t>
  </si>
  <si>
    <t>Estimate!!Total:!!Walked:!!65 years and over</t>
  </si>
  <si>
    <t>B08101_041</t>
  </si>
  <si>
    <t>Estimate!!Total:!!Taxi or ride-hailing services, motorcycle, bicycle, or other means:</t>
  </si>
  <si>
    <t>B08101_042</t>
  </si>
  <si>
    <t>Estimate!!Total:!!Taxi or ride-hailing services, motorcycle, bicycle, or other means:!!16 to 19 years</t>
  </si>
  <si>
    <t>B08101_043</t>
  </si>
  <si>
    <t>Estimate!!Total:!!Taxi or ride-hailing services, motorcycle, bicycle, or other means:!!20 to 24 years</t>
  </si>
  <si>
    <t>B08101_044</t>
  </si>
  <si>
    <t>Estimate!!Total:!!Taxi or ride-hailing services, motorcycle, bicycle, or other means:!!25 to 44 years</t>
  </si>
  <si>
    <t>B08101_045</t>
  </si>
  <si>
    <t>Estimate!!Total:!!Taxi or ride-hailing services, motorcycle, bicycle, or other means:!!45 to 54 years</t>
  </si>
  <si>
    <t>B08101_046</t>
  </si>
  <si>
    <t>Estimate!!Total:!!Taxi or ride-hailing services, motorcycle, bicycle, or other means:!!55 to 59 years</t>
  </si>
  <si>
    <t>B08101_047</t>
  </si>
  <si>
    <t>Estimate!!Total:!!Taxi or ride-hailing services, motorcycle, bicycle, or other means:!!60 to 64 years</t>
  </si>
  <si>
    <t>B08101_048</t>
  </si>
  <si>
    <t>Estimate!!Total:!!Taxi or ride-hailing services, motorcycle, bicycle, or other means:!!65 years and over</t>
  </si>
  <si>
    <t>B08101_049</t>
  </si>
  <si>
    <t>B08101_050</t>
  </si>
  <si>
    <t>Estimate!!Total:!!Worked from home!!16 to 19 years</t>
  </si>
  <si>
    <t>B08101_051</t>
  </si>
  <si>
    <t>Estimate!!Total:!!Worked from home!!20 to 24 years</t>
  </si>
  <si>
    <t>B08101_052</t>
  </si>
  <si>
    <t>Estimate!!Total:!!Worked from home!!25 to 44 years</t>
  </si>
  <si>
    <t>B08101_053</t>
  </si>
  <si>
    <t>Estimate!!Total:!!Worked from home!!45 to 54 years</t>
  </si>
  <si>
    <t>B08101_054</t>
  </si>
  <si>
    <t>Estimate!!Total:!!Worked from home!!55 to 59 years</t>
  </si>
  <si>
    <t>B08101_055</t>
  </si>
  <si>
    <t>Estimate!!Total:!!Worked from home!!60 to 64 years</t>
  </si>
  <si>
    <t>B08101_056</t>
  </si>
  <si>
    <t>Estimate!!Total:!!Worked from home!!65 years and over</t>
  </si>
  <si>
    <t>B08103_002</t>
  </si>
  <si>
    <t>Estimate!!Median age --!!Total:!!Car, truck, or van - drove alone</t>
  </si>
  <si>
    <t>B08103_003</t>
  </si>
  <si>
    <t>Estimate!!Median age --!!Total:!!Car, truck, or van - carpooled</t>
  </si>
  <si>
    <t>B08103_004</t>
  </si>
  <si>
    <t>Estimate!!Median age --!!Total:!!Public transportation</t>
  </si>
  <si>
    <t>B08103_005</t>
  </si>
  <si>
    <t>Estimate!!Median age --!!Total:!!Walked</t>
  </si>
  <si>
    <t>B08103_006</t>
  </si>
  <si>
    <t>Estimate!!Median age --!!Total:!!Taxi or ride-hailing services, motorcycle, bicycle, or other means</t>
  </si>
  <si>
    <t>B08103_007</t>
  </si>
  <si>
    <t>Estimate!!Median age --!!Total:!!Worked from home</t>
  </si>
  <si>
    <t>B08105A_002</t>
  </si>
  <si>
    <t>Estimate!!Total:!!Car, truck, or van - drove alone</t>
  </si>
  <si>
    <t>B08105A_003</t>
  </si>
  <si>
    <t>Estimate!!Total:!!Car, truck, or van - carpooled</t>
  </si>
  <si>
    <t>B08105A_004</t>
  </si>
  <si>
    <t>Estimate!!Total:!!Public transportation</t>
  </si>
  <si>
    <t>B08105A_005</t>
  </si>
  <si>
    <t>B08105A_006</t>
  </si>
  <si>
    <t>Estimate!!Total:!!Taxi or ride-hailing services, motorcycle, bicycle, or other means</t>
  </si>
  <si>
    <t>B08105A_007</t>
  </si>
  <si>
    <t>B08105B_002</t>
  </si>
  <si>
    <t>B08105B_003</t>
  </si>
  <si>
    <t>B08105B_004</t>
  </si>
  <si>
    <t>B08105B_005</t>
  </si>
  <si>
    <t>B08105B_006</t>
  </si>
  <si>
    <t>B08105B_007</t>
  </si>
  <si>
    <t>B08105C_002</t>
  </si>
  <si>
    <t>B08105C_003</t>
  </si>
  <si>
    <t>B08105C_004</t>
  </si>
  <si>
    <t>B08105C_005</t>
  </si>
  <si>
    <t>B08105C_006</t>
  </si>
  <si>
    <t>B08105C_007</t>
  </si>
  <si>
    <t>B08105D_002</t>
  </si>
  <si>
    <t>B08105D_003</t>
  </si>
  <si>
    <t>B08105D_004</t>
  </si>
  <si>
    <t>B08105D_005</t>
  </si>
  <si>
    <t>B08105D_006</t>
  </si>
  <si>
    <t>B08105D_007</t>
  </si>
  <si>
    <t>B08105E_002</t>
  </si>
  <si>
    <t>B08105E_003</t>
  </si>
  <si>
    <t>B08105E_004</t>
  </si>
  <si>
    <t>B08105E_005</t>
  </si>
  <si>
    <t>B08105E_006</t>
  </si>
  <si>
    <t>B08105E_007</t>
  </si>
  <si>
    <t>B08105F_002</t>
  </si>
  <si>
    <t>B08105F_003</t>
  </si>
  <si>
    <t>B08105F_004</t>
  </si>
  <si>
    <t>B08105F_005</t>
  </si>
  <si>
    <t>B08105F_006</t>
  </si>
  <si>
    <t>B08105F_007</t>
  </si>
  <si>
    <t>B08105G_002</t>
  </si>
  <si>
    <t>B08105G_003</t>
  </si>
  <si>
    <t>B08105G_004</t>
  </si>
  <si>
    <t>B08105G_005</t>
  </si>
  <si>
    <t>B08105G_006</t>
  </si>
  <si>
    <t>B08105G_007</t>
  </si>
  <si>
    <t>B08105H_002</t>
  </si>
  <si>
    <t>B08105H_003</t>
  </si>
  <si>
    <t>B08105H_004</t>
  </si>
  <si>
    <t>B08105H_005</t>
  </si>
  <si>
    <t>B08105H_006</t>
  </si>
  <si>
    <t>B08105H_007</t>
  </si>
  <si>
    <t>B08105I_002</t>
  </si>
  <si>
    <t>B08105I_003</t>
  </si>
  <si>
    <t>B08105I_004</t>
  </si>
  <si>
    <t>B08105I_005</t>
  </si>
  <si>
    <t>B08105I_006</t>
  </si>
  <si>
    <t>B08105I_007</t>
  </si>
  <si>
    <t>B08111_002</t>
  </si>
  <si>
    <t>B08111_003</t>
  </si>
  <si>
    <t>B08111_004</t>
  </si>
  <si>
    <t>B08111_005</t>
  </si>
  <si>
    <t>B08111_006</t>
  </si>
  <si>
    <t>B08111_007</t>
  </si>
  <si>
    <t>Estimate!!Total:!!Car, truck, or van - drove alone:!!Native</t>
  </si>
  <si>
    <t>B08111_008</t>
  </si>
  <si>
    <t>Estimate!!Total:!!Car, truck, or van - drove alone:!!Foreign born:</t>
  </si>
  <si>
    <t>B08111_009</t>
  </si>
  <si>
    <t>Estimate!!Total:!!Car, truck, or van - drove alone:!!Foreign born:!!Naturalized U.S. citizen</t>
  </si>
  <si>
    <t>B08111_010</t>
  </si>
  <si>
    <t>Estimate!!Total:!!Car, truck, or van - drove alone:!!Foreign born:!!Not a U.S. citizen</t>
  </si>
  <si>
    <t>B08111_011</t>
  </si>
  <si>
    <t>B08111_012</t>
  </si>
  <si>
    <t>Estimate!!Total:!!Car, truck, or van - carpooled:!!Native</t>
  </si>
  <si>
    <t>B08111_013</t>
  </si>
  <si>
    <t>Estimate!!Total:!!Car, truck, or van - carpooled:!!Foreign born:</t>
  </si>
  <si>
    <t>B08111_014</t>
  </si>
  <si>
    <t>Estimate!!Total:!!Car, truck, or van - carpooled:!!Foreign born:!!Naturalized U.S. citizen</t>
  </si>
  <si>
    <t>B08111_015</t>
  </si>
  <si>
    <t>Estimate!!Total:!!Car, truck, or van - carpooled:!!Foreign born:!!Not a U.S. citizen</t>
  </si>
  <si>
    <t>B08111_016</t>
  </si>
  <si>
    <t>B08111_017</t>
  </si>
  <si>
    <t>Estimate!!Total:!!Public transportation:!!Native</t>
  </si>
  <si>
    <t>B08111_018</t>
  </si>
  <si>
    <t>Estimate!!Total:!!Public transportation:!!Foreign born:</t>
  </si>
  <si>
    <t>B08111_019</t>
  </si>
  <si>
    <t>Estimate!!Total:!!Public transportation:!!Foreign born:!!Naturalized U.S. citizen</t>
  </si>
  <si>
    <t>B08111_020</t>
  </si>
  <si>
    <t>Estimate!!Total:!!Public transportation:!!Foreign born:!!Not a U.S. citizen</t>
  </si>
  <si>
    <t>B08111_021</t>
  </si>
  <si>
    <t>B08111_022</t>
  </si>
  <si>
    <t>Estimate!!Total:!!Walked:!!Native</t>
  </si>
  <si>
    <t>B08111_023</t>
  </si>
  <si>
    <t>Estimate!!Total:!!Walked:!!Foreign born:</t>
  </si>
  <si>
    <t>B08111_024</t>
  </si>
  <si>
    <t>Estimate!!Total:!!Walked:!!Foreign born:!!Naturalized U.S. citizen</t>
  </si>
  <si>
    <t>B08111_025</t>
  </si>
  <si>
    <t>Estimate!!Total:!!Walked:!!Foreign born:!!Not a U.S. citizen</t>
  </si>
  <si>
    <t>B08111_026</t>
  </si>
  <si>
    <t>B08111_027</t>
  </si>
  <si>
    <t>Estimate!!Total:!!Taxi or ride-hailing services, motorcycle, bicycle, or other means:!!Native</t>
  </si>
  <si>
    <t>B08111_028</t>
  </si>
  <si>
    <t>Estimate!!Total:!!Taxi or ride-hailing services, motorcycle, bicycle, or other means:!!Foreign born:</t>
  </si>
  <si>
    <t>B08111_029</t>
  </si>
  <si>
    <t>Estimate!!Total:!!Taxi or ride-hailing services, motorcycle, bicycle, or other means:!!Foreign born:!!Naturalized U.S. citizen</t>
  </si>
  <si>
    <t>B08111_030</t>
  </si>
  <si>
    <t>Estimate!!Total:!!Taxi or ride-hailing services, motorcycle, bicycle, or other means:!!Foreign born:!!Not a U.S. citizen</t>
  </si>
  <si>
    <t>B08111_031</t>
  </si>
  <si>
    <t>Estimate!!Total:!!Worked from home:</t>
  </si>
  <si>
    <t>B08111_032</t>
  </si>
  <si>
    <t>Estimate!!Total:!!Worked from home:!!Native</t>
  </si>
  <si>
    <t>B08111_033</t>
  </si>
  <si>
    <t>Estimate!!Total:!!Worked from home:!!Foreign born:</t>
  </si>
  <si>
    <t>B08111_034</t>
  </si>
  <si>
    <t>Estimate!!Total:!!Worked from home:!!Foreign born:!!Naturalized U.S. citizen</t>
  </si>
  <si>
    <t>B08111_035</t>
  </si>
  <si>
    <t>Estimate!!Total:!!Worked from home:!!Foreign born:!!Not a U.S. citizen</t>
  </si>
  <si>
    <t>B08113_002</t>
  </si>
  <si>
    <t>B08113_003</t>
  </si>
  <si>
    <t>B08113_004</t>
  </si>
  <si>
    <t>B08113_005</t>
  </si>
  <si>
    <t>B08113_006</t>
  </si>
  <si>
    <t>B08113_007</t>
  </si>
  <si>
    <t>B08113_008</t>
  </si>
  <si>
    <t>B08113_009</t>
  </si>
  <si>
    <t>B08113_010</t>
  </si>
  <si>
    <t>Estimate!!Total:!!Car, truck, or van - drove alone:!!Speak only English</t>
  </si>
  <si>
    <t>B08113_011</t>
  </si>
  <si>
    <t>Estimate!!Total:!!Car, truck, or van - drove alone:!!Speak Spanish:</t>
  </si>
  <si>
    <t>B08113_012</t>
  </si>
  <si>
    <t>Estimate!!Total:!!Car, truck, or van - drove alone:!!Speak Spanish:!!Speak English "very well"</t>
  </si>
  <si>
    <t>B08113_013</t>
  </si>
  <si>
    <t>Estimate!!Total:!!Car, truck, or van - drove alone:!!Speak Spanish:!!Speak English less than "very well"</t>
  </si>
  <si>
    <t>B08113_014</t>
  </si>
  <si>
    <t>Estimate!!Total:!!Car, truck, or van - drove alone:!!Speak other languages:</t>
  </si>
  <si>
    <t>B08113_015</t>
  </si>
  <si>
    <t>Estimate!!Total:!!Car, truck, or van - drove alone:!!Speak other languages:!!Speak English "very well"</t>
  </si>
  <si>
    <t>B08113_016</t>
  </si>
  <si>
    <t>Estimate!!Total:!!Car, truck, or van - drove alone:!!Speak other languages:!!Speak English less than "very well"</t>
  </si>
  <si>
    <t>B08113_017</t>
  </si>
  <si>
    <t>B08113_018</t>
  </si>
  <si>
    <t>Estimate!!Total:!!Car, truck, or van - carpooled:!!Speak only English</t>
  </si>
  <si>
    <t>B08113_019</t>
  </si>
  <si>
    <t>Estimate!!Total:!!Car, truck, or van - carpooled:!!Speak Spanish:</t>
  </si>
  <si>
    <t>B08113_020</t>
  </si>
  <si>
    <t>Estimate!!Total:!!Car, truck, or van - carpooled:!!Speak Spanish:!!Speak English "very well"</t>
  </si>
  <si>
    <t>B08113_021</t>
  </si>
  <si>
    <t>Estimate!!Total:!!Car, truck, or van - carpooled:!!Speak Spanish:!!Speak English less than "very well"</t>
  </si>
  <si>
    <t>B08113_022</t>
  </si>
  <si>
    <t>Estimate!!Total:!!Car, truck, or van - carpooled:!!Speak other languages:</t>
  </si>
  <si>
    <t>B08113_023</t>
  </si>
  <si>
    <t>Estimate!!Total:!!Car, truck, or van - carpooled:!!Speak other languages:!!Speak English "very well"</t>
  </si>
  <si>
    <t>B08113_024</t>
  </si>
  <si>
    <t>Estimate!!Total:!!Car, truck, or van - carpooled:!!Speak other languages:!!Speak English less than "very well"</t>
  </si>
  <si>
    <t>B08113_025</t>
  </si>
  <si>
    <t>B08113_026</t>
  </si>
  <si>
    <t>Estimate!!Total:!!Public transportation:!!Speak only English</t>
  </si>
  <si>
    <t>B08113_027</t>
  </si>
  <si>
    <t>Estimate!!Total:!!Public transportation:!!Speak Spanish:</t>
  </si>
  <si>
    <t>B08113_028</t>
  </si>
  <si>
    <t>Estimate!!Total:!!Public transportation:!!Speak Spanish:!!Speak English "very well"</t>
  </si>
  <si>
    <t>B08113_029</t>
  </si>
  <si>
    <t>Estimate!!Total:!!Public transportation:!!Speak Spanish:!!Speak English less than "very well"</t>
  </si>
  <si>
    <t>B08113_030</t>
  </si>
  <si>
    <t>Estimate!!Total:!!Public transportation:!!Speak other languages:</t>
  </si>
  <si>
    <t>B08113_031</t>
  </si>
  <si>
    <t>Estimate!!Total:!!Public transportation:!!Speak other languages:!!Speak English "very well"</t>
  </si>
  <si>
    <t>B08113_032</t>
  </si>
  <si>
    <t>Estimate!!Total:!!Public transportation:!!Speak other languages:!!Speak English less than "very well"</t>
  </si>
  <si>
    <t>B08113_033</t>
  </si>
  <si>
    <t>B08113_034</t>
  </si>
  <si>
    <t>Estimate!!Total:!!Walked:!!Speak only English</t>
  </si>
  <si>
    <t>B08113_035</t>
  </si>
  <si>
    <t>Estimate!!Total:!!Walked:!!Speak Spanish:</t>
  </si>
  <si>
    <t>B08113_036</t>
  </si>
  <si>
    <t>Estimate!!Total:!!Walked:!!Speak Spanish:!!Speak English "very well"</t>
  </si>
  <si>
    <t>B08113_037</t>
  </si>
  <si>
    <t>Estimate!!Total:!!Walked:!!Speak Spanish:!!Speak English less than "very well"</t>
  </si>
  <si>
    <t>B08113_038</t>
  </si>
  <si>
    <t>Estimate!!Total:!!Walked:!!Speak other languages:</t>
  </si>
  <si>
    <t>B08113_039</t>
  </si>
  <si>
    <t>Estimate!!Total:!!Walked:!!Speak other languages:!!Speak English "very well"</t>
  </si>
  <si>
    <t>B08113_040</t>
  </si>
  <si>
    <t>Estimate!!Total:!!Walked:!!Speak other languages:!!Speak English less than "very well"</t>
  </si>
  <si>
    <t>B08113_041</t>
  </si>
  <si>
    <t>B08113_042</t>
  </si>
  <si>
    <t>Estimate!!Total:!!Taxi or ride-hailing services, motorcycle, bicycle, or other means:!!Speak only English</t>
  </si>
  <si>
    <t>B08113_043</t>
  </si>
  <si>
    <t>Estimate!!Total:!!Taxi or ride-hailing services, motorcycle, bicycle, or other means:!!Speak Spanish:</t>
  </si>
  <si>
    <t>B08113_044</t>
  </si>
  <si>
    <t>Estimate!!Total:!!Taxi or ride-hailing services, motorcycle, bicycle, or other means:!!Speak Spanish:!!Speak English "very well"</t>
  </si>
  <si>
    <t>B08113_045</t>
  </si>
  <si>
    <t>Estimate!!Total:!!Taxi or ride-hailing services, motorcycle, bicycle, or other means:!!Speak Spanish:!!Speak English less than "very well"</t>
  </si>
  <si>
    <t>B08113_046</t>
  </si>
  <si>
    <t>Estimate!!Total:!!Taxi or ride-hailing services, motorcycle, bicycle, or other means:!!Speak other languages:</t>
  </si>
  <si>
    <t>B08113_047</t>
  </si>
  <si>
    <t>Estimate!!Total:!!Taxi or ride-hailing services, motorcycle, bicycle, or other means:!!Speak other languages:!!Speak English "very well"</t>
  </si>
  <si>
    <t>B08113_048</t>
  </si>
  <si>
    <t>Estimate!!Total:!!Taxi or ride-hailing services, motorcycle, bicycle, or other means:!!Speak other languages:!!Speak English less than "very well"</t>
  </si>
  <si>
    <t>B08113_049</t>
  </si>
  <si>
    <t>B08113_050</t>
  </si>
  <si>
    <t>Estimate!!Total:!!Worked from home:!!Speak only English</t>
  </si>
  <si>
    <t>B08113_051</t>
  </si>
  <si>
    <t>Estimate!!Total:!!Worked from home:!!Speak Spanish:</t>
  </si>
  <si>
    <t>B08113_052</t>
  </si>
  <si>
    <t>Estimate!!Total:!!Worked from home:!!Speak Spanish:!!Speak English "very well"</t>
  </si>
  <si>
    <t>B08113_053</t>
  </si>
  <si>
    <t>Estimate!!Total:!!Worked from home:!!Speak Spanish:!!Speak English less than "very well"</t>
  </si>
  <si>
    <t>B08113_054</t>
  </si>
  <si>
    <t>Estimate!!Total:!!Worked from home:!!Speak other languages:</t>
  </si>
  <si>
    <t>B08113_055</t>
  </si>
  <si>
    <t>Estimate!!Total:!!Worked from home:!!Speak other languages:!!Speak English "very well"</t>
  </si>
  <si>
    <t>B08113_056</t>
  </si>
  <si>
    <t>Estimate!!Total:!!Worked from home:!!Speak other languages:!!Speak English less than "very well"</t>
  </si>
  <si>
    <t>B08119_002</t>
  </si>
  <si>
    <t>Estimate!!Total:!!$1 to $9,999 or loss</t>
  </si>
  <si>
    <t>B08119_003</t>
  </si>
  <si>
    <t>Estimate!!Total:!!$10,000 to $14,999</t>
  </si>
  <si>
    <t>B08119_004</t>
  </si>
  <si>
    <t>Estimate!!Total:!!$15,000 to $24,999</t>
  </si>
  <si>
    <t>B08119_005</t>
  </si>
  <si>
    <t>Estimate!!Total:!!$25,000 to $34,999</t>
  </si>
  <si>
    <t>B08119_006</t>
  </si>
  <si>
    <t>Estimate!!Total:!!$35,000 to $49,999</t>
  </si>
  <si>
    <t>B08119_007</t>
  </si>
  <si>
    <t>Estimate!!Total:!!$50,000 to $64,999</t>
  </si>
  <si>
    <t>B08119_008</t>
  </si>
  <si>
    <t>Estimate!!Total:!!$65,000 to $74,999</t>
  </si>
  <si>
    <t>B08119_009</t>
  </si>
  <si>
    <t>Estimate!!Total:!!$75,000 or more</t>
  </si>
  <si>
    <t>B08119_010</t>
  </si>
  <si>
    <t>B08119_011</t>
  </si>
  <si>
    <t>Estimate!!Total:!!Car, truck, or van - drove alone:!!$1 to $9,999 or loss</t>
  </si>
  <si>
    <t>B08119_012</t>
  </si>
  <si>
    <t>Estimate!!Total:!!Car, truck, or van - drove alone:!!$10,000 to $14,999</t>
  </si>
  <si>
    <t>B08119_013</t>
  </si>
  <si>
    <t>Estimate!!Total:!!Car, truck, or van - drove alone:!!$15,000 to $24,999</t>
  </si>
  <si>
    <t>B08119_014</t>
  </si>
  <si>
    <t>Estimate!!Total:!!Car, truck, or van - drove alone:!!$25,000 to $34,999</t>
  </si>
  <si>
    <t>B08119_015</t>
  </si>
  <si>
    <t>Estimate!!Total:!!Car, truck, or van - drove alone:!!$35,000 to $49,999</t>
  </si>
  <si>
    <t>B08119_016</t>
  </si>
  <si>
    <t>Estimate!!Total:!!Car, truck, or van - drove alone:!!$50,000 to $64,999</t>
  </si>
  <si>
    <t>B08119_017</t>
  </si>
  <si>
    <t>Estimate!!Total:!!Car, truck, or van - drove alone:!!$65,000 to $74,999</t>
  </si>
  <si>
    <t>B08119_018</t>
  </si>
  <si>
    <t>Estimate!!Total:!!Car, truck, or van - drove alone:!!$75,000 or more</t>
  </si>
  <si>
    <t>B08119_019</t>
  </si>
  <si>
    <t>B08119_020</t>
  </si>
  <si>
    <t>Estimate!!Total:!!Car, truck, or van - carpooled:!!$1 to $9,999 or loss</t>
  </si>
  <si>
    <t>B08119_021</t>
  </si>
  <si>
    <t>Estimate!!Total:!!Car, truck, or van - carpooled:!!$10,000 to $14,999</t>
  </si>
  <si>
    <t>B08119_022</t>
  </si>
  <si>
    <t>Estimate!!Total:!!Car, truck, or van - carpooled:!!$15,000 to $24,999</t>
  </si>
  <si>
    <t>B08119_023</t>
  </si>
  <si>
    <t>Estimate!!Total:!!Car, truck, or van - carpooled:!!$25,000 to $34,999</t>
  </si>
  <si>
    <t>B08119_024</t>
  </si>
  <si>
    <t>Estimate!!Total:!!Car, truck, or van - carpooled:!!$35,000 to $49,999</t>
  </si>
  <si>
    <t>B08119_025</t>
  </si>
  <si>
    <t>Estimate!!Total:!!Car, truck, or van - carpooled:!!$50,000 to $64,999</t>
  </si>
  <si>
    <t>B08119_026</t>
  </si>
  <si>
    <t>Estimate!!Total:!!Car, truck, or van - carpooled:!!$65,000 to $74,999</t>
  </si>
  <si>
    <t>B08119_027</t>
  </si>
  <si>
    <t>Estimate!!Total:!!Car, truck, or van - carpooled:!!$75,000 or more</t>
  </si>
  <si>
    <t>B08119_028</t>
  </si>
  <si>
    <t>B08119_029</t>
  </si>
  <si>
    <t>Estimate!!Total:!!Public transportation:!!$1 to $9,999 or loss</t>
  </si>
  <si>
    <t>B08119_030</t>
  </si>
  <si>
    <t>Estimate!!Total:!!Public transportation:!!$10,000 to $14,999</t>
  </si>
  <si>
    <t>B08119_031</t>
  </si>
  <si>
    <t>Estimate!!Total:!!Public transportation:!!$15,000 to $24,999</t>
  </si>
  <si>
    <t>B08119_032</t>
  </si>
  <si>
    <t>Estimate!!Total:!!Public transportation:!!$25,000 to $34,999</t>
  </si>
  <si>
    <t>B08119_033</t>
  </si>
  <si>
    <t>Estimate!!Total:!!Public transportation:!!$35,000 to $49,999</t>
  </si>
  <si>
    <t>B08119_034</t>
  </si>
  <si>
    <t>Estimate!!Total:!!Public transportation:!!$50,000 to $64,999</t>
  </si>
  <si>
    <t>B08119_035</t>
  </si>
  <si>
    <t>Estimate!!Total:!!Public transportation:!!$65,000 to $74,999</t>
  </si>
  <si>
    <t>B08119_036</t>
  </si>
  <si>
    <t>Estimate!!Total:!!Public transportation:!!$75,000 or more</t>
  </si>
  <si>
    <t>B08119_037</t>
  </si>
  <si>
    <t>B08119_038</t>
  </si>
  <si>
    <t>Estimate!!Total:!!Walked:!!$1 to $9,999 or loss</t>
  </si>
  <si>
    <t>B08119_039</t>
  </si>
  <si>
    <t>Estimate!!Total:!!Walked:!!$10,000 to $14,999</t>
  </si>
  <si>
    <t>B08119_040</t>
  </si>
  <si>
    <t>Estimate!!Total:!!Walked:!!$15,000 to $24,999</t>
  </si>
  <si>
    <t>B08119_041</t>
  </si>
  <si>
    <t>Estimate!!Total:!!Walked:!!$25,000 to $34,999</t>
  </si>
  <si>
    <t>B08119_042</t>
  </si>
  <si>
    <t>Estimate!!Total:!!Walked:!!$35,000 to $49,999</t>
  </si>
  <si>
    <t>B08119_043</t>
  </si>
  <si>
    <t>Estimate!!Total:!!Walked:!!$50,000 to $64,999</t>
  </si>
  <si>
    <t>B08119_044</t>
  </si>
  <si>
    <t>Estimate!!Total:!!Walked:!!$65,000 to $74,999</t>
  </si>
  <si>
    <t>B08119_045</t>
  </si>
  <si>
    <t>Estimate!!Total:!!Walked:!!$75,000 or more</t>
  </si>
  <si>
    <t>B08119_046</t>
  </si>
  <si>
    <t>B08119_047</t>
  </si>
  <si>
    <t>Estimate!!Total:!!Taxi or ride-hailing services, motorcycle, bicycle, or other means:!!$1 to $9,999 or loss</t>
  </si>
  <si>
    <t>B08119_048</t>
  </si>
  <si>
    <t>Estimate!!Total:!!Taxi or ride-hailing services, motorcycle, bicycle, or other means:!!$10,000 to $14,999</t>
  </si>
  <si>
    <t>B08119_049</t>
  </si>
  <si>
    <t>Estimate!!Total:!!Taxi or ride-hailing services, motorcycle, bicycle, or other means:!!$15,000 to $24,999</t>
  </si>
  <si>
    <t>B08119_050</t>
  </si>
  <si>
    <t>Estimate!!Total:!!Taxi or ride-hailing services, motorcycle, bicycle, or other means:!!$25,000 to $34,999</t>
  </si>
  <si>
    <t>B08119_051</t>
  </si>
  <si>
    <t>Estimate!!Total:!!Taxi or ride-hailing services, motorcycle, bicycle, or other means:!!$35,000 to $49,999</t>
  </si>
  <si>
    <t>B08119_052</t>
  </si>
  <si>
    <t>Estimate!!Total:!!Taxi or ride-hailing services, motorcycle, bicycle, or other means:!!$50,000 to $64,999</t>
  </si>
  <si>
    <t>B08119_053</t>
  </si>
  <si>
    <t>Estimate!!Total:!!Taxi or ride-hailing services, motorcycle, bicycle, or other means:!!$65,000 to $74,999</t>
  </si>
  <si>
    <t>B08119_054</t>
  </si>
  <si>
    <t>Estimate!!Total:!!Taxi or ride-hailing services, motorcycle, bicycle, or other means:!!$75,000 or more</t>
  </si>
  <si>
    <t>B08119_055</t>
  </si>
  <si>
    <t>B08119_056</t>
  </si>
  <si>
    <t>Estimate!!Total:!!Worked from home:!!$1 to $9,999 or loss</t>
  </si>
  <si>
    <t>B08119_057</t>
  </si>
  <si>
    <t>Estimate!!Total:!!Worked from home:!!$10,000 to $14,999</t>
  </si>
  <si>
    <t>B08119_058</t>
  </si>
  <si>
    <t>Estimate!!Total:!!Worked from home:!!$15,000 to $24,999</t>
  </si>
  <si>
    <t>B08119_059</t>
  </si>
  <si>
    <t>Estimate!!Total:!!Worked from home:!!$25,000 to $34,999</t>
  </si>
  <si>
    <t>B08119_060</t>
  </si>
  <si>
    <t>Estimate!!Total:!!Worked from home:!!$35,000 to $49,999</t>
  </si>
  <si>
    <t>B08119_061</t>
  </si>
  <si>
    <t>Estimate!!Total:!!Worked from home:!!$50,000 to $64,999</t>
  </si>
  <si>
    <t>B08119_062</t>
  </si>
  <si>
    <t>Estimate!!Total:!!Worked from home:!!$65,000 to $74,999</t>
  </si>
  <si>
    <t>B08119_063</t>
  </si>
  <si>
    <t>Estimate!!Total:!!Worked from home:!!$75,000 or more</t>
  </si>
  <si>
    <t>B08121_002</t>
  </si>
  <si>
    <t>Estimate!!Median earnings in the past 12 months --!!Total:!!Car, truck, or van - drove alone</t>
  </si>
  <si>
    <t>B08121_003</t>
  </si>
  <si>
    <t>Estimate!!Median earnings in the past 12 months --!!Total:!!Car, truck, or van - carpooled</t>
  </si>
  <si>
    <t>B08121_004</t>
  </si>
  <si>
    <t>Estimate!!Median earnings in the past 12 months --!!Total:!!Public transportation</t>
  </si>
  <si>
    <t>B08121_005</t>
  </si>
  <si>
    <t>Estimate!!Median earnings in the past 12 months --!!Total:!!Walked</t>
  </si>
  <si>
    <t>B08121_006</t>
  </si>
  <si>
    <t>Estimate!!Median earnings in the past 12 months --!!Total:!!Taxi or ride-hailing services, motorcycle, bicycle, or other means</t>
  </si>
  <si>
    <t>B08121_007</t>
  </si>
  <si>
    <t>Estimate!!Median earnings in the past 12 months --!!Total:!!Worked from home</t>
  </si>
  <si>
    <t>B08122_002</t>
  </si>
  <si>
    <t>B08122_003</t>
  </si>
  <si>
    <t>B08122_004</t>
  </si>
  <si>
    <t>B08122_005</t>
  </si>
  <si>
    <t>B08122_006</t>
  </si>
  <si>
    <t>Estimate!!Total:!!Car, truck, or van - drove alone:!!Below 100 percent of the poverty level</t>
  </si>
  <si>
    <t>B08122_007</t>
  </si>
  <si>
    <t>Estimate!!Total:!!Car, truck, or van - drove alone:!!100 to 149 percent of the poverty level</t>
  </si>
  <si>
    <t>B08122_008</t>
  </si>
  <si>
    <t>Estimate!!Total:!!Car, truck, or van - drove alone:!!At or above 150 percent of the poverty level</t>
  </si>
  <si>
    <t>B08122_009</t>
  </si>
  <si>
    <t>B08122_010</t>
  </si>
  <si>
    <t>Estimate!!Total:!!Car, truck, or van - carpooled:!!Below 100 percent of the poverty level</t>
  </si>
  <si>
    <t>B08122_011</t>
  </si>
  <si>
    <t>Estimate!!Total:!!Car, truck, or van - carpooled:!!100 to 149 percent of the poverty level</t>
  </si>
  <si>
    <t>B08122_012</t>
  </si>
  <si>
    <t>Estimate!!Total:!!Car, truck, or van - carpooled:!!At or above 150 percent of the poverty level</t>
  </si>
  <si>
    <t>B08122_013</t>
  </si>
  <si>
    <t>B08122_014</t>
  </si>
  <si>
    <t>Estimate!!Total:!!Public transportation:!!Below 100 percent of the poverty level</t>
  </si>
  <si>
    <t>B08122_015</t>
  </si>
  <si>
    <t>Estimate!!Total:!!Public transportation:!!100 to 149 percent of the poverty level</t>
  </si>
  <si>
    <t>B08122_016</t>
  </si>
  <si>
    <t>Estimate!!Total:!!Public transportation:!!At or above 150 percent of the poverty level</t>
  </si>
  <si>
    <t>B08122_017</t>
  </si>
  <si>
    <t>B08122_018</t>
  </si>
  <si>
    <t>Estimate!!Total:!!Walked:!!Below 100 percent of the poverty level</t>
  </si>
  <si>
    <t>B08122_019</t>
  </si>
  <si>
    <t>Estimate!!Total:!!Walked:!!100 to 149 percent of the poverty level</t>
  </si>
  <si>
    <t>B08122_020</t>
  </si>
  <si>
    <t>Estimate!!Total:!!Walked:!!At or above 150 percent of the poverty level</t>
  </si>
  <si>
    <t>B08122_021</t>
  </si>
  <si>
    <t>B08122_022</t>
  </si>
  <si>
    <t>Estimate!!Total:!!Taxi or ride-hailing services, motorcycle, bicycle, or other means:!!Below 100 percent of the poverty level</t>
  </si>
  <si>
    <t>B08122_023</t>
  </si>
  <si>
    <t>Estimate!!Total:!!Taxi or ride-hailing services, motorcycle, bicycle, or other means:!!100 to 149 percent of the poverty level</t>
  </si>
  <si>
    <t>B08122_024</t>
  </si>
  <si>
    <t>Estimate!!Total:!!Taxi or ride-hailing services, motorcycle, bicycle, or other means:!!At or above 150 percent of the poverty level</t>
  </si>
  <si>
    <t>B08122_025</t>
  </si>
  <si>
    <t>B08122_026</t>
  </si>
  <si>
    <t>Estimate!!Total:!!Worked from home!!Below 100 percent of the poverty level</t>
  </si>
  <si>
    <t>B08122_027</t>
  </si>
  <si>
    <t>Estimate!!Total:!!Worked from home!!100 to 149 percent of the poverty level</t>
  </si>
  <si>
    <t>B08122_028</t>
  </si>
  <si>
    <t>Estimate!!Total:!!Worked from home!!At or above 150 percent of the poverty level</t>
  </si>
  <si>
    <t>B08124_002</t>
  </si>
  <si>
    <t>Estimate!!Total:!!Management, business, science, and arts occupations</t>
  </si>
  <si>
    <t>B08124_003</t>
  </si>
  <si>
    <t>Estimate!!Total:!!Service occupations</t>
  </si>
  <si>
    <t>B08124_004</t>
  </si>
  <si>
    <t>Estimate!!Total:!!Sales and office occupations</t>
  </si>
  <si>
    <t>B08124_005</t>
  </si>
  <si>
    <t>Estimate!!Total:!!Natural resources, construction, and maintenance occupations</t>
  </si>
  <si>
    <t>B08124_006</t>
  </si>
  <si>
    <t>Estimate!!Total:!!Production, transportation, and material moving occupations</t>
  </si>
  <si>
    <t>B08124_007</t>
  </si>
  <si>
    <t>Estimate!!Total:!!Military specific occupations</t>
  </si>
  <si>
    <t>B08124_008</t>
  </si>
  <si>
    <t>B08124_009</t>
  </si>
  <si>
    <t>Estimate!!Total:!!Car, truck, or van - drove alone:!!Management, business, science, and arts occupations</t>
  </si>
  <si>
    <t>B08124_010</t>
  </si>
  <si>
    <t>Estimate!!Total:!!Car, truck, or van - drove alone:!!Service occupations</t>
  </si>
  <si>
    <t>B08124_011</t>
  </si>
  <si>
    <t>Estimate!!Total:!!Car, truck, or van - drove alone:!!Sales and office occupations</t>
  </si>
  <si>
    <t>B08124_012</t>
  </si>
  <si>
    <t>Estimate!!Total:!!Car, truck, or van - drove alone:!!Natural resources, construction, and maintenance occupations</t>
  </si>
  <si>
    <t>B08124_013</t>
  </si>
  <si>
    <t>Estimate!!Total:!!Car, truck, or van - drove alone:!!Production, transportation, and material moving occupations</t>
  </si>
  <si>
    <t>B08124_014</t>
  </si>
  <si>
    <t>Estimate!!Total:!!Car, truck, or van - drove alone:!!Military specific occupations</t>
  </si>
  <si>
    <t>B08124_015</t>
  </si>
  <si>
    <t>B08124_016</t>
  </si>
  <si>
    <t>Estimate!!Total:!!Car, truck, or van - carpooled:!!Management, business, science, and arts occupations</t>
  </si>
  <si>
    <t>B08124_017</t>
  </si>
  <si>
    <t>Estimate!!Total:!!Car, truck, or van - carpooled:!!Service occupations</t>
  </si>
  <si>
    <t>B08124_018</t>
  </si>
  <si>
    <t>Estimate!!Total:!!Car, truck, or van - carpooled:!!Sales and office occupations</t>
  </si>
  <si>
    <t>B08124_019</t>
  </si>
  <si>
    <t>Estimate!!Total:!!Car, truck, or van - carpooled:!!Natural resources, construction, and maintenance occupations</t>
  </si>
  <si>
    <t>B08124_020</t>
  </si>
  <si>
    <t>Estimate!!Total:!!Car, truck, or van - carpooled:!!Production, transportation, and material moving occupations</t>
  </si>
  <si>
    <t>B08124_021</t>
  </si>
  <si>
    <t>Estimate!!Total:!!Car, truck, or van - carpooled:!!Military specific occupations</t>
  </si>
  <si>
    <t>B08124_022</t>
  </si>
  <si>
    <t>B08124_023</t>
  </si>
  <si>
    <t>Estimate!!Total:!!Public transportation:!!Management, business, science, and arts occupations</t>
  </si>
  <si>
    <t>B08124_024</t>
  </si>
  <si>
    <t>Estimate!!Total:!!Public transportation:!!Service occupations</t>
  </si>
  <si>
    <t>B08124_025</t>
  </si>
  <si>
    <t>Estimate!!Total:!!Public transportation:!!Sales and office occupations</t>
  </si>
  <si>
    <t>B08124_026</t>
  </si>
  <si>
    <t>Estimate!!Total:!!Public transportation:!!Natural resources, construction, and maintenance occupations</t>
  </si>
  <si>
    <t>B08124_027</t>
  </si>
  <si>
    <t>Estimate!!Total:!!Public transportation:!!Production, transportation, and material moving occupations</t>
  </si>
  <si>
    <t>B08124_028</t>
  </si>
  <si>
    <t>Estimate!!Total:!!Public transportation:!!Military specific occupations</t>
  </si>
  <si>
    <t>B08124_029</t>
  </si>
  <si>
    <t>B08124_030</t>
  </si>
  <si>
    <t>Estimate!!Total:!!Walked:!!Management, business, science, and arts occupations</t>
  </si>
  <si>
    <t>B08124_031</t>
  </si>
  <si>
    <t>Estimate!!Total:!!Walked:!!Service occupations</t>
  </si>
  <si>
    <t>B08124_032</t>
  </si>
  <si>
    <t>Estimate!!Total:!!Walked:!!Sales and office occupations</t>
  </si>
  <si>
    <t>B08124_033</t>
  </si>
  <si>
    <t>Estimate!!Total:!!Walked:!!Natural resources, construction, and maintenance occupations</t>
  </si>
  <si>
    <t>B08124_034</t>
  </si>
  <si>
    <t>Estimate!!Total:!!Walked:!!Production, transportation, and material moving occupations</t>
  </si>
  <si>
    <t>B08124_035</t>
  </si>
  <si>
    <t>Estimate!!Total:!!Walked:!!Military specific occupations</t>
  </si>
  <si>
    <t>B08124_036</t>
  </si>
  <si>
    <t>B08124_037</t>
  </si>
  <si>
    <t>Estimate!!Total:!!Taxi or ride-hailing services, motorcycle, bicycle, or other means:!!Management, business, science, and arts occupations</t>
  </si>
  <si>
    <t>B08124_038</t>
  </si>
  <si>
    <t>Estimate!!Total:!!Taxi or ride-hailing services, motorcycle, bicycle, or other means:!!Service occupations</t>
  </si>
  <si>
    <t>B08124_039</t>
  </si>
  <si>
    <t>Estimate!!Total:!!Taxi or ride-hailing services, motorcycle, bicycle, or other means:!!Sales and office occupations</t>
  </si>
  <si>
    <t>B08124_040</t>
  </si>
  <si>
    <t>Estimate!!Total:!!Taxi or ride-hailing services, motorcycle, bicycle, or other means:!!Natural resources, construction, and maintenance occupations</t>
  </si>
  <si>
    <t>B08124_041</t>
  </si>
  <si>
    <t>Estimate!!Total:!!Taxi or ride-hailing services, motorcycle, bicycle, or other means:!!Production, transportation, and material moving occupations</t>
  </si>
  <si>
    <t>B08124_042</t>
  </si>
  <si>
    <t>Estimate!!Total:!!Taxi or ride-hailing services, motorcycle, bicycle, or other means:!!Military specific occupations</t>
  </si>
  <si>
    <t>B08124_043</t>
  </si>
  <si>
    <t>B08124_044</t>
  </si>
  <si>
    <t>Estimate!!Total:!!Worked from home:!!Management, business, science, and arts occupations</t>
  </si>
  <si>
    <t>B08124_045</t>
  </si>
  <si>
    <t>Estimate!!Total:!!Worked from home:!!Service occupations</t>
  </si>
  <si>
    <t>B08124_046</t>
  </si>
  <si>
    <t>Estimate!!Total:!!Worked from home:!!Sales and office occupations</t>
  </si>
  <si>
    <t>B08124_047</t>
  </si>
  <si>
    <t>Estimate!!Total:!!Worked from home:!!Natural resources, construction, and maintenance occupations</t>
  </si>
  <si>
    <t>B08124_048</t>
  </si>
  <si>
    <t>Estimate!!Total:!!Worked from home:!!Production, transportation, and material moving occupations</t>
  </si>
  <si>
    <t>B08124_049</t>
  </si>
  <si>
    <t>Estimate!!Total:!!Worked from home:!!Military specific occupations</t>
  </si>
  <si>
    <t>B08126_002</t>
  </si>
  <si>
    <t>Estimate!!Total:!!Agriculture, forestry, fishing and hunting, and mining</t>
  </si>
  <si>
    <t>B08126_003</t>
  </si>
  <si>
    <t>Estimate!!Total:!!Construction</t>
  </si>
  <si>
    <t>B08126_004</t>
  </si>
  <si>
    <t>Estimate!!Total:!!Manufacturing</t>
  </si>
  <si>
    <t>B08126_005</t>
  </si>
  <si>
    <t>Estimate!!Total:!!Wholesale trade</t>
  </si>
  <si>
    <t>B08126_006</t>
  </si>
  <si>
    <t>Estimate!!Total:!!Retail trade</t>
  </si>
  <si>
    <t>B08126_007</t>
  </si>
  <si>
    <t>Estimate!!Total:!!Transportation and warehousing, and utilities</t>
  </si>
  <si>
    <t>B08126_008</t>
  </si>
  <si>
    <t>Estimate!!Total:!!Information</t>
  </si>
  <si>
    <t>B08126_009</t>
  </si>
  <si>
    <t>Estimate!!Total:!!Finance and insurance, and real estate and rental and leasing</t>
  </si>
  <si>
    <t>B08126_010</t>
  </si>
  <si>
    <t>Estimate!!Total:!!Professional, scientific, and management, and administrative and waste management services</t>
  </si>
  <si>
    <t>B08126_011</t>
  </si>
  <si>
    <t>Estimate!!Total:!!Educational services, and health care and social assistance</t>
  </si>
  <si>
    <t>B08126_012</t>
  </si>
  <si>
    <t>Estimate!!Total:!!Arts, entertainment, and recreation, and accommodation and food services</t>
  </si>
  <si>
    <t>B08126_013</t>
  </si>
  <si>
    <t>Estimate!!Total:!!Other services (except public administration)</t>
  </si>
  <si>
    <t>B08126_014</t>
  </si>
  <si>
    <t>Estimate!!Total:!!Public administration</t>
  </si>
  <si>
    <t>B08126_015</t>
  </si>
  <si>
    <t>Estimate!!Total:!!Armed forces</t>
  </si>
  <si>
    <t>B08126_016</t>
  </si>
  <si>
    <t>B08126_017</t>
  </si>
  <si>
    <t>Estimate!!Total:!!Car, truck, or van - drove alone:!!Agriculture, forestry, fishing and hunting, and mining</t>
  </si>
  <si>
    <t>B08126_018</t>
  </si>
  <si>
    <t>Estimate!!Total:!!Car, truck, or van - drove alone:!!Construction</t>
  </si>
  <si>
    <t>B08126_019</t>
  </si>
  <si>
    <t>Estimate!!Total:!!Car, truck, or van - drove alone:!!Manufacturing</t>
  </si>
  <si>
    <t>B08126_020</t>
  </si>
  <si>
    <t>Estimate!!Total:!!Car, truck, or van - drove alone:!!Wholesale trade</t>
  </si>
  <si>
    <t>B08126_021</t>
  </si>
  <si>
    <t>Estimate!!Total:!!Car, truck, or van - drove alone:!!Retail trade</t>
  </si>
  <si>
    <t>B08126_022</t>
  </si>
  <si>
    <t>Estimate!!Total:!!Car, truck, or van - drove alone:!!Transportation and warehousing, and utilities</t>
  </si>
  <si>
    <t>B08126_023</t>
  </si>
  <si>
    <t>Estimate!!Total:!!Car, truck, or van - drove alone:!!Information</t>
  </si>
  <si>
    <t>B08126_024</t>
  </si>
  <si>
    <t>Estimate!!Total:!!Car, truck, or van - drove alone:!!Finance and insurance, and real estate and rental and leasing</t>
  </si>
  <si>
    <t>B08126_025</t>
  </si>
  <si>
    <t>Estimate!!Total:!!Car, truck, or van - drove alone:!!Professional, scientific, and management, and administrative and waste management services</t>
  </si>
  <si>
    <t>B08126_026</t>
  </si>
  <si>
    <t>Estimate!!Total:!!Car, truck, or van - drove alone:!!Educational services, and health care and social assistance</t>
  </si>
  <si>
    <t>B08126_027</t>
  </si>
  <si>
    <t>Estimate!!Total:!!Car, truck, or van - drove alone:!!Arts, entertainment, and recreation, and accommodation and food services</t>
  </si>
  <si>
    <t>B08126_028</t>
  </si>
  <si>
    <t>Estimate!!Total:!!Car, truck, or van - drove alone:!!Other services (except public administration)</t>
  </si>
  <si>
    <t>B08126_029</t>
  </si>
  <si>
    <t>Estimate!!Total:!!Car, truck, or van - drove alone:!!Public administration</t>
  </si>
  <si>
    <t>B08126_030</t>
  </si>
  <si>
    <t>Estimate!!Total:!!Car, truck, or van - drove alone:!!Armed forces</t>
  </si>
  <si>
    <t>B08126_031</t>
  </si>
  <si>
    <t>B08126_032</t>
  </si>
  <si>
    <t>Estimate!!Total:!!Car, truck, or van - carpooled:!!Agriculture, forestry, fishing and hunting, and mining</t>
  </si>
  <si>
    <t>B08126_033</t>
  </si>
  <si>
    <t>Estimate!!Total:!!Car, truck, or van - carpooled:!!Construction</t>
  </si>
  <si>
    <t>B08126_034</t>
  </si>
  <si>
    <t>Estimate!!Total:!!Car, truck, or van - carpooled:!!Manufacturing</t>
  </si>
  <si>
    <t>B08126_035</t>
  </si>
  <si>
    <t>Estimate!!Total:!!Car, truck, or van - carpooled:!!Wholesale trade</t>
  </si>
  <si>
    <t>B08126_036</t>
  </si>
  <si>
    <t>Estimate!!Total:!!Car, truck, or van - carpooled:!!Retail trade</t>
  </si>
  <si>
    <t>B08126_037</t>
  </si>
  <si>
    <t>Estimate!!Total:!!Car, truck, or van - carpooled:!!Transportation and warehousing, and utilities</t>
  </si>
  <si>
    <t>B08126_038</t>
  </si>
  <si>
    <t>Estimate!!Total:!!Car, truck, or van - carpooled:!!Information</t>
  </si>
  <si>
    <t>B08126_039</t>
  </si>
  <si>
    <t>Estimate!!Total:!!Car, truck, or van - carpooled:!!Finance and insurance, and real estate and rental and leasing</t>
  </si>
  <si>
    <t>B08126_040</t>
  </si>
  <si>
    <t>Estimate!!Total:!!Car, truck, or van - carpooled:!!Professional, scientific, and management, and administrative and waste management services</t>
  </si>
  <si>
    <t>B08126_041</t>
  </si>
  <si>
    <t>Estimate!!Total:!!Car, truck, or van - carpooled:!!Educational services, and health care and social assistance</t>
  </si>
  <si>
    <t>B08126_042</t>
  </si>
  <si>
    <t>Estimate!!Total:!!Car, truck, or van - carpooled:!!Arts, entertainment, and recreation, and accommodation and food services</t>
  </si>
  <si>
    <t>B08126_043</t>
  </si>
  <si>
    <t>Estimate!!Total:!!Car, truck, or van - carpooled:!!Other services (except public administration)</t>
  </si>
  <si>
    <t>B08126_044</t>
  </si>
  <si>
    <t>Estimate!!Total:!!Car, truck, or van - carpooled:!!Public administration</t>
  </si>
  <si>
    <t>B08126_045</t>
  </si>
  <si>
    <t>Estimate!!Total:!!Car, truck, or van - carpooled:!!Armed forces</t>
  </si>
  <si>
    <t>B08126_046</t>
  </si>
  <si>
    <t>B08126_047</t>
  </si>
  <si>
    <t>Estimate!!Total:!!Public transportation:!!Agriculture, forestry, fishing and hunting, and mining</t>
  </si>
  <si>
    <t>B08126_048</t>
  </si>
  <si>
    <t>Estimate!!Total:!!Public transportation:!!Construction</t>
  </si>
  <si>
    <t>B08126_049</t>
  </si>
  <si>
    <t>Estimate!!Total:!!Public transportation:!!Manufacturing</t>
  </si>
  <si>
    <t>B08126_050</t>
  </si>
  <si>
    <t>Estimate!!Total:!!Public transportation:!!Wholesale trade</t>
  </si>
  <si>
    <t>B08126_051</t>
  </si>
  <si>
    <t>Estimate!!Total:!!Public transportation:!!Retail trade</t>
  </si>
  <si>
    <t>B08126_052</t>
  </si>
  <si>
    <t>Estimate!!Total:!!Public transportation:!!Transportation and warehousing, and utilities</t>
  </si>
  <si>
    <t>B08126_053</t>
  </si>
  <si>
    <t>Estimate!!Total:!!Public transportation:!!Information</t>
  </si>
  <si>
    <t>B08126_054</t>
  </si>
  <si>
    <t>Estimate!!Total:!!Public transportation:!!Finance and insurance, and real estate and rental and leasing</t>
  </si>
  <si>
    <t>B08126_055</t>
  </si>
  <si>
    <t>Estimate!!Total:!!Public transportation:!!Professional, scientific, and management, and administrative and waste management services</t>
  </si>
  <si>
    <t>B08126_056</t>
  </si>
  <si>
    <t>Estimate!!Total:!!Public transportation:!!Educational services, and health care and social assistance</t>
  </si>
  <si>
    <t>B08126_057</t>
  </si>
  <si>
    <t>Estimate!!Total:!!Public transportation:!!Arts, entertainment, and recreation, and accommodation and food services</t>
  </si>
  <si>
    <t>B08126_058</t>
  </si>
  <si>
    <t>Estimate!!Total:!!Public transportation:!!Other services (except public administration)</t>
  </si>
  <si>
    <t>B08126_059</t>
  </si>
  <si>
    <t>Estimate!!Total:!!Public transportation:!!Public administration</t>
  </si>
  <si>
    <t>B08126_060</t>
  </si>
  <si>
    <t>Estimate!!Total:!!Public transportation:!!Armed forces</t>
  </si>
  <si>
    <t>B08126_061</t>
  </si>
  <si>
    <t>B08126_062</t>
  </si>
  <si>
    <t>Estimate!!Total:!!Walked:!!Agriculture, forestry, fishing and hunting, and mining</t>
  </si>
  <si>
    <t>B08126_063</t>
  </si>
  <si>
    <t>Estimate!!Total:!!Walked:!!Construction</t>
  </si>
  <si>
    <t>B08126_064</t>
  </si>
  <si>
    <t>Estimate!!Total:!!Walked:!!Manufacturing</t>
  </si>
  <si>
    <t>B08126_065</t>
  </si>
  <si>
    <t>Estimate!!Total:!!Walked:!!Wholesale trade</t>
  </si>
  <si>
    <t>B08126_066</t>
  </si>
  <si>
    <t>Estimate!!Total:!!Walked:!!Retail trade</t>
  </si>
  <si>
    <t>B08126_067</t>
  </si>
  <si>
    <t>Estimate!!Total:!!Walked:!!Transportation and warehousing, and utilities</t>
  </si>
  <si>
    <t>B08126_068</t>
  </si>
  <si>
    <t>Estimate!!Total:!!Walked:!!Information</t>
  </si>
  <si>
    <t>B08126_069</t>
  </si>
  <si>
    <t>Estimate!!Total:!!Walked:!!Finance and insurance, and real estate and rental and leasing</t>
  </si>
  <si>
    <t>B08126_070</t>
  </si>
  <si>
    <t>Estimate!!Total:!!Walked:!!Professional, scientific, and management, and administrative and waste management services</t>
  </si>
  <si>
    <t>B08126_071</t>
  </si>
  <si>
    <t>Estimate!!Total:!!Walked:!!Educational services, and health care and social assistance</t>
  </si>
  <si>
    <t>B08126_072</t>
  </si>
  <si>
    <t>Estimate!!Total:!!Walked:!!Arts, entertainment, and recreation, and accommodation and food services</t>
  </si>
  <si>
    <t>B08126_073</t>
  </si>
  <si>
    <t>Estimate!!Total:!!Walked:!!Other services (except public administration)</t>
  </si>
  <si>
    <t>B08126_074</t>
  </si>
  <si>
    <t>Estimate!!Total:!!Walked:!!Public administration</t>
  </si>
  <si>
    <t>B08126_075</t>
  </si>
  <si>
    <t>Estimate!!Total:!!Walked:!!Armed forces</t>
  </si>
  <si>
    <t>B08126_076</t>
  </si>
  <si>
    <t>B08126_077</t>
  </si>
  <si>
    <t>Estimate!!Total:!!Taxi or ride-hailing services, motorcycle, bicycle, or other means:!!Agriculture, forestry, fishing and hunting, and mining</t>
  </si>
  <si>
    <t>B08126_078</t>
  </si>
  <si>
    <t>Estimate!!Total:!!Taxi or ride-hailing services, motorcycle, bicycle, or other means:!!Construction</t>
  </si>
  <si>
    <t>B08126_079</t>
  </si>
  <si>
    <t>Estimate!!Total:!!Taxi or ride-hailing services, motorcycle, bicycle, or other means:!!Manufacturing</t>
  </si>
  <si>
    <t>B08126_080</t>
  </si>
  <si>
    <t>Estimate!!Total:!!Taxi or ride-hailing services, motorcycle, bicycle, or other means:!!Wholesale trade</t>
  </si>
  <si>
    <t>B08126_081</t>
  </si>
  <si>
    <t>Estimate!!Total:!!Taxi or ride-hailing services, motorcycle, bicycle, or other means:!!Retail trade</t>
  </si>
  <si>
    <t>B08126_082</t>
  </si>
  <si>
    <t>Estimate!!Total:!!Taxi or ride-hailing services, motorcycle, bicycle, or other means:!!Transportation and warehousing, and utilities</t>
  </si>
  <si>
    <t>B08126_083</t>
  </si>
  <si>
    <t>Estimate!!Total:!!Taxi or ride-hailing services, motorcycle, bicycle, or other means:!!Information</t>
  </si>
  <si>
    <t>B08126_084</t>
  </si>
  <si>
    <t>Estimate!!Total:!!Taxi or ride-hailing services, motorcycle, bicycle, or other means:!!Finance and insurance, and real estate and rental and leasing</t>
  </si>
  <si>
    <t>B08126_085</t>
  </si>
  <si>
    <t>Estimate!!Total:!!Taxi or ride-hailing services, motorcycle, bicycle, or other means:!!Professional, scientific, and management, and administrative and waste management services</t>
  </si>
  <si>
    <t>B08126_086</t>
  </si>
  <si>
    <t>Estimate!!Total:!!Taxi or ride-hailing services, motorcycle, bicycle, or other means:!!Educational services, and health care and social assistance</t>
  </si>
  <si>
    <t>B08126_087</t>
  </si>
  <si>
    <t>Estimate!!Total:!!Taxi or ride-hailing services, motorcycle, bicycle, or other means:!!Arts, entertainment, and recreation, and accommodation and food services</t>
  </si>
  <si>
    <t>B08126_088</t>
  </si>
  <si>
    <t>Estimate!!Total:!!Taxi or ride-hailing services, motorcycle, bicycle, or other means:!!Other services (except public administration)</t>
  </si>
  <si>
    <t>B08126_089</t>
  </si>
  <si>
    <t>Estimate!!Total:!!Taxi or ride-hailing services, motorcycle, bicycle, or other means:!!Public administration</t>
  </si>
  <si>
    <t>B08126_090</t>
  </si>
  <si>
    <t>Estimate!!Total:!!Taxi or ride-hailing services, motorcycle, bicycle, or other means:!!Armed forces</t>
  </si>
  <si>
    <t>B08126_091</t>
  </si>
  <si>
    <t>B08126_092</t>
  </si>
  <si>
    <t>Estimate!!Total:!!Worked from home:!!Agriculture, forestry, fishing and hunting, and mining</t>
  </si>
  <si>
    <t>B08126_093</t>
  </si>
  <si>
    <t>Estimate!!Total:!!Worked from home:!!Construction</t>
  </si>
  <si>
    <t>B08126_094</t>
  </si>
  <si>
    <t>Estimate!!Total:!!Worked from home:!!Manufacturing</t>
  </si>
  <si>
    <t>B08126_095</t>
  </si>
  <si>
    <t>Estimate!!Total:!!Worked from home:!!Wholesale trade</t>
  </si>
  <si>
    <t>B08126_096</t>
  </si>
  <si>
    <t>Estimate!!Total:!!Worked from home:!!Retail trade</t>
  </si>
  <si>
    <t>B08126_097</t>
  </si>
  <si>
    <t>Estimate!!Total:!!Worked from home:!!Transportation and warehousing, and utilities</t>
  </si>
  <si>
    <t>B08126_098</t>
  </si>
  <si>
    <t>Estimate!!Total:!!Worked from home:!!Information</t>
  </si>
  <si>
    <t>B08126_099</t>
  </si>
  <si>
    <t>Estimate!!Total:!!Worked from home:!!Finance and insurance, and real estate and rental and leasing</t>
  </si>
  <si>
    <t>B08126_100</t>
  </si>
  <si>
    <t>Estimate!!Total:!!Worked from home:!!Professional, scientific, and management, and administrative and waste management services</t>
  </si>
  <si>
    <t>B08126_101</t>
  </si>
  <si>
    <t>Estimate!!Total:!!Worked from home:!!Educational services, and health care and social assistance</t>
  </si>
  <si>
    <t>B08126_102</t>
  </si>
  <si>
    <t>Estimate!!Total:!!Worked from home:!!Arts, entertainment, and recreation, and accommodation and food services</t>
  </si>
  <si>
    <t>B08126_103</t>
  </si>
  <si>
    <t>Estimate!!Total:!!Worked from home:!!Other services (except public administration)</t>
  </si>
  <si>
    <t>B08126_104</t>
  </si>
  <si>
    <t>Estimate!!Total:!!Worked from home:!!Public administration</t>
  </si>
  <si>
    <t>B08126_105</t>
  </si>
  <si>
    <t>Estimate!!Total:!!Worked from home:!!Armed forces</t>
  </si>
  <si>
    <t>B08128_002</t>
  </si>
  <si>
    <t>Estimate!!Total:!!Private for-profit wage and salary workers:</t>
  </si>
  <si>
    <t>B08128_003</t>
  </si>
  <si>
    <t>Estimate!!Total:!!Private for-profit wage and salary workers:!!Employee of private company workers</t>
  </si>
  <si>
    <t>B08128_004</t>
  </si>
  <si>
    <t>Estimate!!Total:!!Private for-profit wage and salary workers:!!Self-employed in own incorporated business workers</t>
  </si>
  <si>
    <t>B08128_005</t>
  </si>
  <si>
    <t>Estimate!!Total:!!Private not-for-profit wage and salary workers</t>
  </si>
  <si>
    <t>B08128_006</t>
  </si>
  <si>
    <t>Estimate!!Total:!!Local government workers</t>
  </si>
  <si>
    <t>B08128_007</t>
  </si>
  <si>
    <t>Estimate!!Total:!!State government workers</t>
  </si>
  <si>
    <t>B08128_008</t>
  </si>
  <si>
    <t>Estimate!!Total:!!Federal government workers</t>
  </si>
  <si>
    <t>B08128_009</t>
  </si>
  <si>
    <t>Estimate!!Total:!!Self-employed in own not incorporated business workers</t>
  </si>
  <si>
    <t>B08128_010</t>
  </si>
  <si>
    <t>Estimate!!Total:!!Unpaid family workers</t>
  </si>
  <si>
    <t>B08128_011</t>
  </si>
  <si>
    <t>B08128_012</t>
  </si>
  <si>
    <t>Estimate!!Total:!!Car, truck, or van - drove alone:!!Private for-profit wage and salary workers:</t>
  </si>
  <si>
    <t>B08128_013</t>
  </si>
  <si>
    <t>Estimate!!Total:!!Car, truck, or van - drove alone:!!Private for-profit wage and salary workers:!!Employee of private company workers</t>
  </si>
  <si>
    <t>B08128_014</t>
  </si>
  <si>
    <t>Estimate!!Total:!!Car, truck, or van - drove alone:!!Private for-profit wage and salary workers:!!Self-employed in own incorporated business workers</t>
  </si>
  <si>
    <t>B08128_015</t>
  </si>
  <si>
    <t>Estimate!!Total:!!Car, truck, or van - drove alone:!!Private not-for-profit wage and salary workers</t>
  </si>
  <si>
    <t>B08128_016</t>
  </si>
  <si>
    <t>Estimate!!Total:!!Car, truck, or van - drove alone:!!Local government workers</t>
  </si>
  <si>
    <t>B08128_017</t>
  </si>
  <si>
    <t>Estimate!!Total:!!Car, truck, or van - drove alone:!!State government workers</t>
  </si>
  <si>
    <t>B08128_018</t>
  </si>
  <si>
    <t>Estimate!!Total:!!Car, truck, or van - drove alone:!!Federal government workers</t>
  </si>
  <si>
    <t>B08128_019</t>
  </si>
  <si>
    <t>Estimate!!Total:!!Car, truck, or van - drove alone:!!Self-employed in own not incorporated business workers</t>
  </si>
  <si>
    <t>B08128_020</t>
  </si>
  <si>
    <t>Estimate!!Total:!!Car, truck, or van - drove alone:!!Unpaid family workers</t>
  </si>
  <si>
    <t>B08128_021</t>
  </si>
  <si>
    <t>B08128_022</t>
  </si>
  <si>
    <t>Estimate!!Total:!!Car, truck, or van - carpooled:!!Private for-profit wage and salary workers:</t>
  </si>
  <si>
    <t>B08128_023</t>
  </si>
  <si>
    <t>Estimate!!Total:!!Car, truck, or van - carpooled:!!Private for-profit wage and salary workers:!!Employee of private company workers</t>
  </si>
  <si>
    <t>B08128_024</t>
  </si>
  <si>
    <t>Estimate!!Total:!!Car, truck, or van - carpooled:!!Private for-profit wage and salary workers:!!Self-employed in own incorporated business workers</t>
  </si>
  <si>
    <t>B08128_025</t>
  </si>
  <si>
    <t>Estimate!!Total:!!Car, truck, or van - carpooled:!!Private not-for-profit wage and salary workers</t>
  </si>
  <si>
    <t>B08128_026</t>
  </si>
  <si>
    <t>Estimate!!Total:!!Car, truck, or van - carpooled:!!Local government workers</t>
  </si>
  <si>
    <t>B08128_027</t>
  </si>
  <si>
    <t>Estimate!!Total:!!Car, truck, or van - carpooled:!!State government workers</t>
  </si>
  <si>
    <t>B08128_028</t>
  </si>
  <si>
    <t>Estimate!!Total:!!Car, truck, or van - carpooled:!!Federal government workers</t>
  </si>
  <si>
    <t>B08128_029</t>
  </si>
  <si>
    <t>Estimate!!Total:!!Car, truck, or van - carpooled:!!Self-employed in own not incorporated business workers</t>
  </si>
  <si>
    <t>B08128_030</t>
  </si>
  <si>
    <t>Estimate!!Total:!!Car, truck, or van - carpooled:!!Unpaid family workers</t>
  </si>
  <si>
    <t>B08128_031</t>
  </si>
  <si>
    <t>B08128_032</t>
  </si>
  <si>
    <t>Estimate!!Total:!!Public transportation:!!Private for-profit wage and salary workers:</t>
  </si>
  <si>
    <t>B08128_033</t>
  </si>
  <si>
    <t>Estimate!!Total:!!Public transportation:!!Private for-profit wage and salary workers:!!Employee of private company workers</t>
  </si>
  <si>
    <t>B08128_034</t>
  </si>
  <si>
    <t>Estimate!!Total:!!Public transportation:!!Private for-profit wage and salary workers:!!Self-employed in own incorporated business workers</t>
  </si>
  <si>
    <t>B08128_035</t>
  </si>
  <si>
    <t>Estimate!!Total:!!Public transportation:!!Private not-for-profit wage and salary workers</t>
  </si>
  <si>
    <t>B08128_036</t>
  </si>
  <si>
    <t>Estimate!!Total:!!Public transportation:!!Local government workers</t>
  </si>
  <si>
    <t>B08128_037</t>
  </si>
  <si>
    <t>Estimate!!Total:!!Public transportation:!!State government workers</t>
  </si>
  <si>
    <t>B08128_038</t>
  </si>
  <si>
    <t>Estimate!!Total:!!Public transportation:!!Federal government workers</t>
  </si>
  <si>
    <t>B08128_039</t>
  </si>
  <si>
    <t>Estimate!!Total:!!Public transportation:!!Self-employed in own not incorporated business workers</t>
  </si>
  <si>
    <t>B08128_040</t>
  </si>
  <si>
    <t>Estimate!!Total:!!Public transportation:!!Unpaid family workers</t>
  </si>
  <si>
    <t>B08128_041</t>
  </si>
  <si>
    <t>B08128_042</t>
  </si>
  <si>
    <t>Estimate!!Total:!!Walked:!!Private for-profit wage and salary workers:</t>
  </si>
  <si>
    <t>B08128_043</t>
  </si>
  <si>
    <t>Estimate!!Total:!!Walked:!!Private for-profit wage and salary workers:!!Employee of private company workers</t>
  </si>
  <si>
    <t>B08128_044</t>
  </si>
  <si>
    <t>Estimate!!Total:!!Walked:!!Private for-profit wage and salary workers:!!Self-employed in own incorporated business workers</t>
  </si>
  <si>
    <t>B08128_045</t>
  </si>
  <si>
    <t>Estimate!!Total:!!Walked:!!Private not-for-profit wage and salary workers</t>
  </si>
  <si>
    <t>B08128_046</t>
  </si>
  <si>
    <t>Estimate!!Total:!!Walked:!!Local government workers</t>
  </si>
  <si>
    <t>B08128_047</t>
  </si>
  <si>
    <t>Estimate!!Total:!!Walked:!!State government workers</t>
  </si>
  <si>
    <t>B08128_048</t>
  </si>
  <si>
    <t>Estimate!!Total:!!Walked:!!Federal government workers</t>
  </si>
  <si>
    <t>B08128_049</t>
  </si>
  <si>
    <t>Estimate!!Total:!!Walked:!!Self-employed in own not incorporated business workers</t>
  </si>
  <si>
    <t>B08128_050</t>
  </si>
  <si>
    <t>Estimate!!Total:!!Walked:!!Unpaid family workers</t>
  </si>
  <si>
    <t>B08128_051</t>
  </si>
  <si>
    <t>B08128_052</t>
  </si>
  <si>
    <t>Estimate!!Total:!!Taxi or ride-hailing services, motorcycle, bicycle, or other means:!!Private for-profit wage and salary workers:</t>
  </si>
  <si>
    <t>B08128_053</t>
  </si>
  <si>
    <t>Estimate!!Total:!!Taxi or ride-hailing services, motorcycle, bicycle, or other means:!!Private for-profit wage and salary workers:!!Employee of private company workers</t>
  </si>
  <si>
    <t>B08128_054</t>
  </si>
  <si>
    <t>Estimate!!Total:!!Taxi or ride-hailing services, motorcycle, bicycle, or other means:!!Private for-profit wage and salary workers:!!Self-employed in own incorporated business workers</t>
  </si>
  <si>
    <t>B08128_055</t>
  </si>
  <si>
    <t>Estimate!!Total:!!Taxi or ride-hailing services, motorcycle, bicycle, or other means:!!Private not-for-profit wage and salary workers</t>
  </si>
  <si>
    <t>B08128_056</t>
  </si>
  <si>
    <t>Estimate!!Total:!!Taxi or ride-hailing services, motorcycle, bicycle, or other means:!!Local government workers</t>
  </si>
  <si>
    <t>B08128_057</t>
  </si>
  <si>
    <t>Estimate!!Total:!!Taxi or ride-hailing services, motorcycle, bicycle, or other means:!!State government workers</t>
  </si>
  <si>
    <t>B08128_058</t>
  </si>
  <si>
    <t>Estimate!!Total:!!Taxi or ride-hailing services, motorcycle, bicycle, or other means:!!Federal government workers</t>
  </si>
  <si>
    <t>B08128_059</t>
  </si>
  <si>
    <t>Estimate!!Total:!!Taxi or ride-hailing services, motorcycle, bicycle, or other means:!!Self-employed in own not incorporated business workers</t>
  </si>
  <si>
    <t>B08128_060</t>
  </si>
  <si>
    <t>Estimate!!Total:!!Taxi or ride-hailing services, motorcycle, bicycle, or other means:!!Unpaid family workers</t>
  </si>
  <si>
    <t>B08128_061</t>
  </si>
  <si>
    <t>B08128_062</t>
  </si>
  <si>
    <t>Estimate!!Total:!!Worked from home:!!Private for-profit wage and salary workers:</t>
  </si>
  <si>
    <t>B08128_063</t>
  </si>
  <si>
    <t>Estimate!!Total:!!Worked from home:!!Private for-profit wage and salary workers:!!Employee of private company workers</t>
  </si>
  <si>
    <t>B08128_064</t>
  </si>
  <si>
    <t>Estimate!!Total:!!Worked from home:!!Private for-profit wage and salary workers:!!Self-employed in own incorporated business workers</t>
  </si>
  <si>
    <t>B08128_065</t>
  </si>
  <si>
    <t>Estimate!!Total:!!Worked from home:!!Private not-for-profit wage and salary workers</t>
  </si>
  <si>
    <t>B08128_066</t>
  </si>
  <si>
    <t>Estimate!!Total:!!Worked from home:!!Local government workers</t>
  </si>
  <si>
    <t>B08128_067</t>
  </si>
  <si>
    <t>Estimate!!Total:!!Worked from home:!!State government workers</t>
  </si>
  <si>
    <t>B08128_068</t>
  </si>
  <si>
    <t>Estimate!!Total:!!Worked from home:!!Federal government workers</t>
  </si>
  <si>
    <t>B08128_069</t>
  </si>
  <si>
    <t>Estimate!!Total:!!Worked from home:!!Self-employed in own not incorporated business workers</t>
  </si>
  <si>
    <t>B08128_070</t>
  </si>
  <si>
    <t>Estimate!!Total:!!Worked from home:!!Unpaid family workers</t>
  </si>
  <si>
    <t>B08130_002</t>
  </si>
  <si>
    <t>B08130_003</t>
  </si>
  <si>
    <t>B08130_004</t>
  </si>
  <si>
    <t>B08130_005</t>
  </si>
  <si>
    <t>B08130_006</t>
  </si>
  <si>
    <t>B08130_007</t>
  </si>
  <si>
    <t>Estimate!!Total:!!Car, truck, or van - drove alone:!!Worked in state of residence:</t>
  </si>
  <si>
    <t>B08130_008</t>
  </si>
  <si>
    <t>Estimate!!Total:!!Car, truck, or van - drove alone:!!Worked in state of residence:!!Worked in county of residence</t>
  </si>
  <si>
    <t>B08130_009</t>
  </si>
  <si>
    <t>Estimate!!Total:!!Car, truck, or van - drove alone:!!Worked in state of residence:!!Worked outside county of residence</t>
  </si>
  <si>
    <t>B08130_010</t>
  </si>
  <si>
    <t>Estimate!!Total:!!Car, truck, or van - drove alone:!!Worked outside state of residence</t>
  </si>
  <si>
    <t>B08130_011</t>
  </si>
  <si>
    <t>B08130_012</t>
  </si>
  <si>
    <t>Estimate!!Total:!!Car, truck, or van - carpooled:!!Worked in state of residence:</t>
  </si>
  <si>
    <t>B08130_013</t>
  </si>
  <si>
    <t>Estimate!!Total:!!Car, truck, or van - carpooled:!!Worked in state of residence:!!Worked in county of residence</t>
  </si>
  <si>
    <t>B08130_014</t>
  </si>
  <si>
    <t>Estimate!!Total:!!Car, truck, or van - carpooled:!!Worked in state of residence:!!Worked outside county of residence</t>
  </si>
  <si>
    <t>B08130_015</t>
  </si>
  <si>
    <t>Estimate!!Total:!!Car, truck, or van - carpooled:!!Worked outside state of residence</t>
  </si>
  <si>
    <t>B08130_016</t>
  </si>
  <si>
    <t>B08130_017</t>
  </si>
  <si>
    <t>Estimate!!Total:!!Public transportation:!!Worked in state of residence:</t>
  </si>
  <si>
    <t>B08130_018</t>
  </si>
  <si>
    <t>Estimate!!Total:!!Public transportation:!!Worked in state of residence:!!Worked in county of residence</t>
  </si>
  <si>
    <t>B08130_019</t>
  </si>
  <si>
    <t>Estimate!!Total:!!Public transportation:!!Worked in state of residence:!!Worked outside county of residence</t>
  </si>
  <si>
    <t>B08130_020</t>
  </si>
  <si>
    <t>Estimate!!Total:!!Public transportation:!!Worked outside state of residence</t>
  </si>
  <si>
    <t>B08130_021</t>
  </si>
  <si>
    <t>B08130_022</t>
  </si>
  <si>
    <t>Estimate!!Total:!!Walked:!!Worked in state of residence:</t>
  </si>
  <si>
    <t>B08130_023</t>
  </si>
  <si>
    <t>Estimate!!Total:!!Walked:!!Worked in state of residence:!!Worked in county of residence</t>
  </si>
  <si>
    <t>B08130_024</t>
  </si>
  <si>
    <t>Estimate!!Total:!!Walked:!!Worked in state of residence:!!Worked outside county of residence</t>
  </si>
  <si>
    <t>B08130_025</t>
  </si>
  <si>
    <t>Estimate!!Total:!!Walked:!!Worked outside state of residence</t>
  </si>
  <si>
    <t>B08130_026</t>
  </si>
  <si>
    <t>B08130_027</t>
  </si>
  <si>
    <t>Estimate!!Total:!!Taxi or ride-hailing services, motorcycle, bicycle, or other means:!!Worked in state of residence:</t>
  </si>
  <si>
    <t>B08130_028</t>
  </si>
  <si>
    <t>Estimate!!Total:!!Taxi or ride-hailing services, motorcycle, bicycle, or other means:!!Worked in state of residence:!!Worked in county of residence</t>
  </si>
  <si>
    <t>B08130_029</t>
  </si>
  <si>
    <t>Estimate!!Total:!!Taxi or ride-hailing services, motorcycle, bicycle, or other means:!!Worked in state of residence:!!Worked outside county of residence</t>
  </si>
  <si>
    <t>B08130_030</t>
  </si>
  <si>
    <t>Estimate!!Total:!!Taxi or ride-hailing services, motorcycle, bicycle, or other means:!!Worked outside state of residence</t>
  </si>
  <si>
    <t>B08130_031</t>
  </si>
  <si>
    <t>B08131_002</t>
  </si>
  <si>
    <t>Estimate!!Aggregate travel time to work (in minutes):!!Worked in State of residence:</t>
  </si>
  <si>
    <t>B08131_003</t>
  </si>
  <si>
    <t>Estimate!!Aggregate travel time to work (in minutes):!!Worked in State of residence:!!Worked in county of residence</t>
  </si>
  <si>
    <t>B08131_004</t>
  </si>
  <si>
    <t>Estimate!!Aggregate travel time to work (in minutes):!!Worked in State of residence:!!Worked outside county of residence</t>
  </si>
  <si>
    <t>B08131_005</t>
  </si>
  <si>
    <t>Estimate!!Aggregate travel time to work (in minutes):!!Worked outside State of residence</t>
  </si>
  <si>
    <t>B08132_002</t>
  </si>
  <si>
    <t>B08132_003</t>
  </si>
  <si>
    <t>B08132_004</t>
  </si>
  <si>
    <t>B08132_005</t>
  </si>
  <si>
    <t>B08132_006</t>
  </si>
  <si>
    <t>B08132_007</t>
  </si>
  <si>
    <t>B08132_008</t>
  </si>
  <si>
    <t>B08132_009</t>
  </si>
  <si>
    <t>B08132_010</t>
  </si>
  <si>
    <t>B08132_011</t>
  </si>
  <si>
    <t>B08132_012</t>
  </si>
  <si>
    <t>B08132_013</t>
  </si>
  <si>
    <t>B08132_014</t>
  </si>
  <si>
    <t>B08132_015</t>
  </si>
  <si>
    <t>B08132_016</t>
  </si>
  <si>
    <t>B08132_017</t>
  </si>
  <si>
    <t>Estimate!!Total:!!Car, truck, or van - drove alone:!!12:00 a.m. to 4:59 a.m.</t>
  </si>
  <si>
    <t>B08132_018</t>
  </si>
  <si>
    <t>Estimate!!Total:!!Car, truck, or van - drove alone:!!5:00 a.m. to 5:29 a.m.</t>
  </si>
  <si>
    <t>B08132_019</t>
  </si>
  <si>
    <t>Estimate!!Total:!!Car, truck, or van - drove alone:!!5:30 a.m. to 5:59 a.m.</t>
  </si>
  <si>
    <t>B08132_020</t>
  </si>
  <si>
    <t>Estimate!!Total:!!Car, truck, or van - drove alone:!!6:00 a.m. to 6:29 a.m.</t>
  </si>
  <si>
    <t>B08132_021</t>
  </si>
  <si>
    <t>Estimate!!Total:!!Car, truck, or van - drove alone:!!6:30 a.m. to 6:59 a.m.</t>
  </si>
  <si>
    <t>B08132_022</t>
  </si>
  <si>
    <t>Estimate!!Total:!!Car, truck, or van - drove alone:!!7:00 a.m. to 7:29 a.m.</t>
  </si>
  <si>
    <t>B08132_023</t>
  </si>
  <si>
    <t>Estimate!!Total:!!Car, truck, or van - drove alone:!!7:30 a.m. to 7:59 a.m.</t>
  </si>
  <si>
    <t>B08132_024</t>
  </si>
  <si>
    <t>Estimate!!Total:!!Car, truck, or van - drove alone:!!8:00 a.m. to 8:29 a.m.</t>
  </si>
  <si>
    <t>B08132_025</t>
  </si>
  <si>
    <t>Estimate!!Total:!!Car, truck, or van - drove alone:!!8:30 a.m. to 8:59 a.m.</t>
  </si>
  <si>
    <t>B08132_026</t>
  </si>
  <si>
    <t>Estimate!!Total:!!Car, truck, or van - drove alone:!!9:00 a.m. to 9:59 a.m.</t>
  </si>
  <si>
    <t>B08132_027</t>
  </si>
  <si>
    <t>Estimate!!Total:!!Car, truck, or van - drove alone:!!10:00 a.m. to 10:59 a.m.</t>
  </si>
  <si>
    <t>B08132_028</t>
  </si>
  <si>
    <t>Estimate!!Total:!!Car, truck, or van - drove alone:!!11:00 a.m. to 11:59 a.m.</t>
  </si>
  <si>
    <t>B08132_029</t>
  </si>
  <si>
    <t>Estimate!!Total:!!Car, truck, or van - drove alone:!!12:00 p.m. to 3:59 p.m.</t>
  </si>
  <si>
    <t>B08132_030</t>
  </si>
  <si>
    <t>Estimate!!Total:!!Car, truck, or van - drove alone:!!4:00 p.m. to 11:59 p.m.</t>
  </si>
  <si>
    <t>B08132_031</t>
  </si>
  <si>
    <t>B08132_032</t>
  </si>
  <si>
    <t>Estimate!!Total:!!Car, truck, or van - carpooled:!!12:00 a.m. to 4:59 a.m.</t>
  </si>
  <si>
    <t>B08132_033</t>
  </si>
  <si>
    <t>Estimate!!Total:!!Car, truck, or van - carpooled:!!5:00 a.m. to 5:29 a.m.</t>
  </si>
  <si>
    <t>B08132_034</t>
  </si>
  <si>
    <t>Estimate!!Total:!!Car, truck, or van - carpooled:!!5:30 a.m. to 5:59 a.m.</t>
  </si>
  <si>
    <t>B08132_035</t>
  </si>
  <si>
    <t>Estimate!!Total:!!Car, truck, or van - carpooled:!!6:00 a.m. to 6:29 a.m.</t>
  </si>
  <si>
    <t>B08132_036</t>
  </si>
  <si>
    <t>Estimate!!Total:!!Car, truck, or van - carpooled:!!6:30 a.m. to 6:59 a.m.</t>
  </si>
  <si>
    <t>B08132_037</t>
  </si>
  <si>
    <t>Estimate!!Total:!!Car, truck, or van - carpooled:!!7:00 a.m. to 7:29 a.m.</t>
  </si>
  <si>
    <t>B08132_038</t>
  </si>
  <si>
    <t>Estimate!!Total:!!Car, truck, or van - carpooled:!!7:30 a.m. to 7:59 a.m.</t>
  </si>
  <si>
    <t>B08132_039</t>
  </si>
  <si>
    <t>Estimate!!Total:!!Car, truck, or van - carpooled:!!8:00 a.m. to 8:29 a.m.</t>
  </si>
  <si>
    <t>B08132_040</t>
  </si>
  <si>
    <t>Estimate!!Total:!!Car, truck, or van - carpooled:!!8:30 a.m. to 8:59 a.m.</t>
  </si>
  <si>
    <t>B08132_041</t>
  </si>
  <si>
    <t>Estimate!!Total:!!Car, truck, or van - carpooled:!!9:00 a.m. to 9:59 a.m.</t>
  </si>
  <si>
    <t>B08132_042</t>
  </si>
  <si>
    <t>Estimate!!Total:!!Car, truck, or van - carpooled:!!10:00 a.m. to 10:59 a.m.</t>
  </si>
  <si>
    <t>B08132_043</t>
  </si>
  <si>
    <t>Estimate!!Total:!!Car, truck, or van - carpooled:!!11:00 a.m. to 11:59 a.m.</t>
  </si>
  <si>
    <t>B08132_044</t>
  </si>
  <si>
    <t>Estimate!!Total:!!Car, truck, or van - carpooled:!!12:00 p.m. to 3:59 p.m.</t>
  </si>
  <si>
    <t>B08132_045</t>
  </si>
  <si>
    <t>Estimate!!Total:!!Car, truck, or van - carpooled:!!4:00 p.m. to 11:59 p.m.</t>
  </si>
  <si>
    <t>B08132_046</t>
  </si>
  <si>
    <t>B08132_047</t>
  </si>
  <si>
    <t>Estimate!!Total:!!Public transportation:!!12:00 a.m. to 4:59 a.m.</t>
  </si>
  <si>
    <t>B08132_048</t>
  </si>
  <si>
    <t>Estimate!!Total:!!Public transportation:!!5:00 a.m. to 5:29 a.m.</t>
  </si>
  <si>
    <t>B08132_049</t>
  </si>
  <si>
    <t>Estimate!!Total:!!Public transportation:!!5:30 a.m. to 5:59 a.m.</t>
  </si>
  <si>
    <t>B08132_050</t>
  </si>
  <si>
    <t>Estimate!!Total:!!Public transportation:!!6:00 a.m. to 6:29 a.m.</t>
  </si>
  <si>
    <t>B08132_051</t>
  </si>
  <si>
    <t>Estimate!!Total:!!Public transportation:!!6:30 a.m. to 6:59 a.m.</t>
  </si>
  <si>
    <t>B08132_052</t>
  </si>
  <si>
    <t>Estimate!!Total:!!Public transportation:!!7:00 a.m. to 7:29 a.m.</t>
  </si>
  <si>
    <t>B08132_053</t>
  </si>
  <si>
    <t>Estimate!!Total:!!Public transportation:!!7:30 a.m. to 7:59 a.m.</t>
  </si>
  <si>
    <t>B08132_054</t>
  </si>
  <si>
    <t>Estimate!!Total:!!Public transportation:!!8:00 a.m. to 8:29 a.m.</t>
  </si>
  <si>
    <t>B08132_055</t>
  </si>
  <si>
    <t>Estimate!!Total:!!Public transportation:!!8:30 a.m. to 8:59 a.m.</t>
  </si>
  <si>
    <t>B08132_056</t>
  </si>
  <si>
    <t>Estimate!!Total:!!Public transportation:!!9:00 a.m. to 9:59 a.m.</t>
  </si>
  <si>
    <t>B08132_057</t>
  </si>
  <si>
    <t>Estimate!!Total:!!Public transportation:!!10:00 a.m. to 10:59 a.m.</t>
  </si>
  <si>
    <t>B08132_058</t>
  </si>
  <si>
    <t>Estimate!!Total:!!Public transportation:!!11:00 a.m. to 11:59 a.m.</t>
  </si>
  <si>
    <t>B08132_059</t>
  </si>
  <si>
    <t>Estimate!!Total:!!Public transportation:!!12:00 p.m. to 3:59 p.m.</t>
  </si>
  <si>
    <t>B08132_060</t>
  </si>
  <si>
    <t>Estimate!!Total:!!Public transportation:!!4:00 p.m. to 11:59 p.m.</t>
  </si>
  <si>
    <t>B08132_061</t>
  </si>
  <si>
    <t>B08132_062</t>
  </si>
  <si>
    <t>Estimate!!Total:!!Walked:!!12:00 a.m. to 4:59 a.m.</t>
  </si>
  <si>
    <t>B08132_063</t>
  </si>
  <si>
    <t>Estimate!!Total:!!Walked:!!5:00 a.m. to 5:29 a.m.</t>
  </si>
  <si>
    <t>B08132_064</t>
  </si>
  <si>
    <t>Estimate!!Total:!!Walked:!!5:30 a.m. to 5:59 a.m.</t>
  </si>
  <si>
    <t>B08132_065</t>
  </si>
  <si>
    <t>Estimate!!Total:!!Walked:!!6:00 a.m. to 6:29 a.m.</t>
  </si>
  <si>
    <t>B08132_066</t>
  </si>
  <si>
    <t>Estimate!!Total:!!Walked:!!6:30 a.m. to 6:59 a.m.</t>
  </si>
  <si>
    <t>B08132_067</t>
  </si>
  <si>
    <t>Estimate!!Total:!!Walked:!!7:00 a.m. to 7:29 a.m.</t>
  </si>
  <si>
    <t>B08132_068</t>
  </si>
  <si>
    <t>Estimate!!Total:!!Walked:!!7:30 a.m. to 7:59 a.m.</t>
  </si>
  <si>
    <t>B08132_069</t>
  </si>
  <si>
    <t>Estimate!!Total:!!Walked:!!8:00 a.m. to 8:29 a.m.</t>
  </si>
  <si>
    <t>B08132_070</t>
  </si>
  <si>
    <t>Estimate!!Total:!!Walked:!!8:30 a.m. to 8:59 a.m.</t>
  </si>
  <si>
    <t>B08132_071</t>
  </si>
  <si>
    <t>Estimate!!Total:!!Walked:!!9:00 a.m. to 9:59 a.m.</t>
  </si>
  <si>
    <t>B08132_072</t>
  </si>
  <si>
    <t>Estimate!!Total:!!Walked:!!10:00 a.m. to 10:59 a.m.</t>
  </si>
  <si>
    <t>B08132_073</t>
  </si>
  <si>
    <t>Estimate!!Total:!!Walked:!!11:00 a.m. to 11:59 a.m.</t>
  </si>
  <si>
    <t>B08132_074</t>
  </si>
  <si>
    <t>Estimate!!Total:!!Walked:!!12:00 p.m. to 3:59 p.m.</t>
  </si>
  <si>
    <t>B08132_075</t>
  </si>
  <si>
    <t>Estimate!!Total:!!Walked:!!4:00 p.m. to 11:59 p.m.</t>
  </si>
  <si>
    <t>B08132_076</t>
  </si>
  <si>
    <t>B08132_077</t>
  </si>
  <si>
    <t>Estimate!!Total:!!Taxi or ride-hailing services, motorcycle, bicycle, or other means:!!12:00 a.m. to 4:59 a.m.</t>
  </si>
  <si>
    <t>B08132_078</t>
  </si>
  <si>
    <t>Estimate!!Total:!!Taxi or ride-hailing services, motorcycle, bicycle, or other means:!!5:00 a.m. to 5:29 a.m.</t>
  </si>
  <si>
    <t>B08132_079</t>
  </si>
  <si>
    <t>Estimate!!Total:!!Taxi or ride-hailing services, motorcycle, bicycle, or other means:!!5:30 a.m. to 5:59 a.m.</t>
  </si>
  <si>
    <t>B08132_080</t>
  </si>
  <si>
    <t>Estimate!!Total:!!Taxi or ride-hailing services, motorcycle, bicycle, or other means:!!6:00 a.m. to 6:29 a.m.</t>
  </si>
  <si>
    <t>B08132_081</t>
  </si>
  <si>
    <t>Estimate!!Total:!!Taxi or ride-hailing services, motorcycle, bicycle, or other means:!!6:30 a.m. to 6:59 a.m.</t>
  </si>
  <si>
    <t>B08132_082</t>
  </si>
  <si>
    <t>Estimate!!Total:!!Taxi or ride-hailing services, motorcycle, bicycle, or other means:!!7:00 a.m. to 7:29 a.m.</t>
  </si>
  <si>
    <t>B08132_083</t>
  </si>
  <si>
    <t>Estimate!!Total:!!Taxi or ride-hailing services, motorcycle, bicycle, or other means:!!7:30 a.m. to 7:59 a.m.</t>
  </si>
  <si>
    <t>B08132_084</t>
  </si>
  <si>
    <t>Estimate!!Total:!!Taxi or ride-hailing services, motorcycle, bicycle, or other means:!!8:00 a.m. to 8:29 a.m.</t>
  </si>
  <si>
    <t>B08132_085</t>
  </si>
  <si>
    <t>Estimate!!Total:!!Taxi or ride-hailing services, motorcycle, bicycle, or other means:!!8:30 a.m. to 8:59 a.m.</t>
  </si>
  <si>
    <t>B08132_086</t>
  </si>
  <si>
    <t>Estimate!!Total:!!Taxi or ride-hailing services, motorcycle, bicycle, or other means:!!9:00 a.m. to 9:59 a.m.</t>
  </si>
  <si>
    <t>B08132_087</t>
  </si>
  <si>
    <t>Estimate!!Total:!!Taxi or ride-hailing services, motorcycle, bicycle, or other means:!!10:00 a.m. to 10:59 a.m.</t>
  </si>
  <si>
    <t>B08132_088</t>
  </si>
  <si>
    <t>Estimate!!Total:!!Taxi or ride-hailing services, motorcycle, bicycle, or other means:!!11:00 a.m. to 11:59 a.m.</t>
  </si>
  <si>
    <t>B08132_089</t>
  </si>
  <si>
    <t>Estimate!!Total:!!Taxi or ride-hailing services, motorcycle, bicycle, or other means:!!12:00 p.m. to 3:59 p.m.</t>
  </si>
  <si>
    <t>B08132_090</t>
  </si>
  <si>
    <t>Estimate!!Total:!!Taxi or ride-hailing services, motorcycle, bicycle, or other means:!!4:00 p.m. to 11:59 p.m.</t>
  </si>
  <si>
    <t>B08133_002</t>
  </si>
  <si>
    <t>Estimate!!Aggregate travel time to work (in minutes):!!12:00 a.m. to 4:59 a.m.</t>
  </si>
  <si>
    <t>B08133_003</t>
  </si>
  <si>
    <t>Estimate!!Aggregate travel time to work (in minutes):!!5:00 a.m. to 5:29 a.m.</t>
  </si>
  <si>
    <t>B08133_004</t>
  </si>
  <si>
    <t>Estimate!!Aggregate travel time to work (in minutes):!!5:30 a.m. to 5:59 a.m.</t>
  </si>
  <si>
    <t>B08133_005</t>
  </si>
  <si>
    <t>Estimate!!Aggregate travel time to work (in minutes):!!6:00 a.m. to 6:29 a.m.</t>
  </si>
  <si>
    <t>B08133_006</t>
  </si>
  <si>
    <t>Estimate!!Aggregate travel time to work (in minutes):!!6:30 a.m. to 6:59 a.m.</t>
  </si>
  <si>
    <t>B08133_007</t>
  </si>
  <si>
    <t>Estimate!!Aggregate travel time to work (in minutes):!!7:00 a.m. to 7:29 a.m.</t>
  </si>
  <si>
    <t>B08133_008</t>
  </si>
  <si>
    <t>Estimate!!Aggregate travel time to work (in minutes):!!7:30 a.m. to 7:59 a.m.</t>
  </si>
  <si>
    <t>B08133_009</t>
  </si>
  <si>
    <t>Estimate!!Aggregate travel time to work (in minutes):!!8:00 a.m. to 8:29 a.m.</t>
  </si>
  <si>
    <t>B08133_010</t>
  </si>
  <si>
    <t>Estimate!!Aggregate travel time to work (in minutes):!!8:30 a.m. to 8:59 a.m.</t>
  </si>
  <si>
    <t>B08133_011</t>
  </si>
  <si>
    <t>Estimate!!Aggregate travel time to work (in minutes):!!9:00 a.m. to 9:59 a.m.</t>
  </si>
  <si>
    <t>B08133_012</t>
  </si>
  <si>
    <t>Estimate!!Aggregate travel time to work (in minutes):!!10:00 a.m. to 10:59 a.m.</t>
  </si>
  <si>
    <t>B08133_013</t>
  </si>
  <si>
    <t>Estimate!!Aggregate travel time to work (in minutes):!!11:00 a.m. to 11:59 a.m.</t>
  </si>
  <si>
    <t>B08133_014</t>
  </si>
  <si>
    <t>Estimate!!Aggregate travel time to work (in minutes):!!12:00 p.m. to 3:59 p.m.</t>
  </si>
  <si>
    <t>B08133_015</t>
  </si>
  <si>
    <t>Estimate!!Aggregate travel time to work (in minutes):!!4:00 p.m. to 11:59 p.m.</t>
  </si>
  <si>
    <t>B08134_002</t>
  </si>
  <si>
    <t>Estimate!!Total:!!Less than 10 minutes</t>
  </si>
  <si>
    <t>B08134_003</t>
  </si>
  <si>
    <t>B08134_004</t>
  </si>
  <si>
    <t>B08134_005</t>
  </si>
  <si>
    <t>B08134_006</t>
  </si>
  <si>
    <t>B08134_007</t>
  </si>
  <si>
    <t>B08134_008</t>
  </si>
  <si>
    <t>Estimate!!Total:!!35 to 44 minutes</t>
  </si>
  <si>
    <t>B08134_009</t>
  </si>
  <si>
    <t>B08134_010</t>
  </si>
  <si>
    <t>Estimate!!Total:!!60 or more minutes</t>
  </si>
  <si>
    <t>B08134_011</t>
  </si>
  <si>
    <t>B08134_012</t>
  </si>
  <si>
    <t>Estimate!!Total:!!Car, truck, or van:!!Less than 10 minutes</t>
  </si>
  <si>
    <t>B08134_013</t>
  </si>
  <si>
    <t>Estimate!!Total:!!Car, truck, or van:!!10 to 14 minutes</t>
  </si>
  <si>
    <t>B08134_014</t>
  </si>
  <si>
    <t>Estimate!!Total:!!Car, truck, or van:!!15 to 19 minutes</t>
  </si>
  <si>
    <t>B08134_015</t>
  </si>
  <si>
    <t>Estimate!!Total:!!Car, truck, or van:!!20 to 24 minutes</t>
  </si>
  <si>
    <t>B08134_016</t>
  </si>
  <si>
    <t>Estimate!!Total:!!Car, truck, or van:!!25 to 29 minutes</t>
  </si>
  <si>
    <t>B08134_017</t>
  </si>
  <si>
    <t>Estimate!!Total:!!Car, truck, or van:!!30 to 34 minutes</t>
  </si>
  <si>
    <t>B08134_018</t>
  </si>
  <si>
    <t>Estimate!!Total:!!Car, truck, or van:!!35 to 44 minutes</t>
  </si>
  <si>
    <t>B08134_019</t>
  </si>
  <si>
    <t>Estimate!!Total:!!Car, truck, or van:!!45 to 59 minutes</t>
  </si>
  <si>
    <t>B08134_020</t>
  </si>
  <si>
    <t>Estimate!!Total:!!Car, truck, or van:!!60 or more minutes</t>
  </si>
  <si>
    <t>B08134_021</t>
  </si>
  <si>
    <t>Estimate!!Total:!!Car, truck, or van:!!Drove alone:</t>
  </si>
  <si>
    <t>B08134_022</t>
  </si>
  <si>
    <t>Estimate!!Total:!!Car, truck, or van:!!Drove alone:!!Less than 10 minutes</t>
  </si>
  <si>
    <t>B08134_023</t>
  </si>
  <si>
    <t>Estimate!!Total:!!Car, truck, or van:!!Drove alone:!!10 to 14 minutes</t>
  </si>
  <si>
    <t>B08134_024</t>
  </si>
  <si>
    <t>Estimate!!Total:!!Car, truck, or van:!!Drove alone:!!15 to 19 minutes</t>
  </si>
  <si>
    <t>B08134_025</t>
  </si>
  <si>
    <t>Estimate!!Total:!!Car, truck, or van:!!Drove alone:!!20 to 24 minutes</t>
  </si>
  <si>
    <t>B08134_026</t>
  </si>
  <si>
    <t>Estimate!!Total:!!Car, truck, or van:!!Drove alone:!!25 to 29 minutes</t>
  </si>
  <si>
    <t>B08134_027</t>
  </si>
  <si>
    <t>Estimate!!Total:!!Car, truck, or van:!!Drove alone:!!30 to 34 minutes</t>
  </si>
  <si>
    <t>B08134_028</t>
  </si>
  <si>
    <t>Estimate!!Total:!!Car, truck, or van:!!Drove alone:!!35 to 44 minutes</t>
  </si>
  <si>
    <t>B08134_029</t>
  </si>
  <si>
    <t>Estimate!!Total:!!Car, truck, or van:!!Drove alone:!!45 to 59 minutes</t>
  </si>
  <si>
    <t>B08134_030</t>
  </si>
  <si>
    <t>Estimate!!Total:!!Car, truck, or van:!!Drove alone:!!60 or more minutes</t>
  </si>
  <si>
    <t>B08134_031</t>
  </si>
  <si>
    <t>B08134_032</t>
  </si>
  <si>
    <t>Estimate!!Total:!!Car, truck, or van:!!Carpooled:!!Less than 10 minutes</t>
  </si>
  <si>
    <t>B08134_033</t>
  </si>
  <si>
    <t>Estimate!!Total:!!Car, truck, or van:!!Carpooled:!!10 to 14 minutes</t>
  </si>
  <si>
    <t>B08134_034</t>
  </si>
  <si>
    <t>Estimate!!Total:!!Car, truck, or van:!!Carpooled:!!15 to 19 minutes</t>
  </si>
  <si>
    <t>B08134_035</t>
  </si>
  <si>
    <t>Estimate!!Total:!!Car, truck, or van:!!Carpooled:!!20 to 24 minutes</t>
  </si>
  <si>
    <t>B08134_036</t>
  </si>
  <si>
    <t>Estimate!!Total:!!Car, truck, or van:!!Carpooled:!!25 to 29 minutes</t>
  </si>
  <si>
    <t>B08134_037</t>
  </si>
  <si>
    <t>Estimate!!Total:!!Car, truck, or van:!!Carpooled:!!30 to 34 minutes</t>
  </si>
  <si>
    <t>B08134_038</t>
  </si>
  <si>
    <t>Estimate!!Total:!!Car, truck, or van:!!Carpooled:!!35 to 44 minutes</t>
  </si>
  <si>
    <t>B08134_039</t>
  </si>
  <si>
    <t>Estimate!!Total:!!Car, truck, or van:!!Carpooled:!!45 to 59 minutes</t>
  </si>
  <si>
    <t>B08134_040</t>
  </si>
  <si>
    <t>Estimate!!Total:!!Car, truck, or van:!!Carpooled:!!60 or more minutes</t>
  </si>
  <si>
    <t>B08134_041</t>
  </si>
  <si>
    <t>Estimate!!Total:!!Car, truck, or van:!!Carpooled:!!In 2-person carpool:</t>
  </si>
  <si>
    <t>B08134_042</t>
  </si>
  <si>
    <t>Estimate!!Total:!!Car, truck, or van:!!Carpooled:!!In 2-person carpool:!!Less than 10 minutes</t>
  </si>
  <si>
    <t>B08134_043</t>
  </si>
  <si>
    <t>Estimate!!Total:!!Car, truck, or van:!!Carpooled:!!In 2-person carpool:!!10 to 14 minutes</t>
  </si>
  <si>
    <t>B08134_044</t>
  </si>
  <si>
    <t>Estimate!!Total:!!Car, truck, or van:!!Carpooled:!!In 2-person carpool:!!15 to 19 minutes</t>
  </si>
  <si>
    <t>B08134_045</t>
  </si>
  <si>
    <t>Estimate!!Total:!!Car, truck, or van:!!Carpooled:!!In 2-person carpool:!!20 to 24 minutes</t>
  </si>
  <si>
    <t>B08134_046</t>
  </si>
  <si>
    <t>Estimate!!Total:!!Car, truck, or van:!!Carpooled:!!In 2-person carpool:!!25 to 29 minutes</t>
  </si>
  <si>
    <t>B08134_047</t>
  </si>
  <si>
    <t>Estimate!!Total:!!Car, truck, or van:!!Carpooled:!!In 2-person carpool:!!30 to 34 minutes</t>
  </si>
  <si>
    <t>B08134_048</t>
  </si>
  <si>
    <t>Estimate!!Total:!!Car, truck, or van:!!Carpooled:!!In 2-person carpool:!!35 to 44 minutes</t>
  </si>
  <si>
    <t>B08134_049</t>
  </si>
  <si>
    <t>Estimate!!Total:!!Car, truck, or van:!!Carpooled:!!In 2-person carpool:!!45 to 59 minutes</t>
  </si>
  <si>
    <t>B08134_050</t>
  </si>
  <si>
    <t>Estimate!!Total:!!Car, truck, or van:!!Carpooled:!!In 2-person carpool:!!60 or more minutes</t>
  </si>
  <si>
    <t>B08134_051</t>
  </si>
  <si>
    <t>Estimate!!Total:!!Car, truck, or van:!!Carpooled:!!In 3-or-more-person carpool:</t>
  </si>
  <si>
    <t>B08134_052</t>
  </si>
  <si>
    <t>Estimate!!Total:!!Car, truck, or van:!!Carpooled:!!In 3-or-more-person carpool:!!Less than 10 minutes</t>
  </si>
  <si>
    <t>B08134_053</t>
  </si>
  <si>
    <t>Estimate!!Total:!!Car, truck, or van:!!Carpooled:!!In 3-or-more-person carpool:!!10 to 14 minutes</t>
  </si>
  <si>
    <t>B08134_054</t>
  </si>
  <si>
    <t>Estimate!!Total:!!Car, truck, or van:!!Carpooled:!!In 3-or-more-person carpool:!!15 to 19 minutes</t>
  </si>
  <si>
    <t>B08134_055</t>
  </si>
  <si>
    <t>Estimate!!Total:!!Car, truck, or van:!!Carpooled:!!In 3-or-more-person carpool:!!20 to 24 minutes</t>
  </si>
  <si>
    <t>B08134_056</t>
  </si>
  <si>
    <t>Estimate!!Total:!!Car, truck, or van:!!Carpooled:!!In 3-or-more-person carpool:!!25 to 29 minutes</t>
  </si>
  <si>
    <t>B08134_057</t>
  </si>
  <si>
    <t>Estimate!!Total:!!Car, truck, or van:!!Carpooled:!!In 3-or-more-person carpool:!!30 to 34 minutes</t>
  </si>
  <si>
    <t>B08134_058</t>
  </si>
  <si>
    <t>Estimate!!Total:!!Car, truck, or van:!!Carpooled:!!In 3-or-more-person carpool:!!35 to 44 minutes</t>
  </si>
  <si>
    <t>B08134_059</t>
  </si>
  <si>
    <t>Estimate!!Total:!!Car, truck, or van:!!Carpooled:!!In 3-or-more-person carpool:!!45 to 59 minutes</t>
  </si>
  <si>
    <t>B08134_060</t>
  </si>
  <si>
    <t>Estimate!!Total:!!Car, truck, or van:!!Carpooled:!!In 3-or-more-person carpool:!!60 or more minutes</t>
  </si>
  <si>
    <t>B08134_061</t>
  </si>
  <si>
    <t>B08134_062</t>
  </si>
  <si>
    <t>Estimate!!Total:!!Public transportation:!!Less than 10 minutes</t>
  </si>
  <si>
    <t>B08134_063</t>
  </si>
  <si>
    <t>Estimate!!Total:!!Public transportation:!!10 to 14 minutes</t>
  </si>
  <si>
    <t>B08134_064</t>
  </si>
  <si>
    <t>Estimate!!Total:!!Public transportation:!!15 to 19 minutes</t>
  </si>
  <si>
    <t>B08134_065</t>
  </si>
  <si>
    <t>Estimate!!Total:!!Public transportation:!!20 to 24 minutes</t>
  </si>
  <si>
    <t>B08134_066</t>
  </si>
  <si>
    <t>Estimate!!Total:!!Public transportation:!!25 to 29 minutes</t>
  </si>
  <si>
    <t>B08134_067</t>
  </si>
  <si>
    <t>Estimate!!Total:!!Public transportation:!!30 to 34 minutes</t>
  </si>
  <si>
    <t>B08134_068</t>
  </si>
  <si>
    <t>Estimate!!Total:!!Public transportation:!!35 to 44 minutes</t>
  </si>
  <si>
    <t>B08134_069</t>
  </si>
  <si>
    <t>Estimate!!Total:!!Public transportation:!!45 to 59 minutes</t>
  </si>
  <si>
    <t>B08134_070</t>
  </si>
  <si>
    <t>Estimate!!Total:!!Public transportation:!!60 or more minutes</t>
  </si>
  <si>
    <t>B08134_071</t>
  </si>
  <si>
    <t>Estimate!!Total:!!Public transportation:!!Bus:</t>
  </si>
  <si>
    <t>B08134_072</t>
  </si>
  <si>
    <t>Estimate!!Total:!!Public transportation:!!Bus:!!Less than 10 minutes</t>
  </si>
  <si>
    <t>B08134_073</t>
  </si>
  <si>
    <t>Estimate!!Total:!!Public transportation:!!Bus:!!10 to 14 minutes</t>
  </si>
  <si>
    <t>B08134_074</t>
  </si>
  <si>
    <t>Estimate!!Total:!!Public transportation:!!Bus:!!15 to 19 minutes</t>
  </si>
  <si>
    <t>B08134_075</t>
  </si>
  <si>
    <t>Estimate!!Total:!!Public transportation:!!Bus:!!20 to 24 minutes</t>
  </si>
  <si>
    <t>B08134_076</t>
  </si>
  <si>
    <t>Estimate!!Total:!!Public transportation:!!Bus:!!25 to 29 minutes</t>
  </si>
  <si>
    <t>B08134_077</t>
  </si>
  <si>
    <t>Estimate!!Total:!!Public transportation:!!Bus:!!30 to 34 minutes</t>
  </si>
  <si>
    <t>B08134_078</t>
  </si>
  <si>
    <t>Estimate!!Total:!!Public transportation:!!Bus:!!35 to 44 minutes</t>
  </si>
  <si>
    <t>B08134_079</t>
  </si>
  <si>
    <t>Estimate!!Total:!!Public transportation:!!Bus:!!45 to 59 minutes</t>
  </si>
  <si>
    <t>B08134_080</t>
  </si>
  <si>
    <t>Estimate!!Total:!!Public transportation:!!Bus:!!60 or more minutes</t>
  </si>
  <si>
    <t>B08134_081</t>
  </si>
  <si>
    <t>Estimate!!Total:!!Public transportation:!!Subway or elevated rail, Light rail, streetcar, or trolley (carro p��blico in Puerto Rico):</t>
  </si>
  <si>
    <t>B08134_082</t>
  </si>
  <si>
    <t>Estimate!!Total:!!Public transportation:!!Subway or elevated rail, Light rail, streetcar, or trolley (carro p��blico in Puerto Rico):!!Less than 10 minutes</t>
  </si>
  <si>
    <t>B08134_083</t>
  </si>
  <si>
    <t>Estimate!!Total:!!Public transportation:!!Subway or elevated rail, Light rail, streetcar, or trolley (carro p��blico in Puerto Rico):!!10 to 14 minutes</t>
  </si>
  <si>
    <t>B08134_084</t>
  </si>
  <si>
    <t>Estimate!!Total:!!Public transportation:!!Subway or elevated rail, Light rail, streetcar, or trolley (carro p��blico in Puerto Rico):!!15 to 19 minutes</t>
  </si>
  <si>
    <t>B08134_085</t>
  </si>
  <si>
    <t>Estimate!!Total:!!Public transportation:!!Subway or elevated rail, Light rail, streetcar, or trolley (carro p��blico in Puerto Rico):!!20 to 24 minutes</t>
  </si>
  <si>
    <t>B08134_086</t>
  </si>
  <si>
    <t>Estimate!!Total:!!Public transportation:!!Subway or elevated rail, Light rail, streetcar, or trolley (carro p��blico in Puerto Rico):!!25 to 29 minutes</t>
  </si>
  <si>
    <t>B08134_087</t>
  </si>
  <si>
    <t>Estimate!!Total:!!Public transportation:!!Subway or elevated rail, Light rail, streetcar, or trolley (carro p��blico in Puerto Rico):!!30 to 34 minutes</t>
  </si>
  <si>
    <t>B08134_088</t>
  </si>
  <si>
    <t>Estimate!!Total:!!Public transportation:!!Subway or elevated rail, Light rail, streetcar, or trolley (carro p��blico in Puerto Rico):!!35 to 44 minutes</t>
  </si>
  <si>
    <t>B08134_089</t>
  </si>
  <si>
    <t>Estimate!!Total:!!Public transportation:!!Subway or elevated rail, Light rail, streetcar, or trolley (carro p��blico in Puerto Rico):!!45 to 59 minutes</t>
  </si>
  <si>
    <t>B08134_090</t>
  </si>
  <si>
    <t>Estimate!!Total:!!Public transportation:!!Subway or elevated rail, Light rail, streetcar, or trolley (carro p��blico in Puerto Rico):!!60 or more minutes</t>
  </si>
  <si>
    <t>B08134_091</t>
  </si>
  <si>
    <t>Estimate!!Total:!!Public transportation:!!Long-distance train or commuter rail or Ferryboat:</t>
  </si>
  <si>
    <t>B08134_092</t>
  </si>
  <si>
    <t>Estimate!!Total:!!Public transportation:!!Long-distance train or commuter rail or Ferryboat:!!Less than 10 minutes</t>
  </si>
  <si>
    <t>B08134_093</t>
  </si>
  <si>
    <t>Estimate!!Total:!!Public transportation:!!Long-distance train or commuter rail or Ferryboat:!!10 to 14 minutes</t>
  </si>
  <si>
    <t>B08134_094</t>
  </si>
  <si>
    <t>Estimate!!Total:!!Public transportation:!!Long-distance train or commuter rail or Ferryboat:!!15 to 19 minutes</t>
  </si>
  <si>
    <t>B08134_095</t>
  </si>
  <si>
    <t>Estimate!!Total:!!Public transportation:!!Long-distance train or commuter rail or Ferryboat:!!20 to 24 minutes</t>
  </si>
  <si>
    <t>B08134_096</t>
  </si>
  <si>
    <t>Estimate!!Total:!!Public transportation:!!Long-distance train or commuter rail or Ferryboat:!!25 to 29 minutes</t>
  </si>
  <si>
    <t>B08134_097</t>
  </si>
  <si>
    <t>Estimate!!Total:!!Public transportation:!!Long-distance train or commuter rail or Ferryboat:!!30 to 34 minutes</t>
  </si>
  <si>
    <t>B08134_098</t>
  </si>
  <si>
    <t>Estimate!!Total:!!Public transportation:!!Long-distance train or commuter rail or Ferryboat:!!35 to 44 minutes</t>
  </si>
  <si>
    <t>B08134_099</t>
  </si>
  <si>
    <t>Estimate!!Total:!!Public transportation:!!Long-distance train or commuter rail or Ferryboat:!!45 to 59 minutes</t>
  </si>
  <si>
    <t>B08134_100</t>
  </si>
  <si>
    <t>Estimate!!Total:!!Public transportation:!!Long-distance train or commuter rail or Ferryboat:!!60 or more minutes</t>
  </si>
  <si>
    <t>B08134_101</t>
  </si>
  <si>
    <t>B08134_102</t>
  </si>
  <si>
    <t>Estimate!!Total:!!Walked:!!Less than 10 minutes</t>
  </si>
  <si>
    <t>B08134_103</t>
  </si>
  <si>
    <t>Estimate!!Total:!!Walked:!!10 to 14 minutes</t>
  </si>
  <si>
    <t>B08134_104</t>
  </si>
  <si>
    <t>Estimate!!Total:!!Walked:!!15 to 19 minutes</t>
  </si>
  <si>
    <t>B08134_105</t>
  </si>
  <si>
    <t>Estimate!!Total:!!Walked:!!20 to 24 minutes</t>
  </si>
  <si>
    <t>B08134_106</t>
  </si>
  <si>
    <t>Estimate!!Total:!!Walked:!!25 to 29 minutes</t>
  </si>
  <si>
    <t>B08134_107</t>
  </si>
  <si>
    <t>Estimate!!Total:!!Walked:!!30 to 34 minutes</t>
  </si>
  <si>
    <t>B08134_108</t>
  </si>
  <si>
    <t>Estimate!!Total:!!Walked:!!35 to 44 minutes</t>
  </si>
  <si>
    <t>B08134_109</t>
  </si>
  <si>
    <t>Estimate!!Total:!!Walked:!!45 to 59 minutes</t>
  </si>
  <si>
    <t>B08134_110</t>
  </si>
  <si>
    <t>Estimate!!Total:!!Walked:!!60 or more minutes</t>
  </si>
  <si>
    <t>B08134_111</t>
  </si>
  <si>
    <t>B08134_112</t>
  </si>
  <si>
    <t>Estimate!!Total:!!Taxi or ride-hailing services, motorcycle, bicycle, or other means:!!Less than 10 minutes</t>
  </si>
  <si>
    <t>B08134_113</t>
  </si>
  <si>
    <t>Estimate!!Total:!!Taxi or ride-hailing services, motorcycle, bicycle, or other means:!!10 to 14 minutes</t>
  </si>
  <si>
    <t>B08134_114</t>
  </si>
  <si>
    <t>Estimate!!Total:!!Taxi or ride-hailing services, motorcycle, bicycle, or other means:!!15 to 19 minutes</t>
  </si>
  <si>
    <t>B08134_115</t>
  </si>
  <si>
    <t>Estimate!!Total:!!Taxi or ride-hailing services, motorcycle, bicycle, or other means:!!20 to 24 minutes</t>
  </si>
  <si>
    <t>B08134_116</t>
  </si>
  <si>
    <t>Estimate!!Total:!!Taxi or ride-hailing services, motorcycle, bicycle, or other means:!!25 to 29 minutes</t>
  </si>
  <si>
    <t>B08134_117</t>
  </si>
  <si>
    <t>Estimate!!Total:!!Taxi or ride-hailing services, motorcycle, bicycle, or other means:!!30 to 34 minutes</t>
  </si>
  <si>
    <t>B08134_118</t>
  </si>
  <si>
    <t>Estimate!!Total:!!Taxi or ride-hailing services, motorcycle, bicycle, or other means:!!35 to 44 minutes</t>
  </si>
  <si>
    <t>B08134_119</t>
  </si>
  <si>
    <t>Estimate!!Total:!!Taxi or ride-hailing services, motorcycle, bicycle, or other means:!!45 to 59 minutes</t>
  </si>
  <si>
    <t>B08134_120</t>
  </si>
  <si>
    <t>Estimate!!Total:!!Taxi or ride-hailing services, motorcycle, bicycle, or other means:!!60 or more minutes</t>
  </si>
  <si>
    <t>B08135_002</t>
  </si>
  <si>
    <t>Estimate!!Aggregate travel time to work (in minutes):!!Less than 10 minutes</t>
  </si>
  <si>
    <t>B08135_003</t>
  </si>
  <si>
    <t>Estimate!!Aggregate travel time to work (in minutes):!!10 to 14 minutes</t>
  </si>
  <si>
    <t>B08135_004</t>
  </si>
  <si>
    <t>Estimate!!Aggregate travel time to work (in minutes):!!15 to 19 minutes</t>
  </si>
  <si>
    <t>B08135_005</t>
  </si>
  <si>
    <t>Estimate!!Aggregate travel time to work (in minutes):!!20 to 24 minutes</t>
  </si>
  <si>
    <t>B08135_006</t>
  </si>
  <si>
    <t>Estimate!!Aggregate travel time to work (in minutes):!!25 to 29 minutes</t>
  </si>
  <si>
    <t>B08135_007</t>
  </si>
  <si>
    <t>Estimate!!Aggregate travel time to work (in minutes):!!30 to 34 minutes</t>
  </si>
  <si>
    <t>B08135_008</t>
  </si>
  <si>
    <t>Estimate!!Aggregate travel time to work (in minutes):!!35 to 44 minutes</t>
  </si>
  <si>
    <t>B08135_009</t>
  </si>
  <si>
    <t>Estimate!!Aggregate travel time to work (in minutes):!!45 to 59 minutes</t>
  </si>
  <si>
    <t>B08135_010</t>
  </si>
  <si>
    <t>Estimate!!Aggregate travel time to work (in minutes):!!60 or more minutes</t>
  </si>
  <si>
    <t>B08136_002</t>
  </si>
  <si>
    <t>Estimate!!Aggregate travel time to work (in minutes):!!Car, truck, or van:</t>
  </si>
  <si>
    <t>B08136_003</t>
  </si>
  <si>
    <t>Estimate!!Aggregate travel time to work (in minutes):!!Car, truck, or van:!!Drove alone</t>
  </si>
  <si>
    <t>B08136_004</t>
  </si>
  <si>
    <t>Estimate!!Aggregate travel time to work (in minutes):!!Car, truck, or van:!!Carpooled:</t>
  </si>
  <si>
    <t>B08136_005</t>
  </si>
  <si>
    <t>Estimate!!Aggregate travel time to work (in minutes):!!Car, truck, or van:!!Carpooled:!!In 2-person carpool</t>
  </si>
  <si>
    <t>B08136_006</t>
  </si>
  <si>
    <t>Estimate!!Aggregate travel time to work (in minutes):!!Car, truck, or van:!!Carpooled:!!In 3-or-more-person carpool</t>
  </si>
  <si>
    <t>B08136_007</t>
  </si>
  <si>
    <t>Estimate!!Aggregate travel time to work (in minutes):!!Public transportation:</t>
  </si>
  <si>
    <t>B08136_008</t>
  </si>
  <si>
    <t>Estimate!!Aggregate travel time to work (in minutes):!!Public transportation:!!Bus</t>
  </si>
  <si>
    <t>B08136_009</t>
  </si>
  <si>
    <t>Estimate!!Aggregate travel time to work (in minutes):!!Public transportation:!!Subway or elevated rail, Light rail, streetcar, or trolley (carro p��blico in Puerto Rico):</t>
  </si>
  <si>
    <t>B08136_010</t>
  </si>
  <si>
    <t>Estimate!!Aggregate travel time to work (in minutes):!!Public transportation:!!Long-distance train or commuter rail or Ferryboat:</t>
  </si>
  <si>
    <t>B08136_011</t>
  </si>
  <si>
    <t>Estimate!!Aggregate travel time to work (in minutes):!!Walked</t>
  </si>
  <si>
    <t>B08136_012</t>
  </si>
  <si>
    <t>Estimate!!Aggregate travel time to work (in minutes):!!Taxi or ride-hailing services, motorcycle, bicycle, or other means</t>
  </si>
  <si>
    <t>B08137_002</t>
  </si>
  <si>
    <t>B08137_003</t>
  </si>
  <si>
    <t>B08137_004</t>
  </si>
  <si>
    <t>B08137_005</t>
  </si>
  <si>
    <t>Estimate!!Total:!!Car, truck, or van - drove alone:!!Householder lived in owner-occupied housing units</t>
  </si>
  <si>
    <t>B08137_006</t>
  </si>
  <si>
    <t>Estimate!!Total:!!Car, truck, or van - drove alone:!!Householder lived in renter-occupied housing units</t>
  </si>
  <si>
    <t>B08137_007</t>
  </si>
  <si>
    <t>B08137_008</t>
  </si>
  <si>
    <t>Estimate!!Total:!!Car, truck, or van - carpooled:!!Householder lived in owner-occupied housing units</t>
  </si>
  <si>
    <t>B08137_009</t>
  </si>
  <si>
    <t>Estimate!!Total:!!Car, truck, or van - carpooled:!!Householder lived in renter-occupied housing units</t>
  </si>
  <si>
    <t>B08137_010</t>
  </si>
  <si>
    <t>B08137_011</t>
  </si>
  <si>
    <t>Estimate!!Total:!!Public transportation:!!Householder lived in owner-occupied housing units</t>
  </si>
  <si>
    <t>B08137_012</t>
  </si>
  <si>
    <t>Estimate!!Total:!!Public transportation:!!Householder lived in renter-occupied housing units</t>
  </si>
  <si>
    <t>B08137_013</t>
  </si>
  <si>
    <t>B08137_014</t>
  </si>
  <si>
    <t>Estimate!!Total:!!Walked:!!Householder lived in owner-occupied housing units</t>
  </si>
  <si>
    <t>B08137_015</t>
  </si>
  <si>
    <t>Estimate!!Total:!!Walked:!!Householder lived in renter-occupied housing units</t>
  </si>
  <si>
    <t>B08137_016</t>
  </si>
  <si>
    <t>B08137_017</t>
  </si>
  <si>
    <t>Estimate!!Total:!!Taxi or ride-hailing services, motorcycle, bicycle, or other means:!!Householder lived in owner-occupied housing units</t>
  </si>
  <si>
    <t>B08137_018</t>
  </si>
  <si>
    <t>Estimate!!Total:!!Taxi or ride-hailing services, motorcycle, bicycle, or other means:!!Householder lived in renter-occupied housing units</t>
  </si>
  <si>
    <t>B08137_019</t>
  </si>
  <si>
    <t>B08137_020</t>
  </si>
  <si>
    <t>Estimate!!Total:!!Worked from home:!!Householder lived in owner-occupied housing units</t>
  </si>
  <si>
    <t>B08137_021</t>
  </si>
  <si>
    <t>Estimate!!Total:!!Worked from home:!!Householder lived in renter-occupied housing units</t>
  </si>
  <si>
    <t>B08141_002</t>
  </si>
  <si>
    <t>B08141_003</t>
  </si>
  <si>
    <t>B08141_004</t>
  </si>
  <si>
    <t>B08141_005</t>
  </si>
  <si>
    <t>Estimate!!Total:!!3 or more vehicles available</t>
  </si>
  <si>
    <t>B08141_006</t>
  </si>
  <si>
    <t>B08141_007</t>
  </si>
  <si>
    <t>Estimate!!Total:!!Car, truck, or van - drove alone:!!No vehicle available</t>
  </si>
  <si>
    <t>B08141_008</t>
  </si>
  <si>
    <t>Estimate!!Total:!!Car, truck, or van - drove alone:!!1 vehicle available</t>
  </si>
  <si>
    <t>B08141_009</t>
  </si>
  <si>
    <t>Estimate!!Total:!!Car, truck, or van - drove alone:!!2 vehicles available</t>
  </si>
  <si>
    <t>B08141_010</t>
  </si>
  <si>
    <t>Estimate!!Total:!!Car, truck, or van - drove alone:!!3 or more vehicles available</t>
  </si>
  <si>
    <t>B08141_011</t>
  </si>
  <si>
    <t>B08141_012</t>
  </si>
  <si>
    <t>Estimate!!Total:!!Car, truck, or van - carpooled:!!No vehicle available</t>
  </si>
  <si>
    <t>B08141_013</t>
  </si>
  <si>
    <t>Estimate!!Total:!!Car, truck, or van - carpooled:!!1 vehicle available</t>
  </si>
  <si>
    <t>B08141_014</t>
  </si>
  <si>
    <t>Estimate!!Total:!!Car, truck, or van - carpooled:!!2 vehicles available</t>
  </si>
  <si>
    <t>B08141_015</t>
  </si>
  <si>
    <t>Estimate!!Total:!!Car, truck, or van - carpooled:!!3 or more vehicles available</t>
  </si>
  <si>
    <t>B08141_016</t>
  </si>
  <si>
    <t>B08141_017</t>
  </si>
  <si>
    <t>Estimate!!Total:!!Public transportation:!!No vehicle available</t>
  </si>
  <si>
    <t>B08141_018</t>
  </si>
  <si>
    <t>Estimate!!Total:!!Public transportation:!!1 vehicle available</t>
  </si>
  <si>
    <t>B08141_019</t>
  </si>
  <si>
    <t>Estimate!!Total:!!Public transportation:!!2 vehicles available</t>
  </si>
  <si>
    <t>B08141_020</t>
  </si>
  <si>
    <t>Estimate!!Total:!!Public transportation:!!3 or more vehicles available</t>
  </si>
  <si>
    <t>B08141_021</t>
  </si>
  <si>
    <t>B08141_022</t>
  </si>
  <si>
    <t>Estimate!!Total:!!Walked:!!No vehicle available</t>
  </si>
  <si>
    <t>B08141_023</t>
  </si>
  <si>
    <t>Estimate!!Total:!!Walked:!!1 vehicle available</t>
  </si>
  <si>
    <t>B08141_024</t>
  </si>
  <si>
    <t>Estimate!!Total:!!Walked:!!2 vehicles available</t>
  </si>
  <si>
    <t>B08141_025</t>
  </si>
  <si>
    <t>Estimate!!Total:!!Walked:!!3 or more vehicles available</t>
  </si>
  <si>
    <t>B08141_026</t>
  </si>
  <si>
    <t>B08141_027</t>
  </si>
  <si>
    <t>Estimate!!Total:!!Taxi or ride-hailing services, motorcycle, bicycle, or other means:!!No vehicle available</t>
  </si>
  <si>
    <t>B08141_028</t>
  </si>
  <si>
    <t>Estimate!!Total:!!Taxi or ride-hailing services, motorcycle, bicycle, or other means:!!1 vehicle available</t>
  </si>
  <si>
    <t>B08141_029</t>
  </si>
  <si>
    <t>Estimate!!Total:!!Taxi or ride-hailing services, motorcycle, bicycle, or other means:!!2 vehicles available</t>
  </si>
  <si>
    <t>B08141_030</t>
  </si>
  <si>
    <t>Estimate!!Total:!!Taxi or ride-hailing services, motorcycle, bicycle, or other means:!!3 or more vehicles available</t>
  </si>
  <si>
    <t>B08141_031</t>
  </si>
  <si>
    <t>B08141_032</t>
  </si>
  <si>
    <t>Estimate!!Total:!!Worked from home:!!No vehicle available</t>
  </si>
  <si>
    <t>B08141_033</t>
  </si>
  <si>
    <t>Estimate!!Total:!!Worked from home:!!1 vehicle available</t>
  </si>
  <si>
    <t>B08141_034</t>
  </si>
  <si>
    <t>Estimate!!Total:!!Worked from home:!!2 vehicles available</t>
  </si>
  <si>
    <t>B08141_035</t>
  </si>
  <si>
    <t>Estimate!!Total:!!Worked from home:!!3 or more vehicles available</t>
  </si>
  <si>
    <t>B08201_002</t>
  </si>
  <si>
    <t>B08201_003</t>
  </si>
  <si>
    <t>B08201_004</t>
  </si>
  <si>
    <t>B08201_005</t>
  </si>
  <si>
    <t>B08201_006</t>
  </si>
  <si>
    <t>Estimate!!Total:!!4 or more vehicles available</t>
  </si>
  <si>
    <t>B08201_007</t>
  </si>
  <si>
    <t>Estimate!!Total:!!1-person household:</t>
  </si>
  <si>
    <t>B08201_008</t>
  </si>
  <si>
    <t>Estimate!!Total:!!1-person household:!!No vehicle available</t>
  </si>
  <si>
    <t>B08201_009</t>
  </si>
  <si>
    <t>Estimate!!Total:!!1-person household:!!1 vehicle available</t>
  </si>
  <si>
    <t>B08201_010</t>
  </si>
  <si>
    <t>Estimate!!Total:!!1-person household:!!2 vehicles available</t>
  </si>
  <si>
    <t>B08201_011</t>
  </si>
  <si>
    <t>Estimate!!Total:!!1-person household:!!3 vehicles available</t>
  </si>
  <si>
    <t>B08201_012</t>
  </si>
  <si>
    <t>Estimate!!Total:!!1-person household:!!4 or more vehicles available</t>
  </si>
  <si>
    <t>B08201_013</t>
  </si>
  <si>
    <t>Estimate!!Total:!!2-person household:</t>
  </si>
  <si>
    <t>B08201_014</t>
  </si>
  <si>
    <t>Estimate!!Total:!!2-person household:!!No vehicle available</t>
  </si>
  <si>
    <t>B08201_015</t>
  </si>
  <si>
    <t>Estimate!!Total:!!2-person household:!!1 vehicle available</t>
  </si>
  <si>
    <t>B08201_016</t>
  </si>
  <si>
    <t>Estimate!!Total:!!2-person household:!!2 vehicles available</t>
  </si>
  <si>
    <t>B08201_017</t>
  </si>
  <si>
    <t>Estimate!!Total:!!2-person household:!!3 vehicles available</t>
  </si>
  <si>
    <t>B08201_018</t>
  </si>
  <si>
    <t>Estimate!!Total:!!2-person household:!!4 or more vehicles available</t>
  </si>
  <si>
    <t>B08201_019</t>
  </si>
  <si>
    <t>Estimate!!Total:!!3-person household:</t>
  </si>
  <si>
    <t>B08201_020</t>
  </si>
  <si>
    <t>Estimate!!Total:!!3-person household:!!No vehicle available</t>
  </si>
  <si>
    <t>B08201_021</t>
  </si>
  <si>
    <t>Estimate!!Total:!!3-person household:!!1 vehicle available</t>
  </si>
  <si>
    <t>B08201_022</t>
  </si>
  <si>
    <t>Estimate!!Total:!!3-person household:!!2 vehicles available</t>
  </si>
  <si>
    <t>B08201_023</t>
  </si>
  <si>
    <t>Estimate!!Total:!!3-person household:!!3 vehicles available</t>
  </si>
  <si>
    <t>B08201_024</t>
  </si>
  <si>
    <t>Estimate!!Total:!!3-person household:!!4 or more vehicles available</t>
  </si>
  <si>
    <t>B08201_025</t>
  </si>
  <si>
    <t>Estimate!!Total:!!4-or-more-person household:</t>
  </si>
  <si>
    <t>B08201_026</t>
  </si>
  <si>
    <t>Estimate!!Total:!!4-or-more-person household:!!No vehicle available</t>
  </si>
  <si>
    <t>B08201_027</t>
  </si>
  <si>
    <t>Estimate!!Total:!!4-or-more-person household:!!1 vehicle available</t>
  </si>
  <si>
    <t>B08201_028</t>
  </si>
  <si>
    <t>Estimate!!Total:!!4-or-more-person household:!!2 vehicles available</t>
  </si>
  <si>
    <t>B08201_029</t>
  </si>
  <si>
    <t>Estimate!!Total:!!4-or-more-person household:!!3 vehicles available</t>
  </si>
  <si>
    <t>B08201_030</t>
  </si>
  <si>
    <t>Estimate!!Total:!!4-or-more-person household:!!4 or more vehicles available</t>
  </si>
  <si>
    <t>B08202_002</t>
  </si>
  <si>
    <t>Estimate!!Total:!!No workers</t>
  </si>
  <si>
    <t>B08202_003</t>
  </si>
  <si>
    <t>Estimate!!Total:!!1 worker</t>
  </si>
  <si>
    <t>B08202_004</t>
  </si>
  <si>
    <t>Estimate!!Total:!!2 workers</t>
  </si>
  <si>
    <t>B08202_005</t>
  </si>
  <si>
    <t>Estimate!!Total:!!3 or more workers</t>
  </si>
  <si>
    <t>B08202_006</t>
  </si>
  <si>
    <t>B08202_007</t>
  </si>
  <si>
    <t>Estimate!!Total:!!1-person household:!!No workers</t>
  </si>
  <si>
    <t>B08202_008</t>
  </si>
  <si>
    <t>Estimate!!Total:!!1-person household:!!1 worker</t>
  </si>
  <si>
    <t>B08202_009</t>
  </si>
  <si>
    <t>B08202_010</t>
  </si>
  <si>
    <t>Estimate!!Total:!!2-person household:!!No workers</t>
  </si>
  <si>
    <t>B08202_011</t>
  </si>
  <si>
    <t>Estimate!!Total:!!2-person household:!!1 worker</t>
  </si>
  <si>
    <t>B08202_012</t>
  </si>
  <si>
    <t>Estimate!!Total:!!2-person household:!!2 workers</t>
  </si>
  <si>
    <t>B08202_013</t>
  </si>
  <si>
    <t>B08202_014</t>
  </si>
  <si>
    <t>Estimate!!Total:!!3-person household:!!No workers</t>
  </si>
  <si>
    <t>B08202_015</t>
  </si>
  <si>
    <t>Estimate!!Total:!!3-person household:!!1 worker</t>
  </si>
  <si>
    <t>B08202_016</t>
  </si>
  <si>
    <t>Estimate!!Total:!!3-person household:!!2 workers</t>
  </si>
  <si>
    <t>B08202_017</t>
  </si>
  <si>
    <t>Estimate!!Total:!!3-person household:!!3 workers</t>
  </si>
  <si>
    <t>B08202_018</t>
  </si>
  <si>
    <t>B08202_019</t>
  </si>
  <si>
    <t>Estimate!!Total:!!4-or-more-person household:!!No workers</t>
  </si>
  <si>
    <t>B08202_020</t>
  </si>
  <si>
    <t>Estimate!!Total:!!4-or-more-person household:!!1 worker</t>
  </si>
  <si>
    <t>B08202_021</t>
  </si>
  <si>
    <t>Estimate!!Total:!!4-or-more-person household:!!2 workers</t>
  </si>
  <si>
    <t>B08202_022</t>
  </si>
  <si>
    <t>Estimate!!Total:!!4-or-more-person household:!!3 or more workers</t>
  </si>
  <si>
    <t>B08203_002</t>
  </si>
  <si>
    <t>B08203_003</t>
  </si>
  <si>
    <t>B08203_004</t>
  </si>
  <si>
    <t>B08203_005</t>
  </si>
  <si>
    <t>B08203_006</t>
  </si>
  <si>
    <t>B08203_007</t>
  </si>
  <si>
    <t>Estimate!!Total:!!No workers:</t>
  </si>
  <si>
    <t>B08203_008</t>
  </si>
  <si>
    <t>Estimate!!Total:!!No workers:!!No vehicle available</t>
  </si>
  <si>
    <t>B08203_009</t>
  </si>
  <si>
    <t>Estimate!!Total:!!No workers:!!1 vehicle available</t>
  </si>
  <si>
    <t>B08203_010</t>
  </si>
  <si>
    <t>Estimate!!Total:!!No workers:!!2 vehicles available</t>
  </si>
  <si>
    <t>B08203_011</t>
  </si>
  <si>
    <t>Estimate!!Total:!!No workers:!!3 vehicles available</t>
  </si>
  <si>
    <t>B08203_012</t>
  </si>
  <si>
    <t>Estimate!!Total:!!No workers:!!4 or more vehicles available</t>
  </si>
  <si>
    <t>B08203_013</t>
  </si>
  <si>
    <t>Estimate!!Total:!!1 worker:</t>
  </si>
  <si>
    <t>B08203_014</t>
  </si>
  <si>
    <t>Estimate!!Total:!!1 worker:!!No vehicle available</t>
  </si>
  <si>
    <t>B08203_015</t>
  </si>
  <si>
    <t>Estimate!!Total:!!1 worker:!!1 vehicle available</t>
  </si>
  <si>
    <t>B08203_016</t>
  </si>
  <si>
    <t>Estimate!!Total:!!1 worker:!!2 vehicles available</t>
  </si>
  <si>
    <t>B08203_017</t>
  </si>
  <si>
    <t>Estimate!!Total:!!1 worker:!!3 vehicles available</t>
  </si>
  <si>
    <t>B08203_018</t>
  </si>
  <si>
    <t>Estimate!!Total:!!1 worker:!!4 or more vehicles available</t>
  </si>
  <si>
    <t>B08203_019</t>
  </si>
  <si>
    <t>Estimate!!Total:!!2 workers:</t>
  </si>
  <si>
    <t>B08203_020</t>
  </si>
  <si>
    <t>Estimate!!Total:!!2 workers:!!No vehicle available</t>
  </si>
  <si>
    <t>B08203_021</t>
  </si>
  <si>
    <t>Estimate!!Total:!!2 workers:!!1 vehicle available</t>
  </si>
  <si>
    <t>B08203_022</t>
  </si>
  <si>
    <t>Estimate!!Total:!!2 workers:!!2 vehicles available</t>
  </si>
  <si>
    <t>B08203_023</t>
  </si>
  <si>
    <t>Estimate!!Total:!!2 workers:!!3 vehicles available</t>
  </si>
  <si>
    <t>B08203_024</t>
  </si>
  <si>
    <t>Estimate!!Total:!!2 workers:!!4 or more vehicles available</t>
  </si>
  <si>
    <t>B08203_025</t>
  </si>
  <si>
    <t>Estimate!!Total:!!3 or more workers:</t>
  </si>
  <si>
    <t>B08203_026</t>
  </si>
  <si>
    <t>Estimate!!Total:!!3 or more workers:!!No vehicle available</t>
  </si>
  <si>
    <t>B08203_027</t>
  </si>
  <si>
    <t>Estimate!!Total:!!3 or more workers:!!1 vehicle available</t>
  </si>
  <si>
    <t>B08203_028</t>
  </si>
  <si>
    <t>Estimate!!Total:!!3 or more workers:!!2 vehicles available</t>
  </si>
  <si>
    <t>B08203_029</t>
  </si>
  <si>
    <t>Estimate!!Total:!!3 or more workers:!!3 vehicles available</t>
  </si>
  <si>
    <t>B08203_030</t>
  </si>
  <si>
    <t>Estimate!!Total:!!3 or more workers:!!4 or more vehicles available</t>
  </si>
  <si>
    <t>B08301_002</t>
  </si>
  <si>
    <t>B08301_003</t>
  </si>
  <si>
    <t>B08301_004</t>
  </si>
  <si>
    <t>B08301_005</t>
  </si>
  <si>
    <t>B08301_006</t>
  </si>
  <si>
    <t>B08301_007</t>
  </si>
  <si>
    <t>Estimate!!Total:!!Car, truck, or van:!!Carpooled:!!In 4-person carpool</t>
  </si>
  <si>
    <t>B08301_008</t>
  </si>
  <si>
    <t>Estimate!!Total:!!Car, truck, or van:!!Carpooled:!!In 5- or 6-person carpool</t>
  </si>
  <si>
    <t>B08301_009</t>
  </si>
  <si>
    <t>Estimate!!Total:!!Car, truck, or van:!!Carpooled:!!In 7-or-more-person carpool</t>
  </si>
  <si>
    <t>B08301_010</t>
  </si>
  <si>
    <t>B08301_011</t>
  </si>
  <si>
    <t>B08301_012</t>
  </si>
  <si>
    <t>B08301_013</t>
  </si>
  <si>
    <t>B08301_014</t>
  </si>
  <si>
    <t>B08301_015</t>
  </si>
  <si>
    <t>B08301_016</t>
  </si>
  <si>
    <t>Estimate!!Total:!!Taxi or ride-hailing services</t>
  </si>
  <si>
    <t>B08301_017</t>
  </si>
  <si>
    <t>Estimate!!Total:!!Motorcycle</t>
  </si>
  <si>
    <t>B08301_018</t>
  </si>
  <si>
    <t>B08301_019</t>
  </si>
  <si>
    <t>B08301_020</t>
  </si>
  <si>
    <t>Estimate!!Total:!!Other means</t>
  </si>
  <si>
    <t>B08301_021</t>
  </si>
  <si>
    <t>B08302_002</t>
  </si>
  <si>
    <t>B08302_003</t>
  </si>
  <si>
    <t>B08302_004</t>
  </si>
  <si>
    <t>B08302_005</t>
  </si>
  <si>
    <t>B08302_006</t>
  </si>
  <si>
    <t>B08302_007</t>
  </si>
  <si>
    <t>B08302_008</t>
  </si>
  <si>
    <t>B08302_009</t>
  </si>
  <si>
    <t>B08302_010</t>
  </si>
  <si>
    <t>B08302_011</t>
  </si>
  <si>
    <t>B08302_012</t>
  </si>
  <si>
    <t>B08302_013</t>
  </si>
  <si>
    <t>B08302_014</t>
  </si>
  <si>
    <t>B08302_015</t>
  </si>
  <si>
    <t>B08303_002</t>
  </si>
  <si>
    <t>B08303_003</t>
  </si>
  <si>
    <t>B08303_004</t>
  </si>
  <si>
    <t>B08303_005</t>
  </si>
  <si>
    <t>B08303_006</t>
  </si>
  <si>
    <t>B08303_007</t>
  </si>
  <si>
    <t>B08303_008</t>
  </si>
  <si>
    <t>B08303_009</t>
  </si>
  <si>
    <t>B08303_010</t>
  </si>
  <si>
    <t>B08303_011</t>
  </si>
  <si>
    <t>B08303_012</t>
  </si>
  <si>
    <t>B08303_013</t>
  </si>
  <si>
    <t>B08406_002</t>
  </si>
  <si>
    <t>B08406_003</t>
  </si>
  <si>
    <t>B08406_004</t>
  </si>
  <si>
    <t>B08406_005</t>
  </si>
  <si>
    <t>B08406_006</t>
  </si>
  <si>
    <t>B08406_007</t>
  </si>
  <si>
    <t>B08406_008</t>
  </si>
  <si>
    <t>B08406_009</t>
  </si>
  <si>
    <t>B08406_010</t>
  </si>
  <si>
    <t>B08406_011</t>
  </si>
  <si>
    <t>B08406_012</t>
  </si>
  <si>
    <t>B08406_013</t>
  </si>
  <si>
    <t>B08406_014</t>
  </si>
  <si>
    <t>B08406_015</t>
  </si>
  <si>
    <t>B08406_016</t>
  </si>
  <si>
    <t>B08406_017</t>
  </si>
  <si>
    <t>B08406_018</t>
  </si>
  <si>
    <t>B08406_019</t>
  </si>
  <si>
    <t>B08406_020</t>
  </si>
  <si>
    <t>B08406_021</t>
  </si>
  <si>
    <t>B08406_022</t>
  </si>
  <si>
    <t>B08406_023</t>
  </si>
  <si>
    <t>B08406_024</t>
  </si>
  <si>
    <t>B08406_025</t>
  </si>
  <si>
    <t>B08406_026</t>
  </si>
  <si>
    <t>B08406_027</t>
  </si>
  <si>
    <t>B08406_028</t>
  </si>
  <si>
    <t>B08406_029</t>
  </si>
  <si>
    <t>B08406_030</t>
  </si>
  <si>
    <t>B08406_031</t>
  </si>
  <si>
    <t>B08406_032</t>
  </si>
  <si>
    <t>B08406_033</t>
  </si>
  <si>
    <t>B08406_034</t>
  </si>
  <si>
    <t>B08406_035</t>
  </si>
  <si>
    <t>B08406_036</t>
  </si>
  <si>
    <t>B08406_037</t>
  </si>
  <si>
    <t>B08406_038</t>
  </si>
  <si>
    <t>B08406_039</t>
  </si>
  <si>
    <t>B08406_040</t>
  </si>
  <si>
    <t>B08406_041</t>
  </si>
  <si>
    <t>B08406_042</t>
  </si>
  <si>
    <t>B08406_043</t>
  </si>
  <si>
    <t>B08406_044</t>
  </si>
  <si>
    <t>B08406_045</t>
  </si>
  <si>
    <t>B08406_046</t>
  </si>
  <si>
    <t>B08406_047</t>
  </si>
  <si>
    <t>B08406_048</t>
  </si>
  <si>
    <t>B08406_049</t>
  </si>
  <si>
    <t>B08406_050</t>
  </si>
  <si>
    <t>B08406_051</t>
  </si>
  <si>
    <t>B08412_002</t>
  </si>
  <si>
    <t>B08412_003</t>
  </si>
  <si>
    <t>B08412_004</t>
  </si>
  <si>
    <t>B08412_005</t>
  </si>
  <si>
    <t>B08412_006</t>
  </si>
  <si>
    <t>B08412_007</t>
  </si>
  <si>
    <t>B08412_008</t>
  </si>
  <si>
    <t>B08412_009</t>
  </si>
  <si>
    <t>B08412_010</t>
  </si>
  <si>
    <t>B08412_011</t>
  </si>
  <si>
    <t>B08412_012</t>
  </si>
  <si>
    <t>B08412_013</t>
  </si>
  <si>
    <t>B08412_014</t>
  </si>
  <si>
    <t>B08412_015</t>
  </si>
  <si>
    <t>B08412_016</t>
  </si>
  <si>
    <t>B08412_017</t>
  </si>
  <si>
    <t>B08412_018</t>
  </si>
  <si>
    <t>B08412_019</t>
  </si>
  <si>
    <t>B08412_020</t>
  </si>
  <si>
    <t>B08412_021</t>
  </si>
  <si>
    <t>B08412_022</t>
  </si>
  <si>
    <t>B08412_023</t>
  </si>
  <si>
    <t>B08412_024</t>
  </si>
  <si>
    <t>B08412_025</t>
  </si>
  <si>
    <t>B08412_026</t>
  </si>
  <si>
    <t>B08412_027</t>
  </si>
  <si>
    <t>B08412_028</t>
  </si>
  <si>
    <t>B08412_029</t>
  </si>
  <si>
    <t>B08412_030</t>
  </si>
  <si>
    <t>B08412_031</t>
  </si>
  <si>
    <t>B08412_032</t>
  </si>
  <si>
    <t>B08412_033</t>
  </si>
  <si>
    <t>B08412_034</t>
  </si>
  <si>
    <t>B08412_035</t>
  </si>
  <si>
    <t>B08412_036</t>
  </si>
  <si>
    <t>B08412_037</t>
  </si>
  <si>
    <t>B08412_038</t>
  </si>
  <si>
    <t>B08412_039</t>
  </si>
  <si>
    <t>B08501_002</t>
  </si>
  <si>
    <t>B08501_003</t>
  </si>
  <si>
    <t>B08501_004</t>
  </si>
  <si>
    <t>B08501_005</t>
  </si>
  <si>
    <t>B08501_006</t>
  </si>
  <si>
    <t>B08501_007</t>
  </si>
  <si>
    <t>B08501_008</t>
  </si>
  <si>
    <t>B08501_009</t>
  </si>
  <si>
    <t>B08501_010</t>
  </si>
  <si>
    <t>B08501_011</t>
  </si>
  <si>
    <t>B08501_012</t>
  </si>
  <si>
    <t>B08501_013</t>
  </si>
  <si>
    <t>B08501_014</t>
  </si>
  <si>
    <t>B08501_015</t>
  </si>
  <si>
    <t>B08501_016</t>
  </si>
  <si>
    <t>B08501_017</t>
  </si>
  <si>
    <t>B08501_018</t>
  </si>
  <si>
    <t>B08501_019</t>
  </si>
  <si>
    <t>B08501_020</t>
  </si>
  <si>
    <t>B08501_021</t>
  </si>
  <si>
    <t>B08501_022</t>
  </si>
  <si>
    <t>B08501_023</t>
  </si>
  <si>
    <t>B08501_024</t>
  </si>
  <si>
    <t>B08501_025</t>
  </si>
  <si>
    <t>B08501_026</t>
  </si>
  <si>
    <t>B08501_027</t>
  </si>
  <si>
    <t>B08501_028</t>
  </si>
  <si>
    <t>B08501_029</t>
  </si>
  <si>
    <t>B08501_030</t>
  </si>
  <si>
    <t>B08501_031</t>
  </si>
  <si>
    <t>B08501_032</t>
  </si>
  <si>
    <t>B08501_033</t>
  </si>
  <si>
    <t>B08501_034</t>
  </si>
  <si>
    <t>B08501_035</t>
  </si>
  <si>
    <t>B08501_036</t>
  </si>
  <si>
    <t>B08501_037</t>
  </si>
  <si>
    <t>B08501_038</t>
  </si>
  <si>
    <t>B08501_039</t>
  </si>
  <si>
    <t>B08501_040</t>
  </si>
  <si>
    <t>B08501_041</t>
  </si>
  <si>
    <t>B08501_042</t>
  </si>
  <si>
    <t>B08501_043</t>
  </si>
  <si>
    <t>B08501_044</t>
  </si>
  <si>
    <t>B08501_045</t>
  </si>
  <si>
    <t>B08501_046</t>
  </si>
  <si>
    <t>B08501_047</t>
  </si>
  <si>
    <t>B08501_048</t>
  </si>
  <si>
    <t>B08501_049</t>
  </si>
  <si>
    <t>B08501_050</t>
  </si>
  <si>
    <t>Estimate!!Total:!!Worked from home:!!16 to 19 years</t>
  </si>
  <si>
    <t>B08501_051</t>
  </si>
  <si>
    <t>Estimate!!Total:!!Worked from home:!!20 to 24 years</t>
  </si>
  <si>
    <t>B08501_052</t>
  </si>
  <si>
    <t>Estimate!!Total:!!Worked from home:!!25 to 44 years</t>
  </si>
  <si>
    <t>B08501_053</t>
  </si>
  <si>
    <t>Estimate!!Total:!!Worked from home:!!45 to 54 years</t>
  </si>
  <si>
    <t>B08501_054</t>
  </si>
  <si>
    <t>Estimate!!Total:!!Worked from home:!!55 to 59 years</t>
  </si>
  <si>
    <t>B08501_055</t>
  </si>
  <si>
    <t>Estimate!!Total:!!Worked from home:!!60 to 64 years</t>
  </si>
  <si>
    <t>B08501_056</t>
  </si>
  <si>
    <t>Estimate!!Total:!!Worked from home:!!65 years and over</t>
  </si>
  <si>
    <t>B08503_002</t>
  </si>
  <si>
    <t>B08503_003</t>
  </si>
  <si>
    <t>B08503_004</t>
  </si>
  <si>
    <t>B08503_005</t>
  </si>
  <si>
    <t>B08503_006</t>
  </si>
  <si>
    <t>B08503_007</t>
  </si>
  <si>
    <t>Estimate!!Median age --!!Total:!!Worked from home:</t>
  </si>
  <si>
    <t>B08505A_002</t>
  </si>
  <si>
    <t>B08505A_003</t>
  </si>
  <si>
    <t>B08505A_004</t>
  </si>
  <si>
    <t>B08505A_005</t>
  </si>
  <si>
    <t>B08505A_006</t>
  </si>
  <si>
    <t>B08505A_007</t>
  </si>
  <si>
    <t>B08505B_002</t>
  </si>
  <si>
    <t>B08505B_003</t>
  </si>
  <si>
    <t>B08505B_004</t>
  </si>
  <si>
    <t>B08505B_005</t>
  </si>
  <si>
    <t>B08505B_006</t>
  </si>
  <si>
    <t>B08505B_007</t>
  </si>
  <si>
    <t>B08505C_002</t>
  </si>
  <si>
    <t>B08505C_003</t>
  </si>
  <si>
    <t>B08505C_004</t>
  </si>
  <si>
    <t>B08505C_005</t>
  </si>
  <si>
    <t>B08505C_006</t>
  </si>
  <si>
    <t>B08505C_007</t>
  </si>
  <si>
    <t>B08505D_002</t>
  </si>
  <si>
    <t>B08505D_003</t>
  </si>
  <si>
    <t>B08505D_004</t>
  </si>
  <si>
    <t>B08505D_005</t>
  </si>
  <si>
    <t>B08505D_006</t>
  </si>
  <si>
    <t>B08505D_007</t>
  </si>
  <si>
    <t>B08505E_002</t>
  </si>
  <si>
    <t>B08505E_003</t>
  </si>
  <si>
    <t>B08505E_004</t>
  </si>
  <si>
    <t>B08505E_005</t>
  </si>
  <si>
    <t>B08505E_006</t>
  </si>
  <si>
    <t>B08505E_007</t>
  </si>
  <si>
    <t>B08505F_002</t>
  </si>
  <si>
    <t>B08505F_003</t>
  </si>
  <si>
    <t>B08505F_004</t>
  </si>
  <si>
    <t>B08505F_005</t>
  </si>
  <si>
    <t>B08505F_006</t>
  </si>
  <si>
    <t>B08505F_007</t>
  </si>
  <si>
    <t>B08505G_002</t>
  </si>
  <si>
    <t>B08505G_003</t>
  </si>
  <si>
    <t>B08505G_004</t>
  </si>
  <si>
    <t>B08505G_005</t>
  </si>
  <si>
    <t>B08505G_006</t>
  </si>
  <si>
    <t>B08505G_007</t>
  </si>
  <si>
    <t>B08505H_002</t>
  </si>
  <si>
    <t>B08505H_003</t>
  </si>
  <si>
    <t>B08505H_004</t>
  </si>
  <si>
    <t>B08505H_005</t>
  </si>
  <si>
    <t>B08505H_006</t>
  </si>
  <si>
    <t>B08505H_007</t>
  </si>
  <si>
    <t>B08505I_002</t>
  </si>
  <si>
    <t>B08505I_003</t>
  </si>
  <si>
    <t>B08505I_004</t>
  </si>
  <si>
    <t>B08505I_005</t>
  </si>
  <si>
    <t>B08505I_006</t>
  </si>
  <si>
    <t>B08505I_007</t>
  </si>
  <si>
    <t>B08511_002</t>
  </si>
  <si>
    <t>B08511_003</t>
  </si>
  <si>
    <t>B08511_004</t>
  </si>
  <si>
    <t>B08511_005</t>
  </si>
  <si>
    <t>B08511_006</t>
  </si>
  <si>
    <t>B08511_007</t>
  </si>
  <si>
    <t>B08511_008</t>
  </si>
  <si>
    <t>B08511_009</t>
  </si>
  <si>
    <t>B08511_010</t>
  </si>
  <si>
    <t>B08511_011</t>
  </si>
  <si>
    <t>B08511_012</t>
  </si>
  <si>
    <t>B08511_013</t>
  </si>
  <si>
    <t>B08511_014</t>
  </si>
  <si>
    <t>B08511_015</t>
  </si>
  <si>
    <t>B08511_016</t>
  </si>
  <si>
    <t>B08511_017</t>
  </si>
  <si>
    <t>B08511_018</t>
  </si>
  <si>
    <t>B08511_019</t>
  </si>
  <si>
    <t>B08511_020</t>
  </si>
  <si>
    <t>B08511_021</t>
  </si>
  <si>
    <t>B08511_022</t>
  </si>
  <si>
    <t>B08511_023</t>
  </si>
  <si>
    <t>B08511_024</t>
  </si>
  <si>
    <t>B08511_025</t>
  </si>
  <si>
    <t>B08511_026</t>
  </si>
  <si>
    <t>B08511_027</t>
  </si>
  <si>
    <t>B08511_028</t>
  </si>
  <si>
    <t>B08511_029</t>
  </si>
  <si>
    <t>B08511_030</t>
  </si>
  <si>
    <t>B08511_031</t>
  </si>
  <si>
    <t>B08511_032</t>
  </si>
  <si>
    <t>B08511_033</t>
  </si>
  <si>
    <t>B08511_034</t>
  </si>
  <si>
    <t>B08511_035</t>
  </si>
  <si>
    <t>B08513_002</t>
  </si>
  <si>
    <t>B08513_003</t>
  </si>
  <si>
    <t>B08513_004</t>
  </si>
  <si>
    <t>B08513_005</t>
  </si>
  <si>
    <t>B08513_006</t>
  </si>
  <si>
    <t>B08513_007</t>
  </si>
  <si>
    <t>B08513_008</t>
  </si>
  <si>
    <t>B08513_009</t>
  </si>
  <si>
    <t>B08513_010</t>
  </si>
  <si>
    <t>B08513_011</t>
  </si>
  <si>
    <t>B08513_012</t>
  </si>
  <si>
    <t>B08513_013</t>
  </si>
  <si>
    <t>B08513_014</t>
  </si>
  <si>
    <t>B08513_015</t>
  </si>
  <si>
    <t>B08513_016</t>
  </si>
  <si>
    <t>B08513_017</t>
  </si>
  <si>
    <t>B08513_018</t>
  </si>
  <si>
    <t>B08513_019</t>
  </si>
  <si>
    <t>B08513_020</t>
  </si>
  <si>
    <t>B08513_021</t>
  </si>
  <si>
    <t>B08513_022</t>
  </si>
  <si>
    <t>B08513_023</t>
  </si>
  <si>
    <t>B08513_024</t>
  </si>
  <si>
    <t>B08513_025</t>
  </si>
  <si>
    <t>B08513_026</t>
  </si>
  <si>
    <t>B08513_027</t>
  </si>
  <si>
    <t>B08513_028</t>
  </si>
  <si>
    <t>B08513_029</t>
  </si>
  <si>
    <t>B08513_030</t>
  </si>
  <si>
    <t>B08513_031</t>
  </si>
  <si>
    <t>B08513_032</t>
  </si>
  <si>
    <t>B08513_033</t>
  </si>
  <si>
    <t>B08513_034</t>
  </si>
  <si>
    <t>B08513_035</t>
  </si>
  <si>
    <t>B08513_036</t>
  </si>
  <si>
    <t>B08513_037</t>
  </si>
  <si>
    <t>B08513_038</t>
  </si>
  <si>
    <t>B08513_039</t>
  </si>
  <si>
    <t>B08513_040</t>
  </si>
  <si>
    <t>B08513_041</t>
  </si>
  <si>
    <t>B08513_042</t>
  </si>
  <si>
    <t>B08513_043</t>
  </si>
  <si>
    <t>B08513_044</t>
  </si>
  <si>
    <t>B08513_045</t>
  </si>
  <si>
    <t>B08513_046</t>
  </si>
  <si>
    <t>B08513_047</t>
  </si>
  <si>
    <t>B08513_048</t>
  </si>
  <si>
    <t>B08513_049</t>
  </si>
  <si>
    <t>B08513_050</t>
  </si>
  <si>
    <t>B08513_051</t>
  </si>
  <si>
    <t>B08513_052</t>
  </si>
  <si>
    <t>B08513_053</t>
  </si>
  <si>
    <t>B08513_054</t>
  </si>
  <si>
    <t>B08513_055</t>
  </si>
  <si>
    <t>B08513_056</t>
  </si>
  <si>
    <t>B08519_002</t>
  </si>
  <si>
    <t>B08519_003</t>
  </si>
  <si>
    <t>B08519_004</t>
  </si>
  <si>
    <t>B08519_005</t>
  </si>
  <si>
    <t>B08519_006</t>
  </si>
  <si>
    <t>B08519_007</t>
  </si>
  <si>
    <t>B08519_008</t>
  </si>
  <si>
    <t>B08519_009</t>
  </si>
  <si>
    <t>B08519_010</t>
  </si>
  <si>
    <t>B08519_011</t>
  </si>
  <si>
    <t>B08519_012</t>
  </si>
  <si>
    <t>B08519_013</t>
  </si>
  <si>
    <t>B08519_014</t>
  </si>
  <si>
    <t>B08519_015</t>
  </si>
  <si>
    <t>B08519_016</t>
  </si>
  <si>
    <t>B08519_017</t>
  </si>
  <si>
    <t>B08519_018</t>
  </si>
  <si>
    <t>B08519_019</t>
  </si>
  <si>
    <t>B08519_020</t>
  </si>
  <si>
    <t>B08519_021</t>
  </si>
  <si>
    <t>B08519_022</t>
  </si>
  <si>
    <t>B08519_023</t>
  </si>
  <si>
    <t>B08519_024</t>
  </si>
  <si>
    <t>B08519_025</t>
  </si>
  <si>
    <t>B08519_026</t>
  </si>
  <si>
    <t>B08519_027</t>
  </si>
  <si>
    <t>B08519_028</t>
  </si>
  <si>
    <t>B08519_029</t>
  </si>
  <si>
    <t>B08519_030</t>
  </si>
  <si>
    <t>B08519_031</t>
  </si>
  <si>
    <t>B08519_032</t>
  </si>
  <si>
    <t>B08519_033</t>
  </si>
  <si>
    <t>B08519_034</t>
  </si>
  <si>
    <t>B08519_035</t>
  </si>
  <si>
    <t>B08519_036</t>
  </si>
  <si>
    <t>B08519_037</t>
  </si>
  <si>
    <t>B08519_038</t>
  </si>
  <si>
    <t>B08519_039</t>
  </si>
  <si>
    <t>B08519_040</t>
  </si>
  <si>
    <t>B08519_041</t>
  </si>
  <si>
    <t>B08519_042</t>
  </si>
  <si>
    <t>B08519_043</t>
  </si>
  <si>
    <t>B08519_044</t>
  </si>
  <si>
    <t>B08519_045</t>
  </si>
  <si>
    <t>B08519_046</t>
  </si>
  <si>
    <t>B08519_047</t>
  </si>
  <si>
    <t>B08519_048</t>
  </si>
  <si>
    <t>B08519_049</t>
  </si>
  <si>
    <t>B08519_050</t>
  </si>
  <si>
    <t>B08519_051</t>
  </si>
  <si>
    <t>B08519_052</t>
  </si>
  <si>
    <t>B08519_053</t>
  </si>
  <si>
    <t>B08519_054</t>
  </si>
  <si>
    <t>B08519_055</t>
  </si>
  <si>
    <t>B08519_056</t>
  </si>
  <si>
    <t>B08519_057</t>
  </si>
  <si>
    <t>B08519_058</t>
  </si>
  <si>
    <t>B08519_059</t>
  </si>
  <si>
    <t>B08519_060</t>
  </si>
  <si>
    <t>B08519_061</t>
  </si>
  <si>
    <t>B08519_062</t>
  </si>
  <si>
    <t>B08519_063</t>
  </si>
  <si>
    <t>B08521_002</t>
  </si>
  <si>
    <t>B08521_003</t>
  </si>
  <si>
    <t>B08521_004</t>
  </si>
  <si>
    <t>B08521_005</t>
  </si>
  <si>
    <t>B08521_006</t>
  </si>
  <si>
    <t>B08521_007</t>
  </si>
  <si>
    <t>B08522_002</t>
  </si>
  <si>
    <t>B08522_003</t>
  </si>
  <si>
    <t>B08522_004</t>
  </si>
  <si>
    <t>B08522_005</t>
  </si>
  <si>
    <t>B08522_006</t>
  </si>
  <si>
    <t>B08522_007</t>
  </si>
  <si>
    <t>B08522_008</t>
  </si>
  <si>
    <t>B08522_009</t>
  </si>
  <si>
    <t>B08522_010</t>
  </si>
  <si>
    <t>B08522_011</t>
  </si>
  <si>
    <t>B08522_012</t>
  </si>
  <si>
    <t>B08522_013</t>
  </si>
  <si>
    <t>B08522_014</t>
  </si>
  <si>
    <t>B08522_015</t>
  </si>
  <si>
    <t>B08522_016</t>
  </si>
  <si>
    <t>B08522_017</t>
  </si>
  <si>
    <t>B08522_018</t>
  </si>
  <si>
    <t>B08522_019</t>
  </si>
  <si>
    <t>B08522_020</t>
  </si>
  <si>
    <t>B08522_021</t>
  </si>
  <si>
    <t>B08522_022</t>
  </si>
  <si>
    <t>B08522_023</t>
  </si>
  <si>
    <t>B08522_024</t>
  </si>
  <si>
    <t>B08522_025</t>
  </si>
  <si>
    <t>B08522_026</t>
  </si>
  <si>
    <t>Estimate!!Total:!!Worked from home:!!Below 100 percent of the poverty level</t>
  </si>
  <si>
    <t>B08522_027</t>
  </si>
  <si>
    <t>Estimate!!Total:!!Worked from home:!!100 to 149 percent of the poverty level</t>
  </si>
  <si>
    <t>B08522_028</t>
  </si>
  <si>
    <t>Estimate!!Total:!!Worked from home:!!At or above 150 percent of the poverty level</t>
  </si>
  <si>
    <t>B08524_002</t>
  </si>
  <si>
    <t>B08524_003</t>
  </si>
  <si>
    <t>B08524_004</t>
  </si>
  <si>
    <t>B08524_005</t>
  </si>
  <si>
    <t>B08524_006</t>
  </si>
  <si>
    <t>B08524_007</t>
  </si>
  <si>
    <t>B08524_008</t>
  </si>
  <si>
    <t>B08524_009</t>
  </si>
  <si>
    <t>B08524_010</t>
  </si>
  <si>
    <t>B08524_011</t>
  </si>
  <si>
    <t>B08524_012</t>
  </si>
  <si>
    <t>B08524_013</t>
  </si>
  <si>
    <t>B08524_014</t>
  </si>
  <si>
    <t>B08524_015</t>
  </si>
  <si>
    <t>B08524_016</t>
  </si>
  <si>
    <t>B08524_017</t>
  </si>
  <si>
    <t>B08524_018</t>
  </si>
  <si>
    <t>B08524_019</t>
  </si>
  <si>
    <t>B08524_020</t>
  </si>
  <si>
    <t>B08524_021</t>
  </si>
  <si>
    <t>B08524_022</t>
  </si>
  <si>
    <t>B08524_023</t>
  </si>
  <si>
    <t>B08524_024</t>
  </si>
  <si>
    <t>B08524_025</t>
  </si>
  <si>
    <t>B08524_026</t>
  </si>
  <si>
    <t>B08524_027</t>
  </si>
  <si>
    <t>B08524_028</t>
  </si>
  <si>
    <t>B08524_029</t>
  </si>
  <si>
    <t>B08524_030</t>
  </si>
  <si>
    <t>B08524_031</t>
  </si>
  <si>
    <t>B08524_032</t>
  </si>
  <si>
    <t>B08524_033</t>
  </si>
  <si>
    <t>B08524_034</t>
  </si>
  <si>
    <t>B08524_035</t>
  </si>
  <si>
    <t>B08524_036</t>
  </si>
  <si>
    <t>B08524_037</t>
  </si>
  <si>
    <t>B08524_038</t>
  </si>
  <si>
    <t>B08524_039</t>
  </si>
  <si>
    <t>B08524_040</t>
  </si>
  <si>
    <t>B08524_041</t>
  </si>
  <si>
    <t>B08524_042</t>
  </si>
  <si>
    <t>B08524_043</t>
  </si>
  <si>
    <t>B08524_044</t>
  </si>
  <si>
    <t>B08524_045</t>
  </si>
  <si>
    <t>B08524_046</t>
  </si>
  <si>
    <t>B08524_047</t>
  </si>
  <si>
    <t>B08524_048</t>
  </si>
  <si>
    <t>B08524_049</t>
  </si>
  <si>
    <t>B08526_002</t>
  </si>
  <si>
    <t>B08526_003</t>
  </si>
  <si>
    <t>B08526_004</t>
  </si>
  <si>
    <t>B08526_005</t>
  </si>
  <si>
    <t>B08526_006</t>
  </si>
  <si>
    <t>B08526_007</t>
  </si>
  <si>
    <t>B08526_008</t>
  </si>
  <si>
    <t>B08526_009</t>
  </si>
  <si>
    <t>B08526_010</t>
  </si>
  <si>
    <t>B08526_011</t>
  </si>
  <si>
    <t>B08526_012</t>
  </si>
  <si>
    <t>B08526_013</t>
  </si>
  <si>
    <t>B08526_014</t>
  </si>
  <si>
    <t>B08526_015</t>
  </si>
  <si>
    <t>B08526_016</t>
  </si>
  <si>
    <t>B08526_017</t>
  </si>
  <si>
    <t>B08526_018</t>
  </si>
  <si>
    <t>B08526_019</t>
  </si>
  <si>
    <t>B08526_020</t>
  </si>
  <si>
    <t>B08526_021</t>
  </si>
  <si>
    <t>B08526_022</t>
  </si>
  <si>
    <t>B08526_023</t>
  </si>
  <si>
    <t>B08526_024</t>
  </si>
  <si>
    <t>B08526_025</t>
  </si>
  <si>
    <t>B08526_026</t>
  </si>
  <si>
    <t>B08526_027</t>
  </si>
  <si>
    <t>B08526_028</t>
  </si>
  <si>
    <t>B08526_029</t>
  </si>
  <si>
    <t>B08526_030</t>
  </si>
  <si>
    <t>B08526_031</t>
  </si>
  <si>
    <t>B08526_032</t>
  </si>
  <si>
    <t>B08526_033</t>
  </si>
  <si>
    <t>B08526_034</t>
  </si>
  <si>
    <t>B08526_035</t>
  </si>
  <si>
    <t>B08526_036</t>
  </si>
  <si>
    <t>B08526_037</t>
  </si>
  <si>
    <t>B08526_038</t>
  </si>
  <si>
    <t>B08526_039</t>
  </si>
  <si>
    <t>B08526_040</t>
  </si>
  <si>
    <t>B08526_041</t>
  </si>
  <si>
    <t>B08526_042</t>
  </si>
  <si>
    <t>B08526_043</t>
  </si>
  <si>
    <t>B08526_044</t>
  </si>
  <si>
    <t>B08526_045</t>
  </si>
  <si>
    <t>B08526_046</t>
  </si>
  <si>
    <t>B08526_047</t>
  </si>
  <si>
    <t>B08526_048</t>
  </si>
  <si>
    <t>B08526_049</t>
  </si>
  <si>
    <t>B08526_050</t>
  </si>
  <si>
    <t>B08526_051</t>
  </si>
  <si>
    <t>B08526_052</t>
  </si>
  <si>
    <t>B08526_053</t>
  </si>
  <si>
    <t>B08526_054</t>
  </si>
  <si>
    <t>B08526_055</t>
  </si>
  <si>
    <t>B08526_056</t>
  </si>
  <si>
    <t>B08526_057</t>
  </si>
  <si>
    <t>B08526_058</t>
  </si>
  <si>
    <t>B08526_059</t>
  </si>
  <si>
    <t>B08526_060</t>
  </si>
  <si>
    <t>B08526_061</t>
  </si>
  <si>
    <t>B08526_062</t>
  </si>
  <si>
    <t>B08526_063</t>
  </si>
  <si>
    <t>B08526_064</t>
  </si>
  <si>
    <t>B08526_065</t>
  </si>
  <si>
    <t>B08526_066</t>
  </si>
  <si>
    <t>B08526_067</t>
  </si>
  <si>
    <t>B08526_068</t>
  </si>
  <si>
    <t>B08526_069</t>
  </si>
  <si>
    <t>B08526_070</t>
  </si>
  <si>
    <t>B08526_071</t>
  </si>
  <si>
    <t>B08526_072</t>
  </si>
  <si>
    <t>B08526_073</t>
  </si>
  <si>
    <t>B08526_074</t>
  </si>
  <si>
    <t>B08526_075</t>
  </si>
  <si>
    <t>B08526_076</t>
  </si>
  <si>
    <t>B08526_077</t>
  </si>
  <si>
    <t>B08526_078</t>
  </si>
  <si>
    <t>B08526_079</t>
  </si>
  <si>
    <t>B08526_080</t>
  </si>
  <si>
    <t>B08526_081</t>
  </si>
  <si>
    <t>B08526_082</t>
  </si>
  <si>
    <t>B08526_083</t>
  </si>
  <si>
    <t>B08526_084</t>
  </si>
  <si>
    <t>B08526_085</t>
  </si>
  <si>
    <t>B08526_086</t>
  </si>
  <si>
    <t>B08526_087</t>
  </si>
  <si>
    <t>B08526_088</t>
  </si>
  <si>
    <t>B08526_089</t>
  </si>
  <si>
    <t>B08526_090</t>
  </si>
  <si>
    <t>B08526_091</t>
  </si>
  <si>
    <t>B08526_092</t>
  </si>
  <si>
    <t>B08526_093</t>
  </si>
  <si>
    <t>B08526_094</t>
  </si>
  <si>
    <t>B08526_095</t>
  </si>
  <si>
    <t>B08526_096</t>
  </si>
  <si>
    <t>B08526_097</t>
  </si>
  <si>
    <t>B08526_098</t>
  </si>
  <si>
    <t>B08526_099</t>
  </si>
  <si>
    <t>B08526_100</t>
  </si>
  <si>
    <t>B08526_101</t>
  </si>
  <si>
    <t>B08526_102</t>
  </si>
  <si>
    <t>B08526_103</t>
  </si>
  <si>
    <t>B08526_104</t>
  </si>
  <si>
    <t>B08526_105</t>
  </si>
  <si>
    <t>B08528_002</t>
  </si>
  <si>
    <t>B08528_003</t>
  </si>
  <si>
    <t>B08528_004</t>
  </si>
  <si>
    <t>B08528_005</t>
  </si>
  <si>
    <t>B08528_006</t>
  </si>
  <si>
    <t>B08528_007</t>
  </si>
  <si>
    <t>B08528_008</t>
  </si>
  <si>
    <t>B08528_009</t>
  </si>
  <si>
    <t>B08528_010</t>
  </si>
  <si>
    <t>B08528_011</t>
  </si>
  <si>
    <t>B08528_012</t>
  </si>
  <si>
    <t>B08528_013</t>
  </si>
  <si>
    <t>B08528_014</t>
  </si>
  <si>
    <t>B08528_015</t>
  </si>
  <si>
    <t>B08528_016</t>
  </si>
  <si>
    <t>B08528_017</t>
  </si>
  <si>
    <t>B08528_018</t>
  </si>
  <si>
    <t>B08528_019</t>
  </si>
  <si>
    <t>B08528_020</t>
  </si>
  <si>
    <t>B08528_021</t>
  </si>
  <si>
    <t>B08528_022</t>
  </si>
  <si>
    <t>B08528_023</t>
  </si>
  <si>
    <t>B08528_024</t>
  </si>
  <si>
    <t>B08528_025</t>
  </si>
  <si>
    <t>B08528_026</t>
  </si>
  <si>
    <t>B08528_027</t>
  </si>
  <si>
    <t>B08528_028</t>
  </si>
  <si>
    <t>B08528_029</t>
  </si>
  <si>
    <t>B08528_030</t>
  </si>
  <si>
    <t>B08528_031</t>
  </si>
  <si>
    <t>B08528_032</t>
  </si>
  <si>
    <t>B08528_033</t>
  </si>
  <si>
    <t>B08528_034</t>
  </si>
  <si>
    <t>B08528_035</t>
  </si>
  <si>
    <t>B08528_036</t>
  </si>
  <si>
    <t>B08528_037</t>
  </si>
  <si>
    <t>B08528_038</t>
  </si>
  <si>
    <t>B08528_039</t>
  </si>
  <si>
    <t>B08528_040</t>
  </si>
  <si>
    <t>B08528_041</t>
  </si>
  <si>
    <t>B08528_042</t>
  </si>
  <si>
    <t>B08528_043</t>
  </si>
  <si>
    <t>B08528_044</t>
  </si>
  <si>
    <t>B08528_045</t>
  </si>
  <si>
    <t>B08528_046</t>
  </si>
  <si>
    <t>B08528_047</t>
  </si>
  <si>
    <t>B08528_048</t>
  </si>
  <si>
    <t>B08528_049</t>
  </si>
  <si>
    <t>B08528_050</t>
  </si>
  <si>
    <t>B08528_051</t>
  </si>
  <si>
    <t>B08528_052</t>
  </si>
  <si>
    <t>B08528_053</t>
  </si>
  <si>
    <t>B08528_054</t>
  </si>
  <si>
    <t>B08528_055</t>
  </si>
  <si>
    <t>B08528_056</t>
  </si>
  <si>
    <t>B08528_057</t>
  </si>
  <si>
    <t>B08528_058</t>
  </si>
  <si>
    <t>B08528_059</t>
  </si>
  <si>
    <t>B08528_060</t>
  </si>
  <si>
    <t>B08528_061</t>
  </si>
  <si>
    <t>B08528_062</t>
  </si>
  <si>
    <t>B08528_063</t>
  </si>
  <si>
    <t>B08528_064</t>
  </si>
  <si>
    <t>B08528_065</t>
  </si>
  <si>
    <t>B08528_066</t>
  </si>
  <si>
    <t>B08528_067</t>
  </si>
  <si>
    <t>B08528_068</t>
  </si>
  <si>
    <t>B08528_069</t>
  </si>
  <si>
    <t>B08528_070</t>
  </si>
  <si>
    <t>B08532_002</t>
  </si>
  <si>
    <t>B08532_003</t>
  </si>
  <si>
    <t>B08532_004</t>
  </si>
  <si>
    <t>B08532_005</t>
  </si>
  <si>
    <t>B08532_006</t>
  </si>
  <si>
    <t>B08532_007</t>
  </si>
  <si>
    <t>B08532_008</t>
  </si>
  <si>
    <t>B08532_009</t>
  </si>
  <si>
    <t>B08532_010</t>
  </si>
  <si>
    <t>B08532_011</t>
  </si>
  <si>
    <t>B08532_012</t>
  </si>
  <si>
    <t>B08532_013</t>
  </si>
  <si>
    <t>B08532_014</t>
  </si>
  <si>
    <t>B08532_015</t>
  </si>
  <si>
    <t>B08532_016</t>
  </si>
  <si>
    <t>B08532_017</t>
  </si>
  <si>
    <t>B08532_018</t>
  </si>
  <si>
    <t>B08532_019</t>
  </si>
  <si>
    <t>B08532_020</t>
  </si>
  <si>
    <t>B08532_021</t>
  </si>
  <si>
    <t>B08532_022</t>
  </si>
  <si>
    <t>B08532_023</t>
  </si>
  <si>
    <t>B08532_024</t>
  </si>
  <si>
    <t>B08532_025</t>
  </si>
  <si>
    <t>B08532_026</t>
  </si>
  <si>
    <t>B08532_027</t>
  </si>
  <si>
    <t>B08532_028</t>
  </si>
  <si>
    <t>B08532_029</t>
  </si>
  <si>
    <t>B08532_030</t>
  </si>
  <si>
    <t>B08532_031</t>
  </si>
  <si>
    <t>B08532_032</t>
  </si>
  <si>
    <t>B08532_033</t>
  </si>
  <si>
    <t>B08532_034</t>
  </si>
  <si>
    <t>B08532_035</t>
  </si>
  <si>
    <t>B08532_036</t>
  </si>
  <si>
    <t>B08532_037</t>
  </si>
  <si>
    <t>B08532_038</t>
  </si>
  <si>
    <t>B08532_039</t>
  </si>
  <si>
    <t>B08532_040</t>
  </si>
  <si>
    <t>B08532_041</t>
  </si>
  <si>
    <t>B08532_042</t>
  </si>
  <si>
    <t>B08532_043</t>
  </si>
  <si>
    <t>B08532_044</t>
  </si>
  <si>
    <t>B08532_045</t>
  </si>
  <si>
    <t>B08532_046</t>
  </si>
  <si>
    <t>B08532_047</t>
  </si>
  <si>
    <t>B08532_048</t>
  </si>
  <si>
    <t>B08532_049</t>
  </si>
  <si>
    <t>B08532_050</t>
  </si>
  <si>
    <t>B08532_051</t>
  </si>
  <si>
    <t>B08532_052</t>
  </si>
  <si>
    <t>B08532_053</t>
  </si>
  <si>
    <t>B08532_054</t>
  </si>
  <si>
    <t>B08532_055</t>
  </si>
  <si>
    <t>B08532_056</t>
  </si>
  <si>
    <t>B08532_057</t>
  </si>
  <si>
    <t>B08532_058</t>
  </si>
  <si>
    <t>B08532_059</t>
  </si>
  <si>
    <t>B08532_060</t>
  </si>
  <si>
    <t>B08532_061</t>
  </si>
  <si>
    <t>B08532_062</t>
  </si>
  <si>
    <t>B08532_063</t>
  </si>
  <si>
    <t>B08532_064</t>
  </si>
  <si>
    <t>B08532_065</t>
  </si>
  <si>
    <t>B08532_066</t>
  </si>
  <si>
    <t>B08532_067</t>
  </si>
  <si>
    <t>B08532_068</t>
  </si>
  <si>
    <t>B08532_069</t>
  </si>
  <si>
    <t>B08532_070</t>
  </si>
  <si>
    <t>B08532_071</t>
  </si>
  <si>
    <t>B08532_072</t>
  </si>
  <si>
    <t>B08532_073</t>
  </si>
  <si>
    <t>B08532_074</t>
  </si>
  <si>
    <t>B08532_075</t>
  </si>
  <si>
    <t>B08532_076</t>
  </si>
  <si>
    <t>B08532_077</t>
  </si>
  <si>
    <t>B08532_078</t>
  </si>
  <si>
    <t>B08532_079</t>
  </si>
  <si>
    <t>B08532_080</t>
  </si>
  <si>
    <t>B08532_081</t>
  </si>
  <si>
    <t>B08532_082</t>
  </si>
  <si>
    <t>B08532_083</t>
  </si>
  <si>
    <t>B08532_084</t>
  </si>
  <si>
    <t>B08532_085</t>
  </si>
  <si>
    <t>B08532_086</t>
  </si>
  <si>
    <t>B08532_087</t>
  </si>
  <si>
    <t>B08532_088</t>
  </si>
  <si>
    <t>B08532_089</t>
  </si>
  <si>
    <t>B08532_090</t>
  </si>
  <si>
    <t>B08534_002</t>
  </si>
  <si>
    <t>B08534_003</t>
  </si>
  <si>
    <t>B08534_004</t>
  </si>
  <si>
    <t>B08534_005</t>
  </si>
  <si>
    <t>B08534_006</t>
  </si>
  <si>
    <t>B08534_007</t>
  </si>
  <si>
    <t>B08534_008</t>
  </si>
  <si>
    <t>B08534_009</t>
  </si>
  <si>
    <t>B08534_010</t>
  </si>
  <si>
    <t>B08534_011</t>
  </si>
  <si>
    <t>B08534_012</t>
  </si>
  <si>
    <t>B08534_013</t>
  </si>
  <si>
    <t>B08534_014</t>
  </si>
  <si>
    <t>B08534_015</t>
  </si>
  <si>
    <t>B08534_016</t>
  </si>
  <si>
    <t>B08534_017</t>
  </si>
  <si>
    <t>B08534_018</t>
  </si>
  <si>
    <t>B08534_019</t>
  </si>
  <si>
    <t>B08534_020</t>
  </si>
  <si>
    <t>B08534_021</t>
  </si>
  <si>
    <t>B08534_022</t>
  </si>
  <si>
    <t>B08534_023</t>
  </si>
  <si>
    <t>B08534_024</t>
  </si>
  <si>
    <t>B08534_025</t>
  </si>
  <si>
    <t>B08534_026</t>
  </si>
  <si>
    <t>B08534_027</t>
  </si>
  <si>
    <t>B08534_028</t>
  </si>
  <si>
    <t>B08534_029</t>
  </si>
  <si>
    <t>B08534_030</t>
  </si>
  <si>
    <t>B08534_031</t>
  </si>
  <si>
    <t>B08534_032</t>
  </si>
  <si>
    <t>B08534_033</t>
  </si>
  <si>
    <t>B08534_034</t>
  </si>
  <si>
    <t>B08534_035</t>
  </si>
  <si>
    <t>B08534_036</t>
  </si>
  <si>
    <t>B08534_037</t>
  </si>
  <si>
    <t>B08534_038</t>
  </si>
  <si>
    <t>B08534_039</t>
  </si>
  <si>
    <t>B08534_040</t>
  </si>
  <si>
    <t>B08534_041</t>
  </si>
  <si>
    <t>B08534_042</t>
  </si>
  <si>
    <t>B08534_043</t>
  </si>
  <si>
    <t>B08534_044</t>
  </si>
  <si>
    <t>B08534_045</t>
  </si>
  <si>
    <t>B08534_046</t>
  </si>
  <si>
    <t>B08534_047</t>
  </si>
  <si>
    <t>B08534_048</t>
  </si>
  <si>
    <t>B08534_049</t>
  </si>
  <si>
    <t>B08534_050</t>
  </si>
  <si>
    <t>B08534_051</t>
  </si>
  <si>
    <t>B08534_052</t>
  </si>
  <si>
    <t>B08534_053</t>
  </si>
  <si>
    <t>B08534_054</t>
  </si>
  <si>
    <t>B08534_055</t>
  </si>
  <si>
    <t>B08534_056</t>
  </si>
  <si>
    <t>B08534_057</t>
  </si>
  <si>
    <t>B08534_058</t>
  </si>
  <si>
    <t>B08534_059</t>
  </si>
  <si>
    <t>B08534_060</t>
  </si>
  <si>
    <t>B08534_061</t>
  </si>
  <si>
    <t>B08534_062</t>
  </si>
  <si>
    <t>B08534_063</t>
  </si>
  <si>
    <t>B08534_064</t>
  </si>
  <si>
    <t>B08534_065</t>
  </si>
  <si>
    <t>B08534_066</t>
  </si>
  <si>
    <t>B08534_067</t>
  </si>
  <si>
    <t>B08534_068</t>
  </si>
  <si>
    <t>B08534_069</t>
  </si>
  <si>
    <t>B08534_070</t>
  </si>
  <si>
    <t>B08534_071</t>
  </si>
  <si>
    <t>B08534_072</t>
  </si>
  <si>
    <t>B08534_073</t>
  </si>
  <si>
    <t>B08534_074</t>
  </si>
  <si>
    <t>B08534_075</t>
  </si>
  <si>
    <t>B08534_076</t>
  </si>
  <si>
    <t>B08534_077</t>
  </si>
  <si>
    <t>B08534_078</t>
  </si>
  <si>
    <t>B08534_079</t>
  </si>
  <si>
    <t>B08534_080</t>
  </si>
  <si>
    <t>B08534_081</t>
  </si>
  <si>
    <t>Estimate!!Total:!!Public transportation:!!Subway or elevated rail or Light rail, streetcar or trolley (carro p��blico in Puerto Rico):</t>
  </si>
  <si>
    <t>B08534_082</t>
  </si>
  <si>
    <t>Estimate!!Total:!!Public transportation:!!Subway or elevated rail or Light rail, streetcar or trolley (carro p��blico in Puerto Rico):!!Less than 10 minutes</t>
  </si>
  <si>
    <t>B08534_083</t>
  </si>
  <si>
    <t>Estimate!!Total:!!Public transportation:!!Subway or elevated rail or Light rail, streetcar or trolley (carro p��blico in Puerto Rico):!!10 to 14 minutes</t>
  </si>
  <si>
    <t>B08534_084</t>
  </si>
  <si>
    <t>Estimate!!Total:!!Public transportation:!!Subway or elevated rail or Light rail, streetcar or trolley (carro p��blico in Puerto Rico):!!15 to 19 minutes</t>
  </si>
  <si>
    <t>B08534_085</t>
  </si>
  <si>
    <t>Estimate!!Total:!!Public transportation:!!Subway or elevated rail or Light rail, streetcar or trolley (carro p��blico in Puerto Rico):!!20 to 24 minutes</t>
  </si>
  <si>
    <t>B08534_086</t>
  </si>
  <si>
    <t>Estimate!!Total:!!Public transportation:!!Subway or elevated rail or Light rail, streetcar or trolley (carro p��blico in Puerto Rico):!!25 to 29 minutes</t>
  </si>
  <si>
    <t>B08534_087</t>
  </si>
  <si>
    <t>Estimate!!Total:!!Public transportation:!!Subway or elevated rail or Light rail, streetcar or trolley (carro p��blico in Puerto Rico):!!30 to 34 minutes</t>
  </si>
  <si>
    <t>B08534_088</t>
  </si>
  <si>
    <t>Estimate!!Total:!!Public transportation:!!Subway or elevated rail or Light rail, streetcar or trolley (carro p��blico in Puerto Rico):!!35 to 44 minutes</t>
  </si>
  <si>
    <t>B08534_089</t>
  </si>
  <si>
    <t>Estimate!!Total:!!Public transportation:!!Subway or elevated rail or Light rail, streetcar or trolley (carro p��blico in Puerto Rico):!!45 to 59 minutes</t>
  </si>
  <si>
    <t>B08534_090</t>
  </si>
  <si>
    <t>Estimate!!Total:!!Public transportation:!!Subway or elevated rail or Light rail, streetcar or trolley (carro p��blico in Puerto Rico):!!60 or more minutes</t>
  </si>
  <si>
    <t>B08534_091</t>
  </si>
  <si>
    <t>B08534_092</t>
  </si>
  <si>
    <t>B08534_093</t>
  </si>
  <si>
    <t>B08534_094</t>
  </si>
  <si>
    <t>B08534_095</t>
  </si>
  <si>
    <t>B08534_096</t>
  </si>
  <si>
    <t>B08534_097</t>
  </si>
  <si>
    <t>B08534_098</t>
  </si>
  <si>
    <t>B08534_099</t>
  </si>
  <si>
    <t>B08534_100</t>
  </si>
  <si>
    <t>B08534_101</t>
  </si>
  <si>
    <t>B08534_102</t>
  </si>
  <si>
    <t>B08534_103</t>
  </si>
  <si>
    <t>B08534_104</t>
  </si>
  <si>
    <t>B08534_105</t>
  </si>
  <si>
    <t>B08534_106</t>
  </si>
  <si>
    <t>B08534_107</t>
  </si>
  <si>
    <t>B08534_108</t>
  </si>
  <si>
    <t>B08534_109</t>
  </si>
  <si>
    <t>B08534_110</t>
  </si>
  <si>
    <t>B08534_111</t>
  </si>
  <si>
    <t>B08534_112</t>
  </si>
  <si>
    <t>B08534_113</t>
  </si>
  <si>
    <t>B08534_114</t>
  </si>
  <si>
    <t>B08534_115</t>
  </si>
  <si>
    <t>B08534_116</t>
  </si>
  <si>
    <t>B08534_117</t>
  </si>
  <si>
    <t>B08534_118</t>
  </si>
  <si>
    <t>B08534_119</t>
  </si>
  <si>
    <t>B08534_120</t>
  </si>
  <si>
    <t>B08536_002</t>
  </si>
  <si>
    <t>B08536_003</t>
  </si>
  <si>
    <t>B08536_004</t>
  </si>
  <si>
    <t>B08536_005</t>
  </si>
  <si>
    <t>B08536_006</t>
  </si>
  <si>
    <t>B08536_007</t>
  </si>
  <si>
    <t>B08536_008</t>
  </si>
  <si>
    <t>Estimate!!Aggregate travel time to work (in minutes):!!Public transportation:!!Bus:</t>
  </si>
  <si>
    <t>B08536_009</t>
  </si>
  <si>
    <t>Estimate!!Aggregate travel time to work (in minutes):!!Public transportation:!!Subway or elevated rail or Light rail, streetcar or trolley (carro p��blico in Puerto Rico):</t>
  </si>
  <si>
    <t>B08536_010</t>
  </si>
  <si>
    <t>B08536_011</t>
  </si>
  <si>
    <t>B08536_012</t>
  </si>
  <si>
    <t>B08537_002</t>
  </si>
  <si>
    <t>B08537_003</t>
  </si>
  <si>
    <t>B08537_004</t>
  </si>
  <si>
    <t>B08537_005</t>
  </si>
  <si>
    <t>B08537_006</t>
  </si>
  <si>
    <t>B08537_007</t>
  </si>
  <si>
    <t>B08537_008</t>
  </si>
  <si>
    <t>B08537_009</t>
  </si>
  <si>
    <t>B08537_010</t>
  </si>
  <si>
    <t>B08537_011</t>
  </si>
  <si>
    <t>B08537_012</t>
  </si>
  <si>
    <t>B08537_013</t>
  </si>
  <si>
    <t>B08537_014</t>
  </si>
  <si>
    <t>B08537_015</t>
  </si>
  <si>
    <t>B08537_016</t>
  </si>
  <si>
    <t>B08537_017</t>
  </si>
  <si>
    <t>B08537_018</t>
  </si>
  <si>
    <t>B08537_019</t>
  </si>
  <si>
    <t>B08537_020</t>
  </si>
  <si>
    <t>B08537_021</t>
  </si>
  <si>
    <t>B08541_002</t>
  </si>
  <si>
    <t>B08541_003</t>
  </si>
  <si>
    <t>B08541_004</t>
  </si>
  <si>
    <t>B08541_005</t>
  </si>
  <si>
    <t>B08541_006</t>
  </si>
  <si>
    <t>B08541_007</t>
  </si>
  <si>
    <t>B08541_008</t>
  </si>
  <si>
    <t>B08541_009</t>
  </si>
  <si>
    <t>B08541_010</t>
  </si>
  <si>
    <t>B08541_011</t>
  </si>
  <si>
    <t>B08541_012</t>
  </si>
  <si>
    <t>B08541_013</t>
  </si>
  <si>
    <t>B08541_014</t>
  </si>
  <si>
    <t>B08541_015</t>
  </si>
  <si>
    <t>B08541_016</t>
  </si>
  <si>
    <t>B08541_017</t>
  </si>
  <si>
    <t>B08541_018</t>
  </si>
  <si>
    <t>B08541_019</t>
  </si>
  <si>
    <t>B08541_020</t>
  </si>
  <si>
    <t>B08541_021</t>
  </si>
  <si>
    <t>B08541_022</t>
  </si>
  <si>
    <t>B08541_023</t>
  </si>
  <si>
    <t>B08541_024</t>
  </si>
  <si>
    <t>B08541_025</t>
  </si>
  <si>
    <t>B08541_026</t>
  </si>
  <si>
    <t>B08541_027</t>
  </si>
  <si>
    <t>B08541_028</t>
  </si>
  <si>
    <t>B08541_029</t>
  </si>
  <si>
    <t>B08541_030</t>
  </si>
  <si>
    <t>B08541_031</t>
  </si>
  <si>
    <t>B08541_032</t>
  </si>
  <si>
    <t>B08541_033</t>
  </si>
  <si>
    <t>B08541_034</t>
  </si>
  <si>
    <t>B08541_035</t>
  </si>
  <si>
    <t>B08601_002</t>
  </si>
  <si>
    <t>B08601_003</t>
  </si>
  <si>
    <t>B08601_004</t>
  </si>
  <si>
    <t>B08601_005</t>
  </si>
  <si>
    <t>B08601_006</t>
  </si>
  <si>
    <t>B08601_007</t>
  </si>
  <si>
    <t>B08601_008</t>
  </si>
  <si>
    <t>B08601_009</t>
  </si>
  <si>
    <t>B08601_010</t>
  </si>
  <si>
    <t>B08601_011</t>
  </si>
  <si>
    <t>B08601_012</t>
  </si>
  <si>
    <t>B08601_013</t>
  </si>
  <si>
    <t>B08601_014</t>
  </si>
  <si>
    <t>B08601_015</t>
  </si>
  <si>
    <t>B08601_016</t>
  </si>
  <si>
    <t>B08601_017</t>
  </si>
  <si>
    <t>B08601_018</t>
  </si>
  <si>
    <t>B08601_019</t>
  </si>
  <si>
    <t>B08601_020</t>
  </si>
  <si>
    <t>B08601_021</t>
  </si>
  <si>
    <t>B08602_002</t>
  </si>
  <si>
    <t>B08602_003</t>
  </si>
  <si>
    <t>B08602_004</t>
  </si>
  <si>
    <t>B08602_005</t>
  </si>
  <si>
    <t>B08602_006</t>
  </si>
  <si>
    <t>B08602_007</t>
  </si>
  <si>
    <t>B08602_008</t>
  </si>
  <si>
    <t>B08602_009</t>
  </si>
  <si>
    <t>B08602_010</t>
  </si>
  <si>
    <t>B08602_011</t>
  </si>
  <si>
    <t>B08602_012</t>
  </si>
  <si>
    <t>B08602_013</t>
  </si>
  <si>
    <t>B08602_014</t>
  </si>
  <si>
    <t>B08602_015</t>
  </si>
  <si>
    <t>B08603_002</t>
  </si>
  <si>
    <t>B08603_003</t>
  </si>
  <si>
    <t>B08603_004</t>
  </si>
  <si>
    <t>B08603_005</t>
  </si>
  <si>
    <t>B08603_006</t>
  </si>
  <si>
    <t>B08603_007</t>
  </si>
  <si>
    <t>B08603_008</t>
  </si>
  <si>
    <t>B08603_009</t>
  </si>
  <si>
    <t>B08603_010</t>
  </si>
  <si>
    <t>B08603_011</t>
  </si>
  <si>
    <t>B08603_012</t>
  </si>
  <si>
    <t>B08603_013</t>
  </si>
  <si>
    <t>B09001_002</t>
  </si>
  <si>
    <t>Estimate!!Total:!!In households:</t>
  </si>
  <si>
    <t>B09001_003</t>
  </si>
  <si>
    <t>Estimate!!Total:!!In households:!!Under 3 years</t>
  </si>
  <si>
    <t>B09001_004</t>
  </si>
  <si>
    <t>Estimate!!Total:!!In households:!!3 and 4 years</t>
  </si>
  <si>
    <t>B09001_005</t>
  </si>
  <si>
    <t>Estimate!!Total:!!In households:!!5 years</t>
  </si>
  <si>
    <t>B09001_006</t>
  </si>
  <si>
    <t>Estimate!!Total:!!In households:!!6 to 8 years</t>
  </si>
  <si>
    <t>B09001_007</t>
  </si>
  <si>
    <t>Estimate!!Total:!!In households:!!9 to 11 years</t>
  </si>
  <si>
    <t>B09001_008</t>
  </si>
  <si>
    <t>Estimate!!Total:!!In households:!!12 to 14 years</t>
  </si>
  <si>
    <t>B09001_009</t>
  </si>
  <si>
    <t>Estimate!!Total:!!In households:!!15 to 17 years</t>
  </si>
  <si>
    <t>B09001_010</t>
  </si>
  <si>
    <t>Estimate!!Total:!!In group quarters</t>
  </si>
  <si>
    <t>B09002_002</t>
  </si>
  <si>
    <t>Estimate!!Total:!!In married-couple families:</t>
  </si>
  <si>
    <t>B09002_003</t>
  </si>
  <si>
    <t>Estimate!!Total:!!In married-couple families:!!Under 3 years</t>
  </si>
  <si>
    <t>B09002_004</t>
  </si>
  <si>
    <t>Estimate!!Total:!!In married-couple families:!!3 and 4 years</t>
  </si>
  <si>
    <t>B09002_005</t>
  </si>
  <si>
    <t>Estimate!!Total:!!In married-couple families:!!5 years</t>
  </si>
  <si>
    <t>B09002_006</t>
  </si>
  <si>
    <t>Estimate!!Total:!!In married-couple families:!!6 to 11 years</t>
  </si>
  <si>
    <t>B09002_007</t>
  </si>
  <si>
    <t>Estimate!!Total:!!In married-couple families:!!12 to 17 years</t>
  </si>
  <si>
    <t>B09002_008</t>
  </si>
  <si>
    <t>Estimate!!Total:!!In other families:</t>
  </si>
  <si>
    <t>B09002_009</t>
  </si>
  <si>
    <t>Estimate!!Total:!!In other families:!!Male householder, no spouse present:</t>
  </si>
  <si>
    <t>B09002_010</t>
  </si>
  <si>
    <t>Estimate!!Total:!!In other families:!!Male householder, no spouse present:!!Under 3 years</t>
  </si>
  <si>
    <t>B09002_011</t>
  </si>
  <si>
    <t>Estimate!!Total:!!In other families:!!Male householder, no spouse present:!!3 and 4 years</t>
  </si>
  <si>
    <t>B09002_012</t>
  </si>
  <si>
    <t>Estimate!!Total:!!In other families:!!Male householder, no spouse present:!!5 years</t>
  </si>
  <si>
    <t>B09002_013</t>
  </si>
  <si>
    <t>Estimate!!Total:!!In other families:!!Male householder, no spouse present:!!6 to 11 years</t>
  </si>
  <si>
    <t>B09002_014</t>
  </si>
  <si>
    <t>Estimate!!Total:!!In other families:!!Male householder, no spouse present:!!12 to 17 years</t>
  </si>
  <si>
    <t>B09002_015</t>
  </si>
  <si>
    <t>Estimate!!Total:!!In other families:!!Female householder, no spouse present:</t>
  </si>
  <si>
    <t>B09002_016</t>
  </si>
  <si>
    <t>Estimate!!Total:!!In other families:!!Female householder, no spouse present:!!Under 3 years</t>
  </si>
  <si>
    <t>B09002_017</t>
  </si>
  <si>
    <t>Estimate!!Total:!!In other families:!!Female householder, no spouse present:!!3 and 4 years</t>
  </si>
  <si>
    <t>B09002_018</t>
  </si>
  <si>
    <t>Estimate!!Total:!!In other families:!!Female householder, no spouse present:!!5 years</t>
  </si>
  <si>
    <t>B09002_019</t>
  </si>
  <si>
    <t>Estimate!!Total:!!In other families:!!Female householder, no spouse present:!!6 to 11 years</t>
  </si>
  <si>
    <t>B09002_020</t>
  </si>
  <si>
    <t>Estimate!!Total:!!In other families:!!Female householder, no spouse present:!!12 to 17 years</t>
  </si>
  <si>
    <t>B09005_002</t>
  </si>
  <si>
    <t>Estimate!!Total:!!Married-couple household</t>
  </si>
  <si>
    <t>B09005_003</t>
  </si>
  <si>
    <t>Estimate!!Total:!!Cohabiting couple household</t>
  </si>
  <si>
    <t>B09005_004</t>
  </si>
  <si>
    <t>Estimate!!Total:!!In male householder, no spouse/partner present household</t>
  </si>
  <si>
    <t>B09005_005</t>
  </si>
  <si>
    <t>Estimate!!Total:!!In female householder, no spouse/partner present household</t>
  </si>
  <si>
    <t>B09010_002</t>
  </si>
  <si>
    <t>Estimate!!Total:!!Living in household with Supplemental Security Income (SSI), cash public assistance income, or Food Stamps/SNAP in the past 12 months:</t>
  </si>
  <si>
    <t>B09010_003</t>
  </si>
  <si>
    <t>Estimate!!Total:!!Living in household with Supplemental Security Income (SSI), cash public assistance income, or Food Stamps/SNAP in the past 12 months:!!In family households:</t>
  </si>
  <si>
    <t>B09010_004</t>
  </si>
  <si>
    <t>Estimate!!Total:!!Living in household with Supplemental Security Income (SSI), cash public assistance income, or Food Stamps/SNAP in the past 12 months:!!In family households:!!In married-couple family</t>
  </si>
  <si>
    <t>B09010_005</t>
  </si>
  <si>
    <t>Estimate!!Total:!!Living in household with Supplemental Security Income (SSI), cash public assistance income, or Food Stamps/SNAP in the past 12 months:!!In family households:!!In male householder, no spouse present, family</t>
  </si>
  <si>
    <t>B09010_006</t>
  </si>
  <si>
    <t>Estimate!!Total:!!Living in household with Supplemental Security Income (SSI), cash public assistance income, or Food Stamps/SNAP in the past 12 months:!!In family households:!!In female householder, no spouse present, family</t>
  </si>
  <si>
    <t>B09010_007</t>
  </si>
  <si>
    <t>Estimate!!Total:!!Living in household with Supplemental Security Income (SSI), cash public assistance income, or Food Stamps/SNAP in the past 12 months:!!In nonfamily households</t>
  </si>
  <si>
    <t>B09010_008</t>
  </si>
  <si>
    <t>Estimate!!Total:!!Living in household with no Supplemental Security Income (SSI), cash public assistance income, or Food Stamps/SNAP in the past 12 months:</t>
  </si>
  <si>
    <t>B09010_009</t>
  </si>
  <si>
    <t>Estimate!!Total:!!Living in household with no Supplemental Security Income (SSI), cash public assistance income, or Food Stamps/SNAP in the past 12 months:!!In family households:</t>
  </si>
  <si>
    <t>B09010_010</t>
  </si>
  <si>
    <t>Estimate!!Total:!!Living in household with no Supplemental Security Income (SSI), cash public assistance income, or Food Stamps/SNAP in the past 12 months:!!In family households:!!In married-couple family</t>
  </si>
  <si>
    <t>B09010_011</t>
  </si>
  <si>
    <t>Estimate!!Total:!!Living in household with no Supplemental Security Income (SSI), cash public assistance income, or Food Stamps/SNAP in the past 12 months:!!In family households:!!In male householder, no spouse present, family</t>
  </si>
  <si>
    <t>B09010_012</t>
  </si>
  <si>
    <t>Estimate!!Total:!!Living in household with no Supplemental Security Income (SSI), cash public assistance income, or Food Stamps/SNAP in the past 12 months:!!In family households:!!In female householder, no spouse present, family</t>
  </si>
  <si>
    <t>B09010_013</t>
  </si>
  <si>
    <t>Estimate!!Total:!!Living in household with no Supplemental Security Income (SSI), cash public assistance income, or Food Stamps/SNAP in the past 12 months:!!In nonfamily households</t>
  </si>
  <si>
    <t>B09018_002</t>
  </si>
  <si>
    <t>Estimate!!Total:!!Own child:</t>
  </si>
  <si>
    <t>B09018_003</t>
  </si>
  <si>
    <t>Estimate!!Total:!!Own child:!!Biological child</t>
  </si>
  <si>
    <t>B09018_004</t>
  </si>
  <si>
    <t>Estimate!!Total:!!Own child:!!Adopted child</t>
  </si>
  <si>
    <t>B09018_005</t>
  </si>
  <si>
    <t>Estimate!!Total:!!Own child:!!Stepchild</t>
  </si>
  <si>
    <t>B09018_006</t>
  </si>
  <si>
    <t>Estimate!!Total:!!Grandchild</t>
  </si>
  <si>
    <t>B09018_007</t>
  </si>
  <si>
    <t>Estimate!!Total:!!Other relatives</t>
  </si>
  <si>
    <t>B09018_008</t>
  </si>
  <si>
    <t>Estimate!!Total:!!Foster child or other unrelated child</t>
  </si>
  <si>
    <t>B09019_002</t>
  </si>
  <si>
    <t>B09019_003</t>
  </si>
  <si>
    <t>Estimate!!Total:!!In households:!!Householder:</t>
  </si>
  <si>
    <t>B09019_004</t>
  </si>
  <si>
    <t>Estimate!!Total:!!In households:!!Householder:!!Male:</t>
  </si>
  <si>
    <t>B09019_005</t>
  </si>
  <si>
    <t>Estimate!!Total:!!In households:!!Householder:!!Male:!!Living alone</t>
  </si>
  <si>
    <t>B09019_006</t>
  </si>
  <si>
    <t>Estimate!!Total:!!In households:!!Householder:!!Male:!!Not living alone</t>
  </si>
  <si>
    <t>B09019_007</t>
  </si>
  <si>
    <t>Estimate!!Total:!!In households:!!Householder:!!Female:</t>
  </si>
  <si>
    <t>B09019_008</t>
  </si>
  <si>
    <t>Estimate!!Total:!!In households:!!Householder:!!Female:!!Living alone</t>
  </si>
  <si>
    <t>B09019_009</t>
  </si>
  <si>
    <t>Estimate!!Total:!!In households:!!Householder:!!Female:!!Not living alone</t>
  </si>
  <si>
    <t>B09019_010</t>
  </si>
  <si>
    <t>Estimate!!Total:!!In households:!!Opposite-sex spouse</t>
  </si>
  <si>
    <t>B09019_011</t>
  </si>
  <si>
    <t>Estimate!!Total:!!In households:!!Same-sex spouse</t>
  </si>
  <si>
    <t>B09019_012</t>
  </si>
  <si>
    <t>Estimate!!Total:!!In households:!!Opposite-sex unmarried partner</t>
  </si>
  <si>
    <t>B09019_013</t>
  </si>
  <si>
    <t>Estimate!!Total:!!In households:!!Same-sex unmarried partner</t>
  </si>
  <si>
    <t>B09019_014</t>
  </si>
  <si>
    <t>Estimate!!Total:!!In households:!!Child:</t>
  </si>
  <si>
    <t>B09019_015</t>
  </si>
  <si>
    <t>Estimate!!Total:!!In households:!!Child:!!Biological child</t>
  </si>
  <si>
    <t>B09019_016</t>
  </si>
  <si>
    <t>Estimate!!Total:!!In households:!!Child:!!Adopted child</t>
  </si>
  <si>
    <t>B09019_017</t>
  </si>
  <si>
    <t>Estimate!!Total:!!In households:!!Child:!!Stepchild</t>
  </si>
  <si>
    <t>B09019_018</t>
  </si>
  <si>
    <t>Estimate!!Total:!!In households:!!Grandchild</t>
  </si>
  <si>
    <t>B09019_019</t>
  </si>
  <si>
    <t>Estimate!!Total:!!In households:!!Brother or sister</t>
  </si>
  <si>
    <t>B09019_020</t>
  </si>
  <si>
    <t>Estimate!!Total:!!In households:!!Parent</t>
  </si>
  <si>
    <t>B09019_021</t>
  </si>
  <si>
    <t>Estimate!!Total:!!In households:!!Parent-in-law</t>
  </si>
  <si>
    <t>B09019_022</t>
  </si>
  <si>
    <t>Estimate!!Total:!!In households:!!Son-in-law or daughter-in-law</t>
  </si>
  <si>
    <t>B09019_023</t>
  </si>
  <si>
    <t>Estimate!!Total:!!In households:!!Other relatives</t>
  </si>
  <si>
    <t>B09019_024</t>
  </si>
  <si>
    <t>Estimate!!Total:!!In households:!!Foster child</t>
  </si>
  <si>
    <t>B09019_025</t>
  </si>
  <si>
    <t>Estimate!!Total:!!In households:!!Other nonrelatives</t>
  </si>
  <si>
    <t>B09019_026</t>
  </si>
  <si>
    <t>B09020_002</t>
  </si>
  <si>
    <t>B09020_003</t>
  </si>
  <si>
    <t>Estimate!!Total:!!In households:!!In family households:</t>
  </si>
  <si>
    <t>B09020_004</t>
  </si>
  <si>
    <t>Estimate!!Total:!!In households:!!In family households:!!Householder:</t>
  </si>
  <si>
    <t>B09020_005</t>
  </si>
  <si>
    <t>Estimate!!Total:!!In households:!!In family households:!!Householder:!!Male</t>
  </si>
  <si>
    <t>B09020_006</t>
  </si>
  <si>
    <t>Estimate!!Total:!!In households:!!In family households:!!Householder:!!Female</t>
  </si>
  <si>
    <t>B09020_007</t>
  </si>
  <si>
    <t>Estimate!!Total:!!In households:!!In family households:!!Spouse</t>
  </si>
  <si>
    <t>B09020_008</t>
  </si>
  <si>
    <t>Estimate!!Total:!!In households:!!In family households:!!Parent</t>
  </si>
  <si>
    <t>B09020_009</t>
  </si>
  <si>
    <t>Estimate!!Total:!!In households:!!In family households:!!Parent-in-law</t>
  </si>
  <si>
    <t>B09020_010</t>
  </si>
  <si>
    <t>Estimate!!Total:!!In households:!!In family households:!!Other relatives</t>
  </si>
  <si>
    <t>B09020_011</t>
  </si>
  <si>
    <t>Estimate!!Total:!!In households:!!In family households:!!Nonrelatives</t>
  </si>
  <si>
    <t>B09020_012</t>
  </si>
  <si>
    <t>Estimate!!Total:!!In households:!!In nonfamily households:</t>
  </si>
  <si>
    <t>B09020_013</t>
  </si>
  <si>
    <t>Estimate!!Total:!!In households:!!In nonfamily households:!!Householder:</t>
  </si>
  <si>
    <t>B09020_014</t>
  </si>
  <si>
    <t>Estimate!!Total:!!In households:!!In nonfamily households:!!Householder:!!Male:</t>
  </si>
  <si>
    <t>B09020_015</t>
  </si>
  <si>
    <t>Estimate!!Total:!!In households:!!In nonfamily households:!!Householder:!!Male:!!Living alone</t>
  </si>
  <si>
    <t>B09020_016</t>
  </si>
  <si>
    <t>Estimate!!Total:!!In households:!!In nonfamily households:!!Householder:!!Male:!!Not living alone</t>
  </si>
  <si>
    <t>B09020_017</t>
  </si>
  <si>
    <t>Estimate!!Total:!!In households:!!In nonfamily households:!!Householder:!!Female:</t>
  </si>
  <si>
    <t>B09020_018</t>
  </si>
  <si>
    <t>Estimate!!Total:!!In households:!!In nonfamily households:!!Householder:!!Female:!!Living alone</t>
  </si>
  <si>
    <t>B09020_019</t>
  </si>
  <si>
    <t>Estimate!!Total:!!In households:!!In nonfamily households:!!Householder:!!Female:!!Not living alone</t>
  </si>
  <si>
    <t>B09020_020</t>
  </si>
  <si>
    <t>Estimate!!Total:!!In households:!!In nonfamily households:!!Nonrelatives</t>
  </si>
  <si>
    <t>B09020_021</t>
  </si>
  <si>
    <t>B09021_002</t>
  </si>
  <si>
    <t>Estimate!!Total:!!Lives alone</t>
  </si>
  <si>
    <t>B09021_003</t>
  </si>
  <si>
    <t>Estimate!!Total:!!Householder living with spouse or spouse of householder</t>
  </si>
  <si>
    <t>B09021_004</t>
  </si>
  <si>
    <t>Estimate!!Total:!!Householder living with unmarried partner or unmarried partner of householder</t>
  </si>
  <si>
    <t>B09021_005</t>
  </si>
  <si>
    <t>Estimate!!Total:!!Child of householder</t>
  </si>
  <si>
    <t>B09021_006</t>
  </si>
  <si>
    <t>B09021_007</t>
  </si>
  <si>
    <t>Estimate!!Total:!!Other nonrelatives</t>
  </si>
  <si>
    <t>B09021_008</t>
  </si>
  <si>
    <t>Estimate!!Total:!!18 to 34 years:</t>
  </si>
  <si>
    <t>B09021_009</t>
  </si>
  <si>
    <t>Estimate!!Total:!!18 to 34 years:!!Lives alone</t>
  </si>
  <si>
    <t>B09021_010</t>
  </si>
  <si>
    <t>Estimate!!Total:!!18 to 34 years:!!Householder living with spouse or spouse of householder</t>
  </si>
  <si>
    <t>B09021_011</t>
  </si>
  <si>
    <t>Estimate!!Total:!!18 to 34 years:!!Householder living with unmarried partner or unmarried partner of householder</t>
  </si>
  <si>
    <t>B09021_012</t>
  </si>
  <si>
    <t>Estimate!!Total:!!18 to 34 years:!!Child of householder</t>
  </si>
  <si>
    <t>B09021_013</t>
  </si>
  <si>
    <t>Estimate!!Total:!!18 to 34 years:!!Other relatives</t>
  </si>
  <si>
    <t>B09021_014</t>
  </si>
  <si>
    <t>Estimate!!Total:!!18 to 34 years:!!Other nonrelatives</t>
  </si>
  <si>
    <t>B09021_015</t>
  </si>
  <si>
    <t>Estimate!!Total:!!35 to 64 years:</t>
  </si>
  <si>
    <t>B09021_016</t>
  </si>
  <si>
    <t>Estimate!!Total:!!35 to 64 years:!!Lives alone</t>
  </si>
  <si>
    <t>B09021_017</t>
  </si>
  <si>
    <t>Estimate!!Total:!!35 to 64 years:!!Householder living with spouse or spouse of householder</t>
  </si>
  <si>
    <t>B09021_018</t>
  </si>
  <si>
    <t>Estimate!!Total:!!35 to 64 years:!!Householder living with unmarried partner or unmarried partner of householder</t>
  </si>
  <si>
    <t>B09021_019</t>
  </si>
  <si>
    <t>Estimate!!Total:!!35 to 64 years:!!Child of householder</t>
  </si>
  <si>
    <t>B09021_020</t>
  </si>
  <si>
    <t>Estimate!!Total:!!35 to 64 years:!!Other relatives</t>
  </si>
  <si>
    <t>B09021_021</t>
  </si>
  <si>
    <t>Estimate!!Total:!!35 to 64 years:!!Other nonrelatives</t>
  </si>
  <si>
    <t>B09021_022</t>
  </si>
  <si>
    <t>Estimate!!Total:!!65 years and over:</t>
  </si>
  <si>
    <t>B09021_023</t>
  </si>
  <si>
    <t>Estimate!!Total:!!65 years and over:!!Lives alone</t>
  </si>
  <si>
    <t>B09021_024</t>
  </si>
  <si>
    <t>Estimate!!Total:!!65 years and over:!!Householder living with spouse or spouse of householder</t>
  </si>
  <si>
    <t>B09021_025</t>
  </si>
  <si>
    <t>Estimate!!Total:!!65 years and over:!!Householder living with unmarried partner or unmarried partner of householder</t>
  </si>
  <si>
    <t>B09021_026</t>
  </si>
  <si>
    <t>Estimate!!Total:!!65 years and over:!!Child of householder</t>
  </si>
  <si>
    <t>B09021_027</t>
  </si>
  <si>
    <t>Estimate!!Total:!!65 years and over:!!Other relatives</t>
  </si>
  <si>
    <t>B09021_028</t>
  </si>
  <si>
    <t>Estimate!!Total:!!65 years and over:!!Other nonrelatives</t>
  </si>
  <si>
    <t>B10001_002</t>
  </si>
  <si>
    <t>Estimate!!Total:!!Grandchildren under 6 years</t>
  </si>
  <si>
    <t>B10001_003</t>
  </si>
  <si>
    <t>Estimate!!Total:!!Grandchildren 6 to 11 years</t>
  </si>
  <si>
    <t>B10001_004</t>
  </si>
  <si>
    <t>Estimate!!Total:!!Grandchildren 12 to 17 years</t>
  </si>
  <si>
    <t>B10002_002</t>
  </si>
  <si>
    <t>Estimate!!Total:!!Grandparent householder responsible for own grandchildren under 18 years:</t>
  </si>
  <si>
    <t>B10002_003</t>
  </si>
  <si>
    <t>Estimate!!Total:!!Grandparent householder responsible for own grandchildren under 18 years:!!Parent present</t>
  </si>
  <si>
    <t>B10002_004</t>
  </si>
  <si>
    <t>Estimate!!Total:!!Grandparent householder responsible for own grandchildren under 18 years:!!No parent present</t>
  </si>
  <si>
    <t>B10002_005</t>
  </si>
  <si>
    <t>Estimate!!Total:!!Grandparent householder not responsible for own grandchildren under 18 years</t>
  </si>
  <si>
    <t>B10010_002</t>
  </si>
  <si>
    <t>Estimate!!Median family income in the past 12 months--!!Grandparent householder and/or spouse responsible for grandchildren under 18 years (dollars)</t>
  </si>
  <si>
    <t>B10010_003</t>
  </si>
  <si>
    <t>Estimate!!Median family income in the past 12 months--!!Grandparent householder and/or spouse responsible for grandchildren under 18 years and no parent present (dollars)</t>
  </si>
  <si>
    <t>B10050_002</t>
  </si>
  <si>
    <t>Estimate!!Total:!!Living with own grandchildren under 18 years:</t>
  </si>
  <si>
    <t>B10050_003</t>
  </si>
  <si>
    <t>Estimate!!Total:!!Living with own grandchildren under 18 years:!!Grandparent responsible for own grandchildren under 18 years:</t>
  </si>
  <si>
    <t>B10050_004</t>
  </si>
  <si>
    <t>Estimate!!Total:!!Living with own grandchildren under 18 years:!!Grandparent responsible for own grandchildren under 18 years:!!Grandparent responsible less than 6 months</t>
  </si>
  <si>
    <t>B10050_005</t>
  </si>
  <si>
    <t>Estimate!!Total:!!Living with own grandchildren under 18 years:!!Grandparent responsible for own grandchildren under 18 years:!!Grandparent responsible 6 to 11 months</t>
  </si>
  <si>
    <t>B10050_006</t>
  </si>
  <si>
    <t>Estimate!!Total:!!Living with own grandchildren under 18 years:!!Grandparent responsible for own grandchildren under 18 years:!!Grandparent responsible 1 or 2 years</t>
  </si>
  <si>
    <t>B10050_007</t>
  </si>
  <si>
    <t>Estimate!!Total:!!Living with own grandchildren under 18 years:!!Grandparent responsible for own grandchildren under 18 years:!!Grandparent responsible 3 or 4 years</t>
  </si>
  <si>
    <t>B10050_008</t>
  </si>
  <si>
    <t>Estimate!!Total:!!Living with own grandchildren under 18 years:!!Grandparent responsible for own grandchildren under 18 years:!!Grandparent responsible 5 years or more</t>
  </si>
  <si>
    <t>B10050_009</t>
  </si>
  <si>
    <t>Estimate!!Total:!!Living with own grandchildren under 18 years:!!Grandparent not responsible for own grandchildren under 18 years</t>
  </si>
  <si>
    <t>B10050_010</t>
  </si>
  <si>
    <t>Estimate!!Total:!!Not living with own grandchildren under 18 years</t>
  </si>
  <si>
    <t>B10051A_002</t>
  </si>
  <si>
    <t>Estimate!!Total:!!Grandparent responsible for own grandchildren under 18 years:</t>
  </si>
  <si>
    <t>B10051A_003</t>
  </si>
  <si>
    <t>Estimate!!Total:!!Grandparent responsible for own grandchildren under 18 years:!!30 to 59 years</t>
  </si>
  <si>
    <t>B10051A_004</t>
  </si>
  <si>
    <t>Estimate!!Total:!!Grandparent responsible for own grandchildren under 18 years:!!60 years and over</t>
  </si>
  <si>
    <t>B10051A_005</t>
  </si>
  <si>
    <t>Estimate!!Total:!!Grandparent not responsible for own grandchildren under 18 years:</t>
  </si>
  <si>
    <t>B10051A_006</t>
  </si>
  <si>
    <t>Estimate!!Total:!!Grandparent not responsible for own grandchildren under 18 years:!!30 to 59 years</t>
  </si>
  <si>
    <t>B10051A_007</t>
  </si>
  <si>
    <t>Estimate!!Total:!!Grandparent not responsible for own grandchildren under 18 years:!!60 years and over</t>
  </si>
  <si>
    <t>B10051B_002</t>
  </si>
  <si>
    <t>B10051B_003</t>
  </si>
  <si>
    <t>B10051B_004</t>
  </si>
  <si>
    <t>B10051B_005</t>
  </si>
  <si>
    <t>B10051B_006</t>
  </si>
  <si>
    <t>B10051B_007</t>
  </si>
  <si>
    <t>B10051C_002</t>
  </si>
  <si>
    <t>B10051C_003</t>
  </si>
  <si>
    <t>B10051C_004</t>
  </si>
  <si>
    <t>B10051C_005</t>
  </si>
  <si>
    <t>B10051C_006</t>
  </si>
  <si>
    <t>B10051C_007</t>
  </si>
  <si>
    <t>B10051D_002</t>
  </si>
  <si>
    <t>B10051D_003</t>
  </si>
  <si>
    <t>B10051D_004</t>
  </si>
  <si>
    <t>B10051D_005</t>
  </si>
  <si>
    <t>B10051D_006</t>
  </si>
  <si>
    <t>B10051D_007</t>
  </si>
  <si>
    <t>B10051E_002</t>
  </si>
  <si>
    <t>B10051E_003</t>
  </si>
  <si>
    <t>B10051E_004</t>
  </si>
  <si>
    <t>B10051E_005</t>
  </si>
  <si>
    <t>B10051E_006</t>
  </si>
  <si>
    <t>B10051E_007</t>
  </si>
  <si>
    <t>B10051F_002</t>
  </si>
  <si>
    <t>B10051F_003</t>
  </si>
  <si>
    <t>B10051F_004</t>
  </si>
  <si>
    <t>B10051F_005</t>
  </si>
  <si>
    <t>B10051F_006</t>
  </si>
  <si>
    <t>B10051F_007</t>
  </si>
  <si>
    <t>B10051G_002</t>
  </si>
  <si>
    <t>B10051G_003</t>
  </si>
  <si>
    <t>B10051G_004</t>
  </si>
  <si>
    <t>B10051G_005</t>
  </si>
  <si>
    <t>B10051G_006</t>
  </si>
  <si>
    <t>B10051G_007</t>
  </si>
  <si>
    <t>B10051H_002</t>
  </si>
  <si>
    <t>B10051H_003</t>
  </si>
  <si>
    <t>B10051H_004</t>
  </si>
  <si>
    <t>B10051H_005</t>
  </si>
  <si>
    <t>B10051H_006</t>
  </si>
  <si>
    <t>B10051H_007</t>
  </si>
  <si>
    <t>B10051I_002</t>
  </si>
  <si>
    <t>B10051I_003</t>
  </si>
  <si>
    <t>B10051I_004</t>
  </si>
  <si>
    <t>B10051I_005</t>
  </si>
  <si>
    <t>B10051I_006</t>
  </si>
  <si>
    <t>B10051I_007</t>
  </si>
  <si>
    <t>B10051_002</t>
  </si>
  <si>
    <t>B10051_003</t>
  </si>
  <si>
    <t>Estimate!!Total:!!Grandparent responsible for own grandchildren under 18 years:!!Householder or spouse with no parent of grandchildren present:</t>
  </si>
  <si>
    <t>B10051_004</t>
  </si>
  <si>
    <t>Estimate!!Total:!!Grandparent responsible for own grandchildren under 18 years:!!Householder or spouse with no parent of grandchildren present:!!30 to 59 years</t>
  </si>
  <si>
    <t>B10051_005</t>
  </si>
  <si>
    <t>Estimate!!Total:!!Grandparent responsible for own grandchildren under 18 years:!!Householder or spouse with no parent of grandchildren present:!!60 years and over</t>
  </si>
  <si>
    <t>B10051_006</t>
  </si>
  <si>
    <t>Estimate!!Total:!!Grandparent responsible for own grandchildren under 18 years:!!Other grandparents:</t>
  </si>
  <si>
    <t>B10051_007</t>
  </si>
  <si>
    <t>Estimate!!Total:!!Grandparent responsible for own grandchildren under 18 years:!!Other grandparents:!!30 to 59 years</t>
  </si>
  <si>
    <t>B10051_008</t>
  </si>
  <si>
    <t>Estimate!!Total:!!Grandparent responsible for own grandchildren under 18 years:!!Other grandparents:!!60 years and over</t>
  </si>
  <si>
    <t>B10051_009</t>
  </si>
  <si>
    <t>B10051_010</t>
  </si>
  <si>
    <t>B10051_011</t>
  </si>
  <si>
    <t>B10052_002</t>
  </si>
  <si>
    <t>Estimate!!Total:!!With any disability:</t>
  </si>
  <si>
    <t>B10052_003</t>
  </si>
  <si>
    <t>Estimate!!Total:!!With any disability:!!Grandparent responsible for own grandchildren under 18 years:</t>
  </si>
  <si>
    <t>B10052_004</t>
  </si>
  <si>
    <t>Estimate!!Total:!!With any disability:!!Grandparent responsible for own grandchildren under 18 years:!!30 to 59 years</t>
  </si>
  <si>
    <t>B10052_005</t>
  </si>
  <si>
    <t>Estimate!!Total:!!With any disability:!!Grandparent responsible for own grandchildren under 18 years:!!60 years and over</t>
  </si>
  <si>
    <t>B10052_006</t>
  </si>
  <si>
    <t>Estimate!!Total:!!With any disability:!!Grandparent not responsible for own grandchildren under 18 years</t>
  </si>
  <si>
    <t>B10052_007</t>
  </si>
  <si>
    <t>Estimate!!Total:!!No disability:</t>
  </si>
  <si>
    <t>B10052_008</t>
  </si>
  <si>
    <t>Estimate!!Total:!!No disability:!!Grandparent responsible for own grandchildren under 18 years:</t>
  </si>
  <si>
    <t>B10052_009</t>
  </si>
  <si>
    <t>Estimate!!Total:!!No disability:!!Grandparent responsible for own grandchildren under 18 years:!!30 to 59 years</t>
  </si>
  <si>
    <t>B10052_010</t>
  </si>
  <si>
    <t>Estimate!!Total:!!No disability:!!Grandparent responsible for own grandchildren under 18 years:!!60 years and over</t>
  </si>
  <si>
    <t>B10052_011</t>
  </si>
  <si>
    <t>Estimate!!Total:!!No disability:!!Grandparent not responsible for own grandchildren under 18 years</t>
  </si>
  <si>
    <t>B10053_002</t>
  </si>
  <si>
    <t>B10053_003</t>
  </si>
  <si>
    <t>Estimate!!Total:!!Native:!!Grandparent responsible for own grandchildren under 18 years:</t>
  </si>
  <si>
    <t>B10053_004</t>
  </si>
  <si>
    <t>Estimate!!Total:!!Native:!!Grandparent responsible for own grandchildren under 18 years:!!30 to 59 years</t>
  </si>
  <si>
    <t>B10053_005</t>
  </si>
  <si>
    <t>Estimate!!Total:!!Native:!!Grandparent responsible for own grandchildren under 18 years:!!60 years and over</t>
  </si>
  <si>
    <t>B10053_006</t>
  </si>
  <si>
    <t>Estimate!!Total:!!Native:!!Grandparent not responsible for own grandchildren under 18 years</t>
  </si>
  <si>
    <t>B10053_007</t>
  </si>
  <si>
    <t>B10053_008</t>
  </si>
  <si>
    <t>Estimate!!Total:!!Foreign-born:!!Grandparent responsible for own grandchildren under 18 years:</t>
  </si>
  <si>
    <t>B10053_009</t>
  </si>
  <si>
    <t>Estimate!!Total:!!Foreign-born:!!Grandparent responsible for own grandchildren under 18 years:!!30 to 59 years</t>
  </si>
  <si>
    <t>B10053_010</t>
  </si>
  <si>
    <t>Estimate!!Total:!!Foreign-born:!!Grandparent responsible for own grandchildren under 18 years:!!60 years and over</t>
  </si>
  <si>
    <t>B10053_011</t>
  </si>
  <si>
    <t>Estimate!!Total:!!Foreign-born:!!Grandparent not responsible for own grandchildren under 18 years</t>
  </si>
  <si>
    <t>B10054_002</t>
  </si>
  <si>
    <t>Estimate!!Total:!!Speak only English:</t>
  </si>
  <si>
    <t>B10054_003</t>
  </si>
  <si>
    <t>Estimate!!Total:!!Speak only English:!!Grandparent responsible for own grandchildren under 18 years:</t>
  </si>
  <si>
    <t>B10054_004</t>
  </si>
  <si>
    <t>Estimate!!Total:!!Speak only English:!!Grandparent responsible for own grandchildren under 18 years:!!30 to 59 years</t>
  </si>
  <si>
    <t>B10054_005</t>
  </si>
  <si>
    <t>Estimate!!Total:!!Speak only English:!!Grandparent responsible for own grandchildren under 18 years:!!60 years and over</t>
  </si>
  <si>
    <t>B10054_006</t>
  </si>
  <si>
    <t>Estimate!!Total:!!Speak only English:!!Grandparent not responsible for own grandchildren under 18 years</t>
  </si>
  <si>
    <t>B10054_007</t>
  </si>
  <si>
    <t>Estimate!!Total:!!Speak other language:</t>
  </si>
  <si>
    <t>B10054_008</t>
  </si>
  <si>
    <t>Estimate!!Total:!!Speak other language:!!Speak English "very well":</t>
  </si>
  <si>
    <t>B10054_009</t>
  </si>
  <si>
    <t>Estimate!!Total:!!Speak other language:!!Speak English "very well":!!Grandparent responsible for own grandchildren under 18 years:</t>
  </si>
  <si>
    <t>B10054_010</t>
  </si>
  <si>
    <t>Estimate!!Total:!!Speak other language:!!Speak English "very well":!!Grandparent responsible for own grandchildren under 18 years:!!30 to 59 years</t>
  </si>
  <si>
    <t>B10054_011</t>
  </si>
  <si>
    <t>Estimate!!Total:!!Speak other language:!!Speak English "very well":!!Grandparent responsible for own grandchildren under 18 years:!!60 years and over</t>
  </si>
  <si>
    <t>B10054_012</t>
  </si>
  <si>
    <t>Estimate!!Total:!!Speak other language:!!Speak English "very well":!!Grandparent not responsible for own grandchildren under 18 years</t>
  </si>
  <si>
    <t>B10054_013</t>
  </si>
  <si>
    <t>Estimate!!Total:!!Speak other language:!!Speak English less than "very well":</t>
  </si>
  <si>
    <t>B10054_014</t>
  </si>
  <si>
    <t>Estimate!!Total:!!Speak other language:!!Speak English less than "very well":!!Grandparent responsible for own grandchildren under 18 years:</t>
  </si>
  <si>
    <t>B10054_015</t>
  </si>
  <si>
    <t>Estimate!!Total:!!Speak other language:!!Speak English less than "very well":!!Grandparent responsible for own grandchildren under 18 years:!!30 to 59 years</t>
  </si>
  <si>
    <t>B10054_016</t>
  </si>
  <si>
    <t>Estimate!!Total:!!Speak other language:!!Speak English less than "very well":!!Grandparent responsible for own grandchildren under 18 years:!!60 years and over</t>
  </si>
  <si>
    <t>B10054_017</t>
  </si>
  <si>
    <t>Estimate!!Total:!!Speak other language:!!Speak English less than "very well":!!Grandparent not responsible for own grandchildren under 18 years</t>
  </si>
  <si>
    <t>B10056_002</t>
  </si>
  <si>
    <t>B10056_003</t>
  </si>
  <si>
    <t>Estimate!!Total:!!Male:!!Grandparent responsible for own grandchildren under 18 years:</t>
  </si>
  <si>
    <t>B10056_004</t>
  </si>
  <si>
    <t>Estimate!!Total:!!Male:!!Grandparent responsible for own grandchildren under 18 years:!!30 to 59 years</t>
  </si>
  <si>
    <t>B10056_005</t>
  </si>
  <si>
    <t>Estimate!!Total:!!Male:!!Grandparent responsible for own grandchildren under 18 years:!!60 years and over</t>
  </si>
  <si>
    <t>B10056_006</t>
  </si>
  <si>
    <t>Estimate!!Total:!!Male:!!Grandparent not responsible for own grandchildren under 18 years</t>
  </si>
  <si>
    <t>B10056_007</t>
  </si>
  <si>
    <t>B10056_008</t>
  </si>
  <si>
    <t>Estimate!!Total:!!Female:!!Grandparent responsible for own grandchildren under 18 years:</t>
  </si>
  <si>
    <t>B10056_009</t>
  </si>
  <si>
    <t>Estimate!!Total:!!Female:!!Grandparent responsible for own grandchildren under 18 years:!!30 to 59 years</t>
  </si>
  <si>
    <t>B10056_010</t>
  </si>
  <si>
    <t>Estimate!!Total:!!Female:!!Grandparent responsible for own grandchildren under 18 years:!!60 years and over</t>
  </si>
  <si>
    <t>B10056_011</t>
  </si>
  <si>
    <t>Estimate!!Total:!!Female:!!Grandparent not responsible for own grandchildren under 18 years</t>
  </si>
  <si>
    <t>B10057_002</t>
  </si>
  <si>
    <t>Estimate!!Total:!!Now married (including separated and spouse absent):</t>
  </si>
  <si>
    <t>B10057_003</t>
  </si>
  <si>
    <t>Estimate!!Total:!!Now married (including separated and spouse absent):!!Grandparent responsible for own grandchildren under 18 years:</t>
  </si>
  <si>
    <t>B10057_004</t>
  </si>
  <si>
    <t>Estimate!!Total:!!Now married (including separated and spouse absent):!!Grandparent responsible for own grandchildren under 18 years:!!30 to 59 years</t>
  </si>
  <si>
    <t>B10057_005</t>
  </si>
  <si>
    <t>Estimate!!Total:!!Now married (including separated and spouse absent):!!Grandparent responsible for own grandchildren under 18 years:!!60 years and over</t>
  </si>
  <si>
    <t>B10057_006</t>
  </si>
  <si>
    <t>Estimate!!Total:!!Now married (including separated and spouse absent):!!Grandparent not responsible for own grandchildren under 18 years</t>
  </si>
  <si>
    <t>B10057_007</t>
  </si>
  <si>
    <t>Estimate!!Total:!!Unmarried (never married, widowed, and divorced):</t>
  </si>
  <si>
    <t>B10057_008</t>
  </si>
  <si>
    <t>Estimate!!Total:!!Unmarried (never married, widowed, and divorced):!!Grandparent responsible for own grandchildren under 18 years:</t>
  </si>
  <si>
    <t>B10057_009</t>
  </si>
  <si>
    <t>Estimate!!Total:!!Unmarried (never married, widowed, and divorced):!!Grandparent responsible for own grandchildren under 18 years:!!30 to 59 years</t>
  </si>
  <si>
    <t>B10057_010</t>
  </si>
  <si>
    <t>Estimate!!Total:!!Unmarried (never married, widowed, and divorced):!!Grandparent responsible for own grandchildren under 18 years:!!60 years and over</t>
  </si>
  <si>
    <t>B10057_011</t>
  </si>
  <si>
    <t>Estimate!!Total:!!Unmarried (never married, widowed, and divorced):!!Grandparent not responsible for own grandchildren under 18 years</t>
  </si>
  <si>
    <t>B10058_002</t>
  </si>
  <si>
    <t>Estimate!!Total:!!In labor force:</t>
  </si>
  <si>
    <t>B10058_003</t>
  </si>
  <si>
    <t>Estimate!!Total:!!In labor force:!!Grandparent responsible for own grandchildren under 18 years:</t>
  </si>
  <si>
    <t>B10058_004</t>
  </si>
  <si>
    <t>Estimate!!Total:!!In labor force:!!Grandparent responsible for own grandchildren under 18 years:!!30 to 59 years</t>
  </si>
  <si>
    <t>B10058_005</t>
  </si>
  <si>
    <t>Estimate!!Total:!!In labor force:!!Grandparent responsible for own grandchildren under 18 years:!!60 years and over</t>
  </si>
  <si>
    <t>B10058_006</t>
  </si>
  <si>
    <t>Estimate!!Total:!!In labor force:!!Grandparent not responsible for own grandchildren under 18 years</t>
  </si>
  <si>
    <t>B10058_007</t>
  </si>
  <si>
    <t>Estimate!!Total:!!Not in labor force:</t>
  </si>
  <si>
    <t>B10058_008</t>
  </si>
  <si>
    <t>Estimate!!Total:!!Not in labor force:!!Grandparent responsible for own grandchildren under 18 years:</t>
  </si>
  <si>
    <t>B10058_009</t>
  </si>
  <si>
    <t>Estimate!!Total:!!Not in labor force:!!Grandparent responsible for own grandchildren under 18 years:!!30 to 59 years</t>
  </si>
  <si>
    <t>B10058_010</t>
  </si>
  <si>
    <t>Estimate!!Total:!!Not in labor force:!!Grandparent responsible for own grandchildren under 18 years:!!60 years and over</t>
  </si>
  <si>
    <t>B10058_011</t>
  </si>
  <si>
    <t>Estimate!!Total:!!Not in labor force:!!Grandparent not responsible for own grandchildren under 18 years</t>
  </si>
  <si>
    <t>B10059_002</t>
  </si>
  <si>
    <t>Estimate!!Total:!!Income in the past 12 months below poverty level:</t>
  </si>
  <si>
    <t>B10059_003</t>
  </si>
  <si>
    <t>Estimate!!Total:!!Income in the past 12 months below poverty level:!!Grandparent responsible for own grandchildren under 18 years:</t>
  </si>
  <si>
    <t>B10059_004</t>
  </si>
  <si>
    <t>Estimate!!Total:!!Income in the past 12 months below poverty level:!!Grandparent responsible for own grandchildren under 18 years:!!30 to 59 years</t>
  </si>
  <si>
    <t>B10059_005</t>
  </si>
  <si>
    <t>Estimate!!Total:!!Income in the past 12 months below poverty level:!!Grandparent responsible for own grandchildren under 18 years:!!60 years and over</t>
  </si>
  <si>
    <t>B10059_006</t>
  </si>
  <si>
    <t>Estimate!!Total:!!Income in the past 12 months below poverty level:!!Grandparent not responsible for own grandchildren under 18 years</t>
  </si>
  <si>
    <t>B10059_007</t>
  </si>
  <si>
    <t>Estimate!!Total:!!Income in the past 12 months at or above poverty level:</t>
  </si>
  <si>
    <t>B10059_008</t>
  </si>
  <si>
    <t>Estimate!!Total:!!Income in the past 12 months at or above poverty level:!!Grandparent responsible for own grandchildren under 18 years:</t>
  </si>
  <si>
    <t>B10059_009</t>
  </si>
  <si>
    <t>Estimate!!Total:!!Income in the past 12 months at or above poverty level:!!Grandparent responsible for own grandchildren under 18 years:!!30 to 59 years</t>
  </si>
  <si>
    <t>B10059_010</t>
  </si>
  <si>
    <t>Estimate!!Total:!!Income in the past 12 months at or above poverty level:!!Grandparent responsible for own grandchildren under 18 years:!!60 years and over</t>
  </si>
  <si>
    <t>B10059_011</t>
  </si>
  <si>
    <t>Estimate!!Total:!!Income in the past 12 months at or above poverty level:!!Grandparent not responsible for own grandchildren under 18 years</t>
  </si>
  <si>
    <t>B10063_002</t>
  </si>
  <si>
    <t>Estimate!!Total:!!Household with grandparents living with grandchildren:</t>
  </si>
  <si>
    <t>B10063_003</t>
  </si>
  <si>
    <t>Estimate!!Total:!!Household with grandparents living with grandchildren:!!Household with grandparent responsible for own grandchildren under 18 years:</t>
  </si>
  <si>
    <t>B10063_004</t>
  </si>
  <si>
    <t>Estimate!!Total:!!Household with grandparents living with grandchildren:!!Household with grandparent responsible for own grandchildren under 18 years:!!Householder or spouse with no parent of grandchildren present</t>
  </si>
  <si>
    <t>B10063_005</t>
  </si>
  <si>
    <t>Estimate!!Total:!!Household with grandparents living with grandchildren:!!Household with grandparent responsible for own grandchildren under 18 years:!!Other grandparents</t>
  </si>
  <si>
    <t>B10063_006</t>
  </si>
  <si>
    <t>Estimate!!Total:!!Household with grandparents living with grandchildren:!!Household with grandparent not responsible for own grandchildren under 18 years</t>
  </si>
  <si>
    <t>B10063_007</t>
  </si>
  <si>
    <t>Estimate!!Total:!!Household without grandparents living with grandchildren</t>
  </si>
  <si>
    <t>B11001A_002</t>
  </si>
  <si>
    <t>Estimate!!Total:!!Family households:</t>
  </si>
  <si>
    <t>B11001A_003</t>
  </si>
  <si>
    <t>Estimate!!Total:!!Family households:!!Married-couple family</t>
  </si>
  <si>
    <t>B11001A_004</t>
  </si>
  <si>
    <t>Estimate!!Total:!!Family households:!!Other family:</t>
  </si>
  <si>
    <t>B11001A_005</t>
  </si>
  <si>
    <t>Estimate!!Total:!!Family households:!!Other family:!!Male householder, no spouse present</t>
  </si>
  <si>
    <t>B11001A_006</t>
  </si>
  <si>
    <t>Estimate!!Total:!!Family households:!!Other family:!!Female householder, no spouse present</t>
  </si>
  <si>
    <t>B11001A_007</t>
  </si>
  <si>
    <t>Estimate!!Total:!!Nonfamily households:</t>
  </si>
  <si>
    <t>B11001A_008</t>
  </si>
  <si>
    <t>Estimate!!Total:!!Nonfamily households:!!Householder living alone</t>
  </si>
  <si>
    <t>B11001A_009</t>
  </si>
  <si>
    <t>Estimate!!Total:!!Nonfamily households:!!Householder not living alone</t>
  </si>
  <si>
    <t>B11001B_002</t>
  </si>
  <si>
    <t>B11001B_003</t>
  </si>
  <si>
    <t>B11001B_004</t>
  </si>
  <si>
    <t>B11001B_005</t>
  </si>
  <si>
    <t>B11001B_006</t>
  </si>
  <si>
    <t>B11001B_007</t>
  </si>
  <si>
    <t>B11001B_008</t>
  </si>
  <si>
    <t>B11001B_009</t>
  </si>
  <si>
    <t>B11001C_002</t>
  </si>
  <si>
    <t>B11001C_003</t>
  </si>
  <si>
    <t>B11001C_004</t>
  </si>
  <si>
    <t>B11001C_005</t>
  </si>
  <si>
    <t>B11001C_006</t>
  </si>
  <si>
    <t>B11001C_007</t>
  </si>
  <si>
    <t>B11001C_008</t>
  </si>
  <si>
    <t>B11001C_009</t>
  </si>
  <si>
    <t>B11001D_002</t>
  </si>
  <si>
    <t>B11001D_003</t>
  </si>
  <si>
    <t>B11001D_004</t>
  </si>
  <si>
    <t>B11001D_005</t>
  </si>
  <si>
    <t>B11001D_006</t>
  </si>
  <si>
    <t>B11001D_007</t>
  </si>
  <si>
    <t>B11001D_008</t>
  </si>
  <si>
    <t>B11001D_009</t>
  </si>
  <si>
    <t>B11001E_002</t>
  </si>
  <si>
    <t>B11001E_003</t>
  </si>
  <si>
    <t>B11001E_004</t>
  </si>
  <si>
    <t>B11001E_005</t>
  </si>
  <si>
    <t>B11001E_006</t>
  </si>
  <si>
    <t>B11001E_007</t>
  </si>
  <si>
    <t>B11001E_008</t>
  </si>
  <si>
    <t>B11001E_009</t>
  </si>
  <si>
    <t>B11001F_002</t>
  </si>
  <si>
    <t>B11001F_003</t>
  </si>
  <si>
    <t>B11001F_004</t>
  </si>
  <si>
    <t>B11001F_005</t>
  </si>
  <si>
    <t>B11001F_006</t>
  </si>
  <si>
    <t>B11001F_007</t>
  </si>
  <si>
    <t>B11001F_008</t>
  </si>
  <si>
    <t>B11001F_009</t>
  </si>
  <si>
    <t>B11001G_002</t>
  </si>
  <si>
    <t>B11001G_003</t>
  </si>
  <si>
    <t>B11001G_004</t>
  </si>
  <si>
    <t>B11001G_005</t>
  </si>
  <si>
    <t>B11001G_006</t>
  </si>
  <si>
    <t>B11001G_007</t>
  </si>
  <si>
    <t>B11001G_008</t>
  </si>
  <si>
    <t>B11001G_009</t>
  </si>
  <si>
    <t>B11001H_002</t>
  </si>
  <si>
    <t>B11001H_003</t>
  </si>
  <si>
    <t>B11001H_004</t>
  </si>
  <si>
    <t>B11001H_005</t>
  </si>
  <si>
    <t>B11001H_006</t>
  </si>
  <si>
    <t>B11001H_007</t>
  </si>
  <si>
    <t>B11001H_008</t>
  </si>
  <si>
    <t>B11001H_009</t>
  </si>
  <si>
    <t>B11001I_002</t>
  </si>
  <si>
    <t>B11001I_003</t>
  </si>
  <si>
    <t>B11001I_004</t>
  </si>
  <si>
    <t>B11001I_005</t>
  </si>
  <si>
    <t>B11001I_006</t>
  </si>
  <si>
    <t>B11001I_007</t>
  </si>
  <si>
    <t>B11001I_008</t>
  </si>
  <si>
    <t>B11001I_009</t>
  </si>
  <si>
    <t>B11001_002</t>
  </si>
  <si>
    <t>B11001_003</t>
  </si>
  <si>
    <t>B11001_004</t>
  </si>
  <si>
    <t>B11001_005</t>
  </si>
  <si>
    <t>B11001_006</t>
  </si>
  <si>
    <t>B11001_007</t>
  </si>
  <si>
    <t>B11001_008</t>
  </si>
  <si>
    <t>B11001_009</t>
  </si>
  <si>
    <t>B11002A_002</t>
  </si>
  <si>
    <t>Estimate!!Total:!!In family households:</t>
  </si>
  <si>
    <t>B11002A_003</t>
  </si>
  <si>
    <t>Estimate!!Total:!!In family households:!!In married-couple family:</t>
  </si>
  <si>
    <t>B11002A_004</t>
  </si>
  <si>
    <t>Estimate!!Total:!!In family households:!!In married-couple family:!!Relatives</t>
  </si>
  <si>
    <t>B11002A_005</t>
  </si>
  <si>
    <t>Estimate!!Total:!!In family households:!!In married-couple family:!!Nonrelatives</t>
  </si>
  <si>
    <t>B11002A_006</t>
  </si>
  <si>
    <t>Estimate!!Total:!!In family households:!!In male householder, no spouse present, family:</t>
  </si>
  <si>
    <t>B11002A_007</t>
  </si>
  <si>
    <t>Estimate!!Total:!!In family households:!!In male householder, no spouse present, family:!!Relatives</t>
  </si>
  <si>
    <t>B11002A_008</t>
  </si>
  <si>
    <t>Estimate!!Total:!!In family households:!!In male householder, no spouse present, family:!!Nonrelatives</t>
  </si>
  <si>
    <t>B11002A_009</t>
  </si>
  <si>
    <t>Estimate!!Total:!!In family households:!!In female householder, no spouse present, family:</t>
  </si>
  <si>
    <t>B11002A_010</t>
  </si>
  <si>
    <t>Estimate!!Total:!!In family households:!!In female householder, no spouse present, family:!!Relatives</t>
  </si>
  <si>
    <t>B11002A_011</t>
  </si>
  <si>
    <t>Estimate!!Total:!!In family households:!!In female householder, no spouse present, family:!!Nonrelatives</t>
  </si>
  <si>
    <t>B11002A_012</t>
  </si>
  <si>
    <t>Estimate!!Total:!!In nonfamily households</t>
  </si>
  <si>
    <t>B11002B_002</t>
  </si>
  <si>
    <t>B11002B_003</t>
  </si>
  <si>
    <t>B11002B_004</t>
  </si>
  <si>
    <t>B11002B_005</t>
  </si>
  <si>
    <t>B11002B_006</t>
  </si>
  <si>
    <t>B11002B_007</t>
  </si>
  <si>
    <t>B11002B_008</t>
  </si>
  <si>
    <t>B11002B_009</t>
  </si>
  <si>
    <t>B11002B_010</t>
  </si>
  <si>
    <t>B11002B_011</t>
  </si>
  <si>
    <t>B11002B_012</t>
  </si>
  <si>
    <t>B11002C_002</t>
  </si>
  <si>
    <t>B11002C_003</t>
  </si>
  <si>
    <t>B11002C_004</t>
  </si>
  <si>
    <t>B11002C_005</t>
  </si>
  <si>
    <t>B11002C_006</t>
  </si>
  <si>
    <t>B11002C_007</t>
  </si>
  <si>
    <t>B11002C_008</t>
  </si>
  <si>
    <t>B11002C_009</t>
  </si>
  <si>
    <t>B11002C_010</t>
  </si>
  <si>
    <t>B11002C_011</t>
  </si>
  <si>
    <t>B11002C_012</t>
  </si>
  <si>
    <t>B11002D_002</t>
  </si>
  <si>
    <t>B11002D_003</t>
  </si>
  <si>
    <t>B11002D_004</t>
  </si>
  <si>
    <t>B11002D_005</t>
  </si>
  <si>
    <t>B11002D_006</t>
  </si>
  <si>
    <t>B11002D_007</t>
  </si>
  <si>
    <t>B11002D_008</t>
  </si>
  <si>
    <t>B11002D_009</t>
  </si>
  <si>
    <t>B11002D_010</t>
  </si>
  <si>
    <t>B11002D_011</t>
  </si>
  <si>
    <t>B11002D_012</t>
  </si>
  <si>
    <t>B11002E_002</t>
  </si>
  <si>
    <t>B11002E_003</t>
  </si>
  <si>
    <t>B11002E_004</t>
  </si>
  <si>
    <t>B11002E_005</t>
  </si>
  <si>
    <t>B11002E_006</t>
  </si>
  <si>
    <t>B11002E_007</t>
  </si>
  <si>
    <t>B11002E_008</t>
  </si>
  <si>
    <t>B11002E_009</t>
  </si>
  <si>
    <t>B11002E_010</t>
  </si>
  <si>
    <t>B11002E_011</t>
  </si>
  <si>
    <t>B11002E_012</t>
  </si>
  <si>
    <t>B11002F_002</t>
  </si>
  <si>
    <t>B11002F_003</t>
  </si>
  <si>
    <t>B11002F_004</t>
  </si>
  <si>
    <t>B11002F_005</t>
  </si>
  <si>
    <t>B11002F_006</t>
  </si>
  <si>
    <t>B11002F_007</t>
  </si>
  <si>
    <t>B11002F_008</t>
  </si>
  <si>
    <t>B11002F_009</t>
  </si>
  <si>
    <t>B11002F_010</t>
  </si>
  <si>
    <t>B11002F_011</t>
  </si>
  <si>
    <t>B11002F_012</t>
  </si>
  <si>
    <t>B11002G_002</t>
  </si>
  <si>
    <t>B11002G_003</t>
  </si>
  <si>
    <t>B11002G_004</t>
  </si>
  <si>
    <t>B11002G_005</t>
  </si>
  <si>
    <t>B11002G_006</t>
  </si>
  <si>
    <t>B11002G_007</t>
  </si>
  <si>
    <t>B11002G_008</t>
  </si>
  <si>
    <t>B11002G_009</t>
  </si>
  <si>
    <t>B11002G_010</t>
  </si>
  <si>
    <t>B11002G_011</t>
  </si>
  <si>
    <t>B11002G_012</t>
  </si>
  <si>
    <t>B11002H_002</t>
  </si>
  <si>
    <t>B11002H_003</t>
  </si>
  <si>
    <t>B11002H_004</t>
  </si>
  <si>
    <t>B11002H_005</t>
  </si>
  <si>
    <t>B11002H_006</t>
  </si>
  <si>
    <t>B11002H_007</t>
  </si>
  <si>
    <t>B11002H_008</t>
  </si>
  <si>
    <t>B11002H_009</t>
  </si>
  <si>
    <t>B11002H_010</t>
  </si>
  <si>
    <t>B11002H_011</t>
  </si>
  <si>
    <t>B11002H_012</t>
  </si>
  <si>
    <t>B11002I_002</t>
  </si>
  <si>
    <t>B11002I_003</t>
  </si>
  <si>
    <t>B11002I_004</t>
  </si>
  <si>
    <t>B11002I_005</t>
  </si>
  <si>
    <t>B11002I_006</t>
  </si>
  <si>
    <t>B11002I_007</t>
  </si>
  <si>
    <t>B11002I_008</t>
  </si>
  <si>
    <t>B11002I_009</t>
  </si>
  <si>
    <t>B11002I_010</t>
  </si>
  <si>
    <t>B11002I_011</t>
  </si>
  <si>
    <t>B11002I_012</t>
  </si>
  <si>
    <t>B11002_002</t>
  </si>
  <si>
    <t>B11002_003</t>
  </si>
  <si>
    <t>B11002_004</t>
  </si>
  <si>
    <t>B11002_005</t>
  </si>
  <si>
    <t>B11002_006</t>
  </si>
  <si>
    <t>B11002_007</t>
  </si>
  <si>
    <t>B11002_008</t>
  </si>
  <si>
    <t>B11002_009</t>
  </si>
  <si>
    <t>B11002_010</t>
  </si>
  <si>
    <t>B11002_011</t>
  </si>
  <si>
    <t>B11002_012</t>
  </si>
  <si>
    <t>B11003_002</t>
  </si>
  <si>
    <t>Estimate!!Total:!!Married-couple family:</t>
  </si>
  <si>
    <t>B11003_003</t>
  </si>
  <si>
    <t>Estimate!!Total:!!Married-couple family:!!With own children of the householder under 18 years:</t>
  </si>
  <si>
    <t>B11003_004</t>
  </si>
  <si>
    <t>Estimate!!Total:!!Married-couple family:!!With own children of the householder under 18 years:!!Under 6 years only</t>
  </si>
  <si>
    <t>B11003_005</t>
  </si>
  <si>
    <t>Estimate!!Total:!!Married-couple family:!!With own children of the householder under 18 years:!!Under 6 years and 6 to 17 years</t>
  </si>
  <si>
    <t>B11003_006</t>
  </si>
  <si>
    <t>Estimate!!Total:!!Married-couple family:!!With own children of the householder under 18 years:!!6 to 17 years only</t>
  </si>
  <si>
    <t>B11003_007</t>
  </si>
  <si>
    <t>Estimate!!Total:!!Married-couple family:!!No own children of the householder under 18 years</t>
  </si>
  <si>
    <t>B11003_008</t>
  </si>
  <si>
    <t>Estimate!!Total:!!Other family:</t>
  </si>
  <si>
    <t>B11003_009</t>
  </si>
  <si>
    <t>Estimate!!Total:!!Other family:!!Male householder, no spouse present:</t>
  </si>
  <si>
    <t>B11003_010</t>
  </si>
  <si>
    <t>Estimate!!Total:!!Other family:!!Male householder, no spouse present:!!With own children of the householder under 18 years:</t>
  </si>
  <si>
    <t>B11003_011</t>
  </si>
  <si>
    <t>Estimate!!Total:!!Other family:!!Male householder, no spouse present:!!With own children of the householder under 18 years:!!Under 6 years only</t>
  </si>
  <si>
    <t>B11003_012</t>
  </si>
  <si>
    <t>Estimate!!Total:!!Other family:!!Male householder, no spouse present:!!With own children of the householder under 18 years:!!Under 6 years and 6 to 17 years</t>
  </si>
  <si>
    <t>B11003_013</t>
  </si>
  <si>
    <t>Estimate!!Total:!!Other family:!!Male householder, no spouse present:!!With own children of the householder under 18 years:!!6 to 17 years only</t>
  </si>
  <si>
    <t>B11003_014</t>
  </si>
  <si>
    <t>Estimate!!Total:!!Other family:!!Male householder, no spouse present:!!No own children of the householder under 18 years</t>
  </si>
  <si>
    <t>B11003_015</t>
  </si>
  <si>
    <t>Estimate!!Total:!!Other family:!!Female householder, no spouse present:</t>
  </si>
  <si>
    <t>B11003_016</t>
  </si>
  <si>
    <t>Estimate!!Total:!!Other family:!!Female householder, no spouse present:!!With own children of the householder under 18 years:</t>
  </si>
  <si>
    <t>B11003_017</t>
  </si>
  <si>
    <t>Estimate!!Total:!!Other family:!!Female householder, no spouse present:!!With own children of the householder under 18 years:!!Under 6 years only</t>
  </si>
  <si>
    <t>B11003_018</t>
  </si>
  <si>
    <t>Estimate!!Total:!!Other family:!!Female householder, no spouse present:!!With own children of the householder under 18 years:!!Under 6 years and 6 to 17 years</t>
  </si>
  <si>
    <t>B11003_019</t>
  </si>
  <si>
    <t>Estimate!!Total:!!Other family:!!Female householder, no spouse present:!!With own children of the householder under 18 years:!!6 to 17 years only</t>
  </si>
  <si>
    <t>B11003_020</t>
  </si>
  <si>
    <t>Estimate!!Total:!!Other family:!!Female householder, no spouse present:!!No own children of the householder under 18 years</t>
  </si>
  <si>
    <t>B11004_002</t>
  </si>
  <si>
    <t>B11004_003</t>
  </si>
  <si>
    <t>Estimate!!Total:!!Married-couple family:!!With related children of the householder under 18 years:</t>
  </si>
  <si>
    <t>B11004_004</t>
  </si>
  <si>
    <t>Estimate!!Total:!!Married-couple family:!!With related children of the householder under 18 years:!!Under 6 years only</t>
  </si>
  <si>
    <t>B11004_005</t>
  </si>
  <si>
    <t>Estimate!!Total:!!Married-couple family:!!With related children of the householder under 18 years:!!Under 6 years and 6 to 17 years</t>
  </si>
  <si>
    <t>B11004_006</t>
  </si>
  <si>
    <t>Estimate!!Total:!!Married-couple family:!!With related children of the householder under 18 years:!!6 to 17 years only</t>
  </si>
  <si>
    <t>B11004_007</t>
  </si>
  <si>
    <t>Estimate!!Total:!!Married-couple family:!!No related children of the householder under 18 years</t>
  </si>
  <si>
    <t>B11004_008</t>
  </si>
  <si>
    <t>B11004_009</t>
  </si>
  <si>
    <t>B11004_010</t>
  </si>
  <si>
    <t>Estimate!!Total:!!Other family:!!Male householder, no spouse present:!!With related children of the householder under 18 years:</t>
  </si>
  <si>
    <t>B11004_011</t>
  </si>
  <si>
    <t>Estimate!!Total:!!Other family:!!Male householder, no spouse present:!!With related children of the householder under 18 years:!!Under 6 years only</t>
  </si>
  <si>
    <t>B11004_012</t>
  </si>
  <si>
    <t>Estimate!!Total:!!Other family:!!Male householder, no spouse present:!!With related children of the householder under 18 years:!!Under 6 years and 6 to 17 years</t>
  </si>
  <si>
    <t>B11004_013</t>
  </si>
  <si>
    <t>Estimate!!Total:!!Other family:!!Male householder, no spouse present:!!With related children of the householder under 18 years:!!6 to 17 years only</t>
  </si>
  <si>
    <t>B11004_014</t>
  </si>
  <si>
    <t>Estimate!!Total:!!Other family:!!Male householder, no spouse present:!!No related children of the householder under 18 years</t>
  </si>
  <si>
    <t>B11004_015</t>
  </si>
  <si>
    <t>B11004_016</t>
  </si>
  <si>
    <t>Estimate!!Total:!!Other family:!!Female householder, no spouse present:!!With related children of the householder under 18 years:</t>
  </si>
  <si>
    <t>B11004_017</t>
  </si>
  <si>
    <t>Estimate!!Total:!!Other family:!!Female householder, no spouse present:!!With related children of the householder under 18 years:!!Under 6 years only</t>
  </si>
  <si>
    <t>B11004_018</t>
  </si>
  <si>
    <t>Estimate!!Total:!!Other family:!!Female householder, no spouse present:!!With related children of the householder under 18 years:!!Under 6 years and 6 to 17 years</t>
  </si>
  <si>
    <t>B11004_019</t>
  </si>
  <si>
    <t>Estimate!!Total:!!Other family:!!Female householder, no spouse present:!!With related children of the householder under 18 years:!!6 to 17 years only</t>
  </si>
  <si>
    <t>B11004_020</t>
  </si>
  <si>
    <t>Estimate!!Total:!!Other family:!!Female householder, no spouse present:!!No related children of the householder under 18 years</t>
  </si>
  <si>
    <t>B11005_002</t>
  </si>
  <si>
    <t>Estimate!!Total:!!Households with one or more people under 18 years:</t>
  </si>
  <si>
    <t>B11005_003</t>
  </si>
  <si>
    <t>Estimate!!Total:!!Households with one or more people under 18 years:!!Family households:</t>
  </si>
  <si>
    <t>B11005_004</t>
  </si>
  <si>
    <t>Estimate!!Total:!!Households with one or more people under 18 years:!!Family households:!!Married-couple family</t>
  </si>
  <si>
    <t>B11005_005</t>
  </si>
  <si>
    <t>Estimate!!Total:!!Households with one or more people under 18 years:!!Family households:!!Other family:</t>
  </si>
  <si>
    <t>B11005_006</t>
  </si>
  <si>
    <t>Estimate!!Total:!!Households with one or more people under 18 years:!!Family households:!!Other family:!!Male householder, no spouse present</t>
  </si>
  <si>
    <t>B11005_007</t>
  </si>
  <si>
    <t>Estimate!!Total:!!Households with one or more people under 18 years:!!Family households:!!Other family:!!Female householder, no spouse present</t>
  </si>
  <si>
    <t>B11005_008</t>
  </si>
  <si>
    <t>Estimate!!Total:!!Households with one or more people under 18 years:!!Nonfamily households:</t>
  </si>
  <si>
    <t>B11005_009</t>
  </si>
  <si>
    <t>Estimate!!Total:!!Households with one or more people under 18 years:!!Nonfamily households:!!Male householder</t>
  </si>
  <si>
    <t>B11005_010</t>
  </si>
  <si>
    <t>Estimate!!Total:!!Households with one or more people under 18 years:!!Nonfamily households:!!Female householder</t>
  </si>
  <si>
    <t>B11005_011</t>
  </si>
  <si>
    <t>Estimate!!Total:!!Households with no people under 18 years:</t>
  </si>
  <si>
    <t>B11005_012</t>
  </si>
  <si>
    <t>Estimate!!Total:!!Households with no people under 18 years:!!Family households:</t>
  </si>
  <si>
    <t>B11005_013</t>
  </si>
  <si>
    <t>Estimate!!Total:!!Households with no people under 18 years:!!Family households:!!Married-couple family</t>
  </si>
  <si>
    <t>B11005_014</t>
  </si>
  <si>
    <t>Estimate!!Total:!!Households with no people under 18 years:!!Family households:!!Other family:</t>
  </si>
  <si>
    <t>B11005_015</t>
  </si>
  <si>
    <t>Estimate!!Total:!!Households with no people under 18 years:!!Family households:!!Other family:!!Male householder, no spouse present</t>
  </si>
  <si>
    <t>B11005_016</t>
  </si>
  <si>
    <t>Estimate!!Total:!!Households with no people under 18 years:!!Family households:!!Other family:!!Female householder, no spouse present</t>
  </si>
  <si>
    <t>B11005_017</t>
  </si>
  <si>
    <t>Estimate!!Total:!!Households with no people under 18 years:!!Nonfamily households:</t>
  </si>
  <si>
    <t>B11005_018</t>
  </si>
  <si>
    <t>Estimate!!Total:!!Households with no people under 18 years:!!Nonfamily households:!!Male householder</t>
  </si>
  <si>
    <t>B11005_019</t>
  </si>
  <si>
    <t>Estimate!!Total:!!Households with no people under 18 years:!!Nonfamily households:!!Female householder</t>
  </si>
  <si>
    <t>B11006_002</t>
  </si>
  <si>
    <t>Estimate!!Total:!!Households with one or more people 60 years and over:</t>
  </si>
  <si>
    <t>B11006_003</t>
  </si>
  <si>
    <t>Estimate!!Total:!!Households with one or more people 60 years and over:!!Family households:</t>
  </si>
  <si>
    <t>B11006_004</t>
  </si>
  <si>
    <t>Estimate!!Total:!!Households with one or more people 60 years and over:!!Family households:!!Married-couple family</t>
  </si>
  <si>
    <t>B11006_005</t>
  </si>
  <si>
    <t>Estimate!!Total:!!Households with one or more people 60 years and over:!!Family households:!!Other family:</t>
  </si>
  <si>
    <t>B11006_006</t>
  </si>
  <si>
    <t>Estimate!!Total:!!Households with one or more people 60 years and over:!!Family households:!!Other family:!!Male householder, no spouse present</t>
  </si>
  <si>
    <t>B11006_007</t>
  </si>
  <si>
    <t>Estimate!!Total:!!Households with one or more people 60 years and over:!!Family households:!!Other family:!!Female householder, no spouse present</t>
  </si>
  <si>
    <t>B11006_008</t>
  </si>
  <si>
    <t>Estimate!!Total:!!Households with one or more people 60 years and over:!!Nonfamily households</t>
  </si>
  <si>
    <t>B11006_009</t>
  </si>
  <si>
    <t>Estimate!!Total:!!Households with no people 60 years and over:</t>
  </si>
  <si>
    <t>B11006_010</t>
  </si>
  <si>
    <t>Estimate!!Total:!!Households with no people 60 years and over:!!Family households:</t>
  </si>
  <si>
    <t>B11006_011</t>
  </si>
  <si>
    <t>Estimate!!Total:!!Households with no people 60 years and over:!!Family households:!!Married-couple family</t>
  </si>
  <si>
    <t>B11006_012</t>
  </si>
  <si>
    <t>Estimate!!Total:!!Households with no people 60 years and over:!!Family households:!!Other family:</t>
  </si>
  <si>
    <t>B11006_013</t>
  </si>
  <si>
    <t>Estimate!!Total:!!Households with no people 60 years and over:!!Family households:!!Other family:!!Male householder, no spouse present</t>
  </si>
  <si>
    <t>B11006_014</t>
  </si>
  <si>
    <t>Estimate!!Total:!!Households with no people 60 years and over:!!Family households:!!Other family:!!Female householder, no spouse present</t>
  </si>
  <si>
    <t>B11006_015</t>
  </si>
  <si>
    <t>Estimate!!Total:!!Households with no people 60 years and over:!!Nonfamily households</t>
  </si>
  <si>
    <t>B11007_002</t>
  </si>
  <si>
    <t>Estimate!!Total:!!Households with one or more people 65 years and over:</t>
  </si>
  <si>
    <t>B11007_003</t>
  </si>
  <si>
    <t>Estimate!!Total:!!Households with one or more people 65 years and over:!!1-person household</t>
  </si>
  <si>
    <t>B11007_004</t>
  </si>
  <si>
    <t>Estimate!!Total:!!Households with one or more people 65 years and over:!!2-or-more-person household:</t>
  </si>
  <si>
    <t>B11007_005</t>
  </si>
  <si>
    <t>Estimate!!Total:!!Households with one or more people 65 years and over:!!2-or-more-person household:!!Family households</t>
  </si>
  <si>
    <t>B11007_006</t>
  </si>
  <si>
    <t>Estimate!!Total:!!Households with one or more people 65 years and over:!!2-or-more-person household:!!Nonfamily households</t>
  </si>
  <si>
    <t>B11007_007</t>
  </si>
  <si>
    <t>Estimate!!Total:!!Households with no people 65 years and over:</t>
  </si>
  <si>
    <t>B11007_008</t>
  </si>
  <si>
    <t>Estimate!!Total:!!Households with no people 65 years and over:!!1-person households</t>
  </si>
  <si>
    <t>B11007_009</t>
  </si>
  <si>
    <t>Estimate!!Total:!!Households with no people 65 years and over:!!2-or-more-person household:</t>
  </si>
  <si>
    <t>B11007_010</t>
  </si>
  <si>
    <t>Estimate!!Total:!!Households with no people 65 years and over:!!2-or-more-person household:!!Family households</t>
  </si>
  <si>
    <t>B11007_011</t>
  </si>
  <si>
    <t>Estimate!!Total:!!Households with no people 65 years and over:!!2-or-more-person household:!!Nonfamily households</t>
  </si>
  <si>
    <t>B11008_002</t>
  </si>
  <si>
    <t>Estimate!!Total:!!Cohabiting couple household:</t>
  </si>
  <si>
    <t>B11008_003</t>
  </si>
  <si>
    <t>Estimate!!Total:!!Cohabiting couple household:!!With own children of the householder under 18 years:</t>
  </si>
  <si>
    <t>B11008_004</t>
  </si>
  <si>
    <t>Estimate!!Total:!!Cohabiting couple household:!!With own children of the householder under 18 years:!!Under 6 years only</t>
  </si>
  <si>
    <t>B11008_005</t>
  </si>
  <si>
    <t>Estimate!!Total:!!Cohabiting couple household:!!With own children of the householder under 18 years:!!Under 6 years and 6 to 17 years</t>
  </si>
  <si>
    <t>B11008_006</t>
  </si>
  <si>
    <t>Estimate!!Total:!!Cohabiting couple household:!!With own children of the householder under 18 years:!!6 to 17 years only</t>
  </si>
  <si>
    <t>B11008_007</t>
  </si>
  <si>
    <t>Estimate!!Total:!!Cohabiting couple household:!!With no own children of the householder under 18 years</t>
  </si>
  <si>
    <t>B11008_008</t>
  </si>
  <si>
    <t>Estimate!!Total:!!Not a cohabiting couple household</t>
  </si>
  <si>
    <t>B11009_002</t>
  </si>
  <si>
    <t>Estimate!!Total:!!Married couple households:</t>
  </si>
  <si>
    <t>B11009_003</t>
  </si>
  <si>
    <t>Estimate!!Total:!!Married couple households:!!Opposite-sex</t>
  </si>
  <si>
    <t>B11009_004</t>
  </si>
  <si>
    <t>Estimate!!Total:!!Married couple households:!!Same-sex:</t>
  </si>
  <si>
    <t>B11009_005</t>
  </si>
  <si>
    <t>Estimate!!Total:!!Married couple households:!!Same-sex:!!Male householder and male spouse</t>
  </si>
  <si>
    <t>B11009_006</t>
  </si>
  <si>
    <t>Estimate!!Total:!!Married couple households:!!Same-sex:!!Female householder and female spouse</t>
  </si>
  <si>
    <t>B11009_007</t>
  </si>
  <si>
    <t>Estimate!!Total:!!Cohabiting couple households:</t>
  </si>
  <si>
    <t>B11009_008</t>
  </si>
  <si>
    <t>Estimate!!Total:!!Cohabiting couple households:!!Opposite-sex</t>
  </si>
  <si>
    <t>B11009_009</t>
  </si>
  <si>
    <t>Estimate!!Total:!!Cohabiting couple households:!!Same-sex:</t>
  </si>
  <si>
    <t>B11009_010</t>
  </si>
  <si>
    <t>Estimate!!Total:!!Cohabiting couple households:!!Same-sex:!!Male householder and male partner</t>
  </si>
  <si>
    <t>B11009_011</t>
  </si>
  <si>
    <t>Estimate!!Total:!!Cohabiting couple households:!!Same-sex:!!Female householder and female partner</t>
  </si>
  <si>
    <t>B11009_012</t>
  </si>
  <si>
    <t>Estimate!!Total:!!All other households</t>
  </si>
  <si>
    <t>B11010_002</t>
  </si>
  <si>
    <t>Estimate!!Total:!!Male householder:</t>
  </si>
  <si>
    <t>B11010_003</t>
  </si>
  <si>
    <t>Estimate!!Total:!!Male householder:!!Living alone:</t>
  </si>
  <si>
    <t>B11010_004</t>
  </si>
  <si>
    <t>Estimate!!Total:!!Male householder:!!Living alone:!!Householder 15 to 64 years</t>
  </si>
  <si>
    <t>B11010_005</t>
  </si>
  <si>
    <t>Estimate!!Total:!!Male householder:!!Living alone:!!Householder 65 years and over</t>
  </si>
  <si>
    <t>B11010_006</t>
  </si>
  <si>
    <t>Estimate!!Total:!!Male householder:!!Not living alone:</t>
  </si>
  <si>
    <t>B11010_007</t>
  </si>
  <si>
    <t>Estimate!!Total:!!Male householder:!!Not living alone:!!Householder 15 to 64 years</t>
  </si>
  <si>
    <t>B11010_008</t>
  </si>
  <si>
    <t>Estimate!!Total:!!Male householder:!!Not living alone:!!Householder 65 years and over</t>
  </si>
  <si>
    <t>B11010_009</t>
  </si>
  <si>
    <t>Estimate!!Total:!!Female householder:</t>
  </si>
  <si>
    <t>B11010_010</t>
  </si>
  <si>
    <t>Estimate!!Total:!!Female householder:!!Living alone:</t>
  </si>
  <si>
    <t>B11010_011</t>
  </si>
  <si>
    <t>Estimate!!Total:!!Female householder:!!Living alone:!!Householder 15 to 64 years</t>
  </si>
  <si>
    <t>B11010_012</t>
  </si>
  <si>
    <t>Estimate!!Total:!!Female householder:!!Living alone:!!Householder 65 years and over</t>
  </si>
  <si>
    <t>B11010_013</t>
  </si>
  <si>
    <t>Estimate!!Total:!!Female householder:!!Not living alone:</t>
  </si>
  <si>
    <t>B11010_014</t>
  </si>
  <si>
    <t>Estimate!!Total:!!Female householder:!!Not living alone:!!Householder 15 to 64 years</t>
  </si>
  <si>
    <t>B11010_015</t>
  </si>
  <si>
    <t>Estimate!!Total:!!Female householder:!!Not living alone:!!Householder 65 years and over</t>
  </si>
  <si>
    <t>B11011_002</t>
  </si>
  <si>
    <t>B11011_003</t>
  </si>
  <si>
    <t>Estimate!!Total:!!Family households:!!Married-couple family:</t>
  </si>
  <si>
    <t>B11011_004</t>
  </si>
  <si>
    <t>Estimate!!Total:!!Family households:!!Married-couple family:!!1-unit structures</t>
  </si>
  <si>
    <t>B11011_005</t>
  </si>
  <si>
    <t>Estimate!!Total:!!Family households:!!Married-couple family:!!2-or-more-unit structures</t>
  </si>
  <si>
    <t>B11011_006</t>
  </si>
  <si>
    <t>Estimate!!Total:!!Family households:!!Married-couple family:!!Mobile homes and all other types of units</t>
  </si>
  <si>
    <t>B11011_007</t>
  </si>
  <si>
    <t>B11011_008</t>
  </si>
  <si>
    <t>Estimate!!Total:!!Family households:!!Other family:!!Male householder, no spouse present:</t>
  </si>
  <si>
    <t>B11011_009</t>
  </si>
  <si>
    <t>Estimate!!Total:!!Family households:!!Other family:!!Male householder, no spouse present:!!1-unit structures</t>
  </si>
  <si>
    <t>B11011_010</t>
  </si>
  <si>
    <t>Estimate!!Total:!!Family households:!!Other family:!!Male householder, no spouse present:!!2-or-more-unit structures</t>
  </si>
  <si>
    <t>B11011_011</t>
  </si>
  <si>
    <t>Estimate!!Total:!!Family households:!!Other family:!!Male householder, no spouse present:!!Mobile homes and all other types of units</t>
  </si>
  <si>
    <t>B11011_012</t>
  </si>
  <si>
    <t>Estimate!!Total:!!Family households:!!Other family:!!Female householder, no spouse present:</t>
  </si>
  <si>
    <t>B11011_013</t>
  </si>
  <si>
    <t>Estimate!!Total:!!Family households:!!Other family:!!Female householder, no spouse present:!!1-unit structures</t>
  </si>
  <si>
    <t>B11011_014</t>
  </si>
  <si>
    <t>Estimate!!Total:!!Family households:!!Other family:!!Female householder, no spouse present:!!2-or-more-unit structures</t>
  </si>
  <si>
    <t>B11011_015</t>
  </si>
  <si>
    <t>Estimate!!Total:!!Family households:!!Other family:!!Female householder, no spouse present:!!Mobile homes and all other types of units</t>
  </si>
  <si>
    <t>B11011_016</t>
  </si>
  <si>
    <t>B11011_017</t>
  </si>
  <si>
    <t>Estimate!!Total:!!Nonfamily households:!!1-unit structures</t>
  </si>
  <si>
    <t>B11011_018</t>
  </si>
  <si>
    <t>Estimate!!Total:!!Nonfamily households:!!2-or-more-unit structures</t>
  </si>
  <si>
    <t>B11011_019</t>
  </si>
  <si>
    <t>Estimate!!Total:!!Nonfamily households:!!Mobile homes and all other types of units</t>
  </si>
  <si>
    <t>B11012_002</t>
  </si>
  <si>
    <t>Estimate!!Total:!!Married-couple household:</t>
  </si>
  <si>
    <t>B11012_003</t>
  </si>
  <si>
    <t>Estimate!!Total:!!Married-couple household:!!With children of the householder under 18 years</t>
  </si>
  <si>
    <t>B11012_004</t>
  </si>
  <si>
    <t>Estimate!!Total:!!Married-couple household:!!With no children of the householder under 18 years</t>
  </si>
  <si>
    <t>B11012_005</t>
  </si>
  <si>
    <t>B11012_006</t>
  </si>
  <si>
    <t>Estimate!!Total:!!Cohabiting couple household:!!With children of the householder under 18 years</t>
  </si>
  <si>
    <t>B11012_007</t>
  </si>
  <si>
    <t>Estimate!!Total:!!Cohabiting couple household:!!With no children of the householder under 18 years</t>
  </si>
  <si>
    <t>B11012_008</t>
  </si>
  <si>
    <t>Estimate!!Total:!!Female householder, no spouse or partner present:</t>
  </si>
  <si>
    <t>B11012_009</t>
  </si>
  <si>
    <t>Estimate!!Total:!!Female householder, no spouse or partner present:!!Living alone</t>
  </si>
  <si>
    <t>B11012_010</t>
  </si>
  <si>
    <t>Estimate!!Total:!!Female householder, no spouse or partner present:!!With children of the householder under 18 years</t>
  </si>
  <si>
    <t>B11012_011</t>
  </si>
  <si>
    <t>Estimate!!Total:!!Female householder, no spouse or partner present:!!With relatives, no children of the householder under 18 years</t>
  </si>
  <si>
    <t>B11012_012</t>
  </si>
  <si>
    <t>Estimate!!Total:!!Female householder, no spouse or partner present:!!With only nonrelatives present</t>
  </si>
  <si>
    <t>B11012_013</t>
  </si>
  <si>
    <t>Estimate!!Total:!!Male householder, no spouse or partner present:</t>
  </si>
  <si>
    <t>B11012_014</t>
  </si>
  <si>
    <t>Estimate!!Total:!!Male householder, no spouse or partner present:!!Living alone</t>
  </si>
  <si>
    <t>B11012_015</t>
  </si>
  <si>
    <t>Estimate!!Total:!!Male householder, no spouse or partner present:!!With children of the householder under 18 years</t>
  </si>
  <si>
    <t>B11012_016</t>
  </si>
  <si>
    <t>Estimate!!Total:!!Male householder, no spouse or partner present:!!With relatives, no children of the householder under 18 years</t>
  </si>
  <si>
    <t>B11012_017</t>
  </si>
  <si>
    <t>Estimate!!Total:!!Male householder, no spouse or partner present:!!With only nonrelatives present</t>
  </si>
  <si>
    <t>B11013_002</t>
  </si>
  <si>
    <t>Estimate!!Total:!!Married-couple subfamily:</t>
  </si>
  <si>
    <t>B11013_003</t>
  </si>
  <si>
    <t>Estimate!!Total:!!Married-couple subfamily:!!With own children under 18 years</t>
  </si>
  <si>
    <t>B11013_004</t>
  </si>
  <si>
    <t>Estimate!!Total:!!Married-couple subfamily:!!No own children under 18 years</t>
  </si>
  <si>
    <t>B11013_005</t>
  </si>
  <si>
    <t>Estimate!!Total:!!Mother-child subfamily</t>
  </si>
  <si>
    <t>B11013_006</t>
  </si>
  <si>
    <t>Estimate!!Total:!!Father-child subfamily</t>
  </si>
  <si>
    <t>B11014_002</t>
  </si>
  <si>
    <t>Estimate!!Total:!!In married-couple subfamilies:</t>
  </si>
  <si>
    <t>B11014_003</t>
  </si>
  <si>
    <t>Estimate!!Total:!!In married-couple subfamilies:!!Husband/wife in a childless subfamily</t>
  </si>
  <si>
    <t>B11014_004</t>
  </si>
  <si>
    <t>Estimate!!Total:!!In married-couple subfamilies:!!Husband/wife in a subfamily with children</t>
  </si>
  <si>
    <t>B11014_005</t>
  </si>
  <si>
    <t>Estimate!!Total:!!In married-couple subfamilies:!!Child</t>
  </si>
  <si>
    <t>B11014_006</t>
  </si>
  <si>
    <t>Estimate!!Total:!!In mother-child subfamilies:</t>
  </si>
  <si>
    <t>B11014_007</t>
  </si>
  <si>
    <t>Estimate!!Total:!!In mother-child subfamilies:!!Parent</t>
  </si>
  <si>
    <t>B11014_008</t>
  </si>
  <si>
    <t>Estimate!!Total:!!In mother-child subfamilies:!!Child</t>
  </si>
  <si>
    <t>B11014_009</t>
  </si>
  <si>
    <t>Estimate!!Total:!!In father-child subfamilies:</t>
  </si>
  <si>
    <t>B11014_010</t>
  </si>
  <si>
    <t>Estimate!!Total:!!In father-child subfamilies:!!Parent</t>
  </si>
  <si>
    <t>B11014_011</t>
  </si>
  <si>
    <t>Estimate!!Total:!!In father-child subfamilies:!!Child</t>
  </si>
  <si>
    <t>B11015_002</t>
  </si>
  <si>
    <t>Estimate!!Total:!!Households with one or more nonrelatives</t>
  </si>
  <si>
    <t>B11015_003</t>
  </si>
  <si>
    <t>Estimate!!Total:!!Households with no nonrelatives</t>
  </si>
  <si>
    <t>B11016_002</t>
  </si>
  <si>
    <t>B11016_003</t>
  </si>
  <si>
    <t>Estimate!!Total:!!Family households:!!2-person household</t>
  </si>
  <si>
    <t>B11016_004</t>
  </si>
  <si>
    <t>Estimate!!Total:!!Family households:!!3-person household</t>
  </si>
  <si>
    <t>B11016_005</t>
  </si>
  <si>
    <t>Estimate!!Total:!!Family households:!!4-person household</t>
  </si>
  <si>
    <t>B11016_006</t>
  </si>
  <si>
    <t>Estimate!!Total:!!Family households:!!5-person household</t>
  </si>
  <si>
    <t>B11016_007</t>
  </si>
  <si>
    <t>Estimate!!Total:!!Family households:!!6-person household</t>
  </si>
  <si>
    <t>B11016_008</t>
  </si>
  <si>
    <t>Estimate!!Total:!!Family households:!!7-or-more person household</t>
  </si>
  <si>
    <t>B11016_009</t>
  </si>
  <si>
    <t>B11016_010</t>
  </si>
  <si>
    <t>Estimate!!Total:!!Nonfamily households:!!1-person household</t>
  </si>
  <si>
    <t>B11016_011</t>
  </si>
  <si>
    <t>Estimate!!Total:!!Nonfamily households:!!2-person household</t>
  </si>
  <si>
    <t>B11016_012</t>
  </si>
  <si>
    <t>Estimate!!Total:!!Nonfamily households:!!3-person household</t>
  </si>
  <si>
    <t>B11016_013</t>
  </si>
  <si>
    <t>Estimate!!Total:!!Nonfamily households:!!4-person household</t>
  </si>
  <si>
    <t>B11016_014</t>
  </si>
  <si>
    <t>Estimate!!Total:!!Nonfamily households:!!5-person household</t>
  </si>
  <si>
    <t>B11016_015</t>
  </si>
  <si>
    <t>Estimate!!Total:!!Nonfamily households:!!6-person household</t>
  </si>
  <si>
    <t>B11016_016</t>
  </si>
  <si>
    <t>Estimate!!Total:!!Nonfamily households:!!7-or-more person household</t>
  </si>
  <si>
    <t>B11017_002</t>
  </si>
  <si>
    <t>Estimate!!Total:!!Multigenerational households</t>
  </si>
  <si>
    <t>B11017_003</t>
  </si>
  <si>
    <t>B12001_002</t>
  </si>
  <si>
    <t>B12001_003</t>
  </si>
  <si>
    <t>Estimate!!Total:!!Male:!!Never married</t>
  </si>
  <si>
    <t>B12001_004</t>
  </si>
  <si>
    <t>Estimate!!Total:!!Male:!!Now married:</t>
  </si>
  <si>
    <t>B12001_005</t>
  </si>
  <si>
    <t>Estimate!!Total:!!Male:!!Now married:!!Married, spouse present</t>
  </si>
  <si>
    <t>B12001_006</t>
  </si>
  <si>
    <t>Estimate!!Total:!!Male:!!Now married:!!Married, spouse absent:</t>
  </si>
  <si>
    <t>B12001_007</t>
  </si>
  <si>
    <t>Estimate!!Total:!!Male:!!Now married:!!Married, spouse absent:!!Separated</t>
  </si>
  <si>
    <t>B12001_008</t>
  </si>
  <si>
    <t>Estimate!!Total:!!Male:!!Now married:!!Married, spouse absent:!!Other</t>
  </si>
  <si>
    <t>B12001_009</t>
  </si>
  <si>
    <t>Estimate!!Total:!!Male:!!Widowed</t>
  </si>
  <si>
    <t>B12001_010</t>
  </si>
  <si>
    <t>Estimate!!Total:!!Male:!!Divorced</t>
  </si>
  <si>
    <t>B12001_011</t>
  </si>
  <si>
    <t>B12001_012</t>
  </si>
  <si>
    <t>Estimate!!Total:!!Female:!!Never married</t>
  </si>
  <si>
    <t>B12001_013</t>
  </si>
  <si>
    <t>Estimate!!Total:!!Female:!!Now married:</t>
  </si>
  <si>
    <t>B12001_014</t>
  </si>
  <si>
    <t>Estimate!!Total:!!Female:!!Now married:!!Married, spouse present</t>
  </si>
  <si>
    <t>B12001_015</t>
  </si>
  <si>
    <t>Estimate!!Total:!!Female:!!Now married:!!Married, spouse absent:</t>
  </si>
  <si>
    <t>B12001_016</t>
  </si>
  <si>
    <t>Estimate!!Total:!!Female:!!Now married:!!Married, spouse absent:!!Separated</t>
  </si>
  <si>
    <t>B12001_017</t>
  </si>
  <si>
    <t>Estimate!!Total:!!Female:!!Now married:!!Married, spouse absent:!!Other</t>
  </si>
  <si>
    <t>B12001_018</t>
  </si>
  <si>
    <t>Estimate!!Total:!!Female:!!Widowed</t>
  </si>
  <si>
    <t>B12001_019</t>
  </si>
  <si>
    <t>Estimate!!Total:!!Female:!!Divorced</t>
  </si>
  <si>
    <t>B12002A_002</t>
  </si>
  <si>
    <t>B12002A_003</t>
  </si>
  <si>
    <t>B12002A_004</t>
  </si>
  <si>
    <t>Estimate!!Total:!!Male:!!Now married (except separated)</t>
  </si>
  <si>
    <t>B12002A_005</t>
  </si>
  <si>
    <t>Estimate!!Total:!!Male:!!Separated</t>
  </si>
  <si>
    <t>B12002A_006</t>
  </si>
  <si>
    <t>B12002A_007</t>
  </si>
  <si>
    <t>B12002A_008</t>
  </si>
  <si>
    <t>B12002A_009</t>
  </si>
  <si>
    <t>B12002A_010</t>
  </si>
  <si>
    <t>Estimate!!Total:!!Female:!!Now married (except separated)</t>
  </si>
  <si>
    <t>B12002A_011</t>
  </si>
  <si>
    <t>Estimate!!Total:!!Female:!!Separated</t>
  </si>
  <si>
    <t>B12002A_012</t>
  </si>
  <si>
    <t>B12002A_013</t>
  </si>
  <si>
    <t>B12002B_002</t>
  </si>
  <si>
    <t>B12002B_003</t>
  </si>
  <si>
    <t>B12002B_004</t>
  </si>
  <si>
    <t>B12002B_005</t>
  </si>
  <si>
    <t>B12002B_006</t>
  </si>
  <si>
    <t>B12002B_007</t>
  </si>
  <si>
    <t>B12002B_008</t>
  </si>
  <si>
    <t>B12002B_009</t>
  </si>
  <si>
    <t>B12002B_010</t>
  </si>
  <si>
    <t>B12002B_011</t>
  </si>
  <si>
    <t>B12002B_012</t>
  </si>
  <si>
    <t>B12002B_013</t>
  </si>
  <si>
    <t>B12002C_002</t>
  </si>
  <si>
    <t>B12002C_003</t>
  </si>
  <si>
    <t>B12002C_004</t>
  </si>
  <si>
    <t>B12002C_005</t>
  </si>
  <si>
    <t>B12002C_006</t>
  </si>
  <si>
    <t>B12002C_007</t>
  </si>
  <si>
    <t>B12002C_008</t>
  </si>
  <si>
    <t>B12002C_009</t>
  </si>
  <si>
    <t>B12002C_010</t>
  </si>
  <si>
    <t>B12002C_011</t>
  </si>
  <si>
    <t>B12002C_012</t>
  </si>
  <si>
    <t>B12002C_013</t>
  </si>
  <si>
    <t>B12002D_002</t>
  </si>
  <si>
    <t>B12002D_003</t>
  </si>
  <si>
    <t>B12002D_004</t>
  </si>
  <si>
    <t>B12002D_005</t>
  </si>
  <si>
    <t>B12002D_006</t>
  </si>
  <si>
    <t>B12002D_007</t>
  </si>
  <si>
    <t>B12002D_008</t>
  </si>
  <si>
    <t>B12002D_009</t>
  </si>
  <si>
    <t>B12002D_010</t>
  </si>
  <si>
    <t>B12002D_011</t>
  </si>
  <si>
    <t>B12002D_012</t>
  </si>
  <si>
    <t>B12002D_013</t>
  </si>
  <si>
    <t>B12002E_002</t>
  </si>
  <si>
    <t>B12002E_003</t>
  </si>
  <si>
    <t>B12002E_004</t>
  </si>
  <si>
    <t>B12002E_005</t>
  </si>
  <si>
    <t>B12002E_006</t>
  </si>
  <si>
    <t>B12002E_007</t>
  </si>
  <si>
    <t>B12002E_008</t>
  </si>
  <si>
    <t>B12002E_009</t>
  </si>
  <si>
    <t>B12002E_010</t>
  </si>
  <si>
    <t>B12002E_011</t>
  </si>
  <si>
    <t>B12002E_012</t>
  </si>
  <si>
    <t>B12002E_013</t>
  </si>
  <si>
    <t>B12002F_002</t>
  </si>
  <si>
    <t>B12002F_003</t>
  </si>
  <si>
    <t>B12002F_004</t>
  </si>
  <si>
    <t>B12002F_005</t>
  </si>
  <si>
    <t>B12002F_006</t>
  </si>
  <si>
    <t>B12002F_007</t>
  </si>
  <si>
    <t>B12002F_008</t>
  </si>
  <si>
    <t>B12002F_009</t>
  </si>
  <si>
    <t>B12002F_010</t>
  </si>
  <si>
    <t>B12002F_011</t>
  </si>
  <si>
    <t>B12002F_012</t>
  </si>
  <si>
    <t>B12002F_013</t>
  </si>
  <si>
    <t>B12002G_002</t>
  </si>
  <si>
    <t>B12002G_003</t>
  </si>
  <si>
    <t>B12002G_004</t>
  </si>
  <si>
    <t>B12002G_005</t>
  </si>
  <si>
    <t>B12002G_006</t>
  </si>
  <si>
    <t>B12002G_007</t>
  </si>
  <si>
    <t>B12002G_008</t>
  </si>
  <si>
    <t>B12002G_009</t>
  </si>
  <si>
    <t>B12002G_010</t>
  </si>
  <si>
    <t>B12002G_011</t>
  </si>
  <si>
    <t>B12002G_012</t>
  </si>
  <si>
    <t>B12002G_013</t>
  </si>
  <si>
    <t>B12002H_002</t>
  </si>
  <si>
    <t>B12002H_003</t>
  </si>
  <si>
    <t>B12002H_004</t>
  </si>
  <si>
    <t>B12002H_005</t>
  </si>
  <si>
    <t>B12002H_006</t>
  </si>
  <si>
    <t>B12002H_007</t>
  </si>
  <si>
    <t>B12002H_008</t>
  </si>
  <si>
    <t>B12002H_009</t>
  </si>
  <si>
    <t>B12002H_010</t>
  </si>
  <si>
    <t>B12002H_011</t>
  </si>
  <si>
    <t>B12002H_012</t>
  </si>
  <si>
    <t>B12002H_013</t>
  </si>
  <si>
    <t>B12002I_002</t>
  </si>
  <si>
    <t>B12002I_003</t>
  </si>
  <si>
    <t>B12002I_004</t>
  </si>
  <si>
    <t>B12002I_005</t>
  </si>
  <si>
    <t>B12002I_006</t>
  </si>
  <si>
    <t>B12002I_007</t>
  </si>
  <si>
    <t>B12002I_008</t>
  </si>
  <si>
    <t>B12002I_009</t>
  </si>
  <si>
    <t>B12002I_010</t>
  </si>
  <si>
    <t>B12002I_011</t>
  </si>
  <si>
    <t>B12002I_012</t>
  </si>
  <si>
    <t>B12002I_013</t>
  </si>
  <si>
    <t>B12002_002</t>
  </si>
  <si>
    <t>B12002_003</t>
  </si>
  <si>
    <t>Estimate!!Total:!!Male:!!Never married:</t>
  </si>
  <si>
    <t>B12002_004</t>
  </si>
  <si>
    <t>Estimate!!Total:!!Male:!!Never married:!!15 to 17 years</t>
  </si>
  <si>
    <t>B12002_005</t>
  </si>
  <si>
    <t>Estimate!!Total:!!Male:!!Never married:!!18 and 19 years</t>
  </si>
  <si>
    <t>B12002_006</t>
  </si>
  <si>
    <t>Estimate!!Total:!!Male:!!Never married:!!20 to 24 years</t>
  </si>
  <si>
    <t>B12002_007</t>
  </si>
  <si>
    <t>Estimate!!Total:!!Male:!!Never married:!!25 to 29 years</t>
  </si>
  <si>
    <t>B12002_008</t>
  </si>
  <si>
    <t>Estimate!!Total:!!Male:!!Never married:!!30 to 34 years</t>
  </si>
  <si>
    <t>B12002_009</t>
  </si>
  <si>
    <t>Estimate!!Total:!!Male:!!Never married:!!35 to 39 years</t>
  </si>
  <si>
    <t>B12002_010</t>
  </si>
  <si>
    <t>Estimate!!Total:!!Male:!!Never married:!!40 to 44 years</t>
  </si>
  <si>
    <t>B12002_011</t>
  </si>
  <si>
    <t>Estimate!!Total:!!Male:!!Never married:!!45 to 49 years</t>
  </si>
  <si>
    <t>B12002_012</t>
  </si>
  <si>
    <t>Estimate!!Total:!!Male:!!Never married:!!50 to 54 years</t>
  </si>
  <si>
    <t>B12002_013</t>
  </si>
  <si>
    <t>Estimate!!Total:!!Male:!!Never married:!!55 to 59 years</t>
  </si>
  <si>
    <t>B12002_014</t>
  </si>
  <si>
    <t>Estimate!!Total:!!Male:!!Never married:!!60 to 64 years</t>
  </si>
  <si>
    <t>B12002_015</t>
  </si>
  <si>
    <t>Estimate!!Total:!!Male:!!Never married:!!65 to 74 years</t>
  </si>
  <si>
    <t>B12002_016</t>
  </si>
  <si>
    <t>Estimate!!Total:!!Male:!!Never married:!!75 to 84 years</t>
  </si>
  <si>
    <t>B12002_017</t>
  </si>
  <si>
    <t>Estimate!!Total:!!Male:!!Never married:!!85 years and over</t>
  </si>
  <si>
    <t>B12002_018</t>
  </si>
  <si>
    <t>B12002_019</t>
  </si>
  <si>
    <t>Estimate!!Total:!!Male:!!Now married:!!Married, spouse present:</t>
  </si>
  <si>
    <t>B12002_020</t>
  </si>
  <si>
    <t>Estimate!!Total:!!Male:!!Now married:!!Married, spouse present:!!15 to 17 years</t>
  </si>
  <si>
    <t>B12002_021</t>
  </si>
  <si>
    <t>Estimate!!Total:!!Male:!!Now married:!!Married, spouse present:!!18 and 19 years</t>
  </si>
  <si>
    <t>B12002_022</t>
  </si>
  <si>
    <t>Estimate!!Total:!!Male:!!Now married:!!Married, spouse present:!!20 to 24 years</t>
  </si>
  <si>
    <t>B12002_023</t>
  </si>
  <si>
    <t>Estimate!!Total:!!Male:!!Now married:!!Married, spouse present:!!25 to 29 years</t>
  </si>
  <si>
    <t>B12002_024</t>
  </si>
  <si>
    <t>Estimate!!Total:!!Male:!!Now married:!!Married, spouse present:!!30 to 34 years</t>
  </si>
  <si>
    <t>B12002_025</t>
  </si>
  <si>
    <t>Estimate!!Total:!!Male:!!Now married:!!Married, spouse present:!!35 to 39 years</t>
  </si>
  <si>
    <t>B12002_026</t>
  </si>
  <si>
    <t>Estimate!!Total:!!Male:!!Now married:!!Married, spouse present:!!40 to 44 years</t>
  </si>
  <si>
    <t>B12002_027</t>
  </si>
  <si>
    <t>Estimate!!Total:!!Male:!!Now married:!!Married, spouse present:!!45 to 49 years</t>
  </si>
  <si>
    <t>B12002_028</t>
  </si>
  <si>
    <t>Estimate!!Total:!!Male:!!Now married:!!Married, spouse present:!!50 to 54 years</t>
  </si>
  <si>
    <t>B12002_029</t>
  </si>
  <si>
    <t>Estimate!!Total:!!Male:!!Now married:!!Married, spouse present:!!55 to 59 years</t>
  </si>
  <si>
    <t>B12002_030</t>
  </si>
  <si>
    <t>Estimate!!Total:!!Male:!!Now married:!!Married, spouse present:!!60 to 64 years</t>
  </si>
  <si>
    <t>B12002_031</t>
  </si>
  <si>
    <t>Estimate!!Total:!!Male:!!Now married:!!Married, spouse present:!!65 to 74 years</t>
  </si>
  <si>
    <t>B12002_032</t>
  </si>
  <si>
    <t>Estimate!!Total:!!Male:!!Now married:!!Married, spouse present:!!75 to 84 years</t>
  </si>
  <si>
    <t>B12002_033</t>
  </si>
  <si>
    <t>Estimate!!Total:!!Male:!!Now married:!!Married, spouse present:!!85 years and over</t>
  </si>
  <si>
    <t>B12002_034</t>
  </si>
  <si>
    <t>B12002_035</t>
  </si>
  <si>
    <t>Estimate!!Total:!!Male:!!Now married:!!Married, spouse absent:!!Separated:</t>
  </si>
  <si>
    <t>B12002_036</t>
  </si>
  <si>
    <t>Estimate!!Total:!!Male:!!Now married:!!Married, spouse absent:!!Separated:!!15 to 17 years</t>
  </si>
  <si>
    <t>B12002_037</t>
  </si>
  <si>
    <t>Estimate!!Total:!!Male:!!Now married:!!Married, spouse absent:!!Separated:!!18 and 19 years</t>
  </si>
  <si>
    <t>B12002_038</t>
  </si>
  <si>
    <t>Estimate!!Total:!!Male:!!Now married:!!Married, spouse absent:!!Separated:!!20 to 24 years</t>
  </si>
  <si>
    <t>B12002_039</t>
  </si>
  <si>
    <t>Estimate!!Total:!!Male:!!Now married:!!Married, spouse absent:!!Separated:!!25 to 29 years</t>
  </si>
  <si>
    <t>B12002_040</t>
  </si>
  <si>
    <t>Estimate!!Total:!!Male:!!Now married:!!Married, spouse absent:!!Separated:!!30 to 34 years</t>
  </si>
  <si>
    <t>B12002_041</t>
  </si>
  <si>
    <t>Estimate!!Total:!!Male:!!Now married:!!Married, spouse absent:!!Separated:!!35 to 39 years</t>
  </si>
  <si>
    <t>B12002_042</t>
  </si>
  <si>
    <t>Estimate!!Total:!!Male:!!Now married:!!Married, spouse absent:!!Separated:!!40 to 44 years</t>
  </si>
  <si>
    <t>B12002_043</t>
  </si>
  <si>
    <t>Estimate!!Total:!!Male:!!Now married:!!Married, spouse absent:!!Separated:!!45 to 49 years</t>
  </si>
  <si>
    <t>B12002_044</t>
  </si>
  <si>
    <t>Estimate!!Total:!!Male:!!Now married:!!Married, spouse absent:!!Separated:!!50 to 54 years</t>
  </si>
  <si>
    <t>B12002_045</t>
  </si>
  <si>
    <t>Estimate!!Total:!!Male:!!Now married:!!Married, spouse absent:!!Separated:!!55 to 59 years</t>
  </si>
  <si>
    <t>B12002_046</t>
  </si>
  <si>
    <t>Estimate!!Total:!!Male:!!Now married:!!Married, spouse absent:!!Separated:!!60 to 64 years</t>
  </si>
  <si>
    <t>B12002_047</t>
  </si>
  <si>
    <t>Estimate!!Total:!!Male:!!Now married:!!Married, spouse absent:!!Separated:!!65 to 74 years</t>
  </si>
  <si>
    <t>B12002_048</t>
  </si>
  <si>
    <t>Estimate!!Total:!!Male:!!Now married:!!Married, spouse absent:!!Separated:!!75 to 84 years</t>
  </si>
  <si>
    <t>B12002_049</t>
  </si>
  <si>
    <t>Estimate!!Total:!!Male:!!Now married:!!Married, spouse absent:!!Separated:!!85 years and over</t>
  </si>
  <si>
    <t>B12002_050</t>
  </si>
  <si>
    <t>Estimate!!Total:!!Male:!!Now married:!!Married, spouse absent:!!Other:</t>
  </si>
  <si>
    <t>B12002_051</t>
  </si>
  <si>
    <t>Estimate!!Total:!!Male:!!Now married:!!Married, spouse absent:!!Other:!!15 to 17 years</t>
  </si>
  <si>
    <t>B12002_052</t>
  </si>
  <si>
    <t>Estimate!!Total:!!Male:!!Now married:!!Married, spouse absent:!!Other:!!18 and 19 years</t>
  </si>
  <si>
    <t>B12002_053</t>
  </si>
  <si>
    <t>Estimate!!Total:!!Male:!!Now married:!!Married, spouse absent:!!Other:!!20 to 24 years</t>
  </si>
  <si>
    <t>B12002_054</t>
  </si>
  <si>
    <t>Estimate!!Total:!!Male:!!Now married:!!Married, spouse absent:!!Other:!!25 to 29 years</t>
  </si>
  <si>
    <t>B12002_055</t>
  </si>
  <si>
    <t>Estimate!!Total:!!Male:!!Now married:!!Married, spouse absent:!!Other:!!30 to 34 years</t>
  </si>
  <si>
    <t>B12002_056</t>
  </si>
  <si>
    <t>Estimate!!Total:!!Male:!!Now married:!!Married, spouse absent:!!Other:!!35 to 39 years</t>
  </si>
  <si>
    <t>B12002_057</t>
  </si>
  <si>
    <t>Estimate!!Total:!!Male:!!Now married:!!Married, spouse absent:!!Other:!!40 to 44 years</t>
  </si>
  <si>
    <t>B12002_058</t>
  </si>
  <si>
    <t>Estimate!!Total:!!Male:!!Now married:!!Married, spouse absent:!!Other:!!45 to 49 years</t>
  </si>
  <si>
    <t>B12002_059</t>
  </si>
  <si>
    <t>Estimate!!Total:!!Male:!!Now married:!!Married, spouse absent:!!Other:!!50 to 54 years</t>
  </si>
  <si>
    <t>B12002_060</t>
  </si>
  <si>
    <t>Estimate!!Total:!!Male:!!Now married:!!Married, spouse absent:!!Other:!!55 to 59 years</t>
  </si>
  <si>
    <t>B12002_061</t>
  </si>
  <si>
    <t>Estimate!!Total:!!Male:!!Now married:!!Married, spouse absent:!!Other:!!60 to 64 years</t>
  </si>
  <si>
    <t>B12002_062</t>
  </si>
  <si>
    <t>Estimate!!Total:!!Male:!!Now married:!!Married, spouse absent:!!Other:!!65 to 74 years</t>
  </si>
  <si>
    <t>B12002_063</t>
  </si>
  <si>
    <t>Estimate!!Total:!!Male:!!Now married:!!Married, spouse absent:!!Other:!!75 to 84 years</t>
  </si>
  <si>
    <t>B12002_064</t>
  </si>
  <si>
    <t>Estimate!!Total:!!Male:!!Now married:!!Married, spouse absent:!!Other:!!85 years and over</t>
  </si>
  <si>
    <t>B12002_065</t>
  </si>
  <si>
    <t>Estimate!!Total:!!Male:!!Widowed:</t>
  </si>
  <si>
    <t>B12002_066</t>
  </si>
  <si>
    <t>Estimate!!Total:!!Male:!!Widowed:!!15 to 17 years</t>
  </si>
  <si>
    <t>B12002_067</t>
  </si>
  <si>
    <t>Estimate!!Total:!!Male:!!Widowed:!!18 and 19 years</t>
  </si>
  <si>
    <t>B12002_068</t>
  </si>
  <si>
    <t>Estimate!!Total:!!Male:!!Widowed:!!20 to 24 years</t>
  </si>
  <si>
    <t>B12002_069</t>
  </si>
  <si>
    <t>Estimate!!Total:!!Male:!!Widowed:!!25 to 29 years</t>
  </si>
  <si>
    <t>B12002_070</t>
  </si>
  <si>
    <t>Estimate!!Total:!!Male:!!Widowed:!!30 to 34 years</t>
  </si>
  <si>
    <t>B12002_071</t>
  </si>
  <si>
    <t>Estimate!!Total:!!Male:!!Widowed:!!35 to 39 years</t>
  </si>
  <si>
    <t>B12002_072</t>
  </si>
  <si>
    <t>Estimate!!Total:!!Male:!!Widowed:!!40 to 44 years</t>
  </si>
  <si>
    <t>B12002_073</t>
  </si>
  <si>
    <t>Estimate!!Total:!!Male:!!Widowed:!!45 to 49 years</t>
  </si>
  <si>
    <t>B12002_074</t>
  </si>
  <si>
    <t>Estimate!!Total:!!Male:!!Widowed:!!50 to 54 years</t>
  </si>
  <si>
    <t>B12002_075</t>
  </si>
  <si>
    <t>Estimate!!Total:!!Male:!!Widowed:!!55 to 59 years</t>
  </si>
  <si>
    <t>B12002_076</t>
  </si>
  <si>
    <t>Estimate!!Total:!!Male:!!Widowed:!!60 to 64 years</t>
  </si>
  <si>
    <t>B12002_077</t>
  </si>
  <si>
    <t>Estimate!!Total:!!Male:!!Widowed:!!65 to 74 years</t>
  </si>
  <si>
    <t>B12002_078</t>
  </si>
  <si>
    <t>Estimate!!Total:!!Male:!!Widowed:!!75 to 84 years</t>
  </si>
  <si>
    <t>B12002_079</t>
  </si>
  <si>
    <t>Estimate!!Total:!!Male:!!Widowed:!!85 years and over</t>
  </si>
  <si>
    <t>B12002_080</t>
  </si>
  <si>
    <t>Estimate!!Total:!!Male:!!Divorced:</t>
  </si>
  <si>
    <t>B12002_081</t>
  </si>
  <si>
    <t>Estimate!!Total:!!Male:!!Divorced:!!15 to 17 years</t>
  </si>
  <si>
    <t>B12002_082</t>
  </si>
  <si>
    <t>Estimate!!Total:!!Male:!!Divorced:!!18 and 19 years</t>
  </si>
  <si>
    <t>B12002_083</t>
  </si>
  <si>
    <t>Estimate!!Total:!!Male:!!Divorced:!!20 to 24 years</t>
  </si>
  <si>
    <t>B12002_084</t>
  </si>
  <si>
    <t>Estimate!!Total:!!Male:!!Divorced:!!25 to 29 years</t>
  </si>
  <si>
    <t>B12002_085</t>
  </si>
  <si>
    <t>Estimate!!Total:!!Male:!!Divorced:!!30 to 34 years</t>
  </si>
  <si>
    <t>B12002_086</t>
  </si>
  <si>
    <t>Estimate!!Total:!!Male:!!Divorced:!!35 to 39 years</t>
  </si>
  <si>
    <t>B12002_087</t>
  </si>
  <si>
    <t>Estimate!!Total:!!Male:!!Divorced:!!40 to 44 years</t>
  </si>
  <si>
    <t>B12002_088</t>
  </si>
  <si>
    <t>Estimate!!Total:!!Male:!!Divorced:!!45 to 49 years</t>
  </si>
  <si>
    <t>B12002_089</t>
  </si>
  <si>
    <t>Estimate!!Total:!!Male:!!Divorced:!!50 to 54 years</t>
  </si>
  <si>
    <t>B12002_090</t>
  </si>
  <si>
    <t>Estimate!!Total:!!Male:!!Divorced:!!55 to 59 years</t>
  </si>
  <si>
    <t>B12002_091</t>
  </si>
  <si>
    <t>Estimate!!Total:!!Male:!!Divorced:!!60 to 64 years</t>
  </si>
  <si>
    <t>B12002_092</t>
  </si>
  <si>
    <t>Estimate!!Total:!!Male:!!Divorced:!!65 to 74 years</t>
  </si>
  <si>
    <t>B12002_093</t>
  </si>
  <si>
    <t>Estimate!!Total:!!Male:!!Divorced:!!75 to 84 years</t>
  </si>
  <si>
    <t>B12002_094</t>
  </si>
  <si>
    <t>Estimate!!Total:!!Male:!!Divorced:!!85 years and over</t>
  </si>
  <si>
    <t>B12002_095</t>
  </si>
  <si>
    <t>B12002_096</t>
  </si>
  <si>
    <t>Estimate!!Total:!!Female:!!Never married:</t>
  </si>
  <si>
    <t>B12002_097</t>
  </si>
  <si>
    <t>Estimate!!Total:!!Female:!!Never married:!!15 to 17 years</t>
  </si>
  <si>
    <t>B12002_098</t>
  </si>
  <si>
    <t>Estimate!!Total:!!Female:!!Never married:!!18 and 19 years</t>
  </si>
  <si>
    <t>B12002_099</t>
  </si>
  <si>
    <t>Estimate!!Total:!!Female:!!Never married:!!20 to 24 years</t>
  </si>
  <si>
    <t>B12002_100</t>
  </si>
  <si>
    <t>Estimate!!Total:!!Female:!!Never married:!!25 to 29 years</t>
  </si>
  <si>
    <t>B12002_101</t>
  </si>
  <si>
    <t>Estimate!!Total:!!Female:!!Never married:!!30 to 34 years</t>
  </si>
  <si>
    <t>B12002_102</t>
  </si>
  <si>
    <t>Estimate!!Total:!!Female:!!Never married:!!35 to 39 years</t>
  </si>
  <si>
    <t>B12002_103</t>
  </si>
  <si>
    <t>Estimate!!Total:!!Female:!!Never married:!!40 to 44 years</t>
  </si>
  <si>
    <t>B12002_104</t>
  </si>
  <si>
    <t>Estimate!!Total:!!Female:!!Never married:!!45 to 49 years</t>
  </si>
  <si>
    <t>B12002_105</t>
  </si>
  <si>
    <t>Estimate!!Total:!!Female:!!Never married:!!50 to 54 years</t>
  </si>
  <si>
    <t>B12002_106</t>
  </si>
  <si>
    <t>Estimate!!Total:!!Female:!!Never married:!!55 to 59 years</t>
  </si>
  <si>
    <t>B12002_107</t>
  </si>
  <si>
    <t>Estimate!!Total:!!Female:!!Never married:!!60 to 64 years</t>
  </si>
  <si>
    <t>B12002_108</t>
  </si>
  <si>
    <t>Estimate!!Total:!!Female:!!Never married:!!65 to 74 years</t>
  </si>
  <si>
    <t>B12002_109</t>
  </si>
  <si>
    <t>Estimate!!Total:!!Female:!!Never married:!!75 to 84 years</t>
  </si>
  <si>
    <t>B12002_110</t>
  </si>
  <si>
    <t>Estimate!!Total:!!Female:!!Never married:!!85 years and over</t>
  </si>
  <si>
    <t>B12002_111</t>
  </si>
  <si>
    <t>B12002_112</t>
  </si>
  <si>
    <t>Estimate!!Total:!!Female:!!Now married:!!Married, spouse present:</t>
  </si>
  <si>
    <t>B12002_113</t>
  </si>
  <si>
    <t>Estimate!!Total:!!Female:!!Now married:!!Married, spouse present:!!15 to 17 years</t>
  </si>
  <si>
    <t>B12002_114</t>
  </si>
  <si>
    <t>Estimate!!Total:!!Female:!!Now married:!!Married, spouse present:!!18 and 19 years</t>
  </si>
  <si>
    <t>B12002_115</t>
  </si>
  <si>
    <t>Estimate!!Total:!!Female:!!Now married:!!Married, spouse present:!!20 to 24 years</t>
  </si>
  <si>
    <t>B12002_116</t>
  </si>
  <si>
    <t>Estimate!!Total:!!Female:!!Now married:!!Married, spouse present:!!25 to 29 years</t>
  </si>
  <si>
    <t>B12002_117</t>
  </si>
  <si>
    <t>Estimate!!Total:!!Female:!!Now married:!!Married, spouse present:!!30 to 34 years</t>
  </si>
  <si>
    <t>B12002_118</t>
  </si>
  <si>
    <t>Estimate!!Total:!!Female:!!Now married:!!Married, spouse present:!!35 to 39 years</t>
  </si>
  <si>
    <t>B12002_119</t>
  </si>
  <si>
    <t>Estimate!!Total:!!Female:!!Now married:!!Married, spouse present:!!40 to 44 years</t>
  </si>
  <si>
    <t>B12002_120</t>
  </si>
  <si>
    <t>Estimate!!Total:!!Female:!!Now married:!!Married, spouse present:!!45 to 49 years</t>
  </si>
  <si>
    <t>B12002_121</t>
  </si>
  <si>
    <t>Estimate!!Total:!!Female:!!Now married:!!Married, spouse present:!!50 to 54 years</t>
  </si>
  <si>
    <t>B12002_122</t>
  </si>
  <si>
    <t>Estimate!!Total:!!Female:!!Now married:!!Married, spouse present:!!55 to 59 years</t>
  </si>
  <si>
    <t>B12002_123</t>
  </si>
  <si>
    <t>Estimate!!Total:!!Female:!!Now married:!!Married, spouse present:!!60 to 64 years</t>
  </si>
  <si>
    <t>B12002_124</t>
  </si>
  <si>
    <t>Estimate!!Total:!!Female:!!Now married:!!Married, spouse present:!!65 to 74 years</t>
  </si>
  <si>
    <t>B12002_125</t>
  </si>
  <si>
    <t>Estimate!!Total:!!Female:!!Now married:!!Married, spouse present:!!75 to 84 years</t>
  </si>
  <si>
    <t>B12002_126</t>
  </si>
  <si>
    <t>Estimate!!Total:!!Female:!!Now married:!!Married, spouse present:!!85 years and over</t>
  </si>
  <si>
    <t>B12002_127</t>
  </si>
  <si>
    <t>B12002_128</t>
  </si>
  <si>
    <t>Estimate!!Total:!!Female:!!Now married:!!Married, spouse absent:!!Separated:</t>
  </si>
  <si>
    <t>B12002_129</t>
  </si>
  <si>
    <t>Estimate!!Total:!!Female:!!Now married:!!Married, spouse absent:!!Separated:!!15 to 17 years</t>
  </si>
  <si>
    <t>B12002_130</t>
  </si>
  <si>
    <t>Estimate!!Total:!!Female:!!Now married:!!Married, spouse absent:!!Separated:!!18 and 19 years</t>
  </si>
  <si>
    <t>B12002_131</t>
  </si>
  <si>
    <t>Estimate!!Total:!!Female:!!Now married:!!Married, spouse absent:!!Separated:!!20 to 24 years</t>
  </si>
  <si>
    <t>B12002_132</t>
  </si>
  <si>
    <t>Estimate!!Total:!!Female:!!Now married:!!Married, spouse absent:!!Separated:!!25 to 29 years</t>
  </si>
  <si>
    <t>B12002_133</t>
  </si>
  <si>
    <t>Estimate!!Total:!!Female:!!Now married:!!Married, spouse absent:!!Separated:!!30 to 34 years</t>
  </si>
  <si>
    <t>B12002_134</t>
  </si>
  <si>
    <t>Estimate!!Total:!!Female:!!Now married:!!Married, spouse absent:!!Separated:!!35 to 39 years</t>
  </si>
  <si>
    <t>B12002_135</t>
  </si>
  <si>
    <t>Estimate!!Total:!!Female:!!Now married:!!Married, spouse absent:!!Separated:!!40 to 44 years</t>
  </si>
  <si>
    <t>B12002_136</t>
  </si>
  <si>
    <t>Estimate!!Total:!!Female:!!Now married:!!Married, spouse absent:!!Separated:!!45 to 49 years</t>
  </si>
  <si>
    <t>B12002_137</t>
  </si>
  <si>
    <t>Estimate!!Total:!!Female:!!Now married:!!Married, spouse absent:!!Separated:!!50 to 54 years</t>
  </si>
  <si>
    <t>B12002_138</t>
  </si>
  <si>
    <t>Estimate!!Total:!!Female:!!Now married:!!Married, spouse absent:!!Separated:!!55 to 59 years</t>
  </si>
  <si>
    <t>B12002_139</t>
  </si>
  <si>
    <t>Estimate!!Total:!!Female:!!Now married:!!Married, spouse absent:!!Separated:!!60 to 64 years</t>
  </si>
  <si>
    <t>B12002_140</t>
  </si>
  <si>
    <t>Estimate!!Total:!!Female:!!Now married:!!Married, spouse absent:!!Separated:!!65 to 74 years</t>
  </si>
  <si>
    <t>B12002_141</t>
  </si>
  <si>
    <t>Estimate!!Total:!!Female:!!Now married:!!Married, spouse absent:!!Separated:!!75 to 84 years</t>
  </si>
  <si>
    <t>B12002_142</t>
  </si>
  <si>
    <t>Estimate!!Total:!!Female:!!Now married:!!Married, spouse absent:!!Separated:!!85 years and over</t>
  </si>
  <si>
    <t>B12002_143</t>
  </si>
  <si>
    <t>Estimate!!Total:!!Female:!!Now married:!!Married, spouse absent:!!Other:</t>
  </si>
  <si>
    <t>B12002_144</t>
  </si>
  <si>
    <t>Estimate!!Total:!!Female:!!Now married:!!Married, spouse absent:!!Other:!!15 to 17 years</t>
  </si>
  <si>
    <t>B12002_145</t>
  </si>
  <si>
    <t>Estimate!!Total:!!Female:!!Now married:!!Married, spouse absent:!!Other:!!18 and 19 years</t>
  </si>
  <si>
    <t>B12002_146</t>
  </si>
  <si>
    <t>Estimate!!Total:!!Female:!!Now married:!!Married, spouse absent:!!Other:!!20 to 24 years</t>
  </si>
  <si>
    <t>B12002_147</t>
  </si>
  <si>
    <t>Estimate!!Total:!!Female:!!Now married:!!Married, spouse absent:!!Other:!!25 to 29 years</t>
  </si>
  <si>
    <t>B12002_148</t>
  </si>
  <si>
    <t>Estimate!!Total:!!Female:!!Now married:!!Married, spouse absent:!!Other:!!30 to 34 years</t>
  </si>
  <si>
    <t>B12002_149</t>
  </si>
  <si>
    <t>Estimate!!Total:!!Female:!!Now married:!!Married, spouse absent:!!Other:!!35 to 39 years</t>
  </si>
  <si>
    <t>B12002_150</t>
  </si>
  <si>
    <t>Estimate!!Total:!!Female:!!Now married:!!Married, spouse absent:!!Other:!!40 to 44 years</t>
  </si>
  <si>
    <t>B12002_151</t>
  </si>
  <si>
    <t>Estimate!!Total:!!Female:!!Now married:!!Married, spouse absent:!!Other:!!45 to 49 years</t>
  </si>
  <si>
    <t>B12002_152</t>
  </si>
  <si>
    <t>Estimate!!Total:!!Female:!!Now married:!!Married, spouse absent:!!Other:!!50 to 54 years</t>
  </si>
  <si>
    <t>B12002_153</t>
  </si>
  <si>
    <t>Estimate!!Total:!!Female:!!Now married:!!Married, spouse absent:!!Other:!!55 to 59 years</t>
  </si>
  <si>
    <t>B12002_154</t>
  </si>
  <si>
    <t>Estimate!!Total:!!Female:!!Now married:!!Married, spouse absent:!!Other:!!60 to 64 years</t>
  </si>
  <si>
    <t>B12002_155</t>
  </si>
  <si>
    <t>Estimate!!Total:!!Female:!!Now married:!!Married, spouse absent:!!Other:!!65 to 74 years</t>
  </si>
  <si>
    <t>B12002_156</t>
  </si>
  <si>
    <t>Estimate!!Total:!!Female:!!Now married:!!Married, spouse absent:!!Other:!!75 to 84 years</t>
  </si>
  <si>
    <t>B12002_157</t>
  </si>
  <si>
    <t>Estimate!!Total:!!Female:!!Now married:!!Married, spouse absent:!!Other:!!85 years and over</t>
  </si>
  <si>
    <t>B12002_158</t>
  </si>
  <si>
    <t>Estimate!!Total:!!Female:!!Widowed:</t>
  </si>
  <si>
    <t>B12002_159</t>
  </si>
  <si>
    <t>Estimate!!Total:!!Female:!!Widowed:!!15 to 17 years</t>
  </si>
  <si>
    <t>B12002_160</t>
  </si>
  <si>
    <t>Estimate!!Total:!!Female:!!Widowed:!!18 and 19 years</t>
  </si>
  <si>
    <t>B12002_161</t>
  </si>
  <si>
    <t>Estimate!!Total:!!Female:!!Widowed:!!20 to 24 years</t>
  </si>
  <si>
    <t>B12002_162</t>
  </si>
  <si>
    <t>Estimate!!Total:!!Female:!!Widowed:!!25 to 29 years</t>
  </si>
  <si>
    <t>B12002_163</t>
  </si>
  <si>
    <t>Estimate!!Total:!!Female:!!Widowed:!!30 to 34 years</t>
  </si>
  <si>
    <t>B12002_164</t>
  </si>
  <si>
    <t>Estimate!!Total:!!Female:!!Widowed:!!35 to 39 years</t>
  </si>
  <si>
    <t>B12002_165</t>
  </si>
  <si>
    <t>Estimate!!Total:!!Female:!!Widowed:!!40 to 44 years</t>
  </si>
  <si>
    <t>B12002_166</t>
  </si>
  <si>
    <t>Estimate!!Total:!!Female:!!Widowed:!!45 to 49 years</t>
  </si>
  <si>
    <t>B12002_167</t>
  </si>
  <si>
    <t>Estimate!!Total:!!Female:!!Widowed:!!50 to 54 years</t>
  </si>
  <si>
    <t>B12002_168</t>
  </si>
  <si>
    <t>Estimate!!Total:!!Female:!!Widowed:!!55 to 59 years</t>
  </si>
  <si>
    <t>B12002_169</t>
  </si>
  <si>
    <t>Estimate!!Total:!!Female:!!Widowed:!!60 to 64 years</t>
  </si>
  <si>
    <t>B12002_170</t>
  </si>
  <si>
    <t>Estimate!!Total:!!Female:!!Widowed:!!65 to 74 years</t>
  </si>
  <si>
    <t>B12002_171</t>
  </si>
  <si>
    <t>Estimate!!Total:!!Female:!!Widowed:!!75 to 84 years</t>
  </si>
  <si>
    <t>B12002_172</t>
  </si>
  <si>
    <t>Estimate!!Total:!!Female:!!Widowed:!!85 years and over</t>
  </si>
  <si>
    <t>B12002_173</t>
  </si>
  <si>
    <t>Estimate!!Total:!!Female:!!Divorced:</t>
  </si>
  <si>
    <t>B12002_174</t>
  </si>
  <si>
    <t>Estimate!!Total:!!Female:!!Divorced:!!15 to 17 years</t>
  </si>
  <si>
    <t>B12002_175</t>
  </si>
  <si>
    <t>Estimate!!Total:!!Female:!!Divorced:!!18 and 19 years</t>
  </si>
  <si>
    <t>B12002_176</t>
  </si>
  <si>
    <t>Estimate!!Total:!!Female:!!Divorced:!!20 to 24 years</t>
  </si>
  <si>
    <t>B12002_177</t>
  </si>
  <si>
    <t>Estimate!!Total:!!Female:!!Divorced:!!25 to 29 years</t>
  </si>
  <si>
    <t>B12002_178</t>
  </si>
  <si>
    <t>Estimate!!Total:!!Female:!!Divorced:!!30 to 34 years</t>
  </si>
  <si>
    <t>B12002_179</t>
  </si>
  <si>
    <t>Estimate!!Total:!!Female:!!Divorced:!!35 to 39 years</t>
  </si>
  <si>
    <t>B12002_180</t>
  </si>
  <si>
    <t>Estimate!!Total:!!Female:!!Divorced:!!40 to 44 years</t>
  </si>
  <si>
    <t>B12002_181</t>
  </si>
  <si>
    <t>Estimate!!Total:!!Female:!!Divorced:!!45 to 49 years</t>
  </si>
  <si>
    <t>B12002_182</t>
  </si>
  <si>
    <t>Estimate!!Total:!!Female:!!Divorced:!!50 to 54 years</t>
  </si>
  <si>
    <t>B12002_183</t>
  </si>
  <si>
    <t>Estimate!!Total:!!Female:!!Divorced:!!55 to 59 years</t>
  </si>
  <si>
    <t>B12002_184</t>
  </si>
  <si>
    <t>Estimate!!Total:!!Female:!!Divorced:!!60 to 64 years</t>
  </si>
  <si>
    <t>B12002_185</t>
  </si>
  <si>
    <t>Estimate!!Total:!!Female:!!Divorced:!!65 to 74 years</t>
  </si>
  <si>
    <t>B12002_186</t>
  </si>
  <si>
    <t>Estimate!!Total:!!Female:!!Divorced:!!75 to 84 years</t>
  </si>
  <si>
    <t>B12002_187</t>
  </si>
  <si>
    <t>Estimate!!Total:!!Female:!!Divorced:!!85 years and over</t>
  </si>
  <si>
    <t>B12006_002</t>
  </si>
  <si>
    <t>Estimate!!Total:!!Never married:</t>
  </si>
  <si>
    <t>B12006_003</t>
  </si>
  <si>
    <t>Estimate!!Total:!!Never married:!!Male:</t>
  </si>
  <si>
    <t>B12006_004</t>
  </si>
  <si>
    <t>Estimate!!Total:!!Never married:!!Male:!!In labor force:</t>
  </si>
  <si>
    <t>B12006_005</t>
  </si>
  <si>
    <t>Estimate!!Total:!!Never married:!!Male:!!In labor force:!!Employed or in Armed Forces</t>
  </si>
  <si>
    <t>B12006_006</t>
  </si>
  <si>
    <t>Estimate!!Total:!!Never married:!!Male:!!In labor force:!!Unemployed</t>
  </si>
  <si>
    <t>B12006_007</t>
  </si>
  <si>
    <t>Estimate!!Total:!!Never married:!!Male:!!Not in labor force</t>
  </si>
  <si>
    <t>B12006_008</t>
  </si>
  <si>
    <t>Estimate!!Total:!!Never married:!!Female:</t>
  </si>
  <si>
    <t>B12006_009</t>
  </si>
  <si>
    <t>Estimate!!Total:!!Never married:!!Female:!!In labor force:</t>
  </si>
  <si>
    <t>B12006_010</t>
  </si>
  <si>
    <t>Estimate!!Total:!!Never married:!!Female:!!In labor force:!!Employed or in Armed Forces</t>
  </si>
  <si>
    <t>B12006_011</t>
  </si>
  <si>
    <t>Estimate!!Total:!!Never married:!!Female:!!In labor force:!!Unemployed</t>
  </si>
  <si>
    <t>B12006_012</t>
  </si>
  <si>
    <t>Estimate!!Total:!!Never married:!!Female:!!Not in labor force</t>
  </si>
  <si>
    <t>B12006_013</t>
  </si>
  <si>
    <t>Estimate!!Total:!!Now married (except separated):</t>
  </si>
  <si>
    <t>B12006_014</t>
  </si>
  <si>
    <t>Estimate!!Total:!!Now married (except separated):!!Male:</t>
  </si>
  <si>
    <t>B12006_015</t>
  </si>
  <si>
    <t>Estimate!!Total:!!Now married (except separated):!!Male:!!In labor force:</t>
  </si>
  <si>
    <t>B12006_016</t>
  </si>
  <si>
    <t>Estimate!!Total:!!Now married (except separated):!!Male:!!In labor force:!!Employed or in Armed Forces</t>
  </si>
  <si>
    <t>B12006_017</t>
  </si>
  <si>
    <t>Estimate!!Total:!!Now married (except separated):!!Male:!!In labor force:!!Unemployed</t>
  </si>
  <si>
    <t>B12006_018</t>
  </si>
  <si>
    <t>Estimate!!Total:!!Now married (except separated):!!Male:!!Not in labor force</t>
  </si>
  <si>
    <t>B12006_019</t>
  </si>
  <si>
    <t>Estimate!!Total:!!Now married (except separated):!!Female:</t>
  </si>
  <si>
    <t>B12006_020</t>
  </si>
  <si>
    <t>Estimate!!Total:!!Now married (except separated):!!Female:!!In labor force:</t>
  </si>
  <si>
    <t>B12006_021</t>
  </si>
  <si>
    <t>Estimate!!Total:!!Now married (except separated):!!Female:!!In labor force:!!Employed or in Armed Forces</t>
  </si>
  <si>
    <t>B12006_022</t>
  </si>
  <si>
    <t>Estimate!!Total:!!Now married (except separated):!!Female:!!In labor force:!!Unemployed</t>
  </si>
  <si>
    <t>B12006_023</t>
  </si>
  <si>
    <t>Estimate!!Total:!!Now married (except separated):!!Female:!!Not in labor force</t>
  </si>
  <si>
    <t>B12006_024</t>
  </si>
  <si>
    <t>Estimate!!Total:!!Separated:</t>
  </si>
  <si>
    <t>B12006_025</t>
  </si>
  <si>
    <t>Estimate!!Total:!!Separated:!!Male:</t>
  </si>
  <si>
    <t>B12006_026</t>
  </si>
  <si>
    <t>Estimate!!Total:!!Separated:!!Male:!!In labor force:</t>
  </si>
  <si>
    <t>B12006_027</t>
  </si>
  <si>
    <t>Estimate!!Total:!!Separated:!!Male:!!In labor force:!!Employed or in Armed Forces</t>
  </si>
  <si>
    <t>B12006_028</t>
  </si>
  <si>
    <t>Estimate!!Total:!!Separated:!!Male:!!In labor force:!!Unemployed</t>
  </si>
  <si>
    <t>B12006_029</t>
  </si>
  <si>
    <t>Estimate!!Total:!!Separated:!!Male:!!Not in labor force</t>
  </si>
  <si>
    <t>B12006_030</t>
  </si>
  <si>
    <t>Estimate!!Total:!!Separated:!!Female:</t>
  </si>
  <si>
    <t>B12006_031</t>
  </si>
  <si>
    <t>Estimate!!Total:!!Separated:!!Female:!!In labor force:</t>
  </si>
  <si>
    <t>B12006_032</t>
  </si>
  <si>
    <t>Estimate!!Total:!!Separated:!!Female:!!In labor force:!!Employed or in Armed Forces</t>
  </si>
  <si>
    <t>B12006_033</t>
  </si>
  <si>
    <t>Estimate!!Total:!!Separated:!!Female:!!In labor force:!!Unemployed</t>
  </si>
  <si>
    <t>B12006_034</t>
  </si>
  <si>
    <t>Estimate!!Total:!!Separated:!!Female:!!Not in labor force</t>
  </si>
  <si>
    <t>B12006_035</t>
  </si>
  <si>
    <t>Estimate!!Total:!!Widowed:</t>
  </si>
  <si>
    <t>B12006_036</t>
  </si>
  <si>
    <t>Estimate!!Total:!!Widowed:!!Male:</t>
  </si>
  <si>
    <t>B12006_037</t>
  </si>
  <si>
    <t>Estimate!!Total:!!Widowed:!!Male:!!In labor force:</t>
  </si>
  <si>
    <t>B12006_038</t>
  </si>
  <si>
    <t>Estimate!!Total:!!Widowed:!!Male:!!In labor force:!!Employed or in Armed Forces</t>
  </si>
  <si>
    <t>B12006_039</t>
  </si>
  <si>
    <t>Estimate!!Total:!!Widowed:!!Male:!!In labor force:!!Unemployed</t>
  </si>
  <si>
    <t>B12006_040</t>
  </si>
  <si>
    <t>Estimate!!Total:!!Widowed:!!Male:!!Not in labor force</t>
  </si>
  <si>
    <t>B12006_041</t>
  </si>
  <si>
    <t>Estimate!!Total:!!Widowed:!!Female:</t>
  </si>
  <si>
    <t>B12006_042</t>
  </si>
  <si>
    <t>Estimate!!Total:!!Widowed:!!Female:!!In labor force:</t>
  </si>
  <si>
    <t>B12006_043</t>
  </si>
  <si>
    <t>Estimate!!Total:!!Widowed:!!Female:!!In labor force:!!Employed or in Armed Forces</t>
  </si>
  <si>
    <t>B12006_044</t>
  </si>
  <si>
    <t>Estimate!!Total:!!Widowed:!!Female:!!In labor force:!!Unemployed</t>
  </si>
  <si>
    <t>B12006_045</t>
  </si>
  <si>
    <t>Estimate!!Total:!!Widowed:!!Female:!!Not in labor force</t>
  </si>
  <si>
    <t>B12006_046</t>
  </si>
  <si>
    <t>Estimate!!Total:!!Divorced:</t>
  </si>
  <si>
    <t>B12006_047</t>
  </si>
  <si>
    <t>Estimate!!Total:!!Divorced:!!Male:</t>
  </si>
  <si>
    <t>B12006_048</t>
  </si>
  <si>
    <t>Estimate!!Total:!!Divorced:!!Male:!!In labor force:</t>
  </si>
  <si>
    <t>B12006_049</t>
  </si>
  <si>
    <t>Estimate!!Total:!!Divorced:!!Male:!!In labor force:!!Employed or in Armed Forces</t>
  </si>
  <si>
    <t>B12006_050</t>
  </si>
  <si>
    <t>Estimate!!Total:!!Divorced:!!Male:!!In labor force:!!Unemployed</t>
  </si>
  <si>
    <t>B12006_051</t>
  </si>
  <si>
    <t>Estimate!!Total:!!Divorced:!!Male:!!Not in labor force</t>
  </si>
  <si>
    <t>B12006_052</t>
  </si>
  <si>
    <t>Estimate!!Total:!!Divorced:!!Female:</t>
  </si>
  <si>
    <t>B12006_053</t>
  </si>
  <si>
    <t>Estimate!!Total:!!Divorced:!!Female:!!In labor force:</t>
  </si>
  <si>
    <t>B12006_054</t>
  </si>
  <si>
    <t>Estimate!!Total:!!Divorced:!!Female:!!In labor force:!!Employed or in Armed Forces</t>
  </si>
  <si>
    <t>B12006_055</t>
  </si>
  <si>
    <t>Estimate!!Total:!!Divorced:!!Female:!!In labor force:!!Unemployed</t>
  </si>
  <si>
    <t>B12006_056</t>
  </si>
  <si>
    <t>Estimate!!Total:!!Divorced:!!Female:!!Not in labor force</t>
  </si>
  <si>
    <t>B12007A_002</t>
  </si>
  <si>
    <t>Estimate!!Median age at first marriage --!!Female</t>
  </si>
  <si>
    <t>B12007B_002</t>
  </si>
  <si>
    <t>B12007C_002</t>
  </si>
  <si>
    <t>B12007D_002</t>
  </si>
  <si>
    <t>B12007E_002</t>
  </si>
  <si>
    <t>B12007F_002</t>
  </si>
  <si>
    <t>B12007G_002</t>
  </si>
  <si>
    <t>B12007H_002</t>
  </si>
  <si>
    <t>B12007I_002</t>
  </si>
  <si>
    <t>B12007_002</t>
  </si>
  <si>
    <t>B12501_002</t>
  </si>
  <si>
    <t>B12501_003</t>
  </si>
  <si>
    <t>B12501_004</t>
  </si>
  <si>
    <t>Estimate!!Total:!!Male:!!Ever married:</t>
  </si>
  <si>
    <t>B12501_005</t>
  </si>
  <si>
    <t>Estimate!!Total:!!Male:!!Ever married:!!Married last year</t>
  </si>
  <si>
    <t>B12501_006</t>
  </si>
  <si>
    <t>Estimate!!Total:!!Male:!!Ever married:!!Not married last year</t>
  </si>
  <si>
    <t>B12501_007</t>
  </si>
  <si>
    <t>B12501_008</t>
  </si>
  <si>
    <t>B12501_009</t>
  </si>
  <si>
    <t>Estimate!!Total:!!Female:!!Ever married:</t>
  </si>
  <si>
    <t>B12501_010</t>
  </si>
  <si>
    <t>Estimate!!Total:!!Female:!!Ever married:!!Married last year</t>
  </si>
  <si>
    <t>B12501_011</t>
  </si>
  <si>
    <t>Estimate!!Total:!!Female:!!Ever married:!!Not married last year</t>
  </si>
  <si>
    <t>B12502_002</t>
  </si>
  <si>
    <t>B12502_003</t>
  </si>
  <si>
    <t>B12502_004</t>
  </si>
  <si>
    <t>B12502_005</t>
  </si>
  <si>
    <t>Estimate!!Total:!!Male:!!Ever married:!!Widowed last year</t>
  </si>
  <si>
    <t>B12502_006</t>
  </si>
  <si>
    <t>Estimate!!Total:!!Male:!!Ever married:!!Not widowed last year</t>
  </si>
  <si>
    <t>B12502_007</t>
  </si>
  <si>
    <t>B12502_008</t>
  </si>
  <si>
    <t>B12502_009</t>
  </si>
  <si>
    <t>B12502_010</t>
  </si>
  <si>
    <t>Estimate!!Total:!!Female:!!Ever married:!!Widowed last year</t>
  </si>
  <si>
    <t>B12502_011</t>
  </si>
  <si>
    <t>Estimate!!Total:!!Female:!!Ever married:!!Not widowed last year</t>
  </si>
  <si>
    <t>B12503_002</t>
  </si>
  <si>
    <t>B12503_003</t>
  </si>
  <si>
    <t>B12503_004</t>
  </si>
  <si>
    <t>B12503_005</t>
  </si>
  <si>
    <t>Estimate!!Total:!!Male:!!Ever married:!!Divorced last year</t>
  </si>
  <si>
    <t>B12503_006</t>
  </si>
  <si>
    <t>Estimate!!Total:!!Male:!!Ever married:!!Not divorced last year</t>
  </si>
  <si>
    <t>B12503_007</t>
  </si>
  <si>
    <t>B12503_008</t>
  </si>
  <si>
    <t>B12503_009</t>
  </si>
  <si>
    <t>B12503_010</t>
  </si>
  <si>
    <t>Estimate!!Total:!!Female:!!Ever married:!!Divorced last year</t>
  </si>
  <si>
    <t>B12503_011</t>
  </si>
  <si>
    <t>Estimate!!Total:!!Female:!!Ever married:!!Not divorced last year</t>
  </si>
  <si>
    <t>B12504_002</t>
  </si>
  <si>
    <t>B12504_003</t>
  </si>
  <si>
    <t>Estimate!!Total:!!Male:!!Married, spouse present:</t>
  </si>
  <si>
    <t>B12504_004</t>
  </si>
  <si>
    <t>Estimate!!Total:!!Male:!!Married, spouse present:!!Opposite-sex spouse</t>
  </si>
  <si>
    <t>B12504_005</t>
  </si>
  <si>
    <t>Estimate!!Total:!!Male:!!Married, spouse present:!!Same-sex spouse</t>
  </si>
  <si>
    <t>B12504_006</t>
  </si>
  <si>
    <t>Estimate!!Total:!!Male:!!Married, spouse absent</t>
  </si>
  <si>
    <t>B12504_007</t>
  </si>
  <si>
    <t>B12504_008</t>
  </si>
  <si>
    <t>B12504_009</t>
  </si>
  <si>
    <t>Estimate!!Total:!!Female:!!Married, spouse present:</t>
  </si>
  <si>
    <t>B12504_010</t>
  </si>
  <si>
    <t>Estimate!!Total:!!Female:!!Married, spouse present:!!Opposite-sex spouse</t>
  </si>
  <si>
    <t>B12504_011</t>
  </si>
  <si>
    <t>Estimate!!Total:!!Female:!!Married, spouse present:!!Same-sex spouse</t>
  </si>
  <si>
    <t>B12504_012</t>
  </si>
  <si>
    <t>Estimate!!Total:!!Female:!!Married, spouse absent</t>
  </si>
  <si>
    <t>B12504_013</t>
  </si>
  <si>
    <t>B12505_002</t>
  </si>
  <si>
    <t>B12505_003</t>
  </si>
  <si>
    <t>B12505_004</t>
  </si>
  <si>
    <t>B12505_005</t>
  </si>
  <si>
    <t>Estimate!!Total:!!Male:!!Ever married:!!Once</t>
  </si>
  <si>
    <t>B12505_006</t>
  </si>
  <si>
    <t>Estimate!!Total:!!Male:!!Ever married:!!Two times</t>
  </si>
  <si>
    <t>B12505_007</t>
  </si>
  <si>
    <t>Estimate!!Total:!!Male:!!Ever married:!!Three or more times</t>
  </si>
  <si>
    <t>B12505_008</t>
  </si>
  <si>
    <t>B12505_009</t>
  </si>
  <si>
    <t>B12505_010</t>
  </si>
  <si>
    <t>B12505_011</t>
  </si>
  <si>
    <t>Estimate!!Total:!!Female:!!Ever married:!!Once</t>
  </si>
  <si>
    <t>B12505_012</t>
  </si>
  <si>
    <t>Estimate!!Total:!!Female:!!Ever married:!!Two times</t>
  </si>
  <si>
    <t>B12505_013</t>
  </si>
  <si>
    <t>Estimate!!Total:!!Female:!!Ever married:!!Three or more times</t>
  </si>
  <si>
    <t>B13002A_002</t>
  </si>
  <si>
    <t>Estimate!!Total:!!Women who had a birth in the past 12 months:</t>
  </si>
  <si>
    <t>B13002A_003</t>
  </si>
  <si>
    <t>Estimate!!Total:!!Women who had a birth in the past 12 months:!!Now married (including separated and spouse absent)</t>
  </si>
  <si>
    <t>B13002A_004</t>
  </si>
  <si>
    <t>Estimate!!Total:!!Women who had a birth in the past 12 months:!!Unmarried (never married, widowed and divorced)</t>
  </si>
  <si>
    <t>B13002A_005</t>
  </si>
  <si>
    <t>Estimate!!Total:!!Women who did not have a birth in the past 12 months:</t>
  </si>
  <si>
    <t>B13002A_006</t>
  </si>
  <si>
    <t>Estimate!!Total:!!Women who did not have a birth in the past 12 months:!!Now married (including separated and spouse absent)</t>
  </si>
  <si>
    <t>B13002A_007</t>
  </si>
  <si>
    <t>Estimate!!Total:!!Women who did not have a birth in the past 12 months:!!Unmarried (never married, widowed and divorced)</t>
  </si>
  <si>
    <t>B13002B_002</t>
  </si>
  <si>
    <t>B13002B_003</t>
  </si>
  <si>
    <t>B13002B_004</t>
  </si>
  <si>
    <t>B13002B_005</t>
  </si>
  <si>
    <t>B13002B_006</t>
  </si>
  <si>
    <t>B13002B_007</t>
  </si>
  <si>
    <t>B13002C_002</t>
  </si>
  <si>
    <t>B13002C_003</t>
  </si>
  <si>
    <t>B13002C_004</t>
  </si>
  <si>
    <t>B13002C_005</t>
  </si>
  <si>
    <t>B13002C_006</t>
  </si>
  <si>
    <t>B13002C_007</t>
  </si>
  <si>
    <t>B13002D_002</t>
  </si>
  <si>
    <t>B13002D_003</t>
  </si>
  <si>
    <t>B13002D_004</t>
  </si>
  <si>
    <t>B13002D_005</t>
  </si>
  <si>
    <t>B13002D_006</t>
  </si>
  <si>
    <t>B13002D_007</t>
  </si>
  <si>
    <t>B13002E_002</t>
  </si>
  <si>
    <t>B13002E_003</t>
  </si>
  <si>
    <t>B13002E_004</t>
  </si>
  <si>
    <t>B13002E_005</t>
  </si>
  <si>
    <t>B13002E_006</t>
  </si>
  <si>
    <t>B13002E_007</t>
  </si>
  <si>
    <t>B13002F_002</t>
  </si>
  <si>
    <t>B13002F_003</t>
  </si>
  <si>
    <t>B13002F_004</t>
  </si>
  <si>
    <t>B13002F_005</t>
  </si>
  <si>
    <t>B13002F_006</t>
  </si>
  <si>
    <t>B13002F_007</t>
  </si>
  <si>
    <t>B13002G_002</t>
  </si>
  <si>
    <t>B13002G_003</t>
  </si>
  <si>
    <t>B13002G_004</t>
  </si>
  <si>
    <t>B13002G_005</t>
  </si>
  <si>
    <t>B13002G_006</t>
  </si>
  <si>
    <t>B13002G_007</t>
  </si>
  <si>
    <t>B13002H_002</t>
  </si>
  <si>
    <t>B13002H_003</t>
  </si>
  <si>
    <t>B13002H_004</t>
  </si>
  <si>
    <t>B13002H_005</t>
  </si>
  <si>
    <t>B13002H_006</t>
  </si>
  <si>
    <t>B13002H_007</t>
  </si>
  <si>
    <t>B13002I_002</t>
  </si>
  <si>
    <t>B13002I_003</t>
  </si>
  <si>
    <t>B13002I_004</t>
  </si>
  <si>
    <t>B13002I_005</t>
  </si>
  <si>
    <t>B13002I_006</t>
  </si>
  <si>
    <t>B13002I_007</t>
  </si>
  <si>
    <t>B13002_002</t>
  </si>
  <si>
    <t>B13002_003</t>
  </si>
  <si>
    <t>Estimate!!Total:!!Women who had a birth in the past 12 months:!!Now married (including separated and spouse absent):</t>
  </si>
  <si>
    <t>B13002_004</t>
  </si>
  <si>
    <t>Estimate!!Total:!!Women who had a birth in the past 12 months:!!Now married (including separated and spouse absent):!!15 to 19 years old</t>
  </si>
  <si>
    <t>B13002_005</t>
  </si>
  <si>
    <t>Estimate!!Total:!!Women who had a birth in the past 12 months:!!Now married (including separated and spouse absent):!!20 to 34 years old</t>
  </si>
  <si>
    <t>B13002_006</t>
  </si>
  <si>
    <t>Estimate!!Total:!!Women who had a birth in the past 12 months:!!Now married (including separated and spouse absent):!!35 to 50 years old</t>
  </si>
  <si>
    <t>B13002_007</t>
  </si>
  <si>
    <t>Estimate!!Total:!!Women who had a birth in the past 12 months:!!Unmarried (never married, widowed, and divorced):</t>
  </si>
  <si>
    <t>B13002_008</t>
  </si>
  <si>
    <t>Estimate!!Total:!!Women who had a birth in the past 12 months:!!Unmarried (never married, widowed, and divorced):!!15 to 19 years old</t>
  </si>
  <si>
    <t>B13002_009</t>
  </si>
  <si>
    <t>Estimate!!Total:!!Women who had a birth in the past 12 months:!!Unmarried (never married, widowed, and divorced):!!20 to 34 years old</t>
  </si>
  <si>
    <t>B13002_010</t>
  </si>
  <si>
    <t>Estimate!!Total:!!Women who had a birth in the past 12 months:!!Unmarried (never married, widowed, and divorced):!!35 to 50 years old</t>
  </si>
  <si>
    <t>B13002_011</t>
  </si>
  <si>
    <t>B13002_012</t>
  </si>
  <si>
    <t>Estimate!!Total:!!Women who did not have a birth in the past 12 months:!!Now married (including separated and spouse absent):</t>
  </si>
  <si>
    <t>B13002_013</t>
  </si>
  <si>
    <t>Estimate!!Total:!!Women who did not have a birth in the past 12 months:!!Now married (including separated and spouse absent):!!15 to 19 years old</t>
  </si>
  <si>
    <t>B13002_014</t>
  </si>
  <si>
    <t>Estimate!!Total:!!Women who did not have a birth in the past 12 months:!!Now married (including separated and spouse absent):!!20 to 34 years old</t>
  </si>
  <si>
    <t>B13002_015</t>
  </si>
  <si>
    <t>Estimate!!Total:!!Women who did not have a birth in the past 12 months:!!Now married (including separated and spouse absent):!!35 to 50 years old</t>
  </si>
  <si>
    <t>B13002_016</t>
  </si>
  <si>
    <t>Estimate!!Total:!!Women who did not have a birth in the past 12 months:!!Unmarried (never married, widowed, and divorced):</t>
  </si>
  <si>
    <t>B13002_017</t>
  </si>
  <si>
    <t>Estimate!!Total:!!Women who did not have a birth in the past 12 months:!!Unmarried (never married, widowed, and divorced):!!15 to 19 years old</t>
  </si>
  <si>
    <t>B13002_018</t>
  </si>
  <si>
    <t>Estimate!!Total:!!Women who did not have a birth in the past 12 months:!!Unmarried (never married, widowed, and divorced):!!20 to 34 years old</t>
  </si>
  <si>
    <t>B13002_019</t>
  </si>
  <si>
    <t>Estimate!!Total:!!Women who did not have a birth in the past 12 months:!!Unmarried (never married, widowed, and divorced):!!35 to 50 years old</t>
  </si>
  <si>
    <t>B13004_002</t>
  </si>
  <si>
    <t>B13004_003</t>
  </si>
  <si>
    <t>Estimate!!Total:!!Women who had a birth in the past 12 months:!!Has a spouse present</t>
  </si>
  <si>
    <t>B13004_004</t>
  </si>
  <si>
    <t>Estimate!!Total:!!Women who had a birth in the past 12 months:!!Partner in an unmarried partner household</t>
  </si>
  <si>
    <t>B13004_005</t>
  </si>
  <si>
    <t>Estimate!!Total:!!Women who had a birth in the past 12 months:!!Other living arrangement</t>
  </si>
  <si>
    <t>B13004_006</t>
  </si>
  <si>
    <t>B13004_007</t>
  </si>
  <si>
    <t>Estimate!!Total:!!Women who did not have a birth in the past 12 months:!!Has a spouse present</t>
  </si>
  <si>
    <t>B13004_008</t>
  </si>
  <si>
    <t>Estimate!!Total:!!Women who did not have a birth in the past 12 months:!!Partner in an unmarried partner household</t>
  </si>
  <si>
    <t>B13004_009</t>
  </si>
  <si>
    <t>Estimate!!Total:!!Women who did not have a birth in the past 12 months:!!Other living arrangement</t>
  </si>
  <si>
    <t>B13008_002</t>
  </si>
  <si>
    <t>B13008_003</t>
  </si>
  <si>
    <t>B13008_004</t>
  </si>
  <si>
    <t>Estimate!!Total:!!Women who had a birth in the past 12 months:!!Now married (including separated and spouse absent):!!Native</t>
  </si>
  <si>
    <t>B13008_005</t>
  </si>
  <si>
    <t>Estimate!!Total:!!Women who had a birth in the past 12 months:!!Now married (including separated and spouse absent):!!Foreign born</t>
  </si>
  <si>
    <t>B13008_006</t>
  </si>
  <si>
    <t>Estimate!!Total:!!Women who had a birth in the past 12 months:!!Unmarried (never married, widowed and divorced):</t>
  </si>
  <si>
    <t>B13008_007</t>
  </si>
  <si>
    <t>Estimate!!Total:!!Women who had a birth in the past 12 months:!!Unmarried (never married, widowed and divorced):!!Native</t>
  </si>
  <si>
    <t>B13008_008</t>
  </si>
  <si>
    <t>Estimate!!Total:!!Women who had a birth in the past 12 months:!!Unmarried (never married, widowed and divorced):!!Foreign born</t>
  </si>
  <si>
    <t>B13008_009</t>
  </si>
  <si>
    <t>B13008_010</t>
  </si>
  <si>
    <t>B13008_011</t>
  </si>
  <si>
    <t>Estimate!!Total:!!Women who did not have a birth in the past 12 months:!!Now married (including separated and spouse absent):!!Native</t>
  </si>
  <si>
    <t>B13008_012</t>
  </si>
  <si>
    <t>Estimate!!Total:!!Women who did not have a birth in the past 12 months:!!Now married (including separated and spouse absent):!!Foreign born</t>
  </si>
  <si>
    <t>B13008_013</t>
  </si>
  <si>
    <t>Estimate!!Total:!!Women who did not have a birth in the past 12 months:!!Unmarried (never married, widowed and divorced):</t>
  </si>
  <si>
    <t>B13008_014</t>
  </si>
  <si>
    <t>Estimate!!Total:!!Women who did not have a birth in the past 12 months:!!Unmarried (never married, widowed and divorced):!!Native</t>
  </si>
  <si>
    <t>B13008_015</t>
  </si>
  <si>
    <t>Estimate!!Total:!!Women who did not have a birth in the past 12 months:!!Unmarried (never married, widowed and divorced):!!Foreign born</t>
  </si>
  <si>
    <t>B13010_002</t>
  </si>
  <si>
    <t>B13010_003</t>
  </si>
  <si>
    <t>B13010_004</t>
  </si>
  <si>
    <t>Estimate!!Total:!!Women who had a birth in the past 12 months:!!Now married (including separated and spouse absent):!!Below 100 percent of poverty level in the past 12 months</t>
  </si>
  <si>
    <t>B13010_005</t>
  </si>
  <si>
    <t>Estimate!!Total:!!Women who had a birth in the past 12 months:!!Now married (including separated and spouse absent):!!100 to 199 percent of poverty level in the past 12 months</t>
  </si>
  <si>
    <t>B13010_006</t>
  </si>
  <si>
    <t>Estimate!!Total:!!Women who had a birth in the past 12 months:!!Now married (including separated and spouse absent):!!200 percent or more of poverty level in the past 12 months</t>
  </si>
  <si>
    <t>B13010_007</t>
  </si>
  <si>
    <t>B13010_008</t>
  </si>
  <si>
    <t>Estimate!!Total:!!Women who had a birth in the past 12 months:!!Unmarried (never married, widowed and divorced):!!Below 100 percent of poverty level in the past 12 months</t>
  </si>
  <si>
    <t>B13010_009</t>
  </si>
  <si>
    <t>Estimate!!Total:!!Women who had a birth in the past 12 months:!!Unmarried (never married, widowed and divorced):!!100 to 199 percent of poverty level in the past 12 months</t>
  </si>
  <si>
    <t>B13010_010</t>
  </si>
  <si>
    <t>Estimate!!Total:!!Women who had a birth in the past 12 months:!!Unmarried (never married, widowed and divorced):!!200 percent or more of poverty level in the past 12 months</t>
  </si>
  <si>
    <t>B13010_011</t>
  </si>
  <si>
    <t>B13010_012</t>
  </si>
  <si>
    <t>B13010_013</t>
  </si>
  <si>
    <t>Estimate!!Total:!!Women who did not have a birth in the past 12 months:!!Now married (including separated and spouse absent):!!Below 100 percent of poverty level in the past 12 months</t>
  </si>
  <si>
    <t>B13010_014</t>
  </si>
  <si>
    <t>Estimate!!Total:!!Women who did not have a birth in the past 12 months:!!Now married (including separated and spouse absent):!!100 to 199 percent of poverty level in the past 12 months</t>
  </si>
  <si>
    <t>B13010_015</t>
  </si>
  <si>
    <t>Estimate!!Total:!!Women who did not have a birth in the past 12 months:!!Now married (including separated and spouse absent):!!200 percent or more of poverty level in the past 12 months</t>
  </si>
  <si>
    <t>B13010_016</t>
  </si>
  <si>
    <t>B13010_017</t>
  </si>
  <si>
    <t>Estimate!!Total:!!Women who did not have a birth in the past 12 months:!!Unmarried (never married, widowed and divorced):!!Below 100 percent of poverty level in the past 12 months</t>
  </si>
  <si>
    <t>B13010_018</t>
  </si>
  <si>
    <t>Estimate!!Total:!!Women who did not have a birth in the past 12 months:!!Unmarried (never married, widowed and divorced):!!100 to 199 percent of poverty level in the past 12 months</t>
  </si>
  <si>
    <t>B13010_019</t>
  </si>
  <si>
    <t>Estimate!!Total:!!Women who did not have a birth in the past 12 months:!!Unmarried (never married, widowed and divorced):!!200 percent or more of poverty level in the past 12 months</t>
  </si>
  <si>
    <t>B13012_002</t>
  </si>
  <si>
    <t>B13012_003</t>
  </si>
  <si>
    <t>B13012_004</t>
  </si>
  <si>
    <t>Estimate!!Total:!!Women who had a birth in the past 12 months:!!Now married (including separated and spouse absent):!!In labor force</t>
  </si>
  <si>
    <t>B13012_005</t>
  </si>
  <si>
    <t>Estimate!!Total:!!Women who had a birth in the past 12 months:!!Now married (including separated and spouse absent):!!Not in labor force</t>
  </si>
  <si>
    <t>B13012_006</t>
  </si>
  <si>
    <t>B13012_007</t>
  </si>
  <si>
    <t>Estimate!!Total:!!Women who had a birth in the past 12 months:!!Unmarried (never married, widowed and divorced):!!In labor force</t>
  </si>
  <si>
    <t>B13012_008</t>
  </si>
  <si>
    <t>Estimate!!Total:!!Women who had a birth in the past 12 months:!!Unmarried (never married, widowed and divorced):!!Not in labor force</t>
  </si>
  <si>
    <t>B13012_009</t>
  </si>
  <si>
    <t>B13012_010</t>
  </si>
  <si>
    <t>B13012_011</t>
  </si>
  <si>
    <t>Estimate!!Total:!!Women who did not have a birth in the past 12 months:!!Now married (including separated and spouse absent):!!In labor force</t>
  </si>
  <si>
    <t>B13012_012</t>
  </si>
  <si>
    <t>Estimate!!Total:!!Women who did not have a birth in the past 12 months:!!Now married (including separated and spouse absent):!!Not in labor force</t>
  </si>
  <si>
    <t>B13012_013</t>
  </si>
  <si>
    <t>B13012_014</t>
  </si>
  <si>
    <t>Estimate!!Total:!!Women who did not have a birth in the past 12 months:!!Unmarried (never married, widowed and divorced):!!In labor force</t>
  </si>
  <si>
    <t>B13012_015</t>
  </si>
  <si>
    <t>Estimate!!Total:!!Women who did not have a birth in the past 12 months:!!Unmarried (never married, widowed and divorced):!!Not in labor force</t>
  </si>
  <si>
    <t>B13014_002</t>
  </si>
  <si>
    <t>B13014_003</t>
  </si>
  <si>
    <t>B13014_004</t>
  </si>
  <si>
    <t>Estimate!!Total:!!Women who had a birth in the past 12 months:!!Now married (including separated and spouse absent):!!Less than high school graduate</t>
  </si>
  <si>
    <t>B13014_005</t>
  </si>
  <si>
    <t>Estimate!!Total:!!Women who had a birth in the past 12 months:!!Now married (including separated and spouse absent):!!High school graduate (includes equivalency)</t>
  </si>
  <si>
    <t>B13014_006</t>
  </si>
  <si>
    <t>Estimate!!Total:!!Women who had a birth in the past 12 months:!!Now married (including separated and spouse absent):!!Some college or associate's degree</t>
  </si>
  <si>
    <t>B13014_007</t>
  </si>
  <si>
    <t>Estimate!!Total:!!Women who had a birth in the past 12 months:!!Now married (including separated and spouse absent):!!Bachelor's degree</t>
  </si>
  <si>
    <t>B13014_008</t>
  </si>
  <si>
    <t>Estimate!!Total:!!Women who had a birth in the past 12 months:!!Now married (including separated and spouse absent):!!Graduate or professional degree</t>
  </si>
  <si>
    <t>B13014_009</t>
  </si>
  <si>
    <t>B13014_010</t>
  </si>
  <si>
    <t>Estimate!!Total:!!Women who had a birth in the past 12 months:!!Unmarried (never married, widowed and divorced):!!Less than high school graduate</t>
  </si>
  <si>
    <t>B13014_011</t>
  </si>
  <si>
    <t>Estimate!!Total:!!Women who had a birth in the past 12 months:!!Unmarried (never married, widowed and divorced):!!High school graduate (includes equivalency)</t>
  </si>
  <si>
    <t>B13014_012</t>
  </si>
  <si>
    <t>Estimate!!Total:!!Women who had a birth in the past 12 months:!!Unmarried (never married, widowed and divorced):!!Some college or associate's degree</t>
  </si>
  <si>
    <t>B13014_013</t>
  </si>
  <si>
    <t>Estimate!!Total:!!Women who had a birth in the past 12 months:!!Unmarried (never married, widowed and divorced):!!Bachelor's degree</t>
  </si>
  <si>
    <t>B13014_014</t>
  </si>
  <si>
    <t>Estimate!!Total:!!Women who had a birth in the past 12 months:!!Unmarried (never married, widowed and divorced):!!Graduate or professional degree</t>
  </si>
  <si>
    <t>B13014_015</t>
  </si>
  <si>
    <t>B13014_016</t>
  </si>
  <si>
    <t>B13014_017</t>
  </si>
  <si>
    <t>Estimate!!Total:!!Women who did not have a birth in the past 12 months:!!Now married (including separated and spouse absent):!!Less than high school graduate</t>
  </si>
  <si>
    <t>B13014_018</t>
  </si>
  <si>
    <t>Estimate!!Total:!!Women who did not have a birth in the past 12 months:!!Now married (including separated and spouse absent):!!High school graduate (includes equivalency)</t>
  </si>
  <si>
    <t>B13014_019</t>
  </si>
  <si>
    <t>Estimate!!Total:!!Women who did not have a birth in the past 12 months:!!Now married (including separated and spouse absent):!!Some college or associate's degree</t>
  </si>
  <si>
    <t>B13014_020</t>
  </si>
  <si>
    <t>Estimate!!Total:!!Women who did not have a birth in the past 12 months:!!Now married (including separated and spouse absent):!!Bachelor's degree</t>
  </si>
  <si>
    <t>B13014_021</t>
  </si>
  <si>
    <t>Estimate!!Total:!!Women who did not have a birth in the past 12 months:!!Now married (including separated and spouse absent):!!Graduate or professional degree</t>
  </si>
  <si>
    <t>B13014_022</t>
  </si>
  <si>
    <t>B13014_023</t>
  </si>
  <si>
    <t>Estimate!!Total:!!Women who did not have a birth in the past 12 months:!!Unmarried (never married, widowed and divorced):!!Less than high school graduate</t>
  </si>
  <si>
    <t>B13014_024</t>
  </si>
  <si>
    <t>Estimate!!Total:!!Women who did not have a birth in the past 12 months:!!Unmarried (never married, widowed and divorced):!!High school graduate (includes equivalency)</t>
  </si>
  <si>
    <t>B13014_025</t>
  </si>
  <si>
    <t>Estimate!!Total:!!Women who did not have a birth in the past 12 months:!!Unmarried (never married, widowed and divorced):!!Some college or associate's degree</t>
  </si>
  <si>
    <t>B13014_026</t>
  </si>
  <si>
    <t>Estimate!!Total:!!Women who did not have a birth in the past 12 months:!!Unmarried (never married, widowed and divorced):!!Bachelor's degree</t>
  </si>
  <si>
    <t>B13014_027</t>
  </si>
  <si>
    <t>Estimate!!Total:!!Women who did not have a birth in the past 12 months:!!Unmarried (never married, widowed and divorced):!!Graduate or professional degree</t>
  </si>
  <si>
    <t>B13015_002</t>
  </si>
  <si>
    <t>B13015_003</t>
  </si>
  <si>
    <t>B13015_004</t>
  </si>
  <si>
    <t>Estimate!!Total:!!Women who had a birth in the past 12 months:!!Now married (including separated and spouse absent):!!Received public assistance income</t>
  </si>
  <si>
    <t>B13015_005</t>
  </si>
  <si>
    <t>Estimate!!Total:!!Women who had a birth in the past 12 months:!!Now married (including separated and spouse absent):!!Did not receive public assistance income</t>
  </si>
  <si>
    <t>B13015_006</t>
  </si>
  <si>
    <t>B13015_007</t>
  </si>
  <si>
    <t>Estimate!!Total:!!Women who had a birth in the past 12 months:!!Unmarried (never married, widowed and divorced):!!Received public assistance income</t>
  </si>
  <si>
    <t>B13015_008</t>
  </si>
  <si>
    <t>Estimate!!Total:!!Women who had a birth in the past 12 months:!!Unmarried (never married, widowed and divorced):!!Did not receive public assistance income</t>
  </si>
  <si>
    <t>B13015_009</t>
  </si>
  <si>
    <t>B13015_010</t>
  </si>
  <si>
    <t>B13015_011</t>
  </si>
  <si>
    <t>Estimate!!Total:!!Women who did not have a birth in the past 12 months:!!Now married (including separated and spouse absent):!!Received public assistance income</t>
  </si>
  <si>
    <t>B13015_012</t>
  </si>
  <si>
    <t>Estimate!!Total:!!Women who did not have a birth in the past 12 months:!!Now married (including separated and spouse absent):!!Did not receive public assistance income</t>
  </si>
  <si>
    <t>B13015_013</t>
  </si>
  <si>
    <t>B13015_014</t>
  </si>
  <si>
    <t>Estimate!!Total:!!Women who did not have a birth in the past 12 months:!!Unmarried (never married, widowed and divorced):!!Received public assistance income</t>
  </si>
  <si>
    <t>B13015_015</t>
  </si>
  <si>
    <t>Estimate!!Total:!!Women who did not have a birth in the past 12 months:!!Unmarried (never married, widowed and divorced):!!Did not receive public assistance income</t>
  </si>
  <si>
    <t>B13016_002</t>
  </si>
  <si>
    <t>B13016_003</t>
  </si>
  <si>
    <t>Estimate!!Total:!!Women who had a birth in the past 12 months:!!15 to 19 years old</t>
  </si>
  <si>
    <t>B13016_004</t>
  </si>
  <si>
    <t>Estimate!!Total:!!Women who had a birth in the past 12 months:!!20 to 24 years old</t>
  </si>
  <si>
    <t>B13016_005</t>
  </si>
  <si>
    <t>Estimate!!Total:!!Women who had a birth in the past 12 months:!!25 to 29 years old</t>
  </si>
  <si>
    <t>B13016_006</t>
  </si>
  <si>
    <t>Estimate!!Total:!!Women who had a birth in the past 12 months:!!30 to 34 years old</t>
  </si>
  <si>
    <t>B13016_007</t>
  </si>
  <si>
    <t>Estimate!!Total:!!Women who had a birth in the past 12 months:!!35 to 39 years old</t>
  </si>
  <si>
    <t>B13016_008</t>
  </si>
  <si>
    <t>Estimate!!Total:!!Women who had a birth in the past 12 months:!!40 to 44 years old</t>
  </si>
  <si>
    <t>B13016_009</t>
  </si>
  <si>
    <t>Estimate!!Total:!!Women who had a birth in the past 12 months:!!45 to 50 years old</t>
  </si>
  <si>
    <t>B13016_010</t>
  </si>
  <si>
    <t>B13016_011</t>
  </si>
  <si>
    <t>Estimate!!Total:!!Women who did not have a birth in the past 12 months:!!15 to 19 years old</t>
  </si>
  <si>
    <t>B13016_012</t>
  </si>
  <si>
    <t>Estimate!!Total:!!Women who did not have a birth in the past 12 months:!!20 to 24 years old</t>
  </si>
  <si>
    <t>B13016_013</t>
  </si>
  <si>
    <t>Estimate!!Total:!!Women who did not have a birth in the past 12 months:!!25 to 29 years old</t>
  </si>
  <si>
    <t>B13016_014</t>
  </si>
  <si>
    <t>Estimate!!Total:!!Women who did not have a birth in the past 12 months:!!30 to 34 years old</t>
  </si>
  <si>
    <t>B13016_015</t>
  </si>
  <si>
    <t>Estimate!!Total:!!Women who did not have a birth in the past 12 months:!!35 to 39 years old</t>
  </si>
  <si>
    <t>B13016_016</t>
  </si>
  <si>
    <t>Estimate!!Total:!!Women who did not have a birth in the past 12 months:!!40 to 44 years old</t>
  </si>
  <si>
    <t>B13016_017</t>
  </si>
  <si>
    <t>Estimate!!Total:!!Women who did not have a birth in the past 12 months:!!45 to 50 years old</t>
  </si>
  <si>
    <t>B14001_002</t>
  </si>
  <si>
    <t>Estimate!!Total:!!Enrolled in school:</t>
  </si>
  <si>
    <t>B14001_003</t>
  </si>
  <si>
    <t>Estimate!!Total:!!Enrolled in school:!!Enrolled in nursery school, preschool</t>
  </si>
  <si>
    <t>B14001_004</t>
  </si>
  <si>
    <t>Estimate!!Total:!!Enrolled in school:!!Enrolled in kindergarten</t>
  </si>
  <si>
    <t>B14001_005</t>
  </si>
  <si>
    <t>Estimate!!Total:!!Enrolled in school:!!Enrolled in grade 1 to grade 4</t>
  </si>
  <si>
    <t>B14001_006</t>
  </si>
  <si>
    <t>Estimate!!Total:!!Enrolled in school:!!Enrolled in grade 5 to grade 8</t>
  </si>
  <si>
    <t>B14001_007</t>
  </si>
  <si>
    <t>Estimate!!Total:!!Enrolled in school:!!Enrolled in grade 9 to grade 12</t>
  </si>
  <si>
    <t>B14001_008</t>
  </si>
  <si>
    <t>Estimate!!Total:!!Enrolled in school:!!Enrolled in college, undergraduate years</t>
  </si>
  <si>
    <t>B14001_009</t>
  </si>
  <si>
    <t>Estimate!!Total:!!Enrolled in school:!!Graduate or professional school</t>
  </si>
  <si>
    <t>B14001_010</t>
  </si>
  <si>
    <t>Estimate!!Total:!!Not enrolled in school</t>
  </si>
  <si>
    <t>B14002_002</t>
  </si>
  <si>
    <t>B14002_003</t>
  </si>
  <si>
    <t>Estimate!!Total:!!Male:!!Enrolled in school:</t>
  </si>
  <si>
    <t>B14002_004</t>
  </si>
  <si>
    <t>Estimate!!Total:!!Male:!!Enrolled in school:!!Enrolled in nursery school, preschool:</t>
  </si>
  <si>
    <t>B14002_005</t>
  </si>
  <si>
    <t>Estimate!!Total:!!Male:!!Enrolled in school:!!Enrolled in nursery school, preschool:!!Public school</t>
  </si>
  <si>
    <t>B14002_006</t>
  </si>
  <si>
    <t>Estimate!!Total:!!Male:!!Enrolled in school:!!Enrolled in nursery school, preschool:!!Private school</t>
  </si>
  <si>
    <t>B14002_007</t>
  </si>
  <si>
    <t>Estimate!!Total:!!Male:!!Enrolled in school:!!Enrolled in kindergarten:</t>
  </si>
  <si>
    <t>B14002_008</t>
  </si>
  <si>
    <t>Estimate!!Total:!!Male:!!Enrolled in school:!!Enrolled in kindergarten:!!Public school</t>
  </si>
  <si>
    <t>B14002_009</t>
  </si>
  <si>
    <t>Estimate!!Total:!!Male:!!Enrolled in school:!!Enrolled in kindergarten:!!Private school</t>
  </si>
  <si>
    <t>B14002_010</t>
  </si>
  <si>
    <t>Estimate!!Total:!!Male:!!Enrolled in school:!!Enrolled in grade 1 to grade 4:</t>
  </si>
  <si>
    <t>B14002_011</t>
  </si>
  <si>
    <t>Estimate!!Total:!!Male:!!Enrolled in school:!!Enrolled in grade 1 to grade 4:!!Public school</t>
  </si>
  <si>
    <t>B14002_012</t>
  </si>
  <si>
    <t>Estimate!!Total:!!Male:!!Enrolled in school:!!Enrolled in grade 1 to grade 4:!!Private school</t>
  </si>
  <si>
    <t>B14002_013</t>
  </si>
  <si>
    <t>Estimate!!Total:!!Male:!!Enrolled in school:!!Enrolled in grade 5 to grade 8:</t>
  </si>
  <si>
    <t>B14002_014</t>
  </si>
  <si>
    <t>Estimate!!Total:!!Male:!!Enrolled in school:!!Enrolled in grade 5 to grade 8:!!Public school</t>
  </si>
  <si>
    <t>B14002_015</t>
  </si>
  <si>
    <t>Estimate!!Total:!!Male:!!Enrolled in school:!!Enrolled in grade 5 to grade 8:!!Private school</t>
  </si>
  <si>
    <t>B14002_016</t>
  </si>
  <si>
    <t>Estimate!!Total:!!Male:!!Enrolled in school:!!Enrolled in grade 9 to grade 12:</t>
  </si>
  <si>
    <t>B14002_017</t>
  </si>
  <si>
    <t>Estimate!!Total:!!Male:!!Enrolled in school:!!Enrolled in grade 9 to grade 12:!!Public school</t>
  </si>
  <si>
    <t>B14002_018</t>
  </si>
  <si>
    <t>Estimate!!Total:!!Male:!!Enrolled in school:!!Enrolled in grade 9 to grade 12:!!Private school</t>
  </si>
  <si>
    <t>B14002_019</t>
  </si>
  <si>
    <t>Estimate!!Total:!!Male:!!Enrolled in school:!!Enrolled in college undergraduate years:</t>
  </si>
  <si>
    <t>B14002_020</t>
  </si>
  <si>
    <t>Estimate!!Total:!!Male:!!Enrolled in school:!!Enrolled in college undergraduate years:!!Public school</t>
  </si>
  <si>
    <t>B14002_021</t>
  </si>
  <si>
    <t>Estimate!!Total:!!Male:!!Enrolled in school:!!Enrolled in college undergraduate years:!!Private school</t>
  </si>
  <si>
    <t>B14002_022</t>
  </si>
  <si>
    <t>Estimate!!Total:!!Male:!!Enrolled in school:!!Enrolled in graduate or professional school:</t>
  </si>
  <si>
    <t>B14002_023</t>
  </si>
  <si>
    <t>Estimate!!Total:!!Male:!!Enrolled in school:!!Enrolled in graduate or professional school:!!Public school</t>
  </si>
  <si>
    <t>B14002_024</t>
  </si>
  <si>
    <t>Estimate!!Total:!!Male:!!Enrolled in school:!!Enrolled in graduate or professional school:!!Private school</t>
  </si>
  <si>
    <t>B14002_025</t>
  </si>
  <si>
    <t>Estimate!!Total:!!Male:!!Not enrolled in school</t>
  </si>
  <si>
    <t>B14002_026</t>
  </si>
  <si>
    <t>B14002_027</t>
  </si>
  <si>
    <t>Estimate!!Total:!!Female:!!Enrolled in school:</t>
  </si>
  <si>
    <t>B14002_028</t>
  </si>
  <si>
    <t>Estimate!!Total:!!Female:!!Enrolled in school:!!Enrolled in nursery school, preschool:</t>
  </si>
  <si>
    <t>B14002_029</t>
  </si>
  <si>
    <t>Estimate!!Total:!!Female:!!Enrolled in school:!!Enrolled in nursery school, preschool:!!Public school</t>
  </si>
  <si>
    <t>B14002_030</t>
  </si>
  <si>
    <t>Estimate!!Total:!!Female:!!Enrolled in school:!!Enrolled in nursery school, preschool:!!Private school</t>
  </si>
  <si>
    <t>B14002_031</t>
  </si>
  <si>
    <t>Estimate!!Total:!!Female:!!Enrolled in school:!!Enrolled in kindergarten:</t>
  </si>
  <si>
    <t>B14002_032</t>
  </si>
  <si>
    <t>Estimate!!Total:!!Female:!!Enrolled in school:!!Enrolled in kindergarten:!!Public school</t>
  </si>
  <si>
    <t>B14002_033</t>
  </si>
  <si>
    <t>Estimate!!Total:!!Female:!!Enrolled in school:!!Enrolled in kindergarten:!!Private school</t>
  </si>
  <si>
    <t>B14002_034</t>
  </si>
  <si>
    <t>Estimate!!Total:!!Female:!!Enrolled in school:!!Enrolled in grade 1 to grade 4:</t>
  </si>
  <si>
    <t>B14002_035</t>
  </si>
  <si>
    <t>Estimate!!Total:!!Female:!!Enrolled in school:!!Enrolled in grade 1 to grade 4:!!Public school</t>
  </si>
  <si>
    <t>B14002_036</t>
  </si>
  <si>
    <t>Estimate!!Total:!!Female:!!Enrolled in school:!!Enrolled in grade 1 to grade 4:!!Private school</t>
  </si>
  <si>
    <t>B14002_037</t>
  </si>
  <si>
    <t>Estimate!!Total:!!Female:!!Enrolled in school:!!Enrolled in grade 5 to grade 8:</t>
  </si>
  <si>
    <t>B14002_038</t>
  </si>
  <si>
    <t>Estimate!!Total:!!Female:!!Enrolled in school:!!Enrolled in grade 5 to grade 8:!!Public school</t>
  </si>
  <si>
    <t>B14002_039</t>
  </si>
  <si>
    <t>Estimate!!Total:!!Female:!!Enrolled in school:!!Enrolled in grade 5 to grade 8:!!Private school</t>
  </si>
  <si>
    <t>B14002_040</t>
  </si>
  <si>
    <t>Estimate!!Total:!!Female:!!Enrolled in school:!!Enrolled in grade 9 to grade 12:</t>
  </si>
  <si>
    <t>B14002_041</t>
  </si>
  <si>
    <t>Estimate!!Total:!!Female:!!Enrolled in school:!!Enrolled in grade 9 to grade 12:!!Public school</t>
  </si>
  <si>
    <t>B14002_042</t>
  </si>
  <si>
    <t>Estimate!!Total:!!Female:!!Enrolled in school:!!Enrolled in grade 9 to grade 12:!!Private school</t>
  </si>
  <si>
    <t>B14002_043</t>
  </si>
  <si>
    <t>Estimate!!Total:!!Female:!!Enrolled in school:!!Enrolled in college undergraduate years:</t>
  </si>
  <si>
    <t>B14002_044</t>
  </si>
  <si>
    <t>Estimate!!Total:!!Female:!!Enrolled in school:!!Enrolled in college undergraduate years:!!Public school</t>
  </si>
  <si>
    <t>B14002_045</t>
  </si>
  <si>
    <t>Estimate!!Total:!!Female:!!Enrolled in school:!!Enrolled in college undergraduate years:!!Private school</t>
  </si>
  <si>
    <t>B14002_046</t>
  </si>
  <si>
    <t>Estimate!!Total:!!Female:!!Enrolled in school:!!Enrolled in graduate or professional school:</t>
  </si>
  <si>
    <t>B14002_047</t>
  </si>
  <si>
    <t>Estimate!!Total:!!Female:!!Enrolled in school:!!Enrolled in graduate or professional school:!!Public school</t>
  </si>
  <si>
    <t>B14002_048</t>
  </si>
  <si>
    <t>Estimate!!Total:!!Female:!!Enrolled in school:!!Enrolled in graduate or professional school:!!Private school</t>
  </si>
  <si>
    <t>B14002_049</t>
  </si>
  <si>
    <t>Estimate!!Total:!!Female:!!Not enrolled in school</t>
  </si>
  <si>
    <t>B14003_002</t>
  </si>
  <si>
    <t>B14003_003</t>
  </si>
  <si>
    <t>Estimate!!Total:!!Male:!!Enrolled in public school:</t>
  </si>
  <si>
    <t>B14003_004</t>
  </si>
  <si>
    <t>Estimate!!Total:!!Male:!!Enrolled in public school:!!3 and 4 years</t>
  </si>
  <si>
    <t>B14003_005</t>
  </si>
  <si>
    <t>Estimate!!Total:!!Male:!!Enrolled in public school:!!5 to 9 years</t>
  </si>
  <si>
    <t>B14003_006</t>
  </si>
  <si>
    <t>Estimate!!Total:!!Male:!!Enrolled in public school:!!10 to 14 years</t>
  </si>
  <si>
    <t>B14003_007</t>
  </si>
  <si>
    <t>Estimate!!Total:!!Male:!!Enrolled in public school:!!15 to 17 years</t>
  </si>
  <si>
    <t>B14003_008</t>
  </si>
  <si>
    <t>Estimate!!Total:!!Male:!!Enrolled in public school:!!18 and 19 years</t>
  </si>
  <si>
    <t>B14003_009</t>
  </si>
  <si>
    <t>Estimate!!Total:!!Male:!!Enrolled in public school:!!20 to 24 years</t>
  </si>
  <si>
    <t>B14003_010</t>
  </si>
  <si>
    <t>Estimate!!Total:!!Male:!!Enrolled in public school:!!25 to 34 years</t>
  </si>
  <si>
    <t>B14003_011</t>
  </si>
  <si>
    <t>Estimate!!Total:!!Male:!!Enrolled in public school:!!35 years and over</t>
  </si>
  <si>
    <t>B14003_012</t>
  </si>
  <si>
    <t>Estimate!!Total:!!Male:!!Enrolled in private school:</t>
  </si>
  <si>
    <t>B14003_013</t>
  </si>
  <si>
    <t>Estimate!!Total:!!Male:!!Enrolled in private school:!!3 and 4 years</t>
  </si>
  <si>
    <t>B14003_014</t>
  </si>
  <si>
    <t>Estimate!!Total:!!Male:!!Enrolled in private school:!!5 to 9 years</t>
  </si>
  <si>
    <t>B14003_015</t>
  </si>
  <si>
    <t>Estimate!!Total:!!Male:!!Enrolled in private school:!!10 to 14 years</t>
  </si>
  <si>
    <t>B14003_016</t>
  </si>
  <si>
    <t>Estimate!!Total:!!Male:!!Enrolled in private school:!!15 to 17 years</t>
  </si>
  <si>
    <t>B14003_017</t>
  </si>
  <si>
    <t>Estimate!!Total:!!Male:!!Enrolled in private school:!!18 and 19 years</t>
  </si>
  <si>
    <t>B14003_018</t>
  </si>
  <si>
    <t>Estimate!!Total:!!Male:!!Enrolled in private school:!!20 to 24 years</t>
  </si>
  <si>
    <t>B14003_019</t>
  </si>
  <si>
    <t>Estimate!!Total:!!Male:!!Enrolled in private school:!!25 to 34 years</t>
  </si>
  <si>
    <t>B14003_020</t>
  </si>
  <si>
    <t>Estimate!!Total:!!Male:!!Enrolled in private school:!!35 years and over</t>
  </si>
  <si>
    <t>B14003_021</t>
  </si>
  <si>
    <t>Estimate!!Total:!!Male:!!Not enrolled in school:</t>
  </si>
  <si>
    <t>B14003_022</t>
  </si>
  <si>
    <t>Estimate!!Total:!!Male:!!Not enrolled in school:!!3 and 4 years</t>
  </si>
  <si>
    <t>B14003_023</t>
  </si>
  <si>
    <t>Estimate!!Total:!!Male:!!Not enrolled in school:!!5 to 9 years</t>
  </si>
  <si>
    <t>B14003_024</t>
  </si>
  <si>
    <t>Estimate!!Total:!!Male:!!Not enrolled in school:!!10 to 14 years</t>
  </si>
  <si>
    <t>B14003_025</t>
  </si>
  <si>
    <t>Estimate!!Total:!!Male:!!Not enrolled in school:!!15 to 17 years</t>
  </si>
  <si>
    <t>B14003_026</t>
  </si>
  <si>
    <t>Estimate!!Total:!!Male:!!Not enrolled in school:!!18 and 19 years</t>
  </si>
  <si>
    <t>B14003_027</t>
  </si>
  <si>
    <t>Estimate!!Total:!!Male:!!Not enrolled in school:!!20 to 24 years</t>
  </si>
  <si>
    <t>B14003_028</t>
  </si>
  <si>
    <t>Estimate!!Total:!!Male:!!Not enrolled in school:!!25 to 34 years</t>
  </si>
  <si>
    <t>B14003_029</t>
  </si>
  <si>
    <t>Estimate!!Total:!!Male:!!Not enrolled in school:!!35 years and over</t>
  </si>
  <si>
    <t>B14003_030</t>
  </si>
  <si>
    <t>B14003_031</t>
  </si>
  <si>
    <t>Estimate!!Total:!!Female:!!Enrolled in public school:</t>
  </si>
  <si>
    <t>B14003_032</t>
  </si>
  <si>
    <t>Estimate!!Total:!!Female:!!Enrolled in public school:!!3 and 4 years</t>
  </si>
  <si>
    <t>B14003_033</t>
  </si>
  <si>
    <t>Estimate!!Total:!!Female:!!Enrolled in public school:!!5 to 9 years</t>
  </si>
  <si>
    <t>B14003_034</t>
  </si>
  <si>
    <t>Estimate!!Total:!!Female:!!Enrolled in public school:!!10 to 14 years</t>
  </si>
  <si>
    <t>B14003_035</t>
  </si>
  <si>
    <t>Estimate!!Total:!!Female:!!Enrolled in public school:!!15 to 17 years</t>
  </si>
  <si>
    <t>B14003_036</t>
  </si>
  <si>
    <t>Estimate!!Total:!!Female:!!Enrolled in public school:!!18 and 19 years</t>
  </si>
  <si>
    <t>B14003_037</t>
  </si>
  <si>
    <t>Estimate!!Total:!!Female:!!Enrolled in public school:!!20 to 24 years</t>
  </si>
  <si>
    <t>B14003_038</t>
  </si>
  <si>
    <t>Estimate!!Total:!!Female:!!Enrolled in public school:!!25 to 34 years</t>
  </si>
  <si>
    <t>B14003_039</t>
  </si>
  <si>
    <t>Estimate!!Total:!!Female:!!Enrolled in public school:!!35 years and over</t>
  </si>
  <si>
    <t>B14003_040</t>
  </si>
  <si>
    <t>Estimate!!Total:!!Female:!!Enrolled in private school:</t>
  </si>
  <si>
    <t>B14003_041</t>
  </si>
  <si>
    <t>Estimate!!Total:!!Female:!!Enrolled in private school:!!3 and 4 years</t>
  </si>
  <si>
    <t>B14003_042</t>
  </si>
  <si>
    <t>Estimate!!Total:!!Female:!!Enrolled in private school:!!5 to 9 years</t>
  </si>
  <si>
    <t>B14003_043</t>
  </si>
  <si>
    <t>Estimate!!Total:!!Female:!!Enrolled in private school:!!10 to 14 years</t>
  </si>
  <si>
    <t>B14003_044</t>
  </si>
  <si>
    <t>Estimate!!Total:!!Female:!!Enrolled in private school:!!15 to 17 years</t>
  </si>
  <si>
    <t>B14003_045</t>
  </si>
  <si>
    <t>Estimate!!Total:!!Female:!!Enrolled in private school:!!18 and 19 years</t>
  </si>
  <si>
    <t>B14003_046</t>
  </si>
  <si>
    <t>Estimate!!Total:!!Female:!!Enrolled in private school:!!20 to 24 years</t>
  </si>
  <si>
    <t>B14003_047</t>
  </si>
  <si>
    <t>Estimate!!Total:!!Female:!!Enrolled in private school:!!25 to 34 years</t>
  </si>
  <si>
    <t>B14003_048</t>
  </si>
  <si>
    <t>Estimate!!Total:!!Female:!!Enrolled in private school:!!35 years and over</t>
  </si>
  <si>
    <t>B14003_049</t>
  </si>
  <si>
    <t>Estimate!!Total:!!Female:!!Not enrolled in school:</t>
  </si>
  <si>
    <t>B14003_050</t>
  </si>
  <si>
    <t>Estimate!!Total:!!Female:!!Not enrolled in school:!!3 and 4 years</t>
  </si>
  <si>
    <t>B14003_051</t>
  </si>
  <si>
    <t>Estimate!!Total:!!Female:!!Not enrolled in school:!!5 to 9 years</t>
  </si>
  <si>
    <t>B14003_052</t>
  </si>
  <si>
    <t>Estimate!!Total:!!Female:!!Not enrolled in school:!!10 to 14 years</t>
  </si>
  <si>
    <t>B14003_053</t>
  </si>
  <si>
    <t>Estimate!!Total:!!Female:!!Not enrolled in school:!!15 to 17 years</t>
  </si>
  <si>
    <t>B14003_054</t>
  </si>
  <si>
    <t>Estimate!!Total:!!Female:!!Not enrolled in school:!!18 and 19 years</t>
  </si>
  <si>
    <t>B14003_055</t>
  </si>
  <si>
    <t>Estimate!!Total:!!Female:!!Not enrolled in school:!!20 to 24 years</t>
  </si>
  <si>
    <t>B14003_056</t>
  </si>
  <si>
    <t>Estimate!!Total:!!Female:!!Not enrolled in school:!!25 to 34 years</t>
  </si>
  <si>
    <t>B14003_057</t>
  </si>
  <si>
    <t>Estimate!!Total:!!Female:!!Not enrolled in school:!!35 years and over</t>
  </si>
  <si>
    <t>B14004_002</t>
  </si>
  <si>
    <t>B14004_003</t>
  </si>
  <si>
    <t>Estimate!!Total:!!Male:!!Enrolled in public college or graduate school:</t>
  </si>
  <si>
    <t>B14004_004</t>
  </si>
  <si>
    <t>Estimate!!Total:!!Male:!!Enrolled in public college or graduate school:!!15 to 17 years</t>
  </si>
  <si>
    <t>B14004_005</t>
  </si>
  <si>
    <t>Estimate!!Total:!!Male:!!Enrolled in public college or graduate school:!!18 to 24 years</t>
  </si>
  <si>
    <t>B14004_006</t>
  </si>
  <si>
    <t>Estimate!!Total:!!Male:!!Enrolled in public college or graduate school:!!25 to 34 years</t>
  </si>
  <si>
    <t>B14004_007</t>
  </si>
  <si>
    <t>Estimate!!Total:!!Male:!!Enrolled in public college or graduate school:!!35 years and over</t>
  </si>
  <si>
    <t>B14004_008</t>
  </si>
  <si>
    <t>Estimate!!Total:!!Male:!!Enrolled in private college or graduate school:</t>
  </si>
  <si>
    <t>B14004_009</t>
  </si>
  <si>
    <t>Estimate!!Total:!!Male:!!Enrolled in private college or graduate school:!!15 to 17 years</t>
  </si>
  <si>
    <t>B14004_010</t>
  </si>
  <si>
    <t>Estimate!!Total:!!Male:!!Enrolled in private college or graduate school:!!18 to 24 years</t>
  </si>
  <si>
    <t>B14004_011</t>
  </si>
  <si>
    <t>Estimate!!Total:!!Male:!!Enrolled in private college or graduate school:!!25 to 34 years</t>
  </si>
  <si>
    <t>B14004_012</t>
  </si>
  <si>
    <t>Estimate!!Total:!!Male:!!Enrolled in private college or graduate school:!!35 years and over</t>
  </si>
  <si>
    <t>B14004_013</t>
  </si>
  <si>
    <t>Estimate!!Total:!!Male:!!Not enrolled in college or graduate school:</t>
  </si>
  <si>
    <t>B14004_014</t>
  </si>
  <si>
    <t>Estimate!!Total:!!Male:!!Not enrolled in college or graduate school:!!15 to 17 years</t>
  </si>
  <si>
    <t>B14004_015</t>
  </si>
  <si>
    <t>Estimate!!Total:!!Male:!!Not enrolled in college or graduate school:!!18 to 24 years</t>
  </si>
  <si>
    <t>B14004_016</t>
  </si>
  <si>
    <t>Estimate!!Total:!!Male:!!Not enrolled in college or graduate school:!!25 to 34 years</t>
  </si>
  <si>
    <t>B14004_017</t>
  </si>
  <si>
    <t>Estimate!!Total:!!Male:!!Not enrolled in college or graduate school:!!35 years and over</t>
  </si>
  <si>
    <t>B14004_018</t>
  </si>
  <si>
    <t>B14004_019</t>
  </si>
  <si>
    <t>Estimate!!Total:!!Female:!!Enrolled in public college or graduate school:</t>
  </si>
  <si>
    <t>B14004_020</t>
  </si>
  <si>
    <t>Estimate!!Total:!!Female:!!Enrolled in public college or graduate school:!!15 to 17 years</t>
  </si>
  <si>
    <t>B14004_021</t>
  </si>
  <si>
    <t>Estimate!!Total:!!Female:!!Enrolled in public college or graduate school:!!18 to 24 years</t>
  </si>
  <si>
    <t>B14004_022</t>
  </si>
  <si>
    <t>Estimate!!Total:!!Female:!!Enrolled in public college or graduate school:!!25 to 34 years</t>
  </si>
  <si>
    <t>B14004_023</t>
  </si>
  <si>
    <t>Estimate!!Total:!!Female:!!Enrolled in public college or graduate school:!!35 years and over</t>
  </si>
  <si>
    <t>B14004_024</t>
  </si>
  <si>
    <t>Estimate!!Total:!!Female:!!Enrolled in private college or graduate school:</t>
  </si>
  <si>
    <t>B14004_025</t>
  </si>
  <si>
    <t>Estimate!!Total:!!Female:!!Enrolled in private college or graduate school:!!15 to 17 years</t>
  </si>
  <si>
    <t>B14004_026</t>
  </si>
  <si>
    <t>Estimate!!Total:!!Female:!!Enrolled in private college or graduate school:!!18 to 24 years</t>
  </si>
  <si>
    <t>B14004_027</t>
  </si>
  <si>
    <t>Estimate!!Total:!!Female:!!Enrolled in private college or graduate school:!!25 to 34 years</t>
  </si>
  <si>
    <t>B14004_028</t>
  </si>
  <si>
    <t>Estimate!!Total:!!Female:!!Enrolled in private college or graduate school:!!35 years and over</t>
  </si>
  <si>
    <t>B14004_029</t>
  </si>
  <si>
    <t>Estimate!!Total:!!Female:!!Not enrolled in college or graduate school:</t>
  </si>
  <si>
    <t>B14004_030</t>
  </si>
  <si>
    <t>Estimate!!Total:!!Female:!!Not enrolled in college or graduate school:!!15 to 17 years</t>
  </si>
  <si>
    <t>B14004_031</t>
  </si>
  <si>
    <t>Estimate!!Total:!!Female:!!Not enrolled in college or graduate school:!!18 to 24 years</t>
  </si>
  <si>
    <t>B14004_032</t>
  </si>
  <si>
    <t>Estimate!!Total:!!Female:!!Not enrolled in college or graduate school:!!25 to 34 years</t>
  </si>
  <si>
    <t>B14004_033</t>
  </si>
  <si>
    <t>Estimate!!Total:!!Female:!!Not enrolled in college or graduate school:!!35 years and over</t>
  </si>
  <si>
    <t>B14005_002</t>
  </si>
  <si>
    <t>B14005_003</t>
  </si>
  <si>
    <t>B14005_004</t>
  </si>
  <si>
    <t>Estimate!!Total:!!Male:!!Enrolled in school:!!Employed</t>
  </si>
  <si>
    <t>B14005_005</t>
  </si>
  <si>
    <t>Estimate!!Total:!!Male:!!Enrolled in school:!!Unemployed</t>
  </si>
  <si>
    <t>B14005_006</t>
  </si>
  <si>
    <t>Estimate!!Total:!!Male:!!Enrolled in school:!!Not in labor force</t>
  </si>
  <si>
    <t>B14005_007</t>
  </si>
  <si>
    <t>B14005_008</t>
  </si>
  <si>
    <t>Estimate!!Total:!!Male:!!Not enrolled in school:!!High school graduate (includes equivalency):</t>
  </si>
  <si>
    <t>B14005_009</t>
  </si>
  <si>
    <t>Estimate!!Total:!!Male:!!Not enrolled in school:!!High school graduate (includes equivalency):!!Employed</t>
  </si>
  <si>
    <t>B14005_010</t>
  </si>
  <si>
    <t>Estimate!!Total:!!Male:!!Not enrolled in school:!!High school graduate (includes equivalency):!!Unemployed</t>
  </si>
  <si>
    <t>B14005_011</t>
  </si>
  <si>
    <t>Estimate!!Total:!!Male:!!Not enrolled in school:!!High school graduate (includes equivalency):!!Not in labor force</t>
  </si>
  <si>
    <t>B14005_012</t>
  </si>
  <si>
    <t>Estimate!!Total:!!Male:!!Not enrolled in school:!!Not high school graduate:</t>
  </si>
  <si>
    <t>B14005_013</t>
  </si>
  <si>
    <t>Estimate!!Total:!!Male:!!Not enrolled in school:!!Not high school graduate:!!Employed</t>
  </si>
  <si>
    <t>B14005_014</t>
  </si>
  <si>
    <t>Estimate!!Total:!!Male:!!Not enrolled in school:!!Not high school graduate:!!Unemployed</t>
  </si>
  <si>
    <t>B14005_015</t>
  </si>
  <si>
    <t>Estimate!!Total:!!Male:!!Not enrolled in school:!!Not high school graduate:!!Not in labor force</t>
  </si>
  <si>
    <t>B14005_016</t>
  </si>
  <si>
    <t>B14005_017</t>
  </si>
  <si>
    <t>B14005_018</t>
  </si>
  <si>
    <t>Estimate!!Total:!!Female:!!Enrolled in school:!!Employed</t>
  </si>
  <si>
    <t>B14005_019</t>
  </si>
  <si>
    <t>Estimate!!Total:!!Female:!!Enrolled in school:!!Unemployed</t>
  </si>
  <si>
    <t>B14005_020</t>
  </si>
  <si>
    <t>Estimate!!Total:!!Female:!!Enrolled in school:!!Not in labor force</t>
  </si>
  <si>
    <t>B14005_021</t>
  </si>
  <si>
    <t>B14005_022</t>
  </si>
  <si>
    <t>Estimate!!Total:!!Female:!!Not enrolled in school:!!High school graduate (includes equivalency):</t>
  </si>
  <si>
    <t>B14005_023</t>
  </si>
  <si>
    <t>Estimate!!Total:!!Female:!!Not enrolled in school:!!High school graduate (includes equivalency):!!Employed</t>
  </si>
  <si>
    <t>B14005_024</t>
  </si>
  <si>
    <t>Estimate!!Total:!!Female:!!Not enrolled in school:!!High school graduate (includes equivalency):!!Unemployed</t>
  </si>
  <si>
    <t>B14005_025</t>
  </si>
  <si>
    <t>Estimate!!Total:!!Female:!!Not enrolled in school:!!High school graduate (includes equivalency):!!Not in labor force</t>
  </si>
  <si>
    <t>B14005_026</t>
  </si>
  <si>
    <t>Estimate!!Total:!!Female:!!Not enrolled in school:!!Not high school graduate:</t>
  </si>
  <si>
    <t>B14005_027</t>
  </si>
  <si>
    <t>Estimate!!Total:!!Female:!!Not enrolled in school:!!Not high school graduate:!!Employed</t>
  </si>
  <si>
    <t>B14005_028</t>
  </si>
  <si>
    <t>Estimate!!Total:!!Female:!!Not enrolled in school:!!Not high school graduate:!!Unemployed</t>
  </si>
  <si>
    <t>B14005_029</t>
  </si>
  <si>
    <t>Estimate!!Total:!!Female:!!Not enrolled in school:!!Not high school graduate:!!Not in labor force</t>
  </si>
  <si>
    <t>B14006_002</t>
  </si>
  <si>
    <t>Estimate!!Total:!!Income in the past 12 months below the poverty level:</t>
  </si>
  <si>
    <t>B14006_003</t>
  </si>
  <si>
    <t>Estimate!!Total:!!Income in the past 12 months below the poverty level:!!Enrolled in school:</t>
  </si>
  <si>
    <t>B14006_004</t>
  </si>
  <si>
    <t>Estimate!!Total:!!Income in the past 12 months below the poverty level:!!Enrolled in school:!!Enrolled in nursery school, preschool</t>
  </si>
  <si>
    <t>B14006_005</t>
  </si>
  <si>
    <t>Estimate!!Total:!!Income in the past 12 months below the poverty level:!!Enrolled in school:!!Enrolled in kindergarten</t>
  </si>
  <si>
    <t>B14006_006</t>
  </si>
  <si>
    <t>Estimate!!Total:!!Income in the past 12 months below the poverty level:!!Enrolled in school:!!Enrolled in grade 1 to grade 4</t>
  </si>
  <si>
    <t>B14006_007</t>
  </si>
  <si>
    <t>Estimate!!Total:!!Income in the past 12 months below the poverty level:!!Enrolled in school:!!Enrolled in grade 5 to grade 8</t>
  </si>
  <si>
    <t>B14006_008</t>
  </si>
  <si>
    <t>Estimate!!Total:!!Income in the past 12 months below the poverty level:!!Enrolled in school:!!Enrolled in grade 9 to grade 12</t>
  </si>
  <si>
    <t>B14006_009</t>
  </si>
  <si>
    <t>Estimate!!Total:!!Income in the past 12 months below the poverty level:!!Enrolled in school:!!Enrolled in college undergraduate years</t>
  </si>
  <si>
    <t>B14006_010</t>
  </si>
  <si>
    <t>Estimate!!Total:!!Income in the past 12 months below the poverty level:!!Enrolled in school:!!Enrolled in graduate or professional school</t>
  </si>
  <si>
    <t>B14006_011</t>
  </si>
  <si>
    <t>Estimate!!Total:!!Income in the past 12 months below the poverty level:!!Not enrolled in school</t>
  </si>
  <si>
    <t>B14006_012</t>
  </si>
  <si>
    <t>Estimate!!Total:!!Income in the past 12 months at or above the poverty level:</t>
  </si>
  <si>
    <t>B14006_013</t>
  </si>
  <si>
    <t>Estimate!!Total:!!Income in the past 12 months at or above the poverty level:!!Enrolled in school:</t>
  </si>
  <si>
    <t>B14006_014</t>
  </si>
  <si>
    <t>Estimate!!Total:!!Income in the past 12 months at or above the poverty level:!!Enrolled in school:!!Enrolled in nursery school, preschool</t>
  </si>
  <si>
    <t>B14006_015</t>
  </si>
  <si>
    <t>Estimate!!Total:!!Income in the past 12 months at or above the poverty level:!!Enrolled in school:!!Enrolled in kindergarten</t>
  </si>
  <si>
    <t>B14006_016</t>
  </si>
  <si>
    <t>Estimate!!Total:!!Income in the past 12 months at or above the poverty level:!!Enrolled in school:!!Enrolled in grade 1 to grade 4</t>
  </si>
  <si>
    <t>B14006_017</t>
  </si>
  <si>
    <t>Estimate!!Total:!!Income in the past 12 months at or above the poverty level:!!Enrolled in school:!!Enrolled in grade 5 to grade 8</t>
  </si>
  <si>
    <t>B14006_018</t>
  </si>
  <si>
    <t>Estimate!!Total:!!Income in the past 12 months at or above the poverty level:!!Enrolled in school:!!Enrolled in grade 9 to grade 12</t>
  </si>
  <si>
    <t>B14006_019</t>
  </si>
  <si>
    <t>Estimate!!Total:!!Income in the past 12 months at or above the poverty level:!!Enrolled in school:!!Enrolled in college undergraduate years</t>
  </si>
  <si>
    <t>B14006_020</t>
  </si>
  <si>
    <t>Estimate!!Total:!!Income in the past 12 months at or above the poverty level:!!Enrolled in school:!!Enrolled in graduate or professional school</t>
  </si>
  <si>
    <t>B14006_021</t>
  </si>
  <si>
    <t>Estimate!!Total:!!Income in the past 12 months at or above the poverty level:!!Not enrolled in school</t>
  </si>
  <si>
    <t>B14007A_002</t>
  </si>
  <si>
    <t>B14007A_003</t>
  </si>
  <si>
    <t>B14007A_004</t>
  </si>
  <si>
    <t>B14007A_005</t>
  </si>
  <si>
    <t>Estimate!!Total:!!Enrolled in school:!!Enrolled in grade 1</t>
  </si>
  <si>
    <t>B14007A_006</t>
  </si>
  <si>
    <t>Estimate!!Total:!!Enrolled in school:!!Enrolled in grade 2</t>
  </si>
  <si>
    <t>B14007A_007</t>
  </si>
  <si>
    <t>Estimate!!Total:!!Enrolled in school:!!Enrolled in grade 3</t>
  </si>
  <si>
    <t>B14007A_008</t>
  </si>
  <si>
    <t>Estimate!!Total:!!Enrolled in school:!!Enrolled in grade 4</t>
  </si>
  <si>
    <t>B14007A_009</t>
  </si>
  <si>
    <t>Estimate!!Total:!!Enrolled in school:!!Enrolled in grade 5</t>
  </si>
  <si>
    <t>B14007A_010</t>
  </si>
  <si>
    <t>Estimate!!Total:!!Enrolled in school:!!Enrolled in grade 6</t>
  </si>
  <si>
    <t>B14007A_011</t>
  </si>
  <si>
    <t>Estimate!!Total:!!Enrolled in school:!!Enrolled in grade 7</t>
  </si>
  <si>
    <t>B14007A_012</t>
  </si>
  <si>
    <t>Estimate!!Total:!!Enrolled in school:!!Enrolled in grade 8</t>
  </si>
  <si>
    <t>B14007A_013</t>
  </si>
  <si>
    <t>Estimate!!Total:!!Enrolled in school:!!Enrolled in grade 9</t>
  </si>
  <si>
    <t>B14007A_014</t>
  </si>
  <si>
    <t>Estimate!!Total:!!Enrolled in school:!!Enrolled in grade 10</t>
  </si>
  <si>
    <t>B14007A_015</t>
  </si>
  <si>
    <t>Estimate!!Total:!!Enrolled in school:!!Enrolled in grade 11</t>
  </si>
  <si>
    <t>B14007A_016</t>
  </si>
  <si>
    <t>Estimate!!Total:!!Enrolled in school:!!Enrolled in grade 12</t>
  </si>
  <si>
    <t>B14007A_017</t>
  </si>
  <si>
    <t>B14007A_018</t>
  </si>
  <si>
    <t>B14007A_019</t>
  </si>
  <si>
    <t>B14007B_002</t>
  </si>
  <si>
    <t>B14007B_003</t>
  </si>
  <si>
    <t>B14007B_004</t>
  </si>
  <si>
    <t>B14007B_005</t>
  </si>
  <si>
    <t>B14007B_006</t>
  </si>
  <si>
    <t>B14007B_007</t>
  </si>
  <si>
    <t>B14007B_008</t>
  </si>
  <si>
    <t>B14007B_009</t>
  </si>
  <si>
    <t>B14007B_010</t>
  </si>
  <si>
    <t>B14007B_011</t>
  </si>
  <si>
    <t>B14007B_012</t>
  </si>
  <si>
    <t>B14007B_013</t>
  </si>
  <si>
    <t>B14007B_014</t>
  </si>
  <si>
    <t>B14007B_015</t>
  </si>
  <si>
    <t>B14007B_016</t>
  </si>
  <si>
    <t>B14007B_017</t>
  </si>
  <si>
    <t>B14007B_018</t>
  </si>
  <si>
    <t>B14007B_019</t>
  </si>
  <si>
    <t>B14007C_002</t>
  </si>
  <si>
    <t>B14007C_003</t>
  </si>
  <si>
    <t>B14007C_004</t>
  </si>
  <si>
    <t>B14007C_005</t>
  </si>
  <si>
    <t>B14007C_006</t>
  </si>
  <si>
    <t>B14007C_007</t>
  </si>
  <si>
    <t>B14007C_008</t>
  </si>
  <si>
    <t>B14007C_009</t>
  </si>
  <si>
    <t>B14007C_010</t>
  </si>
  <si>
    <t>B14007C_011</t>
  </si>
  <si>
    <t>B14007C_012</t>
  </si>
  <si>
    <t>B14007C_013</t>
  </si>
  <si>
    <t>B14007C_014</t>
  </si>
  <si>
    <t>B14007C_015</t>
  </si>
  <si>
    <t>B14007C_016</t>
  </si>
  <si>
    <t>B14007C_017</t>
  </si>
  <si>
    <t>B14007C_018</t>
  </si>
  <si>
    <t>B14007C_019</t>
  </si>
  <si>
    <t>B14007D_002</t>
  </si>
  <si>
    <t>B14007D_003</t>
  </si>
  <si>
    <t>B14007D_004</t>
  </si>
  <si>
    <t>B14007D_005</t>
  </si>
  <si>
    <t>B14007D_006</t>
  </si>
  <si>
    <t>B14007D_007</t>
  </si>
  <si>
    <t>B14007D_008</t>
  </si>
  <si>
    <t>B14007D_009</t>
  </si>
  <si>
    <t>B14007D_010</t>
  </si>
  <si>
    <t>B14007D_011</t>
  </si>
  <si>
    <t>B14007D_012</t>
  </si>
  <si>
    <t>B14007D_013</t>
  </si>
  <si>
    <t>B14007D_014</t>
  </si>
  <si>
    <t>B14007D_015</t>
  </si>
  <si>
    <t>B14007D_016</t>
  </si>
  <si>
    <t>B14007D_017</t>
  </si>
  <si>
    <t>B14007D_018</t>
  </si>
  <si>
    <t>B14007D_019</t>
  </si>
  <si>
    <t>B14007E_002</t>
  </si>
  <si>
    <t>B14007E_003</t>
  </si>
  <si>
    <t>B14007E_004</t>
  </si>
  <si>
    <t>B14007E_005</t>
  </si>
  <si>
    <t>B14007E_006</t>
  </si>
  <si>
    <t>B14007E_007</t>
  </si>
  <si>
    <t>B14007E_008</t>
  </si>
  <si>
    <t>B14007E_009</t>
  </si>
  <si>
    <t>B14007E_010</t>
  </si>
  <si>
    <t>B14007E_011</t>
  </si>
  <si>
    <t>B14007E_012</t>
  </si>
  <si>
    <t>B14007E_013</t>
  </si>
  <si>
    <t>B14007E_014</t>
  </si>
  <si>
    <t>B14007E_015</t>
  </si>
  <si>
    <t>B14007E_016</t>
  </si>
  <si>
    <t>B14007E_017</t>
  </si>
  <si>
    <t>B14007E_018</t>
  </si>
  <si>
    <t>B14007E_019</t>
  </si>
  <si>
    <t>B14007F_002</t>
  </si>
  <si>
    <t>B14007F_003</t>
  </si>
  <si>
    <t>B14007F_004</t>
  </si>
  <si>
    <t>B14007F_005</t>
  </si>
  <si>
    <t>B14007F_006</t>
  </si>
  <si>
    <t>B14007F_007</t>
  </si>
  <si>
    <t>B14007F_008</t>
  </si>
  <si>
    <t>B14007F_009</t>
  </si>
  <si>
    <t>B14007F_010</t>
  </si>
  <si>
    <t>B14007F_011</t>
  </si>
  <si>
    <t>B14007F_012</t>
  </si>
  <si>
    <t>B14007F_013</t>
  </si>
  <si>
    <t>B14007F_014</t>
  </si>
  <si>
    <t>B14007F_015</t>
  </si>
  <si>
    <t>B14007F_016</t>
  </si>
  <si>
    <t>B14007F_017</t>
  </si>
  <si>
    <t>B14007F_018</t>
  </si>
  <si>
    <t>B14007F_019</t>
  </si>
  <si>
    <t>B14007G_002</t>
  </si>
  <si>
    <t>B14007G_003</t>
  </si>
  <si>
    <t>B14007G_004</t>
  </si>
  <si>
    <t>B14007G_005</t>
  </si>
  <si>
    <t>B14007G_006</t>
  </si>
  <si>
    <t>B14007G_007</t>
  </si>
  <si>
    <t>B14007G_008</t>
  </si>
  <si>
    <t>B14007G_009</t>
  </si>
  <si>
    <t>B14007G_010</t>
  </si>
  <si>
    <t>B14007G_011</t>
  </si>
  <si>
    <t>B14007G_012</t>
  </si>
  <si>
    <t>B14007G_013</t>
  </si>
  <si>
    <t>B14007G_014</t>
  </si>
  <si>
    <t>B14007G_015</t>
  </si>
  <si>
    <t>B14007G_016</t>
  </si>
  <si>
    <t>B14007G_017</t>
  </si>
  <si>
    <t>B14007G_018</t>
  </si>
  <si>
    <t>B14007G_019</t>
  </si>
  <si>
    <t>B14007H_002</t>
  </si>
  <si>
    <t>B14007H_003</t>
  </si>
  <si>
    <t>B14007H_004</t>
  </si>
  <si>
    <t>B14007H_005</t>
  </si>
  <si>
    <t>B14007H_006</t>
  </si>
  <si>
    <t>B14007H_007</t>
  </si>
  <si>
    <t>B14007H_008</t>
  </si>
  <si>
    <t>B14007H_009</t>
  </si>
  <si>
    <t>B14007H_010</t>
  </si>
  <si>
    <t>B14007H_011</t>
  </si>
  <si>
    <t>B14007H_012</t>
  </si>
  <si>
    <t>B14007H_013</t>
  </si>
  <si>
    <t>B14007H_014</t>
  </si>
  <si>
    <t>B14007H_015</t>
  </si>
  <si>
    <t>B14007H_016</t>
  </si>
  <si>
    <t>B14007H_017</t>
  </si>
  <si>
    <t>B14007H_018</t>
  </si>
  <si>
    <t>B14007H_019</t>
  </si>
  <si>
    <t>B14007I_002</t>
  </si>
  <si>
    <t>B14007I_003</t>
  </si>
  <si>
    <t>B14007I_004</t>
  </si>
  <si>
    <t>B14007I_005</t>
  </si>
  <si>
    <t>B14007I_006</t>
  </si>
  <si>
    <t>B14007I_007</t>
  </si>
  <si>
    <t>B14007I_008</t>
  </si>
  <si>
    <t>B14007I_009</t>
  </si>
  <si>
    <t>B14007I_010</t>
  </si>
  <si>
    <t>B14007I_011</t>
  </si>
  <si>
    <t>B14007I_012</t>
  </si>
  <si>
    <t>B14007I_013</t>
  </si>
  <si>
    <t>B14007I_014</t>
  </si>
  <si>
    <t>B14007I_015</t>
  </si>
  <si>
    <t>B14007I_016</t>
  </si>
  <si>
    <t>B14007I_017</t>
  </si>
  <si>
    <t>B14007I_018</t>
  </si>
  <si>
    <t>B14007I_019</t>
  </si>
  <si>
    <t>B14007_002</t>
  </si>
  <si>
    <t>B14007_003</t>
  </si>
  <si>
    <t>B14007_004</t>
  </si>
  <si>
    <t>B14007_005</t>
  </si>
  <si>
    <t>B14007_006</t>
  </si>
  <si>
    <t>B14007_007</t>
  </si>
  <si>
    <t>B14007_008</t>
  </si>
  <si>
    <t>B14007_009</t>
  </si>
  <si>
    <t>B14007_010</t>
  </si>
  <si>
    <t>B14007_011</t>
  </si>
  <si>
    <t>B14007_012</t>
  </si>
  <si>
    <t>B14007_013</t>
  </si>
  <si>
    <t>B14007_014</t>
  </si>
  <si>
    <t>B14007_015</t>
  </si>
  <si>
    <t>B14007_016</t>
  </si>
  <si>
    <t>B14007_017</t>
  </si>
  <si>
    <t>B14007_018</t>
  </si>
  <si>
    <t>B14007_019</t>
  </si>
  <si>
    <t>B15001_002</t>
  </si>
  <si>
    <t>B15001_003</t>
  </si>
  <si>
    <t>Estimate!!Total:!!Male:!!18 to 24 years:</t>
  </si>
  <si>
    <t>B15001_004</t>
  </si>
  <si>
    <t>Estimate!!Total:!!Male:!!18 to 24 years:!!Less than 9th grade</t>
  </si>
  <si>
    <t>B15001_005</t>
  </si>
  <si>
    <t>Estimate!!Total:!!Male:!!18 to 24 years:!!9th to 12th grade, no diploma</t>
  </si>
  <si>
    <t>B15001_006</t>
  </si>
  <si>
    <t>Estimate!!Total:!!Male:!!18 to 24 years:!!High school graduate (includes equivalency)</t>
  </si>
  <si>
    <t>B15001_007</t>
  </si>
  <si>
    <t>Estimate!!Total:!!Male:!!18 to 24 years:!!Some college, no degree</t>
  </si>
  <si>
    <t>B15001_008</t>
  </si>
  <si>
    <t>Estimate!!Total:!!Male:!!18 to 24 years:!!Associate's degree</t>
  </si>
  <si>
    <t>B15001_009</t>
  </si>
  <si>
    <t>Estimate!!Total:!!Male:!!18 to 24 years:!!Bachelor's degree</t>
  </si>
  <si>
    <t>B15001_010</t>
  </si>
  <si>
    <t>Estimate!!Total:!!Male:!!18 to 24 years:!!Graduate or professional degree</t>
  </si>
  <si>
    <t>B15001_011</t>
  </si>
  <si>
    <t>Estimate!!Total:!!Male:!!25 to 34 years:</t>
  </si>
  <si>
    <t>B15001_012</t>
  </si>
  <si>
    <t>Estimate!!Total:!!Male:!!25 to 34 years:!!Less than 9th grade</t>
  </si>
  <si>
    <t>B15001_013</t>
  </si>
  <si>
    <t>Estimate!!Total:!!Male:!!25 to 34 years:!!9th to 12th grade, no diploma</t>
  </si>
  <si>
    <t>B15001_014</t>
  </si>
  <si>
    <t>Estimate!!Total:!!Male:!!25 to 34 years:!!High school graduate (includes equivalency)</t>
  </si>
  <si>
    <t>B15001_015</t>
  </si>
  <si>
    <t>Estimate!!Total:!!Male:!!25 to 34 years:!!Some college, no degree</t>
  </si>
  <si>
    <t>B15001_016</t>
  </si>
  <si>
    <t>Estimate!!Total:!!Male:!!25 to 34 years:!!Associate's degree</t>
  </si>
  <si>
    <t>B15001_017</t>
  </si>
  <si>
    <t>Estimate!!Total:!!Male:!!25 to 34 years:!!Bachelor's degree</t>
  </si>
  <si>
    <t>B15001_018</t>
  </si>
  <si>
    <t>Estimate!!Total:!!Male:!!25 to 34 years:!!Graduate or professional degree</t>
  </si>
  <si>
    <t>B15001_019</t>
  </si>
  <si>
    <t>Estimate!!Total:!!Male:!!35 to 44 years:</t>
  </si>
  <si>
    <t>B15001_020</t>
  </si>
  <si>
    <t>Estimate!!Total:!!Male:!!35 to 44 years:!!Less than 9th grade</t>
  </si>
  <si>
    <t>B15001_021</t>
  </si>
  <si>
    <t>Estimate!!Total:!!Male:!!35 to 44 years:!!9th to 12th grade, no diploma</t>
  </si>
  <si>
    <t>B15001_022</t>
  </si>
  <si>
    <t>Estimate!!Total:!!Male:!!35 to 44 years:!!High school graduate (includes equivalency)</t>
  </si>
  <si>
    <t>B15001_023</t>
  </si>
  <si>
    <t>Estimate!!Total:!!Male:!!35 to 44 years:!!Some college, no degree</t>
  </si>
  <si>
    <t>B15001_024</t>
  </si>
  <si>
    <t>Estimate!!Total:!!Male:!!35 to 44 years:!!Associate's degree</t>
  </si>
  <si>
    <t>B15001_025</t>
  </si>
  <si>
    <t>Estimate!!Total:!!Male:!!35 to 44 years:!!Bachelor's degree</t>
  </si>
  <si>
    <t>B15001_026</t>
  </si>
  <si>
    <t>Estimate!!Total:!!Male:!!35 to 44 years:!!Graduate or professional degree</t>
  </si>
  <si>
    <t>B15001_027</t>
  </si>
  <si>
    <t>Estimate!!Total:!!Male:!!45 to 64 years:</t>
  </si>
  <si>
    <t>B15001_028</t>
  </si>
  <si>
    <t>Estimate!!Total:!!Male:!!45 to 64 years:!!Less than 9th grade</t>
  </si>
  <si>
    <t>B15001_029</t>
  </si>
  <si>
    <t>Estimate!!Total:!!Male:!!45 to 64 years:!!9th to 12th grade, no diploma</t>
  </si>
  <si>
    <t>B15001_030</t>
  </si>
  <si>
    <t>Estimate!!Total:!!Male:!!45 to 64 years:!!High school graduate (includes equivalency)</t>
  </si>
  <si>
    <t>B15001_031</t>
  </si>
  <si>
    <t>Estimate!!Total:!!Male:!!45 to 64 years:!!Some college, no degree</t>
  </si>
  <si>
    <t>B15001_032</t>
  </si>
  <si>
    <t>Estimate!!Total:!!Male:!!45 to 64 years:!!Associate's degree</t>
  </si>
  <si>
    <t>B15001_033</t>
  </si>
  <si>
    <t>Estimate!!Total:!!Male:!!45 to 64 years:!!Bachelor's degree</t>
  </si>
  <si>
    <t>B15001_034</t>
  </si>
  <si>
    <t>Estimate!!Total:!!Male:!!45 to 64 years:!!Graduate or professional degree</t>
  </si>
  <si>
    <t>B15001_035</t>
  </si>
  <si>
    <t>Estimate!!Total:!!Male:!!65 years and over:</t>
  </si>
  <si>
    <t>B15001_036</t>
  </si>
  <si>
    <t>Estimate!!Total:!!Male:!!65 years and over:!!Less than 9th grade</t>
  </si>
  <si>
    <t>B15001_037</t>
  </si>
  <si>
    <t>Estimate!!Total:!!Male:!!65 years and over:!!9th to 12th grade, no diploma</t>
  </si>
  <si>
    <t>B15001_038</t>
  </si>
  <si>
    <t>Estimate!!Total:!!Male:!!65 years and over:!!High school graduate (includes equivalency)</t>
  </si>
  <si>
    <t>B15001_039</t>
  </si>
  <si>
    <t>Estimate!!Total:!!Male:!!65 years and over:!!Some college, no degree</t>
  </si>
  <si>
    <t>B15001_040</t>
  </si>
  <si>
    <t>Estimate!!Total:!!Male:!!65 years and over:!!Associate's degree</t>
  </si>
  <si>
    <t>B15001_041</t>
  </si>
  <si>
    <t>Estimate!!Total:!!Male:!!65 years and over:!!Bachelor's degree</t>
  </si>
  <si>
    <t>B15001_042</t>
  </si>
  <si>
    <t>Estimate!!Total:!!Male:!!65 years and over:!!Graduate or professional degree</t>
  </si>
  <si>
    <t>B15001_043</t>
  </si>
  <si>
    <t>B15001_044</t>
  </si>
  <si>
    <t>Estimate!!Total:!!Female:!!18 to 24 years:</t>
  </si>
  <si>
    <t>B15001_045</t>
  </si>
  <si>
    <t>Estimate!!Total:!!Female:!!18 to 24 years:!!Less than 9th grade</t>
  </si>
  <si>
    <t>B15001_046</t>
  </si>
  <si>
    <t>Estimate!!Total:!!Female:!!18 to 24 years:!!9th to 12th grade, no diploma</t>
  </si>
  <si>
    <t>B15001_047</t>
  </si>
  <si>
    <t>Estimate!!Total:!!Female:!!18 to 24 years:!!High school graduate (includes equivalency)</t>
  </si>
  <si>
    <t>B15001_048</t>
  </si>
  <si>
    <t>Estimate!!Total:!!Female:!!18 to 24 years:!!Some college, no degree</t>
  </si>
  <si>
    <t>B15001_049</t>
  </si>
  <si>
    <t>Estimate!!Total:!!Female:!!18 to 24 years:!!Associate's degree</t>
  </si>
  <si>
    <t>B15001_050</t>
  </si>
  <si>
    <t>Estimate!!Total:!!Female:!!18 to 24 years:!!Bachelor's degree</t>
  </si>
  <si>
    <t>B15001_051</t>
  </si>
  <si>
    <t>Estimate!!Total:!!Female:!!18 to 24 years:!!Graduate or professional degree</t>
  </si>
  <si>
    <t>B15001_052</t>
  </si>
  <si>
    <t>Estimate!!Total:!!Female:!!25 to 34 years:</t>
  </si>
  <si>
    <t>B15001_053</t>
  </si>
  <si>
    <t>Estimate!!Total:!!Female:!!25 to 34 years:!!Less than 9th grade</t>
  </si>
  <si>
    <t>B15001_054</t>
  </si>
  <si>
    <t>Estimate!!Total:!!Female:!!25 to 34 years:!!9th to 12th grade, no diploma</t>
  </si>
  <si>
    <t>B15001_055</t>
  </si>
  <si>
    <t>Estimate!!Total:!!Female:!!25 to 34 years:!!High school graduate (includes equivalency)</t>
  </si>
  <si>
    <t>B15001_056</t>
  </si>
  <si>
    <t>Estimate!!Total:!!Female:!!25 to 34 years:!!Some college, no degree</t>
  </si>
  <si>
    <t>B15001_057</t>
  </si>
  <si>
    <t>Estimate!!Total:!!Female:!!25 to 34 years:!!Associate's degree</t>
  </si>
  <si>
    <t>B15001_058</t>
  </si>
  <si>
    <t>Estimate!!Total:!!Female:!!25 to 34 years:!!Bachelor's degree</t>
  </si>
  <si>
    <t>B15001_059</t>
  </si>
  <si>
    <t>Estimate!!Total:!!Female:!!25 to 34 years:!!Graduate or professional degree</t>
  </si>
  <si>
    <t>B15001_060</t>
  </si>
  <si>
    <t>Estimate!!Total:!!Female:!!35 to 44 years:</t>
  </si>
  <si>
    <t>B15001_061</t>
  </si>
  <si>
    <t>Estimate!!Total:!!Female:!!35 to 44 years:!!Less than 9th grade</t>
  </si>
  <si>
    <t>B15001_062</t>
  </si>
  <si>
    <t>Estimate!!Total:!!Female:!!35 to 44 years:!!9th to 12th grade, no diploma</t>
  </si>
  <si>
    <t>B15001_063</t>
  </si>
  <si>
    <t>Estimate!!Total:!!Female:!!35 to 44 years:!!High school graduate (includes equivalency)</t>
  </si>
  <si>
    <t>B15001_064</t>
  </si>
  <si>
    <t>Estimate!!Total:!!Female:!!35 to 44 years:!!Some college, no degree</t>
  </si>
  <si>
    <t>B15001_065</t>
  </si>
  <si>
    <t>Estimate!!Total:!!Female:!!35 to 44 years:!!Associate's degree</t>
  </si>
  <si>
    <t>B15001_066</t>
  </si>
  <si>
    <t>Estimate!!Total:!!Female:!!35 to 44 years:!!Bachelor's degree</t>
  </si>
  <si>
    <t>B15001_067</t>
  </si>
  <si>
    <t>Estimate!!Total:!!Female:!!35 to 44 years:!!Graduate or professional degree</t>
  </si>
  <si>
    <t>B15001_068</t>
  </si>
  <si>
    <t>Estimate!!Total:!!Female:!!45 to 64 years:</t>
  </si>
  <si>
    <t>B15001_069</t>
  </si>
  <si>
    <t>Estimate!!Total:!!Female:!!45 to 64 years:!!Less than 9th grade</t>
  </si>
  <si>
    <t>B15001_070</t>
  </si>
  <si>
    <t>Estimate!!Total:!!Female:!!45 to 64 years:!!9th to 12th grade, no diploma</t>
  </si>
  <si>
    <t>B15001_071</t>
  </si>
  <si>
    <t>Estimate!!Total:!!Female:!!45 to 64 years:!!High school graduate (includes equivalency)</t>
  </si>
  <si>
    <t>B15001_072</t>
  </si>
  <si>
    <t>Estimate!!Total:!!Female:!!45 to 64 years:!!Some college, no degree</t>
  </si>
  <si>
    <t>B15001_073</t>
  </si>
  <si>
    <t>Estimate!!Total:!!Female:!!45 to 64 years:!!Associate's degree</t>
  </si>
  <si>
    <t>B15001_074</t>
  </si>
  <si>
    <t>Estimate!!Total:!!Female:!!45 to 64 years:!!Bachelor's degree</t>
  </si>
  <si>
    <t>B15001_075</t>
  </si>
  <si>
    <t>Estimate!!Total:!!Female:!!45 to 64 years:!!Graduate or professional degree</t>
  </si>
  <si>
    <t>B15001_076</t>
  </si>
  <si>
    <t>Estimate!!Total:!!Female:!!65 years and over:</t>
  </si>
  <si>
    <t>B15001_077</t>
  </si>
  <si>
    <t>Estimate!!Total:!!Female:!!65 years and over:!!Less than 9th grade</t>
  </si>
  <si>
    <t>B15001_078</t>
  </si>
  <si>
    <t>Estimate!!Total:!!Female:!!65 years and over:!!9th to 12th grade, no diploma</t>
  </si>
  <si>
    <t>B15001_079</t>
  </si>
  <si>
    <t>Estimate!!Total:!!Female:!!65 years and over:!!High school graduate (includes equivalency)</t>
  </si>
  <si>
    <t>B15001_080</t>
  </si>
  <si>
    <t>Estimate!!Total:!!Female:!!65 years and over:!!Some college, no degree</t>
  </si>
  <si>
    <t>B15001_081</t>
  </si>
  <si>
    <t>Estimate!!Total:!!Female:!!65 years and over:!!Associate's degree</t>
  </si>
  <si>
    <t>B15001_082</t>
  </si>
  <si>
    <t>Estimate!!Total:!!Female:!!65 years and over:!!Bachelor's degree</t>
  </si>
  <si>
    <t>B15001_083</t>
  </si>
  <si>
    <t>Estimate!!Total:!!Female:!!65 years and over:!!Graduate or professional degree</t>
  </si>
  <si>
    <t>B15002_002</t>
  </si>
  <si>
    <t>B15002_003</t>
  </si>
  <si>
    <t>Estimate!!Total:!!Male:!!No schooling completed</t>
  </si>
  <si>
    <t>B15002_004</t>
  </si>
  <si>
    <t>Estimate!!Total:!!Male:!!Nursery to 4th grade</t>
  </si>
  <si>
    <t>B15002_005</t>
  </si>
  <si>
    <t>Estimate!!Total:!!Male:!!5th and 6th grade</t>
  </si>
  <si>
    <t>B15002_006</t>
  </si>
  <si>
    <t>Estimate!!Total:!!Male:!!7th and 8th grade</t>
  </si>
  <si>
    <t>B15002_007</t>
  </si>
  <si>
    <t>Estimate!!Total:!!Male:!!9th grade</t>
  </si>
  <si>
    <t>B15002_008</t>
  </si>
  <si>
    <t>Estimate!!Total:!!Male:!!10th grade</t>
  </si>
  <si>
    <t>B15002_009</t>
  </si>
  <si>
    <t>Estimate!!Total:!!Male:!!11th grade</t>
  </si>
  <si>
    <t>B15002_010</t>
  </si>
  <si>
    <t>Estimate!!Total:!!Male:!!12th grade, no diploma</t>
  </si>
  <si>
    <t>B15002_011</t>
  </si>
  <si>
    <t>Estimate!!Total:!!Male:!!High school graduate (includes equivalency)</t>
  </si>
  <si>
    <t>B15002_012</t>
  </si>
  <si>
    <t>Estimate!!Total:!!Male:!!Some college, less than 1 year</t>
  </si>
  <si>
    <t>B15002_013</t>
  </si>
  <si>
    <t>Estimate!!Total:!!Male:!!Some college, 1 or more years, no degree</t>
  </si>
  <si>
    <t>B15002_014</t>
  </si>
  <si>
    <t>Estimate!!Total:!!Male:!!Associate's degree</t>
  </si>
  <si>
    <t>B15002_015</t>
  </si>
  <si>
    <t>Estimate!!Total:!!Male:!!Bachelor's degree</t>
  </si>
  <si>
    <t>B15002_016</t>
  </si>
  <si>
    <t>Estimate!!Total:!!Male:!!Master's degree</t>
  </si>
  <si>
    <t>B15002_017</t>
  </si>
  <si>
    <t>Estimate!!Total:!!Male:!!Professional school degree</t>
  </si>
  <si>
    <t>B15002_018</t>
  </si>
  <si>
    <t>Estimate!!Total:!!Male:!!Doctorate degree</t>
  </si>
  <si>
    <t>B15002_019</t>
  </si>
  <si>
    <t>B15002_020</t>
  </si>
  <si>
    <t>Estimate!!Total:!!Female:!!No schooling completed</t>
  </si>
  <si>
    <t>B15002_021</t>
  </si>
  <si>
    <t>Estimate!!Total:!!Female:!!Nursery to 4th grade</t>
  </si>
  <si>
    <t>B15002_022</t>
  </si>
  <si>
    <t>Estimate!!Total:!!Female:!!5th and 6th grade</t>
  </si>
  <si>
    <t>B15002_023</t>
  </si>
  <si>
    <t>Estimate!!Total:!!Female:!!7th and 8th grade</t>
  </si>
  <si>
    <t>B15002_024</t>
  </si>
  <si>
    <t>Estimate!!Total:!!Female:!!9th grade</t>
  </si>
  <si>
    <t>B15002_025</t>
  </si>
  <si>
    <t>Estimate!!Total:!!Female:!!10th grade</t>
  </si>
  <si>
    <t>B15002_026</t>
  </si>
  <si>
    <t>Estimate!!Total:!!Female:!!11th grade</t>
  </si>
  <si>
    <t>B15002_027</t>
  </si>
  <si>
    <t>Estimate!!Total:!!Female:!!12th grade, no diploma</t>
  </si>
  <si>
    <t>B15002_028</t>
  </si>
  <si>
    <t>Estimate!!Total:!!Female:!!High school graduate (includes equivalency)</t>
  </si>
  <si>
    <t>B15002_029</t>
  </si>
  <si>
    <t>Estimate!!Total:!!Female:!!Some college, less than 1 year</t>
  </si>
  <si>
    <t>B15002_030</t>
  </si>
  <si>
    <t>Estimate!!Total:!!Female:!!Some college, 1 or more years, no degree</t>
  </si>
  <si>
    <t>B15002_031</t>
  </si>
  <si>
    <t>Estimate!!Total:!!Female:!!Associate's degree</t>
  </si>
  <si>
    <t>B15002_032</t>
  </si>
  <si>
    <t>Estimate!!Total:!!Female:!!Bachelor's degree</t>
  </si>
  <si>
    <t>B15002_033</t>
  </si>
  <si>
    <t>Estimate!!Total:!!Female:!!Master's degree</t>
  </si>
  <si>
    <t>B15002_034</t>
  </si>
  <si>
    <t>Estimate!!Total:!!Female:!!Professional school degree</t>
  </si>
  <si>
    <t>B15002_035</t>
  </si>
  <si>
    <t>Estimate!!Total:!!Female:!!Doctorate degree</t>
  </si>
  <si>
    <t>B15003_002</t>
  </si>
  <si>
    <t>Estimate!!Total:!!No schooling completed</t>
  </si>
  <si>
    <t>B15003_003</t>
  </si>
  <si>
    <t>Estimate!!Total:!!Nursery school</t>
  </si>
  <si>
    <t>B15003_004</t>
  </si>
  <si>
    <t>Estimate!!Total:!!Kindergarten</t>
  </si>
  <si>
    <t>B15003_005</t>
  </si>
  <si>
    <t>Estimate!!Total:!!1st grade</t>
  </si>
  <si>
    <t>B15003_006</t>
  </si>
  <si>
    <t>Estimate!!Total:!!2nd grade</t>
  </si>
  <si>
    <t>B15003_007</t>
  </si>
  <si>
    <t>Estimate!!Total:!!3rd grade</t>
  </si>
  <si>
    <t>B15003_008</t>
  </si>
  <si>
    <t>Estimate!!Total:!!4th grade</t>
  </si>
  <si>
    <t>B15003_009</t>
  </si>
  <si>
    <t>Estimate!!Total:!!5th grade</t>
  </si>
  <si>
    <t>B15003_010</t>
  </si>
  <si>
    <t>Estimate!!Total:!!6th grade</t>
  </si>
  <si>
    <t>B15003_011</t>
  </si>
  <si>
    <t>Estimate!!Total:!!7th grade</t>
  </si>
  <si>
    <t>B15003_012</t>
  </si>
  <si>
    <t>Estimate!!Total:!!8th grade</t>
  </si>
  <si>
    <t>B15003_013</t>
  </si>
  <si>
    <t>Estimate!!Total:!!9th grade</t>
  </si>
  <si>
    <t>B15003_014</t>
  </si>
  <si>
    <t>Estimate!!Total:!!10th grade</t>
  </si>
  <si>
    <t>B15003_015</t>
  </si>
  <si>
    <t>Estimate!!Total:!!11th grade</t>
  </si>
  <si>
    <t>B15003_016</t>
  </si>
  <si>
    <t>Estimate!!Total:!!12th grade, no diploma</t>
  </si>
  <si>
    <t>B15003_017</t>
  </si>
  <si>
    <t>Estimate!!Total:!!Regular high school diploma</t>
  </si>
  <si>
    <t>B15003_018</t>
  </si>
  <si>
    <t>Estimate!!Total:!!GED or alternative credential</t>
  </si>
  <si>
    <t>B15003_019</t>
  </si>
  <si>
    <t>Estimate!!Total:!!Some college, less than 1 year</t>
  </si>
  <si>
    <t>B15003_020</t>
  </si>
  <si>
    <t>Estimate!!Total:!!Some college, 1 or more years, no degree</t>
  </si>
  <si>
    <t>B15003_021</t>
  </si>
  <si>
    <t>Estimate!!Total:!!Associate's degree</t>
  </si>
  <si>
    <t>B15003_022</t>
  </si>
  <si>
    <t>B15003_023</t>
  </si>
  <si>
    <t>Estimate!!Total:!!Master's degree</t>
  </si>
  <si>
    <t>B15003_024</t>
  </si>
  <si>
    <t>Estimate!!Total:!!Professional school degree</t>
  </si>
  <si>
    <t>B15003_025</t>
  </si>
  <si>
    <t>Estimate!!Total:!!Doctorate degree</t>
  </si>
  <si>
    <t>B15011_002</t>
  </si>
  <si>
    <t>B15011_003</t>
  </si>
  <si>
    <t>Estimate!!Total:!!Male:!!25 to 39 years:</t>
  </si>
  <si>
    <t>B15011_004</t>
  </si>
  <si>
    <t>Estimate!!Total:!!Male:!!25 to 39 years:!!Science and Engineering</t>
  </si>
  <si>
    <t>B15011_005</t>
  </si>
  <si>
    <t>Estimate!!Total:!!Male:!!25 to 39 years:!!Science and Engineering Related Fields</t>
  </si>
  <si>
    <t>B15011_006</t>
  </si>
  <si>
    <t>Estimate!!Total:!!Male:!!25 to 39 years:!!Business</t>
  </si>
  <si>
    <t>B15011_007</t>
  </si>
  <si>
    <t>Estimate!!Total:!!Male:!!25 to 39 years:!!Education</t>
  </si>
  <si>
    <t>B15011_008</t>
  </si>
  <si>
    <t>Estimate!!Total:!!Male:!!25 to 39 years:!!Arts, Humanities, and Other</t>
  </si>
  <si>
    <t>B15011_009</t>
  </si>
  <si>
    <t>Estimate!!Total:!!Male:!!40 to 64 years:</t>
  </si>
  <si>
    <t>B15011_010</t>
  </si>
  <si>
    <t>Estimate!!Total:!!Male:!!40 to 64 years:!!Science and Engineering</t>
  </si>
  <si>
    <t>B15011_011</t>
  </si>
  <si>
    <t>Estimate!!Total:!!Male:!!40 to 64 years:!!Science and Engineering Related Fields</t>
  </si>
  <si>
    <t>B15011_012</t>
  </si>
  <si>
    <t>Estimate!!Total:!!Male:!!40 to 64 years:!!Business</t>
  </si>
  <si>
    <t>B15011_013</t>
  </si>
  <si>
    <t>Estimate!!Total:!!Male:!!40 to 64 years:!!Education</t>
  </si>
  <si>
    <t>B15011_014</t>
  </si>
  <si>
    <t>Estimate!!Total:!!Male:!!40 to 64 years:!!Arts, Humanities, and Other</t>
  </si>
  <si>
    <t>B15011_015</t>
  </si>
  <si>
    <t>B15011_016</t>
  </si>
  <si>
    <t>Estimate!!Total:!!Male:!!65 years and over:!!Science and Engineering</t>
  </si>
  <si>
    <t>B15011_017</t>
  </si>
  <si>
    <t>Estimate!!Total:!!Male:!!65 years and over:!!Science and Engineering Related Fields</t>
  </si>
  <si>
    <t>B15011_018</t>
  </si>
  <si>
    <t>Estimate!!Total:!!Male:!!65 years and over:!!Business</t>
  </si>
  <si>
    <t>B15011_019</t>
  </si>
  <si>
    <t>Estimate!!Total:!!Male:!!65 years and over:!!Education</t>
  </si>
  <si>
    <t>B15011_020</t>
  </si>
  <si>
    <t>Estimate!!Total:!!Male:!!65 years and over:!!Arts, Humanities, and Other</t>
  </si>
  <si>
    <t>B15011_021</t>
  </si>
  <si>
    <t>B15011_022</t>
  </si>
  <si>
    <t>Estimate!!Total:!!Female:!!25 to 39 years:</t>
  </si>
  <si>
    <t>B15011_023</t>
  </si>
  <si>
    <t>Estimate!!Total:!!Female:!!25 to 39 years:!!Science and Engineering</t>
  </si>
  <si>
    <t>B15011_024</t>
  </si>
  <si>
    <t>Estimate!!Total:!!Female:!!25 to 39 years:!!Science and Engineering Related Fields</t>
  </si>
  <si>
    <t>B15011_025</t>
  </si>
  <si>
    <t>Estimate!!Total:!!Female:!!25 to 39 years:!!Business</t>
  </si>
  <si>
    <t>B15011_026</t>
  </si>
  <si>
    <t>Estimate!!Total:!!Female:!!25 to 39 years:!!Education</t>
  </si>
  <si>
    <t>B15011_027</t>
  </si>
  <si>
    <t>Estimate!!Total:!!Female:!!25 to 39 years:!!Arts, Humanities, and Other</t>
  </si>
  <si>
    <t>B15011_028</t>
  </si>
  <si>
    <t>Estimate!!Total:!!Female:!!40 to 64 years:</t>
  </si>
  <si>
    <t>B15011_029</t>
  </si>
  <si>
    <t>Estimate!!Total:!!Female:!!40 to 64 years:!!Science and Engineering</t>
  </si>
  <si>
    <t>B15011_030</t>
  </si>
  <si>
    <t>Estimate!!Total:!!Female:!!40 to 64 years:!!Science and Engineering Related Fields</t>
  </si>
  <si>
    <t>B15011_031</t>
  </si>
  <si>
    <t>Estimate!!Total:!!Female:!!40 to 64 years:!!Business</t>
  </si>
  <si>
    <t>B15011_032</t>
  </si>
  <si>
    <t>Estimate!!Total:!!Female:!!40 to 64 years:!!Education</t>
  </si>
  <si>
    <t>B15011_033</t>
  </si>
  <si>
    <t>Estimate!!Total:!!Female:!!40 to 64 years:!!Arts, Humanities, and Other</t>
  </si>
  <si>
    <t>B15011_034</t>
  </si>
  <si>
    <t>B15011_035</t>
  </si>
  <si>
    <t>Estimate!!Total:!!Female:!!65 years and over:!!Science and Engineering</t>
  </si>
  <si>
    <t>B15011_036</t>
  </si>
  <si>
    <t>Estimate!!Total:!!Female:!!65 years and over:!!Science and Engineering Related Fields</t>
  </si>
  <si>
    <t>B15011_037</t>
  </si>
  <si>
    <t>Estimate!!Total:!!Female:!!65 years and over:!!Business</t>
  </si>
  <si>
    <t>B15011_038</t>
  </si>
  <si>
    <t>Estimate!!Total:!!Female:!!65 years and over:!!Education</t>
  </si>
  <si>
    <t>B15011_039</t>
  </si>
  <si>
    <t>Estimate!!Total:!!Female:!!65 years and over:!!Arts, Humanities, and Other</t>
  </si>
  <si>
    <t>B15012_002</t>
  </si>
  <si>
    <t>Estimate!!Total:!!Science and Engineering!!Computers, Mathematics, and Statistics</t>
  </si>
  <si>
    <t>B15012_003</t>
  </si>
  <si>
    <t>Estimate!!Total:!!Science and Engineering!!Biological, Agricultural, and Environmental Sciences</t>
  </si>
  <si>
    <t>B15012_004</t>
  </si>
  <si>
    <t>Estimate!!Total:!!Science and Engineering!!Physical and Related Sciences</t>
  </si>
  <si>
    <t>B15012_005</t>
  </si>
  <si>
    <t>Estimate!!Total:!!Science and Engineering!!Psychology</t>
  </si>
  <si>
    <t>B15012_006</t>
  </si>
  <si>
    <t>Estimate!!Total:!!Science and Engineering!!Social Sciences</t>
  </si>
  <si>
    <t>B15012_007</t>
  </si>
  <si>
    <t>Estimate!!Total:!!Science and Engineering!!Engineering</t>
  </si>
  <si>
    <t>B15012_008</t>
  </si>
  <si>
    <t>Estimate!!Total:!!Science and Engineering!!Multidisciplinary Studies</t>
  </si>
  <si>
    <t>B15012_009</t>
  </si>
  <si>
    <t>Estimate!!Total:!!Science and Engineering Related Fields</t>
  </si>
  <si>
    <t>B15012_010</t>
  </si>
  <si>
    <t>Estimate!!Total:!!Business</t>
  </si>
  <si>
    <t>B15012_011</t>
  </si>
  <si>
    <t>Estimate!!Total:!!Education</t>
  </si>
  <si>
    <t>B15012_012</t>
  </si>
  <si>
    <t>Estimate!!Total:!!Arts, Humanities, and Other!!Literature and Languages</t>
  </si>
  <si>
    <t>B15012_013</t>
  </si>
  <si>
    <t>Estimate!!Total:!!Arts, Humanities, and Other!!Liberal Arts and History</t>
  </si>
  <si>
    <t>B15012_014</t>
  </si>
  <si>
    <t>Estimate!!Total:!!Arts, Humanities, and Other!!Visual and Performing Arts</t>
  </si>
  <si>
    <t>B15012_015</t>
  </si>
  <si>
    <t>Estimate!!Total:!!Arts, Humanities, and Other!!Communications</t>
  </si>
  <si>
    <t>B15012_016</t>
  </si>
  <si>
    <t>Estimate!!Total:!!Arts, Humanities, and Other!!Other</t>
  </si>
  <si>
    <t>B15013_002</t>
  </si>
  <si>
    <t>B15013_003</t>
  </si>
  <si>
    <t>B15013_004</t>
  </si>
  <si>
    <t>B15013_005</t>
  </si>
  <si>
    <t>B15013_006</t>
  </si>
  <si>
    <t>B15013_007</t>
  </si>
  <si>
    <t>B15013_008</t>
  </si>
  <si>
    <t>B15013_009</t>
  </si>
  <si>
    <t>B15013_010</t>
  </si>
  <si>
    <t>B15013_011</t>
  </si>
  <si>
    <t>B15013_012</t>
  </si>
  <si>
    <t>B15013_013</t>
  </si>
  <si>
    <t>B15013_014</t>
  </si>
  <si>
    <t>B15013_015</t>
  </si>
  <si>
    <t>B15013_016</t>
  </si>
  <si>
    <t>B15013_017</t>
  </si>
  <si>
    <t>B15013_018</t>
  </si>
  <si>
    <t>Estimate!!Total:!!Male:!!Science and Engineering!!Computers, Mathematics, and Statistics</t>
  </si>
  <si>
    <t>B15013_019</t>
  </si>
  <si>
    <t>Estimate!!Total:!!Male:!!Science and Engineering!!Biological, Agricultural, and Environmental Sciences</t>
  </si>
  <si>
    <t>B15013_020</t>
  </si>
  <si>
    <t>Estimate!!Total:!!Male:!!Science and Engineering!!Physical and Related Sciences</t>
  </si>
  <si>
    <t>B15013_021</t>
  </si>
  <si>
    <t>Estimate!!Total:!!Male:!!Science and Engineering!!Psychology</t>
  </si>
  <si>
    <t>B15013_022</t>
  </si>
  <si>
    <t>Estimate!!Total:!!Male:!!Science and Engineering!!Social Sciences</t>
  </si>
  <si>
    <t>B15013_023</t>
  </si>
  <si>
    <t>Estimate!!Total:!!Male:!!Science and Engineering!!Engineering</t>
  </si>
  <si>
    <t>B15013_024</t>
  </si>
  <si>
    <t>Estimate!!Total:!!Male:!!Science and Engineering!!Multidisciplinary Studies</t>
  </si>
  <si>
    <t>B15013_025</t>
  </si>
  <si>
    <t>Estimate!!Total:!!Male:!!Science and Engineering Related Fields</t>
  </si>
  <si>
    <t>B15013_026</t>
  </si>
  <si>
    <t>Estimate!!Total:!!Male:!!Business</t>
  </si>
  <si>
    <t>B15013_027</t>
  </si>
  <si>
    <t>Estimate!!Total:!!Male:!!Education</t>
  </si>
  <si>
    <t>B15013_028</t>
  </si>
  <si>
    <t>Estimate!!Total:!!Male:!!Arts, Humanities, and Other!!Literature and Languages</t>
  </si>
  <si>
    <t>B15013_029</t>
  </si>
  <si>
    <t>Estimate!!Total:!!Male:!!Arts, Humanities, and Other!!Liberal Arts and History</t>
  </si>
  <si>
    <t>B15013_030</t>
  </si>
  <si>
    <t>Estimate!!Total:!!Male:!!Arts, Humanities, and Other!!Visual and Performing Arts</t>
  </si>
  <si>
    <t>B15013_031</t>
  </si>
  <si>
    <t>Estimate!!Total:!!Male:!!Arts, Humanities, and Other!!Communications</t>
  </si>
  <si>
    <t>B15013_032</t>
  </si>
  <si>
    <t>Estimate!!Total:!!Male:!!Arts, Humanities, and Other!!Other</t>
  </si>
  <si>
    <t>B15013_033</t>
  </si>
  <si>
    <t>B15013_034</t>
  </si>
  <si>
    <t>Estimate!!Total:!!Female:!!Science and Engineering!!Computers, Mathematics, and Statistics</t>
  </si>
  <si>
    <t>B15013_035</t>
  </si>
  <si>
    <t>Estimate!!Total:!!Female:!!Science and Engineering!!Biological, Agricultural, and Environmental Sciences</t>
  </si>
  <si>
    <t>B15013_036</t>
  </si>
  <si>
    <t>Estimate!!Total:!!Female:!!Science and Engineering!!Physical and Related Sciences</t>
  </si>
  <si>
    <t>B15013_037</t>
  </si>
  <si>
    <t>Estimate!!Total:!!Female:!!Science and Engineering!!Psychology</t>
  </si>
  <si>
    <t>B15013_038</t>
  </si>
  <si>
    <t>Estimate!!Total:!!Female:!!Science and Engineering!!Social Sciences</t>
  </si>
  <si>
    <t>B15013_039</t>
  </si>
  <si>
    <t>Estimate!!Total:!!Female:!!Science and Engineering!!Engineering</t>
  </si>
  <si>
    <t>B15013_040</t>
  </si>
  <si>
    <t>Estimate!!Total:!!Female:!!Science and Engineering!!Multidisciplinary Studies</t>
  </si>
  <si>
    <t>B15013_041</t>
  </si>
  <si>
    <t>Estimate!!Total:!!Female:!!Science and Engineering Related Fields</t>
  </si>
  <si>
    <t>B15013_042</t>
  </si>
  <si>
    <t>Estimate!!Total:!!Female:!!Business</t>
  </si>
  <si>
    <t>B15013_043</t>
  </si>
  <si>
    <t>Estimate!!Total:!!Female:!!Education</t>
  </si>
  <si>
    <t>B15013_044</t>
  </si>
  <si>
    <t>Estimate!!Total:!!Female:!!Arts, Humanities, and Other!!Literature and Languages</t>
  </si>
  <si>
    <t>B15013_045</t>
  </si>
  <si>
    <t>Estimate!!Total:!!Female:!!Arts, Humanities, and Other!!Liberal Arts and History</t>
  </si>
  <si>
    <t>B15013_046</t>
  </si>
  <si>
    <t>Estimate!!Total:!!Female:!!Arts, Humanities, and Other!!Visual and Performing Arts</t>
  </si>
  <si>
    <t>B15013_047</t>
  </si>
  <si>
    <t>Estimate!!Total:!!Female:!!Arts, Humanities, and Other!!Communications</t>
  </si>
  <si>
    <t>B15013_048</t>
  </si>
  <si>
    <t>Estimate!!Total:!!Female:!!Arts, Humanities, and Other!!Other</t>
  </si>
  <si>
    <t>B15014_002</t>
  </si>
  <si>
    <t>Estimate!!Total:!!25 to 39 years:</t>
  </si>
  <si>
    <t>B15014_003</t>
  </si>
  <si>
    <t>Estimate!!Total:!!25 to 39 years:!!Science and Engineering!!Computers, Mathematics, and Statistics</t>
  </si>
  <si>
    <t>B15014_004</t>
  </si>
  <si>
    <t>Estimate!!Total:!!25 to 39 years:!!Science and Engineering!!Biological, Agricultural, and Environmental Sciences</t>
  </si>
  <si>
    <t>B15014_005</t>
  </si>
  <si>
    <t>Estimate!!Total:!!25 to 39 years:!!Science and Engineering!!Physical and Related Sciences</t>
  </si>
  <si>
    <t>B15014_006</t>
  </si>
  <si>
    <t>Estimate!!Total:!!25 to 39 years:!!Science and Engineering!!Psychology</t>
  </si>
  <si>
    <t>B15014_007</t>
  </si>
  <si>
    <t>Estimate!!Total:!!25 to 39 years:!!Science and Engineering!!Social Sciences</t>
  </si>
  <si>
    <t>B15014_008</t>
  </si>
  <si>
    <t>Estimate!!Total:!!25 to 39 years:!!Science and Engineering!!Engineering</t>
  </si>
  <si>
    <t>B15014_009</t>
  </si>
  <si>
    <t>Estimate!!Total:!!25 to 39 years:!!Science and Engineering!!Multidisciplinary Studies</t>
  </si>
  <si>
    <t>B15014_010</t>
  </si>
  <si>
    <t>Estimate!!Total:!!25 to 39 years:!!Science and Engineering Related Fields</t>
  </si>
  <si>
    <t>B15014_011</t>
  </si>
  <si>
    <t>Estimate!!Total:!!25 to 39 years:!!Business</t>
  </si>
  <si>
    <t>B15014_012</t>
  </si>
  <si>
    <t>Estimate!!Total:!!25 to 39 years:!!Education</t>
  </si>
  <si>
    <t>B15014_013</t>
  </si>
  <si>
    <t>Estimate!!Total:!!25 to 39 years:!!Arts, Humanities, and Other!!Literature and Languages</t>
  </si>
  <si>
    <t>B15014_014</t>
  </si>
  <si>
    <t>Estimate!!Total:!!25 to 39 years:!!Arts, Humanities, and Other!!Liberal Arts and History</t>
  </si>
  <si>
    <t>B15014_015</t>
  </si>
  <si>
    <t>Estimate!!Total:!!25 to 39 years:!!Arts, Humanities, and Other!!Visual and Performing Arts</t>
  </si>
  <si>
    <t>B15014_016</t>
  </si>
  <si>
    <t>Estimate!!Total:!!25 to 39 years:!!Arts, Humanities, and Other!!Communications</t>
  </si>
  <si>
    <t>B15014_017</t>
  </si>
  <si>
    <t>Estimate!!Total:!!25 to 39 years:!!Arts, Humanities, and Other!!Other</t>
  </si>
  <si>
    <t>B15014_018</t>
  </si>
  <si>
    <t>Estimate!!Total:!!40 to 64 years:</t>
  </si>
  <si>
    <t>B15014_019</t>
  </si>
  <si>
    <t>Estimate!!Total:!!40 to 64 years:!!Science and Engineering!!Computers, Mathematics, and Statistics</t>
  </si>
  <si>
    <t>B15014_020</t>
  </si>
  <si>
    <t>Estimate!!Total:!!40 to 64 years:!!Science and Engineering!!Biological, Agricultural, and Environmental Sciences</t>
  </si>
  <si>
    <t>B15014_021</t>
  </si>
  <si>
    <t>Estimate!!Total:!!40 to 64 years:!!Science and Engineering!!Physical and Related Sciences</t>
  </si>
  <si>
    <t>B15014_022</t>
  </si>
  <si>
    <t>Estimate!!Total:!!40 to 64 years:!!Science and Engineering!!Psychology</t>
  </si>
  <si>
    <t>B15014_023</t>
  </si>
  <si>
    <t>Estimate!!Total:!!40 to 64 years:!!Science and Engineering!!Social Sciences</t>
  </si>
  <si>
    <t>B15014_024</t>
  </si>
  <si>
    <t>Estimate!!Total:!!40 to 64 years:!!Science and Engineering!!Engineering</t>
  </si>
  <si>
    <t>B15014_025</t>
  </si>
  <si>
    <t>Estimate!!Total:!!40 to 64 years:!!Science and Engineering!!Multidisciplinary Studies</t>
  </si>
  <si>
    <t>B15014_026</t>
  </si>
  <si>
    <t>Estimate!!Total:!!40 to 64 years:!!Science and Engineering Related Fields</t>
  </si>
  <si>
    <t>B15014_027</t>
  </si>
  <si>
    <t>Estimate!!Total:!!40 to 64 years:!!Business</t>
  </si>
  <si>
    <t>B15014_028</t>
  </si>
  <si>
    <t>Estimate!!Total:!!40 to 64 years:!!Education</t>
  </si>
  <si>
    <t>B15014_029</t>
  </si>
  <si>
    <t>Estimate!!Total:!!40 to 64 years:!!Arts, Humanities, and Other!!Literature and Languages</t>
  </si>
  <si>
    <t>B15014_030</t>
  </si>
  <si>
    <t>Estimate!!Total:!!40 to 64 years:!!Arts, Humanities, and Other!!Liberal Arts and History</t>
  </si>
  <si>
    <t>B15014_031</t>
  </si>
  <si>
    <t>Estimate!!Total:!!40 to 64 years:!!Arts, Humanities, and Other!!Visual and Performing Arts</t>
  </si>
  <si>
    <t>B15014_032</t>
  </si>
  <si>
    <t>Estimate!!Total:!!40 to 64 years:!!Arts, Humanities, and Other!!Communications</t>
  </si>
  <si>
    <t>B15014_033</t>
  </si>
  <si>
    <t>Estimate!!Total:!!40 to 64 years:!!Arts, Humanities, and Other!!Other</t>
  </si>
  <si>
    <t>B16001_002</t>
  </si>
  <si>
    <t>B16001_003</t>
  </si>
  <si>
    <t>Estimate!!Total:!!Spanish:</t>
  </si>
  <si>
    <t>B16001_004</t>
  </si>
  <si>
    <t>Estimate!!Total:!!Spanish:!!Speak English "very well"</t>
  </si>
  <si>
    <t>B16001_005</t>
  </si>
  <si>
    <t>Estimate!!Total:!!Spanish:!!Speak English less than "very well"</t>
  </si>
  <si>
    <t>B16001_006</t>
  </si>
  <si>
    <t>Estimate!!Total:!!French (incl. Cajun):</t>
  </si>
  <si>
    <t>B16001_007</t>
  </si>
  <si>
    <t>Estimate!!Total:!!French (incl. Cajun):!!Speak English "very well"</t>
  </si>
  <si>
    <t>B16001_008</t>
  </si>
  <si>
    <t>Estimate!!Total:!!French (incl. Cajun):!!Speak English less than "very well"</t>
  </si>
  <si>
    <t>B16001_009</t>
  </si>
  <si>
    <t>Estimate!!Total:!!Haitian:</t>
  </si>
  <si>
    <t>B16001_010</t>
  </si>
  <si>
    <t>Estimate!!Total:!!Haitian:!!Speak English "very well"</t>
  </si>
  <si>
    <t>B16001_011</t>
  </si>
  <si>
    <t>Estimate!!Total:!!Haitian:!!Speak English less than "very well"</t>
  </si>
  <si>
    <t>B16001_012</t>
  </si>
  <si>
    <t>Estimate!!Total:!!Italian:</t>
  </si>
  <si>
    <t>B16001_013</t>
  </si>
  <si>
    <t>Estimate!!Total:!!Italian:!!Speak English "very well"</t>
  </si>
  <si>
    <t>B16001_014</t>
  </si>
  <si>
    <t>Estimate!!Total:!!Italian:!!Speak English less than "very well"</t>
  </si>
  <si>
    <t>B16001_015</t>
  </si>
  <si>
    <t>Estimate!!Total:!!Portuguese:</t>
  </si>
  <si>
    <t>B16001_016</t>
  </si>
  <si>
    <t>Estimate!!Total:!!Portuguese:!!Speak English "very well"</t>
  </si>
  <si>
    <t>B16001_017</t>
  </si>
  <si>
    <t>Estimate!!Total:!!Portuguese:!!Speak English less than "very well"</t>
  </si>
  <si>
    <t>B16001_018</t>
  </si>
  <si>
    <t>Estimate!!Total:!!German:</t>
  </si>
  <si>
    <t>B16001_019</t>
  </si>
  <si>
    <t>Estimate!!Total:!!German:!!Speak English "very well"</t>
  </si>
  <si>
    <t>B16001_020</t>
  </si>
  <si>
    <t>Estimate!!Total:!!German:!!Speak English less than "very well"</t>
  </si>
  <si>
    <t>B16001_021</t>
  </si>
  <si>
    <t>Estimate!!Total:!!Yiddish, Pennsylvania Dutch or other West Germanic languages:</t>
  </si>
  <si>
    <t>B16001_022</t>
  </si>
  <si>
    <t>Estimate!!Total:!!Yiddish, Pennsylvania Dutch or other West Germanic languages:!!Speak English "very well"</t>
  </si>
  <si>
    <t>B16001_023</t>
  </si>
  <si>
    <t>Estimate!!Total:!!Yiddish, Pennsylvania Dutch or other West Germanic languages:!!Speak English less than "very well"</t>
  </si>
  <si>
    <t>B16001_024</t>
  </si>
  <si>
    <t>Estimate!!Total:!!Greek:</t>
  </si>
  <si>
    <t>B16001_025</t>
  </si>
  <si>
    <t>Estimate!!Total:!!Greek:!!Speak English "very well"</t>
  </si>
  <si>
    <t>B16001_026</t>
  </si>
  <si>
    <t>Estimate!!Total:!!Greek:!!Speak English less than "very well"</t>
  </si>
  <si>
    <t>B16001_027</t>
  </si>
  <si>
    <t>Estimate!!Total:!!Russian:</t>
  </si>
  <si>
    <t>B16001_028</t>
  </si>
  <si>
    <t>Estimate!!Total:!!Russian:!!Speak English "very well"</t>
  </si>
  <si>
    <t>B16001_029</t>
  </si>
  <si>
    <t>Estimate!!Total:!!Russian:!!Speak English less than "very well"</t>
  </si>
  <si>
    <t>B16001_030</t>
  </si>
  <si>
    <t>Estimate!!Total:!!Polish:</t>
  </si>
  <si>
    <t>B16001_031</t>
  </si>
  <si>
    <t>Estimate!!Total:!!Polish:!!Speak English "very well"</t>
  </si>
  <si>
    <t>B16001_032</t>
  </si>
  <si>
    <t>Estimate!!Total:!!Polish:!!Speak English less than "very well"</t>
  </si>
  <si>
    <t>B16001_033</t>
  </si>
  <si>
    <t>Estimate!!Total:!!Serbo-Croatian:</t>
  </si>
  <si>
    <t>B16001_034</t>
  </si>
  <si>
    <t>Estimate!!Total:!!Serbo-Croatian:!!Speak English "very well"</t>
  </si>
  <si>
    <t>B16001_035</t>
  </si>
  <si>
    <t>Estimate!!Total:!!Serbo-Croatian:!!Speak English less than "very well"</t>
  </si>
  <si>
    <t>B16001_036</t>
  </si>
  <si>
    <t>Estimate!!Total:!!Ukrainian or other Slavic languages:</t>
  </si>
  <si>
    <t>B16001_037</t>
  </si>
  <si>
    <t>Estimate!!Total:!!Ukrainian or other Slavic languages:!!Speak English "very well"</t>
  </si>
  <si>
    <t>B16001_038</t>
  </si>
  <si>
    <t>Estimate!!Total:!!Ukrainian or other Slavic languages:!!Speak English less than "very well"</t>
  </si>
  <si>
    <t>B16001_039</t>
  </si>
  <si>
    <t>Estimate!!Total:!!Armenian:</t>
  </si>
  <si>
    <t>B16001_040</t>
  </si>
  <si>
    <t>Estimate!!Total:!!Armenian:!!Speak English "very well"</t>
  </si>
  <si>
    <t>B16001_041</t>
  </si>
  <si>
    <t>Estimate!!Total:!!Armenian:!!Speak English less than "very well"</t>
  </si>
  <si>
    <t>B16001_042</t>
  </si>
  <si>
    <t>Estimate!!Total:!!Persian (incl. Farsi, Dari):</t>
  </si>
  <si>
    <t>B16001_043</t>
  </si>
  <si>
    <t>Estimate!!Total:!!Persian (incl. Farsi, Dari):!!Speak English "very well"</t>
  </si>
  <si>
    <t>B16001_044</t>
  </si>
  <si>
    <t>Estimate!!Total:!!Persian (incl. Farsi, Dari):!!Speak English less than "very well"</t>
  </si>
  <si>
    <t>B16001_045</t>
  </si>
  <si>
    <t>Estimate!!Total:!!Gujarati:</t>
  </si>
  <si>
    <t>B16001_046</t>
  </si>
  <si>
    <t>Estimate!!Total:!!Gujarati:!!Speak English "very well"</t>
  </si>
  <si>
    <t>B16001_047</t>
  </si>
  <si>
    <t>Estimate!!Total:!!Gujarati:!!Speak English less than "very well"</t>
  </si>
  <si>
    <t>B16001_048</t>
  </si>
  <si>
    <t>Estimate!!Total:!!Hindi:</t>
  </si>
  <si>
    <t>B16001_049</t>
  </si>
  <si>
    <t>Estimate!!Total:!!Hindi:!!Speak English "very well"</t>
  </si>
  <si>
    <t>B16001_050</t>
  </si>
  <si>
    <t>Estimate!!Total:!!Hindi:!!Speak English less than "very well"</t>
  </si>
  <si>
    <t>B16001_051</t>
  </si>
  <si>
    <t>Estimate!!Total:!!Urdu:</t>
  </si>
  <si>
    <t>B16001_052</t>
  </si>
  <si>
    <t>Estimate!!Total:!!Urdu:!!Speak English "very well"</t>
  </si>
  <si>
    <t>B16001_053</t>
  </si>
  <si>
    <t>Estimate!!Total:!!Urdu:!!Speak English less than "very well"</t>
  </si>
  <si>
    <t>B16001_054</t>
  </si>
  <si>
    <t>Estimate!!Total:!!Punjabi:</t>
  </si>
  <si>
    <t>B16001_055</t>
  </si>
  <si>
    <t>Estimate!!Total:!!Punjabi:!!Speak English "very well"</t>
  </si>
  <si>
    <t>B16001_056</t>
  </si>
  <si>
    <t>Estimate!!Total:!!Punjabi:!!Speak English less than "very well"</t>
  </si>
  <si>
    <t>B16001_057</t>
  </si>
  <si>
    <t>Estimate!!Total:!!Bengali:</t>
  </si>
  <si>
    <t>B16001_058</t>
  </si>
  <si>
    <t>Estimate!!Total:!!Bengali:!!Speak English "very well"</t>
  </si>
  <si>
    <t>B16001_059</t>
  </si>
  <si>
    <t>Estimate!!Total:!!Bengali:!!Speak English less than "very well"</t>
  </si>
  <si>
    <t>B16001_060</t>
  </si>
  <si>
    <t>Estimate!!Total:!!Nepali, Marathi, or other Indic languages:</t>
  </si>
  <si>
    <t>B16001_061</t>
  </si>
  <si>
    <t>Estimate!!Total:!!Nepali, Marathi, or other Indic languages:!!Speak English "very well"</t>
  </si>
  <si>
    <t>B16001_062</t>
  </si>
  <si>
    <t>Estimate!!Total:!!Nepali, Marathi, or other Indic languages:!!Speak English less than "very well"</t>
  </si>
  <si>
    <t>B16001_063</t>
  </si>
  <si>
    <t>Estimate!!Total:!!Other Indo-European languages:</t>
  </si>
  <si>
    <t>B16001_064</t>
  </si>
  <si>
    <t>Estimate!!Total:!!Other Indo-European languages:!!Speak English "very well"</t>
  </si>
  <si>
    <t>B16001_065</t>
  </si>
  <si>
    <t>Estimate!!Total:!!Other Indo-European languages:!!Speak English less than "very well"</t>
  </si>
  <si>
    <t>B16001_066</t>
  </si>
  <si>
    <t>Estimate!!Total:!!Telugu:</t>
  </si>
  <si>
    <t>B16001_067</t>
  </si>
  <si>
    <t>Estimate!!Total:!!Telugu:!!Speak English "very well"</t>
  </si>
  <si>
    <t>B16001_068</t>
  </si>
  <si>
    <t>Estimate!!Total:!!Telugu:!!Speak English less than "very well"</t>
  </si>
  <si>
    <t>B16001_069</t>
  </si>
  <si>
    <t>Estimate!!Total:!!Tamil:</t>
  </si>
  <si>
    <t>B16001_070</t>
  </si>
  <si>
    <t>Estimate!!Total:!!Tamil:!!Speak English "very well"</t>
  </si>
  <si>
    <t>B16001_071</t>
  </si>
  <si>
    <t>Estimate!!Total:!!Tamil:!!Speak English less than "very well"</t>
  </si>
  <si>
    <t>B16001_072</t>
  </si>
  <si>
    <t>Estimate!!Total:!!Malayalam, Kannada, or other Dravidian languages:</t>
  </si>
  <si>
    <t>B16001_073</t>
  </si>
  <si>
    <t>Estimate!!Total:!!Malayalam, Kannada, or other Dravidian languages:!!Speak English "very well"</t>
  </si>
  <si>
    <t>B16001_074</t>
  </si>
  <si>
    <t>Estimate!!Total:!!Malayalam, Kannada, or other Dravidian languages:!!Speak English less than "very well"</t>
  </si>
  <si>
    <t>B16001_075</t>
  </si>
  <si>
    <t>Estimate!!Total:!!Chinese (incl. Mandarin, Cantonese):</t>
  </si>
  <si>
    <t>B16001_076</t>
  </si>
  <si>
    <t>Estimate!!Total:!!Chinese (incl. Mandarin, Cantonese):!!Speak English "very well"</t>
  </si>
  <si>
    <t>B16001_077</t>
  </si>
  <si>
    <t>Estimate!!Total:!!Chinese (incl. Mandarin, Cantonese):!!Speak English less than "very well"</t>
  </si>
  <si>
    <t>B16001_078</t>
  </si>
  <si>
    <t>Estimate!!Total:!!Japanese:</t>
  </si>
  <si>
    <t>B16001_079</t>
  </si>
  <si>
    <t>Estimate!!Total:!!Japanese:!!Speak English "very well"</t>
  </si>
  <si>
    <t>B16001_080</t>
  </si>
  <si>
    <t>Estimate!!Total:!!Japanese:!!Speak English less than "very well"</t>
  </si>
  <si>
    <t>B16001_081</t>
  </si>
  <si>
    <t>Estimate!!Total:!!Korean:</t>
  </si>
  <si>
    <t>B16001_082</t>
  </si>
  <si>
    <t>Estimate!!Total:!!Korean:!!Speak English "very well"</t>
  </si>
  <si>
    <t>B16001_083</t>
  </si>
  <si>
    <t>Estimate!!Total:!!Korean:!!Speak English less than "very well"</t>
  </si>
  <si>
    <t>B16001_084</t>
  </si>
  <si>
    <t>Estimate!!Total:!!Hmong:</t>
  </si>
  <si>
    <t>B16001_085</t>
  </si>
  <si>
    <t>Estimate!!Total:!!Hmong:!!Speak English "very well"</t>
  </si>
  <si>
    <t>B16001_086</t>
  </si>
  <si>
    <t>Estimate!!Total:!!Hmong:!!Speak English less than "very well"</t>
  </si>
  <si>
    <t>B16001_087</t>
  </si>
  <si>
    <t>Estimate!!Total:!!Vietnamese:</t>
  </si>
  <si>
    <t>B16001_088</t>
  </si>
  <si>
    <t>Estimate!!Total:!!Vietnamese:!!Speak English "very well"</t>
  </si>
  <si>
    <t>B16001_089</t>
  </si>
  <si>
    <t>Estimate!!Total:!!Vietnamese:!!Speak English less than "very well"</t>
  </si>
  <si>
    <t>B16001_090</t>
  </si>
  <si>
    <t>Estimate!!Total:!!Khmer:</t>
  </si>
  <si>
    <t>B16001_091</t>
  </si>
  <si>
    <t>Estimate!!Total:!!Khmer:!!Speak English "very well"</t>
  </si>
  <si>
    <t>B16001_092</t>
  </si>
  <si>
    <t>Estimate!!Total:!!Khmer:!!Speak English less than "very well"</t>
  </si>
  <si>
    <t>B16001_093</t>
  </si>
  <si>
    <t>Estimate!!Total:!!Thai, Lao, or other Tai-Kadai languages:</t>
  </si>
  <si>
    <t>B16001_094</t>
  </si>
  <si>
    <t>Estimate!!Total:!!Thai, Lao, or other Tai-Kadai languages:!!Speak English "very well"</t>
  </si>
  <si>
    <t>B16001_095</t>
  </si>
  <si>
    <t>Estimate!!Total:!!Thai, Lao, or other Tai-Kadai languages:!!Speak English less than "very well"</t>
  </si>
  <si>
    <t>B16001_096</t>
  </si>
  <si>
    <t>Estimate!!Total:!!Other languages of Asia:</t>
  </si>
  <si>
    <t>B16001_097</t>
  </si>
  <si>
    <t>Estimate!!Total:!!Other languages of Asia:!!Speak English "very well"</t>
  </si>
  <si>
    <t>B16001_098</t>
  </si>
  <si>
    <t>Estimate!!Total:!!Other languages of Asia:!!Speak English less than "very well"</t>
  </si>
  <si>
    <t>B16001_099</t>
  </si>
  <si>
    <t>Estimate!!Total:!!Tagalog (incl. Filipino):</t>
  </si>
  <si>
    <t>B16001_100</t>
  </si>
  <si>
    <t>Estimate!!Total:!!Tagalog (incl. Filipino):!!Speak English "very well"</t>
  </si>
  <si>
    <t>B16001_101</t>
  </si>
  <si>
    <t>Estimate!!Total:!!Tagalog (incl. Filipino):!!Speak English less than "very well"</t>
  </si>
  <si>
    <t>B16001_102</t>
  </si>
  <si>
    <t>Estimate!!Total:!!Ilocano, Samoan, Hawaiian, or other Austronesian languages:</t>
  </si>
  <si>
    <t>B16001_103</t>
  </si>
  <si>
    <t>Estimate!!Total:!!Ilocano, Samoan, Hawaiian, or other Austronesian languages:!!Speak English "very well"</t>
  </si>
  <si>
    <t>B16001_104</t>
  </si>
  <si>
    <t>Estimate!!Total:!!Ilocano, Samoan, Hawaiian, or other Austronesian languages:!!Speak English less than "very well"</t>
  </si>
  <si>
    <t>B16001_105</t>
  </si>
  <si>
    <t>Estimate!!Total:!!Arabic:</t>
  </si>
  <si>
    <t>B16001_106</t>
  </si>
  <si>
    <t>Estimate!!Total:!!Arabic:!!Speak English "very well"</t>
  </si>
  <si>
    <t>B16001_107</t>
  </si>
  <si>
    <t>Estimate!!Total:!!Arabic:!!Speak English less than "very well"</t>
  </si>
  <si>
    <t>B16001_108</t>
  </si>
  <si>
    <t>Estimate!!Total:!!Hebrew:</t>
  </si>
  <si>
    <t>B16001_109</t>
  </si>
  <si>
    <t>Estimate!!Total:!!Hebrew:!!Speak English "very well"</t>
  </si>
  <si>
    <t>B16001_110</t>
  </si>
  <si>
    <t>Estimate!!Total:!!Hebrew:!!Speak English less than "very well"</t>
  </si>
  <si>
    <t>B16001_111</t>
  </si>
  <si>
    <t>Estimate!!Total:!!Amharic, Somali, or other Afro-Asiatic languages:</t>
  </si>
  <si>
    <t>B16001_112</t>
  </si>
  <si>
    <t>Estimate!!Total:!!Amharic, Somali, or other Afro-Asiatic languages:!!Speak English "very well"</t>
  </si>
  <si>
    <t>B16001_113</t>
  </si>
  <si>
    <t>Estimate!!Total:!!Amharic, Somali, or other Afro-Asiatic languages:!!Speak English less than "very well"</t>
  </si>
  <si>
    <t>B16001_114</t>
  </si>
  <si>
    <t>Estimate!!Total:!!Yoruba, Twi, Igbo, or other languages of Western Africa:</t>
  </si>
  <si>
    <t>B16001_115</t>
  </si>
  <si>
    <t>Estimate!!Total:!!Yoruba, Twi, Igbo, or other languages of Western Africa:!!Speak English "very well"</t>
  </si>
  <si>
    <t>B16001_116</t>
  </si>
  <si>
    <t>Estimate!!Total:!!Yoruba, Twi, Igbo, or other languages of Western Africa:!!Speak English less than "very well"</t>
  </si>
  <si>
    <t>B16001_117</t>
  </si>
  <si>
    <t>Estimate!!Total:!!Swahili or other languages of Central, Eastern, and Southern Africa:</t>
  </si>
  <si>
    <t>B16001_118</t>
  </si>
  <si>
    <t>Estimate!!Total:!!Swahili or other languages of Central, Eastern, and Southern Africa:!!Speak English "very well"</t>
  </si>
  <si>
    <t>B16001_119</t>
  </si>
  <si>
    <t>Estimate!!Total:!!Swahili or other languages of Central, Eastern, and Southern Africa:!!Speak English less than "very well"</t>
  </si>
  <si>
    <t>B16001_120</t>
  </si>
  <si>
    <t>Estimate!!Total:!!Navajo:</t>
  </si>
  <si>
    <t>B16001_121</t>
  </si>
  <si>
    <t>Estimate!!Total:!!Navajo:!!Speak English "very well"</t>
  </si>
  <si>
    <t>B16001_122</t>
  </si>
  <si>
    <t>Estimate!!Total:!!Navajo:!!Speak English less than "very well"</t>
  </si>
  <si>
    <t>B16001_123</t>
  </si>
  <si>
    <t>Estimate!!Total:!!Other Native languages of North America:</t>
  </si>
  <si>
    <t>B16001_124</t>
  </si>
  <si>
    <t>Estimate!!Total:!!Other Native languages of North America:!!Speak English "very well"</t>
  </si>
  <si>
    <t>B16001_125</t>
  </si>
  <si>
    <t>Estimate!!Total:!!Other Native languages of North America:!!Speak English less than "very well"</t>
  </si>
  <si>
    <t>B16001_126</t>
  </si>
  <si>
    <t>Estimate!!Total:!!Other and unspecified languages:</t>
  </si>
  <si>
    <t>B16001_127</t>
  </si>
  <si>
    <t>Estimate!!Total:!!Other and unspecified languages:!!Speak English "very well"</t>
  </si>
  <si>
    <t>B16001_128</t>
  </si>
  <si>
    <t>Estimate!!Total:!!Other and unspecified languages:!!Speak English less than "very well"</t>
  </si>
  <si>
    <t>B16002_002</t>
  </si>
  <si>
    <t>Estimate!!Total:!!English only</t>
  </si>
  <si>
    <t>B16002_003</t>
  </si>
  <si>
    <t>B16002_004</t>
  </si>
  <si>
    <t>Estimate!!Total:!!Spanish:!!Limited English speaking household</t>
  </si>
  <si>
    <t>B16002_005</t>
  </si>
  <si>
    <t>Estimate!!Total:!!Spanish:!!Not a limited English speaking household</t>
  </si>
  <si>
    <t>B16002_006</t>
  </si>
  <si>
    <t>Estimate!!Total:!!French, Haitian, or Cajun:</t>
  </si>
  <si>
    <t>B16002_007</t>
  </si>
  <si>
    <t>Estimate!!Total:!!French, Haitian, or Cajun:!!Limited English speaking household</t>
  </si>
  <si>
    <t>B16002_008</t>
  </si>
  <si>
    <t>Estimate!!Total:!!French, Haitian, or Cajun:!!Not a limited English speaking household</t>
  </si>
  <si>
    <t>B16002_009</t>
  </si>
  <si>
    <t>Estimate!!Total:!!German or other West Germanic languages:</t>
  </si>
  <si>
    <t>B16002_010</t>
  </si>
  <si>
    <t>Estimate!!Total:!!German or other West Germanic languages:!!Limited English speaking household</t>
  </si>
  <si>
    <t>B16002_011</t>
  </si>
  <si>
    <t>Estimate!!Total:!!German or other West Germanic languages:!!Not a limited English speaking household</t>
  </si>
  <si>
    <t>B16002_012</t>
  </si>
  <si>
    <t>Estimate!!Total:!!Russian, Polish, or other Slavic languages:</t>
  </si>
  <si>
    <t>B16002_013</t>
  </si>
  <si>
    <t>Estimate!!Total:!!Russian, Polish, or other Slavic languages:!!Limited English speaking household</t>
  </si>
  <si>
    <t>B16002_014</t>
  </si>
  <si>
    <t>Estimate!!Total:!!Russian, Polish, or other Slavic languages:!!Not a limited English speaking household</t>
  </si>
  <si>
    <t>B16002_015</t>
  </si>
  <si>
    <t>B16002_016</t>
  </si>
  <si>
    <t>Estimate!!Total:!!Other Indo-European languages:!!Limited English speaking household</t>
  </si>
  <si>
    <t>B16002_017</t>
  </si>
  <si>
    <t>Estimate!!Total:!!Other Indo-European languages:!!Not a limited English speaking household</t>
  </si>
  <si>
    <t>B16002_018</t>
  </si>
  <si>
    <t>B16002_019</t>
  </si>
  <si>
    <t>Estimate!!Total:!!Korean:!!Limited English speaking household</t>
  </si>
  <si>
    <t>B16002_020</t>
  </si>
  <si>
    <t>Estimate!!Total:!!Korean:!!Not a limited English speaking household</t>
  </si>
  <si>
    <t>B16002_021</t>
  </si>
  <si>
    <t>B16002_022</t>
  </si>
  <si>
    <t>Estimate!!Total:!!Chinese (incl. Mandarin, Cantonese):!!Limited English speaking household</t>
  </si>
  <si>
    <t>B16002_023</t>
  </si>
  <si>
    <t>Estimate!!Total:!!Chinese (incl. Mandarin, Cantonese):!!Not a limited English speaking household</t>
  </si>
  <si>
    <t>B16002_024</t>
  </si>
  <si>
    <t>B16002_025</t>
  </si>
  <si>
    <t>Estimate!!Total:!!Vietnamese:!!Limited English speaking household</t>
  </si>
  <si>
    <t>B16002_026</t>
  </si>
  <si>
    <t>Estimate!!Total:!!Vietnamese:!!Not a limited English speaking household</t>
  </si>
  <si>
    <t>B16002_027</t>
  </si>
  <si>
    <t>B16002_028</t>
  </si>
  <si>
    <t>Estimate!!Total:!!Tagalog (incl. Filipino):!!Limited English speaking household</t>
  </si>
  <si>
    <t>B16002_029</t>
  </si>
  <si>
    <t>Estimate!!Total:!!Tagalog (incl. Filipino):!!Not a limited English speaking household</t>
  </si>
  <si>
    <t>B16002_030</t>
  </si>
  <si>
    <t>Estimate!!Total:!!Other Asian and Pacific Island languages:</t>
  </si>
  <si>
    <t>B16002_031</t>
  </si>
  <si>
    <t>Estimate!!Total:!!Other Asian and Pacific Island languages:!!Limited English speaking household</t>
  </si>
  <si>
    <t>B16002_032</t>
  </si>
  <si>
    <t>Estimate!!Total:!!Other Asian and Pacific Island languages:!!Not a limited English speaking household</t>
  </si>
  <si>
    <t>B16002_033</t>
  </si>
  <si>
    <t>B16002_034</t>
  </si>
  <si>
    <t>Estimate!!Total:!!Arabic:!!Limited English speaking household</t>
  </si>
  <si>
    <t>B16002_035</t>
  </si>
  <si>
    <t>Estimate!!Total:!!Arabic:!!Not a limited English speaking household</t>
  </si>
  <si>
    <t>B16002_036</t>
  </si>
  <si>
    <t>B16002_037</t>
  </si>
  <si>
    <t>Estimate!!Total:!!Other and unspecified languages:!!Limited English speaking household</t>
  </si>
  <si>
    <t>B16002_038</t>
  </si>
  <si>
    <t>Estimate!!Total:!!Other and unspecified languages:!!Not a limited English speaking household</t>
  </si>
  <si>
    <t>B16003_002</t>
  </si>
  <si>
    <t>Estimate!!Total:!!5 to 17 years:</t>
  </si>
  <si>
    <t>B16003_003</t>
  </si>
  <si>
    <t>Estimate!!Total:!!5 to 17 years:!!Speak only English</t>
  </si>
  <si>
    <t>B16003_004</t>
  </si>
  <si>
    <t>Estimate!!Total:!!5 to 17 years:!!Speak Spanish</t>
  </si>
  <si>
    <t>B16003_005</t>
  </si>
  <si>
    <t>Estimate!!Total:!!5 to 17 years:!!Speak other Indo-European languages</t>
  </si>
  <si>
    <t>B16003_006</t>
  </si>
  <si>
    <t>Estimate!!Total:!!5 to 17 years:!!Speak Asian and Pacific Island languages</t>
  </si>
  <si>
    <t>B16003_007</t>
  </si>
  <si>
    <t>Estimate!!Total:!!5 to 17 years:!!Speak other languages</t>
  </si>
  <si>
    <t>B16003_008</t>
  </si>
  <si>
    <t>Estimate!!Total:!!18 years and over:</t>
  </si>
  <si>
    <t>B16003_009</t>
  </si>
  <si>
    <t>Estimate!!Total:!!18 years and over:!!Speak Spanish</t>
  </si>
  <si>
    <t>B16003_010</t>
  </si>
  <si>
    <t>Estimate!!Total:!!18 years and over:!!Speak other Indo-European languages</t>
  </si>
  <si>
    <t>B16003_011</t>
  </si>
  <si>
    <t>Estimate!!Total:!!18 years and over:!!Speak Asian and Pacific Island languages</t>
  </si>
  <si>
    <t>B16003_012</t>
  </si>
  <si>
    <t>Estimate!!Total:!!18 years and over:!!Speak other languages</t>
  </si>
  <si>
    <t>B16004_002</t>
  </si>
  <si>
    <t>B16004_003</t>
  </si>
  <si>
    <t>B16004_004</t>
  </si>
  <si>
    <t>Estimate!!Total:!!5 to 17 years:!!Speak Spanish:</t>
  </si>
  <si>
    <t>B16004_005</t>
  </si>
  <si>
    <t>Estimate!!Total:!!5 to 17 years:!!Speak Spanish:!!Speak English "very well"</t>
  </si>
  <si>
    <t>B16004_006</t>
  </si>
  <si>
    <t>Estimate!!Total:!!5 to 17 years:!!Speak Spanish:!!Speak English "well"</t>
  </si>
  <si>
    <t>B16004_007</t>
  </si>
  <si>
    <t>Estimate!!Total:!!5 to 17 years:!!Speak Spanish:!!Speak English "not well"</t>
  </si>
  <si>
    <t>B16004_008</t>
  </si>
  <si>
    <t>Estimate!!Total:!!5 to 17 years:!!Speak Spanish:!!Speak English "not at all"</t>
  </si>
  <si>
    <t>B16004_009</t>
  </si>
  <si>
    <t>Estimate!!Total:!!5 to 17 years:!!Speak other Indo-European languages:</t>
  </si>
  <si>
    <t>B16004_010</t>
  </si>
  <si>
    <t>Estimate!!Total:!!5 to 17 years:!!Speak other Indo-European languages:!!Speak English "very well"</t>
  </si>
  <si>
    <t>B16004_011</t>
  </si>
  <si>
    <t>Estimate!!Total:!!5 to 17 years:!!Speak other Indo-European languages:!!Speak English "well"</t>
  </si>
  <si>
    <t>B16004_012</t>
  </si>
  <si>
    <t>Estimate!!Total:!!5 to 17 years:!!Speak other Indo-European languages:!!Speak English "not well"</t>
  </si>
  <si>
    <t>B16004_013</t>
  </si>
  <si>
    <t>Estimate!!Total:!!5 to 17 years:!!Speak other Indo-European languages:!!Speak English "not at all"</t>
  </si>
  <si>
    <t>B16004_014</t>
  </si>
  <si>
    <t>Estimate!!Total:!!5 to 17 years:!!Speak Asian and Pacific Island languages:</t>
  </si>
  <si>
    <t>B16004_015</t>
  </si>
  <si>
    <t>Estimate!!Total:!!5 to 17 years:!!Speak Asian and Pacific Island languages:!!Speak English "very well"</t>
  </si>
  <si>
    <t>B16004_016</t>
  </si>
  <si>
    <t>Estimate!!Total:!!5 to 17 years:!!Speak Asian and Pacific Island languages:!!Speak English "well"</t>
  </si>
  <si>
    <t>B16004_017</t>
  </si>
  <si>
    <t>Estimate!!Total:!!5 to 17 years:!!Speak Asian and Pacific Island languages:!!Speak English "not well"</t>
  </si>
  <si>
    <t>B16004_018</t>
  </si>
  <si>
    <t>Estimate!!Total:!!5 to 17 years:!!Speak Asian and Pacific Island languages:!!Speak English "not at all"</t>
  </si>
  <si>
    <t>B16004_019</t>
  </si>
  <si>
    <t>Estimate!!Total:!!5 to 17 years:!!Speak other languages:</t>
  </si>
  <si>
    <t>B16004_020</t>
  </si>
  <si>
    <t>Estimate!!Total:!!5 to 17 years:!!Speak other languages:!!Speak English "very well"</t>
  </si>
  <si>
    <t>B16004_021</t>
  </si>
  <si>
    <t>Estimate!!Total:!!5 to 17 years:!!Speak other languages:!!Speak English "well"</t>
  </si>
  <si>
    <t>B16004_022</t>
  </si>
  <si>
    <t>Estimate!!Total:!!5 to 17 years:!!Speak other languages:!!Speak English "not well"</t>
  </si>
  <si>
    <t>B16004_023</t>
  </si>
  <si>
    <t>Estimate!!Total:!!5 to 17 years:!!Speak other languages:!!Speak English "not at all"</t>
  </si>
  <si>
    <t>B16004_024</t>
  </si>
  <si>
    <t>Estimate!!Total:!!18 to 64 years:</t>
  </si>
  <si>
    <t>B16004_025</t>
  </si>
  <si>
    <t>Estimate!!Total:!!18 to 64 years:!!Speak only English</t>
  </si>
  <si>
    <t>B16004_026</t>
  </si>
  <si>
    <t>Estimate!!Total:!!18 to 64 years:!!Speak Spanish:</t>
  </si>
  <si>
    <t>B16004_027</t>
  </si>
  <si>
    <t>Estimate!!Total:!!18 to 64 years:!!Speak Spanish:!!Speak English "very well"</t>
  </si>
  <si>
    <t>B16004_028</t>
  </si>
  <si>
    <t>Estimate!!Total:!!18 to 64 years:!!Speak Spanish:!!Speak English "well"</t>
  </si>
  <si>
    <t>B16004_029</t>
  </si>
  <si>
    <t>Estimate!!Total:!!18 to 64 years:!!Speak Spanish:!!Speak English "not well"</t>
  </si>
  <si>
    <t>B16004_030</t>
  </si>
  <si>
    <t>Estimate!!Total:!!18 to 64 years:!!Speak Spanish:!!Speak English "not at all"</t>
  </si>
  <si>
    <t>B16004_031</t>
  </si>
  <si>
    <t>Estimate!!Total:!!18 to 64 years:!!Speak other Indo-European languages:</t>
  </si>
  <si>
    <t>B16004_032</t>
  </si>
  <si>
    <t>Estimate!!Total:!!18 to 64 years:!!Speak other Indo-European languages:!!Speak English "very well"</t>
  </si>
  <si>
    <t>B16004_033</t>
  </si>
  <si>
    <t>Estimate!!Total:!!18 to 64 years:!!Speak other Indo-European languages:!!Speak English "well"</t>
  </si>
  <si>
    <t>B16004_034</t>
  </si>
  <si>
    <t>Estimate!!Total:!!18 to 64 years:!!Speak other Indo-European languages:!!Speak English "not well"</t>
  </si>
  <si>
    <t>B16004_035</t>
  </si>
  <si>
    <t>Estimate!!Total:!!18 to 64 years:!!Speak other Indo-European languages:!!Speak English "not at all"</t>
  </si>
  <si>
    <t>B16004_036</t>
  </si>
  <si>
    <t>Estimate!!Total:!!18 to 64 years:!!Speak Asian and Pacific Island languages:</t>
  </si>
  <si>
    <t>B16004_037</t>
  </si>
  <si>
    <t>Estimate!!Total:!!18 to 64 years:!!Speak Asian and Pacific Island languages:!!Speak English "very well"</t>
  </si>
  <si>
    <t>B16004_038</t>
  </si>
  <si>
    <t>Estimate!!Total:!!18 to 64 years:!!Speak Asian and Pacific Island languages:!!Speak English "well"</t>
  </si>
  <si>
    <t>B16004_039</t>
  </si>
  <si>
    <t>Estimate!!Total:!!18 to 64 years:!!Speak Asian and Pacific Island languages:!!Speak English "not well"</t>
  </si>
  <si>
    <t>B16004_040</t>
  </si>
  <si>
    <t>Estimate!!Total:!!18 to 64 years:!!Speak Asian and Pacific Island languages:!!Speak English "not at all"</t>
  </si>
  <si>
    <t>B16004_041</t>
  </si>
  <si>
    <t>Estimate!!Total:!!18 to 64 years:!!Speak other languages:</t>
  </si>
  <si>
    <t>B16004_042</t>
  </si>
  <si>
    <t>Estimate!!Total:!!18 to 64 years:!!Speak other languages:!!Speak English "very well"</t>
  </si>
  <si>
    <t>B16004_043</t>
  </si>
  <si>
    <t>Estimate!!Total:!!18 to 64 years:!!Speak other languages:!!Speak English "well"</t>
  </si>
  <si>
    <t>B16004_044</t>
  </si>
  <si>
    <t>Estimate!!Total:!!18 to 64 years:!!Speak other languages:!!Speak English "not well"</t>
  </si>
  <si>
    <t>B16004_045</t>
  </si>
  <si>
    <t>Estimate!!Total:!!18 to 64 years:!!Speak other languages:!!Speak English "not at all"</t>
  </si>
  <si>
    <t>B16004_046</t>
  </si>
  <si>
    <t>B16004_047</t>
  </si>
  <si>
    <t>Estimate!!Total:!!65 years and over:!!Speak only English</t>
  </si>
  <si>
    <t>B16004_048</t>
  </si>
  <si>
    <t>Estimate!!Total:!!65 years and over:!!Speak Spanish:</t>
  </si>
  <si>
    <t>B16004_049</t>
  </si>
  <si>
    <t>Estimate!!Total:!!65 years and over:!!Speak Spanish:!!Speak English "very well"</t>
  </si>
  <si>
    <t>B16004_050</t>
  </si>
  <si>
    <t>Estimate!!Total:!!65 years and over:!!Speak Spanish:!!Speak English "well"</t>
  </si>
  <si>
    <t>B16004_051</t>
  </si>
  <si>
    <t>Estimate!!Total:!!65 years and over:!!Speak Spanish:!!Speak English "not well"</t>
  </si>
  <si>
    <t>B16004_052</t>
  </si>
  <si>
    <t>Estimate!!Total:!!65 years and over:!!Speak Spanish:!!Speak English "not at all"</t>
  </si>
  <si>
    <t>B16004_053</t>
  </si>
  <si>
    <t>Estimate!!Total:!!65 years and over:!!Speak other Indo-European languages:</t>
  </si>
  <si>
    <t>B16004_054</t>
  </si>
  <si>
    <t>Estimate!!Total:!!65 years and over:!!Speak other Indo-European languages:!!Speak English "very well"</t>
  </si>
  <si>
    <t>B16004_055</t>
  </si>
  <si>
    <t>Estimate!!Total:!!65 years and over:!!Speak other Indo-European languages:!!Speak English "well"</t>
  </si>
  <si>
    <t>B16004_056</t>
  </si>
  <si>
    <t>Estimate!!Total:!!65 years and over:!!Speak other Indo-European languages:!!Speak English "not well"</t>
  </si>
  <si>
    <t>B16004_057</t>
  </si>
  <si>
    <t>Estimate!!Total:!!65 years and over:!!Speak other Indo-European languages:!!Speak English "not at all"</t>
  </si>
  <si>
    <t>B16004_058</t>
  </si>
  <si>
    <t>Estimate!!Total:!!65 years and over:!!Speak Asian and Pacific Island languages:</t>
  </si>
  <si>
    <t>B16004_059</t>
  </si>
  <si>
    <t>Estimate!!Total:!!65 years and over:!!Speak Asian and Pacific Island languages:!!Speak English "very well"</t>
  </si>
  <si>
    <t>B16004_060</t>
  </si>
  <si>
    <t>Estimate!!Total:!!65 years and over:!!Speak Asian and Pacific Island languages:!!Speak English "well"</t>
  </si>
  <si>
    <t>B16004_061</t>
  </si>
  <si>
    <t>Estimate!!Total:!!65 years and over:!!Speak Asian and Pacific Island languages:!!Speak English "not well"</t>
  </si>
  <si>
    <t>B16004_062</t>
  </si>
  <si>
    <t>Estimate!!Total:!!65 years and over:!!Speak Asian and Pacific Island languages:!!Speak English "not at all"</t>
  </si>
  <si>
    <t>B16004_063</t>
  </si>
  <si>
    <t>Estimate!!Total:!!65 years and over:!!Speak other languages:</t>
  </si>
  <si>
    <t>B16004_064</t>
  </si>
  <si>
    <t>Estimate!!Total:!!65 years and over:!!Speak other languages:!!Speak English "very well"</t>
  </si>
  <si>
    <t>B16004_065</t>
  </si>
  <si>
    <t>Estimate!!Total:!!65 years and over:!!Speak other languages:!!Speak English "well"</t>
  </si>
  <si>
    <t>B16004_066</t>
  </si>
  <si>
    <t>Estimate!!Total:!!65 years and over:!!Speak other languages:!!Speak English "not well"</t>
  </si>
  <si>
    <t>B16004_067</t>
  </si>
  <si>
    <t>Estimate!!Total:!!65 years and over:!!Speak other languages:!!Speak English "not at all"</t>
  </si>
  <si>
    <t>B16005A_002</t>
  </si>
  <si>
    <t>B16005A_003</t>
  </si>
  <si>
    <t>Estimate!!Total:!!Native:!!Speak only English</t>
  </si>
  <si>
    <t>B16005A_004</t>
  </si>
  <si>
    <t>Estimate!!Total:!!Native:!!Speak another language:</t>
  </si>
  <si>
    <t>B16005A_005</t>
  </si>
  <si>
    <t>Estimate!!Total:!!Native:!!Speak another language:!!Speak English "very well"</t>
  </si>
  <si>
    <t>B16005A_006</t>
  </si>
  <si>
    <t>Estimate!!Total:!!Native:!!Speak another language:!!Speak English less than "very well"</t>
  </si>
  <si>
    <t>B16005A_007</t>
  </si>
  <si>
    <t>B16005A_008</t>
  </si>
  <si>
    <t>B16005A_009</t>
  </si>
  <si>
    <t>Estimate!!Total:!!Foreign born:!!Speak another language:</t>
  </si>
  <si>
    <t>B16005A_010</t>
  </si>
  <si>
    <t>Estimate!!Total:!!Foreign born:!!Speak another language:!!Speak English "very well"</t>
  </si>
  <si>
    <t>B16005A_011</t>
  </si>
  <si>
    <t>Estimate!!Total:!!Foreign born:!!Speak another language:!!Speak English less than "very well"</t>
  </si>
  <si>
    <t>B16005B_002</t>
  </si>
  <si>
    <t>B16005B_003</t>
  </si>
  <si>
    <t>B16005B_004</t>
  </si>
  <si>
    <t>B16005B_005</t>
  </si>
  <si>
    <t>B16005B_006</t>
  </si>
  <si>
    <t>B16005B_007</t>
  </si>
  <si>
    <t>B16005B_008</t>
  </si>
  <si>
    <t>B16005B_009</t>
  </si>
  <si>
    <t>B16005B_010</t>
  </si>
  <si>
    <t>B16005B_011</t>
  </si>
  <si>
    <t>B16005C_002</t>
  </si>
  <si>
    <t>B16005C_003</t>
  </si>
  <si>
    <t>B16005C_004</t>
  </si>
  <si>
    <t>B16005C_005</t>
  </si>
  <si>
    <t>B16005C_006</t>
  </si>
  <si>
    <t>B16005C_007</t>
  </si>
  <si>
    <t>B16005C_008</t>
  </si>
  <si>
    <t>B16005C_009</t>
  </si>
  <si>
    <t>B16005C_010</t>
  </si>
  <si>
    <t>B16005C_011</t>
  </si>
  <si>
    <t>B16005D_002</t>
  </si>
  <si>
    <t>B16005D_003</t>
  </si>
  <si>
    <t>B16005D_004</t>
  </si>
  <si>
    <t>B16005D_005</t>
  </si>
  <si>
    <t>B16005D_006</t>
  </si>
  <si>
    <t>B16005D_007</t>
  </si>
  <si>
    <t>B16005D_008</t>
  </si>
  <si>
    <t>B16005D_009</t>
  </si>
  <si>
    <t>B16005D_010</t>
  </si>
  <si>
    <t>B16005D_011</t>
  </si>
  <si>
    <t>B16005E_002</t>
  </si>
  <si>
    <t>B16005E_003</t>
  </si>
  <si>
    <t>B16005E_004</t>
  </si>
  <si>
    <t>B16005E_005</t>
  </si>
  <si>
    <t>B16005E_006</t>
  </si>
  <si>
    <t>B16005E_007</t>
  </si>
  <si>
    <t>B16005E_008</t>
  </si>
  <si>
    <t>B16005E_009</t>
  </si>
  <si>
    <t>B16005E_010</t>
  </si>
  <si>
    <t>B16005E_011</t>
  </si>
  <si>
    <t>B16005F_002</t>
  </si>
  <si>
    <t>B16005F_003</t>
  </si>
  <si>
    <t>B16005F_004</t>
  </si>
  <si>
    <t>B16005F_005</t>
  </si>
  <si>
    <t>B16005F_006</t>
  </si>
  <si>
    <t>B16005F_007</t>
  </si>
  <si>
    <t>B16005F_008</t>
  </si>
  <si>
    <t>B16005F_009</t>
  </si>
  <si>
    <t>B16005F_010</t>
  </si>
  <si>
    <t>B16005F_011</t>
  </si>
  <si>
    <t>B16005G_002</t>
  </si>
  <si>
    <t>B16005G_003</t>
  </si>
  <si>
    <t>B16005G_004</t>
  </si>
  <si>
    <t>B16005G_005</t>
  </si>
  <si>
    <t>B16005G_006</t>
  </si>
  <si>
    <t>B16005G_007</t>
  </si>
  <si>
    <t>B16005G_008</t>
  </si>
  <si>
    <t>B16005G_009</t>
  </si>
  <si>
    <t>B16005G_010</t>
  </si>
  <si>
    <t>B16005G_011</t>
  </si>
  <si>
    <t>B16005H_002</t>
  </si>
  <si>
    <t>B16005H_003</t>
  </si>
  <si>
    <t>B16005H_004</t>
  </si>
  <si>
    <t>B16005H_005</t>
  </si>
  <si>
    <t>B16005H_006</t>
  </si>
  <si>
    <t>B16005H_007</t>
  </si>
  <si>
    <t>B16005H_008</t>
  </si>
  <si>
    <t>B16005H_009</t>
  </si>
  <si>
    <t>B16005H_010</t>
  </si>
  <si>
    <t>B16005H_011</t>
  </si>
  <si>
    <t>B16005I_002</t>
  </si>
  <si>
    <t>B16005I_003</t>
  </si>
  <si>
    <t>B16005I_004</t>
  </si>
  <si>
    <t>B16005I_005</t>
  </si>
  <si>
    <t>B16005I_006</t>
  </si>
  <si>
    <t>B16005I_007</t>
  </si>
  <si>
    <t>B16005I_008</t>
  </si>
  <si>
    <t>B16005I_009</t>
  </si>
  <si>
    <t>B16005I_010</t>
  </si>
  <si>
    <t>B16005I_011</t>
  </si>
  <si>
    <t>B16005_002</t>
  </si>
  <si>
    <t>B16005_003</t>
  </si>
  <si>
    <t>B16005_004</t>
  </si>
  <si>
    <t>Estimate!!Total:!!Native:!!Speak Spanish:</t>
  </si>
  <si>
    <t>B16005_005</t>
  </si>
  <si>
    <t>Estimate!!Total:!!Native:!!Speak Spanish:!!Speak English "very well"</t>
  </si>
  <si>
    <t>B16005_006</t>
  </si>
  <si>
    <t>Estimate!!Total:!!Native:!!Speak Spanish:!!Speak English "well"</t>
  </si>
  <si>
    <t>B16005_007</t>
  </si>
  <si>
    <t>Estimate!!Total:!!Native:!!Speak Spanish:!!Speak English "not well"</t>
  </si>
  <si>
    <t>B16005_008</t>
  </si>
  <si>
    <t>Estimate!!Total:!!Native:!!Speak Spanish:!!Speak English "not at all"</t>
  </si>
  <si>
    <t>B16005_009</t>
  </si>
  <si>
    <t>Estimate!!Total:!!Native:!!Speak other Indo-European languages:</t>
  </si>
  <si>
    <t>B16005_010</t>
  </si>
  <si>
    <t>Estimate!!Total:!!Native:!!Speak other Indo-European languages:!!Speak English "very well"</t>
  </si>
  <si>
    <t>B16005_011</t>
  </si>
  <si>
    <t>Estimate!!Total:!!Native:!!Speak other Indo-European languages:!!Speak English "well"</t>
  </si>
  <si>
    <t>B16005_012</t>
  </si>
  <si>
    <t>Estimate!!Total:!!Native:!!Speak other Indo-European languages:!!Speak English "not well"</t>
  </si>
  <si>
    <t>B16005_013</t>
  </si>
  <si>
    <t>Estimate!!Total:!!Native:!!Speak other Indo-European languages:!!Speak English "not at all"</t>
  </si>
  <si>
    <t>B16005_014</t>
  </si>
  <si>
    <t>Estimate!!Total:!!Native:!!Speak Asian and Pacific Island languages:</t>
  </si>
  <si>
    <t>B16005_015</t>
  </si>
  <si>
    <t>Estimate!!Total:!!Native:!!Speak Asian and Pacific Island languages:!!Speak English "very well"</t>
  </si>
  <si>
    <t>B16005_016</t>
  </si>
  <si>
    <t>Estimate!!Total:!!Native:!!Speak Asian and Pacific Island languages:!!Speak English "well"</t>
  </si>
  <si>
    <t>B16005_017</t>
  </si>
  <si>
    <t>Estimate!!Total:!!Native:!!Speak Asian and Pacific Island languages:!!Speak English "not well"</t>
  </si>
  <si>
    <t>B16005_018</t>
  </si>
  <si>
    <t>Estimate!!Total:!!Native:!!Speak Asian and Pacific Island languages:!!Speak English "not at all"</t>
  </si>
  <si>
    <t>B16005_019</t>
  </si>
  <si>
    <t>Estimate!!Total:!!Native:!!Speak other languages:</t>
  </si>
  <si>
    <t>B16005_020</t>
  </si>
  <si>
    <t>Estimate!!Total:!!Native:!!Speak other languages:!!Speak English "very well"</t>
  </si>
  <si>
    <t>B16005_021</t>
  </si>
  <si>
    <t>Estimate!!Total:!!Native:!!Speak other languages:!!Speak English "well"</t>
  </si>
  <si>
    <t>B16005_022</t>
  </si>
  <si>
    <t>Estimate!!Total:!!Native:!!Speak other languages:!!Speak English "not well"</t>
  </si>
  <si>
    <t>B16005_023</t>
  </si>
  <si>
    <t>Estimate!!Total:!!Native:!!Speak other languages:!!Speak English "not at all"</t>
  </si>
  <si>
    <t>B16005_024</t>
  </si>
  <si>
    <t>B16005_025</t>
  </si>
  <si>
    <t>B16005_026</t>
  </si>
  <si>
    <t>B16005_027</t>
  </si>
  <si>
    <t>B16005_028</t>
  </si>
  <si>
    <t>Estimate!!Total:!!Foreign born:!!Speak Spanish:!!Speak English "well"</t>
  </si>
  <si>
    <t>B16005_029</t>
  </si>
  <si>
    <t>Estimate!!Total:!!Foreign born:!!Speak Spanish:!!Speak English "not well"</t>
  </si>
  <si>
    <t>B16005_030</t>
  </si>
  <si>
    <t>Estimate!!Total:!!Foreign born:!!Speak Spanish:!!Speak English "not at all"</t>
  </si>
  <si>
    <t>B16005_031</t>
  </si>
  <si>
    <t>Estimate!!Total:!!Foreign born:!!Speak other Indo-European languages:</t>
  </si>
  <si>
    <t>B16005_032</t>
  </si>
  <si>
    <t>Estimate!!Total:!!Foreign born:!!Speak other Indo-European languages:!!Speak English "very well"</t>
  </si>
  <si>
    <t>B16005_033</t>
  </si>
  <si>
    <t>Estimate!!Total:!!Foreign born:!!Speak other Indo-European languages:!!Speak English "well"</t>
  </si>
  <si>
    <t>B16005_034</t>
  </si>
  <si>
    <t>Estimate!!Total:!!Foreign born:!!Speak other Indo-European languages:!!Speak English "not well"</t>
  </si>
  <si>
    <t>B16005_035</t>
  </si>
  <si>
    <t>Estimate!!Total:!!Foreign born:!!Speak other Indo-European languages:!!Speak English "not at all"</t>
  </si>
  <si>
    <t>B16005_036</t>
  </si>
  <si>
    <t>Estimate!!Total:!!Foreign born:!!Speak Asian and Pacific Island languages:</t>
  </si>
  <si>
    <t>B16005_037</t>
  </si>
  <si>
    <t>Estimate!!Total:!!Foreign born:!!Speak Asian and Pacific Island languages:!!Speak English "very well"</t>
  </si>
  <si>
    <t>B16005_038</t>
  </si>
  <si>
    <t>Estimate!!Total:!!Foreign born:!!Speak Asian and Pacific Island languages:!!Speak English "well"</t>
  </si>
  <si>
    <t>B16005_039</t>
  </si>
  <si>
    <t>Estimate!!Total:!!Foreign born:!!Speak Asian and Pacific Island languages:!!Speak English "not well"</t>
  </si>
  <si>
    <t>B16005_040</t>
  </si>
  <si>
    <t>Estimate!!Total:!!Foreign born:!!Speak Asian and Pacific Island languages:!!Speak English "not at all"</t>
  </si>
  <si>
    <t>B16005_041</t>
  </si>
  <si>
    <t>B16005_042</t>
  </si>
  <si>
    <t>B16005_043</t>
  </si>
  <si>
    <t>Estimate!!Total:!!Foreign born:!!Speak other languages:!!Speak English "well"</t>
  </si>
  <si>
    <t>B16005_044</t>
  </si>
  <si>
    <t>Estimate!!Total:!!Foreign born:!!Speak other languages:!!Speak English "not well"</t>
  </si>
  <si>
    <t>B16005_045</t>
  </si>
  <si>
    <t>Estimate!!Total:!!Foreign born:!!Speak other languages:!!Speak English "not at all"</t>
  </si>
  <si>
    <t>B16006_002</t>
  </si>
  <si>
    <t>B16006_003</t>
  </si>
  <si>
    <t>B16006_004</t>
  </si>
  <si>
    <t>B16006_005</t>
  </si>
  <si>
    <t>Estimate!!Total:!!Speak Spanish:!!Speak English "well"</t>
  </si>
  <si>
    <t>B16006_006</t>
  </si>
  <si>
    <t>Estimate!!Total:!!Speak Spanish:!!Speak English "not well"</t>
  </si>
  <si>
    <t>B16006_007</t>
  </si>
  <si>
    <t>Estimate!!Total:!!Speak Spanish:!!Speak English "not at all"</t>
  </si>
  <si>
    <t>B16006_008</t>
  </si>
  <si>
    <t>Estimate!!Total:!!Speak other language</t>
  </si>
  <si>
    <t>B16007_002</t>
  </si>
  <si>
    <t>B16007_003</t>
  </si>
  <si>
    <t>B16007_004</t>
  </si>
  <si>
    <t>B16007_005</t>
  </si>
  <si>
    <t>B16007_006</t>
  </si>
  <si>
    <t>B16007_007</t>
  </si>
  <si>
    <t>B16007_008</t>
  </si>
  <si>
    <t>B16007_009</t>
  </si>
  <si>
    <t>B16007_010</t>
  </si>
  <si>
    <t>Estimate!!Total:!!18 to 64 years:!!Speak Spanish</t>
  </si>
  <si>
    <t>B16007_011</t>
  </si>
  <si>
    <t>Estimate!!Total:!!18 to 64 years:!!Speak other Indo-European languages</t>
  </si>
  <si>
    <t>B16007_012</t>
  </si>
  <si>
    <t>Estimate!!Total:!!18 to 64 years:!!Speak Asian and Pacific Island languages</t>
  </si>
  <si>
    <t>B16007_013</t>
  </si>
  <si>
    <t>Estimate!!Total:!!18 to 64 years:!!Speak other languages</t>
  </si>
  <si>
    <t>B16007_014</t>
  </si>
  <si>
    <t>B16007_015</t>
  </si>
  <si>
    <t>B16007_016</t>
  </si>
  <si>
    <t>Estimate!!Total:!!65 years and over:!!Speak Spanish</t>
  </si>
  <si>
    <t>B16007_017</t>
  </si>
  <si>
    <t>Estimate!!Total:!!65 years and over:!!Speak other Indo-European languages</t>
  </si>
  <si>
    <t>B16007_018</t>
  </si>
  <si>
    <t>Estimate!!Total:!!65 years and over:!!Speak Asian and Pacific Island languages</t>
  </si>
  <si>
    <t>B16007_019</t>
  </si>
  <si>
    <t>Estimate!!Total:!!65 years and over:!!Speak other languages</t>
  </si>
  <si>
    <t>B16008_002</t>
  </si>
  <si>
    <t>Estimate!!Total:!!Native population:</t>
  </si>
  <si>
    <t>B16008_003</t>
  </si>
  <si>
    <t>Estimate!!Total:!!Native population:!!5 to 17 years:</t>
  </si>
  <si>
    <t>B16008_004</t>
  </si>
  <si>
    <t>Estimate!!Total:!!Native population:!!5 to 17 years:!!Speak only English</t>
  </si>
  <si>
    <t>B16008_005</t>
  </si>
  <si>
    <t>Estimate!!Total:!!Native population:!!5 to 17 years:!!Speak Spanish:</t>
  </si>
  <si>
    <t>B16008_006</t>
  </si>
  <si>
    <t>Estimate!!Total:!!Native population:!!5 to 17 years:!!Speak Spanish:!!Speak English "very well"</t>
  </si>
  <si>
    <t>B16008_007</t>
  </si>
  <si>
    <t>Estimate!!Total:!!Native population:!!5 to 17 years:!!Speak Spanish:!!Speak English less than "very well"</t>
  </si>
  <si>
    <t>B16008_008</t>
  </si>
  <si>
    <t>Estimate!!Total:!!Native population:!!5 to 17 years:!!Speak other languages:</t>
  </si>
  <si>
    <t>B16008_009</t>
  </si>
  <si>
    <t>Estimate!!Total:!!Native population:!!5 to 17 years:!!Speak other languages:!!Speak English "very well"</t>
  </si>
  <si>
    <t>B16008_010</t>
  </si>
  <si>
    <t>Estimate!!Total:!!Native population:!!5 to 17 years:!!Speak other languages:!!Speak English less than "very well"</t>
  </si>
  <si>
    <t>B16008_011</t>
  </si>
  <si>
    <t>Estimate!!Total:!!Native population:!!18 years and over:</t>
  </si>
  <si>
    <t>B16008_012</t>
  </si>
  <si>
    <t>Estimate!!Total:!!Native population:!!18 years and over:!!Speak only English</t>
  </si>
  <si>
    <t>B16008_013</t>
  </si>
  <si>
    <t>Estimate!!Total:!!Native population:!!18 years and over:!!Speak Spanish:</t>
  </si>
  <si>
    <t>B16008_014</t>
  </si>
  <si>
    <t>Estimate!!Total:!!Native population:!!18 years and over:!!Speak Spanish:!!Speak English "very well"</t>
  </si>
  <si>
    <t>B16008_015</t>
  </si>
  <si>
    <t>Estimate!!Total:!!Native population:!!18 years and over:!!Speak Spanish:!!Speak English less than "very well"</t>
  </si>
  <si>
    <t>B16008_016</t>
  </si>
  <si>
    <t>Estimate!!Total:!!Native population:!!18 years and over:!!Speak other languages:</t>
  </si>
  <si>
    <t>B16008_017</t>
  </si>
  <si>
    <t>Estimate!!Total:!!Native population:!!18 years and over:!!Speak other languages:!!Speak English "very well"</t>
  </si>
  <si>
    <t>B16008_018</t>
  </si>
  <si>
    <t>Estimate!!Total:!!Native population:!!18 years and over:!!Speak other languages:!!Speak English less than "very well"</t>
  </si>
  <si>
    <t>B16008_019</t>
  </si>
  <si>
    <t>Estimate!!Total:!!Foreign-born population:</t>
  </si>
  <si>
    <t>B16008_020</t>
  </si>
  <si>
    <t>Estimate!!Total:!!Foreign-born population:!!Naturalized U.S. citizen:</t>
  </si>
  <si>
    <t>B16008_021</t>
  </si>
  <si>
    <t>Estimate!!Total:!!Foreign-born population:!!Naturalized U.S. citizen:!!5 to 17 years:</t>
  </si>
  <si>
    <t>B16008_022</t>
  </si>
  <si>
    <t>Estimate!!Total:!!Foreign-born population:!!Naturalized U.S. citizen:!!5 to 17 years:!!Speak only English</t>
  </si>
  <si>
    <t>B16008_023</t>
  </si>
  <si>
    <t>Estimate!!Total:!!Foreign-born population:!!Naturalized U.S. citizen:!!5 to 17 years:!!Speak Spanish:</t>
  </si>
  <si>
    <t>B16008_024</t>
  </si>
  <si>
    <t>Estimate!!Total:!!Foreign-born population:!!Naturalized U.S. citizen:!!5 to 17 years:!!Speak Spanish:!!Speak English "very well"</t>
  </si>
  <si>
    <t>B16008_025</t>
  </si>
  <si>
    <t>Estimate!!Total:!!Foreign-born population:!!Naturalized U.S. citizen:!!5 to 17 years:!!Speak Spanish:!!Speak English less than "very well"</t>
  </si>
  <si>
    <t>B16008_026</t>
  </si>
  <si>
    <t>Estimate!!Total:!!Foreign-born population:!!Naturalized U.S. citizen:!!5 to 17 years:!!Speak other languages:</t>
  </si>
  <si>
    <t>B16008_027</t>
  </si>
  <si>
    <t>Estimate!!Total:!!Foreign-born population:!!Naturalized U.S. citizen:!!5 to 17 years:!!Speak other languages:!!Speak English "very well"</t>
  </si>
  <si>
    <t>B16008_028</t>
  </si>
  <si>
    <t>Estimate!!Total:!!Foreign-born population:!!Naturalized U.S. citizen:!!5 to 17 years:!!Speak other languages:!!Speak English less than "very well"</t>
  </si>
  <si>
    <t>B16008_029</t>
  </si>
  <si>
    <t>Estimate!!Total:!!Foreign-born population:!!Naturalized U.S. citizen:!!18 years and over:</t>
  </si>
  <si>
    <t>B16008_030</t>
  </si>
  <si>
    <t>Estimate!!Total:!!Foreign-born population:!!Naturalized U.S. citizen:!!18 years and over:!!Speak only English</t>
  </si>
  <si>
    <t>B16008_031</t>
  </si>
  <si>
    <t>Estimate!!Total:!!Foreign-born population:!!Naturalized U.S. citizen:!!18 years and over:!!Speak Spanish:</t>
  </si>
  <si>
    <t>B16008_032</t>
  </si>
  <si>
    <t>Estimate!!Total:!!Foreign-born population:!!Naturalized U.S. citizen:!!18 years and over:!!Speak Spanish:!!Speak English "very well"</t>
  </si>
  <si>
    <t>B16008_033</t>
  </si>
  <si>
    <t>Estimate!!Total:!!Foreign-born population:!!Naturalized U.S. citizen:!!18 years and over:!!Speak Spanish:!!Speak English less than "very well"</t>
  </si>
  <si>
    <t>B16008_034</t>
  </si>
  <si>
    <t>Estimate!!Total:!!Foreign-born population:!!Naturalized U.S. citizen:!!18 years and over:!!Speak other languages:</t>
  </si>
  <si>
    <t>B16008_035</t>
  </si>
  <si>
    <t>Estimate!!Total:!!Foreign-born population:!!Naturalized U.S. citizen:!!18 years and over:!!Speak other languages:!!Speak English "very well"</t>
  </si>
  <si>
    <t>B16008_036</t>
  </si>
  <si>
    <t>Estimate!!Total:!!Foreign-born population:!!Naturalized U.S. citizen:!!18 years and over:!!Speak other languages:!!Speak English less than "very well"</t>
  </si>
  <si>
    <t>B16008_037</t>
  </si>
  <si>
    <t>Estimate!!Total:!!Foreign-born population:!!Not a U.S. citizen:</t>
  </si>
  <si>
    <t>B16008_038</t>
  </si>
  <si>
    <t>Estimate!!Total:!!Foreign-born population:!!Not a U.S. citizen:!!5 to 17 years:</t>
  </si>
  <si>
    <t>B16008_039</t>
  </si>
  <si>
    <t>Estimate!!Total:!!Foreign-born population:!!Not a U.S. citizen:!!5 to 17 years:!!Speak only English</t>
  </si>
  <si>
    <t>B16008_040</t>
  </si>
  <si>
    <t>Estimate!!Total:!!Foreign-born population:!!Not a U.S. citizen:!!5 to 17 years:!!Speak Spanish:</t>
  </si>
  <si>
    <t>B16008_041</t>
  </si>
  <si>
    <t>Estimate!!Total:!!Foreign-born population:!!Not a U.S. citizen:!!5 to 17 years:!!Speak Spanish:!!Speak English "very well"</t>
  </si>
  <si>
    <t>B16008_042</t>
  </si>
  <si>
    <t>Estimate!!Total:!!Foreign-born population:!!Not a U.S. citizen:!!5 to 17 years:!!Speak Spanish:!!Speak English less than "very well"</t>
  </si>
  <si>
    <t>B16008_043</t>
  </si>
  <si>
    <t>Estimate!!Total:!!Foreign-born population:!!Not a U.S. citizen:!!5 to 17 years:!!Speak other languages:</t>
  </si>
  <si>
    <t>B16008_044</t>
  </si>
  <si>
    <t>Estimate!!Total:!!Foreign-born population:!!Not a U.S. citizen:!!5 to 17 years:!!Speak other languages:!!Speak English "very well"</t>
  </si>
  <si>
    <t>B16008_045</t>
  </si>
  <si>
    <t>Estimate!!Total:!!Foreign-born population:!!Not a U.S. citizen:!!5 to 17 years:!!Speak other languages:!!Speak English less than "very well"</t>
  </si>
  <si>
    <t>B16008_046</t>
  </si>
  <si>
    <t>Estimate!!Total:!!Foreign-born population:!!Not a U.S. citizen:!!18 years and over:</t>
  </si>
  <si>
    <t>B16008_047</t>
  </si>
  <si>
    <t>Estimate!!Total:!!Foreign-born population:!!Not a U.S. citizen:!!18 years and over:!!Speak only English</t>
  </si>
  <si>
    <t>B16008_048</t>
  </si>
  <si>
    <t>Estimate!!Total:!!Foreign-born population:!!Not a U.S. citizen:!!18 years and over:!!Speak Spanish:</t>
  </si>
  <si>
    <t>B16008_049</t>
  </si>
  <si>
    <t>Estimate!!Total:!!Foreign-born population:!!Not a U.S. citizen:!!18 years and over:!!Speak Spanish:!!Speak English "very well"</t>
  </si>
  <si>
    <t>B16008_050</t>
  </si>
  <si>
    <t>Estimate!!Total:!!Foreign-born population:!!Not a U.S. citizen:!!18 years and over:!!Speak Spanish:!!Speak English less than "very well"</t>
  </si>
  <si>
    <t>B16008_051</t>
  </si>
  <si>
    <t>Estimate!!Total:!!Foreign-born population:!!Not a U.S. citizen:!!18 years and over:!!Speak other languages:</t>
  </si>
  <si>
    <t>B16008_052</t>
  </si>
  <si>
    <t>Estimate!!Total:!!Foreign-born population:!!Not a U.S. citizen:!!18 years and over:!!Speak other languages:!!Speak English "very well"</t>
  </si>
  <si>
    <t>B16008_053</t>
  </si>
  <si>
    <t>Estimate!!Total:!!Foreign-born population:!!Not a U.S. citizen:!!18 years and over:!!Speak other languages:!!Speak English less than "very well"</t>
  </si>
  <si>
    <t>B16009_002</t>
  </si>
  <si>
    <t>B16009_003</t>
  </si>
  <si>
    <t>Estimate!!Total:!!Income in the past 12 months below poverty level:!!5 to 17 years:</t>
  </si>
  <si>
    <t>B16009_004</t>
  </si>
  <si>
    <t>Estimate!!Total:!!Income in the past 12 months below poverty level:!!5 to 17 years:!!Speak only English</t>
  </si>
  <si>
    <t>B16009_005</t>
  </si>
  <si>
    <t>Estimate!!Total:!!Income in the past 12 months below poverty level:!!5 to 17 years:!!Speak Spanish</t>
  </si>
  <si>
    <t>B16009_006</t>
  </si>
  <si>
    <t>Estimate!!Total:!!Income in the past 12 months below poverty level:!!5 to 17 years:!!Speak other Indo-European languages</t>
  </si>
  <si>
    <t>B16009_007</t>
  </si>
  <si>
    <t>Estimate!!Total:!!Income in the past 12 months below poverty level:!!5 to 17 years:!!Speak Asian and Pacific Island languages</t>
  </si>
  <si>
    <t>B16009_008</t>
  </si>
  <si>
    <t>Estimate!!Total:!!Income in the past 12 months below poverty level:!!5 to 17 years:!!Speak other languages</t>
  </si>
  <si>
    <t>B16009_009</t>
  </si>
  <si>
    <t>Estimate!!Total:!!Income in the past 12 months below poverty level:!!18 years and over:</t>
  </si>
  <si>
    <t>B16009_010</t>
  </si>
  <si>
    <t>Estimate!!Total:!!Income in the past 12 months below poverty level:!!18 years and over:!!Speak only English</t>
  </si>
  <si>
    <t>B16009_011</t>
  </si>
  <si>
    <t>Estimate!!Total:!!Income in the past 12 months below poverty level:!!18 years and over:!!Speak Spanish</t>
  </si>
  <si>
    <t>B16009_012</t>
  </si>
  <si>
    <t>Estimate!!Total:!!Income in the past 12 months below poverty level:!!18 years and over:!!Speak other Indo-European languages</t>
  </si>
  <si>
    <t>B16009_013</t>
  </si>
  <si>
    <t>Estimate!!Total:!!Income in the past 12 months below poverty level:!!18 years and over:!!Speak Asian and Pacific Island languages</t>
  </si>
  <si>
    <t>B16009_014</t>
  </si>
  <si>
    <t>Estimate!!Total:!!Income in the past 12 months below poverty level:!!18 years and over:!!Speak other languages</t>
  </si>
  <si>
    <t>B16009_015</t>
  </si>
  <si>
    <t>B16009_016</t>
  </si>
  <si>
    <t>Estimate!!Total:!!Income in the past 12 months at or above poverty level:!!5 to 17 years:</t>
  </si>
  <si>
    <t>B16009_017</t>
  </si>
  <si>
    <t>Estimate!!Total:!!Income in the past 12 months at or above poverty level:!!5 to 17 years:!!Speak only English</t>
  </si>
  <si>
    <t>B16009_018</t>
  </si>
  <si>
    <t>Estimate!!Total:!!Income in the past 12 months at or above poverty level:!!5 to 17 years:!!Speak Spanish</t>
  </si>
  <si>
    <t>B16009_019</t>
  </si>
  <si>
    <t>Estimate!!Total:!!Income in the past 12 months at or above poverty level:!!5 to 17 years:!!Speak other Indo-European languages</t>
  </si>
  <si>
    <t>B16009_020</t>
  </si>
  <si>
    <t>Estimate!!Total:!!Income in the past 12 months at or above poverty level:!!5 to 17 years:!!Speak Asian and Pacific Island languages</t>
  </si>
  <si>
    <t>B16009_021</t>
  </si>
  <si>
    <t>Estimate!!Total:!!Income in the past 12 months at or above poverty level:!!5 to 17 years:!!Speak other languages</t>
  </si>
  <si>
    <t>B16009_022</t>
  </si>
  <si>
    <t>Estimate!!Total:!!Income in the past 12 months at or above poverty level:!!18 years and over:</t>
  </si>
  <si>
    <t>B16009_023</t>
  </si>
  <si>
    <t>Estimate!!Total:!!Income in the past 12 months at or above poverty level:!!18 years and over:!!Speak only English</t>
  </si>
  <si>
    <t>B16009_024</t>
  </si>
  <si>
    <t>Estimate!!Total:!!Income in the past 12 months at or above poverty level:!!18 years and over:!!Speak Spanish</t>
  </si>
  <si>
    <t>B16009_025</t>
  </si>
  <si>
    <t>Estimate!!Total:!!Income in the past 12 months at or above poverty level:!!18 years and over:!!Speak other Indo-European languages</t>
  </si>
  <si>
    <t>B16009_026</t>
  </si>
  <si>
    <t>Estimate!!Total:!!Income in the past 12 months at or above poverty level:!!18 years and over:!!Speak Asian and Pacific Island languages</t>
  </si>
  <si>
    <t>B16009_027</t>
  </si>
  <si>
    <t>Estimate!!Total:!!Income in the past 12 months at or above poverty level:!!18 years and over:!!Speak other languages</t>
  </si>
  <si>
    <t>B16010_002</t>
  </si>
  <si>
    <t>Estimate!!Total:!!Less than high school graduate:</t>
  </si>
  <si>
    <t>B16010_003</t>
  </si>
  <si>
    <t>Estimate!!Total:!!Less than high school graduate:!!In labor force:</t>
  </si>
  <si>
    <t>B16010_004</t>
  </si>
  <si>
    <t>Estimate!!Total:!!Less than high school graduate:!!In labor force:!!Speak only English</t>
  </si>
  <si>
    <t>B16010_005</t>
  </si>
  <si>
    <t>Estimate!!Total:!!Less than high school graduate:!!In labor force:!!Speak Spanish</t>
  </si>
  <si>
    <t>B16010_006</t>
  </si>
  <si>
    <t>Estimate!!Total:!!Less than high school graduate:!!In labor force:!!Speak other Indo-European languages</t>
  </si>
  <si>
    <t>B16010_007</t>
  </si>
  <si>
    <t>Estimate!!Total:!!Less than high school graduate:!!In labor force:!!Speak Asian and Pacific Island languages</t>
  </si>
  <si>
    <t>B16010_008</t>
  </si>
  <si>
    <t>Estimate!!Total:!!Less than high school graduate:!!In labor force:!!Speak other languages</t>
  </si>
  <si>
    <t>B16010_009</t>
  </si>
  <si>
    <t>Estimate!!Total:!!Less than high school graduate:!!Not in labor force:</t>
  </si>
  <si>
    <t>B16010_010</t>
  </si>
  <si>
    <t>Estimate!!Total:!!Less than high school graduate:!!Not in labor force:!!Speak only English</t>
  </si>
  <si>
    <t>B16010_011</t>
  </si>
  <si>
    <t>Estimate!!Total:!!Less than high school graduate:!!Not in labor force:!!Speak Spanish</t>
  </si>
  <si>
    <t>B16010_012</t>
  </si>
  <si>
    <t>Estimate!!Total:!!Less than high school graduate:!!Not in labor force:!!Speak other Indo-European languages</t>
  </si>
  <si>
    <t>B16010_013</t>
  </si>
  <si>
    <t>Estimate!!Total:!!Less than high school graduate:!!Not in labor force:!!Speak Asian and Pacific Island languages</t>
  </si>
  <si>
    <t>B16010_014</t>
  </si>
  <si>
    <t>Estimate!!Total:!!Less than high school graduate:!!Not in labor force:!!Speak other languages</t>
  </si>
  <si>
    <t>B16010_015</t>
  </si>
  <si>
    <t>Estimate!!Total:!!High school graduate (includes equivalency):</t>
  </si>
  <si>
    <t>B16010_016</t>
  </si>
  <si>
    <t>Estimate!!Total:!!High school graduate (includes equivalency):!!In labor force:</t>
  </si>
  <si>
    <t>B16010_017</t>
  </si>
  <si>
    <t>Estimate!!Total:!!High school graduate (includes equivalency):!!In labor force:!!Speak only English</t>
  </si>
  <si>
    <t>B16010_018</t>
  </si>
  <si>
    <t>Estimate!!Total:!!High school graduate (includes equivalency):!!In labor force:!!Speak Spanish</t>
  </si>
  <si>
    <t>B16010_019</t>
  </si>
  <si>
    <t>Estimate!!Total:!!High school graduate (includes equivalency):!!In labor force:!!Speak other Indo-European languages</t>
  </si>
  <si>
    <t>B16010_020</t>
  </si>
  <si>
    <t>Estimate!!Total:!!High school graduate (includes equivalency):!!In labor force:!!Speak Asian and Pacific Island languages</t>
  </si>
  <si>
    <t>B16010_021</t>
  </si>
  <si>
    <t>Estimate!!Total:!!High school graduate (includes equivalency):!!In labor force:!!Speak other languages</t>
  </si>
  <si>
    <t>B16010_022</t>
  </si>
  <si>
    <t>Estimate!!Total:!!High school graduate (includes equivalency):!!Not in labor force:</t>
  </si>
  <si>
    <t>B16010_023</t>
  </si>
  <si>
    <t>Estimate!!Total:!!High school graduate (includes equivalency):!!Not in labor force:!!Speak only English</t>
  </si>
  <si>
    <t>B16010_024</t>
  </si>
  <si>
    <t>Estimate!!Total:!!High school graduate (includes equivalency):!!Not in labor force:!!Speak Spanish</t>
  </si>
  <si>
    <t>B16010_025</t>
  </si>
  <si>
    <t>Estimate!!Total:!!High school graduate (includes equivalency):!!Not in labor force:!!Speak other Indo-European languages</t>
  </si>
  <si>
    <t>B16010_026</t>
  </si>
  <si>
    <t>Estimate!!Total:!!High school graduate (includes equivalency):!!Not in labor force:!!Speak Asian and Pacific Island languages</t>
  </si>
  <si>
    <t>B16010_027</t>
  </si>
  <si>
    <t>Estimate!!Total:!!High school graduate (includes equivalency):!!Not in labor force:!!Speak other languages</t>
  </si>
  <si>
    <t>B16010_028</t>
  </si>
  <si>
    <t>Estimate!!Total:!!Some college or associate's degree:</t>
  </si>
  <si>
    <t>B16010_029</t>
  </si>
  <si>
    <t>Estimate!!Total:!!Some college or associate's degree:!!In labor force:</t>
  </si>
  <si>
    <t>B16010_030</t>
  </si>
  <si>
    <t>Estimate!!Total:!!Some college or associate's degree:!!In labor force:!!Speak only English</t>
  </si>
  <si>
    <t>B16010_031</t>
  </si>
  <si>
    <t>Estimate!!Total:!!Some college or associate's degree:!!In labor force:!!Speak Spanish</t>
  </si>
  <si>
    <t>B16010_032</t>
  </si>
  <si>
    <t>Estimate!!Total:!!Some college or associate's degree:!!In labor force:!!Speak other Indo-European languages</t>
  </si>
  <si>
    <t>B16010_033</t>
  </si>
  <si>
    <t>Estimate!!Total:!!Some college or associate's degree:!!In labor force:!!Speak Asian and Pacific Island languages</t>
  </si>
  <si>
    <t>B16010_034</t>
  </si>
  <si>
    <t>Estimate!!Total:!!Some college or associate's degree:!!In labor force:!!Speak other languages</t>
  </si>
  <si>
    <t>B16010_035</t>
  </si>
  <si>
    <t>Estimate!!Total:!!Some college or associate's degree:!!Not in labor force:</t>
  </si>
  <si>
    <t>B16010_036</t>
  </si>
  <si>
    <t>Estimate!!Total:!!Some college or associate's degree:!!Not in labor force:!!Speak only English</t>
  </si>
  <si>
    <t>B16010_037</t>
  </si>
  <si>
    <t>Estimate!!Total:!!Some college or associate's degree:!!Not in labor force:!!Speak Spanish</t>
  </si>
  <si>
    <t>B16010_038</t>
  </si>
  <si>
    <t>Estimate!!Total:!!Some college or associate's degree:!!Not in labor force:!!Speak other Indo-European languages</t>
  </si>
  <si>
    <t>B16010_039</t>
  </si>
  <si>
    <t>Estimate!!Total:!!Some college or associate's degree:!!Not in labor force:!!Speak Asian and Pacific Island languages</t>
  </si>
  <si>
    <t>B16010_040</t>
  </si>
  <si>
    <t>Estimate!!Total:!!Some college or associate's degree:!!Not in labor force:!!Speak other languages</t>
  </si>
  <si>
    <t>B16010_041</t>
  </si>
  <si>
    <t>Estimate!!Total:!!Bachelor's degree or higher:</t>
  </si>
  <si>
    <t>B16010_042</t>
  </si>
  <si>
    <t>Estimate!!Total:!!Bachelor's degree or higher:!!In labor force:</t>
  </si>
  <si>
    <t>B16010_043</t>
  </si>
  <si>
    <t>Estimate!!Total:!!Bachelor's degree or higher:!!In labor force:!!Speak only English</t>
  </si>
  <si>
    <t>B16010_044</t>
  </si>
  <si>
    <t>Estimate!!Total:!!Bachelor's degree or higher:!!In labor force:!!Speak Spanish</t>
  </si>
  <si>
    <t>B16010_045</t>
  </si>
  <si>
    <t>Estimate!!Total:!!Bachelor's degree or higher:!!In labor force:!!Speak other Indo-European languages</t>
  </si>
  <si>
    <t>B16010_046</t>
  </si>
  <si>
    <t>Estimate!!Total:!!Bachelor's degree or higher:!!In labor force:!!Speak Asian and Pacific Island languages</t>
  </si>
  <si>
    <t>B16010_047</t>
  </si>
  <si>
    <t>Estimate!!Total:!!Bachelor's degree or higher:!!In labor force:!!Speak other languages</t>
  </si>
  <si>
    <t>B16010_048</t>
  </si>
  <si>
    <t>Estimate!!Total:!!Bachelor's degree or higher:!!Not in labor force:</t>
  </si>
  <si>
    <t>B16010_049</t>
  </si>
  <si>
    <t>Estimate!!Total:!!Bachelor's degree or higher:!!Not in labor force:!!Speak only English</t>
  </si>
  <si>
    <t>B16010_050</t>
  </si>
  <si>
    <t>Estimate!!Total:!!Bachelor's degree or higher:!!Not in labor force:!!Speak Spanish</t>
  </si>
  <si>
    <t>B16010_051</t>
  </si>
  <si>
    <t>Estimate!!Total:!!Bachelor's degree or higher:!!Not in labor force:!!Speak other Indo-European languages</t>
  </si>
  <si>
    <t>B16010_052</t>
  </si>
  <si>
    <t>Estimate!!Total:!!Bachelor's degree or higher:!!Not in labor force:!!Speak Asian and Pacific Island languages</t>
  </si>
  <si>
    <t>B16010_053</t>
  </si>
  <si>
    <t>Estimate!!Total:!!Bachelor's degree or higher:!!Not in labor force:!!Speak other languages</t>
  </si>
  <si>
    <t>B17001A_002</t>
  </si>
  <si>
    <t>B17001A_003</t>
  </si>
  <si>
    <t>Estimate!!Total:!!Income in the past 12 months below poverty level:!!Male:</t>
  </si>
  <si>
    <t>B17001A_004</t>
  </si>
  <si>
    <t>Estimate!!Total:!!Income in the past 12 months below poverty level:!!Male:!!Under 5 years</t>
  </si>
  <si>
    <t>B17001A_005</t>
  </si>
  <si>
    <t>Estimate!!Total:!!Income in the past 12 months below poverty level:!!Male:!!5 years</t>
  </si>
  <si>
    <t>B17001A_006</t>
  </si>
  <si>
    <t>Estimate!!Total:!!Income in the past 12 months below poverty level:!!Male:!!6 to 11 years</t>
  </si>
  <si>
    <t>B17001A_007</t>
  </si>
  <si>
    <t>Estimate!!Total:!!Income in the past 12 months below poverty level:!!Male:!!12 to 14 years</t>
  </si>
  <si>
    <t>B17001A_008</t>
  </si>
  <si>
    <t>Estimate!!Total:!!Income in the past 12 months below poverty level:!!Male:!!15 years</t>
  </si>
  <si>
    <t>B17001A_009</t>
  </si>
  <si>
    <t>Estimate!!Total:!!Income in the past 12 months below poverty level:!!Male:!!16 and 17 years</t>
  </si>
  <si>
    <t>B17001A_010</t>
  </si>
  <si>
    <t>Estimate!!Total:!!Income in the past 12 months below poverty level:!!Male:!!18 to 24 years</t>
  </si>
  <si>
    <t>B17001A_011</t>
  </si>
  <si>
    <t>Estimate!!Total:!!Income in the past 12 months below poverty level:!!Male:!!25 to 34 years</t>
  </si>
  <si>
    <t>B17001A_012</t>
  </si>
  <si>
    <t>Estimate!!Total:!!Income in the past 12 months below poverty level:!!Male:!!35 to 44 years</t>
  </si>
  <si>
    <t>B17001A_013</t>
  </si>
  <si>
    <t>Estimate!!Total:!!Income in the past 12 months below poverty level:!!Male:!!45 to 54 years</t>
  </si>
  <si>
    <t>B17001A_014</t>
  </si>
  <si>
    <t>Estimate!!Total:!!Income in the past 12 months below poverty level:!!Male:!!55 to 64 years</t>
  </si>
  <si>
    <t>B17001A_015</t>
  </si>
  <si>
    <t>Estimate!!Total:!!Income in the past 12 months below poverty level:!!Male:!!65 to 74 years</t>
  </si>
  <si>
    <t>B17001A_016</t>
  </si>
  <si>
    <t>Estimate!!Total:!!Income in the past 12 months below poverty level:!!Male:!!75 years and over</t>
  </si>
  <si>
    <t>B17001A_017</t>
  </si>
  <si>
    <t>Estimate!!Total:!!Income in the past 12 months below poverty level:!!Female:</t>
  </si>
  <si>
    <t>B17001A_018</t>
  </si>
  <si>
    <t>Estimate!!Total:!!Income in the past 12 months below poverty level:!!Female:!!Under 5 years</t>
  </si>
  <si>
    <t>B17001A_019</t>
  </si>
  <si>
    <t>Estimate!!Total:!!Income in the past 12 months below poverty level:!!Female:!!5 years</t>
  </si>
  <si>
    <t>B17001A_020</t>
  </si>
  <si>
    <t>Estimate!!Total:!!Income in the past 12 months below poverty level:!!Female:!!6 to 11 years</t>
  </si>
  <si>
    <t>B17001A_021</t>
  </si>
  <si>
    <t>Estimate!!Total:!!Income in the past 12 months below poverty level:!!Female:!!12 to 14 years</t>
  </si>
  <si>
    <t>B17001A_022</t>
  </si>
  <si>
    <t>Estimate!!Total:!!Income in the past 12 months below poverty level:!!Female:!!15 years</t>
  </si>
  <si>
    <t>B17001A_023</t>
  </si>
  <si>
    <t>Estimate!!Total:!!Income in the past 12 months below poverty level:!!Female:!!16 and 17 years</t>
  </si>
  <si>
    <t>B17001A_024</t>
  </si>
  <si>
    <t>Estimate!!Total:!!Income in the past 12 months below poverty level:!!Female:!!18 to 24 years</t>
  </si>
  <si>
    <t>B17001A_025</t>
  </si>
  <si>
    <t>Estimate!!Total:!!Income in the past 12 months below poverty level:!!Female:!!25 to 34 years</t>
  </si>
  <si>
    <t>B17001A_026</t>
  </si>
  <si>
    <t>Estimate!!Total:!!Income in the past 12 months below poverty level:!!Female:!!35 to 44 years</t>
  </si>
  <si>
    <t>B17001A_027</t>
  </si>
  <si>
    <t>Estimate!!Total:!!Income in the past 12 months below poverty level:!!Female:!!45 to 54 years</t>
  </si>
  <si>
    <t>B17001A_028</t>
  </si>
  <si>
    <t>Estimate!!Total:!!Income in the past 12 months below poverty level:!!Female:!!55 to 64 years</t>
  </si>
  <si>
    <t>B17001A_029</t>
  </si>
  <si>
    <t>Estimate!!Total:!!Income in the past 12 months below poverty level:!!Female:!!65 to 74 years</t>
  </si>
  <si>
    <t>B17001A_030</t>
  </si>
  <si>
    <t>Estimate!!Total:!!Income in the past 12 months below poverty level:!!Female:!!75 years and over</t>
  </si>
  <si>
    <t>B17001A_031</t>
  </si>
  <si>
    <t>B17001A_032</t>
  </si>
  <si>
    <t>Estimate!!Total:!!Income in the past 12 months at or above poverty level:!!Male:</t>
  </si>
  <si>
    <t>B17001A_033</t>
  </si>
  <si>
    <t>Estimate!!Total:!!Income in the past 12 months at or above poverty level:!!Male:!!Under 5 years</t>
  </si>
  <si>
    <t>B17001A_034</t>
  </si>
  <si>
    <t>Estimate!!Total:!!Income in the past 12 months at or above poverty level:!!Male:!!5 years</t>
  </si>
  <si>
    <t>B17001A_035</t>
  </si>
  <si>
    <t>Estimate!!Total:!!Income in the past 12 months at or above poverty level:!!Male:!!6 to 11 years</t>
  </si>
  <si>
    <t>B17001A_036</t>
  </si>
  <si>
    <t>Estimate!!Total:!!Income in the past 12 months at or above poverty level:!!Male:!!12 to 14 years</t>
  </si>
  <si>
    <t>B17001A_037</t>
  </si>
  <si>
    <t>Estimate!!Total:!!Income in the past 12 months at or above poverty level:!!Male:!!15 years</t>
  </si>
  <si>
    <t>B17001A_038</t>
  </si>
  <si>
    <t>Estimate!!Total:!!Income in the past 12 months at or above poverty level:!!Male:!!16 and 17 years</t>
  </si>
  <si>
    <t>B17001A_039</t>
  </si>
  <si>
    <t>Estimate!!Total:!!Income in the past 12 months at or above poverty level:!!Male:!!18 to 24 years</t>
  </si>
  <si>
    <t>B17001A_040</t>
  </si>
  <si>
    <t>Estimate!!Total:!!Income in the past 12 months at or above poverty level:!!Male:!!25 to 34 years</t>
  </si>
  <si>
    <t>B17001A_041</t>
  </si>
  <si>
    <t>Estimate!!Total:!!Income in the past 12 months at or above poverty level:!!Male:!!35 to 44 years</t>
  </si>
  <si>
    <t>B17001A_042</t>
  </si>
  <si>
    <t>Estimate!!Total:!!Income in the past 12 months at or above poverty level:!!Male:!!45 to 54 years</t>
  </si>
  <si>
    <t>B17001A_043</t>
  </si>
  <si>
    <t>Estimate!!Total:!!Income in the past 12 months at or above poverty level:!!Male:!!55 to 64 years</t>
  </si>
  <si>
    <t>B17001A_044</t>
  </si>
  <si>
    <t>Estimate!!Total:!!Income in the past 12 months at or above poverty level:!!Male:!!65 to 74 years</t>
  </si>
  <si>
    <t>B17001A_045</t>
  </si>
  <si>
    <t>Estimate!!Total:!!Income in the past 12 months at or above poverty level:!!Male:!!75 years and over</t>
  </si>
  <si>
    <t>B17001A_046</t>
  </si>
  <si>
    <t>Estimate!!Total:!!Income in the past 12 months at or above poverty level:!!Female:</t>
  </si>
  <si>
    <t>B17001A_047</t>
  </si>
  <si>
    <t>Estimate!!Total:!!Income in the past 12 months at or above poverty level:!!Female:!!Under 5 years</t>
  </si>
  <si>
    <t>B17001A_048</t>
  </si>
  <si>
    <t>Estimate!!Total:!!Income in the past 12 months at or above poverty level:!!Female:!!5 years</t>
  </si>
  <si>
    <t>B17001A_049</t>
  </si>
  <si>
    <t>Estimate!!Total:!!Income in the past 12 months at or above poverty level:!!Female:!!6 to 11 years</t>
  </si>
  <si>
    <t>B17001A_050</t>
  </si>
  <si>
    <t>Estimate!!Total:!!Income in the past 12 months at or above poverty level:!!Female:!!12 to 14 years</t>
  </si>
  <si>
    <t>B17001A_051</t>
  </si>
  <si>
    <t>Estimate!!Total:!!Income in the past 12 months at or above poverty level:!!Female:!!15 years</t>
  </si>
  <si>
    <t>B17001A_052</t>
  </si>
  <si>
    <t>Estimate!!Total:!!Income in the past 12 months at or above poverty level:!!Female:!!16 and 17 years</t>
  </si>
  <si>
    <t>B17001A_053</t>
  </si>
  <si>
    <t>Estimate!!Total:!!Income in the past 12 months at or above poverty level:!!Female:!!18 to 24 years</t>
  </si>
  <si>
    <t>B17001A_054</t>
  </si>
  <si>
    <t>Estimate!!Total:!!Income in the past 12 months at or above poverty level:!!Female:!!25 to 34 years</t>
  </si>
  <si>
    <t>B17001A_055</t>
  </si>
  <si>
    <t>Estimate!!Total:!!Income in the past 12 months at or above poverty level:!!Female:!!35 to 44 years</t>
  </si>
  <si>
    <t>B17001A_056</t>
  </si>
  <si>
    <t>Estimate!!Total:!!Income in the past 12 months at or above poverty level:!!Female:!!45 to 54 years</t>
  </si>
  <si>
    <t>B17001A_057</t>
  </si>
  <si>
    <t>Estimate!!Total:!!Income in the past 12 months at or above poverty level:!!Female:!!55 to 64 years</t>
  </si>
  <si>
    <t>B17001A_058</t>
  </si>
  <si>
    <t>Estimate!!Total:!!Income in the past 12 months at or above poverty level:!!Female:!!65 to 74 years</t>
  </si>
  <si>
    <t>B17001A_059</t>
  </si>
  <si>
    <t>Estimate!!Total:!!Income in the past 12 months at or above poverty level:!!Female:!!75 years and over</t>
  </si>
  <si>
    <t>B17001B_002</t>
  </si>
  <si>
    <t>B17001B_003</t>
  </si>
  <si>
    <t>B17001B_004</t>
  </si>
  <si>
    <t>B17001B_005</t>
  </si>
  <si>
    <t>B17001B_006</t>
  </si>
  <si>
    <t>B17001B_007</t>
  </si>
  <si>
    <t>B17001B_008</t>
  </si>
  <si>
    <t>B17001B_009</t>
  </si>
  <si>
    <t>B17001B_010</t>
  </si>
  <si>
    <t>B17001B_011</t>
  </si>
  <si>
    <t>B17001B_012</t>
  </si>
  <si>
    <t>B17001B_013</t>
  </si>
  <si>
    <t>B17001B_014</t>
  </si>
  <si>
    <t>B17001B_015</t>
  </si>
  <si>
    <t>B17001B_016</t>
  </si>
  <si>
    <t>B17001B_017</t>
  </si>
  <si>
    <t>B17001B_018</t>
  </si>
  <si>
    <t>B17001B_019</t>
  </si>
  <si>
    <t>B17001B_020</t>
  </si>
  <si>
    <t>B17001B_021</t>
  </si>
  <si>
    <t>B17001B_022</t>
  </si>
  <si>
    <t>B17001B_023</t>
  </si>
  <si>
    <t>B17001B_024</t>
  </si>
  <si>
    <t>B17001B_025</t>
  </si>
  <si>
    <t>B17001B_026</t>
  </si>
  <si>
    <t>B17001B_027</t>
  </si>
  <si>
    <t>B17001B_028</t>
  </si>
  <si>
    <t>B17001B_029</t>
  </si>
  <si>
    <t>B17001B_030</t>
  </si>
  <si>
    <t>B17001B_031</t>
  </si>
  <si>
    <t>B17001B_032</t>
  </si>
  <si>
    <t>B17001B_033</t>
  </si>
  <si>
    <t>B17001B_034</t>
  </si>
  <si>
    <t>B17001B_035</t>
  </si>
  <si>
    <t>B17001B_036</t>
  </si>
  <si>
    <t>B17001B_037</t>
  </si>
  <si>
    <t>B17001B_038</t>
  </si>
  <si>
    <t>B17001B_039</t>
  </si>
  <si>
    <t>B17001B_040</t>
  </si>
  <si>
    <t>B17001B_041</t>
  </si>
  <si>
    <t>B17001B_042</t>
  </si>
  <si>
    <t>B17001B_043</t>
  </si>
  <si>
    <t>B17001B_044</t>
  </si>
  <si>
    <t>B17001B_045</t>
  </si>
  <si>
    <t>B17001B_046</t>
  </si>
  <si>
    <t>B17001B_047</t>
  </si>
  <si>
    <t>B17001B_048</t>
  </si>
  <si>
    <t>B17001B_049</t>
  </si>
  <si>
    <t>B17001B_050</t>
  </si>
  <si>
    <t>B17001B_051</t>
  </si>
  <si>
    <t>B17001B_052</t>
  </si>
  <si>
    <t>B17001B_053</t>
  </si>
  <si>
    <t>B17001B_054</t>
  </si>
  <si>
    <t>B17001B_055</t>
  </si>
  <si>
    <t>B17001B_056</t>
  </si>
  <si>
    <t>B17001B_057</t>
  </si>
  <si>
    <t>B17001B_058</t>
  </si>
  <si>
    <t>B17001B_059</t>
  </si>
  <si>
    <t>B17001C_002</t>
  </si>
  <si>
    <t>B17001C_003</t>
  </si>
  <si>
    <t>B17001C_004</t>
  </si>
  <si>
    <t>B17001C_005</t>
  </si>
  <si>
    <t>B17001C_006</t>
  </si>
  <si>
    <t>B17001C_007</t>
  </si>
  <si>
    <t>B17001C_008</t>
  </si>
  <si>
    <t>B17001C_009</t>
  </si>
  <si>
    <t>B17001C_010</t>
  </si>
  <si>
    <t>B17001C_011</t>
  </si>
  <si>
    <t>B17001C_012</t>
  </si>
  <si>
    <t>B17001C_013</t>
  </si>
  <si>
    <t>B17001C_014</t>
  </si>
  <si>
    <t>B17001C_015</t>
  </si>
  <si>
    <t>B17001C_016</t>
  </si>
  <si>
    <t>B17001C_017</t>
  </si>
  <si>
    <t>B17001C_018</t>
  </si>
  <si>
    <t>B17001C_019</t>
  </si>
  <si>
    <t>B17001C_020</t>
  </si>
  <si>
    <t>B17001C_021</t>
  </si>
  <si>
    <t>B17001C_022</t>
  </si>
  <si>
    <t>B17001C_023</t>
  </si>
  <si>
    <t>B17001C_024</t>
  </si>
  <si>
    <t>B17001C_025</t>
  </si>
  <si>
    <t>B17001C_026</t>
  </si>
  <si>
    <t>B17001C_027</t>
  </si>
  <si>
    <t>B17001C_028</t>
  </si>
  <si>
    <t>B17001C_029</t>
  </si>
  <si>
    <t>B17001C_030</t>
  </si>
  <si>
    <t>B17001C_031</t>
  </si>
  <si>
    <t>B17001C_032</t>
  </si>
  <si>
    <t>B17001C_033</t>
  </si>
  <si>
    <t>B17001C_034</t>
  </si>
  <si>
    <t>B17001C_035</t>
  </si>
  <si>
    <t>B17001C_036</t>
  </si>
  <si>
    <t>B17001C_037</t>
  </si>
  <si>
    <t>B17001C_038</t>
  </si>
  <si>
    <t>B17001C_039</t>
  </si>
  <si>
    <t>B17001C_040</t>
  </si>
  <si>
    <t>B17001C_041</t>
  </si>
  <si>
    <t>B17001C_042</t>
  </si>
  <si>
    <t>B17001C_043</t>
  </si>
  <si>
    <t>B17001C_044</t>
  </si>
  <si>
    <t>B17001C_045</t>
  </si>
  <si>
    <t>B17001C_046</t>
  </si>
  <si>
    <t>B17001C_047</t>
  </si>
  <si>
    <t>B17001C_048</t>
  </si>
  <si>
    <t>B17001C_049</t>
  </si>
  <si>
    <t>B17001C_050</t>
  </si>
  <si>
    <t>B17001C_051</t>
  </si>
  <si>
    <t>B17001C_052</t>
  </si>
  <si>
    <t>B17001C_053</t>
  </si>
  <si>
    <t>B17001C_054</t>
  </si>
  <si>
    <t>B17001C_055</t>
  </si>
  <si>
    <t>B17001C_056</t>
  </si>
  <si>
    <t>B17001C_057</t>
  </si>
  <si>
    <t>B17001C_058</t>
  </si>
  <si>
    <t>B17001C_059</t>
  </si>
  <si>
    <t>B17001D_002</t>
  </si>
  <si>
    <t>B17001D_003</t>
  </si>
  <si>
    <t>B17001D_004</t>
  </si>
  <si>
    <t>B17001D_005</t>
  </si>
  <si>
    <t>B17001D_006</t>
  </si>
  <si>
    <t>B17001D_007</t>
  </si>
  <si>
    <t>B17001D_008</t>
  </si>
  <si>
    <t>B17001D_009</t>
  </si>
  <si>
    <t>B17001D_010</t>
  </si>
  <si>
    <t>B17001D_011</t>
  </si>
  <si>
    <t>B17001D_012</t>
  </si>
  <si>
    <t>B17001D_013</t>
  </si>
  <si>
    <t>B17001D_014</t>
  </si>
  <si>
    <t>B17001D_015</t>
  </si>
  <si>
    <t>B17001D_016</t>
  </si>
  <si>
    <t>B17001D_017</t>
  </si>
  <si>
    <t>B17001D_018</t>
  </si>
  <si>
    <t>B17001D_019</t>
  </si>
  <si>
    <t>B17001D_020</t>
  </si>
  <si>
    <t>B17001D_021</t>
  </si>
  <si>
    <t>B17001D_022</t>
  </si>
  <si>
    <t>B17001D_023</t>
  </si>
  <si>
    <t>B17001D_024</t>
  </si>
  <si>
    <t>B17001D_025</t>
  </si>
  <si>
    <t>B17001D_026</t>
  </si>
  <si>
    <t>B17001D_027</t>
  </si>
  <si>
    <t>B17001D_028</t>
  </si>
  <si>
    <t>B17001D_029</t>
  </si>
  <si>
    <t>B17001D_030</t>
  </si>
  <si>
    <t>B17001D_031</t>
  </si>
  <si>
    <t>B17001D_032</t>
  </si>
  <si>
    <t>B17001D_033</t>
  </si>
  <si>
    <t>B17001D_034</t>
  </si>
  <si>
    <t>B17001D_035</t>
  </si>
  <si>
    <t>B17001D_036</t>
  </si>
  <si>
    <t>B17001D_037</t>
  </si>
  <si>
    <t>B17001D_038</t>
  </si>
  <si>
    <t>B17001D_039</t>
  </si>
  <si>
    <t>B17001D_040</t>
  </si>
  <si>
    <t>B17001D_041</t>
  </si>
  <si>
    <t>B17001D_042</t>
  </si>
  <si>
    <t>B17001D_043</t>
  </si>
  <si>
    <t>B17001D_044</t>
  </si>
  <si>
    <t>B17001D_045</t>
  </si>
  <si>
    <t>B17001D_046</t>
  </si>
  <si>
    <t>B17001D_047</t>
  </si>
  <si>
    <t>B17001D_048</t>
  </si>
  <si>
    <t>B17001D_049</t>
  </si>
  <si>
    <t>B17001D_050</t>
  </si>
  <si>
    <t>B17001D_051</t>
  </si>
  <si>
    <t>B17001D_052</t>
  </si>
  <si>
    <t>B17001D_053</t>
  </si>
  <si>
    <t>B17001D_054</t>
  </si>
  <si>
    <t>B17001D_055</t>
  </si>
  <si>
    <t>B17001D_056</t>
  </si>
  <si>
    <t>B17001D_057</t>
  </si>
  <si>
    <t>B17001D_058</t>
  </si>
  <si>
    <t>B17001D_059</t>
  </si>
  <si>
    <t>B17001E_002</t>
  </si>
  <si>
    <t>B17001E_003</t>
  </si>
  <si>
    <t>B17001E_004</t>
  </si>
  <si>
    <t>B17001E_005</t>
  </si>
  <si>
    <t>B17001E_006</t>
  </si>
  <si>
    <t>B17001E_007</t>
  </si>
  <si>
    <t>B17001E_008</t>
  </si>
  <si>
    <t>B17001E_009</t>
  </si>
  <si>
    <t>B17001E_010</t>
  </si>
  <si>
    <t>B17001E_011</t>
  </si>
  <si>
    <t>B17001E_012</t>
  </si>
  <si>
    <t>B17001E_013</t>
  </si>
  <si>
    <t>B17001E_014</t>
  </si>
  <si>
    <t>B17001E_015</t>
  </si>
  <si>
    <t>B17001E_016</t>
  </si>
  <si>
    <t>B17001E_017</t>
  </si>
  <si>
    <t>B17001E_018</t>
  </si>
  <si>
    <t>B17001E_019</t>
  </si>
  <si>
    <t>B17001E_020</t>
  </si>
  <si>
    <t>B17001E_021</t>
  </si>
  <si>
    <t>B17001E_022</t>
  </si>
  <si>
    <t>B17001E_023</t>
  </si>
  <si>
    <t>B17001E_024</t>
  </si>
  <si>
    <t>B17001E_025</t>
  </si>
  <si>
    <t>B17001E_026</t>
  </si>
  <si>
    <t>B17001E_027</t>
  </si>
  <si>
    <t>B17001E_028</t>
  </si>
  <si>
    <t>B17001E_029</t>
  </si>
  <si>
    <t>B17001E_030</t>
  </si>
  <si>
    <t>B17001E_031</t>
  </si>
  <si>
    <t>B17001E_032</t>
  </si>
  <si>
    <t>B17001E_033</t>
  </si>
  <si>
    <t>B17001E_034</t>
  </si>
  <si>
    <t>B17001E_035</t>
  </si>
  <si>
    <t>B17001E_036</t>
  </si>
  <si>
    <t>B17001E_037</t>
  </si>
  <si>
    <t>B17001E_038</t>
  </si>
  <si>
    <t>B17001E_039</t>
  </si>
  <si>
    <t>B17001E_040</t>
  </si>
  <si>
    <t>B17001E_041</t>
  </si>
  <si>
    <t>B17001E_042</t>
  </si>
  <si>
    <t>B17001E_043</t>
  </si>
  <si>
    <t>B17001E_044</t>
  </si>
  <si>
    <t>B17001E_045</t>
  </si>
  <si>
    <t>B17001E_046</t>
  </si>
  <si>
    <t>B17001E_047</t>
  </si>
  <si>
    <t>B17001E_048</t>
  </si>
  <si>
    <t>B17001E_049</t>
  </si>
  <si>
    <t>B17001E_050</t>
  </si>
  <si>
    <t>B17001E_051</t>
  </si>
  <si>
    <t>B17001E_052</t>
  </si>
  <si>
    <t>B17001E_053</t>
  </si>
  <si>
    <t>B17001E_054</t>
  </si>
  <si>
    <t>B17001E_055</t>
  </si>
  <si>
    <t>B17001E_056</t>
  </si>
  <si>
    <t>B17001E_057</t>
  </si>
  <si>
    <t>B17001E_058</t>
  </si>
  <si>
    <t>B17001E_059</t>
  </si>
  <si>
    <t>B17001F_002</t>
  </si>
  <si>
    <t>B17001F_003</t>
  </si>
  <si>
    <t>B17001F_004</t>
  </si>
  <si>
    <t>B17001F_005</t>
  </si>
  <si>
    <t>B17001F_006</t>
  </si>
  <si>
    <t>B17001F_007</t>
  </si>
  <si>
    <t>B17001F_008</t>
  </si>
  <si>
    <t>B17001F_009</t>
  </si>
  <si>
    <t>B17001F_010</t>
  </si>
  <si>
    <t>B17001F_011</t>
  </si>
  <si>
    <t>B17001F_012</t>
  </si>
  <si>
    <t>B17001F_013</t>
  </si>
  <si>
    <t>B17001F_014</t>
  </si>
  <si>
    <t>B17001F_015</t>
  </si>
  <si>
    <t>B17001F_016</t>
  </si>
  <si>
    <t>B17001F_017</t>
  </si>
  <si>
    <t>B17001F_018</t>
  </si>
  <si>
    <t>B17001F_019</t>
  </si>
  <si>
    <t>B17001F_020</t>
  </si>
  <si>
    <t>B17001F_021</t>
  </si>
  <si>
    <t>B17001F_022</t>
  </si>
  <si>
    <t>B17001F_023</t>
  </si>
  <si>
    <t>B17001F_024</t>
  </si>
  <si>
    <t>B17001F_025</t>
  </si>
  <si>
    <t>B17001F_026</t>
  </si>
  <si>
    <t>B17001F_027</t>
  </si>
  <si>
    <t>B17001F_028</t>
  </si>
  <si>
    <t>B17001F_029</t>
  </si>
  <si>
    <t>B17001F_030</t>
  </si>
  <si>
    <t>B17001F_031</t>
  </si>
  <si>
    <t>B17001F_032</t>
  </si>
  <si>
    <t>B17001F_033</t>
  </si>
  <si>
    <t>B17001F_034</t>
  </si>
  <si>
    <t>B17001F_035</t>
  </si>
  <si>
    <t>B17001F_036</t>
  </si>
  <si>
    <t>B17001F_037</t>
  </si>
  <si>
    <t>B17001F_038</t>
  </si>
  <si>
    <t>B17001F_039</t>
  </si>
  <si>
    <t>B17001F_040</t>
  </si>
  <si>
    <t>B17001F_041</t>
  </si>
  <si>
    <t>B17001F_042</t>
  </si>
  <si>
    <t>B17001F_043</t>
  </si>
  <si>
    <t>B17001F_044</t>
  </si>
  <si>
    <t>B17001F_045</t>
  </si>
  <si>
    <t>B17001F_046</t>
  </si>
  <si>
    <t>B17001F_047</t>
  </si>
  <si>
    <t>B17001F_048</t>
  </si>
  <si>
    <t>B17001F_049</t>
  </si>
  <si>
    <t>B17001F_050</t>
  </si>
  <si>
    <t>B17001F_051</t>
  </si>
  <si>
    <t>B17001F_052</t>
  </si>
  <si>
    <t>B17001F_053</t>
  </si>
  <si>
    <t>B17001F_054</t>
  </si>
  <si>
    <t>B17001F_055</t>
  </si>
  <si>
    <t>B17001F_056</t>
  </si>
  <si>
    <t>B17001F_057</t>
  </si>
  <si>
    <t>B17001F_058</t>
  </si>
  <si>
    <t>B17001F_059</t>
  </si>
  <si>
    <t>B17001G_002</t>
  </si>
  <si>
    <t>B17001G_003</t>
  </si>
  <si>
    <t>B17001G_004</t>
  </si>
  <si>
    <t>B17001G_005</t>
  </si>
  <si>
    <t>B17001G_006</t>
  </si>
  <si>
    <t>B17001G_007</t>
  </si>
  <si>
    <t>B17001G_008</t>
  </si>
  <si>
    <t>B17001G_009</t>
  </si>
  <si>
    <t>B17001G_010</t>
  </si>
  <si>
    <t>B17001G_011</t>
  </si>
  <si>
    <t>B17001G_012</t>
  </si>
  <si>
    <t>B17001G_013</t>
  </si>
  <si>
    <t>B17001G_014</t>
  </si>
  <si>
    <t>B17001G_015</t>
  </si>
  <si>
    <t>B17001G_016</t>
  </si>
  <si>
    <t>B17001G_017</t>
  </si>
  <si>
    <t>B17001G_018</t>
  </si>
  <si>
    <t>B17001G_019</t>
  </si>
  <si>
    <t>B17001G_020</t>
  </si>
  <si>
    <t>B17001G_021</t>
  </si>
  <si>
    <t>B17001G_022</t>
  </si>
  <si>
    <t>B17001G_023</t>
  </si>
  <si>
    <t>B17001G_024</t>
  </si>
  <si>
    <t>B17001G_025</t>
  </si>
  <si>
    <t>B17001G_026</t>
  </si>
  <si>
    <t>B17001G_027</t>
  </si>
  <si>
    <t>B17001G_028</t>
  </si>
  <si>
    <t>B17001G_029</t>
  </si>
  <si>
    <t>B17001G_030</t>
  </si>
  <si>
    <t>B17001G_031</t>
  </si>
  <si>
    <t>B17001G_032</t>
  </si>
  <si>
    <t>B17001G_033</t>
  </si>
  <si>
    <t>B17001G_034</t>
  </si>
  <si>
    <t>B17001G_035</t>
  </si>
  <si>
    <t>B17001G_036</t>
  </si>
  <si>
    <t>B17001G_037</t>
  </si>
  <si>
    <t>B17001G_038</t>
  </si>
  <si>
    <t>B17001G_039</t>
  </si>
  <si>
    <t>B17001G_040</t>
  </si>
  <si>
    <t>B17001G_041</t>
  </si>
  <si>
    <t>B17001G_042</t>
  </si>
  <si>
    <t>B17001G_043</t>
  </si>
  <si>
    <t>B17001G_044</t>
  </si>
  <si>
    <t>B17001G_045</t>
  </si>
  <si>
    <t>B17001G_046</t>
  </si>
  <si>
    <t>B17001G_047</t>
  </si>
  <si>
    <t>B17001G_048</t>
  </si>
  <si>
    <t>B17001G_049</t>
  </si>
  <si>
    <t>B17001G_050</t>
  </si>
  <si>
    <t>B17001G_051</t>
  </si>
  <si>
    <t>B17001G_052</t>
  </si>
  <si>
    <t>B17001G_053</t>
  </si>
  <si>
    <t>B17001G_054</t>
  </si>
  <si>
    <t>B17001G_055</t>
  </si>
  <si>
    <t>B17001G_056</t>
  </si>
  <si>
    <t>B17001G_057</t>
  </si>
  <si>
    <t>B17001G_058</t>
  </si>
  <si>
    <t>B17001G_059</t>
  </si>
  <si>
    <t>B17001H_002</t>
  </si>
  <si>
    <t>B17001H_003</t>
  </si>
  <si>
    <t>B17001H_004</t>
  </si>
  <si>
    <t>B17001H_005</t>
  </si>
  <si>
    <t>B17001H_006</t>
  </si>
  <si>
    <t>B17001H_007</t>
  </si>
  <si>
    <t>B17001H_008</t>
  </si>
  <si>
    <t>B17001H_009</t>
  </si>
  <si>
    <t>B17001H_010</t>
  </si>
  <si>
    <t>B17001H_011</t>
  </si>
  <si>
    <t>B17001H_012</t>
  </si>
  <si>
    <t>B17001H_013</t>
  </si>
  <si>
    <t>B17001H_014</t>
  </si>
  <si>
    <t>B17001H_015</t>
  </si>
  <si>
    <t>B17001H_016</t>
  </si>
  <si>
    <t>B17001H_017</t>
  </si>
  <si>
    <t>B17001H_018</t>
  </si>
  <si>
    <t>B17001H_019</t>
  </si>
  <si>
    <t>B17001H_020</t>
  </si>
  <si>
    <t>B17001H_021</t>
  </si>
  <si>
    <t>B17001H_022</t>
  </si>
  <si>
    <t>B17001H_023</t>
  </si>
  <si>
    <t>B17001H_024</t>
  </si>
  <si>
    <t>B17001H_025</t>
  </si>
  <si>
    <t>B17001H_026</t>
  </si>
  <si>
    <t>B17001H_027</t>
  </si>
  <si>
    <t>B17001H_028</t>
  </si>
  <si>
    <t>B17001H_029</t>
  </si>
  <si>
    <t>B17001H_030</t>
  </si>
  <si>
    <t>B17001H_031</t>
  </si>
  <si>
    <t>B17001H_032</t>
  </si>
  <si>
    <t>B17001H_033</t>
  </si>
  <si>
    <t>B17001H_034</t>
  </si>
  <si>
    <t>B17001H_035</t>
  </si>
  <si>
    <t>B17001H_036</t>
  </si>
  <si>
    <t>B17001H_037</t>
  </si>
  <si>
    <t>B17001H_038</t>
  </si>
  <si>
    <t>B17001H_039</t>
  </si>
  <si>
    <t>B17001H_040</t>
  </si>
  <si>
    <t>B17001H_041</t>
  </si>
  <si>
    <t>B17001H_042</t>
  </si>
  <si>
    <t>B17001H_043</t>
  </si>
  <si>
    <t>B17001H_044</t>
  </si>
  <si>
    <t>B17001H_045</t>
  </si>
  <si>
    <t>B17001H_046</t>
  </si>
  <si>
    <t>B17001H_047</t>
  </si>
  <si>
    <t>B17001H_048</t>
  </si>
  <si>
    <t>B17001H_049</t>
  </si>
  <si>
    <t>B17001H_050</t>
  </si>
  <si>
    <t>B17001H_051</t>
  </si>
  <si>
    <t>B17001H_052</t>
  </si>
  <si>
    <t>B17001H_053</t>
  </si>
  <si>
    <t>B17001H_054</t>
  </si>
  <si>
    <t>B17001H_055</t>
  </si>
  <si>
    <t>B17001H_056</t>
  </si>
  <si>
    <t>B17001H_057</t>
  </si>
  <si>
    <t>B17001H_058</t>
  </si>
  <si>
    <t>B17001H_059</t>
  </si>
  <si>
    <t>B17001I_002</t>
  </si>
  <si>
    <t>B17001I_003</t>
  </si>
  <si>
    <t>B17001I_004</t>
  </si>
  <si>
    <t>B17001I_005</t>
  </si>
  <si>
    <t>B17001I_006</t>
  </si>
  <si>
    <t>B17001I_007</t>
  </si>
  <si>
    <t>B17001I_008</t>
  </si>
  <si>
    <t>B17001I_009</t>
  </si>
  <si>
    <t>B17001I_010</t>
  </si>
  <si>
    <t>B17001I_011</t>
  </si>
  <si>
    <t>B17001I_012</t>
  </si>
  <si>
    <t>B17001I_013</t>
  </si>
  <si>
    <t>B17001I_014</t>
  </si>
  <si>
    <t>B17001I_015</t>
  </si>
  <si>
    <t>B17001I_016</t>
  </si>
  <si>
    <t>B17001I_017</t>
  </si>
  <si>
    <t>B17001I_018</t>
  </si>
  <si>
    <t>B17001I_019</t>
  </si>
  <si>
    <t>B17001I_020</t>
  </si>
  <si>
    <t>B17001I_021</t>
  </si>
  <si>
    <t>B17001I_022</t>
  </si>
  <si>
    <t>B17001I_023</t>
  </si>
  <si>
    <t>B17001I_024</t>
  </si>
  <si>
    <t>B17001I_025</t>
  </si>
  <si>
    <t>B17001I_026</t>
  </si>
  <si>
    <t>B17001I_027</t>
  </si>
  <si>
    <t>B17001I_028</t>
  </si>
  <si>
    <t>B17001I_029</t>
  </si>
  <si>
    <t>B17001I_030</t>
  </si>
  <si>
    <t>B17001I_031</t>
  </si>
  <si>
    <t>B17001I_032</t>
  </si>
  <si>
    <t>B17001I_033</t>
  </si>
  <si>
    <t>B17001I_034</t>
  </si>
  <si>
    <t>B17001I_035</t>
  </si>
  <si>
    <t>B17001I_036</t>
  </si>
  <si>
    <t>B17001I_037</t>
  </si>
  <si>
    <t>B17001I_038</t>
  </si>
  <si>
    <t>B17001I_039</t>
  </si>
  <si>
    <t>B17001I_040</t>
  </si>
  <si>
    <t>B17001I_041</t>
  </si>
  <si>
    <t>B17001I_042</t>
  </si>
  <si>
    <t>B17001I_043</t>
  </si>
  <si>
    <t>B17001I_044</t>
  </si>
  <si>
    <t>B17001I_045</t>
  </si>
  <si>
    <t>B17001I_046</t>
  </si>
  <si>
    <t>B17001I_047</t>
  </si>
  <si>
    <t>B17001I_048</t>
  </si>
  <si>
    <t>B17001I_049</t>
  </si>
  <si>
    <t>B17001I_050</t>
  </si>
  <si>
    <t>B17001I_051</t>
  </si>
  <si>
    <t>B17001I_052</t>
  </si>
  <si>
    <t>B17001I_053</t>
  </si>
  <si>
    <t>B17001I_054</t>
  </si>
  <si>
    <t>B17001I_055</t>
  </si>
  <si>
    <t>B17001I_056</t>
  </si>
  <si>
    <t>B17001I_057</t>
  </si>
  <si>
    <t>B17001I_058</t>
  </si>
  <si>
    <t>B17001I_059</t>
  </si>
  <si>
    <t>B17001_002</t>
  </si>
  <si>
    <t>B17001_003</t>
  </si>
  <si>
    <t>B17001_004</t>
  </si>
  <si>
    <t>B17001_005</t>
  </si>
  <si>
    <t>B17001_006</t>
  </si>
  <si>
    <t>B17001_007</t>
  </si>
  <si>
    <t>B17001_008</t>
  </si>
  <si>
    <t>B17001_009</t>
  </si>
  <si>
    <t>B17001_010</t>
  </si>
  <si>
    <t>B17001_011</t>
  </si>
  <si>
    <t>B17001_012</t>
  </si>
  <si>
    <t>B17001_013</t>
  </si>
  <si>
    <t>B17001_014</t>
  </si>
  <si>
    <t>B17001_015</t>
  </si>
  <si>
    <t>B17001_016</t>
  </si>
  <si>
    <t>B17001_017</t>
  </si>
  <si>
    <t>B17001_018</t>
  </si>
  <si>
    <t>B17001_019</t>
  </si>
  <si>
    <t>B17001_020</t>
  </si>
  <si>
    <t>B17001_021</t>
  </si>
  <si>
    <t>B17001_022</t>
  </si>
  <si>
    <t>B17001_023</t>
  </si>
  <si>
    <t>B17001_024</t>
  </si>
  <si>
    <t>B17001_025</t>
  </si>
  <si>
    <t>B17001_026</t>
  </si>
  <si>
    <t>B17001_027</t>
  </si>
  <si>
    <t>B17001_028</t>
  </si>
  <si>
    <t>B17001_029</t>
  </si>
  <si>
    <t>B17001_030</t>
  </si>
  <si>
    <t>B17001_031</t>
  </si>
  <si>
    <t>B17001_032</t>
  </si>
  <si>
    <t>B17001_033</t>
  </si>
  <si>
    <t>B17001_034</t>
  </si>
  <si>
    <t>B17001_035</t>
  </si>
  <si>
    <t>B17001_036</t>
  </si>
  <si>
    <t>B17001_037</t>
  </si>
  <si>
    <t>B17001_038</t>
  </si>
  <si>
    <t>B17001_039</t>
  </si>
  <si>
    <t>B17001_040</t>
  </si>
  <si>
    <t>B17001_041</t>
  </si>
  <si>
    <t>B17001_042</t>
  </si>
  <si>
    <t>B17001_043</t>
  </si>
  <si>
    <t>B17001_044</t>
  </si>
  <si>
    <t>B17001_045</t>
  </si>
  <si>
    <t>B17001_046</t>
  </si>
  <si>
    <t>B17001_047</t>
  </si>
  <si>
    <t>B17001_048</t>
  </si>
  <si>
    <t>B17001_049</t>
  </si>
  <si>
    <t>B17001_050</t>
  </si>
  <si>
    <t>B17001_051</t>
  </si>
  <si>
    <t>B17001_052</t>
  </si>
  <si>
    <t>B17001_053</t>
  </si>
  <si>
    <t>B17001_054</t>
  </si>
  <si>
    <t>B17001_055</t>
  </si>
  <si>
    <t>B17001_056</t>
  </si>
  <si>
    <t>B17001_057</t>
  </si>
  <si>
    <t>B17001_058</t>
  </si>
  <si>
    <t>B17001_059</t>
  </si>
  <si>
    <t>B17003_002</t>
  </si>
  <si>
    <t>B17003_003</t>
  </si>
  <si>
    <t>B17003_004</t>
  </si>
  <si>
    <t>Estimate!!Total:!!Income in the past 12 months below poverty level:!!Male:!!Less than high school graduate</t>
  </si>
  <si>
    <t>B17003_005</t>
  </si>
  <si>
    <t>Estimate!!Total:!!Income in the past 12 months below poverty level:!!Male:!!High school graduate (includes equivalency)</t>
  </si>
  <si>
    <t>B17003_006</t>
  </si>
  <si>
    <t>Estimate!!Total:!!Income in the past 12 months below poverty level:!!Male:!!Some college, associate's degree</t>
  </si>
  <si>
    <t>B17003_007</t>
  </si>
  <si>
    <t>Estimate!!Total:!!Income in the past 12 months below poverty level:!!Male:!!Bachelor's degree or higher</t>
  </si>
  <si>
    <t>B17003_008</t>
  </si>
  <si>
    <t>B17003_009</t>
  </si>
  <si>
    <t>Estimate!!Total:!!Income in the past 12 months below poverty level:!!Female:!!Less than high school graduate</t>
  </si>
  <si>
    <t>B17003_010</t>
  </si>
  <si>
    <t>Estimate!!Total:!!Income in the past 12 months below poverty level:!!Female:!!High school graduate (includes equivalency)</t>
  </si>
  <si>
    <t>B17003_011</t>
  </si>
  <si>
    <t>Estimate!!Total:!!Income in the past 12 months below poverty level:!!Female:!!Some college, associate's degree</t>
  </si>
  <si>
    <t>B17003_012</t>
  </si>
  <si>
    <t>Estimate!!Total:!!Income in the past 12 months below poverty level:!!Female:!!Bachelor's degree or higher</t>
  </si>
  <si>
    <t>B17003_013</t>
  </si>
  <si>
    <t>B17003_014</t>
  </si>
  <si>
    <t>B17003_015</t>
  </si>
  <si>
    <t>Estimate!!Total:!!Income in the past 12 months at or above poverty level:!!Male:!!Less than high school graduate</t>
  </si>
  <si>
    <t>B17003_016</t>
  </si>
  <si>
    <t>Estimate!!Total:!!Income in the past 12 months at or above poverty level:!!Male:!!High school graduate (includes equivalency)</t>
  </si>
  <si>
    <t>B17003_017</t>
  </si>
  <si>
    <t>Estimate!!Total:!!Income in the past 12 months at or above poverty level:!!Male:!!Some college, associate's degree</t>
  </si>
  <si>
    <t>B17003_018</t>
  </si>
  <si>
    <t>Estimate!!Total:!!Income in the past 12 months at or above poverty level:!!Male:!!Bachelor's degree or higher</t>
  </si>
  <si>
    <t>B17003_019</t>
  </si>
  <si>
    <t>B17003_020</t>
  </si>
  <si>
    <t>Estimate!!Total:!!Income in the past 12 months at or above poverty level:!!Female:!!Less than high school graduate</t>
  </si>
  <si>
    <t>B17003_021</t>
  </si>
  <si>
    <t>Estimate!!Total:!!Income in the past 12 months at or above poverty level:!!Female:!!High school graduate (includes equivalency)</t>
  </si>
  <si>
    <t>B17003_022</t>
  </si>
  <si>
    <t>Estimate!!Total:!!Income in the past 12 months at or above poverty level:!!Female:!!Some college, associate's degree</t>
  </si>
  <si>
    <t>B17003_023</t>
  </si>
  <si>
    <t>Estimate!!Total:!!Income in the past 12 months at or above poverty level:!!Female:!!Bachelor's degree or higher</t>
  </si>
  <si>
    <t>B17004_002</t>
  </si>
  <si>
    <t>B17004_003</t>
  </si>
  <si>
    <t>B17004_004</t>
  </si>
  <si>
    <t>Estimate!!Total:!!Income in the past 12 months below poverty level:!!Male:!!Worked full time, year-round</t>
  </si>
  <si>
    <t>B17004_005</t>
  </si>
  <si>
    <t>Estimate!!Total:!!Income in the past 12 months below poverty level:!!Male:!!Worked part-time or part-year</t>
  </si>
  <si>
    <t>B17004_006</t>
  </si>
  <si>
    <t>Estimate!!Total:!!Income in the past 12 months below poverty level:!!Male:!!Did not work</t>
  </si>
  <si>
    <t>B17004_007</t>
  </si>
  <si>
    <t>B17004_008</t>
  </si>
  <si>
    <t>Estimate!!Total:!!Income in the past 12 months below poverty level:!!Female:!!Worked full time, year-round</t>
  </si>
  <si>
    <t>B17004_009</t>
  </si>
  <si>
    <t>Estimate!!Total:!!Income in the past 12 months below poverty level:!!Female:!!Worked part-time or part-year</t>
  </si>
  <si>
    <t>B17004_010</t>
  </si>
  <si>
    <t>Estimate!!Total:!!Income in the past 12 months below poverty level:!!Female:!!Did not work</t>
  </si>
  <si>
    <t>B17004_011</t>
  </si>
  <si>
    <t>B17004_012</t>
  </si>
  <si>
    <t>B17004_013</t>
  </si>
  <si>
    <t>Estimate!!Total:!!Income in the past 12 months at or above poverty level:!!Male:!!Worked full time, year-round</t>
  </si>
  <si>
    <t>B17004_014</t>
  </si>
  <si>
    <t>Estimate!!Total:!!Income in the past 12 months at or above poverty level:!!Male:!!Worked part-time or part-year</t>
  </si>
  <si>
    <t>B17004_015</t>
  </si>
  <si>
    <t>Estimate!!Total:!!Income in the past 12 months at or above poverty level:!!Male:!!Did not work</t>
  </si>
  <si>
    <t>B17004_016</t>
  </si>
  <si>
    <t>B17004_017</t>
  </si>
  <si>
    <t>Estimate!!Total:!!Income in the past 12 months at or above poverty level:!!Female:!!Worked full time, year-round</t>
  </si>
  <si>
    <t>B17004_018</t>
  </si>
  <si>
    <t>Estimate!!Total:!!Income in the past 12 months at or above poverty level:!!Female:!!Worked part-time or part-year</t>
  </si>
  <si>
    <t>B17004_019</t>
  </si>
  <si>
    <t>Estimate!!Total:!!Income in the past 12 months at or above poverty level:!!Female:!!Did not work</t>
  </si>
  <si>
    <t>B17005_002</t>
  </si>
  <si>
    <t>B17005_003</t>
  </si>
  <si>
    <t>B17005_004</t>
  </si>
  <si>
    <t>Estimate!!Total:!!Income in the past 12 months below poverty level:!!Male:!!In labor force:</t>
  </si>
  <si>
    <t>B17005_005</t>
  </si>
  <si>
    <t>Estimate!!Total:!!Income in the past 12 months below poverty level:!!Male:!!In labor force:!!Employed</t>
  </si>
  <si>
    <t>B17005_006</t>
  </si>
  <si>
    <t>Estimate!!Total:!!Income in the past 12 months below poverty level:!!Male:!!In labor force:!!Unemployed</t>
  </si>
  <si>
    <t>B17005_007</t>
  </si>
  <si>
    <t>Estimate!!Total:!!Income in the past 12 months below poverty level:!!Male:!!Not in labor force</t>
  </si>
  <si>
    <t>B17005_008</t>
  </si>
  <si>
    <t>B17005_009</t>
  </si>
  <si>
    <t>Estimate!!Total:!!Income in the past 12 months below poverty level:!!Female:!!In labor force:</t>
  </si>
  <si>
    <t>B17005_010</t>
  </si>
  <si>
    <t>Estimate!!Total:!!Income in the past 12 months below poverty level:!!Female:!!In labor force:!!Employed</t>
  </si>
  <si>
    <t>B17005_011</t>
  </si>
  <si>
    <t>Estimate!!Total:!!Income in the past 12 months below poverty level:!!Female:!!In labor force:!!Unemployed</t>
  </si>
  <si>
    <t>B17005_012</t>
  </si>
  <si>
    <t>Estimate!!Total:!!Income in the past 12 months below poverty level:!!Female:!!Not in labor force</t>
  </si>
  <si>
    <t>B17005_013</t>
  </si>
  <si>
    <t>B17005_014</t>
  </si>
  <si>
    <t>B17005_015</t>
  </si>
  <si>
    <t>Estimate!!Total:!!Income in the past 12 months at or above poverty level:!!Male:!!In labor force:</t>
  </si>
  <si>
    <t>B17005_016</t>
  </si>
  <si>
    <t>Estimate!!Total:!!Income in the past 12 months at or above poverty level:!!Male:!!In labor force:!!Employed</t>
  </si>
  <si>
    <t>B17005_017</t>
  </si>
  <si>
    <t>Estimate!!Total:!!Income in the past 12 months at or above poverty level:!!Male:!!In labor force:!!Unemployed</t>
  </si>
  <si>
    <t>B17005_018</t>
  </si>
  <si>
    <t>Estimate!!Total:!!Income in the past 12 months at or above poverty level:!!Male:!!Not in labor force</t>
  </si>
  <si>
    <t>B17005_019</t>
  </si>
  <si>
    <t>B17005_020</t>
  </si>
  <si>
    <t>Estimate!!Total:!!Income in the past 12 months at or above poverty level:!!Female:!!In labor force:</t>
  </si>
  <si>
    <t>B17005_021</t>
  </si>
  <si>
    <t>Estimate!!Total:!!Income in the past 12 months at or above poverty level:!!Female:!!In labor force:!!Employed</t>
  </si>
  <si>
    <t>B17005_022</t>
  </si>
  <si>
    <t>Estimate!!Total:!!Income in the past 12 months at or above poverty level:!!Female:!!In labor force:!!Unemployed</t>
  </si>
  <si>
    <t>B17005_023</t>
  </si>
  <si>
    <t>Estimate!!Total:!!Income in the past 12 months at or above poverty level:!!Female:!!Not in labor force</t>
  </si>
  <si>
    <t>B17006_002</t>
  </si>
  <si>
    <t>B17006_003</t>
  </si>
  <si>
    <t>Estimate!!Total:!!Income in the past 12 months below poverty level:!!In married-couple family:</t>
  </si>
  <si>
    <t>B17006_004</t>
  </si>
  <si>
    <t>Estimate!!Total:!!Income in the past 12 months below poverty level:!!In married-couple family:!!Under 5 years</t>
  </si>
  <si>
    <t>B17006_005</t>
  </si>
  <si>
    <t>Estimate!!Total:!!Income in the past 12 months below poverty level:!!In married-couple family:!!5 years</t>
  </si>
  <si>
    <t>B17006_006</t>
  </si>
  <si>
    <t>Estimate!!Total:!!Income in the past 12 months below poverty level:!!In married-couple family:!!6 to 17 years</t>
  </si>
  <si>
    <t>B17006_007</t>
  </si>
  <si>
    <t>Estimate!!Total:!!Income in the past 12 months below poverty level:!!In other family:</t>
  </si>
  <si>
    <t>B17006_008</t>
  </si>
  <si>
    <t>Estimate!!Total:!!Income in the past 12 months below poverty level:!!In other family:!!Male householder, no spouse present:</t>
  </si>
  <si>
    <t>B17006_009</t>
  </si>
  <si>
    <t>Estimate!!Total:!!Income in the past 12 months below poverty level:!!In other family:!!Male householder, no spouse present:!!Under 5 years</t>
  </si>
  <si>
    <t>B17006_010</t>
  </si>
  <si>
    <t>Estimate!!Total:!!Income in the past 12 months below poverty level:!!In other family:!!Male householder, no spouse present:!!5 years</t>
  </si>
  <si>
    <t>B17006_011</t>
  </si>
  <si>
    <t>Estimate!!Total:!!Income in the past 12 months below poverty level:!!In other family:!!Male householder, no spouse present:!!6 to 17 years</t>
  </si>
  <si>
    <t>B17006_012</t>
  </si>
  <si>
    <t>Estimate!!Total:!!Income in the past 12 months below poverty level:!!In other family:!!Female householder, no spouse present:</t>
  </si>
  <si>
    <t>B17006_013</t>
  </si>
  <si>
    <t>Estimate!!Total:!!Income in the past 12 months below poverty level:!!In other family:!!Female householder, no spouse present:!!Under 5 years</t>
  </si>
  <si>
    <t>B17006_014</t>
  </si>
  <si>
    <t>Estimate!!Total:!!Income in the past 12 months below poverty level:!!In other family:!!Female householder, no spouse present:!!5 years</t>
  </si>
  <si>
    <t>B17006_015</t>
  </si>
  <si>
    <t>Estimate!!Total:!!Income in the past 12 months below poverty level:!!In other family:!!Female householder, no spouse present:!!6 to 17 years</t>
  </si>
  <si>
    <t>B17006_016</t>
  </si>
  <si>
    <t>B17006_017</t>
  </si>
  <si>
    <t>Estimate!!Total:!!Income in the past 12 months at or above poverty level:!!In married-couple family:</t>
  </si>
  <si>
    <t>B17006_018</t>
  </si>
  <si>
    <t>Estimate!!Total:!!Income in the past 12 months at or above poverty level:!!In married-couple family:!!Under 5 years</t>
  </si>
  <si>
    <t>B17006_019</t>
  </si>
  <si>
    <t>Estimate!!Total:!!Income in the past 12 months at or above poverty level:!!In married-couple family:!!5 years</t>
  </si>
  <si>
    <t>B17006_020</t>
  </si>
  <si>
    <t>Estimate!!Total:!!Income in the past 12 months at or above poverty level:!!In married-couple family:!!6 to 17 years</t>
  </si>
  <si>
    <t>B17006_021</t>
  </si>
  <si>
    <t>Estimate!!Total:!!Income in the past 12 months at or above poverty level:!!In other family:</t>
  </si>
  <si>
    <t>B17006_022</t>
  </si>
  <si>
    <t>Estimate!!Total:!!Income in the past 12 months at or above poverty level:!!In other family:!!Male householder, no spouse present:</t>
  </si>
  <si>
    <t>B17006_023</t>
  </si>
  <si>
    <t>Estimate!!Total:!!Income in the past 12 months at or above poverty level:!!In other family:!!Male householder, no spouse present:!!Under 5 years</t>
  </si>
  <si>
    <t>B17006_024</t>
  </si>
  <si>
    <t>Estimate!!Total:!!Income in the past 12 months at or above poverty level:!!In other family:!!Male householder, no spouse present:!!5 years</t>
  </si>
  <si>
    <t>B17006_025</t>
  </si>
  <si>
    <t>Estimate!!Total:!!Income in the past 12 months at or above poverty level:!!In other family:!!Male householder, no spouse present:!!6 to 17 years</t>
  </si>
  <si>
    <t>B17006_026</t>
  </si>
  <si>
    <t>Estimate!!Total:!!Income in the past 12 months at or above poverty level:!!In other family:!!Female householder, no spouse present:</t>
  </si>
  <si>
    <t>B17006_027</t>
  </si>
  <si>
    <t>Estimate!!Total:!!Income in the past 12 months at or above poverty level:!!In other family:!!Female householder, no spouse present:!!Under 5 years</t>
  </si>
  <si>
    <t>B17006_028</t>
  </si>
  <si>
    <t>Estimate!!Total:!!Income in the past 12 months at or above poverty level:!!In other family:!!Female householder, no spouse present:!!5 years</t>
  </si>
  <si>
    <t>B17006_029</t>
  </si>
  <si>
    <t>Estimate!!Total:!!Income in the past 12 months at or above poverty level:!!In other family:!!Female householder, no spouse present:!!6 to 17 years</t>
  </si>
  <si>
    <t>B17007_002</t>
  </si>
  <si>
    <t>B17007_003</t>
  </si>
  <si>
    <t>B17007_004</t>
  </si>
  <si>
    <t>B17007_005</t>
  </si>
  <si>
    <t>B17007_006</t>
  </si>
  <si>
    <t>B17007_007</t>
  </si>
  <si>
    <t>B17007_008</t>
  </si>
  <si>
    <t>B17007_009</t>
  </si>
  <si>
    <t>B17007_010</t>
  </si>
  <si>
    <t>B17007_011</t>
  </si>
  <si>
    <t>B17007_012</t>
  </si>
  <si>
    <t>B17007_013</t>
  </si>
  <si>
    <t>B17007_014</t>
  </si>
  <si>
    <t>B17007_015</t>
  </si>
  <si>
    <t>B17007_016</t>
  </si>
  <si>
    <t>B17007_017</t>
  </si>
  <si>
    <t>B17007_018</t>
  </si>
  <si>
    <t>B17007_019</t>
  </si>
  <si>
    <t>B17007_020</t>
  </si>
  <si>
    <t>B17007_021</t>
  </si>
  <si>
    <t>B17007_022</t>
  </si>
  <si>
    <t>B17007_023</t>
  </si>
  <si>
    <t>B17007_024</t>
  </si>
  <si>
    <t>B17007_025</t>
  </si>
  <si>
    <t>B17007_026</t>
  </si>
  <si>
    <t>B17007_027</t>
  </si>
  <si>
    <t>B17007_028</t>
  </si>
  <si>
    <t>B17007_029</t>
  </si>
  <si>
    <t>B17007_030</t>
  </si>
  <si>
    <t>B17007_031</t>
  </si>
  <si>
    <t>B17007_032</t>
  </si>
  <si>
    <t>B17007_033</t>
  </si>
  <si>
    <t>B17007_034</t>
  </si>
  <si>
    <t>B17007_035</t>
  </si>
  <si>
    <t>B17007_036</t>
  </si>
  <si>
    <t>B17007_037</t>
  </si>
  <si>
    <t>B17007_038</t>
  </si>
  <si>
    <t>B17007_039</t>
  </si>
  <si>
    <t>B17007_040</t>
  </si>
  <si>
    <t>B17007_041</t>
  </si>
  <si>
    <t>B17007_042</t>
  </si>
  <si>
    <t>B17007_043</t>
  </si>
  <si>
    <t>B17008_002</t>
  </si>
  <si>
    <t>Estimate!!Aggregate income deficit in the past 12 months of unrelated individuals (dollars):!!Male (dollars)</t>
  </si>
  <si>
    <t>B17008_003</t>
  </si>
  <si>
    <t>Estimate!!Aggregate income deficit in the past 12 months of unrelated individuals (dollars):!!Female (dollars)</t>
  </si>
  <si>
    <t>B17009_002</t>
  </si>
  <si>
    <t>B17009_003</t>
  </si>
  <si>
    <t>Estimate!!Total:!!Income in the past 12 months below the poverty level:!!Worked full-time, year-round:</t>
  </si>
  <si>
    <t>B17009_004</t>
  </si>
  <si>
    <t>Estimate!!Total:!!Income in the past 12 months below the poverty level:!!Worked full-time, year-round:!!Nonfamily householder</t>
  </si>
  <si>
    <t>B17009_005</t>
  </si>
  <si>
    <t>Estimate!!Total:!!Income in the past 12 months below the poverty level:!!Worked full-time, year-round:!!Other</t>
  </si>
  <si>
    <t>B17009_006</t>
  </si>
  <si>
    <t>Estimate!!Total:!!Income in the past 12 months below the poverty level:!!Worked less than full-time, year-round:</t>
  </si>
  <si>
    <t>B17009_007</t>
  </si>
  <si>
    <t>Estimate!!Total:!!Income in the past 12 months below the poverty level:!!Worked less than full-time, year-round:!!Nonfamily householder</t>
  </si>
  <si>
    <t>B17009_008</t>
  </si>
  <si>
    <t>Estimate!!Total:!!Income in the past 12 months below the poverty level:!!Worked less than full-time, year-round:!!Other</t>
  </si>
  <si>
    <t>B17009_009</t>
  </si>
  <si>
    <t>Estimate!!Total:!!Income in the past 12 months below the poverty level:!!Did not work:</t>
  </si>
  <si>
    <t>B17009_010</t>
  </si>
  <si>
    <t>Estimate!!Total:!!Income in the past 12 months below the poverty level:!!Did not work:!!Nonfamily householder</t>
  </si>
  <si>
    <t>B17009_011</t>
  </si>
  <si>
    <t>Estimate!!Total:!!Income in the past 12 months below the poverty level:!!Did not work:!!Other</t>
  </si>
  <si>
    <t>B17009_012</t>
  </si>
  <si>
    <t>B17009_013</t>
  </si>
  <si>
    <t>Estimate!!Total:!!Income in the past 12 months at or above the poverty level:!!Worked full-time, year-round:</t>
  </si>
  <si>
    <t>B17009_014</t>
  </si>
  <si>
    <t>Estimate!!Total:!!Income in the past 12 months at or above the poverty level:!!Worked full-time, year-round:!!Nonfamily householder</t>
  </si>
  <si>
    <t>B17009_015</t>
  </si>
  <si>
    <t>Estimate!!Total:!!Income in the past 12 months at or above the poverty level:!!Worked full-time, year-round:!!Other</t>
  </si>
  <si>
    <t>B17009_016</t>
  </si>
  <si>
    <t>Estimate!!Total:!!Income in the past 12 months at or above the poverty level:!!Worked less than full-time, year-round:</t>
  </si>
  <si>
    <t>B17009_017</t>
  </si>
  <si>
    <t>Estimate!!Total:!!Income in the past 12 months at or above the poverty level:!!Worked less than full-time, year-round:!!Nonfamily householder</t>
  </si>
  <si>
    <t>B17009_018</t>
  </si>
  <si>
    <t>Estimate!!Total:!!Income in the past 12 months at or above the poverty level:!!Worked less than full-time, year-round:!!Other</t>
  </si>
  <si>
    <t>B17009_019</t>
  </si>
  <si>
    <t>Estimate!!Total:!!Income in the past 12 months at or above the poverty level:!!Did not work:</t>
  </si>
  <si>
    <t>B17009_020</t>
  </si>
  <si>
    <t>Estimate!!Total:!!Income in the past 12 months at or above the poverty level:!!Did not work:!!Nonfamily householder</t>
  </si>
  <si>
    <t>B17009_021</t>
  </si>
  <si>
    <t>Estimate!!Total:!!Income in the past 12 months at or above the poverty level:!!Did not work:!!Other</t>
  </si>
  <si>
    <t>B17010A_002</t>
  </si>
  <si>
    <t>B17010A_003</t>
  </si>
  <si>
    <t>Estimate!!Total:!!Income in the past 12 months below poverty level:!!Married-couple family:</t>
  </si>
  <si>
    <t>B17010A_004</t>
  </si>
  <si>
    <t>Estimate!!Total:!!Income in the past 12 months below poverty level:!!Married-couple family:!!With related children of the householder under 18 years:</t>
  </si>
  <si>
    <t>B17010A_005</t>
  </si>
  <si>
    <t>Estimate!!Total:!!Income in the past 12 months below poverty level:!!Married-couple family:!!With related children of the householder under 18 years:!!Under 5 years only</t>
  </si>
  <si>
    <t>B17010A_006</t>
  </si>
  <si>
    <t>Estimate!!Total:!!Income in the past 12 months below poverty level:!!Married-couple family:!!With related children of the householder under 18 years:!!Under 5 years and 5 to 17 years</t>
  </si>
  <si>
    <t>B17010A_007</t>
  </si>
  <si>
    <t>Estimate!!Total:!!Income in the past 12 months below poverty level:!!Married-couple family:!!With related children of the householder under 18 years:!!5 to 17 years only</t>
  </si>
  <si>
    <t>B17010A_008</t>
  </si>
  <si>
    <t>Estimate!!Total:!!Income in the past 12 months below poverty level:!!Married-couple family:!!No related children of the householder under 18 years</t>
  </si>
  <si>
    <t>B17010A_009</t>
  </si>
  <si>
    <t>Estimate!!Total:!!Income in the past 12 months below poverty level:!!Other family:</t>
  </si>
  <si>
    <t>B17010A_010</t>
  </si>
  <si>
    <t>Estimate!!Total:!!Income in the past 12 months below poverty level:!!Other family:!!Male householder, no spouse present:</t>
  </si>
  <si>
    <t>B17010A_011</t>
  </si>
  <si>
    <t>Estimate!!Total:!!Income in the past 12 months below poverty level:!!Other family:!!Male householder, no spouse present:!!With related children of the householder under 18 years:</t>
  </si>
  <si>
    <t>B17010A_012</t>
  </si>
  <si>
    <t>Estimate!!Total:!!Income in the past 12 months below poverty level:!!Other family:!!Male householder, no spouse present:!!With related children of the householder under 18 years:!!Under 5 years only</t>
  </si>
  <si>
    <t>B17010A_013</t>
  </si>
  <si>
    <t>Estimate!!Total:!!Income in the past 12 months below poverty level:!!Other family:!!Male householder, no spouse present:!!With related children of the householder under 18 years:!!Under 5 years and 5 to 17 years</t>
  </si>
  <si>
    <t>B17010A_014</t>
  </si>
  <si>
    <t>Estimate!!Total:!!Income in the past 12 months below poverty level:!!Other family:!!Male householder, no spouse present:!!With related children of the householder under 18 years:!!5 to 17 years only</t>
  </si>
  <si>
    <t>B17010A_015</t>
  </si>
  <si>
    <t>Estimate!!Total:!!Income in the past 12 months below poverty level:!!Other family:!!Male householder, no spouse present:!!No related children of the householder under 18 years</t>
  </si>
  <si>
    <t>B17010A_016</t>
  </si>
  <si>
    <t>Estimate!!Total:!!Income in the past 12 months below poverty level:!!Other family:!!Female householder, no spouse present:</t>
  </si>
  <si>
    <t>B17010A_017</t>
  </si>
  <si>
    <t>Estimate!!Total:!!Income in the past 12 months below poverty level:!!Other family:!!Female householder, no spouse present:!!With related children of the householder under 18 years:</t>
  </si>
  <si>
    <t>B17010A_018</t>
  </si>
  <si>
    <t>Estimate!!Total:!!Income in the past 12 months below poverty level:!!Other family:!!Female householder, no spouse present:!!With related children of the householder under 18 years:!!Under 5 years only</t>
  </si>
  <si>
    <t>B17010A_019</t>
  </si>
  <si>
    <t>Estimate!!Total:!!Income in the past 12 months below poverty level:!!Other family:!!Female householder, no spouse present:!!With related children of the householder under 18 years:!!Under 5 years and 5 to 17 years</t>
  </si>
  <si>
    <t>B17010A_020</t>
  </si>
  <si>
    <t>Estimate!!Total:!!Income in the past 12 months below poverty level:!!Other family:!!Female householder, no spouse present:!!With related children of the householder under 18 years:!!5 to 17 years only</t>
  </si>
  <si>
    <t>B17010A_021</t>
  </si>
  <si>
    <t>Estimate!!Total:!!Income in the past 12 months below poverty level:!!Other family:!!Female householder, no spouse present:!!No related children of the householder under 18 years</t>
  </si>
  <si>
    <t>B17010A_022</t>
  </si>
  <si>
    <t>B17010A_023</t>
  </si>
  <si>
    <t>Estimate!!Total:!!Income in the past 12 months at or above poverty level:!!Married-couple family:</t>
  </si>
  <si>
    <t>B17010A_024</t>
  </si>
  <si>
    <t>Estimate!!Total:!!Income in the past 12 months at or above poverty level:!!Married-couple family:!!With related children of the householder under 18 years:</t>
  </si>
  <si>
    <t>B17010A_025</t>
  </si>
  <si>
    <t>Estimate!!Total:!!Income in the past 12 months at or above poverty level:!!Married-couple family:!!With related children of the householder under 18 years:!!Under 5 years only</t>
  </si>
  <si>
    <t>B17010A_026</t>
  </si>
  <si>
    <t>Estimate!!Total:!!Income in the past 12 months at or above poverty level:!!Married-couple family:!!With related children of the householder under 18 years:!!Under 5 years and 5 to 17 years</t>
  </si>
  <si>
    <t>B17010A_027</t>
  </si>
  <si>
    <t>Estimate!!Total:!!Income in the past 12 months at or above poverty level:!!Married-couple family:!!With related children of the householder under 18 years:!!5 to 17 years only</t>
  </si>
  <si>
    <t>B17010A_028</t>
  </si>
  <si>
    <t>Estimate!!Total:!!Income in the past 12 months at or above poverty level:!!Married-couple family:!!No related children of the householder under 18 years</t>
  </si>
  <si>
    <t>B17010A_029</t>
  </si>
  <si>
    <t>Estimate!!Total:!!Income in the past 12 months at or above poverty level:!!Other family:</t>
  </si>
  <si>
    <t>B17010A_030</t>
  </si>
  <si>
    <t>Estimate!!Total:!!Income in the past 12 months at or above poverty level:!!Other family:!!Male householder, no spouse present:</t>
  </si>
  <si>
    <t>B17010A_031</t>
  </si>
  <si>
    <t>Estimate!!Total:!!Income in the past 12 months at or above poverty level:!!Other family:!!Male householder, no spouse present:!!With related children of the householder under 18 years:</t>
  </si>
  <si>
    <t>B17010A_032</t>
  </si>
  <si>
    <t>Estimate!!Total:!!Income in the past 12 months at or above poverty level:!!Other family:!!Male householder, no spouse present:!!With related children of the householder under 18 years:!!Under 5 years only</t>
  </si>
  <si>
    <t>B17010A_033</t>
  </si>
  <si>
    <t>Estimate!!Total:!!Income in the past 12 months at or above poverty level:!!Other family:!!Male householder, no spouse present:!!With related children of the householder under 18 years:!!Under 5 years and 5 to 17 years</t>
  </si>
  <si>
    <t>B17010A_034</t>
  </si>
  <si>
    <t>Estimate!!Total:!!Income in the past 12 months at or above poverty level:!!Other family:!!Male householder, no spouse present:!!With related children of the householder under 18 years:!!5 to 17 years only</t>
  </si>
  <si>
    <t>B17010A_035</t>
  </si>
  <si>
    <t>Estimate!!Total:!!Income in the past 12 months at or above poverty level:!!Other family:!!Male householder, no spouse present:!!No related children of the householder under 18 years</t>
  </si>
  <si>
    <t>B17010A_036</t>
  </si>
  <si>
    <t>Estimate!!Total:!!Income in the past 12 months at or above poverty level:!!Other family:!!Female householder, no spouse present:</t>
  </si>
  <si>
    <t>B17010A_037</t>
  </si>
  <si>
    <t>Estimate!!Total:!!Income in the past 12 months at or above poverty level:!!Other family:!!Female householder, no spouse present:!!With related children of the householder under 18 years:</t>
  </si>
  <si>
    <t>B17010A_038</t>
  </si>
  <si>
    <t>Estimate!!Total:!!Income in the past 12 months at or above poverty level:!!Other family:!!Female householder, no spouse present:!!With related children of the householder under 18 years:!!Under 5 years only</t>
  </si>
  <si>
    <t>B17010A_039</t>
  </si>
  <si>
    <t>Estimate!!Total:!!Income in the past 12 months at or above poverty level:!!Other family:!!Female householder, no spouse present:!!With related children of the householder under 18 years:!!Under 5 years and 5 to 17 years</t>
  </si>
  <si>
    <t>B17010A_040</t>
  </si>
  <si>
    <t>Estimate!!Total:!!Income in the past 12 months at or above poverty level:!!Other family:!!Female householder, no spouse present:!!With related children of the householder under 18 years:!!5 to 17 years only</t>
  </si>
  <si>
    <t>B17010A_041</t>
  </si>
  <si>
    <t>Estimate!!Total:!!Income in the past 12 months at or above poverty level:!!Other family:!!Female householder, no spouse present:!!No related children of the householder under 18 years</t>
  </si>
  <si>
    <t>B17010B_002</t>
  </si>
  <si>
    <t>B17010B_003</t>
  </si>
  <si>
    <t>B17010B_004</t>
  </si>
  <si>
    <t>B17010B_005</t>
  </si>
  <si>
    <t>B17010B_006</t>
  </si>
  <si>
    <t>B17010B_007</t>
  </si>
  <si>
    <t>B17010B_008</t>
  </si>
  <si>
    <t>B17010B_009</t>
  </si>
  <si>
    <t>B17010B_010</t>
  </si>
  <si>
    <t>B17010B_011</t>
  </si>
  <si>
    <t>B17010B_012</t>
  </si>
  <si>
    <t>B17010B_013</t>
  </si>
  <si>
    <t>B17010B_014</t>
  </si>
  <si>
    <t>B17010B_015</t>
  </si>
  <si>
    <t>B17010B_016</t>
  </si>
  <si>
    <t>B17010B_017</t>
  </si>
  <si>
    <t>B17010B_018</t>
  </si>
  <si>
    <t>B17010B_019</t>
  </si>
  <si>
    <t>B17010B_020</t>
  </si>
  <si>
    <t>B17010B_021</t>
  </si>
  <si>
    <t>B17010B_022</t>
  </si>
  <si>
    <t>B17010B_023</t>
  </si>
  <si>
    <t>B17010B_024</t>
  </si>
  <si>
    <t>B17010B_025</t>
  </si>
  <si>
    <t>B17010B_026</t>
  </si>
  <si>
    <t>B17010B_027</t>
  </si>
  <si>
    <t>B17010B_028</t>
  </si>
  <si>
    <t>B17010B_029</t>
  </si>
  <si>
    <t>B17010B_030</t>
  </si>
  <si>
    <t>B17010B_031</t>
  </si>
  <si>
    <t>B17010B_032</t>
  </si>
  <si>
    <t>B17010B_033</t>
  </si>
  <si>
    <t>B17010B_034</t>
  </si>
  <si>
    <t>B17010B_035</t>
  </si>
  <si>
    <t>B17010B_036</t>
  </si>
  <si>
    <t>B17010B_037</t>
  </si>
  <si>
    <t>B17010B_038</t>
  </si>
  <si>
    <t>B17010B_039</t>
  </si>
  <si>
    <t>B17010B_040</t>
  </si>
  <si>
    <t>B17010B_041</t>
  </si>
  <si>
    <t>B17010C_002</t>
  </si>
  <si>
    <t>B17010C_003</t>
  </si>
  <si>
    <t>B17010C_004</t>
  </si>
  <si>
    <t>B17010C_005</t>
  </si>
  <si>
    <t>B17010C_006</t>
  </si>
  <si>
    <t>B17010C_007</t>
  </si>
  <si>
    <t>B17010C_008</t>
  </si>
  <si>
    <t>B17010C_009</t>
  </si>
  <si>
    <t>B17010C_010</t>
  </si>
  <si>
    <t>B17010C_011</t>
  </si>
  <si>
    <t>B17010C_012</t>
  </si>
  <si>
    <t>B17010C_013</t>
  </si>
  <si>
    <t>B17010C_014</t>
  </si>
  <si>
    <t>B17010C_015</t>
  </si>
  <si>
    <t>B17010C_016</t>
  </si>
  <si>
    <t>B17010C_017</t>
  </si>
  <si>
    <t>B17010C_018</t>
  </si>
  <si>
    <t>B17010C_019</t>
  </si>
  <si>
    <t>B17010C_020</t>
  </si>
  <si>
    <t>B17010C_021</t>
  </si>
  <si>
    <t>B17010C_022</t>
  </si>
  <si>
    <t>B17010C_023</t>
  </si>
  <si>
    <t>B17010C_024</t>
  </si>
  <si>
    <t>B17010C_025</t>
  </si>
  <si>
    <t>B17010C_026</t>
  </si>
  <si>
    <t>B17010C_027</t>
  </si>
  <si>
    <t>B17010C_028</t>
  </si>
  <si>
    <t>B17010C_029</t>
  </si>
  <si>
    <t>B17010C_030</t>
  </si>
  <si>
    <t>B17010C_031</t>
  </si>
  <si>
    <t>B17010C_032</t>
  </si>
  <si>
    <t>B17010C_033</t>
  </si>
  <si>
    <t>B17010C_034</t>
  </si>
  <si>
    <t>B17010C_035</t>
  </si>
  <si>
    <t>B17010C_036</t>
  </si>
  <si>
    <t>B17010C_037</t>
  </si>
  <si>
    <t>B17010C_038</t>
  </si>
  <si>
    <t>B17010C_039</t>
  </si>
  <si>
    <t>B17010C_040</t>
  </si>
  <si>
    <t>B17010C_041</t>
  </si>
  <si>
    <t>B17010D_002</t>
  </si>
  <si>
    <t>B17010D_003</t>
  </si>
  <si>
    <t>B17010D_004</t>
  </si>
  <si>
    <t>B17010D_005</t>
  </si>
  <si>
    <t>B17010D_006</t>
  </si>
  <si>
    <t>B17010D_007</t>
  </si>
  <si>
    <t>B17010D_008</t>
  </si>
  <si>
    <t>B17010D_009</t>
  </si>
  <si>
    <t>B17010D_010</t>
  </si>
  <si>
    <t>B17010D_011</t>
  </si>
  <si>
    <t>B17010D_012</t>
  </si>
  <si>
    <t>B17010D_013</t>
  </si>
  <si>
    <t>B17010D_014</t>
  </si>
  <si>
    <t>B17010D_015</t>
  </si>
  <si>
    <t>B17010D_016</t>
  </si>
  <si>
    <t>B17010D_017</t>
  </si>
  <si>
    <t>B17010D_018</t>
  </si>
  <si>
    <t>B17010D_019</t>
  </si>
  <si>
    <t>B17010D_020</t>
  </si>
  <si>
    <t>B17010D_021</t>
  </si>
  <si>
    <t>B17010D_022</t>
  </si>
  <si>
    <t>B17010D_023</t>
  </si>
  <si>
    <t>B17010D_024</t>
  </si>
  <si>
    <t>B17010D_025</t>
  </si>
  <si>
    <t>B17010D_026</t>
  </si>
  <si>
    <t>B17010D_027</t>
  </si>
  <si>
    <t>B17010D_028</t>
  </si>
  <si>
    <t>B17010D_029</t>
  </si>
  <si>
    <t>B17010D_030</t>
  </si>
  <si>
    <t>B17010D_031</t>
  </si>
  <si>
    <t>B17010D_032</t>
  </si>
  <si>
    <t>B17010D_033</t>
  </si>
  <si>
    <t>B17010D_034</t>
  </si>
  <si>
    <t>B17010D_035</t>
  </si>
  <si>
    <t>B17010D_036</t>
  </si>
  <si>
    <t>B17010D_037</t>
  </si>
  <si>
    <t>B17010D_038</t>
  </si>
  <si>
    <t>B17010D_039</t>
  </si>
  <si>
    <t>B17010D_040</t>
  </si>
  <si>
    <t>B17010D_041</t>
  </si>
  <si>
    <t>B17010E_002</t>
  </si>
  <si>
    <t>B17010E_003</t>
  </si>
  <si>
    <t>B17010E_004</t>
  </si>
  <si>
    <t>B17010E_005</t>
  </si>
  <si>
    <t>B17010E_006</t>
  </si>
  <si>
    <t>B17010E_007</t>
  </si>
  <si>
    <t>B17010E_008</t>
  </si>
  <si>
    <t>B17010E_009</t>
  </si>
  <si>
    <t>B17010E_010</t>
  </si>
  <si>
    <t>B17010E_011</t>
  </si>
  <si>
    <t>B17010E_012</t>
  </si>
  <si>
    <t>B17010E_013</t>
  </si>
  <si>
    <t>B17010E_014</t>
  </si>
  <si>
    <t>B17010E_015</t>
  </si>
  <si>
    <t>B17010E_016</t>
  </si>
  <si>
    <t>B17010E_017</t>
  </si>
  <si>
    <t>B17010E_018</t>
  </si>
  <si>
    <t>B17010E_019</t>
  </si>
  <si>
    <t>B17010E_020</t>
  </si>
  <si>
    <t>B17010E_021</t>
  </si>
  <si>
    <t>B17010E_022</t>
  </si>
  <si>
    <t>B17010E_023</t>
  </si>
  <si>
    <t>B17010E_024</t>
  </si>
  <si>
    <t>B17010E_025</t>
  </si>
  <si>
    <t>B17010E_026</t>
  </si>
  <si>
    <t>B17010E_027</t>
  </si>
  <si>
    <t>B17010E_028</t>
  </si>
  <si>
    <t>B17010E_029</t>
  </si>
  <si>
    <t>B17010E_030</t>
  </si>
  <si>
    <t>B17010E_031</t>
  </si>
  <si>
    <t>B17010E_032</t>
  </si>
  <si>
    <t>B17010E_033</t>
  </si>
  <si>
    <t>B17010E_034</t>
  </si>
  <si>
    <t>B17010E_035</t>
  </si>
  <si>
    <t>B17010E_036</t>
  </si>
  <si>
    <t>B17010E_037</t>
  </si>
  <si>
    <t>B17010E_038</t>
  </si>
  <si>
    <t>B17010E_039</t>
  </si>
  <si>
    <t>B17010E_040</t>
  </si>
  <si>
    <t>B17010E_041</t>
  </si>
  <si>
    <t>B17010F_002</t>
  </si>
  <si>
    <t>B17010F_003</t>
  </si>
  <si>
    <t>B17010F_004</t>
  </si>
  <si>
    <t>B17010F_005</t>
  </si>
  <si>
    <t>B17010F_006</t>
  </si>
  <si>
    <t>B17010F_007</t>
  </si>
  <si>
    <t>B17010F_008</t>
  </si>
  <si>
    <t>B17010F_009</t>
  </si>
  <si>
    <t>B17010F_010</t>
  </si>
  <si>
    <t>B17010F_011</t>
  </si>
  <si>
    <t>B17010F_012</t>
  </si>
  <si>
    <t>B17010F_013</t>
  </si>
  <si>
    <t>B17010F_014</t>
  </si>
  <si>
    <t>B17010F_015</t>
  </si>
  <si>
    <t>B17010F_016</t>
  </si>
  <si>
    <t>B17010F_017</t>
  </si>
  <si>
    <t>B17010F_018</t>
  </si>
  <si>
    <t>B17010F_019</t>
  </si>
  <si>
    <t>B17010F_020</t>
  </si>
  <si>
    <t>B17010F_021</t>
  </si>
  <si>
    <t>B17010F_022</t>
  </si>
  <si>
    <t>B17010F_023</t>
  </si>
  <si>
    <t>B17010F_024</t>
  </si>
  <si>
    <t>B17010F_025</t>
  </si>
  <si>
    <t>B17010F_026</t>
  </si>
  <si>
    <t>B17010F_027</t>
  </si>
  <si>
    <t>B17010F_028</t>
  </si>
  <si>
    <t>B17010F_029</t>
  </si>
  <si>
    <t>B17010F_030</t>
  </si>
  <si>
    <t>B17010F_031</t>
  </si>
  <si>
    <t>B17010F_032</t>
  </si>
  <si>
    <t>B17010F_033</t>
  </si>
  <si>
    <t>B17010F_034</t>
  </si>
  <si>
    <t>B17010F_035</t>
  </si>
  <si>
    <t>B17010F_036</t>
  </si>
  <si>
    <t>B17010F_037</t>
  </si>
  <si>
    <t>B17010F_038</t>
  </si>
  <si>
    <t>B17010F_039</t>
  </si>
  <si>
    <t>B17010F_040</t>
  </si>
  <si>
    <t>B17010F_041</t>
  </si>
  <si>
    <t>B17010G_002</t>
  </si>
  <si>
    <t>B17010G_003</t>
  </si>
  <si>
    <t>B17010G_004</t>
  </si>
  <si>
    <t>B17010G_005</t>
  </si>
  <si>
    <t>B17010G_006</t>
  </si>
  <si>
    <t>B17010G_007</t>
  </si>
  <si>
    <t>B17010G_008</t>
  </si>
  <si>
    <t>B17010G_009</t>
  </si>
  <si>
    <t>B17010G_010</t>
  </si>
  <si>
    <t>B17010G_011</t>
  </si>
  <si>
    <t>B17010G_012</t>
  </si>
  <si>
    <t>B17010G_013</t>
  </si>
  <si>
    <t>B17010G_014</t>
  </si>
  <si>
    <t>B17010G_015</t>
  </si>
  <si>
    <t>B17010G_016</t>
  </si>
  <si>
    <t>B17010G_017</t>
  </si>
  <si>
    <t>B17010G_018</t>
  </si>
  <si>
    <t>B17010G_019</t>
  </si>
  <si>
    <t>B17010G_020</t>
  </si>
  <si>
    <t>B17010G_021</t>
  </si>
  <si>
    <t>B17010G_022</t>
  </si>
  <si>
    <t>B17010G_023</t>
  </si>
  <si>
    <t>B17010G_024</t>
  </si>
  <si>
    <t>B17010G_025</t>
  </si>
  <si>
    <t>B17010G_026</t>
  </si>
  <si>
    <t>B17010G_027</t>
  </si>
  <si>
    <t>B17010G_028</t>
  </si>
  <si>
    <t>B17010G_029</t>
  </si>
  <si>
    <t>B17010G_030</t>
  </si>
  <si>
    <t>B17010G_031</t>
  </si>
  <si>
    <t>B17010G_032</t>
  </si>
  <si>
    <t>B17010G_033</t>
  </si>
  <si>
    <t>B17010G_034</t>
  </si>
  <si>
    <t>B17010G_035</t>
  </si>
  <si>
    <t>B17010G_036</t>
  </si>
  <si>
    <t>B17010G_037</t>
  </si>
  <si>
    <t>B17010G_038</t>
  </si>
  <si>
    <t>B17010G_039</t>
  </si>
  <si>
    <t>B17010G_040</t>
  </si>
  <si>
    <t>B17010G_041</t>
  </si>
  <si>
    <t>B17010H_002</t>
  </si>
  <si>
    <t>B17010H_003</t>
  </si>
  <si>
    <t>B17010H_004</t>
  </si>
  <si>
    <t>B17010H_005</t>
  </si>
  <si>
    <t>B17010H_006</t>
  </si>
  <si>
    <t>B17010H_007</t>
  </si>
  <si>
    <t>B17010H_008</t>
  </si>
  <si>
    <t>B17010H_009</t>
  </si>
  <si>
    <t>B17010H_010</t>
  </si>
  <si>
    <t>B17010H_011</t>
  </si>
  <si>
    <t>B17010H_012</t>
  </si>
  <si>
    <t>B17010H_013</t>
  </si>
  <si>
    <t>B17010H_014</t>
  </si>
  <si>
    <t>B17010H_015</t>
  </si>
  <si>
    <t>B17010H_016</t>
  </si>
  <si>
    <t>B17010H_017</t>
  </si>
  <si>
    <t>B17010H_018</t>
  </si>
  <si>
    <t>B17010H_019</t>
  </si>
  <si>
    <t>B17010H_020</t>
  </si>
  <si>
    <t>B17010H_021</t>
  </si>
  <si>
    <t>B17010H_022</t>
  </si>
  <si>
    <t>B17010H_023</t>
  </si>
  <si>
    <t>B17010H_024</t>
  </si>
  <si>
    <t>B17010H_025</t>
  </si>
  <si>
    <t>B17010H_026</t>
  </si>
  <si>
    <t>B17010H_027</t>
  </si>
  <si>
    <t>B17010H_028</t>
  </si>
  <si>
    <t>B17010H_029</t>
  </si>
  <si>
    <t>B17010H_030</t>
  </si>
  <si>
    <t>B17010H_031</t>
  </si>
  <si>
    <t>B17010H_032</t>
  </si>
  <si>
    <t>B17010H_033</t>
  </si>
  <si>
    <t>B17010H_034</t>
  </si>
  <si>
    <t>B17010H_035</t>
  </si>
  <si>
    <t>B17010H_036</t>
  </si>
  <si>
    <t>B17010H_037</t>
  </si>
  <si>
    <t>B17010H_038</t>
  </si>
  <si>
    <t>B17010H_039</t>
  </si>
  <si>
    <t>B17010H_040</t>
  </si>
  <si>
    <t>B17010H_041</t>
  </si>
  <si>
    <t>B17010I_002</t>
  </si>
  <si>
    <t>B17010I_003</t>
  </si>
  <si>
    <t>B17010I_004</t>
  </si>
  <si>
    <t>B17010I_005</t>
  </si>
  <si>
    <t>B17010I_006</t>
  </si>
  <si>
    <t>B17010I_007</t>
  </si>
  <si>
    <t>B17010I_008</t>
  </si>
  <si>
    <t>B17010I_009</t>
  </si>
  <si>
    <t>B17010I_010</t>
  </si>
  <si>
    <t>B17010I_011</t>
  </si>
  <si>
    <t>B17010I_012</t>
  </si>
  <si>
    <t>B17010I_013</t>
  </si>
  <si>
    <t>B17010I_014</t>
  </si>
  <si>
    <t>B17010I_015</t>
  </si>
  <si>
    <t>B17010I_016</t>
  </si>
  <si>
    <t>B17010I_017</t>
  </si>
  <si>
    <t>B17010I_018</t>
  </si>
  <si>
    <t>B17010I_019</t>
  </si>
  <si>
    <t>B17010I_020</t>
  </si>
  <si>
    <t>B17010I_021</t>
  </si>
  <si>
    <t>B17010I_022</t>
  </si>
  <si>
    <t>B17010I_023</t>
  </si>
  <si>
    <t>B17010I_024</t>
  </si>
  <si>
    <t>B17010I_025</t>
  </si>
  <si>
    <t>B17010I_026</t>
  </si>
  <si>
    <t>B17010I_027</t>
  </si>
  <si>
    <t>B17010I_028</t>
  </si>
  <si>
    <t>B17010I_029</t>
  </si>
  <si>
    <t>B17010I_030</t>
  </si>
  <si>
    <t>B17010I_031</t>
  </si>
  <si>
    <t>B17010I_032</t>
  </si>
  <si>
    <t>B17010I_033</t>
  </si>
  <si>
    <t>B17010I_034</t>
  </si>
  <si>
    <t>B17010I_035</t>
  </si>
  <si>
    <t>B17010I_036</t>
  </si>
  <si>
    <t>B17010I_037</t>
  </si>
  <si>
    <t>B17010I_038</t>
  </si>
  <si>
    <t>B17010I_039</t>
  </si>
  <si>
    <t>B17010I_040</t>
  </si>
  <si>
    <t>B17010I_041</t>
  </si>
  <si>
    <t>B17010_002</t>
  </si>
  <si>
    <t>B17010_003</t>
  </si>
  <si>
    <t>B17010_004</t>
  </si>
  <si>
    <t>B17010_005</t>
  </si>
  <si>
    <t>B17010_006</t>
  </si>
  <si>
    <t>B17010_007</t>
  </si>
  <si>
    <t>B17010_008</t>
  </si>
  <si>
    <t>B17010_009</t>
  </si>
  <si>
    <t>B17010_010</t>
  </si>
  <si>
    <t>B17010_011</t>
  </si>
  <si>
    <t>B17010_012</t>
  </si>
  <si>
    <t>B17010_013</t>
  </si>
  <si>
    <t>B17010_014</t>
  </si>
  <si>
    <t>B17010_015</t>
  </si>
  <si>
    <t>B17010_016</t>
  </si>
  <si>
    <t>B17010_017</t>
  </si>
  <si>
    <t>B17010_018</t>
  </si>
  <si>
    <t>B17010_019</t>
  </si>
  <si>
    <t>B17010_020</t>
  </si>
  <si>
    <t>B17010_021</t>
  </si>
  <si>
    <t>B17010_022</t>
  </si>
  <si>
    <t>B17010_023</t>
  </si>
  <si>
    <t>B17010_024</t>
  </si>
  <si>
    <t>B17010_025</t>
  </si>
  <si>
    <t>B17010_026</t>
  </si>
  <si>
    <t>B17010_027</t>
  </si>
  <si>
    <t>B17010_028</t>
  </si>
  <si>
    <t>B17010_029</t>
  </si>
  <si>
    <t>B17010_030</t>
  </si>
  <si>
    <t>B17010_031</t>
  </si>
  <si>
    <t>B17010_032</t>
  </si>
  <si>
    <t>B17010_033</t>
  </si>
  <si>
    <t>B17010_034</t>
  </si>
  <si>
    <t>B17010_035</t>
  </si>
  <si>
    <t>B17010_036</t>
  </si>
  <si>
    <t>B17010_037</t>
  </si>
  <si>
    <t>B17010_038</t>
  </si>
  <si>
    <t>B17010_039</t>
  </si>
  <si>
    <t>B17010_040</t>
  </si>
  <si>
    <t>B17010_041</t>
  </si>
  <si>
    <t>B17011_002</t>
  </si>
  <si>
    <t>Estimate!!Aggregate income deficit in the past 12 months:!!Married-couple family</t>
  </si>
  <si>
    <t>B17011_003</t>
  </si>
  <si>
    <t>Estimate!!Aggregate income deficit in the past 12 months:!!Other family:</t>
  </si>
  <si>
    <t>B17011_004</t>
  </si>
  <si>
    <t>Estimate!!Aggregate income deficit in the past 12 months:!!Other family:!!Male householder, no spouse present</t>
  </si>
  <si>
    <t>B17011_005</t>
  </si>
  <si>
    <t>Estimate!!Aggregate income deficit in the past 12 months:!!Other family:!!Female householder, no spouse present</t>
  </si>
  <si>
    <t>B17012_002</t>
  </si>
  <si>
    <t>B17012_003</t>
  </si>
  <si>
    <t>B17012_004</t>
  </si>
  <si>
    <t>Estimate!!Total:!!Income in the past 12 months below poverty level:!!Married-couple family:!!No child</t>
  </si>
  <si>
    <t>B17012_005</t>
  </si>
  <si>
    <t>Estimate!!Total:!!Income in the past 12 months below poverty level:!!Married-couple family:!!1 or 2 children</t>
  </si>
  <si>
    <t>B17012_006</t>
  </si>
  <si>
    <t>Estimate!!Total:!!Income in the past 12 months below poverty level:!!Married-couple family:!!3 or 4 children</t>
  </si>
  <si>
    <t>B17012_007</t>
  </si>
  <si>
    <t>Estimate!!Total:!!Income in the past 12 months below poverty level:!!Married-couple family:!!5 or more children</t>
  </si>
  <si>
    <t>B17012_008</t>
  </si>
  <si>
    <t>Estimate!!Total:!!Income in the past 12 months below poverty level:!!Other families:</t>
  </si>
  <si>
    <t>B17012_009</t>
  </si>
  <si>
    <t>Estimate!!Total:!!Income in the past 12 months below poverty level:!!Other families:!!Male householder, no spouse present:</t>
  </si>
  <si>
    <t>B17012_010</t>
  </si>
  <si>
    <t>Estimate!!Total:!!Income in the past 12 months below poverty level:!!Other families:!!Male householder, no spouse present:!!No child</t>
  </si>
  <si>
    <t>B17012_011</t>
  </si>
  <si>
    <t>Estimate!!Total:!!Income in the past 12 months below poverty level:!!Other families:!!Male householder, no spouse present:!!1 or 2 children</t>
  </si>
  <si>
    <t>B17012_012</t>
  </si>
  <si>
    <t>Estimate!!Total:!!Income in the past 12 months below poverty level:!!Other families:!!Male householder, no spouse present:!!3 or 4 children</t>
  </si>
  <si>
    <t>B17012_013</t>
  </si>
  <si>
    <t>Estimate!!Total:!!Income in the past 12 months below poverty level:!!Other families:!!Male householder, no spouse present:!!5 or more children</t>
  </si>
  <si>
    <t>B17012_014</t>
  </si>
  <si>
    <t>Estimate!!Total:!!Income in the past 12 months below poverty level:!!Other families:!!Female householder, no spouse present:</t>
  </si>
  <si>
    <t>B17012_015</t>
  </si>
  <si>
    <t>Estimate!!Total:!!Income in the past 12 months below poverty level:!!Other families:!!Female householder, no spouse present:!!No child</t>
  </si>
  <si>
    <t>B17012_016</t>
  </si>
  <si>
    <t>Estimate!!Total:!!Income in the past 12 months below poverty level:!!Other families:!!Female householder, no spouse present:!!1 or 2 children</t>
  </si>
  <si>
    <t>B17012_017</t>
  </si>
  <si>
    <t>Estimate!!Total:!!Income in the past 12 months below poverty level:!!Other families:!!Female householder, no spouse present:!!3 or 4 children</t>
  </si>
  <si>
    <t>B17012_018</t>
  </si>
  <si>
    <t>Estimate!!Total:!!Income in the past 12 months below poverty level:!!Other families:!!Female householder, no spouse present:!!5 or more children</t>
  </si>
  <si>
    <t>B17012_019</t>
  </si>
  <si>
    <t>B17012_020</t>
  </si>
  <si>
    <t>B17012_021</t>
  </si>
  <si>
    <t>Estimate!!Total:!!Income in the past 12 months at or above poverty level:!!Married-couple family:!!No child</t>
  </si>
  <si>
    <t>B17012_022</t>
  </si>
  <si>
    <t>Estimate!!Total:!!Income in the past 12 months at or above poverty level:!!Married-couple family:!!1 or 2 children</t>
  </si>
  <si>
    <t>B17012_023</t>
  </si>
  <si>
    <t>Estimate!!Total:!!Income in the past 12 months at or above poverty level:!!Married-couple family:!!3 or 4 children</t>
  </si>
  <si>
    <t>B17012_024</t>
  </si>
  <si>
    <t>Estimate!!Total:!!Income in the past 12 months at or above poverty level:!!Married-couple family:!!5 or more children</t>
  </si>
  <si>
    <t>B17012_025</t>
  </si>
  <si>
    <t>Estimate!!Total:!!Income in the past 12 months at or above poverty level:!!Other families:</t>
  </si>
  <si>
    <t>B17012_026</t>
  </si>
  <si>
    <t>Estimate!!Total:!!Income in the past 12 months at or above poverty level:!!Other families:!!Male householder, no spouse present:</t>
  </si>
  <si>
    <t>B17012_027</t>
  </si>
  <si>
    <t>Estimate!!Total:!!Income in the past 12 months at or above poverty level:!!Other families:!!Male householder, no spouse present:!!No child</t>
  </si>
  <si>
    <t>B17012_028</t>
  </si>
  <si>
    <t>Estimate!!Total:!!Income in the past 12 months at or above poverty level:!!Other families:!!Male householder, no spouse present:!!1 or 2 children</t>
  </si>
  <si>
    <t>B17012_029</t>
  </si>
  <si>
    <t>Estimate!!Total:!!Income in the past 12 months at or above poverty level:!!Other families:!!Male householder, no spouse present:!!3 or 4 children</t>
  </si>
  <si>
    <t>B17012_030</t>
  </si>
  <si>
    <t>Estimate!!Total:!!Income in the past 12 months at or above poverty level:!!Other families:!!Male householder, no spouse present:!!5 or more children</t>
  </si>
  <si>
    <t>B17012_031</t>
  </si>
  <si>
    <t>Estimate!!Total:!!Income in the past 12 months at or above poverty level:!!Other families:!!Female householder, no spouse present:</t>
  </si>
  <si>
    <t>B17012_032</t>
  </si>
  <si>
    <t>Estimate!!Total:!!Income in the past 12 months at or above poverty level:!!Other families:!!Female householder, no spouse present:!!No child</t>
  </si>
  <si>
    <t>B17012_033</t>
  </si>
  <si>
    <t>Estimate!!Total:!!Income in the past 12 months at or above poverty level:!!Other families:!!Female householder, no spouse present:!!1 or 2 children</t>
  </si>
  <si>
    <t>B17012_034</t>
  </si>
  <si>
    <t>Estimate!!Total:!!Income in the past 12 months at or above poverty level:!!Other families:!!Female householder, no spouse present:!!3 or 4 children</t>
  </si>
  <si>
    <t>B17012_035</t>
  </si>
  <si>
    <t>Estimate!!Total:!!Income in the past 12 months at or above poverty level:!!Other families:!!Female householder, no spouse present:!!5 or more children</t>
  </si>
  <si>
    <t>B17013_002</t>
  </si>
  <si>
    <t>B17013_003</t>
  </si>
  <si>
    <t>B17013_004</t>
  </si>
  <si>
    <t>Estimate!!Total:!!Income in the past 12 months below poverty level:!!Married-couple family:!!2 people</t>
  </si>
  <si>
    <t>B17013_005</t>
  </si>
  <si>
    <t>Estimate!!Total:!!Income in the past 12 months below poverty level:!!Married-couple family:!!3 to 4 people</t>
  </si>
  <si>
    <t>B17013_006</t>
  </si>
  <si>
    <t>Estimate!!Total:!!Income in the past 12 months below poverty level:!!Married-couple family:!!5 to 6 people</t>
  </si>
  <si>
    <t>B17013_007</t>
  </si>
  <si>
    <t>Estimate!!Total:!!Income in the past 12 months below poverty level:!!Married-couple family:!!7 or more people</t>
  </si>
  <si>
    <t>B17013_008</t>
  </si>
  <si>
    <t>B17013_009</t>
  </si>
  <si>
    <t>B17013_010</t>
  </si>
  <si>
    <t>Estimate!!Total:!!Income in the past 12 months below poverty level:!!Other families:!!Male householder, no spouse present:!!2 people</t>
  </si>
  <si>
    <t>B17013_011</t>
  </si>
  <si>
    <t>Estimate!!Total:!!Income in the past 12 months below poverty level:!!Other families:!!Male householder, no spouse present:!!3 to 4 people</t>
  </si>
  <si>
    <t>B17013_012</t>
  </si>
  <si>
    <t>Estimate!!Total:!!Income in the past 12 months below poverty level:!!Other families:!!Male householder, no spouse present:!!5 to 6 people</t>
  </si>
  <si>
    <t>B17013_013</t>
  </si>
  <si>
    <t>Estimate!!Total:!!Income in the past 12 months below poverty level:!!Other families:!!Male householder, no spouse present:!!7 or more people</t>
  </si>
  <si>
    <t>B17013_014</t>
  </si>
  <si>
    <t>B17013_015</t>
  </si>
  <si>
    <t>Estimate!!Total:!!Income in the past 12 months below poverty level:!!Other families:!!Female householder, no spouse present:!!2 people</t>
  </si>
  <si>
    <t>B17013_016</t>
  </si>
  <si>
    <t>Estimate!!Total:!!Income in the past 12 months below poverty level:!!Other families:!!Female householder, no spouse present:!!3 to 4 people</t>
  </si>
  <si>
    <t>B17013_017</t>
  </si>
  <si>
    <t>Estimate!!Total:!!Income in the past 12 months below poverty level:!!Other families:!!Female householder, no spouse present:!!5 to 6 people</t>
  </si>
  <si>
    <t>B17013_018</t>
  </si>
  <si>
    <t>Estimate!!Total:!!Income in the past 12 months below poverty level:!!Other families:!!Female householder, no spouse present:!!7 or more people</t>
  </si>
  <si>
    <t>B17013_019</t>
  </si>
  <si>
    <t>B17013_020</t>
  </si>
  <si>
    <t>B17013_021</t>
  </si>
  <si>
    <t>Estimate!!Total:!!Income in the past 12 months at or above poverty level:!!Married-couple family:!!2 people</t>
  </si>
  <si>
    <t>B17013_022</t>
  </si>
  <si>
    <t>Estimate!!Total:!!Income in the past 12 months at or above poverty level:!!Married-couple family:!!3 to 4 people</t>
  </si>
  <si>
    <t>B17013_023</t>
  </si>
  <si>
    <t>Estimate!!Total:!!Income in the past 12 months at or above poverty level:!!Married-couple family:!!5 to 6 people</t>
  </si>
  <si>
    <t>B17013_024</t>
  </si>
  <si>
    <t>Estimate!!Total:!!Income in the past 12 months at or above poverty level:!!Married-couple family:!!7 or more people</t>
  </si>
  <si>
    <t>B17013_025</t>
  </si>
  <si>
    <t>B17013_026</t>
  </si>
  <si>
    <t>B17013_027</t>
  </si>
  <si>
    <t>Estimate!!Total:!!Income in the past 12 months at or above poverty level:!!Other families:!!Male householder, no spouse present:!!2 people</t>
  </si>
  <si>
    <t>B17013_028</t>
  </si>
  <si>
    <t>Estimate!!Total:!!Income in the past 12 months at or above poverty level:!!Other families:!!Male householder, no spouse present:!!3 to 4 people</t>
  </si>
  <si>
    <t>B17013_029</t>
  </si>
  <si>
    <t>Estimate!!Total:!!Income in the past 12 months at or above poverty level:!!Other families:!!Male householder, no spouse present:!!5 to 6 people</t>
  </si>
  <si>
    <t>B17013_030</t>
  </si>
  <si>
    <t>Estimate!!Total:!!Income in the past 12 months at or above poverty level:!!Other families:!!Male householder, no spouse present:!!7 or more people</t>
  </si>
  <si>
    <t>B17013_031</t>
  </si>
  <si>
    <t>B17013_032</t>
  </si>
  <si>
    <t>Estimate!!Total:!!Income in the past 12 months at or above poverty level:!!Other families:!!Female householder, no spouse present:!!2 people</t>
  </si>
  <si>
    <t>B17013_033</t>
  </si>
  <si>
    <t>Estimate!!Total:!!Income in the past 12 months at or above poverty level:!!Other families:!!Female householder, no spouse present:!!3 to 4 people</t>
  </si>
  <si>
    <t>B17013_034</t>
  </si>
  <si>
    <t>Estimate!!Total:!!Income in the past 12 months at or above poverty level:!!Other families:!!Female householder, no spouse present:!!5 to 6 people</t>
  </si>
  <si>
    <t>B17013_035</t>
  </si>
  <si>
    <t>Estimate!!Total:!!Income in the past 12 months at or above poverty level:!!Other families:!!Female householder, no spouse present:!!7 or more people</t>
  </si>
  <si>
    <t>B17014_002</t>
  </si>
  <si>
    <t>B17014_003</t>
  </si>
  <si>
    <t>B17014_004</t>
  </si>
  <si>
    <t>Estimate!!Total:!!Income in the past 12 months below poverty level:!!Married-couple family:!!No workers</t>
  </si>
  <si>
    <t>B17014_005</t>
  </si>
  <si>
    <t>Estimate!!Total:!!Income in the past 12 months below poverty level:!!Married-couple family:!!1 worker</t>
  </si>
  <si>
    <t>B17014_006</t>
  </si>
  <si>
    <t>Estimate!!Total:!!Income in the past 12 months below poverty level:!!Married-couple family:!!2 workers</t>
  </si>
  <si>
    <t>B17014_007</t>
  </si>
  <si>
    <t>Estimate!!Total:!!Income in the past 12 months below poverty level:!!Married-couple family:!!3 or more workers</t>
  </si>
  <si>
    <t>B17014_008</t>
  </si>
  <si>
    <t>B17014_009</t>
  </si>
  <si>
    <t>B17014_010</t>
  </si>
  <si>
    <t>Estimate!!Total:!!Income in the past 12 months below poverty level:!!Other families:!!Male householder, no spouse present:!!No workers</t>
  </si>
  <si>
    <t>B17014_011</t>
  </si>
  <si>
    <t>Estimate!!Total:!!Income in the past 12 months below poverty level:!!Other families:!!Male householder, no spouse present:!!1 worker</t>
  </si>
  <si>
    <t>B17014_012</t>
  </si>
  <si>
    <t>Estimate!!Total:!!Income in the past 12 months below poverty level:!!Other families:!!Male householder, no spouse present:!!2 workers</t>
  </si>
  <si>
    <t>B17014_013</t>
  </si>
  <si>
    <t>Estimate!!Total:!!Income in the past 12 months below poverty level:!!Other families:!!Male householder, no spouse present:!!3 or more workers</t>
  </si>
  <si>
    <t>B17014_014</t>
  </si>
  <si>
    <t>B17014_015</t>
  </si>
  <si>
    <t>Estimate!!Total:!!Income in the past 12 months below poverty level:!!Other families:!!Female householder, no spouse present:!!No workers</t>
  </si>
  <si>
    <t>B17014_016</t>
  </si>
  <si>
    <t>Estimate!!Total:!!Income in the past 12 months below poverty level:!!Other families:!!Female householder, no spouse present:!!1 worker</t>
  </si>
  <si>
    <t>B17014_017</t>
  </si>
  <si>
    <t>Estimate!!Total:!!Income in the past 12 months below poverty level:!!Other families:!!Female householder, no spouse present:!!2 workers</t>
  </si>
  <si>
    <t>B17014_018</t>
  </si>
  <si>
    <t>Estimate!!Total:!!Income in the past 12 months below poverty level:!!Other families:!!Female householder, no spouse present:!!3 or more workers</t>
  </si>
  <si>
    <t>B17014_019</t>
  </si>
  <si>
    <t>B17014_020</t>
  </si>
  <si>
    <t>B17014_021</t>
  </si>
  <si>
    <t>Estimate!!Total:!!Income in the past 12 months at or above poverty level:!!Married-couple family:!!No workers</t>
  </si>
  <si>
    <t>B17014_022</t>
  </si>
  <si>
    <t>Estimate!!Total:!!Income in the past 12 months at or above poverty level:!!Married-couple family:!!1 worker</t>
  </si>
  <si>
    <t>B17014_023</t>
  </si>
  <si>
    <t>Estimate!!Total:!!Income in the past 12 months at or above poverty level:!!Married-couple family:!!2 workers</t>
  </si>
  <si>
    <t>B17014_024</t>
  </si>
  <si>
    <t>Estimate!!Total:!!Income in the past 12 months at or above poverty level:!!Married-couple family:!!3 or more workers</t>
  </si>
  <si>
    <t>B17014_025</t>
  </si>
  <si>
    <t>B17014_026</t>
  </si>
  <si>
    <t>B17014_027</t>
  </si>
  <si>
    <t>Estimate!!Total:!!Income in the past 12 months at or above poverty level:!!Other families:!!Male householder, no spouse present:!!No workers</t>
  </si>
  <si>
    <t>B17014_028</t>
  </si>
  <si>
    <t>Estimate!!Total:!!Income in the past 12 months at or above poverty level:!!Other families:!!Male householder, no spouse present:!!1 worker</t>
  </si>
  <si>
    <t>B17014_029</t>
  </si>
  <si>
    <t>Estimate!!Total:!!Income in the past 12 months at or above poverty level:!!Other families:!!Male householder, no spouse present:!!2 workers</t>
  </si>
  <si>
    <t>B17014_030</t>
  </si>
  <si>
    <t>Estimate!!Total:!!Income in the past 12 months at or above poverty level:!!Other families:!!Male householder, no spouse present:!!3 or more workers</t>
  </si>
  <si>
    <t>B17014_031</t>
  </si>
  <si>
    <t>B17014_032</t>
  </si>
  <si>
    <t>Estimate!!Total:!!Income in the past 12 months at or above poverty level:!!Other families:!!Female householder, no spouse present:!!No workers</t>
  </si>
  <si>
    <t>B17014_033</t>
  </si>
  <si>
    <t>Estimate!!Total:!!Income in the past 12 months at or above poverty level:!!Other families:!!Female householder, no spouse present:!!1 worker</t>
  </si>
  <si>
    <t>B17014_034</t>
  </si>
  <si>
    <t>Estimate!!Total:!!Income in the past 12 months at or above poverty level:!!Other families:!!Female householder, no spouse present:!!2 workers</t>
  </si>
  <si>
    <t>B17014_035</t>
  </si>
  <si>
    <t>Estimate!!Total:!!Income in the past 12 months at or above poverty level:!!Other families:!!Female householder, no spouse present:!!3 or more workers</t>
  </si>
  <si>
    <t>B17015_002</t>
  </si>
  <si>
    <t>B17015_003</t>
  </si>
  <si>
    <t>B17015_004</t>
  </si>
  <si>
    <t>Estimate!!Total:!!Income in the past 12 months below poverty level:!!Married-couple family:!!With Social Security income in the past 12 months:</t>
  </si>
  <si>
    <t>B17015_005</t>
  </si>
  <si>
    <t>Estimate!!Total:!!Income in the past 12 months below poverty level:!!Married-couple family:!!With Social Security income in the past 12 months:!!With SSI and/or cash public assistance income in the past 12 months</t>
  </si>
  <si>
    <t>B17015_006</t>
  </si>
  <si>
    <t>Estimate!!Total:!!Income in the past 12 months below poverty level:!!Married-couple family:!!With Social Security income in the past 12 months:!!Without SSI or cash public assistance income in the past 12 months</t>
  </si>
  <si>
    <t>B17015_007</t>
  </si>
  <si>
    <t>Estimate!!Total:!!Income in the past 12 months below poverty level:!!Married-couple family:!!Without Social Security income in the past 12 months:</t>
  </si>
  <si>
    <t>B17015_008</t>
  </si>
  <si>
    <t>Estimate!!Total:!!Income in the past 12 months below poverty level:!!Married-couple family:!!Without Social Security income in the past 12 months:!!With SSI and/or cash public assistance income in the past 12 months</t>
  </si>
  <si>
    <t>B17015_009</t>
  </si>
  <si>
    <t>Estimate!!Total:!!Income in the past 12 months below poverty level:!!Married-couple family:!!Without Social Security income in the past 12 months:!!Without SSI or cash public assistance income in the past 12 months</t>
  </si>
  <si>
    <t>B17015_010</t>
  </si>
  <si>
    <t>B17015_011</t>
  </si>
  <si>
    <t>B17015_012</t>
  </si>
  <si>
    <t>Estimate!!Total:!!Income in the past 12 months below poverty level:!!Other family:!!Male householder, no spouse present:!!With Social Security income in the past 12 months:</t>
  </si>
  <si>
    <t>B17015_013</t>
  </si>
  <si>
    <t>Estimate!!Total:!!Income in the past 12 months below poverty level:!!Other family:!!Male householder, no spouse present:!!With Social Security income in the past 12 months:!!With SSI and/or cash public assistance income in the past 12 months</t>
  </si>
  <si>
    <t>B17015_014</t>
  </si>
  <si>
    <t>Estimate!!Total:!!Income in the past 12 months below poverty level:!!Other family:!!Male householder, no spouse present:!!With Social Security income in the past 12 months:!!Without SSI or cash public assistance income in the past 12 months</t>
  </si>
  <si>
    <t>B17015_015</t>
  </si>
  <si>
    <t>Estimate!!Total:!!Income in the past 12 months below poverty level:!!Other family:!!Male householder, no spouse present:!!Without Social Security income in the past 12 months:</t>
  </si>
  <si>
    <t>B17015_016</t>
  </si>
  <si>
    <t>Estimate!!Total:!!Income in the past 12 months below poverty level:!!Other family:!!Male householder, no spouse present:!!Without Social Security income in the past 12 months:!!With SSI and/or cash public assistance income in the past 12 months</t>
  </si>
  <si>
    <t>B17015_017</t>
  </si>
  <si>
    <t>Estimate!!Total:!!Income in the past 12 months below poverty level:!!Other family:!!Male householder, no spouse present:!!Without Social Security income in the past 12 months:!!Without SSI or cash public assistance income in the past 12 months</t>
  </si>
  <si>
    <t>B17015_018</t>
  </si>
  <si>
    <t>B17015_019</t>
  </si>
  <si>
    <t>Estimate!!Total:!!Income in the past 12 months below poverty level:!!Other family:!!Female householder, no spouse present:!!With Social Security income in the past 12 months:</t>
  </si>
  <si>
    <t>B17015_020</t>
  </si>
  <si>
    <t>Estimate!!Total:!!Income in the past 12 months below poverty level:!!Other family:!!Female householder, no spouse present:!!With Social Security income in the past 12 months:!!With SSI and/or cash public assistance income in the past 12 months</t>
  </si>
  <si>
    <t>B17015_021</t>
  </si>
  <si>
    <t>Estimate!!Total:!!Income in the past 12 months below poverty level:!!Other family:!!Female householder, no spouse present:!!With Social Security income in the past 12 months:!!Without SSI or cash public assistance income in the past 12 months</t>
  </si>
  <si>
    <t>B17015_022</t>
  </si>
  <si>
    <t>Estimate!!Total:!!Income in the past 12 months below poverty level:!!Other family:!!Female householder, no spouse present:!!Without Social Security income in the past 12 months:</t>
  </si>
  <si>
    <t>B17015_023</t>
  </si>
  <si>
    <t>Estimate!!Total:!!Income in the past 12 months below poverty level:!!Other family:!!Female householder, no spouse present:!!Without Social Security income in the past 12 months:!!With SSI and/or cash public assistance income in the past 12 months</t>
  </si>
  <si>
    <t>B17015_024</t>
  </si>
  <si>
    <t>Estimate!!Total:!!Income in the past 12 months below poverty level:!!Other family:!!Female householder, no spouse present:!!Without Social Security income in the past 12 months:!!Without SSI or cash public assistance income in the past 12 months</t>
  </si>
  <si>
    <t>B17015_025</t>
  </si>
  <si>
    <t>B17015_026</t>
  </si>
  <si>
    <t>B17015_027</t>
  </si>
  <si>
    <t>Estimate!!Total:!!Income in the past 12 months at or above poverty level:!!Married-couple family:!!With Social Security income in the past 12 months:</t>
  </si>
  <si>
    <t>B17015_028</t>
  </si>
  <si>
    <t>Estimate!!Total:!!Income in the past 12 months at or above poverty level:!!Married-couple family:!!With Social Security income in the past 12 months:!!With SSI and/or cash public assistance income in the past 12 months</t>
  </si>
  <si>
    <t>B17015_029</t>
  </si>
  <si>
    <t>Estimate!!Total:!!Income in the past 12 months at or above poverty level:!!Married-couple family:!!With Social Security income in the past 12 months:!!Without SSI or cash public assistance income in the past 12 months</t>
  </si>
  <si>
    <t>B17015_030</t>
  </si>
  <si>
    <t>Estimate!!Total:!!Income in the past 12 months at or above poverty level:!!Married-couple family:!!Without Social Security income in the past 12 months:</t>
  </si>
  <si>
    <t>B17015_031</t>
  </si>
  <si>
    <t>Estimate!!Total:!!Income in the past 12 months at or above poverty level:!!Married-couple family:!!Without Social Security income in the past 12 months:!!With SSI and/or cash public assistance income in the past 12 months</t>
  </si>
  <si>
    <t>B17015_032</t>
  </si>
  <si>
    <t>Estimate!!Total:!!Income in the past 12 months at or above poverty level:!!Married-couple family:!!Without Social Security income in the past 12 months:!!Without SSI or cash public assistance income in the past 12 months</t>
  </si>
  <si>
    <t>B17015_033</t>
  </si>
  <si>
    <t>B17015_034</t>
  </si>
  <si>
    <t>B17015_035</t>
  </si>
  <si>
    <t>Estimate!!Total:!!Income in the past 12 months at or above poverty level:!!Other family:!!Male householder, no spouse present:!!With Social Security income in the past 12 months:</t>
  </si>
  <si>
    <t>B17015_036</t>
  </si>
  <si>
    <t>Estimate!!Total:!!Income in the past 12 months at or above poverty level:!!Other family:!!Male householder, no spouse present:!!With Social Security income in the past 12 months:!!With SSI and/or cash public assistance income in the past 12 months</t>
  </si>
  <si>
    <t>B17015_037</t>
  </si>
  <si>
    <t>Estimate!!Total:!!Income in the past 12 months at or above poverty level:!!Other family:!!Male householder, no spouse present:!!With Social Security income in the past 12 months:!!Without SSI or cash public assistance income in the past 12 months</t>
  </si>
  <si>
    <t>B17015_038</t>
  </si>
  <si>
    <t>Estimate!!Total:!!Income in the past 12 months at or above poverty level:!!Other family:!!Male householder, no spouse present:!!Without Social Security income in the past 12 months:</t>
  </si>
  <si>
    <t>B17015_039</t>
  </si>
  <si>
    <t>Estimate!!Total:!!Income in the past 12 months at or above poverty level:!!Other family:!!Male householder, no spouse present:!!Without Social Security income in the past 12 months:!!With SSI and/or cash public assistance income in the past 12 months</t>
  </si>
  <si>
    <t>B17015_040</t>
  </si>
  <si>
    <t>Estimate!!Total:!!Income in the past 12 months at or above poverty level:!!Other family:!!Male householder, no spouse present:!!Without Social Security income in the past 12 months:!!Without SSI or cash public assistance income in the past 12 months</t>
  </si>
  <si>
    <t>B17015_041</t>
  </si>
  <si>
    <t>B17015_042</t>
  </si>
  <si>
    <t>Estimate!!Total:!!Income in the past 12 months at or above poverty level:!!Other family:!!Female householder, no spouse present:!!With Social Security income in the past 12 months:</t>
  </si>
  <si>
    <t>B17015_043</t>
  </si>
  <si>
    <t>Estimate!!Total:!!Income in the past 12 months at or above poverty level:!!Other family:!!Female householder, no spouse present:!!With Social Security income in the past 12 months:!!With SSI and/or cash public assistance income in the past 12 months</t>
  </si>
  <si>
    <t>B17015_044</t>
  </si>
  <si>
    <t>Estimate!!Total:!!Income in the past 12 months at or above poverty level:!!Other family:!!Female householder, no spouse present:!!With Social Security income in the past 12 months:!!Without SSI or cash public assistance income in the past 12 months</t>
  </si>
  <si>
    <t>B17015_045</t>
  </si>
  <si>
    <t>Estimate!!Total:!!Income in the past 12 months at or above poverty level:!!Other family:!!Female householder, no spouse present:!!Without Social Security income in the past 12 months:</t>
  </si>
  <si>
    <t>B17015_046</t>
  </si>
  <si>
    <t>Estimate!!Total:!!Income in the past 12 months at or above poverty level:!!Other family:!!Female householder, no spouse present:!!Without Social Security income in the past 12 months:!!With SSI and/or cash public assistance income in the past 12 months</t>
  </si>
  <si>
    <t>B17015_047</t>
  </si>
  <si>
    <t>Estimate!!Total:!!Income in the past 12 months at or above poverty level:!!Other family:!!Female householder, no spouse present:!!Without Social Security income in the past 12 months:!!Without SSI or cash public assistance income in the past 12 months</t>
  </si>
  <si>
    <t>B17016_002</t>
  </si>
  <si>
    <t>B17016_003</t>
  </si>
  <si>
    <t>B17016_004</t>
  </si>
  <si>
    <t>Estimate!!Total:!!Income in the past 12 months below poverty level:!!Married-couple family:!!Householder worked full-time, year-round in the past 12 months:</t>
  </si>
  <si>
    <t>B17016_005</t>
  </si>
  <si>
    <t>Estimate!!Total:!!Income in the past 12 months below poverty level:!!Married-couple family:!!Householder worked full-time, year-round in the past 12 months:!!Spouse worked full-time, year-round in the past 12 months</t>
  </si>
  <si>
    <t>B17016_006</t>
  </si>
  <si>
    <t>Estimate!!Total:!!Income in the past 12 months below poverty level:!!Married-couple family:!!Householder worked full-time, year-round in the past 12 months:!!Spouse worked part-time or part-year in the past 12 months</t>
  </si>
  <si>
    <t>B17016_007</t>
  </si>
  <si>
    <t>Estimate!!Total:!!Income in the past 12 months below poverty level:!!Married-couple family:!!Householder worked full-time, year-round in the past 12 months:!!Spouse did not work in the past 12 months</t>
  </si>
  <si>
    <t>B17016_008</t>
  </si>
  <si>
    <t>Estimate!!Total:!!Income in the past 12 months below poverty level:!!Married-couple family:!!Householder worked part-time or part-year in the past 12 months:</t>
  </si>
  <si>
    <t>B17016_009</t>
  </si>
  <si>
    <t>Estimate!!Total:!!Income in the past 12 months below poverty level:!!Married-couple family:!!Householder worked part-time or part-year in the past 12 months:!!Spouse worked full-time, year-round in the past 12 months</t>
  </si>
  <si>
    <t>B17016_010</t>
  </si>
  <si>
    <t>Estimate!!Total:!!Income in the past 12 months below poverty level:!!Married-couple family:!!Householder worked part-time or part-year in the past 12 months:!!Spouse worked part-time or part-year in the past 12 months</t>
  </si>
  <si>
    <t>B17016_011</t>
  </si>
  <si>
    <t>Estimate!!Total:!!Income in the past 12 months below poverty level:!!Married-couple family:!!Householder worked part-time or part-year in the past 12 months:!!Spouse did not work in the past 12 months</t>
  </si>
  <si>
    <t>B17016_012</t>
  </si>
  <si>
    <t>Estimate!!Total:!!Income in the past 12 months below poverty level:!!Married-couple family:!!Householder did not work in the past 12 months:</t>
  </si>
  <si>
    <t>B17016_013</t>
  </si>
  <si>
    <t>Estimate!!Total:!!Income in the past 12 months below poverty level:!!Married-couple family:!!Householder did not work in the past 12 months:!!Spouse worked full-time, year-round in the past 12 months</t>
  </si>
  <si>
    <t>B17016_014</t>
  </si>
  <si>
    <t>Estimate!!Total:!!Income in the past 12 months below poverty level:!!Married-couple family:!!Householder did not work in the past 12 months:!!Spouse worked part-time or part-year in the past 12 months</t>
  </si>
  <si>
    <t>B17016_015</t>
  </si>
  <si>
    <t>Estimate!!Total:!!Income in the past 12 months below poverty level:!!Married-couple family:!!Householder did not work in the past 12 months:!!Spouse did not work in the past 12 months</t>
  </si>
  <si>
    <t>B17016_016</t>
  </si>
  <si>
    <t>B17016_017</t>
  </si>
  <si>
    <t>B17016_018</t>
  </si>
  <si>
    <t>Estimate!!Total:!!Income in the past 12 months below poverty level:!!Other family:!!Male householder, no spouse present:!!Householder worked full-time, year-round in the past 12 months</t>
  </si>
  <si>
    <t>B17016_019</t>
  </si>
  <si>
    <t>Estimate!!Total:!!Income in the past 12 months below poverty level:!!Other family:!!Male householder, no spouse present:!!Householder worked part-time or part-year in the past 12 months</t>
  </si>
  <si>
    <t>B17016_020</t>
  </si>
  <si>
    <t>Estimate!!Total:!!Income in the past 12 months below poverty level:!!Other family:!!Male householder, no spouse present:!!Householder did not work in the past 12 months</t>
  </si>
  <si>
    <t>B17016_021</t>
  </si>
  <si>
    <t>B17016_022</t>
  </si>
  <si>
    <t>Estimate!!Total:!!Income in the past 12 months below poverty level:!!Other family:!!Female householder, no spouse present:!!Householder worked full-time, year-round in the past 12 months</t>
  </si>
  <si>
    <t>B17016_023</t>
  </si>
  <si>
    <t>Estimate!!Total:!!Income in the past 12 months below poverty level:!!Other family:!!Female householder, no spouse present:!!Householder worked part-time or part-year in the past 12 months</t>
  </si>
  <si>
    <t>B17016_024</t>
  </si>
  <si>
    <t>Estimate!!Total:!!Income in the past 12 months below poverty level:!!Other family:!!Female householder, no spouse present:!!Householder did not work in the past 12 months</t>
  </si>
  <si>
    <t>B17016_025</t>
  </si>
  <si>
    <t>B17016_026</t>
  </si>
  <si>
    <t>B17016_027</t>
  </si>
  <si>
    <t>Estimate!!Total:!!Income in the past 12 months at or above poverty level:!!Married-couple family:!!Householder worked full-time, year-round in the past 12 months:</t>
  </si>
  <si>
    <t>B17016_028</t>
  </si>
  <si>
    <t>Estimate!!Total:!!Income in the past 12 months at or above poverty level:!!Married-couple family:!!Householder worked full-time, year-round in the past 12 months:!!Spouse worked full-time, year-round in the past 12 months</t>
  </si>
  <si>
    <t>B17016_029</t>
  </si>
  <si>
    <t>Estimate!!Total:!!Income in the past 12 months at or above poverty level:!!Married-couple family:!!Householder worked full-time, year-round in the past 12 months:!!Spouse worked part-time or part-year in the past 12 months</t>
  </si>
  <si>
    <t>B17016_030</t>
  </si>
  <si>
    <t>Estimate!!Total:!!Income in the past 12 months at or above poverty level:!!Married-couple family:!!Householder worked full-time, year-round in the past 12 months:!!Spouse did not work in the past 12 months</t>
  </si>
  <si>
    <t>B17016_031</t>
  </si>
  <si>
    <t>Estimate!!Total:!!Income in the past 12 months at or above poverty level:!!Married-couple family:!!Householder worked part-time or part-year in the past 12 months:</t>
  </si>
  <si>
    <t>B17016_032</t>
  </si>
  <si>
    <t>Estimate!!Total:!!Income in the past 12 months at or above poverty level:!!Married-couple family:!!Householder worked part-time or part-year in the past 12 months:!!Spouse worked full-time, year-round in the past 12 months</t>
  </si>
  <si>
    <t>B17016_033</t>
  </si>
  <si>
    <t>Estimate!!Total:!!Income in the past 12 months at or above poverty level:!!Married-couple family:!!Householder worked part-time or part-year in the past 12 months:!!Spouse worked part-time or part-year in the past 12 months</t>
  </si>
  <si>
    <t>B17016_034</t>
  </si>
  <si>
    <t>Estimate!!Total:!!Income in the past 12 months at or above poverty level:!!Married-couple family:!!Householder worked part-time or part-year in the past 12 months:!!Spouse did not work in the past 12 months</t>
  </si>
  <si>
    <t>B17016_035</t>
  </si>
  <si>
    <t>Estimate!!Total:!!Income in the past 12 months at or above poverty level:!!Married-couple family:!!Householder did not work in the past 12 months:</t>
  </si>
  <si>
    <t>B17016_036</t>
  </si>
  <si>
    <t>Estimate!!Total:!!Income in the past 12 months at or above poverty level:!!Married-couple family:!!Householder did not work in the past 12 months:!!Spouse worked full-time, year-round in the past 12 months</t>
  </si>
  <si>
    <t>B17016_037</t>
  </si>
  <si>
    <t>Estimate!!Total:!!Income in the past 12 months at or above poverty level:!!Married-couple family:!!Householder did not work in the past 12 months:!!Spouse worked part-time or part-year in the past 12 months</t>
  </si>
  <si>
    <t>B17016_038</t>
  </si>
  <si>
    <t>Estimate!!Total:!!Income in the past 12 months at or above poverty level:!!Married-couple family:!!Householder did not work in the past 12 months:!!Spouse did not work in the past 12 months</t>
  </si>
  <si>
    <t>B17016_039</t>
  </si>
  <si>
    <t>B17016_040</t>
  </si>
  <si>
    <t>B17016_041</t>
  </si>
  <si>
    <t>Estimate!!Total:!!Income in the past 12 months at or above poverty level:!!Other family:!!Male householder, no spouse present:!!Householder worked full-time, year-round in the past 12 months</t>
  </si>
  <si>
    <t>B17016_042</t>
  </si>
  <si>
    <t>Estimate!!Total:!!Income in the past 12 months at or above poverty level:!!Other family:!!Male householder, no spouse present:!!Householder worked part-time or part-year in the past 12 months</t>
  </si>
  <si>
    <t>B17016_043</t>
  </si>
  <si>
    <t>Estimate!!Total:!!Income in the past 12 months at or above poverty level:!!Other family:!!Male householder, no spouse present:!!Householder did not work in the past 12 months</t>
  </si>
  <si>
    <t>B17016_044</t>
  </si>
  <si>
    <t>B17016_045</t>
  </si>
  <si>
    <t>Estimate!!Total:!!Income in the past 12 months at or above poverty level:!!Other family:!!Female householder, no spouse present:!!Householder worked full-time, year-round in the past 12 months</t>
  </si>
  <si>
    <t>B17016_046</t>
  </si>
  <si>
    <t>Estimate!!Total:!!Income in the past 12 months at or above poverty level:!!Other family:!!Female householder, no spouse present:!!Householder worked part-time or part-year in the past 12 months</t>
  </si>
  <si>
    <t>B17016_047</t>
  </si>
  <si>
    <t>Estimate!!Total:!!Income in the past 12 months at or above poverty level:!!Other family:!!Female householder, no spouse present:!!Householder did not work in the past 12 months</t>
  </si>
  <si>
    <t>B17017_002</t>
  </si>
  <si>
    <t>B17017_003</t>
  </si>
  <si>
    <t>Estimate!!Total:!!Income in the past 12 months below poverty level:!!Family households:</t>
  </si>
  <si>
    <t>B17017_004</t>
  </si>
  <si>
    <t>Estimate!!Total:!!Income in the past 12 months below poverty level:!!Family households:!!Married-couple family:</t>
  </si>
  <si>
    <t>B17017_005</t>
  </si>
  <si>
    <t>Estimate!!Total:!!Income in the past 12 months below poverty level:!!Family households:!!Married-couple family:!!Householder under 25 years</t>
  </si>
  <si>
    <t>B17017_006</t>
  </si>
  <si>
    <t>Estimate!!Total:!!Income in the past 12 months below poverty level:!!Family households:!!Married-couple family:!!Householder 25 to 44 years</t>
  </si>
  <si>
    <t>B17017_007</t>
  </si>
  <si>
    <t>Estimate!!Total:!!Income in the past 12 months below poverty level:!!Family households:!!Married-couple family:!!Householder 45 to 64 years</t>
  </si>
  <si>
    <t>B17017_008</t>
  </si>
  <si>
    <t>Estimate!!Total:!!Income in the past 12 months below poverty level:!!Family households:!!Married-couple family:!!Householder 65 years and over</t>
  </si>
  <si>
    <t>B17017_009</t>
  </si>
  <si>
    <t>Estimate!!Total:!!Income in the past 12 months below poverty level:!!Family households:!!Other family:</t>
  </si>
  <si>
    <t>B17017_010</t>
  </si>
  <si>
    <t>Estimate!!Total:!!Income in the past 12 months below poverty level:!!Family households:!!Other family:!!Male householder, no spouse present:</t>
  </si>
  <si>
    <t>B17017_011</t>
  </si>
  <si>
    <t>Estimate!!Total:!!Income in the past 12 months below poverty level:!!Family households:!!Other family:!!Male householder, no spouse present:!!Householder under 25 years</t>
  </si>
  <si>
    <t>B17017_012</t>
  </si>
  <si>
    <t>Estimate!!Total:!!Income in the past 12 months below poverty level:!!Family households:!!Other family:!!Male householder, no spouse present:!!Householder 25 to 44 years</t>
  </si>
  <si>
    <t>B17017_013</t>
  </si>
  <si>
    <t>Estimate!!Total:!!Income in the past 12 months below poverty level:!!Family households:!!Other family:!!Male householder, no spouse present:!!Householder 45 to 64 years</t>
  </si>
  <si>
    <t>B17017_014</t>
  </si>
  <si>
    <t>Estimate!!Total:!!Income in the past 12 months below poverty level:!!Family households:!!Other family:!!Male householder, no spouse present:!!Householder 65 years and over</t>
  </si>
  <si>
    <t>B17017_015</t>
  </si>
  <si>
    <t>Estimate!!Total:!!Income in the past 12 months below poverty level:!!Family households:!!Other family:!!Female householder, no spouse present:</t>
  </si>
  <si>
    <t>B17017_016</t>
  </si>
  <si>
    <t>Estimate!!Total:!!Income in the past 12 months below poverty level:!!Family households:!!Other family:!!Female householder, no spouse present:!!Householder under 25 years</t>
  </si>
  <si>
    <t>B17017_017</t>
  </si>
  <si>
    <t>Estimate!!Total:!!Income in the past 12 months below poverty level:!!Family households:!!Other family:!!Female householder, no spouse present:!!Householder 25 to 44 years</t>
  </si>
  <si>
    <t>B17017_018</t>
  </si>
  <si>
    <t>Estimate!!Total:!!Income in the past 12 months below poverty level:!!Family households:!!Other family:!!Female householder, no spouse present:!!Householder 45 to 64 years</t>
  </si>
  <si>
    <t>B17017_019</t>
  </si>
  <si>
    <t>Estimate!!Total:!!Income in the past 12 months below poverty level:!!Family households:!!Other family:!!Female householder, no spouse present:!!Householder 65 years and over</t>
  </si>
  <si>
    <t>B17017_020</t>
  </si>
  <si>
    <t>Estimate!!Total:!!Income in the past 12 months below poverty level:!!Nonfamily households:</t>
  </si>
  <si>
    <t>B17017_021</t>
  </si>
  <si>
    <t>Estimate!!Total:!!Income in the past 12 months below poverty level:!!Nonfamily households:!!Male householder:</t>
  </si>
  <si>
    <t>B17017_022</t>
  </si>
  <si>
    <t>Estimate!!Total:!!Income in the past 12 months below poverty level:!!Nonfamily households:!!Male householder:!!Householder under 25 years</t>
  </si>
  <si>
    <t>B17017_023</t>
  </si>
  <si>
    <t>Estimate!!Total:!!Income in the past 12 months below poverty level:!!Nonfamily households:!!Male householder:!!Householder 25 to 44 years</t>
  </si>
  <si>
    <t>B17017_024</t>
  </si>
  <si>
    <t>Estimate!!Total:!!Income in the past 12 months below poverty level:!!Nonfamily households:!!Male householder:!!Householder 45 to 64 years</t>
  </si>
  <si>
    <t>B17017_025</t>
  </si>
  <si>
    <t>Estimate!!Total:!!Income in the past 12 months below poverty level:!!Nonfamily households:!!Male householder:!!Householder 65 years and over</t>
  </si>
  <si>
    <t>B17017_026</t>
  </si>
  <si>
    <t>Estimate!!Total:!!Income in the past 12 months below poverty level:!!Nonfamily households:!!Female householder:</t>
  </si>
  <si>
    <t>B17017_027</t>
  </si>
  <si>
    <t>Estimate!!Total:!!Income in the past 12 months below poverty level:!!Nonfamily households:!!Female householder:!!Householder under 25 years</t>
  </si>
  <si>
    <t>B17017_028</t>
  </si>
  <si>
    <t>Estimate!!Total:!!Income in the past 12 months below poverty level:!!Nonfamily households:!!Female householder:!!Householder 25 to 44 years</t>
  </si>
  <si>
    <t>B17017_029</t>
  </si>
  <si>
    <t>Estimate!!Total:!!Income in the past 12 months below poverty level:!!Nonfamily households:!!Female householder:!!Householder 45 to 64 years</t>
  </si>
  <si>
    <t>B17017_030</t>
  </si>
  <si>
    <t>Estimate!!Total:!!Income in the past 12 months below poverty level:!!Nonfamily households:!!Female householder:!!Householder 65 years and over</t>
  </si>
  <si>
    <t>B17017_031</t>
  </si>
  <si>
    <t>B17017_032</t>
  </si>
  <si>
    <t>Estimate!!Total:!!Income in the past 12 months at or above poverty level:!!Family households:</t>
  </si>
  <si>
    <t>B17017_033</t>
  </si>
  <si>
    <t>Estimate!!Total:!!Income in the past 12 months at or above poverty level:!!Family households:!!Married-couple family:</t>
  </si>
  <si>
    <t>B17017_034</t>
  </si>
  <si>
    <t>Estimate!!Total:!!Income in the past 12 months at or above poverty level:!!Family households:!!Married-couple family:!!Householder under 25 years</t>
  </si>
  <si>
    <t>B17017_035</t>
  </si>
  <si>
    <t>Estimate!!Total:!!Income in the past 12 months at or above poverty level:!!Family households:!!Married-couple family:!!Householder 25 to 44 years</t>
  </si>
  <si>
    <t>B17017_036</t>
  </si>
  <si>
    <t>Estimate!!Total:!!Income in the past 12 months at or above poverty level:!!Family households:!!Married-couple family:!!Householder 45 to 64 years</t>
  </si>
  <si>
    <t>B17017_037</t>
  </si>
  <si>
    <t>Estimate!!Total:!!Income in the past 12 months at or above poverty level:!!Family households:!!Married-couple family:!!Householder 65 years and over</t>
  </si>
  <si>
    <t>B17017_038</t>
  </si>
  <si>
    <t>Estimate!!Total:!!Income in the past 12 months at or above poverty level:!!Family households:!!Other family:</t>
  </si>
  <si>
    <t>B17017_039</t>
  </si>
  <si>
    <t>Estimate!!Total:!!Income in the past 12 months at or above poverty level:!!Family households:!!Other family:!!Male householder, no spouse present:</t>
  </si>
  <si>
    <t>B17017_040</t>
  </si>
  <si>
    <t>Estimate!!Total:!!Income in the past 12 months at or above poverty level:!!Family households:!!Other family:!!Male householder, no spouse present:!!Householder under 25 years</t>
  </si>
  <si>
    <t>B17017_041</t>
  </si>
  <si>
    <t>Estimate!!Total:!!Income in the past 12 months at or above poverty level:!!Family households:!!Other family:!!Male householder, no spouse present:!!Householder 25 to 44 years</t>
  </si>
  <si>
    <t>B17017_042</t>
  </si>
  <si>
    <t>Estimate!!Total:!!Income in the past 12 months at or above poverty level:!!Family households:!!Other family:!!Male householder, no spouse present:!!Householder 45 to 64 years</t>
  </si>
  <si>
    <t>B17017_043</t>
  </si>
  <si>
    <t>Estimate!!Total:!!Income in the past 12 months at or above poverty level:!!Family households:!!Other family:!!Male householder, no spouse present:!!Householder 65 years and over</t>
  </si>
  <si>
    <t>B17017_044</t>
  </si>
  <si>
    <t>Estimate!!Total:!!Income in the past 12 months at or above poverty level:!!Family households:!!Other family:!!Female householder, no spouse present:</t>
  </si>
  <si>
    <t>B17017_045</t>
  </si>
  <si>
    <t>Estimate!!Total:!!Income in the past 12 months at or above poverty level:!!Family households:!!Other family:!!Female householder, no spouse present:!!Householder under 25 years</t>
  </si>
  <si>
    <t>B17017_046</t>
  </si>
  <si>
    <t>Estimate!!Total:!!Income in the past 12 months at or above poverty level:!!Family households:!!Other family:!!Female householder, no spouse present:!!Householder 25 to 44 years</t>
  </si>
  <si>
    <t>B17017_047</t>
  </si>
  <si>
    <t>Estimate!!Total:!!Income in the past 12 months at or above poverty level:!!Family households:!!Other family:!!Female householder, no spouse present:!!Householder 45 to 64 years</t>
  </si>
  <si>
    <t>B17017_048</t>
  </si>
  <si>
    <t>Estimate!!Total:!!Income in the past 12 months at or above poverty level:!!Family households:!!Other family:!!Female householder, no spouse present:!!Householder 65 years and over</t>
  </si>
  <si>
    <t>B17017_049</t>
  </si>
  <si>
    <t>Estimate!!Total:!!Income in the past 12 months at or above poverty level:!!Nonfamily households:</t>
  </si>
  <si>
    <t>B17017_050</t>
  </si>
  <si>
    <t>Estimate!!Total:!!Income in the past 12 months at or above poverty level:!!Nonfamily households:!!Male householder:</t>
  </si>
  <si>
    <t>B17017_051</t>
  </si>
  <si>
    <t>Estimate!!Total:!!Income in the past 12 months at or above poverty level:!!Nonfamily households:!!Male householder:!!Householder under 25 years</t>
  </si>
  <si>
    <t>B17017_052</t>
  </si>
  <si>
    <t>Estimate!!Total:!!Income in the past 12 months at or above poverty level:!!Nonfamily households:!!Male householder:!!Householder 25 to 44 years</t>
  </si>
  <si>
    <t>B17017_053</t>
  </si>
  <si>
    <t>Estimate!!Total:!!Income in the past 12 months at or above poverty level:!!Nonfamily households:!!Male householder:!!Householder 45 to 64 years</t>
  </si>
  <si>
    <t>B17017_054</t>
  </si>
  <si>
    <t>Estimate!!Total:!!Income in the past 12 months at or above poverty level:!!Nonfamily households:!!Male householder:!!Householder 65 years and over</t>
  </si>
  <si>
    <t>B17017_055</t>
  </si>
  <si>
    <t>Estimate!!Total:!!Income in the past 12 months at or above poverty level:!!Nonfamily households:!!Female householder:</t>
  </si>
  <si>
    <t>B17017_056</t>
  </si>
  <si>
    <t>Estimate!!Total:!!Income in the past 12 months at or above poverty level:!!Nonfamily households:!!Female householder:!!Householder under 25 years</t>
  </si>
  <si>
    <t>B17017_057</t>
  </si>
  <si>
    <t>Estimate!!Total:!!Income in the past 12 months at or above poverty level:!!Nonfamily households:!!Female householder:!!Householder 25 to 44 years</t>
  </si>
  <si>
    <t>B17017_058</t>
  </si>
  <si>
    <t>Estimate!!Total:!!Income in the past 12 months at or above poverty level:!!Nonfamily households:!!Female householder:!!Householder 45 to 64 years</t>
  </si>
  <si>
    <t>B17017_059</t>
  </si>
  <si>
    <t>Estimate!!Total:!!Income in the past 12 months at or above poverty level:!!Nonfamily households:!!Female householder:!!Householder 65 years and over</t>
  </si>
  <si>
    <t>B17018_002</t>
  </si>
  <si>
    <t>B17018_003</t>
  </si>
  <si>
    <t>B17018_004</t>
  </si>
  <si>
    <t>Estimate!!Total:!!Income in the past 12 months below poverty level:!!Married-couple family:!!Less than high school graduate</t>
  </si>
  <si>
    <t>B17018_005</t>
  </si>
  <si>
    <t>Estimate!!Total:!!Income in the past 12 months below poverty level:!!Married-couple family:!!High school graduate (includes equivalency)</t>
  </si>
  <si>
    <t>B17018_006</t>
  </si>
  <si>
    <t>Estimate!!Total:!!Income in the past 12 months below poverty level:!!Married-couple family:!!Some college, associate's degree</t>
  </si>
  <si>
    <t>B17018_007</t>
  </si>
  <si>
    <t>Estimate!!Total:!!Income in the past 12 months below poverty level:!!Married-couple family:!!Bachelor's degree or higher</t>
  </si>
  <si>
    <t>B17018_008</t>
  </si>
  <si>
    <t>B17018_009</t>
  </si>
  <si>
    <t>B17018_010</t>
  </si>
  <si>
    <t>Estimate!!Total:!!Income in the past 12 months below poverty level:!!Other families:!!Male householder, no spouse present:!!Less than high school graduate</t>
  </si>
  <si>
    <t>B17018_011</t>
  </si>
  <si>
    <t>Estimate!!Total:!!Income in the past 12 months below poverty level:!!Other families:!!Male householder, no spouse present:!!High school graduate (includes equivalency)</t>
  </si>
  <si>
    <t>B17018_012</t>
  </si>
  <si>
    <t>Estimate!!Total:!!Income in the past 12 months below poverty level:!!Other families:!!Male householder, no spouse present:!!Some college, associate's degree</t>
  </si>
  <si>
    <t>B17018_013</t>
  </si>
  <si>
    <t>Estimate!!Total:!!Income in the past 12 months below poverty level:!!Other families:!!Male householder, no spouse present:!!Bachelor's degree or higher</t>
  </si>
  <si>
    <t>B17018_014</t>
  </si>
  <si>
    <t>B17018_015</t>
  </si>
  <si>
    <t>Estimate!!Total:!!Income in the past 12 months below poverty level:!!Other families:!!Female householder, no spouse present:!!Less than high school graduate</t>
  </si>
  <si>
    <t>B17018_016</t>
  </si>
  <si>
    <t>Estimate!!Total:!!Income in the past 12 months below poverty level:!!Other families:!!Female householder, no spouse present:!!High school graduate (includes equivalency)</t>
  </si>
  <si>
    <t>B17018_017</t>
  </si>
  <si>
    <t>Estimate!!Total:!!Income in the past 12 months below poverty level:!!Other families:!!Female householder, no spouse present:!!Some college, associate's degree</t>
  </si>
  <si>
    <t>B17018_018</t>
  </si>
  <si>
    <t>Estimate!!Total:!!Income in the past 12 months below poverty level:!!Other families:!!Female householder, no spouse present:!!Bachelor's degree or higher</t>
  </si>
  <si>
    <t>B17018_019</t>
  </si>
  <si>
    <t>B17018_020</t>
  </si>
  <si>
    <t>B17018_021</t>
  </si>
  <si>
    <t>Estimate!!Total:!!Income in the past 12 months at or above poverty level:!!Married-couple family:!!Less than high school graduate</t>
  </si>
  <si>
    <t>B17018_022</t>
  </si>
  <si>
    <t>Estimate!!Total:!!Income in the past 12 months at or above poverty level:!!Married-couple family:!!High school graduate (includes equivalency)</t>
  </si>
  <si>
    <t>B17018_023</t>
  </si>
  <si>
    <t>Estimate!!Total:!!Income in the past 12 months at or above poverty level:!!Married-couple family:!!Some college, associate's degree</t>
  </si>
  <si>
    <t>B17018_024</t>
  </si>
  <si>
    <t>Estimate!!Total:!!Income in the past 12 months at or above poverty level:!!Married-couple family:!!Bachelor's degree or higher</t>
  </si>
  <si>
    <t>B17018_025</t>
  </si>
  <si>
    <t>B17018_026</t>
  </si>
  <si>
    <t>B17018_027</t>
  </si>
  <si>
    <t>Estimate!!Total:!!Income in the past 12 months at or above poverty level:!!Other families:!!Male householder, no spouse present:!!Less than high school graduate</t>
  </si>
  <si>
    <t>B17018_028</t>
  </si>
  <si>
    <t>Estimate!!Total:!!Income in the past 12 months at or above poverty level:!!Other families:!!Male householder, no spouse present:!!High school graduate (includes equivalency)</t>
  </si>
  <si>
    <t>B17018_029</t>
  </si>
  <si>
    <t>Estimate!!Total:!!Income in the past 12 months at or above poverty level:!!Other families:!!Male householder, no spouse present:!!Some college, associate's degree</t>
  </si>
  <si>
    <t>B17018_030</t>
  </si>
  <si>
    <t>Estimate!!Total:!!Income in the past 12 months at or above poverty level:!!Other families:!!Male householder, no spouse present:!!Bachelor's degree or higher</t>
  </si>
  <si>
    <t>B17018_031</t>
  </si>
  <si>
    <t>B17018_032</t>
  </si>
  <si>
    <t>Estimate!!Total:!!Income in the past 12 months at or above poverty level:!!Other families:!!Female householder, no spouse present:!!Less than high school graduate</t>
  </si>
  <si>
    <t>B17018_033</t>
  </si>
  <si>
    <t>Estimate!!Total:!!Income in the past 12 months at or above poverty level:!!Other families:!!Female householder, no spouse present:!!High school graduate (includes equivalency)</t>
  </si>
  <si>
    <t>B17018_034</t>
  </si>
  <si>
    <t>Estimate!!Total:!!Income in the past 12 months at or above poverty level:!!Other families:!!Female householder, no spouse present:!!Some college, associate's degree</t>
  </si>
  <si>
    <t>B17018_035</t>
  </si>
  <si>
    <t>Estimate!!Total:!!Income in the past 12 months at or above poverty level:!!Other families:!!Female householder, no spouse present:!!Bachelor's degree or higher</t>
  </si>
  <si>
    <t>B17019_002</t>
  </si>
  <si>
    <t>B17019_003</t>
  </si>
  <si>
    <t>B17019_004</t>
  </si>
  <si>
    <t>Estimate!!Total:!!Income in the past 12 months below poverty level:!!Married-couple family:!!Owner occupied</t>
  </si>
  <si>
    <t>B17019_005</t>
  </si>
  <si>
    <t>Estimate!!Total:!!Income in the past 12 months below poverty level:!!Married-couple family:!!Renter occupied</t>
  </si>
  <si>
    <t>B17019_006</t>
  </si>
  <si>
    <t>B17019_007</t>
  </si>
  <si>
    <t>B17019_008</t>
  </si>
  <si>
    <t>Estimate!!Total:!!Income in the past 12 months below poverty level:!!Other families:!!Male householder, no spouse present:!!Owner occupied</t>
  </si>
  <si>
    <t>B17019_009</t>
  </si>
  <si>
    <t>Estimate!!Total:!!Income in the past 12 months below poverty level:!!Other families:!!Male householder, no spouse present:!!Renter occupied</t>
  </si>
  <si>
    <t>B17019_010</t>
  </si>
  <si>
    <t>B17019_011</t>
  </si>
  <si>
    <t>Estimate!!Total:!!Income in the past 12 months below poverty level:!!Other families:!!Female householder, no spouse present:!!Owner occupied</t>
  </si>
  <si>
    <t>B17019_012</t>
  </si>
  <si>
    <t>Estimate!!Total:!!Income in the past 12 months below poverty level:!!Other families:!!Female householder, no spouse present:!!Renter occupied</t>
  </si>
  <si>
    <t>B17019_013</t>
  </si>
  <si>
    <t>B17019_014</t>
  </si>
  <si>
    <t>B17019_015</t>
  </si>
  <si>
    <t>Estimate!!Total:!!Income in the past 12 months at or above poverty level:!!Married-couple family:!!Owner occupied</t>
  </si>
  <si>
    <t>B17019_016</t>
  </si>
  <si>
    <t>Estimate!!Total:!!Income in the past 12 months at or above poverty level:!!Married-couple family:!!Renter occupied</t>
  </si>
  <si>
    <t>B17019_017</t>
  </si>
  <si>
    <t>B17019_018</t>
  </si>
  <si>
    <t>B17019_019</t>
  </si>
  <si>
    <t>Estimate!!Total:!!Income in the past 12 months at or above poverty level:!!Other families:!!Male householder, no spouse present:!!Owner occupied</t>
  </si>
  <si>
    <t>B17019_020</t>
  </si>
  <si>
    <t>Estimate!!Total:!!Income in the past 12 months at or above poverty level:!!Other families:!!Male householder, no spouse present:!!Renter occupied</t>
  </si>
  <si>
    <t>B17019_021</t>
  </si>
  <si>
    <t>B17019_022</t>
  </si>
  <si>
    <t>Estimate!!Total:!!Income in the past 12 months at or above poverty level:!!Other families:!!Female householder, no spouse present:!!Owner occupied</t>
  </si>
  <si>
    <t>B17019_023</t>
  </si>
  <si>
    <t>Estimate!!Total:!!Income in the past 12 months at or above poverty level:!!Other families:!!Female householder, no spouse present:!!Renter occupied</t>
  </si>
  <si>
    <t>B17020A_002</t>
  </si>
  <si>
    <t>B17020A_003</t>
  </si>
  <si>
    <t>Estimate!!Total:!!Income in the past 12 months below poverty level:!!Under 6 years</t>
  </si>
  <si>
    <t>B17020A_004</t>
  </si>
  <si>
    <t>Estimate!!Total:!!Income in the past 12 months below poverty level:!!6 to 11 years</t>
  </si>
  <si>
    <t>B17020A_005</t>
  </si>
  <si>
    <t>Estimate!!Total:!!Income in the past 12 months below poverty level:!!12 to 17 years</t>
  </si>
  <si>
    <t>B17020A_006</t>
  </si>
  <si>
    <t>Estimate!!Total:!!Income in the past 12 months below poverty level:!!18 to 59 years</t>
  </si>
  <si>
    <t>B17020A_007</t>
  </si>
  <si>
    <t>Estimate!!Total:!!Income in the past 12 months below poverty level:!!60 to 74 years</t>
  </si>
  <si>
    <t>B17020A_008</t>
  </si>
  <si>
    <t>Estimate!!Total:!!Income in the past 12 months below poverty level:!!75 to 84 years</t>
  </si>
  <si>
    <t>B17020A_009</t>
  </si>
  <si>
    <t>Estimate!!Total:!!Income in the past 12 months below poverty level:!!85 years and over</t>
  </si>
  <si>
    <t>B17020A_010</t>
  </si>
  <si>
    <t>B17020A_011</t>
  </si>
  <si>
    <t>Estimate!!Total:!!Income in the past 12 months at or above poverty level:!!Under 6 years</t>
  </si>
  <si>
    <t>B17020A_012</t>
  </si>
  <si>
    <t>Estimate!!Total:!!Income in the past 12 months at or above poverty level:!!6 to 11 years</t>
  </si>
  <si>
    <t>B17020A_013</t>
  </si>
  <si>
    <t>Estimate!!Total:!!Income in the past 12 months at or above poverty level:!!12 to 17 years</t>
  </si>
  <si>
    <t>B17020A_014</t>
  </si>
  <si>
    <t>Estimate!!Total:!!Income in the past 12 months at or above poverty level:!!18 to 59 years</t>
  </si>
  <si>
    <t>B17020A_015</t>
  </si>
  <si>
    <t>Estimate!!Total:!!Income in the past 12 months at or above poverty level:!!60 to 74 years</t>
  </si>
  <si>
    <t>B17020A_016</t>
  </si>
  <si>
    <t>Estimate!!Total:!!Income in the past 12 months at or above poverty level:!!75 to 84 years</t>
  </si>
  <si>
    <t>B17020A_017</t>
  </si>
  <si>
    <t>Estimate!!Total:!!Income in the past 12 months at or above poverty level:!!85 years and over</t>
  </si>
  <si>
    <t>B17020B_002</t>
  </si>
  <si>
    <t>B17020B_003</t>
  </si>
  <si>
    <t>B17020B_004</t>
  </si>
  <si>
    <t>B17020B_005</t>
  </si>
  <si>
    <t>B17020B_006</t>
  </si>
  <si>
    <t>B17020B_007</t>
  </si>
  <si>
    <t>B17020B_008</t>
  </si>
  <si>
    <t>B17020B_009</t>
  </si>
  <si>
    <t>B17020B_010</t>
  </si>
  <si>
    <t>B17020B_011</t>
  </si>
  <si>
    <t>B17020B_012</t>
  </si>
  <si>
    <t>B17020B_013</t>
  </si>
  <si>
    <t>B17020B_014</t>
  </si>
  <si>
    <t>B17020B_015</t>
  </si>
  <si>
    <t>B17020B_016</t>
  </si>
  <si>
    <t>B17020B_017</t>
  </si>
  <si>
    <t>B17020C_002</t>
  </si>
  <si>
    <t>B17020C_003</t>
  </si>
  <si>
    <t>B17020C_004</t>
  </si>
  <si>
    <t>B17020C_005</t>
  </si>
  <si>
    <t>B17020C_006</t>
  </si>
  <si>
    <t>B17020C_007</t>
  </si>
  <si>
    <t>B17020C_008</t>
  </si>
  <si>
    <t>B17020C_009</t>
  </si>
  <si>
    <t>B17020C_010</t>
  </si>
  <si>
    <t>B17020C_011</t>
  </si>
  <si>
    <t>B17020C_012</t>
  </si>
  <si>
    <t>B17020C_013</t>
  </si>
  <si>
    <t>B17020C_014</t>
  </si>
  <si>
    <t>B17020C_015</t>
  </si>
  <si>
    <t>B17020C_016</t>
  </si>
  <si>
    <t>B17020C_017</t>
  </si>
  <si>
    <t>B17020D_002</t>
  </si>
  <si>
    <t>B17020D_003</t>
  </si>
  <si>
    <t>B17020D_004</t>
  </si>
  <si>
    <t>B17020D_005</t>
  </si>
  <si>
    <t>B17020D_006</t>
  </si>
  <si>
    <t>B17020D_007</t>
  </si>
  <si>
    <t>B17020D_008</t>
  </si>
  <si>
    <t>B17020D_009</t>
  </si>
  <si>
    <t>B17020D_010</t>
  </si>
  <si>
    <t>B17020D_011</t>
  </si>
  <si>
    <t>B17020D_012</t>
  </si>
  <si>
    <t>B17020D_013</t>
  </si>
  <si>
    <t>B17020D_014</t>
  </si>
  <si>
    <t>B17020D_015</t>
  </si>
  <si>
    <t>B17020D_016</t>
  </si>
  <si>
    <t>B17020D_017</t>
  </si>
  <si>
    <t>B17020E_002</t>
  </si>
  <si>
    <t>B17020E_003</t>
  </si>
  <si>
    <t>B17020E_004</t>
  </si>
  <si>
    <t>B17020E_005</t>
  </si>
  <si>
    <t>B17020E_006</t>
  </si>
  <si>
    <t>B17020E_007</t>
  </si>
  <si>
    <t>B17020E_008</t>
  </si>
  <si>
    <t>B17020E_009</t>
  </si>
  <si>
    <t>B17020E_010</t>
  </si>
  <si>
    <t>B17020E_011</t>
  </si>
  <si>
    <t>B17020E_012</t>
  </si>
  <si>
    <t>B17020E_013</t>
  </si>
  <si>
    <t>B17020E_014</t>
  </si>
  <si>
    <t>B17020E_015</t>
  </si>
  <si>
    <t>B17020E_016</t>
  </si>
  <si>
    <t>B17020E_017</t>
  </si>
  <si>
    <t>B17020F_002</t>
  </si>
  <si>
    <t>B17020F_003</t>
  </si>
  <si>
    <t>B17020F_004</t>
  </si>
  <si>
    <t>B17020F_005</t>
  </si>
  <si>
    <t>B17020F_006</t>
  </si>
  <si>
    <t>B17020F_007</t>
  </si>
  <si>
    <t>B17020F_008</t>
  </si>
  <si>
    <t>B17020F_009</t>
  </si>
  <si>
    <t>B17020F_010</t>
  </si>
  <si>
    <t>B17020F_011</t>
  </si>
  <si>
    <t>B17020F_012</t>
  </si>
  <si>
    <t>B17020F_013</t>
  </si>
  <si>
    <t>B17020F_014</t>
  </si>
  <si>
    <t>B17020F_015</t>
  </si>
  <si>
    <t>B17020F_016</t>
  </si>
  <si>
    <t>B17020F_017</t>
  </si>
  <si>
    <t>B17020G_002</t>
  </si>
  <si>
    <t>B17020G_003</t>
  </si>
  <si>
    <t>B17020G_004</t>
  </si>
  <si>
    <t>B17020G_005</t>
  </si>
  <si>
    <t>B17020G_006</t>
  </si>
  <si>
    <t>B17020G_007</t>
  </si>
  <si>
    <t>B17020G_008</t>
  </si>
  <si>
    <t>B17020G_009</t>
  </si>
  <si>
    <t>B17020G_010</t>
  </si>
  <si>
    <t>B17020G_011</t>
  </si>
  <si>
    <t>B17020G_012</t>
  </si>
  <si>
    <t>B17020G_013</t>
  </si>
  <si>
    <t>B17020G_014</t>
  </si>
  <si>
    <t>B17020G_015</t>
  </si>
  <si>
    <t>B17020G_016</t>
  </si>
  <si>
    <t>B17020G_017</t>
  </si>
  <si>
    <t>B17020H_002</t>
  </si>
  <si>
    <t>B17020H_003</t>
  </si>
  <si>
    <t>B17020H_004</t>
  </si>
  <si>
    <t>B17020H_005</t>
  </si>
  <si>
    <t>B17020H_006</t>
  </si>
  <si>
    <t>B17020H_007</t>
  </si>
  <si>
    <t>B17020H_008</t>
  </si>
  <si>
    <t>B17020H_009</t>
  </si>
  <si>
    <t>B17020H_010</t>
  </si>
  <si>
    <t>B17020H_011</t>
  </si>
  <si>
    <t>B17020H_012</t>
  </si>
  <si>
    <t>B17020H_013</t>
  </si>
  <si>
    <t>B17020H_014</t>
  </si>
  <si>
    <t>B17020H_015</t>
  </si>
  <si>
    <t>B17020H_016</t>
  </si>
  <si>
    <t>B17020H_017</t>
  </si>
  <si>
    <t>B17020I_002</t>
  </si>
  <si>
    <t>B17020I_003</t>
  </si>
  <si>
    <t>B17020I_004</t>
  </si>
  <si>
    <t>B17020I_005</t>
  </si>
  <si>
    <t>B17020I_006</t>
  </si>
  <si>
    <t>B17020I_007</t>
  </si>
  <si>
    <t>B17020I_008</t>
  </si>
  <si>
    <t>B17020I_009</t>
  </si>
  <si>
    <t>B17020I_010</t>
  </si>
  <si>
    <t>B17020I_011</t>
  </si>
  <si>
    <t>B17020I_012</t>
  </si>
  <si>
    <t>B17020I_013</t>
  </si>
  <si>
    <t>B17020I_014</t>
  </si>
  <si>
    <t>B17020I_015</t>
  </si>
  <si>
    <t>B17020I_016</t>
  </si>
  <si>
    <t>B17020I_017</t>
  </si>
  <si>
    <t>B17020_002</t>
  </si>
  <si>
    <t>B17020_003</t>
  </si>
  <si>
    <t>B17020_004</t>
  </si>
  <si>
    <t>B17020_005</t>
  </si>
  <si>
    <t>B17020_006</t>
  </si>
  <si>
    <t>B17020_007</t>
  </si>
  <si>
    <t>B17020_008</t>
  </si>
  <si>
    <t>B17020_009</t>
  </si>
  <si>
    <t>B17020_010</t>
  </si>
  <si>
    <t>B17020_011</t>
  </si>
  <si>
    <t>B17020_012</t>
  </si>
  <si>
    <t>B17020_013</t>
  </si>
  <si>
    <t>B17020_014</t>
  </si>
  <si>
    <t>B17020_015</t>
  </si>
  <si>
    <t>B17020_016</t>
  </si>
  <si>
    <t>B17020_017</t>
  </si>
  <si>
    <t>B17021_002</t>
  </si>
  <si>
    <t>B17021_003</t>
  </si>
  <si>
    <t>Estimate!!Total:!!Income in the past 12 months below poverty level:!!In family households:</t>
  </si>
  <si>
    <t>B17021_004</t>
  </si>
  <si>
    <t>Estimate!!Total:!!Income in the past 12 months below poverty level:!!In family households:!!In married couple families:</t>
  </si>
  <si>
    <t>B17021_005</t>
  </si>
  <si>
    <t>Estimate!!Total:!!Income in the past 12 months below poverty level:!!In family households:!!In married couple families:!!All relatives</t>
  </si>
  <si>
    <t>B17021_006</t>
  </si>
  <si>
    <t>Estimate!!Total:!!Income in the past 12 months below poverty level:!!In family households:!!In married couple families:!!Non-relatives</t>
  </si>
  <si>
    <t>B17021_007</t>
  </si>
  <si>
    <t>Estimate!!Total:!!Income in the past 12 months below poverty level:!!In family households:!!In other families:</t>
  </si>
  <si>
    <t>B17021_008</t>
  </si>
  <si>
    <t>Estimate!!Total:!!Income in the past 12 months below poverty level:!!In family households:!!In other families:!!Male householder, no spouse present:</t>
  </si>
  <si>
    <t>B17021_009</t>
  </si>
  <si>
    <t>Estimate!!Total:!!Income in the past 12 months below poverty level:!!In family households:!!In other families:!!Male householder, no spouse present:!!All relatives</t>
  </si>
  <si>
    <t>B17021_010</t>
  </si>
  <si>
    <t>Estimate!!Total:!!Income in the past 12 months below poverty level:!!In family households:!!In other families:!!Male householder, no spouse present:!!Non-relatives</t>
  </si>
  <si>
    <t>B17021_011</t>
  </si>
  <si>
    <t>Estimate!!Total:!!Income in the past 12 months below poverty level:!!In family households:!!In other families:!!Female householder, no spouse present:</t>
  </si>
  <si>
    <t>B17021_012</t>
  </si>
  <si>
    <t>Estimate!!Total:!!Income in the past 12 months below poverty level:!!In family households:!!In other families:!!Female householder, no spouse present:!!All relatives</t>
  </si>
  <si>
    <t>B17021_013</t>
  </si>
  <si>
    <t>Estimate!!Total:!!Income in the past 12 months below poverty level:!!In family households:!!In other families:!!Female householder, no spouse present:!!Non-relatives</t>
  </si>
  <si>
    <t>B17021_014</t>
  </si>
  <si>
    <t>Estimate!!Total:!!Income in the past 12 months below poverty level:!!In non-family households and other living arrangement:</t>
  </si>
  <si>
    <t>B17021_015</t>
  </si>
  <si>
    <t>Estimate!!Total:!!Income in the past 12 months below poverty level:!!In non-family households and other living arrangement:!!Householder:</t>
  </si>
  <si>
    <t>B17021_016</t>
  </si>
  <si>
    <t>Estimate!!Total:!!Income in the past 12 months below poverty level:!!In non-family households and other living arrangement:!!Householder:!!Living alone</t>
  </si>
  <si>
    <t>B17021_017</t>
  </si>
  <si>
    <t>Estimate!!Total:!!Income in the past 12 months below poverty level:!!In non-family households and other living arrangement:!!Householder:!!Not living alone</t>
  </si>
  <si>
    <t>B17021_018</t>
  </si>
  <si>
    <t>Estimate!!Total:!!Income in the past 12 months below poverty level:!!In non-family households and other living arrangement:!!Other living arrangement</t>
  </si>
  <si>
    <t>B17021_019</t>
  </si>
  <si>
    <t>B17021_020</t>
  </si>
  <si>
    <t>Estimate!!Total:!!Income in the past 12 months at or above poverty level:!!In family households:</t>
  </si>
  <si>
    <t>B17021_021</t>
  </si>
  <si>
    <t>Estimate!!Total:!!Income in the past 12 months at or above poverty level:!!In family households:!!In married couple families:</t>
  </si>
  <si>
    <t>B17021_022</t>
  </si>
  <si>
    <t>Estimate!!Total:!!Income in the past 12 months at or above poverty level:!!In family households:!!In married couple families:!!All relatives</t>
  </si>
  <si>
    <t>B17021_023</t>
  </si>
  <si>
    <t>Estimate!!Total:!!Income in the past 12 months at or above poverty level:!!In family households:!!In married couple families:!!Non-relatives</t>
  </si>
  <si>
    <t>B17021_024</t>
  </si>
  <si>
    <t>Estimate!!Total:!!Income in the past 12 months at or above poverty level:!!In family households:!!In other families:</t>
  </si>
  <si>
    <t>B17021_025</t>
  </si>
  <si>
    <t>Estimate!!Total:!!Income in the past 12 months at or above poverty level:!!In family households:!!In other families:!!Male householder, no spouse present:</t>
  </si>
  <si>
    <t>B17021_026</t>
  </si>
  <si>
    <t>Estimate!!Total:!!Income in the past 12 months at or above poverty level:!!In family households:!!In other families:!!Male householder, no spouse present:!!All relatives</t>
  </si>
  <si>
    <t>B17021_027</t>
  </si>
  <si>
    <t>Estimate!!Total:!!Income in the past 12 months at or above poverty level:!!In family households:!!In other families:!!Male householder, no spouse present:!!Non-relatives</t>
  </si>
  <si>
    <t>B17021_028</t>
  </si>
  <si>
    <t>Estimate!!Total:!!Income in the past 12 months at or above poverty level:!!In family households:!!In other families:!!Female householder, no spouse present:</t>
  </si>
  <si>
    <t>B17021_029</t>
  </si>
  <si>
    <t>Estimate!!Total:!!Income in the past 12 months at or above poverty level:!!In family households:!!In other families:!!Female householder, no spouse present:!!All relatives</t>
  </si>
  <si>
    <t>B17021_030</t>
  </si>
  <si>
    <t>Estimate!!Total:!!Income in the past 12 months at or above poverty level:!!In family households:!!In other families:!!Female householder, no spouse present:!!Non-relatives</t>
  </si>
  <si>
    <t>B17021_031</t>
  </si>
  <si>
    <t>Estimate!!Total:!!Income in the past 12 months at or above poverty level:!!In non-family households and other living arrangement:</t>
  </si>
  <si>
    <t>B17021_032</t>
  </si>
  <si>
    <t>Estimate!!Total:!!Income in the past 12 months at or above poverty level:!!In non-family households and other living arrangement:!!Householder:</t>
  </si>
  <si>
    <t>B17021_033</t>
  </si>
  <si>
    <t>Estimate!!Total:!!Income in the past 12 months at or above poverty level:!!In non-family households and other living arrangement:!!Householder:!!Living alone</t>
  </si>
  <si>
    <t>B17021_034</t>
  </si>
  <si>
    <t>Estimate!!Total:!!Income in the past 12 months at or above poverty level:!!In non-family households and other living arrangement:!!Householder:!!Not living alone</t>
  </si>
  <si>
    <t>B17021_035</t>
  </si>
  <si>
    <t>Estimate!!Total:!!Income in the past 12 months at or above poverty level:!!In non-family households and other living arrangement:!!Other living arrangement</t>
  </si>
  <si>
    <t>B17022_002</t>
  </si>
  <si>
    <t>Estimate!!Total:!!Under 1.30:</t>
  </si>
  <si>
    <t>B17022_003</t>
  </si>
  <si>
    <t>Estimate!!Total:!!Under 1.30:!!Married-couple family:</t>
  </si>
  <si>
    <t>B17022_004</t>
  </si>
  <si>
    <t>Estimate!!Total:!!Under 1.30:!!Married-couple family:!!With related children of the householder under 18 years:</t>
  </si>
  <si>
    <t>B17022_005</t>
  </si>
  <si>
    <t>Estimate!!Total:!!Under 1.30:!!Married-couple family:!!With related children of the householder under 18 years:!!Under 5 years only</t>
  </si>
  <si>
    <t>B17022_006</t>
  </si>
  <si>
    <t>Estimate!!Total:!!Under 1.30:!!Married-couple family:!!With related children of the householder under 18 years:!!Under 5 years and 5 to 17 years</t>
  </si>
  <si>
    <t>B17022_007</t>
  </si>
  <si>
    <t>Estimate!!Total:!!Under 1.30:!!Married-couple family:!!With related children of the householder under 18 years:!!5 to 17 years only</t>
  </si>
  <si>
    <t>B17022_008</t>
  </si>
  <si>
    <t>Estimate!!Total:!!Under 1.30:!!Married-couple family:!!No related children of the householder under 18 years</t>
  </si>
  <si>
    <t>B17022_009</t>
  </si>
  <si>
    <t>Estimate!!Total:!!Under 1.30:!!Other family:</t>
  </si>
  <si>
    <t>B17022_010</t>
  </si>
  <si>
    <t>Estimate!!Total:!!Under 1.30:!!Other family:!!Male householder, no spouse present:</t>
  </si>
  <si>
    <t>B17022_011</t>
  </si>
  <si>
    <t>Estimate!!Total:!!Under 1.30:!!Other family:!!Male householder, no spouse present:!!With related children of the householder under 18 years:</t>
  </si>
  <si>
    <t>B17022_012</t>
  </si>
  <si>
    <t>Estimate!!Total:!!Under 1.30:!!Other family:!!Male householder, no spouse present:!!With related children of the householder under 18 years:!!Under 5 years only</t>
  </si>
  <si>
    <t>B17022_013</t>
  </si>
  <si>
    <t>Estimate!!Total:!!Under 1.30:!!Other family:!!Male householder, no spouse present:!!With related children of the householder under 18 years:!!Under 5 years and 5 to 17 years</t>
  </si>
  <si>
    <t>B17022_014</t>
  </si>
  <si>
    <t>Estimate!!Total:!!Under 1.30:!!Other family:!!Male householder, no spouse present:!!With related children of the householder under 18 years:!!5 to 17 years only</t>
  </si>
  <si>
    <t>B17022_015</t>
  </si>
  <si>
    <t>Estimate!!Total:!!Under 1.30:!!Other family:!!Male householder, no spouse present:!!No related children of the householder under 18 years</t>
  </si>
  <si>
    <t>B17022_016</t>
  </si>
  <si>
    <t>Estimate!!Total:!!Under 1.30:!!Other family:!!Female householder, no spouse present:</t>
  </si>
  <si>
    <t>B17022_017</t>
  </si>
  <si>
    <t>Estimate!!Total:!!Under 1.30:!!Other family:!!Female householder, no spouse present:!!With related children of the householder under 18 years:</t>
  </si>
  <si>
    <t>B17022_018</t>
  </si>
  <si>
    <t>Estimate!!Total:!!Under 1.30:!!Other family:!!Female householder, no spouse present:!!With related children of the householder under 18 years:!!Under 5 years only</t>
  </si>
  <si>
    <t>B17022_019</t>
  </si>
  <si>
    <t>Estimate!!Total:!!Under 1.30:!!Other family:!!Female householder, no spouse present:!!With related children of the householder under 18 years:!!Under 5 years and 5 to 17 years</t>
  </si>
  <si>
    <t>B17022_020</t>
  </si>
  <si>
    <t>Estimate!!Total:!!Under 1.30:!!Other family:!!Female householder, no spouse present:!!With related children of the householder under 18 years:!!5 to 17 years only</t>
  </si>
  <si>
    <t>B17022_021</t>
  </si>
  <si>
    <t>Estimate!!Total:!!Under 1.30:!!Other family:!!Female householder, no spouse present:!!No related children of the householder under 18 years</t>
  </si>
  <si>
    <t>B17022_022</t>
  </si>
  <si>
    <t>Estimate!!Total:!!1.30 to 1.49:</t>
  </si>
  <si>
    <t>B17022_023</t>
  </si>
  <si>
    <t>Estimate!!Total:!!1.30 to 1.49:!!Married-couple family:</t>
  </si>
  <si>
    <t>B17022_024</t>
  </si>
  <si>
    <t>Estimate!!Total:!!1.30 to 1.49:!!Married-couple family:!!With related children of the householder under 18 years:</t>
  </si>
  <si>
    <t>B17022_025</t>
  </si>
  <si>
    <t>Estimate!!Total:!!1.30 to 1.49:!!Married-couple family:!!With related children of the householder under 18 years:!!Under 5 years only</t>
  </si>
  <si>
    <t>B17022_026</t>
  </si>
  <si>
    <t>Estimate!!Total:!!1.30 to 1.49:!!Married-couple family:!!With related children of the householder under 18 years:!!Under 5 years and 5 to 17 years</t>
  </si>
  <si>
    <t>B17022_027</t>
  </si>
  <si>
    <t>Estimate!!Total:!!1.30 to 1.49:!!Married-couple family:!!With related children of the householder under 18 years:!!5 to 17 years only</t>
  </si>
  <si>
    <t>B17022_028</t>
  </si>
  <si>
    <t>Estimate!!Total:!!1.30 to 1.49:!!Married-couple family:!!No related children of the householder under 18 years</t>
  </si>
  <si>
    <t>B17022_029</t>
  </si>
  <si>
    <t>Estimate!!Total:!!1.30 to 1.49:!!Other family:</t>
  </si>
  <si>
    <t>B17022_030</t>
  </si>
  <si>
    <t>Estimate!!Total:!!1.30 to 1.49:!!Other family:!!Male householder, no spouse present:</t>
  </si>
  <si>
    <t>B17022_031</t>
  </si>
  <si>
    <t>Estimate!!Total:!!1.30 to 1.49:!!Other family:!!Male householder, no spouse present:!!With related children of the householder under 18 years:</t>
  </si>
  <si>
    <t>B17022_032</t>
  </si>
  <si>
    <t>Estimate!!Total:!!1.30 to 1.49:!!Other family:!!Male householder, no spouse present:!!With related children of the householder under 18 years:!!Under 5 years only</t>
  </si>
  <si>
    <t>B17022_033</t>
  </si>
  <si>
    <t>Estimate!!Total:!!1.30 to 1.49:!!Other family:!!Male householder, no spouse present:!!With related children of the householder under 18 years:!!Under 5 years and 5 to 17 years</t>
  </si>
  <si>
    <t>B17022_034</t>
  </si>
  <si>
    <t>Estimate!!Total:!!1.30 to 1.49:!!Other family:!!Male householder, no spouse present:!!With related children of the householder under 18 years:!!5 to 17 years only</t>
  </si>
  <si>
    <t>B17022_035</t>
  </si>
  <si>
    <t>Estimate!!Total:!!1.30 to 1.49:!!Other family:!!Male householder, no spouse present:!!No related children of the householder under 18 years</t>
  </si>
  <si>
    <t>B17022_036</t>
  </si>
  <si>
    <t>Estimate!!Total:!!1.30 to 1.49:!!Other family:!!Female householder, no spouse present:</t>
  </si>
  <si>
    <t>B17022_037</t>
  </si>
  <si>
    <t>Estimate!!Total:!!1.30 to 1.49:!!Other family:!!Female householder, no spouse present:!!With related children of the householder under 18 years:</t>
  </si>
  <si>
    <t>B17022_038</t>
  </si>
  <si>
    <t>Estimate!!Total:!!1.30 to 1.49:!!Other family:!!Female householder, no spouse present:!!With related children of the householder under 18 years:!!Under 5 years only</t>
  </si>
  <si>
    <t>B17022_039</t>
  </si>
  <si>
    <t>Estimate!!Total:!!1.30 to 1.49:!!Other family:!!Female householder, no spouse present:!!With related children of the householder under 18 years:!!Under 5 years and 5 to 17 years</t>
  </si>
  <si>
    <t>B17022_040</t>
  </si>
  <si>
    <t>Estimate!!Total:!!1.30 to 1.49:!!Other family:!!Female householder, no spouse present:!!With related children of the householder under 18 years:!!5 to 17 years only</t>
  </si>
  <si>
    <t>B17022_041</t>
  </si>
  <si>
    <t>Estimate!!Total:!!1.30 to 1.49:!!Other family:!!Female householder, no spouse present:!!No related children of the householder under 18 years</t>
  </si>
  <si>
    <t>B17022_042</t>
  </si>
  <si>
    <t>Estimate!!Total:!!1.50 to 1.84:</t>
  </si>
  <si>
    <t>B17022_043</t>
  </si>
  <si>
    <t>Estimate!!Total:!!1.50 to 1.84:!!Married-couple family:</t>
  </si>
  <si>
    <t>B17022_044</t>
  </si>
  <si>
    <t>Estimate!!Total:!!1.50 to 1.84:!!Married-couple family:!!With related children of the householder under 18 years:</t>
  </si>
  <si>
    <t>B17022_045</t>
  </si>
  <si>
    <t>Estimate!!Total:!!1.50 to 1.84:!!Married-couple family:!!With related children of the householder under 18 years:!!Under 5 years only</t>
  </si>
  <si>
    <t>B17022_046</t>
  </si>
  <si>
    <t>Estimate!!Total:!!1.50 to 1.84:!!Married-couple family:!!With related children of the householder under 18 years:!!Under 5 years and 5 to 17 years</t>
  </si>
  <si>
    <t>B17022_047</t>
  </si>
  <si>
    <t>Estimate!!Total:!!1.50 to 1.84:!!Married-couple family:!!With related children of the householder under 18 years:!!5 to 17 years only</t>
  </si>
  <si>
    <t>B17022_048</t>
  </si>
  <si>
    <t>Estimate!!Total:!!1.50 to 1.84:!!Married-couple family:!!No related children of the householder under 18 years</t>
  </si>
  <si>
    <t>B17022_049</t>
  </si>
  <si>
    <t>Estimate!!Total:!!1.50 to 1.84:!!Other family:</t>
  </si>
  <si>
    <t>B17022_050</t>
  </si>
  <si>
    <t>Estimate!!Total:!!1.50 to 1.84:!!Other family:!!Male householder, no spouse present:</t>
  </si>
  <si>
    <t>B17022_051</t>
  </si>
  <si>
    <t>Estimate!!Total:!!1.50 to 1.84:!!Other family:!!Male householder, no spouse present:!!With related children of the householder under 18 years:</t>
  </si>
  <si>
    <t>B17022_052</t>
  </si>
  <si>
    <t>Estimate!!Total:!!1.50 to 1.84:!!Other family:!!Male householder, no spouse present:!!With related children of the householder under 18 years:!!Under 5 years only</t>
  </si>
  <si>
    <t>B17022_053</t>
  </si>
  <si>
    <t>Estimate!!Total:!!1.50 to 1.84:!!Other family:!!Male householder, no spouse present:!!With related children of the householder under 18 years:!!Under 5 years and 5 to 17 years</t>
  </si>
  <si>
    <t>B17022_054</t>
  </si>
  <si>
    <t>Estimate!!Total:!!1.50 to 1.84:!!Other family:!!Male householder, no spouse present:!!With related children of the householder under 18 years:!!5 to 17 years only</t>
  </si>
  <si>
    <t>B17022_055</t>
  </si>
  <si>
    <t>Estimate!!Total:!!1.50 to 1.84:!!Other family:!!Male householder, no spouse present:!!No related children of the householder under 18 years</t>
  </si>
  <si>
    <t>B17022_056</t>
  </si>
  <si>
    <t>Estimate!!Total:!!1.50 to 1.84:!!Other family:!!Female householder, no spouse present:</t>
  </si>
  <si>
    <t>B17022_057</t>
  </si>
  <si>
    <t>Estimate!!Total:!!1.50 to 1.84:!!Other family:!!Female householder, no spouse present:!!With related children of the householder under 18 years:</t>
  </si>
  <si>
    <t>B17022_058</t>
  </si>
  <si>
    <t>Estimate!!Total:!!1.50 to 1.84:!!Other family:!!Female householder, no spouse present:!!With related children of the householder under 18 years:!!Under 5 years only</t>
  </si>
  <si>
    <t>B17022_059</t>
  </si>
  <si>
    <t>Estimate!!Total:!!1.50 to 1.84:!!Other family:!!Female householder, no spouse present:!!With related children of the householder under 18 years:!!Under 5 years and 5 to 17 years</t>
  </si>
  <si>
    <t>B17022_060</t>
  </si>
  <si>
    <t>Estimate!!Total:!!1.50 to 1.84:!!Other family:!!Female householder, no spouse present:!!With related children of the householder under 18 years:!!5 to 17 years only</t>
  </si>
  <si>
    <t>B17022_061</t>
  </si>
  <si>
    <t>Estimate!!Total:!!1.50 to 1.84:!!Other family:!!Female householder, no spouse present:!!No related children of the householder under 18 years</t>
  </si>
  <si>
    <t>B17022_062</t>
  </si>
  <si>
    <t>Estimate!!Total:!!1.85 and above:</t>
  </si>
  <si>
    <t>B17022_063</t>
  </si>
  <si>
    <t>Estimate!!Total:!!1.85 and above:!!Married-couple family:</t>
  </si>
  <si>
    <t>B17022_064</t>
  </si>
  <si>
    <t>Estimate!!Total:!!1.85 and above:!!Married-couple family:!!With related children of the householder under 18 years:</t>
  </si>
  <si>
    <t>B17022_065</t>
  </si>
  <si>
    <t>Estimate!!Total:!!1.85 and above:!!Married-couple family:!!With related children of the householder under 18 years:!!Under 5 years only</t>
  </si>
  <si>
    <t>B17022_066</t>
  </si>
  <si>
    <t>Estimate!!Total:!!1.85 and above:!!Married-couple family:!!With related children of the householder under 18 years:!!Under 5 years and 5 to 17 years</t>
  </si>
  <si>
    <t>B17022_067</t>
  </si>
  <si>
    <t>Estimate!!Total:!!1.85 and above:!!Married-couple family:!!With related children of the householder under 18 years:!!5 to 17 years only</t>
  </si>
  <si>
    <t>B17022_068</t>
  </si>
  <si>
    <t>Estimate!!Total:!!1.85 and above:!!Married-couple family:!!No related children of the householder under 18 years</t>
  </si>
  <si>
    <t>B17022_069</t>
  </si>
  <si>
    <t>Estimate!!Total:!!1.85 and above:!!Other family:</t>
  </si>
  <si>
    <t>B17022_070</t>
  </si>
  <si>
    <t>Estimate!!Total:!!1.85 and above:!!Other family:!!Male householder, no spouse present:</t>
  </si>
  <si>
    <t>B17022_071</t>
  </si>
  <si>
    <t>Estimate!!Total:!!1.85 and above:!!Other family:!!Male householder, no spouse present:!!With related children of the householder under 18 years:</t>
  </si>
  <si>
    <t>B17022_072</t>
  </si>
  <si>
    <t>Estimate!!Total:!!1.85 and above:!!Other family:!!Male householder, no spouse present:!!With related children of the householder under 18 years:!!Under 5 years only</t>
  </si>
  <si>
    <t>B17022_073</t>
  </si>
  <si>
    <t>Estimate!!Total:!!1.85 and above:!!Other family:!!Male householder, no spouse present:!!With related children of the householder under 18 years:!!Under 5 years and 5 to 17 years</t>
  </si>
  <si>
    <t>B17022_074</t>
  </si>
  <si>
    <t>Estimate!!Total:!!1.85 and above:!!Other family:!!Male householder, no spouse present:!!With related children of the householder under 18 years:!!5 to 17 years only</t>
  </si>
  <si>
    <t>B17022_075</t>
  </si>
  <si>
    <t>Estimate!!Total:!!1.85 and above:!!Other family:!!Male householder, no spouse present:!!No related children of the householder under 18 years</t>
  </si>
  <si>
    <t>B17022_076</t>
  </si>
  <si>
    <t>Estimate!!Total:!!1.85 and above:!!Other family:!!Female householder, no spouse present:</t>
  </si>
  <si>
    <t>B17022_077</t>
  </si>
  <si>
    <t>Estimate!!Total:!!1.85 and above:!!Other family:!!Female householder, no spouse present:!!With related children of the householder under 18 years:</t>
  </si>
  <si>
    <t>B17022_078</t>
  </si>
  <si>
    <t>Estimate!!Total:!!1.85 and above:!!Other family:!!Female householder, no spouse present:!!With related children of the householder under 18 years:!!Under 5 years only</t>
  </si>
  <si>
    <t>B17022_079</t>
  </si>
  <si>
    <t>Estimate!!Total:!!1.85 and above:!!Other family:!!Female householder, no spouse present:!!With related children of the householder under 18 years:!!Under 5 years and 5 to 17 years</t>
  </si>
  <si>
    <t>B17022_080</t>
  </si>
  <si>
    <t>Estimate!!Total:!!1.85 and above:!!Other family:!!Female householder, no spouse present:!!With related children of the householder under 18 years:!!5 to 17 years only</t>
  </si>
  <si>
    <t>B17022_081</t>
  </si>
  <si>
    <t>Estimate!!Total:!!1.85 and above:!!Other family:!!Female householder, no spouse present:!!No related children of the householder under 18 years</t>
  </si>
  <si>
    <t>B17023_002</t>
  </si>
  <si>
    <t>B17023_003</t>
  </si>
  <si>
    <t>B17023_004</t>
  </si>
  <si>
    <t>Estimate!!Total:!!Income in the past 12 months below poverty level:!!Married-couple family:!!No own child of the householder</t>
  </si>
  <si>
    <t>B17023_005</t>
  </si>
  <si>
    <t>Estimate!!Total:!!Income in the past 12 months below poverty level:!!Married-couple family:!!1 or 2 own children of the householder</t>
  </si>
  <si>
    <t>B17023_006</t>
  </si>
  <si>
    <t>Estimate!!Total:!!Income in the past 12 months below poverty level:!!Married-couple family:!!3 or 4 own children of the householder</t>
  </si>
  <si>
    <t>B17023_007</t>
  </si>
  <si>
    <t>Estimate!!Total:!!Income in the past 12 months below poverty level:!!Married-couple family:!!5 or more own children of the householder</t>
  </si>
  <si>
    <t>B17023_008</t>
  </si>
  <si>
    <t>B17023_009</t>
  </si>
  <si>
    <t>B17023_010</t>
  </si>
  <si>
    <t>Estimate!!Total:!!Income in the past 12 months below poverty level:!!Other families:!!Male householder, no spouse present:!!No own child of the householder</t>
  </si>
  <si>
    <t>B17023_011</t>
  </si>
  <si>
    <t>Estimate!!Total:!!Income in the past 12 months below poverty level:!!Other families:!!Male householder, no spouse present:!!1 or 2 own children of the householder</t>
  </si>
  <si>
    <t>B17023_012</t>
  </si>
  <si>
    <t>Estimate!!Total:!!Income in the past 12 months below poverty level:!!Other families:!!Male householder, no spouse present:!!3 or 4 own children of the householder</t>
  </si>
  <si>
    <t>B17023_013</t>
  </si>
  <si>
    <t>Estimate!!Total:!!Income in the past 12 months below poverty level:!!Other families:!!Male householder, no spouse present:!!5 or more own children of the householder</t>
  </si>
  <si>
    <t>B17023_014</t>
  </si>
  <si>
    <t>B17023_015</t>
  </si>
  <si>
    <t>Estimate!!Total:!!Income in the past 12 months below poverty level:!!Other families:!!Female householder, no spouse present:!!No own child of the householder</t>
  </si>
  <si>
    <t>B17023_016</t>
  </si>
  <si>
    <t>Estimate!!Total:!!Income in the past 12 months below poverty level:!!Other families:!!Female householder, no spouse present:!!1 or 2 own children of the householder</t>
  </si>
  <si>
    <t>B17023_017</t>
  </si>
  <si>
    <t>Estimate!!Total:!!Income in the past 12 months below poverty level:!!Other families:!!Female householder, no spouse present:!!3 or 4 own children of the householder</t>
  </si>
  <si>
    <t>B17023_018</t>
  </si>
  <si>
    <t>Estimate!!Total:!!Income in the past 12 months below poverty level:!!Other families:!!Female householder, no spouse present:!!5 or more own children of the householder</t>
  </si>
  <si>
    <t>B17023_019</t>
  </si>
  <si>
    <t>B17023_020</t>
  </si>
  <si>
    <t>B17023_021</t>
  </si>
  <si>
    <t>Estimate!!Total:!!Income in the past 12 months at or above poverty level:!!Married-couple family:!!No own child of the householder</t>
  </si>
  <si>
    <t>B17023_022</t>
  </si>
  <si>
    <t>Estimate!!Total:!!Income in the past 12 months at or above poverty level:!!Married-couple family:!!1 or 2 own children of the householder</t>
  </si>
  <si>
    <t>B17023_023</t>
  </si>
  <si>
    <t>Estimate!!Total:!!Income in the past 12 months at or above poverty level:!!Married-couple family:!!3 or 4 own children of the householder</t>
  </si>
  <si>
    <t>B17023_024</t>
  </si>
  <si>
    <t>Estimate!!Total:!!Income in the past 12 months at or above poverty level:!!Married-couple family:!!5 or more own children of the householder</t>
  </si>
  <si>
    <t>B17023_025</t>
  </si>
  <si>
    <t>B17023_026</t>
  </si>
  <si>
    <t>B17023_027</t>
  </si>
  <si>
    <t>Estimate!!Total:!!Income in the past 12 months at or above poverty level:!!Other families:!!Male householder, no spouse present:!!No own child of the householder</t>
  </si>
  <si>
    <t>B17023_028</t>
  </si>
  <si>
    <t>Estimate!!Total:!!Income in the past 12 months at or above poverty level:!!Other families:!!Male householder, no spouse present:!!1 or 2 own children of the householder</t>
  </si>
  <si>
    <t>B17023_029</t>
  </si>
  <si>
    <t>Estimate!!Total:!!Income in the past 12 months at or above poverty level:!!Other families:!!Male householder, no spouse present:!!3 or 4 own children of the householder</t>
  </si>
  <si>
    <t>B17023_030</t>
  </si>
  <si>
    <t>Estimate!!Total:!!Income in the past 12 months at or above poverty level:!!Other families:!!Male householder, no spouse present:!!5 or more own children of the householder</t>
  </si>
  <si>
    <t>B17023_031</t>
  </si>
  <si>
    <t>B17023_032</t>
  </si>
  <si>
    <t>Estimate!!Total:!!Income in the past 12 months at or above poverty level:!!Other families:!!Female householder, no spouse present:!!No own child of the householder</t>
  </si>
  <si>
    <t>B17023_033</t>
  </si>
  <si>
    <t>Estimate!!Total:!!Income in the past 12 months at or above poverty level:!!Other families:!!Female householder, no spouse present:!!1 or 2 own children of the householder</t>
  </si>
  <si>
    <t>B17023_034</t>
  </si>
  <si>
    <t>Estimate!!Total:!!Income in the past 12 months at or above poverty level:!!Other families:!!Female householder, no spouse present:!!3 or 4 own children of the householder</t>
  </si>
  <si>
    <t>B17023_035</t>
  </si>
  <si>
    <t>Estimate!!Total:!!Income in the past 12 months at or above poverty level:!!Other families:!!Female householder, no spouse present:!!5 or more own children of the householder</t>
  </si>
  <si>
    <t>B17024_002</t>
  </si>
  <si>
    <t>B17024_003</t>
  </si>
  <si>
    <t>Estimate!!Total:!!Under 6 years:!!Under .50</t>
  </si>
  <si>
    <t>B17024_004</t>
  </si>
  <si>
    <t>Estimate!!Total:!!Under 6 years:!!.50 to .74</t>
  </si>
  <si>
    <t>B17024_005</t>
  </si>
  <si>
    <t>Estimate!!Total:!!Under 6 years:!!.75 to .99</t>
  </si>
  <si>
    <t>B17024_006</t>
  </si>
  <si>
    <t>Estimate!!Total:!!Under 6 years:!!1.00 to 1.24</t>
  </si>
  <si>
    <t>B17024_007</t>
  </si>
  <si>
    <t>Estimate!!Total:!!Under 6 years:!!1.25 to 1.49</t>
  </si>
  <si>
    <t>B17024_008</t>
  </si>
  <si>
    <t>Estimate!!Total:!!Under 6 years:!!1.50 to 1.74</t>
  </si>
  <si>
    <t>B17024_009</t>
  </si>
  <si>
    <t>Estimate!!Total:!!Under 6 years:!!1.75 to 1.84</t>
  </si>
  <si>
    <t>B17024_010</t>
  </si>
  <si>
    <t>Estimate!!Total:!!Under 6 years:!!1.85 to 1.99</t>
  </si>
  <si>
    <t>B17024_011</t>
  </si>
  <si>
    <t>Estimate!!Total:!!Under 6 years:!!2.00 to 2.99</t>
  </si>
  <si>
    <t>B17024_012</t>
  </si>
  <si>
    <t>Estimate!!Total:!!Under 6 years:!!3.00 to 3.99</t>
  </si>
  <si>
    <t>B17024_013</t>
  </si>
  <si>
    <t>Estimate!!Total:!!Under 6 years:!!4.00 to 4.99</t>
  </si>
  <si>
    <t>B17024_014</t>
  </si>
  <si>
    <t>Estimate!!Total:!!Under 6 years:!!5.00 and over</t>
  </si>
  <si>
    <t>B17024_015</t>
  </si>
  <si>
    <t>Estimate!!Total:!!6 to 11 years:</t>
  </si>
  <si>
    <t>B17024_016</t>
  </si>
  <si>
    <t>Estimate!!Total:!!6 to 11 years:!!Under .50</t>
  </si>
  <si>
    <t>B17024_017</t>
  </si>
  <si>
    <t>Estimate!!Total:!!6 to 11 years:!!.50 to .74</t>
  </si>
  <si>
    <t>B17024_018</t>
  </si>
  <si>
    <t>Estimate!!Total:!!6 to 11 years:!!.75 to .99</t>
  </si>
  <si>
    <t>B17024_019</t>
  </si>
  <si>
    <t>Estimate!!Total:!!6 to 11 years:!!1.00 to 1.24</t>
  </si>
  <si>
    <t>B17024_020</t>
  </si>
  <si>
    <t>Estimate!!Total:!!6 to 11 years:!!1.25 to 1.49</t>
  </si>
  <si>
    <t>B17024_021</t>
  </si>
  <si>
    <t>Estimate!!Total:!!6 to 11 years:!!1.50 to 1.74</t>
  </si>
  <si>
    <t>B17024_022</t>
  </si>
  <si>
    <t>Estimate!!Total:!!6 to 11 years:!!1.75 to 1.84</t>
  </si>
  <si>
    <t>B17024_023</t>
  </si>
  <si>
    <t>Estimate!!Total:!!6 to 11 years:!!1.85 to 1.99</t>
  </si>
  <si>
    <t>B17024_024</t>
  </si>
  <si>
    <t>Estimate!!Total:!!6 to 11 years:!!2.00 to 2.99</t>
  </si>
  <si>
    <t>B17024_025</t>
  </si>
  <si>
    <t>Estimate!!Total:!!6 to 11 years:!!3.00 to 3.99</t>
  </si>
  <si>
    <t>B17024_026</t>
  </si>
  <si>
    <t>Estimate!!Total:!!6 to 11 years:!!4.00 to 4.99</t>
  </si>
  <si>
    <t>B17024_027</t>
  </si>
  <si>
    <t>Estimate!!Total:!!6 to 11 years:!!5.00 and over</t>
  </si>
  <si>
    <t>B17024_028</t>
  </si>
  <si>
    <t>Estimate!!Total:!!12 to 17 years:</t>
  </si>
  <si>
    <t>B17024_029</t>
  </si>
  <si>
    <t>Estimate!!Total:!!12 to 17 years:!!Under .50</t>
  </si>
  <si>
    <t>B17024_030</t>
  </si>
  <si>
    <t>Estimate!!Total:!!12 to 17 years:!!.50 to .74</t>
  </si>
  <si>
    <t>B17024_031</t>
  </si>
  <si>
    <t>Estimate!!Total:!!12 to 17 years:!!.75 to .99</t>
  </si>
  <si>
    <t>B17024_032</t>
  </si>
  <si>
    <t>Estimate!!Total:!!12 to 17 years:!!1.00 to 1.24</t>
  </si>
  <si>
    <t>B17024_033</t>
  </si>
  <si>
    <t>Estimate!!Total:!!12 to 17 years:!!1.25 to 1.49</t>
  </si>
  <si>
    <t>B17024_034</t>
  </si>
  <si>
    <t>Estimate!!Total:!!12 to 17 years:!!1.50 to 1.74</t>
  </si>
  <si>
    <t>B17024_035</t>
  </si>
  <si>
    <t>Estimate!!Total:!!12 to 17 years:!!1.75 to 1.84</t>
  </si>
  <si>
    <t>B17024_036</t>
  </si>
  <si>
    <t>Estimate!!Total:!!12 to 17 years:!!1.85 to 1.99</t>
  </si>
  <si>
    <t>B17024_037</t>
  </si>
  <si>
    <t>Estimate!!Total:!!12 to 17 years:!!2.00 to 2.99</t>
  </si>
  <si>
    <t>B17024_038</t>
  </si>
  <si>
    <t>Estimate!!Total:!!12 to 17 years:!!3.00 to 3.99</t>
  </si>
  <si>
    <t>B17024_039</t>
  </si>
  <si>
    <t>Estimate!!Total:!!12 to 17 years:!!4.00 to 4.99</t>
  </si>
  <si>
    <t>B17024_040</t>
  </si>
  <si>
    <t>Estimate!!Total:!!12 to 17 years:!!5.00 and over</t>
  </si>
  <si>
    <t>B17024_041</t>
  </si>
  <si>
    <t>Estimate!!Total:!!18 to 24 years:</t>
  </si>
  <si>
    <t>B17024_042</t>
  </si>
  <si>
    <t>Estimate!!Total:!!18 to 24 years:!!Under .50</t>
  </si>
  <si>
    <t>B17024_043</t>
  </si>
  <si>
    <t>Estimate!!Total:!!18 to 24 years:!!.50 to .74</t>
  </si>
  <si>
    <t>B17024_044</t>
  </si>
  <si>
    <t>Estimate!!Total:!!18 to 24 years:!!.75 to .99</t>
  </si>
  <si>
    <t>B17024_045</t>
  </si>
  <si>
    <t>Estimate!!Total:!!18 to 24 years:!!1.00 to 1.24</t>
  </si>
  <si>
    <t>B17024_046</t>
  </si>
  <si>
    <t>Estimate!!Total:!!18 to 24 years:!!1.25 to 1.49</t>
  </si>
  <si>
    <t>B17024_047</t>
  </si>
  <si>
    <t>Estimate!!Total:!!18 to 24 years:!!1.50 to 1.74</t>
  </si>
  <si>
    <t>B17024_048</t>
  </si>
  <si>
    <t>Estimate!!Total:!!18 to 24 years:!!1.75 to 1.84</t>
  </si>
  <si>
    <t>B17024_049</t>
  </si>
  <si>
    <t>Estimate!!Total:!!18 to 24 years:!!1.85 to 1.99</t>
  </si>
  <si>
    <t>B17024_050</t>
  </si>
  <si>
    <t>Estimate!!Total:!!18 to 24 years:!!2.00 to 2.99</t>
  </si>
  <si>
    <t>B17024_051</t>
  </si>
  <si>
    <t>Estimate!!Total:!!18 to 24 years:!!3.00 to 3.99</t>
  </si>
  <si>
    <t>B17024_052</t>
  </si>
  <si>
    <t>Estimate!!Total:!!18 to 24 years:!!4.00 to 4.99</t>
  </si>
  <si>
    <t>B17024_053</t>
  </si>
  <si>
    <t>Estimate!!Total:!!18 to 24 years:!!5.00 and over</t>
  </si>
  <si>
    <t>B17024_054</t>
  </si>
  <si>
    <t>Estimate!!Total:!!25 to 34 years:</t>
  </si>
  <si>
    <t>B17024_055</t>
  </si>
  <si>
    <t>Estimate!!Total:!!25 to 34 years:!!Under .50</t>
  </si>
  <si>
    <t>B17024_056</t>
  </si>
  <si>
    <t>Estimate!!Total:!!25 to 34 years:!!.50 to .74</t>
  </si>
  <si>
    <t>B17024_057</t>
  </si>
  <si>
    <t>Estimate!!Total:!!25 to 34 years:!!.75 to .99</t>
  </si>
  <si>
    <t>B17024_058</t>
  </si>
  <si>
    <t>Estimate!!Total:!!25 to 34 years:!!1.00 to 1.24</t>
  </si>
  <si>
    <t>B17024_059</t>
  </si>
  <si>
    <t>Estimate!!Total:!!25 to 34 years:!!1.25 to 1.49</t>
  </si>
  <si>
    <t>B17024_060</t>
  </si>
  <si>
    <t>Estimate!!Total:!!25 to 34 years:!!1.50 to 1.74</t>
  </si>
  <si>
    <t>B17024_061</t>
  </si>
  <si>
    <t>Estimate!!Total:!!25 to 34 years:!!1.75 to 1.84</t>
  </si>
  <si>
    <t>B17024_062</t>
  </si>
  <si>
    <t>Estimate!!Total:!!25 to 34 years:!!1.85 to 1.99</t>
  </si>
  <si>
    <t>B17024_063</t>
  </si>
  <si>
    <t>Estimate!!Total:!!25 to 34 years:!!2.00 to 2.99</t>
  </si>
  <si>
    <t>B17024_064</t>
  </si>
  <si>
    <t>Estimate!!Total:!!25 to 34 years:!!3.00 to 3.99</t>
  </si>
  <si>
    <t>B17024_065</t>
  </si>
  <si>
    <t>Estimate!!Total:!!25 to 34 years:!!4.00 to 4.99</t>
  </si>
  <si>
    <t>B17024_066</t>
  </si>
  <si>
    <t>Estimate!!Total:!!25 to 34 years:!!5.00 and over</t>
  </si>
  <si>
    <t>B17024_067</t>
  </si>
  <si>
    <t>Estimate!!Total:!!35 to 44 years:</t>
  </si>
  <si>
    <t>B17024_068</t>
  </si>
  <si>
    <t>Estimate!!Total:!!35 to 44 years:!!Under .50</t>
  </si>
  <si>
    <t>B17024_069</t>
  </si>
  <si>
    <t>Estimate!!Total:!!35 to 44 years:!!.50 to .74</t>
  </si>
  <si>
    <t>B17024_070</t>
  </si>
  <si>
    <t>Estimate!!Total:!!35 to 44 years:!!.75 to .99</t>
  </si>
  <si>
    <t>B17024_071</t>
  </si>
  <si>
    <t>Estimate!!Total:!!35 to 44 years:!!1.00 to 1.24</t>
  </si>
  <si>
    <t>B17024_072</t>
  </si>
  <si>
    <t>Estimate!!Total:!!35 to 44 years:!!1.25 to 1.49</t>
  </si>
  <si>
    <t>B17024_073</t>
  </si>
  <si>
    <t>Estimate!!Total:!!35 to 44 years:!!1.50 to 1.74</t>
  </si>
  <si>
    <t>B17024_074</t>
  </si>
  <si>
    <t>Estimate!!Total:!!35 to 44 years:!!1.75 to 1.84</t>
  </si>
  <si>
    <t>B17024_075</t>
  </si>
  <si>
    <t>Estimate!!Total:!!35 to 44 years:!!1.85 to 1.99</t>
  </si>
  <si>
    <t>B17024_076</t>
  </si>
  <si>
    <t>Estimate!!Total:!!35 to 44 years:!!2.00 to 2.99</t>
  </si>
  <si>
    <t>B17024_077</t>
  </si>
  <si>
    <t>Estimate!!Total:!!35 to 44 years:!!3.00 to 3.99</t>
  </si>
  <si>
    <t>B17024_078</t>
  </si>
  <si>
    <t>Estimate!!Total:!!35 to 44 years:!!4.00 to 4.99</t>
  </si>
  <si>
    <t>B17024_079</t>
  </si>
  <si>
    <t>Estimate!!Total:!!35 to 44 years:!!5.00 and over</t>
  </si>
  <si>
    <t>B17024_080</t>
  </si>
  <si>
    <t>Estimate!!Total:!!45 to 54 years:</t>
  </si>
  <si>
    <t>B17024_081</t>
  </si>
  <si>
    <t>Estimate!!Total:!!45 to 54 years:!!Under .50</t>
  </si>
  <si>
    <t>B17024_082</t>
  </si>
  <si>
    <t>Estimate!!Total:!!45 to 54 years:!!.50 to .74</t>
  </si>
  <si>
    <t>B17024_083</t>
  </si>
  <si>
    <t>Estimate!!Total:!!45 to 54 years:!!.75 to .99</t>
  </si>
  <si>
    <t>B17024_084</t>
  </si>
  <si>
    <t>Estimate!!Total:!!45 to 54 years:!!1.00 to 1.24</t>
  </si>
  <si>
    <t>B17024_085</t>
  </si>
  <si>
    <t>Estimate!!Total:!!45 to 54 years:!!1.25 to 1.49</t>
  </si>
  <si>
    <t>B17024_086</t>
  </si>
  <si>
    <t>Estimate!!Total:!!45 to 54 years:!!1.50 to 1.74</t>
  </si>
  <si>
    <t>B17024_087</t>
  </si>
  <si>
    <t>Estimate!!Total:!!45 to 54 years:!!1.75 to 1.84</t>
  </si>
  <si>
    <t>B17024_088</t>
  </si>
  <si>
    <t>Estimate!!Total:!!45 to 54 years:!!1.85 to 1.99</t>
  </si>
  <si>
    <t>B17024_089</t>
  </si>
  <si>
    <t>Estimate!!Total:!!45 to 54 years:!!2.00 to 2.99</t>
  </si>
  <si>
    <t>B17024_090</t>
  </si>
  <si>
    <t>Estimate!!Total:!!45 to 54 years:!!3.00 to 3.99</t>
  </si>
  <si>
    <t>B17024_091</t>
  </si>
  <si>
    <t>Estimate!!Total:!!45 to 54 years:!!4.00 to 4.99</t>
  </si>
  <si>
    <t>B17024_092</t>
  </si>
  <si>
    <t>Estimate!!Total:!!45 to 54 years:!!5.00 and over</t>
  </si>
  <si>
    <t>B17024_093</t>
  </si>
  <si>
    <t>Estimate!!Total:!!55 to 64 years:</t>
  </si>
  <si>
    <t>B17024_094</t>
  </si>
  <si>
    <t>Estimate!!Total:!!55 to 64 years:!!Under .50</t>
  </si>
  <si>
    <t>B17024_095</t>
  </si>
  <si>
    <t>Estimate!!Total:!!55 to 64 years:!!.50 to .74</t>
  </si>
  <si>
    <t>B17024_096</t>
  </si>
  <si>
    <t>Estimate!!Total:!!55 to 64 years:!!.75 to .99</t>
  </si>
  <si>
    <t>B17024_097</t>
  </si>
  <si>
    <t>Estimate!!Total:!!55 to 64 years:!!1.00 to 1.24</t>
  </si>
  <si>
    <t>B17024_098</t>
  </si>
  <si>
    <t>Estimate!!Total:!!55 to 64 years:!!1.25 to 1.49</t>
  </si>
  <si>
    <t>B17024_099</t>
  </si>
  <si>
    <t>Estimate!!Total:!!55 to 64 years:!!1.50 to 1.74</t>
  </si>
  <si>
    <t>B17024_100</t>
  </si>
  <si>
    <t>Estimate!!Total:!!55 to 64 years:!!1.75 to 1.84</t>
  </si>
  <si>
    <t>B17024_101</t>
  </si>
  <si>
    <t>Estimate!!Total:!!55 to 64 years:!!1.85 to 1.99</t>
  </si>
  <si>
    <t>B17024_102</t>
  </si>
  <si>
    <t>Estimate!!Total:!!55 to 64 years:!!2.00 to 2.99</t>
  </si>
  <si>
    <t>B17024_103</t>
  </si>
  <si>
    <t>Estimate!!Total:!!55 to 64 years:!!3.00 to 3.99</t>
  </si>
  <si>
    <t>B17024_104</t>
  </si>
  <si>
    <t>Estimate!!Total:!!55 to 64 years:!!4.00 to 4.99</t>
  </si>
  <si>
    <t>B17024_105</t>
  </si>
  <si>
    <t>Estimate!!Total:!!55 to 64 years:!!5.00 and over</t>
  </si>
  <si>
    <t>B17024_106</t>
  </si>
  <si>
    <t>Estimate!!Total:!!65 to 74 years:</t>
  </si>
  <si>
    <t>B17024_107</t>
  </si>
  <si>
    <t>Estimate!!Total:!!65 to 74 years:!!Under .50</t>
  </si>
  <si>
    <t>B17024_108</t>
  </si>
  <si>
    <t>Estimate!!Total:!!65 to 74 years:!!.50 to .74</t>
  </si>
  <si>
    <t>B17024_109</t>
  </si>
  <si>
    <t>Estimate!!Total:!!65 to 74 years:!!.75 to .99</t>
  </si>
  <si>
    <t>B17024_110</t>
  </si>
  <si>
    <t>Estimate!!Total:!!65 to 74 years:!!1.00 to 1.24</t>
  </si>
  <si>
    <t>B17024_111</t>
  </si>
  <si>
    <t>Estimate!!Total:!!65 to 74 years:!!1.25 to 1.49</t>
  </si>
  <si>
    <t>B17024_112</t>
  </si>
  <si>
    <t>Estimate!!Total:!!65 to 74 years:!!1.50 to 1.74</t>
  </si>
  <si>
    <t>B17024_113</t>
  </si>
  <si>
    <t>Estimate!!Total:!!65 to 74 years:!!1.75 to 1.84</t>
  </si>
  <si>
    <t>B17024_114</t>
  </si>
  <si>
    <t>Estimate!!Total:!!65 to 74 years:!!1.85 to 1.99</t>
  </si>
  <si>
    <t>B17024_115</t>
  </si>
  <si>
    <t>Estimate!!Total:!!65 to 74 years:!!2.00 to 2.99</t>
  </si>
  <si>
    <t>B17024_116</t>
  </si>
  <si>
    <t>Estimate!!Total:!!65 to 74 years:!!3.00 to 3.99</t>
  </si>
  <si>
    <t>B17024_117</t>
  </si>
  <si>
    <t>Estimate!!Total:!!65 to 74 years:!!4.00 to 4.99</t>
  </si>
  <si>
    <t>B17024_118</t>
  </si>
  <si>
    <t>Estimate!!Total:!!65 to 74 years:!!5.00 and over</t>
  </si>
  <si>
    <t>B17024_119</t>
  </si>
  <si>
    <t>Estimate!!Total:!!75 years and over:</t>
  </si>
  <si>
    <t>B17024_120</t>
  </si>
  <si>
    <t>Estimate!!Total:!!75 years and over:!!Under .50</t>
  </si>
  <si>
    <t>B17024_121</t>
  </si>
  <si>
    <t>Estimate!!Total:!!75 years and over:!!.50 to .74</t>
  </si>
  <si>
    <t>B17024_122</t>
  </si>
  <si>
    <t>Estimate!!Total:!!75 years and over:!!.75 to .99</t>
  </si>
  <si>
    <t>B17024_123</t>
  </si>
  <si>
    <t>Estimate!!Total:!!75 years and over:!!1.00 to 1.24</t>
  </si>
  <si>
    <t>B17024_124</t>
  </si>
  <si>
    <t>Estimate!!Total:!!75 years and over:!!1.25 to 1.49</t>
  </si>
  <si>
    <t>B17024_125</t>
  </si>
  <si>
    <t>Estimate!!Total:!!75 years and over:!!1.50 to 1.74</t>
  </si>
  <si>
    <t>B17024_126</t>
  </si>
  <si>
    <t>Estimate!!Total:!!75 years and over:!!1.75 to 1.84</t>
  </si>
  <si>
    <t>B17024_127</t>
  </si>
  <si>
    <t>Estimate!!Total:!!75 years and over:!!1.85 to 1.99</t>
  </si>
  <si>
    <t>B17024_128</t>
  </si>
  <si>
    <t>Estimate!!Total:!!75 years and over:!!2.00 to 2.99</t>
  </si>
  <si>
    <t>B17024_129</t>
  </si>
  <si>
    <t>Estimate!!Total:!!75 years and over:!!3.00 to 3.99</t>
  </si>
  <si>
    <t>B17024_130</t>
  </si>
  <si>
    <t>Estimate!!Total:!!75 years and over:!!4.00 to 4.99</t>
  </si>
  <si>
    <t>B17024_131</t>
  </si>
  <si>
    <t>Estimate!!Total:!!75 years and over:!!5.00 and over</t>
  </si>
  <si>
    <t>B17025_002</t>
  </si>
  <si>
    <t>B17025_003</t>
  </si>
  <si>
    <t>Estimate!!Total:!!Income in the past 12 months below poverty level:!!Native:</t>
  </si>
  <si>
    <t>B17025_004</t>
  </si>
  <si>
    <t>Estimate!!Total:!!Income in the past 12 months below poverty level:!!Native:!!Born in the United States</t>
  </si>
  <si>
    <t>B17025_005</t>
  </si>
  <si>
    <t>Estimate!!Total:!!Income in the past 12 months below poverty level:!!Native:!!Born outside the United States</t>
  </si>
  <si>
    <t>B17025_006</t>
  </si>
  <si>
    <t>Estimate!!Total:!!Income in the past 12 months below poverty level:!!Foreign born:</t>
  </si>
  <si>
    <t>B17025_007</t>
  </si>
  <si>
    <t>Estimate!!Total:!!Income in the past 12 months below poverty level:!!Foreign born:!!Naturalized citizen</t>
  </si>
  <si>
    <t>B17025_008</t>
  </si>
  <si>
    <t>Estimate!!Total:!!Income in the past 12 months below poverty level:!!Foreign born:!!Not a citizen</t>
  </si>
  <si>
    <t>B17025_009</t>
  </si>
  <si>
    <t>B17025_010</t>
  </si>
  <si>
    <t>Estimate!!Total:!!Income in the past 12 months at or above poverty level:!!Native:</t>
  </si>
  <si>
    <t>B17025_011</t>
  </si>
  <si>
    <t>Estimate!!Total:!!Income in the past 12 months at or above poverty level:!!Native:!!Born in the United States</t>
  </si>
  <si>
    <t>B17025_012</t>
  </si>
  <si>
    <t>Estimate!!Total:!!Income in the past 12 months at or above poverty level:!!Native:!!Born outside the United States</t>
  </si>
  <si>
    <t>B17025_013</t>
  </si>
  <si>
    <t>Estimate!!Total:!!Income in the past 12 months at or above poverty level:!!Foreign born:</t>
  </si>
  <si>
    <t>B17025_014</t>
  </si>
  <si>
    <t>Estimate!!Total:!!Income in the past 12 months at or above poverty level:!!Foreign born:!!Naturalized citizen</t>
  </si>
  <si>
    <t>B17025_015</t>
  </si>
  <si>
    <t>Estimate!!Total:!!Income in the past 12 months at or above poverty level:!!Foreign born:!!Not a citizen</t>
  </si>
  <si>
    <t>B17026_002</t>
  </si>
  <si>
    <t>Estimate!!Total:!!Under .50</t>
  </si>
  <si>
    <t>B17026_003</t>
  </si>
  <si>
    <t>Estimate!!Total:!!.50 to .74</t>
  </si>
  <si>
    <t>B17026_004</t>
  </si>
  <si>
    <t>Estimate!!Total:!!.75 to .99</t>
  </si>
  <si>
    <t>B17026_005</t>
  </si>
  <si>
    <t>Estimate!!Total:!!1.00 to 1.24</t>
  </si>
  <si>
    <t>B17026_006</t>
  </si>
  <si>
    <t>Estimate!!Total:!!1.25 to 1.49</t>
  </si>
  <si>
    <t>B17026_007</t>
  </si>
  <si>
    <t>Estimate!!Total:!!1.50 to 1.74</t>
  </si>
  <si>
    <t>B17026_008</t>
  </si>
  <si>
    <t>Estimate!!Total:!!1.75 to 1.84</t>
  </si>
  <si>
    <t>B17026_009</t>
  </si>
  <si>
    <t>Estimate!!Total:!!1.85 to 1.99</t>
  </si>
  <si>
    <t>B17026_010</t>
  </si>
  <si>
    <t>Estimate!!Total:!!2.00 to 2.99</t>
  </si>
  <si>
    <t>B17026_011</t>
  </si>
  <si>
    <t>Estimate!!Total:!!3.00 to 3.99</t>
  </si>
  <si>
    <t>B17026_012</t>
  </si>
  <si>
    <t>Estimate!!Total:!!4.00 to 4.99</t>
  </si>
  <si>
    <t>B17026_013</t>
  </si>
  <si>
    <t>Estimate!!Total:!!5.00 and over</t>
  </si>
  <si>
    <t>B17101_002</t>
  </si>
  <si>
    <t>Estimate!!Total:!!Income in the past 12 months below poverty level</t>
  </si>
  <si>
    <t>B17101_003</t>
  </si>
  <si>
    <t>Estimate!!Total:!!Income in the past 12 months at or above poverty level</t>
  </si>
  <si>
    <t>B18101A_002</t>
  </si>
  <si>
    <t>Estimate!!Total:!!Under 18 years:</t>
  </si>
  <si>
    <t>B18101A_003</t>
  </si>
  <si>
    <t>Estimate!!Total:!!Under 18 years:!!With a disability</t>
  </si>
  <si>
    <t>B18101A_004</t>
  </si>
  <si>
    <t>Estimate!!Total:!!Under 18 years:!!No disability</t>
  </si>
  <si>
    <t>B18101A_005</t>
  </si>
  <si>
    <t>B18101A_006</t>
  </si>
  <si>
    <t>Estimate!!Total:!!18 to 64 years:!!With a disability</t>
  </si>
  <si>
    <t>B18101A_007</t>
  </si>
  <si>
    <t>Estimate!!Total:!!18 to 64 years:!!No disability</t>
  </si>
  <si>
    <t>B18101A_008</t>
  </si>
  <si>
    <t>B18101A_009</t>
  </si>
  <si>
    <t>Estimate!!Total:!!65 years and over:!!With a disability</t>
  </si>
  <si>
    <t>B18101A_010</t>
  </si>
  <si>
    <t>Estimate!!Total:!!65 years and over:!!No disability</t>
  </si>
  <si>
    <t>B18101B_002</t>
  </si>
  <si>
    <t>B18101B_003</t>
  </si>
  <si>
    <t>B18101B_004</t>
  </si>
  <si>
    <t>B18101B_005</t>
  </si>
  <si>
    <t>B18101B_006</t>
  </si>
  <si>
    <t>B18101B_007</t>
  </si>
  <si>
    <t>B18101B_008</t>
  </si>
  <si>
    <t>B18101B_009</t>
  </si>
  <si>
    <t>B18101B_010</t>
  </si>
  <si>
    <t>B18101C_002</t>
  </si>
  <si>
    <t>B18101C_003</t>
  </si>
  <si>
    <t>B18101C_004</t>
  </si>
  <si>
    <t>B18101C_005</t>
  </si>
  <si>
    <t>B18101C_006</t>
  </si>
  <si>
    <t>B18101C_007</t>
  </si>
  <si>
    <t>B18101C_008</t>
  </si>
  <si>
    <t>B18101C_009</t>
  </si>
  <si>
    <t>B18101C_010</t>
  </si>
  <si>
    <t>B18101D_002</t>
  </si>
  <si>
    <t>B18101D_003</t>
  </si>
  <si>
    <t>B18101D_004</t>
  </si>
  <si>
    <t>B18101D_005</t>
  </si>
  <si>
    <t>B18101D_006</t>
  </si>
  <si>
    <t>B18101D_007</t>
  </si>
  <si>
    <t>B18101D_008</t>
  </si>
  <si>
    <t>B18101D_009</t>
  </si>
  <si>
    <t>B18101D_010</t>
  </si>
  <si>
    <t>B18101E_002</t>
  </si>
  <si>
    <t>B18101E_003</t>
  </si>
  <si>
    <t>B18101E_004</t>
  </si>
  <si>
    <t>B18101E_005</t>
  </si>
  <si>
    <t>B18101E_006</t>
  </si>
  <si>
    <t>B18101E_007</t>
  </si>
  <si>
    <t>B18101E_008</t>
  </si>
  <si>
    <t>B18101E_009</t>
  </si>
  <si>
    <t>B18101E_010</t>
  </si>
  <si>
    <t>B18101F_002</t>
  </si>
  <si>
    <t>B18101F_003</t>
  </si>
  <si>
    <t>B18101F_004</t>
  </si>
  <si>
    <t>B18101F_005</t>
  </si>
  <si>
    <t>B18101F_006</t>
  </si>
  <si>
    <t>B18101F_007</t>
  </si>
  <si>
    <t>B18101F_008</t>
  </si>
  <si>
    <t>B18101F_009</t>
  </si>
  <si>
    <t>B18101F_010</t>
  </si>
  <si>
    <t>B18101G_002</t>
  </si>
  <si>
    <t>B18101G_003</t>
  </si>
  <si>
    <t>B18101G_004</t>
  </si>
  <si>
    <t>B18101G_005</t>
  </si>
  <si>
    <t>B18101G_006</t>
  </si>
  <si>
    <t>B18101G_007</t>
  </si>
  <si>
    <t>B18101G_008</t>
  </si>
  <si>
    <t>B18101G_009</t>
  </si>
  <si>
    <t>B18101G_010</t>
  </si>
  <si>
    <t>B18101H_002</t>
  </si>
  <si>
    <t>B18101H_003</t>
  </si>
  <si>
    <t>B18101H_004</t>
  </si>
  <si>
    <t>B18101H_005</t>
  </si>
  <si>
    <t>B18101H_006</t>
  </si>
  <si>
    <t>B18101H_007</t>
  </si>
  <si>
    <t>B18101H_008</t>
  </si>
  <si>
    <t>B18101H_009</t>
  </si>
  <si>
    <t>B18101H_010</t>
  </si>
  <si>
    <t>B18101I_002</t>
  </si>
  <si>
    <t>B18101I_003</t>
  </si>
  <si>
    <t>B18101I_004</t>
  </si>
  <si>
    <t>B18101I_005</t>
  </si>
  <si>
    <t>B18101I_006</t>
  </si>
  <si>
    <t>B18101I_007</t>
  </si>
  <si>
    <t>B18101I_008</t>
  </si>
  <si>
    <t>B18101I_009</t>
  </si>
  <si>
    <t>B18101I_010</t>
  </si>
  <si>
    <t>B18101_002</t>
  </si>
  <si>
    <t>B18101_003</t>
  </si>
  <si>
    <t>Estimate!!Total:!!Male:!!Under 5 years:</t>
  </si>
  <si>
    <t>B18101_004</t>
  </si>
  <si>
    <t>Estimate!!Total:!!Male:!!Under 5 years:!!With a disability</t>
  </si>
  <si>
    <t>B18101_005</t>
  </si>
  <si>
    <t>Estimate!!Total:!!Male:!!Under 5 years:!!No disability</t>
  </si>
  <si>
    <t>B18101_006</t>
  </si>
  <si>
    <t>Estimate!!Total:!!Male:!!5 to 17 years:</t>
  </si>
  <si>
    <t>B18101_007</t>
  </si>
  <si>
    <t>Estimate!!Total:!!Male:!!5 to 17 years:!!With a disability</t>
  </si>
  <si>
    <t>B18101_008</t>
  </si>
  <si>
    <t>Estimate!!Total:!!Male:!!5 to 17 years:!!No disability</t>
  </si>
  <si>
    <t>B18101_009</t>
  </si>
  <si>
    <t>Estimate!!Total:!!Male:!!18 to 34 years:</t>
  </si>
  <si>
    <t>B18101_010</t>
  </si>
  <si>
    <t>Estimate!!Total:!!Male:!!18 to 34 years:!!With a disability</t>
  </si>
  <si>
    <t>B18101_011</t>
  </si>
  <si>
    <t>Estimate!!Total:!!Male:!!18 to 34 years:!!No disability</t>
  </si>
  <si>
    <t>B18101_012</t>
  </si>
  <si>
    <t>Estimate!!Total:!!Male:!!35 to 64 years:</t>
  </si>
  <si>
    <t>B18101_013</t>
  </si>
  <si>
    <t>Estimate!!Total:!!Male:!!35 to 64 years:!!With a disability</t>
  </si>
  <si>
    <t>B18101_014</t>
  </si>
  <si>
    <t>Estimate!!Total:!!Male:!!35 to 64 years:!!No disability</t>
  </si>
  <si>
    <t>B18101_015</t>
  </si>
  <si>
    <t>Estimate!!Total:!!Male:!!65 to 74 years:</t>
  </si>
  <si>
    <t>B18101_016</t>
  </si>
  <si>
    <t>Estimate!!Total:!!Male:!!65 to 74 years:!!With a disability</t>
  </si>
  <si>
    <t>B18101_017</t>
  </si>
  <si>
    <t>Estimate!!Total:!!Male:!!65 to 74 years:!!No disability</t>
  </si>
  <si>
    <t>B18101_018</t>
  </si>
  <si>
    <t>Estimate!!Total:!!Male:!!75 years and over:</t>
  </si>
  <si>
    <t>B18101_019</t>
  </si>
  <si>
    <t>Estimate!!Total:!!Male:!!75 years and over:!!With a disability</t>
  </si>
  <si>
    <t>B18101_020</t>
  </si>
  <si>
    <t>Estimate!!Total:!!Male:!!75 years and over:!!No disability</t>
  </si>
  <si>
    <t>B18101_021</t>
  </si>
  <si>
    <t>B18101_022</t>
  </si>
  <si>
    <t>Estimate!!Total:!!Female:!!Under 5 years:</t>
  </si>
  <si>
    <t>B18101_023</t>
  </si>
  <si>
    <t>Estimate!!Total:!!Female:!!Under 5 years:!!With a disability</t>
  </si>
  <si>
    <t>B18101_024</t>
  </si>
  <si>
    <t>Estimate!!Total:!!Female:!!Under 5 years:!!No disability</t>
  </si>
  <si>
    <t>B18101_025</t>
  </si>
  <si>
    <t>Estimate!!Total:!!Female:!!5 to 17 years:</t>
  </si>
  <si>
    <t>B18101_026</t>
  </si>
  <si>
    <t>Estimate!!Total:!!Female:!!5 to 17 years:!!With a disability</t>
  </si>
  <si>
    <t>B18101_027</t>
  </si>
  <si>
    <t>Estimate!!Total:!!Female:!!5 to 17 years:!!No disability</t>
  </si>
  <si>
    <t>B18101_028</t>
  </si>
  <si>
    <t>Estimate!!Total:!!Female:!!18 to 34 years:</t>
  </si>
  <si>
    <t>B18101_029</t>
  </si>
  <si>
    <t>Estimate!!Total:!!Female:!!18 to 34 years:!!With a disability</t>
  </si>
  <si>
    <t>B18101_030</t>
  </si>
  <si>
    <t>Estimate!!Total:!!Female:!!18 to 34 years:!!No disability</t>
  </si>
  <si>
    <t>B18101_031</t>
  </si>
  <si>
    <t>Estimate!!Total:!!Female:!!35 to 64 years:</t>
  </si>
  <si>
    <t>B18101_032</t>
  </si>
  <si>
    <t>Estimate!!Total:!!Female:!!35 to 64 years:!!With a disability</t>
  </si>
  <si>
    <t>B18101_033</t>
  </si>
  <si>
    <t>Estimate!!Total:!!Female:!!35 to 64 years:!!No disability</t>
  </si>
  <si>
    <t>B18101_034</t>
  </si>
  <si>
    <t>Estimate!!Total:!!Female:!!65 to 74 years:</t>
  </si>
  <si>
    <t>B18101_035</t>
  </si>
  <si>
    <t>Estimate!!Total:!!Female:!!65 to 74 years:!!With a disability</t>
  </si>
  <si>
    <t>B18101_036</t>
  </si>
  <si>
    <t>Estimate!!Total:!!Female:!!65 to 74 years:!!No disability</t>
  </si>
  <si>
    <t>B18101_037</t>
  </si>
  <si>
    <t>Estimate!!Total:!!Female:!!75 years and over:</t>
  </si>
  <si>
    <t>B18101_038</t>
  </si>
  <si>
    <t>Estimate!!Total:!!Female:!!75 years and over:!!With a disability</t>
  </si>
  <si>
    <t>B18101_039</t>
  </si>
  <si>
    <t>Estimate!!Total:!!Female:!!75 years and over:!!No disability</t>
  </si>
  <si>
    <t>B18102_002</t>
  </si>
  <si>
    <t>B18102_003</t>
  </si>
  <si>
    <t>B18102_004</t>
  </si>
  <si>
    <t>Estimate!!Total:!!Male:!!Under 5 years:!!With a hearing difficulty</t>
  </si>
  <si>
    <t>B18102_005</t>
  </si>
  <si>
    <t>Estimate!!Total:!!Male:!!Under 5 years:!!No hearing difficulty</t>
  </si>
  <si>
    <t>B18102_006</t>
  </si>
  <si>
    <t>B18102_007</t>
  </si>
  <si>
    <t>Estimate!!Total:!!Male:!!5 to 17 years:!!With a hearing difficulty</t>
  </si>
  <si>
    <t>B18102_008</t>
  </si>
  <si>
    <t>Estimate!!Total:!!Male:!!5 to 17 years:!!No hearing difficulty</t>
  </si>
  <si>
    <t>B18102_009</t>
  </si>
  <si>
    <t>B18102_010</t>
  </si>
  <si>
    <t>Estimate!!Total:!!Male:!!18 to 34 years:!!With a hearing difficulty</t>
  </si>
  <si>
    <t>B18102_011</t>
  </si>
  <si>
    <t>Estimate!!Total:!!Male:!!18 to 34 years:!!No hearing difficulty</t>
  </si>
  <si>
    <t>B18102_012</t>
  </si>
  <si>
    <t>B18102_013</t>
  </si>
  <si>
    <t>Estimate!!Total:!!Male:!!35 to 64 years:!!With a hearing difficulty</t>
  </si>
  <si>
    <t>B18102_014</t>
  </si>
  <si>
    <t>Estimate!!Total:!!Male:!!35 to 64 years:!!No hearing difficulty</t>
  </si>
  <si>
    <t>B18102_015</t>
  </si>
  <si>
    <t>B18102_016</t>
  </si>
  <si>
    <t>Estimate!!Total:!!Male:!!65 to 74 years:!!With a hearing difficulty</t>
  </si>
  <si>
    <t>B18102_017</t>
  </si>
  <si>
    <t>Estimate!!Total:!!Male:!!65 to 74 years:!!No hearing difficulty</t>
  </si>
  <si>
    <t>B18102_018</t>
  </si>
  <si>
    <t>B18102_019</t>
  </si>
  <si>
    <t>Estimate!!Total:!!Male:!!75 years and over:!!With a hearing difficulty</t>
  </si>
  <si>
    <t>B18102_020</t>
  </si>
  <si>
    <t>Estimate!!Total:!!Male:!!75 years and over:!!No hearing difficulty</t>
  </si>
  <si>
    <t>B18102_021</t>
  </si>
  <si>
    <t>B18102_022</t>
  </si>
  <si>
    <t>B18102_023</t>
  </si>
  <si>
    <t>Estimate!!Total:!!Female:!!Under 5 years:!!With a hearing difficulty</t>
  </si>
  <si>
    <t>B18102_024</t>
  </si>
  <si>
    <t>Estimate!!Total:!!Female:!!Under 5 years:!!No hearing difficulty</t>
  </si>
  <si>
    <t>B18102_025</t>
  </si>
  <si>
    <t>B18102_026</t>
  </si>
  <si>
    <t>Estimate!!Total:!!Female:!!5 to 17 years:!!With a hearing difficulty</t>
  </si>
  <si>
    <t>B18102_027</t>
  </si>
  <si>
    <t>Estimate!!Total:!!Female:!!5 to 17 years:!!No hearing difficulty</t>
  </si>
  <si>
    <t>B18102_028</t>
  </si>
  <si>
    <t>B18102_029</t>
  </si>
  <si>
    <t>Estimate!!Total:!!Female:!!18 to 34 years:!!With a hearing difficulty</t>
  </si>
  <si>
    <t>B18102_030</t>
  </si>
  <si>
    <t>Estimate!!Total:!!Female:!!18 to 34 years:!!No hearing difficulty</t>
  </si>
  <si>
    <t>B18102_031</t>
  </si>
  <si>
    <t>B18102_032</t>
  </si>
  <si>
    <t>Estimate!!Total:!!Female:!!35 to 64 years:!!With a hearing difficulty</t>
  </si>
  <si>
    <t>B18102_033</t>
  </si>
  <si>
    <t>Estimate!!Total:!!Female:!!35 to 64 years:!!No hearing difficulty</t>
  </si>
  <si>
    <t>B18102_034</t>
  </si>
  <si>
    <t>B18102_035</t>
  </si>
  <si>
    <t>Estimate!!Total:!!Female:!!65 to 74 years:!!With a hearing difficulty</t>
  </si>
  <si>
    <t>B18102_036</t>
  </si>
  <si>
    <t>Estimate!!Total:!!Female:!!65 to 74 years:!!No hearing difficulty</t>
  </si>
  <si>
    <t>B18102_037</t>
  </si>
  <si>
    <t>B18102_038</t>
  </si>
  <si>
    <t>Estimate!!Total:!!Female:!!75 years and over:!!With a hearing difficulty</t>
  </si>
  <si>
    <t>B18102_039</t>
  </si>
  <si>
    <t>Estimate!!Total:!!Female:!!75 years and over:!!No hearing difficulty</t>
  </si>
  <si>
    <t>B18103_002</t>
  </si>
  <si>
    <t>B18103_003</t>
  </si>
  <si>
    <t>B18103_004</t>
  </si>
  <si>
    <t>Estimate!!Total:!!Male:!!Under 5 years:!!With a vision difficulty</t>
  </si>
  <si>
    <t>B18103_005</t>
  </si>
  <si>
    <t>Estimate!!Total:!!Male:!!Under 5 years:!!No vision difficulty</t>
  </si>
  <si>
    <t>B18103_006</t>
  </si>
  <si>
    <t>B18103_007</t>
  </si>
  <si>
    <t>Estimate!!Total:!!Male:!!5 to 17 years:!!With a vision difficulty</t>
  </si>
  <si>
    <t>B18103_008</t>
  </si>
  <si>
    <t>Estimate!!Total:!!Male:!!5 to 17 years:!!No vision difficulty</t>
  </si>
  <si>
    <t>B18103_009</t>
  </si>
  <si>
    <t>B18103_010</t>
  </si>
  <si>
    <t>Estimate!!Total:!!Male:!!18 to 34 years:!!With a vision difficulty</t>
  </si>
  <si>
    <t>B18103_011</t>
  </si>
  <si>
    <t>Estimate!!Total:!!Male:!!18 to 34 years:!!No vision difficulty</t>
  </si>
  <si>
    <t>B18103_012</t>
  </si>
  <si>
    <t>B18103_013</t>
  </si>
  <si>
    <t>Estimate!!Total:!!Male:!!35 to 64 years:!!With a vision difficulty</t>
  </si>
  <si>
    <t>B18103_014</t>
  </si>
  <si>
    <t>Estimate!!Total:!!Male:!!35 to 64 years:!!No vision difficulty</t>
  </si>
  <si>
    <t>B18103_015</t>
  </si>
  <si>
    <t>B18103_016</t>
  </si>
  <si>
    <t>Estimate!!Total:!!Male:!!65 to 74 years:!!With a vision difficulty</t>
  </si>
  <si>
    <t>B18103_017</t>
  </si>
  <si>
    <t>Estimate!!Total:!!Male:!!65 to 74 years:!!No vision difficulty</t>
  </si>
  <si>
    <t>B18103_018</t>
  </si>
  <si>
    <t>B18103_019</t>
  </si>
  <si>
    <t>Estimate!!Total:!!Male:!!75 years and over:!!With a vision difficulty</t>
  </si>
  <si>
    <t>B18103_020</t>
  </si>
  <si>
    <t>Estimate!!Total:!!Male:!!75 years and over:!!No vision difficulty</t>
  </si>
  <si>
    <t>B18103_021</t>
  </si>
  <si>
    <t>B18103_022</t>
  </si>
  <si>
    <t>B18103_023</t>
  </si>
  <si>
    <t>Estimate!!Total:!!Female:!!Under 5 years:!!With a vision difficulty</t>
  </si>
  <si>
    <t>B18103_024</t>
  </si>
  <si>
    <t>Estimate!!Total:!!Female:!!Under 5 years:!!No vision difficulty</t>
  </si>
  <si>
    <t>B18103_025</t>
  </si>
  <si>
    <t>B18103_026</t>
  </si>
  <si>
    <t>Estimate!!Total:!!Female:!!5 to 17 years:!!With a vision difficulty</t>
  </si>
  <si>
    <t>B18103_027</t>
  </si>
  <si>
    <t>Estimate!!Total:!!Female:!!5 to 17 years:!!No vision difficulty</t>
  </si>
  <si>
    <t>B18103_028</t>
  </si>
  <si>
    <t>B18103_029</t>
  </si>
  <si>
    <t>Estimate!!Total:!!Female:!!18 to 34 years:!!With a vision difficulty</t>
  </si>
  <si>
    <t>B18103_030</t>
  </si>
  <si>
    <t>Estimate!!Total:!!Female:!!18 to 34 years:!!No vision difficulty</t>
  </si>
  <si>
    <t>B18103_031</t>
  </si>
  <si>
    <t>B18103_032</t>
  </si>
  <si>
    <t>Estimate!!Total:!!Female:!!35 to 64 years:!!With a vision difficulty</t>
  </si>
  <si>
    <t>B18103_033</t>
  </si>
  <si>
    <t>Estimate!!Total:!!Female:!!35 to 64 years:!!No vision difficulty</t>
  </si>
  <si>
    <t>B18103_034</t>
  </si>
  <si>
    <t>B18103_035</t>
  </si>
  <si>
    <t>Estimate!!Total:!!Female:!!65 to 74 years:!!With a vision difficulty</t>
  </si>
  <si>
    <t>B18103_036</t>
  </si>
  <si>
    <t>Estimate!!Total:!!Female:!!65 to 74 years:!!No vision difficulty</t>
  </si>
  <si>
    <t>B18103_037</t>
  </si>
  <si>
    <t>B18103_038</t>
  </si>
  <si>
    <t>Estimate!!Total:!!Female:!!75 years and over:!!With a vision difficulty</t>
  </si>
  <si>
    <t>B18103_039</t>
  </si>
  <si>
    <t>Estimate!!Total:!!Female:!!75 years and over:!!No vision difficulty</t>
  </si>
  <si>
    <t>B18104_002</t>
  </si>
  <si>
    <t>B18104_003</t>
  </si>
  <si>
    <t>B18104_004</t>
  </si>
  <si>
    <t>Estimate!!Total:!!Male:!!5 to 17 years:!!With a cognitive difficulty</t>
  </si>
  <si>
    <t>B18104_005</t>
  </si>
  <si>
    <t>Estimate!!Total:!!Male:!!5 to 17 years:!!No cognitive difficulty</t>
  </si>
  <si>
    <t>B18104_006</t>
  </si>
  <si>
    <t>B18104_007</t>
  </si>
  <si>
    <t>Estimate!!Total:!!Male:!!18 to 34 years:!!With a cognitive difficulty</t>
  </si>
  <si>
    <t>B18104_008</t>
  </si>
  <si>
    <t>Estimate!!Total:!!Male:!!18 to 34 years:!!No cognitive difficulty</t>
  </si>
  <si>
    <t>B18104_009</t>
  </si>
  <si>
    <t>B18104_010</t>
  </si>
  <si>
    <t>Estimate!!Total:!!Male:!!35 to 64 years:!!With a cognitive difficulty</t>
  </si>
  <si>
    <t>B18104_011</t>
  </si>
  <si>
    <t>Estimate!!Total:!!Male:!!35 to 64 years:!!No cognitive difficulty</t>
  </si>
  <si>
    <t>B18104_012</t>
  </si>
  <si>
    <t>B18104_013</t>
  </si>
  <si>
    <t>Estimate!!Total:!!Male:!!65 to 74 years:!!With a cognitive difficulty</t>
  </si>
  <si>
    <t>B18104_014</t>
  </si>
  <si>
    <t>Estimate!!Total:!!Male:!!65 to 74 years:!!No cognitive difficulty</t>
  </si>
  <si>
    <t>B18104_015</t>
  </si>
  <si>
    <t>B18104_016</t>
  </si>
  <si>
    <t>Estimate!!Total:!!Male:!!75 years and over:!!With a cognitive difficulty</t>
  </si>
  <si>
    <t>B18104_017</t>
  </si>
  <si>
    <t>Estimate!!Total:!!Male:!!75 years and over:!!No cognitive difficulty</t>
  </si>
  <si>
    <t>B18104_018</t>
  </si>
  <si>
    <t>B18104_019</t>
  </si>
  <si>
    <t>B18104_020</t>
  </si>
  <si>
    <t>Estimate!!Total:!!Female:!!5 to 17 years:!!With a cognitive difficulty</t>
  </si>
  <si>
    <t>B18104_021</t>
  </si>
  <si>
    <t>Estimate!!Total:!!Female:!!5 to 17 years:!!No cognitive difficulty</t>
  </si>
  <si>
    <t>B18104_022</t>
  </si>
  <si>
    <t>B18104_023</t>
  </si>
  <si>
    <t>Estimate!!Total:!!Female:!!18 to 34 years:!!With a cognitive difficulty</t>
  </si>
  <si>
    <t>B18104_024</t>
  </si>
  <si>
    <t>Estimate!!Total:!!Female:!!18 to 34 years:!!No cognitive difficulty</t>
  </si>
  <si>
    <t>B18104_025</t>
  </si>
  <si>
    <t>B18104_026</t>
  </si>
  <si>
    <t>Estimate!!Total:!!Female:!!35 to 64 years:!!With a cognitive difficulty</t>
  </si>
  <si>
    <t>B18104_027</t>
  </si>
  <si>
    <t>Estimate!!Total:!!Female:!!35 to 64 years:!!No cognitive difficulty</t>
  </si>
  <si>
    <t>B18104_028</t>
  </si>
  <si>
    <t>B18104_029</t>
  </si>
  <si>
    <t>Estimate!!Total:!!Female:!!65 to 74 years:!!With a cognitive difficulty</t>
  </si>
  <si>
    <t>B18104_030</t>
  </si>
  <si>
    <t>Estimate!!Total:!!Female:!!65 to 74 years:!!No cognitive difficulty</t>
  </si>
  <si>
    <t>B18104_031</t>
  </si>
  <si>
    <t>B18104_032</t>
  </si>
  <si>
    <t>Estimate!!Total:!!Female:!!75 years and over:!!With a cognitive difficulty</t>
  </si>
  <si>
    <t>B18104_033</t>
  </si>
  <si>
    <t>Estimate!!Total:!!Female:!!75 years and over:!!No cognitive difficulty</t>
  </si>
  <si>
    <t>B18105_002</t>
  </si>
  <si>
    <t>B18105_003</t>
  </si>
  <si>
    <t>B18105_004</t>
  </si>
  <si>
    <t>Estimate!!Total:!!Male:!!5 to 17 years:!!With an ambulatory difficulty</t>
  </si>
  <si>
    <t>B18105_005</t>
  </si>
  <si>
    <t>Estimate!!Total:!!Male:!!5 to 17 years:!!No ambulatory difficulty</t>
  </si>
  <si>
    <t>B18105_006</t>
  </si>
  <si>
    <t>B18105_007</t>
  </si>
  <si>
    <t>Estimate!!Total:!!Male:!!18 to 34 years:!!With an ambulatory difficulty</t>
  </si>
  <si>
    <t>B18105_008</t>
  </si>
  <si>
    <t>Estimate!!Total:!!Male:!!18 to 34 years:!!No ambulatory difficulty</t>
  </si>
  <si>
    <t>B18105_009</t>
  </si>
  <si>
    <t>B18105_010</t>
  </si>
  <si>
    <t>Estimate!!Total:!!Male:!!35 to 64 years:!!With an ambulatory difficulty</t>
  </si>
  <si>
    <t>B18105_011</t>
  </si>
  <si>
    <t>Estimate!!Total:!!Male:!!35 to 64 years:!!No ambulatory difficulty</t>
  </si>
  <si>
    <t>B18105_012</t>
  </si>
  <si>
    <t>B18105_013</t>
  </si>
  <si>
    <t>Estimate!!Total:!!Male:!!65 to 74 years:!!With an ambulatory difficulty</t>
  </si>
  <si>
    <t>B18105_014</t>
  </si>
  <si>
    <t>Estimate!!Total:!!Male:!!65 to 74 years:!!No ambulatory difficulty</t>
  </si>
  <si>
    <t>B18105_015</t>
  </si>
  <si>
    <t>B18105_016</t>
  </si>
  <si>
    <t>Estimate!!Total:!!Male:!!75 years and over:!!With an ambulatory difficulty</t>
  </si>
  <si>
    <t>B18105_017</t>
  </si>
  <si>
    <t>Estimate!!Total:!!Male:!!75 years and over:!!No ambulatory difficulty</t>
  </si>
  <si>
    <t>B18105_018</t>
  </si>
  <si>
    <t>B18105_019</t>
  </si>
  <si>
    <t>B18105_020</t>
  </si>
  <si>
    <t>Estimate!!Total:!!Female:!!5 to 17 years:!!With an ambulatory difficulty</t>
  </si>
  <si>
    <t>B18105_021</t>
  </si>
  <si>
    <t>Estimate!!Total:!!Female:!!5 to 17 years:!!No ambulatory difficulty</t>
  </si>
  <si>
    <t>B18105_022</t>
  </si>
  <si>
    <t>B18105_023</t>
  </si>
  <si>
    <t>Estimate!!Total:!!Female:!!18 to 34 years:!!With an ambulatory difficulty</t>
  </si>
  <si>
    <t>B18105_024</t>
  </si>
  <si>
    <t>Estimate!!Total:!!Female:!!18 to 34 years:!!No ambulatory difficulty</t>
  </si>
  <si>
    <t>B18105_025</t>
  </si>
  <si>
    <t>B18105_026</t>
  </si>
  <si>
    <t>Estimate!!Total:!!Female:!!35 to 64 years:!!With an ambulatory difficulty</t>
  </si>
  <si>
    <t>B18105_027</t>
  </si>
  <si>
    <t>Estimate!!Total:!!Female:!!35 to 64 years:!!No ambulatory difficulty</t>
  </si>
  <si>
    <t>B18105_028</t>
  </si>
  <si>
    <t>B18105_029</t>
  </si>
  <si>
    <t>Estimate!!Total:!!Female:!!65 to 74 years:!!With an ambulatory difficulty</t>
  </si>
  <si>
    <t>B18105_030</t>
  </si>
  <si>
    <t>Estimate!!Total:!!Female:!!65 to 74 years:!!No ambulatory difficulty</t>
  </si>
  <si>
    <t>B18105_031</t>
  </si>
  <si>
    <t>B18105_032</t>
  </si>
  <si>
    <t>Estimate!!Total:!!Female:!!75 years and over:!!With an ambulatory difficulty</t>
  </si>
  <si>
    <t>B18105_033</t>
  </si>
  <si>
    <t>Estimate!!Total:!!Female:!!75 years and over:!!No ambulatory difficulty</t>
  </si>
  <si>
    <t>B18106_002</t>
  </si>
  <si>
    <t>B18106_003</t>
  </si>
  <si>
    <t>B18106_004</t>
  </si>
  <si>
    <t>Estimate!!Total:!!Male:!!5 to 17 years:!!With a self-care difficulty</t>
  </si>
  <si>
    <t>B18106_005</t>
  </si>
  <si>
    <t>Estimate!!Total:!!Male:!!5 to 17 years:!!No self-care difficulty</t>
  </si>
  <si>
    <t>B18106_006</t>
  </si>
  <si>
    <t>B18106_007</t>
  </si>
  <si>
    <t>Estimate!!Total:!!Male:!!18 to 34 years:!!With a self-care difficulty</t>
  </si>
  <si>
    <t>B18106_008</t>
  </si>
  <si>
    <t>Estimate!!Total:!!Male:!!18 to 34 years:!!No self-care difficulty</t>
  </si>
  <si>
    <t>B18106_009</t>
  </si>
  <si>
    <t>B18106_010</t>
  </si>
  <si>
    <t>Estimate!!Total:!!Male:!!35 to 64 years:!!With a self-care difficulty</t>
  </si>
  <si>
    <t>B18106_011</t>
  </si>
  <si>
    <t>Estimate!!Total:!!Male:!!35 to 64 years:!!No self-care difficulty</t>
  </si>
  <si>
    <t>B18106_012</t>
  </si>
  <si>
    <t>B18106_013</t>
  </si>
  <si>
    <t>Estimate!!Total:!!Male:!!65 to 74 years:!!With a self-care difficulty</t>
  </si>
  <si>
    <t>B18106_014</t>
  </si>
  <si>
    <t>Estimate!!Total:!!Male:!!65 to 74 years:!!No self-care difficulty</t>
  </si>
  <si>
    <t>B18106_015</t>
  </si>
  <si>
    <t>B18106_016</t>
  </si>
  <si>
    <t>Estimate!!Total:!!Male:!!75 years and over:!!With a self-care difficulty</t>
  </si>
  <si>
    <t>B18106_017</t>
  </si>
  <si>
    <t>Estimate!!Total:!!Male:!!75 years and over:!!No self-care difficulty</t>
  </si>
  <si>
    <t>B18106_018</t>
  </si>
  <si>
    <t>B18106_019</t>
  </si>
  <si>
    <t>B18106_020</t>
  </si>
  <si>
    <t>Estimate!!Total:!!Female:!!5 to 17 years:!!With a self-care difficulty</t>
  </si>
  <si>
    <t>B18106_021</t>
  </si>
  <si>
    <t>Estimate!!Total:!!Female:!!5 to 17 years:!!No self-care difficulty</t>
  </si>
  <si>
    <t>B18106_022</t>
  </si>
  <si>
    <t>B18106_023</t>
  </si>
  <si>
    <t>Estimate!!Total:!!Female:!!18 to 34 years:!!With a self-care difficulty</t>
  </si>
  <si>
    <t>B18106_024</t>
  </si>
  <si>
    <t>Estimate!!Total:!!Female:!!18 to 34 years:!!No self-care difficulty</t>
  </si>
  <si>
    <t>B18106_025</t>
  </si>
  <si>
    <t>B18106_026</t>
  </si>
  <si>
    <t>Estimate!!Total:!!Female:!!35 to 64 years:!!With a self-care difficulty</t>
  </si>
  <si>
    <t>B18106_027</t>
  </si>
  <si>
    <t>Estimate!!Total:!!Female:!!35 to 64 years:!!No self-care difficulty</t>
  </si>
  <si>
    <t>B18106_028</t>
  </si>
  <si>
    <t>B18106_029</t>
  </si>
  <si>
    <t>Estimate!!Total:!!Female:!!65 to 74 years:!!With a self-care difficulty</t>
  </si>
  <si>
    <t>B18106_030</t>
  </si>
  <si>
    <t>Estimate!!Total:!!Female:!!65 to 74 years:!!No self-care difficulty</t>
  </si>
  <si>
    <t>B18106_031</t>
  </si>
  <si>
    <t>B18106_032</t>
  </si>
  <si>
    <t>Estimate!!Total:!!Female:!!75 years and over:!!With a self-care difficulty</t>
  </si>
  <si>
    <t>B18106_033</t>
  </si>
  <si>
    <t>Estimate!!Total:!!Female:!!75 years and over:!!No self-care difficulty</t>
  </si>
  <si>
    <t>B18107_002</t>
  </si>
  <si>
    <t>B18107_003</t>
  </si>
  <si>
    <t>B18107_004</t>
  </si>
  <si>
    <t>Estimate!!Total:!!Male:!!18 to 34 years:!!With an independent living difficulty</t>
  </si>
  <si>
    <t>B18107_005</t>
  </si>
  <si>
    <t>Estimate!!Total:!!Male:!!18 to 34 years:!!No independent living difficulty</t>
  </si>
  <si>
    <t>B18107_006</t>
  </si>
  <si>
    <t>B18107_007</t>
  </si>
  <si>
    <t>Estimate!!Total:!!Male:!!35 to 64 years:!!With an independent living difficulty</t>
  </si>
  <si>
    <t>B18107_008</t>
  </si>
  <si>
    <t>Estimate!!Total:!!Male:!!35 to 64 years:!!No independent living difficulty</t>
  </si>
  <si>
    <t>B18107_009</t>
  </si>
  <si>
    <t>B18107_010</t>
  </si>
  <si>
    <t>Estimate!!Total:!!Male:!!65 to 74 years:!!With an independent living difficulty</t>
  </si>
  <si>
    <t>B18107_011</t>
  </si>
  <si>
    <t>Estimate!!Total:!!Male:!!65 to 74 years:!!No independent living difficulty</t>
  </si>
  <si>
    <t>B18107_012</t>
  </si>
  <si>
    <t>B18107_013</t>
  </si>
  <si>
    <t>Estimate!!Total:!!Male:!!75 years and over:!!With an independent living difficulty</t>
  </si>
  <si>
    <t>B18107_014</t>
  </si>
  <si>
    <t>Estimate!!Total:!!Male:!!75 years and over:!!No independent living difficulty</t>
  </si>
  <si>
    <t>B18107_015</t>
  </si>
  <si>
    <t>B18107_016</t>
  </si>
  <si>
    <t>B18107_017</t>
  </si>
  <si>
    <t>Estimate!!Total:!!Female:!!18 to 34 years:!!With an independent living difficulty</t>
  </si>
  <si>
    <t>B18107_018</t>
  </si>
  <si>
    <t>Estimate!!Total:!!Female:!!18 to 34 years:!!No independent living difficulty</t>
  </si>
  <si>
    <t>B18107_019</t>
  </si>
  <si>
    <t>B18107_020</t>
  </si>
  <si>
    <t>Estimate!!Total:!!Female:!!35 to 64 years:!!With an independent living difficulty</t>
  </si>
  <si>
    <t>B18107_021</t>
  </si>
  <si>
    <t>Estimate!!Total:!!Female:!!35 to 64 years:!!No independent living difficulty</t>
  </si>
  <si>
    <t>B18107_022</t>
  </si>
  <si>
    <t>B18107_023</t>
  </si>
  <si>
    <t>Estimate!!Total:!!Female:!!65 to 74 years:!!With an independent living difficulty</t>
  </si>
  <si>
    <t>B18107_024</t>
  </si>
  <si>
    <t>Estimate!!Total:!!Female:!!65 to 74 years:!!No independent living difficulty</t>
  </si>
  <si>
    <t>B18107_025</t>
  </si>
  <si>
    <t>B18107_026</t>
  </si>
  <si>
    <t>Estimate!!Total:!!Female:!!75 years and over:!!With an independent living difficulty</t>
  </si>
  <si>
    <t>B18107_027</t>
  </si>
  <si>
    <t>Estimate!!Total:!!Female:!!75 years and over:!!No independent living difficulty</t>
  </si>
  <si>
    <t>B18135_002</t>
  </si>
  <si>
    <t>Estimate!!Total:!!Under 19 years:</t>
  </si>
  <si>
    <t>B18135_003</t>
  </si>
  <si>
    <t>Estimate!!Total:!!Under 19 years:!!With a disability:</t>
  </si>
  <si>
    <t>B18135_004</t>
  </si>
  <si>
    <t>Estimate!!Total:!!Under 19 years:!!With a disability:!!With health insurance coverage:</t>
  </si>
  <si>
    <t>B18135_005</t>
  </si>
  <si>
    <t>Estimate!!Total:!!Under 19 years:!!With a disability:!!With health insurance coverage:!!With private health insurance coverage</t>
  </si>
  <si>
    <t>B18135_006</t>
  </si>
  <si>
    <t>Estimate!!Total:!!Under 19 years:!!With a disability:!!With health insurance coverage:!!With public health coverage</t>
  </si>
  <si>
    <t>B18135_007</t>
  </si>
  <si>
    <t>Estimate!!Total:!!Under 19 years:!!With a disability:!!No health insurance coverage</t>
  </si>
  <si>
    <t>B18135_008</t>
  </si>
  <si>
    <t>Estimate!!Total:!!Under 19 years:!!No disability:</t>
  </si>
  <si>
    <t>B18135_009</t>
  </si>
  <si>
    <t>Estimate!!Total:!!Under 19 years:!!No disability:!!With health insurance coverage:</t>
  </si>
  <si>
    <t>B18135_010</t>
  </si>
  <si>
    <t>Estimate!!Total:!!Under 19 years:!!No disability:!!With health insurance coverage:!!With private health insurance coverage</t>
  </si>
  <si>
    <t>B18135_011</t>
  </si>
  <si>
    <t>Estimate!!Total:!!Under 19 years:!!No disability:!!With health insurance coverage:!!With public health coverage</t>
  </si>
  <si>
    <t>B18135_012</t>
  </si>
  <si>
    <t>Estimate!!Total:!!Under 19 years:!!No disability:!!No health insurance coverage</t>
  </si>
  <si>
    <t>B18135_013</t>
  </si>
  <si>
    <t>Estimate!!Total:!!19 to 64 years:</t>
  </si>
  <si>
    <t>B18135_014</t>
  </si>
  <si>
    <t>Estimate!!Total:!!19 to 64 years:!!With a disability:</t>
  </si>
  <si>
    <t>B18135_015</t>
  </si>
  <si>
    <t>Estimate!!Total:!!19 to 64 years:!!With a disability:!!With health insurance coverage:</t>
  </si>
  <si>
    <t>B18135_016</t>
  </si>
  <si>
    <t>Estimate!!Total:!!19 to 64 years:!!With a disability:!!With health insurance coverage:!!With private health insurance coverage</t>
  </si>
  <si>
    <t>B18135_017</t>
  </si>
  <si>
    <t>Estimate!!Total:!!19 to 64 years:!!With a disability:!!With health insurance coverage:!!With public health coverage</t>
  </si>
  <si>
    <t>B18135_018</t>
  </si>
  <si>
    <t>Estimate!!Total:!!19 to 64 years:!!With a disability:!!No health insurance coverage</t>
  </si>
  <si>
    <t>B18135_019</t>
  </si>
  <si>
    <t>Estimate!!Total:!!19 to 64 years:!!No disability:</t>
  </si>
  <si>
    <t>B18135_020</t>
  </si>
  <si>
    <t>Estimate!!Total:!!19 to 64 years:!!No disability:!!With health insurance coverage:</t>
  </si>
  <si>
    <t>B18135_021</t>
  </si>
  <si>
    <t>Estimate!!Total:!!19 to 64 years:!!No disability:!!With health insurance coverage:!!With private health insurance coverage</t>
  </si>
  <si>
    <t>B18135_022</t>
  </si>
  <si>
    <t>Estimate!!Total:!!19 to 64 years:!!No disability:!!With health insurance coverage:!!With public health coverage</t>
  </si>
  <si>
    <t>B18135_023</t>
  </si>
  <si>
    <t>Estimate!!Total:!!19 to 64 years:!!No disability:!!No health insurance coverage</t>
  </si>
  <si>
    <t>B18135_024</t>
  </si>
  <si>
    <t>B18135_025</t>
  </si>
  <si>
    <t>Estimate!!Total:!!65 years and over:!!With a disability:</t>
  </si>
  <si>
    <t>B18135_026</t>
  </si>
  <si>
    <t>Estimate!!Total:!!65 years and over:!!With a disability:!!With health insurance coverage:</t>
  </si>
  <si>
    <t>B18135_027</t>
  </si>
  <si>
    <t>Estimate!!Total:!!65 years and over:!!With a disability:!!With health insurance coverage:!!With private health insurance coverage</t>
  </si>
  <si>
    <t>B18135_028</t>
  </si>
  <si>
    <t>Estimate!!Total:!!65 years and over:!!With a disability:!!With health insurance coverage:!!With public health coverage</t>
  </si>
  <si>
    <t>B18135_029</t>
  </si>
  <si>
    <t>Estimate!!Total:!!65 years and over:!!With a disability:!!No health insurance coverage</t>
  </si>
  <si>
    <t>B18135_030</t>
  </si>
  <si>
    <t>Estimate!!Total:!!65 years and over:!!No disability:</t>
  </si>
  <si>
    <t>B18135_031</t>
  </si>
  <si>
    <t>Estimate!!Total:!!65 years and over:!!No disability:!!With health insurance coverage:</t>
  </si>
  <si>
    <t>B18135_032</t>
  </si>
  <si>
    <t>Estimate!!Total:!!65 years and over:!!No disability:!!With health insurance coverage:!!With private health insurance coverage</t>
  </si>
  <si>
    <t>B18135_033</t>
  </si>
  <si>
    <t>Estimate!!Total:!!65 years and over:!!No disability:!!With health insurance coverage:!!With public health coverage</t>
  </si>
  <si>
    <t>B18135_034</t>
  </si>
  <si>
    <t>Estimate!!Total:!!65 years and over:!!No disability:!!No health insurance coverage</t>
  </si>
  <si>
    <t>B18140_002</t>
  </si>
  <si>
    <t>Estimate!!Total:!!With a disability:</t>
  </si>
  <si>
    <t>B18140_003</t>
  </si>
  <si>
    <t>Estimate!!Total:!!With a disability:!!Male</t>
  </si>
  <si>
    <t>B18140_004</t>
  </si>
  <si>
    <t>Estimate!!Total:!!With a disability:!!Female</t>
  </si>
  <si>
    <t>B18140_005</t>
  </si>
  <si>
    <t>B18140_006</t>
  </si>
  <si>
    <t>Estimate!!Total:!!No disability:!!Male</t>
  </si>
  <si>
    <t>B18140_007</t>
  </si>
  <si>
    <t>Estimate!!Total:!!No disability:!!Female</t>
  </si>
  <si>
    <t>B19001A_002</t>
  </si>
  <si>
    <t>Estimate!!Total:!!Less than $10,000</t>
  </si>
  <si>
    <t>B19001A_003</t>
  </si>
  <si>
    <t>B19001A_004</t>
  </si>
  <si>
    <t>Estimate!!Total:!!$15,000 to $19,999</t>
  </si>
  <si>
    <t>B19001A_005</t>
  </si>
  <si>
    <t>Estimate!!Total:!!$20,000 to $24,999</t>
  </si>
  <si>
    <t>B19001A_006</t>
  </si>
  <si>
    <t>Estimate!!Total:!!$25,000 to $29,999</t>
  </si>
  <si>
    <t>B19001A_007</t>
  </si>
  <si>
    <t>Estimate!!Total:!!$30,000 to $34,999</t>
  </si>
  <si>
    <t>B19001A_008</t>
  </si>
  <si>
    <t>Estimate!!Total:!!$35,000 to $39,999</t>
  </si>
  <si>
    <t>B19001A_009</t>
  </si>
  <si>
    <t>Estimate!!Total:!!$40,000 to $44,999</t>
  </si>
  <si>
    <t>B19001A_010</t>
  </si>
  <si>
    <t>Estimate!!Total:!!$45,000 to $49,999</t>
  </si>
  <si>
    <t>B19001A_011</t>
  </si>
  <si>
    <t>Estimate!!Total:!!$50,000 to $59,999</t>
  </si>
  <si>
    <t>B19001A_012</t>
  </si>
  <si>
    <t>Estimate!!Total:!!$60,000 to $74,999</t>
  </si>
  <si>
    <t>B19001A_013</t>
  </si>
  <si>
    <t>Estimate!!Total:!!$75,000 to $99,999</t>
  </si>
  <si>
    <t>B19001A_014</t>
  </si>
  <si>
    <t>Estimate!!Total:!!$100,000 to $124,999</t>
  </si>
  <si>
    <t>B19001A_015</t>
  </si>
  <si>
    <t>Estimate!!Total:!!$125,000 to $149,999</t>
  </si>
  <si>
    <t>B19001A_016</t>
  </si>
  <si>
    <t>Estimate!!Total:!!$150,000 to $199,999</t>
  </si>
  <si>
    <t>B19001A_017</t>
  </si>
  <si>
    <t>Estimate!!Total:!!$200,000 or more</t>
  </si>
  <si>
    <t>B19001B_002</t>
  </si>
  <si>
    <t>B19001B_003</t>
  </si>
  <si>
    <t>B19001B_004</t>
  </si>
  <si>
    <t>B19001B_005</t>
  </si>
  <si>
    <t>B19001B_006</t>
  </si>
  <si>
    <t>B19001B_007</t>
  </si>
  <si>
    <t>B19001B_008</t>
  </si>
  <si>
    <t>B19001B_009</t>
  </si>
  <si>
    <t>B19001B_010</t>
  </si>
  <si>
    <t>B19001B_011</t>
  </si>
  <si>
    <t>B19001B_012</t>
  </si>
  <si>
    <t>B19001B_013</t>
  </si>
  <si>
    <t>B19001B_014</t>
  </si>
  <si>
    <t>B19001B_015</t>
  </si>
  <si>
    <t>B19001B_016</t>
  </si>
  <si>
    <t>B19001B_017</t>
  </si>
  <si>
    <t>B19001C_002</t>
  </si>
  <si>
    <t>B19001C_003</t>
  </si>
  <si>
    <t>B19001C_004</t>
  </si>
  <si>
    <t>B19001C_005</t>
  </si>
  <si>
    <t>B19001C_006</t>
  </si>
  <si>
    <t>B19001C_007</t>
  </si>
  <si>
    <t>B19001C_008</t>
  </si>
  <si>
    <t>B19001C_009</t>
  </si>
  <si>
    <t>B19001C_010</t>
  </si>
  <si>
    <t>B19001C_011</t>
  </si>
  <si>
    <t>B19001C_012</t>
  </si>
  <si>
    <t>B19001C_013</t>
  </si>
  <si>
    <t>B19001C_014</t>
  </si>
  <si>
    <t>B19001C_015</t>
  </si>
  <si>
    <t>B19001C_016</t>
  </si>
  <si>
    <t>B19001C_017</t>
  </si>
  <si>
    <t>B19001D_002</t>
  </si>
  <si>
    <t>B19001D_003</t>
  </si>
  <si>
    <t>B19001D_004</t>
  </si>
  <si>
    <t>B19001D_005</t>
  </si>
  <si>
    <t>B19001D_006</t>
  </si>
  <si>
    <t>B19001D_007</t>
  </si>
  <si>
    <t>B19001D_008</t>
  </si>
  <si>
    <t>B19001D_009</t>
  </si>
  <si>
    <t>B19001D_010</t>
  </si>
  <si>
    <t>B19001D_011</t>
  </si>
  <si>
    <t>B19001D_012</t>
  </si>
  <si>
    <t>B19001D_013</t>
  </si>
  <si>
    <t>B19001D_014</t>
  </si>
  <si>
    <t>B19001D_015</t>
  </si>
  <si>
    <t>B19001D_016</t>
  </si>
  <si>
    <t>B19001D_017</t>
  </si>
  <si>
    <t>B19001E_002</t>
  </si>
  <si>
    <t>B19001E_003</t>
  </si>
  <si>
    <t>B19001E_004</t>
  </si>
  <si>
    <t>B19001E_005</t>
  </si>
  <si>
    <t>B19001E_006</t>
  </si>
  <si>
    <t>B19001E_007</t>
  </si>
  <si>
    <t>B19001E_008</t>
  </si>
  <si>
    <t>B19001E_009</t>
  </si>
  <si>
    <t>B19001E_010</t>
  </si>
  <si>
    <t>B19001E_011</t>
  </si>
  <si>
    <t>B19001E_012</t>
  </si>
  <si>
    <t>B19001E_013</t>
  </si>
  <si>
    <t>B19001E_014</t>
  </si>
  <si>
    <t>B19001E_015</t>
  </si>
  <si>
    <t>B19001E_016</t>
  </si>
  <si>
    <t>B19001E_017</t>
  </si>
  <si>
    <t>B19001F_002</t>
  </si>
  <si>
    <t>B19001F_003</t>
  </si>
  <si>
    <t>B19001F_004</t>
  </si>
  <si>
    <t>B19001F_005</t>
  </si>
  <si>
    <t>B19001F_006</t>
  </si>
  <si>
    <t>B19001F_007</t>
  </si>
  <si>
    <t>B19001F_008</t>
  </si>
  <si>
    <t>B19001F_009</t>
  </si>
  <si>
    <t>B19001F_010</t>
  </si>
  <si>
    <t>B19001F_011</t>
  </si>
  <si>
    <t>B19001F_012</t>
  </si>
  <si>
    <t>B19001F_013</t>
  </si>
  <si>
    <t>B19001F_014</t>
  </si>
  <si>
    <t>B19001F_015</t>
  </si>
  <si>
    <t>B19001F_016</t>
  </si>
  <si>
    <t>B19001F_017</t>
  </si>
  <si>
    <t>B19001G_002</t>
  </si>
  <si>
    <t>B19001G_003</t>
  </si>
  <si>
    <t>B19001G_004</t>
  </si>
  <si>
    <t>B19001G_005</t>
  </si>
  <si>
    <t>B19001G_006</t>
  </si>
  <si>
    <t>B19001G_007</t>
  </si>
  <si>
    <t>B19001G_008</t>
  </si>
  <si>
    <t>B19001G_009</t>
  </si>
  <si>
    <t>B19001G_010</t>
  </si>
  <si>
    <t>B19001G_011</t>
  </si>
  <si>
    <t>B19001G_012</t>
  </si>
  <si>
    <t>B19001G_013</t>
  </si>
  <si>
    <t>B19001G_014</t>
  </si>
  <si>
    <t>B19001G_015</t>
  </si>
  <si>
    <t>B19001G_016</t>
  </si>
  <si>
    <t>B19001G_017</t>
  </si>
  <si>
    <t>B19001H_002</t>
  </si>
  <si>
    <t>B19001H_003</t>
  </si>
  <si>
    <t>B19001H_004</t>
  </si>
  <si>
    <t>B19001H_005</t>
  </si>
  <si>
    <t>B19001H_006</t>
  </si>
  <si>
    <t>B19001H_007</t>
  </si>
  <si>
    <t>B19001H_008</t>
  </si>
  <si>
    <t>B19001H_009</t>
  </si>
  <si>
    <t>B19001H_010</t>
  </si>
  <si>
    <t>B19001H_011</t>
  </si>
  <si>
    <t>B19001H_012</t>
  </si>
  <si>
    <t>B19001H_013</t>
  </si>
  <si>
    <t>B19001H_014</t>
  </si>
  <si>
    <t>B19001H_015</t>
  </si>
  <si>
    <t>B19001H_016</t>
  </si>
  <si>
    <t>B19001H_017</t>
  </si>
  <si>
    <t>B19001I_002</t>
  </si>
  <si>
    <t>B19001I_003</t>
  </si>
  <si>
    <t>B19001I_004</t>
  </si>
  <si>
    <t>B19001I_005</t>
  </si>
  <si>
    <t>B19001I_006</t>
  </si>
  <si>
    <t>B19001I_007</t>
  </si>
  <si>
    <t>B19001I_008</t>
  </si>
  <si>
    <t>B19001I_009</t>
  </si>
  <si>
    <t>B19001I_010</t>
  </si>
  <si>
    <t>B19001I_011</t>
  </si>
  <si>
    <t>B19001I_012</t>
  </si>
  <si>
    <t>B19001I_013</t>
  </si>
  <si>
    <t>B19001I_014</t>
  </si>
  <si>
    <t>B19001I_015</t>
  </si>
  <si>
    <t>B19001I_016</t>
  </si>
  <si>
    <t>B19001I_017</t>
  </si>
  <si>
    <t>B19001_002</t>
  </si>
  <si>
    <t>B19001_003</t>
  </si>
  <si>
    <t>B19001_004</t>
  </si>
  <si>
    <t>B19001_005</t>
  </si>
  <si>
    <t>B19001_006</t>
  </si>
  <si>
    <t>B19001_007</t>
  </si>
  <si>
    <t>B19001_008</t>
  </si>
  <si>
    <t>B19001_009</t>
  </si>
  <si>
    <t>B19001_010</t>
  </si>
  <si>
    <t>B19001_011</t>
  </si>
  <si>
    <t>B19001_012</t>
  </si>
  <si>
    <t>B19001_013</t>
  </si>
  <si>
    <t>B19001_014</t>
  </si>
  <si>
    <t>B19001_015</t>
  </si>
  <si>
    <t>B19001_016</t>
  </si>
  <si>
    <t>B19001_017</t>
  </si>
  <si>
    <t>B19019_002</t>
  </si>
  <si>
    <t>Estimate!!Total:!!1-person households</t>
  </si>
  <si>
    <t>B19019_003</t>
  </si>
  <si>
    <t>Estimate!!Total:!!2-person households</t>
  </si>
  <si>
    <t>B19019_004</t>
  </si>
  <si>
    <t>Estimate!!Total:!!3-person households</t>
  </si>
  <si>
    <t>B19019_005</t>
  </si>
  <si>
    <t>Estimate!!Total:!!4-person households</t>
  </si>
  <si>
    <t>B19019_006</t>
  </si>
  <si>
    <t>Estimate!!Total:!!5-person households</t>
  </si>
  <si>
    <t>B19019_007</t>
  </si>
  <si>
    <t>Estimate!!Total:!!6-person households</t>
  </si>
  <si>
    <t>B19019_008</t>
  </si>
  <si>
    <t>Estimate!!Total:!!7-or-more-person households</t>
  </si>
  <si>
    <t>B19037A_002</t>
  </si>
  <si>
    <t>Estimate!!Total:!!Householder under 25 years:</t>
  </si>
  <si>
    <t>B19037A_003</t>
  </si>
  <si>
    <t>Estimate!!Total:!!Householder under 25 years:!!Less than $10,000</t>
  </si>
  <si>
    <t>B19037A_004</t>
  </si>
  <si>
    <t>Estimate!!Total:!!Householder under 25 years:!!$10,000 to $14,999</t>
  </si>
  <si>
    <t>B19037A_005</t>
  </si>
  <si>
    <t>Estimate!!Total:!!Householder under 25 years:!!$15,000 to $19,999</t>
  </si>
  <si>
    <t>B19037A_006</t>
  </si>
  <si>
    <t>Estimate!!Total:!!Householder under 25 years:!!$20,000 to $24,999</t>
  </si>
  <si>
    <t>B19037A_007</t>
  </si>
  <si>
    <t>Estimate!!Total:!!Householder under 25 years:!!$25,000 to $29,999</t>
  </si>
  <si>
    <t>B19037A_008</t>
  </si>
  <si>
    <t>Estimate!!Total:!!Householder under 25 years:!!$30,000 to $34,999</t>
  </si>
  <si>
    <t>B19037A_009</t>
  </si>
  <si>
    <t>Estimate!!Total:!!Householder under 25 years:!!$35,000 to $39,999</t>
  </si>
  <si>
    <t>B19037A_010</t>
  </si>
  <si>
    <t>Estimate!!Total:!!Householder under 25 years:!!$40,000 to $44,999</t>
  </si>
  <si>
    <t>B19037A_011</t>
  </si>
  <si>
    <t>Estimate!!Total:!!Householder under 25 years:!!$45,000 to $49,999</t>
  </si>
  <si>
    <t>B19037A_012</t>
  </si>
  <si>
    <t>Estimate!!Total:!!Householder under 25 years:!!$50,000 to $59,999</t>
  </si>
  <si>
    <t>B19037A_013</t>
  </si>
  <si>
    <t>Estimate!!Total:!!Householder under 25 years:!!$60,000 to $74,999</t>
  </si>
  <si>
    <t>B19037A_014</t>
  </si>
  <si>
    <t>Estimate!!Total:!!Householder under 25 years:!!$75,000 to $99,999</t>
  </si>
  <si>
    <t>B19037A_015</t>
  </si>
  <si>
    <t>Estimate!!Total:!!Householder under 25 years:!!$100,000 to $124,999</t>
  </si>
  <si>
    <t>B19037A_016</t>
  </si>
  <si>
    <t>Estimate!!Total:!!Householder under 25 years:!!$125,000 to $149,999</t>
  </si>
  <si>
    <t>B19037A_017</t>
  </si>
  <si>
    <t>Estimate!!Total:!!Householder under 25 years:!!$150,000 to $199,999</t>
  </si>
  <si>
    <t>B19037A_018</t>
  </si>
  <si>
    <t>Estimate!!Total:!!Householder under 25 years:!!$200,000 or more</t>
  </si>
  <si>
    <t>B19037A_019</t>
  </si>
  <si>
    <t>Estimate!!Total:!!Householder 25 to 44 years:</t>
  </si>
  <si>
    <t>B19037A_020</t>
  </si>
  <si>
    <t>Estimate!!Total:!!Householder 25 to 44 years:!!Less than $10,000</t>
  </si>
  <si>
    <t>B19037A_021</t>
  </si>
  <si>
    <t>Estimate!!Total:!!Householder 25 to 44 years:!!$10,000 to $14,999</t>
  </si>
  <si>
    <t>B19037A_022</t>
  </si>
  <si>
    <t>Estimate!!Total:!!Householder 25 to 44 years:!!$15,000 to $19,999</t>
  </si>
  <si>
    <t>B19037A_023</t>
  </si>
  <si>
    <t>Estimate!!Total:!!Householder 25 to 44 years:!!$20,000 to $24,999</t>
  </si>
  <si>
    <t>B19037A_024</t>
  </si>
  <si>
    <t>Estimate!!Total:!!Householder 25 to 44 years:!!$25,000 to $29,999</t>
  </si>
  <si>
    <t>B19037A_025</t>
  </si>
  <si>
    <t>Estimate!!Total:!!Householder 25 to 44 years:!!$30,000 to $34,999</t>
  </si>
  <si>
    <t>B19037A_026</t>
  </si>
  <si>
    <t>Estimate!!Total:!!Householder 25 to 44 years:!!$35,000 to $39,999</t>
  </si>
  <si>
    <t>B19037A_027</t>
  </si>
  <si>
    <t>Estimate!!Total:!!Householder 25 to 44 years:!!$40,000 to $44,999</t>
  </si>
  <si>
    <t>B19037A_028</t>
  </si>
  <si>
    <t>Estimate!!Total:!!Householder 25 to 44 years:!!$45,000 to $49,999</t>
  </si>
  <si>
    <t>B19037A_029</t>
  </si>
  <si>
    <t>Estimate!!Total:!!Householder 25 to 44 years:!!$50,000 to $59,999</t>
  </si>
  <si>
    <t>B19037A_030</t>
  </si>
  <si>
    <t>Estimate!!Total:!!Householder 25 to 44 years:!!$60,000 to $74,999</t>
  </si>
  <si>
    <t>B19037A_031</t>
  </si>
  <si>
    <t>Estimate!!Total:!!Householder 25 to 44 years:!!$75,000 to $99,999</t>
  </si>
  <si>
    <t>B19037A_032</t>
  </si>
  <si>
    <t>Estimate!!Total:!!Householder 25 to 44 years:!!$100,000 to $124,999</t>
  </si>
  <si>
    <t>B19037A_033</t>
  </si>
  <si>
    <t>Estimate!!Total:!!Householder 25 to 44 years:!!$125,000 to $149,999</t>
  </si>
  <si>
    <t>B19037A_034</t>
  </si>
  <si>
    <t>Estimate!!Total:!!Householder 25 to 44 years:!!$150,000 to $199,999</t>
  </si>
  <si>
    <t>B19037A_035</t>
  </si>
  <si>
    <t>Estimate!!Total:!!Householder 25 to 44 years:!!$200,000 or more</t>
  </si>
  <si>
    <t>B19037A_036</t>
  </si>
  <si>
    <t>Estimate!!Total:!!Householder 45 to 64 years:</t>
  </si>
  <si>
    <t>B19037A_037</t>
  </si>
  <si>
    <t>Estimate!!Total:!!Householder 45 to 64 years:!!Less than $10,000</t>
  </si>
  <si>
    <t>B19037A_038</t>
  </si>
  <si>
    <t>Estimate!!Total:!!Householder 45 to 64 years:!!$10,000 to $14,999</t>
  </si>
  <si>
    <t>B19037A_039</t>
  </si>
  <si>
    <t>Estimate!!Total:!!Householder 45 to 64 years:!!$15,000 to $19,999</t>
  </si>
  <si>
    <t>B19037A_040</t>
  </si>
  <si>
    <t>Estimate!!Total:!!Householder 45 to 64 years:!!$20,000 to $24,999</t>
  </si>
  <si>
    <t>B19037A_041</t>
  </si>
  <si>
    <t>Estimate!!Total:!!Householder 45 to 64 years:!!$25,000 to $29,999</t>
  </si>
  <si>
    <t>B19037A_042</t>
  </si>
  <si>
    <t>Estimate!!Total:!!Householder 45 to 64 years:!!$30,000 to $34,999</t>
  </si>
  <si>
    <t>B19037A_043</t>
  </si>
  <si>
    <t>Estimate!!Total:!!Householder 45 to 64 years:!!$35,000 to $39,999</t>
  </si>
  <si>
    <t>B19037A_044</t>
  </si>
  <si>
    <t>Estimate!!Total:!!Householder 45 to 64 years:!!$40,000 to $44,999</t>
  </si>
  <si>
    <t>B19037A_045</t>
  </si>
  <si>
    <t>Estimate!!Total:!!Householder 45 to 64 years:!!$45,000 to $49,999</t>
  </si>
  <si>
    <t>B19037A_046</t>
  </si>
  <si>
    <t>Estimate!!Total:!!Householder 45 to 64 years:!!$50,000 to $59,999</t>
  </si>
  <si>
    <t>B19037A_047</t>
  </si>
  <si>
    <t>Estimate!!Total:!!Householder 45 to 64 years:!!$60,000 to $74,999</t>
  </si>
  <si>
    <t>B19037A_048</t>
  </si>
  <si>
    <t>Estimate!!Total:!!Householder 45 to 64 years:!!$75,000 to $99,999</t>
  </si>
  <si>
    <t>B19037A_049</t>
  </si>
  <si>
    <t>Estimate!!Total:!!Householder 45 to 64 years:!!$100,000 to $124,999</t>
  </si>
  <si>
    <t>B19037A_050</t>
  </si>
  <si>
    <t>Estimate!!Total:!!Householder 45 to 64 years:!!$125,000 to $149,999</t>
  </si>
  <si>
    <t>B19037A_051</t>
  </si>
  <si>
    <t>Estimate!!Total:!!Householder 45 to 64 years:!!$150,000 to $199,999</t>
  </si>
  <si>
    <t>B19037A_052</t>
  </si>
  <si>
    <t>Estimate!!Total:!!Householder 45 to 64 years:!!$200,000 or more</t>
  </si>
  <si>
    <t>B19037A_053</t>
  </si>
  <si>
    <t>Estimate!!Total:!!Householder 65 years and over:</t>
  </si>
  <si>
    <t>B19037A_054</t>
  </si>
  <si>
    <t>Estimate!!Total:!!Householder 65 years and over:!!Less than $10,000</t>
  </si>
  <si>
    <t>B19037A_055</t>
  </si>
  <si>
    <t>Estimate!!Total:!!Householder 65 years and over:!!$10,000 to $14,999</t>
  </si>
  <si>
    <t>B19037A_056</t>
  </si>
  <si>
    <t>Estimate!!Total:!!Householder 65 years and over:!!$15,000 to $19,999</t>
  </si>
  <si>
    <t>B19037A_057</t>
  </si>
  <si>
    <t>Estimate!!Total:!!Householder 65 years and over:!!$20,000 to $24,999</t>
  </si>
  <si>
    <t>B19037A_058</t>
  </si>
  <si>
    <t>Estimate!!Total:!!Householder 65 years and over:!!$25,000 to $29,999</t>
  </si>
  <si>
    <t>B19037A_059</t>
  </si>
  <si>
    <t>Estimate!!Total:!!Householder 65 years and over:!!$30,000 to $34,999</t>
  </si>
  <si>
    <t>B19037A_060</t>
  </si>
  <si>
    <t>Estimate!!Total:!!Householder 65 years and over:!!$35,000 to $39,999</t>
  </si>
  <si>
    <t>B19037A_061</t>
  </si>
  <si>
    <t>Estimate!!Total:!!Householder 65 years and over:!!$40,000 to $44,999</t>
  </si>
  <si>
    <t>B19037A_062</t>
  </si>
  <si>
    <t>Estimate!!Total:!!Householder 65 years and over:!!$45,000 to $49,999</t>
  </si>
  <si>
    <t>B19037A_063</t>
  </si>
  <si>
    <t>Estimate!!Total:!!Householder 65 years and over:!!$50,000 to $59,999</t>
  </si>
  <si>
    <t>B19037A_064</t>
  </si>
  <si>
    <t>Estimate!!Total:!!Householder 65 years and over:!!$60,000 to $74,999</t>
  </si>
  <si>
    <t>B19037A_065</t>
  </si>
  <si>
    <t>Estimate!!Total:!!Householder 65 years and over:!!$75,000 to $99,999</t>
  </si>
  <si>
    <t>B19037A_066</t>
  </si>
  <si>
    <t>Estimate!!Total:!!Householder 65 years and over:!!$100,000 to $124,999</t>
  </si>
  <si>
    <t>B19037A_067</t>
  </si>
  <si>
    <t>Estimate!!Total:!!Householder 65 years and over:!!$125,000 to $149,999</t>
  </si>
  <si>
    <t>B19037A_068</t>
  </si>
  <si>
    <t>Estimate!!Total:!!Householder 65 years and over:!!$150,000 to $199,999</t>
  </si>
  <si>
    <t>B19037A_069</t>
  </si>
  <si>
    <t>Estimate!!Total:!!Householder 65 years and over:!!$200,000 or more</t>
  </si>
  <si>
    <t>B19037B_002</t>
  </si>
  <si>
    <t>B19037B_003</t>
  </si>
  <si>
    <t>B19037B_004</t>
  </si>
  <si>
    <t>B19037B_005</t>
  </si>
  <si>
    <t>B19037B_006</t>
  </si>
  <si>
    <t>B19037B_007</t>
  </si>
  <si>
    <t>B19037B_008</t>
  </si>
  <si>
    <t>B19037B_009</t>
  </si>
  <si>
    <t>B19037B_010</t>
  </si>
  <si>
    <t>B19037B_011</t>
  </si>
  <si>
    <t>B19037B_012</t>
  </si>
  <si>
    <t>B19037B_013</t>
  </si>
  <si>
    <t>B19037B_014</t>
  </si>
  <si>
    <t>B19037B_015</t>
  </si>
  <si>
    <t>B19037B_016</t>
  </si>
  <si>
    <t>B19037B_017</t>
  </si>
  <si>
    <t>B19037B_018</t>
  </si>
  <si>
    <t>B19037B_019</t>
  </si>
  <si>
    <t>B19037B_020</t>
  </si>
  <si>
    <t>B19037B_021</t>
  </si>
  <si>
    <t>B19037B_022</t>
  </si>
  <si>
    <t>B19037B_023</t>
  </si>
  <si>
    <t>B19037B_024</t>
  </si>
  <si>
    <t>B19037B_025</t>
  </si>
  <si>
    <t>B19037B_026</t>
  </si>
  <si>
    <t>B19037B_027</t>
  </si>
  <si>
    <t>B19037B_028</t>
  </si>
  <si>
    <t>B19037B_029</t>
  </si>
  <si>
    <t>B19037B_030</t>
  </si>
  <si>
    <t>B19037B_031</t>
  </si>
  <si>
    <t>B19037B_032</t>
  </si>
  <si>
    <t>B19037B_033</t>
  </si>
  <si>
    <t>B19037B_034</t>
  </si>
  <si>
    <t>B19037B_035</t>
  </si>
  <si>
    <t>B19037B_036</t>
  </si>
  <si>
    <t>B19037B_037</t>
  </si>
  <si>
    <t>B19037B_038</t>
  </si>
  <si>
    <t>B19037B_039</t>
  </si>
  <si>
    <t>B19037B_040</t>
  </si>
  <si>
    <t>B19037B_041</t>
  </si>
  <si>
    <t>B19037B_042</t>
  </si>
  <si>
    <t>B19037B_043</t>
  </si>
  <si>
    <t>B19037B_044</t>
  </si>
  <si>
    <t>B19037B_045</t>
  </si>
  <si>
    <t>B19037B_046</t>
  </si>
  <si>
    <t>B19037B_047</t>
  </si>
  <si>
    <t>B19037B_048</t>
  </si>
  <si>
    <t>B19037B_049</t>
  </si>
  <si>
    <t>B19037B_050</t>
  </si>
  <si>
    <t>B19037B_051</t>
  </si>
  <si>
    <t>B19037B_052</t>
  </si>
  <si>
    <t>B19037B_053</t>
  </si>
  <si>
    <t>B19037B_054</t>
  </si>
  <si>
    <t>B19037B_055</t>
  </si>
  <si>
    <t>B19037B_056</t>
  </si>
  <si>
    <t>B19037B_057</t>
  </si>
  <si>
    <t>B19037B_058</t>
  </si>
  <si>
    <t>B19037B_059</t>
  </si>
  <si>
    <t>B19037B_060</t>
  </si>
  <si>
    <t>B19037B_061</t>
  </si>
  <si>
    <t>B19037B_062</t>
  </si>
  <si>
    <t>B19037B_063</t>
  </si>
  <si>
    <t>B19037B_064</t>
  </si>
  <si>
    <t>B19037B_065</t>
  </si>
  <si>
    <t>B19037B_066</t>
  </si>
  <si>
    <t>B19037B_067</t>
  </si>
  <si>
    <t>B19037B_068</t>
  </si>
  <si>
    <t>B19037B_069</t>
  </si>
  <si>
    <t>B19037C_002</t>
  </si>
  <si>
    <t>B19037C_003</t>
  </si>
  <si>
    <t>B19037C_004</t>
  </si>
  <si>
    <t>B19037C_005</t>
  </si>
  <si>
    <t>B19037C_006</t>
  </si>
  <si>
    <t>B19037C_007</t>
  </si>
  <si>
    <t>B19037C_008</t>
  </si>
  <si>
    <t>B19037C_009</t>
  </si>
  <si>
    <t>B19037C_010</t>
  </si>
  <si>
    <t>B19037C_011</t>
  </si>
  <si>
    <t>B19037C_012</t>
  </si>
  <si>
    <t>B19037C_013</t>
  </si>
  <si>
    <t>B19037C_014</t>
  </si>
  <si>
    <t>B19037C_015</t>
  </si>
  <si>
    <t>B19037C_016</t>
  </si>
  <si>
    <t>B19037C_017</t>
  </si>
  <si>
    <t>B19037C_018</t>
  </si>
  <si>
    <t>B19037C_019</t>
  </si>
  <si>
    <t>B19037C_020</t>
  </si>
  <si>
    <t>B19037C_021</t>
  </si>
  <si>
    <t>B19037C_022</t>
  </si>
  <si>
    <t>B19037C_023</t>
  </si>
  <si>
    <t>B19037C_024</t>
  </si>
  <si>
    <t>B19037C_025</t>
  </si>
  <si>
    <t>B19037C_026</t>
  </si>
  <si>
    <t>B19037C_027</t>
  </si>
  <si>
    <t>B19037C_028</t>
  </si>
  <si>
    <t>B19037C_029</t>
  </si>
  <si>
    <t>B19037C_030</t>
  </si>
  <si>
    <t>B19037C_031</t>
  </si>
  <si>
    <t>B19037C_032</t>
  </si>
  <si>
    <t>B19037C_033</t>
  </si>
  <si>
    <t>B19037C_034</t>
  </si>
  <si>
    <t>B19037C_035</t>
  </si>
  <si>
    <t>B19037C_036</t>
  </si>
  <si>
    <t>B19037C_037</t>
  </si>
  <si>
    <t>B19037C_038</t>
  </si>
  <si>
    <t>B19037C_039</t>
  </si>
  <si>
    <t>B19037C_040</t>
  </si>
  <si>
    <t>B19037C_041</t>
  </si>
  <si>
    <t>B19037C_042</t>
  </si>
  <si>
    <t>B19037C_043</t>
  </si>
  <si>
    <t>B19037C_044</t>
  </si>
  <si>
    <t>B19037C_045</t>
  </si>
  <si>
    <t>B19037C_046</t>
  </si>
  <si>
    <t>B19037C_047</t>
  </si>
  <si>
    <t>B19037C_048</t>
  </si>
  <si>
    <t>B19037C_049</t>
  </si>
  <si>
    <t>B19037C_050</t>
  </si>
  <si>
    <t>B19037C_051</t>
  </si>
  <si>
    <t>B19037C_052</t>
  </si>
  <si>
    <t>B19037C_053</t>
  </si>
  <si>
    <t>B19037C_054</t>
  </si>
  <si>
    <t>B19037C_055</t>
  </si>
  <si>
    <t>B19037C_056</t>
  </si>
  <si>
    <t>B19037C_057</t>
  </si>
  <si>
    <t>B19037C_058</t>
  </si>
  <si>
    <t>B19037C_059</t>
  </si>
  <si>
    <t>B19037C_060</t>
  </si>
  <si>
    <t>B19037C_061</t>
  </si>
  <si>
    <t>B19037C_062</t>
  </si>
  <si>
    <t>B19037C_063</t>
  </si>
  <si>
    <t>B19037C_064</t>
  </si>
  <si>
    <t>B19037C_065</t>
  </si>
  <si>
    <t>B19037C_066</t>
  </si>
  <si>
    <t>B19037C_067</t>
  </si>
  <si>
    <t>B19037C_068</t>
  </si>
  <si>
    <t>B19037C_069</t>
  </si>
  <si>
    <t>B19037D_002</t>
  </si>
  <si>
    <t>B19037D_003</t>
  </si>
  <si>
    <t>B19037D_004</t>
  </si>
  <si>
    <t>B19037D_005</t>
  </si>
  <si>
    <t>B19037D_006</t>
  </si>
  <si>
    <t>B19037D_007</t>
  </si>
  <si>
    <t>B19037D_008</t>
  </si>
  <si>
    <t>B19037D_009</t>
  </si>
  <si>
    <t>B19037D_010</t>
  </si>
  <si>
    <t>B19037D_011</t>
  </si>
  <si>
    <t>B19037D_012</t>
  </si>
  <si>
    <t>B19037D_013</t>
  </si>
  <si>
    <t>B19037D_014</t>
  </si>
  <si>
    <t>B19037D_015</t>
  </si>
  <si>
    <t>B19037D_016</t>
  </si>
  <si>
    <t>B19037D_017</t>
  </si>
  <si>
    <t>B19037D_018</t>
  </si>
  <si>
    <t>B19037D_019</t>
  </si>
  <si>
    <t>B19037D_020</t>
  </si>
  <si>
    <t>B19037D_021</t>
  </si>
  <si>
    <t>B19037D_022</t>
  </si>
  <si>
    <t>B19037D_023</t>
  </si>
  <si>
    <t>B19037D_024</t>
  </si>
  <si>
    <t>B19037D_025</t>
  </si>
  <si>
    <t>B19037D_026</t>
  </si>
  <si>
    <t>B19037D_027</t>
  </si>
  <si>
    <t>B19037D_028</t>
  </si>
  <si>
    <t>B19037D_029</t>
  </si>
  <si>
    <t>B19037D_030</t>
  </si>
  <si>
    <t>B19037D_031</t>
  </si>
  <si>
    <t>B19037D_032</t>
  </si>
  <si>
    <t>B19037D_033</t>
  </si>
  <si>
    <t>B19037D_034</t>
  </si>
  <si>
    <t>B19037D_035</t>
  </si>
  <si>
    <t>B19037D_036</t>
  </si>
  <si>
    <t>B19037D_037</t>
  </si>
  <si>
    <t>B19037D_038</t>
  </si>
  <si>
    <t>B19037D_039</t>
  </si>
  <si>
    <t>B19037D_040</t>
  </si>
  <si>
    <t>B19037D_041</t>
  </si>
  <si>
    <t>B19037D_042</t>
  </si>
  <si>
    <t>B19037D_043</t>
  </si>
  <si>
    <t>B19037D_044</t>
  </si>
  <si>
    <t>B19037D_045</t>
  </si>
  <si>
    <t>B19037D_046</t>
  </si>
  <si>
    <t>B19037D_047</t>
  </si>
  <si>
    <t>B19037D_048</t>
  </si>
  <si>
    <t>B19037D_049</t>
  </si>
  <si>
    <t>B19037D_050</t>
  </si>
  <si>
    <t>B19037D_051</t>
  </si>
  <si>
    <t>B19037D_052</t>
  </si>
  <si>
    <t>B19037D_053</t>
  </si>
  <si>
    <t>B19037D_054</t>
  </si>
  <si>
    <t>B19037D_055</t>
  </si>
  <si>
    <t>B19037D_056</t>
  </si>
  <si>
    <t>B19037D_057</t>
  </si>
  <si>
    <t>B19037D_058</t>
  </si>
  <si>
    <t>B19037D_059</t>
  </si>
  <si>
    <t>B19037D_060</t>
  </si>
  <si>
    <t>B19037D_061</t>
  </si>
  <si>
    <t>B19037D_062</t>
  </si>
  <si>
    <t>B19037D_063</t>
  </si>
  <si>
    <t>B19037D_064</t>
  </si>
  <si>
    <t>B19037D_065</t>
  </si>
  <si>
    <t>B19037D_066</t>
  </si>
  <si>
    <t>B19037D_067</t>
  </si>
  <si>
    <t>B19037D_068</t>
  </si>
  <si>
    <t>B19037D_069</t>
  </si>
  <si>
    <t>B19037E_002</t>
  </si>
  <si>
    <t>B19037E_003</t>
  </si>
  <si>
    <t>B19037E_004</t>
  </si>
  <si>
    <t>B19037E_005</t>
  </si>
  <si>
    <t>B19037E_006</t>
  </si>
  <si>
    <t>B19037E_007</t>
  </si>
  <si>
    <t>B19037E_008</t>
  </si>
  <si>
    <t>B19037E_009</t>
  </si>
  <si>
    <t>B19037E_010</t>
  </si>
  <si>
    <t>B19037E_011</t>
  </si>
  <si>
    <t>B19037E_012</t>
  </si>
  <si>
    <t>B19037E_013</t>
  </si>
  <si>
    <t>B19037E_014</t>
  </si>
  <si>
    <t>B19037E_015</t>
  </si>
  <si>
    <t>B19037E_016</t>
  </si>
  <si>
    <t>B19037E_017</t>
  </si>
  <si>
    <t>B19037E_018</t>
  </si>
  <si>
    <t>B19037E_019</t>
  </si>
  <si>
    <t>B19037E_020</t>
  </si>
  <si>
    <t>B19037E_021</t>
  </si>
  <si>
    <t>B19037E_022</t>
  </si>
  <si>
    <t>B19037E_023</t>
  </si>
  <si>
    <t>B19037E_024</t>
  </si>
  <si>
    <t>B19037E_025</t>
  </si>
  <si>
    <t>B19037E_026</t>
  </si>
  <si>
    <t>B19037E_027</t>
  </si>
  <si>
    <t>B19037E_028</t>
  </si>
  <si>
    <t>B19037E_029</t>
  </si>
  <si>
    <t>B19037E_030</t>
  </si>
  <si>
    <t>B19037E_031</t>
  </si>
  <si>
    <t>B19037E_032</t>
  </si>
  <si>
    <t>B19037E_033</t>
  </si>
  <si>
    <t>B19037E_034</t>
  </si>
  <si>
    <t>B19037E_035</t>
  </si>
  <si>
    <t>B19037E_036</t>
  </si>
  <si>
    <t>B19037E_037</t>
  </si>
  <si>
    <t>B19037E_038</t>
  </si>
  <si>
    <t>B19037E_039</t>
  </si>
  <si>
    <t>B19037E_040</t>
  </si>
  <si>
    <t>B19037E_041</t>
  </si>
  <si>
    <t>B19037E_042</t>
  </si>
  <si>
    <t>B19037E_043</t>
  </si>
  <si>
    <t>B19037E_044</t>
  </si>
  <si>
    <t>B19037E_045</t>
  </si>
  <si>
    <t>B19037E_046</t>
  </si>
  <si>
    <t>B19037E_047</t>
  </si>
  <si>
    <t>B19037E_048</t>
  </si>
  <si>
    <t>B19037E_049</t>
  </si>
  <si>
    <t>B19037E_050</t>
  </si>
  <si>
    <t>B19037E_051</t>
  </si>
  <si>
    <t>B19037E_052</t>
  </si>
  <si>
    <t>B19037E_053</t>
  </si>
  <si>
    <t>B19037E_054</t>
  </si>
  <si>
    <t>B19037E_055</t>
  </si>
  <si>
    <t>B19037E_056</t>
  </si>
  <si>
    <t>B19037E_057</t>
  </si>
  <si>
    <t>B19037E_058</t>
  </si>
  <si>
    <t>B19037E_059</t>
  </si>
  <si>
    <t>B19037E_060</t>
  </si>
  <si>
    <t>B19037E_061</t>
  </si>
  <si>
    <t>B19037E_062</t>
  </si>
  <si>
    <t>B19037E_063</t>
  </si>
  <si>
    <t>B19037E_064</t>
  </si>
  <si>
    <t>B19037E_065</t>
  </si>
  <si>
    <t>B19037E_066</t>
  </si>
  <si>
    <t>B19037E_067</t>
  </si>
  <si>
    <t>B19037E_068</t>
  </si>
  <si>
    <t>B19037E_069</t>
  </si>
  <si>
    <t>B19037F_002</t>
  </si>
  <si>
    <t>B19037F_003</t>
  </si>
  <si>
    <t>B19037F_004</t>
  </si>
  <si>
    <t>B19037F_005</t>
  </si>
  <si>
    <t>B19037F_006</t>
  </si>
  <si>
    <t>B19037F_007</t>
  </si>
  <si>
    <t>B19037F_008</t>
  </si>
  <si>
    <t>B19037F_009</t>
  </si>
  <si>
    <t>B19037F_010</t>
  </si>
  <si>
    <t>B19037F_011</t>
  </si>
  <si>
    <t>B19037F_012</t>
  </si>
  <si>
    <t>B19037F_013</t>
  </si>
  <si>
    <t>B19037F_014</t>
  </si>
  <si>
    <t>B19037F_015</t>
  </si>
  <si>
    <t>B19037F_016</t>
  </si>
  <si>
    <t>B19037F_017</t>
  </si>
  <si>
    <t>B19037F_018</t>
  </si>
  <si>
    <t>B19037F_019</t>
  </si>
  <si>
    <t>B19037F_020</t>
  </si>
  <si>
    <t>B19037F_021</t>
  </si>
  <si>
    <t>B19037F_022</t>
  </si>
  <si>
    <t>B19037F_023</t>
  </si>
  <si>
    <t>B19037F_024</t>
  </si>
  <si>
    <t>B19037F_025</t>
  </si>
  <si>
    <t>B19037F_026</t>
  </si>
  <si>
    <t>B19037F_027</t>
  </si>
  <si>
    <t>B19037F_028</t>
  </si>
  <si>
    <t>B19037F_029</t>
  </si>
  <si>
    <t>B19037F_030</t>
  </si>
  <si>
    <t>B19037F_031</t>
  </si>
  <si>
    <t>B19037F_032</t>
  </si>
  <si>
    <t>B19037F_033</t>
  </si>
  <si>
    <t>B19037F_034</t>
  </si>
  <si>
    <t>B19037F_035</t>
  </si>
  <si>
    <t>B19037F_036</t>
  </si>
  <si>
    <t>B19037F_037</t>
  </si>
  <si>
    <t>B19037F_038</t>
  </si>
  <si>
    <t>B19037F_039</t>
  </si>
  <si>
    <t>B19037F_040</t>
  </si>
  <si>
    <t>B19037F_041</t>
  </si>
  <si>
    <t>B19037F_042</t>
  </si>
  <si>
    <t>B19037F_043</t>
  </si>
  <si>
    <t>B19037F_044</t>
  </si>
  <si>
    <t>B19037F_045</t>
  </si>
  <si>
    <t>B19037F_046</t>
  </si>
  <si>
    <t>B19037F_047</t>
  </si>
  <si>
    <t>B19037F_048</t>
  </si>
  <si>
    <t>B19037F_049</t>
  </si>
  <si>
    <t>B19037F_050</t>
  </si>
  <si>
    <t>B19037F_051</t>
  </si>
  <si>
    <t>B19037F_052</t>
  </si>
  <si>
    <t>B19037F_053</t>
  </si>
  <si>
    <t>B19037F_054</t>
  </si>
  <si>
    <t>B19037F_055</t>
  </si>
  <si>
    <t>B19037F_056</t>
  </si>
  <si>
    <t>B19037F_057</t>
  </si>
  <si>
    <t>B19037F_058</t>
  </si>
  <si>
    <t>B19037F_059</t>
  </si>
  <si>
    <t>B19037F_060</t>
  </si>
  <si>
    <t>B19037F_061</t>
  </si>
  <si>
    <t>B19037F_062</t>
  </si>
  <si>
    <t>B19037F_063</t>
  </si>
  <si>
    <t>B19037F_064</t>
  </si>
  <si>
    <t>B19037F_065</t>
  </si>
  <si>
    <t>B19037F_066</t>
  </si>
  <si>
    <t>B19037F_067</t>
  </si>
  <si>
    <t>B19037F_068</t>
  </si>
  <si>
    <t>B19037F_069</t>
  </si>
  <si>
    <t>B19037G_002</t>
  </si>
  <si>
    <t>B19037G_003</t>
  </si>
  <si>
    <t>B19037G_004</t>
  </si>
  <si>
    <t>B19037G_005</t>
  </si>
  <si>
    <t>B19037G_006</t>
  </si>
  <si>
    <t>B19037G_007</t>
  </si>
  <si>
    <t>B19037G_008</t>
  </si>
  <si>
    <t>B19037G_009</t>
  </si>
  <si>
    <t>B19037G_010</t>
  </si>
  <si>
    <t>B19037G_011</t>
  </si>
  <si>
    <t>B19037G_012</t>
  </si>
  <si>
    <t>B19037G_013</t>
  </si>
  <si>
    <t>B19037G_014</t>
  </si>
  <si>
    <t>B19037G_015</t>
  </si>
  <si>
    <t>B19037G_016</t>
  </si>
  <si>
    <t>B19037G_017</t>
  </si>
  <si>
    <t>B19037G_018</t>
  </si>
  <si>
    <t>B19037G_019</t>
  </si>
  <si>
    <t>B19037G_020</t>
  </si>
  <si>
    <t>B19037G_021</t>
  </si>
  <si>
    <t>B19037G_022</t>
  </si>
  <si>
    <t>B19037G_023</t>
  </si>
  <si>
    <t>B19037G_024</t>
  </si>
  <si>
    <t>B19037G_025</t>
  </si>
  <si>
    <t>B19037G_026</t>
  </si>
  <si>
    <t>B19037G_027</t>
  </si>
  <si>
    <t>B19037G_028</t>
  </si>
  <si>
    <t>B19037G_029</t>
  </si>
  <si>
    <t>B19037G_030</t>
  </si>
  <si>
    <t>B19037G_031</t>
  </si>
  <si>
    <t>B19037G_032</t>
  </si>
  <si>
    <t>B19037G_033</t>
  </si>
  <si>
    <t>B19037G_034</t>
  </si>
  <si>
    <t>B19037G_035</t>
  </si>
  <si>
    <t>B19037G_036</t>
  </si>
  <si>
    <t>B19037G_037</t>
  </si>
  <si>
    <t>B19037G_038</t>
  </si>
  <si>
    <t>B19037G_039</t>
  </si>
  <si>
    <t>B19037G_040</t>
  </si>
  <si>
    <t>B19037G_041</t>
  </si>
  <si>
    <t>B19037G_042</t>
  </si>
  <si>
    <t>B19037G_043</t>
  </si>
  <si>
    <t>B19037G_044</t>
  </si>
  <si>
    <t>B19037G_045</t>
  </si>
  <si>
    <t>B19037G_046</t>
  </si>
  <si>
    <t>B19037G_047</t>
  </si>
  <si>
    <t>B19037G_048</t>
  </si>
  <si>
    <t>B19037G_049</t>
  </si>
  <si>
    <t>B19037G_050</t>
  </si>
  <si>
    <t>B19037G_051</t>
  </si>
  <si>
    <t>B19037G_052</t>
  </si>
  <si>
    <t>B19037G_053</t>
  </si>
  <si>
    <t>B19037G_054</t>
  </si>
  <si>
    <t>B19037G_055</t>
  </si>
  <si>
    <t>B19037G_056</t>
  </si>
  <si>
    <t>B19037G_057</t>
  </si>
  <si>
    <t>B19037G_058</t>
  </si>
  <si>
    <t>B19037G_059</t>
  </si>
  <si>
    <t>B19037G_060</t>
  </si>
  <si>
    <t>B19037G_061</t>
  </si>
  <si>
    <t>B19037G_062</t>
  </si>
  <si>
    <t>B19037G_063</t>
  </si>
  <si>
    <t>B19037G_064</t>
  </si>
  <si>
    <t>B19037G_065</t>
  </si>
  <si>
    <t>B19037G_066</t>
  </si>
  <si>
    <t>B19037G_067</t>
  </si>
  <si>
    <t>B19037G_068</t>
  </si>
  <si>
    <t>B19037G_069</t>
  </si>
  <si>
    <t>B19037H_002</t>
  </si>
  <si>
    <t>B19037H_003</t>
  </si>
  <si>
    <t>B19037H_004</t>
  </si>
  <si>
    <t>B19037H_005</t>
  </si>
  <si>
    <t>B19037H_006</t>
  </si>
  <si>
    <t>B19037H_007</t>
  </si>
  <si>
    <t>B19037H_008</t>
  </si>
  <si>
    <t>B19037H_009</t>
  </si>
  <si>
    <t>B19037H_010</t>
  </si>
  <si>
    <t>B19037H_011</t>
  </si>
  <si>
    <t>B19037H_012</t>
  </si>
  <si>
    <t>B19037H_013</t>
  </si>
  <si>
    <t>B19037H_014</t>
  </si>
  <si>
    <t>B19037H_015</t>
  </si>
  <si>
    <t>B19037H_016</t>
  </si>
  <si>
    <t>B19037H_017</t>
  </si>
  <si>
    <t>B19037H_018</t>
  </si>
  <si>
    <t>B19037H_019</t>
  </si>
  <si>
    <t>B19037H_020</t>
  </si>
  <si>
    <t>B19037H_021</t>
  </si>
  <si>
    <t>B19037H_022</t>
  </si>
  <si>
    <t>B19037H_023</t>
  </si>
  <si>
    <t>B19037H_024</t>
  </si>
  <si>
    <t>B19037H_025</t>
  </si>
  <si>
    <t>B19037H_026</t>
  </si>
  <si>
    <t>B19037H_027</t>
  </si>
  <si>
    <t>B19037H_028</t>
  </si>
  <si>
    <t>B19037H_029</t>
  </si>
  <si>
    <t>B19037H_030</t>
  </si>
  <si>
    <t>B19037H_031</t>
  </si>
  <si>
    <t>B19037H_032</t>
  </si>
  <si>
    <t>B19037H_033</t>
  </si>
  <si>
    <t>B19037H_034</t>
  </si>
  <si>
    <t>B19037H_035</t>
  </si>
  <si>
    <t>B19037H_036</t>
  </si>
  <si>
    <t>B19037H_037</t>
  </si>
  <si>
    <t>B19037H_038</t>
  </si>
  <si>
    <t>B19037H_039</t>
  </si>
  <si>
    <t>B19037H_040</t>
  </si>
  <si>
    <t>B19037H_041</t>
  </si>
  <si>
    <t>B19037H_042</t>
  </si>
  <si>
    <t>B19037H_043</t>
  </si>
  <si>
    <t>B19037H_044</t>
  </si>
  <si>
    <t>B19037H_045</t>
  </si>
  <si>
    <t>B19037H_046</t>
  </si>
  <si>
    <t>B19037H_047</t>
  </si>
  <si>
    <t>B19037H_048</t>
  </si>
  <si>
    <t>B19037H_049</t>
  </si>
  <si>
    <t>B19037H_050</t>
  </si>
  <si>
    <t>B19037H_051</t>
  </si>
  <si>
    <t>B19037H_052</t>
  </si>
  <si>
    <t>B19037H_053</t>
  </si>
  <si>
    <t>B19037H_054</t>
  </si>
  <si>
    <t>B19037H_055</t>
  </si>
  <si>
    <t>B19037H_056</t>
  </si>
  <si>
    <t>B19037H_057</t>
  </si>
  <si>
    <t>B19037H_058</t>
  </si>
  <si>
    <t>B19037H_059</t>
  </si>
  <si>
    <t>B19037H_060</t>
  </si>
  <si>
    <t>B19037H_061</t>
  </si>
  <si>
    <t>B19037H_062</t>
  </si>
  <si>
    <t>B19037H_063</t>
  </si>
  <si>
    <t>B19037H_064</t>
  </si>
  <si>
    <t>B19037H_065</t>
  </si>
  <si>
    <t>B19037H_066</t>
  </si>
  <si>
    <t>B19037H_067</t>
  </si>
  <si>
    <t>B19037H_068</t>
  </si>
  <si>
    <t>B19037H_069</t>
  </si>
  <si>
    <t>B19037I_002</t>
  </si>
  <si>
    <t>B19037I_003</t>
  </si>
  <si>
    <t>B19037I_004</t>
  </si>
  <si>
    <t>B19037I_005</t>
  </si>
  <si>
    <t>B19037I_006</t>
  </si>
  <si>
    <t>B19037I_007</t>
  </si>
  <si>
    <t>B19037I_008</t>
  </si>
  <si>
    <t>B19037I_009</t>
  </si>
  <si>
    <t>B19037I_010</t>
  </si>
  <si>
    <t>B19037I_011</t>
  </si>
  <si>
    <t>B19037I_012</t>
  </si>
  <si>
    <t>B19037I_013</t>
  </si>
  <si>
    <t>B19037I_014</t>
  </si>
  <si>
    <t>B19037I_015</t>
  </si>
  <si>
    <t>B19037I_016</t>
  </si>
  <si>
    <t>B19037I_017</t>
  </si>
  <si>
    <t>B19037I_018</t>
  </si>
  <si>
    <t>B19037I_019</t>
  </si>
  <si>
    <t>B19037I_020</t>
  </si>
  <si>
    <t>B19037I_021</t>
  </si>
  <si>
    <t>B19037I_022</t>
  </si>
  <si>
    <t>B19037I_023</t>
  </si>
  <si>
    <t>B19037I_024</t>
  </si>
  <si>
    <t>B19037I_025</t>
  </si>
  <si>
    <t>B19037I_026</t>
  </si>
  <si>
    <t>B19037I_027</t>
  </si>
  <si>
    <t>B19037I_028</t>
  </si>
  <si>
    <t>B19037I_029</t>
  </si>
  <si>
    <t>B19037I_030</t>
  </si>
  <si>
    <t>B19037I_031</t>
  </si>
  <si>
    <t>B19037I_032</t>
  </si>
  <si>
    <t>B19037I_033</t>
  </si>
  <si>
    <t>B19037I_034</t>
  </si>
  <si>
    <t>B19037I_035</t>
  </si>
  <si>
    <t>B19037I_036</t>
  </si>
  <si>
    <t>B19037I_037</t>
  </si>
  <si>
    <t>B19037I_038</t>
  </si>
  <si>
    <t>B19037I_039</t>
  </si>
  <si>
    <t>B19037I_040</t>
  </si>
  <si>
    <t>B19037I_041</t>
  </si>
  <si>
    <t>B19037I_042</t>
  </si>
  <si>
    <t>B19037I_043</t>
  </si>
  <si>
    <t>B19037I_044</t>
  </si>
  <si>
    <t>B19037I_045</t>
  </si>
  <si>
    <t>B19037I_046</t>
  </si>
  <si>
    <t>B19037I_047</t>
  </si>
  <si>
    <t>B19037I_048</t>
  </si>
  <si>
    <t>B19037I_049</t>
  </si>
  <si>
    <t>B19037I_050</t>
  </si>
  <si>
    <t>B19037I_051</t>
  </si>
  <si>
    <t>B19037I_052</t>
  </si>
  <si>
    <t>B19037I_053</t>
  </si>
  <si>
    <t>B19037I_054</t>
  </si>
  <si>
    <t>B19037I_055</t>
  </si>
  <si>
    <t>B19037I_056</t>
  </si>
  <si>
    <t>B19037I_057</t>
  </si>
  <si>
    <t>B19037I_058</t>
  </si>
  <si>
    <t>B19037I_059</t>
  </si>
  <si>
    <t>B19037I_060</t>
  </si>
  <si>
    <t>B19037I_061</t>
  </si>
  <si>
    <t>B19037I_062</t>
  </si>
  <si>
    <t>B19037I_063</t>
  </si>
  <si>
    <t>B19037I_064</t>
  </si>
  <si>
    <t>B19037I_065</t>
  </si>
  <si>
    <t>B19037I_066</t>
  </si>
  <si>
    <t>B19037I_067</t>
  </si>
  <si>
    <t>B19037I_068</t>
  </si>
  <si>
    <t>B19037I_069</t>
  </si>
  <si>
    <t>B19037_002</t>
  </si>
  <si>
    <t>B19037_003</t>
  </si>
  <si>
    <t>B19037_004</t>
  </si>
  <si>
    <t>B19037_005</t>
  </si>
  <si>
    <t>B19037_006</t>
  </si>
  <si>
    <t>B19037_007</t>
  </si>
  <si>
    <t>B19037_008</t>
  </si>
  <si>
    <t>B19037_009</t>
  </si>
  <si>
    <t>B19037_010</t>
  </si>
  <si>
    <t>B19037_011</t>
  </si>
  <si>
    <t>B19037_012</t>
  </si>
  <si>
    <t>B19037_013</t>
  </si>
  <si>
    <t>B19037_014</t>
  </si>
  <si>
    <t>B19037_015</t>
  </si>
  <si>
    <t>B19037_016</t>
  </si>
  <si>
    <t>B19037_017</t>
  </si>
  <si>
    <t>B19037_018</t>
  </si>
  <si>
    <t>B19037_019</t>
  </si>
  <si>
    <t>B19037_020</t>
  </si>
  <si>
    <t>B19037_021</t>
  </si>
  <si>
    <t>B19037_022</t>
  </si>
  <si>
    <t>B19037_023</t>
  </si>
  <si>
    <t>B19037_024</t>
  </si>
  <si>
    <t>B19037_025</t>
  </si>
  <si>
    <t>B19037_026</t>
  </si>
  <si>
    <t>B19037_027</t>
  </si>
  <si>
    <t>B19037_028</t>
  </si>
  <si>
    <t>B19037_029</t>
  </si>
  <si>
    <t>B19037_030</t>
  </si>
  <si>
    <t>B19037_031</t>
  </si>
  <si>
    <t>B19037_032</t>
  </si>
  <si>
    <t>B19037_033</t>
  </si>
  <si>
    <t>B19037_034</t>
  </si>
  <si>
    <t>B19037_035</t>
  </si>
  <si>
    <t>B19037_036</t>
  </si>
  <si>
    <t>B19037_037</t>
  </si>
  <si>
    <t>B19037_038</t>
  </si>
  <si>
    <t>B19037_039</t>
  </si>
  <si>
    <t>B19037_040</t>
  </si>
  <si>
    <t>B19037_041</t>
  </si>
  <si>
    <t>B19037_042</t>
  </si>
  <si>
    <t>B19037_043</t>
  </si>
  <si>
    <t>B19037_044</t>
  </si>
  <si>
    <t>B19037_045</t>
  </si>
  <si>
    <t>B19037_046</t>
  </si>
  <si>
    <t>B19037_047</t>
  </si>
  <si>
    <t>B19037_048</t>
  </si>
  <si>
    <t>B19037_049</t>
  </si>
  <si>
    <t>B19037_050</t>
  </si>
  <si>
    <t>B19037_051</t>
  </si>
  <si>
    <t>B19037_052</t>
  </si>
  <si>
    <t>B19037_053</t>
  </si>
  <si>
    <t>B19037_054</t>
  </si>
  <si>
    <t>B19037_055</t>
  </si>
  <si>
    <t>B19037_056</t>
  </si>
  <si>
    <t>B19037_057</t>
  </si>
  <si>
    <t>B19037_058</t>
  </si>
  <si>
    <t>B19037_059</t>
  </si>
  <si>
    <t>B19037_060</t>
  </si>
  <si>
    <t>B19037_061</t>
  </si>
  <si>
    <t>B19037_062</t>
  </si>
  <si>
    <t>B19037_063</t>
  </si>
  <si>
    <t>B19037_064</t>
  </si>
  <si>
    <t>B19037_065</t>
  </si>
  <si>
    <t>B19037_066</t>
  </si>
  <si>
    <t>B19037_067</t>
  </si>
  <si>
    <t>B19037_068</t>
  </si>
  <si>
    <t>B19037_069</t>
  </si>
  <si>
    <t>B19049_002</t>
  </si>
  <si>
    <t>Estimate!!Median household income in the past 12 months (in 2024 inflation-adjusted dollars) --!!Total:!!Householder under 25 years</t>
  </si>
  <si>
    <t>B19049_003</t>
  </si>
  <si>
    <t>Estimate!!Median household income in the past 12 months (in 2024 inflation-adjusted dollars) --!!Total:!!Householder 25 to 44 years</t>
  </si>
  <si>
    <t>B19049_004</t>
  </si>
  <si>
    <t>Estimate!!Median household income in the past 12 months (in 2024 inflation-adjusted dollars) --!!Total:!!Householder 45 to 64 years</t>
  </si>
  <si>
    <t>B19049_005</t>
  </si>
  <si>
    <t>Estimate!!Median household income in the past 12 months (in 2024 inflation-adjusted dollars) --!!Total:!!Householder 65 years and over</t>
  </si>
  <si>
    <t>B19050_002</t>
  </si>
  <si>
    <t>Estimate!!Aggregate household income in the past 12 months (in 2024 inflation-adjusted dollars):!!Householder under 25 years</t>
  </si>
  <si>
    <t>B19050_003</t>
  </si>
  <si>
    <t>Estimate!!Aggregate household income in the past 12 months (in 2024 inflation-adjusted dollars):!!Householder 25 to 44 years</t>
  </si>
  <si>
    <t>B19050_004</t>
  </si>
  <si>
    <t>Estimate!!Aggregate household income in the past 12 months (in 2024 inflation-adjusted dollars):!!Householder 45 to 64 years</t>
  </si>
  <si>
    <t>B19050_005</t>
  </si>
  <si>
    <t>Estimate!!Aggregate household income in the past 12 months (in 2024 inflation-adjusted dollars):!!Householder 65 years and over</t>
  </si>
  <si>
    <t>B19051_002</t>
  </si>
  <si>
    <t>Estimate!!Total:!!With earnings</t>
  </si>
  <si>
    <t>B19051_003</t>
  </si>
  <si>
    <t>Estimate!!Total:!!No earnings</t>
  </si>
  <si>
    <t>B19052_002</t>
  </si>
  <si>
    <t>Estimate!!Total:!!With wage or salary income</t>
  </si>
  <si>
    <t>B19052_003</t>
  </si>
  <si>
    <t>Estimate!!Total:!!No wage or salary income</t>
  </si>
  <si>
    <t>B19053_002</t>
  </si>
  <si>
    <t>Estimate!!Total:!!With self-employment income</t>
  </si>
  <si>
    <t>B19053_003</t>
  </si>
  <si>
    <t>Estimate!!Total:!!No self-employment income</t>
  </si>
  <si>
    <t>B19054_002</t>
  </si>
  <si>
    <t>Estimate!!Total:!!With interest, dividends, or net rental income</t>
  </si>
  <si>
    <t>B19054_003</t>
  </si>
  <si>
    <t>Estimate!!Total:!!No interest, dividends, or net rental income</t>
  </si>
  <si>
    <t>B19055_002</t>
  </si>
  <si>
    <t>Estimate!!Total:!!With Social Security income</t>
  </si>
  <si>
    <t>B19055_003</t>
  </si>
  <si>
    <t>Estimate!!Total:!!No Social Security income</t>
  </si>
  <si>
    <t>B19056_002</t>
  </si>
  <si>
    <t>Estimate!!Total:!!With Supplemental Security Income (SSI)</t>
  </si>
  <si>
    <t>B19056_003</t>
  </si>
  <si>
    <t>Estimate!!Total:!!No Supplemental Security Income (SSI)</t>
  </si>
  <si>
    <t>B19057_002</t>
  </si>
  <si>
    <t>Estimate!!Total:!!With public assistance income</t>
  </si>
  <si>
    <t>B19057_003</t>
  </si>
  <si>
    <t>Estimate!!Total:!!No public assistance income</t>
  </si>
  <si>
    <t>B19058_002</t>
  </si>
  <si>
    <t>Estimate!!Total:!!With cash public assistance or Food Stamps/SNAP</t>
  </si>
  <si>
    <t>B19058_003</t>
  </si>
  <si>
    <t>Estimate!!Total:!!No cash public assistance or Food Stamps/SNAP</t>
  </si>
  <si>
    <t>B19059_002</t>
  </si>
  <si>
    <t>Estimate!!Total:!!With retirement income</t>
  </si>
  <si>
    <t>B19059_003</t>
  </si>
  <si>
    <t>Estimate!!Total:!!No retirement income</t>
  </si>
  <si>
    <t>B19060_002</t>
  </si>
  <si>
    <t>Estimate!!Total:!!With other types of income</t>
  </si>
  <si>
    <t>B19060_003</t>
  </si>
  <si>
    <t>Estimate!!Total:!!No other types of income</t>
  </si>
  <si>
    <t>B19080_002</t>
  </si>
  <si>
    <t>Estimate!!Quintile Upper Limits:!!Second Quintile</t>
  </si>
  <si>
    <t>B19080_003</t>
  </si>
  <si>
    <t>Estimate!!Quintile Upper Limits:!!Third Quintile</t>
  </si>
  <si>
    <t>B19080_004</t>
  </si>
  <si>
    <t>Estimate!!Quintile Upper Limits:!!Fourth Quintile</t>
  </si>
  <si>
    <t>B19080_005</t>
  </si>
  <si>
    <t>Estimate!!Lower Limit of Top 5 Percent</t>
  </si>
  <si>
    <t>B19081_002</t>
  </si>
  <si>
    <t>Estimate!!Quintile Means:!!Second Quintile</t>
  </si>
  <si>
    <t>B19081_003</t>
  </si>
  <si>
    <t>Estimate!!Quintile Means:!!Third Quintile</t>
  </si>
  <si>
    <t>B19081_004</t>
  </si>
  <si>
    <t>Estimate!!Quintile Means:!!Fourth Quintile</t>
  </si>
  <si>
    <t>B19081_005</t>
  </si>
  <si>
    <t>Estimate!!Quintile Means:!!Highest Quintile</t>
  </si>
  <si>
    <t>B19081_006</t>
  </si>
  <si>
    <t>Estimate!!Top 5 Percent</t>
  </si>
  <si>
    <t>B19082_002</t>
  </si>
  <si>
    <t>Estimate!!Quintile Share of Aggregate Income:!!Second Quintile</t>
  </si>
  <si>
    <t>B19082_003</t>
  </si>
  <si>
    <t>Estimate!!Quintile Share of Aggregate Income:!!Third Quintile</t>
  </si>
  <si>
    <t>B19082_004</t>
  </si>
  <si>
    <t>Estimate!!Quintile Share of Aggregate Income:!!Fourth Quintile</t>
  </si>
  <si>
    <t>B19082_005</t>
  </si>
  <si>
    <t>Estimate!!Quintile Share of Aggregate Income:!!Highest Quintile</t>
  </si>
  <si>
    <t>B19082_006</t>
  </si>
  <si>
    <t>B19101A_002</t>
  </si>
  <si>
    <t>B19101A_003</t>
  </si>
  <si>
    <t>B19101A_004</t>
  </si>
  <si>
    <t>B19101A_005</t>
  </si>
  <si>
    <t>B19101A_006</t>
  </si>
  <si>
    <t>B19101A_007</t>
  </si>
  <si>
    <t>B19101A_008</t>
  </si>
  <si>
    <t>B19101A_009</t>
  </si>
  <si>
    <t>B19101A_010</t>
  </si>
  <si>
    <t>B19101A_011</t>
  </si>
  <si>
    <t>B19101A_012</t>
  </si>
  <si>
    <t>B19101A_013</t>
  </si>
  <si>
    <t>B19101A_014</t>
  </si>
  <si>
    <t>B19101A_015</t>
  </si>
  <si>
    <t>B19101A_016</t>
  </si>
  <si>
    <t>B19101A_017</t>
  </si>
  <si>
    <t>B19101B_002</t>
  </si>
  <si>
    <t>B19101B_003</t>
  </si>
  <si>
    <t>B19101B_004</t>
  </si>
  <si>
    <t>B19101B_005</t>
  </si>
  <si>
    <t>B19101B_006</t>
  </si>
  <si>
    <t>B19101B_007</t>
  </si>
  <si>
    <t>B19101B_008</t>
  </si>
  <si>
    <t>B19101B_009</t>
  </si>
  <si>
    <t>B19101B_010</t>
  </si>
  <si>
    <t>B19101B_011</t>
  </si>
  <si>
    <t>B19101B_012</t>
  </si>
  <si>
    <t>B19101B_013</t>
  </si>
  <si>
    <t>B19101B_014</t>
  </si>
  <si>
    <t>B19101B_015</t>
  </si>
  <si>
    <t>B19101B_016</t>
  </si>
  <si>
    <t>B19101B_017</t>
  </si>
  <si>
    <t>B19101C_002</t>
  </si>
  <si>
    <t>B19101C_003</t>
  </si>
  <si>
    <t>B19101C_004</t>
  </si>
  <si>
    <t>B19101C_005</t>
  </si>
  <si>
    <t>B19101C_006</t>
  </si>
  <si>
    <t>B19101C_007</t>
  </si>
  <si>
    <t>B19101C_008</t>
  </si>
  <si>
    <t>B19101C_009</t>
  </si>
  <si>
    <t>B19101C_010</t>
  </si>
  <si>
    <t>B19101C_011</t>
  </si>
  <si>
    <t>B19101C_012</t>
  </si>
  <si>
    <t>B19101C_013</t>
  </si>
  <si>
    <t>B19101C_014</t>
  </si>
  <si>
    <t>B19101C_015</t>
  </si>
  <si>
    <t>B19101C_016</t>
  </si>
  <si>
    <t>B19101C_017</t>
  </si>
  <si>
    <t>B19101D_002</t>
  </si>
  <si>
    <t>B19101D_003</t>
  </si>
  <si>
    <t>B19101D_004</t>
  </si>
  <si>
    <t>B19101D_005</t>
  </si>
  <si>
    <t>B19101D_006</t>
  </si>
  <si>
    <t>B19101D_007</t>
  </si>
  <si>
    <t>B19101D_008</t>
  </si>
  <si>
    <t>B19101D_009</t>
  </si>
  <si>
    <t>B19101D_010</t>
  </si>
  <si>
    <t>B19101D_011</t>
  </si>
  <si>
    <t>B19101D_012</t>
  </si>
  <si>
    <t>B19101D_013</t>
  </si>
  <si>
    <t>B19101D_014</t>
  </si>
  <si>
    <t>B19101D_015</t>
  </si>
  <si>
    <t>B19101D_016</t>
  </si>
  <si>
    <t>B19101D_017</t>
  </si>
  <si>
    <t>B19101E_002</t>
  </si>
  <si>
    <t>B19101E_003</t>
  </si>
  <si>
    <t>B19101E_004</t>
  </si>
  <si>
    <t>B19101E_005</t>
  </si>
  <si>
    <t>B19101E_006</t>
  </si>
  <si>
    <t>B19101E_007</t>
  </si>
  <si>
    <t>B19101E_008</t>
  </si>
  <si>
    <t>B19101E_009</t>
  </si>
  <si>
    <t>B19101E_010</t>
  </si>
  <si>
    <t>B19101E_011</t>
  </si>
  <si>
    <t>B19101E_012</t>
  </si>
  <si>
    <t>B19101E_013</t>
  </si>
  <si>
    <t>B19101E_014</t>
  </si>
  <si>
    <t>B19101E_015</t>
  </si>
  <si>
    <t>B19101E_016</t>
  </si>
  <si>
    <t>B19101E_017</t>
  </si>
  <si>
    <t>B19101F_002</t>
  </si>
  <si>
    <t>B19101F_003</t>
  </si>
  <si>
    <t>B19101F_004</t>
  </si>
  <si>
    <t>B19101F_005</t>
  </si>
  <si>
    <t>B19101F_006</t>
  </si>
  <si>
    <t>B19101F_007</t>
  </si>
  <si>
    <t>B19101F_008</t>
  </si>
  <si>
    <t>B19101F_009</t>
  </si>
  <si>
    <t>B19101F_010</t>
  </si>
  <si>
    <t>B19101F_011</t>
  </si>
  <si>
    <t>B19101F_012</t>
  </si>
  <si>
    <t>B19101F_013</t>
  </si>
  <si>
    <t>B19101F_014</t>
  </si>
  <si>
    <t>B19101F_015</t>
  </si>
  <si>
    <t>B19101F_016</t>
  </si>
  <si>
    <t>B19101F_017</t>
  </si>
  <si>
    <t>B19101G_002</t>
  </si>
  <si>
    <t>B19101G_003</t>
  </si>
  <si>
    <t>B19101G_004</t>
  </si>
  <si>
    <t>B19101G_005</t>
  </si>
  <si>
    <t>B19101G_006</t>
  </si>
  <si>
    <t>B19101G_007</t>
  </si>
  <si>
    <t>B19101G_008</t>
  </si>
  <si>
    <t>B19101G_009</t>
  </si>
  <si>
    <t>B19101G_010</t>
  </si>
  <si>
    <t>B19101G_011</t>
  </si>
  <si>
    <t>B19101G_012</t>
  </si>
  <si>
    <t>B19101G_013</t>
  </si>
  <si>
    <t>B19101G_014</t>
  </si>
  <si>
    <t>B19101G_015</t>
  </si>
  <si>
    <t>B19101G_016</t>
  </si>
  <si>
    <t>B19101G_017</t>
  </si>
  <si>
    <t>B19101H_002</t>
  </si>
  <si>
    <t>B19101H_003</t>
  </si>
  <si>
    <t>B19101H_004</t>
  </si>
  <si>
    <t>B19101H_005</t>
  </si>
  <si>
    <t>B19101H_006</t>
  </si>
  <si>
    <t>B19101H_007</t>
  </si>
  <si>
    <t>B19101H_008</t>
  </si>
  <si>
    <t>B19101H_009</t>
  </si>
  <si>
    <t>B19101H_010</t>
  </si>
  <si>
    <t>B19101H_011</t>
  </si>
  <si>
    <t>B19101H_012</t>
  </si>
  <si>
    <t>B19101H_013</t>
  </si>
  <si>
    <t>B19101H_014</t>
  </si>
  <si>
    <t>B19101H_015</t>
  </si>
  <si>
    <t>B19101H_016</t>
  </si>
  <si>
    <t>B19101H_017</t>
  </si>
  <si>
    <t>B19101I_002</t>
  </si>
  <si>
    <t>B19101I_003</t>
  </si>
  <si>
    <t>B19101I_004</t>
  </si>
  <si>
    <t>B19101I_005</t>
  </si>
  <si>
    <t>B19101I_006</t>
  </si>
  <si>
    <t>B19101I_007</t>
  </si>
  <si>
    <t>B19101I_008</t>
  </si>
  <si>
    <t>B19101I_009</t>
  </si>
  <si>
    <t>B19101I_010</t>
  </si>
  <si>
    <t>B19101I_011</t>
  </si>
  <si>
    <t>B19101I_012</t>
  </si>
  <si>
    <t>B19101I_013</t>
  </si>
  <si>
    <t>B19101I_014</t>
  </si>
  <si>
    <t>B19101I_015</t>
  </si>
  <si>
    <t>B19101I_016</t>
  </si>
  <si>
    <t>B19101I_017</t>
  </si>
  <si>
    <t>B19101_002</t>
  </si>
  <si>
    <t>B19101_003</t>
  </si>
  <si>
    <t>B19101_004</t>
  </si>
  <si>
    <t>B19101_005</t>
  </si>
  <si>
    <t>B19101_006</t>
  </si>
  <si>
    <t>B19101_007</t>
  </si>
  <si>
    <t>B19101_008</t>
  </si>
  <si>
    <t>B19101_009</t>
  </si>
  <si>
    <t>B19101_010</t>
  </si>
  <si>
    <t>B19101_011</t>
  </si>
  <si>
    <t>B19101_012</t>
  </si>
  <si>
    <t>B19101_013</t>
  </si>
  <si>
    <t>B19101_014</t>
  </si>
  <si>
    <t>B19101_015</t>
  </si>
  <si>
    <t>B19101_016</t>
  </si>
  <si>
    <t>B19101_017</t>
  </si>
  <si>
    <t>B19119_002</t>
  </si>
  <si>
    <t>Estimate!!Total:!!2-person families</t>
  </si>
  <si>
    <t>B19119_003</t>
  </si>
  <si>
    <t>Estimate!!Total:!!3-person families</t>
  </si>
  <si>
    <t>B19119_004</t>
  </si>
  <si>
    <t>Estimate!!Total:!!4-person families</t>
  </si>
  <si>
    <t>B19119_005</t>
  </si>
  <si>
    <t>Estimate!!Total:!!5-person families</t>
  </si>
  <si>
    <t>B19119_006</t>
  </si>
  <si>
    <t>Estimate!!Total:!!6-person families</t>
  </si>
  <si>
    <t>B19119_007</t>
  </si>
  <si>
    <t>Estimate!!Total:!!7-or-more-person families</t>
  </si>
  <si>
    <t>B19121_002</t>
  </si>
  <si>
    <t>Estimate!!Total:!!No earners (dollars)</t>
  </si>
  <si>
    <t>B19121_003</t>
  </si>
  <si>
    <t>Estimate!!Total:!!1 earner (dollars)</t>
  </si>
  <si>
    <t>B19121_004</t>
  </si>
  <si>
    <t>Estimate!!Total:!!2 earners (dollars)</t>
  </si>
  <si>
    <t>B19121_005</t>
  </si>
  <si>
    <t>Estimate!!Total:!!3 or more earners (dollars)</t>
  </si>
  <si>
    <t>B19122_002</t>
  </si>
  <si>
    <t>Estimate!!Total:!!No earners</t>
  </si>
  <si>
    <t>B19122_003</t>
  </si>
  <si>
    <t>Estimate!!Total:!!1 earner</t>
  </si>
  <si>
    <t>B19122_004</t>
  </si>
  <si>
    <t>Estimate!!Total:!!2 earners</t>
  </si>
  <si>
    <t>B19122_005</t>
  </si>
  <si>
    <t>Estimate!!Total:!!3 or more earners</t>
  </si>
  <si>
    <t>B19123_002</t>
  </si>
  <si>
    <t>Estimate!!Total:!!With cash public assistance income or households receiving Food Stamps/SNAP benefits in the past 12 months</t>
  </si>
  <si>
    <t>B19123_003</t>
  </si>
  <si>
    <t>Estimate!!Total:!!No cash public assistance income or household Food Stamps/SNAP benefits in the past 12 months</t>
  </si>
  <si>
    <t>B19123_004</t>
  </si>
  <si>
    <t>Estimate!!Total:!!2-person families:</t>
  </si>
  <si>
    <t>B19123_005</t>
  </si>
  <si>
    <t>Estimate!!Total:!!2-person families:!!With cash public assistance income or households receiving Food Stamps/SNAP benefits in the past 12 months</t>
  </si>
  <si>
    <t>B19123_006</t>
  </si>
  <si>
    <t>Estimate!!Total:!!2-person families:!!No cash public assistance income or household Food Stamps/SNAP benefits in the past 12 months</t>
  </si>
  <si>
    <t>B19123_007</t>
  </si>
  <si>
    <t>Estimate!!Total:!!3-person families:</t>
  </si>
  <si>
    <t>B19123_008</t>
  </si>
  <si>
    <t>Estimate!!Total:!!3-person families:!!With cash public assistance income or households receiving Food Stamps/SNAP benefits in the past 12 months</t>
  </si>
  <si>
    <t>B19123_009</t>
  </si>
  <si>
    <t>Estimate!!Total:!!3-person families:!!No cash public assistance income or household Food Stamps/SNAP benefits in the past 12 months</t>
  </si>
  <si>
    <t>B19123_010</t>
  </si>
  <si>
    <t>Estimate!!Total:!!4-person families:</t>
  </si>
  <si>
    <t>B19123_011</t>
  </si>
  <si>
    <t>Estimate!!Total:!!4-person families:!!With cash public assistance income or households receiving Food Stamps/SNAP benefits in the past 12 months</t>
  </si>
  <si>
    <t>B19123_012</t>
  </si>
  <si>
    <t>Estimate!!Total:!!4-person families:!!No cash public assistance income or household Food Stamps/SNAP benefits in the past 12 months</t>
  </si>
  <si>
    <t>B19123_013</t>
  </si>
  <si>
    <t>Estimate!!Total:!!5-person families:</t>
  </si>
  <si>
    <t>B19123_014</t>
  </si>
  <si>
    <t>Estimate!!Total:!!5-person families:!!With cash public assistance income or households receiving Food Stamps/SNAP benefits in the past 12 months</t>
  </si>
  <si>
    <t>B19123_015</t>
  </si>
  <si>
    <t>Estimate!!Total:!!5-person families:!!No cash public assistance income or household Food Stamps/SNAP benefits in the past 12 months</t>
  </si>
  <si>
    <t>B19123_016</t>
  </si>
  <si>
    <t>Estimate!!Total:!!6-person families:</t>
  </si>
  <si>
    <t>B19123_017</t>
  </si>
  <si>
    <t>Estimate!!Total:!!6-person families:!!With cash public assistance income or households receiving Food Stamps/SNAP benefits in the past 12 months</t>
  </si>
  <si>
    <t>B19123_018</t>
  </si>
  <si>
    <t>Estimate!!Total:!!6-person families:!!No cash public assistance income or household Food Stamps/SNAP benefits in the past 12 months</t>
  </si>
  <si>
    <t>B19123_019</t>
  </si>
  <si>
    <t>Estimate!!Total:!!7-or-more-person families:</t>
  </si>
  <si>
    <t>B19123_020</t>
  </si>
  <si>
    <t>Estimate!!Total:!!7-or-more-person families:!!With cash public assistance income or households receiving Food Stamps/SNAP benefits in the past 12 months</t>
  </si>
  <si>
    <t>B19123_021</t>
  </si>
  <si>
    <t>Estimate!!Total:!!7-or-more-person families:!!No cash public assistance income or household Food Stamps/SNAP benefits in the past 12 months</t>
  </si>
  <si>
    <t>B19125_002</t>
  </si>
  <si>
    <t>Estimate!!Total:!!With own children of the householder under 18 years</t>
  </si>
  <si>
    <t>B19125_003</t>
  </si>
  <si>
    <t>Estimate!!Total:!!No own children of the householder under 18 years</t>
  </si>
  <si>
    <t>B19126_002</t>
  </si>
  <si>
    <t>Estimate!!Median family income in the past 12 months (in 2024 inflation-adjusted dollars) --!!Total:!!Married-couple family --!!Total</t>
  </si>
  <si>
    <t>B19126_003</t>
  </si>
  <si>
    <t>Estimate!!Median family income in the past 12 months (in 2024 inflation-adjusted dollars) --!!Total:!!Married-couple family --!!Total!!With own children of the householder under 18 years</t>
  </si>
  <si>
    <t>B19126_004</t>
  </si>
  <si>
    <t>Estimate!!Median family income in the past 12 months (in 2024 inflation-adjusted dollars) --!!Total:!!Married-couple family --!!Total!!No own children of the householder under 18 years</t>
  </si>
  <si>
    <t>B19126_005</t>
  </si>
  <si>
    <t>Estimate!!Median family income in the past 12 months (in 2024 inflation-adjusted dollars) --!!Total:!!Other family --!!Total</t>
  </si>
  <si>
    <t>B19126_006</t>
  </si>
  <si>
    <t>Estimate!!Median family income in the past 12 months (in 2024 inflation-adjusted dollars) --!!Total:!!Other family --!!Total!!Male householder, no spouse present --!!Total</t>
  </si>
  <si>
    <t>B19126_007</t>
  </si>
  <si>
    <t>Estimate!!Median family income in the past 12 months (in 2024 inflation-adjusted dollars) --!!Total:!!Other family --!!Total!!Male householder, no spouse present --!!Total!!With own children of the householder under 18 years</t>
  </si>
  <si>
    <t>B19126_008</t>
  </si>
  <si>
    <t>Estimate!!Median family income in the past 12 months (in 2024 inflation-adjusted dollars) --!!Total:!!Other family --!!Total!!Male householder, no spouse present --!!Total!!No own children of the householder under 18 years</t>
  </si>
  <si>
    <t>B19126_009</t>
  </si>
  <si>
    <t>Estimate!!Median family income in the past 12 months (in 2024 inflation-adjusted dollars) --!!Total:!!Other family --!!Total!!Female householder, no spouse present --!!Total</t>
  </si>
  <si>
    <t>B19126_010</t>
  </si>
  <si>
    <t>Estimate!!Median family income in the past 12 months (in 2024 inflation-adjusted dollars) --!!Total:!!Other family --!!Total!!Female householder, no spouse present --!!Total!!With own children of the householder under 18 years</t>
  </si>
  <si>
    <t>B19126_011</t>
  </si>
  <si>
    <t>Estimate!!Median family income in the past 12 months (in 2024 inflation-adjusted dollars) --!!Total:!!Other family --!!Total!!Female householder, no spouse present --!!Total!!No own children of the householder under 18 years</t>
  </si>
  <si>
    <t>B19128_002</t>
  </si>
  <si>
    <t>Estimate!!Aggregate family income in the past 12 months (in 2024 inflation-adjusted dollars):!!Married-couple family:</t>
  </si>
  <si>
    <t>B19128_003</t>
  </si>
  <si>
    <t>Estimate!!Aggregate family income in the past 12 months (in 2024 inflation-adjusted dollars):!!Married-couple family:!!With own children of the householder under 18 years</t>
  </si>
  <si>
    <t>B19128_004</t>
  </si>
  <si>
    <t>Estimate!!Aggregate family income in the past 12 months (in 2024 inflation-adjusted dollars):!!Married-couple family:!!No own children of the householder under 18 years</t>
  </si>
  <si>
    <t>B19128_005</t>
  </si>
  <si>
    <t>Estimate!!Aggregate family income in the past 12 months (in 2024 inflation-adjusted dollars):!!Other family:</t>
  </si>
  <si>
    <t>B19128_006</t>
  </si>
  <si>
    <t>Estimate!!Aggregate family income in the past 12 months (in 2024 inflation-adjusted dollars):!!Other family:!!Male householder, no spouse present:</t>
  </si>
  <si>
    <t>B19128_007</t>
  </si>
  <si>
    <t>Estimate!!Aggregate family income in the past 12 months (in 2024 inflation-adjusted dollars):!!Other family:!!Male householder, no spouse present:!!With own children of the householder under 18 years</t>
  </si>
  <si>
    <t>B19128_008</t>
  </si>
  <si>
    <t>Estimate!!Aggregate family income in the past 12 months (in 2024 inflation-adjusted dollars):!!Other family:!!Male householder, no spouse present:!!No own children of the householder under 18 years</t>
  </si>
  <si>
    <t>B19128_009</t>
  </si>
  <si>
    <t>Estimate!!Aggregate family income in the past 12 months (in 2024 inflation-adjusted dollars):!!Other family:!!Female householder, no spouse present:</t>
  </si>
  <si>
    <t>B19128_010</t>
  </si>
  <si>
    <t>Estimate!!Aggregate family income in the past 12 months (in 2024 inflation-adjusted dollars):!!Other family:!!Female householder, no spouse present:!!With own children of the householder under 18 years</t>
  </si>
  <si>
    <t>B19128_011</t>
  </si>
  <si>
    <t>Estimate!!Aggregate family income in the past 12 months (in 2024 inflation-adjusted dollars):!!Other family:!!Female householder, no spouse present:!!No own children of the householder under 18 years</t>
  </si>
  <si>
    <t>B19129_002</t>
  </si>
  <si>
    <t>Estimate!!Aggregate family income in the past 12 months (in 2024 inflation-adjusted dollars):!!No workers (dollars)</t>
  </si>
  <si>
    <t>B19129_003</t>
  </si>
  <si>
    <t>Estimate!!Aggregate family income in the past 12 months (in 2024 inflation-adjusted dollars):!!1 worker (dollars)</t>
  </si>
  <si>
    <t>B19129_004</t>
  </si>
  <si>
    <t>Estimate!!Aggregate family income in the past 12 months (in 2024 inflation-adjusted dollars):!!2 workers, both spouses worked (dollars)</t>
  </si>
  <si>
    <t>B19129_005</t>
  </si>
  <si>
    <t>Estimate!!Aggregate family income in the past 12 months (in 2024 inflation-adjusted dollars):!!2 workers, other (dollars)</t>
  </si>
  <si>
    <t>B19129_006</t>
  </si>
  <si>
    <t>Estimate!!Aggregate family income in the past 12 months (in 2024 inflation-adjusted dollars):!!3 or more workers, both spouses worked (dollars)</t>
  </si>
  <si>
    <t>B19129_007</t>
  </si>
  <si>
    <t>Estimate!!Aggregate family income in the past 12 months (in 2024 inflation-adjusted dollars):!!3 or more workers, other (dollars)</t>
  </si>
  <si>
    <t>B19130_002</t>
  </si>
  <si>
    <t>Estimate!!Aggregate family income in the past 12 months (in 2024 inflation-adjusted dollars):!!Married couple family (dollars):</t>
  </si>
  <si>
    <t>B19130_003</t>
  </si>
  <si>
    <t>Estimate!!Aggregate family income in the past 12 months (in 2024 inflation-adjusted dollars):!!Married couple family (dollars):!!Householder 15 to 24 years (dollars)</t>
  </si>
  <si>
    <t>B19130_004</t>
  </si>
  <si>
    <t>Estimate!!Aggregate family income in the past 12 months (in 2024 inflation-adjusted dollars):!!Married couple family (dollars):!!Householder 25 to 34 years (dollars)</t>
  </si>
  <si>
    <t>B19130_005</t>
  </si>
  <si>
    <t>Estimate!!Aggregate family income in the past 12 months (in 2024 inflation-adjusted dollars):!!Married couple family (dollars):!!Householder 35 to 44 years (dollars)</t>
  </si>
  <si>
    <t>B19130_006</t>
  </si>
  <si>
    <t>Estimate!!Aggregate family income in the past 12 months (in 2024 inflation-adjusted dollars):!!Married couple family (dollars):!!Householder 45 to 54 years (dollars)</t>
  </si>
  <si>
    <t>B19130_007</t>
  </si>
  <si>
    <t>Estimate!!Aggregate family income in the past 12 months (in 2024 inflation-adjusted dollars):!!Married couple family (dollars):!!Householder 55 to 59 years (dollars)</t>
  </si>
  <si>
    <t>B19130_008</t>
  </si>
  <si>
    <t>Estimate!!Aggregate family income in the past 12 months (in 2024 inflation-adjusted dollars):!!Married couple family (dollars):!!Householder 60 to 64 years (dollars)</t>
  </si>
  <si>
    <t>B19130_009</t>
  </si>
  <si>
    <t>Estimate!!Aggregate family income in the past 12 months (in 2024 inflation-adjusted dollars):!!Married couple family (dollars):!!Householder 65 to 74 years (dollars)</t>
  </si>
  <si>
    <t>B19130_010</t>
  </si>
  <si>
    <t>Estimate!!Aggregate family income in the past 12 months (in 2024 inflation-adjusted dollars):!!Married couple family (dollars):!!Householder 75 years and over (dollars)</t>
  </si>
  <si>
    <t>B19130_011</t>
  </si>
  <si>
    <t>Estimate!!Aggregate family income in the past 12 months (in 2024 inflation-adjusted dollars):!!Other family (dollars):</t>
  </si>
  <si>
    <t>B19130_012</t>
  </si>
  <si>
    <t>Estimate!!Aggregate family income in the past 12 months (in 2024 inflation-adjusted dollars):!!Other family (dollars):!!Male householder, no spouse present (dollars):</t>
  </si>
  <si>
    <t>B19130_013</t>
  </si>
  <si>
    <t>Estimate!!Aggregate family income in the past 12 months (in 2024 inflation-adjusted dollars):!!Other family (dollars):!!Male householder, no spouse present (dollars):!!Householder 15 to 24 years (dollars)</t>
  </si>
  <si>
    <t>B19130_014</t>
  </si>
  <si>
    <t>Estimate!!Aggregate family income in the past 12 months (in 2024 inflation-adjusted dollars):!!Other family (dollars):!!Male householder, no spouse present (dollars):!!Householder 25 to 34 years (dollars)</t>
  </si>
  <si>
    <t>B19130_015</t>
  </si>
  <si>
    <t>Estimate!!Aggregate family income in the past 12 months (in 2024 inflation-adjusted dollars):!!Other family (dollars):!!Male householder, no spouse present (dollars):!!Householder 35 to 44 years (dollars)</t>
  </si>
  <si>
    <t>B19130_016</t>
  </si>
  <si>
    <t>Estimate!!Aggregate family income in the past 12 months (in 2024 inflation-adjusted dollars):!!Other family (dollars):!!Male householder, no spouse present (dollars):!!Householder 45 to 54 years (dollars)</t>
  </si>
  <si>
    <t>B19130_017</t>
  </si>
  <si>
    <t>Estimate!!Aggregate family income in the past 12 months (in 2024 inflation-adjusted dollars):!!Other family (dollars):!!Male householder, no spouse present (dollars):!!Householder 55 to 59 years (dollars)</t>
  </si>
  <si>
    <t>B19130_018</t>
  </si>
  <si>
    <t>Estimate!!Aggregate family income in the past 12 months (in 2024 inflation-adjusted dollars):!!Other family (dollars):!!Male householder, no spouse present (dollars):!!Householder 60 to 64 years (dollars)</t>
  </si>
  <si>
    <t>B19130_019</t>
  </si>
  <si>
    <t>Estimate!!Aggregate family income in the past 12 months (in 2024 inflation-adjusted dollars):!!Other family (dollars):!!Male householder, no spouse present (dollars):!!Householder 65 to 74 years (dollars)</t>
  </si>
  <si>
    <t>B19130_020</t>
  </si>
  <si>
    <t>Estimate!!Aggregate family income in the past 12 months (in 2024 inflation-adjusted dollars):!!Other family (dollars):!!Male householder, no spouse present (dollars):!!Householder 75 years and over (dollars)</t>
  </si>
  <si>
    <t>B19130_021</t>
  </si>
  <si>
    <t>Estimate!!Aggregate family income in the past 12 months (in 2024 inflation-adjusted dollars):!!Other family (dollars):!!Female householder, no spouse present (dollars):</t>
  </si>
  <si>
    <t>B19130_022</t>
  </si>
  <si>
    <t>Estimate!!Aggregate family income in the past 12 months (in 2024 inflation-adjusted dollars):!!Other family (dollars):!!Female householder, no spouse present (dollars):!!Householder 15 to 24 years (dollars)</t>
  </si>
  <si>
    <t>B19130_023</t>
  </si>
  <si>
    <t>Estimate!!Aggregate family income in the past 12 months (in 2024 inflation-adjusted dollars):!!Other family (dollars):!!Female householder, no spouse present (dollars):!!Householder 25 to 34 years (dollars)</t>
  </si>
  <si>
    <t>B19130_024</t>
  </si>
  <si>
    <t>Estimate!!Aggregate family income in the past 12 months (in 2024 inflation-adjusted dollars):!!Other family (dollars):!!Female householder, no spouse present (dollars):!!Householder 35 to 44 years (dollars)</t>
  </si>
  <si>
    <t>B19130_025</t>
  </si>
  <si>
    <t>Estimate!!Aggregate family income in the past 12 months (in 2024 inflation-adjusted dollars):!!Other family (dollars):!!Female householder, no spouse present (dollars):!!Householder 45 to 54 years (dollars)</t>
  </si>
  <si>
    <t>B19130_026</t>
  </si>
  <si>
    <t>Estimate!!Aggregate family income in the past 12 months (in 2024 inflation-adjusted dollars):!!Other family (dollars):!!Female householder, no spouse present (dollars):!!Householder 55 to 59 years (dollars)</t>
  </si>
  <si>
    <t>B19130_027</t>
  </si>
  <si>
    <t>Estimate!!Aggregate family income in the past 12 months (in 2024 inflation-adjusted dollars):!!Other family (dollars):!!Female householder, no spouse present (dollars):!!Householder 60 to 64 years (dollars)</t>
  </si>
  <si>
    <t>B19130_028</t>
  </si>
  <si>
    <t>Estimate!!Aggregate family income in the past 12 months (in 2024 inflation-adjusted dollars):!!Other family (dollars):!!Female householder, no spouse present (dollars):!!Householder 65 to 74 years (dollars)</t>
  </si>
  <si>
    <t>B19130_029</t>
  </si>
  <si>
    <t>Estimate!!Aggregate family income in the past 12 months (in 2024 inflation-adjusted dollars):!!Other family (dollars):!!Female householder, no spouse present (dollars):!!Householder 75 years and over (dollars)</t>
  </si>
  <si>
    <t>B19131_002</t>
  </si>
  <si>
    <t>B19131_003</t>
  </si>
  <si>
    <t>B19131_004</t>
  </si>
  <si>
    <t>Estimate!!Total:!!Married-couple family:!!With own children of the householder under 18 years:!!Less than $10,000</t>
  </si>
  <si>
    <t>B19131_005</t>
  </si>
  <si>
    <t>Estimate!!Total:!!Married-couple family:!!With own children of the householder under 18 years:!!$10,000 to $14,999</t>
  </si>
  <si>
    <t>B19131_006</t>
  </si>
  <si>
    <t>Estimate!!Total:!!Married-couple family:!!With own children of the householder under 18 years:!!$15,000 to $19,999</t>
  </si>
  <si>
    <t>B19131_007</t>
  </si>
  <si>
    <t>Estimate!!Total:!!Married-couple family:!!With own children of the householder under 18 years:!!$20,000 to $24,999</t>
  </si>
  <si>
    <t>B19131_008</t>
  </si>
  <si>
    <t>Estimate!!Total:!!Married-couple family:!!With own children of the householder under 18 years:!!$25,000 to $29,999</t>
  </si>
  <si>
    <t>B19131_009</t>
  </si>
  <si>
    <t>Estimate!!Total:!!Married-couple family:!!With own children of the householder under 18 years:!!$30,000 to $34,999</t>
  </si>
  <si>
    <t>B19131_010</t>
  </si>
  <si>
    <t>Estimate!!Total:!!Married-couple family:!!With own children of the householder under 18 years:!!$35,000 to $39,999</t>
  </si>
  <si>
    <t>B19131_011</t>
  </si>
  <si>
    <t>Estimate!!Total:!!Married-couple family:!!With own children of the householder under 18 years:!!$40,000 to $44,999</t>
  </si>
  <si>
    <t>B19131_012</t>
  </si>
  <si>
    <t>Estimate!!Total:!!Married-couple family:!!With own children of the householder under 18 years:!!$45,000 to $49,999</t>
  </si>
  <si>
    <t>B19131_013</t>
  </si>
  <si>
    <t>Estimate!!Total:!!Married-couple family:!!With own children of the householder under 18 years:!!$50,000 to $59,999</t>
  </si>
  <si>
    <t>B19131_014</t>
  </si>
  <si>
    <t>Estimate!!Total:!!Married-couple family:!!With own children of the householder under 18 years:!!$60,000 to $74,999</t>
  </si>
  <si>
    <t>B19131_015</t>
  </si>
  <si>
    <t>Estimate!!Total:!!Married-couple family:!!With own children of the householder under 18 years:!!$75,000 to $99,999</t>
  </si>
  <si>
    <t>B19131_016</t>
  </si>
  <si>
    <t>Estimate!!Total:!!Married-couple family:!!With own children of the householder under 18 years:!!$100,000 to $124,999</t>
  </si>
  <si>
    <t>B19131_017</t>
  </si>
  <si>
    <t>Estimate!!Total:!!Married-couple family:!!With own children of the householder under 18 years:!!$125,000 to $149,999</t>
  </si>
  <si>
    <t>B19131_018</t>
  </si>
  <si>
    <t>Estimate!!Total:!!Married-couple family:!!With own children of the householder under 18 years:!!$150,000 to $199,999</t>
  </si>
  <si>
    <t>B19131_019</t>
  </si>
  <si>
    <t>Estimate!!Total:!!Married-couple family:!!With own children of the householder under 18 years:!!$200,000 or more</t>
  </si>
  <si>
    <t>B19131_020</t>
  </si>
  <si>
    <t>Estimate!!Total:!!Married-couple family:!!No own children of the householder under 18 years:</t>
  </si>
  <si>
    <t>B19131_021</t>
  </si>
  <si>
    <t>Estimate!!Total:!!Married-couple family:!!No own children of the householder under 18 years:!!Less than $10,000</t>
  </si>
  <si>
    <t>B19131_022</t>
  </si>
  <si>
    <t>Estimate!!Total:!!Married-couple family:!!No own children of the householder under 18 years:!!$10,000 to $14,999</t>
  </si>
  <si>
    <t>B19131_023</t>
  </si>
  <si>
    <t>Estimate!!Total:!!Married-couple family:!!No own children of the householder under 18 years:!!$15,000 to $19,999</t>
  </si>
  <si>
    <t>B19131_024</t>
  </si>
  <si>
    <t>Estimate!!Total:!!Married-couple family:!!No own children of the householder under 18 years:!!$20,000 to $24,999</t>
  </si>
  <si>
    <t>B19131_025</t>
  </si>
  <si>
    <t>Estimate!!Total:!!Married-couple family:!!No own children of the householder under 18 years:!!$25,000 to $29,999</t>
  </si>
  <si>
    <t>B19131_026</t>
  </si>
  <si>
    <t>Estimate!!Total:!!Married-couple family:!!No own children of the householder under 18 years:!!$30,000 to $34,999</t>
  </si>
  <si>
    <t>B19131_027</t>
  </si>
  <si>
    <t>Estimate!!Total:!!Married-couple family:!!No own children of the householder under 18 years:!!$35,000 to $39,999</t>
  </si>
  <si>
    <t>B19131_028</t>
  </si>
  <si>
    <t>Estimate!!Total:!!Married-couple family:!!No own children of the householder under 18 years:!!$40,000 to $44,999</t>
  </si>
  <si>
    <t>B19131_029</t>
  </si>
  <si>
    <t>Estimate!!Total:!!Married-couple family:!!No own children of the householder under 18 years:!!$45,000 to $49,999</t>
  </si>
  <si>
    <t>B19131_030</t>
  </si>
  <si>
    <t>Estimate!!Total:!!Married-couple family:!!No own children of the householder under 18 years:!!$50,000 to $59,999</t>
  </si>
  <si>
    <t>B19131_031</t>
  </si>
  <si>
    <t>Estimate!!Total:!!Married-couple family:!!No own children of the householder under 18 years:!!$60,000 to $74,999</t>
  </si>
  <si>
    <t>B19131_032</t>
  </si>
  <si>
    <t>Estimate!!Total:!!Married-couple family:!!No own children of the householder under 18 years:!!$75,000 to $99,999</t>
  </si>
  <si>
    <t>B19131_033</t>
  </si>
  <si>
    <t>Estimate!!Total:!!Married-couple family:!!No own children of the householder under 18 years:!!$100,000 to $124,999</t>
  </si>
  <si>
    <t>B19131_034</t>
  </si>
  <si>
    <t>Estimate!!Total:!!Married-couple family:!!No own children of the householder under 18 years:!!$125,000 to $149,999</t>
  </si>
  <si>
    <t>B19131_035</t>
  </si>
  <si>
    <t>Estimate!!Total:!!Married-couple family:!!No own children of the householder under 18 years:!!$150,000 to $199,999</t>
  </si>
  <si>
    <t>B19131_036</t>
  </si>
  <si>
    <t>Estimate!!Total:!!Married-couple family:!!No own children of the householder under 18 years:!!$200,000 or more</t>
  </si>
  <si>
    <t>B19131_037</t>
  </si>
  <si>
    <t>B19131_038</t>
  </si>
  <si>
    <t>B19131_039</t>
  </si>
  <si>
    <t>B19131_040</t>
  </si>
  <si>
    <t>Estimate!!Total:!!Other family:!!Male householder, no spouse present:!!With own children of the householder under 18 years:!!Less than $10,000</t>
  </si>
  <si>
    <t>B19131_041</t>
  </si>
  <si>
    <t>Estimate!!Total:!!Other family:!!Male householder, no spouse present:!!With own children of the householder under 18 years:!!$10,000 to $14,999</t>
  </si>
  <si>
    <t>B19131_042</t>
  </si>
  <si>
    <t>Estimate!!Total:!!Other family:!!Male householder, no spouse present:!!With own children of the householder under 18 years:!!$15,000 to $19,999</t>
  </si>
  <si>
    <t>B19131_043</t>
  </si>
  <si>
    <t>Estimate!!Total:!!Other family:!!Male householder, no spouse present:!!With own children of the householder under 18 years:!!$20,000 to $24,999</t>
  </si>
  <si>
    <t>B19131_044</t>
  </si>
  <si>
    <t>Estimate!!Total:!!Other family:!!Male householder, no spouse present:!!With own children of the householder under 18 years:!!$25,000 to $29,999</t>
  </si>
  <si>
    <t>B19131_045</t>
  </si>
  <si>
    <t>Estimate!!Total:!!Other family:!!Male householder, no spouse present:!!With own children of the householder under 18 years:!!$30,000 to $34,999</t>
  </si>
  <si>
    <t>B19131_046</t>
  </si>
  <si>
    <t>Estimate!!Total:!!Other family:!!Male householder, no spouse present:!!With own children of the householder under 18 years:!!$35,000 to $39,999</t>
  </si>
  <si>
    <t>B19131_047</t>
  </si>
  <si>
    <t>Estimate!!Total:!!Other family:!!Male householder, no spouse present:!!With own children of the householder under 18 years:!!$40,000 to $44,999</t>
  </si>
  <si>
    <t>B19131_048</t>
  </si>
  <si>
    <t>Estimate!!Total:!!Other family:!!Male householder, no spouse present:!!With own children of the householder under 18 years:!!$45,000 to $49,999</t>
  </si>
  <si>
    <t>B19131_049</t>
  </si>
  <si>
    <t>Estimate!!Total:!!Other family:!!Male householder, no spouse present:!!With own children of the householder under 18 years:!!$50,000 to $59,999</t>
  </si>
  <si>
    <t>B19131_050</t>
  </si>
  <si>
    <t>Estimate!!Total:!!Other family:!!Male householder, no spouse present:!!With own children of the householder under 18 years:!!$60,000 to $74,999</t>
  </si>
  <si>
    <t>B19131_051</t>
  </si>
  <si>
    <t>Estimate!!Total:!!Other family:!!Male householder, no spouse present:!!With own children of the householder under 18 years:!!$75,000 to $99,999</t>
  </si>
  <si>
    <t>B19131_052</t>
  </si>
  <si>
    <t>Estimate!!Total:!!Other family:!!Male householder, no spouse present:!!With own children of the householder under 18 years:!!$100,000 to $124,999</t>
  </si>
  <si>
    <t>B19131_053</t>
  </si>
  <si>
    <t>Estimate!!Total:!!Other family:!!Male householder, no spouse present:!!With own children of the householder under 18 years:!!$125,000 to $149,999</t>
  </si>
  <si>
    <t>B19131_054</t>
  </si>
  <si>
    <t>Estimate!!Total:!!Other family:!!Male householder, no spouse present:!!With own children of the householder under 18 years:!!$150,000 to $199,999</t>
  </si>
  <si>
    <t>B19131_055</t>
  </si>
  <si>
    <t>Estimate!!Total:!!Other family:!!Male householder, no spouse present:!!With own children of the householder under 18 years:!!$200,000 or more</t>
  </si>
  <si>
    <t>B19131_056</t>
  </si>
  <si>
    <t>Estimate!!Total:!!Other family:!!Male householder, no spouse present:!!No own children of the householder under 18 years:</t>
  </si>
  <si>
    <t>B19131_057</t>
  </si>
  <si>
    <t>Estimate!!Total:!!Other family:!!Male householder, no spouse present:!!No own children of the householder under 18 years:!!Less than $10,000</t>
  </si>
  <si>
    <t>B19131_058</t>
  </si>
  <si>
    <t>Estimate!!Total:!!Other family:!!Male householder, no spouse present:!!No own children of the householder under 18 years:!!$10,000 to $14,999</t>
  </si>
  <si>
    <t>B19131_059</t>
  </si>
  <si>
    <t>Estimate!!Total:!!Other family:!!Male householder, no spouse present:!!No own children of the householder under 18 years:!!$15,000 to $19,999</t>
  </si>
  <si>
    <t>B19131_060</t>
  </si>
  <si>
    <t>Estimate!!Total:!!Other family:!!Male householder, no spouse present:!!No own children of the householder under 18 years:!!$20,000 to $24,999</t>
  </si>
  <si>
    <t>B19131_061</t>
  </si>
  <si>
    <t>Estimate!!Total:!!Other family:!!Male householder, no spouse present:!!No own children of the householder under 18 years:!!$25,000 to $29,999</t>
  </si>
  <si>
    <t>B19131_062</t>
  </si>
  <si>
    <t>Estimate!!Total:!!Other family:!!Male householder, no spouse present:!!No own children of the householder under 18 years:!!$30,000 to $34,999</t>
  </si>
  <si>
    <t>B19131_063</t>
  </si>
  <si>
    <t>Estimate!!Total:!!Other family:!!Male householder, no spouse present:!!No own children of the householder under 18 years:!!$35,000 to $39,999</t>
  </si>
  <si>
    <t>B19131_064</t>
  </si>
  <si>
    <t>Estimate!!Total:!!Other family:!!Male householder, no spouse present:!!No own children of the householder under 18 years:!!$40,000 to $44,999</t>
  </si>
  <si>
    <t>B19131_065</t>
  </si>
  <si>
    <t>Estimate!!Total:!!Other family:!!Male householder, no spouse present:!!No own children of the householder under 18 years:!!$45,000 to $49,999</t>
  </si>
  <si>
    <t>B19131_066</t>
  </si>
  <si>
    <t>Estimate!!Total:!!Other family:!!Male householder, no spouse present:!!No own children of the householder under 18 years:!!$50,000 to $59,999</t>
  </si>
  <si>
    <t>B19131_067</t>
  </si>
  <si>
    <t>Estimate!!Total:!!Other family:!!Male householder, no spouse present:!!No own children of the householder under 18 years:!!$60,000 to $74,999</t>
  </si>
  <si>
    <t>B19131_068</t>
  </si>
  <si>
    <t>Estimate!!Total:!!Other family:!!Male householder, no spouse present:!!No own children of the householder under 18 years:!!$75,000 to $99,999</t>
  </si>
  <si>
    <t>B19131_069</t>
  </si>
  <si>
    <t>Estimate!!Total:!!Other family:!!Male householder, no spouse present:!!No own children of the householder under 18 years:!!$100,000 to $124,999</t>
  </si>
  <si>
    <t>B19131_070</t>
  </si>
  <si>
    <t>Estimate!!Total:!!Other family:!!Male householder, no spouse present:!!No own children of the householder under 18 years:!!$125,000 to $149,999</t>
  </si>
  <si>
    <t>B19131_071</t>
  </si>
  <si>
    <t>Estimate!!Total:!!Other family:!!Male householder, no spouse present:!!No own children of the householder under 18 years:!!$150,000 to $199,999</t>
  </si>
  <si>
    <t>B19131_072</t>
  </si>
  <si>
    <t>Estimate!!Total:!!Other family:!!Male householder, no spouse present:!!No own children of the householder under 18 years:!!$200,000 or more</t>
  </si>
  <si>
    <t>B19131_073</t>
  </si>
  <si>
    <t>B19131_074</t>
  </si>
  <si>
    <t>B19131_075</t>
  </si>
  <si>
    <t>Estimate!!Total:!!Other family:!!Female householder, no spouse present:!!With own children of the householder under 18 years:!!Less than $10,000</t>
  </si>
  <si>
    <t>B19131_076</t>
  </si>
  <si>
    <t>Estimate!!Total:!!Other family:!!Female householder, no spouse present:!!With own children of the householder under 18 years:!!$10,000 to $14,999</t>
  </si>
  <si>
    <t>B19131_077</t>
  </si>
  <si>
    <t>Estimate!!Total:!!Other family:!!Female householder, no spouse present:!!With own children of the householder under 18 years:!!$15,000 to $19,999</t>
  </si>
  <si>
    <t>B19131_078</t>
  </si>
  <si>
    <t>Estimate!!Total:!!Other family:!!Female householder, no spouse present:!!With own children of the householder under 18 years:!!$20,000 to $24,999</t>
  </si>
  <si>
    <t>B19131_079</t>
  </si>
  <si>
    <t>Estimate!!Total:!!Other family:!!Female householder, no spouse present:!!With own children of the householder under 18 years:!!$25,000 to $29,999</t>
  </si>
  <si>
    <t>B19131_080</t>
  </si>
  <si>
    <t>Estimate!!Total:!!Other family:!!Female householder, no spouse present:!!With own children of the householder under 18 years:!!$30,000 to $34,999</t>
  </si>
  <si>
    <t>B19131_081</t>
  </si>
  <si>
    <t>Estimate!!Total:!!Other family:!!Female householder, no spouse present:!!With own children of the householder under 18 years:!!$35,000 to $39,999</t>
  </si>
  <si>
    <t>B19131_082</t>
  </si>
  <si>
    <t>Estimate!!Total:!!Other family:!!Female householder, no spouse present:!!With own children of the householder under 18 years:!!$40,000 to $44,999</t>
  </si>
  <si>
    <t>B19131_083</t>
  </si>
  <si>
    <t>Estimate!!Total:!!Other family:!!Female householder, no spouse present:!!With own children of the householder under 18 years:!!$45,000 to $49,999</t>
  </si>
  <si>
    <t>B19131_084</t>
  </si>
  <si>
    <t>Estimate!!Total:!!Other family:!!Female householder, no spouse present:!!With own children of the householder under 18 years:!!$50,000 to $59,999</t>
  </si>
  <si>
    <t>B19131_085</t>
  </si>
  <si>
    <t>Estimate!!Total:!!Other family:!!Female householder, no spouse present:!!With own children of the householder under 18 years:!!$60,000 to $74,999</t>
  </si>
  <si>
    <t>B19131_086</t>
  </si>
  <si>
    <t>Estimate!!Total:!!Other family:!!Female householder, no spouse present:!!With own children of the householder under 18 years:!!$75,000 to $99,999</t>
  </si>
  <si>
    <t>B19131_087</t>
  </si>
  <si>
    <t>Estimate!!Total:!!Other family:!!Female householder, no spouse present:!!With own children of the householder under 18 years:!!$100,000 to $124,999</t>
  </si>
  <si>
    <t>B19131_088</t>
  </si>
  <si>
    <t>Estimate!!Total:!!Other family:!!Female householder, no spouse present:!!With own children of the householder under 18 years:!!$125,000 to $149,999</t>
  </si>
  <si>
    <t>B19131_089</t>
  </si>
  <si>
    <t>Estimate!!Total:!!Other family:!!Female householder, no spouse present:!!With own children of the householder under 18 years:!!$150,000 to $199,999</t>
  </si>
  <si>
    <t>B19131_090</t>
  </si>
  <si>
    <t>Estimate!!Total:!!Other family:!!Female householder, no spouse present:!!With own children of the householder under 18 years:!!$200,000 or more</t>
  </si>
  <si>
    <t>B19131_091</t>
  </si>
  <si>
    <t>Estimate!!Total:!!Other family:!!Female householder, no spouse present:!!No own children of the householder under 18 years:</t>
  </si>
  <si>
    <t>B19131_092</t>
  </si>
  <si>
    <t>Estimate!!Total:!!Other family:!!Female householder, no spouse present:!!No own children of the householder under 18 years:!!Less than $10,000</t>
  </si>
  <si>
    <t>B19131_093</t>
  </si>
  <si>
    <t>Estimate!!Total:!!Other family:!!Female householder, no spouse present:!!No own children of the householder under 18 years:!!$10,000 to $14,999</t>
  </si>
  <si>
    <t>B19131_094</t>
  </si>
  <si>
    <t>Estimate!!Total:!!Other family:!!Female householder, no spouse present:!!No own children of the householder under 18 years:!!$15,000 to $19,999</t>
  </si>
  <si>
    <t>B19131_095</t>
  </si>
  <si>
    <t>Estimate!!Total:!!Other family:!!Female householder, no spouse present:!!No own children of the householder under 18 years:!!$20,000 to $24,999</t>
  </si>
  <si>
    <t>B19131_096</t>
  </si>
  <si>
    <t>Estimate!!Total:!!Other family:!!Female householder, no spouse present:!!No own children of the householder under 18 years:!!$25,000 to $29,999</t>
  </si>
  <si>
    <t>B19131_097</t>
  </si>
  <si>
    <t>Estimate!!Total:!!Other family:!!Female householder, no spouse present:!!No own children of the householder under 18 years:!!$30,000 to $34,999</t>
  </si>
  <si>
    <t>B19131_098</t>
  </si>
  <si>
    <t>Estimate!!Total:!!Other family:!!Female householder, no spouse present:!!No own children of the householder under 18 years:!!$35,000 to $39,999</t>
  </si>
  <si>
    <t>B19131_099</t>
  </si>
  <si>
    <t>Estimate!!Total:!!Other family:!!Female householder, no spouse present:!!No own children of the householder under 18 years:!!$40,000 to $44,999</t>
  </si>
  <si>
    <t>B19131_100</t>
  </si>
  <si>
    <t>Estimate!!Total:!!Other family:!!Female householder, no spouse present:!!No own children of the householder under 18 years:!!$45,000 to $49,999</t>
  </si>
  <si>
    <t>B19131_101</t>
  </si>
  <si>
    <t>Estimate!!Total:!!Other family:!!Female householder, no spouse present:!!No own children of the householder under 18 years:!!$50,000 to $59,999</t>
  </si>
  <si>
    <t>B19131_102</t>
  </si>
  <si>
    <t>Estimate!!Total:!!Other family:!!Female householder, no spouse present:!!No own children of the householder under 18 years:!!$60,000 to $74,999</t>
  </si>
  <si>
    <t>B19131_103</t>
  </si>
  <si>
    <t>Estimate!!Total:!!Other family:!!Female householder, no spouse present:!!No own children of the householder under 18 years:!!$75,000 to $99,999</t>
  </si>
  <si>
    <t>B19131_104</t>
  </si>
  <si>
    <t>Estimate!!Total:!!Other family:!!Female householder, no spouse present:!!No own children of the householder under 18 years:!!$100,000 to $124,999</t>
  </si>
  <si>
    <t>B19131_105</t>
  </si>
  <si>
    <t>Estimate!!Total:!!Other family:!!Female householder, no spouse present:!!No own children of the householder under 18 years:!!$125,000 to $149,999</t>
  </si>
  <si>
    <t>B19131_106</t>
  </si>
  <si>
    <t>Estimate!!Total:!!Other family:!!Female householder, no spouse present:!!No own children of the householder under 18 years:!!$150,000 to $199,999</t>
  </si>
  <si>
    <t>B19131_107</t>
  </si>
  <si>
    <t>Estimate!!Total:!!Other family:!!Female householder, no spouse present:!!No own children of the householder under 18 years:!!$200,000 or more</t>
  </si>
  <si>
    <t>B19201_002</t>
  </si>
  <si>
    <t>B19201_003</t>
  </si>
  <si>
    <t>B19201_004</t>
  </si>
  <si>
    <t>B19201_005</t>
  </si>
  <si>
    <t>B19201_006</t>
  </si>
  <si>
    <t>B19201_007</t>
  </si>
  <si>
    <t>B19201_008</t>
  </si>
  <si>
    <t>B19201_009</t>
  </si>
  <si>
    <t>B19201_010</t>
  </si>
  <si>
    <t>B19201_011</t>
  </si>
  <si>
    <t>B19201_012</t>
  </si>
  <si>
    <t>B19201_013</t>
  </si>
  <si>
    <t>B19201_014</t>
  </si>
  <si>
    <t>B19201_015</t>
  </si>
  <si>
    <t>B19201_016</t>
  </si>
  <si>
    <t>B19201_017</t>
  </si>
  <si>
    <t>B19215_002</t>
  </si>
  <si>
    <t>Estimate!!Median nonfamily household income in the past 12 months (in 2024 inflation-adjusted dollars) --!!Total (dollars):!!Male householder --!!Total (dollars)</t>
  </si>
  <si>
    <t>B19215_003</t>
  </si>
  <si>
    <t>Estimate!!Median nonfamily household income in the past 12 months (in 2024 inflation-adjusted dollars) --!!Total (dollars):!!Male householder --!!Total (dollars)!!Living alone --!!Total (dollars)</t>
  </si>
  <si>
    <t>B19215_004</t>
  </si>
  <si>
    <t>Estimate!!Median nonfamily household income in the past 12 months (in 2024 inflation-adjusted dollars) --!!Total (dollars):!!Male householder --!!Total (dollars)!!Living alone --!!Total (dollars)!!Householder 15 to 64 years (dollars)</t>
  </si>
  <si>
    <t>B19215_005</t>
  </si>
  <si>
    <t>Estimate!!Median nonfamily household income in the past 12 months (in 2024 inflation-adjusted dollars) --!!Total (dollars):!!Male householder --!!Total (dollars)!!Living alone --!!Total (dollars)!!Householder 65 years and over (dollars)</t>
  </si>
  <si>
    <t>B19215_006</t>
  </si>
  <si>
    <t>Estimate!!Median nonfamily household income in the past 12 months (in 2024 inflation-adjusted dollars) --!!Total (dollars):!!Male householder --!!Total (dollars)!!Not living alone --!!Total (dollars)</t>
  </si>
  <si>
    <t>B19215_007</t>
  </si>
  <si>
    <t>Estimate!!Median nonfamily household income in the past 12 months (in 2024 inflation-adjusted dollars) --!!Total (dollars):!!Male householder --!!Total (dollars)!!Not living alone --!!Total (dollars)!!Householder 15 to 64 years (dollars)</t>
  </si>
  <si>
    <t>B19215_008</t>
  </si>
  <si>
    <t>Estimate!!Median nonfamily household income in the past 12 months (in 2024 inflation-adjusted dollars) --!!Total (dollars):!!Male householder --!!Total (dollars)!!Not living alone --!!Total (dollars)!!Householder 65 years and over (dollars)</t>
  </si>
  <si>
    <t>B19215_009</t>
  </si>
  <si>
    <t>Estimate!!Median nonfamily household income in the past 12 months (in 2024 inflation-adjusted dollars) --!!Total (dollars):!!Female householder --!!Total (dollars)</t>
  </si>
  <si>
    <t>B19215_010</t>
  </si>
  <si>
    <t>Estimate!!Median nonfamily household income in the past 12 months (in 2024 inflation-adjusted dollars) --!!Total (dollars):!!Female householder --!!Total (dollars)!!Living alone --!!Total (dollars)</t>
  </si>
  <si>
    <t>B19215_011</t>
  </si>
  <si>
    <t>Estimate!!Median nonfamily household income in the past 12 months (in 2024 inflation-adjusted dollars) --!!Total (dollars):!!Female householder --!!Total (dollars)!!Living alone --!!Total (dollars)!!Householder 15 to 64 years (dollars)</t>
  </si>
  <si>
    <t>B19215_012</t>
  </si>
  <si>
    <t>Estimate!!Median nonfamily household income in the past 12 months (in 2024 inflation-adjusted dollars) --!!Total (dollars):!!Female householder --!!Total (dollars)!!Living alone --!!Total (dollars)!!Householder 65 years and over (dollars)</t>
  </si>
  <si>
    <t>B19215_013</t>
  </si>
  <si>
    <t>Estimate!!Median nonfamily household income in the past 12 months (in 2024 inflation-adjusted dollars) --!!Total (dollars):!!Female householder --!!Total (dollars)!!Not living alone --!!Total (dollars)</t>
  </si>
  <si>
    <t>B19215_014</t>
  </si>
  <si>
    <t>Estimate!!Median nonfamily household income in the past 12 months (in 2024 inflation-adjusted dollars) --!!Total (dollars):!!Female householder --!!Total (dollars)!!Not living alone --!!Total (dollars)!!Householder 15 to 64 years (dollars)</t>
  </si>
  <si>
    <t>B19215_015</t>
  </si>
  <si>
    <t>Estimate!!Median nonfamily household income in the past 12 months (in 2024 inflation-adjusted dollars) --!!Total (dollars):!!Female householder --!!Total (dollars)!!Not living alone --!!Total (dollars)!!Householder 65 years and over (dollars)</t>
  </si>
  <si>
    <t>B19216_002</t>
  </si>
  <si>
    <t>Estimate!!Aggregate nonfamily household income in the past 12 months (in 2024 inflation-adjusted dollars):!!Male householder (dollars):</t>
  </si>
  <si>
    <t>B19216_003</t>
  </si>
  <si>
    <t>Estimate!!Aggregate nonfamily household income in the past 12 months (in 2024 inflation-adjusted dollars):!!Male householder (dollars):!!Living alone (dollars):</t>
  </si>
  <si>
    <t>B19216_004</t>
  </si>
  <si>
    <t>Estimate!!Aggregate nonfamily household income in the past 12 months (in 2024 inflation-adjusted dollars):!!Male householder (dollars):!!Living alone (dollars):!!Householder 15 to 64 years (dollars)</t>
  </si>
  <si>
    <t>B19216_005</t>
  </si>
  <si>
    <t>Estimate!!Aggregate nonfamily household income in the past 12 months (in 2024 inflation-adjusted dollars):!!Male householder (dollars):!!Living alone (dollars):!!Householder 65 years and over (dollars)</t>
  </si>
  <si>
    <t>B19216_006</t>
  </si>
  <si>
    <t>Estimate!!Aggregate nonfamily household income in the past 12 months (in 2024 inflation-adjusted dollars):!!Male householder (dollars):!!Not living alone (dollars):</t>
  </si>
  <si>
    <t>B19216_007</t>
  </si>
  <si>
    <t>Estimate!!Aggregate nonfamily household income in the past 12 months (in 2024 inflation-adjusted dollars):!!Male householder (dollars):!!Not living alone (dollars):!!Householder 15 to 64 years (dollars)</t>
  </si>
  <si>
    <t>B19216_008</t>
  </si>
  <si>
    <t>Estimate!!Aggregate nonfamily household income in the past 12 months (in 2024 inflation-adjusted dollars):!!Male householder (dollars):!!Not living alone (dollars):!!Householder 65 years and over (dollars)</t>
  </si>
  <si>
    <t>B19216_009</t>
  </si>
  <si>
    <t>Estimate!!Aggregate nonfamily household income in the past 12 months (in 2024 inflation-adjusted dollars):!!Female householder (dollars):</t>
  </si>
  <si>
    <t>B19216_010</t>
  </si>
  <si>
    <t>Estimate!!Aggregate nonfamily household income in the past 12 months (in 2024 inflation-adjusted dollars):!!Female householder (dollars):!!Living alone (dollars):</t>
  </si>
  <si>
    <t>B19216_011</t>
  </si>
  <si>
    <t>Estimate!!Aggregate nonfamily household income in the past 12 months (in 2024 inflation-adjusted dollars):!!Female householder (dollars):!!Living alone (dollars):!!Householder 15 to 64 years (dollars)</t>
  </si>
  <si>
    <t>B19216_012</t>
  </si>
  <si>
    <t>Estimate!!Aggregate nonfamily household income in the past 12 months (in 2024 inflation-adjusted dollars):!!Female householder (dollars):!!Living alone (dollars):!!Householder 65 years and over (dollars)</t>
  </si>
  <si>
    <t>B19216_013</t>
  </si>
  <si>
    <t>Estimate!!Aggregate nonfamily household income in the past 12 months (in 2024 inflation-adjusted dollars):!!Female householder (dollars):!!Not living alone (dollars):</t>
  </si>
  <si>
    <t>B19216_014</t>
  </si>
  <si>
    <t>Estimate!!Aggregate nonfamily household income in the past 12 months (in 2024 inflation-adjusted dollars):!!Female householder (dollars):!!Not living alone (dollars):!!Householder 15 to 64 years (dollars)</t>
  </si>
  <si>
    <t>B19216_015</t>
  </si>
  <si>
    <t>Estimate!!Aggregate nonfamily household income in the past 12 months (in 2024 inflation-adjusted dollars):!!Female householder (dollars):!!Not living alone (dollars):!!Householder 65 years and over (dollars)</t>
  </si>
  <si>
    <t>B19325_002</t>
  </si>
  <si>
    <t>B19325_003</t>
  </si>
  <si>
    <t>Estimate!!Total:!!Male:!!Worked full-time, year-round in the past 12 months:</t>
  </si>
  <si>
    <t>B19325_004</t>
  </si>
  <si>
    <t>Estimate!!Total:!!Male:!!Worked full-time, year-round in the past 12 months:!!No income</t>
  </si>
  <si>
    <t>B19325_005</t>
  </si>
  <si>
    <t>Estimate!!Total:!!Male:!!Worked full-time, year-round in the past 12 months:!!With income:</t>
  </si>
  <si>
    <t>B19325_006</t>
  </si>
  <si>
    <t>Estimate!!Total:!!Male:!!Worked full-time, year-round in the past 12 months:!!With income:!!$1 to $2,499 or loss</t>
  </si>
  <si>
    <t>B19325_007</t>
  </si>
  <si>
    <t>Estimate!!Total:!!Male:!!Worked full-time, year-round in the past 12 months:!!With income:!!$2,500 to $4,999</t>
  </si>
  <si>
    <t>B19325_008</t>
  </si>
  <si>
    <t>Estimate!!Total:!!Male:!!Worked full-time, year-round in the past 12 months:!!With income:!!$5,000 to $7,499</t>
  </si>
  <si>
    <t>B19325_009</t>
  </si>
  <si>
    <t>Estimate!!Total:!!Male:!!Worked full-time, year-round in the past 12 months:!!With income:!!$7,500 to $9,999</t>
  </si>
  <si>
    <t>B19325_010</t>
  </si>
  <si>
    <t>Estimate!!Total:!!Male:!!Worked full-time, year-round in the past 12 months:!!With income:!!$10,000 to $12,499</t>
  </si>
  <si>
    <t>B19325_011</t>
  </si>
  <si>
    <t>Estimate!!Total:!!Male:!!Worked full-time, year-round in the past 12 months:!!With income:!!$12,500 to $14,999</t>
  </si>
  <si>
    <t>B19325_012</t>
  </si>
  <si>
    <t>Estimate!!Total:!!Male:!!Worked full-time, year-round in the past 12 months:!!With income:!!$15,000 to $17,499</t>
  </si>
  <si>
    <t>B19325_013</t>
  </si>
  <si>
    <t>Estimate!!Total:!!Male:!!Worked full-time, year-round in the past 12 months:!!With income:!!$17,500 to $19,999</t>
  </si>
  <si>
    <t>B19325_014</t>
  </si>
  <si>
    <t>Estimate!!Total:!!Male:!!Worked full-time, year-round in the past 12 months:!!With income:!!$20,000 to $22,499</t>
  </si>
  <si>
    <t>B19325_015</t>
  </si>
  <si>
    <t>Estimate!!Total:!!Male:!!Worked full-time, year-round in the past 12 months:!!With income:!!$22,500 to $24,999</t>
  </si>
  <si>
    <t>B19325_016</t>
  </si>
  <si>
    <t>Estimate!!Total:!!Male:!!Worked full-time, year-round in the past 12 months:!!With income:!!$25,000 to $29,999</t>
  </si>
  <si>
    <t>B19325_017</t>
  </si>
  <si>
    <t>Estimate!!Total:!!Male:!!Worked full-time, year-round in the past 12 months:!!With income:!!$30,000 to $34,999</t>
  </si>
  <si>
    <t>B19325_018</t>
  </si>
  <si>
    <t>Estimate!!Total:!!Male:!!Worked full-time, year-round in the past 12 months:!!With income:!!$35,000 to $39,999</t>
  </si>
  <si>
    <t>B19325_019</t>
  </si>
  <si>
    <t>Estimate!!Total:!!Male:!!Worked full-time, year-round in the past 12 months:!!With income:!!$40,000 to $44,999</t>
  </si>
  <si>
    <t>B19325_020</t>
  </si>
  <si>
    <t>Estimate!!Total:!!Male:!!Worked full-time, year-round in the past 12 months:!!With income:!!$45,000 to $49,999</t>
  </si>
  <si>
    <t>B19325_021</t>
  </si>
  <si>
    <t>Estimate!!Total:!!Male:!!Worked full-time, year-round in the past 12 months:!!With income:!!$50,000 to $54,999</t>
  </si>
  <si>
    <t>B19325_022</t>
  </si>
  <si>
    <t>Estimate!!Total:!!Male:!!Worked full-time, year-round in the past 12 months:!!With income:!!$55,000 to $64,999</t>
  </si>
  <si>
    <t>B19325_023</t>
  </si>
  <si>
    <t>Estimate!!Total:!!Male:!!Worked full-time, year-round in the past 12 months:!!With income:!!$65,000 to $74,999</t>
  </si>
  <si>
    <t>B19325_024</t>
  </si>
  <si>
    <t>Estimate!!Total:!!Male:!!Worked full-time, year-round in the past 12 months:!!With income:!!$75,000 to $99,999</t>
  </si>
  <si>
    <t>B19325_025</t>
  </si>
  <si>
    <t>Estimate!!Total:!!Male:!!Worked full-time, year-round in the past 12 months:!!With income:!!$100,000 or more</t>
  </si>
  <si>
    <t>B19325_026</t>
  </si>
  <si>
    <t>Estimate!!Total:!!Male:!!Other:</t>
  </si>
  <si>
    <t>B19325_027</t>
  </si>
  <si>
    <t>Estimate!!Total:!!Male:!!Other:!!No income</t>
  </si>
  <si>
    <t>B19325_028</t>
  </si>
  <si>
    <t>Estimate!!Total:!!Male:!!Other:!!With income:</t>
  </si>
  <si>
    <t>B19325_029</t>
  </si>
  <si>
    <t>Estimate!!Total:!!Male:!!Other:!!With income:!!$1 to $2,499 or loss</t>
  </si>
  <si>
    <t>B19325_030</t>
  </si>
  <si>
    <t>Estimate!!Total:!!Male:!!Other:!!With income:!!$2,500 to $4,999</t>
  </si>
  <si>
    <t>B19325_031</t>
  </si>
  <si>
    <t>Estimate!!Total:!!Male:!!Other:!!With income:!!$5,000 to $7,499</t>
  </si>
  <si>
    <t>B19325_032</t>
  </si>
  <si>
    <t>Estimate!!Total:!!Male:!!Other:!!With income:!!$7,500 to $9,999</t>
  </si>
  <si>
    <t>B19325_033</t>
  </si>
  <si>
    <t>Estimate!!Total:!!Male:!!Other:!!With income:!!$10,000 to $12,499</t>
  </si>
  <si>
    <t>B19325_034</t>
  </si>
  <si>
    <t>Estimate!!Total:!!Male:!!Other:!!With income:!!$12,500 to $14,999</t>
  </si>
  <si>
    <t>B19325_035</t>
  </si>
  <si>
    <t>Estimate!!Total:!!Male:!!Other:!!With income:!!$15,000 to $17,499</t>
  </si>
  <si>
    <t>B19325_036</t>
  </si>
  <si>
    <t>Estimate!!Total:!!Male:!!Other:!!With income:!!$17,500 to $19,999</t>
  </si>
  <si>
    <t>B19325_037</t>
  </si>
  <si>
    <t>Estimate!!Total:!!Male:!!Other:!!With income:!!$20,000 to $22,499</t>
  </si>
  <si>
    <t>B19325_038</t>
  </si>
  <si>
    <t>Estimate!!Total:!!Male:!!Other:!!With income:!!$22,500 to $24,999</t>
  </si>
  <si>
    <t>B19325_039</t>
  </si>
  <si>
    <t>Estimate!!Total:!!Male:!!Other:!!With income:!!$25,000 to $29,999</t>
  </si>
  <si>
    <t>B19325_040</t>
  </si>
  <si>
    <t>Estimate!!Total:!!Male:!!Other:!!With income:!!$30,000 to $34,999</t>
  </si>
  <si>
    <t>B19325_041</t>
  </si>
  <si>
    <t>Estimate!!Total:!!Male:!!Other:!!With income:!!$35,000 to $39,999</t>
  </si>
  <si>
    <t>B19325_042</t>
  </si>
  <si>
    <t>Estimate!!Total:!!Male:!!Other:!!With income:!!$40,000 to $44,999</t>
  </si>
  <si>
    <t>B19325_043</t>
  </si>
  <si>
    <t>Estimate!!Total:!!Male:!!Other:!!With income:!!$45,000 to $49,999</t>
  </si>
  <si>
    <t>B19325_044</t>
  </si>
  <si>
    <t>Estimate!!Total:!!Male:!!Other:!!With income:!!$50,000 to $54,999</t>
  </si>
  <si>
    <t>B19325_045</t>
  </si>
  <si>
    <t>Estimate!!Total:!!Male:!!Other:!!With income:!!$55,000 to $64,999</t>
  </si>
  <si>
    <t>B19325_046</t>
  </si>
  <si>
    <t>Estimate!!Total:!!Male:!!Other:!!With income:!!$65,000 to $74,999</t>
  </si>
  <si>
    <t>B19325_047</t>
  </si>
  <si>
    <t>Estimate!!Total:!!Male:!!Other:!!With income:!!$75,000 to $99,999</t>
  </si>
  <si>
    <t>B19325_048</t>
  </si>
  <si>
    <t>Estimate!!Total:!!Male:!!Other:!!With income:!!$100,000 or more</t>
  </si>
  <si>
    <t>B19325_049</t>
  </si>
  <si>
    <t>B19325_050</t>
  </si>
  <si>
    <t>Estimate!!Total:!!Female:!!Worked full-time, year-round in the past 12 months:</t>
  </si>
  <si>
    <t>B19325_051</t>
  </si>
  <si>
    <t>Estimate!!Total:!!Female:!!Worked full-time, year-round in the past 12 months:!!No income</t>
  </si>
  <si>
    <t>B19325_052</t>
  </si>
  <si>
    <t>Estimate!!Total:!!Female:!!Worked full-time, year-round in the past 12 months:!!With income:</t>
  </si>
  <si>
    <t>B19325_053</t>
  </si>
  <si>
    <t>Estimate!!Total:!!Female:!!Worked full-time, year-round in the past 12 months:!!With income:!!$1 to $2,499 or loss</t>
  </si>
  <si>
    <t>B19325_054</t>
  </si>
  <si>
    <t>Estimate!!Total:!!Female:!!Worked full-time, year-round in the past 12 months:!!With income:!!$2,500 to $4,999</t>
  </si>
  <si>
    <t>B19325_055</t>
  </si>
  <si>
    <t>Estimate!!Total:!!Female:!!Worked full-time, year-round in the past 12 months:!!With income:!!$5,000 to $7,499</t>
  </si>
  <si>
    <t>B19325_056</t>
  </si>
  <si>
    <t>Estimate!!Total:!!Female:!!Worked full-time, year-round in the past 12 months:!!With income:!!$7,500 to $9,999</t>
  </si>
  <si>
    <t>B19325_057</t>
  </si>
  <si>
    <t>Estimate!!Total:!!Female:!!Worked full-time, year-round in the past 12 months:!!With income:!!$10,000 to $12,499</t>
  </si>
  <si>
    <t>B19325_058</t>
  </si>
  <si>
    <t>Estimate!!Total:!!Female:!!Worked full-time, year-round in the past 12 months:!!With income:!!$12,500 to $14,999</t>
  </si>
  <si>
    <t>B19325_059</t>
  </si>
  <si>
    <t>Estimate!!Total:!!Female:!!Worked full-time, year-round in the past 12 months:!!With income:!!$15,000 to $17,499</t>
  </si>
  <si>
    <t>B19325_060</t>
  </si>
  <si>
    <t>Estimate!!Total:!!Female:!!Worked full-time, year-round in the past 12 months:!!With income:!!$17,500 to $19,999</t>
  </si>
  <si>
    <t>B19325_061</t>
  </si>
  <si>
    <t>Estimate!!Total:!!Female:!!Worked full-time, year-round in the past 12 months:!!With income:!!$20,000 to $22,499</t>
  </si>
  <si>
    <t>B19325_062</t>
  </si>
  <si>
    <t>Estimate!!Total:!!Female:!!Worked full-time, year-round in the past 12 months:!!With income:!!$22,500 to $24,999</t>
  </si>
  <si>
    <t>B19325_063</t>
  </si>
  <si>
    <t>Estimate!!Total:!!Female:!!Worked full-time, year-round in the past 12 months:!!With income:!!$25,000 to $29,999</t>
  </si>
  <si>
    <t>B19325_064</t>
  </si>
  <si>
    <t>Estimate!!Total:!!Female:!!Worked full-time, year-round in the past 12 months:!!With income:!!$30,000 to $34,999</t>
  </si>
  <si>
    <t>B19325_065</t>
  </si>
  <si>
    <t>Estimate!!Total:!!Female:!!Worked full-time, year-round in the past 12 months:!!With income:!!$35,000 to $39,999</t>
  </si>
  <si>
    <t>B19325_066</t>
  </si>
  <si>
    <t>Estimate!!Total:!!Female:!!Worked full-time, year-round in the past 12 months:!!With income:!!$40,000 to $44,999</t>
  </si>
  <si>
    <t>B19325_067</t>
  </si>
  <si>
    <t>Estimate!!Total:!!Female:!!Worked full-time, year-round in the past 12 months:!!With income:!!$45,000 to $49,999</t>
  </si>
  <si>
    <t>B19325_068</t>
  </si>
  <si>
    <t>Estimate!!Total:!!Female:!!Worked full-time, year-round in the past 12 months:!!With income:!!$50,000 to $54,999</t>
  </si>
  <si>
    <t>B19325_069</t>
  </si>
  <si>
    <t>Estimate!!Total:!!Female:!!Worked full-time, year-round in the past 12 months:!!With income:!!$55,000 to $64,999</t>
  </si>
  <si>
    <t>B19325_070</t>
  </si>
  <si>
    <t>Estimate!!Total:!!Female:!!Worked full-time, year-round in the past 12 months:!!With income:!!$65,000 to $74,999</t>
  </si>
  <si>
    <t>B19325_071</t>
  </si>
  <si>
    <t>Estimate!!Total:!!Female:!!Worked full-time, year-round in the past 12 months:!!With income:!!$75,000 to $99,999</t>
  </si>
  <si>
    <t>B19325_072</t>
  </si>
  <si>
    <t>Estimate!!Total:!!Female:!!Worked full-time, year-round in the past 12 months:!!With income:!!$100,000 or more</t>
  </si>
  <si>
    <t>B19325_073</t>
  </si>
  <si>
    <t>Estimate!!Total:!!Female:!!Other:</t>
  </si>
  <si>
    <t>B19325_074</t>
  </si>
  <si>
    <t>Estimate!!Total:!!Female:!!Other:!!No income</t>
  </si>
  <si>
    <t>B19325_075</t>
  </si>
  <si>
    <t>Estimate!!Total:!!Female:!!Other:!!With income:</t>
  </si>
  <si>
    <t>B19325_076</t>
  </si>
  <si>
    <t>Estimate!!Total:!!Female:!!Other:!!With income:!!$1 to $2,499 or loss</t>
  </si>
  <si>
    <t>B19325_077</t>
  </si>
  <si>
    <t>Estimate!!Total:!!Female:!!Other:!!With income:!!$2,500 to $4,999</t>
  </si>
  <si>
    <t>B19325_078</t>
  </si>
  <si>
    <t>Estimate!!Total:!!Female:!!Other:!!With income:!!$5,000 to $7,499</t>
  </si>
  <si>
    <t>B19325_079</t>
  </si>
  <si>
    <t>Estimate!!Total:!!Female:!!Other:!!With income:!!$7,500 to $9,999</t>
  </si>
  <si>
    <t>B19325_080</t>
  </si>
  <si>
    <t>Estimate!!Total:!!Female:!!Other:!!With income:!!$10,000 to $12,499</t>
  </si>
  <si>
    <t>B19325_081</t>
  </si>
  <si>
    <t>Estimate!!Total:!!Female:!!Other:!!With income:!!$12,500 to $14,999</t>
  </si>
  <si>
    <t>B19325_082</t>
  </si>
  <si>
    <t>Estimate!!Total:!!Female:!!Other:!!With income:!!$15,000 to $17,499</t>
  </si>
  <si>
    <t>B19325_083</t>
  </si>
  <si>
    <t>Estimate!!Total:!!Female:!!Other:!!With income:!!$17,500 to $19,999</t>
  </si>
  <si>
    <t>B19325_084</t>
  </si>
  <si>
    <t>Estimate!!Total:!!Female:!!Other:!!With income:!!$20,000 to $22,499</t>
  </si>
  <si>
    <t>B19325_085</t>
  </si>
  <si>
    <t>Estimate!!Total:!!Female:!!Other:!!With income:!!$22,500 to $24,999</t>
  </si>
  <si>
    <t>B19325_086</t>
  </si>
  <si>
    <t>Estimate!!Total:!!Female:!!Other:!!With income:!!$25,000 to $29,999</t>
  </si>
  <si>
    <t>B19325_087</t>
  </si>
  <si>
    <t>Estimate!!Total:!!Female:!!Other:!!With income:!!$30,000 to $34,999</t>
  </si>
  <si>
    <t>B19325_088</t>
  </si>
  <si>
    <t>Estimate!!Total:!!Female:!!Other:!!With income:!!$35,000 to $39,999</t>
  </si>
  <si>
    <t>B19325_089</t>
  </si>
  <si>
    <t>Estimate!!Total:!!Female:!!Other:!!With income:!!$40,000 to $44,999</t>
  </si>
  <si>
    <t>B19325_090</t>
  </si>
  <si>
    <t>Estimate!!Total:!!Female:!!Other:!!With income:!!$45,000 to $49,999</t>
  </si>
  <si>
    <t>B19325_091</t>
  </si>
  <si>
    <t>Estimate!!Total:!!Female:!!Other:!!With income:!!$50,000 to $54,999</t>
  </si>
  <si>
    <t>B19325_092</t>
  </si>
  <si>
    <t>Estimate!!Total:!!Female:!!Other:!!With income:!!$55,000 to $64,999</t>
  </si>
  <si>
    <t>B19325_093</t>
  </si>
  <si>
    <t>Estimate!!Total:!!Female:!!Other:!!With income:!!$65,000 to $74,999</t>
  </si>
  <si>
    <t>B19325_094</t>
  </si>
  <si>
    <t>Estimate!!Total:!!Female:!!Other:!!With income:!!$75,000 to $99,999</t>
  </si>
  <si>
    <t>B19325_095</t>
  </si>
  <si>
    <t>Estimate!!Total:!!Female:!!Other:!!With income:!!$100,000 or more</t>
  </si>
  <si>
    <t>B19326_002</t>
  </si>
  <si>
    <t>Estimate!!Median income in the past 12 months (in 2024 inflation-adjusted dollars) --!!Total (dollars):!!Male --!!Total (dollars)</t>
  </si>
  <si>
    <t>B19326_003</t>
  </si>
  <si>
    <t>Estimate!!Median income in the past 12 months (in 2024 inflation-adjusted dollars) --!!Total (dollars):!!Male --!!Total (dollars)!!Worked full-time, year-round in the past 12 months (dollars)</t>
  </si>
  <si>
    <t>B19326_004</t>
  </si>
  <si>
    <t>Estimate!!Median income in the past 12 months (in 2024 inflation-adjusted dollars) --!!Total (dollars):!!Male --!!Total (dollars)!!Other (dollars)</t>
  </si>
  <si>
    <t>B19326_005</t>
  </si>
  <si>
    <t>Estimate!!Median income in the past 12 months (in 2024 inflation-adjusted dollars) --!!Total (dollars):!!Female --!!Total (dollars)</t>
  </si>
  <si>
    <t>B19326_006</t>
  </si>
  <si>
    <t>Estimate!!Median income in the past 12 months (in 2024 inflation-adjusted dollars) --!!Total (dollars):!!Female --!!Total (dollars)!!Worked full-time, year-round in the past 12 months (dollars)</t>
  </si>
  <si>
    <t>B19326_007</t>
  </si>
  <si>
    <t>Estimate!!Median income in the past 12 months (in 2024 inflation-adjusted dollars) --!!Total (dollars):!!Female --!!Total (dollars)!!Other (dollars)</t>
  </si>
  <si>
    <t>B20001_002</t>
  </si>
  <si>
    <t>B20001_003</t>
  </si>
  <si>
    <t>Estimate!!Total:!!Male:!!$1 to $2,499 or loss</t>
  </si>
  <si>
    <t>B20001_004</t>
  </si>
  <si>
    <t>Estimate!!Total:!!Male:!!$2,500 to $4,999</t>
  </si>
  <si>
    <t>B20001_005</t>
  </si>
  <si>
    <t>Estimate!!Total:!!Male:!!$5,000 to $7,499</t>
  </si>
  <si>
    <t>B20001_006</t>
  </si>
  <si>
    <t>Estimate!!Total:!!Male:!!$7,500 to $9,999</t>
  </si>
  <si>
    <t>B20001_007</t>
  </si>
  <si>
    <t>Estimate!!Total:!!Male:!!$10,000 to $12,499</t>
  </si>
  <si>
    <t>B20001_008</t>
  </si>
  <si>
    <t>Estimate!!Total:!!Male:!!$12,500 to $14,999</t>
  </si>
  <si>
    <t>B20001_009</t>
  </si>
  <si>
    <t>Estimate!!Total:!!Male:!!$15,000 to $17,499</t>
  </si>
  <si>
    <t>B20001_010</t>
  </si>
  <si>
    <t>Estimate!!Total:!!Male:!!$17,500 to $19,999</t>
  </si>
  <si>
    <t>B20001_011</t>
  </si>
  <si>
    <t>Estimate!!Total:!!Male:!!$20,000 to $22,499</t>
  </si>
  <si>
    <t>B20001_012</t>
  </si>
  <si>
    <t>Estimate!!Total:!!Male:!!$22,500 to $24,999</t>
  </si>
  <si>
    <t>B20001_013</t>
  </si>
  <si>
    <t>Estimate!!Total:!!Male:!!$25,000 to $29,999</t>
  </si>
  <si>
    <t>B20001_014</t>
  </si>
  <si>
    <t>Estimate!!Total:!!Male:!!$30,000 to $34,999</t>
  </si>
  <si>
    <t>B20001_015</t>
  </si>
  <si>
    <t>Estimate!!Total:!!Male:!!$35,000 to $39,999</t>
  </si>
  <si>
    <t>B20001_016</t>
  </si>
  <si>
    <t>Estimate!!Total:!!Male:!!$40,000 to $44,999</t>
  </si>
  <si>
    <t>B20001_017</t>
  </si>
  <si>
    <t>Estimate!!Total:!!Male:!!$45,000 to $49,999</t>
  </si>
  <si>
    <t>B20001_018</t>
  </si>
  <si>
    <t>Estimate!!Total:!!Male:!!$50,000 to $54,999</t>
  </si>
  <si>
    <t>B20001_019</t>
  </si>
  <si>
    <t>Estimate!!Total:!!Male:!!$55,000 to $64,999</t>
  </si>
  <si>
    <t>B20001_020</t>
  </si>
  <si>
    <t>Estimate!!Total:!!Male:!!$65,000 to $74,999</t>
  </si>
  <si>
    <t>B20001_021</t>
  </si>
  <si>
    <t>Estimate!!Total:!!Male:!!$75,000 to $99,999</t>
  </si>
  <si>
    <t>B20001_022</t>
  </si>
  <si>
    <t>Estimate!!Total:!!Male:!!$100,000 or more</t>
  </si>
  <si>
    <t>B20001_023</t>
  </si>
  <si>
    <t>B20001_024</t>
  </si>
  <si>
    <t>Estimate!!Total:!!Female:!!$1 to $2,499 or loss</t>
  </si>
  <si>
    <t>B20001_025</t>
  </si>
  <si>
    <t>Estimate!!Total:!!Female:!!$2,500 to $4,999</t>
  </si>
  <si>
    <t>B20001_026</t>
  </si>
  <si>
    <t>Estimate!!Total:!!Female:!!$5,000 to $7,499</t>
  </si>
  <si>
    <t>B20001_027</t>
  </si>
  <si>
    <t>Estimate!!Total:!!Female:!!$7,500 to $9,999</t>
  </si>
  <si>
    <t>B20001_028</t>
  </si>
  <si>
    <t>Estimate!!Total:!!Female:!!$10,000 to $12,499</t>
  </si>
  <si>
    <t>B20001_029</t>
  </si>
  <si>
    <t>Estimate!!Total:!!Female:!!$12,500 to $14,999</t>
  </si>
  <si>
    <t>B20001_030</t>
  </si>
  <si>
    <t>Estimate!!Total:!!Female:!!$15,000 to $17,499</t>
  </si>
  <si>
    <t>B20001_031</t>
  </si>
  <si>
    <t>Estimate!!Total:!!Female:!!$17,500 to $19,999</t>
  </si>
  <si>
    <t>B20001_032</t>
  </si>
  <si>
    <t>Estimate!!Total:!!Female:!!$20,000 to $22,499</t>
  </si>
  <si>
    <t>B20001_033</t>
  </si>
  <si>
    <t>Estimate!!Total:!!Female:!!$22,500 to $24,999</t>
  </si>
  <si>
    <t>B20001_034</t>
  </si>
  <si>
    <t>Estimate!!Total:!!Female:!!$25,000 to $29,999</t>
  </si>
  <si>
    <t>B20001_035</t>
  </si>
  <si>
    <t>Estimate!!Total:!!Female:!!$30,000 to $34,999</t>
  </si>
  <si>
    <t>B20001_036</t>
  </si>
  <si>
    <t>Estimate!!Total:!!Female:!!$35,000 to $39,999</t>
  </si>
  <si>
    <t>B20001_037</t>
  </si>
  <si>
    <t>Estimate!!Total:!!Female:!!$40,000 to $44,999</t>
  </si>
  <si>
    <t>B20001_038</t>
  </si>
  <si>
    <t>Estimate!!Total:!!Female:!!$45,000 to $49,999</t>
  </si>
  <si>
    <t>B20001_039</t>
  </si>
  <si>
    <t>Estimate!!Total:!!Female:!!$50,000 to $54,999</t>
  </si>
  <si>
    <t>B20001_040</t>
  </si>
  <si>
    <t>Estimate!!Total:!!Female:!!$55,000 to $64,999</t>
  </si>
  <si>
    <t>B20001_041</t>
  </si>
  <si>
    <t>Estimate!!Total:!!Female:!!$65,000 to $74,999</t>
  </si>
  <si>
    <t>B20001_042</t>
  </si>
  <si>
    <t>Estimate!!Total:!!Female:!!$75,000 to $99,999</t>
  </si>
  <si>
    <t>B20001_043</t>
  </si>
  <si>
    <t>Estimate!!Total:!!Female:!!$100,000 or more</t>
  </si>
  <si>
    <t>B20002_002</t>
  </si>
  <si>
    <t>Estimate!!Median earnings in the past 12 months (in 2024 inflation-adjusted dollars) --!!Male</t>
  </si>
  <si>
    <t>B20002_003</t>
  </si>
  <si>
    <t>Estimate!!Median earnings in the past 12 months (in 2024 inflation-adjusted dollars) --!!Female</t>
  </si>
  <si>
    <t>B20003_002</t>
  </si>
  <si>
    <t>Estimate!!Aggregate earnings in the past 12 months (in 2024 inflation-adjusted dollars):!!Male:</t>
  </si>
  <si>
    <t>B20003_003</t>
  </si>
  <si>
    <t>Estimate!!Aggregate earnings in the past 12 months (in 2024 inflation-adjusted dollars):!!Male:!!Worked full-time, year-round in the past 12 months</t>
  </si>
  <si>
    <t>B20003_004</t>
  </si>
  <si>
    <t>Estimate!!Aggregate earnings in the past 12 months (in 2024 inflation-adjusted dollars):!!Male:!!Other</t>
  </si>
  <si>
    <t>B20003_005</t>
  </si>
  <si>
    <t>Estimate!!Aggregate earnings in the past 12 months (in 2024 inflation-adjusted dollars):!!Female:</t>
  </si>
  <si>
    <t>B20003_006</t>
  </si>
  <si>
    <t>Estimate!!Aggregate earnings in the past 12 months (in 2024 inflation-adjusted dollars):!!Female:!!Worked full-time, year-round in the past 12 months</t>
  </si>
  <si>
    <t>B20003_007</t>
  </si>
  <si>
    <t>Estimate!!Aggregate earnings in the past 12 months (in 2024 inflation-adjusted dollars):!!Female:!!Other</t>
  </si>
  <si>
    <t>B20004_002</t>
  </si>
  <si>
    <t>B20004_003</t>
  </si>
  <si>
    <t>B20004_004</t>
  </si>
  <si>
    <t>B20004_005</t>
  </si>
  <si>
    <t>B20004_006</t>
  </si>
  <si>
    <t>B20004_007</t>
  </si>
  <si>
    <t>B20004_008</t>
  </si>
  <si>
    <t>Estimate!!Total:!!Male:!!Less than high school graduate</t>
  </si>
  <si>
    <t>B20004_009</t>
  </si>
  <si>
    <t>B20004_010</t>
  </si>
  <si>
    <t>Estimate!!Total:!!Male:!!Some college or associate's degree</t>
  </si>
  <si>
    <t>B20004_011</t>
  </si>
  <si>
    <t>B20004_012</t>
  </si>
  <si>
    <t>Estimate!!Total:!!Male:!!Graduate or professional degree</t>
  </si>
  <si>
    <t>B20004_013</t>
  </si>
  <si>
    <t>B20004_014</t>
  </si>
  <si>
    <t>Estimate!!Total:!!Female:!!Less than high school graduate</t>
  </si>
  <si>
    <t>B20004_015</t>
  </si>
  <si>
    <t>B20004_016</t>
  </si>
  <si>
    <t>Estimate!!Total:!!Female:!!Some college or associate's degree</t>
  </si>
  <si>
    <t>B20004_017</t>
  </si>
  <si>
    <t>B20004_018</t>
  </si>
  <si>
    <t>Estimate!!Total:!!Female:!!Graduate or professional degree</t>
  </si>
  <si>
    <t>B20005A_002</t>
  </si>
  <si>
    <t>B20005A_003</t>
  </si>
  <si>
    <t>B20005A_004</t>
  </si>
  <si>
    <t>Estimate!!Total:!!Male:!!Worked full-time, year-round in the past 12 months:!!No earnings</t>
  </si>
  <si>
    <t>B20005A_005</t>
  </si>
  <si>
    <t>Estimate!!Total:!!Male:!!Worked full-time, year-round in the past 12 months:!!With earnings:</t>
  </si>
  <si>
    <t>B20005A_006</t>
  </si>
  <si>
    <t>Estimate!!Total:!!Male:!!Worked full-time, year-round in the past 12 months:!!With earnings:!!$1 to $2,499 or loss</t>
  </si>
  <si>
    <t>B20005A_007</t>
  </si>
  <si>
    <t>Estimate!!Total:!!Male:!!Worked full-time, year-round in the past 12 months:!!With earnings:!!$2,500 to $4,999</t>
  </si>
  <si>
    <t>B20005A_008</t>
  </si>
  <si>
    <t>Estimate!!Total:!!Male:!!Worked full-time, year-round in the past 12 months:!!With earnings:!!$5,000 to $7,499</t>
  </si>
  <si>
    <t>B20005A_009</t>
  </si>
  <si>
    <t>Estimate!!Total:!!Male:!!Worked full-time, year-round in the past 12 months:!!With earnings:!!$7,500 to $9,999</t>
  </si>
  <si>
    <t>B20005A_010</t>
  </si>
  <si>
    <t>Estimate!!Total:!!Male:!!Worked full-time, year-round in the past 12 months:!!With earnings:!!$10,000 to $12,499</t>
  </si>
  <si>
    <t>B20005A_011</t>
  </si>
  <si>
    <t>Estimate!!Total:!!Male:!!Worked full-time, year-round in the past 12 months:!!With earnings:!!$12,500 to $14,999</t>
  </si>
  <si>
    <t>B20005A_012</t>
  </si>
  <si>
    <t>Estimate!!Total:!!Male:!!Worked full-time, year-round in the past 12 months:!!With earnings:!!$15,000 to $17,499</t>
  </si>
  <si>
    <t>B20005A_013</t>
  </si>
  <si>
    <t>Estimate!!Total:!!Male:!!Worked full-time, year-round in the past 12 months:!!With earnings:!!$17,500 to $19,999</t>
  </si>
  <si>
    <t>B20005A_014</t>
  </si>
  <si>
    <t>Estimate!!Total:!!Male:!!Worked full-time, year-round in the past 12 months:!!With earnings:!!$20,000 to $22,499</t>
  </si>
  <si>
    <t>B20005A_015</t>
  </si>
  <si>
    <t>Estimate!!Total:!!Male:!!Worked full-time, year-round in the past 12 months:!!With earnings:!!$22,500 to $24,999</t>
  </si>
  <si>
    <t>B20005A_016</t>
  </si>
  <si>
    <t>Estimate!!Total:!!Male:!!Worked full-time, year-round in the past 12 months:!!With earnings:!!$25,000 to $29,999</t>
  </si>
  <si>
    <t>B20005A_017</t>
  </si>
  <si>
    <t>Estimate!!Total:!!Male:!!Worked full-time, year-round in the past 12 months:!!With earnings:!!$30,000 to $34,999</t>
  </si>
  <si>
    <t>B20005A_018</t>
  </si>
  <si>
    <t>Estimate!!Total:!!Male:!!Worked full-time, year-round in the past 12 months:!!With earnings:!!$35,000 to $39,999</t>
  </si>
  <si>
    <t>B20005A_019</t>
  </si>
  <si>
    <t>Estimate!!Total:!!Male:!!Worked full-time, year-round in the past 12 months:!!With earnings:!!$40,000 to $44,999</t>
  </si>
  <si>
    <t>B20005A_020</t>
  </si>
  <si>
    <t>Estimate!!Total:!!Male:!!Worked full-time, year-round in the past 12 months:!!With earnings:!!$45,000 to $49,999</t>
  </si>
  <si>
    <t>B20005A_021</t>
  </si>
  <si>
    <t>Estimate!!Total:!!Male:!!Worked full-time, year-round in the past 12 months:!!With earnings:!!$50,000 to $54,999</t>
  </si>
  <si>
    <t>B20005A_022</t>
  </si>
  <si>
    <t>Estimate!!Total:!!Male:!!Worked full-time, year-round in the past 12 months:!!With earnings:!!$55,000 to $64,999</t>
  </si>
  <si>
    <t>B20005A_023</t>
  </si>
  <si>
    <t>Estimate!!Total:!!Male:!!Worked full-time, year-round in the past 12 months:!!With earnings:!!$65,000 to $74,999</t>
  </si>
  <si>
    <t>B20005A_024</t>
  </si>
  <si>
    <t>Estimate!!Total:!!Male:!!Worked full-time, year-round in the past 12 months:!!With earnings:!!$75,000 to $99,999</t>
  </si>
  <si>
    <t>B20005A_025</t>
  </si>
  <si>
    <t>Estimate!!Total:!!Male:!!Worked full-time, year-round in the past 12 months:!!With earnings:!!$100,000 or more</t>
  </si>
  <si>
    <t>B20005A_026</t>
  </si>
  <si>
    <t>B20005A_027</t>
  </si>
  <si>
    <t>Estimate!!Total:!!Male:!!Other:!!No earnings</t>
  </si>
  <si>
    <t>B20005A_028</t>
  </si>
  <si>
    <t>Estimate!!Total:!!Male:!!Other:!!With earnings:</t>
  </si>
  <si>
    <t>B20005A_029</t>
  </si>
  <si>
    <t>Estimate!!Total:!!Male:!!Other:!!With earnings:!!$1 to $2,499 or loss</t>
  </si>
  <si>
    <t>B20005A_030</t>
  </si>
  <si>
    <t>Estimate!!Total:!!Male:!!Other:!!With earnings:!!$2,500 to $4,999</t>
  </si>
  <si>
    <t>B20005A_031</t>
  </si>
  <si>
    <t>Estimate!!Total:!!Male:!!Other:!!With earnings:!!$5,000 to $7,499</t>
  </si>
  <si>
    <t>B20005A_032</t>
  </si>
  <si>
    <t>Estimate!!Total:!!Male:!!Other:!!With earnings:!!$7,500 to $9,999</t>
  </si>
  <si>
    <t>B20005A_033</t>
  </si>
  <si>
    <t>Estimate!!Total:!!Male:!!Other:!!With earnings:!!$10,000 to $12,499</t>
  </si>
  <si>
    <t>B20005A_034</t>
  </si>
  <si>
    <t>Estimate!!Total:!!Male:!!Other:!!With earnings:!!$12,500 to $14,999</t>
  </si>
  <si>
    <t>B20005A_035</t>
  </si>
  <si>
    <t>Estimate!!Total:!!Male:!!Other:!!With earnings:!!$15,000 to $17,499</t>
  </si>
  <si>
    <t>B20005A_036</t>
  </si>
  <si>
    <t>Estimate!!Total:!!Male:!!Other:!!With earnings:!!$17,500 to $19,999</t>
  </si>
  <si>
    <t>B20005A_037</t>
  </si>
  <si>
    <t>Estimate!!Total:!!Male:!!Other:!!With earnings:!!$20,000 to $22,499</t>
  </si>
  <si>
    <t>B20005A_038</t>
  </si>
  <si>
    <t>Estimate!!Total:!!Male:!!Other:!!With earnings:!!$22,500 to $24,999</t>
  </si>
  <si>
    <t>B20005A_039</t>
  </si>
  <si>
    <t>Estimate!!Total:!!Male:!!Other:!!With earnings:!!$25,000 to $29,999</t>
  </si>
  <si>
    <t>B20005A_040</t>
  </si>
  <si>
    <t>Estimate!!Total:!!Male:!!Other:!!With earnings:!!$30,000 to $34,999</t>
  </si>
  <si>
    <t>B20005A_041</t>
  </si>
  <si>
    <t>Estimate!!Total:!!Male:!!Other:!!With earnings:!!$35,000 to $39,999</t>
  </si>
  <si>
    <t>B20005A_042</t>
  </si>
  <si>
    <t>Estimate!!Total:!!Male:!!Other:!!With earnings:!!$40,000 to $44,999</t>
  </si>
  <si>
    <t>B20005A_043</t>
  </si>
  <si>
    <t>Estimate!!Total:!!Male:!!Other:!!With earnings:!!$45,000 to $49,999</t>
  </si>
  <si>
    <t>B20005A_044</t>
  </si>
  <si>
    <t>Estimate!!Total:!!Male:!!Other:!!With earnings:!!$50,000 to $54,999</t>
  </si>
  <si>
    <t>B20005A_045</t>
  </si>
  <si>
    <t>Estimate!!Total:!!Male:!!Other:!!With earnings:!!$55,000 to $64,999</t>
  </si>
  <si>
    <t>B20005A_046</t>
  </si>
  <si>
    <t>Estimate!!Total:!!Male:!!Other:!!With earnings:!!$65,000 to $74,999</t>
  </si>
  <si>
    <t>B20005A_047</t>
  </si>
  <si>
    <t>Estimate!!Total:!!Male:!!Other:!!With earnings:!!$75,000 to $99,999</t>
  </si>
  <si>
    <t>B20005A_048</t>
  </si>
  <si>
    <t>Estimate!!Total:!!Male:!!Other:!!With earnings:!!$100,000 or more</t>
  </si>
  <si>
    <t>B20005A_049</t>
  </si>
  <si>
    <t>B20005A_050</t>
  </si>
  <si>
    <t>B20005A_051</t>
  </si>
  <si>
    <t>Estimate!!Total:!!Female:!!Worked full-time, year-round in the past 12 months:!!No earnings</t>
  </si>
  <si>
    <t>B20005A_052</t>
  </si>
  <si>
    <t>Estimate!!Total:!!Female:!!Worked full-time, year-round in the past 12 months:!!With earnings:</t>
  </si>
  <si>
    <t>B20005A_053</t>
  </si>
  <si>
    <t>Estimate!!Total:!!Female:!!Worked full-time, year-round in the past 12 months:!!With earnings:!!$1 to $2,499 or loss</t>
  </si>
  <si>
    <t>B20005A_054</t>
  </si>
  <si>
    <t>Estimate!!Total:!!Female:!!Worked full-time, year-round in the past 12 months:!!With earnings:!!$2,500 to $4,999</t>
  </si>
  <si>
    <t>B20005A_055</t>
  </si>
  <si>
    <t>Estimate!!Total:!!Female:!!Worked full-time, year-round in the past 12 months:!!With earnings:!!$5,000 to $7,499</t>
  </si>
  <si>
    <t>B20005A_056</t>
  </si>
  <si>
    <t>Estimate!!Total:!!Female:!!Worked full-time, year-round in the past 12 months:!!With earnings:!!$7,500 to $9,999</t>
  </si>
  <si>
    <t>B20005A_057</t>
  </si>
  <si>
    <t>Estimate!!Total:!!Female:!!Worked full-time, year-round in the past 12 months:!!With earnings:!!$10,000 to $12,499</t>
  </si>
  <si>
    <t>B20005A_058</t>
  </si>
  <si>
    <t>Estimate!!Total:!!Female:!!Worked full-time, year-round in the past 12 months:!!With earnings:!!$12,500 to $14,999</t>
  </si>
  <si>
    <t>B20005A_059</t>
  </si>
  <si>
    <t>Estimate!!Total:!!Female:!!Worked full-time, year-round in the past 12 months:!!With earnings:!!$15,000 to $17,499</t>
  </si>
  <si>
    <t>B20005A_060</t>
  </si>
  <si>
    <t>Estimate!!Total:!!Female:!!Worked full-time, year-round in the past 12 months:!!With earnings:!!$17,500 to $19,999</t>
  </si>
  <si>
    <t>B20005A_061</t>
  </si>
  <si>
    <t>Estimate!!Total:!!Female:!!Worked full-time, year-round in the past 12 months:!!With earnings:!!$20,000 to $22,499</t>
  </si>
  <si>
    <t>B20005A_062</t>
  </si>
  <si>
    <t>Estimate!!Total:!!Female:!!Worked full-time, year-round in the past 12 months:!!With earnings:!!$22,500 to $24,999</t>
  </si>
  <si>
    <t>B20005A_063</t>
  </si>
  <si>
    <t>Estimate!!Total:!!Female:!!Worked full-time, year-round in the past 12 months:!!With earnings:!!$25,000 to $29,999</t>
  </si>
  <si>
    <t>B20005A_064</t>
  </si>
  <si>
    <t>Estimate!!Total:!!Female:!!Worked full-time, year-round in the past 12 months:!!With earnings:!!$30,000 to $34,999</t>
  </si>
  <si>
    <t>B20005A_065</t>
  </si>
  <si>
    <t>Estimate!!Total:!!Female:!!Worked full-time, year-round in the past 12 months:!!With earnings:!!$35,000 to $39,999</t>
  </si>
  <si>
    <t>B20005A_066</t>
  </si>
  <si>
    <t>Estimate!!Total:!!Female:!!Worked full-time, year-round in the past 12 months:!!With earnings:!!$40,000 to $44,999</t>
  </si>
  <si>
    <t>B20005A_067</t>
  </si>
  <si>
    <t>Estimate!!Total:!!Female:!!Worked full-time, year-round in the past 12 months:!!With earnings:!!$45,000 to $49,999</t>
  </si>
  <si>
    <t>B20005A_068</t>
  </si>
  <si>
    <t>Estimate!!Total:!!Female:!!Worked full-time, year-round in the past 12 months:!!With earnings:!!$50,000 to $54,999</t>
  </si>
  <si>
    <t>B20005A_069</t>
  </si>
  <si>
    <t>Estimate!!Total:!!Female:!!Worked full-time, year-round in the past 12 months:!!With earnings:!!$55,000 to $64,999</t>
  </si>
  <si>
    <t>B20005A_070</t>
  </si>
  <si>
    <t>Estimate!!Total:!!Female:!!Worked full-time, year-round in the past 12 months:!!With earnings:!!$65,000 to $74,999</t>
  </si>
  <si>
    <t>B20005A_071</t>
  </si>
  <si>
    <t>Estimate!!Total:!!Female:!!Worked full-time, year-round in the past 12 months:!!With earnings:!!$75,000 to $99,999</t>
  </si>
  <si>
    <t>B20005A_072</t>
  </si>
  <si>
    <t>Estimate!!Total:!!Female:!!Worked full-time, year-round in the past 12 months:!!With earnings:!!$100,000 or more</t>
  </si>
  <si>
    <t>B20005A_073</t>
  </si>
  <si>
    <t>B20005A_074</t>
  </si>
  <si>
    <t>Estimate!!Total:!!Female:!!Other:!!No earnings</t>
  </si>
  <si>
    <t>B20005A_075</t>
  </si>
  <si>
    <t>Estimate!!Total:!!Female:!!Other:!!With earnings:</t>
  </si>
  <si>
    <t>B20005A_076</t>
  </si>
  <si>
    <t>Estimate!!Total:!!Female:!!Other:!!With earnings:!!$1 to $2,499 or loss</t>
  </si>
  <si>
    <t>B20005A_077</t>
  </si>
  <si>
    <t>Estimate!!Total:!!Female:!!Other:!!With earnings:!!$2,500 to $4,999</t>
  </si>
  <si>
    <t>B20005A_078</t>
  </si>
  <si>
    <t>Estimate!!Total:!!Female:!!Other:!!With earnings:!!$5,000 to $7,499</t>
  </si>
  <si>
    <t>B20005A_079</t>
  </si>
  <si>
    <t>Estimate!!Total:!!Female:!!Other:!!With earnings:!!$7,500 to $9,999</t>
  </si>
  <si>
    <t>B20005A_080</t>
  </si>
  <si>
    <t>Estimate!!Total:!!Female:!!Other:!!With earnings:!!$10,000 to $12,499</t>
  </si>
  <si>
    <t>B20005A_081</t>
  </si>
  <si>
    <t>Estimate!!Total:!!Female:!!Other:!!With earnings:!!$12,500 to $14,999</t>
  </si>
  <si>
    <t>B20005A_082</t>
  </si>
  <si>
    <t>Estimate!!Total:!!Female:!!Other:!!With earnings:!!$15,000 to $17,499</t>
  </si>
  <si>
    <t>B20005A_083</t>
  </si>
  <si>
    <t>Estimate!!Total:!!Female:!!Other:!!With earnings:!!$17,500 to $19,999</t>
  </si>
  <si>
    <t>B20005A_084</t>
  </si>
  <si>
    <t>Estimate!!Total:!!Female:!!Other:!!With earnings:!!$20,000 to $22,499</t>
  </si>
  <si>
    <t>B20005A_085</t>
  </si>
  <si>
    <t>Estimate!!Total:!!Female:!!Other:!!With earnings:!!$22,500 to $24,999</t>
  </si>
  <si>
    <t>B20005A_086</t>
  </si>
  <si>
    <t>Estimate!!Total:!!Female:!!Other:!!With earnings:!!$25,000 to $29,999</t>
  </si>
  <si>
    <t>B20005A_087</t>
  </si>
  <si>
    <t>Estimate!!Total:!!Female:!!Other:!!With earnings:!!$30,000 to $34,999</t>
  </si>
  <si>
    <t>B20005A_088</t>
  </si>
  <si>
    <t>Estimate!!Total:!!Female:!!Other:!!With earnings:!!$35,000 to $39,999</t>
  </si>
  <si>
    <t>B20005A_089</t>
  </si>
  <si>
    <t>Estimate!!Total:!!Female:!!Other:!!With earnings:!!$40,000 to $44,999</t>
  </si>
  <si>
    <t>B20005A_090</t>
  </si>
  <si>
    <t>Estimate!!Total:!!Female:!!Other:!!With earnings:!!$45,000 to $49,999</t>
  </si>
  <si>
    <t>B20005A_091</t>
  </si>
  <si>
    <t>Estimate!!Total:!!Female:!!Other:!!With earnings:!!$50,000 to $54,999</t>
  </si>
  <si>
    <t>B20005A_092</t>
  </si>
  <si>
    <t>Estimate!!Total:!!Female:!!Other:!!With earnings:!!$55,000 to $64,999</t>
  </si>
  <si>
    <t>B20005A_093</t>
  </si>
  <si>
    <t>Estimate!!Total:!!Female:!!Other:!!With earnings:!!$65,000 to $74,999</t>
  </si>
  <si>
    <t>B20005A_094</t>
  </si>
  <si>
    <t>Estimate!!Total:!!Female:!!Other:!!With earnings:!!$75,000 to $99,999</t>
  </si>
  <si>
    <t>B20005A_095</t>
  </si>
  <si>
    <t>Estimate!!Total:!!Female:!!Other:!!With earnings:!!$100,000 or more</t>
  </si>
  <si>
    <t>B20005B_002</t>
  </si>
  <si>
    <t>B20005B_003</t>
  </si>
  <si>
    <t>B20005B_004</t>
  </si>
  <si>
    <t>B20005B_005</t>
  </si>
  <si>
    <t>B20005B_006</t>
  </si>
  <si>
    <t>B20005B_007</t>
  </si>
  <si>
    <t>B20005B_008</t>
  </si>
  <si>
    <t>B20005B_009</t>
  </si>
  <si>
    <t>B20005B_010</t>
  </si>
  <si>
    <t>B20005B_011</t>
  </si>
  <si>
    <t>B20005B_012</t>
  </si>
  <si>
    <t>B20005B_013</t>
  </si>
  <si>
    <t>B20005B_014</t>
  </si>
  <si>
    <t>B20005B_015</t>
  </si>
  <si>
    <t>B20005B_016</t>
  </si>
  <si>
    <t>B20005B_017</t>
  </si>
  <si>
    <t>B20005B_018</t>
  </si>
  <si>
    <t>B20005B_019</t>
  </si>
  <si>
    <t>B20005B_020</t>
  </si>
  <si>
    <t>B20005B_021</t>
  </si>
  <si>
    <t>B20005B_022</t>
  </si>
  <si>
    <t>B20005B_023</t>
  </si>
  <si>
    <t>B20005B_024</t>
  </si>
  <si>
    <t>B20005B_025</t>
  </si>
  <si>
    <t>B20005B_026</t>
  </si>
  <si>
    <t>B20005B_027</t>
  </si>
  <si>
    <t>B20005B_028</t>
  </si>
  <si>
    <t>B20005B_029</t>
  </si>
  <si>
    <t>B20005B_030</t>
  </si>
  <si>
    <t>B20005B_031</t>
  </si>
  <si>
    <t>B20005B_032</t>
  </si>
  <si>
    <t>B20005B_033</t>
  </si>
  <si>
    <t>B20005B_034</t>
  </si>
  <si>
    <t>B20005B_035</t>
  </si>
  <si>
    <t>B20005B_036</t>
  </si>
  <si>
    <t>B20005B_037</t>
  </si>
  <si>
    <t>B20005B_038</t>
  </si>
  <si>
    <t>B20005B_039</t>
  </si>
  <si>
    <t>B20005B_040</t>
  </si>
  <si>
    <t>B20005B_041</t>
  </si>
  <si>
    <t>B20005B_042</t>
  </si>
  <si>
    <t>B20005B_043</t>
  </si>
  <si>
    <t>B20005B_044</t>
  </si>
  <si>
    <t>B20005B_045</t>
  </si>
  <si>
    <t>B20005B_046</t>
  </si>
  <si>
    <t>B20005B_047</t>
  </si>
  <si>
    <t>B20005B_048</t>
  </si>
  <si>
    <t>B20005B_049</t>
  </si>
  <si>
    <t>B20005B_050</t>
  </si>
  <si>
    <t>B20005B_051</t>
  </si>
  <si>
    <t>B20005B_052</t>
  </si>
  <si>
    <t>B20005B_053</t>
  </si>
  <si>
    <t>B20005B_054</t>
  </si>
  <si>
    <t>B20005B_055</t>
  </si>
  <si>
    <t>B20005B_056</t>
  </si>
  <si>
    <t>B20005B_057</t>
  </si>
  <si>
    <t>B20005B_058</t>
  </si>
  <si>
    <t>B20005B_059</t>
  </si>
  <si>
    <t>B20005B_060</t>
  </si>
  <si>
    <t>B20005B_061</t>
  </si>
  <si>
    <t>B20005B_062</t>
  </si>
  <si>
    <t>B20005B_063</t>
  </si>
  <si>
    <t>B20005B_064</t>
  </si>
  <si>
    <t>B20005B_065</t>
  </si>
  <si>
    <t>B20005B_066</t>
  </si>
  <si>
    <t>B20005B_067</t>
  </si>
  <si>
    <t>B20005B_068</t>
  </si>
  <si>
    <t>B20005B_069</t>
  </si>
  <si>
    <t>B20005B_070</t>
  </si>
  <si>
    <t>B20005B_071</t>
  </si>
  <si>
    <t>B20005B_072</t>
  </si>
  <si>
    <t>B20005B_073</t>
  </si>
  <si>
    <t>B20005B_074</t>
  </si>
  <si>
    <t>B20005B_075</t>
  </si>
  <si>
    <t>B20005B_076</t>
  </si>
  <si>
    <t>B20005B_077</t>
  </si>
  <si>
    <t>B20005B_078</t>
  </si>
  <si>
    <t>B20005B_079</t>
  </si>
  <si>
    <t>B20005B_080</t>
  </si>
  <si>
    <t>B20005B_081</t>
  </si>
  <si>
    <t>B20005B_082</t>
  </si>
  <si>
    <t>B20005B_083</t>
  </si>
  <si>
    <t>B20005B_084</t>
  </si>
  <si>
    <t>B20005B_085</t>
  </si>
  <si>
    <t>B20005B_086</t>
  </si>
  <si>
    <t>B20005B_087</t>
  </si>
  <si>
    <t>B20005B_088</t>
  </si>
  <si>
    <t>B20005B_089</t>
  </si>
  <si>
    <t>B20005B_090</t>
  </si>
  <si>
    <t>B20005B_091</t>
  </si>
  <si>
    <t>B20005B_092</t>
  </si>
  <si>
    <t>B20005B_093</t>
  </si>
  <si>
    <t>B20005B_094</t>
  </si>
  <si>
    <t>B20005B_095</t>
  </si>
  <si>
    <t>B20005C_002</t>
  </si>
  <si>
    <t>B20005C_003</t>
  </si>
  <si>
    <t>B20005C_004</t>
  </si>
  <si>
    <t>B20005C_005</t>
  </si>
  <si>
    <t>B20005C_006</t>
  </si>
  <si>
    <t>B20005C_007</t>
  </si>
  <si>
    <t>B20005C_008</t>
  </si>
  <si>
    <t>B20005C_009</t>
  </si>
  <si>
    <t>B20005C_010</t>
  </si>
  <si>
    <t>B20005C_011</t>
  </si>
  <si>
    <t>B20005C_012</t>
  </si>
  <si>
    <t>B20005C_013</t>
  </si>
  <si>
    <t>B20005C_014</t>
  </si>
  <si>
    <t>B20005C_015</t>
  </si>
  <si>
    <t>B20005C_016</t>
  </si>
  <si>
    <t>B20005C_017</t>
  </si>
  <si>
    <t>B20005C_018</t>
  </si>
  <si>
    <t>B20005C_019</t>
  </si>
  <si>
    <t>B20005C_020</t>
  </si>
  <si>
    <t>B20005C_021</t>
  </si>
  <si>
    <t>B20005C_022</t>
  </si>
  <si>
    <t>B20005C_023</t>
  </si>
  <si>
    <t>B20005C_024</t>
  </si>
  <si>
    <t>B20005C_025</t>
  </si>
  <si>
    <t>B20005C_026</t>
  </si>
  <si>
    <t>B20005C_027</t>
  </si>
  <si>
    <t>B20005C_028</t>
  </si>
  <si>
    <t>B20005C_029</t>
  </si>
  <si>
    <t>B20005C_030</t>
  </si>
  <si>
    <t>B20005C_031</t>
  </si>
  <si>
    <t>B20005C_032</t>
  </si>
  <si>
    <t>B20005C_033</t>
  </si>
  <si>
    <t>B20005C_034</t>
  </si>
  <si>
    <t>B20005C_035</t>
  </si>
  <si>
    <t>B20005C_036</t>
  </si>
  <si>
    <t>B20005C_037</t>
  </si>
  <si>
    <t>B20005C_038</t>
  </si>
  <si>
    <t>B20005C_039</t>
  </si>
  <si>
    <t>B20005C_040</t>
  </si>
  <si>
    <t>B20005C_041</t>
  </si>
  <si>
    <t>B20005C_042</t>
  </si>
  <si>
    <t>B20005C_043</t>
  </si>
  <si>
    <t>B20005C_044</t>
  </si>
  <si>
    <t>B20005C_045</t>
  </si>
  <si>
    <t>B20005C_046</t>
  </si>
  <si>
    <t>B20005C_047</t>
  </si>
  <si>
    <t>B20005C_048</t>
  </si>
  <si>
    <t>B20005C_049</t>
  </si>
  <si>
    <t>B20005C_050</t>
  </si>
  <si>
    <t>B20005C_051</t>
  </si>
  <si>
    <t>B20005C_052</t>
  </si>
  <si>
    <t>B20005C_053</t>
  </si>
  <si>
    <t>B20005C_054</t>
  </si>
  <si>
    <t>B20005C_055</t>
  </si>
  <si>
    <t>B20005C_056</t>
  </si>
  <si>
    <t>B20005C_057</t>
  </si>
  <si>
    <t>B20005C_058</t>
  </si>
  <si>
    <t>B20005C_059</t>
  </si>
  <si>
    <t>B20005C_060</t>
  </si>
  <si>
    <t>B20005C_061</t>
  </si>
  <si>
    <t>B20005C_062</t>
  </si>
  <si>
    <t>B20005C_063</t>
  </si>
  <si>
    <t>B20005C_064</t>
  </si>
  <si>
    <t>B20005C_065</t>
  </si>
  <si>
    <t>B20005C_066</t>
  </si>
  <si>
    <t>B20005C_067</t>
  </si>
  <si>
    <t>B20005C_068</t>
  </si>
  <si>
    <t>B20005C_069</t>
  </si>
  <si>
    <t>B20005C_070</t>
  </si>
  <si>
    <t>B20005C_071</t>
  </si>
  <si>
    <t>B20005C_072</t>
  </si>
  <si>
    <t>B20005C_073</t>
  </si>
  <si>
    <t>B20005C_074</t>
  </si>
  <si>
    <t>B20005C_075</t>
  </si>
  <si>
    <t>B20005C_076</t>
  </si>
  <si>
    <t>B20005C_077</t>
  </si>
  <si>
    <t>B20005C_078</t>
  </si>
  <si>
    <t>B20005C_079</t>
  </si>
  <si>
    <t>B20005C_080</t>
  </si>
  <si>
    <t>B20005C_081</t>
  </si>
  <si>
    <t>B20005C_082</t>
  </si>
  <si>
    <t>B20005C_083</t>
  </si>
  <si>
    <t>B20005C_084</t>
  </si>
  <si>
    <t>B20005C_085</t>
  </si>
  <si>
    <t>B20005C_086</t>
  </si>
  <si>
    <t>B20005C_087</t>
  </si>
  <si>
    <t>B20005C_088</t>
  </si>
  <si>
    <t>B20005C_089</t>
  </si>
  <si>
    <t>B20005C_090</t>
  </si>
  <si>
    <t>B20005C_091</t>
  </si>
  <si>
    <t>B20005C_092</t>
  </si>
  <si>
    <t>B20005C_093</t>
  </si>
  <si>
    <t>B20005C_094</t>
  </si>
  <si>
    <t>B20005C_095</t>
  </si>
  <si>
    <t>B20005D_002</t>
  </si>
  <si>
    <t>B20005D_003</t>
  </si>
  <si>
    <t>B20005D_004</t>
  </si>
  <si>
    <t>B20005D_005</t>
  </si>
  <si>
    <t>B20005D_006</t>
  </si>
  <si>
    <t>B20005D_007</t>
  </si>
  <si>
    <t>B20005D_008</t>
  </si>
  <si>
    <t>B20005D_009</t>
  </si>
  <si>
    <t>B20005D_010</t>
  </si>
  <si>
    <t>B20005D_011</t>
  </si>
  <si>
    <t>B20005D_012</t>
  </si>
  <si>
    <t>B20005D_013</t>
  </si>
  <si>
    <t>B20005D_014</t>
  </si>
  <si>
    <t>B20005D_015</t>
  </si>
  <si>
    <t>B20005D_016</t>
  </si>
  <si>
    <t>B20005D_017</t>
  </si>
  <si>
    <t>B20005D_018</t>
  </si>
  <si>
    <t>B20005D_019</t>
  </si>
  <si>
    <t>B20005D_020</t>
  </si>
  <si>
    <t>B20005D_021</t>
  </si>
  <si>
    <t>B20005D_022</t>
  </si>
  <si>
    <t>B20005D_023</t>
  </si>
  <si>
    <t>B20005D_024</t>
  </si>
  <si>
    <t>B20005D_025</t>
  </si>
  <si>
    <t>B20005D_026</t>
  </si>
  <si>
    <t>B20005D_027</t>
  </si>
  <si>
    <t>B20005D_028</t>
  </si>
  <si>
    <t>B20005D_029</t>
  </si>
  <si>
    <t>B20005D_030</t>
  </si>
  <si>
    <t>B20005D_031</t>
  </si>
  <si>
    <t>B20005D_032</t>
  </si>
  <si>
    <t>B20005D_033</t>
  </si>
  <si>
    <t>B20005D_034</t>
  </si>
  <si>
    <t>B20005D_035</t>
  </si>
  <si>
    <t>B20005D_036</t>
  </si>
  <si>
    <t>B20005D_037</t>
  </si>
  <si>
    <t>B20005D_038</t>
  </si>
  <si>
    <t>B20005D_039</t>
  </si>
  <si>
    <t>B20005D_040</t>
  </si>
  <si>
    <t>B20005D_041</t>
  </si>
  <si>
    <t>B20005D_042</t>
  </si>
  <si>
    <t>B20005D_043</t>
  </si>
  <si>
    <t>B20005D_044</t>
  </si>
  <si>
    <t>B20005D_045</t>
  </si>
  <si>
    <t>B20005D_046</t>
  </si>
  <si>
    <t>B20005D_047</t>
  </si>
  <si>
    <t>B20005D_048</t>
  </si>
  <si>
    <t>B20005D_049</t>
  </si>
  <si>
    <t>B20005D_050</t>
  </si>
  <si>
    <t>B20005D_051</t>
  </si>
  <si>
    <t>B20005D_052</t>
  </si>
  <si>
    <t>B20005D_053</t>
  </si>
  <si>
    <t>B20005D_054</t>
  </si>
  <si>
    <t>B20005D_055</t>
  </si>
  <si>
    <t>B20005D_056</t>
  </si>
  <si>
    <t>B20005D_057</t>
  </si>
  <si>
    <t>B20005D_058</t>
  </si>
  <si>
    <t>B20005D_059</t>
  </si>
  <si>
    <t>B20005D_060</t>
  </si>
  <si>
    <t>B20005D_061</t>
  </si>
  <si>
    <t>B20005D_062</t>
  </si>
  <si>
    <t>B20005D_063</t>
  </si>
  <si>
    <t>B20005D_064</t>
  </si>
  <si>
    <t>B20005D_065</t>
  </si>
  <si>
    <t>B20005D_066</t>
  </si>
  <si>
    <t>B20005D_067</t>
  </si>
  <si>
    <t>B20005D_068</t>
  </si>
  <si>
    <t>B20005D_069</t>
  </si>
  <si>
    <t>B20005D_070</t>
  </si>
  <si>
    <t>B20005D_071</t>
  </si>
  <si>
    <t>B20005D_072</t>
  </si>
  <si>
    <t>B20005D_073</t>
  </si>
  <si>
    <t>B20005D_074</t>
  </si>
  <si>
    <t>B20005D_075</t>
  </si>
  <si>
    <t>B20005D_076</t>
  </si>
  <si>
    <t>B20005D_077</t>
  </si>
  <si>
    <t>B20005D_078</t>
  </si>
  <si>
    <t>B20005D_079</t>
  </si>
  <si>
    <t>B20005D_080</t>
  </si>
  <si>
    <t>B20005D_081</t>
  </si>
  <si>
    <t>B20005D_082</t>
  </si>
  <si>
    <t>B20005D_083</t>
  </si>
  <si>
    <t>B20005D_084</t>
  </si>
  <si>
    <t>B20005D_085</t>
  </si>
  <si>
    <t>B20005D_086</t>
  </si>
  <si>
    <t>B20005D_087</t>
  </si>
  <si>
    <t>B20005D_088</t>
  </si>
  <si>
    <t>B20005D_089</t>
  </si>
  <si>
    <t>B20005D_090</t>
  </si>
  <si>
    <t>B20005D_091</t>
  </si>
  <si>
    <t>B20005D_092</t>
  </si>
  <si>
    <t>B20005D_093</t>
  </si>
  <si>
    <t>B20005D_094</t>
  </si>
  <si>
    <t>B20005D_095</t>
  </si>
  <si>
    <t>B20005E_002</t>
  </si>
  <si>
    <t>B20005E_003</t>
  </si>
  <si>
    <t>B20005E_004</t>
  </si>
  <si>
    <t>B20005E_005</t>
  </si>
  <si>
    <t>B20005E_006</t>
  </si>
  <si>
    <t>B20005E_007</t>
  </si>
  <si>
    <t>B20005E_008</t>
  </si>
  <si>
    <t>B20005E_009</t>
  </si>
  <si>
    <t>B20005E_010</t>
  </si>
  <si>
    <t>B20005E_011</t>
  </si>
  <si>
    <t>B20005E_012</t>
  </si>
  <si>
    <t>B20005E_013</t>
  </si>
  <si>
    <t>B20005E_014</t>
  </si>
  <si>
    <t>B20005E_015</t>
  </si>
  <si>
    <t>B20005E_016</t>
  </si>
  <si>
    <t>B20005E_017</t>
  </si>
  <si>
    <t>B20005E_018</t>
  </si>
  <si>
    <t>B20005E_019</t>
  </si>
  <si>
    <t>B20005E_020</t>
  </si>
  <si>
    <t>B20005E_021</t>
  </si>
  <si>
    <t>B20005E_022</t>
  </si>
  <si>
    <t>B20005E_023</t>
  </si>
  <si>
    <t>B20005E_024</t>
  </si>
  <si>
    <t>B20005E_025</t>
  </si>
  <si>
    <t>B20005E_026</t>
  </si>
  <si>
    <t>B20005E_027</t>
  </si>
  <si>
    <t>B20005E_028</t>
  </si>
  <si>
    <t>B20005E_029</t>
  </si>
  <si>
    <t>B20005E_030</t>
  </si>
  <si>
    <t>B20005E_031</t>
  </si>
  <si>
    <t>B20005E_032</t>
  </si>
  <si>
    <t>B20005E_033</t>
  </si>
  <si>
    <t>B20005E_034</t>
  </si>
  <si>
    <t>B20005E_035</t>
  </si>
  <si>
    <t>B20005E_036</t>
  </si>
  <si>
    <t>B20005E_037</t>
  </si>
  <si>
    <t>B20005E_038</t>
  </si>
  <si>
    <t>B20005E_039</t>
  </si>
  <si>
    <t>B20005E_040</t>
  </si>
  <si>
    <t>B20005E_041</t>
  </si>
  <si>
    <t>B20005E_042</t>
  </si>
  <si>
    <t>B20005E_043</t>
  </si>
  <si>
    <t>B20005E_044</t>
  </si>
  <si>
    <t>B20005E_045</t>
  </si>
  <si>
    <t>B20005E_046</t>
  </si>
  <si>
    <t>B20005E_047</t>
  </si>
  <si>
    <t>B20005E_048</t>
  </si>
  <si>
    <t>B20005E_049</t>
  </si>
  <si>
    <t>B20005E_050</t>
  </si>
  <si>
    <t>B20005E_051</t>
  </si>
  <si>
    <t>B20005E_052</t>
  </si>
  <si>
    <t>B20005E_053</t>
  </si>
  <si>
    <t>B20005E_054</t>
  </si>
  <si>
    <t>B20005E_055</t>
  </si>
  <si>
    <t>B20005E_056</t>
  </si>
  <si>
    <t>B20005E_057</t>
  </si>
  <si>
    <t>B20005E_058</t>
  </si>
  <si>
    <t>B20005E_059</t>
  </si>
  <si>
    <t>B20005E_060</t>
  </si>
  <si>
    <t>B20005E_061</t>
  </si>
  <si>
    <t>B20005E_062</t>
  </si>
  <si>
    <t>B20005E_063</t>
  </si>
  <si>
    <t>B20005E_064</t>
  </si>
  <si>
    <t>B20005E_065</t>
  </si>
  <si>
    <t>B20005E_066</t>
  </si>
  <si>
    <t>B20005E_067</t>
  </si>
  <si>
    <t>B20005E_068</t>
  </si>
  <si>
    <t>B20005E_069</t>
  </si>
  <si>
    <t>B20005E_070</t>
  </si>
  <si>
    <t>B20005E_071</t>
  </si>
  <si>
    <t>B20005E_072</t>
  </si>
  <si>
    <t>B20005E_073</t>
  </si>
  <si>
    <t>B20005E_074</t>
  </si>
  <si>
    <t>B20005E_075</t>
  </si>
  <si>
    <t>B20005E_076</t>
  </si>
  <si>
    <t>B20005E_077</t>
  </si>
  <si>
    <t>B20005E_078</t>
  </si>
  <si>
    <t>B20005E_079</t>
  </si>
  <si>
    <t>B20005E_080</t>
  </si>
  <si>
    <t>B20005E_081</t>
  </si>
  <si>
    <t>B20005E_082</t>
  </si>
  <si>
    <t>B20005E_083</t>
  </si>
  <si>
    <t>B20005E_084</t>
  </si>
  <si>
    <t>B20005E_085</t>
  </si>
  <si>
    <t>B20005E_086</t>
  </si>
  <si>
    <t>B20005E_087</t>
  </si>
  <si>
    <t>B20005E_088</t>
  </si>
  <si>
    <t>B20005E_089</t>
  </si>
  <si>
    <t>B20005E_090</t>
  </si>
  <si>
    <t>B20005E_091</t>
  </si>
  <si>
    <t>B20005E_092</t>
  </si>
  <si>
    <t>B20005E_093</t>
  </si>
  <si>
    <t>B20005E_094</t>
  </si>
  <si>
    <t>B20005E_095</t>
  </si>
  <si>
    <t>B20005F_002</t>
  </si>
  <si>
    <t>B20005F_003</t>
  </si>
  <si>
    <t>B20005F_004</t>
  </si>
  <si>
    <t>B20005F_005</t>
  </si>
  <si>
    <t>B20005F_006</t>
  </si>
  <si>
    <t>B20005F_007</t>
  </si>
  <si>
    <t>B20005F_008</t>
  </si>
  <si>
    <t>B20005F_009</t>
  </si>
  <si>
    <t>B20005F_010</t>
  </si>
  <si>
    <t>B20005F_011</t>
  </si>
  <si>
    <t>B20005F_012</t>
  </si>
  <si>
    <t>B20005F_013</t>
  </si>
  <si>
    <t>B20005F_014</t>
  </si>
  <si>
    <t>B20005F_015</t>
  </si>
  <si>
    <t>B20005F_016</t>
  </si>
  <si>
    <t>B20005F_017</t>
  </si>
  <si>
    <t>B20005F_018</t>
  </si>
  <si>
    <t>B20005F_019</t>
  </si>
  <si>
    <t>B20005F_020</t>
  </si>
  <si>
    <t>B20005F_021</t>
  </si>
  <si>
    <t>B20005F_022</t>
  </si>
  <si>
    <t>B20005F_023</t>
  </si>
  <si>
    <t>B20005F_024</t>
  </si>
  <si>
    <t>B20005F_025</t>
  </si>
  <si>
    <t>B20005F_026</t>
  </si>
  <si>
    <t>B20005F_027</t>
  </si>
  <si>
    <t>B20005F_028</t>
  </si>
  <si>
    <t>B20005F_029</t>
  </si>
  <si>
    <t>B20005F_030</t>
  </si>
  <si>
    <t>B20005F_031</t>
  </si>
  <si>
    <t>B20005F_032</t>
  </si>
  <si>
    <t>B20005F_033</t>
  </si>
  <si>
    <t>B20005F_034</t>
  </si>
  <si>
    <t>B20005F_035</t>
  </si>
  <si>
    <t>B20005F_036</t>
  </si>
  <si>
    <t>B20005F_037</t>
  </si>
  <si>
    <t>B20005F_038</t>
  </si>
  <si>
    <t>B20005F_039</t>
  </si>
  <si>
    <t>B20005F_040</t>
  </si>
  <si>
    <t>B20005F_041</t>
  </si>
  <si>
    <t>B20005F_042</t>
  </si>
  <si>
    <t>B20005F_043</t>
  </si>
  <si>
    <t>B20005F_044</t>
  </si>
  <si>
    <t>B20005F_045</t>
  </si>
  <si>
    <t>B20005F_046</t>
  </si>
  <si>
    <t>B20005F_047</t>
  </si>
  <si>
    <t>B20005F_048</t>
  </si>
  <si>
    <t>B20005F_049</t>
  </si>
  <si>
    <t>B20005F_050</t>
  </si>
  <si>
    <t>B20005F_051</t>
  </si>
  <si>
    <t>B20005F_052</t>
  </si>
  <si>
    <t>B20005F_053</t>
  </si>
  <si>
    <t>B20005F_054</t>
  </si>
  <si>
    <t>B20005F_055</t>
  </si>
  <si>
    <t>B20005F_056</t>
  </si>
  <si>
    <t>B20005F_057</t>
  </si>
  <si>
    <t>B20005F_058</t>
  </si>
  <si>
    <t>B20005F_059</t>
  </si>
  <si>
    <t>B20005F_060</t>
  </si>
  <si>
    <t>B20005F_061</t>
  </si>
  <si>
    <t>B20005F_062</t>
  </si>
  <si>
    <t>B20005F_063</t>
  </si>
  <si>
    <t>B20005F_064</t>
  </si>
  <si>
    <t>B20005F_065</t>
  </si>
  <si>
    <t>B20005F_066</t>
  </si>
  <si>
    <t>B20005F_067</t>
  </si>
  <si>
    <t>B20005F_068</t>
  </si>
  <si>
    <t>B20005F_069</t>
  </si>
  <si>
    <t>B20005F_070</t>
  </si>
  <si>
    <t>B20005F_071</t>
  </si>
  <si>
    <t>B20005F_072</t>
  </si>
  <si>
    <t>B20005F_073</t>
  </si>
  <si>
    <t>B20005F_074</t>
  </si>
  <si>
    <t>B20005F_075</t>
  </si>
  <si>
    <t>B20005F_076</t>
  </si>
  <si>
    <t>B20005F_077</t>
  </si>
  <si>
    <t>B20005F_078</t>
  </si>
  <si>
    <t>B20005F_079</t>
  </si>
  <si>
    <t>B20005F_080</t>
  </si>
  <si>
    <t>B20005F_081</t>
  </si>
  <si>
    <t>B20005F_082</t>
  </si>
  <si>
    <t>B20005F_083</t>
  </si>
  <si>
    <t>B20005F_084</t>
  </si>
  <si>
    <t>B20005F_085</t>
  </si>
  <si>
    <t>B20005F_086</t>
  </si>
  <si>
    <t>B20005F_087</t>
  </si>
  <si>
    <t>B20005F_088</t>
  </si>
  <si>
    <t>B20005F_089</t>
  </si>
  <si>
    <t>B20005F_090</t>
  </si>
  <si>
    <t>B20005F_091</t>
  </si>
  <si>
    <t>B20005F_092</t>
  </si>
  <si>
    <t>B20005F_093</t>
  </si>
  <si>
    <t>B20005F_094</t>
  </si>
  <si>
    <t>B20005F_095</t>
  </si>
  <si>
    <t>B20005G_002</t>
  </si>
  <si>
    <t>B20005G_003</t>
  </si>
  <si>
    <t>B20005G_004</t>
  </si>
  <si>
    <t>B20005G_005</t>
  </si>
  <si>
    <t>B20005G_006</t>
  </si>
  <si>
    <t>B20005G_007</t>
  </si>
  <si>
    <t>B20005G_008</t>
  </si>
  <si>
    <t>B20005G_009</t>
  </si>
  <si>
    <t>B20005G_010</t>
  </si>
  <si>
    <t>B20005G_011</t>
  </si>
  <si>
    <t>B20005G_012</t>
  </si>
  <si>
    <t>B20005G_013</t>
  </si>
  <si>
    <t>B20005G_014</t>
  </si>
  <si>
    <t>B20005G_015</t>
  </si>
  <si>
    <t>B20005G_016</t>
  </si>
  <si>
    <t>B20005G_017</t>
  </si>
  <si>
    <t>B20005G_018</t>
  </si>
  <si>
    <t>B20005G_019</t>
  </si>
  <si>
    <t>B20005G_020</t>
  </si>
  <si>
    <t>B20005G_021</t>
  </si>
  <si>
    <t>B20005G_022</t>
  </si>
  <si>
    <t>B20005G_023</t>
  </si>
  <si>
    <t>B20005G_024</t>
  </si>
  <si>
    <t>B20005G_025</t>
  </si>
  <si>
    <t>B20005G_026</t>
  </si>
  <si>
    <t>B20005G_027</t>
  </si>
  <si>
    <t>B20005G_028</t>
  </si>
  <si>
    <t>B20005G_029</t>
  </si>
  <si>
    <t>B20005G_030</t>
  </si>
  <si>
    <t>B20005G_031</t>
  </si>
  <si>
    <t>B20005G_032</t>
  </si>
  <si>
    <t>B20005G_033</t>
  </si>
  <si>
    <t>B20005G_034</t>
  </si>
  <si>
    <t>B20005G_035</t>
  </si>
  <si>
    <t>B20005G_036</t>
  </si>
  <si>
    <t>B20005G_037</t>
  </si>
  <si>
    <t>B20005G_038</t>
  </si>
  <si>
    <t>B20005G_039</t>
  </si>
  <si>
    <t>B20005G_040</t>
  </si>
  <si>
    <t>B20005G_041</t>
  </si>
  <si>
    <t>B20005G_042</t>
  </si>
  <si>
    <t>B20005G_043</t>
  </si>
  <si>
    <t>B20005G_044</t>
  </si>
  <si>
    <t>B20005G_045</t>
  </si>
  <si>
    <t>B20005G_046</t>
  </si>
  <si>
    <t>B20005G_047</t>
  </si>
  <si>
    <t>B20005G_048</t>
  </si>
  <si>
    <t>B20005G_049</t>
  </si>
  <si>
    <t>B20005G_050</t>
  </si>
  <si>
    <t>B20005G_051</t>
  </si>
  <si>
    <t>B20005G_052</t>
  </si>
  <si>
    <t>B20005G_053</t>
  </si>
  <si>
    <t>B20005G_054</t>
  </si>
  <si>
    <t>B20005G_055</t>
  </si>
  <si>
    <t>B20005G_056</t>
  </si>
  <si>
    <t>B20005G_057</t>
  </si>
  <si>
    <t>B20005G_058</t>
  </si>
  <si>
    <t>B20005G_059</t>
  </si>
  <si>
    <t>B20005G_060</t>
  </si>
  <si>
    <t>B20005G_061</t>
  </si>
  <si>
    <t>B20005G_062</t>
  </si>
  <si>
    <t>B20005G_063</t>
  </si>
  <si>
    <t>B20005G_064</t>
  </si>
  <si>
    <t>B20005G_065</t>
  </si>
  <si>
    <t>B20005G_066</t>
  </si>
  <si>
    <t>B20005G_067</t>
  </si>
  <si>
    <t>B20005G_068</t>
  </si>
  <si>
    <t>B20005G_069</t>
  </si>
  <si>
    <t>B20005G_070</t>
  </si>
  <si>
    <t>B20005G_071</t>
  </si>
  <si>
    <t>B20005G_072</t>
  </si>
  <si>
    <t>B20005G_073</t>
  </si>
  <si>
    <t>B20005G_074</t>
  </si>
  <si>
    <t>B20005G_075</t>
  </si>
  <si>
    <t>B20005G_076</t>
  </si>
  <si>
    <t>B20005G_077</t>
  </si>
  <si>
    <t>B20005G_078</t>
  </si>
  <si>
    <t>B20005G_079</t>
  </si>
  <si>
    <t>B20005G_080</t>
  </si>
  <si>
    <t>B20005G_081</t>
  </si>
  <si>
    <t>B20005G_082</t>
  </si>
  <si>
    <t>B20005G_083</t>
  </si>
  <si>
    <t>B20005G_084</t>
  </si>
  <si>
    <t>B20005G_085</t>
  </si>
  <si>
    <t>B20005G_086</t>
  </si>
  <si>
    <t>B20005G_087</t>
  </si>
  <si>
    <t>B20005G_088</t>
  </si>
  <si>
    <t>B20005G_089</t>
  </si>
  <si>
    <t>B20005G_090</t>
  </si>
  <si>
    <t>B20005G_091</t>
  </si>
  <si>
    <t>B20005G_092</t>
  </si>
  <si>
    <t>B20005G_093</t>
  </si>
  <si>
    <t>B20005G_094</t>
  </si>
  <si>
    <t>B20005G_095</t>
  </si>
  <si>
    <t>B20005H_002</t>
  </si>
  <si>
    <t>B20005H_003</t>
  </si>
  <si>
    <t>B20005H_004</t>
  </si>
  <si>
    <t>B20005H_005</t>
  </si>
  <si>
    <t>B20005H_006</t>
  </si>
  <si>
    <t>B20005H_007</t>
  </si>
  <si>
    <t>B20005H_008</t>
  </si>
  <si>
    <t>B20005H_009</t>
  </si>
  <si>
    <t>B20005H_010</t>
  </si>
  <si>
    <t>B20005H_011</t>
  </si>
  <si>
    <t>B20005H_012</t>
  </si>
  <si>
    <t>B20005H_013</t>
  </si>
  <si>
    <t>B20005H_014</t>
  </si>
  <si>
    <t>B20005H_015</t>
  </si>
  <si>
    <t>B20005H_016</t>
  </si>
  <si>
    <t>B20005H_017</t>
  </si>
  <si>
    <t>B20005H_018</t>
  </si>
  <si>
    <t>B20005H_019</t>
  </si>
  <si>
    <t>B20005H_020</t>
  </si>
  <si>
    <t>B20005H_021</t>
  </si>
  <si>
    <t>B20005H_022</t>
  </si>
  <si>
    <t>B20005H_023</t>
  </si>
  <si>
    <t>B20005H_024</t>
  </si>
  <si>
    <t>B20005H_025</t>
  </si>
  <si>
    <t>B20005H_026</t>
  </si>
  <si>
    <t>B20005H_027</t>
  </si>
  <si>
    <t>B20005H_028</t>
  </si>
  <si>
    <t>B20005H_029</t>
  </si>
  <si>
    <t>B20005H_030</t>
  </si>
  <si>
    <t>B20005H_031</t>
  </si>
  <si>
    <t>B20005H_032</t>
  </si>
  <si>
    <t>B20005H_033</t>
  </si>
  <si>
    <t>B20005H_034</t>
  </si>
  <si>
    <t>B20005H_035</t>
  </si>
  <si>
    <t>B20005H_036</t>
  </si>
  <si>
    <t>B20005H_037</t>
  </si>
  <si>
    <t>B20005H_038</t>
  </si>
  <si>
    <t>B20005H_039</t>
  </si>
  <si>
    <t>B20005H_040</t>
  </si>
  <si>
    <t>B20005H_041</t>
  </si>
  <si>
    <t>B20005H_042</t>
  </si>
  <si>
    <t>B20005H_043</t>
  </si>
  <si>
    <t>B20005H_044</t>
  </si>
  <si>
    <t>B20005H_045</t>
  </si>
  <si>
    <t>B20005H_046</t>
  </si>
  <si>
    <t>B20005H_047</t>
  </si>
  <si>
    <t>B20005H_048</t>
  </si>
  <si>
    <t>B20005H_049</t>
  </si>
  <si>
    <t>B20005H_050</t>
  </si>
  <si>
    <t>B20005H_051</t>
  </si>
  <si>
    <t>B20005H_052</t>
  </si>
  <si>
    <t>B20005H_053</t>
  </si>
  <si>
    <t>B20005H_054</t>
  </si>
  <si>
    <t>B20005H_055</t>
  </si>
  <si>
    <t>B20005H_056</t>
  </si>
  <si>
    <t>B20005H_057</t>
  </si>
  <si>
    <t>B20005H_058</t>
  </si>
  <si>
    <t>B20005H_059</t>
  </si>
  <si>
    <t>B20005H_060</t>
  </si>
  <si>
    <t>B20005H_061</t>
  </si>
  <si>
    <t>B20005H_062</t>
  </si>
  <si>
    <t>B20005H_063</t>
  </si>
  <si>
    <t>B20005H_064</t>
  </si>
  <si>
    <t>B20005H_065</t>
  </si>
  <si>
    <t>B20005H_066</t>
  </si>
  <si>
    <t>B20005H_067</t>
  </si>
  <si>
    <t>B20005H_068</t>
  </si>
  <si>
    <t>B20005H_069</t>
  </si>
  <si>
    <t>B20005H_070</t>
  </si>
  <si>
    <t>B20005H_071</t>
  </si>
  <si>
    <t>B20005H_072</t>
  </si>
  <si>
    <t>B20005H_073</t>
  </si>
  <si>
    <t>B20005H_074</t>
  </si>
  <si>
    <t>B20005H_075</t>
  </si>
  <si>
    <t>B20005H_076</t>
  </si>
  <si>
    <t>B20005H_077</t>
  </si>
  <si>
    <t>B20005H_078</t>
  </si>
  <si>
    <t>B20005H_079</t>
  </si>
  <si>
    <t>B20005H_080</t>
  </si>
  <si>
    <t>B20005H_081</t>
  </si>
  <si>
    <t>B20005H_082</t>
  </si>
  <si>
    <t>B20005H_083</t>
  </si>
  <si>
    <t>B20005H_084</t>
  </si>
  <si>
    <t>B20005H_085</t>
  </si>
  <si>
    <t>B20005H_086</t>
  </si>
  <si>
    <t>B20005H_087</t>
  </si>
  <si>
    <t>B20005H_088</t>
  </si>
  <si>
    <t>B20005H_089</t>
  </si>
  <si>
    <t>B20005H_090</t>
  </si>
  <si>
    <t>B20005H_091</t>
  </si>
  <si>
    <t>B20005H_092</t>
  </si>
  <si>
    <t>B20005H_093</t>
  </si>
  <si>
    <t>B20005H_094</t>
  </si>
  <si>
    <t>B20005H_095</t>
  </si>
  <si>
    <t>B20005I_002</t>
  </si>
  <si>
    <t>B20005I_003</t>
  </si>
  <si>
    <t>B20005I_004</t>
  </si>
  <si>
    <t>B20005I_005</t>
  </si>
  <si>
    <t>B20005I_006</t>
  </si>
  <si>
    <t>B20005I_007</t>
  </si>
  <si>
    <t>B20005I_008</t>
  </si>
  <si>
    <t>B20005I_009</t>
  </si>
  <si>
    <t>B20005I_010</t>
  </si>
  <si>
    <t>B20005I_011</t>
  </si>
  <si>
    <t>B20005I_012</t>
  </si>
  <si>
    <t>B20005I_013</t>
  </si>
  <si>
    <t>B20005I_014</t>
  </si>
  <si>
    <t>B20005I_015</t>
  </si>
  <si>
    <t>B20005I_016</t>
  </si>
  <si>
    <t>B20005I_017</t>
  </si>
  <si>
    <t>B20005I_018</t>
  </si>
  <si>
    <t>B20005I_019</t>
  </si>
  <si>
    <t>B20005I_020</t>
  </si>
  <si>
    <t>B20005I_021</t>
  </si>
  <si>
    <t>B20005I_022</t>
  </si>
  <si>
    <t>B20005I_023</t>
  </si>
  <si>
    <t>B20005I_024</t>
  </si>
  <si>
    <t>B20005I_025</t>
  </si>
  <si>
    <t>B20005I_026</t>
  </si>
  <si>
    <t>B20005I_027</t>
  </si>
  <si>
    <t>B20005I_028</t>
  </si>
  <si>
    <t>B20005I_029</t>
  </si>
  <si>
    <t>B20005I_030</t>
  </si>
  <si>
    <t>B20005I_031</t>
  </si>
  <si>
    <t>B20005I_032</t>
  </si>
  <si>
    <t>B20005I_033</t>
  </si>
  <si>
    <t>B20005I_034</t>
  </si>
  <si>
    <t>B20005I_035</t>
  </si>
  <si>
    <t>B20005I_036</t>
  </si>
  <si>
    <t>B20005I_037</t>
  </si>
  <si>
    <t>B20005I_038</t>
  </si>
  <si>
    <t>B20005I_039</t>
  </si>
  <si>
    <t>B20005I_040</t>
  </si>
  <si>
    <t>B20005I_041</t>
  </si>
  <si>
    <t>B20005I_042</t>
  </si>
  <si>
    <t>B20005I_043</t>
  </si>
  <si>
    <t>B20005I_044</t>
  </si>
  <si>
    <t>B20005I_045</t>
  </si>
  <si>
    <t>B20005I_046</t>
  </si>
  <si>
    <t>B20005I_047</t>
  </si>
  <si>
    <t>B20005I_048</t>
  </si>
  <si>
    <t>B20005I_049</t>
  </si>
  <si>
    <t>B20005I_050</t>
  </si>
  <si>
    <t>B20005I_051</t>
  </si>
  <si>
    <t>B20005I_052</t>
  </si>
  <si>
    <t>B20005I_053</t>
  </si>
  <si>
    <t>B20005I_054</t>
  </si>
  <si>
    <t>B20005I_055</t>
  </si>
  <si>
    <t>B20005I_056</t>
  </si>
  <si>
    <t>B20005I_057</t>
  </si>
  <si>
    <t>B20005I_058</t>
  </si>
  <si>
    <t>B20005I_059</t>
  </si>
  <si>
    <t>B20005I_060</t>
  </si>
  <si>
    <t>B20005I_061</t>
  </si>
  <si>
    <t>B20005I_062</t>
  </si>
  <si>
    <t>B20005I_063</t>
  </si>
  <si>
    <t>B20005I_064</t>
  </si>
  <si>
    <t>B20005I_065</t>
  </si>
  <si>
    <t>B20005I_066</t>
  </si>
  <si>
    <t>B20005I_067</t>
  </si>
  <si>
    <t>B20005I_068</t>
  </si>
  <si>
    <t>B20005I_069</t>
  </si>
  <si>
    <t>B20005I_070</t>
  </si>
  <si>
    <t>B20005I_071</t>
  </si>
  <si>
    <t>B20005I_072</t>
  </si>
  <si>
    <t>B20005I_073</t>
  </si>
  <si>
    <t>B20005I_074</t>
  </si>
  <si>
    <t>B20005I_075</t>
  </si>
  <si>
    <t>B20005I_076</t>
  </si>
  <si>
    <t>B20005I_077</t>
  </si>
  <si>
    <t>B20005I_078</t>
  </si>
  <si>
    <t>B20005I_079</t>
  </si>
  <si>
    <t>B20005I_080</t>
  </si>
  <si>
    <t>B20005I_081</t>
  </si>
  <si>
    <t>B20005I_082</t>
  </si>
  <si>
    <t>B20005I_083</t>
  </si>
  <si>
    <t>B20005I_084</t>
  </si>
  <si>
    <t>B20005I_085</t>
  </si>
  <si>
    <t>B20005I_086</t>
  </si>
  <si>
    <t>B20005I_087</t>
  </si>
  <si>
    <t>B20005I_088</t>
  </si>
  <si>
    <t>B20005I_089</t>
  </si>
  <si>
    <t>B20005I_090</t>
  </si>
  <si>
    <t>B20005I_091</t>
  </si>
  <si>
    <t>B20005I_092</t>
  </si>
  <si>
    <t>B20005I_093</t>
  </si>
  <si>
    <t>B20005I_094</t>
  </si>
  <si>
    <t>B20005I_095</t>
  </si>
  <si>
    <t>B20005_002</t>
  </si>
  <si>
    <t>B20005_003</t>
  </si>
  <si>
    <t>B20005_004</t>
  </si>
  <si>
    <t>B20005_005</t>
  </si>
  <si>
    <t>B20005_006</t>
  </si>
  <si>
    <t>B20005_007</t>
  </si>
  <si>
    <t>B20005_008</t>
  </si>
  <si>
    <t>B20005_009</t>
  </si>
  <si>
    <t>B20005_010</t>
  </si>
  <si>
    <t>B20005_011</t>
  </si>
  <si>
    <t>B20005_012</t>
  </si>
  <si>
    <t>B20005_013</t>
  </si>
  <si>
    <t>B20005_014</t>
  </si>
  <si>
    <t>B20005_015</t>
  </si>
  <si>
    <t>B20005_016</t>
  </si>
  <si>
    <t>B20005_017</t>
  </si>
  <si>
    <t>B20005_018</t>
  </si>
  <si>
    <t>B20005_019</t>
  </si>
  <si>
    <t>B20005_020</t>
  </si>
  <si>
    <t>B20005_021</t>
  </si>
  <si>
    <t>B20005_022</t>
  </si>
  <si>
    <t>B20005_023</t>
  </si>
  <si>
    <t>B20005_024</t>
  </si>
  <si>
    <t>B20005_025</t>
  </si>
  <si>
    <t>B20005_026</t>
  </si>
  <si>
    <t>B20005_027</t>
  </si>
  <si>
    <t>B20005_028</t>
  </si>
  <si>
    <t>B20005_029</t>
  </si>
  <si>
    <t>B20005_030</t>
  </si>
  <si>
    <t>B20005_031</t>
  </si>
  <si>
    <t>B20005_032</t>
  </si>
  <si>
    <t>B20005_033</t>
  </si>
  <si>
    <t>B20005_034</t>
  </si>
  <si>
    <t>B20005_035</t>
  </si>
  <si>
    <t>B20005_036</t>
  </si>
  <si>
    <t>B20005_037</t>
  </si>
  <si>
    <t>B20005_038</t>
  </si>
  <si>
    <t>B20005_039</t>
  </si>
  <si>
    <t>B20005_040</t>
  </si>
  <si>
    <t>B20005_041</t>
  </si>
  <si>
    <t>B20005_042</t>
  </si>
  <si>
    <t>B20005_043</t>
  </si>
  <si>
    <t>B20005_044</t>
  </si>
  <si>
    <t>B20005_045</t>
  </si>
  <si>
    <t>B20005_046</t>
  </si>
  <si>
    <t>B20005_047</t>
  </si>
  <si>
    <t>B20005_048</t>
  </si>
  <si>
    <t>B20005_049</t>
  </si>
  <si>
    <t>B20005_050</t>
  </si>
  <si>
    <t>B20005_051</t>
  </si>
  <si>
    <t>B20005_052</t>
  </si>
  <si>
    <t>B20005_053</t>
  </si>
  <si>
    <t>B20005_054</t>
  </si>
  <si>
    <t>B20005_055</t>
  </si>
  <si>
    <t>B20005_056</t>
  </si>
  <si>
    <t>B20005_057</t>
  </si>
  <si>
    <t>B20005_058</t>
  </si>
  <si>
    <t>B20005_059</t>
  </si>
  <si>
    <t>B20005_060</t>
  </si>
  <si>
    <t>B20005_061</t>
  </si>
  <si>
    <t>B20005_062</t>
  </si>
  <si>
    <t>B20005_063</t>
  </si>
  <si>
    <t>B20005_064</t>
  </si>
  <si>
    <t>B20005_065</t>
  </si>
  <si>
    <t>B20005_066</t>
  </si>
  <si>
    <t>B20005_067</t>
  </si>
  <si>
    <t>B20005_068</t>
  </si>
  <si>
    <t>B20005_069</t>
  </si>
  <si>
    <t>B20005_070</t>
  </si>
  <si>
    <t>B20005_071</t>
  </si>
  <si>
    <t>B20005_072</t>
  </si>
  <si>
    <t>B20005_073</t>
  </si>
  <si>
    <t>B20005_074</t>
  </si>
  <si>
    <t>B20005_075</t>
  </si>
  <si>
    <t>B20005_076</t>
  </si>
  <si>
    <t>B20005_077</t>
  </si>
  <si>
    <t>B20005_078</t>
  </si>
  <si>
    <t>B20005_079</t>
  </si>
  <si>
    <t>B20005_080</t>
  </si>
  <si>
    <t>B20005_081</t>
  </si>
  <si>
    <t>B20005_082</t>
  </si>
  <si>
    <t>B20005_083</t>
  </si>
  <si>
    <t>B20005_084</t>
  </si>
  <si>
    <t>B20005_085</t>
  </si>
  <si>
    <t>B20005_086</t>
  </si>
  <si>
    <t>B20005_087</t>
  </si>
  <si>
    <t>B20005_088</t>
  </si>
  <si>
    <t>B20005_089</t>
  </si>
  <si>
    <t>B20005_090</t>
  </si>
  <si>
    <t>B20005_091</t>
  </si>
  <si>
    <t>B20005_092</t>
  </si>
  <si>
    <t>B20005_093</t>
  </si>
  <si>
    <t>B20005_094</t>
  </si>
  <si>
    <t>B20005_095</t>
  </si>
  <si>
    <t>B20017A_002</t>
  </si>
  <si>
    <t>Estimate!!Median earnings in the past 12 months (in 2024 inflation-adjusted dollars) --!!Total:!!Male --!!Total</t>
  </si>
  <si>
    <t>B20017A_003</t>
  </si>
  <si>
    <t>Estimate!!Median earnings in the past 12 months (in 2024 inflation-adjusted dollars) --!!Total:!!Male --!!Total!!Worked full-time, year-round in the past 12 months</t>
  </si>
  <si>
    <t>B20017A_004</t>
  </si>
  <si>
    <t>Estimate!!Median earnings in the past 12 months (in 2024 inflation-adjusted dollars) --!!Total:!!Male --!!Total!!Other</t>
  </si>
  <si>
    <t>B20017A_005</t>
  </si>
  <si>
    <t>Estimate!!Median earnings in the past 12 months (in 2024 inflation-adjusted dollars) --!!Total:!!Female --!!Total</t>
  </si>
  <si>
    <t>B20017A_006</t>
  </si>
  <si>
    <t>Estimate!!Median earnings in the past 12 months (in 2024 inflation-adjusted dollars) --!!Total:!!Female --!!Total!!Worked full-time, year-round in the past 12 months</t>
  </si>
  <si>
    <t>B20017A_007</t>
  </si>
  <si>
    <t>Estimate!!Median earnings in the past 12 months (in 2024 inflation-adjusted dollars) --!!Total:!!Female --!!Total!!Other</t>
  </si>
  <si>
    <t>B20017B_002</t>
  </si>
  <si>
    <t>B20017B_003</t>
  </si>
  <si>
    <t>B20017B_004</t>
  </si>
  <si>
    <t>B20017B_005</t>
  </si>
  <si>
    <t>B20017B_006</t>
  </si>
  <si>
    <t>B20017B_007</t>
  </si>
  <si>
    <t>B20017C_002</t>
  </si>
  <si>
    <t>B20017C_003</t>
  </si>
  <si>
    <t>B20017C_004</t>
  </si>
  <si>
    <t>B20017C_005</t>
  </si>
  <si>
    <t>B20017C_006</t>
  </si>
  <si>
    <t>B20017C_007</t>
  </si>
  <si>
    <t>B20017D_002</t>
  </si>
  <si>
    <t>B20017D_003</t>
  </si>
  <si>
    <t>B20017D_004</t>
  </si>
  <si>
    <t>B20017D_005</t>
  </si>
  <si>
    <t>B20017D_006</t>
  </si>
  <si>
    <t>B20017D_007</t>
  </si>
  <si>
    <t>B20017E_002</t>
  </si>
  <si>
    <t>B20017E_003</t>
  </si>
  <si>
    <t>B20017E_004</t>
  </si>
  <si>
    <t>B20017E_005</t>
  </si>
  <si>
    <t>B20017E_006</t>
  </si>
  <si>
    <t>B20017E_007</t>
  </si>
  <si>
    <t>B20017F_002</t>
  </si>
  <si>
    <t>B20017F_003</t>
  </si>
  <si>
    <t>B20017F_004</t>
  </si>
  <si>
    <t>B20017F_005</t>
  </si>
  <si>
    <t>B20017F_006</t>
  </si>
  <si>
    <t>B20017F_007</t>
  </si>
  <si>
    <t>B20017G_002</t>
  </si>
  <si>
    <t>B20017G_003</t>
  </si>
  <si>
    <t>B20017G_004</t>
  </si>
  <si>
    <t>B20017G_005</t>
  </si>
  <si>
    <t>B20017G_006</t>
  </si>
  <si>
    <t>B20017G_007</t>
  </si>
  <si>
    <t>B20017H_002</t>
  </si>
  <si>
    <t>B20017H_003</t>
  </si>
  <si>
    <t>B20017H_004</t>
  </si>
  <si>
    <t>B20017H_005</t>
  </si>
  <si>
    <t>B20017H_006</t>
  </si>
  <si>
    <t>B20017H_007</t>
  </si>
  <si>
    <t>B20017I_002</t>
  </si>
  <si>
    <t>B20017I_003</t>
  </si>
  <si>
    <t>B20017I_004</t>
  </si>
  <si>
    <t>B20017I_005</t>
  </si>
  <si>
    <t>B20017I_006</t>
  </si>
  <si>
    <t>B20017I_007</t>
  </si>
  <si>
    <t>B20017_002</t>
  </si>
  <si>
    <t>Estimate!!Median earnings in the past 12 months (in 2024 inflation-adjusted dollars) --!!Total (dollars):!!Male --!!Total (dollars)</t>
  </si>
  <si>
    <t>B20017_003</t>
  </si>
  <si>
    <t>Estimate!!Median earnings in the past 12 months (in 2024 inflation-adjusted dollars) --!!Total (dollars):!!Male --!!Total (dollars)!!Worked full-time, year-round in the past 12 months (dollars)</t>
  </si>
  <si>
    <t>B20017_004</t>
  </si>
  <si>
    <t>Estimate!!Median earnings in the past 12 months (in 2024 inflation-adjusted dollars) --!!Total (dollars):!!Male --!!Total (dollars)!!Other (dollars)</t>
  </si>
  <si>
    <t>B20017_005</t>
  </si>
  <si>
    <t>Estimate!!Median earnings in the past 12 months (in 2024 inflation-adjusted dollars) --!!Total (dollars):!!Female --!!Total (dollars)</t>
  </si>
  <si>
    <t>B20017_006</t>
  </si>
  <si>
    <t>Estimate!!Median earnings in the past 12 months (in 2024 inflation-adjusted dollars) --!!Total (dollars):!!Female --!!Total (dollars)!!Worked full-time, year-round in the past 12 months (dollars)</t>
  </si>
  <si>
    <t>B20017_007</t>
  </si>
  <si>
    <t>Estimate!!Median earnings in the past 12 months (in 2024 inflation-adjusted dollars) --!!Total (dollars):!!Female --!!Total (dollars)!!Other (dollars)</t>
  </si>
  <si>
    <t>B21001_002</t>
  </si>
  <si>
    <t>Estimate!!Total:!!Veteran</t>
  </si>
  <si>
    <t>B21001_003</t>
  </si>
  <si>
    <t>Estimate!!Total:!!Nonveteran</t>
  </si>
  <si>
    <t>B21001_004</t>
  </si>
  <si>
    <t>B21001_005</t>
  </si>
  <si>
    <t>Estimate!!Total:!!Male:!!Veteran</t>
  </si>
  <si>
    <t>B21001_006</t>
  </si>
  <si>
    <t>Estimate!!Total:!!Male:!!Nonveteran</t>
  </si>
  <si>
    <t>B21001_007</t>
  </si>
  <si>
    <t>B21001_008</t>
  </si>
  <si>
    <t>Estimate!!Total:!!Male:!!18 to 34 years:!!Veteran</t>
  </si>
  <si>
    <t>B21001_009</t>
  </si>
  <si>
    <t>Estimate!!Total:!!Male:!!18 to 34 years:!!Nonveteran</t>
  </si>
  <si>
    <t>B21001_010</t>
  </si>
  <si>
    <t>Estimate!!Total:!!Male:!!35 to 54 years:</t>
  </si>
  <si>
    <t>B21001_011</t>
  </si>
  <si>
    <t>Estimate!!Total:!!Male:!!35 to 54 years:!!Veteran</t>
  </si>
  <si>
    <t>B21001_012</t>
  </si>
  <si>
    <t>Estimate!!Total:!!Male:!!35 to 54 years:!!Nonveteran</t>
  </si>
  <si>
    <t>B21001_013</t>
  </si>
  <si>
    <t>Estimate!!Total:!!Male:!!55 to 64 years:</t>
  </si>
  <si>
    <t>B21001_014</t>
  </si>
  <si>
    <t>Estimate!!Total:!!Male:!!55 to 64 years:!!Veteran</t>
  </si>
  <si>
    <t>B21001_015</t>
  </si>
  <si>
    <t>Estimate!!Total:!!Male:!!55 to 64 years:!!Nonveteran</t>
  </si>
  <si>
    <t>B21001_016</t>
  </si>
  <si>
    <t>B21001_017</t>
  </si>
  <si>
    <t>Estimate!!Total:!!Male:!!65 to 74 years:!!Veteran</t>
  </si>
  <si>
    <t>B21001_018</t>
  </si>
  <si>
    <t>Estimate!!Total:!!Male:!!65 to 74 years:!!Nonveteran</t>
  </si>
  <si>
    <t>B21001_019</t>
  </si>
  <si>
    <t>B21001_020</t>
  </si>
  <si>
    <t>Estimate!!Total:!!Male:!!75 years and over:!!Veteran</t>
  </si>
  <si>
    <t>B21001_021</t>
  </si>
  <si>
    <t>Estimate!!Total:!!Male:!!75 years and over:!!Nonveteran</t>
  </si>
  <si>
    <t>B21001_022</t>
  </si>
  <si>
    <t>B21001_023</t>
  </si>
  <si>
    <t>Estimate!!Total:!!Female:!!Veteran</t>
  </si>
  <si>
    <t>B21001_024</t>
  </si>
  <si>
    <t>Estimate!!Total:!!Female:!!Nonveteran</t>
  </si>
  <si>
    <t>B21001_025</t>
  </si>
  <si>
    <t>B21001_026</t>
  </si>
  <si>
    <t>Estimate!!Total:!!Female:!!18 to 34 years:!!Veteran</t>
  </si>
  <si>
    <t>B21001_027</t>
  </si>
  <si>
    <t>Estimate!!Total:!!Female:!!18 to 34 years:!!Nonveteran</t>
  </si>
  <si>
    <t>B21001_028</t>
  </si>
  <si>
    <t>Estimate!!Total:!!Female:!!35 to 54 years:</t>
  </si>
  <si>
    <t>B21001_029</t>
  </si>
  <si>
    <t>Estimate!!Total:!!Female:!!35 to 54 years:!!Veteran</t>
  </si>
  <si>
    <t>B21001_030</t>
  </si>
  <si>
    <t>Estimate!!Total:!!Female:!!35 to 54 years:!!Nonveteran</t>
  </si>
  <si>
    <t>B21001_031</t>
  </si>
  <si>
    <t>Estimate!!Total:!!Female:!!55 to 64 years:</t>
  </si>
  <si>
    <t>B21001_032</t>
  </si>
  <si>
    <t>Estimate!!Total:!!Female:!!55 to 64 years:!!Veteran</t>
  </si>
  <si>
    <t>B21001_033</t>
  </si>
  <si>
    <t>Estimate!!Total:!!Female:!!55 to 64 years:!!Nonveteran</t>
  </si>
  <si>
    <t>B21001_034</t>
  </si>
  <si>
    <t>B21001_035</t>
  </si>
  <si>
    <t>Estimate!!Total:!!Female:!!65 to 74 years:!!Veteran</t>
  </si>
  <si>
    <t>B21001_036</t>
  </si>
  <si>
    <t>Estimate!!Total:!!Female:!!65 to 74 years:!!Nonveteran</t>
  </si>
  <si>
    <t>B21001_037</t>
  </si>
  <si>
    <t>B21001_038</t>
  </si>
  <si>
    <t>Estimate!!Total:!!Female:!!75 years and over:!!Veteran</t>
  </si>
  <si>
    <t>B21001_039</t>
  </si>
  <si>
    <t>Estimate!!Total:!!Female:!!75 years and over:!!Nonveteran</t>
  </si>
  <si>
    <t>B21002_002</t>
  </si>
  <si>
    <t>Estimate!!Total:!!Gulf War (9/2001 or later), no Gulf War (8/1990 to 8/2001), no Vietnam War</t>
  </si>
  <si>
    <t>B21002_003</t>
  </si>
  <si>
    <t>Estimate!!Total:!!Gulf War (9/2001 or later) and Gulf War (8/1990 to 8/2001), no Vietnam War</t>
  </si>
  <si>
    <t>B21002_004</t>
  </si>
  <si>
    <t>Estimate!!Total:!!Gulf War (9/2001 or later), and Gulf War (8/1990 to 8/2001), and Vietnam War</t>
  </si>
  <si>
    <t>B21002_005</t>
  </si>
  <si>
    <t>Estimate!!Total:!!Gulf War (8/1990 to 8/2001), no Vietnam War</t>
  </si>
  <si>
    <t>B21002_006</t>
  </si>
  <si>
    <t>Estimate!!Total:!!Gulf War (8/1990 to 8/2001) and Vietnam War</t>
  </si>
  <si>
    <t>B21002_007</t>
  </si>
  <si>
    <t>Estimate!!Total:!!Vietnam War, no Korean War, no World War II</t>
  </si>
  <si>
    <t>B21002_008</t>
  </si>
  <si>
    <t>Estimate!!Total:!!Vietnam War and Korean War, no World War II</t>
  </si>
  <si>
    <t>B21002_009</t>
  </si>
  <si>
    <t>Estimate!!Total:!!Vietnam War and Korean War and World War II</t>
  </si>
  <si>
    <t>B21002_010</t>
  </si>
  <si>
    <t>Estimate!!Total:!!Korean War, no Vietnam War, no World War II</t>
  </si>
  <si>
    <t>B21002_011</t>
  </si>
  <si>
    <t>Estimate!!Total:!!Korean War and World War II, no Vietnam War</t>
  </si>
  <si>
    <t>B21002_012</t>
  </si>
  <si>
    <t>Estimate!!Total:!!World War II, no Korean War, no Vietnam War</t>
  </si>
  <si>
    <t>B21002_013</t>
  </si>
  <si>
    <t>Estimate!!Total:!!Between Gulf War and Vietnam War only</t>
  </si>
  <si>
    <t>B21002_014</t>
  </si>
  <si>
    <t>Estimate!!Total:!!Between Vietnam War and Korean War only</t>
  </si>
  <si>
    <t>B21002_015</t>
  </si>
  <si>
    <t>Estimate!!Total:!!Between Korean War and World War II only</t>
  </si>
  <si>
    <t>B21002_016</t>
  </si>
  <si>
    <t>Estimate!!Total:!!Pre-World War II only</t>
  </si>
  <si>
    <t>B21003_002</t>
  </si>
  <si>
    <t>Estimate!!Total:!!Veteran:</t>
  </si>
  <si>
    <t>B21003_003</t>
  </si>
  <si>
    <t>Estimate!!Total:!!Veteran:!!Less than high school graduate</t>
  </si>
  <si>
    <t>B21003_004</t>
  </si>
  <si>
    <t>Estimate!!Total:!!Veteran:!!High school graduate (includes equivalency)</t>
  </si>
  <si>
    <t>B21003_005</t>
  </si>
  <si>
    <t>Estimate!!Total:!!Veteran:!!Some college or associate's degree</t>
  </si>
  <si>
    <t>B21003_006</t>
  </si>
  <si>
    <t>Estimate!!Total:!!Veteran:!!Bachelor's degree or higher</t>
  </si>
  <si>
    <t>B21003_007</t>
  </si>
  <si>
    <t>Estimate!!Total:!!Nonveteran:</t>
  </si>
  <si>
    <t>B21003_008</t>
  </si>
  <si>
    <t>Estimate!!Total:!!Nonveteran:!!Less than high school graduate</t>
  </si>
  <si>
    <t>B21003_009</t>
  </si>
  <si>
    <t>Estimate!!Total:!!Nonveteran:!!High school graduate (includes equivalency)</t>
  </si>
  <si>
    <t>B21003_010</t>
  </si>
  <si>
    <t>Estimate!!Total:!!Nonveteran:!!Some college or associate's degree</t>
  </si>
  <si>
    <t>B21003_011</t>
  </si>
  <si>
    <t>Estimate!!Total:!!Nonveteran:!!Bachelor's degree or higher</t>
  </si>
  <si>
    <t>B21004_002</t>
  </si>
  <si>
    <t>Estimate!!Median income in the past 12 months (in 2024 inflation-adjusted dollars)--!!Total:!!Veteran:</t>
  </si>
  <si>
    <t>B21004_003</t>
  </si>
  <si>
    <t>Estimate!!Median income in the past 12 months (in 2024 inflation-adjusted dollars)--!!Total:!!Veteran:!!Male</t>
  </si>
  <si>
    <t>B21004_004</t>
  </si>
  <si>
    <t>Estimate!!Median income in the past 12 months (in 2024 inflation-adjusted dollars)--!!Total:!!Veteran:!!Female</t>
  </si>
  <si>
    <t>B21004_005</t>
  </si>
  <si>
    <t>Estimate!!Median income in the past 12 months (in 2024 inflation-adjusted dollars)--!!Total:!!Nonveteran:</t>
  </si>
  <si>
    <t>B21004_006</t>
  </si>
  <si>
    <t>Estimate!!Median income in the past 12 months (in 2024 inflation-adjusted dollars)--!!Total:!!Nonveteran:!!Male</t>
  </si>
  <si>
    <t>B21004_007</t>
  </si>
  <si>
    <t>Estimate!!Median income in the past 12 months (in 2024 inflation-adjusted dollars)--!!Total:!!Nonveteran:!!Female</t>
  </si>
  <si>
    <t>B21005_002</t>
  </si>
  <si>
    <t>B21005_003</t>
  </si>
  <si>
    <t>Estimate!!Total:!!18 to 34 years:!!Veteran:</t>
  </si>
  <si>
    <t>B21005_004</t>
  </si>
  <si>
    <t>Estimate!!Total:!!18 to 34 years:!!Veteran:!!In labor force:</t>
  </si>
  <si>
    <t>B21005_005</t>
  </si>
  <si>
    <t>Estimate!!Total:!!18 to 34 years:!!Veteran:!!In labor force:!!Employed</t>
  </si>
  <si>
    <t>B21005_006</t>
  </si>
  <si>
    <t>Estimate!!Total:!!18 to 34 years:!!Veteran:!!In labor force:!!Unemployed</t>
  </si>
  <si>
    <t>B21005_007</t>
  </si>
  <si>
    <t>Estimate!!Total:!!18 to 34 years:!!Veteran:!!Not in labor force</t>
  </si>
  <si>
    <t>B21005_008</t>
  </si>
  <si>
    <t>Estimate!!Total:!!18 to 34 years:!!Nonveteran:</t>
  </si>
  <si>
    <t>B21005_009</t>
  </si>
  <si>
    <t>Estimate!!Total:!!18 to 34 years:!!Nonveteran:!!In labor force:</t>
  </si>
  <si>
    <t>B21005_010</t>
  </si>
  <si>
    <t>Estimate!!Total:!!18 to 34 years:!!Nonveteran:!!In labor force:!!Employed</t>
  </si>
  <si>
    <t>B21005_011</t>
  </si>
  <si>
    <t>Estimate!!Total:!!18 to 34 years:!!Nonveteran:!!In labor force:!!Unemployed</t>
  </si>
  <si>
    <t>B21005_012</t>
  </si>
  <si>
    <t>Estimate!!Total:!!18 to 34 years:!!Nonveteran:!!Not in labor force</t>
  </si>
  <si>
    <t>B21005_013</t>
  </si>
  <si>
    <t>Estimate!!Total:!!35 to 54 years:</t>
  </si>
  <si>
    <t>B21005_014</t>
  </si>
  <si>
    <t>Estimate!!Total:!!35 to 54 years:!!Veteran:</t>
  </si>
  <si>
    <t>B21005_015</t>
  </si>
  <si>
    <t>Estimate!!Total:!!35 to 54 years:!!Veteran:!!In labor force:</t>
  </si>
  <si>
    <t>B21005_016</t>
  </si>
  <si>
    <t>Estimate!!Total:!!35 to 54 years:!!Veteran:!!In labor force:!!Employed</t>
  </si>
  <si>
    <t>B21005_017</t>
  </si>
  <si>
    <t>Estimate!!Total:!!35 to 54 years:!!Veteran:!!In labor force:!!Unemployed</t>
  </si>
  <si>
    <t>B21005_018</t>
  </si>
  <si>
    <t>Estimate!!Total:!!35 to 54 years:!!Veteran:!!Not in labor force</t>
  </si>
  <si>
    <t>B21005_019</t>
  </si>
  <si>
    <t>Estimate!!Total:!!35 to 54 years:!!Nonveteran:</t>
  </si>
  <si>
    <t>B21005_020</t>
  </si>
  <si>
    <t>Estimate!!Total:!!35 to 54 years:!!Nonveteran:!!In labor force:</t>
  </si>
  <si>
    <t>B21005_021</t>
  </si>
  <si>
    <t>Estimate!!Total:!!35 to 54 years:!!Nonveteran:!!In labor force:!!Employed</t>
  </si>
  <si>
    <t>B21005_022</t>
  </si>
  <si>
    <t>Estimate!!Total:!!35 to 54 years:!!Nonveteran:!!In labor force:!!Unemployed</t>
  </si>
  <si>
    <t>B21005_023</t>
  </si>
  <si>
    <t>Estimate!!Total:!!35 to 54 years:!!Nonveteran:!!Not in labor force</t>
  </si>
  <si>
    <t>B21005_024</t>
  </si>
  <si>
    <t>B21005_025</t>
  </si>
  <si>
    <t>Estimate!!Total:!!55 to 64 years:!!Veteran:</t>
  </si>
  <si>
    <t>B21005_026</t>
  </si>
  <si>
    <t>Estimate!!Total:!!55 to 64 years:!!Veteran:!!In labor force:</t>
  </si>
  <si>
    <t>B21005_027</t>
  </si>
  <si>
    <t>Estimate!!Total:!!55 to 64 years:!!Veteran:!!In labor force:!!Employed</t>
  </si>
  <si>
    <t>B21005_028</t>
  </si>
  <si>
    <t>Estimate!!Total:!!55 to 64 years:!!Veteran:!!In labor force:!!Unemployed</t>
  </si>
  <si>
    <t>B21005_029</t>
  </si>
  <si>
    <t>Estimate!!Total:!!55 to 64 years:!!Veteran:!!Not in labor force</t>
  </si>
  <si>
    <t>B21005_030</t>
  </si>
  <si>
    <t>Estimate!!Total:!!55 to 64 years:!!Nonveteran:</t>
  </si>
  <si>
    <t>B21005_031</t>
  </si>
  <si>
    <t>Estimate!!Total:!!55 to 64 years:!!Nonveteran:!!In labor force:</t>
  </si>
  <si>
    <t>B21005_032</t>
  </si>
  <si>
    <t>Estimate!!Total:!!55 to 64 years:!!Nonveteran:!!In labor force:!!Employed</t>
  </si>
  <si>
    <t>B21005_033</t>
  </si>
  <si>
    <t>Estimate!!Total:!!55 to 64 years:!!Nonveteran:!!In labor force:!!Unemployed</t>
  </si>
  <si>
    <t>B21005_034</t>
  </si>
  <si>
    <t>Estimate!!Total:!!55 to 64 years:!!Nonveteran:!!Not in labor force</t>
  </si>
  <si>
    <t>B21100_002</t>
  </si>
  <si>
    <t>Estimate!!Total:!!Has no service-connected disability rating</t>
  </si>
  <si>
    <t>B21100_003</t>
  </si>
  <si>
    <t>Estimate!!Total:!!Has a service-connected disability rating:</t>
  </si>
  <si>
    <t>B21100_004</t>
  </si>
  <si>
    <t>Estimate!!Total:!!Has a service-connected disability rating:!!0 percent</t>
  </si>
  <si>
    <t>B21100_005</t>
  </si>
  <si>
    <t>Estimate!!Total:!!Has a service-connected disability rating:!!10 or 20 percent</t>
  </si>
  <si>
    <t>B21100_006</t>
  </si>
  <si>
    <t>Estimate!!Total:!!Has a service-connected disability rating:!!30 or 40 percent</t>
  </si>
  <si>
    <t>B21100_007</t>
  </si>
  <si>
    <t>Estimate!!Total:!!Has a service-connected disability rating:!!50 or 60 percent</t>
  </si>
  <si>
    <t>B21100_008</t>
  </si>
  <si>
    <t>Estimate!!Total:!!Has a service-connected disability rating:!!70 percent or higher</t>
  </si>
  <si>
    <t>B21100_009</t>
  </si>
  <si>
    <t>Estimate!!Total:!!Has a service-connected disability rating:!!Rating not reported</t>
  </si>
  <si>
    <t>B22001_002</t>
  </si>
  <si>
    <t>Estimate!!Total:!!Household received Food Stamps/SNAP in the past 12 months:</t>
  </si>
  <si>
    <t>B22001_003</t>
  </si>
  <si>
    <t>Estimate!!Total:!!Household received Food Stamps/SNAP in the past 12 months:!!At least one person in household 60 years or over</t>
  </si>
  <si>
    <t>B22001_004</t>
  </si>
  <si>
    <t>Estimate!!Total:!!Household received Food Stamps/SNAP in the past 12 months:!!No people in household 60 years or over</t>
  </si>
  <si>
    <t>B22001_005</t>
  </si>
  <si>
    <t>Estimate!!Total:!!Household did not receive Food Stamps/SNAP in the past 12 months:</t>
  </si>
  <si>
    <t>B22001_006</t>
  </si>
  <si>
    <t>Estimate!!Total:!!Household did not receive Food Stamps/SNAP in the past 12 months:!!At least one person in household 60 years or over</t>
  </si>
  <si>
    <t>B22001_007</t>
  </si>
  <si>
    <t>Estimate!!Total:!!Household did not receive Food Stamps/SNAP in the past 12 months:!!No people in household 60 years or over</t>
  </si>
  <si>
    <t>B22002_002</t>
  </si>
  <si>
    <t>B22002_003</t>
  </si>
  <si>
    <t>Estimate!!Total:!!Household received Food Stamps/SNAP in the past 12 months:!!With children under 18 years:</t>
  </si>
  <si>
    <t>B22002_004</t>
  </si>
  <si>
    <t>Estimate!!Total:!!Household received Food Stamps/SNAP in the past 12 months:!!With children under 18 years:!!Married-couple family</t>
  </si>
  <si>
    <t>B22002_005</t>
  </si>
  <si>
    <t>Estimate!!Total:!!Household received Food Stamps/SNAP in the past 12 months:!!With children under 18 years:!!Other family:</t>
  </si>
  <si>
    <t>B22002_006</t>
  </si>
  <si>
    <t>Estimate!!Total:!!Household received Food Stamps/SNAP in the past 12 months:!!With children under 18 years:!!Other family:!!Male householder, no spouse present</t>
  </si>
  <si>
    <t>B22002_007</t>
  </si>
  <si>
    <t>Estimate!!Total:!!Household received Food Stamps/SNAP in the past 12 months:!!With children under 18 years:!!Other family:!!Female householder, no spouse present</t>
  </si>
  <si>
    <t>B22002_008</t>
  </si>
  <si>
    <t>Estimate!!Total:!!Household received Food Stamps/SNAP in the past 12 months:!!With children under 18 years:!!Nonfamily households</t>
  </si>
  <si>
    <t>B22002_009</t>
  </si>
  <si>
    <t>Estimate!!Total:!!Household received Food Stamps/SNAP in the past 12 months:!!No children under 18 years:</t>
  </si>
  <si>
    <t>B22002_010</t>
  </si>
  <si>
    <t>Estimate!!Total:!!Household received Food Stamps/SNAP in the past 12 months:!!No children under 18 years:!!Married-couple family</t>
  </si>
  <si>
    <t>B22002_011</t>
  </si>
  <si>
    <t>Estimate!!Total:!!Household received Food Stamps/SNAP in the past 12 months:!!No children under 18 years:!!Other family:</t>
  </si>
  <si>
    <t>B22002_012</t>
  </si>
  <si>
    <t>Estimate!!Total:!!Household received Food Stamps/SNAP in the past 12 months:!!No children under 18 years:!!Other family:!!Male householder, no spouse present</t>
  </si>
  <si>
    <t>B22002_013</t>
  </si>
  <si>
    <t>Estimate!!Total:!!Household received Food Stamps/SNAP in the past 12 months:!!No children under 18 years:!!Other family:!!Female householder, no spouse present</t>
  </si>
  <si>
    <t>B22002_014</t>
  </si>
  <si>
    <t>Estimate!!Total:!!Household received Food Stamps/SNAP in the past 12 months:!!No children under 18 years:!!Nonfamily households</t>
  </si>
  <si>
    <t>B22002_015</t>
  </si>
  <si>
    <t>B22002_016</t>
  </si>
  <si>
    <t>Estimate!!Total:!!Household did not receive Food Stamps/SNAP in the past 12 months:!!With children under 18 years:</t>
  </si>
  <si>
    <t>B22002_017</t>
  </si>
  <si>
    <t>Estimate!!Total:!!Household did not receive Food Stamps/SNAP in the past 12 months:!!With children under 18 years:!!Married-couple family</t>
  </si>
  <si>
    <t>B22002_018</t>
  </si>
  <si>
    <t>Estimate!!Total:!!Household did not receive Food Stamps/SNAP in the past 12 months:!!With children under 18 years:!!Other family:</t>
  </si>
  <si>
    <t>B22002_019</t>
  </si>
  <si>
    <t>Estimate!!Total:!!Household did not receive Food Stamps/SNAP in the past 12 months:!!With children under 18 years:!!Other family:!!Male householder, no spouse present</t>
  </si>
  <si>
    <t>B22002_020</t>
  </si>
  <si>
    <t>Estimate!!Total:!!Household did not receive Food Stamps/SNAP in the past 12 months:!!With children under 18 years:!!Other family:!!Female householder, no spouse present</t>
  </si>
  <si>
    <t>B22002_021</t>
  </si>
  <si>
    <t>Estimate!!Total:!!Household did not receive Food Stamps/SNAP in the past 12 months:!!With children under 18 years:!!Nonfamily households</t>
  </si>
  <si>
    <t>B22002_022</t>
  </si>
  <si>
    <t>Estimate!!Total:!!Household did not receive Food Stamps/SNAP in the past 12 months:!!No children under 18 years:</t>
  </si>
  <si>
    <t>B22002_023</t>
  </si>
  <si>
    <t>Estimate!!Total:!!Household did not receive Food Stamps/SNAP in the past 12 months:!!No children under 18 years:!!Married-couple family</t>
  </si>
  <si>
    <t>B22002_024</t>
  </si>
  <si>
    <t>Estimate!!Total:!!Household did not receive Food Stamps/SNAP in the past 12 months:!!No children under 18 years:!!Other family:</t>
  </si>
  <si>
    <t>B22002_025</t>
  </si>
  <si>
    <t>Estimate!!Total:!!Household did not receive Food Stamps/SNAP in the past 12 months:!!No children under 18 years:!!Other family:!!Male householder, no spouse present</t>
  </si>
  <si>
    <t>B22002_026</t>
  </si>
  <si>
    <t>Estimate!!Total:!!Household did not receive Food Stamps/SNAP in the past 12 months:!!No children under 18 years:!!Other family:!!Female householder, no spouse present</t>
  </si>
  <si>
    <t>B22002_027</t>
  </si>
  <si>
    <t>Estimate!!Total:!!Household did not receive Food Stamps/SNAP in the past 12 months:!!No children under 18 years:!!Nonfamily households</t>
  </si>
  <si>
    <t>B22003_002</t>
  </si>
  <si>
    <t>B22003_003</t>
  </si>
  <si>
    <t>Estimate!!Total:!!Household received Food Stamps/SNAP in the past 12 months:!!Income in the past 12 months below poverty level</t>
  </si>
  <si>
    <t>B22003_004</t>
  </si>
  <si>
    <t>Estimate!!Total:!!Household received Food Stamps/SNAP in the past 12 months:!!Income in the past 12 months at or above poverty level</t>
  </si>
  <si>
    <t>B22003_005</t>
  </si>
  <si>
    <t>B22003_006</t>
  </si>
  <si>
    <t>Estimate!!Total:!!Household did not receive Food Stamps/SNAP in the past 12 months:!!Income in the past 12 months below poverty level</t>
  </si>
  <si>
    <t>B22003_007</t>
  </si>
  <si>
    <t>Estimate!!Total:!!Household did not receive Food Stamps/SNAP in the past 12 months:!!Income in the past 12 months at or above poverty level</t>
  </si>
  <si>
    <t>B22005A_002</t>
  </si>
  <si>
    <t>Estimate!!Total:!!Household received Food Stamps/SNAP in the past 12 months</t>
  </si>
  <si>
    <t>B22005A_003</t>
  </si>
  <si>
    <t>Estimate!!Total:!!Household did not receive Food Stamps/SNAP in the past 12 months</t>
  </si>
  <si>
    <t>B22005B_002</t>
  </si>
  <si>
    <t>B22005B_003</t>
  </si>
  <si>
    <t>B22005C_002</t>
  </si>
  <si>
    <t>B22005C_003</t>
  </si>
  <si>
    <t>B22005D_002</t>
  </si>
  <si>
    <t>B22005D_003</t>
  </si>
  <si>
    <t>B22005E_002</t>
  </si>
  <si>
    <t>B22005E_003</t>
  </si>
  <si>
    <t>B22005F_002</t>
  </si>
  <si>
    <t>B22005F_003</t>
  </si>
  <si>
    <t>B22005G_002</t>
  </si>
  <si>
    <t>B22005G_003</t>
  </si>
  <si>
    <t>B22005H_002</t>
  </si>
  <si>
    <t>B22005H_003</t>
  </si>
  <si>
    <t>B22005I_002</t>
  </si>
  <si>
    <t>B22005I_003</t>
  </si>
  <si>
    <t>B22007_002</t>
  </si>
  <si>
    <t>B22007_003</t>
  </si>
  <si>
    <t>Estimate!!Total:!!Household received Food Stamps/SNAP in the past 12 months:!!Married-couple family:</t>
  </si>
  <si>
    <t>B22007_004</t>
  </si>
  <si>
    <t>Estimate!!Total:!!Household received Food Stamps/SNAP in the past 12 months:!!Married-couple family:!!No workers</t>
  </si>
  <si>
    <t>B22007_005</t>
  </si>
  <si>
    <t>Estimate!!Total:!!Household received Food Stamps/SNAP in the past 12 months:!!Married-couple family:!!1 worker</t>
  </si>
  <si>
    <t>B22007_006</t>
  </si>
  <si>
    <t>Estimate!!Total:!!Household received Food Stamps/SNAP in the past 12 months:!!Married-couple family:!!2 workers:</t>
  </si>
  <si>
    <t>B22007_007</t>
  </si>
  <si>
    <t>Estimate!!Total:!!Household received Food Stamps/SNAP in the past 12 months:!!Married-couple family:!!2 workers:!!Both spouses worked</t>
  </si>
  <si>
    <t>B22007_008</t>
  </si>
  <si>
    <t>Estimate!!Total:!!Household received Food Stamps/SNAP in the past 12 months:!!Married-couple family:!!2 workers:!!Other</t>
  </si>
  <si>
    <t>B22007_009</t>
  </si>
  <si>
    <t>Estimate!!Total:!!Household received Food Stamps/SNAP in the past 12 months:!!Married-couple family:!!3 or more workers:</t>
  </si>
  <si>
    <t>B22007_010</t>
  </si>
  <si>
    <t>Estimate!!Total:!!Household received Food Stamps/SNAP in the past 12 months:!!Married-couple family:!!3 or more workers:!!Both spouses worked</t>
  </si>
  <si>
    <t>B22007_011</t>
  </si>
  <si>
    <t>Estimate!!Total:!!Household received Food Stamps/SNAP in the past 12 months:!!Married-couple family:!!3 or more workers:!!Other</t>
  </si>
  <si>
    <t>B22007_012</t>
  </si>
  <si>
    <t>Estimate!!Total:!!Household received Food Stamps/SNAP in the past 12 months:!!Other family:</t>
  </si>
  <si>
    <t>B22007_013</t>
  </si>
  <si>
    <t>Estimate!!Total:!!Household received Food Stamps/SNAP in the past 12 months:!!Other family:!!Male householder, no spouse present:</t>
  </si>
  <si>
    <t>B22007_014</t>
  </si>
  <si>
    <t>Estimate!!Total:!!Household received Food Stamps/SNAP in the past 12 months:!!Other family:!!Male householder, no spouse present:!!No workers</t>
  </si>
  <si>
    <t>B22007_015</t>
  </si>
  <si>
    <t>Estimate!!Total:!!Household received Food Stamps/SNAP in the past 12 months:!!Other family:!!Male householder, no spouse present:!!1 worker</t>
  </si>
  <si>
    <t>B22007_016</t>
  </si>
  <si>
    <t>Estimate!!Total:!!Household received Food Stamps/SNAP in the past 12 months:!!Other family:!!Male householder, no spouse present:!!2 workers</t>
  </si>
  <si>
    <t>B22007_017</t>
  </si>
  <si>
    <t>Estimate!!Total:!!Household received Food Stamps/SNAP in the past 12 months:!!Other family:!!Male householder, no spouse present:!!3 or more workers</t>
  </si>
  <si>
    <t>B22007_018</t>
  </si>
  <si>
    <t>Estimate!!Total:!!Household received Food Stamps/SNAP in the past 12 months:!!Other family:!!Female householder, no spouse present:</t>
  </si>
  <si>
    <t>B22007_019</t>
  </si>
  <si>
    <t>Estimate!!Total:!!Household received Food Stamps/SNAP in the past 12 months:!!Other family:!!Female householder, no spouse present:!!No workers</t>
  </si>
  <si>
    <t>B22007_020</t>
  </si>
  <si>
    <t>Estimate!!Total:!!Household received Food Stamps/SNAP in the past 12 months:!!Other family:!!Female householder, no spouse present:!!1 worker</t>
  </si>
  <si>
    <t>B22007_021</t>
  </si>
  <si>
    <t>Estimate!!Total:!!Household received Food Stamps/SNAP in the past 12 months:!!Other family:!!Female householder, no spouse present:!!2 workers</t>
  </si>
  <si>
    <t>B22007_022</t>
  </si>
  <si>
    <t>Estimate!!Total:!!Household received Food Stamps/SNAP in the past 12 months:!!Other family:!!Female householder, no spouse present:!!3 or more workers</t>
  </si>
  <si>
    <t>B22007_023</t>
  </si>
  <si>
    <t>B22007_024</t>
  </si>
  <si>
    <t>Estimate!!Total:!!Household did not receive Food Stamps/SNAP in the past 12 months:!!Married-couple family:</t>
  </si>
  <si>
    <t>B22007_025</t>
  </si>
  <si>
    <t>Estimate!!Total:!!Household did not receive Food Stamps/SNAP in the past 12 months:!!Married-couple family:!!No workers</t>
  </si>
  <si>
    <t>B22007_026</t>
  </si>
  <si>
    <t>Estimate!!Total:!!Household did not receive Food Stamps/SNAP in the past 12 months:!!Married-couple family:!!1 worker</t>
  </si>
  <si>
    <t>B22007_027</t>
  </si>
  <si>
    <t>Estimate!!Total:!!Household did not receive Food Stamps/SNAP in the past 12 months:!!Married-couple family:!!2 workers:</t>
  </si>
  <si>
    <t>B22007_028</t>
  </si>
  <si>
    <t>Estimate!!Total:!!Household did not receive Food Stamps/SNAP in the past 12 months:!!Married-couple family:!!2 workers:!!Both spouses worked</t>
  </si>
  <si>
    <t>B22007_029</t>
  </si>
  <si>
    <t>Estimate!!Total:!!Household did not receive Food Stamps/SNAP in the past 12 months:!!Married-couple family:!!2 workers:!!Other</t>
  </si>
  <si>
    <t>B22007_030</t>
  </si>
  <si>
    <t>Estimate!!Total:!!Household did not receive Food Stamps/SNAP in the past 12 months:!!Married-couple family:!!3 or more workers:</t>
  </si>
  <si>
    <t>B22007_031</t>
  </si>
  <si>
    <t>Estimate!!Total:!!Household did not receive Food Stamps/SNAP in the past 12 months:!!Married-couple family:!!3 or more workers:!!Both spouses worked</t>
  </si>
  <si>
    <t>B22007_032</t>
  </si>
  <si>
    <t>Estimate!!Total:!!Household did not receive Food Stamps/SNAP in the past 12 months:!!Married-couple family:!!3 or more workers:!!Other</t>
  </si>
  <si>
    <t>B22007_033</t>
  </si>
  <si>
    <t>Estimate!!Total:!!Household did not receive Food Stamps/SNAP in the past 12 months:!!Other family:</t>
  </si>
  <si>
    <t>B22007_034</t>
  </si>
  <si>
    <t>Estimate!!Total:!!Household did not receive Food Stamps/SNAP in the past 12 months:!!Other family:!!Male householder, no spouse present:</t>
  </si>
  <si>
    <t>B22007_035</t>
  </si>
  <si>
    <t>Estimate!!Total:!!Household did not receive Food Stamps/SNAP in the past 12 months:!!Other family:!!Male householder, no spouse present:!!No workers</t>
  </si>
  <si>
    <t>B22007_036</t>
  </si>
  <si>
    <t>Estimate!!Total:!!Household did not receive Food Stamps/SNAP in the past 12 months:!!Other family:!!Male householder, no spouse present:!!1 worker</t>
  </si>
  <si>
    <t>B22007_037</t>
  </si>
  <si>
    <t>Estimate!!Total:!!Household did not receive Food Stamps/SNAP in the past 12 months:!!Other family:!!Male householder, no spouse present:!!2 workers</t>
  </si>
  <si>
    <t>B22007_038</t>
  </si>
  <si>
    <t>Estimate!!Total:!!Household did not receive Food Stamps/SNAP in the past 12 months:!!Other family:!!Male householder, no spouse present:!!3 or more workers</t>
  </si>
  <si>
    <t>B22007_039</t>
  </si>
  <si>
    <t>Estimate!!Total:!!Household did not receive Food Stamps/SNAP in the past 12 months:!!Other family:!!Female householder, no spouse present:</t>
  </si>
  <si>
    <t>B22007_040</t>
  </si>
  <si>
    <t>Estimate!!Total:!!Household did not receive Food Stamps/SNAP in the past 12 months:!!Other family:!!Female householder, no spouse present:!!No workers</t>
  </si>
  <si>
    <t>B22007_041</t>
  </si>
  <si>
    <t>Estimate!!Total:!!Household did not receive Food Stamps/SNAP in the past 12 months:!!Other family:!!Female householder, no spouse present:!!1 worker</t>
  </si>
  <si>
    <t>B22007_042</t>
  </si>
  <si>
    <t>Estimate!!Total:!!Household did not receive Food Stamps/SNAP in the past 12 months:!!Other family:!!Female householder, no spouse present:!!2 workers</t>
  </si>
  <si>
    <t>B22007_043</t>
  </si>
  <si>
    <t>Estimate!!Total:!!Household did not receive Food Stamps/SNAP in the past 12 months:!!Other family:!!Female householder, no spouse present:!!3 or more workers</t>
  </si>
  <si>
    <t>B22008_002</t>
  </si>
  <si>
    <t>Estimate!!Median household income in the past 12 months (in 2024 inflation-adjusted dollars)--!!Total:!!Household received Food Stamps/SNAP in the past 12 months</t>
  </si>
  <si>
    <t>B22008_003</t>
  </si>
  <si>
    <t>Estimate!!Median household income in the past 12 months (in 2024 inflation-adjusted dollars)--!!Total:!!Household did not receive Food Stamps/SNAP in the past 12 months</t>
  </si>
  <si>
    <t>B22010_002</t>
  </si>
  <si>
    <t>B22010_003</t>
  </si>
  <si>
    <t>Estimate!!Total:!!Household received Food Stamps/SNAP in the past 12 months:!!Households with 1 or more persons with a disability</t>
  </si>
  <si>
    <t>B22010_004</t>
  </si>
  <si>
    <t>Estimate!!Total:!!Household received Food Stamps/SNAP in the past 12 months:!!Households with no persons with a disability</t>
  </si>
  <si>
    <t>B22010_005</t>
  </si>
  <si>
    <t>B22010_006</t>
  </si>
  <si>
    <t>Estimate!!Total:!!Household did not receive Food Stamps/SNAP in the past 12 months:!!Households with 1 or more persons with a disability</t>
  </si>
  <si>
    <t>B22010_007</t>
  </si>
  <si>
    <t>Estimate!!Total:!!Household did not receive Food Stamps/SNAP in the past 12 months:!!Households with no persons with a disability</t>
  </si>
  <si>
    <t>B23001_002</t>
  </si>
  <si>
    <t>B23001_003</t>
  </si>
  <si>
    <t>Estimate!!Total:!!Male:!!16 to 19 years:</t>
  </si>
  <si>
    <t>B23001_004</t>
  </si>
  <si>
    <t>Estimate!!Total:!!Male:!!16 to 19 years:!!In labor force:</t>
  </si>
  <si>
    <t>B23001_005</t>
  </si>
  <si>
    <t>Estimate!!Total:!!Male:!!16 to 19 years:!!In labor force:!!In Armed Forces</t>
  </si>
  <si>
    <t>B23001_006</t>
  </si>
  <si>
    <t>Estimate!!Total:!!Male:!!16 to 19 years:!!In labor force:!!Civilian:</t>
  </si>
  <si>
    <t>B23001_007</t>
  </si>
  <si>
    <t>Estimate!!Total:!!Male:!!16 to 19 years:!!In labor force:!!Civilian:!!Employed</t>
  </si>
  <si>
    <t>B23001_008</t>
  </si>
  <si>
    <t>Estimate!!Total:!!Male:!!16 to 19 years:!!In labor force:!!Civilian:!!Unemployed</t>
  </si>
  <si>
    <t>B23001_009</t>
  </si>
  <si>
    <t>Estimate!!Total:!!Male:!!16 to 19 years:!!Not in labor force</t>
  </si>
  <si>
    <t>B23001_010</t>
  </si>
  <si>
    <t>Estimate!!Total:!!Male:!!20 and 21 years:</t>
  </si>
  <si>
    <t>B23001_011</t>
  </si>
  <si>
    <t>Estimate!!Total:!!Male:!!20 and 21 years:!!In labor force:</t>
  </si>
  <si>
    <t>B23001_012</t>
  </si>
  <si>
    <t>Estimate!!Total:!!Male:!!20 and 21 years:!!In labor force:!!In Armed Forces</t>
  </si>
  <si>
    <t>B23001_013</t>
  </si>
  <si>
    <t>Estimate!!Total:!!Male:!!20 and 21 years:!!In labor force:!!Civilian:</t>
  </si>
  <si>
    <t>B23001_014</t>
  </si>
  <si>
    <t>Estimate!!Total:!!Male:!!20 and 21 years:!!In labor force:!!Civilian:!!Employed</t>
  </si>
  <si>
    <t>B23001_015</t>
  </si>
  <si>
    <t>Estimate!!Total:!!Male:!!20 and 21 years:!!In labor force:!!Civilian:!!Unemployed</t>
  </si>
  <si>
    <t>B23001_016</t>
  </si>
  <si>
    <t>Estimate!!Total:!!Male:!!20 and 21 years:!!Not in labor force</t>
  </si>
  <si>
    <t>B23001_017</t>
  </si>
  <si>
    <t>Estimate!!Total:!!Male:!!22 to 24 years:</t>
  </si>
  <si>
    <t>B23001_018</t>
  </si>
  <si>
    <t>Estimate!!Total:!!Male:!!22 to 24 years:!!In labor force:</t>
  </si>
  <si>
    <t>B23001_019</t>
  </si>
  <si>
    <t>Estimate!!Total:!!Male:!!22 to 24 years:!!In labor force:!!In Armed Forces</t>
  </si>
  <si>
    <t>B23001_020</t>
  </si>
  <si>
    <t>Estimate!!Total:!!Male:!!22 to 24 years:!!In labor force:!!Civilian:</t>
  </si>
  <si>
    <t>B23001_021</t>
  </si>
  <si>
    <t>Estimate!!Total:!!Male:!!22 to 24 years:!!In labor force:!!Civilian:!!Employed</t>
  </si>
  <si>
    <t>B23001_022</t>
  </si>
  <si>
    <t>Estimate!!Total:!!Male:!!22 to 24 years:!!In labor force:!!Civilian:!!Unemployed</t>
  </si>
  <si>
    <t>B23001_023</t>
  </si>
  <si>
    <t>Estimate!!Total:!!Male:!!22 to 24 years:!!Not in labor force</t>
  </si>
  <si>
    <t>B23001_024</t>
  </si>
  <si>
    <t>Estimate!!Total:!!Male:!!25 to 29 years:</t>
  </si>
  <si>
    <t>B23001_025</t>
  </si>
  <si>
    <t>Estimate!!Total:!!Male:!!25 to 29 years:!!In labor force:</t>
  </si>
  <si>
    <t>B23001_026</t>
  </si>
  <si>
    <t>Estimate!!Total:!!Male:!!25 to 29 years:!!In labor force:!!In Armed Forces</t>
  </si>
  <si>
    <t>B23001_027</t>
  </si>
  <si>
    <t>Estimate!!Total:!!Male:!!25 to 29 years:!!In labor force:!!Civilian:</t>
  </si>
  <si>
    <t>B23001_028</t>
  </si>
  <si>
    <t>Estimate!!Total:!!Male:!!25 to 29 years:!!In labor force:!!Civilian:!!Employed</t>
  </si>
  <si>
    <t>B23001_029</t>
  </si>
  <si>
    <t>Estimate!!Total:!!Male:!!25 to 29 years:!!In labor force:!!Civilian:!!Unemployed</t>
  </si>
  <si>
    <t>B23001_030</t>
  </si>
  <si>
    <t>Estimate!!Total:!!Male:!!25 to 29 years:!!Not in labor force</t>
  </si>
  <si>
    <t>B23001_031</t>
  </si>
  <si>
    <t>Estimate!!Total:!!Male:!!30 to 34 years:</t>
  </si>
  <si>
    <t>B23001_032</t>
  </si>
  <si>
    <t>Estimate!!Total:!!Male:!!30 to 34 years:!!In labor force:</t>
  </si>
  <si>
    <t>B23001_033</t>
  </si>
  <si>
    <t>Estimate!!Total:!!Male:!!30 to 34 years:!!In labor force:!!In Armed Forces</t>
  </si>
  <si>
    <t>B23001_034</t>
  </si>
  <si>
    <t>Estimate!!Total:!!Male:!!30 to 34 years:!!In labor force:!!Civilian:</t>
  </si>
  <si>
    <t>B23001_035</t>
  </si>
  <si>
    <t>Estimate!!Total:!!Male:!!30 to 34 years:!!In labor force:!!Civilian:!!Employed</t>
  </si>
  <si>
    <t>B23001_036</t>
  </si>
  <si>
    <t>Estimate!!Total:!!Male:!!30 to 34 years:!!In labor force:!!Civilian:!!Unemployed</t>
  </si>
  <si>
    <t>B23001_037</t>
  </si>
  <si>
    <t>Estimate!!Total:!!Male:!!30 to 34 years:!!Not in labor force</t>
  </si>
  <si>
    <t>B23001_038</t>
  </si>
  <si>
    <t>B23001_039</t>
  </si>
  <si>
    <t>Estimate!!Total:!!Male:!!35 to 44 years:!!In labor force:</t>
  </si>
  <si>
    <t>B23001_040</t>
  </si>
  <si>
    <t>Estimate!!Total:!!Male:!!35 to 44 years:!!In labor force:!!In Armed Forces</t>
  </si>
  <si>
    <t>B23001_041</t>
  </si>
  <si>
    <t>Estimate!!Total:!!Male:!!35 to 44 years:!!In labor force:!!Civilian:</t>
  </si>
  <si>
    <t>B23001_042</t>
  </si>
  <si>
    <t>Estimate!!Total:!!Male:!!35 to 44 years:!!In labor force:!!Civilian:!!Employed</t>
  </si>
  <si>
    <t>B23001_043</t>
  </si>
  <si>
    <t>Estimate!!Total:!!Male:!!35 to 44 years:!!In labor force:!!Civilian:!!Unemployed</t>
  </si>
  <si>
    <t>B23001_044</t>
  </si>
  <si>
    <t>Estimate!!Total:!!Male:!!35 to 44 years:!!Not in labor force</t>
  </si>
  <si>
    <t>B23001_045</t>
  </si>
  <si>
    <t>Estimate!!Total:!!Male:!!45 to 54 years:</t>
  </si>
  <si>
    <t>B23001_046</t>
  </si>
  <si>
    <t>Estimate!!Total:!!Male:!!45 to 54 years:!!In labor force:</t>
  </si>
  <si>
    <t>B23001_047</t>
  </si>
  <si>
    <t>Estimate!!Total:!!Male:!!45 to 54 years:!!In labor force:!!In Armed Forces</t>
  </si>
  <si>
    <t>B23001_048</t>
  </si>
  <si>
    <t>Estimate!!Total:!!Male:!!45 to 54 years:!!In labor force:!!Civilian:</t>
  </si>
  <si>
    <t>B23001_049</t>
  </si>
  <si>
    <t>Estimate!!Total:!!Male:!!45 to 54 years:!!In labor force:!!Civilian:!!Employed</t>
  </si>
  <si>
    <t>B23001_050</t>
  </si>
  <si>
    <t>Estimate!!Total:!!Male:!!45 to 54 years:!!In labor force:!!Civilian:!!Unemployed</t>
  </si>
  <si>
    <t>B23001_051</t>
  </si>
  <si>
    <t>Estimate!!Total:!!Male:!!45 to 54 years:!!Not in labor force</t>
  </si>
  <si>
    <t>B23001_052</t>
  </si>
  <si>
    <t>Estimate!!Total:!!Male:!!55 to 59 years:</t>
  </si>
  <si>
    <t>B23001_053</t>
  </si>
  <si>
    <t>Estimate!!Total:!!Male:!!55 to 59 years:!!In labor force:</t>
  </si>
  <si>
    <t>B23001_054</t>
  </si>
  <si>
    <t>Estimate!!Total:!!Male:!!55 to 59 years:!!In labor force:!!In Armed Forces</t>
  </si>
  <si>
    <t>B23001_055</t>
  </si>
  <si>
    <t>Estimate!!Total:!!Male:!!55 to 59 years:!!In labor force:!!Civilian:</t>
  </si>
  <si>
    <t>B23001_056</t>
  </si>
  <si>
    <t>Estimate!!Total:!!Male:!!55 to 59 years:!!In labor force:!!Civilian:!!Employed</t>
  </si>
  <si>
    <t>B23001_057</t>
  </si>
  <si>
    <t>Estimate!!Total:!!Male:!!55 to 59 years:!!In labor force:!!Civilian:!!Unemployed</t>
  </si>
  <si>
    <t>B23001_058</t>
  </si>
  <si>
    <t>Estimate!!Total:!!Male:!!55 to 59 years:!!Not in labor force</t>
  </si>
  <si>
    <t>B23001_059</t>
  </si>
  <si>
    <t>Estimate!!Total:!!Male:!!60 and 61 years:</t>
  </si>
  <si>
    <t>B23001_060</t>
  </si>
  <si>
    <t>Estimate!!Total:!!Male:!!60 and 61 years:!!In labor force:</t>
  </si>
  <si>
    <t>B23001_061</t>
  </si>
  <si>
    <t>Estimate!!Total:!!Male:!!60 and 61 years:!!In labor force:!!In Armed Forces</t>
  </si>
  <si>
    <t>B23001_062</t>
  </si>
  <si>
    <t>Estimate!!Total:!!Male:!!60 and 61 years:!!In labor force:!!Civilian:</t>
  </si>
  <si>
    <t>B23001_063</t>
  </si>
  <si>
    <t>Estimate!!Total:!!Male:!!60 and 61 years:!!In labor force:!!Civilian:!!Employed</t>
  </si>
  <si>
    <t>B23001_064</t>
  </si>
  <si>
    <t>Estimate!!Total:!!Male:!!60 and 61 years:!!In labor force:!!Civilian:!!Unemployed</t>
  </si>
  <si>
    <t>B23001_065</t>
  </si>
  <si>
    <t>Estimate!!Total:!!Male:!!60 and 61 years:!!Not in labor force</t>
  </si>
  <si>
    <t>B23001_066</t>
  </si>
  <si>
    <t>Estimate!!Total:!!Male:!!62 to 64 years:</t>
  </si>
  <si>
    <t>B23001_067</t>
  </si>
  <si>
    <t>Estimate!!Total:!!Male:!!62 to 64 years:!!In labor force:</t>
  </si>
  <si>
    <t>B23001_068</t>
  </si>
  <si>
    <t>Estimate!!Total:!!Male:!!62 to 64 years:!!In labor force:!!In Armed Forces</t>
  </si>
  <si>
    <t>B23001_069</t>
  </si>
  <si>
    <t>Estimate!!Total:!!Male:!!62 to 64 years:!!In labor force:!!Civilian:</t>
  </si>
  <si>
    <t>B23001_070</t>
  </si>
  <si>
    <t>Estimate!!Total:!!Male:!!62 to 64 years:!!In labor force:!!Civilian:!!Employed</t>
  </si>
  <si>
    <t>B23001_071</t>
  </si>
  <si>
    <t>Estimate!!Total:!!Male:!!62 to 64 years:!!In labor force:!!Civilian:!!Unemployed</t>
  </si>
  <si>
    <t>B23001_072</t>
  </si>
  <si>
    <t>Estimate!!Total:!!Male:!!62 to 64 years:!!Not in labor force</t>
  </si>
  <si>
    <t>B23001_073</t>
  </si>
  <si>
    <t>Estimate!!Total:!!Male:!!65 to 69 years:</t>
  </si>
  <si>
    <t>B23001_074</t>
  </si>
  <si>
    <t>Estimate!!Total:!!Male:!!65 to 69 years:!!In labor force:</t>
  </si>
  <si>
    <t>B23001_075</t>
  </si>
  <si>
    <t>Estimate!!Total:!!Male:!!65 to 69 years:!!In labor force:!!Employed</t>
  </si>
  <si>
    <t>B23001_076</t>
  </si>
  <si>
    <t>Estimate!!Total:!!Male:!!65 to 69 years:!!In labor force:!!Unemployed</t>
  </si>
  <si>
    <t>B23001_077</t>
  </si>
  <si>
    <t>Estimate!!Total:!!Male:!!65 to 69 years:!!Not in labor force</t>
  </si>
  <si>
    <t>B23001_078</t>
  </si>
  <si>
    <t>Estimate!!Total:!!Male:!!70 to 74 years:</t>
  </si>
  <si>
    <t>B23001_079</t>
  </si>
  <si>
    <t>Estimate!!Total:!!Male:!!70 to 74 years:!!In labor force:</t>
  </si>
  <si>
    <t>B23001_080</t>
  </si>
  <si>
    <t>Estimate!!Total:!!Male:!!70 to 74 years:!!In labor force:!!Employed</t>
  </si>
  <si>
    <t>B23001_081</t>
  </si>
  <si>
    <t>Estimate!!Total:!!Male:!!70 to 74 years:!!In labor force:!!Unemployed</t>
  </si>
  <si>
    <t>B23001_082</t>
  </si>
  <si>
    <t>Estimate!!Total:!!Male:!!70 to 74 years:!!Not in labor force</t>
  </si>
  <si>
    <t>B23001_083</t>
  </si>
  <si>
    <t>B23001_084</t>
  </si>
  <si>
    <t>Estimate!!Total:!!Male:!!75 years and over:!!In labor force:</t>
  </si>
  <si>
    <t>B23001_085</t>
  </si>
  <si>
    <t>Estimate!!Total:!!Male:!!75 years and over:!!In labor force:!!Employed</t>
  </si>
  <si>
    <t>B23001_086</t>
  </si>
  <si>
    <t>Estimate!!Total:!!Male:!!75 years and over:!!In labor force:!!Unemployed</t>
  </si>
  <si>
    <t>B23001_087</t>
  </si>
  <si>
    <t>Estimate!!Total:!!Male:!!75 years and over:!!Not in labor force</t>
  </si>
  <si>
    <t>B23001_088</t>
  </si>
  <si>
    <t>B23001_089</t>
  </si>
  <si>
    <t>Estimate!!Total:!!Female:!!16 to 19 years:</t>
  </si>
  <si>
    <t>B23001_090</t>
  </si>
  <si>
    <t>Estimate!!Total:!!Female:!!16 to 19 years:!!In labor force:</t>
  </si>
  <si>
    <t>B23001_091</t>
  </si>
  <si>
    <t>Estimate!!Total:!!Female:!!16 to 19 years:!!In labor force:!!In Armed Forces</t>
  </si>
  <si>
    <t>B23001_092</t>
  </si>
  <si>
    <t>Estimate!!Total:!!Female:!!16 to 19 years:!!In labor force:!!Civilian:</t>
  </si>
  <si>
    <t>B23001_093</t>
  </si>
  <si>
    <t>Estimate!!Total:!!Female:!!16 to 19 years:!!In labor force:!!Civilian:!!Employed</t>
  </si>
  <si>
    <t>B23001_094</t>
  </si>
  <si>
    <t>Estimate!!Total:!!Female:!!16 to 19 years:!!In labor force:!!Civilian:!!Unemployed</t>
  </si>
  <si>
    <t>B23001_095</t>
  </si>
  <si>
    <t>Estimate!!Total:!!Female:!!16 to 19 years:!!Not in labor force</t>
  </si>
  <si>
    <t>B23001_096</t>
  </si>
  <si>
    <t>Estimate!!Total:!!Female:!!20 and 21 years:</t>
  </si>
  <si>
    <t>B23001_097</t>
  </si>
  <si>
    <t>Estimate!!Total:!!Female:!!20 and 21 years:!!In labor force:</t>
  </si>
  <si>
    <t>B23001_098</t>
  </si>
  <si>
    <t>Estimate!!Total:!!Female:!!20 and 21 years:!!In labor force:!!In Armed Forces</t>
  </si>
  <si>
    <t>B23001_099</t>
  </si>
  <si>
    <t>Estimate!!Total:!!Female:!!20 and 21 years:!!In labor force:!!Civilian:</t>
  </si>
  <si>
    <t>B23001_100</t>
  </si>
  <si>
    <t>Estimate!!Total:!!Female:!!20 and 21 years:!!In labor force:!!Civilian:!!Employed</t>
  </si>
  <si>
    <t>B23001_101</t>
  </si>
  <si>
    <t>Estimate!!Total:!!Female:!!20 and 21 years:!!In labor force:!!Civilian:!!Unemployed</t>
  </si>
  <si>
    <t>B23001_102</t>
  </si>
  <si>
    <t>Estimate!!Total:!!Female:!!20 and 21 years:!!Not in labor force</t>
  </si>
  <si>
    <t>B23001_103</t>
  </si>
  <si>
    <t>Estimate!!Total:!!Female:!!22 to 24 years:</t>
  </si>
  <si>
    <t>B23001_104</t>
  </si>
  <si>
    <t>Estimate!!Total:!!Female:!!22 to 24 years:!!In labor force:</t>
  </si>
  <si>
    <t>B23001_105</t>
  </si>
  <si>
    <t>Estimate!!Total:!!Female:!!22 to 24 years:!!In labor force:!!In Armed Forces</t>
  </si>
  <si>
    <t>B23001_106</t>
  </si>
  <si>
    <t>Estimate!!Total:!!Female:!!22 to 24 years:!!In labor force:!!Civilian:</t>
  </si>
  <si>
    <t>B23001_107</t>
  </si>
  <si>
    <t>Estimate!!Total:!!Female:!!22 to 24 years:!!In labor force:!!Civilian:!!Employed</t>
  </si>
  <si>
    <t>B23001_108</t>
  </si>
  <si>
    <t>Estimate!!Total:!!Female:!!22 to 24 years:!!In labor force:!!Civilian:!!Unemployed</t>
  </si>
  <si>
    <t>B23001_109</t>
  </si>
  <si>
    <t>Estimate!!Total:!!Female:!!22 to 24 years:!!Not in labor force</t>
  </si>
  <si>
    <t>B23001_110</t>
  </si>
  <si>
    <t>Estimate!!Total:!!Female:!!25 to 29 years:</t>
  </si>
  <si>
    <t>B23001_111</t>
  </si>
  <si>
    <t>Estimate!!Total:!!Female:!!25 to 29 years:!!In labor force:</t>
  </si>
  <si>
    <t>B23001_112</t>
  </si>
  <si>
    <t>Estimate!!Total:!!Female:!!25 to 29 years:!!In labor force:!!In Armed Forces</t>
  </si>
  <si>
    <t>B23001_113</t>
  </si>
  <si>
    <t>Estimate!!Total:!!Female:!!25 to 29 years:!!In labor force:!!Civilian:</t>
  </si>
  <si>
    <t>B23001_114</t>
  </si>
  <si>
    <t>Estimate!!Total:!!Female:!!25 to 29 years:!!In labor force:!!Civilian:!!Employed</t>
  </si>
  <si>
    <t>B23001_115</t>
  </si>
  <si>
    <t>Estimate!!Total:!!Female:!!25 to 29 years:!!In labor force:!!Civilian:!!Unemployed</t>
  </si>
  <si>
    <t>B23001_116</t>
  </si>
  <si>
    <t>Estimate!!Total:!!Female:!!25 to 29 years:!!Not in labor force</t>
  </si>
  <si>
    <t>B23001_117</t>
  </si>
  <si>
    <t>Estimate!!Total:!!Female:!!30 to 34 years:</t>
  </si>
  <si>
    <t>B23001_118</t>
  </si>
  <si>
    <t>Estimate!!Total:!!Female:!!30 to 34 years:!!In labor force:</t>
  </si>
  <si>
    <t>B23001_119</t>
  </si>
  <si>
    <t>Estimate!!Total:!!Female:!!30 to 34 years:!!In labor force:!!In Armed Forces</t>
  </si>
  <si>
    <t>B23001_120</t>
  </si>
  <si>
    <t>Estimate!!Total:!!Female:!!30 to 34 years:!!In labor force:!!Civilian:</t>
  </si>
  <si>
    <t>B23001_121</t>
  </si>
  <si>
    <t>Estimate!!Total:!!Female:!!30 to 34 years:!!In labor force:!!Civilian:!!Employed</t>
  </si>
  <si>
    <t>B23001_122</t>
  </si>
  <si>
    <t>Estimate!!Total:!!Female:!!30 to 34 years:!!In labor force:!!Civilian:!!Unemployed</t>
  </si>
  <si>
    <t>B23001_123</t>
  </si>
  <si>
    <t>Estimate!!Total:!!Female:!!30 to 34 years:!!Not in labor force</t>
  </si>
  <si>
    <t>B23001_124</t>
  </si>
  <si>
    <t>B23001_125</t>
  </si>
  <si>
    <t>Estimate!!Total:!!Female:!!35 to 44 years:!!In labor force:</t>
  </si>
  <si>
    <t>B23001_126</t>
  </si>
  <si>
    <t>Estimate!!Total:!!Female:!!35 to 44 years:!!In labor force:!!In Armed Forces</t>
  </si>
  <si>
    <t>B23001_127</t>
  </si>
  <si>
    <t>Estimate!!Total:!!Female:!!35 to 44 years:!!In labor force:!!Civilian:</t>
  </si>
  <si>
    <t>B23001_128</t>
  </si>
  <si>
    <t>Estimate!!Total:!!Female:!!35 to 44 years:!!In labor force:!!Civilian:!!Employed</t>
  </si>
  <si>
    <t>B23001_129</t>
  </si>
  <si>
    <t>Estimate!!Total:!!Female:!!35 to 44 years:!!In labor force:!!Civilian:!!Unemployed</t>
  </si>
  <si>
    <t>B23001_130</t>
  </si>
  <si>
    <t>Estimate!!Total:!!Female:!!35 to 44 years:!!Not in labor force</t>
  </si>
  <si>
    <t>B23001_131</t>
  </si>
  <si>
    <t>Estimate!!Total:!!Female:!!45 to 54 years:</t>
  </si>
  <si>
    <t>B23001_132</t>
  </si>
  <si>
    <t>Estimate!!Total:!!Female:!!45 to 54 years:!!In labor force:</t>
  </si>
  <si>
    <t>B23001_133</t>
  </si>
  <si>
    <t>Estimate!!Total:!!Female:!!45 to 54 years:!!In labor force:!!In Armed Forces</t>
  </si>
  <si>
    <t>B23001_134</t>
  </si>
  <si>
    <t>Estimate!!Total:!!Female:!!45 to 54 years:!!In labor force:!!Civilian:</t>
  </si>
  <si>
    <t>B23001_135</t>
  </si>
  <si>
    <t>Estimate!!Total:!!Female:!!45 to 54 years:!!In labor force:!!Civilian:!!Employed</t>
  </si>
  <si>
    <t>B23001_136</t>
  </si>
  <si>
    <t>Estimate!!Total:!!Female:!!45 to 54 years:!!In labor force:!!Civilian:!!Unemployed</t>
  </si>
  <si>
    <t>B23001_137</t>
  </si>
  <si>
    <t>Estimate!!Total:!!Female:!!45 to 54 years:!!Not in labor force</t>
  </si>
  <si>
    <t>B23001_138</t>
  </si>
  <si>
    <t>Estimate!!Total:!!Female:!!55 to 59 years:</t>
  </si>
  <si>
    <t>B23001_139</t>
  </si>
  <si>
    <t>Estimate!!Total:!!Female:!!55 to 59 years:!!In labor force:</t>
  </si>
  <si>
    <t>B23001_140</t>
  </si>
  <si>
    <t>Estimate!!Total:!!Female:!!55 to 59 years:!!In labor force:!!In Armed Forces</t>
  </si>
  <si>
    <t>B23001_141</t>
  </si>
  <si>
    <t>Estimate!!Total:!!Female:!!55 to 59 years:!!In labor force:!!Civilian:</t>
  </si>
  <si>
    <t>B23001_142</t>
  </si>
  <si>
    <t>Estimate!!Total:!!Female:!!55 to 59 years:!!In labor force:!!Civilian:!!Employed</t>
  </si>
  <si>
    <t>B23001_143</t>
  </si>
  <si>
    <t>Estimate!!Total:!!Female:!!55 to 59 years:!!In labor force:!!Civilian:!!Unemployed</t>
  </si>
  <si>
    <t>B23001_144</t>
  </si>
  <si>
    <t>Estimate!!Total:!!Female:!!55 to 59 years:!!Not in labor force</t>
  </si>
  <si>
    <t>B23001_145</t>
  </si>
  <si>
    <t>Estimate!!Total:!!Female:!!60 and 61 years:</t>
  </si>
  <si>
    <t>B23001_146</t>
  </si>
  <si>
    <t>Estimate!!Total:!!Female:!!60 and 61 years:!!In labor force:</t>
  </si>
  <si>
    <t>B23001_147</t>
  </si>
  <si>
    <t>Estimate!!Total:!!Female:!!60 and 61 years:!!In labor force:!!In Armed Forces</t>
  </si>
  <si>
    <t>B23001_148</t>
  </si>
  <si>
    <t>Estimate!!Total:!!Female:!!60 and 61 years:!!In labor force:!!Civilian:</t>
  </si>
  <si>
    <t>B23001_149</t>
  </si>
  <si>
    <t>Estimate!!Total:!!Female:!!60 and 61 years:!!In labor force:!!Civilian:!!Employed</t>
  </si>
  <si>
    <t>B23001_150</t>
  </si>
  <si>
    <t>Estimate!!Total:!!Female:!!60 and 61 years:!!In labor force:!!Civilian:!!Unemployed</t>
  </si>
  <si>
    <t>B23001_151</t>
  </si>
  <si>
    <t>Estimate!!Total:!!Female:!!60 and 61 years:!!Not in labor force</t>
  </si>
  <si>
    <t>B23001_152</t>
  </si>
  <si>
    <t>Estimate!!Total:!!Female:!!62 to 64 years:</t>
  </si>
  <si>
    <t>B23001_153</t>
  </si>
  <si>
    <t>Estimate!!Total:!!Female:!!62 to 64 years:!!In labor force:</t>
  </si>
  <si>
    <t>B23001_154</t>
  </si>
  <si>
    <t>Estimate!!Total:!!Female:!!62 to 64 years:!!In labor force:!!In Armed Forces</t>
  </si>
  <si>
    <t>B23001_155</t>
  </si>
  <si>
    <t>Estimate!!Total:!!Female:!!62 to 64 years:!!In labor force:!!Civilian:</t>
  </si>
  <si>
    <t>B23001_156</t>
  </si>
  <si>
    <t>Estimate!!Total:!!Female:!!62 to 64 years:!!In labor force:!!Civilian:!!Employed</t>
  </si>
  <si>
    <t>B23001_157</t>
  </si>
  <si>
    <t>Estimate!!Total:!!Female:!!62 to 64 years:!!In labor force:!!Civilian:!!Unemployed</t>
  </si>
  <si>
    <t>B23001_158</t>
  </si>
  <si>
    <t>Estimate!!Total:!!Female:!!62 to 64 years:!!Not in labor force</t>
  </si>
  <si>
    <t>B23001_159</t>
  </si>
  <si>
    <t>Estimate!!Total:!!Female:!!65 to 69 years:</t>
  </si>
  <si>
    <t>B23001_160</t>
  </si>
  <si>
    <t>Estimate!!Total:!!Female:!!65 to 69 years:!!In labor force:</t>
  </si>
  <si>
    <t>B23001_161</t>
  </si>
  <si>
    <t>Estimate!!Total:!!Female:!!65 to 69 years:!!In labor force:!!Employed</t>
  </si>
  <si>
    <t>B23001_162</t>
  </si>
  <si>
    <t>Estimate!!Total:!!Female:!!65 to 69 years:!!In labor force:!!Unemployed</t>
  </si>
  <si>
    <t>B23001_163</t>
  </si>
  <si>
    <t>Estimate!!Total:!!Female:!!65 to 69 years:!!Not in labor force</t>
  </si>
  <si>
    <t>B23001_164</t>
  </si>
  <si>
    <t>Estimate!!Total:!!Female:!!70 to 74 years:</t>
  </si>
  <si>
    <t>B23001_165</t>
  </si>
  <si>
    <t>Estimate!!Total:!!Female:!!70 to 74 years:!!In labor force:</t>
  </si>
  <si>
    <t>B23001_166</t>
  </si>
  <si>
    <t>Estimate!!Total:!!Female:!!70 to 74 years:!!In labor force:!!Employed</t>
  </si>
  <si>
    <t>B23001_167</t>
  </si>
  <si>
    <t>Estimate!!Total:!!Female:!!70 to 74 years:!!In labor force:!!Unemployed</t>
  </si>
  <si>
    <t>B23001_168</t>
  </si>
  <si>
    <t>Estimate!!Total:!!Female:!!70 to 74 years:!!Not in labor force</t>
  </si>
  <si>
    <t>B23001_169</t>
  </si>
  <si>
    <t>B23001_170</t>
  </si>
  <si>
    <t>Estimate!!Total:!!Female:!!75 years and over:!!In labor force:</t>
  </si>
  <si>
    <t>B23001_171</t>
  </si>
  <si>
    <t>Estimate!!Total:!!Female:!!75 years and over:!!In labor force:!!Employed</t>
  </si>
  <si>
    <t>B23001_172</t>
  </si>
  <si>
    <t>Estimate!!Total:!!Female:!!75 years and over:!!In labor force:!!Unemployed</t>
  </si>
  <si>
    <t>B23001_173</t>
  </si>
  <si>
    <t>Estimate!!Total:!!Female:!!75 years and over:!!Not in labor force</t>
  </si>
  <si>
    <t>B23003_002</t>
  </si>
  <si>
    <t>Estimate!!Total:!!With own children of the householder under 18 years:</t>
  </si>
  <si>
    <t>B23003_003</t>
  </si>
  <si>
    <t>Estimate!!Total:!!With own children of the householder under 18 years:!!Under 6 years only:</t>
  </si>
  <si>
    <t>B23003_004</t>
  </si>
  <si>
    <t>Estimate!!Total:!!With own children of the householder under 18 years:!!Under 6 years only:!!In labor force:</t>
  </si>
  <si>
    <t>B23003_005</t>
  </si>
  <si>
    <t>Estimate!!Total:!!With own children of the householder under 18 years:!!Under 6 years only:!!In labor force:!!In Armed Forces</t>
  </si>
  <si>
    <t>B23003_006</t>
  </si>
  <si>
    <t>Estimate!!Total:!!With own children of the householder under 18 years:!!Under 6 years only:!!In labor force:!!Civilian:</t>
  </si>
  <si>
    <t>B23003_007</t>
  </si>
  <si>
    <t>Estimate!!Total:!!With own children of the householder under 18 years:!!Under 6 years only:!!In labor force:!!Civilian:!!Employed</t>
  </si>
  <si>
    <t>B23003_008</t>
  </si>
  <si>
    <t>Estimate!!Total:!!With own children of the householder under 18 years:!!Under 6 years only:!!In labor force:!!Civilian:!!Unemployed</t>
  </si>
  <si>
    <t>B23003_009</t>
  </si>
  <si>
    <t>Estimate!!Total:!!With own children of the householder under 18 years:!!Under 6 years only:!!Not in labor force</t>
  </si>
  <si>
    <t>B23003_010</t>
  </si>
  <si>
    <t>Estimate!!Total:!!With own children of the householder under 18 years:!!Under 6 years and 6 to 17 years:</t>
  </si>
  <si>
    <t>B23003_011</t>
  </si>
  <si>
    <t>Estimate!!Total:!!With own children of the householder under 18 years:!!Under 6 years and 6 to 17 years:!!In labor force:</t>
  </si>
  <si>
    <t>B23003_012</t>
  </si>
  <si>
    <t>Estimate!!Total:!!With own children of the householder under 18 years:!!Under 6 years and 6 to 17 years:!!In labor force:!!In Armed Forces</t>
  </si>
  <si>
    <t>B23003_013</t>
  </si>
  <si>
    <t>Estimate!!Total:!!With own children of the householder under 18 years:!!Under 6 years and 6 to 17 years:!!In labor force:!!Civilian:</t>
  </si>
  <si>
    <t>B23003_014</t>
  </si>
  <si>
    <t>Estimate!!Total:!!With own children of the householder under 18 years:!!Under 6 years and 6 to 17 years:!!In labor force:!!Civilian:!!Employed</t>
  </si>
  <si>
    <t>B23003_015</t>
  </si>
  <si>
    <t>Estimate!!Total:!!With own children of the householder under 18 years:!!Under 6 years and 6 to 17 years:!!In labor force:!!Civilian:!!Unemployed</t>
  </si>
  <si>
    <t>B23003_016</t>
  </si>
  <si>
    <t>Estimate!!Total:!!With own children of the householder under 18 years:!!Under 6 years and 6 to 17 years:!!Not in labor force</t>
  </si>
  <si>
    <t>B23003_017</t>
  </si>
  <si>
    <t>Estimate!!Total:!!With own children of the householder under 18 years:!!6 to 17 years only:</t>
  </si>
  <si>
    <t>B23003_018</t>
  </si>
  <si>
    <t>Estimate!!Total:!!With own children of the householder under 18 years:!!6 to 17 years only:!!In labor force:</t>
  </si>
  <si>
    <t>B23003_019</t>
  </si>
  <si>
    <t>Estimate!!Total:!!With own children of the householder under 18 years:!!6 to 17 years only:!!In labor force:!!In Armed Forces</t>
  </si>
  <si>
    <t>B23003_020</t>
  </si>
  <si>
    <t>Estimate!!Total:!!With own children of the householder under 18 years:!!6 to 17 years only:!!In labor force:!!Civilian:</t>
  </si>
  <si>
    <t>B23003_021</t>
  </si>
  <si>
    <t>Estimate!!Total:!!With own children of the householder under 18 years:!!6 to 17 years only:!!In labor force:!!Civilian:!!Employed</t>
  </si>
  <si>
    <t>B23003_022</t>
  </si>
  <si>
    <t>Estimate!!Total:!!With own children of the householder under 18 years:!!6 to 17 years only:!!In labor force:!!Civilian:!!Unemployed</t>
  </si>
  <si>
    <t>B23003_023</t>
  </si>
  <si>
    <t>Estimate!!Total:!!With own children of the householder under 18 years:!!6 to 17 years only:!!Not in labor force</t>
  </si>
  <si>
    <t>B23003_024</t>
  </si>
  <si>
    <t>Estimate!!Total:!!No own children of the householder under 18 years:</t>
  </si>
  <si>
    <t>B23003_025</t>
  </si>
  <si>
    <t>Estimate!!Total:!!No own children of the householder under 18 years:!!In labor force:</t>
  </si>
  <si>
    <t>B23003_026</t>
  </si>
  <si>
    <t>Estimate!!Total:!!No own children of the householder under 18 years:!!In labor force:!!In Armed Forces</t>
  </si>
  <si>
    <t>B23003_027</t>
  </si>
  <si>
    <t>Estimate!!Total:!!No own children of the householder under 18 years:!!In labor force:!!Civilian:</t>
  </si>
  <si>
    <t>B23003_028</t>
  </si>
  <si>
    <t>Estimate!!Total:!!No own children of the householder under 18 years:!!In labor force:!!Civilian:!!Employed</t>
  </si>
  <si>
    <t>B23003_029</t>
  </si>
  <si>
    <t>Estimate!!Total:!!No own children of the householder under 18 years:!!In labor force:!!Civilian:!!Unemployed</t>
  </si>
  <si>
    <t>B23003_030</t>
  </si>
  <si>
    <t>Estimate!!Total:!!No own children of the householder under 18 years:!!Not in labor force</t>
  </si>
  <si>
    <t>B23006_002</t>
  </si>
  <si>
    <t>B23006_003</t>
  </si>
  <si>
    <t>B23006_004</t>
  </si>
  <si>
    <t>Estimate!!Total:!!Less than high school graduate:!!In labor force:!!In Armed Forces</t>
  </si>
  <si>
    <t>B23006_005</t>
  </si>
  <si>
    <t>Estimate!!Total:!!Less than high school graduate:!!In labor force:!!Civilian:</t>
  </si>
  <si>
    <t>B23006_006</t>
  </si>
  <si>
    <t>Estimate!!Total:!!Less than high school graduate:!!In labor force:!!Civilian:!!Employed</t>
  </si>
  <si>
    <t>B23006_007</t>
  </si>
  <si>
    <t>Estimate!!Total:!!Less than high school graduate:!!In labor force:!!Civilian:!!Unemployed</t>
  </si>
  <si>
    <t>B23006_008</t>
  </si>
  <si>
    <t>Estimate!!Total:!!Less than high school graduate:!!Not in labor force</t>
  </si>
  <si>
    <t>B23006_009</t>
  </si>
  <si>
    <t>B23006_010</t>
  </si>
  <si>
    <t>B23006_011</t>
  </si>
  <si>
    <t>Estimate!!Total:!!High school graduate (includes equivalency):!!In labor force:!!In Armed Forces</t>
  </si>
  <si>
    <t>B23006_012</t>
  </si>
  <si>
    <t>Estimate!!Total:!!High school graduate (includes equivalency):!!In labor force:!!Civilian:</t>
  </si>
  <si>
    <t>B23006_013</t>
  </si>
  <si>
    <t>Estimate!!Total:!!High school graduate (includes equivalency):!!In labor force:!!Civilian:!!Employed</t>
  </si>
  <si>
    <t>B23006_014</t>
  </si>
  <si>
    <t>Estimate!!Total:!!High school graduate (includes equivalency):!!In labor force:!!Civilian:!!Unemployed</t>
  </si>
  <si>
    <t>B23006_015</t>
  </si>
  <si>
    <t>Estimate!!Total:!!High school graduate (includes equivalency):!!Not in labor force</t>
  </si>
  <si>
    <t>B23006_016</t>
  </si>
  <si>
    <t>B23006_017</t>
  </si>
  <si>
    <t>B23006_018</t>
  </si>
  <si>
    <t>Estimate!!Total:!!Some college or associate's degree:!!In labor force:!!In Armed Forces</t>
  </si>
  <si>
    <t>B23006_019</t>
  </si>
  <si>
    <t>Estimate!!Total:!!Some college or associate's degree:!!In labor force:!!Civilian:</t>
  </si>
  <si>
    <t>B23006_020</t>
  </si>
  <si>
    <t>Estimate!!Total:!!Some college or associate's degree:!!In labor force:!!Civilian:!!Employed</t>
  </si>
  <si>
    <t>B23006_021</t>
  </si>
  <si>
    <t>Estimate!!Total:!!Some college or associate's degree:!!In labor force:!!Civilian:!!Unemployed</t>
  </si>
  <si>
    <t>B23006_022</t>
  </si>
  <si>
    <t>Estimate!!Total:!!Some college or associate's degree:!!Not in labor force</t>
  </si>
  <si>
    <t>B23006_023</t>
  </si>
  <si>
    <t>B23006_024</t>
  </si>
  <si>
    <t>B23006_025</t>
  </si>
  <si>
    <t>Estimate!!Total:!!Bachelor's degree or higher:!!In labor force:!!In Armed Forces</t>
  </si>
  <si>
    <t>B23006_026</t>
  </si>
  <si>
    <t>Estimate!!Total:!!Bachelor's degree or higher:!!In labor force:!!Civilian:</t>
  </si>
  <si>
    <t>B23006_027</t>
  </si>
  <si>
    <t>Estimate!!Total:!!Bachelor's degree or higher:!!In labor force:!!Civilian:!!Employed</t>
  </si>
  <si>
    <t>B23006_028</t>
  </si>
  <si>
    <t>Estimate!!Total:!!Bachelor's degree or higher:!!In labor force:!!Civilian:!!Unemployed</t>
  </si>
  <si>
    <t>B23006_029</t>
  </si>
  <si>
    <t>Estimate!!Total:!!Bachelor's degree or higher:!!Not in labor force</t>
  </si>
  <si>
    <t>B23007_002</t>
  </si>
  <si>
    <t>Estimate!!Total:!!With own children under 18 years:</t>
  </si>
  <si>
    <t>B23007_003</t>
  </si>
  <si>
    <t>Estimate!!Total:!!With own children under 18 years:!!Opposite-sex married-couple family:</t>
  </si>
  <si>
    <t>B23007_004</t>
  </si>
  <si>
    <t>Estimate!!Total:!!With own children under 18 years:!!Opposite-sex married-couple family:!!Husband in labor force:</t>
  </si>
  <si>
    <t>B23007_005</t>
  </si>
  <si>
    <t>Estimate!!Total:!!With own children under 18 years:!!Opposite-sex married-couple family:!!Husband in labor force:!!Employed or in Armed Forces:</t>
  </si>
  <si>
    <t>B23007_006</t>
  </si>
  <si>
    <t>Estimate!!Total:!!With own children under 18 years:!!Opposite-sex married-couple family:!!Husband in labor force:!!Employed or in Armed Forces:!!Wife in labor force:</t>
  </si>
  <si>
    <t>B23007_007</t>
  </si>
  <si>
    <t>Estimate!!Total:!!With own children under 18 years:!!Opposite-sex married-couple family:!!Husband in labor force:!!Employed or in Armed Forces:!!Wife in labor force:!!Employed or in Armed Forces</t>
  </si>
  <si>
    <t>B23007_008</t>
  </si>
  <si>
    <t>Estimate!!Total:!!With own children under 18 years:!!Opposite-sex married-couple family:!!Husband in labor force:!!Employed or in Armed Forces:!!Wife in labor force:!!Unemployed</t>
  </si>
  <si>
    <t>B23007_009</t>
  </si>
  <si>
    <t>Estimate!!Total:!!With own children under 18 years:!!Opposite-sex married-couple family:!!Husband in labor force:!!Employed or in Armed Forces:!!Wife not in labor force</t>
  </si>
  <si>
    <t>B23007_010</t>
  </si>
  <si>
    <t>Estimate!!Total:!!With own children under 18 years:!!Opposite-sex married-couple family:!!Husband in labor force:!!Unemployed:</t>
  </si>
  <si>
    <t>B23007_011</t>
  </si>
  <si>
    <t>Estimate!!Total:!!With own children under 18 years:!!Opposite-sex married-couple family:!!Husband in labor force:!!Unemployed:!!Wife in labor force:</t>
  </si>
  <si>
    <t>B23007_012</t>
  </si>
  <si>
    <t>Estimate!!Total:!!With own children under 18 years:!!Opposite-sex married-couple family:!!Husband in labor force:!!Unemployed:!!Wife in labor force:!!Employed or in Armed Forces</t>
  </si>
  <si>
    <t>B23007_013</t>
  </si>
  <si>
    <t>Estimate!!Total:!!With own children under 18 years:!!Opposite-sex married-couple family:!!Husband in labor force:!!Unemployed:!!Wife in labor force:!!Unemployed</t>
  </si>
  <si>
    <t>B23007_014</t>
  </si>
  <si>
    <t>Estimate!!Total:!!With own children under 18 years:!!Opposite-sex married-couple family:!!Husband in labor force:!!Unemployed:!!Wife not in labor force</t>
  </si>
  <si>
    <t>B23007_015</t>
  </si>
  <si>
    <t>Estimate!!Total:!!With own children under 18 years:!!Opposite-sex married-couple family:!!Husband not in labor force:</t>
  </si>
  <si>
    <t>B23007_016</t>
  </si>
  <si>
    <t>Estimate!!Total:!!With own children under 18 years:!!Opposite-sex married-couple family:!!Husband not in labor force:!!Wife in labor force:</t>
  </si>
  <si>
    <t>B23007_017</t>
  </si>
  <si>
    <t>Estimate!!Total:!!With own children under 18 years:!!Opposite-sex married-couple family:!!Husband not in labor force:!!Wife in labor force:!!Employed or in Armed Forces</t>
  </si>
  <si>
    <t>B23007_018</t>
  </si>
  <si>
    <t>Estimate!!Total:!!With own children under 18 years:!!Opposite-sex married-couple family:!!Husband not in labor force:!!Wife in labor force:!!Unemployed</t>
  </si>
  <si>
    <t>B23007_019</t>
  </si>
  <si>
    <t>Estimate!!Total:!!With own children under 18 years:!!Opposite-sex married-couple family:!!Husband not in labor force:!!Wife not in labor force</t>
  </si>
  <si>
    <t>B23007_020</t>
  </si>
  <si>
    <t>Estimate!!Total:!!With own children under 18 years:!!Other family:</t>
  </si>
  <si>
    <t>B23007_021</t>
  </si>
  <si>
    <t>Estimate!!Total:!!With own children under 18 years:!!Other family:!!Male householder, no spouse present:</t>
  </si>
  <si>
    <t>B23007_022</t>
  </si>
  <si>
    <t>Estimate!!Total:!!With own children under 18 years:!!Other family:!!Male householder, no spouse present:!!In labor force:</t>
  </si>
  <si>
    <t>B23007_023</t>
  </si>
  <si>
    <t>Estimate!!Total:!!With own children under 18 years:!!Other family:!!Male householder, no spouse present:!!In labor force:!!Employed or in Armed Forces</t>
  </si>
  <si>
    <t>B23007_024</t>
  </si>
  <si>
    <t>Estimate!!Total:!!With own children under 18 years:!!Other family:!!Male householder, no spouse present:!!In labor force:!!Unemployed</t>
  </si>
  <si>
    <t>B23007_025</t>
  </si>
  <si>
    <t>Estimate!!Total:!!With own children under 18 years:!!Other family:!!Male householder, no spouse present:!!Not in labor force</t>
  </si>
  <si>
    <t>B23007_026</t>
  </si>
  <si>
    <t>Estimate!!Total:!!With own children under 18 years:!!Other family:!!Female householder, no spouse present:</t>
  </si>
  <si>
    <t>B23007_027</t>
  </si>
  <si>
    <t>Estimate!!Total:!!With own children under 18 years:!!Other family:!!Female householder, no spouse present:!!In labor force:</t>
  </si>
  <si>
    <t>B23007_028</t>
  </si>
  <si>
    <t>Estimate!!Total:!!With own children under 18 years:!!Other family:!!Female householder, no spouse present:!!In labor force:!!Employed or in Armed Forces</t>
  </si>
  <si>
    <t>B23007_029</t>
  </si>
  <si>
    <t>Estimate!!Total:!!With own children under 18 years:!!Other family:!!Female householder, no spouse present:!!In labor force:!!Unemployed</t>
  </si>
  <si>
    <t>B23007_030</t>
  </si>
  <si>
    <t>Estimate!!Total:!!With own children under 18 years:!!Other family:!!Female householder, no spouse present:!!Not in labor force</t>
  </si>
  <si>
    <t>B23007_031</t>
  </si>
  <si>
    <t>Estimate!!Total:!!No children under 18 years:</t>
  </si>
  <si>
    <t>B23007_032</t>
  </si>
  <si>
    <t>Estimate!!Total:!!No children under 18 years:!!Opposite-sex married-couple family:</t>
  </si>
  <si>
    <t>B23007_033</t>
  </si>
  <si>
    <t>Estimate!!Total:!!No children under 18 years:!!Opposite-sex married-couple family:!!Husband in labor force:</t>
  </si>
  <si>
    <t>B23007_034</t>
  </si>
  <si>
    <t>Estimate!!Total:!!No children under 18 years:!!Opposite-sex married-couple family:!!Husband in labor force:!!Employed or in Armed Forces:</t>
  </si>
  <si>
    <t>B23007_035</t>
  </si>
  <si>
    <t>Estimate!!Total:!!No children under 18 years:!!Opposite-sex married-couple family:!!Husband in labor force:!!Employed or in Armed Forces:!!Wife in labor force:</t>
  </si>
  <si>
    <t>B23007_036</t>
  </si>
  <si>
    <t>Estimate!!Total:!!No children under 18 years:!!Opposite-sex married-couple family:!!Husband in labor force:!!Employed or in Armed Forces:!!Wife in labor force:!!Employed or in Armed Forces</t>
  </si>
  <si>
    <t>B23007_037</t>
  </si>
  <si>
    <t>Estimate!!Total:!!No children under 18 years:!!Opposite-sex married-couple family:!!Husband in labor force:!!Employed or in Armed Forces:!!Wife in labor force:!!Unemployed</t>
  </si>
  <si>
    <t>B23007_038</t>
  </si>
  <si>
    <t>Estimate!!Total:!!No children under 18 years:!!Opposite-sex married-couple family:!!Husband in labor force:!!Employed or in Armed Forces:!!Wife not in labor force</t>
  </si>
  <si>
    <t>B23007_039</t>
  </si>
  <si>
    <t>Estimate!!Total:!!No children under 18 years:!!Opposite-sex married-couple family:!!Husband in labor force:!!Unemployed:</t>
  </si>
  <si>
    <t>B23007_040</t>
  </si>
  <si>
    <t>Estimate!!Total:!!No children under 18 years:!!Opposite-sex married-couple family:!!Husband in labor force:!!Unemployed:!!Wife in labor force:</t>
  </si>
  <si>
    <t>B23007_041</t>
  </si>
  <si>
    <t>Estimate!!Total:!!No children under 18 years:!!Opposite-sex married-couple family:!!Husband in labor force:!!Unemployed:!!Wife in labor force:!!Employed or in Armed Forces</t>
  </si>
  <si>
    <t>B23007_042</t>
  </si>
  <si>
    <t>Estimate!!Total:!!No children under 18 years:!!Opposite-sex married-couple family:!!Husband in labor force:!!Unemployed:!!Wife in labor force:!!Unemployed</t>
  </si>
  <si>
    <t>B23007_043</t>
  </si>
  <si>
    <t>Estimate!!Total:!!No children under 18 years:!!Opposite-sex married-couple family:!!Husband in labor force:!!Unemployed:!!Wife not in labor force</t>
  </si>
  <si>
    <t>B23007_044</t>
  </si>
  <si>
    <t>Estimate!!Total:!!No children under 18 years:!!Opposite-sex married-couple family:!!Husband not in labor force:</t>
  </si>
  <si>
    <t>B23007_045</t>
  </si>
  <si>
    <t>Estimate!!Total:!!No children under 18 years:!!Opposite-sex married-couple family:!!Husband not in labor force:!!Wife in labor force:</t>
  </si>
  <si>
    <t>B23007_046</t>
  </si>
  <si>
    <t>Estimate!!Total:!!No children under 18 years:!!Opposite-sex married-couple family:!!Husband not in labor force:!!Wife in labor force:!!Employed or in Armed Forces</t>
  </si>
  <si>
    <t>B23007_047</t>
  </si>
  <si>
    <t>Estimate!!Total:!!No children under 18 years:!!Opposite-sex married-couple family:!!Husband not in labor force:!!Wife in labor force:!!Unemployed</t>
  </si>
  <si>
    <t>B23007_048</t>
  </si>
  <si>
    <t>Estimate!!Total:!!No children under 18 years:!!Opposite-sex married-couple family:!!Husband not in labor force:!!Wife not in labor force</t>
  </si>
  <si>
    <t>B23007_049</t>
  </si>
  <si>
    <t>Estimate!!Total:!!No children under 18 years:!!Other family:</t>
  </si>
  <si>
    <t>B23007_050</t>
  </si>
  <si>
    <t>Estimate!!Total:!!No children under 18 years:!!Other family:!!Male householder, no spouse present:</t>
  </si>
  <si>
    <t>B23007_051</t>
  </si>
  <si>
    <t>Estimate!!Total:!!No children under 18 years:!!Other family:!!Male householder, no spouse present:!!In labor force:</t>
  </si>
  <si>
    <t>B23007_052</t>
  </si>
  <si>
    <t>Estimate!!Total:!!No children under 18 years:!!Other family:!!Male householder, no spouse present:!!In labor force:!!Employed or in Armed Forces</t>
  </si>
  <si>
    <t>B23007_053</t>
  </si>
  <si>
    <t>Estimate!!Total:!!No children under 18 years:!!Other family:!!Male householder, no spouse present:!!In labor force:!!Unemployed</t>
  </si>
  <si>
    <t>B23007_054</t>
  </si>
  <si>
    <t>Estimate!!Total:!!No children under 18 years:!!Other family:!!Male householder, no spouse present:!!Not in labor force</t>
  </si>
  <si>
    <t>B23007_055</t>
  </si>
  <si>
    <t>Estimate!!Total:!!No children under 18 years:!!Other family:!!Female householder, no spouse present:</t>
  </si>
  <si>
    <t>B23007_056</t>
  </si>
  <si>
    <t>Estimate!!Total:!!No children under 18 years:!!Other family:!!Female householder, no spouse present:!!In labor force:</t>
  </si>
  <si>
    <t>B23007_057</t>
  </si>
  <si>
    <t>Estimate!!Total:!!No children under 18 years:!!Other family:!!Female householder, no spouse present:!!In labor force:!!Employed or in Armed Forces</t>
  </si>
  <si>
    <t>B23007_058</t>
  </si>
  <si>
    <t>Estimate!!Total:!!No children under 18 years:!!Other family:!!Female householder, no spouse present:!!In labor force:!!Unemployed</t>
  </si>
  <si>
    <t>B23007_059</t>
  </si>
  <si>
    <t>Estimate!!Total:!!No children under 18 years:!!Other family:!!Female householder, no spouse present:!!Not in labor force</t>
  </si>
  <si>
    <t>B23008_002</t>
  </si>
  <si>
    <t>B23008_003</t>
  </si>
  <si>
    <t>B23008_004</t>
  </si>
  <si>
    <t>Estimate!!Total:!!Under 6 years:!!Living with two parents:!!Both parents in labor force</t>
  </si>
  <si>
    <t>B23008_005</t>
  </si>
  <si>
    <t>Estimate!!Total:!!Under 6 years:!!Living with two parents:!!Father only in labor force</t>
  </si>
  <si>
    <t>B23008_006</t>
  </si>
  <si>
    <t>Estimate!!Total:!!Under 6 years:!!Living with two parents:!!Mother only in labor force</t>
  </si>
  <si>
    <t>B23008_007</t>
  </si>
  <si>
    <t>Estimate!!Total:!!Under 6 years:!!Living with two parents:!!Neither parent in labor force</t>
  </si>
  <si>
    <t>B23008_008</t>
  </si>
  <si>
    <t>B23008_009</t>
  </si>
  <si>
    <t>Estimate!!Total:!!Under 6 years:!!Living with one parent:!!Living with father:</t>
  </si>
  <si>
    <t>B23008_010</t>
  </si>
  <si>
    <t>Estimate!!Total:!!Under 6 years:!!Living with one parent:!!Living with father:!!In labor force</t>
  </si>
  <si>
    <t>B23008_011</t>
  </si>
  <si>
    <t>Estimate!!Total:!!Under 6 years:!!Living with one parent:!!Living with father:!!Not in labor force</t>
  </si>
  <si>
    <t>B23008_012</t>
  </si>
  <si>
    <t>Estimate!!Total:!!Under 6 years:!!Living with one parent:!!Living with mother:</t>
  </si>
  <si>
    <t>B23008_013</t>
  </si>
  <si>
    <t>Estimate!!Total:!!Under 6 years:!!Living with one parent:!!Living with mother:!!In labor force</t>
  </si>
  <si>
    <t>B23008_014</t>
  </si>
  <si>
    <t>Estimate!!Total:!!Under 6 years:!!Living with one parent:!!Living with mother:!!Not in labor force</t>
  </si>
  <si>
    <t>B23008_015</t>
  </si>
  <si>
    <t>B23008_016</t>
  </si>
  <si>
    <t>B23008_017</t>
  </si>
  <si>
    <t>Estimate!!Total:!!6 to 17 years:!!Living with two parents:!!Both parents in labor force</t>
  </si>
  <si>
    <t>B23008_018</t>
  </si>
  <si>
    <t>Estimate!!Total:!!6 to 17 years:!!Living with two parents:!!Father only in labor force</t>
  </si>
  <si>
    <t>B23008_019</t>
  </si>
  <si>
    <t>Estimate!!Total:!!6 to 17 years:!!Living with two parents:!!Mother only in labor force</t>
  </si>
  <si>
    <t>B23008_020</t>
  </si>
  <si>
    <t>Estimate!!Total:!!6 to 17 years:!!Living with two parents:!!Neither parent in labor force</t>
  </si>
  <si>
    <t>B23008_021</t>
  </si>
  <si>
    <t>B23008_022</t>
  </si>
  <si>
    <t>Estimate!!Total:!!6 to 17 years:!!Living with one parent:!!Living with father:</t>
  </si>
  <si>
    <t>B23008_023</t>
  </si>
  <si>
    <t>Estimate!!Total:!!6 to 17 years:!!Living with one parent:!!Living with father:!!In labor force</t>
  </si>
  <si>
    <t>B23008_024</t>
  </si>
  <si>
    <t>Estimate!!Total:!!6 to 17 years:!!Living with one parent:!!Living with father:!!Not in labor force</t>
  </si>
  <si>
    <t>B23008_025</t>
  </si>
  <si>
    <t>Estimate!!Total:!!6 to 17 years:!!Living with one parent:!!Living with mother:</t>
  </si>
  <si>
    <t>B23008_026</t>
  </si>
  <si>
    <t>Estimate!!Total:!!6 to 17 years:!!Living with one parent:!!Living with mother:!!In labor force</t>
  </si>
  <si>
    <t>B23008_027</t>
  </si>
  <si>
    <t>Estimate!!Total:!!6 to 17 years:!!Living with one parent:!!Living with mother:!!Not in labor force</t>
  </si>
  <si>
    <t>B23009_002</t>
  </si>
  <si>
    <t>B23009_003</t>
  </si>
  <si>
    <t>Estimate!!Total:!!With own children of the householder under 18 years:!!Married-couple family:</t>
  </si>
  <si>
    <t>B23009_004</t>
  </si>
  <si>
    <t>Estimate!!Total:!!With own children of the householder under 18 years:!!Married-couple family:!!No workers</t>
  </si>
  <si>
    <t>B23009_005</t>
  </si>
  <si>
    <t>Estimate!!Total:!!With own children of the householder under 18 years:!!Married-couple family:!!1 worker</t>
  </si>
  <si>
    <t>B23009_006</t>
  </si>
  <si>
    <t>Estimate!!Total:!!With own children of the householder under 18 years:!!Married-couple family:!!2 workers:</t>
  </si>
  <si>
    <t>B23009_007</t>
  </si>
  <si>
    <t>Estimate!!Total:!!With own children of the householder under 18 years:!!Married-couple family:!!2 workers:!!Both spouses worked</t>
  </si>
  <si>
    <t>B23009_008</t>
  </si>
  <si>
    <t>Estimate!!Total:!!With own children of the householder under 18 years:!!Married-couple family:!!2 workers:!!Other</t>
  </si>
  <si>
    <t>B23009_009</t>
  </si>
  <si>
    <t>Estimate!!Total:!!With own children of the householder under 18 years:!!Married-couple family:!!3 or more workers:</t>
  </si>
  <si>
    <t>B23009_010</t>
  </si>
  <si>
    <t>Estimate!!Total:!!With own children of the householder under 18 years:!!Married-couple family:!!3 or more workers:!!Both spouses worked</t>
  </si>
  <si>
    <t>B23009_011</t>
  </si>
  <si>
    <t>Estimate!!Total:!!With own children of the householder under 18 years:!!Married-couple family:!!3 or more workers:!!Other</t>
  </si>
  <si>
    <t>B23009_012</t>
  </si>
  <si>
    <t>Estimate!!Total:!!With own children of the householder under 18 years:!!Other family:</t>
  </si>
  <si>
    <t>B23009_013</t>
  </si>
  <si>
    <t>Estimate!!Total:!!With own children of the householder under 18 years:!!Other family:!!Male householder, no spouse present:</t>
  </si>
  <si>
    <t>B23009_014</t>
  </si>
  <si>
    <t>Estimate!!Total:!!With own children of the householder under 18 years:!!Other family:!!Male householder, no spouse present:!!No workers</t>
  </si>
  <si>
    <t>B23009_015</t>
  </si>
  <si>
    <t>Estimate!!Total:!!With own children of the householder under 18 years:!!Other family:!!Male householder, no spouse present:!!1 worker</t>
  </si>
  <si>
    <t>B23009_016</t>
  </si>
  <si>
    <t>Estimate!!Total:!!With own children of the householder under 18 years:!!Other family:!!Male householder, no spouse present:!!2 workers</t>
  </si>
  <si>
    <t>B23009_017</t>
  </si>
  <si>
    <t>Estimate!!Total:!!With own children of the householder under 18 years:!!Other family:!!Male householder, no spouse present:!!3 or more workers</t>
  </si>
  <si>
    <t>B23009_018</t>
  </si>
  <si>
    <t>Estimate!!Total:!!With own children of the householder under 18 years:!!Other family:!!Female householder, no spouse present:</t>
  </si>
  <si>
    <t>B23009_019</t>
  </si>
  <si>
    <t>Estimate!!Total:!!With own children of the householder under 18 years:!!Other family:!!Female householder, no spouse present:!!No workers</t>
  </si>
  <si>
    <t>B23009_020</t>
  </si>
  <si>
    <t>Estimate!!Total:!!With own children of the householder under 18 years:!!Other family:!!Female householder, no spouse present:!!1 worker</t>
  </si>
  <si>
    <t>B23009_021</t>
  </si>
  <si>
    <t>Estimate!!Total:!!With own children of the householder under 18 years:!!Other family:!!Female householder, no spouse present:!!2 workers</t>
  </si>
  <si>
    <t>B23009_022</t>
  </si>
  <si>
    <t>Estimate!!Total:!!With own children of the householder under 18 years:!!Other family:!!Female householder, no spouse present:!!3 or more workers</t>
  </si>
  <si>
    <t>B23009_023</t>
  </si>
  <si>
    <t>B23009_024</t>
  </si>
  <si>
    <t>Estimate!!Total:!!No own children of the householder under 18 years:!!Married-couple family:</t>
  </si>
  <si>
    <t>B23009_025</t>
  </si>
  <si>
    <t>Estimate!!Total:!!No own children of the householder under 18 years:!!Married-couple family:!!No workers</t>
  </si>
  <si>
    <t>B23009_026</t>
  </si>
  <si>
    <t>Estimate!!Total:!!No own children of the householder under 18 years:!!Married-couple family:!!1 worker</t>
  </si>
  <si>
    <t>B23009_027</t>
  </si>
  <si>
    <t>Estimate!!Total:!!No own children of the householder under 18 years:!!Married-couple family:!!2 workers:</t>
  </si>
  <si>
    <t>B23009_028</t>
  </si>
  <si>
    <t>Estimate!!Total:!!No own children of the householder under 18 years:!!Married-couple family:!!2 workers:!!Both spouses worked</t>
  </si>
  <si>
    <t>B23009_029</t>
  </si>
  <si>
    <t>Estimate!!Total:!!No own children of the householder under 18 years:!!Married-couple family:!!2 workers:!!Other</t>
  </si>
  <si>
    <t>B23009_030</t>
  </si>
  <si>
    <t>Estimate!!Total:!!No own children of the householder under 18 years:!!Married-couple family:!!3 or more workers:</t>
  </si>
  <si>
    <t>B23009_031</t>
  </si>
  <si>
    <t>Estimate!!Total:!!No own children of the householder under 18 years:!!Married-couple family:!!3 or more workers:!!Both spouses worked</t>
  </si>
  <si>
    <t>B23009_032</t>
  </si>
  <si>
    <t>Estimate!!Total:!!No own children of the householder under 18 years:!!Married-couple family:!!3 or more workers:!!Other</t>
  </si>
  <si>
    <t>B23009_033</t>
  </si>
  <si>
    <t>Estimate!!Total:!!No own children of the householder under 18 years:!!Other family:</t>
  </si>
  <si>
    <t>B23009_034</t>
  </si>
  <si>
    <t>Estimate!!Total:!!No own children of the householder under 18 years:!!Other family:!!Male householder, no spouse present:</t>
  </si>
  <si>
    <t>B23009_035</t>
  </si>
  <si>
    <t>Estimate!!Total:!!No own children of the householder under 18 years:!!Other family:!!Male householder, no spouse present:!!No workers</t>
  </si>
  <si>
    <t>B23009_036</t>
  </si>
  <si>
    <t>Estimate!!Total:!!No own children of the householder under 18 years:!!Other family:!!Male householder, no spouse present:!!1 worker</t>
  </si>
  <si>
    <t>B23009_037</t>
  </si>
  <si>
    <t>Estimate!!Total:!!No own children of the householder under 18 years:!!Other family:!!Male householder, no spouse present:!!2 workers</t>
  </si>
  <si>
    <t>B23009_038</t>
  </si>
  <si>
    <t>Estimate!!Total:!!No own children of the householder under 18 years:!!Other family:!!Male householder, no spouse present:!!3 or more workers</t>
  </si>
  <si>
    <t>B23009_039</t>
  </si>
  <si>
    <t>Estimate!!Total:!!No own children of the householder under 18 years:!!Other family:!!Female householder, no spouse present:</t>
  </si>
  <si>
    <t>B23009_040</t>
  </si>
  <si>
    <t>Estimate!!Total:!!No own children of the householder under 18 years:!!Other family:!!Female householder, no spouse present:!!No workers</t>
  </si>
  <si>
    <t>B23009_041</t>
  </si>
  <si>
    <t>Estimate!!Total:!!No own children of the householder under 18 years:!!Other family:!!Female householder, no spouse present:!!1 worker</t>
  </si>
  <si>
    <t>B23009_042</t>
  </si>
  <si>
    <t>Estimate!!Total:!!No own children of the householder under 18 years:!!Other family:!!Female householder, no spouse present:!!2 workers</t>
  </si>
  <si>
    <t>B23009_043</t>
  </si>
  <si>
    <t>Estimate!!Total:!!No own children of the householder under 18 years:!!Other family:!!Female householder, no spouse present:!!3 or more workers</t>
  </si>
  <si>
    <t>B23010_002</t>
  </si>
  <si>
    <t>B23010_003</t>
  </si>
  <si>
    <t>Estimate!!Total:!!With own children of the householder under 18 years:!!Householder worked full-time, year-round in the past 12 months:</t>
  </si>
  <si>
    <t>B23010_004</t>
  </si>
  <si>
    <t>Estimate!!Total:!!With own children of the householder under 18 years:!!Householder worked full-time, year-round in the past 12 months:!!Spouse worked full-time, year-round in the past 12 months</t>
  </si>
  <si>
    <t>B23010_005</t>
  </si>
  <si>
    <t>Estimate!!Total:!!With own children of the householder under 18 years:!!Householder worked full-time, year-round in the past 12 months:!!Spouse worked less than full-time, year-round in the past 12 months</t>
  </si>
  <si>
    <t>B23010_006</t>
  </si>
  <si>
    <t>Estimate!!Total:!!With own children of the householder under 18 years:!!Householder worked full-time, year-round in the past 12 months:!!Spouse did not work in the past 12 months</t>
  </si>
  <si>
    <t>B23010_007</t>
  </si>
  <si>
    <t>Estimate!!Total:!!With own children of the householder under 18 years:!!Householder worked less than full-time, year-round in the past 12 months:</t>
  </si>
  <si>
    <t>B23010_008</t>
  </si>
  <si>
    <t>Estimate!!Total:!!With own children of the householder under 18 years:!!Householder worked less than full-time, year-round in the past 12 months:!!Spouse worked full-time, year-round in the past 12 months</t>
  </si>
  <si>
    <t>B23010_009</t>
  </si>
  <si>
    <t>Estimate!!Total:!!With own children of the householder under 18 years:!!Householder worked less than full-time, year-round in the past 12 months:!!Spouse worked less than full-time, year-round in the past 12 months</t>
  </si>
  <si>
    <t>B23010_010</t>
  </si>
  <si>
    <t>Estimate!!Total:!!With own children of the householder under 18 years:!!Householder worked less than full-time, year-round in the past 12 months:!!Spouse did not work in the past 12 months</t>
  </si>
  <si>
    <t>B23010_011</t>
  </si>
  <si>
    <t>Estimate!!Total:!!With own children of the householder under 18 years:!!Householder did not work in the past 12 months:</t>
  </si>
  <si>
    <t>B23010_012</t>
  </si>
  <si>
    <t>Estimate!!Total:!!With own children of the householder under 18 years:!!Householder did not work in the past 12 months:!!Spouse worked full-time, year-round in the past 12 months</t>
  </si>
  <si>
    <t>B23010_013</t>
  </si>
  <si>
    <t>Estimate!!Total:!!With own children of the householder under 18 years:!!Householder did not work in the past 12 months:!!Spouse worked less than full-time, year-round in the past 12 months</t>
  </si>
  <si>
    <t>B23010_014</t>
  </si>
  <si>
    <t>Estimate!!Total:!!With own children of the householder under 18 years:!!Householder did not work in the past 12 months:!!Spouse did not work in the past 12 months</t>
  </si>
  <si>
    <t>B23010_015</t>
  </si>
  <si>
    <t>B23010_016</t>
  </si>
  <si>
    <t>Estimate!!Total:!!No own children of the householder under 18 years:!!Householder worked full-time, year-round in the past 12 months:</t>
  </si>
  <si>
    <t>B23010_017</t>
  </si>
  <si>
    <t>Estimate!!Total:!!No own children of the householder under 18 years:!!Householder worked full-time, year-round in the past 12 months:!!Spouse worked full-time, year-round in the past 12 months</t>
  </si>
  <si>
    <t>B23010_018</t>
  </si>
  <si>
    <t>Estimate!!Total:!!No own children of the householder under 18 years:!!Householder worked full-time, year-round in the past 12 months:!!Spouse worked less than full-time, year-round in the past 12 months</t>
  </si>
  <si>
    <t>B23010_019</t>
  </si>
  <si>
    <t>Estimate!!Total:!!No own children of the householder under 18 years:!!Householder worked full-time, year-round in the past 12 months:!!Spouse did not work in the past 12 months</t>
  </si>
  <si>
    <t>B23010_020</t>
  </si>
  <si>
    <t>Estimate!!Total:!!No own children of the householder under 18 years:!!Householder worked less than full-time, year-round in the past 12 months:</t>
  </si>
  <si>
    <t>B23010_021</t>
  </si>
  <si>
    <t>Estimate!!Total:!!No own children of the householder under 18 years:!!Householder worked less than full-time, year-round in the past 12 months:!!Spouse worked full-time, year-round in the past 12 months</t>
  </si>
  <si>
    <t>B23010_022</t>
  </si>
  <si>
    <t>Estimate!!Total:!!No own children of the householder under 18 years:!!Householder worked less than full-time, year-round in the past 12 months:!!Spouse worked less than full-time, year-round in the past 12 months</t>
  </si>
  <si>
    <t>B23010_023</t>
  </si>
  <si>
    <t>Estimate!!Total:!!No own children of the householder under 18 years:!!Householder worked less than full-time, year-round in the past 12 months:!!Spouse did not work in the past 12 months</t>
  </si>
  <si>
    <t>B23010_024</t>
  </si>
  <si>
    <t>Estimate!!Total:!!No own children of the householder under 18 years:!!Householder did not work in the past 12 months:</t>
  </si>
  <si>
    <t>B23010_025</t>
  </si>
  <si>
    <t>Estimate!!Total:!!No own children of the householder under 18 years:!!Householder did not work in the past 12 months:!!Spouse worked full-time, year-round in the past 12 months</t>
  </si>
  <si>
    <t>B23010_026</t>
  </si>
  <si>
    <t>Estimate!!Total:!!No own children of the householder under 18 years:!!Householder did not work in the past 12 months:!!Spouse worked less than full-time, year-round in the past 12 months</t>
  </si>
  <si>
    <t>B23010_027</t>
  </si>
  <si>
    <t>Estimate!!Total:!!No own children of the householder under 18 years:!!Householder did not work in the past 12 months:!!Spouse did not work in the past 12 months</t>
  </si>
  <si>
    <t>B23013_002</t>
  </si>
  <si>
    <t>Estimate!!Median age--!!Total:!!Male</t>
  </si>
  <si>
    <t>B23013_003</t>
  </si>
  <si>
    <t>Estimate!!Median age--!!Total:!!Female</t>
  </si>
  <si>
    <t>B23018_002</t>
  </si>
  <si>
    <t>Estimate!!Aggregate usual hours:!!Male</t>
  </si>
  <si>
    <t>B23018_003</t>
  </si>
  <si>
    <t>Estimate!!Aggregate usual hours:!!Female</t>
  </si>
  <si>
    <t>B23020_002</t>
  </si>
  <si>
    <t>Estimate!!Mean usual hours--!!Total:!!Male</t>
  </si>
  <si>
    <t>B23020_003</t>
  </si>
  <si>
    <t>Estimate!!Mean usual hours--!!Total:!!Female</t>
  </si>
  <si>
    <t>B23022_002</t>
  </si>
  <si>
    <t>B23022_003</t>
  </si>
  <si>
    <t>Estimate!!Total:!!Male:!!Worked in the past 12 months:</t>
  </si>
  <si>
    <t>B23022_004</t>
  </si>
  <si>
    <t>Estimate!!Total:!!Male:!!Worked in the past 12 months:!!Usually worked 35 or more hours per week:</t>
  </si>
  <si>
    <t>B23022_005</t>
  </si>
  <si>
    <t>Estimate!!Total:!!Male:!!Worked in the past 12 months:!!Usually worked 35 or more hours per week:!!50 to 52 weeks</t>
  </si>
  <si>
    <t>B23022_006</t>
  </si>
  <si>
    <t>Estimate!!Total:!!Male:!!Worked in the past 12 months:!!Usually worked 35 or more hours per week:!!48 and 49 weeks</t>
  </si>
  <si>
    <t>B23022_007</t>
  </si>
  <si>
    <t>Estimate!!Total:!!Male:!!Worked in the past 12 months:!!Usually worked 35 or more hours per week:!!40 to 47 weeks</t>
  </si>
  <si>
    <t>B23022_008</t>
  </si>
  <si>
    <t>Estimate!!Total:!!Male:!!Worked in the past 12 months:!!Usually worked 35 or more hours per week:!!27 to 39 weeks</t>
  </si>
  <si>
    <t>B23022_009</t>
  </si>
  <si>
    <t>Estimate!!Total:!!Male:!!Worked in the past 12 months:!!Usually worked 35 or more hours per week:!!14 to 26 weeks</t>
  </si>
  <si>
    <t>B23022_010</t>
  </si>
  <si>
    <t>Estimate!!Total:!!Male:!!Worked in the past 12 months:!!Usually worked 35 or more hours per week:!!1 to 13 weeks</t>
  </si>
  <si>
    <t>B23022_011</t>
  </si>
  <si>
    <t>Estimate!!Total:!!Male:!!Worked in the past 12 months:!!Usually worked 15 to 34 hours per week:</t>
  </si>
  <si>
    <t>B23022_012</t>
  </si>
  <si>
    <t>Estimate!!Total:!!Male:!!Worked in the past 12 months:!!Usually worked 15 to 34 hours per week:!!50 to 52 weeks</t>
  </si>
  <si>
    <t>B23022_013</t>
  </si>
  <si>
    <t>Estimate!!Total:!!Male:!!Worked in the past 12 months:!!Usually worked 15 to 34 hours per week:!!48 and 49 weeks</t>
  </si>
  <si>
    <t>B23022_014</t>
  </si>
  <si>
    <t>Estimate!!Total:!!Male:!!Worked in the past 12 months:!!Usually worked 15 to 34 hours per week:!!40 to 47 weeks</t>
  </si>
  <si>
    <t>B23022_015</t>
  </si>
  <si>
    <t>Estimate!!Total:!!Male:!!Worked in the past 12 months:!!Usually worked 15 to 34 hours per week:!!27 to 39 weeks</t>
  </si>
  <si>
    <t>B23022_016</t>
  </si>
  <si>
    <t>Estimate!!Total:!!Male:!!Worked in the past 12 months:!!Usually worked 15 to 34 hours per week:!!14 to 26 weeks</t>
  </si>
  <si>
    <t>B23022_017</t>
  </si>
  <si>
    <t>Estimate!!Total:!!Male:!!Worked in the past 12 months:!!Usually worked 15 to 34 hours per week:!!1 to 13 weeks</t>
  </si>
  <si>
    <t>B23022_018</t>
  </si>
  <si>
    <t>Estimate!!Total:!!Male:!!Worked in the past 12 months:!!Usually worked 1 to 14 hours per week:</t>
  </si>
  <si>
    <t>B23022_019</t>
  </si>
  <si>
    <t>Estimate!!Total:!!Male:!!Worked in the past 12 months:!!Usually worked 1 to 14 hours per week:!!50 to 52 weeks</t>
  </si>
  <si>
    <t>B23022_020</t>
  </si>
  <si>
    <t>Estimate!!Total:!!Male:!!Worked in the past 12 months:!!Usually worked 1 to 14 hours per week:!!48 and 49 weeks</t>
  </si>
  <si>
    <t>B23022_021</t>
  </si>
  <si>
    <t>Estimate!!Total:!!Male:!!Worked in the past 12 months:!!Usually worked 1 to 14 hours per week:!!40 to 47 weeks</t>
  </si>
  <si>
    <t>B23022_022</t>
  </si>
  <si>
    <t>Estimate!!Total:!!Male:!!Worked in the past 12 months:!!Usually worked 1 to 14 hours per week:!!27 to 39 weeks</t>
  </si>
  <si>
    <t>B23022_023</t>
  </si>
  <si>
    <t>Estimate!!Total:!!Male:!!Worked in the past 12 months:!!Usually worked 1 to 14 hours per week:!!14 to 26 weeks</t>
  </si>
  <si>
    <t>B23022_024</t>
  </si>
  <si>
    <t>Estimate!!Total:!!Male:!!Worked in the past 12 months:!!Usually worked 1 to 14 hours per week:!!1 to 13 weeks</t>
  </si>
  <si>
    <t>B23022_025</t>
  </si>
  <si>
    <t>Estimate!!Total:!!Male:!!Did not work in the past 12 months</t>
  </si>
  <si>
    <t>B23022_026</t>
  </si>
  <si>
    <t>B23022_027</t>
  </si>
  <si>
    <t>Estimate!!Total:!!Female:!!Worked in the past 12 months:</t>
  </si>
  <si>
    <t>B23022_028</t>
  </si>
  <si>
    <t>Estimate!!Total:!!Female:!!Worked in the past 12 months:!!Usually worked 35 or more hours per week:</t>
  </si>
  <si>
    <t>B23022_029</t>
  </si>
  <si>
    <t>Estimate!!Total:!!Female:!!Worked in the past 12 months:!!Usually worked 35 or more hours per week:!!50 to 52 weeks</t>
  </si>
  <si>
    <t>B23022_030</t>
  </si>
  <si>
    <t>Estimate!!Total:!!Female:!!Worked in the past 12 months:!!Usually worked 35 or more hours per week:!!48 and 49 weeks</t>
  </si>
  <si>
    <t>B23022_031</t>
  </si>
  <si>
    <t>Estimate!!Total:!!Female:!!Worked in the past 12 months:!!Usually worked 35 or more hours per week:!!40 to 47 weeks</t>
  </si>
  <si>
    <t>B23022_032</t>
  </si>
  <si>
    <t>Estimate!!Total:!!Female:!!Worked in the past 12 months:!!Usually worked 35 or more hours per week:!!27 to 39 weeks</t>
  </si>
  <si>
    <t>B23022_033</t>
  </si>
  <si>
    <t>Estimate!!Total:!!Female:!!Worked in the past 12 months:!!Usually worked 35 or more hours per week:!!14 to 26 weeks</t>
  </si>
  <si>
    <t>B23022_034</t>
  </si>
  <si>
    <t>Estimate!!Total:!!Female:!!Worked in the past 12 months:!!Usually worked 35 or more hours per week:!!1 to 13 weeks</t>
  </si>
  <si>
    <t>B23022_035</t>
  </si>
  <si>
    <t>Estimate!!Total:!!Female:!!Worked in the past 12 months:!!Usually worked 15 to 34 hours per week:</t>
  </si>
  <si>
    <t>B23022_036</t>
  </si>
  <si>
    <t>Estimate!!Total:!!Female:!!Worked in the past 12 months:!!Usually worked 15 to 34 hours per week:!!50 to 52 weeks</t>
  </si>
  <si>
    <t>B23022_037</t>
  </si>
  <si>
    <t>Estimate!!Total:!!Female:!!Worked in the past 12 months:!!Usually worked 15 to 34 hours per week:!!48 and 49 weeks</t>
  </si>
  <si>
    <t>B23022_038</t>
  </si>
  <si>
    <t>Estimate!!Total:!!Female:!!Worked in the past 12 months:!!Usually worked 15 to 34 hours per week:!!40 to 47 weeks</t>
  </si>
  <si>
    <t>B23022_039</t>
  </si>
  <si>
    <t>Estimate!!Total:!!Female:!!Worked in the past 12 months:!!Usually worked 15 to 34 hours per week:!!27 to 39 weeks</t>
  </si>
  <si>
    <t>B23022_040</t>
  </si>
  <si>
    <t>Estimate!!Total:!!Female:!!Worked in the past 12 months:!!Usually worked 15 to 34 hours per week:!!14 to 26 weeks</t>
  </si>
  <si>
    <t>B23022_041</t>
  </si>
  <si>
    <t>Estimate!!Total:!!Female:!!Worked in the past 12 months:!!Usually worked 15 to 34 hours per week:!!1 to 13 weeks</t>
  </si>
  <si>
    <t>B23022_042</t>
  </si>
  <si>
    <t>Estimate!!Total:!!Female:!!Worked in the past 12 months:!!Usually worked 1 to 14 hours per week:</t>
  </si>
  <si>
    <t>B23022_043</t>
  </si>
  <si>
    <t>Estimate!!Total:!!Female:!!Worked in the past 12 months:!!Usually worked 1 to 14 hours per week:!!50 to 52 weeks</t>
  </si>
  <si>
    <t>B23022_044</t>
  </si>
  <si>
    <t>Estimate!!Total:!!Female:!!Worked in the past 12 months:!!Usually worked 1 to 14 hours per week:!!48 and 49 weeks</t>
  </si>
  <si>
    <t>B23022_045</t>
  </si>
  <si>
    <t>Estimate!!Total:!!Female:!!Worked in the past 12 months:!!Usually worked 1 to 14 hours per week:!!40 to 47 weeks</t>
  </si>
  <si>
    <t>B23022_046</t>
  </si>
  <si>
    <t>Estimate!!Total:!!Female:!!Worked in the past 12 months:!!Usually worked 1 to 14 hours per week:!!27 to 39 weeks</t>
  </si>
  <si>
    <t>B23022_047</t>
  </si>
  <si>
    <t>Estimate!!Total:!!Female:!!Worked in the past 12 months:!!Usually worked 1 to 14 hours per week:!!14 to 26 weeks</t>
  </si>
  <si>
    <t>B23022_048</t>
  </si>
  <si>
    <t>Estimate!!Total:!!Female:!!Worked in the past 12 months:!!Usually worked 1 to 14 hours per week:!!1 to 13 weeks</t>
  </si>
  <si>
    <t>B23022_049</t>
  </si>
  <si>
    <t>Estimate!!Total:!!Female:!!Did not work in the past 12 months</t>
  </si>
  <si>
    <t>B23024_002</t>
  </si>
  <si>
    <t>B23024_003</t>
  </si>
  <si>
    <t>Estimate!!Total:!!Income in the past 12 months below poverty level:!!With a disability:</t>
  </si>
  <si>
    <t>B23024_004</t>
  </si>
  <si>
    <t>Estimate!!Total:!!Income in the past 12 months below poverty level:!!With a disability:!!In labor force:</t>
  </si>
  <si>
    <t>B23024_005</t>
  </si>
  <si>
    <t>Estimate!!Total:!!Income in the past 12 months below poverty level:!!With a disability:!!In labor force:!!In Armed Forces</t>
  </si>
  <si>
    <t>B23024_006</t>
  </si>
  <si>
    <t>Estimate!!Total:!!Income in the past 12 months below poverty level:!!With a disability:!!In labor force:!!Civilian:</t>
  </si>
  <si>
    <t>B23024_007</t>
  </si>
  <si>
    <t>Estimate!!Total:!!Income in the past 12 months below poverty level:!!With a disability:!!In labor force:!!Civilian:!!Employed</t>
  </si>
  <si>
    <t>B23024_008</t>
  </si>
  <si>
    <t>Estimate!!Total:!!Income in the past 12 months below poverty level:!!With a disability:!!In labor force:!!Civilian:!!Unemployed</t>
  </si>
  <si>
    <t>B23024_009</t>
  </si>
  <si>
    <t>Estimate!!Total:!!Income in the past 12 months below poverty level:!!With a disability:!!Not in labor force</t>
  </si>
  <si>
    <t>B23024_010</t>
  </si>
  <si>
    <t>Estimate!!Total:!!Income in the past 12 months below poverty level:!!No disability:</t>
  </si>
  <si>
    <t>B23024_011</t>
  </si>
  <si>
    <t>Estimate!!Total:!!Income in the past 12 months below poverty level:!!No disability:!!In labor force:</t>
  </si>
  <si>
    <t>B23024_012</t>
  </si>
  <si>
    <t>Estimate!!Total:!!Income in the past 12 months below poverty level:!!No disability:!!In labor force:!!In Armed Forces</t>
  </si>
  <si>
    <t>B23024_013</t>
  </si>
  <si>
    <t>Estimate!!Total:!!Income in the past 12 months below poverty level:!!No disability:!!In labor force:!!Civilian:</t>
  </si>
  <si>
    <t>B23024_014</t>
  </si>
  <si>
    <t>Estimate!!Total:!!Income in the past 12 months below poverty level:!!No disability:!!In labor force:!!Civilian:!!Employed</t>
  </si>
  <si>
    <t>B23024_015</t>
  </si>
  <si>
    <t>Estimate!!Total:!!Income in the past 12 months below poverty level:!!No disability:!!In labor force:!!Civilian:!!Unemployed</t>
  </si>
  <si>
    <t>B23024_016</t>
  </si>
  <si>
    <t>Estimate!!Total:!!Income in the past 12 months below poverty level:!!No disability:!!Not in labor force</t>
  </si>
  <si>
    <t>B23024_017</t>
  </si>
  <si>
    <t>B23024_018</t>
  </si>
  <si>
    <t>Estimate!!Total:!!Income in the past 12 months at or above poverty level:!!With a disability:</t>
  </si>
  <si>
    <t>B23024_019</t>
  </si>
  <si>
    <t>Estimate!!Total:!!Income in the past 12 months at or above poverty level:!!With a disability:!!In labor force:</t>
  </si>
  <si>
    <t>B23024_020</t>
  </si>
  <si>
    <t>Estimate!!Total:!!Income in the past 12 months at or above poverty level:!!With a disability:!!In labor force:!!In Armed Forces</t>
  </si>
  <si>
    <t>B23024_021</t>
  </si>
  <si>
    <t>Estimate!!Total:!!Income in the past 12 months at or above poverty level:!!With a disability:!!In labor force:!!Civilian:</t>
  </si>
  <si>
    <t>B23024_022</t>
  </si>
  <si>
    <t>Estimate!!Total:!!Income in the past 12 months at or above poverty level:!!With a disability:!!In labor force:!!Civilian:!!Employed</t>
  </si>
  <si>
    <t>B23024_023</t>
  </si>
  <si>
    <t>Estimate!!Total:!!Income in the past 12 months at or above poverty level:!!With a disability:!!In labor force:!!Civilian:!!Unemployed</t>
  </si>
  <si>
    <t>B23024_024</t>
  </si>
  <si>
    <t>Estimate!!Total:!!Income in the past 12 months at or above poverty level:!!With a disability:!!Not in labor force</t>
  </si>
  <si>
    <t>B23024_025</t>
  </si>
  <si>
    <t>Estimate!!Total:!!Income in the past 12 months at or above poverty level:!!No disability:</t>
  </si>
  <si>
    <t>B23024_026</t>
  </si>
  <si>
    <t>Estimate!!Total:!!Income in the past 12 months at or above poverty level:!!No disability:!!In labor force:</t>
  </si>
  <si>
    <t>B23024_027</t>
  </si>
  <si>
    <t>Estimate!!Total:!!Income in the past 12 months at or above poverty level:!!No disability:!!In labor force:!!In Armed Forces</t>
  </si>
  <si>
    <t>B23024_028</t>
  </si>
  <si>
    <t>Estimate!!Total:!!Income in the past 12 months at or above poverty level:!!No disability:!!In labor force:!!Civilian:</t>
  </si>
  <si>
    <t>B23024_029</t>
  </si>
  <si>
    <t>Estimate!!Total:!!Income in the past 12 months at or above poverty level:!!No disability:!!In labor force:!!Civilian:!!Employed</t>
  </si>
  <si>
    <t>B23024_030</t>
  </si>
  <si>
    <t>Estimate!!Total:!!Income in the past 12 months at or above poverty level:!!No disability:!!In labor force:!!Civilian:!!Unemployed</t>
  </si>
  <si>
    <t>B23024_031</t>
  </si>
  <si>
    <t>Estimate!!Total:!!Income in the past 12 months at or above poverty level:!!No disability:!!Not in labor force</t>
  </si>
  <si>
    <t>B23025_002</t>
  </si>
  <si>
    <t>B23025_003</t>
  </si>
  <si>
    <t>Estimate!!Total:!!In labor force:!!Civilian labor force:</t>
  </si>
  <si>
    <t>B23025_004</t>
  </si>
  <si>
    <t>Estimate!!Total:!!In labor force:!!Civilian labor force:!!Employed</t>
  </si>
  <si>
    <t>B23025_005</t>
  </si>
  <si>
    <t>Estimate!!Total:!!In labor force:!!Civilian labor force:!!Unemployed</t>
  </si>
  <si>
    <t>B23025_006</t>
  </si>
  <si>
    <t>Estimate!!Total:!!In labor force:!!Armed Forces</t>
  </si>
  <si>
    <t>B23025_007</t>
  </si>
  <si>
    <t>Estimate!!Total:!!Not in labor force</t>
  </si>
  <si>
    <t>B23026_002</t>
  </si>
  <si>
    <t>B23026_003</t>
  </si>
  <si>
    <t>B23026_004</t>
  </si>
  <si>
    <t>B23026_005</t>
  </si>
  <si>
    <t>B23026_006</t>
  </si>
  <si>
    <t>B23026_007</t>
  </si>
  <si>
    <t>B23026_008</t>
  </si>
  <si>
    <t>B23026_009</t>
  </si>
  <si>
    <t>B23026_010</t>
  </si>
  <si>
    <t>B23026_011</t>
  </si>
  <si>
    <t>B23026_012</t>
  </si>
  <si>
    <t>B23026_013</t>
  </si>
  <si>
    <t>B23026_014</t>
  </si>
  <si>
    <t>B23026_015</t>
  </si>
  <si>
    <t>B23026_016</t>
  </si>
  <si>
    <t>B23026_017</t>
  </si>
  <si>
    <t>B23026_018</t>
  </si>
  <si>
    <t>B23026_019</t>
  </si>
  <si>
    <t>B23026_020</t>
  </si>
  <si>
    <t>B23026_021</t>
  </si>
  <si>
    <t>B23026_022</t>
  </si>
  <si>
    <t>B23026_023</t>
  </si>
  <si>
    <t>B23026_024</t>
  </si>
  <si>
    <t>B23026_025</t>
  </si>
  <si>
    <t>B23026_026</t>
  </si>
  <si>
    <t>B23026_027</t>
  </si>
  <si>
    <t>B23026_028</t>
  </si>
  <si>
    <t>B23026_029</t>
  </si>
  <si>
    <t>B23026_030</t>
  </si>
  <si>
    <t>B23026_031</t>
  </si>
  <si>
    <t>B23026_032</t>
  </si>
  <si>
    <t>B23026_033</t>
  </si>
  <si>
    <t>B23026_034</t>
  </si>
  <si>
    <t>B23026_035</t>
  </si>
  <si>
    <t>B23026_036</t>
  </si>
  <si>
    <t>B23026_037</t>
  </si>
  <si>
    <t>B23026_038</t>
  </si>
  <si>
    <t>B23026_039</t>
  </si>
  <si>
    <t>B23026_040</t>
  </si>
  <si>
    <t>B23026_041</t>
  </si>
  <si>
    <t>B23026_042</t>
  </si>
  <si>
    <t>B23026_043</t>
  </si>
  <si>
    <t>B23026_044</t>
  </si>
  <si>
    <t>B23026_045</t>
  </si>
  <si>
    <t>B23026_046</t>
  </si>
  <si>
    <t>B23026_047</t>
  </si>
  <si>
    <t>B23026_048</t>
  </si>
  <si>
    <t>B23026_049</t>
  </si>
  <si>
    <t>B23027_002</t>
  </si>
  <si>
    <t>Estimate!!Total:!!16 to 19 years:</t>
  </si>
  <si>
    <t>B23027_003</t>
  </si>
  <si>
    <t>Estimate!!Total:!!16 to 19 years:!!Worked in the past 12 months:</t>
  </si>
  <si>
    <t>B23027_004</t>
  </si>
  <si>
    <t>Estimate!!Total:!!16 to 19 years:!!Worked in the past 12 months:!!Worked full-time, year-round</t>
  </si>
  <si>
    <t>B23027_005</t>
  </si>
  <si>
    <t>Estimate!!Total:!!16 to 19 years:!!Worked in the past 12 months:!!Worked less than full-time, year-round</t>
  </si>
  <si>
    <t>B23027_006</t>
  </si>
  <si>
    <t>Estimate!!Total:!!16 to 19 years:!!Did not work in the past 12 months</t>
  </si>
  <si>
    <t>B23027_007</t>
  </si>
  <si>
    <t>Estimate!!Total:!!20 to 24 years:</t>
  </si>
  <si>
    <t>B23027_008</t>
  </si>
  <si>
    <t>Estimate!!Total:!!20 to 24 years:!!Worked in the past 12 months:</t>
  </si>
  <si>
    <t>B23027_009</t>
  </si>
  <si>
    <t>Estimate!!Total:!!20 to 24 years:!!Worked in the past 12 months:!!Worked full-time, year-round</t>
  </si>
  <si>
    <t>B23027_010</t>
  </si>
  <si>
    <t>Estimate!!Total:!!20 to 24 years:!!Worked in the past 12 months:!!Worked less than full-time, year-round</t>
  </si>
  <si>
    <t>B23027_011</t>
  </si>
  <si>
    <t>Estimate!!Total:!!20 to 24 years:!!Did not work in the past 12 months</t>
  </si>
  <si>
    <t>B23027_012</t>
  </si>
  <si>
    <t>Estimate!!Total:!!25 to 44 years:</t>
  </si>
  <si>
    <t>B23027_013</t>
  </si>
  <si>
    <t>Estimate!!Total:!!25 to 44 years:!!Worked in the past 12 months:</t>
  </si>
  <si>
    <t>B23027_014</t>
  </si>
  <si>
    <t>Estimate!!Total:!!25 to 44 years:!!Worked in the past 12 months:!!Worked full-time, year-round</t>
  </si>
  <si>
    <t>B23027_015</t>
  </si>
  <si>
    <t>Estimate!!Total:!!25 to 44 years:!!Worked in the past 12 months:!!Worked less than full-time, year-round</t>
  </si>
  <si>
    <t>B23027_016</t>
  </si>
  <si>
    <t>Estimate!!Total:!!25 to 44 years:!!Did not work in the past 12 months</t>
  </si>
  <si>
    <t>B23027_017</t>
  </si>
  <si>
    <t>B23027_018</t>
  </si>
  <si>
    <t>Estimate!!Total:!!45 to 54 years:!!Worked in the past 12 months:</t>
  </si>
  <si>
    <t>B23027_019</t>
  </si>
  <si>
    <t>Estimate!!Total:!!45 to 54 years:!!Worked in the past 12 months:!!Worked full-time, year-round</t>
  </si>
  <si>
    <t>B23027_020</t>
  </si>
  <si>
    <t>Estimate!!Total:!!45 to 54 years:!!Worked in the past 12 months:!!Worked less than full-time, year-round</t>
  </si>
  <si>
    <t>B23027_021</t>
  </si>
  <si>
    <t>Estimate!!Total:!!45 to 54 years:!!Did not work in the past 12 months</t>
  </si>
  <si>
    <t>B23027_022</t>
  </si>
  <si>
    <t>B23027_023</t>
  </si>
  <si>
    <t>Estimate!!Total:!!55 to 64 years:!!Worked in the past 12 months:</t>
  </si>
  <si>
    <t>B23027_024</t>
  </si>
  <si>
    <t>Estimate!!Total:!!55 to 64 years:!!Worked in the past 12 months:!!Worked full-time, year-round</t>
  </si>
  <si>
    <t>B23027_025</t>
  </si>
  <si>
    <t>Estimate!!Total:!!55 to 64 years:!!Worked in the past 12 months:!!Worked less than full-time, year-round</t>
  </si>
  <si>
    <t>B23027_026</t>
  </si>
  <si>
    <t>Estimate!!Total:!!55 to 64 years:!!Did not work in the past 12 months</t>
  </si>
  <si>
    <t>B23027_027</t>
  </si>
  <si>
    <t>Estimate!!Total:!!65 to 69 years:</t>
  </si>
  <si>
    <t>B23027_028</t>
  </si>
  <si>
    <t>Estimate!!Total:!!65 to 69 years:!!Worked in the past 12 months:</t>
  </si>
  <si>
    <t>B23027_029</t>
  </si>
  <si>
    <t>Estimate!!Total:!!65 to 69 years:!!Worked in the past 12 months:!!Worked full-time, year-round</t>
  </si>
  <si>
    <t>B23027_030</t>
  </si>
  <si>
    <t>Estimate!!Total:!!65 to 69 years:!!Worked in the past 12 months:!!Worked less than full-time, year-round</t>
  </si>
  <si>
    <t>B23027_031</t>
  </si>
  <si>
    <t>Estimate!!Total:!!65 to 69 years:!!Did not work in the past 12 months</t>
  </si>
  <si>
    <t>B23027_032</t>
  </si>
  <si>
    <t>Estimate!!Total:!!70 years and over:</t>
  </si>
  <si>
    <t>B23027_033</t>
  </si>
  <si>
    <t>Estimate!!Total:!!70 years and over:!!Worked in the past 12 months:</t>
  </si>
  <si>
    <t>B23027_034</t>
  </si>
  <si>
    <t>Estimate!!Total:!!70 years and over:!!Worked in the past 12 months:!!Worked full-time, year-round</t>
  </si>
  <si>
    <t>B23027_035</t>
  </si>
  <si>
    <t>Estimate!!Total:!!70 years and over:!!Worked in the past 12 months:!!Worked less than full-time, year-round</t>
  </si>
  <si>
    <t>B23027_036</t>
  </si>
  <si>
    <t>Estimate!!Total:!!70 years and over:!!Did not work in the past 12 months</t>
  </si>
  <si>
    <t>B24011_002</t>
  </si>
  <si>
    <t>Estimate!!Total:!!Management, business, science, and arts occupations:</t>
  </si>
  <si>
    <t>B24011_003</t>
  </si>
  <si>
    <t>Estimate!!Total:!!Management, business, science, and arts occupations:!!Management, business, and financial occupations:</t>
  </si>
  <si>
    <t>B24011_004</t>
  </si>
  <si>
    <t>Estimate!!Total:!!Management, business, science, and arts occupations:!!Management, business, and financial occupations:!!Management occupations</t>
  </si>
  <si>
    <t>B24011_005</t>
  </si>
  <si>
    <t>Estimate!!Total:!!Management, business, science, and arts occupations:!!Management, business, and financial occupations:!!Business and financial operations occupations</t>
  </si>
  <si>
    <t>B24011_006</t>
  </si>
  <si>
    <t>Estimate!!Total:!!Management, business, science, and arts occupations:!!Computer, engineering, and science occupations:</t>
  </si>
  <si>
    <t>B24011_007</t>
  </si>
  <si>
    <t>Estimate!!Total:!!Management, business, science, and arts occupations:!!Computer, engineering, and science occupations:!!Computer and mathematical occupations</t>
  </si>
  <si>
    <t>B24011_008</t>
  </si>
  <si>
    <t>Estimate!!Total:!!Management, business, science, and arts occupations:!!Computer, engineering, and science occupations:!!Architecture and engineering occupations</t>
  </si>
  <si>
    <t>B24011_009</t>
  </si>
  <si>
    <t>Estimate!!Total:!!Management, business, science, and arts occupations:!!Computer, engineering, and science occupations:!!Life, physical, and social science occupations</t>
  </si>
  <si>
    <t>B24011_010</t>
  </si>
  <si>
    <t>Estimate!!Total:!!Management, business, science, and arts occupations:!!Education, legal, community service, arts, and media occupations:</t>
  </si>
  <si>
    <t>B24011_011</t>
  </si>
  <si>
    <t>Estimate!!Total:!!Management, business, science, and arts occupations:!!Education, legal, community service, arts, and media occupations:!!Community and social service occupations</t>
  </si>
  <si>
    <t>B24011_012</t>
  </si>
  <si>
    <t>Estimate!!Total:!!Management, business, science, and arts occupations:!!Education, legal, community service, arts, and media occupations:!!Legal occupations</t>
  </si>
  <si>
    <t>B24011_013</t>
  </si>
  <si>
    <t>Estimate!!Total:!!Management, business, science, and arts occupations:!!Education, legal, community service, arts, and media occupations:!!Educational instruction, and library occupations</t>
  </si>
  <si>
    <t>B24011_014</t>
  </si>
  <si>
    <t>Estimate!!Total:!!Management, business, science, and arts occupations:!!Education, legal, community service, arts, and media occupations:!!Arts, design, entertainment, sports, and media occupations</t>
  </si>
  <si>
    <t>B24011_015</t>
  </si>
  <si>
    <t>Estimate!!Total:!!Management, business, science, and arts occupations:!!Healthcare practitioners and technical occupations:</t>
  </si>
  <si>
    <t>B24011_016</t>
  </si>
  <si>
    <t>Estimate!!Total:!!Management, business, science, and arts occupations:!!Healthcare practitioners and technical occupations:!!Health diagnosing and treating practitioners and other technical occupations</t>
  </si>
  <si>
    <t>B24011_017</t>
  </si>
  <si>
    <t>Estimate!!Total:!!Management, business, science, and arts occupations:!!Healthcare practitioners and technical occupations:!!Health technologists and technicians</t>
  </si>
  <si>
    <t>B24011_018</t>
  </si>
  <si>
    <t>Estimate!!Total:!!Service occupations:</t>
  </si>
  <si>
    <t>B24011_019</t>
  </si>
  <si>
    <t>Estimate!!Total:!!Service occupations:!!Healthcare support occupations</t>
  </si>
  <si>
    <t>B24011_020</t>
  </si>
  <si>
    <t>Estimate!!Total:!!Service occupations:!!Protective service occupations:</t>
  </si>
  <si>
    <t>B24011_021</t>
  </si>
  <si>
    <t>Estimate!!Total:!!Service occupations:!!Protective service occupations:!!Firefighting and prevention, and other protective service workers including supervisors</t>
  </si>
  <si>
    <t>B24011_022</t>
  </si>
  <si>
    <t>Estimate!!Total:!!Service occupations:!!Protective service occupations:!!Law enforcement workers including supervisors</t>
  </si>
  <si>
    <t>B24011_023</t>
  </si>
  <si>
    <t>Estimate!!Total:!!Service occupations:!!Food preparation and serving related occupations</t>
  </si>
  <si>
    <t>B24011_024</t>
  </si>
  <si>
    <t>Estimate!!Total:!!Service occupations:!!Building and grounds cleaning and maintenance occupations</t>
  </si>
  <si>
    <t>B24011_025</t>
  </si>
  <si>
    <t>Estimate!!Total:!!Service occupations:!!Personal care and service occupations</t>
  </si>
  <si>
    <t>B24011_026</t>
  </si>
  <si>
    <t>Estimate!!Total:!!Sales and office occupations:</t>
  </si>
  <si>
    <t>B24011_027</t>
  </si>
  <si>
    <t>Estimate!!Total:!!Sales and office occupations:!!Sales and related occupations</t>
  </si>
  <si>
    <t>B24011_028</t>
  </si>
  <si>
    <t>Estimate!!Total:!!Sales and office occupations:!!Office and administrative support occupations</t>
  </si>
  <si>
    <t>B24011_029</t>
  </si>
  <si>
    <t>Estimate!!Total:!!Natural resources, construction, and maintenance occupations:</t>
  </si>
  <si>
    <t>B24011_030</t>
  </si>
  <si>
    <t>Estimate!!Total:!!Natural resources, construction, and maintenance occupations:!!Farming, fishing, and forestry occupations</t>
  </si>
  <si>
    <t>B24011_031</t>
  </si>
  <si>
    <t>Estimate!!Total:!!Natural resources, construction, and maintenance occupations:!!Construction and extraction occupations</t>
  </si>
  <si>
    <t>B24011_032</t>
  </si>
  <si>
    <t>Estimate!!Total:!!Natural resources, construction, and maintenance occupations:!!Installation, maintenance, and repair occupations</t>
  </si>
  <si>
    <t>B24011_033</t>
  </si>
  <si>
    <t>Estimate!!Total:!!Production, transportation, and material moving occupations:</t>
  </si>
  <si>
    <t>B24011_034</t>
  </si>
  <si>
    <t>Estimate!!Total:!!Production, transportation, and material moving occupations:!!Production occupations</t>
  </si>
  <si>
    <t>B24011_035</t>
  </si>
  <si>
    <t>Estimate!!Total:!!Production, transportation, and material moving occupations:!!Transportation occupations</t>
  </si>
  <si>
    <t>B24011_036</t>
  </si>
  <si>
    <t>Estimate!!Total:!!Production, transportation, and material moving occupations:!!Material moving occupations</t>
  </si>
  <si>
    <t>B24012_002</t>
  </si>
  <si>
    <t>B24012_003</t>
  </si>
  <si>
    <t>Estimate!!Total:!!Male:!!Management, business, science, and arts occupations:</t>
  </si>
  <si>
    <t>B24012_004</t>
  </si>
  <si>
    <t>Estimate!!Total:!!Male:!!Management, business, science, and arts occupations:!!Management, business, and financial occupations:</t>
  </si>
  <si>
    <t>B24012_005</t>
  </si>
  <si>
    <t>Estimate!!Total:!!Male:!!Management, business, science, and arts occupations:!!Management, business, and financial occupations:!!Management occupations</t>
  </si>
  <si>
    <t>B24012_006</t>
  </si>
  <si>
    <t>Estimate!!Total:!!Male:!!Management, business, science, and arts occupations:!!Management, business, and financial occupations:!!Business and financial operations occupations</t>
  </si>
  <si>
    <t>B24012_007</t>
  </si>
  <si>
    <t>Estimate!!Total:!!Male:!!Management, business, science, and arts occupations:!!Computer, engineering, and science occupations:</t>
  </si>
  <si>
    <t>B24012_008</t>
  </si>
  <si>
    <t>Estimate!!Total:!!Male:!!Management, business, science, and arts occupations:!!Computer, engineering, and science occupations:!!Computer and mathematical occupations</t>
  </si>
  <si>
    <t>B24012_009</t>
  </si>
  <si>
    <t>Estimate!!Total:!!Male:!!Management, business, science, and arts occupations:!!Computer, engineering, and science occupations:!!Architecture and engineering occupations</t>
  </si>
  <si>
    <t>B24012_010</t>
  </si>
  <si>
    <t>Estimate!!Total:!!Male:!!Management, business, science, and arts occupations:!!Computer, engineering, and science occupations:!!Life, physical, and social science occupations</t>
  </si>
  <si>
    <t>B24012_011</t>
  </si>
  <si>
    <t>Estimate!!Total:!!Male:!!Management, business, science, and arts occupations:!!Education, legal, community service, arts, and media occupations:</t>
  </si>
  <si>
    <t>B24012_012</t>
  </si>
  <si>
    <t>Estimate!!Total:!!Male:!!Management, business, science, and arts occupations:!!Education, legal, community service, arts, and media occupations:!!Community and social service occupations</t>
  </si>
  <si>
    <t>B24012_013</t>
  </si>
  <si>
    <t>Estimate!!Total:!!Male:!!Management, business, science, and arts occupations:!!Education, legal, community service, arts, and media occupations:!!Legal occupations</t>
  </si>
  <si>
    <t>B24012_014</t>
  </si>
  <si>
    <t>Estimate!!Total:!!Male:!!Management, business, science, and arts occupations:!!Education, legal, community service, arts, and media occupations:!!Educational instruction, and library occupations</t>
  </si>
  <si>
    <t>B24012_015</t>
  </si>
  <si>
    <t>Estimate!!Total:!!Male:!!Management, business, science, and arts occupations:!!Education, legal, community service, arts, and media occupations:!!Arts, design, entertainment, sports, and media occupations</t>
  </si>
  <si>
    <t>B24012_016</t>
  </si>
  <si>
    <t>Estimate!!Total:!!Male:!!Management, business, science, and arts occupations:!!Healthcare practitioners and technical occupations:</t>
  </si>
  <si>
    <t>B24012_017</t>
  </si>
  <si>
    <t>Estimate!!Total:!!Male:!!Management, business, science, and arts occupations:!!Healthcare practitioners and technical occupations:!!Health diagnosing and treating practitioners and other technical occupations</t>
  </si>
  <si>
    <t>B24012_018</t>
  </si>
  <si>
    <t>Estimate!!Total:!!Male:!!Management, business, science, and arts occupations:!!Healthcare practitioners and technical occupations:!!Health technologists and technicians</t>
  </si>
  <si>
    <t>B24012_019</t>
  </si>
  <si>
    <t>Estimate!!Total:!!Male:!!Service occupations:</t>
  </si>
  <si>
    <t>B24012_020</t>
  </si>
  <si>
    <t>Estimate!!Total:!!Male:!!Service occupations:!!Healthcare support occupations</t>
  </si>
  <si>
    <t>B24012_021</t>
  </si>
  <si>
    <t>Estimate!!Total:!!Male:!!Service occupations:!!Protective service occupations:</t>
  </si>
  <si>
    <t>B24012_022</t>
  </si>
  <si>
    <t>Estimate!!Total:!!Male:!!Service occupations:!!Protective service occupations:!!Firefighting and prevention, and other protective service workers including supervisors</t>
  </si>
  <si>
    <t>B24012_023</t>
  </si>
  <si>
    <t>Estimate!!Total:!!Male:!!Service occupations:!!Protective service occupations:!!Law enforcement workers including supervisors</t>
  </si>
  <si>
    <t>B24012_024</t>
  </si>
  <si>
    <t>Estimate!!Total:!!Male:!!Service occupations:!!Food preparation and serving related occupations</t>
  </si>
  <si>
    <t>B24012_025</t>
  </si>
  <si>
    <t>Estimate!!Total:!!Male:!!Service occupations:!!Building and grounds cleaning and maintenance occupations</t>
  </si>
  <si>
    <t>B24012_026</t>
  </si>
  <si>
    <t>Estimate!!Total:!!Male:!!Service occupations:!!Personal care and service occupations</t>
  </si>
  <si>
    <t>B24012_027</t>
  </si>
  <si>
    <t>Estimate!!Total:!!Male:!!Sales and office occupations:</t>
  </si>
  <si>
    <t>B24012_028</t>
  </si>
  <si>
    <t>Estimate!!Total:!!Male:!!Sales and office occupations:!!Sales and related occupations</t>
  </si>
  <si>
    <t>B24012_029</t>
  </si>
  <si>
    <t>Estimate!!Total:!!Male:!!Sales and office occupations:!!Office and administrative support occupations</t>
  </si>
  <si>
    <t>B24012_030</t>
  </si>
  <si>
    <t>Estimate!!Total:!!Male:!!Natural resources, construction, and maintenance occupations:</t>
  </si>
  <si>
    <t>B24012_031</t>
  </si>
  <si>
    <t>Estimate!!Total:!!Male:!!Natural resources, construction, and maintenance occupations:!!Farming, fishing, and forestry occupations</t>
  </si>
  <si>
    <t>B24012_032</t>
  </si>
  <si>
    <t>Estimate!!Total:!!Male:!!Natural resources, construction, and maintenance occupations:!!Construction and extraction occupations</t>
  </si>
  <si>
    <t>B24012_033</t>
  </si>
  <si>
    <t>Estimate!!Total:!!Male:!!Natural resources, construction, and maintenance occupations:!!Installation, maintenance, and repair occupations</t>
  </si>
  <si>
    <t>B24012_034</t>
  </si>
  <si>
    <t>Estimate!!Total:!!Male:!!Production, transportation, and material moving occupations:</t>
  </si>
  <si>
    <t>B24012_035</t>
  </si>
  <si>
    <t>Estimate!!Total:!!Male:!!Production, transportation, and material moving occupations:!!Production occupations</t>
  </si>
  <si>
    <t>B24012_036</t>
  </si>
  <si>
    <t>Estimate!!Total:!!Male:!!Production, transportation, and material moving occupations:!!Transportation occupations</t>
  </si>
  <si>
    <t>B24012_037</t>
  </si>
  <si>
    <t>Estimate!!Total:!!Male:!!Production, transportation, and material moving occupations:!!Material moving occupations</t>
  </si>
  <si>
    <t>B24012_038</t>
  </si>
  <si>
    <t>B24012_039</t>
  </si>
  <si>
    <t>Estimate!!Total:!!Female:!!Management, business, science, and arts occupations:</t>
  </si>
  <si>
    <t>B24012_040</t>
  </si>
  <si>
    <t>Estimate!!Total:!!Female:!!Management, business, science, and arts occupations:!!Management, business, and financial occupations:</t>
  </si>
  <si>
    <t>B24012_041</t>
  </si>
  <si>
    <t>Estimate!!Total:!!Female:!!Management, business, science, and arts occupations:!!Management, business, and financial occupations:!!Management occupations</t>
  </si>
  <si>
    <t>B24012_042</t>
  </si>
  <si>
    <t>Estimate!!Total:!!Female:!!Management, business, science, and arts occupations:!!Management, business, and financial occupations:!!Business and financial operations occupations</t>
  </si>
  <si>
    <t>B24012_043</t>
  </si>
  <si>
    <t>Estimate!!Total:!!Female:!!Management, business, science, and arts occupations:!!Computer, engineering, and science occupations:</t>
  </si>
  <si>
    <t>B24012_044</t>
  </si>
  <si>
    <t>Estimate!!Total:!!Female:!!Management, business, science, and arts occupations:!!Computer, engineering, and science occupations:!!Computer and mathematical occupations</t>
  </si>
  <si>
    <t>B24012_045</t>
  </si>
  <si>
    <t>Estimate!!Total:!!Female:!!Management, business, science, and arts occupations:!!Computer, engineering, and science occupations:!!Architecture and engineering occupations</t>
  </si>
  <si>
    <t>B24012_046</t>
  </si>
  <si>
    <t>Estimate!!Total:!!Female:!!Management, business, science, and arts occupations:!!Computer, engineering, and science occupations:!!Life, physical, and social science occupations</t>
  </si>
  <si>
    <t>B24012_047</t>
  </si>
  <si>
    <t>Estimate!!Total:!!Female:!!Management, business, science, and arts occupations:!!Education, legal, community service, arts, and media occupations:</t>
  </si>
  <si>
    <t>B24012_048</t>
  </si>
  <si>
    <t>Estimate!!Total:!!Female:!!Management, business, science, and arts occupations:!!Education, legal, community service, arts, and media occupations:!!Community and social service occupations</t>
  </si>
  <si>
    <t>B24012_049</t>
  </si>
  <si>
    <t>Estimate!!Total:!!Female:!!Management, business, science, and arts occupations:!!Education, legal, community service, arts, and media occupations:!!Legal occupations</t>
  </si>
  <si>
    <t>B24012_050</t>
  </si>
  <si>
    <t>Estimate!!Total:!!Female:!!Management, business, science, and arts occupations:!!Education, legal, community service, arts, and media occupations:!!Educational instruction, and library occupations</t>
  </si>
  <si>
    <t>B24012_051</t>
  </si>
  <si>
    <t>Estimate!!Total:!!Female:!!Management, business, science, and arts occupations:!!Education, legal, community service, arts, and media occupations:!!Arts, design, entertainment, sports, and media occupations</t>
  </si>
  <si>
    <t>B24012_052</t>
  </si>
  <si>
    <t>Estimate!!Total:!!Female:!!Management, business, science, and arts occupations:!!Healthcare practitioners and technical occupations:</t>
  </si>
  <si>
    <t>B24012_053</t>
  </si>
  <si>
    <t>Estimate!!Total:!!Female:!!Management, business, science, and arts occupations:!!Healthcare practitioners and technical occupations:!!Health diagnosing and treating practitioners and other technical occupations</t>
  </si>
  <si>
    <t>B24012_054</t>
  </si>
  <si>
    <t>Estimate!!Total:!!Female:!!Management, business, science, and arts occupations:!!Healthcare practitioners and technical occupations:!!Health technologists and technicians</t>
  </si>
  <si>
    <t>B24012_055</t>
  </si>
  <si>
    <t>Estimate!!Total:!!Female:!!Service occupations:</t>
  </si>
  <si>
    <t>B24012_056</t>
  </si>
  <si>
    <t>Estimate!!Total:!!Female:!!Service occupations:!!Healthcare support occupations</t>
  </si>
  <si>
    <t>B24012_057</t>
  </si>
  <si>
    <t>Estimate!!Total:!!Female:!!Service occupations:!!Protective service occupations:</t>
  </si>
  <si>
    <t>B24012_058</t>
  </si>
  <si>
    <t>Estimate!!Total:!!Female:!!Service occupations:!!Protective service occupations:!!Firefighting and prevention, and other protective service workers including supervisors</t>
  </si>
  <si>
    <t>B24012_059</t>
  </si>
  <si>
    <t>Estimate!!Total:!!Female:!!Service occupations:!!Protective service occupations:!!Law enforcement workers including supervisors</t>
  </si>
  <si>
    <t>B24012_060</t>
  </si>
  <si>
    <t>Estimate!!Total:!!Female:!!Service occupations:!!Food preparation and serving related occupations</t>
  </si>
  <si>
    <t>B24012_061</t>
  </si>
  <si>
    <t>Estimate!!Total:!!Female:!!Service occupations:!!Building and grounds cleaning and maintenance occupations</t>
  </si>
  <si>
    <t>B24012_062</t>
  </si>
  <si>
    <t>Estimate!!Total:!!Female:!!Service occupations:!!Personal care and service occupations</t>
  </si>
  <si>
    <t>B24012_063</t>
  </si>
  <si>
    <t>Estimate!!Total:!!Female:!!Sales and office occupations:</t>
  </si>
  <si>
    <t>B24012_064</t>
  </si>
  <si>
    <t>Estimate!!Total:!!Female:!!Sales and office occupations:!!Sales and related occupations</t>
  </si>
  <si>
    <t>B24012_065</t>
  </si>
  <si>
    <t>Estimate!!Total:!!Female:!!Sales and office occupations:!!Office and administrative support occupations</t>
  </si>
  <si>
    <t>B24012_066</t>
  </si>
  <si>
    <t>Estimate!!Total:!!Female:!!Natural resources, construction, and maintenance occupations:</t>
  </si>
  <si>
    <t>B24012_067</t>
  </si>
  <si>
    <t>Estimate!!Total:!!Female:!!Natural resources, construction, and maintenance occupations:!!Farming, fishing, and forestry occupations</t>
  </si>
  <si>
    <t>B24012_068</t>
  </si>
  <si>
    <t>Estimate!!Total:!!Female:!!Natural resources, construction, and maintenance occupations:!!Construction and extraction occupations</t>
  </si>
  <si>
    <t>B24012_069</t>
  </si>
  <si>
    <t>Estimate!!Total:!!Female:!!Natural resources, construction, and maintenance occupations:!!Installation, maintenance, and repair occupations</t>
  </si>
  <si>
    <t>B24012_070</t>
  </si>
  <si>
    <t>Estimate!!Total:!!Female:!!Production, transportation, and material moving occupations:</t>
  </si>
  <si>
    <t>B24012_071</t>
  </si>
  <si>
    <t>Estimate!!Total:!!Female:!!Production, transportation, and material moving occupations:!!Production occupations</t>
  </si>
  <si>
    <t>B24012_072</t>
  </si>
  <si>
    <t>Estimate!!Total:!!Female:!!Production, transportation, and material moving occupations:!!Transportation occupations</t>
  </si>
  <si>
    <t>B24012_073</t>
  </si>
  <si>
    <t>Estimate!!Total:!!Female:!!Production, transportation, and material moving occupations:!!Material moving occupations</t>
  </si>
  <si>
    <t>B24021_002</t>
  </si>
  <si>
    <t>B24021_003</t>
  </si>
  <si>
    <t>B24021_004</t>
  </si>
  <si>
    <t>B24021_005</t>
  </si>
  <si>
    <t>B24021_006</t>
  </si>
  <si>
    <t>B24021_007</t>
  </si>
  <si>
    <t>B24021_008</t>
  </si>
  <si>
    <t>B24021_009</t>
  </si>
  <si>
    <t>B24021_010</t>
  </si>
  <si>
    <t>B24021_011</t>
  </si>
  <si>
    <t>B24021_012</t>
  </si>
  <si>
    <t>B24021_013</t>
  </si>
  <si>
    <t>B24021_014</t>
  </si>
  <si>
    <t>B24021_015</t>
  </si>
  <si>
    <t>B24021_016</t>
  </si>
  <si>
    <t>B24021_017</t>
  </si>
  <si>
    <t>B24021_018</t>
  </si>
  <si>
    <t>B24021_019</t>
  </si>
  <si>
    <t>B24021_020</t>
  </si>
  <si>
    <t>B24021_021</t>
  </si>
  <si>
    <t>B24021_022</t>
  </si>
  <si>
    <t>B24021_023</t>
  </si>
  <si>
    <t>B24021_024</t>
  </si>
  <si>
    <t>B24021_025</t>
  </si>
  <si>
    <t>B24021_026</t>
  </si>
  <si>
    <t>B24021_027</t>
  </si>
  <si>
    <t>B24021_028</t>
  </si>
  <si>
    <t>B24021_029</t>
  </si>
  <si>
    <t>B24021_030</t>
  </si>
  <si>
    <t>B24021_031</t>
  </si>
  <si>
    <t>B24021_032</t>
  </si>
  <si>
    <t>B24021_033</t>
  </si>
  <si>
    <t>B24021_034</t>
  </si>
  <si>
    <t>B24021_035</t>
  </si>
  <si>
    <t>B24021_036</t>
  </si>
  <si>
    <t>B24022_002</t>
  </si>
  <si>
    <t>B24022_003</t>
  </si>
  <si>
    <t>B24022_004</t>
  </si>
  <si>
    <t>B24022_005</t>
  </si>
  <si>
    <t>B24022_006</t>
  </si>
  <si>
    <t>B24022_007</t>
  </si>
  <si>
    <t>B24022_008</t>
  </si>
  <si>
    <t>B24022_009</t>
  </si>
  <si>
    <t>B24022_010</t>
  </si>
  <si>
    <t>B24022_011</t>
  </si>
  <si>
    <t>B24022_012</t>
  </si>
  <si>
    <t>B24022_013</t>
  </si>
  <si>
    <t>B24022_014</t>
  </si>
  <si>
    <t>B24022_015</t>
  </si>
  <si>
    <t>B24022_016</t>
  </si>
  <si>
    <t>B24022_017</t>
  </si>
  <si>
    <t>B24022_018</t>
  </si>
  <si>
    <t>B24022_019</t>
  </si>
  <si>
    <t>B24022_020</t>
  </si>
  <si>
    <t>B24022_021</t>
  </si>
  <si>
    <t>B24022_022</t>
  </si>
  <si>
    <t>B24022_023</t>
  </si>
  <si>
    <t>B24022_024</t>
  </si>
  <si>
    <t>B24022_025</t>
  </si>
  <si>
    <t>B24022_026</t>
  </si>
  <si>
    <t>B24022_027</t>
  </si>
  <si>
    <t>B24022_028</t>
  </si>
  <si>
    <t>B24022_029</t>
  </si>
  <si>
    <t>B24022_030</t>
  </si>
  <si>
    <t>B24022_031</t>
  </si>
  <si>
    <t>B24022_032</t>
  </si>
  <si>
    <t>B24022_033</t>
  </si>
  <si>
    <t>B24022_034</t>
  </si>
  <si>
    <t>B24022_035</t>
  </si>
  <si>
    <t>B24022_036</t>
  </si>
  <si>
    <t>B24022_037</t>
  </si>
  <si>
    <t>B24022_038</t>
  </si>
  <si>
    <t>B24022_039</t>
  </si>
  <si>
    <t>B24022_040</t>
  </si>
  <si>
    <t>B24022_041</t>
  </si>
  <si>
    <t>B24022_042</t>
  </si>
  <si>
    <t>B24022_043</t>
  </si>
  <si>
    <t>B24022_044</t>
  </si>
  <si>
    <t>B24022_045</t>
  </si>
  <si>
    <t>B24022_046</t>
  </si>
  <si>
    <t>B24022_047</t>
  </si>
  <si>
    <t>B24022_048</t>
  </si>
  <si>
    <t>B24022_049</t>
  </si>
  <si>
    <t>B24022_050</t>
  </si>
  <si>
    <t>B24022_051</t>
  </si>
  <si>
    <t>B24022_052</t>
  </si>
  <si>
    <t>B24022_053</t>
  </si>
  <si>
    <t>B24022_054</t>
  </si>
  <si>
    <t>B24022_055</t>
  </si>
  <si>
    <t>B24022_056</t>
  </si>
  <si>
    <t>B24022_057</t>
  </si>
  <si>
    <t>B24022_058</t>
  </si>
  <si>
    <t>B24022_059</t>
  </si>
  <si>
    <t>B24022_060</t>
  </si>
  <si>
    <t>B24022_061</t>
  </si>
  <si>
    <t>B24022_062</t>
  </si>
  <si>
    <t>B24022_063</t>
  </si>
  <si>
    <t>B24022_064</t>
  </si>
  <si>
    <t>B24022_065</t>
  </si>
  <si>
    <t>B24022_066</t>
  </si>
  <si>
    <t>B24022_067</t>
  </si>
  <si>
    <t>B24022_068</t>
  </si>
  <si>
    <t>B24022_069</t>
  </si>
  <si>
    <t>B24022_070</t>
  </si>
  <si>
    <t>B24022_071</t>
  </si>
  <si>
    <t>B24022_072</t>
  </si>
  <si>
    <t>B24022_073</t>
  </si>
  <si>
    <t>B24031_002</t>
  </si>
  <si>
    <t>Estimate!!Total:!!Agriculture, forestry, fishing and hunting, and mining:</t>
  </si>
  <si>
    <t>B24031_003</t>
  </si>
  <si>
    <t>Estimate!!Total:!!Agriculture, forestry, fishing and hunting, and mining:!!Agriculture, forestry, fishing and hunting</t>
  </si>
  <si>
    <t>B24031_004</t>
  </si>
  <si>
    <t>Estimate!!Total:!!Agriculture, forestry, fishing and hunting, and mining:!!Mining, quarrying, and oil and gas extraction</t>
  </si>
  <si>
    <t>B24031_005</t>
  </si>
  <si>
    <t>B24031_006</t>
  </si>
  <si>
    <t>B24031_007</t>
  </si>
  <si>
    <t>B24031_008</t>
  </si>
  <si>
    <t>B24031_009</t>
  </si>
  <si>
    <t>Estimate!!Total:!!Transportation and warehousing, and utilities:</t>
  </si>
  <si>
    <t>B24031_010</t>
  </si>
  <si>
    <t>Estimate!!Total:!!Transportation and warehousing, and utilities:!!Transportation and warehousing</t>
  </si>
  <si>
    <t>B24031_011</t>
  </si>
  <si>
    <t>Estimate!!Total:!!Transportation and warehousing, and utilities:!!Utilities</t>
  </si>
  <si>
    <t>B24031_012</t>
  </si>
  <si>
    <t>B24031_013</t>
  </si>
  <si>
    <t>Estimate!!Total:!!Finance and insurance, and real estate, and rental and leasing:</t>
  </si>
  <si>
    <t>B24031_014</t>
  </si>
  <si>
    <t>Estimate!!Total:!!Finance and insurance, and real estate, and rental and leasing:!!Finance and insurance</t>
  </si>
  <si>
    <t>B24031_015</t>
  </si>
  <si>
    <t>Estimate!!Total:!!Finance and insurance, and real estate, and rental and leasing:!!Real estate and rental and leasing</t>
  </si>
  <si>
    <t>B24031_016</t>
  </si>
  <si>
    <t>Estimate!!Total:!!Professional, scientific, and management, and administrative, and waste management services:</t>
  </si>
  <si>
    <t>B24031_017</t>
  </si>
  <si>
    <t>Estimate!!Total:!!Professional, scientific, and management, and administrative, and waste management services:!!Professional, scientific, and technical services</t>
  </si>
  <si>
    <t>B24031_018</t>
  </si>
  <si>
    <t>Estimate!!Total:!!Professional, scientific, and management, and administrative, and waste management services:!!Management of companies and enterprises</t>
  </si>
  <si>
    <t>B24031_019</t>
  </si>
  <si>
    <t>Estimate!!Total:!!Professional, scientific, and management, and administrative, and waste management services:!!Administrative and support and waste management services</t>
  </si>
  <si>
    <t>B24031_020</t>
  </si>
  <si>
    <t>Estimate!!Total:!!Educational services, and health care and social assistance:</t>
  </si>
  <si>
    <t>B24031_021</t>
  </si>
  <si>
    <t>Estimate!!Total:!!Educational services, and health care and social assistance:!!Educational services</t>
  </si>
  <si>
    <t>B24031_022</t>
  </si>
  <si>
    <t>Estimate!!Total:!!Educational services, and health care and social assistance:!!Health care and social assistance</t>
  </si>
  <si>
    <t>B24031_023</t>
  </si>
  <si>
    <t>Estimate!!Total:!!Arts, entertainment, and recreation, and accommodation and food services:</t>
  </si>
  <si>
    <t>B24031_024</t>
  </si>
  <si>
    <t>Estimate!!Total:!!Arts, entertainment, and recreation, and accommodation and food services:!!Arts, entertainment, and recreation</t>
  </si>
  <si>
    <t>B24031_025</t>
  </si>
  <si>
    <t>Estimate!!Total:!!Arts, entertainment, and recreation, and accommodation and food services:!!Accommodation and food services</t>
  </si>
  <si>
    <t>B24031_026</t>
  </si>
  <si>
    <t>Estimate!!Total:!!Other services, except public administration</t>
  </si>
  <si>
    <t>B24031_027</t>
  </si>
  <si>
    <t>B24032_002</t>
  </si>
  <si>
    <t>Estimate!!Male:!!Agriculture, forestry, fishing and hunting, and mining:</t>
  </si>
  <si>
    <t>B24032_003</t>
  </si>
  <si>
    <t>Estimate!!Male:!!Agriculture, forestry, fishing and hunting, and mining:!!Agriculture, forestry, fishing and hunting</t>
  </si>
  <si>
    <t>B24032_004</t>
  </si>
  <si>
    <t>Estimate!!Male:!!Agriculture, forestry, fishing and hunting, and mining:!!Mining, quarrying, and oil and gas extraction</t>
  </si>
  <si>
    <t>B24032_005</t>
  </si>
  <si>
    <t>Estimate!!Male:!!Construction</t>
  </si>
  <si>
    <t>B24032_006</t>
  </si>
  <si>
    <t>Estimate!!Male:!!Manufacturing</t>
  </si>
  <si>
    <t>B24032_007</t>
  </si>
  <si>
    <t>Estimate!!Male:!!Wholesale trade</t>
  </si>
  <si>
    <t>B24032_008</t>
  </si>
  <si>
    <t>Estimate!!Male:!!Retail trade</t>
  </si>
  <si>
    <t>B24032_009</t>
  </si>
  <si>
    <t>Estimate!!Male:!!Transportation and warehousing, and utilities:</t>
  </si>
  <si>
    <t>B24032_010</t>
  </si>
  <si>
    <t>Estimate!!Male:!!Transportation and warehousing, and utilities:!!Transportation and warehousing</t>
  </si>
  <si>
    <t>B24032_011</t>
  </si>
  <si>
    <t>Estimate!!Male:!!Transportation and warehousing, and utilities:!!Utilities</t>
  </si>
  <si>
    <t>B24032_012</t>
  </si>
  <si>
    <t>Estimate!!Male:!!Information</t>
  </si>
  <si>
    <t>B24032_013</t>
  </si>
  <si>
    <t>Estimate!!Male:!!Finance and insurance, and real estate, and rental and leasing:</t>
  </si>
  <si>
    <t>B24032_014</t>
  </si>
  <si>
    <t>Estimate!!Male:!!Finance and insurance, and real estate, and rental and leasing:!!Finance and insurance</t>
  </si>
  <si>
    <t>B24032_015</t>
  </si>
  <si>
    <t>Estimate!!Male:!!Finance and insurance, and real estate, and rental and leasing:!!Real estate and rental and leasing</t>
  </si>
  <si>
    <t>B24032_016</t>
  </si>
  <si>
    <t>Estimate!!Male:!!Professional, scientific, and management, and administrative, and waste management services:</t>
  </si>
  <si>
    <t>B24032_017</t>
  </si>
  <si>
    <t>Estimate!!Male:!!Professional, scientific, and management, and administrative, and waste management services:!!Professional, scientific, and technical services</t>
  </si>
  <si>
    <t>B24032_018</t>
  </si>
  <si>
    <t>Estimate!!Male:!!Professional, scientific, and management, and administrative, and waste management services:!!Management of companies and enterprises</t>
  </si>
  <si>
    <t>B24032_019</t>
  </si>
  <si>
    <t>Estimate!!Male:!!Professional, scientific, and management, and administrative, and waste management services:!!Administrative and support and waste management services</t>
  </si>
  <si>
    <t>B24032_020</t>
  </si>
  <si>
    <t>Estimate!!Male:!!Educational services, and health care and social assistance:</t>
  </si>
  <si>
    <t>B24032_021</t>
  </si>
  <si>
    <t>Estimate!!Male:!!Educational services, and health care and social assistance:!!Educational services</t>
  </si>
  <si>
    <t>B24032_022</t>
  </si>
  <si>
    <t>Estimate!!Male:!!Educational services, and health care and social assistance:!!Health care and social assistance</t>
  </si>
  <si>
    <t>B24032_023</t>
  </si>
  <si>
    <t>Estimate!!Male:!!Arts, entertainment, and recreation, and accommodation and food services:</t>
  </si>
  <si>
    <t>B24032_024</t>
  </si>
  <si>
    <t>Estimate!!Male:!!Arts, entertainment, and recreation, and accommodation and food services:!!Arts, entertainment, and recreation</t>
  </si>
  <si>
    <t>B24032_025</t>
  </si>
  <si>
    <t>Estimate!!Male:!!Arts, entertainment, and recreation, and accommodation and food services:!!Accommodation and food services</t>
  </si>
  <si>
    <t>B24032_026</t>
  </si>
  <si>
    <t>Estimate!!Male:!!Other services, except public administration</t>
  </si>
  <si>
    <t>B24032_027</t>
  </si>
  <si>
    <t>Estimate!!Male:!!Public administration</t>
  </si>
  <si>
    <t>B24032_028</t>
  </si>
  <si>
    <t>Estimate!!Female:</t>
  </si>
  <si>
    <t>B24032_029</t>
  </si>
  <si>
    <t>Estimate!!Female:!!Agriculture, forestry, fishing and hunting, and mining:</t>
  </si>
  <si>
    <t>B24032_030</t>
  </si>
  <si>
    <t>Estimate!!Female:!!Agriculture, forestry, fishing and hunting, and mining:!!Agriculture, forestry, fishing and hunting</t>
  </si>
  <si>
    <t>B24032_031</t>
  </si>
  <si>
    <t>Estimate!!Female:!!Agriculture, forestry, fishing and hunting, and mining:!!Mining, quarrying, and oil and gas extraction</t>
  </si>
  <si>
    <t>B24032_032</t>
  </si>
  <si>
    <t>Estimate!!Female:!!Construction</t>
  </si>
  <si>
    <t>B24032_033</t>
  </si>
  <si>
    <t>Estimate!!Female:!!Manufacturing</t>
  </si>
  <si>
    <t>B24032_034</t>
  </si>
  <si>
    <t>Estimate!!Female:!!Wholesale trade</t>
  </si>
  <si>
    <t>B24032_035</t>
  </si>
  <si>
    <t>Estimate!!Female:!!Retail trade</t>
  </si>
  <si>
    <t>B24032_036</t>
  </si>
  <si>
    <t>Estimate!!Female:!!Transportation and warehousing, and utilities:</t>
  </si>
  <si>
    <t>B24032_037</t>
  </si>
  <si>
    <t>Estimate!!Female:!!Transportation and warehousing, and utilities:!!Transportation and warehousing</t>
  </si>
  <si>
    <t>B24032_038</t>
  </si>
  <si>
    <t>Estimate!!Female:!!Transportation and warehousing, and utilities:!!Utilities</t>
  </si>
  <si>
    <t>B24032_039</t>
  </si>
  <si>
    <t>Estimate!!Female:!!Information</t>
  </si>
  <si>
    <t>B24032_040</t>
  </si>
  <si>
    <t>Estimate!!Female:!!Finance and insurance, and real estate, and rental and leasing:</t>
  </si>
  <si>
    <t>B24032_041</t>
  </si>
  <si>
    <t>Estimate!!Female:!!Finance and insurance, and real estate, and rental and leasing:!!Finance and insurance</t>
  </si>
  <si>
    <t>B24032_042</t>
  </si>
  <si>
    <t>Estimate!!Female:!!Finance and insurance, and real estate, and rental and leasing:!!Real estate and rental and leasing</t>
  </si>
  <si>
    <t>B24032_043</t>
  </si>
  <si>
    <t>Estimate!!Female:!!Professional, scientific, and management, and administrative, and waste management services:</t>
  </si>
  <si>
    <t>B24032_044</t>
  </si>
  <si>
    <t>Estimate!!Female:!!Professional, scientific, and management, and administrative, and waste management services:!!Professional, scientific, and technical services</t>
  </si>
  <si>
    <t>B24032_045</t>
  </si>
  <si>
    <t>Estimate!!Female:!!Professional, scientific, and management, and administrative, and waste management services:!!Management of companies and enterprises</t>
  </si>
  <si>
    <t>B24032_046</t>
  </si>
  <si>
    <t>Estimate!!Female:!!Professional, scientific, and management, and administrative, and waste management services:!!Administrative and support and waste management services</t>
  </si>
  <si>
    <t>B24032_047</t>
  </si>
  <si>
    <t>Estimate!!Female:!!Educational services, and health care and social assistance:</t>
  </si>
  <si>
    <t>B24032_048</t>
  </si>
  <si>
    <t>Estimate!!Female:!!Educational services, and health care and social assistance:!!Educational services</t>
  </si>
  <si>
    <t>B24032_049</t>
  </si>
  <si>
    <t>Estimate!!Female:!!Educational services, and health care and social assistance:!!Health care and social assistance</t>
  </si>
  <si>
    <t>B24032_050</t>
  </si>
  <si>
    <t>Estimate!!Female:!!Arts, entertainment, and recreation, and accommodation and food services:</t>
  </si>
  <si>
    <t>B24032_051</t>
  </si>
  <si>
    <t>Estimate!!Female:!!Arts, entertainment, and recreation, and accommodation and food services:!!Arts, entertainment, and recreation</t>
  </si>
  <si>
    <t>B24032_052</t>
  </si>
  <si>
    <t>Estimate!!Female:!!Arts, entertainment, and recreation, and accommodation and food services:!!Accommodation and food services</t>
  </si>
  <si>
    <t>B24032_053</t>
  </si>
  <si>
    <t>Estimate!!Female:!!Other services, except public administration</t>
  </si>
  <si>
    <t>B24032_054</t>
  </si>
  <si>
    <t>Estimate!!Female:!!Public administration</t>
  </si>
  <si>
    <t>B24041_002</t>
  </si>
  <si>
    <t>B24041_003</t>
  </si>
  <si>
    <t>B24041_004</t>
  </si>
  <si>
    <t>B24041_005</t>
  </si>
  <si>
    <t>B24041_006</t>
  </si>
  <si>
    <t>B24041_007</t>
  </si>
  <si>
    <t>B24041_008</t>
  </si>
  <si>
    <t>B24041_009</t>
  </si>
  <si>
    <t>B24041_010</t>
  </si>
  <si>
    <t>B24041_011</t>
  </si>
  <si>
    <t>B24041_012</t>
  </si>
  <si>
    <t>B24041_013</t>
  </si>
  <si>
    <t>B24041_014</t>
  </si>
  <si>
    <t>B24041_015</t>
  </si>
  <si>
    <t>B24041_016</t>
  </si>
  <si>
    <t>B24041_017</t>
  </si>
  <si>
    <t>B24041_018</t>
  </si>
  <si>
    <t>B24041_019</t>
  </si>
  <si>
    <t>B24041_020</t>
  </si>
  <si>
    <t>B24041_021</t>
  </si>
  <si>
    <t>B24041_022</t>
  </si>
  <si>
    <t>B24041_023</t>
  </si>
  <si>
    <t>B24041_024</t>
  </si>
  <si>
    <t>B24041_025</t>
  </si>
  <si>
    <t>B24041_026</t>
  </si>
  <si>
    <t>B24041_027</t>
  </si>
  <si>
    <t>B24042_002</t>
  </si>
  <si>
    <t>B24042_003</t>
  </si>
  <si>
    <t>B24042_004</t>
  </si>
  <si>
    <t>B24042_005</t>
  </si>
  <si>
    <t>B24042_006</t>
  </si>
  <si>
    <t>B24042_007</t>
  </si>
  <si>
    <t>B24042_008</t>
  </si>
  <si>
    <t>B24042_009</t>
  </si>
  <si>
    <t>B24042_010</t>
  </si>
  <si>
    <t>B24042_011</t>
  </si>
  <si>
    <t>B24042_012</t>
  </si>
  <si>
    <t>B24042_013</t>
  </si>
  <si>
    <t>B24042_014</t>
  </si>
  <si>
    <t>B24042_015</t>
  </si>
  <si>
    <t>B24042_016</t>
  </si>
  <si>
    <t>B24042_017</t>
  </si>
  <si>
    <t>B24042_018</t>
  </si>
  <si>
    <t>B24042_019</t>
  </si>
  <si>
    <t>B24042_020</t>
  </si>
  <si>
    <t>B24042_021</t>
  </si>
  <si>
    <t>B24042_022</t>
  </si>
  <si>
    <t>B24042_023</t>
  </si>
  <si>
    <t>B24042_024</t>
  </si>
  <si>
    <t>B24042_025</t>
  </si>
  <si>
    <t>B24042_026</t>
  </si>
  <si>
    <t>B24042_027</t>
  </si>
  <si>
    <t>B24042_028</t>
  </si>
  <si>
    <t>B24042_029</t>
  </si>
  <si>
    <t>B24042_030</t>
  </si>
  <si>
    <t>B24042_031</t>
  </si>
  <si>
    <t>B24042_032</t>
  </si>
  <si>
    <t>B24042_033</t>
  </si>
  <si>
    <t>B24042_034</t>
  </si>
  <si>
    <t>B24042_035</t>
  </si>
  <si>
    <t>B24042_036</t>
  </si>
  <si>
    <t>B24042_037</t>
  </si>
  <si>
    <t>B24042_038</t>
  </si>
  <si>
    <t>B24042_039</t>
  </si>
  <si>
    <t>B24042_040</t>
  </si>
  <si>
    <t>B24042_041</t>
  </si>
  <si>
    <t>B24042_042</t>
  </si>
  <si>
    <t>B24042_043</t>
  </si>
  <si>
    <t>B24042_044</t>
  </si>
  <si>
    <t>B24042_045</t>
  </si>
  <si>
    <t>B24042_046</t>
  </si>
  <si>
    <t>B24042_047</t>
  </si>
  <si>
    <t>B24042_048</t>
  </si>
  <si>
    <t>B24042_049</t>
  </si>
  <si>
    <t>B24042_050</t>
  </si>
  <si>
    <t>B24042_051</t>
  </si>
  <si>
    <t>B24042_052</t>
  </si>
  <si>
    <t>B24042_053</t>
  </si>
  <si>
    <t>B24042_054</t>
  </si>
  <si>
    <t>B24080_002</t>
  </si>
  <si>
    <t>B24080_003</t>
  </si>
  <si>
    <t>Estimate!!Total:!!Male:!!Private for-profit wage and salary workers:</t>
  </si>
  <si>
    <t>B24080_004</t>
  </si>
  <si>
    <t>Estimate!!Total:!!Male:!!Private for-profit wage and salary workers:!!Employee of private company workers</t>
  </si>
  <si>
    <t>B24080_005</t>
  </si>
  <si>
    <t>Estimate!!Total:!!Male:!!Private for-profit wage and salary workers:!!Self-employed in own incorporated business workers</t>
  </si>
  <si>
    <t>B24080_006</t>
  </si>
  <si>
    <t>Estimate!!Total:!!Male:!!Private not-for-profit wage and salary workers</t>
  </si>
  <si>
    <t>B24080_007</t>
  </si>
  <si>
    <t>Estimate!!Total:!!Male:!!Local government workers</t>
  </si>
  <si>
    <t>B24080_008</t>
  </si>
  <si>
    <t>Estimate!!Total:!!Male:!!State government workers</t>
  </si>
  <si>
    <t>B24080_009</t>
  </si>
  <si>
    <t>Estimate!!Total:!!Male:!!Federal government workers</t>
  </si>
  <si>
    <t>B24080_010</t>
  </si>
  <si>
    <t>Estimate!!Total:!!Male:!!Self-employed in own not incorporated business workers</t>
  </si>
  <si>
    <t>B24080_011</t>
  </si>
  <si>
    <t>Estimate!!Total:!!Male:!!Unpaid family workers</t>
  </si>
  <si>
    <t>B24080_012</t>
  </si>
  <si>
    <t>B24080_013</t>
  </si>
  <si>
    <t>Estimate!!Total:!!Female:!!Private for-profit wage and salary workers:</t>
  </si>
  <si>
    <t>B24080_014</t>
  </si>
  <si>
    <t>Estimate!!Total:!!Female:!!Private for-profit wage and salary workers:!!Employee of private company workers</t>
  </si>
  <si>
    <t>B24080_015</t>
  </si>
  <si>
    <t>Estimate!!Total:!!Female:!!Private for-profit wage and salary workers:!!Self-employed in own incorporated business workers</t>
  </si>
  <si>
    <t>B24080_016</t>
  </si>
  <si>
    <t>Estimate!!Total:!!Female:!!Private not-for-profit wage and salary workers</t>
  </si>
  <si>
    <t>B24080_017</t>
  </si>
  <si>
    <t>Estimate!!Total:!!Female:!!Local government workers</t>
  </si>
  <si>
    <t>B24080_018</t>
  </si>
  <si>
    <t>Estimate!!Total:!!Female:!!State government workers</t>
  </si>
  <si>
    <t>B24080_019</t>
  </si>
  <si>
    <t>Estimate!!Total:!!Female:!!Federal government workers</t>
  </si>
  <si>
    <t>B24080_020</t>
  </si>
  <si>
    <t>Estimate!!Total:!!Female:!!Self-employed in own not incorporated business workers</t>
  </si>
  <si>
    <t>B24080_021</t>
  </si>
  <si>
    <t>Estimate!!Total:!!Female:!!Unpaid family workers</t>
  </si>
  <si>
    <t>B24081_002</t>
  </si>
  <si>
    <t>B24081_003</t>
  </si>
  <si>
    <t>B24081_004</t>
  </si>
  <si>
    <t>B24081_005</t>
  </si>
  <si>
    <t>B24081_006</t>
  </si>
  <si>
    <t>B24081_007</t>
  </si>
  <si>
    <t>B24081_008</t>
  </si>
  <si>
    <t>B24081_009</t>
  </si>
  <si>
    <t>Estimate!!Total:!!Self-employed in own not incorporated business workers and unpaid family workers</t>
  </si>
  <si>
    <t>B24082_002</t>
  </si>
  <si>
    <t>Estimate!!Male:!!Private for-profit wage and salary workers:</t>
  </si>
  <si>
    <t>B24082_003</t>
  </si>
  <si>
    <t>Estimate!!Male:!!Private for-profit wage and salary workers:!!Employee of private company workers</t>
  </si>
  <si>
    <t>B24082_004</t>
  </si>
  <si>
    <t>Estimate!!Male:!!Private for-profit wage and salary workers:!!Self-employed in own incorporated business workers</t>
  </si>
  <si>
    <t>B24082_005</t>
  </si>
  <si>
    <t>Estimate!!Male:!!Private not-for-profit wage and salary workers</t>
  </si>
  <si>
    <t>B24082_006</t>
  </si>
  <si>
    <t>Estimate!!Male:!!Local government workers</t>
  </si>
  <si>
    <t>B24082_007</t>
  </si>
  <si>
    <t>Estimate!!Male:!!State government workers</t>
  </si>
  <si>
    <t>B24082_008</t>
  </si>
  <si>
    <t>Estimate!!Male:!!Federal government workers</t>
  </si>
  <si>
    <t>B24082_009</t>
  </si>
  <si>
    <t>Estimate!!Male:!!Self-employed in own not incorporated business workers and unpaid family workers</t>
  </si>
  <si>
    <t>B24082_010</t>
  </si>
  <si>
    <t>B24082_011</t>
  </si>
  <si>
    <t>Estimate!!Female:!!Private for-profit wage and salary workers:</t>
  </si>
  <si>
    <t>B24082_012</t>
  </si>
  <si>
    <t>Estimate!!Female:!!Private for-profit wage and salary workers:!!Employee of private company workers</t>
  </si>
  <si>
    <t>B24082_013</t>
  </si>
  <si>
    <t>Estimate!!Female:!!Private for-profit wage and salary workers:!!Self-employed in own incorporated business workers</t>
  </si>
  <si>
    <t>B24082_014</t>
  </si>
  <si>
    <t>Estimate!!Female:!!Private not-for-profit wage and salary workers</t>
  </si>
  <si>
    <t>B24082_015</t>
  </si>
  <si>
    <t>Estimate!!Female:!!Local government workers</t>
  </si>
  <si>
    <t>B24082_016</t>
  </si>
  <si>
    <t>Estimate!!Female:!!State government workers</t>
  </si>
  <si>
    <t>B24082_017</t>
  </si>
  <si>
    <t>Estimate!!Female:!!Federal government workers</t>
  </si>
  <si>
    <t>B24082_018</t>
  </si>
  <si>
    <t>Estimate!!Female:!!Self-employed in own not incorporated business workers and unpaid family workers</t>
  </si>
  <si>
    <t>B24090_002</t>
  </si>
  <si>
    <t>B24090_003</t>
  </si>
  <si>
    <t>B24090_004</t>
  </si>
  <si>
    <t>B24090_005</t>
  </si>
  <si>
    <t>B24090_006</t>
  </si>
  <si>
    <t>B24090_007</t>
  </si>
  <si>
    <t>B24090_008</t>
  </si>
  <si>
    <t>B24090_009</t>
  </si>
  <si>
    <t>B24090_010</t>
  </si>
  <si>
    <t>B24090_011</t>
  </si>
  <si>
    <t>B24090_012</t>
  </si>
  <si>
    <t>B24090_013</t>
  </si>
  <si>
    <t>B24090_014</t>
  </si>
  <si>
    <t>B24090_015</t>
  </si>
  <si>
    <t>B24090_016</t>
  </si>
  <si>
    <t>B24090_017</t>
  </si>
  <si>
    <t>B24090_018</t>
  </si>
  <si>
    <t>B24090_019</t>
  </si>
  <si>
    <t>B24090_020</t>
  </si>
  <si>
    <t>B24090_021</t>
  </si>
  <si>
    <t>B24091_002</t>
  </si>
  <si>
    <t>B24091_003</t>
  </si>
  <si>
    <t>B24091_004</t>
  </si>
  <si>
    <t>B24091_005</t>
  </si>
  <si>
    <t>B24091_006</t>
  </si>
  <si>
    <t>B24091_007</t>
  </si>
  <si>
    <t>B24091_008</t>
  </si>
  <si>
    <t>B24091_009</t>
  </si>
  <si>
    <t>B24092_002</t>
  </si>
  <si>
    <t>B24092_003</t>
  </si>
  <si>
    <t>B24092_004</t>
  </si>
  <si>
    <t>B24092_005</t>
  </si>
  <si>
    <t>B24092_006</t>
  </si>
  <si>
    <t>B24092_007</t>
  </si>
  <si>
    <t>B24092_008</t>
  </si>
  <si>
    <t>B24092_009</t>
  </si>
  <si>
    <t>B24092_010</t>
  </si>
  <si>
    <t>B24092_011</t>
  </si>
  <si>
    <t>B24092_012</t>
  </si>
  <si>
    <t>B24092_013</t>
  </si>
  <si>
    <t>B24092_014</t>
  </si>
  <si>
    <t>B24092_015</t>
  </si>
  <si>
    <t>B24092_016</t>
  </si>
  <si>
    <t>B24092_017</t>
  </si>
  <si>
    <t>B24092_018</t>
  </si>
  <si>
    <t>B24114_002</t>
  </si>
  <si>
    <t>Estimate!!Total:!!Chief executives</t>
  </si>
  <si>
    <t>B24114_003</t>
  </si>
  <si>
    <t>Estimate!!Total:!!General and operations managers</t>
  </si>
  <si>
    <t>B24114_004</t>
  </si>
  <si>
    <t>Estimate!!Total:!!Legislators</t>
  </si>
  <si>
    <t>B24114_005</t>
  </si>
  <si>
    <t>Estimate!!Total:!!Advertising and promotions managers</t>
  </si>
  <si>
    <t>B24114_006</t>
  </si>
  <si>
    <t>Estimate!!Total:!!Marketing managers</t>
  </si>
  <si>
    <t>B24114_007</t>
  </si>
  <si>
    <t>Estimate!!Total:!!Sales managers</t>
  </si>
  <si>
    <t>B24114_008</t>
  </si>
  <si>
    <t>Estimate!!Total:!!Public relations and fundraising managers</t>
  </si>
  <si>
    <t>B24114_009</t>
  </si>
  <si>
    <t>Estimate!!Total:!!Administrative services managers</t>
  </si>
  <si>
    <t>B24114_010</t>
  </si>
  <si>
    <t>Estimate!!Total:!!Facilities managers</t>
  </si>
  <si>
    <t>B24114_011</t>
  </si>
  <si>
    <t>Estimate!!Total:!!Computer and information systems managers</t>
  </si>
  <si>
    <t>B24114_012</t>
  </si>
  <si>
    <t>Estimate!!Total:!!Financial managers</t>
  </si>
  <si>
    <t>B24114_013</t>
  </si>
  <si>
    <t>Estimate!!Total:!!Compensation and benefits managers</t>
  </si>
  <si>
    <t>B24114_014</t>
  </si>
  <si>
    <t>Estimate!!Total:!!Human resources managers</t>
  </si>
  <si>
    <t>B24114_015</t>
  </si>
  <si>
    <t>Estimate!!Total:!!Training and development managers</t>
  </si>
  <si>
    <t>B24114_016</t>
  </si>
  <si>
    <t>Estimate!!Total:!!Industrial production managers</t>
  </si>
  <si>
    <t>B24114_017</t>
  </si>
  <si>
    <t>Estimate!!Total:!!Purchasing managers</t>
  </si>
  <si>
    <t>B24114_018</t>
  </si>
  <si>
    <t>Estimate!!Total:!!Transportation, storage, and distribution managers</t>
  </si>
  <si>
    <t>B24114_019</t>
  </si>
  <si>
    <t>Estimate!!Total:!!Farmers, ranchers, and other agricultural managers</t>
  </si>
  <si>
    <t>B24114_020</t>
  </si>
  <si>
    <t>Estimate!!Total:!!Construction managers</t>
  </si>
  <si>
    <t>B24114_021</t>
  </si>
  <si>
    <t>Estimate!!Total:!!Education and childcare administrators</t>
  </si>
  <si>
    <t>B24114_022</t>
  </si>
  <si>
    <t>Estimate!!Total:!!Architectural and engineering managers</t>
  </si>
  <si>
    <t>B24114_023</t>
  </si>
  <si>
    <t>Estimate!!Total:!!Food service managers</t>
  </si>
  <si>
    <t>B24114_024</t>
  </si>
  <si>
    <t>Estimate!!Total:!!Funeral home managers</t>
  </si>
  <si>
    <t>B24114_025</t>
  </si>
  <si>
    <t>Estimate!!Total:!!Entertainment and recreation managers</t>
  </si>
  <si>
    <t>B24114_026</t>
  </si>
  <si>
    <t>Estimate!!Total:!!Lodging managers</t>
  </si>
  <si>
    <t>B24114_027</t>
  </si>
  <si>
    <t>Estimate!!Total:!!Medical and health services managers</t>
  </si>
  <si>
    <t>B24114_028</t>
  </si>
  <si>
    <t>Estimate!!Total:!!Natural sciences managers</t>
  </si>
  <si>
    <t>B24114_029</t>
  </si>
  <si>
    <t>Estimate!!Total:!!Postmasters and mail superintendents</t>
  </si>
  <si>
    <t>B24114_030</t>
  </si>
  <si>
    <t>Estimate!!Total:!!Property, real estate, and community association managers</t>
  </si>
  <si>
    <t>B24114_031</t>
  </si>
  <si>
    <t>Estimate!!Total:!!Social and community service managers</t>
  </si>
  <si>
    <t>B24114_032</t>
  </si>
  <si>
    <t>Estimate!!Total:!!Emergency management directors</t>
  </si>
  <si>
    <t>B24114_033</t>
  </si>
  <si>
    <t>Estimate!!Total:!!Personal service managers, all other</t>
  </si>
  <si>
    <t>B24114_034</t>
  </si>
  <si>
    <t>Estimate!!Total:!!Managers, all other</t>
  </si>
  <si>
    <t>B24114_035</t>
  </si>
  <si>
    <t>Estimate!!Total:!!Agents and business managers of artists, performers, and athletes</t>
  </si>
  <si>
    <t>B24114_036</t>
  </si>
  <si>
    <t>Estimate!!Total:!!Buyers and purchasing agents, farm products</t>
  </si>
  <si>
    <t>B24114_037</t>
  </si>
  <si>
    <t>Estimate!!Total:!!Wholesale and retail buyers, except farm products</t>
  </si>
  <si>
    <t>B24114_038</t>
  </si>
  <si>
    <t>Estimate!!Total:!!Purchasing agents, except wholesale, retail, and farm products</t>
  </si>
  <si>
    <t>B24114_039</t>
  </si>
  <si>
    <t>Estimate!!Total:!!Claims adjusters, appraisers, examiners, and investigators</t>
  </si>
  <si>
    <t>B24114_040</t>
  </si>
  <si>
    <t>Estimate!!Total:!!Compliance officers</t>
  </si>
  <si>
    <t>B24114_041</t>
  </si>
  <si>
    <t>Estimate!!Total:!!Cost estimators</t>
  </si>
  <si>
    <t>B24114_042</t>
  </si>
  <si>
    <t>Estimate!!Total:!!Human resources workers</t>
  </si>
  <si>
    <t>B24114_043</t>
  </si>
  <si>
    <t>Estimate!!Total:!!Compensation, benefits, and job analysis specialists</t>
  </si>
  <si>
    <t>B24114_044</t>
  </si>
  <si>
    <t>Estimate!!Total:!!Training and development specialists</t>
  </si>
  <si>
    <t>B24114_045</t>
  </si>
  <si>
    <t>Estimate!!Total:!!Logisticians</t>
  </si>
  <si>
    <t>B24114_046</t>
  </si>
  <si>
    <t>Estimate!!Total:!!Project management specialists</t>
  </si>
  <si>
    <t>B24114_047</t>
  </si>
  <si>
    <t>Estimate!!Total:!!Management analysts</t>
  </si>
  <si>
    <t>B24114_048</t>
  </si>
  <si>
    <t>Estimate!!Total:!!Meeting, convention, and event planners</t>
  </si>
  <si>
    <t>B24114_049</t>
  </si>
  <si>
    <t>Estimate!!Total:!!Fundraisers</t>
  </si>
  <si>
    <t>B24114_050</t>
  </si>
  <si>
    <t>Estimate!!Total:!!Market research analysts and marketing specialists</t>
  </si>
  <si>
    <t>B24114_051</t>
  </si>
  <si>
    <t>Estimate!!Total:!!Business operations specialists, all other</t>
  </si>
  <si>
    <t>B24114_052</t>
  </si>
  <si>
    <t>Estimate!!Total:!!Accountants and auditors</t>
  </si>
  <si>
    <t>B24114_053</t>
  </si>
  <si>
    <t>Estimate!!Total:!!Property appraisers and assessors</t>
  </si>
  <si>
    <t>B24114_054</t>
  </si>
  <si>
    <t>Estimate!!Total:!!Budget analysts</t>
  </si>
  <si>
    <t>B24114_055</t>
  </si>
  <si>
    <t>Estimate!!Total:!!Credit analysts</t>
  </si>
  <si>
    <t>B24114_056</t>
  </si>
  <si>
    <t>Estimate!!Total:!!Financial and investment analysts</t>
  </si>
  <si>
    <t>B24114_057</t>
  </si>
  <si>
    <t>Estimate!!Total:!!Personal financial advisors</t>
  </si>
  <si>
    <t>B24114_058</t>
  </si>
  <si>
    <t>Estimate!!Total:!!Insurance underwriters</t>
  </si>
  <si>
    <t>B24114_059</t>
  </si>
  <si>
    <t>Estimate!!Total:!!Financial examiners</t>
  </si>
  <si>
    <t>B24114_060</t>
  </si>
  <si>
    <t>Estimate!!Total:!!Credit counselors and loan officers</t>
  </si>
  <si>
    <t>B24114_061</t>
  </si>
  <si>
    <t>Estimate!!Total:!!Tax examiners and collectors, and revenue agents</t>
  </si>
  <si>
    <t>B24114_062</t>
  </si>
  <si>
    <t>Estimate!!Total:!!Tax preparers</t>
  </si>
  <si>
    <t>B24114_063</t>
  </si>
  <si>
    <t>Estimate!!Total:!!Other financial specialists</t>
  </si>
  <si>
    <t>B24114_064</t>
  </si>
  <si>
    <t>Estimate!!Total:!!Computer and information research scientists</t>
  </si>
  <si>
    <t>B24114_065</t>
  </si>
  <si>
    <t>Estimate!!Total:!!Computer systems analysts</t>
  </si>
  <si>
    <t>B24114_066</t>
  </si>
  <si>
    <t>Estimate!!Total:!!Information security analysts</t>
  </si>
  <si>
    <t>B24114_067</t>
  </si>
  <si>
    <t>Estimate!!Total:!!Computer programmers</t>
  </si>
  <si>
    <t>B24114_068</t>
  </si>
  <si>
    <t>Estimate!!Total:!!Software developers</t>
  </si>
  <si>
    <t>B24114_069</t>
  </si>
  <si>
    <t>Estimate!!Total:!!Software quality assurance analysts and testers</t>
  </si>
  <si>
    <t>B24114_070</t>
  </si>
  <si>
    <t>Estimate!!Total:!!Web developers</t>
  </si>
  <si>
    <t>B24114_071</t>
  </si>
  <si>
    <t>Estimate!!Total:!!Web and digital interface designers</t>
  </si>
  <si>
    <t>B24114_072</t>
  </si>
  <si>
    <t>Estimate!!Total:!!Computer support specialists</t>
  </si>
  <si>
    <t>B24114_073</t>
  </si>
  <si>
    <t>Estimate!!Total:!!Database administrators and architects</t>
  </si>
  <si>
    <t>B24114_074</t>
  </si>
  <si>
    <t>Estimate!!Total:!!Network and computer systems administrators</t>
  </si>
  <si>
    <t>B24114_075</t>
  </si>
  <si>
    <t>Estimate!!Total:!!Computer network architects</t>
  </si>
  <si>
    <t>B24114_076</t>
  </si>
  <si>
    <t>Estimate!!Total:!!Computer occupations, all other</t>
  </si>
  <si>
    <t>B24114_077</t>
  </si>
  <si>
    <t>Estimate!!Total:!!Actuaries</t>
  </si>
  <si>
    <t>B24114_078</t>
  </si>
  <si>
    <t>Estimate!!Total:!!Mathematicians</t>
  </si>
  <si>
    <t>B24114_079</t>
  </si>
  <si>
    <t>Estimate!!Total:!!Operations research analysts</t>
  </si>
  <si>
    <t>B24114_080</t>
  </si>
  <si>
    <t>Estimate!!Total:!!Statisticians</t>
  </si>
  <si>
    <t>B24114_081</t>
  </si>
  <si>
    <t>Estimate!!Total:!!Other mathematical science occupations</t>
  </si>
  <si>
    <t>B24114_082</t>
  </si>
  <si>
    <t>Estimate!!Total:!!Architects, except landscape and naval</t>
  </si>
  <si>
    <t>B24114_083</t>
  </si>
  <si>
    <t>Estimate!!Total:!!Landscape architects</t>
  </si>
  <si>
    <t>B24114_084</t>
  </si>
  <si>
    <t>Estimate!!Total:!!Surveyors, cartographers, and photogrammetrists</t>
  </si>
  <si>
    <t>B24114_085</t>
  </si>
  <si>
    <t>Estimate!!Total:!!Aerospace engineers</t>
  </si>
  <si>
    <t>B24114_086</t>
  </si>
  <si>
    <t>Estimate!!Total:!!Agricultural engineers</t>
  </si>
  <si>
    <t>B24114_087</t>
  </si>
  <si>
    <t>Estimate!!Total:!!Bioengineers and biomedical engineers</t>
  </si>
  <si>
    <t>B24114_088</t>
  </si>
  <si>
    <t>Estimate!!Total:!!Chemical engineers</t>
  </si>
  <si>
    <t>B24114_089</t>
  </si>
  <si>
    <t>Estimate!!Total:!!Civil engineers</t>
  </si>
  <si>
    <t>B24114_090</t>
  </si>
  <si>
    <t>Estimate!!Total:!!Computer hardware engineers</t>
  </si>
  <si>
    <t>B24114_091</t>
  </si>
  <si>
    <t>Estimate!!Total:!!Electrical and electronics engineers</t>
  </si>
  <si>
    <t>B24114_092</t>
  </si>
  <si>
    <t>Estimate!!Total:!!Environmental engineers</t>
  </si>
  <si>
    <t>B24114_093</t>
  </si>
  <si>
    <t>Estimate!!Total:!!Industrial engineers, including health and safety</t>
  </si>
  <si>
    <t>B24114_094</t>
  </si>
  <si>
    <t>Estimate!!Total:!!Marine engineers and naval architects</t>
  </si>
  <si>
    <t>B24114_095</t>
  </si>
  <si>
    <t>Estimate!!Total:!!Materials engineers</t>
  </si>
  <si>
    <t>B24114_096</t>
  </si>
  <si>
    <t>Estimate!!Total:!!Mechanical engineers</t>
  </si>
  <si>
    <t>B24114_097</t>
  </si>
  <si>
    <t>Estimate!!Total:!!Mining and geological engineers, including mining safety engineers</t>
  </si>
  <si>
    <t>B24114_098</t>
  </si>
  <si>
    <t>Estimate!!Total:!!Nuclear engineers</t>
  </si>
  <si>
    <t>B24114_099</t>
  </si>
  <si>
    <t>Estimate!!Total:!!Petroleum engineers</t>
  </si>
  <si>
    <t>B24114_100</t>
  </si>
  <si>
    <t>Estimate!!Total:!!Engineers, all other</t>
  </si>
  <si>
    <t>B24114_101</t>
  </si>
  <si>
    <t>Estimate!!Total:!!Architectural and civil drafters</t>
  </si>
  <si>
    <t>B24114_102</t>
  </si>
  <si>
    <t>Estimate!!Total:!!Other drafters</t>
  </si>
  <si>
    <t>B24114_103</t>
  </si>
  <si>
    <t>Estimate!!Total:!!Electrical and electronic engineering technologists and technicians</t>
  </si>
  <si>
    <t>B24114_104</t>
  </si>
  <si>
    <t>Estimate!!Total:!!Other engineering technologists and technicians, except drafters</t>
  </si>
  <si>
    <t>B24114_105</t>
  </si>
  <si>
    <t>Estimate!!Total:!!Surveying and mapping technicians</t>
  </si>
  <si>
    <t>B24114_106</t>
  </si>
  <si>
    <t>Estimate!!Total:!!Agricultural and food scientists</t>
  </si>
  <si>
    <t>B24114_107</t>
  </si>
  <si>
    <t>Estimate!!Total:!!Biological scientists</t>
  </si>
  <si>
    <t>B24114_108</t>
  </si>
  <si>
    <t>Estimate!!Total:!!Conservation scientists and foresters</t>
  </si>
  <si>
    <t>B24114_109</t>
  </si>
  <si>
    <t>Estimate!!Total:!!Medical scientists</t>
  </si>
  <si>
    <t>B24114_110</t>
  </si>
  <si>
    <t>Estimate!!Total:!!Life scientists, all other</t>
  </si>
  <si>
    <t>B24114_111</t>
  </si>
  <si>
    <t>Estimate!!Total:!!Astronomers and physicists</t>
  </si>
  <si>
    <t>B24114_112</t>
  </si>
  <si>
    <t>Estimate!!Total:!!Atmospheric and space scientists</t>
  </si>
  <si>
    <t>B24114_113</t>
  </si>
  <si>
    <t>Estimate!!Total:!!Chemists and materials scientists</t>
  </si>
  <si>
    <t>B24114_114</t>
  </si>
  <si>
    <t>Estimate!!Total:!!Environmental scientists and specialists, including health</t>
  </si>
  <si>
    <t>B24114_115</t>
  </si>
  <si>
    <t>Estimate!!Total:!!Geoscientists and hydrologists, except geographers</t>
  </si>
  <si>
    <t>B24114_116</t>
  </si>
  <si>
    <t>Estimate!!Total:!!Physical scientists, all other</t>
  </si>
  <si>
    <t>B24114_117</t>
  </si>
  <si>
    <t>Estimate!!Total:!!Economists</t>
  </si>
  <si>
    <t>B24114_118</t>
  </si>
  <si>
    <t>Estimate!!Total:!!Survey researchers</t>
  </si>
  <si>
    <t>B24114_119</t>
  </si>
  <si>
    <t>Estimate!!Total:!!Clinical and counseling psychologists</t>
  </si>
  <si>
    <t>B24114_120</t>
  </si>
  <si>
    <t>Estimate!!Total:!!School psychologists</t>
  </si>
  <si>
    <t>B24114_121</t>
  </si>
  <si>
    <t>Estimate!!Total:!!Other psychologists</t>
  </si>
  <si>
    <t>B24114_122</t>
  </si>
  <si>
    <t>Estimate!!Total:!!Sociologists</t>
  </si>
  <si>
    <t>B24114_123</t>
  </si>
  <si>
    <t>Estimate!!Total:!!Urban and regional planners</t>
  </si>
  <si>
    <t>B24114_124</t>
  </si>
  <si>
    <t>Estimate!!Total:!!Miscellaneous social scientists and related workers</t>
  </si>
  <si>
    <t>B24114_125</t>
  </si>
  <si>
    <t>Estimate!!Total:!!Agricultural and food science technicians</t>
  </si>
  <si>
    <t>B24114_126</t>
  </si>
  <si>
    <t>Estimate!!Total:!!Biological technicians</t>
  </si>
  <si>
    <t>B24114_127</t>
  </si>
  <si>
    <t>Estimate!!Total:!!Chemical technicians</t>
  </si>
  <si>
    <t>B24114_128</t>
  </si>
  <si>
    <t>Estimate!!Total:!!Environmental science and geoscience technicians</t>
  </si>
  <si>
    <t>B24114_129</t>
  </si>
  <si>
    <t>Estimate!!Total:!!Nuclear technicians</t>
  </si>
  <si>
    <t>B24114_130</t>
  </si>
  <si>
    <t>Estimate!!Total:!!Social science research assistants</t>
  </si>
  <si>
    <t>B24114_131</t>
  </si>
  <si>
    <t>Estimate!!Total:!!Other life, physical, and social science technicians</t>
  </si>
  <si>
    <t>B24114_132</t>
  </si>
  <si>
    <t>Estimate!!Total:!!Occupational health and safety specialists and technicians</t>
  </si>
  <si>
    <t>B24114_133</t>
  </si>
  <si>
    <t>Estimate!!Total:!!Substance abuse and behavioral disorder counselors</t>
  </si>
  <si>
    <t>B24114_134</t>
  </si>
  <si>
    <t>Estimate!!Total:!!Educational, guidance, and career counselors and advisors</t>
  </si>
  <si>
    <t>B24114_135</t>
  </si>
  <si>
    <t>Estimate!!Total:!!Marriage and family therapists</t>
  </si>
  <si>
    <t>B24114_136</t>
  </si>
  <si>
    <t>Estimate!!Total:!!Mental health counselors</t>
  </si>
  <si>
    <t>B24114_137</t>
  </si>
  <si>
    <t>Estimate!!Total:!!Rehabilitation counselors</t>
  </si>
  <si>
    <t>B24114_138</t>
  </si>
  <si>
    <t>Estimate!!Total:!!Counselors, all other</t>
  </si>
  <si>
    <t>B24114_139</t>
  </si>
  <si>
    <t>Estimate!!Total:!!Child, family, and school social workers</t>
  </si>
  <si>
    <t>B24114_140</t>
  </si>
  <si>
    <t>Estimate!!Total:!!Healthcare social workers</t>
  </si>
  <si>
    <t>B24114_141</t>
  </si>
  <si>
    <t>Estimate!!Total:!!Mental health and substance abuse social workers</t>
  </si>
  <si>
    <t>B24114_142</t>
  </si>
  <si>
    <t>Estimate!!Total:!!Social workers, all other</t>
  </si>
  <si>
    <t>B24114_143</t>
  </si>
  <si>
    <t>Estimate!!Total:!!Probation officers and correctional treatment specialists</t>
  </si>
  <si>
    <t>B24114_144</t>
  </si>
  <si>
    <t>Estimate!!Total:!!Social and human service assistants</t>
  </si>
  <si>
    <t>B24114_145</t>
  </si>
  <si>
    <t>Estimate!!Total:!!Other community and social service specialists</t>
  </si>
  <si>
    <t>B24114_146</t>
  </si>
  <si>
    <t>Estimate!!Total:!!Clergy</t>
  </si>
  <si>
    <t>B24114_147</t>
  </si>
  <si>
    <t>Estimate!!Total:!!Directors, religious activities and education</t>
  </si>
  <si>
    <t>B24114_148</t>
  </si>
  <si>
    <t>Estimate!!Total:!!Religious workers, all other</t>
  </si>
  <si>
    <t>B24114_149</t>
  </si>
  <si>
    <t>Estimate!!Total:!!Lawyers</t>
  </si>
  <si>
    <t>B24114_150</t>
  </si>
  <si>
    <t>Estimate!!Total:!!Judicial law clerks</t>
  </si>
  <si>
    <t>B24114_151</t>
  </si>
  <si>
    <t>Estimate!!Total:!!Judges, magistrates, and other judicial workers</t>
  </si>
  <si>
    <t>B24114_152</t>
  </si>
  <si>
    <t>Estimate!!Total:!!Paralegals and legal assistants</t>
  </si>
  <si>
    <t>B24114_153</t>
  </si>
  <si>
    <t>Estimate!!Total:!!Title examiners, abstractors, and searchers</t>
  </si>
  <si>
    <t>B24114_154</t>
  </si>
  <si>
    <t>Estimate!!Total:!!Legal support workers, all other</t>
  </si>
  <si>
    <t>B24114_155</t>
  </si>
  <si>
    <t>Estimate!!Total:!!Postsecondary teachers</t>
  </si>
  <si>
    <t>B24114_156</t>
  </si>
  <si>
    <t>Estimate!!Total:!!Preschool and kindergarten teachers</t>
  </si>
  <si>
    <t>B24114_157</t>
  </si>
  <si>
    <t>Estimate!!Total:!!Elementary and middle school teachers</t>
  </si>
  <si>
    <t>B24114_158</t>
  </si>
  <si>
    <t>Estimate!!Total:!!Secondary school teachers</t>
  </si>
  <si>
    <t>B24114_159</t>
  </si>
  <si>
    <t>Estimate!!Total:!!Special education teachers</t>
  </si>
  <si>
    <t>B24114_160</t>
  </si>
  <si>
    <t>Estimate!!Total:!!Tutors</t>
  </si>
  <si>
    <t>B24114_161</t>
  </si>
  <si>
    <t>Estimate!!Total:!!Other teachers and instructors</t>
  </si>
  <si>
    <t>B24114_162</t>
  </si>
  <si>
    <t>Estimate!!Total:!!Archivists, curators, and museum technicians</t>
  </si>
  <si>
    <t>B24114_163</t>
  </si>
  <si>
    <t>Estimate!!Total:!!Librarians and media collections specialists</t>
  </si>
  <si>
    <t>B24114_164</t>
  </si>
  <si>
    <t>Estimate!!Total:!!Library technicians</t>
  </si>
  <si>
    <t>B24114_165</t>
  </si>
  <si>
    <t>Estimate!!Total:!!Teaching assistants</t>
  </si>
  <si>
    <t>B24114_166</t>
  </si>
  <si>
    <t>Estimate!!Total:!!Other educational instruction and library workers</t>
  </si>
  <si>
    <t>B24114_167</t>
  </si>
  <si>
    <t>Estimate!!Total:!!Artists and related workers</t>
  </si>
  <si>
    <t>B24114_168</t>
  </si>
  <si>
    <t>Estimate!!Total:!!Commercial and industrial designers</t>
  </si>
  <si>
    <t>B24114_169</t>
  </si>
  <si>
    <t>Estimate!!Total:!!Fashion designers</t>
  </si>
  <si>
    <t>B24114_170</t>
  </si>
  <si>
    <t>Estimate!!Total:!!Floral designers</t>
  </si>
  <si>
    <t>B24114_171</t>
  </si>
  <si>
    <t>Estimate!!Total:!!Graphic designers</t>
  </si>
  <si>
    <t>B24114_172</t>
  </si>
  <si>
    <t>Estimate!!Total:!!Interior designers</t>
  </si>
  <si>
    <t>B24114_173</t>
  </si>
  <si>
    <t>Estimate!!Total:!!Merchandise displayers and window trimmers</t>
  </si>
  <si>
    <t>B24114_174</t>
  </si>
  <si>
    <t>Estimate!!Total:!!Other designers</t>
  </si>
  <si>
    <t>B24114_175</t>
  </si>
  <si>
    <t>Estimate!!Total:!!Actors</t>
  </si>
  <si>
    <t>B24114_176</t>
  </si>
  <si>
    <t>Estimate!!Total:!!Producers and directors</t>
  </si>
  <si>
    <t>B24114_177</t>
  </si>
  <si>
    <t>Estimate!!Total:!!Athletes and sports competitors</t>
  </si>
  <si>
    <t>B24114_178</t>
  </si>
  <si>
    <t>Estimate!!Total:!!Coaches and scouts</t>
  </si>
  <si>
    <t>B24114_179</t>
  </si>
  <si>
    <t>Estimate!!Total:!!Umpires, referees, and other sports officials</t>
  </si>
  <si>
    <t>B24114_180</t>
  </si>
  <si>
    <t>Estimate!!Total:!!Dancers and choreographers</t>
  </si>
  <si>
    <t>B24114_181</t>
  </si>
  <si>
    <t>Estimate!!Total:!!Music directors and composers</t>
  </si>
  <si>
    <t>B24114_182</t>
  </si>
  <si>
    <t>Estimate!!Total:!!Musicians and singers</t>
  </si>
  <si>
    <t>B24114_183</t>
  </si>
  <si>
    <t>Estimate!!Total:!!Disc jockeys, except radio</t>
  </si>
  <si>
    <t>B24114_184</t>
  </si>
  <si>
    <t>Estimate!!Total:!!Entertainers and performers, sports and related workers, all other</t>
  </si>
  <si>
    <t>B24114_185</t>
  </si>
  <si>
    <t>Estimate!!Total:!!Broadcast announcers and radio disc jockeys</t>
  </si>
  <si>
    <t>B24114_186</t>
  </si>
  <si>
    <t>Estimate!!Total:!!News analysts, reporters, and journalists</t>
  </si>
  <si>
    <t>B24114_187</t>
  </si>
  <si>
    <t>Estimate!!Total:!!Public relations specialists</t>
  </si>
  <si>
    <t>B24114_188</t>
  </si>
  <si>
    <t>Estimate!!Total:!!Editors</t>
  </si>
  <si>
    <t>B24114_189</t>
  </si>
  <si>
    <t>Estimate!!Total:!!Technical writers</t>
  </si>
  <si>
    <t>B24114_190</t>
  </si>
  <si>
    <t>Estimate!!Total:!!Writers and authors</t>
  </si>
  <si>
    <t>B24114_191</t>
  </si>
  <si>
    <t>Estimate!!Total:!!Interpreters and translators</t>
  </si>
  <si>
    <t>B24114_192</t>
  </si>
  <si>
    <t>Estimate!!Total:!!Court reporters and simultaneous captioners</t>
  </si>
  <si>
    <t>B24114_193</t>
  </si>
  <si>
    <t>Estimate!!Total:!!Media and communication workers, all other</t>
  </si>
  <si>
    <t>B24114_194</t>
  </si>
  <si>
    <t>Estimate!!Total:!!Broadcast, sound, and lighting technicians</t>
  </si>
  <si>
    <t>B24114_195</t>
  </si>
  <si>
    <t>Estimate!!Total:!!Photographers</t>
  </si>
  <si>
    <t>B24114_196</t>
  </si>
  <si>
    <t>Estimate!!Total:!!Television, video, and film camera operators and editors</t>
  </si>
  <si>
    <t>B24114_197</t>
  </si>
  <si>
    <t>Estimate!!Total:!!Media and communication equipment workers, all other</t>
  </si>
  <si>
    <t>B24114_198</t>
  </si>
  <si>
    <t>Estimate!!Total:!!Chiropractors</t>
  </si>
  <si>
    <t>B24114_199</t>
  </si>
  <si>
    <t>Estimate!!Total:!!Dentists</t>
  </si>
  <si>
    <t>B24114_200</t>
  </si>
  <si>
    <t>Estimate!!Total:!!Dietitians and nutritionists</t>
  </si>
  <si>
    <t>B24114_201</t>
  </si>
  <si>
    <t>Estimate!!Total:!!Optometrists</t>
  </si>
  <si>
    <t>B24114_202</t>
  </si>
  <si>
    <t>Estimate!!Total:!!Pharmacists</t>
  </si>
  <si>
    <t>B24114_203</t>
  </si>
  <si>
    <t>Estimate!!Total:!!Emergency medicine physicians</t>
  </si>
  <si>
    <t>B24114_204</t>
  </si>
  <si>
    <t>Estimate!!Total:!!Radiologists</t>
  </si>
  <si>
    <t>B24114_205</t>
  </si>
  <si>
    <t>Estimate!!Total:!!Other physicians</t>
  </si>
  <si>
    <t>B24114_206</t>
  </si>
  <si>
    <t>Estimate!!Total:!!Surgeons</t>
  </si>
  <si>
    <t>B24114_207</t>
  </si>
  <si>
    <t>Estimate!!Total:!!Physician assistants</t>
  </si>
  <si>
    <t>B24114_208</t>
  </si>
  <si>
    <t>Estimate!!Total:!!Podiatrists</t>
  </si>
  <si>
    <t>B24114_209</t>
  </si>
  <si>
    <t>Estimate!!Total:!!Audiologists</t>
  </si>
  <si>
    <t>B24114_210</t>
  </si>
  <si>
    <t>Estimate!!Total:!!Occupational therapists</t>
  </si>
  <si>
    <t>B24114_211</t>
  </si>
  <si>
    <t>Estimate!!Total:!!Physical therapists</t>
  </si>
  <si>
    <t>B24114_212</t>
  </si>
  <si>
    <t>Estimate!!Total:!!Radiation therapists</t>
  </si>
  <si>
    <t>B24114_213</t>
  </si>
  <si>
    <t>Estimate!!Total:!!Recreational therapists</t>
  </si>
  <si>
    <t>B24114_214</t>
  </si>
  <si>
    <t>Estimate!!Total:!!Respiratory therapists</t>
  </si>
  <si>
    <t>B24114_215</t>
  </si>
  <si>
    <t>Estimate!!Total:!!Speech-language pathologists</t>
  </si>
  <si>
    <t>B24114_216</t>
  </si>
  <si>
    <t>Estimate!!Total:!!Exercise physiologists</t>
  </si>
  <si>
    <t>B24114_217</t>
  </si>
  <si>
    <t>Estimate!!Total:!!Therapists, all other</t>
  </si>
  <si>
    <t>B24114_218</t>
  </si>
  <si>
    <t>Estimate!!Total:!!Veterinarians</t>
  </si>
  <si>
    <t>B24114_219</t>
  </si>
  <si>
    <t>Estimate!!Total:!!Registered nurses</t>
  </si>
  <si>
    <t>B24114_220</t>
  </si>
  <si>
    <t>Estimate!!Total:!!Nurse anesthetists</t>
  </si>
  <si>
    <t>B24114_221</t>
  </si>
  <si>
    <t>Estimate!!Total:!!Nurse midwives</t>
  </si>
  <si>
    <t>B24114_222</t>
  </si>
  <si>
    <t>Estimate!!Total:!!Nurse practitioners</t>
  </si>
  <si>
    <t>B24114_223</t>
  </si>
  <si>
    <t>Estimate!!Total:!!Acupuncturists</t>
  </si>
  <si>
    <t>B24114_224</t>
  </si>
  <si>
    <t>Estimate!!Total:!!Healthcare diagnosing or treating practitioners, all other</t>
  </si>
  <si>
    <t>B24114_225</t>
  </si>
  <si>
    <t>Estimate!!Total:!!Clinical laboratory technologists and technicians</t>
  </si>
  <si>
    <t>B24114_226</t>
  </si>
  <si>
    <t>Estimate!!Total:!!Dental hygienists</t>
  </si>
  <si>
    <t>B24114_227</t>
  </si>
  <si>
    <t>Estimate!!Total:!!Cardiovascular technologists and technicians</t>
  </si>
  <si>
    <t>B24114_228</t>
  </si>
  <si>
    <t>Estimate!!Total:!!Diagnostic medical sonographers</t>
  </si>
  <si>
    <t>B24114_229</t>
  </si>
  <si>
    <t>Estimate!!Total:!!Radiologic technologists and technicians</t>
  </si>
  <si>
    <t>B24114_230</t>
  </si>
  <si>
    <t>Estimate!!Total:!!Magnetic resonance imaging technologists</t>
  </si>
  <si>
    <t>B24114_231</t>
  </si>
  <si>
    <t>Estimate!!Total:!!Nuclear medicine technologists and medical dosimetrists</t>
  </si>
  <si>
    <t>B24114_232</t>
  </si>
  <si>
    <t>Estimate!!Total:!!Emergency medical technicians</t>
  </si>
  <si>
    <t>B24114_233</t>
  </si>
  <si>
    <t>Estimate!!Total:!!Paramedics</t>
  </si>
  <si>
    <t>B24114_234</t>
  </si>
  <si>
    <t>Estimate!!Total:!!Pharmacy technicians</t>
  </si>
  <si>
    <t>B24114_235</t>
  </si>
  <si>
    <t>Estimate!!Total:!!Psychiatric technicians</t>
  </si>
  <si>
    <t>B24114_236</t>
  </si>
  <si>
    <t>Estimate!!Total:!!Surgical technologists</t>
  </si>
  <si>
    <t>B24114_237</t>
  </si>
  <si>
    <t>Estimate!!Total:!!Veterinary technologists and technicians</t>
  </si>
  <si>
    <t>B24114_238</t>
  </si>
  <si>
    <t>Estimate!!Total:!!Dietetic technicians and ophthalmic medical technicians</t>
  </si>
  <si>
    <t>B24114_239</t>
  </si>
  <si>
    <t>Estimate!!Total:!!Licensed practical and licensed vocational nurses</t>
  </si>
  <si>
    <t>B24114_240</t>
  </si>
  <si>
    <t>Estimate!!Total:!!Medical records specialists</t>
  </si>
  <si>
    <t>B24114_241</t>
  </si>
  <si>
    <t>Estimate!!Total:!!Opticians, dispensing</t>
  </si>
  <si>
    <t>B24114_242</t>
  </si>
  <si>
    <t>Estimate!!Total:!!Miscellaneous health technologists and technicians</t>
  </si>
  <si>
    <t>B24114_243</t>
  </si>
  <si>
    <t>Estimate!!Total:!!Other healthcare practitioners and technical occupations</t>
  </si>
  <si>
    <t>B24114_244</t>
  </si>
  <si>
    <t>Estimate!!Total:!!Home health aides</t>
  </si>
  <si>
    <t>B24114_245</t>
  </si>
  <si>
    <t>Estimate!!Total:!!Personal care aides</t>
  </si>
  <si>
    <t>B24114_246</t>
  </si>
  <si>
    <t>Estimate!!Total:!!Nursing assistants</t>
  </si>
  <si>
    <t>B24114_247</t>
  </si>
  <si>
    <t>Estimate!!Total:!!Orderlies and psychiatric aides</t>
  </si>
  <si>
    <t>B24114_248</t>
  </si>
  <si>
    <t>Estimate!!Total:!!Occupational therapy assistants and aides</t>
  </si>
  <si>
    <t>B24114_249</t>
  </si>
  <si>
    <t>Estimate!!Total:!!Physical therapist assistants and aides</t>
  </si>
  <si>
    <t>B24114_250</t>
  </si>
  <si>
    <t>Estimate!!Total:!!Massage therapists</t>
  </si>
  <si>
    <t>B24114_251</t>
  </si>
  <si>
    <t>Estimate!!Total:!!Dental assistants</t>
  </si>
  <si>
    <t>B24114_252</t>
  </si>
  <si>
    <t>Estimate!!Total:!!Medical assistants</t>
  </si>
  <si>
    <t>B24114_253</t>
  </si>
  <si>
    <t>Estimate!!Total:!!Medical transcriptionists</t>
  </si>
  <si>
    <t>B24114_254</t>
  </si>
  <si>
    <t>Estimate!!Total:!!Pharmacy aides</t>
  </si>
  <si>
    <t>B24114_255</t>
  </si>
  <si>
    <t>Estimate!!Total:!!Veterinary assistants and laboratory animal caretakers</t>
  </si>
  <si>
    <t>B24114_256</t>
  </si>
  <si>
    <t>Estimate!!Total:!!Phlebotomists</t>
  </si>
  <si>
    <t>B24114_257</t>
  </si>
  <si>
    <t>Estimate!!Total:!!Other healthcare support workers</t>
  </si>
  <si>
    <t>B24114_258</t>
  </si>
  <si>
    <t>Estimate!!Total:!!First-line supervisors of correctional officers</t>
  </si>
  <si>
    <t>B24114_259</t>
  </si>
  <si>
    <t>Estimate!!Total:!!First-line supervisors of police and detectives</t>
  </si>
  <si>
    <t>B24114_260</t>
  </si>
  <si>
    <t>Estimate!!Total:!!First-line supervisors of firefighting and prevention workers</t>
  </si>
  <si>
    <t>B24114_261</t>
  </si>
  <si>
    <t>Estimate!!Total:!!First-line supervisors of security workers</t>
  </si>
  <si>
    <t>B24114_262</t>
  </si>
  <si>
    <t>Estimate!!Total:!!First-line supervisors of protective service workers, all other</t>
  </si>
  <si>
    <t>B24114_263</t>
  </si>
  <si>
    <t>Estimate!!Total:!!Firefighters</t>
  </si>
  <si>
    <t>B24114_264</t>
  </si>
  <si>
    <t>Estimate!!Total:!!Fire inspectors</t>
  </si>
  <si>
    <t>B24114_265</t>
  </si>
  <si>
    <t>Estimate!!Total:!!Bailiffs</t>
  </si>
  <si>
    <t>B24114_266</t>
  </si>
  <si>
    <t>Estimate!!Total:!!Correctional officers and jailers</t>
  </si>
  <si>
    <t>B24114_267</t>
  </si>
  <si>
    <t>Estimate!!Total:!!Detectives and criminal investigators</t>
  </si>
  <si>
    <t>B24114_268</t>
  </si>
  <si>
    <t>Estimate!!Total:!!Fish and game wardens</t>
  </si>
  <si>
    <t>B24114_269</t>
  </si>
  <si>
    <t>Estimate!!Total:!!Parking enforcement workers</t>
  </si>
  <si>
    <t>B24114_270</t>
  </si>
  <si>
    <t>Estimate!!Total:!!Police officers</t>
  </si>
  <si>
    <t>B24114_271</t>
  </si>
  <si>
    <t>Estimate!!Total:!!Animal control workers</t>
  </si>
  <si>
    <t>B24114_272</t>
  </si>
  <si>
    <t>Estimate!!Total:!!Private detectives and investigators</t>
  </si>
  <si>
    <t>B24114_273</t>
  </si>
  <si>
    <t>Estimate!!Total:!!Security guards and gambling surveillance officers</t>
  </si>
  <si>
    <t>B24114_274</t>
  </si>
  <si>
    <t>Estimate!!Total:!!Crossing guards and flaggers</t>
  </si>
  <si>
    <t>B24114_275</t>
  </si>
  <si>
    <t>Estimate!!Total:!!Transportation security screeners</t>
  </si>
  <si>
    <t>B24114_276</t>
  </si>
  <si>
    <t>Estimate!!Total:!!School bus monitors</t>
  </si>
  <si>
    <t>B24114_277</t>
  </si>
  <si>
    <t>Estimate!!Total:!!Other protective service workers</t>
  </si>
  <si>
    <t>B24114_278</t>
  </si>
  <si>
    <t>Estimate!!Total:!!Chefs and head cooks</t>
  </si>
  <si>
    <t>B24114_279</t>
  </si>
  <si>
    <t>Estimate!!Total:!!First-line supervisors of food preparation and serving workers</t>
  </si>
  <si>
    <t>B24114_280</t>
  </si>
  <si>
    <t>Estimate!!Total:!!Cooks</t>
  </si>
  <si>
    <t>B24114_281</t>
  </si>
  <si>
    <t>Estimate!!Total:!!Food preparation workers</t>
  </si>
  <si>
    <t>B24114_282</t>
  </si>
  <si>
    <t>Estimate!!Total:!!Bartenders</t>
  </si>
  <si>
    <t>B24114_283</t>
  </si>
  <si>
    <t>Estimate!!Total:!!Fast food and counter workers</t>
  </si>
  <si>
    <t>B24114_284</t>
  </si>
  <si>
    <t>Estimate!!Total:!!Waiters and waitresses</t>
  </si>
  <si>
    <t>B24114_285</t>
  </si>
  <si>
    <t>Estimate!!Total:!!Food servers, nonrestaurant</t>
  </si>
  <si>
    <t>B24114_286</t>
  </si>
  <si>
    <t>Estimate!!Total:!!Dining room and cafeteria attendants and bartender helpers</t>
  </si>
  <si>
    <t>B24114_287</t>
  </si>
  <si>
    <t>Estimate!!Total:!!Dishwashers</t>
  </si>
  <si>
    <t>B24114_288</t>
  </si>
  <si>
    <t>Estimate!!Total:!!Hosts and hostesses, restaurant, lounge, and coffee shop</t>
  </si>
  <si>
    <t>B24114_289</t>
  </si>
  <si>
    <t>Estimate!!Total:!!Food preparation and serving related workers, all other</t>
  </si>
  <si>
    <t>B24114_290</t>
  </si>
  <si>
    <t>Estimate!!Total:!!First-line supervisors of housekeeping and janitorial workers</t>
  </si>
  <si>
    <t>B24114_291</t>
  </si>
  <si>
    <t>Estimate!!Total:!!First-line supervisors of landscaping, lawn service, and groundskeeping workers</t>
  </si>
  <si>
    <t>B24114_292</t>
  </si>
  <si>
    <t>Estimate!!Total:!!Janitors and building cleaners</t>
  </si>
  <si>
    <t>B24114_293</t>
  </si>
  <si>
    <t>Estimate!!Total:!!Maids and housekeeping cleaners</t>
  </si>
  <si>
    <t>B24114_294</t>
  </si>
  <si>
    <t>Estimate!!Total:!!Pest control workers</t>
  </si>
  <si>
    <t>B24114_295</t>
  </si>
  <si>
    <t>Estimate!!Total:!!Landscaping and groundskeeping workers</t>
  </si>
  <si>
    <t>B24114_296</t>
  </si>
  <si>
    <t>Estimate!!Total:!!Tree trimmers and pruners</t>
  </si>
  <si>
    <t>B24114_297</t>
  </si>
  <si>
    <t>Estimate!!Total:!!Other grounds maintenance workers</t>
  </si>
  <si>
    <t>B24114_298</t>
  </si>
  <si>
    <t>Estimate!!Total:!!Supervisors of personal care and service workers</t>
  </si>
  <si>
    <t>B24114_299</t>
  </si>
  <si>
    <t>Estimate!!Total:!!Animal trainers</t>
  </si>
  <si>
    <t>B24114_300</t>
  </si>
  <si>
    <t>Estimate!!Total:!!Animal caretakers</t>
  </si>
  <si>
    <t>B24114_301</t>
  </si>
  <si>
    <t>Estimate!!Total:!!Gambling services workers</t>
  </si>
  <si>
    <t>B24114_302</t>
  </si>
  <si>
    <t>Estimate!!Total:!!Ushers, lobby attendants, and ticket takers</t>
  </si>
  <si>
    <t>B24114_303</t>
  </si>
  <si>
    <t>Estimate!!Total:!!Other entertainment attendants and related workers</t>
  </si>
  <si>
    <t>B24114_304</t>
  </si>
  <si>
    <t>Estimate!!Total:!!Embalmers, crematory operators and funeral attendants</t>
  </si>
  <si>
    <t>B24114_305</t>
  </si>
  <si>
    <t>Estimate!!Total:!!Morticians, undertakers, and funeral arrangers</t>
  </si>
  <si>
    <t>B24114_306</t>
  </si>
  <si>
    <t>Estimate!!Total:!!Barbers</t>
  </si>
  <si>
    <t>B24114_307</t>
  </si>
  <si>
    <t>Estimate!!Total:!!Hairdressers, hairstylists, and cosmetologists</t>
  </si>
  <si>
    <t>B24114_308</t>
  </si>
  <si>
    <t>Estimate!!Total:!!Manicurists and pedicurists</t>
  </si>
  <si>
    <t>B24114_309</t>
  </si>
  <si>
    <t>Estimate!!Total:!!Skincare specialists</t>
  </si>
  <si>
    <t>B24114_310</t>
  </si>
  <si>
    <t>Estimate!!Total:!!Other personal appearance workers</t>
  </si>
  <si>
    <t>B24114_311</t>
  </si>
  <si>
    <t>Estimate!!Total:!!Baggage porters, bellhops, and concierges</t>
  </si>
  <si>
    <t>B24114_312</t>
  </si>
  <si>
    <t>Estimate!!Total:!!Tour and travel guides</t>
  </si>
  <si>
    <t>B24114_313</t>
  </si>
  <si>
    <t>Estimate!!Total:!!Childcare workers</t>
  </si>
  <si>
    <t>B24114_314</t>
  </si>
  <si>
    <t>Estimate!!Total:!!Exercise trainers and group fitness instructors</t>
  </si>
  <si>
    <t>B24114_315</t>
  </si>
  <si>
    <t>Estimate!!Total:!!Recreation workers</t>
  </si>
  <si>
    <t>B24114_316</t>
  </si>
  <si>
    <t>Estimate!!Total:!!Residential advisors</t>
  </si>
  <si>
    <t>B24114_317</t>
  </si>
  <si>
    <t>Estimate!!Total:!!Personal care and service workers, all other</t>
  </si>
  <si>
    <t>B24114_318</t>
  </si>
  <si>
    <t>Estimate!!Total:!!First-line supervisors of retail sales workers</t>
  </si>
  <si>
    <t>B24114_319</t>
  </si>
  <si>
    <t>Estimate!!Total:!!First-line supervisors of non-retail sales workers</t>
  </si>
  <si>
    <t>B24114_320</t>
  </si>
  <si>
    <t>Estimate!!Total:!!Cashiers</t>
  </si>
  <si>
    <t>B24114_321</t>
  </si>
  <si>
    <t>Estimate!!Total:!!Counter and rental clerks</t>
  </si>
  <si>
    <t>B24114_322</t>
  </si>
  <si>
    <t>Estimate!!Total:!!Parts salespersons</t>
  </si>
  <si>
    <t>B24114_323</t>
  </si>
  <si>
    <t>Estimate!!Total:!!Retail salespersons</t>
  </si>
  <si>
    <t>B24114_324</t>
  </si>
  <si>
    <t>Estimate!!Total:!!Advertising sales agents</t>
  </si>
  <si>
    <t>B24114_325</t>
  </si>
  <si>
    <t>Estimate!!Total:!!Insurance sales agents</t>
  </si>
  <si>
    <t>B24114_326</t>
  </si>
  <si>
    <t>Estimate!!Total:!!Securities, commodities, and financial services sales agents</t>
  </si>
  <si>
    <t>B24114_327</t>
  </si>
  <si>
    <t>Estimate!!Total:!!Travel agents</t>
  </si>
  <si>
    <t>B24114_328</t>
  </si>
  <si>
    <t>Estimate!!Total:!!Sales representatives of services, except advertising, insurance, financial services, and travel</t>
  </si>
  <si>
    <t>B24114_329</t>
  </si>
  <si>
    <t>Estimate!!Total:!!Sales representatives, wholesale and manufacturing</t>
  </si>
  <si>
    <t>B24114_330</t>
  </si>
  <si>
    <t>Estimate!!Total:!!Models, demonstrators, and product promoters</t>
  </si>
  <si>
    <t>B24114_331</t>
  </si>
  <si>
    <t>Estimate!!Total:!!Real estate brokers and sales agents</t>
  </si>
  <si>
    <t>B24114_332</t>
  </si>
  <si>
    <t>Estimate!!Total:!!Sales engineers</t>
  </si>
  <si>
    <t>B24114_333</t>
  </si>
  <si>
    <t>Estimate!!Total:!!Telemarketers</t>
  </si>
  <si>
    <t>B24114_334</t>
  </si>
  <si>
    <t>Estimate!!Total:!!Door-to-door sales workers, news and street vendors, and related workers</t>
  </si>
  <si>
    <t>B24114_335</t>
  </si>
  <si>
    <t>Estimate!!Total:!!Sales and related workers, all other</t>
  </si>
  <si>
    <t>B24114_336</t>
  </si>
  <si>
    <t>Estimate!!Total:!!First-line supervisors of office and administrative support workers</t>
  </si>
  <si>
    <t>B24114_337</t>
  </si>
  <si>
    <t>Estimate!!Total:!!Switchboard operators, including answering service</t>
  </si>
  <si>
    <t>B24114_338</t>
  </si>
  <si>
    <t>Estimate!!Total:!!Telephone operators</t>
  </si>
  <si>
    <t>B24114_339</t>
  </si>
  <si>
    <t>Estimate!!Total:!!Communications equipment operators, all other</t>
  </si>
  <si>
    <t>B24114_340</t>
  </si>
  <si>
    <t>Estimate!!Total:!!Bill and account collectors</t>
  </si>
  <si>
    <t>B24114_341</t>
  </si>
  <si>
    <t>Estimate!!Total:!!Billing and posting clerks</t>
  </si>
  <si>
    <t>B24114_342</t>
  </si>
  <si>
    <t>Estimate!!Total:!!Bookkeeping, accounting, and auditing clerks</t>
  </si>
  <si>
    <t>B24114_343</t>
  </si>
  <si>
    <t>Estimate!!Total:!!Gambling cage workers</t>
  </si>
  <si>
    <t>B24114_344</t>
  </si>
  <si>
    <t>Estimate!!Total:!!Payroll and timekeeping clerks</t>
  </si>
  <si>
    <t>B24114_345</t>
  </si>
  <si>
    <t>Estimate!!Total:!!Procurement clerks</t>
  </si>
  <si>
    <t>B24114_346</t>
  </si>
  <si>
    <t>Estimate!!Total:!!Tellers</t>
  </si>
  <si>
    <t>B24114_347</t>
  </si>
  <si>
    <t>Estimate!!Total:!!Financial clerks, all other</t>
  </si>
  <si>
    <t>B24114_348</t>
  </si>
  <si>
    <t>Estimate!!Total:!!Brokerage clerks</t>
  </si>
  <si>
    <t>B24114_349</t>
  </si>
  <si>
    <t>Estimate!!Total:!!Correspondence clerks</t>
  </si>
  <si>
    <t>B24114_350</t>
  </si>
  <si>
    <t>Estimate!!Total:!!Court, municipal, and license clerks</t>
  </si>
  <si>
    <t>B24114_351</t>
  </si>
  <si>
    <t>Estimate!!Total:!!Credit authorizers, checkers, and clerks</t>
  </si>
  <si>
    <t>B24114_352</t>
  </si>
  <si>
    <t>Estimate!!Total:!!Customer service representatives</t>
  </si>
  <si>
    <t>B24114_353</t>
  </si>
  <si>
    <t>Estimate!!Total:!!Eligibility interviewers, government programs</t>
  </si>
  <si>
    <t>B24114_354</t>
  </si>
  <si>
    <t>Estimate!!Total:!!File clerks</t>
  </si>
  <si>
    <t>B24114_355</t>
  </si>
  <si>
    <t>Estimate!!Total:!!Hotel, motel, and resort desk clerks</t>
  </si>
  <si>
    <t>B24114_356</t>
  </si>
  <si>
    <t>Estimate!!Total:!!Interviewers, except eligibility and loan</t>
  </si>
  <si>
    <t>B24114_357</t>
  </si>
  <si>
    <t>Estimate!!Total:!!Library assistants, clerical</t>
  </si>
  <si>
    <t>B24114_358</t>
  </si>
  <si>
    <t>Estimate!!Total:!!Loan interviewers and clerks</t>
  </si>
  <si>
    <t>B24114_359</t>
  </si>
  <si>
    <t>Estimate!!Total:!!New accounts clerks</t>
  </si>
  <si>
    <t>B24114_360</t>
  </si>
  <si>
    <t>Estimate!!Total:!!Order clerks</t>
  </si>
  <si>
    <t>B24114_361</t>
  </si>
  <si>
    <t>Estimate!!Total:!!Human resources assistants, except payroll and timekeeping</t>
  </si>
  <si>
    <t>B24114_362</t>
  </si>
  <si>
    <t>Estimate!!Total:!!Receptionists and information clerks</t>
  </si>
  <si>
    <t>B24114_363</t>
  </si>
  <si>
    <t>Estimate!!Total:!!Reservation and transportation ticket agents and travel clerks</t>
  </si>
  <si>
    <t>B24114_364</t>
  </si>
  <si>
    <t>Estimate!!Total:!!Information and record clerks, all other</t>
  </si>
  <si>
    <t>B24114_365</t>
  </si>
  <si>
    <t>Estimate!!Total:!!Cargo and freight agents</t>
  </si>
  <si>
    <t>B24114_366</t>
  </si>
  <si>
    <t>Estimate!!Total:!!Couriers and messengers</t>
  </si>
  <si>
    <t>B24114_367</t>
  </si>
  <si>
    <t>Estimate!!Total:!!Public safety telecommunicators</t>
  </si>
  <si>
    <t>B24114_368</t>
  </si>
  <si>
    <t>Estimate!!Total:!!Dispatchers, except police, fire, and ambulance</t>
  </si>
  <si>
    <t>B24114_369</t>
  </si>
  <si>
    <t>Estimate!!Total:!!Meter readers, utilities</t>
  </si>
  <si>
    <t>B24114_370</t>
  </si>
  <si>
    <t>Estimate!!Total:!!Postal service clerks</t>
  </si>
  <si>
    <t>B24114_371</t>
  </si>
  <si>
    <t>Estimate!!Total:!!Postal service mail carriers</t>
  </si>
  <si>
    <t>B24114_372</t>
  </si>
  <si>
    <t>Estimate!!Total:!!Postal service mail sorters, processors, and processing machine operators</t>
  </si>
  <si>
    <t>B24114_373</t>
  </si>
  <si>
    <t>Estimate!!Total:!!Production, planning, and expediting clerks</t>
  </si>
  <si>
    <t>B24114_374</t>
  </si>
  <si>
    <t>Estimate!!Total:!!Shipping, receiving, and inventory clerks</t>
  </si>
  <si>
    <t>B24114_375</t>
  </si>
  <si>
    <t>Estimate!!Total:!!Weighers, measurers, checkers, and samplers, recordkeeping</t>
  </si>
  <si>
    <t>B24114_376</t>
  </si>
  <si>
    <t>Estimate!!Total:!!Executive secretaries and executive administrative assistants</t>
  </si>
  <si>
    <t>B24114_377</t>
  </si>
  <si>
    <t>Estimate!!Total:!!Legal secretaries and administrative assistants</t>
  </si>
  <si>
    <t>B24114_378</t>
  </si>
  <si>
    <t>Estimate!!Total:!!Medical secretaries and administrative assistants</t>
  </si>
  <si>
    <t>B24114_379</t>
  </si>
  <si>
    <t>Estimate!!Total:!!Secretaries and administrative assistants, except legal, medical, and executive</t>
  </si>
  <si>
    <t>B24114_380</t>
  </si>
  <si>
    <t>Estimate!!Total:!!Data entry keyers</t>
  </si>
  <si>
    <t>B24114_381</t>
  </si>
  <si>
    <t>Estimate!!Total:!!Word processors and typists</t>
  </si>
  <si>
    <t>B24114_382</t>
  </si>
  <si>
    <t>Estimate!!Total:!!Desktop publishers</t>
  </si>
  <si>
    <t>B24114_383</t>
  </si>
  <si>
    <t>Estimate!!Total:!!Insurance claims and policy processing clerks</t>
  </si>
  <si>
    <t>B24114_384</t>
  </si>
  <si>
    <t>Estimate!!Total:!!Mail clerks and mail machine operators, except postal service</t>
  </si>
  <si>
    <t>B24114_385</t>
  </si>
  <si>
    <t>Estimate!!Total:!!Office clerks, general</t>
  </si>
  <si>
    <t>B24114_386</t>
  </si>
  <si>
    <t>Estimate!!Total:!!Office machine operators, except computer</t>
  </si>
  <si>
    <t>B24114_387</t>
  </si>
  <si>
    <t>Estimate!!Total:!!Proofreaders and copy markers</t>
  </si>
  <si>
    <t>B24114_388</t>
  </si>
  <si>
    <t>Estimate!!Total:!!Statistical assistants</t>
  </si>
  <si>
    <t>B24114_389</t>
  </si>
  <si>
    <t>Estimate!!Total:!!Office and administrative support workers, all other</t>
  </si>
  <si>
    <t>B24114_390</t>
  </si>
  <si>
    <t>Estimate!!Total:!!First-line supervisors of farming, fishing, and forestry workers</t>
  </si>
  <si>
    <t>B24114_391</t>
  </si>
  <si>
    <t>Estimate!!Total:!!Agricultural inspectors</t>
  </si>
  <si>
    <t>B24114_392</t>
  </si>
  <si>
    <t>Estimate!!Total:!!Animal breeders</t>
  </si>
  <si>
    <t>B24114_393</t>
  </si>
  <si>
    <t>Estimate!!Total:!!Graders and sorters, agricultural products</t>
  </si>
  <si>
    <t>B24114_394</t>
  </si>
  <si>
    <t>Estimate!!Total:!!Miscellaneous agricultural workers</t>
  </si>
  <si>
    <t>B24114_395</t>
  </si>
  <si>
    <t>Estimate!!Total:!!Fishing and hunting workers</t>
  </si>
  <si>
    <t>B24114_396</t>
  </si>
  <si>
    <t>Estimate!!Total:!!Forest and conservation workers</t>
  </si>
  <si>
    <t>B24114_397</t>
  </si>
  <si>
    <t>Estimate!!Total:!!Logging workers</t>
  </si>
  <si>
    <t>B24114_398</t>
  </si>
  <si>
    <t>Estimate!!Total:!!First-line supervisors of construction trades and extraction workers</t>
  </si>
  <si>
    <t>B24114_399</t>
  </si>
  <si>
    <t>Estimate!!Total:!!Boilermakers</t>
  </si>
  <si>
    <t>B24114_400</t>
  </si>
  <si>
    <t>Estimate!!Total:!!Brickmasons, blockmasons, and stonemasons</t>
  </si>
  <si>
    <t>B24114_401</t>
  </si>
  <si>
    <t>Estimate!!Total:!!Carpenters</t>
  </si>
  <si>
    <t>B24114_402</t>
  </si>
  <si>
    <t>Estimate!!Total:!!Carpet, floor, and tile installers and finishers</t>
  </si>
  <si>
    <t>B24114_403</t>
  </si>
  <si>
    <t>Estimate!!Total:!!Cement masons, concrete finishers, and terrazzo workers</t>
  </si>
  <si>
    <t>B24114_404</t>
  </si>
  <si>
    <t>Estimate!!Total:!!Construction laborers</t>
  </si>
  <si>
    <t>B24114_405</t>
  </si>
  <si>
    <t>Estimate!!Total:!!Construction equipment operators</t>
  </si>
  <si>
    <t>B24114_406</t>
  </si>
  <si>
    <t>Estimate!!Total:!!Drywall installers, ceiling tile installers, and tapers</t>
  </si>
  <si>
    <t>B24114_407</t>
  </si>
  <si>
    <t>Estimate!!Total:!!Electricians</t>
  </si>
  <si>
    <t>B24114_408</t>
  </si>
  <si>
    <t>Estimate!!Total:!!Glaziers</t>
  </si>
  <si>
    <t>B24114_409</t>
  </si>
  <si>
    <t>Estimate!!Total:!!Insulation workers</t>
  </si>
  <si>
    <t>B24114_410</t>
  </si>
  <si>
    <t>Estimate!!Total:!!Painters and paperhangers</t>
  </si>
  <si>
    <t>B24114_411</t>
  </si>
  <si>
    <t>Estimate!!Total:!!Pipelayers</t>
  </si>
  <si>
    <t>B24114_412</t>
  </si>
  <si>
    <t>Estimate!!Total:!!Plumbers, pipefitters, and steamfitters</t>
  </si>
  <si>
    <t>B24114_413</t>
  </si>
  <si>
    <t>Estimate!!Total:!!Plasterers and stucco masons</t>
  </si>
  <si>
    <t>B24114_414</t>
  </si>
  <si>
    <t>Estimate!!Total:!!Reinforcing iron and rebar workers</t>
  </si>
  <si>
    <t>B24114_415</t>
  </si>
  <si>
    <t>Estimate!!Total:!!Roofers</t>
  </si>
  <si>
    <t>B24114_416</t>
  </si>
  <si>
    <t>Estimate!!Total:!!Sheet metal workers</t>
  </si>
  <si>
    <t>B24114_417</t>
  </si>
  <si>
    <t>Estimate!!Total:!!Structural iron and steel workers</t>
  </si>
  <si>
    <t>B24114_418</t>
  </si>
  <si>
    <t>Estimate!!Total:!!Solar photovoltaic installers</t>
  </si>
  <si>
    <t>B24114_419</t>
  </si>
  <si>
    <t>Estimate!!Total:!!Helpers, construction trades</t>
  </si>
  <si>
    <t>B24114_420</t>
  </si>
  <si>
    <t>Estimate!!Total:!!Construction and building inspectors</t>
  </si>
  <si>
    <t>B24114_421</t>
  </si>
  <si>
    <t>Estimate!!Total:!!Elevator and escalator installers and repairers</t>
  </si>
  <si>
    <t>B24114_422</t>
  </si>
  <si>
    <t>Estimate!!Total:!!Fence erectors</t>
  </si>
  <si>
    <t>B24114_423</t>
  </si>
  <si>
    <t>Estimate!!Total:!!Hazardous materials removal workers</t>
  </si>
  <si>
    <t>B24114_424</t>
  </si>
  <si>
    <t>Estimate!!Total:!!Highway maintenance workers</t>
  </si>
  <si>
    <t>B24114_425</t>
  </si>
  <si>
    <t>Estimate!!Total:!!Rail-track laying and maintenance equipment operators</t>
  </si>
  <si>
    <t>B24114_426</t>
  </si>
  <si>
    <t>Estimate!!Total:!!Septic tank servicers and sewer pipe cleaners</t>
  </si>
  <si>
    <t>B24114_427</t>
  </si>
  <si>
    <t>Estimate!!Total:!!Miscellaneous construction and related workers</t>
  </si>
  <si>
    <t>B24114_428</t>
  </si>
  <si>
    <t>Estimate!!Total:!!Derrick, rotary drill, and service unit operators, oil and gas</t>
  </si>
  <si>
    <t>B24114_429</t>
  </si>
  <si>
    <t>Estimate!!Total:!!Excavating and loading machine and dragline operators, surface mining</t>
  </si>
  <si>
    <t>B24114_430</t>
  </si>
  <si>
    <t>Estimate!!Total:!!Earth drillers, except oil and gas</t>
  </si>
  <si>
    <t>B24114_431</t>
  </si>
  <si>
    <t>Estimate!!Total:!!Explosives workers, ordnance handling experts, and blasters</t>
  </si>
  <si>
    <t>B24114_432</t>
  </si>
  <si>
    <t>Estimate!!Total:!!Underground mining machine operators</t>
  </si>
  <si>
    <t>B24114_433</t>
  </si>
  <si>
    <t>Estimate!!Total:!!Roustabouts, oil and gas</t>
  </si>
  <si>
    <t>B24114_434</t>
  </si>
  <si>
    <t>Estimate!!Total:!!Other extraction workers</t>
  </si>
  <si>
    <t>B24114_435</t>
  </si>
  <si>
    <t>Estimate!!Total:!!First-line supervisors of mechanics, installers, and repairers</t>
  </si>
  <si>
    <t>B24114_436</t>
  </si>
  <si>
    <t>Estimate!!Total:!!Computer, automated teller, and office machine repairers</t>
  </si>
  <si>
    <t>B24114_437</t>
  </si>
  <si>
    <t>Estimate!!Total:!!Radio and telecommunications equipment installers and repairers</t>
  </si>
  <si>
    <t>B24114_438</t>
  </si>
  <si>
    <t>Estimate!!Total:!!Avionics technicians</t>
  </si>
  <si>
    <t>B24114_439</t>
  </si>
  <si>
    <t>Estimate!!Total:!!Electric motor, power tool, and related repairers</t>
  </si>
  <si>
    <t>B24114_440</t>
  </si>
  <si>
    <t>Estimate!!Total:!!Electrical and electronics installers and repairers, transportation equipment</t>
  </si>
  <si>
    <t>B24114_441</t>
  </si>
  <si>
    <t>Estimate!!Total:!!Electrical and electronics repairers, industrial and utility</t>
  </si>
  <si>
    <t>B24114_442</t>
  </si>
  <si>
    <t>Estimate!!Total:!!Electronic equipment installers and repairers, motor vehicles</t>
  </si>
  <si>
    <t>B24114_443</t>
  </si>
  <si>
    <t>Estimate!!Total:!!Audiovisual equipment installers and repairers</t>
  </si>
  <si>
    <t>B24114_444</t>
  </si>
  <si>
    <t>Estimate!!Total:!!Security and fire alarm systems installers</t>
  </si>
  <si>
    <t>B24114_445</t>
  </si>
  <si>
    <t>Estimate!!Total:!!Aircraft mechanics and service technicians</t>
  </si>
  <si>
    <t>B24114_446</t>
  </si>
  <si>
    <t>Estimate!!Total:!!Automotive body and related repairers</t>
  </si>
  <si>
    <t>B24114_447</t>
  </si>
  <si>
    <t>Estimate!!Total:!!Automotive glass installers and repairers</t>
  </si>
  <si>
    <t>B24114_448</t>
  </si>
  <si>
    <t>Estimate!!Total:!!Automotive service technicians and mechanics</t>
  </si>
  <si>
    <t>B24114_449</t>
  </si>
  <si>
    <t>Estimate!!Total:!!Bus and truck mechanics and diesel engine specialists</t>
  </si>
  <si>
    <t>B24114_450</t>
  </si>
  <si>
    <t>Estimate!!Total:!!Heavy vehicle and mobile equipment service technicians and mechanics</t>
  </si>
  <si>
    <t>B24114_451</t>
  </si>
  <si>
    <t>Estimate!!Total:!!Small engine mechanics</t>
  </si>
  <si>
    <t>B24114_452</t>
  </si>
  <si>
    <t>Estimate!!Total:!!Miscellaneous vehicle and mobile equipment mechanics, installers, and repairers</t>
  </si>
  <si>
    <t>B24114_453</t>
  </si>
  <si>
    <t>Estimate!!Total:!!Control and valve installers and repairers</t>
  </si>
  <si>
    <t>B24114_454</t>
  </si>
  <si>
    <t>Estimate!!Total:!!Heating, air conditioning, and refrigeration mechanics and installers</t>
  </si>
  <si>
    <t>B24114_455</t>
  </si>
  <si>
    <t>Estimate!!Total:!!Home appliance repairers</t>
  </si>
  <si>
    <t>B24114_456</t>
  </si>
  <si>
    <t>Estimate!!Total:!!Industrial and refractory machinery mechanics</t>
  </si>
  <si>
    <t>B24114_457</t>
  </si>
  <si>
    <t>Estimate!!Total:!!Maintenance and repair workers, general</t>
  </si>
  <si>
    <t>B24114_458</t>
  </si>
  <si>
    <t>Estimate!!Total:!!Maintenance workers, machinery</t>
  </si>
  <si>
    <t>B24114_459</t>
  </si>
  <si>
    <t>Estimate!!Total:!!Millwrights</t>
  </si>
  <si>
    <t>B24114_460</t>
  </si>
  <si>
    <t>Estimate!!Total:!!Electrical power-line installers and repairers</t>
  </si>
  <si>
    <t>B24114_461</t>
  </si>
  <si>
    <t>Estimate!!Total:!!Telecommunications line installers and repairers</t>
  </si>
  <si>
    <t>B24114_462</t>
  </si>
  <si>
    <t>Estimate!!Total:!!Precision instrument and equipment repairers</t>
  </si>
  <si>
    <t>B24114_463</t>
  </si>
  <si>
    <t>Estimate!!Total:!!Wind turbine service technicians</t>
  </si>
  <si>
    <t>B24114_464</t>
  </si>
  <si>
    <t>Estimate!!Total:!!Coin, vending, and amusement machine servicers and repairers</t>
  </si>
  <si>
    <t>B24114_465</t>
  </si>
  <si>
    <t>Estimate!!Total:!!Commercial divers</t>
  </si>
  <si>
    <t>B24114_466</t>
  </si>
  <si>
    <t>Estimate!!Total:!!Locksmiths and safe repairers</t>
  </si>
  <si>
    <t>B24114_467</t>
  </si>
  <si>
    <t>Estimate!!Total:!!Manufactured building and mobile home installers</t>
  </si>
  <si>
    <t>B24114_468</t>
  </si>
  <si>
    <t>Estimate!!Total:!!Riggers</t>
  </si>
  <si>
    <t>B24114_469</t>
  </si>
  <si>
    <t>Estimate!!Total:!!Helpers--installation, maintenance, and repair workers</t>
  </si>
  <si>
    <t>B24114_470</t>
  </si>
  <si>
    <t>Estimate!!Total:!!Other installation, maintenance, and repair workers</t>
  </si>
  <si>
    <t>B24114_471</t>
  </si>
  <si>
    <t>Estimate!!Total:!!First-line supervisors of production and operating workers</t>
  </si>
  <si>
    <t>B24114_472</t>
  </si>
  <si>
    <t>Estimate!!Total:!!Aircraft structure, surfaces, rigging, and systems assemblers</t>
  </si>
  <si>
    <t>B24114_473</t>
  </si>
  <si>
    <t>Estimate!!Total:!!Electrical, electronics, and electromechanical assemblers</t>
  </si>
  <si>
    <t>B24114_474</t>
  </si>
  <si>
    <t>Estimate!!Total:!!Engine and other machine assemblers</t>
  </si>
  <si>
    <t>B24114_475</t>
  </si>
  <si>
    <t>Estimate!!Total:!!Structural metal fabricators and fitters</t>
  </si>
  <si>
    <t>B24114_476</t>
  </si>
  <si>
    <t>Estimate!!Total:!!Other assemblers and fabricators</t>
  </si>
  <si>
    <t>B24114_477</t>
  </si>
  <si>
    <t>Estimate!!Total:!!Bakers</t>
  </si>
  <si>
    <t>B24114_478</t>
  </si>
  <si>
    <t>Estimate!!Total:!!Butchers and other meat, poultry, and fish processing workers</t>
  </si>
  <si>
    <t>B24114_479</t>
  </si>
  <si>
    <t>Estimate!!Total:!!Food and tobacco roasting, baking, and drying machine operators and tenders</t>
  </si>
  <si>
    <t>B24114_480</t>
  </si>
  <si>
    <t>Estimate!!Total:!!Food batchmakers</t>
  </si>
  <si>
    <t>B24114_481</t>
  </si>
  <si>
    <t>Estimate!!Total:!!Food cooking machine operators and tenders</t>
  </si>
  <si>
    <t>B24114_482</t>
  </si>
  <si>
    <t>Estimate!!Total:!!Food processing workers, all other</t>
  </si>
  <si>
    <t>B24114_483</t>
  </si>
  <si>
    <t>Estimate!!Total:!!Computer numerically controlled tool operators and programmers</t>
  </si>
  <si>
    <t>B24114_484</t>
  </si>
  <si>
    <t>Estimate!!Total:!!Forming machine setters, operators, and tenders, metal and plastic</t>
  </si>
  <si>
    <t>B24114_485</t>
  </si>
  <si>
    <t>Estimate!!Total:!!Cutting, punching, and press machine setters, operators, and tenders, metal and plastic</t>
  </si>
  <si>
    <t>B24114_486</t>
  </si>
  <si>
    <t>Estimate!!Total:!!Grinding, lapping, polishing, and buffing machine tool setters, operators, and tenders, metal and plastic</t>
  </si>
  <si>
    <t>B24114_487</t>
  </si>
  <si>
    <t>Estimate!!Total:!!Other machine tool setters, operators, and tenders, metal and plastic</t>
  </si>
  <si>
    <t>B24114_488</t>
  </si>
  <si>
    <t>Estimate!!Total:!!Machinists</t>
  </si>
  <si>
    <t>B24114_489</t>
  </si>
  <si>
    <t>Estimate!!Total:!!Metal furnace operators, tenders, pourers, and casters</t>
  </si>
  <si>
    <t>B24114_490</t>
  </si>
  <si>
    <t>Estimate!!Total:!!Model makers and patternmakers, metal and plastic</t>
  </si>
  <si>
    <t>B24114_491</t>
  </si>
  <si>
    <t>Estimate!!Total:!!Molders and molding machine setters, operators, and tenders, metal and plastic</t>
  </si>
  <si>
    <t>B24114_492</t>
  </si>
  <si>
    <t>Estimate!!Total:!!Tool and die makers</t>
  </si>
  <si>
    <t>B24114_493</t>
  </si>
  <si>
    <t>Estimate!!Total:!!Welding, soldering, and brazing workers</t>
  </si>
  <si>
    <t>B24114_494</t>
  </si>
  <si>
    <t>Estimate!!Total:!!Other metal workers and plastic workers</t>
  </si>
  <si>
    <t>B24114_495</t>
  </si>
  <si>
    <t>Estimate!!Total:!!Prepress technicians and workers</t>
  </si>
  <si>
    <t>B24114_496</t>
  </si>
  <si>
    <t>Estimate!!Total:!!Printing press operators</t>
  </si>
  <si>
    <t>B24114_497</t>
  </si>
  <si>
    <t>Estimate!!Total:!!Print binding and finishing workers</t>
  </si>
  <si>
    <t>B24114_498</t>
  </si>
  <si>
    <t>Estimate!!Total:!!Laundry and dry-cleaning workers</t>
  </si>
  <si>
    <t>B24114_499</t>
  </si>
  <si>
    <t>Estimate!!Total:!!Pressers, textile, garment, and related materials</t>
  </si>
  <si>
    <t>B24114_500</t>
  </si>
  <si>
    <t>Estimate!!Total:!!Sewing machine operators</t>
  </si>
  <si>
    <t>B24114_501</t>
  </si>
  <si>
    <t>Estimate!!Total:!!Shoe and leather workers</t>
  </si>
  <si>
    <t>B24114_502</t>
  </si>
  <si>
    <t>Estimate!!Total:!!Tailors, dressmakers, and sewers</t>
  </si>
  <si>
    <t>B24114_503</t>
  </si>
  <si>
    <t>Estimate!!Total:!!Textile machine setters, operators, and tenders</t>
  </si>
  <si>
    <t>B24114_504</t>
  </si>
  <si>
    <t>Estimate!!Total:!!Upholsterers</t>
  </si>
  <si>
    <t>B24114_505</t>
  </si>
  <si>
    <t>Estimate!!Total:!!Other textile, apparel, and furnishings workers</t>
  </si>
  <si>
    <t>B24114_506</t>
  </si>
  <si>
    <t>Estimate!!Total:!!Cabinetmakers and bench carpenters</t>
  </si>
  <si>
    <t>B24114_507</t>
  </si>
  <si>
    <t>Estimate!!Total:!!Furniture finishers</t>
  </si>
  <si>
    <t>B24114_508</t>
  </si>
  <si>
    <t>Estimate!!Total:!!Sawing machine setters, operators, and tenders, wood</t>
  </si>
  <si>
    <t>B24114_509</t>
  </si>
  <si>
    <t>Estimate!!Total:!!Woodworking machine setters, operators, and tenders, except sawing</t>
  </si>
  <si>
    <t>B24114_510</t>
  </si>
  <si>
    <t>Estimate!!Total:!!Other woodworkers</t>
  </si>
  <si>
    <t>B24114_511</t>
  </si>
  <si>
    <t>Estimate!!Total:!!Power plant operators, distributors, and dispatchers</t>
  </si>
  <si>
    <t>B24114_512</t>
  </si>
  <si>
    <t>Estimate!!Total:!!Stationary engineers and boiler operators</t>
  </si>
  <si>
    <t>B24114_513</t>
  </si>
  <si>
    <t>Estimate!!Total:!!Water and wastewater treatment plant and system operators</t>
  </si>
  <si>
    <t>B24114_514</t>
  </si>
  <si>
    <t>Estimate!!Total:!!Miscellaneous plant and system operators</t>
  </si>
  <si>
    <t>B24114_515</t>
  </si>
  <si>
    <t>Estimate!!Total:!!Chemical processing machine setters, operators, and tenders</t>
  </si>
  <si>
    <t>B24114_516</t>
  </si>
  <si>
    <t>Estimate!!Total:!!Crushing, grinding, polishing, mixing, and blending workers</t>
  </si>
  <si>
    <t>B24114_517</t>
  </si>
  <si>
    <t>Estimate!!Total:!!Cutting workers</t>
  </si>
  <si>
    <t>B24114_518</t>
  </si>
  <si>
    <t>Estimate!!Total:!!Extruding, forming, pressing, and compacting machine setters, operators, and tenders</t>
  </si>
  <si>
    <t>B24114_519</t>
  </si>
  <si>
    <t>Estimate!!Total:!!Furnace, kiln, oven, drier, and kettle operators and tenders</t>
  </si>
  <si>
    <t>B24114_520</t>
  </si>
  <si>
    <t>Estimate!!Total:!!Inspectors, testers, sorters, samplers, and weighers</t>
  </si>
  <si>
    <t>B24114_521</t>
  </si>
  <si>
    <t>Estimate!!Total:!!Jewelers and precious stone and metal workers</t>
  </si>
  <si>
    <t>B24114_522</t>
  </si>
  <si>
    <t>Estimate!!Total:!!Dental and ophthalmic laboratory technicians and medical appliance technicians</t>
  </si>
  <si>
    <t>B24114_523</t>
  </si>
  <si>
    <t>Estimate!!Total:!!Packaging and filling machine operators and tenders</t>
  </si>
  <si>
    <t>B24114_524</t>
  </si>
  <si>
    <t>Estimate!!Total:!!Painting workers</t>
  </si>
  <si>
    <t>B24114_525</t>
  </si>
  <si>
    <t>Estimate!!Total:!!Photographic process workers and processing machine operators</t>
  </si>
  <si>
    <t>B24114_526</t>
  </si>
  <si>
    <t>Estimate!!Total:!!Adhesive bonding machine operators and tenders</t>
  </si>
  <si>
    <t>B24114_527</t>
  </si>
  <si>
    <t>Estimate!!Total:!!Etchers and engravers</t>
  </si>
  <si>
    <t>B24114_528</t>
  </si>
  <si>
    <t>Estimate!!Total:!!Molders, shapers, and casters, except metal and plastic</t>
  </si>
  <si>
    <t>B24114_529</t>
  </si>
  <si>
    <t>Estimate!!Total:!!Paper goods machine setters, operators, and tenders</t>
  </si>
  <si>
    <t>B24114_530</t>
  </si>
  <si>
    <t>Estimate!!Total:!!Tire builders</t>
  </si>
  <si>
    <t>B24114_531</t>
  </si>
  <si>
    <t>Estimate!!Total:!!Helpers--production workers</t>
  </si>
  <si>
    <t>B24114_532</t>
  </si>
  <si>
    <t>Estimate!!Total:!!Other production equipment operators and tenders</t>
  </si>
  <si>
    <t>B24114_533</t>
  </si>
  <si>
    <t>Estimate!!Total:!!Other production workers</t>
  </si>
  <si>
    <t>B24114_534</t>
  </si>
  <si>
    <t>Estimate!!Total:!!Supervisors of transportation and material moving workers</t>
  </si>
  <si>
    <t>B24114_535</t>
  </si>
  <si>
    <t>Estimate!!Total:!!Aircraft pilots and flight engineers</t>
  </si>
  <si>
    <t>B24114_536</t>
  </si>
  <si>
    <t>Estimate!!Total:!!Air traffic controllers and airfield operations specialists</t>
  </si>
  <si>
    <t>B24114_537</t>
  </si>
  <si>
    <t>Estimate!!Total:!!Flight attendants</t>
  </si>
  <si>
    <t>B24114_538</t>
  </si>
  <si>
    <t>Estimate!!Total:!!Ambulance drivers and attendants, except emergency medical technicians</t>
  </si>
  <si>
    <t>B24114_539</t>
  </si>
  <si>
    <t>Estimate!!Total:!!Bus drivers, school</t>
  </si>
  <si>
    <t>B24114_540</t>
  </si>
  <si>
    <t>Estimate!!Total:!!Bus drivers, transit and intercity</t>
  </si>
  <si>
    <t>B24114_541</t>
  </si>
  <si>
    <t>Estimate!!Total:!!Driver/sales workers and truck drivers</t>
  </si>
  <si>
    <t>B24114_542</t>
  </si>
  <si>
    <t>Estimate!!Total:!!Shuttle drivers and chauffeurs</t>
  </si>
  <si>
    <t>B24114_543</t>
  </si>
  <si>
    <t>Estimate!!Total:!!Taxi drivers</t>
  </si>
  <si>
    <t>B24114_544</t>
  </si>
  <si>
    <t>Estimate!!Total:!!Motor vehicle operators, all other</t>
  </si>
  <si>
    <t>B24114_545</t>
  </si>
  <si>
    <t>Estimate!!Total:!!Locomotive engineers and operators</t>
  </si>
  <si>
    <t>B24114_546</t>
  </si>
  <si>
    <t>Estimate!!Total:!!Railroad conductors and yardmasters</t>
  </si>
  <si>
    <t>B24114_547</t>
  </si>
  <si>
    <t>Estimate!!Total:!!Other rail transportation workers</t>
  </si>
  <si>
    <t>B24114_548</t>
  </si>
  <si>
    <t>Estimate!!Total:!!Sailors and marine oilers</t>
  </si>
  <si>
    <t>B24114_549</t>
  </si>
  <si>
    <t>Estimate!!Total:!!Ship and boat captains and operators</t>
  </si>
  <si>
    <t>B24114_550</t>
  </si>
  <si>
    <t>Estimate!!Total:!!Ship engineers</t>
  </si>
  <si>
    <t>B24114_551</t>
  </si>
  <si>
    <t>Estimate!!Total:!!Parking attendants</t>
  </si>
  <si>
    <t>B24114_552</t>
  </si>
  <si>
    <t>Estimate!!Total:!!Transportation service attendants</t>
  </si>
  <si>
    <t>B24114_553</t>
  </si>
  <si>
    <t>Estimate!!Total:!!Transportation inspectors</t>
  </si>
  <si>
    <t>B24114_554</t>
  </si>
  <si>
    <t>Estimate!!Total:!!Passenger attendants</t>
  </si>
  <si>
    <t>B24114_555</t>
  </si>
  <si>
    <t>Estimate!!Total:!!Other transportation workers</t>
  </si>
  <si>
    <t>B24114_556</t>
  </si>
  <si>
    <t>Estimate!!Total:!!Crane and tower operators</t>
  </si>
  <si>
    <t>B24114_557</t>
  </si>
  <si>
    <t>Estimate!!Total:!!Conveyor, dredge, and hoist and winch operators</t>
  </si>
  <si>
    <t>B24114_558</t>
  </si>
  <si>
    <t>Estimate!!Total:!!Industrial truck and tractor operators</t>
  </si>
  <si>
    <t>B24114_559</t>
  </si>
  <si>
    <t>Estimate!!Total:!!Cleaners of vehicles and equipment</t>
  </si>
  <si>
    <t>B24114_560</t>
  </si>
  <si>
    <t>Estimate!!Total:!!Laborers and freight, stock, and material movers, hand</t>
  </si>
  <si>
    <t>B24114_561</t>
  </si>
  <si>
    <t>Estimate!!Total:!!Machine feeders and offbearers</t>
  </si>
  <si>
    <t>B24114_562</t>
  </si>
  <si>
    <t>Estimate!!Total:!!Packers and packagers, hand</t>
  </si>
  <si>
    <t>B24114_563</t>
  </si>
  <si>
    <t>Estimate!!Total:!!Stockers and order fillers</t>
  </si>
  <si>
    <t>B24114_564</t>
  </si>
  <si>
    <t>Estimate!!Total:!!Pumping station operators</t>
  </si>
  <si>
    <t>B24114_565</t>
  </si>
  <si>
    <t>Estimate!!Total:!!Refuse and recyclable material collectors</t>
  </si>
  <si>
    <t>B24114_566</t>
  </si>
  <si>
    <t>Estimate!!Total:!!Other material moving workers</t>
  </si>
  <si>
    <t>B24115_002</t>
  </si>
  <si>
    <t>B24115_003</t>
  </si>
  <si>
    <t>B24115_004</t>
  </si>
  <si>
    <t>B24115_005</t>
  </si>
  <si>
    <t>B24115_006</t>
  </si>
  <si>
    <t>B24115_007</t>
  </si>
  <si>
    <t>B24115_008</t>
  </si>
  <si>
    <t>B24115_009</t>
  </si>
  <si>
    <t>B24115_010</t>
  </si>
  <si>
    <t>B24115_011</t>
  </si>
  <si>
    <t>B24115_012</t>
  </si>
  <si>
    <t>B24115_013</t>
  </si>
  <si>
    <t>B24115_014</t>
  </si>
  <si>
    <t>B24115_015</t>
  </si>
  <si>
    <t>B24115_016</t>
  </si>
  <si>
    <t>B24115_017</t>
  </si>
  <si>
    <t>B24115_018</t>
  </si>
  <si>
    <t>B24115_019</t>
  </si>
  <si>
    <t>B24115_020</t>
  </si>
  <si>
    <t>B24115_021</t>
  </si>
  <si>
    <t>B24115_022</t>
  </si>
  <si>
    <t>B24115_023</t>
  </si>
  <si>
    <t>B24115_024</t>
  </si>
  <si>
    <t>B24115_025</t>
  </si>
  <si>
    <t>B24115_026</t>
  </si>
  <si>
    <t>B24115_027</t>
  </si>
  <si>
    <t>B24115_028</t>
  </si>
  <si>
    <t>B24115_029</t>
  </si>
  <si>
    <t>B24115_030</t>
  </si>
  <si>
    <t>B24115_031</t>
  </si>
  <si>
    <t>B24115_032</t>
  </si>
  <si>
    <t>B24115_033</t>
  </si>
  <si>
    <t>B24115_034</t>
  </si>
  <si>
    <t>B24115_035</t>
  </si>
  <si>
    <t>B24115_036</t>
  </si>
  <si>
    <t>B24115_037</t>
  </si>
  <si>
    <t>B24115_038</t>
  </si>
  <si>
    <t>B24115_039</t>
  </si>
  <si>
    <t>B24115_040</t>
  </si>
  <si>
    <t>B24115_041</t>
  </si>
  <si>
    <t>B24115_042</t>
  </si>
  <si>
    <t>B24115_043</t>
  </si>
  <si>
    <t>B24115_044</t>
  </si>
  <si>
    <t>B24115_045</t>
  </si>
  <si>
    <t>B24115_046</t>
  </si>
  <si>
    <t>B24115_047</t>
  </si>
  <si>
    <t>B24115_048</t>
  </si>
  <si>
    <t>B24115_049</t>
  </si>
  <si>
    <t>B24115_050</t>
  </si>
  <si>
    <t>B24115_051</t>
  </si>
  <si>
    <t>B24115_052</t>
  </si>
  <si>
    <t>B24115_053</t>
  </si>
  <si>
    <t>B24115_054</t>
  </si>
  <si>
    <t>B24115_055</t>
  </si>
  <si>
    <t>B24115_056</t>
  </si>
  <si>
    <t>B24115_057</t>
  </si>
  <si>
    <t>B24115_058</t>
  </si>
  <si>
    <t>B24115_059</t>
  </si>
  <si>
    <t>B24115_060</t>
  </si>
  <si>
    <t>B24115_061</t>
  </si>
  <si>
    <t>B24115_062</t>
  </si>
  <si>
    <t>B24115_063</t>
  </si>
  <si>
    <t>B24115_064</t>
  </si>
  <si>
    <t>B24115_065</t>
  </si>
  <si>
    <t>B24115_066</t>
  </si>
  <si>
    <t>B24115_067</t>
  </si>
  <si>
    <t>B24115_068</t>
  </si>
  <si>
    <t>B24115_069</t>
  </si>
  <si>
    <t>B24115_070</t>
  </si>
  <si>
    <t>B24115_071</t>
  </si>
  <si>
    <t>B24115_072</t>
  </si>
  <si>
    <t>B24115_073</t>
  </si>
  <si>
    <t>B24115_074</t>
  </si>
  <si>
    <t>B24115_075</t>
  </si>
  <si>
    <t>B24115_076</t>
  </si>
  <si>
    <t>B24115_077</t>
  </si>
  <si>
    <t>B24115_078</t>
  </si>
  <si>
    <t>B24115_079</t>
  </si>
  <si>
    <t>B24115_080</t>
  </si>
  <si>
    <t>B24115_081</t>
  </si>
  <si>
    <t>B24115_082</t>
  </si>
  <si>
    <t>B24115_083</t>
  </si>
  <si>
    <t>B24115_084</t>
  </si>
  <si>
    <t>B24115_085</t>
  </si>
  <si>
    <t>B24115_086</t>
  </si>
  <si>
    <t>B24115_087</t>
  </si>
  <si>
    <t>B24115_088</t>
  </si>
  <si>
    <t>B24115_089</t>
  </si>
  <si>
    <t>B24115_090</t>
  </si>
  <si>
    <t>B24115_091</t>
  </si>
  <si>
    <t>B24115_092</t>
  </si>
  <si>
    <t>B24115_093</t>
  </si>
  <si>
    <t>B24115_094</t>
  </si>
  <si>
    <t>B24115_095</t>
  </si>
  <si>
    <t>B24115_096</t>
  </si>
  <si>
    <t>B24115_097</t>
  </si>
  <si>
    <t>B24115_098</t>
  </si>
  <si>
    <t>B24115_099</t>
  </si>
  <si>
    <t>B24115_100</t>
  </si>
  <si>
    <t>B24115_101</t>
  </si>
  <si>
    <t>B24115_102</t>
  </si>
  <si>
    <t>B24115_103</t>
  </si>
  <si>
    <t>B24115_104</t>
  </si>
  <si>
    <t>B24115_105</t>
  </si>
  <si>
    <t>B24115_106</t>
  </si>
  <si>
    <t>B24115_107</t>
  </si>
  <si>
    <t>B24115_108</t>
  </si>
  <si>
    <t>B24115_109</t>
  </si>
  <si>
    <t>B24115_110</t>
  </si>
  <si>
    <t>B24115_111</t>
  </si>
  <si>
    <t>B24115_112</t>
  </si>
  <si>
    <t>B24115_113</t>
  </si>
  <si>
    <t>B24115_114</t>
  </si>
  <si>
    <t>B24115_115</t>
  </si>
  <si>
    <t>B24115_116</t>
  </si>
  <si>
    <t>B24115_117</t>
  </si>
  <si>
    <t>B24115_118</t>
  </si>
  <si>
    <t>B24115_119</t>
  </si>
  <si>
    <t>B24115_120</t>
  </si>
  <si>
    <t>B24115_121</t>
  </si>
  <si>
    <t>B24115_122</t>
  </si>
  <si>
    <t>B24115_123</t>
  </si>
  <si>
    <t>B24115_124</t>
  </si>
  <si>
    <t>B24115_125</t>
  </si>
  <si>
    <t>B24115_126</t>
  </si>
  <si>
    <t>B24115_127</t>
  </si>
  <si>
    <t>B24115_128</t>
  </si>
  <si>
    <t>B24115_129</t>
  </si>
  <si>
    <t>B24115_130</t>
  </si>
  <si>
    <t>B24115_131</t>
  </si>
  <si>
    <t>B24115_132</t>
  </si>
  <si>
    <t>B24115_133</t>
  </si>
  <si>
    <t>B24115_134</t>
  </si>
  <si>
    <t>B24115_135</t>
  </si>
  <si>
    <t>B24115_136</t>
  </si>
  <si>
    <t>B24115_137</t>
  </si>
  <si>
    <t>B24115_138</t>
  </si>
  <si>
    <t>B24115_139</t>
  </si>
  <si>
    <t>B24115_140</t>
  </si>
  <si>
    <t>B24115_141</t>
  </si>
  <si>
    <t>B24115_142</t>
  </si>
  <si>
    <t>B24115_143</t>
  </si>
  <si>
    <t>B24115_144</t>
  </si>
  <si>
    <t>B24115_145</t>
  </si>
  <si>
    <t>B24115_146</t>
  </si>
  <si>
    <t>B24115_147</t>
  </si>
  <si>
    <t>B24115_148</t>
  </si>
  <si>
    <t>B24115_149</t>
  </si>
  <si>
    <t>B24115_150</t>
  </si>
  <si>
    <t>B24115_151</t>
  </si>
  <si>
    <t>B24115_152</t>
  </si>
  <si>
    <t>B24115_153</t>
  </si>
  <si>
    <t>B24115_154</t>
  </si>
  <si>
    <t>B24115_155</t>
  </si>
  <si>
    <t>B24115_156</t>
  </si>
  <si>
    <t>B24115_157</t>
  </si>
  <si>
    <t>B24115_158</t>
  </si>
  <si>
    <t>B24115_159</t>
  </si>
  <si>
    <t>B24115_160</t>
  </si>
  <si>
    <t>B24115_161</t>
  </si>
  <si>
    <t>B24115_162</t>
  </si>
  <si>
    <t>B24115_163</t>
  </si>
  <si>
    <t>B24115_164</t>
  </si>
  <si>
    <t>B24115_165</t>
  </si>
  <si>
    <t>B24115_166</t>
  </si>
  <si>
    <t>B24115_167</t>
  </si>
  <si>
    <t>B24115_168</t>
  </si>
  <si>
    <t>B24115_169</t>
  </si>
  <si>
    <t>B24115_170</t>
  </si>
  <si>
    <t>B24115_171</t>
  </si>
  <si>
    <t>B24115_172</t>
  </si>
  <si>
    <t>B24115_173</t>
  </si>
  <si>
    <t>B24115_174</t>
  </si>
  <si>
    <t>B24115_175</t>
  </si>
  <si>
    <t>B24115_176</t>
  </si>
  <si>
    <t>B24115_177</t>
  </si>
  <si>
    <t>B24115_178</t>
  </si>
  <si>
    <t>B24115_179</t>
  </si>
  <si>
    <t>B24115_180</t>
  </si>
  <si>
    <t>B24115_181</t>
  </si>
  <si>
    <t>B24115_182</t>
  </si>
  <si>
    <t>B24115_183</t>
  </si>
  <si>
    <t>B24115_184</t>
  </si>
  <si>
    <t>B24115_185</t>
  </si>
  <si>
    <t>B24115_186</t>
  </si>
  <si>
    <t>B24115_187</t>
  </si>
  <si>
    <t>B24115_188</t>
  </si>
  <si>
    <t>B24115_189</t>
  </si>
  <si>
    <t>B24115_190</t>
  </si>
  <si>
    <t>B24115_191</t>
  </si>
  <si>
    <t>B24115_192</t>
  </si>
  <si>
    <t>B24115_193</t>
  </si>
  <si>
    <t>B24115_194</t>
  </si>
  <si>
    <t>B24115_195</t>
  </si>
  <si>
    <t>B24115_196</t>
  </si>
  <si>
    <t>B24115_197</t>
  </si>
  <si>
    <t>B24115_198</t>
  </si>
  <si>
    <t>B24115_199</t>
  </si>
  <si>
    <t>B24115_200</t>
  </si>
  <si>
    <t>B24115_201</t>
  </si>
  <si>
    <t>B24115_202</t>
  </si>
  <si>
    <t>B24115_203</t>
  </si>
  <si>
    <t>B24115_204</t>
  </si>
  <si>
    <t>B24115_205</t>
  </si>
  <si>
    <t>B24115_206</t>
  </si>
  <si>
    <t>B24115_207</t>
  </si>
  <si>
    <t>B24115_208</t>
  </si>
  <si>
    <t>B24115_209</t>
  </si>
  <si>
    <t>B24115_210</t>
  </si>
  <si>
    <t>B24115_211</t>
  </si>
  <si>
    <t>B24115_212</t>
  </si>
  <si>
    <t>B24115_213</t>
  </si>
  <si>
    <t>B24115_214</t>
  </si>
  <si>
    <t>B24115_215</t>
  </si>
  <si>
    <t>B24115_216</t>
  </si>
  <si>
    <t>B24115_217</t>
  </si>
  <si>
    <t>B24115_218</t>
  </si>
  <si>
    <t>B24115_219</t>
  </si>
  <si>
    <t>B24115_220</t>
  </si>
  <si>
    <t>B24115_221</t>
  </si>
  <si>
    <t>B24115_222</t>
  </si>
  <si>
    <t>B24115_223</t>
  </si>
  <si>
    <t>B24115_224</t>
  </si>
  <si>
    <t>B24115_225</t>
  </si>
  <si>
    <t>B24115_226</t>
  </si>
  <si>
    <t>B24115_227</t>
  </si>
  <si>
    <t>B24115_228</t>
  </si>
  <si>
    <t>B24115_229</t>
  </si>
  <si>
    <t>B24115_230</t>
  </si>
  <si>
    <t>B24115_231</t>
  </si>
  <si>
    <t>B24115_232</t>
  </si>
  <si>
    <t>B24115_233</t>
  </si>
  <si>
    <t>B24115_234</t>
  </si>
  <si>
    <t>B24115_235</t>
  </si>
  <si>
    <t>B24115_236</t>
  </si>
  <si>
    <t>B24115_237</t>
  </si>
  <si>
    <t>B24115_238</t>
  </si>
  <si>
    <t>B24115_239</t>
  </si>
  <si>
    <t>B24115_240</t>
  </si>
  <si>
    <t>B24115_241</t>
  </si>
  <si>
    <t>B24115_242</t>
  </si>
  <si>
    <t>B24115_243</t>
  </si>
  <si>
    <t>B24115_244</t>
  </si>
  <si>
    <t>B24115_245</t>
  </si>
  <si>
    <t>B24115_246</t>
  </si>
  <si>
    <t>B24115_247</t>
  </si>
  <si>
    <t>B24115_248</t>
  </si>
  <si>
    <t>B24115_249</t>
  </si>
  <si>
    <t>B24115_250</t>
  </si>
  <si>
    <t>B24115_251</t>
  </si>
  <si>
    <t>B24115_252</t>
  </si>
  <si>
    <t>B24115_253</t>
  </si>
  <si>
    <t>B24115_254</t>
  </si>
  <si>
    <t>B24115_255</t>
  </si>
  <si>
    <t>B24115_256</t>
  </si>
  <si>
    <t>B24115_257</t>
  </si>
  <si>
    <t>B24115_258</t>
  </si>
  <si>
    <t>B24115_259</t>
  </si>
  <si>
    <t>B24115_260</t>
  </si>
  <si>
    <t>B24115_261</t>
  </si>
  <si>
    <t>B24115_262</t>
  </si>
  <si>
    <t>B24115_263</t>
  </si>
  <si>
    <t>B24115_264</t>
  </si>
  <si>
    <t>B24115_265</t>
  </si>
  <si>
    <t>B24115_266</t>
  </si>
  <si>
    <t>B24115_267</t>
  </si>
  <si>
    <t>B24115_268</t>
  </si>
  <si>
    <t>B24115_269</t>
  </si>
  <si>
    <t>B24115_270</t>
  </si>
  <si>
    <t>B24115_271</t>
  </si>
  <si>
    <t>B24115_272</t>
  </si>
  <si>
    <t>B24115_273</t>
  </si>
  <si>
    <t>B24115_274</t>
  </si>
  <si>
    <t>B24115_275</t>
  </si>
  <si>
    <t>B24115_276</t>
  </si>
  <si>
    <t>B24115_277</t>
  </si>
  <si>
    <t>B24115_278</t>
  </si>
  <si>
    <t>B24115_279</t>
  </si>
  <si>
    <t>B24115_280</t>
  </si>
  <si>
    <t>B24115_281</t>
  </si>
  <si>
    <t>B24115_282</t>
  </si>
  <si>
    <t>B24115_283</t>
  </si>
  <si>
    <t>B24115_284</t>
  </si>
  <si>
    <t>B24115_285</t>
  </si>
  <si>
    <t>B24115_286</t>
  </si>
  <si>
    <t>B24115_287</t>
  </si>
  <si>
    <t>B24115_288</t>
  </si>
  <si>
    <t>B24115_289</t>
  </si>
  <si>
    <t>B24115_290</t>
  </si>
  <si>
    <t>B24115_291</t>
  </si>
  <si>
    <t>B24115_292</t>
  </si>
  <si>
    <t>B24115_293</t>
  </si>
  <si>
    <t>B24115_294</t>
  </si>
  <si>
    <t>B24115_295</t>
  </si>
  <si>
    <t>B24115_296</t>
  </si>
  <si>
    <t>B24115_297</t>
  </si>
  <si>
    <t>B24115_298</t>
  </si>
  <si>
    <t>B24115_299</t>
  </si>
  <si>
    <t>B24115_300</t>
  </si>
  <si>
    <t>B24115_301</t>
  </si>
  <si>
    <t>B24115_302</t>
  </si>
  <si>
    <t>B24115_303</t>
  </si>
  <si>
    <t>B24115_304</t>
  </si>
  <si>
    <t>B24115_305</t>
  </si>
  <si>
    <t>B24115_306</t>
  </si>
  <si>
    <t>B24115_307</t>
  </si>
  <si>
    <t>B24115_308</t>
  </si>
  <si>
    <t>B24115_309</t>
  </si>
  <si>
    <t>B24115_310</t>
  </si>
  <si>
    <t>B24115_311</t>
  </si>
  <si>
    <t>B24115_312</t>
  </si>
  <si>
    <t>B24115_313</t>
  </si>
  <si>
    <t>B24115_314</t>
  </si>
  <si>
    <t>B24115_315</t>
  </si>
  <si>
    <t>B24115_316</t>
  </si>
  <si>
    <t>B24115_317</t>
  </si>
  <si>
    <t>B24115_318</t>
  </si>
  <si>
    <t>B24115_319</t>
  </si>
  <si>
    <t>B24115_320</t>
  </si>
  <si>
    <t>B24115_321</t>
  </si>
  <si>
    <t>B24115_322</t>
  </si>
  <si>
    <t>B24115_323</t>
  </si>
  <si>
    <t>B24115_324</t>
  </si>
  <si>
    <t>B24115_325</t>
  </si>
  <si>
    <t>B24115_326</t>
  </si>
  <si>
    <t>B24115_327</t>
  </si>
  <si>
    <t>B24115_328</t>
  </si>
  <si>
    <t>B24115_329</t>
  </si>
  <si>
    <t>B24115_330</t>
  </si>
  <si>
    <t>B24115_331</t>
  </si>
  <si>
    <t>B24115_332</t>
  </si>
  <si>
    <t>B24115_333</t>
  </si>
  <si>
    <t>B24115_334</t>
  </si>
  <si>
    <t>B24115_335</t>
  </si>
  <si>
    <t>B24115_336</t>
  </si>
  <si>
    <t>B24115_337</t>
  </si>
  <si>
    <t>B24115_338</t>
  </si>
  <si>
    <t>B24115_339</t>
  </si>
  <si>
    <t>B24115_340</t>
  </si>
  <si>
    <t>B24115_341</t>
  </si>
  <si>
    <t>B24115_342</t>
  </si>
  <si>
    <t>B24115_343</t>
  </si>
  <si>
    <t>B24115_344</t>
  </si>
  <si>
    <t>B24115_345</t>
  </si>
  <si>
    <t>B24115_346</t>
  </si>
  <si>
    <t>B24115_347</t>
  </si>
  <si>
    <t>B24115_348</t>
  </si>
  <si>
    <t>B24115_349</t>
  </si>
  <si>
    <t>B24115_350</t>
  </si>
  <si>
    <t>B24115_351</t>
  </si>
  <si>
    <t>B24115_352</t>
  </si>
  <si>
    <t>B24115_353</t>
  </si>
  <si>
    <t>B24115_354</t>
  </si>
  <si>
    <t>B24115_355</t>
  </si>
  <si>
    <t>B24115_356</t>
  </si>
  <si>
    <t>B24115_357</t>
  </si>
  <si>
    <t>B24115_358</t>
  </si>
  <si>
    <t>B24115_359</t>
  </si>
  <si>
    <t>B24115_360</t>
  </si>
  <si>
    <t>B24115_361</t>
  </si>
  <si>
    <t>B24115_362</t>
  </si>
  <si>
    <t>B24115_363</t>
  </si>
  <si>
    <t>B24115_364</t>
  </si>
  <si>
    <t>B24115_365</t>
  </si>
  <si>
    <t>B24115_366</t>
  </si>
  <si>
    <t>B24115_367</t>
  </si>
  <si>
    <t>B24115_368</t>
  </si>
  <si>
    <t>B24115_369</t>
  </si>
  <si>
    <t>B24115_370</t>
  </si>
  <si>
    <t>B24115_371</t>
  </si>
  <si>
    <t>B24115_372</t>
  </si>
  <si>
    <t>B24115_373</t>
  </si>
  <si>
    <t>B24115_374</t>
  </si>
  <si>
    <t>B24115_375</t>
  </si>
  <si>
    <t>B24115_376</t>
  </si>
  <si>
    <t>B24115_377</t>
  </si>
  <si>
    <t>B24115_378</t>
  </si>
  <si>
    <t>B24115_379</t>
  </si>
  <si>
    <t>B24115_380</t>
  </si>
  <si>
    <t>B24115_381</t>
  </si>
  <si>
    <t>B24115_382</t>
  </si>
  <si>
    <t>B24115_383</t>
  </si>
  <si>
    <t>B24115_384</t>
  </si>
  <si>
    <t>B24115_385</t>
  </si>
  <si>
    <t>B24115_386</t>
  </si>
  <si>
    <t>B24115_387</t>
  </si>
  <si>
    <t>B24115_388</t>
  </si>
  <si>
    <t>B24115_389</t>
  </si>
  <si>
    <t>B24115_390</t>
  </si>
  <si>
    <t>B24115_391</t>
  </si>
  <si>
    <t>B24115_392</t>
  </si>
  <si>
    <t>B24115_393</t>
  </si>
  <si>
    <t>B24115_394</t>
  </si>
  <si>
    <t>B24115_395</t>
  </si>
  <si>
    <t>B24115_396</t>
  </si>
  <si>
    <t>B24115_397</t>
  </si>
  <si>
    <t>B24115_398</t>
  </si>
  <si>
    <t>B24115_399</t>
  </si>
  <si>
    <t>B24115_400</t>
  </si>
  <si>
    <t>B24115_401</t>
  </si>
  <si>
    <t>B24115_402</t>
  </si>
  <si>
    <t>B24115_403</t>
  </si>
  <si>
    <t>B24115_404</t>
  </si>
  <si>
    <t>B24115_405</t>
  </si>
  <si>
    <t>B24115_406</t>
  </si>
  <si>
    <t>B24115_407</t>
  </si>
  <si>
    <t>B24115_408</t>
  </si>
  <si>
    <t>B24115_409</t>
  </si>
  <si>
    <t>B24115_410</t>
  </si>
  <si>
    <t>B24115_411</t>
  </si>
  <si>
    <t>B24115_412</t>
  </si>
  <si>
    <t>B24115_413</t>
  </si>
  <si>
    <t>B24115_414</t>
  </si>
  <si>
    <t>B24115_415</t>
  </si>
  <si>
    <t>B24115_416</t>
  </si>
  <si>
    <t>B24115_417</t>
  </si>
  <si>
    <t>B24115_418</t>
  </si>
  <si>
    <t>B24115_419</t>
  </si>
  <si>
    <t>B24115_420</t>
  </si>
  <si>
    <t>B24115_421</t>
  </si>
  <si>
    <t>B24115_422</t>
  </si>
  <si>
    <t>B24115_423</t>
  </si>
  <si>
    <t>B24115_424</t>
  </si>
  <si>
    <t>B24115_425</t>
  </si>
  <si>
    <t>B24115_426</t>
  </si>
  <si>
    <t>B24115_427</t>
  </si>
  <si>
    <t>B24115_428</t>
  </si>
  <si>
    <t>B24115_429</t>
  </si>
  <si>
    <t>B24115_430</t>
  </si>
  <si>
    <t>B24115_431</t>
  </si>
  <si>
    <t>B24115_432</t>
  </si>
  <si>
    <t>B24115_433</t>
  </si>
  <si>
    <t>B24115_434</t>
  </si>
  <si>
    <t>B24115_435</t>
  </si>
  <si>
    <t>B24115_436</t>
  </si>
  <si>
    <t>B24115_437</t>
  </si>
  <si>
    <t>B24115_438</t>
  </si>
  <si>
    <t>B24115_439</t>
  </si>
  <si>
    <t>B24115_440</t>
  </si>
  <si>
    <t>B24115_441</t>
  </si>
  <si>
    <t>B24115_442</t>
  </si>
  <si>
    <t>B24115_443</t>
  </si>
  <si>
    <t>B24115_444</t>
  </si>
  <si>
    <t>B24115_445</t>
  </si>
  <si>
    <t>B24115_446</t>
  </si>
  <si>
    <t>B24115_447</t>
  </si>
  <si>
    <t>B24115_448</t>
  </si>
  <si>
    <t>B24115_449</t>
  </si>
  <si>
    <t>B24115_450</t>
  </si>
  <si>
    <t>B24115_451</t>
  </si>
  <si>
    <t>B24115_452</t>
  </si>
  <si>
    <t>B24115_453</t>
  </si>
  <si>
    <t>B24115_454</t>
  </si>
  <si>
    <t>B24115_455</t>
  </si>
  <si>
    <t>B24115_456</t>
  </si>
  <si>
    <t>B24115_457</t>
  </si>
  <si>
    <t>B24115_458</t>
  </si>
  <si>
    <t>B24115_459</t>
  </si>
  <si>
    <t>B24115_460</t>
  </si>
  <si>
    <t>B24115_461</t>
  </si>
  <si>
    <t>B24115_462</t>
  </si>
  <si>
    <t>B24115_463</t>
  </si>
  <si>
    <t>B24115_464</t>
  </si>
  <si>
    <t>B24115_465</t>
  </si>
  <si>
    <t>B24115_466</t>
  </si>
  <si>
    <t>B24115_467</t>
  </si>
  <si>
    <t>B24115_468</t>
  </si>
  <si>
    <t>B24115_469</t>
  </si>
  <si>
    <t>B24115_470</t>
  </si>
  <si>
    <t>B24115_471</t>
  </si>
  <si>
    <t>B24115_472</t>
  </si>
  <si>
    <t>B24115_473</t>
  </si>
  <si>
    <t>B24115_474</t>
  </si>
  <si>
    <t>B24115_475</t>
  </si>
  <si>
    <t>B24115_476</t>
  </si>
  <si>
    <t>B24115_477</t>
  </si>
  <si>
    <t>B24115_478</t>
  </si>
  <si>
    <t>B24115_479</t>
  </si>
  <si>
    <t>B24115_480</t>
  </si>
  <si>
    <t>B24115_481</t>
  </si>
  <si>
    <t>B24115_482</t>
  </si>
  <si>
    <t>B24115_483</t>
  </si>
  <si>
    <t>B24115_484</t>
  </si>
  <si>
    <t>B24115_485</t>
  </si>
  <si>
    <t>B24115_486</t>
  </si>
  <si>
    <t>B24115_487</t>
  </si>
  <si>
    <t>B24115_488</t>
  </si>
  <si>
    <t>B24115_489</t>
  </si>
  <si>
    <t>B24115_490</t>
  </si>
  <si>
    <t>B24115_491</t>
  </si>
  <si>
    <t>B24115_492</t>
  </si>
  <si>
    <t>B24115_493</t>
  </si>
  <si>
    <t>B24115_494</t>
  </si>
  <si>
    <t>B24115_495</t>
  </si>
  <si>
    <t>B24115_496</t>
  </si>
  <si>
    <t>B24115_497</t>
  </si>
  <si>
    <t>B24115_498</t>
  </si>
  <si>
    <t>B24115_499</t>
  </si>
  <si>
    <t>B24115_500</t>
  </si>
  <si>
    <t>B24115_501</t>
  </si>
  <si>
    <t>B24115_502</t>
  </si>
  <si>
    <t>B24115_503</t>
  </si>
  <si>
    <t>B24115_504</t>
  </si>
  <si>
    <t>B24115_505</t>
  </si>
  <si>
    <t>B24115_506</t>
  </si>
  <si>
    <t>B24115_507</t>
  </si>
  <si>
    <t>B24115_508</t>
  </si>
  <si>
    <t>B24115_509</t>
  </si>
  <si>
    <t>B24115_510</t>
  </si>
  <si>
    <t>B24115_511</t>
  </si>
  <si>
    <t>B24115_512</t>
  </si>
  <si>
    <t>B24115_513</t>
  </si>
  <si>
    <t>B24115_514</t>
  </si>
  <si>
    <t>B24115_515</t>
  </si>
  <si>
    <t>B24115_516</t>
  </si>
  <si>
    <t>B24115_517</t>
  </si>
  <si>
    <t>B24115_518</t>
  </si>
  <si>
    <t>B24115_519</t>
  </si>
  <si>
    <t>B24115_520</t>
  </si>
  <si>
    <t>B24115_521</t>
  </si>
  <si>
    <t>B24115_522</t>
  </si>
  <si>
    <t>B24115_523</t>
  </si>
  <si>
    <t>B24115_524</t>
  </si>
  <si>
    <t>B24115_525</t>
  </si>
  <si>
    <t>B24115_526</t>
  </si>
  <si>
    <t>B24115_527</t>
  </si>
  <si>
    <t>B24115_528</t>
  </si>
  <si>
    <t>B24115_529</t>
  </si>
  <si>
    <t>B24115_530</t>
  </si>
  <si>
    <t>B24115_531</t>
  </si>
  <si>
    <t>B24115_532</t>
  </si>
  <si>
    <t>B24115_533</t>
  </si>
  <si>
    <t>B24115_534</t>
  </si>
  <si>
    <t>B24115_535</t>
  </si>
  <si>
    <t>B24115_536</t>
  </si>
  <si>
    <t>B24115_537</t>
  </si>
  <si>
    <t>B24115_538</t>
  </si>
  <si>
    <t>B24115_539</t>
  </si>
  <si>
    <t>B24115_540</t>
  </si>
  <si>
    <t>B24115_541</t>
  </si>
  <si>
    <t>B24115_542</t>
  </si>
  <si>
    <t>B24115_543</t>
  </si>
  <si>
    <t>B24115_544</t>
  </si>
  <si>
    <t>B24115_545</t>
  </si>
  <si>
    <t>B24115_546</t>
  </si>
  <si>
    <t>B24115_547</t>
  </si>
  <si>
    <t>B24115_548</t>
  </si>
  <si>
    <t>B24115_549</t>
  </si>
  <si>
    <t>B24115_550</t>
  </si>
  <si>
    <t>B24115_551</t>
  </si>
  <si>
    <t>B24115_552</t>
  </si>
  <si>
    <t>B24115_553</t>
  </si>
  <si>
    <t>B24115_554</t>
  </si>
  <si>
    <t>B24115_555</t>
  </si>
  <si>
    <t>B24115_556</t>
  </si>
  <si>
    <t>B24115_557</t>
  </si>
  <si>
    <t>B24115_558</t>
  </si>
  <si>
    <t>B24115_559</t>
  </si>
  <si>
    <t>B24115_560</t>
  </si>
  <si>
    <t>B24115_561</t>
  </si>
  <si>
    <t>B24115_562</t>
  </si>
  <si>
    <t>B24115_563</t>
  </si>
  <si>
    <t>B24115_564</t>
  </si>
  <si>
    <t>B24115_565</t>
  </si>
  <si>
    <t>B24115_566</t>
  </si>
  <si>
    <t>B24116_002</t>
  </si>
  <si>
    <t>B24116_003</t>
  </si>
  <si>
    <t>B24116_004</t>
  </si>
  <si>
    <t>B24116_005</t>
  </si>
  <si>
    <t>B24116_006</t>
  </si>
  <si>
    <t>B24116_007</t>
  </si>
  <si>
    <t>B24116_008</t>
  </si>
  <si>
    <t>B24116_009</t>
  </si>
  <si>
    <t>B24116_010</t>
  </si>
  <si>
    <t>B24116_011</t>
  </si>
  <si>
    <t>B24116_012</t>
  </si>
  <si>
    <t>B24116_013</t>
  </si>
  <si>
    <t>B24116_014</t>
  </si>
  <si>
    <t>B24116_015</t>
  </si>
  <si>
    <t>B24116_016</t>
  </si>
  <si>
    <t>B24116_017</t>
  </si>
  <si>
    <t>B24116_018</t>
  </si>
  <si>
    <t>B24116_019</t>
  </si>
  <si>
    <t>B24116_020</t>
  </si>
  <si>
    <t>B24116_021</t>
  </si>
  <si>
    <t>B24116_022</t>
  </si>
  <si>
    <t>B24116_023</t>
  </si>
  <si>
    <t>B24116_024</t>
  </si>
  <si>
    <t>B24116_025</t>
  </si>
  <si>
    <t>B24116_026</t>
  </si>
  <si>
    <t>B24116_027</t>
  </si>
  <si>
    <t>B24116_028</t>
  </si>
  <si>
    <t>B24116_029</t>
  </si>
  <si>
    <t>B24116_030</t>
  </si>
  <si>
    <t>B24116_031</t>
  </si>
  <si>
    <t>B24116_032</t>
  </si>
  <si>
    <t>B24116_033</t>
  </si>
  <si>
    <t>B24116_034</t>
  </si>
  <si>
    <t>B24116_035</t>
  </si>
  <si>
    <t>B24116_036</t>
  </si>
  <si>
    <t>B24116_037</t>
  </si>
  <si>
    <t>B24116_038</t>
  </si>
  <si>
    <t>B24116_039</t>
  </si>
  <si>
    <t>B24116_040</t>
  </si>
  <si>
    <t>B24116_041</t>
  </si>
  <si>
    <t>B24116_042</t>
  </si>
  <si>
    <t>B24116_043</t>
  </si>
  <si>
    <t>B24116_044</t>
  </si>
  <si>
    <t>B24116_045</t>
  </si>
  <si>
    <t>B24116_046</t>
  </si>
  <si>
    <t>B24116_047</t>
  </si>
  <si>
    <t>B24116_048</t>
  </si>
  <si>
    <t>B24116_049</t>
  </si>
  <si>
    <t>B24116_050</t>
  </si>
  <si>
    <t>B24116_051</t>
  </si>
  <si>
    <t>B24116_052</t>
  </si>
  <si>
    <t>B24116_053</t>
  </si>
  <si>
    <t>B24116_054</t>
  </si>
  <si>
    <t>B24116_055</t>
  </si>
  <si>
    <t>B24116_056</t>
  </si>
  <si>
    <t>B24116_057</t>
  </si>
  <si>
    <t>B24116_058</t>
  </si>
  <si>
    <t>B24116_059</t>
  </si>
  <si>
    <t>B24116_060</t>
  </si>
  <si>
    <t>B24116_061</t>
  </si>
  <si>
    <t>B24116_062</t>
  </si>
  <si>
    <t>B24116_063</t>
  </si>
  <si>
    <t>B24116_064</t>
  </si>
  <si>
    <t>B24116_065</t>
  </si>
  <si>
    <t>B24116_066</t>
  </si>
  <si>
    <t>B24116_067</t>
  </si>
  <si>
    <t>B24116_068</t>
  </si>
  <si>
    <t>B24116_069</t>
  </si>
  <si>
    <t>B24116_070</t>
  </si>
  <si>
    <t>B24116_071</t>
  </si>
  <si>
    <t>B24116_072</t>
  </si>
  <si>
    <t>B24116_073</t>
  </si>
  <si>
    <t>B24116_074</t>
  </si>
  <si>
    <t>B24116_075</t>
  </si>
  <si>
    <t>B24116_076</t>
  </si>
  <si>
    <t>B24116_077</t>
  </si>
  <si>
    <t>B24116_078</t>
  </si>
  <si>
    <t>B24116_079</t>
  </si>
  <si>
    <t>B24116_080</t>
  </si>
  <si>
    <t>B24116_081</t>
  </si>
  <si>
    <t>B24116_082</t>
  </si>
  <si>
    <t>B24116_083</t>
  </si>
  <si>
    <t>B24116_084</t>
  </si>
  <si>
    <t>B24116_085</t>
  </si>
  <si>
    <t>B24116_086</t>
  </si>
  <si>
    <t>B24116_087</t>
  </si>
  <si>
    <t>B24116_088</t>
  </si>
  <si>
    <t>B24116_089</t>
  </si>
  <si>
    <t>B24116_090</t>
  </si>
  <si>
    <t>B24116_091</t>
  </si>
  <si>
    <t>B24116_092</t>
  </si>
  <si>
    <t>B24116_093</t>
  </si>
  <si>
    <t>B24116_094</t>
  </si>
  <si>
    <t>B24116_095</t>
  </si>
  <si>
    <t>B24116_096</t>
  </si>
  <si>
    <t>B24116_097</t>
  </si>
  <si>
    <t>B24116_098</t>
  </si>
  <si>
    <t>B24116_099</t>
  </si>
  <si>
    <t>B24116_100</t>
  </si>
  <si>
    <t>B24116_101</t>
  </si>
  <si>
    <t>B24116_102</t>
  </si>
  <si>
    <t>B24116_103</t>
  </si>
  <si>
    <t>B24116_104</t>
  </si>
  <si>
    <t>B24116_105</t>
  </si>
  <si>
    <t>B24116_106</t>
  </si>
  <si>
    <t>B24116_107</t>
  </si>
  <si>
    <t>B24116_108</t>
  </si>
  <si>
    <t>B24116_109</t>
  </si>
  <si>
    <t>B24116_110</t>
  </si>
  <si>
    <t>B24116_111</t>
  </si>
  <si>
    <t>B24116_112</t>
  </si>
  <si>
    <t>B24116_113</t>
  </si>
  <si>
    <t>B24116_114</t>
  </si>
  <si>
    <t>B24116_115</t>
  </si>
  <si>
    <t>B24116_116</t>
  </si>
  <si>
    <t>B24116_117</t>
  </si>
  <si>
    <t>B24116_118</t>
  </si>
  <si>
    <t>B24116_119</t>
  </si>
  <si>
    <t>B24116_120</t>
  </si>
  <si>
    <t>B24116_121</t>
  </si>
  <si>
    <t>B24116_122</t>
  </si>
  <si>
    <t>B24116_123</t>
  </si>
  <si>
    <t>B24116_124</t>
  </si>
  <si>
    <t>B24116_125</t>
  </si>
  <si>
    <t>B24116_126</t>
  </si>
  <si>
    <t>B24116_127</t>
  </si>
  <si>
    <t>B24116_128</t>
  </si>
  <si>
    <t>B24116_129</t>
  </si>
  <si>
    <t>B24116_130</t>
  </si>
  <si>
    <t>B24116_131</t>
  </si>
  <si>
    <t>B24116_132</t>
  </si>
  <si>
    <t>B24116_133</t>
  </si>
  <si>
    <t>B24116_134</t>
  </si>
  <si>
    <t>B24116_135</t>
  </si>
  <si>
    <t>B24116_136</t>
  </si>
  <si>
    <t>B24116_137</t>
  </si>
  <si>
    <t>B24116_138</t>
  </si>
  <si>
    <t>B24116_139</t>
  </si>
  <si>
    <t>B24116_140</t>
  </si>
  <si>
    <t>B24116_141</t>
  </si>
  <si>
    <t>B24116_142</t>
  </si>
  <si>
    <t>B24116_143</t>
  </si>
  <si>
    <t>B24116_144</t>
  </si>
  <si>
    <t>B24116_145</t>
  </si>
  <si>
    <t>B24116_146</t>
  </si>
  <si>
    <t>B24116_147</t>
  </si>
  <si>
    <t>B24116_148</t>
  </si>
  <si>
    <t>B24116_149</t>
  </si>
  <si>
    <t>B24116_150</t>
  </si>
  <si>
    <t>B24116_151</t>
  </si>
  <si>
    <t>B24116_152</t>
  </si>
  <si>
    <t>B24116_153</t>
  </si>
  <si>
    <t>B24116_154</t>
  </si>
  <si>
    <t>B24116_155</t>
  </si>
  <si>
    <t>B24116_156</t>
  </si>
  <si>
    <t>B24116_157</t>
  </si>
  <si>
    <t>B24116_158</t>
  </si>
  <si>
    <t>B24116_159</t>
  </si>
  <si>
    <t>B24116_160</t>
  </si>
  <si>
    <t>B24116_161</t>
  </si>
  <si>
    <t>B24116_162</t>
  </si>
  <si>
    <t>B24116_163</t>
  </si>
  <si>
    <t>B24116_164</t>
  </si>
  <si>
    <t>B24116_165</t>
  </si>
  <si>
    <t>B24116_166</t>
  </si>
  <si>
    <t>B24116_167</t>
  </si>
  <si>
    <t>B24116_168</t>
  </si>
  <si>
    <t>B24116_169</t>
  </si>
  <si>
    <t>B24116_170</t>
  </si>
  <si>
    <t>B24116_171</t>
  </si>
  <si>
    <t>B24116_172</t>
  </si>
  <si>
    <t>B24116_173</t>
  </si>
  <si>
    <t>B24116_174</t>
  </si>
  <si>
    <t>B24116_175</t>
  </si>
  <si>
    <t>B24116_176</t>
  </si>
  <si>
    <t>B24116_177</t>
  </si>
  <si>
    <t>B24116_178</t>
  </si>
  <si>
    <t>B24116_179</t>
  </si>
  <si>
    <t>B24116_180</t>
  </si>
  <si>
    <t>B24116_181</t>
  </si>
  <si>
    <t>B24116_182</t>
  </si>
  <si>
    <t>B24116_183</t>
  </si>
  <si>
    <t>B24116_184</t>
  </si>
  <si>
    <t>B24116_185</t>
  </si>
  <si>
    <t>B24116_186</t>
  </si>
  <si>
    <t>B24116_187</t>
  </si>
  <si>
    <t>B24116_188</t>
  </si>
  <si>
    <t>B24116_189</t>
  </si>
  <si>
    <t>B24116_190</t>
  </si>
  <si>
    <t>B24116_191</t>
  </si>
  <si>
    <t>B24116_192</t>
  </si>
  <si>
    <t>B24116_193</t>
  </si>
  <si>
    <t>B24116_194</t>
  </si>
  <si>
    <t>B24116_195</t>
  </si>
  <si>
    <t>B24116_196</t>
  </si>
  <si>
    <t>B24116_197</t>
  </si>
  <si>
    <t>B24116_198</t>
  </si>
  <si>
    <t>B24116_199</t>
  </si>
  <si>
    <t>B24116_200</t>
  </si>
  <si>
    <t>B24116_201</t>
  </si>
  <si>
    <t>B24116_202</t>
  </si>
  <si>
    <t>B24116_203</t>
  </si>
  <si>
    <t>B24116_204</t>
  </si>
  <si>
    <t>B24116_205</t>
  </si>
  <si>
    <t>B24116_206</t>
  </si>
  <si>
    <t>B24116_207</t>
  </si>
  <si>
    <t>B24116_208</t>
  </si>
  <si>
    <t>B24116_209</t>
  </si>
  <si>
    <t>B24116_210</t>
  </si>
  <si>
    <t>B24116_211</t>
  </si>
  <si>
    <t>B24116_212</t>
  </si>
  <si>
    <t>B24116_213</t>
  </si>
  <si>
    <t>B24116_214</t>
  </si>
  <si>
    <t>B24116_215</t>
  </si>
  <si>
    <t>B24116_216</t>
  </si>
  <si>
    <t>B24116_217</t>
  </si>
  <si>
    <t>B24116_218</t>
  </si>
  <si>
    <t>B24116_219</t>
  </si>
  <si>
    <t>B24116_220</t>
  </si>
  <si>
    <t>B24116_221</t>
  </si>
  <si>
    <t>B24116_222</t>
  </si>
  <si>
    <t>B24116_223</t>
  </si>
  <si>
    <t>B24116_224</t>
  </si>
  <si>
    <t>B24116_225</t>
  </si>
  <si>
    <t>B24116_226</t>
  </si>
  <si>
    <t>B24116_227</t>
  </si>
  <si>
    <t>B24116_228</t>
  </si>
  <si>
    <t>B24116_229</t>
  </si>
  <si>
    <t>B24116_230</t>
  </si>
  <si>
    <t>B24116_231</t>
  </si>
  <si>
    <t>B24116_232</t>
  </si>
  <si>
    <t>B24116_233</t>
  </si>
  <si>
    <t>B24116_234</t>
  </si>
  <si>
    <t>B24116_235</t>
  </si>
  <si>
    <t>B24116_236</t>
  </si>
  <si>
    <t>B24116_237</t>
  </si>
  <si>
    <t>B24116_238</t>
  </si>
  <si>
    <t>B24116_239</t>
  </si>
  <si>
    <t>B24116_240</t>
  </si>
  <si>
    <t>B24116_241</t>
  </si>
  <si>
    <t>B24116_242</t>
  </si>
  <si>
    <t>B24116_243</t>
  </si>
  <si>
    <t>B24116_244</t>
  </si>
  <si>
    <t>B24116_245</t>
  </si>
  <si>
    <t>B24116_246</t>
  </si>
  <si>
    <t>B24116_247</t>
  </si>
  <si>
    <t>B24116_248</t>
  </si>
  <si>
    <t>B24116_249</t>
  </si>
  <si>
    <t>B24116_250</t>
  </si>
  <si>
    <t>B24116_251</t>
  </si>
  <si>
    <t>B24116_252</t>
  </si>
  <si>
    <t>B24116_253</t>
  </si>
  <si>
    <t>B24116_254</t>
  </si>
  <si>
    <t>B24116_255</t>
  </si>
  <si>
    <t>B24116_256</t>
  </si>
  <si>
    <t>B24116_257</t>
  </si>
  <si>
    <t>B24116_258</t>
  </si>
  <si>
    <t>B24116_259</t>
  </si>
  <si>
    <t>B24116_260</t>
  </si>
  <si>
    <t>B24116_261</t>
  </si>
  <si>
    <t>B24116_262</t>
  </si>
  <si>
    <t>B24116_263</t>
  </si>
  <si>
    <t>B24116_264</t>
  </si>
  <si>
    <t>B24116_265</t>
  </si>
  <si>
    <t>B24116_266</t>
  </si>
  <si>
    <t>B24116_267</t>
  </si>
  <si>
    <t>B24116_268</t>
  </si>
  <si>
    <t>B24116_269</t>
  </si>
  <si>
    <t>B24116_270</t>
  </si>
  <si>
    <t>B24116_271</t>
  </si>
  <si>
    <t>B24116_272</t>
  </si>
  <si>
    <t>B24116_273</t>
  </si>
  <si>
    <t>B24116_274</t>
  </si>
  <si>
    <t>B24116_275</t>
  </si>
  <si>
    <t>B24116_276</t>
  </si>
  <si>
    <t>B24116_277</t>
  </si>
  <si>
    <t>B24116_278</t>
  </si>
  <si>
    <t>B24116_279</t>
  </si>
  <si>
    <t>B24116_280</t>
  </si>
  <si>
    <t>B24116_281</t>
  </si>
  <si>
    <t>B24116_282</t>
  </si>
  <si>
    <t>B24116_283</t>
  </si>
  <si>
    <t>B24116_284</t>
  </si>
  <si>
    <t>B24116_285</t>
  </si>
  <si>
    <t>B24116_286</t>
  </si>
  <si>
    <t>B24116_287</t>
  </si>
  <si>
    <t>B24116_288</t>
  </si>
  <si>
    <t>B24116_289</t>
  </si>
  <si>
    <t>B24116_290</t>
  </si>
  <si>
    <t>B24116_291</t>
  </si>
  <si>
    <t>B24116_292</t>
  </si>
  <si>
    <t>B24116_293</t>
  </si>
  <si>
    <t>B24116_294</t>
  </si>
  <si>
    <t>B24116_295</t>
  </si>
  <si>
    <t>B24116_296</t>
  </si>
  <si>
    <t>B24116_297</t>
  </si>
  <si>
    <t>B24116_298</t>
  </si>
  <si>
    <t>B24116_299</t>
  </si>
  <si>
    <t>B24116_300</t>
  </si>
  <si>
    <t>B24116_301</t>
  </si>
  <si>
    <t>B24116_302</t>
  </si>
  <si>
    <t>B24116_303</t>
  </si>
  <si>
    <t>B24116_304</t>
  </si>
  <si>
    <t>B24116_305</t>
  </si>
  <si>
    <t>B24116_306</t>
  </si>
  <si>
    <t>B24116_307</t>
  </si>
  <si>
    <t>B24116_308</t>
  </si>
  <si>
    <t>B24116_309</t>
  </si>
  <si>
    <t>B24116_310</t>
  </si>
  <si>
    <t>B24116_311</t>
  </si>
  <si>
    <t>B24116_312</t>
  </si>
  <si>
    <t>B24116_313</t>
  </si>
  <si>
    <t>B24116_314</t>
  </si>
  <si>
    <t>B24116_315</t>
  </si>
  <si>
    <t>B24116_316</t>
  </si>
  <si>
    <t>B24116_317</t>
  </si>
  <si>
    <t>B24116_318</t>
  </si>
  <si>
    <t>B24116_319</t>
  </si>
  <si>
    <t>B24116_320</t>
  </si>
  <si>
    <t>B24116_321</t>
  </si>
  <si>
    <t>B24116_322</t>
  </si>
  <si>
    <t>B24116_323</t>
  </si>
  <si>
    <t>B24116_324</t>
  </si>
  <si>
    <t>B24116_325</t>
  </si>
  <si>
    <t>B24116_326</t>
  </si>
  <si>
    <t>B24116_327</t>
  </si>
  <si>
    <t>B24116_328</t>
  </si>
  <si>
    <t>B24116_329</t>
  </si>
  <si>
    <t>B24116_330</t>
  </si>
  <si>
    <t>B24116_331</t>
  </si>
  <si>
    <t>B24116_332</t>
  </si>
  <si>
    <t>B24116_333</t>
  </si>
  <si>
    <t>B24116_334</t>
  </si>
  <si>
    <t>B24116_335</t>
  </si>
  <si>
    <t>B24116_336</t>
  </si>
  <si>
    <t>B24116_337</t>
  </si>
  <si>
    <t>B24116_338</t>
  </si>
  <si>
    <t>B24116_339</t>
  </si>
  <si>
    <t>B24116_340</t>
  </si>
  <si>
    <t>B24116_341</t>
  </si>
  <si>
    <t>B24116_342</t>
  </si>
  <si>
    <t>B24116_343</t>
  </si>
  <si>
    <t>B24116_344</t>
  </si>
  <si>
    <t>B24116_345</t>
  </si>
  <si>
    <t>B24116_346</t>
  </si>
  <si>
    <t>B24116_347</t>
  </si>
  <si>
    <t>B24116_348</t>
  </si>
  <si>
    <t>B24116_349</t>
  </si>
  <si>
    <t>B24116_350</t>
  </si>
  <si>
    <t>B24116_351</t>
  </si>
  <si>
    <t>B24116_352</t>
  </si>
  <si>
    <t>B24116_353</t>
  </si>
  <si>
    <t>B24116_354</t>
  </si>
  <si>
    <t>B24116_355</t>
  </si>
  <si>
    <t>B24116_356</t>
  </si>
  <si>
    <t>B24116_357</t>
  </si>
  <si>
    <t>B24116_358</t>
  </si>
  <si>
    <t>B24116_359</t>
  </si>
  <si>
    <t>B24116_360</t>
  </si>
  <si>
    <t>B24116_361</t>
  </si>
  <si>
    <t>B24116_362</t>
  </si>
  <si>
    <t>B24116_363</t>
  </si>
  <si>
    <t>B24116_364</t>
  </si>
  <si>
    <t>B24116_365</t>
  </si>
  <si>
    <t>B24116_366</t>
  </si>
  <si>
    <t>B24116_367</t>
  </si>
  <si>
    <t>B24116_368</t>
  </si>
  <si>
    <t>B24116_369</t>
  </si>
  <si>
    <t>B24116_370</t>
  </si>
  <si>
    <t>B24116_371</t>
  </si>
  <si>
    <t>B24116_372</t>
  </si>
  <si>
    <t>B24116_373</t>
  </si>
  <si>
    <t>B24116_374</t>
  </si>
  <si>
    <t>B24116_375</t>
  </si>
  <si>
    <t>B24116_376</t>
  </si>
  <si>
    <t>B24116_377</t>
  </si>
  <si>
    <t>B24116_378</t>
  </si>
  <si>
    <t>B24116_379</t>
  </si>
  <si>
    <t>B24116_380</t>
  </si>
  <si>
    <t>B24116_381</t>
  </si>
  <si>
    <t>B24116_382</t>
  </si>
  <si>
    <t>B24116_383</t>
  </si>
  <si>
    <t>B24116_384</t>
  </si>
  <si>
    <t>B24116_385</t>
  </si>
  <si>
    <t>B24116_386</t>
  </si>
  <si>
    <t>B24116_387</t>
  </si>
  <si>
    <t>B24116_388</t>
  </si>
  <si>
    <t>B24116_389</t>
  </si>
  <si>
    <t>B24116_390</t>
  </si>
  <si>
    <t>B24116_391</t>
  </si>
  <si>
    <t>B24116_392</t>
  </si>
  <si>
    <t>B24116_393</t>
  </si>
  <si>
    <t>B24116_394</t>
  </si>
  <si>
    <t>B24116_395</t>
  </si>
  <si>
    <t>B24116_396</t>
  </si>
  <si>
    <t>B24116_397</t>
  </si>
  <si>
    <t>B24116_398</t>
  </si>
  <si>
    <t>B24116_399</t>
  </si>
  <si>
    <t>B24116_400</t>
  </si>
  <si>
    <t>B24116_401</t>
  </si>
  <si>
    <t>B24116_402</t>
  </si>
  <si>
    <t>B24116_403</t>
  </si>
  <si>
    <t>B24116_404</t>
  </si>
  <si>
    <t>B24116_405</t>
  </si>
  <si>
    <t>B24116_406</t>
  </si>
  <si>
    <t>B24116_407</t>
  </si>
  <si>
    <t>B24116_408</t>
  </si>
  <si>
    <t>B24116_409</t>
  </si>
  <si>
    <t>B24116_410</t>
  </si>
  <si>
    <t>B24116_411</t>
  </si>
  <si>
    <t>B24116_412</t>
  </si>
  <si>
    <t>B24116_413</t>
  </si>
  <si>
    <t>B24116_414</t>
  </si>
  <si>
    <t>B24116_415</t>
  </si>
  <si>
    <t>B24116_416</t>
  </si>
  <si>
    <t>B24116_417</t>
  </si>
  <si>
    <t>B24116_418</t>
  </si>
  <si>
    <t>B24116_419</t>
  </si>
  <si>
    <t>B24116_420</t>
  </si>
  <si>
    <t>B24116_421</t>
  </si>
  <si>
    <t>B24116_422</t>
  </si>
  <si>
    <t>B24116_423</t>
  </si>
  <si>
    <t>B24116_424</t>
  </si>
  <si>
    <t>B24116_425</t>
  </si>
  <si>
    <t>B24116_426</t>
  </si>
  <si>
    <t>B24116_427</t>
  </si>
  <si>
    <t>B24116_428</t>
  </si>
  <si>
    <t>B24116_429</t>
  </si>
  <si>
    <t>B24116_430</t>
  </si>
  <si>
    <t>B24116_431</t>
  </si>
  <si>
    <t>B24116_432</t>
  </si>
  <si>
    <t>B24116_433</t>
  </si>
  <si>
    <t>B24116_434</t>
  </si>
  <si>
    <t>B24116_435</t>
  </si>
  <si>
    <t>B24116_436</t>
  </si>
  <si>
    <t>B24116_437</t>
  </si>
  <si>
    <t>B24116_438</t>
  </si>
  <si>
    <t>B24116_439</t>
  </si>
  <si>
    <t>B24116_440</t>
  </si>
  <si>
    <t>B24116_441</t>
  </si>
  <si>
    <t>B24116_442</t>
  </si>
  <si>
    <t>B24116_443</t>
  </si>
  <si>
    <t>B24116_444</t>
  </si>
  <si>
    <t>B24116_445</t>
  </si>
  <si>
    <t>B24116_446</t>
  </si>
  <si>
    <t>B24116_447</t>
  </si>
  <si>
    <t>B24116_448</t>
  </si>
  <si>
    <t>B24116_449</t>
  </si>
  <si>
    <t>B24116_450</t>
  </si>
  <si>
    <t>B24116_451</t>
  </si>
  <si>
    <t>B24116_452</t>
  </si>
  <si>
    <t>B24116_453</t>
  </si>
  <si>
    <t>B24116_454</t>
  </si>
  <si>
    <t>B24116_455</t>
  </si>
  <si>
    <t>B24116_456</t>
  </si>
  <si>
    <t>B24116_457</t>
  </si>
  <si>
    <t>B24116_458</t>
  </si>
  <si>
    <t>B24116_459</t>
  </si>
  <si>
    <t>B24116_460</t>
  </si>
  <si>
    <t>B24116_461</t>
  </si>
  <si>
    <t>B24116_462</t>
  </si>
  <si>
    <t>B24116_463</t>
  </si>
  <si>
    <t>B24116_464</t>
  </si>
  <si>
    <t>B24116_465</t>
  </si>
  <si>
    <t>B24116_466</t>
  </si>
  <si>
    <t>B24116_467</t>
  </si>
  <si>
    <t>B24116_468</t>
  </si>
  <si>
    <t>B24116_469</t>
  </si>
  <si>
    <t>B24116_470</t>
  </si>
  <si>
    <t>B24116_471</t>
  </si>
  <si>
    <t>B24116_472</t>
  </si>
  <si>
    <t>B24116_473</t>
  </si>
  <si>
    <t>B24116_474</t>
  </si>
  <si>
    <t>B24116_475</t>
  </si>
  <si>
    <t>B24116_476</t>
  </si>
  <si>
    <t>B24116_477</t>
  </si>
  <si>
    <t>B24116_478</t>
  </si>
  <si>
    <t>B24116_479</t>
  </si>
  <si>
    <t>B24116_480</t>
  </si>
  <si>
    <t>B24116_481</t>
  </si>
  <si>
    <t>B24116_482</t>
  </si>
  <si>
    <t>B24116_483</t>
  </si>
  <si>
    <t>B24116_484</t>
  </si>
  <si>
    <t>B24116_485</t>
  </si>
  <si>
    <t>B24116_486</t>
  </si>
  <si>
    <t>B24116_487</t>
  </si>
  <si>
    <t>B24116_488</t>
  </si>
  <si>
    <t>B24116_489</t>
  </si>
  <si>
    <t>B24116_490</t>
  </si>
  <si>
    <t>B24116_491</t>
  </si>
  <si>
    <t>B24116_492</t>
  </si>
  <si>
    <t>B24116_493</t>
  </si>
  <si>
    <t>B24116_494</t>
  </si>
  <si>
    <t>B24116_495</t>
  </si>
  <si>
    <t>B24116_496</t>
  </si>
  <si>
    <t>B24116_497</t>
  </si>
  <si>
    <t>B24116_498</t>
  </si>
  <si>
    <t>B24116_499</t>
  </si>
  <si>
    <t>B24116_500</t>
  </si>
  <si>
    <t>B24116_501</t>
  </si>
  <si>
    <t>B24116_502</t>
  </si>
  <si>
    <t>B24116_503</t>
  </si>
  <si>
    <t>B24116_504</t>
  </si>
  <si>
    <t>B24116_505</t>
  </si>
  <si>
    <t>B24116_506</t>
  </si>
  <si>
    <t>B24116_507</t>
  </si>
  <si>
    <t>B24116_508</t>
  </si>
  <si>
    <t>B24116_509</t>
  </si>
  <si>
    <t>B24116_510</t>
  </si>
  <si>
    <t>B24116_511</t>
  </si>
  <si>
    <t>B24116_512</t>
  </si>
  <si>
    <t>B24116_513</t>
  </si>
  <si>
    <t>B24116_514</t>
  </si>
  <si>
    <t>B24116_515</t>
  </si>
  <si>
    <t>B24116_516</t>
  </si>
  <si>
    <t>B24116_517</t>
  </si>
  <si>
    <t>B24116_518</t>
  </si>
  <si>
    <t>B24116_519</t>
  </si>
  <si>
    <t>B24116_520</t>
  </si>
  <si>
    <t>B24116_521</t>
  </si>
  <si>
    <t>B24116_522</t>
  </si>
  <si>
    <t>B24116_523</t>
  </si>
  <si>
    <t>B24116_524</t>
  </si>
  <si>
    <t>B24116_525</t>
  </si>
  <si>
    <t>B24116_526</t>
  </si>
  <si>
    <t>B24116_527</t>
  </si>
  <si>
    <t>B24116_528</t>
  </si>
  <si>
    <t>B24116_529</t>
  </si>
  <si>
    <t>B24116_530</t>
  </si>
  <si>
    <t>B24116_531</t>
  </si>
  <si>
    <t>B24116_532</t>
  </si>
  <si>
    <t>B24116_533</t>
  </si>
  <si>
    <t>B24116_534</t>
  </si>
  <si>
    <t>B24116_535</t>
  </si>
  <si>
    <t>B24116_536</t>
  </si>
  <si>
    <t>B24116_537</t>
  </si>
  <si>
    <t>B24116_538</t>
  </si>
  <si>
    <t>B24116_539</t>
  </si>
  <si>
    <t>B24116_540</t>
  </si>
  <si>
    <t>B24116_541</t>
  </si>
  <si>
    <t>B24116_542</t>
  </si>
  <si>
    <t>B24116_543</t>
  </si>
  <si>
    <t>B24116_544</t>
  </si>
  <si>
    <t>B24116_545</t>
  </si>
  <si>
    <t>B24116_546</t>
  </si>
  <si>
    <t>B24116_547</t>
  </si>
  <si>
    <t>B24116_548</t>
  </si>
  <si>
    <t>B24116_549</t>
  </si>
  <si>
    <t>B24116_550</t>
  </si>
  <si>
    <t>B24116_551</t>
  </si>
  <si>
    <t>B24116_552</t>
  </si>
  <si>
    <t>B24116_553</t>
  </si>
  <si>
    <t>B24116_554</t>
  </si>
  <si>
    <t>B24116_555</t>
  </si>
  <si>
    <t>B24116_556</t>
  </si>
  <si>
    <t>B24116_557</t>
  </si>
  <si>
    <t>B24116_558</t>
  </si>
  <si>
    <t>B24116_559</t>
  </si>
  <si>
    <t>B24116_560</t>
  </si>
  <si>
    <t>B24116_561</t>
  </si>
  <si>
    <t>B24116_562</t>
  </si>
  <si>
    <t>B24116_563</t>
  </si>
  <si>
    <t>B24116_564</t>
  </si>
  <si>
    <t>B24116_565</t>
  </si>
  <si>
    <t>B24116_566</t>
  </si>
  <si>
    <t>B24121_002</t>
  </si>
  <si>
    <t>B24121_003</t>
  </si>
  <si>
    <t>B24121_004</t>
  </si>
  <si>
    <t>B24121_005</t>
  </si>
  <si>
    <t>B24121_006</t>
  </si>
  <si>
    <t>B24121_007</t>
  </si>
  <si>
    <t>B24121_008</t>
  </si>
  <si>
    <t>B24121_009</t>
  </si>
  <si>
    <t>B24121_010</t>
  </si>
  <si>
    <t>B24121_011</t>
  </si>
  <si>
    <t>B24121_012</t>
  </si>
  <si>
    <t>B24121_013</t>
  </si>
  <si>
    <t>B24121_014</t>
  </si>
  <si>
    <t>B24121_015</t>
  </si>
  <si>
    <t>B24121_016</t>
  </si>
  <si>
    <t>B24121_017</t>
  </si>
  <si>
    <t>B24121_018</t>
  </si>
  <si>
    <t>B24121_019</t>
  </si>
  <si>
    <t>B24121_020</t>
  </si>
  <si>
    <t>B24121_021</t>
  </si>
  <si>
    <t>B24121_022</t>
  </si>
  <si>
    <t>B24121_023</t>
  </si>
  <si>
    <t>B24121_024</t>
  </si>
  <si>
    <t>B24121_025</t>
  </si>
  <si>
    <t>B24121_026</t>
  </si>
  <si>
    <t>B24121_027</t>
  </si>
  <si>
    <t>B24121_028</t>
  </si>
  <si>
    <t>B24121_029</t>
  </si>
  <si>
    <t>B24121_030</t>
  </si>
  <si>
    <t>B24121_031</t>
  </si>
  <si>
    <t>B24121_032</t>
  </si>
  <si>
    <t>B24121_033</t>
  </si>
  <si>
    <t>B24121_034</t>
  </si>
  <si>
    <t>B24121_035</t>
  </si>
  <si>
    <t>B24121_036</t>
  </si>
  <si>
    <t>B24121_037</t>
  </si>
  <si>
    <t>B24121_038</t>
  </si>
  <si>
    <t>B24121_039</t>
  </si>
  <si>
    <t>B24121_040</t>
  </si>
  <si>
    <t>B24121_041</t>
  </si>
  <si>
    <t>B24121_042</t>
  </si>
  <si>
    <t>B24121_043</t>
  </si>
  <si>
    <t>B24121_044</t>
  </si>
  <si>
    <t>B24121_045</t>
  </si>
  <si>
    <t>B24121_046</t>
  </si>
  <si>
    <t>B24121_047</t>
  </si>
  <si>
    <t>B24121_048</t>
  </si>
  <si>
    <t>B24121_049</t>
  </si>
  <si>
    <t>B24121_050</t>
  </si>
  <si>
    <t>B24121_051</t>
  </si>
  <si>
    <t>B24121_052</t>
  </si>
  <si>
    <t>B24121_053</t>
  </si>
  <si>
    <t>B24121_054</t>
  </si>
  <si>
    <t>B24121_055</t>
  </si>
  <si>
    <t>B24121_056</t>
  </si>
  <si>
    <t>B24121_057</t>
  </si>
  <si>
    <t>B24121_058</t>
  </si>
  <si>
    <t>B24121_059</t>
  </si>
  <si>
    <t>B24121_060</t>
  </si>
  <si>
    <t>B24121_061</t>
  </si>
  <si>
    <t>B24121_062</t>
  </si>
  <si>
    <t>B24121_063</t>
  </si>
  <si>
    <t>B24121_064</t>
  </si>
  <si>
    <t>B24121_065</t>
  </si>
  <si>
    <t>B24121_066</t>
  </si>
  <si>
    <t>B24121_067</t>
  </si>
  <si>
    <t>B24121_068</t>
  </si>
  <si>
    <t>B24121_069</t>
  </si>
  <si>
    <t>B24121_070</t>
  </si>
  <si>
    <t>B24121_071</t>
  </si>
  <si>
    <t>B24121_072</t>
  </si>
  <si>
    <t>B24121_073</t>
  </si>
  <si>
    <t>B24121_074</t>
  </si>
  <si>
    <t>B24121_075</t>
  </si>
  <si>
    <t>B24121_076</t>
  </si>
  <si>
    <t>B24121_077</t>
  </si>
  <si>
    <t>B24121_078</t>
  </si>
  <si>
    <t>B24121_079</t>
  </si>
  <si>
    <t>B24121_080</t>
  </si>
  <si>
    <t>B24121_081</t>
  </si>
  <si>
    <t>B24121_082</t>
  </si>
  <si>
    <t>B24121_083</t>
  </si>
  <si>
    <t>B24121_084</t>
  </si>
  <si>
    <t>B24121_085</t>
  </si>
  <si>
    <t>B24121_086</t>
  </si>
  <si>
    <t>B24121_087</t>
  </si>
  <si>
    <t>B24121_088</t>
  </si>
  <si>
    <t>B24121_089</t>
  </si>
  <si>
    <t>B24121_090</t>
  </si>
  <si>
    <t>B24121_091</t>
  </si>
  <si>
    <t>B24121_092</t>
  </si>
  <si>
    <t>B24121_093</t>
  </si>
  <si>
    <t>B24121_094</t>
  </si>
  <si>
    <t>B24121_095</t>
  </si>
  <si>
    <t>B24121_096</t>
  </si>
  <si>
    <t>B24121_097</t>
  </si>
  <si>
    <t>B24121_098</t>
  </si>
  <si>
    <t>B24121_099</t>
  </si>
  <si>
    <t>B24121_100</t>
  </si>
  <si>
    <t>B24121_101</t>
  </si>
  <si>
    <t>B24121_102</t>
  </si>
  <si>
    <t>B24121_103</t>
  </si>
  <si>
    <t>B24121_104</t>
  </si>
  <si>
    <t>B24121_105</t>
  </si>
  <si>
    <t>B24121_106</t>
  </si>
  <si>
    <t>B24121_107</t>
  </si>
  <si>
    <t>B24121_108</t>
  </si>
  <si>
    <t>B24121_109</t>
  </si>
  <si>
    <t>B24121_110</t>
  </si>
  <si>
    <t>B24121_111</t>
  </si>
  <si>
    <t>B24121_112</t>
  </si>
  <si>
    <t>B24121_113</t>
  </si>
  <si>
    <t>B24121_114</t>
  </si>
  <si>
    <t>B24121_115</t>
  </si>
  <si>
    <t>B24121_116</t>
  </si>
  <si>
    <t>B24121_117</t>
  </si>
  <si>
    <t>B24121_118</t>
  </si>
  <si>
    <t>B24121_119</t>
  </si>
  <si>
    <t>B24121_120</t>
  </si>
  <si>
    <t>B24121_121</t>
  </si>
  <si>
    <t>B24121_122</t>
  </si>
  <si>
    <t>B24121_123</t>
  </si>
  <si>
    <t>B24121_124</t>
  </si>
  <si>
    <t>B24121_125</t>
  </si>
  <si>
    <t>B24121_126</t>
  </si>
  <si>
    <t>B24121_127</t>
  </si>
  <si>
    <t>B24121_128</t>
  </si>
  <si>
    <t>B24121_129</t>
  </si>
  <si>
    <t>B24121_130</t>
  </si>
  <si>
    <t>B24121_131</t>
  </si>
  <si>
    <t>B24121_132</t>
  </si>
  <si>
    <t>B24121_133</t>
  </si>
  <si>
    <t>B24121_134</t>
  </si>
  <si>
    <t>B24121_135</t>
  </si>
  <si>
    <t>B24121_136</t>
  </si>
  <si>
    <t>B24121_137</t>
  </si>
  <si>
    <t>B24121_138</t>
  </si>
  <si>
    <t>B24121_139</t>
  </si>
  <si>
    <t>B24121_140</t>
  </si>
  <si>
    <t>B24121_141</t>
  </si>
  <si>
    <t>B24121_142</t>
  </si>
  <si>
    <t>B24121_143</t>
  </si>
  <si>
    <t>B24121_144</t>
  </si>
  <si>
    <t>B24121_145</t>
  </si>
  <si>
    <t>B24121_146</t>
  </si>
  <si>
    <t>B24121_147</t>
  </si>
  <si>
    <t>B24121_148</t>
  </si>
  <si>
    <t>B24121_149</t>
  </si>
  <si>
    <t>B24121_150</t>
  </si>
  <si>
    <t>B24121_151</t>
  </si>
  <si>
    <t>B24121_152</t>
  </si>
  <si>
    <t>B24121_153</t>
  </si>
  <si>
    <t>B24121_154</t>
  </si>
  <si>
    <t>B24121_155</t>
  </si>
  <si>
    <t>B24121_156</t>
  </si>
  <si>
    <t>B24121_157</t>
  </si>
  <si>
    <t>B24121_158</t>
  </si>
  <si>
    <t>B24121_159</t>
  </si>
  <si>
    <t>B24121_160</t>
  </si>
  <si>
    <t>B24121_161</t>
  </si>
  <si>
    <t>B24121_162</t>
  </si>
  <si>
    <t>B24121_163</t>
  </si>
  <si>
    <t>B24121_164</t>
  </si>
  <si>
    <t>B24121_165</t>
  </si>
  <si>
    <t>B24121_166</t>
  </si>
  <si>
    <t>B24121_167</t>
  </si>
  <si>
    <t>B24121_168</t>
  </si>
  <si>
    <t>B24121_169</t>
  </si>
  <si>
    <t>B24121_170</t>
  </si>
  <si>
    <t>B24121_171</t>
  </si>
  <si>
    <t>B24121_172</t>
  </si>
  <si>
    <t>B24121_173</t>
  </si>
  <si>
    <t>B24121_174</t>
  </si>
  <si>
    <t>B24121_175</t>
  </si>
  <si>
    <t>B24121_176</t>
  </si>
  <si>
    <t>B24121_177</t>
  </si>
  <si>
    <t>B24121_178</t>
  </si>
  <si>
    <t>B24121_179</t>
  </si>
  <si>
    <t>B24121_180</t>
  </si>
  <si>
    <t>B24121_181</t>
  </si>
  <si>
    <t>B24121_182</t>
  </si>
  <si>
    <t>B24121_183</t>
  </si>
  <si>
    <t>B24121_184</t>
  </si>
  <si>
    <t>B24121_185</t>
  </si>
  <si>
    <t>B24121_186</t>
  </si>
  <si>
    <t>B24121_187</t>
  </si>
  <si>
    <t>B24121_188</t>
  </si>
  <si>
    <t>B24121_189</t>
  </si>
  <si>
    <t>B24121_190</t>
  </si>
  <si>
    <t>B24121_191</t>
  </si>
  <si>
    <t>B24121_192</t>
  </si>
  <si>
    <t>B24121_193</t>
  </si>
  <si>
    <t>B24121_194</t>
  </si>
  <si>
    <t>B24121_195</t>
  </si>
  <si>
    <t>B24121_196</t>
  </si>
  <si>
    <t>B24121_197</t>
  </si>
  <si>
    <t>B24121_198</t>
  </si>
  <si>
    <t>B24121_199</t>
  </si>
  <si>
    <t>B24121_200</t>
  </si>
  <si>
    <t>B24121_201</t>
  </si>
  <si>
    <t>B24121_202</t>
  </si>
  <si>
    <t>B24121_203</t>
  </si>
  <si>
    <t>B24121_204</t>
  </si>
  <si>
    <t>B24121_205</t>
  </si>
  <si>
    <t>B24121_206</t>
  </si>
  <si>
    <t>B24121_207</t>
  </si>
  <si>
    <t>B24121_208</t>
  </si>
  <si>
    <t>B24121_209</t>
  </si>
  <si>
    <t>B24121_210</t>
  </si>
  <si>
    <t>B24121_211</t>
  </si>
  <si>
    <t>B24121_212</t>
  </si>
  <si>
    <t>B24121_213</t>
  </si>
  <si>
    <t>B24121_214</t>
  </si>
  <si>
    <t>B24121_215</t>
  </si>
  <si>
    <t>B24121_216</t>
  </si>
  <si>
    <t>B24121_217</t>
  </si>
  <si>
    <t>B24121_218</t>
  </si>
  <si>
    <t>B24121_219</t>
  </si>
  <si>
    <t>B24121_220</t>
  </si>
  <si>
    <t>B24121_221</t>
  </si>
  <si>
    <t>B24121_222</t>
  </si>
  <si>
    <t>B24121_223</t>
  </si>
  <si>
    <t>B24121_224</t>
  </si>
  <si>
    <t>B24121_225</t>
  </si>
  <si>
    <t>B24121_226</t>
  </si>
  <si>
    <t>B24121_227</t>
  </si>
  <si>
    <t>B24121_228</t>
  </si>
  <si>
    <t>B24121_229</t>
  </si>
  <si>
    <t>B24121_230</t>
  </si>
  <si>
    <t>B24121_231</t>
  </si>
  <si>
    <t>B24121_232</t>
  </si>
  <si>
    <t>B24121_233</t>
  </si>
  <si>
    <t>B24121_234</t>
  </si>
  <si>
    <t>B24121_235</t>
  </si>
  <si>
    <t>B24121_236</t>
  </si>
  <si>
    <t>B24121_237</t>
  </si>
  <si>
    <t>B24121_238</t>
  </si>
  <si>
    <t>B24121_239</t>
  </si>
  <si>
    <t>B24121_240</t>
  </si>
  <si>
    <t>B24121_241</t>
  </si>
  <si>
    <t>B24121_242</t>
  </si>
  <si>
    <t>B24121_243</t>
  </si>
  <si>
    <t>B24121_244</t>
  </si>
  <si>
    <t>B24121_245</t>
  </si>
  <si>
    <t>B24121_246</t>
  </si>
  <si>
    <t>B24121_247</t>
  </si>
  <si>
    <t>B24121_248</t>
  </si>
  <si>
    <t>B24121_249</t>
  </si>
  <si>
    <t>B24121_250</t>
  </si>
  <si>
    <t>B24121_251</t>
  </si>
  <si>
    <t>B24121_252</t>
  </si>
  <si>
    <t>B24121_253</t>
  </si>
  <si>
    <t>B24121_254</t>
  </si>
  <si>
    <t>B24121_255</t>
  </si>
  <si>
    <t>B24121_256</t>
  </si>
  <si>
    <t>B24121_257</t>
  </si>
  <si>
    <t>B24121_258</t>
  </si>
  <si>
    <t>B24121_259</t>
  </si>
  <si>
    <t>B24121_260</t>
  </si>
  <si>
    <t>B24121_261</t>
  </si>
  <si>
    <t>B24121_262</t>
  </si>
  <si>
    <t>B24121_263</t>
  </si>
  <si>
    <t>B24121_264</t>
  </si>
  <si>
    <t>B24121_265</t>
  </si>
  <si>
    <t>B24121_266</t>
  </si>
  <si>
    <t>B24121_267</t>
  </si>
  <si>
    <t>B24121_268</t>
  </si>
  <si>
    <t>B24121_269</t>
  </si>
  <si>
    <t>B24121_270</t>
  </si>
  <si>
    <t>B24121_271</t>
  </si>
  <si>
    <t>B24121_272</t>
  </si>
  <si>
    <t>B24121_273</t>
  </si>
  <si>
    <t>B24121_274</t>
  </si>
  <si>
    <t>B24121_275</t>
  </si>
  <si>
    <t>B24121_276</t>
  </si>
  <si>
    <t>B24121_277</t>
  </si>
  <si>
    <t>B24121_278</t>
  </si>
  <si>
    <t>B24121_279</t>
  </si>
  <si>
    <t>B24121_280</t>
  </si>
  <si>
    <t>B24121_281</t>
  </si>
  <si>
    <t>B24121_282</t>
  </si>
  <si>
    <t>B24121_283</t>
  </si>
  <si>
    <t>B24121_284</t>
  </si>
  <si>
    <t>B24121_285</t>
  </si>
  <si>
    <t>B24121_286</t>
  </si>
  <si>
    <t>B24121_287</t>
  </si>
  <si>
    <t>B24121_288</t>
  </si>
  <si>
    <t>B24121_289</t>
  </si>
  <si>
    <t>B24121_290</t>
  </si>
  <si>
    <t>B24121_291</t>
  </si>
  <si>
    <t>B24121_292</t>
  </si>
  <si>
    <t>B24121_293</t>
  </si>
  <si>
    <t>B24121_294</t>
  </si>
  <si>
    <t>B24121_295</t>
  </si>
  <si>
    <t>B24121_296</t>
  </si>
  <si>
    <t>B24121_297</t>
  </si>
  <si>
    <t>B24121_298</t>
  </si>
  <si>
    <t>B24121_299</t>
  </si>
  <si>
    <t>B24121_300</t>
  </si>
  <si>
    <t>B24121_301</t>
  </si>
  <si>
    <t>B24121_302</t>
  </si>
  <si>
    <t>B24121_303</t>
  </si>
  <si>
    <t>B24121_304</t>
  </si>
  <si>
    <t>B24121_305</t>
  </si>
  <si>
    <t>B24121_306</t>
  </si>
  <si>
    <t>B24121_307</t>
  </si>
  <si>
    <t>B24121_308</t>
  </si>
  <si>
    <t>B24121_309</t>
  </si>
  <si>
    <t>B24121_310</t>
  </si>
  <si>
    <t>B24121_311</t>
  </si>
  <si>
    <t>B24121_312</t>
  </si>
  <si>
    <t>B24121_313</t>
  </si>
  <si>
    <t>B24121_314</t>
  </si>
  <si>
    <t>B24121_315</t>
  </si>
  <si>
    <t>B24121_316</t>
  </si>
  <si>
    <t>B24121_317</t>
  </si>
  <si>
    <t>B24121_318</t>
  </si>
  <si>
    <t>B24121_319</t>
  </si>
  <si>
    <t>B24121_320</t>
  </si>
  <si>
    <t>B24121_321</t>
  </si>
  <si>
    <t>B24121_322</t>
  </si>
  <si>
    <t>B24121_323</t>
  </si>
  <si>
    <t>B24121_324</t>
  </si>
  <si>
    <t>B24121_325</t>
  </si>
  <si>
    <t>B24121_326</t>
  </si>
  <si>
    <t>B24121_327</t>
  </si>
  <si>
    <t>B24121_328</t>
  </si>
  <si>
    <t>B24121_329</t>
  </si>
  <si>
    <t>B24121_330</t>
  </si>
  <si>
    <t>B24121_331</t>
  </si>
  <si>
    <t>B24121_332</t>
  </si>
  <si>
    <t>B24121_333</t>
  </si>
  <si>
    <t>B24121_334</t>
  </si>
  <si>
    <t>B24121_335</t>
  </si>
  <si>
    <t>B24121_336</t>
  </si>
  <si>
    <t>B24121_337</t>
  </si>
  <si>
    <t>B24121_338</t>
  </si>
  <si>
    <t>B24121_339</t>
  </si>
  <si>
    <t>B24121_340</t>
  </si>
  <si>
    <t>B24121_341</t>
  </si>
  <si>
    <t>B24121_342</t>
  </si>
  <si>
    <t>B24121_343</t>
  </si>
  <si>
    <t>B24121_344</t>
  </si>
  <si>
    <t>B24121_345</t>
  </si>
  <si>
    <t>B24121_346</t>
  </si>
  <si>
    <t>B24121_347</t>
  </si>
  <si>
    <t>B24121_348</t>
  </si>
  <si>
    <t>B24121_349</t>
  </si>
  <si>
    <t>B24121_350</t>
  </si>
  <si>
    <t>B24121_351</t>
  </si>
  <si>
    <t>B24121_352</t>
  </si>
  <si>
    <t>B24121_353</t>
  </si>
  <si>
    <t>B24121_354</t>
  </si>
  <si>
    <t>B24121_355</t>
  </si>
  <si>
    <t>B24121_356</t>
  </si>
  <si>
    <t>B24121_357</t>
  </si>
  <si>
    <t>B24121_358</t>
  </si>
  <si>
    <t>B24121_359</t>
  </si>
  <si>
    <t>B24121_360</t>
  </si>
  <si>
    <t>B24121_361</t>
  </si>
  <si>
    <t>B24121_362</t>
  </si>
  <si>
    <t>B24121_363</t>
  </si>
  <si>
    <t>B24121_364</t>
  </si>
  <si>
    <t>B24121_365</t>
  </si>
  <si>
    <t>B24121_366</t>
  </si>
  <si>
    <t>B24121_367</t>
  </si>
  <si>
    <t>B24121_368</t>
  </si>
  <si>
    <t>B24121_369</t>
  </si>
  <si>
    <t>B24121_370</t>
  </si>
  <si>
    <t>B24121_371</t>
  </si>
  <si>
    <t>B24121_372</t>
  </si>
  <si>
    <t>B24121_373</t>
  </si>
  <si>
    <t>B24121_374</t>
  </si>
  <si>
    <t>B24121_375</t>
  </si>
  <si>
    <t>B24121_376</t>
  </si>
  <si>
    <t>B24121_377</t>
  </si>
  <si>
    <t>B24121_378</t>
  </si>
  <si>
    <t>B24121_379</t>
  </si>
  <si>
    <t>B24121_380</t>
  </si>
  <si>
    <t>B24121_381</t>
  </si>
  <si>
    <t>B24121_382</t>
  </si>
  <si>
    <t>B24121_383</t>
  </si>
  <si>
    <t>B24121_384</t>
  </si>
  <si>
    <t>B24121_385</t>
  </si>
  <si>
    <t>B24121_386</t>
  </si>
  <si>
    <t>B24121_387</t>
  </si>
  <si>
    <t>B24121_388</t>
  </si>
  <si>
    <t>B24121_389</t>
  </si>
  <si>
    <t>B24121_390</t>
  </si>
  <si>
    <t>B24121_391</t>
  </si>
  <si>
    <t>B24121_392</t>
  </si>
  <si>
    <t>B24121_393</t>
  </si>
  <si>
    <t>B24121_394</t>
  </si>
  <si>
    <t>B24121_395</t>
  </si>
  <si>
    <t>B24121_396</t>
  </si>
  <si>
    <t>B24121_397</t>
  </si>
  <si>
    <t>B24121_398</t>
  </si>
  <si>
    <t>B24121_399</t>
  </si>
  <si>
    <t>B24121_400</t>
  </si>
  <si>
    <t>B24121_401</t>
  </si>
  <si>
    <t>B24121_402</t>
  </si>
  <si>
    <t>B24121_403</t>
  </si>
  <si>
    <t>B24121_404</t>
  </si>
  <si>
    <t>B24121_405</t>
  </si>
  <si>
    <t>B24121_406</t>
  </si>
  <si>
    <t>B24121_407</t>
  </si>
  <si>
    <t>B24121_408</t>
  </si>
  <si>
    <t>B24121_409</t>
  </si>
  <si>
    <t>B24121_410</t>
  </si>
  <si>
    <t>B24121_411</t>
  </si>
  <si>
    <t>B24121_412</t>
  </si>
  <si>
    <t>B24121_413</t>
  </si>
  <si>
    <t>B24121_414</t>
  </si>
  <si>
    <t>B24121_415</t>
  </si>
  <si>
    <t>B24121_416</t>
  </si>
  <si>
    <t>B24121_417</t>
  </si>
  <si>
    <t>B24121_418</t>
  </si>
  <si>
    <t>B24121_419</t>
  </si>
  <si>
    <t>B24121_420</t>
  </si>
  <si>
    <t>B24121_421</t>
  </si>
  <si>
    <t>B24121_422</t>
  </si>
  <si>
    <t>B24121_423</t>
  </si>
  <si>
    <t>B24121_424</t>
  </si>
  <si>
    <t>B24121_425</t>
  </si>
  <si>
    <t>B24121_426</t>
  </si>
  <si>
    <t>B24121_427</t>
  </si>
  <si>
    <t>B24121_428</t>
  </si>
  <si>
    <t>B24121_429</t>
  </si>
  <si>
    <t>B24121_430</t>
  </si>
  <si>
    <t>B24121_431</t>
  </si>
  <si>
    <t>B24121_432</t>
  </si>
  <si>
    <t>B24121_433</t>
  </si>
  <si>
    <t>B24121_434</t>
  </si>
  <si>
    <t>B24121_435</t>
  </si>
  <si>
    <t>B24121_436</t>
  </si>
  <si>
    <t>B24121_437</t>
  </si>
  <si>
    <t>B24121_438</t>
  </si>
  <si>
    <t>B24121_439</t>
  </si>
  <si>
    <t>B24121_440</t>
  </si>
  <si>
    <t>B24121_441</t>
  </si>
  <si>
    <t>B24121_442</t>
  </si>
  <si>
    <t>B24121_443</t>
  </si>
  <si>
    <t>B24121_444</t>
  </si>
  <si>
    <t>B24121_445</t>
  </si>
  <si>
    <t>B24121_446</t>
  </si>
  <si>
    <t>B24121_447</t>
  </si>
  <si>
    <t>B24121_448</t>
  </si>
  <si>
    <t>B24121_449</t>
  </si>
  <si>
    <t>B24121_450</t>
  </si>
  <si>
    <t>B24121_451</t>
  </si>
  <si>
    <t>B24121_452</t>
  </si>
  <si>
    <t>B24121_453</t>
  </si>
  <si>
    <t>B24121_454</t>
  </si>
  <si>
    <t>B24121_455</t>
  </si>
  <si>
    <t>B24121_456</t>
  </si>
  <si>
    <t>B24121_457</t>
  </si>
  <si>
    <t>B24121_458</t>
  </si>
  <si>
    <t>B24121_459</t>
  </si>
  <si>
    <t>B24121_460</t>
  </si>
  <si>
    <t>B24121_461</t>
  </si>
  <si>
    <t>B24121_462</t>
  </si>
  <si>
    <t>B24121_463</t>
  </si>
  <si>
    <t>B24121_464</t>
  </si>
  <si>
    <t>B24121_465</t>
  </si>
  <si>
    <t>B24121_466</t>
  </si>
  <si>
    <t>B24121_467</t>
  </si>
  <si>
    <t>B24121_468</t>
  </si>
  <si>
    <t>B24121_469</t>
  </si>
  <si>
    <t>B24121_470</t>
  </si>
  <si>
    <t>B24121_471</t>
  </si>
  <si>
    <t>B24121_472</t>
  </si>
  <si>
    <t>B24121_473</t>
  </si>
  <si>
    <t>B24121_474</t>
  </si>
  <si>
    <t>B24121_475</t>
  </si>
  <si>
    <t>B24121_476</t>
  </si>
  <si>
    <t>B24121_477</t>
  </si>
  <si>
    <t>B24121_478</t>
  </si>
  <si>
    <t>B24121_479</t>
  </si>
  <si>
    <t>B24121_480</t>
  </si>
  <si>
    <t>B24121_481</t>
  </si>
  <si>
    <t>B24121_482</t>
  </si>
  <si>
    <t>B24121_483</t>
  </si>
  <si>
    <t>B24121_484</t>
  </si>
  <si>
    <t>B24121_485</t>
  </si>
  <si>
    <t>B24121_486</t>
  </si>
  <si>
    <t>B24121_487</t>
  </si>
  <si>
    <t>B24121_488</t>
  </si>
  <si>
    <t>B24121_489</t>
  </si>
  <si>
    <t>B24121_490</t>
  </si>
  <si>
    <t>B24121_491</t>
  </si>
  <si>
    <t>B24121_492</t>
  </si>
  <si>
    <t>B24121_493</t>
  </si>
  <si>
    <t>B24121_494</t>
  </si>
  <si>
    <t>B24121_495</t>
  </si>
  <si>
    <t>B24121_496</t>
  </si>
  <si>
    <t>B24121_497</t>
  </si>
  <si>
    <t>B24121_498</t>
  </si>
  <si>
    <t>B24121_499</t>
  </si>
  <si>
    <t>B24121_500</t>
  </si>
  <si>
    <t>B24121_501</t>
  </si>
  <si>
    <t>B24121_502</t>
  </si>
  <si>
    <t>B24121_503</t>
  </si>
  <si>
    <t>B24121_504</t>
  </si>
  <si>
    <t>B24121_505</t>
  </si>
  <si>
    <t>B24121_506</t>
  </si>
  <si>
    <t>B24121_507</t>
  </si>
  <si>
    <t>B24121_508</t>
  </si>
  <si>
    <t>B24121_509</t>
  </si>
  <si>
    <t>B24121_510</t>
  </si>
  <si>
    <t>B24121_511</t>
  </si>
  <si>
    <t>B24121_512</t>
  </si>
  <si>
    <t>B24121_513</t>
  </si>
  <si>
    <t>B24121_514</t>
  </si>
  <si>
    <t>B24121_515</t>
  </si>
  <si>
    <t>B24121_516</t>
  </si>
  <si>
    <t>B24121_517</t>
  </si>
  <si>
    <t>B24121_518</t>
  </si>
  <si>
    <t>B24121_519</t>
  </si>
  <si>
    <t>B24121_520</t>
  </si>
  <si>
    <t>B24121_521</t>
  </si>
  <si>
    <t>B24121_522</t>
  </si>
  <si>
    <t>B24121_523</t>
  </si>
  <si>
    <t>B24121_524</t>
  </si>
  <si>
    <t>B24121_525</t>
  </si>
  <si>
    <t>B24121_526</t>
  </si>
  <si>
    <t>B24121_527</t>
  </si>
  <si>
    <t>B24121_528</t>
  </si>
  <si>
    <t>B24121_529</t>
  </si>
  <si>
    <t>B24121_530</t>
  </si>
  <si>
    <t>B24121_531</t>
  </si>
  <si>
    <t>B24121_532</t>
  </si>
  <si>
    <t>B24121_533</t>
  </si>
  <si>
    <t>B24121_534</t>
  </si>
  <si>
    <t>B24121_535</t>
  </si>
  <si>
    <t>B24121_536</t>
  </si>
  <si>
    <t>B24121_537</t>
  </si>
  <si>
    <t>B24121_538</t>
  </si>
  <si>
    <t>B24121_539</t>
  </si>
  <si>
    <t>B24121_540</t>
  </si>
  <si>
    <t>B24121_541</t>
  </si>
  <si>
    <t>B24121_542</t>
  </si>
  <si>
    <t>B24121_543</t>
  </si>
  <si>
    <t>B24121_544</t>
  </si>
  <si>
    <t>B24121_545</t>
  </si>
  <si>
    <t>B24121_546</t>
  </si>
  <si>
    <t>B24121_547</t>
  </si>
  <si>
    <t>B24121_548</t>
  </si>
  <si>
    <t>B24121_549</t>
  </si>
  <si>
    <t>B24121_550</t>
  </si>
  <si>
    <t>B24121_551</t>
  </si>
  <si>
    <t>B24121_552</t>
  </si>
  <si>
    <t>B24121_553</t>
  </si>
  <si>
    <t>B24121_554</t>
  </si>
  <si>
    <t>B24121_555</t>
  </si>
  <si>
    <t>B24121_556</t>
  </si>
  <si>
    <t>B24121_557</t>
  </si>
  <si>
    <t>B24121_558</t>
  </si>
  <si>
    <t>B24121_559</t>
  </si>
  <si>
    <t>B24121_560</t>
  </si>
  <si>
    <t>B24121_561</t>
  </si>
  <si>
    <t>B24121_562</t>
  </si>
  <si>
    <t>B24121_563</t>
  </si>
  <si>
    <t>B24121_564</t>
  </si>
  <si>
    <t>B24121_565</t>
  </si>
  <si>
    <t>B24121_566</t>
  </si>
  <si>
    <t>B24122_002</t>
  </si>
  <si>
    <t>B24122_003</t>
  </si>
  <si>
    <t>B24122_004</t>
  </si>
  <si>
    <t>B24122_005</t>
  </si>
  <si>
    <t>B24122_006</t>
  </si>
  <si>
    <t>B24122_007</t>
  </si>
  <si>
    <t>B24122_008</t>
  </si>
  <si>
    <t>B24122_009</t>
  </si>
  <si>
    <t>B24122_010</t>
  </si>
  <si>
    <t>B24122_011</t>
  </si>
  <si>
    <t>B24122_012</t>
  </si>
  <si>
    <t>B24122_013</t>
  </si>
  <si>
    <t>B24122_014</t>
  </si>
  <si>
    <t>B24122_015</t>
  </si>
  <si>
    <t>B24122_016</t>
  </si>
  <si>
    <t>B24122_017</t>
  </si>
  <si>
    <t>B24122_018</t>
  </si>
  <si>
    <t>B24122_019</t>
  </si>
  <si>
    <t>B24122_020</t>
  </si>
  <si>
    <t>B24122_021</t>
  </si>
  <si>
    <t>B24122_022</t>
  </si>
  <si>
    <t>B24122_023</t>
  </si>
  <si>
    <t>B24122_024</t>
  </si>
  <si>
    <t>B24122_025</t>
  </si>
  <si>
    <t>B24122_026</t>
  </si>
  <si>
    <t>B24122_027</t>
  </si>
  <si>
    <t>B24122_028</t>
  </si>
  <si>
    <t>B24122_029</t>
  </si>
  <si>
    <t>B24122_030</t>
  </si>
  <si>
    <t>B24122_031</t>
  </si>
  <si>
    <t>B24122_032</t>
  </si>
  <si>
    <t>B24122_033</t>
  </si>
  <si>
    <t>B24122_034</t>
  </si>
  <si>
    <t>B24122_035</t>
  </si>
  <si>
    <t>B24122_036</t>
  </si>
  <si>
    <t>B24122_037</t>
  </si>
  <si>
    <t>B24122_038</t>
  </si>
  <si>
    <t>B24122_039</t>
  </si>
  <si>
    <t>B24122_040</t>
  </si>
  <si>
    <t>B24122_041</t>
  </si>
  <si>
    <t>B24122_042</t>
  </si>
  <si>
    <t>B24122_043</t>
  </si>
  <si>
    <t>B24122_044</t>
  </si>
  <si>
    <t>B24122_045</t>
  </si>
  <si>
    <t>B24122_046</t>
  </si>
  <si>
    <t>B24122_047</t>
  </si>
  <si>
    <t>B24122_048</t>
  </si>
  <si>
    <t>B24122_049</t>
  </si>
  <si>
    <t>B24122_050</t>
  </si>
  <si>
    <t>B24122_051</t>
  </si>
  <si>
    <t>B24122_052</t>
  </si>
  <si>
    <t>B24122_053</t>
  </si>
  <si>
    <t>B24122_054</t>
  </si>
  <si>
    <t>B24122_055</t>
  </si>
  <si>
    <t>B24122_056</t>
  </si>
  <si>
    <t>B24122_057</t>
  </si>
  <si>
    <t>B24122_058</t>
  </si>
  <si>
    <t>B24122_059</t>
  </si>
  <si>
    <t>B24122_060</t>
  </si>
  <si>
    <t>B24122_061</t>
  </si>
  <si>
    <t>B24122_062</t>
  </si>
  <si>
    <t>B24122_063</t>
  </si>
  <si>
    <t>B24122_064</t>
  </si>
  <si>
    <t>B24122_065</t>
  </si>
  <si>
    <t>B24122_066</t>
  </si>
  <si>
    <t>B24122_067</t>
  </si>
  <si>
    <t>B24122_068</t>
  </si>
  <si>
    <t>B24122_069</t>
  </si>
  <si>
    <t>B24122_070</t>
  </si>
  <si>
    <t>B24122_071</t>
  </si>
  <si>
    <t>B24122_072</t>
  </si>
  <si>
    <t>B24122_073</t>
  </si>
  <si>
    <t>B24122_074</t>
  </si>
  <si>
    <t>B24122_075</t>
  </si>
  <si>
    <t>B24122_076</t>
  </si>
  <si>
    <t>B24122_077</t>
  </si>
  <si>
    <t>B24122_078</t>
  </si>
  <si>
    <t>B24122_079</t>
  </si>
  <si>
    <t>B24122_080</t>
  </si>
  <si>
    <t>B24122_081</t>
  </si>
  <si>
    <t>B24122_082</t>
  </si>
  <si>
    <t>B24122_083</t>
  </si>
  <si>
    <t>B24122_084</t>
  </si>
  <si>
    <t>B24122_085</t>
  </si>
  <si>
    <t>B24122_086</t>
  </si>
  <si>
    <t>B24122_087</t>
  </si>
  <si>
    <t>B24122_088</t>
  </si>
  <si>
    <t>B24122_089</t>
  </si>
  <si>
    <t>B24122_090</t>
  </si>
  <si>
    <t>B24122_091</t>
  </si>
  <si>
    <t>B24122_092</t>
  </si>
  <si>
    <t>B24122_093</t>
  </si>
  <si>
    <t>B24122_094</t>
  </si>
  <si>
    <t>B24122_095</t>
  </si>
  <si>
    <t>B24122_096</t>
  </si>
  <si>
    <t>B24122_097</t>
  </si>
  <si>
    <t>B24122_098</t>
  </si>
  <si>
    <t>B24122_099</t>
  </si>
  <si>
    <t>B24122_100</t>
  </si>
  <si>
    <t>B24122_101</t>
  </si>
  <si>
    <t>B24122_102</t>
  </si>
  <si>
    <t>B24122_103</t>
  </si>
  <si>
    <t>B24122_104</t>
  </si>
  <si>
    <t>B24122_105</t>
  </si>
  <si>
    <t>B24122_106</t>
  </si>
  <si>
    <t>B24122_107</t>
  </si>
  <si>
    <t>B24122_108</t>
  </si>
  <si>
    <t>B24122_109</t>
  </si>
  <si>
    <t>B24122_110</t>
  </si>
  <si>
    <t>B24122_111</t>
  </si>
  <si>
    <t>B24122_112</t>
  </si>
  <si>
    <t>B24122_113</t>
  </si>
  <si>
    <t>B24122_114</t>
  </si>
  <si>
    <t>B24122_115</t>
  </si>
  <si>
    <t>B24122_116</t>
  </si>
  <si>
    <t>B24122_117</t>
  </si>
  <si>
    <t>B24122_118</t>
  </si>
  <si>
    <t>B24122_119</t>
  </si>
  <si>
    <t>B24122_120</t>
  </si>
  <si>
    <t>B24122_121</t>
  </si>
  <si>
    <t>B24122_122</t>
  </si>
  <si>
    <t>B24122_123</t>
  </si>
  <si>
    <t>B24122_124</t>
  </si>
  <si>
    <t>B24122_125</t>
  </si>
  <si>
    <t>B24122_126</t>
  </si>
  <si>
    <t>B24122_127</t>
  </si>
  <si>
    <t>B24122_128</t>
  </si>
  <si>
    <t>B24122_129</t>
  </si>
  <si>
    <t>B24122_130</t>
  </si>
  <si>
    <t>B24122_131</t>
  </si>
  <si>
    <t>B24122_132</t>
  </si>
  <si>
    <t>B24122_133</t>
  </si>
  <si>
    <t>B24122_134</t>
  </si>
  <si>
    <t>B24122_135</t>
  </si>
  <si>
    <t>B24122_136</t>
  </si>
  <si>
    <t>B24122_137</t>
  </si>
  <si>
    <t>B24122_138</t>
  </si>
  <si>
    <t>B24122_139</t>
  </si>
  <si>
    <t>B24122_140</t>
  </si>
  <si>
    <t>B24122_141</t>
  </si>
  <si>
    <t>B24122_142</t>
  </si>
  <si>
    <t>B24122_143</t>
  </si>
  <si>
    <t>B24122_144</t>
  </si>
  <si>
    <t>B24122_145</t>
  </si>
  <si>
    <t>B24122_146</t>
  </si>
  <si>
    <t>B24122_147</t>
  </si>
  <si>
    <t>B24122_148</t>
  </si>
  <si>
    <t>B24122_149</t>
  </si>
  <si>
    <t>B24122_150</t>
  </si>
  <si>
    <t>B24122_151</t>
  </si>
  <si>
    <t>B24122_152</t>
  </si>
  <si>
    <t>B24122_153</t>
  </si>
  <si>
    <t>B24122_154</t>
  </si>
  <si>
    <t>B24122_155</t>
  </si>
  <si>
    <t>B24122_156</t>
  </si>
  <si>
    <t>B24122_157</t>
  </si>
  <si>
    <t>B24122_158</t>
  </si>
  <si>
    <t>B24122_159</t>
  </si>
  <si>
    <t>B24122_160</t>
  </si>
  <si>
    <t>B24122_161</t>
  </si>
  <si>
    <t>B24122_162</t>
  </si>
  <si>
    <t>B24122_163</t>
  </si>
  <si>
    <t>B24122_164</t>
  </si>
  <si>
    <t>B24122_165</t>
  </si>
  <si>
    <t>B24122_166</t>
  </si>
  <si>
    <t>B24122_167</t>
  </si>
  <si>
    <t>B24122_168</t>
  </si>
  <si>
    <t>B24122_169</t>
  </si>
  <si>
    <t>B24122_170</t>
  </si>
  <si>
    <t>B24122_171</t>
  </si>
  <si>
    <t>B24122_172</t>
  </si>
  <si>
    <t>B24122_173</t>
  </si>
  <si>
    <t>B24122_174</t>
  </si>
  <si>
    <t>B24122_175</t>
  </si>
  <si>
    <t>B24122_176</t>
  </si>
  <si>
    <t>B24122_177</t>
  </si>
  <si>
    <t>B24122_178</t>
  </si>
  <si>
    <t>B24122_179</t>
  </si>
  <si>
    <t>B24122_180</t>
  </si>
  <si>
    <t>B24122_181</t>
  </si>
  <si>
    <t>B24122_182</t>
  </si>
  <si>
    <t>B24122_183</t>
  </si>
  <si>
    <t>B24122_184</t>
  </si>
  <si>
    <t>B24122_185</t>
  </si>
  <si>
    <t>B24122_186</t>
  </si>
  <si>
    <t>B24122_187</t>
  </si>
  <si>
    <t>B24122_188</t>
  </si>
  <si>
    <t>B24122_189</t>
  </si>
  <si>
    <t>B24122_190</t>
  </si>
  <si>
    <t>B24122_191</t>
  </si>
  <si>
    <t>B24122_192</t>
  </si>
  <si>
    <t>B24122_193</t>
  </si>
  <si>
    <t>B24122_194</t>
  </si>
  <si>
    <t>B24122_195</t>
  </si>
  <si>
    <t>B24122_196</t>
  </si>
  <si>
    <t>B24122_197</t>
  </si>
  <si>
    <t>B24122_198</t>
  </si>
  <si>
    <t>B24122_199</t>
  </si>
  <si>
    <t>B24122_200</t>
  </si>
  <si>
    <t>B24122_201</t>
  </si>
  <si>
    <t>B24122_202</t>
  </si>
  <si>
    <t>B24122_203</t>
  </si>
  <si>
    <t>B24122_204</t>
  </si>
  <si>
    <t>B24122_205</t>
  </si>
  <si>
    <t>B24122_206</t>
  </si>
  <si>
    <t>B24122_207</t>
  </si>
  <si>
    <t>B24122_208</t>
  </si>
  <si>
    <t>B24122_209</t>
  </si>
  <si>
    <t>B24122_210</t>
  </si>
  <si>
    <t>B24122_211</t>
  </si>
  <si>
    <t>B24122_212</t>
  </si>
  <si>
    <t>B24122_213</t>
  </si>
  <si>
    <t>B24122_214</t>
  </si>
  <si>
    <t>B24122_215</t>
  </si>
  <si>
    <t>B24122_216</t>
  </si>
  <si>
    <t>B24122_217</t>
  </si>
  <si>
    <t>B24122_218</t>
  </si>
  <si>
    <t>B24122_219</t>
  </si>
  <si>
    <t>B24122_220</t>
  </si>
  <si>
    <t>B24122_221</t>
  </si>
  <si>
    <t>B24122_222</t>
  </si>
  <si>
    <t>B24122_223</t>
  </si>
  <si>
    <t>B24122_224</t>
  </si>
  <si>
    <t>B24122_225</t>
  </si>
  <si>
    <t>B24122_226</t>
  </si>
  <si>
    <t>B24122_227</t>
  </si>
  <si>
    <t>B24122_228</t>
  </si>
  <si>
    <t>B24122_229</t>
  </si>
  <si>
    <t>B24122_230</t>
  </si>
  <si>
    <t>B24122_231</t>
  </si>
  <si>
    <t>B24122_232</t>
  </si>
  <si>
    <t>B24122_233</t>
  </si>
  <si>
    <t>B24122_234</t>
  </si>
  <si>
    <t>B24122_235</t>
  </si>
  <si>
    <t>B24122_236</t>
  </si>
  <si>
    <t>B24122_237</t>
  </si>
  <si>
    <t>B24122_238</t>
  </si>
  <si>
    <t>B24122_239</t>
  </si>
  <si>
    <t>B24122_240</t>
  </si>
  <si>
    <t>B24122_241</t>
  </si>
  <si>
    <t>B24122_242</t>
  </si>
  <si>
    <t>B24122_243</t>
  </si>
  <si>
    <t>B24122_244</t>
  </si>
  <si>
    <t>B24122_245</t>
  </si>
  <si>
    <t>B24122_246</t>
  </si>
  <si>
    <t>B24122_247</t>
  </si>
  <si>
    <t>B24122_248</t>
  </si>
  <si>
    <t>B24122_249</t>
  </si>
  <si>
    <t>B24122_250</t>
  </si>
  <si>
    <t>B24122_251</t>
  </si>
  <si>
    <t>B24122_252</t>
  </si>
  <si>
    <t>B24122_253</t>
  </si>
  <si>
    <t>B24122_254</t>
  </si>
  <si>
    <t>B24122_255</t>
  </si>
  <si>
    <t>B24122_256</t>
  </si>
  <si>
    <t>B24122_257</t>
  </si>
  <si>
    <t>B24122_258</t>
  </si>
  <si>
    <t>B24122_259</t>
  </si>
  <si>
    <t>B24122_260</t>
  </si>
  <si>
    <t>B24122_261</t>
  </si>
  <si>
    <t>B24122_262</t>
  </si>
  <si>
    <t>B24122_263</t>
  </si>
  <si>
    <t>B24122_264</t>
  </si>
  <si>
    <t>B24122_265</t>
  </si>
  <si>
    <t>B24122_266</t>
  </si>
  <si>
    <t>B24122_267</t>
  </si>
  <si>
    <t>B24122_268</t>
  </si>
  <si>
    <t>B24122_269</t>
  </si>
  <si>
    <t>B24122_270</t>
  </si>
  <si>
    <t>B24122_271</t>
  </si>
  <si>
    <t>B24122_272</t>
  </si>
  <si>
    <t>B24122_273</t>
  </si>
  <si>
    <t>B24122_274</t>
  </si>
  <si>
    <t>B24122_275</t>
  </si>
  <si>
    <t>B24122_276</t>
  </si>
  <si>
    <t>B24122_277</t>
  </si>
  <si>
    <t>B24122_278</t>
  </si>
  <si>
    <t>B24122_279</t>
  </si>
  <si>
    <t>B24122_280</t>
  </si>
  <si>
    <t>B24122_281</t>
  </si>
  <si>
    <t>B24122_282</t>
  </si>
  <si>
    <t>B24122_283</t>
  </si>
  <si>
    <t>B24122_284</t>
  </si>
  <si>
    <t>B24122_285</t>
  </si>
  <si>
    <t>B24122_286</t>
  </si>
  <si>
    <t>B24122_287</t>
  </si>
  <si>
    <t>B24122_288</t>
  </si>
  <si>
    <t>B24122_289</t>
  </si>
  <si>
    <t>B24122_290</t>
  </si>
  <si>
    <t>B24122_291</t>
  </si>
  <si>
    <t>B24122_292</t>
  </si>
  <si>
    <t>B24122_293</t>
  </si>
  <si>
    <t>B24122_294</t>
  </si>
  <si>
    <t>B24122_295</t>
  </si>
  <si>
    <t>B24122_296</t>
  </si>
  <si>
    <t>B24122_297</t>
  </si>
  <si>
    <t>B24122_298</t>
  </si>
  <si>
    <t>B24122_299</t>
  </si>
  <si>
    <t>B24122_300</t>
  </si>
  <si>
    <t>B24122_301</t>
  </si>
  <si>
    <t>B24122_302</t>
  </si>
  <si>
    <t>B24122_303</t>
  </si>
  <si>
    <t>B24122_304</t>
  </si>
  <si>
    <t>B24122_305</t>
  </si>
  <si>
    <t>B24122_306</t>
  </si>
  <si>
    <t>B24122_307</t>
  </si>
  <si>
    <t>B24122_308</t>
  </si>
  <si>
    <t>B24122_309</t>
  </si>
  <si>
    <t>B24122_310</t>
  </si>
  <si>
    <t>B24122_311</t>
  </si>
  <si>
    <t>B24122_312</t>
  </si>
  <si>
    <t>B24122_313</t>
  </si>
  <si>
    <t>B24122_314</t>
  </si>
  <si>
    <t>B24122_315</t>
  </si>
  <si>
    <t>B24122_316</t>
  </si>
  <si>
    <t>B24122_317</t>
  </si>
  <si>
    <t>B24122_318</t>
  </si>
  <si>
    <t>B24122_319</t>
  </si>
  <si>
    <t>B24122_320</t>
  </si>
  <si>
    <t>B24122_321</t>
  </si>
  <si>
    <t>B24122_322</t>
  </si>
  <si>
    <t>B24122_323</t>
  </si>
  <si>
    <t>B24122_324</t>
  </si>
  <si>
    <t>B24122_325</t>
  </si>
  <si>
    <t>B24122_326</t>
  </si>
  <si>
    <t>B24122_327</t>
  </si>
  <si>
    <t>B24122_328</t>
  </si>
  <si>
    <t>B24122_329</t>
  </si>
  <si>
    <t>B24122_330</t>
  </si>
  <si>
    <t>B24122_331</t>
  </si>
  <si>
    <t>B24122_332</t>
  </si>
  <si>
    <t>B24122_333</t>
  </si>
  <si>
    <t>B24122_334</t>
  </si>
  <si>
    <t>B24122_335</t>
  </si>
  <si>
    <t>B24122_336</t>
  </si>
  <si>
    <t>B24122_337</t>
  </si>
  <si>
    <t>B24122_338</t>
  </si>
  <si>
    <t>B24122_339</t>
  </si>
  <si>
    <t>B24122_340</t>
  </si>
  <si>
    <t>B24122_341</t>
  </si>
  <si>
    <t>B24122_342</t>
  </si>
  <si>
    <t>B24122_343</t>
  </si>
  <si>
    <t>B24122_344</t>
  </si>
  <si>
    <t>B24122_345</t>
  </si>
  <si>
    <t>B24122_346</t>
  </si>
  <si>
    <t>B24122_347</t>
  </si>
  <si>
    <t>B24122_348</t>
  </si>
  <si>
    <t>B24122_349</t>
  </si>
  <si>
    <t>B24122_350</t>
  </si>
  <si>
    <t>B24122_351</t>
  </si>
  <si>
    <t>B24122_352</t>
  </si>
  <si>
    <t>B24122_353</t>
  </si>
  <si>
    <t>B24122_354</t>
  </si>
  <si>
    <t>B24122_355</t>
  </si>
  <si>
    <t>B24122_356</t>
  </si>
  <si>
    <t>B24122_357</t>
  </si>
  <si>
    <t>B24122_358</t>
  </si>
  <si>
    <t>B24122_359</t>
  </si>
  <si>
    <t>B24122_360</t>
  </si>
  <si>
    <t>B24122_361</t>
  </si>
  <si>
    <t>B24122_362</t>
  </si>
  <si>
    <t>B24122_363</t>
  </si>
  <si>
    <t>B24122_364</t>
  </si>
  <si>
    <t>B24122_365</t>
  </si>
  <si>
    <t>B24122_366</t>
  </si>
  <si>
    <t>B24122_367</t>
  </si>
  <si>
    <t>B24122_368</t>
  </si>
  <si>
    <t>B24122_369</t>
  </si>
  <si>
    <t>B24122_370</t>
  </si>
  <si>
    <t>B24122_371</t>
  </si>
  <si>
    <t>B24122_372</t>
  </si>
  <si>
    <t>B24122_373</t>
  </si>
  <si>
    <t>B24122_374</t>
  </si>
  <si>
    <t>B24122_375</t>
  </si>
  <si>
    <t>B24122_376</t>
  </si>
  <si>
    <t>B24122_377</t>
  </si>
  <si>
    <t>B24122_378</t>
  </si>
  <si>
    <t>B24122_379</t>
  </si>
  <si>
    <t>B24122_380</t>
  </si>
  <si>
    <t>B24122_381</t>
  </si>
  <si>
    <t>B24122_382</t>
  </si>
  <si>
    <t>B24122_383</t>
  </si>
  <si>
    <t>B24122_384</t>
  </si>
  <si>
    <t>B24122_385</t>
  </si>
  <si>
    <t>B24122_386</t>
  </si>
  <si>
    <t>B24122_387</t>
  </si>
  <si>
    <t>B24122_388</t>
  </si>
  <si>
    <t>B24122_389</t>
  </si>
  <si>
    <t>B24122_390</t>
  </si>
  <si>
    <t>B24122_391</t>
  </si>
  <si>
    <t>B24122_392</t>
  </si>
  <si>
    <t>B24122_393</t>
  </si>
  <si>
    <t>B24122_394</t>
  </si>
  <si>
    <t>B24122_395</t>
  </si>
  <si>
    <t>B24122_396</t>
  </si>
  <si>
    <t>B24122_397</t>
  </si>
  <si>
    <t>B24122_398</t>
  </si>
  <si>
    <t>B24122_399</t>
  </si>
  <si>
    <t>B24122_400</t>
  </si>
  <si>
    <t>B24122_401</t>
  </si>
  <si>
    <t>B24122_402</t>
  </si>
  <si>
    <t>B24122_403</t>
  </si>
  <si>
    <t>B24122_404</t>
  </si>
  <si>
    <t>B24122_405</t>
  </si>
  <si>
    <t>B24122_406</t>
  </si>
  <si>
    <t>B24122_407</t>
  </si>
  <si>
    <t>B24122_408</t>
  </si>
  <si>
    <t>B24122_409</t>
  </si>
  <si>
    <t>B24122_410</t>
  </si>
  <si>
    <t>B24122_411</t>
  </si>
  <si>
    <t>B24122_412</t>
  </si>
  <si>
    <t>B24122_413</t>
  </si>
  <si>
    <t>B24122_414</t>
  </si>
  <si>
    <t>B24122_415</t>
  </si>
  <si>
    <t>B24122_416</t>
  </si>
  <si>
    <t>B24122_417</t>
  </si>
  <si>
    <t>B24122_418</t>
  </si>
  <si>
    <t>B24122_419</t>
  </si>
  <si>
    <t>B24122_420</t>
  </si>
  <si>
    <t>B24122_421</t>
  </si>
  <si>
    <t>B24122_422</t>
  </si>
  <si>
    <t>B24122_423</t>
  </si>
  <si>
    <t>B24122_424</t>
  </si>
  <si>
    <t>B24122_425</t>
  </si>
  <si>
    <t>B24122_426</t>
  </si>
  <si>
    <t>B24122_427</t>
  </si>
  <si>
    <t>B24122_428</t>
  </si>
  <si>
    <t>B24122_429</t>
  </si>
  <si>
    <t>B24122_430</t>
  </si>
  <si>
    <t>B24122_431</t>
  </si>
  <si>
    <t>B24122_432</t>
  </si>
  <si>
    <t>B24122_433</t>
  </si>
  <si>
    <t>B24122_434</t>
  </si>
  <si>
    <t>B24122_435</t>
  </si>
  <si>
    <t>B24122_436</t>
  </si>
  <si>
    <t>B24122_437</t>
  </si>
  <si>
    <t>B24122_438</t>
  </si>
  <si>
    <t>B24122_439</t>
  </si>
  <si>
    <t>B24122_440</t>
  </si>
  <si>
    <t>B24122_441</t>
  </si>
  <si>
    <t>B24122_442</t>
  </si>
  <si>
    <t>B24122_443</t>
  </si>
  <si>
    <t>B24122_444</t>
  </si>
  <si>
    <t>B24122_445</t>
  </si>
  <si>
    <t>B24122_446</t>
  </si>
  <si>
    <t>B24122_447</t>
  </si>
  <si>
    <t>B24122_448</t>
  </si>
  <si>
    <t>B24122_449</t>
  </si>
  <si>
    <t>B24122_450</t>
  </si>
  <si>
    <t>B24122_451</t>
  </si>
  <si>
    <t>B24122_452</t>
  </si>
  <si>
    <t>B24122_453</t>
  </si>
  <si>
    <t>B24122_454</t>
  </si>
  <si>
    <t>B24122_455</t>
  </si>
  <si>
    <t>B24122_456</t>
  </si>
  <si>
    <t>B24122_457</t>
  </si>
  <si>
    <t>B24122_458</t>
  </si>
  <si>
    <t>B24122_459</t>
  </si>
  <si>
    <t>B24122_460</t>
  </si>
  <si>
    <t>B24122_461</t>
  </si>
  <si>
    <t>B24122_462</t>
  </si>
  <si>
    <t>B24122_463</t>
  </si>
  <si>
    <t>B24122_464</t>
  </si>
  <si>
    <t>B24122_465</t>
  </si>
  <si>
    <t>B24122_466</t>
  </si>
  <si>
    <t>B24122_467</t>
  </si>
  <si>
    <t>B24122_468</t>
  </si>
  <si>
    <t>B24122_469</t>
  </si>
  <si>
    <t>B24122_470</t>
  </si>
  <si>
    <t>B24122_471</t>
  </si>
  <si>
    <t>B24122_472</t>
  </si>
  <si>
    <t>B24122_473</t>
  </si>
  <si>
    <t>B24122_474</t>
  </si>
  <si>
    <t>B24122_475</t>
  </si>
  <si>
    <t>B24122_476</t>
  </si>
  <si>
    <t>B24122_477</t>
  </si>
  <si>
    <t>B24122_478</t>
  </si>
  <si>
    <t>B24122_479</t>
  </si>
  <si>
    <t>B24122_480</t>
  </si>
  <si>
    <t>B24122_481</t>
  </si>
  <si>
    <t>B24122_482</t>
  </si>
  <si>
    <t>B24122_483</t>
  </si>
  <si>
    <t>B24122_484</t>
  </si>
  <si>
    <t>B24122_485</t>
  </si>
  <si>
    <t>B24122_486</t>
  </si>
  <si>
    <t>B24122_487</t>
  </si>
  <si>
    <t>B24122_488</t>
  </si>
  <si>
    <t>B24122_489</t>
  </si>
  <si>
    <t>B24122_490</t>
  </si>
  <si>
    <t>B24122_491</t>
  </si>
  <si>
    <t>B24122_492</t>
  </si>
  <si>
    <t>B24122_493</t>
  </si>
  <si>
    <t>B24122_494</t>
  </si>
  <si>
    <t>B24122_495</t>
  </si>
  <si>
    <t>B24122_496</t>
  </si>
  <si>
    <t>B24122_497</t>
  </si>
  <si>
    <t>B24122_498</t>
  </si>
  <si>
    <t>B24122_499</t>
  </si>
  <si>
    <t>B24122_500</t>
  </si>
  <si>
    <t>B24122_501</t>
  </si>
  <si>
    <t>B24122_502</t>
  </si>
  <si>
    <t>B24122_503</t>
  </si>
  <si>
    <t>B24122_504</t>
  </si>
  <si>
    <t>B24122_505</t>
  </si>
  <si>
    <t>B24122_506</t>
  </si>
  <si>
    <t>B24122_507</t>
  </si>
  <si>
    <t>B24122_508</t>
  </si>
  <si>
    <t>B24122_509</t>
  </si>
  <si>
    <t>B24122_510</t>
  </si>
  <si>
    <t>B24122_511</t>
  </si>
  <si>
    <t>B24122_512</t>
  </si>
  <si>
    <t>B24122_513</t>
  </si>
  <si>
    <t>B24122_514</t>
  </si>
  <si>
    <t>B24122_515</t>
  </si>
  <si>
    <t>B24122_516</t>
  </si>
  <si>
    <t>B24122_517</t>
  </si>
  <si>
    <t>B24122_518</t>
  </si>
  <si>
    <t>B24122_519</t>
  </si>
  <si>
    <t>B24122_520</t>
  </si>
  <si>
    <t>B24122_521</t>
  </si>
  <si>
    <t>B24122_522</t>
  </si>
  <si>
    <t>B24122_523</t>
  </si>
  <si>
    <t>B24122_524</t>
  </si>
  <si>
    <t>B24122_525</t>
  </si>
  <si>
    <t>B24122_526</t>
  </si>
  <si>
    <t>B24122_527</t>
  </si>
  <si>
    <t>B24122_528</t>
  </si>
  <si>
    <t>B24122_529</t>
  </si>
  <si>
    <t>B24122_530</t>
  </si>
  <si>
    <t>B24122_531</t>
  </si>
  <si>
    <t>B24122_532</t>
  </si>
  <si>
    <t>B24122_533</t>
  </si>
  <si>
    <t>B24122_534</t>
  </si>
  <si>
    <t>B24122_535</t>
  </si>
  <si>
    <t>B24122_536</t>
  </si>
  <si>
    <t>B24122_537</t>
  </si>
  <si>
    <t>B24122_538</t>
  </si>
  <si>
    <t>B24122_539</t>
  </si>
  <si>
    <t>B24122_540</t>
  </si>
  <si>
    <t>B24122_541</t>
  </si>
  <si>
    <t>B24122_542</t>
  </si>
  <si>
    <t>B24122_543</t>
  </si>
  <si>
    <t>B24122_544</t>
  </si>
  <si>
    <t>B24122_545</t>
  </si>
  <si>
    <t>B24122_546</t>
  </si>
  <si>
    <t>B24122_547</t>
  </si>
  <si>
    <t>B24122_548</t>
  </si>
  <si>
    <t>B24122_549</t>
  </si>
  <si>
    <t>B24122_550</t>
  </si>
  <si>
    <t>B24122_551</t>
  </si>
  <si>
    <t>B24122_552</t>
  </si>
  <si>
    <t>B24122_553</t>
  </si>
  <si>
    <t>B24122_554</t>
  </si>
  <si>
    <t>B24122_555</t>
  </si>
  <si>
    <t>B24122_556</t>
  </si>
  <si>
    <t>B24122_557</t>
  </si>
  <si>
    <t>B24122_558</t>
  </si>
  <si>
    <t>B24122_559</t>
  </si>
  <si>
    <t>B24122_560</t>
  </si>
  <si>
    <t>B24122_561</t>
  </si>
  <si>
    <t>B24122_562</t>
  </si>
  <si>
    <t>B24122_563</t>
  </si>
  <si>
    <t>B24122_564</t>
  </si>
  <si>
    <t>B24122_565</t>
  </si>
  <si>
    <t>B24122_566</t>
  </si>
  <si>
    <t>B24123_002</t>
  </si>
  <si>
    <t>B24123_003</t>
  </si>
  <si>
    <t>B24123_004</t>
  </si>
  <si>
    <t>B24123_005</t>
  </si>
  <si>
    <t>B24123_006</t>
  </si>
  <si>
    <t>B24123_007</t>
  </si>
  <si>
    <t>B24123_008</t>
  </si>
  <si>
    <t>B24123_009</t>
  </si>
  <si>
    <t>B24123_010</t>
  </si>
  <si>
    <t>B24123_011</t>
  </si>
  <si>
    <t>B24123_012</t>
  </si>
  <si>
    <t>B24123_013</t>
  </si>
  <si>
    <t>B24123_014</t>
  </si>
  <si>
    <t>B24123_015</t>
  </si>
  <si>
    <t>B24123_016</t>
  </si>
  <si>
    <t>B24123_017</t>
  </si>
  <si>
    <t>B24123_018</t>
  </si>
  <si>
    <t>B24123_019</t>
  </si>
  <si>
    <t>B24123_020</t>
  </si>
  <si>
    <t>B24123_021</t>
  </si>
  <si>
    <t>B24123_022</t>
  </si>
  <si>
    <t>B24123_023</t>
  </si>
  <si>
    <t>B24123_024</t>
  </si>
  <si>
    <t>B24123_025</t>
  </si>
  <si>
    <t>B24123_026</t>
  </si>
  <si>
    <t>B24123_027</t>
  </si>
  <si>
    <t>B24123_028</t>
  </si>
  <si>
    <t>B24123_029</t>
  </si>
  <si>
    <t>B24123_030</t>
  </si>
  <si>
    <t>B24123_031</t>
  </si>
  <si>
    <t>B24123_032</t>
  </si>
  <si>
    <t>B24123_033</t>
  </si>
  <si>
    <t>B24123_034</t>
  </si>
  <si>
    <t>B24123_035</t>
  </si>
  <si>
    <t>B24123_036</t>
  </si>
  <si>
    <t>B24123_037</t>
  </si>
  <si>
    <t>B24123_038</t>
  </si>
  <si>
    <t>B24123_039</t>
  </si>
  <si>
    <t>B24123_040</t>
  </si>
  <si>
    <t>B24123_041</t>
  </si>
  <si>
    <t>B24123_042</t>
  </si>
  <si>
    <t>B24123_043</t>
  </si>
  <si>
    <t>B24123_044</t>
  </si>
  <si>
    <t>B24123_045</t>
  </si>
  <si>
    <t>B24123_046</t>
  </si>
  <si>
    <t>B24123_047</t>
  </si>
  <si>
    <t>B24123_048</t>
  </si>
  <si>
    <t>B24123_049</t>
  </si>
  <si>
    <t>B24123_050</t>
  </si>
  <si>
    <t>B24123_051</t>
  </si>
  <si>
    <t>B24123_052</t>
  </si>
  <si>
    <t>B24123_053</t>
  </si>
  <si>
    <t>B24123_054</t>
  </si>
  <si>
    <t>B24123_055</t>
  </si>
  <si>
    <t>B24123_056</t>
  </si>
  <si>
    <t>B24123_057</t>
  </si>
  <si>
    <t>B24123_058</t>
  </si>
  <si>
    <t>B24123_059</t>
  </si>
  <si>
    <t>B24123_060</t>
  </si>
  <si>
    <t>B24123_061</t>
  </si>
  <si>
    <t>B24123_062</t>
  </si>
  <si>
    <t>B24123_063</t>
  </si>
  <si>
    <t>B24123_064</t>
  </si>
  <si>
    <t>B24123_065</t>
  </si>
  <si>
    <t>B24123_066</t>
  </si>
  <si>
    <t>B24123_067</t>
  </si>
  <si>
    <t>B24123_068</t>
  </si>
  <si>
    <t>B24123_069</t>
  </si>
  <si>
    <t>B24123_070</t>
  </si>
  <si>
    <t>B24123_071</t>
  </si>
  <si>
    <t>B24123_072</t>
  </si>
  <si>
    <t>B24123_073</t>
  </si>
  <si>
    <t>B24123_074</t>
  </si>
  <si>
    <t>B24123_075</t>
  </si>
  <si>
    <t>B24123_076</t>
  </si>
  <si>
    <t>B24123_077</t>
  </si>
  <si>
    <t>B24123_078</t>
  </si>
  <si>
    <t>B24123_079</t>
  </si>
  <si>
    <t>B24123_080</t>
  </si>
  <si>
    <t>B24123_081</t>
  </si>
  <si>
    <t>B24123_082</t>
  </si>
  <si>
    <t>B24123_083</t>
  </si>
  <si>
    <t>B24123_084</t>
  </si>
  <si>
    <t>B24123_085</t>
  </si>
  <si>
    <t>B24123_086</t>
  </si>
  <si>
    <t>B24123_087</t>
  </si>
  <si>
    <t>B24123_088</t>
  </si>
  <si>
    <t>B24123_089</t>
  </si>
  <si>
    <t>B24123_090</t>
  </si>
  <si>
    <t>B24123_091</t>
  </si>
  <si>
    <t>B24123_092</t>
  </si>
  <si>
    <t>B24123_093</t>
  </si>
  <si>
    <t>B24123_094</t>
  </si>
  <si>
    <t>B24123_095</t>
  </si>
  <si>
    <t>B24123_096</t>
  </si>
  <si>
    <t>B24123_097</t>
  </si>
  <si>
    <t>B24123_098</t>
  </si>
  <si>
    <t>B24123_099</t>
  </si>
  <si>
    <t>B24123_100</t>
  </si>
  <si>
    <t>B24123_101</t>
  </si>
  <si>
    <t>B24123_102</t>
  </si>
  <si>
    <t>B24123_103</t>
  </si>
  <si>
    <t>B24123_104</t>
  </si>
  <si>
    <t>B24123_105</t>
  </si>
  <si>
    <t>B24123_106</t>
  </si>
  <si>
    <t>B24123_107</t>
  </si>
  <si>
    <t>B24123_108</t>
  </si>
  <si>
    <t>B24123_109</t>
  </si>
  <si>
    <t>B24123_110</t>
  </si>
  <si>
    <t>B24123_111</t>
  </si>
  <si>
    <t>B24123_112</t>
  </si>
  <si>
    <t>B24123_113</t>
  </si>
  <si>
    <t>B24123_114</t>
  </si>
  <si>
    <t>B24123_115</t>
  </si>
  <si>
    <t>B24123_116</t>
  </si>
  <si>
    <t>B24123_117</t>
  </si>
  <si>
    <t>B24123_118</t>
  </si>
  <si>
    <t>B24123_119</t>
  </si>
  <si>
    <t>B24123_120</t>
  </si>
  <si>
    <t>B24123_121</t>
  </si>
  <si>
    <t>B24123_122</t>
  </si>
  <si>
    <t>B24123_123</t>
  </si>
  <si>
    <t>B24123_124</t>
  </si>
  <si>
    <t>B24123_125</t>
  </si>
  <si>
    <t>B24123_126</t>
  </si>
  <si>
    <t>B24123_127</t>
  </si>
  <si>
    <t>B24123_128</t>
  </si>
  <si>
    <t>B24123_129</t>
  </si>
  <si>
    <t>B24123_130</t>
  </si>
  <si>
    <t>B24123_131</t>
  </si>
  <si>
    <t>B24123_132</t>
  </si>
  <si>
    <t>B24123_133</t>
  </si>
  <si>
    <t>B24123_134</t>
  </si>
  <si>
    <t>B24123_135</t>
  </si>
  <si>
    <t>B24123_136</t>
  </si>
  <si>
    <t>B24123_137</t>
  </si>
  <si>
    <t>B24123_138</t>
  </si>
  <si>
    <t>B24123_139</t>
  </si>
  <si>
    <t>B24123_140</t>
  </si>
  <si>
    <t>B24123_141</t>
  </si>
  <si>
    <t>B24123_142</t>
  </si>
  <si>
    <t>B24123_143</t>
  </si>
  <si>
    <t>B24123_144</t>
  </si>
  <si>
    <t>B24123_145</t>
  </si>
  <si>
    <t>B24123_146</t>
  </si>
  <si>
    <t>B24123_147</t>
  </si>
  <si>
    <t>B24123_148</t>
  </si>
  <si>
    <t>B24123_149</t>
  </si>
  <si>
    <t>B24123_150</t>
  </si>
  <si>
    <t>B24123_151</t>
  </si>
  <si>
    <t>B24123_152</t>
  </si>
  <si>
    <t>B24123_153</t>
  </si>
  <si>
    <t>B24123_154</t>
  </si>
  <si>
    <t>B24123_155</t>
  </si>
  <si>
    <t>B24123_156</t>
  </si>
  <si>
    <t>B24123_157</t>
  </si>
  <si>
    <t>B24123_158</t>
  </si>
  <si>
    <t>B24123_159</t>
  </si>
  <si>
    <t>B24123_160</t>
  </si>
  <si>
    <t>B24123_161</t>
  </si>
  <si>
    <t>B24123_162</t>
  </si>
  <si>
    <t>B24123_163</t>
  </si>
  <si>
    <t>B24123_164</t>
  </si>
  <si>
    <t>B24123_165</t>
  </si>
  <si>
    <t>B24123_166</t>
  </si>
  <si>
    <t>B24123_167</t>
  </si>
  <si>
    <t>B24123_168</t>
  </si>
  <si>
    <t>B24123_169</t>
  </si>
  <si>
    <t>B24123_170</t>
  </si>
  <si>
    <t>B24123_171</t>
  </si>
  <si>
    <t>B24123_172</t>
  </si>
  <si>
    <t>B24123_173</t>
  </si>
  <si>
    <t>B24123_174</t>
  </si>
  <si>
    <t>B24123_175</t>
  </si>
  <si>
    <t>B24123_176</t>
  </si>
  <si>
    <t>B24123_177</t>
  </si>
  <si>
    <t>B24123_178</t>
  </si>
  <si>
    <t>B24123_179</t>
  </si>
  <si>
    <t>B24123_180</t>
  </si>
  <si>
    <t>B24123_181</t>
  </si>
  <si>
    <t>B24123_182</t>
  </si>
  <si>
    <t>B24123_183</t>
  </si>
  <si>
    <t>B24123_184</t>
  </si>
  <si>
    <t>B24123_185</t>
  </si>
  <si>
    <t>B24123_186</t>
  </si>
  <si>
    <t>B24123_187</t>
  </si>
  <si>
    <t>B24123_188</t>
  </si>
  <si>
    <t>B24123_189</t>
  </si>
  <si>
    <t>B24123_190</t>
  </si>
  <si>
    <t>B24123_191</t>
  </si>
  <si>
    <t>B24123_192</t>
  </si>
  <si>
    <t>B24123_193</t>
  </si>
  <si>
    <t>B24123_194</t>
  </si>
  <si>
    <t>B24123_195</t>
  </si>
  <si>
    <t>B24123_196</t>
  </si>
  <si>
    <t>B24123_197</t>
  </si>
  <si>
    <t>B24123_198</t>
  </si>
  <si>
    <t>B24123_199</t>
  </si>
  <si>
    <t>B24123_200</t>
  </si>
  <si>
    <t>B24123_201</t>
  </si>
  <si>
    <t>B24123_202</t>
  </si>
  <si>
    <t>B24123_203</t>
  </si>
  <si>
    <t>B24123_204</t>
  </si>
  <si>
    <t>B24123_205</t>
  </si>
  <si>
    <t>B24123_206</t>
  </si>
  <si>
    <t>B24123_207</t>
  </si>
  <si>
    <t>B24123_208</t>
  </si>
  <si>
    <t>B24123_209</t>
  </si>
  <si>
    <t>B24123_210</t>
  </si>
  <si>
    <t>B24123_211</t>
  </si>
  <si>
    <t>B24123_212</t>
  </si>
  <si>
    <t>B24123_213</t>
  </si>
  <si>
    <t>B24123_214</t>
  </si>
  <si>
    <t>B24123_215</t>
  </si>
  <si>
    <t>B24123_216</t>
  </si>
  <si>
    <t>B24123_217</t>
  </si>
  <si>
    <t>B24123_218</t>
  </si>
  <si>
    <t>B24123_219</t>
  </si>
  <si>
    <t>B24123_220</t>
  </si>
  <si>
    <t>B24123_221</t>
  </si>
  <si>
    <t>B24123_222</t>
  </si>
  <si>
    <t>B24123_223</t>
  </si>
  <si>
    <t>B24123_224</t>
  </si>
  <si>
    <t>B24123_225</t>
  </si>
  <si>
    <t>B24123_226</t>
  </si>
  <si>
    <t>B24123_227</t>
  </si>
  <si>
    <t>B24123_228</t>
  </si>
  <si>
    <t>B24123_229</t>
  </si>
  <si>
    <t>B24123_230</t>
  </si>
  <si>
    <t>B24123_231</t>
  </si>
  <si>
    <t>B24123_232</t>
  </si>
  <si>
    <t>B24123_233</t>
  </si>
  <si>
    <t>B24123_234</t>
  </si>
  <si>
    <t>B24123_235</t>
  </si>
  <si>
    <t>B24123_236</t>
  </si>
  <si>
    <t>B24123_237</t>
  </si>
  <si>
    <t>B24123_238</t>
  </si>
  <si>
    <t>B24123_239</t>
  </si>
  <si>
    <t>B24123_240</t>
  </si>
  <si>
    <t>B24123_241</t>
  </si>
  <si>
    <t>B24123_242</t>
  </si>
  <si>
    <t>B24123_243</t>
  </si>
  <si>
    <t>B24123_244</t>
  </si>
  <si>
    <t>B24123_245</t>
  </si>
  <si>
    <t>B24123_246</t>
  </si>
  <si>
    <t>B24123_247</t>
  </si>
  <si>
    <t>B24123_248</t>
  </si>
  <si>
    <t>B24123_249</t>
  </si>
  <si>
    <t>B24123_250</t>
  </si>
  <si>
    <t>B24123_251</t>
  </si>
  <si>
    <t>B24123_252</t>
  </si>
  <si>
    <t>B24123_253</t>
  </si>
  <si>
    <t>B24123_254</t>
  </si>
  <si>
    <t>B24123_255</t>
  </si>
  <si>
    <t>B24123_256</t>
  </si>
  <si>
    <t>B24123_257</t>
  </si>
  <si>
    <t>B24123_258</t>
  </si>
  <si>
    <t>B24123_259</t>
  </si>
  <si>
    <t>B24123_260</t>
  </si>
  <si>
    <t>B24123_261</t>
  </si>
  <si>
    <t>B24123_262</t>
  </si>
  <si>
    <t>B24123_263</t>
  </si>
  <si>
    <t>B24123_264</t>
  </si>
  <si>
    <t>B24123_265</t>
  </si>
  <si>
    <t>B24123_266</t>
  </si>
  <si>
    <t>B24123_267</t>
  </si>
  <si>
    <t>B24123_268</t>
  </si>
  <si>
    <t>B24123_269</t>
  </si>
  <si>
    <t>B24123_270</t>
  </si>
  <si>
    <t>B24123_271</t>
  </si>
  <si>
    <t>B24123_272</t>
  </si>
  <si>
    <t>B24123_273</t>
  </si>
  <si>
    <t>B24123_274</t>
  </si>
  <si>
    <t>B24123_275</t>
  </si>
  <si>
    <t>B24123_276</t>
  </si>
  <si>
    <t>B24123_277</t>
  </si>
  <si>
    <t>B24123_278</t>
  </si>
  <si>
    <t>B24123_279</t>
  </si>
  <si>
    <t>B24123_280</t>
  </si>
  <si>
    <t>B24123_281</t>
  </si>
  <si>
    <t>B24123_282</t>
  </si>
  <si>
    <t>B24123_283</t>
  </si>
  <si>
    <t>B24123_284</t>
  </si>
  <si>
    <t>B24123_285</t>
  </si>
  <si>
    <t>B24123_286</t>
  </si>
  <si>
    <t>B24123_287</t>
  </si>
  <si>
    <t>B24123_288</t>
  </si>
  <si>
    <t>B24123_289</t>
  </si>
  <si>
    <t>B24123_290</t>
  </si>
  <si>
    <t>B24123_291</t>
  </si>
  <si>
    <t>B24123_292</t>
  </si>
  <si>
    <t>B24123_293</t>
  </si>
  <si>
    <t>B24123_294</t>
  </si>
  <si>
    <t>B24123_295</t>
  </si>
  <si>
    <t>B24123_296</t>
  </si>
  <si>
    <t>B24123_297</t>
  </si>
  <si>
    <t>B24123_298</t>
  </si>
  <si>
    <t>B24123_299</t>
  </si>
  <si>
    <t>B24123_300</t>
  </si>
  <si>
    <t>B24123_301</t>
  </si>
  <si>
    <t>B24123_302</t>
  </si>
  <si>
    <t>B24123_303</t>
  </si>
  <si>
    <t>B24123_304</t>
  </si>
  <si>
    <t>B24123_305</t>
  </si>
  <si>
    <t>B24123_306</t>
  </si>
  <si>
    <t>B24123_307</t>
  </si>
  <si>
    <t>B24123_308</t>
  </si>
  <si>
    <t>B24123_309</t>
  </si>
  <si>
    <t>B24123_310</t>
  </si>
  <si>
    <t>B24123_311</t>
  </si>
  <si>
    <t>B24123_312</t>
  </si>
  <si>
    <t>B24123_313</t>
  </si>
  <si>
    <t>B24123_314</t>
  </si>
  <si>
    <t>B24123_315</t>
  </si>
  <si>
    <t>B24123_316</t>
  </si>
  <si>
    <t>B24123_317</t>
  </si>
  <si>
    <t>B24123_318</t>
  </si>
  <si>
    <t>B24123_319</t>
  </si>
  <si>
    <t>B24123_320</t>
  </si>
  <si>
    <t>B24123_321</t>
  </si>
  <si>
    <t>B24123_322</t>
  </si>
  <si>
    <t>B24123_323</t>
  </si>
  <si>
    <t>B24123_324</t>
  </si>
  <si>
    <t>B24123_325</t>
  </si>
  <si>
    <t>B24123_326</t>
  </si>
  <si>
    <t>B24123_327</t>
  </si>
  <si>
    <t>B24123_328</t>
  </si>
  <si>
    <t>B24123_329</t>
  </si>
  <si>
    <t>B24123_330</t>
  </si>
  <si>
    <t>B24123_331</t>
  </si>
  <si>
    <t>B24123_332</t>
  </si>
  <si>
    <t>B24123_333</t>
  </si>
  <si>
    <t>B24123_334</t>
  </si>
  <si>
    <t>B24123_335</t>
  </si>
  <si>
    <t>B24123_336</t>
  </si>
  <si>
    <t>B24123_337</t>
  </si>
  <si>
    <t>B24123_338</t>
  </si>
  <si>
    <t>B24123_339</t>
  </si>
  <si>
    <t>B24123_340</t>
  </si>
  <si>
    <t>B24123_341</t>
  </si>
  <si>
    <t>B24123_342</t>
  </si>
  <si>
    <t>B24123_343</t>
  </si>
  <si>
    <t>B24123_344</t>
  </si>
  <si>
    <t>B24123_345</t>
  </si>
  <si>
    <t>B24123_346</t>
  </si>
  <si>
    <t>B24123_347</t>
  </si>
  <si>
    <t>B24123_348</t>
  </si>
  <si>
    <t>B24123_349</t>
  </si>
  <si>
    <t>B24123_350</t>
  </si>
  <si>
    <t>B24123_351</t>
  </si>
  <si>
    <t>B24123_352</t>
  </si>
  <si>
    <t>B24123_353</t>
  </si>
  <si>
    <t>B24123_354</t>
  </si>
  <si>
    <t>B24123_355</t>
  </si>
  <si>
    <t>B24123_356</t>
  </si>
  <si>
    <t>B24123_357</t>
  </si>
  <si>
    <t>B24123_358</t>
  </si>
  <si>
    <t>B24123_359</t>
  </si>
  <si>
    <t>B24123_360</t>
  </si>
  <si>
    <t>B24123_361</t>
  </si>
  <si>
    <t>B24123_362</t>
  </si>
  <si>
    <t>B24123_363</t>
  </si>
  <si>
    <t>B24123_364</t>
  </si>
  <si>
    <t>B24123_365</t>
  </si>
  <si>
    <t>B24123_366</t>
  </si>
  <si>
    <t>B24123_367</t>
  </si>
  <si>
    <t>B24123_368</t>
  </si>
  <si>
    <t>B24123_369</t>
  </si>
  <si>
    <t>B24123_370</t>
  </si>
  <si>
    <t>B24123_371</t>
  </si>
  <si>
    <t>B24123_372</t>
  </si>
  <si>
    <t>B24123_373</t>
  </si>
  <si>
    <t>B24123_374</t>
  </si>
  <si>
    <t>B24123_375</t>
  </si>
  <si>
    <t>B24123_376</t>
  </si>
  <si>
    <t>B24123_377</t>
  </si>
  <si>
    <t>B24123_378</t>
  </si>
  <si>
    <t>B24123_379</t>
  </si>
  <si>
    <t>B24123_380</t>
  </si>
  <si>
    <t>B24123_381</t>
  </si>
  <si>
    <t>B24123_382</t>
  </si>
  <si>
    <t>B24123_383</t>
  </si>
  <si>
    <t>B24123_384</t>
  </si>
  <si>
    <t>B24123_385</t>
  </si>
  <si>
    <t>B24123_386</t>
  </si>
  <si>
    <t>B24123_387</t>
  </si>
  <si>
    <t>B24123_388</t>
  </si>
  <si>
    <t>B24123_389</t>
  </si>
  <si>
    <t>B24123_390</t>
  </si>
  <si>
    <t>B24123_391</t>
  </si>
  <si>
    <t>B24123_392</t>
  </si>
  <si>
    <t>B24123_393</t>
  </si>
  <si>
    <t>B24123_394</t>
  </si>
  <si>
    <t>B24123_395</t>
  </si>
  <si>
    <t>B24123_396</t>
  </si>
  <si>
    <t>B24123_397</t>
  </si>
  <si>
    <t>B24123_398</t>
  </si>
  <si>
    <t>B24123_399</t>
  </si>
  <si>
    <t>B24123_400</t>
  </si>
  <si>
    <t>B24123_401</t>
  </si>
  <si>
    <t>B24123_402</t>
  </si>
  <si>
    <t>B24123_403</t>
  </si>
  <si>
    <t>B24123_404</t>
  </si>
  <si>
    <t>B24123_405</t>
  </si>
  <si>
    <t>B24123_406</t>
  </si>
  <si>
    <t>B24123_407</t>
  </si>
  <si>
    <t>B24123_408</t>
  </si>
  <si>
    <t>B24123_409</t>
  </si>
  <si>
    <t>B24123_410</t>
  </si>
  <si>
    <t>B24123_411</t>
  </si>
  <si>
    <t>B24123_412</t>
  </si>
  <si>
    <t>B24123_413</t>
  </si>
  <si>
    <t>B24123_414</t>
  </si>
  <si>
    <t>B24123_415</t>
  </si>
  <si>
    <t>B24123_416</t>
  </si>
  <si>
    <t>B24123_417</t>
  </si>
  <si>
    <t>B24123_418</t>
  </si>
  <si>
    <t>B24123_419</t>
  </si>
  <si>
    <t>B24123_420</t>
  </si>
  <si>
    <t>B24123_421</t>
  </si>
  <si>
    <t>B24123_422</t>
  </si>
  <si>
    <t>B24123_423</t>
  </si>
  <si>
    <t>B24123_424</t>
  </si>
  <si>
    <t>B24123_425</t>
  </si>
  <si>
    <t>B24123_426</t>
  </si>
  <si>
    <t>B24123_427</t>
  </si>
  <si>
    <t>B24123_428</t>
  </si>
  <si>
    <t>B24123_429</t>
  </si>
  <si>
    <t>B24123_430</t>
  </si>
  <si>
    <t>B24123_431</t>
  </si>
  <si>
    <t>B24123_432</t>
  </si>
  <si>
    <t>B24123_433</t>
  </si>
  <si>
    <t>B24123_434</t>
  </si>
  <si>
    <t>B24123_435</t>
  </si>
  <si>
    <t>B24123_436</t>
  </si>
  <si>
    <t>B24123_437</t>
  </si>
  <si>
    <t>B24123_438</t>
  </si>
  <si>
    <t>B24123_439</t>
  </si>
  <si>
    <t>B24123_440</t>
  </si>
  <si>
    <t>B24123_441</t>
  </si>
  <si>
    <t>B24123_442</t>
  </si>
  <si>
    <t>B24123_443</t>
  </si>
  <si>
    <t>B24123_444</t>
  </si>
  <si>
    <t>B24123_445</t>
  </si>
  <si>
    <t>B24123_446</t>
  </si>
  <si>
    <t>B24123_447</t>
  </si>
  <si>
    <t>B24123_448</t>
  </si>
  <si>
    <t>B24123_449</t>
  </si>
  <si>
    <t>B24123_450</t>
  </si>
  <si>
    <t>B24123_451</t>
  </si>
  <si>
    <t>B24123_452</t>
  </si>
  <si>
    <t>B24123_453</t>
  </si>
  <si>
    <t>B24123_454</t>
  </si>
  <si>
    <t>B24123_455</t>
  </si>
  <si>
    <t>B24123_456</t>
  </si>
  <si>
    <t>B24123_457</t>
  </si>
  <si>
    <t>B24123_458</t>
  </si>
  <si>
    <t>B24123_459</t>
  </si>
  <si>
    <t>B24123_460</t>
  </si>
  <si>
    <t>B24123_461</t>
  </si>
  <si>
    <t>B24123_462</t>
  </si>
  <si>
    <t>B24123_463</t>
  </si>
  <si>
    <t>B24123_464</t>
  </si>
  <si>
    <t>B24123_465</t>
  </si>
  <si>
    <t>B24123_466</t>
  </si>
  <si>
    <t>B24123_467</t>
  </si>
  <si>
    <t>B24123_468</t>
  </si>
  <si>
    <t>B24123_469</t>
  </si>
  <si>
    <t>B24123_470</t>
  </si>
  <si>
    <t>B24123_471</t>
  </si>
  <si>
    <t>B24123_472</t>
  </si>
  <si>
    <t>B24123_473</t>
  </si>
  <si>
    <t>B24123_474</t>
  </si>
  <si>
    <t>B24123_475</t>
  </si>
  <si>
    <t>B24123_476</t>
  </si>
  <si>
    <t>B24123_477</t>
  </si>
  <si>
    <t>B24123_478</t>
  </si>
  <si>
    <t>B24123_479</t>
  </si>
  <si>
    <t>B24123_480</t>
  </si>
  <si>
    <t>B24123_481</t>
  </si>
  <si>
    <t>B24123_482</t>
  </si>
  <si>
    <t>B24123_483</t>
  </si>
  <si>
    <t>B24123_484</t>
  </si>
  <si>
    <t>B24123_485</t>
  </si>
  <si>
    <t>B24123_486</t>
  </si>
  <si>
    <t>B24123_487</t>
  </si>
  <si>
    <t>B24123_488</t>
  </si>
  <si>
    <t>B24123_489</t>
  </si>
  <si>
    <t>B24123_490</t>
  </si>
  <si>
    <t>B24123_491</t>
  </si>
  <si>
    <t>B24123_492</t>
  </si>
  <si>
    <t>B24123_493</t>
  </si>
  <si>
    <t>B24123_494</t>
  </si>
  <si>
    <t>B24123_495</t>
  </si>
  <si>
    <t>B24123_496</t>
  </si>
  <si>
    <t>B24123_497</t>
  </si>
  <si>
    <t>B24123_498</t>
  </si>
  <si>
    <t>B24123_499</t>
  </si>
  <si>
    <t>B24123_500</t>
  </si>
  <si>
    <t>B24123_501</t>
  </si>
  <si>
    <t>B24123_502</t>
  </si>
  <si>
    <t>B24123_503</t>
  </si>
  <si>
    <t>B24123_504</t>
  </si>
  <si>
    <t>B24123_505</t>
  </si>
  <si>
    <t>B24123_506</t>
  </si>
  <si>
    <t>B24123_507</t>
  </si>
  <si>
    <t>B24123_508</t>
  </si>
  <si>
    <t>B24123_509</t>
  </si>
  <si>
    <t>B24123_510</t>
  </si>
  <si>
    <t>B24123_511</t>
  </si>
  <si>
    <t>B24123_512</t>
  </si>
  <si>
    <t>B24123_513</t>
  </si>
  <si>
    <t>B24123_514</t>
  </si>
  <si>
    <t>B24123_515</t>
  </si>
  <si>
    <t>B24123_516</t>
  </si>
  <si>
    <t>B24123_517</t>
  </si>
  <si>
    <t>B24123_518</t>
  </si>
  <si>
    <t>B24123_519</t>
  </si>
  <si>
    <t>B24123_520</t>
  </si>
  <si>
    <t>B24123_521</t>
  </si>
  <si>
    <t>B24123_522</t>
  </si>
  <si>
    <t>B24123_523</t>
  </si>
  <si>
    <t>B24123_524</t>
  </si>
  <si>
    <t>B24123_525</t>
  </si>
  <si>
    <t>B24123_526</t>
  </si>
  <si>
    <t>B24123_527</t>
  </si>
  <si>
    <t>B24123_528</t>
  </si>
  <si>
    <t>B24123_529</t>
  </si>
  <si>
    <t>B24123_530</t>
  </si>
  <si>
    <t>B24123_531</t>
  </si>
  <si>
    <t>B24123_532</t>
  </si>
  <si>
    <t>B24123_533</t>
  </si>
  <si>
    <t>B24123_534</t>
  </si>
  <si>
    <t>B24123_535</t>
  </si>
  <si>
    <t>B24123_536</t>
  </si>
  <si>
    <t>B24123_537</t>
  </si>
  <si>
    <t>B24123_538</t>
  </si>
  <si>
    <t>B24123_539</t>
  </si>
  <si>
    <t>B24123_540</t>
  </si>
  <si>
    <t>B24123_541</t>
  </si>
  <si>
    <t>B24123_542</t>
  </si>
  <si>
    <t>B24123_543</t>
  </si>
  <si>
    <t>B24123_544</t>
  </si>
  <si>
    <t>B24123_545</t>
  </si>
  <si>
    <t>B24123_546</t>
  </si>
  <si>
    <t>B24123_547</t>
  </si>
  <si>
    <t>B24123_548</t>
  </si>
  <si>
    <t>B24123_549</t>
  </si>
  <si>
    <t>B24123_550</t>
  </si>
  <si>
    <t>B24123_551</t>
  </si>
  <si>
    <t>B24123_552</t>
  </si>
  <si>
    <t>B24123_553</t>
  </si>
  <si>
    <t>B24123_554</t>
  </si>
  <si>
    <t>B24123_555</t>
  </si>
  <si>
    <t>B24123_556</t>
  </si>
  <si>
    <t>B24123_557</t>
  </si>
  <si>
    <t>B24123_558</t>
  </si>
  <si>
    <t>B24123_559</t>
  </si>
  <si>
    <t>B24123_560</t>
  </si>
  <si>
    <t>B24123_561</t>
  </si>
  <si>
    <t>B24123_562</t>
  </si>
  <si>
    <t>B24123_563</t>
  </si>
  <si>
    <t>B24123_564</t>
  </si>
  <si>
    <t>B24123_565</t>
  </si>
  <si>
    <t>B24123_566</t>
  </si>
  <si>
    <t>B24124_002</t>
  </si>
  <si>
    <t>B24124_003</t>
  </si>
  <si>
    <t>B24124_004</t>
  </si>
  <si>
    <t>B24124_005</t>
  </si>
  <si>
    <t>B24124_006</t>
  </si>
  <si>
    <t>B24124_007</t>
  </si>
  <si>
    <t>B24124_008</t>
  </si>
  <si>
    <t>B24124_009</t>
  </si>
  <si>
    <t>B24124_010</t>
  </si>
  <si>
    <t>B24124_011</t>
  </si>
  <si>
    <t>B24124_012</t>
  </si>
  <si>
    <t>B24124_013</t>
  </si>
  <si>
    <t>B24124_014</t>
  </si>
  <si>
    <t>B24124_015</t>
  </si>
  <si>
    <t>B24124_016</t>
  </si>
  <si>
    <t>B24124_017</t>
  </si>
  <si>
    <t>B24124_018</t>
  </si>
  <si>
    <t>B24124_019</t>
  </si>
  <si>
    <t>B24124_020</t>
  </si>
  <si>
    <t>B24124_021</t>
  </si>
  <si>
    <t>B24124_022</t>
  </si>
  <si>
    <t>B24124_023</t>
  </si>
  <si>
    <t>B24124_024</t>
  </si>
  <si>
    <t>B24124_025</t>
  </si>
  <si>
    <t>B24124_026</t>
  </si>
  <si>
    <t>B24124_027</t>
  </si>
  <si>
    <t>B24124_028</t>
  </si>
  <si>
    <t>B24124_029</t>
  </si>
  <si>
    <t>B24124_030</t>
  </si>
  <si>
    <t>B24124_031</t>
  </si>
  <si>
    <t>B24124_032</t>
  </si>
  <si>
    <t>B24124_033</t>
  </si>
  <si>
    <t>B24124_034</t>
  </si>
  <si>
    <t>B24124_035</t>
  </si>
  <si>
    <t>B24124_036</t>
  </si>
  <si>
    <t>B24124_037</t>
  </si>
  <si>
    <t>B24124_038</t>
  </si>
  <si>
    <t>B24124_039</t>
  </si>
  <si>
    <t>B24124_040</t>
  </si>
  <si>
    <t>B24124_041</t>
  </si>
  <si>
    <t>B24124_042</t>
  </si>
  <si>
    <t>B24124_043</t>
  </si>
  <si>
    <t>B24124_044</t>
  </si>
  <si>
    <t>B24124_045</t>
  </si>
  <si>
    <t>B24124_046</t>
  </si>
  <si>
    <t>B24124_047</t>
  </si>
  <si>
    <t>B24124_048</t>
  </si>
  <si>
    <t>B24124_049</t>
  </si>
  <si>
    <t>B24124_050</t>
  </si>
  <si>
    <t>B24124_051</t>
  </si>
  <si>
    <t>B24124_052</t>
  </si>
  <si>
    <t>B24124_053</t>
  </si>
  <si>
    <t>B24124_054</t>
  </si>
  <si>
    <t>B24124_055</t>
  </si>
  <si>
    <t>B24124_056</t>
  </si>
  <si>
    <t>B24124_057</t>
  </si>
  <si>
    <t>B24124_058</t>
  </si>
  <si>
    <t>B24124_059</t>
  </si>
  <si>
    <t>B24124_060</t>
  </si>
  <si>
    <t>B24124_061</t>
  </si>
  <si>
    <t>B24124_062</t>
  </si>
  <si>
    <t>B24124_063</t>
  </si>
  <si>
    <t>B24124_064</t>
  </si>
  <si>
    <t>B24124_065</t>
  </si>
  <si>
    <t>B24124_066</t>
  </si>
  <si>
    <t>B24124_067</t>
  </si>
  <si>
    <t>B24124_068</t>
  </si>
  <si>
    <t>B24124_069</t>
  </si>
  <si>
    <t>B24124_070</t>
  </si>
  <si>
    <t>B24124_071</t>
  </si>
  <si>
    <t>B24124_072</t>
  </si>
  <si>
    <t>B24124_073</t>
  </si>
  <si>
    <t>B24124_074</t>
  </si>
  <si>
    <t>B24124_075</t>
  </si>
  <si>
    <t>B24124_076</t>
  </si>
  <si>
    <t>B24124_077</t>
  </si>
  <si>
    <t>B24124_078</t>
  </si>
  <si>
    <t>B24124_079</t>
  </si>
  <si>
    <t>B24124_080</t>
  </si>
  <si>
    <t>B24124_081</t>
  </si>
  <si>
    <t>B24124_082</t>
  </si>
  <si>
    <t>B24124_083</t>
  </si>
  <si>
    <t>B24124_084</t>
  </si>
  <si>
    <t>B24124_085</t>
  </si>
  <si>
    <t>B24124_086</t>
  </si>
  <si>
    <t>B24124_087</t>
  </si>
  <si>
    <t>B24124_088</t>
  </si>
  <si>
    <t>B24124_089</t>
  </si>
  <si>
    <t>B24124_090</t>
  </si>
  <si>
    <t>B24124_091</t>
  </si>
  <si>
    <t>B24124_092</t>
  </si>
  <si>
    <t>B24124_093</t>
  </si>
  <si>
    <t>B24124_094</t>
  </si>
  <si>
    <t>B24124_095</t>
  </si>
  <si>
    <t>B24124_096</t>
  </si>
  <si>
    <t>B24124_097</t>
  </si>
  <si>
    <t>B24124_098</t>
  </si>
  <si>
    <t>B24124_099</t>
  </si>
  <si>
    <t>B24124_100</t>
  </si>
  <si>
    <t>B24124_101</t>
  </si>
  <si>
    <t>B24124_102</t>
  </si>
  <si>
    <t>B24124_103</t>
  </si>
  <si>
    <t>B24124_104</t>
  </si>
  <si>
    <t>B24124_105</t>
  </si>
  <si>
    <t>B24124_106</t>
  </si>
  <si>
    <t>B24124_107</t>
  </si>
  <si>
    <t>B24124_108</t>
  </si>
  <si>
    <t>B24124_109</t>
  </si>
  <si>
    <t>B24124_110</t>
  </si>
  <si>
    <t>B24124_111</t>
  </si>
  <si>
    <t>B24124_112</t>
  </si>
  <si>
    <t>B24124_113</t>
  </si>
  <si>
    <t>B24124_114</t>
  </si>
  <si>
    <t>B24124_115</t>
  </si>
  <si>
    <t>B24124_116</t>
  </si>
  <si>
    <t>B24124_117</t>
  </si>
  <si>
    <t>B24124_118</t>
  </si>
  <si>
    <t>B24124_119</t>
  </si>
  <si>
    <t>B24124_120</t>
  </si>
  <si>
    <t>B24124_121</t>
  </si>
  <si>
    <t>B24124_122</t>
  </si>
  <si>
    <t>B24124_123</t>
  </si>
  <si>
    <t>B24124_124</t>
  </si>
  <si>
    <t>B24124_125</t>
  </si>
  <si>
    <t>B24124_126</t>
  </si>
  <si>
    <t>B24124_127</t>
  </si>
  <si>
    <t>B24124_128</t>
  </si>
  <si>
    <t>B24124_129</t>
  </si>
  <si>
    <t>B24124_130</t>
  </si>
  <si>
    <t>B24124_131</t>
  </si>
  <si>
    <t>B24124_132</t>
  </si>
  <si>
    <t>B24124_133</t>
  </si>
  <si>
    <t>B24124_134</t>
  </si>
  <si>
    <t>B24124_135</t>
  </si>
  <si>
    <t>B24124_136</t>
  </si>
  <si>
    <t>B24124_137</t>
  </si>
  <si>
    <t>B24124_138</t>
  </si>
  <si>
    <t>B24124_139</t>
  </si>
  <si>
    <t>B24124_140</t>
  </si>
  <si>
    <t>B24124_141</t>
  </si>
  <si>
    <t>B24124_142</t>
  </si>
  <si>
    <t>B24124_143</t>
  </si>
  <si>
    <t>B24124_144</t>
  </si>
  <si>
    <t>B24124_145</t>
  </si>
  <si>
    <t>B24124_146</t>
  </si>
  <si>
    <t>B24124_147</t>
  </si>
  <si>
    <t>B24124_148</t>
  </si>
  <si>
    <t>B24124_149</t>
  </si>
  <si>
    <t>B24124_150</t>
  </si>
  <si>
    <t>B24124_151</t>
  </si>
  <si>
    <t>B24124_152</t>
  </si>
  <si>
    <t>B24124_153</t>
  </si>
  <si>
    <t>B24124_154</t>
  </si>
  <si>
    <t>B24124_155</t>
  </si>
  <si>
    <t>B24124_156</t>
  </si>
  <si>
    <t>B24124_157</t>
  </si>
  <si>
    <t>B24124_158</t>
  </si>
  <si>
    <t>B24124_159</t>
  </si>
  <si>
    <t>B24124_160</t>
  </si>
  <si>
    <t>B24124_161</t>
  </si>
  <si>
    <t>B24124_162</t>
  </si>
  <si>
    <t>B24124_163</t>
  </si>
  <si>
    <t>B24124_164</t>
  </si>
  <si>
    <t>B24124_165</t>
  </si>
  <si>
    <t>B24124_166</t>
  </si>
  <si>
    <t>B24124_167</t>
  </si>
  <si>
    <t>B24124_168</t>
  </si>
  <si>
    <t>B24124_169</t>
  </si>
  <si>
    <t>B24124_170</t>
  </si>
  <si>
    <t>B24124_171</t>
  </si>
  <si>
    <t>B24124_172</t>
  </si>
  <si>
    <t>B24124_173</t>
  </si>
  <si>
    <t>B24124_174</t>
  </si>
  <si>
    <t>B24124_175</t>
  </si>
  <si>
    <t>B24124_176</t>
  </si>
  <si>
    <t>B24124_177</t>
  </si>
  <si>
    <t>B24124_178</t>
  </si>
  <si>
    <t>B24124_179</t>
  </si>
  <si>
    <t>B24124_180</t>
  </si>
  <si>
    <t>B24124_181</t>
  </si>
  <si>
    <t>B24124_182</t>
  </si>
  <si>
    <t>B24124_183</t>
  </si>
  <si>
    <t>B24124_184</t>
  </si>
  <si>
    <t>B24124_185</t>
  </si>
  <si>
    <t>B24124_186</t>
  </si>
  <si>
    <t>B24124_187</t>
  </si>
  <si>
    <t>B24124_188</t>
  </si>
  <si>
    <t>B24124_189</t>
  </si>
  <si>
    <t>B24124_190</t>
  </si>
  <si>
    <t>B24124_191</t>
  </si>
  <si>
    <t>B24124_192</t>
  </si>
  <si>
    <t>B24124_193</t>
  </si>
  <si>
    <t>B24124_194</t>
  </si>
  <si>
    <t>B24124_195</t>
  </si>
  <si>
    <t>B24124_196</t>
  </si>
  <si>
    <t>B24124_197</t>
  </si>
  <si>
    <t>B24124_198</t>
  </si>
  <si>
    <t>B24124_199</t>
  </si>
  <si>
    <t>B24124_200</t>
  </si>
  <si>
    <t>B24124_201</t>
  </si>
  <si>
    <t>B24124_202</t>
  </si>
  <si>
    <t>B24124_203</t>
  </si>
  <si>
    <t>B24124_204</t>
  </si>
  <si>
    <t>B24124_205</t>
  </si>
  <si>
    <t>B24124_206</t>
  </si>
  <si>
    <t>B24124_207</t>
  </si>
  <si>
    <t>B24124_208</t>
  </si>
  <si>
    <t>B24124_209</t>
  </si>
  <si>
    <t>B24124_210</t>
  </si>
  <si>
    <t>B24124_211</t>
  </si>
  <si>
    <t>B24124_212</t>
  </si>
  <si>
    <t>B24124_213</t>
  </si>
  <si>
    <t>B24124_214</t>
  </si>
  <si>
    <t>B24124_215</t>
  </si>
  <si>
    <t>B24124_216</t>
  </si>
  <si>
    <t>B24124_217</t>
  </si>
  <si>
    <t>B24124_218</t>
  </si>
  <si>
    <t>B24124_219</t>
  </si>
  <si>
    <t>B24124_220</t>
  </si>
  <si>
    <t>B24124_221</t>
  </si>
  <si>
    <t>B24124_222</t>
  </si>
  <si>
    <t>B24124_223</t>
  </si>
  <si>
    <t>B24124_224</t>
  </si>
  <si>
    <t>B24124_225</t>
  </si>
  <si>
    <t>B24124_226</t>
  </si>
  <si>
    <t>B24124_227</t>
  </si>
  <si>
    <t>B24124_228</t>
  </si>
  <si>
    <t>B24124_229</t>
  </si>
  <si>
    <t>B24124_230</t>
  </si>
  <si>
    <t>B24124_231</t>
  </si>
  <si>
    <t>B24124_232</t>
  </si>
  <si>
    <t>B24124_233</t>
  </si>
  <si>
    <t>B24124_234</t>
  </si>
  <si>
    <t>B24124_235</t>
  </si>
  <si>
    <t>B24124_236</t>
  </si>
  <si>
    <t>B24124_237</t>
  </si>
  <si>
    <t>B24124_238</t>
  </si>
  <si>
    <t>B24124_239</t>
  </si>
  <si>
    <t>B24124_240</t>
  </si>
  <si>
    <t>B24124_241</t>
  </si>
  <si>
    <t>B24124_242</t>
  </si>
  <si>
    <t>B24124_243</t>
  </si>
  <si>
    <t>B24124_244</t>
  </si>
  <si>
    <t>B24124_245</t>
  </si>
  <si>
    <t>B24124_246</t>
  </si>
  <si>
    <t>B24124_247</t>
  </si>
  <si>
    <t>B24124_248</t>
  </si>
  <si>
    <t>B24124_249</t>
  </si>
  <si>
    <t>B24124_250</t>
  </si>
  <si>
    <t>B24124_251</t>
  </si>
  <si>
    <t>B24124_252</t>
  </si>
  <si>
    <t>B24124_253</t>
  </si>
  <si>
    <t>B24124_254</t>
  </si>
  <si>
    <t>B24124_255</t>
  </si>
  <si>
    <t>B24124_256</t>
  </si>
  <si>
    <t>B24124_257</t>
  </si>
  <si>
    <t>B24124_258</t>
  </si>
  <si>
    <t>B24124_259</t>
  </si>
  <si>
    <t>B24124_260</t>
  </si>
  <si>
    <t>B24124_261</t>
  </si>
  <si>
    <t>B24124_262</t>
  </si>
  <si>
    <t>B24124_263</t>
  </si>
  <si>
    <t>B24124_264</t>
  </si>
  <si>
    <t>B24124_265</t>
  </si>
  <si>
    <t>B24124_266</t>
  </si>
  <si>
    <t>B24124_267</t>
  </si>
  <si>
    <t>B24124_268</t>
  </si>
  <si>
    <t>B24124_269</t>
  </si>
  <si>
    <t>B24124_270</t>
  </si>
  <si>
    <t>B24124_271</t>
  </si>
  <si>
    <t>B24124_272</t>
  </si>
  <si>
    <t>B24124_273</t>
  </si>
  <si>
    <t>B24124_274</t>
  </si>
  <si>
    <t>B24124_275</t>
  </si>
  <si>
    <t>B24124_276</t>
  </si>
  <si>
    <t>B24124_277</t>
  </si>
  <si>
    <t>B24124_278</t>
  </si>
  <si>
    <t>B24124_279</t>
  </si>
  <si>
    <t>B24124_280</t>
  </si>
  <si>
    <t>B24124_281</t>
  </si>
  <si>
    <t>B24124_282</t>
  </si>
  <si>
    <t>B24124_283</t>
  </si>
  <si>
    <t>B24124_284</t>
  </si>
  <si>
    <t>B24124_285</t>
  </si>
  <si>
    <t>B24124_286</t>
  </si>
  <si>
    <t>B24124_287</t>
  </si>
  <si>
    <t>B24124_288</t>
  </si>
  <si>
    <t>B24124_289</t>
  </si>
  <si>
    <t>B24124_290</t>
  </si>
  <si>
    <t>B24124_291</t>
  </si>
  <si>
    <t>B24124_292</t>
  </si>
  <si>
    <t>B24124_293</t>
  </si>
  <si>
    <t>B24124_294</t>
  </si>
  <si>
    <t>B24124_295</t>
  </si>
  <si>
    <t>B24124_296</t>
  </si>
  <si>
    <t>B24124_297</t>
  </si>
  <si>
    <t>B24124_298</t>
  </si>
  <si>
    <t>B24124_299</t>
  </si>
  <si>
    <t>B24124_300</t>
  </si>
  <si>
    <t>B24124_301</t>
  </si>
  <si>
    <t>B24124_302</t>
  </si>
  <si>
    <t>B24124_303</t>
  </si>
  <si>
    <t>B24124_304</t>
  </si>
  <si>
    <t>B24124_305</t>
  </si>
  <si>
    <t>B24124_306</t>
  </si>
  <si>
    <t>B24124_307</t>
  </si>
  <si>
    <t>B24124_308</t>
  </si>
  <si>
    <t>B24124_309</t>
  </si>
  <si>
    <t>B24124_310</t>
  </si>
  <si>
    <t>B24124_311</t>
  </si>
  <si>
    <t>B24124_312</t>
  </si>
  <si>
    <t>B24124_313</t>
  </si>
  <si>
    <t>B24124_314</t>
  </si>
  <si>
    <t>B24124_315</t>
  </si>
  <si>
    <t>B24124_316</t>
  </si>
  <si>
    <t>B24124_317</t>
  </si>
  <si>
    <t>B24124_318</t>
  </si>
  <si>
    <t>B24124_319</t>
  </si>
  <si>
    <t>B24124_320</t>
  </si>
  <si>
    <t>B24124_321</t>
  </si>
  <si>
    <t>B24124_322</t>
  </si>
  <si>
    <t>B24124_323</t>
  </si>
  <si>
    <t>B24124_324</t>
  </si>
  <si>
    <t>B24124_325</t>
  </si>
  <si>
    <t>B24124_326</t>
  </si>
  <si>
    <t>B24124_327</t>
  </si>
  <si>
    <t>B24124_328</t>
  </si>
  <si>
    <t>B24124_329</t>
  </si>
  <si>
    <t>B24124_330</t>
  </si>
  <si>
    <t>B24124_331</t>
  </si>
  <si>
    <t>B24124_332</t>
  </si>
  <si>
    <t>B24124_333</t>
  </si>
  <si>
    <t>B24124_334</t>
  </si>
  <si>
    <t>B24124_335</t>
  </si>
  <si>
    <t>B24124_336</t>
  </si>
  <si>
    <t>B24124_337</t>
  </si>
  <si>
    <t>B24124_338</t>
  </si>
  <si>
    <t>B24124_339</t>
  </si>
  <si>
    <t>B24124_340</t>
  </si>
  <si>
    <t>B24124_341</t>
  </si>
  <si>
    <t>B24124_342</t>
  </si>
  <si>
    <t>B24124_343</t>
  </si>
  <si>
    <t>B24124_344</t>
  </si>
  <si>
    <t>B24124_345</t>
  </si>
  <si>
    <t>B24124_346</t>
  </si>
  <si>
    <t>B24124_347</t>
  </si>
  <si>
    <t>B24124_348</t>
  </si>
  <si>
    <t>B24124_349</t>
  </si>
  <si>
    <t>B24124_350</t>
  </si>
  <si>
    <t>B24124_351</t>
  </si>
  <si>
    <t>B24124_352</t>
  </si>
  <si>
    <t>B24124_353</t>
  </si>
  <si>
    <t>B24124_354</t>
  </si>
  <si>
    <t>B24124_355</t>
  </si>
  <si>
    <t>B24124_356</t>
  </si>
  <si>
    <t>B24124_357</t>
  </si>
  <si>
    <t>B24124_358</t>
  </si>
  <si>
    <t>B24124_359</t>
  </si>
  <si>
    <t>B24124_360</t>
  </si>
  <si>
    <t>B24124_361</t>
  </si>
  <si>
    <t>B24124_362</t>
  </si>
  <si>
    <t>B24124_363</t>
  </si>
  <si>
    <t>B24124_364</t>
  </si>
  <si>
    <t>B24124_365</t>
  </si>
  <si>
    <t>B24124_366</t>
  </si>
  <si>
    <t>B24124_367</t>
  </si>
  <si>
    <t>B24124_368</t>
  </si>
  <si>
    <t>B24124_369</t>
  </si>
  <si>
    <t>B24124_370</t>
  </si>
  <si>
    <t>B24124_371</t>
  </si>
  <si>
    <t>B24124_372</t>
  </si>
  <si>
    <t>B24124_373</t>
  </si>
  <si>
    <t>B24124_374</t>
  </si>
  <si>
    <t>B24124_375</t>
  </si>
  <si>
    <t>B24124_376</t>
  </si>
  <si>
    <t>B24124_377</t>
  </si>
  <si>
    <t>B24124_378</t>
  </si>
  <si>
    <t>B24124_379</t>
  </si>
  <si>
    <t>B24124_380</t>
  </si>
  <si>
    <t>B24124_381</t>
  </si>
  <si>
    <t>B24124_382</t>
  </si>
  <si>
    <t>B24124_383</t>
  </si>
  <si>
    <t>B24124_384</t>
  </si>
  <si>
    <t>B24124_385</t>
  </si>
  <si>
    <t>B24124_386</t>
  </si>
  <si>
    <t>B24124_387</t>
  </si>
  <si>
    <t>B24124_388</t>
  </si>
  <si>
    <t>B24124_389</t>
  </si>
  <si>
    <t>B24124_390</t>
  </si>
  <si>
    <t>B24124_391</t>
  </si>
  <si>
    <t>B24124_392</t>
  </si>
  <si>
    <t>B24124_393</t>
  </si>
  <si>
    <t>B24124_394</t>
  </si>
  <si>
    <t>B24124_395</t>
  </si>
  <si>
    <t>B24124_396</t>
  </si>
  <si>
    <t>B24124_397</t>
  </si>
  <si>
    <t>B24124_398</t>
  </si>
  <si>
    <t>B24124_399</t>
  </si>
  <si>
    <t>B24124_400</t>
  </si>
  <si>
    <t>B24124_401</t>
  </si>
  <si>
    <t>B24124_402</t>
  </si>
  <si>
    <t>B24124_403</t>
  </si>
  <si>
    <t>B24124_404</t>
  </si>
  <si>
    <t>B24124_405</t>
  </si>
  <si>
    <t>B24124_406</t>
  </si>
  <si>
    <t>B24124_407</t>
  </si>
  <si>
    <t>B24124_408</t>
  </si>
  <si>
    <t>B24124_409</t>
  </si>
  <si>
    <t>B24124_410</t>
  </si>
  <si>
    <t>B24124_411</t>
  </si>
  <si>
    <t>B24124_412</t>
  </si>
  <si>
    <t>B24124_413</t>
  </si>
  <si>
    <t>B24124_414</t>
  </si>
  <si>
    <t>B24124_415</t>
  </si>
  <si>
    <t>B24124_416</t>
  </si>
  <si>
    <t>B24124_417</t>
  </si>
  <si>
    <t>B24124_418</t>
  </si>
  <si>
    <t>B24124_419</t>
  </si>
  <si>
    <t>B24124_420</t>
  </si>
  <si>
    <t>B24124_421</t>
  </si>
  <si>
    <t>B24124_422</t>
  </si>
  <si>
    <t>B24124_423</t>
  </si>
  <si>
    <t>B24124_424</t>
  </si>
  <si>
    <t>B24124_425</t>
  </si>
  <si>
    <t>B24124_426</t>
  </si>
  <si>
    <t>B24124_427</t>
  </si>
  <si>
    <t>B24124_428</t>
  </si>
  <si>
    <t>B24124_429</t>
  </si>
  <si>
    <t>B24124_430</t>
  </si>
  <si>
    <t>B24124_431</t>
  </si>
  <si>
    <t>B24124_432</t>
  </si>
  <si>
    <t>B24124_433</t>
  </si>
  <si>
    <t>B24124_434</t>
  </si>
  <si>
    <t>B24124_435</t>
  </si>
  <si>
    <t>B24124_436</t>
  </si>
  <si>
    <t>B24124_437</t>
  </si>
  <si>
    <t>B24124_438</t>
  </si>
  <si>
    <t>B24124_439</t>
  </si>
  <si>
    <t>B24124_440</t>
  </si>
  <si>
    <t>B24124_441</t>
  </si>
  <si>
    <t>B24124_442</t>
  </si>
  <si>
    <t>B24124_443</t>
  </si>
  <si>
    <t>B24124_444</t>
  </si>
  <si>
    <t>B24124_445</t>
  </si>
  <si>
    <t>B24124_446</t>
  </si>
  <si>
    <t>B24124_447</t>
  </si>
  <si>
    <t>B24124_448</t>
  </si>
  <si>
    <t>B24124_449</t>
  </si>
  <si>
    <t>B24124_450</t>
  </si>
  <si>
    <t>B24124_451</t>
  </si>
  <si>
    <t>B24124_452</t>
  </si>
  <si>
    <t>B24124_453</t>
  </si>
  <si>
    <t>B24124_454</t>
  </si>
  <si>
    <t>B24124_455</t>
  </si>
  <si>
    <t>B24124_456</t>
  </si>
  <si>
    <t>B24124_457</t>
  </si>
  <si>
    <t>B24124_458</t>
  </si>
  <si>
    <t>B24124_459</t>
  </si>
  <si>
    <t>B24124_460</t>
  </si>
  <si>
    <t>B24124_461</t>
  </si>
  <si>
    <t>B24124_462</t>
  </si>
  <si>
    <t>B24124_463</t>
  </si>
  <si>
    <t>B24124_464</t>
  </si>
  <si>
    <t>B24124_465</t>
  </si>
  <si>
    <t>B24124_466</t>
  </si>
  <si>
    <t>B24124_467</t>
  </si>
  <si>
    <t>B24124_468</t>
  </si>
  <si>
    <t>B24124_469</t>
  </si>
  <si>
    <t>B24124_470</t>
  </si>
  <si>
    <t>B24124_471</t>
  </si>
  <si>
    <t>B24124_472</t>
  </si>
  <si>
    <t>B24124_473</t>
  </si>
  <si>
    <t>B24124_474</t>
  </si>
  <si>
    <t>B24124_475</t>
  </si>
  <si>
    <t>B24124_476</t>
  </si>
  <si>
    <t>B24124_477</t>
  </si>
  <si>
    <t>B24124_478</t>
  </si>
  <si>
    <t>B24124_479</t>
  </si>
  <si>
    <t>B24124_480</t>
  </si>
  <si>
    <t>B24124_481</t>
  </si>
  <si>
    <t>B24124_482</t>
  </si>
  <si>
    <t>B24124_483</t>
  </si>
  <si>
    <t>B24124_484</t>
  </si>
  <si>
    <t>B24124_485</t>
  </si>
  <si>
    <t>B24124_486</t>
  </si>
  <si>
    <t>B24124_487</t>
  </si>
  <si>
    <t>B24124_488</t>
  </si>
  <si>
    <t>B24124_489</t>
  </si>
  <si>
    <t>B24124_490</t>
  </si>
  <si>
    <t>B24124_491</t>
  </si>
  <si>
    <t>B24124_492</t>
  </si>
  <si>
    <t>B24124_493</t>
  </si>
  <si>
    <t>B24124_494</t>
  </si>
  <si>
    <t>B24124_495</t>
  </si>
  <si>
    <t>B24124_496</t>
  </si>
  <si>
    <t>B24124_497</t>
  </si>
  <si>
    <t>B24124_498</t>
  </si>
  <si>
    <t>B24124_499</t>
  </si>
  <si>
    <t>B24124_500</t>
  </si>
  <si>
    <t>B24124_501</t>
  </si>
  <si>
    <t>B24124_502</t>
  </si>
  <si>
    <t>B24124_503</t>
  </si>
  <si>
    <t>B24124_504</t>
  </si>
  <si>
    <t>B24124_505</t>
  </si>
  <si>
    <t>B24124_506</t>
  </si>
  <si>
    <t>B24124_507</t>
  </si>
  <si>
    <t>B24124_508</t>
  </si>
  <si>
    <t>B24124_509</t>
  </si>
  <si>
    <t>B24124_510</t>
  </si>
  <si>
    <t>B24124_511</t>
  </si>
  <si>
    <t>B24124_512</t>
  </si>
  <si>
    <t>B24124_513</t>
  </si>
  <si>
    <t>B24124_514</t>
  </si>
  <si>
    <t>B24124_515</t>
  </si>
  <si>
    <t>B24124_516</t>
  </si>
  <si>
    <t>B24124_517</t>
  </si>
  <si>
    <t>B24124_518</t>
  </si>
  <si>
    <t>B24124_519</t>
  </si>
  <si>
    <t>B24124_520</t>
  </si>
  <si>
    <t>B24124_521</t>
  </si>
  <si>
    <t>B24124_522</t>
  </si>
  <si>
    <t>B24124_523</t>
  </si>
  <si>
    <t>B24124_524</t>
  </si>
  <si>
    <t>B24124_525</t>
  </si>
  <si>
    <t>B24124_526</t>
  </si>
  <si>
    <t>B24124_527</t>
  </si>
  <si>
    <t>B24124_528</t>
  </si>
  <si>
    <t>B24124_529</t>
  </si>
  <si>
    <t>B24124_530</t>
  </si>
  <si>
    <t>B24124_531</t>
  </si>
  <si>
    <t>B24124_532</t>
  </si>
  <si>
    <t>B24124_533</t>
  </si>
  <si>
    <t>B24124_534</t>
  </si>
  <si>
    <t>B24124_535</t>
  </si>
  <si>
    <t>B24124_536</t>
  </si>
  <si>
    <t>B24124_537</t>
  </si>
  <si>
    <t>B24124_538</t>
  </si>
  <si>
    <t>B24124_539</t>
  </si>
  <si>
    <t>B24124_540</t>
  </si>
  <si>
    <t>B24124_541</t>
  </si>
  <si>
    <t>B24124_542</t>
  </si>
  <si>
    <t>B24124_543</t>
  </si>
  <si>
    <t>B24124_544</t>
  </si>
  <si>
    <t>B24124_545</t>
  </si>
  <si>
    <t>B24124_546</t>
  </si>
  <si>
    <t>B24124_547</t>
  </si>
  <si>
    <t>B24124_548</t>
  </si>
  <si>
    <t>B24124_549</t>
  </si>
  <si>
    <t>B24124_550</t>
  </si>
  <si>
    <t>B24124_551</t>
  </si>
  <si>
    <t>B24124_552</t>
  </si>
  <si>
    <t>B24124_553</t>
  </si>
  <si>
    <t>B24124_554</t>
  </si>
  <si>
    <t>B24124_555</t>
  </si>
  <si>
    <t>B24124_556</t>
  </si>
  <si>
    <t>B24124_557</t>
  </si>
  <si>
    <t>B24124_558</t>
  </si>
  <si>
    <t>B24124_559</t>
  </si>
  <si>
    <t>B24124_560</t>
  </si>
  <si>
    <t>B24124_561</t>
  </si>
  <si>
    <t>B24124_562</t>
  </si>
  <si>
    <t>B24124_563</t>
  </si>
  <si>
    <t>B24124_564</t>
  </si>
  <si>
    <t>B24124_565</t>
  </si>
  <si>
    <t>B24124_566</t>
  </si>
  <si>
    <t>B24125_002</t>
  </si>
  <si>
    <t>B24125_003</t>
  </si>
  <si>
    <t>B24125_004</t>
  </si>
  <si>
    <t>B24125_005</t>
  </si>
  <si>
    <t>B24125_006</t>
  </si>
  <si>
    <t>B24125_007</t>
  </si>
  <si>
    <t>B24125_008</t>
  </si>
  <si>
    <t>B24125_009</t>
  </si>
  <si>
    <t>B24125_010</t>
  </si>
  <si>
    <t>B24125_011</t>
  </si>
  <si>
    <t>B24125_012</t>
  </si>
  <si>
    <t>B24125_013</t>
  </si>
  <si>
    <t>B24125_014</t>
  </si>
  <si>
    <t>B24125_015</t>
  </si>
  <si>
    <t>B24125_016</t>
  </si>
  <si>
    <t>B24125_017</t>
  </si>
  <si>
    <t>B24125_018</t>
  </si>
  <si>
    <t>B24125_019</t>
  </si>
  <si>
    <t>B24125_020</t>
  </si>
  <si>
    <t>B24125_021</t>
  </si>
  <si>
    <t>B24125_022</t>
  </si>
  <si>
    <t>B24125_023</t>
  </si>
  <si>
    <t>B24125_024</t>
  </si>
  <si>
    <t>B24125_025</t>
  </si>
  <si>
    <t>B24125_026</t>
  </si>
  <si>
    <t>B24125_027</t>
  </si>
  <si>
    <t>B24125_028</t>
  </si>
  <si>
    <t>B24125_029</t>
  </si>
  <si>
    <t>B24125_030</t>
  </si>
  <si>
    <t>B24125_031</t>
  </si>
  <si>
    <t>B24125_032</t>
  </si>
  <si>
    <t>B24125_033</t>
  </si>
  <si>
    <t>B24125_034</t>
  </si>
  <si>
    <t>B24125_035</t>
  </si>
  <si>
    <t>B24125_036</t>
  </si>
  <si>
    <t>B24125_037</t>
  </si>
  <si>
    <t>B24125_038</t>
  </si>
  <si>
    <t>B24125_039</t>
  </si>
  <si>
    <t>B24125_040</t>
  </si>
  <si>
    <t>B24125_041</t>
  </si>
  <si>
    <t>B24125_042</t>
  </si>
  <si>
    <t>B24125_043</t>
  </si>
  <si>
    <t>B24125_044</t>
  </si>
  <si>
    <t>B24125_045</t>
  </si>
  <si>
    <t>B24125_046</t>
  </si>
  <si>
    <t>B24125_047</t>
  </si>
  <si>
    <t>B24125_048</t>
  </si>
  <si>
    <t>B24125_049</t>
  </si>
  <si>
    <t>B24125_050</t>
  </si>
  <si>
    <t>B24125_051</t>
  </si>
  <si>
    <t>B24125_052</t>
  </si>
  <si>
    <t>B24125_053</t>
  </si>
  <si>
    <t>B24125_054</t>
  </si>
  <si>
    <t>B24125_055</t>
  </si>
  <si>
    <t>B24125_056</t>
  </si>
  <si>
    <t>B24125_057</t>
  </si>
  <si>
    <t>B24125_058</t>
  </si>
  <si>
    <t>B24125_059</t>
  </si>
  <si>
    <t>B24125_060</t>
  </si>
  <si>
    <t>B24125_061</t>
  </si>
  <si>
    <t>B24125_062</t>
  </si>
  <si>
    <t>B24125_063</t>
  </si>
  <si>
    <t>B24125_064</t>
  </si>
  <si>
    <t>B24125_065</t>
  </si>
  <si>
    <t>B24125_066</t>
  </si>
  <si>
    <t>B24125_067</t>
  </si>
  <si>
    <t>B24125_068</t>
  </si>
  <si>
    <t>B24125_069</t>
  </si>
  <si>
    <t>B24125_070</t>
  </si>
  <si>
    <t>B24125_071</t>
  </si>
  <si>
    <t>B24125_072</t>
  </si>
  <si>
    <t>B24125_073</t>
  </si>
  <si>
    <t>B24125_074</t>
  </si>
  <si>
    <t>B24125_075</t>
  </si>
  <si>
    <t>B24125_076</t>
  </si>
  <si>
    <t>B24125_077</t>
  </si>
  <si>
    <t>B24125_078</t>
  </si>
  <si>
    <t>B24125_079</t>
  </si>
  <si>
    <t>B24125_080</t>
  </si>
  <si>
    <t>B24125_081</t>
  </si>
  <si>
    <t>B24125_082</t>
  </si>
  <si>
    <t>B24125_083</t>
  </si>
  <si>
    <t>B24125_084</t>
  </si>
  <si>
    <t>B24125_085</t>
  </si>
  <si>
    <t>B24125_086</t>
  </si>
  <si>
    <t>B24125_087</t>
  </si>
  <si>
    <t>B24125_088</t>
  </si>
  <si>
    <t>B24125_089</t>
  </si>
  <si>
    <t>B24125_090</t>
  </si>
  <si>
    <t>B24125_091</t>
  </si>
  <si>
    <t>B24125_092</t>
  </si>
  <si>
    <t>B24125_093</t>
  </si>
  <si>
    <t>B24125_094</t>
  </si>
  <si>
    <t>B24125_095</t>
  </si>
  <si>
    <t>B24125_096</t>
  </si>
  <si>
    <t>B24125_097</t>
  </si>
  <si>
    <t>B24125_098</t>
  </si>
  <si>
    <t>B24125_099</t>
  </si>
  <si>
    <t>B24125_100</t>
  </si>
  <si>
    <t>B24125_101</t>
  </si>
  <si>
    <t>B24125_102</t>
  </si>
  <si>
    <t>B24125_103</t>
  </si>
  <si>
    <t>B24125_104</t>
  </si>
  <si>
    <t>B24125_105</t>
  </si>
  <si>
    <t>B24125_106</t>
  </si>
  <si>
    <t>B24125_107</t>
  </si>
  <si>
    <t>B24125_108</t>
  </si>
  <si>
    <t>B24125_109</t>
  </si>
  <si>
    <t>B24125_110</t>
  </si>
  <si>
    <t>B24125_111</t>
  </si>
  <si>
    <t>B24125_112</t>
  </si>
  <si>
    <t>B24125_113</t>
  </si>
  <si>
    <t>B24125_114</t>
  </si>
  <si>
    <t>B24125_115</t>
  </si>
  <si>
    <t>B24125_116</t>
  </si>
  <si>
    <t>B24125_117</t>
  </si>
  <si>
    <t>B24125_118</t>
  </si>
  <si>
    <t>B24125_119</t>
  </si>
  <si>
    <t>B24125_120</t>
  </si>
  <si>
    <t>B24125_121</t>
  </si>
  <si>
    <t>B24125_122</t>
  </si>
  <si>
    <t>B24125_123</t>
  </si>
  <si>
    <t>B24125_124</t>
  </si>
  <si>
    <t>B24125_125</t>
  </si>
  <si>
    <t>B24125_126</t>
  </si>
  <si>
    <t>B24125_127</t>
  </si>
  <si>
    <t>B24125_128</t>
  </si>
  <si>
    <t>B24125_129</t>
  </si>
  <si>
    <t>B24125_130</t>
  </si>
  <si>
    <t>B24125_131</t>
  </si>
  <si>
    <t>B24125_132</t>
  </si>
  <si>
    <t>B24125_133</t>
  </si>
  <si>
    <t>B24125_134</t>
  </si>
  <si>
    <t>B24125_135</t>
  </si>
  <si>
    <t>B24125_136</t>
  </si>
  <si>
    <t>B24125_137</t>
  </si>
  <si>
    <t>B24125_138</t>
  </si>
  <si>
    <t>B24125_139</t>
  </si>
  <si>
    <t>B24125_140</t>
  </si>
  <si>
    <t>B24125_141</t>
  </si>
  <si>
    <t>B24125_142</t>
  </si>
  <si>
    <t>B24125_143</t>
  </si>
  <si>
    <t>B24125_144</t>
  </si>
  <si>
    <t>B24125_145</t>
  </si>
  <si>
    <t>B24125_146</t>
  </si>
  <si>
    <t>B24125_147</t>
  </si>
  <si>
    <t>B24125_148</t>
  </si>
  <si>
    <t>B24125_149</t>
  </si>
  <si>
    <t>B24125_150</t>
  </si>
  <si>
    <t>B24125_151</t>
  </si>
  <si>
    <t>B24125_152</t>
  </si>
  <si>
    <t>B24125_153</t>
  </si>
  <si>
    <t>B24125_154</t>
  </si>
  <si>
    <t>B24125_155</t>
  </si>
  <si>
    <t>B24125_156</t>
  </si>
  <si>
    <t>B24125_157</t>
  </si>
  <si>
    <t>B24125_158</t>
  </si>
  <si>
    <t>B24125_159</t>
  </si>
  <si>
    <t>B24125_160</t>
  </si>
  <si>
    <t>B24125_161</t>
  </si>
  <si>
    <t>B24125_162</t>
  </si>
  <si>
    <t>B24125_163</t>
  </si>
  <si>
    <t>B24125_164</t>
  </si>
  <si>
    <t>B24125_165</t>
  </si>
  <si>
    <t>B24125_166</t>
  </si>
  <si>
    <t>B24125_167</t>
  </si>
  <si>
    <t>B24125_168</t>
  </si>
  <si>
    <t>B24125_169</t>
  </si>
  <si>
    <t>B24125_170</t>
  </si>
  <si>
    <t>B24125_171</t>
  </si>
  <si>
    <t>B24125_172</t>
  </si>
  <si>
    <t>B24125_173</t>
  </si>
  <si>
    <t>B24125_174</t>
  </si>
  <si>
    <t>B24125_175</t>
  </si>
  <si>
    <t>B24125_176</t>
  </si>
  <si>
    <t>B24125_177</t>
  </si>
  <si>
    <t>B24125_178</t>
  </si>
  <si>
    <t>B24125_179</t>
  </si>
  <si>
    <t>B24125_180</t>
  </si>
  <si>
    <t>B24125_181</t>
  </si>
  <si>
    <t>B24125_182</t>
  </si>
  <si>
    <t>B24125_183</t>
  </si>
  <si>
    <t>B24125_184</t>
  </si>
  <si>
    <t>B24125_185</t>
  </si>
  <si>
    <t>B24125_186</t>
  </si>
  <si>
    <t>B24125_187</t>
  </si>
  <si>
    <t>B24125_188</t>
  </si>
  <si>
    <t>B24125_189</t>
  </si>
  <si>
    <t>B24125_190</t>
  </si>
  <si>
    <t>B24125_191</t>
  </si>
  <si>
    <t>B24125_192</t>
  </si>
  <si>
    <t>B24125_193</t>
  </si>
  <si>
    <t>B24125_194</t>
  </si>
  <si>
    <t>B24125_195</t>
  </si>
  <si>
    <t>B24125_196</t>
  </si>
  <si>
    <t>B24125_197</t>
  </si>
  <si>
    <t>B24125_198</t>
  </si>
  <si>
    <t>B24125_199</t>
  </si>
  <si>
    <t>B24125_200</t>
  </si>
  <si>
    <t>B24125_201</t>
  </si>
  <si>
    <t>B24125_202</t>
  </si>
  <si>
    <t>B24125_203</t>
  </si>
  <si>
    <t>B24125_204</t>
  </si>
  <si>
    <t>B24125_205</t>
  </si>
  <si>
    <t>B24125_206</t>
  </si>
  <si>
    <t>B24125_207</t>
  </si>
  <si>
    <t>B24125_208</t>
  </si>
  <si>
    <t>B24125_209</t>
  </si>
  <si>
    <t>B24125_210</t>
  </si>
  <si>
    <t>B24125_211</t>
  </si>
  <si>
    <t>B24125_212</t>
  </si>
  <si>
    <t>B24125_213</t>
  </si>
  <si>
    <t>B24125_214</t>
  </si>
  <si>
    <t>B24125_215</t>
  </si>
  <si>
    <t>B24125_216</t>
  </si>
  <si>
    <t>B24125_217</t>
  </si>
  <si>
    <t>B24125_218</t>
  </si>
  <si>
    <t>B24125_219</t>
  </si>
  <si>
    <t>B24125_220</t>
  </si>
  <si>
    <t>B24125_221</t>
  </si>
  <si>
    <t>B24125_222</t>
  </si>
  <si>
    <t>B24125_223</t>
  </si>
  <si>
    <t>B24125_224</t>
  </si>
  <si>
    <t>B24125_225</t>
  </si>
  <si>
    <t>B24125_226</t>
  </si>
  <si>
    <t>B24125_227</t>
  </si>
  <si>
    <t>B24125_228</t>
  </si>
  <si>
    <t>B24125_229</t>
  </si>
  <si>
    <t>B24125_230</t>
  </si>
  <si>
    <t>B24125_231</t>
  </si>
  <si>
    <t>B24125_232</t>
  </si>
  <si>
    <t>B24125_233</t>
  </si>
  <si>
    <t>B24125_234</t>
  </si>
  <si>
    <t>B24125_235</t>
  </si>
  <si>
    <t>B24125_236</t>
  </si>
  <si>
    <t>B24125_237</t>
  </si>
  <si>
    <t>B24125_238</t>
  </si>
  <si>
    <t>B24125_239</t>
  </si>
  <si>
    <t>B24125_240</t>
  </si>
  <si>
    <t>B24125_241</t>
  </si>
  <si>
    <t>B24125_242</t>
  </si>
  <si>
    <t>B24125_243</t>
  </si>
  <si>
    <t>B24125_244</t>
  </si>
  <si>
    <t>B24125_245</t>
  </si>
  <si>
    <t>B24125_246</t>
  </si>
  <si>
    <t>B24125_247</t>
  </si>
  <si>
    <t>B24125_248</t>
  </si>
  <si>
    <t>B24125_249</t>
  </si>
  <si>
    <t>B24125_250</t>
  </si>
  <si>
    <t>B24125_251</t>
  </si>
  <si>
    <t>B24125_252</t>
  </si>
  <si>
    <t>B24125_253</t>
  </si>
  <si>
    <t>B24125_254</t>
  </si>
  <si>
    <t>B24125_255</t>
  </si>
  <si>
    <t>B24125_256</t>
  </si>
  <si>
    <t>B24125_257</t>
  </si>
  <si>
    <t>B24125_258</t>
  </si>
  <si>
    <t>B24125_259</t>
  </si>
  <si>
    <t>B24125_260</t>
  </si>
  <si>
    <t>B24125_261</t>
  </si>
  <si>
    <t>B24125_262</t>
  </si>
  <si>
    <t>B24125_263</t>
  </si>
  <si>
    <t>B24125_264</t>
  </si>
  <si>
    <t>B24125_265</t>
  </si>
  <si>
    <t>B24125_266</t>
  </si>
  <si>
    <t>B24125_267</t>
  </si>
  <si>
    <t>B24125_268</t>
  </si>
  <si>
    <t>B24125_269</t>
  </si>
  <si>
    <t>B24125_270</t>
  </si>
  <si>
    <t>B24125_271</t>
  </si>
  <si>
    <t>B24125_272</t>
  </si>
  <si>
    <t>B24125_273</t>
  </si>
  <si>
    <t>B24125_274</t>
  </si>
  <si>
    <t>B24125_275</t>
  </si>
  <si>
    <t>B24125_276</t>
  </si>
  <si>
    <t>B24125_277</t>
  </si>
  <si>
    <t>B24125_278</t>
  </si>
  <si>
    <t>B24125_279</t>
  </si>
  <si>
    <t>B24125_280</t>
  </si>
  <si>
    <t>B24125_281</t>
  </si>
  <si>
    <t>B24125_282</t>
  </si>
  <si>
    <t>B24125_283</t>
  </si>
  <si>
    <t>B24125_284</t>
  </si>
  <si>
    <t>B24125_285</t>
  </si>
  <si>
    <t>B24125_286</t>
  </si>
  <si>
    <t>B24125_287</t>
  </si>
  <si>
    <t>B24125_288</t>
  </si>
  <si>
    <t>B24125_289</t>
  </si>
  <si>
    <t>B24125_290</t>
  </si>
  <si>
    <t>B24125_291</t>
  </si>
  <si>
    <t>B24125_292</t>
  </si>
  <si>
    <t>B24125_293</t>
  </si>
  <si>
    <t>B24125_294</t>
  </si>
  <si>
    <t>B24125_295</t>
  </si>
  <si>
    <t>B24125_296</t>
  </si>
  <si>
    <t>B24125_297</t>
  </si>
  <si>
    <t>B24125_298</t>
  </si>
  <si>
    <t>B24125_299</t>
  </si>
  <si>
    <t>B24125_300</t>
  </si>
  <si>
    <t>B24125_301</t>
  </si>
  <si>
    <t>B24125_302</t>
  </si>
  <si>
    <t>B24125_303</t>
  </si>
  <si>
    <t>B24125_304</t>
  </si>
  <si>
    <t>B24125_305</t>
  </si>
  <si>
    <t>B24125_306</t>
  </si>
  <si>
    <t>B24125_307</t>
  </si>
  <si>
    <t>B24125_308</t>
  </si>
  <si>
    <t>B24125_309</t>
  </si>
  <si>
    <t>B24125_310</t>
  </si>
  <si>
    <t>B24125_311</t>
  </si>
  <si>
    <t>B24125_312</t>
  </si>
  <si>
    <t>B24125_313</t>
  </si>
  <si>
    <t>B24125_314</t>
  </si>
  <si>
    <t>B24125_315</t>
  </si>
  <si>
    <t>B24125_316</t>
  </si>
  <si>
    <t>B24125_317</t>
  </si>
  <si>
    <t>B24125_318</t>
  </si>
  <si>
    <t>B24125_319</t>
  </si>
  <si>
    <t>B24125_320</t>
  </si>
  <si>
    <t>B24125_321</t>
  </si>
  <si>
    <t>B24125_322</t>
  </si>
  <si>
    <t>B24125_323</t>
  </si>
  <si>
    <t>B24125_324</t>
  </si>
  <si>
    <t>B24125_325</t>
  </si>
  <si>
    <t>B24125_326</t>
  </si>
  <si>
    <t>B24125_327</t>
  </si>
  <si>
    <t>B24125_328</t>
  </si>
  <si>
    <t>B24125_329</t>
  </si>
  <si>
    <t>B24125_330</t>
  </si>
  <si>
    <t>B24125_331</t>
  </si>
  <si>
    <t>B24125_332</t>
  </si>
  <si>
    <t>B24125_333</t>
  </si>
  <si>
    <t>B24125_334</t>
  </si>
  <si>
    <t>B24125_335</t>
  </si>
  <si>
    <t>B24125_336</t>
  </si>
  <si>
    <t>B24125_337</t>
  </si>
  <si>
    <t>B24125_338</t>
  </si>
  <si>
    <t>B24125_339</t>
  </si>
  <si>
    <t>B24125_340</t>
  </si>
  <si>
    <t>B24125_341</t>
  </si>
  <si>
    <t>B24125_342</t>
  </si>
  <si>
    <t>B24125_343</t>
  </si>
  <si>
    <t>B24125_344</t>
  </si>
  <si>
    <t>B24125_345</t>
  </si>
  <si>
    <t>B24125_346</t>
  </si>
  <si>
    <t>B24125_347</t>
  </si>
  <si>
    <t>B24125_348</t>
  </si>
  <si>
    <t>B24125_349</t>
  </si>
  <si>
    <t>B24125_350</t>
  </si>
  <si>
    <t>B24125_351</t>
  </si>
  <si>
    <t>B24125_352</t>
  </si>
  <si>
    <t>B24125_353</t>
  </si>
  <si>
    <t>B24125_354</t>
  </si>
  <si>
    <t>B24125_355</t>
  </si>
  <si>
    <t>B24125_356</t>
  </si>
  <si>
    <t>B24125_357</t>
  </si>
  <si>
    <t>B24125_358</t>
  </si>
  <si>
    <t>B24125_359</t>
  </si>
  <si>
    <t>B24125_360</t>
  </si>
  <si>
    <t>B24125_361</t>
  </si>
  <si>
    <t>B24125_362</t>
  </si>
  <si>
    <t>B24125_363</t>
  </si>
  <si>
    <t>B24125_364</t>
  </si>
  <si>
    <t>B24125_365</t>
  </si>
  <si>
    <t>B24125_366</t>
  </si>
  <si>
    <t>B24125_367</t>
  </si>
  <si>
    <t>B24125_368</t>
  </si>
  <si>
    <t>B24125_369</t>
  </si>
  <si>
    <t>B24125_370</t>
  </si>
  <si>
    <t>B24125_371</t>
  </si>
  <si>
    <t>B24125_372</t>
  </si>
  <si>
    <t>B24125_373</t>
  </si>
  <si>
    <t>B24125_374</t>
  </si>
  <si>
    <t>B24125_375</t>
  </si>
  <si>
    <t>B24125_376</t>
  </si>
  <si>
    <t>B24125_377</t>
  </si>
  <si>
    <t>B24125_378</t>
  </si>
  <si>
    <t>B24125_379</t>
  </si>
  <si>
    <t>B24125_380</t>
  </si>
  <si>
    <t>B24125_381</t>
  </si>
  <si>
    <t>B24125_382</t>
  </si>
  <si>
    <t>B24125_383</t>
  </si>
  <si>
    <t>B24125_384</t>
  </si>
  <si>
    <t>B24125_385</t>
  </si>
  <si>
    <t>B24125_386</t>
  </si>
  <si>
    <t>B24125_387</t>
  </si>
  <si>
    <t>B24125_388</t>
  </si>
  <si>
    <t>B24125_389</t>
  </si>
  <si>
    <t>B24125_390</t>
  </si>
  <si>
    <t>B24125_391</t>
  </si>
  <si>
    <t>B24125_392</t>
  </si>
  <si>
    <t>B24125_393</t>
  </si>
  <si>
    <t>B24125_394</t>
  </si>
  <si>
    <t>B24125_395</t>
  </si>
  <si>
    <t>B24125_396</t>
  </si>
  <si>
    <t>B24125_397</t>
  </si>
  <si>
    <t>B24125_398</t>
  </si>
  <si>
    <t>B24125_399</t>
  </si>
  <si>
    <t>B24125_400</t>
  </si>
  <si>
    <t>B24125_401</t>
  </si>
  <si>
    <t>B24125_402</t>
  </si>
  <si>
    <t>B24125_403</t>
  </si>
  <si>
    <t>B24125_404</t>
  </si>
  <si>
    <t>B24125_405</t>
  </si>
  <si>
    <t>B24125_406</t>
  </si>
  <si>
    <t>B24125_407</t>
  </si>
  <si>
    <t>B24125_408</t>
  </si>
  <si>
    <t>B24125_409</t>
  </si>
  <si>
    <t>B24125_410</t>
  </si>
  <si>
    <t>B24125_411</t>
  </si>
  <si>
    <t>B24125_412</t>
  </si>
  <si>
    <t>B24125_413</t>
  </si>
  <si>
    <t>B24125_414</t>
  </si>
  <si>
    <t>B24125_415</t>
  </si>
  <si>
    <t>B24125_416</t>
  </si>
  <si>
    <t>B24125_417</t>
  </si>
  <si>
    <t>B24125_418</t>
  </si>
  <si>
    <t>B24125_419</t>
  </si>
  <si>
    <t>B24125_420</t>
  </si>
  <si>
    <t>B24125_421</t>
  </si>
  <si>
    <t>B24125_422</t>
  </si>
  <si>
    <t>B24125_423</t>
  </si>
  <si>
    <t>B24125_424</t>
  </si>
  <si>
    <t>B24125_425</t>
  </si>
  <si>
    <t>B24125_426</t>
  </si>
  <si>
    <t>B24125_427</t>
  </si>
  <si>
    <t>B24125_428</t>
  </si>
  <si>
    <t>B24125_429</t>
  </si>
  <si>
    <t>B24125_430</t>
  </si>
  <si>
    <t>B24125_431</t>
  </si>
  <si>
    <t>B24125_432</t>
  </si>
  <si>
    <t>B24125_433</t>
  </si>
  <si>
    <t>B24125_434</t>
  </si>
  <si>
    <t>B24125_435</t>
  </si>
  <si>
    <t>B24125_436</t>
  </si>
  <si>
    <t>B24125_437</t>
  </si>
  <si>
    <t>B24125_438</t>
  </si>
  <si>
    <t>B24125_439</t>
  </si>
  <si>
    <t>B24125_440</t>
  </si>
  <si>
    <t>B24125_441</t>
  </si>
  <si>
    <t>B24125_442</t>
  </si>
  <si>
    <t>B24125_443</t>
  </si>
  <si>
    <t>B24125_444</t>
  </si>
  <si>
    <t>B24125_445</t>
  </si>
  <si>
    <t>B24125_446</t>
  </si>
  <si>
    <t>B24125_447</t>
  </si>
  <si>
    <t>B24125_448</t>
  </si>
  <si>
    <t>B24125_449</t>
  </si>
  <si>
    <t>B24125_450</t>
  </si>
  <si>
    <t>B24125_451</t>
  </si>
  <si>
    <t>B24125_452</t>
  </si>
  <si>
    <t>B24125_453</t>
  </si>
  <si>
    <t>B24125_454</t>
  </si>
  <si>
    <t>B24125_455</t>
  </si>
  <si>
    <t>B24125_456</t>
  </si>
  <si>
    <t>B24125_457</t>
  </si>
  <si>
    <t>B24125_458</t>
  </si>
  <si>
    <t>B24125_459</t>
  </si>
  <si>
    <t>B24125_460</t>
  </si>
  <si>
    <t>B24125_461</t>
  </si>
  <si>
    <t>B24125_462</t>
  </si>
  <si>
    <t>B24125_463</t>
  </si>
  <si>
    <t>B24125_464</t>
  </si>
  <si>
    <t>B24125_465</t>
  </si>
  <si>
    <t>B24125_466</t>
  </si>
  <si>
    <t>B24125_467</t>
  </si>
  <si>
    <t>B24125_468</t>
  </si>
  <si>
    <t>B24125_469</t>
  </si>
  <si>
    <t>B24125_470</t>
  </si>
  <si>
    <t>B24125_471</t>
  </si>
  <si>
    <t>B24125_472</t>
  </si>
  <si>
    <t>B24125_473</t>
  </si>
  <si>
    <t>B24125_474</t>
  </si>
  <si>
    <t>B24125_475</t>
  </si>
  <si>
    <t>B24125_476</t>
  </si>
  <si>
    <t>B24125_477</t>
  </si>
  <si>
    <t>B24125_478</t>
  </si>
  <si>
    <t>B24125_479</t>
  </si>
  <si>
    <t>B24125_480</t>
  </si>
  <si>
    <t>B24125_481</t>
  </si>
  <si>
    <t>B24125_482</t>
  </si>
  <si>
    <t>B24125_483</t>
  </si>
  <si>
    <t>B24125_484</t>
  </si>
  <si>
    <t>B24125_485</t>
  </si>
  <si>
    <t>B24125_486</t>
  </si>
  <si>
    <t>B24125_487</t>
  </si>
  <si>
    <t>B24125_488</t>
  </si>
  <si>
    <t>B24125_489</t>
  </si>
  <si>
    <t>B24125_490</t>
  </si>
  <si>
    <t>B24125_491</t>
  </si>
  <si>
    <t>B24125_492</t>
  </si>
  <si>
    <t>B24125_493</t>
  </si>
  <si>
    <t>B24125_494</t>
  </si>
  <si>
    <t>B24125_495</t>
  </si>
  <si>
    <t>B24125_496</t>
  </si>
  <si>
    <t>B24125_497</t>
  </si>
  <si>
    <t>B24125_498</t>
  </si>
  <si>
    <t>B24125_499</t>
  </si>
  <si>
    <t>B24125_500</t>
  </si>
  <si>
    <t>B24125_501</t>
  </si>
  <si>
    <t>B24125_502</t>
  </si>
  <si>
    <t>B24125_503</t>
  </si>
  <si>
    <t>B24125_504</t>
  </si>
  <si>
    <t>B24125_505</t>
  </si>
  <si>
    <t>B24125_506</t>
  </si>
  <si>
    <t>B24125_507</t>
  </si>
  <si>
    <t>B24125_508</t>
  </si>
  <si>
    <t>B24125_509</t>
  </si>
  <si>
    <t>B24125_510</t>
  </si>
  <si>
    <t>B24125_511</t>
  </si>
  <si>
    <t>B24125_512</t>
  </si>
  <si>
    <t>B24125_513</t>
  </si>
  <si>
    <t>B24125_514</t>
  </si>
  <si>
    <t>B24125_515</t>
  </si>
  <si>
    <t>B24125_516</t>
  </si>
  <si>
    <t>B24125_517</t>
  </si>
  <si>
    <t>B24125_518</t>
  </si>
  <si>
    <t>B24125_519</t>
  </si>
  <si>
    <t>B24125_520</t>
  </si>
  <si>
    <t>B24125_521</t>
  </si>
  <si>
    <t>B24125_522</t>
  </si>
  <si>
    <t>B24125_523</t>
  </si>
  <si>
    <t>B24125_524</t>
  </si>
  <si>
    <t>B24125_525</t>
  </si>
  <si>
    <t>B24125_526</t>
  </si>
  <si>
    <t>B24125_527</t>
  </si>
  <si>
    <t>B24125_528</t>
  </si>
  <si>
    <t>B24125_529</t>
  </si>
  <si>
    <t>B24125_530</t>
  </si>
  <si>
    <t>B24125_531</t>
  </si>
  <si>
    <t>B24125_532</t>
  </si>
  <si>
    <t>B24125_533</t>
  </si>
  <si>
    <t>B24125_534</t>
  </si>
  <si>
    <t>B24125_535</t>
  </si>
  <si>
    <t>B24125_536</t>
  </si>
  <si>
    <t>B24125_537</t>
  </si>
  <si>
    <t>B24125_538</t>
  </si>
  <si>
    <t>B24125_539</t>
  </si>
  <si>
    <t>B24125_540</t>
  </si>
  <si>
    <t>B24125_541</t>
  </si>
  <si>
    <t>B24125_542</t>
  </si>
  <si>
    <t>B24125_543</t>
  </si>
  <si>
    <t>B24125_544</t>
  </si>
  <si>
    <t>B24125_545</t>
  </si>
  <si>
    <t>B24125_546</t>
  </si>
  <si>
    <t>B24125_547</t>
  </si>
  <si>
    <t>B24125_548</t>
  </si>
  <si>
    <t>B24125_549</t>
  </si>
  <si>
    <t>B24125_550</t>
  </si>
  <si>
    <t>B24125_551</t>
  </si>
  <si>
    <t>B24125_552</t>
  </si>
  <si>
    <t>B24125_553</t>
  </si>
  <si>
    <t>B24125_554</t>
  </si>
  <si>
    <t>B24125_555</t>
  </si>
  <si>
    <t>B24125_556</t>
  </si>
  <si>
    <t>B24125_557</t>
  </si>
  <si>
    <t>B24125_558</t>
  </si>
  <si>
    <t>B24125_559</t>
  </si>
  <si>
    <t>B24125_560</t>
  </si>
  <si>
    <t>B24125_561</t>
  </si>
  <si>
    <t>B24125_562</t>
  </si>
  <si>
    <t>B24125_563</t>
  </si>
  <si>
    <t>B24125_564</t>
  </si>
  <si>
    <t>B24125_565</t>
  </si>
  <si>
    <t>B24125_566</t>
  </si>
  <si>
    <t>B24126_002</t>
  </si>
  <si>
    <t>B24126_003</t>
  </si>
  <si>
    <t>B24126_004</t>
  </si>
  <si>
    <t>B24126_005</t>
  </si>
  <si>
    <t>B24126_006</t>
  </si>
  <si>
    <t>B24126_007</t>
  </si>
  <si>
    <t>B24126_008</t>
  </si>
  <si>
    <t>B24126_009</t>
  </si>
  <si>
    <t>B24126_010</t>
  </si>
  <si>
    <t>B24126_011</t>
  </si>
  <si>
    <t>B24126_012</t>
  </si>
  <si>
    <t>B24126_013</t>
  </si>
  <si>
    <t>B24126_014</t>
  </si>
  <si>
    <t>B24126_015</t>
  </si>
  <si>
    <t>B24126_016</t>
  </si>
  <si>
    <t>B24126_017</t>
  </si>
  <si>
    <t>B24126_018</t>
  </si>
  <si>
    <t>B24126_019</t>
  </si>
  <si>
    <t>B24126_020</t>
  </si>
  <si>
    <t>B24126_021</t>
  </si>
  <si>
    <t>B24126_022</t>
  </si>
  <si>
    <t>B24126_023</t>
  </si>
  <si>
    <t>B24126_024</t>
  </si>
  <si>
    <t>B24126_025</t>
  </si>
  <si>
    <t>B24126_026</t>
  </si>
  <si>
    <t>B24126_027</t>
  </si>
  <si>
    <t>B24126_028</t>
  </si>
  <si>
    <t>B24126_029</t>
  </si>
  <si>
    <t>B24126_030</t>
  </si>
  <si>
    <t>B24126_031</t>
  </si>
  <si>
    <t>B24126_032</t>
  </si>
  <si>
    <t>B24126_033</t>
  </si>
  <si>
    <t>B24126_034</t>
  </si>
  <si>
    <t>B24126_035</t>
  </si>
  <si>
    <t>B24126_036</t>
  </si>
  <si>
    <t>B24126_037</t>
  </si>
  <si>
    <t>B24126_038</t>
  </si>
  <si>
    <t>B24126_039</t>
  </si>
  <si>
    <t>B24126_040</t>
  </si>
  <si>
    <t>B24126_041</t>
  </si>
  <si>
    <t>B24126_042</t>
  </si>
  <si>
    <t>B24126_043</t>
  </si>
  <si>
    <t>B24126_044</t>
  </si>
  <si>
    <t>B24126_045</t>
  </si>
  <si>
    <t>B24126_046</t>
  </si>
  <si>
    <t>B24126_047</t>
  </si>
  <si>
    <t>B24126_048</t>
  </si>
  <si>
    <t>B24126_049</t>
  </si>
  <si>
    <t>B24126_050</t>
  </si>
  <si>
    <t>B24126_051</t>
  </si>
  <si>
    <t>B24126_052</t>
  </si>
  <si>
    <t>B24126_053</t>
  </si>
  <si>
    <t>B24126_054</t>
  </si>
  <si>
    <t>B24126_055</t>
  </si>
  <si>
    <t>B24126_056</t>
  </si>
  <si>
    <t>B24126_057</t>
  </si>
  <si>
    <t>B24126_058</t>
  </si>
  <si>
    <t>B24126_059</t>
  </si>
  <si>
    <t>B24126_060</t>
  </si>
  <si>
    <t>B24126_061</t>
  </si>
  <si>
    <t>B24126_062</t>
  </si>
  <si>
    <t>B24126_063</t>
  </si>
  <si>
    <t>B24126_064</t>
  </si>
  <si>
    <t>B24126_065</t>
  </si>
  <si>
    <t>B24126_066</t>
  </si>
  <si>
    <t>B24126_067</t>
  </si>
  <si>
    <t>B24126_068</t>
  </si>
  <si>
    <t>B24126_069</t>
  </si>
  <si>
    <t>B24126_070</t>
  </si>
  <si>
    <t>B24126_071</t>
  </si>
  <si>
    <t>B24126_072</t>
  </si>
  <si>
    <t>B24126_073</t>
  </si>
  <si>
    <t>B24126_074</t>
  </si>
  <si>
    <t>B24126_075</t>
  </si>
  <si>
    <t>B24126_076</t>
  </si>
  <si>
    <t>B24126_077</t>
  </si>
  <si>
    <t>B24126_078</t>
  </si>
  <si>
    <t>B24126_079</t>
  </si>
  <si>
    <t>B24126_080</t>
  </si>
  <si>
    <t>B24126_081</t>
  </si>
  <si>
    <t>B24126_082</t>
  </si>
  <si>
    <t>B24126_083</t>
  </si>
  <si>
    <t>B24126_084</t>
  </si>
  <si>
    <t>B24126_085</t>
  </si>
  <si>
    <t>B24126_086</t>
  </si>
  <si>
    <t>B24126_087</t>
  </si>
  <si>
    <t>B24126_088</t>
  </si>
  <si>
    <t>B24126_089</t>
  </si>
  <si>
    <t>B24126_090</t>
  </si>
  <si>
    <t>B24126_091</t>
  </si>
  <si>
    <t>B24126_092</t>
  </si>
  <si>
    <t>B24126_093</t>
  </si>
  <si>
    <t>B24126_094</t>
  </si>
  <si>
    <t>B24126_095</t>
  </si>
  <si>
    <t>B24126_096</t>
  </si>
  <si>
    <t>B24126_097</t>
  </si>
  <si>
    <t>B24126_098</t>
  </si>
  <si>
    <t>B24126_099</t>
  </si>
  <si>
    <t>B24126_100</t>
  </si>
  <si>
    <t>B24126_101</t>
  </si>
  <si>
    <t>B24126_102</t>
  </si>
  <si>
    <t>B24126_103</t>
  </si>
  <si>
    <t>B24126_104</t>
  </si>
  <si>
    <t>B24126_105</t>
  </si>
  <si>
    <t>B24126_106</t>
  </si>
  <si>
    <t>B24126_107</t>
  </si>
  <si>
    <t>B24126_108</t>
  </si>
  <si>
    <t>B24126_109</t>
  </si>
  <si>
    <t>B24126_110</t>
  </si>
  <si>
    <t>B24126_111</t>
  </si>
  <si>
    <t>B24126_112</t>
  </si>
  <si>
    <t>B24126_113</t>
  </si>
  <si>
    <t>B24126_114</t>
  </si>
  <si>
    <t>B24126_115</t>
  </si>
  <si>
    <t>B24126_116</t>
  </si>
  <si>
    <t>B24126_117</t>
  </si>
  <si>
    <t>B24126_118</t>
  </si>
  <si>
    <t>B24126_119</t>
  </si>
  <si>
    <t>B24126_120</t>
  </si>
  <si>
    <t>B24126_121</t>
  </si>
  <si>
    <t>B24126_122</t>
  </si>
  <si>
    <t>B24126_123</t>
  </si>
  <si>
    <t>B24126_124</t>
  </si>
  <si>
    <t>B24126_125</t>
  </si>
  <si>
    <t>B24126_126</t>
  </si>
  <si>
    <t>B24126_127</t>
  </si>
  <si>
    <t>B24126_128</t>
  </si>
  <si>
    <t>B24126_129</t>
  </si>
  <si>
    <t>B24126_130</t>
  </si>
  <si>
    <t>B24126_131</t>
  </si>
  <si>
    <t>B24126_132</t>
  </si>
  <si>
    <t>B24126_133</t>
  </si>
  <si>
    <t>B24126_134</t>
  </si>
  <si>
    <t>B24126_135</t>
  </si>
  <si>
    <t>B24126_136</t>
  </si>
  <si>
    <t>B24126_137</t>
  </si>
  <si>
    <t>B24126_138</t>
  </si>
  <si>
    <t>B24126_139</t>
  </si>
  <si>
    <t>B24126_140</t>
  </si>
  <si>
    <t>B24126_141</t>
  </si>
  <si>
    <t>B24126_142</t>
  </si>
  <si>
    <t>B24126_143</t>
  </si>
  <si>
    <t>B24126_144</t>
  </si>
  <si>
    <t>B24126_145</t>
  </si>
  <si>
    <t>B24126_146</t>
  </si>
  <si>
    <t>B24126_147</t>
  </si>
  <si>
    <t>B24126_148</t>
  </si>
  <si>
    <t>B24126_149</t>
  </si>
  <si>
    <t>B24126_150</t>
  </si>
  <si>
    <t>B24126_151</t>
  </si>
  <si>
    <t>B24126_152</t>
  </si>
  <si>
    <t>B24126_153</t>
  </si>
  <si>
    <t>B24126_154</t>
  </si>
  <si>
    <t>B24126_155</t>
  </si>
  <si>
    <t>B24126_156</t>
  </si>
  <si>
    <t>B24126_157</t>
  </si>
  <si>
    <t>B24126_158</t>
  </si>
  <si>
    <t>B24126_159</t>
  </si>
  <si>
    <t>B24126_160</t>
  </si>
  <si>
    <t>B24126_161</t>
  </si>
  <si>
    <t>B24126_162</t>
  </si>
  <si>
    <t>B24126_163</t>
  </si>
  <si>
    <t>B24126_164</t>
  </si>
  <si>
    <t>B24126_165</t>
  </si>
  <si>
    <t>B24126_166</t>
  </si>
  <si>
    <t>B24126_167</t>
  </si>
  <si>
    <t>B24126_168</t>
  </si>
  <si>
    <t>B24126_169</t>
  </si>
  <si>
    <t>B24126_170</t>
  </si>
  <si>
    <t>B24126_171</t>
  </si>
  <si>
    <t>B24126_172</t>
  </si>
  <si>
    <t>B24126_173</t>
  </si>
  <si>
    <t>B24126_174</t>
  </si>
  <si>
    <t>B24126_175</t>
  </si>
  <si>
    <t>B24126_176</t>
  </si>
  <si>
    <t>B24126_177</t>
  </si>
  <si>
    <t>B24126_178</t>
  </si>
  <si>
    <t>B24126_179</t>
  </si>
  <si>
    <t>B24126_180</t>
  </si>
  <si>
    <t>B24126_181</t>
  </si>
  <si>
    <t>B24126_182</t>
  </si>
  <si>
    <t>B24126_183</t>
  </si>
  <si>
    <t>B24126_184</t>
  </si>
  <si>
    <t>B24126_185</t>
  </si>
  <si>
    <t>B24126_186</t>
  </si>
  <si>
    <t>B24126_187</t>
  </si>
  <si>
    <t>B24126_188</t>
  </si>
  <si>
    <t>B24126_189</t>
  </si>
  <si>
    <t>B24126_190</t>
  </si>
  <si>
    <t>B24126_191</t>
  </si>
  <si>
    <t>B24126_192</t>
  </si>
  <si>
    <t>B24126_193</t>
  </si>
  <si>
    <t>B24126_194</t>
  </si>
  <si>
    <t>B24126_195</t>
  </si>
  <si>
    <t>B24126_196</t>
  </si>
  <si>
    <t>B24126_197</t>
  </si>
  <si>
    <t>B24126_198</t>
  </si>
  <si>
    <t>B24126_199</t>
  </si>
  <si>
    <t>B24126_200</t>
  </si>
  <si>
    <t>B24126_201</t>
  </si>
  <si>
    <t>B24126_202</t>
  </si>
  <si>
    <t>B24126_203</t>
  </si>
  <si>
    <t>B24126_204</t>
  </si>
  <si>
    <t>B24126_205</t>
  </si>
  <si>
    <t>B24126_206</t>
  </si>
  <si>
    <t>B24126_207</t>
  </si>
  <si>
    <t>B24126_208</t>
  </si>
  <si>
    <t>B24126_209</t>
  </si>
  <si>
    <t>B24126_210</t>
  </si>
  <si>
    <t>B24126_211</t>
  </si>
  <si>
    <t>B24126_212</t>
  </si>
  <si>
    <t>B24126_213</t>
  </si>
  <si>
    <t>B24126_214</t>
  </si>
  <si>
    <t>B24126_215</t>
  </si>
  <si>
    <t>B24126_216</t>
  </si>
  <si>
    <t>B24126_217</t>
  </si>
  <si>
    <t>B24126_218</t>
  </si>
  <si>
    <t>B24126_219</t>
  </si>
  <si>
    <t>B24126_220</t>
  </si>
  <si>
    <t>B24126_221</t>
  </si>
  <si>
    <t>B24126_222</t>
  </si>
  <si>
    <t>B24126_223</t>
  </si>
  <si>
    <t>B24126_224</t>
  </si>
  <si>
    <t>B24126_225</t>
  </si>
  <si>
    <t>B24126_226</t>
  </si>
  <si>
    <t>B24126_227</t>
  </si>
  <si>
    <t>B24126_228</t>
  </si>
  <si>
    <t>B24126_229</t>
  </si>
  <si>
    <t>B24126_230</t>
  </si>
  <si>
    <t>B24126_231</t>
  </si>
  <si>
    <t>B24126_232</t>
  </si>
  <si>
    <t>B24126_233</t>
  </si>
  <si>
    <t>B24126_234</t>
  </si>
  <si>
    <t>B24126_235</t>
  </si>
  <si>
    <t>B24126_236</t>
  </si>
  <si>
    <t>B24126_237</t>
  </si>
  <si>
    <t>B24126_238</t>
  </si>
  <si>
    <t>B24126_239</t>
  </si>
  <si>
    <t>B24126_240</t>
  </si>
  <si>
    <t>B24126_241</t>
  </si>
  <si>
    <t>B24126_242</t>
  </si>
  <si>
    <t>B24126_243</t>
  </si>
  <si>
    <t>B24126_244</t>
  </si>
  <si>
    <t>B24126_245</t>
  </si>
  <si>
    <t>B24126_246</t>
  </si>
  <si>
    <t>B24126_247</t>
  </si>
  <si>
    <t>B24126_248</t>
  </si>
  <si>
    <t>B24126_249</t>
  </si>
  <si>
    <t>B24126_250</t>
  </si>
  <si>
    <t>B24126_251</t>
  </si>
  <si>
    <t>B24126_252</t>
  </si>
  <si>
    <t>B24126_253</t>
  </si>
  <si>
    <t>B24126_254</t>
  </si>
  <si>
    <t>B24126_255</t>
  </si>
  <si>
    <t>B24126_256</t>
  </si>
  <si>
    <t>B24126_257</t>
  </si>
  <si>
    <t>B24126_258</t>
  </si>
  <si>
    <t>B24126_259</t>
  </si>
  <si>
    <t>B24126_260</t>
  </si>
  <si>
    <t>B24126_261</t>
  </si>
  <si>
    <t>B24126_262</t>
  </si>
  <si>
    <t>B24126_263</t>
  </si>
  <si>
    <t>B24126_264</t>
  </si>
  <si>
    <t>B24126_265</t>
  </si>
  <si>
    <t>B24126_266</t>
  </si>
  <si>
    <t>B24126_267</t>
  </si>
  <si>
    <t>B24126_268</t>
  </si>
  <si>
    <t>B24126_269</t>
  </si>
  <si>
    <t>B24126_270</t>
  </si>
  <si>
    <t>B24126_271</t>
  </si>
  <si>
    <t>B24126_272</t>
  </si>
  <si>
    <t>B24126_273</t>
  </si>
  <si>
    <t>B24126_274</t>
  </si>
  <si>
    <t>B24126_275</t>
  </si>
  <si>
    <t>B24126_276</t>
  </si>
  <si>
    <t>B24126_277</t>
  </si>
  <si>
    <t>B24126_278</t>
  </si>
  <si>
    <t>B24126_279</t>
  </si>
  <si>
    <t>B24126_280</t>
  </si>
  <si>
    <t>B24126_281</t>
  </si>
  <si>
    <t>B24126_282</t>
  </si>
  <si>
    <t>B24126_283</t>
  </si>
  <si>
    <t>B24126_284</t>
  </si>
  <si>
    <t>B24126_285</t>
  </si>
  <si>
    <t>B24126_286</t>
  </si>
  <si>
    <t>B24126_287</t>
  </si>
  <si>
    <t>B24126_288</t>
  </si>
  <si>
    <t>B24126_289</t>
  </si>
  <si>
    <t>B24126_290</t>
  </si>
  <si>
    <t>B24126_291</t>
  </si>
  <si>
    <t>B24126_292</t>
  </si>
  <si>
    <t>B24126_293</t>
  </si>
  <si>
    <t>B24126_294</t>
  </si>
  <si>
    <t>B24126_295</t>
  </si>
  <si>
    <t>B24126_296</t>
  </si>
  <si>
    <t>B24126_297</t>
  </si>
  <si>
    <t>B24126_298</t>
  </si>
  <si>
    <t>B24126_299</t>
  </si>
  <si>
    <t>B24126_300</t>
  </si>
  <si>
    <t>B24126_301</t>
  </si>
  <si>
    <t>B24126_302</t>
  </si>
  <si>
    <t>B24126_303</t>
  </si>
  <si>
    <t>B24126_304</t>
  </si>
  <si>
    <t>B24126_305</t>
  </si>
  <si>
    <t>B24126_306</t>
  </si>
  <si>
    <t>B24126_307</t>
  </si>
  <si>
    <t>B24126_308</t>
  </si>
  <si>
    <t>B24126_309</t>
  </si>
  <si>
    <t>B24126_310</t>
  </si>
  <si>
    <t>B24126_311</t>
  </si>
  <si>
    <t>B24126_312</t>
  </si>
  <si>
    <t>B24126_313</t>
  </si>
  <si>
    <t>B24126_314</t>
  </si>
  <si>
    <t>B24126_315</t>
  </si>
  <si>
    <t>B24126_316</t>
  </si>
  <si>
    <t>B24126_317</t>
  </si>
  <si>
    <t>B24126_318</t>
  </si>
  <si>
    <t>B24126_319</t>
  </si>
  <si>
    <t>B24126_320</t>
  </si>
  <si>
    <t>B24126_321</t>
  </si>
  <si>
    <t>B24126_322</t>
  </si>
  <si>
    <t>B24126_323</t>
  </si>
  <si>
    <t>B24126_324</t>
  </si>
  <si>
    <t>B24126_325</t>
  </si>
  <si>
    <t>B24126_326</t>
  </si>
  <si>
    <t>B24126_327</t>
  </si>
  <si>
    <t>B24126_328</t>
  </si>
  <si>
    <t>B24126_329</t>
  </si>
  <si>
    <t>B24126_330</t>
  </si>
  <si>
    <t>B24126_331</t>
  </si>
  <si>
    <t>B24126_332</t>
  </si>
  <si>
    <t>B24126_333</t>
  </si>
  <si>
    <t>B24126_334</t>
  </si>
  <si>
    <t>B24126_335</t>
  </si>
  <si>
    <t>B24126_336</t>
  </si>
  <si>
    <t>B24126_337</t>
  </si>
  <si>
    <t>B24126_338</t>
  </si>
  <si>
    <t>B24126_339</t>
  </si>
  <si>
    <t>B24126_340</t>
  </si>
  <si>
    <t>B24126_341</t>
  </si>
  <si>
    <t>B24126_342</t>
  </si>
  <si>
    <t>B24126_343</t>
  </si>
  <si>
    <t>B24126_344</t>
  </si>
  <si>
    <t>B24126_345</t>
  </si>
  <si>
    <t>B24126_346</t>
  </si>
  <si>
    <t>B24126_347</t>
  </si>
  <si>
    <t>B24126_348</t>
  </si>
  <si>
    <t>B24126_349</t>
  </si>
  <si>
    <t>B24126_350</t>
  </si>
  <si>
    <t>B24126_351</t>
  </si>
  <si>
    <t>B24126_352</t>
  </si>
  <si>
    <t>B24126_353</t>
  </si>
  <si>
    <t>B24126_354</t>
  </si>
  <si>
    <t>B24126_355</t>
  </si>
  <si>
    <t>B24126_356</t>
  </si>
  <si>
    <t>B24126_357</t>
  </si>
  <si>
    <t>B24126_358</t>
  </si>
  <si>
    <t>B24126_359</t>
  </si>
  <si>
    <t>B24126_360</t>
  </si>
  <si>
    <t>B24126_361</t>
  </si>
  <si>
    <t>B24126_362</t>
  </si>
  <si>
    <t>B24126_363</t>
  </si>
  <si>
    <t>B24126_364</t>
  </si>
  <si>
    <t>B24126_365</t>
  </si>
  <si>
    <t>B24126_366</t>
  </si>
  <si>
    <t>B24126_367</t>
  </si>
  <si>
    <t>B24126_368</t>
  </si>
  <si>
    <t>B24126_369</t>
  </si>
  <si>
    <t>B24126_370</t>
  </si>
  <si>
    <t>B24126_371</t>
  </si>
  <si>
    <t>B24126_372</t>
  </si>
  <si>
    <t>B24126_373</t>
  </si>
  <si>
    <t>B24126_374</t>
  </si>
  <si>
    <t>B24126_375</t>
  </si>
  <si>
    <t>B24126_376</t>
  </si>
  <si>
    <t>B24126_377</t>
  </si>
  <si>
    <t>B24126_378</t>
  </si>
  <si>
    <t>B24126_379</t>
  </si>
  <si>
    <t>B24126_380</t>
  </si>
  <si>
    <t>B24126_381</t>
  </si>
  <si>
    <t>B24126_382</t>
  </si>
  <si>
    <t>B24126_383</t>
  </si>
  <si>
    <t>B24126_384</t>
  </si>
  <si>
    <t>B24126_385</t>
  </si>
  <si>
    <t>B24126_386</t>
  </si>
  <si>
    <t>B24126_387</t>
  </si>
  <si>
    <t>B24126_388</t>
  </si>
  <si>
    <t>B24126_389</t>
  </si>
  <si>
    <t>B24126_390</t>
  </si>
  <si>
    <t>B24126_391</t>
  </si>
  <si>
    <t>B24126_392</t>
  </si>
  <si>
    <t>B24126_393</t>
  </si>
  <si>
    <t>B24126_394</t>
  </si>
  <si>
    <t>B24126_395</t>
  </si>
  <si>
    <t>B24126_396</t>
  </si>
  <si>
    <t>B24126_397</t>
  </si>
  <si>
    <t>B24126_398</t>
  </si>
  <si>
    <t>B24126_399</t>
  </si>
  <si>
    <t>B24126_400</t>
  </si>
  <si>
    <t>B24126_401</t>
  </si>
  <si>
    <t>B24126_402</t>
  </si>
  <si>
    <t>B24126_403</t>
  </si>
  <si>
    <t>B24126_404</t>
  </si>
  <si>
    <t>B24126_405</t>
  </si>
  <si>
    <t>B24126_406</t>
  </si>
  <si>
    <t>B24126_407</t>
  </si>
  <si>
    <t>B24126_408</t>
  </si>
  <si>
    <t>B24126_409</t>
  </si>
  <si>
    <t>B24126_410</t>
  </si>
  <si>
    <t>B24126_411</t>
  </si>
  <si>
    <t>B24126_412</t>
  </si>
  <si>
    <t>B24126_413</t>
  </si>
  <si>
    <t>B24126_414</t>
  </si>
  <si>
    <t>B24126_415</t>
  </si>
  <si>
    <t>B24126_416</t>
  </si>
  <si>
    <t>B24126_417</t>
  </si>
  <si>
    <t>B24126_418</t>
  </si>
  <si>
    <t>B24126_419</t>
  </si>
  <si>
    <t>B24126_420</t>
  </si>
  <si>
    <t>B24126_421</t>
  </si>
  <si>
    <t>B24126_422</t>
  </si>
  <si>
    <t>B24126_423</t>
  </si>
  <si>
    <t>B24126_424</t>
  </si>
  <si>
    <t>B24126_425</t>
  </si>
  <si>
    <t>B24126_426</t>
  </si>
  <si>
    <t>B24126_427</t>
  </si>
  <si>
    <t>B24126_428</t>
  </si>
  <si>
    <t>B24126_429</t>
  </si>
  <si>
    <t>B24126_430</t>
  </si>
  <si>
    <t>B24126_431</t>
  </si>
  <si>
    <t>B24126_432</t>
  </si>
  <si>
    <t>B24126_433</t>
  </si>
  <si>
    <t>B24126_434</t>
  </si>
  <si>
    <t>B24126_435</t>
  </si>
  <si>
    <t>B24126_436</t>
  </si>
  <si>
    <t>B24126_437</t>
  </si>
  <si>
    <t>B24126_438</t>
  </si>
  <si>
    <t>B24126_439</t>
  </si>
  <si>
    <t>B24126_440</t>
  </si>
  <si>
    <t>B24126_441</t>
  </si>
  <si>
    <t>B24126_442</t>
  </si>
  <si>
    <t>B24126_443</t>
  </si>
  <si>
    <t>B24126_444</t>
  </si>
  <si>
    <t>B24126_445</t>
  </si>
  <si>
    <t>B24126_446</t>
  </si>
  <si>
    <t>B24126_447</t>
  </si>
  <si>
    <t>B24126_448</t>
  </si>
  <si>
    <t>B24126_449</t>
  </si>
  <si>
    <t>B24126_450</t>
  </si>
  <si>
    <t>B24126_451</t>
  </si>
  <si>
    <t>B24126_452</t>
  </si>
  <si>
    <t>B24126_453</t>
  </si>
  <si>
    <t>B24126_454</t>
  </si>
  <si>
    <t>B24126_455</t>
  </si>
  <si>
    <t>B24126_456</t>
  </si>
  <si>
    <t>B24126_457</t>
  </si>
  <si>
    <t>B24126_458</t>
  </si>
  <si>
    <t>B24126_459</t>
  </si>
  <si>
    <t>B24126_460</t>
  </si>
  <si>
    <t>B24126_461</t>
  </si>
  <si>
    <t>B24126_462</t>
  </si>
  <si>
    <t>B24126_463</t>
  </si>
  <si>
    <t>B24126_464</t>
  </si>
  <si>
    <t>B24126_465</t>
  </si>
  <si>
    <t>B24126_466</t>
  </si>
  <si>
    <t>B24126_467</t>
  </si>
  <si>
    <t>B24126_468</t>
  </si>
  <si>
    <t>B24126_469</t>
  </si>
  <si>
    <t>B24126_470</t>
  </si>
  <si>
    <t>B24126_471</t>
  </si>
  <si>
    <t>B24126_472</t>
  </si>
  <si>
    <t>B24126_473</t>
  </si>
  <si>
    <t>B24126_474</t>
  </si>
  <si>
    <t>B24126_475</t>
  </si>
  <si>
    <t>B24126_476</t>
  </si>
  <si>
    <t>B24126_477</t>
  </si>
  <si>
    <t>B24126_478</t>
  </si>
  <si>
    <t>B24126_479</t>
  </si>
  <si>
    <t>B24126_480</t>
  </si>
  <si>
    <t>B24126_481</t>
  </si>
  <si>
    <t>B24126_482</t>
  </si>
  <si>
    <t>B24126_483</t>
  </si>
  <si>
    <t>B24126_484</t>
  </si>
  <si>
    <t>B24126_485</t>
  </si>
  <si>
    <t>B24126_486</t>
  </si>
  <si>
    <t>B24126_487</t>
  </si>
  <si>
    <t>B24126_488</t>
  </si>
  <si>
    <t>B24126_489</t>
  </si>
  <si>
    <t>B24126_490</t>
  </si>
  <si>
    <t>B24126_491</t>
  </si>
  <si>
    <t>B24126_492</t>
  </si>
  <si>
    <t>B24126_493</t>
  </si>
  <si>
    <t>B24126_494</t>
  </si>
  <si>
    <t>B24126_495</t>
  </si>
  <si>
    <t>B24126_496</t>
  </si>
  <si>
    <t>B24126_497</t>
  </si>
  <si>
    <t>B24126_498</t>
  </si>
  <si>
    <t>B24126_499</t>
  </si>
  <si>
    <t>B24126_500</t>
  </si>
  <si>
    <t>B24126_501</t>
  </si>
  <si>
    <t>B24126_502</t>
  </si>
  <si>
    <t>B24126_503</t>
  </si>
  <si>
    <t>B24126_504</t>
  </si>
  <si>
    <t>B24126_505</t>
  </si>
  <si>
    <t>B24126_506</t>
  </si>
  <si>
    <t>B24126_507</t>
  </si>
  <si>
    <t>B24126_508</t>
  </si>
  <si>
    <t>B24126_509</t>
  </si>
  <si>
    <t>B24126_510</t>
  </si>
  <si>
    <t>B24126_511</t>
  </si>
  <si>
    <t>B24126_512</t>
  </si>
  <si>
    <t>B24126_513</t>
  </si>
  <si>
    <t>B24126_514</t>
  </si>
  <si>
    <t>B24126_515</t>
  </si>
  <si>
    <t>B24126_516</t>
  </si>
  <si>
    <t>B24126_517</t>
  </si>
  <si>
    <t>B24126_518</t>
  </si>
  <si>
    <t>B24126_519</t>
  </si>
  <si>
    <t>B24126_520</t>
  </si>
  <si>
    <t>B24126_521</t>
  </si>
  <si>
    <t>B24126_522</t>
  </si>
  <si>
    <t>B24126_523</t>
  </si>
  <si>
    <t>B24126_524</t>
  </si>
  <si>
    <t>B24126_525</t>
  </si>
  <si>
    <t>B24126_526</t>
  </si>
  <si>
    <t>B24126_527</t>
  </si>
  <si>
    <t>B24126_528</t>
  </si>
  <si>
    <t>B24126_529</t>
  </si>
  <si>
    <t>B24126_530</t>
  </si>
  <si>
    <t>B24126_531</t>
  </si>
  <si>
    <t>B24126_532</t>
  </si>
  <si>
    <t>B24126_533</t>
  </si>
  <si>
    <t>B24126_534</t>
  </si>
  <si>
    <t>B24126_535</t>
  </si>
  <si>
    <t>B24126_536</t>
  </si>
  <si>
    <t>B24126_537</t>
  </si>
  <si>
    <t>B24126_538</t>
  </si>
  <si>
    <t>B24126_539</t>
  </si>
  <si>
    <t>B24126_540</t>
  </si>
  <si>
    <t>B24126_541</t>
  </si>
  <si>
    <t>B24126_542</t>
  </si>
  <si>
    <t>B24126_543</t>
  </si>
  <si>
    <t>B24126_544</t>
  </si>
  <si>
    <t>B24126_545</t>
  </si>
  <si>
    <t>B24126_546</t>
  </si>
  <si>
    <t>B24126_547</t>
  </si>
  <si>
    <t>B24126_548</t>
  </si>
  <si>
    <t>B24126_549</t>
  </si>
  <si>
    <t>B24126_550</t>
  </si>
  <si>
    <t>B24126_551</t>
  </si>
  <si>
    <t>B24126_552</t>
  </si>
  <si>
    <t>B24126_553</t>
  </si>
  <si>
    <t>B24126_554</t>
  </si>
  <si>
    <t>B24126_555</t>
  </si>
  <si>
    <t>B24126_556</t>
  </si>
  <si>
    <t>B24126_557</t>
  </si>
  <si>
    <t>B24126_558</t>
  </si>
  <si>
    <t>B24126_559</t>
  </si>
  <si>
    <t>B24126_560</t>
  </si>
  <si>
    <t>B24126_561</t>
  </si>
  <si>
    <t>B24126_562</t>
  </si>
  <si>
    <t>B24126_563</t>
  </si>
  <si>
    <t>B24126_564</t>
  </si>
  <si>
    <t>B24126_565</t>
  </si>
  <si>
    <t>B24126_566</t>
  </si>
  <si>
    <t>B24134_002</t>
  </si>
  <si>
    <t>Estimate!!Total!!Crop production</t>
  </si>
  <si>
    <t>B24134_003</t>
  </si>
  <si>
    <t>Estimate!!Total!!Animal production and aquaculture</t>
  </si>
  <si>
    <t>B24134_004</t>
  </si>
  <si>
    <t>Estimate!!Total!!Forestry except logging</t>
  </si>
  <si>
    <t>B24134_005</t>
  </si>
  <si>
    <t>Estimate!!Total!!Logging</t>
  </si>
  <si>
    <t>B24134_006</t>
  </si>
  <si>
    <t>Estimate!!Total!!Fishing, hunting and trapping</t>
  </si>
  <si>
    <t>B24134_007</t>
  </si>
  <si>
    <t>Estimate!!Total!!Support activities for agriculture and forestry</t>
  </si>
  <si>
    <t>B24134_008</t>
  </si>
  <si>
    <t>Estimate!!Total!!Oil and gas extraction</t>
  </si>
  <si>
    <t>B24134_009</t>
  </si>
  <si>
    <t>Estimate!!Total!!Coal mining</t>
  </si>
  <si>
    <t>B24134_010</t>
  </si>
  <si>
    <t>Estimate!!Total!!Metal ore mining</t>
  </si>
  <si>
    <t>B24134_011</t>
  </si>
  <si>
    <t>Estimate!!Total!!Nonmetallic mineral mining and quarrying</t>
  </si>
  <si>
    <t>B24134_012</t>
  </si>
  <si>
    <t>Estimate!!Total!!Support activities for mining</t>
  </si>
  <si>
    <t>B24134_013</t>
  </si>
  <si>
    <t>Estimate!!Total!!Electric power generation, transmission and distribution</t>
  </si>
  <si>
    <t>B24134_014</t>
  </si>
  <si>
    <t>Estimate!!Total!!Natural gas distribution</t>
  </si>
  <si>
    <t>B24134_015</t>
  </si>
  <si>
    <t>Estimate!!Total!!Electric and gas, and other combinations</t>
  </si>
  <si>
    <t>B24134_016</t>
  </si>
  <si>
    <t>Estimate!!Total!!Water supply and irrigation systems, and steam and air-conditioning supply</t>
  </si>
  <si>
    <t>B24134_017</t>
  </si>
  <si>
    <t>Estimate!!Total!!Sewage treatment facilities</t>
  </si>
  <si>
    <t>B24134_018</t>
  </si>
  <si>
    <t>Estimate!!Total!!Not specified utilities</t>
  </si>
  <si>
    <t>B24134_019</t>
  </si>
  <si>
    <t>Estimate!!Total!!Construction (the cleaning of buildings and dwellings is incidental during construction and immediately after construction)</t>
  </si>
  <si>
    <t>B24134_020</t>
  </si>
  <si>
    <t>Estimate!!Total!!Animal food, grain and oilseed milling</t>
  </si>
  <si>
    <t>B24134_021</t>
  </si>
  <si>
    <t>Estimate!!Total!!Sugar and confectionery products</t>
  </si>
  <si>
    <t>B24134_022</t>
  </si>
  <si>
    <t>Estimate!!Total!!Fruit and vegetable preserving and specialty food manufacturing</t>
  </si>
  <si>
    <t>B24134_023</t>
  </si>
  <si>
    <t>Estimate!!Total!!Dairy product manufacturing</t>
  </si>
  <si>
    <t>B24134_024</t>
  </si>
  <si>
    <t>Estimate!!Total!!Animal slaughtering and processing</t>
  </si>
  <si>
    <t>B24134_025</t>
  </si>
  <si>
    <t>Estimate!!Total!!Retail bakeries</t>
  </si>
  <si>
    <t>B24134_026</t>
  </si>
  <si>
    <t>Estimate!!Total!!Bakeries and tortilla manufacturing, except retail bakeries</t>
  </si>
  <si>
    <t>B24134_027</t>
  </si>
  <si>
    <t>Estimate!!Total!!Seafood and other miscellaneous foods, n.e.c.</t>
  </si>
  <si>
    <t>B24134_028</t>
  </si>
  <si>
    <t>Estimate!!Total!!Not specified food industries</t>
  </si>
  <si>
    <t>B24134_029</t>
  </si>
  <si>
    <t>Estimate!!Total!!Beverage manufacturing</t>
  </si>
  <si>
    <t>B24134_030</t>
  </si>
  <si>
    <t>Estimate!!Total!!Tobacco manufacturing</t>
  </si>
  <si>
    <t>B24134_031</t>
  </si>
  <si>
    <t>Estimate!!Total!!Fiber, yarn, and thread mills</t>
  </si>
  <si>
    <t>B24134_032</t>
  </si>
  <si>
    <t>Estimate!!Total!!Fabric mills, except knit fabric mills</t>
  </si>
  <si>
    <t>B24134_033</t>
  </si>
  <si>
    <t>Estimate!!Total!!Textile and fabric finishing and fabric coating mills</t>
  </si>
  <si>
    <t>B24134_034</t>
  </si>
  <si>
    <t>Estimate!!Total!!Carpet and rug mills</t>
  </si>
  <si>
    <t>B24134_035</t>
  </si>
  <si>
    <t>Estimate!!Total!!Textile product mills, except carpet and rug</t>
  </si>
  <si>
    <t>B24134_036</t>
  </si>
  <si>
    <t>Estimate!!Total!!Knit fabric mills, and apparel knitting mills</t>
  </si>
  <si>
    <t>B24134_037</t>
  </si>
  <si>
    <t>Estimate!!Total!!Cut and sew, and apparel accessories and other apparel manufacturing</t>
  </si>
  <si>
    <t>B24134_038</t>
  </si>
  <si>
    <t>Estimate!!Total!!Footwear manufacturing</t>
  </si>
  <si>
    <t>B24134_039</t>
  </si>
  <si>
    <t>Estimate!!Total!!Leather and hide tanning and finishing, and other leather and allied product manufacturing</t>
  </si>
  <si>
    <t>B24134_040</t>
  </si>
  <si>
    <t>Estimate!!Total!!Pulp, paper, and paperboard mills</t>
  </si>
  <si>
    <t>B24134_041</t>
  </si>
  <si>
    <t>Estimate!!Total!!Paperboard container manufacturing</t>
  </si>
  <si>
    <t>B24134_042</t>
  </si>
  <si>
    <t>Estimate!!Total!!Miscellaneous paper and pulp products manufacturing</t>
  </si>
  <si>
    <t>B24134_043</t>
  </si>
  <si>
    <t>Estimate!!Total!!Printing and related support activities</t>
  </si>
  <si>
    <t>B24134_044</t>
  </si>
  <si>
    <t>Estimate!!Total!!Petroleum refineries</t>
  </si>
  <si>
    <t>B24134_045</t>
  </si>
  <si>
    <t>Estimate!!Total!!Petroleum and coal products manufacturing, except petroleum refineries</t>
  </si>
  <si>
    <t>B24134_046</t>
  </si>
  <si>
    <t>Estimate!!Total!!Resin, synthetic rubber, and artificial and synthetic fibers and filaments manufacturing</t>
  </si>
  <si>
    <t>B24134_047</t>
  </si>
  <si>
    <t>Estimate!!Total!!Pesticide, fertilizer, and other agricultural chemical manufacturing</t>
  </si>
  <si>
    <t>B24134_048</t>
  </si>
  <si>
    <t>Estimate!!Total!!Pharmaceutical and medicine manufacturing</t>
  </si>
  <si>
    <t>B24134_049</t>
  </si>
  <si>
    <t>Estimate!!Total!!Paint, coating, and adhesive manufacturing</t>
  </si>
  <si>
    <t>B24134_050</t>
  </si>
  <si>
    <t>Estimate!!Total!!Soap, cleaning compound, and toilet preparation manufacturing</t>
  </si>
  <si>
    <t>B24134_051</t>
  </si>
  <si>
    <t>Estimate!!Total!!Basic chemical manufacturing, and other chemical product and preparation manufacturing</t>
  </si>
  <si>
    <t>B24134_052</t>
  </si>
  <si>
    <t>Estimate!!Total!!Plastics product manufacturing</t>
  </si>
  <si>
    <t>B24134_053</t>
  </si>
  <si>
    <t>Estimate!!Total!!Tire manufacturing</t>
  </si>
  <si>
    <t>B24134_054</t>
  </si>
  <si>
    <t>Estimate!!Total!!Rubber products, except tires, manufacturing</t>
  </si>
  <si>
    <t>B24134_055</t>
  </si>
  <si>
    <t>Estimate!!Total!!Pottery, ceramics, and plumbing fixture manufacturing</t>
  </si>
  <si>
    <t>B24134_056</t>
  </si>
  <si>
    <t>Estimate!!Total!!Clay building material and refractories manufacturing</t>
  </si>
  <si>
    <t>B24134_057</t>
  </si>
  <si>
    <t>Estimate!!Total!!Glass and glass product manufacturing</t>
  </si>
  <si>
    <t>B24134_058</t>
  </si>
  <si>
    <t>Estimate!!Total!!Cement, concrete, lime, and gypsum product manufacturing</t>
  </si>
  <si>
    <t>B24134_059</t>
  </si>
  <si>
    <t>Estimate!!Total!!Other nonmetallic mineral product manufacturing</t>
  </si>
  <si>
    <t>B24134_060</t>
  </si>
  <si>
    <t>Estimate!!Total!!Iron and steel mills and steel product manufacturing</t>
  </si>
  <si>
    <t>B24134_061</t>
  </si>
  <si>
    <t>Estimate!!Total!!Alumina and aluminum production and processing</t>
  </si>
  <si>
    <t>B24134_062</t>
  </si>
  <si>
    <t>Estimate!!Total!!Nonferrous metal (except aluminum) production and processing</t>
  </si>
  <si>
    <t>B24134_063</t>
  </si>
  <si>
    <t>Estimate!!Total!!Foundries</t>
  </si>
  <si>
    <t>B24134_064</t>
  </si>
  <si>
    <t>Estimate!!Total!!Forging and stamping</t>
  </si>
  <si>
    <t>B24134_065</t>
  </si>
  <si>
    <t>Estimate!!Total!!Cutlery and handtool manufacturing</t>
  </si>
  <si>
    <t>B24134_066</t>
  </si>
  <si>
    <t>Estimate!!Total!!Architectural and structural metals, and boiler, tank, and shipping container manufacturing</t>
  </si>
  <si>
    <t>B24134_067</t>
  </si>
  <si>
    <t>Estimate!!Total!!Machine shops; turned product; screw, nut, and bolt manufacturing</t>
  </si>
  <si>
    <t>B24134_068</t>
  </si>
  <si>
    <t>Estimate!!Total!!Coating, engraving, heat treating, and allied activities</t>
  </si>
  <si>
    <t>B24134_069</t>
  </si>
  <si>
    <t>Estimate!!Total!!Ordnance</t>
  </si>
  <si>
    <t>B24134_070</t>
  </si>
  <si>
    <t>Estimate!!Total!!Miscellaneous fabricated metal product manufacturing</t>
  </si>
  <si>
    <t>B24134_071</t>
  </si>
  <si>
    <t>Estimate!!Total!!Not specified metal industries</t>
  </si>
  <si>
    <t>B24134_072</t>
  </si>
  <si>
    <t>Estimate!!Total!!Agricultural implement manufacturing</t>
  </si>
  <si>
    <t>B24134_073</t>
  </si>
  <si>
    <t>Estimate!!Total!!Construction, and mining and oil and gas field machinery manufacturing</t>
  </si>
  <si>
    <t>B24134_074</t>
  </si>
  <si>
    <t>Estimate!!Total!!Commercial and service industry machinery manufacturing</t>
  </si>
  <si>
    <t>B24134_075</t>
  </si>
  <si>
    <t>Estimate!!Total!!Metalworking machinery manufacturing</t>
  </si>
  <si>
    <t>B24134_076</t>
  </si>
  <si>
    <t>Estimate!!Total!!Engine, turbine, and power transmission equipment manufacturing</t>
  </si>
  <si>
    <t>B24134_077</t>
  </si>
  <si>
    <t>Estimate!!Total!!Machinery manufacturing, n.e.c. or not specified</t>
  </si>
  <si>
    <t>B24134_078</t>
  </si>
  <si>
    <t>Estimate!!Total!!Computer and peripheral equipment manufacturing</t>
  </si>
  <si>
    <t>B24134_079</t>
  </si>
  <si>
    <t>Estimate!!Total!!Communications, audio, and video equipment manufacturing</t>
  </si>
  <si>
    <t>B24134_080</t>
  </si>
  <si>
    <t>Estimate!!Total!!Navigational, measuring, electromedical, and control instruments manufacturing</t>
  </si>
  <si>
    <t>B24134_081</t>
  </si>
  <si>
    <t>Estimate!!Total!!Semiconductor, magnetic and optical media, and other electronic component manufacturing</t>
  </si>
  <si>
    <t>B24134_082</t>
  </si>
  <si>
    <t>Estimate!!Total!!Household appliance manufacturing</t>
  </si>
  <si>
    <t>B24134_083</t>
  </si>
  <si>
    <t>Estimate!!Total!!Electric lighting and electrical equipment manufacturing, and other electrical component manufacturing, n.e.c.</t>
  </si>
  <si>
    <t>B24134_084</t>
  </si>
  <si>
    <t>Estimate!!Total!!Motor vehicles and motor vehicle equipment manufacturing</t>
  </si>
  <si>
    <t>B24134_085</t>
  </si>
  <si>
    <t>Estimate!!Total!!Aircraft, aircraft engine, and aircraft parts manufacturing</t>
  </si>
  <si>
    <t>B24134_086</t>
  </si>
  <si>
    <t>Estimate!!Total!!Guided missile and space vehicle and parts manufacturing</t>
  </si>
  <si>
    <t>B24134_087</t>
  </si>
  <si>
    <t>Estimate!!Total!!Railroad rolling stock manufacturing</t>
  </si>
  <si>
    <t>B24134_088</t>
  </si>
  <si>
    <t>Estimate!!Total!!Ship and boat building</t>
  </si>
  <si>
    <t>B24134_089</t>
  </si>
  <si>
    <t>Estimate!!Total!!Other transportation equipment manufacturing</t>
  </si>
  <si>
    <t>B24134_090</t>
  </si>
  <si>
    <t>Estimate!!Total!!Sawmills and wood preservation</t>
  </si>
  <si>
    <t>B24134_091</t>
  </si>
  <si>
    <t>Estimate!!Total!!Veneer, plywood, and engineered wood product manufacturing</t>
  </si>
  <si>
    <t>B24134_092</t>
  </si>
  <si>
    <t>Estimate!!Total!!Manufactured home (mobile home) and prefabricated wood building manufacturing</t>
  </si>
  <si>
    <t>B24134_093</t>
  </si>
  <si>
    <t>Estimate!!Total!!Miscellaneous wood product manufacturing</t>
  </si>
  <si>
    <t>B24134_094</t>
  </si>
  <si>
    <t>Estimate!!Total!!Furniture and related product manufacturing</t>
  </si>
  <si>
    <t>B24134_095</t>
  </si>
  <si>
    <t>Estimate!!Total!!Medical equipment and supplies manufacturing</t>
  </si>
  <si>
    <t>B24134_096</t>
  </si>
  <si>
    <t>Estimate!!Total!!Sporting and athletic goods, and doll, toy and game manufacturing</t>
  </si>
  <si>
    <t>B24134_097</t>
  </si>
  <si>
    <t>Estimate!!Total!!Miscellaneous manufacturing, n.e.c.</t>
  </si>
  <si>
    <t>B24134_098</t>
  </si>
  <si>
    <t>Estimate!!Total!!Not specified manufacturing industries</t>
  </si>
  <si>
    <t>B24134_099</t>
  </si>
  <si>
    <t>Estimate!!Total!!Motor vehicle and motor vehicle parts and supplies merchant wholesalers</t>
  </si>
  <si>
    <t>B24134_100</t>
  </si>
  <si>
    <t>Estimate!!Total!!Furniture and home furnishing merchant wholesalers</t>
  </si>
  <si>
    <t>B24134_101</t>
  </si>
  <si>
    <t>Estimate!!Total!!Lumber and other construction materials merchant wholesalers</t>
  </si>
  <si>
    <t>B24134_102</t>
  </si>
  <si>
    <t>Estimate!!Total!!Professional and commercial equipment and supplies merchant wholesalers</t>
  </si>
  <si>
    <t>B24134_103</t>
  </si>
  <si>
    <t>Estimate!!Total!!Metal and mineral, except petroleum, merchant wholesalers</t>
  </si>
  <si>
    <t>B24134_104</t>
  </si>
  <si>
    <t>Estimate!!Total!!Household appliances and electrical and electronic goods merchant wholesalers</t>
  </si>
  <si>
    <t>B24134_105</t>
  </si>
  <si>
    <t>Estimate!!Total!!Hardware, and plumbing and heating equipment, and supplies merchant wholesalers</t>
  </si>
  <si>
    <t>B24134_106</t>
  </si>
  <si>
    <t>Estimate!!Total!!Machinery, equipment, and supplies merchant wholesalers</t>
  </si>
  <si>
    <t>B24134_107</t>
  </si>
  <si>
    <t>Estimate!!Total!!Recyclable material merchant wholesalers</t>
  </si>
  <si>
    <t>B24134_108</t>
  </si>
  <si>
    <t>Estimate!!Total!!Miscellaneous durable goods, except recyclable material, merchant wholesalers</t>
  </si>
  <si>
    <t>B24134_109</t>
  </si>
  <si>
    <t>Estimate!!Total!!Paper and paper product merchant wholesalers</t>
  </si>
  <si>
    <t>B24134_110</t>
  </si>
  <si>
    <t>Estimate!!Total!!Drugs, druggists' sundries, and chemical and allied products merchant wholesalers</t>
  </si>
  <si>
    <t>B24134_111</t>
  </si>
  <si>
    <t>Estimate!!Total!!Apparel, piece goods, and notions merchant wholesalers</t>
  </si>
  <si>
    <t>B24134_112</t>
  </si>
  <si>
    <t>Estimate!!Total!!Grocery and related product merchant wholesalers</t>
  </si>
  <si>
    <t>B24134_113</t>
  </si>
  <si>
    <t>Estimate!!Total!!Farm product raw material merchant wholesalers</t>
  </si>
  <si>
    <t>B24134_114</t>
  </si>
  <si>
    <t>Estimate!!Total!!Petroleum and petroleum products merchant wholesalers</t>
  </si>
  <si>
    <t>B24134_115</t>
  </si>
  <si>
    <t>Estimate!!Total!!Beer, wine, and distilled alcoholic beverage merchant wholesalers</t>
  </si>
  <si>
    <t>B24134_116</t>
  </si>
  <si>
    <t>Estimate!!Total!!Farm supplies merchant wholesalers</t>
  </si>
  <si>
    <t>B24134_117</t>
  </si>
  <si>
    <t>Estimate!!Total!!Miscellaneous nondurable goods merchant, except farm supplies, wholesalers</t>
  </si>
  <si>
    <t>B24134_118</t>
  </si>
  <si>
    <t>Estimate!!Total!!Wholesale trade agents and brokers</t>
  </si>
  <si>
    <t>B24134_119</t>
  </si>
  <si>
    <t>Estimate!!Total!!Not specified wholesale trade</t>
  </si>
  <si>
    <t>B24134_120</t>
  </si>
  <si>
    <t>Estimate!!Total!!Automobile dealers</t>
  </si>
  <si>
    <t>B24134_121</t>
  </si>
  <si>
    <t>Estimate!!Total!!Other motor vehicle dealers</t>
  </si>
  <si>
    <t>B24134_122</t>
  </si>
  <si>
    <t>Estimate!!Total!!Automotive parts, accessories, and tire stores</t>
  </si>
  <si>
    <t>B24134_123</t>
  </si>
  <si>
    <t>Estimate!!Total!!Furniture and home furnishings stores</t>
  </si>
  <si>
    <t>B24134_124</t>
  </si>
  <si>
    <t>Estimate!!Total!!Electronics and appliance retailers</t>
  </si>
  <si>
    <t>B24134_125</t>
  </si>
  <si>
    <t>Estimate!!Total!!Building material and supplies dealers, except hardware retailers</t>
  </si>
  <si>
    <t>B24134_126</t>
  </si>
  <si>
    <t>Estimate!!Total!!Hardware retailers</t>
  </si>
  <si>
    <t>B24134_127</t>
  </si>
  <si>
    <t>Estimate!!Total!!Lawn and garden equipment and supplies retailers</t>
  </si>
  <si>
    <t>B24134_128</t>
  </si>
  <si>
    <t>Estimate!!Total!!Supermarkets and other grocery (except convenience) retailers</t>
  </si>
  <si>
    <t>B24134_129</t>
  </si>
  <si>
    <t>Estimate!!Total!!Convenience retailers and vending machine operators</t>
  </si>
  <si>
    <t>B24134_130</t>
  </si>
  <si>
    <t>Estimate!!Total!!Specialty food retailers</t>
  </si>
  <si>
    <t>B24134_131</t>
  </si>
  <si>
    <t>Estimate!!Total!!Beer, wine, and liquor retailers</t>
  </si>
  <si>
    <t>B24134_132</t>
  </si>
  <si>
    <t>Estimate!!Total!!Pharmacies and drug retailers</t>
  </si>
  <si>
    <t>B24134_133</t>
  </si>
  <si>
    <t>Estimate!!Total!!Health and personal care, except pharmacies and drug, retailers</t>
  </si>
  <si>
    <t>B24134_134</t>
  </si>
  <si>
    <t>Estimate!!Total!!Gasoline stations</t>
  </si>
  <si>
    <t>B24134_135</t>
  </si>
  <si>
    <t>Estimate!!Total!!Clothing and clothing accessories retailers</t>
  </si>
  <si>
    <t>B24134_136</t>
  </si>
  <si>
    <t>Estimate!!Total!!Shoe retailers</t>
  </si>
  <si>
    <t>B24134_137</t>
  </si>
  <si>
    <t>Estimate!!Total!!Jewelry, luggage, and leather goods retailers</t>
  </si>
  <si>
    <t>B24134_138</t>
  </si>
  <si>
    <t>Estimate!!Total!!Sporting goods, and hobby, toy, and game retailers</t>
  </si>
  <si>
    <t>B24134_139</t>
  </si>
  <si>
    <t>Estimate!!Total!!Sewing, needlework, and piece goods retailers</t>
  </si>
  <si>
    <t>B24134_140</t>
  </si>
  <si>
    <t>Estimate!!Total!!Musical instrument and supplies retailers</t>
  </si>
  <si>
    <t>B24134_141</t>
  </si>
  <si>
    <t>Estimate!!Total!!Book retailers and news dealers</t>
  </si>
  <si>
    <t>B24134_142</t>
  </si>
  <si>
    <t>Estimate!!Total!!Department stores</t>
  </si>
  <si>
    <t>B24134_143</t>
  </si>
  <si>
    <t>Estimate!!Total!!Warehouse clubs, supercenters, and other general merchandise retailers</t>
  </si>
  <si>
    <t>B24134_144</t>
  </si>
  <si>
    <t>Estimate!!Total!!Florists</t>
  </si>
  <si>
    <t>B24134_145</t>
  </si>
  <si>
    <t>Estimate!!Total!!Office supplies and stationery retailers</t>
  </si>
  <si>
    <t>B24134_146</t>
  </si>
  <si>
    <t>Estimate!!Total!!Used merchandise retailers</t>
  </si>
  <si>
    <t>B24134_147</t>
  </si>
  <si>
    <t>Estimate!!Total!!Gift, novelty, and souvenir retailers</t>
  </si>
  <si>
    <t>B24134_148</t>
  </si>
  <si>
    <t>Estimate!!Total!!Other miscellaneous retailers</t>
  </si>
  <si>
    <t>B24134_149</t>
  </si>
  <si>
    <t>Estimate!!Total!!Fuel dealers</t>
  </si>
  <si>
    <t>B24134_150</t>
  </si>
  <si>
    <t>Estimate!!Total!!Not specified retail trade</t>
  </si>
  <si>
    <t>B24134_151</t>
  </si>
  <si>
    <t>Estimate!!Total!!Air transportation</t>
  </si>
  <si>
    <t>B24134_152</t>
  </si>
  <si>
    <t>Estimate!!Total!!Rail transportation</t>
  </si>
  <si>
    <t>B24134_153</t>
  </si>
  <si>
    <t>Estimate!!Total!!Water transportation</t>
  </si>
  <si>
    <t>B24134_154</t>
  </si>
  <si>
    <t>Estimate!!Total!!Truck transportation</t>
  </si>
  <si>
    <t>B24134_155</t>
  </si>
  <si>
    <t>Estimate!!Total!!Transit and ground passenger transportation, except taxi and limousine service</t>
  </si>
  <si>
    <t>B24134_156</t>
  </si>
  <si>
    <t>Estimate!!Total!!Taxi and limousine service</t>
  </si>
  <si>
    <t>B24134_157</t>
  </si>
  <si>
    <t>Estimate!!Total!!Pipeline transportation</t>
  </si>
  <si>
    <t>B24134_158</t>
  </si>
  <si>
    <t>Estimate!!Total!!Scenic and sightseeing transportation</t>
  </si>
  <si>
    <t>B24134_159</t>
  </si>
  <si>
    <t>Estimate!!Total!!Support activities for transportation</t>
  </si>
  <si>
    <t>B24134_160</t>
  </si>
  <si>
    <t>Estimate!!Total!!Postal Service</t>
  </si>
  <si>
    <t>B24134_161</t>
  </si>
  <si>
    <t>Estimate!!Total!!Couriers and messengers</t>
  </si>
  <si>
    <t>B24134_162</t>
  </si>
  <si>
    <t>Estimate!!Total!!Warehousing and storage</t>
  </si>
  <si>
    <t>B24134_163</t>
  </si>
  <si>
    <t>Estimate!!Total!!Newspaper publishers</t>
  </si>
  <si>
    <t>B24134_164</t>
  </si>
  <si>
    <t>Estimate!!Total!!Periodical, book, and directory and mailing list, and other publishers</t>
  </si>
  <si>
    <t>B24134_165</t>
  </si>
  <si>
    <t>Estimate!!Total!!Software publishers</t>
  </si>
  <si>
    <t>B24134_166</t>
  </si>
  <si>
    <t>Estimate!!Total!!Motion pictures and video industries</t>
  </si>
  <si>
    <t>B24134_167</t>
  </si>
  <si>
    <t>Estimate!!Total!!Sound recording industries</t>
  </si>
  <si>
    <t>B24134_168</t>
  </si>
  <si>
    <t>Estimate!!Total!!Broadcasting and content providers</t>
  </si>
  <si>
    <t>B24134_169</t>
  </si>
  <si>
    <t>Estimate!!Total!!Wired telecommunications carriers</t>
  </si>
  <si>
    <t>B24134_170</t>
  </si>
  <si>
    <t>Estimate!!Total!!Telecommunications, except wired telecommunications carriers</t>
  </si>
  <si>
    <t>B24134_171</t>
  </si>
  <si>
    <t>Estimate!!Total!!Computing infrastructure providers, data processing, web hosting, and related services</t>
  </si>
  <si>
    <t>B24134_172</t>
  </si>
  <si>
    <t>Estimate!!Total!!Libraries and archives</t>
  </si>
  <si>
    <t>B24134_173</t>
  </si>
  <si>
    <t>Estimate!!Total!!Web search portals and all other information services</t>
  </si>
  <si>
    <t>B24134_174</t>
  </si>
  <si>
    <t>Estimate!!Total!!Monetary authorities-central bank, and commercial banking</t>
  </si>
  <si>
    <t>B24134_175</t>
  </si>
  <si>
    <t>Estimate!!Total!!Credit unions, and savings institutions and other depository credit intermediation</t>
  </si>
  <si>
    <t>B24134_176</t>
  </si>
  <si>
    <t>Estimate!!Total!!Nondepository credit intermediation and related activities</t>
  </si>
  <si>
    <t>B24134_177</t>
  </si>
  <si>
    <t>Estimate!!Total!!Securities, commodities, funds, trusts, and other financial investments</t>
  </si>
  <si>
    <t>B24134_178</t>
  </si>
  <si>
    <t>Estimate!!Total!!Insurance carriers</t>
  </si>
  <si>
    <t>B24134_179</t>
  </si>
  <si>
    <t>Estimate!!Total!!Agencies, brokerages, and other insurance related activities</t>
  </si>
  <si>
    <t>B24134_180</t>
  </si>
  <si>
    <t>Estimate!!Total!!Lessors of real estate, and offices of real estate agents and brokers</t>
  </si>
  <si>
    <t>B24134_181</t>
  </si>
  <si>
    <t>Estimate!!Total!!Activities related to real estate</t>
  </si>
  <si>
    <t>B24134_182</t>
  </si>
  <si>
    <t>Estimate!!Total!!Automotive equipment rental and leasing</t>
  </si>
  <si>
    <t>B24134_183</t>
  </si>
  <si>
    <t>Estimate!!Total!!Consumer goods rental, and general rental centers</t>
  </si>
  <si>
    <t>B24134_184</t>
  </si>
  <si>
    <t>Estimate!!Total!!Commercial and industrial machinery and equipment, and nonfinancial intangible assets rental and leasing</t>
  </si>
  <si>
    <t>B24134_185</t>
  </si>
  <si>
    <t>Estimate!!Total!!Legal services</t>
  </si>
  <si>
    <t>B24134_186</t>
  </si>
  <si>
    <t>Estimate!!Total!!Accounting, tax preparation, bookkeeping, and payroll services</t>
  </si>
  <si>
    <t>B24134_187</t>
  </si>
  <si>
    <t>Estimate!!Total!!Architectural, engineering, and related services</t>
  </si>
  <si>
    <t>B24134_188</t>
  </si>
  <si>
    <t>Estimate!!Total!!Specialized design services</t>
  </si>
  <si>
    <t>B24134_189</t>
  </si>
  <si>
    <t>Estimate!!Total!!Computer systems design and related services</t>
  </si>
  <si>
    <t>B24134_190</t>
  </si>
  <si>
    <t>Estimate!!Total!!Management, scientific, and technical consulting services</t>
  </si>
  <si>
    <t>B24134_191</t>
  </si>
  <si>
    <t>Estimate!!Total!!Scientific research and development services</t>
  </si>
  <si>
    <t>B24134_192</t>
  </si>
  <si>
    <t>Estimate!!Total!!Advertising, public relations, and related services</t>
  </si>
  <si>
    <t>B24134_193</t>
  </si>
  <si>
    <t>Estimate!!Total!!Veterinary services</t>
  </si>
  <si>
    <t>B24134_194</t>
  </si>
  <si>
    <t>Estimate!!Total!!Other professional, scientific, and technical, except veterinary, services</t>
  </si>
  <si>
    <t>B24134_195</t>
  </si>
  <si>
    <t>Estimate!!Total!!Management of companies and enterprises</t>
  </si>
  <si>
    <t>B24134_196</t>
  </si>
  <si>
    <t>Estimate!!Total!!Employment services</t>
  </si>
  <si>
    <t>B24134_197</t>
  </si>
  <si>
    <t>Estimate!!Total!!Business support services</t>
  </si>
  <si>
    <t>B24134_198</t>
  </si>
  <si>
    <t>Estimate!!Total!!Travel arrangements and reservation services</t>
  </si>
  <si>
    <t>B24134_199</t>
  </si>
  <si>
    <t>Estimate!!Total!!Investigation and security services</t>
  </si>
  <si>
    <t>B24134_200</t>
  </si>
  <si>
    <t>Estimate!!Total!!Services to buildings and dwellings, except landscaping services</t>
  </si>
  <si>
    <t>B24134_201</t>
  </si>
  <si>
    <t>Estimate!!Total!!Landscaping services</t>
  </si>
  <si>
    <t>B24134_202</t>
  </si>
  <si>
    <t>Estimate!!Total!!Other administrative and other support services</t>
  </si>
  <si>
    <t>B24134_203</t>
  </si>
  <si>
    <t>Estimate!!Total!!Waste management and remediation services</t>
  </si>
  <si>
    <t>B24134_204</t>
  </si>
  <si>
    <t>Estimate!!Total!!Elementary and secondary schools</t>
  </si>
  <si>
    <t>B24134_205</t>
  </si>
  <si>
    <t>Estimate!!Total!!Junior colleges, colleges, universities, and professional schools</t>
  </si>
  <si>
    <t>B24134_206</t>
  </si>
  <si>
    <t>Estimate!!Total!!Business, trade and technical schools, and computer and management training</t>
  </si>
  <si>
    <t>B24134_207</t>
  </si>
  <si>
    <t>Estimate!!Total!!Other schools and instruction, and educational support services</t>
  </si>
  <si>
    <t>B24134_208</t>
  </si>
  <si>
    <t>Estimate!!Total!!Offices of physicians</t>
  </si>
  <si>
    <t>B24134_209</t>
  </si>
  <si>
    <t>Estimate!!Total!!Offices of dentists</t>
  </si>
  <si>
    <t>B24134_210</t>
  </si>
  <si>
    <t>Estimate!!Total!!Offices of chiropractors</t>
  </si>
  <si>
    <t>B24134_211</t>
  </si>
  <si>
    <t>Estimate!!Total!!Offices of optometrists</t>
  </si>
  <si>
    <t>B24134_212</t>
  </si>
  <si>
    <t>Estimate!!Total!!Offices of other health practitioners</t>
  </si>
  <si>
    <t>B24134_213</t>
  </si>
  <si>
    <t>Estimate!!Total!!Outpatient care centers</t>
  </si>
  <si>
    <t>B24134_214</t>
  </si>
  <si>
    <t>Estimate!!Total!!Home health care services</t>
  </si>
  <si>
    <t>B24134_215</t>
  </si>
  <si>
    <t>Estimate!!Total!!Other health care services</t>
  </si>
  <si>
    <t>B24134_216</t>
  </si>
  <si>
    <t>Estimate!!Total!!General medical and surgical hospitals, and specialty (except psychiatric and substance abuse) hospitals</t>
  </si>
  <si>
    <t>B24134_217</t>
  </si>
  <si>
    <t>Estimate!!Total!!Psychiatric and substance abuse hospitals</t>
  </si>
  <si>
    <t>B24134_218</t>
  </si>
  <si>
    <t>Estimate!!Total!!Nursing care facilities (skilled nursing facilities)</t>
  </si>
  <si>
    <t>B24134_219</t>
  </si>
  <si>
    <t>Estimate!!Total!!Residential care facilities, except skilled nursing facilities</t>
  </si>
  <si>
    <t>B24134_220</t>
  </si>
  <si>
    <t>Estimate!!Total!!Individual and family services</t>
  </si>
  <si>
    <t>B24134_221</t>
  </si>
  <si>
    <t>Estimate!!Total!!Community food and housing, and emergency and other relief services</t>
  </si>
  <si>
    <t>B24134_222</t>
  </si>
  <si>
    <t>Estimate!!Total!!Vocational rehabilitation services</t>
  </si>
  <si>
    <t>B24134_223</t>
  </si>
  <si>
    <t>Estimate!!Total!!Child care services</t>
  </si>
  <si>
    <t>B24134_224</t>
  </si>
  <si>
    <t>Estimate!!Total!!Performing arts companies</t>
  </si>
  <si>
    <t>B24134_225</t>
  </si>
  <si>
    <t>Estimate!!Total!!Spectator sports</t>
  </si>
  <si>
    <t>B24134_226</t>
  </si>
  <si>
    <t>Estimate!!Total!!Promoters of performing arts, sports, and similar events, agents and managers for artists, athletes, entertainers, and other public figures</t>
  </si>
  <si>
    <t>B24134_227</t>
  </si>
  <si>
    <t>Estimate!!Total!!Independent artists, writers, and performers</t>
  </si>
  <si>
    <t>B24134_228</t>
  </si>
  <si>
    <t>Estimate!!Total!!Museums, historical sites, and similar institutions</t>
  </si>
  <si>
    <t>B24134_229</t>
  </si>
  <si>
    <t>Estimate!!Total!!Bowling centers</t>
  </si>
  <si>
    <t>B24134_230</t>
  </si>
  <si>
    <t>Estimate!!Total!!Other amusement, gambling, and recreation industries</t>
  </si>
  <si>
    <t>B24134_231</t>
  </si>
  <si>
    <t>Estimate!!Total!!Traveler accommodation</t>
  </si>
  <si>
    <t>B24134_232</t>
  </si>
  <si>
    <t>Estimate!!Total!!Recreational vehicle parks and camps, and rooming and boarding houses, dormitories, and workers' camps</t>
  </si>
  <si>
    <t>B24134_233</t>
  </si>
  <si>
    <t>Estimate!!Total!!Food services and drinking places, except alcoholic beverages</t>
  </si>
  <si>
    <t>B24134_234</t>
  </si>
  <si>
    <t>Estimate!!Total!!Drinking places (alcoholic beverages)</t>
  </si>
  <si>
    <t>B24134_235</t>
  </si>
  <si>
    <t>Estimate!!Total!!Automotive repair and maintenance, except car washes</t>
  </si>
  <si>
    <t>B24134_236</t>
  </si>
  <si>
    <t>Estimate!!Total!!Car washes</t>
  </si>
  <si>
    <t>B24134_237</t>
  </si>
  <si>
    <t>Estimate!!Total!!Electronic and precision equipment repair and maintenance</t>
  </si>
  <si>
    <t>B24134_238</t>
  </si>
  <si>
    <t>Estimate!!Total!!Commercial and industrial machinery and equipment repair and maintenance</t>
  </si>
  <si>
    <t>B24134_239</t>
  </si>
  <si>
    <t>Estimate!!Total!!Personal and household goods repair and maintenance</t>
  </si>
  <si>
    <t>B24134_240</t>
  </si>
  <si>
    <t>Estimate!!Total!!Barber shops</t>
  </si>
  <si>
    <t>B24134_241</t>
  </si>
  <si>
    <t>Estimate!!Total!!Beauty salons</t>
  </si>
  <si>
    <t>B24134_242</t>
  </si>
  <si>
    <t>Estimate!!Total!!Nail salons and other personal care services</t>
  </si>
  <si>
    <t>B24134_243</t>
  </si>
  <si>
    <t>Estimate!!Total!!Drycleaning and laundry services</t>
  </si>
  <si>
    <t>B24134_244</t>
  </si>
  <si>
    <t>Estimate!!Total!!Death care services</t>
  </si>
  <si>
    <t>B24134_245</t>
  </si>
  <si>
    <t>Estimate!!Total!!Other personal services</t>
  </si>
  <si>
    <t>B24134_246</t>
  </si>
  <si>
    <t>Estimate!!Total!!Religious organizations</t>
  </si>
  <si>
    <t>B24134_247</t>
  </si>
  <si>
    <t>Estimate!!Total!!Civic, social, advocacy organizations, and grantmaking and giving services</t>
  </si>
  <si>
    <t>B24134_248</t>
  </si>
  <si>
    <t>Estimate!!Total!!Labor unions and similar labor organizations</t>
  </si>
  <si>
    <t>B24134_249</t>
  </si>
  <si>
    <t>Estimate!!Total!!Business, professional, political, and similar organizations</t>
  </si>
  <si>
    <t>B24134_250</t>
  </si>
  <si>
    <t>Estimate!!Total!!Private households</t>
  </si>
  <si>
    <t>B24134_251</t>
  </si>
  <si>
    <t>Estimate!!Total!!Executive offices and legislative bodies</t>
  </si>
  <si>
    <t>B24134_252</t>
  </si>
  <si>
    <t>Estimate!!Total!!Public finance activities</t>
  </si>
  <si>
    <t>B24134_253</t>
  </si>
  <si>
    <t>Estimate!!Total!!Other general government and support</t>
  </si>
  <si>
    <t>B24134_254</t>
  </si>
  <si>
    <t>Estimate!!Total!!Justice, public order, and safety activities</t>
  </si>
  <si>
    <t>B24134_255</t>
  </si>
  <si>
    <t>Estimate!!Total!!Administration of human resource programs</t>
  </si>
  <si>
    <t>B24134_256</t>
  </si>
  <si>
    <t>Estimate!!Total!!Administration of environmental quality, and housing programs, urban planning and community development</t>
  </si>
  <si>
    <t>B24134_257</t>
  </si>
  <si>
    <t>Estimate!!Total!!Administration of economic programs and space research and technology</t>
  </si>
  <si>
    <t>B24134_258</t>
  </si>
  <si>
    <t>Estimate!!Total!!National security and international affairs</t>
  </si>
  <si>
    <t>B24135_002</t>
  </si>
  <si>
    <t>B24135_003</t>
  </si>
  <si>
    <t>B24135_004</t>
  </si>
  <si>
    <t>B24135_005</t>
  </si>
  <si>
    <t>B24135_006</t>
  </si>
  <si>
    <t>B24135_007</t>
  </si>
  <si>
    <t>B24135_008</t>
  </si>
  <si>
    <t>B24135_009</t>
  </si>
  <si>
    <t>B24135_010</t>
  </si>
  <si>
    <t>B24135_011</t>
  </si>
  <si>
    <t>B24135_012</t>
  </si>
  <si>
    <t>B24135_013</t>
  </si>
  <si>
    <t>B24135_014</t>
  </si>
  <si>
    <t>B24135_015</t>
  </si>
  <si>
    <t>B24135_016</t>
  </si>
  <si>
    <t>B24135_017</t>
  </si>
  <si>
    <t>B24135_018</t>
  </si>
  <si>
    <t>B24135_019</t>
  </si>
  <si>
    <t>B24135_020</t>
  </si>
  <si>
    <t>B24135_021</t>
  </si>
  <si>
    <t>B24135_022</t>
  </si>
  <si>
    <t>B24135_023</t>
  </si>
  <si>
    <t>B24135_024</t>
  </si>
  <si>
    <t>B24135_025</t>
  </si>
  <si>
    <t>B24135_026</t>
  </si>
  <si>
    <t>B24135_027</t>
  </si>
  <si>
    <t>B24135_028</t>
  </si>
  <si>
    <t>B24135_029</t>
  </si>
  <si>
    <t>B24135_030</t>
  </si>
  <si>
    <t>B24135_031</t>
  </si>
  <si>
    <t>B24135_032</t>
  </si>
  <si>
    <t>B24135_033</t>
  </si>
  <si>
    <t>B24135_034</t>
  </si>
  <si>
    <t>B24135_035</t>
  </si>
  <si>
    <t>B24135_036</t>
  </si>
  <si>
    <t>B24135_037</t>
  </si>
  <si>
    <t>B24135_038</t>
  </si>
  <si>
    <t>B24135_039</t>
  </si>
  <si>
    <t>B24135_040</t>
  </si>
  <si>
    <t>B24135_041</t>
  </si>
  <si>
    <t>B24135_042</t>
  </si>
  <si>
    <t>B24135_043</t>
  </si>
  <si>
    <t>B24135_044</t>
  </si>
  <si>
    <t>B24135_045</t>
  </si>
  <si>
    <t>B24135_046</t>
  </si>
  <si>
    <t>B24135_047</t>
  </si>
  <si>
    <t>B24135_048</t>
  </si>
  <si>
    <t>B24135_049</t>
  </si>
  <si>
    <t>B24135_050</t>
  </si>
  <si>
    <t>B24135_051</t>
  </si>
  <si>
    <t>B24135_052</t>
  </si>
  <si>
    <t>B24135_053</t>
  </si>
  <si>
    <t>B24135_054</t>
  </si>
  <si>
    <t>B24135_055</t>
  </si>
  <si>
    <t>B24135_056</t>
  </si>
  <si>
    <t>B24135_057</t>
  </si>
  <si>
    <t>B24135_058</t>
  </si>
  <si>
    <t>B24135_059</t>
  </si>
  <si>
    <t>B24135_060</t>
  </si>
  <si>
    <t>B24135_061</t>
  </si>
  <si>
    <t>B24135_062</t>
  </si>
  <si>
    <t>B24135_063</t>
  </si>
  <si>
    <t>B24135_064</t>
  </si>
  <si>
    <t>B24135_065</t>
  </si>
  <si>
    <t>B24135_066</t>
  </si>
  <si>
    <t>B24135_067</t>
  </si>
  <si>
    <t>B24135_068</t>
  </si>
  <si>
    <t>B24135_069</t>
  </si>
  <si>
    <t>B24135_070</t>
  </si>
  <si>
    <t>B24135_071</t>
  </si>
  <si>
    <t>B24135_072</t>
  </si>
  <si>
    <t>B24135_073</t>
  </si>
  <si>
    <t>B24135_074</t>
  </si>
  <si>
    <t>B24135_075</t>
  </si>
  <si>
    <t>B24135_076</t>
  </si>
  <si>
    <t>B24135_077</t>
  </si>
  <si>
    <t>B24135_078</t>
  </si>
  <si>
    <t>B24135_079</t>
  </si>
  <si>
    <t>B24135_080</t>
  </si>
  <si>
    <t>B24135_081</t>
  </si>
  <si>
    <t>B24135_082</t>
  </si>
  <si>
    <t>B24135_083</t>
  </si>
  <si>
    <t>B24135_084</t>
  </si>
  <si>
    <t>B24135_085</t>
  </si>
  <si>
    <t>B24135_086</t>
  </si>
  <si>
    <t>B24135_087</t>
  </si>
  <si>
    <t>B24135_088</t>
  </si>
  <si>
    <t>B24135_089</t>
  </si>
  <si>
    <t>B24135_090</t>
  </si>
  <si>
    <t>B24135_091</t>
  </si>
  <si>
    <t>B24135_092</t>
  </si>
  <si>
    <t>B24135_093</t>
  </si>
  <si>
    <t>B24135_094</t>
  </si>
  <si>
    <t>B24135_095</t>
  </si>
  <si>
    <t>B24135_096</t>
  </si>
  <si>
    <t>B24135_097</t>
  </si>
  <si>
    <t>B24135_098</t>
  </si>
  <si>
    <t>B24135_099</t>
  </si>
  <si>
    <t>B24135_100</t>
  </si>
  <si>
    <t>B24135_101</t>
  </si>
  <si>
    <t>B24135_102</t>
  </si>
  <si>
    <t>B24135_103</t>
  </si>
  <si>
    <t>B24135_104</t>
  </si>
  <si>
    <t>B24135_105</t>
  </si>
  <si>
    <t>B24135_106</t>
  </si>
  <si>
    <t>B24135_107</t>
  </si>
  <si>
    <t>B24135_108</t>
  </si>
  <si>
    <t>B24135_109</t>
  </si>
  <si>
    <t>B24135_110</t>
  </si>
  <si>
    <t>B24135_111</t>
  </si>
  <si>
    <t>B24135_112</t>
  </si>
  <si>
    <t>B24135_113</t>
  </si>
  <si>
    <t>B24135_114</t>
  </si>
  <si>
    <t>B24135_115</t>
  </si>
  <si>
    <t>B24135_116</t>
  </si>
  <si>
    <t>B24135_117</t>
  </si>
  <si>
    <t>B24135_118</t>
  </si>
  <si>
    <t>B24135_119</t>
  </si>
  <si>
    <t>B24135_120</t>
  </si>
  <si>
    <t>B24135_121</t>
  </si>
  <si>
    <t>B24135_122</t>
  </si>
  <si>
    <t>B24135_123</t>
  </si>
  <si>
    <t>B24135_124</t>
  </si>
  <si>
    <t>B24135_125</t>
  </si>
  <si>
    <t>B24135_126</t>
  </si>
  <si>
    <t>B24135_127</t>
  </si>
  <si>
    <t>B24135_128</t>
  </si>
  <si>
    <t>B24135_129</t>
  </si>
  <si>
    <t>B24135_130</t>
  </si>
  <si>
    <t>B24135_131</t>
  </si>
  <si>
    <t>B24135_132</t>
  </si>
  <si>
    <t>B24135_133</t>
  </si>
  <si>
    <t>B24135_134</t>
  </si>
  <si>
    <t>B24135_135</t>
  </si>
  <si>
    <t>B24135_136</t>
  </si>
  <si>
    <t>B24135_137</t>
  </si>
  <si>
    <t>B24135_138</t>
  </si>
  <si>
    <t>B24135_139</t>
  </si>
  <si>
    <t>B24135_140</t>
  </si>
  <si>
    <t>B24135_141</t>
  </si>
  <si>
    <t>B24135_142</t>
  </si>
  <si>
    <t>B24135_143</t>
  </si>
  <si>
    <t>B24135_144</t>
  </si>
  <si>
    <t>B24135_145</t>
  </si>
  <si>
    <t>B24135_146</t>
  </si>
  <si>
    <t>B24135_147</t>
  </si>
  <si>
    <t>B24135_148</t>
  </si>
  <si>
    <t>B24135_149</t>
  </si>
  <si>
    <t>B24135_150</t>
  </si>
  <si>
    <t>B24135_151</t>
  </si>
  <si>
    <t>B24135_152</t>
  </si>
  <si>
    <t>B24135_153</t>
  </si>
  <si>
    <t>B24135_154</t>
  </si>
  <si>
    <t>B24135_155</t>
  </si>
  <si>
    <t>B24135_156</t>
  </si>
  <si>
    <t>B24135_157</t>
  </si>
  <si>
    <t>B24135_158</t>
  </si>
  <si>
    <t>B24135_159</t>
  </si>
  <si>
    <t>B24135_160</t>
  </si>
  <si>
    <t>B24135_161</t>
  </si>
  <si>
    <t>B24135_162</t>
  </si>
  <si>
    <t>B24135_163</t>
  </si>
  <si>
    <t>B24135_164</t>
  </si>
  <si>
    <t>B24135_165</t>
  </si>
  <si>
    <t>B24135_166</t>
  </si>
  <si>
    <t>B24135_167</t>
  </si>
  <si>
    <t>B24135_168</t>
  </si>
  <si>
    <t>B24135_169</t>
  </si>
  <si>
    <t>B24135_170</t>
  </si>
  <si>
    <t>B24135_171</t>
  </si>
  <si>
    <t>B24135_172</t>
  </si>
  <si>
    <t>B24135_173</t>
  </si>
  <si>
    <t>B24135_174</t>
  </si>
  <si>
    <t>B24135_175</t>
  </si>
  <si>
    <t>B24135_176</t>
  </si>
  <si>
    <t>B24135_177</t>
  </si>
  <si>
    <t>B24135_178</t>
  </si>
  <si>
    <t>B24135_179</t>
  </si>
  <si>
    <t>B24135_180</t>
  </si>
  <si>
    <t>B24135_181</t>
  </si>
  <si>
    <t>B24135_182</t>
  </si>
  <si>
    <t>B24135_183</t>
  </si>
  <si>
    <t>B24135_184</t>
  </si>
  <si>
    <t>B24135_185</t>
  </si>
  <si>
    <t>B24135_186</t>
  </si>
  <si>
    <t>B24135_187</t>
  </si>
  <si>
    <t>B24135_188</t>
  </si>
  <si>
    <t>B24135_189</t>
  </si>
  <si>
    <t>B24135_190</t>
  </si>
  <si>
    <t>B24135_191</t>
  </si>
  <si>
    <t>B24135_192</t>
  </si>
  <si>
    <t>B24135_193</t>
  </si>
  <si>
    <t>B24135_194</t>
  </si>
  <si>
    <t>B24135_195</t>
  </si>
  <si>
    <t>B24135_196</t>
  </si>
  <si>
    <t>B24135_197</t>
  </si>
  <si>
    <t>B24135_198</t>
  </si>
  <si>
    <t>B24135_199</t>
  </si>
  <si>
    <t>B24135_200</t>
  </si>
  <si>
    <t>B24135_201</t>
  </si>
  <si>
    <t>B24135_202</t>
  </si>
  <si>
    <t>B24135_203</t>
  </si>
  <si>
    <t>B24135_204</t>
  </si>
  <si>
    <t>B24135_205</t>
  </si>
  <si>
    <t>B24135_206</t>
  </si>
  <si>
    <t>B24135_207</t>
  </si>
  <si>
    <t>B24135_208</t>
  </si>
  <si>
    <t>B24135_209</t>
  </si>
  <si>
    <t>B24135_210</t>
  </si>
  <si>
    <t>B24135_211</t>
  </si>
  <si>
    <t>B24135_212</t>
  </si>
  <si>
    <t>B24135_213</t>
  </si>
  <si>
    <t>B24135_214</t>
  </si>
  <si>
    <t>B24135_215</t>
  </si>
  <si>
    <t>B24135_216</t>
  </si>
  <si>
    <t>B24135_217</t>
  </si>
  <si>
    <t>B24135_218</t>
  </si>
  <si>
    <t>B24135_219</t>
  </si>
  <si>
    <t>B24135_220</t>
  </si>
  <si>
    <t>B24135_221</t>
  </si>
  <si>
    <t>B24135_222</t>
  </si>
  <si>
    <t>B24135_223</t>
  </si>
  <si>
    <t>B24135_224</t>
  </si>
  <si>
    <t>B24135_225</t>
  </si>
  <si>
    <t>B24135_226</t>
  </si>
  <si>
    <t>B24135_227</t>
  </si>
  <si>
    <t>B24135_228</t>
  </si>
  <si>
    <t>B24135_229</t>
  </si>
  <si>
    <t>B24135_230</t>
  </si>
  <si>
    <t>B24135_231</t>
  </si>
  <si>
    <t>B24135_232</t>
  </si>
  <si>
    <t>B24135_233</t>
  </si>
  <si>
    <t>B24135_234</t>
  </si>
  <si>
    <t>B24135_235</t>
  </si>
  <si>
    <t>B24135_236</t>
  </si>
  <si>
    <t>B24135_237</t>
  </si>
  <si>
    <t>B24135_238</t>
  </si>
  <si>
    <t>B24135_239</t>
  </si>
  <si>
    <t>B24135_240</t>
  </si>
  <si>
    <t>B24135_241</t>
  </si>
  <si>
    <t>B24135_242</t>
  </si>
  <si>
    <t>B24135_243</t>
  </si>
  <si>
    <t>B24135_244</t>
  </si>
  <si>
    <t>B24135_245</t>
  </si>
  <si>
    <t>B24135_246</t>
  </si>
  <si>
    <t>B24135_247</t>
  </si>
  <si>
    <t>B24135_248</t>
  </si>
  <si>
    <t>B24135_249</t>
  </si>
  <si>
    <t>B24135_250</t>
  </si>
  <si>
    <t>B24135_251</t>
  </si>
  <si>
    <t>B24135_252</t>
  </si>
  <si>
    <t>B24135_253</t>
  </si>
  <si>
    <t>B24135_254</t>
  </si>
  <si>
    <t>B24135_255</t>
  </si>
  <si>
    <t>B24135_256</t>
  </si>
  <si>
    <t>B24135_257</t>
  </si>
  <si>
    <t>B24135_258</t>
  </si>
  <si>
    <t>B24136_002</t>
  </si>
  <si>
    <t>B24136_003</t>
  </si>
  <si>
    <t>B24136_004</t>
  </si>
  <si>
    <t>B24136_005</t>
  </si>
  <si>
    <t>B24136_006</t>
  </si>
  <si>
    <t>B24136_007</t>
  </si>
  <si>
    <t>B24136_008</t>
  </si>
  <si>
    <t>B24136_009</t>
  </si>
  <si>
    <t>B24136_010</t>
  </si>
  <si>
    <t>B24136_011</t>
  </si>
  <si>
    <t>B24136_012</t>
  </si>
  <si>
    <t>B24136_013</t>
  </si>
  <si>
    <t>B24136_014</t>
  </si>
  <si>
    <t>B24136_015</t>
  </si>
  <si>
    <t>B24136_016</t>
  </si>
  <si>
    <t>B24136_017</t>
  </si>
  <si>
    <t>B24136_018</t>
  </si>
  <si>
    <t>B24136_019</t>
  </si>
  <si>
    <t>B24136_020</t>
  </si>
  <si>
    <t>B24136_021</t>
  </si>
  <si>
    <t>B24136_022</t>
  </si>
  <si>
    <t>B24136_023</t>
  </si>
  <si>
    <t>B24136_024</t>
  </si>
  <si>
    <t>B24136_025</t>
  </si>
  <si>
    <t>B24136_026</t>
  </si>
  <si>
    <t>B24136_027</t>
  </si>
  <si>
    <t>B24136_028</t>
  </si>
  <si>
    <t>B24136_029</t>
  </si>
  <si>
    <t>B24136_030</t>
  </si>
  <si>
    <t>B24136_031</t>
  </si>
  <si>
    <t>B24136_032</t>
  </si>
  <si>
    <t>B24136_033</t>
  </si>
  <si>
    <t>B24136_034</t>
  </si>
  <si>
    <t>B24136_035</t>
  </si>
  <si>
    <t>B24136_036</t>
  </si>
  <si>
    <t>B24136_037</t>
  </si>
  <si>
    <t>B24136_038</t>
  </si>
  <si>
    <t>B24136_039</t>
  </si>
  <si>
    <t>B24136_040</t>
  </si>
  <si>
    <t>B24136_041</t>
  </si>
  <si>
    <t>B24136_042</t>
  </si>
  <si>
    <t>B24136_043</t>
  </si>
  <si>
    <t>B24136_044</t>
  </si>
  <si>
    <t>B24136_045</t>
  </si>
  <si>
    <t>B24136_046</t>
  </si>
  <si>
    <t>B24136_047</t>
  </si>
  <si>
    <t>B24136_048</t>
  </si>
  <si>
    <t>B24136_049</t>
  </si>
  <si>
    <t>B24136_050</t>
  </si>
  <si>
    <t>B24136_051</t>
  </si>
  <si>
    <t>B24136_052</t>
  </si>
  <si>
    <t>B24136_053</t>
  </si>
  <si>
    <t>B24136_054</t>
  </si>
  <si>
    <t>B24136_055</t>
  </si>
  <si>
    <t>B24136_056</t>
  </si>
  <si>
    <t>B24136_057</t>
  </si>
  <si>
    <t>B24136_058</t>
  </si>
  <si>
    <t>B24136_059</t>
  </si>
  <si>
    <t>B24136_060</t>
  </si>
  <si>
    <t>B24136_061</t>
  </si>
  <si>
    <t>B24136_062</t>
  </si>
  <si>
    <t>B24136_063</t>
  </si>
  <si>
    <t>B24136_064</t>
  </si>
  <si>
    <t>B24136_065</t>
  </si>
  <si>
    <t>B24136_066</t>
  </si>
  <si>
    <t>B24136_067</t>
  </si>
  <si>
    <t>B24136_068</t>
  </si>
  <si>
    <t>B24136_069</t>
  </si>
  <si>
    <t>B24136_070</t>
  </si>
  <si>
    <t>B24136_071</t>
  </si>
  <si>
    <t>B24136_072</t>
  </si>
  <si>
    <t>B24136_073</t>
  </si>
  <si>
    <t>B24136_074</t>
  </si>
  <si>
    <t>B24136_075</t>
  </si>
  <si>
    <t>B24136_076</t>
  </si>
  <si>
    <t>B24136_077</t>
  </si>
  <si>
    <t>B24136_078</t>
  </si>
  <si>
    <t>B24136_079</t>
  </si>
  <si>
    <t>B24136_080</t>
  </si>
  <si>
    <t>B24136_081</t>
  </si>
  <si>
    <t>B24136_082</t>
  </si>
  <si>
    <t>B24136_083</t>
  </si>
  <si>
    <t>B24136_084</t>
  </si>
  <si>
    <t>B24136_085</t>
  </si>
  <si>
    <t>B24136_086</t>
  </si>
  <si>
    <t>B24136_087</t>
  </si>
  <si>
    <t>B24136_088</t>
  </si>
  <si>
    <t>B24136_089</t>
  </si>
  <si>
    <t>B24136_090</t>
  </si>
  <si>
    <t>B24136_091</t>
  </si>
  <si>
    <t>B24136_092</t>
  </si>
  <si>
    <t>B24136_093</t>
  </si>
  <si>
    <t>B24136_094</t>
  </si>
  <si>
    <t>B24136_095</t>
  </si>
  <si>
    <t>B24136_096</t>
  </si>
  <si>
    <t>B24136_097</t>
  </si>
  <si>
    <t>B24136_098</t>
  </si>
  <si>
    <t>B24136_099</t>
  </si>
  <si>
    <t>B24136_100</t>
  </si>
  <si>
    <t>B24136_101</t>
  </si>
  <si>
    <t>B24136_102</t>
  </si>
  <si>
    <t>B24136_103</t>
  </si>
  <si>
    <t>B24136_104</t>
  </si>
  <si>
    <t>B24136_105</t>
  </si>
  <si>
    <t>B24136_106</t>
  </si>
  <si>
    <t>B24136_107</t>
  </si>
  <si>
    <t>B24136_108</t>
  </si>
  <si>
    <t>B24136_109</t>
  </si>
  <si>
    <t>B24136_110</t>
  </si>
  <si>
    <t>B24136_111</t>
  </si>
  <si>
    <t>B24136_112</t>
  </si>
  <si>
    <t>B24136_113</t>
  </si>
  <si>
    <t>B24136_114</t>
  </si>
  <si>
    <t>B24136_115</t>
  </si>
  <si>
    <t>B24136_116</t>
  </si>
  <si>
    <t>B24136_117</t>
  </si>
  <si>
    <t>B24136_118</t>
  </si>
  <si>
    <t>B24136_119</t>
  </si>
  <si>
    <t>B24136_120</t>
  </si>
  <si>
    <t>B24136_121</t>
  </si>
  <si>
    <t>B24136_122</t>
  </si>
  <si>
    <t>B24136_123</t>
  </si>
  <si>
    <t>B24136_124</t>
  </si>
  <si>
    <t>B24136_125</t>
  </si>
  <si>
    <t>B24136_126</t>
  </si>
  <si>
    <t>B24136_127</t>
  </si>
  <si>
    <t>B24136_128</t>
  </si>
  <si>
    <t>B24136_129</t>
  </si>
  <si>
    <t>B24136_130</t>
  </si>
  <si>
    <t>B24136_131</t>
  </si>
  <si>
    <t>B24136_132</t>
  </si>
  <si>
    <t>B24136_133</t>
  </si>
  <si>
    <t>B24136_134</t>
  </si>
  <si>
    <t>B24136_135</t>
  </si>
  <si>
    <t>B24136_136</t>
  </si>
  <si>
    <t>B24136_137</t>
  </si>
  <si>
    <t>B24136_138</t>
  </si>
  <si>
    <t>B24136_139</t>
  </si>
  <si>
    <t>B24136_140</t>
  </si>
  <si>
    <t>B24136_141</t>
  </si>
  <si>
    <t>B24136_142</t>
  </si>
  <si>
    <t>B24136_143</t>
  </si>
  <si>
    <t>B24136_144</t>
  </si>
  <si>
    <t>B24136_145</t>
  </si>
  <si>
    <t>B24136_146</t>
  </si>
  <si>
    <t>B24136_147</t>
  </si>
  <si>
    <t>B24136_148</t>
  </si>
  <si>
    <t>B24136_149</t>
  </si>
  <si>
    <t>B24136_150</t>
  </si>
  <si>
    <t>B24136_151</t>
  </si>
  <si>
    <t>B24136_152</t>
  </si>
  <si>
    <t>B24136_153</t>
  </si>
  <si>
    <t>B24136_154</t>
  </si>
  <si>
    <t>B24136_155</t>
  </si>
  <si>
    <t>B24136_156</t>
  </si>
  <si>
    <t>B24136_157</t>
  </si>
  <si>
    <t>B24136_158</t>
  </si>
  <si>
    <t>B24136_159</t>
  </si>
  <si>
    <t>B24136_160</t>
  </si>
  <si>
    <t>B24136_161</t>
  </si>
  <si>
    <t>B24136_162</t>
  </si>
  <si>
    <t>B24136_163</t>
  </si>
  <si>
    <t>B24136_164</t>
  </si>
  <si>
    <t>B24136_165</t>
  </si>
  <si>
    <t>B24136_166</t>
  </si>
  <si>
    <t>B24136_167</t>
  </si>
  <si>
    <t>B24136_168</t>
  </si>
  <si>
    <t>B24136_169</t>
  </si>
  <si>
    <t>B24136_170</t>
  </si>
  <si>
    <t>B24136_171</t>
  </si>
  <si>
    <t>B24136_172</t>
  </si>
  <si>
    <t>B24136_173</t>
  </si>
  <si>
    <t>B24136_174</t>
  </si>
  <si>
    <t>B24136_175</t>
  </si>
  <si>
    <t>B24136_176</t>
  </si>
  <si>
    <t>B24136_177</t>
  </si>
  <si>
    <t>B24136_178</t>
  </si>
  <si>
    <t>B24136_179</t>
  </si>
  <si>
    <t>B24136_180</t>
  </si>
  <si>
    <t>B24136_181</t>
  </si>
  <si>
    <t>B24136_182</t>
  </si>
  <si>
    <t>B24136_183</t>
  </si>
  <si>
    <t>B24136_184</t>
  </si>
  <si>
    <t>B24136_185</t>
  </si>
  <si>
    <t>B24136_186</t>
  </si>
  <si>
    <t>B24136_187</t>
  </si>
  <si>
    <t>B24136_188</t>
  </si>
  <si>
    <t>B24136_189</t>
  </si>
  <si>
    <t>B24136_190</t>
  </si>
  <si>
    <t>B24136_191</t>
  </si>
  <si>
    <t>B24136_192</t>
  </si>
  <si>
    <t>B24136_193</t>
  </si>
  <si>
    <t>B24136_194</t>
  </si>
  <si>
    <t>B24136_195</t>
  </si>
  <si>
    <t>B24136_196</t>
  </si>
  <si>
    <t>B24136_197</t>
  </si>
  <si>
    <t>B24136_198</t>
  </si>
  <si>
    <t>B24136_199</t>
  </si>
  <si>
    <t>B24136_200</t>
  </si>
  <si>
    <t>B24136_201</t>
  </si>
  <si>
    <t>B24136_202</t>
  </si>
  <si>
    <t>B24136_203</t>
  </si>
  <si>
    <t>B24136_204</t>
  </si>
  <si>
    <t>B24136_205</t>
  </si>
  <si>
    <t>B24136_206</t>
  </si>
  <si>
    <t>B24136_207</t>
  </si>
  <si>
    <t>B24136_208</t>
  </si>
  <si>
    <t>B24136_209</t>
  </si>
  <si>
    <t>B24136_210</t>
  </si>
  <si>
    <t>B24136_211</t>
  </si>
  <si>
    <t>B24136_212</t>
  </si>
  <si>
    <t>B24136_213</t>
  </si>
  <si>
    <t>B24136_214</t>
  </si>
  <si>
    <t>B24136_215</t>
  </si>
  <si>
    <t>B24136_216</t>
  </si>
  <si>
    <t>B24136_217</t>
  </si>
  <si>
    <t>B24136_218</t>
  </si>
  <si>
    <t>B24136_219</t>
  </si>
  <si>
    <t>B24136_220</t>
  </si>
  <si>
    <t>B24136_221</t>
  </si>
  <si>
    <t>B24136_222</t>
  </si>
  <si>
    <t>B24136_223</t>
  </si>
  <si>
    <t>B24136_224</t>
  </si>
  <si>
    <t>B24136_225</t>
  </si>
  <si>
    <t>B24136_226</t>
  </si>
  <si>
    <t>B24136_227</t>
  </si>
  <si>
    <t>B24136_228</t>
  </si>
  <si>
    <t>B24136_229</t>
  </si>
  <si>
    <t>B24136_230</t>
  </si>
  <si>
    <t>B24136_231</t>
  </si>
  <si>
    <t>B24136_232</t>
  </si>
  <si>
    <t>B24136_233</t>
  </si>
  <si>
    <t>B24136_234</t>
  </si>
  <si>
    <t>B24136_235</t>
  </si>
  <si>
    <t>B24136_236</t>
  </si>
  <si>
    <t>B24136_237</t>
  </si>
  <si>
    <t>B24136_238</t>
  </si>
  <si>
    <t>B24136_239</t>
  </si>
  <si>
    <t>B24136_240</t>
  </si>
  <si>
    <t>B24136_241</t>
  </si>
  <si>
    <t>B24136_242</t>
  </si>
  <si>
    <t>B24136_243</t>
  </si>
  <si>
    <t>B24136_244</t>
  </si>
  <si>
    <t>B24136_245</t>
  </si>
  <si>
    <t>B24136_246</t>
  </si>
  <si>
    <t>B24136_247</t>
  </si>
  <si>
    <t>B24136_248</t>
  </si>
  <si>
    <t>B24136_249</t>
  </si>
  <si>
    <t>B24136_250</t>
  </si>
  <si>
    <t>B24136_251</t>
  </si>
  <si>
    <t>B24136_252</t>
  </si>
  <si>
    <t>B24136_253</t>
  </si>
  <si>
    <t>B24136_254</t>
  </si>
  <si>
    <t>B24136_255</t>
  </si>
  <si>
    <t>B24136_256</t>
  </si>
  <si>
    <t>B24136_257</t>
  </si>
  <si>
    <t>B24136_258</t>
  </si>
  <si>
    <t>B25002_002</t>
  </si>
  <si>
    <t>Estimate!!Total:!!Occupied</t>
  </si>
  <si>
    <t>B25002_003</t>
  </si>
  <si>
    <t>Estimate!!Total:!!Vacant</t>
  </si>
  <si>
    <t>B25003A_002</t>
  </si>
  <si>
    <t>Estimate!!Total:!!Owner occupied</t>
  </si>
  <si>
    <t>B25003A_003</t>
  </si>
  <si>
    <t>Estimate!!Total:!!Renter occupied</t>
  </si>
  <si>
    <t>B25003B_002</t>
  </si>
  <si>
    <t>B25003B_003</t>
  </si>
  <si>
    <t>B25003C_002</t>
  </si>
  <si>
    <t>B25003C_003</t>
  </si>
  <si>
    <t>B25003D_002</t>
  </si>
  <si>
    <t>B25003D_003</t>
  </si>
  <si>
    <t>B25003E_002</t>
  </si>
  <si>
    <t>B25003E_003</t>
  </si>
  <si>
    <t>B25003F_002</t>
  </si>
  <si>
    <t>B25003F_003</t>
  </si>
  <si>
    <t>B25003G_002</t>
  </si>
  <si>
    <t>B25003G_003</t>
  </si>
  <si>
    <t>B25003H_002</t>
  </si>
  <si>
    <t>B25003H_003</t>
  </si>
  <si>
    <t>B25003I_002</t>
  </si>
  <si>
    <t>B25003I_003</t>
  </si>
  <si>
    <t>B25003_002</t>
  </si>
  <si>
    <t>B25003_003</t>
  </si>
  <si>
    <t>B25004_002</t>
  </si>
  <si>
    <t>Estimate!!Total:!!For rent</t>
  </si>
  <si>
    <t>B25004_003</t>
  </si>
  <si>
    <t>Estimate!!Total:!!Rented, not occupied</t>
  </si>
  <si>
    <t>B25004_004</t>
  </si>
  <si>
    <t>Estimate!!Total:!!For sale only</t>
  </si>
  <si>
    <t>B25004_005</t>
  </si>
  <si>
    <t>Estimate!!Total:!!Sold, not occupied</t>
  </si>
  <si>
    <t>B25004_006</t>
  </si>
  <si>
    <t>Estimate!!Total:!!For seasonal, recreational, or occasional use</t>
  </si>
  <si>
    <t>B25004_007</t>
  </si>
  <si>
    <t>Estimate!!Total:!!For migrant workers</t>
  </si>
  <si>
    <t>B25004_008</t>
  </si>
  <si>
    <t>Estimate!!Total:!!Other vacant</t>
  </si>
  <si>
    <t>B25005_002</t>
  </si>
  <si>
    <t>Estimate!!Total:!!Vacant - current residence elsewhere</t>
  </si>
  <si>
    <t>B25005_003</t>
  </si>
  <si>
    <t>Estimate!!Total:!!All other vacant units</t>
  </si>
  <si>
    <t>B25006_002</t>
  </si>
  <si>
    <t>Estimate!!Total:!!Householder who is White alone</t>
  </si>
  <si>
    <t>B25006_003</t>
  </si>
  <si>
    <t>Estimate!!Total:!!Householder who is Black or African American alone</t>
  </si>
  <si>
    <t>B25006_004</t>
  </si>
  <si>
    <t>Estimate!!Total:!!Householder who is American Indian and Alaska Native alone</t>
  </si>
  <si>
    <t>B25006_005</t>
  </si>
  <si>
    <t>Estimate!!Total:!!Householder who is Asian alone</t>
  </si>
  <si>
    <t>B25006_006</t>
  </si>
  <si>
    <t>Estimate!!Total:!!Householder who is Native Hawaiian and Other Pacific Islander alone</t>
  </si>
  <si>
    <t>B25006_007</t>
  </si>
  <si>
    <t>Estimate!!Total:!!Householder who is Some other race alone</t>
  </si>
  <si>
    <t>B25006_008</t>
  </si>
  <si>
    <t>Estimate!!Total:!!Householder who is Two or more races:</t>
  </si>
  <si>
    <t>B25006_009</t>
  </si>
  <si>
    <t>Estimate!!Total:!!Householder who is Two or more races:!!Householder who is Two races including Some other race</t>
  </si>
  <si>
    <t>B25006_010</t>
  </si>
  <si>
    <t>Estimate!!Total:!!Householder who is Two or more races:!!Householder who is Two races excluding Some other race, and three or more races</t>
  </si>
  <si>
    <t>B25007_002</t>
  </si>
  <si>
    <t>Estimate!!Total:!!Owner occupied:</t>
  </si>
  <si>
    <t>B25007_003</t>
  </si>
  <si>
    <t>Estimate!!Total:!!Owner occupied:!!Householder 15 to 24 years</t>
  </si>
  <si>
    <t>B25007_004</t>
  </si>
  <si>
    <t>Estimate!!Total:!!Owner occupied:!!Householder 25 to 34 years</t>
  </si>
  <si>
    <t>B25007_005</t>
  </si>
  <si>
    <t>Estimate!!Total:!!Owner occupied:!!Householder 35 to 44 years</t>
  </si>
  <si>
    <t>B25007_006</t>
  </si>
  <si>
    <t>Estimate!!Total:!!Owner occupied:!!Householder 45 to 54 years</t>
  </si>
  <si>
    <t>B25007_007</t>
  </si>
  <si>
    <t>Estimate!!Total:!!Owner occupied:!!Householder 55 to 59 years</t>
  </si>
  <si>
    <t>B25007_008</t>
  </si>
  <si>
    <t>Estimate!!Total:!!Owner occupied:!!Householder 60 to 64 years</t>
  </si>
  <si>
    <t>B25007_009</t>
  </si>
  <si>
    <t>Estimate!!Total:!!Owner occupied:!!Householder 65 to 74 years</t>
  </si>
  <si>
    <t>B25007_010</t>
  </si>
  <si>
    <t>Estimate!!Total:!!Owner occupied:!!Householder 75 to 84 years</t>
  </si>
  <si>
    <t>B25007_011</t>
  </si>
  <si>
    <t>Estimate!!Total:!!Owner occupied:!!Householder 85 years and over</t>
  </si>
  <si>
    <t>B25007_012</t>
  </si>
  <si>
    <t>Estimate!!Total:!!Renter occupied:</t>
  </si>
  <si>
    <t>B25007_013</t>
  </si>
  <si>
    <t>Estimate!!Total:!!Renter occupied:!!Householder 15 to 24 years</t>
  </si>
  <si>
    <t>B25007_014</t>
  </si>
  <si>
    <t>Estimate!!Total:!!Renter occupied:!!Householder 25 to 34 years</t>
  </si>
  <si>
    <t>B25007_015</t>
  </si>
  <si>
    <t>Estimate!!Total:!!Renter occupied:!!Householder 35 to 44 years</t>
  </si>
  <si>
    <t>B25007_016</t>
  </si>
  <si>
    <t>Estimate!!Total:!!Renter occupied:!!Householder 45 to 54 years</t>
  </si>
  <si>
    <t>B25007_017</t>
  </si>
  <si>
    <t>Estimate!!Total:!!Renter occupied:!!Householder 55 to 59 years</t>
  </si>
  <si>
    <t>B25007_018</t>
  </si>
  <si>
    <t>Estimate!!Total:!!Renter occupied:!!Householder 60 to 64 years</t>
  </si>
  <si>
    <t>B25007_019</t>
  </si>
  <si>
    <t>Estimate!!Total:!!Renter occupied:!!Householder 65 to 74 years</t>
  </si>
  <si>
    <t>B25007_020</t>
  </si>
  <si>
    <t>Estimate!!Total:!!Renter occupied:!!Householder 75 to 84 years</t>
  </si>
  <si>
    <t>B25007_021</t>
  </si>
  <si>
    <t>Estimate!!Total:!!Renter occupied:!!Householder 85 years and over</t>
  </si>
  <si>
    <t>B25008A_002</t>
  </si>
  <si>
    <t>B25008A_003</t>
  </si>
  <si>
    <t>B25008B_002</t>
  </si>
  <si>
    <t>B25008B_003</t>
  </si>
  <si>
    <t>B25008C_002</t>
  </si>
  <si>
    <t>B25008C_003</t>
  </si>
  <si>
    <t>B25008D_002</t>
  </si>
  <si>
    <t>B25008D_003</t>
  </si>
  <si>
    <t>B25008E_002</t>
  </si>
  <si>
    <t>B25008E_003</t>
  </si>
  <si>
    <t>B25008F_002</t>
  </si>
  <si>
    <t>B25008F_003</t>
  </si>
  <si>
    <t>B25008G_002</t>
  </si>
  <si>
    <t>B25008G_003</t>
  </si>
  <si>
    <t>B25008H_002</t>
  </si>
  <si>
    <t>B25008H_003</t>
  </si>
  <si>
    <t>B25008I_002</t>
  </si>
  <si>
    <t>B25008I_003</t>
  </si>
  <si>
    <t>B25008_002</t>
  </si>
  <si>
    <t>B25008_003</t>
  </si>
  <si>
    <t>B25009_002</t>
  </si>
  <si>
    <t>B25009_003</t>
  </si>
  <si>
    <t>Estimate!!Total:!!Owner occupied:!!1-person household</t>
  </si>
  <si>
    <t>B25009_004</t>
  </si>
  <si>
    <t>Estimate!!Total:!!Owner occupied:!!2-person household</t>
  </si>
  <si>
    <t>B25009_005</t>
  </si>
  <si>
    <t>Estimate!!Total:!!Owner occupied:!!3-person household</t>
  </si>
  <si>
    <t>B25009_006</t>
  </si>
  <si>
    <t>Estimate!!Total:!!Owner occupied:!!4-person household</t>
  </si>
  <si>
    <t>B25009_007</t>
  </si>
  <si>
    <t>Estimate!!Total:!!Owner occupied:!!5-person household</t>
  </si>
  <si>
    <t>B25009_008</t>
  </si>
  <si>
    <t>Estimate!!Total:!!Owner occupied:!!6-person household</t>
  </si>
  <si>
    <t>B25009_009</t>
  </si>
  <si>
    <t>Estimate!!Total:!!Owner occupied:!!7-or-more person household</t>
  </si>
  <si>
    <t>B25009_010</t>
  </si>
  <si>
    <t>B25009_011</t>
  </si>
  <si>
    <t>Estimate!!Total:!!Renter occupied:!!1-person household</t>
  </si>
  <si>
    <t>B25009_012</t>
  </si>
  <si>
    <t>Estimate!!Total:!!Renter occupied:!!2-person household</t>
  </si>
  <si>
    <t>B25009_013</t>
  </si>
  <si>
    <t>Estimate!!Total:!!Renter occupied:!!3-person household</t>
  </si>
  <si>
    <t>B25009_014</t>
  </si>
  <si>
    <t>Estimate!!Total:!!Renter occupied:!!4-person household</t>
  </si>
  <si>
    <t>B25009_015</t>
  </si>
  <si>
    <t>Estimate!!Total:!!Renter occupied:!!5-person household</t>
  </si>
  <si>
    <t>B25009_016</t>
  </si>
  <si>
    <t>Estimate!!Total:!!Renter occupied:!!6-person household</t>
  </si>
  <si>
    <t>B25009_017</t>
  </si>
  <si>
    <t>Estimate!!Total:!!Renter occupied:!!7-or-more person household</t>
  </si>
  <si>
    <t>B25010A_002</t>
  </si>
  <si>
    <t>Estimate!!Average household size --!!Total:!!Owner occupied</t>
  </si>
  <si>
    <t>B25010A_003</t>
  </si>
  <si>
    <t>Estimate!!Average household size --!!Total:!!Renter occupied</t>
  </si>
  <si>
    <t>B25010B_002</t>
  </si>
  <si>
    <t>B25010B_003</t>
  </si>
  <si>
    <t>B25010C_002</t>
  </si>
  <si>
    <t>B25010C_003</t>
  </si>
  <si>
    <t>B25010D_002</t>
  </si>
  <si>
    <t>B25010D_003</t>
  </si>
  <si>
    <t>B25010E_002</t>
  </si>
  <si>
    <t>B25010E_003</t>
  </si>
  <si>
    <t>B25010F_002</t>
  </si>
  <si>
    <t>B25010F_003</t>
  </si>
  <si>
    <t>B25010G_002</t>
  </si>
  <si>
    <t>B25010G_003</t>
  </si>
  <si>
    <t>B25010H_002</t>
  </si>
  <si>
    <t>B25010H_003</t>
  </si>
  <si>
    <t>B25010I_002</t>
  </si>
  <si>
    <t>B25010I_003</t>
  </si>
  <si>
    <t>B25010_002</t>
  </si>
  <si>
    <t>B25010_003</t>
  </si>
  <si>
    <t>B25011_002</t>
  </si>
  <si>
    <t>B25011_003</t>
  </si>
  <si>
    <t>Estimate!!Total:!!Owner occupied:!!Family households:</t>
  </si>
  <si>
    <t>B25011_004</t>
  </si>
  <si>
    <t>Estimate!!Total:!!Owner occupied:!!Family households:!!Married-couple family:</t>
  </si>
  <si>
    <t>B25011_005</t>
  </si>
  <si>
    <t>Estimate!!Total:!!Owner occupied:!!Family households:!!Married-couple family:!!Householder 15 to 34 years</t>
  </si>
  <si>
    <t>B25011_006</t>
  </si>
  <si>
    <t>Estimate!!Total:!!Owner occupied:!!Family households:!!Married-couple family:!!Householder 35 to 64 years</t>
  </si>
  <si>
    <t>B25011_007</t>
  </si>
  <si>
    <t>Estimate!!Total:!!Owner occupied:!!Family households:!!Married-couple family:!!Householder 65 years and over</t>
  </si>
  <si>
    <t>B25011_008</t>
  </si>
  <si>
    <t>Estimate!!Total:!!Owner occupied:!!Family households:!!Other family:</t>
  </si>
  <si>
    <t>B25011_009</t>
  </si>
  <si>
    <t>Estimate!!Total:!!Owner occupied:!!Family households:!!Other family:!!Male householder, no spouse present:</t>
  </si>
  <si>
    <t>B25011_010</t>
  </si>
  <si>
    <t>Estimate!!Total:!!Owner occupied:!!Family households:!!Other family:!!Male householder, no spouse present:!!Householder 15 to 34 years</t>
  </si>
  <si>
    <t>B25011_011</t>
  </si>
  <si>
    <t>Estimate!!Total:!!Owner occupied:!!Family households:!!Other family:!!Male householder, no spouse present:!!Householder 35 to 64 years</t>
  </si>
  <si>
    <t>B25011_012</t>
  </si>
  <si>
    <t>Estimate!!Total:!!Owner occupied:!!Family households:!!Other family:!!Male householder, no spouse present:!!Householder 65 years and over</t>
  </si>
  <si>
    <t>B25011_013</t>
  </si>
  <si>
    <t>Estimate!!Total:!!Owner occupied:!!Family households:!!Other family:!!Female householder, no spouse present:</t>
  </si>
  <si>
    <t>B25011_014</t>
  </si>
  <si>
    <t>Estimate!!Total:!!Owner occupied:!!Family households:!!Other family:!!Female householder, no spouse present:!!Householder 15 to 34 years</t>
  </si>
  <si>
    <t>B25011_015</t>
  </si>
  <si>
    <t>Estimate!!Total:!!Owner occupied:!!Family households:!!Other family:!!Female householder, no spouse present:!!Householder 35 to 64 years</t>
  </si>
  <si>
    <t>B25011_016</t>
  </si>
  <si>
    <t>Estimate!!Total:!!Owner occupied:!!Family households:!!Other family:!!Female householder, no spouse present:!!Householder 65 years and over</t>
  </si>
  <si>
    <t>B25011_017</t>
  </si>
  <si>
    <t>Estimate!!Total:!!Owner occupied:!!Nonfamily households:</t>
  </si>
  <si>
    <t>B25011_018</t>
  </si>
  <si>
    <t>Estimate!!Total:!!Owner occupied:!!Nonfamily households:!!Householder living alone:</t>
  </si>
  <si>
    <t>B25011_019</t>
  </si>
  <si>
    <t>Estimate!!Total:!!Owner occupied:!!Nonfamily households:!!Householder living alone:!!Householder 15 to 34 years</t>
  </si>
  <si>
    <t>B25011_020</t>
  </si>
  <si>
    <t>Estimate!!Total:!!Owner occupied:!!Nonfamily households:!!Householder living alone:!!Householder 35 to 64 years</t>
  </si>
  <si>
    <t>B25011_021</t>
  </si>
  <si>
    <t>Estimate!!Total:!!Owner occupied:!!Nonfamily households:!!Householder living alone:!!Householder 65 years and over</t>
  </si>
  <si>
    <t>B25011_022</t>
  </si>
  <si>
    <t>Estimate!!Total:!!Owner occupied:!!Nonfamily households:!!Householder not living alone:</t>
  </si>
  <si>
    <t>B25011_023</t>
  </si>
  <si>
    <t>Estimate!!Total:!!Owner occupied:!!Nonfamily households:!!Householder not living alone:!!Householder 15 to 34 years</t>
  </si>
  <si>
    <t>B25011_024</t>
  </si>
  <si>
    <t>Estimate!!Total:!!Owner occupied:!!Nonfamily households:!!Householder not living alone:!!Householder 35 to 64 years</t>
  </si>
  <si>
    <t>B25011_025</t>
  </si>
  <si>
    <t>Estimate!!Total:!!Owner occupied:!!Nonfamily households:!!Householder not living alone:!!Householder 65 years and over</t>
  </si>
  <si>
    <t>B25011_026</t>
  </si>
  <si>
    <t>B25011_027</t>
  </si>
  <si>
    <t>Estimate!!Total:!!Renter occupied:!!Family households:</t>
  </si>
  <si>
    <t>B25011_028</t>
  </si>
  <si>
    <t>Estimate!!Total:!!Renter occupied:!!Family households:!!Married-couple family:</t>
  </si>
  <si>
    <t>B25011_029</t>
  </si>
  <si>
    <t>Estimate!!Total:!!Renter occupied:!!Family households:!!Married-couple family:!!Householder 15 to 34 years</t>
  </si>
  <si>
    <t>B25011_030</t>
  </si>
  <si>
    <t>Estimate!!Total:!!Renter occupied:!!Family households:!!Married-couple family:!!Householder 35 to 64 years</t>
  </si>
  <si>
    <t>B25011_031</t>
  </si>
  <si>
    <t>Estimate!!Total:!!Renter occupied:!!Family households:!!Married-couple family:!!Householder 65 years and over</t>
  </si>
  <si>
    <t>B25011_032</t>
  </si>
  <si>
    <t>Estimate!!Total:!!Renter occupied:!!Family households:!!Other family:</t>
  </si>
  <si>
    <t>B25011_033</t>
  </si>
  <si>
    <t>Estimate!!Total:!!Renter occupied:!!Family households:!!Other family:!!Male householder, no spouse present:</t>
  </si>
  <si>
    <t>B25011_034</t>
  </si>
  <si>
    <t>Estimate!!Total:!!Renter occupied:!!Family households:!!Other family:!!Male householder, no spouse present:!!Householder 15 to 34 years</t>
  </si>
  <si>
    <t>B25011_035</t>
  </si>
  <si>
    <t>Estimate!!Total:!!Renter occupied:!!Family households:!!Other family:!!Male householder, no spouse present:!!Householder 35 to 64 years</t>
  </si>
  <si>
    <t>B25011_036</t>
  </si>
  <si>
    <t>Estimate!!Total:!!Renter occupied:!!Family households:!!Other family:!!Male householder, no spouse present:!!Householder 65 years and over</t>
  </si>
  <si>
    <t>B25011_037</t>
  </si>
  <si>
    <t>Estimate!!Total:!!Renter occupied:!!Family households:!!Other family:!!Female householder, no spouse present:</t>
  </si>
  <si>
    <t>B25011_038</t>
  </si>
  <si>
    <t>Estimate!!Total:!!Renter occupied:!!Family households:!!Other family:!!Female householder, no spouse present:!!Householder 15 to 34 years</t>
  </si>
  <si>
    <t>B25011_039</t>
  </si>
  <si>
    <t>Estimate!!Total:!!Renter occupied:!!Family households:!!Other family:!!Female householder, no spouse present:!!Householder 35 to 64 years</t>
  </si>
  <si>
    <t>B25011_040</t>
  </si>
  <si>
    <t>Estimate!!Total:!!Renter occupied:!!Family households:!!Other family:!!Female householder, no spouse present:!!Householder 65 years and over</t>
  </si>
  <si>
    <t>B25011_041</t>
  </si>
  <si>
    <t>Estimate!!Total:!!Renter occupied:!!Nonfamily households:</t>
  </si>
  <si>
    <t>B25011_042</t>
  </si>
  <si>
    <t>Estimate!!Total:!!Renter occupied:!!Nonfamily households:!!Householder living alone:</t>
  </si>
  <si>
    <t>B25011_043</t>
  </si>
  <si>
    <t>Estimate!!Total:!!Renter occupied:!!Nonfamily households:!!Householder living alone:!!Householder 15 to 34 years</t>
  </si>
  <si>
    <t>B25011_044</t>
  </si>
  <si>
    <t>Estimate!!Total:!!Renter occupied:!!Nonfamily households:!!Householder living alone:!!Householder 35 to 64 years</t>
  </si>
  <si>
    <t>B25011_045</t>
  </si>
  <si>
    <t>Estimate!!Total:!!Renter occupied:!!Nonfamily households:!!Householder living alone:!!Householder 65 years and over</t>
  </si>
  <si>
    <t>B25011_046</t>
  </si>
  <si>
    <t>Estimate!!Total:!!Renter occupied:!!Nonfamily households:!!Householder not living alone:</t>
  </si>
  <si>
    <t>B25011_047</t>
  </si>
  <si>
    <t>Estimate!!Total:!!Renter occupied:!!Nonfamily households:!!Householder not living alone:!!Householder 15 to 34 years</t>
  </si>
  <si>
    <t>B25011_048</t>
  </si>
  <si>
    <t>Estimate!!Total:!!Renter occupied:!!Nonfamily households:!!Householder not living alone:!!Householder 35 to 64 years</t>
  </si>
  <si>
    <t>B25011_049</t>
  </si>
  <si>
    <t>Estimate!!Total:!!Renter occupied:!!Nonfamily households:!!Householder not living alone:!!Householder 65 years and over</t>
  </si>
  <si>
    <t>B25012_002</t>
  </si>
  <si>
    <t>Estimate!!Total:!!Owner-occupied housing units:</t>
  </si>
  <si>
    <t>B25012_003</t>
  </si>
  <si>
    <t>Estimate!!Total:!!Owner-occupied housing units:!!With related children of the householder under 18:</t>
  </si>
  <si>
    <t>B25012_004</t>
  </si>
  <si>
    <t>Estimate!!Total:!!Owner-occupied housing units:!!With related children of the householder under 18:!!With own children of the householder under 18:</t>
  </si>
  <si>
    <t>B25012_005</t>
  </si>
  <si>
    <t>Estimate!!Total:!!Owner-occupied housing units:!!With related children of the householder under 18:!!With own children of the householder under 18:!!Under 6 years only</t>
  </si>
  <si>
    <t>B25012_006</t>
  </si>
  <si>
    <t>Estimate!!Total:!!Owner-occupied housing units:!!With related children of the householder under 18:!!With own children of the householder under 18:!!Under 6 years and 6 to 17 years</t>
  </si>
  <si>
    <t>B25012_007</t>
  </si>
  <si>
    <t>Estimate!!Total:!!Owner-occupied housing units:!!With related children of the householder under 18:!!With own children of the householder under 18:!!6 to 17 years</t>
  </si>
  <si>
    <t>B25012_008</t>
  </si>
  <si>
    <t>Estimate!!Total:!!Owner-occupied housing units:!!With related children of the householder under 18:!!No own children of the householder under 18</t>
  </si>
  <si>
    <t>B25012_009</t>
  </si>
  <si>
    <t>Estimate!!Total:!!Owner-occupied housing units:!!No related children of the householder under 18</t>
  </si>
  <si>
    <t>B25012_010</t>
  </si>
  <si>
    <t>Estimate!!Total:!!Renter-occupied housing units:</t>
  </si>
  <si>
    <t>B25012_011</t>
  </si>
  <si>
    <t>Estimate!!Total:!!Renter-occupied housing units:!!With related children of the householder under 18:</t>
  </si>
  <si>
    <t>B25012_012</t>
  </si>
  <si>
    <t>Estimate!!Total:!!Renter-occupied housing units:!!With related children of the householder under 18:!!With own children of the householder under 18:</t>
  </si>
  <si>
    <t>B25012_013</t>
  </si>
  <si>
    <t>Estimate!!Total:!!Renter-occupied housing units:!!With related children of the householder under 18:!!With own children of the householder under 18:!!Under 6 years only</t>
  </si>
  <si>
    <t>B25012_014</t>
  </si>
  <si>
    <t>Estimate!!Total:!!Renter-occupied housing units:!!With related children of the householder under 18:!!With own children of the householder under 18:!!Under 6 years and 6 to 17 years</t>
  </si>
  <si>
    <t>B25012_015</t>
  </si>
  <si>
    <t>Estimate!!Total:!!Renter-occupied housing units:!!With related children of the householder under 18:!!With own children of the householder under 18:!!6 to 17 years</t>
  </si>
  <si>
    <t>B25012_016</t>
  </si>
  <si>
    <t>Estimate!!Total:!!Renter-occupied housing units:!!With related children of the householder under 18:!!No own children of the householder under 18</t>
  </si>
  <si>
    <t>B25012_017</t>
  </si>
  <si>
    <t>Estimate!!Total:!!Renter-occupied housing units:!!No related children of the householder under 18</t>
  </si>
  <si>
    <t>B25013_002</t>
  </si>
  <si>
    <t>B25013_003</t>
  </si>
  <si>
    <t>Estimate!!Total:!!Owner-occupied housing units:!!Less than high school graduate</t>
  </si>
  <si>
    <t>B25013_004</t>
  </si>
  <si>
    <t>Estimate!!Total:!!Owner-occupied housing units:!!High school graduate (including equivalency)</t>
  </si>
  <si>
    <t>B25013_005</t>
  </si>
  <si>
    <t>Estimate!!Total:!!Owner-occupied housing units:!!Some college or associate's degree</t>
  </si>
  <si>
    <t>B25013_006</t>
  </si>
  <si>
    <t>Estimate!!Total:!!Owner-occupied housing units:!!Bachelor's degree or higher</t>
  </si>
  <si>
    <t>B25013_007</t>
  </si>
  <si>
    <t>B25013_008</t>
  </si>
  <si>
    <t>Estimate!!Total:!!Renter-occupied housing units:!!Less than high school graduate</t>
  </si>
  <si>
    <t>B25013_009</t>
  </si>
  <si>
    <t>Estimate!!Total:!!Renter-occupied housing units:!!High school graduate (including equivalency)</t>
  </si>
  <si>
    <t>B25013_010</t>
  </si>
  <si>
    <t>Estimate!!Total:!!Renter-occupied housing units:!!Some college or associate's degree</t>
  </si>
  <si>
    <t>B25013_011</t>
  </si>
  <si>
    <t>Estimate!!Total:!!Renter-occupied housing units:!!Bachelor's degree or higher</t>
  </si>
  <si>
    <t>B25014A_002</t>
  </si>
  <si>
    <t>Estimate!!Total:!!1.00 or less occupants per room</t>
  </si>
  <si>
    <t>B25014A_003</t>
  </si>
  <si>
    <t>Estimate!!Total:!!1.01 or more occupants per room</t>
  </si>
  <si>
    <t>B25014B_002</t>
  </si>
  <si>
    <t>B25014B_003</t>
  </si>
  <si>
    <t>B25014C_002</t>
  </si>
  <si>
    <t>B25014C_003</t>
  </si>
  <si>
    <t>B25014D_002</t>
  </si>
  <si>
    <t>B25014D_003</t>
  </si>
  <si>
    <t>B25014E_002</t>
  </si>
  <si>
    <t>B25014E_003</t>
  </si>
  <si>
    <t>B25014F_002</t>
  </si>
  <si>
    <t>B25014F_003</t>
  </si>
  <si>
    <t>B25014G_002</t>
  </si>
  <si>
    <t>B25014G_003</t>
  </si>
  <si>
    <t>B25014H_002</t>
  </si>
  <si>
    <t>B25014H_003</t>
  </si>
  <si>
    <t>B25014I_002</t>
  </si>
  <si>
    <t>B25014I_003</t>
  </si>
  <si>
    <t>B25014_002</t>
  </si>
  <si>
    <t>B25014_003</t>
  </si>
  <si>
    <t>Estimate!!Total:!!Owner occupied:!!0.50 or less occupants per room</t>
  </si>
  <si>
    <t>B25014_004</t>
  </si>
  <si>
    <t>Estimate!!Total:!!Owner occupied:!!0.51 to 1.00 occupants per room</t>
  </si>
  <si>
    <t>B25014_005</t>
  </si>
  <si>
    <t>Estimate!!Total:!!Owner occupied:!!1.01 to 1.50 occupants per room</t>
  </si>
  <si>
    <t>B25014_006</t>
  </si>
  <si>
    <t>Estimate!!Total:!!Owner occupied:!!1.51 to 2.00 occupants per room</t>
  </si>
  <si>
    <t>B25014_007</t>
  </si>
  <si>
    <t>Estimate!!Total:!!Owner occupied:!!2.01 or more occupants per room</t>
  </si>
  <si>
    <t>B25014_008</t>
  </si>
  <si>
    <t>B25014_009</t>
  </si>
  <si>
    <t>Estimate!!Total:!!Renter occupied:!!0.50 or less occupants per room</t>
  </si>
  <si>
    <t>B25014_010</t>
  </si>
  <si>
    <t>Estimate!!Total:!!Renter occupied:!!0.51 to 1.00 occupants per room</t>
  </si>
  <si>
    <t>B25014_011</t>
  </si>
  <si>
    <t>Estimate!!Total:!!Renter occupied:!!1.01 to 1.50 occupants per room</t>
  </si>
  <si>
    <t>B25014_012</t>
  </si>
  <si>
    <t>Estimate!!Total:!!Renter occupied:!!1.51 to 2.00 occupants per room</t>
  </si>
  <si>
    <t>B25014_013</t>
  </si>
  <si>
    <t>Estimate!!Total:!!Renter occupied:!!2.01 or more occupants per room</t>
  </si>
  <si>
    <t>B25015_002</t>
  </si>
  <si>
    <t>B25015_003</t>
  </si>
  <si>
    <t>Estimate!!Total:!!Owner occupied:!!Householder 15 to 34 years:</t>
  </si>
  <si>
    <t>B25015_004</t>
  </si>
  <si>
    <t>Estimate!!Total:!!Owner occupied:!!Householder 15 to 34 years:!!1.00 or less occupants per room</t>
  </si>
  <si>
    <t>B25015_005</t>
  </si>
  <si>
    <t>Estimate!!Total:!!Owner occupied:!!Householder 15 to 34 years:!!1.01 to 1.50 occupants per room</t>
  </si>
  <si>
    <t>B25015_006</t>
  </si>
  <si>
    <t>Estimate!!Total:!!Owner occupied:!!Householder 15 to 34 years:!!1.51 or more occupants per room</t>
  </si>
  <si>
    <t>B25015_007</t>
  </si>
  <si>
    <t>Estimate!!Total:!!Owner occupied:!!Householder 35 to 64 years:</t>
  </si>
  <si>
    <t>B25015_008</t>
  </si>
  <si>
    <t>Estimate!!Total:!!Owner occupied:!!Householder 35 to 64 years:!!1.00 or less occupants per room</t>
  </si>
  <si>
    <t>B25015_009</t>
  </si>
  <si>
    <t>Estimate!!Total:!!Owner occupied:!!Householder 35 to 64 years:!!1.01 to 1.50 occupants per room</t>
  </si>
  <si>
    <t>B25015_010</t>
  </si>
  <si>
    <t>Estimate!!Total:!!Owner occupied:!!Householder 35 to 64 years:!!1.51 or more occupants per room</t>
  </si>
  <si>
    <t>B25015_011</t>
  </si>
  <si>
    <t>Estimate!!Total:!!Owner occupied:!!Householder 65 years and over:</t>
  </si>
  <si>
    <t>B25015_012</t>
  </si>
  <si>
    <t>Estimate!!Total:!!Owner occupied:!!Householder 65 years and over:!!1.00 or less occupants per room</t>
  </si>
  <si>
    <t>B25015_013</t>
  </si>
  <si>
    <t>Estimate!!Total:!!Owner occupied:!!Householder 65 years and over:!!1.01 to 1.50 occupants per room</t>
  </si>
  <si>
    <t>B25015_014</t>
  </si>
  <si>
    <t>Estimate!!Total:!!Owner occupied:!!Householder 65 years and over:!!1.51 or more occupants per room</t>
  </si>
  <si>
    <t>B25015_015</t>
  </si>
  <si>
    <t>B25015_016</t>
  </si>
  <si>
    <t>Estimate!!Total:!!Renter occupied:!!Householder 15 to 34 years:</t>
  </si>
  <si>
    <t>B25015_017</t>
  </si>
  <si>
    <t>Estimate!!Total:!!Renter occupied:!!Householder 15 to 34 years:!!1.00 or less occupants per room</t>
  </si>
  <si>
    <t>B25015_018</t>
  </si>
  <si>
    <t>Estimate!!Total:!!Renter occupied:!!Householder 15 to 34 years:!!1.01 to 1.50 occupants per room</t>
  </si>
  <si>
    <t>B25015_019</t>
  </si>
  <si>
    <t>Estimate!!Total:!!Renter occupied:!!Householder 15 to 34 years:!!1.51 or more occupants per room</t>
  </si>
  <si>
    <t>B25015_020</t>
  </si>
  <si>
    <t>Estimate!!Total:!!Renter occupied:!!Householder 35 to 64 years:</t>
  </si>
  <si>
    <t>B25015_021</t>
  </si>
  <si>
    <t>Estimate!!Total:!!Renter occupied:!!Householder 35 to 64 years:!!1.00 or less occupants per room</t>
  </si>
  <si>
    <t>B25015_022</t>
  </si>
  <si>
    <t>Estimate!!Total:!!Renter occupied:!!Householder 35 to 64 years:!!1.01 to 1.50 occupants per room</t>
  </si>
  <si>
    <t>B25015_023</t>
  </si>
  <si>
    <t>Estimate!!Total:!!Renter occupied:!!Householder 35 to 64 years:!!1.51 or more occupants per room</t>
  </si>
  <si>
    <t>B25015_024</t>
  </si>
  <si>
    <t>Estimate!!Total:!!Renter occupied:!!Householder 65 years and over:</t>
  </si>
  <si>
    <t>B25015_025</t>
  </si>
  <si>
    <t>Estimate!!Total:!!Renter occupied:!!Householder 65 years and over:!!1.00 or less occupants per room</t>
  </si>
  <si>
    <t>B25015_026</t>
  </si>
  <si>
    <t>Estimate!!Total:!!Renter occupied:!!Householder 65 years and over:!!1.01 to 1.50 occupants per room</t>
  </si>
  <si>
    <t>B25015_027</t>
  </si>
  <si>
    <t>Estimate!!Total:!!Renter occupied:!!Householder 65 years and over:!!1.51 or more occupants per room</t>
  </si>
  <si>
    <t>B25016_002</t>
  </si>
  <si>
    <t>B25016_003</t>
  </si>
  <si>
    <t>Estimate!!Total:!!Owner occupied:!!Complete plumbing facilities:</t>
  </si>
  <si>
    <t>B25016_004</t>
  </si>
  <si>
    <t>Estimate!!Total:!!Owner occupied:!!Complete plumbing facilities:!!1.00 or less occupants per room</t>
  </si>
  <si>
    <t>B25016_005</t>
  </si>
  <si>
    <t>Estimate!!Total:!!Owner occupied:!!Complete plumbing facilities:!!1.01 to 1.50 occupants per room</t>
  </si>
  <si>
    <t>B25016_006</t>
  </si>
  <si>
    <t>Estimate!!Total:!!Owner occupied:!!Complete plumbing facilities:!!1.51 or more occupants per room</t>
  </si>
  <si>
    <t>B25016_007</t>
  </si>
  <si>
    <t>Estimate!!Total:!!Owner occupied:!!Lacking complete plumbing facilities:</t>
  </si>
  <si>
    <t>B25016_008</t>
  </si>
  <si>
    <t>Estimate!!Total:!!Owner occupied:!!Lacking complete plumbing facilities:!!1.00 or less occupants per room</t>
  </si>
  <si>
    <t>B25016_009</t>
  </si>
  <si>
    <t>Estimate!!Total:!!Owner occupied:!!Lacking complete plumbing facilities:!!1.01 to 1.50 occupants per room</t>
  </si>
  <si>
    <t>B25016_010</t>
  </si>
  <si>
    <t>Estimate!!Total:!!Owner occupied:!!Lacking complete plumbing facilities:!!1.51 or more occupants per room</t>
  </si>
  <si>
    <t>B25016_011</t>
  </si>
  <si>
    <t>B25016_012</t>
  </si>
  <si>
    <t>Estimate!!Total:!!Renter occupied:!!Complete plumbing facilities:</t>
  </si>
  <si>
    <t>B25016_013</t>
  </si>
  <si>
    <t>Estimate!!Total:!!Renter occupied:!!Complete plumbing facilities:!!1.00 or less occupants per room</t>
  </si>
  <si>
    <t>B25016_014</t>
  </si>
  <si>
    <t>Estimate!!Total:!!Renter occupied:!!Complete plumbing facilities:!!1.01 to 1.50 occupants per room</t>
  </si>
  <si>
    <t>B25016_015</t>
  </si>
  <si>
    <t>Estimate!!Total:!!Renter occupied:!!Complete plumbing facilities:!!1.51 or more occupants per room</t>
  </si>
  <si>
    <t>B25016_016</t>
  </si>
  <si>
    <t>Estimate!!Total:!!Renter occupied:!!Lacking complete plumbing facilities:</t>
  </si>
  <si>
    <t>B25016_017</t>
  </si>
  <si>
    <t>Estimate!!Total:!!Renter occupied:!!Lacking complete plumbing facilities:!!1.00 or less occupants per room</t>
  </si>
  <si>
    <t>B25016_018</t>
  </si>
  <si>
    <t>Estimate!!Total:!!Renter occupied:!!Lacking complete plumbing facilities:!!1.01 to 1.50 occupants per room</t>
  </si>
  <si>
    <t>B25016_019</t>
  </si>
  <si>
    <t>Estimate!!Total:!!Renter occupied:!!Lacking complete plumbing facilities:!!1.51 or more occupants per room</t>
  </si>
  <si>
    <t>B25017_002</t>
  </si>
  <si>
    <t>Estimate!!Total:!!1 room</t>
  </si>
  <si>
    <t>B25017_003</t>
  </si>
  <si>
    <t>Estimate!!Total:!!2 rooms</t>
  </si>
  <si>
    <t>B25017_004</t>
  </si>
  <si>
    <t>Estimate!!Total:!!3 rooms</t>
  </si>
  <si>
    <t>B25017_005</t>
  </si>
  <si>
    <t>Estimate!!Total:!!4 rooms</t>
  </si>
  <si>
    <t>B25017_006</t>
  </si>
  <si>
    <t>Estimate!!Total:!!5 rooms</t>
  </si>
  <si>
    <t>B25017_007</t>
  </si>
  <si>
    <t>Estimate!!Total:!!6 rooms</t>
  </si>
  <si>
    <t>B25017_008</t>
  </si>
  <si>
    <t>Estimate!!Total:!!7 rooms</t>
  </si>
  <si>
    <t>B25017_009</t>
  </si>
  <si>
    <t>Estimate!!Total:!!8 rooms</t>
  </si>
  <si>
    <t>B25017_010</t>
  </si>
  <si>
    <t>Estimate!!Total:!!9 or more rooms</t>
  </si>
  <si>
    <t>B25020_002</t>
  </si>
  <si>
    <t>B25020_003</t>
  </si>
  <si>
    <t>Estimate!!Total:!!Owner occupied:!!1 room</t>
  </si>
  <si>
    <t>B25020_004</t>
  </si>
  <si>
    <t>Estimate!!Total:!!Owner occupied:!!2 rooms</t>
  </si>
  <si>
    <t>B25020_005</t>
  </si>
  <si>
    <t>Estimate!!Total:!!Owner occupied:!!3 rooms</t>
  </si>
  <si>
    <t>B25020_006</t>
  </si>
  <si>
    <t>Estimate!!Total:!!Owner occupied:!!4 rooms</t>
  </si>
  <si>
    <t>B25020_007</t>
  </si>
  <si>
    <t>Estimate!!Total:!!Owner occupied:!!5 rooms</t>
  </si>
  <si>
    <t>B25020_008</t>
  </si>
  <si>
    <t>Estimate!!Total:!!Owner occupied:!!6 rooms</t>
  </si>
  <si>
    <t>B25020_009</t>
  </si>
  <si>
    <t>Estimate!!Total:!!Owner occupied:!!7 rooms</t>
  </si>
  <si>
    <t>B25020_010</t>
  </si>
  <si>
    <t>Estimate!!Total:!!Owner occupied:!!8 rooms</t>
  </si>
  <si>
    <t>B25020_011</t>
  </si>
  <si>
    <t>Estimate!!Total:!!Owner occupied:!!9 or more rooms</t>
  </si>
  <si>
    <t>B25020_012</t>
  </si>
  <si>
    <t>B25020_013</t>
  </si>
  <si>
    <t>Estimate!!Total:!!Renter occupied:!!1 room</t>
  </si>
  <si>
    <t>B25020_014</t>
  </si>
  <si>
    <t>Estimate!!Total:!!Renter occupied:!!2 rooms</t>
  </si>
  <si>
    <t>B25020_015</t>
  </si>
  <si>
    <t>Estimate!!Total:!!Renter occupied:!!3 rooms</t>
  </si>
  <si>
    <t>B25020_016</t>
  </si>
  <si>
    <t>Estimate!!Total:!!Renter occupied:!!4 rooms</t>
  </si>
  <si>
    <t>B25020_017</t>
  </si>
  <si>
    <t>Estimate!!Total:!!Renter occupied:!!5 rooms</t>
  </si>
  <si>
    <t>B25020_018</t>
  </si>
  <si>
    <t>Estimate!!Total:!!Renter occupied:!!6 rooms</t>
  </si>
  <si>
    <t>B25020_019</t>
  </si>
  <si>
    <t>Estimate!!Total:!!Renter occupied:!!7 rooms</t>
  </si>
  <si>
    <t>B25020_020</t>
  </si>
  <si>
    <t>Estimate!!Total:!!Renter occupied:!!8 rooms</t>
  </si>
  <si>
    <t>B25020_021</t>
  </si>
  <si>
    <t>Estimate!!Total:!!Renter occupied:!!9 or more rooms</t>
  </si>
  <si>
    <t>B25021_002</t>
  </si>
  <si>
    <t>Estimate!!Median number of rooms --!!Total:!!Owner occupied</t>
  </si>
  <si>
    <t>B25021_003</t>
  </si>
  <si>
    <t>Estimate!!Median number of rooms --!!Total:!!Renter occupied</t>
  </si>
  <si>
    <t>B25022_002</t>
  </si>
  <si>
    <t>Estimate!!Aggregate number of rooms:!!Owner occupied</t>
  </si>
  <si>
    <t>B25022_003</t>
  </si>
  <si>
    <t>Estimate!!Aggregate number of rooms:!!Renter occupied</t>
  </si>
  <si>
    <t>B25024_002</t>
  </si>
  <si>
    <t>Estimate!!Total:!!1, detached</t>
  </si>
  <si>
    <t>B25024_003</t>
  </si>
  <si>
    <t>Estimate!!Total:!!1, attached</t>
  </si>
  <si>
    <t>B25024_004</t>
  </si>
  <si>
    <t>Estimate!!Total:!!2</t>
  </si>
  <si>
    <t>B25024_005</t>
  </si>
  <si>
    <t>Estimate!!Total:!!3 or 4</t>
  </si>
  <si>
    <t>B25024_006</t>
  </si>
  <si>
    <t>Estimate!!Total:!!5 to 9</t>
  </si>
  <si>
    <t>B25024_007</t>
  </si>
  <si>
    <t>Estimate!!Total:!!10 to 19</t>
  </si>
  <si>
    <t>B25024_008</t>
  </si>
  <si>
    <t>Estimate!!Total:!!20 to 49</t>
  </si>
  <si>
    <t>B25024_009</t>
  </si>
  <si>
    <t>Estimate!!Total:!!50 or more</t>
  </si>
  <si>
    <t>B25024_010</t>
  </si>
  <si>
    <t>Estimate!!Total:!!Mobile home</t>
  </si>
  <si>
    <t>B25024_011</t>
  </si>
  <si>
    <t>Estimate!!Total:!!Boat, RV, van, etc.</t>
  </si>
  <si>
    <t>B25026_002</t>
  </si>
  <si>
    <t>Estimate!!Total population in occupied housing units:!!Owner occupied:</t>
  </si>
  <si>
    <t>B25026_003</t>
  </si>
  <si>
    <t>Estimate!!Total population in occupied housing units:!!Owner occupied:!!Moved in 2023 or later</t>
  </si>
  <si>
    <t>B25026_004</t>
  </si>
  <si>
    <t>Estimate!!Total population in occupied housing units:!!Owner occupied:!!Moved in 2020 to 2022</t>
  </si>
  <si>
    <t>B25026_005</t>
  </si>
  <si>
    <t>Estimate!!Total population in occupied housing units:!!Owner occupied:!!Moved in 2010 to 2019</t>
  </si>
  <si>
    <t>B25026_006</t>
  </si>
  <si>
    <t>Estimate!!Total population in occupied housing units:!!Owner occupied:!!Moved in 2000 to 2009</t>
  </si>
  <si>
    <t>B25026_007</t>
  </si>
  <si>
    <t>Estimate!!Total population in occupied housing units:!!Owner occupied:!!Moved in 1990 to 1999</t>
  </si>
  <si>
    <t>B25026_008</t>
  </si>
  <si>
    <t>Estimate!!Total population in occupied housing units:!!Owner occupied:!!Moved in 1989 or earlier</t>
  </si>
  <si>
    <t>B25026_009</t>
  </si>
  <si>
    <t>Estimate!!Total population in occupied housing units:!!Renter occupied:</t>
  </si>
  <si>
    <t>B25026_010</t>
  </si>
  <si>
    <t>Estimate!!Total population in occupied housing units:!!Renter occupied:!!Moved in 2023 or later</t>
  </si>
  <si>
    <t>B25026_011</t>
  </si>
  <si>
    <t>Estimate!!Total population in occupied housing units:!!Renter occupied:!!Moved in 2020 to 2022</t>
  </si>
  <si>
    <t>B25026_012</t>
  </si>
  <si>
    <t>Estimate!!Total population in occupied housing units:!!Renter occupied:!!Moved in 2010 to 2019</t>
  </si>
  <si>
    <t>B25026_013</t>
  </si>
  <si>
    <t>Estimate!!Total population in occupied housing units:!!Renter occupied:!!Moved in 2000 to 2009</t>
  </si>
  <si>
    <t>B25026_014</t>
  </si>
  <si>
    <t>Estimate!!Total population in occupied housing units:!!Renter occupied:!!Moved in 1990 to 1999</t>
  </si>
  <si>
    <t>B25026_015</t>
  </si>
  <si>
    <t>Estimate!!Total population in occupied housing units:!!Renter occupied:!!Moved in 1989 or earlier</t>
  </si>
  <si>
    <t>B25027_002</t>
  </si>
  <si>
    <t>Estimate!!Total:!!Housing units with a mortgage:</t>
  </si>
  <si>
    <t>B25027_003</t>
  </si>
  <si>
    <t>Estimate!!Total:!!Housing units with a mortgage:!!Householder 15 to 34 years</t>
  </si>
  <si>
    <t>B25027_004</t>
  </si>
  <si>
    <t>Estimate!!Total:!!Housing units with a mortgage:!!Householder 35 to 44 years</t>
  </si>
  <si>
    <t>B25027_005</t>
  </si>
  <si>
    <t>Estimate!!Total:!!Housing units with a mortgage:!!Householder 45 to 54 years</t>
  </si>
  <si>
    <t>B25027_006</t>
  </si>
  <si>
    <t>Estimate!!Total:!!Housing units with a mortgage:!!Householder 55 to 59 years</t>
  </si>
  <si>
    <t>B25027_007</t>
  </si>
  <si>
    <t>Estimate!!Total:!!Housing units with a mortgage:!!Householder 60 to 64 years</t>
  </si>
  <si>
    <t>B25027_008</t>
  </si>
  <si>
    <t>Estimate!!Total:!!Housing units with a mortgage:!!Householder 65 to 74 years</t>
  </si>
  <si>
    <t>B25027_009</t>
  </si>
  <si>
    <t>Estimate!!Total:!!Housing units with a mortgage:!!Householder 75 years and over</t>
  </si>
  <si>
    <t>B25027_010</t>
  </si>
  <si>
    <t>Estimate!!Total:!!Housing units without a mortgage:</t>
  </si>
  <si>
    <t>B25027_011</t>
  </si>
  <si>
    <t>Estimate!!Total:!!Housing units without a mortgage:!!Householder 15 to 34 years</t>
  </si>
  <si>
    <t>B25027_012</t>
  </si>
  <si>
    <t>Estimate!!Total:!!Housing units without a mortgage:!!Householder 35 to 44 years</t>
  </si>
  <si>
    <t>B25027_013</t>
  </si>
  <si>
    <t>Estimate!!Total:!!Housing units without a mortgage:!!Householder 45 to 54 years</t>
  </si>
  <si>
    <t>B25027_014</t>
  </si>
  <si>
    <t>Estimate!!Total:!!Housing units without a mortgage:!!Householder 55 to 59 years</t>
  </si>
  <si>
    <t>B25027_015</t>
  </si>
  <si>
    <t>Estimate!!Total:!!Housing units without a mortgage:!!Householder 60 to 64 years</t>
  </si>
  <si>
    <t>B25027_016</t>
  </si>
  <si>
    <t>Estimate!!Total:!!Housing units without a mortgage:!!Householder 65 to 74 years</t>
  </si>
  <si>
    <t>B25027_017</t>
  </si>
  <si>
    <t>Estimate!!Total:!!Housing units without a mortgage:!!Householder 75 years and over</t>
  </si>
  <si>
    <t>B25031_002</t>
  </si>
  <si>
    <t>Estimate!!Median gross rent --!!Total:!!No bedroom</t>
  </si>
  <si>
    <t>B25031_003</t>
  </si>
  <si>
    <t>Estimate!!Median gross rent --!!Total:!!1 bedroom</t>
  </si>
  <si>
    <t>B25031_004</t>
  </si>
  <si>
    <t>Estimate!!Median gross rent --!!Total:!!2 bedrooms</t>
  </si>
  <si>
    <t>B25031_005</t>
  </si>
  <si>
    <t>Estimate!!Median gross rent --!!Total:!!3 bedrooms</t>
  </si>
  <si>
    <t>B25031_006</t>
  </si>
  <si>
    <t>Estimate!!Median gross rent --!!Total:!!4 bedrooms</t>
  </si>
  <si>
    <t>B25031_007</t>
  </si>
  <si>
    <t>Estimate!!Median gross rent --!!Total:!!5 or more bedrooms</t>
  </si>
  <si>
    <t>B25032A_002</t>
  </si>
  <si>
    <t>B25032A_003</t>
  </si>
  <si>
    <t>B25032A_004</t>
  </si>
  <si>
    <t>B25032A_005</t>
  </si>
  <si>
    <t>B25032A_006</t>
  </si>
  <si>
    <t>B25032A_007</t>
  </si>
  <si>
    <t>B25032A_008</t>
  </si>
  <si>
    <t>B25032A_009</t>
  </si>
  <si>
    <t>B25032A_010</t>
  </si>
  <si>
    <t>B25032A_011</t>
  </si>
  <si>
    <t>B25032B_002</t>
  </si>
  <si>
    <t>B25032B_003</t>
  </si>
  <si>
    <t>B25032B_004</t>
  </si>
  <si>
    <t>B25032B_005</t>
  </si>
  <si>
    <t>B25032B_006</t>
  </si>
  <si>
    <t>B25032B_007</t>
  </si>
  <si>
    <t>B25032B_008</t>
  </si>
  <si>
    <t>B25032B_009</t>
  </si>
  <si>
    <t>B25032B_010</t>
  </si>
  <si>
    <t>B25032B_011</t>
  </si>
  <si>
    <t>B25032C_002</t>
  </si>
  <si>
    <t>B25032C_003</t>
  </si>
  <si>
    <t>B25032C_004</t>
  </si>
  <si>
    <t>B25032C_005</t>
  </si>
  <si>
    <t>B25032C_006</t>
  </si>
  <si>
    <t>B25032C_007</t>
  </si>
  <si>
    <t>B25032C_008</t>
  </si>
  <si>
    <t>B25032C_009</t>
  </si>
  <si>
    <t>B25032C_010</t>
  </si>
  <si>
    <t>B25032C_011</t>
  </si>
  <si>
    <t>B25032D_002</t>
  </si>
  <si>
    <t>B25032D_003</t>
  </si>
  <si>
    <t>B25032D_004</t>
  </si>
  <si>
    <t>B25032D_005</t>
  </si>
  <si>
    <t>B25032D_006</t>
  </si>
  <si>
    <t>B25032D_007</t>
  </si>
  <si>
    <t>B25032D_008</t>
  </si>
  <si>
    <t>B25032D_009</t>
  </si>
  <si>
    <t>B25032D_010</t>
  </si>
  <si>
    <t>B25032D_011</t>
  </si>
  <si>
    <t>B25032E_002</t>
  </si>
  <si>
    <t>B25032E_003</t>
  </si>
  <si>
    <t>B25032E_004</t>
  </si>
  <si>
    <t>B25032E_005</t>
  </si>
  <si>
    <t>B25032E_006</t>
  </si>
  <si>
    <t>B25032E_007</t>
  </si>
  <si>
    <t>B25032E_008</t>
  </si>
  <si>
    <t>B25032E_009</t>
  </si>
  <si>
    <t>B25032E_010</t>
  </si>
  <si>
    <t>B25032E_011</t>
  </si>
  <si>
    <t>B25032F_002</t>
  </si>
  <si>
    <t>B25032F_003</t>
  </si>
  <si>
    <t>B25032F_004</t>
  </si>
  <si>
    <t>B25032F_005</t>
  </si>
  <si>
    <t>B25032F_006</t>
  </si>
  <si>
    <t>B25032F_007</t>
  </si>
  <si>
    <t>B25032F_008</t>
  </si>
  <si>
    <t>B25032F_009</t>
  </si>
  <si>
    <t>B25032F_010</t>
  </si>
  <si>
    <t>B25032F_011</t>
  </si>
  <si>
    <t>B25032G_002</t>
  </si>
  <si>
    <t>B25032G_003</t>
  </si>
  <si>
    <t>B25032G_004</t>
  </si>
  <si>
    <t>B25032G_005</t>
  </si>
  <si>
    <t>B25032G_006</t>
  </si>
  <si>
    <t>B25032G_007</t>
  </si>
  <si>
    <t>B25032G_008</t>
  </si>
  <si>
    <t>B25032G_009</t>
  </si>
  <si>
    <t>B25032G_010</t>
  </si>
  <si>
    <t>B25032G_011</t>
  </si>
  <si>
    <t>B25032H_002</t>
  </si>
  <si>
    <t>B25032H_003</t>
  </si>
  <si>
    <t>B25032H_004</t>
  </si>
  <si>
    <t>B25032H_005</t>
  </si>
  <si>
    <t>B25032H_006</t>
  </si>
  <si>
    <t>B25032H_007</t>
  </si>
  <si>
    <t>B25032H_008</t>
  </si>
  <si>
    <t>B25032H_009</t>
  </si>
  <si>
    <t>B25032H_010</t>
  </si>
  <si>
    <t>B25032H_011</t>
  </si>
  <si>
    <t>B25032I_002</t>
  </si>
  <si>
    <t>B25032I_003</t>
  </si>
  <si>
    <t>B25032I_004</t>
  </si>
  <si>
    <t>B25032I_005</t>
  </si>
  <si>
    <t>B25032I_006</t>
  </si>
  <si>
    <t>B25032I_007</t>
  </si>
  <si>
    <t>B25032I_008</t>
  </si>
  <si>
    <t>B25032I_009</t>
  </si>
  <si>
    <t>B25032I_010</t>
  </si>
  <si>
    <t>B25032I_011</t>
  </si>
  <si>
    <t>B25032_002</t>
  </si>
  <si>
    <t>B25032_003</t>
  </si>
  <si>
    <t>Estimate!!Total:!!Owner-occupied housing units:!!1, detached</t>
  </si>
  <si>
    <t>B25032_004</t>
  </si>
  <si>
    <t>Estimate!!Total:!!Owner-occupied housing units:!!1, attached</t>
  </si>
  <si>
    <t>B25032_005</t>
  </si>
  <si>
    <t>Estimate!!Total:!!Owner-occupied housing units:!!2</t>
  </si>
  <si>
    <t>B25032_006</t>
  </si>
  <si>
    <t>Estimate!!Total:!!Owner-occupied housing units:!!3 or 4</t>
  </si>
  <si>
    <t>B25032_007</t>
  </si>
  <si>
    <t>Estimate!!Total:!!Owner-occupied housing units:!!5 to 9</t>
  </si>
  <si>
    <t>B25032_008</t>
  </si>
  <si>
    <t>Estimate!!Total:!!Owner-occupied housing units:!!10 to 19</t>
  </si>
  <si>
    <t>B25032_009</t>
  </si>
  <si>
    <t>Estimate!!Total:!!Owner-occupied housing units:!!20 to 49</t>
  </si>
  <si>
    <t>B25032_010</t>
  </si>
  <si>
    <t>Estimate!!Total:!!Owner-occupied housing units:!!50 or more</t>
  </si>
  <si>
    <t>B25032_011</t>
  </si>
  <si>
    <t>Estimate!!Total:!!Owner-occupied housing units:!!Mobile home</t>
  </si>
  <si>
    <t>B25032_012</t>
  </si>
  <si>
    <t>Estimate!!Total:!!Owner-occupied housing units:!!Boat, RV, van, etc.</t>
  </si>
  <si>
    <t>B25032_013</t>
  </si>
  <si>
    <t>B25032_014</t>
  </si>
  <si>
    <t>Estimate!!Total:!!Renter-occupied housing units:!!1, detached</t>
  </si>
  <si>
    <t>B25032_015</t>
  </si>
  <si>
    <t>Estimate!!Total:!!Renter-occupied housing units:!!1, attached</t>
  </si>
  <si>
    <t>B25032_016</t>
  </si>
  <si>
    <t>Estimate!!Total:!!Renter-occupied housing units:!!2</t>
  </si>
  <si>
    <t>B25032_017</t>
  </si>
  <si>
    <t>Estimate!!Total:!!Renter-occupied housing units:!!3 or 4</t>
  </si>
  <si>
    <t>B25032_018</t>
  </si>
  <si>
    <t>Estimate!!Total:!!Renter-occupied housing units:!!5 to 9</t>
  </si>
  <si>
    <t>B25032_019</t>
  </si>
  <si>
    <t>Estimate!!Total:!!Renter-occupied housing units:!!10 to 19</t>
  </si>
  <si>
    <t>B25032_020</t>
  </si>
  <si>
    <t>Estimate!!Total:!!Renter-occupied housing units:!!20 to 49</t>
  </si>
  <si>
    <t>B25032_021</t>
  </si>
  <si>
    <t>Estimate!!Total:!!Renter-occupied housing units:!!50 or more</t>
  </si>
  <si>
    <t>B25032_022</t>
  </si>
  <si>
    <t>Estimate!!Total:!!Renter-occupied housing units:!!Mobile home</t>
  </si>
  <si>
    <t>B25032_023</t>
  </si>
  <si>
    <t>Estimate!!Total:!!Renter-occupied housing units:!!Boat, RV, van, etc.</t>
  </si>
  <si>
    <t>B25033_002</t>
  </si>
  <si>
    <t>B25033_003</t>
  </si>
  <si>
    <t>Estimate!!Total:!!Owner occupied:!!1, detached or attached</t>
  </si>
  <si>
    <t>B25033_004</t>
  </si>
  <si>
    <t>Estimate!!Total:!!Owner occupied:!!2 to 4</t>
  </si>
  <si>
    <t>B25033_005</t>
  </si>
  <si>
    <t>Estimate!!Total:!!Owner occupied:!!5 or more</t>
  </si>
  <si>
    <t>B25033_006</t>
  </si>
  <si>
    <t>Estimate!!Total:!!Owner occupied:!!Mobile home</t>
  </si>
  <si>
    <t>B25033_007</t>
  </si>
  <si>
    <t>Estimate!!Total:!!Owner occupied:!!Boat, RV, van, etc.</t>
  </si>
  <si>
    <t>B25033_008</t>
  </si>
  <si>
    <t>B25033_009</t>
  </si>
  <si>
    <t>Estimate!!Total:!!Renter occupied:!!1, detached or attached</t>
  </si>
  <si>
    <t>B25033_010</t>
  </si>
  <si>
    <t>Estimate!!Total:!!Renter occupied:!!2 to 4</t>
  </si>
  <si>
    <t>B25033_011</t>
  </si>
  <si>
    <t>Estimate!!Total:!!Renter occupied:!!5 or more</t>
  </si>
  <si>
    <t>B25033_012</t>
  </si>
  <si>
    <t>Estimate!!Total:!!Renter occupied:!!Mobile home</t>
  </si>
  <si>
    <t>B25033_013</t>
  </si>
  <si>
    <t>Estimate!!Total:!!Renter occupied:!!Boat, RV, van, etc.</t>
  </si>
  <si>
    <t>B25034_002</t>
  </si>
  <si>
    <t>Estimate!!Total:!!Built 2020 or later</t>
  </si>
  <si>
    <t>B25034_003</t>
  </si>
  <si>
    <t>Estimate!!Total:!!Built 2010 to 2019</t>
  </si>
  <si>
    <t>B25034_004</t>
  </si>
  <si>
    <t>Estimate!!Total:!!Built 2000 to 2009</t>
  </si>
  <si>
    <t>B25034_005</t>
  </si>
  <si>
    <t>Estimate!!Total:!!Built 1990 to 1999</t>
  </si>
  <si>
    <t>B25034_006</t>
  </si>
  <si>
    <t>Estimate!!Total:!!Built 1980 to 1989</t>
  </si>
  <si>
    <t>B25034_007</t>
  </si>
  <si>
    <t>Estimate!!Total:!!Built 1970 to 1979</t>
  </si>
  <si>
    <t>B25034_008</t>
  </si>
  <si>
    <t>Estimate!!Total:!!Built 1960 to 1969</t>
  </si>
  <si>
    <t>B25034_009</t>
  </si>
  <si>
    <t>Estimate!!Total:!!Built 1950 to 1959</t>
  </si>
  <si>
    <t>B25034_010</t>
  </si>
  <si>
    <t>Estimate!!Total:!!Built 1940 to 1949</t>
  </si>
  <si>
    <t>B25034_011</t>
  </si>
  <si>
    <t>Estimate!!Total:!!Built 1939 or earlier</t>
  </si>
  <si>
    <t>B25036_002</t>
  </si>
  <si>
    <t>B25036_003</t>
  </si>
  <si>
    <t>Estimate!!Total:!!Owner occupied:!!Built 2020 or later</t>
  </si>
  <si>
    <t>B25036_004</t>
  </si>
  <si>
    <t>Estimate!!Total:!!Owner occupied:!!Built 2010 to 2019</t>
  </si>
  <si>
    <t>B25036_005</t>
  </si>
  <si>
    <t>Estimate!!Total:!!Owner occupied:!!Built 2000 to 2009</t>
  </si>
  <si>
    <t>B25036_006</t>
  </si>
  <si>
    <t>Estimate!!Total:!!Owner occupied:!!Built 1990 to 1999</t>
  </si>
  <si>
    <t>B25036_007</t>
  </si>
  <si>
    <t>Estimate!!Total:!!Owner occupied:!!Built 1980 to 1989</t>
  </si>
  <si>
    <t>B25036_008</t>
  </si>
  <si>
    <t>Estimate!!Total:!!Owner occupied:!!Built 1970 to 1979</t>
  </si>
  <si>
    <t>B25036_009</t>
  </si>
  <si>
    <t>Estimate!!Total:!!Owner occupied:!!Built 1960 to 1969</t>
  </si>
  <si>
    <t>B25036_010</t>
  </si>
  <si>
    <t>Estimate!!Total:!!Owner occupied:!!Built 1950 to 1959</t>
  </si>
  <si>
    <t>B25036_011</t>
  </si>
  <si>
    <t>Estimate!!Total:!!Owner occupied:!!Built 1940 to 1949</t>
  </si>
  <si>
    <t>B25036_012</t>
  </si>
  <si>
    <t>Estimate!!Total:!!Owner occupied:!!Built 1939 or earlier</t>
  </si>
  <si>
    <t>B25036_013</t>
  </si>
  <si>
    <t>B25036_014</t>
  </si>
  <si>
    <t>Estimate!!Total:!!Renter occupied:!!Built 2020 or later</t>
  </si>
  <si>
    <t>B25036_015</t>
  </si>
  <si>
    <t>Estimate!!Total:!!Renter occupied:!!Built 2010 to 2019</t>
  </si>
  <si>
    <t>B25036_016</t>
  </si>
  <si>
    <t>Estimate!!Total:!!Renter occupied:!!Built 2000 to 2009</t>
  </si>
  <si>
    <t>B25036_017</t>
  </si>
  <si>
    <t>Estimate!!Total:!!Renter occupied:!!Built 1990 to 1999</t>
  </si>
  <si>
    <t>B25036_018</t>
  </si>
  <si>
    <t>Estimate!!Total:!!Renter occupied:!!Built 1980 to 1989</t>
  </si>
  <si>
    <t>B25036_019</t>
  </si>
  <si>
    <t>Estimate!!Total:!!Renter occupied:!!Built 1970 to 1979</t>
  </si>
  <si>
    <t>B25036_020</t>
  </si>
  <si>
    <t>Estimate!!Total:!!Renter occupied:!!Built 1960 to 1969</t>
  </si>
  <si>
    <t>B25036_021</t>
  </si>
  <si>
    <t>Estimate!!Total:!!Renter occupied:!!Built 1950 to 1959</t>
  </si>
  <si>
    <t>B25036_022</t>
  </si>
  <si>
    <t>Estimate!!Total:!!Renter occupied:!!Built 1940 to 1949</t>
  </si>
  <si>
    <t>B25036_023</t>
  </si>
  <si>
    <t>Estimate!!Total:!!Renter occupied:!!Built 1939 or earlier</t>
  </si>
  <si>
    <t>B25037_002</t>
  </si>
  <si>
    <t>Estimate!!Median year structure built --!!Owner occupied</t>
  </si>
  <si>
    <t>B25037_003</t>
  </si>
  <si>
    <t>Estimate!!Median year structure built --!!Renter occupied</t>
  </si>
  <si>
    <t>B25038_002</t>
  </si>
  <si>
    <t>B25038_003</t>
  </si>
  <si>
    <t>Estimate!!Total:!!Owner occupied:!!Moved in 2023 or later</t>
  </si>
  <si>
    <t>B25038_004</t>
  </si>
  <si>
    <t>Estimate!!Total:!!Owner occupied:!!Moved in 2020 to 2022</t>
  </si>
  <si>
    <t>B25038_005</t>
  </si>
  <si>
    <t>Estimate!!Total:!!Owner occupied:!!Moved in 2010 to 2019</t>
  </si>
  <si>
    <t>B25038_006</t>
  </si>
  <si>
    <t>Estimate!!Total:!!Owner occupied:!!Moved in 2000 to 2009</t>
  </si>
  <si>
    <t>B25038_007</t>
  </si>
  <si>
    <t>Estimate!!Total:!!Owner occupied:!!Moved in 1990 to 1999</t>
  </si>
  <si>
    <t>B25038_008</t>
  </si>
  <si>
    <t>Estimate!!Total:!!Owner occupied:!!Moved in 1989 or earlier</t>
  </si>
  <si>
    <t>B25038_009</t>
  </si>
  <si>
    <t>B25038_010</t>
  </si>
  <si>
    <t>Estimate!!Total:!!Renter occupied:!!Moved in 2023 or later</t>
  </si>
  <si>
    <t>B25038_011</t>
  </si>
  <si>
    <t>Estimate!!Total:!!Renter occupied:!!Moved in 2020 to 2022</t>
  </si>
  <si>
    <t>B25038_012</t>
  </si>
  <si>
    <t>Estimate!!Total:!!Renter occupied:!!Moved in 2010 to 2019</t>
  </si>
  <si>
    <t>B25038_013</t>
  </si>
  <si>
    <t>Estimate!!Total:!!Renter occupied:!!Moved in 2000 to 2009</t>
  </si>
  <si>
    <t>B25038_014</t>
  </si>
  <si>
    <t>Estimate!!Total:!!Renter occupied:!!Moved in 1990 to 1999</t>
  </si>
  <si>
    <t>B25038_015</t>
  </si>
  <si>
    <t>Estimate!!Total:!!Renter occupied:!!Moved in 1989 or earlier</t>
  </si>
  <si>
    <t>B25039_002</t>
  </si>
  <si>
    <t>Estimate!!Median year householder moved into unit --!!Total:!!Owner occupied</t>
  </si>
  <si>
    <t>B25039_003</t>
  </si>
  <si>
    <t>Estimate!!Median year householder moved into unit --!!Total:!!Renter occupied</t>
  </si>
  <si>
    <t>B25040_002</t>
  </si>
  <si>
    <t>Estimate!!Total:!!Utility gas</t>
  </si>
  <si>
    <t>B25040_003</t>
  </si>
  <si>
    <t>Estimate!!Total:!!Bottled or tank gas (propane, butane, etc.)</t>
  </si>
  <si>
    <t>B25040_004</t>
  </si>
  <si>
    <t>Estimate!!Total:!!Electricity</t>
  </si>
  <si>
    <t>B25040_005</t>
  </si>
  <si>
    <t>Estimate!!Total:!!Fuel oil, kerosene, etc.</t>
  </si>
  <si>
    <t>B25040_006</t>
  </si>
  <si>
    <t>Estimate!!Total:!!Coal or coke</t>
  </si>
  <si>
    <t>B25040_007</t>
  </si>
  <si>
    <t>Estimate!!Total:!!Wood</t>
  </si>
  <si>
    <t>B25040_008</t>
  </si>
  <si>
    <t>Estimate!!Total:!!Solar energy</t>
  </si>
  <si>
    <t>B25040_009</t>
  </si>
  <si>
    <t>Estimate!!Total:!!Other fuel</t>
  </si>
  <si>
    <t>B25040_010</t>
  </si>
  <si>
    <t>Estimate!!Total:!!No fuel used</t>
  </si>
  <si>
    <t>B25041_002</t>
  </si>
  <si>
    <t>Estimate!!Total:!!No bedroom</t>
  </si>
  <si>
    <t>B25041_003</t>
  </si>
  <si>
    <t>Estimate!!Total:!!1 bedroom</t>
  </si>
  <si>
    <t>B25041_004</t>
  </si>
  <si>
    <t>Estimate!!Total:!!2 bedrooms</t>
  </si>
  <si>
    <t>B25041_005</t>
  </si>
  <si>
    <t>Estimate!!Total:!!3 bedrooms</t>
  </si>
  <si>
    <t>B25041_006</t>
  </si>
  <si>
    <t>Estimate!!Total:!!4 bedrooms</t>
  </si>
  <si>
    <t>B25041_007</t>
  </si>
  <si>
    <t>Estimate!!Total:!!5 or more bedrooms</t>
  </si>
  <si>
    <t>B25042_002</t>
  </si>
  <si>
    <t>B25042_003</t>
  </si>
  <si>
    <t>Estimate!!Total:!!Owner occupied:!!No bedroom</t>
  </si>
  <si>
    <t>B25042_004</t>
  </si>
  <si>
    <t>Estimate!!Total:!!Owner occupied:!!1 bedroom</t>
  </si>
  <si>
    <t>B25042_005</t>
  </si>
  <si>
    <t>Estimate!!Total:!!Owner occupied:!!2 bedrooms</t>
  </si>
  <si>
    <t>B25042_006</t>
  </si>
  <si>
    <t>Estimate!!Total:!!Owner occupied:!!3 bedrooms</t>
  </si>
  <si>
    <t>B25042_007</t>
  </si>
  <si>
    <t>Estimate!!Total:!!Owner occupied:!!4 bedrooms</t>
  </si>
  <si>
    <t>B25042_008</t>
  </si>
  <si>
    <t>Estimate!!Total:!!Owner occupied:!!5 or more bedrooms</t>
  </si>
  <si>
    <t>B25042_009</t>
  </si>
  <si>
    <t>B25042_010</t>
  </si>
  <si>
    <t>Estimate!!Total:!!Renter occupied:!!No bedroom</t>
  </si>
  <si>
    <t>B25042_011</t>
  </si>
  <si>
    <t>Estimate!!Total:!!Renter occupied:!!1 bedroom</t>
  </si>
  <si>
    <t>B25042_012</t>
  </si>
  <si>
    <t>Estimate!!Total:!!Renter occupied:!!2 bedrooms</t>
  </si>
  <si>
    <t>B25042_013</t>
  </si>
  <si>
    <t>Estimate!!Total:!!Renter occupied:!!3 bedrooms</t>
  </si>
  <si>
    <t>B25042_014</t>
  </si>
  <si>
    <t>Estimate!!Total:!!Renter occupied:!!4 bedrooms</t>
  </si>
  <si>
    <t>B25042_015</t>
  </si>
  <si>
    <t>Estimate!!Total:!!Renter occupied:!!5 or more bedrooms</t>
  </si>
  <si>
    <t>B25043_002</t>
  </si>
  <si>
    <t>B25043_003</t>
  </si>
  <si>
    <t>Estimate!!Total:!!Owner occupied:!!With telephone service available:</t>
  </si>
  <si>
    <t>B25043_004</t>
  </si>
  <si>
    <t>Estimate!!Total:!!Owner occupied:!!With telephone service available:!!Householder 15 to 34 years</t>
  </si>
  <si>
    <t>B25043_005</t>
  </si>
  <si>
    <t>Estimate!!Total:!!Owner occupied:!!With telephone service available:!!Householder 35 to 64 years</t>
  </si>
  <si>
    <t>B25043_006</t>
  </si>
  <si>
    <t>Estimate!!Total:!!Owner occupied:!!With telephone service available:!!Householder 65 years and over</t>
  </si>
  <si>
    <t>B25043_007</t>
  </si>
  <si>
    <t>Estimate!!Total:!!Owner occupied:!!No telephone service available:</t>
  </si>
  <si>
    <t>B25043_008</t>
  </si>
  <si>
    <t>Estimate!!Total:!!Owner occupied:!!No telephone service available:!!Householder 15 to 34 years</t>
  </si>
  <si>
    <t>B25043_009</t>
  </si>
  <si>
    <t>Estimate!!Total:!!Owner occupied:!!No telephone service available:!!Householder 35 to 64 years</t>
  </si>
  <si>
    <t>B25043_010</t>
  </si>
  <si>
    <t>Estimate!!Total:!!Owner occupied:!!No telephone service available:!!Householder 65 years and over</t>
  </si>
  <si>
    <t>B25043_011</t>
  </si>
  <si>
    <t>B25043_012</t>
  </si>
  <si>
    <t>Estimate!!Total:!!Renter occupied:!!With telephone service available:</t>
  </si>
  <si>
    <t>B25043_013</t>
  </si>
  <si>
    <t>Estimate!!Total:!!Renter occupied:!!With telephone service available:!!Householder 15 to 34 years</t>
  </si>
  <si>
    <t>B25043_014</t>
  </si>
  <si>
    <t>Estimate!!Total:!!Renter occupied:!!With telephone service available:!!Householder 35 to 64 years</t>
  </si>
  <si>
    <t>B25043_015</t>
  </si>
  <si>
    <t>Estimate!!Total:!!Renter occupied:!!With telephone service available:!!Householder 65 years and over</t>
  </si>
  <si>
    <t>B25043_016</t>
  </si>
  <si>
    <t>Estimate!!Total:!!Renter occupied:!!No telephone service available:</t>
  </si>
  <si>
    <t>B25043_017</t>
  </si>
  <si>
    <t>Estimate!!Total:!!Renter occupied:!!No telephone service available:!!Householder 15 to 34 years</t>
  </si>
  <si>
    <t>B25043_018</t>
  </si>
  <si>
    <t>Estimate!!Total:!!Renter occupied:!!No telephone service available:!!Householder 35 to 64 years</t>
  </si>
  <si>
    <t>B25043_019</t>
  </si>
  <si>
    <t>Estimate!!Total:!!Renter occupied:!!No telephone service available:!!Householder 65 years and over</t>
  </si>
  <si>
    <t>B25044_002</t>
  </si>
  <si>
    <t>B25044_003</t>
  </si>
  <si>
    <t>Estimate!!Total:!!Owner occupied:!!No vehicle available</t>
  </si>
  <si>
    <t>B25044_004</t>
  </si>
  <si>
    <t>Estimate!!Total:!!Owner occupied:!!1 vehicle available</t>
  </si>
  <si>
    <t>B25044_005</t>
  </si>
  <si>
    <t>Estimate!!Total:!!Owner occupied:!!2 vehicles available</t>
  </si>
  <si>
    <t>B25044_006</t>
  </si>
  <si>
    <t>Estimate!!Total:!!Owner occupied:!!3 vehicles available</t>
  </si>
  <si>
    <t>B25044_007</t>
  </si>
  <si>
    <t>Estimate!!Total:!!Owner occupied:!!4 vehicles available</t>
  </si>
  <si>
    <t>B25044_008</t>
  </si>
  <si>
    <t>Estimate!!Total:!!Owner occupied:!!5 or more vehicles available</t>
  </si>
  <si>
    <t>B25044_009</t>
  </si>
  <si>
    <t>B25044_010</t>
  </si>
  <si>
    <t>Estimate!!Total:!!Renter occupied:!!No vehicle available</t>
  </si>
  <si>
    <t>B25044_011</t>
  </si>
  <si>
    <t>Estimate!!Total:!!Renter occupied:!!1 vehicle available</t>
  </si>
  <si>
    <t>B25044_012</t>
  </si>
  <si>
    <t>Estimate!!Total:!!Renter occupied:!!2 vehicles available</t>
  </si>
  <si>
    <t>B25044_013</t>
  </si>
  <si>
    <t>Estimate!!Total:!!Renter occupied:!!3 vehicles available</t>
  </si>
  <si>
    <t>B25044_014</t>
  </si>
  <si>
    <t>Estimate!!Total:!!Renter occupied:!!4 vehicles available</t>
  </si>
  <si>
    <t>B25044_015</t>
  </si>
  <si>
    <t>Estimate!!Total:!!Renter occupied:!!5 or more vehicles available</t>
  </si>
  <si>
    <t>B25045_002</t>
  </si>
  <si>
    <t>B25045_003</t>
  </si>
  <si>
    <t>Estimate!!Total:!!Owner occupied:!!No vehicle available:</t>
  </si>
  <si>
    <t>B25045_004</t>
  </si>
  <si>
    <t>Estimate!!Total:!!Owner occupied:!!No vehicle available:!!Householder 15 to 34 years</t>
  </si>
  <si>
    <t>B25045_005</t>
  </si>
  <si>
    <t>Estimate!!Total:!!Owner occupied:!!No vehicle available:!!Householder 35 to 64 years</t>
  </si>
  <si>
    <t>B25045_006</t>
  </si>
  <si>
    <t>Estimate!!Total:!!Owner occupied:!!No vehicle available:!!Householder 65 years and over</t>
  </si>
  <si>
    <t>B25045_007</t>
  </si>
  <si>
    <t>Estimate!!Total:!!Owner occupied:!!1 or more vehicles available:</t>
  </si>
  <si>
    <t>B25045_008</t>
  </si>
  <si>
    <t>Estimate!!Total:!!Owner occupied:!!1 or more vehicles available:!!Householder 15 to 34 years</t>
  </si>
  <si>
    <t>B25045_009</t>
  </si>
  <si>
    <t>Estimate!!Total:!!Owner occupied:!!1 or more vehicles available:!!Householder 35 to 64 years</t>
  </si>
  <si>
    <t>B25045_010</t>
  </si>
  <si>
    <t>Estimate!!Total:!!Owner occupied:!!1 or more vehicles available:!!Householder 65 years and over</t>
  </si>
  <si>
    <t>B25045_011</t>
  </si>
  <si>
    <t>B25045_012</t>
  </si>
  <si>
    <t>Estimate!!Total:!!Renter occupied:!!No vehicle available:</t>
  </si>
  <si>
    <t>B25045_013</t>
  </si>
  <si>
    <t>Estimate!!Total:!!Renter occupied:!!No vehicle available:!!Householder 15 to 34 years</t>
  </si>
  <si>
    <t>B25045_014</t>
  </si>
  <si>
    <t>Estimate!!Total:!!Renter occupied:!!No vehicle available:!!Householder 35 to 64 years</t>
  </si>
  <si>
    <t>B25045_015</t>
  </si>
  <si>
    <t>Estimate!!Total:!!Renter occupied:!!No vehicle available:!!Householder 65 years and over</t>
  </si>
  <si>
    <t>B25045_016</t>
  </si>
  <si>
    <t>Estimate!!Total:!!Renter occupied:!!1 or more vehicles available:</t>
  </si>
  <si>
    <t>B25045_017</t>
  </si>
  <si>
    <t>Estimate!!Total:!!Renter occupied:!!1 or more vehicles available:!!Householder 15 to 34 years</t>
  </si>
  <si>
    <t>B25045_018</t>
  </si>
  <si>
    <t>Estimate!!Total:!!Renter occupied:!!1 or more vehicles available:!!Householder 35 to 64 years</t>
  </si>
  <si>
    <t>B25045_019</t>
  </si>
  <si>
    <t>Estimate!!Total:!!Renter occupied:!!1 or more vehicles available:!!Householder 65 years and over</t>
  </si>
  <si>
    <t>B25046_002</t>
  </si>
  <si>
    <t>Estimate!!Aggregate number of vehicles available:!!Owner occupied</t>
  </si>
  <si>
    <t>B25046_003</t>
  </si>
  <si>
    <t>Estimate!!Aggregate number of vehicles available:!!Renter occupied</t>
  </si>
  <si>
    <t>B25047_002</t>
  </si>
  <si>
    <t>Estimate!!Total:!!Complete plumbing facilities</t>
  </si>
  <si>
    <t>B25047_003</t>
  </si>
  <si>
    <t>Estimate!!Total:!!Lacking complete plumbing facilities</t>
  </si>
  <si>
    <t>B25048_002</t>
  </si>
  <si>
    <t>B25048_003</t>
  </si>
  <si>
    <t>B25049_002</t>
  </si>
  <si>
    <t>B25049_003</t>
  </si>
  <si>
    <t>Estimate!!Total:!!Owner occupied:!!Complete plumbing facilities</t>
  </si>
  <si>
    <t>B25049_004</t>
  </si>
  <si>
    <t>Estimate!!Total:!!Owner occupied:!!Lacking plumbing facilities</t>
  </si>
  <si>
    <t>B25049_005</t>
  </si>
  <si>
    <t>B25049_006</t>
  </si>
  <si>
    <t>Estimate!!Total:!!Renter occupied:!!Complete plumbing facilities</t>
  </si>
  <si>
    <t>B25049_007</t>
  </si>
  <si>
    <t>Estimate!!Total:!!Renter occupied:!!Lacking plumbing facilities</t>
  </si>
  <si>
    <t>B25050_002</t>
  </si>
  <si>
    <t>Estimate!!Total:!!Complete plumbing facilities:</t>
  </si>
  <si>
    <t>B25050_003</t>
  </si>
  <si>
    <t>Estimate!!Total:!!Complete plumbing facilities:!!1.00 or less occupants per room:</t>
  </si>
  <si>
    <t>B25050_004</t>
  </si>
  <si>
    <t>Estimate!!Total:!!Complete plumbing facilities:!!1.00 or less occupants per room:!!Built 1950 or later</t>
  </si>
  <si>
    <t>B25050_005</t>
  </si>
  <si>
    <t>Estimate!!Total:!!Complete plumbing facilities:!!1.00 or less occupants per room:!!Built 1940 to 1949</t>
  </si>
  <si>
    <t>B25050_006</t>
  </si>
  <si>
    <t>Estimate!!Total:!!Complete plumbing facilities:!!1.00 or less occupants per room:!!Built 1939 or earlier</t>
  </si>
  <si>
    <t>B25050_007</t>
  </si>
  <si>
    <t>Estimate!!Total:!!Complete plumbing facilities:!!1.01 or more occupants per room:</t>
  </si>
  <si>
    <t>B25050_008</t>
  </si>
  <si>
    <t>Estimate!!Total:!!Complete plumbing facilities:!!1.01 or more occupants per room:!!Built 1950 or later</t>
  </si>
  <si>
    <t>B25050_009</t>
  </si>
  <si>
    <t>Estimate!!Total:!!Complete plumbing facilities:!!1.01 or more occupants per room:!!Built 1940 to 1949</t>
  </si>
  <si>
    <t>B25050_010</t>
  </si>
  <si>
    <t>Estimate!!Total:!!Complete plumbing facilities:!!1.01 or more occupants per room:!!Built 1939 or earlier</t>
  </si>
  <si>
    <t>B25050_011</t>
  </si>
  <si>
    <t>Estimate!!Total:!!Lacking complete plumbing facilities:</t>
  </si>
  <si>
    <t>B25050_012</t>
  </si>
  <si>
    <t>Estimate!!Total:!!Lacking complete plumbing facilities:!!1.00 or less occupants per room:</t>
  </si>
  <si>
    <t>B25050_013</t>
  </si>
  <si>
    <t>Estimate!!Total:!!Lacking complete plumbing facilities:!!1.00 or less occupants per room:!!Built 1950 or later</t>
  </si>
  <si>
    <t>B25050_014</t>
  </si>
  <si>
    <t>Estimate!!Total:!!Lacking complete plumbing facilities:!!1.00 or less occupants per room:!!Built 1940 to 1949</t>
  </si>
  <si>
    <t>B25050_015</t>
  </si>
  <si>
    <t>Estimate!!Total:!!Lacking complete plumbing facilities:!!1.00 or less occupants per room:!!Built 1939 or earlier</t>
  </si>
  <si>
    <t>B25050_016</t>
  </si>
  <si>
    <t>Estimate!!Total:!!Lacking complete plumbing facilities:!!1.01 or more occupants per room:</t>
  </si>
  <si>
    <t>B25050_017</t>
  </si>
  <si>
    <t>Estimate!!Total:!!Lacking complete plumbing facilities:!!1.01 or more occupants per room:!!Built 1950 or later</t>
  </si>
  <si>
    <t>B25050_018</t>
  </si>
  <si>
    <t>Estimate!!Total:!!Lacking complete plumbing facilities:!!1.01 or more occupants per room:!!Built 1940 to 1949</t>
  </si>
  <si>
    <t>B25050_019</t>
  </si>
  <si>
    <t>Estimate!!Total:!!Lacking complete plumbing facilities:!!1.01 or more occupants per room:!!Built 1939 or earlier</t>
  </si>
  <si>
    <t>B25051_002</t>
  </si>
  <si>
    <t>Estimate!!Total:!!Complete kitchen facilities</t>
  </si>
  <si>
    <t>B25051_003</t>
  </si>
  <si>
    <t>Estimate!!Total:!!Lacking complete kitchen facilities</t>
  </si>
  <si>
    <t>B25052_002</t>
  </si>
  <si>
    <t>B25052_003</t>
  </si>
  <si>
    <t>B25053_002</t>
  </si>
  <si>
    <t>B25053_003</t>
  </si>
  <si>
    <t>Estimate!!Total:!!Owner occupied:!!Complete kitchen facilities</t>
  </si>
  <si>
    <t>B25053_004</t>
  </si>
  <si>
    <t>Estimate!!Total:!!Owner occupied:!!Lacking complete kitchen facilities</t>
  </si>
  <si>
    <t>B25053_005</t>
  </si>
  <si>
    <t>B25053_006</t>
  </si>
  <si>
    <t>Estimate!!Total:!!Renter occupied:!!Complete kitchen facilities</t>
  </si>
  <si>
    <t>B25053_007</t>
  </si>
  <si>
    <t>Estimate!!Total:!!Renter occupied:!!Lacking complete kitchen facilities</t>
  </si>
  <si>
    <t>B25054_002</t>
  </si>
  <si>
    <t>Estimate!!Total:!!Complete kitchen facilities:</t>
  </si>
  <si>
    <t>B25054_003</t>
  </si>
  <si>
    <t>Estimate!!Total:!!Complete kitchen facilities:!!Meals included in rent</t>
  </si>
  <si>
    <t>B25054_004</t>
  </si>
  <si>
    <t>Estimate!!Total:!!Complete kitchen facilities:!!No meals included in rent</t>
  </si>
  <si>
    <t>B25054_005</t>
  </si>
  <si>
    <t>Estimate!!Total:!!Lacking complete kitchen facilities:</t>
  </si>
  <si>
    <t>B25054_006</t>
  </si>
  <si>
    <t>Estimate!!Total:!!Lacking complete kitchen facilities:!!Meals included in rent</t>
  </si>
  <si>
    <t>B25054_007</t>
  </si>
  <si>
    <t>Estimate!!Total:!!Lacking complete kitchen facilities:!!No meals included in rent</t>
  </si>
  <si>
    <t>B25055_002</t>
  </si>
  <si>
    <t>Estimate!!Total:!!Householder 15 to 54 years:</t>
  </si>
  <si>
    <t>B25055_003</t>
  </si>
  <si>
    <t>Estimate!!Total:!!Householder 15 to 54 years:!!Meals included in rent</t>
  </si>
  <si>
    <t>B25055_004</t>
  </si>
  <si>
    <t>Estimate!!Total:!!Householder 15 to 54 years:!!No meals included in rent</t>
  </si>
  <si>
    <t>B25055_005</t>
  </si>
  <si>
    <t>Estimate!!Total:!!Householder 55 to 64 years:</t>
  </si>
  <si>
    <t>B25055_006</t>
  </si>
  <si>
    <t>Estimate!!Total:!!Householder 55 to 64 years:!!Meals included in rent</t>
  </si>
  <si>
    <t>B25055_007</t>
  </si>
  <si>
    <t>Estimate!!Total:!!Householder 55 to 64 years:!!No meals included in rent</t>
  </si>
  <si>
    <t>B25055_008</t>
  </si>
  <si>
    <t>Estimate!!Total:!!Householder 65 to 74 years:</t>
  </si>
  <si>
    <t>B25055_009</t>
  </si>
  <si>
    <t>Estimate!!Total:!!Householder 65 to 74 years:!!Meals included in rent</t>
  </si>
  <si>
    <t>B25055_010</t>
  </si>
  <si>
    <t>Estimate!!Total:!!Householder 65 to 74 years:!!No meals included in rent</t>
  </si>
  <si>
    <t>B25055_011</t>
  </si>
  <si>
    <t>Estimate!!Total:!!Householder 75 years and over:</t>
  </si>
  <si>
    <t>B25055_012</t>
  </si>
  <si>
    <t>Estimate!!Total:!!Householder 75 years and over:!!Meals included in rent</t>
  </si>
  <si>
    <t>B25055_013</t>
  </si>
  <si>
    <t>Estimate!!Total:!!Householder 75 years and over:!!No meals included in rent</t>
  </si>
  <si>
    <t>B25056_002</t>
  </si>
  <si>
    <t>Estimate!!Total:!!With cash rent:</t>
  </si>
  <si>
    <t>B25056_003</t>
  </si>
  <si>
    <t>Estimate!!Total:!!With cash rent:!!Less than $100</t>
  </si>
  <si>
    <t>B25056_004</t>
  </si>
  <si>
    <t>Estimate!!Total:!!With cash rent:!!$100 to $149</t>
  </si>
  <si>
    <t>B25056_005</t>
  </si>
  <si>
    <t>Estimate!!Total:!!With cash rent:!!$150 to $199</t>
  </si>
  <si>
    <t>B25056_006</t>
  </si>
  <si>
    <t>Estimate!!Total:!!With cash rent:!!$200 to $249</t>
  </si>
  <si>
    <t>B25056_007</t>
  </si>
  <si>
    <t>Estimate!!Total:!!With cash rent:!!$250 to $299</t>
  </si>
  <si>
    <t>B25056_008</t>
  </si>
  <si>
    <t>Estimate!!Total:!!With cash rent:!!$300 to $349</t>
  </si>
  <si>
    <t>B25056_009</t>
  </si>
  <si>
    <t>Estimate!!Total:!!With cash rent:!!$350 to $399</t>
  </si>
  <si>
    <t>B25056_010</t>
  </si>
  <si>
    <t>Estimate!!Total:!!With cash rent:!!$400 to $449</t>
  </si>
  <si>
    <t>B25056_011</t>
  </si>
  <si>
    <t>Estimate!!Total:!!With cash rent:!!$450 to $499</t>
  </si>
  <si>
    <t>B25056_012</t>
  </si>
  <si>
    <t>Estimate!!Total:!!With cash rent:!!$500 to $549</t>
  </si>
  <si>
    <t>B25056_013</t>
  </si>
  <si>
    <t>Estimate!!Total:!!With cash rent:!!$550 to $599</t>
  </si>
  <si>
    <t>B25056_014</t>
  </si>
  <si>
    <t>Estimate!!Total:!!With cash rent:!!$600 to $649</t>
  </si>
  <si>
    <t>B25056_015</t>
  </si>
  <si>
    <t>Estimate!!Total:!!With cash rent:!!$650 to $699</t>
  </si>
  <si>
    <t>B25056_016</t>
  </si>
  <si>
    <t>Estimate!!Total:!!With cash rent:!!$700 to $749</t>
  </si>
  <si>
    <t>B25056_017</t>
  </si>
  <si>
    <t>Estimate!!Total:!!With cash rent:!!$750 to $799</t>
  </si>
  <si>
    <t>B25056_018</t>
  </si>
  <si>
    <t>Estimate!!Total:!!With cash rent:!!$800 to $899</t>
  </si>
  <si>
    <t>B25056_019</t>
  </si>
  <si>
    <t>Estimate!!Total:!!With cash rent:!!$900 to $999</t>
  </si>
  <si>
    <t>B25056_020</t>
  </si>
  <si>
    <t>Estimate!!Total:!!With cash rent:!!$1,000 to $1,249</t>
  </si>
  <si>
    <t>B25056_021</t>
  </si>
  <si>
    <t>Estimate!!Total:!!With cash rent:!!$1,250 to $1,499</t>
  </si>
  <si>
    <t>B25056_022</t>
  </si>
  <si>
    <t>Estimate!!Total:!!With cash rent:!!$1,500 to $1,999</t>
  </si>
  <si>
    <t>B25056_023</t>
  </si>
  <si>
    <t>Estimate!!Total:!!With cash rent:!!$2,000 to $2,499</t>
  </si>
  <si>
    <t>B25056_024</t>
  </si>
  <si>
    <t>Estimate!!Total:!!With cash rent:!!$2,500 to $2,999</t>
  </si>
  <si>
    <t>B25056_025</t>
  </si>
  <si>
    <t>Estimate!!Total:!!With cash rent:!!$3,000 to $3,499</t>
  </si>
  <si>
    <t>B25056_026</t>
  </si>
  <si>
    <t>Estimate!!Total:!!With cash rent:!!$3,500 or more</t>
  </si>
  <si>
    <t>B25056_027</t>
  </si>
  <si>
    <t>Estimate!!Total:!!No cash rent</t>
  </si>
  <si>
    <t>B25061_002</t>
  </si>
  <si>
    <t>Estimate!!Total:!!Less than $100</t>
  </si>
  <si>
    <t>B25061_003</t>
  </si>
  <si>
    <t>Estimate!!Total:!!$100 to $149</t>
  </si>
  <si>
    <t>B25061_004</t>
  </si>
  <si>
    <t>Estimate!!Total:!!$150 to $199</t>
  </si>
  <si>
    <t>B25061_005</t>
  </si>
  <si>
    <t>Estimate!!Total:!!$200 to $249</t>
  </si>
  <si>
    <t>B25061_006</t>
  </si>
  <si>
    <t>Estimate!!Total:!!$250 to $299</t>
  </si>
  <si>
    <t>B25061_007</t>
  </si>
  <si>
    <t>Estimate!!Total:!!$300 to $349</t>
  </si>
  <si>
    <t>B25061_008</t>
  </si>
  <si>
    <t>Estimate!!Total:!!$350 to $399</t>
  </si>
  <si>
    <t>B25061_009</t>
  </si>
  <si>
    <t>Estimate!!Total:!!$400 to $449</t>
  </si>
  <si>
    <t>B25061_010</t>
  </si>
  <si>
    <t>Estimate!!Total:!!$450 to $499</t>
  </si>
  <si>
    <t>B25061_011</t>
  </si>
  <si>
    <t>Estimate!!Total:!!$500 to $549</t>
  </si>
  <si>
    <t>B25061_012</t>
  </si>
  <si>
    <t>Estimate!!Total:!!$550 to $599</t>
  </si>
  <si>
    <t>B25061_013</t>
  </si>
  <si>
    <t>Estimate!!Total:!!$600 to $649</t>
  </si>
  <si>
    <t>B25061_014</t>
  </si>
  <si>
    <t>Estimate!!Total:!!$650 to $699</t>
  </si>
  <si>
    <t>B25061_015</t>
  </si>
  <si>
    <t>Estimate!!Total:!!$700 to $749</t>
  </si>
  <si>
    <t>B25061_016</t>
  </si>
  <si>
    <t>Estimate!!Total:!!$750 to $799</t>
  </si>
  <si>
    <t>B25061_017</t>
  </si>
  <si>
    <t>Estimate!!Total:!!$800 to $899</t>
  </si>
  <si>
    <t>B25061_018</t>
  </si>
  <si>
    <t>Estimate!!Total:!!$900 to $999</t>
  </si>
  <si>
    <t>B25061_019</t>
  </si>
  <si>
    <t>Estimate!!Total:!!$1,000 to $1,249</t>
  </si>
  <si>
    <t>B25061_020</t>
  </si>
  <si>
    <t>Estimate!!Total:!!$1,250 to $1,499</t>
  </si>
  <si>
    <t>B25061_021</t>
  </si>
  <si>
    <t>Estimate!!Total:!!$1,500 to $1,999</t>
  </si>
  <si>
    <t>B25061_022</t>
  </si>
  <si>
    <t>Estimate!!Total:!!$2,000 to $2,499</t>
  </si>
  <si>
    <t>B25061_023</t>
  </si>
  <si>
    <t>Estimate!!Total:!!$2,500 to $2,999</t>
  </si>
  <si>
    <t>B25061_024</t>
  </si>
  <si>
    <t>Estimate!!Total:!!$3,000 to $3,499</t>
  </si>
  <si>
    <t>B25061_025</t>
  </si>
  <si>
    <t>Estimate!!Total:!!$3,500 or more</t>
  </si>
  <si>
    <t>B25063_002</t>
  </si>
  <si>
    <t>B25063_003</t>
  </si>
  <si>
    <t>B25063_004</t>
  </si>
  <si>
    <t>B25063_005</t>
  </si>
  <si>
    <t>B25063_006</t>
  </si>
  <si>
    <t>B25063_007</t>
  </si>
  <si>
    <t>B25063_008</t>
  </si>
  <si>
    <t>B25063_009</t>
  </si>
  <si>
    <t>B25063_010</t>
  </si>
  <si>
    <t>B25063_011</t>
  </si>
  <si>
    <t>B25063_012</t>
  </si>
  <si>
    <t>B25063_013</t>
  </si>
  <si>
    <t>B25063_014</t>
  </si>
  <si>
    <t>B25063_015</t>
  </si>
  <si>
    <t>B25063_016</t>
  </si>
  <si>
    <t>B25063_017</t>
  </si>
  <si>
    <t>B25063_018</t>
  </si>
  <si>
    <t>B25063_019</t>
  </si>
  <si>
    <t>B25063_020</t>
  </si>
  <si>
    <t>B25063_021</t>
  </si>
  <si>
    <t>B25063_022</t>
  </si>
  <si>
    <t>B25063_023</t>
  </si>
  <si>
    <t>B25063_024</t>
  </si>
  <si>
    <t>B25063_025</t>
  </si>
  <si>
    <t>B25063_026</t>
  </si>
  <si>
    <t>B25063_027</t>
  </si>
  <si>
    <t>B25066_002</t>
  </si>
  <si>
    <t>Estimate!!Aggregate gross rent:!!1, detached or attached</t>
  </si>
  <si>
    <t>B25066_003</t>
  </si>
  <si>
    <t>Estimate!!Aggregate gross rent:!!2 to 4</t>
  </si>
  <si>
    <t>B25066_004</t>
  </si>
  <si>
    <t>Estimate!!Aggregate gross rent:!!5 to 19</t>
  </si>
  <si>
    <t>B25066_005</t>
  </si>
  <si>
    <t>Estimate!!Aggregate gross rent:!!20 to 49</t>
  </si>
  <si>
    <t>B25066_006</t>
  </si>
  <si>
    <t>Estimate!!Aggregate gross rent:!!50 or more</t>
  </si>
  <si>
    <t>B25066_007</t>
  </si>
  <si>
    <t>Estimate!!Aggregate gross rent:!!Mobile home</t>
  </si>
  <si>
    <t>B25066_008</t>
  </si>
  <si>
    <t>Estimate!!Aggregate gross rent:!!Boat, RV, van, etc.</t>
  </si>
  <si>
    <t>B25067_002</t>
  </si>
  <si>
    <t>Estimate!!Aggregate gross rent:!!Meals included in rent</t>
  </si>
  <si>
    <t>B25067_003</t>
  </si>
  <si>
    <t>Estimate!!Aggregate gross rent:!!No meals included in rent</t>
  </si>
  <si>
    <t>B25068_002</t>
  </si>
  <si>
    <t>Estimate!!Total:!!No bedroom:</t>
  </si>
  <si>
    <t>B25068_003</t>
  </si>
  <si>
    <t>Estimate!!Total:!!No bedroom:!!With cash rent:</t>
  </si>
  <si>
    <t>B25068_004</t>
  </si>
  <si>
    <t>Estimate!!Total:!!No bedroom:!!With cash rent:!!Less than $300</t>
  </si>
  <si>
    <t>B25068_005</t>
  </si>
  <si>
    <t>Estimate!!Total:!!No bedroom:!!With cash rent:!!$300 to $499</t>
  </si>
  <si>
    <t>B25068_006</t>
  </si>
  <si>
    <t>Estimate!!Total:!!No bedroom:!!With cash rent:!!$500 to $749</t>
  </si>
  <si>
    <t>B25068_007</t>
  </si>
  <si>
    <t>Estimate!!Total:!!No bedroom:!!With cash rent:!!$750 to $999</t>
  </si>
  <si>
    <t>B25068_008</t>
  </si>
  <si>
    <t>Estimate!!Total:!!No bedroom:!!With cash rent:!!$1,000 to $1,499</t>
  </si>
  <si>
    <t>B25068_009</t>
  </si>
  <si>
    <t>Estimate!!Total:!!No bedroom:!!With cash rent:!!$1,500 or more</t>
  </si>
  <si>
    <t>B25068_010</t>
  </si>
  <si>
    <t>Estimate!!Total:!!No bedroom:!!No cash rent</t>
  </si>
  <si>
    <t>B25068_011</t>
  </si>
  <si>
    <t>Estimate!!Total:!!1 bedroom:</t>
  </si>
  <si>
    <t>B25068_012</t>
  </si>
  <si>
    <t>Estimate!!Total:!!1 bedroom:!!With cash rent:</t>
  </si>
  <si>
    <t>B25068_013</t>
  </si>
  <si>
    <t>Estimate!!Total:!!1 bedroom:!!With cash rent:!!Less than $300</t>
  </si>
  <si>
    <t>B25068_014</t>
  </si>
  <si>
    <t>Estimate!!Total:!!1 bedroom:!!With cash rent:!!$300 to $499</t>
  </si>
  <si>
    <t>B25068_015</t>
  </si>
  <si>
    <t>Estimate!!Total:!!1 bedroom:!!With cash rent:!!$500 to $749</t>
  </si>
  <si>
    <t>B25068_016</t>
  </si>
  <si>
    <t>Estimate!!Total:!!1 bedroom:!!With cash rent:!!$750 to $999</t>
  </si>
  <si>
    <t>B25068_017</t>
  </si>
  <si>
    <t>Estimate!!Total:!!1 bedroom:!!With cash rent:!!$1,000 to $1,499</t>
  </si>
  <si>
    <t>B25068_018</t>
  </si>
  <si>
    <t>Estimate!!Total:!!1 bedroom:!!With cash rent:!!$1,500 or more</t>
  </si>
  <si>
    <t>B25068_019</t>
  </si>
  <si>
    <t>Estimate!!Total:!!1 bedroom:!!No cash rent</t>
  </si>
  <si>
    <t>B25068_020</t>
  </si>
  <si>
    <t>Estimate!!Total:!!2 bedrooms:</t>
  </si>
  <si>
    <t>B25068_021</t>
  </si>
  <si>
    <t>Estimate!!Total:!!2 bedrooms:!!With cash rent:</t>
  </si>
  <si>
    <t>B25068_022</t>
  </si>
  <si>
    <t>Estimate!!Total:!!2 bedrooms:!!With cash rent:!!Less than $300</t>
  </si>
  <si>
    <t>B25068_023</t>
  </si>
  <si>
    <t>Estimate!!Total:!!2 bedrooms:!!With cash rent:!!$300 to $499</t>
  </si>
  <si>
    <t>B25068_024</t>
  </si>
  <si>
    <t>Estimate!!Total:!!2 bedrooms:!!With cash rent:!!$500 to $749</t>
  </si>
  <si>
    <t>B25068_025</t>
  </si>
  <si>
    <t>Estimate!!Total:!!2 bedrooms:!!With cash rent:!!$750 to $999</t>
  </si>
  <si>
    <t>B25068_026</t>
  </si>
  <si>
    <t>Estimate!!Total:!!2 bedrooms:!!With cash rent:!!$1,000 to $1,499</t>
  </si>
  <si>
    <t>B25068_027</t>
  </si>
  <si>
    <t>Estimate!!Total:!!2 bedrooms:!!With cash rent:!!$1,500 or more</t>
  </si>
  <si>
    <t>B25068_028</t>
  </si>
  <si>
    <t>Estimate!!Total:!!2 bedrooms:!!No cash rent</t>
  </si>
  <si>
    <t>B25068_029</t>
  </si>
  <si>
    <t>Estimate!!Total:!!3 or more bedrooms:</t>
  </si>
  <si>
    <t>B25068_030</t>
  </si>
  <si>
    <t>Estimate!!Total:!!3 or more bedrooms:!!With cash rent:</t>
  </si>
  <si>
    <t>B25068_031</t>
  </si>
  <si>
    <t>Estimate!!Total:!!3 or more bedrooms:!!With cash rent:!!Less than $300</t>
  </si>
  <si>
    <t>B25068_032</t>
  </si>
  <si>
    <t>Estimate!!Total:!!3 or more bedrooms:!!With cash rent:!!$300 to $499</t>
  </si>
  <si>
    <t>B25068_033</t>
  </si>
  <si>
    <t>Estimate!!Total:!!3 or more bedrooms:!!With cash rent:!!$500 to $749</t>
  </si>
  <si>
    <t>B25068_034</t>
  </si>
  <si>
    <t>Estimate!!Total:!!3 or more bedrooms:!!With cash rent:!!$750 to $999</t>
  </si>
  <si>
    <t>B25068_035</t>
  </si>
  <si>
    <t>Estimate!!Total:!!3 or more bedrooms:!!With cash rent:!!$1,000 to $1,499</t>
  </si>
  <si>
    <t>B25068_036</t>
  </si>
  <si>
    <t>Estimate!!Total:!!3 or more bedrooms:!!With cash rent:!!$1,500 or more</t>
  </si>
  <si>
    <t>B25068_037</t>
  </si>
  <si>
    <t>Estimate!!Total:!!3 or more bedrooms:!!No cash rent</t>
  </si>
  <si>
    <t>B25069_002</t>
  </si>
  <si>
    <t>Estimate!!Total:!!Pay extra for one or more utilities</t>
  </si>
  <si>
    <t>B25069_003</t>
  </si>
  <si>
    <t>Estimate!!Total:!!No extra payment for any utilities</t>
  </si>
  <si>
    <t>B25070_002</t>
  </si>
  <si>
    <t>Estimate!!Total:!!Less than 10.0 percent</t>
  </si>
  <si>
    <t>B25070_003</t>
  </si>
  <si>
    <t>Estimate!!Total:!!10.0 to 14.9 percent</t>
  </si>
  <si>
    <t>B25070_004</t>
  </si>
  <si>
    <t>Estimate!!Total:!!15.0 to 19.9 percent</t>
  </si>
  <si>
    <t>B25070_005</t>
  </si>
  <si>
    <t>Estimate!!Total:!!20.0 to 24.9 percent</t>
  </si>
  <si>
    <t>B25070_006</t>
  </si>
  <si>
    <t>Estimate!!Total:!!25.0 to 29.9 percent</t>
  </si>
  <si>
    <t>B25070_007</t>
  </si>
  <si>
    <t>Estimate!!Total:!!30.0 to 34.9 percent</t>
  </si>
  <si>
    <t>B25070_008</t>
  </si>
  <si>
    <t>Estimate!!Total:!!35.0 to 39.9 percent</t>
  </si>
  <si>
    <t>B25070_009</t>
  </si>
  <si>
    <t>Estimate!!Total:!!40.0 to 49.9 percent</t>
  </si>
  <si>
    <t>B25070_010</t>
  </si>
  <si>
    <t>Estimate!!Total:!!50.0 percent or more</t>
  </si>
  <si>
    <t>B25070_011</t>
  </si>
  <si>
    <t>Estimate!!Total:!!Not computed</t>
  </si>
  <si>
    <t>B25072_002</t>
  </si>
  <si>
    <t>Estimate!!Total:!!Householder 15 to 24 years:</t>
  </si>
  <si>
    <t>B25072_003</t>
  </si>
  <si>
    <t>Estimate!!Total:!!Householder 15 to 24 years:!!Less than 20.0 percent</t>
  </si>
  <si>
    <t>B25072_004</t>
  </si>
  <si>
    <t>Estimate!!Total:!!Householder 15 to 24 years:!!20.0 to 24.9 percent</t>
  </si>
  <si>
    <t>B25072_005</t>
  </si>
  <si>
    <t>Estimate!!Total:!!Householder 15 to 24 years:!!25.0 to 29.9 percent</t>
  </si>
  <si>
    <t>B25072_006</t>
  </si>
  <si>
    <t>Estimate!!Total:!!Householder 15 to 24 years:!!30.0 to 34.9 percent</t>
  </si>
  <si>
    <t>B25072_007</t>
  </si>
  <si>
    <t>Estimate!!Total:!!Householder 15 to 24 years:!!35.0 percent or more</t>
  </si>
  <si>
    <t>B25072_008</t>
  </si>
  <si>
    <t>Estimate!!Total:!!Householder 15 to 24 years:!!Not computed</t>
  </si>
  <si>
    <t>B25072_009</t>
  </si>
  <si>
    <t>Estimate!!Total:!!Householder 25 to 34 years:</t>
  </si>
  <si>
    <t>B25072_010</t>
  </si>
  <si>
    <t>Estimate!!Total:!!Householder 25 to 34 years:!!Less than 20.0 percent</t>
  </si>
  <si>
    <t>B25072_011</t>
  </si>
  <si>
    <t>Estimate!!Total:!!Householder 25 to 34 years:!!20.0 to 24.9 percent</t>
  </si>
  <si>
    <t>B25072_012</t>
  </si>
  <si>
    <t>Estimate!!Total:!!Householder 25 to 34 years:!!25.0 to 29.9 percent</t>
  </si>
  <si>
    <t>B25072_013</t>
  </si>
  <si>
    <t>Estimate!!Total:!!Householder 25 to 34 years:!!30.0 to 34.9 percent</t>
  </si>
  <si>
    <t>B25072_014</t>
  </si>
  <si>
    <t>Estimate!!Total:!!Householder 25 to 34 years:!!35.0 percent or more</t>
  </si>
  <si>
    <t>B25072_015</t>
  </si>
  <si>
    <t>Estimate!!Total:!!Householder 25 to 34 years:!!Not computed</t>
  </si>
  <si>
    <t>B25072_016</t>
  </si>
  <si>
    <t>Estimate!!Total:!!Householder 35 to 64 years:</t>
  </si>
  <si>
    <t>B25072_017</t>
  </si>
  <si>
    <t>Estimate!!Total:!!Householder 35 to 64 years:!!Less than 20.0 percent</t>
  </si>
  <si>
    <t>B25072_018</t>
  </si>
  <si>
    <t>Estimate!!Total:!!Householder 35 to 64 years:!!20.0 to 24.9 percent</t>
  </si>
  <si>
    <t>B25072_019</t>
  </si>
  <si>
    <t>Estimate!!Total:!!Householder 35 to 64 years:!!25.0 to 29.9 percent</t>
  </si>
  <si>
    <t>B25072_020</t>
  </si>
  <si>
    <t>Estimate!!Total:!!Householder 35 to 64 years:!!30.0 to 34.9 percent</t>
  </si>
  <si>
    <t>B25072_021</t>
  </si>
  <si>
    <t>Estimate!!Total:!!Householder 35 to 64 years:!!35.0 percent or more</t>
  </si>
  <si>
    <t>B25072_022</t>
  </si>
  <si>
    <t>Estimate!!Total:!!Householder 35 to 64 years:!!Not computed</t>
  </si>
  <si>
    <t>B25072_023</t>
  </si>
  <si>
    <t>B25072_024</t>
  </si>
  <si>
    <t>Estimate!!Total:!!Householder 65 years and over:!!Less than 20.0 percent</t>
  </si>
  <si>
    <t>B25072_025</t>
  </si>
  <si>
    <t>Estimate!!Total:!!Householder 65 years and over:!!20.0 to 24.9 percent</t>
  </si>
  <si>
    <t>B25072_026</t>
  </si>
  <si>
    <t>Estimate!!Total:!!Householder 65 years and over:!!25.0 to 29.9 percent</t>
  </si>
  <si>
    <t>B25072_027</t>
  </si>
  <si>
    <t>Estimate!!Total:!!Householder 65 years and over:!!30.0 to 34.9 percent</t>
  </si>
  <si>
    <t>B25072_028</t>
  </si>
  <si>
    <t>Estimate!!Total:!!Householder 65 years and over:!!35.0 percent or more</t>
  </si>
  <si>
    <t>B25072_029</t>
  </si>
  <si>
    <t>Estimate!!Total:!!Householder 65 years and over:!!Not computed</t>
  </si>
  <si>
    <t>B25074_002</t>
  </si>
  <si>
    <t>Estimate!!Total:!!Less than $10,000:</t>
  </si>
  <si>
    <t>B25074_003</t>
  </si>
  <si>
    <t>Estimate!!Total:!!Less than $10,000:!!Less than 20.0 percent</t>
  </si>
  <si>
    <t>B25074_004</t>
  </si>
  <si>
    <t>Estimate!!Total:!!Less than $10,000:!!20.0 to 24.9 percent</t>
  </si>
  <si>
    <t>B25074_005</t>
  </si>
  <si>
    <t>Estimate!!Total:!!Less than $10,000:!!25.0 to 29.9 percent</t>
  </si>
  <si>
    <t>B25074_006</t>
  </si>
  <si>
    <t>Estimate!!Total:!!Less than $10,000:!!30.0 to 34.9 percent</t>
  </si>
  <si>
    <t>B25074_007</t>
  </si>
  <si>
    <t>Estimate!!Total:!!Less than $10,000:!!35.0 to 39.9 percent</t>
  </si>
  <si>
    <t>B25074_008</t>
  </si>
  <si>
    <t>Estimate!!Total:!!Less than $10,000:!!40.0 to 49.9 percent</t>
  </si>
  <si>
    <t>B25074_009</t>
  </si>
  <si>
    <t>Estimate!!Total:!!Less than $10,000:!!50.0 percent or more</t>
  </si>
  <si>
    <t>B25074_010</t>
  </si>
  <si>
    <t>Estimate!!Total:!!Less than $10,000:!!Not computed</t>
  </si>
  <si>
    <t>B25074_011</t>
  </si>
  <si>
    <t>Estimate!!Total:!!$10,000 to $19,999:</t>
  </si>
  <si>
    <t>B25074_012</t>
  </si>
  <si>
    <t>Estimate!!Total:!!$10,000 to $19,999:!!Less than 20.0 percent</t>
  </si>
  <si>
    <t>B25074_013</t>
  </si>
  <si>
    <t>Estimate!!Total:!!$10,000 to $19,999:!!20.0 to 24.9 percent</t>
  </si>
  <si>
    <t>B25074_014</t>
  </si>
  <si>
    <t>Estimate!!Total:!!$10,000 to $19,999:!!25.0 to 29.9 percent</t>
  </si>
  <si>
    <t>B25074_015</t>
  </si>
  <si>
    <t>Estimate!!Total:!!$10,000 to $19,999:!!30.0 to 34.9 percent</t>
  </si>
  <si>
    <t>B25074_016</t>
  </si>
  <si>
    <t>Estimate!!Total:!!$10,000 to $19,999:!!35.0 to 39.9 percent</t>
  </si>
  <si>
    <t>B25074_017</t>
  </si>
  <si>
    <t>Estimate!!Total:!!$10,000 to $19,999:!!40.0 to 49.9 percent</t>
  </si>
  <si>
    <t>B25074_018</t>
  </si>
  <si>
    <t>Estimate!!Total:!!$10,000 to $19,999:!!50.0 percent or more</t>
  </si>
  <si>
    <t>B25074_019</t>
  </si>
  <si>
    <t>Estimate!!Total:!!$10,000 to $19,999:!!Not computed</t>
  </si>
  <si>
    <t>B25074_020</t>
  </si>
  <si>
    <t>Estimate!!Total:!!$20,000 to $34,999:</t>
  </si>
  <si>
    <t>B25074_021</t>
  </si>
  <si>
    <t>Estimate!!Total:!!$20,000 to $34,999:!!Less than 20.0 percent</t>
  </si>
  <si>
    <t>B25074_022</t>
  </si>
  <si>
    <t>Estimate!!Total:!!$20,000 to $34,999:!!20.0 to 24.9 percent</t>
  </si>
  <si>
    <t>B25074_023</t>
  </si>
  <si>
    <t>Estimate!!Total:!!$20,000 to $34,999:!!25.0 to 29.9 percent</t>
  </si>
  <si>
    <t>B25074_024</t>
  </si>
  <si>
    <t>Estimate!!Total:!!$20,000 to $34,999:!!30.0 to 34.9 percent</t>
  </si>
  <si>
    <t>B25074_025</t>
  </si>
  <si>
    <t>Estimate!!Total:!!$20,000 to $34,999:!!35.0 to 39.9 percent</t>
  </si>
  <si>
    <t>B25074_026</t>
  </si>
  <si>
    <t>Estimate!!Total:!!$20,000 to $34,999:!!40.0 to 49.9 percent</t>
  </si>
  <si>
    <t>B25074_027</t>
  </si>
  <si>
    <t>Estimate!!Total:!!$20,000 to $34,999:!!50.0 percent or more</t>
  </si>
  <si>
    <t>B25074_028</t>
  </si>
  <si>
    <t>Estimate!!Total:!!$20,000 to $34,999:!!Not computed</t>
  </si>
  <si>
    <t>B25074_029</t>
  </si>
  <si>
    <t>Estimate!!Total:!!$35,000 to $49,999:</t>
  </si>
  <si>
    <t>B25074_030</t>
  </si>
  <si>
    <t>Estimate!!Total:!!$35,000 to $49,999:!!Less than 20.0 percent</t>
  </si>
  <si>
    <t>B25074_031</t>
  </si>
  <si>
    <t>Estimate!!Total:!!$35,000 to $49,999:!!20.0 to 24.9 percent</t>
  </si>
  <si>
    <t>B25074_032</t>
  </si>
  <si>
    <t>Estimate!!Total:!!$35,000 to $49,999:!!25.0 to 29.9 percent</t>
  </si>
  <si>
    <t>B25074_033</t>
  </si>
  <si>
    <t>Estimate!!Total:!!$35,000 to $49,999:!!30.0 to 34.9 percent</t>
  </si>
  <si>
    <t>B25074_034</t>
  </si>
  <si>
    <t>Estimate!!Total:!!$35,000 to $49,999:!!35.0 to 39.9 percent</t>
  </si>
  <si>
    <t>B25074_035</t>
  </si>
  <si>
    <t>Estimate!!Total:!!$35,000 to $49,999:!!40.0 to 49.9 percent</t>
  </si>
  <si>
    <t>B25074_036</t>
  </si>
  <si>
    <t>Estimate!!Total:!!$35,000 to $49,999:!!50.0 percent or more</t>
  </si>
  <si>
    <t>B25074_037</t>
  </si>
  <si>
    <t>Estimate!!Total:!!$35,000 to $49,999:!!Not computed</t>
  </si>
  <si>
    <t>B25074_038</t>
  </si>
  <si>
    <t>Estimate!!Total:!!$50,000 to $74,999:</t>
  </si>
  <si>
    <t>B25074_039</t>
  </si>
  <si>
    <t>Estimate!!Total:!!$50,000 to $74,999:!!Less than 20.0 percent</t>
  </si>
  <si>
    <t>B25074_040</t>
  </si>
  <si>
    <t>Estimate!!Total:!!$50,000 to $74,999:!!20.0 to 24.9 percent</t>
  </si>
  <si>
    <t>B25074_041</t>
  </si>
  <si>
    <t>Estimate!!Total:!!$50,000 to $74,999:!!25.0 to 29.9 percent</t>
  </si>
  <si>
    <t>B25074_042</t>
  </si>
  <si>
    <t>Estimate!!Total:!!$50,000 to $74,999:!!30.0 to 34.9 percent</t>
  </si>
  <si>
    <t>B25074_043</t>
  </si>
  <si>
    <t>Estimate!!Total:!!$50,000 to $74,999:!!35.0 to 39.9 percent</t>
  </si>
  <si>
    <t>B25074_044</t>
  </si>
  <si>
    <t>Estimate!!Total:!!$50,000 to $74,999:!!40.0 to 49.9 percent</t>
  </si>
  <si>
    <t>B25074_045</t>
  </si>
  <si>
    <t>Estimate!!Total:!!$50,000 to $74,999:!!50.0 percent or more</t>
  </si>
  <si>
    <t>B25074_046</t>
  </si>
  <si>
    <t>Estimate!!Total:!!$50,000 to $74,999:!!Not computed</t>
  </si>
  <si>
    <t>B25074_047</t>
  </si>
  <si>
    <t>Estimate!!Total:!!$75,000 to $99,999:</t>
  </si>
  <si>
    <t>B25074_048</t>
  </si>
  <si>
    <t>Estimate!!Total:!!$75,000 to $99,999:!!Less than 20.0 percent</t>
  </si>
  <si>
    <t>B25074_049</t>
  </si>
  <si>
    <t>Estimate!!Total:!!$75,000 to $99,999:!!20.0 to 24.9 percent</t>
  </si>
  <si>
    <t>B25074_050</t>
  </si>
  <si>
    <t>Estimate!!Total:!!$75,000 to $99,999:!!25.0 to 29.9 percent</t>
  </si>
  <si>
    <t>B25074_051</t>
  </si>
  <si>
    <t>Estimate!!Total:!!$75,000 to $99,999:!!30.0 to 34.9 percent</t>
  </si>
  <si>
    <t>B25074_052</t>
  </si>
  <si>
    <t>Estimate!!Total:!!$75,000 to $99,999:!!35.0 to 39.9 percent</t>
  </si>
  <si>
    <t>B25074_053</t>
  </si>
  <si>
    <t>Estimate!!Total:!!$75,000 to $99,999:!!40.0 to 49.9 percent</t>
  </si>
  <si>
    <t>B25074_054</t>
  </si>
  <si>
    <t>Estimate!!Total:!!$75,000 to $99,999:!!50.0 percent or more</t>
  </si>
  <si>
    <t>B25074_055</t>
  </si>
  <si>
    <t>Estimate!!Total:!!$75,000 to $99,999:!!Not computed</t>
  </si>
  <si>
    <t>B25074_056</t>
  </si>
  <si>
    <t>Estimate!!Total:!!$100,000 or more:</t>
  </si>
  <si>
    <t>B25074_057</t>
  </si>
  <si>
    <t>Estimate!!Total:!!$100,000 or more:!!Less than 20.0 percent</t>
  </si>
  <si>
    <t>B25074_058</t>
  </si>
  <si>
    <t>Estimate!!Total:!!$100,000 or more:!!20.0 to 24.9 percent</t>
  </si>
  <si>
    <t>B25074_059</t>
  </si>
  <si>
    <t>Estimate!!Total:!!$100,000 or more:!!25.0 to 29.9 percent</t>
  </si>
  <si>
    <t>B25074_060</t>
  </si>
  <si>
    <t>Estimate!!Total:!!$100,000 or more:!!30.0 to 34.9 percent</t>
  </si>
  <si>
    <t>B25074_061</t>
  </si>
  <si>
    <t>Estimate!!Total:!!$100,000 or more:!!35.0 to 39.9 percent</t>
  </si>
  <si>
    <t>B25074_062</t>
  </si>
  <si>
    <t>Estimate!!Total:!!$100,000 or more:!!40.0 to 49.9 percent</t>
  </si>
  <si>
    <t>B25074_063</t>
  </si>
  <si>
    <t>Estimate!!Total:!!$100,000 or more:!!50.0 percent or more</t>
  </si>
  <si>
    <t>B25074_064</t>
  </si>
  <si>
    <t>Estimate!!Total:!!$100,000 or more:!!Not computed</t>
  </si>
  <si>
    <t>B25075_002</t>
  </si>
  <si>
    <t>B25075_003</t>
  </si>
  <si>
    <t>B25075_004</t>
  </si>
  <si>
    <t>B25075_005</t>
  </si>
  <si>
    <t>B25075_006</t>
  </si>
  <si>
    <t>B25075_007</t>
  </si>
  <si>
    <t>B25075_008</t>
  </si>
  <si>
    <t>B25075_009</t>
  </si>
  <si>
    <t>Estimate!!Total:!!$40,000 to $49,999</t>
  </si>
  <si>
    <t>B25075_010</t>
  </si>
  <si>
    <t>B25075_011</t>
  </si>
  <si>
    <t>Estimate!!Total:!!$60,000 to $69,999</t>
  </si>
  <si>
    <t>B25075_012</t>
  </si>
  <si>
    <t>Estimate!!Total:!!$70,000 to $79,999</t>
  </si>
  <si>
    <t>B25075_013</t>
  </si>
  <si>
    <t>Estimate!!Total:!!$80,000 to $89,999</t>
  </si>
  <si>
    <t>B25075_014</t>
  </si>
  <si>
    <t>Estimate!!Total:!!$90,000 to $99,999</t>
  </si>
  <si>
    <t>B25075_015</t>
  </si>
  <si>
    <t>B25075_016</t>
  </si>
  <si>
    <t>B25075_017</t>
  </si>
  <si>
    <t>Estimate!!Total:!!$150,000 to $174,999</t>
  </si>
  <si>
    <t>B25075_018</t>
  </si>
  <si>
    <t>Estimate!!Total:!!$175,000 to $199,999</t>
  </si>
  <si>
    <t>B25075_019</t>
  </si>
  <si>
    <t>Estimate!!Total:!!$200,000 to $249,999</t>
  </si>
  <si>
    <t>B25075_020</t>
  </si>
  <si>
    <t>Estimate!!Total:!!$250,000 to $299,999</t>
  </si>
  <si>
    <t>B25075_021</t>
  </si>
  <si>
    <t>Estimate!!Total:!!$300,000 to $399,999</t>
  </si>
  <si>
    <t>B25075_022</t>
  </si>
  <si>
    <t>Estimate!!Total:!!$400,000 to $499,999</t>
  </si>
  <si>
    <t>B25075_023</t>
  </si>
  <si>
    <t>Estimate!!Total:!!$500,000 to $749,999</t>
  </si>
  <si>
    <t>B25075_024</t>
  </si>
  <si>
    <t>Estimate!!Total:!!$750,000 to $999,999</t>
  </si>
  <si>
    <t>B25075_025</t>
  </si>
  <si>
    <t>Estimate!!Total:!!$1,000,000 to $1,499,999</t>
  </si>
  <si>
    <t>B25075_026</t>
  </si>
  <si>
    <t>Estimate!!Total:!!$1,500,000 to $1,999,999</t>
  </si>
  <si>
    <t>B25075_027</t>
  </si>
  <si>
    <t>Estimate!!Total:!!$2,000,000 or more</t>
  </si>
  <si>
    <t>B25079_002</t>
  </si>
  <si>
    <t>Estimate!!Aggregate value (dollars):!!Householder 15 to 24 years (dollars)</t>
  </si>
  <si>
    <t>B25079_003</t>
  </si>
  <si>
    <t>Estimate!!Aggregate value (dollars):!!Householder 25 to 34 years (dollars)</t>
  </si>
  <si>
    <t>B25079_004</t>
  </si>
  <si>
    <t>Estimate!!Aggregate value (dollars):!!Householder 35 to 64 years (dollars)</t>
  </si>
  <si>
    <t>B25079_005</t>
  </si>
  <si>
    <t>Estimate!!Aggregate value (dollars):!!Householder 65 years and over (dollars)</t>
  </si>
  <si>
    <t>B25080_002</t>
  </si>
  <si>
    <t>Estimate!!Aggregate value (dollars):!!1, detached (dollars)</t>
  </si>
  <si>
    <t>B25080_003</t>
  </si>
  <si>
    <t>Estimate!!Aggregate value (dollars):!!1, attached (dollars)</t>
  </si>
  <si>
    <t>B25080_004</t>
  </si>
  <si>
    <t>Estimate!!Aggregate value (dollars):!!2 (dollars)</t>
  </si>
  <si>
    <t>B25080_005</t>
  </si>
  <si>
    <t>Estimate!!Aggregate value (dollars):!!3 or 4 (dollars)</t>
  </si>
  <si>
    <t>B25080_006</t>
  </si>
  <si>
    <t>Estimate!!Aggregate value (dollars):!!5 or more (dollars)</t>
  </si>
  <si>
    <t>B25080_007</t>
  </si>
  <si>
    <t>Estimate!!Aggregate value (dollars):!!Mobile home (dollars)</t>
  </si>
  <si>
    <t>B25080_008</t>
  </si>
  <si>
    <t>Estimate!!Aggregate value (dollars):!!Boat, RV, van, etc. (dollars)</t>
  </si>
  <si>
    <t>B25081_002</t>
  </si>
  <si>
    <t>Estimate!!Total:!!Housing units with a mortgage, contract to purchase, or similar debt:</t>
  </si>
  <si>
    <t>B25081_003</t>
  </si>
  <si>
    <t>Estimate!!Total:!!Housing units with a mortgage, contract to purchase, or similar debt:!!Housing units with no second mortgage and no home equity loan</t>
  </si>
  <si>
    <t>B25081_004</t>
  </si>
  <si>
    <t>Estimate!!Total:!!Housing units with a mortgage, contract to purchase, or similar debt:!!Housing units with multiple mortgages:</t>
  </si>
  <si>
    <t>B25081_005</t>
  </si>
  <si>
    <t>Estimate!!Total:!!Housing units with a mortgage, contract to purchase, or similar debt:!!Housing units with multiple mortgages:!!Mortgage with both second mortgage and home equity loan</t>
  </si>
  <si>
    <t>B25081_006</t>
  </si>
  <si>
    <t>Estimate!!Total:!!Housing units with a mortgage, contract to purchase, or similar debt:!!Housing units with multiple mortgages:!!Mortgage, with only home equity loan</t>
  </si>
  <si>
    <t>B25081_007</t>
  </si>
  <si>
    <t>Estimate!!Total:!!Housing units with a mortgage, contract to purchase, or similar debt:!!Housing units with multiple mortgages:!!Mortgage, with only second mortgage</t>
  </si>
  <si>
    <t>B25081_008</t>
  </si>
  <si>
    <t>Estimate!!Total:!!Housing units with a mortgage, contract to purchase, or similar debt:!!Home equity loan without a primary mortgage</t>
  </si>
  <si>
    <t>B25081_009</t>
  </si>
  <si>
    <t>Estimate!!Total:!!Housing units without a mortgage</t>
  </si>
  <si>
    <t>B25082_002</t>
  </si>
  <si>
    <t>Estimate!!Aggregate value (dollars):!!Housing units with a mortgage (dollars)</t>
  </si>
  <si>
    <t>B25082_003</t>
  </si>
  <si>
    <t>Estimate!!Aggregate value (dollars):!!Housing units without a mortgage (dollars)</t>
  </si>
  <si>
    <t>B25085_002</t>
  </si>
  <si>
    <t>B25085_003</t>
  </si>
  <si>
    <t>B25085_004</t>
  </si>
  <si>
    <t>B25085_005</t>
  </si>
  <si>
    <t>B25085_006</t>
  </si>
  <si>
    <t>B25085_007</t>
  </si>
  <si>
    <t>B25085_008</t>
  </si>
  <si>
    <t>B25085_009</t>
  </si>
  <si>
    <t>B25085_010</t>
  </si>
  <si>
    <t>B25085_011</t>
  </si>
  <si>
    <t>B25085_012</t>
  </si>
  <si>
    <t>B25085_013</t>
  </si>
  <si>
    <t>B25085_014</t>
  </si>
  <si>
    <t>B25085_015</t>
  </si>
  <si>
    <t>B25085_016</t>
  </si>
  <si>
    <t>B25085_017</t>
  </si>
  <si>
    <t>B25085_018</t>
  </si>
  <si>
    <t>B25085_019</t>
  </si>
  <si>
    <t>B25085_020</t>
  </si>
  <si>
    <t>B25085_021</t>
  </si>
  <si>
    <t>B25085_022</t>
  </si>
  <si>
    <t>B25085_023</t>
  </si>
  <si>
    <t>B25085_024</t>
  </si>
  <si>
    <t>B25085_025</t>
  </si>
  <si>
    <t>B25085_026</t>
  </si>
  <si>
    <t>B25085_027</t>
  </si>
  <si>
    <t>B25087_002</t>
  </si>
  <si>
    <t>B25087_003</t>
  </si>
  <si>
    <t>Estimate!!Total:!!Housing units with a mortgage:!!Less than $200</t>
  </si>
  <si>
    <t>B25087_004</t>
  </si>
  <si>
    <t>Estimate!!Total:!!Housing units with a mortgage:!!$200 to $299</t>
  </si>
  <si>
    <t>B25087_005</t>
  </si>
  <si>
    <t>Estimate!!Total:!!Housing units with a mortgage:!!$300 to $399</t>
  </si>
  <si>
    <t>B25087_006</t>
  </si>
  <si>
    <t>Estimate!!Total:!!Housing units with a mortgage:!!$400 to $499</t>
  </si>
  <si>
    <t>B25087_007</t>
  </si>
  <si>
    <t>Estimate!!Total:!!Housing units with a mortgage:!!$500 to $599</t>
  </si>
  <si>
    <t>B25087_008</t>
  </si>
  <si>
    <t>Estimate!!Total:!!Housing units with a mortgage:!!$600 to $699</t>
  </si>
  <si>
    <t>B25087_009</t>
  </si>
  <si>
    <t>Estimate!!Total:!!Housing units with a mortgage:!!$700 to $799</t>
  </si>
  <si>
    <t>B25087_010</t>
  </si>
  <si>
    <t>Estimate!!Total:!!Housing units with a mortgage:!!$800 to $899</t>
  </si>
  <si>
    <t>B25087_011</t>
  </si>
  <si>
    <t>Estimate!!Total:!!Housing units with a mortgage:!!$900 to $999</t>
  </si>
  <si>
    <t>B25087_012</t>
  </si>
  <si>
    <t>Estimate!!Total:!!Housing units with a mortgage:!!$1,000 to $1,249</t>
  </si>
  <si>
    <t>B25087_013</t>
  </si>
  <si>
    <t>Estimate!!Total:!!Housing units with a mortgage:!!$1,250 to $1,499</t>
  </si>
  <si>
    <t>B25087_014</t>
  </si>
  <si>
    <t>Estimate!!Total:!!Housing units with a mortgage:!!$1,500 to $1,999</t>
  </si>
  <si>
    <t>B25087_015</t>
  </si>
  <si>
    <t>Estimate!!Total:!!Housing units with a mortgage:!!$2,000 to $2,499</t>
  </si>
  <si>
    <t>B25087_016</t>
  </si>
  <si>
    <t>Estimate!!Total:!!Housing units with a mortgage:!!$2,500 to $2,999</t>
  </si>
  <si>
    <t>B25087_017</t>
  </si>
  <si>
    <t>Estimate!!Total:!!Housing units with a mortgage:!!$3,000 to $3,499</t>
  </si>
  <si>
    <t>B25087_018</t>
  </si>
  <si>
    <t>Estimate!!Total:!!Housing units with a mortgage:!!$3,500 to $3,999</t>
  </si>
  <si>
    <t>B25087_019</t>
  </si>
  <si>
    <t>Estimate!!Total:!!Housing units with a mortgage:!!$4,000 or more</t>
  </si>
  <si>
    <t>B25087_020</t>
  </si>
  <si>
    <t>B25087_021</t>
  </si>
  <si>
    <t>Estimate!!Total:!!Housing units without a mortgage:!!Less than $100</t>
  </si>
  <si>
    <t>B25087_022</t>
  </si>
  <si>
    <t>Estimate!!Total:!!Housing units without a mortgage:!!$100 to $149</t>
  </si>
  <si>
    <t>B25087_023</t>
  </si>
  <si>
    <t>Estimate!!Total:!!Housing units without a mortgage:!!$150 to $199</t>
  </si>
  <si>
    <t>B25087_024</t>
  </si>
  <si>
    <t>Estimate!!Total:!!Housing units without a mortgage:!!$200 to $249</t>
  </si>
  <si>
    <t>B25087_025</t>
  </si>
  <si>
    <t>Estimate!!Total:!!Housing units without a mortgage:!!$250 to $299</t>
  </si>
  <si>
    <t>B25087_026</t>
  </si>
  <si>
    <t>Estimate!!Total:!!Housing units without a mortgage:!!$300 to $349</t>
  </si>
  <si>
    <t>B25087_027</t>
  </si>
  <si>
    <t>Estimate!!Total:!!Housing units without a mortgage:!!$350 to $399</t>
  </si>
  <si>
    <t>B25087_028</t>
  </si>
  <si>
    <t>Estimate!!Total:!!Housing units without a mortgage:!!$400 to $499</t>
  </si>
  <si>
    <t>B25087_029</t>
  </si>
  <si>
    <t>Estimate!!Total:!!Housing units without a mortgage:!!$500 to $599</t>
  </si>
  <si>
    <t>B25087_030</t>
  </si>
  <si>
    <t>Estimate!!Total:!!Housing units without a mortgage:!!$600 to $699</t>
  </si>
  <si>
    <t>B25087_031</t>
  </si>
  <si>
    <t>Estimate!!Total:!!Housing units without a mortgage:!!$700 to $799</t>
  </si>
  <si>
    <t>B25087_032</t>
  </si>
  <si>
    <t>Estimate!!Total:!!Housing units without a mortgage:!!$800 to $899</t>
  </si>
  <si>
    <t>B25087_033</t>
  </si>
  <si>
    <t>Estimate!!Total:!!Housing units without a mortgage:!!$900 to $999</t>
  </si>
  <si>
    <t>B25087_034</t>
  </si>
  <si>
    <t>Estimate!!Total:!!Housing units without a mortgage:!!$1000 to $1,099</t>
  </si>
  <si>
    <t>B25087_035</t>
  </si>
  <si>
    <t>Estimate!!Total:!!Housing units without a mortgage:!!$1100 to $1,199</t>
  </si>
  <si>
    <t>B25087_036</t>
  </si>
  <si>
    <t>Estimate!!Total:!!Housing units without a mortgage:!!$1200 to $1,299</t>
  </si>
  <si>
    <t>B25087_037</t>
  </si>
  <si>
    <t>Estimate!!Total:!!Housing units without a mortgage:!!$1300 to $1,399</t>
  </si>
  <si>
    <t>B25087_038</t>
  </si>
  <si>
    <t>Estimate!!Total:!!Housing units without a mortgage:!!$1400 to $1,499</t>
  </si>
  <si>
    <t>B25087_039</t>
  </si>
  <si>
    <t>Estimate!!Total:!!Housing units without a mortgage:!!$1,500 or more</t>
  </si>
  <si>
    <t>B25088_002</t>
  </si>
  <si>
    <t>Estimate!!Median selected monthly owner costs (dollars) --!!Housing units with a mortgage (dollars)</t>
  </si>
  <si>
    <t>B25088_003</t>
  </si>
  <si>
    <t>Estimate!!Median selected monthly owner costs (dollars) --!!Housing units without a mortgage (dollars)</t>
  </si>
  <si>
    <t>B25089_002</t>
  </si>
  <si>
    <t>Estimate!!Aggregate selected monthly owner costs (dollars):!!Housing units with a mortgage (dollars)</t>
  </si>
  <si>
    <t>B25089_003</t>
  </si>
  <si>
    <t>Estimate!!Aggregate selected monthly owner costs (dollars):!!Housing units without a mortgage (dollars)</t>
  </si>
  <si>
    <t>B25090_002</t>
  </si>
  <si>
    <t>Estimate!!Aggregate real estate taxes paid (dollars):!!Aggregate real estate taxes paid for units with a mortgage (dollars)</t>
  </si>
  <si>
    <t>B25090_003</t>
  </si>
  <si>
    <t>Estimate!!Aggregate real estate taxes paid (dollars):!!Aggregate real estate taxes paid for units without a mortgage (dollars)</t>
  </si>
  <si>
    <t>B25091_002</t>
  </si>
  <si>
    <t>B25091_003</t>
  </si>
  <si>
    <t>Estimate!!Total:!!Housing units with a mortgage:!!Less than 10.0 percent</t>
  </si>
  <si>
    <t>B25091_004</t>
  </si>
  <si>
    <t>Estimate!!Total:!!Housing units with a mortgage:!!10.0 to 14.9 percent</t>
  </si>
  <si>
    <t>B25091_005</t>
  </si>
  <si>
    <t>Estimate!!Total:!!Housing units with a mortgage:!!15.0 to 19.9 percent</t>
  </si>
  <si>
    <t>B25091_006</t>
  </si>
  <si>
    <t>Estimate!!Total:!!Housing units with a mortgage:!!20.0 to 24.9 percent</t>
  </si>
  <si>
    <t>B25091_007</t>
  </si>
  <si>
    <t>Estimate!!Total:!!Housing units with a mortgage:!!25.0 to 29.9 percent</t>
  </si>
  <si>
    <t>B25091_008</t>
  </si>
  <si>
    <t>Estimate!!Total:!!Housing units with a mortgage:!!30.0 to 34.9 percent</t>
  </si>
  <si>
    <t>B25091_009</t>
  </si>
  <si>
    <t>Estimate!!Total:!!Housing units with a mortgage:!!35.0 to 39.9 percent</t>
  </si>
  <si>
    <t>B25091_010</t>
  </si>
  <si>
    <t>Estimate!!Total:!!Housing units with a mortgage:!!40.0 to 49.9 percent</t>
  </si>
  <si>
    <t>B25091_011</t>
  </si>
  <si>
    <t>Estimate!!Total:!!Housing units with a mortgage:!!50.0 percent or more</t>
  </si>
  <si>
    <t>B25091_012</t>
  </si>
  <si>
    <t>Estimate!!Total:!!Housing units with a mortgage:!!Not computed</t>
  </si>
  <si>
    <t>B25091_013</t>
  </si>
  <si>
    <t>B25091_014</t>
  </si>
  <si>
    <t>Estimate!!Total:!!Housing units without a mortgage:!!Less than 10.0 percent</t>
  </si>
  <si>
    <t>B25091_015</t>
  </si>
  <si>
    <t>Estimate!!Total:!!Housing units without a mortgage:!!10.0 to 14.9 percent</t>
  </si>
  <si>
    <t>B25091_016</t>
  </si>
  <si>
    <t>Estimate!!Total:!!Housing units without a mortgage:!!15.0 to 19.9 percent</t>
  </si>
  <si>
    <t>B25091_017</t>
  </si>
  <si>
    <t>Estimate!!Total:!!Housing units without a mortgage:!!20.0 to 24.9 percent</t>
  </si>
  <si>
    <t>B25091_018</t>
  </si>
  <si>
    <t>Estimate!!Total:!!Housing units without a mortgage:!!25.0 to 29.9 percent</t>
  </si>
  <si>
    <t>B25091_019</t>
  </si>
  <si>
    <t>Estimate!!Total:!!Housing units without a mortgage:!!30.0 to 34.9 percent</t>
  </si>
  <si>
    <t>B25091_020</t>
  </si>
  <si>
    <t>Estimate!!Total:!!Housing units without a mortgage:!!35.0 to 39.9 percent</t>
  </si>
  <si>
    <t>B25091_021</t>
  </si>
  <si>
    <t>Estimate!!Total:!!Housing units without a mortgage:!!40.0 to 49.9 percent</t>
  </si>
  <si>
    <t>B25091_022</t>
  </si>
  <si>
    <t>Estimate!!Total:!!Housing units without a mortgage:!!50.0 percent or more</t>
  </si>
  <si>
    <t>B25091_023</t>
  </si>
  <si>
    <t>Estimate!!Total:!!Housing units without a mortgage:!!Not computed</t>
  </si>
  <si>
    <t>B25092_002</t>
  </si>
  <si>
    <t>Estimate!!Median selected monthly owner costs as a percentage of household income in the past 12 months --!!Housing units with a mortgage</t>
  </si>
  <si>
    <t>B25092_003</t>
  </si>
  <si>
    <t>Estimate!!Median selected monthly owner costs as a percentage of household income in the past 12 months --!!Housing units without a mortgage</t>
  </si>
  <si>
    <t>B25093_002</t>
  </si>
  <si>
    <t>B25093_003</t>
  </si>
  <si>
    <t>B25093_004</t>
  </si>
  <si>
    <t>B25093_005</t>
  </si>
  <si>
    <t>B25093_006</t>
  </si>
  <si>
    <t>B25093_007</t>
  </si>
  <si>
    <t>B25093_008</t>
  </si>
  <si>
    <t>B25093_009</t>
  </si>
  <si>
    <t>B25093_010</t>
  </si>
  <si>
    <t>B25093_011</t>
  </si>
  <si>
    <t>B25093_012</t>
  </si>
  <si>
    <t>B25093_013</t>
  </si>
  <si>
    <t>B25093_014</t>
  </si>
  <si>
    <t>B25093_015</t>
  </si>
  <si>
    <t>B25093_016</t>
  </si>
  <si>
    <t>B25093_017</t>
  </si>
  <si>
    <t>B25093_018</t>
  </si>
  <si>
    <t>B25093_019</t>
  </si>
  <si>
    <t>B25093_020</t>
  </si>
  <si>
    <t>B25093_021</t>
  </si>
  <si>
    <t>B25093_022</t>
  </si>
  <si>
    <t>B25093_023</t>
  </si>
  <si>
    <t>B25093_024</t>
  </si>
  <si>
    <t>B25093_025</t>
  </si>
  <si>
    <t>B25093_026</t>
  </si>
  <si>
    <t>B25093_027</t>
  </si>
  <si>
    <t>B25093_028</t>
  </si>
  <si>
    <t>B25093_029</t>
  </si>
  <si>
    <t>B25094_002</t>
  </si>
  <si>
    <t>Estimate!!Total:!!Less than $200</t>
  </si>
  <si>
    <t>B25094_003</t>
  </si>
  <si>
    <t>Estimate!!Total:!!$200 to $299</t>
  </si>
  <si>
    <t>B25094_004</t>
  </si>
  <si>
    <t>Estimate!!Total:!!$300 to $399</t>
  </si>
  <si>
    <t>B25094_005</t>
  </si>
  <si>
    <t>Estimate!!Total:!!$400 to $499</t>
  </si>
  <si>
    <t>B25094_006</t>
  </si>
  <si>
    <t>Estimate!!Total:!!$500 to $599</t>
  </si>
  <si>
    <t>B25094_007</t>
  </si>
  <si>
    <t>Estimate!!Total:!!$600 to $699</t>
  </si>
  <si>
    <t>B25094_008</t>
  </si>
  <si>
    <t>Estimate!!Total:!!$700 to $799</t>
  </si>
  <si>
    <t>B25094_009</t>
  </si>
  <si>
    <t>B25094_010</t>
  </si>
  <si>
    <t>B25094_011</t>
  </si>
  <si>
    <t>B25094_012</t>
  </si>
  <si>
    <t>B25094_013</t>
  </si>
  <si>
    <t>B25094_014</t>
  </si>
  <si>
    <t>B25094_015</t>
  </si>
  <si>
    <t>B25094_016</t>
  </si>
  <si>
    <t>B25094_017</t>
  </si>
  <si>
    <t>Estimate!!Total:!!$3,500 to $3,999</t>
  </si>
  <si>
    <t>B25094_018</t>
  </si>
  <si>
    <t>Estimate!!Total:!!$4,000 or more</t>
  </si>
  <si>
    <t>B25095_002</t>
  </si>
  <si>
    <t>B25095_003</t>
  </si>
  <si>
    <t>B25095_004</t>
  </si>
  <si>
    <t>B25095_005</t>
  </si>
  <si>
    <t>B25095_006</t>
  </si>
  <si>
    <t>B25095_007</t>
  </si>
  <si>
    <t>B25095_008</t>
  </si>
  <si>
    <t>B25095_009</t>
  </si>
  <si>
    <t>B25095_010</t>
  </si>
  <si>
    <t>B25095_011</t>
  </si>
  <si>
    <t>B25095_012</t>
  </si>
  <si>
    <t>B25095_013</t>
  </si>
  <si>
    <t>B25095_014</t>
  </si>
  <si>
    <t>B25095_015</t>
  </si>
  <si>
    <t>B25095_016</t>
  </si>
  <si>
    <t>B25095_017</t>
  </si>
  <si>
    <t>B25095_018</t>
  </si>
  <si>
    <t>B25095_019</t>
  </si>
  <si>
    <t>B25095_020</t>
  </si>
  <si>
    <t>B25095_021</t>
  </si>
  <si>
    <t>B25095_022</t>
  </si>
  <si>
    <t>B25095_023</t>
  </si>
  <si>
    <t>B25095_024</t>
  </si>
  <si>
    <t>B25095_025</t>
  </si>
  <si>
    <t>B25095_026</t>
  </si>
  <si>
    <t>B25095_027</t>
  </si>
  <si>
    <t>B25095_028</t>
  </si>
  <si>
    <t>B25095_029</t>
  </si>
  <si>
    <t>B25095_030</t>
  </si>
  <si>
    <t>B25095_031</t>
  </si>
  <si>
    <t>B25095_032</t>
  </si>
  <si>
    <t>B25095_033</t>
  </si>
  <si>
    <t>B25095_034</t>
  </si>
  <si>
    <t>B25095_035</t>
  </si>
  <si>
    <t>B25095_036</t>
  </si>
  <si>
    <t>B25095_037</t>
  </si>
  <si>
    <t>B25095_038</t>
  </si>
  <si>
    <t>B25095_039</t>
  </si>
  <si>
    <t>B25095_040</t>
  </si>
  <si>
    <t>B25095_041</t>
  </si>
  <si>
    <t>B25095_042</t>
  </si>
  <si>
    <t>B25095_043</t>
  </si>
  <si>
    <t>B25095_044</t>
  </si>
  <si>
    <t>B25095_045</t>
  </si>
  <si>
    <t>B25095_046</t>
  </si>
  <si>
    <t>B25095_047</t>
  </si>
  <si>
    <t>B25095_048</t>
  </si>
  <si>
    <t>B25095_049</t>
  </si>
  <si>
    <t>B25095_050</t>
  </si>
  <si>
    <t>B25095_051</t>
  </si>
  <si>
    <t>B25095_052</t>
  </si>
  <si>
    <t>B25095_053</t>
  </si>
  <si>
    <t>B25095_054</t>
  </si>
  <si>
    <t>B25095_055</t>
  </si>
  <si>
    <t>B25095_056</t>
  </si>
  <si>
    <t>Estimate!!Total:!!$100,000 to $149,999:</t>
  </si>
  <si>
    <t>B25095_057</t>
  </si>
  <si>
    <t>Estimate!!Total:!!$100,000 to $149,999:!!Less than 20.0 percent</t>
  </si>
  <si>
    <t>B25095_058</t>
  </si>
  <si>
    <t>Estimate!!Total:!!$100,000 to $149,999:!!20.0 to 24.9 percent</t>
  </si>
  <si>
    <t>B25095_059</t>
  </si>
  <si>
    <t>Estimate!!Total:!!$100,000 to $149,999:!!25.0 to 29.9 percent</t>
  </si>
  <si>
    <t>B25095_060</t>
  </si>
  <si>
    <t>Estimate!!Total:!!$100,000 to $149,999:!!30.0 to 34.9 percent</t>
  </si>
  <si>
    <t>B25095_061</t>
  </si>
  <si>
    <t>Estimate!!Total:!!$100,000 to $149,999:!!35.0 to 39.9 percent</t>
  </si>
  <si>
    <t>B25095_062</t>
  </si>
  <si>
    <t>Estimate!!Total:!!$100,000 to $149,999:!!40.0 to 49.9 percent</t>
  </si>
  <si>
    <t>B25095_063</t>
  </si>
  <si>
    <t>Estimate!!Total:!!$100,000 to $149,999:!!50.0 percent or more</t>
  </si>
  <si>
    <t>B25095_064</t>
  </si>
  <si>
    <t>Estimate!!Total:!!$100,000 to $149,999:!!Not computed</t>
  </si>
  <si>
    <t>B25095_065</t>
  </si>
  <si>
    <t>Estimate!!Total:!!$150,000 or more:</t>
  </si>
  <si>
    <t>B25095_066</t>
  </si>
  <si>
    <t>Estimate!!Total:!!$150,000 or more:!!Less than 20.0 percent</t>
  </si>
  <si>
    <t>B25095_067</t>
  </si>
  <si>
    <t>Estimate!!Total:!!$150,000 or more:!!20.0 to 24.9 percent</t>
  </si>
  <si>
    <t>B25095_068</t>
  </si>
  <si>
    <t>Estimate!!Total:!!$150,000 or more:!!25.0 to 29.9 percent</t>
  </si>
  <si>
    <t>B25095_069</t>
  </si>
  <si>
    <t>Estimate!!Total:!!$150,000 or more:!!30.0 to 34.9 percent</t>
  </si>
  <si>
    <t>B25095_070</t>
  </si>
  <si>
    <t>Estimate!!Total:!!$150,000 or more:!!35.0 to 39.9 percent</t>
  </si>
  <si>
    <t>B25095_071</t>
  </si>
  <si>
    <t>Estimate!!Total:!!$150,000 or more:!!40.0 to 49.9 percent</t>
  </si>
  <si>
    <t>B25095_072</t>
  </si>
  <si>
    <t>Estimate!!Total:!!$150,000 or more:!!50.0 percent or more</t>
  </si>
  <si>
    <t>B25095_073</t>
  </si>
  <si>
    <t>Estimate!!Total:!!$150,000 or more:!!Not computed</t>
  </si>
  <si>
    <t>B25096_002</t>
  </si>
  <si>
    <t>Estimate!!Total:!!With a mortgage:</t>
  </si>
  <si>
    <t>B25096_003</t>
  </si>
  <si>
    <t>Estimate!!Total:!!With a mortgage:!!Less than $50,000</t>
  </si>
  <si>
    <t>B25096_004</t>
  </si>
  <si>
    <t>Estimate!!Total:!!With a mortgage:!!$50,000 to $99,999</t>
  </si>
  <si>
    <t>B25096_005</t>
  </si>
  <si>
    <t>Estimate!!Total:!!With a mortgage:!!$100,000 to $149,999</t>
  </si>
  <si>
    <t>B25096_006</t>
  </si>
  <si>
    <t>Estimate!!Total:!!With a mortgage:!!$150,000 to $199,999</t>
  </si>
  <si>
    <t>B25096_007</t>
  </si>
  <si>
    <t>Estimate!!Total:!!With a mortgage:!!$200,000 to $299,999</t>
  </si>
  <si>
    <t>B25096_008</t>
  </si>
  <si>
    <t>Estimate!!Total:!!With a mortgage:!!$300,000 to $499,999</t>
  </si>
  <si>
    <t>B25096_009</t>
  </si>
  <si>
    <t>Estimate!!Total:!!With a mortgage:!!$500,000 to $749,999</t>
  </si>
  <si>
    <t>B25096_010</t>
  </si>
  <si>
    <t>Estimate!!Total:!!With a mortgage:!!$750,000 to $999,999</t>
  </si>
  <si>
    <t>B25096_011</t>
  </si>
  <si>
    <t>Estimate!!Total:!!With a mortgage:!!$1,000,000 or more</t>
  </si>
  <si>
    <t>B25096_012</t>
  </si>
  <si>
    <t>Estimate!!Total:!!Not mortgaged:</t>
  </si>
  <si>
    <t>B25096_013</t>
  </si>
  <si>
    <t>Estimate!!Total:!!Not mortgaged:!!Less than $50,000</t>
  </si>
  <si>
    <t>B25096_014</t>
  </si>
  <si>
    <t>Estimate!!Total:!!Not mortgaged:!!$50,000 to $99,999</t>
  </si>
  <si>
    <t>B25096_015</t>
  </si>
  <si>
    <t>Estimate!!Total:!!Not mortgaged:!!$100,000 to $149,999</t>
  </si>
  <si>
    <t>B25096_016</t>
  </si>
  <si>
    <t>Estimate!!Total:!!Not mortgaged:!!$150,000 to $199,999</t>
  </si>
  <si>
    <t>B25096_017</t>
  </si>
  <si>
    <t>Estimate!!Total:!!Not mortgaged:!!$200,000 to $299,999</t>
  </si>
  <si>
    <t>B25096_018</t>
  </si>
  <si>
    <t>Estimate!!Total:!!Not mortgaged:!!$300,000 to $499,999</t>
  </si>
  <si>
    <t>B25096_019</t>
  </si>
  <si>
    <t>Estimate!!Total:!!Not mortgaged:!!$500,000 to $749,999</t>
  </si>
  <si>
    <t>B25096_020</t>
  </si>
  <si>
    <t>Estimate!!Total:!!Not mortgaged:!!$750,000 to $999,999</t>
  </si>
  <si>
    <t>B25096_021</t>
  </si>
  <si>
    <t>Estimate!!Total:!!Not mortgaged:!!$1,000,000 or more</t>
  </si>
  <si>
    <t>B25097_002</t>
  </si>
  <si>
    <t>Estimate!!Median value --!!Total:!!Median value for units with a mortgage</t>
  </si>
  <si>
    <t>B25097_003</t>
  </si>
  <si>
    <t>Estimate!!Median value --!!Total:!!Median value for units without a mortgage</t>
  </si>
  <si>
    <t>B25098_002</t>
  </si>
  <si>
    <t>B25098_003</t>
  </si>
  <si>
    <t>Estimate!!Total:!!With a mortgage:!!Less than $10,000</t>
  </si>
  <si>
    <t>B25098_004</t>
  </si>
  <si>
    <t>Estimate!!Total:!!With a mortgage:!!$10,000 to $24,999</t>
  </si>
  <si>
    <t>B25098_005</t>
  </si>
  <si>
    <t>Estimate!!Total:!!With a mortgage:!!$25,000 to $34,999</t>
  </si>
  <si>
    <t>B25098_006</t>
  </si>
  <si>
    <t>Estimate!!Total:!!With a mortgage:!!$35,000 to $49,999</t>
  </si>
  <si>
    <t>B25098_007</t>
  </si>
  <si>
    <t>Estimate!!Total:!!With a mortgage:!!$50,000 to $74,999</t>
  </si>
  <si>
    <t>B25098_008</t>
  </si>
  <si>
    <t>Estimate!!Total:!!With a mortgage:!!$75,000 to $99,999</t>
  </si>
  <si>
    <t>B25098_009</t>
  </si>
  <si>
    <t>B25098_010</t>
  </si>
  <si>
    <t>Estimate!!Total:!!With a mortgage:!!$150,000 or more</t>
  </si>
  <si>
    <t>B25098_011</t>
  </si>
  <si>
    <t>B25098_012</t>
  </si>
  <si>
    <t>Estimate!!Total:!!Not mortgaged:!!Less than $10,000</t>
  </si>
  <si>
    <t>B25098_013</t>
  </si>
  <si>
    <t>Estimate!!Total:!!Not mortgaged:!!$10,000 to $24,999</t>
  </si>
  <si>
    <t>B25098_014</t>
  </si>
  <si>
    <t>Estimate!!Total:!!Not mortgaged:!!$25,000 to $34,999</t>
  </si>
  <si>
    <t>B25098_015</t>
  </si>
  <si>
    <t>Estimate!!Total:!!Not mortgaged:!!$35,000 to $49,999</t>
  </si>
  <si>
    <t>B25098_016</t>
  </si>
  <si>
    <t>Estimate!!Total:!!Not mortgaged:!!$50,000 to $74,999</t>
  </si>
  <si>
    <t>B25098_017</t>
  </si>
  <si>
    <t>Estimate!!Total:!!Not mortgaged:!!$75,000 to $99,999</t>
  </si>
  <si>
    <t>B25098_018</t>
  </si>
  <si>
    <t>B25098_019</t>
  </si>
  <si>
    <t>Estimate!!Total:!!Not mortgaged:!!$150,000 or more</t>
  </si>
  <si>
    <t>B25099_002</t>
  </si>
  <si>
    <t>Estimate!!Median household income --!!Total:!!Median household income for units with a mortgage</t>
  </si>
  <si>
    <t>B25099_003</t>
  </si>
  <si>
    <t>Estimate!!Median household income --!!Total:!!Median household income for units without a mortgage</t>
  </si>
  <si>
    <t>B25100_002</t>
  </si>
  <si>
    <t>B25100_003</t>
  </si>
  <si>
    <t>Estimate!!Total:!!With a mortgage:!!Less than 2.0</t>
  </si>
  <si>
    <t>B25100_004</t>
  </si>
  <si>
    <t>Estimate!!Total:!!With a mortgage:!!2.0 to 2.9</t>
  </si>
  <si>
    <t>B25100_005</t>
  </si>
  <si>
    <t>Estimate!!Total:!!With a mortgage:!!3.0 to 3.9</t>
  </si>
  <si>
    <t>B25100_006</t>
  </si>
  <si>
    <t>Estimate!!Total:!!With a mortgage:!!4.0 or more</t>
  </si>
  <si>
    <t>B25100_007</t>
  </si>
  <si>
    <t>Estimate!!Total:!!With a mortgage:!!Not computed</t>
  </si>
  <si>
    <t>B25100_008</t>
  </si>
  <si>
    <t>B25100_009</t>
  </si>
  <si>
    <t>Estimate!!Total:!!Not mortgaged:!!Less than 2.0</t>
  </si>
  <si>
    <t>B25100_010</t>
  </si>
  <si>
    <t>Estimate!!Total:!!Not mortgaged:!!2.0 to 2.9</t>
  </si>
  <si>
    <t>B25100_011</t>
  </si>
  <si>
    <t>Estimate!!Total:!!Not mortgaged:!!3.0 to 3.9</t>
  </si>
  <si>
    <t>B25100_012</t>
  </si>
  <si>
    <t>Estimate!!Total:!!Not mortgaged:!!4.0 or more</t>
  </si>
  <si>
    <t>B25100_013</t>
  </si>
  <si>
    <t>Estimate!!Total:!!Not mortgaged:!!Not computed</t>
  </si>
  <si>
    <t>B25101_002</t>
  </si>
  <si>
    <t>B25101_003</t>
  </si>
  <si>
    <t>Estimate!!Total:!!With a mortgage:!!Less than $20,000:</t>
  </si>
  <si>
    <t>B25101_004</t>
  </si>
  <si>
    <t>Estimate!!Total:!!With a mortgage:!!Less than $20,000:!!Less than 20 percent</t>
  </si>
  <si>
    <t>B25101_005</t>
  </si>
  <si>
    <t>Estimate!!Total:!!With a mortgage:!!Less than $20,000:!!20 to 29 percent</t>
  </si>
  <si>
    <t>B25101_006</t>
  </si>
  <si>
    <t>Estimate!!Total:!!With a mortgage:!!Less than $20,000:!!30 percent or more</t>
  </si>
  <si>
    <t>B25101_007</t>
  </si>
  <si>
    <t>Estimate!!Total:!!With a mortgage:!!$20,000 to $34,999:</t>
  </si>
  <si>
    <t>B25101_008</t>
  </si>
  <si>
    <t>Estimate!!Total:!!With a mortgage:!!$20,000 to $34,999:!!Less than 20 percent</t>
  </si>
  <si>
    <t>B25101_009</t>
  </si>
  <si>
    <t>Estimate!!Total:!!With a mortgage:!!$20,000 to $34,999:!!20 to 29 percent</t>
  </si>
  <si>
    <t>B25101_010</t>
  </si>
  <si>
    <t>Estimate!!Total:!!With a mortgage:!!$20,000 to $34,999:!!30 percent or more</t>
  </si>
  <si>
    <t>B25101_011</t>
  </si>
  <si>
    <t>Estimate!!Total:!!With a mortgage:!!$35,000 to $49,999:</t>
  </si>
  <si>
    <t>B25101_012</t>
  </si>
  <si>
    <t>Estimate!!Total:!!With a mortgage:!!$35,000 to $49,999:!!Less than 20 percent</t>
  </si>
  <si>
    <t>B25101_013</t>
  </si>
  <si>
    <t>Estimate!!Total:!!With a mortgage:!!$35,000 to $49,999:!!20 to 29 percent</t>
  </si>
  <si>
    <t>B25101_014</t>
  </si>
  <si>
    <t>Estimate!!Total:!!With a mortgage:!!$35,000 to $49,999:!!30 percent or more</t>
  </si>
  <si>
    <t>B25101_015</t>
  </si>
  <si>
    <t>Estimate!!Total:!!With a mortgage:!!$50,000 to $74,999:</t>
  </si>
  <si>
    <t>B25101_016</t>
  </si>
  <si>
    <t>Estimate!!Total:!!With a mortgage:!!$50,000 to $74,999:!!Less than 20 percent</t>
  </si>
  <si>
    <t>B25101_017</t>
  </si>
  <si>
    <t>Estimate!!Total:!!With a mortgage:!!$50,000 to $74,999:!!20 to 29 percent</t>
  </si>
  <si>
    <t>B25101_018</t>
  </si>
  <si>
    <t>Estimate!!Total:!!With a mortgage:!!$50,000 to $74,999:!!30 percent or more</t>
  </si>
  <si>
    <t>B25101_019</t>
  </si>
  <si>
    <t>Estimate!!Total:!!With a mortgage:!!$75,000 or more:</t>
  </si>
  <si>
    <t>B25101_020</t>
  </si>
  <si>
    <t>Estimate!!Total:!!With a mortgage:!!$75,000 or more:!!Less than 20 percent</t>
  </si>
  <si>
    <t>B25101_021</t>
  </si>
  <si>
    <t>Estimate!!Total:!!With a mortgage:!!$75,000 or more:!!20 to 29 percent</t>
  </si>
  <si>
    <t>B25101_022</t>
  </si>
  <si>
    <t>Estimate!!Total:!!With a mortgage:!!$75,000 or more:!!30 percent or more</t>
  </si>
  <si>
    <t>B25101_023</t>
  </si>
  <si>
    <t>Estimate!!Total:!!With a mortgage:!!Zero or negative income</t>
  </si>
  <si>
    <t>B25101_024</t>
  </si>
  <si>
    <t>B25101_025</t>
  </si>
  <si>
    <t>Estimate!!Total:!!Not mortgaged:!!Less than $20,000:</t>
  </si>
  <si>
    <t>B25101_026</t>
  </si>
  <si>
    <t>Estimate!!Total:!!Not mortgaged:!!Less than $20,000:!!Less than 20 percent</t>
  </si>
  <si>
    <t>B25101_027</t>
  </si>
  <si>
    <t>Estimate!!Total:!!Not mortgaged:!!Less than $20,000:!!20 to 29 percent</t>
  </si>
  <si>
    <t>B25101_028</t>
  </si>
  <si>
    <t>Estimate!!Total:!!Not mortgaged:!!Less than $20,000:!!30 percent or more</t>
  </si>
  <si>
    <t>B25101_029</t>
  </si>
  <si>
    <t>Estimate!!Total:!!Not mortgaged:!!$20,000 to $34,999:</t>
  </si>
  <si>
    <t>B25101_030</t>
  </si>
  <si>
    <t>Estimate!!Total:!!Not mortgaged:!!$20,000 to $34,999:!!Less than 20 percent</t>
  </si>
  <si>
    <t>B25101_031</t>
  </si>
  <si>
    <t>Estimate!!Total:!!Not mortgaged:!!$20,000 to $34,999:!!20 to 29 percent</t>
  </si>
  <si>
    <t>B25101_032</t>
  </si>
  <si>
    <t>Estimate!!Total:!!Not mortgaged:!!$20,000 to $34,999:!!30 percent or more</t>
  </si>
  <si>
    <t>B25101_033</t>
  </si>
  <si>
    <t>Estimate!!Total:!!Not mortgaged:!!$35,000 to $49,999:</t>
  </si>
  <si>
    <t>B25101_034</t>
  </si>
  <si>
    <t>Estimate!!Total:!!Not mortgaged:!!$35,000 to $49,999:!!Less than 20 percent</t>
  </si>
  <si>
    <t>B25101_035</t>
  </si>
  <si>
    <t>Estimate!!Total:!!Not mortgaged:!!$35,000 to $49,999:!!20 to 29 percent</t>
  </si>
  <si>
    <t>B25101_036</t>
  </si>
  <si>
    <t>Estimate!!Total:!!Not mortgaged:!!$35,000 to $49,999:!!30 percent or more</t>
  </si>
  <si>
    <t>B25101_037</t>
  </si>
  <si>
    <t>Estimate!!Total:!!Not mortgaged:!!$50,000 to $74,999:</t>
  </si>
  <si>
    <t>B25101_038</t>
  </si>
  <si>
    <t>Estimate!!Total:!!Not mortgaged:!!$50,000 to $74,999:!!Less than 20 percent</t>
  </si>
  <si>
    <t>B25101_039</t>
  </si>
  <si>
    <t>Estimate!!Total:!!Not mortgaged:!!$50,000 to $74,999:!!20 to 29 percent</t>
  </si>
  <si>
    <t>B25101_040</t>
  </si>
  <si>
    <t>Estimate!!Total:!!Not mortgaged:!!$50,000 to $74,999:!!30 percent or more</t>
  </si>
  <si>
    <t>B25101_041</t>
  </si>
  <si>
    <t>Estimate!!Total:!!Not mortgaged:!!$75,000 or more:</t>
  </si>
  <si>
    <t>B25101_042</t>
  </si>
  <si>
    <t>Estimate!!Total:!!Not mortgaged:!!$75,000 or more:!!Less than 20 percent</t>
  </si>
  <si>
    <t>B25101_043</t>
  </si>
  <si>
    <t>Estimate!!Total:!!Not mortgaged:!!$75,000 or more:!!20 to 29 percent</t>
  </si>
  <si>
    <t>B25101_044</t>
  </si>
  <si>
    <t>Estimate!!Total:!!Not mortgaged:!!$75,000 or more:!!30 percent or more</t>
  </si>
  <si>
    <t>B25101_045</t>
  </si>
  <si>
    <t>Estimate!!Total:!!Not mortgaged:!!Zero or negative income</t>
  </si>
  <si>
    <t>B25102_002</t>
  </si>
  <si>
    <t>B25102_003</t>
  </si>
  <si>
    <t>Estimate!!Total:!!With a mortgage:!!Less than $800</t>
  </si>
  <si>
    <t>B25102_004</t>
  </si>
  <si>
    <t>Estimate!!Total:!!With a mortgage:!!$800 to $1,499</t>
  </si>
  <si>
    <t>B25102_005</t>
  </si>
  <si>
    <t>Estimate!!Total:!!With a mortgage:!!$1,500 to $1,999</t>
  </si>
  <si>
    <t>B25102_006</t>
  </si>
  <si>
    <t>Estimate!!Total:!!With a mortgage:!!$2,000 to $2,999</t>
  </si>
  <si>
    <t>B25102_007</t>
  </si>
  <si>
    <t>Estimate!!Total:!!With a mortgage:!!$3,000 or more</t>
  </si>
  <si>
    <t>B25102_008</t>
  </si>
  <si>
    <t>Estimate!!Total:!!With a mortgage:!!No real estate taxes paid</t>
  </si>
  <si>
    <t>B25102_009</t>
  </si>
  <si>
    <t>B25102_010</t>
  </si>
  <si>
    <t>Estimate!!Total:!!Not mortgaged:!!Less than $800</t>
  </si>
  <si>
    <t>B25102_011</t>
  </si>
  <si>
    <t>Estimate!!Total:!!Not mortgaged:!!$800 to $1,499</t>
  </si>
  <si>
    <t>B25102_012</t>
  </si>
  <si>
    <t>Estimate!!Total:!!Not mortgaged:!!$1,500 to $1,999</t>
  </si>
  <si>
    <t>B25102_013</t>
  </si>
  <si>
    <t>Estimate!!Total:!!Not mortgaged:!!$2,000 to $2,999</t>
  </si>
  <si>
    <t>B25102_014</t>
  </si>
  <si>
    <t>Estimate!!Total:!!Not mortgaged:!!$3,000 or more</t>
  </si>
  <si>
    <t>B25102_015</t>
  </si>
  <si>
    <t>Estimate!!Total:!!Not mortgaged:!!No real estate taxes paid</t>
  </si>
  <si>
    <t>B25103_002</t>
  </si>
  <si>
    <t>Estimate!!Median real estate taxes paid --!!Total:!!Median real estate taxes paid for units with a mortgage</t>
  </si>
  <si>
    <t>B25103_003</t>
  </si>
  <si>
    <t>Estimate!!Median real estate taxes paid --!!Total:!!Median real estate taxes paid for units without a mortgage</t>
  </si>
  <si>
    <t>B25104_002</t>
  </si>
  <si>
    <t>B25104_003</t>
  </si>
  <si>
    <t>Estimate!!Total:!!$100 to $199</t>
  </si>
  <si>
    <t>B25104_004</t>
  </si>
  <si>
    <t>B25104_005</t>
  </si>
  <si>
    <t>B25104_006</t>
  </si>
  <si>
    <t>B25104_007</t>
  </si>
  <si>
    <t>B25104_008</t>
  </si>
  <si>
    <t>B25104_009</t>
  </si>
  <si>
    <t>B25104_010</t>
  </si>
  <si>
    <t>B25104_011</t>
  </si>
  <si>
    <t>B25104_012</t>
  </si>
  <si>
    <t>Estimate!!Total:!!$1,000 to $1,499</t>
  </si>
  <si>
    <t>B25104_013</t>
  </si>
  <si>
    <t>B25104_014</t>
  </si>
  <si>
    <t>B25104_015</t>
  </si>
  <si>
    <t>B25104_016</t>
  </si>
  <si>
    <t>Estimate!!Total:!!$3,000 or more</t>
  </si>
  <si>
    <t>B25104_017</t>
  </si>
  <si>
    <t>B25106_002</t>
  </si>
  <si>
    <t>B25106_003</t>
  </si>
  <si>
    <t>Estimate!!Total:!!Owner-occupied housing units:!!Less than $20,000:</t>
  </si>
  <si>
    <t>B25106_004</t>
  </si>
  <si>
    <t>Estimate!!Total:!!Owner-occupied housing units:!!Less than $20,000:!!Less than 20 percent</t>
  </si>
  <si>
    <t>B25106_005</t>
  </si>
  <si>
    <t>Estimate!!Total:!!Owner-occupied housing units:!!Less than $20,000:!!20 to 29 percent</t>
  </si>
  <si>
    <t>B25106_006</t>
  </si>
  <si>
    <t>Estimate!!Total:!!Owner-occupied housing units:!!Less than $20,000:!!30 percent or more</t>
  </si>
  <si>
    <t>B25106_007</t>
  </si>
  <si>
    <t>Estimate!!Total:!!Owner-occupied housing units:!!$20,000 to $34,999:</t>
  </si>
  <si>
    <t>B25106_008</t>
  </si>
  <si>
    <t>Estimate!!Total:!!Owner-occupied housing units:!!$20,000 to $34,999:!!Less than 20 percent</t>
  </si>
  <si>
    <t>B25106_009</t>
  </si>
  <si>
    <t>Estimate!!Total:!!Owner-occupied housing units:!!$20,000 to $34,999:!!20 to 29 percent</t>
  </si>
  <si>
    <t>B25106_010</t>
  </si>
  <si>
    <t>Estimate!!Total:!!Owner-occupied housing units:!!$20,000 to $34,999:!!30 percent or more</t>
  </si>
  <si>
    <t>B25106_011</t>
  </si>
  <si>
    <t>Estimate!!Total:!!Owner-occupied housing units:!!$35,000 to $49,999:</t>
  </si>
  <si>
    <t>B25106_012</t>
  </si>
  <si>
    <t>Estimate!!Total:!!Owner-occupied housing units:!!$35,000 to $49,999:!!Less than 20 percent</t>
  </si>
  <si>
    <t>B25106_013</t>
  </si>
  <si>
    <t>Estimate!!Total:!!Owner-occupied housing units:!!$35,000 to $49,999:!!20 to 29 percent</t>
  </si>
  <si>
    <t>B25106_014</t>
  </si>
  <si>
    <t>Estimate!!Total:!!Owner-occupied housing units:!!$35,000 to $49,999:!!30 percent or more</t>
  </si>
  <si>
    <t>B25106_015</t>
  </si>
  <si>
    <t>Estimate!!Total:!!Owner-occupied housing units:!!$50,000 to $74,999:</t>
  </si>
  <si>
    <t>B25106_016</t>
  </si>
  <si>
    <t>Estimate!!Total:!!Owner-occupied housing units:!!$50,000 to $74,999:!!Less than 20 percent</t>
  </si>
  <si>
    <t>B25106_017</t>
  </si>
  <si>
    <t>Estimate!!Total:!!Owner-occupied housing units:!!$50,000 to $74,999:!!20 to 29 percent</t>
  </si>
  <si>
    <t>B25106_018</t>
  </si>
  <si>
    <t>Estimate!!Total:!!Owner-occupied housing units:!!$50,000 to $74,999:!!30 percent or more</t>
  </si>
  <si>
    <t>B25106_019</t>
  </si>
  <si>
    <t>Estimate!!Total:!!Owner-occupied housing units:!!$75,000 or more:</t>
  </si>
  <si>
    <t>B25106_020</t>
  </si>
  <si>
    <t>Estimate!!Total:!!Owner-occupied housing units:!!$75,000 or more:!!Less than 20 percent</t>
  </si>
  <si>
    <t>B25106_021</t>
  </si>
  <si>
    <t>Estimate!!Total:!!Owner-occupied housing units:!!$75,000 or more:!!20 to 29 percent</t>
  </si>
  <si>
    <t>B25106_022</t>
  </si>
  <si>
    <t>Estimate!!Total:!!Owner-occupied housing units:!!$75,000 or more:!!30 percent or more</t>
  </si>
  <si>
    <t>B25106_023</t>
  </si>
  <si>
    <t>Estimate!!Total:!!Owner-occupied housing units:!!Zero or negative income</t>
  </si>
  <si>
    <t>B25106_024</t>
  </si>
  <si>
    <t>B25106_025</t>
  </si>
  <si>
    <t>Estimate!!Total:!!Renter-occupied housing units:!!Less than $20,000:</t>
  </si>
  <si>
    <t>B25106_026</t>
  </si>
  <si>
    <t>Estimate!!Total:!!Renter-occupied housing units:!!Less than $20,000:!!Less than 20 percent</t>
  </si>
  <si>
    <t>B25106_027</t>
  </si>
  <si>
    <t>Estimate!!Total:!!Renter-occupied housing units:!!Less than $20,000:!!20 to 29 percent</t>
  </si>
  <si>
    <t>B25106_028</t>
  </si>
  <si>
    <t>Estimate!!Total:!!Renter-occupied housing units:!!Less than $20,000:!!30 percent or more</t>
  </si>
  <si>
    <t>B25106_029</t>
  </si>
  <si>
    <t>Estimate!!Total:!!Renter-occupied housing units:!!$20,000 to $34,999:</t>
  </si>
  <si>
    <t>B25106_030</t>
  </si>
  <si>
    <t>Estimate!!Total:!!Renter-occupied housing units:!!$20,000 to $34,999:!!Less than 20 percent</t>
  </si>
  <si>
    <t>B25106_031</t>
  </si>
  <si>
    <t>Estimate!!Total:!!Renter-occupied housing units:!!$20,000 to $34,999:!!20 to 29 percent</t>
  </si>
  <si>
    <t>B25106_032</t>
  </si>
  <si>
    <t>Estimate!!Total:!!Renter-occupied housing units:!!$20,000 to $34,999:!!30 percent or more</t>
  </si>
  <si>
    <t>B25106_033</t>
  </si>
  <si>
    <t>Estimate!!Total:!!Renter-occupied housing units:!!$35,000 to $49,999:</t>
  </si>
  <si>
    <t>B25106_034</t>
  </si>
  <si>
    <t>Estimate!!Total:!!Renter-occupied housing units:!!$35,000 to $49,999:!!Less than 20 percent</t>
  </si>
  <si>
    <t>B25106_035</t>
  </si>
  <si>
    <t>Estimate!!Total:!!Renter-occupied housing units:!!$35,000 to $49,999:!!20 to 29 percent</t>
  </si>
  <si>
    <t>B25106_036</t>
  </si>
  <si>
    <t>Estimate!!Total:!!Renter-occupied housing units:!!$35,000 to $49,999:!!30 percent or more</t>
  </si>
  <si>
    <t>B25106_037</t>
  </si>
  <si>
    <t>Estimate!!Total:!!Renter-occupied housing units:!!$50,000 to $74,999:</t>
  </si>
  <si>
    <t>B25106_038</t>
  </si>
  <si>
    <t>Estimate!!Total:!!Renter-occupied housing units:!!$50,000 to $74,999:!!Less than 20 percent</t>
  </si>
  <si>
    <t>B25106_039</t>
  </si>
  <si>
    <t>Estimate!!Total:!!Renter-occupied housing units:!!$50,000 to $74,999:!!20 to 29 percent</t>
  </si>
  <si>
    <t>B25106_040</t>
  </si>
  <si>
    <t>Estimate!!Total:!!Renter-occupied housing units:!!$50,000 to $74,999:!!30 percent or more</t>
  </si>
  <si>
    <t>B25106_041</t>
  </si>
  <si>
    <t>Estimate!!Total:!!Renter-occupied housing units:!!$75,000 or more:</t>
  </si>
  <si>
    <t>B25106_042</t>
  </si>
  <si>
    <t>Estimate!!Total:!!Renter-occupied housing units:!!$75,000 or more:!!Less than 20 percent</t>
  </si>
  <si>
    <t>B25106_043</t>
  </si>
  <si>
    <t>Estimate!!Total:!!Renter-occupied housing units:!!$75,000 or more:!!20 to 29 percent</t>
  </si>
  <si>
    <t>B25106_044</t>
  </si>
  <si>
    <t>Estimate!!Total:!!Renter-occupied housing units:!!$75,000 or more:!!30 percent or more</t>
  </si>
  <si>
    <t>B25106_045</t>
  </si>
  <si>
    <t>Estimate!!Total:!!Renter-occupied housing units:!!Zero or negative income</t>
  </si>
  <si>
    <t>B25106_046</t>
  </si>
  <si>
    <t>Estimate!!Total:!!Renter-occupied housing units:!!No cash rent</t>
  </si>
  <si>
    <t>B25107_002</t>
  </si>
  <si>
    <t>Estimate!!Median value --!!Total:!!Built 2020 or later</t>
  </si>
  <si>
    <t>B25107_003</t>
  </si>
  <si>
    <t>Estimate!!Median value --!!Total:!!Built 2010 to 2019</t>
  </si>
  <si>
    <t>B25107_004</t>
  </si>
  <si>
    <t>Estimate!!Median value --!!Total:!!Built 2000 to 2009</t>
  </si>
  <si>
    <t>B25107_005</t>
  </si>
  <si>
    <t>Estimate!!Median value --!!Total:!!Built 1990 to 1999</t>
  </si>
  <si>
    <t>B25107_006</t>
  </si>
  <si>
    <t>Estimate!!Median value --!!Total:!!Built 1980 to 1989</t>
  </si>
  <si>
    <t>B25107_007</t>
  </si>
  <si>
    <t>Estimate!!Median value --!!Total:!!Built 1970 to 1979</t>
  </si>
  <si>
    <t>B25107_008</t>
  </si>
  <si>
    <t>Estimate!!Median value --!!Total:!!Built 1960 to 1969</t>
  </si>
  <si>
    <t>B25107_009</t>
  </si>
  <si>
    <t>Estimate!!Median value --!!Total:!!Built 1950 to 1959</t>
  </si>
  <si>
    <t>B25107_010</t>
  </si>
  <si>
    <t>Estimate!!Median value --!!Total:!!Built 1940 to 1949</t>
  </si>
  <si>
    <t>B25107_011</t>
  </si>
  <si>
    <t>Estimate!!Median value --!!Total:!!Built 1939 or earlier</t>
  </si>
  <si>
    <t>B25108_002</t>
  </si>
  <si>
    <t>Estimate!!Aggregate value (dollars):!!Built 2020 or later</t>
  </si>
  <si>
    <t>B25108_003</t>
  </si>
  <si>
    <t>Estimate!!Aggregate value (dollars):!!Built 2010 to 2019</t>
  </si>
  <si>
    <t>B25108_004</t>
  </si>
  <si>
    <t>Estimate!!Aggregate value (dollars):!!Built 2000 to 2009</t>
  </si>
  <si>
    <t>B25108_005</t>
  </si>
  <si>
    <t>Estimate!!Aggregate value (dollars):!!Built 1990 to 1999</t>
  </si>
  <si>
    <t>B25108_006</t>
  </si>
  <si>
    <t>Estimate!!Aggregate value (dollars):!!Built 1980 to 1989</t>
  </si>
  <si>
    <t>B25108_007</t>
  </si>
  <si>
    <t>Estimate!!Aggregate value (dollars):!!Built 1970 to 1979</t>
  </si>
  <si>
    <t>B25108_008</t>
  </si>
  <si>
    <t>Estimate!!Aggregate value (dollars):!!Built 1960 to 1969</t>
  </si>
  <si>
    <t>B25108_009</t>
  </si>
  <si>
    <t>Estimate!!Aggregate value (dollars):!!Built 1950 to 1959</t>
  </si>
  <si>
    <t>B25108_010</t>
  </si>
  <si>
    <t>Estimate!!Aggregate value (dollars):!!Built 1940 to 1949</t>
  </si>
  <si>
    <t>B25108_011</t>
  </si>
  <si>
    <t>Estimate!!Aggregate value (dollars):!!Built 1939 or earlier</t>
  </si>
  <si>
    <t>B25109_002</t>
  </si>
  <si>
    <t>Estimate!!Median value --!!Total:!!Moved in 2023 or later</t>
  </si>
  <si>
    <t>B25109_003</t>
  </si>
  <si>
    <t>Estimate!!Median value --!!Total:!!Moved in 2020 to 2022</t>
  </si>
  <si>
    <t>B25109_004</t>
  </si>
  <si>
    <t>Estimate!!Median value --!!Total:!!Moved in 2010 to 2019</t>
  </si>
  <si>
    <t>B25109_005</t>
  </si>
  <si>
    <t>Estimate!!Median value --!!Total:!!Moved in 2000 to 2009</t>
  </si>
  <si>
    <t>B25109_006</t>
  </si>
  <si>
    <t>Estimate!!Median value --!!Total:!!Moved in 1990 to 1999</t>
  </si>
  <si>
    <t>B25109_007</t>
  </si>
  <si>
    <t>Estimate!!Median value --!!Total:!!Moved in 1989 or earlier</t>
  </si>
  <si>
    <t>B25110_002</t>
  </si>
  <si>
    <t>Estimate!!Aggregate value (dollars):!!Moved in 2023 or later</t>
  </si>
  <si>
    <t>B25110_003</t>
  </si>
  <si>
    <t>Estimate!!Aggregate value (dollars):!!Moved in 2020 to 2022</t>
  </si>
  <si>
    <t>B25110_004</t>
  </si>
  <si>
    <t>Estimate!!Aggregate value (dollars):!!Moved in 2010 to 2019</t>
  </si>
  <si>
    <t>B25110_005</t>
  </si>
  <si>
    <t>Estimate!!Aggregate value (dollars):!!Moved in 2000 to 2009</t>
  </si>
  <si>
    <t>B25110_006</t>
  </si>
  <si>
    <t>Estimate!!Aggregate value (dollars):!!Moved in 1990 to 1999</t>
  </si>
  <si>
    <t>B25110_007</t>
  </si>
  <si>
    <t>Estimate!!Aggregate value (dollars):!!Moved in 1989 or earlier</t>
  </si>
  <si>
    <t>B25111_002</t>
  </si>
  <si>
    <t>Estimate!!Median gross rent --!!Total:!!Built 2020 or later</t>
  </si>
  <si>
    <t>B25111_003</t>
  </si>
  <si>
    <t>Estimate!!Median gross rent --!!Total:!!Built 2010 to 2019</t>
  </si>
  <si>
    <t>B25111_004</t>
  </si>
  <si>
    <t>Estimate!!Median gross rent --!!Total:!!Built 2000 to 2009</t>
  </si>
  <si>
    <t>B25111_005</t>
  </si>
  <si>
    <t>Estimate!!Median gross rent --!!Total:!!Built 1990 to 1999</t>
  </si>
  <si>
    <t>B25111_006</t>
  </si>
  <si>
    <t>Estimate!!Median gross rent --!!Total:!!Built 1980 to 1989</t>
  </si>
  <si>
    <t>B25111_007</t>
  </si>
  <si>
    <t>Estimate!!Median gross rent --!!Total:!!Built 1970 to 1979</t>
  </si>
  <si>
    <t>B25111_008</t>
  </si>
  <si>
    <t>Estimate!!Median gross rent --!!Total:!!Built 1960 to 1969</t>
  </si>
  <si>
    <t>B25111_009</t>
  </si>
  <si>
    <t>Estimate!!Median gross rent --!!Total:!!Built 1950 to 1959</t>
  </si>
  <si>
    <t>B25111_010</t>
  </si>
  <si>
    <t>Estimate!!Median gross rent --!!Total:!!Built 1940 to 1949</t>
  </si>
  <si>
    <t>B25111_011</t>
  </si>
  <si>
    <t>Estimate!!Median gross rent --!!Total:!!Built 1939 or earlier</t>
  </si>
  <si>
    <t>B25112_002</t>
  </si>
  <si>
    <t>Estimate!!Aggregate gross rent (dollars):!!Built 2020 or later</t>
  </si>
  <si>
    <t>B25112_003</t>
  </si>
  <si>
    <t>Estimate!!Aggregate gross rent (dollars):!!Built 2010 to 2019</t>
  </si>
  <si>
    <t>B25112_004</t>
  </si>
  <si>
    <t>Estimate!!Aggregate gross rent (dollars):!!Built 2000 to 2009</t>
  </si>
  <si>
    <t>B25112_005</t>
  </si>
  <si>
    <t>Estimate!!Aggregate gross rent (dollars):!!Built 1990 to 1999</t>
  </si>
  <si>
    <t>B25112_006</t>
  </si>
  <si>
    <t>Estimate!!Aggregate gross rent (dollars):!!Built 1980 to 1989</t>
  </si>
  <si>
    <t>B25112_007</t>
  </si>
  <si>
    <t>Estimate!!Aggregate gross rent (dollars):!!Built 1970 to 1979</t>
  </si>
  <si>
    <t>B25112_008</t>
  </si>
  <si>
    <t>Estimate!!Aggregate gross rent (dollars):!!Built 1960 to 1969</t>
  </si>
  <si>
    <t>B25112_009</t>
  </si>
  <si>
    <t>Estimate!!Aggregate gross rent (dollars):!!Built 1950 to 1959</t>
  </si>
  <si>
    <t>B25112_010</t>
  </si>
  <si>
    <t>Estimate!!Aggregate gross rent (dollars):!!Built 1940 to 1949</t>
  </si>
  <si>
    <t>B25112_011</t>
  </si>
  <si>
    <t>Estimate!!Aggregate gross rent (dollars):!!Built 1939 or earlier</t>
  </si>
  <si>
    <t>B25113_002</t>
  </si>
  <si>
    <t>Estimate!!Median gross rent --!!Total:!!Moved in 2023 or later</t>
  </si>
  <si>
    <t>B25113_003</t>
  </si>
  <si>
    <t>Estimate!!Median gross rent --!!Total:!!Moved in 2020 to 2022</t>
  </si>
  <si>
    <t>B25113_004</t>
  </si>
  <si>
    <t>Estimate!!Median gross rent --!!Total:!!Moved in 2010 to 2019</t>
  </si>
  <si>
    <t>B25113_005</t>
  </si>
  <si>
    <t>Estimate!!Median gross rent --!!Total:!!Moved in 2000 to 2009</t>
  </si>
  <si>
    <t>B25113_006</t>
  </si>
  <si>
    <t>Estimate!!Median gross rent --!!Total:!!Moved in 1990 to 1999</t>
  </si>
  <si>
    <t>B25113_007</t>
  </si>
  <si>
    <t>Estimate!!Median gross rent --!!Total:!!Moved in 1989 or earlier</t>
  </si>
  <si>
    <t>B25114_002</t>
  </si>
  <si>
    <t>Estimate!!Aggregate gross rent:!!Moved in 2023 or later</t>
  </si>
  <si>
    <t>B25114_003</t>
  </si>
  <si>
    <t>Estimate!!Aggregate gross rent:!!Moved in 2020 to 2022</t>
  </si>
  <si>
    <t>B25114_004</t>
  </si>
  <si>
    <t>Estimate!!Aggregate gross rent:!!Moved in 2010 to 2019</t>
  </si>
  <si>
    <t>B25114_005</t>
  </si>
  <si>
    <t>Estimate!!Aggregate gross rent:!!Moved in 2000 to 2009</t>
  </si>
  <si>
    <t>B25114_006</t>
  </si>
  <si>
    <t>Estimate!!Aggregate gross rent:!!Moved in 1990 to 1999</t>
  </si>
  <si>
    <t>B25114_007</t>
  </si>
  <si>
    <t>Estimate!!Aggregate gross rent:!!Moved in 1989 or earlier</t>
  </si>
  <si>
    <t>B25115_002</t>
  </si>
  <si>
    <t>B25115_003</t>
  </si>
  <si>
    <t>B25115_004</t>
  </si>
  <si>
    <t>B25115_005</t>
  </si>
  <si>
    <t>Estimate!!Total:!!Owner occupied:!!Family households:!!Married-couple family:!!With own children of the householder under 18 years</t>
  </si>
  <si>
    <t>B25115_006</t>
  </si>
  <si>
    <t>Estimate!!Total:!!Owner occupied:!!Family households:!!Married-couple family:!!No own children of the householder under 18 years</t>
  </si>
  <si>
    <t>B25115_007</t>
  </si>
  <si>
    <t>B25115_008</t>
  </si>
  <si>
    <t>B25115_009</t>
  </si>
  <si>
    <t>Estimate!!Total:!!Owner occupied:!!Family households:!!Other family:!!Male householder, no spouse present:!!With own children of the householder under 18 years</t>
  </si>
  <si>
    <t>B25115_010</t>
  </si>
  <si>
    <t>Estimate!!Total:!!Owner occupied:!!Family households:!!Other family:!!Male householder, no spouse present:!!No own children of the householder under 18 years</t>
  </si>
  <si>
    <t>B25115_011</t>
  </si>
  <si>
    <t>B25115_012</t>
  </si>
  <si>
    <t>Estimate!!Total:!!Owner occupied:!!Family households:!!Other family:!!Female householder, no spouse present:!!With own children of the householder under 18 years</t>
  </si>
  <si>
    <t>B25115_013</t>
  </si>
  <si>
    <t>Estimate!!Total:!!Owner occupied:!!Family households:!!Other family:!!Female householder, no spouse present:!!No own children of the householder under 18 years</t>
  </si>
  <si>
    <t>B25115_014</t>
  </si>
  <si>
    <t>Estimate!!Total:!!Owner occupied:!!Nonfamily households</t>
  </si>
  <si>
    <t>B25115_015</t>
  </si>
  <si>
    <t>B25115_016</t>
  </si>
  <si>
    <t>B25115_017</t>
  </si>
  <si>
    <t>B25115_018</t>
  </si>
  <si>
    <t>Estimate!!Total:!!Renter occupied:!!Family households:!!Married-couple family:!!With own children of the householder under 18 years</t>
  </si>
  <si>
    <t>B25115_019</t>
  </si>
  <si>
    <t>Estimate!!Total:!!Renter occupied:!!Family households:!!Married-couple family:!!No own children of the householder under 18 years</t>
  </si>
  <si>
    <t>B25115_020</t>
  </si>
  <si>
    <t>B25115_021</t>
  </si>
  <si>
    <t>B25115_022</t>
  </si>
  <si>
    <t>Estimate!!Total:!!Renter occupied:!!Family households:!!Other family:!!Male householder, no spouse present:!!With own children of the householder under 18 years</t>
  </si>
  <si>
    <t>B25115_023</t>
  </si>
  <si>
    <t>Estimate!!Total:!!Renter occupied:!!Family households:!!Other family:!!Male householder, no spouse present:!!No own children of the householder under 18 years</t>
  </si>
  <si>
    <t>B25115_024</t>
  </si>
  <si>
    <t>B25115_025</t>
  </si>
  <si>
    <t>Estimate!!Total:!!Renter occupied:!!Family households:!!Other family:!!Female householder, no spouse present:!!With own children of the householder under 18 years</t>
  </si>
  <si>
    <t>B25115_026</t>
  </si>
  <si>
    <t>Estimate!!Total:!!Renter occupied:!!Family households:!!Other family:!!Female householder, no spouse present:!!No own children of the householder under 18 years</t>
  </si>
  <si>
    <t>B25115_027</t>
  </si>
  <si>
    <t>Estimate!!Total:!!Renter occupied:!!Nonfamily households</t>
  </si>
  <si>
    <t>B25116_002</t>
  </si>
  <si>
    <t>B25116_003</t>
  </si>
  <si>
    <t>Estimate!!Total:!!Owner occupied:!!1-person household:</t>
  </si>
  <si>
    <t>B25116_004</t>
  </si>
  <si>
    <t>Estimate!!Total:!!Owner occupied:!!1-person household:!!Householder 15 to 54 years</t>
  </si>
  <si>
    <t>B25116_005</t>
  </si>
  <si>
    <t>Estimate!!Total:!!Owner occupied:!!1-person household:!!Householder 55 to 64 years</t>
  </si>
  <si>
    <t>B25116_006</t>
  </si>
  <si>
    <t>Estimate!!Total:!!Owner occupied:!!1-person household:!!Householder 65 to 74 years</t>
  </si>
  <si>
    <t>B25116_007</t>
  </si>
  <si>
    <t>Estimate!!Total:!!Owner occupied:!!1-person household:!!Householder 75 years and over</t>
  </si>
  <si>
    <t>B25116_008</t>
  </si>
  <si>
    <t>Estimate!!Total:!!Owner occupied:!!2-or-more person household:</t>
  </si>
  <si>
    <t>B25116_009</t>
  </si>
  <si>
    <t>Estimate!!Total:!!Owner occupied:!!2-or-more person household:!!Householder 15 to 54 years</t>
  </si>
  <si>
    <t>B25116_010</t>
  </si>
  <si>
    <t>Estimate!!Total:!!Owner occupied:!!2-or-more person household:!!Householder 55 to 64 years</t>
  </si>
  <si>
    <t>B25116_011</t>
  </si>
  <si>
    <t>Estimate!!Total:!!Owner occupied:!!2-or-more person household:!!Householder 65 to 74 years</t>
  </si>
  <si>
    <t>B25116_012</t>
  </si>
  <si>
    <t>Estimate!!Total:!!Owner occupied:!!2-or-more person household:!!Householder 75 years and over</t>
  </si>
  <si>
    <t>B25116_013</t>
  </si>
  <si>
    <t>B25116_014</t>
  </si>
  <si>
    <t>Estimate!!Total:!!Renter occupied:!!1-person household:</t>
  </si>
  <si>
    <t>B25116_015</t>
  </si>
  <si>
    <t>Estimate!!Total:!!Renter occupied:!!1-person household:!!Householder 15 to 54 years</t>
  </si>
  <si>
    <t>B25116_016</t>
  </si>
  <si>
    <t>Estimate!!Total:!!Renter occupied:!!1-person household:!!Householder 55 to 64 years</t>
  </si>
  <si>
    <t>B25116_017</t>
  </si>
  <si>
    <t>Estimate!!Total:!!Renter occupied:!!1-person household:!!Householder 65 to 74 years</t>
  </si>
  <si>
    <t>B25116_018</t>
  </si>
  <si>
    <t>Estimate!!Total:!!Renter occupied:!!1-person household:!!Householder 75 years and over</t>
  </si>
  <si>
    <t>B25116_019</t>
  </si>
  <si>
    <t>Estimate!!Total:!!Renter occupied:!!2-or-more person household:</t>
  </si>
  <si>
    <t>B25116_020</t>
  </si>
  <si>
    <t>Estimate!!Total:!!Renter occupied:!!2-or-more person household:!!Householder 15 to 54 years</t>
  </si>
  <si>
    <t>B25116_021</t>
  </si>
  <si>
    <t>Estimate!!Total:!!Renter occupied:!!2-or-more person household:!!Householder 55 to 64 years</t>
  </si>
  <si>
    <t>B25116_022</t>
  </si>
  <si>
    <t>Estimate!!Total:!!Renter occupied:!!2-or-more person household:!!Householder 65 to 74 years</t>
  </si>
  <si>
    <t>B25116_023</t>
  </si>
  <si>
    <t>Estimate!!Total:!!Renter occupied:!!2-or-more person household:!!Householder 75 years and over</t>
  </si>
  <si>
    <t>B25117_002</t>
  </si>
  <si>
    <t>B25117_003</t>
  </si>
  <si>
    <t>Estimate!!Total:!!Owner occupied:!!Utility gas</t>
  </si>
  <si>
    <t>B25117_004</t>
  </si>
  <si>
    <t>Estimate!!Total:!!Owner occupied:!!Bottled or tank gas (propane, butane, etc.)</t>
  </si>
  <si>
    <t>B25117_005</t>
  </si>
  <si>
    <t>Estimate!!Total:!!Owner occupied:!!Electricity</t>
  </si>
  <si>
    <t>B25117_006</t>
  </si>
  <si>
    <t>Estimate!!Total:!!Owner occupied:!!Fuel oil, kerosene, etc.</t>
  </si>
  <si>
    <t>B25117_007</t>
  </si>
  <si>
    <t>Estimate!!Total:!!Owner occupied:!!Coal or coke</t>
  </si>
  <si>
    <t>B25117_008</t>
  </si>
  <si>
    <t>Estimate!!Total:!!Owner occupied:!!Wood</t>
  </si>
  <si>
    <t>B25117_009</t>
  </si>
  <si>
    <t>Estimate!!Total:!!Owner occupied:!!Solar energy</t>
  </si>
  <si>
    <t>B25117_010</t>
  </si>
  <si>
    <t>Estimate!!Total:!!Owner occupied:!!Other fuel</t>
  </si>
  <si>
    <t>B25117_011</t>
  </si>
  <si>
    <t>Estimate!!Total:!!Owner occupied:!!No fuel used</t>
  </si>
  <si>
    <t>B25117_012</t>
  </si>
  <si>
    <t>B25117_013</t>
  </si>
  <si>
    <t>Estimate!!Total:!!Renter occupied:!!Utility gas</t>
  </si>
  <si>
    <t>B25117_014</t>
  </si>
  <si>
    <t>Estimate!!Total:!!Renter occupied:!!Bottled or tank gas (propane, butane, etc.)</t>
  </si>
  <si>
    <t>B25117_015</t>
  </si>
  <si>
    <t>Estimate!!Total:!!Renter occupied:!!Electricity</t>
  </si>
  <si>
    <t>B25117_016</t>
  </si>
  <si>
    <t>Estimate!!Total:!!Renter occupied:!!Fuel oil, kerosene, etc.</t>
  </si>
  <si>
    <t>B25117_017</t>
  </si>
  <si>
    <t>Estimate!!Total:!!Renter occupied:!!Coal or coke</t>
  </si>
  <si>
    <t>B25117_018</t>
  </si>
  <si>
    <t>Estimate!!Total:!!Renter occupied:!!Wood</t>
  </si>
  <si>
    <t>B25117_019</t>
  </si>
  <si>
    <t>Estimate!!Total:!!Renter occupied:!!Solar energy</t>
  </si>
  <si>
    <t>B25117_020</t>
  </si>
  <si>
    <t>Estimate!!Total:!!Renter occupied:!!Other fuel</t>
  </si>
  <si>
    <t>B25117_021</t>
  </si>
  <si>
    <t>Estimate!!Total:!!Renter occupied:!!No fuel used</t>
  </si>
  <si>
    <t>B25118_002</t>
  </si>
  <si>
    <t>B25118_003</t>
  </si>
  <si>
    <t>Estimate!!Total:!!Owner occupied:!!Less than $5,000</t>
  </si>
  <si>
    <t>B25118_004</t>
  </si>
  <si>
    <t>Estimate!!Total:!!Owner occupied:!!$5,000 to $9,999</t>
  </si>
  <si>
    <t>B25118_005</t>
  </si>
  <si>
    <t>Estimate!!Total:!!Owner occupied:!!$10,000 to $14,999</t>
  </si>
  <si>
    <t>B25118_006</t>
  </si>
  <si>
    <t>Estimate!!Total:!!Owner occupied:!!$15,000 to $19,999</t>
  </si>
  <si>
    <t>B25118_007</t>
  </si>
  <si>
    <t>Estimate!!Total:!!Owner occupied:!!$20,000 to $24,999</t>
  </si>
  <si>
    <t>B25118_008</t>
  </si>
  <si>
    <t>Estimate!!Total:!!Owner occupied:!!$25,000 to $34,999</t>
  </si>
  <si>
    <t>B25118_009</t>
  </si>
  <si>
    <t>Estimate!!Total:!!Owner occupied:!!$35,000 to $49,999</t>
  </si>
  <si>
    <t>B25118_010</t>
  </si>
  <si>
    <t>Estimate!!Total:!!Owner occupied:!!$50,000 to $74,999</t>
  </si>
  <si>
    <t>B25118_011</t>
  </si>
  <si>
    <t>Estimate!!Total:!!Owner occupied:!!$75,000 to $99,999</t>
  </si>
  <si>
    <t>B25118_012</t>
  </si>
  <si>
    <t>Estimate!!Total:!!Owner occupied:!!$100,000 to $149,999</t>
  </si>
  <si>
    <t>B25118_013</t>
  </si>
  <si>
    <t>Estimate!!Total:!!Owner occupied:!!$150,000 or more</t>
  </si>
  <si>
    <t>B25118_014</t>
  </si>
  <si>
    <t>B25118_015</t>
  </si>
  <si>
    <t>Estimate!!Total:!!Renter occupied:!!Less than $5,000</t>
  </si>
  <si>
    <t>B25118_016</t>
  </si>
  <si>
    <t>Estimate!!Total:!!Renter occupied:!!$5,000 to $9,999</t>
  </si>
  <si>
    <t>B25118_017</t>
  </si>
  <si>
    <t>Estimate!!Total:!!Renter occupied:!!$10,000 to $14,999</t>
  </si>
  <si>
    <t>B25118_018</t>
  </si>
  <si>
    <t>Estimate!!Total:!!Renter occupied:!!$15,000 to $19,999</t>
  </si>
  <si>
    <t>B25118_019</t>
  </si>
  <si>
    <t>Estimate!!Total:!!Renter occupied:!!$20,000 to $24,999</t>
  </si>
  <si>
    <t>B25118_020</t>
  </si>
  <si>
    <t>Estimate!!Total:!!Renter occupied:!!$25,000 to $34,999</t>
  </si>
  <si>
    <t>B25118_021</t>
  </si>
  <si>
    <t>Estimate!!Total:!!Renter occupied:!!$35,000 to $49,999</t>
  </si>
  <si>
    <t>B25118_022</t>
  </si>
  <si>
    <t>Estimate!!Total:!!Renter occupied:!!$50,000 to $74,999</t>
  </si>
  <si>
    <t>B25118_023</t>
  </si>
  <si>
    <t>Estimate!!Total:!!Renter occupied:!!$75,000 to $99,999</t>
  </si>
  <si>
    <t>B25118_024</t>
  </si>
  <si>
    <t>Estimate!!Total:!!Renter occupied:!!$100,000 to $149,999</t>
  </si>
  <si>
    <t>B25118_025</t>
  </si>
  <si>
    <t>Estimate!!Total:!!Renter occupied:!!$150,000 or more</t>
  </si>
  <si>
    <t>B25119_002</t>
  </si>
  <si>
    <t>Estimate!!Median household income in the past 12 months (in 2024 inflation-adjusted dollars) --!!Total:!!Owner occupied (dollars)</t>
  </si>
  <si>
    <t>B25119_003</t>
  </si>
  <si>
    <t>Estimate!!Median household income in the past 12 months (in 2024 inflation-adjusted dollars) --!!Total:!!Renter occupied (dollars)</t>
  </si>
  <si>
    <t>B25120_002</t>
  </si>
  <si>
    <t>Estimate!!Aggregate household income in the past 12 months (in 2024 inflation-adjusted dollars):!!Owner occupied :</t>
  </si>
  <si>
    <t>B25120_003</t>
  </si>
  <si>
    <t>Estimate!!Aggregate household income in the past 12 months (in 2024 inflation-adjusted dollars):!!Owner occupied :!!Housing units with a mortgage</t>
  </si>
  <si>
    <t>B25120_004</t>
  </si>
  <si>
    <t>Estimate!!Aggregate household income in the past 12 months (in 2024 inflation-adjusted dollars):!!Owner occupied :!!Housing units without a mortgage</t>
  </si>
  <si>
    <t>B25120_005</t>
  </si>
  <si>
    <t>Estimate!!Aggregate household income in the past 12 months (in 2024 inflation-adjusted dollars):!!Renter occupied</t>
  </si>
  <si>
    <t>B25121_002</t>
  </si>
  <si>
    <t>Estimate!!Total:!!Household income the past 12 months (in 2024 inflation-adjusted dollars) --!!Less than $10,000:</t>
  </si>
  <si>
    <t>B25121_003</t>
  </si>
  <si>
    <t>Estimate!!Total:!!Household income the past 12 months (in 2024 inflation-adjusted dollars) --!!Less than $10,000:!!Value less than $10,000</t>
  </si>
  <si>
    <t>B25121_004</t>
  </si>
  <si>
    <t>Estimate!!Total:!!Household income the past 12 months (in 2024 inflation-adjusted dollars) --!!Less than $10,000:!!Value $10,000 to $19,999</t>
  </si>
  <si>
    <t>B25121_005</t>
  </si>
  <si>
    <t>Estimate!!Total:!!Household income the past 12 months (in 2024 inflation-adjusted dollars) --!!Less than $10,000:!!Value $20,000 to $29,999</t>
  </si>
  <si>
    <t>B25121_006</t>
  </si>
  <si>
    <t>Estimate!!Total:!!Household income the past 12 months (in 2024 inflation-adjusted dollars) --!!Less than $10,000:!!Value $30,000 to $39,999</t>
  </si>
  <si>
    <t>B25121_007</t>
  </si>
  <si>
    <t>Estimate!!Total:!!Household income the past 12 months (in 2024 inflation-adjusted dollars) --!!Less than $10,000:!!Value $40,000 to $49,999</t>
  </si>
  <si>
    <t>B25121_008</t>
  </si>
  <si>
    <t>Estimate!!Total:!!Household income the past 12 months (in 2024 inflation-adjusted dollars) --!!Less than $10,000:!!Value $50,000 to $59,999</t>
  </si>
  <si>
    <t>B25121_009</t>
  </si>
  <si>
    <t>Estimate!!Total:!!Household income the past 12 months (in 2024 inflation-adjusted dollars) --!!Less than $10,000:!!Value $60,000 to $69,999</t>
  </si>
  <si>
    <t>B25121_010</t>
  </si>
  <si>
    <t>Estimate!!Total:!!Household income the past 12 months (in 2024 inflation-adjusted dollars) --!!Less than $10,000:!!Value $70,000 to $79,999</t>
  </si>
  <si>
    <t>B25121_011</t>
  </si>
  <si>
    <t>Estimate!!Total:!!Household income the past 12 months (in 2024 inflation-adjusted dollars) --!!Less than $10,000:!!Value $80,000 to $89,999</t>
  </si>
  <si>
    <t>B25121_012</t>
  </si>
  <si>
    <t>Estimate!!Total:!!Household income the past 12 months (in 2024 inflation-adjusted dollars) --!!Less than $10,000:!!Value $90,000 to $99,999</t>
  </si>
  <si>
    <t>B25121_013</t>
  </si>
  <si>
    <t>Estimate!!Total:!!Household income the past 12 months (in 2024 inflation-adjusted dollars) --!!Less than $10,000:!!Value $100,000 to $199,999</t>
  </si>
  <si>
    <t>B25121_014</t>
  </si>
  <si>
    <t>Estimate!!Total:!!Household income the past 12 months (in 2024 inflation-adjusted dollars) --!!Less than $10,000:!!Value $200,000 to $249,999</t>
  </si>
  <si>
    <t>B25121_015</t>
  </si>
  <si>
    <t>Estimate!!Total:!!Household income the past 12 months (in 2024 inflation-adjusted dollars) --!!Less than $10,000:!!Value $250,000 to $499,999</t>
  </si>
  <si>
    <t>B25121_016</t>
  </si>
  <si>
    <t>Estimate!!Total:!!Household income the past 12 months (in 2024 inflation-adjusted dollars) --!!Less than $10,000:!!Value $500,000 or more</t>
  </si>
  <si>
    <t>B25121_017</t>
  </si>
  <si>
    <t>Estimate!!Total:!!Household income the past 12 months (in 2024 inflation-adjusted dollars) --!!$10,000 to $19,999:</t>
  </si>
  <si>
    <t>B25121_018</t>
  </si>
  <si>
    <t>Estimate!!Total:!!Household income the past 12 months (in 2024 inflation-adjusted dollars) --!!$10,000 to $19,999:!!Value less than $10,000</t>
  </si>
  <si>
    <t>B25121_019</t>
  </si>
  <si>
    <t>Estimate!!Total:!!Household income the past 12 months (in 2024 inflation-adjusted dollars) --!!$10,000 to $19,999:!!Value $10,000 to $19,999</t>
  </si>
  <si>
    <t>B25121_020</t>
  </si>
  <si>
    <t>Estimate!!Total:!!Household income the past 12 months (in 2024 inflation-adjusted dollars) --!!$10,000 to $19,999:!!Value $20,000 to $29,999</t>
  </si>
  <si>
    <t>B25121_021</t>
  </si>
  <si>
    <t>Estimate!!Total:!!Household income the past 12 months (in 2024 inflation-adjusted dollars) --!!$10,000 to $19,999:!!Value $30,000 to $39,999</t>
  </si>
  <si>
    <t>B25121_022</t>
  </si>
  <si>
    <t>Estimate!!Total:!!Household income the past 12 months (in 2024 inflation-adjusted dollars) --!!$10,000 to $19,999:!!Value $40,000 to $49,999</t>
  </si>
  <si>
    <t>B25121_023</t>
  </si>
  <si>
    <t>Estimate!!Total:!!Household income the past 12 months (in 2024 inflation-adjusted dollars) --!!$10,000 to $19,999:!!Value $50,000 to $59,999</t>
  </si>
  <si>
    <t>B25121_024</t>
  </si>
  <si>
    <t>Estimate!!Total:!!Household income the past 12 months (in 2024 inflation-adjusted dollars) --!!$10,000 to $19,999:!!Value $60,000 to $69,999</t>
  </si>
  <si>
    <t>B25121_025</t>
  </si>
  <si>
    <t>Estimate!!Total:!!Household income the past 12 months (in 2024 inflation-adjusted dollars) --!!$10,000 to $19,999:!!Value $70,000 to $79,999</t>
  </si>
  <si>
    <t>B25121_026</t>
  </si>
  <si>
    <t>Estimate!!Total:!!Household income the past 12 months (in 2024 inflation-adjusted dollars) --!!$10,000 to $19,999:!!Value $80,000 to $89,999</t>
  </si>
  <si>
    <t>B25121_027</t>
  </si>
  <si>
    <t>Estimate!!Total:!!Household income the past 12 months (in 2024 inflation-adjusted dollars) --!!$10,000 to $19,999:!!Value $90,000 to $99,999</t>
  </si>
  <si>
    <t>B25121_028</t>
  </si>
  <si>
    <t>Estimate!!Total:!!Household income the past 12 months (in 2024 inflation-adjusted dollars) --!!$10,000 to $19,999:!!Value $100,000 to $199,999</t>
  </si>
  <si>
    <t>B25121_029</t>
  </si>
  <si>
    <t>Estimate!!Total:!!Household income the past 12 months (in 2024 inflation-adjusted dollars) --!!$10,000 to $19,999:!!Value $200,000 to $249,999</t>
  </si>
  <si>
    <t>B25121_030</t>
  </si>
  <si>
    <t>Estimate!!Total:!!Household income the past 12 months (in 2024 inflation-adjusted dollars) --!!$10,000 to $19,999:!!Value $250,000 to $499,999</t>
  </si>
  <si>
    <t>B25121_031</t>
  </si>
  <si>
    <t>Estimate!!Total:!!Household income the past 12 months (in 2024 inflation-adjusted dollars) --!!$10,000 to $19,999:!!Value $500,000 or more</t>
  </si>
  <si>
    <t>B25121_032</t>
  </si>
  <si>
    <t>Estimate!!Total:!!Household income the past 12 months (in 2024 inflation-adjusted dollars) --!!$20,000 to $34,999:</t>
  </si>
  <si>
    <t>B25121_033</t>
  </si>
  <si>
    <t>Estimate!!Total:!!Household income the past 12 months (in 2024 inflation-adjusted dollars) --!!$20,000 to $34,999:!!Value less than $10,000</t>
  </si>
  <si>
    <t>B25121_034</t>
  </si>
  <si>
    <t>Estimate!!Total:!!Household income the past 12 months (in 2024 inflation-adjusted dollars) --!!$20,000 to $34,999:!!Value $10,000 to $19,999</t>
  </si>
  <si>
    <t>B25121_035</t>
  </si>
  <si>
    <t>Estimate!!Total:!!Household income the past 12 months (in 2024 inflation-adjusted dollars) --!!$20,000 to $34,999:!!Value $20,000 to $29,999</t>
  </si>
  <si>
    <t>B25121_036</t>
  </si>
  <si>
    <t>Estimate!!Total:!!Household income the past 12 months (in 2024 inflation-adjusted dollars) --!!$20,000 to $34,999:!!Value $30,000 to $39,999</t>
  </si>
  <si>
    <t>B25121_037</t>
  </si>
  <si>
    <t>Estimate!!Total:!!Household income the past 12 months (in 2024 inflation-adjusted dollars) --!!$20,000 to $34,999:!!Value $40,000 to $49,999</t>
  </si>
  <si>
    <t>B25121_038</t>
  </si>
  <si>
    <t>Estimate!!Total:!!Household income the past 12 months (in 2024 inflation-adjusted dollars) --!!$20,000 to $34,999:!!Value $50,000 to $59,999</t>
  </si>
  <si>
    <t>B25121_039</t>
  </si>
  <si>
    <t>Estimate!!Total:!!Household income the past 12 months (in 2024 inflation-adjusted dollars) --!!$20,000 to $34,999:!!Value $60,000 to $69,999</t>
  </si>
  <si>
    <t>B25121_040</t>
  </si>
  <si>
    <t>Estimate!!Total:!!Household income the past 12 months (in 2024 inflation-adjusted dollars) --!!$20,000 to $34,999:!!Value $70,000 to $79,999</t>
  </si>
  <si>
    <t>B25121_041</t>
  </si>
  <si>
    <t>Estimate!!Total:!!Household income the past 12 months (in 2024 inflation-adjusted dollars) --!!$20,000 to $34,999:!!Value $80,000 to $89,999</t>
  </si>
  <si>
    <t>B25121_042</t>
  </si>
  <si>
    <t>Estimate!!Total:!!Household income the past 12 months (in 2024 inflation-adjusted dollars) --!!$20,000 to $34,999:!!Value $90,000 to $99,999</t>
  </si>
  <si>
    <t>B25121_043</t>
  </si>
  <si>
    <t>Estimate!!Total:!!Household income the past 12 months (in 2024 inflation-adjusted dollars) --!!$20,000 to $34,999:!!Value $100,000 to $199,999</t>
  </si>
  <si>
    <t>B25121_044</t>
  </si>
  <si>
    <t>Estimate!!Total:!!Household income the past 12 months (in 2024 inflation-adjusted dollars) --!!$20,000 to $34,999:!!Value $200,000 to $249,999</t>
  </si>
  <si>
    <t>B25121_045</t>
  </si>
  <si>
    <t>Estimate!!Total:!!Household income the past 12 months (in 2024 inflation-adjusted dollars) --!!$20,000 to $34,999:!!Value $250,000 to $499,999</t>
  </si>
  <si>
    <t>B25121_046</t>
  </si>
  <si>
    <t>Estimate!!Total:!!Household income the past 12 months (in 2024 inflation-adjusted dollars) --!!$20,000 to $34,999:!!Value $500,000 or more</t>
  </si>
  <si>
    <t>B25121_047</t>
  </si>
  <si>
    <t>Estimate!!Total:!!Household income the past 12 months (in 2024 inflation-adjusted dollars) --!!$35,000 to $49,999:</t>
  </si>
  <si>
    <t>B25121_048</t>
  </si>
  <si>
    <t>Estimate!!Total:!!Household income the past 12 months (in 2024 inflation-adjusted dollars) --!!$35,000 to $49,999:!!Value less than $10,000</t>
  </si>
  <si>
    <t>B25121_049</t>
  </si>
  <si>
    <t>Estimate!!Total:!!Household income the past 12 months (in 2024 inflation-adjusted dollars) --!!$35,000 to $49,999:!!Value $10,000 to $19,999</t>
  </si>
  <si>
    <t>B25121_050</t>
  </si>
  <si>
    <t>Estimate!!Total:!!Household income the past 12 months (in 2024 inflation-adjusted dollars) --!!$35,000 to $49,999:!!Value $20,000 to $29,999</t>
  </si>
  <si>
    <t>B25121_051</t>
  </si>
  <si>
    <t>Estimate!!Total:!!Household income the past 12 months (in 2024 inflation-adjusted dollars) --!!$35,000 to $49,999:!!Value $30,000 to $39,999</t>
  </si>
  <si>
    <t>B25121_052</t>
  </si>
  <si>
    <t>Estimate!!Total:!!Household income the past 12 months (in 2024 inflation-adjusted dollars) --!!$35,000 to $49,999:!!Value $40,000 to $49,999</t>
  </si>
  <si>
    <t>B25121_053</t>
  </si>
  <si>
    <t>Estimate!!Total:!!Household income the past 12 months (in 2024 inflation-adjusted dollars) --!!$35,000 to $49,999:!!Value $50,000 to $59,999</t>
  </si>
  <si>
    <t>B25121_054</t>
  </si>
  <si>
    <t>Estimate!!Total:!!Household income the past 12 months (in 2024 inflation-adjusted dollars) --!!$35,000 to $49,999:!!Value $60,000 to $69,999</t>
  </si>
  <si>
    <t>B25121_055</t>
  </si>
  <si>
    <t>Estimate!!Total:!!Household income the past 12 months (in 2024 inflation-adjusted dollars) --!!$35,000 to $49,999:!!Value $70,000 to $79,999</t>
  </si>
  <si>
    <t>B25121_056</t>
  </si>
  <si>
    <t>Estimate!!Total:!!Household income the past 12 months (in 2024 inflation-adjusted dollars) --!!$35,000 to $49,999:!!Value $80,000 to $89,999</t>
  </si>
  <si>
    <t>B25121_057</t>
  </si>
  <si>
    <t>Estimate!!Total:!!Household income the past 12 months (in 2024 inflation-adjusted dollars) --!!$35,000 to $49,999:!!Value $90,000 to $99,999</t>
  </si>
  <si>
    <t>B25121_058</t>
  </si>
  <si>
    <t>Estimate!!Total:!!Household income the past 12 months (in 2024 inflation-adjusted dollars) --!!$35,000 to $49,999:!!Value $100,000 to $199,999</t>
  </si>
  <si>
    <t>B25121_059</t>
  </si>
  <si>
    <t>Estimate!!Total:!!Household income the past 12 months (in 2024 inflation-adjusted dollars) --!!$35,000 to $49,999:!!Value $200,000 to $249,999</t>
  </si>
  <si>
    <t>B25121_060</t>
  </si>
  <si>
    <t>Estimate!!Total:!!Household income the past 12 months (in 2024 inflation-adjusted dollars) --!!$35,000 to $49,999:!!Value $250,000 to $499,999</t>
  </si>
  <si>
    <t>B25121_061</t>
  </si>
  <si>
    <t>Estimate!!Total:!!Household income the past 12 months (in 2024 inflation-adjusted dollars) --!!$35,000 to $49,999:!!Value $500,000 or more</t>
  </si>
  <si>
    <t>B25121_062</t>
  </si>
  <si>
    <t>Estimate!!Total:!!Household income the past 12 months (in 2024 inflation-adjusted dollars) --!!$50,000 to $74,999:</t>
  </si>
  <si>
    <t>B25121_063</t>
  </si>
  <si>
    <t>Estimate!!Total:!!Household income the past 12 months (in 2024 inflation-adjusted dollars) --!!$50,000 to $74,999:!!Value less than $10,000</t>
  </si>
  <si>
    <t>B25121_064</t>
  </si>
  <si>
    <t>Estimate!!Total:!!Household income the past 12 months (in 2024 inflation-adjusted dollars) --!!$50,000 to $74,999:!!Value $10,000 to $19,999</t>
  </si>
  <si>
    <t>B25121_065</t>
  </si>
  <si>
    <t>Estimate!!Total:!!Household income the past 12 months (in 2024 inflation-adjusted dollars) --!!$50,000 to $74,999:!!Value $20,000 to $29,999</t>
  </si>
  <si>
    <t>B25121_066</t>
  </si>
  <si>
    <t>Estimate!!Total:!!Household income the past 12 months (in 2024 inflation-adjusted dollars) --!!$50,000 to $74,999:!!Value $30,000 to $39,999</t>
  </si>
  <si>
    <t>B25121_067</t>
  </si>
  <si>
    <t>Estimate!!Total:!!Household income the past 12 months (in 2024 inflation-adjusted dollars) --!!$50,000 to $74,999:!!Value $40,000 to $49,999</t>
  </si>
  <si>
    <t>B25121_068</t>
  </si>
  <si>
    <t>Estimate!!Total:!!Household income the past 12 months (in 2024 inflation-adjusted dollars) --!!$50,000 to $74,999:!!Value $50,000 to $59,999</t>
  </si>
  <si>
    <t>B25121_069</t>
  </si>
  <si>
    <t>Estimate!!Total:!!Household income the past 12 months (in 2024 inflation-adjusted dollars) --!!$50,000 to $74,999:!!Value $60,000 to $69,999</t>
  </si>
  <si>
    <t>B25121_070</t>
  </si>
  <si>
    <t>Estimate!!Total:!!Household income the past 12 months (in 2024 inflation-adjusted dollars) --!!$50,000 to $74,999:!!Value $70,000 to $79,999</t>
  </si>
  <si>
    <t>B25121_071</t>
  </si>
  <si>
    <t>Estimate!!Total:!!Household income the past 12 months (in 2024 inflation-adjusted dollars) --!!$50,000 to $74,999:!!Value $80,000 to $89,999</t>
  </si>
  <si>
    <t>B25121_072</t>
  </si>
  <si>
    <t>Estimate!!Total:!!Household income the past 12 months (in 2024 inflation-adjusted dollars) --!!$50,000 to $74,999:!!Value $90,000 to $99,999</t>
  </si>
  <si>
    <t>B25121_073</t>
  </si>
  <si>
    <t>Estimate!!Total:!!Household income the past 12 months (in 2024 inflation-adjusted dollars) --!!$50,000 to $74,999:!!Value $100,000 to $199,999</t>
  </si>
  <si>
    <t>B25121_074</t>
  </si>
  <si>
    <t>Estimate!!Total:!!Household income the past 12 months (in 2024 inflation-adjusted dollars) --!!$50,000 to $74,999:!!Value $200,000 to $249,999</t>
  </si>
  <si>
    <t>B25121_075</t>
  </si>
  <si>
    <t>Estimate!!Total:!!Household income the past 12 months (in 2024 inflation-adjusted dollars) --!!$50,000 to $74,999:!!Value $250,000 to $499,999</t>
  </si>
  <si>
    <t>B25121_076</t>
  </si>
  <si>
    <t>Estimate!!Total:!!Household income the past 12 months (in 2024 inflation-adjusted dollars) --!!$50,000 to $74,999:!!Value $500,000 or more</t>
  </si>
  <si>
    <t>B25121_077</t>
  </si>
  <si>
    <t>Estimate!!Total:!!Household income the past 12 months (in 2024 inflation-adjusted dollars) --!!$75,000 to $99,999:</t>
  </si>
  <si>
    <t>B25121_078</t>
  </si>
  <si>
    <t>Estimate!!Total:!!Household income the past 12 months (in 2024 inflation-adjusted dollars) --!!$75,000 to $99,999:!!Value less than $10,000</t>
  </si>
  <si>
    <t>B25121_079</t>
  </si>
  <si>
    <t>Estimate!!Total:!!Household income the past 12 months (in 2024 inflation-adjusted dollars) --!!$75,000 to $99,999:!!Value $10,000 to $19,999</t>
  </si>
  <si>
    <t>B25121_080</t>
  </si>
  <si>
    <t>Estimate!!Total:!!Household income the past 12 months (in 2024 inflation-adjusted dollars) --!!$75,000 to $99,999:!!Value $20,000 to $29,999</t>
  </si>
  <si>
    <t>B25121_081</t>
  </si>
  <si>
    <t>Estimate!!Total:!!Household income the past 12 months (in 2024 inflation-adjusted dollars) --!!$75,000 to $99,999:!!Value $30,000 to $39,999</t>
  </si>
  <si>
    <t>B25121_082</t>
  </si>
  <si>
    <t>Estimate!!Total:!!Household income the past 12 months (in 2024 inflation-adjusted dollars) --!!$75,000 to $99,999:!!Value $40,000 to $49,999</t>
  </si>
  <si>
    <t>B25121_083</t>
  </si>
  <si>
    <t>Estimate!!Total:!!Household income the past 12 months (in 2024 inflation-adjusted dollars) --!!$75,000 to $99,999:!!Value $50,000 to $59,999</t>
  </si>
  <si>
    <t>B25121_084</t>
  </si>
  <si>
    <t>Estimate!!Total:!!Household income the past 12 months (in 2024 inflation-adjusted dollars) --!!$75,000 to $99,999:!!Value $60,000 to $69,999</t>
  </si>
  <si>
    <t>B25121_085</t>
  </si>
  <si>
    <t>Estimate!!Total:!!Household income the past 12 months (in 2024 inflation-adjusted dollars) --!!$75,000 to $99,999:!!Value $70,000 to $79,999</t>
  </si>
  <si>
    <t>B25121_086</t>
  </si>
  <si>
    <t>Estimate!!Total:!!Household income the past 12 months (in 2024 inflation-adjusted dollars) --!!$75,000 to $99,999:!!Value $80,000 to $89,999</t>
  </si>
  <si>
    <t>B25121_087</t>
  </si>
  <si>
    <t>Estimate!!Total:!!Household income the past 12 months (in 2024 inflation-adjusted dollars) --!!$75,000 to $99,999:!!Value $90,000 to $99,999</t>
  </si>
  <si>
    <t>B25121_088</t>
  </si>
  <si>
    <t>Estimate!!Total:!!Household income the past 12 months (in 2024 inflation-adjusted dollars) --!!$75,000 to $99,999:!!Value $100,000 to $199,999</t>
  </si>
  <si>
    <t>B25121_089</t>
  </si>
  <si>
    <t>Estimate!!Total:!!Household income the past 12 months (in 2024 inflation-adjusted dollars) --!!$75,000 to $99,999:!!Value $200,000 to $249,999</t>
  </si>
  <si>
    <t>B25121_090</t>
  </si>
  <si>
    <t>Estimate!!Total:!!Household income the past 12 months (in 2024 inflation-adjusted dollars) --!!$75,000 to $99,999:!!Value $250,000 to $499,999</t>
  </si>
  <si>
    <t>B25121_091</t>
  </si>
  <si>
    <t>Estimate!!Total:!!Household income the past 12 months (in 2024 inflation-adjusted dollars) --!!$75,000 to $99,999:!!Value $500,000 or more</t>
  </si>
  <si>
    <t>B25121_092</t>
  </si>
  <si>
    <t>Estimate!!Total:!!Household income the past 12 months (in 2024 inflation-adjusted dollars) --!!$100,000 or more:</t>
  </si>
  <si>
    <t>B25121_093</t>
  </si>
  <si>
    <t>Estimate!!Total:!!Household income the past 12 months (in 2024 inflation-adjusted dollars) --!!$100,000 or more:!!Value less than $10,000</t>
  </si>
  <si>
    <t>B25121_094</t>
  </si>
  <si>
    <t>Estimate!!Total:!!Household income the past 12 months (in 2024 inflation-adjusted dollars) --!!$100,000 or more:!!Value $10,000 to $19,999</t>
  </si>
  <si>
    <t>B25121_095</t>
  </si>
  <si>
    <t>Estimate!!Total:!!Household income the past 12 months (in 2024 inflation-adjusted dollars) --!!$100,000 or more:!!Value $20,000 to $29,999</t>
  </si>
  <si>
    <t>B25121_096</t>
  </si>
  <si>
    <t>Estimate!!Total:!!Household income the past 12 months (in 2024 inflation-adjusted dollars) --!!$100,000 or more:!!Value $30,000 to $39,999</t>
  </si>
  <si>
    <t>B25121_097</t>
  </si>
  <si>
    <t>Estimate!!Total:!!Household income the past 12 months (in 2024 inflation-adjusted dollars) --!!$100,000 or more:!!Value $40,000 to $49,999</t>
  </si>
  <si>
    <t>B25121_098</t>
  </si>
  <si>
    <t>Estimate!!Total:!!Household income the past 12 months (in 2024 inflation-adjusted dollars) --!!$100,000 or more:!!Value $50,000 to $59,999</t>
  </si>
  <si>
    <t>B25121_099</t>
  </si>
  <si>
    <t>Estimate!!Total:!!Household income the past 12 months (in 2024 inflation-adjusted dollars) --!!$100,000 or more:!!Value $60,000 to $69,999</t>
  </si>
  <si>
    <t>B25121_100</t>
  </si>
  <si>
    <t>Estimate!!Total:!!Household income the past 12 months (in 2024 inflation-adjusted dollars) --!!$100,000 or more:!!Value $70,000 to $79,999</t>
  </si>
  <si>
    <t>B25121_101</t>
  </si>
  <si>
    <t>Estimate!!Total:!!Household income the past 12 months (in 2024 inflation-adjusted dollars) --!!$100,000 or more:!!Value $80,000 to $89,999</t>
  </si>
  <si>
    <t>B25121_102</t>
  </si>
  <si>
    <t>Estimate!!Total:!!Household income the past 12 months (in 2024 inflation-adjusted dollars) --!!$100,000 or more:!!Value $90,000 to $99,999</t>
  </si>
  <si>
    <t>B25121_103</t>
  </si>
  <si>
    <t>Estimate!!Total:!!Household income the past 12 months (in 2024 inflation-adjusted dollars) --!!$100,000 or more:!!Value $100,000 to $199,999</t>
  </si>
  <si>
    <t>B25121_104</t>
  </si>
  <si>
    <t>Estimate!!Total:!!Household income the past 12 months (in 2024 inflation-adjusted dollars) --!!$100,000 or more:!!Value $200,000 to $249,999</t>
  </si>
  <si>
    <t>B25121_105</t>
  </si>
  <si>
    <t>Estimate!!Total:!!Household income the past 12 months (in 2024 inflation-adjusted dollars) --!!$100,000 or more:!!Value $250,000 to $499,999</t>
  </si>
  <si>
    <t>B25121_106</t>
  </si>
  <si>
    <t>Estimate!!Total:!!Household income the past 12 months (in 2024 inflation-adjusted dollars) --!!$100,000 or more:!!Value $500,000 or more</t>
  </si>
  <si>
    <t>B25122_002</t>
  </si>
  <si>
    <t>Estimate!!Total:!!Household income in the past 12 months (in 2024 inflation-adjusted dollars) --!!Less than $10,000:</t>
  </si>
  <si>
    <t>B25122_003</t>
  </si>
  <si>
    <t>Estimate!!Total:!!Household income in the past 12 months (in 2024 inflation-adjusted dollars) --!!Less than $10,000:!!With cash rent:</t>
  </si>
  <si>
    <t>B25122_004</t>
  </si>
  <si>
    <t>Estimate!!Total:!!Household income in the past 12 months (in 2024 inflation-adjusted dollars) --!!Less than $10,000:!!With cash rent:!!Less than $100</t>
  </si>
  <si>
    <t>B25122_005</t>
  </si>
  <si>
    <t>Estimate!!Total:!!Household income in the past 12 months (in 2024 inflation-adjusted dollars) --!!Less than $10,000:!!With cash rent:!!$100 to $199</t>
  </si>
  <si>
    <t>B25122_006</t>
  </si>
  <si>
    <t>Estimate!!Total:!!Household income in the past 12 months (in 2024 inflation-adjusted dollars) --!!Less than $10,000:!!With cash rent:!!$200 to $299</t>
  </si>
  <si>
    <t>B25122_007</t>
  </si>
  <si>
    <t>Estimate!!Total:!!Household income in the past 12 months (in 2024 inflation-adjusted dollars) --!!Less than $10,000:!!With cash rent:!!$300 to $399</t>
  </si>
  <si>
    <t>B25122_008</t>
  </si>
  <si>
    <t>Estimate!!Total:!!Household income in the past 12 months (in 2024 inflation-adjusted dollars) --!!Less than $10,000:!!With cash rent:!!$400 to $499</t>
  </si>
  <si>
    <t>B25122_009</t>
  </si>
  <si>
    <t>Estimate!!Total:!!Household income in the past 12 months (in 2024 inflation-adjusted dollars) --!!Less than $10,000:!!With cash rent:!!$500 to $599</t>
  </si>
  <si>
    <t>B25122_010</t>
  </si>
  <si>
    <t>Estimate!!Total:!!Household income in the past 12 months (in 2024 inflation-adjusted dollars) --!!Less than $10,000:!!With cash rent:!!$600 to $699</t>
  </si>
  <si>
    <t>B25122_011</t>
  </si>
  <si>
    <t>Estimate!!Total:!!Household income in the past 12 months (in 2024 inflation-adjusted dollars) --!!Less than $10,000:!!With cash rent:!!$700 to $799</t>
  </si>
  <si>
    <t>B25122_012</t>
  </si>
  <si>
    <t>Estimate!!Total:!!Household income in the past 12 months (in 2024 inflation-adjusted dollars) --!!Less than $10,000:!!With cash rent:!!$800 to $899</t>
  </si>
  <si>
    <t>B25122_013</t>
  </si>
  <si>
    <t>Estimate!!Total:!!Household income in the past 12 months (in 2024 inflation-adjusted dollars) --!!Less than $10,000:!!With cash rent:!!$900 to $999</t>
  </si>
  <si>
    <t>B25122_014</t>
  </si>
  <si>
    <t>Estimate!!Total:!!Household income in the past 12 months (in 2024 inflation-adjusted dollars) --!!Less than $10,000:!!With cash rent:!!$1,000 to $1,249</t>
  </si>
  <si>
    <t>B25122_015</t>
  </si>
  <si>
    <t>Estimate!!Total:!!Household income in the past 12 months (in 2024 inflation-adjusted dollars) --!!Less than $10,000:!!With cash rent:!!$1,250 to $1,499</t>
  </si>
  <si>
    <t>B25122_016</t>
  </si>
  <si>
    <t>Estimate!!Total:!!Household income in the past 12 months (in 2024 inflation-adjusted dollars) --!!Less than $10,000:!!With cash rent:!!$1,500 to $1,999</t>
  </si>
  <si>
    <t>B25122_017</t>
  </si>
  <si>
    <t>Estimate!!Total:!!Household income in the past 12 months (in 2024 inflation-adjusted dollars) --!!Less than $10,000:!!With cash rent:!!$2,000 or more</t>
  </si>
  <si>
    <t>B25122_018</t>
  </si>
  <si>
    <t>Estimate!!Total:!!Household income in the past 12 months (in 2024 inflation-adjusted dollars) --!!Less than $10,000:!!No cash rent</t>
  </si>
  <si>
    <t>B25122_019</t>
  </si>
  <si>
    <t>Estimate!!Total:!!Household income in the past 12 months (in 2024 inflation-adjusted dollars) --!!$10,000 to $19,999:</t>
  </si>
  <si>
    <t>B25122_020</t>
  </si>
  <si>
    <t>Estimate!!Total:!!Household income in the past 12 months (in 2024 inflation-adjusted dollars) --!!$10,000 to $19,999:!!With cash rent:</t>
  </si>
  <si>
    <t>B25122_021</t>
  </si>
  <si>
    <t>Estimate!!Total:!!Household income in the past 12 months (in 2024 inflation-adjusted dollars) --!!$10,000 to $19,999:!!With cash rent:!!Less than $100</t>
  </si>
  <si>
    <t>B25122_022</t>
  </si>
  <si>
    <t>Estimate!!Total:!!Household income in the past 12 months (in 2024 inflation-adjusted dollars) --!!$10,000 to $19,999:!!With cash rent:!!$100 to $199</t>
  </si>
  <si>
    <t>B25122_023</t>
  </si>
  <si>
    <t>Estimate!!Total:!!Household income in the past 12 months (in 2024 inflation-adjusted dollars) --!!$10,000 to $19,999:!!With cash rent:!!$200 to $299</t>
  </si>
  <si>
    <t>B25122_024</t>
  </si>
  <si>
    <t>Estimate!!Total:!!Household income in the past 12 months (in 2024 inflation-adjusted dollars) --!!$10,000 to $19,999:!!With cash rent:!!$300 to $399</t>
  </si>
  <si>
    <t>B25122_025</t>
  </si>
  <si>
    <t>Estimate!!Total:!!Household income in the past 12 months (in 2024 inflation-adjusted dollars) --!!$10,000 to $19,999:!!With cash rent:!!$400 to $499</t>
  </si>
  <si>
    <t>B25122_026</t>
  </si>
  <si>
    <t>Estimate!!Total:!!Household income in the past 12 months (in 2024 inflation-adjusted dollars) --!!$10,000 to $19,999:!!With cash rent:!!$500 to $599</t>
  </si>
  <si>
    <t>B25122_027</t>
  </si>
  <si>
    <t>Estimate!!Total:!!Household income in the past 12 months (in 2024 inflation-adjusted dollars) --!!$10,000 to $19,999:!!With cash rent:!!$600 to $699</t>
  </si>
  <si>
    <t>B25122_028</t>
  </si>
  <si>
    <t>Estimate!!Total:!!Household income in the past 12 months (in 2024 inflation-adjusted dollars) --!!$10,000 to $19,999:!!With cash rent:!!$700 to $799</t>
  </si>
  <si>
    <t>B25122_029</t>
  </si>
  <si>
    <t>Estimate!!Total:!!Household income in the past 12 months (in 2024 inflation-adjusted dollars) --!!$10,000 to $19,999:!!With cash rent:!!$800 to $899</t>
  </si>
  <si>
    <t>B25122_030</t>
  </si>
  <si>
    <t>Estimate!!Total:!!Household income in the past 12 months (in 2024 inflation-adjusted dollars) --!!$10,000 to $19,999:!!With cash rent:!!$900 to $999</t>
  </si>
  <si>
    <t>B25122_031</t>
  </si>
  <si>
    <t>Estimate!!Total:!!Household income in the past 12 months (in 2024 inflation-adjusted dollars) --!!$10,000 to $19,999:!!With cash rent:!!$1,000 to $1,249</t>
  </si>
  <si>
    <t>B25122_032</t>
  </si>
  <si>
    <t>Estimate!!Total:!!Household income in the past 12 months (in 2024 inflation-adjusted dollars) --!!$10,000 to $19,999:!!With cash rent:!!$1,250 to $1,499</t>
  </si>
  <si>
    <t>B25122_033</t>
  </si>
  <si>
    <t>Estimate!!Total:!!Household income in the past 12 months (in 2024 inflation-adjusted dollars) --!!$10,000 to $19,999:!!With cash rent:!!$1,500 to $1,999</t>
  </si>
  <si>
    <t>B25122_034</t>
  </si>
  <si>
    <t>Estimate!!Total:!!Household income in the past 12 months (in 2024 inflation-adjusted dollars) --!!$10,000 to $19,999:!!With cash rent:!!$2,000 or more</t>
  </si>
  <si>
    <t>B25122_035</t>
  </si>
  <si>
    <t>Estimate!!Total:!!Household income in the past 12 months (in 2024 inflation-adjusted dollars) --!!$10,000 to $19,999:!!No cash rent</t>
  </si>
  <si>
    <t>B25122_036</t>
  </si>
  <si>
    <t>Estimate!!Total:!!Household income in the past 12 months (in 2024 inflation-adjusted dollars) --!!$20,000 to $34,999:</t>
  </si>
  <si>
    <t>B25122_037</t>
  </si>
  <si>
    <t>Estimate!!Total:!!Household income in the past 12 months (in 2024 inflation-adjusted dollars) --!!$20,000 to $34,999:!!With cash rent:</t>
  </si>
  <si>
    <t>B25122_038</t>
  </si>
  <si>
    <t>Estimate!!Total:!!Household income in the past 12 months (in 2024 inflation-adjusted dollars) --!!$20,000 to $34,999:!!With cash rent:!!Less than $100</t>
  </si>
  <si>
    <t>B25122_039</t>
  </si>
  <si>
    <t>Estimate!!Total:!!Household income in the past 12 months (in 2024 inflation-adjusted dollars) --!!$20,000 to $34,999:!!With cash rent:!!$100 to $199</t>
  </si>
  <si>
    <t>B25122_040</t>
  </si>
  <si>
    <t>Estimate!!Total:!!Household income in the past 12 months (in 2024 inflation-adjusted dollars) --!!$20,000 to $34,999:!!With cash rent:!!$200 to $299</t>
  </si>
  <si>
    <t>B25122_041</t>
  </si>
  <si>
    <t>Estimate!!Total:!!Household income in the past 12 months (in 2024 inflation-adjusted dollars) --!!$20,000 to $34,999:!!With cash rent:!!$300 to $399</t>
  </si>
  <si>
    <t>B25122_042</t>
  </si>
  <si>
    <t>Estimate!!Total:!!Household income in the past 12 months (in 2024 inflation-adjusted dollars) --!!$20,000 to $34,999:!!With cash rent:!!$400 to $499</t>
  </si>
  <si>
    <t>B25122_043</t>
  </si>
  <si>
    <t>Estimate!!Total:!!Household income in the past 12 months (in 2024 inflation-adjusted dollars) --!!$20,000 to $34,999:!!With cash rent:!!$500 to $599</t>
  </si>
  <si>
    <t>B25122_044</t>
  </si>
  <si>
    <t>Estimate!!Total:!!Household income in the past 12 months (in 2024 inflation-adjusted dollars) --!!$20,000 to $34,999:!!With cash rent:!!$600 to $699</t>
  </si>
  <si>
    <t>B25122_045</t>
  </si>
  <si>
    <t>Estimate!!Total:!!Household income in the past 12 months (in 2024 inflation-adjusted dollars) --!!$20,000 to $34,999:!!With cash rent:!!$700 to $799</t>
  </si>
  <si>
    <t>B25122_046</t>
  </si>
  <si>
    <t>Estimate!!Total:!!Household income in the past 12 months (in 2024 inflation-adjusted dollars) --!!$20,000 to $34,999:!!With cash rent:!!$800 to $899</t>
  </si>
  <si>
    <t>B25122_047</t>
  </si>
  <si>
    <t>Estimate!!Total:!!Household income in the past 12 months (in 2024 inflation-adjusted dollars) --!!$20,000 to $34,999:!!With cash rent:!!$900 to $999</t>
  </si>
  <si>
    <t>B25122_048</t>
  </si>
  <si>
    <t>Estimate!!Total:!!Household income in the past 12 months (in 2024 inflation-adjusted dollars) --!!$20,000 to $34,999:!!With cash rent:!!$1,000 to $1,249</t>
  </si>
  <si>
    <t>B25122_049</t>
  </si>
  <si>
    <t>Estimate!!Total:!!Household income in the past 12 months (in 2024 inflation-adjusted dollars) --!!$20,000 to $34,999:!!With cash rent:!!$1,250 to $1,499</t>
  </si>
  <si>
    <t>B25122_050</t>
  </si>
  <si>
    <t>Estimate!!Total:!!Household income in the past 12 months (in 2024 inflation-adjusted dollars) --!!$20,000 to $34,999:!!With cash rent:!!$1,500 to $1,999</t>
  </si>
  <si>
    <t>B25122_051</t>
  </si>
  <si>
    <t>Estimate!!Total:!!Household income in the past 12 months (in 2024 inflation-adjusted dollars) --!!$20,000 to $34,999:!!With cash rent:!!$2,000 or more</t>
  </si>
  <si>
    <t>B25122_052</t>
  </si>
  <si>
    <t>Estimate!!Total:!!Household income in the past 12 months (in 2024 inflation-adjusted dollars) --!!$20,000 to $34,999:!!No cash rent</t>
  </si>
  <si>
    <t>B25122_053</t>
  </si>
  <si>
    <t>Estimate!!Total:!!Household income in the past 12 months (in 2024 inflation-adjusted dollars) --!!$35,000 to $49,999:</t>
  </si>
  <si>
    <t>B25122_054</t>
  </si>
  <si>
    <t>Estimate!!Total:!!Household income in the past 12 months (in 2024 inflation-adjusted dollars) --!!$35,000 to $49,999:!!With cash rent:</t>
  </si>
  <si>
    <t>B25122_055</t>
  </si>
  <si>
    <t>Estimate!!Total:!!Household income in the past 12 months (in 2024 inflation-adjusted dollars) --!!$35,000 to $49,999:!!With cash rent:!!Less than $100</t>
  </si>
  <si>
    <t>B25122_056</t>
  </si>
  <si>
    <t>Estimate!!Total:!!Household income in the past 12 months (in 2024 inflation-adjusted dollars) --!!$35,000 to $49,999:!!With cash rent:!!$100 to $199</t>
  </si>
  <si>
    <t>B25122_057</t>
  </si>
  <si>
    <t>Estimate!!Total:!!Household income in the past 12 months (in 2024 inflation-adjusted dollars) --!!$35,000 to $49,999:!!With cash rent:!!$200 to $299</t>
  </si>
  <si>
    <t>B25122_058</t>
  </si>
  <si>
    <t>Estimate!!Total:!!Household income in the past 12 months (in 2024 inflation-adjusted dollars) --!!$35,000 to $49,999:!!With cash rent:!!$300 to $399</t>
  </si>
  <si>
    <t>B25122_059</t>
  </si>
  <si>
    <t>Estimate!!Total:!!Household income in the past 12 months (in 2024 inflation-adjusted dollars) --!!$35,000 to $49,999:!!With cash rent:!!$400 to $499</t>
  </si>
  <si>
    <t>B25122_060</t>
  </si>
  <si>
    <t>Estimate!!Total:!!Household income in the past 12 months (in 2024 inflation-adjusted dollars) --!!$35,000 to $49,999:!!With cash rent:!!$500 to $599</t>
  </si>
  <si>
    <t>B25122_061</t>
  </si>
  <si>
    <t>Estimate!!Total:!!Household income in the past 12 months (in 2024 inflation-adjusted dollars) --!!$35,000 to $49,999:!!With cash rent:!!$600 to $699</t>
  </si>
  <si>
    <t>B25122_062</t>
  </si>
  <si>
    <t>Estimate!!Total:!!Household income in the past 12 months (in 2024 inflation-adjusted dollars) --!!$35,000 to $49,999:!!With cash rent:!!$700 to $799</t>
  </si>
  <si>
    <t>B25122_063</t>
  </si>
  <si>
    <t>Estimate!!Total:!!Household income in the past 12 months (in 2024 inflation-adjusted dollars) --!!$35,000 to $49,999:!!With cash rent:!!$800 to $899</t>
  </si>
  <si>
    <t>B25122_064</t>
  </si>
  <si>
    <t>Estimate!!Total:!!Household income in the past 12 months (in 2024 inflation-adjusted dollars) --!!$35,000 to $49,999:!!With cash rent:!!$900 to $999</t>
  </si>
  <si>
    <t>B25122_065</t>
  </si>
  <si>
    <t>Estimate!!Total:!!Household income in the past 12 months (in 2024 inflation-adjusted dollars) --!!$35,000 to $49,999:!!With cash rent:!!$1,000 to $1,249</t>
  </si>
  <si>
    <t>B25122_066</t>
  </si>
  <si>
    <t>Estimate!!Total:!!Household income in the past 12 months (in 2024 inflation-adjusted dollars) --!!$35,000 to $49,999:!!With cash rent:!!$1,250 to $1,499</t>
  </si>
  <si>
    <t>B25122_067</t>
  </si>
  <si>
    <t>Estimate!!Total:!!Household income in the past 12 months (in 2024 inflation-adjusted dollars) --!!$35,000 to $49,999:!!With cash rent:!!$1,500 to $1,999</t>
  </si>
  <si>
    <t>B25122_068</t>
  </si>
  <si>
    <t>Estimate!!Total:!!Household income in the past 12 months (in 2024 inflation-adjusted dollars) --!!$35,000 to $49,999:!!With cash rent:!!$2,000 or more</t>
  </si>
  <si>
    <t>B25122_069</t>
  </si>
  <si>
    <t>Estimate!!Total:!!Household income in the past 12 months (in 2024 inflation-adjusted dollars) --!!$35,000 to $49,999:!!No cash rent</t>
  </si>
  <si>
    <t>B25122_070</t>
  </si>
  <si>
    <t>Estimate!!Total:!!Household income in the past 12 months (in 2024 inflation-adjusted dollars) --!!$50,000 to $74,999:</t>
  </si>
  <si>
    <t>B25122_071</t>
  </si>
  <si>
    <t>Estimate!!Total:!!Household income in the past 12 months (in 2024 inflation-adjusted dollars) --!!$50,000 to $74,999:!!With cash rent:</t>
  </si>
  <si>
    <t>B25122_072</t>
  </si>
  <si>
    <t>Estimate!!Total:!!Household income in the past 12 months (in 2024 inflation-adjusted dollars) --!!$50,000 to $74,999:!!With cash rent:!!Less than $100</t>
  </si>
  <si>
    <t>B25122_073</t>
  </si>
  <si>
    <t>Estimate!!Total:!!Household income in the past 12 months (in 2024 inflation-adjusted dollars) --!!$50,000 to $74,999:!!With cash rent:!!$100 to $199</t>
  </si>
  <si>
    <t>B25122_074</t>
  </si>
  <si>
    <t>Estimate!!Total:!!Household income in the past 12 months (in 2024 inflation-adjusted dollars) --!!$50,000 to $74,999:!!With cash rent:!!$200 to $299</t>
  </si>
  <si>
    <t>B25122_075</t>
  </si>
  <si>
    <t>Estimate!!Total:!!Household income in the past 12 months (in 2024 inflation-adjusted dollars) --!!$50,000 to $74,999:!!With cash rent:!!$300 to $399</t>
  </si>
  <si>
    <t>B25122_076</t>
  </si>
  <si>
    <t>Estimate!!Total:!!Household income in the past 12 months (in 2024 inflation-adjusted dollars) --!!$50,000 to $74,999:!!With cash rent:!!$400 to $499</t>
  </si>
  <si>
    <t>B25122_077</t>
  </si>
  <si>
    <t>Estimate!!Total:!!Household income in the past 12 months (in 2024 inflation-adjusted dollars) --!!$50,000 to $74,999:!!With cash rent:!!$500 to $599</t>
  </si>
  <si>
    <t>B25122_078</t>
  </si>
  <si>
    <t>Estimate!!Total:!!Household income in the past 12 months (in 2024 inflation-adjusted dollars) --!!$50,000 to $74,999:!!With cash rent:!!$600 to $699</t>
  </si>
  <si>
    <t>B25122_079</t>
  </si>
  <si>
    <t>Estimate!!Total:!!Household income in the past 12 months (in 2024 inflation-adjusted dollars) --!!$50,000 to $74,999:!!With cash rent:!!$700 to $799</t>
  </si>
  <si>
    <t>B25122_080</t>
  </si>
  <si>
    <t>Estimate!!Total:!!Household income in the past 12 months (in 2024 inflation-adjusted dollars) --!!$50,000 to $74,999:!!With cash rent:!!$800 to $899</t>
  </si>
  <si>
    <t>B25122_081</t>
  </si>
  <si>
    <t>Estimate!!Total:!!Household income in the past 12 months (in 2024 inflation-adjusted dollars) --!!$50,000 to $74,999:!!With cash rent:!!$900 to $999</t>
  </si>
  <si>
    <t>B25122_082</t>
  </si>
  <si>
    <t>Estimate!!Total:!!Household income in the past 12 months (in 2024 inflation-adjusted dollars) --!!$50,000 to $74,999:!!With cash rent:!!$1,000 to $1,249</t>
  </si>
  <si>
    <t>B25122_083</t>
  </si>
  <si>
    <t>Estimate!!Total:!!Household income in the past 12 months (in 2024 inflation-adjusted dollars) --!!$50,000 to $74,999:!!With cash rent:!!$1,250 to $1,499</t>
  </si>
  <si>
    <t>B25122_084</t>
  </si>
  <si>
    <t>Estimate!!Total:!!Household income in the past 12 months (in 2024 inflation-adjusted dollars) --!!$50,000 to $74,999:!!With cash rent:!!$1,500 to $1,999</t>
  </si>
  <si>
    <t>B25122_085</t>
  </si>
  <si>
    <t>Estimate!!Total:!!Household income in the past 12 months (in 2024 inflation-adjusted dollars) --!!$50,000 to $74,999:!!With cash rent:!!$2,000 or more</t>
  </si>
  <si>
    <t>B25122_086</t>
  </si>
  <si>
    <t>Estimate!!Total:!!Household income in the past 12 months (in 2024 inflation-adjusted dollars) --!!$50,000 to $74,999:!!No cash rent</t>
  </si>
  <si>
    <t>B25122_087</t>
  </si>
  <si>
    <t>Estimate!!Total:!!Household income in the past 12 months (in 2024 inflation-adjusted dollars) --!!$75,000 to $99,999:</t>
  </si>
  <si>
    <t>B25122_088</t>
  </si>
  <si>
    <t>Estimate!!Total:!!Household income in the past 12 months (in 2024 inflation-adjusted dollars) --!!$75,000 to $99,999:!!With cash rent:</t>
  </si>
  <si>
    <t>B25122_089</t>
  </si>
  <si>
    <t>Estimate!!Total:!!Household income in the past 12 months (in 2024 inflation-adjusted dollars) --!!$75,000 to $99,999:!!With cash rent:!!Less than $100</t>
  </si>
  <si>
    <t>B25122_090</t>
  </si>
  <si>
    <t>Estimate!!Total:!!Household income in the past 12 months (in 2024 inflation-adjusted dollars) --!!$75,000 to $99,999:!!With cash rent:!!$100 to $199</t>
  </si>
  <si>
    <t>B25122_091</t>
  </si>
  <si>
    <t>Estimate!!Total:!!Household income in the past 12 months (in 2024 inflation-adjusted dollars) --!!$75,000 to $99,999:!!With cash rent:!!$200 to $299</t>
  </si>
  <si>
    <t>B25122_092</t>
  </si>
  <si>
    <t>Estimate!!Total:!!Household income in the past 12 months (in 2024 inflation-adjusted dollars) --!!$75,000 to $99,999:!!With cash rent:!!$300 to $399</t>
  </si>
  <si>
    <t>B25122_093</t>
  </si>
  <si>
    <t>Estimate!!Total:!!Household income in the past 12 months (in 2024 inflation-adjusted dollars) --!!$75,000 to $99,999:!!With cash rent:!!$400 to $499</t>
  </si>
  <si>
    <t>B25122_094</t>
  </si>
  <si>
    <t>Estimate!!Total:!!Household income in the past 12 months (in 2024 inflation-adjusted dollars) --!!$75,000 to $99,999:!!With cash rent:!!$500 to $599</t>
  </si>
  <si>
    <t>B25122_095</t>
  </si>
  <si>
    <t>Estimate!!Total:!!Household income in the past 12 months (in 2024 inflation-adjusted dollars) --!!$75,000 to $99,999:!!With cash rent:!!$600 to $699</t>
  </si>
  <si>
    <t>B25122_096</t>
  </si>
  <si>
    <t>Estimate!!Total:!!Household income in the past 12 months (in 2024 inflation-adjusted dollars) --!!$75,000 to $99,999:!!With cash rent:!!$700 to $799</t>
  </si>
  <si>
    <t>B25122_097</t>
  </si>
  <si>
    <t>Estimate!!Total:!!Household income in the past 12 months (in 2024 inflation-adjusted dollars) --!!$75,000 to $99,999:!!With cash rent:!!$800 to $899</t>
  </si>
  <si>
    <t>B25122_098</t>
  </si>
  <si>
    <t>Estimate!!Total:!!Household income in the past 12 months (in 2024 inflation-adjusted dollars) --!!$75,000 to $99,999:!!With cash rent:!!$900 to $999</t>
  </si>
  <si>
    <t>B25122_099</t>
  </si>
  <si>
    <t>Estimate!!Total:!!Household income in the past 12 months (in 2024 inflation-adjusted dollars) --!!$75,000 to $99,999:!!With cash rent:!!$1,000 to $1,249</t>
  </si>
  <si>
    <t>B25122_100</t>
  </si>
  <si>
    <t>Estimate!!Total:!!Household income in the past 12 months (in 2024 inflation-adjusted dollars) --!!$75,000 to $99,999:!!With cash rent:!!$1,250 to $1,499</t>
  </si>
  <si>
    <t>B25122_101</t>
  </si>
  <si>
    <t>Estimate!!Total:!!Household income in the past 12 months (in 2024 inflation-adjusted dollars) --!!$75,000 to $99,999:!!With cash rent:!!$1,500 to $1,999</t>
  </si>
  <si>
    <t>B25122_102</t>
  </si>
  <si>
    <t>Estimate!!Total:!!Household income in the past 12 months (in 2024 inflation-adjusted dollars) --!!$75,000 to $99,999:!!With cash rent:!!$2,000 or more</t>
  </si>
  <si>
    <t>B25122_103</t>
  </si>
  <si>
    <t>Estimate!!Total:!!Household income in the past 12 months (in 2024 inflation-adjusted dollars) --!!$75,000 to $99,999:!!No cash rent</t>
  </si>
  <si>
    <t>B25122_104</t>
  </si>
  <si>
    <t>Estimate!!Total:!!Household income in the past 12 months (in 2024 inflation-adjusted dollars) --!!$100,000 or more:</t>
  </si>
  <si>
    <t>B25122_105</t>
  </si>
  <si>
    <t>Estimate!!Total:!!Household income in the past 12 months (in 2024 inflation-adjusted dollars) --!!$100,000 or more:!!With cash rent:</t>
  </si>
  <si>
    <t>B25122_106</t>
  </si>
  <si>
    <t>Estimate!!Total:!!Household income in the past 12 months (in 2024 inflation-adjusted dollars) --!!$100,000 or more:!!With cash rent:!!Less than $100</t>
  </si>
  <si>
    <t>B25122_107</t>
  </si>
  <si>
    <t>Estimate!!Total:!!Household income in the past 12 months (in 2024 inflation-adjusted dollars) --!!$100,000 or more:!!With cash rent:!!$100 to $199</t>
  </si>
  <si>
    <t>B25122_108</t>
  </si>
  <si>
    <t>Estimate!!Total:!!Household income in the past 12 months (in 2024 inflation-adjusted dollars) --!!$100,000 or more:!!With cash rent:!!$200 to $299</t>
  </si>
  <si>
    <t>B25122_109</t>
  </si>
  <si>
    <t>Estimate!!Total:!!Household income in the past 12 months (in 2024 inflation-adjusted dollars) --!!$100,000 or more:!!With cash rent:!!$300 to $399</t>
  </si>
  <si>
    <t>B25122_110</t>
  </si>
  <si>
    <t>Estimate!!Total:!!Household income in the past 12 months (in 2024 inflation-adjusted dollars) --!!$100,000 or more:!!With cash rent:!!$400 to $499</t>
  </si>
  <si>
    <t>B25122_111</t>
  </si>
  <si>
    <t>Estimate!!Total:!!Household income in the past 12 months (in 2024 inflation-adjusted dollars) --!!$100,000 or more:!!With cash rent:!!$500 to $599</t>
  </si>
  <si>
    <t>B25122_112</t>
  </si>
  <si>
    <t>Estimate!!Total:!!Household income in the past 12 months (in 2024 inflation-adjusted dollars) --!!$100,000 or more:!!With cash rent:!!$600 to $699</t>
  </si>
  <si>
    <t>B25122_113</t>
  </si>
  <si>
    <t>Estimate!!Total:!!Household income in the past 12 months (in 2024 inflation-adjusted dollars) --!!$100,000 or more:!!With cash rent:!!$700 to $799</t>
  </si>
  <si>
    <t>B25122_114</t>
  </si>
  <si>
    <t>Estimate!!Total:!!Household income in the past 12 months (in 2024 inflation-adjusted dollars) --!!$100,000 or more:!!With cash rent:!!$800 to $899</t>
  </si>
  <si>
    <t>B25122_115</t>
  </si>
  <si>
    <t>Estimate!!Total:!!Household income in the past 12 months (in 2024 inflation-adjusted dollars) --!!$100,000 or more:!!With cash rent:!!$900 to $999</t>
  </si>
  <si>
    <t>B25122_116</t>
  </si>
  <si>
    <t>Estimate!!Total:!!Household income in the past 12 months (in 2024 inflation-adjusted dollars) --!!$100,000 or more:!!With cash rent:!!$1,000 to $1,249</t>
  </si>
  <si>
    <t>B25122_117</t>
  </si>
  <si>
    <t>Estimate!!Total:!!Household income in the past 12 months (in 2024 inflation-adjusted dollars) --!!$100,000 or more:!!With cash rent:!!$1,250 to $1,499</t>
  </si>
  <si>
    <t>B25122_118</t>
  </si>
  <si>
    <t>Estimate!!Total:!!Household income in the past 12 months (in 2024 inflation-adjusted dollars) --!!$100,000 or more:!!With cash rent:!!$1,500 to $1,999</t>
  </si>
  <si>
    <t>B25122_119</t>
  </si>
  <si>
    <t>Estimate!!Total:!!Household income in the past 12 months (in 2024 inflation-adjusted dollars) --!!$100,000 or more:!!With cash rent:!!$2,000 or more</t>
  </si>
  <si>
    <t>B25122_120</t>
  </si>
  <si>
    <t>Estimate!!Total:!!Household income in the past 12 months (in 2024 inflation-adjusted dollars) --!!$100,000 or more:!!No cash rent</t>
  </si>
  <si>
    <t>B25123_002</t>
  </si>
  <si>
    <t>B25123_003</t>
  </si>
  <si>
    <t>Estimate!!Total:!!Owner occupied:!!With one selected condition</t>
  </si>
  <si>
    <t>B25123_004</t>
  </si>
  <si>
    <t>Estimate!!Total:!!Owner occupied:!!With two selected conditions</t>
  </si>
  <si>
    <t>B25123_005</t>
  </si>
  <si>
    <t>Estimate!!Total:!!Owner occupied:!!With three selected conditions</t>
  </si>
  <si>
    <t>B25123_006</t>
  </si>
  <si>
    <t>Estimate!!Total:!!Owner occupied:!!With four selected conditions</t>
  </si>
  <si>
    <t>B25123_007</t>
  </si>
  <si>
    <t>Estimate!!Total:!!Owner occupied:!!No selected conditions</t>
  </si>
  <si>
    <t>B25123_008</t>
  </si>
  <si>
    <t>B25123_009</t>
  </si>
  <si>
    <t>Estimate!!Total:!!Renter occupied:!!With one selected condition</t>
  </si>
  <si>
    <t>B25123_010</t>
  </si>
  <si>
    <t>Estimate!!Total:!!Renter occupied:!!With two selected conditions</t>
  </si>
  <si>
    <t>B25123_011</t>
  </si>
  <si>
    <t>Estimate!!Total:!!Renter occupied:!!With three selected conditions</t>
  </si>
  <si>
    <t>B25123_012</t>
  </si>
  <si>
    <t>Estimate!!Total:!!Renter occupied:!!With four selected conditions</t>
  </si>
  <si>
    <t>B25123_013</t>
  </si>
  <si>
    <t>Estimate!!Total:!!Renter occupied:!!No selected conditions</t>
  </si>
  <si>
    <t>B25124_002</t>
  </si>
  <si>
    <t>B25124_003</t>
  </si>
  <si>
    <t>B25124_004</t>
  </si>
  <si>
    <t>Estimate!!Total:!!Owner occupied:!!1-person household:!!1, detached or attached</t>
  </si>
  <si>
    <t>B25124_005</t>
  </si>
  <si>
    <t>Estimate!!Total:!!Owner occupied:!!1-person household:!!2 to 4</t>
  </si>
  <si>
    <t>B25124_006</t>
  </si>
  <si>
    <t>Estimate!!Total:!!Owner occupied:!!1-person household:!!5 to 19</t>
  </si>
  <si>
    <t>B25124_007</t>
  </si>
  <si>
    <t>Estimate!!Total:!!Owner occupied:!!1-person household:!!20 to 49</t>
  </si>
  <si>
    <t>B25124_008</t>
  </si>
  <si>
    <t>Estimate!!Total:!!Owner occupied:!!1-person household:!!50 or more</t>
  </si>
  <si>
    <t>B25124_009</t>
  </si>
  <si>
    <t>Estimate!!Total:!!Owner occupied:!!1-person household:!!Mobile home, boat, RV, van, etc.</t>
  </si>
  <si>
    <t>B25124_010</t>
  </si>
  <si>
    <t>Estimate!!Total:!!Owner occupied:!!2-person household:</t>
  </si>
  <si>
    <t>B25124_011</t>
  </si>
  <si>
    <t>Estimate!!Total:!!Owner occupied:!!2-person household:!!1, detached or attached</t>
  </si>
  <si>
    <t>B25124_012</t>
  </si>
  <si>
    <t>Estimate!!Total:!!Owner occupied:!!2-person household:!!2 to 4</t>
  </si>
  <si>
    <t>B25124_013</t>
  </si>
  <si>
    <t>Estimate!!Total:!!Owner occupied:!!2-person household:!!5 to 19</t>
  </si>
  <si>
    <t>B25124_014</t>
  </si>
  <si>
    <t>Estimate!!Total:!!Owner occupied:!!2-person household:!!20 to 49</t>
  </si>
  <si>
    <t>B25124_015</t>
  </si>
  <si>
    <t>Estimate!!Total:!!Owner occupied:!!2-person household:!!50 or more</t>
  </si>
  <si>
    <t>B25124_016</t>
  </si>
  <si>
    <t>Estimate!!Total:!!Owner occupied:!!2-person household:!!Mobile home, boat, RV, van, etc.</t>
  </si>
  <si>
    <t>B25124_017</t>
  </si>
  <si>
    <t>Estimate!!Total:!!Owner occupied:!!3-person household:</t>
  </si>
  <si>
    <t>B25124_018</t>
  </si>
  <si>
    <t>Estimate!!Total:!!Owner occupied:!!3-person household:!!1, detached or attached</t>
  </si>
  <si>
    <t>B25124_019</t>
  </si>
  <si>
    <t>Estimate!!Total:!!Owner occupied:!!3-person household:!!2 to 4</t>
  </si>
  <si>
    <t>B25124_020</t>
  </si>
  <si>
    <t>Estimate!!Total:!!Owner occupied:!!3-person household:!!5 to 19</t>
  </si>
  <si>
    <t>B25124_021</t>
  </si>
  <si>
    <t>Estimate!!Total:!!Owner occupied:!!3-person household:!!20 to 49</t>
  </si>
  <si>
    <t>B25124_022</t>
  </si>
  <si>
    <t>Estimate!!Total:!!Owner occupied:!!3-person household:!!50 or more</t>
  </si>
  <si>
    <t>B25124_023</t>
  </si>
  <si>
    <t>Estimate!!Total:!!Owner occupied:!!3-person household:!!Mobile home, boat, RV, van, etc.</t>
  </si>
  <si>
    <t>B25124_024</t>
  </si>
  <si>
    <t>Estimate!!Total:!!Owner occupied:!!4-person household:</t>
  </si>
  <si>
    <t>B25124_025</t>
  </si>
  <si>
    <t>Estimate!!Total:!!Owner occupied:!!4-person household:!!1, detached or attached</t>
  </si>
  <si>
    <t>B25124_026</t>
  </si>
  <si>
    <t>Estimate!!Total:!!Owner occupied:!!4-person household:!!2 to 4</t>
  </si>
  <si>
    <t>B25124_027</t>
  </si>
  <si>
    <t>Estimate!!Total:!!Owner occupied:!!4-person household:!!5 to 19</t>
  </si>
  <si>
    <t>B25124_028</t>
  </si>
  <si>
    <t>Estimate!!Total:!!Owner occupied:!!4-person household:!!20 to 49</t>
  </si>
  <si>
    <t>B25124_029</t>
  </si>
  <si>
    <t>Estimate!!Total:!!Owner occupied:!!4-person household:!!50 or more</t>
  </si>
  <si>
    <t>B25124_030</t>
  </si>
  <si>
    <t>Estimate!!Total:!!Owner occupied:!!4-person household:!!Mobile home, boat, RV, van, etc.</t>
  </si>
  <si>
    <t>B25124_031</t>
  </si>
  <si>
    <t>Estimate!!Total:!!Owner occupied:!!5-or-more person household:</t>
  </si>
  <si>
    <t>B25124_032</t>
  </si>
  <si>
    <t>Estimate!!Total:!!Owner occupied:!!5-or-more person household:!!1, detached or attached</t>
  </si>
  <si>
    <t>B25124_033</t>
  </si>
  <si>
    <t>Estimate!!Total:!!Owner occupied:!!5-or-more person household:!!2 to 4</t>
  </si>
  <si>
    <t>B25124_034</t>
  </si>
  <si>
    <t>Estimate!!Total:!!Owner occupied:!!5-or-more person household:!!5 to 19</t>
  </si>
  <si>
    <t>B25124_035</t>
  </si>
  <si>
    <t>Estimate!!Total:!!Owner occupied:!!5-or-more person household:!!20 to 49</t>
  </si>
  <si>
    <t>B25124_036</t>
  </si>
  <si>
    <t>Estimate!!Total:!!Owner occupied:!!5-or-more person household:!!50 or more</t>
  </si>
  <si>
    <t>B25124_037</t>
  </si>
  <si>
    <t>Estimate!!Total:!!Owner occupied:!!5-or-more person household:!!Mobile home, boat, RV, van, etc.</t>
  </si>
  <si>
    <t>B25124_038</t>
  </si>
  <si>
    <t>B25124_039</t>
  </si>
  <si>
    <t>B25124_040</t>
  </si>
  <si>
    <t>Estimate!!Total:!!Renter occupied:!!1-person household:!!1, detached or attached</t>
  </si>
  <si>
    <t>B25124_041</t>
  </si>
  <si>
    <t>Estimate!!Total:!!Renter occupied:!!1-person household:!!2 to 4</t>
  </si>
  <si>
    <t>B25124_042</t>
  </si>
  <si>
    <t>Estimate!!Total:!!Renter occupied:!!1-person household:!!5 to 19</t>
  </si>
  <si>
    <t>B25124_043</t>
  </si>
  <si>
    <t>Estimate!!Total:!!Renter occupied:!!1-person household:!!20 to 49</t>
  </si>
  <si>
    <t>B25124_044</t>
  </si>
  <si>
    <t>Estimate!!Total:!!Renter occupied:!!1-person household:!!50 or more</t>
  </si>
  <si>
    <t>B25124_045</t>
  </si>
  <si>
    <t>Estimate!!Total:!!Renter occupied:!!1-person household:!!Mobile home, boat, RV, van, etc.</t>
  </si>
  <si>
    <t>B25124_046</t>
  </si>
  <si>
    <t>Estimate!!Total:!!Renter occupied:!!2-person household:</t>
  </si>
  <si>
    <t>B25124_047</t>
  </si>
  <si>
    <t>Estimate!!Total:!!Renter occupied:!!2-person household:!!1, detached or attached</t>
  </si>
  <si>
    <t>B25124_048</t>
  </si>
  <si>
    <t>Estimate!!Total:!!Renter occupied:!!2-person household:!!2 to 4</t>
  </si>
  <si>
    <t>B25124_049</t>
  </si>
  <si>
    <t>Estimate!!Total:!!Renter occupied:!!2-person household:!!5 to 19</t>
  </si>
  <si>
    <t>B25124_050</t>
  </si>
  <si>
    <t>Estimate!!Total:!!Renter occupied:!!2-person household:!!20 to 49</t>
  </si>
  <si>
    <t>B25124_051</t>
  </si>
  <si>
    <t>Estimate!!Total:!!Renter occupied:!!2-person household:!!50 or more</t>
  </si>
  <si>
    <t>B25124_052</t>
  </si>
  <si>
    <t>Estimate!!Total:!!Renter occupied:!!2-person household:!!Mobile home, boat, RV, van, etc.</t>
  </si>
  <si>
    <t>B25124_053</t>
  </si>
  <si>
    <t>Estimate!!Total:!!Renter occupied:!!3-person household:</t>
  </si>
  <si>
    <t>B25124_054</t>
  </si>
  <si>
    <t>Estimate!!Total:!!Renter occupied:!!3-person household:!!1, detached or attached</t>
  </si>
  <si>
    <t>B25124_055</t>
  </si>
  <si>
    <t>Estimate!!Total:!!Renter occupied:!!3-person household:!!2 to 4</t>
  </si>
  <si>
    <t>B25124_056</t>
  </si>
  <si>
    <t>Estimate!!Total:!!Renter occupied:!!3-person household:!!5 to 19</t>
  </si>
  <si>
    <t>B25124_057</t>
  </si>
  <si>
    <t>Estimate!!Total:!!Renter occupied:!!3-person household:!!20 to 49</t>
  </si>
  <si>
    <t>B25124_058</t>
  </si>
  <si>
    <t>Estimate!!Total:!!Renter occupied:!!3-person household:!!50 or more</t>
  </si>
  <si>
    <t>B25124_059</t>
  </si>
  <si>
    <t>Estimate!!Total:!!Renter occupied:!!3-person household:!!Mobile home, boat, RV, van, etc.</t>
  </si>
  <si>
    <t>B25124_060</t>
  </si>
  <si>
    <t>Estimate!!Total:!!Renter occupied:!!4-person household:</t>
  </si>
  <si>
    <t>B25124_061</t>
  </si>
  <si>
    <t>Estimate!!Total:!!Renter occupied:!!4-person household:!!1, detached or attached</t>
  </si>
  <si>
    <t>B25124_062</t>
  </si>
  <si>
    <t>Estimate!!Total:!!Renter occupied:!!4-person household:!!2 to 4</t>
  </si>
  <si>
    <t>B25124_063</t>
  </si>
  <si>
    <t>Estimate!!Total:!!Renter occupied:!!4-person household:!!5 to 19</t>
  </si>
  <si>
    <t>B25124_064</t>
  </si>
  <si>
    <t>Estimate!!Total:!!Renter occupied:!!4-person household:!!20 to 49</t>
  </si>
  <si>
    <t>B25124_065</t>
  </si>
  <si>
    <t>Estimate!!Total:!!Renter occupied:!!4-person household:!!50 or more</t>
  </si>
  <si>
    <t>B25124_066</t>
  </si>
  <si>
    <t>Estimate!!Total:!!Renter occupied:!!4-person household:!!Mobile home, boat, RV, van, etc.</t>
  </si>
  <si>
    <t>B25124_067</t>
  </si>
  <si>
    <t>Estimate!!Total:!!Renter occupied:!!5-or-more person household:</t>
  </si>
  <si>
    <t>B25124_068</t>
  </si>
  <si>
    <t>Estimate!!Total:!!Renter occupied:!!5-or-more person household:!!1, detached or attached</t>
  </si>
  <si>
    <t>B25124_069</t>
  </si>
  <si>
    <t>Estimate!!Total:!!Renter occupied:!!5-or-more person household:!!2 to 4</t>
  </si>
  <si>
    <t>B25124_070</t>
  </si>
  <si>
    <t>Estimate!!Total:!!Renter occupied:!!5-or-more person household:!!5 to 19</t>
  </si>
  <si>
    <t>B25124_071</t>
  </si>
  <si>
    <t>Estimate!!Total:!!Renter occupied:!!5-or-more person household:!!20 to 49</t>
  </si>
  <si>
    <t>B25124_072</t>
  </si>
  <si>
    <t>Estimate!!Total:!!Renter occupied:!!5-or-more person household:!!50 or more</t>
  </si>
  <si>
    <t>B25124_073</t>
  </si>
  <si>
    <t>Estimate!!Total:!!Renter occupied:!!5-or-more person household:!!Mobile home, boat, RV, van, etc.</t>
  </si>
  <si>
    <t>B25125_002</t>
  </si>
  <si>
    <t>B25125_003</t>
  </si>
  <si>
    <t>B25125_004</t>
  </si>
  <si>
    <t>Estimate!!Total:!!Owner occupied:!!Householder 15 to 34 years:!!1, detached or attached</t>
  </si>
  <si>
    <t>B25125_005</t>
  </si>
  <si>
    <t>Estimate!!Total:!!Owner occupied:!!Householder 15 to 34 years:!!2 to 4</t>
  </si>
  <si>
    <t>B25125_006</t>
  </si>
  <si>
    <t>Estimate!!Total:!!Owner occupied:!!Householder 15 to 34 years:!!5 to 19</t>
  </si>
  <si>
    <t>B25125_007</t>
  </si>
  <si>
    <t>Estimate!!Total:!!Owner occupied:!!Householder 15 to 34 years:!!20 to 49</t>
  </si>
  <si>
    <t>B25125_008</t>
  </si>
  <si>
    <t>Estimate!!Total:!!Owner occupied:!!Householder 15 to 34 years:!!50 or more</t>
  </si>
  <si>
    <t>B25125_009</t>
  </si>
  <si>
    <t>Estimate!!Total:!!Owner occupied:!!Householder 15 to 34 years:!!Mobile home, boat, RV, van, etc.</t>
  </si>
  <si>
    <t>B25125_010</t>
  </si>
  <si>
    <t>B25125_011</t>
  </si>
  <si>
    <t>Estimate!!Total:!!Owner occupied:!!Householder 35 to 64 years:!!1, detached or attached</t>
  </si>
  <si>
    <t>B25125_012</t>
  </si>
  <si>
    <t>Estimate!!Total:!!Owner occupied:!!Householder 35 to 64 years:!!2 to 4</t>
  </si>
  <si>
    <t>B25125_013</t>
  </si>
  <si>
    <t>Estimate!!Total:!!Owner occupied:!!Householder 35 to 64 years:!!5 to 19</t>
  </si>
  <si>
    <t>B25125_014</t>
  </si>
  <si>
    <t>Estimate!!Total:!!Owner occupied:!!Householder 35 to 64 years:!!20 to 49</t>
  </si>
  <si>
    <t>B25125_015</t>
  </si>
  <si>
    <t>Estimate!!Total:!!Owner occupied:!!Householder 35 to 64 years:!!50 or more</t>
  </si>
  <si>
    <t>B25125_016</t>
  </si>
  <si>
    <t>Estimate!!Total:!!Owner occupied:!!Householder 35 to 64 years:!!Mobile home, boat, RV, van, etc.</t>
  </si>
  <si>
    <t>B25125_017</t>
  </si>
  <si>
    <t>B25125_018</t>
  </si>
  <si>
    <t>Estimate!!Total:!!Owner occupied:!!Householder 65 years and over:!!1, detached or attached</t>
  </si>
  <si>
    <t>B25125_019</t>
  </si>
  <si>
    <t>Estimate!!Total:!!Owner occupied:!!Householder 65 years and over:!!2 to 4</t>
  </si>
  <si>
    <t>B25125_020</t>
  </si>
  <si>
    <t>Estimate!!Total:!!Owner occupied:!!Householder 65 years and over:!!5 to 19</t>
  </si>
  <si>
    <t>B25125_021</t>
  </si>
  <si>
    <t>Estimate!!Total:!!Owner occupied:!!Householder 65 years and over:!!20 to 49</t>
  </si>
  <si>
    <t>B25125_022</t>
  </si>
  <si>
    <t>Estimate!!Total:!!Owner occupied:!!Householder 65 years and over:!!50 or more</t>
  </si>
  <si>
    <t>B25125_023</t>
  </si>
  <si>
    <t>Estimate!!Total:!!Owner occupied:!!Householder 65 years and over:!!Mobile home, boat, RV, van, etc.</t>
  </si>
  <si>
    <t>B25125_024</t>
  </si>
  <si>
    <t>B25125_025</t>
  </si>
  <si>
    <t>B25125_026</t>
  </si>
  <si>
    <t>Estimate!!Total:!!Renter occupied:!!Householder 15 to 34 years:!!1, detached or attached</t>
  </si>
  <si>
    <t>B25125_027</t>
  </si>
  <si>
    <t>Estimate!!Total:!!Renter occupied:!!Householder 15 to 34 years:!!2 to 4</t>
  </si>
  <si>
    <t>B25125_028</t>
  </si>
  <si>
    <t>Estimate!!Total:!!Renter occupied:!!Householder 15 to 34 years:!!5 to 19</t>
  </si>
  <si>
    <t>B25125_029</t>
  </si>
  <si>
    <t>Estimate!!Total:!!Renter occupied:!!Householder 15 to 34 years:!!20 to 49</t>
  </si>
  <si>
    <t>B25125_030</t>
  </si>
  <si>
    <t>Estimate!!Total:!!Renter occupied:!!Householder 15 to 34 years:!!50 or more</t>
  </si>
  <si>
    <t>B25125_031</t>
  </si>
  <si>
    <t>Estimate!!Total:!!Renter occupied:!!Householder 15 to 34 years:!!Mobile home, boat, RV, van, etc.</t>
  </si>
  <si>
    <t>B25125_032</t>
  </si>
  <si>
    <t>B25125_033</t>
  </si>
  <si>
    <t>Estimate!!Total:!!Renter occupied:!!Householder 35 to 64 years:!!1, detached or attached</t>
  </si>
  <si>
    <t>B25125_034</t>
  </si>
  <si>
    <t>Estimate!!Total:!!Renter occupied:!!Householder 35 to 64 years:!!2 to 4</t>
  </si>
  <si>
    <t>B25125_035</t>
  </si>
  <si>
    <t>Estimate!!Total:!!Renter occupied:!!Householder 35 to 64 years:!!5 to 19</t>
  </si>
  <si>
    <t>B25125_036</t>
  </si>
  <si>
    <t>Estimate!!Total:!!Renter occupied:!!Householder 35 to 64 years:!!20 to 49</t>
  </si>
  <si>
    <t>B25125_037</t>
  </si>
  <si>
    <t>Estimate!!Total:!!Renter occupied:!!Householder 35 to 64 years:!!50 or more</t>
  </si>
  <si>
    <t>B25125_038</t>
  </si>
  <si>
    <t>Estimate!!Total:!!Renter occupied:!!Householder 35 to 64 years:!!Mobile home, boat, RV, van, etc.</t>
  </si>
  <si>
    <t>B25125_039</t>
  </si>
  <si>
    <t>B25125_040</t>
  </si>
  <si>
    <t>Estimate!!Total:!!Renter occupied:!!Householder 65 years and over:!!1, detached or attached</t>
  </si>
  <si>
    <t>B25125_041</t>
  </si>
  <si>
    <t>Estimate!!Total:!!Renter occupied:!!Householder 65 years and over:!!2 to 4</t>
  </si>
  <si>
    <t>B25125_042</t>
  </si>
  <si>
    <t>Estimate!!Total:!!Renter occupied:!!Householder 65 years and over:!!5 to 19</t>
  </si>
  <si>
    <t>B25125_043</t>
  </si>
  <si>
    <t>Estimate!!Total:!!Renter occupied:!!Householder 65 years and over:!!20 to 49</t>
  </si>
  <si>
    <t>B25125_044</t>
  </si>
  <si>
    <t>Estimate!!Total:!!Renter occupied:!!Householder 65 years and over:!!50 or more</t>
  </si>
  <si>
    <t>B25125_045</t>
  </si>
  <si>
    <t>Estimate!!Total:!!Renter occupied:!!Householder 65 years and over:!!Mobile home, boat, RV, van, etc.</t>
  </si>
  <si>
    <t>B25126_002</t>
  </si>
  <si>
    <t>B25126_003</t>
  </si>
  <si>
    <t>B25126_004</t>
  </si>
  <si>
    <t>Estimate!!Total:!!Owner occupied:!!Householder 15 to 34 years:!!Built 2020 or later</t>
  </si>
  <si>
    <t>B25126_005</t>
  </si>
  <si>
    <t>Estimate!!Total:!!Owner occupied:!!Householder 15 to 34 years:!!Built 2010 to 2019</t>
  </si>
  <si>
    <t>B25126_006</t>
  </si>
  <si>
    <t>Estimate!!Total:!!Owner occupied:!!Householder 15 to 34 years:!!Built 2000 to 2009</t>
  </si>
  <si>
    <t>B25126_007</t>
  </si>
  <si>
    <t>Estimate!!Total:!!Owner occupied:!!Householder 15 to 34 years:!!Built 1990 to 1999</t>
  </si>
  <si>
    <t>B25126_008</t>
  </si>
  <si>
    <t>Estimate!!Total:!!Owner occupied:!!Householder 15 to 34 years:!!Built 1980 to 1989</t>
  </si>
  <si>
    <t>B25126_009</t>
  </si>
  <si>
    <t>Estimate!!Total:!!Owner occupied:!!Householder 15 to 34 years:!!Built 1970 to 1979</t>
  </si>
  <si>
    <t>B25126_010</t>
  </si>
  <si>
    <t>Estimate!!Total:!!Owner occupied:!!Householder 15 to 34 years:!!Built 1960 to 1969</t>
  </si>
  <si>
    <t>B25126_011</t>
  </si>
  <si>
    <t>Estimate!!Total:!!Owner occupied:!!Householder 15 to 34 years:!!Built 1950 to 1959</t>
  </si>
  <si>
    <t>B25126_012</t>
  </si>
  <si>
    <t>Estimate!!Total:!!Owner occupied:!!Householder 15 to 34 years:!!Built 1940 to 1949</t>
  </si>
  <si>
    <t>B25126_013</t>
  </si>
  <si>
    <t>Estimate!!Total:!!Owner occupied:!!Householder 15 to 34 years:!!Built 1939 or earlier</t>
  </si>
  <si>
    <t>B25126_014</t>
  </si>
  <si>
    <t>B25126_015</t>
  </si>
  <si>
    <t>Estimate!!Total:!!Owner occupied:!!Householder 35 to 64 years:!!Built 2020 or later</t>
  </si>
  <si>
    <t>B25126_016</t>
  </si>
  <si>
    <t>Estimate!!Total:!!Owner occupied:!!Householder 35 to 64 years:!!Built 2010 to 2019</t>
  </si>
  <si>
    <t>B25126_017</t>
  </si>
  <si>
    <t>Estimate!!Total:!!Owner occupied:!!Householder 35 to 64 years:!!Built 2000 to 2009</t>
  </si>
  <si>
    <t>B25126_018</t>
  </si>
  <si>
    <t>Estimate!!Total:!!Owner occupied:!!Householder 35 to 64 years:!!Built 1990 to 1999</t>
  </si>
  <si>
    <t>B25126_019</t>
  </si>
  <si>
    <t>Estimate!!Total:!!Owner occupied:!!Householder 35 to 64 years:!!Built 1980 to 1989</t>
  </si>
  <si>
    <t>B25126_020</t>
  </si>
  <si>
    <t>Estimate!!Total:!!Owner occupied:!!Householder 35 to 64 years:!!Built 1970 to 1979</t>
  </si>
  <si>
    <t>B25126_021</t>
  </si>
  <si>
    <t>Estimate!!Total:!!Owner occupied:!!Householder 35 to 64 years:!!Built 1960 to 1969</t>
  </si>
  <si>
    <t>B25126_022</t>
  </si>
  <si>
    <t>Estimate!!Total:!!Owner occupied:!!Householder 35 to 64 years:!!Built 1950 to 1959</t>
  </si>
  <si>
    <t>B25126_023</t>
  </si>
  <si>
    <t>Estimate!!Total:!!Owner occupied:!!Householder 35 to 64 years:!!Built 1940 to 1949</t>
  </si>
  <si>
    <t>B25126_024</t>
  </si>
  <si>
    <t>Estimate!!Total:!!Owner occupied:!!Householder 35 to 64 years:!!Built 1939 or earlier</t>
  </si>
  <si>
    <t>B25126_025</t>
  </si>
  <si>
    <t>B25126_026</t>
  </si>
  <si>
    <t>Estimate!!Total:!!Owner occupied:!!Householder 65 years and over:!!Built 2020 or later</t>
  </si>
  <si>
    <t>B25126_027</t>
  </si>
  <si>
    <t>Estimate!!Total:!!Owner occupied:!!Householder 65 years and over:!!Built 2010 to 2019</t>
  </si>
  <si>
    <t>B25126_028</t>
  </si>
  <si>
    <t>Estimate!!Total:!!Owner occupied:!!Householder 65 years and over:!!Built 2000 to 2009</t>
  </si>
  <si>
    <t>B25126_029</t>
  </si>
  <si>
    <t>Estimate!!Total:!!Owner occupied:!!Householder 65 years and over:!!Built 1990 to 1999</t>
  </si>
  <si>
    <t>B25126_030</t>
  </si>
  <si>
    <t>Estimate!!Total:!!Owner occupied:!!Householder 65 years and over:!!Built 1980 to 1989</t>
  </si>
  <si>
    <t>B25126_031</t>
  </si>
  <si>
    <t>Estimate!!Total:!!Owner occupied:!!Householder 65 years and over:!!Built 1970 to 1979</t>
  </si>
  <si>
    <t>B25126_032</t>
  </si>
  <si>
    <t>Estimate!!Total:!!Owner occupied:!!Householder 65 years and over:!!Built 1960 to 1969</t>
  </si>
  <si>
    <t>B25126_033</t>
  </si>
  <si>
    <t>Estimate!!Total:!!Owner occupied:!!Householder 65 years and over:!!Built 1950 to 1959</t>
  </si>
  <si>
    <t>B25126_034</t>
  </si>
  <si>
    <t>Estimate!!Total:!!Owner occupied:!!Householder 65 years and over:!!Built 1940 to 1949</t>
  </si>
  <si>
    <t>B25126_035</t>
  </si>
  <si>
    <t>Estimate!!Total:!!Owner occupied:!!Householder 65 years and over:!!Built 1939 or earlier</t>
  </si>
  <si>
    <t>B25126_036</t>
  </si>
  <si>
    <t>B25126_037</t>
  </si>
  <si>
    <t>B25126_038</t>
  </si>
  <si>
    <t>Estimate!!Total:!!Renter occupied:!!Householder 15 to 34 years:!!Built 2020 or later</t>
  </si>
  <si>
    <t>B25126_039</t>
  </si>
  <si>
    <t>Estimate!!Total:!!Renter occupied:!!Householder 15 to 34 years:!!Built 2010 to 2019</t>
  </si>
  <si>
    <t>B25126_040</t>
  </si>
  <si>
    <t>Estimate!!Total:!!Renter occupied:!!Householder 15 to 34 years:!!Built 2000 to 2009</t>
  </si>
  <si>
    <t>B25126_041</t>
  </si>
  <si>
    <t>Estimate!!Total:!!Renter occupied:!!Householder 15 to 34 years:!!Built 1990 to 1999</t>
  </si>
  <si>
    <t>B25126_042</t>
  </si>
  <si>
    <t>Estimate!!Total:!!Renter occupied:!!Householder 15 to 34 years:!!Built 1980 to 1989</t>
  </si>
  <si>
    <t>B25126_043</t>
  </si>
  <si>
    <t>Estimate!!Total:!!Renter occupied:!!Householder 15 to 34 years:!!Built 1970 to 1979</t>
  </si>
  <si>
    <t>B25126_044</t>
  </si>
  <si>
    <t>Estimate!!Total:!!Renter occupied:!!Householder 15 to 34 years:!!Built 1960 to 1969</t>
  </si>
  <si>
    <t>B25126_045</t>
  </si>
  <si>
    <t>Estimate!!Total:!!Renter occupied:!!Householder 15 to 34 years:!!Built 1950 to 1959</t>
  </si>
  <si>
    <t>B25126_046</t>
  </si>
  <si>
    <t>Estimate!!Total:!!Renter occupied:!!Householder 15 to 34 years:!!Built 1940 to 1949</t>
  </si>
  <si>
    <t>B25126_047</t>
  </si>
  <si>
    <t>Estimate!!Total:!!Renter occupied:!!Householder 15 to 34 years:!!Built 1939 or earlier</t>
  </si>
  <si>
    <t>B25126_048</t>
  </si>
  <si>
    <t>B25126_049</t>
  </si>
  <si>
    <t>Estimate!!Total:!!Renter occupied:!!Householder 35 to 64 years:!!Built 2020 or later</t>
  </si>
  <si>
    <t>B25126_050</t>
  </si>
  <si>
    <t>Estimate!!Total:!!Renter occupied:!!Householder 35 to 64 years:!!Built 2010 to 2019</t>
  </si>
  <si>
    <t>B25126_051</t>
  </si>
  <si>
    <t>Estimate!!Total:!!Renter occupied:!!Householder 35 to 64 years:!!Built 2000 to 2009</t>
  </si>
  <si>
    <t>B25126_052</t>
  </si>
  <si>
    <t>Estimate!!Total:!!Renter occupied:!!Householder 35 to 64 years:!!Built 1990 to 1999</t>
  </si>
  <si>
    <t>B25126_053</t>
  </si>
  <si>
    <t>Estimate!!Total:!!Renter occupied:!!Householder 35 to 64 years:!!Built 1980 to 1989</t>
  </si>
  <si>
    <t>B25126_054</t>
  </si>
  <si>
    <t>Estimate!!Total:!!Renter occupied:!!Householder 35 to 64 years:!!Built 1970 to 1979</t>
  </si>
  <si>
    <t>B25126_055</t>
  </si>
  <si>
    <t>Estimate!!Total:!!Renter occupied:!!Householder 35 to 64 years:!!Built 1960 to 1969</t>
  </si>
  <si>
    <t>B25126_056</t>
  </si>
  <si>
    <t>Estimate!!Total:!!Renter occupied:!!Householder 35 to 64 years:!!Built 1950 to 1959</t>
  </si>
  <si>
    <t>B25126_057</t>
  </si>
  <si>
    <t>Estimate!!Total:!!Renter occupied:!!Householder 35 to 64 years:!!Built 1940 to 1949</t>
  </si>
  <si>
    <t>B25126_058</t>
  </si>
  <si>
    <t>Estimate!!Total:!!Renter occupied:!!Householder 35 to 64 years:!!Built 1939 or earlier</t>
  </si>
  <si>
    <t>B25126_059</t>
  </si>
  <si>
    <t>B25126_060</t>
  </si>
  <si>
    <t>Estimate!!Total:!!Renter occupied:!!Householder 65 years and over:!!Built 2020 or later</t>
  </si>
  <si>
    <t>B25126_061</t>
  </si>
  <si>
    <t>Estimate!!Total:!!Renter occupied:!!Householder 65 years and over:!!Built 2010 to 2019</t>
  </si>
  <si>
    <t>B25126_062</t>
  </si>
  <si>
    <t>Estimate!!Total:!!Renter occupied:!!Householder 65 years and over:!!Built 2000 to 2009</t>
  </si>
  <si>
    <t>B25126_063</t>
  </si>
  <si>
    <t>Estimate!!Total:!!Renter occupied:!!Householder 65 years and over:!!Built 1990 to 1999</t>
  </si>
  <si>
    <t>B25126_064</t>
  </si>
  <si>
    <t>Estimate!!Total:!!Renter occupied:!!Householder 65 years and over:!!Built 1980 to 1989</t>
  </si>
  <si>
    <t>B25126_065</t>
  </si>
  <si>
    <t>Estimate!!Total:!!Renter occupied:!!Householder 65 years and over:!!Built 1970 to 1979</t>
  </si>
  <si>
    <t>B25126_066</t>
  </si>
  <si>
    <t>Estimate!!Total:!!Renter occupied:!!Householder 65 years and over:!!Built 1960 to 1969</t>
  </si>
  <si>
    <t>B25126_067</t>
  </si>
  <si>
    <t>Estimate!!Total:!!Renter occupied:!!Householder 65 years and over:!!Built 1950 to 1959</t>
  </si>
  <si>
    <t>B25126_068</t>
  </si>
  <si>
    <t>Estimate!!Total:!!Renter occupied:!!Householder 65 years and over:!!Built 1940 to 1949</t>
  </si>
  <si>
    <t>B25126_069</t>
  </si>
  <si>
    <t>Estimate!!Total:!!Renter occupied:!!Householder 65 years and over:!!Built 1939 or earlier</t>
  </si>
  <si>
    <t>B25127_002</t>
  </si>
  <si>
    <t>B25127_003</t>
  </si>
  <si>
    <t>Estimate!!Total:!!Owner occupied:!!Built 2020 or later:</t>
  </si>
  <si>
    <t>B25127_004</t>
  </si>
  <si>
    <t>Estimate!!Total:!!Owner occupied:!!Built 2020 or later:!!1, detached or attached</t>
  </si>
  <si>
    <t>B25127_005</t>
  </si>
  <si>
    <t>Estimate!!Total:!!Owner occupied:!!Built 2020 or later:!!2 to 4</t>
  </si>
  <si>
    <t>B25127_006</t>
  </si>
  <si>
    <t>Estimate!!Total:!!Owner occupied:!!Built 2020 or later:!!5 to 19</t>
  </si>
  <si>
    <t>B25127_007</t>
  </si>
  <si>
    <t>Estimate!!Total:!!Owner occupied:!!Built 2020 or later:!!20 to 49</t>
  </si>
  <si>
    <t>B25127_008</t>
  </si>
  <si>
    <t>Estimate!!Total:!!Owner occupied:!!Built 2020 or later:!!50 or more</t>
  </si>
  <si>
    <t>B25127_009</t>
  </si>
  <si>
    <t>Estimate!!Total:!!Owner occupied:!!Built 2020 or later:!!Mobile home, boat, RV, van, etc.</t>
  </si>
  <si>
    <t>B25127_010</t>
  </si>
  <si>
    <t>Estimate!!Total:!!Owner occupied:!!Built 2000 to 2019:</t>
  </si>
  <si>
    <t>B25127_011</t>
  </si>
  <si>
    <t>Estimate!!Total:!!Owner occupied:!!Built 2000 to 2019:!!1, detached or attached</t>
  </si>
  <si>
    <t>B25127_012</t>
  </si>
  <si>
    <t>Estimate!!Total:!!Owner occupied:!!Built 2000 to 2019:!!2 to 4</t>
  </si>
  <si>
    <t>B25127_013</t>
  </si>
  <si>
    <t>Estimate!!Total:!!Owner occupied:!!Built 2000 to 2019:!!5 to 19</t>
  </si>
  <si>
    <t>B25127_014</t>
  </si>
  <si>
    <t>Estimate!!Total:!!Owner occupied:!!Built 2000 to 2019:!!20 to 49</t>
  </si>
  <si>
    <t>B25127_015</t>
  </si>
  <si>
    <t>Estimate!!Total:!!Owner occupied:!!Built 2000 to 2019:!!50 or more</t>
  </si>
  <si>
    <t>B25127_016</t>
  </si>
  <si>
    <t>Estimate!!Total:!!Owner occupied:!!Built 2000 to 2019:!!Mobile home, boat, RV, van, etc.</t>
  </si>
  <si>
    <t>B25127_017</t>
  </si>
  <si>
    <t>Estimate!!Total:!!Owner occupied:!!Built 1980 to 1999:</t>
  </si>
  <si>
    <t>B25127_018</t>
  </si>
  <si>
    <t>Estimate!!Total:!!Owner occupied:!!Built 1980 to 1999:!!1, detached or attached</t>
  </si>
  <si>
    <t>B25127_019</t>
  </si>
  <si>
    <t>Estimate!!Total:!!Owner occupied:!!Built 1980 to 1999:!!2 to 4</t>
  </si>
  <si>
    <t>B25127_020</t>
  </si>
  <si>
    <t>Estimate!!Total:!!Owner occupied:!!Built 1980 to 1999:!!5 to 19</t>
  </si>
  <si>
    <t>B25127_021</t>
  </si>
  <si>
    <t>Estimate!!Total:!!Owner occupied:!!Built 1980 to 1999:!!20 to 49</t>
  </si>
  <si>
    <t>B25127_022</t>
  </si>
  <si>
    <t>Estimate!!Total:!!Owner occupied:!!Built 1980 to 1999:!!50 or more</t>
  </si>
  <si>
    <t>B25127_023</t>
  </si>
  <si>
    <t>Estimate!!Total:!!Owner occupied:!!Built 1980 to 1999:!!Mobile home, boat, RV, van, etc.</t>
  </si>
  <si>
    <t>B25127_024</t>
  </si>
  <si>
    <t>Estimate!!Total:!!Owner occupied:!!Built 1960 to 1979:</t>
  </si>
  <si>
    <t>B25127_025</t>
  </si>
  <si>
    <t>Estimate!!Total:!!Owner occupied:!!Built 1960 to 1979:!!1, detached or attached</t>
  </si>
  <si>
    <t>B25127_026</t>
  </si>
  <si>
    <t>Estimate!!Total:!!Owner occupied:!!Built 1960 to 1979:!!2 to 4</t>
  </si>
  <si>
    <t>B25127_027</t>
  </si>
  <si>
    <t>Estimate!!Total:!!Owner occupied:!!Built 1960 to 1979:!!5 to 19</t>
  </si>
  <si>
    <t>B25127_028</t>
  </si>
  <si>
    <t>Estimate!!Total:!!Owner occupied:!!Built 1960 to 1979:!!20 to 49</t>
  </si>
  <si>
    <t>B25127_029</t>
  </si>
  <si>
    <t>Estimate!!Total:!!Owner occupied:!!Built 1960 to 1979:!!50 or more</t>
  </si>
  <si>
    <t>B25127_030</t>
  </si>
  <si>
    <t>Estimate!!Total:!!Owner occupied:!!Built 1960 to 1979:!!Mobile home, boat, RV, van, etc.</t>
  </si>
  <si>
    <t>B25127_031</t>
  </si>
  <si>
    <t>Estimate!!Total:!!Owner occupied:!!Built 1940 to 1959:</t>
  </si>
  <si>
    <t>B25127_032</t>
  </si>
  <si>
    <t>Estimate!!Total:!!Owner occupied:!!Built 1940 to 1959:!!1, detached or attached</t>
  </si>
  <si>
    <t>B25127_033</t>
  </si>
  <si>
    <t>Estimate!!Total:!!Owner occupied:!!Built 1940 to 1959:!!2 to 4</t>
  </si>
  <si>
    <t>B25127_034</t>
  </si>
  <si>
    <t>Estimate!!Total:!!Owner occupied:!!Built 1940 to 1959:!!5 to 19</t>
  </si>
  <si>
    <t>B25127_035</t>
  </si>
  <si>
    <t>Estimate!!Total:!!Owner occupied:!!Built 1940 to 1959:!!20 to 49</t>
  </si>
  <si>
    <t>B25127_036</t>
  </si>
  <si>
    <t>Estimate!!Total:!!Owner occupied:!!Built 1940 to 1959:!!50 or more</t>
  </si>
  <si>
    <t>B25127_037</t>
  </si>
  <si>
    <t>Estimate!!Total:!!Owner occupied:!!Built 1940 to 1959:!!Mobile home, boat, RV, van, etc.</t>
  </si>
  <si>
    <t>B25127_038</t>
  </si>
  <si>
    <t>Estimate!!Total:!!Owner occupied:!!Built 1939 or earlier:</t>
  </si>
  <si>
    <t>B25127_039</t>
  </si>
  <si>
    <t>Estimate!!Total:!!Owner occupied:!!Built 1939 or earlier:!!1, detached or attached</t>
  </si>
  <si>
    <t>B25127_040</t>
  </si>
  <si>
    <t>Estimate!!Total:!!Owner occupied:!!Built 1939 or earlier:!!2 to 4</t>
  </si>
  <si>
    <t>B25127_041</t>
  </si>
  <si>
    <t>Estimate!!Total:!!Owner occupied:!!Built 1939 or earlier:!!5 to 19</t>
  </si>
  <si>
    <t>B25127_042</t>
  </si>
  <si>
    <t>Estimate!!Total:!!Owner occupied:!!Built 1939 or earlier:!!20 to 49</t>
  </si>
  <si>
    <t>B25127_043</t>
  </si>
  <si>
    <t>Estimate!!Total:!!Owner occupied:!!Built 1939 or earlier:!!50 or more</t>
  </si>
  <si>
    <t>B25127_044</t>
  </si>
  <si>
    <t>Estimate!!Total:!!Owner occupied:!!Built 1939 or earlier:!!Mobile home, boat, RV, van, etc.</t>
  </si>
  <si>
    <t>B25127_045</t>
  </si>
  <si>
    <t>B25127_046</t>
  </si>
  <si>
    <t>Estimate!!Total:!!Renter occupied:!!Built 2020 or later:</t>
  </si>
  <si>
    <t>B25127_047</t>
  </si>
  <si>
    <t>Estimate!!Total:!!Renter occupied:!!Built 2020 or later:!!1, detached or attached</t>
  </si>
  <si>
    <t>B25127_048</t>
  </si>
  <si>
    <t>Estimate!!Total:!!Renter occupied:!!Built 2020 or later:!!2 to 4</t>
  </si>
  <si>
    <t>B25127_049</t>
  </si>
  <si>
    <t>Estimate!!Total:!!Renter occupied:!!Built 2020 or later:!!5 to 19</t>
  </si>
  <si>
    <t>B25127_050</t>
  </si>
  <si>
    <t>Estimate!!Total:!!Renter occupied:!!Built 2020 or later:!!20 to 49</t>
  </si>
  <si>
    <t>B25127_051</t>
  </si>
  <si>
    <t>Estimate!!Total:!!Renter occupied:!!Built 2020 or later:!!50 or more</t>
  </si>
  <si>
    <t>B25127_052</t>
  </si>
  <si>
    <t>Estimate!!Total:!!Renter occupied:!!Built 2020 or later:!!Mobile home, boat, RV, van, etc.</t>
  </si>
  <si>
    <t>B25127_053</t>
  </si>
  <si>
    <t>Estimate!!Total:!!Renter occupied:!!Built 2000 to 2019:</t>
  </si>
  <si>
    <t>B25127_054</t>
  </si>
  <si>
    <t>Estimate!!Total:!!Renter occupied:!!Built 2000 to 2019:!!1, detached or attached</t>
  </si>
  <si>
    <t>B25127_055</t>
  </si>
  <si>
    <t>Estimate!!Total:!!Renter occupied:!!Built 2000 to 2019:!!2 to 4</t>
  </si>
  <si>
    <t>B25127_056</t>
  </si>
  <si>
    <t>Estimate!!Total:!!Renter occupied:!!Built 2000 to 2019:!!5 to 19</t>
  </si>
  <si>
    <t>B25127_057</t>
  </si>
  <si>
    <t>Estimate!!Total:!!Renter occupied:!!Built 2000 to 2019:!!20 to 49</t>
  </si>
  <si>
    <t>B25127_058</t>
  </si>
  <si>
    <t>Estimate!!Total:!!Renter occupied:!!Built 2000 to 2019:!!50 or more</t>
  </si>
  <si>
    <t>B25127_059</t>
  </si>
  <si>
    <t>Estimate!!Total:!!Renter occupied:!!Built 2000 to 2019:!!Mobile home, boat, RV, van, etc.</t>
  </si>
  <si>
    <t>B25127_060</t>
  </si>
  <si>
    <t>Estimate!!Total:!!Renter occupied:!!Built 1980 to 1999:</t>
  </si>
  <si>
    <t>B25127_061</t>
  </si>
  <si>
    <t>Estimate!!Total:!!Renter occupied:!!Built 1980 to 1999:!!1, detached or attached</t>
  </si>
  <si>
    <t>B25127_062</t>
  </si>
  <si>
    <t>Estimate!!Total:!!Renter occupied:!!Built 1980 to 1999:!!2 to 4</t>
  </si>
  <si>
    <t>B25127_063</t>
  </si>
  <si>
    <t>Estimate!!Total:!!Renter occupied:!!Built 1980 to 1999:!!5 to 19</t>
  </si>
  <si>
    <t>B25127_064</t>
  </si>
  <si>
    <t>Estimate!!Total:!!Renter occupied:!!Built 1980 to 1999:!!20 to 49</t>
  </si>
  <si>
    <t>B25127_065</t>
  </si>
  <si>
    <t>Estimate!!Total:!!Renter occupied:!!Built 1980 to 1999:!!50 or more</t>
  </si>
  <si>
    <t>B25127_066</t>
  </si>
  <si>
    <t>Estimate!!Total:!!Renter occupied:!!Built 1980 to 1999:!!Mobile home, boat, RV, van, etc.</t>
  </si>
  <si>
    <t>B25127_067</t>
  </si>
  <si>
    <t>Estimate!!Total:!!Renter occupied:!!Built 1960 to 1979:</t>
  </si>
  <si>
    <t>B25127_068</t>
  </si>
  <si>
    <t>Estimate!!Total:!!Renter occupied:!!Built 1960 to 1979:!!1, detached or attached</t>
  </si>
  <si>
    <t>B25127_069</t>
  </si>
  <si>
    <t>Estimate!!Total:!!Renter occupied:!!Built 1960 to 1979:!!2 to 4</t>
  </si>
  <si>
    <t>B25127_070</t>
  </si>
  <si>
    <t>Estimate!!Total:!!Renter occupied:!!Built 1960 to 1979:!!5 to 19</t>
  </si>
  <si>
    <t>B25127_071</t>
  </si>
  <si>
    <t>Estimate!!Total:!!Renter occupied:!!Built 1960 to 1979:!!20 to 49</t>
  </si>
  <si>
    <t>B25127_072</t>
  </si>
  <si>
    <t>Estimate!!Total:!!Renter occupied:!!Built 1960 to 1979:!!50 or more</t>
  </si>
  <si>
    <t>B25127_073</t>
  </si>
  <si>
    <t>Estimate!!Total:!!Renter occupied:!!Built 1960 to 1979:!!Mobile home, boat, RV, van, etc.</t>
  </si>
  <si>
    <t>B25127_074</t>
  </si>
  <si>
    <t>Estimate!!Total:!!Renter occupied:!!Built 1940 to 1959:</t>
  </si>
  <si>
    <t>B25127_075</t>
  </si>
  <si>
    <t>Estimate!!Total:!!Renter occupied:!!Built 1940 to 1959:!!1, detached or attached</t>
  </si>
  <si>
    <t>B25127_076</t>
  </si>
  <si>
    <t>Estimate!!Total:!!Renter occupied:!!Built 1940 to 1959:!!2 to 4</t>
  </si>
  <si>
    <t>B25127_077</t>
  </si>
  <si>
    <t>Estimate!!Total:!!Renter occupied:!!Built 1940 to 1959:!!5 to 19</t>
  </si>
  <si>
    <t>B25127_078</t>
  </si>
  <si>
    <t>Estimate!!Total:!!Renter occupied:!!Built 1940 to 1959:!!20 to 49</t>
  </si>
  <si>
    <t>B25127_079</t>
  </si>
  <si>
    <t>Estimate!!Total:!!Renter occupied:!!Built 1940 to 1959:!!50 or more</t>
  </si>
  <si>
    <t>B25127_080</t>
  </si>
  <si>
    <t>Estimate!!Total:!!Renter occupied:!!Built 1940 to 1959:!!Mobile home, boat, RV, van, etc.</t>
  </si>
  <si>
    <t>B25127_081</t>
  </si>
  <si>
    <t>Estimate!!Total:!!Renter occupied:!!Built 1939 or earlier:</t>
  </si>
  <si>
    <t>B25127_082</t>
  </si>
  <si>
    <t>Estimate!!Total:!!Renter occupied:!!Built 1939 or earlier:!!1, detached or attached</t>
  </si>
  <si>
    <t>B25127_083</t>
  </si>
  <si>
    <t>Estimate!!Total:!!Renter occupied:!!Built 1939 or earlier:!!2 to 4</t>
  </si>
  <si>
    <t>B25127_084</t>
  </si>
  <si>
    <t>Estimate!!Total:!!Renter occupied:!!Built 1939 or earlier:!!5 to 19</t>
  </si>
  <si>
    <t>B25127_085</t>
  </si>
  <si>
    <t>Estimate!!Total:!!Renter occupied:!!Built 1939 or earlier:!!20 to 49</t>
  </si>
  <si>
    <t>B25127_086</t>
  </si>
  <si>
    <t>Estimate!!Total:!!Renter occupied:!!Built 1939 or earlier:!!50 or more</t>
  </si>
  <si>
    <t>B25127_087</t>
  </si>
  <si>
    <t>Estimate!!Total:!!Renter occupied:!!Built 1939 or earlier:!!Mobile home, boat, RV, van, etc.</t>
  </si>
  <si>
    <t>B25128_002</t>
  </si>
  <si>
    <t>B25128_003</t>
  </si>
  <si>
    <t>B25128_004</t>
  </si>
  <si>
    <t>Estimate!!Total:!!Owner occupied:!!Householder 15 to 34 years:!!Moved in 2023 or later</t>
  </si>
  <si>
    <t>B25128_005</t>
  </si>
  <si>
    <t>Estimate!!Total:!!Owner occupied:!!Householder 15 to 34 years:!!Moved in 2020 to 2022</t>
  </si>
  <si>
    <t>B25128_006</t>
  </si>
  <si>
    <t>Estimate!!Total:!!Owner occupied:!!Householder 15 to 34 years:!!Moved in 2010 to 2019</t>
  </si>
  <si>
    <t>B25128_007</t>
  </si>
  <si>
    <t>Estimate!!Total:!!Owner occupied:!!Householder 15 to 34 years:!!Moved in 2000 to 2009</t>
  </si>
  <si>
    <t>B25128_008</t>
  </si>
  <si>
    <t>Estimate!!Total:!!Owner occupied:!!Householder 15 to 34 years:!!Moved in 1990 to 1999</t>
  </si>
  <si>
    <t>B25128_009</t>
  </si>
  <si>
    <t>Estimate!!Total:!!Owner occupied:!!Householder 15 to 34 years:!!Moved in 1989 or earlier</t>
  </si>
  <si>
    <t>B25128_010</t>
  </si>
  <si>
    <t>B25128_011</t>
  </si>
  <si>
    <t>Estimate!!Total:!!Owner occupied:!!Householder 35 to 64 years:!!Moved in 2023 or later</t>
  </si>
  <si>
    <t>B25128_012</t>
  </si>
  <si>
    <t>Estimate!!Total:!!Owner occupied:!!Householder 35 to 64 years:!!Moved in 2020 to 2022</t>
  </si>
  <si>
    <t>B25128_013</t>
  </si>
  <si>
    <t>Estimate!!Total:!!Owner occupied:!!Householder 35 to 64 years:!!Moved in 2010 to 2019</t>
  </si>
  <si>
    <t>B25128_014</t>
  </si>
  <si>
    <t>Estimate!!Total:!!Owner occupied:!!Householder 35 to 64 years:!!Moved in 2000 to 2009</t>
  </si>
  <si>
    <t>B25128_015</t>
  </si>
  <si>
    <t>Estimate!!Total:!!Owner occupied:!!Householder 35 to 64 years:!!Moved in 1990 to 1999</t>
  </si>
  <si>
    <t>B25128_016</t>
  </si>
  <si>
    <t>Estimate!!Total:!!Owner occupied:!!Householder 35 to 64 years:!!Moved in 1989 or earlier</t>
  </si>
  <si>
    <t>B25128_017</t>
  </si>
  <si>
    <t>B25128_018</t>
  </si>
  <si>
    <t>Estimate!!Total:!!Owner occupied:!!Householder 65 years and over:!!Moved in 2023 or later</t>
  </si>
  <si>
    <t>B25128_019</t>
  </si>
  <si>
    <t>Estimate!!Total:!!Owner occupied:!!Householder 65 years and over:!!Moved in 2020 to 2022</t>
  </si>
  <si>
    <t>B25128_020</t>
  </si>
  <si>
    <t>Estimate!!Total:!!Owner occupied:!!Householder 65 years and over:!!Moved in 2010 to 2019</t>
  </si>
  <si>
    <t>B25128_021</t>
  </si>
  <si>
    <t>Estimate!!Total:!!Owner occupied:!!Householder 65 years and over:!!Moved in 2000 to 2009</t>
  </si>
  <si>
    <t>B25128_022</t>
  </si>
  <si>
    <t>Estimate!!Total:!!Owner occupied:!!Householder 65 years and over:!!Moved in 1990 to 1999</t>
  </si>
  <si>
    <t>B25128_023</t>
  </si>
  <si>
    <t>Estimate!!Total:!!Owner occupied:!!Householder 65 years and over:!!Moved in 1989 or earlier</t>
  </si>
  <si>
    <t>B25128_024</t>
  </si>
  <si>
    <t>B25128_025</t>
  </si>
  <si>
    <t>B25128_026</t>
  </si>
  <si>
    <t>Estimate!!Total:!!Renter occupied:!!Householder 15 to 34 years:!!Moved in 2023 or later</t>
  </si>
  <si>
    <t>B25128_027</t>
  </si>
  <si>
    <t>Estimate!!Total:!!Renter occupied:!!Householder 15 to 34 years:!!Moved in 2020 to 2022</t>
  </si>
  <si>
    <t>B25128_028</t>
  </si>
  <si>
    <t>Estimate!!Total:!!Renter occupied:!!Householder 15 to 34 years:!!Moved in 2010 to 2019</t>
  </si>
  <si>
    <t>B25128_029</t>
  </si>
  <si>
    <t>Estimate!!Total:!!Renter occupied:!!Householder 15 to 34 years:!!Moved in 2000 to 2009</t>
  </si>
  <si>
    <t>B25128_030</t>
  </si>
  <si>
    <t>Estimate!!Total:!!Renter occupied:!!Householder 15 to 34 years:!!Moved in 1990 to 1999</t>
  </si>
  <si>
    <t>B25128_031</t>
  </si>
  <si>
    <t>Estimate!!Total:!!Renter occupied:!!Householder 15 to 34 years:!!Moved in 1989 or earlier</t>
  </si>
  <si>
    <t>B25128_032</t>
  </si>
  <si>
    <t>B25128_033</t>
  </si>
  <si>
    <t>Estimate!!Total:!!Renter occupied:!!Householder 35 to 64 years:!!Moved in 2023 or later</t>
  </si>
  <si>
    <t>B25128_034</t>
  </si>
  <si>
    <t>Estimate!!Total:!!Renter occupied:!!Householder 35 to 64 years:!!Moved in 2020 to 2022</t>
  </si>
  <si>
    <t>B25128_035</t>
  </si>
  <si>
    <t>Estimate!!Total:!!Renter occupied:!!Householder 35 to 64 years:!!Moved in 2010 to 2019</t>
  </si>
  <si>
    <t>B25128_036</t>
  </si>
  <si>
    <t>Estimate!!Total:!!Renter occupied:!!Householder 35 to 64 years:!!Moved in 2000 to 2009</t>
  </si>
  <si>
    <t>B25128_037</t>
  </si>
  <si>
    <t>Estimate!!Total:!!Renter occupied:!!Householder 35 to 64 years:!!Moved in 1990 to 1999</t>
  </si>
  <si>
    <t>B25128_038</t>
  </si>
  <si>
    <t>Estimate!!Total:!!Renter occupied:!!Householder 35 to 64 years:!!Moved in 1989 or earlier</t>
  </si>
  <si>
    <t>B25128_039</t>
  </si>
  <si>
    <t>B25128_040</t>
  </si>
  <si>
    <t>Estimate!!Total:!!Renter occupied:!!Householder 65 years and over:!!Moved in 2023 or later</t>
  </si>
  <si>
    <t>B25128_041</t>
  </si>
  <si>
    <t>Estimate!!Total:!!Renter occupied:!!Householder 65 years and over:!!Moved in 2020 to 2022</t>
  </si>
  <si>
    <t>B25128_042</t>
  </si>
  <si>
    <t>Estimate!!Total:!!Renter occupied:!!Householder 65 years and over:!!Moved in 2010 to 2019</t>
  </si>
  <si>
    <t>B25128_043</t>
  </si>
  <si>
    <t>Estimate!!Total:!!Renter occupied:!!Householder 65 years and over:!!Moved in 2000 to 2009</t>
  </si>
  <si>
    <t>B25128_044</t>
  </si>
  <si>
    <t>Estimate!!Total:!!Renter occupied:!!Householder 65 years and over:!!Moved in 1990 to 1999</t>
  </si>
  <si>
    <t>B25128_045</t>
  </si>
  <si>
    <t>Estimate!!Total:!!Renter occupied:!!Householder 65 years and over:!!Moved in 1989 or earlier</t>
  </si>
  <si>
    <t>B25129_002</t>
  </si>
  <si>
    <t>B25129_003</t>
  </si>
  <si>
    <t>Estimate!!Total:!!Owner occupied:!!Moved in 2020 or later:</t>
  </si>
  <si>
    <t>B25129_004</t>
  </si>
  <si>
    <t>Estimate!!Total:!!Owner occupied:!!Moved in 2020 or later:!!1, detached or attached</t>
  </si>
  <si>
    <t>B25129_005</t>
  </si>
  <si>
    <t>Estimate!!Total:!!Owner occupied:!!Moved in 2020 or later:!!2 to 4</t>
  </si>
  <si>
    <t>B25129_006</t>
  </si>
  <si>
    <t>Estimate!!Total:!!Owner occupied:!!Moved in 2020 or later:!!5 to 19</t>
  </si>
  <si>
    <t>B25129_007</t>
  </si>
  <si>
    <t>Estimate!!Total:!!Owner occupied:!!Moved in 2020 or later:!!20 to 49</t>
  </si>
  <si>
    <t>B25129_008</t>
  </si>
  <si>
    <t>Estimate!!Total:!!Owner occupied:!!Moved in 2020 or later:!!50 or more</t>
  </si>
  <si>
    <t>B25129_009</t>
  </si>
  <si>
    <t>Estimate!!Total:!!Owner occupied:!!Moved in 2020 or later:!!Mobile home, boat, RV, van, etc.</t>
  </si>
  <si>
    <t>B25129_010</t>
  </si>
  <si>
    <t>Estimate!!Total:!!Owner occupied:!!Moved in 2010 to 2019:</t>
  </si>
  <si>
    <t>B25129_011</t>
  </si>
  <si>
    <t>Estimate!!Total:!!Owner occupied:!!Moved in 2010 to 2019:!!1, detached or attached</t>
  </si>
  <si>
    <t>B25129_012</t>
  </si>
  <si>
    <t>Estimate!!Total:!!Owner occupied:!!Moved in 2010 to 2019:!!2 to 4</t>
  </si>
  <si>
    <t>B25129_013</t>
  </si>
  <si>
    <t>Estimate!!Total:!!Owner occupied:!!Moved in 2010 to 2019:!!5 to 19</t>
  </si>
  <si>
    <t>B25129_014</t>
  </si>
  <si>
    <t>Estimate!!Total:!!Owner occupied:!!Moved in 2010 to 2019:!!20 to 49</t>
  </si>
  <si>
    <t>B25129_015</t>
  </si>
  <si>
    <t>Estimate!!Total:!!Owner occupied:!!Moved in 2010 to 2019:!!50 or more</t>
  </si>
  <si>
    <t>B25129_016</t>
  </si>
  <si>
    <t>Estimate!!Total:!!Owner occupied:!!Moved in 2010 to 2019:!!Mobile home, boat, RV, van, etc.</t>
  </si>
  <si>
    <t>B25129_017</t>
  </si>
  <si>
    <t>Estimate!!Total:!!Owner occupied:!!Moved in 2000 to 2009:</t>
  </si>
  <si>
    <t>B25129_018</t>
  </si>
  <si>
    <t>Estimate!!Total:!!Owner occupied:!!Moved in 2000 to 2009:!!1, detached or attached</t>
  </si>
  <si>
    <t>B25129_019</t>
  </si>
  <si>
    <t>Estimate!!Total:!!Owner occupied:!!Moved in 2000 to 2009:!!2 to 4</t>
  </si>
  <si>
    <t>B25129_020</t>
  </si>
  <si>
    <t>Estimate!!Total:!!Owner occupied:!!Moved in 2000 to 2009:!!5 to 19</t>
  </si>
  <si>
    <t>B25129_021</t>
  </si>
  <si>
    <t>Estimate!!Total:!!Owner occupied:!!Moved in 2000 to 2009:!!20 to 49</t>
  </si>
  <si>
    <t>B25129_022</t>
  </si>
  <si>
    <t>Estimate!!Total:!!Owner occupied:!!Moved in 2000 to 2009:!!50 or more</t>
  </si>
  <si>
    <t>B25129_023</t>
  </si>
  <si>
    <t>Estimate!!Total:!!Owner occupied:!!Moved in 2000 to 2009:!!Mobile home, boat, RV, van, etc.</t>
  </si>
  <si>
    <t>B25129_024</t>
  </si>
  <si>
    <t>Estimate!!Total:!!Owner occupied:!!Moved in 1990 to 1999:</t>
  </si>
  <si>
    <t>B25129_025</t>
  </si>
  <si>
    <t>Estimate!!Total:!!Owner occupied:!!Moved in 1990 to 1999:!!1, detached or attached</t>
  </si>
  <si>
    <t>B25129_026</t>
  </si>
  <si>
    <t>Estimate!!Total:!!Owner occupied:!!Moved in 1990 to 1999:!!2 to 4</t>
  </si>
  <si>
    <t>B25129_027</t>
  </si>
  <si>
    <t>Estimate!!Total:!!Owner occupied:!!Moved in 1990 to 1999:!!5 to 19</t>
  </si>
  <si>
    <t>B25129_028</t>
  </si>
  <si>
    <t>Estimate!!Total:!!Owner occupied:!!Moved in 1990 to 1999:!!20 to 49</t>
  </si>
  <si>
    <t>B25129_029</t>
  </si>
  <si>
    <t>Estimate!!Total:!!Owner occupied:!!Moved in 1990 to 1999:!!50 or more</t>
  </si>
  <si>
    <t>B25129_030</t>
  </si>
  <si>
    <t>Estimate!!Total:!!Owner occupied:!!Moved in 1990 to 1999:!!Mobile home, boat, RV, van, etc.</t>
  </si>
  <si>
    <t>B25129_031</t>
  </si>
  <si>
    <t>Estimate!!Total:!!Owner occupied:!!Moved in 1989 or earlier:</t>
  </si>
  <si>
    <t>B25129_032</t>
  </si>
  <si>
    <t>Estimate!!Total:!!Owner occupied:!!Moved in 1989 or earlier:!!1, detached or attached</t>
  </si>
  <si>
    <t>B25129_033</t>
  </si>
  <si>
    <t>Estimate!!Total:!!Owner occupied:!!Moved in 1989 or earlier:!!2 to 4</t>
  </si>
  <si>
    <t>B25129_034</t>
  </si>
  <si>
    <t>Estimate!!Total:!!Owner occupied:!!Moved in 1989 or earlier:!!5 to 19</t>
  </si>
  <si>
    <t>B25129_035</t>
  </si>
  <si>
    <t>Estimate!!Total:!!Owner occupied:!!Moved in 1989 or earlier:!!20 to 49</t>
  </si>
  <si>
    <t>B25129_036</t>
  </si>
  <si>
    <t>Estimate!!Total:!!Owner occupied:!!Moved in 1989 or earlier:!!50 or more</t>
  </si>
  <si>
    <t>B25129_037</t>
  </si>
  <si>
    <t>Estimate!!Total:!!Owner occupied:!!Moved in 1989 or earlier:!!Mobile home, boat, RV, van, etc.</t>
  </si>
  <si>
    <t>B25129_038</t>
  </si>
  <si>
    <t>B25129_039</t>
  </si>
  <si>
    <t>Estimate!!Total:!!Renter occupied:!!Moved in 2020 or later:</t>
  </si>
  <si>
    <t>B25129_040</t>
  </si>
  <si>
    <t>Estimate!!Total:!!Renter occupied:!!Moved in 2020 or later:!!1, detached or attached</t>
  </si>
  <si>
    <t>B25129_041</t>
  </si>
  <si>
    <t>Estimate!!Total:!!Renter occupied:!!Moved in 2020 or later:!!2 to 4</t>
  </si>
  <si>
    <t>B25129_042</t>
  </si>
  <si>
    <t>Estimate!!Total:!!Renter occupied:!!Moved in 2020 or later:!!5 to 19</t>
  </si>
  <si>
    <t>B25129_043</t>
  </si>
  <si>
    <t>Estimate!!Total:!!Renter occupied:!!Moved in 2020 or later:!!20 to 49</t>
  </si>
  <si>
    <t>B25129_044</t>
  </si>
  <si>
    <t>Estimate!!Total:!!Renter occupied:!!Moved in 2020 or later:!!50 or more</t>
  </si>
  <si>
    <t>B25129_045</t>
  </si>
  <si>
    <t>Estimate!!Total:!!Renter occupied:!!Moved in 2020 or later:!!Mobile home, boat, RV, van, etc.</t>
  </si>
  <si>
    <t>B25129_046</t>
  </si>
  <si>
    <t>Estimate!!Total:!!Renter occupied:!!Moved in 2010 to 2019:</t>
  </si>
  <si>
    <t>B25129_047</t>
  </si>
  <si>
    <t>Estimate!!Total:!!Renter occupied:!!Moved in 2010 to 2019:!!1, detached or attached</t>
  </si>
  <si>
    <t>B25129_048</t>
  </si>
  <si>
    <t>Estimate!!Total:!!Renter occupied:!!Moved in 2010 to 2019:!!2 to 4</t>
  </si>
  <si>
    <t>B25129_049</t>
  </si>
  <si>
    <t>Estimate!!Total:!!Renter occupied:!!Moved in 2010 to 2019:!!5 to 19</t>
  </si>
  <si>
    <t>B25129_050</t>
  </si>
  <si>
    <t>Estimate!!Total:!!Renter occupied:!!Moved in 2010 to 2019:!!20 to 49</t>
  </si>
  <si>
    <t>B25129_051</t>
  </si>
  <si>
    <t>Estimate!!Total:!!Renter occupied:!!Moved in 2010 to 2019:!!50 or more</t>
  </si>
  <si>
    <t>B25129_052</t>
  </si>
  <si>
    <t>Estimate!!Total:!!Renter occupied:!!Moved in 2010 to 2019:!!Mobile home, boat, RV, van, etc.</t>
  </si>
  <si>
    <t>B25129_053</t>
  </si>
  <si>
    <t>Estimate!!Total:!!Renter occupied:!!Moved in 2000 to 2009:</t>
  </si>
  <si>
    <t>B25129_054</t>
  </si>
  <si>
    <t>Estimate!!Total:!!Renter occupied:!!Moved in 2000 to 2009:!!1, detached or attached</t>
  </si>
  <si>
    <t>B25129_055</t>
  </si>
  <si>
    <t>Estimate!!Total:!!Renter occupied:!!Moved in 2000 to 2009:!!2 to 4</t>
  </si>
  <si>
    <t>B25129_056</t>
  </si>
  <si>
    <t>Estimate!!Total:!!Renter occupied:!!Moved in 2000 to 2009:!!5 to 19</t>
  </si>
  <si>
    <t>B25129_057</t>
  </si>
  <si>
    <t>Estimate!!Total:!!Renter occupied:!!Moved in 2000 to 2009:!!20 to 49</t>
  </si>
  <si>
    <t>B25129_058</t>
  </si>
  <si>
    <t>Estimate!!Total:!!Renter occupied:!!Moved in 2000 to 2009:!!50 or more</t>
  </si>
  <si>
    <t>B25129_059</t>
  </si>
  <si>
    <t>Estimate!!Total:!!Renter occupied:!!Moved in 2000 to 2009:!!Mobile home, boat, RV, van, etc.</t>
  </si>
  <si>
    <t>B25129_060</t>
  </si>
  <si>
    <t>Estimate!!Total:!!Renter occupied:!!Moved in 1990 to 1999:</t>
  </si>
  <si>
    <t>B25129_061</t>
  </si>
  <si>
    <t>Estimate!!Total:!!Renter occupied:!!Moved in 1990 to 1999:!!1, detached or attached</t>
  </si>
  <si>
    <t>B25129_062</t>
  </si>
  <si>
    <t>Estimate!!Total:!!Renter occupied:!!Moved in 1990 to 1999:!!2 to 4</t>
  </si>
  <si>
    <t>B25129_063</t>
  </si>
  <si>
    <t>Estimate!!Total:!!Renter occupied:!!Moved in 1990 to 1999:!!5 to 19</t>
  </si>
  <si>
    <t>B25129_064</t>
  </si>
  <si>
    <t>Estimate!!Total:!!Renter occupied:!!Moved in 1990 to 1999:!!20 to 49</t>
  </si>
  <si>
    <t>B25129_065</t>
  </si>
  <si>
    <t>Estimate!!Total:!!Renter occupied:!!Moved in 1990 to 1999:!!50 or more</t>
  </si>
  <si>
    <t>B25129_066</t>
  </si>
  <si>
    <t>Estimate!!Total:!!Renter occupied:!!Moved in 1990 to 1999:!!Mobile home, boat, RV, van, etc.</t>
  </si>
  <si>
    <t>B25129_067</t>
  </si>
  <si>
    <t>Estimate!!Total:!!Renter occupied:!!Moved in 1989 or earlier:</t>
  </si>
  <si>
    <t>B25129_068</t>
  </si>
  <si>
    <t>Estimate!!Total:!!Renter occupied:!!Moved in 1989 or earlier:!!1, detached or attached</t>
  </si>
  <si>
    <t>B25129_069</t>
  </si>
  <si>
    <t>Estimate!!Total:!!Renter occupied:!!Moved in 1989 or earlier:!!2 to 4</t>
  </si>
  <si>
    <t>B25129_070</t>
  </si>
  <si>
    <t>Estimate!!Total:!!Renter occupied:!!Moved in 1989 or earlier:!!5 to 19</t>
  </si>
  <si>
    <t>B25129_071</t>
  </si>
  <si>
    <t>Estimate!!Total:!!Renter occupied:!!Moved in 1989 or earlier:!!20 to 49</t>
  </si>
  <si>
    <t>B25129_072</t>
  </si>
  <si>
    <t>Estimate!!Total:!!Renter occupied:!!Moved in 1989 or earlier:!!50 or more</t>
  </si>
  <si>
    <t>B25129_073</t>
  </si>
  <si>
    <t>Estimate!!Total:!!Renter occupied:!!Moved in 1989 or earlier:!!Mobile home, boat, RV, van, etc.</t>
  </si>
  <si>
    <t>B25132_002</t>
  </si>
  <si>
    <t>Estimate!!Total!!Not charged, not used, or payment included in other fees</t>
  </si>
  <si>
    <t>B25132_003</t>
  </si>
  <si>
    <t>Estimate!!Total!!Charged for electricity</t>
  </si>
  <si>
    <t>B25132_004</t>
  </si>
  <si>
    <t>Estimate!!Total!!Charged for electricity!!Less than $50</t>
  </si>
  <si>
    <t>B25132_005</t>
  </si>
  <si>
    <t>Estimate!!Total!!Charged for electricity!!$50 to $99</t>
  </si>
  <si>
    <t>B25132_006</t>
  </si>
  <si>
    <t>Estimate!!Total!!Charged for electricity!!$100 to $149</t>
  </si>
  <si>
    <t>B25132_007</t>
  </si>
  <si>
    <t>Estimate!!Total!!Charged for electricity!!$150 to $199</t>
  </si>
  <si>
    <t>B25132_008</t>
  </si>
  <si>
    <t>Estimate!!Total!!Charged for electricity!!$200 to $249</t>
  </si>
  <si>
    <t>B25132_009</t>
  </si>
  <si>
    <t>Estimate!!Total!!Charged for electricity!!$250 or more</t>
  </si>
  <si>
    <t>B25133_002</t>
  </si>
  <si>
    <t>B25133_003</t>
  </si>
  <si>
    <t>Estimate!!Total!!Charged for gas</t>
  </si>
  <si>
    <t>B25133_004</t>
  </si>
  <si>
    <t>Estimate!!Total!!Charged for gas!!Less than $25</t>
  </si>
  <si>
    <t>B25133_005</t>
  </si>
  <si>
    <t>Estimate!!Total!!Charged for gas!!$25 to $49</t>
  </si>
  <si>
    <t>B25133_006</t>
  </si>
  <si>
    <t>Estimate!!Total!!Charged for gas!!$50 to $74</t>
  </si>
  <si>
    <t>B25133_007</t>
  </si>
  <si>
    <t>Estimate!!Total!!Charged for gas!!$75 to $99</t>
  </si>
  <si>
    <t>B25133_008</t>
  </si>
  <si>
    <t>Estimate!!Total!!Charged for gas!!$100 to $149</t>
  </si>
  <si>
    <t>B25133_009</t>
  </si>
  <si>
    <t>Estimate!!Total!!Charged for gas!!$150 or more</t>
  </si>
  <si>
    <t>B25134_002</t>
  </si>
  <si>
    <t>Estimate!!Total!!Not charged or payment included in other fees</t>
  </si>
  <si>
    <t>B25134_003</t>
  </si>
  <si>
    <t>Estimate!!Total!!Charged for water and sewer</t>
  </si>
  <si>
    <t>B25134_004</t>
  </si>
  <si>
    <t>Estimate!!Total!!Charged for water and sewer!!Less than $125</t>
  </si>
  <si>
    <t>B25134_005</t>
  </si>
  <si>
    <t>Estimate!!Total!!Charged for water and sewer!!$125 to $249</t>
  </si>
  <si>
    <t>B25134_006</t>
  </si>
  <si>
    <t>Estimate!!Total!!Charged for water and sewer!!$250 to $499</t>
  </si>
  <si>
    <t>B25134_007</t>
  </si>
  <si>
    <t>Estimate!!Total!!Charged for water and sewer!!$500 to $749</t>
  </si>
  <si>
    <t>B25134_008</t>
  </si>
  <si>
    <t>Estimate!!Total!!Charged for water and sewer!!$750 to $999</t>
  </si>
  <si>
    <t>B25134_009</t>
  </si>
  <si>
    <t>Estimate!!Total!!Charged for water and sewer!!$1,000 or more</t>
  </si>
  <si>
    <t>B25135_002</t>
  </si>
  <si>
    <t>B25135_003</t>
  </si>
  <si>
    <t>Estimate!!Total!!Charged for other fuels</t>
  </si>
  <si>
    <t>B25135_004</t>
  </si>
  <si>
    <t>Estimate!!Total!!Charged for other fuels!!Less than $250</t>
  </si>
  <si>
    <t>B25135_005</t>
  </si>
  <si>
    <t>Estimate!!Total!!Charged for other fuels!!$250 to $749</t>
  </si>
  <si>
    <t>B25135_006</t>
  </si>
  <si>
    <t>Estimate!!Total!!Charged for other fuels!!$750 or more</t>
  </si>
  <si>
    <t>B25136_002</t>
  </si>
  <si>
    <t>Estimate!!Total Housing Units:!!Occupied Units</t>
  </si>
  <si>
    <t>B25136_003</t>
  </si>
  <si>
    <t>Estimate!!Total Housing Units:!!Occupied Units!!1-unit, detached</t>
  </si>
  <si>
    <t>B25136_004</t>
  </si>
  <si>
    <t>Estimate!!Total Housing Units:!!Occupied Units!!1-unit, attached</t>
  </si>
  <si>
    <t>B25136_005</t>
  </si>
  <si>
    <t>Estimate!!Total Housing Units:!!Occupied Units!!2-9 units</t>
  </si>
  <si>
    <t>B25136_006</t>
  </si>
  <si>
    <t>Estimate!!Total Housing Units:!!Occupied Units!!10 or more units</t>
  </si>
  <si>
    <t>B25136_007</t>
  </si>
  <si>
    <t>Estimate!!Total Housing Units:!!Occupied Units!!Mobile home, Boat, RV, Van, etc.</t>
  </si>
  <si>
    <t>B25136_008</t>
  </si>
  <si>
    <t>Estimate!!Total Housing Units:!!Vacant Units</t>
  </si>
  <si>
    <t>B25136_009</t>
  </si>
  <si>
    <t>Estimate!!Total Housing Units:!!Vacant Units!!1-unit, detached</t>
  </si>
  <si>
    <t>B25136_010</t>
  </si>
  <si>
    <t>Estimate!!Total Housing Units:!!Vacant Units!!1-unit, attached</t>
  </si>
  <si>
    <t>B25136_011</t>
  </si>
  <si>
    <t>Estimate!!Total Housing Units:!!Vacant Units!!2-9 units</t>
  </si>
  <si>
    <t>B25136_012</t>
  </si>
  <si>
    <t>Estimate!!Total Housing Units:!!Vacant Units!!10 or more units</t>
  </si>
  <si>
    <t>B25136_013</t>
  </si>
  <si>
    <t>Estimate!!Total Housing Units:!!Vacant Units!!Mobile home</t>
  </si>
  <si>
    <t>B25137_002</t>
  </si>
  <si>
    <t>B25137_003</t>
  </si>
  <si>
    <t>Estimate!!Total Housing Units:!!Occupied Units!!One or fewer bedrooms</t>
  </si>
  <si>
    <t>B25137_004</t>
  </si>
  <si>
    <t>Estimate!!Total Housing Units:!!Occupied Units!!Two bedrooms</t>
  </si>
  <si>
    <t>B25137_005</t>
  </si>
  <si>
    <t>Estimate!!Total Housing Units:!!Occupied Units!!Three or more bedrooms</t>
  </si>
  <si>
    <t>B25137_006</t>
  </si>
  <si>
    <t>B25137_007</t>
  </si>
  <si>
    <t>Estimate!!Total Housing Units:!!Vacant Units!!One or fewer bedrooms</t>
  </si>
  <si>
    <t>B25137_008</t>
  </si>
  <si>
    <t>Estimate!!Total Housing Units:!!Vacant Units!!Two bedrooms</t>
  </si>
  <si>
    <t>B25137_009</t>
  </si>
  <si>
    <t>Estimate!!Total Housing Units:!!Vacant Units!!Three or more bedrooms</t>
  </si>
  <si>
    <t>B25140A_002</t>
  </si>
  <si>
    <t>Estimate!!Total:!!Owned Units with a Mortgage</t>
  </si>
  <si>
    <t>B25140A_003</t>
  </si>
  <si>
    <t>Estimate!!Total:!!Owned Units with a Mortgage!!Over 30 Percent</t>
  </si>
  <si>
    <t>B25140A_004</t>
  </si>
  <si>
    <t>Estimate!!Total:!!Owned Units with a Mortgage!!Over 50 Percent</t>
  </si>
  <si>
    <t>B25140A_005</t>
  </si>
  <si>
    <t>Estimate!!Total:!!Owned Units with a Mortgage!!Not Calculated</t>
  </si>
  <si>
    <t>B25140A_006</t>
  </si>
  <si>
    <t>Estimate!!Total:!!Owned Units without a Mortgage</t>
  </si>
  <si>
    <t>B25140A_007</t>
  </si>
  <si>
    <t>Estimate!!Total:!!Owned Units without a Mortgage!!Over 30 Percent</t>
  </si>
  <si>
    <t>B25140A_008</t>
  </si>
  <si>
    <t>Estimate!!Total:!!Owned Units without a Mortgage!!Over 50 Percent</t>
  </si>
  <si>
    <t>B25140A_009</t>
  </si>
  <si>
    <t>Estimate!!Total:!!Owned Units without a Mortgage!!Not Calculated</t>
  </si>
  <si>
    <t>B25140A_010</t>
  </si>
  <si>
    <t>Estimate!!Total:!!Rented</t>
  </si>
  <si>
    <t>B25140A_011</t>
  </si>
  <si>
    <t>Estimate!!Total:!!Rented!!Over 30 Percent</t>
  </si>
  <si>
    <t>B25140A_012</t>
  </si>
  <si>
    <t>Estimate!!Total:!!Rented!!Over 50 Percent</t>
  </si>
  <si>
    <t>B25140A_013</t>
  </si>
  <si>
    <t>Estimate!!Total:!!Rented!!Not Calculated</t>
  </si>
  <si>
    <t>B25140B_002</t>
  </si>
  <si>
    <t>B25140B_003</t>
  </si>
  <si>
    <t>B25140B_004</t>
  </si>
  <si>
    <t>B25140B_005</t>
  </si>
  <si>
    <t>B25140B_006</t>
  </si>
  <si>
    <t>B25140B_007</t>
  </si>
  <si>
    <t>B25140B_008</t>
  </si>
  <si>
    <t>B25140B_009</t>
  </si>
  <si>
    <t>B25140B_010</t>
  </si>
  <si>
    <t>B25140B_011</t>
  </si>
  <si>
    <t>B25140B_012</t>
  </si>
  <si>
    <t>B25140B_013</t>
  </si>
  <si>
    <t>B25140C_002</t>
  </si>
  <si>
    <t>B25140C_003</t>
  </si>
  <si>
    <t>B25140C_004</t>
  </si>
  <si>
    <t>B25140C_005</t>
  </si>
  <si>
    <t>B25140C_006</t>
  </si>
  <si>
    <t>B25140C_007</t>
  </si>
  <si>
    <t>B25140C_008</t>
  </si>
  <si>
    <t>B25140C_009</t>
  </si>
  <si>
    <t>B25140C_010</t>
  </si>
  <si>
    <t>B25140C_011</t>
  </si>
  <si>
    <t>B25140C_012</t>
  </si>
  <si>
    <t>B25140C_013</t>
  </si>
  <si>
    <t>B25140D_002</t>
  </si>
  <si>
    <t>B25140D_003</t>
  </si>
  <si>
    <t>B25140D_004</t>
  </si>
  <si>
    <t>B25140D_005</t>
  </si>
  <si>
    <t>B25140D_006</t>
  </si>
  <si>
    <t>B25140D_007</t>
  </si>
  <si>
    <t>B25140D_008</t>
  </si>
  <si>
    <t>B25140D_009</t>
  </si>
  <si>
    <t>B25140D_010</t>
  </si>
  <si>
    <t>B25140D_011</t>
  </si>
  <si>
    <t>B25140D_012</t>
  </si>
  <si>
    <t>B25140D_013</t>
  </si>
  <si>
    <t>B25140E_002</t>
  </si>
  <si>
    <t>B25140E_003</t>
  </si>
  <si>
    <t>B25140E_004</t>
  </si>
  <si>
    <t>B25140E_005</t>
  </si>
  <si>
    <t>B25140E_006</t>
  </si>
  <si>
    <t>B25140E_007</t>
  </si>
  <si>
    <t>B25140E_008</t>
  </si>
  <si>
    <t>B25140E_009</t>
  </si>
  <si>
    <t>B25140E_010</t>
  </si>
  <si>
    <t>B25140E_011</t>
  </si>
  <si>
    <t>B25140E_012</t>
  </si>
  <si>
    <t>B25140E_013</t>
  </si>
  <si>
    <t>B25140F_002</t>
  </si>
  <si>
    <t>B25140F_003</t>
  </si>
  <si>
    <t>B25140F_004</t>
  </si>
  <si>
    <t>B25140F_005</t>
  </si>
  <si>
    <t>B25140F_006</t>
  </si>
  <si>
    <t>B25140F_007</t>
  </si>
  <si>
    <t>B25140F_008</t>
  </si>
  <si>
    <t>B25140F_009</t>
  </si>
  <si>
    <t>B25140F_010</t>
  </si>
  <si>
    <t>B25140F_011</t>
  </si>
  <si>
    <t>B25140F_012</t>
  </si>
  <si>
    <t>B25140F_013</t>
  </si>
  <si>
    <t>B25140G_002</t>
  </si>
  <si>
    <t>B25140G_003</t>
  </si>
  <si>
    <t>B25140G_004</t>
  </si>
  <si>
    <t>B25140G_005</t>
  </si>
  <si>
    <t>B25140G_006</t>
  </si>
  <si>
    <t>B25140G_007</t>
  </si>
  <si>
    <t>B25140G_008</t>
  </si>
  <si>
    <t>B25140G_009</t>
  </si>
  <si>
    <t>B25140G_010</t>
  </si>
  <si>
    <t>B25140G_011</t>
  </si>
  <si>
    <t>B25140G_012</t>
  </si>
  <si>
    <t>B25140G_013</t>
  </si>
  <si>
    <t>B25140H_002</t>
  </si>
  <si>
    <t>B25140H_003</t>
  </si>
  <si>
    <t>B25140H_004</t>
  </si>
  <si>
    <t>B25140H_005</t>
  </si>
  <si>
    <t>B25140H_006</t>
  </si>
  <si>
    <t>B25140H_007</t>
  </si>
  <si>
    <t>B25140H_008</t>
  </si>
  <si>
    <t>B25140H_009</t>
  </si>
  <si>
    <t>B25140H_010</t>
  </si>
  <si>
    <t>B25140H_011</t>
  </si>
  <si>
    <t>B25140H_012</t>
  </si>
  <si>
    <t>B25140H_013</t>
  </si>
  <si>
    <t>B25140I_002</t>
  </si>
  <si>
    <t>B25140I_003</t>
  </si>
  <si>
    <t>B25140I_004</t>
  </si>
  <si>
    <t>B25140I_005</t>
  </si>
  <si>
    <t>B25140I_006</t>
  </si>
  <si>
    <t>B25140I_007</t>
  </si>
  <si>
    <t>B25140I_008</t>
  </si>
  <si>
    <t>B25140I_009</t>
  </si>
  <si>
    <t>B25140I_010</t>
  </si>
  <si>
    <t>B25140I_011</t>
  </si>
  <si>
    <t>B25140I_012</t>
  </si>
  <si>
    <t>B25140I_013</t>
  </si>
  <si>
    <t>B25140_002</t>
  </si>
  <si>
    <t>B25140_003</t>
  </si>
  <si>
    <t>B25140_004</t>
  </si>
  <si>
    <t>B25140_005</t>
  </si>
  <si>
    <t>B25140_006</t>
  </si>
  <si>
    <t>B25140_007</t>
  </si>
  <si>
    <t>B25140_008</t>
  </si>
  <si>
    <t>B25140_009</t>
  </si>
  <si>
    <t>B25140_010</t>
  </si>
  <si>
    <t>B25140_011</t>
  </si>
  <si>
    <t>B25140_012</t>
  </si>
  <si>
    <t>B25140_013</t>
  </si>
  <si>
    <t>B25141_002</t>
  </si>
  <si>
    <t>B25141_003</t>
  </si>
  <si>
    <t>Estimate!!Total:!!With a mortgage:!!Less than $100</t>
  </si>
  <si>
    <t>B25141_004</t>
  </si>
  <si>
    <t>Estimate!!Total:!!With a mortgage:!!$100 to $299</t>
  </si>
  <si>
    <t>B25141_005</t>
  </si>
  <si>
    <t>Estimate!!Total:!!With a mortgage:!!$300 to $499</t>
  </si>
  <si>
    <t>B25141_006</t>
  </si>
  <si>
    <t>Estimate!!Total:!!With a mortgage:!!$500 to $799</t>
  </si>
  <si>
    <t>B25141_007</t>
  </si>
  <si>
    <t>Estimate!!Total:!!With a mortgage:!!$800 to $999</t>
  </si>
  <si>
    <t>B25141_008</t>
  </si>
  <si>
    <t>Estimate!!Total:!!With a mortgage:!!$1000 to $1499</t>
  </si>
  <si>
    <t>B25141_009</t>
  </si>
  <si>
    <t>Estimate!!Total:!!With a mortgage:!!$1500 to $1999</t>
  </si>
  <si>
    <t>B25141_010</t>
  </si>
  <si>
    <t>Estimate!!Total:!!With a mortgage:!!$2000 to $2499</t>
  </si>
  <si>
    <t>B25141_011</t>
  </si>
  <si>
    <t>Estimate!!Total:!!With a mortgage:!!$2500 to $2999</t>
  </si>
  <si>
    <t>B25141_012</t>
  </si>
  <si>
    <t>Estimate!!Total:!!With a mortgage:!!$3000 to $3499</t>
  </si>
  <si>
    <t>B25141_013</t>
  </si>
  <si>
    <t>Estimate!!Total:!!With a mortgage:!!$3500 to $3999</t>
  </si>
  <si>
    <t>B25141_014</t>
  </si>
  <si>
    <t>Estimate!!Total:!!With a mortgage:!!$4000 or more</t>
  </si>
  <si>
    <t>B25141_015</t>
  </si>
  <si>
    <t>B25141_016</t>
  </si>
  <si>
    <t>Estimate!!Total:!!Not mortgaged:!!Less than $100</t>
  </si>
  <si>
    <t>B25141_017</t>
  </si>
  <si>
    <t>Estimate!!Total:!!Not mortgaged:!!$100 to $299</t>
  </si>
  <si>
    <t>B25141_018</t>
  </si>
  <si>
    <t>Estimate!!Total:!!Not mortgaged:!!$300 to $499</t>
  </si>
  <si>
    <t>B25141_019</t>
  </si>
  <si>
    <t>Estimate!!Total:!!Not mortgaged:!!$500 to $799</t>
  </si>
  <si>
    <t>B25141_020</t>
  </si>
  <si>
    <t>Estimate!!Total:!!Not mortgaged:!!$800 to $999</t>
  </si>
  <si>
    <t>B25141_021</t>
  </si>
  <si>
    <t>Estimate!!Total:!!Not mortgaged:!!$1000 to $1499</t>
  </si>
  <si>
    <t>B25141_022</t>
  </si>
  <si>
    <t>Estimate!!Total:!!Not mortgaged:!!$1500 to $1999</t>
  </si>
  <si>
    <t>B25141_023</t>
  </si>
  <si>
    <t>Estimate!!Total:!!Not mortgaged:!!$2000 to $2499</t>
  </si>
  <si>
    <t>B25141_024</t>
  </si>
  <si>
    <t>Estimate!!Total:!!Not mortgaged:!!$2500 to $2999</t>
  </si>
  <si>
    <t>B25141_025</t>
  </si>
  <si>
    <t>Estimate!!Total:!!Not mortgaged:!!$3000 to $3499</t>
  </si>
  <si>
    <t>B25141_026</t>
  </si>
  <si>
    <t>Estimate!!Total:!!Not mortgaged:!!$3500 to $3999</t>
  </si>
  <si>
    <t>B25141_027</t>
  </si>
  <si>
    <t>Estimate!!Total:!!Not mortgaged:!!$4000 or more</t>
  </si>
  <si>
    <t>B26101_002</t>
  </si>
  <si>
    <t>Estimate!!Total:!!Under 15 years</t>
  </si>
  <si>
    <t>B26101_003</t>
  </si>
  <si>
    <t>Estimate!!Total:!!15 to 17 years</t>
  </si>
  <si>
    <t>B26101_004</t>
  </si>
  <si>
    <t>B26101_005</t>
  </si>
  <si>
    <t>B26101_006</t>
  </si>
  <si>
    <t>B26101_007</t>
  </si>
  <si>
    <t>B26101_008</t>
  </si>
  <si>
    <t>Estimate!!Total:!!55 to 64 years</t>
  </si>
  <si>
    <t>B26101_009</t>
  </si>
  <si>
    <t>B26101_010</t>
  </si>
  <si>
    <t>Estimate!!Total:!!75 to 84 years</t>
  </si>
  <si>
    <t>B26101_011</t>
  </si>
  <si>
    <t>Estimate!!Total:!!85 years and over</t>
  </si>
  <si>
    <t>B26101_012</t>
  </si>
  <si>
    <t>B26101_013</t>
  </si>
  <si>
    <t>Estimate!!Total:!!Male:!!Under 15 years</t>
  </si>
  <si>
    <t>B26101_014</t>
  </si>
  <si>
    <t>B26101_015</t>
  </si>
  <si>
    <t>Estimate!!Total:!!Male:!!18 to 24 years</t>
  </si>
  <si>
    <t>B26101_016</t>
  </si>
  <si>
    <t>Estimate!!Total:!!Male:!!25 to 34 years</t>
  </si>
  <si>
    <t>B26101_017</t>
  </si>
  <si>
    <t>B26101_018</t>
  </si>
  <si>
    <t>B26101_019</t>
  </si>
  <si>
    <t>B26101_020</t>
  </si>
  <si>
    <t>B26101_021</t>
  </si>
  <si>
    <t>B26101_022</t>
  </si>
  <si>
    <t>B26101_023</t>
  </si>
  <si>
    <t>B26101_024</t>
  </si>
  <si>
    <t>Estimate!!Total:!!Female:!!Under 15 years</t>
  </si>
  <si>
    <t>B26101_025</t>
  </si>
  <si>
    <t>B26101_026</t>
  </si>
  <si>
    <t>Estimate!!Total:!!Female:!!18 to 24 years</t>
  </si>
  <si>
    <t>B26101_027</t>
  </si>
  <si>
    <t>Estimate!!Total:!!Female:!!25 to 34 years</t>
  </si>
  <si>
    <t>B26101_028</t>
  </si>
  <si>
    <t>B26101_029</t>
  </si>
  <si>
    <t>B26101_030</t>
  </si>
  <si>
    <t>B26101_031</t>
  </si>
  <si>
    <t>B26101_032</t>
  </si>
  <si>
    <t>B26101_033</t>
  </si>
  <si>
    <t>B26101_034</t>
  </si>
  <si>
    <t>Estimate!!Total:!!Group quarters population:</t>
  </si>
  <si>
    <t>B26101_035</t>
  </si>
  <si>
    <t>Estimate!!Total:!!Group quarters population:!!Under 15 years</t>
  </si>
  <si>
    <t>B26101_036</t>
  </si>
  <si>
    <t>Estimate!!Total:!!Group quarters population:!!15 to 17 years</t>
  </si>
  <si>
    <t>B26101_037</t>
  </si>
  <si>
    <t>Estimate!!Total:!!Group quarters population:!!18 to 24 years</t>
  </si>
  <si>
    <t>B26101_038</t>
  </si>
  <si>
    <t>Estimate!!Total:!!Group quarters population:!!25 to 34 years</t>
  </si>
  <si>
    <t>B26101_039</t>
  </si>
  <si>
    <t>Estimate!!Total:!!Group quarters population:!!35 to 44 years</t>
  </si>
  <si>
    <t>B26101_040</t>
  </si>
  <si>
    <t>Estimate!!Total:!!Group quarters population:!!45 to 54 years</t>
  </si>
  <si>
    <t>B26101_041</t>
  </si>
  <si>
    <t>Estimate!!Total:!!Group quarters population:!!55 to 64 years</t>
  </si>
  <si>
    <t>B26101_042</t>
  </si>
  <si>
    <t>Estimate!!Total:!!Group quarters population:!!65 to 74 years</t>
  </si>
  <si>
    <t>B26101_043</t>
  </si>
  <si>
    <t>Estimate!!Total:!!Group quarters population:!!75 to 84 years</t>
  </si>
  <si>
    <t>B26101_044</t>
  </si>
  <si>
    <t>Estimate!!Total:!!Group quarters population:!!85 years and over</t>
  </si>
  <si>
    <t>B26101_045</t>
  </si>
  <si>
    <t>Estimate!!Total:!!Group quarters population:!!Male:</t>
  </si>
  <si>
    <t>B26101_046</t>
  </si>
  <si>
    <t>Estimate!!Total:!!Group quarters population:!!Male:!!Under 15 years</t>
  </si>
  <si>
    <t>B26101_047</t>
  </si>
  <si>
    <t>Estimate!!Total:!!Group quarters population:!!Male:!!15 to 17 years</t>
  </si>
  <si>
    <t>B26101_048</t>
  </si>
  <si>
    <t>Estimate!!Total:!!Group quarters population:!!Male:!!18 to 24 years</t>
  </si>
  <si>
    <t>B26101_049</t>
  </si>
  <si>
    <t>Estimate!!Total:!!Group quarters population:!!Male:!!25 to 34 years</t>
  </si>
  <si>
    <t>B26101_050</t>
  </si>
  <si>
    <t>Estimate!!Total:!!Group quarters population:!!Male:!!35 to 44 years</t>
  </si>
  <si>
    <t>B26101_051</t>
  </si>
  <si>
    <t>Estimate!!Total:!!Group quarters population:!!Male:!!45 to 54 years</t>
  </si>
  <si>
    <t>B26101_052</t>
  </si>
  <si>
    <t>Estimate!!Total:!!Group quarters population:!!Male:!!55 to 64 years</t>
  </si>
  <si>
    <t>B26101_053</t>
  </si>
  <si>
    <t>Estimate!!Total:!!Group quarters population:!!Male:!!65 to 74 years</t>
  </si>
  <si>
    <t>B26101_054</t>
  </si>
  <si>
    <t>Estimate!!Total:!!Group quarters population:!!Male:!!75 to 84 years</t>
  </si>
  <si>
    <t>B26101_055</t>
  </si>
  <si>
    <t>Estimate!!Total:!!Group quarters population:!!Male:!!85 years and over</t>
  </si>
  <si>
    <t>B26101_056</t>
  </si>
  <si>
    <t>Estimate!!Total:!!Group quarters population:!!Female:</t>
  </si>
  <si>
    <t>B26101_057</t>
  </si>
  <si>
    <t>Estimate!!Total:!!Group quarters population:!!Female:!!Under 15 years</t>
  </si>
  <si>
    <t>B26101_058</t>
  </si>
  <si>
    <t>Estimate!!Total:!!Group quarters population:!!Female:!!15 to 17 years</t>
  </si>
  <si>
    <t>B26101_059</t>
  </si>
  <si>
    <t>Estimate!!Total:!!Group quarters population:!!Female:!!18 to 24 years</t>
  </si>
  <si>
    <t>B26101_060</t>
  </si>
  <si>
    <t>Estimate!!Total:!!Group quarters population:!!Female:!!25 to 34 years</t>
  </si>
  <si>
    <t>B26101_061</t>
  </si>
  <si>
    <t>Estimate!!Total:!!Group quarters population:!!Female:!!35 to 44 years</t>
  </si>
  <si>
    <t>B26101_062</t>
  </si>
  <si>
    <t>Estimate!!Total:!!Group quarters population:!!Female:!!45 to 54 years</t>
  </si>
  <si>
    <t>B26101_063</t>
  </si>
  <si>
    <t>Estimate!!Total:!!Group quarters population:!!Female:!!55 to 64 years</t>
  </si>
  <si>
    <t>B26101_064</t>
  </si>
  <si>
    <t>Estimate!!Total:!!Group quarters population:!!Female:!!65 to 74 years</t>
  </si>
  <si>
    <t>B26101_065</t>
  </si>
  <si>
    <t>Estimate!!Total:!!Group quarters population:!!Female:!!75 to 84 years</t>
  </si>
  <si>
    <t>B26101_066</t>
  </si>
  <si>
    <t>Estimate!!Total:!!Group quarters population:!!Female:!!85 years and over</t>
  </si>
  <si>
    <t>B26101_067</t>
  </si>
  <si>
    <t>Estimate!!Total:!!Group quarters population:!!Institutionalized group quarters population:</t>
  </si>
  <si>
    <t>B26101_068</t>
  </si>
  <si>
    <t>Estimate!!Total:!!Group quarters population:!!Institutionalized group quarters population:!!Under 15 years</t>
  </si>
  <si>
    <t>B26101_069</t>
  </si>
  <si>
    <t>Estimate!!Total:!!Group quarters population:!!Institutionalized group quarters population:!!15 to 17 years</t>
  </si>
  <si>
    <t>B26101_070</t>
  </si>
  <si>
    <t>Estimate!!Total:!!Group quarters population:!!Institutionalized group quarters population:!!18 to 24 years</t>
  </si>
  <si>
    <t>B26101_071</t>
  </si>
  <si>
    <t>Estimate!!Total:!!Group quarters population:!!Institutionalized group quarters population:!!25 to 34 years</t>
  </si>
  <si>
    <t>B26101_072</t>
  </si>
  <si>
    <t>Estimate!!Total:!!Group quarters population:!!Institutionalized group quarters population:!!35 to 44 years</t>
  </si>
  <si>
    <t>B26101_073</t>
  </si>
  <si>
    <t>Estimate!!Total:!!Group quarters population:!!Institutionalized group quarters population:!!45 to 54 years</t>
  </si>
  <si>
    <t>B26101_074</t>
  </si>
  <si>
    <t>Estimate!!Total:!!Group quarters population:!!Institutionalized group quarters population:!!55 to 64 years</t>
  </si>
  <si>
    <t>B26101_075</t>
  </si>
  <si>
    <t>Estimate!!Total:!!Group quarters population:!!Institutionalized group quarters population:!!65 to 74 years</t>
  </si>
  <si>
    <t>B26101_076</t>
  </si>
  <si>
    <t>Estimate!!Total:!!Group quarters population:!!Institutionalized group quarters population:!!75 to 84 years</t>
  </si>
  <si>
    <t>B26101_077</t>
  </si>
  <si>
    <t>Estimate!!Total:!!Group quarters population:!!Institutionalized group quarters population:!!85 years and over</t>
  </si>
  <si>
    <t>B26101_078</t>
  </si>
  <si>
    <t>Estimate!!Total:!!Group quarters population:!!Institutionalized group quarters population:!!Male:</t>
  </si>
  <si>
    <t>B26101_079</t>
  </si>
  <si>
    <t>Estimate!!Total:!!Group quarters population:!!Institutionalized group quarters population:!!Male:!!Under 15 years</t>
  </si>
  <si>
    <t>B26101_080</t>
  </si>
  <si>
    <t>Estimate!!Total:!!Group quarters population:!!Institutionalized group quarters population:!!Male:!!15 to 17 years</t>
  </si>
  <si>
    <t>B26101_081</t>
  </si>
  <si>
    <t>Estimate!!Total:!!Group quarters population:!!Institutionalized group quarters population:!!Male:!!18 to 24 years</t>
  </si>
  <si>
    <t>B26101_082</t>
  </si>
  <si>
    <t>Estimate!!Total:!!Group quarters population:!!Institutionalized group quarters population:!!Male:!!25 to 34 years</t>
  </si>
  <si>
    <t>B26101_083</t>
  </si>
  <si>
    <t>Estimate!!Total:!!Group quarters population:!!Institutionalized group quarters population:!!Male:!!35 to 44 years</t>
  </si>
  <si>
    <t>B26101_084</t>
  </si>
  <si>
    <t>Estimate!!Total:!!Group quarters population:!!Institutionalized group quarters population:!!Male:!!45 to 54 years</t>
  </si>
  <si>
    <t>B26101_085</t>
  </si>
  <si>
    <t>Estimate!!Total:!!Group quarters population:!!Institutionalized group quarters population:!!Male:!!55 to 64 years</t>
  </si>
  <si>
    <t>B26101_086</t>
  </si>
  <si>
    <t>Estimate!!Total:!!Group quarters population:!!Institutionalized group quarters population:!!Male:!!65 to 74 years</t>
  </si>
  <si>
    <t>B26101_087</t>
  </si>
  <si>
    <t>Estimate!!Total:!!Group quarters population:!!Institutionalized group quarters population:!!Male:!!75 to 84 years</t>
  </si>
  <si>
    <t>B26101_088</t>
  </si>
  <si>
    <t>Estimate!!Total:!!Group quarters population:!!Institutionalized group quarters population:!!Male:!!85 years and over</t>
  </si>
  <si>
    <t>B26101_089</t>
  </si>
  <si>
    <t>Estimate!!Total:!!Group quarters population:!!Institutionalized group quarters population:!!Female:</t>
  </si>
  <si>
    <t>B26101_090</t>
  </si>
  <si>
    <t>Estimate!!Total:!!Group quarters population:!!Institutionalized group quarters population:!!Female:!!Under 15 years</t>
  </si>
  <si>
    <t>B26101_091</t>
  </si>
  <si>
    <t>Estimate!!Total:!!Group quarters population:!!Institutionalized group quarters population:!!Female:!!15 to 17 years</t>
  </si>
  <si>
    <t>B26101_092</t>
  </si>
  <si>
    <t>Estimate!!Total:!!Group quarters population:!!Institutionalized group quarters population:!!Female:!!18 to 24 years</t>
  </si>
  <si>
    <t>B26101_093</t>
  </si>
  <si>
    <t>Estimate!!Total:!!Group quarters population:!!Institutionalized group quarters population:!!Female:!!25 to 34 years</t>
  </si>
  <si>
    <t>B26101_094</t>
  </si>
  <si>
    <t>Estimate!!Total:!!Group quarters population:!!Institutionalized group quarters population:!!Female:!!35 to 44 years</t>
  </si>
  <si>
    <t>B26101_095</t>
  </si>
  <si>
    <t>Estimate!!Total:!!Group quarters population:!!Institutionalized group quarters population:!!Female:!!45 to 54 years</t>
  </si>
  <si>
    <t>B26101_096</t>
  </si>
  <si>
    <t>Estimate!!Total:!!Group quarters population:!!Institutionalized group quarters population:!!Female:!!55 to 64 years</t>
  </si>
  <si>
    <t>B26101_097</t>
  </si>
  <si>
    <t>Estimate!!Total:!!Group quarters population:!!Institutionalized group quarters population:!!Female:!!65 to 74 years</t>
  </si>
  <si>
    <t>B26101_098</t>
  </si>
  <si>
    <t>Estimate!!Total:!!Group quarters population:!!Institutionalized group quarters population:!!Female:!!75 to 84 years</t>
  </si>
  <si>
    <t>B26101_099</t>
  </si>
  <si>
    <t>Estimate!!Total:!!Group quarters population:!!Institutionalized group quarters population:!!Female:!!85 years and over</t>
  </si>
  <si>
    <t>B26101_100</t>
  </si>
  <si>
    <t>Estimate!!Total:!!Group quarters population:!!Institutionalized group quarters population:!!Adult correctional facilities:</t>
  </si>
  <si>
    <t>B26101_101</t>
  </si>
  <si>
    <t>Estimate!!Total:!!Group quarters population:!!Institutionalized group quarters population:!!Adult correctional facilities:!!15 to 17 years</t>
  </si>
  <si>
    <t>B26101_102</t>
  </si>
  <si>
    <t>Estimate!!Total:!!Group quarters population:!!Institutionalized group quarters population:!!Adult correctional facilities:!!18 to 24 years</t>
  </si>
  <si>
    <t>B26101_103</t>
  </si>
  <si>
    <t>Estimate!!Total:!!Group quarters population:!!Institutionalized group quarters population:!!Adult correctional facilities:!!25 to 34 years</t>
  </si>
  <si>
    <t>B26101_104</t>
  </si>
  <si>
    <t>Estimate!!Total:!!Group quarters population:!!Institutionalized group quarters population:!!Adult correctional facilities:!!35 to 44 years</t>
  </si>
  <si>
    <t>B26101_105</t>
  </si>
  <si>
    <t>Estimate!!Total:!!Group quarters population:!!Institutionalized group quarters population:!!Adult correctional facilities:!!45 to 54 years</t>
  </si>
  <si>
    <t>B26101_106</t>
  </si>
  <si>
    <t>Estimate!!Total:!!Group quarters population:!!Institutionalized group quarters population:!!Adult correctional facilities:!!55 to 64 years</t>
  </si>
  <si>
    <t>B26101_107</t>
  </si>
  <si>
    <t>Estimate!!Total:!!Group quarters population:!!Institutionalized group quarters population:!!Adult correctional facilities:!!65 to 74 years</t>
  </si>
  <si>
    <t>B26101_108</t>
  </si>
  <si>
    <t>Estimate!!Total:!!Group quarters population:!!Institutionalized group quarters population:!!Adult correctional facilities:!!75 to 84 years</t>
  </si>
  <si>
    <t>B26101_109</t>
  </si>
  <si>
    <t>Estimate!!Total:!!Group quarters population:!!Institutionalized group quarters population:!!Adult correctional facilities:!!85 years and over</t>
  </si>
  <si>
    <t>B26101_110</t>
  </si>
  <si>
    <t>Estimate!!Total:!!Group quarters population:!!Institutionalized group quarters population:!!Adult correctional facilities:!!Male:</t>
  </si>
  <si>
    <t>B26101_111</t>
  </si>
  <si>
    <t>Estimate!!Total:!!Group quarters population:!!Institutionalized group quarters population:!!Adult correctional facilities:!!Male:!!15 to 17 years</t>
  </si>
  <si>
    <t>B26101_112</t>
  </si>
  <si>
    <t>Estimate!!Total:!!Group quarters population:!!Institutionalized group quarters population:!!Adult correctional facilities:!!Male:!!18 to 24 years</t>
  </si>
  <si>
    <t>B26101_113</t>
  </si>
  <si>
    <t>Estimate!!Total:!!Group quarters population:!!Institutionalized group quarters population:!!Adult correctional facilities:!!Male:!!25 to 34 years</t>
  </si>
  <si>
    <t>B26101_114</t>
  </si>
  <si>
    <t>Estimate!!Total:!!Group quarters population:!!Institutionalized group quarters population:!!Adult correctional facilities:!!Male:!!35 to 44 years</t>
  </si>
  <si>
    <t>B26101_115</t>
  </si>
  <si>
    <t>Estimate!!Total:!!Group quarters population:!!Institutionalized group quarters population:!!Adult correctional facilities:!!Male:!!45 to 54 years</t>
  </si>
  <si>
    <t>B26101_116</t>
  </si>
  <si>
    <t>Estimate!!Total:!!Group quarters population:!!Institutionalized group quarters population:!!Adult correctional facilities:!!Male:!!55 to 64 years</t>
  </si>
  <si>
    <t>B26101_117</t>
  </si>
  <si>
    <t>Estimate!!Total:!!Group quarters population:!!Institutionalized group quarters population:!!Adult correctional facilities:!!Male:!!65 to 74 years</t>
  </si>
  <si>
    <t>B26101_118</t>
  </si>
  <si>
    <t>Estimate!!Total:!!Group quarters population:!!Institutionalized group quarters population:!!Adult correctional facilities:!!Male:!!75 to 84 years</t>
  </si>
  <si>
    <t>B26101_119</t>
  </si>
  <si>
    <t>Estimate!!Total:!!Group quarters population:!!Institutionalized group quarters population:!!Adult correctional facilities:!!Male:!!85 years and over</t>
  </si>
  <si>
    <t>B26101_120</t>
  </si>
  <si>
    <t>Estimate!!Total:!!Group quarters population:!!Institutionalized group quarters population:!!Adult correctional facilities:!!Female:</t>
  </si>
  <si>
    <t>B26101_121</t>
  </si>
  <si>
    <t>Estimate!!Total:!!Group quarters population:!!Institutionalized group quarters population:!!Adult correctional facilities:!!Female:!!15 to 17 years</t>
  </si>
  <si>
    <t>B26101_122</t>
  </si>
  <si>
    <t>Estimate!!Total:!!Group quarters population:!!Institutionalized group quarters population:!!Adult correctional facilities:!!Female:!!18 to 24 years</t>
  </si>
  <si>
    <t>B26101_123</t>
  </si>
  <si>
    <t>Estimate!!Total:!!Group quarters population:!!Institutionalized group quarters population:!!Adult correctional facilities:!!Female:!!25 to 34 years</t>
  </si>
  <si>
    <t>B26101_124</t>
  </si>
  <si>
    <t>Estimate!!Total:!!Group quarters population:!!Institutionalized group quarters population:!!Adult correctional facilities:!!Female:!!35 to 44 years</t>
  </si>
  <si>
    <t>B26101_125</t>
  </si>
  <si>
    <t>Estimate!!Total:!!Group quarters population:!!Institutionalized group quarters population:!!Adult correctional facilities:!!Female:!!45 to 54 years</t>
  </si>
  <si>
    <t>B26101_126</t>
  </si>
  <si>
    <t>Estimate!!Total:!!Group quarters population:!!Institutionalized group quarters population:!!Adult correctional facilities:!!Female:!!55 to 64 years</t>
  </si>
  <si>
    <t>B26101_127</t>
  </si>
  <si>
    <t>Estimate!!Total:!!Group quarters population:!!Institutionalized group quarters population:!!Adult correctional facilities:!!Female:!!65 to 74 years</t>
  </si>
  <si>
    <t>B26101_128</t>
  </si>
  <si>
    <t>Estimate!!Total:!!Group quarters population:!!Institutionalized group quarters population:!!Adult correctional facilities:!!Female:!!75 to 84 years</t>
  </si>
  <si>
    <t>B26101_129</t>
  </si>
  <si>
    <t>Estimate!!Total:!!Group quarters population:!!Institutionalized group quarters population:!!Adult correctional facilities:!!Female:!!85 years and over</t>
  </si>
  <si>
    <t>B26101_130</t>
  </si>
  <si>
    <t>Estimate!!Total:!!Group quarters population:!!Institutionalized group quarters population:!!Nursing facilities/skilled nursing facilities:</t>
  </si>
  <si>
    <t>B26101_131</t>
  </si>
  <si>
    <t>Estimate!!Total:!!Group quarters population:!!Institutionalized group quarters population:!!Nursing facilities/skilled nursing facilities:!!18 to 24 years</t>
  </si>
  <si>
    <t>B26101_132</t>
  </si>
  <si>
    <t>Estimate!!Total:!!Group quarters population:!!Institutionalized group quarters population:!!Nursing facilities/skilled nursing facilities:!!25 to 34 years</t>
  </si>
  <si>
    <t>B26101_133</t>
  </si>
  <si>
    <t>Estimate!!Total:!!Group quarters population:!!Institutionalized group quarters population:!!Nursing facilities/skilled nursing facilities:!!35 to 44 years</t>
  </si>
  <si>
    <t>B26101_134</t>
  </si>
  <si>
    <t>Estimate!!Total:!!Group quarters population:!!Institutionalized group quarters population:!!Nursing facilities/skilled nursing facilities:!!45 to 54 years</t>
  </si>
  <si>
    <t>B26101_135</t>
  </si>
  <si>
    <t>Estimate!!Total:!!Group quarters population:!!Institutionalized group quarters population:!!Nursing facilities/skilled nursing facilities:!!55 to 64 years</t>
  </si>
  <si>
    <t>B26101_136</t>
  </si>
  <si>
    <t>Estimate!!Total:!!Group quarters population:!!Institutionalized group quarters population:!!Nursing facilities/skilled nursing facilities:!!65 to 74 years</t>
  </si>
  <si>
    <t>B26101_137</t>
  </si>
  <si>
    <t>Estimate!!Total:!!Group quarters population:!!Institutionalized group quarters population:!!Nursing facilities/skilled nursing facilities:!!75 to 84 years</t>
  </si>
  <si>
    <t>B26101_138</t>
  </si>
  <si>
    <t>Estimate!!Total:!!Group quarters population:!!Institutionalized group quarters population:!!Nursing facilities/skilled nursing facilities:!!85 years and over</t>
  </si>
  <si>
    <t>B26101_139</t>
  </si>
  <si>
    <t>Estimate!!Total:!!Group quarters population:!!Institutionalized group quarters population:!!Nursing facilities/skilled nursing facilities:!!Male:</t>
  </si>
  <si>
    <t>B26101_140</t>
  </si>
  <si>
    <t>Estimate!!Total:!!Group quarters population:!!Institutionalized group quarters population:!!Nursing facilities/skilled nursing facilities:!!Male:!!18 to 24 years</t>
  </si>
  <si>
    <t>B26101_141</t>
  </si>
  <si>
    <t>Estimate!!Total:!!Group quarters population:!!Institutionalized group quarters population:!!Nursing facilities/skilled nursing facilities:!!Male:!!25 to 34 years</t>
  </si>
  <si>
    <t>B26101_142</t>
  </si>
  <si>
    <t>Estimate!!Total:!!Group quarters population:!!Institutionalized group quarters population:!!Nursing facilities/skilled nursing facilities:!!Male:!!35 to 44 years</t>
  </si>
  <si>
    <t>B26101_143</t>
  </si>
  <si>
    <t>Estimate!!Total:!!Group quarters population:!!Institutionalized group quarters population:!!Nursing facilities/skilled nursing facilities:!!Male:!!45 to 54 years</t>
  </si>
  <si>
    <t>B26101_144</t>
  </si>
  <si>
    <t>Estimate!!Total:!!Group quarters population:!!Institutionalized group quarters population:!!Nursing facilities/skilled nursing facilities:!!Male:!!55 to 64 years</t>
  </si>
  <si>
    <t>B26101_145</t>
  </si>
  <si>
    <t>Estimate!!Total:!!Group quarters population:!!Institutionalized group quarters population:!!Nursing facilities/skilled nursing facilities:!!Male:!!65 to 74 years</t>
  </si>
  <si>
    <t>B26101_146</t>
  </si>
  <si>
    <t>Estimate!!Total:!!Group quarters population:!!Institutionalized group quarters population:!!Nursing facilities/skilled nursing facilities:!!Male:!!75 to 84 years</t>
  </si>
  <si>
    <t>B26101_147</t>
  </si>
  <si>
    <t>Estimate!!Total:!!Group quarters population:!!Institutionalized group quarters population:!!Nursing facilities/skilled nursing facilities:!!Male:!!85 years and over</t>
  </si>
  <si>
    <t>B26101_148</t>
  </si>
  <si>
    <t>Estimate!!Total:!!Group quarters population:!!Institutionalized group quarters population:!!Nursing facilities/skilled nursing facilities:!!Female:</t>
  </si>
  <si>
    <t>B26101_149</t>
  </si>
  <si>
    <t>Estimate!!Total:!!Group quarters population:!!Institutionalized group quarters population:!!Nursing facilities/skilled nursing facilities:!!Female:!!18 to 24 years</t>
  </si>
  <si>
    <t>B26101_150</t>
  </si>
  <si>
    <t>Estimate!!Total:!!Group quarters population:!!Institutionalized group quarters population:!!Nursing facilities/skilled nursing facilities:!!Female:!!25 to 34 years</t>
  </si>
  <si>
    <t>B26101_151</t>
  </si>
  <si>
    <t>Estimate!!Total:!!Group quarters population:!!Institutionalized group quarters population:!!Nursing facilities/skilled nursing facilities:!!Female:!!35 to 44 years</t>
  </si>
  <si>
    <t>B26101_152</t>
  </si>
  <si>
    <t>Estimate!!Total:!!Group quarters population:!!Institutionalized group quarters population:!!Nursing facilities/skilled nursing facilities:!!Female:!!45 to 54 years</t>
  </si>
  <si>
    <t>B26101_153</t>
  </si>
  <si>
    <t>Estimate!!Total:!!Group quarters population:!!Institutionalized group quarters population:!!Nursing facilities/skilled nursing facilities:!!Female:!!55 to 64 years</t>
  </si>
  <si>
    <t>B26101_154</t>
  </si>
  <si>
    <t>Estimate!!Total:!!Group quarters population:!!Institutionalized group quarters population:!!Nursing facilities/skilled nursing facilities:!!Female:!!65 to 74 years</t>
  </si>
  <si>
    <t>B26101_155</t>
  </si>
  <si>
    <t>Estimate!!Total:!!Group quarters population:!!Institutionalized group quarters population:!!Nursing facilities/skilled nursing facilities:!!Female:!!75 to 84 years</t>
  </si>
  <si>
    <t>B26101_156</t>
  </si>
  <si>
    <t>Estimate!!Total:!!Group quarters population:!!Institutionalized group quarters population:!!Nursing facilities/skilled nursing facilities:!!Female:!!85 years and over</t>
  </si>
  <si>
    <t>B26101_157</t>
  </si>
  <si>
    <t>Estimate!!Total:!!Group quarters population:!!Noninstitutionalized group quarters population:</t>
  </si>
  <si>
    <t>B26101_158</t>
  </si>
  <si>
    <t>Estimate!!Total:!!Group quarters population:!!Noninstitutionalized group quarters population:!!Under 15 years</t>
  </si>
  <si>
    <t>B26101_159</t>
  </si>
  <si>
    <t>Estimate!!Total:!!Group quarters population:!!Noninstitutionalized group quarters population:!!15 to 17 years</t>
  </si>
  <si>
    <t>B26101_160</t>
  </si>
  <si>
    <t>Estimate!!Total:!!Group quarters population:!!Noninstitutionalized group quarters population:!!18 to 24 years</t>
  </si>
  <si>
    <t>B26101_161</t>
  </si>
  <si>
    <t>Estimate!!Total:!!Group quarters population:!!Noninstitutionalized group quarters population:!!25 to 34 years</t>
  </si>
  <si>
    <t>B26101_162</t>
  </si>
  <si>
    <t>Estimate!!Total:!!Group quarters population:!!Noninstitutionalized group quarters population:!!35 to 44 years</t>
  </si>
  <si>
    <t>B26101_163</t>
  </si>
  <si>
    <t>Estimate!!Total:!!Group quarters population:!!Noninstitutionalized group quarters population:!!45 to 54 years</t>
  </si>
  <si>
    <t>B26101_164</t>
  </si>
  <si>
    <t>Estimate!!Total:!!Group quarters population:!!Noninstitutionalized group quarters population:!!55 to 64 years</t>
  </si>
  <si>
    <t>B26101_165</t>
  </si>
  <si>
    <t>Estimate!!Total:!!Group quarters population:!!Noninstitutionalized group quarters population:!!65 to 74 years</t>
  </si>
  <si>
    <t>B26101_166</t>
  </si>
  <si>
    <t>Estimate!!Total:!!Group quarters population:!!Noninstitutionalized group quarters population:!!75 to 84 years</t>
  </si>
  <si>
    <t>B26101_167</t>
  </si>
  <si>
    <t>Estimate!!Total:!!Group quarters population:!!Noninstitutionalized group quarters population:!!85 years and over</t>
  </si>
  <si>
    <t>B26101_168</t>
  </si>
  <si>
    <t>Estimate!!Total:!!Group quarters population:!!Noninstitutionalized group quarters population:!!Male:</t>
  </si>
  <si>
    <t>B26101_169</t>
  </si>
  <si>
    <t>Estimate!!Total:!!Group quarters population:!!Noninstitutionalized group quarters population:!!Male:!!Under 15 years</t>
  </si>
  <si>
    <t>B26101_170</t>
  </si>
  <si>
    <t>Estimate!!Total:!!Group quarters population:!!Noninstitutionalized group quarters population:!!Male:!!15 to 17 years</t>
  </si>
  <si>
    <t>B26101_171</t>
  </si>
  <si>
    <t>Estimate!!Total:!!Group quarters population:!!Noninstitutionalized group quarters population:!!Male:!!18 to 24 years</t>
  </si>
  <si>
    <t>B26101_172</t>
  </si>
  <si>
    <t>Estimate!!Total:!!Group quarters population:!!Noninstitutionalized group quarters population:!!Male:!!25 to 34 years</t>
  </si>
  <si>
    <t>B26101_173</t>
  </si>
  <si>
    <t>Estimate!!Total:!!Group quarters population:!!Noninstitutionalized group quarters population:!!Male:!!35 to 44 years</t>
  </si>
  <si>
    <t>B26101_174</t>
  </si>
  <si>
    <t>Estimate!!Total:!!Group quarters population:!!Noninstitutionalized group quarters population:!!Male:!!45 to 54 years</t>
  </si>
  <si>
    <t>B26101_175</t>
  </si>
  <si>
    <t>Estimate!!Total:!!Group quarters population:!!Noninstitutionalized group quarters population:!!Male:!!55 to 64 years</t>
  </si>
  <si>
    <t>B26101_176</t>
  </si>
  <si>
    <t>Estimate!!Total:!!Group quarters population:!!Noninstitutionalized group quarters population:!!Male:!!65 to 74 years</t>
  </si>
  <si>
    <t>B26101_177</t>
  </si>
  <si>
    <t>Estimate!!Total:!!Group quarters population:!!Noninstitutionalized group quarters population:!!Male:!!75 to 84 years</t>
  </si>
  <si>
    <t>B26101_178</t>
  </si>
  <si>
    <t>Estimate!!Total:!!Group quarters population:!!Noninstitutionalized group quarters population:!!Male:!!85 years and over</t>
  </si>
  <si>
    <t>B26101_179</t>
  </si>
  <si>
    <t>Estimate!!Total:!!Group quarters population:!!Noninstitutionalized group quarters population:!!Female:</t>
  </si>
  <si>
    <t>B26101_180</t>
  </si>
  <si>
    <t>Estimate!!Total:!!Group quarters population:!!Noninstitutionalized group quarters population:!!Female:!!Under 15 years</t>
  </si>
  <si>
    <t>B26101_181</t>
  </si>
  <si>
    <t>Estimate!!Total:!!Group quarters population:!!Noninstitutionalized group quarters population:!!Female:!!15 to 17 years</t>
  </si>
  <si>
    <t>B26101_182</t>
  </si>
  <si>
    <t>Estimate!!Total:!!Group quarters population:!!Noninstitutionalized group quarters population:!!Female:!!18 to 24 years</t>
  </si>
  <si>
    <t>B26101_183</t>
  </si>
  <si>
    <t>Estimate!!Total:!!Group quarters population:!!Noninstitutionalized group quarters population:!!Female:!!25 to 34 years</t>
  </si>
  <si>
    <t>B26101_184</t>
  </si>
  <si>
    <t>Estimate!!Total:!!Group quarters population:!!Noninstitutionalized group quarters population:!!Female:!!35 to 44 years</t>
  </si>
  <si>
    <t>B26101_185</t>
  </si>
  <si>
    <t>Estimate!!Total:!!Group quarters population:!!Noninstitutionalized group quarters population:!!Female:!!45 to 54 years</t>
  </si>
  <si>
    <t>B26101_186</t>
  </si>
  <si>
    <t>Estimate!!Total:!!Group quarters population:!!Noninstitutionalized group quarters population:!!Female:!!55 to 64 years</t>
  </si>
  <si>
    <t>B26101_187</t>
  </si>
  <si>
    <t>Estimate!!Total:!!Group quarters population:!!Noninstitutionalized group quarters population:!!Female:!!65 to 74 years</t>
  </si>
  <si>
    <t>B26101_188</t>
  </si>
  <si>
    <t>Estimate!!Total:!!Group quarters population:!!Noninstitutionalized group quarters population:!!Female:!!75 to 84 years</t>
  </si>
  <si>
    <t>B26101_189</t>
  </si>
  <si>
    <t>Estimate!!Total:!!Group quarters population:!!Noninstitutionalized group quarters population:!!Female:!!85 years and over</t>
  </si>
  <si>
    <t>B26101_190</t>
  </si>
  <si>
    <t>Estimate!!Total:!!Group quarters population:!!Noninstitutionalized group quarters population:!!College/university student housing:</t>
  </si>
  <si>
    <t>B26101_191</t>
  </si>
  <si>
    <t>Estimate!!Total:!!Group quarters population:!!Noninstitutionalized group quarters population:!!College/university student housing:!!15 to 17 years</t>
  </si>
  <si>
    <t>B26101_192</t>
  </si>
  <si>
    <t>Estimate!!Total:!!Group quarters population:!!Noninstitutionalized group quarters population:!!College/university student housing:!!18 to 24 years</t>
  </si>
  <si>
    <t>B26101_193</t>
  </si>
  <si>
    <t>Estimate!!Total:!!Group quarters population:!!Noninstitutionalized group quarters population:!!College/university student housing:!!25 to 34 years</t>
  </si>
  <si>
    <t>B26101_194</t>
  </si>
  <si>
    <t>Estimate!!Total:!!Group quarters population:!!Noninstitutionalized group quarters population:!!College/university student housing:!!35 to 44 years</t>
  </si>
  <si>
    <t>B26101_195</t>
  </si>
  <si>
    <t>Estimate!!Total:!!Group quarters population:!!Noninstitutionalized group quarters population:!!College/university student housing:!!45 to 54 years</t>
  </si>
  <si>
    <t>B26101_196</t>
  </si>
  <si>
    <t>Estimate!!Total:!!Group quarters population:!!Noninstitutionalized group quarters population:!!College/university student housing:!!55 to 64 years</t>
  </si>
  <si>
    <t>B26101_197</t>
  </si>
  <si>
    <t>Estimate!!Total:!!Group quarters population:!!Noninstitutionalized group quarters population:!!College/university student housing:!!65 to 74 years</t>
  </si>
  <si>
    <t>B26101_198</t>
  </si>
  <si>
    <t>Estimate!!Total:!!Group quarters population:!!Noninstitutionalized group quarters population:!!College/university student housing:!!Male:</t>
  </si>
  <si>
    <t>B26101_199</t>
  </si>
  <si>
    <t>Estimate!!Total:!!Group quarters population:!!Noninstitutionalized group quarters population:!!College/university student housing:!!Male:!!15 to 17 years</t>
  </si>
  <si>
    <t>B26101_200</t>
  </si>
  <si>
    <t>Estimate!!Total:!!Group quarters population:!!Noninstitutionalized group quarters population:!!College/university student housing:!!Male:!!18 to 24 years</t>
  </si>
  <si>
    <t>B26101_201</t>
  </si>
  <si>
    <t>Estimate!!Total:!!Group quarters population:!!Noninstitutionalized group quarters population:!!College/university student housing:!!Male:!!25 to 34 years</t>
  </si>
  <si>
    <t>B26101_202</t>
  </si>
  <si>
    <t>Estimate!!Total:!!Group quarters population:!!Noninstitutionalized group quarters population:!!College/university student housing:!!Male:!!35 to 44 years</t>
  </si>
  <si>
    <t>B26101_203</t>
  </si>
  <si>
    <t>Estimate!!Total:!!Group quarters population:!!Noninstitutionalized group quarters population:!!College/university student housing:!!Male:!!45 to 54 years</t>
  </si>
  <si>
    <t>B26101_204</t>
  </si>
  <si>
    <t>Estimate!!Total:!!Group quarters population:!!Noninstitutionalized group quarters population:!!College/university student housing:!!Male:!!55 to 64 years</t>
  </si>
  <si>
    <t>B26101_205</t>
  </si>
  <si>
    <t>Estimate!!Total:!!Group quarters population:!!Noninstitutionalized group quarters population:!!College/university student housing:!!Male:!!65 to 74 years</t>
  </si>
  <si>
    <t>B26101_206</t>
  </si>
  <si>
    <t>Estimate!!Total:!!Group quarters population:!!Noninstitutionalized group quarters population:!!College/university student housing:!!Female:</t>
  </si>
  <si>
    <t>B26101_207</t>
  </si>
  <si>
    <t>Estimate!!Total:!!Group quarters population:!!Noninstitutionalized group quarters population:!!College/university student housing:!!Female:!!15 to 17 years</t>
  </si>
  <si>
    <t>B26101_208</t>
  </si>
  <si>
    <t>Estimate!!Total:!!Group quarters population:!!Noninstitutionalized group quarters population:!!College/university student housing:!!Female:!!18 to 24 years</t>
  </si>
  <si>
    <t>B26101_209</t>
  </si>
  <si>
    <t>Estimate!!Total:!!Group quarters population:!!Noninstitutionalized group quarters population:!!College/university student housing:!!Female:!!25 to 34 years</t>
  </si>
  <si>
    <t>B26101_210</t>
  </si>
  <si>
    <t>Estimate!!Total:!!Group quarters population:!!Noninstitutionalized group quarters population:!!College/university student housing:!!Female:!!35 to 44 years</t>
  </si>
  <si>
    <t>B26101_211</t>
  </si>
  <si>
    <t>Estimate!!Total:!!Group quarters population:!!Noninstitutionalized group quarters population:!!College/university student housing:!!Female:!!45 to 54 years</t>
  </si>
  <si>
    <t>B26101_212</t>
  </si>
  <si>
    <t>Estimate!!Total:!!Group quarters population:!!Noninstitutionalized group quarters population:!!College/university student housing:!!Female:!!55 to 64 years</t>
  </si>
  <si>
    <t>B26101_213</t>
  </si>
  <si>
    <t>Estimate!!Total:!!Group quarters population:!!Noninstitutionalized group quarters population:!!College/university student housing:!!Female:!!65 to 74 years</t>
  </si>
  <si>
    <t>B26101_214</t>
  </si>
  <si>
    <t>Estimate!!Total:!!Household population</t>
  </si>
  <si>
    <t>B26102_002</t>
  </si>
  <si>
    <t>Estimate!!Median age --!!Total:!!Group quarters population:</t>
  </si>
  <si>
    <t>B26102_003</t>
  </si>
  <si>
    <t>Estimate!!Median age --!!Total:!!Group quarters population:!!Institutionalized group quarters population:</t>
  </si>
  <si>
    <t>B26102_004</t>
  </si>
  <si>
    <t>Estimate!!Median age --!!Total:!!Group quarters population:!!Institutionalized group quarters population:!!Adult correctional facilities</t>
  </si>
  <si>
    <t>B26102_005</t>
  </si>
  <si>
    <t>Estimate!!Median age --!!Total:!!Group quarters population:!!Institutionalized group quarters population:!!Nursing facilities/skilled nursing facilities</t>
  </si>
  <si>
    <t>B26102_006</t>
  </si>
  <si>
    <t>Estimate!!Median age --!!Total:!!Group quarters population:!!Noninstitutionalized group quarters population:</t>
  </si>
  <si>
    <t>B26102_007</t>
  </si>
  <si>
    <t>Estimate!!Median age --!!Total:!!Group quarters population:!!Noninstitutionalized group quarters population:!!College/university student housing</t>
  </si>
  <si>
    <t>B26102_008</t>
  </si>
  <si>
    <t>Estimate!!Median age --!!Total:!!Household population</t>
  </si>
  <si>
    <t>B26103A_002</t>
  </si>
  <si>
    <t>B26103A_003</t>
  </si>
  <si>
    <t>B26103A_004</t>
  </si>
  <si>
    <t>Estimate!!Total:!!Group quarters population:!!Institutionalized group quarters population:!!Adult correctional facilities</t>
  </si>
  <si>
    <t>B26103A_005</t>
  </si>
  <si>
    <t>Estimate!!Total:!!Group quarters population:!!Institutionalized group quarters population:!!Nursing facilities/skilled nursing facilities</t>
  </si>
  <si>
    <t>B26103A_006</t>
  </si>
  <si>
    <t>B26103A_007</t>
  </si>
  <si>
    <t>Estimate!!Total:!!Group quarters population:!!Noninstitutionalized group quarters population:!!College/university student housing</t>
  </si>
  <si>
    <t>B26103A_008</t>
  </si>
  <si>
    <t>B26103B_002</t>
  </si>
  <si>
    <t>B26103B_003</t>
  </si>
  <si>
    <t>B26103B_004</t>
  </si>
  <si>
    <t>B26103B_005</t>
  </si>
  <si>
    <t>B26103B_006</t>
  </si>
  <si>
    <t>B26103B_007</t>
  </si>
  <si>
    <t>B26103B_008</t>
  </si>
  <si>
    <t>B26103C_002</t>
  </si>
  <si>
    <t>B26103C_003</t>
  </si>
  <si>
    <t>B26103C_004</t>
  </si>
  <si>
    <t>B26103C_005</t>
  </si>
  <si>
    <t>B26103C_006</t>
  </si>
  <si>
    <t>B26103C_007</t>
  </si>
  <si>
    <t>B26103C_008</t>
  </si>
  <si>
    <t>B26103D_002</t>
  </si>
  <si>
    <t>B26103D_003</t>
  </si>
  <si>
    <t>B26103D_004</t>
  </si>
  <si>
    <t>B26103D_005</t>
  </si>
  <si>
    <t>B26103D_006</t>
  </si>
  <si>
    <t>B26103D_007</t>
  </si>
  <si>
    <t>B26103D_008</t>
  </si>
  <si>
    <t>B26103E_002</t>
  </si>
  <si>
    <t>B26103E_003</t>
  </si>
  <si>
    <t>B26103E_004</t>
  </si>
  <si>
    <t>B26103E_005</t>
  </si>
  <si>
    <t>B26103E_006</t>
  </si>
  <si>
    <t>B26103E_007</t>
  </si>
  <si>
    <t>B26103E_008</t>
  </si>
  <si>
    <t>B26103F_002</t>
  </si>
  <si>
    <t>B26103F_003</t>
  </si>
  <si>
    <t>B26103F_004</t>
  </si>
  <si>
    <t>B26103F_005</t>
  </si>
  <si>
    <t>B26103F_006</t>
  </si>
  <si>
    <t>B26103F_007</t>
  </si>
  <si>
    <t>B26103F_008</t>
  </si>
  <si>
    <t>B26103G_002</t>
  </si>
  <si>
    <t>B26103G_003</t>
  </si>
  <si>
    <t>B26103G_004</t>
  </si>
  <si>
    <t>B26103G_005</t>
  </si>
  <si>
    <t>B26103G_006</t>
  </si>
  <si>
    <t>B26103G_007</t>
  </si>
  <si>
    <t>B26103G_008</t>
  </si>
  <si>
    <t>B26103H_002</t>
  </si>
  <si>
    <t>B26103H_003</t>
  </si>
  <si>
    <t>B26103H_004</t>
  </si>
  <si>
    <t>B26103H_005</t>
  </si>
  <si>
    <t>B26103H_006</t>
  </si>
  <si>
    <t>B26103H_007</t>
  </si>
  <si>
    <t>B26103H_008</t>
  </si>
  <si>
    <t>B26103I_002</t>
  </si>
  <si>
    <t>B26103I_003</t>
  </si>
  <si>
    <t>B26103I_004</t>
  </si>
  <si>
    <t>B26103I_005</t>
  </si>
  <si>
    <t>B26103I_006</t>
  </si>
  <si>
    <t>B26103I_007</t>
  </si>
  <si>
    <t>B26103I_008</t>
  </si>
  <si>
    <t>B26103_002</t>
  </si>
  <si>
    <t>B26103_003</t>
  </si>
  <si>
    <t>B26103_004</t>
  </si>
  <si>
    <t>B26103_005</t>
  </si>
  <si>
    <t>B26103_006</t>
  </si>
  <si>
    <t>B26103_007</t>
  </si>
  <si>
    <t>B26103_008</t>
  </si>
  <si>
    <t>B26104_002</t>
  </si>
  <si>
    <t>B26104_003</t>
  </si>
  <si>
    <t>Estimate!!Total:!!Now married (except separated)</t>
  </si>
  <si>
    <t>B26104_004</t>
  </si>
  <si>
    <t>B26104_005</t>
  </si>
  <si>
    <t>B26104_006</t>
  </si>
  <si>
    <t>B26104_007</t>
  </si>
  <si>
    <t>B26104_008</t>
  </si>
  <si>
    <t>Estimate!!Total:!!Group quarters population:!!Never married</t>
  </si>
  <si>
    <t>B26104_009</t>
  </si>
  <si>
    <t>Estimate!!Total:!!Group quarters population:!!Now married (except separated)</t>
  </si>
  <si>
    <t>B26104_010</t>
  </si>
  <si>
    <t>Estimate!!Total:!!Group quarters population:!!Separated</t>
  </si>
  <si>
    <t>B26104_011</t>
  </si>
  <si>
    <t>Estimate!!Total:!!Group quarters population:!!Widowed</t>
  </si>
  <si>
    <t>B26104_012</t>
  </si>
  <si>
    <t>Estimate!!Total:!!Group quarters population:!!Divorced</t>
  </si>
  <si>
    <t>B26104_013</t>
  </si>
  <si>
    <t>B26104_014</t>
  </si>
  <si>
    <t>Estimate!!Total:!!Group quarters population:!!Institutionalized group quarters population:!!Never married</t>
  </si>
  <si>
    <t>B26104_015</t>
  </si>
  <si>
    <t>Estimate!!Total:!!Group quarters population:!!Institutionalized group quarters population:!!Now married (except separated)</t>
  </si>
  <si>
    <t>B26104_016</t>
  </si>
  <si>
    <t>Estimate!!Total:!!Group quarters population:!!Institutionalized group quarters population:!!Separated</t>
  </si>
  <si>
    <t>B26104_017</t>
  </si>
  <si>
    <t>Estimate!!Total:!!Group quarters population:!!Institutionalized group quarters population:!!Widowed</t>
  </si>
  <si>
    <t>B26104_018</t>
  </si>
  <si>
    <t>Estimate!!Total:!!Group quarters population:!!Institutionalized group quarters population:!!Divorced</t>
  </si>
  <si>
    <t>B26104_019</t>
  </si>
  <si>
    <t>B26104_020</t>
  </si>
  <si>
    <t>Estimate!!Total:!!Group quarters population:!!Institutionalized group quarters population:!!Adult correctional facilities:!!Never married</t>
  </si>
  <si>
    <t>B26104_021</t>
  </si>
  <si>
    <t>Estimate!!Total:!!Group quarters population:!!Institutionalized group quarters population:!!Adult correctional facilities:!!Now married (except separated)</t>
  </si>
  <si>
    <t>B26104_022</t>
  </si>
  <si>
    <t>Estimate!!Total:!!Group quarters population:!!Institutionalized group quarters population:!!Adult correctional facilities:!!Separated</t>
  </si>
  <si>
    <t>B26104_023</t>
  </si>
  <si>
    <t>Estimate!!Total:!!Group quarters population:!!Institutionalized group quarters population:!!Adult correctional facilities:!!Widowed</t>
  </si>
  <si>
    <t>B26104_024</t>
  </si>
  <si>
    <t>Estimate!!Total:!!Group quarters population:!!Institutionalized group quarters population:!!Adult correctional facilities:!!Divorced</t>
  </si>
  <si>
    <t>B26104_025</t>
  </si>
  <si>
    <t>B26104_026</t>
  </si>
  <si>
    <t>Estimate!!Total:!!Group quarters population:!!Institutionalized group quarters population:!!Nursing facilities/skilled nursing facilities:!!Never married</t>
  </si>
  <si>
    <t>B26104_027</t>
  </si>
  <si>
    <t>Estimate!!Total:!!Group quarters population:!!Institutionalized group quarters population:!!Nursing facilities/skilled nursing facilities:!!Now married (except separated)</t>
  </si>
  <si>
    <t>B26104_028</t>
  </si>
  <si>
    <t>Estimate!!Total:!!Group quarters population:!!Institutionalized group quarters population:!!Nursing facilities/skilled nursing facilities:!!Separated</t>
  </si>
  <si>
    <t>B26104_029</t>
  </si>
  <si>
    <t>Estimate!!Total:!!Group quarters population:!!Institutionalized group quarters population:!!Nursing facilities/skilled nursing facilities:!!Widowed</t>
  </si>
  <si>
    <t>B26104_030</t>
  </si>
  <si>
    <t>Estimate!!Total:!!Group quarters population:!!Institutionalized group quarters population:!!Nursing facilities/skilled nursing facilities:!!Divorced</t>
  </si>
  <si>
    <t>B26104_031</t>
  </si>
  <si>
    <t>B26104_032</t>
  </si>
  <si>
    <t>Estimate!!Total:!!Group quarters population:!!Noninstitutionalized group quarters population:!!Never married</t>
  </si>
  <si>
    <t>B26104_033</t>
  </si>
  <si>
    <t>Estimate!!Total:!!Group quarters population:!!Noninstitutionalized group quarters population:!!Now married (except separated)</t>
  </si>
  <si>
    <t>B26104_034</t>
  </si>
  <si>
    <t>Estimate!!Total:!!Group quarters population:!!Noninstitutionalized group quarters population:!!Separated</t>
  </si>
  <si>
    <t>B26104_035</t>
  </si>
  <si>
    <t>Estimate!!Total:!!Group quarters population:!!Noninstitutionalized group quarters population:!!Widowed</t>
  </si>
  <si>
    <t>B26104_036</t>
  </si>
  <si>
    <t>Estimate!!Total:!!Group quarters population:!!Noninstitutionalized group quarters population:!!Divorced</t>
  </si>
  <si>
    <t>B26104_037</t>
  </si>
  <si>
    <t>B26104_038</t>
  </si>
  <si>
    <t>Estimate!!Total:!!Group quarters population:!!Noninstitutionalized group quarters population:!!College/university student housing:!!Never married</t>
  </si>
  <si>
    <t>B26104_039</t>
  </si>
  <si>
    <t>Estimate!!Total:!!Group quarters population:!!Noninstitutionalized group quarters population:!!College/university student housing:!!Now married (except separated)</t>
  </si>
  <si>
    <t>B26104_040</t>
  </si>
  <si>
    <t>Estimate!!Total:!!Group quarters population:!!Noninstitutionalized group quarters population:!!College/university student housing:!!Separated</t>
  </si>
  <si>
    <t>B26104_041</t>
  </si>
  <si>
    <t>Estimate!!Total:!!Group quarters population:!!Noninstitutionalized group quarters population:!!College/university student housing:!!Widowed</t>
  </si>
  <si>
    <t>B26104_042</t>
  </si>
  <si>
    <t>Estimate!!Total:!!Group quarters population:!!Noninstitutionalized group quarters population:!!College/university student housing:!!Divorced</t>
  </si>
  <si>
    <t>B26104_043</t>
  </si>
  <si>
    <t>B26105_002</t>
  </si>
  <si>
    <t>Estimate!!Total:!!Nursery school through 12th grade</t>
  </si>
  <si>
    <t>B26105_003</t>
  </si>
  <si>
    <t>Estimate!!Total:!!College or graduate school</t>
  </si>
  <si>
    <t>B26105_004</t>
  </si>
  <si>
    <t>B26105_005</t>
  </si>
  <si>
    <t>Estimate!!Total:!!Group quarters population:!!Nursery school through 12th grade</t>
  </si>
  <si>
    <t>B26105_006</t>
  </si>
  <si>
    <t>Estimate!!Total:!!Group quarters population:!!College or graduate school</t>
  </si>
  <si>
    <t>B26105_007</t>
  </si>
  <si>
    <t>B26105_008</t>
  </si>
  <si>
    <t>Estimate!!Total:!!Group quarters population:!!Institutionalized group quarters population:!!Nursery school through 12th grade</t>
  </si>
  <si>
    <t>B26105_009</t>
  </si>
  <si>
    <t>Estimate!!Total:!!Group quarters population:!!Institutionalized group quarters population:!!College or graduate school</t>
  </si>
  <si>
    <t>B26105_010</t>
  </si>
  <si>
    <t>B26105_011</t>
  </si>
  <si>
    <t>Estimate!!Total:!!Group quarters population:!!Institutionalized group quarters population:!!Adult correctional facilities:!!Nursery school through 12th grade</t>
  </si>
  <si>
    <t>B26105_012</t>
  </si>
  <si>
    <t>Estimate!!Total:!!Group quarters population:!!Institutionalized group quarters population:!!Adult correctional facilities:!!College or graduate school</t>
  </si>
  <si>
    <t>B26105_013</t>
  </si>
  <si>
    <t>B26105_014</t>
  </si>
  <si>
    <t>Estimate!!Total:!!Group quarters population:!!Institutionalized group quarters population:!!Nursing facilities/skilled nursing facilities:!!Nursery school through 12th grade</t>
  </si>
  <si>
    <t>B26105_015</t>
  </si>
  <si>
    <t>Estimate!!Total:!!Group quarters population:!!Institutionalized group quarters population:!!Nursing facilities/skilled nursing facilities:!!College or graduate school</t>
  </si>
  <si>
    <t>B26105_016</t>
  </si>
  <si>
    <t>B26105_017</t>
  </si>
  <si>
    <t>Estimate!!Total:!!Group quarters population:!!Noninstitutionalized group quarters population:!!Nursery school through 12th grade</t>
  </si>
  <si>
    <t>B26105_018</t>
  </si>
  <si>
    <t>Estimate!!Total:!!Group quarters population:!!Noninstitutionalized group quarters population:!!College or graduate school</t>
  </si>
  <si>
    <t>B26105_019</t>
  </si>
  <si>
    <t>B26105_020</t>
  </si>
  <si>
    <t>Estimate!!Total:!!Group quarters population:!!Noninstitutionalized group quarters population:!!College/university student housing:!!Nursery school through 12th grade</t>
  </si>
  <si>
    <t>B26105_021</t>
  </si>
  <si>
    <t>Estimate!!Total:!!Group quarters population:!!Noninstitutionalized group quarters population:!!College/university student housing:!!College or graduate school</t>
  </si>
  <si>
    <t>B26105_022</t>
  </si>
  <si>
    <t>B26106_002</t>
  </si>
  <si>
    <t>Estimate!!Total:!!Less than high school diploma</t>
  </si>
  <si>
    <t>B26106_003</t>
  </si>
  <si>
    <t>B26106_004</t>
  </si>
  <si>
    <t>B26106_005</t>
  </si>
  <si>
    <t>Estimate!!Total:!!Bachelor's degree or higher</t>
  </si>
  <si>
    <t>B26106_006</t>
  </si>
  <si>
    <t>B26106_007</t>
  </si>
  <si>
    <t>Estimate!!Total:!!Group quarters population:!!Less than high school diploma</t>
  </si>
  <si>
    <t>B26106_008</t>
  </si>
  <si>
    <t>Estimate!!Total:!!Group quarters population:!!High school graduate (includes equivalency)</t>
  </si>
  <si>
    <t>B26106_009</t>
  </si>
  <si>
    <t>Estimate!!Total:!!Group quarters population:!!Some college or associate's degree</t>
  </si>
  <si>
    <t>B26106_010</t>
  </si>
  <si>
    <t>Estimate!!Total:!!Group quarters population:!!Bachelor's degree or higher</t>
  </si>
  <si>
    <t>B26106_011</t>
  </si>
  <si>
    <t>B26106_012</t>
  </si>
  <si>
    <t>Estimate!!Total:!!Group quarters population:!!Institutionalized group quarters population:!!Less than high school diploma</t>
  </si>
  <si>
    <t>B26106_013</t>
  </si>
  <si>
    <t>Estimate!!Total:!!Group quarters population:!!Institutionalized group quarters population:!!High school graduate (includes equivalency)</t>
  </si>
  <si>
    <t>B26106_014</t>
  </si>
  <si>
    <t>Estimate!!Total:!!Group quarters population:!!Institutionalized group quarters population:!!Some college or associate's degree</t>
  </si>
  <si>
    <t>B26106_015</t>
  </si>
  <si>
    <t>Estimate!!Total:!!Group quarters population:!!Institutionalized group quarters population:!!Bachelor's degree or higher</t>
  </si>
  <si>
    <t>B26106_016</t>
  </si>
  <si>
    <t>B26106_017</t>
  </si>
  <si>
    <t>Estimate!!Total:!!Group quarters population:!!Institutionalized group quarters population:!!Adult correctional facilities:!!Less than high school diploma</t>
  </si>
  <si>
    <t>B26106_018</t>
  </si>
  <si>
    <t>Estimate!!Total:!!Group quarters population:!!Institutionalized group quarters population:!!Adult correctional facilities:!!High school graduate (includes equivalency)</t>
  </si>
  <si>
    <t>B26106_019</t>
  </si>
  <si>
    <t>Estimate!!Total:!!Group quarters population:!!Institutionalized group quarters population:!!Adult correctional facilities:!!Some college or associate's degree</t>
  </si>
  <si>
    <t>B26106_020</t>
  </si>
  <si>
    <t>Estimate!!Total:!!Group quarters population:!!Institutionalized group quarters population:!!Adult correctional facilities:!!Bachelor's degree or higher</t>
  </si>
  <si>
    <t>B26106_021</t>
  </si>
  <si>
    <t>B26106_022</t>
  </si>
  <si>
    <t>Estimate!!Total:!!Group quarters population:!!Institutionalized group quarters population:!!Nursing facilities/skilled nursing facilities:!!Less than high school diploma</t>
  </si>
  <si>
    <t>B26106_023</t>
  </si>
  <si>
    <t>Estimate!!Total:!!Group quarters population:!!Institutionalized group quarters population:!!Nursing facilities/skilled nursing facilities:!!High school graduate (includes equivalency)</t>
  </si>
  <si>
    <t>B26106_024</t>
  </si>
  <si>
    <t>Estimate!!Total:!!Group quarters population:!!Institutionalized group quarters population:!!Nursing facilities/skilled nursing facilities:!!Some college or associate's degree</t>
  </si>
  <si>
    <t>B26106_025</t>
  </si>
  <si>
    <t>Estimate!!Total:!!Group quarters population:!!Institutionalized group quarters population:!!Nursing facilities/skilled nursing facilities:!!Bachelor's degree or higher</t>
  </si>
  <si>
    <t>B26106_026</t>
  </si>
  <si>
    <t>B26106_027</t>
  </si>
  <si>
    <t>Estimate!!Total:!!Group quarters population:!!Noninstitutionalized group quarters population:!!Less than high school diploma</t>
  </si>
  <si>
    <t>B26106_028</t>
  </si>
  <si>
    <t>Estimate!!Total:!!Group quarters population:!!Noninstitutionalized group quarters population:!!High school graduate (includes equivalency)</t>
  </si>
  <si>
    <t>B26106_029</t>
  </si>
  <si>
    <t>Estimate!!Total:!!Group quarters population:!!Noninstitutionalized group quarters population:!!Some college or associate's degree</t>
  </si>
  <si>
    <t>B26106_030</t>
  </si>
  <si>
    <t>Estimate!!Total:!!Group quarters population:!!Noninstitutionalized group quarters population:!!Bachelor's degree or higher</t>
  </si>
  <si>
    <t>B26106_031</t>
  </si>
  <si>
    <t>B26106_032</t>
  </si>
  <si>
    <t>Estimate!!Total:!!Group quarters population:!!Noninstitutionalized group quarters population:!!College/university student housing:!!Less than high school diploma</t>
  </si>
  <si>
    <t>B26106_033</t>
  </si>
  <si>
    <t>Estimate!!Total:!!Group quarters population:!!Noninstitutionalized group quarters population:!!College/university student housing:!!High school graduate (includes equivalency)</t>
  </si>
  <si>
    <t>B26106_034</t>
  </si>
  <si>
    <t>Estimate!!Total:!!Group quarters population:!!Noninstitutionalized group quarters population:!!College/university student housing:!!Some college or associate's degree</t>
  </si>
  <si>
    <t>B26106_035</t>
  </si>
  <si>
    <t>Estimate!!Total:!!Group quarters population:!!Noninstitutionalized group quarters population:!!College/university student housing:!!Bachelor's degree or higher</t>
  </si>
  <si>
    <t>B26106_036</t>
  </si>
  <si>
    <t>B26107_002</t>
  </si>
  <si>
    <t>B26107_003</t>
  </si>
  <si>
    <t>B26107_004</t>
  </si>
  <si>
    <t>B26107_005</t>
  </si>
  <si>
    <t>Estimate!!Total:!!Group quarters population:!!Veteran</t>
  </si>
  <si>
    <t>B26107_006</t>
  </si>
  <si>
    <t>Estimate!!Total:!!Group quarters population:!!Nonveteran</t>
  </si>
  <si>
    <t>B26107_007</t>
  </si>
  <si>
    <t>B26107_008</t>
  </si>
  <si>
    <t>Estimate!!Total:!!Group quarters population:!!Institutionalized group quarters population:!!Veteran</t>
  </si>
  <si>
    <t>B26107_009</t>
  </si>
  <si>
    <t>Estimate!!Total:!!Group quarters population:!!Institutionalized group quarters population:!!Nonveteran</t>
  </si>
  <si>
    <t>B26107_010</t>
  </si>
  <si>
    <t>B26107_011</t>
  </si>
  <si>
    <t>Estimate!!Total:!!Group quarters population:!!Institutionalized group quarters population:!!Adult correctional facilities:!!Veteran</t>
  </si>
  <si>
    <t>B26107_012</t>
  </si>
  <si>
    <t>Estimate!!Total:!!Group quarters population:!!Institutionalized group quarters population:!!Adult correctional facilities:!!Nonveteran</t>
  </si>
  <si>
    <t>B26107_013</t>
  </si>
  <si>
    <t>B26107_014</t>
  </si>
  <si>
    <t>Estimate!!Total:!!Group quarters population:!!Institutionalized group quarters population:!!Nursing facilities/skilled nursing facilities:!!Veteran</t>
  </si>
  <si>
    <t>B26107_015</t>
  </si>
  <si>
    <t>Estimate!!Total:!!Group quarters population:!!Institutionalized group quarters population:!!Nursing facilities/skilled nursing facilities:!!Nonveteran</t>
  </si>
  <si>
    <t>B26107_016</t>
  </si>
  <si>
    <t>B26107_017</t>
  </si>
  <si>
    <t>Estimate!!Total:!!Group quarters population:!!Noninstitutionalized group quarters population:!!Veteran</t>
  </si>
  <si>
    <t>B26107_018</t>
  </si>
  <si>
    <t>Estimate!!Total:!!Group quarters population:!!Noninstitutionalized group quarters population:!!Nonveteran</t>
  </si>
  <si>
    <t>B26107_019</t>
  </si>
  <si>
    <t>B26107_020</t>
  </si>
  <si>
    <t>Estimate!!Total:!!Group quarters population:!!Noninstitutionalized group quarters population:!!College/university student housing:!!Veteran</t>
  </si>
  <si>
    <t>B26107_021</t>
  </si>
  <si>
    <t>Estimate!!Total:!!Group quarters population:!!Noninstitutionalized group quarters population:!!College/university student housing:!!Nonveteran</t>
  </si>
  <si>
    <t>B26107_022</t>
  </si>
  <si>
    <t>B26108_002</t>
  </si>
  <si>
    <t>Estimate!!Total:!!With a disability</t>
  </si>
  <si>
    <t>B26108_003</t>
  </si>
  <si>
    <t>Estimate!!Total:!!No disability</t>
  </si>
  <si>
    <t>B26108_004</t>
  </si>
  <si>
    <t>Estimate!!Total:!!Population under 18 years:</t>
  </si>
  <si>
    <t>B26108_005</t>
  </si>
  <si>
    <t>Estimate!!Total:!!Population under 18 years:!!With a disability</t>
  </si>
  <si>
    <t>B26108_006</t>
  </si>
  <si>
    <t>Estimate!!Total:!!Population under 18 years:!!No disability</t>
  </si>
  <si>
    <t>B26108_007</t>
  </si>
  <si>
    <t>Estimate!!Total:!!Population 18 to 64 years:</t>
  </si>
  <si>
    <t>B26108_008</t>
  </si>
  <si>
    <t>Estimate!!Total:!!Population 18 to 64 years:!!With a disability</t>
  </si>
  <si>
    <t>B26108_009</t>
  </si>
  <si>
    <t>Estimate!!Total:!!Population 18 to 64 years:!!No disability</t>
  </si>
  <si>
    <t>B26108_010</t>
  </si>
  <si>
    <t>Estimate!!Total:!!Population 65 years and over:</t>
  </si>
  <si>
    <t>B26108_011</t>
  </si>
  <si>
    <t>Estimate!!Total:!!Population 65 years and over:!!With a disability</t>
  </si>
  <si>
    <t>B26108_012</t>
  </si>
  <si>
    <t>Estimate!!Total:!!Population 65 years and over:!!No disability</t>
  </si>
  <si>
    <t>B26108_013</t>
  </si>
  <si>
    <t>B26108_014</t>
  </si>
  <si>
    <t>Estimate!!Total:!!Group quarters population:!!With a disability</t>
  </si>
  <si>
    <t>B26108_015</t>
  </si>
  <si>
    <t>Estimate!!Total:!!Group quarters population:!!No disability</t>
  </si>
  <si>
    <t>B26108_016</t>
  </si>
  <si>
    <t>Estimate!!Total:!!Group quarters population:!!Population under 18 years:</t>
  </si>
  <si>
    <t>B26108_017</t>
  </si>
  <si>
    <t>Estimate!!Total:!!Group quarters population:!!Population under 18 years:!!With a disability</t>
  </si>
  <si>
    <t>B26108_018</t>
  </si>
  <si>
    <t>Estimate!!Total:!!Group quarters population:!!Population under 18 years:!!No disability</t>
  </si>
  <si>
    <t>B26108_019</t>
  </si>
  <si>
    <t>Estimate!!Total:!!Group quarters population:!!Population 18 to 64 years:</t>
  </si>
  <si>
    <t>B26108_020</t>
  </si>
  <si>
    <t>Estimate!!Total:!!Group quarters population:!!Population 18 to 64 years:!!With a disability</t>
  </si>
  <si>
    <t>B26108_021</t>
  </si>
  <si>
    <t>Estimate!!Total:!!Group quarters population:!!Population 18 to 64 years:!!No disability</t>
  </si>
  <si>
    <t>B26108_022</t>
  </si>
  <si>
    <t>Estimate!!Total:!!Group quarters population:!!Population 65 years and over:</t>
  </si>
  <si>
    <t>B26108_023</t>
  </si>
  <si>
    <t>Estimate!!Total:!!Group quarters population:!!Population 65 years and over:!!With a disability</t>
  </si>
  <si>
    <t>B26108_024</t>
  </si>
  <si>
    <t>Estimate!!Total:!!Group quarters population:!!Population 65 years and over:!!No disability</t>
  </si>
  <si>
    <t>B26108_025</t>
  </si>
  <si>
    <t>B26108_026</t>
  </si>
  <si>
    <t>Estimate!!Total:!!Group quarters population:!!Institutionalized group quarters population:!!With a disability</t>
  </si>
  <si>
    <t>B26108_027</t>
  </si>
  <si>
    <t>Estimate!!Total:!!Group quarters population:!!Institutionalized group quarters population:!!No disability</t>
  </si>
  <si>
    <t>B26108_028</t>
  </si>
  <si>
    <t>Estimate!!Total:!!Group quarters population:!!Institutionalized group quarters population:!!Population under 18 years:</t>
  </si>
  <si>
    <t>B26108_029</t>
  </si>
  <si>
    <t>Estimate!!Total:!!Group quarters population:!!Institutionalized group quarters population:!!Population under 18 years:!!With a disability</t>
  </si>
  <si>
    <t>B26108_030</t>
  </si>
  <si>
    <t>Estimate!!Total:!!Group quarters population:!!Institutionalized group quarters population:!!Population under 18 years:!!No disability</t>
  </si>
  <si>
    <t>B26108_031</t>
  </si>
  <si>
    <t>Estimate!!Total:!!Group quarters population:!!Institutionalized group quarters population:!!Population 18 to 64 years:</t>
  </si>
  <si>
    <t>B26108_032</t>
  </si>
  <si>
    <t>Estimate!!Total:!!Group quarters population:!!Institutionalized group quarters population:!!Population 18 to 64 years:!!With a disability</t>
  </si>
  <si>
    <t>B26108_033</t>
  </si>
  <si>
    <t>Estimate!!Total:!!Group quarters population:!!Institutionalized group quarters population:!!Population 18 to 64 years:!!No disability</t>
  </si>
  <si>
    <t>B26108_034</t>
  </si>
  <si>
    <t>Estimate!!Total:!!Group quarters population:!!Institutionalized group quarters population:!!Population 65 years and over:</t>
  </si>
  <si>
    <t>B26108_035</t>
  </si>
  <si>
    <t>Estimate!!Total:!!Group quarters population:!!Institutionalized group quarters population:!!Population 65 years and over:!!With a disability</t>
  </si>
  <si>
    <t>B26108_036</t>
  </si>
  <si>
    <t>Estimate!!Total:!!Group quarters population:!!Institutionalized group quarters population:!!Population 65 years and over:!!No disability</t>
  </si>
  <si>
    <t>B26108_037</t>
  </si>
  <si>
    <t>B26108_038</t>
  </si>
  <si>
    <t>Estimate!!Total:!!Group quarters population:!!Institutionalized group quarters population:!!Adult correctional facilities:!!With a disability</t>
  </si>
  <si>
    <t>B26108_039</t>
  </si>
  <si>
    <t>Estimate!!Total:!!Group quarters population:!!Institutionalized group quarters population:!!Adult correctional facilities:!!No disability</t>
  </si>
  <si>
    <t>B26108_040</t>
  </si>
  <si>
    <t>Estimate!!Total:!!Group quarters population:!!Institutionalized group quarters population:!!Adult correctional facilities:!!Population under 18 years:</t>
  </si>
  <si>
    <t>B26108_041</t>
  </si>
  <si>
    <t>Estimate!!Total:!!Group quarters population:!!Institutionalized group quarters population:!!Adult correctional facilities:!!Population under 18 years:!!With a disability</t>
  </si>
  <si>
    <t>B26108_042</t>
  </si>
  <si>
    <t>Estimate!!Total:!!Group quarters population:!!Institutionalized group quarters population:!!Adult correctional facilities:!!Population under 18 years:!!No disability</t>
  </si>
  <si>
    <t>B26108_043</t>
  </si>
  <si>
    <t>Estimate!!Total:!!Group quarters population:!!Institutionalized group quarters population:!!Adult correctional facilities:!!Population 18 to 64 years:</t>
  </si>
  <si>
    <t>B26108_044</t>
  </si>
  <si>
    <t>Estimate!!Total:!!Group quarters population:!!Institutionalized group quarters population:!!Adult correctional facilities:!!Population 18 to 64 years:!!With a disability</t>
  </si>
  <si>
    <t>B26108_045</t>
  </si>
  <si>
    <t>Estimate!!Total:!!Group quarters population:!!Institutionalized group quarters population:!!Adult correctional facilities:!!Population 18 to 64 years:!!No disability</t>
  </si>
  <si>
    <t>B26108_046</t>
  </si>
  <si>
    <t>Estimate!!Total:!!Group quarters population:!!Institutionalized group quarters population:!!Adult correctional facilities:!!Population 65 years and over:</t>
  </si>
  <si>
    <t>B26108_047</t>
  </si>
  <si>
    <t>Estimate!!Total:!!Group quarters population:!!Institutionalized group quarters population:!!Adult correctional facilities:!!Population 65 years and over:!!With a disability</t>
  </si>
  <si>
    <t>B26108_048</t>
  </si>
  <si>
    <t>Estimate!!Total:!!Group quarters population:!!Institutionalized group quarters population:!!Adult correctional facilities:!!Population 65 years and over:!!No disability</t>
  </si>
  <si>
    <t>B26108_049</t>
  </si>
  <si>
    <t>B26108_050</t>
  </si>
  <si>
    <t>Estimate!!Total:!!Group quarters population:!!Institutionalized group quarters population:!!Nursing facilities/skilled nursing facilities:!!With a disability</t>
  </si>
  <si>
    <t>B26108_051</t>
  </si>
  <si>
    <t>Estimate!!Total:!!Group quarters population:!!Institutionalized group quarters population:!!Nursing facilities/skilled nursing facilities:!!No disability</t>
  </si>
  <si>
    <t>B26108_052</t>
  </si>
  <si>
    <t>Estimate!!Total:!!Group quarters population:!!Institutionalized group quarters population:!!Nursing facilities/skilled nursing facilities:!!Population 18 to 64 years:</t>
  </si>
  <si>
    <t>B26108_053</t>
  </si>
  <si>
    <t>Estimate!!Total:!!Group quarters population:!!Institutionalized group quarters population:!!Nursing facilities/skilled nursing facilities:!!Population 18 to 64 years:!!With a disability</t>
  </si>
  <si>
    <t>B26108_054</t>
  </si>
  <si>
    <t>Estimate!!Total:!!Group quarters population:!!Institutionalized group quarters population:!!Nursing facilities/skilled nursing facilities:!!Population 18 to 64 years:!!No disability</t>
  </si>
  <si>
    <t>B26108_055</t>
  </si>
  <si>
    <t>Estimate!!Total:!!Group quarters population:!!Institutionalized group quarters population:!!Nursing facilities/skilled nursing facilities:!!Population 65 years and over:</t>
  </si>
  <si>
    <t>B26108_056</t>
  </si>
  <si>
    <t>Estimate!!Total:!!Group quarters population:!!Institutionalized group quarters population:!!Nursing facilities/skilled nursing facilities:!!Population 65 years and over:!!With a disability</t>
  </si>
  <si>
    <t>B26108_057</t>
  </si>
  <si>
    <t>Estimate!!Total:!!Group quarters population:!!Institutionalized group quarters population:!!Nursing facilities/skilled nursing facilities:!!Population 65 years and over:!!No disability</t>
  </si>
  <si>
    <t>B26108_058</t>
  </si>
  <si>
    <t>B26108_059</t>
  </si>
  <si>
    <t>Estimate!!Total:!!Group quarters population:!!Noninstitutionalized group quarters population:!!With a disability</t>
  </si>
  <si>
    <t>B26108_060</t>
  </si>
  <si>
    <t>Estimate!!Total:!!Group quarters population:!!Noninstitutionalized group quarters population:!!No disability</t>
  </si>
  <si>
    <t>B26108_061</t>
  </si>
  <si>
    <t>Estimate!!Total:!!Group quarters population:!!Noninstitutionalized group quarters population:!!Population under 18 years:</t>
  </si>
  <si>
    <t>B26108_062</t>
  </si>
  <si>
    <t>Estimate!!Total:!!Group quarters population:!!Noninstitutionalized group quarters population:!!Population under 18 years:!!With a disability</t>
  </si>
  <si>
    <t>B26108_063</t>
  </si>
  <si>
    <t>Estimate!!Total:!!Group quarters population:!!Noninstitutionalized group quarters population:!!Population under 18 years:!!No disability</t>
  </si>
  <si>
    <t>B26108_064</t>
  </si>
  <si>
    <t>Estimate!!Total:!!Group quarters population:!!Noninstitutionalized group quarters population:!!Population 18 to 64 years:</t>
  </si>
  <si>
    <t>B26108_065</t>
  </si>
  <si>
    <t>Estimate!!Total:!!Group quarters population:!!Noninstitutionalized group quarters population:!!Population 18 to 64 years:!!With a disability</t>
  </si>
  <si>
    <t>B26108_066</t>
  </si>
  <si>
    <t>Estimate!!Total:!!Group quarters population:!!Noninstitutionalized group quarters population:!!Population 18 to 64 years:!!No disability</t>
  </si>
  <si>
    <t>B26108_067</t>
  </si>
  <si>
    <t>Estimate!!Total:!!Group quarters population:!!Noninstitutionalized group quarters population:!!Population 65 years and over:</t>
  </si>
  <si>
    <t>B26108_068</t>
  </si>
  <si>
    <t>Estimate!!Total:!!Group quarters population:!!Noninstitutionalized group quarters population:!!Population 65 years and over:!!With a disability</t>
  </si>
  <si>
    <t>B26108_069</t>
  </si>
  <si>
    <t>Estimate!!Total:!!Group quarters population:!!Noninstitutionalized group quarters population:!!Population 65 years and over:!!No disability</t>
  </si>
  <si>
    <t>B26108_070</t>
  </si>
  <si>
    <t>B26108_071</t>
  </si>
  <si>
    <t>Estimate!!Total:!!Group quarters population:!!Noninstitutionalized group quarters population:!!College/university student housing:!!With a disability</t>
  </si>
  <si>
    <t>B26108_072</t>
  </si>
  <si>
    <t>Estimate!!Total:!!Group quarters population:!!Noninstitutionalized group quarters population:!!College/university student housing:!!No disability</t>
  </si>
  <si>
    <t>B26108_073</t>
  </si>
  <si>
    <t>Estimate!!Total:!!Group quarters population:!!Noninstitutionalized group quarters population:!!College/university student housing:!!Population under 18 years:</t>
  </si>
  <si>
    <t>B26108_074</t>
  </si>
  <si>
    <t>Estimate!!Total:!!Group quarters population:!!Noninstitutionalized group quarters population:!!College/university student housing:!!Population under 18 years:!!With a disability</t>
  </si>
  <si>
    <t>B26108_075</t>
  </si>
  <si>
    <t>Estimate!!Total:!!Group quarters population:!!Noninstitutionalized group quarters population:!!College/university student housing:!!Population under 18 years:!!No disability</t>
  </si>
  <si>
    <t>B26108_076</t>
  </si>
  <si>
    <t>Estimate!!Total:!!Group quarters population:!!Noninstitutionalized group quarters population:!!College/university student housing:!!Population 18 to 64 years:</t>
  </si>
  <si>
    <t>B26108_077</t>
  </si>
  <si>
    <t>Estimate!!Total:!!Group quarters population:!!Noninstitutionalized group quarters population:!!College/university student housing:!!Population 18 to 64 years:!!With a disability</t>
  </si>
  <si>
    <t>B26108_078</t>
  </si>
  <si>
    <t>Estimate!!Total:!!Group quarters population:!!Noninstitutionalized group quarters population:!!College/university student housing:!!Population 18 to 64 years:!!No disability</t>
  </si>
  <si>
    <t>B26108_079</t>
  </si>
  <si>
    <t>Estimate!!Total:!!Group quarters population:!!Noninstitutionalized group quarters population:!!College/university student housing:!!Population 65 years:</t>
  </si>
  <si>
    <t>B26108_080</t>
  </si>
  <si>
    <t>Estimate!!Total:!!Group quarters population:!!Noninstitutionalized group quarters population:!!College/university student housing:!!Population 65 years:!!With a disability</t>
  </si>
  <si>
    <t>B26108_081</t>
  </si>
  <si>
    <t>Estimate!!Total:!!Group quarters population:!!Noninstitutionalized group quarters population:!!College/university student housing:!!Population 65 years:!!No disability</t>
  </si>
  <si>
    <t>B26108_082</t>
  </si>
  <si>
    <t>B26109PR_002</t>
  </si>
  <si>
    <t>Estimate!!Total:!!Same address</t>
  </si>
  <si>
    <t>B26109PR_003</t>
  </si>
  <si>
    <t>Estimate!!Total:!!Different address in Puerto Rico or the United States:</t>
  </si>
  <si>
    <t>B26109PR_004</t>
  </si>
  <si>
    <t>Estimate!!Total:!!Different address in Puerto Rico or the United States:!!In Puerto Rico:</t>
  </si>
  <si>
    <t>B26109PR_005</t>
  </si>
  <si>
    <t>Estimate!!Total:!!Different address in Puerto Rico or the United States:!!In Puerto Rico:!!Same municipio</t>
  </si>
  <si>
    <t>B26109PR_006</t>
  </si>
  <si>
    <t>Estimate!!Total:!!Different address in Puerto Rico or the United States:!!In Puerto Rico:!!Different municipio</t>
  </si>
  <si>
    <t>B26109PR_007</t>
  </si>
  <si>
    <t>Estimate!!Total:!!Different address in Puerto Rico or the United States:!!In the United States</t>
  </si>
  <si>
    <t>B26109PR_008</t>
  </si>
  <si>
    <t>Estimate!!Total:!!Elsewhere</t>
  </si>
  <si>
    <t>B26109PR_009</t>
  </si>
  <si>
    <t>B26109PR_010</t>
  </si>
  <si>
    <t>Estimate!!Total:!!Group quarters population:!!Same address</t>
  </si>
  <si>
    <t>B26109PR_011</t>
  </si>
  <si>
    <t>Estimate!!Total:!!Group quarters population:!!Different address in Puerto Rico or the United States:</t>
  </si>
  <si>
    <t>B26109PR_012</t>
  </si>
  <si>
    <t>Estimate!!Total:!!Group quarters population:!!Different address in Puerto Rico or the United States:!!In Puerto Rico:</t>
  </si>
  <si>
    <t>B26109PR_013</t>
  </si>
  <si>
    <t>Estimate!!Total:!!Group quarters population:!!Different address in Puerto Rico or the United States:!!In Puerto Rico:!!Same municipio</t>
  </si>
  <si>
    <t>B26109PR_014</t>
  </si>
  <si>
    <t>Estimate!!Total:!!Group quarters population:!!Different address in Puerto Rico or the United States:!!In Puerto Rico:!!Different municipio</t>
  </si>
  <si>
    <t>B26109PR_015</t>
  </si>
  <si>
    <t>Estimate!!Total:!!Group quarters population:!!Different address in Puerto Rico or the United States:!!In the United States</t>
  </si>
  <si>
    <t>B26109PR_016</t>
  </si>
  <si>
    <t>Estimate!!Total:!!Group quarters population:!!Elsewhere</t>
  </si>
  <si>
    <t>B26109PR_017</t>
  </si>
  <si>
    <t>B26109PR_018</t>
  </si>
  <si>
    <t>Estimate!!Total:!!Group quarters population:!!Institutionalized group quarters population:!!Same address</t>
  </si>
  <si>
    <t>B26109PR_019</t>
  </si>
  <si>
    <t>Estimate!!Total:!!Group quarters population:!!Institutionalized group quarters population:!!Different address in Puerto Rico or the United States:</t>
  </si>
  <si>
    <t>B26109PR_020</t>
  </si>
  <si>
    <t>Estimate!!Total:!!Group quarters population:!!Institutionalized group quarters population:!!Different address in Puerto Rico or the United States:!!In Puerto Rico:</t>
  </si>
  <si>
    <t>B26109PR_021</t>
  </si>
  <si>
    <t>Estimate!!Total:!!Group quarters population:!!Institutionalized group quarters population:!!Different address in Puerto Rico or the United States:!!In Puerto Rico:!!Same municipio</t>
  </si>
  <si>
    <t>B26109PR_022</t>
  </si>
  <si>
    <t>Estimate!!Total:!!Group quarters population:!!Institutionalized group quarters population:!!Different address in Puerto Rico or the United States:!!In Puerto Rico:!!Different municipio</t>
  </si>
  <si>
    <t>B26109PR_023</t>
  </si>
  <si>
    <t>Estimate!!Total:!!Group quarters population:!!Institutionalized group quarters population:!!Different address in Puerto Rico or the United States:!!In the United States</t>
  </si>
  <si>
    <t>B26109PR_024</t>
  </si>
  <si>
    <t>Estimate!!Total:!!Group quarters population:!!Institutionalized group quarters population:!!Elsewhere</t>
  </si>
  <si>
    <t>B26109PR_025</t>
  </si>
  <si>
    <t>B26109PR_026</t>
  </si>
  <si>
    <t>Estimate!!Total:!!Group quarters population:!!Institutionalized group quarters population:!!Adult correctional facilities:!!Same address</t>
  </si>
  <si>
    <t>B26109PR_027</t>
  </si>
  <si>
    <t>Estimate!!Total:!!Group quarters population:!!Institutionalized group quarters population:!!Adult correctional facilities:!!Different address in Puerto Rico or the United States:</t>
  </si>
  <si>
    <t>B26109PR_028</t>
  </si>
  <si>
    <t>Estimate!!Total:!!Group quarters population:!!Institutionalized group quarters population:!!Adult correctional facilities:!!Different address in Puerto Rico or the United States:!!In Puerto Rico:</t>
  </si>
  <si>
    <t>B26109PR_029</t>
  </si>
  <si>
    <t>Estimate!!Total:!!Group quarters population:!!Institutionalized group quarters population:!!Adult correctional facilities:!!Different address in Puerto Rico or the United States:!!In Puerto Rico:!!Same municipio</t>
  </si>
  <si>
    <t>B26109PR_030</t>
  </si>
  <si>
    <t>Estimate!!Total:!!Group quarters population:!!Institutionalized group quarters population:!!Adult correctional facilities:!!Different address in Puerto Rico or the United States:!!In Puerto Rico:!!Different municipio</t>
  </si>
  <si>
    <t>B26109PR_031</t>
  </si>
  <si>
    <t>Estimate!!Total:!!Group quarters population:!!Institutionalized group quarters population:!!Adult correctional facilities:!!Different address in Puerto Rico or the United States:!!In the United States</t>
  </si>
  <si>
    <t>B26109PR_032</t>
  </si>
  <si>
    <t>Estimate!!Total:!!Group quarters population:!!Institutionalized group quarters population:!!Adult correctional facilities:!!Elsewhere</t>
  </si>
  <si>
    <t>B26109PR_033</t>
  </si>
  <si>
    <t>B26109PR_034</t>
  </si>
  <si>
    <t>Estimate!!Total:!!Group quarters population:!!Institutionalized group quarters population:!!Nursing facilities/skilled nursing facilities:!!Same address</t>
  </si>
  <si>
    <t>B26109PR_035</t>
  </si>
  <si>
    <t>Estimate!!Total:!!Group quarters population:!!Institutionalized group quarters population:!!Nursing facilities/skilled nursing facilities:!!Different address in Puerto Rico or the United States:</t>
  </si>
  <si>
    <t>B26109PR_036</t>
  </si>
  <si>
    <t>Estimate!!Total:!!Group quarters population:!!Institutionalized group quarters population:!!Nursing facilities/skilled nursing facilities:!!Different address in Puerto Rico or the United States:!!In Puerto Rico:</t>
  </si>
  <si>
    <t>B26109PR_037</t>
  </si>
  <si>
    <t>Estimate!!Total:!!Group quarters population:!!Institutionalized group quarters population:!!Nursing facilities/skilled nursing facilities:!!Different address in Puerto Rico or the United States:!!In Puerto Rico:!!Same municipio</t>
  </si>
  <si>
    <t>B26109PR_038</t>
  </si>
  <si>
    <t>Estimate!!Total:!!Group quarters population:!!Institutionalized group quarters population:!!Nursing facilities/skilled nursing facilities:!!Different address in Puerto Rico or the United States:!!In Puerto Rico:!!Different municipio</t>
  </si>
  <si>
    <t>B26109PR_039</t>
  </si>
  <si>
    <t>Estimate!!Total:!!Group quarters population:!!Institutionalized group quarters population:!!Nursing facilities/skilled nursing facilities:!!Different address in Puerto Rico or the United States:!!In the United States</t>
  </si>
  <si>
    <t>B26109PR_040</t>
  </si>
  <si>
    <t>Estimate!!Total:!!Group quarters population:!!Institutionalized group quarters population:!!Nursing facilities/skilled nursing facilities:!!Elsewhere</t>
  </si>
  <si>
    <t>B26109PR_041</t>
  </si>
  <si>
    <t>B26109PR_042</t>
  </si>
  <si>
    <t>Estimate!!Total:!!Group quarters population:!!Noninstitutionalized group quarters population:!!Same address</t>
  </si>
  <si>
    <t>B26109PR_043</t>
  </si>
  <si>
    <t>Estimate!!Total:!!Group quarters population:!!Noninstitutionalized group quarters population:!!Different address in Puerto Rico or the United States:</t>
  </si>
  <si>
    <t>B26109PR_044</t>
  </si>
  <si>
    <t>Estimate!!Total:!!Group quarters population:!!Noninstitutionalized group quarters population:!!Different address in Puerto Rico or the United States:!!In Puerto Rico:</t>
  </si>
  <si>
    <t>B26109PR_045</t>
  </si>
  <si>
    <t>Estimate!!Total:!!Group quarters population:!!Noninstitutionalized group quarters population:!!Different address in Puerto Rico or the United States:!!In Puerto Rico:!!Same municipio</t>
  </si>
  <si>
    <t>B26109PR_046</t>
  </si>
  <si>
    <t>Estimate!!Total:!!Group quarters population:!!Noninstitutionalized group quarters population:!!Different address in Puerto Rico or the United States:!!In Puerto Rico:!!Different municipio</t>
  </si>
  <si>
    <t>B26109PR_047</t>
  </si>
  <si>
    <t>Estimate!!Total:!!Group quarters population:!!Noninstitutionalized group quarters population:!!Different address in Puerto Rico or the United States:!!In the United States</t>
  </si>
  <si>
    <t>B26109PR_048</t>
  </si>
  <si>
    <t>Estimate!!Total:!!Group quarters population:!!Noninstitutionalized group quarters population:!!Elsewhere</t>
  </si>
  <si>
    <t>B26109PR_049</t>
  </si>
  <si>
    <t>B26109PR_050</t>
  </si>
  <si>
    <t>Estimate!!Total:!!Group quarters population:!!Noninstitutionalized group quarters population:!!College/university student housing:!!Same address</t>
  </si>
  <si>
    <t>B26109PR_051</t>
  </si>
  <si>
    <t>Estimate!!Total:!!Group quarters population:!!Noninstitutionalized group quarters population:!!College/university student housing:!!Different address in Puerto Rico or the United States:</t>
  </si>
  <si>
    <t>B26109PR_052</t>
  </si>
  <si>
    <t>Estimate!!Total:!!Group quarters population:!!Noninstitutionalized group quarters population:!!College/university student housing:!!Different address in Puerto Rico or the United States:!!In Puerto Rico:</t>
  </si>
  <si>
    <t>B26109PR_053</t>
  </si>
  <si>
    <t>Estimate!!Total:!!Group quarters population:!!Noninstitutionalized group quarters population:!!College/university student housing:!!Different address in Puerto Rico or the United States:!!In Puerto Rico:!!Same municipio</t>
  </si>
  <si>
    <t>B26109PR_054</t>
  </si>
  <si>
    <t>Estimate!!Total:!!Group quarters population:!!Noninstitutionalized group quarters population:!!College/university student housing:!!Different address in Puerto Rico or the United States:!!In Puerto Rico:!!Different municipio</t>
  </si>
  <si>
    <t>B26109PR_055</t>
  </si>
  <si>
    <t>Estimate!!Total:!!Group quarters population:!!Noninstitutionalized group quarters population:!!College/university student housing:!!Different address in Puerto Rico or the United States:!!In the United States</t>
  </si>
  <si>
    <t>B26109PR_056</t>
  </si>
  <si>
    <t>Estimate!!Total:!!Group quarters population:!!Noninstitutionalized group quarters population:!!College/university student housing:!!Elsewhere</t>
  </si>
  <si>
    <t>B26109PR_057</t>
  </si>
  <si>
    <t>B26109_002</t>
  </si>
  <si>
    <t>B26109_003</t>
  </si>
  <si>
    <t>Estimate!!Total:!!Different address in the United States:</t>
  </si>
  <si>
    <t>B26109_004</t>
  </si>
  <si>
    <t>Estimate!!Total:!!Different address in the United States:!!Same county</t>
  </si>
  <si>
    <t>B26109_005</t>
  </si>
  <si>
    <t>Estimate!!Total:!!Different address in the United States:!!Different county:</t>
  </si>
  <si>
    <t>B26109_006</t>
  </si>
  <si>
    <t>Estimate!!Total:!!Different address in the United States:!!Different county:!!Same state</t>
  </si>
  <si>
    <t>B26109_007</t>
  </si>
  <si>
    <t>Estimate!!Total:!!Different address in the United States:!!Different county:!!Different state</t>
  </si>
  <si>
    <t>B26109_008</t>
  </si>
  <si>
    <t>Estimate!!Total:!!Abroad</t>
  </si>
  <si>
    <t>B26109_009</t>
  </si>
  <si>
    <t>B26109_010</t>
  </si>
  <si>
    <t>B26109_011</t>
  </si>
  <si>
    <t>Estimate!!Total:!!Group quarters population:!!Different address in the United States:</t>
  </si>
  <si>
    <t>B26109_012</t>
  </si>
  <si>
    <t>Estimate!!Total:!!Group quarters population:!!Different address in the United States:!!Same county</t>
  </si>
  <si>
    <t>B26109_013</t>
  </si>
  <si>
    <t>Estimate!!Total:!!Group quarters population:!!Different address in the United States:!!Different county:</t>
  </si>
  <si>
    <t>B26109_014</t>
  </si>
  <si>
    <t>Estimate!!Total:!!Group quarters population:!!Different address in the United States:!!Different county:!!Same state</t>
  </si>
  <si>
    <t>B26109_015</t>
  </si>
  <si>
    <t>Estimate!!Total:!!Group quarters population:!!Different address in the United States:!!Different county:!!Different state</t>
  </si>
  <si>
    <t>B26109_016</t>
  </si>
  <si>
    <t>Estimate!!Total:!!Group quarters population:!!Abroad</t>
  </si>
  <si>
    <t>B26109_017</t>
  </si>
  <si>
    <t>B26109_018</t>
  </si>
  <si>
    <t>B26109_019</t>
  </si>
  <si>
    <t>Estimate!!Total:!!Group quarters population:!!Institutionalized group quarters population:!!Different address in the United States:</t>
  </si>
  <si>
    <t>B26109_020</t>
  </si>
  <si>
    <t>Estimate!!Total:!!Group quarters population:!!Institutionalized group quarters population:!!Different address in the United States:!!Same county</t>
  </si>
  <si>
    <t>B26109_021</t>
  </si>
  <si>
    <t>Estimate!!Total:!!Group quarters population:!!Institutionalized group quarters population:!!Different address in the United States:!!Different county:</t>
  </si>
  <si>
    <t>B26109_022</t>
  </si>
  <si>
    <t>Estimate!!Total:!!Group quarters population:!!Institutionalized group quarters population:!!Different address in the United States:!!Different county:!!Same state</t>
  </si>
  <si>
    <t>B26109_023</t>
  </si>
  <si>
    <t>Estimate!!Total:!!Group quarters population:!!Institutionalized group quarters population:!!Different address in the United States:!!Different county:!!Different state</t>
  </si>
  <si>
    <t>B26109_024</t>
  </si>
  <si>
    <t>Estimate!!Total:!!Group quarters population:!!Institutionalized group quarters population:!!Abroad</t>
  </si>
  <si>
    <t>B26109_025</t>
  </si>
  <si>
    <t>B26109_026</t>
  </si>
  <si>
    <t>B26109_027</t>
  </si>
  <si>
    <t>Estimate!!Total:!!Group quarters population:!!Institutionalized group quarters population:!!Adult correctional facilities:!!Different address in the United States:</t>
  </si>
  <si>
    <t>B26109_028</t>
  </si>
  <si>
    <t>Estimate!!Total:!!Group quarters population:!!Institutionalized group quarters population:!!Adult correctional facilities:!!Different address in the United States:!!Same county</t>
  </si>
  <si>
    <t>B26109_029</t>
  </si>
  <si>
    <t>Estimate!!Total:!!Group quarters population:!!Institutionalized group quarters population:!!Adult correctional facilities:!!Different address in the United States:!!Different county:</t>
  </si>
  <si>
    <t>B26109_030</t>
  </si>
  <si>
    <t>Estimate!!Total:!!Group quarters population:!!Institutionalized group quarters population:!!Adult correctional facilities:!!Different address in the United States:!!Different county:!!Same state</t>
  </si>
  <si>
    <t>B26109_031</t>
  </si>
  <si>
    <t>Estimate!!Total:!!Group quarters population:!!Institutionalized group quarters population:!!Adult correctional facilities:!!Different address in the United States:!!Different county:!!Different state</t>
  </si>
  <si>
    <t>B26109_032</t>
  </si>
  <si>
    <t>Estimate!!Total:!!Group quarters population:!!Institutionalized group quarters population:!!Adult correctional facilities:!!Abroad</t>
  </si>
  <si>
    <t>B26109_033</t>
  </si>
  <si>
    <t>B26109_034</t>
  </si>
  <si>
    <t>B26109_035</t>
  </si>
  <si>
    <t>Estimate!!Total:!!Group quarters population:!!Institutionalized group quarters population:!!Nursing facilities/skilled nursing facilities:!!Different address in the United States:</t>
  </si>
  <si>
    <t>B26109_036</t>
  </si>
  <si>
    <t>Estimate!!Total:!!Group quarters population:!!Institutionalized group quarters population:!!Nursing facilities/skilled nursing facilities:!!Different address in the United States:!!Same county</t>
  </si>
  <si>
    <t>B26109_037</t>
  </si>
  <si>
    <t>Estimate!!Total:!!Group quarters population:!!Institutionalized group quarters population:!!Nursing facilities/skilled nursing facilities:!!Different address in the United States:!!Different county:</t>
  </si>
  <si>
    <t>B26109_038</t>
  </si>
  <si>
    <t>Estimate!!Total:!!Group quarters population:!!Institutionalized group quarters population:!!Nursing facilities/skilled nursing facilities:!!Different address in the United States:!!Different county:!!Same state</t>
  </si>
  <si>
    <t>B26109_039</t>
  </si>
  <si>
    <t>Estimate!!Total:!!Group quarters population:!!Institutionalized group quarters population:!!Nursing facilities/skilled nursing facilities:!!Different address in the United States:!!Different county:!!Different state</t>
  </si>
  <si>
    <t>B26109_040</t>
  </si>
  <si>
    <t>Estimate!!Total:!!Group quarters population:!!Institutionalized group quarters population:!!Nursing facilities/skilled nursing facilities:!!Abroad</t>
  </si>
  <si>
    <t>B26109_041</t>
  </si>
  <si>
    <t>B26109_042</t>
  </si>
  <si>
    <t>B26109_043</t>
  </si>
  <si>
    <t>Estimate!!Total:!!Group quarters population:!!Noninstitutionalized group quarters population:!!Different address in the United States:</t>
  </si>
  <si>
    <t>B26109_044</t>
  </si>
  <si>
    <t>Estimate!!Total:!!Group quarters population:!!Noninstitutionalized group quarters population:!!Different address in the United States:!!Same county</t>
  </si>
  <si>
    <t>B26109_045</t>
  </si>
  <si>
    <t>Estimate!!Total:!!Group quarters population:!!Noninstitutionalized group quarters population:!!Different address in the United States:!!Different county:</t>
  </si>
  <si>
    <t>B26109_046</t>
  </si>
  <si>
    <t>Estimate!!Total:!!Group quarters population:!!Noninstitutionalized group quarters population:!!Different address in the United States:!!Different county:!!Same state</t>
  </si>
  <si>
    <t>B26109_047</t>
  </si>
  <si>
    <t>Estimate!!Total:!!Group quarters population:!!Noninstitutionalized group quarters population:!!Different address in the United States:!!Different county:!!Different state</t>
  </si>
  <si>
    <t>B26109_048</t>
  </si>
  <si>
    <t>Estimate!!Total:!!Group quarters population:!!Noninstitutionalized group quarters population:!!Abroad</t>
  </si>
  <si>
    <t>B26109_049</t>
  </si>
  <si>
    <t>B26109_050</t>
  </si>
  <si>
    <t>B26109_051</t>
  </si>
  <si>
    <t>Estimate!!Total:!!Group quarters population:!!Noninstitutionalized group quarters population:!!College/university student housing:!!Different address in the United States:</t>
  </si>
  <si>
    <t>B26109_052</t>
  </si>
  <si>
    <t>Estimate!!Total:!!Group quarters population:!!Noninstitutionalized group quarters population:!!College/university student housing:!!Different address in the United States:!!Same county</t>
  </si>
  <si>
    <t>B26109_053</t>
  </si>
  <si>
    <t>Estimate!!Total:!!Group quarters population:!!Noninstitutionalized group quarters population:!!College/university student housing:!!Different address in the United States:!!Different county:</t>
  </si>
  <si>
    <t>B26109_054</t>
  </si>
  <si>
    <t>Estimate!!Total:!!Group quarters population:!!Noninstitutionalized group quarters population:!!College/university student housing:!!Different address in the United States:!!Different county:!!Same state</t>
  </si>
  <si>
    <t>B26109_055</t>
  </si>
  <si>
    <t>Estimate!!Total:!!Group quarters population:!!Noninstitutionalized group quarters population:!!College/university student housing:!!Different address in the United States:!!Different county:!!Different state</t>
  </si>
  <si>
    <t>B26109_056</t>
  </si>
  <si>
    <t>Estimate!!Total:!!Group quarters population:!!Noninstitutionalized group quarters population:!!College/university student housing:!!Abroad</t>
  </si>
  <si>
    <t>B26109_057</t>
  </si>
  <si>
    <t>B26110_002</t>
  </si>
  <si>
    <t>B26110_003</t>
  </si>
  <si>
    <t>B26110_004</t>
  </si>
  <si>
    <t>B26110_005</t>
  </si>
  <si>
    <t>B26110_006</t>
  </si>
  <si>
    <t>B26110_007</t>
  </si>
  <si>
    <t>B26110_008</t>
  </si>
  <si>
    <t>Estimate!!Total:!!Foreign born:!!Naturalized U.S. citizen:</t>
  </si>
  <si>
    <t>B26110_009</t>
  </si>
  <si>
    <t>Estimate!!Total:!!Foreign born:!!Naturalized U.S. citizen:!!Male</t>
  </si>
  <si>
    <t>B26110_010</t>
  </si>
  <si>
    <t>Estimate!!Total:!!Foreign born:!!Naturalized U.S. citizen:!!Female</t>
  </si>
  <si>
    <t>B26110_011</t>
  </si>
  <si>
    <t>Estimate!!Total:!!Foreign born:!!Not a U.S. citizen:</t>
  </si>
  <si>
    <t>B26110_012</t>
  </si>
  <si>
    <t>Estimate!!Total:!!Foreign born:!!Not a U.S. citizen:!!Male</t>
  </si>
  <si>
    <t>B26110_013</t>
  </si>
  <si>
    <t>Estimate!!Total:!!Foreign born:!!Not a U.S. citizen:!!Female</t>
  </si>
  <si>
    <t>B26110_014</t>
  </si>
  <si>
    <t>B26110_015</t>
  </si>
  <si>
    <t>Estimate!!Total:!!Group quarters population:!!Native:</t>
  </si>
  <si>
    <t>B26110_016</t>
  </si>
  <si>
    <t>Estimate!!Total:!!Group quarters population:!!Native:!!Male</t>
  </si>
  <si>
    <t>B26110_017</t>
  </si>
  <si>
    <t>Estimate!!Total:!!Group quarters population:!!Native:!!Female</t>
  </si>
  <si>
    <t>B26110_018</t>
  </si>
  <si>
    <t>Estimate!!Total:!!Group quarters population:!!Foreign born:</t>
  </si>
  <si>
    <t>B26110_019</t>
  </si>
  <si>
    <t>Estimate!!Total:!!Group quarters population:!!Foreign born:!!Male</t>
  </si>
  <si>
    <t>B26110_020</t>
  </si>
  <si>
    <t>Estimate!!Total:!!Group quarters population:!!Foreign born:!!Female</t>
  </si>
  <si>
    <t>B26110_021</t>
  </si>
  <si>
    <t>Estimate!!Total:!!Group quarters population:!!Foreign born:!!Naturalized U.S. citizen:</t>
  </si>
  <si>
    <t>B26110_022</t>
  </si>
  <si>
    <t>Estimate!!Total:!!Group quarters population:!!Foreign born:!!Naturalized U.S. citizen:!!Male</t>
  </si>
  <si>
    <t>B26110_023</t>
  </si>
  <si>
    <t>Estimate!!Total:!!Group quarters population:!!Foreign born:!!Naturalized U.S. citizen:!!Female</t>
  </si>
  <si>
    <t>B26110_024</t>
  </si>
  <si>
    <t>Estimate!!Total:!!Group quarters population:!!Foreign born:!!Not a U.S. citizen:</t>
  </si>
  <si>
    <t>B26110_025</t>
  </si>
  <si>
    <t>Estimate!!Total:!!Group quarters population:!!Foreign born:!!Not a U.S. citizen:!!Male</t>
  </si>
  <si>
    <t>B26110_026</t>
  </si>
  <si>
    <t>Estimate!!Total:!!Group quarters population:!!Foreign born:!!Not a U.S. citizen:!!Female</t>
  </si>
  <si>
    <t>B26110_027</t>
  </si>
  <si>
    <t>B26110_028</t>
  </si>
  <si>
    <t>Estimate!!Total:!!Group quarters population:!!Institutionalized group quarters population:!!Native:</t>
  </si>
  <si>
    <t>B26110_029</t>
  </si>
  <si>
    <t>Estimate!!Total:!!Group quarters population:!!Institutionalized group quarters population:!!Native:!!Male</t>
  </si>
  <si>
    <t>B26110_030</t>
  </si>
  <si>
    <t>Estimate!!Total:!!Group quarters population:!!Institutionalized group quarters population:!!Native:!!Female</t>
  </si>
  <si>
    <t>B26110_031</t>
  </si>
  <si>
    <t>Estimate!!Total:!!Group quarters population:!!Institutionalized group quarters population:!!Foreign born:</t>
  </si>
  <si>
    <t>B26110_032</t>
  </si>
  <si>
    <t>Estimate!!Total:!!Group quarters population:!!Institutionalized group quarters population:!!Foreign born:!!Male</t>
  </si>
  <si>
    <t>B26110_033</t>
  </si>
  <si>
    <t>Estimate!!Total:!!Group quarters population:!!Institutionalized group quarters population:!!Foreign born:!!Female</t>
  </si>
  <si>
    <t>B26110_034</t>
  </si>
  <si>
    <t>Estimate!!Total:!!Group quarters population:!!Institutionalized group quarters population:!!Foreign born:!!Naturalized U.S. citizen:</t>
  </si>
  <si>
    <t>B26110_035</t>
  </si>
  <si>
    <t>Estimate!!Total:!!Group quarters population:!!Institutionalized group quarters population:!!Foreign born:!!Naturalized U.S. citizen:!!Male</t>
  </si>
  <si>
    <t>B26110_036</t>
  </si>
  <si>
    <t>Estimate!!Total:!!Group quarters population:!!Institutionalized group quarters population:!!Foreign born:!!Naturalized U.S. citizen:!!Female</t>
  </si>
  <si>
    <t>B26110_037</t>
  </si>
  <si>
    <t>Estimate!!Total:!!Group quarters population:!!Institutionalized group quarters population:!!Foreign born:!!Not a U.S. citizen:</t>
  </si>
  <si>
    <t>B26110_038</t>
  </si>
  <si>
    <t>Estimate!!Total:!!Group quarters population:!!Institutionalized group quarters population:!!Foreign born:!!Not a U.S. citizen:!!Male</t>
  </si>
  <si>
    <t>B26110_039</t>
  </si>
  <si>
    <t>Estimate!!Total:!!Group quarters population:!!Institutionalized group quarters population:!!Foreign born:!!Not a U.S. citizen:!!Female</t>
  </si>
  <si>
    <t>B26110_040</t>
  </si>
  <si>
    <t>B26110_041</t>
  </si>
  <si>
    <t>Estimate!!Total:!!Group quarters population:!!Institutionalized group quarters population:!!Adult correctional facilities:!!Native:</t>
  </si>
  <si>
    <t>B26110_042</t>
  </si>
  <si>
    <t>Estimate!!Total:!!Group quarters population:!!Institutionalized group quarters population:!!Adult correctional facilities:!!Native:!!Male</t>
  </si>
  <si>
    <t>B26110_043</t>
  </si>
  <si>
    <t>Estimate!!Total:!!Group quarters population:!!Institutionalized group quarters population:!!Adult correctional facilities:!!Native:!!Female</t>
  </si>
  <si>
    <t>B26110_044</t>
  </si>
  <si>
    <t>Estimate!!Total:!!Group quarters population:!!Institutionalized group quarters population:!!Adult correctional facilities:!!Foreign born:</t>
  </si>
  <si>
    <t>B26110_045</t>
  </si>
  <si>
    <t>Estimate!!Total:!!Group quarters population:!!Institutionalized group quarters population:!!Adult correctional facilities:!!Foreign born:!!Male</t>
  </si>
  <si>
    <t>B26110_046</t>
  </si>
  <si>
    <t>Estimate!!Total:!!Group quarters population:!!Institutionalized group quarters population:!!Adult correctional facilities:!!Foreign born:!!Female</t>
  </si>
  <si>
    <t>B26110_047</t>
  </si>
  <si>
    <t>Estimate!!Total:!!Group quarters population:!!Institutionalized group quarters population:!!Adult correctional facilities:!!Foreign born:!!Naturalized U.S. citizen:</t>
  </si>
  <si>
    <t>B26110_048</t>
  </si>
  <si>
    <t>Estimate!!Total:!!Group quarters population:!!Institutionalized group quarters population:!!Adult correctional facilities:!!Foreign born:!!Naturalized U.S. citizen:!!Male</t>
  </si>
  <si>
    <t>B26110_049</t>
  </si>
  <si>
    <t>Estimate!!Total:!!Group quarters population:!!Institutionalized group quarters population:!!Adult correctional facilities:!!Foreign born:!!Naturalized U.S. citizen:!!Female</t>
  </si>
  <si>
    <t>B26110_050</t>
  </si>
  <si>
    <t>Estimate!!Total:!!Group quarters population:!!Institutionalized group quarters population:!!Adult correctional facilities:!!Foreign born:!!Not a U.S. citizen:</t>
  </si>
  <si>
    <t>B26110_051</t>
  </si>
  <si>
    <t>Estimate!!Total:!!Group quarters population:!!Institutionalized group quarters population:!!Adult correctional facilities:!!Foreign born:!!Not a U.S. citizen:!!Male</t>
  </si>
  <si>
    <t>B26110_052</t>
  </si>
  <si>
    <t>Estimate!!Total:!!Group quarters population:!!Institutionalized group quarters population:!!Adult correctional facilities:!!Foreign born:!!Not a U.S. citizen:!!Female</t>
  </si>
  <si>
    <t>B26110_053</t>
  </si>
  <si>
    <t>B26110_054</t>
  </si>
  <si>
    <t>Estimate!!Total:!!Group quarters population:!!Institutionalized group quarters population:!!Nursing facilities/skilled nursing facilities:!!Native:</t>
  </si>
  <si>
    <t>B26110_055</t>
  </si>
  <si>
    <t>Estimate!!Total:!!Group quarters population:!!Institutionalized group quarters population:!!Nursing facilities/skilled nursing facilities:!!Native:!!Male</t>
  </si>
  <si>
    <t>B26110_056</t>
  </si>
  <si>
    <t>Estimate!!Total:!!Group quarters population:!!Institutionalized group quarters population:!!Nursing facilities/skilled nursing facilities:!!Native:!!Female</t>
  </si>
  <si>
    <t>B26110_057</t>
  </si>
  <si>
    <t>Estimate!!Total:!!Group quarters population:!!Institutionalized group quarters population:!!Nursing facilities/skilled nursing facilities:!!Foreign born:</t>
  </si>
  <si>
    <t>B26110_058</t>
  </si>
  <si>
    <t>Estimate!!Total:!!Group quarters population:!!Institutionalized group quarters population:!!Nursing facilities/skilled nursing facilities:!!Foreign born:!!Male</t>
  </si>
  <si>
    <t>B26110_059</t>
  </si>
  <si>
    <t>Estimate!!Total:!!Group quarters population:!!Institutionalized group quarters population:!!Nursing facilities/skilled nursing facilities:!!Foreign born:!!Female</t>
  </si>
  <si>
    <t>B26110_060</t>
  </si>
  <si>
    <t>Estimate!!Total:!!Group quarters population:!!Institutionalized group quarters population:!!Nursing facilities/skilled nursing facilities:!!Foreign born:!!Naturalized U.S. citizen:</t>
  </si>
  <si>
    <t>B26110_061</t>
  </si>
  <si>
    <t>Estimate!!Total:!!Group quarters population:!!Institutionalized group quarters population:!!Nursing facilities/skilled nursing facilities:!!Foreign born:!!Naturalized U.S. citizen:!!Male</t>
  </si>
  <si>
    <t>B26110_062</t>
  </si>
  <si>
    <t>Estimate!!Total:!!Group quarters population:!!Institutionalized group quarters population:!!Nursing facilities/skilled nursing facilities:!!Foreign born:!!Naturalized U.S. citizen:!!Female</t>
  </si>
  <si>
    <t>B26110_063</t>
  </si>
  <si>
    <t>Estimate!!Total:!!Group quarters population:!!Institutionalized group quarters population:!!Nursing facilities/skilled nursing facilities:!!Foreign born:!!Not a U.S. citizen:</t>
  </si>
  <si>
    <t>B26110_064</t>
  </si>
  <si>
    <t>Estimate!!Total:!!Group quarters population:!!Institutionalized group quarters population:!!Nursing facilities/skilled nursing facilities:!!Foreign born:!!Not a U.S. citizen:!!Male</t>
  </si>
  <si>
    <t>B26110_065</t>
  </si>
  <si>
    <t>Estimate!!Total:!!Group quarters population:!!Institutionalized group quarters population:!!Nursing facilities/skilled nursing facilities:!!Foreign born:!!Not a U.S. citizen:!!Female</t>
  </si>
  <si>
    <t>B26110_066</t>
  </si>
  <si>
    <t>B26110_067</t>
  </si>
  <si>
    <t>Estimate!!Total:!!Group quarters population:!!Noninstitutionalized group quarters population:!!Native:</t>
  </si>
  <si>
    <t>B26110_068</t>
  </si>
  <si>
    <t>Estimate!!Total:!!Group quarters population:!!Noninstitutionalized group quarters population:!!Native:!!Male</t>
  </si>
  <si>
    <t>B26110_069</t>
  </si>
  <si>
    <t>Estimate!!Total:!!Group quarters population:!!Noninstitutionalized group quarters population:!!Native:!!Female</t>
  </si>
  <si>
    <t>B26110_070</t>
  </si>
  <si>
    <t>Estimate!!Total:!!Group quarters population:!!Noninstitutionalized group quarters population:!!Foreign born:</t>
  </si>
  <si>
    <t>B26110_071</t>
  </si>
  <si>
    <t>Estimate!!Total:!!Group quarters population:!!Noninstitutionalized group quarters population:!!Foreign born:!!Male</t>
  </si>
  <si>
    <t>B26110_072</t>
  </si>
  <si>
    <t>Estimate!!Total:!!Group quarters population:!!Noninstitutionalized group quarters population:!!Foreign born:!!Female</t>
  </si>
  <si>
    <t>B26110_073</t>
  </si>
  <si>
    <t>Estimate!!Total:!!Group quarters population:!!Noninstitutionalized group quarters population:!!Foreign born:!!Naturalized U.S. citizen:</t>
  </si>
  <si>
    <t>B26110_074</t>
  </si>
  <si>
    <t>Estimate!!Total:!!Group quarters population:!!Noninstitutionalized group quarters population:!!Foreign born:!!Naturalized U.S. citizen:!!Male</t>
  </si>
  <si>
    <t>B26110_075</t>
  </si>
  <si>
    <t>Estimate!!Total:!!Group quarters population:!!Noninstitutionalized group quarters population:!!Foreign born:!!Naturalized U.S. citizen:!!Female</t>
  </si>
  <si>
    <t>B26110_076</t>
  </si>
  <si>
    <t>Estimate!!Total:!!Group quarters population:!!Noninstitutionalized group quarters population:!!Foreign born:!!Not a U.S. citizen:</t>
  </si>
  <si>
    <t>B26110_077</t>
  </si>
  <si>
    <t>Estimate!!Total:!!Group quarters population:!!Noninstitutionalized group quarters population:!!Foreign born:!!Not a U.S. citizen:!!Male</t>
  </si>
  <si>
    <t>B26110_078</t>
  </si>
  <si>
    <t>Estimate!!Total:!!Group quarters population:!!Noninstitutionalized group quarters population:!!Foreign born:!!Not a U.S. citizen:!!Female</t>
  </si>
  <si>
    <t>B26110_079</t>
  </si>
  <si>
    <t>B26110_080</t>
  </si>
  <si>
    <t>Estimate!!Total:!!Group quarters population:!!Noninstitutionalized group quarters population:!!College/university student housing:!!Native:</t>
  </si>
  <si>
    <t>B26110_081</t>
  </si>
  <si>
    <t>Estimate!!Total:!!Group quarters population:!!Noninstitutionalized group quarters population:!!College/university student housing:!!Native:!!Male</t>
  </si>
  <si>
    <t>B26110_082</t>
  </si>
  <si>
    <t>Estimate!!Total:!!Group quarters population:!!Noninstitutionalized group quarters population:!!College/university student housing:!!Native:!!Female</t>
  </si>
  <si>
    <t>B26110_083</t>
  </si>
  <si>
    <t>Estimate!!Total:!!Group quarters population:!!Noninstitutionalized group quarters population:!!College/university student housing:!!Foreign born:</t>
  </si>
  <si>
    <t>B26110_084</t>
  </si>
  <si>
    <t>Estimate!!Total:!!Group quarters population:!!Noninstitutionalized group quarters population:!!College/university student housing:!!Foreign born:!!Male</t>
  </si>
  <si>
    <t>B26110_085</t>
  </si>
  <si>
    <t>Estimate!!Total:!!Group quarters population:!!Noninstitutionalized group quarters population:!!College/university student housing:!!Foreign born:!!Female</t>
  </si>
  <si>
    <t>B26110_086</t>
  </si>
  <si>
    <t>Estimate!!Total:!!Group quarters population:!!Noninstitutionalized group quarters population:!!College/university student housing:!!Foreign born:!!Naturalized U.S. citizen:</t>
  </si>
  <si>
    <t>B26110_087</t>
  </si>
  <si>
    <t>Estimate!!Total:!!Group quarters population:!!Noninstitutionalized group quarters population:!!College/university student housing:!!Foreign born:!!Naturalized U.S. citizen:!!Male</t>
  </si>
  <si>
    <t>B26110_088</t>
  </si>
  <si>
    <t>Estimate!!Total:!!Group quarters population:!!Noninstitutionalized group quarters population:!!College/university student housing:!!Foreign born:!!Naturalized U.S. citizen:!!Female</t>
  </si>
  <si>
    <t>B26110_089</t>
  </si>
  <si>
    <t>Estimate!!Total:!!Group quarters population:!!Noninstitutionalized group quarters population:!!College/university student housing:!!Foreign born:!!Not a U.S. citizen:</t>
  </si>
  <si>
    <t>B26110_090</t>
  </si>
  <si>
    <t>Estimate!!Total:!!Group quarters population:!!Noninstitutionalized group quarters population:!!College/university student housing:!!Foreign born:!!Not a U.S. citizen:!!Male</t>
  </si>
  <si>
    <t>B26110_091</t>
  </si>
  <si>
    <t>Estimate!!Total:!!Group quarters population:!!Noninstitutionalized group quarters population:!!College/university student housing:!!Foreign born:!!Not a U.S. citizen:!!Female</t>
  </si>
  <si>
    <t>B26110_092</t>
  </si>
  <si>
    <t>B26113_002</t>
  </si>
  <si>
    <t>B26113_003</t>
  </si>
  <si>
    <t>Estimate!!Total:!!Speak Language other than English:</t>
  </si>
  <si>
    <t>B26113_004</t>
  </si>
  <si>
    <t>Estimate!!Total:!!Speak Language other than English:!!Speak English "very well"</t>
  </si>
  <si>
    <t>B26113_005</t>
  </si>
  <si>
    <t>Estimate!!Total:!!Speak Language other than English:!!Speak English less than "very well"</t>
  </si>
  <si>
    <t>B26113_006</t>
  </si>
  <si>
    <t>B26113_007</t>
  </si>
  <si>
    <t>Estimate!!Total:!!Group quarters population:!!Speak only English</t>
  </si>
  <si>
    <t>B26113_008</t>
  </si>
  <si>
    <t>Estimate!!Total:!!Group quarters population:!!Speak Language other than English:</t>
  </si>
  <si>
    <t>B26113_009</t>
  </si>
  <si>
    <t>Estimate!!Total:!!Group quarters population:!!Speak Language other than English:!!Speak English "very well"</t>
  </si>
  <si>
    <t>B26113_010</t>
  </si>
  <si>
    <t>Estimate!!Total:!!Group quarters population:!!Speak Language other than English:!!Speak English less than "very well"</t>
  </si>
  <si>
    <t>B26113_011</t>
  </si>
  <si>
    <t>B26113_012</t>
  </si>
  <si>
    <t>Estimate!!Total:!!Group quarters population:!!Institutionalized group quarters population:!!Speak only English</t>
  </si>
  <si>
    <t>B26113_013</t>
  </si>
  <si>
    <t>Estimate!!Total:!!Group quarters population:!!Institutionalized group quarters population:!!Speak Language other than English:</t>
  </si>
  <si>
    <t>B26113_014</t>
  </si>
  <si>
    <t>Estimate!!Total:!!Group quarters population:!!Institutionalized group quarters population:!!Speak Language other than English:!!Speak English "very well"</t>
  </si>
  <si>
    <t>B26113_015</t>
  </si>
  <si>
    <t>Estimate!!Total:!!Group quarters population:!!Institutionalized group quarters population:!!Speak Language other than English:!!Speak English less than "very well"</t>
  </si>
  <si>
    <t>B26113_016</t>
  </si>
  <si>
    <t>B26113_017</t>
  </si>
  <si>
    <t>Estimate!!Total:!!Group quarters population:!!Institutionalized group quarters population:!!Adult correctional facilities:!!Speak only English</t>
  </si>
  <si>
    <t>B26113_018</t>
  </si>
  <si>
    <t>Estimate!!Total:!!Group quarters population:!!Institutionalized group quarters population:!!Adult correctional facilities:!!Speak Language other than English:</t>
  </si>
  <si>
    <t>B26113_019</t>
  </si>
  <si>
    <t>Estimate!!Total:!!Group quarters population:!!Institutionalized group quarters population:!!Adult correctional facilities:!!Speak Language other than English:!!Speak English "very well"</t>
  </si>
  <si>
    <t>B26113_020</t>
  </si>
  <si>
    <t>Estimate!!Total:!!Group quarters population:!!Institutionalized group quarters population:!!Adult correctional facilities:!!Speak Language other than English:!!Speak English less than "very well"</t>
  </si>
  <si>
    <t>B26113_021</t>
  </si>
  <si>
    <t>B26113_022</t>
  </si>
  <si>
    <t>Estimate!!Total:!!Group quarters population:!!Institutionalized group quarters population:!!Nursing facilities/skilled nursing facilities:!!Speak only English</t>
  </si>
  <si>
    <t>B26113_023</t>
  </si>
  <si>
    <t>Estimate!!Total:!!Group quarters population:!!Institutionalized group quarters population:!!Nursing facilities/skilled nursing facilities:!!Speak Language other than English:</t>
  </si>
  <si>
    <t>B26113_024</t>
  </si>
  <si>
    <t>Estimate!!Total:!!Group quarters population:!!Institutionalized group quarters population:!!Nursing facilities/skilled nursing facilities:!!Speak Language other than English:!!Speak English "very well"</t>
  </si>
  <si>
    <t>B26113_025</t>
  </si>
  <si>
    <t>Estimate!!Total:!!Group quarters population:!!Institutionalized group quarters population:!!Nursing facilities/skilled nursing facilities:!!Speak Language other than English:!!Speak English less than "very well"</t>
  </si>
  <si>
    <t>B26113_026</t>
  </si>
  <si>
    <t>B26113_027</t>
  </si>
  <si>
    <t>Estimate!!Total:!!Group quarters population:!!Noninstitutionalized group quarters population:!!Speak only English</t>
  </si>
  <si>
    <t>B26113_028</t>
  </si>
  <si>
    <t>Estimate!!Total:!!Group quarters population:!!Noninstitutionalized group quarters population:!!Speak Language other than English:</t>
  </si>
  <si>
    <t>B26113_029</t>
  </si>
  <si>
    <t>Estimate!!Total:!!Group quarters population:!!Noninstitutionalized group quarters population:!!Speak Language other than English:!!Speak English "very well"</t>
  </si>
  <si>
    <t>B26113_030</t>
  </si>
  <si>
    <t>Estimate!!Total:!!Group quarters population:!!Noninstitutionalized group quarters population:!!Speak Language other than English:!!Speak English less than "very well"</t>
  </si>
  <si>
    <t>B26113_031</t>
  </si>
  <si>
    <t>B26113_032</t>
  </si>
  <si>
    <t>Estimate!!Total:!!Group quarters population:!!Noninstitutionalized group quarters population:!!College/university student housing:!!Speak only English</t>
  </si>
  <si>
    <t>B26113_033</t>
  </si>
  <si>
    <t>Estimate!!Total:!!Group quarters population:!!Noninstitutionalized group quarters population:!!College/university student housing:!!Speak Language other than English:</t>
  </si>
  <si>
    <t>B26113_034</t>
  </si>
  <si>
    <t>Estimate!!Total:!!Group quarters population:!!Noninstitutionalized group quarters population:!!College/university student housing:!!Speak Language other than English:!!Speak English "very well"</t>
  </si>
  <si>
    <t>B26113_035</t>
  </si>
  <si>
    <t>Estimate!!Total:!!Group quarters population:!!Noninstitutionalized group quarters population:!!College/university student housing:!!Speak Language other than English:!!Speak English less than "very well"</t>
  </si>
  <si>
    <t>B26113_036</t>
  </si>
  <si>
    <t>B26114_002</t>
  </si>
  <si>
    <t>B26114_003</t>
  </si>
  <si>
    <t>B26114_004</t>
  </si>
  <si>
    <t>B26114_005</t>
  </si>
  <si>
    <t>B26114_006</t>
  </si>
  <si>
    <t>B26114_007</t>
  </si>
  <si>
    <t>B26114_008</t>
  </si>
  <si>
    <t>B26114_009</t>
  </si>
  <si>
    <t>Estimate!!Total:!!Group quarters population:!!In labor force:</t>
  </si>
  <si>
    <t>B26114_010</t>
  </si>
  <si>
    <t>Estimate!!Total:!!Group quarters population:!!In labor force:!!Civilian labor force:</t>
  </si>
  <si>
    <t>B26114_011</t>
  </si>
  <si>
    <t>Estimate!!Total:!!Group quarters population:!!In labor force:!!Civilian labor force:!!Employed</t>
  </si>
  <si>
    <t>B26114_012</t>
  </si>
  <si>
    <t>Estimate!!Total:!!Group quarters population:!!In labor force:!!Civilian labor force:!!Unemployed</t>
  </si>
  <si>
    <t>B26114_013</t>
  </si>
  <si>
    <t>Estimate!!Total:!!Group quarters population:!!In labor force:!!Armed Forces</t>
  </si>
  <si>
    <t>B26114_014</t>
  </si>
  <si>
    <t>Estimate!!Total:!!Group quarters population:!!Not in labor force</t>
  </si>
  <si>
    <t>B26114_015</t>
  </si>
  <si>
    <t>B26114_016</t>
  </si>
  <si>
    <t>Estimate!!Total:!!Group quarters population:!!Institutionalized group quarters population:!!Not in labor force</t>
  </si>
  <si>
    <t>B26114_017</t>
  </si>
  <si>
    <t>B26114_018</t>
  </si>
  <si>
    <t>Estimate!!Total:!!Group quarters population:!!Institutionalized group quarters population:!!Adult correctional facilities:!!Not in labor force</t>
  </si>
  <si>
    <t>B26114_019</t>
  </si>
  <si>
    <t>B26114_020</t>
  </si>
  <si>
    <t>Estimate!!Total:!!Group quarters population:!!Institutionalized group quarters population:!!Nursing facilities/skilled nursing facilities:!!Not in labor force</t>
  </si>
  <si>
    <t>B26114_021</t>
  </si>
  <si>
    <t>B26114_022</t>
  </si>
  <si>
    <t>Estimate!!Total:!!Group quarters population:!!Noninstitutionalized group quarters population:!!In labor force:</t>
  </si>
  <si>
    <t>B26114_023</t>
  </si>
  <si>
    <t>Estimate!!Total:!!Group quarters population:!!Noninstitutionalized group quarters population:!!In labor force:!!Civilian labor force:</t>
  </si>
  <si>
    <t>B26114_024</t>
  </si>
  <si>
    <t>Estimate!!Total:!!Group quarters population:!!Noninstitutionalized group quarters population:!!In labor force:!!Civilian labor force:!!Employed</t>
  </si>
  <si>
    <t>B26114_025</t>
  </si>
  <si>
    <t>Estimate!!Total:!!Group quarters population:!!Noninstitutionalized group quarters population:!!In labor force:!!Civilian labor force:!!Unemployed</t>
  </si>
  <si>
    <t>B26114_026</t>
  </si>
  <si>
    <t>Estimate!!Total:!!Group quarters population:!!Noninstitutionalized group quarters population:!!In labor force:!!Armed Forces</t>
  </si>
  <si>
    <t>B26114_027</t>
  </si>
  <si>
    <t>Estimate!!Total:!!Group quarters population:!!Noninstitutionalized group quarters population:!!Not in labor force</t>
  </si>
  <si>
    <t>B26114_028</t>
  </si>
  <si>
    <t>B26114_029</t>
  </si>
  <si>
    <t>Estimate!!Total:!!Group quarters population:!!Noninstitutionalized group quarters population:!!College/university student housing:!!In labor force:</t>
  </si>
  <si>
    <t>B26114_030</t>
  </si>
  <si>
    <t>Estimate!!Total:!!Group quarters population:!!Noninstitutionalized group quarters population:!!College/university student housing:!!In labor force:!!Civilian labor force:</t>
  </si>
  <si>
    <t>B26114_031</t>
  </si>
  <si>
    <t>Estimate!!Total:!!Group quarters population:!!Noninstitutionalized group quarters population:!!College/university student housing:!!In labor force:!!Civilian labor force:!!Employed</t>
  </si>
  <si>
    <t>B26114_032</t>
  </si>
  <si>
    <t>Estimate!!Total:!!Group quarters population:!!Noninstitutionalized group quarters population:!!College/university student housing:!!In labor force:!!Civilian labor force:!!Unemployed</t>
  </si>
  <si>
    <t>B26114_033</t>
  </si>
  <si>
    <t>Estimate!!Total:!!Group quarters population:!!Noninstitutionalized group quarters population:!!College/university student housing:!!In labor force:!!Armed Forces</t>
  </si>
  <si>
    <t>B26114_034</t>
  </si>
  <si>
    <t>Estimate!!Total:!!Group quarters population:!!Noninstitutionalized group quarters population:!!College/university student housing:!!Not in labor force</t>
  </si>
  <si>
    <t>B26114_035</t>
  </si>
  <si>
    <t>B26115_002</t>
  </si>
  <si>
    <t>B26115_003</t>
  </si>
  <si>
    <t>B26115_004</t>
  </si>
  <si>
    <t>B26115_005</t>
  </si>
  <si>
    <t>B26115_006</t>
  </si>
  <si>
    <t>B26115_007</t>
  </si>
  <si>
    <t>Estimate!!Total:!!Noninstitutionalized group quarters population:</t>
  </si>
  <si>
    <t>B26115_008</t>
  </si>
  <si>
    <t>Estimate!!Total:!!Noninstitutionalized group quarters population:!!Management, business, science, and arts occupations</t>
  </si>
  <si>
    <t>B26115_009</t>
  </si>
  <si>
    <t>Estimate!!Total:!!Noninstitutionalized group quarters population:!!Service occupations</t>
  </si>
  <si>
    <t>B26115_010</t>
  </si>
  <si>
    <t>Estimate!!Total:!!Noninstitutionalized group quarters population:!!Sales and office occupations</t>
  </si>
  <si>
    <t>B26115_011</t>
  </si>
  <si>
    <t>Estimate!!Total:!!Noninstitutionalized group quarters population:!!Natural resources, construction, and maintenance occupations</t>
  </si>
  <si>
    <t>B26115_012</t>
  </si>
  <si>
    <t>Estimate!!Total:!!Noninstitutionalized group quarters population:!!Production, transportation, and material moving occupations</t>
  </si>
  <si>
    <t>B26115_013</t>
  </si>
  <si>
    <t>Estimate!!Total:!!Noninstitutionalized group quarters population:!!College/university student housing:</t>
  </si>
  <si>
    <t>B26115_014</t>
  </si>
  <si>
    <t>Estimate!!Total:!!Noninstitutionalized group quarters population:!!College/university student housing:!!Management, business, science, and arts occupations</t>
  </si>
  <si>
    <t>B26115_015</t>
  </si>
  <si>
    <t>Estimate!!Total:!!Noninstitutionalized group quarters population:!!College/university student housing:!!Service occupations</t>
  </si>
  <si>
    <t>B26115_016</t>
  </si>
  <si>
    <t>Estimate!!Total:!!Noninstitutionalized group quarters population:!!College/university student housing:!!Sales and office occupations</t>
  </si>
  <si>
    <t>B26115_017</t>
  </si>
  <si>
    <t>Estimate!!Total:!!Noninstitutionalized group quarters population:!!College/university student housing:!!Natural resources, construction, and maintenance occupations</t>
  </si>
  <si>
    <t>B26115_018</t>
  </si>
  <si>
    <t>Estimate!!Total:!!Noninstitutionalized group quarters population:!!College/university student housing:!!Production, transportation, and material moving occupations</t>
  </si>
  <si>
    <t>B26115_019</t>
  </si>
  <si>
    <t>B26117_002</t>
  </si>
  <si>
    <t>B26117_003</t>
  </si>
  <si>
    <t>B26117_004</t>
  </si>
  <si>
    <t>B26117_005</t>
  </si>
  <si>
    <t>Estimate!!Total:!!Group quarters population:!!Male</t>
  </si>
  <si>
    <t>B26117_006</t>
  </si>
  <si>
    <t>Estimate!!Total:!!Group quarters population:!!Female</t>
  </si>
  <si>
    <t>B26117_007</t>
  </si>
  <si>
    <t>B26117_008</t>
  </si>
  <si>
    <t>Estimate!!Total:!!Group quarters population:!!Institutionalized group quarters population:!!Male</t>
  </si>
  <si>
    <t>B26117_009</t>
  </si>
  <si>
    <t>Estimate!!Total:!!Group quarters population:!!Institutionalized group quarters population:!!Female</t>
  </si>
  <si>
    <t>B26117_010</t>
  </si>
  <si>
    <t>B26117_011</t>
  </si>
  <si>
    <t>Estimate!!Total:!!Group quarters population:!!Institutionalized group quarters population:!!Adult correctional facilities:!!Male</t>
  </si>
  <si>
    <t>B26117_012</t>
  </si>
  <si>
    <t>Estimate!!Total:!!Group quarters population:!!Institutionalized group quarters population:!!Adult correctional facilities:!!Female</t>
  </si>
  <si>
    <t>B26117_013</t>
  </si>
  <si>
    <t>B26117_014</t>
  </si>
  <si>
    <t>Estimate!!Total:!!Group quarters population:!!Institutionalized group quarters population:!!Nursing facilities/skilled nursing facilities:!!Male</t>
  </si>
  <si>
    <t>B26117_015</t>
  </si>
  <si>
    <t>Estimate!!Total:!!Group quarters population:!!Institutionalized group quarters population:!!Nursing facilities/skilled nursing facilities:!!Female</t>
  </si>
  <si>
    <t>B26117_016</t>
  </si>
  <si>
    <t>B26117_017</t>
  </si>
  <si>
    <t>Estimate!!Total:!!Group quarters population:!!Noninstitutionalized group quarters population:!!Male</t>
  </si>
  <si>
    <t>B26117_018</t>
  </si>
  <si>
    <t>Estimate!!Total:!!Group quarters population:!!Noninstitutionalized group quarters population:!!Female</t>
  </si>
  <si>
    <t>B26117_019</t>
  </si>
  <si>
    <t>B26117_020</t>
  </si>
  <si>
    <t>Estimate!!Total:!!Group quarters population:!!Noninstitutionalized group quarters population:!!College/university student housing:!!Male</t>
  </si>
  <si>
    <t>B26117_021</t>
  </si>
  <si>
    <t>Estimate!!Total:!!Group quarters population:!!Noninstitutionalized group quarters population:!!College/university student housing:!!Female</t>
  </si>
  <si>
    <t>B26117_022</t>
  </si>
  <si>
    <t>B26118_002</t>
  </si>
  <si>
    <t>B26118_003</t>
  </si>
  <si>
    <t>B26118_004</t>
  </si>
  <si>
    <t>B26118_005</t>
  </si>
  <si>
    <t>B26118_006</t>
  </si>
  <si>
    <t>B26118_007</t>
  </si>
  <si>
    <t>B26118_008</t>
  </si>
  <si>
    <t>B26118_009</t>
  </si>
  <si>
    <t>B26118_010</t>
  </si>
  <si>
    <t>B26118_011</t>
  </si>
  <si>
    <t>B26118_012</t>
  </si>
  <si>
    <t>B26118_013</t>
  </si>
  <si>
    <t>B26118_014</t>
  </si>
  <si>
    <t>B26118_015</t>
  </si>
  <si>
    <t>B26118_016</t>
  </si>
  <si>
    <t>B26118_017</t>
  </si>
  <si>
    <t>B26118_018</t>
  </si>
  <si>
    <t>B26118_019</t>
  </si>
  <si>
    <t>B26118_020</t>
  </si>
  <si>
    <t>B26118_021</t>
  </si>
  <si>
    <t>B26118_022</t>
  </si>
  <si>
    <t>B26119_002</t>
  </si>
  <si>
    <t>Estimate!!Median earnings in the past 12 months --!!Total:!!Male</t>
  </si>
  <si>
    <t>B26119_003</t>
  </si>
  <si>
    <t>Estimate!!Median earnings in the past 12 months --!!Total:!!Female</t>
  </si>
  <si>
    <t>B26119_004</t>
  </si>
  <si>
    <t>Estimate!!Median earnings in the past 12 months --!!Total:!!Group quarters population:</t>
  </si>
  <si>
    <t>B26119_005</t>
  </si>
  <si>
    <t>Estimate!!Median earnings in the past 12 months --!!Total:!!Group quarters population:!!Male</t>
  </si>
  <si>
    <t>B26119_006</t>
  </si>
  <si>
    <t>Estimate!!Median earnings in the past 12 months --!!Total:!!Group quarters population:!!Female</t>
  </si>
  <si>
    <t>B26119_007</t>
  </si>
  <si>
    <t>Estimate!!Median earnings in the past 12 months --!!Total:!!Group quarters population:!!Institutionalized group quarters population:</t>
  </si>
  <si>
    <t>B26119_008</t>
  </si>
  <si>
    <t>Estimate!!Median earnings in the past 12 months --!!Total:!!Group quarters population:!!Institutionalized group quarters population:!!Male</t>
  </si>
  <si>
    <t>B26119_009</t>
  </si>
  <si>
    <t>Estimate!!Median earnings in the past 12 months --!!Total:!!Group quarters population:!!Institutionalized group quarters population:!!Female</t>
  </si>
  <si>
    <t>B26119_010</t>
  </si>
  <si>
    <t>Estimate!!Median earnings in the past 12 months --!!Total:!!Group quarters population:!!Institutionalized group quarters population:!!Adult correctional facilities:</t>
  </si>
  <si>
    <t>B26119_011</t>
  </si>
  <si>
    <t>Estimate!!Median earnings in the past 12 months --!!Total:!!Group quarters population:!!Institutionalized group quarters population:!!Adult correctional facilities:!!Male</t>
  </si>
  <si>
    <t>B26119_012</t>
  </si>
  <si>
    <t>Estimate!!Median earnings in the past 12 months --!!Total:!!Group quarters population:!!Institutionalized group quarters population:!!Adult correctional facilities:!!Female</t>
  </si>
  <si>
    <t>B26119_013</t>
  </si>
  <si>
    <t>Estimate!!Median earnings in the past 12 months --!!Total:!!Group quarters population:!!Institutionalized group quarters population:!!Nursing facilities/skilled nursing facilities:</t>
  </si>
  <si>
    <t>B26119_014</t>
  </si>
  <si>
    <t>Estimate!!Median earnings in the past 12 months --!!Total:!!Group quarters population:!!Institutionalized group quarters population:!!Nursing facilities/skilled nursing facilities:!!Male</t>
  </si>
  <si>
    <t>B26119_015</t>
  </si>
  <si>
    <t>Estimate!!Median earnings in the past 12 months --!!Total:!!Group quarters population:!!Institutionalized group quarters population:!!Nursing facilities/skilled nursing facilities:!!Female</t>
  </si>
  <si>
    <t>B26119_016</t>
  </si>
  <si>
    <t>Estimate!!Median earnings in the past 12 months --!!Total:!!Group quarters population:!!Noninstitutionalized group quarters population:</t>
  </si>
  <si>
    <t>B26119_017</t>
  </si>
  <si>
    <t>Estimate!!Median earnings in the past 12 months --!!Total:!!Group quarters population:!!Noninstitutionalized group quarters population:!!Male</t>
  </si>
  <si>
    <t>B26119_018</t>
  </si>
  <si>
    <t>Estimate!!Median earnings in the past 12 months --!!Total:!!Group quarters population:!!Noninstitutionalized group quarters population:!!Female</t>
  </si>
  <si>
    <t>B26119_019</t>
  </si>
  <si>
    <t>Estimate!!Median earnings in the past 12 months --!!Total:!!Group quarters population:!!Noninstitutionalized group quarters population:!!College/university student housing:</t>
  </si>
  <si>
    <t>B26119_020</t>
  </si>
  <si>
    <t>Estimate!!Median earnings in the past 12 months --!!Total:!!Group quarters population:!!Noninstitutionalized group quarters population:!!College/university student housing:!!Male</t>
  </si>
  <si>
    <t>B26119_021</t>
  </si>
  <si>
    <t>Estimate!!Median earnings in the past 12 months --!!Total:!!Group quarters population:!!Noninstitutionalized group quarters population:!!College/university student housing:!!Female</t>
  </si>
  <si>
    <t>B26119_022</t>
  </si>
  <si>
    <t>Estimate!!Median earnings in the past 12 months --!!Total:!!Household population</t>
  </si>
  <si>
    <t>B26120_002</t>
  </si>
  <si>
    <t>Estimate!!Group quarters population:!!Received Food Stamps/SNAP in the past 12 months</t>
  </si>
  <si>
    <t>B26120_003</t>
  </si>
  <si>
    <t>Estimate!!Group quarters population:!!Did not receive Food Stamps/SNAP in the past 12 months</t>
  </si>
  <si>
    <t>B26120_004</t>
  </si>
  <si>
    <t>Estimate!!Group quarters population:!!Institutionalized group quarters population:</t>
  </si>
  <si>
    <t>B26120_005</t>
  </si>
  <si>
    <t>Estimate!!Group quarters population:!!Institutionalized group quarters population:!!Received Food Stamps/SNAP in the past 12 months</t>
  </si>
  <si>
    <t>B26120_006</t>
  </si>
  <si>
    <t>Estimate!!Group quarters population:!!Institutionalized group quarters population:!!Did not receive Food Stamps/SNAP in the past 12 months</t>
  </si>
  <si>
    <t>B26120_007</t>
  </si>
  <si>
    <t>Estimate!!Group quarters population:!!Institutionalized group quarters population:!!Adult correctional facilities:</t>
  </si>
  <si>
    <t>B26120_008</t>
  </si>
  <si>
    <t>Estimate!!Group quarters population:!!Institutionalized group quarters population:!!Adult correctional facilities:!!Received Food Stamps/SNAP in the past 12 months</t>
  </si>
  <si>
    <t>B26120_009</t>
  </si>
  <si>
    <t>Estimate!!Group quarters population:!!Institutionalized group quarters population:!!Adult correctional facilities:!!Did not receive Food Stamps/SNAP in the past 12 months</t>
  </si>
  <si>
    <t>B26120_010</t>
  </si>
  <si>
    <t>Estimate!!Group quarters population:!!Institutionalized group quarters population:!!Nursing facilities/skilled nursing facilities:</t>
  </si>
  <si>
    <t>B26120_011</t>
  </si>
  <si>
    <t>Estimate!!Group quarters population:!!Institutionalized group quarters population:!!Nursing facilities/skilled nursing facilities:!!Received Food Stamps/SNAP in the past 12 months</t>
  </si>
  <si>
    <t>B26120_012</t>
  </si>
  <si>
    <t>Estimate!!Group quarters population:!!Institutionalized group quarters population:!!Nursing facilities/skilled nursing facilities:!!Did not receive Food Stamps/SNAP in the past 12 months</t>
  </si>
  <si>
    <t>B26120_013</t>
  </si>
  <si>
    <t>Estimate!!Group quarters population:!!Noninstitutionalized group quarters population:</t>
  </si>
  <si>
    <t>B26120_014</t>
  </si>
  <si>
    <t>Estimate!!Group quarters population:!!Noninstitutionalized group quarters population:!!Received Food Stamps/SNAP in the past 12 months</t>
  </si>
  <si>
    <t>B26120_015</t>
  </si>
  <si>
    <t>Estimate!!Group quarters population:!!Noninstitutionalized group quarters population:!!Did not receive Food Stamps/SNAP in the past 12 months</t>
  </si>
  <si>
    <t>B26120_016</t>
  </si>
  <si>
    <t>Estimate!!Group quarters population:!!Noninstitutionalized group quarters population:!!College/university student housing:</t>
  </si>
  <si>
    <t>B26120_017</t>
  </si>
  <si>
    <t>Estimate!!Group quarters population:!!Noninstitutionalized group quarters population:!!College/university student housing:!!Received Food Stamps/SNAP in the past 12 months</t>
  </si>
  <si>
    <t>B26120_018</t>
  </si>
  <si>
    <t>Estimate!!Group quarters population:!!Noninstitutionalized group quarters population:!!College/university student housing:!!Did not receive Food Stamps/SNAP in the past 12 months</t>
  </si>
  <si>
    <t>B26201_002</t>
  </si>
  <si>
    <t>B26201_003</t>
  </si>
  <si>
    <t>B26201_004</t>
  </si>
  <si>
    <t>B26201_005</t>
  </si>
  <si>
    <t>B26201_006</t>
  </si>
  <si>
    <t>B26201_007</t>
  </si>
  <si>
    <t>B26201_008</t>
  </si>
  <si>
    <t>B26201_009</t>
  </si>
  <si>
    <t>B26201_010</t>
  </si>
  <si>
    <t>B26201_011</t>
  </si>
  <si>
    <t>B26201_012</t>
  </si>
  <si>
    <t>B26201_013</t>
  </si>
  <si>
    <t>B26201_014</t>
  </si>
  <si>
    <t>B26201_015</t>
  </si>
  <si>
    <t>B26201_016</t>
  </si>
  <si>
    <t>B26201_017</t>
  </si>
  <si>
    <t>B26201_018</t>
  </si>
  <si>
    <t>B26201_019</t>
  </si>
  <si>
    <t>B26201_020</t>
  </si>
  <si>
    <t>B26201_021</t>
  </si>
  <si>
    <t>B26201_022</t>
  </si>
  <si>
    <t>B26201_023</t>
  </si>
  <si>
    <t>B26201_024</t>
  </si>
  <si>
    <t>B26201_025</t>
  </si>
  <si>
    <t>B26201_026</t>
  </si>
  <si>
    <t>B26201_027</t>
  </si>
  <si>
    <t>B26201_028</t>
  </si>
  <si>
    <t>B26201_029</t>
  </si>
  <si>
    <t>B26201_030</t>
  </si>
  <si>
    <t>B26201_031</t>
  </si>
  <si>
    <t>B26201_032</t>
  </si>
  <si>
    <t>B26201_033</t>
  </si>
  <si>
    <t>B26201_034</t>
  </si>
  <si>
    <t>B26201_035</t>
  </si>
  <si>
    <t>B26201_036</t>
  </si>
  <si>
    <t>B26201_037</t>
  </si>
  <si>
    <t>B26201_038</t>
  </si>
  <si>
    <t>B26201_039</t>
  </si>
  <si>
    <t>B26201_040</t>
  </si>
  <si>
    <t>B26201_041</t>
  </si>
  <si>
    <t>B26201_042</t>
  </si>
  <si>
    <t>B26201_043</t>
  </si>
  <si>
    <t>B26201_044</t>
  </si>
  <si>
    <t>B26201_045</t>
  </si>
  <si>
    <t>B26201_046</t>
  </si>
  <si>
    <t>B26201_047</t>
  </si>
  <si>
    <t>B26201_048</t>
  </si>
  <si>
    <t>B26201_049</t>
  </si>
  <si>
    <t>B26201_050</t>
  </si>
  <si>
    <t>B26201_051</t>
  </si>
  <si>
    <t>B26201_052</t>
  </si>
  <si>
    <t>B26201_053</t>
  </si>
  <si>
    <t>B26201_054</t>
  </si>
  <si>
    <t>B26201_055</t>
  </si>
  <si>
    <t>B26201_056</t>
  </si>
  <si>
    <t>B26201_057</t>
  </si>
  <si>
    <t>B26201_058</t>
  </si>
  <si>
    <t>B26201_059</t>
  </si>
  <si>
    <t>B26201_060</t>
  </si>
  <si>
    <t>B26201_061</t>
  </si>
  <si>
    <t>B26201_062</t>
  </si>
  <si>
    <t>B26201_063</t>
  </si>
  <si>
    <t>B26201_064</t>
  </si>
  <si>
    <t>B26201_065</t>
  </si>
  <si>
    <t>B26201_066</t>
  </si>
  <si>
    <t>B26201_067</t>
  </si>
  <si>
    <t>B26201_068</t>
  </si>
  <si>
    <t>B26201_069</t>
  </si>
  <si>
    <t>B26201_070</t>
  </si>
  <si>
    <t>B26201_071</t>
  </si>
  <si>
    <t>B26201_072</t>
  </si>
  <si>
    <t>B26201_073</t>
  </si>
  <si>
    <t>B26201_074</t>
  </si>
  <si>
    <t>B26201_075</t>
  </si>
  <si>
    <t>B26201_076</t>
  </si>
  <si>
    <t>B26201_077</t>
  </si>
  <si>
    <t>B26201_078</t>
  </si>
  <si>
    <t>B26201_079</t>
  </si>
  <si>
    <t>B26201_080</t>
  </si>
  <si>
    <t>B26201_081</t>
  </si>
  <si>
    <t>B26201_082</t>
  </si>
  <si>
    <t>B26201_083</t>
  </si>
  <si>
    <t>B26201_084</t>
  </si>
  <si>
    <t>B26201_085</t>
  </si>
  <si>
    <t>B26201_086</t>
  </si>
  <si>
    <t>B26201_087</t>
  </si>
  <si>
    <t>B26201_088</t>
  </si>
  <si>
    <t>B26201_089</t>
  </si>
  <si>
    <t>B26201_090</t>
  </si>
  <si>
    <t>B26201_091</t>
  </si>
  <si>
    <t>B26201_092</t>
  </si>
  <si>
    <t>B26201_093</t>
  </si>
  <si>
    <t>B26201_094</t>
  </si>
  <si>
    <t>B26201_095</t>
  </si>
  <si>
    <t>B26201_096</t>
  </si>
  <si>
    <t>B26201_097</t>
  </si>
  <si>
    <t>B26201_098</t>
  </si>
  <si>
    <t>B26201_099</t>
  </si>
  <si>
    <t>B26201_100</t>
  </si>
  <si>
    <t>B26201_101</t>
  </si>
  <si>
    <t>B26201_102</t>
  </si>
  <si>
    <t>B26201_103</t>
  </si>
  <si>
    <t>B26201_104</t>
  </si>
  <si>
    <t>B26201_105</t>
  </si>
  <si>
    <t>B26201_106</t>
  </si>
  <si>
    <t>B26201_107</t>
  </si>
  <si>
    <t>B26201_108</t>
  </si>
  <si>
    <t>B26201_109</t>
  </si>
  <si>
    <t>B26201_110</t>
  </si>
  <si>
    <t>B26201_111</t>
  </si>
  <si>
    <t>B26201_112</t>
  </si>
  <si>
    <t>B26201_113</t>
  </si>
  <si>
    <t>B26201_114</t>
  </si>
  <si>
    <t>B26201_115</t>
  </si>
  <si>
    <t>B26201_116</t>
  </si>
  <si>
    <t>B26201_117</t>
  </si>
  <si>
    <t>B26201_118</t>
  </si>
  <si>
    <t>B26201_119</t>
  </si>
  <si>
    <t>B26201_120</t>
  </si>
  <si>
    <t>B26201_121</t>
  </si>
  <si>
    <t>B26201_122</t>
  </si>
  <si>
    <t>B26201_123</t>
  </si>
  <si>
    <t>B26201_124</t>
  </si>
  <si>
    <t>B26201_125</t>
  </si>
  <si>
    <t>B26201_126</t>
  </si>
  <si>
    <t>B26201_127</t>
  </si>
  <si>
    <t>B26201_128</t>
  </si>
  <si>
    <t>B26201_129</t>
  </si>
  <si>
    <t>B26201_130</t>
  </si>
  <si>
    <t>B26201_131</t>
  </si>
  <si>
    <t>B26201_132</t>
  </si>
  <si>
    <t>B26201_133</t>
  </si>
  <si>
    <t>B26201_134</t>
  </si>
  <si>
    <t>B26201_135</t>
  </si>
  <si>
    <t>B26201_136</t>
  </si>
  <si>
    <t>B26201_137</t>
  </si>
  <si>
    <t>B26201_138</t>
  </si>
  <si>
    <t>B26201_139</t>
  </si>
  <si>
    <t>B26201_140</t>
  </si>
  <si>
    <t>B26201_141</t>
  </si>
  <si>
    <t>B26201_142</t>
  </si>
  <si>
    <t>B26201_143</t>
  </si>
  <si>
    <t>B26201_144</t>
  </si>
  <si>
    <t>B26201_145</t>
  </si>
  <si>
    <t>B26201_146</t>
  </si>
  <si>
    <t>B26201_147</t>
  </si>
  <si>
    <t>B26201_148</t>
  </si>
  <si>
    <t>B26201_149</t>
  </si>
  <si>
    <t>B26201_150</t>
  </si>
  <si>
    <t>B26201_151</t>
  </si>
  <si>
    <t>B26201_152</t>
  </si>
  <si>
    <t>B26201_153</t>
  </si>
  <si>
    <t>B26201_154</t>
  </si>
  <si>
    <t>B26201_155</t>
  </si>
  <si>
    <t>B26201_156</t>
  </si>
  <si>
    <t>B26201_157</t>
  </si>
  <si>
    <t>Estimate!!Total:!!Group quarters population:!!Institutionalized group quarters population:!!Juvenile facilities:</t>
  </si>
  <si>
    <t>B26201_158</t>
  </si>
  <si>
    <t>Estimate!!Total:!!Group quarters population:!!Institutionalized group quarters population:!!Juvenile facilities:!!Under 15 years</t>
  </si>
  <si>
    <t>B26201_159</t>
  </si>
  <si>
    <t>Estimate!!Total:!!Group quarters population:!!Institutionalized group quarters population:!!Juvenile facilities:!!15 to 17 years</t>
  </si>
  <si>
    <t>B26201_160</t>
  </si>
  <si>
    <t>Estimate!!Total:!!Group quarters population:!!Institutionalized group quarters population:!!Juvenile facilities:!!18 to 24 years</t>
  </si>
  <si>
    <t>B26201_161</t>
  </si>
  <si>
    <t>Estimate!!Total:!!Group quarters population:!!Institutionalized group quarters population:!!Juvenile facilities:!!25 to 34 years</t>
  </si>
  <si>
    <t>B26201_162</t>
  </si>
  <si>
    <t>Estimate!!Total:!!Group quarters population:!!Institutionalized group quarters population:!!Juvenile facilities:!!Male:</t>
  </si>
  <si>
    <t>B26201_163</t>
  </si>
  <si>
    <t>Estimate!!Total:!!Group quarters population:!!Institutionalized group quarters population:!!Juvenile facilities:!!Male:!!Under 15 years</t>
  </si>
  <si>
    <t>B26201_164</t>
  </si>
  <si>
    <t>Estimate!!Total:!!Group quarters population:!!Institutionalized group quarters population:!!Juvenile facilities:!!Male:!!15 to 17 years</t>
  </si>
  <si>
    <t>B26201_165</t>
  </si>
  <si>
    <t>Estimate!!Total:!!Group quarters population:!!Institutionalized group quarters population:!!Juvenile facilities:!!Male:!!18 to 24 years</t>
  </si>
  <si>
    <t>B26201_166</t>
  </si>
  <si>
    <t>Estimate!!Total:!!Group quarters population:!!Institutionalized group quarters population:!!Juvenile facilities:!!Male:!!25 to 34 years</t>
  </si>
  <si>
    <t>B26201_167</t>
  </si>
  <si>
    <t>Estimate!!Total:!!Group quarters population:!!Institutionalized group quarters population:!!Juvenile facilities:!!Female:</t>
  </si>
  <si>
    <t>B26201_168</t>
  </si>
  <si>
    <t>Estimate!!Total:!!Group quarters population:!!Institutionalized group quarters population:!!Juvenile facilities:!!Female:!!Under 15 years</t>
  </si>
  <si>
    <t>B26201_169</t>
  </si>
  <si>
    <t>Estimate!!Total:!!Group quarters population:!!Institutionalized group quarters population:!!Juvenile facilities:!!Female:!!15 to 17 years</t>
  </si>
  <si>
    <t>B26201_170</t>
  </si>
  <si>
    <t>Estimate!!Total:!!Group quarters population:!!Institutionalized group quarters population:!!Juvenile facilities:!!Female:!!18 to 24 years</t>
  </si>
  <si>
    <t>B26201_171</t>
  </si>
  <si>
    <t>Estimate!!Total:!!Group quarters population:!!Institutionalized group quarters population:!!Juvenile facilities:!!Female:!!25 to 34 years</t>
  </si>
  <si>
    <t>B26201_172</t>
  </si>
  <si>
    <t>B26201_173</t>
  </si>
  <si>
    <t>B26201_174</t>
  </si>
  <si>
    <t>B26201_175</t>
  </si>
  <si>
    <t>B26201_176</t>
  </si>
  <si>
    <t>B26201_177</t>
  </si>
  <si>
    <t>B26201_178</t>
  </si>
  <si>
    <t>B26201_179</t>
  </si>
  <si>
    <t>B26201_180</t>
  </si>
  <si>
    <t>B26201_181</t>
  </si>
  <si>
    <t>B26201_182</t>
  </si>
  <si>
    <t>B26201_183</t>
  </si>
  <si>
    <t>B26201_184</t>
  </si>
  <si>
    <t>B26201_185</t>
  </si>
  <si>
    <t>B26201_186</t>
  </si>
  <si>
    <t>B26201_187</t>
  </si>
  <si>
    <t>B26201_188</t>
  </si>
  <si>
    <t>B26201_189</t>
  </si>
  <si>
    <t>B26201_190</t>
  </si>
  <si>
    <t>B26201_191</t>
  </si>
  <si>
    <t>B26201_192</t>
  </si>
  <si>
    <t>B26201_193</t>
  </si>
  <si>
    <t>B26201_194</t>
  </si>
  <si>
    <t>B26201_195</t>
  </si>
  <si>
    <t>B26201_196</t>
  </si>
  <si>
    <t>B26201_197</t>
  </si>
  <si>
    <t>B26201_198</t>
  </si>
  <si>
    <t>B26201_199</t>
  </si>
  <si>
    <t>B26201_200</t>
  </si>
  <si>
    <t>B26201_201</t>
  </si>
  <si>
    <t>B26201_202</t>
  </si>
  <si>
    <t>B26201_203</t>
  </si>
  <si>
    <t>B26201_204</t>
  </si>
  <si>
    <t>B26201_205</t>
  </si>
  <si>
    <t>B26201_206</t>
  </si>
  <si>
    <t>B26201_207</t>
  </si>
  <si>
    <t>B26201_208</t>
  </si>
  <si>
    <t>B26201_209</t>
  </si>
  <si>
    <t>B26201_210</t>
  </si>
  <si>
    <t>B26201_211</t>
  </si>
  <si>
    <t>B26201_212</t>
  </si>
  <si>
    <t>B26201_213</t>
  </si>
  <si>
    <t>B26201_214</t>
  </si>
  <si>
    <t>B26201_215</t>
  </si>
  <si>
    <t>B26201_216</t>
  </si>
  <si>
    <t>B26201_217</t>
  </si>
  <si>
    <t>B26201_218</t>
  </si>
  <si>
    <t>B26201_219</t>
  </si>
  <si>
    <t>B26201_220</t>
  </si>
  <si>
    <t>B26201_221</t>
  </si>
  <si>
    <t>B26201_222</t>
  </si>
  <si>
    <t>B26201_223</t>
  </si>
  <si>
    <t>B26201_224</t>
  </si>
  <si>
    <t>B26201_225</t>
  </si>
  <si>
    <t>B26201_226</t>
  </si>
  <si>
    <t>B26201_227</t>
  </si>
  <si>
    <t>B26201_228</t>
  </si>
  <si>
    <t>B26201_229</t>
  </si>
  <si>
    <t>Estimate!!Total:!!Group quarters population:!!Noninstitutionalized group quarters population:!!Military quarters/military ships:</t>
  </si>
  <si>
    <t>B26201_230</t>
  </si>
  <si>
    <t>Estimate!!Total:!!Group quarters population:!!Noninstitutionalized group quarters population:!!Military quarters/military ships:!!15 to 17 years</t>
  </si>
  <si>
    <t>B26201_231</t>
  </si>
  <si>
    <t>Estimate!!Total:!!Group quarters population:!!Noninstitutionalized group quarters population:!!Military quarters/military ships:!!18 to 24 years</t>
  </si>
  <si>
    <t>B26201_232</t>
  </si>
  <si>
    <t>Estimate!!Total:!!Group quarters population:!!Noninstitutionalized group quarters population:!!Military quarters/military ships:!!25 to 34 years</t>
  </si>
  <si>
    <t>B26201_233</t>
  </si>
  <si>
    <t>Estimate!!Total:!!Group quarters population:!!Noninstitutionalized group quarters population:!!Military quarters/military ships:!!35 to 44 years</t>
  </si>
  <si>
    <t>B26201_234</t>
  </si>
  <si>
    <t>Estimate!!Total:!!Group quarters population:!!Noninstitutionalized group quarters population:!!Military quarters/military ships:!!45 to 54 years</t>
  </si>
  <si>
    <t>B26201_235</t>
  </si>
  <si>
    <t>Estimate!!Total:!!Group quarters population:!!Noninstitutionalized group quarters population:!!Military quarters/military ships:!!55 to 64 years</t>
  </si>
  <si>
    <t>B26201_236</t>
  </si>
  <si>
    <t>Estimate!!Total:!!Group quarters population:!!Noninstitutionalized group quarters population:!!Military quarters/military ships:!!65 to 74 years</t>
  </si>
  <si>
    <t>B26201_237</t>
  </si>
  <si>
    <t>Estimate!!Total:!!Group quarters population:!!Noninstitutionalized group quarters population:!!Military quarters/military ships:!!Male:</t>
  </si>
  <si>
    <t>B26201_238</t>
  </si>
  <si>
    <t>Estimate!!Total:!!Group quarters population:!!Noninstitutionalized group quarters population:!!Military quarters/military ships:!!Male:!!15 to 17 years</t>
  </si>
  <si>
    <t>B26201_239</t>
  </si>
  <si>
    <t>Estimate!!Total:!!Group quarters population:!!Noninstitutionalized group quarters population:!!Military quarters/military ships:!!Male:!!18 to 24 years</t>
  </si>
  <si>
    <t>B26201_240</t>
  </si>
  <si>
    <t>Estimate!!Total:!!Group quarters population:!!Noninstitutionalized group quarters population:!!Military quarters/military ships:!!Male:!!25 to 34 years</t>
  </si>
  <si>
    <t>B26201_241</t>
  </si>
  <si>
    <t>Estimate!!Total:!!Group quarters population:!!Noninstitutionalized group quarters population:!!Military quarters/military ships:!!Male:!!35 to 44 years</t>
  </si>
  <si>
    <t>B26201_242</t>
  </si>
  <si>
    <t>Estimate!!Total:!!Group quarters population:!!Noninstitutionalized group quarters population:!!Military quarters/military ships:!!Male:!!45 to 54 years</t>
  </si>
  <si>
    <t>B26201_243</t>
  </si>
  <si>
    <t>Estimate!!Total:!!Group quarters population:!!Noninstitutionalized group quarters population:!!Military quarters/military ships:!!Male:!!55 to 64 years</t>
  </si>
  <si>
    <t>B26201_244</t>
  </si>
  <si>
    <t>Estimate!!Total:!!Group quarters population:!!Noninstitutionalized group quarters population:!!Military quarters/military ships:!!Male:!!65 to 74 years</t>
  </si>
  <si>
    <t>B26201_245</t>
  </si>
  <si>
    <t>Estimate!!Total:!!Group quarters population:!!Noninstitutionalized group quarters population:!!Military quarters/military ships:!!Female:</t>
  </si>
  <si>
    <t>B26201_246</t>
  </si>
  <si>
    <t>Estimate!!Total:!!Group quarters population:!!Noninstitutionalized group quarters population:!!Military quarters/military ships:!!Female:!!15 to 17 years</t>
  </si>
  <si>
    <t>B26201_247</t>
  </si>
  <si>
    <t>Estimate!!Total:!!Group quarters population:!!Noninstitutionalized group quarters population:!!Military quarters/military ships:!!Female:!!18 to 24 years</t>
  </si>
  <si>
    <t>B26201_248</t>
  </si>
  <si>
    <t>Estimate!!Total:!!Group quarters population:!!Noninstitutionalized group quarters population:!!Military quarters/military ships:!!Female:!!25 to 34 years</t>
  </si>
  <si>
    <t>B26201_249</t>
  </si>
  <si>
    <t>Estimate!!Total:!!Group quarters population:!!Noninstitutionalized group quarters population:!!Military quarters/military ships:!!Female:!!35 to 44 years</t>
  </si>
  <si>
    <t>B26201_250</t>
  </si>
  <si>
    <t>Estimate!!Total:!!Group quarters population:!!Noninstitutionalized group quarters population:!!Military quarters/military ships:!!Female:!!45 to 54 years</t>
  </si>
  <si>
    <t>B26201_251</t>
  </si>
  <si>
    <t>Estimate!!Total:!!Group quarters population:!!Noninstitutionalized group quarters population:!!Military quarters/military ships:!!Female:!!55 to 64 years</t>
  </si>
  <si>
    <t>B26201_252</t>
  </si>
  <si>
    <t>Estimate!!Total:!!Group quarters population:!!Noninstitutionalized group quarters population:!!Military quarters/military ships:!!Female:!!65 to 74 years</t>
  </si>
  <si>
    <t>B26201_253</t>
  </si>
  <si>
    <t>B26202_002</t>
  </si>
  <si>
    <t>B26202_003</t>
  </si>
  <si>
    <t>B26202_004</t>
  </si>
  <si>
    <t>B26202_005</t>
  </si>
  <si>
    <t>B26202_006</t>
  </si>
  <si>
    <t>Estimate!!Median age --!!Total:!!Group quarters population:!!Institutionalized group quarters population:!!Juvenile facilities</t>
  </si>
  <si>
    <t>B26202_007</t>
  </si>
  <si>
    <t>B26202_008</t>
  </si>
  <si>
    <t>B26202_009</t>
  </si>
  <si>
    <t>Estimate!!Median age --!!Total:!!Group quarters population:!!Noninstitutionalized group quarters population:!!Military quarters/military ships</t>
  </si>
  <si>
    <t>B26202_010</t>
  </si>
  <si>
    <t>B26203A_002</t>
  </si>
  <si>
    <t>B26203A_003</t>
  </si>
  <si>
    <t>B26203A_004</t>
  </si>
  <si>
    <t>B26203A_005</t>
  </si>
  <si>
    <t>B26203A_006</t>
  </si>
  <si>
    <t>Estimate!!Total:!!Group quarters population:!!Institutionalized group quarters population:!!Juvenile facilities</t>
  </si>
  <si>
    <t>B26203A_007</t>
  </si>
  <si>
    <t>B26203A_008</t>
  </si>
  <si>
    <t>B26203A_009</t>
  </si>
  <si>
    <t>Estimate!!Total:!!Group quarters population:!!Noninstitutionalized group quarters population:!!Military quarters/military ships</t>
  </si>
  <si>
    <t>B26203A_010</t>
  </si>
  <si>
    <t>B26203B_002</t>
  </si>
  <si>
    <t>B26203B_003</t>
  </si>
  <si>
    <t>B26203B_004</t>
  </si>
  <si>
    <t>B26203B_005</t>
  </si>
  <si>
    <t>B26203B_006</t>
  </si>
  <si>
    <t>B26203B_007</t>
  </si>
  <si>
    <t>B26203B_008</t>
  </si>
  <si>
    <t>B26203B_009</t>
  </si>
  <si>
    <t>B26203B_010</t>
  </si>
  <si>
    <t>B26203C_002</t>
  </si>
  <si>
    <t>B26203C_003</t>
  </si>
  <si>
    <t>B26203C_004</t>
  </si>
  <si>
    <t>B26203C_005</t>
  </si>
  <si>
    <t>B26203C_006</t>
  </si>
  <si>
    <t>B26203C_007</t>
  </si>
  <si>
    <t>B26203C_008</t>
  </si>
  <si>
    <t>B26203C_009</t>
  </si>
  <si>
    <t>B26203C_010</t>
  </si>
  <si>
    <t>B26203D_002</t>
  </si>
  <si>
    <t>B26203D_003</t>
  </si>
  <si>
    <t>B26203D_004</t>
  </si>
  <si>
    <t>B26203D_005</t>
  </si>
  <si>
    <t>B26203D_006</t>
  </si>
  <si>
    <t>B26203D_007</t>
  </si>
  <si>
    <t>B26203D_008</t>
  </si>
  <si>
    <t>B26203D_009</t>
  </si>
  <si>
    <t>B26203D_010</t>
  </si>
  <si>
    <t>B26203E_002</t>
  </si>
  <si>
    <t>B26203E_003</t>
  </si>
  <si>
    <t>B26203E_004</t>
  </si>
  <si>
    <t>B26203E_005</t>
  </si>
  <si>
    <t>B26203E_006</t>
  </si>
  <si>
    <t>B26203E_007</t>
  </si>
  <si>
    <t>B26203E_008</t>
  </si>
  <si>
    <t>B26203E_009</t>
  </si>
  <si>
    <t>B26203E_010</t>
  </si>
  <si>
    <t>B26203F_002</t>
  </si>
  <si>
    <t>B26203F_003</t>
  </si>
  <si>
    <t>B26203F_004</t>
  </si>
  <si>
    <t>B26203F_005</t>
  </si>
  <si>
    <t>B26203F_006</t>
  </si>
  <si>
    <t>B26203F_007</t>
  </si>
  <si>
    <t>B26203F_008</t>
  </si>
  <si>
    <t>B26203F_009</t>
  </si>
  <si>
    <t>B26203F_010</t>
  </si>
  <si>
    <t>B26203G_002</t>
  </si>
  <si>
    <t>B26203G_003</t>
  </si>
  <si>
    <t>B26203G_004</t>
  </si>
  <si>
    <t>B26203G_005</t>
  </si>
  <si>
    <t>B26203G_006</t>
  </si>
  <si>
    <t>B26203G_007</t>
  </si>
  <si>
    <t>B26203G_008</t>
  </si>
  <si>
    <t>B26203G_009</t>
  </si>
  <si>
    <t>B26203G_010</t>
  </si>
  <si>
    <t>B26203H_002</t>
  </si>
  <si>
    <t>B26203H_003</t>
  </si>
  <si>
    <t>B26203H_004</t>
  </si>
  <si>
    <t>B26203H_005</t>
  </si>
  <si>
    <t>B26203H_006</t>
  </si>
  <si>
    <t>B26203H_007</t>
  </si>
  <si>
    <t>B26203H_008</t>
  </si>
  <si>
    <t>B26203H_009</t>
  </si>
  <si>
    <t>B26203H_010</t>
  </si>
  <si>
    <t>B26203I_002</t>
  </si>
  <si>
    <t>B26203I_003</t>
  </si>
  <si>
    <t>B26203I_004</t>
  </si>
  <si>
    <t>B26203I_005</t>
  </si>
  <si>
    <t>B26203I_006</t>
  </si>
  <si>
    <t>B26203I_007</t>
  </si>
  <si>
    <t>B26203I_008</t>
  </si>
  <si>
    <t>B26203I_009</t>
  </si>
  <si>
    <t>B26203I_010</t>
  </si>
  <si>
    <t>B26203_002</t>
  </si>
  <si>
    <t>B26203_003</t>
  </si>
  <si>
    <t>B26203_004</t>
  </si>
  <si>
    <t>B26203_005</t>
  </si>
  <si>
    <t>B26203_006</t>
  </si>
  <si>
    <t>B26203_007</t>
  </si>
  <si>
    <t>B26203_008</t>
  </si>
  <si>
    <t>B26203_009</t>
  </si>
  <si>
    <t>B26203_010</t>
  </si>
  <si>
    <t>B26204_002</t>
  </si>
  <si>
    <t>B26204_003</t>
  </si>
  <si>
    <t>B26204_004</t>
  </si>
  <si>
    <t>B26204_005</t>
  </si>
  <si>
    <t>B26204_006</t>
  </si>
  <si>
    <t>B26204_007</t>
  </si>
  <si>
    <t>B26204_008</t>
  </si>
  <si>
    <t>B26204_009</t>
  </si>
  <si>
    <t>B26204_010</t>
  </si>
  <si>
    <t>B26204_011</t>
  </si>
  <si>
    <t>B26204_012</t>
  </si>
  <si>
    <t>B26204_013</t>
  </si>
  <si>
    <t>B26204_014</t>
  </si>
  <si>
    <t>B26204_015</t>
  </si>
  <si>
    <t>B26204_016</t>
  </si>
  <si>
    <t>B26204_017</t>
  </si>
  <si>
    <t>B26204_018</t>
  </si>
  <si>
    <t>B26204_019</t>
  </si>
  <si>
    <t>B26204_020</t>
  </si>
  <si>
    <t>B26204_021</t>
  </si>
  <si>
    <t>B26204_022</t>
  </si>
  <si>
    <t>B26204_023</t>
  </si>
  <si>
    <t>B26204_024</t>
  </si>
  <si>
    <t>B26204_025</t>
  </si>
  <si>
    <t>B26204_026</t>
  </si>
  <si>
    <t>B26204_027</t>
  </si>
  <si>
    <t>B26204_028</t>
  </si>
  <si>
    <t>B26204_029</t>
  </si>
  <si>
    <t>B26204_030</t>
  </si>
  <si>
    <t>B26204_031</t>
  </si>
  <si>
    <t>B26204_032</t>
  </si>
  <si>
    <t>Estimate!!Total:!!Group quarters population:!!Institutionalized group quarters population:!!Juvenile facilities:!!Never married</t>
  </si>
  <si>
    <t>B26204_033</t>
  </si>
  <si>
    <t>Estimate!!Total:!!Group quarters population:!!Institutionalized group quarters population:!!Juvenile facilities:!!Now married (except separated)</t>
  </si>
  <si>
    <t>B26204_034</t>
  </si>
  <si>
    <t>Estimate!!Total:!!Group quarters population:!!Institutionalized group quarters population:!!Juvenile facilities:!!Separated</t>
  </si>
  <si>
    <t>B26204_035</t>
  </si>
  <si>
    <t>Estimate!!Total:!!Group quarters population:!!Institutionalized group quarters population:!!Juvenile facilities:!!Widowed</t>
  </si>
  <si>
    <t>B26204_036</t>
  </si>
  <si>
    <t>Estimate!!Total:!!Group quarters population:!!Institutionalized group quarters population:!!Juvenile facilities:!!Divorced</t>
  </si>
  <si>
    <t>B26204_037</t>
  </si>
  <si>
    <t>B26204_038</t>
  </si>
  <si>
    <t>B26204_039</t>
  </si>
  <si>
    <t>B26204_040</t>
  </si>
  <si>
    <t>B26204_041</t>
  </si>
  <si>
    <t>B26204_042</t>
  </si>
  <si>
    <t>B26204_043</t>
  </si>
  <si>
    <t>B26204_044</t>
  </si>
  <si>
    <t>B26204_045</t>
  </si>
  <si>
    <t>B26204_046</t>
  </si>
  <si>
    <t>B26204_047</t>
  </si>
  <si>
    <t>B26204_048</t>
  </si>
  <si>
    <t>B26204_049</t>
  </si>
  <si>
    <t>B26204_050</t>
  </si>
  <si>
    <t>Estimate!!Total:!!Group quarters population:!!Noninstitutionalized group quarters population:!!Military quarters/military ships:!!Never married</t>
  </si>
  <si>
    <t>B26204_051</t>
  </si>
  <si>
    <t>Estimate!!Total:!!Group quarters population:!!Noninstitutionalized group quarters population:!!Military quarters/military ships:!!Now married (except separated)</t>
  </si>
  <si>
    <t>B26204_052</t>
  </si>
  <si>
    <t>Estimate!!Total:!!Group quarters population:!!Noninstitutionalized group quarters population:!!Military quarters/military ships:!!Separated</t>
  </si>
  <si>
    <t>B26204_053</t>
  </si>
  <si>
    <t>Estimate!!Total:!!Group quarters population:!!Noninstitutionalized group quarters population:!!Military quarters/military ships:!!Widowed</t>
  </si>
  <si>
    <t>B26204_054</t>
  </si>
  <si>
    <t>Estimate!!Total:!!Group quarters population:!!Noninstitutionalized group quarters population:!!Military quarters/military ships:!!Divorced</t>
  </si>
  <si>
    <t>B26204_055</t>
  </si>
  <si>
    <t>B26205_002</t>
  </si>
  <si>
    <t>B26205_003</t>
  </si>
  <si>
    <t>B26205_004</t>
  </si>
  <si>
    <t>B26205_005</t>
  </si>
  <si>
    <t>B26205_006</t>
  </si>
  <si>
    <t>B26205_007</t>
  </si>
  <si>
    <t>B26205_008</t>
  </si>
  <si>
    <t>B26205_009</t>
  </si>
  <si>
    <t>B26205_010</t>
  </si>
  <si>
    <t>B26205_011</t>
  </si>
  <si>
    <t>B26205_012</t>
  </si>
  <si>
    <t>B26205_013</t>
  </si>
  <si>
    <t>B26205_014</t>
  </si>
  <si>
    <t>B26205_015</t>
  </si>
  <si>
    <t>B26205_016</t>
  </si>
  <si>
    <t>B26205_017</t>
  </si>
  <si>
    <t>Estimate!!Total:!!Group quarters population:!!Institutionalized group quarters population:!!Juvenile facilities:!!Nursery school through 12th grade</t>
  </si>
  <si>
    <t>B26205_018</t>
  </si>
  <si>
    <t>Estimate!!Total:!!Group quarters population:!!Institutionalized group quarters population:!!Juvenile facilities:!!College or graduate school</t>
  </si>
  <si>
    <t>B26205_019</t>
  </si>
  <si>
    <t>B26205_020</t>
  </si>
  <si>
    <t>B26205_021</t>
  </si>
  <si>
    <t>B26205_022</t>
  </si>
  <si>
    <t>B26205_023</t>
  </si>
  <si>
    <t>B26205_024</t>
  </si>
  <si>
    <t>B26205_025</t>
  </si>
  <si>
    <t>B26205_026</t>
  </si>
  <si>
    <t>Estimate!!Total:!!Group quarters population:!!Noninstitutionalized group quarters population:!!Military quarters/military ships:!!Nursery school through 12th grade</t>
  </si>
  <si>
    <t>B26205_027</t>
  </si>
  <si>
    <t>Estimate!!Total:!!Group quarters population:!!Noninstitutionalized group quarters population:!!Military quarters/military ships:!!College or graduate school</t>
  </si>
  <si>
    <t>B26205_028</t>
  </si>
  <si>
    <t>B26206_002</t>
  </si>
  <si>
    <t>B26206_003</t>
  </si>
  <si>
    <t>B26206_004</t>
  </si>
  <si>
    <t>B26206_005</t>
  </si>
  <si>
    <t>B26206_006</t>
  </si>
  <si>
    <t>B26206_007</t>
  </si>
  <si>
    <t>B26206_008</t>
  </si>
  <si>
    <t>B26206_009</t>
  </si>
  <si>
    <t>B26206_010</t>
  </si>
  <si>
    <t>B26206_011</t>
  </si>
  <si>
    <t>B26206_012</t>
  </si>
  <si>
    <t>B26206_013</t>
  </si>
  <si>
    <t>B26206_014</t>
  </si>
  <si>
    <t>B26206_015</t>
  </si>
  <si>
    <t>B26206_016</t>
  </si>
  <si>
    <t>B26206_017</t>
  </si>
  <si>
    <t>B26206_018</t>
  </si>
  <si>
    <t>B26206_019</t>
  </si>
  <si>
    <t>B26206_020</t>
  </si>
  <si>
    <t>B26206_021</t>
  </si>
  <si>
    <t>B26206_022</t>
  </si>
  <si>
    <t>B26206_023</t>
  </si>
  <si>
    <t>B26206_024</t>
  </si>
  <si>
    <t>B26206_025</t>
  </si>
  <si>
    <t>B26206_026</t>
  </si>
  <si>
    <t>B26206_027</t>
  </si>
  <si>
    <t>B26206_028</t>
  </si>
  <si>
    <t>B26206_029</t>
  </si>
  <si>
    <t>B26206_030</t>
  </si>
  <si>
    <t>B26206_031</t>
  </si>
  <si>
    <t>B26206_032</t>
  </si>
  <si>
    <t>B26206_033</t>
  </si>
  <si>
    <t>B26206_034</t>
  </si>
  <si>
    <t>B26206_035</t>
  </si>
  <si>
    <t>B26206_036</t>
  </si>
  <si>
    <t>B26206_037</t>
  </si>
  <si>
    <t>Estimate!!Total:!!Group quarters population:!!Noninstitutionalized group quarters population:!!Military quarters/military ships:!!Less than high school diploma</t>
  </si>
  <si>
    <t>B26206_038</t>
  </si>
  <si>
    <t>Estimate!!Total:!!Group quarters population:!!Noninstitutionalized group quarters population:!!Military quarters/military ships:!!High school graduate (includes equivalency)</t>
  </si>
  <si>
    <t>B26206_039</t>
  </si>
  <si>
    <t>Estimate!!Total:!!Group quarters population:!!Noninstitutionalized group quarters population:!!Military quarters/military ships:!!Some college or associate's degree</t>
  </si>
  <si>
    <t>B26206_040</t>
  </si>
  <si>
    <t>Estimate!!Total:!!Group quarters population:!!Noninstitutionalized group quarters population:!!Military quarters/military ships:!!Bachelor's degree or higher</t>
  </si>
  <si>
    <t>B26206_041</t>
  </si>
  <si>
    <t>B26207_002</t>
  </si>
  <si>
    <t>B26207_003</t>
  </si>
  <si>
    <t>B26207_004</t>
  </si>
  <si>
    <t>B26207_005</t>
  </si>
  <si>
    <t>B26207_006</t>
  </si>
  <si>
    <t>B26207_007</t>
  </si>
  <si>
    <t>B26207_008</t>
  </si>
  <si>
    <t>B26207_009</t>
  </si>
  <si>
    <t>B26207_010</t>
  </si>
  <si>
    <t>B26207_011</t>
  </si>
  <si>
    <t>B26207_012</t>
  </si>
  <si>
    <t>B26207_013</t>
  </si>
  <si>
    <t>B26207_014</t>
  </si>
  <si>
    <t>B26207_015</t>
  </si>
  <si>
    <t>B26207_016</t>
  </si>
  <si>
    <t>B26207_017</t>
  </si>
  <si>
    <t>Estimate!!Total:!!Group quarters population:!!Institutionalized group quarters population:!!Juvenile facilities:!!Veteran</t>
  </si>
  <si>
    <t>B26207_018</t>
  </si>
  <si>
    <t>Estimate!!Total:!!Group quarters population:!!Institutionalized group quarters population:!!Juvenile facilities:!!Nonveteran</t>
  </si>
  <si>
    <t>B26207_019</t>
  </si>
  <si>
    <t>B26207_020</t>
  </si>
  <si>
    <t>B26207_021</t>
  </si>
  <si>
    <t>B26207_022</t>
  </si>
  <si>
    <t>B26207_023</t>
  </si>
  <si>
    <t>B26207_024</t>
  </si>
  <si>
    <t>B26207_025</t>
  </si>
  <si>
    <t>B26207_026</t>
  </si>
  <si>
    <t>Estimate!!Total:!!Group quarters population:!!Noninstitutionalized group quarters population:!!Military quarters/military ships:!!Veteran</t>
  </si>
  <si>
    <t>B26207_027</t>
  </si>
  <si>
    <t>Estimate!!Total:!!Group quarters population:!!Noninstitutionalized group quarters population:!!Military quarters/military ships:!!Nonveteran</t>
  </si>
  <si>
    <t>B26207_028</t>
  </si>
  <si>
    <t>B26208_002</t>
  </si>
  <si>
    <t>B26208_003</t>
  </si>
  <si>
    <t>B26208_004</t>
  </si>
  <si>
    <t>B26208_005</t>
  </si>
  <si>
    <t>B26208_006</t>
  </si>
  <si>
    <t>B26208_007</t>
  </si>
  <si>
    <t>B26208_008</t>
  </si>
  <si>
    <t>B26208_009</t>
  </si>
  <si>
    <t>B26208_010</t>
  </si>
  <si>
    <t>B26208_011</t>
  </si>
  <si>
    <t>B26208_012</t>
  </si>
  <si>
    <t>B26208_013</t>
  </si>
  <si>
    <t>B26208_014</t>
  </si>
  <si>
    <t>B26208_015</t>
  </si>
  <si>
    <t>B26208_016</t>
  </si>
  <si>
    <t>B26208_017</t>
  </si>
  <si>
    <t>B26208_018</t>
  </si>
  <si>
    <t>B26208_019</t>
  </si>
  <si>
    <t>B26208_020</t>
  </si>
  <si>
    <t>B26208_021</t>
  </si>
  <si>
    <t>B26208_022</t>
  </si>
  <si>
    <t>B26208_023</t>
  </si>
  <si>
    <t>B26208_024</t>
  </si>
  <si>
    <t>B26208_025</t>
  </si>
  <si>
    <t>B26208_026</t>
  </si>
  <si>
    <t>B26208_027</t>
  </si>
  <si>
    <t>B26208_028</t>
  </si>
  <si>
    <t>B26208_029</t>
  </si>
  <si>
    <t>B26208_030</t>
  </si>
  <si>
    <t>B26208_031</t>
  </si>
  <si>
    <t>B26208_032</t>
  </si>
  <si>
    <t>B26208_033</t>
  </si>
  <si>
    <t>B26208_034</t>
  </si>
  <si>
    <t>B26208_035</t>
  </si>
  <si>
    <t>B26208_036</t>
  </si>
  <si>
    <t>B26208_037</t>
  </si>
  <si>
    <t>B26208_038</t>
  </si>
  <si>
    <t>B26208_039</t>
  </si>
  <si>
    <t>B26208_040</t>
  </si>
  <si>
    <t>B26208_041</t>
  </si>
  <si>
    <t>B26208_042</t>
  </si>
  <si>
    <t>B26208_043</t>
  </si>
  <si>
    <t>B26208_044</t>
  </si>
  <si>
    <t>B26208_045</t>
  </si>
  <si>
    <t>B26208_046</t>
  </si>
  <si>
    <t>B26208_047</t>
  </si>
  <si>
    <t>B26208_048</t>
  </si>
  <si>
    <t>B26208_049</t>
  </si>
  <si>
    <t>B26208_050</t>
  </si>
  <si>
    <t>B26208_051</t>
  </si>
  <si>
    <t>B26208_052</t>
  </si>
  <si>
    <t>B26208_053</t>
  </si>
  <si>
    <t>B26208_054</t>
  </si>
  <si>
    <t>B26208_055</t>
  </si>
  <si>
    <t>B26208_056</t>
  </si>
  <si>
    <t>B26208_057</t>
  </si>
  <si>
    <t>B26208_058</t>
  </si>
  <si>
    <t>B26208_059</t>
  </si>
  <si>
    <t>Estimate!!Total:!!Group quarters population:!!Institutionalized group quarters population:!!Juvenile facilities:!!With a disability</t>
  </si>
  <si>
    <t>B26208_060</t>
  </si>
  <si>
    <t>Estimate!!Total:!!Group quarters population:!!Institutionalized group quarters population:!!Juvenile facilities:!!No disability</t>
  </si>
  <si>
    <t>B26208_061</t>
  </si>
  <si>
    <t>Estimate!!Total:!!Group quarters population:!!Institutionalized group quarters population:!!Juvenile facilities:!!Population under 18 years:</t>
  </si>
  <si>
    <t>B26208_062</t>
  </si>
  <si>
    <t>Estimate!!Total:!!Group quarters population:!!Institutionalized group quarters population:!!Juvenile facilities:!!Population under 18 years:!!With a disability</t>
  </si>
  <si>
    <t>B26208_063</t>
  </si>
  <si>
    <t>Estimate!!Total:!!Group quarters population:!!Institutionalized group quarters population:!!Juvenile facilities:!!Population under 18 years:!!No disability</t>
  </si>
  <si>
    <t>B26208_064</t>
  </si>
  <si>
    <t>Estimate!!Total:!!Group quarters population:!!Institutionalized group quarters population:!!Juvenile facilities:!!Population 18 to 64 years:</t>
  </si>
  <si>
    <t>B26208_065</t>
  </si>
  <si>
    <t>Estimate!!Total:!!Group quarters population:!!Institutionalized group quarters population:!!Juvenile facilities:!!Population 18 to 64 years:!!With a disability</t>
  </si>
  <si>
    <t>B26208_066</t>
  </si>
  <si>
    <t>Estimate!!Total:!!Group quarters population:!!Institutionalized group quarters population:!!Juvenile facilities:!!Population 18 to 64 years:!!No disability</t>
  </si>
  <si>
    <t>B26208_067</t>
  </si>
  <si>
    <t>B26208_068</t>
  </si>
  <si>
    <t>B26208_069</t>
  </si>
  <si>
    <t>B26208_070</t>
  </si>
  <si>
    <t>B26208_071</t>
  </si>
  <si>
    <t>B26208_072</t>
  </si>
  <si>
    <t>B26208_073</t>
  </si>
  <si>
    <t>B26208_074</t>
  </si>
  <si>
    <t>B26208_075</t>
  </si>
  <si>
    <t>B26208_076</t>
  </si>
  <si>
    <t>B26208_077</t>
  </si>
  <si>
    <t>B26208_078</t>
  </si>
  <si>
    <t>B26208_079</t>
  </si>
  <si>
    <t>B26208_080</t>
  </si>
  <si>
    <t>B26208_081</t>
  </si>
  <si>
    <t>B26208_082</t>
  </si>
  <si>
    <t>B26208_083</t>
  </si>
  <si>
    <t>B26208_084</t>
  </si>
  <si>
    <t>B26208_085</t>
  </si>
  <si>
    <t>B26208_086</t>
  </si>
  <si>
    <t>B26208_087</t>
  </si>
  <si>
    <t>B26208_088</t>
  </si>
  <si>
    <t>Estimate!!Total:!!Group quarters population:!!Noninstitutionalized group quarters population:!!College/university student housing:!!Population 65 years and over:</t>
  </si>
  <si>
    <t>B26208_089</t>
  </si>
  <si>
    <t>Estimate!!Total:!!Group quarters population:!!Noninstitutionalized group quarters population:!!College/university student housing:!!Population 65 years and over:!!With a disability</t>
  </si>
  <si>
    <t>B26208_090</t>
  </si>
  <si>
    <t>Estimate!!Total:!!Group quarters population:!!Noninstitutionalized group quarters population:!!College/university student housing:!!Population 65 years and over:!!No disability</t>
  </si>
  <si>
    <t>B26208_091</t>
  </si>
  <si>
    <t>B26208_092</t>
  </si>
  <si>
    <t>Estimate!!Total:!!Group quarters population:!!Noninstitutionalized group quarters population:!!Military quarters/military ships:!!With a disability</t>
  </si>
  <si>
    <t>B26208_093</t>
  </si>
  <si>
    <t>Estimate!!Total:!!Group quarters population:!!Noninstitutionalized group quarters population:!!Military quarters/military ships:!!No disability</t>
  </si>
  <si>
    <t>B26208_094</t>
  </si>
  <si>
    <t>Estimate!!Total:!!Group quarters population:!!Noninstitutionalized group quarters population:!!Military quarters/military ships:!!Population under 18 years:</t>
  </si>
  <si>
    <t>B26208_095</t>
  </si>
  <si>
    <t>Estimate!!Total:!!Group quarters population:!!Noninstitutionalized group quarters population:!!Military quarters/military ships:!!Population under 18 years:!!With a disability</t>
  </si>
  <si>
    <t>B26208_096</t>
  </si>
  <si>
    <t>Estimate!!Total:!!Group quarters population:!!Noninstitutionalized group quarters population:!!Military quarters/military ships:!!Population under 18 years:!!No disability</t>
  </si>
  <si>
    <t>B26208_097</t>
  </si>
  <si>
    <t>Estimate!!Total:!!Group quarters population:!!Noninstitutionalized group quarters population:!!Military quarters/military ships:!!Population 18 to 64 years:</t>
  </si>
  <si>
    <t>B26208_098</t>
  </si>
  <si>
    <t>Estimate!!Total:!!Group quarters population:!!Noninstitutionalized group quarters population:!!Military quarters/military ships:!!Population 18 to 64 years:!!With a disability</t>
  </si>
  <si>
    <t>B26208_099</t>
  </si>
  <si>
    <t>Estimate!!Total:!!Group quarters population:!!Noninstitutionalized group quarters population:!!Military quarters/military ships:!!Population 18 to 64 years:!!No disability</t>
  </si>
  <si>
    <t>B26208_100</t>
  </si>
  <si>
    <t>Estimate!!Total:!!Group quarters population:!!Noninstitutionalized group quarters population:!!Military quarters/military ships:!!Population 65 years and over:</t>
  </si>
  <si>
    <t>B26208_101</t>
  </si>
  <si>
    <t>Estimate!!Total:!!Group quarters population:!!Noninstitutionalized group quarters population:!!Military quarters/military ships:!!Population 65 years and over:!!With a disability</t>
  </si>
  <si>
    <t>B26208_102</t>
  </si>
  <si>
    <t>Estimate!!Total:!!Group quarters population:!!Noninstitutionalized group quarters population:!!Military quarters/military ships:!!Population 65 years and over:!!No disability</t>
  </si>
  <si>
    <t>B26208_103</t>
  </si>
  <si>
    <t>B26209_002</t>
  </si>
  <si>
    <t>B26209_003</t>
  </si>
  <si>
    <t>B26209_004</t>
  </si>
  <si>
    <t>B26209_005</t>
  </si>
  <si>
    <t>B26209_006</t>
  </si>
  <si>
    <t>B26209_007</t>
  </si>
  <si>
    <t>B26209_008</t>
  </si>
  <si>
    <t>B26209_009</t>
  </si>
  <si>
    <t>B26209_010</t>
  </si>
  <si>
    <t>B26209_011</t>
  </si>
  <si>
    <t>B26209_012</t>
  </si>
  <si>
    <t>B26209_013</t>
  </si>
  <si>
    <t>B26209_014</t>
  </si>
  <si>
    <t>B26209_015</t>
  </si>
  <si>
    <t>B26209_016</t>
  </si>
  <si>
    <t>B26209_017</t>
  </si>
  <si>
    <t>B26209_018</t>
  </si>
  <si>
    <t>B26209_019</t>
  </si>
  <si>
    <t>B26209_020</t>
  </si>
  <si>
    <t>B26209_021</t>
  </si>
  <si>
    <t>B26209_022</t>
  </si>
  <si>
    <t>B26209_023</t>
  </si>
  <si>
    <t>B26209_024</t>
  </si>
  <si>
    <t>B26209_025</t>
  </si>
  <si>
    <t>B26209_026</t>
  </si>
  <si>
    <t>B26209_027</t>
  </si>
  <si>
    <t>B26209_028</t>
  </si>
  <si>
    <t>B26209_029</t>
  </si>
  <si>
    <t>B26209_030</t>
  </si>
  <si>
    <t>B26209_031</t>
  </si>
  <si>
    <t>B26209_032</t>
  </si>
  <si>
    <t>B26209_033</t>
  </si>
  <si>
    <t>B26209_034</t>
  </si>
  <si>
    <t>B26209_035</t>
  </si>
  <si>
    <t>B26209_036</t>
  </si>
  <si>
    <t>B26209_037</t>
  </si>
  <si>
    <t>B26209_038</t>
  </si>
  <si>
    <t>B26209_039</t>
  </si>
  <si>
    <t>B26209_040</t>
  </si>
  <si>
    <t>B26209_041</t>
  </si>
  <si>
    <t>B26209_042</t>
  </si>
  <si>
    <t>Estimate!!Total:!!Group quarters population:!!Institutionalized group quarters population:!!Juvenile facilities:!!Same address</t>
  </si>
  <si>
    <t>B26209_043</t>
  </si>
  <si>
    <t>Estimate!!Total:!!Group quarters population:!!Institutionalized group quarters population:!!Juvenile facilities:!!Different address in the United States:</t>
  </si>
  <si>
    <t>B26209_044</t>
  </si>
  <si>
    <t>Estimate!!Total:!!Group quarters population:!!Institutionalized group quarters population:!!Juvenile facilities:!!Different address in the United States:!!Same county</t>
  </si>
  <si>
    <t>B26209_045</t>
  </si>
  <si>
    <t>Estimate!!Total:!!Group quarters population:!!Institutionalized group quarters population:!!Juvenile facilities:!!Different address in the United States:!!Different county:</t>
  </si>
  <si>
    <t>B26209_046</t>
  </si>
  <si>
    <t>Estimate!!Total:!!Group quarters population:!!Institutionalized group quarters population:!!Juvenile facilities:!!Different address in the United States:!!Different county:!!Same state</t>
  </si>
  <si>
    <t>B26209_047</t>
  </si>
  <si>
    <t>Estimate!!Total:!!Group quarters population:!!Institutionalized group quarters population:!!Juvenile facilities:!!Different address in the United States:!!Different county:!!Different state</t>
  </si>
  <si>
    <t>B26209_048</t>
  </si>
  <si>
    <t>Estimate!!Total:!!Group quarters population:!!Institutionalized group quarters population:!!Juvenile facilities:!!Abroad</t>
  </si>
  <si>
    <t>B26209_049</t>
  </si>
  <si>
    <t>B26209_050</t>
  </si>
  <si>
    <t>B26209_051</t>
  </si>
  <si>
    <t>B26209_052</t>
  </si>
  <si>
    <t>B26209_053</t>
  </si>
  <si>
    <t>B26209_054</t>
  </si>
  <si>
    <t>B26209_055</t>
  </si>
  <si>
    <t>B26209_056</t>
  </si>
  <si>
    <t>B26209_057</t>
  </si>
  <si>
    <t>B26209_058</t>
  </si>
  <si>
    <t>B26209_059</t>
  </si>
  <si>
    <t>B26209_060</t>
  </si>
  <si>
    <t>B26209_061</t>
  </si>
  <si>
    <t>B26209_062</t>
  </si>
  <si>
    <t>B26209_063</t>
  </si>
  <si>
    <t>B26209_064</t>
  </si>
  <si>
    <t>B26209_065</t>
  </si>
  <si>
    <t>B26209_066</t>
  </si>
  <si>
    <t>Estimate!!Total:!!Group quarters population:!!Noninstitutionalized group quarters population:!!Military quarters/military ships:!!Same address</t>
  </si>
  <si>
    <t>B26209_067</t>
  </si>
  <si>
    <t>Estimate!!Total:!!Group quarters population:!!Noninstitutionalized group quarters population:!!Military quarters/military ships:!!Different address in the United States:</t>
  </si>
  <si>
    <t>B26209_068</t>
  </si>
  <si>
    <t>Estimate!!Total:!!Group quarters population:!!Noninstitutionalized group quarters population:!!Military quarters/military ships:!!Different address in the United States:!!Same county</t>
  </si>
  <si>
    <t>B26209_069</t>
  </si>
  <si>
    <t>Estimate!!Total:!!Group quarters population:!!Noninstitutionalized group quarters population:!!Military quarters/military ships:!!Different address in the United States:!!Different county:</t>
  </si>
  <si>
    <t>B26209_070</t>
  </si>
  <si>
    <t>Estimate!!Total:!!Group quarters population:!!Noninstitutionalized group quarters population:!!Military quarters/military ships:!!Different address in the United States:!!Different county:!!Same state</t>
  </si>
  <si>
    <t>B26209_071</t>
  </si>
  <si>
    <t>Estimate!!Total:!!Group quarters population:!!Noninstitutionalized group quarters population:!!Military quarters/military ships:!!Different address in the United States:!!Different county:!!Different state</t>
  </si>
  <si>
    <t>B26209_072</t>
  </si>
  <si>
    <t>Estimate!!Total:!!Group quarters population:!!Noninstitutionalized group quarters population:!!Military quarters/military ships:!!Abroad</t>
  </si>
  <si>
    <t>B26209_073</t>
  </si>
  <si>
    <t>B26210_002</t>
  </si>
  <si>
    <t>B26210_003</t>
  </si>
  <si>
    <t>B26210_004</t>
  </si>
  <si>
    <t>B26210_005</t>
  </si>
  <si>
    <t>B26210_006</t>
  </si>
  <si>
    <t>B26210_007</t>
  </si>
  <si>
    <t>B26210_008</t>
  </si>
  <si>
    <t>B26210_009</t>
  </si>
  <si>
    <t>B26210_010</t>
  </si>
  <si>
    <t>B26210_011</t>
  </si>
  <si>
    <t>B26210_012</t>
  </si>
  <si>
    <t>B26210_013</t>
  </si>
  <si>
    <t>B26210_014</t>
  </si>
  <si>
    <t>B26210_015</t>
  </si>
  <si>
    <t>B26210_016</t>
  </si>
  <si>
    <t>B26210_017</t>
  </si>
  <si>
    <t>B26210_018</t>
  </si>
  <si>
    <t>B26210_019</t>
  </si>
  <si>
    <t>B26210_020</t>
  </si>
  <si>
    <t>B26210_021</t>
  </si>
  <si>
    <t>B26210_022</t>
  </si>
  <si>
    <t>B26210_023</t>
  </si>
  <si>
    <t>B26210_024</t>
  </si>
  <si>
    <t>B26210_025</t>
  </si>
  <si>
    <t>B26210_026</t>
  </si>
  <si>
    <t>B26210_027</t>
  </si>
  <si>
    <t>B26210_028</t>
  </si>
  <si>
    <t>B26210_029</t>
  </si>
  <si>
    <t>B26210_030</t>
  </si>
  <si>
    <t>B26210_031</t>
  </si>
  <si>
    <t>B26210_032</t>
  </si>
  <si>
    <t>B26210_033</t>
  </si>
  <si>
    <t>B26210_034</t>
  </si>
  <si>
    <t>B26210_035</t>
  </si>
  <si>
    <t>B26210_036</t>
  </si>
  <si>
    <t>B26210_037</t>
  </si>
  <si>
    <t>B26210_038</t>
  </si>
  <si>
    <t>B26210_039</t>
  </si>
  <si>
    <t>B26210_040</t>
  </si>
  <si>
    <t>B26210_041</t>
  </si>
  <si>
    <t>B26210_042</t>
  </si>
  <si>
    <t>B26210_043</t>
  </si>
  <si>
    <t>B26210_044</t>
  </si>
  <si>
    <t>B26210_045</t>
  </si>
  <si>
    <t>B26210_046</t>
  </si>
  <si>
    <t>B26210_047</t>
  </si>
  <si>
    <t>B26210_048</t>
  </si>
  <si>
    <t>B26210_049</t>
  </si>
  <si>
    <t>B26210_050</t>
  </si>
  <si>
    <t>B26210_051</t>
  </si>
  <si>
    <t>B26210_052</t>
  </si>
  <si>
    <t>B26210_053</t>
  </si>
  <si>
    <t>B26210_054</t>
  </si>
  <si>
    <t>B26210_055</t>
  </si>
  <si>
    <t>B26210_056</t>
  </si>
  <si>
    <t>B26210_057</t>
  </si>
  <si>
    <t>B26210_058</t>
  </si>
  <si>
    <t>B26210_059</t>
  </si>
  <si>
    <t>B26210_060</t>
  </si>
  <si>
    <t>B26210_061</t>
  </si>
  <si>
    <t>B26210_062</t>
  </si>
  <si>
    <t>B26210_063</t>
  </si>
  <si>
    <t>B26210_064</t>
  </si>
  <si>
    <t>B26210_065</t>
  </si>
  <si>
    <t>B26210_066</t>
  </si>
  <si>
    <t>B26210_067</t>
  </si>
  <si>
    <t>Estimate!!Total:!!Group quarters population:!!Institutionalized group quarters population:!!Juvenile facilities:!!Native:</t>
  </si>
  <si>
    <t>B26210_068</t>
  </si>
  <si>
    <t>Estimate!!Total:!!Group quarters population:!!Institutionalized group quarters population:!!Juvenile facilities:!!Native:!!Male</t>
  </si>
  <si>
    <t>B26210_069</t>
  </si>
  <si>
    <t>Estimate!!Total:!!Group quarters population:!!Institutionalized group quarters population:!!Juvenile facilities:!!Native:!!Female</t>
  </si>
  <si>
    <t>B26210_070</t>
  </si>
  <si>
    <t>Estimate!!Total:!!Group quarters population:!!Institutionalized group quarters population:!!Juvenile facilities:!!Foreign born:</t>
  </si>
  <si>
    <t>B26210_071</t>
  </si>
  <si>
    <t>Estimate!!Total:!!Group quarters population:!!Institutionalized group quarters population:!!Juvenile facilities:!!Foreign born:!!Male</t>
  </si>
  <si>
    <t>B26210_072</t>
  </si>
  <si>
    <t>Estimate!!Total:!!Group quarters population:!!Institutionalized group quarters population:!!Juvenile facilities:!!Foreign born:!!Female</t>
  </si>
  <si>
    <t>B26210_073</t>
  </si>
  <si>
    <t>Estimate!!Total:!!Group quarters population:!!Institutionalized group quarters population:!!Juvenile facilities:!!Foreign born:!!Naturalized U.S. citizen:</t>
  </si>
  <si>
    <t>B26210_074</t>
  </si>
  <si>
    <t>Estimate!!Total:!!Group quarters population:!!Institutionalized group quarters population:!!Juvenile facilities:!!Foreign born:!!Naturalized U.S. citizen:!!Male</t>
  </si>
  <si>
    <t>B26210_075</t>
  </si>
  <si>
    <t>Estimate!!Total:!!Group quarters population:!!Institutionalized group quarters population:!!Juvenile facilities:!!Foreign born:!!Naturalized U.S. citizen:!!Female</t>
  </si>
  <si>
    <t>B26210_076</t>
  </si>
  <si>
    <t>Estimate!!Total:!!Group quarters population:!!Institutionalized group quarters population:!!Juvenile facilities:!!Foreign born:!!Not a U.S. citizen:</t>
  </si>
  <si>
    <t>B26210_077</t>
  </si>
  <si>
    <t>Estimate!!Total:!!Group quarters population:!!Institutionalized group quarters population:!!Juvenile facilities:!!Foreign born:!!Not a U.S. citizen:!!Male</t>
  </si>
  <si>
    <t>B26210_078</t>
  </si>
  <si>
    <t>Estimate!!Total:!!Group quarters population:!!Institutionalized group quarters population:!!Juvenile facilities:!!Foreign born:!!Not a U.S. citizen:!!Female</t>
  </si>
  <si>
    <t>B26210_079</t>
  </si>
  <si>
    <t>B26210_080</t>
  </si>
  <si>
    <t>B26210_081</t>
  </si>
  <si>
    <t>B26210_082</t>
  </si>
  <si>
    <t>B26210_083</t>
  </si>
  <si>
    <t>B26210_084</t>
  </si>
  <si>
    <t>B26210_085</t>
  </si>
  <si>
    <t>B26210_086</t>
  </si>
  <si>
    <t>B26210_087</t>
  </si>
  <si>
    <t>B26210_088</t>
  </si>
  <si>
    <t>B26210_089</t>
  </si>
  <si>
    <t>B26210_090</t>
  </si>
  <si>
    <t>B26210_091</t>
  </si>
  <si>
    <t>B26210_092</t>
  </si>
  <si>
    <t>B26210_093</t>
  </si>
  <si>
    <t>B26210_094</t>
  </si>
  <si>
    <t>B26210_095</t>
  </si>
  <si>
    <t>B26210_096</t>
  </si>
  <si>
    <t>B26210_097</t>
  </si>
  <si>
    <t>B26210_098</t>
  </si>
  <si>
    <t>B26210_099</t>
  </si>
  <si>
    <t>B26210_100</t>
  </si>
  <si>
    <t>B26210_101</t>
  </si>
  <si>
    <t>B26210_102</t>
  </si>
  <si>
    <t>B26210_103</t>
  </si>
  <si>
    <t>B26210_104</t>
  </si>
  <si>
    <t>B26210_105</t>
  </si>
  <si>
    <t>B26210_106</t>
  </si>
  <si>
    <t>Estimate!!Total:!!Group quarters population:!!Noninstitutionalized group quarters population:!!Military quarters/military ships:!!Native:</t>
  </si>
  <si>
    <t>B26210_107</t>
  </si>
  <si>
    <t>Estimate!!Total:!!Group quarters population:!!Noninstitutionalized group quarters population:!!Military quarters/military ships:!!Native:!!Male</t>
  </si>
  <si>
    <t>B26210_108</t>
  </si>
  <si>
    <t>Estimate!!Total:!!Group quarters population:!!Noninstitutionalized group quarters population:!!Military quarters/military ships:!!Native:!!Female</t>
  </si>
  <si>
    <t>B26210_109</t>
  </si>
  <si>
    <t>Estimate!!Total:!!Group quarters population:!!Noninstitutionalized group quarters population:!!Military quarters/military ships:!!Foreign born:</t>
  </si>
  <si>
    <t>B26210_110</t>
  </si>
  <si>
    <t>Estimate!!Total:!!Group quarters population:!!Noninstitutionalized group quarters population:!!Military quarters/military ships:!!Foreign born:!!Male</t>
  </si>
  <si>
    <t>B26210_111</t>
  </si>
  <si>
    <t>Estimate!!Total:!!Group quarters population:!!Noninstitutionalized group quarters population:!!Military quarters/military ships:!!Foreign born:!!Female</t>
  </si>
  <si>
    <t>B26210_112</t>
  </si>
  <si>
    <t>Estimate!!Total:!!Group quarters population:!!Noninstitutionalized group quarters population:!!Military quarters/military ships:!!Foreign born:!!Naturalized U.S. citizen:</t>
  </si>
  <si>
    <t>B26210_113</t>
  </si>
  <si>
    <t>Estimate!!Total:!!Group quarters population:!!Noninstitutionalized group quarters population:!!Military quarters/military ships:!!Foreign born:!!Naturalized U.S. citizen:!!Male</t>
  </si>
  <si>
    <t>B26210_114</t>
  </si>
  <si>
    <t>Estimate!!Total:!!Group quarters population:!!Noninstitutionalized group quarters population:!!Military quarters/military ships:!!Foreign born:!!Naturalized U.S. citizen:!!Female</t>
  </si>
  <si>
    <t>B26210_115</t>
  </si>
  <si>
    <t>Estimate!!Total:!!Group quarters population:!!Noninstitutionalized group quarters population:!!Military quarters/military ships:!!Foreign born:!!Not a U.S. citizen:</t>
  </si>
  <si>
    <t>B26210_116</t>
  </si>
  <si>
    <t>Estimate!!Total:!!Group quarters population:!!Noninstitutionalized group quarters population:!!Military quarters/military ships:!!Foreign born:!!Not a U.S. citizen:!!Male</t>
  </si>
  <si>
    <t>B26210_117</t>
  </si>
  <si>
    <t>Estimate!!Total:!!Group quarters population:!!Noninstitutionalized group quarters population:!!Military quarters/military ships:!!Foreign born:!!Not a U.S. citizen:!!Female</t>
  </si>
  <si>
    <t>B26210_118</t>
  </si>
  <si>
    <t>B26211_002</t>
  </si>
  <si>
    <t>Estimate!!Total:!!Entered 2010 or later</t>
  </si>
  <si>
    <t>B26211_003</t>
  </si>
  <si>
    <t>Estimate!!Total:!!Entered 2000 to 2009</t>
  </si>
  <si>
    <t>B26211_004</t>
  </si>
  <si>
    <t>Estimate!!Total:!!Entered before 2000</t>
  </si>
  <si>
    <t>B26211_005</t>
  </si>
  <si>
    <t>B26211_006</t>
  </si>
  <si>
    <t>Estimate!!Total:!!Group quarters population:!!Entered 2010 or later</t>
  </si>
  <si>
    <t>B26211_007</t>
  </si>
  <si>
    <t>Estimate!!Total:!!Group quarters population:!!Entered 2000 to 2009</t>
  </si>
  <si>
    <t>B26211_008</t>
  </si>
  <si>
    <t>Estimate!!Total:!!Group quarters population:!!Entered before 2000</t>
  </si>
  <si>
    <t>B26211_009</t>
  </si>
  <si>
    <t>B26211_010</t>
  </si>
  <si>
    <t>Estimate!!Total:!!Group quarters population:!!Institutionalized group quarters population:!!Entered 2010 or later</t>
  </si>
  <si>
    <t>B26211_011</t>
  </si>
  <si>
    <t>Estimate!!Total:!!Group quarters population:!!Institutionalized group quarters population:!!Entered 2000 to 2009</t>
  </si>
  <si>
    <t>B26211_012</t>
  </si>
  <si>
    <t>Estimate!!Total:!!Group quarters population:!!Institutionalized group quarters population:!!Entered before 2000</t>
  </si>
  <si>
    <t>B26211_013</t>
  </si>
  <si>
    <t>B26211_014</t>
  </si>
  <si>
    <t>Estimate!!Total:!!Group quarters population:!!Institutionalized group quarters population:!!Adult correctional facilities:!!Entered 2010 or later</t>
  </si>
  <si>
    <t>B26211_015</t>
  </si>
  <si>
    <t>Estimate!!Total:!!Group quarters population:!!Institutionalized group quarters population:!!Adult correctional facilities:!!Entered 2000 to 2009</t>
  </si>
  <si>
    <t>B26211_016</t>
  </si>
  <si>
    <t>Estimate!!Total:!!Group quarters population:!!Institutionalized group quarters population:!!Adult correctional facilities:!!Entered before 2000</t>
  </si>
  <si>
    <t>B26211_017</t>
  </si>
  <si>
    <t>B26211_018</t>
  </si>
  <si>
    <t>Estimate!!Total:!!Group quarters population:!!Institutionalized group quarters population:!!Nursing facilities/skilled nursing facilities:!!Entered 2010 or later</t>
  </si>
  <si>
    <t>B26211_019</t>
  </si>
  <si>
    <t>Estimate!!Total:!!Group quarters population:!!Institutionalized group quarters population:!!Nursing facilities/skilled nursing facilities:!!Entered 2000 to 2009</t>
  </si>
  <si>
    <t>B26211_020</t>
  </si>
  <si>
    <t>Estimate!!Total:!!Group quarters population:!!Institutionalized group quarters population:!!Nursing facilities/skilled nursing facilities:!!Entered before 2000</t>
  </si>
  <si>
    <t>B26211_021</t>
  </si>
  <si>
    <t>B26211_022</t>
  </si>
  <si>
    <t>Estimate!!Total:!!Group quarters population:!!Institutionalized group quarters population:!!Juvenile facilities:!!Entered 2010 or later</t>
  </si>
  <si>
    <t>B26211_023</t>
  </si>
  <si>
    <t>Estimate!!Total:!!Group quarters population:!!Institutionalized group quarters population:!!Juvenile facilities:!!Entered 2000 to 2009</t>
  </si>
  <si>
    <t>B26211_024</t>
  </si>
  <si>
    <t>Estimate!!Total:!!Group quarters population:!!Institutionalized group quarters population:!!Juvenile facilities:!!Entered before 2000</t>
  </si>
  <si>
    <t>B26211_025</t>
  </si>
  <si>
    <t>B26211_026</t>
  </si>
  <si>
    <t>Estimate!!Total:!!Group quarters population:!!Noninstitutionalized group quarters population:!!Entered 2010 or later</t>
  </si>
  <si>
    <t>B26211_027</t>
  </si>
  <si>
    <t>Estimate!!Total:!!Group quarters population:!!Noninstitutionalized group quarters population:!!Entered 2000 to 2009</t>
  </si>
  <si>
    <t>B26211_028</t>
  </si>
  <si>
    <t>Estimate!!Total:!!Group quarters population:!!Noninstitutionalized group quarters population:!!Entered before 2000</t>
  </si>
  <si>
    <t>B26211_029</t>
  </si>
  <si>
    <t>B26211_030</t>
  </si>
  <si>
    <t>Estimate!!Total:!!Group quarters population:!!Noninstitutionalized group quarters population:!!College/university student housing:!!Entered 2010 or later</t>
  </si>
  <si>
    <t>B26211_031</t>
  </si>
  <si>
    <t>Estimate!!Total:!!Group quarters population:!!Noninstitutionalized group quarters population:!!College/university student housing:!!Entered 2000 to 2009</t>
  </si>
  <si>
    <t>B26211_032</t>
  </si>
  <si>
    <t>Estimate!!Total:!!Group quarters population:!!Noninstitutionalized group quarters population:!!College/university student housing:!!Entered before 2000</t>
  </si>
  <si>
    <t>B26211_033</t>
  </si>
  <si>
    <t>B26211_034</t>
  </si>
  <si>
    <t>Estimate!!Total:!!Group quarters population:!!Noninstitutionalized group quarters population:!!Military quarters/military ships:!!Entered 2010 or later</t>
  </si>
  <si>
    <t>B26211_035</t>
  </si>
  <si>
    <t>Estimate!!Total:!!Group quarters population:!!Noninstitutionalized group quarters population:!!Military quarters/military ships:!!Entered 2000 to 2009</t>
  </si>
  <si>
    <t>B26211_036</t>
  </si>
  <si>
    <t>Estimate!!Total:!!Group quarters population:!!Noninstitutionalized group quarters population:!!Military quarters/military ships:!!Entered before 2000</t>
  </si>
  <si>
    <t>B26211_037</t>
  </si>
  <si>
    <t>B26212_002</t>
  </si>
  <si>
    <t>Estimate!!Total:!!Europe</t>
  </si>
  <si>
    <t>B26212_003</t>
  </si>
  <si>
    <t>Estimate!!Total:!!Asia</t>
  </si>
  <si>
    <t>B26212_004</t>
  </si>
  <si>
    <t>Estimate!!Total:!!Latin America</t>
  </si>
  <si>
    <t>B26212_005</t>
  </si>
  <si>
    <t>Estimate!!Total:!!Other</t>
  </si>
  <si>
    <t>B26212_006</t>
  </si>
  <si>
    <t>B26212_007</t>
  </si>
  <si>
    <t>Estimate!!Total:!!Group quarters population:!!Europe</t>
  </si>
  <si>
    <t>B26212_008</t>
  </si>
  <si>
    <t>Estimate!!Total:!!Group quarters population:!!Asia</t>
  </si>
  <si>
    <t>B26212_009</t>
  </si>
  <si>
    <t>Estimate!!Total:!!Group quarters population:!!Latin America</t>
  </si>
  <si>
    <t>B26212_010</t>
  </si>
  <si>
    <t>Estimate!!Total:!!Group quarters population:!!Other</t>
  </si>
  <si>
    <t>B26212_011</t>
  </si>
  <si>
    <t>B26212_012</t>
  </si>
  <si>
    <t>Estimate!!Total:!!Group quarters population:!!Institutionalized group quarters population:!!Europe</t>
  </si>
  <si>
    <t>B26212_013</t>
  </si>
  <si>
    <t>Estimate!!Total:!!Group quarters population:!!Institutionalized group quarters population:!!Asia</t>
  </si>
  <si>
    <t>B26212_014</t>
  </si>
  <si>
    <t>Estimate!!Total:!!Group quarters population:!!Institutionalized group quarters population:!!Latin America</t>
  </si>
  <si>
    <t>B26212_015</t>
  </si>
  <si>
    <t>Estimate!!Total:!!Group quarters population:!!Institutionalized group quarters population:!!Other</t>
  </si>
  <si>
    <t>B26212_016</t>
  </si>
  <si>
    <t>B26212_017</t>
  </si>
  <si>
    <t>Estimate!!Total:!!Group quarters population:!!Institutionalized group quarters population:!!Adult correctional facilities:!!Europe</t>
  </si>
  <si>
    <t>B26212_018</t>
  </si>
  <si>
    <t>Estimate!!Total:!!Group quarters population:!!Institutionalized group quarters population:!!Adult correctional facilities:!!Asia</t>
  </si>
  <si>
    <t>B26212_019</t>
  </si>
  <si>
    <t>Estimate!!Total:!!Group quarters population:!!Institutionalized group quarters population:!!Adult correctional facilities:!!Latin America</t>
  </si>
  <si>
    <t>B26212_020</t>
  </si>
  <si>
    <t>Estimate!!Total:!!Group quarters population:!!Institutionalized group quarters population:!!Adult correctional facilities:!!Other</t>
  </si>
  <si>
    <t>B26212_021</t>
  </si>
  <si>
    <t>B26212_022</t>
  </si>
  <si>
    <t>Estimate!!Total:!!Group quarters population:!!Institutionalized group quarters population:!!Nursing facilities/skilled nursing facilities:!!Europe</t>
  </si>
  <si>
    <t>B26212_023</t>
  </si>
  <si>
    <t>Estimate!!Total:!!Group quarters population:!!Institutionalized group quarters population:!!Nursing facilities/skilled nursing facilities:!!Asia</t>
  </si>
  <si>
    <t>B26212_024</t>
  </si>
  <si>
    <t>Estimate!!Total:!!Group quarters population:!!Institutionalized group quarters population:!!Nursing facilities/skilled nursing facilities:!!Latin America</t>
  </si>
  <si>
    <t>B26212_025</t>
  </si>
  <si>
    <t>Estimate!!Total:!!Group quarters population:!!Institutionalized group quarters population:!!Nursing facilities/skilled nursing facilities:!!Other</t>
  </si>
  <si>
    <t>B26212_026</t>
  </si>
  <si>
    <t>B26212_027</t>
  </si>
  <si>
    <t>Estimate!!Total:!!Group quarters population:!!Institutionalized group quarters population:!!Juvenile facilities:!!Europe</t>
  </si>
  <si>
    <t>B26212_028</t>
  </si>
  <si>
    <t>Estimate!!Total:!!Group quarters population:!!Institutionalized group quarters population:!!Juvenile facilities:!!Asia</t>
  </si>
  <si>
    <t>B26212_029</t>
  </si>
  <si>
    <t>Estimate!!Total:!!Group quarters population:!!Institutionalized group quarters population:!!Juvenile facilities:!!Latin America</t>
  </si>
  <si>
    <t>B26212_030</t>
  </si>
  <si>
    <t>Estimate!!Total:!!Group quarters population:!!Institutionalized group quarters population:!!Juvenile facilities:!!Other</t>
  </si>
  <si>
    <t>B26212_031</t>
  </si>
  <si>
    <t>B26212_032</t>
  </si>
  <si>
    <t>Estimate!!Total:!!Group quarters population:!!Noninstitutionalized group quarters population:!!Europe</t>
  </si>
  <si>
    <t>B26212_033</t>
  </si>
  <si>
    <t>Estimate!!Total:!!Group quarters population:!!Noninstitutionalized group quarters population:!!Asia</t>
  </si>
  <si>
    <t>B26212_034</t>
  </si>
  <si>
    <t>Estimate!!Total:!!Group quarters population:!!Noninstitutionalized group quarters population:!!Latin America</t>
  </si>
  <si>
    <t>B26212_035</t>
  </si>
  <si>
    <t>Estimate!!Total:!!Group quarters population:!!Noninstitutionalized group quarters population:!!Other</t>
  </si>
  <si>
    <t>B26212_036</t>
  </si>
  <si>
    <t>B26212_037</t>
  </si>
  <si>
    <t>Estimate!!Total:!!Group quarters population:!!Noninstitutionalized group quarters population:!!College/university student housing:!!Europe</t>
  </si>
  <si>
    <t>B26212_038</t>
  </si>
  <si>
    <t>Estimate!!Total:!!Group quarters population:!!Noninstitutionalized group quarters population:!!College/university student housing:!!Asia</t>
  </si>
  <si>
    <t>B26212_039</t>
  </si>
  <si>
    <t>Estimate!!Total:!!Group quarters population:!!Noninstitutionalized group quarters population:!!College/university student housing:!!Latin America</t>
  </si>
  <si>
    <t>B26212_040</t>
  </si>
  <si>
    <t>Estimate!!Total:!!Group quarters population:!!Noninstitutionalized group quarters population:!!College/university student housing:!!Other</t>
  </si>
  <si>
    <t>B26212_041</t>
  </si>
  <si>
    <t>B26212_042</t>
  </si>
  <si>
    <t>Estimate!!Total:!!Group quarters population:!!Noninstitutionalized group quarters population:!!Military quarters/military ships:!!Europe</t>
  </si>
  <si>
    <t>B26212_043</t>
  </si>
  <si>
    <t>Estimate!!Total:!!Group quarters population:!!Noninstitutionalized group quarters population:!!Military quarters/military ships:!!Asia</t>
  </si>
  <si>
    <t>B26212_044</t>
  </si>
  <si>
    <t>Estimate!!Total:!!Group quarters population:!!Noninstitutionalized group quarters population:!!Military quarters/military ships:!!Latin America</t>
  </si>
  <si>
    <t>B26212_045</t>
  </si>
  <si>
    <t>Estimate!!Total:!!Group quarters population:!!Noninstitutionalized group quarters population:!!Military quarters/military ships:!!Other</t>
  </si>
  <si>
    <t>B26212_046</t>
  </si>
  <si>
    <t>B26213_002</t>
  </si>
  <si>
    <t>B26213_003</t>
  </si>
  <si>
    <t>B26213_004</t>
  </si>
  <si>
    <t>B26213_005</t>
  </si>
  <si>
    <t>B26213_006</t>
  </si>
  <si>
    <t>B26213_007</t>
  </si>
  <si>
    <t>B26213_008</t>
  </si>
  <si>
    <t>B26213_009</t>
  </si>
  <si>
    <t>B26213_010</t>
  </si>
  <si>
    <t>B26213_011</t>
  </si>
  <si>
    <t>B26213_012</t>
  </si>
  <si>
    <t>B26213_013</t>
  </si>
  <si>
    <t>B26213_014</t>
  </si>
  <si>
    <t>B26213_015</t>
  </si>
  <si>
    <t>B26213_016</t>
  </si>
  <si>
    <t>B26213_017</t>
  </si>
  <si>
    <t>B26213_018</t>
  </si>
  <si>
    <t>B26213_019</t>
  </si>
  <si>
    <t>B26213_020</t>
  </si>
  <si>
    <t>B26213_021</t>
  </si>
  <si>
    <t>B26213_022</t>
  </si>
  <si>
    <t>B26213_023</t>
  </si>
  <si>
    <t>B26213_024</t>
  </si>
  <si>
    <t>B26213_025</t>
  </si>
  <si>
    <t>B26213_026</t>
  </si>
  <si>
    <t>B26213_027</t>
  </si>
  <si>
    <t>Estimate!!Total:!!Group quarters population:!!Institutionalized group quarters population:!!Juvenile facilities:!!Speak only English</t>
  </si>
  <si>
    <t>B26213_028</t>
  </si>
  <si>
    <t>Estimate!!Total:!!Group quarters population:!!Institutionalized group quarters population:!!Juvenile facilities:!!Speak Language other than English:</t>
  </si>
  <si>
    <t>B26213_029</t>
  </si>
  <si>
    <t>Estimate!!Total:!!Group quarters population:!!Institutionalized group quarters population:!!Juvenile facilities:!!Speak Language other than English:!!Speak English "very well"</t>
  </si>
  <si>
    <t>B26213_030</t>
  </si>
  <si>
    <t>Estimate!!Total:!!Group quarters population:!!Institutionalized group quarters population:!!Juvenile facilities:!!Speak Language other than English:!!Speak English less than "very well"</t>
  </si>
  <si>
    <t>B26213_031</t>
  </si>
  <si>
    <t>B26213_032</t>
  </si>
  <si>
    <t>B26213_033</t>
  </si>
  <si>
    <t>B26213_034</t>
  </si>
  <si>
    <t>B26213_035</t>
  </si>
  <si>
    <t>B26213_036</t>
  </si>
  <si>
    <t>B26213_037</t>
  </si>
  <si>
    <t>B26213_038</t>
  </si>
  <si>
    <t>B26213_039</t>
  </si>
  <si>
    <t>B26213_040</t>
  </si>
  <si>
    <t>B26213_041</t>
  </si>
  <si>
    <t>B26213_042</t>
  </si>
  <si>
    <t>Estimate!!Total:!!Group quarters population:!!Noninstitutionalized group quarters population:!!Military quarters/military ships:!!Speak only English</t>
  </si>
  <si>
    <t>B26213_043</t>
  </si>
  <si>
    <t>Estimate!!Total:!!Group quarters population:!!Noninstitutionalized group quarters population:!!Military quarters/military ships:!!Speak Language other than English:</t>
  </si>
  <si>
    <t>B26213_044</t>
  </si>
  <si>
    <t>Estimate!!Total:!!Group quarters population:!!Noninstitutionalized group quarters population:!!Military quarters/military ships:!!Speak Language other than English:!!Speak English "very well"</t>
  </si>
  <si>
    <t>B26213_045</t>
  </si>
  <si>
    <t>Estimate!!Total:!!Group quarters population:!!Noninstitutionalized group quarters population:!!Military quarters/military ships:!!Speak Language other than English:!!Speak English less than "very well"</t>
  </si>
  <si>
    <t>B26213_046</t>
  </si>
  <si>
    <t>B26214_002</t>
  </si>
  <si>
    <t>B26214_003</t>
  </si>
  <si>
    <t>B26214_004</t>
  </si>
  <si>
    <t>B26214_005</t>
  </si>
  <si>
    <t>B26214_006</t>
  </si>
  <si>
    <t>B26214_007</t>
  </si>
  <si>
    <t>B26214_008</t>
  </si>
  <si>
    <t>B26214_009</t>
  </si>
  <si>
    <t>B26214_010</t>
  </si>
  <si>
    <t>B26214_011</t>
  </si>
  <si>
    <t>B26214_012</t>
  </si>
  <si>
    <t>B26214_013</t>
  </si>
  <si>
    <t>B26214_014</t>
  </si>
  <si>
    <t>B26214_015</t>
  </si>
  <si>
    <t>B26214_016</t>
  </si>
  <si>
    <t>B26214_017</t>
  </si>
  <si>
    <t>B26214_018</t>
  </si>
  <si>
    <t>B26214_019</t>
  </si>
  <si>
    <t>B26214_020</t>
  </si>
  <si>
    <t>B26214_021</t>
  </si>
  <si>
    <t>B26214_022</t>
  </si>
  <si>
    <t>Estimate!!Total:!!Group quarters population:!!Institutionalized group quarters population:!!Juvenile facilities:!!Not in labor force</t>
  </si>
  <si>
    <t>B26214_023</t>
  </si>
  <si>
    <t>B26214_024</t>
  </si>
  <si>
    <t>B26214_025</t>
  </si>
  <si>
    <t>B26214_026</t>
  </si>
  <si>
    <t>B26214_027</t>
  </si>
  <si>
    <t>B26214_028</t>
  </si>
  <si>
    <t>B26214_029</t>
  </si>
  <si>
    <t>B26214_030</t>
  </si>
  <si>
    <t>B26214_031</t>
  </si>
  <si>
    <t>B26214_032</t>
  </si>
  <si>
    <t>B26214_033</t>
  </si>
  <si>
    <t>B26214_034</t>
  </si>
  <si>
    <t>B26214_035</t>
  </si>
  <si>
    <t>B26214_036</t>
  </si>
  <si>
    <t>B26214_037</t>
  </si>
  <si>
    <t>B26214_038</t>
  </si>
  <si>
    <t>Estimate!!Total:!!Group quarters population:!!Noninstitutionalized group quarters population:!!Military quarters/military ships:!!In labor force:</t>
  </si>
  <si>
    <t>B26214_039</t>
  </si>
  <si>
    <t>Estimate!!Total:!!Group quarters population:!!Noninstitutionalized group quarters population:!!Military quarters/military ships:!!In labor force:!!Civilian labor force:</t>
  </si>
  <si>
    <t>B26214_040</t>
  </si>
  <si>
    <t>Estimate!!Total:!!Group quarters population:!!Noninstitutionalized group quarters population:!!Military quarters/military ships:!!In labor force:!!Civilian labor force:!!Employed</t>
  </si>
  <si>
    <t>B26214_041</t>
  </si>
  <si>
    <t>Estimate!!Total:!!Group quarters population:!!Noninstitutionalized group quarters population:!!Military quarters/military ships:!!In labor force:!!Civilian labor force:!!Unemployed</t>
  </si>
  <si>
    <t>B26214_042</t>
  </si>
  <si>
    <t>Estimate!!Total:!!Group quarters population:!!Noninstitutionalized group quarters population:!!Military quarters/military ships:!!In labor force:!!Armed Forces</t>
  </si>
  <si>
    <t>B26214_043</t>
  </si>
  <si>
    <t>Estimate!!Total:!!Group quarters population:!!Noninstitutionalized group quarters population:!!Military quarters/military ships:!!Not in labor force</t>
  </si>
  <si>
    <t>B26214_044</t>
  </si>
  <si>
    <t>B26215_002</t>
  </si>
  <si>
    <t>B26215_003</t>
  </si>
  <si>
    <t>B26215_004</t>
  </si>
  <si>
    <t>B26215_005</t>
  </si>
  <si>
    <t>B26215_006</t>
  </si>
  <si>
    <t>B26215_007</t>
  </si>
  <si>
    <t>B26215_008</t>
  </si>
  <si>
    <t>B26215_009</t>
  </si>
  <si>
    <t>B26215_010</t>
  </si>
  <si>
    <t>B26215_011</t>
  </si>
  <si>
    <t>B26215_012</t>
  </si>
  <si>
    <t>B26215_013</t>
  </si>
  <si>
    <t>B26215_014</t>
  </si>
  <si>
    <t>B26215_015</t>
  </si>
  <si>
    <t>B26215_016</t>
  </si>
  <si>
    <t>B26215_017</t>
  </si>
  <si>
    <t>B26215_018</t>
  </si>
  <si>
    <t>B26215_019</t>
  </si>
  <si>
    <t>Estimate!!Total:!!Noninstitutionalized group quarters population:!!Military quarters/military ships:</t>
  </si>
  <si>
    <t>B26215_020</t>
  </si>
  <si>
    <t>Estimate!!Total:!!Noninstitutionalized group quarters population:!!Military quarters/military ships:!!Management, business, science, and arts occupations</t>
  </si>
  <si>
    <t>B26215_021</t>
  </si>
  <si>
    <t>Estimate!!Total:!!Noninstitutionalized group quarters population:!!Military quarters/military ships:!!Service occupations</t>
  </si>
  <si>
    <t>B26215_022</t>
  </si>
  <si>
    <t>Estimate!!Total:!!Noninstitutionalized group quarters population:!!Military quarters/military ships:!!Sales and office occupations</t>
  </si>
  <si>
    <t>B26215_023</t>
  </si>
  <si>
    <t>Estimate!!Total:!!Noninstitutionalized group quarters population:!!Military quarters/military ships:!!Natural resources, construction, and maintenance occupations</t>
  </si>
  <si>
    <t>B26215_024</t>
  </si>
  <si>
    <t>Estimate!!Total:!!Noninstitutionalized group quarters population:!!Military quarters/military ships:!!Production, transportation, and material moving occupations</t>
  </si>
  <si>
    <t>B26215_025</t>
  </si>
  <si>
    <t>B26216_002</t>
  </si>
  <si>
    <t>B26216_003</t>
  </si>
  <si>
    <t>B26216_004</t>
  </si>
  <si>
    <t>B26216_005</t>
  </si>
  <si>
    <t>B26216_006</t>
  </si>
  <si>
    <t>B26216_007</t>
  </si>
  <si>
    <t>B26216_008</t>
  </si>
  <si>
    <t>B26216_009</t>
  </si>
  <si>
    <t>B26216_010</t>
  </si>
  <si>
    <t>B26217_002</t>
  </si>
  <si>
    <t>B26217_003</t>
  </si>
  <si>
    <t>B26217_004</t>
  </si>
  <si>
    <t>B26217_005</t>
  </si>
  <si>
    <t>B26217_006</t>
  </si>
  <si>
    <t>B26217_007</t>
  </si>
  <si>
    <t>B26217_008</t>
  </si>
  <si>
    <t>B26217_009</t>
  </si>
  <si>
    <t>B26217_010</t>
  </si>
  <si>
    <t>B26217_011</t>
  </si>
  <si>
    <t>B26217_012</t>
  </si>
  <si>
    <t>B26217_013</t>
  </si>
  <si>
    <t>B26217_014</t>
  </si>
  <si>
    <t>B26217_015</t>
  </si>
  <si>
    <t>B26217_016</t>
  </si>
  <si>
    <t>B26217_017</t>
  </si>
  <si>
    <t>Estimate!!Total:!!Group quarters population:!!Institutionalized group quarters population:!!Juvenile facilities:!!Male</t>
  </si>
  <si>
    <t>B26217_018</t>
  </si>
  <si>
    <t>Estimate!!Total:!!Group quarters population:!!Institutionalized group quarters population:!!Juvenile facilities:!!Female</t>
  </si>
  <si>
    <t>B26217_019</t>
  </si>
  <si>
    <t>B26217_020</t>
  </si>
  <si>
    <t>B26217_021</t>
  </si>
  <si>
    <t>B26217_022</t>
  </si>
  <si>
    <t>B26217_023</t>
  </si>
  <si>
    <t>B26217_024</t>
  </si>
  <si>
    <t>B26217_025</t>
  </si>
  <si>
    <t>B26217_026</t>
  </si>
  <si>
    <t>Estimate!!Total:!!Group quarters population:!!Noninstitutionalized group quarters population:!!Military quarters/military ships:!!Male</t>
  </si>
  <si>
    <t>B26217_027</t>
  </si>
  <si>
    <t>Estimate!!Total:!!Group quarters population:!!Noninstitutionalized group quarters population:!!Military quarters/military ships:!!Female</t>
  </si>
  <si>
    <t>B26217_028</t>
  </si>
  <si>
    <t>B26218_002</t>
  </si>
  <si>
    <t>B26218_003</t>
  </si>
  <si>
    <t>B26218_004</t>
  </si>
  <si>
    <t>B26218_005</t>
  </si>
  <si>
    <t>B26218_006</t>
  </si>
  <si>
    <t>B26218_007</t>
  </si>
  <si>
    <t>B26218_008</t>
  </si>
  <si>
    <t>B26218_009</t>
  </si>
  <si>
    <t>B26218_010</t>
  </si>
  <si>
    <t>B26218_011</t>
  </si>
  <si>
    <t>B26218_012</t>
  </si>
  <si>
    <t>B26218_013</t>
  </si>
  <si>
    <t>B26218_014</t>
  </si>
  <si>
    <t>B26218_015</t>
  </si>
  <si>
    <t>B26218_016</t>
  </si>
  <si>
    <t>B26218_017</t>
  </si>
  <si>
    <t>B26218_018</t>
  </si>
  <si>
    <t>B26218_019</t>
  </si>
  <si>
    <t>B26218_020</t>
  </si>
  <si>
    <t>B26218_021</t>
  </si>
  <si>
    <t>B26218_022</t>
  </si>
  <si>
    <t>B26218_023</t>
  </si>
  <si>
    <t>B26218_024</t>
  </si>
  <si>
    <t>B26218_025</t>
  </si>
  <si>
    <t>B26218_026</t>
  </si>
  <si>
    <t>B26218_027</t>
  </si>
  <si>
    <t>B26218_028</t>
  </si>
  <si>
    <t>B26219_002</t>
  </si>
  <si>
    <t>B26219_003</t>
  </si>
  <si>
    <t>B26219_004</t>
  </si>
  <si>
    <t>B26219_005</t>
  </si>
  <si>
    <t>B26219_006</t>
  </si>
  <si>
    <t>B26219_007</t>
  </si>
  <si>
    <t>B26219_008</t>
  </si>
  <si>
    <t>B26219_009</t>
  </si>
  <si>
    <t>B26219_010</t>
  </si>
  <si>
    <t>B26219_011</t>
  </si>
  <si>
    <t>B26219_012</t>
  </si>
  <si>
    <t>B26219_013</t>
  </si>
  <si>
    <t>B26219_014</t>
  </si>
  <si>
    <t>B26219_015</t>
  </si>
  <si>
    <t>B26219_016</t>
  </si>
  <si>
    <t>Estimate!!Median earnings in the past 12 months --!!Total:!!Group quarters population:!!Institutionalized group quarters population:!!Juvenile facilities:</t>
  </si>
  <si>
    <t>B26219_017</t>
  </si>
  <si>
    <t>Estimate!!Median earnings in the past 12 months --!!Total:!!Group quarters population:!!Institutionalized group quarters population:!!Juvenile facilities:!!Male</t>
  </si>
  <si>
    <t>B26219_018</t>
  </si>
  <si>
    <t>Estimate!!Median earnings in the past 12 months --!!Total:!!Group quarters population:!!Institutionalized group quarters population:!!Juvenile facilities:!!Female</t>
  </si>
  <si>
    <t>B26219_019</t>
  </si>
  <si>
    <t>B26219_020</t>
  </si>
  <si>
    <t>B26219_021</t>
  </si>
  <si>
    <t>B26219_022</t>
  </si>
  <si>
    <t>B26219_023</t>
  </si>
  <si>
    <t>B26219_024</t>
  </si>
  <si>
    <t>B26219_025</t>
  </si>
  <si>
    <t>Estimate!!Median earnings in the past 12 months --!!Total:!!Group quarters population:!!Noninstitutionalized group quarters population:!!Military quarters/military ships:</t>
  </si>
  <si>
    <t>B26219_026</t>
  </si>
  <si>
    <t>Estimate!!Median earnings in the past 12 months --!!Total:!!Group quarters population:!!Noninstitutionalized group quarters population:!!Military quarters/military ships:!!Male</t>
  </si>
  <si>
    <t>B26219_027</t>
  </si>
  <si>
    <t>Estimate!!Median earnings in the past 12 months --!!Total:!!Group quarters population:!!Noninstitutionalized group quarters population:!!Military quarters/military ships:!!Female</t>
  </si>
  <si>
    <t>B26219_028</t>
  </si>
  <si>
    <t>B26220_002</t>
  </si>
  <si>
    <t>B26220_003</t>
  </si>
  <si>
    <t>B26220_004</t>
  </si>
  <si>
    <t>B26220_005</t>
  </si>
  <si>
    <t>B26220_006</t>
  </si>
  <si>
    <t>B26220_007</t>
  </si>
  <si>
    <t>B26220_008</t>
  </si>
  <si>
    <t>B26220_009</t>
  </si>
  <si>
    <t>B26220_010</t>
  </si>
  <si>
    <t>B26220_011</t>
  </si>
  <si>
    <t>B26220_012</t>
  </si>
  <si>
    <t>B26220_013</t>
  </si>
  <si>
    <t>Estimate!!Group quarters population:!!Institutionalized group quarters population:!!Juvenile facilities:</t>
  </si>
  <si>
    <t>B26220_014</t>
  </si>
  <si>
    <t>Estimate!!Group quarters population:!!Institutionalized group quarters population:!!Juvenile facilities:!!Received Food Stamps/SNAP in the past 12 months</t>
  </si>
  <si>
    <t>B26220_015</t>
  </si>
  <si>
    <t>Estimate!!Group quarters population:!!Institutionalized group quarters population:!!Juvenile facilities:!!Did not receive Food Stamps/SNAP in the past 12 months</t>
  </si>
  <si>
    <t>B26220_016</t>
  </si>
  <si>
    <t>B26220_017</t>
  </si>
  <si>
    <t>B26220_018</t>
  </si>
  <si>
    <t>B26220_019</t>
  </si>
  <si>
    <t>B26220_020</t>
  </si>
  <si>
    <t>B26220_021</t>
  </si>
  <si>
    <t>B26220_022</t>
  </si>
  <si>
    <t>Estimate!!Group quarters population:!!Noninstitutionalized group quarters population:!!Military quarters/military ships:</t>
  </si>
  <si>
    <t>B26220_023</t>
  </si>
  <si>
    <t>Estimate!!Group quarters population:!!Noninstitutionalized group quarters population:!!Military quarters/military ships:!!Received Food Stamps/SNAP in the past 12 months</t>
  </si>
  <si>
    <t>B26220_024</t>
  </si>
  <si>
    <t>Estimate!!Group quarters population:!!Noninstitutionalized group quarters population:!!Military quarters/military ships:!!Did not receive Food Stamps/SNAP in the past 12 months</t>
  </si>
  <si>
    <t>B27001_002</t>
  </si>
  <si>
    <t>B27001_003</t>
  </si>
  <si>
    <t>Estimate!!Total:!!Male:!!Under 6 years:</t>
  </si>
  <si>
    <t>B27001_004</t>
  </si>
  <si>
    <t>Estimate!!Total:!!Male:!!Under 6 years:!!With health insurance coverage</t>
  </si>
  <si>
    <t>B27001_005</t>
  </si>
  <si>
    <t>Estimate!!Total:!!Male:!!Under 6 years:!!No health insurance coverage</t>
  </si>
  <si>
    <t>B27001_006</t>
  </si>
  <si>
    <t>Estimate!!Total:!!Male:!!6 to 18 years:</t>
  </si>
  <si>
    <t>B27001_007</t>
  </si>
  <si>
    <t>Estimate!!Total:!!Male:!!6 to 18 years:!!With health insurance coverage</t>
  </si>
  <si>
    <t>B27001_008</t>
  </si>
  <si>
    <t>Estimate!!Total:!!Male:!!6 to 18 years:!!No health insurance coverage</t>
  </si>
  <si>
    <t>B27001_009</t>
  </si>
  <si>
    <t>Estimate!!Total:!!Male:!!19 to 25 years:</t>
  </si>
  <si>
    <t>B27001_010</t>
  </si>
  <si>
    <t>Estimate!!Total:!!Male:!!19 to 25 years:!!With health insurance coverage</t>
  </si>
  <si>
    <t>B27001_011</t>
  </si>
  <si>
    <t>Estimate!!Total:!!Male:!!19 to 25 years:!!No health insurance coverage</t>
  </si>
  <si>
    <t>B27001_012</t>
  </si>
  <si>
    <t>Estimate!!Total:!!Male:!!26 to 34 years:</t>
  </si>
  <si>
    <t>B27001_013</t>
  </si>
  <si>
    <t>Estimate!!Total:!!Male:!!26 to 34 years:!!With health insurance coverage</t>
  </si>
  <si>
    <t>B27001_014</t>
  </si>
  <si>
    <t>Estimate!!Total:!!Male:!!26 to 34 years:!!No health insurance coverage</t>
  </si>
  <si>
    <t>B27001_015</t>
  </si>
  <si>
    <t>B27001_016</t>
  </si>
  <si>
    <t>Estimate!!Total:!!Male:!!35 to 44 years:!!With health insurance coverage</t>
  </si>
  <si>
    <t>B27001_017</t>
  </si>
  <si>
    <t>Estimate!!Total:!!Male:!!35 to 44 years:!!No health insurance coverage</t>
  </si>
  <si>
    <t>B27001_018</t>
  </si>
  <si>
    <t>B27001_019</t>
  </si>
  <si>
    <t>Estimate!!Total:!!Male:!!45 to 54 years:!!With health insurance coverage</t>
  </si>
  <si>
    <t>B27001_020</t>
  </si>
  <si>
    <t>Estimate!!Total:!!Male:!!45 to 54 years:!!No health insurance coverage</t>
  </si>
  <si>
    <t>B27001_021</t>
  </si>
  <si>
    <t>B27001_022</t>
  </si>
  <si>
    <t>Estimate!!Total:!!Male:!!55 to 64 years:!!With health insurance coverage</t>
  </si>
  <si>
    <t>B27001_023</t>
  </si>
  <si>
    <t>Estimate!!Total:!!Male:!!55 to 64 years:!!No health insurance coverage</t>
  </si>
  <si>
    <t>B27001_024</t>
  </si>
  <si>
    <t>B27001_025</t>
  </si>
  <si>
    <t>Estimate!!Total:!!Male:!!65 to 74 years:!!With health insurance coverage</t>
  </si>
  <si>
    <t>B27001_026</t>
  </si>
  <si>
    <t>Estimate!!Total:!!Male:!!65 to 74 years:!!No health insurance coverage</t>
  </si>
  <si>
    <t>B27001_027</t>
  </si>
  <si>
    <t>B27001_028</t>
  </si>
  <si>
    <t>Estimate!!Total:!!Male:!!75 years and over:!!With health insurance coverage</t>
  </si>
  <si>
    <t>B27001_029</t>
  </si>
  <si>
    <t>Estimate!!Total:!!Male:!!75 years and over:!!No health insurance coverage</t>
  </si>
  <si>
    <t>B27001_030</t>
  </si>
  <si>
    <t>B27001_031</t>
  </si>
  <si>
    <t>Estimate!!Total:!!Female:!!Under 6 years:</t>
  </si>
  <si>
    <t>B27001_032</t>
  </si>
  <si>
    <t>Estimate!!Total:!!Female:!!Under 6 years:!!With health insurance coverage</t>
  </si>
  <si>
    <t>B27001_033</t>
  </si>
  <si>
    <t>Estimate!!Total:!!Female:!!Under 6 years:!!No health insurance coverage</t>
  </si>
  <si>
    <t>B27001_034</t>
  </si>
  <si>
    <t>Estimate!!Total:!!Female:!!6 to 18 years:</t>
  </si>
  <si>
    <t>B27001_035</t>
  </si>
  <si>
    <t>Estimate!!Total:!!Female:!!6 to 18 years:!!With health insurance coverage</t>
  </si>
  <si>
    <t>B27001_036</t>
  </si>
  <si>
    <t>Estimate!!Total:!!Female:!!6 to 18 years:!!No health insurance coverage</t>
  </si>
  <si>
    <t>B27001_037</t>
  </si>
  <si>
    <t>Estimate!!Total:!!Female:!!19 to 25 years:</t>
  </si>
  <si>
    <t>B27001_038</t>
  </si>
  <si>
    <t>Estimate!!Total:!!Female:!!19 to 25 years:!!With health insurance coverage</t>
  </si>
  <si>
    <t>B27001_039</t>
  </si>
  <si>
    <t>Estimate!!Total:!!Female:!!19 to 25 years:!!No health insurance coverage</t>
  </si>
  <si>
    <t>B27001_040</t>
  </si>
  <si>
    <t>Estimate!!Total:!!Female:!!26 to 34 years:</t>
  </si>
  <si>
    <t>B27001_041</t>
  </si>
  <si>
    <t>Estimate!!Total:!!Female:!!26 to 34 years:!!With health insurance coverage</t>
  </si>
  <si>
    <t>B27001_042</t>
  </si>
  <si>
    <t>Estimate!!Total:!!Female:!!26 to 34 years:!!No health insurance coverage</t>
  </si>
  <si>
    <t>B27001_043</t>
  </si>
  <si>
    <t>B27001_044</t>
  </si>
  <si>
    <t>Estimate!!Total:!!Female:!!35 to 44 years:!!With health insurance coverage</t>
  </si>
  <si>
    <t>B27001_045</t>
  </si>
  <si>
    <t>Estimate!!Total:!!Female:!!35 to 44 years:!!No health insurance coverage</t>
  </si>
  <si>
    <t>B27001_046</t>
  </si>
  <si>
    <t>B27001_047</t>
  </si>
  <si>
    <t>Estimate!!Total:!!Female:!!45 to 54 years:!!With health insurance coverage</t>
  </si>
  <si>
    <t>B27001_048</t>
  </si>
  <si>
    <t>Estimate!!Total:!!Female:!!45 to 54 years:!!No health insurance coverage</t>
  </si>
  <si>
    <t>B27001_049</t>
  </si>
  <si>
    <t>B27001_050</t>
  </si>
  <si>
    <t>Estimate!!Total:!!Female:!!55 to 64 years:!!With health insurance coverage</t>
  </si>
  <si>
    <t>B27001_051</t>
  </si>
  <si>
    <t>Estimate!!Total:!!Female:!!55 to 64 years:!!No health insurance coverage</t>
  </si>
  <si>
    <t>B27001_052</t>
  </si>
  <si>
    <t>B27001_053</t>
  </si>
  <si>
    <t>Estimate!!Total:!!Female:!!65 to 74 years:!!With health insurance coverage</t>
  </si>
  <si>
    <t>B27001_054</t>
  </si>
  <si>
    <t>Estimate!!Total:!!Female:!!65 to 74 years:!!No health insurance coverage</t>
  </si>
  <si>
    <t>B27001_055</t>
  </si>
  <si>
    <t>B27001_056</t>
  </si>
  <si>
    <t>Estimate!!Total:!!Female:!!75 years and over:!!With health insurance coverage</t>
  </si>
  <si>
    <t>B27001_057</t>
  </si>
  <si>
    <t>Estimate!!Total:!!Female:!!75 years and over:!!No health insurance coverage</t>
  </si>
  <si>
    <t>B27002_002</t>
  </si>
  <si>
    <t>B27002_003</t>
  </si>
  <si>
    <t>B27002_004</t>
  </si>
  <si>
    <t>Estimate!!Total:!!Male:!!Under 6 years:!!With private health insurance</t>
  </si>
  <si>
    <t>B27002_005</t>
  </si>
  <si>
    <t>Estimate!!Total:!!Male:!!Under 6 years:!!No private health insurance</t>
  </si>
  <si>
    <t>B27002_006</t>
  </si>
  <si>
    <t>B27002_007</t>
  </si>
  <si>
    <t>Estimate!!Total:!!Male:!!6 to 18 years:!!With private health insurance</t>
  </si>
  <si>
    <t>B27002_008</t>
  </si>
  <si>
    <t>Estimate!!Total:!!Male:!!6 to 18 years:!!No private health insurance</t>
  </si>
  <si>
    <t>B27002_009</t>
  </si>
  <si>
    <t>B27002_010</t>
  </si>
  <si>
    <t>Estimate!!Total:!!Male:!!19 to 25 years:!!With private health insurance</t>
  </si>
  <si>
    <t>B27002_011</t>
  </si>
  <si>
    <t>Estimate!!Total:!!Male:!!19 to 25 years:!!No private health insurance</t>
  </si>
  <si>
    <t>B27002_012</t>
  </si>
  <si>
    <t>B27002_013</t>
  </si>
  <si>
    <t>Estimate!!Total:!!Male:!!26 to 34 years:!!With private health insurance</t>
  </si>
  <si>
    <t>B27002_014</t>
  </si>
  <si>
    <t>Estimate!!Total:!!Male:!!26 to 34 years:!!No private health insurance</t>
  </si>
  <si>
    <t>B27002_015</t>
  </si>
  <si>
    <t>B27002_016</t>
  </si>
  <si>
    <t>Estimate!!Total:!!Male:!!35 to 44 years:!!With private health insurance</t>
  </si>
  <si>
    <t>B27002_017</t>
  </si>
  <si>
    <t>Estimate!!Total:!!Male:!!35 to 44 years:!!No private health insurance</t>
  </si>
  <si>
    <t>B27002_018</t>
  </si>
  <si>
    <t>B27002_019</t>
  </si>
  <si>
    <t>Estimate!!Total:!!Male:!!45 to 54 years:!!With private health insurance</t>
  </si>
  <si>
    <t>B27002_020</t>
  </si>
  <si>
    <t>Estimate!!Total:!!Male:!!45 to 54 years:!!No private health insurance</t>
  </si>
  <si>
    <t>B27002_021</t>
  </si>
  <si>
    <t>B27002_022</t>
  </si>
  <si>
    <t>Estimate!!Total:!!Male:!!55 to 64 years:!!With private health insurance</t>
  </si>
  <si>
    <t>B27002_023</t>
  </si>
  <si>
    <t>Estimate!!Total:!!Male:!!55 to 64 years:!!No private health insurance</t>
  </si>
  <si>
    <t>B27002_024</t>
  </si>
  <si>
    <t>B27002_025</t>
  </si>
  <si>
    <t>Estimate!!Total:!!Male:!!65 to 74 years:!!With private health insurance</t>
  </si>
  <si>
    <t>B27002_026</t>
  </si>
  <si>
    <t>Estimate!!Total:!!Male:!!65 to 74 years:!!No private health insurance</t>
  </si>
  <si>
    <t>B27002_027</t>
  </si>
  <si>
    <t>B27002_028</t>
  </si>
  <si>
    <t>Estimate!!Total:!!Male:!!75 years and over:!!With private health insurance</t>
  </si>
  <si>
    <t>B27002_029</t>
  </si>
  <si>
    <t>Estimate!!Total:!!Male:!!75 years and over:!!No private health insurance</t>
  </si>
  <si>
    <t>B27002_030</t>
  </si>
  <si>
    <t>B27002_031</t>
  </si>
  <si>
    <t>B27002_032</t>
  </si>
  <si>
    <t>Estimate!!Total:!!Female:!!Under 6 years:!!With private health insurance</t>
  </si>
  <si>
    <t>B27002_033</t>
  </si>
  <si>
    <t>Estimate!!Total:!!Female:!!Under 6 years:!!No private health insurance</t>
  </si>
  <si>
    <t>B27002_034</t>
  </si>
  <si>
    <t>B27002_035</t>
  </si>
  <si>
    <t>Estimate!!Total:!!Female:!!6 to 18 years:!!With private health insurance</t>
  </si>
  <si>
    <t>B27002_036</t>
  </si>
  <si>
    <t>Estimate!!Total:!!Female:!!6 to 18 years:!!No private health insurance</t>
  </si>
  <si>
    <t>B27002_037</t>
  </si>
  <si>
    <t>B27002_038</t>
  </si>
  <si>
    <t>Estimate!!Total:!!Female:!!19 to 25 years:!!With private health insurance</t>
  </si>
  <si>
    <t>B27002_039</t>
  </si>
  <si>
    <t>Estimate!!Total:!!Female:!!19 to 25 years:!!No private health insurance</t>
  </si>
  <si>
    <t>B27002_040</t>
  </si>
  <si>
    <t>B27002_041</t>
  </si>
  <si>
    <t>Estimate!!Total:!!Female:!!26 to 34 years:!!With private health insurance</t>
  </si>
  <si>
    <t>B27002_042</t>
  </si>
  <si>
    <t>Estimate!!Total:!!Female:!!26 to 34 years:!!No private health insurance</t>
  </si>
  <si>
    <t>B27002_043</t>
  </si>
  <si>
    <t>B27002_044</t>
  </si>
  <si>
    <t>Estimate!!Total:!!Female:!!35 to 44 years:!!With private health insurance</t>
  </si>
  <si>
    <t>B27002_045</t>
  </si>
  <si>
    <t>Estimate!!Total:!!Female:!!35 to 44 years:!!No private health insurance</t>
  </si>
  <si>
    <t>B27002_046</t>
  </si>
  <si>
    <t>B27002_047</t>
  </si>
  <si>
    <t>Estimate!!Total:!!Female:!!45 to 54 years:!!With private health insurance</t>
  </si>
  <si>
    <t>B27002_048</t>
  </si>
  <si>
    <t>Estimate!!Total:!!Female:!!45 to 54 years:!!No private health insurance</t>
  </si>
  <si>
    <t>B27002_049</t>
  </si>
  <si>
    <t>B27002_050</t>
  </si>
  <si>
    <t>Estimate!!Total:!!Female:!!55 to 64 years:!!With private health insurance</t>
  </si>
  <si>
    <t>B27002_051</t>
  </si>
  <si>
    <t>Estimate!!Total:!!Female:!!55 to 64 years:!!No private health insurance</t>
  </si>
  <si>
    <t>B27002_052</t>
  </si>
  <si>
    <t>B27002_053</t>
  </si>
  <si>
    <t>Estimate!!Total:!!Female:!!65 to 74 years:!!With private health insurance</t>
  </si>
  <si>
    <t>B27002_054</t>
  </si>
  <si>
    <t>Estimate!!Total:!!Female:!!65 to 74 years:!!No private health insurance</t>
  </si>
  <si>
    <t>B27002_055</t>
  </si>
  <si>
    <t>B27002_056</t>
  </si>
  <si>
    <t>Estimate!!Total:!!Female:!!75 years and over:!!With private health insurance</t>
  </si>
  <si>
    <t>B27002_057</t>
  </si>
  <si>
    <t>Estimate!!Total:!!Female:!!75 years and over:!!No private health insurance</t>
  </si>
  <si>
    <t>B27003_002</t>
  </si>
  <si>
    <t>B27003_003</t>
  </si>
  <si>
    <t>B27003_004</t>
  </si>
  <si>
    <t>Estimate!!Total:!!Male:!!Under 6 years:!!With public coverage</t>
  </si>
  <si>
    <t>B27003_005</t>
  </si>
  <si>
    <t>Estimate!!Total:!!Male:!!Under 6 years:!!No public coverage</t>
  </si>
  <si>
    <t>B27003_006</t>
  </si>
  <si>
    <t>B27003_007</t>
  </si>
  <si>
    <t>Estimate!!Total:!!Male:!!6 to 18 years:!!With public coverage</t>
  </si>
  <si>
    <t>B27003_008</t>
  </si>
  <si>
    <t>Estimate!!Total:!!Male:!!6 to 18 years:!!No public coverage</t>
  </si>
  <si>
    <t>B27003_009</t>
  </si>
  <si>
    <t>B27003_010</t>
  </si>
  <si>
    <t>Estimate!!Total:!!Male:!!19 to 25 years:!!With public coverage</t>
  </si>
  <si>
    <t>B27003_011</t>
  </si>
  <si>
    <t>Estimate!!Total:!!Male:!!19 to 25 years:!!No public coverage</t>
  </si>
  <si>
    <t>B27003_012</t>
  </si>
  <si>
    <t>B27003_013</t>
  </si>
  <si>
    <t>Estimate!!Total:!!Male:!!26 to 34 years:!!With public coverage</t>
  </si>
  <si>
    <t>B27003_014</t>
  </si>
  <si>
    <t>Estimate!!Total:!!Male:!!26 to 34 years:!!No public coverage</t>
  </si>
  <si>
    <t>B27003_015</t>
  </si>
  <si>
    <t>B27003_016</t>
  </si>
  <si>
    <t>Estimate!!Total:!!Male:!!35 to 44 years:!!With public coverage</t>
  </si>
  <si>
    <t>B27003_017</t>
  </si>
  <si>
    <t>Estimate!!Total:!!Male:!!35 to 44 years:!!No public coverage</t>
  </si>
  <si>
    <t>B27003_018</t>
  </si>
  <si>
    <t>B27003_019</t>
  </si>
  <si>
    <t>Estimate!!Total:!!Male:!!45 to 54 years:!!With public coverage</t>
  </si>
  <si>
    <t>B27003_020</t>
  </si>
  <si>
    <t>Estimate!!Total:!!Male:!!45 to 54 years:!!No public coverage</t>
  </si>
  <si>
    <t>B27003_021</t>
  </si>
  <si>
    <t>B27003_022</t>
  </si>
  <si>
    <t>Estimate!!Total:!!Male:!!55 to 64 years:!!With public coverage</t>
  </si>
  <si>
    <t>B27003_023</t>
  </si>
  <si>
    <t>Estimate!!Total:!!Male:!!55 to 64 years:!!No public coverage</t>
  </si>
  <si>
    <t>B27003_024</t>
  </si>
  <si>
    <t>B27003_025</t>
  </si>
  <si>
    <t>Estimate!!Total:!!Male:!!65 to 74 years:!!With public coverage</t>
  </si>
  <si>
    <t>B27003_026</t>
  </si>
  <si>
    <t>Estimate!!Total:!!Male:!!65 to 74 years:!!No public coverage</t>
  </si>
  <si>
    <t>B27003_027</t>
  </si>
  <si>
    <t>B27003_028</t>
  </si>
  <si>
    <t>Estimate!!Total:!!Male:!!75 years and over:!!With public coverage</t>
  </si>
  <si>
    <t>B27003_029</t>
  </si>
  <si>
    <t>Estimate!!Total:!!Male:!!75 years and over:!!No public coverage</t>
  </si>
  <si>
    <t>B27003_030</t>
  </si>
  <si>
    <t>B27003_031</t>
  </si>
  <si>
    <t>B27003_032</t>
  </si>
  <si>
    <t>Estimate!!Total:!!Female:!!Under 6 years:!!With public coverage</t>
  </si>
  <si>
    <t>B27003_033</t>
  </si>
  <si>
    <t>Estimate!!Total:!!Female:!!Under 6 years:!!No public coverage</t>
  </si>
  <si>
    <t>B27003_034</t>
  </si>
  <si>
    <t>B27003_035</t>
  </si>
  <si>
    <t>Estimate!!Total:!!Female:!!6 to 18 years:!!With public coverage</t>
  </si>
  <si>
    <t>B27003_036</t>
  </si>
  <si>
    <t>Estimate!!Total:!!Female:!!6 to 18 years:!!No public coverage</t>
  </si>
  <si>
    <t>B27003_037</t>
  </si>
  <si>
    <t>B27003_038</t>
  </si>
  <si>
    <t>Estimate!!Total:!!Female:!!19 to 25 years:!!With public coverage</t>
  </si>
  <si>
    <t>B27003_039</t>
  </si>
  <si>
    <t>Estimate!!Total:!!Female:!!19 to 25 years:!!No public coverage</t>
  </si>
  <si>
    <t>B27003_040</t>
  </si>
  <si>
    <t>B27003_041</t>
  </si>
  <si>
    <t>Estimate!!Total:!!Female:!!26 to 34 years:!!With public coverage</t>
  </si>
  <si>
    <t>B27003_042</t>
  </si>
  <si>
    <t>Estimate!!Total:!!Female:!!26 to 34 years:!!No public coverage</t>
  </si>
  <si>
    <t>B27003_043</t>
  </si>
  <si>
    <t>B27003_044</t>
  </si>
  <si>
    <t>Estimate!!Total:!!Female:!!35 to 44 years:!!With public coverage</t>
  </si>
  <si>
    <t>B27003_045</t>
  </si>
  <si>
    <t>Estimate!!Total:!!Female:!!35 to 44 years:!!No public coverage</t>
  </si>
  <si>
    <t>B27003_046</t>
  </si>
  <si>
    <t>B27003_047</t>
  </si>
  <si>
    <t>Estimate!!Total:!!Female:!!45 to 54 years:!!With public coverage</t>
  </si>
  <si>
    <t>B27003_048</t>
  </si>
  <si>
    <t>Estimate!!Total:!!Female:!!45 to 54 years:!!No public coverage</t>
  </si>
  <si>
    <t>B27003_049</t>
  </si>
  <si>
    <t>B27003_050</t>
  </si>
  <si>
    <t>Estimate!!Total:!!Female:!!55 to 64 years:!!With public coverage</t>
  </si>
  <si>
    <t>B27003_051</t>
  </si>
  <si>
    <t>Estimate!!Total:!!Female:!!55 to 64 years:!!No public coverage</t>
  </si>
  <si>
    <t>B27003_052</t>
  </si>
  <si>
    <t>B27003_053</t>
  </si>
  <si>
    <t>Estimate!!Total:!!Female:!!65 to 74 years:!!With public coverage</t>
  </si>
  <si>
    <t>B27003_054</t>
  </si>
  <si>
    <t>Estimate!!Total:!!Female:!!65 to 74 years:!!No public coverage</t>
  </si>
  <si>
    <t>B27003_055</t>
  </si>
  <si>
    <t>B27003_056</t>
  </si>
  <si>
    <t>Estimate!!Total:!!Female:!!75 years and over:!!With public coverage</t>
  </si>
  <si>
    <t>B27003_057</t>
  </si>
  <si>
    <t>Estimate!!Total:!!Female:!!75 years and over:!!No public coverage</t>
  </si>
  <si>
    <t>B27010_002</t>
  </si>
  <si>
    <t>B27010_003</t>
  </si>
  <si>
    <t>Estimate!!Total:!!Under 19 years:!!With one type of health insurance coverage:</t>
  </si>
  <si>
    <t>B27010_004</t>
  </si>
  <si>
    <t>Estimate!!Total:!!Under 19 years:!!With one type of health insurance coverage:!!With employer-based health insurance only</t>
  </si>
  <si>
    <t>B27010_005</t>
  </si>
  <si>
    <t>Estimate!!Total:!!Under 19 years:!!With one type of health insurance coverage:!!With direct-purchase health insurance only</t>
  </si>
  <si>
    <t>B27010_006</t>
  </si>
  <si>
    <t>Estimate!!Total:!!Under 19 years:!!With one type of health insurance coverage:!!With Medicare coverage only</t>
  </si>
  <si>
    <t>B27010_007</t>
  </si>
  <si>
    <t>Estimate!!Total:!!Under 19 years:!!With one type of health insurance coverage:!!With Medicaid/means-tested public coverage only</t>
  </si>
  <si>
    <t>B27010_008</t>
  </si>
  <si>
    <t>Estimate!!Total:!!Under 19 years:!!With one type of health insurance coverage:!!With TRICARE/military health coverage only</t>
  </si>
  <si>
    <t>B27010_009</t>
  </si>
  <si>
    <t>Estimate!!Total:!!Under 19 years:!!With one type of health insurance coverage:!!With VA Health Care only</t>
  </si>
  <si>
    <t>B27010_010</t>
  </si>
  <si>
    <t>Estimate!!Total:!!Under 19 years:!!With two or more types of health insurance coverage:</t>
  </si>
  <si>
    <t>B27010_011</t>
  </si>
  <si>
    <t>Estimate!!Total:!!Under 19 years:!!With two or more types of health insurance coverage:!!With employer-based and direct-purchase coverage</t>
  </si>
  <si>
    <t>B27010_012</t>
  </si>
  <si>
    <t>Estimate!!Total:!!Under 19 years:!!With two or more types of health insurance coverage:!!With employer-based and Medicare coverage</t>
  </si>
  <si>
    <t>B27010_013</t>
  </si>
  <si>
    <t>Estimate!!Total:!!Under 19 years:!!With two or more types of health insurance coverage:!!With Medicare and Medicaid/means-tested public coverage</t>
  </si>
  <si>
    <t>B27010_014</t>
  </si>
  <si>
    <t>Estimate!!Total:!!Under 19 years:!!With two or more types of health insurance coverage:!!Other private only combinations</t>
  </si>
  <si>
    <t>B27010_015</t>
  </si>
  <si>
    <t>Estimate!!Total:!!Under 19 years:!!With two or more types of health insurance coverage:!!Other public only combinations</t>
  </si>
  <si>
    <t>B27010_016</t>
  </si>
  <si>
    <t>Estimate!!Total:!!Under 19 years:!!With two or more types of health insurance coverage:!!Other coverage combinations</t>
  </si>
  <si>
    <t>B27010_017</t>
  </si>
  <si>
    <t>Estimate!!Total:!!Under 19 years:!!No health insurance coverage</t>
  </si>
  <si>
    <t>B27010_018</t>
  </si>
  <si>
    <t>Estimate!!Total:!!19 to 34 years:</t>
  </si>
  <si>
    <t>B27010_019</t>
  </si>
  <si>
    <t>Estimate!!Total:!!19 to 34 years:!!With one type of health insurance coverage:</t>
  </si>
  <si>
    <t>B27010_020</t>
  </si>
  <si>
    <t>Estimate!!Total:!!19 to 34 years:!!With one type of health insurance coverage:!!With employer-based health insurance only</t>
  </si>
  <si>
    <t>B27010_021</t>
  </si>
  <si>
    <t>Estimate!!Total:!!19 to 34 years:!!With one type of health insurance coverage:!!With direct-purchase health insurance only</t>
  </si>
  <si>
    <t>B27010_022</t>
  </si>
  <si>
    <t>Estimate!!Total:!!19 to 34 years:!!With one type of health insurance coverage:!!With Medicare coverage only</t>
  </si>
  <si>
    <t>B27010_023</t>
  </si>
  <si>
    <t>Estimate!!Total:!!19 to 34 years:!!With one type of health insurance coverage:!!With Medicaid/means-tested public coverage only</t>
  </si>
  <si>
    <t>B27010_024</t>
  </si>
  <si>
    <t>Estimate!!Total:!!19 to 34 years:!!With one type of health insurance coverage:!!With TRICARE/military health coverage only</t>
  </si>
  <si>
    <t>B27010_025</t>
  </si>
  <si>
    <t>Estimate!!Total:!!19 to 34 years:!!With one type of health insurance coverage:!!With VA Health Care only</t>
  </si>
  <si>
    <t>B27010_026</t>
  </si>
  <si>
    <t>Estimate!!Total:!!19 to 34 years:!!With two or more types of health insurance coverage:</t>
  </si>
  <si>
    <t>B27010_027</t>
  </si>
  <si>
    <t>Estimate!!Total:!!19 to 34 years:!!With two or more types of health insurance coverage:!!With employer-based and direct-purchase coverage</t>
  </si>
  <si>
    <t>B27010_028</t>
  </si>
  <si>
    <t>Estimate!!Total:!!19 to 34 years:!!With two or more types of health insurance coverage:!!With employer-based and Medicare coverage</t>
  </si>
  <si>
    <t>B27010_029</t>
  </si>
  <si>
    <t>Estimate!!Total:!!19 to 34 years:!!With two or more types of health insurance coverage:!!With Medicare and Medicaid/means-tested public coverage</t>
  </si>
  <si>
    <t>B27010_030</t>
  </si>
  <si>
    <t>Estimate!!Total:!!19 to 34 years:!!With two or more types of health insurance coverage:!!Other private only combinations</t>
  </si>
  <si>
    <t>B27010_031</t>
  </si>
  <si>
    <t>Estimate!!Total:!!19 to 34 years:!!With two or more types of health insurance coverage:!!Other public only combinations</t>
  </si>
  <si>
    <t>B27010_032</t>
  </si>
  <si>
    <t>Estimate!!Total:!!19 to 34 years:!!With two or more types of health insurance coverage:!!Other coverage combinations</t>
  </si>
  <si>
    <t>B27010_033</t>
  </si>
  <si>
    <t>Estimate!!Total:!!19 to 34 years:!!No health insurance coverage</t>
  </si>
  <si>
    <t>B27010_034</t>
  </si>
  <si>
    <t>B27010_035</t>
  </si>
  <si>
    <t>Estimate!!Total:!!35 to 64 years:!!With one type of health insurance coverage:</t>
  </si>
  <si>
    <t>B27010_036</t>
  </si>
  <si>
    <t>Estimate!!Total:!!35 to 64 years:!!With one type of health insurance coverage:!!With employer-based health insurance only</t>
  </si>
  <si>
    <t>B27010_037</t>
  </si>
  <si>
    <t>Estimate!!Total:!!35 to 64 years:!!With one type of health insurance coverage:!!With direct-purchase health insurance only</t>
  </si>
  <si>
    <t>B27010_038</t>
  </si>
  <si>
    <t>Estimate!!Total:!!35 to 64 years:!!With one type of health insurance coverage:!!With Medicare coverage only</t>
  </si>
  <si>
    <t>B27010_039</t>
  </si>
  <si>
    <t>Estimate!!Total:!!35 to 64 years:!!With one type of health insurance coverage:!!With Medicaid/means-tested public coverage only</t>
  </si>
  <si>
    <t>B27010_040</t>
  </si>
  <si>
    <t>Estimate!!Total:!!35 to 64 years:!!With one type of health insurance coverage:!!With TRICARE/military health coverage only</t>
  </si>
  <si>
    <t>B27010_041</t>
  </si>
  <si>
    <t>Estimate!!Total:!!35 to 64 years:!!With one type of health insurance coverage:!!With VA Health Care only</t>
  </si>
  <si>
    <t>B27010_042</t>
  </si>
  <si>
    <t>Estimate!!Total:!!35 to 64 years:!!With two or more types of health insurance coverage:</t>
  </si>
  <si>
    <t>B27010_043</t>
  </si>
  <si>
    <t>Estimate!!Total:!!35 to 64 years:!!With two or more types of health insurance coverage:!!With employer-based and direct-purchase coverage</t>
  </si>
  <si>
    <t>B27010_044</t>
  </si>
  <si>
    <t>Estimate!!Total:!!35 to 64 years:!!With two or more types of health insurance coverage:!!With employer-based and Medicare coverage</t>
  </si>
  <si>
    <t>B27010_045</t>
  </si>
  <si>
    <t>Estimate!!Total:!!35 to 64 years:!!With two or more types of health insurance coverage:!!With direct-purchase and Medicare coverage</t>
  </si>
  <si>
    <t>B27010_046</t>
  </si>
  <si>
    <t>Estimate!!Total:!!35 to 64 years:!!With two or more types of health insurance coverage:!!With Medicare and Medicaid/means-tested public coverage</t>
  </si>
  <si>
    <t>B27010_047</t>
  </si>
  <si>
    <t>Estimate!!Total:!!35 to 64 years:!!With two or more types of health insurance coverage:!!Other private only combinations</t>
  </si>
  <si>
    <t>B27010_048</t>
  </si>
  <si>
    <t>Estimate!!Total:!!35 to 64 years:!!With two or more types of health insurance coverage:!!Other public only combinations</t>
  </si>
  <si>
    <t>B27010_049</t>
  </si>
  <si>
    <t>Estimate!!Total:!!35 to 64 years:!!With two or more types of health insurance coverage:!!Other coverage combinations</t>
  </si>
  <si>
    <t>B27010_050</t>
  </si>
  <si>
    <t>Estimate!!Total:!!35 to 64 years:!!No health insurance coverage</t>
  </si>
  <si>
    <t>B27010_051</t>
  </si>
  <si>
    <t>B27010_052</t>
  </si>
  <si>
    <t>Estimate!!Total:!!65 years and over:!!With one type of health insurance coverage:</t>
  </si>
  <si>
    <t>B27010_053</t>
  </si>
  <si>
    <t>Estimate!!Total:!!65 years and over:!!With one type of health insurance coverage:!!With employer-based health insurance only</t>
  </si>
  <si>
    <t>B27010_054</t>
  </si>
  <si>
    <t>Estimate!!Total:!!65 years and over:!!With one type of health insurance coverage:!!With direct-purchase health insurance only</t>
  </si>
  <si>
    <t>B27010_055</t>
  </si>
  <si>
    <t>Estimate!!Total:!!65 years and over:!!With one type of health insurance coverage:!!With Medicare coverage only</t>
  </si>
  <si>
    <t>B27010_056</t>
  </si>
  <si>
    <t>Estimate!!Total:!!65 years and over:!!With one type of health insurance coverage:!!With TRICARE/military health coverage only</t>
  </si>
  <si>
    <t>B27010_057</t>
  </si>
  <si>
    <t>Estimate!!Total:!!65 years and over:!!With one type of health insurance coverage:!!With VA Health Care only</t>
  </si>
  <si>
    <t>B27010_058</t>
  </si>
  <si>
    <t>Estimate!!Total:!!65 years and over:!!With two or more types of health insurance coverage:</t>
  </si>
  <si>
    <t>B27010_059</t>
  </si>
  <si>
    <t>Estimate!!Total:!!65 years and over:!!With two or more types of health insurance coverage:!!With employer-based and direct-purchase coverage</t>
  </si>
  <si>
    <t>B27010_060</t>
  </si>
  <si>
    <t>Estimate!!Total:!!65 years and over:!!With two or more types of health insurance coverage:!!With employer-based and Medicare coverage</t>
  </si>
  <si>
    <t>B27010_061</t>
  </si>
  <si>
    <t>Estimate!!Total:!!65 years and over:!!With two or more types of health insurance coverage:!!With direct-purchase and Medicare coverage</t>
  </si>
  <si>
    <t>B27010_062</t>
  </si>
  <si>
    <t>Estimate!!Total:!!65 years and over:!!With two or more types of health insurance coverage:!!With Medicare and Medicaid/means-tested public coverage</t>
  </si>
  <si>
    <t>B27010_063</t>
  </si>
  <si>
    <t>Estimate!!Total:!!65 years and over:!!With two or more types of health insurance coverage:!!Other private only combinations</t>
  </si>
  <si>
    <t>B27010_064</t>
  </si>
  <si>
    <t>Estimate!!Total:!!65 years and over:!!With two or more types of health insurance coverage:!!Other public only combinations</t>
  </si>
  <si>
    <t>B27010_065</t>
  </si>
  <si>
    <t>Estimate!!Total:!!65 years and over:!!With two or more types of health insurance coverage:!!Other coverage combinations</t>
  </si>
  <si>
    <t>B27010_066</t>
  </si>
  <si>
    <t>Estimate!!Total:!!65 years and over:!!No health insurance coverage</t>
  </si>
  <si>
    <t>B27011_002</t>
  </si>
  <si>
    <t>B27011_003</t>
  </si>
  <si>
    <t>Estimate!!Total:!!In labor force:!!Employed:</t>
  </si>
  <si>
    <t>B27011_004</t>
  </si>
  <si>
    <t>Estimate!!Total:!!In labor force:!!Employed:!!With health insurance coverage</t>
  </si>
  <si>
    <t>B27011_005</t>
  </si>
  <si>
    <t>Estimate!!Total:!!In labor force:!!Employed:!!With health insurance coverage!!With private health insurance</t>
  </si>
  <si>
    <t>B27011_006</t>
  </si>
  <si>
    <t>Estimate!!Total:!!In labor force:!!Employed:!!With health insurance coverage!!With public coverage</t>
  </si>
  <si>
    <t>B27011_007</t>
  </si>
  <si>
    <t>Estimate!!Total:!!In labor force:!!Employed:!!No health insurance coverage</t>
  </si>
  <si>
    <t>B27011_008</t>
  </si>
  <si>
    <t>Estimate!!Total:!!In labor force:!!Unemployed:</t>
  </si>
  <si>
    <t>B27011_009</t>
  </si>
  <si>
    <t>Estimate!!Total:!!In labor force:!!Unemployed:!!With health insurance coverage</t>
  </si>
  <si>
    <t>B27011_010</t>
  </si>
  <si>
    <t>Estimate!!Total:!!In labor force:!!Unemployed:!!With health insurance coverage!!With private health insurance</t>
  </si>
  <si>
    <t>B27011_011</t>
  </si>
  <si>
    <t>Estimate!!Total:!!In labor force:!!Unemployed:!!With health insurance coverage!!With public coverage</t>
  </si>
  <si>
    <t>B27011_012</t>
  </si>
  <si>
    <t>Estimate!!Total:!!In labor force:!!Unemployed:!!No health insurance coverage</t>
  </si>
  <si>
    <t>B27011_013</t>
  </si>
  <si>
    <t>B27011_014</t>
  </si>
  <si>
    <t>Estimate!!Total:!!Not in labor force:!!With health insurance coverage</t>
  </si>
  <si>
    <t>B27011_015</t>
  </si>
  <si>
    <t>Estimate!!Total:!!Not in labor force:!!With health insurance coverage!!With private health insurance</t>
  </si>
  <si>
    <t>B27011_016</t>
  </si>
  <si>
    <t>Estimate!!Total:!!Not in labor force:!!With health insurance coverage!!With public coverage</t>
  </si>
  <si>
    <t>B27011_017</t>
  </si>
  <si>
    <t>Estimate!!Total:!!Not in labor force:!!No health insurance coverage</t>
  </si>
  <si>
    <t>B27015_002</t>
  </si>
  <si>
    <t>Estimate!!Total:!!Under $25,000:</t>
  </si>
  <si>
    <t>B27015_003</t>
  </si>
  <si>
    <t>Estimate!!Total:!!Under $25,000:!!With health insurance coverage</t>
  </si>
  <si>
    <t>B27015_004</t>
  </si>
  <si>
    <t>Estimate!!Total:!!Under $25,000:!!With health insurance coverage!!With private health insurance</t>
  </si>
  <si>
    <t>B27015_005</t>
  </si>
  <si>
    <t>Estimate!!Total:!!Under $25,000:!!With health insurance coverage!!With public coverage</t>
  </si>
  <si>
    <t>B27015_006</t>
  </si>
  <si>
    <t>Estimate!!Total:!!Under $25,000:!!No health insurance coverage</t>
  </si>
  <si>
    <t>B27015_007</t>
  </si>
  <si>
    <t>Estimate!!Total:!!$25,000 to $49,999:</t>
  </si>
  <si>
    <t>B27015_008</t>
  </si>
  <si>
    <t>Estimate!!Total:!!$25,000 to $49,999:!!With health insurance coverage</t>
  </si>
  <si>
    <t>B27015_009</t>
  </si>
  <si>
    <t>Estimate!!Total:!!$25,000 to $49,999:!!With health insurance coverage!!With private health insurance</t>
  </si>
  <si>
    <t>B27015_010</t>
  </si>
  <si>
    <t>Estimate!!Total:!!$25,000 to $49,999:!!With health insurance coverage!!With public coverage</t>
  </si>
  <si>
    <t>B27015_011</t>
  </si>
  <si>
    <t>Estimate!!Total:!!$25,000 to $49,999:!!No health insurance coverage</t>
  </si>
  <si>
    <t>B27015_012</t>
  </si>
  <si>
    <t>B27015_013</t>
  </si>
  <si>
    <t>Estimate!!Total:!!$50,000 to $74,999:!!With health insurance coverage</t>
  </si>
  <si>
    <t>B27015_014</t>
  </si>
  <si>
    <t>Estimate!!Total:!!$50,000 to $74,999:!!With health insurance coverage!!With private health insurance</t>
  </si>
  <si>
    <t>B27015_015</t>
  </si>
  <si>
    <t>Estimate!!Total:!!$50,000 to $74,999:!!With health insurance coverage!!With public coverage</t>
  </si>
  <si>
    <t>B27015_016</t>
  </si>
  <si>
    <t>Estimate!!Total:!!$50,000 to $74,999:!!No health insurance coverage</t>
  </si>
  <si>
    <t>B27015_017</t>
  </si>
  <si>
    <t>B27015_018</t>
  </si>
  <si>
    <t>Estimate!!Total:!!$75,000 to $99,999:!!With health insurance coverage</t>
  </si>
  <si>
    <t>B27015_019</t>
  </si>
  <si>
    <t>Estimate!!Total:!!$75,000 to $99,999:!!With health insurance coverage!!With private health insurance</t>
  </si>
  <si>
    <t>B27015_020</t>
  </si>
  <si>
    <t>Estimate!!Total:!!$75,000 to $99,999:!!With health insurance coverage!!With public coverage</t>
  </si>
  <si>
    <t>B27015_021</t>
  </si>
  <si>
    <t>Estimate!!Total:!!$75,000 to $99,999:!!No health insurance coverage</t>
  </si>
  <si>
    <t>B27015_022</t>
  </si>
  <si>
    <t>B27015_023</t>
  </si>
  <si>
    <t>Estimate!!Total:!!$100,000 or more:!!With health insurance coverage</t>
  </si>
  <si>
    <t>B27015_024</t>
  </si>
  <si>
    <t>Estimate!!Total:!!$100,000 or more:!!With health insurance coverage!!With private health insurance</t>
  </si>
  <si>
    <t>B27015_025</t>
  </si>
  <si>
    <t>Estimate!!Total:!!$100,000 or more:!!With health insurance coverage!!With public coverage</t>
  </si>
  <si>
    <t>B27015_026</t>
  </si>
  <si>
    <t>Estimate!!Total:!!$100,000 or more:!!No health insurance coverage</t>
  </si>
  <si>
    <t>B27019_002</t>
  </si>
  <si>
    <t>Estimate!!Total:!!26 to 64 years:</t>
  </si>
  <si>
    <t>B27019_003</t>
  </si>
  <si>
    <t>Estimate!!Total:!!26 to 64 years:!!Less than high school graduate:</t>
  </si>
  <si>
    <t>B27019_004</t>
  </si>
  <si>
    <t>Estimate!!Total:!!26 to 64 years:!!Less than high school graduate:!!With health insurance coverage</t>
  </si>
  <si>
    <t>B27019_005</t>
  </si>
  <si>
    <t>Estimate!!Total:!!26 to 64 years:!!Less than high school graduate:!!With health insurance coverage!!With private health insurance</t>
  </si>
  <si>
    <t>B27019_006</t>
  </si>
  <si>
    <t>Estimate!!Total:!!26 to 64 years:!!Less than high school graduate:!!With health insurance coverage!!With public coverage</t>
  </si>
  <si>
    <t>B27019_007</t>
  </si>
  <si>
    <t>Estimate!!Total:!!26 to 64 years:!!Less than high school graduate:!!No health insurance coverage</t>
  </si>
  <si>
    <t>B27019_008</t>
  </si>
  <si>
    <t>Estimate!!Total:!!26 to 64 years:!!High school graduate (includes equivalency):</t>
  </si>
  <si>
    <t>B27019_009</t>
  </si>
  <si>
    <t>Estimate!!Total:!!26 to 64 years:!!High school graduate (includes equivalency):!!With health insurance coverage</t>
  </si>
  <si>
    <t>B27019_010</t>
  </si>
  <si>
    <t>Estimate!!Total:!!26 to 64 years:!!High school graduate (includes equivalency):!!With health insurance coverage!!With private health insurance</t>
  </si>
  <si>
    <t>B27019_011</t>
  </si>
  <si>
    <t>Estimate!!Total:!!26 to 64 years:!!High school graduate (includes equivalency):!!With health insurance coverage!!With public coverage</t>
  </si>
  <si>
    <t>B27019_012</t>
  </si>
  <si>
    <t>Estimate!!Total:!!26 to 64 years:!!High school graduate (includes equivalency):!!No health insurance coverage</t>
  </si>
  <si>
    <t>B27019_013</t>
  </si>
  <si>
    <t>Estimate!!Total:!!26 to 64 years:!!Some college or associate's degree:</t>
  </si>
  <si>
    <t>B27019_014</t>
  </si>
  <si>
    <t>Estimate!!Total:!!26 to 64 years:!!Some college or associate's degree:!!With health insurance coverage</t>
  </si>
  <si>
    <t>B27019_015</t>
  </si>
  <si>
    <t>Estimate!!Total:!!26 to 64 years:!!Some college or associate's degree:!!With health insurance coverage!!With private health insurance</t>
  </si>
  <si>
    <t>B27019_016</t>
  </si>
  <si>
    <t>Estimate!!Total:!!26 to 64 years:!!Some college or associate's degree:!!With health insurance coverage!!With public coverage</t>
  </si>
  <si>
    <t>B27019_017</t>
  </si>
  <si>
    <t>Estimate!!Total:!!26 to 64 years:!!Some college or associate's degree:!!No health insurance coverage</t>
  </si>
  <si>
    <t>B27019_018</t>
  </si>
  <si>
    <t>Estimate!!Total:!!26 to 64 years:!!Bachelor's degree or higher:</t>
  </si>
  <si>
    <t>B27019_019</t>
  </si>
  <si>
    <t>Estimate!!Total:!!26 to 64 years:!!Bachelor's degree or higher:!!With health insurance coverage</t>
  </si>
  <si>
    <t>B27019_020</t>
  </si>
  <si>
    <t>Estimate!!Total:!!26 to 64 years:!!Bachelor's degree or higher:!!With health insurance coverage!!With private health insurance</t>
  </si>
  <si>
    <t>B27019_021</t>
  </si>
  <si>
    <t>Estimate!!Total:!!26 to 64 years:!!Bachelor's degree or higher:!!With health insurance coverage!!With public coverage</t>
  </si>
  <si>
    <t>B27019_022</t>
  </si>
  <si>
    <t>Estimate!!Total:!!26 to 64 years:!!Bachelor's degree or higher:!!No health insurance coverage</t>
  </si>
  <si>
    <t>B27019_023</t>
  </si>
  <si>
    <t>B27019_024</t>
  </si>
  <si>
    <t>Estimate!!Total:!!65 years and over:!!Less than high school graduate:</t>
  </si>
  <si>
    <t>B27019_025</t>
  </si>
  <si>
    <t>Estimate!!Total:!!65 years and over:!!Less than high school graduate:!!With health insurance coverage</t>
  </si>
  <si>
    <t>B27019_026</t>
  </si>
  <si>
    <t>Estimate!!Total:!!65 years and over:!!Less than high school graduate:!!With health insurance coverage!!With private health insurance</t>
  </si>
  <si>
    <t>B27019_027</t>
  </si>
  <si>
    <t>Estimate!!Total:!!65 years and over:!!Less than high school graduate:!!With health insurance coverage!!With public coverage</t>
  </si>
  <si>
    <t>B27019_028</t>
  </si>
  <si>
    <t>Estimate!!Total:!!65 years and over:!!Less than high school graduate:!!No health insurance coverage</t>
  </si>
  <si>
    <t>B27019_029</t>
  </si>
  <si>
    <t>Estimate!!Total:!!65 years and over:!!High school graduate (includes equivalency):</t>
  </si>
  <si>
    <t>B27019_030</t>
  </si>
  <si>
    <t>Estimate!!Total:!!65 years and over:!!High school graduate (includes equivalency):!!With health insurance coverage</t>
  </si>
  <si>
    <t>B27019_031</t>
  </si>
  <si>
    <t>Estimate!!Total:!!65 years and over:!!High school graduate (includes equivalency):!!With health insurance coverage!!With private health insurance</t>
  </si>
  <si>
    <t>B27019_032</t>
  </si>
  <si>
    <t>Estimate!!Total:!!65 years and over:!!High school graduate (includes equivalency):!!With health insurance coverage!!With public coverage</t>
  </si>
  <si>
    <t>B27019_033</t>
  </si>
  <si>
    <t>Estimate!!Total:!!65 years and over:!!High school graduate (includes equivalency):!!No health insurance coverage</t>
  </si>
  <si>
    <t>B27019_034</t>
  </si>
  <si>
    <t>Estimate!!Total:!!65 years and over:!!Some college or associate's degree:</t>
  </si>
  <si>
    <t>B27019_035</t>
  </si>
  <si>
    <t>Estimate!!Total:!!65 years and over:!!Some college or associate's degree:!!With health insurance coverage</t>
  </si>
  <si>
    <t>B27019_036</t>
  </si>
  <si>
    <t>Estimate!!Total:!!65 years and over:!!Some college or associate's degree:!!With health insurance coverage!!With private health insurance</t>
  </si>
  <si>
    <t>B27019_037</t>
  </si>
  <si>
    <t>Estimate!!Total:!!65 years and over:!!Some college or associate's degree:!!With health insurance coverage!!With public coverage</t>
  </si>
  <si>
    <t>B27019_038</t>
  </si>
  <si>
    <t>Estimate!!Total:!!65 years and over:!!Some college or associate's degree:!!No health insurance coverage</t>
  </si>
  <si>
    <t>B27019_039</t>
  </si>
  <si>
    <t>Estimate!!Total:!!65 years and over:!!Bachelor's degree or higher:</t>
  </si>
  <si>
    <t>B27019_040</t>
  </si>
  <si>
    <t>Estimate!!Total:!!65 years and over:!!Bachelor's degree or higher:!!With health insurance coverage</t>
  </si>
  <si>
    <t>B27019_041</t>
  </si>
  <si>
    <t>Estimate!!Total:!!65 years and over:!!Bachelor's degree or higher:!!With health insurance coverage!!With private health insurance</t>
  </si>
  <si>
    <t>B27019_042</t>
  </si>
  <si>
    <t>Estimate!!Total:!!65 years and over:!!Bachelor's degree or higher:!!With health insurance coverage!!With public coverage</t>
  </si>
  <si>
    <t>B27019_043</t>
  </si>
  <si>
    <t>Estimate!!Total:!!65 years and over:!!Bachelor's degree or higher:!!No health insurance coverage</t>
  </si>
  <si>
    <t>B27020_002</t>
  </si>
  <si>
    <t>B27020_003</t>
  </si>
  <si>
    <t>Estimate!!Total:!!Native:!!With health insurance coverage</t>
  </si>
  <si>
    <t>B27020_004</t>
  </si>
  <si>
    <t>Estimate!!Total:!!Native:!!With health insurance coverage!!With private health insurance</t>
  </si>
  <si>
    <t>B27020_005</t>
  </si>
  <si>
    <t>Estimate!!Total:!!Native:!!With health insurance coverage!!With public coverage</t>
  </si>
  <si>
    <t>B27020_006</t>
  </si>
  <si>
    <t>Estimate!!Total:!!Native:!!No health insurance coverage</t>
  </si>
  <si>
    <t>B27020_007</t>
  </si>
  <si>
    <t>B27020_008</t>
  </si>
  <si>
    <t>Estimate!!Total:!!Foreign-born:!!Naturalized:</t>
  </si>
  <si>
    <t>B27020_009</t>
  </si>
  <si>
    <t>Estimate!!Total:!!Foreign-born:!!Naturalized:!!With health insurance coverage</t>
  </si>
  <si>
    <t>B27020_010</t>
  </si>
  <si>
    <t>Estimate!!Total:!!Foreign-born:!!Naturalized:!!With health insurance coverage!!With private health insurance</t>
  </si>
  <si>
    <t>B27020_011</t>
  </si>
  <si>
    <t>Estimate!!Total:!!Foreign-born:!!Naturalized:!!With health insurance coverage!!With public coverage</t>
  </si>
  <si>
    <t>B27020_012</t>
  </si>
  <si>
    <t>Estimate!!Total:!!Foreign-born:!!Naturalized:!!No health insurance coverage</t>
  </si>
  <si>
    <t>B27020_013</t>
  </si>
  <si>
    <t>Estimate!!Total:!!Foreign-born:!!Noncitizen:</t>
  </si>
  <si>
    <t>B27020_014</t>
  </si>
  <si>
    <t>Estimate!!Total:!!Foreign-born:!!Noncitizen:!!With health insurance coverage</t>
  </si>
  <si>
    <t>B27020_015</t>
  </si>
  <si>
    <t>Estimate!!Total:!!Foreign-born:!!Noncitizen:!!With health insurance coverage!!With private health insurance</t>
  </si>
  <si>
    <t>B27020_016</t>
  </si>
  <si>
    <t>Estimate!!Total:!!Foreign-born:!!Noncitizen:!!With health insurance coverage!!With public coverage</t>
  </si>
  <si>
    <t>B27020_017</t>
  </si>
  <si>
    <t>Estimate!!Total:!!Foreign-born:!!Noncitizen:!!No health insurance coverage</t>
  </si>
  <si>
    <t>B27022_002</t>
  </si>
  <si>
    <t>B27022_003</t>
  </si>
  <si>
    <t>B27022_004</t>
  </si>
  <si>
    <t>Estimate!!Total:!!Male:!!Enrolled in school:!!With health insurance coverage</t>
  </si>
  <si>
    <t>B27022_005</t>
  </si>
  <si>
    <t>Estimate!!Total:!!Male:!!Enrolled in school:!!No health insurance coverage</t>
  </si>
  <si>
    <t>B27022_006</t>
  </si>
  <si>
    <t>B27022_007</t>
  </si>
  <si>
    <t>Estimate!!Total:!!Male:!!Not enrolled in school:!!With health insurance coverage</t>
  </si>
  <si>
    <t>B27022_008</t>
  </si>
  <si>
    <t>Estimate!!Total:!!Male:!!Not enrolled in school:!!No health insurance coverage</t>
  </si>
  <si>
    <t>B27022_009</t>
  </si>
  <si>
    <t>B27022_010</t>
  </si>
  <si>
    <t>B27022_011</t>
  </si>
  <si>
    <t>Estimate!!Total:!!Female:!!Enrolled in school:!!With health insurance coverage</t>
  </si>
  <si>
    <t>B27022_012</t>
  </si>
  <si>
    <t>Estimate!!Total:!!Female:!!Enrolled in school:!!No health insurance coverage</t>
  </si>
  <si>
    <t>B27022_013</t>
  </si>
  <si>
    <t>B27022_014</t>
  </si>
  <si>
    <t>Estimate!!Total:!!Female:!!Not enrolled in school:!!With health insurance coverage</t>
  </si>
  <si>
    <t>B27022_015</t>
  </si>
  <si>
    <t>Estimate!!Total:!!Female:!!Not enrolled in school:!!No health insurance coverage</t>
  </si>
  <si>
    <t>B27023_002</t>
  </si>
  <si>
    <t>B27023_003</t>
  </si>
  <si>
    <t>B27023_004</t>
  </si>
  <si>
    <t>Estimate!!Total:!!Male:!!Enrolled in school:!!With private health insurance coverage</t>
  </si>
  <si>
    <t>B27023_005</t>
  </si>
  <si>
    <t>Estimate!!Total:!!Male:!!Enrolled in school:!!No private health insurance coverage</t>
  </si>
  <si>
    <t>B27023_006</t>
  </si>
  <si>
    <t>B27023_007</t>
  </si>
  <si>
    <t>Estimate!!Total:!!Male:!!Not enrolled in school:!!With private health insurance coverage</t>
  </si>
  <si>
    <t>B27023_008</t>
  </si>
  <si>
    <t>Estimate!!Total:!!Male:!!Not enrolled in school:!!No private health insurance coverage</t>
  </si>
  <si>
    <t>B27023_009</t>
  </si>
  <si>
    <t>B27023_010</t>
  </si>
  <si>
    <t>B27023_011</t>
  </si>
  <si>
    <t>Estimate!!Total:!!Female:!!Enrolled in school:!!With private health insurance coverage</t>
  </si>
  <si>
    <t>B27023_012</t>
  </si>
  <si>
    <t>Estimate!!Total:!!Female:!!Enrolled in school:!!No private health insurance coverage</t>
  </si>
  <si>
    <t>B27023_013</t>
  </si>
  <si>
    <t>B27023_014</t>
  </si>
  <si>
    <t>Estimate!!Total:!!Female:!!Not enrolled in school:!!With private health insurance coverage</t>
  </si>
  <si>
    <t>B27023_015</t>
  </si>
  <si>
    <t>Estimate!!Total:!!Female:!!Not enrolled in school:!!No private health insurance coverage</t>
  </si>
  <si>
    <t>B28001_002</t>
  </si>
  <si>
    <t>Estimate!!Total:!!Has one or more types of computing devices:</t>
  </si>
  <si>
    <t>B28001_003</t>
  </si>
  <si>
    <t>Estimate!!Total:!!Has one or more types of computing devices:!!Desktop or laptop</t>
  </si>
  <si>
    <t>B28001_004</t>
  </si>
  <si>
    <t>Estimate!!Total:!!Has one or more types of computing devices:!!Desktop or laptop!!Desktop or laptop with no other type of computing device</t>
  </si>
  <si>
    <t>B28001_005</t>
  </si>
  <si>
    <t>Estimate!!Total:!!Has one or more types of computing devices:!!Smartphone</t>
  </si>
  <si>
    <t>B28001_006</t>
  </si>
  <si>
    <t>Estimate!!Total:!!Has one or more types of computing devices:!!Smartphone!!Smartphone with no other type of computing device</t>
  </si>
  <si>
    <t>B28001_007</t>
  </si>
  <si>
    <t>Estimate!!Total:!!Has one or more types of computing devices:!!Tablet or other portable wireless computer</t>
  </si>
  <si>
    <t>B28001_008</t>
  </si>
  <si>
    <t>Estimate!!Total:!!Has one or more types of computing devices:!!Tablet or other portable wireless computer!!Tablet or other portable wireless computer with no other type of computing device</t>
  </si>
  <si>
    <t>B28001_009</t>
  </si>
  <si>
    <t>Estimate!!Total:!!Has one or more types of computing devices:!!Other computer</t>
  </si>
  <si>
    <t>B28001_010</t>
  </si>
  <si>
    <t>Estimate!!Total:!!Has one or more types of computing devices:!!Other computer!!Other computer with no other type of computing device</t>
  </si>
  <si>
    <t>B28001_011</t>
  </si>
  <si>
    <t>Estimate!!Total:!!No Computer</t>
  </si>
  <si>
    <t>B28002_002</t>
  </si>
  <si>
    <t>Estimate!!Total:!!With an Internet subscription</t>
  </si>
  <si>
    <t>B28002_003</t>
  </si>
  <si>
    <t>Estimate!!Total:!!With an Internet subscription!!Dial-up with no other type of Internet subscription</t>
  </si>
  <si>
    <t>B28002_004</t>
  </si>
  <si>
    <t>Estimate!!Total:!!With an Internet subscription!!Broadband of any type</t>
  </si>
  <si>
    <t>B28002_005</t>
  </si>
  <si>
    <t>Estimate!!Total:!!With an Internet subscription!!Cellular data plan</t>
  </si>
  <si>
    <t>B28002_006</t>
  </si>
  <si>
    <t>Estimate!!Total:!!With an Internet subscription!!Cellular data plan!!Cellular data plan with no other type of Internet subscription</t>
  </si>
  <si>
    <t>B28002_007</t>
  </si>
  <si>
    <t>Estimate!!Total:!!With an Internet subscription!!Broadband such as cable, fiber optic or DSL</t>
  </si>
  <si>
    <t>B28002_008</t>
  </si>
  <si>
    <t>Estimate!!Total:!!With an Internet subscription!!Broadband such as cable, fiber optic or DSL!!Broadband such as cable, fiber optic or DSL with no other type of Internet subscription</t>
  </si>
  <si>
    <t>B28002_009</t>
  </si>
  <si>
    <t>Estimate!!Total:!!With an Internet subscription!!Satellite Internet service</t>
  </si>
  <si>
    <t>B28002_010</t>
  </si>
  <si>
    <t>Estimate!!Total:!!With an Internet subscription!!Satellite Internet service!!Satellite Internet service with no other type of Internet subscription</t>
  </si>
  <si>
    <t>B28002_011</t>
  </si>
  <si>
    <t>Estimate!!Total:!!With an Internet subscription!!Other service with no other type of Internet subscription</t>
  </si>
  <si>
    <t>B28002_012</t>
  </si>
  <si>
    <t>Estimate!!Total:!!Internet access without a subscription</t>
  </si>
  <si>
    <t>B28002_013</t>
  </si>
  <si>
    <t>Estimate!!Total:!!No Internet access</t>
  </si>
  <si>
    <t>B28003_002</t>
  </si>
  <si>
    <t>Estimate!!Total:!!Has a computer:</t>
  </si>
  <si>
    <t>B28003_003</t>
  </si>
  <si>
    <t>Estimate!!Total:!!Has a computer:!!With dial-up Internet subscription alone</t>
  </si>
  <si>
    <t>B28003_004</t>
  </si>
  <si>
    <t>Estimate!!Total:!!Has a computer:!!With a broadband Internet subscription</t>
  </si>
  <si>
    <t>B28003_005</t>
  </si>
  <si>
    <t>Estimate!!Total:!!Has a computer:!!Without an Internet subscription</t>
  </si>
  <si>
    <t>B28003_006</t>
  </si>
  <si>
    <t>Estimate!!Total:!!No computer</t>
  </si>
  <si>
    <t>B28004_002</t>
  </si>
  <si>
    <t>B28004_003</t>
  </si>
  <si>
    <t>Estimate!!Total:!!Less than $10,000:!!With dial-up Internet subscription alone</t>
  </si>
  <si>
    <t>B28004_004</t>
  </si>
  <si>
    <t>Estimate!!Total:!!Less than $10,000:!!With a broadband Internet subscription</t>
  </si>
  <si>
    <t>B28004_005</t>
  </si>
  <si>
    <t>Estimate!!Total:!!Less than $10,000:!!Without an Internet subscription</t>
  </si>
  <si>
    <t>B28004_006</t>
  </si>
  <si>
    <t>B28004_007</t>
  </si>
  <si>
    <t>Estimate!!Total:!!$10,000 to $19,999:!!With dial-up Internet subscription alone</t>
  </si>
  <si>
    <t>B28004_008</t>
  </si>
  <si>
    <t>Estimate!!Total:!!$10,000 to $19,999:!!With a broadband Internet subscription</t>
  </si>
  <si>
    <t>B28004_009</t>
  </si>
  <si>
    <t>Estimate!!Total:!!$10,000 to $19,999:!!Without an Internet subscription</t>
  </si>
  <si>
    <t>B28004_010</t>
  </si>
  <si>
    <t>B28004_011</t>
  </si>
  <si>
    <t>Estimate!!Total:!!$20,000 to $34,999:!!With dial-up Internet subscription alone</t>
  </si>
  <si>
    <t>B28004_012</t>
  </si>
  <si>
    <t>Estimate!!Total:!!$20,000 to $34,999:!!With a broadband Internet subscription</t>
  </si>
  <si>
    <t>B28004_013</t>
  </si>
  <si>
    <t>Estimate!!Total:!!$20,000 to $34,999:!!Without an Internet subscription</t>
  </si>
  <si>
    <t>B28004_014</t>
  </si>
  <si>
    <t>B28004_015</t>
  </si>
  <si>
    <t>Estimate!!Total:!!$35,000 to $49,999:!!With dial-up Internet subscription alone</t>
  </si>
  <si>
    <t>B28004_016</t>
  </si>
  <si>
    <t>Estimate!!Total:!!$35,000 to $49,999:!!With a broadband Internet subscription</t>
  </si>
  <si>
    <t>B28004_017</t>
  </si>
  <si>
    <t>Estimate!!Total:!!$35,000 to $49,999:!!Without an Internet subscription</t>
  </si>
  <si>
    <t>B28004_018</t>
  </si>
  <si>
    <t>B28004_019</t>
  </si>
  <si>
    <t>Estimate!!Total:!!$50,000 to $74,999:!!With dial-up Internet subscription alone</t>
  </si>
  <si>
    <t>B28004_020</t>
  </si>
  <si>
    <t>Estimate!!Total:!!$50,000 to $74,999:!!With a broadband Internet subscription</t>
  </si>
  <si>
    <t>B28004_021</t>
  </si>
  <si>
    <t>Estimate!!Total:!!$50,000 to $74,999:!!Without an Internet subscription</t>
  </si>
  <si>
    <t>B28004_022</t>
  </si>
  <si>
    <t>Estimate!!Total:!!$75,000 or more:</t>
  </si>
  <si>
    <t>B28004_023</t>
  </si>
  <si>
    <t>Estimate!!Total:!!$75,000 or more:!!With dial-up Internet subscription alone</t>
  </si>
  <si>
    <t>B28004_024</t>
  </si>
  <si>
    <t>Estimate!!Total:!!$75,000 or more:!!With a broadband Internet subscription</t>
  </si>
  <si>
    <t>B28004_025</t>
  </si>
  <si>
    <t>Estimate!!Total:!!$75,000 or more:!!Without an Internet subscription</t>
  </si>
  <si>
    <t>B28005_002</t>
  </si>
  <si>
    <t>B28005_003</t>
  </si>
  <si>
    <t>Estimate!!Total:!!Under 18 years:!!Has a computer:</t>
  </si>
  <si>
    <t>B28005_004</t>
  </si>
  <si>
    <t>Estimate!!Total:!!Under 18 years:!!Has a computer:!!With dial-up Internet subscription alone</t>
  </si>
  <si>
    <t>B28005_005</t>
  </si>
  <si>
    <t>Estimate!!Total:!!Under 18 years:!!Has a computer:!!With a broadband Internet subscription</t>
  </si>
  <si>
    <t>B28005_006</t>
  </si>
  <si>
    <t>Estimate!!Total:!!Under 18 years:!!Has a computer:!!Without an Internet subscription</t>
  </si>
  <si>
    <t>B28005_007</t>
  </si>
  <si>
    <t>Estimate!!Total:!!Under 18 years:!!No computer</t>
  </si>
  <si>
    <t>B28005_008</t>
  </si>
  <si>
    <t>B28005_009</t>
  </si>
  <si>
    <t>Estimate!!Total:!!18 to 64 years:!!Has a computer:</t>
  </si>
  <si>
    <t>B28005_010</t>
  </si>
  <si>
    <t>Estimate!!Total:!!18 to 64 years:!!Has a computer:!!With dial-up Internet subscription alone</t>
  </si>
  <si>
    <t>B28005_011</t>
  </si>
  <si>
    <t>Estimate!!Total:!!18 to 64 years:!!Has a computer:!!With a broadband Internet subscription</t>
  </si>
  <si>
    <t>B28005_012</t>
  </si>
  <si>
    <t>Estimate!!Total:!!18 to 64 years:!!Has a computer:!!Without an Internet subscription</t>
  </si>
  <si>
    <t>B28005_013</t>
  </si>
  <si>
    <t>Estimate!!Total:!!18 to 64 years:!!No computer</t>
  </si>
  <si>
    <t>B28005_014</t>
  </si>
  <si>
    <t>B28005_015</t>
  </si>
  <si>
    <t>Estimate!!Total:!!65 years and over:!!Has a computer:</t>
  </si>
  <si>
    <t>B28005_016</t>
  </si>
  <si>
    <t>Estimate!!Total:!!65 years and over:!!Has a computer:!!With dial-up Internet subscription alone</t>
  </si>
  <si>
    <t>B28005_017</t>
  </si>
  <si>
    <t>Estimate!!Total:!!65 years and over:!!Has a computer:!!With a broadband Internet subscription</t>
  </si>
  <si>
    <t>B28005_018</t>
  </si>
  <si>
    <t>Estimate!!Total:!!65 years and over:!!Has a computer:!!Without an Internet subscription</t>
  </si>
  <si>
    <t>B28005_019</t>
  </si>
  <si>
    <t>Estimate!!Total:!!65 years and over:!!No computer</t>
  </si>
  <si>
    <t>B28006_002</t>
  </si>
  <si>
    <t>Estimate!!Total:!!Less than high school graduate or equivalency:</t>
  </si>
  <si>
    <t>B28006_003</t>
  </si>
  <si>
    <t>Estimate!!Total:!!Less than high school graduate or equivalency:!!Has a computer:</t>
  </si>
  <si>
    <t>B28006_004</t>
  </si>
  <si>
    <t>Estimate!!Total:!!Less than high school graduate or equivalency:!!Has a computer:!!With dial-up Internet subscription alone</t>
  </si>
  <si>
    <t>B28006_005</t>
  </si>
  <si>
    <t>Estimate!!Total:!!Less than high school graduate or equivalency:!!Has a computer:!!With a broadband Internet subscription</t>
  </si>
  <si>
    <t>B28006_006</t>
  </si>
  <si>
    <t>Estimate!!Total:!!Less than high school graduate or equivalency:!!Has a computer:!!Without an Internet subscription</t>
  </si>
  <si>
    <t>B28006_007</t>
  </si>
  <si>
    <t>Estimate!!Total:!!Less than high school graduate or equivalency:!!No computer</t>
  </si>
  <si>
    <t>B28006_008</t>
  </si>
  <si>
    <t>Estimate!!Total:!!High school graduate (includes equivalency) , some college or associate's degree :</t>
  </si>
  <si>
    <t>B28006_009</t>
  </si>
  <si>
    <t>Estimate!!Total:!!High school graduate (includes equivalency) , some college or associate's degree :!!Has a computer:</t>
  </si>
  <si>
    <t>B28006_010</t>
  </si>
  <si>
    <t>Estimate!!Total:!!High school graduate (includes equivalency) , some college or associate's degree :!!Has a computer:!!With dial-up Internet subscription alone</t>
  </si>
  <si>
    <t>B28006_011</t>
  </si>
  <si>
    <t>Estimate!!Total:!!High school graduate (includes equivalency) , some college or associate's degree :!!Has a computer:!!With a broadband Internet subscription</t>
  </si>
  <si>
    <t>B28006_012</t>
  </si>
  <si>
    <t>Estimate!!Total:!!High school graduate (includes equivalency) , some college or associate's degree :!!Has a computer:!!Without an Internet subscription</t>
  </si>
  <si>
    <t>B28006_013</t>
  </si>
  <si>
    <t>Estimate!!Total:!!High school graduate (includes equivalency) , some college or associate's degree :!!No computer</t>
  </si>
  <si>
    <t>B28006_014</t>
  </si>
  <si>
    <t>B28006_015</t>
  </si>
  <si>
    <t>Estimate!!Total:!!Bachelor's degree or higher:!!Has a computer:</t>
  </si>
  <si>
    <t>B28006_016</t>
  </si>
  <si>
    <t>Estimate!!Total:!!Bachelor's degree or higher:!!Has a computer:!!With dial-up Internet subscription alone</t>
  </si>
  <si>
    <t>B28006_017</t>
  </si>
  <si>
    <t>Estimate!!Total:!!Bachelor's degree or higher:!!Has a computer:!!With a broadband Internet subscription</t>
  </si>
  <si>
    <t>B28006_018</t>
  </si>
  <si>
    <t>Estimate!!Total:!!Bachelor's degree or higher:!!Has a computer:!!Without an Internet subscription</t>
  </si>
  <si>
    <t>B28006_019</t>
  </si>
  <si>
    <t>Estimate!!Total:!!Bachelor's degree or higher:!!No computer</t>
  </si>
  <si>
    <t>B28007_002</t>
  </si>
  <si>
    <t>Estimate!!Total:!!In the civilian labor force:</t>
  </si>
  <si>
    <t>B28007_003</t>
  </si>
  <si>
    <t>Estimate!!Total:!!In the civilian labor force:!!Employed:</t>
  </si>
  <si>
    <t>B28007_004</t>
  </si>
  <si>
    <t>Estimate!!Total:!!In the civilian labor force:!!Employed:!!Has a computer:</t>
  </si>
  <si>
    <t>B28007_005</t>
  </si>
  <si>
    <t>Estimate!!Total:!!In the civilian labor force:!!Employed:!!Has a computer:!!With dial-up Internet subscription alone</t>
  </si>
  <si>
    <t>B28007_006</t>
  </si>
  <si>
    <t>Estimate!!Total:!!In the civilian labor force:!!Employed:!!Has a computer:!!With a broadband Internet subscription</t>
  </si>
  <si>
    <t>B28007_007</t>
  </si>
  <si>
    <t>Estimate!!Total:!!In the civilian labor force:!!Employed:!!Has a computer:!!Without an Internet subscription</t>
  </si>
  <si>
    <t>B28007_008</t>
  </si>
  <si>
    <t>Estimate!!Total:!!In the civilian labor force:!!Employed:!!No computer</t>
  </si>
  <si>
    <t>B28007_009</t>
  </si>
  <si>
    <t>Estimate!!Total:!!In the civilian labor force:!!Unemployed:</t>
  </si>
  <si>
    <t>B28007_010</t>
  </si>
  <si>
    <t>Estimate!!Total:!!In the civilian labor force:!!Unemployed:!!Has a computer:</t>
  </si>
  <si>
    <t>B28007_011</t>
  </si>
  <si>
    <t>Estimate!!Total:!!In the civilian labor force:!!Unemployed:!!Has a computer:!!With dial-up Internet subscription alone</t>
  </si>
  <si>
    <t>B28007_012</t>
  </si>
  <si>
    <t>Estimate!!Total:!!In the civilian labor force:!!Unemployed:!!Has a computer:!!With a broadband Internet subscription</t>
  </si>
  <si>
    <t>B28007_013</t>
  </si>
  <si>
    <t>Estimate!!Total:!!In the civilian labor force:!!Unemployed:!!Has a computer:!!Without an Internet subscription</t>
  </si>
  <si>
    <t>B28007_014</t>
  </si>
  <si>
    <t>Estimate!!Total:!!In the civilian labor force:!!Unemployed:!!No computer</t>
  </si>
  <si>
    <t>B28007_015</t>
  </si>
  <si>
    <t>B28007_016</t>
  </si>
  <si>
    <t>Estimate!!Total:!!Not in labor force:!!Has a computer:</t>
  </si>
  <si>
    <t>B28007_017</t>
  </si>
  <si>
    <t>Estimate!!Total:!!Not in labor force:!!Has a computer:!!With dial-up Internet subscription alone</t>
  </si>
  <si>
    <t>B28007_018</t>
  </si>
  <si>
    <t>Estimate!!Total:!!Not in labor force:!!Has a computer:!!With a broadband Internet subscription</t>
  </si>
  <si>
    <t>B28007_019</t>
  </si>
  <si>
    <t>Estimate!!Total:!!Not in labor force:!!Has a computer:!!Without an Internet subscription</t>
  </si>
  <si>
    <t>B28007_020</t>
  </si>
  <si>
    <t>Estimate!!Total:!!Not in labor force:!!No computer</t>
  </si>
  <si>
    <t>B28008_002</t>
  </si>
  <si>
    <t>B28008_003</t>
  </si>
  <si>
    <t>B28008_004</t>
  </si>
  <si>
    <t>Estimate!!Total:!!Has a computer:!!With a broadband subscription:</t>
  </si>
  <si>
    <t>B28008_005</t>
  </si>
  <si>
    <t>Estimate!!Total:!!Has a computer:!!With a broadband subscription:!!With a fixed broadband Internet subscription:</t>
  </si>
  <si>
    <t>B28008_006</t>
  </si>
  <si>
    <t>Estimate!!Total:!!Has a computer:!!With a broadband subscription:!!With a fixed broadband Internet subscription:!!With a cellular data plan</t>
  </si>
  <si>
    <t>B28008_007</t>
  </si>
  <si>
    <t>Estimate!!Total:!!Has a computer:!!With a broadband subscription:!!With a fixed broadband Internet subscription:!!Without a cellular data plan</t>
  </si>
  <si>
    <t>B28008_008</t>
  </si>
  <si>
    <t>Estimate!!Total:!!Has a computer:!!With a broadband subscription:!!Cellular data plan alone or with dial-up</t>
  </si>
  <si>
    <t>B28008_009</t>
  </si>
  <si>
    <t>Estimate!!Total:!!Has a computer:!!Without Internet subscription</t>
  </si>
  <si>
    <t>B28008_010</t>
  </si>
  <si>
    <t>B28009A_002</t>
  </si>
  <si>
    <t>B28009A_003</t>
  </si>
  <si>
    <t>B28009A_004</t>
  </si>
  <si>
    <t>B28009A_005</t>
  </si>
  <si>
    <t>B28009A_006</t>
  </si>
  <si>
    <t>B28009B_002</t>
  </si>
  <si>
    <t>B28009B_003</t>
  </si>
  <si>
    <t>B28009B_004</t>
  </si>
  <si>
    <t>B28009B_005</t>
  </si>
  <si>
    <t>B28009B_006</t>
  </si>
  <si>
    <t>B28009C_002</t>
  </si>
  <si>
    <t>B28009C_003</t>
  </si>
  <si>
    <t>B28009C_004</t>
  </si>
  <si>
    <t>B28009C_005</t>
  </si>
  <si>
    <t>B28009C_006</t>
  </si>
  <si>
    <t>B28009D_002</t>
  </si>
  <si>
    <t>B28009D_003</t>
  </si>
  <si>
    <t>B28009D_004</t>
  </si>
  <si>
    <t>B28009D_005</t>
  </si>
  <si>
    <t>B28009D_006</t>
  </si>
  <si>
    <t>B28009E_002</t>
  </si>
  <si>
    <t>B28009E_003</t>
  </si>
  <si>
    <t>B28009E_004</t>
  </si>
  <si>
    <t>B28009E_005</t>
  </si>
  <si>
    <t>B28009E_006</t>
  </si>
  <si>
    <t>B28009F_002</t>
  </si>
  <si>
    <t>B28009F_003</t>
  </si>
  <si>
    <t>B28009F_004</t>
  </si>
  <si>
    <t>B28009F_005</t>
  </si>
  <si>
    <t>B28009F_006</t>
  </si>
  <si>
    <t>B28009G_002</t>
  </si>
  <si>
    <t>B28009G_003</t>
  </si>
  <si>
    <t>B28009G_004</t>
  </si>
  <si>
    <t>B28009G_005</t>
  </si>
  <si>
    <t>B28009G_006</t>
  </si>
  <si>
    <t>B28009H_002</t>
  </si>
  <si>
    <t>B28009H_003</t>
  </si>
  <si>
    <t>B28009H_004</t>
  </si>
  <si>
    <t>B28009H_005</t>
  </si>
  <si>
    <t>B28009H_006</t>
  </si>
  <si>
    <t>B28009I_002</t>
  </si>
  <si>
    <t>B28009I_003</t>
  </si>
  <si>
    <t>B28009I_004</t>
  </si>
  <si>
    <t>B28009I_005</t>
  </si>
  <si>
    <t>B28009I_006</t>
  </si>
  <si>
    <t>B28010_002</t>
  </si>
  <si>
    <t>B28010_003</t>
  </si>
  <si>
    <t>B28010_004</t>
  </si>
  <si>
    <t>Estimate!!Total:!!Has one or more types of computing devices:!!Desktop or laptop!!Desktop or laptop alone</t>
  </si>
  <si>
    <t>B28010_005</t>
  </si>
  <si>
    <t>Estimate!!Total:!!Has one or more types of computing devices:!!Smartphone, tablet or other portable wireless computer or other computer</t>
  </si>
  <si>
    <t>B28010_006</t>
  </si>
  <si>
    <t>Estimate!!Total:!!Has one or more types of computing devices:!!Smartphone, tablet or other portable wireless computer or other computer!!Smartphone, tablet or other portable wireless computer or other computer, no desktop or laptop</t>
  </si>
  <si>
    <t>B28010_007</t>
  </si>
  <si>
    <t>B28011_002</t>
  </si>
  <si>
    <t>B28011_003</t>
  </si>
  <si>
    <t>Estimate!!Total:!!With an Internet subscription!!Dial-up alone</t>
  </si>
  <si>
    <t>B28011_004</t>
  </si>
  <si>
    <t>Estimate!!Total:!!With an Internet subscription!!Broadband such as cable, fiber optic, or DSL</t>
  </si>
  <si>
    <t>B28011_005</t>
  </si>
  <si>
    <t>B28011_006</t>
  </si>
  <si>
    <t>Estimate!!Total:!!With an Internet subscription!!Other service</t>
  </si>
  <si>
    <t>B28011_007</t>
  </si>
  <si>
    <t>B28011_008</t>
  </si>
  <si>
    <t>B28012_002</t>
  </si>
  <si>
    <t>Estimate!!Total:!!Population 3 and older</t>
  </si>
  <si>
    <t>B28012_003</t>
  </si>
  <si>
    <t>Estimate!!Total:!!Population 3 and older!!Enrolled in school:</t>
  </si>
  <si>
    <t>B28012_004</t>
  </si>
  <si>
    <t>Estimate!!Total:!!Population 3 and older!!Enrolled in school:!!Pre-K to 4th Grade</t>
  </si>
  <si>
    <t>B28012_005</t>
  </si>
  <si>
    <t>Estimate!!Total:!!Population 3 and older!!Enrolled in school:!!Pre-K to 4th Grade!!Has a computer and internet subscription</t>
  </si>
  <si>
    <t>B28012_006</t>
  </si>
  <si>
    <t>Estimate!!Total:!!Population 3 and older!!Enrolled in school:!!Pre-K to 4th Grade!!No subscription or no computer</t>
  </si>
  <si>
    <t>B28012_007</t>
  </si>
  <si>
    <t>Estimate!!Total:!!Population 3 and older!!Enrolled in school:!!5th to 8th Grade</t>
  </si>
  <si>
    <t>B28012_008</t>
  </si>
  <si>
    <t>Estimate!!Total:!!Population 3 and older!!Enrolled in school:!!5th to 8th Grade!!Has a computer and internet subscription</t>
  </si>
  <si>
    <t>B28012_009</t>
  </si>
  <si>
    <t>Estimate!!Total:!!Population 3 and older!!Enrolled in school:!!5th to 8th Grade!!No subscription or no computer</t>
  </si>
  <si>
    <t>B28012_010</t>
  </si>
  <si>
    <t>Estimate!!Total:!!Population 3 and older!!Enrolled in school:!!9th to 12th Grade</t>
  </si>
  <si>
    <t>B28012_011</t>
  </si>
  <si>
    <t>Estimate!!Total:!!Population 3 and older!!Enrolled in school:!!9th to 12th Grade!!Has a computer and internet subscription</t>
  </si>
  <si>
    <t>B28012_012</t>
  </si>
  <si>
    <t>Estimate!!Total:!!Population 3 and older!!Enrolled in school:!!9th to 12th Grade!!No subscription or no computer</t>
  </si>
  <si>
    <t>B28012_013</t>
  </si>
  <si>
    <t>Estimate!!Total:!!Population 3 and older!!Enrolled in school:!!Undergraduate or Higher</t>
  </si>
  <si>
    <t>B28012_014</t>
  </si>
  <si>
    <t>Estimate!!Total:!!Population 3 and older!!Enrolled in school:!!Undergraduate or Higher!!Has a computer and internet subscription</t>
  </si>
  <si>
    <t>B28012_015</t>
  </si>
  <si>
    <t>Estimate!!Total:!!Population 3 and older!!Enrolled in school:!!Undergraduate or Higher!!No subscription or no computer</t>
  </si>
  <si>
    <t>B28012_016</t>
  </si>
  <si>
    <t>Estimate!!Total:!!Population 3 and older!!Not Enrolled in school:</t>
  </si>
  <si>
    <t>B28012_017</t>
  </si>
  <si>
    <t>Estimate!!Total:!!Population 3 and older!!Not Enrolled in school:!!Has a computer and internet subscription</t>
  </si>
  <si>
    <t>B28012_018</t>
  </si>
  <si>
    <t>Estimate!!Total:!!Population 3 and older!!Not Enrolled in school:!!No subscription or no computer</t>
  </si>
  <si>
    <t>B28012_019</t>
  </si>
  <si>
    <t>Estimate!!Total:!!Population 2 and under:</t>
  </si>
  <si>
    <t>B28012_020</t>
  </si>
  <si>
    <t>Estimate!!Total:!!Population 2 and under:!!Has a computer and internet subscription</t>
  </si>
  <si>
    <t>B28012_021</t>
  </si>
  <si>
    <t>Estimate!!Total:!!Population 2 and under:!!No subscription or no computer</t>
  </si>
  <si>
    <t>B29001_002</t>
  </si>
  <si>
    <t>Estimate!!Total:!!18 to 29 years</t>
  </si>
  <si>
    <t>B29001_003</t>
  </si>
  <si>
    <t>Estimate!!Total:!!30 to 44 years</t>
  </si>
  <si>
    <t>B29001_004</t>
  </si>
  <si>
    <t>Estimate!!Total:!!45 to 64 years</t>
  </si>
  <si>
    <t>B29001_005</t>
  </si>
  <si>
    <t>B29002_002</t>
  </si>
  <si>
    <t>Estimate!!Total:!!Less than 9th grade</t>
  </si>
  <si>
    <t>B29002_003</t>
  </si>
  <si>
    <t>Estimate!!Total:!!9th to 12th grade, no diploma</t>
  </si>
  <si>
    <t>B29002_004</t>
  </si>
  <si>
    <t>B29002_005</t>
  </si>
  <si>
    <t>Estimate!!Total:!!Some college, no degree</t>
  </si>
  <si>
    <t>B29002_006</t>
  </si>
  <si>
    <t>B29002_007</t>
  </si>
  <si>
    <t>B29002_008</t>
  </si>
  <si>
    <t>B29003_002</t>
  </si>
  <si>
    <t>B29003_003</t>
  </si>
  <si>
    <t>Estimate!!Total:!!Income in the past 12 months at or above the poverty level</t>
  </si>
  <si>
    <t>B98001_002</t>
  </si>
  <si>
    <t>Estimate!!Final number of housing unit interviews</t>
  </si>
  <si>
    <t>B98002_002</t>
  </si>
  <si>
    <t>Estimate!!Initial sample selected!!Final actual interviews</t>
  </si>
  <si>
    <t>B98002_003</t>
  </si>
  <si>
    <t>Estimate!!Final synthetic interviews</t>
  </si>
  <si>
    <t>B98012_002</t>
  </si>
  <si>
    <t>B98012_003</t>
  </si>
  <si>
    <t>B98013_002</t>
  </si>
  <si>
    <t>Estimate!!Total:!!Not Hispanic or Latino:!!White</t>
  </si>
  <si>
    <t>B98013_003</t>
  </si>
  <si>
    <t>Estimate!!Total:!!Not Hispanic or Latino:!!Black or African American</t>
  </si>
  <si>
    <t>B98013_004</t>
  </si>
  <si>
    <t>Estimate!!Total:!!Not Hispanic or Latino:!!American Indian and Alaska Native</t>
  </si>
  <si>
    <t>B98013_005</t>
  </si>
  <si>
    <t>Estimate!!Total:!!Not Hispanic or Latino:!!Asian</t>
  </si>
  <si>
    <t>B98013_006</t>
  </si>
  <si>
    <t>Estimate!!Total:!!Not Hispanic or Latino:!!Native Hawaiian and Other Pacific Islander</t>
  </si>
  <si>
    <t>B98013_007</t>
  </si>
  <si>
    <t>B98021_002</t>
  </si>
  <si>
    <t>Estimate!!Nonresponse Rate:</t>
  </si>
  <si>
    <t>B98021_003</t>
  </si>
  <si>
    <t>Estimate!!Nonresponse Rate:!!Refusal</t>
  </si>
  <si>
    <t>B98021_004</t>
  </si>
  <si>
    <t>Estimate!!Nonresponse Rate:!!Unable To Locate</t>
  </si>
  <si>
    <t>B98021_005</t>
  </si>
  <si>
    <t>Estimate!!Nonresponse Rate:!!No One Home</t>
  </si>
  <si>
    <t>B98021_006</t>
  </si>
  <si>
    <t>Estimate!!Nonresponse Rate:!!Temporarily Absent</t>
  </si>
  <si>
    <t>B98021_007</t>
  </si>
  <si>
    <t>Estimate!!Nonresponse Rate:!!Language Problem</t>
  </si>
  <si>
    <t>B98021_008</t>
  </si>
  <si>
    <t>Estimate!!Nonresponse Rate:!!Insufficient Data</t>
  </si>
  <si>
    <t>B98021_009</t>
  </si>
  <si>
    <t>Estimate!!Nonresponse Rate:!!Contact Attempts Halted</t>
  </si>
  <si>
    <t>B98021_010</t>
  </si>
  <si>
    <t>Estimate!!Nonresponse Rate:!!Other Reason</t>
  </si>
  <si>
    <t>B98022_002</t>
  </si>
  <si>
    <t>B98022_003</t>
  </si>
  <si>
    <t>Estimate!!Nonresponse Rate:!!Group Quarters Person Refusal</t>
  </si>
  <si>
    <t>B98022_004</t>
  </si>
  <si>
    <t>Estimate!!Nonresponse Rate:!!Unable To Locate Group Quarters Person</t>
  </si>
  <si>
    <t>B98022_005</t>
  </si>
  <si>
    <t>Estimate!!Nonresponse Rate:!!Resident Temporarily Absent</t>
  </si>
  <si>
    <t>B98022_006</t>
  </si>
  <si>
    <t>B98022_007</t>
  </si>
  <si>
    <t>B98022_008</t>
  </si>
  <si>
    <t>Estimate!!Nonresponse Rate:!!Group Quarters Person Other Reason</t>
  </si>
  <si>
    <t>B98022_009</t>
  </si>
  <si>
    <t>Estimate!!Nonresponse Rate:!!Whole Group Quarters Refusal</t>
  </si>
  <si>
    <t>B98022_010</t>
  </si>
  <si>
    <t>Estimate!!Nonresponse Rate:!!Whole Group Quarters Other Reason</t>
  </si>
  <si>
    <t>B99011_002</t>
  </si>
  <si>
    <t>Estimate!!Total:!!Allocated</t>
  </si>
  <si>
    <t>B99011_003</t>
  </si>
  <si>
    <t>Estimate!!Total:!!Not allocated</t>
  </si>
  <si>
    <t>B99012_002</t>
  </si>
  <si>
    <t>B99012_003</t>
  </si>
  <si>
    <t>B99021_002</t>
  </si>
  <si>
    <t>B99021_003</t>
  </si>
  <si>
    <t>B99031_002</t>
  </si>
  <si>
    <t>B99031_003</t>
  </si>
  <si>
    <t>B99051_002</t>
  </si>
  <si>
    <t>B99051_003</t>
  </si>
  <si>
    <t>Estimate!!Total:!!Native:!!Allocated</t>
  </si>
  <si>
    <t>B99051_004</t>
  </si>
  <si>
    <t>Estimate!!Total:!!Native:!!Not allocated</t>
  </si>
  <si>
    <t>B99051_005</t>
  </si>
  <si>
    <t>B99051_006</t>
  </si>
  <si>
    <t>Estimate!!Total:!!Foreign-born:!!Allocated</t>
  </si>
  <si>
    <t>B99051_007</t>
  </si>
  <si>
    <t>Estimate!!Total:!!Foreign-born:!!Not allocated</t>
  </si>
  <si>
    <t>B99052PR_002</t>
  </si>
  <si>
    <t>B99052PR_003</t>
  </si>
  <si>
    <t>B99052PR_004</t>
  </si>
  <si>
    <t>B99052PR_005</t>
  </si>
  <si>
    <t>B99052PR_006</t>
  </si>
  <si>
    <t>B99052PR_007</t>
  </si>
  <si>
    <t>B99052_002</t>
  </si>
  <si>
    <t>B99052_003</t>
  </si>
  <si>
    <t>B99052_004</t>
  </si>
  <si>
    <t>B99052_005</t>
  </si>
  <si>
    <t>B99052_006</t>
  </si>
  <si>
    <t>B99052_007</t>
  </si>
  <si>
    <t>B99053_002</t>
  </si>
  <si>
    <t>B99053_003</t>
  </si>
  <si>
    <t>B99061_002</t>
  </si>
  <si>
    <t>B99061_003</t>
  </si>
  <si>
    <t>B99071_002</t>
  </si>
  <si>
    <t>B99071_003</t>
  </si>
  <si>
    <t>B99072_002</t>
  </si>
  <si>
    <t>Estimate!!Total:!!Different house:</t>
  </si>
  <si>
    <t>B99072_003</t>
  </si>
  <si>
    <t>Estimate!!Total:!!Different house:!!Allocated:</t>
  </si>
  <si>
    <t>B99072_004</t>
  </si>
  <si>
    <t>Estimate!!Total:!!Different house:!!Allocated:!!One or more but not all geographic parts allocated</t>
  </si>
  <si>
    <t>B99072_005</t>
  </si>
  <si>
    <t>Estimate!!Total:!!Different house:!!Allocated:!!All geographic parts allocated</t>
  </si>
  <si>
    <t>B99072_006</t>
  </si>
  <si>
    <t>Estimate!!Total:!!Different house:!!Not allocated</t>
  </si>
  <si>
    <t>B99072_007</t>
  </si>
  <si>
    <t>Estimate!!Total:!!Same house</t>
  </si>
  <si>
    <t>B99080_002</t>
  </si>
  <si>
    <t>B99080_003</t>
  </si>
  <si>
    <t>B99081_002</t>
  </si>
  <si>
    <t>Estimate!!Total:!!Allocated:</t>
  </si>
  <si>
    <t>B99081_003</t>
  </si>
  <si>
    <t>Estimate!!Total:!!Allocated:!!One or more but not all geographic parts allocated</t>
  </si>
  <si>
    <t>B99081_004</t>
  </si>
  <si>
    <t>Estimate!!Total:!!Allocated:!!All geographic parts allocated</t>
  </si>
  <si>
    <t>B99081_005</t>
  </si>
  <si>
    <t>B99082_002</t>
  </si>
  <si>
    <t>B99082_003</t>
  </si>
  <si>
    <t>Estimate!!Total:!!Car, truck, or van:!!Allocated</t>
  </si>
  <si>
    <t>B99082_004</t>
  </si>
  <si>
    <t>Estimate!!Total:!!Car, truck, or van:!!Not allocated</t>
  </si>
  <si>
    <t>B99082_005</t>
  </si>
  <si>
    <t>Estimate!!Total:!!Other means (including those who worked from home)</t>
  </si>
  <si>
    <t>B99083_002</t>
  </si>
  <si>
    <t>Estimate!!Total:!!Did not work from home:</t>
  </si>
  <si>
    <t>B99083_003</t>
  </si>
  <si>
    <t>Estimate!!Total:!!Did not work from home:!!Time of departure to go to work --!!Allocated</t>
  </si>
  <si>
    <t>B99083_004</t>
  </si>
  <si>
    <t>Estimate!!Total:!!Did not work from home:!!Time of departure to go to work --!!Not allocated</t>
  </si>
  <si>
    <t>B99083_005</t>
  </si>
  <si>
    <t>B99084_002</t>
  </si>
  <si>
    <t>B99084_003</t>
  </si>
  <si>
    <t>Estimate!!Total:!!Did not work from home:!!Travel time to work --!!Allocated</t>
  </si>
  <si>
    <t>B99084_004</t>
  </si>
  <si>
    <t>Estimate!!Total:!!Did not work from home:!!Travel time to work --!!Not allocated</t>
  </si>
  <si>
    <t>B99084_005</t>
  </si>
  <si>
    <t>B99085_002</t>
  </si>
  <si>
    <t>B99085_003</t>
  </si>
  <si>
    <t>B99086_002</t>
  </si>
  <si>
    <t>B99086_003</t>
  </si>
  <si>
    <t>B99087_002</t>
  </si>
  <si>
    <t>B99087_003</t>
  </si>
  <si>
    <t>Estimate!!Total:!!Did not work from home:!!Time arriving at work --!!Allocated for either departure time or minutes to work</t>
  </si>
  <si>
    <t>B99087_004</t>
  </si>
  <si>
    <t>Estimate!!Total:!!Did not work from home:!!Time arriving at work --!!Not allocated for either departure time or minutes to work</t>
  </si>
  <si>
    <t>B99087_005</t>
  </si>
  <si>
    <t>B99088_002</t>
  </si>
  <si>
    <t>B99088_003</t>
  </si>
  <si>
    <t>B99088_004</t>
  </si>
  <si>
    <t>B99088_005</t>
  </si>
  <si>
    <t>B99089_002</t>
  </si>
  <si>
    <t>B99089_003</t>
  </si>
  <si>
    <t>B99092_002</t>
  </si>
  <si>
    <t>B99092_003</t>
  </si>
  <si>
    <t>B99102_002</t>
  </si>
  <si>
    <t>B99102_003</t>
  </si>
  <si>
    <t>B99103_002</t>
  </si>
  <si>
    <t>B99103_003</t>
  </si>
  <si>
    <t>B99104_002</t>
  </si>
  <si>
    <t>B99104_003</t>
  </si>
  <si>
    <t>B99104_004</t>
  </si>
  <si>
    <t>Estimate!!Total:!!Living with own grandchildren under 18 years:!!Grandparent responsible for own grandchildren under 18 years:!!Length of time --!!Allocated</t>
  </si>
  <si>
    <t>B99104_005</t>
  </si>
  <si>
    <t>Estimate!!Total:!!Living with own grandchildren under 18 years:!!Grandparent responsible for own grandchildren under 18 years:!!Length of time --!!Not allocated</t>
  </si>
  <si>
    <t>B99104_006</t>
  </si>
  <si>
    <t>B99104_007</t>
  </si>
  <si>
    <t>B99121_002</t>
  </si>
  <si>
    <t>B99121_003</t>
  </si>
  <si>
    <t>B99122_002</t>
  </si>
  <si>
    <t>B99122_003</t>
  </si>
  <si>
    <t>B99123_002</t>
  </si>
  <si>
    <t>B99123_003</t>
  </si>
  <si>
    <t>B99124_002</t>
  </si>
  <si>
    <t>B99124_003</t>
  </si>
  <si>
    <t>B99125_002</t>
  </si>
  <si>
    <t>B99125_003</t>
  </si>
  <si>
    <t>B99126_002</t>
  </si>
  <si>
    <t>B99126_003</t>
  </si>
  <si>
    <t>B99131_002</t>
  </si>
  <si>
    <t>B99131_003</t>
  </si>
  <si>
    <t>B99132_002</t>
  </si>
  <si>
    <t>B99132_003</t>
  </si>
  <si>
    <t>B99141_002</t>
  </si>
  <si>
    <t>B99141_003</t>
  </si>
  <si>
    <t>B99142_002</t>
  </si>
  <si>
    <t>B99142_003</t>
  </si>
  <si>
    <t>B99151_002</t>
  </si>
  <si>
    <t>B99151_003</t>
  </si>
  <si>
    <t>B99152_002</t>
  </si>
  <si>
    <t>B99152_003</t>
  </si>
  <si>
    <t>Estimate!!Total:!!Not Allocated</t>
  </si>
  <si>
    <t>B99161_002</t>
  </si>
  <si>
    <t>B99161_003</t>
  </si>
  <si>
    <t>B99162_002</t>
  </si>
  <si>
    <t>B99162_003</t>
  </si>
  <si>
    <t>B99162_004</t>
  </si>
  <si>
    <t>Estimate!!Total:!!Speak other languages:!!Specific languages spoken --!!Allocated:</t>
  </si>
  <si>
    <t>B99162_005</t>
  </si>
  <si>
    <t>Estimate!!Total:!!Speak other languages:!!Specific languages spoken --!!Allocated:!!Language status allocated</t>
  </si>
  <si>
    <t>B99162_006</t>
  </si>
  <si>
    <t>Estimate!!Total:!!Speak other languages:!!Specific languages spoken --!!Allocated:!!Language status not allocated</t>
  </si>
  <si>
    <t>B99162_007</t>
  </si>
  <si>
    <t>Estimate!!Total:!!Speak other languages:!!Specific languages spoken --!!Not allocated</t>
  </si>
  <si>
    <t>B99163_002</t>
  </si>
  <si>
    <t>B99163_003</t>
  </si>
  <si>
    <t>B99163_004</t>
  </si>
  <si>
    <t>Estimate!!Total:!!Speak other languages:!!Ability to speak English --!!Allocated</t>
  </si>
  <si>
    <t>B99163_005</t>
  </si>
  <si>
    <t>Estimate!!Total:!!Speak other languages:!!Ability to speak English --!!Not allocated</t>
  </si>
  <si>
    <t>B99171_002</t>
  </si>
  <si>
    <t>Estimate!!Percent of income allocated for individuals with income in the past 12 months below poverty level --!!No income allocated</t>
  </si>
  <si>
    <t>B99171_003</t>
  </si>
  <si>
    <t>Estimate!!Percent of income allocated for individuals with income in the past 12 months below poverty level --!!Dollar value of zero allocated</t>
  </si>
  <si>
    <t>B99171_004</t>
  </si>
  <si>
    <t>Estimate!!Percent of income allocated for individuals with income in the past 12 months below poverty level --!!More than 0 to less than 10 percent of total income for individual allocated</t>
  </si>
  <si>
    <t>B99171_005</t>
  </si>
  <si>
    <t>Estimate!!Percent of income allocated for individuals with income in the past 12 months below poverty level --!!10 to less than 25 percent of total income for individual allocated</t>
  </si>
  <si>
    <t>B99171_006</t>
  </si>
  <si>
    <t>Estimate!!Percent of income allocated for individuals with income in the past 12 months below poverty level --!!25 to less than 50 percent of total income for individual allocated</t>
  </si>
  <si>
    <t>B99171_007</t>
  </si>
  <si>
    <t>Estimate!!Percent of income allocated for individuals with income in the past 12 months below poverty level --!!50 to less than 100 percent of total income for individual allocated</t>
  </si>
  <si>
    <t>B99171_008</t>
  </si>
  <si>
    <t>Estimate!!Percent of income allocated for individuals with income in the past 12 months below poverty level --!!100 percent of total income for individual allocated</t>
  </si>
  <si>
    <t>B99171_009</t>
  </si>
  <si>
    <t>Estimate!!Percent of income allocated for individuals with income in the past 12 months at or above poverty level --!!No income allocated</t>
  </si>
  <si>
    <t>B99171_010</t>
  </si>
  <si>
    <t>Estimate!!Percent of income allocated for individuals with income in the past 12 months at or above poverty level --!!Dollar value of zero allocated</t>
  </si>
  <si>
    <t>B99171_011</t>
  </si>
  <si>
    <t>Estimate!!Percent of income allocated for individuals with income in the past 12 months at or above poverty level --!!More than 0 to less than 10 percent of total income for individual allocated</t>
  </si>
  <si>
    <t>B99171_012</t>
  </si>
  <si>
    <t>Estimate!!Percent of income allocated for individuals with income in the past 12 months at or above poverty level --!!10 to less than 25 percent of total income for individual allocated</t>
  </si>
  <si>
    <t>B99171_013</t>
  </si>
  <si>
    <t>Estimate!!Percent of income allocated for individuals with income in the past 12 months at or above poverty level --!!25 to less than 50 percent of total income for individual allocated</t>
  </si>
  <si>
    <t>B99171_014</t>
  </si>
  <si>
    <t>Estimate!!Percent of income allocated for individuals with income in the past 12 months at or above poverty level --!!50 to less than 100 percent of total income for individual allocated</t>
  </si>
  <si>
    <t>B99171_015</t>
  </si>
  <si>
    <t>Estimate!!Percent of income allocated for individuals with income in the past 12 months at or above poverty level --!!100 percent of total income for individual allocated</t>
  </si>
  <si>
    <t>B99172_002</t>
  </si>
  <si>
    <t>Estimate!!Percent of family income allocated for families with income in the past 12 months below poverty level --!!No income allocated</t>
  </si>
  <si>
    <t>B99172_003</t>
  </si>
  <si>
    <t>Estimate!!Percent of family income allocated for families with income in the past 12 months below poverty level --!!Dollar value of zero allocated</t>
  </si>
  <si>
    <t>B99172_004</t>
  </si>
  <si>
    <t>Estimate!!Percent of family income allocated for families with income in the past 12 months below poverty level --!!More than 0 to less than 10 percent of total income for family allocated</t>
  </si>
  <si>
    <t>B99172_005</t>
  </si>
  <si>
    <t>Estimate!!Percent of family income allocated for families with income in the past 12 months below poverty level --!!10 to less than 25 percent of total income for family allocated</t>
  </si>
  <si>
    <t>B99172_006</t>
  </si>
  <si>
    <t>Estimate!!Percent of family income allocated for families with income in the past 12 months below poverty level --!!25 to less than 50 percent of total income for family allocated</t>
  </si>
  <si>
    <t>B99172_007</t>
  </si>
  <si>
    <t>Estimate!!Percent of family income allocated for families with income in the past 12 months below poverty level --!!50 to less than 100 percent of total income for family allocated</t>
  </si>
  <si>
    <t>B99172_008</t>
  </si>
  <si>
    <t>Estimate!!Percent of family income allocated for families with income in the past 12 months below poverty level --!!100 percent of total income for family allocated</t>
  </si>
  <si>
    <t>B99172_009</t>
  </si>
  <si>
    <t>Estimate!!Percent of family income allocated for families with income in the past 12 months at or above poverty level --!!No income allocated</t>
  </si>
  <si>
    <t>B99172_010</t>
  </si>
  <si>
    <t>Estimate!!Percent of family income allocated for families with income in the past 12 months at or above poverty level --!!Dollar value of zero allocated</t>
  </si>
  <si>
    <t>B99172_011</t>
  </si>
  <si>
    <t>Estimate!!Percent of family income allocated for families with income in the past 12 months at or above poverty level --!!More than 0 to less than 10 percent of total income for family allocated</t>
  </si>
  <si>
    <t>B99172_012</t>
  </si>
  <si>
    <t>Estimate!!Percent of family income allocated for families with income in the past 12 months at or above poverty level --!!10 to less than 25 percent of total income for family allocated</t>
  </si>
  <si>
    <t>B99172_013</t>
  </si>
  <si>
    <t>Estimate!!Percent of family income allocated for families with income in the past 12 months at or above poverty level --!!25 to less than 50 percent of total income for family allocated</t>
  </si>
  <si>
    <t>B99172_014</t>
  </si>
  <si>
    <t>Estimate!!Percent of family income allocated for families with income in the past 12 months at or above poverty level --!!50 to less than 100 percent of total income for family allocated</t>
  </si>
  <si>
    <t>B99172_015</t>
  </si>
  <si>
    <t>Estimate!!Percent of family income allocated for families with income in the past 12 months at or above poverty level --!!100 percent of total income for family allocated</t>
  </si>
  <si>
    <t>B99181_002</t>
  </si>
  <si>
    <t>Estimate!!Total:!!One or more disability items allocated</t>
  </si>
  <si>
    <t>B99181_003</t>
  </si>
  <si>
    <t>Estimate!!Total:!!No disability items allocated</t>
  </si>
  <si>
    <t>B99182_002</t>
  </si>
  <si>
    <t>B99182_003</t>
  </si>
  <si>
    <t>B99183_002</t>
  </si>
  <si>
    <t>B99183_003</t>
  </si>
  <si>
    <t>B99184_002</t>
  </si>
  <si>
    <t>B99184_003</t>
  </si>
  <si>
    <t>B99185_002</t>
  </si>
  <si>
    <t>B99185_003</t>
  </si>
  <si>
    <t>B99186_002</t>
  </si>
  <si>
    <t>B99186_003</t>
  </si>
  <si>
    <t>B99187_002</t>
  </si>
  <si>
    <t>Estimate!!Total:!!15 to 17 years:</t>
  </si>
  <si>
    <t>B99187_003</t>
  </si>
  <si>
    <t>Estimate!!Total:!!15 to 17 years:!!Allocated</t>
  </si>
  <si>
    <t>B99187_004</t>
  </si>
  <si>
    <t>Estimate!!Total:!!15 to 17 years:!!Not allocated</t>
  </si>
  <si>
    <t>B99187_005</t>
  </si>
  <si>
    <t>B99187_006</t>
  </si>
  <si>
    <t>Estimate!!Total:!!18 years and over:!!Allocated</t>
  </si>
  <si>
    <t>B99187_007</t>
  </si>
  <si>
    <t>Estimate!!Total:!!18 years and over:!!Not allocated</t>
  </si>
  <si>
    <t>B99191_002</t>
  </si>
  <si>
    <t>Estimate!!Percent of income allocated --!!No income allocated</t>
  </si>
  <si>
    <t>B99191_003</t>
  </si>
  <si>
    <t>Estimate!!Percent of income allocated --!!Dollar value of zero allocated</t>
  </si>
  <si>
    <t>B99191_004</t>
  </si>
  <si>
    <t>Estimate!!Percent of income allocated --!!More than 0 to less than 10 percent of total income for individual allocated</t>
  </si>
  <si>
    <t>B99191_005</t>
  </si>
  <si>
    <t>Estimate!!Percent of income allocated --!!10 to less than 25 percent of total income for individual allocated</t>
  </si>
  <si>
    <t>B99191_006</t>
  </si>
  <si>
    <t>Estimate!!Percent of income allocated --!!25 to less than 50 percent of total income for individual allocated</t>
  </si>
  <si>
    <t>B99191_007</t>
  </si>
  <si>
    <t>Estimate!!Percent of income allocated --!!50 to less than 100 percent of total income for individual allocated</t>
  </si>
  <si>
    <t>B99191_008</t>
  </si>
  <si>
    <t>Estimate!!Percent of income allocated --!!100 percent of total income for individual allocated</t>
  </si>
  <si>
    <t>B99192_002</t>
  </si>
  <si>
    <t>B99192_003</t>
  </si>
  <si>
    <t>B99192_004</t>
  </si>
  <si>
    <t>Estimate!!Percent of income allocated --!!More than 0 to less than 10 percent of total income for household allocated</t>
  </si>
  <si>
    <t>B99192_005</t>
  </si>
  <si>
    <t>Estimate!!Percent of income allocated --!!10 to less than 25 percent of total income for household allocated</t>
  </si>
  <si>
    <t>B99192_006</t>
  </si>
  <si>
    <t>Estimate!!Percent of income allocated --!!25 to less than 50 percent of total income for household allocated</t>
  </si>
  <si>
    <t>B99192_007</t>
  </si>
  <si>
    <t>Estimate!!Percent of income allocated --!!50 to less than 100 percent of total income for household allocated</t>
  </si>
  <si>
    <t>B99192_008</t>
  </si>
  <si>
    <t>Estimate!!Percent of income allocated --!!100 percent of total income for household allocated</t>
  </si>
  <si>
    <t>B99193_002</t>
  </si>
  <si>
    <t>B99193_003</t>
  </si>
  <si>
    <t>B99193_004</t>
  </si>
  <si>
    <t>Estimate!!Percent of income allocated --!!More than 0 to less than 10 percent of total income for family allocated</t>
  </si>
  <si>
    <t>B99193_005</t>
  </si>
  <si>
    <t>Estimate!!Percent of income allocated --!!10 to less than 25 percent of total income for family allocated</t>
  </si>
  <si>
    <t>B99193_006</t>
  </si>
  <si>
    <t>Estimate!!Percent of income allocated --!!25 to less than 50 percent of total income for family allocated</t>
  </si>
  <si>
    <t>B99193_007</t>
  </si>
  <si>
    <t>Estimate!!Percent of income allocated --!!50 to less than 100 percent of total income for family allocated</t>
  </si>
  <si>
    <t>B99193_008</t>
  </si>
  <si>
    <t>Estimate!!Percent of income allocated --!!100 percent of total income for family allocated</t>
  </si>
  <si>
    <t>B99194_002</t>
  </si>
  <si>
    <t>B99194_003</t>
  </si>
  <si>
    <t>B99194_004</t>
  </si>
  <si>
    <t>B99194_005</t>
  </si>
  <si>
    <t>B99194_006</t>
  </si>
  <si>
    <t>B99194_007</t>
  </si>
  <si>
    <t>B99194_008</t>
  </si>
  <si>
    <t>B99201_002</t>
  </si>
  <si>
    <t>Estimate!!Percent of earnings allocated --!!No earnings allocated</t>
  </si>
  <si>
    <t>B99201_003</t>
  </si>
  <si>
    <t>Estimate!!Percent of earnings allocated --!!Dollar value of zero allocated</t>
  </si>
  <si>
    <t>B99201_004</t>
  </si>
  <si>
    <t>Estimate!!Percent of earnings allocated --!!More than 0 to less than 10 percent of total earnings for individual allocated</t>
  </si>
  <si>
    <t>B99201_005</t>
  </si>
  <si>
    <t>Estimate!!Percent of earnings allocated --!!10 to less than 25 percent of total earnings for individual allocated</t>
  </si>
  <si>
    <t>B99201_006</t>
  </si>
  <si>
    <t>Estimate!!Percent of earnings allocated --!!25 to less than 50 percent of total earnings for individual allocated</t>
  </si>
  <si>
    <t>B99201_007</t>
  </si>
  <si>
    <t>Estimate!!Percent of earnings allocated --!!50 to less than 100 percent of total earnings for individual allocated</t>
  </si>
  <si>
    <t>B99201_008</t>
  </si>
  <si>
    <t>Estimate!!Percent of earnings allocated --!!100 percent of total earnings for individual allocated</t>
  </si>
  <si>
    <t>B99211_002</t>
  </si>
  <si>
    <t>B99211_003</t>
  </si>
  <si>
    <t>B99212_002</t>
  </si>
  <si>
    <t>B99212_003</t>
  </si>
  <si>
    <t>B99221_002</t>
  </si>
  <si>
    <t>B99221_003</t>
  </si>
  <si>
    <t>B99231_002</t>
  </si>
  <si>
    <t>B99231_003</t>
  </si>
  <si>
    <t>B99232_002</t>
  </si>
  <si>
    <t>B99232_003</t>
  </si>
  <si>
    <t>B99233_002</t>
  </si>
  <si>
    <t>Estimate!!Total:!!Worked in the past 12 months:</t>
  </si>
  <si>
    <t>B99233_003</t>
  </si>
  <si>
    <t>Estimate!!Total:!!Worked in the past 12 months:!!Usual hours worked per week in the past 12 months --!!Allocated</t>
  </si>
  <si>
    <t>B99233_004</t>
  </si>
  <si>
    <t>Estimate!!Total:!!Worked in the past 12 months:!!Usual hours worked per week in the past 12 months --!!Not allocated</t>
  </si>
  <si>
    <t>B99233_005</t>
  </si>
  <si>
    <t>Estimate!!Total:!!Did not work in the past 12 months</t>
  </si>
  <si>
    <t>B99234_002</t>
  </si>
  <si>
    <t>B99234_003</t>
  </si>
  <si>
    <t>Estimate!!Total:!!Worked in the past 12 months:!!Weeks worked in the past 12 months --!!Allocated</t>
  </si>
  <si>
    <t>B99234_004</t>
  </si>
  <si>
    <t>Estimate!!Total:!!Worked in the past 12 months:!!Weeks worked in the past 12 months --!!Not allocated</t>
  </si>
  <si>
    <t>B99234_005</t>
  </si>
  <si>
    <t>B99241_002</t>
  </si>
  <si>
    <t>B99241_003</t>
  </si>
  <si>
    <t>B99242_002</t>
  </si>
  <si>
    <t>B99242_003</t>
  </si>
  <si>
    <t>B99243_002</t>
  </si>
  <si>
    <t>B99243_003</t>
  </si>
  <si>
    <t>B99244_002</t>
  </si>
  <si>
    <t>B99244_003</t>
  </si>
  <si>
    <t>B99245_002</t>
  </si>
  <si>
    <t>B99245_003</t>
  </si>
  <si>
    <t>B99246_002</t>
  </si>
  <si>
    <t>B99246_003</t>
  </si>
  <si>
    <t>B992510_002</t>
  </si>
  <si>
    <t>B992510_003</t>
  </si>
  <si>
    <t>B992511_002</t>
  </si>
  <si>
    <t>B992511_003</t>
  </si>
  <si>
    <t>B992512_002</t>
  </si>
  <si>
    <t>B992512_003</t>
  </si>
  <si>
    <t>B992513_002</t>
  </si>
  <si>
    <t>B992513_003</t>
  </si>
  <si>
    <t>B992514_002</t>
  </si>
  <si>
    <t>B992514_003</t>
  </si>
  <si>
    <t>B992515_002</t>
  </si>
  <si>
    <t>B992515_003</t>
  </si>
  <si>
    <t>B992516_002</t>
  </si>
  <si>
    <t>B992516_003</t>
  </si>
  <si>
    <t>B992518_002</t>
  </si>
  <si>
    <t>B992518_003</t>
  </si>
  <si>
    <t>B992519_002</t>
  </si>
  <si>
    <t>B992519_003</t>
  </si>
  <si>
    <t>B992520_002</t>
  </si>
  <si>
    <t>B992520_003</t>
  </si>
  <si>
    <t>B992521_002</t>
  </si>
  <si>
    <t>B992521_003</t>
  </si>
  <si>
    <t>B992522_002</t>
  </si>
  <si>
    <t>B992522_003</t>
  </si>
  <si>
    <t>Estimate!!Total:!!Housing units with a mortgage:!!Selected monthly owner costs --!!One or more items allocated</t>
  </si>
  <si>
    <t>B992522_004</t>
  </si>
  <si>
    <t>Estimate!!Total:!!Housing units with a mortgage:!!Selected monthly owner costs --!!No items allocated</t>
  </si>
  <si>
    <t>B992522_005</t>
  </si>
  <si>
    <t>B992522_006</t>
  </si>
  <si>
    <t>Estimate!!Total:!!Housing units without a mortgage:!!Selected monthly owner costs --!!One or more items allocated</t>
  </si>
  <si>
    <t>B992522_007</t>
  </si>
  <si>
    <t>Estimate!!Total:!!Housing units without a mortgage:!!Selected monthly owner costs --!!No items allocated</t>
  </si>
  <si>
    <t>B992523_002</t>
  </si>
  <si>
    <t>Estimate!!Total:!!1 or more items allocated</t>
  </si>
  <si>
    <t>B992523_003</t>
  </si>
  <si>
    <t>B99252_002</t>
  </si>
  <si>
    <t>B99252_003</t>
  </si>
  <si>
    <t>B99253_002</t>
  </si>
  <si>
    <t>B99253_003</t>
  </si>
  <si>
    <t>B99254_002</t>
  </si>
  <si>
    <t>B99254_003</t>
  </si>
  <si>
    <t>B99255_002</t>
  </si>
  <si>
    <t>B99255_003</t>
  </si>
  <si>
    <t>B99256_002</t>
  </si>
  <si>
    <t>B99256_003</t>
  </si>
  <si>
    <t>B99257_002</t>
  </si>
  <si>
    <t>B99257_003</t>
  </si>
  <si>
    <t>B99258_002</t>
  </si>
  <si>
    <t>B99258_003</t>
  </si>
  <si>
    <t>B99259_002</t>
  </si>
  <si>
    <t>B99259_003</t>
  </si>
  <si>
    <t>B992701_002</t>
  </si>
  <si>
    <t>Estimate!!Total:!!One or more health insurance items allocated</t>
  </si>
  <si>
    <t>B992701_003</t>
  </si>
  <si>
    <t>Estimate!!Total:!!No health insurance items allocated</t>
  </si>
  <si>
    <t>B992702_002</t>
  </si>
  <si>
    <t>Estimate!!Total:!!One or more private health insurance items allocated</t>
  </si>
  <si>
    <t>B992702_003</t>
  </si>
  <si>
    <t>Estimate!!Total:!!No private health insurance items allocated</t>
  </si>
  <si>
    <t>B992703_002</t>
  </si>
  <si>
    <t>Estimate!!Total:!!One or more public coverage items allocated</t>
  </si>
  <si>
    <t>B992703_003</t>
  </si>
  <si>
    <t>Estimate!!Total:!!No public coverage items allocated</t>
  </si>
  <si>
    <t>B992704_002</t>
  </si>
  <si>
    <t>B992704_003</t>
  </si>
  <si>
    <t>B992705_002</t>
  </si>
  <si>
    <t>B992705_003</t>
  </si>
  <si>
    <t>B992706_002</t>
  </si>
  <si>
    <t>B992706_003</t>
  </si>
  <si>
    <t>B992707_002</t>
  </si>
  <si>
    <t>B992707_003</t>
  </si>
  <si>
    <t>B992708_002</t>
  </si>
  <si>
    <t>B992708_003</t>
  </si>
  <si>
    <t>B992709_002</t>
  </si>
  <si>
    <t>B992709_003</t>
  </si>
  <si>
    <t>B99281_002</t>
  </si>
  <si>
    <t>B99281_003</t>
  </si>
  <si>
    <t>B99282_002</t>
  </si>
  <si>
    <t>Estimate!!Total:!!Desktop or laptop:!!Allocated</t>
  </si>
  <si>
    <t>B99282_003</t>
  </si>
  <si>
    <t>Estimate!!Total:!!Desktop or laptop:!!Not allocated</t>
  </si>
  <si>
    <t>B99282_004</t>
  </si>
  <si>
    <t>Estimate!!Total:!!Smartphone:!!Allocated</t>
  </si>
  <si>
    <t>B99282_005</t>
  </si>
  <si>
    <t>Estimate!!Total:!!Smartphone:!!Not allocated</t>
  </si>
  <si>
    <t>B99282_006</t>
  </si>
  <si>
    <t>Estimate!!Total:!!Tablet or other portable wireless computer:!!Allocated</t>
  </si>
  <si>
    <t>B99282_007</t>
  </si>
  <si>
    <t>Estimate!!Total:!!Tablet or other portable wireless computer:!!Not allocated</t>
  </si>
  <si>
    <t>B99282_008</t>
  </si>
  <si>
    <t>Estimate!!Total:!!Other computer:!!Allocated</t>
  </si>
  <si>
    <t>B99282_009</t>
  </si>
  <si>
    <t>Estimate!!Total:!!Other computer:!!Not allocated</t>
  </si>
  <si>
    <t>B99283_002</t>
  </si>
  <si>
    <t>Estimate!!Total:!!Allocated:!!Dial-up</t>
  </si>
  <si>
    <t>B99283_003</t>
  </si>
  <si>
    <t>Estimate!!Total:!!Allocated:!!Broadband such as cable, fiberoptic, or DSL, satellite, and other service</t>
  </si>
  <si>
    <t>B99283_004</t>
  </si>
  <si>
    <t>Estimate!!Total:!!Allocated:!!Cellular data plan</t>
  </si>
  <si>
    <t>B99283_005</t>
  </si>
  <si>
    <t>C02003_002</t>
  </si>
  <si>
    <t>Estimate!!Total:!!Population of one race:</t>
  </si>
  <si>
    <t>C02003_003</t>
  </si>
  <si>
    <t>Estimate!!Total:!!Population of one race:!!White alone</t>
  </si>
  <si>
    <t>C02003_004</t>
  </si>
  <si>
    <t>Estimate!!Total:!!Population of one race:!!Black or African American alone</t>
  </si>
  <si>
    <t>C02003_005</t>
  </si>
  <si>
    <t>Estimate!!Total:!!Population of one race:!!American Indian and Alaska Native alone</t>
  </si>
  <si>
    <t>C02003_006</t>
  </si>
  <si>
    <t>Estimate!!Total:!!Population of one race:!!Asian alone</t>
  </si>
  <si>
    <t>C02003_007</t>
  </si>
  <si>
    <t>Estimate!!Total:!!Population of one race:!!Native Hawaiian and Other Pacific Islander alone</t>
  </si>
  <si>
    <t>C02003_008</t>
  </si>
  <si>
    <t>Estimate!!Total:!!Population of one race:!!Some Other Race alone</t>
  </si>
  <si>
    <t>C02003_009</t>
  </si>
  <si>
    <t>Estimate!!Total:!!Population of two or more races:</t>
  </si>
  <si>
    <t>C02003_010</t>
  </si>
  <si>
    <t>Estimate!!Total:!!Population of two or more races:!!Two races including Some Other Race</t>
  </si>
  <si>
    <t>C02003_011</t>
  </si>
  <si>
    <t>Estimate!!Total:!!Population of two or more races:!!Two races excluding Some Other Race, and three or more races</t>
  </si>
  <si>
    <t>C02003_012</t>
  </si>
  <si>
    <t>Estimate!!Total:!!Population of two or more races:!!Population of two races:</t>
  </si>
  <si>
    <t>C02003_013</t>
  </si>
  <si>
    <t>Estimate!!Total:!!Population of two or more races:!!Population of two races:!!White; Black or African American</t>
  </si>
  <si>
    <t>C02003_014</t>
  </si>
  <si>
    <t>Estimate!!Total:!!Population of two or more races:!!Population of two races:!!White; American Indian and Alaska Native</t>
  </si>
  <si>
    <t>C02003_015</t>
  </si>
  <si>
    <t>Estimate!!Total:!!Population of two or more races:!!Population of two races:!!White; Asian</t>
  </si>
  <si>
    <t>C02003_016</t>
  </si>
  <si>
    <t>Estimate!!Total:!!Population of two or more races:!!Population of two races:!!White; Some Other Race</t>
  </si>
  <si>
    <t>C02003_017</t>
  </si>
  <si>
    <t>Estimate!!Total:!!Population of two or more races:!!Population of two races:!!Black or African American; American Indian and Alaska Native</t>
  </si>
  <si>
    <t>C02003_018</t>
  </si>
  <si>
    <t>Estimate!!Total:!!Population of two or more races:!!Population of two races:!!Black or African American; Some Other Race</t>
  </si>
  <si>
    <t>C02003_019</t>
  </si>
  <si>
    <t>Estimate!!Total:!!Population of two or more races:!!Population of two races:!!All other two race combinations</t>
  </si>
  <si>
    <t>C02003_020</t>
  </si>
  <si>
    <t>Estimate!!Total:!!Population of two or more races:!!Population of three races</t>
  </si>
  <si>
    <t>C02003_021</t>
  </si>
  <si>
    <t>Estimate!!Total:!!Population of two or more races:!!Population of four or more races</t>
  </si>
  <si>
    <t>C02015_002</t>
  </si>
  <si>
    <t>Estimate!!Total:!!Asian Indian</t>
  </si>
  <si>
    <t>C02015_003</t>
  </si>
  <si>
    <t>Estimate!!Total:!!Chinese</t>
  </si>
  <si>
    <t>C02015_004</t>
  </si>
  <si>
    <t>Estimate!!Total:!!Filipino</t>
  </si>
  <si>
    <t>C02015_005</t>
  </si>
  <si>
    <t>Estimate!!Total:!!Japanese</t>
  </si>
  <si>
    <t>C02015_006</t>
  </si>
  <si>
    <t>Estimate!!Total:!!Korean</t>
  </si>
  <si>
    <t>C02015_007</t>
  </si>
  <si>
    <t>Estimate!!Total:!!Vietnamese</t>
  </si>
  <si>
    <t>C02015_008</t>
  </si>
  <si>
    <t>Estimate!!Total:!!Other Asian</t>
  </si>
  <si>
    <t>C02016_002</t>
  </si>
  <si>
    <t>Estimate!!Total:!!Chamorro</t>
  </si>
  <si>
    <t>C02016_003</t>
  </si>
  <si>
    <t>Estimate!!Total:!!Native Hawaiian</t>
  </si>
  <si>
    <t>C02016_004</t>
  </si>
  <si>
    <t>Estimate!!Total:!!Samoan</t>
  </si>
  <si>
    <t>C02016_005</t>
  </si>
  <si>
    <t>Estimate!!Total:!!Other Native Hawaiian and Other Pacific Islander</t>
  </si>
  <si>
    <t>C02020_002</t>
  </si>
  <si>
    <t>Estimate!!Total:!!Aztec</t>
  </si>
  <si>
    <t>C02020_003</t>
  </si>
  <si>
    <t>Estimate!!Total:!!Blackfeet Tribe of the Blackfeet Indian Reservation of Montana</t>
  </si>
  <si>
    <t>C02020_004</t>
  </si>
  <si>
    <t>Estimate!!Total:!!Maya</t>
  </si>
  <si>
    <t>C02020_005</t>
  </si>
  <si>
    <t>Estimate!!Total:!!Native Village of Barrow Inupiat Traditional Government</t>
  </si>
  <si>
    <t>C02020_006</t>
  </si>
  <si>
    <t>Estimate!!Total:!!Navajo Nation</t>
  </si>
  <si>
    <t>C02020_007</t>
  </si>
  <si>
    <t>Estimate!!Total:!!Nome Eskimo Community</t>
  </si>
  <si>
    <t>C02020_008</t>
  </si>
  <si>
    <t>Estimate!!Total:!!Other American Indian and Alaska Native</t>
  </si>
  <si>
    <t>C02022_002</t>
  </si>
  <si>
    <t>Estimate!!Total:!!Egyptian</t>
  </si>
  <si>
    <t>C02022_003</t>
  </si>
  <si>
    <t>C02022_004</t>
  </si>
  <si>
    <t>C02022_005</t>
  </si>
  <si>
    <t>C02022_006</t>
  </si>
  <si>
    <t>C02022_007</t>
  </si>
  <si>
    <t>Estimate!!Total:!!Lebanese</t>
  </si>
  <si>
    <t>C02022_008</t>
  </si>
  <si>
    <t>Estimate!!Total:!!Other White</t>
  </si>
  <si>
    <t>C02023_002</t>
  </si>
  <si>
    <t>C02023_003</t>
  </si>
  <si>
    <t>Estimate!!Total:!!Ethiopian</t>
  </si>
  <si>
    <t>C02023_004</t>
  </si>
  <si>
    <t>Estimate!!Total:!!Haitian</t>
  </si>
  <si>
    <t>C02023_005</t>
  </si>
  <si>
    <t>Estimate!!Total:!!Jamaican</t>
  </si>
  <si>
    <t>C02023_006</t>
  </si>
  <si>
    <t>Estimate!!Total:!!Nigerian</t>
  </si>
  <si>
    <t>C02023_007</t>
  </si>
  <si>
    <t>Estimate!!Total:!!Somali</t>
  </si>
  <si>
    <t>C02023_008</t>
  </si>
  <si>
    <t>Estimate!!Total:!!Other Black or African American</t>
  </si>
  <si>
    <t>C15002A_002</t>
  </si>
  <si>
    <t>C15002A_003</t>
  </si>
  <si>
    <t>Estimate!!Total:!!Male:!!Less than high school diploma</t>
  </si>
  <si>
    <t>C15002A_004</t>
  </si>
  <si>
    <t>C15002A_005</t>
  </si>
  <si>
    <t>C15002A_006</t>
  </si>
  <si>
    <t>Estimate!!Total:!!Male:!!Bachelor's degree or higher</t>
  </si>
  <si>
    <t>C15002A_007</t>
  </si>
  <si>
    <t>C15002A_008</t>
  </si>
  <si>
    <t>Estimate!!Total:!!Female:!!Less than high school diploma</t>
  </si>
  <si>
    <t>C15002A_009</t>
  </si>
  <si>
    <t>C15002A_010</t>
  </si>
  <si>
    <t>C15002A_011</t>
  </si>
  <si>
    <t>Estimate!!Total:!!Female:!!Bachelor's degree or higher</t>
  </si>
  <si>
    <t>C15002B_002</t>
  </si>
  <si>
    <t>C15002B_003</t>
  </si>
  <si>
    <t>C15002B_004</t>
  </si>
  <si>
    <t>C15002B_005</t>
  </si>
  <si>
    <t>C15002B_006</t>
  </si>
  <si>
    <t>C15002B_007</t>
  </si>
  <si>
    <t>C15002B_008</t>
  </si>
  <si>
    <t>C15002B_009</t>
  </si>
  <si>
    <t>C15002B_010</t>
  </si>
  <si>
    <t>C15002B_011</t>
  </si>
  <si>
    <t>C15002C_002</t>
  </si>
  <si>
    <t>C15002C_003</t>
  </si>
  <si>
    <t>C15002C_004</t>
  </si>
  <si>
    <t>C15002C_005</t>
  </si>
  <si>
    <t>C15002C_006</t>
  </si>
  <si>
    <t>C15002C_007</t>
  </si>
  <si>
    <t>C15002C_008</t>
  </si>
  <si>
    <t>C15002C_009</t>
  </si>
  <si>
    <t>C15002C_010</t>
  </si>
  <si>
    <t>C15002C_011</t>
  </si>
  <si>
    <t>C15002D_002</t>
  </si>
  <si>
    <t>C15002D_003</t>
  </si>
  <si>
    <t>C15002D_004</t>
  </si>
  <si>
    <t>C15002D_005</t>
  </si>
  <si>
    <t>C15002D_006</t>
  </si>
  <si>
    <t>C15002D_007</t>
  </si>
  <si>
    <t>C15002D_008</t>
  </si>
  <si>
    <t>C15002D_009</t>
  </si>
  <si>
    <t>C15002D_010</t>
  </si>
  <si>
    <t>C15002D_011</t>
  </si>
  <si>
    <t>C15002E_002</t>
  </si>
  <si>
    <t>C15002E_003</t>
  </si>
  <si>
    <t>C15002E_004</t>
  </si>
  <si>
    <t>C15002E_005</t>
  </si>
  <si>
    <t>C15002E_006</t>
  </si>
  <si>
    <t>C15002E_007</t>
  </si>
  <si>
    <t>C15002E_008</t>
  </si>
  <si>
    <t>C15002E_009</t>
  </si>
  <si>
    <t>C15002E_010</t>
  </si>
  <si>
    <t>C15002E_011</t>
  </si>
  <si>
    <t>C15002F_002</t>
  </si>
  <si>
    <t>C15002F_003</t>
  </si>
  <si>
    <t>C15002F_004</t>
  </si>
  <si>
    <t>C15002F_005</t>
  </si>
  <si>
    <t>C15002F_006</t>
  </si>
  <si>
    <t>C15002F_007</t>
  </si>
  <si>
    <t>C15002F_008</t>
  </si>
  <si>
    <t>C15002F_009</t>
  </si>
  <si>
    <t>C15002F_010</t>
  </si>
  <si>
    <t>C15002F_011</t>
  </si>
  <si>
    <t>C15002G_002</t>
  </si>
  <si>
    <t>C15002G_003</t>
  </si>
  <si>
    <t>C15002G_004</t>
  </si>
  <si>
    <t>C15002G_005</t>
  </si>
  <si>
    <t>C15002G_006</t>
  </si>
  <si>
    <t>C15002G_007</t>
  </si>
  <si>
    <t>C15002G_008</t>
  </si>
  <si>
    <t>C15002G_009</t>
  </si>
  <si>
    <t>C15002G_010</t>
  </si>
  <si>
    <t>C15002G_011</t>
  </si>
  <si>
    <t>C15002H_002</t>
  </si>
  <si>
    <t>C15002H_003</t>
  </si>
  <si>
    <t>C15002H_004</t>
  </si>
  <si>
    <t>C15002H_005</t>
  </si>
  <si>
    <t>C15002H_006</t>
  </si>
  <si>
    <t>C15002H_007</t>
  </si>
  <si>
    <t>C15002H_008</t>
  </si>
  <si>
    <t>C15002H_009</t>
  </si>
  <si>
    <t>C15002H_010</t>
  </si>
  <si>
    <t>C15002H_011</t>
  </si>
  <si>
    <t>C15002I_002</t>
  </si>
  <si>
    <t>C15002I_003</t>
  </si>
  <si>
    <t>C15002I_004</t>
  </si>
  <si>
    <t>C15002I_005</t>
  </si>
  <si>
    <t>C15002I_006</t>
  </si>
  <si>
    <t>C15002I_007</t>
  </si>
  <si>
    <t>C15002I_008</t>
  </si>
  <si>
    <t>C15002I_009</t>
  </si>
  <si>
    <t>C15002I_010</t>
  </si>
  <si>
    <t>C15002I_011</t>
  </si>
  <si>
    <t>C15010A_002</t>
  </si>
  <si>
    <t>Estimate!!Total:!!Science and Engineering</t>
  </si>
  <si>
    <t>C15010A_003</t>
  </si>
  <si>
    <t>C15010A_004</t>
  </si>
  <si>
    <t>C15010A_005</t>
  </si>
  <si>
    <t>C15010A_006</t>
  </si>
  <si>
    <t>Estimate!!Total:!!Arts, Humanities, and Other</t>
  </si>
  <si>
    <t>C15010B_002</t>
  </si>
  <si>
    <t>C15010B_003</t>
  </si>
  <si>
    <t>C15010B_004</t>
  </si>
  <si>
    <t>C15010B_005</t>
  </si>
  <si>
    <t>C15010B_006</t>
  </si>
  <si>
    <t>Estimate!!Total:!!Arts, Humanities and Other</t>
  </si>
  <si>
    <t>C15010C_002</t>
  </si>
  <si>
    <t>C15010C_003</t>
  </si>
  <si>
    <t>C15010C_004</t>
  </si>
  <si>
    <t>C15010C_005</t>
  </si>
  <si>
    <t>C15010C_006</t>
  </si>
  <si>
    <t>C15010D_002</t>
  </si>
  <si>
    <t>C15010D_003</t>
  </si>
  <si>
    <t>C15010D_004</t>
  </si>
  <si>
    <t>C15010D_005</t>
  </si>
  <si>
    <t>C15010D_006</t>
  </si>
  <si>
    <t>C15010E_002</t>
  </si>
  <si>
    <t>C15010E_003</t>
  </si>
  <si>
    <t>C15010E_004</t>
  </si>
  <si>
    <t>C15010E_005</t>
  </si>
  <si>
    <t>C15010E_006</t>
  </si>
  <si>
    <t>C15010F_002</t>
  </si>
  <si>
    <t>C15010F_003</t>
  </si>
  <si>
    <t>C15010F_004</t>
  </si>
  <si>
    <t>C15010F_005</t>
  </si>
  <si>
    <t>C15010F_006</t>
  </si>
  <si>
    <t>C15010G_002</t>
  </si>
  <si>
    <t>C15010G_003</t>
  </si>
  <si>
    <t>C15010G_004</t>
  </si>
  <si>
    <t>C15010G_005</t>
  </si>
  <si>
    <t>C15010G_006</t>
  </si>
  <si>
    <t>C15010H_002</t>
  </si>
  <si>
    <t>C15010H_003</t>
  </si>
  <si>
    <t>C15010H_004</t>
  </si>
  <si>
    <t>C15010H_005</t>
  </si>
  <si>
    <t>C15010H_006</t>
  </si>
  <si>
    <t>C15010I_002</t>
  </si>
  <si>
    <t>C15010I_003</t>
  </si>
  <si>
    <t>C15010I_004</t>
  </si>
  <si>
    <t>C15010I_005</t>
  </si>
  <si>
    <t>C15010I_006</t>
  </si>
  <si>
    <t>C15010_002</t>
  </si>
  <si>
    <t>C15010_003</t>
  </si>
  <si>
    <t>C15010_004</t>
  </si>
  <si>
    <t>C15010_005</t>
  </si>
  <si>
    <t>C15010_006</t>
  </si>
  <si>
    <t>C16001_002</t>
  </si>
  <si>
    <t>C16001_003</t>
  </si>
  <si>
    <t>C16001_004</t>
  </si>
  <si>
    <t>C16001_005</t>
  </si>
  <si>
    <t>C16001_006</t>
  </si>
  <si>
    <t>C16001_007</t>
  </si>
  <si>
    <t>Estimate!!Total:!!French, Haitian, or Cajun:!!Speak English "very well"</t>
  </si>
  <si>
    <t>C16001_008</t>
  </si>
  <si>
    <t>Estimate!!Total:!!French, Haitian, or Cajun:!!Speak English less than "very well"</t>
  </si>
  <si>
    <t>C16001_009</t>
  </si>
  <si>
    <t>C16001_010</t>
  </si>
  <si>
    <t>Estimate!!Total:!!German or other West Germanic languages:!!Speak English "very well"</t>
  </si>
  <si>
    <t>C16001_011</t>
  </si>
  <si>
    <t>Estimate!!Total:!!German or other West Germanic languages:!!Speak English less than "very well"</t>
  </si>
  <si>
    <t>C16001_012</t>
  </si>
  <si>
    <t>C16001_013</t>
  </si>
  <si>
    <t>Estimate!!Total:!!Russian, Polish, or other Slavic languages:!!Speak English "very well"</t>
  </si>
  <si>
    <t>C16001_014</t>
  </si>
  <si>
    <t>Estimate!!Total:!!Russian, Polish, or other Slavic languages:!!Speak English less than "very well"</t>
  </si>
  <si>
    <t>C16001_015</t>
  </si>
  <si>
    <t>C16001_016</t>
  </si>
  <si>
    <t>C16001_017</t>
  </si>
  <si>
    <t>C16001_018</t>
  </si>
  <si>
    <t>C16001_019</t>
  </si>
  <si>
    <t>C16001_020</t>
  </si>
  <si>
    <t>C16001_021</t>
  </si>
  <si>
    <t>C16001_022</t>
  </si>
  <si>
    <t>C16001_023</t>
  </si>
  <si>
    <t>C16001_024</t>
  </si>
  <si>
    <t>C16001_025</t>
  </si>
  <si>
    <t>C16001_026</t>
  </si>
  <si>
    <t>C16001_027</t>
  </si>
  <si>
    <t>C16001_028</t>
  </si>
  <si>
    <t>C16001_029</t>
  </si>
  <si>
    <t>C16001_030</t>
  </si>
  <si>
    <t>C16001_031</t>
  </si>
  <si>
    <t>Estimate!!Total:!!Other Asian and Pacific Island languages:!!Speak English "very well"</t>
  </si>
  <si>
    <t>C16001_032</t>
  </si>
  <si>
    <t>Estimate!!Total:!!Other Asian and Pacific Island languages:!!Speak English less than "very well"</t>
  </si>
  <si>
    <t>C16001_033</t>
  </si>
  <si>
    <t>C16001_034</t>
  </si>
  <si>
    <t>C16001_035</t>
  </si>
  <si>
    <t>C16001_036</t>
  </si>
  <si>
    <t>C16001_037</t>
  </si>
  <si>
    <t>C16001_038</t>
  </si>
  <si>
    <t>C16002_002</t>
  </si>
  <si>
    <t>C16002_003</t>
  </si>
  <si>
    <t>C16002_004</t>
  </si>
  <si>
    <t>C16002_005</t>
  </si>
  <si>
    <t>C16002_006</t>
  </si>
  <si>
    <t>C16002_007</t>
  </si>
  <si>
    <t>C16002_008</t>
  </si>
  <si>
    <t>C16002_009</t>
  </si>
  <si>
    <t>Estimate!!Total:!!Asian and Pacific Island languages:</t>
  </si>
  <si>
    <t>C16002_010</t>
  </si>
  <si>
    <t>Estimate!!Total:!!Asian and Pacific Island languages:!!Limited English speaking household</t>
  </si>
  <si>
    <t>C16002_011</t>
  </si>
  <si>
    <t>Estimate!!Total:!!Asian and Pacific Island languages:!!Not a limited English speaking household</t>
  </si>
  <si>
    <t>C16002_012</t>
  </si>
  <si>
    <t>Estimate!!Total:!!Other languages:</t>
  </si>
  <si>
    <t>C16002_013</t>
  </si>
  <si>
    <t>Estimate!!Total:!!Other languages:!!Limited English speaking household</t>
  </si>
  <si>
    <t>C16002_014</t>
  </si>
  <si>
    <t>Estimate!!Total:!!Other languages:!!Not a limited English speaking household</t>
  </si>
  <si>
    <t>C17002_002</t>
  </si>
  <si>
    <t>C17002_003</t>
  </si>
  <si>
    <t>Estimate!!Total:!!.50 to .99</t>
  </si>
  <si>
    <t>C17002_004</t>
  </si>
  <si>
    <t>C17002_005</t>
  </si>
  <si>
    <t>C17002_006</t>
  </si>
  <si>
    <t>Estimate!!Total:!!1.50 to 1.84</t>
  </si>
  <si>
    <t>C17002_007</t>
  </si>
  <si>
    <t>C17002_008</t>
  </si>
  <si>
    <t>Estimate!!Total:!!2.00 and over</t>
  </si>
  <si>
    <t>C18108_002</t>
  </si>
  <si>
    <t>C18108_003</t>
  </si>
  <si>
    <t>Estimate!!Total:!!Under 18 years:!!With one type of disability</t>
  </si>
  <si>
    <t>C18108_004</t>
  </si>
  <si>
    <t>Estimate!!Total:!!Under 18 years:!!With two or more types of disability</t>
  </si>
  <si>
    <t>C18108_005</t>
  </si>
  <si>
    <t>C18108_006</t>
  </si>
  <si>
    <t>C18108_007</t>
  </si>
  <si>
    <t>Estimate!!Total:!!18 to 64 years:!!With one type of disability</t>
  </si>
  <si>
    <t>C18108_008</t>
  </si>
  <si>
    <t>Estimate!!Total:!!18 to 64 years:!!With two or more types of disability</t>
  </si>
  <si>
    <t>C18108_009</t>
  </si>
  <si>
    <t>C18108_010</t>
  </si>
  <si>
    <t>C18108_011</t>
  </si>
  <si>
    <t>Estimate!!Total:!!65 years and over:!!With one type of disability</t>
  </si>
  <si>
    <t>C18108_012</t>
  </si>
  <si>
    <t>Estimate!!Total:!!65 years and over:!!With two or more types of disability</t>
  </si>
  <si>
    <t>C18108_013</t>
  </si>
  <si>
    <t>C18120_002</t>
  </si>
  <si>
    <t>Estimate!!Total:!!In the labor force:</t>
  </si>
  <si>
    <t>C18120_003</t>
  </si>
  <si>
    <t>Estimate!!Total:!!In the labor force:!!Employed:</t>
  </si>
  <si>
    <t>C18120_004</t>
  </si>
  <si>
    <t>Estimate!!Total:!!In the labor force:!!Employed:!!With a disability</t>
  </si>
  <si>
    <t>C18120_005</t>
  </si>
  <si>
    <t>Estimate!!Total:!!In the labor force:!!Employed:!!No disability</t>
  </si>
  <si>
    <t>C18120_006</t>
  </si>
  <si>
    <t>Estimate!!Total:!!In the labor force:!!Unemployed:</t>
  </si>
  <si>
    <t>C18120_007</t>
  </si>
  <si>
    <t>Estimate!!Total:!!In the labor force:!!Unemployed:!!With a disability</t>
  </si>
  <si>
    <t>C18120_008</t>
  </si>
  <si>
    <t>Estimate!!Total:!!In the labor force:!!Unemployed:!!No disability</t>
  </si>
  <si>
    <t>C18120_009</t>
  </si>
  <si>
    <t>C18120_010</t>
  </si>
  <si>
    <t>Estimate!!Total:!!Not in labor force:!!With a disability</t>
  </si>
  <si>
    <t>C18120_011</t>
  </si>
  <si>
    <t>Estimate!!Total:!!Not in labor force:!!No disability</t>
  </si>
  <si>
    <t>C18121_002</t>
  </si>
  <si>
    <t>Estimate!!Total:!!Worked full-time, year round:</t>
  </si>
  <si>
    <t>C18121_003</t>
  </si>
  <si>
    <t>Estimate!!Total:!!Worked full-time, year round:!!With a disability</t>
  </si>
  <si>
    <t>C18121_004</t>
  </si>
  <si>
    <t>Estimate!!Total:!!Worked full-time, year round:!!No disability</t>
  </si>
  <si>
    <t>C18121_005</t>
  </si>
  <si>
    <t>Estimate!!Total:!!Worked less than full-time, year round:</t>
  </si>
  <si>
    <t>C18121_006</t>
  </si>
  <si>
    <t>Estimate!!Total:!!Worked less than full-time, year round:!!With a disability</t>
  </si>
  <si>
    <t>C18121_007</t>
  </si>
  <si>
    <t>Estimate!!Total:!!Worked less than full-time, year round:!!No disability</t>
  </si>
  <si>
    <t>C18121_008</t>
  </si>
  <si>
    <t>Estimate!!Total:!!Did not work:</t>
  </si>
  <si>
    <t>C18121_009</t>
  </si>
  <si>
    <t>Estimate!!Total:!!Did not work:!!With a disability</t>
  </si>
  <si>
    <t>C18121_010</t>
  </si>
  <si>
    <t>Estimate!!Total:!!Did not work:!!No disability</t>
  </si>
  <si>
    <t>C18130_002</t>
  </si>
  <si>
    <t>C18130_003</t>
  </si>
  <si>
    <t>Estimate!!Total:!!Under 18 years:!!With a disability:</t>
  </si>
  <si>
    <t>C18130_004</t>
  </si>
  <si>
    <t>Estimate!!Total:!!Under 18 years:!!With a disability:!!Income in the past 12-months below poverty level</t>
  </si>
  <si>
    <t>C18130_005</t>
  </si>
  <si>
    <t>Estimate!!Total:!!Under 18 years:!!With a disability:!!Income in the past 12-months at or above poverty level</t>
  </si>
  <si>
    <t>C18130_006</t>
  </si>
  <si>
    <t>Estimate!!Total:!!Under 18 years:!!No disability:</t>
  </si>
  <si>
    <t>C18130_007</t>
  </si>
  <si>
    <t>Estimate!!Total:!!Under 18 years:!!No disability:!!Income in the past 12-months below poverty level</t>
  </si>
  <si>
    <t>C18130_008</t>
  </si>
  <si>
    <t>Estimate!!Total:!!Under 18 years:!!No disability:!!Income in the past 12-months at or above poverty level</t>
  </si>
  <si>
    <t>C18130_009</t>
  </si>
  <si>
    <t>C18130_010</t>
  </si>
  <si>
    <t>Estimate!!Total:!!18 to 64 years:!!With a disability:</t>
  </si>
  <si>
    <t>C18130_011</t>
  </si>
  <si>
    <t>Estimate!!Total:!!18 to 64 years:!!With a disability:!!Income in the past 12-months below poverty level</t>
  </si>
  <si>
    <t>C18130_012</t>
  </si>
  <si>
    <t>Estimate!!Total:!!18 to 64 years:!!With a disability:!!Income in the past 12-months at or above poverty level</t>
  </si>
  <si>
    <t>C18130_013</t>
  </si>
  <si>
    <t>Estimate!!Total:!!18 to 64 years:!!No disability:</t>
  </si>
  <si>
    <t>C18130_014</t>
  </si>
  <si>
    <t>Estimate!!Total:!!18 to 64 years:!!No disability:!!Income in the past 12-months below poverty level</t>
  </si>
  <si>
    <t>C18130_015</t>
  </si>
  <si>
    <t>Estimate!!Total:!!18 to 64 years:!!No disability:!!Income in the past 12-months at or above poverty level</t>
  </si>
  <si>
    <t>C18130_016</t>
  </si>
  <si>
    <t>C18130_017</t>
  </si>
  <si>
    <t>C18130_018</t>
  </si>
  <si>
    <t>Estimate!!Total:!!65 years and over:!!With a disability:!!Income in the past 12-months below poverty level</t>
  </si>
  <si>
    <t>C18130_019</t>
  </si>
  <si>
    <t>Estimate!!Total:!!65 years and over:!!With a disability:!!Income in the past 12-months at or above poverty level</t>
  </si>
  <si>
    <t>C18130_020</t>
  </si>
  <si>
    <t>C18130_021</t>
  </si>
  <si>
    <t>Estimate!!Total:!!65 years and over:!!No disability:!!Income in the past 12-months below poverty level</t>
  </si>
  <si>
    <t>C18130_022</t>
  </si>
  <si>
    <t>Estimate!!Total:!!65 years and over:!!No disability:!!Income in the past 12-months at or above poverty level</t>
  </si>
  <si>
    <t>C18131_002</t>
  </si>
  <si>
    <t>Estimate!!Total:!!Under .50:</t>
  </si>
  <si>
    <t>C18131_003</t>
  </si>
  <si>
    <t>Estimate!!Total:!!Under .50:!!With a disability</t>
  </si>
  <si>
    <t>C18131_004</t>
  </si>
  <si>
    <t>Estimate!!Total:!!Under .50:!!No disability</t>
  </si>
  <si>
    <t>C18131_005</t>
  </si>
  <si>
    <t>Estimate!!Total:!!.50 to .99:</t>
  </si>
  <si>
    <t>C18131_006</t>
  </si>
  <si>
    <t>Estimate!!Total:!!.50 to .99:!!With a disability</t>
  </si>
  <si>
    <t>C18131_007</t>
  </si>
  <si>
    <t>Estimate!!Total:!!.50 to .99:!!No disability</t>
  </si>
  <si>
    <t>C18131_008</t>
  </si>
  <si>
    <t>Estimate!!Total:!!1.00 to 1.49:</t>
  </si>
  <si>
    <t>C18131_009</t>
  </si>
  <si>
    <t>Estimate!!Total:!!1.00 to 1.49:!!With a disability</t>
  </si>
  <si>
    <t>C18131_010</t>
  </si>
  <si>
    <t>Estimate!!Total:!!1.00 to 1.49:!!No disability</t>
  </si>
  <si>
    <t>C18131_011</t>
  </si>
  <si>
    <t>Estimate!!Total:!!1.50 to 1.99:</t>
  </si>
  <si>
    <t>C18131_012</t>
  </si>
  <si>
    <t>Estimate!!Total:!!1.50 to 1.99:!!With a disability</t>
  </si>
  <si>
    <t>C18131_013</t>
  </si>
  <si>
    <t>Estimate!!Total:!!1.50 to 1.99:!!No disability</t>
  </si>
  <si>
    <t>C18131_014</t>
  </si>
  <si>
    <t>C18131_015</t>
  </si>
  <si>
    <t>Estimate!!Total:!!2.00 and over:!!With a disability</t>
  </si>
  <si>
    <t>C18131_016</t>
  </si>
  <si>
    <t>Estimate!!Total:!!2.00 and over:!!No disability</t>
  </si>
  <si>
    <t>C21001A_002</t>
  </si>
  <si>
    <t>C21001A_003</t>
  </si>
  <si>
    <t>Estimate!!Total:!!Male:!!18 to 64 years:</t>
  </si>
  <si>
    <t>C21001A_004</t>
  </si>
  <si>
    <t>Estimate!!Total:!!Male:!!18 to 64 years:!!Veteran</t>
  </si>
  <si>
    <t>C21001A_005</t>
  </si>
  <si>
    <t>Estimate!!Total:!!Male:!!18 to 64 years:!!Nonveteran</t>
  </si>
  <si>
    <t>C21001A_006</t>
  </si>
  <si>
    <t>C21001A_007</t>
  </si>
  <si>
    <t>Estimate!!Total:!!Male:!!65 years and over:!!Veteran</t>
  </si>
  <si>
    <t>C21001A_008</t>
  </si>
  <si>
    <t>Estimate!!Total:!!Male:!!65 years and over:!!Nonveteran</t>
  </si>
  <si>
    <t>C21001A_009</t>
  </si>
  <si>
    <t>C21001A_010</t>
  </si>
  <si>
    <t>Estimate!!Total:!!Female:!!18 to 64 years:</t>
  </si>
  <si>
    <t>C21001A_011</t>
  </si>
  <si>
    <t>Estimate!!Total:!!Female:!!18 to 64 years:!!Veteran</t>
  </si>
  <si>
    <t>C21001A_012</t>
  </si>
  <si>
    <t>Estimate!!Total:!!Female:!!18 to 64 years:!!Nonveteran</t>
  </si>
  <si>
    <t>C21001A_013</t>
  </si>
  <si>
    <t>C21001A_014</t>
  </si>
  <si>
    <t>Estimate!!Total:!!Female:!!65 years and over:!!Veteran</t>
  </si>
  <si>
    <t>C21001A_015</t>
  </si>
  <si>
    <t>Estimate!!Total:!!Female:!!65 years and over:!!Nonveteran</t>
  </si>
  <si>
    <t>C21001B_002</t>
  </si>
  <si>
    <t>C21001B_003</t>
  </si>
  <si>
    <t>C21001B_004</t>
  </si>
  <si>
    <t>C21001B_005</t>
  </si>
  <si>
    <t>C21001B_006</t>
  </si>
  <si>
    <t>C21001B_007</t>
  </si>
  <si>
    <t>C21001B_008</t>
  </si>
  <si>
    <t>C21001B_009</t>
  </si>
  <si>
    <t>C21001B_010</t>
  </si>
  <si>
    <t>C21001B_011</t>
  </si>
  <si>
    <t>C21001B_012</t>
  </si>
  <si>
    <t>C21001B_013</t>
  </si>
  <si>
    <t>C21001B_014</t>
  </si>
  <si>
    <t>C21001B_015</t>
  </si>
  <si>
    <t>C21001C_002</t>
  </si>
  <si>
    <t>C21001C_003</t>
  </si>
  <si>
    <t>C21001C_004</t>
  </si>
  <si>
    <t>C21001C_005</t>
  </si>
  <si>
    <t>C21001C_006</t>
  </si>
  <si>
    <t>C21001C_007</t>
  </si>
  <si>
    <t>C21001C_008</t>
  </si>
  <si>
    <t>C21001C_009</t>
  </si>
  <si>
    <t>C21001C_010</t>
  </si>
  <si>
    <t>C21001C_011</t>
  </si>
  <si>
    <t>C21001C_012</t>
  </si>
  <si>
    <t>C21001C_013</t>
  </si>
  <si>
    <t>C21001C_014</t>
  </si>
  <si>
    <t>C21001C_015</t>
  </si>
  <si>
    <t>C21001D_002</t>
  </si>
  <si>
    <t>C21001D_003</t>
  </si>
  <si>
    <t>C21001D_004</t>
  </si>
  <si>
    <t>C21001D_005</t>
  </si>
  <si>
    <t>C21001D_006</t>
  </si>
  <si>
    <t>C21001D_007</t>
  </si>
  <si>
    <t>C21001D_008</t>
  </si>
  <si>
    <t>C21001D_009</t>
  </si>
  <si>
    <t>C21001D_010</t>
  </si>
  <si>
    <t>C21001D_011</t>
  </si>
  <si>
    <t>C21001D_012</t>
  </si>
  <si>
    <t>C21001D_013</t>
  </si>
  <si>
    <t>C21001D_014</t>
  </si>
  <si>
    <t>C21001D_015</t>
  </si>
  <si>
    <t>C21001E_002</t>
  </si>
  <si>
    <t>C21001E_003</t>
  </si>
  <si>
    <t>C21001E_004</t>
  </si>
  <si>
    <t>C21001E_005</t>
  </si>
  <si>
    <t>C21001E_006</t>
  </si>
  <si>
    <t>C21001E_007</t>
  </si>
  <si>
    <t>C21001E_008</t>
  </si>
  <si>
    <t>C21001E_009</t>
  </si>
  <si>
    <t>C21001E_010</t>
  </si>
  <si>
    <t>C21001E_011</t>
  </si>
  <si>
    <t>C21001E_012</t>
  </si>
  <si>
    <t>C21001E_013</t>
  </si>
  <si>
    <t>C21001E_014</t>
  </si>
  <si>
    <t>C21001E_015</t>
  </si>
  <si>
    <t>C21001F_002</t>
  </si>
  <si>
    <t>C21001F_003</t>
  </si>
  <si>
    <t>C21001F_004</t>
  </si>
  <si>
    <t>C21001F_005</t>
  </si>
  <si>
    <t>C21001F_006</t>
  </si>
  <si>
    <t>C21001F_007</t>
  </si>
  <si>
    <t>C21001F_008</t>
  </si>
  <si>
    <t>C21001F_009</t>
  </si>
  <si>
    <t>C21001F_010</t>
  </si>
  <si>
    <t>C21001F_011</t>
  </si>
  <si>
    <t>C21001F_012</t>
  </si>
  <si>
    <t>C21001F_013</t>
  </si>
  <si>
    <t>C21001F_014</t>
  </si>
  <si>
    <t>C21001F_015</t>
  </si>
  <si>
    <t>C21001G_002</t>
  </si>
  <si>
    <t>C21001G_003</t>
  </si>
  <si>
    <t>C21001G_004</t>
  </si>
  <si>
    <t>C21001G_005</t>
  </si>
  <si>
    <t>C21001G_006</t>
  </si>
  <si>
    <t>C21001G_007</t>
  </si>
  <si>
    <t>C21001G_008</t>
  </si>
  <si>
    <t>C21001G_009</t>
  </si>
  <si>
    <t>C21001G_010</t>
  </si>
  <si>
    <t>C21001G_011</t>
  </si>
  <si>
    <t>C21001G_012</t>
  </si>
  <si>
    <t>C21001G_013</t>
  </si>
  <si>
    <t>C21001G_014</t>
  </si>
  <si>
    <t>C21001G_015</t>
  </si>
  <si>
    <t>C21001H_002</t>
  </si>
  <si>
    <t>C21001H_003</t>
  </si>
  <si>
    <t>C21001H_004</t>
  </si>
  <si>
    <t>C21001H_005</t>
  </si>
  <si>
    <t>C21001H_006</t>
  </si>
  <si>
    <t>C21001H_007</t>
  </si>
  <si>
    <t>C21001H_008</t>
  </si>
  <si>
    <t>C21001H_009</t>
  </si>
  <si>
    <t>C21001H_010</t>
  </si>
  <si>
    <t>C21001H_011</t>
  </si>
  <si>
    <t>C21001H_012</t>
  </si>
  <si>
    <t>C21001H_013</t>
  </si>
  <si>
    <t>C21001H_014</t>
  </si>
  <si>
    <t>C21001H_015</t>
  </si>
  <si>
    <t>C21001I_002</t>
  </si>
  <si>
    <t>C21001I_003</t>
  </si>
  <si>
    <t>C21001I_004</t>
  </si>
  <si>
    <t>C21001I_005</t>
  </si>
  <si>
    <t>C21001I_006</t>
  </si>
  <si>
    <t>C21001I_007</t>
  </si>
  <si>
    <t>C21001I_008</t>
  </si>
  <si>
    <t>C21001I_009</t>
  </si>
  <si>
    <t>C21001I_010</t>
  </si>
  <si>
    <t>C21001I_011</t>
  </si>
  <si>
    <t>C21001I_012</t>
  </si>
  <si>
    <t>C21001I_013</t>
  </si>
  <si>
    <t>C21001I_014</t>
  </si>
  <si>
    <t>C21001I_015</t>
  </si>
  <si>
    <t>C21007_002</t>
  </si>
  <si>
    <t>C21007_003</t>
  </si>
  <si>
    <t>Estimate!!Total:!!18 to 64 years:!!Veteran:</t>
  </si>
  <si>
    <t>C21007_004</t>
  </si>
  <si>
    <t>Estimate!!Total:!!18 to 64 years:!!Veteran:!!Income in the past 12 months below poverty level:</t>
  </si>
  <si>
    <t>C21007_005</t>
  </si>
  <si>
    <t>Estimate!!Total:!!18 to 64 years:!!Veteran:!!Income in the past 12 months below poverty level:!!With a disability</t>
  </si>
  <si>
    <t>C21007_006</t>
  </si>
  <si>
    <t>Estimate!!Total:!!18 to 64 years:!!Veteran:!!Income in the past 12 months below poverty level:!!No disability</t>
  </si>
  <si>
    <t>C21007_007</t>
  </si>
  <si>
    <t>Estimate!!Total:!!18 to 64 years:!!Veteran:!!Income in the past 12 months at or above poverty level:</t>
  </si>
  <si>
    <t>C21007_008</t>
  </si>
  <si>
    <t>Estimate!!Total:!!18 to 64 years:!!Veteran:!!Income in the past 12 months at or above poverty level:!!With a disability</t>
  </si>
  <si>
    <t>C21007_009</t>
  </si>
  <si>
    <t>Estimate!!Total:!!18 to 64 years:!!Veteran:!!Income in the past 12 months at or above poverty level:!!No disability</t>
  </si>
  <si>
    <t>C21007_010</t>
  </si>
  <si>
    <t>Estimate!!Total:!!18 to 64 years:!!Nonveteran:</t>
  </si>
  <si>
    <t>C21007_011</t>
  </si>
  <si>
    <t>Estimate!!Total:!!18 to 64 years:!!Nonveteran:!!Income in the past 12 months below poverty level:</t>
  </si>
  <si>
    <t>C21007_012</t>
  </si>
  <si>
    <t>Estimate!!Total:!!18 to 64 years:!!Nonveteran:!!Income in the past 12 months below poverty level:!!With a disability</t>
  </si>
  <si>
    <t>C21007_013</t>
  </si>
  <si>
    <t>Estimate!!Total:!!18 to 64 years:!!Nonveteran:!!Income in the past 12 months below poverty level:!!No disability</t>
  </si>
  <si>
    <t>C21007_014</t>
  </si>
  <si>
    <t>Estimate!!Total:!!18 to 64 years:!!Nonveteran:!!Income in the past 12 months at or above poverty level:</t>
  </si>
  <si>
    <t>C21007_015</t>
  </si>
  <si>
    <t>Estimate!!Total:!!18 to 64 years:!!Nonveteran:!!Income in the past 12 months at or above poverty level:!!With a disability</t>
  </si>
  <si>
    <t>C21007_016</t>
  </si>
  <si>
    <t>Estimate!!Total:!!18 to 64 years:!!Nonveteran:!!Income in the past 12 months at or above poverty level:!!No disability</t>
  </si>
  <si>
    <t>C21007_017</t>
  </si>
  <si>
    <t>C21007_018</t>
  </si>
  <si>
    <t>Estimate!!Total:!!65 years and over:!!Veteran:</t>
  </si>
  <si>
    <t>C21007_019</t>
  </si>
  <si>
    <t>Estimate!!Total:!!65 years and over:!!Veteran:!!Income in the past 12 months below poverty level:</t>
  </si>
  <si>
    <t>C21007_020</t>
  </si>
  <si>
    <t>Estimate!!Total:!!65 years and over:!!Veteran:!!Income in the past 12 months below poverty level:!!With a disability</t>
  </si>
  <si>
    <t>C21007_021</t>
  </si>
  <si>
    <t>Estimate!!Total:!!65 years and over:!!Veteran:!!Income in the past 12 months below poverty level:!!No disability</t>
  </si>
  <si>
    <t>C21007_022</t>
  </si>
  <si>
    <t>Estimate!!Total:!!65 years and over:!!Veteran:!!Income in the past 12 months at or above poverty level:</t>
  </si>
  <si>
    <t>C21007_023</t>
  </si>
  <si>
    <t>Estimate!!Total:!!65 years and over:!!Veteran:!!Income in the past 12 months at or above poverty level:!!With a disability</t>
  </si>
  <si>
    <t>C21007_024</t>
  </si>
  <si>
    <t>Estimate!!Total:!!65 years and over:!!Veteran:!!Income in the past 12 months at or above poverty level:!!No disability</t>
  </si>
  <si>
    <t>C21007_025</t>
  </si>
  <si>
    <t>Estimate!!Total:!!65 years and over:!!Nonveteran:</t>
  </si>
  <si>
    <t>C21007_026</t>
  </si>
  <si>
    <t>Estimate!!Total:!!65 years and over:!!Nonveteran:!!Income in the past 12 months below poverty level:</t>
  </si>
  <si>
    <t>C21007_027</t>
  </si>
  <si>
    <t>Estimate!!Total:!!65 years and over:!!Nonveteran:!!Income in the past 12 months below poverty level:!!With a disability</t>
  </si>
  <si>
    <t>C21007_028</t>
  </si>
  <si>
    <t>Estimate!!Total:!!65 years and over:!!Nonveteran:!!Income in the past 12 months below poverty level:!!No disability</t>
  </si>
  <si>
    <t>C21007_029</t>
  </si>
  <si>
    <t>Estimate!!Total:!!65 years and over:!!Nonveteran:!!Income in the past 12 months at or above poverty level:</t>
  </si>
  <si>
    <t>C21007_030</t>
  </si>
  <si>
    <t>Estimate!!Total:!!65 years and over:!!Nonveteran:!!Income in the past 12 months at or above poverty level:!!With a disability</t>
  </si>
  <si>
    <t>C21007_031</t>
  </si>
  <si>
    <t>Estimate!!Total:!!65 years and over:!!Nonveteran:!!Income in the past 12 months at or above poverty level:!!No disability</t>
  </si>
  <si>
    <t>C23002A_002</t>
  </si>
  <si>
    <t>C23002A_003</t>
  </si>
  <si>
    <t>Estimate!!Total:!!Male:!!16 to 64 years:</t>
  </si>
  <si>
    <t>C23002A_004</t>
  </si>
  <si>
    <t>Estimate!!Total:!!Male:!!16 to 64 years:!!In labor force:</t>
  </si>
  <si>
    <t>C23002A_005</t>
  </si>
  <si>
    <t>Estimate!!Total:!!Male:!!16 to 64 years:!!In labor force:!!In Armed Forces</t>
  </si>
  <si>
    <t>C23002A_006</t>
  </si>
  <si>
    <t>Estimate!!Total:!!Male:!!16 to 64 years:!!In labor force:!!Civilian:</t>
  </si>
  <si>
    <t>C23002A_007</t>
  </si>
  <si>
    <t>Estimate!!Total:!!Male:!!16 to 64 years:!!In labor force:!!Civilian:!!Employed</t>
  </si>
  <si>
    <t>C23002A_008</t>
  </si>
  <si>
    <t>Estimate!!Total:!!Male:!!16 to 64 years:!!In labor force:!!Civilian:!!Unemployed</t>
  </si>
  <si>
    <t>C23002A_009</t>
  </si>
  <si>
    <t>Estimate!!Total:!!Male:!!16 to 64 years:!!Not in labor force</t>
  </si>
  <si>
    <t>C23002A_010</t>
  </si>
  <si>
    <t>C23002A_011</t>
  </si>
  <si>
    <t>Estimate!!Total:!!Male:!!65 years and over:!!In labor force:</t>
  </si>
  <si>
    <t>C23002A_012</t>
  </si>
  <si>
    <t>Estimate!!Total:!!Male:!!65 years and over:!!In labor force:!!Employed</t>
  </si>
  <si>
    <t>C23002A_013</t>
  </si>
  <si>
    <t>Estimate!!Total:!!Male:!!65 years and over:!!In labor force:!!Unemployed</t>
  </si>
  <si>
    <t>C23002A_014</t>
  </si>
  <si>
    <t>Estimate!!Total:!!Male:!!65 years and over:!!Not in labor force</t>
  </si>
  <si>
    <t>C23002A_015</t>
  </si>
  <si>
    <t>C23002A_016</t>
  </si>
  <si>
    <t>Estimate!!Total:!!Female:!!16 to 64 years:</t>
  </si>
  <si>
    <t>C23002A_017</t>
  </si>
  <si>
    <t>Estimate!!Total:!!Female:!!16 to 64 years:!!In labor force:</t>
  </si>
  <si>
    <t>C23002A_018</t>
  </si>
  <si>
    <t>Estimate!!Total:!!Female:!!16 to 64 years:!!In labor force:!!In Armed Forces</t>
  </si>
  <si>
    <t>C23002A_019</t>
  </si>
  <si>
    <t>Estimate!!Total:!!Female:!!16 to 64 years:!!In labor force:!!Civilian:</t>
  </si>
  <si>
    <t>C23002A_020</t>
  </si>
  <si>
    <t>Estimate!!Total:!!Female:!!16 to 64 years:!!In labor force:!!Civilian:!!Employed</t>
  </si>
  <si>
    <t>C23002A_021</t>
  </si>
  <si>
    <t>Estimate!!Total:!!Female:!!16 to 64 years:!!In labor force:!!Civilian:!!Unemployed</t>
  </si>
  <si>
    <t>C23002A_022</t>
  </si>
  <si>
    <t>Estimate!!Total:!!Female:!!16 to 64 years:!!Not in labor force</t>
  </si>
  <si>
    <t>C23002A_023</t>
  </si>
  <si>
    <t>C23002A_024</t>
  </si>
  <si>
    <t>Estimate!!Total:!!Female:!!65 years and over:!!In labor force:</t>
  </si>
  <si>
    <t>C23002A_025</t>
  </si>
  <si>
    <t>Estimate!!Total:!!Female:!!65 years and over:!!In labor force:!!Employed</t>
  </si>
  <si>
    <t>C23002A_026</t>
  </si>
  <si>
    <t>Estimate!!Total:!!Female:!!65 years and over:!!In labor force:!!Unemployed</t>
  </si>
  <si>
    <t>C23002A_027</t>
  </si>
  <si>
    <t>Estimate!!Total:!!Female:!!65 years and over:!!Not in labor force</t>
  </si>
  <si>
    <t>C23002B_002</t>
  </si>
  <si>
    <t>C23002B_003</t>
  </si>
  <si>
    <t>C23002B_004</t>
  </si>
  <si>
    <t>C23002B_005</t>
  </si>
  <si>
    <t>C23002B_006</t>
  </si>
  <si>
    <t>C23002B_007</t>
  </si>
  <si>
    <t>C23002B_008</t>
  </si>
  <si>
    <t>C23002B_009</t>
  </si>
  <si>
    <t>C23002B_010</t>
  </si>
  <si>
    <t>C23002B_011</t>
  </si>
  <si>
    <t>C23002B_012</t>
  </si>
  <si>
    <t>C23002B_013</t>
  </si>
  <si>
    <t>C23002B_014</t>
  </si>
  <si>
    <t>C23002B_015</t>
  </si>
  <si>
    <t>C23002B_016</t>
  </si>
  <si>
    <t>C23002B_017</t>
  </si>
  <si>
    <t>C23002B_018</t>
  </si>
  <si>
    <t>C23002B_019</t>
  </si>
  <si>
    <t>C23002B_020</t>
  </si>
  <si>
    <t>C23002B_021</t>
  </si>
  <si>
    <t>C23002B_022</t>
  </si>
  <si>
    <t>C23002B_023</t>
  </si>
  <si>
    <t>C23002B_024</t>
  </si>
  <si>
    <t>C23002B_025</t>
  </si>
  <si>
    <t>C23002B_026</t>
  </si>
  <si>
    <t>C23002B_027</t>
  </si>
  <si>
    <t>C23002C_002</t>
  </si>
  <si>
    <t>C23002C_003</t>
  </si>
  <si>
    <t>C23002C_004</t>
  </si>
  <si>
    <t>C23002C_005</t>
  </si>
  <si>
    <t>C23002C_006</t>
  </si>
  <si>
    <t>C23002C_007</t>
  </si>
  <si>
    <t>C23002C_008</t>
  </si>
  <si>
    <t>C23002C_009</t>
  </si>
  <si>
    <t>C23002C_010</t>
  </si>
  <si>
    <t>C23002C_011</t>
  </si>
  <si>
    <t>C23002C_012</t>
  </si>
  <si>
    <t>C23002C_013</t>
  </si>
  <si>
    <t>C23002C_014</t>
  </si>
  <si>
    <t>C23002C_015</t>
  </si>
  <si>
    <t>C23002C_016</t>
  </si>
  <si>
    <t>C23002C_017</t>
  </si>
  <si>
    <t>C23002C_018</t>
  </si>
  <si>
    <t>C23002C_019</t>
  </si>
  <si>
    <t>C23002C_020</t>
  </si>
  <si>
    <t>C23002C_021</t>
  </si>
  <si>
    <t>C23002C_022</t>
  </si>
  <si>
    <t>C23002C_023</t>
  </si>
  <si>
    <t>C23002C_024</t>
  </si>
  <si>
    <t>C23002C_025</t>
  </si>
  <si>
    <t>C23002C_026</t>
  </si>
  <si>
    <t>C23002C_027</t>
  </si>
  <si>
    <t>C23002D_002</t>
  </si>
  <si>
    <t>C23002D_003</t>
  </si>
  <si>
    <t>C23002D_004</t>
  </si>
  <si>
    <t>C23002D_005</t>
  </si>
  <si>
    <t>C23002D_006</t>
  </si>
  <si>
    <t>C23002D_007</t>
  </si>
  <si>
    <t>C23002D_008</t>
  </si>
  <si>
    <t>C23002D_009</t>
  </si>
  <si>
    <t>C23002D_010</t>
  </si>
  <si>
    <t>C23002D_011</t>
  </si>
  <si>
    <t>C23002D_012</t>
  </si>
  <si>
    <t>C23002D_013</t>
  </si>
  <si>
    <t>C23002D_014</t>
  </si>
  <si>
    <t>C23002D_015</t>
  </si>
  <si>
    <t>C23002D_016</t>
  </si>
  <si>
    <t>C23002D_017</t>
  </si>
  <si>
    <t>C23002D_018</t>
  </si>
  <si>
    <t>C23002D_019</t>
  </si>
  <si>
    <t>C23002D_020</t>
  </si>
  <si>
    <t>C23002D_021</t>
  </si>
  <si>
    <t>C23002D_022</t>
  </si>
  <si>
    <t>C23002D_023</t>
  </si>
  <si>
    <t>C23002D_024</t>
  </si>
  <si>
    <t>C23002D_025</t>
  </si>
  <si>
    <t>C23002D_026</t>
  </si>
  <si>
    <t>C23002D_027</t>
  </si>
  <si>
    <t>C23002E_002</t>
  </si>
  <si>
    <t>C23002E_003</t>
  </si>
  <si>
    <t>C23002E_004</t>
  </si>
  <si>
    <t>C23002E_005</t>
  </si>
  <si>
    <t>C23002E_006</t>
  </si>
  <si>
    <t>C23002E_007</t>
  </si>
  <si>
    <t>C23002E_008</t>
  </si>
  <si>
    <t>C23002E_009</t>
  </si>
  <si>
    <t>C23002E_010</t>
  </si>
  <si>
    <t>C23002E_011</t>
  </si>
  <si>
    <t>C23002E_012</t>
  </si>
  <si>
    <t>C23002E_013</t>
  </si>
  <si>
    <t>C23002E_014</t>
  </si>
  <si>
    <t>C23002E_015</t>
  </si>
  <si>
    <t>C23002E_016</t>
  </si>
  <si>
    <t>C23002E_017</t>
  </si>
  <si>
    <t>C23002E_018</t>
  </si>
  <si>
    <t>C23002E_019</t>
  </si>
  <si>
    <t>C23002E_020</t>
  </si>
  <si>
    <t>C23002E_021</t>
  </si>
  <si>
    <t>C23002E_022</t>
  </si>
  <si>
    <t>C23002E_023</t>
  </si>
  <si>
    <t>C23002E_024</t>
  </si>
  <si>
    <t>C23002E_025</t>
  </si>
  <si>
    <t>C23002E_026</t>
  </si>
  <si>
    <t>C23002E_027</t>
  </si>
  <si>
    <t>C23002F_002</t>
  </si>
  <si>
    <t>C23002F_003</t>
  </si>
  <si>
    <t>C23002F_004</t>
  </si>
  <si>
    <t>C23002F_005</t>
  </si>
  <si>
    <t>C23002F_006</t>
  </si>
  <si>
    <t>C23002F_007</t>
  </si>
  <si>
    <t>C23002F_008</t>
  </si>
  <si>
    <t>C23002F_009</t>
  </si>
  <si>
    <t>C23002F_010</t>
  </si>
  <si>
    <t>C23002F_011</t>
  </si>
  <si>
    <t>C23002F_012</t>
  </si>
  <si>
    <t>C23002F_013</t>
  </si>
  <si>
    <t>C23002F_014</t>
  </si>
  <si>
    <t>C23002F_015</t>
  </si>
  <si>
    <t>C23002F_016</t>
  </si>
  <si>
    <t>C23002F_017</t>
  </si>
  <si>
    <t>C23002F_018</t>
  </si>
  <si>
    <t>C23002F_019</t>
  </si>
  <si>
    <t>C23002F_020</t>
  </si>
  <si>
    <t>C23002F_021</t>
  </si>
  <si>
    <t>C23002F_022</t>
  </si>
  <si>
    <t>C23002F_023</t>
  </si>
  <si>
    <t>C23002F_024</t>
  </si>
  <si>
    <t>C23002F_025</t>
  </si>
  <si>
    <t>C23002F_026</t>
  </si>
  <si>
    <t>C23002F_027</t>
  </si>
  <si>
    <t>C23002G_002</t>
  </si>
  <si>
    <t>C23002G_003</t>
  </si>
  <si>
    <t>C23002G_004</t>
  </si>
  <si>
    <t>C23002G_005</t>
  </si>
  <si>
    <t>C23002G_006</t>
  </si>
  <si>
    <t>C23002G_007</t>
  </si>
  <si>
    <t>C23002G_008</t>
  </si>
  <si>
    <t>C23002G_009</t>
  </si>
  <si>
    <t>C23002G_010</t>
  </si>
  <si>
    <t>C23002G_011</t>
  </si>
  <si>
    <t>C23002G_012</t>
  </si>
  <si>
    <t>C23002G_013</t>
  </si>
  <si>
    <t>C23002G_014</t>
  </si>
  <si>
    <t>C23002G_015</t>
  </si>
  <si>
    <t>C23002G_016</t>
  </si>
  <si>
    <t>C23002G_017</t>
  </si>
  <si>
    <t>C23002G_018</t>
  </si>
  <si>
    <t>C23002G_019</t>
  </si>
  <si>
    <t>C23002G_020</t>
  </si>
  <si>
    <t>C23002G_021</t>
  </si>
  <si>
    <t>C23002G_022</t>
  </si>
  <si>
    <t>C23002G_023</t>
  </si>
  <si>
    <t>C23002G_024</t>
  </si>
  <si>
    <t>C23002G_025</t>
  </si>
  <si>
    <t>C23002G_026</t>
  </si>
  <si>
    <t>C23002G_027</t>
  </si>
  <si>
    <t>C23002H_002</t>
  </si>
  <si>
    <t>C23002H_003</t>
  </si>
  <si>
    <t>C23002H_004</t>
  </si>
  <si>
    <t>C23002H_005</t>
  </si>
  <si>
    <t>C23002H_006</t>
  </si>
  <si>
    <t>C23002H_007</t>
  </si>
  <si>
    <t>C23002H_008</t>
  </si>
  <si>
    <t>C23002H_009</t>
  </si>
  <si>
    <t>C23002H_010</t>
  </si>
  <si>
    <t>C23002H_011</t>
  </si>
  <si>
    <t>C23002H_012</t>
  </si>
  <si>
    <t>C23002H_013</t>
  </si>
  <si>
    <t>C23002H_014</t>
  </si>
  <si>
    <t>C23002H_015</t>
  </si>
  <si>
    <t>C23002H_016</t>
  </si>
  <si>
    <t>C23002H_017</t>
  </si>
  <si>
    <t>C23002H_018</t>
  </si>
  <si>
    <t>C23002H_019</t>
  </si>
  <si>
    <t>C23002H_020</t>
  </si>
  <si>
    <t>C23002H_021</t>
  </si>
  <si>
    <t>C23002H_022</t>
  </si>
  <si>
    <t>C23002H_023</t>
  </si>
  <si>
    <t>C23002H_024</t>
  </si>
  <si>
    <t>C23002H_025</t>
  </si>
  <si>
    <t>C23002H_026</t>
  </si>
  <si>
    <t>C23002H_027</t>
  </si>
  <si>
    <t>C23002I_002</t>
  </si>
  <si>
    <t>C23002I_003</t>
  </si>
  <si>
    <t>C23002I_004</t>
  </si>
  <si>
    <t>C23002I_005</t>
  </si>
  <si>
    <t>C23002I_006</t>
  </si>
  <si>
    <t>C23002I_007</t>
  </si>
  <si>
    <t>C23002I_008</t>
  </si>
  <si>
    <t>C23002I_009</t>
  </si>
  <si>
    <t>C23002I_010</t>
  </si>
  <si>
    <t>C23002I_011</t>
  </si>
  <si>
    <t>C23002I_012</t>
  </si>
  <si>
    <t>C23002I_013</t>
  </si>
  <si>
    <t>C23002I_014</t>
  </si>
  <si>
    <t>C23002I_015</t>
  </si>
  <si>
    <t>C23002I_016</t>
  </si>
  <si>
    <t>C23002I_017</t>
  </si>
  <si>
    <t>C23002I_018</t>
  </si>
  <si>
    <t>C23002I_019</t>
  </si>
  <si>
    <t>C23002I_020</t>
  </si>
  <si>
    <t>C23002I_021</t>
  </si>
  <si>
    <t>C23002I_022</t>
  </si>
  <si>
    <t>C23002I_023</t>
  </si>
  <si>
    <t>C23002I_024</t>
  </si>
  <si>
    <t>C23002I_025</t>
  </si>
  <si>
    <t>C23002I_026</t>
  </si>
  <si>
    <t>C23002I_027</t>
  </si>
  <si>
    <t>C24010A_002</t>
  </si>
  <si>
    <t>C24010A_003</t>
  </si>
  <si>
    <t>Estimate!!Total:!!Male:!!Management, business, science, and arts occupations</t>
  </si>
  <si>
    <t>C24010A_004</t>
  </si>
  <si>
    <t>Estimate!!Total:!!Male:!!Service occupations</t>
  </si>
  <si>
    <t>C24010A_005</t>
  </si>
  <si>
    <t>Estimate!!Total:!!Male:!!Sales and office occupations</t>
  </si>
  <si>
    <t>C24010A_006</t>
  </si>
  <si>
    <t>Estimate!!Total:!!Male:!!Natural resources, construction, and maintenance occupations</t>
  </si>
  <si>
    <t>C24010A_007</t>
  </si>
  <si>
    <t>Estimate!!Total:!!Male:!!Production, transportation, and material moving occupations</t>
  </si>
  <si>
    <t>C24010A_008</t>
  </si>
  <si>
    <t>C24010A_009</t>
  </si>
  <si>
    <t>Estimate!!Total:!!Female:!!Management, business, science, and arts occupations</t>
  </si>
  <si>
    <t>C24010A_010</t>
  </si>
  <si>
    <t>Estimate!!Total:!!Female:!!Service occupations</t>
  </si>
  <si>
    <t>C24010A_011</t>
  </si>
  <si>
    <t>Estimate!!Total:!!Female:!!Sales and office occupations</t>
  </si>
  <si>
    <t>C24010A_012</t>
  </si>
  <si>
    <t>Estimate!!Total:!!Female:!!Natural resources, construction, and maintenance occupations</t>
  </si>
  <si>
    <t>C24010A_013</t>
  </si>
  <si>
    <t>Estimate!!Total:!!Female:!!Production, transportation, and material moving occupations</t>
  </si>
  <si>
    <t>C24010B_002</t>
  </si>
  <si>
    <t>C24010B_003</t>
  </si>
  <si>
    <t>C24010B_004</t>
  </si>
  <si>
    <t>C24010B_005</t>
  </si>
  <si>
    <t>C24010B_006</t>
  </si>
  <si>
    <t>C24010B_007</t>
  </si>
  <si>
    <t>C24010B_008</t>
  </si>
  <si>
    <t>C24010B_009</t>
  </si>
  <si>
    <t>C24010B_010</t>
  </si>
  <si>
    <t>C24010B_011</t>
  </si>
  <si>
    <t>C24010B_012</t>
  </si>
  <si>
    <t>C24010B_013</t>
  </si>
  <si>
    <t>C24010C_002</t>
  </si>
  <si>
    <t>C24010C_003</t>
  </si>
  <si>
    <t>C24010C_004</t>
  </si>
  <si>
    <t>C24010C_005</t>
  </si>
  <si>
    <t>C24010C_006</t>
  </si>
  <si>
    <t>C24010C_007</t>
  </si>
  <si>
    <t>C24010C_008</t>
  </si>
  <si>
    <t>C24010C_009</t>
  </si>
  <si>
    <t>C24010C_010</t>
  </si>
  <si>
    <t>C24010C_011</t>
  </si>
  <si>
    <t>C24010C_012</t>
  </si>
  <si>
    <t>C24010C_013</t>
  </si>
  <si>
    <t>C24010D_002</t>
  </si>
  <si>
    <t>C24010D_003</t>
  </si>
  <si>
    <t>C24010D_004</t>
  </si>
  <si>
    <t>C24010D_005</t>
  </si>
  <si>
    <t>C24010D_006</t>
  </si>
  <si>
    <t>C24010D_007</t>
  </si>
  <si>
    <t>C24010D_008</t>
  </si>
  <si>
    <t>C24010D_009</t>
  </si>
  <si>
    <t>C24010D_010</t>
  </si>
  <si>
    <t>C24010D_011</t>
  </si>
  <si>
    <t>C24010D_012</t>
  </si>
  <si>
    <t>C24010D_013</t>
  </si>
  <si>
    <t>C24010E_002</t>
  </si>
  <si>
    <t>C24010E_003</t>
  </si>
  <si>
    <t>C24010E_004</t>
  </si>
  <si>
    <t>C24010E_005</t>
  </si>
  <si>
    <t>C24010E_006</t>
  </si>
  <si>
    <t>C24010E_007</t>
  </si>
  <si>
    <t>C24010E_008</t>
  </si>
  <si>
    <t>C24010E_009</t>
  </si>
  <si>
    <t>C24010E_010</t>
  </si>
  <si>
    <t>C24010E_011</t>
  </si>
  <si>
    <t>C24010E_012</t>
  </si>
  <si>
    <t>C24010E_013</t>
  </si>
  <si>
    <t>C24010F_002</t>
  </si>
  <si>
    <t>C24010F_003</t>
  </si>
  <si>
    <t>C24010F_004</t>
  </si>
  <si>
    <t>C24010F_005</t>
  </si>
  <si>
    <t>C24010F_006</t>
  </si>
  <si>
    <t>C24010F_007</t>
  </si>
  <si>
    <t>C24010F_008</t>
  </si>
  <si>
    <t>C24010F_009</t>
  </si>
  <si>
    <t>C24010F_010</t>
  </si>
  <si>
    <t>C24010F_011</t>
  </si>
  <si>
    <t>C24010F_012</t>
  </si>
  <si>
    <t>C24010F_013</t>
  </si>
  <si>
    <t>C24010G_002</t>
  </si>
  <si>
    <t>C24010G_003</t>
  </si>
  <si>
    <t>C24010G_004</t>
  </si>
  <si>
    <t>C24010G_005</t>
  </si>
  <si>
    <t>C24010G_006</t>
  </si>
  <si>
    <t>C24010G_007</t>
  </si>
  <si>
    <t>C24010G_008</t>
  </si>
  <si>
    <t>C24010G_009</t>
  </si>
  <si>
    <t>C24010G_010</t>
  </si>
  <si>
    <t>C24010G_011</t>
  </si>
  <si>
    <t>C24010G_012</t>
  </si>
  <si>
    <t>C24010G_013</t>
  </si>
  <si>
    <t>C24010H_002</t>
  </si>
  <si>
    <t>C24010H_003</t>
  </si>
  <si>
    <t>C24010H_004</t>
  </si>
  <si>
    <t>C24010H_005</t>
  </si>
  <si>
    <t>C24010H_006</t>
  </si>
  <si>
    <t>C24010H_007</t>
  </si>
  <si>
    <t>C24010H_008</t>
  </si>
  <si>
    <t>C24010H_009</t>
  </si>
  <si>
    <t>C24010H_010</t>
  </si>
  <si>
    <t>C24010H_011</t>
  </si>
  <si>
    <t>C24010H_012</t>
  </si>
  <si>
    <t>C24010H_013</t>
  </si>
  <si>
    <t>C24010I_002</t>
  </si>
  <si>
    <t>C24010I_003</t>
  </si>
  <si>
    <t>C24010I_004</t>
  </si>
  <si>
    <t>C24010I_005</t>
  </si>
  <si>
    <t>C24010I_006</t>
  </si>
  <si>
    <t>C24010I_007</t>
  </si>
  <si>
    <t>C24010I_008</t>
  </si>
  <si>
    <t>C24010I_009</t>
  </si>
  <si>
    <t>C24010I_010</t>
  </si>
  <si>
    <t>C24010I_011</t>
  </si>
  <si>
    <t>C24010I_012</t>
  </si>
  <si>
    <t>C24010I_013</t>
  </si>
  <si>
    <t>C24010_002</t>
  </si>
  <si>
    <t>C24010_003</t>
  </si>
  <si>
    <t>C24010_004</t>
  </si>
  <si>
    <t>C24010_005</t>
  </si>
  <si>
    <t>C24010_006</t>
  </si>
  <si>
    <t>C24010_007</t>
  </si>
  <si>
    <t>C24010_008</t>
  </si>
  <si>
    <t>C24010_009</t>
  </si>
  <si>
    <t>C24010_010</t>
  </si>
  <si>
    <t>C24010_011</t>
  </si>
  <si>
    <t>C24010_012</t>
  </si>
  <si>
    <t>C24010_013</t>
  </si>
  <si>
    <t>C24010_014</t>
  </si>
  <si>
    <t>C24010_015</t>
  </si>
  <si>
    <t>C24010_016</t>
  </si>
  <si>
    <t>C24010_017</t>
  </si>
  <si>
    <t>C24010_018</t>
  </si>
  <si>
    <t>C24010_019</t>
  </si>
  <si>
    <t>C24010_020</t>
  </si>
  <si>
    <t>C24010_021</t>
  </si>
  <si>
    <t>C24010_022</t>
  </si>
  <si>
    <t>C24010_023</t>
  </si>
  <si>
    <t>C24010_024</t>
  </si>
  <si>
    <t>C24010_025</t>
  </si>
  <si>
    <t>C24010_026</t>
  </si>
  <si>
    <t>C24010_027</t>
  </si>
  <si>
    <t>C24010_028</t>
  </si>
  <si>
    <t>C24010_029</t>
  </si>
  <si>
    <t>C24010_030</t>
  </si>
  <si>
    <t>C24010_031</t>
  </si>
  <si>
    <t>C24010_032</t>
  </si>
  <si>
    <t>C24010_033</t>
  </si>
  <si>
    <t>C24010_034</t>
  </si>
  <si>
    <t>C24010_035</t>
  </si>
  <si>
    <t>C24010_036</t>
  </si>
  <si>
    <t>C24010_037</t>
  </si>
  <si>
    <t>C24010_038</t>
  </si>
  <si>
    <t>C24010_039</t>
  </si>
  <si>
    <t>C24010_040</t>
  </si>
  <si>
    <t>C24010_041</t>
  </si>
  <si>
    <t>C24010_042</t>
  </si>
  <si>
    <t>C24010_043</t>
  </si>
  <si>
    <t>C24010_044</t>
  </si>
  <si>
    <t>C24010_045</t>
  </si>
  <si>
    <t>C24010_046</t>
  </si>
  <si>
    <t>C24010_047</t>
  </si>
  <si>
    <t>C24010_048</t>
  </si>
  <si>
    <t>C24010_049</t>
  </si>
  <si>
    <t>C24010_050</t>
  </si>
  <si>
    <t>C24010_051</t>
  </si>
  <si>
    <t>C24010_052</t>
  </si>
  <si>
    <t>C24010_053</t>
  </si>
  <si>
    <t>C24010_054</t>
  </si>
  <si>
    <t>C24010_055</t>
  </si>
  <si>
    <t>C24010_056</t>
  </si>
  <si>
    <t>C24010_057</t>
  </si>
  <si>
    <t>C24010_058</t>
  </si>
  <si>
    <t>C24010_059</t>
  </si>
  <si>
    <t>C24010_060</t>
  </si>
  <si>
    <t>C24010_061</t>
  </si>
  <si>
    <t>C24010_062</t>
  </si>
  <si>
    <t>C24010_063</t>
  </si>
  <si>
    <t>C24010_064</t>
  </si>
  <si>
    <t>C24010_065</t>
  </si>
  <si>
    <t>C24010_066</t>
  </si>
  <si>
    <t>C24010_067</t>
  </si>
  <si>
    <t>C24010_068</t>
  </si>
  <si>
    <t>C24010_069</t>
  </si>
  <si>
    <t>C24010_070</t>
  </si>
  <si>
    <t>C24010_071</t>
  </si>
  <si>
    <t>C24010_072</t>
  </si>
  <si>
    <t>C24010_073</t>
  </si>
  <si>
    <t>C24020_002</t>
  </si>
  <si>
    <t>C24020_003</t>
  </si>
  <si>
    <t>C24020_004</t>
  </si>
  <si>
    <t>C24020_005</t>
  </si>
  <si>
    <t>C24020_006</t>
  </si>
  <si>
    <t>C24020_007</t>
  </si>
  <si>
    <t>C24020_008</t>
  </si>
  <si>
    <t>C24020_009</t>
  </si>
  <si>
    <t>C24020_010</t>
  </si>
  <si>
    <t>C24020_011</t>
  </si>
  <si>
    <t>C24020_012</t>
  </si>
  <si>
    <t>C24020_013</t>
  </si>
  <si>
    <t>C24020_014</t>
  </si>
  <si>
    <t>C24020_015</t>
  </si>
  <si>
    <t>C24020_016</t>
  </si>
  <si>
    <t>C24020_017</t>
  </si>
  <si>
    <t>C24020_018</t>
  </si>
  <si>
    <t>C24020_019</t>
  </si>
  <si>
    <t>C24020_020</t>
  </si>
  <si>
    <t>C24020_021</t>
  </si>
  <si>
    <t>C24020_022</t>
  </si>
  <si>
    <t>C24020_023</t>
  </si>
  <si>
    <t>C24020_024</t>
  </si>
  <si>
    <t>C24020_025</t>
  </si>
  <si>
    <t>C24020_026</t>
  </si>
  <si>
    <t>C24020_027</t>
  </si>
  <si>
    <t>C24020_028</t>
  </si>
  <si>
    <t>C24020_029</t>
  </si>
  <si>
    <t>C24020_030</t>
  </si>
  <si>
    <t>C24020_031</t>
  </si>
  <si>
    <t>C24020_032</t>
  </si>
  <si>
    <t>C24020_033</t>
  </si>
  <si>
    <t>C24020_034</t>
  </si>
  <si>
    <t>C24020_035</t>
  </si>
  <si>
    <t>C24020_036</t>
  </si>
  <si>
    <t>C24020_037</t>
  </si>
  <si>
    <t>C24020_038</t>
  </si>
  <si>
    <t>C24020_039</t>
  </si>
  <si>
    <t>C24020_040</t>
  </si>
  <si>
    <t>C24020_041</t>
  </si>
  <si>
    <t>C24020_042</t>
  </si>
  <si>
    <t>C24020_043</t>
  </si>
  <si>
    <t>C24020_044</t>
  </si>
  <si>
    <t>C24020_045</t>
  </si>
  <si>
    <t>C24020_046</t>
  </si>
  <si>
    <t>C24020_047</t>
  </si>
  <si>
    <t>C24020_048</t>
  </si>
  <si>
    <t>C24020_049</t>
  </si>
  <si>
    <t>C24020_050</t>
  </si>
  <si>
    <t>C24020_051</t>
  </si>
  <si>
    <t>C24020_052</t>
  </si>
  <si>
    <t>C24020_053</t>
  </si>
  <si>
    <t>C24020_054</t>
  </si>
  <si>
    <t>C24020_055</t>
  </si>
  <si>
    <t>C24020_056</t>
  </si>
  <si>
    <t>C24020_057</t>
  </si>
  <si>
    <t>C24020_058</t>
  </si>
  <si>
    <t>C24020_059</t>
  </si>
  <si>
    <t>C24020_060</t>
  </si>
  <si>
    <t>C24020_061</t>
  </si>
  <si>
    <t>C24020_062</t>
  </si>
  <si>
    <t>C24020_063</t>
  </si>
  <si>
    <t>C24020_064</t>
  </si>
  <si>
    <t>C24020_065</t>
  </si>
  <si>
    <t>C24020_066</t>
  </si>
  <si>
    <t>C24020_067</t>
  </si>
  <si>
    <t>C24020_068</t>
  </si>
  <si>
    <t>C24020_069</t>
  </si>
  <si>
    <t>C24020_070</t>
  </si>
  <si>
    <t>C24020_071</t>
  </si>
  <si>
    <t>C24020_072</t>
  </si>
  <si>
    <t>C24020_073</t>
  </si>
  <si>
    <t>C24030_002</t>
  </si>
  <si>
    <t>C24030_003</t>
  </si>
  <si>
    <t>Estimate!!Total:!!Male:!!Agriculture, forestry, fishing and hunting, and mining:</t>
  </si>
  <si>
    <t>C24030_004</t>
  </si>
  <si>
    <t>Estimate!!Total:!!Male:!!Agriculture, forestry, fishing and hunting, and mining:!!Agriculture, forestry, fishing and hunting</t>
  </si>
  <si>
    <t>C24030_005</t>
  </si>
  <si>
    <t>Estimate!!Total:!!Male:!!Agriculture, forestry, fishing and hunting, and mining:!!Mining, quarrying, and oil and gas extraction</t>
  </si>
  <si>
    <t>C24030_006</t>
  </si>
  <si>
    <t>Estimate!!Total:!!Male:!!Construction</t>
  </si>
  <si>
    <t>C24030_007</t>
  </si>
  <si>
    <t>Estimate!!Total:!!Male:!!Manufacturing</t>
  </si>
  <si>
    <t>C24030_008</t>
  </si>
  <si>
    <t>Estimate!!Total:!!Male:!!Wholesale trade</t>
  </si>
  <si>
    <t>C24030_009</t>
  </si>
  <si>
    <t>Estimate!!Total:!!Male:!!Retail trade</t>
  </si>
  <si>
    <t>C24030_010</t>
  </si>
  <si>
    <t>Estimate!!Total:!!Male:!!Transportation and warehousing, and utilities:</t>
  </si>
  <si>
    <t>C24030_011</t>
  </si>
  <si>
    <t>Estimate!!Total:!!Male:!!Transportation and warehousing, and utilities:!!Transportation and warehousing</t>
  </si>
  <si>
    <t>C24030_012</t>
  </si>
  <si>
    <t>Estimate!!Total:!!Male:!!Transportation and warehousing, and utilities:!!Utilities</t>
  </si>
  <si>
    <t>C24030_013</t>
  </si>
  <si>
    <t>Estimate!!Total:!!Male:!!Information</t>
  </si>
  <si>
    <t>C24030_014</t>
  </si>
  <si>
    <t>Estimate!!Total:!!Male:!!Finance and insurance, and real estate, and rental and leasing:</t>
  </si>
  <si>
    <t>C24030_015</t>
  </si>
  <si>
    <t>Estimate!!Total:!!Male:!!Finance and insurance, and real estate, and rental and leasing:!!Finance and insurance</t>
  </si>
  <si>
    <t>C24030_016</t>
  </si>
  <si>
    <t>Estimate!!Total:!!Male:!!Finance and insurance, and real estate, and rental and leasing:!!Real estate and rental and leasing</t>
  </si>
  <si>
    <t>C24030_017</t>
  </si>
  <si>
    <t>Estimate!!Total:!!Male:!!Professional, scientific, and management, and administrative, and waste management services:</t>
  </si>
  <si>
    <t>C24030_018</t>
  </si>
  <si>
    <t>Estimate!!Total:!!Male:!!Professional, scientific, and management, and administrative, and waste management services:!!Professional, scientific, and technical services</t>
  </si>
  <si>
    <t>C24030_019</t>
  </si>
  <si>
    <t>Estimate!!Total:!!Male:!!Professional, scientific, and management, and administrative, and waste management services:!!Management of companies and enterprises</t>
  </si>
  <si>
    <t>C24030_020</t>
  </si>
  <si>
    <t>Estimate!!Total:!!Male:!!Professional, scientific, and management, and administrative, and waste management services:!!Administrative and support and waste management services</t>
  </si>
  <si>
    <t>C24030_021</t>
  </si>
  <si>
    <t>Estimate!!Total:!!Male:!!Educational services, and health care and social assistance:</t>
  </si>
  <si>
    <t>C24030_022</t>
  </si>
  <si>
    <t>Estimate!!Total:!!Male:!!Educational services, and health care and social assistance:!!Educational services</t>
  </si>
  <si>
    <t>C24030_023</t>
  </si>
  <si>
    <t>Estimate!!Total:!!Male:!!Educational services, and health care and social assistance:!!Health care and social assistance</t>
  </si>
  <si>
    <t>C24030_024</t>
  </si>
  <si>
    <t>Estimate!!Total:!!Male:!!Arts, entertainment, and recreation, and accommodation and food services:</t>
  </si>
  <si>
    <t>C24030_025</t>
  </si>
  <si>
    <t>Estimate!!Total:!!Male:!!Arts, entertainment, and recreation, and accommodation and food services:!!Arts, entertainment, and recreation</t>
  </si>
  <si>
    <t>C24030_026</t>
  </si>
  <si>
    <t>Estimate!!Total:!!Male:!!Arts, entertainment, and recreation, and accommodation and food services:!!Accommodation and food services</t>
  </si>
  <si>
    <t>C24030_027</t>
  </si>
  <si>
    <t>Estimate!!Total:!!Male:!!Other services, except public administration</t>
  </si>
  <si>
    <t>C24030_028</t>
  </si>
  <si>
    <t>Estimate!!Total:!!Male:!!Public administration</t>
  </si>
  <si>
    <t>C24030_029</t>
  </si>
  <si>
    <t>C24030_030</t>
  </si>
  <si>
    <t>Estimate!!Total:!!Female:!!Agriculture, forestry, fishing and hunting, and mining:</t>
  </si>
  <si>
    <t>C24030_031</t>
  </si>
  <si>
    <t>Estimate!!Total:!!Female:!!Agriculture, forestry, fishing and hunting, and mining:!!Agriculture, forestry, fishing and hunting</t>
  </si>
  <si>
    <t>C24030_032</t>
  </si>
  <si>
    <t>Estimate!!Total:!!Female:!!Agriculture, forestry, fishing and hunting, and mining:!!Mining, quarrying, and oil and gas extraction</t>
  </si>
  <si>
    <t>C24030_033</t>
  </si>
  <si>
    <t>Estimate!!Total:!!Female:!!Construction</t>
  </si>
  <si>
    <t>C24030_034</t>
  </si>
  <si>
    <t>Estimate!!Total:!!Female:!!Manufacturing</t>
  </si>
  <si>
    <t>C24030_035</t>
  </si>
  <si>
    <t>Estimate!!Total:!!Female:!!Wholesale trade</t>
  </si>
  <si>
    <t>C24030_036</t>
  </si>
  <si>
    <t>Estimate!!Total:!!Female:!!Retail trade</t>
  </si>
  <si>
    <t>C24030_037</t>
  </si>
  <si>
    <t>Estimate!!Total:!!Female:!!Transportation and warehousing, and utilities:</t>
  </si>
  <si>
    <t>C24030_038</t>
  </si>
  <si>
    <t>Estimate!!Total:!!Female:!!Transportation and warehousing, and utilities:!!Transportation and warehousing</t>
  </si>
  <si>
    <t>C24030_039</t>
  </si>
  <si>
    <t>Estimate!!Total:!!Female:!!Transportation and warehousing, and utilities:!!Utilities</t>
  </si>
  <si>
    <t>C24030_040</t>
  </si>
  <si>
    <t>Estimate!!Total:!!Female:!!Information</t>
  </si>
  <si>
    <t>C24030_041</t>
  </si>
  <si>
    <t>Estimate!!Total:!!Female:!!Finance and insurance, and real estate, and rental and leasing:</t>
  </si>
  <si>
    <t>C24030_042</t>
  </si>
  <si>
    <t>Estimate!!Total:!!Female:!!Finance and insurance, and real estate, and rental and leasing:!!Finance and insurance</t>
  </si>
  <si>
    <t>C24030_043</t>
  </si>
  <si>
    <t>Estimate!!Total:!!Female:!!Finance and insurance, and real estate, and rental and leasing:!!Real estate and rental and leasing</t>
  </si>
  <si>
    <t>C24030_044</t>
  </si>
  <si>
    <t>Estimate!!Total:!!Female:!!Professional, scientific, and management, and administrative, and waste management services:</t>
  </si>
  <si>
    <t>C24030_045</t>
  </si>
  <si>
    <t>Estimate!!Total:!!Female:!!Professional, scientific, and management, and administrative, and waste management services:!!Professional, scientific, and technical services</t>
  </si>
  <si>
    <t>C24030_046</t>
  </si>
  <si>
    <t>Estimate!!Total:!!Female:!!Professional, scientific, and management, and administrative, and waste management services:!!Management of companies and enterprises</t>
  </si>
  <si>
    <t>C24030_047</t>
  </si>
  <si>
    <t>Estimate!!Total:!!Female:!!Professional, scientific, and management, and administrative, and waste management services:!!Administrative and support and waste management services</t>
  </si>
  <si>
    <t>C24030_048</t>
  </si>
  <si>
    <t>Estimate!!Total:!!Female:!!Educational services, and health care and social assistance:</t>
  </si>
  <si>
    <t>C24030_049</t>
  </si>
  <si>
    <t>Estimate!!Total:!!Female:!!Educational services, and health care and social assistance:!!Educational services</t>
  </si>
  <si>
    <t>C24030_050</t>
  </si>
  <si>
    <t>Estimate!!Total:!!Female:!!Educational services, and health care and social assistance:!!Health care and social assistance</t>
  </si>
  <si>
    <t>C24030_051</t>
  </si>
  <si>
    <t>Estimate!!Total:!!Female:!!Arts, entertainment, and recreation, and accommodation and food services:</t>
  </si>
  <si>
    <t>C24030_052</t>
  </si>
  <si>
    <t>Estimate!!Total:!!Female:!!Arts, entertainment, and recreation, and accommodation and food services:!!Arts, entertainment, and recreation</t>
  </si>
  <si>
    <t>C24030_053</t>
  </si>
  <si>
    <t>Estimate!!Total:!!Female:!!Arts, entertainment, and recreation, and accommodation and food services:!!Accommodation and food services</t>
  </si>
  <si>
    <t>C24030_054</t>
  </si>
  <si>
    <t>Estimate!!Total:!!Female:!!Other services, except public administration</t>
  </si>
  <si>
    <t>C24030_055</t>
  </si>
  <si>
    <t>Estimate!!Total:!!Female:!!Public administration</t>
  </si>
  <si>
    <t>C24040_002</t>
  </si>
  <si>
    <t>C24040_003</t>
  </si>
  <si>
    <t>C24040_004</t>
  </si>
  <si>
    <t>C24040_005</t>
  </si>
  <si>
    <t>C24040_006</t>
  </si>
  <si>
    <t>C24040_007</t>
  </si>
  <si>
    <t>C24040_008</t>
  </si>
  <si>
    <t>C24040_009</t>
  </si>
  <si>
    <t>C24040_010</t>
  </si>
  <si>
    <t>C24040_011</t>
  </si>
  <si>
    <t>C24040_012</t>
  </si>
  <si>
    <t>C24040_013</t>
  </si>
  <si>
    <t>C24040_014</t>
  </si>
  <si>
    <t>C24040_015</t>
  </si>
  <si>
    <t>C24040_016</t>
  </si>
  <si>
    <t>C24040_017</t>
  </si>
  <si>
    <t>C24040_018</t>
  </si>
  <si>
    <t>C24040_019</t>
  </si>
  <si>
    <t>C24040_020</t>
  </si>
  <si>
    <t>C24040_021</t>
  </si>
  <si>
    <t>C24040_022</t>
  </si>
  <si>
    <t>C24040_023</t>
  </si>
  <si>
    <t>C24040_024</t>
  </si>
  <si>
    <t>C24040_025</t>
  </si>
  <si>
    <t>C24040_026</t>
  </si>
  <si>
    <t>C24040_027</t>
  </si>
  <si>
    <t>C24040_028</t>
  </si>
  <si>
    <t>C24040_029</t>
  </si>
  <si>
    <t>C24040_030</t>
  </si>
  <si>
    <t>C24040_031</t>
  </si>
  <si>
    <t>C24040_032</t>
  </si>
  <si>
    <t>C24040_033</t>
  </si>
  <si>
    <t>C24040_034</t>
  </si>
  <si>
    <t>C24040_035</t>
  </si>
  <si>
    <t>C24040_036</t>
  </si>
  <si>
    <t>C24040_037</t>
  </si>
  <si>
    <t>C24040_038</t>
  </si>
  <si>
    <t>C24040_039</t>
  </si>
  <si>
    <t>C24040_040</t>
  </si>
  <si>
    <t>C24040_041</t>
  </si>
  <si>
    <t>C24040_042</t>
  </si>
  <si>
    <t>C24040_043</t>
  </si>
  <si>
    <t>C24040_044</t>
  </si>
  <si>
    <t>C24040_045</t>
  </si>
  <si>
    <t>C24040_046</t>
  </si>
  <si>
    <t>C24040_047</t>
  </si>
  <si>
    <t>C24040_048</t>
  </si>
  <si>
    <t>C24040_049</t>
  </si>
  <si>
    <t>C24040_050</t>
  </si>
  <si>
    <t>C24040_051</t>
  </si>
  <si>
    <t>C24040_052</t>
  </si>
  <si>
    <t>C24040_053</t>
  </si>
  <si>
    <t>C24040_054</t>
  </si>
  <si>
    <t>C24040_055</t>
  </si>
  <si>
    <t>C24050_002</t>
  </si>
  <si>
    <t>C24050_003</t>
  </si>
  <si>
    <t>C24050_004</t>
  </si>
  <si>
    <t>C24050_005</t>
  </si>
  <si>
    <t>C24050_006</t>
  </si>
  <si>
    <t>C24050_007</t>
  </si>
  <si>
    <t>C24050_008</t>
  </si>
  <si>
    <t>C24050_009</t>
  </si>
  <si>
    <t>Estimate!!Total:!!Finance and insurance, and real estate, and rental and leasing</t>
  </si>
  <si>
    <t>C24050_010</t>
  </si>
  <si>
    <t>Estimate!!Total:!!Professional, scientific, and management, and administrative, and waste management services</t>
  </si>
  <si>
    <t>C24050_011</t>
  </si>
  <si>
    <t>C24050_012</t>
  </si>
  <si>
    <t>C24050_013</t>
  </si>
  <si>
    <t>C24050_014</t>
  </si>
  <si>
    <t>C24050_015</t>
  </si>
  <si>
    <t>C24050_016</t>
  </si>
  <si>
    <t>Estimate!!Total:!!Management, business, science, and arts occupations:!!Agriculture, forestry, fishing and hunting, and mining</t>
  </si>
  <si>
    <t>C24050_017</t>
  </si>
  <si>
    <t>Estimate!!Total:!!Management, business, science, and arts occupations:!!Construction</t>
  </si>
  <si>
    <t>C24050_018</t>
  </si>
  <si>
    <t>Estimate!!Total:!!Management, business, science, and arts occupations:!!Manufacturing</t>
  </si>
  <si>
    <t>C24050_019</t>
  </si>
  <si>
    <t>Estimate!!Total:!!Management, business, science, and arts occupations:!!Wholesale trade</t>
  </si>
  <si>
    <t>C24050_020</t>
  </si>
  <si>
    <t>Estimate!!Total:!!Management, business, science, and arts occupations:!!Retail trade</t>
  </si>
  <si>
    <t>C24050_021</t>
  </si>
  <si>
    <t>Estimate!!Total:!!Management, business, science, and arts occupations:!!Transportation and warehousing, and utilities</t>
  </si>
  <si>
    <t>C24050_022</t>
  </si>
  <si>
    <t>Estimate!!Total:!!Management, business, science, and arts occupations:!!Information</t>
  </si>
  <si>
    <t>C24050_023</t>
  </si>
  <si>
    <t>Estimate!!Total:!!Management, business, science, and arts occupations:!!Finance and insurance, and real estate, and rental and leasing</t>
  </si>
  <si>
    <t>C24050_024</t>
  </si>
  <si>
    <t>Estimate!!Total:!!Management, business, science, and arts occupations:!!Professional, scientific, and management, and administrative, and waste management services</t>
  </si>
  <si>
    <t>C24050_025</t>
  </si>
  <si>
    <t>Estimate!!Total:!!Management, business, science, and arts occupations:!!Educational services, and health care and social assistance</t>
  </si>
  <si>
    <t>C24050_026</t>
  </si>
  <si>
    <t>Estimate!!Total:!!Management, business, science, and arts occupations:!!Arts, entertainment, and recreation, and accommodation and food services</t>
  </si>
  <si>
    <t>C24050_027</t>
  </si>
  <si>
    <t>Estimate!!Total:!!Management, business, science, and arts occupations:!!Other services, except public administration</t>
  </si>
  <si>
    <t>C24050_028</t>
  </si>
  <si>
    <t>Estimate!!Total:!!Management, business, science, and arts occupations:!!Public administration</t>
  </si>
  <si>
    <t>C24050_029</t>
  </si>
  <si>
    <t>C24050_030</t>
  </si>
  <si>
    <t>Estimate!!Total:!!Service occupations:!!Agriculture, forestry, fishing and hunting, and mining</t>
  </si>
  <si>
    <t>C24050_031</t>
  </si>
  <si>
    <t>Estimate!!Total:!!Service occupations:!!Construction</t>
  </si>
  <si>
    <t>C24050_032</t>
  </si>
  <si>
    <t>Estimate!!Total:!!Service occupations:!!Manufacturing</t>
  </si>
  <si>
    <t>C24050_033</t>
  </si>
  <si>
    <t>Estimate!!Total:!!Service occupations:!!Wholesale trade</t>
  </si>
  <si>
    <t>C24050_034</t>
  </si>
  <si>
    <t>Estimate!!Total:!!Service occupations:!!Retail trade</t>
  </si>
  <si>
    <t>C24050_035</t>
  </si>
  <si>
    <t>Estimate!!Total:!!Service occupations:!!Transportation and warehousing, and utilities</t>
  </si>
  <si>
    <t>C24050_036</t>
  </si>
  <si>
    <t>Estimate!!Total:!!Service occupations:!!Information</t>
  </si>
  <si>
    <t>C24050_037</t>
  </si>
  <si>
    <t>Estimate!!Total:!!Service occupations:!!Finance and insurance, and real estate, and rental and leasing</t>
  </si>
  <si>
    <t>C24050_038</t>
  </si>
  <si>
    <t>Estimate!!Total:!!Service occupations:!!Professional, scientific, and management, and administrative, and waste management services</t>
  </si>
  <si>
    <t>C24050_039</t>
  </si>
  <si>
    <t>Estimate!!Total:!!Service occupations:!!Educational services, and health care and social assistance</t>
  </si>
  <si>
    <t>C24050_040</t>
  </si>
  <si>
    <t>Estimate!!Total:!!Service occupations:!!Arts, entertainment, and recreation, and accommodation and food services</t>
  </si>
  <si>
    <t>C24050_041</t>
  </si>
  <si>
    <t>Estimate!!Total:!!Service occupations:!!Other services, except public administration</t>
  </si>
  <si>
    <t>C24050_042</t>
  </si>
  <si>
    <t>Estimate!!Total:!!Service occupations:!!Public administration</t>
  </si>
  <si>
    <t>C24050_043</t>
  </si>
  <si>
    <t>C24050_044</t>
  </si>
  <si>
    <t>Estimate!!Total:!!Sales and office occupations:!!Agriculture, forestry, fishing and hunting, and mining</t>
  </si>
  <si>
    <t>C24050_045</t>
  </si>
  <si>
    <t>Estimate!!Total:!!Sales and office occupations:!!Construction</t>
  </si>
  <si>
    <t>C24050_046</t>
  </si>
  <si>
    <t>Estimate!!Total:!!Sales and office occupations:!!Manufacturing</t>
  </si>
  <si>
    <t>C24050_047</t>
  </si>
  <si>
    <t>Estimate!!Total:!!Sales and office occupations:!!Wholesale trade</t>
  </si>
  <si>
    <t>C24050_048</t>
  </si>
  <si>
    <t>Estimate!!Total:!!Sales and office occupations:!!Retail trade</t>
  </si>
  <si>
    <t>C24050_049</t>
  </si>
  <si>
    <t>Estimate!!Total:!!Sales and office occupations:!!Transportation and warehousing, and utilities</t>
  </si>
  <si>
    <t>C24050_050</t>
  </si>
  <si>
    <t>Estimate!!Total:!!Sales and office occupations:!!Information</t>
  </si>
  <si>
    <t>C24050_051</t>
  </si>
  <si>
    <t>Estimate!!Total:!!Sales and office occupations:!!Finance and insurance, and real estate, and rental and leasing</t>
  </si>
  <si>
    <t>C24050_052</t>
  </si>
  <si>
    <t>Estimate!!Total:!!Sales and office occupations:!!Professional, scientific, and management, and administrative, and waste management services</t>
  </si>
  <si>
    <t>C24050_053</t>
  </si>
  <si>
    <t>Estimate!!Total:!!Sales and office occupations:!!Educational services, and health care and social assistance</t>
  </si>
  <si>
    <t>C24050_054</t>
  </si>
  <si>
    <t>Estimate!!Total:!!Sales and office occupations:!!Arts, entertainment, and recreation, and accommodation and food services</t>
  </si>
  <si>
    <t>C24050_055</t>
  </si>
  <si>
    <t>Estimate!!Total:!!Sales and office occupations:!!Other services, except public administration</t>
  </si>
  <si>
    <t>C24050_056</t>
  </si>
  <si>
    <t>Estimate!!Total:!!Sales and office occupations:!!Public administration</t>
  </si>
  <si>
    <t>C24050_057</t>
  </si>
  <si>
    <t>C24050_058</t>
  </si>
  <si>
    <t>Estimate!!Total:!!Natural resources, construction, and maintenance occupations:!!Agriculture, forestry, fishing and hunting, and mining</t>
  </si>
  <si>
    <t>C24050_059</t>
  </si>
  <si>
    <t>Estimate!!Total:!!Natural resources, construction, and maintenance occupations:!!Construction</t>
  </si>
  <si>
    <t>C24050_060</t>
  </si>
  <si>
    <t>Estimate!!Total:!!Natural resources, construction, and maintenance occupations:!!Manufacturing</t>
  </si>
  <si>
    <t>C24050_061</t>
  </si>
  <si>
    <t>Estimate!!Total:!!Natural resources, construction, and maintenance occupations:!!Wholesale trade</t>
  </si>
  <si>
    <t>C24050_062</t>
  </si>
  <si>
    <t>Estimate!!Total:!!Natural resources, construction, and maintenance occupations:!!Retail trade</t>
  </si>
  <si>
    <t>C24050_063</t>
  </si>
  <si>
    <t>Estimate!!Total:!!Natural resources, construction, and maintenance occupations:!!Transportation and warehousing, and utilities</t>
  </si>
  <si>
    <t>C24050_064</t>
  </si>
  <si>
    <t>Estimate!!Total:!!Natural resources, construction, and maintenance occupations:!!Information</t>
  </si>
  <si>
    <t>C24050_065</t>
  </si>
  <si>
    <t>Estimate!!Total:!!Natural resources, construction, and maintenance occupations:!!Finance and insurance, and real estate, and rental and leasing</t>
  </si>
  <si>
    <t>C24050_066</t>
  </si>
  <si>
    <t>Estimate!!Total:!!Natural resources, construction, and maintenance occupations:!!Professional, scientific, and management, and administrative, and waste management services</t>
  </si>
  <si>
    <t>C24050_067</t>
  </si>
  <si>
    <t>Estimate!!Total:!!Natural resources, construction, and maintenance occupations:!!Educational services, and health care and social assistance</t>
  </si>
  <si>
    <t>C24050_068</t>
  </si>
  <si>
    <t>Estimate!!Total:!!Natural resources, construction, and maintenance occupations:!!Arts, entertainment, and recreation, and accommodation and food services</t>
  </si>
  <si>
    <t>C24050_069</t>
  </si>
  <si>
    <t>Estimate!!Total:!!Natural resources, construction, and maintenance occupations:!!Other services, except public administration</t>
  </si>
  <si>
    <t>C24050_070</t>
  </si>
  <si>
    <t>Estimate!!Total:!!Natural resources, construction, and maintenance occupations:!!Public administration</t>
  </si>
  <si>
    <t>C24050_071</t>
  </si>
  <si>
    <t>C24050_072</t>
  </si>
  <si>
    <t>Estimate!!Total:!!Production, transportation, and material moving occupations:!!Agriculture, forestry, fishing and hunting, and mining</t>
  </si>
  <si>
    <t>C24050_073</t>
  </si>
  <si>
    <t>Estimate!!Total:!!Production, transportation, and material moving occupations:!!Construction</t>
  </si>
  <si>
    <t>C24050_074</t>
  </si>
  <si>
    <t>Estimate!!Total:!!Production, transportation, and material moving occupations:!!Manufacturing</t>
  </si>
  <si>
    <t>C24050_075</t>
  </si>
  <si>
    <t>Estimate!!Total:!!Production, transportation, and material moving occupations:!!Wholesale trade</t>
  </si>
  <si>
    <t>C24050_076</t>
  </si>
  <si>
    <t>Estimate!!Total:!!Production, transportation, and material moving occupations:!!Retail trade</t>
  </si>
  <si>
    <t>C24050_077</t>
  </si>
  <si>
    <t>Estimate!!Total:!!Production, transportation, and material moving occupations:!!Transportation and warehousing, and utilities</t>
  </si>
  <si>
    <t>C24050_078</t>
  </si>
  <si>
    <t>Estimate!!Total:!!Production, transportation, and material moving occupations:!!Information</t>
  </si>
  <si>
    <t>C24050_079</t>
  </si>
  <si>
    <t>Estimate!!Total:!!Production, transportation, and material moving occupations:!!Finance and insurance, and real estate, and rental and leasing</t>
  </si>
  <si>
    <t>C24050_080</t>
  </si>
  <si>
    <t>Estimate!!Total:!!Production, transportation, and material moving occupations:!!Professional, scientific, and management, and administrative, and waste management services</t>
  </si>
  <si>
    <t>C24050_081</t>
  </si>
  <si>
    <t>Estimate!!Total:!!Production, transportation, and material moving occupations:!!Educational services, and health care and social assistance</t>
  </si>
  <si>
    <t>C24050_082</t>
  </si>
  <si>
    <t>Estimate!!Total:!!Production, transportation, and material moving occupations:!!Arts, entertainment, and recreation, and accommodation and food services</t>
  </si>
  <si>
    <t>C24050_083</t>
  </si>
  <si>
    <t>Estimate!!Total:!!Production, transportation, and material moving occupations:!!Other services, except public administration</t>
  </si>
  <si>
    <t>C24050_084</t>
  </si>
  <si>
    <t>Estimate!!Total:!!Production, transportation, and material moving occupations:!!Public administration</t>
  </si>
  <si>
    <t>C24060_002</t>
  </si>
  <si>
    <t>C24060_003</t>
  </si>
  <si>
    <t>C24060_004</t>
  </si>
  <si>
    <t>C24060_005</t>
  </si>
  <si>
    <t>C24060_006</t>
  </si>
  <si>
    <t>C24060_007</t>
  </si>
  <si>
    <t>Estimate!!Total:!!Employee of private company workers:</t>
  </si>
  <si>
    <t>C24060_008</t>
  </si>
  <si>
    <t>Estimate!!Total:!!Employee of private company workers:!!Management, business, science, and arts occupations</t>
  </si>
  <si>
    <t>C24060_009</t>
  </si>
  <si>
    <t>Estimate!!Total:!!Employee of private company workers:!!Service occupations</t>
  </si>
  <si>
    <t>C24060_010</t>
  </si>
  <si>
    <t>Estimate!!Total:!!Employee of private company workers:!!Sales and office occupations</t>
  </si>
  <si>
    <t>C24060_011</t>
  </si>
  <si>
    <t>Estimate!!Total:!!Employee of private company workers:!!Natural resources, construction, and maintenance occupations</t>
  </si>
  <si>
    <t>C24060_012</t>
  </si>
  <si>
    <t>Estimate!!Total:!!Employee of private company workers:!!Production, transportation, and material moving occupations</t>
  </si>
  <si>
    <t>C24060_013</t>
  </si>
  <si>
    <t>Estimate!!Total:!!Self-employed in own incorporated business workers:</t>
  </si>
  <si>
    <t>C24060_014</t>
  </si>
  <si>
    <t>Estimate!!Total:!!Self-employed in own incorporated business workers:!!Management, business, science, and arts occupations</t>
  </si>
  <si>
    <t>C24060_015</t>
  </si>
  <si>
    <t>Estimate!!Total:!!Self-employed in own incorporated business workers:!!Service occupations</t>
  </si>
  <si>
    <t>C24060_016</t>
  </si>
  <si>
    <t>Estimate!!Total:!!Self-employed in own incorporated business workers:!!Sales and office occupations</t>
  </si>
  <si>
    <t>C24060_017</t>
  </si>
  <si>
    <t>Estimate!!Total:!!Self-employed in own incorporated business workers:!!Natural resources, construction, and maintenance occupations</t>
  </si>
  <si>
    <t>C24060_018</t>
  </si>
  <si>
    <t>Estimate!!Total:!!Self-employed in own incorporated business workers:!!Production, transportation, and material moving occupations</t>
  </si>
  <si>
    <t>C24060_019</t>
  </si>
  <si>
    <t>Estimate!!Total:!!Private not-for-profit wage and salary workers:</t>
  </si>
  <si>
    <t>C24060_020</t>
  </si>
  <si>
    <t>Estimate!!Total:!!Private not-for-profit wage and salary workers:!!Management, business, science, and arts occupations</t>
  </si>
  <si>
    <t>C24060_021</t>
  </si>
  <si>
    <t>Estimate!!Total:!!Private not-for-profit wage and salary workers:!!Service occupations</t>
  </si>
  <si>
    <t>C24060_022</t>
  </si>
  <si>
    <t>Estimate!!Total:!!Private not-for-profit wage and salary workers:!!Sales and office occupations</t>
  </si>
  <si>
    <t>C24060_023</t>
  </si>
  <si>
    <t>Estimate!!Total:!!Private not-for-profit wage and salary workers:!!Natural resources, construction, and maintenance occupations</t>
  </si>
  <si>
    <t>C24060_024</t>
  </si>
  <si>
    <t>Estimate!!Total:!!Private not-for-profit wage and salary workers:!!Production, transportation, and material moving occupations</t>
  </si>
  <si>
    <t>C24060_025</t>
  </si>
  <si>
    <t>Estimate!!Total:!!Local, state, and federal government workers:</t>
  </si>
  <si>
    <t>C24060_026</t>
  </si>
  <si>
    <t>Estimate!!Total:!!Local, state, and federal government workers:!!Management, business, science, and arts occupations</t>
  </si>
  <si>
    <t>C24060_027</t>
  </si>
  <si>
    <t>Estimate!!Total:!!Local, state, and federal government workers:!!Service occupations</t>
  </si>
  <si>
    <t>C24060_028</t>
  </si>
  <si>
    <t>Estimate!!Total:!!Local, state, and federal government workers:!!Sales and office occupations</t>
  </si>
  <si>
    <t>C24060_029</t>
  </si>
  <si>
    <t>Estimate!!Total:!!Local, state, and federal government workers:!!Natural resources, construction, and maintenance occupations</t>
  </si>
  <si>
    <t>C24060_030</t>
  </si>
  <si>
    <t>Estimate!!Total:!!Local, state, and federal government workers:!!Production, transportation, and material moving occupations</t>
  </si>
  <si>
    <t>C24060_031</t>
  </si>
  <si>
    <t>Estimate!!Total:!!Self-employed in own not incorporated business workers and unpaid family workers:</t>
  </si>
  <si>
    <t>C24060_032</t>
  </si>
  <si>
    <t>Estimate!!Total:!!Self-employed in own not incorporated business workers and unpaid family workers:!!Management, business, science, and arts occupations</t>
  </si>
  <si>
    <t>C24060_033</t>
  </si>
  <si>
    <t>Estimate!!Total:!!Self-employed in own not incorporated business workers and unpaid family workers:!!Service occupations</t>
  </si>
  <si>
    <t>C24060_034</t>
  </si>
  <si>
    <t>Estimate!!Total:!!Self-employed in own not incorporated business workers and unpaid family workers:!!Sales and office occupations</t>
  </si>
  <si>
    <t>C24060_035</t>
  </si>
  <si>
    <t>Estimate!!Total:!!Self-employed in own not incorporated business workers and unpaid family workers:!!Natural resources, construction, and maintenance occupations</t>
  </si>
  <si>
    <t>C24060_036</t>
  </si>
  <si>
    <t>Estimate!!Total:!!Self-employed in own not incorporated business workers and unpaid family workers:!!Production, transportation, and material moving occupations</t>
  </si>
  <si>
    <t>C24070_002</t>
  </si>
  <si>
    <t>C24070_003</t>
  </si>
  <si>
    <t>C24070_004</t>
  </si>
  <si>
    <t>C24070_005</t>
  </si>
  <si>
    <t>C24070_006</t>
  </si>
  <si>
    <t>C24070_007</t>
  </si>
  <si>
    <t>C24070_008</t>
  </si>
  <si>
    <t>C24070_009</t>
  </si>
  <si>
    <t>C24070_010</t>
  </si>
  <si>
    <t>C24070_011</t>
  </si>
  <si>
    <t>C24070_012</t>
  </si>
  <si>
    <t>C24070_013</t>
  </si>
  <si>
    <t>C24070_014</t>
  </si>
  <si>
    <t>C24070_015</t>
  </si>
  <si>
    <t>C24070_016</t>
  </si>
  <si>
    <t>Estimate!!Total:!!Employee of private company workers:!!Agriculture, forestry, fishing and hunting, and mining</t>
  </si>
  <si>
    <t>C24070_017</t>
  </si>
  <si>
    <t>Estimate!!Total:!!Employee of private company workers:!!Construction</t>
  </si>
  <si>
    <t>C24070_018</t>
  </si>
  <si>
    <t>Estimate!!Total:!!Employee of private company workers:!!Manufacturing</t>
  </si>
  <si>
    <t>C24070_019</t>
  </si>
  <si>
    <t>Estimate!!Total:!!Employee of private company workers:!!Wholesale trade</t>
  </si>
  <si>
    <t>C24070_020</t>
  </si>
  <si>
    <t>Estimate!!Total:!!Employee of private company workers:!!Retail trade</t>
  </si>
  <si>
    <t>C24070_021</t>
  </si>
  <si>
    <t>Estimate!!Total:!!Employee of private company workers:!!Transportation and warehousing, and utilities</t>
  </si>
  <si>
    <t>C24070_022</t>
  </si>
  <si>
    <t>Estimate!!Total:!!Employee of private company workers:!!Information</t>
  </si>
  <si>
    <t>C24070_023</t>
  </si>
  <si>
    <t>Estimate!!Total:!!Employee of private company workers:!!Finance and insurance, and real estate, and rental and leasing</t>
  </si>
  <si>
    <t>C24070_024</t>
  </si>
  <si>
    <t>Estimate!!Total:!!Employee of private company workers:!!Professional, scientific, and management, and administrative, and waste management services</t>
  </si>
  <si>
    <t>C24070_025</t>
  </si>
  <si>
    <t>Estimate!!Total:!!Employee of private company workers:!!Educational services, and health care and social assistance</t>
  </si>
  <si>
    <t>C24070_026</t>
  </si>
  <si>
    <t>Estimate!!Total:!!Employee of private company workers:!!Arts, entertainment, and recreation, and accommodation and food services</t>
  </si>
  <si>
    <t>C24070_027</t>
  </si>
  <si>
    <t>Estimate!!Total:!!Employee of private company workers:!!Other services, except public administration</t>
  </si>
  <si>
    <t>C24070_028</t>
  </si>
  <si>
    <t>Estimate!!Total:!!Employee of private company workers:!!Public administration</t>
  </si>
  <si>
    <t>C24070_029</t>
  </si>
  <si>
    <t>C24070_030</t>
  </si>
  <si>
    <t>Estimate!!Total:!!Self-employed in own incorporated business workers:!!Agriculture, forestry, fishing and hunting, and mining</t>
  </si>
  <si>
    <t>C24070_031</t>
  </si>
  <si>
    <t>Estimate!!Total:!!Self-employed in own incorporated business workers:!!Construction</t>
  </si>
  <si>
    <t>C24070_032</t>
  </si>
  <si>
    <t>Estimate!!Total:!!Self-employed in own incorporated business workers:!!Manufacturing</t>
  </si>
  <si>
    <t>C24070_033</t>
  </si>
  <si>
    <t>Estimate!!Total:!!Self-employed in own incorporated business workers:!!Wholesale trade</t>
  </si>
  <si>
    <t>C24070_034</t>
  </si>
  <si>
    <t>Estimate!!Total:!!Self-employed in own incorporated business workers:!!Retail trade</t>
  </si>
  <si>
    <t>C24070_035</t>
  </si>
  <si>
    <t>Estimate!!Total:!!Self-employed in own incorporated business workers:!!Transportation and warehousing, and utilities</t>
  </si>
  <si>
    <t>C24070_036</t>
  </si>
  <si>
    <t>Estimate!!Total:!!Self-employed in own incorporated business workers:!!Information</t>
  </si>
  <si>
    <t>C24070_037</t>
  </si>
  <si>
    <t>Estimate!!Total:!!Self-employed in own incorporated business workers:!!Finance and insurance, and real estate, and rental and leasing</t>
  </si>
  <si>
    <t>C24070_038</t>
  </si>
  <si>
    <t>Estimate!!Total:!!Self-employed in own incorporated business workers:!!Professional, scientific, and management, and administrative, and waste management services</t>
  </si>
  <si>
    <t>C24070_039</t>
  </si>
  <si>
    <t>Estimate!!Total:!!Self-employed in own incorporated business workers:!!Educational services, and health care and social assistance</t>
  </si>
  <si>
    <t>C24070_040</t>
  </si>
  <si>
    <t>Estimate!!Total:!!Self-employed in own incorporated business workers:!!Arts, entertainment, and recreation, and accommodation and food services</t>
  </si>
  <si>
    <t>C24070_041</t>
  </si>
  <si>
    <t>Estimate!!Total:!!Self-employed in own incorporated business workers:!!Other services, except public administration</t>
  </si>
  <si>
    <t>C24070_042</t>
  </si>
  <si>
    <t>Estimate!!Total:!!Self-employed in own incorporated business workers:!!Public administration</t>
  </si>
  <si>
    <t>C24070_043</t>
  </si>
  <si>
    <t>C24070_044</t>
  </si>
  <si>
    <t>Estimate!!Total:!!Private not-for-profit wage and salary workers:!!Agriculture, forestry, fishing and hunting, and mining</t>
  </si>
  <si>
    <t>C24070_045</t>
  </si>
  <si>
    <t>Estimate!!Total:!!Private not-for-profit wage and salary workers:!!Construction</t>
  </si>
  <si>
    <t>C24070_046</t>
  </si>
  <si>
    <t>Estimate!!Total:!!Private not-for-profit wage and salary workers:!!Manufacturing</t>
  </si>
  <si>
    <t>C24070_047</t>
  </si>
  <si>
    <t>Estimate!!Total:!!Private not-for-profit wage and salary workers:!!Wholesale trade</t>
  </si>
  <si>
    <t>C24070_048</t>
  </si>
  <si>
    <t>Estimate!!Total:!!Private not-for-profit wage and salary workers:!!Retail trade</t>
  </si>
  <si>
    <t>C24070_049</t>
  </si>
  <si>
    <t>Estimate!!Total:!!Private not-for-profit wage and salary workers:!!Transportation and warehousing, and utilities</t>
  </si>
  <si>
    <t>C24070_050</t>
  </si>
  <si>
    <t>Estimate!!Total:!!Private not-for-profit wage and salary workers:!!Information</t>
  </si>
  <si>
    <t>C24070_051</t>
  </si>
  <si>
    <t>Estimate!!Total:!!Private not-for-profit wage and salary workers:!!Finance and insurance, and real estate, and rental and leasing</t>
  </si>
  <si>
    <t>C24070_052</t>
  </si>
  <si>
    <t>Estimate!!Total:!!Private not-for-profit wage and salary workers:!!Professional, scientific, and management, and administrative, and waste management services</t>
  </si>
  <si>
    <t>C24070_053</t>
  </si>
  <si>
    <t>Estimate!!Total:!!Private not-for-profit wage and salary workers:!!Educational services, and health care and social assistance</t>
  </si>
  <si>
    <t>C24070_054</t>
  </si>
  <si>
    <t>Estimate!!Total:!!Private not-for-profit wage and salary workers:!!Arts, entertainment, and recreation, and accommodation and food services</t>
  </si>
  <si>
    <t>C24070_055</t>
  </si>
  <si>
    <t>Estimate!!Total:!!Private not-for-profit wage and salary workers:!!Other services, except public administration</t>
  </si>
  <si>
    <t>C24070_056</t>
  </si>
  <si>
    <t>Estimate!!Total:!!Private not-for-profit wage and salary workers:!!Public administration</t>
  </si>
  <si>
    <t>C24070_057</t>
  </si>
  <si>
    <t>C24070_058</t>
  </si>
  <si>
    <t>Estimate!!Total:!!Local, state, and federal government workers:!!Agriculture, forestry, fishing and hunting, and mining</t>
  </si>
  <si>
    <t>C24070_059</t>
  </si>
  <si>
    <t>Estimate!!Total:!!Local, state, and federal government workers:!!Construction</t>
  </si>
  <si>
    <t>C24070_060</t>
  </si>
  <si>
    <t>Estimate!!Total:!!Local, state, and federal government workers:!!Manufacturing</t>
  </si>
  <si>
    <t>C24070_061</t>
  </si>
  <si>
    <t>Estimate!!Total:!!Local, state, and federal government workers:!!Wholesale trade</t>
  </si>
  <si>
    <t>C24070_062</t>
  </si>
  <si>
    <t>Estimate!!Total:!!Local, state, and federal government workers:!!Retail trade</t>
  </si>
  <si>
    <t>C24070_063</t>
  </si>
  <si>
    <t>Estimate!!Total:!!Local, state, and federal government workers:!!Transportation and warehousing, and utilities</t>
  </si>
  <si>
    <t>C24070_064</t>
  </si>
  <si>
    <t>Estimate!!Total:!!Local, state, and federal government workers:!!Information</t>
  </si>
  <si>
    <t>C24070_065</t>
  </si>
  <si>
    <t>Estimate!!Total:!!Local, state, and federal government workers:!!Finance and insurance, and real estate, and rental and leasing</t>
  </si>
  <si>
    <t>C24070_066</t>
  </si>
  <si>
    <t>Estimate!!Total:!!Local, state, and federal government workers:!!Professional, scientific, and management, and administrative, and waste management services</t>
  </si>
  <si>
    <t>C24070_067</t>
  </si>
  <si>
    <t>Estimate!!Total:!!Local, state, and federal government workers:!!Educational services, and health care and social assistance</t>
  </si>
  <si>
    <t>C24070_068</t>
  </si>
  <si>
    <t>Estimate!!Total:!!Local, state, and federal government workers:!!Arts, entertainment, and recreation, and accommodation and food services</t>
  </si>
  <si>
    <t>C24070_069</t>
  </si>
  <si>
    <t>Estimate!!Total:!!Local, state, and federal government workers:!!Other services, except public administration</t>
  </si>
  <si>
    <t>C24070_070</t>
  </si>
  <si>
    <t>Estimate!!Total:!!Local, state, and federal government workers:!!Public administration</t>
  </si>
  <si>
    <t>C24070_071</t>
  </si>
  <si>
    <t>C24070_072</t>
  </si>
  <si>
    <t>Estimate!!Total:!!Self-employed in own not incorporated business workers and unpaid family workers:!!Agriculture, forestry, fishing and hunting, and mining</t>
  </si>
  <si>
    <t>C24070_073</t>
  </si>
  <si>
    <t>Estimate!!Total:!!Self-employed in own not incorporated business workers and unpaid family workers:!!Construction</t>
  </si>
  <si>
    <t>C24070_074</t>
  </si>
  <si>
    <t>Estimate!!Total:!!Self-employed in own not incorporated business workers and unpaid family workers:!!Manufacturing</t>
  </si>
  <si>
    <t>C24070_075</t>
  </si>
  <si>
    <t>Estimate!!Total:!!Self-employed in own not incorporated business workers and unpaid family workers:!!Wholesale trade</t>
  </si>
  <si>
    <t>C24070_076</t>
  </si>
  <si>
    <t>Estimate!!Total:!!Self-employed in own not incorporated business workers and unpaid family workers:!!Retail trade</t>
  </si>
  <si>
    <t>C24070_077</t>
  </si>
  <si>
    <t>Estimate!!Total:!!Self-employed in own not incorporated business workers and unpaid family workers:!!Transportation and warehousing, and utilities</t>
  </si>
  <si>
    <t>C24070_078</t>
  </si>
  <si>
    <t>Estimate!!Total:!!Self-employed in own not incorporated business workers and unpaid family workers:!!Information</t>
  </si>
  <si>
    <t>C24070_079</t>
  </si>
  <si>
    <t>Estimate!!Total:!!Self-employed in own not incorporated business workers and unpaid family workers:!!Finance and insurance, and real estate, and rental and leasing</t>
  </si>
  <si>
    <t>C24070_080</t>
  </si>
  <si>
    <t>Estimate!!Total:!!Self-employed in own not incorporated business workers and unpaid family workers:!!Professional, scientific, and management, and administrative, and waste management services</t>
  </si>
  <si>
    <t>C24070_081</t>
  </si>
  <si>
    <t>Estimate!!Total:!!Self-employed in own not incorporated business workers and unpaid family workers:!!Educational services, and health care and social assistance</t>
  </si>
  <si>
    <t>C24070_082</t>
  </si>
  <si>
    <t>Estimate!!Total:!!Self-employed in own not incorporated business workers and unpaid family workers:!!Arts, entertainment, and recreation, and accommodation and food services</t>
  </si>
  <si>
    <t>C24070_083</t>
  </si>
  <si>
    <t>Estimate!!Total:!!Self-employed in own not incorporated business workers and unpaid family workers:!!Other services, except public administration</t>
  </si>
  <si>
    <t>C24070_084</t>
  </si>
  <si>
    <t>Estimate!!Total:!!Self-employed in own not incorporated business workers and unpaid family workers:!!Public administration</t>
  </si>
  <si>
    <t>C27001A_002</t>
  </si>
  <si>
    <t>C27001A_003</t>
  </si>
  <si>
    <t>Estimate!!Total:!!Under 19 years:!!With health insurance coverage</t>
  </si>
  <si>
    <t>C27001A_004</t>
  </si>
  <si>
    <t>C27001A_005</t>
  </si>
  <si>
    <t>C27001A_006</t>
  </si>
  <si>
    <t>Estimate!!Total:!!19 to 64 years:!!With health insurance coverage</t>
  </si>
  <si>
    <t>C27001A_007</t>
  </si>
  <si>
    <t>Estimate!!Total:!!19 to 64 years:!!No health insurance coverage</t>
  </si>
  <si>
    <t>C27001A_008</t>
  </si>
  <si>
    <t>C27001A_009</t>
  </si>
  <si>
    <t>Estimate!!Total:!!65 years and over:!!With health insurance coverage</t>
  </si>
  <si>
    <t>C27001A_010</t>
  </si>
  <si>
    <t>C27001B_002</t>
  </si>
  <si>
    <t>C27001B_003</t>
  </si>
  <si>
    <t>C27001B_004</t>
  </si>
  <si>
    <t>C27001B_005</t>
  </si>
  <si>
    <t>C27001B_006</t>
  </si>
  <si>
    <t>C27001B_007</t>
  </si>
  <si>
    <t>C27001B_008</t>
  </si>
  <si>
    <t>C27001B_009</t>
  </si>
  <si>
    <t>C27001B_010</t>
  </si>
  <si>
    <t>C27001C_002</t>
  </si>
  <si>
    <t>C27001C_003</t>
  </si>
  <si>
    <t>C27001C_004</t>
  </si>
  <si>
    <t>C27001C_005</t>
  </si>
  <si>
    <t>C27001C_006</t>
  </si>
  <si>
    <t>C27001C_007</t>
  </si>
  <si>
    <t>C27001C_008</t>
  </si>
  <si>
    <t>C27001C_009</t>
  </si>
  <si>
    <t>C27001C_010</t>
  </si>
  <si>
    <t>C27001D_002</t>
  </si>
  <si>
    <t>C27001D_003</t>
  </si>
  <si>
    <t>C27001D_004</t>
  </si>
  <si>
    <t>C27001D_005</t>
  </si>
  <si>
    <t>C27001D_006</t>
  </si>
  <si>
    <t>C27001D_007</t>
  </si>
  <si>
    <t>C27001D_008</t>
  </si>
  <si>
    <t>C27001D_009</t>
  </si>
  <si>
    <t>C27001D_010</t>
  </si>
  <si>
    <t>C27001E_002</t>
  </si>
  <si>
    <t>C27001E_003</t>
  </si>
  <si>
    <t>C27001E_004</t>
  </si>
  <si>
    <t>C27001E_005</t>
  </si>
  <si>
    <t>C27001E_006</t>
  </si>
  <si>
    <t>C27001E_007</t>
  </si>
  <si>
    <t>C27001E_008</t>
  </si>
  <si>
    <t>C27001E_009</t>
  </si>
  <si>
    <t>C27001E_010</t>
  </si>
  <si>
    <t>C27001F_002</t>
  </si>
  <si>
    <t>C27001F_003</t>
  </si>
  <si>
    <t>C27001F_004</t>
  </si>
  <si>
    <t>C27001F_005</t>
  </si>
  <si>
    <t>C27001F_006</t>
  </si>
  <si>
    <t>C27001F_007</t>
  </si>
  <si>
    <t>C27001F_008</t>
  </si>
  <si>
    <t>C27001F_009</t>
  </si>
  <si>
    <t>C27001F_010</t>
  </si>
  <si>
    <t>C27001G_002</t>
  </si>
  <si>
    <t>C27001G_003</t>
  </si>
  <si>
    <t>C27001G_004</t>
  </si>
  <si>
    <t>C27001G_005</t>
  </si>
  <si>
    <t>C27001G_006</t>
  </si>
  <si>
    <t>C27001G_007</t>
  </si>
  <si>
    <t>C27001G_008</t>
  </si>
  <si>
    <t>C27001G_009</t>
  </si>
  <si>
    <t>C27001G_010</t>
  </si>
  <si>
    <t>C27001H_002</t>
  </si>
  <si>
    <t>C27001H_003</t>
  </si>
  <si>
    <t>C27001H_004</t>
  </si>
  <si>
    <t>C27001H_005</t>
  </si>
  <si>
    <t>C27001H_006</t>
  </si>
  <si>
    <t>C27001H_007</t>
  </si>
  <si>
    <t>C27001H_008</t>
  </si>
  <si>
    <t>C27001H_009</t>
  </si>
  <si>
    <t>C27001H_010</t>
  </si>
  <si>
    <t>C27001I_002</t>
  </si>
  <si>
    <t>C27001I_003</t>
  </si>
  <si>
    <t>C27001I_004</t>
  </si>
  <si>
    <t>C27001I_005</t>
  </si>
  <si>
    <t>C27001I_006</t>
  </si>
  <si>
    <t>C27001I_007</t>
  </si>
  <si>
    <t>C27001I_008</t>
  </si>
  <si>
    <t>C27001I_009</t>
  </si>
  <si>
    <t>C27001I_010</t>
  </si>
  <si>
    <t>C27004_002</t>
  </si>
  <si>
    <t>C27004_003</t>
  </si>
  <si>
    <t>Estimate!!Total:!!Male:!!Under 19 years:</t>
  </si>
  <si>
    <t>C27004_004</t>
  </si>
  <si>
    <t>Estimate!!Total:!!Male:!!Under 19 years:!!With employer-based health insurance</t>
  </si>
  <si>
    <t>C27004_005</t>
  </si>
  <si>
    <t>Estimate!!Total:!!Male:!!Under 19 years:!!No employer-based health insurance</t>
  </si>
  <si>
    <t>C27004_006</t>
  </si>
  <si>
    <t>Estimate!!Total:!!Male:!!19 to 64 years:</t>
  </si>
  <si>
    <t>C27004_007</t>
  </si>
  <si>
    <t>Estimate!!Total:!!Male:!!19 to 64 years:!!With employer-based health insurance</t>
  </si>
  <si>
    <t>C27004_008</t>
  </si>
  <si>
    <t>Estimate!!Total:!!Male:!!19 to 64 years:!!No employer-based health insurance</t>
  </si>
  <si>
    <t>C27004_009</t>
  </si>
  <si>
    <t>C27004_010</t>
  </si>
  <si>
    <t>Estimate!!Total:!!Male:!!65 years and over:!!With employer-based health insurance</t>
  </si>
  <si>
    <t>C27004_011</t>
  </si>
  <si>
    <t>Estimate!!Total:!!Male:!!65 years and over:!!No employer-based health insurance</t>
  </si>
  <si>
    <t>C27004_012</t>
  </si>
  <si>
    <t>C27004_013</t>
  </si>
  <si>
    <t>Estimate!!Total:!!Female:!!Under 19 years:</t>
  </si>
  <si>
    <t>C27004_014</t>
  </si>
  <si>
    <t>Estimate!!Total:!!Female:!!Under 19 years:!!With employer-based health insurance</t>
  </si>
  <si>
    <t>C27004_015</t>
  </si>
  <si>
    <t>Estimate!!Total:!!Female:!!Under 19 years:!!No employer-based health insurance</t>
  </si>
  <si>
    <t>C27004_016</t>
  </si>
  <si>
    <t>Estimate!!Total:!!Female:!!19 to 64 years:</t>
  </si>
  <si>
    <t>C27004_017</t>
  </si>
  <si>
    <t>Estimate!!Total:!!Female:!!19 to 64 years:!!With employer-based health insurance</t>
  </si>
  <si>
    <t>C27004_018</t>
  </si>
  <si>
    <t>Estimate!!Total:!!Female:!!19 to 64 years:!!No employer-based health insurance</t>
  </si>
  <si>
    <t>C27004_019</t>
  </si>
  <si>
    <t>C27004_020</t>
  </si>
  <si>
    <t>Estimate!!Total:!!Female:!!65 years and over:!!With employer-based health insurance</t>
  </si>
  <si>
    <t>C27004_021</t>
  </si>
  <si>
    <t>Estimate!!Total:!!Female:!!65 years and over:!!No employer-based health insurance</t>
  </si>
  <si>
    <t>C27005_002</t>
  </si>
  <si>
    <t>C27005_003</t>
  </si>
  <si>
    <t>C27005_004</t>
  </si>
  <si>
    <t>Estimate!!Total:!!Male:!!Under 19 years:!!With direct-purchase health insurance</t>
  </si>
  <si>
    <t>C27005_005</t>
  </si>
  <si>
    <t>Estimate!!Total:!!Male:!!Under 19 years:!!No direct-purchase health insurance</t>
  </si>
  <si>
    <t>C27005_006</t>
  </si>
  <si>
    <t>C27005_007</t>
  </si>
  <si>
    <t>Estimate!!Total:!!Male:!!19 to 64 years:!!With direct-purchase health insurance</t>
  </si>
  <si>
    <t>C27005_008</t>
  </si>
  <si>
    <t>Estimate!!Total:!!Male:!!19 to 64 years:!!No direct-purchase health insurance</t>
  </si>
  <si>
    <t>C27005_009</t>
  </si>
  <si>
    <t>C27005_010</t>
  </si>
  <si>
    <t>Estimate!!Total:!!Male:!!65 years and over:!!With direct-purchase health insurance</t>
  </si>
  <si>
    <t>C27005_011</t>
  </si>
  <si>
    <t>Estimate!!Total:!!Male:!!65 years and over:!!No direct-purchase health insurance</t>
  </si>
  <si>
    <t>C27005_012</t>
  </si>
  <si>
    <t>C27005_013</t>
  </si>
  <si>
    <t>C27005_014</t>
  </si>
  <si>
    <t>Estimate!!Total:!!Female:!!Under 19 years:!!With direct-purchase health insurance</t>
  </si>
  <si>
    <t>C27005_015</t>
  </si>
  <si>
    <t>Estimate!!Total:!!Female:!!Under 19 years:!!No direct-purchase health insurance</t>
  </si>
  <si>
    <t>C27005_016</t>
  </si>
  <si>
    <t>C27005_017</t>
  </si>
  <si>
    <t>Estimate!!Total:!!Female:!!19 to 64 years:!!With direct-purchase health insurance</t>
  </si>
  <si>
    <t>C27005_018</t>
  </si>
  <si>
    <t>Estimate!!Total:!!Female:!!19 to 64 years:!!No direct-purchase health insurance</t>
  </si>
  <si>
    <t>C27005_019</t>
  </si>
  <si>
    <t>C27005_020</t>
  </si>
  <si>
    <t>Estimate!!Total:!!Female:!!65 years and over:!!With direct-purchase health insurance</t>
  </si>
  <si>
    <t>C27005_021</t>
  </si>
  <si>
    <t>Estimate!!Total:!!Female:!!65 years and over:!!No direct-purchase health insurance</t>
  </si>
  <si>
    <t>C27006_002</t>
  </si>
  <si>
    <t>C27006_003</t>
  </si>
  <si>
    <t>C27006_004</t>
  </si>
  <si>
    <t>Estimate!!Total:!!Male:!!Under 19 years:!!With Medicare coverage</t>
  </si>
  <si>
    <t>C27006_005</t>
  </si>
  <si>
    <t>Estimate!!Total:!!Male:!!Under 19 years:!!No Medicare coverage</t>
  </si>
  <si>
    <t>C27006_006</t>
  </si>
  <si>
    <t>C27006_007</t>
  </si>
  <si>
    <t>Estimate!!Total:!!Male:!!19 to 64 years:!!With Medicare coverage</t>
  </si>
  <si>
    <t>C27006_008</t>
  </si>
  <si>
    <t>Estimate!!Total:!!Male:!!19 to 64 years:!!No Medicare coverage</t>
  </si>
  <si>
    <t>C27006_009</t>
  </si>
  <si>
    <t>C27006_010</t>
  </si>
  <si>
    <t>Estimate!!Total:!!Male:!!65 years and over:!!With Medicare coverage</t>
  </si>
  <si>
    <t>C27006_011</t>
  </si>
  <si>
    <t>Estimate!!Total:!!Male:!!65 years and over:!!No Medicare coverage</t>
  </si>
  <si>
    <t>C27006_012</t>
  </si>
  <si>
    <t>C27006_013</t>
  </si>
  <si>
    <t>C27006_014</t>
  </si>
  <si>
    <t>Estimate!!Total:!!Female:!!Under 19 years:!!With Medicare coverage</t>
  </si>
  <si>
    <t>C27006_015</t>
  </si>
  <si>
    <t>Estimate!!Total:!!Female:!!Under 19 years:!!No Medicare coverage</t>
  </si>
  <si>
    <t>C27006_016</t>
  </si>
  <si>
    <t>C27006_017</t>
  </si>
  <si>
    <t>Estimate!!Total:!!Female:!!19 to 64 years:!!With Medicare coverage</t>
  </si>
  <si>
    <t>C27006_018</t>
  </si>
  <si>
    <t>Estimate!!Total:!!Female:!!19 to 64 years:!!No Medicare coverage</t>
  </si>
  <si>
    <t>C27006_019</t>
  </si>
  <si>
    <t>C27006_020</t>
  </si>
  <si>
    <t>Estimate!!Total:!!Female:!!65 years and over:!!With Medicare coverage</t>
  </si>
  <si>
    <t>C27006_021</t>
  </si>
  <si>
    <t>Estimate!!Total:!!Female:!!65 years and over:!!No Medicare coverage</t>
  </si>
  <si>
    <t>C27007_002</t>
  </si>
  <si>
    <t>C27007_003</t>
  </si>
  <si>
    <t>C27007_004</t>
  </si>
  <si>
    <t>Estimate!!Total:!!Male:!!Under 19 years:!!With Medicaid/means-tested public coverage</t>
  </si>
  <si>
    <t>C27007_005</t>
  </si>
  <si>
    <t>Estimate!!Total:!!Male:!!Under 19 years:!!No Medicaid/means-tested public coverage</t>
  </si>
  <si>
    <t>C27007_006</t>
  </si>
  <si>
    <t>C27007_007</t>
  </si>
  <si>
    <t>Estimate!!Total:!!Male:!!19 to 64 years:!!With Medicaid/means-tested public coverage</t>
  </si>
  <si>
    <t>C27007_008</t>
  </si>
  <si>
    <t>Estimate!!Total:!!Male:!!19 to 64 years:!!No Medicaid/means-tested public coverage</t>
  </si>
  <si>
    <t>C27007_009</t>
  </si>
  <si>
    <t>C27007_010</t>
  </si>
  <si>
    <t>Estimate!!Total:!!Male:!!65 years and over:!!With Medicaid/means-tested public coverage</t>
  </si>
  <si>
    <t>C27007_011</t>
  </si>
  <si>
    <t>Estimate!!Total:!!Male:!!65 years and over:!!No Medicaid/means-tested public coverage</t>
  </si>
  <si>
    <t>C27007_012</t>
  </si>
  <si>
    <t>C27007_013</t>
  </si>
  <si>
    <t>C27007_014</t>
  </si>
  <si>
    <t>Estimate!!Total:!!Female:!!Under 19 years:!!With Medicaid/means-tested public coverage</t>
  </si>
  <si>
    <t>C27007_015</t>
  </si>
  <si>
    <t>Estimate!!Total:!!Female:!!Under 19 years:!!No Medicaid/means-tested public coverage</t>
  </si>
  <si>
    <t>C27007_016</t>
  </si>
  <si>
    <t>C27007_017</t>
  </si>
  <si>
    <t>Estimate!!Total:!!Female:!!19 to 64 years:!!With Medicaid/means-tested public coverage</t>
  </si>
  <si>
    <t>C27007_018</t>
  </si>
  <si>
    <t>Estimate!!Total:!!Female:!!19 to 64 years:!!No Medicaid/means-tested public coverage</t>
  </si>
  <si>
    <t>C27007_019</t>
  </si>
  <si>
    <t>C27007_020</t>
  </si>
  <si>
    <t>Estimate!!Total:!!Female:!!65 years and over:!!With Medicaid/means-tested public coverage</t>
  </si>
  <si>
    <t>C27007_021</t>
  </si>
  <si>
    <t>Estimate!!Total:!!Female:!!65 years and over:!!No Medicaid/means-tested public coverage</t>
  </si>
  <si>
    <t>C27008_002</t>
  </si>
  <si>
    <t>C27008_003</t>
  </si>
  <si>
    <t>C27008_004</t>
  </si>
  <si>
    <t>Estimate!!Total:!!Male:!!Under 19 years:!!With TRICARE/military health coverage</t>
  </si>
  <si>
    <t>C27008_005</t>
  </si>
  <si>
    <t>Estimate!!Total:!!Male:!!Under 19 years:!!No TRICARE/military health coverage</t>
  </si>
  <si>
    <t>C27008_006</t>
  </si>
  <si>
    <t>C27008_007</t>
  </si>
  <si>
    <t>Estimate!!Total:!!Male:!!19 to 64 years:!!With TRICARE/military health coverage</t>
  </si>
  <si>
    <t>C27008_008</t>
  </si>
  <si>
    <t>Estimate!!Total:!!Male:!!19 to 64 years:!!No TRICARE/military health coverage</t>
  </si>
  <si>
    <t>C27008_009</t>
  </si>
  <si>
    <t>C27008_010</t>
  </si>
  <si>
    <t>Estimate!!Total:!!Male:!!65 years and over:!!With TRICARE/military health coverage</t>
  </si>
  <si>
    <t>C27008_011</t>
  </si>
  <si>
    <t>Estimate!!Total:!!Male:!!65 years and over:!!No TRICARE/military health coverage</t>
  </si>
  <si>
    <t>C27008_012</t>
  </si>
  <si>
    <t>C27008_013</t>
  </si>
  <si>
    <t>C27008_014</t>
  </si>
  <si>
    <t>Estimate!!Total:!!Female:!!Under 19 years:!!With TRICARE/military health coverage</t>
  </si>
  <si>
    <t>C27008_015</t>
  </si>
  <si>
    <t>Estimate!!Total:!!Female:!!Under 19 years:!!No TRICARE/military health coverage</t>
  </si>
  <si>
    <t>C27008_016</t>
  </si>
  <si>
    <t>C27008_017</t>
  </si>
  <si>
    <t>Estimate!!Total:!!Female:!!19 to 64 years:!!With TRICARE/military health coverage</t>
  </si>
  <si>
    <t>C27008_018</t>
  </si>
  <si>
    <t>Estimate!!Total:!!Female:!!19 to 64 years:!!No TRICARE/military health coverage</t>
  </si>
  <si>
    <t>C27008_019</t>
  </si>
  <si>
    <t>C27008_020</t>
  </si>
  <si>
    <t>Estimate!!Total:!!Female:!!65 years and over:!!With TRICARE/military health coverage</t>
  </si>
  <si>
    <t>C27008_021</t>
  </si>
  <si>
    <t>Estimate!!Total:!!Female:!!65 years and over:!!No TRICARE/military health coverage</t>
  </si>
  <si>
    <t>C27009_002</t>
  </si>
  <si>
    <t>C27009_003</t>
  </si>
  <si>
    <t>C27009_004</t>
  </si>
  <si>
    <t>Estimate!!Total:!!Male:!!Under 19 years:!!With VA Health Care</t>
  </si>
  <si>
    <t>C27009_005</t>
  </si>
  <si>
    <t>Estimate!!Total:!!Male:!!Under 19 years:!!No VA Health Care</t>
  </si>
  <si>
    <t>C27009_006</t>
  </si>
  <si>
    <t>C27009_007</t>
  </si>
  <si>
    <t>Estimate!!Total:!!Male:!!19 to 64 years:!!With VA Health Care</t>
  </si>
  <si>
    <t>C27009_008</t>
  </si>
  <si>
    <t>Estimate!!Total:!!Male:!!19 to 64 years:!!No VA Health Care</t>
  </si>
  <si>
    <t>C27009_009</t>
  </si>
  <si>
    <t>C27009_010</t>
  </si>
  <si>
    <t>Estimate!!Total:!!Male:!!65 years and over:!!With VA Health Care</t>
  </si>
  <si>
    <t>C27009_011</t>
  </si>
  <si>
    <t>Estimate!!Total:!!Male:!!65 years and over:!!No VA Health Care</t>
  </si>
  <si>
    <t>C27009_012</t>
  </si>
  <si>
    <t>C27009_013</t>
  </si>
  <si>
    <t>C27009_014</t>
  </si>
  <si>
    <t>Estimate!!Total:!!Female:!!Under 19 years:!!With VA Health Care</t>
  </si>
  <si>
    <t>C27009_015</t>
  </si>
  <si>
    <t>Estimate!!Total:!!Female:!!Under 19 years:!!No VA Health Care</t>
  </si>
  <si>
    <t>C27009_016</t>
  </si>
  <si>
    <t>C27009_017</t>
  </si>
  <si>
    <t>Estimate!!Total:!!Female:!!19 to 64 years:!!With VA Health Care</t>
  </si>
  <si>
    <t>C27009_018</t>
  </si>
  <si>
    <t>Estimate!!Total:!!Female:!!19 to 64 years:!!No VA Health Care</t>
  </si>
  <si>
    <t>C27009_019</t>
  </si>
  <si>
    <t>C27009_020</t>
  </si>
  <si>
    <t>Estimate!!Total:!!Female:!!65 years and over:!!With VA Health Care</t>
  </si>
  <si>
    <t>C27009_021</t>
  </si>
  <si>
    <t>Estimate!!Total:!!Female:!!65 years and over:!!No VA Health Care</t>
  </si>
  <si>
    <t>C27012_002</t>
  </si>
  <si>
    <t>Estimate!!Total:!!Worked full-time, year-round:</t>
  </si>
  <si>
    <t>C27012_003</t>
  </si>
  <si>
    <t>Estimate!!Total:!!Worked full-time, year-round:!!With health insurance coverage</t>
  </si>
  <si>
    <t>C27012_004</t>
  </si>
  <si>
    <t>Estimate!!Total:!!Worked full-time, year-round:!!With health insurance coverage!!With employer-based health insurance</t>
  </si>
  <si>
    <t>C27012_005</t>
  </si>
  <si>
    <t>Estimate!!Total:!!Worked full-time, year-round:!!With health insurance coverage!!With direct-purchase health insurance</t>
  </si>
  <si>
    <t>C27012_006</t>
  </si>
  <si>
    <t>Estimate!!Total:!!Worked full-time, year-round:!!With health insurance coverage!!With Medicare coverage</t>
  </si>
  <si>
    <t>C27012_007</t>
  </si>
  <si>
    <t>Estimate!!Total:!!Worked full-time, year-round:!!With health insurance coverage!!With Medicaid/means-tested public coverage</t>
  </si>
  <si>
    <t>C27012_008</t>
  </si>
  <si>
    <t>Estimate!!Total:!!Worked full-time, year-round:!!No health insurance coverage</t>
  </si>
  <si>
    <t>C27012_009</t>
  </si>
  <si>
    <t>Estimate!!Total:!!Worked less than full-time, year-round:</t>
  </si>
  <si>
    <t>C27012_010</t>
  </si>
  <si>
    <t>Estimate!!Total:!!Worked less than full-time, year-round:!!With health insurance coverage</t>
  </si>
  <si>
    <t>C27012_011</t>
  </si>
  <si>
    <t>Estimate!!Total:!!Worked less than full-time, year-round:!!With health insurance coverage!!With employer-based health insurance</t>
  </si>
  <si>
    <t>C27012_012</t>
  </si>
  <si>
    <t>Estimate!!Total:!!Worked less than full-time, year-round:!!With health insurance coverage!!With direct-purchase health insurance</t>
  </si>
  <si>
    <t>C27012_013</t>
  </si>
  <si>
    <t>Estimate!!Total:!!Worked less than full-time, year-round:!!With health insurance coverage!!With Medicare coverage</t>
  </si>
  <si>
    <t>C27012_014</t>
  </si>
  <si>
    <t>Estimate!!Total:!!Worked less than full-time, year-round:!!With health insurance coverage!!With Medicaid/means-tested public coverage</t>
  </si>
  <si>
    <t>C27012_015</t>
  </si>
  <si>
    <t>Estimate!!Total:!!Worked less than full-time, year-round:!!No health insurance coverage</t>
  </si>
  <si>
    <t>C27012_016</t>
  </si>
  <si>
    <t>C27012_017</t>
  </si>
  <si>
    <t>Estimate!!Total:!!Did not work:!!With health insurance coverage</t>
  </si>
  <si>
    <t>C27012_018</t>
  </si>
  <si>
    <t>Estimate!!Total:!!Did not work:!!With health insurance coverage!!With employer-based health insurance</t>
  </si>
  <si>
    <t>C27012_019</t>
  </si>
  <si>
    <t>Estimate!!Total:!!Did not work:!!With health insurance coverage!!With direct-purchase health insurance</t>
  </si>
  <si>
    <t>C27012_020</t>
  </si>
  <si>
    <t>Estimate!!Total:!!Did not work:!!With health insurance coverage!!With Medicare coverage</t>
  </si>
  <si>
    <t>C27012_021</t>
  </si>
  <si>
    <t>Estimate!!Total:!!Did not work:!!With health insurance coverage!!With Medicaid/means-tested public coverage</t>
  </si>
  <si>
    <t>C27012_022</t>
  </si>
  <si>
    <t>Estimate!!Total:!!Did not work:!!No health insurance coverage</t>
  </si>
  <si>
    <t>C27013_002</t>
  </si>
  <si>
    <t>C27013_003</t>
  </si>
  <si>
    <t>Estimate!!Total:!!Worked full-time, year-round:!!With private health insurance</t>
  </si>
  <si>
    <t>C27013_004</t>
  </si>
  <si>
    <t>Estimate!!Total:!!Worked full-time, year-round:!!No private health insurance</t>
  </si>
  <si>
    <t>C27013_005</t>
  </si>
  <si>
    <t>C27013_006</t>
  </si>
  <si>
    <t>Estimate!!Total:!!Worked less than full-time, year-round:!!With private health insurance</t>
  </si>
  <si>
    <t>C27013_007</t>
  </si>
  <si>
    <t>Estimate!!Total:!!Worked less than full-time, year-round:!!No private health insurance</t>
  </si>
  <si>
    <t>C27013_008</t>
  </si>
  <si>
    <t>C27013_009</t>
  </si>
  <si>
    <t>Estimate!!Total:!!Did not work:!!With private health insurance</t>
  </si>
  <si>
    <t>C27013_010</t>
  </si>
  <si>
    <t>Estimate!!Total:!!Did not work:!!No private health insurance</t>
  </si>
  <si>
    <t>C27014_002</t>
  </si>
  <si>
    <t>C27014_003</t>
  </si>
  <si>
    <t>Estimate!!Total:!!Worked full-time, year-round:!!With public coverage</t>
  </si>
  <si>
    <t>C27014_004</t>
  </si>
  <si>
    <t>Estimate!!Total:!!Worked full-time, year-round:!!No public coverage</t>
  </si>
  <si>
    <t>C27014_005</t>
  </si>
  <si>
    <t>C27014_006</t>
  </si>
  <si>
    <t>Estimate!!Total:!!Worked less than full-time, year-round:!!With public coverage</t>
  </si>
  <si>
    <t>C27014_007</t>
  </si>
  <si>
    <t>Estimate!!Total:!!Worked less than full-time, year-round:!!No public coverage</t>
  </si>
  <si>
    <t>C27014_008</t>
  </si>
  <si>
    <t>C27014_009</t>
  </si>
  <si>
    <t>Estimate!!Total:!!Did not work:!!With public coverage</t>
  </si>
  <si>
    <t>C27014_010</t>
  </si>
  <si>
    <t>Estimate!!Total:!!Did not work:!!No public coverage</t>
  </si>
  <si>
    <t>C27016_002</t>
  </si>
  <si>
    <t>Estimate!!Total:!!Under 1.00 of poverty threshold:</t>
  </si>
  <si>
    <t>C27016_003</t>
  </si>
  <si>
    <t>Estimate!!Total:!!Under 1.00 of poverty threshold:!!Under 19 years:</t>
  </si>
  <si>
    <t>C27016_004</t>
  </si>
  <si>
    <t>Estimate!!Total:!!Under 1.00 of poverty threshold:!!Under 19 years:!!With health insurance coverage</t>
  </si>
  <si>
    <t>C27016_005</t>
  </si>
  <si>
    <t>Estimate!!Total:!!Under 1.00 of poverty threshold:!!Under 19 years:!!No health insurance coverage</t>
  </si>
  <si>
    <t>C27016_006</t>
  </si>
  <si>
    <t>Estimate!!Total:!!Under 1.00 of poverty threshold:!!19 to 64 years:</t>
  </si>
  <si>
    <t>C27016_007</t>
  </si>
  <si>
    <t>Estimate!!Total:!!Under 1.00 of poverty threshold:!!19 to 64 years:!!With health insurance coverage</t>
  </si>
  <si>
    <t>C27016_008</t>
  </si>
  <si>
    <t>Estimate!!Total:!!Under 1.00 of poverty threshold:!!19 to 64 years:!!No health insurance coverage</t>
  </si>
  <si>
    <t>C27016_009</t>
  </si>
  <si>
    <t>Estimate!!Total:!!Under 1.00 of poverty threshold:!!65 years and over:</t>
  </si>
  <si>
    <t>C27016_010</t>
  </si>
  <si>
    <t>Estimate!!Total:!!Under 1.00 of poverty threshold:!!65 years and over:!!With health insurance coverage</t>
  </si>
  <si>
    <t>C27016_011</t>
  </si>
  <si>
    <t>Estimate!!Total:!!Under 1.00 of poverty threshold:!!65 years and over:!!No health insurance coverage</t>
  </si>
  <si>
    <t>C27016_012</t>
  </si>
  <si>
    <t>Estimate!!Total:!!1.00 to 1.37 of poverty threshold:</t>
  </si>
  <si>
    <t>C27016_013</t>
  </si>
  <si>
    <t>Estimate!!Total:!!1.00 to 1.37 of poverty threshold:!!Under 19 years:</t>
  </si>
  <si>
    <t>C27016_014</t>
  </si>
  <si>
    <t>Estimate!!Total:!!1.00 to 1.37 of poverty threshold:!!Under 19 years:!!With health insurance coverage</t>
  </si>
  <si>
    <t>C27016_015</t>
  </si>
  <si>
    <t>Estimate!!Total:!!1.00 to 1.37 of poverty threshold:!!Under 19 years:!!No health insurance coverage</t>
  </si>
  <si>
    <t>C27016_016</t>
  </si>
  <si>
    <t>Estimate!!Total:!!1.00 to 1.37 of poverty threshold:!!19 to 64 years:</t>
  </si>
  <si>
    <t>C27016_017</t>
  </si>
  <si>
    <t>Estimate!!Total:!!1.00 to 1.37 of poverty threshold:!!19 to 64 years:!!With health insurance coverage</t>
  </si>
  <si>
    <t>C27016_018</t>
  </si>
  <si>
    <t>Estimate!!Total:!!1.00 to 1.37 of poverty threshold:!!19 to 64 years:!!No health insurance coverage</t>
  </si>
  <si>
    <t>C27016_019</t>
  </si>
  <si>
    <t>Estimate!!Total:!!1.00 to 1.37 of poverty threshold:!!65 years and over:</t>
  </si>
  <si>
    <t>C27016_020</t>
  </si>
  <si>
    <t>Estimate!!Total:!!1.00 to 1.37 of poverty threshold:!!65 years and over:!!With health insurance coverage</t>
  </si>
  <si>
    <t>C27016_021</t>
  </si>
  <si>
    <t>Estimate!!Total:!!1.00 to 1.37 of poverty threshold:!!65 years and over:!!No health insurance coverage</t>
  </si>
  <si>
    <t>C27016_022</t>
  </si>
  <si>
    <t>Estimate!!Total:!!1.38 to 1.99 of poverty threshold:</t>
  </si>
  <si>
    <t>C27016_023</t>
  </si>
  <si>
    <t>Estimate!!Total:!!1.38 to 1.99 of poverty threshold:!!Under 19 years:</t>
  </si>
  <si>
    <t>C27016_024</t>
  </si>
  <si>
    <t>Estimate!!Total:!!1.38 to 1.99 of poverty threshold:!!Under 19 years:!!With health insurance coverage</t>
  </si>
  <si>
    <t>C27016_025</t>
  </si>
  <si>
    <t>Estimate!!Total:!!1.38 to 1.99 of poverty threshold:!!Under 19 years:!!No health insurance coverage</t>
  </si>
  <si>
    <t>C27016_026</t>
  </si>
  <si>
    <t>Estimate!!Total:!!1.38 to 1.99 of poverty threshold:!!19 to 64 years:</t>
  </si>
  <si>
    <t>C27016_027</t>
  </si>
  <si>
    <t>Estimate!!Total:!!1.38 to 1.99 of poverty threshold:!!19 to 64 years:!!With health insurance coverage</t>
  </si>
  <si>
    <t>C27016_028</t>
  </si>
  <si>
    <t>Estimate!!Total:!!1.38 to 1.99 of poverty threshold:!!19 to 64 years:!!No health insurance coverage</t>
  </si>
  <si>
    <t>C27016_029</t>
  </si>
  <si>
    <t>Estimate!!Total:!!1.38 to 1.99 of poverty threshold:!!65 years and over:</t>
  </si>
  <si>
    <t>C27016_030</t>
  </si>
  <si>
    <t>Estimate!!Total:!!1.38 to 1.99 of poverty threshold:!!65 years and over:!!With health insurance coverage</t>
  </si>
  <si>
    <t>C27016_031</t>
  </si>
  <si>
    <t>Estimate!!Total:!!1.38 to 1.99 of poverty threshold:!!65 years and over:!!No health insurance coverage</t>
  </si>
  <si>
    <t>C27016_032</t>
  </si>
  <si>
    <t>Estimate!!Total:!!2.00 to 3.99 of poverty threshold:</t>
  </si>
  <si>
    <t>C27016_033</t>
  </si>
  <si>
    <t>Estimate!!Total:!!2.00 to 3.99 of poverty threshold:!!Under 19 years:</t>
  </si>
  <si>
    <t>C27016_034</t>
  </si>
  <si>
    <t>Estimate!!Total:!!2.00 to 3.99 of poverty threshold:!!Under 19 years:!!With health insurance coverage</t>
  </si>
  <si>
    <t>C27016_035</t>
  </si>
  <si>
    <t>Estimate!!Total:!!2.00 to 3.99 of poverty threshold:!!Under 19 years:!!No health insurance coverage</t>
  </si>
  <si>
    <t>C27016_036</t>
  </si>
  <si>
    <t>Estimate!!Total:!!2.00 to 3.99 of poverty threshold:!!19 to 64 years:</t>
  </si>
  <si>
    <t>C27016_037</t>
  </si>
  <si>
    <t>Estimate!!Total:!!2.00 to 3.99 of poverty threshold:!!19 to 64 years:!!With health insurance coverage</t>
  </si>
  <si>
    <t>C27016_038</t>
  </si>
  <si>
    <t>Estimate!!Total:!!2.00 to 3.99 of poverty threshold:!!19 to 64 years:!!No health insurance coverage</t>
  </si>
  <si>
    <t>C27016_039</t>
  </si>
  <si>
    <t>Estimate!!Total:!!2.00 to 3.99 of poverty threshold:!!65 years and over:</t>
  </si>
  <si>
    <t>C27016_040</t>
  </si>
  <si>
    <t>Estimate!!Total:!!2.00 to 3.99 of poverty threshold:!!65 years and over:!!With health insurance coverage</t>
  </si>
  <si>
    <t>C27016_041</t>
  </si>
  <si>
    <t>Estimate!!Total:!!2.00 to 3.99 of poverty threshold:!!65 years and over:!!No health insurance coverage</t>
  </si>
  <si>
    <t>C27016_042</t>
  </si>
  <si>
    <t>Estimate!!Total:!!4.00 of poverty threshold and over:</t>
  </si>
  <si>
    <t>C27016_043</t>
  </si>
  <si>
    <t>Estimate!!Total:!!4.00 of poverty threshold and over:!!Under 19 years:</t>
  </si>
  <si>
    <t>C27016_044</t>
  </si>
  <si>
    <t>Estimate!!Total:!!4.00 of poverty threshold and over:!!Under 19 years:!!With health insurance coverage</t>
  </si>
  <si>
    <t>C27016_045</t>
  </si>
  <si>
    <t>Estimate!!Total:!!4.00 of poverty threshold and over:!!Under 19 years:!!No health insurance coverage</t>
  </si>
  <si>
    <t>C27016_046</t>
  </si>
  <si>
    <t>Estimate!!Total:!!4.00 of poverty threshold and over:!!19 to 64 years:</t>
  </si>
  <si>
    <t>C27016_047</t>
  </si>
  <si>
    <t>Estimate!!Total:!!4.00 of poverty threshold and over:!!19 to 64 years:!!With health insurance coverage</t>
  </si>
  <si>
    <t>C27016_048</t>
  </si>
  <si>
    <t>Estimate!!Total:!!4.00 of poverty threshold and over:!!19 to 64 years:!!No health insurance coverage</t>
  </si>
  <si>
    <t>C27016_049</t>
  </si>
  <si>
    <t>Estimate!!Total:!!4.00 of poverty threshold and over:!!65 years and over:</t>
  </si>
  <si>
    <t>C27016_050</t>
  </si>
  <si>
    <t>Estimate!!Total:!!4.00 of poverty threshold and over:!!65 years and over:!!With health insurance coverage</t>
  </si>
  <si>
    <t>C27016_051</t>
  </si>
  <si>
    <t>Estimate!!Total:!!4.00 of poverty threshold and over:!!65 years and over:!!No health insurance coverage</t>
  </si>
  <si>
    <t>C27017_002</t>
  </si>
  <si>
    <t>C27017_003</t>
  </si>
  <si>
    <t>C27017_004</t>
  </si>
  <si>
    <t>Estimate!!Total:!!Under 1.00 of poverty threshold:!!Under 19 years:!!With private health insurance</t>
  </si>
  <si>
    <t>C27017_005</t>
  </si>
  <si>
    <t>Estimate!!Total:!!Under 1.00 of poverty threshold:!!Under 19 years:!!No private health insurance</t>
  </si>
  <si>
    <t>C27017_006</t>
  </si>
  <si>
    <t>C27017_007</t>
  </si>
  <si>
    <t>Estimate!!Total:!!Under 1.00 of poverty threshold:!!19 to 64 years:!!With private health insurance</t>
  </si>
  <si>
    <t>C27017_008</t>
  </si>
  <si>
    <t>Estimate!!Total:!!Under 1.00 of poverty threshold:!!19 to 64 years:!!No private health insurance</t>
  </si>
  <si>
    <t>C27017_009</t>
  </si>
  <si>
    <t>C27017_010</t>
  </si>
  <si>
    <t>Estimate!!Total:!!Under 1.00 of poverty threshold:!!65 years and over:!!With private health insurance</t>
  </si>
  <si>
    <t>C27017_011</t>
  </si>
  <si>
    <t>Estimate!!Total:!!Under 1.00 of poverty threshold:!!65 years and over:!!No private health insurance</t>
  </si>
  <si>
    <t>C27017_012</t>
  </si>
  <si>
    <t>C27017_013</t>
  </si>
  <si>
    <t>C27017_014</t>
  </si>
  <si>
    <t>Estimate!!Total:!!1.00 to 1.37 of poverty threshold:!!Under 19 years:!!With private health insurance</t>
  </si>
  <si>
    <t>C27017_015</t>
  </si>
  <si>
    <t>Estimate!!Total:!!1.00 to 1.37 of poverty threshold:!!Under 19 years:!!No private health insurance</t>
  </si>
  <si>
    <t>C27017_016</t>
  </si>
  <si>
    <t>C27017_017</t>
  </si>
  <si>
    <t>Estimate!!Total:!!1.00 to 1.37 of poverty threshold:!!19 to 64 years:!!With private health insurance</t>
  </si>
  <si>
    <t>C27017_018</t>
  </si>
  <si>
    <t>Estimate!!Total:!!1.00 to 1.37 of poverty threshold:!!19 to 64 years:!!No private health insurance</t>
  </si>
  <si>
    <t>C27017_019</t>
  </si>
  <si>
    <t>C27017_020</t>
  </si>
  <si>
    <t>Estimate!!Total:!!1.00 to 1.37 of poverty threshold:!!65 years and over:!!With private health insurance</t>
  </si>
  <si>
    <t>C27017_021</t>
  </si>
  <si>
    <t>Estimate!!Total:!!1.00 to 1.37 of poverty threshold:!!65 years and over:!!No private health insurance</t>
  </si>
  <si>
    <t>C27017_022</t>
  </si>
  <si>
    <t>C27017_023</t>
  </si>
  <si>
    <t>C27017_024</t>
  </si>
  <si>
    <t>Estimate!!Total:!!1.38 to 1.99 of poverty threshold:!!Under 19 years:!!With private health insurance</t>
  </si>
  <si>
    <t>C27017_025</t>
  </si>
  <si>
    <t>Estimate!!Total:!!1.38 to 1.99 of poverty threshold:!!Under 19 years:!!No private health insurance</t>
  </si>
  <si>
    <t>C27017_026</t>
  </si>
  <si>
    <t>C27017_027</t>
  </si>
  <si>
    <t>Estimate!!Total:!!1.38 to 1.99 of poverty threshold:!!19 to 64 years:!!With private health insurance</t>
  </si>
  <si>
    <t>C27017_028</t>
  </si>
  <si>
    <t>Estimate!!Total:!!1.38 to 1.99 of poverty threshold:!!19 to 64 years:!!No private health insurance</t>
  </si>
  <si>
    <t>C27017_029</t>
  </si>
  <si>
    <t>C27017_030</t>
  </si>
  <si>
    <t>Estimate!!Total:!!1.38 to 1.99 of poverty threshold:!!65 years and over:!!With private health insurance</t>
  </si>
  <si>
    <t>C27017_031</t>
  </si>
  <si>
    <t>Estimate!!Total:!!1.38 to 1.99 of poverty threshold:!!65 years and over:!!No private health insurance</t>
  </si>
  <si>
    <t>C27017_032</t>
  </si>
  <si>
    <t>C27017_033</t>
  </si>
  <si>
    <t>C27017_034</t>
  </si>
  <si>
    <t>Estimate!!Total:!!2.00 to 3.99 of poverty threshold:!!Under 19 years:!!With private health insurance</t>
  </si>
  <si>
    <t>C27017_035</t>
  </si>
  <si>
    <t>Estimate!!Total:!!2.00 to 3.99 of poverty threshold:!!Under 19 years:!!No private health insurance</t>
  </si>
  <si>
    <t>C27017_036</t>
  </si>
  <si>
    <t>C27017_037</t>
  </si>
  <si>
    <t>Estimate!!Total:!!2.00 to 3.99 of poverty threshold:!!19 to 64 years:!!With private health insurance</t>
  </si>
  <si>
    <t>C27017_038</t>
  </si>
  <si>
    <t>Estimate!!Total:!!2.00 to 3.99 of poverty threshold:!!19 to 64 years:!!No private health insurance</t>
  </si>
  <si>
    <t>C27017_039</t>
  </si>
  <si>
    <t>C27017_040</t>
  </si>
  <si>
    <t>Estimate!!Total:!!2.00 to 3.99 of poverty threshold:!!65 years and over:!!With private health insurance</t>
  </si>
  <si>
    <t>C27017_041</t>
  </si>
  <si>
    <t>Estimate!!Total:!!2.00 to 3.99 of poverty threshold:!!65 years and over:!!No private health insurance</t>
  </si>
  <si>
    <t>C27017_042</t>
  </si>
  <si>
    <t>C27017_043</t>
  </si>
  <si>
    <t>C27017_044</t>
  </si>
  <si>
    <t>Estimate!!Total:!!4.00 of poverty threshold and over:!!Under 19 years:!!With private health insurance</t>
  </si>
  <si>
    <t>C27017_045</t>
  </si>
  <si>
    <t>Estimate!!Total:!!4.00 of poverty threshold and over:!!Under 19 years:!!No private health insurance</t>
  </si>
  <si>
    <t>C27017_046</t>
  </si>
  <si>
    <t>C27017_047</t>
  </si>
  <si>
    <t>Estimate!!Total:!!4.00 of poverty threshold and over:!!19 to 64 years:!!With private health insurance</t>
  </si>
  <si>
    <t>C27017_048</t>
  </si>
  <si>
    <t>Estimate!!Total:!!4.00 of poverty threshold and over:!!19 to 64 years:!!No private health insurance</t>
  </si>
  <si>
    <t>C27017_049</t>
  </si>
  <si>
    <t>C27017_050</t>
  </si>
  <si>
    <t>Estimate!!Total:!!4.00 of poverty threshold and over:!!65 years and over:!!With private health insurance</t>
  </si>
  <si>
    <t>C27017_051</t>
  </si>
  <si>
    <t>Estimate!!Total:!!4.00 of poverty threshold and over:!!65 years and over:!!No private health insurance</t>
  </si>
  <si>
    <t>C27018_002</t>
  </si>
  <si>
    <t>C27018_003</t>
  </si>
  <si>
    <t>C27018_004</t>
  </si>
  <si>
    <t>Estimate!!Total:!!Under 1.00 of poverty threshold:!!Under 19 years:!!With public coverage</t>
  </si>
  <si>
    <t>C27018_005</t>
  </si>
  <si>
    <t>Estimate!!Total:!!Under 1.00 of poverty threshold:!!Under 19 years:!!No public coverage</t>
  </si>
  <si>
    <t>C27018_006</t>
  </si>
  <si>
    <t>C27018_007</t>
  </si>
  <si>
    <t>Estimate!!Total:!!Under 1.00 of poverty threshold:!!19 to 64 years:!!With public coverage</t>
  </si>
  <si>
    <t>C27018_008</t>
  </si>
  <si>
    <t>Estimate!!Total:!!Under 1.00 of poverty threshold:!!19 to 64 years:!!No public coverage</t>
  </si>
  <si>
    <t>C27018_009</t>
  </si>
  <si>
    <t>C27018_010</t>
  </si>
  <si>
    <t>Estimate!!Total:!!Under 1.00 of poverty threshold:!!65 years and over:!!With public coverage</t>
  </si>
  <si>
    <t>C27018_011</t>
  </si>
  <si>
    <t>Estimate!!Total:!!Under 1.00 of poverty threshold:!!65 years and over:!!No public coverage</t>
  </si>
  <si>
    <t>C27018_012</t>
  </si>
  <si>
    <t>C27018_013</t>
  </si>
  <si>
    <t>C27018_014</t>
  </si>
  <si>
    <t>Estimate!!Total:!!1.00 to 1.37 of poverty threshold:!!Under 19 years:!!With public coverage</t>
  </si>
  <si>
    <t>C27018_015</t>
  </si>
  <si>
    <t>Estimate!!Total:!!1.00 to 1.37 of poverty threshold:!!Under 19 years:!!No public coverage</t>
  </si>
  <si>
    <t>C27018_016</t>
  </si>
  <si>
    <t>C27018_017</t>
  </si>
  <si>
    <t>Estimate!!Total:!!1.00 to 1.37 of poverty threshold:!!19 to 64 years:!!With public coverage</t>
  </si>
  <si>
    <t>C27018_018</t>
  </si>
  <si>
    <t>Estimate!!Total:!!1.00 to 1.37 of poverty threshold:!!19 to 64 years:!!No public coverage</t>
  </si>
  <si>
    <t>C27018_019</t>
  </si>
  <si>
    <t>C27018_020</t>
  </si>
  <si>
    <t>Estimate!!Total:!!1.00 to 1.37 of poverty threshold:!!65 years and over:!!With public coverage</t>
  </si>
  <si>
    <t>C27018_021</t>
  </si>
  <si>
    <t>Estimate!!Total:!!1.00 to 1.37 of poverty threshold:!!65 years and over:!!No public coverage</t>
  </si>
  <si>
    <t>C27018_022</t>
  </si>
  <si>
    <t>C27018_023</t>
  </si>
  <si>
    <t>C27018_024</t>
  </si>
  <si>
    <t>Estimate!!Total:!!1.38 to 1.99 of poverty threshold:!!Under 19 years:!!With public coverage</t>
  </si>
  <si>
    <t>C27018_025</t>
  </si>
  <si>
    <t>Estimate!!Total:!!1.38 to 1.99 of poverty threshold:!!Under 19 years:!!No public coverage</t>
  </si>
  <si>
    <t>C27018_026</t>
  </si>
  <si>
    <t>C27018_027</t>
  </si>
  <si>
    <t>Estimate!!Total:!!1.38 to 1.99 of poverty threshold:!!19 to 64 years:!!With public coverage</t>
  </si>
  <si>
    <t>C27018_028</t>
  </si>
  <si>
    <t>Estimate!!Total:!!1.38 to 1.99 of poverty threshold:!!19 to 64 years:!!No public coverage</t>
  </si>
  <si>
    <t>C27018_029</t>
  </si>
  <si>
    <t>C27018_030</t>
  </si>
  <si>
    <t>Estimate!!Total:!!1.38 to 1.99 of poverty threshold:!!65 years and over:!!With public coverage</t>
  </si>
  <si>
    <t>C27018_031</t>
  </si>
  <si>
    <t>Estimate!!Total:!!1.38 to 1.99 of poverty threshold:!!65 years and over:!!No public coverage</t>
  </si>
  <si>
    <t>C27018_032</t>
  </si>
  <si>
    <t>C27018_033</t>
  </si>
  <si>
    <t>C27018_034</t>
  </si>
  <si>
    <t>Estimate!!Total:!!2.00 to 3.99 of poverty threshold:!!Under 19 years:!!With public coverage</t>
  </si>
  <si>
    <t>C27018_035</t>
  </si>
  <si>
    <t>Estimate!!Total:!!2.00 to 3.99 of poverty threshold:!!Under 19 years:!!No public coverage</t>
  </si>
  <si>
    <t>C27018_036</t>
  </si>
  <si>
    <t>C27018_037</t>
  </si>
  <si>
    <t>Estimate!!Total:!!2.00 to 3.99 of poverty threshold:!!19 to 64 years:!!With public coverage</t>
  </si>
  <si>
    <t>C27018_038</t>
  </si>
  <si>
    <t>Estimate!!Total:!!2.00 to 3.99 of poverty threshold:!!19 to 64 years:!!No public coverage</t>
  </si>
  <si>
    <t>C27018_039</t>
  </si>
  <si>
    <t>C27018_040</t>
  </si>
  <si>
    <t>Estimate!!Total:!!2.00 to 3.99 of poverty threshold:!!65 years and over:!!With public coverage</t>
  </si>
  <si>
    <t>C27018_041</t>
  </si>
  <si>
    <t>Estimate!!Total:!!2.00 to 3.99 of poverty threshold:!!65 years and over:!!No public coverage</t>
  </si>
  <si>
    <t>C27018_042</t>
  </si>
  <si>
    <t>C27018_043</t>
  </si>
  <si>
    <t>C27018_044</t>
  </si>
  <si>
    <t>Estimate!!Total:!!4.00 of poverty threshold and over:!!Under 19 years:!!With public coverage</t>
  </si>
  <si>
    <t>C27018_045</t>
  </si>
  <si>
    <t>Estimate!!Total:!!4.00 of poverty threshold and over:!!Under 19 years:!!No public coverage</t>
  </si>
  <si>
    <t>C27018_046</t>
  </si>
  <si>
    <t>C27018_047</t>
  </si>
  <si>
    <t>Estimate!!Total:!!4.00 of poverty threshold and over:!!19 to 64 years:!!With public coverage</t>
  </si>
  <si>
    <t>C27018_048</t>
  </si>
  <si>
    <t>Estimate!!Total:!!4.00 of poverty threshold and over:!!19 to 64 years:!!No public coverage</t>
  </si>
  <si>
    <t>C27018_049</t>
  </si>
  <si>
    <t>C27018_050</t>
  </si>
  <si>
    <t>Estimate!!Total:!!4.00 of poverty threshold and over:!!65 years and over:!!With public coverage</t>
  </si>
  <si>
    <t>C27018_051</t>
  </si>
  <si>
    <t>Estimate!!Total:!!4.00 of poverty threshold and over:!!65 years and over:!!No public coverage</t>
  </si>
  <si>
    <t>C27021_002</t>
  </si>
  <si>
    <t>C27021_003</t>
  </si>
  <si>
    <t>Estimate!!Total:!!In family households:!!In married couple families:</t>
  </si>
  <si>
    <t>C27021_004</t>
  </si>
  <si>
    <t>Estimate!!Total:!!In family households:!!In married couple families:!!With health insurance coverage</t>
  </si>
  <si>
    <t>C27021_005</t>
  </si>
  <si>
    <t>Estimate!!Total:!!In family households:!!In married couple families:!!No health insurance coverage</t>
  </si>
  <si>
    <t>C27021_006</t>
  </si>
  <si>
    <t>Estimate!!Total:!!In family households:!!In other families:</t>
  </si>
  <si>
    <t>C27021_007</t>
  </si>
  <si>
    <t>Estimate!!Total:!!In family households:!!In other families:!!Male reference person, no spouse present:</t>
  </si>
  <si>
    <t>C27021_008</t>
  </si>
  <si>
    <t>Estimate!!Total:!!In family households:!!In other families:!!Male reference person, no spouse present:!!With health insurance coverage</t>
  </si>
  <si>
    <t>C27021_009</t>
  </si>
  <si>
    <t>Estimate!!Total:!!In family households:!!In other families:!!Male reference person, no spouse present:!!No health insurance coverage</t>
  </si>
  <si>
    <t>C27021_010</t>
  </si>
  <si>
    <t>Estimate!!Total:!!In family households:!!In other families:!!Female reference person, no spouse present:</t>
  </si>
  <si>
    <t>C27021_011</t>
  </si>
  <si>
    <t>Estimate!!Total:!!In family households:!!In other families:!!Female reference person, no spouse present:!!With health insurance coverage</t>
  </si>
  <si>
    <t>C27021_012</t>
  </si>
  <si>
    <t>Estimate!!Total:!!In family households:!!In other families:!!Female reference person, no spouse present:!!No health insurance coverage</t>
  </si>
  <si>
    <t>C27021_013</t>
  </si>
  <si>
    <t>Estimate!!Total:!!In non-family households and other living arrangements:</t>
  </si>
  <si>
    <t>C27021_014</t>
  </si>
  <si>
    <t>Estimate!!Total:!!In non-family households and other living arrangements:!!With health insurance coverage</t>
  </si>
  <si>
    <t>C27021_015</t>
  </si>
  <si>
    <t>Estimate!!Total:!!In non-family households and other living arrangements:!!No health insurance coverage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</si>
</sst>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rgb="FF14181F"/>
      <name val="Var(--font-mono)"/>
    </font>
  </fonts>
  <fills count="4">
    <fill>
      <patternFill patternType="none"/>
    </fill>
    <fill>
      <patternFill patternType="lightGray"/>
    </fill>
    <fill>
      <patternFill patternType="solid">
        <fgColor rgb="FFEFEFEF"/>
        <bgColor rgb="FFEFEFEF"/>
      </patternFill>
    </fill>
    <fill>
      <patternFill patternType="solid">
        <fgColor rgb="FFB7B7B7"/>
        <bgColor rgb="FFB7B7B7"/>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xf borderId="0" fillId="0" fontId="1" numFmtId="0" xfId="0" applyAlignment="1" applyFont="1">
      <alignment readingOrder="0"/>
    </xf>
    <xf borderId="0" fillId="0" fontId="3" numFmtId="0" xfId="0" applyFont="1"/>
    <xf borderId="0" fillId="3" fontId="1" numFmtId="0" xfId="0" applyFill="1" applyFont="1"/>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6.75"/>
    <col customWidth="1" min="3" max="3" width="58.5"/>
  </cols>
  <sheetData>
    <row r="1">
      <c r="A1" s="1" t="s">
        <v>0</v>
      </c>
      <c r="B1" s="2" t="s">
        <v>2</v>
      </c>
      <c r="C1" s="1" t="s">
        <v>4</v>
      </c>
      <c r="D1" s="1" t="s">
        <v>5</v>
      </c>
    </row>
    <row r="2">
      <c r="A2" s="1" t="s">
        <v>6</v>
      </c>
      <c r="B2" s="2" t="s">
        <v>7</v>
      </c>
      <c r="C2" s="1" t="s">
        <v>8</v>
      </c>
      <c r="D2" s="1" t="s">
        <v>9</v>
      </c>
    </row>
    <row r="3">
      <c r="A3" s="1" t="s">
        <v>10</v>
      </c>
      <c r="B3" s="2" t="s">
        <v>13</v>
      </c>
      <c r="C3" s="1" t="s">
        <v>8</v>
      </c>
      <c r="D3" s="1" t="s">
        <v>9</v>
      </c>
    </row>
    <row r="4">
      <c r="A4" s="1" t="s">
        <v>15</v>
      </c>
      <c r="B4" s="2" t="s">
        <v>17</v>
      </c>
      <c r="C4" s="1" t="s">
        <v>8</v>
      </c>
      <c r="D4" s="1" t="s">
        <v>9</v>
      </c>
    </row>
    <row r="5">
      <c r="A5" s="1" t="s">
        <v>22</v>
      </c>
      <c r="B5" s="2" t="s">
        <v>25</v>
      </c>
      <c r="C5" s="1" t="s">
        <v>8</v>
      </c>
      <c r="D5" s="1" t="s">
        <v>9</v>
      </c>
    </row>
    <row r="6">
      <c r="A6" s="1" t="s">
        <v>29</v>
      </c>
      <c r="B6" s="2" t="s">
        <v>30</v>
      </c>
      <c r="C6" s="1" t="s">
        <v>8</v>
      </c>
      <c r="D6" s="1" t="s">
        <v>9</v>
      </c>
    </row>
    <row r="7">
      <c r="A7" s="1" t="s">
        <v>33</v>
      </c>
      <c r="B7" s="2" t="s">
        <v>34</v>
      </c>
      <c r="C7" s="1" t="s">
        <v>8</v>
      </c>
      <c r="D7" s="1" t="s">
        <v>9</v>
      </c>
    </row>
    <row r="8">
      <c r="A8" s="1" t="s">
        <v>37</v>
      </c>
      <c r="B8" s="2" t="s">
        <v>39</v>
      </c>
      <c r="C8" s="1" t="s">
        <v>8</v>
      </c>
      <c r="D8" s="1" t="s">
        <v>9</v>
      </c>
    </row>
    <row r="9">
      <c r="A9" s="1" t="s">
        <v>42</v>
      </c>
      <c r="B9" s="2" t="s">
        <v>44</v>
      </c>
      <c r="C9" s="1" t="s">
        <v>8</v>
      </c>
      <c r="D9" s="1" t="s">
        <v>9</v>
      </c>
    </row>
    <row r="10">
      <c r="A10" s="1" t="s">
        <v>46</v>
      </c>
      <c r="B10" s="2" t="s">
        <v>47</v>
      </c>
      <c r="C10" s="1" t="s">
        <v>8</v>
      </c>
      <c r="D10" s="1" t="s">
        <v>9</v>
      </c>
    </row>
    <row r="11">
      <c r="A11" s="1" t="s">
        <v>50</v>
      </c>
      <c r="B11" s="2" t="s">
        <v>53</v>
      </c>
      <c r="C11" s="1" t="s">
        <v>8</v>
      </c>
      <c r="D11" s="1" t="s">
        <v>9</v>
      </c>
    </row>
    <row r="12">
      <c r="A12" s="1" t="s">
        <v>55</v>
      </c>
      <c r="B12" s="2" t="s">
        <v>57</v>
      </c>
      <c r="C12" s="1" t="s">
        <v>8</v>
      </c>
      <c r="D12" s="1" t="s">
        <v>9</v>
      </c>
    </row>
    <row r="13">
      <c r="A13" s="1" t="s">
        <v>59</v>
      </c>
      <c r="B13" s="2" t="s">
        <v>60</v>
      </c>
      <c r="C13" s="1" t="s">
        <v>8</v>
      </c>
      <c r="D13" s="1" t="s">
        <v>9</v>
      </c>
    </row>
    <row r="14">
      <c r="A14" s="1" t="s">
        <v>61</v>
      </c>
      <c r="B14" s="2" t="s">
        <v>62</v>
      </c>
      <c r="C14" s="1" t="s">
        <v>8</v>
      </c>
      <c r="D14" s="1" t="s">
        <v>9</v>
      </c>
    </row>
    <row r="15">
      <c r="A15" s="1" t="s">
        <v>63</v>
      </c>
      <c r="B15" s="2" t="s">
        <v>64</v>
      </c>
      <c r="C15" s="1" t="s">
        <v>8</v>
      </c>
      <c r="D15" s="1" t="s">
        <v>9</v>
      </c>
    </row>
    <row r="16">
      <c r="A16" s="1" t="s">
        <v>65</v>
      </c>
      <c r="B16" s="2" t="s">
        <v>66</v>
      </c>
      <c r="C16" s="1" t="s">
        <v>8</v>
      </c>
      <c r="D16" s="1" t="s">
        <v>9</v>
      </c>
    </row>
    <row r="17">
      <c r="A17" s="1" t="s">
        <v>67</v>
      </c>
      <c r="B17" s="2" t="s">
        <v>68</v>
      </c>
      <c r="C17" s="1" t="s">
        <v>8</v>
      </c>
      <c r="D17" s="1" t="s">
        <v>9</v>
      </c>
    </row>
    <row r="18">
      <c r="A18" s="1" t="s">
        <v>69</v>
      </c>
      <c r="B18" s="2" t="s">
        <v>70</v>
      </c>
      <c r="C18" s="1" t="s">
        <v>8</v>
      </c>
      <c r="D18" s="1" t="s">
        <v>9</v>
      </c>
    </row>
    <row r="19">
      <c r="A19" s="1" t="s">
        <v>72</v>
      </c>
      <c r="B19" s="2" t="s">
        <v>73</v>
      </c>
      <c r="C19" s="1" t="s">
        <v>8</v>
      </c>
      <c r="D19" s="1" t="s">
        <v>9</v>
      </c>
    </row>
    <row r="20">
      <c r="A20" s="1" t="s">
        <v>74</v>
      </c>
      <c r="B20" s="2" t="s">
        <v>75</v>
      </c>
      <c r="C20" s="1" t="s">
        <v>8</v>
      </c>
      <c r="D20" s="1" t="s">
        <v>9</v>
      </c>
    </row>
    <row r="21">
      <c r="A21" s="1" t="s">
        <v>76</v>
      </c>
      <c r="B21" s="2" t="s">
        <v>86</v>
      </c>
      <c r="C21" s="1" t="s">
        <v>8</v>
      </c>
      <c r="D21" s="1" t="s">
        <v>9</v>
      </c>
    </row>
    <row r="22">
      <c r="A22" s="1" t="s">
        <v>89</v>
      </c>
      <c r="B22" s="2" t="s">
        <v>90</v>
      </c>
      <c r="C22" s="1" t="s">
        <v>8</v>
      </c>
      <c r="D22" s="1" t="s">
        <v>9</v>
      </c>
    </row>
    <row r="23">
      <c r="A23" s="1" t="s">
        <v>92</v>
      </c>
      <c r="B23" s="2" t="s">
        <v>93</v>
      </c>
      <c r="C23" s="1" t="s">
        <v>8</v>
      </c>
      <c r="D23" s="1" t="s">
        <v>9</v>
      </c>
    </row>
    <row r="24">
      <c r="A24" s="1" t="s">
        <v>97</v>
      </c>
      <c r="B24" s="2" t="s">
        <v>99</v>
      </c>
      <c r="C24" s="1" t="s">
        <v>8</v>
      </c>
      <c r="D24" s="1" t="s">
        <v>9</v>
      </c>
    </row>
    <row r="25">
      <c r="A25" s="1" t="s">
        <v>105</v>
      </c>
      <c r="B25" s="2" t="s">
        <v>107</v>
      </c>
      <c r="C25" s="1" t="s">
        <v>8</v>
      </c>
      <c r="D25" s="1" t="s">
        <v>9</v>
      </c>
    </row>
    <row r="26">
      <c r="A26" s="1" t="s">
        <v>109</v>
      </c>
      <c r="B26" s="2" t="s">
        <v>110</v>
      </c>
      <c r="C26" s="1" t="s">
        <v>8</v>
      </c>
      <c r="D26" s="1" t="s">
        <v>9</v>
      </c>
    </row>
    <row r="27">
      <c r="A27" s="1" t="s">
        <v>112</v>
      </c>
      <c r="B27" s="2" t="s">
        <v>114</v>
      </c>
      <c r="C27" s="1" t="s">
        <v>8</v>
      </c>
      <c r="D27" s="1" t="s">
        <v>9</v>
      </c>
    </row>
    <row r="28">
      <c r="A28" s="1" t="s">
        <v>120</v>
      </c>
      <c r="B28" s="2" t="s">
        <v>123</v>
      </c>
      <c r="C28" s="1" t="s">
        <v>8</v>
      </c>
      <c r="D28" s="1" t="s">
        <v>9</v>
      </c>
    </row>
    <row r="29">
      <c r="A29" s="1" t="s">
        <v>126</v>
      </c>
      <c r="B29" s="2" t="s">
        <v>127</v>
      </c>
      <c r="C29" s="1" t="s">
        <v>8</v>
      </c>
      <c r="D29" s="1" t="s">
        <v>9</v>
      </c>
    </row>
    <row r="30">
      <c r="A30" s="1" t="s">
        <v>130</v>
      </c>
      <c r="B30" s="2" t="s">
        <v>132</v>
      </c>
      <c r="C30" s="1" t="s">
        <v>8</v>
      </c>
      <c r="D30" s="1" t="s">
        <v>9</v>
      </c>
    </row>
    <row r="31">
      <c r="A31" s="1" t="s">
        <v>137</v>
      </c>
      <c r="B31" s="2" t="s">
        <v>139</v>
      </c>
      <c r="C31" s="1" t="s">
        <v>8</v>
      </c>
      <c r="D31" s="1" t="s">
        <v>9</v>
      </c>
    </row>
    <row r="32">
      <c r="A32" s="1" t="s">
        <v>140</v>
      </c>
      <c r="B32" s="2" t="s">
        <v>141</v>
      </c>
      <c r="C32" s="1" t="s">
        <v>8</v>
      </c>
      <c r="D32" s="1" t="s">
        <v>9</v>
      </c>
    </row>
    <row r="33">
      <c r="A33" s="1" t="s">
        <v>84</v>
      </c>
      <c r="B33" s="2" t="s">
        <v>7</v>
      </c>
      <c r="C33" s="1" t="s">
        <v>87</v>
      </c>
      <c r="D33" s="1" t="s">
        <v>88</v>
      </c>
    </row>
    <row r="34">
      <c r="A34" s="1" t="s">
        <v>147</v>
      </c>
      <c r="B34" s="2" t="s">
        <v>13</v>
      </c>
      <c r="C34" s="1" t="s">
        <v>87</v>
      </c>
      <c r="D34" s="1" t="s">
        <v>88</v>
      </c>
    </row>
    <row r="35">
      <c r="A35" s="1" t="s">
        <v>152</v>
      </c>
      <c r="B35" s="2" t="s">
        <v>17</v>
      </c>
      <c r="C35" s="1" t="s">
        <v>87</v>
      </c>
      <c r="D35" s="1" t="s">
        <v>88</v>
      </c>
    </row>
    <row r="36">
      <c r="A36" s="1" t="s">
        <v>154</v>
      </c>
      <c r="B36" s="2" t="s">
        <v>25</v>
      </c>
      <c r="C36" s="1" t="s">
        <v>87</v>
      </c>
      <c r="D36" s="1" t="s">
        <v>88</v>
      </c>
    </row>
    <row r="37">
      <c r="A37" s="1" t="s">
        <v>158</v>
      </c>
      <c r="B37" s="2" t="s">
        <v>30</v>
      </c>
      <c r="C37" s="1" t="s">
        <v>87</v>
      </c>
      <c r="D37" s="1" t="s">
        <v>88</v>
      </c>
    </row>
    <row r="38">
      <c r="A38" s="1" t="s">
        <v>162</v>
      </c>
      <c r="B38" s="2" t="s">
        <v>34</v>
      </c>
      <c r="C38" s="1" t="s">
        <v>87</v>
      </c>
      <c r="D38" s="1" t="s">
        <v>88</v>
      </c>
    </row>
    <row r="39">
      <c r="A39" s="1" t="s">
        <v>167</v>
      </c>
      <c r="B39" s="2" t="s">
        <v>39</v>
      </c>
      <c r="C39" s="1" t="s">
        <v>87</v>
      </c>
      <c r="D39" s="1" t="s">
        <v>88</v>
      </c>
    </row>
    <row r="40">
      <c r="A40" s="1" t="s">
        <v>172</v>
      </c>
      <c r="B40" s="2" t="s">
        <v>44</v>
      </c>
      <c r="C40" s="1" t="s">
        <v>87</v>
      </c>
      <c r="D40" s="1" t="s">
        <v>88</v>
      </c>
    </row>
    <row r="41">
      <c r="A41" s="1" t="s">
        <v>174</v>
      </c>
      <c r="B41" s="2" t="s">
        <v>47</v>
      </c>
      <c r="C41" s="1" t="s">
        <v>87</v>
      </c>
      <c r="D41" s="1" t="s">
        <v>88</v>
      </c>
    </row>
    <row r="42">
      <c r="A42" s="1" t="s">
        <v>180</v>
      </c>
      <c r="B42" s="2" t="s">
        <v>53</v>
      </c>
      <c r="C42" s="1" t="s">
        <v>87</v>
      </c>
      <c r="D42" s="1" t="s">
        <v>88</v>
      </c>
    </row>
    <row r="43">
      <c r="A43" s="1" t="s">
        <v>181</v>
      </c>
      <c r="B43" s="2" t="s">
        <v>57</v>
      </c>
      <c r="C43" s="1" t="s">
        <v>87</v>
      </c>
      <c r="D43" s="1" t="s">
        <v>88</v>
      </c>
    </row>
    <row r="44">
      <c r="A44" s="1" t="s">
        <v>185</v>
      </c>
      <c r="B44" s="2" t="s">
        <v>60</v>
      </c>
      <c r="C44" s="1" t="s">
        <v>87</v>
      </c>
      <c r="D44" s="1" t="s">
        <v>88</v>
      </c>
    </row>
    <row r="45">
      <c r="A45" s="1" t="s">
        <v>186</v>
      </c>
      <c r="B45" s="2" t="s">
        <v>62</v>
      </c>
      <c r="C45" s="1" t="s">
        <v>87</v>
      </c>
      <c r="D45" s="1" t="s">
        <v>88</v>
      </c>
    </row>
    <row r="46">
      <c r="A46" s="1" t="s">
        <v>187</v>
      </c>
      <c r="B46" s="2" t="s">
        <v>64</v>
      </c>
      <c r="C46" s="1" t="s">
        <v>87</v>
      </c>
      <c r="D46" s="1" t="s">
        <v>88</v>
      </c>
    </row>
    <row r="47">
      <c r="A47" s="1" t="s">
        <v>188</v>
      </c>
      <c r="B47" s="2" t="s">
        <v>66</v>
      </c>
      <c r="C47" s="1" t="s">
        <v>87</v>
      </c>
      <c r="D47" s="1" t="s">
        <v>88</v>
      </c>
    </row>
    <row r="48">
      <c r="A48" s="1" t="s">
        <v>192</v>
      </c>
      <c r="B48" s="2" t="s">
        <v>68</v>
      </c>
      <c r="C48" s="1" t="s">
        <v>87</v>
      </c>
      <c r="D48" s="1" t="s">
        <v>88</v>
      </c>
    </row>
    <row r="49">
      <c r="A49" s="1" t="s">
        <v>193</v>
      </c>
      <c r="B49" s="2" t="s">
        <v>70</v>
      </c>
      <c r="C49" s="1" t="s">
        <v>87</v>
      </c>
      <c r="D49" s="1" t="s">
        <v>88</v>
      </c>
    </row>
    <row r="50">
      <c r="A50" s="1" t="s">
        <v>196</v>
      </c>
      <c r="B50" s="2" t="s">
        <v>73</v>
      </c>
      <c r="C50" s="1" t="s">
        <v>87</v>
      </c>
      <c r="D50" s="1" t="s">
        <v>88</v>
      </c>
    </row>
    <row r="51">
      <c r="A51" s="1" t="s">
        <v>198</v>
      </c>
      <c r="B51" s="2" t="s">
        <v>75</v>
      </c>
      <c r="C51" s="1" t="s">
        <v>87</v>
      </c>
      <c r="D51" s="1" t="s">
        <v>88</v>
      </c>
    </row>
    <row r="52">
      <c r="A52" s="1" t="s">
        <v>199</v>
      </c>
      <c r="B52" s="2" t="s">
        <v>86</v>
      </c>
      <c r="C52" s="1" t="s">
        <v>87</v>
      </c>
      <c r="D52" s="1" t="s">
        <v>88</v>
      </c>
    </row>
    <row r="53">
      <c r="A53" s="1" t="s">
        <v>201</v>
      </c>
      <c r="B53" s="2" t="s">
        <v>90</v>
      </c>
      <c r="C53" s="1" t="s">
        <v>87</v>
      </c>
      <c r="D53" s="1" t="s">
        <v>88</v>
      </c>
    </row>
    <row r="54">
      <c r="A54" s="1" t="s">
        <v>202</v>
      </c>
      <c r="B54" s="2" t="s">
        <v>93</v>
      </c>
      <c r="C54" s="1" t="s">
        <v>87</v>
      </c>
      <c r="D54" s="1" t="s">
        <v>88</v>
      </c>
    </row>
    <row r="55">
      <c r="A55" s="1" t="s">
        <v>205</v>
      </c>
      <c r="B55" s="2" t="s">
        <v>99</v>
      </c>
      <c r="C55" s="1" t="s">
        <v>87</v>
      </c>
      <c r="D55" s="1" t="s">
        <v>88</v>
      </c>
    </row>
    <row r="56">
      <c r="A56" s="1" t="s">
        <v>206</v>
      </c>
      <c r="B56" s="2" t="s">
        <v>107</v>
      </c>
      <c r="C56" s="1" t="s">
        <v>87</v>
      </c>
      <c r="D56" s="1" t="s">
        <v>88</v>
      </c>
    </row>
    <row r="57">
      <c r="A57" s="1" t="s">
        <v>208</v>
      </c>
      <c r="B57" s="2" t="s">
        <v>110</v>
      </c>
      <c r="C57" s="1" t="s">
        <v>87</v>
      </c>
      <c r="D57" s="1" t="s">
        <v>88</v>
      </c>
    </row>
    <row r="58">
      <c r="A58" s="1" t="s">
        <v>210</v>
      </c>
      <c r="B58" s="2" t="s">
        <v>114</v>
      </c>
      <c r="C58" s="1" t="s">
        <v>87</v>
      </c>
      <c r="D58" s="1" t="s">
        <v>88</v>
      </c>
    </row>
    <row r="59">
      <c r="A59" s="1" t="s">
        <v>214</v>
      </c>
      <c r="B59" s="2" t="s">
        <v>123</v>
      </c>
      <c r="C59" s="1" t="s">
        <v>87</v>
      </c>
      <c r="D59" s="1" t="s">
        <v>88</v>
      </c>
    </row>
    <row r="60">
      <c r="A60" s="1" t="s">
        <v>216</v>
      </c>
      <c r="B60" s="2" t="s">
        <v>127</v>
      </c>
      <c r="C60" s="1" t="s">
        <v>87</v>
      </c>
      <c r="D60" s="1" t="s">
        <v>88</v>
      </c>
    </row>
    <row r="61">
      <c r="A61" s="1" t="s">
        <v>217</v>
      </c>
      <c r="B61" s="2" t="s">
        <v>132</v>
      </c>
      <c r="C61" s="1" t="s">
        <v>87</v>
      </c>
      <c r="D61" s="1" t="s">
        <v>88</v>
      </c>
    </row>
    <row r="62">
      <c r="A62" s="1" t="s">
        <v>221</v>
      </c>
      <c r="B62" s="2" t="s">
        <v>139</v>
      </c>
      <c r="C62" s="1" t="s">
        <v>87</v>
      </c>
      <c r="D62" s="1" t="s">
        <v>88</v>
      </c>
    </row>
    <row r="63">
      <c r="A63" s="1" t="s">
        <v>222</v>
      </c>
      <c r="B63" s="2" t="s">
        <v>141</v>
      </c>
      <c r="C63" s="1" t="s">
        <v>87</v>
      </c>
      <c r="D63" s="1" t="s">
        <v>88</v>
      </c>
    </row>
    <row r="64">
      <c r="A64" s="1" t="s">
        <v>98</v>
      </c>
      <c r="B64" s="2" t="s">
        <v>7</v>
      </c>
      <c r="C64" s="1" t="s">
        <v>102</v>
      </c>
      <c r="D64" s="1" t="s">
        <v>104</v>
      </c>
    </row>
    <row r="65">
      <c r="A65" s="1" t="s">
        <v>226</v>
      </c>
      <c r="B65" s="2" t="s">
        <v>13</v>
      </c>
      <c r="C65" s="1" t="s">
        <v>102</v>
      </c>
      <c r="D65" s="1" t="s">
        <v>104</v>
      </c>
    </row>
    <row r="66">
      <c r="A66" s="1" t="s">
        <v>228</v>
      </c>
      <c r="B66" s="2" t="s">
        <v>17</v>
      </c>
      <c r="C66" s="1" t="s">
        <v>102</v>
      </c>
      <c r="D66" s="1" t="s">
        <v>104</v>
      </c>
    </row>
    <row r="67">
      <c r="A67" s="1" t="s">
        <v>231</v>
      </c>
      <c r="B67" s="2" t="s">
        <v>25</v>
      </c>
      <c r="C67" s="1" t="s">
        <v>102</v>
      </c>
      <c r="D67" s="1" t="s">
        <v>104</v>
      </c>
    </row>
    <row r="68">
      <c r="A68" s="1" t="s">
        <v>233</v>
      </c>
      <c r="B68" s="2" t="s">
        <v>30</v>
      </c>
      <c r="C68" s="1" t="s">
        <v>102</v>
      </c>
      <c r="D68" s="1" t="s">
        <v>104</v>
      </c>
    </row>
    <row r="69">
      <c r="A69" s="1" t="s">
        <v>236</v>
      </c>
      <c r="B69" s="2" t="s">
        <v>34</v>
      </c>
      <c r="C69" s="1" t="s">
        <v>102</v>
      </c>
      <c r="D69" s="1" t="s">
        <v>104</v>
      </c>
    </row>
    <row r="70">
      <c r="A70" s="1" t="s">
        <v>237</v>
      </c>
      <c r="B70" s="2" t="s">
        <v>39</v>
      </c>
      <c r="C70" s="1" t="s">
        <v>102</v>
      </c>
      <c r="D70" s="1" t="s">
        <v>104</v>
      </c>
    </row>
    <row r="71">
      <c r="A71" s="1" t="s">
        <v>239</v>
      </c>
      <c r="B71" s="2" t="s">
        <v>44</v>
      </c>
      <c r="C71" s="1" t="s">
        <v>102</v>
      </c>
      <c r="D71" s="1" t="s">
        <v>104</v>
      </c>
    </row>
    <row r="72">
      <c r="A72" s="1" t="s">
        <v>242</v>
      </c>
      <c r="B72" s="2" t="s">
        <v>47</v>
      </c>
      <c r="C72" s="1" t="s">
        <v>102</v>
      </c>
      <c r="D72" s="1" t="s">
        <v>104</v>
      </c>
    </row>
    <row r="73">
      <c r="A73" s="1" t="s">
        <v>244</v>
      </c>
      <c r="B73" s="2" t="s">
        <v>53</v>
      </c>
      <c r="C73" s="1" t="s">
        <v>102</v>
      </c>
      <c r="D73" s="1" t="s">
        <v>104</v>
      </c>
    </row>
    <row r="74">
      <c r="A74" s="1" t="s">
        <v>247</v>
      </c>
      <c r="B74" s="2" t="s">
        <v>57</v>
      </c>
      <c r="C74" s="1" t="s">
        <v>102</v>
      </c>
      <c r="D74" s="1" t="s">
        <v>104</v>
      </c>
    </row>
    <row r="75">
      <c r="A75" s="1" t="s">
        <v>248</v>
      </c>
      <c r="B75" s="2" t="s">
        <v>60</v>
      </c>
      <c r="C75" s="1" t="s">
        <v>102</v>
      </c>
      <c r="D75" s="1" t="s">
        <v>104</v>
      </c>
    </row>
    <row r="76">
      <c r="A76" s="1" t="s">
        <v>252</v>
      </c>
      <c r="B76" s="2" t="s">
        <v>62</v>
      </c>
      <c r="C76" s="1" t="s">
        <v>102</v>
      </c>
      <c r="D76" s="1" t="s">
        <v>104</v>
      </c>
    </row>
    <row r="77">
      <c r="A77" s="1" t="s">
        <v>254</v>
      </c>
      <c r="B77" s="2" t="s">
        <v>64</v>
      </c>
      <c r="C77" s="1" t="s">
        <v>102</v>
      </c>
      <c r="D77" s="1" t="s">
        <v>104</v>
      </c>
    </row>
    <row r="78">
      <c r="A78" s="1" t="s">
        <v>257</v>
      </c>
      <c r="B78" s="2" t="s">
        <v>66</v>
      </c>
      <c r="C78" s="1" t="s">
        <v>102</v>
      </c>
      <c r="D78" s="1" t="s">
        <v>104</v>
      </c>
    </row>
    <row r="79">
      <c r="A79" s="1" t="s">
        <v>259</v>
      </c>
      <c r="B79" s="2" t="s">
        <v>68</v>
      </c>
      <c r="C79" s="1" t="s">
        <v>102</v>
      </c>
      <c r="D79" s="1" t="s">
        <v>104</v>
      </c>
    </row>
    <row r="80">
      <c r="A80" s="1" t="s">
        <v>260</v>
      </c>
      <c r="B80" s="2" t="s">
        <v>70</v>
      </c>
      <c r="C80" s="1" t="s">
        <v>102</v>
      </c>
      <c r="D80" s="1" t="s">
        <v>104</v>
      </c>
    </row>
    <row r="81">
      <c r="A81" s="1" t="s">
        <v>264</v>
      </c>
      <c r="B81" s="2" t="s">
        <v>73</v>
      </c>
      <c r="C81" s="1" t="s">
        <v>102</v>
      </c>
      <c r="D81" s="1" t="s">
        <v>104</v>
      </c>
    </row>
    <row r="82">
      <c r="A82" s="1" t="s">
        <v>265</v>
      </c>
      <c r="B82" s="2" t="s">
        <v>75</v>
      </c>
      <c r="C82" s="1" t="s">
        <v>102</v>
      </c>
      <c r="D82" s="1" t="s">
        <v>104</v>
      </c>
    </row>
    <row r="83">
      <c r="A83" s="1" t="s">
        <v>268</v>
      </c>
      <c r="B83" s="2" t="s">
        <v>86</v>
      </c>
      <c r="C83" s="1" t="s">
        <v>102</v>
      </c>
      <c r="D83" s="1" t="s">
        <v>104</v>
      </c>
    </row>
    <row r="84">
      <c r="A84" s="1" t="s">
        <v>270</v>
      </c>
      <c r="B84" s="2" t="s">
        <v>90</v>
      </c>
      <c r="C84" s="1" t="s">
        <v>102</v>
      </c>
      <c r="D84" s="1" t="s">
        <v>104</v>
      </c>
    </row>
    <row r="85">
      <c r="A85" s="1" t="s">
        <v>273</v>
      </c>
      <c r="B85" s="2" t="s">
        <v>93</v>
      </c>
      <c r="C85" s="1" t="s">
        <v>102</v>
      </c>
      <c r="D85" s="1" t="s">
        <v>104</v>
      </c>
    </row>
    <row r="86">
      <c r="A86" s="1" t="s">
        <v>275</v>
      </c>
      <c r="B86" s="2" t="s">
        <v>99</v>
      </c>
      <c r="C86" s="1" t="s">
        <v>102</v>
      </c>
      <c r="D86" s="1" t="s">
        <v>104</v>
      </c>
    </row>
    <row r="87">
      <c r="A87" s="1" t="s">
        <v>276</v>
      </c>
      <c r="B87" s="2" t="s">
        <v>107</v>
      </c>
      <c r="C87" s="1" t="s">
        <v>102</v>
      </c>
      <c r="D87" s="1" t="s">
        <v>104</v>
      </c>
    </row>
    <row r="88">
      <c r="A88" s="1" t="s">
        <v>279</v>
      </c>
      <c r="B88" s="2" t="s">
        <v>110</v>
      </c>
      <c r="C88" s="1" t="s">
        <v>102</v>
      </c>
      <c r="D88" s="1" t="s">
        <v>104</v>
      </c>
    </row>
    <row r="89">
      <c r="A89" s="1" t="s">
        <v>281</v>
      </c>
      <c r="B89" s="2" t="s">
        <v>114</v>
      </c>
      <c r="C89" s="1" t="s">
        <v>102</v>
      </c>
      <c r="D89" s="1" t="s">
        <v>104</v>
      </c>
    </row>
    <row r="90">
      <c r="A90" s="1" t="s">
        <v>282</v>
      </c>
      <c r="B90" s="2" t="s">
        <v>123</v>
      </c>
      <c r="C90" s="1" t="s">
        <v>102</v>
      </c>
      <c r="D90" s="1" t="s">
        <v>104</v>
      </c>
    </row>
    <row r="91">
      <c r="A91" s="1" t="s">
        <v>284</v>
      </c>
      <c r="B91" s="2" t="s">
        <v>127</v>
      </c>
      <c r="C91" s="1" t="s">
        <v>102</v>
      </c>
      <c r="D91" s="1" t="s">
        <v>104</v>
      </c>
    </row>
    <row r="92">
      <c r="A92" s="1" t="s">
        <v>287</v>
      </c>
      <c r="B92" s="2" t="s">
        <v>132</v>
      </c>
      <c r="C92" s="1" t="s">
        <v>102</v>
      </c>
      <c r="D92" s="1" t="s">
        <v>104</v>
      </c>
    </row>
    <row r="93">
      <c r="A93" s="1" t="s">
        <v>288</v>
      </c>
      <c r="B93" s="2" t="s">
        <v>139</v>
      </c>
      <c r="C93" s="1" t="s">
        <v>102</v>
      </c>
      <c r="D93" s="1" t="s">
        <v>104</v>
      </c>
    </row>
    <row r="94">
      <c r="A94" s="1" t="s">
        <v>291</v>
      </c>
      <c r="B94" s="2" t="s">
        <v>141</v>
      </c>
      <c r="C94" s="1" t="s">
        <v>102</v>
      </c>
      <c r="D94" s="1" t="s">
        <v>104</v>
      </c>
    </row>
    <row r="95">
      <c r="A95" s="1" t="s">
        <v>113</v>
      </c>
      <c r="B95" s="2" t="s">
        <v>7</v>
      </c>
      <c r="C95" s="1" t="s">
        <v>117</v>
      </c>
      <c r="D95" s="1" t="s">
        <v>119</v>
      </c>
    </row>
    <row r="96">
      <c r="A96" s="1" t="s">
        <v>294</v>
      </c>
      <c r="B96" s="2" t="s">
        <v>13</v>
      </c>
      <c r="C96" s="1" t="s">
        <v>117</v>
      </c>
      <c r="D96" s="1" t="s">
        <v>119</v>
      </c>
    </row>
    <row r="97">
      <c r="A97" s="1" t="s">
        <v>296</v>
      </c>
      <c r="B97" s="2" t="s">
        <v>17</v>
      </c>
      <c r="C97" s="1" t="s">
        <v>117</v>
      </c>
      <c r="D97" s="1" t="s">
        <v>119</v>
      </c>
    </row>
    <row r="98">
      <c r="A98" s="1" t="s">
        <v>299</v>
      </c>
      <c r="B98" s="2" t="s">
        <v>25</v>
      </c>
      <c r="C98" s="1" t="s">
        <v>117</v>
      </c>
      <c r="D98" s="1" t="s">
        <v>119</v>
      </c>
    </row>
    <row r="99">
      <c r="A99" s="1" t="s">
        <v>300</v>
      </c>
      <c r="B99" s="2" t="s">
        <v>30</v>
      </c>
      <c r="C99" s="1" t="s">
        <v>117</v>
      </c>
      <c r="D99" s="1" t="s">
        <v>119</v>
      </c>
    </row>
    <row r="100">
      <c r="A100" s="1" t="s">
        <v>303</v>
      </c>
      <c r="B100" s="2" t="s">
        <v>34</v>
      </c>
      <c r="C100" s="1" t="s">
        <v>117</v>
      </c>
      <c r="D100" s="1" t="s">
        <v>119</v>
      </c>
    </row>
    <row r="101">
      <c r="A101" s="1" t="s">
        <v>310</v>
      </c>
      <c r="B101" s="2" t="s">
        <v>39</v>
      </c>
      <c r="C101" s="1" t="s">
        <v>117</v>
      </c>
      <c r="D101" s="1" t="s">
        <v>119</v>
      </c>
    </row>
    <row r="102">
      <c r="A102" s="1" t="s">
        <v>312</v>
      </c>
      <c r="B102" s="2" t="s">
        <v>44</v>
      </c>
      <c r="C102" s="1" t="s">
        <v>117</v>
      </c>
      <c r="D102" s="1" t="s">
        <v>119</v>
      </c>
    </row>
    <row r="103">
      <c r="A103" s="1" t="s">
        <v>313</v>
      </c>
      <c r="B103" s="2" t="s">
        <v>47</v>
      </c>
      <c r="C103" s="1" t="s">
        <v>117</v>
      </c>
      <c r="D103" s="1" t="s">
        <v>119</v>
      </c>
    </row>
    <row r="104">
      <c r="A104" s="1" t="s">
        <v>316</v>
      </c>
      <c r="B104" s="2" t="s">
        <v>53</v>
      </c>
      <c r="C104" s="1" t="s">
        <v>117</v>
      </c>
      <c r="D104" s="1" t="s">
        <v>119</v>
      </c>
    </row>
    <row r="105">
      <c r="A105" s="1" t="s">
        <v>318</v>
      </c>
      <c r="B105" s="2" t="s">
        <v>57</v>
      </c>
      <c r="C105" s="1" t="s">
        <v>117</v>
      </c>
      <c r="D105" s="1" t="s">
        <v>119</v>
      </c>
    </row>
    <row r="106">
      <c r="A106" s="1" t="s">
        <v>319</v>
      </c>
      <c r="B106" s="2" t="s">
        <v>60</v>
      </c>
      <c r="C106" s="1" t="s">
        <v>117</v>
      </c>
      <c r="D106" s="1" t="s">
        <v>119</v>
      </c>
    </row>
    <row r="107">
      <c r="A107" s="1" t="s">
        <v>322</v>
      </c>
      <c r="B107" s="2" t="s">
        <v>62</v>
      </c>
      <c r="C107" s="1" t="s">
        <v>117</v>
      </c>
      <c r="D107" s="1" t="s">
        <v>119</v>
      </c>
    </row>
    <row r="108">
      <c r="A108" s="1" t="s">
        <v>324</v>
      </c>
      <c r="B108" s="2" t="s">
        <v>64</v>
      </c>
      <c r="C108" s="1" t="s">
        <v>117</v>
      </c>
      <c r="D108" s="1" t="s">
        <v>119</v>
      </c>
    </row>
    <row r="109">
      <c r="A109" s="1" t="s">
        <v>325</v>
      </c>
      <c r="B109" s="2" t="s">
        <v>66</v>
      </c>
      <c r="C109" s="1" t="s">
        <v>117</v>
      </c>
      <c r="D109" s="1" t="s">
        <v>119</v>
      </c>
    </row>
    <row r="110">
      <c r="A110" s="1" t="s">
        <v>327</v>
      </c>
      <c r="B110" s="2" t="s">
        <v>68</v>
      </c>
      <c r="C110" s="1" t="s">
        <v>117</v>
      </c>
      <c r="D110" s="1" t="s">
        <v>119</v>
      </c>
    </row>
    <row r="111">
      <c r="A111" s="1" t="s">
        <v>330</v>
      </c>
      <c r="B111" s="2" t="s">
        <v>70</v>
      </c>
      <c r="C111" s="1" t="s">
        <v>117</v>
      </c>
      <c r="D111" s="1" t="s">
        <v>119</v>
      </c>
    </row>
    <row r="112">
      <c r="A112" s="1" t="s">
        <v>331</v>
      </c>
      <c r="B112" s="2" t="s">
        <v>73</v>
      </c>
      <c r="C112" s="1" t="s">
        <v>117</v>
      </c>
      <c r="D112" s="1" t="s">
        <v>119</v>
      </c>
    </row>
    <row r="113">
      <c r="A113" s="1" t="s">
        <v>334</v>
      </c>
      <c r="B113" s="2" t="s">
        <v>75</v>
      </c>
      <c r="C113" s="1" t="s">
        <v>117</v>
      </c>
      <c r="D113" s="1" t="s">
        <v>119</v>
      </c>
    </row>
    <row r="114">
      <c r="A114" s="1" t="s">
        <v>336</v>
      </c>
      <c r="B114" s="2" t="s">
        <v>86</v>
      </c>
      <c r="C114" s="1" t="s">
        <v>117</v>
      </c>
      <c r="D114" s="1" t="s">
        <v>119</v>
      </c>
    </row>
    <row r="115">
      <c r="A115" s="1" t="s">
        <v>338</v>
      </c>
      <c r="B115" s="2" t="s">
        <v>90</v>
      </c>
      <c r="C115" s="1" t="s">
        <v>117</v>
      </c>
      <c r="D115" s="1" t="s">
        <v>119</v>
      </c>
    </row>
    <row r="116">
      <c r="A116" s="1" t="s">
        <v>341</v>
      </c>
      <c r="B116" s="2" t="s">
        <v>93</v>
      </c>
      <c r="C116" s="1" t="s">
        <v>117</v>
      </c>
      <c r="D116" s="1" t="s">
        <v>119</v>
      </c>
    </row>
    <row r="117">
      <c r="A117" s="1" t="s">
        <v>343</v>
      </c>
      <c r="B117" s="2" t="s">
        <v>99</v>
      </c>
      <c r="C117" s="1" t="s">
        <v>117</v>
      </c>
      <c r="D117" s="1" t="s">
        <v>119</v>
      </c>
    </row>
    <row r="118">
      <c r="A118" s="1" t="s">
        <v>344</v>
      </c>
      <c r="B118" s="2" t="s">
        <v>107</v>
      </c>
      <c r="C118" s="1" t="s">
        <v>117</v>
      </c>
      <c r="D118" s="1" t="s">
        <v>119</v>
      </c>
    </row>
    <row r="119">
      <c r="A119" s="1" t="s">
        <v>346</v>
      </c>
      <c r="B119" s="2" t="s">
        <v>110</v>
      </c>
      <c r="C119" s="1" t="s">
        <v>117</v>
      </c>
      <c r="D119" s="1" t="s">
        <v>119</v>
      </c>
    </row>
    <row r="120">
      <c r="A120" s="1" t="s">
        <v>348</v>
      </c>
      <c r="B120" s="2" t="s">
        <v>114</v>
      </c>
      <c r="C120" s="1" t="s">
        <v>117</v>
      </c>
      <c r="D120" s="1" t="s">
        <v>119</v>
      </c>
    </row>
    <row r="121">
      <c r="A121" s="1" t="s">
        <v>350</v>
      </c>
      <c r="B121" s="2" t="s">
        <v>123</v>
      </c>
      <c r="C121" s="1" t="s">
        <v>117</v>
      </c>
      <c r="D121" s="1" t="s">
        <v>119</v>
      </c>
    </row>
    <row r="122">
      <c r="A122" s="1" t="s">
        <v>353</v>
      </c>
      <c r="B122" s="2" t="s">
        <v>127</v>
      </c>
      <c r="C122" s="1" t="s">
        <v>117</v>
      </c>
      <c r="D122" s="1" t="s">
        <v>119</v>
      </c>
    </row>
    <row r="123">
      <c r="A123" s="1" t="s">
        <v>354</v>
      </c>
      <c r="B123" s="2" t="s">
        <v>132</v>
      </c>
      <c r="C123" s="1" t="s">
        <v>117</v>
      </c>
      <c r="D123" s="1" t="s">
        <v>119</v>
      </c>
    </row>
    <row r="124">
      <c r="A124" s="1" t="s">
        <v>357</v>
      </c>
      <c r="B124" s="2" t="s">
        <v>139</v>
      </c>
      <c r="C124" s="1" t="s">
        <v>117</v>
      </c>
      <c r="D124" s="1" t="s">
        <v>119</v>
      </c>
    </row>
    <row r="125">
      <c r="A125" s="1" t="s">
        <v>359</v>
      </c>
      <c r="B125" s="2" t="s">
        <v>141</v>
      </c>
      <c r="C125" s="1" t="s">
        <v>117</v>
      </c>
      <c r="D125" s="1" t="s">
        <v>119</v>
      </c>
    </row>
    <row r="126">
      <c r="A126" s="1" t="s">
        <v>128</v>
      </c>
      <c r="B126" s="2" t="s">
        <v>7</v>
      </c>
      <c r="C126" s="1" t="s">
        <v>134</v>
      </c>
      <c r="D126" s="1" t="s">
        <v>136</v>
      </c>
    </row>
    <row r="127">
      <c r="A127" s="1" t="s">
        <v>363</v>
      </c>
      <c r="B127" s="2" t="s">
        <v>13</v>
      </c>
      <c r="C127" s="1" t="s">
        <v>134</v>
      </c>
      <c r="D127" s="1" t="s">
        <v>136</v>
      </c>
    </row>
    <row r="128">
      <c r="A128" s="1" t="s">
        <v>365</v>
      </c>
      <c r="B128" s="2" t="s">
        <v>17</v>
      </c>
      <c r="C128" s="1" t="s">
        <v>134</v>
      </c>
      <c r="D128" s="1" t="s">
        <v>136</v>
      </c>
    </row>
    <row r="129">
      <c r="A129" s="1" t="s">
        <v>368</v>
      </c>
      <c r="B129" s="2" t="s">
        <v>25</v>
      </c>
      <c r="C129" s="1" t="s">
        <v>134</v>
      </c>
      <c r="D129" s="1" t="s">
        <v>136</v>
      </c>
    </row>
    <row r="130">
      <c r="A130" s="1" t="s">
        <v>369</v>
      </c>
      <c r="B130" s="2" t="s">
        <v>30</v>
      </c>
      <c r="C130" s="1" t="s">
        <v>134</v>
      </c>
      <c r="D130" s="1" t="s">
        <v>136</v>
      </c>
    </row>
    <row r="131">
      <c r="A131" s="1" t="s">
        <v>371</v>
      </c>
      <c r="B131" s="2" t="s">
        <v>34</v>
      </c>
      <c r="C131" s="1" t="s">
        <v>134</v>
      </c>
      <c r="D131" s="1" t="s">
        <v>136</v>
      </c>
    </row>
    <row r="132">
      <c r="A132" s="1" t="s">
        <v>373</v>
      </c>
      <c r="B132" s="2" t="s">
        <v>39</v>
      </c>
      <c r="C132" s="1" t="s">
        <v>134</v>
      </c>
      <c r="D132" s="1" t="s">
        <v>136</v>
      </c>
    </row>
    <row r="133">
      <c r="A133" s="1" t="s">
        <v>375</v>
      </c>
      <c r="B133" s="2" t="s">
        <v>44</v>
      </c>
      <c r="C133" s="1" t="s">
        <v>134</v>
      </c>
      <c r="D133" s="1" t="s">
        <v>136</v>
      </c>
    </row>
    <row r="134">
      <c r="A134" s="1" t="s">
        <v>378</v>
      </c>
      <c r="B134" s="2" t="s">
        <v>47</v>
      </c>
      <c r="C134" s="1" t="s">
        <v>134</v>
      </c>
      <c r="D134" s="1" t="s">
        <v>136</v>
      </c>
    </row>
    <row r="135">
      <c r="A135" s="1" t="s">
        <v>379</v>
      </c>
      <c r="B135" s="2" t="s">
        <v>53</v>
      </c>
      <c r="C135" s="1" t="s">
        <v>134</v>
      </c>
      <c r="D135" s="1" t="s">
        <v>136</v>
      </c>
    </row>
    <row r="136">
      <c r="A136" s="1" t="s">
        <v>381</v>
      </c>
      <c r="B136" s="2" t="s">
        <v>57</v>
      </c>
      <c r="C136" s="1" t="s">
        <v>134</v>
      </c>
      <c r="D136" s="1" t="s">
        <v>136</v>
      </c>
    </row>
    <row r="137">
      <c r="A137" s="1" t="s">
        <v>383</v>
      </c>
      <c r="B137" s="2" t="s">
        <v>60</v>
      </c>
      <c r="C137" s="1" t="s">
        <v>134</v>
      </c>
      <c r="D137" s="1" t="s">
        <v>136</v>
      </c>
    </row>
    <row r="138">
      <c r="A138" s="1" t="s">
        <v>385</v>
      </c>
      <c r="B138" s="2" t="s">
        <v>62</v>
      </c>
      <c r="C138" s="1" t="s">
        <v>134</v>
      </c>
      <c r="D138" s="1" t="s">
        <v>136</v>
      </c>
    </row>
    <row r="139">
      <c r="A139" s="1" t="s">
        <v>388</v>
      </c>
      <c r="B139" s="2" t="s">
        <v>64</v>
      </c>
      <c r="C139" s="1" t="s">
        <v>134</v>
      </c>
      <c r="D139" s="1" t="s">
        <v>136</v>
      </c>
    </row>
    <row r="140">
      <c r="A140" s="1" t="s">
        <v>391</v>
      </c>
      <c r="B140" s="2" t="s">
        <v>66</v>
      </c>
      <c r="C140" s="1" t="s">
        <v>134</v>
      </c>
      <c r="D140" s="1" t="s">
        <v>136</v>
      </c>
    </row>
    <row r="141">
      <c r="A141" s="1" t="s">
        <v>393</v>
      </c>
      <c r="B141" s="2" t="s">
        <v>68</v>
      </c>
      <c r="C141" s="1" t="s">
        <v>134</v>
      </c>
      <c r="D141" s="1" t="s">
        <v>136</v>
      </c>
    </row>
    <row r="142">
      <c r="A142" s="1" t="s">
        <v>396</v>
      </c>
      <c r="B142" s="2" t="s">
        <v>70</v>
      </c>
      <c r="C142" s="1" t="s">
        <v>134</v>
      </c>
      <c r="D142" s="1" t="s">
        <v>136</v>
      </c>
    </row>
    <row r="143">
      <c r="A143" s="1" t="s">
        <v>397</v>
      </c>
      <c r="B143" s="2" t="s">
        <v>73</v>
      </c>
      <c r="C143" s="1" t="s">
        <v>134</v>
      </c>
      <c r="D143" s="1" t="s">
        <v>136</v>
      </c>
    </row>
    <row r="144">
      <c r="A144" s="1" t="s">
        <v>400</v>
      </c>
      <c r="B144" s="2" t="s">
        <v>75</v>
      </c>
      <c r="C144" s="1" t="s">
        <v>134</v>
      </c>
      <c r="D144" s="1" t="s">
        <v>136</v>
      </c>
    </row>
    <row r="145">
      <c r="A145" s="1" t="s">
        <v>402</v>
      </c>
      <c r="B145" s="2" t="s">
        <v>86</v>
      </c>
      <c r="C145" s="1" t="s">
        <v>134</v>
      </c>
      <c r="D145" s="1" t="s">
        <v>136</v>
      </c>
    </row>
    <row r="146">
      <c r="A146" s="1" t="s">
        <v>406</v>
      </c>
      <c r="B146" s="2" t="s">
        <v>90</v>
      </c>
      <c r="C146" s="1" t="s">
        <v>134</v>
      </c>
      <c r="D146" s="1" t="s">
        <v>136</v>
      </c>
    </row>
    <row r="147">
      <c r="A147" s="1" t="s">
        <v>407</v>
      </c>
      <c r="B147" s="2" t="s">
        <v>93</v>
      </c>
      <c r="C147" s="1" t="s">
        <v>134</v>
      </c>
      <c r="D147" s="1" t="s">
        <v>136</v>
      </c>
    </row>
    <row r="148">
      <c r="A148" s="1" t="s">
        <v>408</v>
      </c>
      <c r="B148" s="2" t="s">
        <v>99</v>
      </c>
      <c r="C148" s="1" t="s">
        <v>134</v>
      </c>
      <c r="D148" s="1" t="s">
        <v>136</v>
      </c>
    </row>
    <row r="149">
      <c r="A149" s="1" t="s">
        <v>409</v>
      </c>
      <c r="B149" s="2" t="s">
        <v>107</v>
      </c>
      <c r="C149" s="1" t="s">
        <v>134</v>
      </c>
      <c r="D149" s="1" t="s">
        <v>136</v>
      </c>
    </row>
    <row r="150">
      <c r="A150" s="1" t="s">
        <v>410</v>
      </c>
      <c r="B150" s="2" t="s">
        <v>110</v>
      </c>
      <c r="C150" s="1" t="s">
        <v>134</v>
      </c>
      <c r="D150" s="1" t="s">
        <v>136</v>
      </c>
    </row>
    <row r="151">
      <c r="A151" s="1" t="s">
        <v>411</v>
      </c>
      <c r="B151" s="2" t="s">
        <v>114</v>
      </c>
      <c r="C151" s="1" t="s">
        <v>134</v>
      </c>
      <c r="D151" s="1" t="s">
        <v>136</v>
      </c>
    </row>
    <row r="152">
      <c r="A152" s="1" t="s">
        <v>412</v>
      </c>
      <c r="B152" s="2" t="s">
        <v>123</v>
      </c>
      <c r="C152" s="1" t="s">
        <v>134</v>
      </c>
      <c r="D152" s="1" t="s">
        <v>136</v>
      </c>
    </row>
    <row r="153">
      <c r="A153" s="1" t="s">
        <v>413</v>
      </c>
      <c r="B153" s="2" t="s">
        <v>127</v>
      </c>
      <c r="C153" s="1" t="s">
        <v>134</v>
      </c>
      <c r="D153" s="1" t="s">
        <v>136</v>
      </c>
    </row>
    <row r="154">
      <c r="A154" s="1" t="s">
        <v>414</v>
      </c>
      <c r="B154" s="2" t="s">
        <v>132</v>
      </c>
      <c r="C154" s="1" t="s">
        <v>134</v>
      </c>
      <c r="D154" s="1" t="s">
        <v>136</v>
      </c>
    </row>
    <row r="155">
      <c r="A155" s="1" t="s">
        <v>415</v>
      </c>
      <c r="B155" s="2" t="s">
        <v>139</v>
      </c>
      <c r="C155" s="1" t="s">
        <v>134</v>
      </c>
      <c r="D155" s="1" t="s">
        <v>136</v>
      </c>
    </row>
    <row r="156">
      <c r="A156" s="1" t="s">
        <v>416</v>
      </c>
      <c r="B156" s="2" t="s">
        <v>141</v>
      </c>
      <c r="C156" s="1" t="s">
        <v>134</v>
      </c>
      <c r="D156" s="1" t="s">
        <v>136</v>
      </c>
    </row>
    <row r="157">
      <c r="A157" s="1" t="s">
        <v>145</v>
      </c>
      <c r="B157" s="2" t="s">
        <v>7</v>
      </c>
      <c r="C157" s="1" t="s">
        <v>146</v>
      </c>
      <c r="D157" s="1" t="s">
        <v>149</v>
      </c>
    </row>
    <row r="158">
      <c r="A158" s="1" t="s">
        <v>417</v>
      </c>
      <c r="B158" s="2" t="s">
        <v>13</v>
      </c>
      <c r="C158" s="1" t="s">
        <v>146</v>
      </c>
      <c r="D158" s="1" t="s">
        <v>149</v>
      </c>
    </row>
    <row r="159">
      <c r="A159" s="1" t="s">
        <v>418</v>
      </c>
      <c r="B159" s="2" t="s">
        <v>17</v>
      </c>
      <c r="C159" s="1" t="s">
        <v>146</v>
      </c>
      <c r="D159" s="1" t="s">
        <v>149</v>
      </c>
    </row>
    <row r="160">
      <c r="A160" s="1" t="s">
        <v>419</v>
      </c>
      <c r="B160" s="2" t="s">
        <v>25</v>
      </c>
      <c r="C160" s="1" t="s">
        <v>146</v>
      </c>
      <c r="D160" s="1" t="s">
        <v>149</v>
      </c>
    </row>
    <row r="161">
      <c r="A161" s="1" t="s">
        <v>420</v>
      </c>
      <c r="B161" s="2" t="s">
        <v>30</v>
      </c>
      <c r="C161" s="1" t="s">
        <v>146</v>
      </c>
      <c r="D161" s="1" t="s">
        <v>149</v>
      </c>
    </row>
    <row r="162">
      <c r="A162" s="1" t="s">
        <v>421</v>
      </c>
      <c r="B162" s="2" t="s">
        <v>34</v>
      </c>
      <c r="C162" s="1" t="s">
        <v>146</v>
      </c>
      <c r="D162" s="1" t="s">
        <v>149</v>
      </c>
    </row>
    <row r="163">
      <c r="A163" s="1" t="s">
        <v>422</v>
      </c>
      <c r="B163" s="2" t="s">
        <v>39</v>
      </c>
      <c r="C163" s="1" t="s">
        <v>146</v>
      </c>
      <c r="D163" s="1" t="s">
        <v>149</v>
      </c>
    </row>
    <row r="164">
      <c r="A164" s="1" t="s">
        <v>423</v>
      </c>
      <c r="B164" s="2" t="s">
        <v>44</v>
      </c>
      <c r="C164" s="1" t="s">
        <v>146</v>
      </c>
      <c r="D164" s="1" t="s">
        <v>149</v>
      </c>
    </row>
    <row r="165">
      <c r="A165" s="1" t="s">
        <v>424</v>
      </c>
      <c r="B165" s="2" t="s">
        <v>47</v>
      </c>
      <c r="C165" s="1" t="s">
        <v>146</v>
      </c>
      <c r="D165" s="1" t="s">
        <v>149</v>
      </c>
    </row>
    <row r="166">
      <c r="A166" s="1" t="s">
        <v>425</v>
      </c>
      <c r="B166" s="2" t="s">
        <v>53</v>
      </c>
      <c r="C166" s="1" t="s">
        <v>146</v>
      </c>
      <c r="D166" s="1" t="s">
        <v>149</v>
      </c>
    </row>
    <row r="167">
      <c r="A167" s="1" t="s">
        <v>426</v>
      </c>
      <c r="B167" s="2" t="s">
        <v>57</v>
      </c>
      <c r="C167" s="1" t="s">
        <v>146</v>
      </c>
      <c r="D167" s="1" t="s">
        <v>149</v>
      </c>
    </row>
    <row r="168">
      <c r="A168" s="1" t="s">
        <v>427</v>
      </c>
      <c r="B168" s="2" t="s">
        <v>60</v>
      </c>
      <c r="C168" s="1" t="s">
        <v>146</v>
      </c>
      <c r="D168" s="1" t="s">
        <v>149</v>
      </c>
    </row>
    <row r="169">
      <c r="A169" s="1" t="s">
        <v>428</v>
      </c>
      <c r="B169" s="2" t="s">
        <v>62</v>
      </c>
      <c r="C169" s="1" t="s">
        <v>146</v>
      </c>
      <c r="D169" s="1" t="s">
        <v>149</v>
      </c>
    </row>
    <row r="170">
      <c r="A170" s="1" t="s">
        <v>430</v>
      </c>
      <c r="B170" s="2" t="s">
        <v>64</v>
      </c>
      <c r="C170" s="1" t="s">
        <v>146</v>
      </c>
      <c r="D170" s="1" t="s">
        <v>149</v>
      </c>
    </row>
    <row r="171">
      <c r="A171" s="1" t="s">
        <v>432</v>
      </c>
      <c r="B171" s="2" t="s">
        <v>66</v>
      </c>
      <c r="C171" s="1" t="s">
        <v>146</v>
      </c>
      <c r="D171" s="1" t="s">
        <v>149</v>
      </c>
    </row>
    <row r="172">
      <c r="A172" s="1" t="s">
        <v>434</v>
      </c>
      <c r="B172" s="2" t="s">
        <v>68</v>
      </c>
      <c r="C172" s="1" t="s">
        <v>146</v>
      </c>
      <c r="D172" s="1" t="s">
        <v>149</v>
      </c>
    </row>
    <row r="173">
      <c r="A173" s="1" t="s">
        <v>435</v>
      </c>
      <c r="B173" s="2" t="s">
        <v>70</v>
      </c>
      <c r="C173" s="1" t="s">
        <v>146</v>
      </c>
      <c r="D173" s="1" t="s">
        <v>149</v>
      </c>
    </row>
    <row r="174">
      <c r="A174" s="1" t="s">
        <v>436</v>
      </c>
      <c r="B174" s="2" t="s">
        <v>73</v>
      </c>
      <c r="C174" s="1" t="s">
        <v>146</v>
      </c>
      <c r="D174" s="1" t="s">
        <v>149</v>
      </c>
    </row>
    <row r="175">
      <c r="A175" s="1" t="s">
        <v>439</v>
      </c>
      <c r="B175" s="2" t="s">
        <v>75</v>
      </c>
      <c r="C175" s="1" t="s">
        <v>146</v>
      </c>
      <c r="D175" s="1" t="s">
        <v>149</v>
      </c>
    </row>
    <row r="176">
      <c r="A176" s="1" t="s">
        <v>441</v>
      </c>
      <c r="B176" s="2" t="s">
        <v>86</v>
      </c>
      <c r="C176" s="1" t="s">
        <v>146</v>
      </c>
      <c r="D176" s="1" t="s">
        <v>149</v>
      </c>
    </row>
    <row r="177">
      <c r="A177" s="1" t="s">
        <v>443</v>
      </c>
      <c r="B177" s="2" t="s">
        <v>90</v>
      </c>
      <c r="C177" s="1" t="s">
        <v>146</v>
      </c>
      <c r="D177" s="1" t="s">
        <v>149</v>
      </c>
    </row>
    <row r="178">
      <c r="A178" s="1" t="s">
        <v>446</v>
      </c>
      <c r="B178" s="2" t="s">
        <v>93</v>
      </c>
      <c r="C178" s="1" t="s">
        <v>146</v>
      </c>
      <c r="D178" s="1" t="s">
        <v>149</v>
      </c>
    </row>
    <row r="179">
      <c r="A179" s="1" t="s">
        <v>447</v>
      </c>
      <c r="B179" s="2" t="s">
        <v>99</v>
      </c>
      <c r="C179" s="1" t="s">
        <v>146</v>
      </c>
      <c r="D179" s="1" t="s">
        <v>149</v>
      </c>
    </row>
    <row r="180">
      <c r="A180" s="1" t="s">
        <v>449</v>
      </c>
      <c r="B180" s="2" t="s">
        <v>107</v>
      </c>
      <c r="C180" s="1" t="s">
        <v>146</v>
      </c>
      <c r="D180" s="1" t="s">
        <v>149</v>
      </c>
    </row>
    <row r="181">
      <c r="A181" s="1" t="s">
        <v>452</v>
      </c>
      <c r="B181" s="2" t="s">
        <v>110</v>
      </c>
      <c r="C181" s="1" t="s">
        <v>146</v>
      </c>
      <c r="D181" s="1" t="s">
        <v>149</v>
      </c>
    </row>
    <row r="182">
      <c r="A182" s="1" t="s">
        <v>453</v>
      </c>
      <c r="B182" s="2" t="s">
        <v>114</v>
      </c>
      <c r="C182" s="1" t="s">
        <v>146</v>
      </c>
      <c r="D182" s="1" t="s">
        <v>149</v>
      </c>
    </row>
    <row r="183">
      <c r="A183" s="1" t="s">
        <v>456</v>
      </c>
      <c r="B183" s="2" t="s">
        <v>123</v>
      </c>
      <c r="C183" s="1" t="s">
        <v>146</v>
      </c>
      <c r="D183" s="1" t="s">
        <v>149</v>
      </c>
    </row>
    <row r="184">
      <c r="A184" s="1" t="s">
        <v>458</v>
      </c>
      <c r="B184" s="2" t="s">
        <v>127</v>
      </c>
      <c r="C184" s="1" t="s">
        <v>146</v>
      </c>
      <c r="D184" s="1" t="s">
        <v>149</v>
      </c>
    </row>
    <row r="185">
      <c r="A185" s="1" t="s">
        <v>459</v>
      </c>
      <c r="B185" s="2" t="s">
        <v>132</v>
      </c>
      <c r="C185" s="1" t="s">
        <v>146</v>
      </c>
      <c r="D185" s="1" t="s">
        <v>149</v>
      </c>
    </row>
    <row r="186">
      <c r="A186" s="1" t="s">
        <v>461</v>
      </c>
      <c r="B186" s="2" t="s">
        <v>139</v>
      </c>
      <c r="C186" s="1" t="s">
        <v>146</v>
      </c>
      <c r="D186" s="1" t="s">
        <v>149</v>
      </c>
    </row>
    <row r="187">
      <c r="A187" s="1" t="s">
        <v>464</v>
      </c>
      <c r="B187" s="2" t="s">
        <v>141</v>
      </c>
      <c r="C187" s="1" t="s">
        <v>146</v>
      </c>
      <c r="D187" s="1" t="s">
        <v>149</v>
      </c>
    </row>
    <row r="188">
      <c r="A188" s="1" t="s">
        <v>156</v>
      </c>
      <c r="B188" s="2" t="s">
        <v>7</v>
      </c>
      <c r="C188" s="1" t="s">
        <v>157</v>
      </c>
      <c r="D188" s="1" t="s">
        <v>159</v>
      </c>
    </row>
    <row r="189">
      <c r="A189" s="1" t="s">
        <v>467</v>
      </c>
      <c r="B189" s="2" t="s">
        <v>13</v>
      </c>
      <c r="C189" s="1" t="s">
        <v>157</v>
      </c>
      <c r="D189" s="1" t="s">
        <v>159</v>
      </c>
    </row>
    <row r="190">
      <c r="A190" s="1" t="s">
        <v>469</v>
      </c>
      <c r="B190" s="2" t="s">
        <v>17</v>
      </c>
      <c r="C190" s="1" t="s">
        <v>157</v>
      </c>
      <c r="D190" s="1" t="s">
        <v>159</v>
      </c>
    </row>
    <row r="191">
      <c r="A191" s="1" t="s">
        <v>470</v>
      </c>
      <c r="B191" s="2" t="s">
        <v>25</v>
      </c>
      <c r="C191" s="1" t="s">
        <v>157</v>
      </c>
      <c r="D191" s="1" t="s">
        <v>159</v>
      </c>
    </row>
    <row r="192">
      <c r="A192" s="1" t="s">
        <v>472</v>
      </c>
      <c r="B192" s="2" t="s">
        <v>30</v>
      </c>
      <c r="C192" s="1" t="s">
        <v>157</v>
      </c>
      <c r="D192" s="1" t="s">
        <v>159</v>
      </c>
    </row>
    <row r="193">
      <c r="A193" s="1" t="s">
        <v>475</v>
      </c>
      <c r="B193" s="2" t="s">
        <v>34</v>
      </c>
      <c r="C193" s="1" t="s">
        <v>157</v>
      </c>
      <c r="D193" s="1" t="s">
        <v>159</v>
      </c>
    </row>
    <row r="194">
      <c r="A194" s="1" t="s">
        <v>477</v>
      </c>
      <c r="B194" s="2" t="s">
        <v>39</v>
      </c>
      <c r="C194" s="1" t="s">
        <v>157</v>
      </c>
      <c r="D194" s="1" t="s">
        <v>159</v>
      </c>
    </row>
    <row r="195">
      <c r="A195" s="1" t="s">
        <v>478</v>
      </c>
      <c r="B195" s="2" t="s">
        <v>44</v>
      </c>
      <c r="C195" s="1" t="s">
        <v>157</v>
      </c>
      <c r="D195" s="1" t="s">
        <v>159</v>
      </c>
    </row>
    <row r="196">
      <c r="A196" s="1" t="s">
        <v>481</v>
      </c>
      <c r="B196" s="2" t="s">
        <v>47</v>
      </c>
      <c r="C196" s="1" t="s">
        <v>157</v>
      </c>
      <c r="D196" s="1" t="s">
        <v>159</v>
      </c>
    </row>
    <row r="197">
      <c r="A197" s="1" t="s">
        <v>483</v>
      </c>
      <c r="B197" s="2" t="s">
        <v>53</v>
      </c>
      <c r="C197" s="1" t="s">
        <v>157</v>
      </c>
      <c r="D197" s="1" t="s">
        <v>159</v>
      </c>
    </row>
    <row r="198">
      <c r="A198" s="1" t="s">
        <v>484</v>
      </c>
      <c r="B198" s="2" t="s">
        <v>57</v>
      </c>
      <c r="C198" s="1" t="s">
        <v>157</v>
      </c>
      <c r="D198" s="1" t="s">
        <v>159</v>
      </c>
    </row>
    <row r="199">
      <c r="A199" s="1" t="s">
        <v>488</v>
      </c>
      <c r="B199" s="2" t="s">
        <v>60</v>
      </c>
      <c r="C199" s="1" t="s">
        <v>157</v>
      </c>
      <c r="D199" s="1" t="s">
        <v>159</v>
      </c>
    </row>
    <row r="200">
      <c r="A200" s="1" t="s">
        <v>490</v>
      </c>
      <c r="B200" s="2" t="s">
        <v>62</v>
      </c>
      <c r="C200" s="1" t="s">
        <v>157</v>
      </c>
      <c r="D200" s="1" t="s">
        <v>159</v>
      </c>
    </row>
    <row r="201">
      <c r="A201" s="1" t="s">
        <v>493</v>
      </c>
      <c r="B201" s="2" t="s">
        <v>64</v>
      </c>
      <c r="C201" s="1" t="s">
        <v>157</v>
      </c>
      <c r="D201" s="1" t="s">
        <v>159</v>
      </c>
    </row>
    <row r="202">
      <c r="A202" s="1" t="s">
        <v>495</v>
      </c>
      <c r="B202" s="2" t="s">
        <v>66</v>
      </c>
      <c r="C202" s="1" t="s">
        <v>157</v>
      </c>
      <c r="D202" s="1" t="s">
        <v>159</v>
      </c>
    </row>
    <row r="203">
      <c r="A203" s="1" t="s">
        <v>498</v>
      </c>
      <c r="B203" s="2" t="s">
        <v>68</v>
      </c>
      <c r="C203" s="1" t="s">
        <v>157</v>
      </c>
      <c r="D203" s="1" t="s">
        <v>159</v>
      </c>
    </row>
    <row r="204">
      <c r="A204" s="1" t="s">
        <v>500</v>
      </c>
      <c r="B204" s="2" t="s">
        <v>70</v>
      </c>
      <c r="C204" s="1" t="s">
        <v>157</v>
      </c>
      <c r="D204" s="1" t="s">
        <v>159</v>
      </c>
    </row>
    <row r="205">
      <c r="A205" s="1" t="s">
        <v>503</v>
      </c>
      <c r="B205" s="2" t="s">
        <v>73</v>
      </c>
      <c r="C205" s="1" t="s">
        <v>157</v>
      </c>
      <c r="D205" s="1" t="s">
        <v>159</v>
      </c>
    </row>
    <row r="206">
      <c r="A206" s="1" t="s">
        <v>505</v>
      </c>
      <c r="B206" s="2" t="s">
        <v>75</v>
      </c>
      <c r="C206" s="1" t="s">
        <v>157</v>
      </c>
      <c r="D206" s="1" t="s">
        <v>159</v>
      </c>
    </row>
    <row r="207">
      <c r="A207" s="1" t="s">
        <v>508</v>
      </c>
      <c r="B207" s="2" t="s">
        <v>86</v>
      </c>
      <c r="C207" s="1" t="s">
        <v>157</v>
      </c>
      <c r="D207" s="1" t="s">
        <v>159</v>
      </c>
    </row>
    <row r="208">
      <c r="A208" s="1" t="s">
        <v>510</v>
      </c>
      <c r="B208" s="2" t="s">
        <v>90</v>
      </c>
      <c r="C208" s="1" t="s">
        <v>157</v>
      </c>
      <c r="D208" s="1" t="s">
        <v>159</v>
      </c>
    </row>
    <row r="209">
      <c r="A209" s="1" t="s">
        <v>513</v>
      </c>
      <c r="B209" s="2" t="s">
        <v>93</v>
      </c>
      <c r="C209" s="1" t="s">
        <v>157</v>
      </c>
      <c r="D209" s="1" t="s">
        <v>159</v>
      </c>
    </row>
    <row r="210">
      <c r="A210" s="1" t="s">
        <v>515</v>
      </c>
      <c r="B210" s="2" t="s">
        <v>99</v>
      </c>
      <c r="C210" s="1" t="s">
        <v>157</v>
      </c>
      <c r="D210" s="1" t="s">
        <v>159</v>
      </c>
    </row>
    <row r="211">
      <c r="A211" s="1" t="s">
        <v>518</v>
      </c>
      <c r="B211" s="2" t="s">
        <v>107</v>
      </c>
      <c r="C211" s="1" t="s">
        <v>157</v>
      </c>
      <c r="D211" s="1" t="s">
        <v>159</v>
      </c>
    </row>
    <row r="212">
      <c r="A212" s="1" t="s">
        <v>520</v>
      </c>
      <c r="B212" s="2" t="s">
        <v>110</v>
      </c>
      <c r="C212" s="1" t="s">
        <v>157</v>
      </c>
      <c r="D212" s="1" t="s">
        <v>159</v>
      </c>
    </row>
    <row r="213">
      <c r="A213" s="1" t="s">
        <v>521</v>
      </c>
      <c r="B213" s="2" t="s">
        <v>114</v>
      </c>
      <c r="C213" s="1" t="s">
        <v>157</v>
      </c>
      <c r="D213" s="1" t="s">
        <v>159</v>
      </c>
    </row>
    <row r="214">
      <c r="A214" s="1" t="s">
        <v>522</v>
      </c>
      <c r="B214" s="2" t="s">
        <v>123</v>
      </c>
      <c r="C214" s="1" t="s">
        <v>157</v>
      </c>
      <c r="D214" s="1" t="s">
        <v>159</v>
      </c>
    </row>
    <row r="215">
      <c r="A215" s="1" t="s">
        <v>523</v>
      </c>
      <c r="B215" s="2" t="s">
        <v>127</v>
      </c>
      <c r="C215" s="1" t="s">
        <v>157</v>
      </c>
      <c r="D215" s="1" t="s">
        <v>159</v>
      </c>
    </row>
    <row r="216">
      <c r="A216" s="1" t="s">
        <v>524</v>
      </c>
      <c r="B216" s="2" t="s">
        <v>132</v>
      </c>
      <c r="C216" s="1" t="s">
        <v>157</v>
      </c>
      <c r="D216" s="1" t="s">
        <v>159</v>
      </c>
    </row>
    <row r="217">
      <c r="A217" s="1" t="s">
        <v>525</v>
      </c>
      <c r="B217" s="2" t="s">
        <v>139</v>
      </c>
      <c r="C217" s="1" t="s">
        <v>157</v>
      </c>
      <c r="D217" s="1" t="s">
        <v>159</v>
      </c>
    </row>
    <row r="218">
      <c r="A218" s="1" t="s">
        <v>526</v>
      </c>
      <c r="B218" s="2" t="s">
        <v>141</v>
      </c>
      <c r="C218" s="1" t="s">
        <v>157</v>
      </c>
      <c r="D218" s="1" t="s">
        <v>159</v>
      </c>
    </row>
    <row r="219">
      <c r="A219" s="1" t="s">
        <v>164</v>
      </c>
      <c r="B219" s="2" t="s">
        <v>7</v>
      </c>
      <c r="C219" s="1" t="s">
        <v>165</v>
      </c>
      <c r="D219" s="1" t="s">
        <v>166</v>
      </c>
    </row>
    <row r="220">
      <c r="A220" s="1" t="s">
        <v>528</v>
      </c>
      <c r="B220" s="2" t="s">
        <v>13</v>
      </c>
      <c r="C220" s="1" t="s">
        <v>165</v>
      </c>
      <c r="D220" s="1" t="s">
        <v>166</v>
      </c>
    </row>
    <row r="221">
      <c r="A221" s="1" t="s">
        <v>531</v>
      </c>
      <c r="B221" s="2" t="s">
        <v>17</v>
      </c>
      <c r="C221" s="1" t="s">
        <v>165</v>
      </c>
      <c r="D221" s="1" t="s">
        <v>166</v>
      </c>
    </row>
    <row r="222">
      <c r="A222" s="1" t="s">
        <v>533</v>
      </c>
      <c r="B222" s="2" t="s">
        <v>25</v>
      </c>
      <c r="C222" s="1" t="s">
        <v>165</v>
      </c>
      <c r="D222" s="1" t="s">
        <v>166</v>
      </c>
    </row>
    <row r="223">
      <c r="A223" s="1" t="s">
        <v>536</v>
      </c>
      <c r="B223" s="2" t="s">
        <v>30</v>
      </c>
      <c r="C223" s="1" t="s">
        <v>165</v>
      </c>
      <c r="D223" s="1" t="s">
        <v>166</v>
      </c>
    </row>
    <row r="224">
      <c r="A224" s="1" t="s">
        <v>538</v>
      </c>
      <c r="B224" s="2" t="s">
        <v>34</v>
      </c>
      <c r="C224" s="1" t="s">
        <v>165</v>
      </c>
      <c r="D224" s="1" t="s">
        <v>166</v>
      </c>
    </row>
    <row r="225">
      <c r="A225" s="1" t="s">
        <v>541</v>
      </c>
      <c r="B225" s="2" t="s">
        <v>39</v>
      </c>
      <c r="C225" s="1" t="s">
        <v>165</v>
      </c>
      <c r="D225" s="1" t="s">
        <v>166</v>
      </c>
    </row>
    <row r="226">
      <c r="A226" s="1" t="s">
        <v>542</v>
      </c>
      <c r="B226" s="2" t="s">
        <v>44</v>
      </c>
      <c r="C226" s="1" t="s">
        <v>165</v>
      </c>
      <c r="D226" s="1" t="s">
        <v>166</v>
      </c>
    </row>
    <row r="227">
      <c r="A227" s="1" t="s">
        <v>544</v>
      </c>
      <c r="B227" s="2" t="s">
        <v>47</v>
      </c>
      <c r="C227" s="1" t="s">
        <v>165</v>
      </c>
      <c r="D227" s="1" t="s">
        <v>166</v>
      </c>
    </row>
    <row r="228">
      <c r="A228" s="1" t="s">
        <v>546</v>
      </c>
      <c r="B228" s="2" t="s">
        <v>53</v>
      </c>
      <c r="C228" s="1" t="s">
        <v>165</v>
      </c>
      <c r="D228" s="1" t="s">
        <v>166</v>
      </c>
    </row>
    <row r="229">
      <c r="A229" s="1" t="s">
        <v>548</v>
      </c>
      <c r="B229" s="2" t="s">
        <v>57</v>
      </c>
      <c r="C229" s="1" t="s">
        <v>165</v>
      </c>
      <c r="D229" s="1" t="s">
        <v>166</v>
      </c>
    </row>
    <row r="230">
      <c r="A230" s="1" t="s">
        <v>551</v>
      </c>
      <c r="B230" s="2" t="s">
        <v>60</v>
      </c>
      <c r="C230" s="1" t="s">
        <v>165</v>
      </c>
      <c r="D230" s="1" t="s">
        <v>166</v>
      </c>
    </row>
    <row r="231">
      <c r="A231" s="1" t="s">
        <v>552</v>
      </c>
      <c r="B231" s="2" t="s">
        <v>62</v>
      </c>
      <c r="C231" s="1" t="s">
        <v>165</v>
      </c>
      <c r="D231" s="1" t="s">
        <v>166</v>
      </c>
    </row>
    <row r="232">
      <c r="A232" s="1" t="s">
        <v>554</v>
      </c>
      <c r="B232" s="2" t="s">
        <v>64</v>
      </c>
      <c r="C232" s="1" t="s">
        <v>165</v>
      </c>
      <c r="D232" s="1" t="s">
        <v>166</v>
      </c>
    </row>
    <row r="233">
      <c r="A233" s="1" t="s">
        <v>557</v>
      </c>
      <c r="B233" s="2" t="s">
        <v>66</v>
      </c>
      <c r="C233" s="1" t="s">
        <v>165</v>
      </c>
      <c r="D233" s="1" t="s">
        <v>166</v>
      </c>
    </row>
    <row r="234">
      <c r="A234" s="1" t="s">
        <v>559</v>
      </c>
      <c r="B234" s="2" t="s">
        <v>68</v>
      </c>
      <c r="C234" s="1" t="s">
        <v>165</v>
      </c>
      <c r="D234" s="1" t="s">
        <v>166</v>
      </c>
    </row>
    <row r="235">
      <c r="A235" s="1" t="s">
        <v>562</v>
      </c>
      <c r="B235" s="2" t="s">
        <v>70</v>
      </c>
      <c r="C235" s="1" t="s">
        <v>165</v>
      </c>
      <c r="D235" s="1" t="s">
        <v>166</v>
      </c>
    </row>
    <row r="236">
      <c r="A236" s="1" t="s">
        <v>563</v>
      </c>
      <c r="B236" s="2" t="s">
        <v>73</v>
      </c>
      <c r="C236" s="1" t="s">
        <v>165</v>
      </c>
      <c r="D236" s="1" t="s">
        <v>166</v>
      </c>
    </row>
    <row r="237">
      <c r="A237" s="1" t="s">
        <v>567</v>
      </c>
      <c r="B237" s="2" t="s">
        <v>75</v>
      </c>
      <c r="C237" s="1" t="s">
        <v>165</v>
      </c>
      <c r="D237" s="1" t="s">
        <v>166</v>
      </c>
    </row>
    <row r="238">
      <c r="A238" s="1" t="s">
        <v>568</v>
      </c>
      <c r="B238" s="2" t="s">
        <v>86</v>
      </c>
      <c r="C238" s="1" t="s">
        <v>165</v>
      </c>
      <c r="D238" s="1" t="s">
        <v>166</v>
      </c>
    </row>
    <row r="239">
      <c r="A239" s="1" t="s">
        <v>572</v>
      </c>
      <c r="B239" s="2" t="s">
        <v>90</v>
      </c>
      <c r="C239" s="1" t="s">
        <v>165</v>
      </c>
      <c r="D239" s="1" t="s">
        <v>166</v>
      </c>
    </row>
    <row r="240">
      <c r="A240" s="1" t="s">
        <v>573</v>
      </c>
      <c r="B240" s="2" t="s">
        <v>93</v>
      </c>
      <c r="C240" s="1" t="s">
        <v>165</v>
      </c>
      <c r="D240" s="1" t="s">
        <v>166</v>
      </c>
    </row>
    <row r="241">
      <c r="A241" s="1" t="s">
        <v>575</v>
      </c>
      <c r="B241" s="2" t="s">
        <v>99</v>
      </c>
      <c r="C241" s="1" t="s">
        <v>165</v>
      </c>
      <c r="D241" s="1" t="s">
        <v>166</v>
      </c>
    </row>
    <row r="242">
      <c r="A242" s="1" t="s">
        <v>578</v>
      </c>
      <c r="B242" s="2" t="s">
        <v>107</v>
      </c>
      <c r="C242" s="1" t="s">
        <v>165</v>
      </c>
      <c r="D242" s="1" t="s">
        <v>166</v>
      </c>
    </row>
    <row r="243">
      <c r="A243" s="1" t="s">
        <v>580</v>
      </c>
      <c r="B243" s="2" t="s">
        <v>110</v>
      </c>
      <c r="C243" s="1" t="s">
        <v>165</v>
      </c>
      <c r="D243" s="1" t="s">
        <v>166</v>
      </c>
    </row>
    <row r="244">
      <c r="A244" s="1" t="s">
        <v>583</v>
      </c>
      <c r="B244" s="2" t="s">
        <v>114</v>
      </c>
      <c r="C244" s="1" t="s">
        <v>165</v>
      </c>
      <c r="D244" s="1" t="s">
        <v>166</v>
      </c>
    </row>
    <row r="245">
      <c r="A245" s="1" t="s">
        <v>584</v>
      </c>
      <c r="B245" s="2" t="s">
        <v>123</v>
      </c>
      <c r="C245" s="1" t="s">
        <v>165</v>
      </c>
      <c r="D245" s="1" t="s">
        <v>166</v>
      </c>
    </row>
    <row r="246">
      <c r="A246" s="1" t="s">
        <v>588</v>
      </c>
      <c r="B246" s="2" t="s">
        <v>127</v>
      </c>
      <c r="C246" s="1" t="s">
        <v>165</v>
      </c>
      <c r="D246" s="1" t="s">
        <v>166</v>
      </c>
    </row>
    <row r="247">
      <c r="A247" s="1" t="s">
        <v>589</v>
      </c>
      <c r="B247" s="2" t="s">
        <v>132</v>
      </c>
      <c r="C247" s="1" t="s">
        <v>165</v>
      </c>
      <c r="D247" s="1" t="s">
        <v>166</v>
      </c>
    </row>
    <row r="248">
      <c r="A248" s="1" t="s">
        <v>590</v>
      </c>
      <c r="B248" s="2" t="s">
        <v>139</v>
      </c>
      <c r="C248" s="1" t="s">
        <v>165</v>
      </c>
      <c r="D248" s="1" t="s">
        <v>166</v>
      </c>
    </row>
    <row r="249">
      <c r="A249" s="1" t="s">
        <v>592</v>
      </c>
      <c r="B249" s="2" t="s">
        <v>141</v>
      </c>
      <c r="C249" s="1" t="s">
        <v>165</v>
      </c>
      <c r="D249" s="1" t="s">
        <v>166</v>
      </c>
    </row>
    <row r="250">
      <c r="A250" s="1" t="s">
        <v>169</v>
      </c>
      <c r="B250" s="2" t="s">
        <v>7</v>
      </c>
      <c r="C250" s="1" t="s">
        <v>170</v>
      </c>
      <c r="D250" s="1" t="s">
        <v>171</v>
      </c>
    </row>
    <row r="251">
      <c r="A251" s="1" t="s">
        <v>596</v>
      </c>
      <c r="B251" s="2" t="s">
        <v>13</v>
      </c>
      <c r="C251" s="1" t="s">
        <v>170</v>
      </c>
      <c r="D251" s="1" t="s">
        <v>171</v>
      </c>
    </row>
    <row r="252">
      <c r="A252" s="1" t="s">
        <v>599</v>
      </c>
      <c r="B252" s="2" t="s">
        <v>17</v>
      </c>
      <c r="C252" s="1" t="s">
        <v>170</v>
      </c>
      <c r="D252" s="1" t="s">
        <v>171</v>
      </c>
    </row>
    <row r="253">
      <c r="A253" s="1" t="s">
        <v>601</v>
      </c>
      <c r="B253" s="2" t="s">
        <v>25</v>
      </c>
      <c r="C253" s="1" t="s">
        <v>170</v>
      </c>
      <c r="D253" s="1" t="s">
        <v>171</v>
      </c>
    </row>
    <row r="254">
      <c r="A254" s="1" t="s">
        <v>604</v>
      </c>
      <c r="B254" s="2" t="s">
        <v>30</v>
      </c>
      <c r="C254" s="1" t="s">
        <v>170</v>
      </c>
      <c r="D254" s="1" t="s">
        <v>171</v>
      </c>
    </row>
    <row r="255">
      <c r="A255" s="1" t="s">
        <v>605</v>
      </c>
      <c r="B255" s="2" t="s">
        <v>34</v>
      </c>
      <c r="C255" s="1" t="s">
        <v>170</v>
      </c>
      <c r="D255" s="1" t="s">
        <v>171</v>
      </c>
    </row>
    <row r="256">
      <c r="A256" s="1" t="s">
        <v>607</v>
      </c>
      <c r="B256" s="2" t="s">
        <v>39</v>
      </c>
      <c r="C256" s="1" t="s">
        <v>170</v>
      </c>
      <c r="D256" s="1" t="s">
        <v>171</v>
      </c>
    </row>
    <row r="257">
      <c r="A257" s="1" t="s">
        <v>610</v>
      </c>
      <c r="B257" s="2" t="s">
        <v>44</v>
      </c>
      <c r="C257" s="1" t="s">
        <v>170</v>
      </c>
      <c r="D257" s="1" t="s">
        <v>171</v>
      </c>
    </row>
    <row r="258">
      <c r="A258" s="1" t="s">
        <v>611</v>
      </c>
      <c r="B258" s="2" t="s">
        <v>47</v>
      </c>
      <c r="C258" s="1" t="s">
        <v>170</v>
      </c>
      <c r="D258" s="1" t="s">
        <v>171</v>
      </c>
    </row>
    <row r="259">
      <c r="A259" s="1" t="s">
        <v>614</v>
      </c>
      <c r="B259" s="2" t="s">
        <v>53</v>
      </c>
      <c r="C259" s="1" t="s">
        <v>170</v>
      </c>
      <c r="D259" s="1" t="s">
        <v>171</v>
      </c>
    </row>
    <row r="260">
      <c r="A260" s="1" t="s">
        <v>616</v>
      </c>
      <c r="B260" s="2" t="s">
        <v>57</v>
      </c>
      <c r="C260" s="1" t="s">
        <v>170</v>
      </c>
      <c r="D260" s="1" t="s">
        <v>171</v>
      </c>
    </row>
    <row r="261">
      <c r="A261" s="1" t="s">
        <v>617</v>
      </c>
      <c r="B261" s="2" t="s">
        <v>60</v>
      </c>
      <c r="C261" s="1" t="s">
        <v>170</v>
      </c>
      <c r="D261" s="1" t="s">
        <v>171</v>
      </c>
    </row>
    <row r="262">
      <c r="A262" s="1" t="s">
        <v>619</v>
      </c>
      <c r="B262" s="2" t="s">
        <v>62</v>
      </c>
      <c r="C262" s="1" t="s">
        <v>170</v>
      </c>
      <c r="D262" s="1" t="s">
        <v>171</v>
      </c>
    </row>
    <row r="263">
      <c r="A263" s="1" t="s">
        <v>622</v>
      </c>
      <c r="B263" s="2" t="s">
        <v>64</v>
      </c>
      <c r="C263" s="1" t="s">
        <v>170</v>
      </c>
      <c r="D263" s="1" t="s">
        <v>171</v>
      </c>
    </row>
    <row r="264">
      <c r="A264" s="1" t="s">
        <v>623</v>
      </c>
      <c r="B264" s="2" t="s">
        <v>66</v>
      </c>
      <c r="C264" s="1" t="s">
        <v>170</v>
      </c>
      <c r="D264" s="1" t="s">
        <v>171</v>
      </c>
    </row>
    <row r="265">
      <c r="A265" s="1" t="s">
        <v>625</v>
      </c>
      <c r="B265" s="2" t="s">
        <v>68</v>
      </c>
      <c r="C265" s="1" t="s">
        <v>170</v>
      </c>
      <c r="D265" s="1" t="s">
        <v>171</v>
      </c>
    </row>
    <row r="266">
      <c r="A266" s="1" t="s">
        <v>628</v>
      </c>
      <c r="B266" s="2" t="s">
        <v>70</v>
      </c>
      <c r="C266" s="1" t="s">
        <v>170</v>
      </c>
      <c r="D266" s="1" t="s">
        <v>171</v>
      </c>
    </row>
    <row r="267">
      <c r="A267" s="1" t="s">
        <v>629</v>
      </c>
      <c r="B267" s="2" t="s">
        <v>73</v>
      </c>
      <c r="C267" s="1" t="s">
        <v>170</v>
      </c>
      <c r="D267" s="1" t="s">
        <v>171</v>
      </c>
    </row>
    <row r="268">
      <c r="A268" s="1" t="s">
        <v>631</v>
      </c>
      <c r="B268" s="2" t="s">
        <v>75</v>
      </c>
      <c r="C268" s="1" t="s">
        <v>170</v>
      </c>
      <c r="D268" s="1" t="s">
        <v>171</v>
      </c>
    </row>
    <row r="269">
      <c r="A269" s="1" t="s">
        <v>634</v>
      </c>
      <c r="B269" s="2" t="s">
        <v>86</v>
      </c>
      <c r="C269" s="1" t="s">
        <v>170</v>
      </c>
      <c r="D269" s="1" t="s">
        <v>171</v>
      </c>
    </row>
    <row r="270">
      <c r="A270" s="1" t="s">
        <v>635</v>
      </c>
      <c r="B270" s="2" t="s">
        <v>90</v>
      </c>
      <c r="C270" s="1" t="s">
        <v>170</v>
      </c>
      <c r="D270" s="1" t="s">
        <v>171</v>
      </c>
    </row>
    <row r="271">
      <c r="A271" s="1" t="s">
        <v>636</v>
      </c>
      <c r="B271" s="2" t="s">
        <v>93</v>
      </c>
      <c r="C271" s="1" t="s">
        <v>170</v>
      </c>
      <c r="D271" s="1" t="s">
        <v>171</v>
      </c>
    </row>
    <row r="272">
      <c r="A272" s="1" t="s">
        <v>639</v>
      </c>
      <c r="B272" s="2" t="s">
        <v>99</v>
      </c>
      <c r="C272" s="1" t="s">
        <v>170</v>
      </c>
      <c r="D272" s="1" t="s">
        <v>171</v>
      </c>
    </row>
    <row r="273">
      <c r="A273" s="1" t="s">
        <v>641</v>
      </c>
      <c r="B273" s="2" t="s">
        <v>107</v>
      </c>
      <c r="C273" s="1" t="s">
        <v>170</v>
      </c>
      <c r="D273" s="1" t="s">
        <v>171</v>
      </c>
    </row>
    <row r="274">
      <c r="A274" s="1" t="s">
        <v>642</v>
      </c>
      <c r="B274" s="2" t="s">
        <v>110</v>
      </c>
      <c r="C274" s="1" t="s">
        <v>170</v>
      </c>
      <c r="D274" s="1" t="s">
        <v>171</v>
      </c>
    </row>
    <row r="275">
      <c r="A275" s="1" t="s">
        <v>646</v>
      </c>
      <c r="B275" s="2" t="s">
        <v>114</v>
      </c>
      <c r="C275" s="1" t="s">
        <v>170</v>
      </c>
      <c r="D275" s="1" t="s">
        <v>171</v>
      </c>
    </row>
    <row r="276">
      <c r="A276" s="1" t="s">
        <v>647</v>
      </c>
      <c r="B276" s="2" t="s">
        <v>123</v>
      </c>
      <c r="C276" s="1" t="s">
        <v>170</v>
      </c>
      <c r="D276" s="1" t="s">
        <v>171</v>
      </c>
    </row>
    <row r="277">
      <c r="A277" s="1" t="s">
        <v>649</v>
      </c>
      <c r="B277" s="2" t="s">
        <v>127</v>
      </c>
      <c r="C277" s="1" t="s">
        <v>170</v>
      </c>
      <c r="D277" s="1" t="s">
        <v>171</v>
      </c>
    </row>
    <row r="278">
      <c r="A278" s="1" t="s">
        <v>652</v>
      </c>
      <c r="B278" s="2" t="s">
        <v>132</v>
      </c>
      <c r="C278" s="1" t="s">
        <v>170</v>
      </c>
      <c r="D278" s="1" t="s">
        <v>171</v>
      </c>
    </row>
    <row r="279">
      <c r="A279" s="1" t="s">
        <v>654</v>
      </c>
      <c r="B279" s="2" t="s">
        <v>139</v>
      </c>
      <c r="C279" s="1" t="s">
        <v>170</v>
      </c>
      <c r="D279" s="1" t="s">
        <v>171</v>
      </c>
    </row>
    <row r="280">
      <c r="A280" s="1" t="s">
        <v>657</v>
      </c>
      <c r="B280" s="2" t="s">
        <v>141</v>
      </c>
      <c r="C280" s="1" t="s">
        <v>170</v>
      </c>
      <c r="D280" s="1" t="s">
        <v>171</v>
      </c>
    </row>
    <row r="281">
      <c r="A281" s="1" t="s">
        <v>40</v>
      </c>
      <c r="B281" s="2" t="s">
        <v>7</v>
      </c>
      <c r="C281" s="1" t="s">
        <v>48</v>
      </c>
      <c r="D281" s="1" t="s">
        <v>51</v>
      </c>
    </row>
    <row r="282">
      <c r="A282" s="1" t="s">
        <v>659</v>
      </c>
      <c r="B282" s="2" t="s">
        <v>13</v>
      </c>
      <c r="C282" s="1" t="s">
        <v>48</v>
      </c>
      <c r="D282" s="1" t="s">
        <v>51</v>
      </c>
    </row>
    <row r="283">
      <c r="A283" s="1" t="s">
        <v>662</v>
      </c>
      <c r="B283" s="2" t="s">
        <v>17</v>
      </c>
      <c r="C283" s="1" t="s">
        <v>48</v>
      </c>
      <c r="D283" s="1" t="s">
        <v>51</v>
      </c>
    </row>
    <row r="284">
      <c r="A284" s="1" t="s">
        <v>663</v>
      </c>
      <c r="B284" s="2" t="s">
        <v>25</v>
      </c>
      <c r="C284" s="1" t="s">
        <v>48</v>
      </c>
      <c r="D284" s="1" t="s">
        <v>51</v>
      </c>
    </row>
    <row r="285">
      <c r="A285" s="1" t="s">
        <v>665</v>
      </c>
      <c r="B285" s="2" t="s">
        <v>30</v>
      </c>
      <c r="C285" s="1" t="s">
        <v>48</v>
      </c>
      <c r="D285" s="1" t="s">
        <v>51</v>
      </c>
    </row>
    <row r="286">
      <c r="A286" s="1" t="s">
        <v>668</v>
      </c>
      <c r="B286" s="2" t="s">
        <v>34</v>
      </c>
      <c r="C286" s="1" t="s">
        <v>48</v>
      </c>
      <c r="D286" s="1" t="s">
        <v>51</v>
      </c>
    </row>
    <row r="287">
      <c r="A287" s="1" t="s">
        <v>669</v>
      </c>
      <c r="B287" s="2" t="s">
        <v>39</v>
      </c>
      <c r="C287" s="1" t="s">
        <v>48</v>
      </c>
      <c r="D287" s="1" t="s">
        <v>51</v>
      </c>
    </row>
    <row r="288">
      <c r="A288" s="1" t="s">
        <v>670</v>
      </c>
      <c r="B288" s="2" t="s">
        <v>671</v>
      </c>
      <c r="C288" s="1" t="s">
        <v>48</v>
      </c>
      <c r="D288" s="1" t="s">
        <v>51</v>
      </c>
    </row>
    <row r="289">
      <c r="A289" s="1" t="s">
        <v>672</v>
      </c>
      <c r="B289" s="2" t="s">
        <v>673</v>
      </c>
      <c r="C289" s="1" t="s">
        <v>48</v>
      </c>
      <c r="D289" s="1" t="s">
        <v>51</v>
      </c>
    </row>
    <row r="290">
      <c r="A290" s="1" t="s">
        <v>674</v>
      </c>
      <c r="B290" s="2" t="s">
        <v>675</v>
      </c>
      <c r="C290" s="1" t="s">
        <v>48</v>
      </c>
      <c r="D290" s="1" t="s">
        <v>51</v>
      </c>
    </row>
    <row r="291">
      <c r="A291" s="1" t="s">
        <v>677</v>
      </c>
      <c r="B291" s="2" t="s">
        <v>47</v>
      </c>
      <c r="C291" s="1" t="s">
        <v>48</v>
      </c>
      <c r="D291" s="1" t="s">
        <v>51</v>
      </c>
    </row>
    <row r="292">
      <c r="A292" s="1" t="s">
        <v>680</v>
      </c>
      <c r="B292" s="2" t="s">
        <v>53</v>
      </c>
      <c r="C292" s="1" t="s">
        <v>48</v>
      </c>
      <c r="D292" s="1" t="s">
        <v>51</v>
      </c>
    </row>
    <row r="293">
      <c r="A293" s="1" t="s">
        <v>681</v>
      </c>
      <c r="B293" s="2" t="s">
        <v>682</v>
      </c>
      <c r="C293" s="1" t="s">
        <v>48</v>
      </c>
      <c r="D293" s="1" t="s">
        <v>51</v>
      </c>
    </row>
    <row r="294">
      <c r="A294" s="1" t="s">
        <v>684</v>
      </c>
      <c r="B294" s="2" t="s">
        <v>685</v>
      </c>
      <c r="C294" s="1" t="s">
        <v>48</v>
      </c>
      <c r="D294" s="1" t="s">
        <v>51</v>
      </c>
    </row>
    <row r="295">
      <c r="A295" s="1" t="s">
        <v>688</v>
      </c>
      <c r="B295" s="2" t="s">
        <v>689</v>
      </c>
      <c r="C295" s="1" t="s">
        <v>48</v>
      </c>
      <c r="D295" s="1" t="s">
        <v>51</v>
      </c>
    </row>
    <row r="296">
      <c r="A296" s="1" t="s">
        <v>690</v>
      </c>
      <c r="B296" s="2" t="s">
        <v>691</v>
      </c>
      <c r="C296" s="1" t="s">
        <v>48</v>
      </c>
      <c r="D296" s="1" t="s">
        <v>51</v>
      </c>
    </row>
    <row r="297">
      <c r="A297" s="1" t="s">
        <v>693</v>
      </c>
      <c r="B297" s="2" t="s">
        <v>694</v>
      </c>
      <c r="C297" s="1" t="s">
        <v>48</v>
      </c>
      <c r="D297" s="1" t="s">
        <v>51</v>
      </c>
    </row>
    <row r="298">
      <c r="A298" s="1" t="s">
        <v>697</v>
      </c>
      <c r="B298" s="2" t="s">
        <v>698</v>
      </c>
      <c r="C298" s="1" t="s">
        <v>48</v>
      </c>
      <c r="D298" s="1" t="s">
        <v>51</v>
      </c>
    </row>
    <row r="299">
      <c r="A299" s="1" t="s">
        <v>699</v>
      </c>
      <c r="B299" s="2" t="s">
        <v>700</v>
      </c>
      <c r="C299" s="1" t="s">
        <v>48</v>
      </c>
      <c r="D299" s="1" t="s">
        <v>51</v>
      </c>
    </row>
    <row r="300">
      <c r="A300" s="1" t="s">
        <v>702</v>
      </c>
      <c r="B300" s="2" t="s">
        <v>703</v>
      </c>
      <c r="C300" s="1" t="s">
        <v>48</v>
      </c>
      <c r="D300" s="1" t="s">
        <v>51</v>
      </c>
    </row>
    <row r="301">
      <c r="A301" s="1" t="s">
        <v>704</v>
      </c>
      <c r="B301" s="2" t="s">
        <v>705</v>
      </c>
      <c r="C301" s="1" t="s">
        <v>48</v>
      </c>
      <c r="D301" s="1" t="s">
        <v>51</v>
      </c>
    </row>
    <row r="302">
      <c r="A302" s="1" t="s">
        <v>708</v>
      </c>
      <c r="B302" s="2" t="s">
        <v>709</v>
      </c>
      <c r="C302" s="1" t="s">
        <v>48</v>
      </c>
      <c r="D302" s="1" t="s">
        <v>51</v>
      </c>
    </row>
    <row r="303">
      <c r="A303" s="1" t="s">
        <v>711</v>
      </c>
      <c r="B303" s="2" t="s">
        <v>712</v>
      </c>
      <c r="C303" s="1" t="s">
        <v>48</v>
      </c>
      <c r="D303" s="1" t="s">
        <v>51</v>
      </c>
    </row>
    <row r="304">
      <c r="A304" s="1" t="s">
        <v>713</v>
      </c>
      <c r="B304" s="2" t="s">
        <v>715</v>
      </c>
      <c r="C304" s="1" t="s">
        <v>48</v>
      </c>
      <c r="D304" s="1" t="s">
        <v>51</v>
      </c>
    </row>
    <row r="305">
      <c r="A305" s="1" t="s">
        <v>717</v>
      </c>
      <c r="B305" s="2" t="s">
        <v>68</v>
      </c>
      <c r="C305" s="1" t="s">
        <v>48</v>
      </c>
      <c r="D305" s="1" t="s">
        <v>51</v>
      </c>
    </row>
    <row r="306">
      <c r="A306" s="1" t="s">
        <v>719</v>
      </c>
      <c r="B306" s="2" t="s">
        <v>70</v>
      </c>
      <c r="C306" s="1" t="s">
        <v>48</v>
      </c>
      <c r="D306" s="1" t="s">
        <v>51</v>
      </c>
    </row>
    <row r="307">
      <c r="A307" s="1" t="s">
        <v>720</v>
      </c>
      <c r="B307" s="2" t="s">
        <v>73</v>
      </c>
      <c r="C307" s="1" t="s">
        <v>48</v>
      </c>
      <c r="D307" s="1" t="s">
        <v>51</v>
      </c>
    </row>
    <row r="308">
      <c r="A308" s="1" t="s">
        <v>722</v>
      </c>
      <c r="B308" s="2" t="s">
        <v>75</v>
      </c>
      <c r="C308" s="1" t="s">
        <v>48</v>
      </c>
      <c r="D308" s="1" t="s">
        <v>51</v>
      </c>
    </row>
    <row r="309">
      <c r="A309" s="1" t="s">
        <v>725</v>
      </c>
      <c r="B309" s="2" t="s">
        <v>86</v>
      </c>
      <c r="C309" s="1" t="s">
        <v>48</v>
      </c>
      <c r="D309" s="1" t="s">
        <v>51</v>
      </c>
    </row>
    <row r="310">
      <c r="A310" s="1" t="s">
        <v>726</v>
      </c>
      <c r="B310" s="2" t="s">
        <v>90</v>
      </c>
      <c r="C310" s="1" t="s">
        <v>48</v>
      </c>
      <c r="D310" s="1" t="s">
        <v>51</v>
      </c>
    </row>
    <row r="311">
      <c r="A311" s="1" t="s">
        <v>728</v>
      </c>
      <c r="B311" s="2" t="s">
        <v>93</v>
      </c>
      <c r="C311" s="1" t="s">
        <v>48</v>
      </c>
      <c r="D311" s="1" t="s">
        <v>51</v>
      </c>
    </row>
    <row r="312">
      <c r="A312" s="1" t="s">
        <v>731</v>
      </c>
      <c r="B312" s="2" t="s">
        <v>732</v>
      </c>
      <c r="C312" s="1" t="s">
        <v>48</v>
      </c>
      <c r="D312" s="1" t="s">
        <v>51</v>
      </c>
    </row>
    <row r="313">
      <c r="A313" s="1" t="s">
        <v>733</v>
      </c>
      <c r="B313" s="2" t="s">
        <v>734</v>
      </c>
      <c r="C313" s="1" t="s">
        <v>48</v>
      </c>
      <c r="D313" s="1" t="s">
        <v>51</v>
      </c>
    </row>
    <row r="314">
      <c r="A314" s="1" t="s">
        <v>736</v>
      </c>
      <c r="B314" s="2" t="s">
        <v>737</v>
      </c>
      <c r="C314" s="1" t="s">
        <v>48</v>
      </c>
      <c r="D314" s="1" t="s">
        <v>51</v>
      </c>
    </row>
    <row r="315">
      <c r="A315" s="1" t="s">
        <v>740</v>
      </c>
      <c r="B315" s="2" t="s">
        <v>107</v>
      </c>
      <c r="C315" s="1" t="s">
        <v>48</v>
      </c>
      <c r="D315" s="1" t="s">
        <v>51</v>
      </c>
    </row>
    <row r="316">
      <c r="A316" s="1" t="s">
        <v>742</v>
      </c>
      <c r="B316" s="2" t="s">
        <v>110</v>
      </c>
      <c r="C316" s="1" t="s">
        <v>48</v>
      </c>
      <c r="D316" s="1" t="s">
        <v>51</v>
      </c>
    </row>
    <row r="317">
      <c r="A317" s="1" t="s">
        <v>743</v>
      </c>
      <c r="B317" s="2" t="s">
        <v>744</v>
      </c>
      <c r="C317" s="1" t="s">
        <v>48</v>
      </c>
      <c r="D317" s="1" t="s">
        <v>51</v>
      </c>
    </row>
    <row r="318">
      <c r="A318" s="1" t="s">
        <v>746</v>
      </c>
      <c r="B318" s="2" t="s">
        <v>747</v>
      </c>
      <c r="C318" s="1" t="s">
        <v>48</v>
      </c>
      <c r="D318" s="1" t="s">
        <v>51</v>
      </c>
    </row>
    <row r="319">
      <c r="A319" s="1" t="s">
        <v>749</v>
      </c>
      <c r="B319" s="2" t="s">
        <v>751</v>
      </c>
      <c r="C319" s="1" t="s">
        <v>48</v>
      </c>
      <c r="D319" s="1" t="s">
        <v>51</v>
      </c>
    </row>
    <row r="320">
      <c r="A320" s="1" t="s">
        <v>752</v>
      </c>
      <c r="B320" s="2" t="s">
        <v>753</v>
      </c>
      <c r="C320" s="1" t="s">
        <v>48</v>
      </c>
      <c r="D320" s="1" t="s">
        <v>51</v>
      </c>
    </row>
    <row r="321">
      <c r="A321" s="1" t="s">
        <v>754</v>
      </c>
      <c r="B321" s="2" t="s">
        <v>755</v>
      </c>
      <c r="C321" s="1" t="s">
        <v>48</v>
      </c>
      <c r="D321" s="1" t="s">
        <v>51</v>
      </c>
    </row>
    <row r="322">
      <c r="A322" s="1" t="s">
        <v>757</v>
      </c>
      <c r="B322" s="2" t="s">
        <v>758</v>
      </c>
      <c r="C322" s="1" t="s">
        <v>48</v>
      </c>
      <c r="D322" s="1" t="s">
        <v>51</v>
      </c>
    </row>
    <row r="323">
      <c r="A323" s="1" t="s">
        <v>761</v>
      </c>
      <c r="B323" s="2" t="s">
        <v>762</v>
      </c>
      <c r="C323" s="1" t="s">
        <v>48</v>
      </c>
      <c r="D323" s="1" t="s">
        <v>51</v>
      </c>
    </row>
    <row r="324">
      <c r="A324" s="1" t="s">
        <v>764</v>
      </c>
      <c r="B324" s="2" t="s">
        <v>765</v>
      </c>
      <c r="C324" s="1" t="s">
        <v>48</v>
      </c>
      <c r="D324" s="1" t="s">
        <v>51</v>
      </c>
    </row>
    <row r="325">
      <c r="A325" s="1" t="s">
        <v>766</v>
      </c>
      <c r="B325" s="2" t="s">
        <v>767</v>
      </c>
      <c r="C325" s="1" t="s">
        <v>48</v>
      </c>
      <c r="D325" s="1" t="s">
        <v>51</v>
      </c>
    </row>
    <row r="326">
      <c r="A326" s="1" t="s">
        <v>775</v>
      </c>
      <c r="B326" s="2" t="s">
        <v>776</v>
      </c>
      <c r="C326" s="1" t="s">
        <v>48</v>
      </c>
      <c r="D326" s="1" t="s">
        <v>51</v>
      </c>
    </row>
    <row r="327">
      <c r="A327" s="1" t="s">
        <v>778</v>
      </c>
      <c r="B327" s="2" t="s">
        <v>780</v>
      </c>
      <c r="C327" s="1" t="s">
        <v>48</v>
      </c>
      <c r="D327" s="1" t="s">
        <v>51</v>
      </c>
    </row>
    <row r="328">
      <c r="A328" s="1" t="s">
        <v>782</v>
      </c>
      <c r="B328" s="2" t="s">
        <v>783</v>
      </c>
      <c r="C328" s="1" t="s">
        <v>48</v>
      </c>
      <c r="D328" s="1" t="s">
        <v>51</v>
      </c>
    </row>
    <row r="329">
      <c r="A329" s="1" t="s">
        <v>784</v>
      </c>
      <c r="B329" s="2" t="s">
        <v>141</v>
      </c>
      <c r="C329" s="1" t="s">
        <v>48</v>
      </c>
      <c r="D329" s="1" t="s">
        <v>51</v>
      </c>
    </row>
    <row r="330">
      <c r="A330" s="1" t="s">
        <v>182</v>
      </c>
      <c r="B330" s="2" t="s">
        <v>176</v>
      </c>
      <c r="C330" s="1" t="s">
        <v>785</v>
      </c>
      <c r="D330" s="1" t="s">
        <v>184</v>
      </c>
    </row>
    <row r="331">
      <c r="A331" s="1" t="s">
        <v>786</v>
      </c>
      <c r="B331" s="2" t="s">
        <v>788</v>
      </c>
      <c r="C331" s="1" t="s">
        <v>785</v>
      </c>
      <c r="D331" s="1" t="s">
        <v>184</v>
      </c>
    </row>
    <row r="332">
      <c r="A332" s="1" t="s">
        <v>791</v>
      </c>
      <c r="B332" s="2" t="s">
        <v>792</v>
      </c>
      <c r="C332" s="1" t="s">
        <v>785</v>
      </c>
      <c r="D332" s="1" t="s">
        <v>184</v>
      </c>
    </row>
    <row r="333">
      <c r="A333" s="1" t="s">
        <v>189</v>
      </c>
      <c r="B333" s="2" t="s">
        <v>176</v>
      </c>
      <c r="C333" s="1" t="s">
        <v>190</v>
      </c>
      <c r="D333" s="1" t="s">
        <v>191</v>
      </c>
    </row>
    <row r="334">
      <c r="A334" s="1" t="s">
        <v>797</v>
      </c>
      <c r="B334" s="2" t="s">
        <v>788</v>
      </c>
      <c r="C334" s="1" t="s">
        <v>190</v>
      </c>
      <c r="D334" s="1" t="s">
        <v>191</v>
      </c>
    </row>
    <row r="335">
      <c r="A335" s="1" t="s">
        <v>798</v>
      </c>
      <c r="B335" s="2" t="s">
        <v>792</v>
      </c>
      <c r="C335" s="1" t="s">
        <v>190</v>
      </c>
      <c r="D335" s="1" t="s">
        <v>191</v>
      </c>
    </row>
    <row r="336">
      <c r="A336" s="1" t="s">
        <v>194</v>
      </c>
      <c r="B336" s="2" t="s">
        <v>176</v>
      </c>
      <c r="C336" s="1" t="s">
        <v>195</v>
      </c>
      <c r="D336" s="1" t="s">
        <v>197</v>
      </c>
    </row>
    <row r="337">
      <c r="A337" s="1" t="s">
        <v>806</v>
      </c>
      <c r="B337" s="2" t="s">
        <v>788</v>
      </c>
      <c r="C337" s="1" t="s">
        <v>195</v>
      </c>
      <c r="D337" s="1" t="s">
        <v>197</v>
      </c>
    </row>
    <row r="338">
      <c r="A338" s="1" t="s">
        <v>807</v>
      </c>
      <c r="B338" s="2" t="s">
        <v>792</v>
      </c>
      <c r="C338" s="1" t="s">
        <v>195</v>
      </c>
      <c r="D338" s="1" t="s">
        <v>197</v>
      </c>
    </row>
    <row r="339">
      <c r="A339" s="1" t="s">
        <v>200</v>
      </c>
      <c r="B339" s="2" t="s">
        <v>176</v>
      </c>
      <c r="C339" s="1" t="s">
        <v>203</v>
      </c>
      <c r="D339" s="1" t="s">
        <v>204</v>
      </c>
    </row>
    <row r="340">
      <c r="A340" s="1" t="s">
        <v>812</v>
      </c>
      <c r="B340" s="2" t="s">
        <v>788</v>
      </c>
      <c r="C340" s="1" t="s">
        <v>203</v>
      </c>
      <c r="D340" s="1" t="s">
        <v>204</v>
      </c>
    </row>
    <row r="341">
      <c r="A341" s="1" t="s">
        <v>815</v>
      </c>
      <c r="B341" s="2" t="s">
        <v>792</v>
      </c>
      <c r="C341" s="1" t="s">
        <v>203</v>
      </c>
      <c r="D341" s="1" t="s">
        <v>204</v>
      </c>
    </row>
    <row r="342">
      <c r="A342" s="1" t="s">
        <v>207</v>
      </c>
      <c r="B342" s="2" t="s">
        <v>176</v>
      </c>
      <c r="C342" s="1" t="s">
        <v>209</v>
      </c>
      <c r="D342" s="1" t="s">
        <v>211</v>
      </c>
    </row>
    <row r="343">
      <c r="A343" s="1" t="s">
        <v>818</v>
      </c>
      <c r="B343" s="2" t="s">
        <v>788</v>
      </c>
      <c r="C343" s="1" t="s">
        <v>209</v>
      </c>
      <c r="D343" s="1" t="s">
        <v>211</v>
      </c>
    </row>
    <row r="344">
      <c r="A344" s="1" t="s">
        <v>821</v>
      </c>
      <c r="B344" s="2" t="s">
        <v>792</v>
      </c>
      <c r="C344" s="1" t="s">
        <v>209</v>
      </c>
      <c r="D344" s="1" t="s">
        <v>211</v>
      </c>
    </row>
    <row r="345">
      <c r="A345" s="1" t="s">
        <v>212</v>
      </c>
      <c r="B345" s="2" t="s">
        <v>176</v>
      </c>
      <c r="C345" s="1" t="s">
        <v>213</v>
      </c>
      <c r="D345" s="1" t="s">
        <v>215</v>
      </c>
    </row>
    <row r="346">
      <c r="A346" s="1" t="s">
        <v>824</v>
      </c>
      <c r="B346" s="2" t="s">
        <v>788</v>
      </c>
      <c r="C346" s="1" t="s">
        <v>213</v>
      </c>
      <c r="D346" s="1" t="s">
        <v>215</v>
      </c>
    </row>
    <row r="347">
      <c r="A347" s="1" t="s">
        <v>826</v>
      </c>
      <c r="B347" s="2" t="s">
        <v>792</v>
      </c>
      <c r="C347" s="1" t="s">
        <v>213</v>
      </c>
      <c r="D347" s="1" t="s">
        <v>215</v>
      </c>
    </row>
    <row r="348">
      <c r="A348" s="1" t="s">
        <v>218</v>
      </c>
      <c r="B348" s="2" t="s">
        <v>176</v>
      </c>
      <c r="C348" s="1" t="s">
        <v>219</v>
      </c>
      <c r="D348" s="1" t="s">
        <v>220</v>
      </c>
    </row>
    <row r="349">
      <c r="A349" s="1" t="s">
        <v>829</v>
      </c>
      <c r="B349" s="2" t="s">
        <v>788</v>
      </c>
      <c r="C349" s="1" t="s">
        <v>219</v>
      </c>
      <c r="D349" s="1" t="s">
        <v>220</v>
      </c>
    </row>
    <row r="350">
      <c r="A350" s="1" t="s">
        <v>832</v>
      </c>
      <c r="B350" s="2" t="s">
        <v>792</v>
      </c>
      <c r="C350" s="1" t="s">
        <v>219</v>
      </c>
      <c r="D350" s="1" t="s">
        <v>220</v>
      </c>
    </row>
    <row r="351">
      <c r="A351" s="1" t="s">
        <v>223</v>
      </c>
      <c r="B351" s="2" t="s">
        <v>176</v>
      </c>
      <c r="C351" s="1" t="s">
        <v>224</v>
      </c>
      <c r="D351" s="1" t="s">
        <v>225</v>
      </c>
    </row>
    <row r="352">
      <c r="A352" s="1" t="s">
        <v>835</v>
      </c>
      <c r="B352" s="2" t="s">
        <v>788</v>
      </c>
      <c r="C352" s="1" t="s">
        <v>224</v>
      </c>
      <c r="D352" s="1" t="s">
        <v>225</v>
      </c>
    </row>
    <row r="353">
      <c r="A353" s="1" t="s">
        <v>837</v>
      </c>
      <c r="B353" s="2" t="s">
        <v>792</v>
      </c>
      <c r="C353" s="1" t="s">
        <v>224</v>
      </c>
      <c r="D353" s="1" t="s">
        <v>225</v>
      </c>
    </row>
    <row r="354">
      <c r="A354" s="1" t="s">
        <v>227</v>
      </c>
      <c r="B354" s="2" t="s">
        <v>176</v>
      </c>
      <c r="C354" s="1" t="s">
        <v>229</v>
      </c>
      <c r="D354" s="1" t="s">
        <v>230</v>
      </c>
    </row>
    <row r="355">
      <c r="A355" s="1" t="s">
        <v>839</v>
      </c>
      <c r="B355" s="2" t="s">
        <v>788</v>
      </c>
      <c r="C355" s="1" t="s">
        <v>229</v>
      </c>
      <c r="D355" s="1" t="s">
        <v>230</v>
      </c>
    </row>
    <row r="356">
      <c r="A356" s="1" t="s">
        <v>842</v>
      </c>
      <c r="B356" s="2" t="s">
        <v>792</v>
      </c>
      <c r="C356" s="1" t="s">
        <v>229</v>
      </c>
      <c r="D356" s="1" t="s">
        <v>230</v>
      </c>
    </row>
    <row r="357">
      <c r="A357" s="1" t="s">
        <v>175</v>
      </c>
      <c r="B357" s="2" t="s">
        <v>176</v>
      </c>
      <c r="C357" s="1" t="s">
        <v>177</v>
      </c>
      <c r="D357" s="1" t="s">
        <v>178</v>
      </c>
    </row>
    <row r="358">
      <c r="A358" s="1" t="s">
        <v>845</v>
      </c>
      <c r="B358" s="2" t="s">
        <v>788</v>
      </c>
      <c r="C358" s="1" t="s">
        <v>177</v>
      </c>
      <c r="D358" s="1" t="s">
        <v>178</v>
      </c>
    </row>
    <row r="359">
      <c r="A359" s="1" t="s">
        <v>847</v>
      </c>
      <c r="B359" s="2" t="s">
        <v>792</v>
      </c>
      <c r="C359" s="1" t="s">
        <v>177</v>
      </c>
      <c r="D359" s="1" t="s">
        <v>178</v>
      </c>
    </row>
    <row r="360">
      <c r="A360" s="1" t="s">
        <v>232</v>
      </c>
      <c r="B360" s="2" t="s">
        <v>234</v>
      </c>
      <c r="C360" s="1" t="s">
        <v>91</v>
      </c>
      <c r="D360" s="1" t="s">
        <v>235</v>
      </c>
    </row>
    <row r="361">
      <c r="A361" s="1" t="s">
        <v>238</v>
      </c>
      <c r="B361" s="2" t="s">
        <v>7</v>
      </c>
      <c r="C361" s="1" t="s">
        <v>18</v>
      </c>
      <c r="D361" s="1" t="s">
        <v>240</v>
      </c>
    </row>
    <row r="362">
      <c r="A362" s="1" t="s">
        <v>851</v>
      </c>
      <c r="B362" s="2" t="s">
        <v>852</v>
      </c>
      <c r="C362" s="1" t="s">
        <v>18</v>
      </c>
      <c r="D362" s="1" t="s">
        <v>240</v>
      </c>
    </row>
    <row r="363">
      <c r="A363" s="1" t="s">
        <v>853</v>
      </c>
      <c r="B363" s="2" t="s">
        <v>854</v>
      </c>
      <c r="C363" s="1" t="s">
        <v>18</v>
      </c>
      <c r="D363" s="1" t="s">
        <v>240</v>
      </c>
    </row>
    <row r="364">
      <c r="A364" s="1" t="s">
        <v>856</v>
      </c>
      <c r="B364" s="2" t="s">
        <v>858</v>
      </c>
      <c r="C364" s="1" t="s">
        <v>18</v>
      </c>
      <c r="D364" s="1" t="s">
        <v>240</v>
      </c>
    </row>
    <row r="365">
      <c r="A365" s="1" t="s">
        <v>860</v>
      </c>
      <c r="B365" s="2" t="s">
        <v>861</v>
      </c>
      <c r="C365" s="1" t="s">
        <v>18</v>
      </c>
      <c r="D365" s="1" t="s">
        <v>240</v>
      </c>
    </row>
    <row r="366">
      <c r="A366" s="1" t="s">
        <v>862</v>
      </c>
      <c r="B366" s="2" t="s">
        <v>863</v>
      </c>
      <c r="C366" s="1" t="s">
        <v>18</v>
      </c>
      <c r="D366" s="1" t="s">
        <v>240</v>
      </c>
    </row>
    <row r="367">
      <c r="A367" s="1" t="s">
        <v>865</v>
      </c>
      <c r="B367" s="2" t="s">
        <v>866</v>
      </c>
      <c r="C367" s="1" t="s">
        <v>18</v>
      </c>
      <c r="D367" s="1" t="s">
        <v>240</v>
      </c>
    </row>
    <row r="368">
      <c r="A368" s="1" t="s">
        <v>869</v>
      </c>
      <c r="B368" s="2" t="s">
        <v>870</v>
      </c>
      <c r="C368" s="1" t="s">
        <v>18</v>
      </c>
      <c r="D368" s="1" t="s">
        <v>240</v>
      </c>
    </row>
    <row r="369">
      <c r="A369" s="1" t="s">
        <v>871</v>
      </c>
      <c r="B369" s="2" t="s">
        <v>872</v>
      </c>
      <c r="C369" s="1" t="s">
        <v>18</v>
      </c>
      <c r="D369" s="1" t="s">
        <v>240</v>
      </c>
    </row>
    <row r="370">
      <c r="A370" s="1" t="s">
        <v>874</v>
      </c>
      <c r="B370" s="2" t="s">
        <v>875</v>
      </c>
      <c r="C370" s="1" t="s">
        <v>18</v>
      </c>
      <c r="D370" s="1" t="s">
        <v>240</v>
      </c>
    </row>
    <row r="371">
      <c r="A371" s="1" t="s">
        <v>243</v>
      </c>
      <c r="B371" s="2" t="s">
        <v>7</v>
      </c>
      <c r="C371" s="1" t="s">
        <v>245</v>
      </c>
      <c r="D371" s="1" t="s">
        <v>246</v>
      </c>
    </row>
    <row r="372">
      <c r="A372" s="1" t="s">
        <v>249</v>
      </c>
      <c r="B372" s="2" t="s">
        <v>7</v>
      </c>
      <c r="C372" s="1" t="s">
        <v>250</v>
      </c>
      <c r="D372" s="1" t="s">
        <v>251</v>
      </c>
    </row>
    <row r="373">
      <c r="A373" s="1" t="s">
        <v>255</v>
      </c>
      <c r="B373" s="2" t="s">
        <v>7</v>
      </c>
      <c r="C373" s="1" t="s">
        <v>256</v>
      </c>
      <c r="D373" s="1" t="s">
        <v>258</v>
      </c>
    </row>
    <row r="374">
      <c r="A374" s="1" t="s">
        <v>261</v>
      </c>
      <c r="B374" s="2" t="s">
        <v>7</v>
      </c>
      <c r="C374" s="1" t="s">
        <v>262</v>
      </c>
      <c r="D374" s="1" t="s">
        <v>263</v>
      </c>
    </row>
    <row r="375">
      <c r="A375" s="1" t="s">
        <v>266</v>
      </c>
      <c r="B375" s="2" t="s">
        <v>7</v>
      </c>
      <c r="C375" s="1" t="s">
        <v>267</v>
      </c>
      <c r="D375" s="1" t="s">
        <v>269</v>
      </c>
    </row>
    <row r="376">
      <c r="A376" s="1" t="s">
        <v>271</v>
      </c>
      <c r="B376" s="2" t="s">
        <v>7</v>
      </c>
      <c r="C376" s="1" t="s">
        <v>272</v>
      </c>
      <c r="D376" s="1" t="s">
        <v>274</v>
      </c>
    </row>
    <row r="377">
      <c r="A377" s="1" t="s">
        <v>277</v>
      </c>
      <c r="B377" s="2" t="s">
        <v>7</v>
      </c>
      <c r="C377" s="1" t="s">
        <v>278</v>
      </c>
      <c r="D377" s="1" t="s">
        <v>280</v>
      </c>
    </row>
    <row r="378">
      <c r="A378" s="1" t="s">
        <v>884</v>
      </c>
      <c r="B378" s="2" t="s">
        <v>885</v>
      </c>
      <c r="C378" s="1" t="s">
        <v>278</v>
      </c>
      <c r="D378" s="1" t="s">
        <v>280</v>
      </c>
    </row>
    <row r="379">
      <c r="A379" s="1" t="s">
        <v>886</v>
      </c>
      <c r="B379" s="2" t="s">
        <v>887</v>
      </c>
      <c r="C379" s="1" t="s">
        <v>278</v>
      </c>
      <c r="D379" s="1" t="s">
        <v>280</v>
      </c>
    </row>
    <row r="380">
      <c r="A380" s="1" t="s">
        <v>888</v>
      </c>
      <c r="B380" s="2" t="s">
        <v>889</v>
      </c>
      <c r="C380" s="1" t="s">
        <v>278</v>
      </c>
      <c r="D380" s="1" t="s">
        <v>280</v>
      </c>
    </row>
    <row r="381">
      <c r="A381" s="1" t="s">
        <v>890</v>
      </c>
      <c r="B381" s="2" t="s">
        <v>891</v>
      </c>
      <c r="C381" s="1" t="s">
        <v>278</v>
      </c>
      <c r="D381" s="1" t="s">
        <v>280</v>
      </c>
    </row>
    <row r="382">
      <c r="A382" s="1" t="s">
        <v>892</v>
      </c>
      <c r="B382" s="2" t="s">
        <v>893</v>
      </c>
      <c r="C382" s="1" t="s">
        <v>278</v>
      </c>
      <c r="D382" s="1" t="s">
        <v>280</v>
      </c>
    </row>
    <row r="383">
      <c r="A383" s="1" t="s">
        <v>895</v>
      </c>
      <c r="B383" s="2" t="s">
        <v>897</v>
      </c>
      <c r="C383" s="1" t="s">
        <v>278</v>
      </c>
      <c r="D383" s="1" t="s">
        <v>280</v>
      </c>
    </row>
    <row r="384">
      <c r="A384" s="1" t="s">
        <v>899</v>
      </c>
      <c r="B384" s="2" t="s">
        <v>900</v>
      </c>
      <c r="C384" s="1" t="s">
        <v>278</v>
      </c>
      <c r="D384" s="1" t="s">
        <v>280</v>
      </c>
    </row>
    <row r="385">
      <c r="A385" s="1" t="s">
        <v>903</v>
      </c>
      <c r="B385" s="2" t="s">
        <v>905</v>
      </c>
      <c r="C385" s="1" t="s">
        <v>278</v>
      </c>
      <c r="D385" s="1" t="s">
        <v>280</v>
      </c>
    </row>
    <row r="386">
      <c r="A386" s="1" t="s">
        <v>906</v>
      </c>
      <c r="B386" s="2" t="s">
        <v>907</v>
      </c>
      <c r="C386" s="1" t="s">
        <v>278</v>
      </c>
      <c r="D386" s="1" t="s">
        <v>280</v>
      </c>
    </row>
    <row r="387">
      <c r="A387" s="1" t="s">
        <v>909</v>
      </c>
      <c r="B387" s="2" t="s">
        <v>911</v>
      </c>
      <c r="C387" s="1" t="s">
        <v>278</v>
      </c>
      <c r="D387" s="1" t="s">
        <v>280</v>
      </c>
    </row>
    <row r="388">
      <c r="A388" s="1" t="s">
        <v>913</v>
      </c>
      <c r="B388" s="2" t="s">
        <v>914</v>
      </c>
      <c r="C388" s="1" t="s">
        <v>278</v>
      </c>
      <c r="D388" s="1" t="s">
        <v>280</v>
      </c>
    </row>
    <row r="389">
      <c r="A389" s="1" t="s">
        <v>942</v>
      </c>
      <c r="B389" s="2" t="s">
        <v>943</v>
      </c>
      <c r="C389" s="1" t="s">
        <v>278</v>
      </c>
      <c r="D389" s="1" t="s">
        <v>280</v>
      </c>
    </row>
    <row r="390">
      <c r="A390" s="1" t="s">
        <v>944</v>
      </c>
      <c r="B390" s="2" t="s">
        <v>945</v>
      </c>
      <c r="C390" s="1" t="s">
        <v>278</v>
      </c>
      <c r="D390" s="1" t="s">
        <v>280</v>
      </c>
    </row>
    <row r="391">
      <c r="A391" s="1" t="s">
        <v>947</v>
      </c>
      <c r="B391" s="2" t="s">
        <v>948</v>
      </c>
      <c r="C391" s="1" t="s">
        <v>278</v>
      </c>
      <c r="D391" s="1" t="s">
        <v>280</v>
      </c>
    </row>
    <row r="392">
      <c r="A392" s="1" t="s">
        <v>950</v>
      </c>
      <c r="B392" s="2" t="s">
        <v>951</v>
      </c>
      <c r="C392" s="1" t="s">
        <v>278</v>
      </c>
      <c r="D392" s="1" t="s">
        <v>280</v>
      </c>
    </row>
    <row r="393">
      <c r="A393" s="1" t="s">
        <v>952</v>
      </c>
      <c r="B393" s="2" t="s">
        <v>953</v>
      </c>
      <c r="C393" s="1" t="s">
        <v>278</v>
      </c>
      <c r="D393" s="1" t="s">
        <v>280</v>
      </c>
    </row>
    <row r="394">
      <c r="A394" s="1" t="s">
        <v>955</v>
      </c>
      <c r="B394" s="2" t="s">
        <v>956</v>
      </c>
      <c r="C394" s="1" t="s">
        <v>278</v>
      </c>
      <c r="D394" s="1" t="s">
        <v>280</v>
      </c>
    </row>
    <row r="395">
      <c r="A395" s="1" t="s">
        <v>958</v>
      </c>
      <c r="B395" s="2" t="s">
        <v>959</v>
      </c>
      <c r="C395" s="1" t="s">
        <v>278</v>
      </c>
      <c r="D395" s="1" t="s">
        <v>280</v>
      </c>
    </row>
    <row r="396">
      <c r="A396" s="1" t="s">
        <v>961</v>
      </c>
      <c r="B396" s="2" t="s">
        <v>963</v>
      </c>
      <c r="C396" s="1" t="s">
        <v>278</v>
      </c>
      <c r="D396" s="1" t="s">
        <v>280</v>
      </c>
    </row>
    <row r="397">
      <c r="A397" s="1" t="s">
        <v>965</v>
      </c>
      <c r="B397" s="2" t="s">
        <v>966</v>
      </c>
      <c r="C397" s="1" t="s">
        <v>278</v>
      </c>
      <c r="D397" s="1" t="s">
        <v>280</v>
      </c>
    </row>
    <row r="398">
      <c r="A398" s="1" t="s">
        <v>967</v>
      </c>
      <c r="B398" s="2" t="s">
        <v>968</v>
      </c>
      <c r="C398" s="1" t="s">
        <v>278</v>
      </c>
      <c r="D398" s="1" t="s">
        <v>280</v>
      </c>
    </row>
    <row r="399">
      <c r="A399" s="1" t="s">
        <v>970</v>
      </c>
      <c r="B399" s="2" t="s">
        <v>972</v>
      </c>
      <c r="C399" s="1" t="s">
        <v>278</v>
      </c>
      <c r="D399" s="1" t="s">
        <v>280</v>
      </c>
    </row>
    <row r="400">
      <c r="A400" s="1" t="s">
        <v>974</v>
      </c>
      <c r="B400" s="2" t="s">
        <v>976</v>
      </c>
      <c r="C400" s="1" t="s">
        <v>278</v>
      </c>
      <c r="D400" s="1" t="s">
        <v>280</v>
      </c>
    </row>
    <row r="401">
      <c r="A401" s="1" t="s">
        <v>977</v>
      </c>
      <c r="B401" s="2" t="s">
        <v>978</v>
      </c>
      <c r="C401" s="1" t="s">
        <v>278</v>
      </c>
      <c r="D401" s="1" t="s">
        <v>280</v>
      </c>
    </row>
    <row r="402">
      <c r="A402" s="1" t="s">
        <v>980</v>
      </c>
      <c r="B402" s="2" t="s">
        <v>981</v>
      </c>
      <c r="C402" s="1" t="s">
        <v>278</v>
      </c>
      <c r="D402" s="1" t="s">
        <v>280</v>
      </c>
    </row>
    <row r="403">
      <c r="A403" s="1" t="s">
        <v>984</v>
      </c>
      <c r="B403" s="2" t="s">
        <v>985</v>
      </c>
      <c r="C403" s="1" t="s">
        <v>278</v>
      </c>
      <c r="D403" s="1" t="s">
        <v>280</v>
      </c>
    </row>
    <row r="404">
      <c r="A404" s="1" t="s">
        <v>986</v>
      </c>
      <c r="B404" s="2" t="s">
        <v>987</v>
      </c>
      <c r="C404" s="1" t="s">
        <v>278</v>
      </c>
      <c r="D404" s="1" t="s">
        <v>280</v>
      </c>
    </row>
    <row r="405">
      <c r="A405" s="1" t="s">
        <v>989</v>
      </c>
      <c r="B405" s="2" t="s">
        <v>991</v>
      </c>
      <c r="C405" s="1" t="s">
        <v>278</v>
      </c>
      <c r="D405" s="1" t="s">
        <v>280</v>
      </c>
    </row>
    <row r="406">
      <c r="A406" s="1" t="s">
        <v>993</v>
      </c>
      <c r="B406" s="2" t="s">
        <v>995</v>
      </c>
      <c r="C406" s="1" t="s">
        <v>278</v>
      </c>
      <c r="D406" s="1" t="s">
        <v>280</v>
      </c>
    </row>
    <row r="407">
      <c r="A407" s="1" t="s">
        <v>996</v>
      </c>
      <c r="B407" s="2" t="s">
        <v>997</v>
      </c>
      <c r="C407" s="1" t="s">
        <v>278</v>
      </c>
      <c r="D407" s="1" t="s">
        <v>280</v>
      </c>
    </row>
    <row r="408">
      <c r="A408" s="1" t="s">
        <v>999</v>
      </c>
      <c r="B408" s="2" t="s">
        <v>1000</v>
      </c>
      <c r="C408" s="1" t="s">
        <v>278</v>
      </c>
      <c r="D408" s="1" t="s">
        <v>280</v>
      </c>
    </row>
    <row r="409">
      <c r="A409" s="1" t="s">
        <v>1003</v>
      </c>
      <c r="B409" s="2" t="s">
        <v>1004</v>
      </c>
      <c r="C409" s="1" t="s">
        <v>278</v>
      </c>
      <c r="D409" s="1" t="s">
        <v>280</v>
      </c>
    </row>
    <row r="410">
      <c r="A410" s="1" t="s">
        <v>1005</v>
      </c>
      <c r="B410" s="2" t="s">
        <v>1006</v>
      </c>
      <c r="C410" s="1" t="s">
        <v>278</v>
      </c>
      <c r="D410" s="1" t="s">
        <v>280</v>
      </c>
    </row>
    <row r="411">
      <c r="A411" s="1" t="s">
        <v>1014</v>
      </c>
      <c r="B411" s="2" t="s">
        <v>1016</v>
      </c>
      <c r="C411" s="1" t="s">
        <v>278</v>
      </c>
      <c r="D411" s="1" t="s">
        <v>280</v>
      </c>
    </row>
    <row r="412">
      <c r="A412" s="1" t="s">
        <v>283</v>
      </c>
      <c r="B412" s="2" t="s">
        <v>7</v>
      </c>
      <c r="C412" s="1" t="s">
        <v>285</v>
      </c>
      <c r="D412" s="1" t="s">
        <v>286</v>
      </c>
    </row>
    <row r="413">
      <c r="A413" s="1" t="s">
        <v>1019</v>
      </c>
      <c r="B413" s="2" t="s">
        <v>1021</v>
      </c>
      <c r="C413" s="1" t="s">
        <v>285</v>
      </c>
      <c r="D413" s="1" t="s">
        <v>286</v>
      </c>
    </row>
    <row r="414">
      <c r="A414" s="1" t="s">
        <v>1023</v>
      </c>
      <c r="B414" s="2" t="s">
        <v>1025</v>
      </c>
      <c r="C414" s="1" t="s">
        <v>285</v>
      </c>
      <c r="D414" s="1" t="s">
        <v>286</v>
      </c>
    </row>
    <row r="415">
      <c r="A415" s="1" t="s">
        <v>1026</v>
      </c>
      <c r="B415" s="2" t="s">
        <v>1027</v>
      </c>
      <c r="C415" s="1" t="s">
        <v>285</v>
      </c>
      <c r="D415" s="1" t="s">
        <v>286</v>
      </c>
    </row>
    <row r="416">
      <c r="A416" s="1" t="s">
        <v>1028</v>
      </c>
      <c r="B416" s="2" t="s">
        <v>1030</v>
      </c>
      <c r="C416" s="1" t="s">
        <v>285</v>
      </c>
      <c r="D416" s="1" t="s">
        <v>286</v>
      </c>
    </row>
    <row r="417">
      <c r="A417" s="1" t="s">
        <v>1032</v>
      </c>
      <c r="B417" s="2" t="s">
        <v>1034</v>
      </c>
      <c r="C417" s="1" t="s">
        <v>285</v>
      </c>
      <c r="D417" s="1" t="s">
        <v>286</v>
      </c>
    </row>
    <row r="418">
      <c r="A418" s="1" t="s">
        <v>1036</v>
      </c>
      <c r="B418" s="2" t="s">
        <v>1037</v>
      </c>
      <c r="C418" s="1" t="s">
        <v>285</v>
      </c>
      <c r="D418" s="1" t="s">
        <v>286</v>
      </c>
    </row>
    <row r="419">
      <c r="A419" s="1" t="s">
        <v>1038</v>
      </c>
      <c r="B419" s="2" t="s">
        <v>1039</v>
      </c>
      <c r="C419" s="1" t="s">
        <v>285</v>
      </c>
      <c r="D419" s="1" t="s">
        <v>286</v>
      </c>
    </row>
    <row r="420">
      <c r="A420" s="1" t="s">
        <v>1041</v>
      </c>
      <c r="B420" s="2" t="s">
        <v>1042</v>
      </c>
      <c r="C420" s="1" t="s">
        <v>285</v>
      </c>
      <c r="D420" s="1" t="s">
        <v>286</v>
      </c>
    </row>
    <row r="421">
      <c r="A421" s="1" t="s">
        <v>1044</v>
      </c>
      <c r="B421" s="2" t="s">
        <v>1045</v>
      </c>
      <c r="C421" s="1" t="s">
        <v>285</v>
      </c>
      <c r="D421" s="1" t="s">
        <v>286</v>
      </c>
    </row>
    <row r="422">
      <c r="A422" s="1" t="s">
        <v>1046</v>
      </c>
      <c r="B422" s="2" t="s">
        <v>1047</v>
      </c>
      <c r="C422" s="1" t="s">
        <v>285</v>
      </c>
      <c r="D422" s="1" t="s">
        <v>286</v>
      </c>
    </row>
    <row r="423">
      <c r="A423" s="1" t="s">
        <v>1049</v>
      </c>
      <c r="B423" s="2" t="s">
        <v>1050</v>
      </c>
      <c r="C423" s="1" t="s">
        <v>285</v>
      </c>
      <c r="D423" s="1" t="s">
        <v>286</v>
      </c>
    </row>
    <row r="424">
      <c r="A424" s="1" t="s">
        <v>1052</v>
      </c>
      <c r="B424" s="2" t="s">
        <v>1054</v>
      </c>
      <c r="C424" s="1" t="s">
        <v>285</v>
      </c>
      <c r="D424" s="1" t="s">
        <v>286</v>
      </c>
    </row>
    <row r="425">
      <c r="A425" s="1" t="s">
        <v>1056</v>
      </c>
      <c r="B425" s="2" t="s">
        <v>1057</v>
      </c>
      <c r="C425" s="1" t="s">
        <v>285</v>
      </c>
      <c r="D425" s="1" t="s">
        <v>286</v>
      </c>
    </row>
    <row r="426">
      <c r="A426" s="1" t="s">
        <v>289</v>
      </c>
      <c r="B426" s="2" t="s">
        <v>290</v>
      </c>
      <c r="C426" s="1" t="s">
        <v>292</v>
      </c>
      <c r="D426" s="1" t="s">
        <v>293</v>
      </c>
    </row>
    <row r="427">
      <c r="A427" s="1" t="s">
        <v>1059</v>
      </c>
      <c r="B427" s="2" t="s">
        <v>1060</v>
      </c>
      <c r="C427" s="1" t="s">
        <v>292</v>
      </c>
      <c r="D427" s="1" t="s">
        <v>293</v>
      </c>
    </row>
    <row r="428">
      <c r="A428" s="1" t="s">
        <v>1062</v>
      </c>
      <c r="B428" s="2" t="s">
        <v>1063</v>
      </c>
      <c r="C428" s="1" t="s">
        <v>292</v>
      </c>
      <c r="D428" s="1" t="s">
        <v>293</v>
      </c>
    </row>
    <row r="429">
      <c r="A429" s="1" t="s">
        <v>1064</v>
      </c>
      <c r="B429" s="2" t="s">
        <v>1065</v>
      </c>
      <c r="C429" s="1" t="s">
        <v>292</v>
      </c>
      <c r="D429" s="1" t="s">
        <v>293</v>
      </c>
    </row>
    <row r="430">
      <c r="A430" s="1" t="s">
        <v>1066</v>
      </c>
      <c r="B430" s="2" t="s">
        <v>1068</v>
      </c>
      <c r="C430" s="1" t="s">
        <v>292</v>
      </c>
      <c r="D430" s="1" t="s">
        <v>293</v>
      </c>
    </row>
    <row r="431">
      <c r="A431" s="1" t="s">
        <v>1070</v>
      </c>
      <c r="B431" s="2" t="s">
        <v>1072</v>
      </c>
      <c r="C431" s="1" t="s">
        <v>292</v>
      </c>
      <c r="D431" s="1" t="s">
        <v>293</v>
      </c>
    </row>
    <row r="432">
      <c r="A432" s="1" t="s">
        <v>1073</v>
      </c>
      <c r="B432" s="2" t="s">
        <v>1074</v>
      </c>
      <c r="C432" s="1" t="s">
        <v>292</v>
      </c>
      <c r="D432" s="1" t="s">
        <v>293</v>
      </c>
    </row>
    <row r="433">
      <c r="A433" s="1" t="s">
        <v>1075</v>
      </c>
      <c r="B433" s="2" t="s">
        <v>1076</v>
      </c>
      <c r="C433" s="1" t="s">
        <v>292</v>
      </c>
      <c r="D433" s="1" t="s">
        <v>293</v>
      </c>
    </row>
    <row r="434">
      <c r="A434" s="1" t="s">
        <v>1077</v>
      </c>
      <c r="B434" s="2" t="s">
        <v>1079</v>
      </c>
      <c r="C434" s="1" t="s">
        <v>292</v>
      </c>
      <c r="D434" s="1" t="s">
        <v>293</v>
      </c>
    </row>
    <row r="435">
      <c r="A435" s="1" t="s">
        <v>1080</v>
      </c>
      <c r="B435" s="2" t="s">
        <v>1082</v>
      </c>
      <c r="C435" s="1" t="s">
        <v>292</v>
      </c>
      <c r="D435" s="1" t="s">
        <v>293</v>
      </c>
    </row>
    <row r="436">
      <c r="A436" s="1" t="s">
        <v>1083</v>
      </c>
      <c r="B436" s="2" t="s">
        <v>1084</v>
      </c>
      <c r="C436" s="1" t="s">
        <v>292</v>
      </c>
      <c r="D436" s="1" t="s">
        <v>293</v>
      </c>
    </row>
    <row r="437">
      <c r="A437" s="1" t="s">
        <v>1085</v>
      </c>
      <c r="B437" s="2" t="s">
        <v>1086</v>
      </c>
      <c r="C437" s="1" t="s">
        <v>292</v>
      </c>
      <c r="D437" s="1" t="s">
        <v>293</v>
      </c>
    </row>
    <row r="438">
      <c r="A438" s="1" t="s">
        <v>1088</v>
      </c>
      <c r="B438" s="2" t="s">
        <v>1090</v>
      </c>
      <c r="C438" s="1" t="s">
        <v>292</v>
      </c>
      <c r="D438" s="1" t="s">
        <v>293</v>
      </c>
    </row>
    <row r="439">
      <c r="A439" s="1" t="s">
        <v>1092</v>
      </c>
      <c r="B439" s="2" t="s">
        <v>1093</v>
      </c>
      <c r="C439" s="1" t="s">
        <v>292</v>
      </c>
      <c r="D439" s="1" t="s">
        <v>293</v>
      </c>
    </row>
    <row r="440">
      <c r="A440" s="1" t="s">
        <v>1094</v>
      </c>
      <c r="B440" s="2" t="s">
        <v>1095</v>
      </c>
      <c r="C440" s="1" t="s">
        <v>292</v>
      </c>
      <c r="D440" s="1" t="s">
        <v>293</v>
      </c>
    </row>
    <row r="441">
      <c r="A441" s="1" t="s">
        <v>1097</v>
      </c>
      <c r="B441" s="2" t="s">
        <v>1098</v>
      </c>
      <c r="C441" s="1" t="s">
        <v>292</v>
      </c>
      <c r="D441" s="1" t="s">
        <v>293</v>
      </c>
    </row>
    <row r="442">
      <c r="A442" s="1" t="s">
        <v>1100</v>
      </c>
      <c r="B442" s="2" t="s">
        <v>1101</v>
      </c>
      <c r="C442" s="1" t="s">
        <v>292</v>
      </c>
      <c r="D442" s="1" t="s">
        <v>293</v>
      </c>
    </row>
    <row r="443">
      <c r="A443" s="1" t="s">
        <v>1102</v>
      </c>
      <c r="B443" s="2" t="s">
        <v>1104</v>
      </c>
      <c r="C443" s="1" t="s">
        <v>292</v>
      </c>
      <c r="D443" s="1" t="s">
        <v>293</v>
      </c>
    </row>
    <row r="444">
      <c r="A444" s="1" t="s">
        <v>1106</v>
      </c>
      <c r="B444" s="2" t="s">
        <v>1108</v>
      </c>
      <c r="C444" s="1" t="s">
        <v>292</v>
      </c>
      <c r="D444" s="1" t="s">
        <v>293</v>
      </c>
    </row>
    <row r="445">
      <c r="A445" s="1" t="s">
        <v>1109</v>
      </c>
      <c r="B445" s="2" t="s">
        <v>1110</v>
      </c>
      <c r="C445" s="1" t="s">
        <v>292</v>
      </c>
      <c r="D445" s="1" t="s">
        <v>293</v>
      </c>
    </row>
    <row r="446">
      <c r="A446" s="1" t="s">
        <v>1111</v>
      </c>
      <c r="B446" s="2" t="s">
        <v>1112</v>
      </c>
      <c r="C446" s="1" t="s">
        <v>292</v>
      </c>
      <c r="D446" s="1" t="s">
        <v>293</v>
      </c>
    </row>
    <row r="447">
      <c r="A447" s="1" t="s">
        <v>1116</v>
      </c>
      <c r="B447" s="2" t="s">
        <v>1118</v>
      </c>
      <c r="C447" s="1" t="s">
        <v>292</v>
      </c>
      <c r="D447" s="1" t="s">
        <v>293</v>
      </c>
    </row>
    <row r="448">
      <c r="A448" s="1" t="s">
        <v>1119</v>
      </c>
      <c r="B448" s="2" t="s">
        <v>1120</v>
      </c>
      <c r="C448" s="1" t="s">
        <v>292</v>
      </c>
      <c r="D448" s="1" t="s">
        <v>293</v>
      </c>
    </row>
    <row r="449">
      <c r="A449" s="1" t="s">
        <v>1122</v>
      </c>
      <c r="B449" s="2" t="s">
        <v>1123</v>
      </c>
      <c r="C449" s="1" t="s">
        <v>292</v>
      </c>
      <c r="D449" s="1" t="s">
        <v>293</v>
      </c>
    </row>
    <row r="450">
      <c r="A450" s="1" t="s">
        <v>1126</v>
      </c>
      <c r="B450" s="2" t="s">
        <v>1127</v>
      </c>
      <c r="C450" s="1" t="s">
        <v>292</v>
      </c>
      <c r="D450" s="1" t="s">
        <v>293</v>
      </c>
    </row>
    <row r="451">
      <c r="A451" s="1" t="s">
        <v>1129</v>
      </c>
      <c r="B451" s="2" t="s">
        <v>1131</v>
      </c>
      <c r="C451" s="1" t="s">
        <v>292</v>
      </c>
      <c r="D451" s="1" t="s">
        <v>293</v>
      </c>
    </row>
    <row r="452">
      <c r="A452" s="1" t="s">
        <v>1134</v>
      </c>
      <c r="B452" s="2" t="s">
        <v>1135</v>
      </c>
      <c r="C452" s="1" t="s">
        <v>292</v>
      </c>
      <c r="D452" s="1" t="s">
        <v>293</v>
      </c>
    </row>
    <row r="453">
      <c r="A453" s="1" t="s">
        <v>1136</v>
      </c>
      <c r="B453" s="2" t="s">
        <v>1137</v>
      </c>
      <c r="C453" s="1" t="s">
        <v>292</v>
      </c>
      <c r="D453" s="1" t="s">
        <v>293</v>
      </c>
    </row>
    <row r="454">
      <c r="A454" s="1" t="s">
        <v>1139</v>
      </c>
      <c r="B454" s="2" t="s">
        <v>1140</v>
      </c>
      <c r="C454" s="1" t="s">
        <v>292</v>
      </c>
      <c r="D454" s="1" t="s">
        <v>293</v>
      </c>
    </row>
    <row r="455">
      <c r="A455" s="1" t="s">
        <v>1143</v>
      </c>
      <c r="B455" s="2" t="s">
        <v>1144</v>
      </c>
      <c r="C455" s="1" t="s">
        <v>292</v>
      </c>
      <c r="D455" s="1" t="s">
        <v>293</v>
      </c>
    </row>
    <row r="456">
      <c r="A456" s="1" t="s">
        <v>1145</v>
      </c>
      <c r="B456" s="2" t="s">
        <v>1146</v>
      </c>
      <c r="C456" s="1" t="s">
        <v>292</v>
      </c>
      <c r="D456" s="1" t="s">
        <v>293</v>
      </c>
    </row>
    <row r="457">
      <c r="A457" s="1" t="s">
        <v>1148</v>
      </c>
      <c r="B457" s="2" t="s">
        <v>1149</v>
      </c>
      <c r="C457" s="1" t="s">
        <v>292</v>
      </c>
      <c r="D457" s="1" t="s">
        <v>293</v>
      </c>
    </row>
    <row r="458">
      <c r="A458" s="1" t="s">
        <v>1152</v>
      </c>
      <c r="B458" s="2" t="s">
        <v>1153</v>
      </c>
      <c r="C458" s="1" t="s">
        <v>292</v>
      </c>
      <c r="D458" s="1" t="s">
        <v>293</v>
      </c>
    </row>
    <row r="459">
      <c r="A459" s="1" t="s">
        <v>1154</v>
      </c>
      <c r="B459" s="2" t="s">
        <v>1155</v>
      </c>
      <c r="C459" s="1" t="s">
        <v>292</v>
      </c>
      <c r="D459" s="1" t="s">
        <v>293</v>
      </c>
    </row>
    <row r="460">
      <c r="A460" s="1" t="s">
        <v>295</v>
      </c>
      <c r="B460" s="2" t="s">
        <v>290</v>
      </c>
      <c r="C460" s="1" t="s">
        <v>297</v>
      </c>
      <c r="D460" s="1" t="s">
        <v>298</v>
      </c>
    </row>
    <row r="461">
      <c r="A461" s="1" t="s">
        <v>1159</v>
      </c>
      <c r="B461" s="2" t="s">
        <v>1160</v>
      </c>
      <c r="C461" s="1" t="s">
        <v>297</v>
      </c>
      <c r="D461" s="1" t="s">
        <v>298</v>
      </c>
    </row>
    <row r="462">
      <c r="A462" s="1" t="s">
        <v>1161</v>
      </c>
      <c r="B462" s="2" t="s">
        <v>1163</v>
      </c>
      <c r="C462" s="1" t="s">
        <v>297</v>
      </c>
      <c r="D462" s="1" t="s">
        <v>298</v>
      </c>
    </row>
    <row r="463">
      <c r="A463" s="1" t="s">
        <v>1165</v>
      </c>
      <c r="B463" s="2" t="s">
        <v>1167</v>
      </c>
      <c r="C463" s="1" t="s">
        <v>297</v>
      </c>
      <c r="D463" s="1" t="s">
        <v>298</v>
      </c>
    </row>
    <row r="464">
      <c r="A464" s="1" t="s">
        <v>1168</v>
      </c>
      <c r="B464" s="2" t="s">
        <v>1169</v>
      </c>
      <c r="C464" s="1" t="s">
        <v>297</v>
      </c>
      <c r="D464" s="1" t="s">
        <v>298</v>
      </c>
    </row>
    <row r="465">
      <c r="A465" s="1" t="s">
        <v>1170</v>
      </c>
      <c r="B465" s="2" t="s">
        <v>1171</v>
      </c>
      <c r="C465" s="1" t="s">
        <v>297</v>
      </c>
      <c r="D465" s="1" t="s">
        <v>298</v>
      </c>
    </row>
    <row r="466">
      <c r="A466" s="1" t="s">
        <v>1173</v>
      </c>
      <c r="B466" s="2" t="s">
        <v>1174</v>
      </c>
      <c r="C466" s="1" t="s">
        <v>297</v>
      </c>
      <c r="D466" s="1" t="s">
        <v>298</v>
      </c>
    </row>
    <row r="467">
      <c r="A467" s="1" t="s">
        <v>1177</v>
      </c>
      <c r="B467" s="2" t="s">
        <v>1178</v>
      </c>
      <c r="C467" s="1" t="s">
        <v>297</v>
      </c>
      <c r="D467" s="1" t="s">
        <v>298</v>
      </c>
    </row>
    <row r="468">
      <c r="A468" s="1" t="s">
        <v>1179</v>
      </c>
      <c r="B468" s="2" t="s">
        <v>1180</v>
      </c>
      <c r="C468" s="1" t="s">
        <v>297</v>
      </c>
      <c r="D468" s="1" t="s">
        <v>298</v>
      </c>
    </row>
    <row r="469">
      <c r="A469" s="1" t="s">
        <v>1182</v>
      </c>
      <c r="B469" s="2" t="s">
        <v>1183</v>
      </c>
      <c r="C469" s="1" t="s">
        <v>297</v>
      </c>
      <c r="D469" s="1" t="s">
        <v>298</v>
      </c>
    </row>
    <row r="470">
      <c r="A470" s="1" t="s">
        <v>1186</v>
      </c>
      <c r="B470" s="2" t="s">
        <v>1187</v>
      </c>
      <c r="C470" s="1" t="s">
        <v>297</v>
      </c>
      <c r="D470" s="1" t="s">
        <v>298</v>
      </c>
    </row>
    <row r="471">
      <c r="A471" s="1" t="s">
        <v>1188</v>
      </c>
      <c r="B471" s="2" t="s">
        <v>1189</v>
      </c>
      <c r="C471" s="1" t="s">
        <v>297</v>
      </c>
      <c r="D471" s="1" t="s">
        <v>298</v>
      </c>
    </row>
    <row r="472">
      <c r="A472" s="1" t="s">
        <v>1191</v>
      </c>
      <c r="B472" s="2" t="s">
        <v>1192</v>
      </c>
      <c r="C472" s="1" t="s">
        <v>297</v>
      </c>
      <c r="D472" s="1" t="s">
        <v>298</v>
      </c>
    </row>
    <row r="473">
      <c r="A473" s="1" t="s">
        <v>301</v>
      </c>
      <c r="B473" s="2" t="s">
        <v>7</v>
      </c>
      <c r="C473" s="1" t="s">
        <v>302</v>
      </c>
      <c r="D473" s="1" t="s">
        <v>304</v>
      </c>
    </row>
    <row r="474">
      <c r="A474" s="1" t="s">
        <v>1195</v>
      </c>
      <c r="B474" s="2" t="s">
        <v>1196</v>
      </c>
      <c r="C474" s="1" t="s">
        <v>302</v>
      </c>
      <c r="D474" s="1" t="s">
        <v>304</v>
      </c>
    </row>
    <row r="475">
      <c r="A475" s="1" t="s">
        <v>1197</v>
      </c>
      <c r="B475" s="2" t="s">
        <v>1199</v>
      </c>
      <c r="C475" s="1" t="s">
        <v>302</v>
      </c>
      <c r="D475" s="1" t="s">
        <v>304</v>
      </c>
    </row>
    <row r="476">
      <c r="A476" s="1" t="s">
        <v>1201</v>
      </c>
      <c r="B476" s="2" t="s">
        <v>1203</v>
      </c>
      <c r="C476" s="1" t="s">
        <v>302</v>
      </c>
      <c r="D476" s="1" t="s">
        <v>304</v>
      </c>
    </row>
    <row r="477">
      <c r="A477" s="1" t="s">
        <v>1204</v>
      </c>
      <c r="B477" s="2" t="s">
        <v>1205</v>
      </c>
      <c r="C477" s="1" t="s">
        <v>302</v>
      </c>
      <c r="D477" s="1" t="s">
        <v>304</v>
      </c>
    </row>
    <row r="478">
      <c r="A478" s="1" t="s">
        <v>1206</v>
      </c>
      <c r="B478" s="2" t="s">
        <v>1208</v>
      </c>
      <c r="C478" s="1" t="s">
        <v>302</v>
      </c>
      <c r="D478" s="1" t="s">
        <v>304</v>
      </c>
    </row>
    <row r="479">
      <c r="A479" s="1" t="s">
        <v>1210</v>
      </c>
      <c r="B479" s="2" t="s">
        <v>1212</v>
      </c>
      <c r="C479" s="1" t="s">
        <v>302</v>
      </c>
      <c r="D479" s="1" t="s">
        <v>304</v>
      </c>
    </row>
    <row r="480">
      <c r="A480" s="1" t="s">
        <v>1213</v>
      </c>
      <c r="B480" s="2" t="s">
        <v>1214</v>
      </c>
      <c r="C480" s="1" t="s">
        <v>302</v>
      </c>
      <c r="D480" s="1" t="s">
        <v>304</v>
      </c>
    </row>
    <row r="481">
      <c r="A481" s="1" t="s">
        <v>1215</v>
      </c>
      <c r="B481" s="2" t="s">
        <v>1217</v>
      </c>
      <c r="C481" s="1" t="s">
        <v>302</v>
      </c>
      <c r="D481" s="1" t="s">
        <v>304</v>
      </c>
    </row>
    <row r="482">
      <c r="A482" s="1" t="s">
        <v>1220</v>
      </c>
      <c r="B482" s="2" t="s">
        <v>1221</v>
      </c>
      <c r="C482" s="1" t="s">
        <v>302</v>
      </c>
      <c r="D482" s="1" t="s">
        <v>304</v>
      </c>
    </row>
    <row r="483">
      <c r="A483" s="1" t="s">
        <v>1222</v>
      </c>
      <c r="B483" s="2" t="s">
        <v>1223</v>
      </c>
      <c r="C483" s="1" t="s">
        <v>302</v>
      </c>
      <c r="D483" s="1" t="s">
        <v>304</v>
      </c>
    </row>
    <row r="484">
      <c r="A484" s="1" t="s">
        <v>1226</v>
      </c>
      <c r="B484" s="2" t="s">
        <v>1228</v>
      </c>
      <c r="C484" s="1" t="s">
        <v>302</v>
      </c>
      <c r="D484" s="1" t="s">
        <v>304</v>
      </c>
    </row>
    <row r="485">
      <c r="A485" s="1" t="s">
        <v>1229</v>
      </c>
      <c r="B485" s="2" t="s">
        <v>1230</v>
      </c>
      <c r="C485" s="1" t="s">
        <v>302</v>
      </c>
      <c r="D485" s="1" t="s">
        <v>304</v>
      </c>
    </row>
    <row r="486">
      <c r="A486" s="1" t="s">
        <v>1233</v>
      </c>
      <c r="B486" s="2" t="s">
        <v>1235</v>
      </c>
      <c r="C486" s="1" t="s">
        <v>302</v>
      </c>
      <c r="D486" s="1" t="s">
        <v>304</v>
      </c>
    </row>
    <row r="487">
      <c r="A487" s="1" t="s">
        <v>1236</v>
      </c>
      <c r="B487" s="2" t="s">
        <v>1237</v>
      </c>
      <c r="C487" s="1" t="s">
        <v>302</v>
      </c>
      <c r="D487" s="1" t="s">
        <v>304</v>
      </c>
    </row>
    <row r="488">
      <c r="A488" s="1" t="s">
        <v>1240</v>
      </c>
      <c r="B488" s="2" t="s">
        <v>1242</v>
      </c>
      <c r="C488" s="1" t="s">
        <v>302</v>
      </c>
      <c r="D488" s="1" t="s">
        <v>304</v>
      </c>
    </row>
    <row r="489">
      <c r="A489" s="1" t="s">
        <v>1243</v>
      </c>
      <c r="B489" s="2" t="s">
        <v>1247</v>
      </c>
      <c r="C489" s="1" t="s">
        <v>302</v>
      </c>
      <c r="D489" s="1" t="s">
        <v>304</v>
      </c>
    </row>
    <row r="490">
      <c r="A490" s="1" t="s">
        <v>1249</v>
      </c>
      <c r="B490" s="2" t="s">
        <v>1251</v>
      </c>
      <c r="C490" s="1" t="s">
        <v>302</v>
      </c>
      <c r="D490" s="1" t="s">
        <v>304</v>
      </c>
    </row>
    <row r="491">
      <c r="A491" s="1" t="s">
        <v>1253</v>
      </c>
      <c r="B491" s="2" t="s">
        <v>1254</v>
      </c>
      <c r="C491" s="1" t="s">
        <v>302</v>
      </c>
      <c r="D491" s="1" t="s">
        <v>304</v>
      </c>
    </row>
    <row r="492">
      <c r="A492" s="1" t="s">
        <v>1256</v>
      </c>
      <c r="B492" s="2" t="s">
        <v>1258</v>
      </c>
      <c r="C492" s="1" t="s">
        <v>302</v>
      </c>
      <c r="D492" s="1" t="s">
        <v>304</v>
      </c>
    </row>
    <row r="493">
      <c r="A493" s="1" t="s">
        <v>1260</v>
      </c>
      <c r="B493" s="2" t="s">
        <v>1261</v>
      </c>
      <c r="C493" s="1" t="s">
        <v>302</v>
      </c>
      <c r="D493" s="1" t="s">
        <v>304</v>
      </c>
    </row>
    <row r="494">
      <c r="A494" s="1" t="s">
        <v>1263</v>
      </c>
      <c r="B494" s="2" t="s">
        <v>1265</v>
      </c>
      <c r="C494" s="1" t="s">
        <v>302</v>
      </c>
      <c r="D494" s="1" t="s">
        <v>304</v>
      </c>
    </row>
    <row r="495">
      <c r="A495" s="1" t="s">
        <v>1267</v>
      </c>
      <c r="B495" s="2" t="s">
        <v>1268</v>
      </c>
      <c r="C495" s="1" t="s">
        <v>302</v>
      </c>
      <c r="D495" s="1" t="s">
        <v>304</v>
      </c>
    </row>
    <row r="496">
      <c r="A496" s="1" t="s">
        <v>1271</v>
      </c>
      <c r="B496" s="2" t="s">
        <v>1273</v>
      </c>
      <c r="C496" s="1" t="s">
        <v>302</v>
      </c>
      <c r="D496" s="1" t="s">
        <v>304</v>
      </c>
    </row>
    <row r="497">
      <c r="A497" s="1" t="s">
        <v>1274</v>
      </c>
      <c r="B497" s="2" t="s">
        <v>1275</v>
      </c>
      <c r="C497" s="1" t="s">
        <v>302</v>
      </c>
      <c r="D497" s="1" t="s">
        <v>304</v>
      </c>
    </row>
    <row r="498">
      <c r="A498" s="1" t="s">
        <v>1277</v>
      </c>
      <c r="B498" s="2" t="s">
        <v>1279</v>
      </c>
      <c r="C498" s="1" t="s">
        <v>302</v>
      </c>
      <c r="D498" s="1" t="s">
        <v>304</v>
      </c>
    </row>
    <row r="499">
      <c r="A499" s="1" t="s">
        <v>1281</v>
      </c>
      <c r="B499" s="2" t="s">
        <v>1282</v>
      </c>
      <c r="C499" s="1" t="s">
        <v>302</v>
      </c>
      <c r="D499" s="1" t="s">
        <v>304</v>
      </c>
    </row>
    <row r="500">
      <c r="A500" s="1" t="s">
        <v>1283</v>
      </c>
      <c r="B500" s="2" t="s">
        <v>1284</v>
      </c>
      <c r="C500" s="1" t="s">
        <v>302</v>
      </c>
      <c r="D500" s="1" t="s">
        <v>304</v>
      </c>
    </row>
    <row r="501">
      <c r="A501" s="1" t="s">
        <v>1286</v>
      </c>
      <c r="B501" s="2" t="s">
        <v>1288</v>
      </c>
      <c r="C501" s="1" t="s">
        <v>302</v>
      </c>
      <c r="D501" s="1" t="s">
        <v>304</v>
      </c>
    </row>
    <row r="502">
      <c r="A502" s="1" t="s">
        <v>1290</v>
      </c>
      <c r="B502" s="2" t="s">
        <v>1291</v>
      </c>
      <c r="C502" s="1" t="s">
        <v>302</v>
      </c>
      <c r="D502" s="1" t="s">
        <v>304</v>
      </c>
    </row>
    <row r="503">
      <c r="A503" s="1" t="s">
        <v>1292</v>
      </c>
      <c r="B503" s="2" t="s">
        <v>1293</v>
      </c>
      <c r="C503" s="1" t="s">
        <v>302</v>
      </c>
      <c r="D503" s="1" t="s">
        <v>304</v>
      </c>
    </row>
    <row r="504">
      <c r="A504" s="1" t="s">
        <v>1294</v>
      </c>
      <c r="B504" s="2" t="s">
        <v>1295</v>
      </c>
      <c r="C504" s="1" t="s">
        <v>302</v>
      </c>
      <c r="D504" s="1" t="s">
        <v>304</v>
      </c>
    </row>
    <row r="505">
      <c r="A505" s="1" t="s">
        <v>1296</v>
      </c>
      <c r="B505" s="2" t="s">
        <v>1297</v>
      </c>
      <c r="C505" s="1" t="s">
        <v>302</v>
      </c>
      <c r="D505" s="1" t="s">
        <v>304</v>
      </c>
    </row>
    <row r="506">
      <c r="A506" s="1" t="s">
        <v>1298</v>
      </c>
      <c r="B506" s="2" t="s">
        <v>1299</v>
      </c>
      <c r="C506" s="1" t="s">
        <v>302</v>
      </c>
      <c r="D506" s="1" t="s">
        <v>304</v>
      </c>
    </row>
    <row r="507">
      <c r="A507" s="1" t="s">
        <v>1300</v>
      </c>
      <c r="B507" s="2" t="s">
        <v>1301</v>
      </c>
      <c r="C507" s="1" t="s">
        <v>302</v>
      </c>
      <c r="D507" s="1" t="s">
        <v>304</v>
      </c>
    </row>
    <row r="508">
      <c r="A508" s="1" t="s">
        <v>1302</v>
      </c>
      <c r="B508" s="2" t="s">
        <v>1303</v>
      </c>
      <c r="C508" s="1" t="s">
        <v>302</v>
      </c>
      <c r="D508" s="1" t="s">
        <v>304</v>
      </c>
    </row>
    <row r="509">
      <c r="A509" s="1" t="s">
        <v>1305</v>
      </c>
      <c r="B509" s="2" t="s">
        <v>1306</v>
      </c>
      <c r="C509" s="1" t="s">
        <v>302</v>
      </c>
      <c r="D509" s="1" t="s">
        <v>304</v>
      </c>
    </row>
    <row r="510">
      <c r="A510" s="1" t="s">
        <v>1309</v>
      </c>
      <c r="B510" s="2" t="s">
        <v>1310</v>
      </c>
      <c r="C510" s="1" t="s">
        <v>302</v>
      </c>
      <c r="D510" s="1" t="s">
        <v>304</v>
      </c>
    </row>
    <row r="511">
      <c r="A511" s="1" t="s">
        <v>1311</v>
      </c>
      <c r="B511" s="2" t="s">
        <v>1312</v>
      </c>
      <c r="C511" s="1" t="s">
        <v>302</v>
      </c>
      <c r="D511" s="1" t="s">
        <v>304</v>
      </c>
    </row>
    <row r="512">
      <c r="A512" s="1" t="s">
        <v>1313</v>
      </c>
      <c r="B512" s="2" t="s">
        <v>1314</v>
      </c>
      <c r="C512" s="1" t="s">
        <v>302</v>
      </c>
      <c r="D512" s="1" t="s">
        <v>304</v>
      </c>
    </row>
    <row r="513">
      <c r="A513" s="1" t="s">
        <v>1316</v>
      </c>
      <c r="B513" s="2" t="s">
        <v>1317</v>
      </c>
      <c r="C513" s="1" t="s">
        <v>302</v>
      </c>
      <c r="D513" s="1" t="s">
        <v>304</v>
      </c>
    </row>
    <row r="514">
      <c r="A514" s="1" t="s">
        <v>305</v>
      </c>
      <c r="B514" s="2" t="s">
        <v>290</v>
      </c>
      <c r="C514" s="1" t="s">
        <v>306</v>
      </c>
      <c r="D514" s="1" t="s">
        <v>307</v>
      </c>
    </row>
    <row r="515">
      <c r="A515" s="1" t="s">
        <v>1320</v>
      </c>
      <c r="B515" s="2" t="s">
        <v>1321</v>
      </c>
      <c r="C515" s="1" t="s">
        <v>306</v>
      </c>
      <c r="D515" s="1" t="s">
        <v>307</v>
      </c>
    </row>
    <row r="516">
      <c r="A516" s="1" t="s">
        <v>1323</v>
      </c>
      <c r="B516" s="2" t="s">
        <v>1324</v>
      </c>
      <c r="C516" s="1" t="s">
        <v>306</v>
      </c>
      <c r="D516" s="1" t="s">
        <v>307</v>
      </c>
    </row>
    <row r="517">
      <c r="A517" s="1" t="s">
        <v>1327</v>
      </c>
      <c r="B517" s="2" t="s">
        <v>1328</v>
      </c>
      <c r="C517" s="1" t="s">
        <v>306</v>
      </c>
      <c r="D517" s="1" t="s">
        <v>307</v>
      </c>
    </row>
    <row r="518">
      <c r="A518" s="1" t="s">
        <v>1329</v>
      </c>
      <c r="B518" s="2" t="s">
        <v>1330</v>
      </c>
      <c r="C518" s="1" t="s">
        <v>306</v>
      </c>
      <c r="D518" s="1" t="s">
        <v>307</v>
      </c>
    </row>
    <row r="519">
      <c r="A519" s="1" t="s">
        <v>1332</v>
      </c>
      <c r="B519" s="2" t="s">
        <v>1334</v>
      </c>
      <c r="C519" s="1" t="s">
        <v>306</v>
      </c>
      <c r="D519" s="1" t="s">
        <v>307</v>
      </c>
    </row>
    <row r="520">
      <c r="A520" s="1" t="s">
        <v>1336</v>
      </c>
      <c r="B520" s="2" t="s">
        <v>1337</v>
      </c>
      <c r="C520" s="1" t="s">
        <v>306</v>
      </c>
      <c r="D520" s="1" t="s">
        <v>307</v>
      </c>
    </row>
    <row r="521">
      <c r="A521" s="1" t="s">
        <v>1338</v>
      </c>
      <c r="B521" s="2" t="s">
        <v>1340</v>
      </c>
      <c r="C521" s="1" t="s">
        <v>306</v>
      </c>
      <c r="D521" s="1" t="s">
        <v>307</v>
      </c>
    </row>
    <row r="522">
      <c r="A522" s="1" t="s">
        <v>1343</v>
      </c>
      <c r="B522" s="2" t="s">
        <v>1344</v>
      </c>
      <c r="C522" s="1" t="s">
        <v>306</v>
      </c>
      <c r="D522" s="1" t="s">
        <v>307</v>
      </c>
    </row>
    <row r="523">
      <c r="A523" s="1" t="s">
        <v>1345</v>
      </c>
      <c r="B523" s="2" t="s">
        <v>1346</v>
      </c>
      <c r="C523" s="1" t="s">
        <v>306</v>
      </c>
      <c r="D523" s="1" t="s">
        <v>307</v>
      </c>
    </row>
    <row r="524">
      <c r="A524" s="1" t="s">
        <v>1348</v>
      </c>
      <c r="B524" s="2" t="s">
        <v>1349</v>
      </c>
      <c r="C524" s="1" t="s">
        <v>306</v>
      </c>
      <c r="D524" s="1" t="s">
        <v>307</v>
      </c>
    </row>
    <row r="525">
      <c r="A525" s="1" t="s">
        <v>1352</v>
      </c>
      <c r="B525" s="2" t="s">
        <v>1353</v>
      </c>
      <c r="C525" s="1" t="s">
        <v>306</v>
      </c>
      <c r="D525" s="1" t="s">
        <v>307</v>
      </c>
    </row>
    <row r="526">
      <c r="A526" s="1" t="s">
        <v>1354</v>
      </c>
      <c r="B526" s="2" t="s">
        <v>1355</v>
      </c>
      <c r="C526" s="1" t="s">
        <v>306</v>
      </c>
      <c r="D526" s="1" t="s">
        <v>307</v>
      </c>
    </row>
    <row r="527">
      <c r="A527" s="1" t="s">
        <v>1357</v>
      </c>
      <c r="B527" s="2" t="s">
        <v>1358</v>
      </c>
      <c r="C527" s="1" t="s">
        <v>306</v>
      </c>
      <c r="D527" s="1" t="s">
        <v>307</v>
      </c>
    </row>
    <row r="528">
      <c r="A528" s="1" t="s">
        <v>1361</v>
      </c>
      <c r="B528" s="2" t="s">
        <v>1362</v>
      </c>
      <c r="C528" s="1" t="s">
        <v>306</v>
      </c>
      <c r="D528" s="1" t="s">
        <v>307</v>
      </c>
    </row>
    <row r="529">
      <c r="A529" s="1" t="s">
        <v>1363</v>
      </c>
      <c r="B529" s="2" t="s">
        <v>1364</v>
      </c>
      <c r="C529" s="1" t="s">
        <v>306</v>
      </c>
      <c r="D529" s="1" t="s">
        <v>307</v>
      </c>
    </row>
    <row r="530">
      <c r="A530" s="1" t="s">
        <v>1366</v>
      </c>
      <c r="B530" s="2" t="s">
        <v>1367</v>
      </c>
      <c r="C530" s="1" t="s">
        <v>306</v>
      </c>
      <c r="D530" s="1" t="s">
        <v>307</v>
      </c>
    </row>
    <row r="531">
      <c r="A531" s="1" t="s">
        <v>1370</v>
      </c>
      <c r="B531" s="2" t="s">
        <v>1371</v>
      </c>
      <c r="C531" s="1" t="s">
        <v>306</v>
      </c>
      <c r="D531" s="1" t="s">
        <v>307</v>
      </c>
    </row>
    <row r="532">
      <c r="A532" s="1" t="s">
        <v>1372</v>
      </c>
      <c r="B532" s="2" t="s">
        <v>1373</v>
      </c>
      <c r="C532" s="1" t="s">
        <v>306</v>
      </c>
      <c r="D532" s="1" t="s">
        <v>307</v>
      </c>
    </row>
    <row r="533">
      <c r="A533" s="1" t="s">
        <v>1374</v>
      </c>
      <c r="B533" s="2" t="s">
        <v>1375</v>
      </c>
      <c r="C533" s="1" t="s">
        <v>306</v>
      </c>
      <c r="D533" s="1" t="s">
        <v>307</v>
      </c>
    </row>
    <row r="534">
      <c r="A534" s="1" t="s">
        <v>1376</v>
      </c>
      <c r="B534" s="2" t="s">
        <v>1378</v>
      </c>
      <c r="C534" s="1" t="s">
        <v>306</v>
      </c>
      <c r="D534" s="1" t="s">
        <v>307</v>
      </c>
    </row>
    <row r="535">
      <c r="A535" s="1" t="s">
        <v>1379</v>
      </c>
      <c r="B535" s="2" t="s">
        <v>1381</v>
      </c>
      <c r="C535" s="1" t="s">
        <v>306</v>
      </c>
      <c r="D535" s="1" t="s">
        <v>307</v>
      </c>
    </row>
    <row r="536">
      <c r="A536" s="1" t="s">
        <v>1383</v>
      </c>
      <c r="B536" s="2" t="s">
        <v>1384</v>
      </c>
      <c r="C536" s="1" t="s">
        <v>306</v>
      </c>
      <c r="D536" s="1" t="s">
        <v>307</v>
      </c>
    </row>
    <row r="537">
      <c r="A537" s="1" t="s">
        <v>1385</v>
      </c>
      <c r="B537" s="2" t="s">
        <v>1387</v>
      </c>
      <c r="C537" s="1" t="s">
        <v>306</v>
      </c>
      <c r="D537" s="1" t="s">
        <v>307</v>
      </c>
    </row>
    <row r="538">
      <c r="A538" s="1" t="s">
        <v>1389</v>
      </c>
      <c r="B538" s="2" t="s">
        <v>1390</v>
      </c>
      <c r="C538" s="1" t="s">
        <v>306</v>
      </c>
      <c r="D538" s="1" t="s">
        <v>307</v>
      </c>
    </row>
    <row r="539">
      <c r="A539" s="1" t="s">
        <v>1393</v>
      </c>
      <c r="B539" s="2" t="s">
        <v>1394</v>
      </c>
      <c r="C539" s="1" t="s">
        <v>306</v>
      </c>
      <c r="D539" s="1" t="s">
        <v>307</v>
      </c>
    </row>
    <row r="540">
      <c r="A540" s="1" t="s">
        <v>1395</v>
      </c>
      <c r="B540" s="2" t="s">
        <v>1397</v>
      </c>
      <c r="C540" s="1" t="s">
        <v>306</v>
      </c>
      <c r="D540" s="1" t="s">
        <v>307</v>
      </c>
    </row>
    <row r="541">
      <c r="A541" s="1" t="s">
        <v>1400</v>
      </c>
      <c r="B541" s="2" t="s">
        <v>1401</v>
      </c>
      <c r="C541" s="1" t="s">
        <v>306</v>
      </c>
      <c r="D541" s="1" t="s">
        <v>307</v>
      </c>
    </row>
    <row r="542">
      <c r="A542" s="1" t="s">
        <v>1403</v>
      </c>
      <c r="B542" s="2" t="s">
        <v>1404</v>
      </c>
      <c r="C542" s="1" t="s">
        <v>306</v>
      </c>
      <c r="D542" s="1" t="s">
        <v>307</v>
      </c>
    </row>
    <row r="543">
      <c r="A543" s="1" t="s">
        <v>1407</v>
      </c>
      <c r="B543" s="2" t="s">
        <v>1408</v>
      </c>
      <c r="C543" s="1" t="s">
        <v>306</v>
      </c>
      <c r="D543" s="1" t="s">
        <v>307</v>
      </c>
    </row>
    <row r="544">
      <c r="A544" s="1" t="s">
        <v>1410</v>
      </c>
      <c r="B544" s="2" t="s">
        <v>1411</v>
      </c>
      <c r="C544" s="1" t="s">
        <v>306</v>
      </c>
      <c r="D544" s="1" t="s">
        <v>307</v>
      </c>
    </row>
    <row r="545">
      <c r="A545" s="1" t="s">
        <v>1414</v>
      </c>
      <c r="B545" s="2" t="s">
        <v>1415</v>
      </c>
      <c r="C545" s="1" t="s">
        <v>306</v>
      </c>
      <c r="D545" s="1" t="s">
        <v>307</v>
      </c>
    </row>
    <row r="546">
      <c r="A546" s="1" t="s">
        <v>1417</v>
      </c>
      <c r="B546" s="2" t="s">
        <v>1418</v>
      </c>
      <c r="C546" s="1" t="s">
        <v>306</v>
      </c>
      <c r="D546" s="1" t="s">
        <v>307</v>
      </c>
    </row>
    <row r="547">
      <c r="A547" s="1" t="s">
        <v>1421</v>
      </c>
      <c r="B547" s="2" t="s">
        <v>1423</v>
      </c>
      <c r="C547" s="1" t="s">
        <v>306</v>
      </c>
      <c r="D547" s="1" t="s">
        <v>307</v>
      </c>
    </row>
    <row r="548">
      <c r="A548" s="1" t="s">
        <v>1426</v>
      </c>
      <c r="B548" s="2" t="s">
        <v>1427</v>
      </c>
      <c r="C548" s="1" t="s">
        <v>306</v>
      </c>
      <c r="D548" s="1" t="s">
        <v>307</v>
      </c>
    </row>
    <row r="549">
      <c r="A549" s="1" t="s">
        <v>1428</v>
      </c>
      <c r="B549" s="2" t="s">
        <v>1430</v>
      </c>
      <c r="C549" s="1" t="s">
        <v>306</v>
      </c>
      <c r="D549" s="1" t="s">
        <v>307</v>
      </c>
    </row>
    <row r="550">
      <c r="A550" s="1" t="s">
        <v>1433</v>
      </c>
      <c r="B550" s="2" t="s">
        <v>1434</v>
      </c>
      <c r="C550" s="1" t="s">
        <v>306</v>
      </c>
      <c r="D550" s="1" t="s">
        <v>307</v>
      </c>
    </row>
    <row r="551">
      <c r="A551" s="1" t="s">
        <v>1435</v>
      </c>
      <c r="B551" s="2" t="s">
        <v>1437</v>
      </c>
      <c r="C551" s="1" t="s">
        <v>306</v>
      </c>
      <c r="D551" s="1" t="s">
        <v>307</v>
      </c>
    </row>
    <row r="552">
      <c r="A552" s="1" t="s">
        <v>1440</v>
      </c>
      <c r="B552" s="2" t="s">
        <v>1441</v>
      </c>
      <c r="C552" s="1" t="s">
        <v>306</v>
      </c>
      <c r="D552" s="1" t="s">
        <v>307</v>
      </c>
    </row>
    <row r="553">
      <c r="A553" s="1" t="s">
        <v>1442</v>
      </c>
      <c r="B553" s="2" t="s">
        <v>1443</v>
      </c>
      <c r="C553" s="1" t="s">
        <v>306</v>
      </c>
      <c r="D553" s="1" t="s">
        <v>307</v>
      </c>
    </row>
    <row r="554">
      <c r="A554" s="1" t="s">
        <v>308</v>
      </c>
      <c r="B554" s="2" t="s">
        <v>7</v>
      </c>
      <c r="C554" s="1" t="s">
        <v>309</v>
      </c>
      <c r="D554" s="1" t="s">
        <v>311</v>
      </c>
    </row>
    <row r="555">
      <c r="A555" s="1" t="s">
        <v>1444</v>
      </c>
      <c r="B555" s="2" t="s">
        <v>1445</v>
      </c>
      <c r="C555" s="1" t="s">
        <v>309</v>
      </c>
      <c r="D555" s="1" t="s">
        <v>311</v>
      </c>
    </row>
    <row r="556">
      <c r="A556" s="1" t="s">
        <v>1446</v>
      </c>
      <c r="B556" s="2" t="s">
        <v>1447</v>
      </c>
      <c r="C556" s="1" t="s">
        <v>309</v>
      </c>
      <c r="D556" s="1" t="s">
        <v>311</v>
      </c>
    </row>
    <row r="557">
      <c r="A557" s="1" t="s">
        <v>1448</v>
      </c>
      <c r="B557" s="2" t="s">
        <v>1449</v>
      </c>
      <c r="C557" s="1" t="s">
        <v>309</v>
      </c>
      <c r="D557" s="1" t="s">
        <v>311</v>
      </c>
    </row>
    <row r="558">
      <c r="A558" s="1" t="s">
        <v>1450</v>
      </c>
      <c r="B558" s="2" t="s">
        <v>1451</v>
      </c>
      <c r="C558" s="1" t="s">
        <v>309</v>
      </c>
      <c r="D558" s="1" t="s">
        <v>311</v>
      </c>
    </row>
    <row r="559">
      <c r="A559" s="1" t="s">
        <v>1452</v>
      </c>
      <c r="B559" s="2" t="s">
        <v>1453</v>
      </c>
      <c r="C559" s="1" t="s">
        <v>309</v>
      </c>
      <c r="D559" s="1" t="s">
        <v>311</v>
      </c>
    </row>
    <row r="560">
      <c r="A560" s="1" t="s">
        <v>1454</v>
      </c>
      <c r="B560" s="2" t="s">
        <v>1455</v>
      </c>
      <c r="C560" s="1" t="s">
        <v>309</v>
      </c>
      <c r="D560" s="1" t="s">
        <v>311</v>
      </c>
    </row>
    <row r="561">
      <c r="A561" s="1" t="s">
        <v>1456</v>
      </c>
      <c r="B561" s="2" t="s">
        <v>1457</v>
      </c>
      <c r="C561" s="1" t="s">
        <v>309</v>
      </c>
      <c r="D561" s="1" t="s">
        <v>311</v>
      </c>
    </row>
    <row r="562">
      <c r="A562" s="1" t="s">
        <v>1458</v>
      </c>
      <c r="B562" s="2" t="s">
        <v>1459</v>
      </c>
      <c r="C562" s="1" t="s">
        <v>309</v>
      </c>
      <c r="D562" s="1" t="s">
        <v>311</v>
      </c>
    </row>
    <row r="563">
      <c r="A563" s="1" t="s">
        <v>1460</v>
      </c>
      <c r="B563" s="2" t="s">
        <v>1461</v>
      </c>
      <c r="C563" s="1" t="s">
        <v>309</v>
      </c>
      <c r="D563" s="1" t="s">
        <v>311</v>
      </c>
    </row>
    <row r="564">
      <c r="A564" s="1" t="s">
        <v>1462</v>
      </c>
      <c r="B564" s="2" t="s">
        <v>1463</v>
      </c>
      <c r="C564" s="1" t="s">
        <v>309</v>
      </c>
      <c r="D564" s="1" t="s">
        <v>311</v>
      </c>
    </row>
    <row r="565">
      <c r="A565" s="1" t="s">
        <v>1464</v>
      </c>
      <c r="B565" s="2" t="s">
        <v>1465</v>
      </c>
      <c r="C565" s="1" t="s">
        <v>309</v>
      </c>
      <c r="D565" s="1" t="s">
        <v>311</v>
      </c>
    </row>
    <row r="566">
      <c r="A566" s="1" t="s">
        <v>1466</v>
      </c>
      <c r="B566" s="2" t="s">
        <v>1467</v>
      </c>
      <c r="C566" s="1" t="s">
        <v>309</v>
      </c>
      <c r="D566" s="1" t="s">
        <v>311</v>
      </c>
    </row>
    <row r="567">
      <c r="A567" s="1" t="s">
        <v>1468</v>
      </c>
      <c r="B567" s="2" t="s">
        <v>1469</v>
      </c>
      <c r="C567" s="1" t="s">
        <v>309</v>
      </c>
      <c r="D567" s="1" t="s">
        <v>311</v>
      </c>
    </row>
    <row r="568">
      <c r="A568" s="1" t="s">
        <v>1470</v>
      </c>
      <c r="B568" s="2" t="s">
        <v>1471</v>
      </c>
      <c r="C568" s="1" t="s">
        <v>309</v>
      </c>
      <c r="D568" s="1" t="s">
        <v>311</v>
      </c>
    </row>
    <row r="569">
      <c r="A569" s="1" t="s">
        <v>1472</v>
      </c>
      <c r="B569" s="2" t="s">
        <v>1473</v>
      </c>
      <c r="C569" s="1" t="s">
        <v>309</v>
      </c>
      <c r="D569" s="1" t="s">
        <v>311</v>
      </c>
    </row>
    <row r="570">
      <c r="A570" s="1" t="s">
        <v>1474</v>
      </c>
      <c r="B570" s="2" t="s">
        <v>1475</v>
      </c>
      <c r="C570" s="1" t="s">
        <v>309</v>
      </c>
      <c r="D570" s="1" t="s">
        <v>311</v>
      </c>
    </row>
    <row r="571">
      <c r="A571" s="1" t="s">
        <v>1476</v>
      </c>
      <c r="B571" s="2" t="s">
        <v>1477</v>
      </c>
      <c r="C571" s="1" t="s">
        <v>309</v>
      </c>
      <c r="D571" s="1" t="s">
        <v>311</v>
      </c>
    </row>
    <row r="572">
      <c r="A572" s="1" t="s">
        <v>1478</v>
      </c>
      <c r="B572" s="2" t="s">
        <v>1479</v>
      </c>
      <c r="C572" s="1" t="s">
        <v>309</v>
      </c>
      <c r="D572" s="1" t="s">
        <v>311</v>
      </c>
    </row>
    <row r="573">
      <c r="A573" s="1" t="s">
        <v>1480</v>
      </c>
      <c r="B573" s="2" t="s">
        <v>1481</v>
      </c>
      <c r="C573" s="1" t="s">
        <v>309</v>
      </c>
      <c r="D573" s="1" t="s">
        <v>311</v>
      </c>
    </row>
    <row r="574">
      <c r="A574" s="1" t="s">
        <v>1483</v>
      </c>
      <c r="B574" s="2" t="s">
        <v>1484</v>
      </c>
      <c r="C574" s="1" t="s">
        <v>309</v>
      </c>
      <c r="D574" s="1" t="s">
        <v>311</v>
      </c>
    </row>
    <row r="575">
      <c r="A575" s="1" t="s">
        <v>1486</v>
      </c>
      <c r="B575" s="2" t="s">
        <v>1487</v>
      </c>
      <c r="C575" s="1" t="s">
        <v>309</v>
      </c>
      <c r="D575" s="1" t="s">
        <v>311</v>
      </c>
    </row>
    <row r="576">
      <c r="A576" s="1" t="s">
        <v>1489</v>
      </c>
      <c r="B576" s="2" t="s">
        <v>1490</v>
      </c>
      <c r="C576" s="1" t="s">
        <v>309</v>
      </c>
      <c r="D576" s="1" t="s">
        <v>311</v>
      </c>
    </row>
    <row r="577">
      <c r="A577" s="1" t="s">
        <v>1491</v>
      </c>
      <c r="B577" s="2" t="s">
        <v>1492</v>
      </c>
      <c r="C577" s="1" t="s">
        <v>309</v>
      </c>
      <c r="D577" s="1" t="s">
        <v>311</v>
      </c>
    </row>
    <row r="578">
      <c r="A578" s="1" t="s">
        <v>1494</v>
      </c>
      <c r="B578" s="2" t="s">
        <v>1495</v>
      </c>
      <c r="C578" s="1" t="s">
        <v>309</v>
      </c>
      <c r="D578" s="1" t="s">
        <v>311</v>
      </c>
    </row>
    <row r="579">
      <c r="A579" s="1" t="s">
        <v>1497</v>
      </c>
      <c r="B579" s="2" t="s">
        <v>1499</v>
      </c>
      <c r="C579" s="1" t="s">
        <v>309</v>
      </c>
      <c r="D579" s="1" t="s">
        <v>311</v>
      </c>
    </row>
    <row r="580">
      <c r="A580" s="1" t="s">
        <v>1500</v>
      </c>
      <c r="B580" s="2" t="s">
        <v>1501</v>
      </c>
      <c r="C580" s="1" t="s">
        <v>309</v>
      </c>
      <c r="D580" s="1" t="s">
        <v>311</v>
      </c>
    </row>
    <row r="581">
      <c r="A581" s="1" t="s">
        <v>1502</v>
      </c>
      <c r="B581" s="2" t="s">
        <v>1503</v>
      </c>
      <c r="C581" s="1" t="s">
        <v>309</v>
      </c>
      <c r="D581" s="1" t="s">
        <v>311</v>
      </c>
    </row>
    <row r="582">
      <c r="A582" s="1" t="s">
        <v>1505</v>
      </c>
      <c r="B582" s="2" t="s">
        <v>1507</v>
      </c>
      <c r="C582" s="1" t="s">
        <v>309</v>
      </c>
      <c r="D582" s="1" t="s">
        <v>311</v>
      </c>
    </row>
    <row r="583">
      <c r="A583" s="1" t="s">
        <v>1509</v>
      </c>
      <c r="B583" s="2" t="s">
        <v>1510</v>
      </c>
      <c r="C583" s="1" t="s">
        <v>309</v>
      </c>
      <c r="D583" s="1" t="s">
        <v>311</v>
      </c>
    </row>
    <row r="584">
      <c r="A584" s="1" t="s">
        <v>1511</v>
      </c>
      <c r="B584" s="2" t="s">
        <v>1512</v>
      </c>
      <c r="C584" s="1" t="s">
        <v>309</v>
      </c>
      <c r="D584" s="1" t="s">
        <v>311</v>
      </c>
    </row>
    <row r="585">
      <c r="A585" s="1" t="s">
        <v>1514</v>
      </c>
      <c r="B585" s="2" t="s">
        <v>1515</v>
      </c>
      <c r="C585" s="1" t="s">
        <v>309</v>
      </c>
      <c r="D585" s="1" t="s">
        <v>311</v>
      </c>
    </row>
    <row r="586">
      <c r="A586" s="1" t="s">
        <v>1518</v>
      </c>
      <c r="B586" s="2" t="s">
        <v>1519</v>
      </c>
      <c r="C586" s="1" t="s">
        <v>309</v>
      </c>
      <c r="D586" s="1" t="s">
        <v>311</v>
      </c>
    </row>
    <row r="587">
      <c r="A587" s="1" t="s">
        <v>1520</v>
      </c>
      <c r="B587" s="2" t="s">
        <v>1521</v>
      </c>
      <c r="C587" s="1" t="s">
        <v>309</v>
      </c>
      <c r="D587" s="1" t="s">
        <v>311</v>
      </c>
    </row>
    <row r="588">
      <c r="A588" s="1" t="s">
        <v>1522</v>
      </c>
      <c r="B588" s="2" t="s">
        <v>1525</v>
      </c>
      <c r="C588" s="1" t="s">
        <v>309</v>
      </c>
      <c r="D588" s="1" t="s">
        <v>311</v>
      </c>
    </row>
    <row r="589">
      <c r="A589" s="1" t="s">
        <v>1528</v>
      </c>
      <c r="B589" s="2" t="s">
        <v>1529</v>
      </c>
      <c r="C589" s="1" t="s">
        <v>309</v>
      </c>
      <c r="D589" s="1" t="s">
        <v>311</v>
      </c>
    </row>
    <row r="590">
      <c r="A590" s="1" t="s">
        <v>1531</v>
      </c>
      <c r="B590" s="2" t="s">
        <v>1532</v>
      </c>
      <c r="C590" s="1" t="s">
        <v>309</v>
      </c>
      <c r="D590" s="1" t="s">
        <v>311</v>
      </c>
    </row>
    <row r="591">
      <c r="A591" s="1" t="s">
        <v>1533</v>
      </c>
      <c r="B591" s="2" t="s">
        <v>1535</v>
      </c>
      <c r="C591" s="1" t="s">
        <v>309</v>
      </c>
      <c r="D591" s="1" t="s">
        <v>311</v>
      </c>
    </row>
    <row r="592">
      <c r="A592" s="1" t="s">
        <v>1539</v>
      </c>
      <c r="B592" s="2" t="s">
        <v>1544</v>
      </c>
      <c r="C592" s="1" t="s">
        <v>309</v>
      </c>
      <c r="D592" s="1" t="s">
        <v>311</v>
      </c>
    </row>
    <row r="593">
      <c r="A593" s="1" t="s">
        <v>1546</v>
      </c>
      <c r="B593" s="2" t="s">
        <v>1547</v>
      </c>
      <c r="C593" s="1" t="s">
        <v>309</v>
      </c>
      <c r="D593" s="1" t="s">
        <v>311</v>
      </c>
    </row>
    <row r="594">
      <c r="A594" s="1" t="s">
        <v>1548</v>
      </c>
      <c r="B594" s="2" t="s">
        <v>1550</v>
      </c>
      <c r="C594" s="1" t="s">
        <v>309</v>
      </c>
      <c r="D594" s="1" t="s">
        <v>311</v>
      </c>
    </row>
    <row r="595">
      <c r="A595" s="1" t="s">
        <v>1552</v>
      </c>
      <c r="B595" s="2" t="s">
        <v>1554</v>
      </c>
      <c r="C595" s="1" t="s">
        <v>309</v>
      </c>
      <c r="D595" s="1" t="s">
        <v>311</v>
      </c>
    </row>
    <row r="596">
      <c r="A596" s="1" t="s">
        <v>1555</v>
      </c>
      <c r="B596" s="2" t="s">
        <v>1557</v>
      </c>
      <c r="C596" s="1" t="s">
        <v>309</v>
      </c>
      <c r="D596" s="1" t="s">
        <v>311</v>
      </c>
    </row>
    <row r="597">
      <c r="A597" s="1" t="s">
        <v>1558</v>
      </c>
      <c r="B597" s="2" t="s">
        <v>1559</v>
      </c>
      <c r="C597" s="1" t="s">
        <v>309</v>
      </c>
      <c r="D597" s="1" t="s">
        <v>311</v>
      </c>
    </row>
    <row r="598">
      <c r="A598" s="1" t="s">
        <v>1561</v>
      </c>
      <c r="B598" s="2" t="s">
        <v>1563</v>
      </c>
      <c r="C598" s="1" t="s">
        <v>309</v>
      </c>
      <c r="D598" s="1" t="s">
        <v>311</v>
      </c>
    </row>
    <row r="599">
      <c r="A599" s="1" t="s">
        <v>1565</v>
      </c>
      <c r="B599" s="2" t="s">
        <v>1566</v>
      </c>
      <c r="C599" s="1" t="s">
        <v>309</v>
      </c>
      <c r="D599" s="1" t="s">
        <v>311</v>
      </c>
    </row>
    <row r="600">
      <c r="A600" s="1" t="s">
        <v>1567</v>
      </c>
      <c r="B600" s="2" t="s">
        <v>1568</v>
      </c>
      <c r="C600" s="1" t="s">
        <v>309</v>
      </c>
      <c r="D600" s="1" t="s">
        <v>311</v>
      </c>
    </row>
    <row r="601">
      <c r="A601" s="1" t="s">
        <v>1570</v>
      </c>
      <c r="B601" s="2" t="s">
        <v>1571</v>
      </c>
      <c r="C601" s="1" t="s">
        <v>309</v>
      </c>
      <c r="D601" s="1" t="s">
        <v>311</v>
      </c>
    </row>
    <row r="602">
      <c r="A602" s="1" t="s">
        <v>1574</v>
      </c>
      <c r="B602" s="2" t="s">
        <v>1575</v>
      </c>
      <c r="C602" s="1" t="s">
        <v>309</v>
      </c>
      <c r="D602" s="1" t="s">
        <v>311</v>
      </c>
    </row>
    <row r="603">
      <c r="A603" s="1" t="s">
        <v>1576</v>
      </c>
      <c r="B603" s="2" t="s">
        <v>1577</v>
      </c>
      <c r="C603" s="1" t="s">
        <v>309</v>
      </c>
      <c r="D603" s="1" t="s">
        <v>311</v>
      </c>
    </row>
    <row r="604">
      <c r="A604" s="1" t="s">
        <v>1579</v>
      </c>
      <c r="B604" s="2" t="s">
        <v>1580</v>
      </c>
      <c r="C604" s="1" t="s">
        <v>309</v>
      </c>
      <c r="D604" s="1" t="s">
        <v>311</v>
      </c>
    </row>
    <row r="605">
      <c r="A605" s="1" t="s">
        <v>1583</v>
      </c>
      <c r="B605" s="2" t="s">
        <v>1584</v>
      </c>
      <c r="C605" s="1" t="s">
        <v>309</v>
      </c>
      <c r="D605" s="1" t="s">
        <v>311</v>
      </c>
    </row>
    <row r="606">
      <c r="A606" s="1" t="s">
        <v>1585</v>
      </c>
      <c r="B606" s="2" t="s">
        <v>1586</v>
      </c>
      <c r="C606" s="1" t="s">
        <v>309</v>
      </c>
      <c r="D606" s="1" t="s">
        <v>311</v>
      </c>
    </row>
    <row r="607">
      <c r="A607" s="1" t="s">
        <v>1587</v>
      </c>
      <c r="B607" s="2" t="s">
        <v>1590</v>
      </c>
      <c r="C607" s="1" t="s">
        <v>309</v>
      </c>
      <c r="D607" s="1" t="s">
        <v>311</v>
      </c>
    </row>
    <row r="608">
      <c r="A608" s="1" t="s">
        <v>1592</v>
      </c>
      <c r="B608" s="2" t="s">
        <v>1593</v>
      </c>
      <c r="C608" s="1" t="s">
        <v>309</v>
      </c>
      <c r="D608" s="1" t="s">
        <v>311</v>
      </c>
    </row>
    <row r="609">
      <c r="A609" s="1" t="s">
        <v>1594</v>
      </c>
      <c r="B609" s="2" t="s">
        <v>1595</v>
      </c>
      <c r="C609" s="1" t="s">
        <v>309</v>
      </c>
      <c r="D609" s="1" t="s">
        <v>311</v>
      </c>
    </row>
    <row r="610">
      <c r="A610" s="1" t="s">
        <v>1597</v>
      </c>
      <c r="B610" s="2" t="s">
        <v>1598</v>
      </c>
      <c r="C610" s="1" t="s">
        <v>309</v>
      </c>
      <c r="D610" s="1" t="s">
        <v>311</v>
      </c>
    </row>
    <row r="611">
      <c r="A611" s="1" t="s">
        <v>1601</v>
      </c>
      <c r="B611" s="2" t="s">
        <v>1602</v>
      </c>
      <c r="C611" s="1" t="s">
        <v>309</v>
      </c>
      <c r="D611" s="1" t="s">
        <v>311</v>
      </c>
    </row>
    <row r="612">
      <c r="A612" s="1" t="s">
        <v>314</v>
      </c>
      <c r="B612" s="2" t="s">
        <v>7</v>
      </c>
      <c r="C612" s="1" t="s">
        <v>315</v>
      </c>
      <c r="D612" s="1" t="s">
        <v>317</v>
      </c>
    </row>
    <row r="613">
      <c r="A613" s="1" t="s">
        <v>1605</v>
      </c>
      <c r="B613" s="2" t="s">
        <v>1607</v>
      </c>
      <c r="C613" s="1" t="s">
        <v>315</v>
      </c>
      <c r="D613" s="1" t="s">
        <v>317</v>
      </c>
    </row>
    <row r="614">
      <c r="A614" s="1" t="s">
        <v>1609</v>
      </c>
      <c r="B614" s="2" t="s">
        <v>1610</v>
      </c>
      <c r="C614" s="1" t="s">
        <v>315</v>
      </c>
      <c r="D614" s="1" t="s">
        <v>317</v>
      </c>
    </row>
    <row r="615">
      <c r="A615" s="1" t="s">
        <v>1611</v>
      </c>
      <c r="B615" s="2" t="s">
        <v>1612</v>
      </c>
      <c r="C615" s="1" t="s">
        <v>315</v>
      </c>
      <c r="D615" s="1" t="s">
        <v>317</v>
      </c>
    </row>
    <row r="616">
      <c r="A616" s="1" t="s">
        <v>1614</v>
      </c>
      <c r="B616" s="2" t="s">
        <v>1616</v>
      </c>
      <c r="C616" s="1" t="s">
        <v>315</v>
      </c>
      <c r="D616" s="1" t="s">
        <v>317</v>
      </c>
    </row>
    <row r="617">
      <c r="A617" s="1" t="s">
        <v>1618</v>
      </c>
      <c r="B617" s="2" t="s">
        <v>1619</v>
      </c>
      <c r="C617" s="1" t="s">
        <v>315</v>
      </c>
      <c r="D617" s="1" t="s">
        <v>317</v>
      </c>
    </row>
    <row r="618">
      <c r="A618" s="1" t="s">
        <v>1620</v>
      </c>
      <c r="B618" s="2" t="s">
        <v>1621</v>
      </c>
      <c r="C618" s="1" t="s">
        <v>315</v>
      </c>
      <c r="D618" s="1" t="s">
        <v>317</v>
      </c>
    </row>
    <row r="619">
      <c r="A619" s="1" t="s">
        <v>1623</v>
      </c>
      <c r="B619" s="2" t="s">
        <v>1625</v>
      </c>
      <c r="C619" s="1" t="s">
        <v>315</v>
      </c>
      <c r="D619" s="1" t="s">
        <v>317</v>
      </c>
    </row>
    <row r="620">
      <c r="A620" s="1" t="s">
        <v>1627</v>
      </c>
      <c r="B620" s="2" t="s">
        <v>1628</v>
      </c>
      <c r="C620" s="1" t="s">
        <v>315</v>
      </c>
      <c r="D620" s="1" t="s">
        <v>317</v>
      </c>
    </row>
    <row r="621">
      <c r="A621" s="1" t="s">
        <v>1629</v>
      </c>
      <c r="B621" s="2" t="s">
        <v>1630</v>
      </c>
      <c r="C621" s="1" t="s">
        <v>315</v>
      </c>
      <c r="D621" s="1" t="s">
        <v>317</v>
      </c>
    </row>
    <row r="622">
      <c r="A622" s="1" t="s">
        <v>1632</v>
      </c>
      <c r="B622" s="2" t="s">
        <v>1634</v>
      </c>
      <c r="C622" s="1" t="s">
        <v>315</v>
      </c>
      <c r="D622" s="1" t="s">
        <v>317</v>
      </c>
    </row>
    <row r="623">
      <c r="A623" s="1" t="s">
        <v>1636</v>
      </c>
      <c r="B623" s="2" t="s">
        <v>1637</v>
      </c>
      <c r="C623" s="1" t="s">
        <v>315</v>
      </c>
      <c r="D623" s="1" t="s">
        <v>317</v>
      </c>
    </row>
    <row r="624">
      <c r="A624" s="1" t="s">
        <v>1638</v>
      </c>
      <c r="B624" s="2" t="s">
        <v>1639</v>
      </c>
      <c r="C624" s="1" t="s">
        <v>315</v>
      </c>
      <c r="D624" s="1" t="s">
        <v>317</v>
      </c>
    </row>
    <row r="625">
      <c r="A625" s="1" t="s">
        <v>1641</v>
      </c>
      <c r="B625" s="2" t="s">
        <v>1643</v>
      </c>
      <c r="C625" s="1" t="s">
        <v>315</v>
      </c>
      <c r="D625" s="1" t="s">
        <v>317</v>
      </c>
    </row>
    <row r="626">
      <c r="A626" s="1" t="s">
        <v>1645</v>
      </c>
      <c r="B626" s="2" t="s">
        <v>1646</v>
      </c>
      <c r="C626" s="1" t="s">
        <v>315</v>
      </c>
      <c r="D626" s="1" t="s">
        <v>317</v>
      </c>
    </row>
    <row r="627">
      <c r="A627" s="1" t="s">
        <v>1647</v>
      </c>
      <c r="B627" s="2" t="s">
        <v>1648</v>
      </c>
      <c r="C627" s="1" t="s">
        <v>315</v>
      </c>
      <c r="D627" s="1" t="s">
        <v>317</v>
      </c>
    </row>
    <row r="628">
      <c r="A628" s="1" t="s">
        <v>1650</v>
      </c>
      <c r="B628" s="2" t="s">
        <v>1652</v>
      </c>
      <c r="C628" s="1" t="s">
        <v>315</v>
      </c>
      <c r="D628" s="1" t="s">
        <v>317</v>
      </c>
    </row>
    <row r="629">
      <c r="A629" s="1" t="s">
        <v>1654</v>
      </c>
      <c r="B629" s="2" t="s">
        <v>1655</v>
      </c>
      <c r="C629" s="1" t="s">
        <v>315</v>
      </c>
      <c r="D629" s="1" t="s">
        <v>317</v>
      </c>
    </row>
    <row r="630">
      <c r="A630" s="1" t="s">
        <v>1656</v>
      </c>
      <c r="B630" s="2" t="s">
        <v>1657</v>
      </c>
      <c r="C630" s="1" t="s">
        <v>315</v>
      </c>
      <c r="D630" s="1" t="s">
        <v>317</v>
      </c>
    </row>
    <row r="631">
      <c r="A631" s="1" t="s">
        <v>1659</v>
      </c>
      <c r="B631" s="2" t="s">
        <v>1660</v>
      </c>
      <c r="C631" s="1" t="s">
        <v>315</v>
      </c>
      <c r="D631" s="1" t="s">
        <v>317</v>
      </c>
    </row>
    <row r="632">
      <c r="A632" s="1" t="s">
        <v>1662</v>
      </c>
      <c r="B632" s="2" t="s">
        <v>1664</v>
      </c>
      <c r="C632" s="1" t="s">
        <v>315</v>
      </c>
      <c r="D632" s="1" t="s">
        <v>317</v>
      </c>
    </row>
    <row r="633">
      <c r="A633" s="1" t="s">
        <v>1665</v>
      </c>
      <c r="B633" s="2" t="s">
        <v>1666</v>
      </c>
      <c r="C633" s="1" t="s">
        <v>315</v>
      </c>
      <c r="D633" s="1" t="s">
        <v>317</v>
      </c>
    </row>
    <row r="634">
      <c r="A634" s="1" t="s">
        <v>320</v>
      </c>
      <c r="B634" s="2" t="s">
        <v>290</v>
      </c>
      <c r="C634" s="1" t="s">
        <v>321</v>
      </c>
      <c r="D634" s="1" t="s">
        <v>323</v>
      </c>
    </row>
    <row r="635">
      <c r="A635" s="1" t="s">
        <v>1670</v>
      </c>
      <c r="B635" s="2" t="s">
        <v>1671</v>
      </c>
      <c r="C635" s="1" t="s">
        <v>321</v>
      </c>
      <c r="D635" s="1" t="s">
        <v>323</v>
      </c>
    </row>
    <row r="636">
      <c r="A636" s="1" t="s">
        <v>1672</v>
      </c>
      <c r="B636" s="2" t="s">
        <v>1673</v>
      </c>
      <c r="C636" s="1" t="s">
        <v>321</v>
      </c>
      <c r="D636" s="1" t="s">
        <v>323</v>
      </c>
    </row>
    <row r="637">
      <c r="A637" s="1" t="s">
        <v>1675</v>
      </c>
      <c r="B637" s="2" t="s">
        <v>1676</v>
      </c>
      <c r="C637" s="1" t="s">
        <v>321</v>
      </c>
      <c r="D637" s="1" t="s">
        <v>323</v>
      </c>
    </row>
    <row r="638">
      <c r="A638" s="1" t="s">
        <v>1679</v>
      </c>
      <c r="B638" s="2" t="s">
        <v>1680</v>
      </c>
      <c r="C638" s="1" t="s">
        <v>321</v>
      </c>
      <c r="D638" s="1" t="s">
        <v>323</v>
      </c>
    </row>
    <row r="639">
      <c r="A639" s="1" t="s">
        <v>1681</v>
      </c>
      <c r="B639" s="2" t="s">
        <v>1682</v>
      </c>
      <c r="C639" s="1" t="s">
        <v>321</v>
      </c>
      <c r="D639" s="1" t="s">
        <v>323</v>
      </c>
    </row>
    <row r="640">
      <c r="A640" s="1" t="s">
        <v>1684</v>
      </c>
      <c r="B640" s="2" t="s">
        <v>1685</v>
      </c>
      <c r="C640" s="1" t="s">
        <v>321</v>
      </c>
      <c r="D640" s="1" t="s">
        <v>323</v>
      </c>
    </row>
    <row r="641">
      <c r="A641" s="1" t="s">
        <v>1688</v>
      </c>
      <c r="B641" s="2" t="s">
        <v>1689</v>
      </c>
      <c r="C641" s="1" t="s">
        <v>321</v>
      </c>
      <c r="D641" s="1" t="s">
        <v>323</v>
      </c>
    </row>
    <row r="642">
      <c r="A642" s="1" t="s">
        <v>1691</v>
      </c>
      <c r="B642" s="2" t="s">
        <v>1692</v>
      </c>
      <c r="C642" s="1" t="s">
        <v>321</v>
      </c>
      <c r="D642" s="1" t="s">
        <v>323</v>
      </c>
    </row>
    <row r="643">
      <c r="A643" s="1" t="s">
        <v>1694</v>
      </c>
      <c r="B643" s="2" t="s">
        <v>1695</v>
      </c>
      <c r="C643" s="1" t="s">
        <v>321</v>
      </c>
      <c r="D643" s="1" t="s">
        <v>323</v>
      </c>
    </row>
    <row r="644">
      <c r="A644" s="1" t="s">
        <v>1698</v>
      </c>
      <c r="B644" s="2" t="s">
        <v>1699</v>
      </c>
      <c r="C644" s="1" t="s">
        <v>321</v>
      </c>
      <c r="D644" s="1" t="s">
        <v>323</v>
      </c>
    </row>
    <row r="645">
      <c r="A645" s="1" t="s">
        <v>1701</v>
      </c>
      <c r="B645" s="2" t="s">
        <v>1702</v>
      </c>
      <c r="C645" s="1" t="s">
        <v>321</v>
      </c>
      <c r="D645" s="1" t="s">
        <v>323</v>
      </c>
    </row>
    <row r="646">
      <c r="A646" s="1" t="s">
        <v>1704</v>
      </c>
      <c r="B646" s="2" t="s">
        <v>1706</v>
      </c>
      <c r="C646" s="1" t="s">
        <v>321</v>
      </c>
      <c r="D646" s="1" t="s">
        <v>323</v>
      </c>
    </row>
    <row r="647">
      <c r="A647" s="1" t="s">
        <v>1709</v>
      </c>
      <c r="B647" s="2" t="s">
        <v>1710</v>
      </c>
      <c r="C647" s="1" t="s">
        <v>321</v>
      </c>
      <c r="D647" s="1" t="s">
        <v>323</v>
      </c>
    </row>
    <row r="648">
      <c r="A648" s="1" t="s">
        <v>1711</v>
      </c>
      <c r="B648" s="2" t="s">
        <v>1712</v>
      </c>
      <c r="C648" s="1" t="s">
        <v>321</v>
      </c>
      <c r="D648" s="1" t="s">
        <v>323</v>
      </c>
    </row>
    <row r="649">
      <c r="A649" s="1" t="s">
        <v>1713</v>
      </c>
      <c r="B649" s="2" t="s">
        <v>1715</v>
      </c>
      <c r="C649" s="1" t="s">
        <v>321</v>
      </c>
      <c r="D649" s="1" t="s">
        <v>323</v>
      </c>
    </row>
    <row r="650">
      <c r="A650" s="1" t="s">
        <v>1717</v>
      </c>
      <c r="B650" s="2" t="s">
        <v>1719</v>
      </c>
      <c r="C650" s="1" t="s">
        <v>321</v>
      </c>
      <c r="D650" s="1" t="s">
        <v>323</v>
      </c>
    </row>
    <row r="651">
      <c r="A651" s="1" t="s">
        <v>1720</v>
      </c>
      <c r="B651" s="2" t="s">
        <v>1721</v>
      </c>
      <c r="C651" s="1" t="s">
        <v>321</v>
      </c>
      <c r="D651" s="1" t="s">
        <v>323</v>
      </c>
    </row>
    <row r="652">
      <c r="A652" s="1" t="s">
        <v>1722</v>
      </c>
      <c r="B652" s="2" t="s">
        <v>1723</v>
      </c>
      <c r="C652" s="1" t="s">
        <v>321</v>
      </c>
      <c r="D652" s="1" t="s">
        <v>323</v>
      </c>
    </row>
    <row r="653">
      <c r="A653" s="1" t="s">
        <v>1726</v>
      </c>
      <c r="B653" s="2" t="s">
        <v>1728</v>
      </c>
      <c r="C653" s="1" t="s">
        <v>321</v>
      </c>
      <c r="D653" s="1" t="s">
        <v>323</v>
      </c>
    </row>
    <row r="654">
      <c r="A654" s="1" t="s">
        <v>1729</v>
      </c>
      <c r="B654" s="2" t="s">
        <v>1730</v>
      </c>
      <c r="C654" s="1" t="s">
        <v>321</v>
      </c>
      <c r="D654" s="1" t="s">
        <v>323</v>
      </c>
    </row>
    <row r="655">
      <c r="A655" s="1" t="s">
        <v>1731</v>
      </c>
      <c r="B655" s="2" t="s">
        <v>1732</v>
      </c>
      <c r="C655" s="1" t="s">
        <v>321</v>
      </c>
      <c r="D655" s="1" t="s">
        <v>323</v>
      </c>
    </row>
    <row r="656">
      <c r="A656" s="1" t="s">
        <v>1735</v>
      </c>
      <c r="B656" s="2" t="s">
        <v>1737</v>
      </c>
      <c r="C656" s="1" t="s">
        <v>321</v>
      </c>
      <c r="D656" s="1" t="s">
        <v>323</v>
      </c>
    </row>
    <row r="657">
      <c r="A657" s="1" t="s">
        <v>1738</v>
      </c>
      <c r="B657" s="2" t="s">
        <v>1739</v>
      </c>
      <c r="C657" s="1" t="s">
        <v>321</v>
      </c>
      <c r="D657" s="1" t="s">
        <v>323</v>
      </c>
    </row>
    <row r="658">
      <c r="A658" s="1" t="s">
        <v>1740</v>
      </c>
      <c r="B658" s="2" t="s">
        <v>1741</v>
      </c>
      <c r="C658" s="1" t="s">
        <v>321</v>
      </c>
      <c r="D658" s="1" t="s">
        <v>323</v>
      </c>
    </row>
    <row r="659">
      <c r="A659" s="1" t="s">
        <v>1743</v>
      </c>
      <c r="B659" s="2" t="s">
        <v>1744</v>
      </c>
      <c r="C659" s="1" t="s">
        <v>321</v>
      </c>
      <c r="D659" s="1" t="s">
        <v>323</v>
      </c>
    </row>
    <row r="660">
      <c r="A660" s="1" t="s">
        <v>1747</v>
      </c>
      <c r="B660" s="2" t="s">
        <v>1748</v>
      </c>
      <c r="C660" s="1" t="s">
        <v>321</v>
      </c>
      <c r="D660" s="1" t="s">
        <v>323</v>
      </c>
    </row>
    <row r="661">
      <c r="A661" s="1" t="s">
        <v>1749</v>
      </c>
      <c r="B661" s="2" t="s">
        <v>1750</v>
      </c>
      <c r="C661" s="1" t="s">
        <v>321</v>
      </c>
      <c r="D661" s="1" t="s">
        <v>323</v>
      </c>
    </row>
    <row r="662">
      <c r="A662" s="1" t="s">
        <v>1752</v>
      </c>
      <c r="B662" s="2" t="s">
        <v>1753</v>
      </c>
      <c r="C662" s="1" t="s">
        <v>321</v>
      </c>
      <c r="D662" s="1" t="s">
        <v>323</v>
      </c>
    </row>
    <row r="663">
      <c r="A663" s="1" t="s">
        <v>1756</v>
      </c>
      <c r="B663" s="2" t="s">
        <v>1757</v>
      </c>
      <c r="C663" s="1" t="s">
        <v>321</v>
      </c>
      <c r="D663" s="1" t="s">
        <v>323</v>
      </c>
    </row>
    <row r="664">
      <c r="A664" s="1" t="s">
        <v>1758</v>
      </c>
      <c r="B664" s="2" t="s">
        <v>1759</v>
      </c>
      <c r="C664" s="1" t="s">
        <v>321</v>
      </c>
      <c r="D664" s="1" t="s">
        <v>323</v>
      </c>
    </row>
    <row r="665">
      <c r="A665" s="1" t="s">
        <v>1761</v>
      </c>
      <c r="B665" s="2" t="s">
        <v>1762</v>
      </c>
      <c r="C665" s="1" t="s">
        <v>321</v>
      </c>
      <c r="D665" s="1" t="s">
        <v>323</v>
      </c>
    </row>
    <row r="666">
      <c r="A666" s="1" t="s">
        <v>1764</v>
      </c>
      <c r="B666" s="2" t="s">
        <v>1766</v>
      </c>
      <c r="C666" s="1" t="s">
        <v>321</v>
      </c>
      <c r="D666" s="1" t="s">
        <v>323</v>
      </c>
    </row>
    <row r="667">
      <c r="A667" s="1" t="s">
        <v>1767</v>
      </c>
      <c r="B667" s="2" t="s">
        <v>1768</v>
      </c>
      <c r="C667" s="1" t="s">
        <v>321</v>
      </c>
      <c r="D667" s="1" t="s">
        <v>323</v>
      </c>
    </row>
    <row r="668">
      <c r="A668" s="1" t="s">
        <v>1769</v>
      </c>
      <c r="B668" s="2" t="s">
        <v>1770</v>
      </c>
      <c r="C668" s="1" t="s">
        <v>321</v>
      </c>
      <c r="D668" s="1" t="s">
        <v>323</v>
      </c>
    </row>
    <row r="669">
      <c r="A669" s="1" t="s">
        <v>1772</v>
      </c>
      <c r="B669" s="2" t="s">
        <v>1774</v>
      </c>
      <c r="C669" s="1" t="s">
        <v>321</v>
      </c>
      <c r="D669" s="1" t="s">
        <v>323</v>
      </c>
    </row>
    <row r="670">
      <c r="A670" s="1" t="s">
        <v>1776</v>
      </c>
      <c r="B670" s="2" t="s">
        <v>1777</v>
      </c>
      <c r="C670" s="1" t="s">
        <v>321</v>
      </c>
      <c r="D670" s="1" t="s">
        <v>323</v>
      </c>
    </row>
    <row r="671">
      <c r="A671" s="1" t="s">
        <v>1778</v>
      </c>
      <c r="B671" s="2" t="s">
        <v>1779</v>
      </c>
      <c r="C671" s="1" t="s">
        <v>321</v>
      </c>
      <c r="D671" s="1" t="s">
        <v>323</v>
      </c>
    </row>
    <row r="672">
      <c r="A672" s="1" t="s">
        <v>1781</v>
      </c>
      <c r="B672" s="2" t="s">
        <v>1783</v>
      </c>
      <c r="C672" s="1" t="s">
        <v>321</v>
      </c>
      <c r="D672" s="1" t="s">
        <v>323</v>
      </c>
    </row>
    <row r="673">
      <c r="A673" s="1" t="s">
        <v>1785</v>
      </c>
      <c r="B673" s="2" t="s">
        <v>1786</v>
      </c>
      <c r="C673" s="1" t="s">
        <v>321</v>
      </c>
      <c r="D673" s="1" t="s">
        <v>323</v>
      </c>
    </row>
    <row r="674">
      <c r="A674" s="1" t="s">
        <v>1787</v>
      </c>
      <c r="B674" s="2" t="s">
        <v>1788</v>
      </c>
      <c r="C674" s="1" t="s">
        <v>321</v>
      </c>
      <c r="D674" s="1" t="s">
        <v>323</v>
      </c>
    </row>
    <row r="675">
      <c r="A675" s="1" t="s">
        <v>1791</v>
      </c>
      <c r="B675" s="2" t="s">
        <v>1793</v>
      </c>
      <c r="C675" s="1" t="s">
        <v>321</v>
      </c>
      <c r="D675" s="1" t="s">
        <v>323</v>
      </c>
    </row>
    <row r="676">
      <c r="A676" s="1" t="s">
        <v>1794</v>
      </c>
      <c r="B676" s="2" t="s">
        <v>1795</v>
      </c>
      <c r="C676" s="1" t="s">
        <v>321</v>
      </c>
      <c r="D676" s="1" t="s">
        <v>323</v>
      </c>
    </row>
    <row r="677">
      <c r="A677" s="1" t="s">
        <v>1796</v>
      </c>
      <c r="B677" s="2" t="s">
        <v>1798</v>
      </c>
      <c r="C677" s="1" t="s">
        <v>321</v>
      </c>
      <c r="D677" s="1" t="s">
        <v>323</v>
      </c>
    </row>
    <row r="678">
      <c r="A678" s="1" t="s">
        <v>1800</v>
      </c>
      <c r="B678" s="2" t="s">
        <v>1802</v>
      </c>
      <c r="C678" s="1" t="s">
        <v>321</v>
      </c>
      <c r="D678" s="1" t="s">
        <v>323</v>
      </c>
    </row>
    <row r="679">
      <c r="A679" s="1" t="s">
        <v>1803</v>
      </c>
      <c r="B679" s="2" t="s">
        <v>1804</v>
      </c>
      <c r="C679" s="1" t="s">
        <v>321</v>
      </c>
      <c r="D679" s="1" t="s">
        <v>323</v>
      </c>
    </row>
    <row r="680">
      <c r="A680" s="1" t="s">
        <v>1805</v>
      </c>
      <c r="B680" s="2" t="s">
        <v>1806</v>
      </c>
      <c r="C680" s="1" t="s">
        <v>321</v>
      </c>
      <c r="D680" s="1" t="s">
        <v>323</v>
      </c>
    </row>
    <row r="681">
      <c r="A681" s="1" t="s">
        <v>1808</v>
      </c>
      <c r="B681" s="2" t="s">
        <v>1810</v>
      </c>
      <c r="C681" s="1" t="s">
        <v>321</v>
      </c>
      <c r="D681" s="1" t="s">
        <v>323</v>
      </c>
    </row>
    <row r="682">
      <c r="A682" s="1" t="s">
        <v>1812</v>
      </c>
      <c r="B682" s="2" t="s">
        <v>1813</v>
      </c>
      <c r="C682" s="1" t="s">
        <v>321</v>
      </c>
      <c r="D682" s="1" t="s">
        <v>323</v>
      </c>
    </row>
    <row r="683">
      <c r="A683" s="1" t="s">
        <v>1814</v>
      </c>
      <c r="B683" s="2" t="s">
        <v>1815</v>
      </c>
      <c r="C683" s="1" t="s">
        <v>321</v>
      </c>
      <c r="D683" s="1" t="s">
        <v>323</v>
      </c>
    </row>
    <row r="684">
      <c r="A684" s="1" t="s">
        <v>1817</v>
      </c>
      <c r="B684" s="2" t="s">
        <v>1819</v>
      </c>
      <c r="C684" s="1" t="s">
        <v>321</v>
      </c>
      <c r="D684" s="1" t="s">
        <v>323</v>
      </c>
    </row>
    <row r="685">
      <c r="A685" s="1" t="s">
        <v>1821</v>
      </c>
      <c r="B685" s="2" t="s">
        <v>1822</v>
      </c>
      <c r="C685" s="1" t="s">
        <v>321</v>
      </c>
      <c r="D685" s="1" t="s">
        <v>323</v>
      </c>
    </row>
    <row r="686">
      <c r="A686" s="1" t="s">
        <v>1824</v>
      </c>
      <c r="B686" s="2" t="s">
        <v>1825</v>
      </c>
      <c r="C686" s="1" t="s">
        <v>321</v>
      </c>
      <c r="D686" s="1" t="s">
        <v>323</v>
      </c>
    </row>
    <row r="687">
      <c r="A687" s="1" t="s">
        <v>1827</v>
      </c>
      <c r="B687" s="2" t="s">
        <v>1828</v>
      </c>
      <c r="C687" s="1" t="s">
        <v>321</v>
      </c>
      <c r="D687" s="1" t="s">
        <v>323</v>
      </c>
    </row>
    <row r="688">
      <c r="A688" s="1" t="s">
        <v>1831</v>
      </c>
      <c r="B688" s="2" t="s">
        <v>1832</v>
      </c>
      <c r="C688" s="1" t="s">
        <v>321</v>
      </c>
      <c r="D688" s="1" t="s">
        <v>323</v>
      </c>
    </row>
    <row r="689">
      <c r="A689" s="1" t="s">
        <v>1833</v>
      </c>
      <c r="B689" s="2" t="s">
        <v>1834</v>
      </c>
      <c r="C689" s="1" t="s">
        <v>321</v>
      </c>
      <c r="D689" s="1" t="s">
        <v>323</v>
      </c>
    </row>
    <row r="690">
      <c r="A690" s="1" t="s">
        <v>1836</v>
      </c>
      <c r="B690" s="2" t="s">
        <v>1838</v>
      </c>
      <c r="C690" s="1" t="s">
        <v>321</v>
      </c>
      <c r="D690" s="1" t="s">
        <v>323</v>
      </c>
    </row>
    <row r="691">
      <c r="A691" s="1" t="s">
        <v>326</v>
      </c>
      <c r="B691" s="2" t="s">
        <v>290</v>
      </c>
      <c r="C691" s="1" t="s">
        <v>328</v>
      </c>
      <c r="D691" s="1" t="s">
        <v>329</v>
      </c>
    </row>
    <row r="692">
      <c r="A692" s="1" t="s">
        <v>1844</v>
      </c>
      <c r="B692" s="2" t="s">
        <v>1845</v>
      </c>
      <c r="C692" s="1" t="s">
        <v>328</v>
      </c>
      <c r="D692" s="1" t="s">
        <v>329</v>
      </c>
    </row>
    <row r="693">
      <c r="A693" s="1" t="s">
        <v>1847</v>
      </c>
      <c r="B693" s="2" t="s">
        <v>1848</v>
      </c>
      <c r="C693" s="1" t="s">
        <v>328</v>
      </c>
      <c r="D693" s="1" t="s">
        <v>329</v>
      </c>
    </row>
    <row r="694">
      <c r="A694" s="1" t="s">
        <v>1850</v>
      </c>
      <c r="B694" s="2" t="s">
        <v>1851</v>
      </c>
      <c r="C694" s="1" t="s">
        <v>328</v>
      </c>
      <c r="D694" s="1" t="s">
        <v>329</v>
      </c>
    </row>
    <row r="695">
      <c r="A695" s="1" t="s">
        <v>1852</v>
      </c>
      <c r="B695" s="2" t="s">
        <v>1853</v>
      </c>
      <c r="C695" s="1" t="s">
        <v>328</v>
      </c>
      <c r="D695" s="1" t="s">
        <v>329</v>
      </c>
    </row>
    <row r="696">
      <c r="A696" s="1" t="s">
        <v>1856</v>
      </c>
      <c r="B696" s="2" t="s">
        <v>1857</v>
      </c>
      <c r="C696" s="1" t="s">
        <v>328</v>
      </c>
      <c r="D696" s="1" t="s">
        <v>329</v>
      </c>
    </row>
    <row r="697">
      <c r="A697" s="1" t="s">
        <v>1859</v>
      </c>
      <c r="B697" s="2" t="s">
        <v>1860</v>
      </c>
      <c r="C697" s="1" t="s">
        <v>328</v>
      </c>
      <c r="D697" s="1" t="s">
        <v>329</v>
      </c>
    </row>
    <row r="698">
      <c r="A698" s="1" t="s">
        <v>1862</v>
      </c>
      <c r="B698" s="2" t="s">
        <v>1863</v>
      </c>
      <c r="C698" s="1" t="s">
        <v>328</v>
      </c>
      <c r="D698" s="1" t="s">
        <v>329</v>
      </c>
    </row>
    <row r="699">
      <c r="A699" s="1" t="s">
        <v>1865</v>
      </c>
      <c r="B699" s="2" t="s">
        <v>1866</v>
      </c>
      <c r="C699" s="1" t="s">
        <v>328</v>
      </c>
      <c r="D699" s="1" t="s">
        <v>329</v>
      </c>
    </row>
    <row r="700">
      <c r="A700" s="1" t="s">
        <v>1868</v>
      </c>
      <c r="B700" s="2" t="s">
        <v>1869</v>
      </c>
      <c r="C700" s="1" t="s">
        <v>328</v>
      </c>
      <c r="D700" s="1" t="s">
        <v>329</v>
      </c>
    </row>
    <row r="701">
      <c r="A701" s="1" t="s">
        <v>1872</v>
      </c>
      <c r="B701" s="2" t="s">
        <v>1873</v>
      </c>
      <c r="C701" s="1" t="s">
        <v>328</v>
      </c>
      <c r="D701" s="1" t="s">
        <v>329</v>
      </c>
    </row>
    <row r="702">
      <c r="A702" s="1" t="s">
        <v>1874</v>
      </c>
      <c r="B702" s="2" t="s">
        <v>1875</v>
      </c>
      <c r="C702" s="1" t="s">
        <v>328</v>
      </c>
      <c r="D702" s="1" t="s">
        <v>329</v>
      </c>
    </row>
    <row r="703">
      <c r="A703" s="1" t="s">
        <v>1877</v>
      </c>
      <c r="B703" s="2" t="s">
        <v>1878</v>
      </c>
      <c r="C703" s="1" t="s">
        <v>328</v>
      </c>
      <c r="D703" s="1" t="s">
        <v>329</v>
      </c>
    </row>
    <row r="704">
      <c r="A704" s="1" t="s">
        <v>1880</v>
      </c>
      <c r="B704" s="2" t="s">
        <v>1881</v>
      </c>
      <c r="C704" s="1" t="s">
        <v>328</v>
      </c>
      <c r="D704" s="1" t="s">
        <v>329</v>
      </c>
    </row>
    <row r="705">
      <c r="A705" s="1" t="s">
        <v>1882</v>
      </c>
      <c r="B705" s="2" t="s">
        <v>1883</v>
      </c>
      <c r="C705" s="1" t="s">
        <v>328</v>
      </c>
      <c r="D705" s="1" t="s">
        <v>329</v>
      </c>
    </row>
    <row r="706">
      <c r="A706" s="1" t="s">
        <v>1884</v>
      </c>
      <c r="B706" s="2" t="s">
        <v>1885</v>
      </c>
      <c r="C706" s="1" t="s">
        <v>328</v>
      </c>
      <c r="D706" s="1" t="s">
        <v>329</v>
      </c>
    </row>
    <row r="707">
      <c r="A707" s="1" t="s">
        <v>1887</v>
      </c>
      <c r="B707" s="2" t="s">
        <v>1889</v>
      </c>
      <c r="C707" s="1" t="s">
        <v>328</v>
      </c>
      <c r="D707" s="1" t="s">
        <v>329</v>
      </c>
    </row>
    <row r="708">
      <c r="A708" s="1" t="s">
        <v>1891</v>
      </c>
      <c r="B708" s="2" t="s">
        <v>1892</v>
      </c>
      <c r="C708" s="1" t="s">
        <v>328</v>
      </c>
      <c r="D708" s="1" t="s">
        <v>329</v>
      </c>
    </row>
    <row r="709">
      <c r="A709" s="1" t="s">
        <v>1893</v>
      </c>
      <c r="B709" s="2" t="s">
        <v>1894</v>
      </c>
      <c r="C709" s="1" t="s">
        <v>328</v>
      </c>
      <c r="D709" s="1" t="s">
        <v>329</v>
      </c>
    </row>
    <row r="710">
      <c r="A710" s="1" t="s">
        <v>1896</v>
      </c>
      <c r="B710" s="2" t="s">
        <v>1897</v>
      </c>
      <c r="C710" s="1" t="s">
        <v>328</v>
      </c>
      <c r="D710" s="1" t="s">
        <v>329</v>
      </c>
    </row>
    <row r="711">
      <c r="A711" s="1" t="s">
        <v>1900</v>
      </c>
      <c r="B711" s="2" t="s">
        <v>1901</v>
      </c>
      <c r="C711" s="1" t="s">
        <v>328</v>
      </c>
      <c r="D711" s="1" t="s">
        <v>329</v>
      </c>
    </row>
    <row r="712">
      <c r="A712" s="1" t="s">
        <v>332</v>
      </c>
      <c r="B712" s="2" t="s">
        <v>7</v>
      </c>
      <c r="C712" s="1" t="s">
        <v>333</v>
      </c>
      <c r="D712" s="1" t="s">
        <v>335</v>
      </c>
    </row>
    <row r="713">
      <c r="A713" s="1" t="s">
        <v>1904</v>
      </c>
      <c r="B713" s="2" t="s">
        <v>1906</v>
      </c>
      <c r="C713" s="1" t="s">
        <v>333</v>
      </c>
      <c r="D713" s="1" t="s">
        <v>335</v>
      </c>
    </row>
    <row r="714">
      <c r="A714" s="1" t="s">
        <v>1907</v>
      </c>
      <c r="B714" s="2" t="s">
        <v>1908</v>
      </c>
      <c r="C714" s="1" t="s">
        <v>333</v>
      </c>
      <c r="D714" s="1" t="s">
        <v>335</v>
      </c>
    </row>
    <row r="715">
      <c r="A715" s="1" t="s">
        <v>1909</v>
      </c>
      <c r="B715" s="2" t="s">
        <v>1910</v>
      </c>
      <c r="C715" s="1" t="s">
        <v>333</v>
      </c>
      <c r="D715" s="1" t="s">
        <v>335</v>
      </c>
    </row>
    <row r="716">
      <c r="A716" s="1" t="s">
        <v>1912</v>
      </c>
      <c r="B716" s="2" t="s">
        <v>1914</v>
      </c>
      <c r="C716" s="1" t="s">
        <v>333</v>
      </c>
      <c r="D716" s="1" t="s">
        <v>335</v>
      </c>
    </row>
    <row r="717">
      <c r="A717" s="1" t="s">
        <v>1916</v>
      </c>
      <c r="B717" s="2" t="s">
        <v>1917</v>
      </c>
      <c r="C717" s="1" t="s">
        <v>333</v>
      </c>
      <c r="D717" s="1" t="s">
        <v>335</v>
      </c>
    </row>
    <row r="718">
      <c r="A718" s="1" t="s">
        <v>1918</v>
      </c>
      <c r="B718" s="2" t="s">
        <v>1919</v>
      </c>
      <c r="C718" s="1" t="s">
        <v>333</v>
      </c>
      <c r="D718" s="1" t="s">
        <v>335</v>
      </c>
    </row>
    <row r="719">
      <c r="A719" s="1" t="s">
        <v>1921</v>
      </c>
      <c r="B719" s="2" t="s">
        <v>1923</v>
      </c>
      <c r="C719" s="1" t="s">
        <v>333</v>
      </c>
      <c r="D719" s="1" t="s">
        <v>335</v>
      </c>
    </row>
    <row r="720">
      <c r="A720" s="1" t="s">
        <v>1925</v>
      </c>
      <c r="B720" s="2" t="s">
        <v>1926</v>
      </c>
      <c r="C720" s="1" t="s">
        <v>333</v>
      </c>
      <c r="D720" s="1" t="s">
        <v>335</v>
      </c>
    </row>
    <row r="721">
      <c r="A721" s="1" t="s">
        <v>1928</v>
      </c>
      <c r="B721" s="2" t="s">
        <v>1929</v>
      </c>
      <c r="C721" s="1" t="s">
        <v>333</v>
      </c>
      <c r="D721" s="1" t="s">
        <v>335</v>
      </c>
    </row>
    <row r="722">
      <c r="A722" s="1" t="s">
        <v>1931</v>
      </c>
      <c r="B722" s="2" t="s">
        <v>1932</v>
      </c>
      <c r="C722" s="1" t="s">
        <v>333</v>
      </c>
      <c r="D722" s="1" t="s">
        <v>335</v>
      </c>
    </row>
    <row r="723">
      <c r="A723" s="1" t="s">
        <v>1935</v>
      </c>
      <c r="B723" s="2" t="s">
        <v>1936</v>
      </c>
      <c r="C723" s="1" t="s">
        <v>333</v>
      </c>
      <c r="D723" s="1" t="s">
        <v>335</v>
      </c>
    </row>
    <row r="724">
      <c r="A724" s="1" t="s">
        <v>1937</v>
      </c>
      <c r="B724" s="2" t="s">
        <v>1938</v>
      </c>
      <c r="C724" s="1" t="s">
        <v>333</v>
      </c>
      <c r="D724" s="1" t="s">
        <v>335</v>
      </c>
    </row>
    <row r="725">
      <c r="A725" s="1" t="s">
        <v>1940</v>
      </c>
      <c r="B725" s="2" t="s">
        <v>1941</v>
      </c>
      <c r="C725" s="1" t="s">
        <v>333</v>
      </c>
      <c r="D725" s="1" t="s">
        <v>335</v>
      </c>
    </row>
    <row r="726">
      <c r="A726" s="1" t="s">
        <v>1944</v>
      </c>
      <c r="B726" s="2" t="s">
        <v>1945</v>
      </c>
      <c r="C726" s="1" t="s">
        <v>333</v>
      </c>
      <c r="D726" s="1" t="s">
        <v>335</v>
      </c>
    </row>
    <row r="727">
      <c r="A727" s="1" t="s">
        <v>1946</v>
      </c>
      <c r="B727" s="2" t="s">
        <v>1947</v>
      </c>
      <c r="C727" s="1" t="s">
        <v>333</v>
      </c>
      <c r="D727" s="1" t="s">
        <v>335</v>
      </c>
    </row>
    <row r="728">
      <c r="A728" s="1" t="s">
        <v>1949</v>
      </c>
      <c r="B728" s="2" t="s">
        <v>1950</v>
      </c>
      <c r="C728" s="1" t="s">
        <v>333</v>
      </c>
      <c r="D728" s="1" t="s">
        <v>335</v>
      </c>
    </row>
    <row r="729">
      <c r="A729" s="1" t="s">
        <v>1953</v>
      </c>
      <c r="B729" s="2" t="s">
        <v>1954</v>
      </c>
      <c r="C729" s="1" t="s">
        <v>333</v>
      </c>
      <c r="D729" s="1" t="s">
        <v>335</v>
      </c>
    </row>
    <row r="730">
      <c r="A730" s="1" t="s">
        <v>1955</v>
      </c>
      <c r="B730" s="2" t="s">
        <v>1956</v>
      </c>
      <c r="C730" s="1" t="s">
        <v>333</v>
      </c>
      <c r="D730" s="1" t="s">
        <v>335</v>
      </c>
    </row>
    <row r="731">
      <c r="A731" s="1" t="s">
        <v>1957</v>
      </c>
      <c r="B731" s="2" t="s">
        <v>1959</v>
      </c>
      <c r="C731" s="1" t="s">
        <v>333</v>
      </c>
      <c r="D731" s="1" t="s">
        <v>335</v>
      </c>
    </row>
    <row r="732">
      <c r="A732" s="1" t="s">
        <v>1961</v>
      </c>
      <c r="B732" s="2" t="s">
        <v>1963</v>
      </c>
      <c r="C732" s="1" t="s">
        <v>333</v>
      </c>
      <c r="D732" s="1" t="s">
        <v>335</v>
      </c>
    </row>
    <row r="733">
      <c r="A733" s="1" t="s">
        <v>1964</v>
      </c>
      <c r="B733" s="2" t="s">
        <v>1965</v>
      </c>
      <c r="C733" s="1" t="s">
        <v>333</v>
      </c>
      <c r="D733" s="1" t="s">
        <v>335</v>
      </c>
    </row>
    <row r="734">
      <c r="A734" s="1" t="s">
        <v>1966</v>
      </c>
      <c r="B734" s="2" t="s">
        <v>1967</v>
      </c>
      <c r="C734" s="1" t="s">
        <v>333</v>
      </c>
      <c r="D734" s="1" t="s">
        <v>335</v>
      </c>
    </row>
    <row r="735">
      <c r="A735" s="1" t="s">
        <v>1969</v>
      </c>
      <c r="B735" s="2" t="s">
        <v>1970</v>
      </c>
      <c r="C735" s="1" t="s">
        <v>333</v>
      </c>
      <c r="D735" s="1" t="s">
        <v>335</v>
      </c>
    </row>
    <row r="736">
      <c r="A736" s="1" t="s">
        <v>1973</v>
      </c>
      <c r="B736" s="2" t="s">
        <v>1974</v>
      </c>
      <c r="C736" s="1" t="s">
        <v>333</v>
      </c>
      <c r="D736" s="1" t="s">
        <v>335</v>
      </c>
    </row>
    <row r="737">
      <c r="A737" s="1" t="s">
        <v>1975</v>
      </c>
      <c r="B737" s="2" t="s">
        <v>1976</v>
      </c>
      <c r="C737" s="1" t="s">
        <v>333</v>
      </c>
      <c r="D737" s="1" t="s">
        <v>335</v>
      </c>
    </row>
    <row r="738">
      <c r="A738" s="1" t="s">
        <v>1978</v>
      </c>
      <c r="B738" s="2" t="s">
        <v>1979</v>
      </c>
      <c r="C738" s="1" t="s">
        <v>333</v>
      </c>
      <c r="D738" s="1" t="s">
        <v>335</v>
      </c>
    </row>
    <row r="739">
      <c r="A739" s="1" t="s">
        <v>1981</v>
      </c>
      <c r="B739" s="2" t="s">
        <v>1982</v>
      </c>
      <c r="C739" s="1" t="s">
        <v>333</v>
      </c>
      <c r="D739" s="1" t="s">
        <v>335</v>
      </c>
    </row>
    <row r="740">
      <c r="A740" s="1" t="s">
        <v>1983</v>
      </c>
      <c r="B740" s="2" t="s">
        <v>1984</v>
      </c>
      <c r="C740" s="1" t="s">
        <v>333</v>
      </c>
      <c r="D740" s="1" t="s">
        <v>335</v>
      </c>
    </row>
    <row r="741">
      <c r="A741" s="1" t="s">
        <v>1985</v>
      </c>
      <c r="B741" s="2" t="s">
        <v>1987</v>
      </c>
      <c r="C741" s="1" t="s">
        <v>333</v>
      </c>
      <c r="D741" s="1" t="s">
        <v>335</v>
      </c>
    </row>
    <row r="742">
      <c r="A742" s="1" t="s">
        <v>1988</v>
      </c>
      <c r="B742" s="2" t="s">
        <v>1989</v>
      </c>
      <c r="C742" s="1" t="s">
        <v>333</v>
      </c>
      <c r="D742" s="1" t="s">
        <v>335</v>
      </c>
    </row>
    <row r="743">
      <c r="A743" s="1" t="s">
        <v>339</v>
      </c>
      <c r="B743" s="2" t="s">
        <v>7</v>
      </c>
      <c r="C743" s="1" t="s">
        <v>340</v>
      </c>
      <c r="D743" s="1" t="s">
        <v>342</v>
      </c>
    </row>
    <row r="744">
      <c r="A744" s="1" t="s">
        <v>1991</v>
      </c>
      <c r="B744" s="2" t="s">
        <v>1993</v>
      </c>
      <c r="C744" s="1" t="s">
        <v>340</v>
      </c>
      <c r="D744" s="1" t="s">
        <v>342</v>
      </c>
    </row>
    <row r="745">
      <c r="A745" s="1" t="s">
        <v>1995</v>
      </c>
      <c r="B745" s="2" t="s">
        <v>1996</v>
      </c>
      <c r="C745" s="1" t="s">
        <v>340</v>
      </c>
      <c r="D745" s="1" t="s">
        <v>342</v>
      </c>
    </row>
    <row r="746">
      <c r="A746" s="1" t="s">
        <v>1997</v>
      </c>
      <c r="B746" s="2" t="s">
        <v>1998</v>
      </c>
      <c r="C746" s="1" t="s">
        <v>340</v>
      </c>
      <c r="D746" s="1" t="s">
        <v>342</v>
      </c>
    </row>
    <row r="747">
      <c r="A747" s="1" t="s">
        <v>2000</v>
      </c>
      <c r="B747" s="2" t="s">
        <v>2002</v>
      </c>
      <c r="C747" s="1" t="s">
        <v>340</v>
      </c>
      <c r="D747" s="1" t="s">
        <v>342</v>
      </c>
    </row>
    <row r="748">
      <c r="A748" s="1" t="s">
        <v>2004</v>
      </c>
      <c r="B748" s="2" t="s">
        <v>2005</v>
      </c>
      <c r="C748" s="1" t="s">
        <v>340</v>
      </c>
      <c r="D748" s="1" t="s">
        <v>342</v>
      </c>
    </row>
    <row r="749">
      <c r="A749" s="1" t="s">
        <v>2006</v>
      </c>
      <c r="B749" s="2" t="s">
        <v>2007</v>
      </c>
      <c r="C749" s="1" t="s">
        <v>340</v>
      </c>
      <c r="D749" s="1" t="s">
        <v>342</v>
      </c>
    </row>
    <row r="750">
      <c r="A750" s="1" t="s">
        <v>2008</v>
      </c>
      <c r="B750" s="2" t="s">
        <v>2010</v>
      </c>
      <c r="C750" s="1" t="s">
        <v>340</v>
      </c>
      <c r="D750" s="1" t="s">
        <v>342</v>
      </c>
    </row>
    <row r="751">
      <c r="A751" s="1" t="s">
        <v>2012</v>
      </c>
      <c r="B751" s="2" t="s">
        <v>2014</v>
      </c>
      <c r="C751" s="1" t="s">
        <v>340</v>
      </c>
      <c r="D751" s="1" t="s">
        <v>342</v>
      </c>
    </row>
    <row r="752">
      <c r="A752" s="1" t="s">
        <v>2015</v>
      </c>
      <c r="B752" s="2" t="s">
        <v>2016</v>
      </c>
      <c r="C752" s="1" t="s">
        <v>340</v>
      </c>
      <c r="D752" s="1" t="s">
        <v>342</v>
      </c>
    </row>
    <row r="753">
      <c r="A753" s="1" t="s">
        <v>2017</v>
      </c>
      <c r="B753" s="2" t="s">
        <v>2018</v>
      </c>
      <c r="C753" s="1" t="s">
        <v>340</v>
      </c>
      <c r="D753" s="1" t="s">
        <v>342</v>
      </c>
    </row>
    <row r="754">
      <c r="A754" s="1" t="s">
        <v>2019</v>
      </c>
      <c r="B754" s="2" t="s">
        <v>1908</v>
      </c>
      <c r="C754" s="1" t="s">
        <v>340</v>
      </c>
      <c r="D754" s="1" t="s">
        <v>342</v>
      </c>
    </row>
    <row r="755">
      <c r="A755" s="1" t="s">
        <v>2020</v>
      </c>
      <c r="B755" s="2" t="s">
        <v>2021</v>
      </c>
      <c r="C755" s="1" t="s">
        <v>340</v>
      </c>
      <c r="D755" s="1" t="s">
        <v>342</v>
      </c>
    </row>
    <row r="756">
      <c r="A756" s="1" t="s">
        <v>2022</v>
      </c>
      <c r="B756" s="2" t="s">
        <v>2023</v>
      </c>
      <c r="C756" s="1" t="s">
        <v>340</v>
      </c>
      <c r="D756" s="1" t="s">
        <v>342</v>
      </c>
    </row>
    <row r="757">
      <c r="A757" s="1" t="s">
        <v>2024</v>
      </c>
      <c r="B757" s="2" t="s">
        <v>2025</v>
      </c>
      <c r="C757" s="1" t="s">
        <v>340</v>
      </c>
      <c r="D757" s="1" t="s">
        <v>342</v>
      </c>
    </row>
    <row r="758">
      <c r="A758" s="1" t="s">
        <v>2026</v>
      </c>
      <c r="B758" s="2" t="s">
        <v>2027</v>
      </c>
      <c r="C758" s="1" t="s">
        <v>340</v>
      </c>
      <c r="D758" s="1" t="s">
        <v>342</v>
      </c>
    </row>
    <row r="759">
      <c r="A759" s="1" t="s">
        <v>2028</v>
      </c>
      <c r="B759" s="2" t="s">
        <v>2029</v>
      </c>
      <c r="C759" s="1" t="s">
        <v>340</v>
      </c>
      <c r="D759" s="1" t="s">
        <v>342</v>
      </c>
    </row>
    <row r="760">
      <c r="A760" s="1" t="s">
        <v>2031</v>
      </c>
      <c r="B760" s="2" t="s">
        <v>2032</v>
      </c>
      <c r="C760" s="1" t="s">
        <v>340</v>
      </c>
      <c r="D760" s="1" t="s">
        <v>342</v>
      </c>
    </row>
    <row r="761">
      <c r="A761" s="1" t="s">
        <v>2033</v>
      </c>
      <c r="B761" s="2" t="s">
        <v>2034</v>
      </c>
      <c r="C761" s="1" t="s">
        <v>340</v>
      </c>
      <c r="D761" s="1" t="s">
        <v>342</v>
      </c>
    </row>
    <row r="762">
      <c r="A762" s="1" t="s">
        <v>2035</v>
      </c>
      <c r="B762" s="2" t="s">
        <v>2037</v>
      </c>
      <c r="C762" s="1" t="s">
        <v>340</v>
      </c>
      <c r="D762" s="1" t="s">
        <v>342</v>
      </c>
    </row>
    <row r="763">
      <c r="A763" s="1" t="s">
        <v>2039</v>
      </c>
      <c r="B763" s="2" t="s">
        <v>2040</v>
      </c>
      <c r="C763" s="1" t="s">
        <v>340</v>
      </c>
      <c r="D763" s="1" t="s">
        <v>342</v>
      </c>
    </row>
    <row r="764">
      <c r="A764" s="1" t="s">
        <v>345</v>
      </c>
      <c r="B764" s="2" t="s">
        <v>7</v>
      </c>
      <c r="C764" s="1" t="s">
        <v>96</v>
      </c>
      <c r="D764" s="1" t="s">
        <v>347</v>
      </c>
    </row>
    <row r="765">
      <c r="A765" s="1" t="s">
        <v>2041</v>
      </c>
      <c r="B765" s="2" t="s">
        <v>1906</v>
      </c>
      <c r="C765" s="1" t="s">
        <v>96</v>
      </c>
      <c r="D765" s="1" t="s">
        <v>347</v>
      </c>
    </row>
    <row r="766">
      <c r="A766" s="1" t="s">
        <v>2042</v>
      </c>
      <c r="B766" s="2" t="s">
        <v>2043</v>
      </c>
      <c r="C766" s="1" t="s">
        <v>96</v>
      </c>
      <c r="D766" s="1" t="s">
        <v>347</v>
      </c>
    </row>
    <row r="767">
      <c r="A767" s="1" t="s">
        <v>349</v>
      </c>
      <c r="B767" s="2" t="s">
        <v>7</v>
      </c>
      <c r="C767" s="1" t="s">
        <v>351</v>
      </c>
      <c r="D767" s="1" t="s">
        <v>352</v>
      </c>
    </row>
    <row r="768">
      <c r="A768" s="1" t="s">
        <v>2045</v>
      </c>
      <c r="B768" s="2" t="s">
        <v>2046</v>
      </c>
      <c r="C768" s="1" t="s">
        <v>351</v>
      </c>
      <c r="D768" s="1" t="s">
        <v>352</v>
      </c>
    </row>
    <row r="769">
      <c r="A769" s="1" t="s">
        <v>2049</v>
      </c>
      <c r="B769" s="2" t="s">
        <v>2050</v>
      </c>
      <c r="C769" s="1" t="s">
        <v>351</v>
      </c>
      <c r="D769" s="1" t="s">
        <v>352</v>
      </c>
    </row>
    <row r="770">
      <c r="A770" s="1" t="s">
        <v>2052</v>
      </c>
      <c r="B770" s="2" t="s">
        <v>2053</v>
      </c>
      <c r="C770" s="1" t="s">
        <v>351</v>
      </c>
      <c r="D770" s="1" t="s">
        <v>352</v>
      </c>
    </row>
    <row r="771">
      <c r="A771" s="1" t="s">
        <v>2056</v>
      </c>
      <c r="B771" s="2" t="s">
        <v>2057</v>
      </c>
      <c r="C771" s="1" t="s">
        <v>351</v>
      </c>
      <c r="D771" s="1" t="s">
        <v>352</v>
      </c>
    </row>
    <row r="772">
      <c r="A772" s="1" t="s">
        <v>2058</v>
      </c>
      <c r="B772" s="2" t="s">
        <v>2059</v>
      </c>
      <c r="C772" s="1" t="s">
        <v>351</v>
      </c>
      <c r="D772" s="1" t="s">
        <v>352</v>
      </c>
    </row>
    <row r="773">
      <c r="A773" s="1" t="s">
        <v>2061</v>
      </c>
      <c r="B773" s="2" t="s">
        <v>2063</v>
      </c>
      <c r="C773" s="1" t="s">
        <v>351</v>
      </c>
      <c r="D773" s="1" t="s">
        <v>352</v>
      </c>
    </row>
    <row r="774">
      <c r="A774" s="1" t="s">
        <v>2064</v>
      </c>
      <c r="B774" s="2" t="s">
        <v>2065</v>
      </c>
      <c r="C774" s="1" t="s">
        <v>351</v>
      </c>
      <c r="D774" s="1" t="s">
        <v>352</v>
      </c>
    </row>
    <row r="775">
      <c r="A775" s="1" t="s">
        <v>2066</v>
      </c>
      <c r="B775" s="2" t="s">
        <v>2067</v>
      </c>
      <c r="C775" s="1" t="s">
        <v>351</v>
      </c>
      <c r="D775" s="1" t="s">
        <v>352</v>
      </c>
    </row>
    <row r="776">
      <c r="A776" s="1" t="s">
        <v>2068</v>
      </c>
      <c r="B776" s="2" t="s">
        <v>2069</v>
      </c>
      <c r="C776" s="1" t="s">
        <v>351</v>
      </c>
      <c r="D776" s="1" t="s">
        <v>352</v>
      </c>
    </row>
    <row r="777">
      <c r="A777" s="1" t="s">
        <v>2071</v>
      </c>
      <c r="B777" s="2" t="s">
        <v>2072</v>
      </c>
      <c r="C777" s="1" t="s">
        <v>351</v>
      </c>
      <c r="D777" s="1" t="s">
        <v>352</v>
      </c>
    </row>
    <row r="778">
      <c r="A778" s="1" t="s">
        <v>2073</v>
      </c>
      <c r="B778" s="2" t="s">
        <v>2074</v>
      </c>
      <c r="C778" s="1" t="s">
        <v>351</v>
      </c>
      <c r="D778" s="1" t="s">
        <v>352</v>
      </c>
    </row>
    <row r="779">
      <c r="A779" s="1" t="s">
        <v>2075</v>
      </c>
      <c r="B779" s="2" t="s">
        <v>2076</v>
      </c>
      <c r="C779" s="1" t="s">
        <v>351</v>
      </c>
      <c r="D779" s="1" t="s">
        <v>352</v>
      </c>
    </row>
    <row r="780">
      <c r="A780" s="1" t="s">
        <v>2078</v>
      </c>
      <c r="B780" s="2" t="s">
        <v>2080</v>
      </c>
      <c r="C780" s="1" t="s">
        <v>351</v>
      </c>
      <c r="D780" s="1" t="s">
        <v>352</v>
      </c>
    </row>
    <row r="781">
      <c r="A781" s="1" t="s">
        <v>2082</v>
      </c>
      <c r="B781" s="2" t="s">
        <v>2083</v>
      </c>
      <c r="C781" s="1" t="s">
        <v>351</v>
      </c>
      <c r="D781" s="1" t="s">
        <v>352</v>
      </c>
    </row>
    <row r="782">
      <c r="A782" s="1" t="s">
        <v>2084</v>
      </c>
      <c r="B782" s="2" t="s">
        <v>2085</v>
      </c>
      <c r="C782" s="1" t="s">
        <v>351</v>
      </c>
      <c r="D782" s="1" t="s">
        <v>352</v>
      </c>
    </row>
    <row r="783">
      <c r="A783" s="1" t="s">
        <v>2087</v>
      </c>
      <c r="B783" s="2" t="s">
        <v>2089</v>
      </c>
      <c r="C783" s="1" t="s">
        <v>351</v>
      </c>
      <c r="D783" s="1" t="s">
        <v>352</v>
      </c>
    </row>
    <row r="784">
      <c r="A784" s="1" t="s">
        <v>2091</v>
      </c>
      <c r="B784" s="2" t="s">
        <v>2092</v>
      </c>
      <c r="C784" s="1" t="s">
        <v>351</v>
      </c>
      <c r="D784" s="1" t="s">
        <v>352</v>
      </c>
    </row>
    <row r="785">
      <c r="A785" s="1" t="s">
        <v>2093</v>
      </c>
      <c r="B785" s="2" t="s">
        <v>2094</v>
      </c>
      <c r="C785" s="1" t="s">
        <v>351</v>
      </c>
      <c r="D785" s="1" t="s">
        <v>352</v>
      </c>
    </row>
    <row r="786">
      <c r="A786" s="1" t="s">
        <v>2097</v>
      </c>
      <c r="B786" s="2" t="s">
        <v>2099</v>
      </c>
      <c r="C786" s="1" t="s">
        <v>351</v>
      </c>
      <c r="D786" s="1" t="s">
        <v>352</v>
      </c>
    </row>
    <row r="787">
      <c r="A787" s="1" t="s">
        <v>2100</v>
      </c>
      <c r="B787" s="2" t="s">
        <v>2101</v>
      </c>
      <c r="C787" s="1" t="s">
        <v>351</v>
      </c>
      <c r="D787" s="1" t="s">
        <v>352</v>
      </c>
    </row>
    <row r="788">
      <c r="A788" s="1" t="s">
        <v>2102</v>
      </c>
      <c r="B788" s="2" t="s">
        <v>2103</v>
      </c>
      <c r="C788" s="1" t="s">
        <v>351</v>
      </c>
      <c r="D788" s="1" t="s">
        <v>352</v>
      </c>
    </row>
    <row r="789">
      <c r="A789" s="1" t="s">
        <v>2105</v>
      </c>
      <c r="B789" s="2" t="s">
        <v>2107</v>
      </c>
      <c r="C789" s="1" t="s">
        <v>351</v>
      </c>
      <c r="D789" s="1" t="s">
        <v>352</v>
      </c>
    </row>
    <row r="790">
      <c r="A790" s="1" t="s">
        <v>2109</v>
      </c>
      <c r="B790" s="2" t="s">
        <v>2110</v>
      </c>
      <c r="C790" s="1" t="s">
        <v>351</v>
      </c>
      <c r="D790" s="1" t="s">
        <v>352</v>
      </c>
    </row>
    <row r="791">
      <c r="A791" s="1" t="s">
        <v>2111</v>
      </c>
      <c r="B791" s="2" t="s">
        <v>2112</v>
      </c>
      <c r="C791" s="1" t="s">
        <v>351</v>
      </c>
      <c r="D791" s="1" t="s">
        <v>352</v>
      </c>
    </row>
    <row r="792">
      <c r="A792" s="1" t="s">
        <v>2114</v>
      </c>
      <c r="B792" s="2" t="s">
        <v>2116</v>
      </c>
      <c r="C792" s="1" t="s">
        <v>351</v>
      </c>
      <c r="D792" s="1" t="s">
        <v>352</v>
      </c>
    </row>
    <row r="793">
      <c r="A793" s="1" t="s">
        <v>2118</v>
      </c>
      <c r="B793" s="2" t="s">
        <v>2119</v>
      </c>
      <c r="C793" s="1" t="s">
        <v>351</v>
      </c>
      <c r="D793" s="1" t="s">
        <v>352</v>
      </c>
    </row>
    <row r="794">
      <c r="A794" s="1" t="s">
        <v>2120</v>
      </c>
      <c r="B794" s="2" t="s">
        <v>2121</v>
      </c>
      <c r="C794" s="1" t="s">
        <v>351</v>
      </c>
      <c r="D794" s="1" t="s">
        <v>352</v>
      </c>
    </row>
    <row r="795">
      <c r="A795" s="1" t="s">
        <v>2123</v>
      </c>
      <c r="B795" s="2" t="s">
        <v>2124</v>
      </c>
      <c r="C795" s="1" t="s">
        <v>351</v>
      </c>
      <c r="D795" s="1" t="s">
        <v>352</v>
      </c>
    </row>
    <row r="796">
      <c r="A796" s="1" t="s">
        <v>2127</v>
      </c>
      <c r="B796" s="2" t="s">
        <v>2128</v>
      </c>
      <c r="C796" s="1" t="s">
        <v>351</v>
      </c>
      <c r="D796" s="1" t="s">
        <v>352</v>
      </c>
    </row>
    <row r="797">
      <c r="A797" s="1" t="s">
        <v>2132</v>
      </c>
      <c r="B797" s="2" t="s">
        <v>2133</v>
      </c>
      <c r="C797" s="1" t="s">
        <v>351</v>
      </c>
      <c r="D797" s="1" t="s">
        <v>352</v>
      </c>
    </row>
    <row r="798">
      <c r="A798" s="1" t="s">
        <v>2134</v>
      </c>
      <c r="B798" s="2" t="s">
        <v>2135</v>
      </c>
      <c r="C798" s="1" t="s">
        <v>351</v>
      </c>
      <c r="D798" s="1" t="s">
        <v>352</v>
      </c>
    </row>
    <row r="799">
      <c r="A799" s="1" t="s">
        <v>2136</v>
      </c>
      <c r="B799" s="2" t="s">
        <v>2138</v>
      </c>
      <c r="C799" s="1" t="s">
        <v>351</v>
      </c>
      <c r="D799" s="1" t="s">
        <v>352</v>
      </c>
    </row>
    <row r="800">
      <c r="A800" s="1" t="s">
        <v>2139</v>
      </c>
      <c r="B800" s="2" t="s">
        <v>2140</v>
      </c>
      <c r="C800" s="1" t="s">
        <v>351</v>
      </c>
      <c r="D800" s="1" t="s">
        <v>352</v>
      </c>
    </row>
    <row r="801">
      <c r="A801" s="1" t="s">
        <v>2143</v>
      </c>
      <c r="B801" s="2" t="s">
        <v>2144</v>
      </c>
      <c r="C801" s="1" t="s">
        <v>351</v>
      </c>
      <c r="D801" s="1" t="s">
        <v>352</v>
      </c>
    </row>
    <row r="802">
      <c r="A802" s="1" t="s">
        <v>2145</v>
      </c>
      <c r="B802" s="2" t="s">
        <v>2146</v>
      </c>
      <c r="C802" s="1" t="s">
        <v>351</v>
      </c>
      <c r="D802" s="1" t="s">
        <v>352</v>
      </c>
    </row>
    <row r="803">
      <c r="A803" s="1" t="s">
        <v>2148</v>
      </c>
      <c r="B803" s="2" t="s">
        <v>2149</v>
      </c>
      <c r="C803" s="1" t="s">
        <v>351</v>
      </c>
      <c r="D803" s="1" t="s">
        <v>352</v>
      </c>
    </row>
    <row r="804">
      <c r="A804" s="1" t="s">
        <v>2152</v>
      </c>
      <c r="B804" s="2" t="s">
        <v>2153</v>
      </c>
      <c r="C804" s="1" t="s">
        <v>351</v>
      </c>
      <c r="D804" s="1" t="s">
        <v>352</v>
      </c>
    </row>
    <row r="805">
      <c r="A805" s="1" t="s">
        <v>2154</v>
      </c>
      <c r="B805" s="2" t="s">
        <v>2155</v>
      </c>
      <c r="C805" s="1" t="s">
        <v>351</v>
      </c>
      <c r="D805" s="1" t="s">
        <v>352</v>
      </c>
    </row>
    <row r="806">
      <c r="A806" s="1" t="s">
        <v>2156</v>
      </c>
      <c r="B806" s="2" t="s">
        <v>2158</v>
      </c>
      <c r="C806" s="1" t="s">
        <v>351</v>
      </c>
      <c r="D806" s="1" t="s">
        <v>352</v>
      </c>
    </row>
    <row r="807">
      <c r="A807" s="1" t="s">
        <v>2160</v>
      </c>
      <c r="B807" s="2" t="s">
        <v>2162</v>
      </c>
      <c r="C807" s="1" t="s">
        <v>351</v>
      </c>
      <c r="D807" s="1" t="s">
        <v>352</v>
      </c>
    </row>
    <row r="808">
      <c r="A808" s="1" t="s">
        <v>2163</v>
      </c>
      <c r="B808" s="2" t="s">
        <v>2164</v>
      </c>
      <c r="C808" s="1" t="s">
        <v>351</v>
      </c>
      <c r="D808" s="1" t="s">
        <v>352</v>
      </c>
    </row>
    <row r="809">
      <c r="A809" s="1" t="s">
        <v>2165</v>
      </c>
      <c r="B809" s="2" t="s">
        <v>2167</v>
      </c>
      <c r="C809" s="1" t="s">
        <v>351</v>
      </c>
      <c r="D809" s="1" t="s">
        <v>352</v>
      </c>
    </row>
    <row r="810">
      <c r="A810" s="1" t="s">
        <v>2169</v>
      </c>
      <c r="B810" s="2" t="s">
        <v>2171</v>
      </c>
      <c r="C810" s="1" t="s">
        <v>351</v>
      </c>
      <c r="D810" s="1" t="s">
        <v>352</v>
      </c>
    </row>
    <row r="811">
      <c r="A811" s="1" t="s">
        <v>2172</v>
      </c>
      <c r="B811" s="2" t="s">
        <v>2173</v>
      </c>
      <c r="C811" s="1" t="s">
        <v>351</v>
      </c>
      <c r="D811" s="1" t="s">
        <v>352</v>
      </c>
    </row>
    <row r="812">
      <c r="A812" s="1" t="s">
        <v>2174</v>
      </c>
      <c r="B812" s="2" t="s">
        <v>2176</v>
      </c>
      <c r="C812" s="1" t="s">
        <v>351</v>
      </c>
      <c r="D812" s="1" t="s">
        <v>352</v>
      </c>
    </row>
    <row r="813">
      <c r="A813" s="1" t="s">
        <v>2179</v>
      </c>
      <c r="B813" s="2" t="s">
        <v>2180</v>
      </c>
      <c r="C813" s="1" t="s">
        <v>351</v>
      </c>
      <c r="D813" s="1" t="s">
        <v>352</v>
      </c>
    </row>
    <row r="814">
      <c r="A814" s="1" t="s">
        <v>2181</v>
      </c>
      <c r="B814" s="2" t="s">
        <v>2182</v>
      </c>
      <c r="C814" s="1" t="s">
        <v>351</v>
      </c>
      <c r="D814" s="1" t="s">
        <v>352</v>
      </c>
    </row>
    <row r="815">
      <c r="A815" s="1" t="s">
        <v>2184</v>
      </c>
      <c r="B815" s="2" t="s">
        <v>2185</v>
      </c>
      <c r="C815" s="1" t="s">
        <v>351</v>
      </c>
      <c r="D815" s="1" t="s">
        <v>352</v>
      </c>
    </row>
    <row r="816">
      <c r="A816" s="1" t="s">
        <v>2188</v>
      </c>
      <c r="B816" s="2" t="s">
        <v>2189</v>
      </c>
      <c r="C816" s="1" t="s">
        <v>351</v>
      </c>
      <c r="D816" s="1" t="s">
        <v>352</v>
      </c>
    </row>
    <row r="817">
      <c r="A817" s="1" t="s">
        <v>2190</v>
      </c>
      <c r="B817" s="2" t="s">
        <v>2191</v>
      </c>
      <c r="C817" s="1" t="s">
        <v>351</v>
      </c>
      <c r="D817" s="1" t="s">
        <v>352</v>
      </c>
    </row>
    <row r="818">
      <c r="A818" s="1" t="s">
        <v>2193</v>
      </c>
      <c r="B818" s="2" t="s">
        <v>2194</v>
      </c>
      <c r="C818" s="1" t="s">
        <v>351</v>
      </c>
      <c r="D818" s="1" t="s">
        <v>352</v>
      </c>
    </row>
    <row r="819">
      <c r="A819" s="1" t="s">
        <v>2195</v>
      </c>
      <c r="B819" s="2" t="s">
        <v>2196</v>
      </c>
      <c r="C819" s="1" t="s">
        <v>351</v>
      </c>
      <c r="D819" s="1" t="s">
        <v>352</v>
      </c>
    </row>
    <row r="820">
      <c r="A820" s="1" t="s">
        <v>2199</v>
      </c>
      <c r="B820" s="2" t="s">
        <v>2200</v>
      </c>
      <c r="C820" s="1" t="s">
        <v>351</v>
      </c>
      <c r="D820" s="1" t="s">
        <v>352</v>
      </c>
    </row>
    <row r="821">
      <c r="A821" s="1" t="s">
        <v>2201</v>
      </c>
      <c r="B821" s="2" t="s">
        <v>2202</v>
      </c>
      <c r="C821" s="1" t="s">
        <v>351</v>
      </c>
      <c r="D821" s="1" t="s">
        <v>352</v>
      </c>
    </row>
    <row r="822">
      <c r="A822" s="1" t="s">
        <v>2203</v>
      </c>
      <c r="B822" s="2" t="s">
        <v>2204</v>
      </c>
      <c r="C822" s="1" t="s">
        <v>351</v>
      </c>
      <c r="D822" s="1" t="s">
        <v>352</v>
      </c>
    </row>
    <row r="823">
      <c r="A823" s="1" t="s">
        <v>2205</v>
      </c>
      <c r="B823" s="2" t="s">
        <v>2206</v>
      </c>
      <c r="C823" s="1" t="s">
        <v>351</v>
      </c>
      <c r="D823" s="1" t="s">
        <v>352</v>
      </c>
    </row>
    <row r="824">
      <c r="A824" s="1" t="s">
        <v>2208</v>
      </c>
      <c r="B824" s="2" t="s">
        <v>2209</v>
      </c>
      <c r="C824" s="1" t="s">
        <v>351</v>
      </c>
      <c r="D824" s="1" t="s">
        <v>352</v>
      </c>
    </row>
    <row r="825">
      <c r="A825" s="1" t="s">
        <v>2212</v>
      </c>
      <c r="B825" s="2" t="s">
        <v>2213</v>
      </c>
      <c r="C825" s="1" t="s">
        <v>351</v>
      </c>
      <c r="D825" s="1" t="s">
        <v>352</v>
      </c>
    </row>
    <row r="826">
      <c r="A826" s="1" t="s">
        <v>2214</v>
      </c>
      <c r="B826" s="2" t="s">
        <v>2215</v>
      </c>
      <c r="C826" s="1" t="s">
        <v>351</v>
      </c>
      <c r="D826" s="1" t="s">
        <v>352</v>
      </c>
    </row>
    <row r="827">
      <c r="A827" s="1" t="s">
        <v>2216</v>
      </c>
      <c r="B827" s="2" t="s">
        <v>2217</v>
      </c>
      <c r="C827" s="1" t="s">
        <v>351</v>
      </c>
      <c r="D827" s="1" t="s">
        <v>352</v>
      </c>
    </row>
    <row r="828">
      <c r="A828" s="1" t="s">
        <v>2218</v>
      </c>
      <c r="B828" s="2" t="s">
        <v>2219</v>
      </c>
      <c r="C828" s="1" t="s">
        <v>351</v>
      </c>
      <c r="D828" s="1" t="s">
        <v>352</v>
      </c>
    </row>
    <row r="829">
      <c r="A829" s="1" t="s">
        <v>2220</v>
      </c>
      <c r="B829" s="2" t="s">
        <v>2221</v>
      </c>
      <c r="C829" s="1" t="s">
        <v>351</v>
      </c>
      <c r="D829" s="1" t="s">
        <v>352</v>
      </c>
    </row>
    <row r="830">
      <c r="A830" s="1" t="s">
        <v>2222</v>
      </c>
      <c r="B830" s="2" t="s">
        <v>2223</v>
      </c>
      <c r="C830" s="1" t="s">
        <v>351</v>
      </c>
      <c r="D830" s="1" t="s">
        <v>352</v>
      </c>
    </row>
    <row r="831">
      <c r="A831" s="1" t="s">
        <v>2224</v>
      </c>
      <c r="B831" s="2" t="s">
        <v>2225</v>
      </c>
      <c r="C831" s="1" t="s">
        <v>351</v>
      </c>
      <c r="D831" s="1" t="s">
        <v>352</v>
      </c>
    </row>
    <row r="832">
      <c r="A832" s="1" t="s">
        <v>2226</v>
      </c>
      <c r="B832" s="2" t="s">
        <v>2227</v>
      </c>
      <c r="C832" s="1" t="s">
        <v>351</v>
      </c>
      <c r="D832" s="1" t="s">
        <v>352</v>
      </c>
    </row>
    <row r="833">
      <c r="A833" s="1" t="s">
        <v>2228</v>
      </c>
      <c r="B833" s="2" t="s">
        <v>2229</v>
      </c>
      <c r="C833" s="1" t="s">
        <v>351</v>
      </c>
      <c r="D833" s="1" t="s">
        <v>352</v>
      </c>
    </row>
    <row r="834">
      <c r="A834" s="1" t="s">
        <v>2230</v>
      </c>
      <c r="B834" s="2" t="s">
        <v>2231</v>
      </c>
      <c r="C834" s="1" t="s">
        <v>351</v>
      </c>
      <c r="D834" s="1" t="s">
        <v>352</v>
      </c>
    </row>
    <row r="835">
      <c r="A835" s="1" t="s">
        <v>2232</v>
      </c>
      <c r="B835" s="2" t="s">
        <v>2233</v>
      </c>
      <c r="C835" s="1" t="s">
        <v>351</v>
      </c>
      <c r="D835" s="1" t="s">
        <v>352</v>
      </c>
    </row>
    <row r="836">
      <c r="A836" s="1" t="s">
        <v>2234</v>
      </c>
      <c r="B836" s="2" t="s">
        <v>2235</v>
      </c>
      <c r="C836" s="1" t="s">
        <v>351</v>
      </c>
      <c r="D836" s="1" t="s">
        <v>352</v>
      </c>
    </row>
    <row r="837">
      <c r="A837" s="1" t="s">
        <v>2236</v>
      </c>
      <c r="B837" s="2" t="s">
        <v>2237</v>
      </c>
      <c r="C837" s="1" t="s">
        <v>351</v>
      </c>
      <c r="D837" s="1" t="s">
        <v>352</v>
      </c>
    </row>
    <row r="838">
      <c r="A838" s="1" t="s">
        <v>2238</v>
      </c>
      <c r="B838" s="2" t="s">
        <v>2239</v>
      </c>
      <c r="C838" s="1" t="s">
        <v>351</v>
      </c>
      <c r="D838" s="1" t="s">
        <v>352</v>
      </c>
    </row>
    <row r="839">
      <c r="A839" s="1" t="s">
        <v>2240</v>
      </c>
      <c r="B839" s="2" t="s">
        <v>2241</v>
      </c>
      <c r="C839" s="1" t="s">
        <v>351</v>
      </c>
      <c r="D839" s="1" t="s">
        <v>352</v>
      </c>
    </row>
    <row r="840">
      <c r="A840" s="1" t="s">
        <v>2242</v>
      </c>
      <c r="B840" s="2" t="s">
        <v>2243</v>
      </c>
      <c r="C840" s="1" t="s">
        <v>351</v>
      </c>
      <c r="D840" s="1" t="s">
        <v>352</v>
      </c>
    </row>
    <row r="841">
      <c r="A841" s="1" t="s">
        <v>2244</v>
      </c>
      <c r="B841" s="2" t="s">
        <v>2245</v>
      </c>
      <c r="C841" s="1" t="s">
        <v>351</v>
      </c>
      <c r="D841" s="1" t="s">
        <v>352</v>
      </c>
    </row>
    <row r="842">
      <c r="A842" s="1" t="s">
        <v>2246</v>
      </c>
      <c r="B842" s="2" t="s">
        <v>2247</v>
      </c>
      <c r="C842" s="1" t="s">
        <v>351</v>
      </c>
      <c r="D842" s="1" t="s">
        <v>352</v>
      </c>
    </row>
    <row r="843">
      <c r="A843" s="1" t="s">
        <v>2248</v>
      </c>
      <c r="B843" s="2" t="s">
        <v>2249</v>
      </c>
      <c r="C843" s="1" t="s">
        <v>351</v>
      </c>
      <c r="D843" s="1" t="s">
        <v>352</v>
      </c>
    </row>
    <row r="844">
      <c r="A844" s="1" t="s">
        <v>2250</v>
      </c>
      <c r="B844" s="2" t="s">
        <v>2251</v>
      </c>
      <c r="C844" s="1" t="s">
        <v>351</v>
      </c>
      <c r="D844" s="1" t="s">
        <v>352</v>
      </c>
    </row>
    <row r="845">
      <c r="A845" s="1" t="s">
        <v>2252</v>
      </c>
      <c r="B845" s="2" t="s">
        <v>2253</v>
      </c>
      <c r="C845" s="1" t="s">
        <v>351</v>
      </c>
      <c r="D845" s="1" t="s">
        <v>352</v>
      </c>
    </row>
    <row r="846">
      <c r="A846" s="1" t="s">
        <v>2254</v>
      </c>
      <c r="B846" s="2" t="s">
        <v>2255</v>
      </c>
      <c r="C846" s="1" t="s">
        <v>351</v>
      </c>
      <c r="D846" s="1" t="s">
        <v>352</v>
      </c>
    </row>
    <row r="847">
      <c r="A847" s="1" t="s">
        <v>2256</v>
      </c>
      <c r="B847" s="2" t="s">
        <v>2257</v>
      </c>
      <c r="C847" s="1" t="s">
        <v>351</v>
      </c>
      <c r="D847" s="1" t="s">
        <v>352</v>
      </c>
    </row>
    <row r="848">
      <c r="A848" s="1" t="s">
        <v>2258</v>
      </c>
      <c r="B848" s="2" t="s">
        <v>2259</v>
      </c>
      <c r="C848" s="1" t="s">
        <v>351</v>
      </c>
      <c r="D848" s="1" t="s">
        <v>352</v>
      </c>
    </row>
    <row r="849">
      <c r="A849" s="1" t="s">
        <v>2260</v>
      </c>
      <c r="B849" s="2" t="s">
        <v>2261</v>
      </c>
      <c r="C849" s="1" t="s">
        <v>351</v>
      </c>
      <c r="D849" s="1" t="s">
        <v>352</v>
      </c>
    </row>
    <row r="850">
      <c r="A850" s="1" t="s">
        <v>2262</v>
      </c>
      <c r="B850" s="2" t="s">
        <v>2263</v>
      </c>
      <c r="C850" s="1" t="s">
        <v>351</v>
      </c>
      <c r="D850" s="1" t="s">
        <v>352</v>
      </c>
    </row>
    <row r="851">
      <c r="A851" s="1" t="s">
        <v>2264</v>
      </c>
      <c r="B851" s="2" t="s">
        <v>2265</v>
      </c>
      <c r="C851" s="1" t="s">
        <v>351</v>
      </c>
      <c r="D851" s="1" t="s">
        <v>352</v>
      </c>
    </row>
    <row r="852">
      <c r="A852" s="1" t="s">
        <v>2266</v>
      </c>
      <c r="B852" s="2" t="s">
        <v>2267</v>
      </c>
      <c r="C852" s="1" t="s">
        <v>351</v>
      </c>
      <c r="D852" s="1" t="s">
        <v>352</v>
      </c>
    </row>
    <row r="853">
      <c r="A853" s="1" t="s">
        <v>2268</v>
      </c>
      <c r="B853" s="2" t="s">
        <v>2269</v>
      </c>
      <c r="C853" s="1" t="s">
        <v>351</v>
      </c>
      <c r="D853" s="1" t="s">
        <v>352</v>
      </c>
    </row>
    <row r="854">
      <c r="A854" s="1" t="s">
        <v>2270</v>
      </c>
      <c r="B854" s="2" t="s">
        <v>2271</v>
      </c>
      <c r="C854" s="1" t="s">
        <v>351</v>
      </c>
      <c r="D854" s="1" t="s">
        <v>352</v>
      </c>
    </row>
    <row r="855">
      <c r="A855" s="1" t="s">
        <v>2272</v>
      </c>
      <c r="B855" s="2" t="s">
        <v>2273</v>
      </c>
      <c r="C855" s="1" t="s">
        <v>351</v>
      </c>
      <c r="D855" s="1" t="s">
        <v>352</v>
      </c>
    </row>
    <row r="856">
      <c r="A856" s="1" t="s">
        <v>2274</v>
      </c>
      <c r="B856" s="2" t="s">
        <v>2275</v>
      </c>
      <c r="C856" s="1" t="s">
        <v>351</v>
      </c>
      <c r="D856" s="1" t="s">
        <v>352</v>
      </c>
    </row>
    <row r="857">
      <c r="A857" s="1" t="s">
        <v>2276</v>
      </c>
      <c r="B857" s="2" t="s">
        <v>2277</v>
      </c>
      <c r="C857" s="1" t="s">
        <v>351</v>
      </c>
      <c r="D857" s="1" t="s">
        <v>352</v>
      </c>
    </row>
    <row r="858">
      <c r="A858" s="1" t="s">
        <v>2279</v>
      </c>
      <c r="B858" s="2" t="s">
        <v>2280</v>
      </c>
      <c r="C858" s="1" t="s">
        <v>351</v>
      </c>
      <c r="D858" s="1" t="s">
        <v>352</v>
      </c>
    </row>
    <row r="859">
      <c r="A859" s="1" t="s">
        <v>2281</v>
      </c>
      <c r="B859" s="2" t="s">
        <v>2282</v>
      </c>
      <c r="C859" s="1" t="s">
        <v>351</v>
      </c>
      <c r="D859" s="1" t="s">
        <v>352</v>
      </c>
    </row>
    <row r="860">
      <c r="A860" s="1" t="s">
        <v>2283</v>
      </c>
      <c r="B860" s="2" t="s">
        <v>2284</v>
      </c>
      <c r="C860" s="1" t="s">
        <v>351</v>
      </c>
      <c r="D860" s="1" t="s">
        <v>352</v>
      </c>
    </row>
    <row r="861">
      <c r="A861" s="1" t="s">
        <v>2285</v>
      </c>
      <c r="B861" s="2" t="s">
        <v>2286</v>
      </c>
      <c r="C861" s="1" t="s">
        <v>351</v>
      </c>
      <c r="D861" s="1" t="s">
        <v>352</v>
      </c>
    </row>
    <row r="862">
      <c r="A862" s="1" t="s">
        <v>2287</v>
      </c>
      <c r="B862" s="2" t="s">
        <v>2288</v>
      </c>
      <c r="C862" s="1" t="s">
        <v>351</v>
      </c>
      <c r="D862" s="1" t="s">
        <v>352</v>
      </c>
    </row>
    <row r="863">
      <c r="A863" s="1" t="s">
        <v>2289</v>
      </c>
      <c r="B863" s="2" t="s">
        <v>2290</v>
      </c>
      <c r="C863" s="1" t="s">
        <v>351</v>
      </c>
      <c r="D863" s="1" t="s">
        <v>352</v>
      </c>
    </row>
    <row r="864">
      <c r="A864" s="1" t="s">
        <v>2291</v>
      </c>
      <c r="B864" s="2" t="s">
        <v>2292</v>
      </c>
      <c r="C864" s="1" t="s">
        <v>351</v>
      </c>
      <c r="D864" s="1" t="s">
        <v>352</v>
      </c>
    </row>
    <row r="865">
      <c r="A865" s="1" t="s">
        <v>2293</v>
      </c>
      <c r="B865" s="2" t="s">
        <v>2294</v>
      </c>
      <c r="C865" s="1" t="s">
        <v>351</v>
      </c>
      <c r="D865" s="1" t="s">
        <v>352</v>
      </c>
    </row>
    <row r="866">
      <c r="A866" s="1" t="s">
        <v>2295</v>
      </c>
      <c r="B866" s="2" t="s">
        <v>2296</v>
      </c>
      <c r="C866" s="1" t="s">
        <v>351</v>
      </c>
      <c r="D866" s="1" t="s">
        <v>352</v>
      </c>
    </row>
    <row r="867">
      <c r="A867" s="1" t="s">
        <v>2297</v>
      </c>
      <c r="B867" s="2" t="s">
        <v>2298</v>
      </c>
      <c r="C867" s="1" t="s">
        <v>351</v>
      </c>
      <c r="D867" s="1" t="s">
        <v>352</v>
      </c>
    </row>
    <row r="868">
      <c r="A868" s="1" t="s">
        <v>2299</v>
      </c>
      <c r="B868" s="2" t="s">
        <v>2300</v>
      </c>
      <c r="C868" s="1" t="s">
        <v>351</v>
      </c>
      <c r="D868" s="1" t="s">
        <v>352</v>
      </c>
    </row>
    <row r="869">
      <c r="A869" s="1" t="s">
        <v>2301</v>
      </c>
      <c r="B869" s="2" t="s">
        <v>2302</v>
      </c>
      <c r="C869" s="1" t="s">
        <v>351</v>
      </c>
      <c r="D869" s="1" t="s">
        <v>352</v>
      </c>
    </row>
    <row r="870">
      <c r="A870" s="1" t="s">
        <v>2303</v>
      </c>
      <c r="B870" s="2" t="s">
        <v>2304</v>
      </c>
      <c r="C870" s="1" t="s">
        <v>351</v>
      </c>
      <c r="D870" s="1" t="s">
        <v>352</v>
      </c>
    </row>
    <row r="871">
      <c r="A871" s="1" t="s">
        <v>2306</v>
      </c>
      <c r="B871" s="2" t="s">
        <v>2307</v>
      </c>
      <c r="C871" s="1" t="s">
        <v>351</v>
      </c>
      <c r="D871" s="1" t="s">
        <v>352</v>
      </c>
    </row>
    <row r="872">
      <c r="A872" s="1" t="s">
        <v>2308</v>
      </c>
      <c r="B872" s="2" t="s">
        <v>2309</v>
      </c>
      <c r="C872" s="1" t="s">
        <v>351</v>
      </c>
      <c r="D872" s="1" t="s">
        <v>352</v>
      </c>
    </row>
    <row r="873">
      <c r="A873" s="1" t="s">
        <v>2311</v>
      </c>
      <c r="B873" s="2" t="s">
        <v>2312</v>
      </c>
      <c r="C873" s="1" t="s">
        <v>351</v>
      </c>
      <c r="D873" s="1" t="s">
        <v>352</v>
      </c>
    </row>
    <row r="874">
      <c r="A874" s="1" t="s">
        <v>2313</v>
      </c>
      <c r="B874" s="2" t="s">
        <v>2314</v>
      </c>
      <c r="C874" s="1" t="s">
        <v>351</v>
      </c>
      <c r="D874" s="1" t="s">
        <v>352</v>
      </c>
    </row>
    <row r="875">
      <c r="A875" s="1" t="s">
        <v>355</v>
      </c>
      <c r="B875" s="2" t="s">
        <v>7</v>
      </c>
      <c r="C875" s="1" t="s">
        <v>356</v>
      </c>
      <c r="D875" s="1" t="s">
        <v>358</v>
      </c>
    </row>
    <row r="876">
      <c r="A876" s="1" t="s">
        <v>2316</v>
      </c>
      <c r="B876" s="2" t="s">
        <v>2046</v>
      </c>
      <c r="C876" s="1" t="s">
        <v>356</v>
      </c>
      <c r="D876" s="1" t="s">
        <v>358</v>
      </c>
    </row>
    <row r="877">
      <c r="A877" s="1" t="s">
        <v>2319</v>
      </c>
      <c r="B877" s="2" t="s">
        <v>2050</v>
      </c>
      <c r="C877" s="1" t="s">
        <v>356</v>
      </c>
      <c r="D877" s="1" t="s">
        <v>358</v>
      </c>
    </row>
    <row r="878">
      <c r="A878" s="1" t="s">
        <v>2321</v>
      </c>
      <c r="B878" s="2" t="s">
        <v>2053</v>
      </c>
      <c r="C878" s="1" t="s">
        <v>356</v>
      </c>
      <c r="D878" s="1" t="s">
        <v>358</v>
      </c>
    </row>
    <row r="879">
      <c r="A879" s="1" t="s">
        <v>2322</v>
      </c>
      <c r="B879" s="2" t="s">
        <v>2057</v>
      </c>
      <c r="C879" s="1" t="s">
        <v>356</v>
      </c>
      <c r="D879" s="1" t="s">
        <v>358</v>
      </c>
    </row>
    <row r="880">
      <c r="A880" s="1" t="s">
        <v>2323</v>
      </c>
      <c r="B880" s="2" t="s">
        <v>2059</v>
      </c>
      <c r="C880" s="1" t="s">
        <v>356</v>
      </c>
      <c r="D880" s="1" t="s">
        <v>358</v>
      </c>
    </row>
    <row r="881">
      <c r="A881" s="1" t="s">
        <v>2325</v>
      </c>
      <c r="B881" s="2" t="s">
        <v>2063</v>
      </c>
      <c r="C881" s="1" t="s">
        <v>356</v>
      </c>
      <c r="D881" s="1" t="s">
        <v>358</v>
      </c>
    </row>
    <row r="882">
      <c r="A882" s="1" t="s">
        <v>2328</v>
      </c>
      <c r="B882" s="2" t="s">
        <v>2065</v>
      </c>
      <c r="C882" s="1" t="s">
        <v>356</v>
      </c>
      <c r="D882" s="1" t="s">
        <v>358</v>
      </c>
    </row>
    <row r="883">
      <c r="A883" s="1" t="s">
        <v>2329</v>
      </c>
      <c r="B883" s="2" t="s">
        <v>2067</v>
      </c>
      <c r="C883" s="1" t="s">
        <v>356</v>
      </c>
      <c r="D883" s="1" t="s">
        <v>358</v>
      </c>
    </row>
    <row r="884">
      <c r="A884" s="1" t="s">
        <v>2330</v>
      </c>
      <c r="B884" s="2" t="s">
        <v>2069</v>
      </c>
      <c r="C884" s="1" t="s">
        <v>356</v>
      </c>
      <c r="D884" s="1" t="s">
        <v>358</v>
      </c>
    </row>
    <row r="885">
      <c r="A885" s="1" t="s">
        <v>2333</v>
      </c>
      <c r="B885" s="2" t="s">
        <v>2072</v>
      </c>
      <c r="C885" s="1" t="s">
        <v>356</v>
      </c>
      <c r="D885" s="1" t="s">
        <v>358</v>
      </c>
    </row>
    <row r="886">
      <c r="A886" s="1" t="s">
        <v>2335</v>
      </c>
      <c r="B886" s="2" t="s">
        <v>2074</v>
      </c>
      <c r="C886" s="1" t="s">
        <v>356</v>
      </c>
      <c r="D886" s="1" t="s">
        <v>358</v>
      </c>
    </row>
    <row r="887">
      <c r="A887" s="1" t="s">
        <v>2336</v>
      </c>
      <c r="B887" s="2" t="s">
        <v>2076</v>
      </c>
      <c r="C887" s="1" t="s">
        <v>356</v>
      </c>
      <c r="D887" s="1" t="s">
        <v>358</v>
      </c>
    </row>
    <row r="888">
      <c r="A888" s="1" t="s">
        <v>2337</v>
      </c>
      <c r="B888" s="2" t="s">
        <v>2080</v>
      </c>
      <c r="C888" s="1" t="s">
        <v>356</v>
      </c>
      <c r="D888" s="1" t="s">
        <v>358</v>
      </c>
    </row>
    <row r="889">
      <c r="A889" s="1" t="s">
        <v>2339</v>
      </c>
      <c r="B889" s="2" t="s">
        <v>2083</v>
      </c>
      <c r="C889" s="1" t="s">
        <v>356</v>
      </c>
      <c r="D889" s="1" t="s">
        <v>358</v>
      </c>
    </row>
    <row r="890">
      <c r="A890" s="1" t="s">
        <v>2342</v>
      </c>
      <c r="B890" s="2" t="s">
        <v>2085</v>
      </c>
      <c r="C890" s="1" t="s">
        <v>356</v>
      </c>
      <c r="D890" s="1" t="s">
        <v>358</v>
      </c>
    </row>
    <row r="891">
      <c r="A891" s="1" t="s">
        <v>2343</v>
      </c>
      <c r="B891" s="2" t="s">
        <v>2089</v>
      </c>
      <c r="C891" s="1" t="s">
        <v>356</v>
      </c>
      <c r="D891" s="1" t="s">
        <v>358</v>
      </c>
    </row>
    <row r="892">
      <c r="A892" s="1" t="s">
        <v>2344</v>
      </c>
      <c r="B892" s="2" t="s">
        <v>2092</v>
      </c>
      <c r="C892" s="1" t="s">
        <v>356</v>
      </c>
      <c r="D892" s="1" t="s">
        <v>358</v>
      </c>
    </row>
    <row r="893">
      <c r="A893" s="1" t="s">
        <v>2346</v>
      </c>
      <c r="B893" s="2" t="s">
        <v>2094</v>
      </c>
      <c r="C893" s="1" t="s">
        <v>356</v>
      </c>
      <c r="D893" s="1" t="s">
        <v>358</v>
      </c>
    </row>
    <row r="894">
      <c r="A894" s="1" t="s">
        <v>2349</v>
      </c>
      <c r="B894" s="2" t="s">
        <v>2099</v>
      </c>
      <c r="C894" s="1" t="s">
        <v>356</v>
      </c>
      <c r="D894" s="1" t="s">
        <v>358</v>
      </c>
    </row>
    <row r="895">
      <c r="A895" s="1" t="s">
        <v>2351</v>
      </c>
      <c r="B895" s="2" t="s">
        <v>2101</v>
      </c>
      <c r="C895" s="1" t="s">
        <v>356</v>
      </c>
      <c r="D895" s="1" t="s">
        <v>358</v>
      </c>
    </row>
    <row r="896">
      <c r="A896" s="1" t="s">
        <v>2352</v>
      </c>
      <c r="B896" s="2" t="s">
        <v>2103</v>
      </c>
      <c r="C896" s="1" t="s">
        <v>356</v>
      </c>
      <c r="D896" s="1" t="s">
        <v>358</v>
      </c>
    </row>
    <row r="897">
      <c r="A897" s="1" t="s">
        <v>2354</v>
      </c>
      <c r="B897" s="2" t="s">
        <v>2107</v>
      </c>
      <c r="C897" s="1" t="s">
        <v>356</v>
      </c>
      <c r="D897" s="1" t="s">
        <v>358</v>
      </c>
    </row>
    <row r="898">
      <c r="A898" s="1" t="s">
        <v>2357</v>
      </c>
      <c r="B898" s="2" t="s">
        <v>2110</v>
      </c>
      <c r="C898" s="1" t="s">
        <v>356</v>
      </c>
      <c r="D898" s="1" t="s">
        <v>358</v>
      </c>
    </row>
    <row r="899">
      <c r="A899" s="1" t="s">
        <v>2358</v>
      </c>
      <c r="B899" s="2" t="s">
        <v>2112</v>
      </c>
      <c r="C899" s="1" t="s">
        <v>356</v>
      </c>
      <c r="D899" s="1" t="s">
        <v>358</v>
      </c>
    </row>
    <row r="900">
      <c r="A900" s="1" t="s">
        <v>2360</v>
      </c>
      <c r="B900" s="2" t="s">
        <v>2116</v>
      </c>
      <c r="C900" s="1" t="s">
        <v>356</v>
      </c>
      <c r="D900" s="1" t="s">
        <v>358</v>
      </c>
    </row>
    <row r="901">
      <c r="A901" s="1" t="s">
        <v>2362</v>
      </c>
      <c r="B901" s="2" t="s">
        <v>2119</v>
      </c>
      <c r="C901" s="1" t="s">
        <v>356</v>
      </c>
      <c r="D901" s="1" t="s">
        <v>358</v>
      </c>
    </row>
    <row r="902">
      <c r="A902" s="1" t="s">
        <v>2365</v>
      </c>
      <c r="B902" s="2" t="s">
        <v>2121</v>
      </c>
      <c r="C902" s="1" t="s">
        <v>356</v>
      </c>
      <c r="D902" s="1" t="s">
        <v>358</v>
      </c>
    </row>
    <row r="903">
      <c r="A903" s="1" t="s">
        <v>2367</v>
      </c>
      <c r="B903" s="2" t="s">
        <v>2124</v>
      </c>
      <c r="C903" s="1" t="s">
        <v>356</v>
      </c>
      <c r="D903" s="1" t="s">
        <v>358</v>
      </c>
    </row>
    <row r="904">
      <c r="A904" s="1" t="s">
        <v>2369</v>
      </c>
      <c r="B904" s="2" t="s">
        <v>2128</v>
      </c>
      <c r="C904" s="1" t="s">
        <v>356</v>
      </c>
      <c r="D904" s="1" t="s">
        <v>358</v>
      </c>
    </row>
    <row r="905">
      <c r="A905" s="1" t="s">
        <v>2372</v>
      </c>
      <c r="B905" s="2" t="s">
        <v>2133</v>
      </c>
      <c r="C905" s="1" t="s">
        <v>356</v>
      </c>
      <c r="D905" s="1" t="s">
        <v>358</v>
      </c>
    </row>
    <row r="906">
      <c r="A906" s="1" t="s">
        <v>2373</v>
      </c>
      <c r="B906" s="2" t="s">
        <v>2135</v>
      </c>
      <c r="C906" s="1" t="s">
        <v>356</v>
      </c>
      <c r="D906" s="1" t="s">
        <v>358</v>
      </c>
    </row>
    <row r="907">
      <c r="A907" s="1" t="s">
        <v>2375</v>
      </c>
      <c r="B907" s="2" t="s">
        <v>2138</v>
      </c>
      <c r="C907" s="1" t="s">
        <v>356</v>
      </c>
      <c r="D907" s="1" t="s">
        <v>358</v>
      </c>
    </row>
    <row r="908">
      <c r="A908" s="1" t="s">
        <v>2378</v>
      </c>
      <c r="B908" s="2" t="s">
        <v>2140</v>
      </c>
      <c r="C908" s="1" t="s">
        <v>356</v>
      </c>
      <c r="D908" s="1" t="s">
        <v>358</v>
      </c>
    </row>
    <row r="909">
      <c r="A909" s="1" t="s">
        <v>2379</v>
      </c>
      <c r="B909" s="2" t="s">
        <v>2144</v>
      </c>
      <c r="C909" s="1" t="s">
        <v>356</v>
      </c>
      <c r="D909" s="1" t="s">
        <v>358</v>
      </c>
    </row>
    <row r="910">
      <c r="A910" s="1" t="s">
        <v>2381</v>
      </c>
      <c r="B910" s="2" t="s">
        <v>2146</v>
      </c>
      <c r="C910" s="1" t="s">
        <v>356</v>
      </c>
      <c r="D910" s="1" t="s">
        <v>358</v>
      </c>
    </row>
    <row r="911">
      <c r="A911" s="1" t="s">
        <v>2384</v>
      </c>
      <c r="B911" s="2" t="s">
        <v>2149</v>
      </c>
      <c r="C911" s="1" t="s">
        <v>356</v>
      </c>
      <c r="D911" s="1" t="s">
        <v>358</v>
      </c>
    </row>
    <row r="912">
      <c r="A912" s="1" t="s">
        <v>2385</v>
      </c>
      <c r="B912" s="2" t="s">
        <v>2153</v>
      </c>
      <c r="C912" s="1" t="s">
        <v>356</v>
      </c>
      <c r="D912" s="1" t="s">
        <v>358</v>
      </c>
    </row>
    <row r="913">
      <c r="A913" s="1" t="s">
        <v>2387</v>
      </c>
      <c r="B913" s="2" t="s">
        <v>2155</v>
      </c>
      <c r="C913" s="1" t="s">
        <v>356</v>
      </c>
      <c r="D913" s="1" t="s">
        <v>358</v>
      </c>
    </row>
    <row r="914">
      <c r="A914" s="1" t="s">
        <v>2389</v>
      </c>
      <c r="B914" s="2" t="s">
        <v>2158</v>
      </c>
      <c r="C914" s="1" t="s">
        <v>356</v>
      </c>
      <c r="D914" s="1" t="s">
        <v>358</v>
      </c>
    </row>
    <row r="915">
      <c r="A915" s="1" t="s">
        <v>2391</v>
      </c>
      <c r="B915" s="2" t="s">
        <v>2162</v>
      </c>
      <c r="C915" s="1" t="s">
        <v>356</v>
      </c>
      <c r="D915" s="1" t="s">
        <v>358</v>
      </c>
    </row>
    <row r="916">
      <c r="A916" s="1" t="s">
        <v>2393</v>
      </c>
      <c r="B916" s="2" t="s">
        <v>2164</v>
      </c>
      <c r="C916" s="1" t="s">
        <v>356</v>
      </c>
      <c r="D916" s="1" t="s">
        <v>358</v>
      </c>
    </row>
    <row r="917">
      <c r="A917" s="1" t="s">
        <v>2395</v>
      </c>
      <c r="B917" s="2" t="s">
        <v>2167</v>
      </c>
      <c r="C917" s="1" t="s">
        <v>356</v>
      </c>
      <c r="D917" s="1" t="s">
        <v>358</v>
      </c>
    </row>
    <row r="918">
      <c r="A918" s="1" t="s">
        <v>2398</v>
      </c>
      <c r="B918" s="2" t="s">
        <v>2171</v>
      </c>
      <c r="C918" s="1" t="s">
        <v>356</v>
      </c>
      <c r="D918" s="1" t="s">
        <v>358</v>
      </c>
    </row>
    <row r="919">
      <c r="A919" s="1" t="s">
        <v>2399</v>
      </c>
      <c r="B919" s="2" t="s">
        <v>2173</v>
      </c>
      <c r="C919" s="1" t="s">
        <v>356</v>
      </c>
      <c r="D919" s="1" t="s">
        <v>358</v>
      </c>
    </row>
    <row r="920">
      <c r="A920" s="1" t="s">
        <v>2400</v>
      </c>
      <c r="B920" s="2" t="s">
        <v>2176</v>
      </c>
      <c r="C920" s="1" t="s">
        <v>356</v>
      </c>
      <c r="D920" s="1" t="s">
        <v>358</v>
      </c>
    </row>
    <row r="921">
      <c r="A921" s="1" t="s">
        <v>2402</v>
      </c>
      <c r="B921" s="2" t="s">
        <v>2180</v>
      </c>
      <c r="C921" s="1" t="s">
        <v>356</v>
      </c>
      <c r="D921" s="1" t="s">
        <v>358</v>
      </c>
    </row>
    <row r="922">
      <c r="A922" s="1" t="s">
        <v>2404</v>
      </c>
      <c r="B922" s="2" t="s">
        <v>2182</v>
      </c>
      <c r="C922" s="1" t="s">
        <v>356</v>
      </c>
      <c r="D922" s="1" t="s">
        <v>358</v>
      </c>
    </row>
    <row r="923">
      <c r="A923" s="1" t="s">
        <v>2406</v>
      </c>
      <c r="B923" s="2" t="s">
        <v>2185</v>
      </c>
      <c r="C923" s="1" t="s">
        <v>356</v>
      </c>
      <c r="D923" s="1" t="s">
        <v>358</v>
      </c>
    </row>
    <row r="924">
      <c r="A924" s="1" t="s">
        <v>2407</v>
      </c>
      <c r="B924" s="2" t="s">
        <v>2189</v>
      </c>
      <c r="C924" s="1" t="s">
        <v>356</v>
      </c>
      <c r="D924" s="1" t="s">
        <v>358</v>
      </c>
    </row>
    <row r="925">
      <c r="A925" s="1" t="s">
        <v>2409</v>
      </c>
      <c r="B925" s="2" t="s">
        <v>2191</v>
      </c>
      <c r="C925" s="1" t="s">
        <v>356</v>
      </c>
      <c r="D925" s="1" t="s">
        <v>358</v>
      </c>
    </row>
    <row r="926">
      <c r="A926" s="1" t="s">
        <v>2412</v>
      </c>
      <c r="B926" s="2" t="s">
        <v>2194</v>
      </c>
      <c r="C926" s="1" t="s">
        <v>356</v>
      </c>
      <c r="D926" s="1" t="s">
        <v>358</v>
      </c>
    </row>
    <row r="927">
      <c r="A927" s="1" t="s">
        <v>2413</v>
      </c>
      <c r="B927" s="2" t="s">
        <v>2196</v>
      </c>
      <c r="C927" s="1" t="s">
        <v>356</v>
      </c>
      <c r="D927" s="1" t="s">
        <v>358</v>
      </c>
    </row>
    <row r="928">
      <c r="A928" s="1" t="s">
        <v>2414</v>
      </c>
      <c r="B928" s="2" t="s">
        <v>2200</v>
      </c>
      <c r="C928" s="1" t="s">
        <v>356</v>
      </c>
      <c r="D928" s="1" t="s">
        <v>358</v>
      </c>
    </row>
    <row r="929">
      <c r="A929" s="1" t="s">
        <v>2415</v>
      </c>
      <c r="B929" s="2" t="s">
        <v>2202</v>
      </c>
      <c r="C929" s="1" t="s">
        <v>356</v>
      </c>
      <c r="D929" s="1" t="s">
        <v>358</v>
      </c>
    </row>
    <row r="930">
      <c r="A930" s="1" t="s">
        <v>2416</v>
      </c>
      <c r="B930" s="2" t="s">
        <v>2204</v>
      </c>
      <c r="C930" s="1" t="s">
        <v>356</v>
      </c>
      <c r="D930" s="1" t="s">
        <v>358</v>
      </c>
    </row>
    <row r="931">
      <c r="A931" s="1" t="s">
        <v>2417</v>
      </c>
      <c r="B931" s="2" t="s">
        <v>2206</v>
      </c>
      <c r="C931" s="1" t="s">
        <v>356</v>
      </c>
      <c r="D931" s="1" t="s">
        <v>358</v>
      </c>
    </row>
    <row r="932">
      <c r="A932" s="1" t="s">
        <v>2420</v>
      </c>
      <c r="B932" s="2" t="s">
        <v>2209</v>
      </c>
      <c r="C932" s="1" t="s">
        <v>356</v>
      </c>
      <c r="D932" s="1" t="s">
        <v>358</v>
      </c>
    </row>
    <row r="933">
      <c r="A933" s="1" t="s">
        <v>2422</v>
      </c>
      <c r="B933" s="2" t="s">
        <v>2213</v>
      </c>
      <c r="C933" s="1" t="s">
        <v>356</v>
      </c>
      <c r="D933" s="1" t="s">
        <v>358</v>
      </c>
    </row>
    <row r="934">
      <c r="A934" s="1" t="s">
        <v>2424</v>
      </c>
      <c r="B934" s="2" t="s">
        <v>2215</v>
      </c>
      <c r="C934" s="1" t="s">
        <v>356</v>
      </c>
      <c r="D934" s="1" t="s">
        <v>358</v>
      </c>
    </row>
    <row r="935">
      <c r="A935" s="1" t="s">
        <v>2426</v>
      </c>
      <c r="B935" s="2" t="s">
        <v>2217</v>
      </c>
      <c r="C935" s="1" t="s">
        <v>356</v>
      </c>
      <c r="D935" s="1" t="s">
        <v>358</v>
      </c>
    </row>
    <row r="936">
      <c r="A936" s="1" t="s">
        <v>2428</v>
      </c>
      <c r="B936" s="2" t="s">
        <v>2219</v>
      </c>
      <c r="C936" s="1" t="s">
        <v>356</v>
      </c>
      <c r="D936" s="1" t="s">
        <v>358</v>
      </c>
    </row>
    <row r="937">
      <c r="A937" s="1" t="s">
        <v>2429</v>
      </c>
      <c r="B937" s="2" t="s">
        <v>2221</v>
      </c>
      <c r="C937" s="1" t="s">
        <v>356</v>
      </c>
      <c r="D937" s="1" t="s">
        <v>358</v>
      </c>
    </row>
    <row r="938">
      <c r="A938" s="1" t="s">
        <v>2431</v>
      </c>
      <c r="B938" s="2" t="s">
        <v>2223</v>
      </c>
      <c r="C938" s="1" t="s">
        <v>356</v>
      </c>
      <c r="D938" s="1" t="s">
        <v>358</v>
      </c>
    </row>
    <row r="939">
      <c r="A939" s="1" t="s">
        <v>2434</v>
      </c>
      <c r="B939" s="2" t="s">
        <v>2225</v>
      </c>
      <c r="C939" s="1" t="s">
        <v>356</v>
      </c>
      <c r="D939" s="1" t="s">
        <v>358</v>
      </c>
    </row>
    <row r="940">
      <c r="A940" s="1" t="s">
        <v>2435</v>
      </c>
      <c r="B940" s="2" t="s">
        <v>2227</v>
      </c>
      <c r="C940" s="1" t="s">
        <v>356</v>
      </c>
      <c r="D940" s="1" t="s">
        <v>358</v>
      </c>
    </row>
    <row r="941">
      <c r="A941" s="1" t="s">
        <v>2437</v>
      </c>
      <c r="B941" s="2" t="s">
        <v>2229</v>
      </c>
      <c r="C941" s="1" t="s">
        <v>356</v>
      </c>
      <c r="D941" s="1" t="s">
        <v>358</v>
      </c>
    </row>
    <row r="942">
      <c r="A942" s="1" t="s">
        <v>2440</v>
      </c>
      <c r="B942" s="2" t="s">
        <v>2231</v>
      </c>
      <c r="C942" s="1" t="s">
        <v>356</v>
      </c>
      <c r="D942" s="1" t="s">
        <v>358</v>
      </c>
    </row>
    <row r="943">
      <c r="A943" s="1" t="s">
        <v>2441</v>
      </c>
      <c r="B943" s="2" t="s">
        <v>2233</v>
      </c>
      <c r="C943" s="1" t="s">
        <v>356</v>
      </c>
      <c r="D943" s="1" t="s">
        <v>358</v>
      </c>
    </row>
    <row r="944">
      <c r="A944" s="1" t="s">
        <v>2443</v>
      </c>
      <c r="B944" s="2" t="s">
        <v>2235</v>
      </c>
      <c r="C944" s="1" t="s">
        <v>356</v>
      </c>
      <c r="D944" s="1" t="s">
        <v>358</v>
      </c>
    </row>
    <row r="945">
      <c r="A945" s="1" t="s">
        <v>2446</v>
      </c>
      <c r="B945" s="2" t="s">
        <v>2237</v>
      </c>
      <c r="C945" s="1" t="s">
        <v>356</v>
      </c>
      <c r="D945" s="1" t="s">
        <v>358</v>
      </c>
    </row>
    <row r="946">
      <c r="A946" s="1" t="s">
        <v>2448</v>
      </c>
      <c r="B946" s="2" t="s">
        <v>2239</v>
      </c>
      <c r="C946" s="1" t="s">
        <v>356</v>
      </c>
      <c r="D946" s="1" t="s">
        <v>358</v>
      </c>
    </row>
    <row r="947">
      <c r="A947" s="1" t="s">
        <v>2453</v>
      </c>
      <c r="B947" s="2" t="s">
        <v>2241</v>
      </c>
      <c r="C947" s="1" t="s">
        <v>356</v>
      </c>
      <c r="D947" s="1" t="s">
        <v>358</v>
      </c>
    </row>
    <row r="948">
      <c r="A948" s="1" t="s">
        <v>2456</v>
      </c>
      <c r="B948" s="2" t="s">
        <v>2243</v>
      </c>
      <c r="C948" s="1" t="s">
        <v>356</v>
      </c>
      <c r="D948" s="1" t="s">
        <v>358</v>
      </c>
    </row>
    <row r="949">
      <c r="A949" s="1" t="s">
        <v>2458</v>
      </c>
      <c r="B949" s="2" t="s">
        <v>2245</v>
      </c>
      <c r="C949" s="1" t="s">
        <v>356</v>
      </c>
      <c r="D949" s="1" t="s">
        <v>358</v>
      </c>
    </row>
    <row r="950">
      <c r="A950" s="1" t="s">
        <v>2459</v>
      </c>
      <c r="B950" s="2" t="s">
        <v>2247</v>
      </c>
      <c r="C950" s="1" t="s">
        <v>356</v>
      </c>
      <c r="D950" s="1" t="s">
        <v>358</v>
      </c>
    </row>
    <row r="951">
      <c r="A951" s="1" t="s">
        <v>2460</v>
      </c>
      <c r="B951" s="2" t="s">
        <v>2249</v>
      </c>
      <c r="C951" s="1" t="s">
        <v>356</v>
      </c>
      <c r="D951" s="1" t="s">
        <v>358</v>
      </c>
    </row>
    <row r="952">
      <c r="A952" s="1" t="s">
        <v>2461</v>
      </c>
      <c r="B952" s="2" t="s">
        <v>2251</v>
      </c>
      <c r="C952" s="1" t="s">
        <v>356</v>
      </c>
      <c r="D952" s="1" t="s">
        <v>358</v>
      </c>
    </row>
    <row r="953">
      <c r="A953" s="1" t="s">
        <v>2462</v>
      </c>
      <c r="B953" s="2" t="s">
        <v>2253</v>
      </c>
      <c r="C953" s="1" t="s">
        <v>356</v>
      </c>
      <c r="D953" s="1" t="s">
        <v>358</v>
      </c>
    </row>
    <row r="954">
      <c r="A954" s="1" t="s">
        <v>2463</v>
      </c>
      <c r="B954" s="2" t="s">
        <v>2255</v>
      </c>
      <c r="C954" s="1" t="s">
        <v>356</v>
      </c>
      <c r="D954" s="1" t="s">
        <v>358</v>
      </c>
    </row>
    <row r="955">
      <c r="A955" s="1" t="s">
        <v>2467</v>
      </c>
      <c r="B955" s="2" t="s">
        <v>2257</v>
      </c>
      <c r="C955" s="1" t="s">
        <v>356</v>
      </c>
      <c r="D955" s="1" t="s">
        <v>358</v>
      </c>
    </row>
    <row r="956">
      <c r="A956" s="1" t="s">
        <v>2468</v>
      </c>
      <c r="B956" s="2" t="s">
        <v>2259</v>
      </c>
      <c r="C956" s="1" t="s">
        <v>356</v>
      </c>
      <c r="D956" s="1" t="s">
        <v>358</v>
      </c>
    </row>
    <row r="957">
      <c r="A957" s="1" t="s">
        <v>2469</v>
      </c>
      <c r="B957" s="2" t="s">
        <v>2261</v>
      </c>
      <c r="C957" s="1" t="s">
        <v>356</v>
      </c>
      <c r="D957" s="1" t="s">
        <v>358</v>
      </c>
    </row>
    <row r="958">
      <c r="A958" s="1" t="s">
        <v>2471</v>
      </c>
      <c r="B958" s="2" t="s">
        <v>2263</v>
      </c>
      <c r="C958" s="1" t="s">
        <v>356</v>
      </c>
      <c r="D958" s="1" t="s">
        <v>358</v>
      </c>
    </row>
    <row r="959">
      <c r="A959" s="1" t="s">
        <v>2474</v>
      </c>
      <c r="B959" s="2" t="s">
        <v>2265</v>
      </c>
      <c r="C959" s="1" t="s">
        <v>356</v>
      </c>
      <c r="D959" s="1" t="s">
        <v>358</v>
      </c>
    </row>
    <row r="960">
      <c r="A960" s="1" t="s">
        <v>2475</v>
      </c>
      <c r="B960" s="2" t="s">
        <v>2267</v>
      </c>
      <c r="C960" s="1" t="s">
        <v>356</v>
      </c>
      <c r="D960" s="1" t="s">
        <v>358</v>
      </c>
    </row>
    <row r="961">
      <c r="A961" s="1" t="s">
        <v>2478</v>
      </c>
      <c r="B961" s="2" t="s">
        <v>2269</v>
      </c>
      <c r="C961" s="1" t="s">
        <v>356</v>
      </c>
      <c r="D961" s="1" t="s">
        <v>358</v>
      </c>
    </row>
    <row r="962">
      <c r="A962" s="1" t="s">
        <v>2480</v>
      </c>
      <c r="B962" s="2" t="s">
        <v>2271</v>
      </c>
      <c r="C962" s="1" t="s">
        <v>356</v>
      </c>
      <c r="D962" s="1" t="s">
        <v>358</v>
      </c>
    </row>
    <row r="963">
      <c r="A963" s="1" t="s">
        <v>2482</v>
      </c>
      <c r="B963" s="2" t="s">
        <v>2273</v>
      </c>
      <c r="C963" s="1" t="s">
        <v>356</v>
      </c>
      <c r="D963" s="1" t="s">
        <v>358</v>
      </c>
    </row>
    <row r="964">
      <c r="A964" s="1" t="s">
        <v>2483</v>
      </c>
      <c r="B964" s="2" t="s">
        <v>2275</v>
      </c>
      <c r="C964" s="1" t="s">
        <v>356</v>
      </c>
      <c r="D964" s="1" t="s">
        <v>358</v>
      </c>
    </row>
    <row r="965">
      <c r="A965" s="1" t="s">
        <v>2486</v>
      </c>
      <c r="B965" s="2" t="s">
        <v>2277</v>
      </c>
      <c r="C965" s="1" t="s">
        <v>356</v>
      </c>
      <c r="D965" s="1" t="s">
        <v>358</v>
      </c>
    </row>
    <row r="966">
      <c r="A966" s="1" t="s">
        <v>2488</v>
      </c>
      <c r="B966" s="2" t="s">
        <v>2280</v>
      </c>
      <c r="C966" s="1" t="s">
        <v>356</v>
      </c>
      <c r="D966" s="1" t="s">
        <v>358</v>
      </c>
    </row>
    <row r="967">
      <c r="A967" s="1" t="s">
        <v>2490</v>
      </c>
      <c r="B967" s="2" t="s">
        <v>2282</v>
      </c>
      <c r="C967" s="1" t="s">
        <v>356</v>
      </c>
      <c r="D967" s="1" t="s">
        <v>358</v>
      </c>
    </row>
    <row r="968">
      <c r="A968" s="1" t="s">
        <v>2493</v>
      </c>
      <c r="B968" s="2" t="s">
        <v>2284</v>
      </c>
      <c r="C968" s="1" t="s">
        <v>356</v>
      </c>
      <c r="D968" s="1" t="s">
        <v>358</v>
      </c>
    </row>
    <row r="969">
      <c r="A969" s="1" t="s">
        <v>2495</v>
      </c>
      <c r="B969" s="2" t="s">
        <v>2286</v>
      </c>
      <c r="C969" s="1" t="s">
        <v>356</v>
      </c>
      <c r="D969" s="1" t="s">
        <v>358</v>
      </c>
    </row>
    <row r="970">
      <c r="A970" s="1" t="s">
        <v>2497</v>
      </c>
      <c r="B970" s="2" t="s">
        <v>2288</v>
      </c>
      <c r="C970" s="1" t="s">
        <v>356</v>
      </c>
      <c r="D970" s="1" t="s">
        <v>358</v>
      </c>
    </row>
    <row r="971">
      <c r="A971" s="1" t="s">
        <v>2499</v>
      </c>
      <c r="B971" s="2" t="s">
        <v>2290</v>
      </c>
      <c r="C971" s="1" t="s">
        <v>356</v>
      </c>
      <c r="D971" s="1" t="s">
        <v>358</v>
      </c>
    </row>
    <row r="972">
      <c r="A972" s="1" t="s">
        <v>2501</v>
      </c>
      <c r="B972" s="2" t="s">
        <v>2292</v>
      </c>
      <c r="C972" s="1" t="s">
        <v>356</v>
      </c>
      <c r="D972" s="1" t="s">
        <v>358</v>
      </c>
    </row>
    <row r="973">
      <c r="A973" s="1" t="s">
        <v>2503</v>
      </c>
      <c r="B973" s="2" t="s">
        <v>2294</v>
      </c>
      <c r="C973" s="1" t="s">
        <v>356</v>
      </c>
      <c r="D973" s="1" t="s">
        <v>358</v>
      </c>
    </row>
    <row r="974">
      <c r="A974" s="1" t="s">
        <v>2506</v>
      </c>
      <c r="B974" s="2" t="s">
        <v>2296</v>
      </c>
      <c r="C974" s="1" t="s">
        <v>356</v>
      </c>
      <c r="D974" s="1" t="s">
        <v>358</v>
      </c>
    </row>
    <row r="975">
      <c r="A975" s="1" t="s">
        <v>2509</v>
      </c>
      <c r="B975" s="2" t="s">
        <v>2298</v>
      </c>
      <c r="C975" s="1" t="s">
        <v>356</v>
      </c>
      <c r="D975" s="1" t="s">
        <v>358</v>
      </c>
    </row>
    <row r="976">
      <c r="A976" s="1" t="s">
        <v>2512</v>
      </c>
      <c r="B976" s="2" t="s">
        <v>2300</v>
      </c>
      <c r="C976" s="1" t="s">
        <v>356</v>
      </c>
      <c r="D976" s="1" t="s">
        <v>358</v>
      </c>
    </row>
    <row r="977">
      <c r="A977" s="1" t="s">
        <v>2513</v>
      </c>
      <c r="B977" s="2" t="s">
        <v>2302</v>
      </c>
      <c r="C977" s="1" t="s">
        <v>356</v>
      </c>
      <c r="D977" s="1" t="s">
        <v>358</v>
      </c>
    </row>
    <row r="978">
      <c r="A978" s="1" t="s">
        <v>2515</v>
      </c>
      <c r="B978" s="2" t="s">
        <v>2304</v>
      </c>
      <c r="C978" s="1" t="s">
        <v>356</v>
      </c>
      <c r="D978" s="1" t="s">
        <v>358</v>
      </c>
    </row>
    <row r="979">
      <c r="A979" s="1" t="s">
        <v>2518</v>
      </c>
      <c r="B979" s="2" t="s">
        <v>2307</v>
      </c>
      <c r="C979" s="1" t="s">
        <v>356</v>
      </c>
      <c r="D979" s="1" t="s">
        <v>358</v>
      </c>
    </row>
    <row r="980">
      <c r="A980" s="1" t="s">
        <v>2519</v>
      </c>
      <c r="B980" s="2" t="s">
        <v>2309</v>
      </c>
      <c r="C980" s="1" t="s">
        <v>356</v>
      </c>
      <c r="D980" s="1" t="s">
        <v>358</v>
      </c>
    </row>
    <row r="981">
      <c r="A981" s="1" t="s">
        <v>2521</v>
      </c>
      <c r="B981" s="2" t="s">
        <v>2312</v>
      </c>
      <c r="C981" s="1" t="s">
        <v>356</v>
      </c>
      <c r="D981" s="1" t="s">
        <v>358</v>
      </c>
    </row>
    <row r="982">
      <c r="A982" s="1" t="s">
        <v>2524</v>
      </c>
      <c r="B982" s="2" t="s">
        <v>2314</v>
      </c>
      <c r="C982" s="1" t="s">
        <v>356</v>
      </c>
      <c r="D982" s="1" t="s">
        <v>358</v>
      </c>
    </row>
    <row r="983">
      <c r="A983" s="1" t="s">
        <v>360</v>
      </c>
      <c r="B983" s="2" t="s">
        <v>7</v>
      </c>
      <c r="C983" s="1" t="s">
        <v>361</v>
      </c>
      <c r="D983" s="1" t="s">
        <v>362</v>
      </c>
    </row>
    <row r="984">
      <c r="A984" s="1" t="s">
        <v>2528</v>
      </c>
      <c r="B984" s="2" t="s">
        <v>2046</v>
      </c>
      <c r="C984" s="1" t="s">
        <v>361</v>
      </c>
      <c r="D984" s="1" t="s">
        <v>362</v>
      </c>
    </row>
    <row r="985">
      <c r="A985" s="1" t="s">
        <v>2529</v>
      </c>
      <c r="B985" s="2" t="s">
        <v>2050</v>
      </c>
      <c r="C985" s="1" t="s">
        <v>361</v>
      </c>
      <c r="D985" s="1" t="s">
        <v>362</v>
      </c>
    </row>
    <row r="986">
      <c r="A986" s="1" t="s">
        <v>2531</v>
      </c>
      <c r="B986" s="2" t="s">
        <v>2053</v>
      </c>
      <c r="C986" s="1" t="s">
        <v>361</v>
      </c>
      <c r="D986" s="1" t="s">
        <v>362</v>
      </c>
    </row>
    <row r="987">
      <c r="A987" s="1" t="s">
        <v>2534</v>
      </c>
      <c r="B987" s="2" t="s">
        <v>2057</v>
      </c>
      <c r="C987" s="1" t="s">
        <v>361</v>
      </c>
      <c r="D987" s="1" t="s">
        <v>362</v>
      </c>
    </row>
    <row r="988">
      <c r="A988" s="1" t="s">
        <v>2535</v>
      </c>
      <c r="B988" s="2" t="s">
        <v>2059</v>
      </c>
      <c r="C988" s="1" t="s">
        <v>361</v>
      </c>
      <c r="D988" s="1" t="s">
        <v>362</v>
      </c>
    </row>
    <row r="989">
      <c r="A989" s="1" t="s">
        <v>2537</v>
      </c>
      <c r="B989" s="2" t="s">
        <v>2063</v>
      </c>
      <c r="C989" s="1" t="s">
        <v>361</v>
      </c>
      <c r="D989" s="1" t="s">
        <v>362</v>
      </c>
    </row>
    <row r="990">
      <c r="A990" s="1" t="s">
        <v>2540</v>
      </c>
      <c r="B990" s="2" t="s">
        <v>2065</v>
      </c>
      <c r="C990" s="1" t="s">
        <v>361</v>
      </c>
      <c r="D990" s="1" t="s">
        <v>362</v>
      </c>
    </row>
    <row r="991">
      <c r="A991" s="1" t="s">
        <v>2541</v>
      </c>
      <c r="B991" s="2" t="s">
        <v>2067</v>
      </c>
      <c r="C991" s="1" t="s">
        <v>361</v>
      </c>
      <c r="D991" s="1" t="s">
        <v>362</v>
      </c>
    </row>
    <row r="992">
      <c r="A992" s="1" t="s">
        <v>2543</v>
      </c>
      <c r="B992" s="2" t="s">
        <v>2069</v>
      </c>
      <c r="C992" s="1" t="s">
        <v>361</v>
      </c>
      <c r="D992" s="1" t="s">
        <v>362</v>
      </c>
    </row>
    <row r="993">
      <c r="A993" s="1" t="s">
        <v>2546</v>
      </c>
      <c r="B993" s="2" t="s">
        <v>2072</v>
      </c>
      <c r="C993" s="1" t="s">
        <v>361</v>
      </c>
      <c r="D993" s="1" t="s">
        <v>362</v>
      </c>
    </row>
    <row r="994">
      <c r="A994" s="1" t="s">
        <v>2547</v>
      </c>
      <c r="B994" s="2" t="s">
        <v>2074</v>
      </c>
      <c r="C994" s="1" t="s">
        <v>361</v>
      </c>
      <c r="D994" s="1" t="s">
        <v>362</v>
      </c>
    </row>
    <row r="995">
      <c r="A995" s="1" t="s">
        <v>2549</v>
      </c>
      <c r="B995" s="2" t="s">
        <v>2076</v>
      </c>
      <c r="C995" s="1" t="s">
        <v>361</v>
      </c>
      <c r="D995" s="1" t="s">
        <v>362</v>
      </c>
    </row>
    <row r="996">
      <c r="A996" s="1" t="s">
        <v>2552</v>
      </c>
      <c r="B996" s="2" t="s">
        <v>2080</v>
      </c>
      <c r="C996" s="1" t="s">
        <v>361</v>
      </c>
      <c r="D996" s="1" t="s">
        <v>362</v>
      </c>
    </row>
    <row r="997">
      <c r="A997" s="1" t="s">
        <v>2553</v>
      </c>
      <c r="B997" s="2" t="s">
        <v>2083</v>
      </c>
      <c r="C997" s="1" t="s">
        <v>361</v>
      </c>
      <c r="D997" s="1" t="s">
        <v>362</v>
      </c>
    </row>
    <row r="998">
      <c r="A998" s="1" t="s">
        <v>2557</v>
      </c>
      <c r="B998" s="2" t="s">
        <v>2085</v>
      </c>
      <c r="C998" s="1" t="s">
        <v>361</v>
      </c>
      <c r="D998" s="1" t="s">
        <v>362</v>
      </c>
    </row>
    <row r="999">
      <c r="A999" s="1" t="s">
        <v>2558</v>
      </c>
      <c r="B999" s="2" t="s">
        <v>2089</v>
      </c>
      <c r="C999" s="1" t="s">
        <v>361</v>
      </c>
      <c r="D999" s="1" t="s">
        <v>362</v>
      </c>
    </row>
    <row r="1000">
      <c r="A1000" s="1" t="s">
        <v>2560</v>
      </c>
      <c r="B1000" s="2" t="s">
        <v>2092</v>
      </c>
      <c r="C1000" s="1" t="s">
        <v>361</v>
      </c>
      <c r="D1000" s="1" t="s">
        <v>362</v>
      </c>
    </row>
    <row r="1001">
      <c r="A1001" s="1" t="s">
        <v>2563</v>
      </c>
      <c r="B1001" s="2" t="s">
        <v>2094</v>
      </c>
      <c r="C1001" s="1" t="s">
        <v>361</v>
      </c>
      <c r="D1001" s="1" t="s">
        <v>362</v>
      </c>
    </row>
    <row r="1002">
      <c r="A1002" s="1" t="s">
        <v>2565</v>
      </c>
      <c r="B1002" s="2" t="s">
        <v>2099</v>
      </c>
      <c r="C1002" s="1" t="s">
        <v>361</v>
      </c>
      <c r="D1002" s="1" t="s">
        <v>362</v>
      </c>
    </row>
    <row r="1003">
      <c r="A1003" s="1" t="s">
        <v>2567</v>
      </c>
      <c r="B1003" s="2" t="s">
        <v>2101</v>
      </c>
      <c r="C1003" s="1" t="s">
        <v>361</v>
      </c>
      <c r="D1003" s="1" t="s">
        <v>362</v>
      </c>
    </row>
    <row r="1004">
      <c r="A1004" s="1" t="s">
        <v>2570</v>
      </c>
      <c r="B1004" s="2" t="s">
        <v>2103</v>
      </c>
      <c r="C1004" s="1" t="s">
        <v>361</v>
      </c>
      <c r="D1004" s="1" t="s">
        <v>362</v>
      </c>
    </row>
    <row r="1005">
      <c r="A1005" s="1" t="s">
        <v>2571</v>
      </c>
      <c r="B1005" s="2" t="s">
        <v>2107</v>
      </c>
      <c r="C1005" s="1" t="s">
        <v>361</v>
      </c>
      <c r="D1005" s="1" t="s">
        <v>362</v>
      </c>
    </row>
    <row r="1006">
      <c r="A1006" s="1" t="s">
        <v>2572</v>
      </c>
      <c r="B1006" s="2" t="s">
        <v>2110</v>
      </c>
      <c r="C1006" s="1" t="s">
        <v>361</v>
      </c>
      <c r="D1006" s="1" t="s">
        <v>362</v>
      </c>
    </row>
    <row r="1007">
      <c r="A1007" s="1" t="s">
        <v>2575</v>
      </c>
      <c r="B1007" s="2" t="s">
        <v>2112</v>
      </c>
      <c r="C1007" s="1" t="s">
        <v>361</v>
      </c>
      <c r="D1007" s="1" t="s">
        <v>362</v>
      </c>
    </row>
    <row r="1008">
      <c r="A1008" s="1" t="s">
        <v>2577</v>
      </c>
      <c r="B1008" s="2" t="s">
        <v>2116</v>
      </c>
      <c r="C1008" s="1" t="s">
        <v>361</v>
      </c>
      <c r="D1008" s="1" t="s">
        <v>362</v>
      </c>
    </row>
    <row r="1009">
      <c r="A1009" s="1" t="s">
        <v>2579</v>
      </c>
      <c r="B1009" s="2" t="s">
        <v>2119</v>
      </c>
      <c r="C1009" s="1" t="s">
        <v>361</v>
      </c>
      <c r="D1009" s="1" t="s">
        <v>362</v>
      </c>
    </row>
    <row r="1010">
      <c r="A1010" s="1" t="s">
        <v>2582</v>
      </c>
      <c r="B1010" s="2" t="s">
        <v>2121</v>
      </c>
      <c r="C1010" s="1" t="s">
        <v>361</v>
      </c>
      <c r="D1010" s="1" t="s">
        <v>362</v>
      </c>
    </row>
    <row r="1011">
      <c r="A1011" s="1" t="s">
        <v>2583</v>
      </c>
      <c r="B1011" s="2" t="s">
        <v>2124</v>
      </c>
      <c r="C1011" s="1" t="s">
        <v>361</v>
      </c>
      <c r="D1011" s="1" t="s">
        <v>362</v>
      </c>
    </row>
    <row r="1012">
      <c r="A1012" s="1" t="s">
        <v>2585</v>
      </c>
      <c r="B1012" s="2" t="s">
        <v>2128</v>
      </c>
      <c r="C1012" s="1" t="s">
        <v>361</v>
      </c>
      <c r="D1012" s="1" t="s">
        <v>362</v>
      </c>
    </row>
    <row r="1013">
      <c r="A1013" s="1" t="s">
        <v>2588</v>
      </c>
      <c r="B1013" s="2" t="s">
        <v>2133</v>
      </c>
      <c r="C1013" s="1" t="s">
        <v>361</v>
      </c>
      <c r="D1013" s="1" t="s">
        <v>362</v>
      </c>
    </row>
    <row r="1014">
      <c r="A1014" s="1" t="s">
        <v>2589</v>
      </c>
      <c r="B1014" s="2" t="s">
        <v>2135</v>
      </c>
      <c r="C1014" s="1" t="s">
        <v>361</v>
      </c>
      <c r="D1014" s="1" t="s">
        <v>362</v>
      </c>
    </row>
    <row r="1015">
      <c r="A1015" s="1" t="s">
        <v>2593</v>
      </c>
      <c r="B1015" s="2" t="s">
        <v>2138</v>
      </c>
      <c r="C1015" s="1" t="s">
        <v>361</v>
      </c>
      <c r="D1015" s="1" t="s">
        <v>362</v>
      </c>
    </row>
    <row r="1016">
      <c r="A1016" s="1" t="s">
        <v>2594</v>
      </c>
      <c r="B1016" s="2" t="s">
        <v>2140</v>
      </c>
      <c r="C1016" s="1" t="s">
        <v>361</v>
      </c>
      <c r="D1016" s="1" t="s">
        <v>362</v>
      </c>
    </row>
    <row r="1017">
      <c r="A1017" s="1" t="s">
        <v>2597</v>
      </c>
      <c r="B1017" s="2" t="s">
        <v>2144</v>
      </c>
      <c r="C1017" s="1" t="s">
        <v>361</v>
      </c>
      <c r="D1017" s="1" t="s">
        <v>362</v>
      </c>
    </row>
    <row r="1018">
      <c r="A1018" s="1" t="s">
        <v>2599</v>
      </c>
      <c r="B1018" s="2" t="s">
        <v>2146</v>
      </c>
      <c r="C1018" s="1" t="s">
        <v>361</v>
      </c>
      <c r="D1018" s="1" t="s">
        <v>362</v>
      </c>
    </row>
    <row r="1019">
      <c r="A1019" s="1" t="s">
        <v>2600</v>
      </c>
      <c r="B1019" s="2" t="s">
        <v>2149</v>
      </c>
      <c r="C1019" s="1" t="s">
        <v>361</v>
      </c>
      <c r="D1019" s="1" t="s">
        <v>362</v>
      </c>
    </row>
    <row r="1020">
      <c r="A1020" s="1" t="s">
        <v>2602</v>
      </c>
      <c r="B1020" s="2" t="s">
        <v>2153</v>
      </c>
      <c r="C1020" s="1" t="s">
        <v>361</v>
      </c>
      <c r="D1020" s="1" t="s">
        <v>362</v>
      </c>
    </row>
    <row r="1021">
      <c r="A1021" s="1" t="s">
        <v>2605</v>
      </c>
      <c r="B1021" s="2" t="s">
        <v>2155</v>
      </c>
      <c r="C1021" s="1" t="s">
        <v>361</v>
      </c>
      <c r="D1021" s="1" t="s">
        <v>362</v>
      </c>
    </row>
    <row r="1022">
      <c r="A1022" s="1" t="s">
        <v>2606</v>
      </c>
      <c r="B1022" s="2" t="s">
        <v>2158</v>
      </c>
      <c r="C1022" s="1" t="s">
        <v>361</v>
      </c>
      <c r="D1022" s="1" t="s">
        <v>362</v>
      </c>
    </row>
    <row r="1023">
      <c r="A1023" s="1" t="s">
        <v>2610</v>
      </c>
      <c r="B1023" s="2" t="s">
        <v>2162</v>
      </c>
      <c r="C1023" s="1" t="s">
        <v>361</v>
      </c>
      <c r="D1023" s="1" t="s">
        <v>362</v>
      </c>
    </row>
    <row r="1024">
      <c r="A1024" s="1" t="s">
        <v>2611</v>
      </c>
      <c r="B1024" s="2" t="s">
        <v>2164</v>
      </c>
      <c r="C1024" s="1" t="s">
        <v>361</v>
      </c>
      <c r="D1024" s="1" t="s">
        <v>362</v>
      </c>
    </row>
    <row r="1025">
      <c r="A1025" s="1" t="s">
        <v>2612</v>
      </c>
      <c r="B1025" s="2" t="s">
        <v>2167</v>
      </c>
      <c r="C1025" s="1" t="s">
        <v>361</v>
      </c>
      <c r="D1025" s="1" t="s">
        <v>362</v>
      </c>
    </row>
    <row r="1026">
      <c r="A1026" s="1" t="s">
        <v>2614</v>
      </c>
      <c r="B1026" s="2" t="s">
        <v>2171</v>
      </c>
      <c r="C1026" s="1" t="s">
        <v>361</v>
      </c>
      <c r="D1026" s="1" t="s">
        <v>362</v>
      </c>
    </row>
    <row r="1027">
      <c r="A1027" s="1" t="s">
        <v>2617</v>
      </c>
      <c r="B1027" s="2" t="s">
        <v>2173</v>
      </c>
      <c r="C1027" s="1" t="s">
        <v>361</v>
      </c>
      <c r="D1027" s="1" t="s">
        <v>362</v>
      </c>
    </row>
    <row r="1028">
      <c r="A1028" s="1" t="s">
        <v>2618</v>
      </c>
      <c r="B1028" s="2" t="s">
        <v>2176</v>
      </c>
      <c r="C1028" s="1" t="s">
        <v>361</v>
      </c>
      <c r="D1028" s="1" t="s">
        <v>362</v>
      </c>
    </row>
    <row r="1029">
      <c r="A1029" s="1" t="s">
        <v>2625</v>
      </c>
      <c r="B1029" s="2" t="s">
        <v>2180</v>
      </c>
      <c r="C1029" s="1" t="s">
        <v>361</v>
      </c>
      <c r="D1029" s="1" t="s">
        <v>362</v>
      </c>
    </row>
    <row r="1030">
      <c r="A1030" s="1" t="s">
        <v>2626</v>
      </c>
      <c r="B1030" s="2" t="s">
        <v>2182</v>
      </c>
      <c r="C1030" s="1" t="s">
        <v>361</v>
      </c>
      <c r="D1030" s="1" t="s">
        <v>362</v>
      </c>
    </row>
    <row r="1031">
      <c r="A1031" s="1" t="s">
        <v>2628</v>
      </c>
      <c r="B1031" s="2" t="s">
        <v>2185</v>
      </c>
      <c r="C1031" s="1" t="s">
        <v>361</v>
      </c>
      <c r="D1031" s="1" t="s">
        <v>362</v>
      </c>
    </row>
    <row r="1032">
      <c r="A1032" s="1" t="s">
        <v>2631</v>
      </c>
      <c r="B1032" s="2" t="s">
        <v>2189</v>
      </c>
      <c r="C1032" s="1" t="s">
        <v>361</v>
      </c>
      <c r="D1032" s="1" t="s">
        <v>362</v>
      </c>
    </row>
    <row r="1033">
      <c r="A1033" s="1" t="s">
        <v>2632</v>
      </c>
      <c r="B1033" s="2" t="s">
        <v>2191</v>
      </c>
      <c r="C1033" s="1" t="s">
        <v>361</v>
      </c>
      <c r="D1033" s="1" t="s">
        <v>362</v>
      </c>
    </row>
    <row r="1034">
      <c r="A1034" s="1" t="s">
        <v>2634</v>
      </c>
      <c r="B1034" s="2" t="s">
        <v>2194</v>
      </c>
      <c r="C1034" s="1" t="s">
        <v>361</v>
      </c>
      <c r="D1034" s="1" t="s">
        <v>362</v>
      </c>
    </row>
    <row r="1035">
      <c r="A1035" s="1" t="s">
        <v>2637</v>
      </c>
      <c r="B1035" s="2" t="s">
        <v>2196</v>
      </c>
      <c r="C1035" s="1" t="s">
        <v>361</v>
      </c>
      <c r="D1035" s="1" t="s">
        <v>362</v>
      </c>
    </row>
    <row r="1036">
      <c r="A1036" s="1" t="s">
        <v>2638</v>
      </c>
      <c r="B1036" s="2" t="s">
        <v>2200</v>
      </c>
      <c r="C1036" s="1" t="s">
        <v>361</v>
      </c>
      <c r="D1036" s="1" t="s">
        <v>362</v>
      </c>
    </row>
    <row r="1037">
      <c r="A1037" s="1" t="s">
        <v>2641</v>
      </c>
      <c r="B1037" s="2" t="s">
        <v>2202</v>
      </c>
      <c r="C1037" s="1" t="s">
        <v>361</v>
      </c>
      <c r="D1037" s="1" t="s">
        <v>362</v>
      </c>
    </row>
    <row r="1038">
      <c r="A1038" s="1" t="s">
        <v>2643</v>
      </c>
      <c r="B1038" s="2" t="s">
        <v>2204</v>
      </c>
      <c r="C1038" s="1" t="s">
        <v>361</v>
      </c>
      <c r="D1038" s="1" t="s">
        <v>362</v>
      </c>
    </row>
    <row r="1039">
      <c r="A1039" s="1" t="s">
        <v>2644</v>
      </c>
      <c r="B1039" s="2" t="s">
        <v>2206</v>
      </c>
      <c r="C1039" s="1" t="s">
        <v>361</v>
      </c>
      <c r="D1039" s="1" t="s">
        <v>362</v>
      </c>
    </row>
    <row r="1040">
      <c r="A1040" s="1" t="s">
        <v>2646</v>
      </c>
      <c r="B1040" s="2" t="s">
        <v>2209</v>
      </c>
      <c r="C1040" s="1" t="s">
        <v>361</v>
      </c>
      <c r="D1040" s="1" t="s">
        <v>362</v>
      </c>
    </row>
    <row r="1041">
      <c r="A1041" s="1" t="s">
        <v>2649</v>
      </c>
      <c r="B1041" s="2" t="s">
        <v>2213</v>
      </c>
      <c r="C1041" s="1" t="s">
        <v>361</v>
      </c>
      <c r="D1041" s="1" t="s">
        <v>362</v>
      </c>
    </row>
    <row r="1042">
      <c r="A1042" s="1" t="s">
        <v>2650</v>
      </c>
      <c r="B1042" s="2" t="s">
        <v>2215</v>
      </c>
      <c r="C1042" s="1" t="s">
        <v>361</v>
      </c>
      <c r="D1042" s="1" t="s">
        <v>362</v>
      </c>
    </row>
    <row r="1043">
      <c r="A1043" s="1" t="s">
        <v>2653</v>
      </c>
      <c r="B1043" s="2" t="s">
        <v>2217</v>
      </c>
      <c r="C1043" s="1" t="s">
        <v>361</v>
      </c>
      <c r="D1043" s="1" t="s">
        <v>362</v>
      </c>
    </row>
    <row r="1044">
      <c r="A1044" s="1" t="s">
        <v>2655</v>
      </c>
      <c r="B1044" s="2" t="s">
        <v>2219</v>
      </c>
      <c r="C1044" s="1" t="s">
        <v>361</v>
      </c>
      <c r="D1044" s="1" t="s">
        <v>362</v>
      </c>
    </row>
    <row r="1045">
      <c r="A1045" s="1" t="s">
        <v>2658</v>
      </c>
      <c r="B1045" s="2" t="s">
        <v>2221</v>
      </c>
      <c r="C1045" s="1" t="s">
        <v>361</v>
      </c>
      <c r="D1045" s="1" t="s">
        <v>362</v>
      </c>
    </row>
    <row r="1046">
      <c r="A1046" s="1" t="s">
        <v>2662</v>
      </c>
      <c r="B1046" s="2" t="s">
        <v>2223</v>
      </c>
      <c r="C1046" s="1" t="s">
        <v>361</v>
      </c>
      <c r="D1046" s="1" t="s">
        <v>362</v>
      </c>
    </row>
    <row r="1047">
      <c r="A1047" s="1" t="s">
        <v>2664</v>
      </c>
      <c r="B1047" s="2" t="s">
        <v>2225</v>
      </c>
      <c r="C1047" s="1" t="s">
        <v>361</v>
      </c>
      <c r="D1047" s="1" t="s">
        <v>362</v>
      </c>
    </row>
    <row r="1048">
      <c r="A1048" s="1" t="s">
        <v>2666</v>
      </c>
      <c r="B1048" s="2" t="s">
        <v>2227</v>
      </c>
      <c r="C1048" s="1" t="s">
        <v>361</v>
      </c>
      <c r="D1048" s="1" t="s">
        <v>362</v>
      </c>
    </row>
    <row r="1049">
      <c r="A1049" s="1" t="s">
        <v>2669</v>
      </c>
      <c r="B1049" s="2" t="s">
        <v>2229</v>
      </c>
      <c r="C1049" s="1" t="s">
        <v>361</v>
      </c>
      <c r="D1049" s="1" t="s">
        <v>362</v>
      </c>
    </row>
    <row r="1050">
      <c r="A1050" s="1" t="s">
        <v>2670</v>
      </c>
      <c r="B1050" s="2" t="s">
        <v>2231</v>
      </c>
      <c r="C1050" s="1" t="s">
        <v>361</v>
      </c>
      <c r="D1050" s="1" t="s">
        <v>362</v>
      </c>
    </row>
    <row r="1051">
      <c r="A1051" s="1" t="s">
        <v>2671</v>
      </c>
      <c r="B1051" s="2" t="s">
        <v>2233</v>
      </c>
      <c r="C1051" s="1" t="s">
        <v>361</v>
      </c>
      <c r="D1051" s="1" t="s">
        <v>362</v>
      </c>
    </row>
    <row r="1052">
      <c r="A1052" s="1" t="s">
        <v>2672</v>
      </c>
      <c r="B1052" s="2" t="s">
        <v>2235</v>
      </c>
      <c r="C1052" s="1" t="s">
        <v>361</v>
      </c>
      <c r="D1052" s="1" t="s">
        <v>362</v>
      </c>
    </row>
    <row r="1053">
      <c r="A1053" s="1" t="s">
        <v>2673</v>
      </c>
      <c r="B1053" s="2" t="s">
        <v>2237</v>
      </c>
      <c r="C1053" s="1" t="s">
        <v>361</v>
      </c>
      <c r="D1053" s="1" t="s">
        <v>362</v>
      </c>
    </row>
    <row r="1054">
      <c r="A1054" s="1" t="s">
        <v>2676</v>
      </c>
      <c r="B1054" s="2" t="s">
        <v>2239</v>
      </c>
      <c r="C1054" s="1" t="s">
        <v>361</v>
      </c>
      <c r="D1054" s="1" t="s">
        <v>362</v>
      </c>
    </row>
    <row r="1055">
      <c r="A1055" s="1" t="s">
        <v>2678</v>
      </c>
      <c r="B1055" s="2" t="s">
        <v>2241</v>
      </c>
      <c r="C1055" s="1" t="s">
        <v>361</v>
      </c>
      <c r="D1055" s="1" t="s">
        <v>362</v>
      </c>
    </row>
    <row r="1056">
      <c r="A1056" s="1" t="s">
        <v>2680</v>
      </c>
      <c r="B1056" s="2" t="s">
        <v>2243</v>
      </c>
      <c r="C1056" s="1" t="s">
        <v>361</v>
      </c>
      <c r="D1056" s="1" t="s">
        <v>362</v>
      </c>
    </row>
    <row r="1057">
      <c r="A1057" s="1" t="s">
        <v>2683</v>
      </c>
      <c r="B1057" s="2" t="s">
        <v>2245</v>
      </c>
      <c r="C1057" s="1" t="s">
        <v>361</v>
      </c>
      <c r="D1057" s="1" t="s">
        <v>362</v>
      </c>
    </row>
    <row r="1058">
      <c r="A1058" s="1" t="s">
        <v>2684</v>
      </c>
      <c r="B1058" s="2" t="s">
        <v>2247</v>
      </c>
      <c r="C1058" s="1" t="s">
        <v>361</v>
      </c>
      <c r="D1058" s="1" t="s">
        <v>362</v>
      </c>
    </row>
    <row r="1059">
      <c r="A1059" s="1" t="s">
        <v>2688</v>
      </c>
      <c r="B1059" s="2" t="s">
        <v>2249</v>
      </c>
      <c r="C1059" s="1" t="s">
        <v>361</v>
      </c>
      <c r="D1059" s="1" t="s">
        <v>362</v>
      </c>
    </row>
    <row r="1060">
      <c r="A1060" s="1" t="s">
        <v>2689</v>
      </c>
      <c r="B1060" s="2" t="s">
        <v>2251</v>
      </c>
      <c r="C1060" s="1" t="s">
        <v>361</v>
      </c>
      <c r="D1060" s="1" t="s">
        <v>362</v>
      </c>
    </row>
    <row r="1061">
      <c r="A1061" s="1" t="s">
        <v>2690</v>
      </c>
      <c r="B1061" s="2" t="s">
        <v>2253</v>
      </c>
      <c r="C1061" s="1" t="s">
        <v>361</v>
      </c>
      <c r="D1061" s="1" t="s">
        <v>362</v>
      </c>
    </row>
    <row r="1062">
      <c r="A1062" s="1" t="s">
        <v>2693</v>
      </c>
      <c r="B1062" s="2" t="s">
        <v>2255</v>
      </c>
      <c r="C1062" s="1" t="s">
        <v>361</v>
      </c>
      <c r="D1062" s="1" t="s">
        <v>362</v>
      </c>
    </row>
    <row r="1063">
      <c r="A1063" s="1" t="s">
        <v>2695</v>
      </c>
      <c r="B1063" s="2" t="s">
        <v>2257</v>
      </c>
      <c r="C1063" s="1" t="s">
        <v>361</v>
      </c>
      <c r="D1063" s="1" t="s">
        <v>362</v>
      </c>
    </row>
    <row r="1064">
      <c r="A1064" s="1" t="s">
        <v>2696</v>
      </c>
      <c r="B1064" s="2" t="s">
        <v>2259</v>
      </c>
      <c r="C1064" s="1" t="s">
        <v>361</v>
      </c>
      <c r="D1064" s="1" t="s">
        <v>362</v>
      </c>
    </row>
    <row r="1065">
      <c r="A1065" s="1" t="s">
        <v>2699</v>
      </c>
      <c r="B1065" s="2" t="s">
        <v>2261</v>
      </c>
      <c r="C1065" s="1" t="s">
        <v>361</v>
      </c>
      <c r="D1065" s="1" t="s">
        <v>362</v>
      </c>
    </row>
    <row r="1066">
      <c r="A1066" s="1" t="s">
        <v>2701</v>
      </c>
      <c r="B1066" s="2" t="s">
        <v>2263</v>
      </c>
      <c r="C1066" s="1" t="s">
        <v>361</v>
      </c>
      <c r="D1066" s="1" t="s">
        <v>362</v>
      </c>
    </row>
    <row r="1067">
      <c r="A1067" s="1" t="s">
        <v>2702</v>
      </c>
      <c r="B1067" s="2" t="s">
        <v>2265</v>
      </c>
      <c r="C1067" s="1" t="s">
        <v>361</v>
      </c>
      <c r="D1067" s="1" t="s">
        <v>362</v>
      </c>
    </row>
    <row r="1068">
      <c r="A1068" s="1" t="s">
        <v>2706</v>
      </c>
      <c r="B1068" s="2" t="s">
        <v>2267</v>
      </c>
      <c r="C1068" s="1" t="s">
        <v>361</v>
      </c>
      <c r="D1068" s="1" t="s">
        <v>362</v>
      </c>
    </row>
    <row r="1069">
      <c r="A1069" s="1" t="s">
        <v>2707</v>
      </c>
      <c r="B1069" s="2" t="s">
        <v>2269</v>
      </c>
      <c r="C1069" s="1" t="s">
        <v>361</v>
      </c>
      <c r="D1069" s="1" t="s">
        <v>362</v>
      </c>
    </row>
    <row r="1070">
      <c r="A1070" s="1" t="s">
        <v>2710</v>
      </c>
      <c r="B1070" s="2" t="s">
        <v>2271</v>
      </c>
      <c r="C1070" s="1" t="s">
        <v>361</v>
      </c>
      <c r="D1070" s="1" t="s">
        <v>362</v>
      </c>
    </row>
    <row r="1071">
      <c r="A1071" s="1" t="s">
        <v>2712</v>
      </c>
      <c r="B1071" s="2" t="s">
        <v>2273</v>
      </c>
      <c r="C1071" s="1" t="s">
        <v>361</v>
      </c>
      <c r="D1071" s="1" t="s">
        <v>362</v>
      </c>
    </row>
    <row r="1072">
      <c r="A1072" s="1" t="s">
        <v>2714</v>
      </c>
      <c r="B1072" s="2" t="s">
        <v>2275</v>
      </c>
      <c r="C1072" s="1" t="s">
        <v>361</v>
      </c>
      <c r="D1072" s="1" t="s">
        <v>362</v>
      </c>
    </row>
    <row r="1073">
      <c r="A1073" s="1" t="s">
        <v>2717</v>
      </c>
      <c r="B1073" s="2" t="s">
        <v>2277</v>
      </c>
      <c r="C1073" s="1" t="s">
        <v>361</v>
      </c>
      <c r="D1073" s="1" t="s">
        <v>362</v>
      </c>
    </row>
    <row r="1074">
      <c r="A1074" s="1" t="s">
        <v>2718</v>
      </c>
      <c r="B1074" s="2" t="s">
        <v>2280</v>
      </c>
      <c r="C1074" s="1" t="s">
        <v>361</v>
      </c>
      <c r="D1074" s="1" t="s">
        <v>362</v>
      </c>
    </row>
    <row r="1075">
      <c r="A1075" s="1" t="s">
        <v>2722</v>
      </c>
      <c r="B1075" s="2" t="s">
        <v>2282</v>
      </c>
      <c r="C1075" s="1" t="s">
        <v>361</v>
      </c>
      <c r="D1075" s="1" t="s">
        <v>362</v>
      </c>
    </row>
    <row r="1076">
      <c r="A1076" s="1" t="s">
        <v>2723</v>
      </c>
      <c r="B1076" s="2" t="s">
        <v>2284</v>
      </c>
      <c r="C1076" s="1" t="s">
        <v>361</v>
      </c>
      <c r="D1076" s="1" t="s">
        <v>362</v>
      </c>
    </row>
    <row r="1077">
      <c r="A1077" s="1" t="s">
        <v>2726</v>
      </c>
      <c r="B1077" s="2" t="s">
        <v>2286</v>
      </c>
      <c r="C1077" s="1" t="s">
        <v>361</v>
      </c>
      <c r="D1077" s="1" t="s">
        <v>362</v>
      </c>
    </row>
    <row r="1078">
      <c r="A1078" s="1" t="s">
        <v>2728</v>
      </c>
      <c r="B1078" s="2" t="s">
        <v>2288</v>
      </c>
      <c r="C1078" s="1" t="s">
        <v>361</v>
      </c>
      <c r="D1078" s="1" t="s">
        <v>362</v>
      </c>
    </row>
    <row r="1079">
      <c r="A1079" s="1" t="s">
        <v>2729</v>
      </c>
      <c r="B1079" s="2" t="s">
        <v>2290</v>
      </c>
      <c r="C1079" s="1" t="s">
        <v>361</v>
      </c>
      <c r="D1079" s="1" t="s">
        <v>362</v>
      </c>
    </row>
    <row r="1080">
      <c r="A1080" s="1" t="s">
        <v>2730</v>
      </c>
      <c r="B1080" s="2" t="s">
        <v>2292</v>
      </c>
      <c r="C1080" s="1" t="s">
        <v>361</v>
      </c>
      <c r="D1080" s="1" t="s">
        <v>362</v>
      </c>
    </row>
    <row r="1081">
      <c r="A1081" s="1" t="s">
        <v>2734</v>
      </c>
      <c r="B1081" s="2" t="s">
        <v>2294</v>
      </c>
      <c r="C1081" s="1" t="s">
        <v>361</v>
      </c>
      <c r="D1081" s="1" t="s">
        <v>362</v>
      </c>
    </row>
    <row r="1082">
      <c r="A1082" s="1" t="s">
        <v>2735</v>
      </c>
      <c r="B1082" s="2" t="s">
        <v>2296</v>
      </c>
      <c r="C1082" s="1" t="s">
        <v>361</v>
      </c>
      <c r="D1082" s="1" t="s">
        <v>362</v>
      </c>
    </row>
    <row r="1083">
      <c r="A1083" s="1" t="s">
        <v>2738</v>
      </c>
      <c r="B1083" s="2" t="s">
        <v>2298</v>
      </c>
      <c r="C1083" s="1" t="s">
        <v>361</v>
      </c>
      <c r="D1083" s="1" t="s">
        <v>362</v>
      </c>
    </row>
    <row r="1084">
      <c r="A1084" s="1" t="s">
        <v>2740</v>
      </c>
      <c r="B1084" s="2" t="s">
        <v>2300</v>
      </c>
      <c r="C1084" s="1" t="s">
        <v>361</v>
      </c>
      <c r="D1084" s="1" t="s">
        <v>362</v>
      </c>
    </row>
    <row r="1085">
      <c r="A1085" s="1" t="s">
        <v>2743</v>
      </c>
      <c r="B1085" s="2" t="s">
        <v>2302</v>
      </c>
      <c r="C1085" s="1" t="s">
        <v>361</v>
      </c>
      <c r="D1085" s="1" t="s">
        <v>362</v>
      </c>
    </row>
    <row r="1086">
      <c r="A1086" s="1" t="s">
        <v>2745</v>
      </c>
      <c r="B1086" s="2" t="s">
        <v>2304</v>
      </c>
      <c r="C1086" s="1" t="s">
        <v>361</v>
      </c>
      <c r="D1086" s="1" t="s">
        <v>362</v>
      </c>
    </row>
    <row r="1087">
      <c r="A1087" s="1" t="s">
        <v>2748</v>
      </c>
      <c r="B1087" s="2" t="s">
        <v>2307</v>
      </c>
      <c r="C1087" s="1" t="s">
        <v>361</v>
      </c>
      <c r="D1087" s="1" t="s">
        <v>362</v>
      </c>
    </row>
    <row r="1088">
      <c r="A1088" s="1" t="s">
        <v>2750</v>
      </c>
      <c r="B1088" s="2" t="s">
        <v>2309</v>
      </c>
      <c r="C1088" s="1" t="s">
        <v>361</v>
      </c>
      <c r="D1088" s="1" t="s">
        <v>362</v>
      </c>
    </row>
    <row r="1089">
      <c r="A1089" s="1" t="s">
        <v>2752</v>
      </c>
      <c r="B1089" s="2" t="s">
        <v>2312</v>
      </c>
      <c r="C1089" s="1" t="s">
        <v>361</v>
      </c>
      <c r="D1089" s="1" t="s">
        <v>362</v>
      </c>
    </row>
    <row r="1090">
      <c r="A1090" s="1" t="s">
        <v>2755</v>
      </c>
      <c r="B1090" s="2" t="s">
        <v>2314</v>
      </c>
      <c r="C1090" s="1" t="s">
        <v>361</v>
      </c>
      <c r="D1090" s="1" t="s">
        <v>362</v>
      </c>
    </row>
    <row r="1091">
      <c r="A1091" s="1" t="s">
        <v>2757</v>
      </c>
      <c r="B1091" s="2" t="s">
        <v>2758</v>
      </c>
      <c r="C1091" s="1" t="s">
        <v>361</v>
      </c>
      <c r="D1091" s="1" t="s">
        <v>362</v>
      </c>
    </row>
    <row r="1092">
      <c r="A1092" s="1" t="s">
        <v>364</v>
      </c>
      <c r="B1092" s="2" t="s">
        <v>7</v>
      </c>
      <c r="C1092" s="1" t="s">
        <v>366</v>
      </c>
      <c r="D1092" s="1" t="s">
        <v>367</v>
      </c>
    </row>
    <row r="1093">
      <c r="A1093" s="1" t="s">
        <v>2762</v>
      </c>
      <c r="B1093" s="2" t="s">
        <v>2764</v>
      </c>
      <c r="C1093" s="1" t="s">
        <v>366</v>
      </c>
      <c r="D1093" s="1" t="s">
        <v>367</v>
      </c>
    </row>
    <row r="1094">
      <c r="A1094" s="1" t="s">
        <v>2767</v>
      </c>
      <c r="B1094" s="2" t="s">
        <v>2768</v>
      </c>
      <c r="C1094" s="1" t="s">
        <v>366</v>
      </c>
      <c r="D1094" s="1" t="s">
        <v>367</v>
      </c>
    </row>
    <row r="1095">
      <c r="A1095" s="1" t="s">
        <v>2769</v>
      </c>
      <c r="B1095" s="2" t="s">
        <v>2771</v>
      </c>
      <c r="C1095" s="1" t="s">
        <v>366</v>
      </c>
      <c r="D1095" s="1" t="s">
        <v>367</v>
      </c>
    </row>
    <row r="1096">
      <c r="A1096" s="1" t="s">
        <v>2774</v>
      </c>
      <c r="B1096" s="2" t="s">
        <v>2775</v>
      </c>
      <c r="C1096" s="1" t="s">
        <v>366</v>
      </c>
      <c r="D1096" s="1" t="s">
        <v>367</v>
      </c>
    </row>
    <row r="1097">
      <c r="A1097" s="1" t="s">
        <v>2778</v>
      </c>
      <c r="B1097" s="2" t="s">
        <v>2780</v>
      </c>
      <c r="C1097" s="1" t="s">
        <v>366</v>
      </c>
      <c r="D1097" s="1" t="s">
        <v>367</v>
      </c>
    </row>
    <row r="1098">
      <c r="A1098" s="1" t="s">
        <v>2781</v>
      </c>
      <c r="B1098" s="2" t="s">
        <v>2782</v>
      </c>
      <c r="C1098" s="1" t="s">
        <v>366</v>
      </c>
      <c r="D1098" s="1" t="s">
        <v>367</v>
      </c>
    </row>
    <row r="1099">
      <c r="A1099" s="1" t="s">
        <v>374</v>
      </c>
      <c r="B1099" s="2" t="s">
        <v>7</v>
      </c>
      <c r="C1099" s="1" t="s">
        <v>376</v>
      </c>
      <c r="D1099" s="1" t="s">
        <v>377</v>
      </c>
    </row>
    <row r="1100">
      <c r="A1100" s="1" t="s">
        <v>2786</v>
      </c>
      <c r="B1100" s="2" t="s">
        <v>2787</v>
      </c>
      <c r="C1100" s="1" t="s">
        <v>376</v>
      </c>
      <c r="D1100" s="1" t="s">
        <v>377</v>
      </c>
    </row>
    <row r="1101">
      <c r="A1101" s="1" t="s">
        <v>2788</v>
      </c>
      <c r="B1101" s="2" t="s">
        <v>2789</v>
      </c>
      <c r="C1101" s="1" t="s">
        <v>376</v>
      </c>
      <c r="D1101" s="1" t="s">
        <v>377</v>
      </c>
    </row>
    <row r="1102">
      <c r="A1102" s="1" t="s">
        <v>2792</v>
      </c>
      <c r="B1102" s="2" t="s">
        <v>2794</v>
      </c>
      <c r="C1102" s="1" t="s">
        <v>376</v>
      </c>
      <c r="D1102" s="1" t="s">
        <v>377</v>
      </c>
    </row>
    <row r="1103">
      <c r="A1103" s="1" t="s">
        <v>2795</v>
      </c>
      <c r="B1103" s="2" t="s">
        <v>2796</v>
      </c>
      <c r="C1103" s="1" t="s">
        <v>376</v>
      </c>
      <c r="D1103" s="1" t="s">
        <v>377</v>
      </c>
    </row>
    <row r="1104">
      <c r="A1104" s="1" t="s">
        <v>2799</v>
      </c>
      <c r="B1104" s="2" t="s">
        <v>2801</v>
      </c>
      <c r="C1104" s="1" t="s">
        <v>376</v>
      </c>
      <c r="D1104" s="1" t="s">
        <v>377</v>
      </c>
    </row>
    <row r="1105">
      <c r="A1105" s="1" t="s">
        <v>370</v>
      </c>
      <c r="B1105" s="2" t="s">
        <v>7</v>
      </c>
      <c r="C1105" s="1" t="s">
        <v>143</v>
      </c>
      <c r="D1105" s="1" t="s">
        <v>372</v>
      </c>
    </row>
    <row r="1106">
      <c r="A1106" s="1" t="s">
        <v>2803</v>
      </c>
      <c r="B1106" s="2" t="s">
        <v>2805</v>
      </c>
      <c r="C1106" s="1" t="s">
        <v>143</v>
      </c>
      <c r="D1106" s="1" t="s">
        <v>372</v>
      </c>
    </row>
    <row r="1107">
      <c r="A1107" s="1" t="s">
        <v>2807</v>
      </c>
      <c r="B1107" s="2" t="s">
        <v>2808</v>
      </c>
      <c r="C1107" s="1" t="s">
        <v>143</v>
      </c>
      <c r="D1107" s="1" t="s">
        <v>372</v>
      </c>
    </row>
    <row r="1108">
      <c r="A1108" s="1" t="s">
        <v>2810</v>
      </c>
      <c r="B1108" s="2" t="s">
        <v>2794</v>
      </c>
      <c r="C1108" s="1" t="s">
        <v>143</v>
      </c>
      <c r="D1108" s="1" t="s">
        <v>372</v>
      </c>
    </row>
    <row r="1109">
      <c r="A1109" s="1" t="s">
        <v>2813</v>
      </c>
      <c r="B1109" s="2" t="s">
        <v>2796</v>
      </c>
      <c r="C1109" s="1" t="s">
        <v>143</v>
      </c>
      <c r="D1109" s="1" t="s">
        <v>372</v>
      </c>
    </row>
    <row r="1110">
      <c r="A1110" s="1" t="s">
        <v>2814</v>
      </c>
      <c r="B1110" s="2" t="s">
        <v>2801</v>
      </c>
      <c r="C1110" s="1" t="s">
        <v>143</v>
      </c>
      <c r="D1110" s="1" t="s">
        <v>372</v>
      </c>
    </row>
    <row r="1111">
      <c r="A1111" s="1" t="s">
        <v>380</v>
      </c>
      <c r="B1111" s="2" t="s">
        <v>7</v>
      </c>
      <c r="C1111" s="1" t="s">
        <v>150</v>
      </c>
      <c r="D1111" s="1" t="s">
        <v>382</v>
      </c>
    </row>
    <row r="1112">
      <c r="A1112" s="1" t="s">
        <v>2818</v>
      </c>
      <c r="B1112" s="2" t="s">
        <v>2820</v>
      </c>
      <c r="C1112" s="1" t="s">
        <v>150</v>
      </c>
      <c r="D1112" s="1" t="s">
        <v>382</v>
      </c>
    </row>
    <row r="1113">
      <c r="A1113" s="1" t="s">
        <v>2823</v>
      </c>
      <c r="B1113" s="2" t="s">
        <v>2824</v>
      </c>
      <c r="C1113" s="1" t="s">
        <v>150</v>
      </c>
      <c r="D1113" s="1" t="s">
        <v>382</v>
      </c>
    </row>
    <row r="1114">
      <c r="A1114" s="1" t="s">
        <v>2825</v>
      </c>
      <c r="B1114" s="2" t="s">
        <v>2827</v>
      </c>
      <c r="C1114" s="1" t="s">
        <v>150</v>
      </c>
      <c r="D1114" s="1" t="s">
        <v>382</v>
      </c>
    </row>
    <row r="1115">
      <c r="A1115" s="1" t="s">
        <v>2830</v>
      </c>
      <c r="B1115" s="2" t="s">
        <v>2831</v>
      </c>
      <c r="C1115" s="1" t="s">
        <v>150</v>
      </c>
      <c r="D1115" s="1" t="s">
        <v>382</v>
      </c>
    </row>
    <row r="1116">
      <c r="A1116" s="1" t="s">
        <v>2832</v>
      </c>
      <c r="B1116" s="2" t="s">
        <v>2834</v>
      </c>
      <c r="C1116" s="1" t="s">
        <v>150</v>
      </c>
      <c r="D1116" s="1" t="s">
        <v>382</v>
      </c>
    </row>
    <row r="1117">
      <c r="A1117" s="1" t="s">
        <v>2837</v>
      </c>
      <c r="B1117" s="2" t="s">
        <v>2838</v>
      </c>
      <c r="C1117" s="1" t="s">
        <v>150</v>
      </c>
      <c r="D1117" s="1" t="s">
        <v>382</v>
      </c>
    </row>
    <row r="1118">
      <c r="A1118" s="1" t="s">
        <v>2839</v>
      </c>
      <c r="B1118" s="2" t="s">
        <v>2841</v>
      </c>
      <c r="C1118" s="1" t="s">
        <v>150</v>
      </c>
      <c r="D1118" s="1" t="s">
        <v>382</v>
      </c>
    </row>
    <row r="1119">
      <c r="A1119" s="1" t="s">
        <v>2844</v>
      </c>
      <c r="B1119" s="2" t="s">
        <v>2845</v>
      </c>
      <c r="C1119" s="1" t="s">
        <v>150</v>
      </c>
      <c r="D1119" s="1" t="s">
        <v>382</v>
      </c>
    </row>
    <row r="1120">
      <c r="A1120" s="1" t="s">
        <v>2846</v>
      </c>
      <c r="B1120" s="2" t="s">
        <v>2848</v>
      </c>
      <c r="C1120" s="1" t="s">
        <v>150</v>
      </c>
      <c r="D1120" s="1" t="s">
        <v>382</v>
      </c>
    </row>
    <row r="1121">
      <c r="A1121" s="1" t="s">
        <v>2849</v>
      </c>
      <c r="B1121" s="2" t="s">
        <v>2851</v>
      </c>
      <c r="C1121" s="1" t="s">
        <v>150</v>
      </c>
      <c r="D1121" s="1" t="s">
        <v>382</v>
      </c>
    </row>
    <row r="1122">
      <c r="A1122" s="1" t="s">
        <v>2853</v>
      </c>
      <c r="B1122" s="2" t="s">
        <v>2854</v>
      </c>
      <c r="C1122" s="1" t="s">
        <v>150</v>
      </c>
      <c r="D1122" s="1" t="s">
        <v>382</v>
      </c>
    </row>
    <row r="1123">
      <c r="A1123" s="1" t="s">
        <v>2856</v>
      </c>
      <c r="B1123" s="2" t="s">
        <v>2858</v>
      </c>
      <c r="C1123" s="1" t="s">
        <v>150</v>
      </c>
      <c r="D1123" s="1" t="s">
        <v>382</v>
      </c>
    </row>
    <row r="1124">
      <c r="A1124" s="1" t="s">
        <v>2860</v>
      </c>
      <c r="B1124" s="2" t="s">
        <v>2861</v>
      </c>
      <c r="C1124" s="1" t="s">
        <v>150</v>
      </c>
      <c r="D1124" s="1" t="s">
        <v>382</v>
      </c>
    </row>
    <row r="1125">
      <c r="A1125" s="1" t="s">
        <v>2863</v>
      </c>
      <c r="B1125" s="2" t="s">
        <v>2865</v>
      </c>
      <c r="C1125" s="1" t="s">
        <v>150</v>
      </c>
      <c r="D1125" s="1" t="s">
        <v>382</v>
      </c>
    </row>
    <row r="1126">
      <c r="A1126" s="1" t="s">
        <v>2867</v>
      </c>
      <c r="B1126" s="2" t="s">
        <v>2868</v>
      </c>
      <c r="C1126" s="1" t="s">
        <v>150</v>
      </c>
      <c r="D1126" s="1" t="s">
        <v>382</v>
      </c>
    </row>
    <row r="1127">
      <c r="A1127" s="1" t="s">
        <v>2870</v>
      </c>
      <c r="B1127" s="2" t="s">
        <v>2876</v>
      </c>
      <c r="C1127" s="1" t="s">
        <v>150</v>
      </c>
      <c r="D1127" s="1" t="s">
        <v>382</v>
      </c>
    </row>
    <row r="1128">
      <c r="A1128" s="1" t="s">
        <v>2880</v>
      </c>
      <c r="B1128" s="2" t="s">
        <v>2881</v>
      </c>
      <c r="C1128" s="1" t="s">
        <v>150</v>
      </c>
      <c r="D1128" s="1" t="s">
        <v>382</v>
      </c>
    </row>
    <row r="1129">
      <c r="A1129" s="1" t="s">
        <v>2882</v>
      </c>
      <c r="B1129" s="2" t="s">
        <v>2884</v>
      </c>
      <c r="C1129" s="1" t="s">
        <v>150</v>
      </c>
      <c r="D1129" s="1" t="s">
        <v>382</v>
      </c>
    </row>
    <row r="1130">
      <c r="A1130" s="1" t="s">
        <v>2887</v>
      </c>
      <c r="B1130" s="2" t="s">
        <v>2888</v>
      </c>
      <c r="C1130" s="1" t="s">
        <v>150</v>
      </c>
      <c r="D1130" s="1" t="s">
        <v>382</v>
      </c>
    </row>
    <row r="1131">
      <c r="A1131" s="1" t="s">
        <v>2890</v>
      </c>
      <c r="B1131" s="2" t="s">
        <v>2891</v>
      </c>
      <c r="C1131" s="1" t="s">
        <v>150</v>
      </c>
      <c r="D1131" s="1" t="s">
        <v>382</v>
      </c>
    </row>
    <row r="1132">
      <c r="A1132" s="1" t="s">
        <v>2894</v>
      </c>
      <c r="B1132" s="2" t="s">
        <v>2895</v>
      </c>
      <c r="C1132" s="1" t="s">
        <v>150</v>
      </c>
      <c r="D1132" s="1" t="s">
        <v>382</v>
      </c>
    </row>
    <row r="1133">
      <c r="A1133" s="1" t="s">
        <v>2897</v>
      </c>
      <c r="B1133" s="2" t="s">
        <v>2898</v>
      </c>
      <c r="C1133" s="1" t="s">
        <v>150</v>
      </c>
      <c r="D1133" s="1" t="s">
        <v>382</v>
      </c>
    </row>
    <row r="1134">
      <c r="A1134" s="1" t="s">
        <v>2901</v>
      </c>
      <c r="B1134" s="2" t="s">
        <v>2902</v>
      </c>
      <c r="C1134" s="1" t="s">
        <v>150</v>
      </c>
      <c r="D1134" s="1" t="s">
        <v>382</v>
      </c>
    </row>
    <row r="1135">
      <c r="A1135" s="1" t="s">
        <v>2904</v>
      </c>
      <c r="B1135" s="2" t="s">
        <v>2905</v>
      </c>
      <c r="C1135" s="1" t="s">
        <v>150</v>
      </c>
      <c r="D1135" s="1" t="s">
        <v>382</v>
      </c>
    </row>
    <row r="1136">
      <c r="A1136" s="1" t="s">
        <v>2908</v>
      </c>
      <c r="B1136" s="2" t="s">
        <v>2909</v>
      </c>
      <c r="C1136" s="1" t="s">
        <v>150</v>
      </c>
      <c r="D1136" s="1" t="s">
        <v>382</v>
      </c>
    </row>
    <row r="1137">
      <c r="A1137" s="1" t="s">
        <v>2910</v>
      </c>
      <c r="B1137" s="2" t="s">
        <v>2912</v>
      </c>
      <c r="C1137" s="1" t="s">
        <v>150</v>
      </c>
      <c r="D1137" s="1" t="s">
        <v>382</v>
      </c>
    </row>
    <row r="1138">
      <c r="A1138" s="1" t="s">
        <v>392</v>
      </c>
      <c r="B1138" s="2" t="s">
        <v>7</v>
      </c>
      <c r="C1138" s="1" t="s">
        <v>394</v>
      </c>
      <c r="D1138" s="1" t="s">
        <v>395</v>
      </c>
    </row>
    <row r="1139">
      <c r="A1139" s="1" t="s">
        <v>2916</v>
      </c>
      <c r="B1139" s="2" t="s">
        <v>13</v>
      </c>
      <c r="C1139" s="1" t="s">
        <v>394</v>
      </c>
      <c r="D1139" s="1" t="s">
        <v>395</v>
      </c>
    </row>
    <row r="1140">
      <c r="A1140" s="1" t="s">
        <v>2919</v>
      </c>
      <c r="B1140" s="2" t="s">
        <v>2920</v>
      </c>
      <c r="C1140" s="1" t="s">
        <v>394</v>
      </c>
      <c r="D1140" s="1" t="s">
        <v>395</v>
      </c>
    </row>
    <row r="1141">
      <c r="A1141" s="1" t="s">
        <v>2922</v>
      </c>
      <c r="B1141" s="2" t="s">
        <v>2923</v>
      </c>
      <c r="C1141" s="1" t="s">
        <v>394</v>
      </c>
      <c r="D1141" s="1" t="s">
        <v>395</v>
      </c>
    </row>
    <row r="1142">
      <c r="A1142" s="1" t="s">
        <v>2926</v>
      </c>
      <c r="B1142" s="2" t="s">
        <v>2927</v>
      </c>
      <c r="C1142" s="1" t="s">
        <v>394</v>
      </c>
      <c r="D1142" s="1" t="s">
        <v>395</v>
      </c>
    </row>
    <row r="1143">
      <c r="A1143" s="1" t="s">
        <v>2928</v>
      </c>
      <c r="B1143" s="2" t="s">
        <v>2929</v>
      </c>
      <c r="C1143" s="1" t="s">
        <v>394</v>
      </c>
      <c r="D1143" s="1" t="s">
        <v>395</v>
      </c>
    </row>
    <row r="1144">
      <c r="A1144" s="1" t="s">
        <v>2932</v>
      </c>
      <c r="B1144" s="2" t="s">
        <v>2934</v>
      </c>
      <c r="C1144" s="1" t="s">
        <v>394</v>
      </c>
      <c r="D1144" s="1" t="s">
        <v>395</v>
      </c>
    </row>
    <row r="1145">
      <c r="A1145" s="1" t="s">
        <v>2935</v>
      </c>
      <c r="B1145" s="2" t="s">
        <v>2936</v>
      </c>
      <c r="C1145" s="1" t="s">
        <v>394</v>
      </c>
      <c r="D1145" s="1" t="s">
        <v>395</v>
      </c>
    </row>
    <row r="1146">
      <c r="A1146" s="1" t="s">
        <v>2938</v>
      </c>
      <c r="B1146" s="2" t="s">
        <v>2940</v>
      </c>
      <c r="C1146" s="1" t="s">
        <v>394</v>
      </c>
      <c r="D1146" s="1" t="s">
        <v>395</v>
      </c>
    </row>
    <row r="1147">
      <c r="A1147" s="1" t="s">
        <v>2942</v>
      </c>
      <c r="B1147" s="2" t="s">
        <v>2943</v>
      </c>
      <c r="C1147" s="1" t="s">
        <v>394</v>
      </c>
      <c r="D1147" s="1" t="s">
        <v>395</v>
      </c>
    </row>
    <row r="1148">
      <c r="A1148" s="1" t="s">
        <v>2945</v>
      </c>
      <c r="B1148" s="2" t="s">
        <v>2947</v>
      </c>
      <c r="C1148" s="1" t="s">
        <v>394</v>
      </c>
      <c r="D1148" s="1" t="s">
        <v>395</v>
      </c>
    </row>
    <row r="1149">
      <c r="A1149" s="1" t="s">
        <v>2949</v>
      </c>
      <c r="B1149" s="2" t="s">
        <v>2950</v>
      </c>
      <c r="C1149" s="1" t="s">
        <v>394</v>
      </c>
      <c r="D1149" s="1" t="s">
        <v>395</v>
      </c>
    </row>
    <row r="1150">
      <c r="A1150" s="1" t="s">
        <v>2952</v>
      </c>
      <c r="B1150" s="2" t="s">
        <v>70</v>
      </c>
      <c r="C1150" s="1" t="s">
        <v>394</v>
      </c>
      <c r="D1150" s="1" t="s">
        <v>395</v>
      </c>
    </row>
    <row r="1151">
      <c r="A1151" s="1" t="s">
        <v>2955</v>
      </c>
      <c r="B1151" s="2" t="s">
        <v>2956</v>
      </c>
      <c r="C1151" s="1" t="s">
        <v>394</v>
      </c>
      <c r="D1151" s="1" t="s">
        <v>395</v>
      </c>
    </row>
    <row r="1152">
      <c r="A1152" s="1" t="s">
        <v>2957</v>
      </c>
      <c r="B1152" s="2" t="s">
        <v>2959</v>
      </c>
      <c r="C1152" s="1" t="s">
        <v>394</v>
      </c>
      <c r="D1152" s="1" t="s">
        <v>395</v>
      </c>
    </row>
    <row r="1153">
      <c r="A1153" s="1" t="s">
        <v>2962</v>
      </c>
      <c r="B1153" s="2" t="s">
        <v>2963</v>
      </c>
      <c r="C1153" s="1" t="s">
        <v>394</v>
      </c>
      <c r="D1153" s="1" t="s">
        <v>395</v>
      </c>
    </row>
    <row r="1154">
      <c r="A1154" s="1" t="s">
        <v>2964</v>
      </c>
      <c r="B1154" s="2" t="s">
        <v>2966</v>
      </c>
      <c r="C1154" s="1" t="s">
        <v>394</v>
      </c>
      <c r="D1154" s="1" t="s">
        <v>395</v>
      </c>
    </row>
    <row r="1155">
      <c r="A1155" s="1" t="s">
        <v>2969</v>
      </c>
      <c r="B1155" s="2" t="s">
        <v>2970</v>
      </c>
      <c r="C1155" s="1" t="s">
        <v>394</v>
      </c>
      <c r="D1155" s="1" t="s">
        <v>395</v>
      </c>
    </row>
    <row r="1156">
      <c r="A1156" s="1" t="s">
        <v>2971</v>
      </c>
      <c r="B1156" s="2" t="s">
        <v>2972</v>
      </c>
      <c r="C1156" s="1" t="s">
        <v>394</v>
      </c>
      <c r="D1156" s="1" t="s">
        <v>395</v>
      </c>
    </row>
    <row r="1157">
      <c r="A1157" s="1" t="s">
        <v>2974</v>
      </c>
      <c r="B1157" s="2" t="s">
        <v>2976</v>
      </c>
      <c r="C1157" s="1" t="s">
        <v>394</v>
      </c>
      <c r="D1157" s="1" t="s">
        <v>395</v>
      </c>
    </row>
    <row r="1158">
      <c r="A1158" s="1" t="s">
        <v>2978</v>
      </c>
      <c r="B1158" s="2" t="s">
        <v>2979</v>
      </c>
      <c r="C1158" s="1" t="s">
        <v>394</v>
      </c>
      <c r="D1158" s="1" t="s">
        <v>395</v>
      </c>
    </row>
    <row r="1159">
      <c r="A1159" s="1" t="s">
        <v>2981</v>
      </c>
      <c r="B1159" s="2" t="s">
        <v>2982</v>
      </c>
      <c r="C1159" s="1" t="s">
        <v>394</v>
      </c>
      <c r="D1159" s="1" t="s">
        <v>395</v>
      </c>
    </row>
    <row r="1160">
      <c r="A1160" s="1" t="s">
        <v>2985</v>
      </c>
      <c r="B1160" s="2" t="s">
        <v>2987</v>
      </c>
      <c r="C1160" s="1" t="s">
        <v>394</v>
      </c>
      <c r="D1160" s="1" t="s">
        <v>395</v>
      </c>
    </row>
    <row r="1161">
      <c r="A1161" s="1" t="s">
        <v>398</v>
      </c>
      <c r="B1161" s="2" t="s">
        <v>7</v>
      </c>
      <c r="C1161" s="1" t="s">
        <v>399</v>
      </c>
      <c r="D1161" s="1" t="s">
        <v>401</v>
      </c>
    </row>
    <row r="1162">
      <c r="A1162" s="1" t="s">
        <v>2991</v>
      </c>
      <c r="B1162" s="2" t="s">
        <v>13</v>
      </c>
      <c r="C1162" s="1" t="s">
        <v>399</v>
      </c>
      <c r="D1162" s="1" t="s">
        <v>401</v>
      </c>
    </row>
    <row r="1163">
      <c r="A1163" s="1" t="s">
        <v>2992</v>
      </c>
      <c r="B1163" s="2" t="s">
        <v>2920</v>
      </c>
      <c r="C1163" s="1" t="s">
        <v>399</v>
      </c>
      <c r="D1163" s="1" t="s">
        <v>401</v>
      </c>
    </row>
    <row r="1164">
      <c r="A1164" s="1" t="s">
        <v>2995</v>
      </c>
      <c r="B1164" s="2" t="s">
        <v>2923</v>
      </c>
      <c r="C1164" s="1" t="s">
        <v>399</v>
      </c>
      <c r="D1164" s="1" t="s">
        <v>401</v>
      </c>
    </row>
    <row r="1165">
      <c r="A1165" s="1" t="s">
        <v>2998</v>
      </c>
      <c r="B1165" s="2" t="s">
        <v>2927</v>
      </c>
      <c r="C1165" s="1" t="s">
        <v>399</v>
      </c>
      <c r="D1165" s="1" t="s">
        <v>401</v>
      </c>
    </row>
    <row r="1166">
      <c r="A1166" s="1" t="s">
        <v>3000</v>
      </c>
      <c r="B1166" s="2" t="s">
        <v>2929</v>
      </c>
      <c r="C1166" s="1" t="s">
        <v>399</v>
      </c>
      <c r="D1166" s="1" t="s">
        <v>401</v>
      </c>
    </row>
    <row r="1167">
      <c r="A1167" s="1" t="s">
        <v>3003</v>
      </c>
      <c r="B1167" s="2" t="s">
        <v>2934</v>
      </c>
      <c r="C1167" s="1" t="s">
        <v>399</v>
      </c>
      <c r="D1167" s="1" t="s">
        <v>401</v>
      </c>
    </row>
    <row r="1168">
      <c r="A1168" s="1" t="s">
        <v>3004</v>
      </c>
      <c r="B1168" s="2" t="s">
        <v>2936</v>
      </c>
      <c r="C1168" s="1" t="s">
        <v>399</v>
      </c>
      <c r="D1168" s="1" t="s">
        <v>401</v>
      </c>
    </row>
    <row r="1169">
      <c r="A1169" s="1" t="s">
        <v>3008</v>
      </c>
      <c r="B1169" s="2" t="s">
        <v>2940</v>
      </c>
      <c r="C1169" s="1" t="s">
        <v>399</v>
      </c>
      <c r="D1169" s="1" t="s">
        <v>401</v>
      </c>
    </row>
    <row r="1170">
      <c r="A1170" s="1" t="s">
        <v>3010</v>
      </c>
      <c r="B1170" s="2" t="s">
        <v>2943</v>
      </c>
      <c r="C1170" s="1" t="s">
        <v>399</v>
      </c>
      <c r="D1170" s="1" t="s">
        <v>401</v>
      </c>
    </row>
    <row r="1171">
      <c r="A1171" s="1" t="s">
        <v>3014</v>
      </c>
      <c r="B1171" s="2" t="s">
        <v>2947</v>
      </c>
      <c r="C1171" s="1" t="s">
        <v>399</v>
      </c>
      <c r="D1171" s="1" t="s">
        <v>401</v>
      </c>
    </row>
    <row r="1172">
      <c r="A1172" s="1" t="s">
        <v>3015</v>
      </c>
      <c r="B1172" s="2" t="s">
        <v>2950</v>
      </c>
      <c r="C1172" s="1" t="s">
        <v>399</v>
      </c>
      <c r="D1172" s="1" t="s">
        <v>401</v>
      </c>
    </row>
    <row r="1173">
      <c r="A1173" s="1" t="s">
        <v>3018</v>
      </c>
      <c r="B1173" s="2" t="s">
        <v>70</v>
      </c>
      <c r="C1173" s="1" t="s">
        <v>399</v>
      </c>
      <c r="D1173" s="1" t="s">
        <v>401</v>
      </c>
    </row>
    <row r="1174">
      <c r="A1174" s="1" t="s">
        <v>3021</v>
      </c>
      <c r="B1174" s="2" t="s">
        <v>2956</v>
      </c>
      <c r="C1174" s="1" t="s">
        <v>399</v>
      </c>
      <c r="D1174" s="1" t="s">
        <v>401</v>
      </c>
    </row>
    <row r="1175">
      <c r="A1175" s="1" t="s">
        <v>3023</v>
      </c>
      <c r="B1175" s="2" t="s">
        <v>2959</v>
      </c>
      <c r="C1175" s="1" t="s">
        <v>399</v>
      </c>
      <c r="D1175" s="1" t="s">
        <v>401</v>
      </c>
    </row>
    <row r="1176">
      <c r="A1176" s="1" t="s">
        <v>3026</v>
      </c>
      <c r="B1176" s="2" t="s">
        <v>2963</v>
      </c>
      <c r="C1176" s="1" t="s">
        <v>399</v>
      </c>
      <c r="D1176" s="1" t="s">
        <v>401</v>
      </c>
    </row>
    <row r="1177">
      <c r="A1177" s="1" t="s">
        <v>3027</v>
      </c>
      <c r="B1177" s="2" t="s">
        <v>2966</v>
      </c>
      <c r="C1177" s="1" t="s">
        <v>399</v>
      </c>
      <c r="D1177" s="1" t="s">
        <v>401</v>
      </c>
    </row>
    <row r="1178">
      <c r="A1178" s="1" t="s">
        <v>3029</v>
      </c>
      <c r="B1178" s="2" t="s">
        <v>2970</v>
      </c>
      <c r="C1178" s="1" t="s">
        <v>399</v>
      </c>
      <c r="D1178" s="1" t="s">
        <v>401</v>
      </c>
    </row>
    <row r="1179">
      <c r="A1179" s="1" t="s">
        <v>3032</v>
      </c>
      <c r="B1179" s="2" t="s">
        <v>2972</v>
      </c>
      <c r="C1179" s="1" t="s">
        <v>399</v>
      </c>
      <c r="D1179" s="1" t="s">
        <v>401</v>
      </c>
    </row>
    <row r="1180">
      <c r="A1180" s="1" t="s">
        <v>3034</v>
      </c>
      <c r="B1180" s="2" t="s">
        <v>2976</v>
      </c>
      <c r="C1180" s="1" t="s">
        <v>399</v>
      </c>
      <c r="D1180" s="1" t="s">
        <v>401</v>
      </c>
    </row>
    <row r="1181">
      <c r="A1181" s="1" t="s">
        <v>3037</v>
      </c>
      <c r="B1181" s="2" t="s">
        <v>2979</v>
      </c>
      <c r="C1181" s="1" t="s">
        <v>399</v>
      </c>
      <c r="D1181" s="1" t="s">
        <v>401</v>
      </c>
    </row>
    <row r="1182">
      <c r="A1182" s="1" t="s">
        <v>3038</v>
      </c>
      <c r="B1182" s="2" t="s">
        <v>2982</v>
      </c>
      <c r="C1182" s="1" t="s">
        <v>399</v>
      </c>
      <c r="D1182" s="1" t="s">
        <v>401</v>
      </c>
    </row>
    <row r="1183">
      <c r="A1183" s="1" t="s">
        <v>3040</v>
      </c>
      <c r="B1183" s="2" t="s">
        <v>2987</v>
      </c>
      <c r="C1183" s="1" t="s">
        <v>399</v>
      </c>
      <c r="D1183" s="1" t="s">
        <v>401</v>
      </c>
    </row>
    <row r="1184">
      <c r="A1184" s="1" t="s">
        <v>403</v>
      </c>
      <c r="B1184" s="2" t="s">
        <v>7</v>
      </c>
      <c r="C1184" s="1" t="s">
        <v>404</v>
      </c>
      <c r="D1184" s="1" t="s">
        <v>405</v>
      </c>
    </row>
    <row r="1185">
      <c r="A1185" s="1" t="s">
        <v>3044</v>
      </c>
      <c r="B1185" s="2" t="s">
        <v>13</v>
      </c>
      <c r="C1185" s="1" t="s">
        <v>404</v>
      </c>
      <c r="D1185" s="1" t="s">
        <v>405</v>
      </c>
    </row>
    <row r="1186">
      <c r="A1186" s="1" t="s">
        <v>3047</v>
      </c>
      <c r="B1186" s="2" t="s">
        <v>2920</v>
      </c>
      <c r="C1186" s="1" t="s">
        <v>404</v>
      </c>
      <c r="D1186" s="1" t="s">
        <v>405</v>
      </c>
    </row>
    <row r="1187">
      <c r="A1187" s="1" t="s">
        <v>3048</v>
      </c>
      <c r="B1187" s="2" t="s">
        <v>2923</v>
      </c>
      <c r="C1187" s="1" t="s">
        <v>404</v>
      </c>
      <c r="D1187" s="1" t="s">
        <v>405</v>
      </c>
    </row>
    <row r="1188">
      <c r="A1188" s="1" t="s">
        <v>3052</v>
      </c>
      <c r="B1188" s="2" t="s">
        <v>2927</v>
      </c>
      <c r="C1188" s="1" t="s">
        <v>404</v>
      </c>
      <c r="D1188" s="1" t="s">
        <v>405</v>
      </c>
    </row>
    <row r="1189">
      <c r="A1189" s="1" t="s">
        <v>3053</v>
      </c>
      <c r="B1189" s="2" t="s">
        <v>2929</v>
      </c>
      <c r="C1189" s="1" t="s">
        <v>404</v>
      </c>
      <c r="D1189" s="1" t="s">
        <v>405</v>
      </c>
    </row>
    <row r="1190">
      <c r="A1190" s="1" t="s">
        <v>3056</v>
      </c>
      <c r="B1190" s="2" t="s">
        <v>2934</v>
      </c>
      <c r="C1190" s="1" t="s">
        <v>404</v>
      </c>
      <c r="D1190" s="1" t="s">
        <v>405</v>
      </c>
    </row>
    <row r="1191">
      <c r="A1191" s="1" t="s">
        <v>3058</v>
      </c>
      <c r="B1191" s="2" t="s">
        <v>2936</v>
      </c>
      <c r="C1191" s="1" t="s">
        <v>404</v>
      </c>
      <c r="D1191" s="1" t="s">
        <v>405</v>
      </c>
    </row>
    <row r="1192">
      <c r="A1192" s="1" t="s">
        <v>3061</v>
      </c>
      <c r="B1192" s="2" t="s">
        <v>2940</v>
      </c>
      <c r="C1192" s="1" t="s">
        <v>404</v>
      </c>
      <c r="D1192" s="1" t="s">
        <v>405</v>
      </c>
    </row>
    <row r="1193">
      <c r="A1193" s="1" t="s">
        <v>3063</v>
      </c>
      <c r="B1193" s="2" t="s">
        <v>2943</v>
      </c>
      <c r="C1193" s="1" t="s">
        <v>404</v>
      </c>
      <c r="D1193" s="1" t="s">
        <v>405</v>
      </c>
    </row>
    <row r="1194">
      <c r="A1194" s="1" t="s">
        <v>3066</v>
      </c>
      <c r="B1194" s="2" t="s">
        <v>2947</v>
      </c>
      <c r="C1194" s="1" t="s">
        <v>404</v>
      </c>
      <c r="D1194" s="1" t="s">
        <v>405</v>
      </c>
    </row>
    <row r="1195">
      <c r="A1195" s="1" t="s">
        <v>3068</v>
      </c>
      <c r="B1195" s="2" t="s">
        <v>2950</v>
      </c>
      <c r="C1195" s="1" t="s">
        <v>404</v>
      </c>
      <c r="D1195" s="1" t="s">
        <v>405</v>
      </c>
    </row>
    <row r="1196">
      <c r="A1196" s="1" t="s">
        <v>3070</v>
      </c>
      <c r="B1196" s="2" t="s">
        <v>70</v>
      </c>
      <c r="C1196" s="1" t="s">
        <v>404</v>
      </c>
      <c r="D1196" s="1" t="s">
        <v>405</v>
      </c>
    </row>
    <row r="1197">
      <c r="A1197" s="1" t="s">
        <v>3072</v>
      </c>
      <c r="B1197" s="2" t="s">
        <v>2956</v>
      </c>
      <c r="C1197" s="1" t="s">
        <v>404</v>
      </c>
      <c r="D1197" s="1" t="s">
        <v>405</v>
      </c>
    </row>
    <row r="1198">
      <c r="A1198" s="1" t="s">
        <v>3073</v>
      </c>
      <c r="B1198" s="2" t="s">
        <v>2959</v>
      </c>
      <c r="C1198" s="1" t="s">
        <v>404</v>
      </c>
      <c r="D1198" s="1" t="s">
        <v>405</v>
      </c>
    </row>
    <row r="1199">
      <c r="A1199" s="1" t="s">
        <v>3074</v>
      </c>
      <c r="B1199" s="2" t="s">
        <v>2963</v>
      </c>
      <c r="C1199" s="1" t="s">
        <v>404</v>
      </c>
      <c r="D1199" s="1" t="s">
        <v>405</v>
      </c>
    </row>
    <row r="1200">
      <c r="A1200" s="1" t="s">
        <v>3075</v>
      </c>
      <c r="B1200" s="2" t="s">
        <v>2966</v>
      </c>
      <c r="C1200" s="1" t="s">
        <v>404</v>
      </c>
      <c r="D1200" s="1" t="s">
        <v>405</v>
      </c>
    </row>
    <row r="1201">
      <c r="A1201" s="1" t="s">
        <v>3076</v>
      </c>
      <c r="B1201" s="2" t="s">
        <v>2970</v>
      </c>
      <c r="C1201" s="1" t="s">
        <v>404</v>
      </c>
      <c r="D1201" s="1" t="s">
        <v>405</v>
      </c>
    </row>
    <row r="1202">
      <c r="A1202" s="1" t="s">
        <v>3077</v>
      </c>
      <c r="B1202" s="2" t="s">
        <v>2972</v>
      </c>
      <c r="C1202" s="1" t="s">
        <v>404</v>
      </c>
      <c r="D1202" s="1" t="s">
        <v>405</v>
      </c>
    </row>
    <row r="1203">
      <c r="A1203" s="1" t="s">
        <v>3079</v>
      </c>
      <c r="B1203" s="2" t="s">
        <v>2976</v>
      </c>
      <c r="C1203" s="1" t="s">
        <v>404</v>
      </c>
      <c r="D1203" s="1" t="s">
        <v>405</v>
      </c>
    </row>
    <row r="1204">
      <c r="A1204" s="1" t="s">
        <v>3080</v>
      </c>
      <c r="B1204" s="2" t="s">
        <v>2979</v>
      </c>
      <c r="C1204" s="1" t="s">
        <v>404</v>
      </c>
      <c r="D1204" s="1" t="s">
        <v>405</v>
      </c>
    </row>
    <row r="1205">
      <c r="A1205" s="1" t="s">
        <v>3081</v>
      </c>
      <c r="B1205" s="2" t="s">
        <v>2982</v>
      </c>
      <c r="C1205" s="1" t="s">
        <v>404</v>
      </c>
      <c r="D1205" s="1" t="s">
        <v>405</v>
      </c>
    </row>
    <row r="1206">
      <c r="A1206" s="1" t="s">
        <v>3083</v>
      </c>
      <c r="B1206" s="2" t="s">
        <v>2987</v>
      </c>
      <c r="C1206" s="1" t="s">
        <v>404</v>
      </c>
      <c r="D1206" s="1" t="s">
        <v>405</v>
      </c>
    </row>
    <row r="1207">
      <c r="A1207" s="1" t="s">
        <v>429</v>
      </c>
      <c r="B1207" s="2" t="s">
        <v>7</v>
      </c>
      <c r="C1207" s="1" t="s">
        <v>431</v>
      </c>
      <c r="D1207" s="1" t="s">
        <v>433</v>
      </c>
    </row>
    <row r="1208">
      <c r="A1208" s="1" t="s">
        <v>3084</v>
      </c>
      <c r="B1208" s="2" t="s">
        <v>13</v>
      </c>
      <c r="C1208" s="1" t="s">
        <v>431</v>
      </c>
      <c r="D1208" s="1" t="s">
        <v>433</v>
      </c>
    </row>
    <row r="1209">
      <c r="A1209" s="1" t="s">
        <v>3085</v>
      </c>
      <c r="B1209" s="2" t="s">
        <v>2920</v>
      </c>
      <c r="C1209" s="1" t="s">
        <v>431</v>
      </c>
      <c r="D1209" s="1" t="s">
        <v>433</v>
      </c>
    </row>
    <row r="1210">
      <c r="A1210" s="1" t="s">
        <v>3087</v>
      </c>
      <c r="B1210" s="2" t="s">
        <v>2923</v>
      </c>
      <c r="C1210" s="1" t="s">
        <v>431</v>
      </c>
      <c r="D1210" s="1" t="s">
        <v>433</v>
      </c>
    </row>
    <row r="1211">
      <c r="A1211" s="1" t="s">
        <v>3089</v>
      </c>
      <c r="B1211" s="2" t="s">
        <v>2927</v>
      </c>
      <c r="C1211" s="1" t="s">
        <v>431</v>
      </c>
      <c r="D1211" s="1" t="s">
        <v>433</v>
      </c>
    </row>
    <row r="1212">
      <c r="A1212" s="1" t="s">
        <v>3091</v>
      </c>
      <c r="B1212" s="2" t="s">
        <v>2929</v>
      </c>
      <c r="C1212" s="1" t="s">
        <v>431</v>
      </c>
      <c r="D1212" s="1" t="s">
        <v>433</v>
      </c>
    </row>
    <row r="1213">
      <c r="A1213" s="1" t="s">
        <v>3092</v>
      </c>
      <c r="B1213" s="2" t="s">
        <v>2934</v>
      </c>
      <c r="C1213" s="1" t="s">
        <v>431</v>
      </c>
      <c r="D1213" s="1" t="s">
        <v>433</v>
      </c>
    </row>
    <row r="1214">
      <c r="A1214" s="1" t="s">
        <v>3093</v>
      </c>
      <c r="B1214" s="2" t="s">
        <v>2936</v>
      </c>
      <c r="C1214" s="1" t="s">
        <v>431</v>
      </c>
      <c r="D1214" s="1" t="s">
        <v>433</v>
      </c>
    </row>
    <row r="1215">
      <c r="A1215" s="1" t="s">
        <v>3097</v>
      </c>
      <c r="B1215" s="2" t="s">
        <v>2940</v>
      </c>
      <c r="C1215" s="1" t="s">
        <v>431</v>
      </c>
      <c r="D1215" s="1" t="s">
        <v>433</v>
      </c>
    </row>
    <row r="1216">
      <c r="A1216" s="1" t="s">
        <v>3098</v>
      </c>
      <c r="B1216" s="2" t="s">
        <v>2943</v>
      </c>
      <c r="C1216" s="1" t="s">
        <v>431</v>
      </c>
      <c r="D1216" s="1" t="s">
        <v>433</v>
      </c>
    </row>
    <row r="1217">
      <c r="A1217" s="1" t="s">
        <v>3100</v>
      </c>
      <c r="B1217" s="2" t="s">
        <v>2947</v>
      </c>
      <c r="C1217" s="1" t="s">
        <v>431</v>
      </c>
      <c r="D1217" s="1" t="s">
        <v>433</v>
      </c>
    </row>
    <row r="1218">
      <c r="A1218" s="1" t="s">
        <v>3102</v>
      </c>
      <c r="B1218" s="2" t="s">
        <v>2950</v>
      </c>
      <c r="C1218" s="1" t="s">
        <v>431</v>
      </c>
      <c r="D1218" s="1" t="s">
        <v>433</v>
      </c>
    </row>
    <row r="1219">
      <c r="A1219" s="1" t="s">
        <v>3104</v>
      </c>
      <c r="B1219" s="2" t="s">
        <v>70</v>
      </c>
      <c r="C1219" s="1" t="s">
        <v>431</v>
      </c>
      <c r="D1219" s="1" t="s">
        <v>433</v>
      </c>
    </row>
    <row r="1220">
      <c r="A1220" s="1" t="s">
        <v>3106</v>
      </c>
      <c r="B1220" s="2" t="s">
        <v>2956</v>
      </c>
      <c r="C1220" s="1" t="s">
        <v>431</v>
      </c>
      <c r="D1220" s="1" t="s">
        <v>433</v>
      </c>
    </row>
    <row r="1221">
      <c r="A1221" s="1" t="s">
        <v>3107</v>
      </c>
      <c r="B1221" s="2" t="s">
        <v>2959</v>
      </c>
      <c r="C1221" s="1" t="s">
        <v>431</v>
      </c>
      <c r="D1221" s="1" t="s">
        <v>433</v>
      </c>
    </row>
    <row r="1222">
      <c r="A1222" s="1" t="s">
        <v>3110</v>
      </c>
      <c r="B1222" s="2" t="s">
        <v>2963</v>
      </c>
      <c r="C1222" s="1" t="s">
        <v>431</v>
      </c>
      <c r="D1222" s="1" t="s">
        <v>433</v>
      </c>
    </row>
    <row r="1223">
      <c r="A1223" s="1" t="s">
        <v>3112</v>
      </c>
      <c r="B1223" s="2" t="s">
        <v>2966</v>
      </c>
      <c r="C1223" s="1" t="s">
        <v>431</v>
      </c>
      <c r="D1223" s="1" t="s">
        <v>433</v>
      </c>
    </row>
    <row r="1224">
      <c r="A1224" s="1" t="s">
        <v>3113</v>
      </c>
      <c r="B1224" s="2" t="s">
        <v>2970</v>
      </c>
      <c r="C1224" s="1" t="s">
        <v>431</v>
      </c>
      <c r="D1224" s="1" t="s">
        <v>433</v>
      </c>
    </row>
    <row r="1225">
      <c r="A1225" s="1" t="s">
        <v>3115</v>
      </c>
      <c r="B1225" s="2" t="s">
        <v>2972</v>
      </c>
      <c r="C1225" s="1" t="s">
        <v>431</v>
      </c>
      <c r="D1225" s="1" t="s">
        <v>433</v>
      </c>
    </row>
    <row r="1226">
      <c r="A1226" s="1" t="s">
        <v>3117</v>
      </c>
      <c r="B1226" s="2" t="s">
        <v>2976</v>
      </c>
      <c r="C1226" s="1" t="s">
        <v>431</v>
      </c>
      <c r="D1226" s="1" t="s">
        <v>433</v>
      </c>
    </row>
    <row r="1227">
      <c r="A1227" s="1" t="s">
        <v>3119</v>
      </c>
      <c r="B1227" s="2" t="s">
        <v>2979</v>
      </c>
      <c r="C1227" s="1" t="s">
        <v>431</v>
      </c>
      <c r="D1227" s="1" t="s">
        <v>433</v>
      </c>
    </row>
    <row r="1228">
      <c r="A1228" s="1" t="s">
        <v>3120</v>
      </c>
      <c r="B1228" s="2" t="s">
        <v>2982</v>
      </c>
      <c r="C1228" s="1" t="s">
        <v>431</v>
      </c>
      <c r="D1228" s="1" t="s">
        <v>433</v>
      </c>
    </row>
    <row r="1229">
      <c r="A1229" s="1" t="s">
        <v>3123</v>
      </c>
      <c r="B1229" s="2" t="s">
        <v>2987</v>
      </c>
      <c r="C1229" s="1" t="s">
        <v>431</v>
      </c>
      <c r="D1229" s="1" t="s">
        <v>433</v>
      </c>
    </row>
    <row r="1230">
      <c r="A1230" s="1" t="s">
        <v>437</v>
      </c>
      <c r="B1230" s="2" t="s">
        <v>7</v>
      </c>
      <c r="C1230" s="1" t="s">
        <v>438</v>
      </c>
      <c r="D1230" s="1" t="s">
        <v>440</v>
      </c>
    </row>
    <row r="1231">
      <c r="A1231" s="1" t="s">
        <v>3126</v>
      </c>
      <c r="B1231" s="2" t="s">
        <v>13</v>
      </c>
      <c r="C1231" s="1" t="s">
        <v>438</v>
      </c>
      <c r="D1231" s="1" t="s">
        <v>440</v>
      </c>
    </row>
    <row r="1232">
      <c r="A1232" s="1" t="s">
        <v>3128</v>
      </c>
      <c r="B1232" s="2" t="s">
        <v>2920</v>
      </c>
      <c r="C1232" s="1" t="s">
        <v>438</v>
      </c>
      <c r="D1232" s="1" t="s">
        <v>440</v>
      </c>
    </row>
    <row r="1233">
      <c r="A1233" s="1" t="s">
        <v>3129</v>
      </c>
      <c r="B1233" s="2" t="s">
        <v>2923</v>
      </c>
      <c r="C1233" s="1" t="s">
        <v>438</v>
      </c>
      <c r="D1233" s="1" t="s">
        <v>440</v>
      </c>
    </row>
    <row r="1234">
      <c r="A1234" s="1" t="s">
        <v>3132</v>
      </c>
      <c r="B1234" s="2" t="s">
        <v>2927</v>
      </c>
      <c r="C1234" s="1" t="s">
        <v>438</v>
      </c>
      <c r="D1234" s="1" t="s">
        <v>440</v>
      </c>
    </row>
    <row r="1235">
      <c r="A1235" s="1" t="s">
        <v>3134</v>
      </c>
      <c r="B1235" s="2" t="s">
        <v>2929</v>
      </c>
      <c r="C1235" s="1" t="s">
        <v>438</v>
      </c>
      <c r="D1235" s="1" t="s">
        <v>440</v>
      </c>
    </row>
    <row r="1236">
      <c r="A1236" s="1" t="s">
        <v>3136</v>
      </c>
      <c r="B1236" s="2" t="s">
        <v>2934</v>
      </c>
      <c r="C1236" s="1" t="s">
        <v>438</v>
      </c>
      <c r="D1236" s="1" t="s">
        <v>440</v>
      </c>
    </row>
    <row r="1237">
      <c r="A1237" s="1" t="s">
        <v>3139</v>
      </c>
      <c r="B1237" s="2" t="s">
        <v>2936</v>
      </c>
      <c r="C1237" s="1" t="s">
        <v>438</v>
      </c>
      <c r="D1237" s="1" t="s">
        <v>440</v>
      </c>
    </row>
    <row r="1238">
      <c r="A1238" s="1" t="s">
        <v>3140</v>
      </c>
      <c r="B1238" s="2" t="s">
        <v>2940</v>
      </c>
      <c r="C1238" s="1" t="s">
        <v>438</v>
      </c>
      <c r="D1238" s="1" t="s">
        <v>440</v>
      </c>
    </row>
    <row r="1239">
      <c r="A1239" s="1" t="s">
        <v>3141</v>
      </c>
      <c r="B1239" s="2" t="s">
        <v>2943</v>
      </c>
      <c r="C1239" s="1" t="s">
        <v>438</v>
      </c>
      <c r="D1239" s="1" t="s">
        <v>440</v>
      </c>
    </row>
    <row r="1240">
      <c r="A1240" s="1" t="s">
        <v>3143</v>
      </c>
      <c r="B1240" s="2" t="s">
        <v>2947</v>
      </c>
      <c r="C1240" s="1" t="s">
        <v>438</v>
      </c>
      <c r="D1240" s="1" t="s">
        <v>440</v>
      </c>
    </row>
    <row r="1241">
      <c r="A1241" s="1" t="s">
        <v>3146</v>
      </c>
      <c r="B1241" s="2" t="s">
        <v>2950</v>
      </c>
      <c r="C1241" s="1" t="s">
        <v>438</v>
      </c>
      <c r="D1241" s="1" t="s">
        <v>440</v>
      </c>
    </row>
    <row r="1242">
      <c r="A1242" s="1" t="s">
        <v>3147</v>
      </c>
      <c r="B1242" s="2" t="s">
        <v>70</v>
      </c>
      <c r="C1242" s="1" t="s">
        <v>438</v>
      </c>
      <c r="D1242" s="1" t="s">
        <v>440</v>
      </c>
    </row>
    <row r="1243">
      <c r="A1243" s="1" t="s">
        <v>3149</v>
      </c>
      <c r="B1243" s="2" t="s">
        <v>2956</v>
      </c>
      <c r="C1243" s="1" t="s">
        <v>438</v>
      </c>
      <c r="D1243" s="1" t="s">
        <v>440</v>
      </c>
    </row>
    <row r="1244">
      <c r="A1244" s="1" t="s">
        <v>3152</v>
      </c>
      <c r="B1244" s="2" t="s">
        <v>2959</v>
      </c>
      <c r="C1244" s="1" t="s">
        <v>438</v>
      </c>
      <c r="D1244" s="1" t="s">
        <v>440</v>
      </c>
    </row>
    <row r="1245">
      <c r="A1245" s="1" t="s">
        <v>3154</v>
      </c>
      <c r="B1245" s="2" t="s">
        <v>2963</v>
      </c>
      <c r="C1245" s="1" t="s">
        <v>438</v>
      </c>
      <c r="D1245" s="1" t="s">
        <v>440</v>
      </c>
    </row>
    <row r="1246">
      <c r="A1246" s="1" t="s">
        <v>3155</v>
      </c>
      <c r="B1246" s="2" t="s">
        <v>2966</v>
      </c>
      <c r="C1246" s="1" t="s">
        <v>438</v>
      </c>
      <c r="D1246" s="1" t="s">
        <v>440</v>
      </c>
    </row>
    <row r="1247">
      <c r="A1247" s="1" t="s">
        <v>3158</v>
      </c>
      <c r="B1247" s="2" t="s">
        <v>2970</v>
      </c>
      <c r="C1247" s="1" t="s">
        <v>438</v>
      </c>
      <c r="D1247" s="1" t="s">
        <v>440</v>
      </c>
    </row>
    <row r="1248">
      <c r="A1248" s="1" t="s">
        <v>3160</v>
      </c>
      <c r="B1248" s="2" t="s">
        <v>2972</v>
      </c>
      <c r="C1248" s="1" t="s">
        <v>438</v>
      </c>
      <c r="D1248" s="1" t="s">
        <v>440</v>
      </c>
    </row>
    <row r="1249">
      <c r="A1249" s="1" t="s">
        <v>3161</v>
      </c>
      <c r="B1249" s="2" t="s">
        <v>2976</v>
      </c>
      <c r="C1249" s="1" t="s">
        <v>438</v>
      </c>
      <c r="D1249" s="1" t="s">
        <v>440</v>
      </c>
    </row>
    <row r="1250">
      <c r="A1250" s="1" t="s">
        <v>3163</v>
      </c>
      <c r="B1250" s="2" t="s">
        <v>2979</v>
      </c>
      <c r="C1250" s="1" t="s">
        <v>438</v>
      </c>
      <c r="D1250" s="1" t="s">
        <v>440</v>
      </c>
    </row>
    <row r="1251">
      <c r="A1251" s="1" t="s">
        <v>3166</v>
      </c>
      <c r="B1251" s="2" t="s">
        <v>2982</v>
      </c>
      <c r="C1251" s="1" t="s">
        <v>438</v>
      </c>
      <c r="D1251" s="1" t="s">
        <v>440</v>
      </c>
    </row>
    <row r="1252">
      <c r="A1252" s="1" t="s">
        <v>3167</v>
      </c>
      <c r="B1252" s="2" t="s">
        <v>2987</v>
      </c>
      <c r="C1252" s="1" t="s">
        <v>438</v>
      </c>
      <c r="D1252" s="1" t="s">
        <v>440</v>
      </c>
    </row>
    <row r="1253">
      <c r="A1253" s="1" t="s">
        <v>442</v>
      </c>
      <c r="B1253" s="2" t="s">
        <v>7</v>
      </c>
      <c r="C1253" s="1" t="s">
        <v>444</v>
      </c>
      <c r="D1253" s="1" t="s">
        <v>445</v>
      </c>
    </row>
    <row r="1254">
      <c r="A1254" s="1" t="s">
        <v>3171</v>
      </c>
      <c r="B1254" s="2" t="s">
        <v>13</v>
      </c>
      <c r="C1254" s="1" t="s">
        <v>444</v>
      </c>
      <c r="D1254" s="1" t="s">
        <v>445</v>
      </c>
    </row>
    <row r="1255">
      <c r="A1255" s="1" t="s">
        <v>3172</v>
      </c>
      <c r="B1255" s="2" t="s">
        <v>2920</v>
      </c>
      <c r="C1255" s="1" t="s">
        <v>444</v>
      </c>
      <c r="D1255" s="1" t="s">
        <v>445</v>
      </c>
    </row>
    <row r="1256">
      <c r="A1256" s="1" t="s">
        <v>3173</v>
      </c>
      <c r="B1256" s="2" t="s">
        <v>2923</v>
      </c>
      <c r="C1256" s="1" t="s">
        <v>444</v>
      </c>
      <c r="D1256" s="1" t="s">
        <v>445</v>
      </c>
    </row>
    <row r="1257">
      <c r="A1257" s="1" t="s">
        <v>3175</v>
      </c>
      <c r="B1257" s="2" t="s">
        <v>2927</v>
      </c>
      <c r="C1257" s="1" t="s">
        <v>444</v>
      </c>
      <c r="D1257" s="1" t="s">
        <v>445</v>
      </c>
    </row>
    <row r="1258">
      <c r="A1258" s="1" t="s">
        <v>3178</v>
      </c>
      <c r="B1258" s="2" t="s">
        <v>2929</v>
      </c>
      <c r="C1258" s="1" t="s">
        <v>444</v>
      </c>
      <c r="D1258" s="1" t="s">
        <v>445</v>
      </c>
    </row>
    <row r="1259">
      <c r="A1259" s="1" t="s">
        <v>3179</v>
      </c>
      <c r="B1259" s="2" t="s">
        <v>2934</v>
      </c>
      <c r="C1259" s="1" t="s">
        <v>444</v>
      </c>
      <c r="D1259" s="1" t="s">
        <v>445</v>
      </c>
    </row>
    <row r="1260">
      <c r="A1260" s="1" t="s">
        <v>3181</v>
      </c>
      <c r="B1260" s="2" t="s">
        <v>2936</v>
      </c>
      <c r="C1260" s="1" t="s">
        <v>444</v>
      </c>
      <c r="D1260" s="1" t="s">
        <v>445</v>
      </c>
    </row>
    <row r="1261">
      <c r="A1261" s="1" t="s">
        <v>3184</v>
      </c>
      <c r="B1261" s="2" t="s">
        <v>2940</v>
      </c>
      <c r="C1261" s="1" t="s">
        <v>444</v>
      </c>
      <c r="D1261" s="1" t="s">
        <v>445</v>
      </c>
    </row>
    <row r="1262">
      <c r="A1262" s="1" t="s">
        <v>3185</v>
      </c>
      <c r="B1262" s="2" t="s">
        <v>2943</v>
      </c>
      <c r="C1262" s="1" t="s">
        <v>444</v>
      </c>
      <c r="D1262" s="1" t="s">
        <v>445</v>
      </c>
    </row>
    <row r="1263">
      <c r="A1263" s="1" t="s">
        <v>3186</v>
      </c>
      <c r="B1263" s="2" t="s">
        <v>2947</v>
      </c>
      <c r="C1263" s="1" t="s">
        <v>444</v>
      </c>
      <c r="D1263" s="1" t="s">
        <v>445</v>
      </c>
    </row>
    <row r="1264">
      <c r="A1264" s="1" t="s">
        <v>3189</v>
      </c>
      <c r="B1264" s="2" t="s">
        <v>2950</v>
      </c>
      <c r="C1264" s="1" t="s">
        <v>444</v>
      </c>
      <c r="D1264" s="1" t="s">
        <v>445</v>
      </c>
    </row>
    <row r="1265">
      <c r="A1265" s="1" t="s">
        <v>3191</v>
      </c>
      <c r="B1265" s="2" t="s">
        <v>70</v>
      </c>
      <c r="C1265" s="1" t="s">
        <v>444</v>
      </c>
      <c r="D1265" s="1" t="s">
        <v>445</v>
      </c>
    </row>
    <row r="1266">
      <c r="A1266" s="1" t="s">
        <v>3192</v>
      </c>
      <c r="B1266" s="2" t="s">
        <v>2956</v>
      </c>
      <c r="C1266" s="1" t="s">
        <v>444</v>
      </c>
      <c r="D1266" s="1" t="s">
        <v>445</v>
      </c>
    </row>
    <row r="1267">
      <c r="A1267" s="1" t="s">
        <v>3193</v>
      </c>
      <c r="B1267" s="2" t="s">
        <v>2959</v>
      </c>
      <c r="C1267" s="1" t="s">
        <v>444</v>
      </c>
      <c r="D1267" s="1" t="s">
        <v>445</v>
      </c>
    </row>
    <row r="1268">
      <c r="A1268" s="1" t="s">
        <v>3194</v>
      </c>
      <c r="B1268" s="2" t="s">
        <v>2963</v>
      </c>
      <c r="C1268" s="1" t="s">
        <v>444</v>
      </c>
      <c r="D1268" s="1" t="s">
        <v>445</v>
      </c>
    </row>
    <row r="1269">
      <c r="A1269" s="1" t="s">
        <v>3195</v>
      </c>
      <c r="B1269" s="2" t="s">
        <v>2966</v>
      </c>
      <c r="C1269" s="1" t="s">
        <v>444</v>
      </c>
      <c r="D1269" s="1" t="s">
        <v>445</v>
      </c>
    </row>
    <row r="1270">
      <c r="A1270" s="1" t="s">
        <v>3196</v>
      </c>
      <c r="B1270" s="2" t="s">
        <v>2970</v>
      </c>
      <c r="C1270" s="1" t="s">
        <v>444</v>
      </c>
      <c r="D1270" s="1" t="s">
        <v>445</v>
      </c>
    </row>
    <row r="1271">
      <c r="A1271" s="1" t="s">
        <v>3197</v>
      </c>
      <c r="B1271" s="2" t="s">
        <v>2972</v>
      </c>
      <c r="C1271" s="1" t="s">
        <v>444</v>
      </c>
      <c r="D1271" s="1" t="s">
        <v>445</v>
      </c>
    </row>
    <row r="1272">
      <c r="A1272" s="1" t="s">
        <v>3198</v>
      </c>
      <c r="B1272" s="2" t="s">
        <v>2976</v>
      </c>
      <c r="C1272" s="1" t="s">
        <v>444</v>
      </c>
      <c r="D1272" s="1" t="s">
        <v>445</v>
      </c>
    </row>
    <row r="1273">
      <c r="A1273" s="1" t="s">
        <v>3200</v>
      </c>
      <c r="B1273" s="2" t="s">
        <v>2979</v>
      </c>
      <c r="C1273" s="1" t="s">
        <v>444</v>
      </c>
      <c r="D1273" s="1" t="s">
        <v>445</v>
      </c>
    </row>
    <row r="1274">
      <c r="A1274" s="1" t="s">
        <v>3202</v>
      </c>
      <c r="B1274" s="2" t="s">
        <v>2982</v>
      </c>
      <c r="C1274" s="1" t="s">
        <v>444</v>
      </c>
      <c r="D1274" s="1" t="s">
        <v>445</v>
      </c>
    </row>
    <row r="1275">
      <c r="A1275" s="1" t="s">
        <v>3204</v>
      </c>
      <c r="B1275" s="2" t="s">
        <v>2987</v>
      </c>
      <c r="C1275" s="1" t="s">
        <v>444</v>
      </c>
      <c r="D1275" s="1" t="s">
        <v>445</v>
      </c>
    </row>
    <row r="1276">
      <c r="A1276" s="1" t="s">
        <v>448</v>
      </c>
      <c r="B1276" s="2" t="s">
        <v>7</v>
      </c>
      <c r="C1276" s="1" t="s">
        <v>450</v>
      </c>
      <c r="D1276" s="1" t="s">
        <v>451</v>
      </c>
    </row>
    <row r="1277">
      <c r="A1277" s="1" t="s">
        <v>3206</v>
      </c>
      <c r="B1277" s="2" t="s">
        <v>13</v>
      </c>
      <c r="C1277" s="1" t="s">
        <v>450</v>
      </c>
      <c r="D1277" s="1" t="s">
        <v>451</v>
      </c>
    </row>
    <row r="1278">
      <c r="A1278" s="1" t="s">
        <v>3209</v>
      </c>
      <c r="B1278" s="2" t="s">
        <v>2920</v>
      </c>
      <c r="C1278" s="1" t="s">
        <v>450</v>
      </c>
      <c r="D1278" s="1" t="s">
        <v>451</v>
      </c>
    </row>
    <row r="1279">
      <c r="A1279" s="1" t="s">
        <v>3210</v>
      </c>
      <c r="B1279" s="2" t="s">
        <v>2923</v>
      </c>
      <c r="C1279" s="1" t="s">
        <v>450</v>
      </c>
      <c r="D1279" s="1" t="s">
        <v>451</v>
      </c>
    </row>
    <row r="1280">
      <c r="A1280" s="1" t="s">
        <v>3212</v>
      </c>
      <c r="B1280" s="2" t="s">
        <v>2927</v>
      </c>
      <c r="C1280" s="1" t="s">
        <v>450</v>
      </c>
      <c r="D1280" s="1" t="s">
        <v>451</v>
      </c>
    </row>
    <row r="1281">
      <c r="A1281" s="1" t="s">
        <v>3214</v>
      </c>
      <c r="B1281" s="2" t="s">
        <v>2929</v>
      </c>
      <c r="C1281" s="1" t="s">
        <v>450</v>
      </c>
      <c r="D1281" s="1" t="s">
        <v>451</v>
      </c>
    </row>
    <row r="1282">
      <c r="A1282" s="1" t="s">
        <v>3216</v>
      </c>
      <c r="B1282" s="2" t="s">
        <v>2934</v>
      </c>
      <c r="C1282" s="1" t="s">
        <v>450</v>
      </c>
      <c r="D1282" s="1" t="s">
        <v>451</v>
      </c>
    </row>
    <row r="1283">
      <c r="A1283" s="1" t="s">
        <v>3217</v>
      </c>
      <c r="B1283" s="2" t="s">
        <v>2936</v>
      </c>
      <c r="C1283" s="1" t="s">
        <v>450</v>
      </c>
      <c r="D1283" s="1" t="s">
        <v>451</v>
      </c>
    </row>
    <row r="1284">
      <c r="A1284" s="1" t="s">
        <v>3218</v>
      </c>
      <c r="B1284" s="2" t="s">
        <v>2940</v>
      </c>
      <c r="C1284" s="1" t="s">
        <v>450</v>
      </c>
      <c r="D1284" s="1" t="s">
        <v>451</v>
      </c>
    </row>
    <row r="1285">
      <c r="A1285" s="1" t="s">
        <v>3219</v>
      </c>
      <c r="B1285" s="2" t="s">
        <v>2943</v>
      </c>
      <c r="C1285" s="1" t="s">
        <v>450</v>
      </c>
      <c r="D1285" s="1" t="s">
        <v>451</v>
      </c>
    </row>
    <row r="1286">
      <c r="A1286" s="1" t="s">
        <v>3221</v>
      </c>
      <c r="B1286" s="2" t="s">
        <v>2947</v>
      </c>
      <c r="C1286" s="1" t="s">
        <v>450</v>
      </c>
      <c r="D1286" s="1" t="s">
        <v>451</v>
      </c>
    </row>
    <row r="1287">
      <c r="A1287" s="1" t="s">
        <v>3224</v>
      </c>
      <c r="B1287" s="2" t="s">
        <v>2950</v>
      </c>
      <c r="C1287" s="1" t="s">
        <v>450</v>
      </c>
      <c r="D1287" s="1" t="s">
        <v>451</v>
      </c>
    </row>
    <row r="1288">
      <c r="A1288" s="1" t="s">
        <v>3225</v>
      </c>
      <c r="B1288" s="2" t="s">
        <v>70</v>
      </c>
      <c r="C1288" s="1" t="s">
        <v>450</v>
      </c>
      <c r="D1288" s="1" t="s">
        <v>451</v>
      </c>
    </row>
    <row r="1289">
      <c r="A1289" s="1" t="s">
        <v>3226</v>
      </c>
      <c r="B1289" s="2" t="s">
        <v>2956</v>
      </c>
      <c r="C1289" s="1" t="s">
        <v>450</v>
      </c>
      <c r="D1289" s="1" t="s">
        <v>451</v>
      </c>
    </row>
    <row r="1290">
      <c r="A1290" s="1" t="s">
        <v>3228</v>
      </c>
      <c r="B1290" s="2" t="s">
        <v>2959</v>
      </c>
      <c r="C1290" s="1" t="s">
        <v>450</v>
      </c>
      <c r="D1290" s="1" t="s">
        <v>451</v>
      </c>
    </row>
    <row r="1291">
      <c r="A1291" s="1" t="s">
        <v>3231</v>
      </c>
      <c r="B1291" s="2" t="s">
        <v>2963</v>
      </c>
      <c r="C1291" s="1" t="s">
        <v>450</v>
      </c>
      <c r="D1291" s="1" t="s">
        <v>451</v>
      </c>
    </row>
    <row r="1292">
      <c r="A1292" s="1" t="s">
        <v>3232</v>
      </c>
      <c r="B1292" s="2" t="s">
        <v>2966</v>
      </c>
      <c r="C1292" s="1" t="s">
        <v>450</v>
      </c>
      <c r="D1292" s="1" t="s">
        <v>451</v>
      </c>
    </row>
    <row r="1293">
      <c r="A1293" s="1" t="s">
        <v>3233</v>
      </c>
      <c r="B1293" s="2" t="s">
        <v>2970</v>
      </c>
      <c r="C1293" s="1" t="s">
        <v>450</v>
      </c>
      <c r="D1293" s="1" t="s">
        <v>451</v>
      </c>
    </row>
    <row r="1294">
      <c r="A1294" s="1" t="s">
        <v>3236</v>
      </c>
      <c r="B1294" s="2" t="s">
        <v>2972</v>
      </c>
      <c r="C1294" s="1" t="s">
        <v>450</v>
      </c>
      <c r="D1294" s="1" t="s">
        <v>451</v>
      </c>
    </row>
    <row r="1295">
      <c r="A1295" s="1" t="s">
        <v>3238</v>
      </c>
      <c r="B1295" s="2" t="s">
        <v>2976</v>
      </c>
      <c r="C1295" s="1" t="s">
        <v>450</v>
      </c>
      <c r="D1295" s="1" t="s">
        <v>451</v>
      </c>
    </row>
    <row r="1296">
      <c r="A1296" s="1" t="s">
        <v>3240</v>
      </c>
      <c r="B1296" s="2" t="s">
        <v>2979</v>
      </c>
      <c r="C1296" s="1" t="s">
        <v>450</v>
      </c>
      <c r="D1296" s="1" t="s">
        <v>451</v>
      </c>
    </row>
    <row r="1297">
      <c r="A1297" s="1" t="s">
        <v>3241</v>
      </c>
      <c r="B1297" s="2" t="s">
        <v>2982</v>
      </c>
      <c r="C1297" s="1" t="s">
        <v>450</v>
      </c>
      <c r="D1297" s="1" t="s">
        <v>451</v>
      </c>
    </row>
    <row r="1298">
      <c r="A1298" s="1" t="s">
        <v>3243</v>
      </c>
      <c r="B1298" s="2" t="s">
        <v>2987</v>
      </c>
      <c r="C1298" s="1" t="s">
        <v>450</v>
      </c>
      <c r="D1298" s="1" t="s">
        <v>451</v>
      </c>
    </row>
    <row r="1299">
      <c r="A1299" s="1" t="s">
        <v>454</v>
      </c>
      <c r="B1299" s="2" t="s">
        <v>7</v>
      </c>
      <c r="C1299" s="1" t="s">
        <v>455</v>
      </c>
      <c r="D1299" s="1" t="s">
        <v>457</v>
      </c>
    </row>
    <row r="1300">
      <c r="A1300" s="1" t="s">
        <v>3247</v>
      </c>
      <c r="B1300" s="2" t="s">
        <v>13</v>
      </c>
      <c r="C1300" s="1" t="s">
        <v>455</v>
      </c>
      <c r="D1300" s="1" t="s">
        <v>457</v>
      </c>
    </row>
    <row r="1301">
      <c r="A1301" s="1" t="s">
        <v>3248</v>
      </c>
      <c r="B1301" s="2" t="s">
        <v>2920</v>
      </c>
      <c r="C1301" s="1" t="s">
        <v>455</v>
      </c>
      <c r="D1301" s="1" t="s">
        <v>457</v>
      </c>
    </row>
    <row r="1302">
      <c r="A1302" s="1" t="s">
        <v>3252</v>
      </c>
      <c r="B1302" s="2" t="s">
        <v>2923</v>
      </c>
      <c r="C1302" s="1" t="s">
        <v>455</v>
      </c>
      <c r="D1302" s="1" t="s">
        <v>457</v>
      </c>
    </row>
    <row r="1303">
      <c r="A1303" s="1" t="s">
        <v>3253</v>
      </c>
      <c r="B1303" s="2" t="s">
        <v>2927</v>
      </c>
      <c r="C1303" s="1" t="s">
        <v>455</v>
      </c>
      <c r="D1303" s="1" t="s">
        <v>457</v>
      </c>
    </row>
    <row r="1304">
      <c r="A1304" s="1" t="s">
        <v>3254</v>
      </c>
      <c r="B1304" s="2" t="s">
        <v>2929</v>
      </c>
      <c r="C1304" s="1" t="s">
        <v>455</v>
      </c>
      <c r="D1304" s="1" t="s">
        <v>457</v>
      </c>
    </row>
    <row r="1305">
      <c r="A1305" s="1" t="s">
        <v>3256</v>
      </c>
      <c r="B1305" s="2" t="s">
        <v>2934</v>
      </c>
      <c r="C1305" s="1" t="s">
        <v>455</v>
      </c>
      <c r="D1305" s="1" t="s">
        <v>457</v>
      </c>
    </row>
    <row r="1306">
      <c r="A1306" s="1" t="s">
        <v>3259</v>
      </c>
      <c r="B1306" s="2" t="s">
        <v>2936</v>
      </c>
      <c r="C1306" s="1" t="s">
        <v>455</v>
      </c>
      <c r="D1306" s="1" t="s">
        <v>457</v>
      </c>
    </row>
    <row r="1307">
      <c r="A1307" s="1" t="s">
        <v>3260</v>
      </c>
      <c r="B1307" s="2" t="s">
        <v>2940</v>
      </c>
      <c r="C1307" s="1" t="s">
        <v>455</v>
      </c>
      <c r="D1307" s="1" t="s">
        <v>457</v>
      </c>
    </row>
    <row r="1308">
      <c r="A1308" s="1" t="s">
        <v>3262</v>
      </c>
      <c r="B1308" s="2" t="s">
        <v>2943</v>
      </c>
      <c r="C1308" s="1" t="s">
        <v>455</v>
      </c>
      <c r="D1308" s="1" t="s">
        <v>457</v>
      </c>
    </row>
    <row r="1309">
      <c r="A1309" s="1" t="s">
        <v>3264</v>
      </c>
      <c r="B1309" s="2" t="s">
        <v>2947</v>
      </c>
      <c r="C1309" s="1" t="s">
        <v>455</v>
      </c>
      <c r="D1309" s="1" t="s">
        <v>457</v>
      </c>
    </row>
    <row r="1310">
      <c r="A1310" s="1" t="s">
        <v>3267</v>
      </c>
      <c r="B1310" s="2" t="s">
        <v>2950</v>
      </c>
      <c r="C1310" s="1" t="s">
        <v>455</v>
      </c>
      <c r="D1310" s="1" t="s">
        <v>457</v>
      </c>
    </row>
    <row r="1311">
      <c r="A1311" s="1" t="s">
        <v>3268</v>
      </c>
      <c r="B1311" s="2" t="s">
        <v>70</v>
      </c>
      <c r="C1311" s="1" t="s">
        <v>455</v>
      </c>
      <c r="D1311" s="1" t="s">
        <v>457</v>
      </c>
    </row>
    <row r="1312">
      <c r="A1312" s="1" t="s">
        <v>3270</v>
      </c>
      <c r="B1312" s="2" t="s">
        <v>2956</v>
      </c>
      <c r="C1312" s="1" t="s">
        <v>455</v>
      </c>
      <c r="D1312" s="1" t="s">
        <v>457</v>
      </c>
    </row>
    <row r="1313">
      <c r="A1313" s="1" t="s">
        <v>3273</v>
      </c>
      <c r="B1313" s="2" t="s">
        <v>2959</v>
      </c>
      <c r="C1313" s="1" t="s">
        <v>455</v>
      </c>
      <c r="D1313" s="1" t="s">
        <v>457</v>
      </c>
    </row>
    <row r="1314">
      <c r="A1314" s="1" t="s">
        <v>3274</v>
      </c>
      <c r="B1314" s="2" t="s">
        <v>2963</v>
      </c>
      <c r="C1314" s="1" t="s">
        <v>455</v>
      </c>
      <c r="D1314" s="1" t="s">
        <v>457</v>
      </c>
    </row>
    <row r="1315">
      <c r="A1315" s="1" t="s">
        <v>3275</v>
      </c>
      <c r="B1315" s="2" t="s">
        <v>2966</v>
      </c>
      <c r="C1315" s="1" t="s">
        <v>455</v>
      </c>
      <c r="D1315" s="1" t="s">
        <v>457</v>
      </c>
    </row>
    <row r="1316">
      <c r="A1316" s="1" t="s">
        <v>3276</v>
      </c>
      <c r="B1316" s="2" t="s">
        <v>2970</v>
      </c>
      <c r="C1316" s="1" t="s">
        <v>455</v>
      </c>
      <c r="D1316" s="1" t="s">
        <v>457</v>
      </c>
    </row>
    <row r="1317">
      <c r="A1317" s="1" t="s">
        <v>3278</v>
      </c>
      <c r="B1317" s="2" t="s">
        <v>2972</v>
      </c>
      <c r="C1317" s="1" t="s">
        <v>455</v>
      </c>
      <c r="D1317" s="1" t="s">
        <v>457</v>
      </c>
    </row>
    <row r="1318">
      <c r="A1318" s="1" t="s">
        <v>3281</v>
      </c>
      <c r="B1318" s="2" t="s">
        <v>2976</v>
      </c>
      <c r="C1318" s="1" t="s">
        <v>455</v>
      </c>
      <c r="D1318" s="1" t="s">
        <v>457</v>
      </c>
    </row>
    <row r="1319">
      <c r="A1319" s="1" t="s">
        <v>3282</v>
      </c>
      <c r="B1319" s="2" t="s">
        <v>2979</v>
      </c>
      <c r="C1319" s="1" t="s">
        <v>455</v>
      </c>
      <c r="D1319" s="1" t="s">
        <v>457</v>
      </c>
    </row>
    <row r="1320">
      <c r="A1320" s="1" t="s">
        <v>3283</v>
      </c>
      <c r="B1320" s="2" t="s">
        <v>2982</v>
      </c>
      <c r="C1320" s="1" t="s">
        <v>455</v>
      </c>
      <c r="D1320" s="1" t="s">
        <v>457</v>
      </c>
    </row>
    <row r="1321">
      <c r="A1321" s="1" t="s">
        <v>3285</v>
      </c>
      <c r="B1321" s="2" t="s">
        <v>2987</v>
      </c>
      <c r="C1321" s="1" t="s">
        <v>455</v>
      </c>
      <c r="D1321" s="1" t="s">
        <v>457</v>
      </c>
    </row>
    <row r="1322">
      <c r="A1322" s="1" t="s">
        <v>460</v>
      </c>
      <c r="B1322" s="2" t="s">
        <v>7</v>
      </c>
      <c r="C1322" s="1" t="s">
        <v>462</v>
      </c>
      <c r="D1322" s="1" t="s">
        <v>463</v>
      </c>
    </row>
    <row r="1323">
      <c r="A1323" s="1" t="s">
        <v>3288</v>
      </c>
      <c r="B1323" s="2" t="s">
        <v>13</v>
      </c>
      <c r="C1323" s="1" t="s">
        <v>462</v>
      </c>
      <c r="D1323" s="1" t="s">
        <v>463</v>
      </c>
    </row>
    <row r="1324">
      <c r="A1324" s="1" t="s">
        <v>3289</v>
      </c>
      <c r="B1324" s="2" t="s">
        <v>2920</v>
      </c>
      <c r="C1324" s="1" t="s">
        <v>462</v>
      </c>
      <c r="D1324" s="1" t="s">
        <v>463</v>
      </c>
    </row>
    <row r="1325">
      <c r="A1325" s="1" t="s">
        <v>3290</v>
      </c>
      <c r="B1325" s="2" t="s">
        <v>2923</v>
      </c>
      <c r="C1325" s="1" t="s">
        <v>462</v>
      </c>
      <c r="D1325" s="1" t="s">
        <v>463</v>
      </c>
    </row>
    <row r="1326">
      <c r="A1326" s="1" t="s">
        <v>3292</v>
      </c>
      <c r="B1326" s="2" t="s">
        <v>2927</v>
      </c>
      <c r="C1326" s="1" t="s">
        <v>462</v>
      </c>
      <c r="D1326" s="1" t="s">
        <v>463</v>
      </c>
    </row>
    <row r="1327">
      <c r="A1327" s="1" t="s">
        <v>3295</v>
      </c>
      <c r="B1327" s="2" t="s">
        <v>2929</v>
      </c>
      <c r="C1327" s="1" t="s">
        <v>462</v>
      </c>
      <c r="D1327" s="1" t="s">
        <v>463</v>
      </c>
    </row>
    <row r="1328">
      <c r="A1328" s="1" t="s">
        <v>3296</v>
      </c>
      <c r="B1328" s="2" t="s">
        <v>2934</v>
      </c>
      <c r="C1328" s="1" t="s">
        <v>462</v>
      </c>
      <c r="D1328" s="1" t="s">
        <v>463</v>
      </c>
    </row>
    <row r="1329">
      <c r="A1329" s="1" t="s">
        <v>3297</v>
      </c>
      <c r="B1329" s="2" t="s">
        <v>2936</v>
      </c>
      <c r="C1329" s="1" t="s">
        <v>462</v>
      </c>
      <c r="D1329" s="1" t="s">
        <v>463</v>
      </c>
    </row>
    <row r="1330">
      <c r="A1330" s="1" t="s">
        <v>3299</v>
      </c>
      <c r="B1330" s="2" t="s">
        <v>2940</v>
      </c>
      <c r="C1330" s="1" t="s">
        <v>462</v>
      </c>
      <c r="D1330" s="1" t="s">
        <v>463</v>
      </c>
    </row>
    <row r="1331">
      <c r="A1331" s="1" t="s">
        <v>3301</v>
      </c>
      <c r="B1331" s="2" t="s">
        <v>2943</v>
      </c>
      <c r="C1331" s="1" t="s">
        <v>462</v>
      </c>
      <c r="D1331" s="1" t="s">
        <v>463</v>
      </c>
    </row>
    <row r="1332">
      <c r="A1332" s="1" t="s">
        <v>3303</v>
      </c>
      <c r="B1332" s="2" t="s">
        <v>2947</v>
      </c>
      <c r="C1332" s="1" t="s">
        <v>462</v>
      </c>
      <c r="D1332" s="1" t="s">
        <v>463</v>
      </c>
    </row>
    <row r="1333">
      <c r="A1333" s="1" t="s">
        <v>3305</v>
      </c>
      <c r="B1333" s="2" t="s">
        <v>2950</v>
      </c>
      <c r="C1333" s="1" t="s">
        <v>462</v>
      </c>
      <c r="D1333" s="1" t="s">
        <v>463</v>
      </c>
    </row>
    <row r="1334">
      <c r="A1334" s="1" t="s">
        <v>3308</v>
      </c>
      <c r="B1334" s="2" t="s">
        <v>70</v>
      </c>
      <c r="C1334" s="1" t="s">
        <v>462</v>
      </c>
      <c r="D1334" s="1" t="s">
        <v>463</v>
      </c>
    </row>
    <row r="1335">
      <c r="A1335" s="1" t="s">
        <v>3309</v>
      </c>
      <c r="B1335" s="2" t="s">
        <v>2956</v>
      </c>
      <c r="C1335" s="1" t="s">
        <v>462</v>
      </c>
      <c r="D1335" s="1" t="s">
        <v>463</v>
      </c>
    </row>
    <row r="1336">
      <c r="A1336" s="1" t="s">
        <v>3310</v>
      </c>
      <c r="B1336" s="2" t="s">
        <v>2959</v>
      </c>
      <c r="C1336" s="1" t="s">
        <v>462</v>
      </c>
      <c r="D1336" s="1" t="s">
        <v>463</v>
      </c>
    </row>
    <row r="1337">
      <c r="A1337" s="1" t="s">
        <v>3311</v>
      </c>
      <c r="B1337" s="2" t="s">
        <v>2963</v>
      </c>
      <c r="C1337" s="1" t="s">
        <v>462</v>
      </c>
      <c r="D1337" s="1" t="s">
        <v>463</v>
      </c>
    </row>
    <row r="1338">
      <c r="A1338" s="1" t="s">
        <v>3315</v>
      </c>
      <c r="B1338" s="2" t="s">
        <v>2966</v>
      </c>
      <c r="C1338" s="1" t="s">
        <v>462</v>
      </c>
      <c r="D1338" s="1" t="s">
        <v>463</v>
      </c>
    </row>
    <row r="1339">
      <c r="A1339" s="1" t="s">
        <v>3316</v>
      </c>
      <c r="B1339" s="2" t="s">
        <v>2970</v>
      </c>
      <c r="C1339" s="1" t="s">
        <v>462</v>
      </c>
      <c r="D1339" s="1" t="s">
        <v>463</v>
      </c>
    </row>
    <row r="1340">
      <c r="A1340" s="1" t="s">
        <v>3318</v>
      </c>
      <c r="B1340" s="2" t="s">
        <v>2972</v>
      </c>
      <c r="C1340" s="1" t="s">
        <v>462</v>
      </c>
      <c r="D1340" s="1" t="s">
        <v>463</v>
      </c>
    </row>
    <row r="1341">
      <c r="A1341" s="1" t="s">
        <v>3321</v>
      </c>
      <c r="B1341" s="2" t="s">
        <v>2976</v>
      </c>
      <c r="C1341" s="1" t="s">
        <v>462</v>
      </c>
      <c r="D1341" s="1" t="s">
        <v>463</v>
      </c>
    </row>
    <row r="1342">
      <c r="A1342" s="1" t="s">
        <v>3323</v>
      </c>
      <c r="B1342" s="2" t="s">
        <v>2979</v>
      </c>
      <c r="C1342" s="1" t="s">
        <v>462</v>
      </c>
      <c r="D1342" s="1" t="s">
        <v>463</v>
      </c>
    </row>
    <row r="1343">
      <c r="A1343" s="1" t="s">
        <v>3325</v>
      </c>
      <c r="B1343" s="2" t="s">
        <v>2982</v>
      </c>
      <c r="C1343" s="1" t="s">
        <v>462</v>
      </c>
      <c r="D1343" s="1" t="s">
        <v>463</v>
      </c>
    </row>
    <row r="1344">
      <c r="A1344" s="1" t="s">
        <v>3328</v>
      </c>
      <c r="B1344" s="2" t="s">
        <v>2987</v>
      </c>
      <c r="C1344" s="1" t="s">
        <v>462</v>
      </c>
      <c r="D1344" s="1" t="s">
        <v>463</v>
      </c>
    </row>
    <row r="1345">
      <c r="A1345" s="1" t="s">
        <v>386</v>
      </c>
      <c r="B1345" s="2" t="s">
        <v>7</v>
      </c>
      <c r="C1345" s="1" t="s">
        <v>387</v>
      </c>
      <c r="D1345" s="1" t="s">
        <v>389</v>
      </c>
    </row>
    <row r="1346">
      <c r="A1346" s="1" t="s">
        <v>3330</v>
      </c>
      <c r="B1346" s="2" t="s">
        <v>13</v>
      </c>
      <c r="C1346" s="1" t="s">
        <v>387</v>
      </c>
      <c r="D1346" s="1" t="s">
        <v>389</v>
      </c>
    </row>
    <row r="1347">
      <c r="A1347" s="1" t="s">
        <v>3333</v>
      </c>
      <c r="B1347" s="2" t="s">
        <v>2920</v>
      </c>
      <c r="C1347" s="1" t="s">
        <v>387</v>
      </c>
      <c r="D1347" s="1" t="s">
        <v>389</v>
      </c>
    </row>
    <row r="1348">
      <c r="A1348" s="1" t="s">
        <v>3334</v>
      </c>
      <c r="B1348" s="2" t="s">
        <v>2923</v>
      </c>
      <c r="C1348" s="1" t="s">
        <v>387</v>
      </c>
      <c r="D1348" s="1" t="s">
        <v>389</v>
      </c>
    </row>
    <row r="1349">
      <c r="A1349" s="1" t="s">
        <v>3335</v>
      </c>
      <c r="B1349" s="2" t="s">
        <v>2927</v>
      </c>
      <c r="C1349" s="1" t="s">
        <v>387</v>
      </c>
      <c r="D1349" s="1" t="s">
        <v>389</v>
      </c>
    </row>
    <row r="1350">
      <c r="A1350" s="1" t="s">
        <v>3337</v>
      </c>
      <c r="B1350" s="2" t="s">
        <v>2929</v>
      </c>
      <c r="C1350" s="1" t="s">
        <v>387</v>
      </c>
      <c r="D1350" s="1" t="s">
        <v>389</v>
      </c>
    </row>
    <row r="1351">
      <c r="A1351" s="1" t="s">
        <v>3340</v>
      </c>
      <c r="B1351" s="2" t="s">
        <v>2934</v>
      </c>
      <c r="C1351" s="1" t="s">
        <v>387</v>
      </c>
      <c r="D1351" s="1" t="s">
        <v>389</v>
      </c>
    </row>
    <row r="1352">
      <c r="A1352" s="1" t="s">
        <v>3341</v>
      </c>
      <c r="B1352" s="2" t="s">
        <v>2936</v>
      </c>
      <c r="C1352" s="1" t="s">
        <v>387</v>
      </c>
      <c r="D1352" s="1" t="s">
        <v>389</v>
      </c>
    </row>
    <row r="1353">
      <c r="A1353" s="1" t="s">
        <v>3342</v>
      </c>
      <c r="B1353" s="2" t="s">
        <v>2940</v>
      </c>
      <c r="C1353" s="1" t="s">
        <v>387</v>
      </c>
      <c r="D1353" s="1" t="s">
        <v>389</v>
      </c>
    </row>
    <row r="1354">
      <c r="A1354" s="1" t="s">
        <v>3345</v>
      </c>
      <c r="B1354" s="2" t="s">
        <v>2943</v>
      </c>
      <c r="C1354" s="1" t="s">
        <v>387</v>
      </c>
      <c r="D1354" s="1" t="s">
        <v>389</v>
      </c>
    </row>
    <row r="1355">
      <c r="A1355" s="1" t="s">
        <v>3347</v>
      </c>
      <c r="B1355" s="2" t="s">
        <v>2947</v>
      </c>
      <c r="C1355" s="1" t="s">
        <v>387</v>
      </c>
      <c r="D1355" s="1" t="s">
        <v>389</v>
      </c>
    </row>
    <row r="1356">
      <c r="A1356" s="1" t="s">
        <v>3348</v>
      </c>
      <c r="B1356" s="2" t="s">
        <v>2950</v>
      </c>
      <c r="C1356" s="1" t="s">
        <v>387</v>
      </c>
      <c r="D1356" s="1" t="s">
        <v>389</v>
      </c>
    </row>
    <row r="1357">
      <c r="A1357" s="1" t="s">
        <v>3349</v>
      </c>
      <c r="B1357" s="2" t="s">
        <v>70</v>
      </c>
      <c r="C1357" s="1" t="s">
        <v>387</v>
      </c>
      <c r="D1357" s="1" t="s">
        <v>389</v>
      </c>
    </row>
    <row r="1358">
      <c r="A1358" s="1" t="s">
        <v>3352</v>
      </c>
      <c r="B1358" s="2" t="s">
        <v>2956</v>
      </c>
      <c r="C1358" s="1" t="s">
        <v>387</v>
      </c>
      <c r="D1358" s="1" t="s">
        <v>389</v>
      </c>
    </row>
    <row r="1359">
      <c r="A1359" s="1" t="s">
        <v>3355</v>
      </c>
      <c r="B1359" s="2" t="s">
        <v>2959</v>
      </c>
      <c r="C1359" s="1" t="s">
        <v>387</v>
      </c>
      <c r="D1359" s="1" t="s">
        <v>389</v>
      </c>
    </row>
    <row r="1360">
      <c r="A1360" s="1" t="s">
        <v>3357</v>
      </c>
      <c r="B1360" s="2" t="s">
        <v>2963</v>
      </c>
      <c r="C1360" s="1" t="s">
        <v>387</v>
      </c>
      <c r="D1360" s="1" t="s">
        <v>389</v>
      </c>
    </row>
    <row r="1361">
      <c r="A1361" s="1" t="s">
        <v>3358</v>
      </c>
      <c r="B1361" s="2" t="s">
        <v>2966</v>
      </c>
      <c r="C1361" s="1" t="s">
        <v>387</v>
      </c>
      <c r="D1361" s="1" t="s">
        <v>389</v>
      </c>
    </row>
    <row r="1362">
      <c r="A1362" s="1" t="s">
        <v>3360</v>
      </c>
      <c r="B1362" s="2" t="s">
        <v>2970</v>
      </c>
      <c r="C1362" s="1" t="s">
        <v>387</v>
      </c>
      <c r="D1362" s="1" t="s">
        <v>389</v>
      </c>
    </row>
    <row r="1363">
      <c r="A1363" s="1" t="s">
        <v>3363</v>
      </c>
      <c r="B1363" s="2" t="s">
        <v>2972</v>
      </c>
      <c r="C1363" s="1" t="s">
        <v>387</v>
      </c>
      <c r="D1363" s="1" t="s">
        <v>389</v>
      </c>
    </row>
    <row r="1364">
      <c r="A1364" s="1" t="s">
        <v>3364</v>
      </c>
      <c r="B1364" s="2" t="s">
        <v>2976</v>
      </c>
      <c r="C1364" s="1" t="s">
        <v>387</v>
      </c>
      <c r="D1364" s="1" t="s">
        <v>389</v>
      </c>
    </row>
    <row r="1365">
      <c r="A1365" s="1" t="s">
        <v>3365</v>
      </c>
      <c r="B1365" s="2" t="s">
        <v>2979</v>
      </c>
      <c r="C1365" s="1" t="s">
        <v>387</v>
      </c>
      <c r="D1365" s="1" t="s">
        <v>389</v>
      </c>
    </row>
    <row r="1366">
      <c r="A1366" s="1" t="s">
        <v>3367</v>
      </c>
      <c r="B1366" s="2" t="s">
        <v>2982</v>
      </c>
      <c r="C1366" s="1" t="s">
        <v>387</v>
      </c>
      <c r="D1366" s="1" t="s">
        <v>389</v>
      </c>
    </row>
    <row r="1367">
      <c r="A1367" s="1" t="s">
        <v>3370</v>
      </c>
      <c r="B1367" s="2" t="s">
        <v>2987</v>
      </c>
      <c r="C1367" s="1" t="s">
        <v>387</v>
      </c>
      <c r="D1367" s="1" t="s">
        <v>389</v>
      </c>
    </row>
    <row r="1368">
      <c r="A1368" s="1" t="s">
        <v>465</v>
      </c>
      <c r="B1368" s="2" t="s">
        <v>7</v>
      </c>
      <c r="C1368" s="1" t="s">
        <v>466</v>
      </c>
      <c r="D1368" s="1" t="s">
        <v>468</v>
      </c>
    </row>
    <row r="1369">
      <c r="A1369" s="1" t="s">
        <v>3372</v>
      </c>
      <c r="B1369" s="2" t="s">
        <v>3373</v>
      </c>
      <c r="C1369" s="1" t="s">
        <v>466</v>
      </c>
      <c r="D1369" s="1" t="s">
        <v>468</v>
      </c>
    </row>
    <row r="1370">
      <c r="A1370" s="1" t="s">
        <v>3374</v>
      </c>
      <c r="B1370" s="2" t="s">
        <v>3376</v>
      </c>
      <c r="C1370" s="1" t="s">
        <v>466</v>
      </c>
      <c r="D1370" s="1" t="s">
        <v>468</v>
      </c>
    </row>
    <row r="1371">
      <c r="A1371" s="1" t="s">
        <v>3378</v>
      </c>
      <c r="B1371" s="2" t="s">
        <v>2820</v>
      </c>
      <c r="C1371" s="1" t="s">
        <v>466</v>
      </c>
      <c r="D1371" s="1" t="s">
        <v>468</v>
      </c>
    </row>
    <row r="1372">
      <c r="A1372" s="1" t="s">
        <v>3379</v>
      </c>
      <c r="B1372" s="2" t="s">
        <v>3380</v>
      </c>
      <c r="C1372" s="1" t="s">
        <v>466</v>
      </c>
      <c r="D1372" s="1" t="s">
        <v>468</v>
      </c>
    </row>
    <row r="1373">
      <c r="A1373" s="1" t="s">
        <v>3381</v>
      </c>
      <c r="B1373" s="2" t="s">
        <v>3383</v>
      </c>
      <c r="C1373" s="1" t="s">
        <v>466</v>
      </c>
      <c r="D1373" s="1" t="s">
        <v>468</v>
      </c>
    </row>
    <row r="1374">
      <c r="A1374" s="1" t="s">
        <v>3385</v>
      </c>
      <c r="B1374" s="2" t="s">
        <v>2858</v>
      </c>
      <c r="C1374" s="1" t="s">
        <v>466</v>
      </c>
      <c r="D1374" s="1" t="s">
        <v>468</v>
      </c>
    </row>
    <row r="1375">
      <c r="A1375" s="1" t="s">
        <v>3387</v>
      </c>
      <c r="B1375" s="2" t="s">
        <v>3388</v>
      </c>
      <c r="C1375" s="1" t="s">
        <v>466</v>
      </c>
      <c r="D1375" s="1" t="s">
        <v>468</v>
      </c>
    </row>
    <row r="1376">
      <c r="A1376" s="1" t="s">
        <v>3390</v>
      </c>
      <c r="B1376" s="2" t="s">
        <v>3392</v>
      </c>
      <c r="C1376" s="1" t="s">
        <v>466</v>
      </c>
      <c r="D1376" s="1" t="s">
        <v>468</v>
      </c>
    </row>
    <row r="1377">
      <c r="A1377" s="1" t="s">
        <v>3394</v>
      </c>
      <c r="B1377" s="2" t="s">
        <v>3395</v>
      </c>
      <c r="C1377" s="1" t="s">
        <v>466</v>
      </c>
      <c r="D1377" s="1" t="s">
        <v>468</v>
      </c>
    </row>
    <row r="1378">
      <c r="A1378" s="1" t="s">
        <v>3396</v>
      </c>
      <c r="B1378" s="2" t="s">
        <v>3398</v>
      </c>
      <c r="C1378" s="1" t="s">
        <v>466</v>
      </c>
      <c r="D1378" s="1" t="s">
        <v>468</v>
      </c>
    </row>
    <row r="1379">
      <c r="A1379" s="1" t="s">
        <v>3400</v>
      </c>
      <c r="B1379" s="2" t="s">
        <v>3402</v>
      </c>
      <c r="C1379" s="1" t="s">
        <v>466</v>
      </c>
      <c r="D1379" s="1" t="s">
        <v>468</v>
      </c>
    </row>
    <row r="1380">
      <c r="A1380" s="1" t="s">
        <v>3403</v>
      </c>
      <c r="B1380" s="2" t="s">
        <v>3404</v>
      </c>
      <c r="C1380" s="1" t="s">
        <v>466</v>
      </c>
      <c r="D1380" s="1" t="s">
        <v>468</v>
      </c>
    </row>
    <row r="1381">
      <c r="A1381" s="1" t="s">
        <v>3405</v>
      </c>
      <c r="B1381" s="2" t="s">
        <v>3406</v>
      </c>
      <c r="C1381" s="1" t="s">
        <v>466</v>
      </c>
      <c r="D1381" s="1" t="s">
        <v>468</v>
      </c>
    </row>
    <row r="1382">
      <c r="A1382" s="1" t="s">
        <v>3408</v>
      </c>
      <c r="B1382" s="2" t="s">
        <v>3409</v>
      </c>
      <c r="C1382" s="1" t="s">
        <v>466</v>
      </c>
      <c r="D1382" s="1" t="s">
        <v>468</v>
      </c>
    </row>
    <row r="1383">
      <c r="A1383" s="1" t="s">
        <v>479</v>
      </c>
      <c r="B1383" s="2" t="s">
        <v>7</v>
      </c>
      <c r="C1383" s="1" t="s">
        <v>480</v>
      </c>
      <c r="D1383" s="1" t="s">
        <v>482</v>
      </c>
    </row>
    <row r="1384">
      <c r="A1384" s="1" t="s">
        <v>3412</v>
      </c>
      <c r="B1384" s="2" t="s">
        <v>3413</v>
      </c>
      <c r="C1384" s="1" t="s">
        <v>480</v>
      </c>
      <c r="D1384" s="1" t="s">
        <v>482</v>
      </c>
    </row>
    <row r="1385">
      <c r="A1385" s="1" t="s">
        <v>3414</v>
      </c>
      <c r="B1385" s="2" t="s">
        <v>3415</v>
      </c>
      <c r="C1385" s="1" t="s">
        <v>480</v>
      </c>
      <c r="D1385" s="1" t="s">
        <v>482</v>
      </c>
    </row>
    <row r="1386">
      <c r="A1386" s="1" t="s">
        <v>3417</v>
      </c>
      <c r="B1386" s="2" t="s">
        <v>3419</v>
      </c>
      <c r="C1386" s="1" t="s">
        <v>480</v>
      </c>
      <c r="D1386" s="1" t="s">
        <v>482</v>
      </c>
    </row>
    <row r="1387">
      <c r="A1387" s="1" t="s">
        <v>3421</v>
      </c>
      <c r="B1387" s="2" t="s">
        <v>3422</v>
      </c>
      <c r="C1387" s="1" t="s">
        <v>480</v>
      </c>
      <c r="D1387" s="1" t="s">
        <v>482</v>
      </c>
    </row>
    <row r="1388">
      <c r="A1388" s="1" t="s">
        <v>3423</v>
      </c>
      <c r="B1388" s="2" t="s">
        <v>3424</v>
      </c>
      <c r="C1388" s="1" t="s">
        <v>480</v>
      </c>
      <c r="D1388" s="1" t="s">
        <v>482</v>
      </c>
    </row>
    <row r="1389">
      <c r="A1389" s="1" t="s">
        <v>3426</v>
      </c>
      <c r="B1389" s="2" t="s">
        <v>3427</v>
      </c>
      <c r="C1389" s="1" t="s">
        <v>480</v>
      </c>
      <c r="D1389" s="1" t="s">
        <v>482</v>
      </c>
    </row>
    <row r="1390">
      <c r="A1390" s="1" t="s">
        <v>3429</v>
      </c>
      <c r="B1390" s="2" t="s">
        <v>3430</v>
      </c>
      <c r="C1390" s="1" t="s">
        <v>480</v>
      </c>
      <c r="D1390" s="1" t="s">
        <v>482</v>
      </c>
    </row>
    <row r="1391">
      <c r="A1391" s="1" t="s">
        <v>3432</v>
      </c>
      <c r="B1391" s="2" t="s">
        <v>3433</v>
      </c>
      <c r="C1391" s="1" t="s">
        <v>480</v>
      </c>
      <c r="D1391" s="1" t="s">
        <v>482</v>
      </c>
    </row>
    <row r="1392">
      <c r="A1392" s="1" t="s">
        <v>3434</v>
      </c>
      <c r="B1392" s="2" t="s">
        <v>3435</v>
      </c>
      <c r="C1392" s="1" t="s">
        <v>480</v>
      </c>
      <c r="D1392" s="1" t="s">
        <v>482</v>
      </c>
    </row>
    <row r="1393">
      <c r="A1393" s="1" t="s">
        <v>3437</v>
      </c>
      <c r="B1393" s="2" t="s">
        <v>3438</v>
      </c>
      <c r="C1393" s="1" t="s">
        <v>480</v>
      </c>
      <c r="D1393" s="1" t="s">
        <v>482</v>
      </c>
    </row>
    <row r="1394">
      <c r="A1394" s="1" t="s">
        <v>3441</v>
      </c>
      <c r="B1394" s="2" t="s">
        <v>3442</v>
      </c>
      <c r="C1394" s="1" t="s">
        <v>480</v>
      </c>
      <c r="D1394" s="1" t="s">
        <v>482</v>
      </c>
    </row>
    <row r="1395">
      <c r="A1395" s="1" t="s">
        <v>3443</v>
      </c>
      <c r="B1395" s="2" t="s">
        <v>3444</v>
      </c>
      <c r="C1395" s="1" t="s">
        <v>480</v>
      </c>
      <c r="D1395" s="1" t="s">
        <v>482</v>
      </c>
    </row>
    <row r="1396">
      <c r="A1396" s="1" t="s">
        <v>3445</v>
      </c>
      <c r="B1396" s="2" t="s">
        <v>3446</v>
      </c>
      <c r="C1396" s="1" t="s">
        <v>480</v>
      </c>
      <c r="D1396" s="1" t="s">
        <v>482</v>
      </c>
    </row>
    <row r="1397">
      <c r="A1397" s="1" t="s">
        <v>3448</v>
      </c>
      <c r="B1397" s="2" t="s">
        <v>3449</v>
      </c>
      <c r="C1397" s="1" t="s">
        <v>480</v>
      </c>
      <c r="D1397" s="1" t="s">
        <v>482</v>
      </c>
    </row>
    <row r="1398">
      <c r="A1398" s="1" t="s">
        <v>3452</v>
      </c>
      <c r="B1398" s="2" t="s">
        <v>3453</v>
      </c>
      <c r="C1398" s="1" t="s">
        <v>480</v>
      </c>
      <c r="D1398" s="1" t="s">
        <v>482</v>
      </c>
    </row>
    <row r="1399">
      <c r="A1399" s="1" t="s">
        <v>3454</v>
      </c>
      <c r="B1399" s="2" t="s">
        <v>3455</v>
      </c>
      <c r="C1399" s="1" t="s">
        <v>480</v>
      </c>
      <c r="D1399" s="1" t="s">
        <v>482</v>
      </c>
    </row>
    <row r="1400">
      <c r="A1400" s="1" t="s">
        <v>3456</v>
      </c>
      <c r="B1400" s="2" t="s">
        <v>3457</v>
      </c>
      <c r="C1400" s="1" t="s">
        <v>480</v>
      </c>
      <c r="D1400" s="1" t="s">
        <v>482</v>
      </c>
    </row>
    <row r="1401">
      <c r="A1401" s="1" t="s">
        <v>3459</v>
      </c>
      <c r="B1401" s="2" t="s">
        <v>3461</v>
      </c>
      <c r="C1401" s="1" t="s">
        <v>480</v>
      </c>
      <c r="D1401" s="1" t="s">
        <v>482</v>
      </c>
    </row>
    <row r="1402">
      <c r="A1402" s="1" t="s">
        <v>3463</v>
      </c>
      <c r="B1402" s="2" t="s">
        <v>3465</v>
      </c>
      <c r="C1402" s="1" t="s">
        <v>480</v>
      </c>
      <c r="D1402" s="1" t="s">
        <v>482</v>
      </c>
    </row>
    <row r="1403">
      <c r="A1403" s="1" t="s">
        <v>3466</v>
      </c>
      <c r="B1403" s="2" t="s">
        <v>3467</v>
      </c>
      <c r="C1403" s="1" t="s">
        <v>480</v>
      </c>
      <c r="D1403" s="1" t="s">
        <v>482</v>
      </c>
    </row>
    <row r="1404">
      <c r="A1404" s="1" t="s">
        <v>471</v>
      </c>
      <c r="B1404" s="2" t="s">
        <v>7</v>
      </c>
      <c r="C1404" s="1" t="s">
        <v>473</v>
      </c>
      <c r="D1404" s="1" t="s">
        <v>474</v>
      </c>
    </row>
    <row r="1405">
      <c r="A1405" s="1" t="s">
        <v>3469</v>
      </c>
      <c r="B1405" s="2" t="s">
        <v>3413</v>
      </c>
      <c r="C1405" s="1" t="s">
        <v>473</v>
      </c>
      <c r="D1405" s="1" t="s">
        <v>474</v>
      </c>
    </row>
    <row r="1406">
      <c r="A1406" s="1" t="s">
        <v>3472</v>
      </c>
      <c r="B1406" s="2" t="s">
        <v>3415</v>
      </c>
      <c r="C1406" s="1" t="s">
        <v>473</v>
      </c>
      <c r="D1406" s="1" t="s">
        <v>474</v>
      </c>
    </row>
    <row r="1407">
      <c r="A1407" s="1" t="s">
        <v>3473</v>
      </c>
      <c r="B1407" s="2" t="s">
        <v>3419</v>
      </c>
      <c r="C1407" s="1" t="s">
        <v>473</v>
      </c>
      <c r="D1407" s="1" t="s">
        <v>474</v>
      </c>
    </row>
    <row r="1408">
      <c r="A1408" s="1" t="s">
        <v>3474</v>
      </c>
      <c r="B1408" s="2" t="s">
        <v>3422</v>
      </c>
      <c r="C1408" s="1" t="s">
        <v>473</v>
      </c>
      <c r="D1408" s="1" t="s">
        <v>474</v>
      </c>
    </row>
    <row r="1409">
      <c r="A1409" s="1" t="s">
        <v>3476</v>
      </c>
      <c r="B1409" s="2" t="s">
        <v>3424</v>
      </c>
      <c r="C1409" s="1" t="s">
        <v>473</v>
      </c>
      <c r="D1409" s="1" t="s">
        <v>474</v>
      </c>
    </row>
    <row r="1410">
      <c r="A1410" s="1" t="s">
        <v>3478</v>
      </c>
      <c r="B1410" s="2" t="s">
        <v>3427</v>
      </c>
      <c r="C1410" s="1" t="s">
        <v>473</v>
      </c>
      <c r="D1410" s="1" t="s">
        <v>474</v>
      </c>
    </row>
    <row r="1411">
      <c r="A1411" s="1" t="s">
        <v>3480</v>
      </c>
      <c r="B1411" s="2" t="s">
        <v>3430</v>
      </c>
      <c r="C1411" s="1" t="s">
        <v>473</v>
      </c>
      <c r="D1411" s="1" t="s">
        <v>474</v>
      </c>
    </row>
    <row r="1412">
      <c r="A1412" s="1" t="s">
        <v>3481</v>
      </c>
      <c r="B1412" s="2" t="s">
        <v>3433</v>
      </c>
      <c r="C1412" s="1" t="s">
        <v>473</v>
      </c>
      <c r="D1412" s="1" t="s">
        <v>474</v>
      </c>
    </row>
    <row r="1413">
      <c r="A1413" s="1" t="s">
        <v>3483</v>
      </c>
      <c r="B1413" s="2" t="s">
        <v>3435</v>
      </c>
      <c r="C1413" s="1" t="s">
        <v>473</v>
      </c>
      <c r="D1413" s="1" t="s">
        <v>474</v>
      </c>
    </row>
    <row r="1414">
      <c r="A1414" s="1" t="s">
        <v>3485</v>
      </c>
      <c r="B1414" s="2" t="s">
        <v>3438</v>
      </c>
      <c r="C1414" s="1" t="s">
        <v>473</v>
      </c>
      <c r="D1414" s="1" t="s">
        <v>474</v>
      </c>
    </row>
    <row r="1415">
      <c r="A1415" s="1" t="s">
        <v>3487</v>
      </c>
      <c r="B1415" s="2" t="s">
        <v>3442</v>
      </c>
      <c r="C1415" s="1" t="s">
        <v>473</v>
      </c>
      <c r="D1415" s="1" t="s">
        <v>474</v>
      </c>
    </row>
    <row r="1416">
      <c r="A1416" s="1" t="s">
        <v>3488</v>
      </c>
      <c r="B1416" s="2" t="s">
        <v>3444</v>
      </c>
      <c r="C1416" s="1" t="s">
        <v>473</v>
      </c>
      <c r="D1416" s="1" t="s">
        <v>474</v>
      </c>
    </row>
    <row r="1417">
      <c r="A1417" s="1" t="s">
        <v>3490</v>
      </c>
      <c r="B1417" s="2" t="s">
        <v>3446</v>
      </c>
      <c r="C1417" s="1" t="s">
        <v>473</v>
      </c>
      <c r="D1417" s="1" t="s">
        <v>474</v>
      </c>
    </row>
    <row r="1418">
      <c r="A1418" s="1" t="s">
        <v>3492</v>
      </c>
      <c r="B1418" s="2" t="s">
        <v>3449</v>
      </c>
      <c r="C1418" s="1" t="s">
        <v>473</v>
      </c>
      <c r="D1418" s="1" t="s">
        <v>474</v>
      </c>
    </row>
    <row r="1419">
      <c r="A1419" s="1" t="s">
        <v>3494</v>
      </c>
      <c r="B1419" s="2" t="s">
        <v>3453</v>
      </c>
      <c r="C1419" s="1" t="s">
        <v>473</v>
      </c>
      <c r="D1419" s="1" t="s">
        <v>474</v>
      </c>
    </row>
    <row r="1420">
      <c r="A1420" s="1" t="s">
        <v>3496</v>
      </c>
      <c r="B1420" s="2" t="s">
        <v>3455</v>
      </c>
      <c r="C1420" s="1" t="s">
        <v>473</v>
      </c>
      <c r="D1420" s="1" t="s">
        <v>474</v>
      </c>
    </row>
    <row r="1421">
      <c r="A1421" s="1" t="s">
        <v>3498</v>
      </c>
      <c r="B1421" s="2" t="s">
        <v>3457</v>
      </c>
      <c r="C1421" s="1" t="s">
        <v>473</v>
      </c>
      <c r="D1421" s="1" t="s">
        <v>474</v>
      </c>
    </row>
    <row r="1422">
      <c r="A1422" s="1" t="s">
        <v>3500</v>
      </c>
      <c r="B1422" s="2" t="s">
        <v>3461</v>
      </c>
      <c r="C1422" s="1" t="s">
        <v>473</v>
      </c>
      <c r="D1422" s="1" t="s">
        <v>474</v>
      </c>
    </row>
    <row r="1423">
      <c r="A1423" s="1" t="s">
        <v>3502</v>
      </c>
      <c r="B1423" s="2" t="s">
        <v>3465</v>
      </c>
      <c r="C1423" s="1" t="s">
        <v>473</v>
      </c>
      <c r="D1423" s="1" t="s">
        <v>474</v>
      </c>
    </row>
    <row r="1424">
      <c r="A1424" s="1" t="s">
        <v>3503</v>
      </c>
      <c r="B1424" s="2" t="s">
        <v>3467</v>
      </c>
      <c r="C1424" s="1" t="s">
        <v>473</v>
      </c>
      <c r="D1424" s="1" t="s">
        <v>474</v>
      </c>
    </row>
    <row r="1425">
      <c r="A1425" s="1" t="s">
        <v>489</v>
      </c>
      <c r="B1425" s="2" t="s">
        <v>7</v>
      </c>
      <c r="C1425" s="1" t="s">
        <v>491</v>
      </c>
      <c r="D1425" s="1" t="s">
        <v>492</v>
      </c>
    </row>
    <row r="1426">
      <c r="A1426" s="1" t="s">
        <v>3505</v>
      </c>
      <c r="B1426" s="2" t="s">
        <v>3507</v>
      </c>
      <c r="C1426" s="1" t="s">
        <v>491</v>
      </c>
      <c r="D1426" s="1" t="s">
        <v>492</v>
      </c>
    </row>
    <row r="1427">
      <c r="A1427" s="1" t="s">
        <v>3509</v>
      </c>
      <c r="B1427" s="2" t="s">
        <v>3510</v>
      </c>
      <c r="C1427" s="1" t="s">
        <v>491</v>
      </c>
      <c r="D1427" s="1" t="s">
        <v>492</v>
      </c>
    </row>
    <row r="1428">
      <c r="A1428" s="1" t="s">
        <v>3511</v>
      </c>
      <c r="B1428" s="2" t="s">
        <v>3512</v>
      </c>
      <c r="C1428" s="1" t="s">
        <v>491</v>
      </c>
      <c r="D1428" s="1" t="s">
        <v>492</v>
      </c>
    </row>
    <row r="1429">
      <c r="A1429" s="1" t="s">
        <v>3513</v>
      </c>
      <c r="B1429" s="2" t="s">
        <v>3514</v>
      </c>
      <c r="C1429" s="1" t="s">
        <v>491</v>
      </c>
      <c r="D1429" s="1" t="s">
        <v>492</v>
      </c>
    </row>
    <row r="1430">
      <c r="A1430" s="1" t="s">
        <v>3515</v>
      </c>
      <c r="B1430" s="2" t="s">
        <v>3516</v>
      </c>
      <c r="C1430" s="1" t="s">
        <v>491</v>
      </c>
      <c r="D1430" s="1" t="s">
        <v>492</v>
      </c>
    </row>
    <row r="1431">
      <c r="A1431" s="1" t="s">
        <v>3518</v>
      </c>
      <c r="B1431" s="2" t="s">
        <v>3519</v>
      </c>
      <c r="C1431" s="1" t="s">
        <v>491</v>
      </c>
      <c r="D1431" s="1" t="s">
        <v>492</v>
      </c>
    </row>
    <row r="1432">
      <c r="A1432" s="1" t="s">
        <v>3522</v>
      </c>
      <c r="B1432" s="2" t="s">
        <v>3523</v>
      </c>
      <c r="C1432" s="1" t="s">
        <v>491</v>
      </c>
      <c r="D1432" s="1" t="s">
        <v>492</v>
      </c>
    </row>
    <row r="1433">
      <c r="A1433" s="1" t="s">
        <v>3524</v>
      </c>
      <c r="B1433" s="2" t="s">
        <v>3525</v>
      </c>
      <c r="C1433" s="1" t="s">
        <v>491</v>
      </c>
      <c r="D1433" s="1" t="s">
        <v>492</v>
      </c>
    </row>
    <row r="1434">
      <c r="A1434" s="1" t="s">
        <v>3526</v>
      </c>
      <c r="B1434" s="2" t="s">
        <v>3527</v>
      </c>
      <c r="C1434" s="1" t="s">
        <v>491</v>
      </c>
      <c r="D1434" s="1" t="s">
        <v>492</v>
      </c>
    </row>
    <row r="1435">
      <c r="A1435" s="1" t="s">
        <v>3531</v>
      </c>
      <c r="B1435" s="2" t="s">
        <v>3532</v>
      </c>
      <c r="C1435" s="1" t="s">
        <v>491</v>
      </c>
      <c r="D1435" s="1" t="s">
        <v>492</v>
      </c>
    </row>
    <row r="1436">
      <c r="A1436" s="1" t="s">
        <v>3533</v>
      </c>
      <c r="B1436" s="2" t="s">
        <v>3534</v>
      </c>
      <c r="C1436" s="1" t="s">
        <v>491</v>
      </c>
      <c r="D1436" s="1" t="s">
        <v>492</v>
      </c>
    </row>
    <row r="1437">
      <c r="A1437" s="1" t="s">
        <v>3536</v>
      </c>
      <c r="B1437" s="2" t="s">
        <v>3537</v>
      </c>
      <c r="C1437" s="1" t="s">
        <v>491</v>
      </c>
      <c r="D1437" s="1" t="s">
        <v>492</v>
      </c>
    </row>
    <row r="1438">
      <c r="A1438" s="1" t="s">
        <v>3538</v>
      </c>
      <c r="B1438" s="2" t="s">
        <v>3539</v>
      </c>
      <c r="C1438" s="1" t="s">
        <v>491</v>
      </c>
      <c r="D1438" s="1" t="s">
        <v>492</v>
      </c>
    </row>
    <row r="1439">
      <c r="A1439" s="1" t="s">
        <v>3540</v>
      </c>
      <c r="B1439" s="2" t="s">
        <v>3542</v>
      </c>
      <c r="C1439" s="1" t="s">
        <v>491</v>
      </c>
      <c r="D1439" s="1" t="s">
        <v>492</v>
      </c>
    </row>
    <row r="1440">
      <c r="A1440" s="1" t="s">
        <v>3544</v>
      </c>
      <c r="B1440" s="2" t="s">
        <v>3545</v>
      </c>
      <c r="C1440" s="1" t="s">
        <v>491</v>
      </c>
      <c r="D1440" s="1" t="s">
        <v>492</v>
      </c>
    </row>
    <row r="1441">
      <c r="A1441" s="1" t="s">
        <v>3546</v>
      </c>
      <c r="B1441" s="2" t="s">
        <v>3547</v>
      </c>
      <c r="C1441" s="1" t="s">
        <v>491</v>
      </c>
      <c r="D1441" s="1" t="s">
        <v>492</v>
      </c>
    </row>
    <row r="1442">
      <c r="A1442" s="1" t="s">
        <v>3548</v>
      </c>
      <c r="B1442" s="2" t="s">
        <v>3549</v>
      </c>
      <c r="C1442" s="1" t="s">
        <v>491</v>
      </c>
      <c r="D1442" s="1" t="s">
        <v>492</v>
      </c>
    </row>
    <row r="1443">
      <c r="A1443" s="1" t="s">
        <v>3551</v>
      </c>
      <c r="B1443" s="2" t="s">
        <v>3552</v>
      </c>
      <c r="C1443" s="1" t="s">
        <v>491</v>
      </c>
      <c r="D1443" s="1" t="s">
        <v>492</v>
      </c>
    </row>
    <row r="1444">
      <c r="A1444" s="1" t="s">
        <v>3555</v>
      </c>
      <c r="B1444" s="2" t="s">
        <v>3557</v>
      </c>
      <c r="C1444" s="1" t="s">
        <v>491</v>
      </c>
      <c r="D1444" s="1" t="s">
        <v>492</v>
      </c>
    </row>
    <row r="1445">
      <c r="A1445" s="1" t="s">
        <v>3559</v>
      </c>
      <c r="B1445" s="2" t="s">
        <v>3560</v>
      </c>
      <c r="C1445" s="1" t="s">
        <v>491</v>
      </c>
      <c r="D1445" s="1" t="s">
        <v>492</v>
      </c>
    </row>
    <row r="1446">
      <c r="A1446" s="1" t="s">
        <v>3563</v>
      </c>
      <c r="B1446" s="2" t="s">
        <v>3564</v>
      </c>
      <c r="C1446" s="1" t="s">
        <v>491</v>
      </c>
      <c r="D1446" s="1" t="s">
        <v>492</v>
      </c>
    </row>
    <row r="1447">
      <c r="A1447" s="1" t="s">
        <v>3565</v>
      </c>
      <c r="B1447" s="2" t="s">
        <v>3566</v>
      </c>
      <c r="C1447" s="1" t="s">
        <v>491</v>
      </c>
      <c r="D1447" s="1" t="s">
        <v>492</v>
      </c>
    </row>
    <row r="1448">
      <c r="A1448" s="1" t="s">
        <v>3569</v>
      </c>
      <c r="B1448" s="2" t="s">
        <v>3571</v>
      </c>
      <c r="C1448" s="1" t="s">
        <v>491</v>
      </c>
      <c r="D1448" s="1" t="s">
        <v>492</v>
      </c>
    </row>
    <row r="1449">
      <c r="A1449" s="1" t="s">
        <v>3572</v>
      </c>
      <c r="B1449" s="2" t="s">
        <v>3573</v>
      </c>
      <c r="C1449" s="1" t="s">
        <v>491</v>
      </c>
      <c r="D1449" s="1" t="s">
        <v>492</v>
      </c>
    </row>
    <row r="1450">
      <c r="A1450" s="1" t="s">
        <v>3575</v>
      </c>
      <c r="B1450" s="2" t="s">
        <v>3576</v>
      </c>
      <c r="C1450" s="1" t="s">
        <v>491</v>
      </c>
      <c r="D1450" s="1" t="s">
        <v>492</v>
      </c>
    </row>
    <row r="1451">
      <c r="A1451" s="1" t="s">
        <v>3579</v>
      </c>
      <c r="B1451" s="2" t="s">
        <v>3580</v>
      </c>
      <c r="C1451" s="1" t="s">
        <v>491</v>
      </c>
      <c r="D1451" s="1" t="s">
        <v>492</v>
      </c>
    </row>
    <row r="1452">
      <c r="A1452" s="1" t="s">
        <v>3581</v>
      </c>
      <c r="B1452" s="2" t="s">
        <v>3582</v>
      </c>
      <c r="C1452" s="1" t="s">
        <v>491</v>
      </c>
      <c r="D1452" s="1" t="s">
        <v>492</v>
      </c>
    </row>
    <row r="1453">
      <c r="A1453" s="1" t="s">
        <v>3584</v>
      </c>
      <c r="B1453" s="2" t="s">
        <v>3586</v>
      </c>
      <c r="C1453" s="1" t="s">
        <v>491</v>
      </c>
      <c r="D1453" s="1" t="s">
        <v>492</v>
      </c>
    </row>
    <row r="1454">
      <c r="A1454" s="1" t="s">
        <v>3588</v>
      </c>
      <c r="B1454" s="2" t="s">
        <v>3589</v>
      </c>
      <c r="C1454" s="1" t="s">
        <v>491</v>
      </c>
      <c r="D1454" s="1" t="s">
        <v>492</v>
      </c>
    </row>
    <row r="1455">
      <c r="A1455" s="1" t="s">
        <v>3591</v>
      </c>
      <c r="B1455" s="2" t="s">
        <v>3592</v>
      </c>
      <c r="C1455" s="1" t="s">
        <v>491</v>
      </c>
      <c r="D1455" s="1" t="s">
        <v>492</v>
      </c>
    </row>
    <row r="1456">
      <c r="A1456" s="1" t="s">
        <v>3595</v>
      </c>
      <c r="B1456" s="2" t="s">
        <v>3596</v>
      </c>
      <c r="C1456" s="1" t="s">
        <v>491</v>
      </c>
      <c r="D1456" s="1" t="s">
        <v>492</v>
      </c>
    </row>
    <row r="1457">
      <c r="A1457" s="1" t="s">
        <v>3597</v>
      </c>
      <c r="B1457" s="2" t="s">
        <v>3599</v>
      </c>
      <c r="C1457" s="1" t="s">
        <v>491</v>
      </c>
      <c r="D1457" s="1" t="s">
        <v>492</v>
      </c>
    </row>
    <row r="1458">
      <c r="A1458" s="1" t="s">
        <v>3602</v>
      </c>
      <c r="B1458" s="2" t="s">
        <v>3603</v>
      </c>
      <c r="C1458" s="1" t="s">
        <v>491</v>
      </c>
      <c r="D1458" s="1" t="s">
        <v>492</v>
      </c>
    </row>
    <row r="1459">
      <c r="A1459" s="1" t="s">
        <v>3604</v>
      </c>
      <c r="B1459" s="2" t="s">
        <v>3605</v>
      </c>
      <c r="C1459" s="1" t="s">
        <v>491</v>
      </c>
      <c r="D1459" s="1" t="s">
        <v>492</v>
      </c>
    </row>
    <row r="1460">
      <c r="A1460" s="1" t="s">
        <v>3607</v>
      </c>
      <c r="B1460" s="2" t="s">
        <v>3609</v>
      </c>
      <c r="C1460" s="1" t="s">
        <v>491</v>
      </c>
      <c r="D1460" s="1" t="s">
        <v>492</v>
      </c>
    </row>
    <row r="1461">
      <c r="A1461" s="1" t="s">
        <v>3611</v>
      </c>
      <c r="B1461" s="2" t="s">
        <v>3612</v>
      </c>
      <c r="C1461" s="1" t="s">
        <v>491</v>
      </c>
      <c r="D1461" s="1" t="s">
        <v>492</v>
      </c>
    </row>
    <row r="1462">
      <c r="A1462" s="1" t="s">
        <v>3613</v>
      </c>
      <c r="B1462" s="2" t="s">
        <v>3614</v>
      </c>
      <c r="C1462" s="1" t="s">
        <v>491</v>
      </c>
      <c r="D1462" s="1" t="s">
        <v>492</v>
      </c>
    </row>
    <row r="1463">
      <c r="A1463" s="1" t="s">
        <v>3615</v>
      </c>
      <c r="B1463" s="2" t="s">
        <v>3616</v>
      </c>
      <c r="C1463" s="1" t="s">
        <v>491</v>
      </c>
      <c r="D1463" s="1" t="s">
        <v>492</v>
      </c>
    </row>
    <row r="1464">
      <c r="A1464" s="1" t="s">
        <v>3617</v>
      </c>
      <c r="B1464" s="2" t="s">
        <v>3618</v>
      </c>
      <c r="C1464" s="1" t="s">
        <v>491</v>
      </c>
      <c r="D1464" s="1" t="s">
        <v>492</v>
      </c>
    </row>
    <row r="1465">
      <c r="A1465" s="1" t="s">
        <v>3620</v>
      </c>
      <c r="B1465" s="2" t="s">
        <v>3621</v>
      </c>
      <c r="C1465" s="1" t="s">
        <v>491</v>
      </c>
      <c r="D1465" s="1" t="s">
        <v>492</v>
      </c>
    </row>
    <row r="1466">
      <c r="A1466" s="1" t="s">
        <v>3624</v>
      </c>
      <c r="B1466" s="2" t="s">
        <v>3625</v>
      </c>
      <c r="C1466" s="1" t="s">
        <v>491</v>
      </c>
      <c r="D1466" s="1" t="s">
        <v>492</v>
      </c>
    </row>
    <row r="1467">
      <c r="A1467" s="1" t="s">
        <v>3626</v>
      </c>
      <c r="B1467" s="2" t="s">
        <v>3627</v>
      </c>
      <c r="C1467" s="1" t="s">
        <v>491</v>
      </c>
      <c r="D1467" s="1" t="s">
        <v>492</v>
      </c>
    </row>
    <row r="1468">
      <c r="A1468" s="1" t="s">
        <v>3630</v>
      </c>
      <c r="B1468" s="2" t="s">
        <v>3632</v>
      </c>
      <c r="C1468" s="1" t="s">
        <v>491</v>
      </c>
      <c r="D1468" s="1" t="s">
        <v>492</v>
      </c>
    </row>
    <row r="1469">
      <c r="A1469" s="1" t="s">
        <v>3633</v>
      </c>
      <c r="B1469" s="2" t="s">
        <v>3634</v>
      </c>
      <c r="C1469" s="1" t="s">
        <v>491</v>
      </c>
      <c r="D1469" s="1" t="s">
        <v>492</v>
      </c>
    </row>
    <row r="1470">
      <c r="A1470" s="1" t="s">
        <v>3636</v>
      </c>
      <c r="B1470" s="2" t="s">
        <v>3637</v>
      </c>
      <c r="C1470" s="1" t="s">
        <v>491</v>
      </c>
      <c r="D1470" s="1" t="s">
        <v>492</v>
      </c>
    </row>
    <row r="1471">
      <c r="A1471" s="1" t="s">
        <v>485</v>
      </c>
      <c r="B1471" s="2" t="s">
        <v>7</v>
      </c>
      <c r="C1471" s="1" t="s">
        <v>486</v>
      </c>
      <c r="D1471" s="1" t="s">
        <v>487</v>
      </c>
    </row>
    <row r="1472">
      <c r="A1472" s="1" t="s">
        <v>3640</v>
      </c>
      <c r="B1472" s="2" t="s">
        <v>3507</v>
      </c>
      <c r="C1472" s="1" t="s">
        <v>486</v>
      </c>
      <c r="D1472" s="1" t="s">
        <v>487</v>
      </c>
    </row>
    <row r="1473">
      <c r="A1473" s="1" t="s">
        <v>3644</v>
      </c>
      <c r="B1473" s="2" t="s">
        <v>3645</v>
      </c>
      <c r="C1473" s="1" t="s">
        <v>486</v>
      </c>
      <c r="D1473" s="1" t="s">
        <v>487</v>
      </c>
    </row>
    <row r="1474">
      <c r="A1474" s="1" t="s">
        <v>3647</v>
      </c>
      <c r="B1474" s="2" t="s">
        <v>3648</v>
      </c>
      <c r="C1474" s="1" t="s">
        <v>486</v>
      </c>
      <c r="D1474" s="1" t="s">
        <v>487</v>
      </c>
    </row>
    <row r="1475">
      <c r="A1475" s="1" t="s">
        <v>3652</v>
      </c>
      <c r="B1475" s="2" t="s">
        <v>3653</v>
      </c>
      <c r="C1475" s="1" t="s">
        <v>486</v>
      </c>
      <c r="D1475" s="1" t="s">
        <v>487</v>
      </c>
    </row>
    <row r="1476">
      <c r="A1476" s="1" t="s">
        <v>3655</v>
      </c>
      <c r="B1476" s="2" t="s">
        <v>3657</v>
      </c>
      <c r="C1476" s="1" t="s">
        <v>486</v>
      </c>
      <c r="D1476" s="1" t="s">
        <v>487</v>
      </c>
    </row>
    <row r="1477">
      <c r="A1477" s="1" t="s">
        <v>3659</v>
      </c>
      <c r="B1477" s="2" t="s">
        <v>3660</v>
      </c>
      <c r="C1477" s="1" t="s">
        <v>486</v>
      </c>
      <c r="D1477" s="1" t="s">
        <v>487</v>
      </c>
    </row>
    <row r="1478">
      <c r="A1478" s="1" t="s">
        <v>3662</v>
      </c>
      <c r="B1478" s="2" t="s">
        <v>3665</v>
      </c>
      <c r="C1478" s="1" t="s">
        <v>486</v>
      </c>
      <c r="D1478" s="1" t="s">
        <v>487</v>
      </c>
    </row>
    <row r="1479">
      <c r="A1479" s="1" t="s">
        <v>3666</v>
      </c>
      <c r="B1479" s="2" t="s">
        <v>3667</v>
      </c>
      <c r="C1479" s="1" t="s">
        <v>486</v>
      </c>
      <c r="D1479" s="1" t="s">
        <v>487</v>
      </c>
    </row>
    <row r="1480">
      <c r="A1480" s="1" t="s">
        <v>3668</v>
      </c>
      <c r="B1480" s="2" t="s">
        <v>3669</v>
      </c>
      <c r="C1480" s="1" t="s">
        <v>486</v>
      </c>
      <c r="D1480" s="1" t="s">
        <v>487</v>
      </c>
    </row>
    <row r="1481">
      <c r="A1481" s="1" t="s">
        <v>3671</v>
      </c>
      <c r="B1481" s="2" t="s">
        <v>3672</v>
      </c>
      <c r="C1481" s="1" t="s">
        <v>486</v>
      </c>
      <c r="D1481" s="1" t="s">
        <v>487</v>
      </c>
    </row>
    <row r="1482">
      <c r="A1482" s="1" t="s">
        <v>3674</v>
      </c>
      <c r="B1482" s="2" t="s">
        <v>3675</v>
      </c>
      <c r="C1482" s="1" t="s">
        <v>486</v>
      </c>
      <c r="D1482" s="1" t="s">
        <v>487</v>
      </c>
    </row>
    <row r="1483">
      <c r="A1483" s="1" t="s">
        <v>3676</v>
      </c>
      <c r="B1483" s="2" t="s">
        <v>3677</v>
      </c>
      <c r="C1483" s="1" t="s">
        <v>486</v>
      </c>
      <c r="D1483" s="1" t="s">
        <v>487</v>
      </c>
    </row>
    <row r="1484">
      <c r="A1484" s="1" t="s">
        <v>3680</v>
      </c>
      <c r="B1484" s="2" t="s">
        <v>3685</v>
      </c>
      <c r="C1484" s="1" t="s">
        <v>486</v>
      </c>
      <c r="D1484" s="1" t="s">
        <v>487</v>
      </c>
    </row>
    <row r="1485">
      <c r="A1485" s="1" t="s">
        <v>3688</v>
      </c>
      <c r="B1485" s="2" t="s">
        <v>3690</v>
      </c>
      <c r="C1485" s="1" t="s">
        <v>486</v>
      </c>
      <c r="D1485" s="1" t="s">
        <v>487</v>
      </c>
    </row>
    <row r="1486">
      <c r="A1486" s="1" t="s">
        <v>3691</v>
      </c>
      <c r="B1486" s="2" t="s">
        <v>3693</v>
      </c>
      <c r="C1486" s="1" t="s">
        <v>486</v>
      </c>
      <c r="D1486" s="1" t="s">
        <v>487</v>
      </c>
    </row>
    <row r="1487">
      <c r="A1487" s="1" t="s">
        <v>3696</v>
      </c>
      <c r="B1487" s="2" t="s">
        <v>3697</v>
      </c>
      <c r="C1487" s="1" t="s">
        <v>486</v>
      </c>
      <c r="D1487" s="1" t="s">
        <v>487</v>
      </c>
    </row>
    <row r="1488">
      <c r="A1488" s="1" t="s">
        <v>3698</v>
      </c>
      <c r="B1488" s="2" t="s">
        <v>3700</v>
      </c>
      <c r="C1488" s="1" t="s">
        <v>486</v>
      </c>
      <c r="D1488" s="1" t="s">
        <v>487</v>
      </c>
    </row>
    <row r="1489">
      <c r="A1489" s="1" t="s">
        <v>3703</v>
      </c>
      <c r="B1489" s="2" t="s">
        <v>3704</v>
      </c>
      <c r="C1489" s="1" t="s">
        <v>486</v>
      </c>
      <c r="D1489" s="1" t="s">
        <v>487</v>
      </c>
    </row>
    <row r="1490">
      <c r="A1490" s="1" t="s">
        <v>3705</v>
      </c>
      <c r="B1490" s="2" t="s">
        <v>3706</v>
      </c>
      <c r="C1490" s="1" t="s">
        <v>486</v>
      </c>
      <c r="D1490" s="1" t="s">
        <v>487</v>
      </c>
    </row>
    <row r="1491">
      <c r="A1491" s="1" t="s">
        <v>3708</v>
      </c>
      <c r="B1491" s="2" t="s">
        <v>3514</v>
      </c>
      <c r="C1491" s="1" t="s">
        <v>486</v>
      </c>
      <c r="D1491" s="1" t="s">
        <v>487</v>
      </c>
    </row>
    <row r="1492">
      <c r="A1492" s="1" t="s">
        <v>3711</v>
      </c>
      <c r="B1492" s="2" t="s">
        <v>3712</v>
      </c>
      <c r="C1492" s="1" t="s">
        <v>486</v>
      </c>
      <c r="D1492" s="1" t="s">
        <v>487</v>
      </c>
    </row>
    <row r="1493">
      <c r="A1493" s="1" t="s">
        <v>3714</v>
      </c>
      <c r="B1493" s="2" t="s">
        <v>3715</v>
      </c>
      <c r="C1493" s="1" t="s">
        <v>486</v>
      </c>
      <c r="D1493" s="1" t="s">
        <v>487</v>
      </c>
    </row>
    <row r="1494">
      <c r="A1494" s="1" t="s">
        <v>3718</v>
      </c>
      <c r="B1494" s="2" t="s">
        <v>3719</v>
      </c>
      <c r="C1494" s="1" t="s">
        <v>486</v>
      </c>
      <c r="D1494" s="1" t="s">
        <v>487</v>
      </c>
    </row>
    <row r="1495">
      <c r="A1495" s="1" t="s">
        <v>3721</v>
      </c>
      <c r="B1495" s="2" t="s">
        <v>3723</v>
      </c>
      <c r="C1495" s="1" t="s">
        <v>486</v>
      </c>
      <c r="D1495" s="1" t="s">
        <v>487</v>
      </c>
    </row>
    <row r="1496">
      <c r="A1496" s="1" t="s">
        <v>3725</v>
      </c>
      <c r="B1496" s="2" t="s">
        <v>3516</v>
      </c>
      <c r="C1496" s="1" t="s">
        <v>486</v>
      </c>
      <c r="D1496" s="1" t="s">
        <v>487</v>
      </c>
    </row>
    <row r="1497">
      <c r="A1497" s="1" t="s">
        <v>3727</v>
      </c>
      <c r="B1497" s="2" t="s">
        <v>3519</v>
      </c>
      <c r="C1497" s="1" t="s">
        <v>486</v>
      </c>
      <c r="D1497" s="1" t="s">
        <v>487</v>
      </c>
    </row>
    <row r="1498">
      <c r="A1498" s="1" t="s">
        <v>3730</v>
      </c>
      <c r="B1498" s="2" t="s">
        <v>3731</v>
      </c>
      <c r="C1498" s="1" t="s">
        <v>486</v>
      </c>
      <c r="D1498" s="1" t="s">
        <v>487</v>
      </c>
    </row>
    <row r="1499">
      <c r="A1499" s="1" t="s">
        <v>3732</v>
      </c>
      <c r="B1499" s="2" t="s">
        <v>3734</v>
      </c>
      <c r="C1499" s="1" t="s">
        <v>486</v>
      </c>
      <c r="D1499" s="1" t="s">
        <v>487</v>
      </c>
    </row>
    <row r="1500">
      <c r="A1500" s="1" t="s">
        <v>3737</v>
      </c>
      <c r="B1500" s="2" t="s">
        <v>3738</v>
      </c>
      <c r="C1500" s="1" t="s">
        <v>486</v>
      </c>
      <c r="D1500" s="1" t="s">
        <v>487</v>
      </c>
    </row>
    <row r="1501">
      <c r="A1501" s="1" t="s">
        <v>3739</v>
      </c>
      <c r="B1501" s="2" t="s">
        <v>3741</v>
      </c>
      <c r="C1501" s="1" t="s">
        <v>486</v>
      </c>
      <c r="D1501" s="1" t="s">
        <v>487</v>
      </c>
    </row>
    <row r="1502">
      <c r="A1502" s="1" t="s">
        <v>3744</v>
      </c>
      <c r="B1502" s="2" t="s">
        <v>3745</v>
      </c>
      <c r="C1502" s="1" t="s">
        <v>486</v>
      </c>
      <c r="D1502" s="1" t="s">
        <v>487</v>
      </c>
    </row>
    <row r="1503">
      <c r="A1503" s="1" t="s">
        <v>3747</v>
      </c>
      <c r="B1503" s="2" t="s">
        <v>3748</v>
      </c>
      <c r="C1503" s="1" t="s">
        <v>486</v>
      </c>
      <c r="D1503" s="1" t="s">
        <v>487</v>
      </c>
    </row>
    <row r="1504">
      <c r="A1504" s="1" t="s">
        <v>3751</v>
      </c>
      <c r="B1504" s="2" t="s">
        <v>3752</v>
      </c>
      <c r="C1504" s="1" t="s">
        <v>486</v>
      </c>
      <c r="D1504" s="1" t="s">
        <v>487</v>
      </c>
    </row>
    <row r="1505">
      <c r="A1505" s="1" t="s">
        <v>3754</v>
      </c>
      <c r="B1505" s="2" t="s">
        <v>3755</v>
      </c>
      <c r="C1505" s="1" t="s">
        <v>486</v>
      </c>
      <c r="D1505" s="1" t="s">
        <v>487</v>
      </c>
    </row>
    <row r="1506">
      <c r="A1506" s="1" t="s">
        <v>3758</v>
      </c>
      <c r="B1506" s="2" t="s">
        <v>3759</v>
      </c>
      <c r="C1506" s="1" t="s">
        <v>486</v>
      </c>
      <c r="D1506" s="1" t="s">
        <v>487</v>
      </c>
    </row>
    <row r="1507">
      <c r="A1507" s="1" t="s">
        <v>3760</v>
      </c>
      <c r="B1507" s="2" t="s">
        <v>3762</v>
      </c>
      <c r="C1507" s="1" t="s">
        <v>486</v>
      </c>
      <c r="D1507" s="1" t="s">
        <v>487</v>
      </c>
    </row>
    <row r="1508">
      <c r="A1508" s="1" t="s">
        <v>3765</v>
      </c>
      <c r="B1508" s="2" t="s">
        <v>3766</v>
      </c>
      <c r="C1508" s="1" t="s">
        <v>486</v>
      </c>
      <c r="D1508" s="1" t="s">
        <v>487</v>
      </c>
    </row>
    <row r="1509">
      <c r="A1509" s="1" t="s">
        <v>3767</v>
      </c>
      <c r="B1509" s="2" t="s">
        <v>3768</v>
      </c>
      <c r="C1509" s="1" t="s">
        <v>486</v>
      </c>
      <c r="D1509" s="1" t="s">
        <v>487</v>
      </c>
    </row>
    <row r="1510">
      <c r="A1510" s="1" t="s">
        <v>3771</v>
      </c>
      <c r="B1510" s="2" t="s">
        <v>3773</v>
      </c>
      <c r="C1510" s="1" t="s">
        <v>486</v>
      </c>
      <c r="D1510" s="1" t="s">
        <v>487</v>
      </c>
    </row>
    <row r="1511">
      <c r="A1511" s="1" t="s">
        <v>3774</v>
      </c>
      <c r="B1511" s="2" t="s">
        <v>3775</v>
      </c>
      <c r="C1511" s="1" t="s">
        <v>486</v>
      </c>
      <c r="D1511" s="1" t="s">
        <v>487</v>
      </c>
    </row>
    <row r="1512">
      <c r="A1512" s="1" t="s">
        <v>3777</v>
      </c>
      <c r="B1512" s="2" t="s">
        <v>3778</v>
      </c>
      <c r="C1512" s="1" t="s">
        <v>486</v>
      </c>
      <c r="D1512" s="1" t="s">
        <v>487</v>
      </c>
    </row>
    <row r="1513">
      <c r="A1513" s="1" t="s">
        <v>3781</v>
      </c>
      <c r="B1513" s="2" t="s">
        <v>3782</v>
      </c>
      <c r="C1513" s="1" t="s">
        <v>486</v>
      </c>
      <c r="D1513" s="1" t="s">
        <v>487</v>
      </c>
    </row>
    <row r="1514">
      <c r="A1514" s="1" t="s">
        <v>3783</v>
      </c>
      <c r="B1514" s="2" t="s">
        <v>3784</v>
      </c>
      <c r="C1514" s="1" t="s">
        <v>486</v>
      </c>
      <c r="D1514" s="1" t="s">
        <v>487</v>
      </c>
    </row>
    <row r="1515">
      <c r="A1515" s="1" t="s">
        <v>3786</v>
      </c>
      <c r="B1515" s="2" t="s">
        <v>3787</v>
      </c>
      <c r="C1515" s="1" t="s">
        <v>486</v>
      </c>
      <c r="D1515" s="1" t="s">
        <v>487</v>
      </c>
    </row>
    <row r="1516">
      <c r="A1516" s="1" t="s">
        <v>3788</v>
      </c>
      <c r="B1516" s="2" t="s">
        <v>3525</v>
      </c>
      <c r="C1516" s="1" t="s">
        <v>486</v>
      </c>
      <c r="D1516" s="1" t="s">
        <v>487</v>
      </c>
    </row>
    <row r="1517">
      <c r="A1517" s="1" t="s">
        <v>3791</v>
      </c>
      <c r="B1517" s="2" t="s">
        <v>3527</v>
      </c>
      <c r="C1517" s="1" t="s">
        <v>486</v>
      </c>
      <c r="D1517" s="1" t="s">
        <v>487</v>
      </c>
    </row>
    <row r="1518">
      <c r="A1518" s="1" t="s">
        <v>3792</v>
      </c>
      <c r="B1518" s="2" t="s">
        <v>3532</v>
      </c>
      <c r="C1518" s="1" t="s">
        <v>486</v>
      </c>
      <c r="D1518" s="1" t="s">
        <v>487</v>
      </c>
    </row>
    <row r="1519">
      <c r="A1519" s="1" t="s">
        <v>3794</v>
      </c>
      <c r="B1519" s="2" t="s">
        <v>3534</v>
      </c>
      <c r="C1519" s="1" t="s">
        <v>486</v>
      </c>
      <c r="D1519" s="1" t="s">
        <v>487</v>
      </c>
    </row>
    <row r="1520">
      <c r="A1520" s="1" t="s">
        <v>3797</v>
      </c>
      <c r="B1520" s="2" t="s">
        <v>3798</v>
      </c>
      <c r="C1520" s="1" t="s">
        <v>486</v>
      </c>
      <c r="D1520" s="1" t="s">
        <v>487</v>
      </c>
    </row>
    <row r="1521">
      <c r="A1521" s="1" t="s">
        <v>3799</v>
      </c>
      <c r="B1521" s="2" t="s">
        <v>3800</v>
      </c>
      <c r="C1521" s="1" t="s">
        <v>486</v>
      </c>
      <c r="D1521" s="1" t="s">
        <v>487</v>
      </c>
    </row>
    <row r="1522">
      <c r="A1522" s="1" t="s">
        <v>3801</v>
      </c>
      <c r="B1522" s="2" t="s">
        <v>3539</v>
      </c>
      <c r="C1522" s="1" t="s">
        <v>486</v>
      </c>
      <c r="D1522" s="1" t="s">
        <v>487</v>
      </c>
    </row>
    <row r="1523">
      <c r="A1523" s="1" t="s">
        <v>3804</v>
      </c>
      <c r="B1523" s="2" t="s">
        <v>3805</v>
      </c>
      <c r="C1523" s="1" t="s">
        <v>486</v>
      </c>
      <c r="D1523" s="1" t="s">
        <v>487</v>
      </c>
    </row>
    <row r="1524">
      <c r="A1524" s="1" t="s">
        <v>3807</v>
      </c>
      <c r="B1524" s="2" t="s">
        <v>3542</v>
      </c>
      <c r="C1524" s="1" t="s">
        <v>486</v>
      </c>
      <c r="D1524" s="1" t="s">
        <v>487</v>
      </c>
    </row>
    <row r="1525">
      <c r="A1525" s="1" t="s">
        <v>3809</v>
      </c>
      <c r="B1525" s="2" t="s">
        <v>3545</v>
      </c>
      <c r="C1525" s="1" t="s">
        <v>486</v>
      </c>
      <c r="D1525" s="1" t="s">
        <v>487</v>
      </c>
    </row>
    <row r="1526">
      <c r="A1526" s="1" t="s">
        <v>3810</v>
      </c>
      <c r="B1526" s="2" t="s">
        <v>3811</v>
      </c>
      <c r="C1526" s="1" t="s">
        <v>486</v>
      </c>
      <c r="D1526" s="1" t="s">
        <v>487</v>
      </c>
    </row>
    <row r="1527">
      <c r="A1527" s="1" t="s">
        <v>3813</v>
      </c>
      <c r="B1527" s="2" t="s">
        <v>3815</v>
      </c>
      <c r="C1527" s="1" t="s">
        <v>486</v>
      </c>
      <c r="D1527" s="1" t="s">
        <v>487</v>
      </c>
    </row>
    <row r="1528">
      <c r="A1528" s="1" t="s">
        <v>3817</v>
      </c>
      <c r="B1528" s="2" t="s">
        <v>3818</v>
      </c>
      <c r="C1528" s="1" t="s">
        <v>486</v>
      </c>
      <c r="D1528" s="1" t="s">
        <v>487</v>
      </c>
    </row>
    <row r="1529">
      <c r="A1529" s="1" t="s">
        <v>3820</v>
      </c>
      <c r="B1529" s="2" t="s">
        <v>3821</v>
      </c>
      <c r="C1529" s="1" t="s">
        <v>486</v>
      </c>
      <c r="D1529" s="1" t="s">
        <v>487</v>
      </c>
    </row>
    <row r="1530">
      <c r="A1530" s="1" t="s">
        <v>3823</v>
      </c>
      <c r="B1530" s="2" t="s">
        <v>3824</v>
      </c>
      <c r="C1530" s="1" t="s">
        <v>486</v>
      </c>
      <c r="D1530" s="1" t="s">
        <v>487</v>
      </c>
    </row>
    <row r="1531">
      <c r="A1531" s="1" t="s">
        <v>3827</v>
      </c>
      <c r="B1531" s="2" t="s">
        <v>3828</v>
      </c>
      <c r="C1531" s="1" t="s">
        <v>486</v>
      </c>
      <c r="D1531" s="1" t="s">
        <v>487</v>
      </c>
    </row>
    <row r="1532">
      <c r="A1532" s="1" t="s">
        <v>3829</v>
      </c>
      <c r="B1532" s="2" t="s">
        <v>3830</v>
      </c>
      <c r="C1532" s="1" t="s">
        <v>486</v>
      </c>
      <c r="D1532" s="1" t="s">
        <v>487</v>
      </c>
    </row>
    <row r="1533">
      <c r="A1533" s="1" t="s">
        <v>3833</v>
      </c>
      <c r="B1533" s="2" t="s">
        <v>3835</v>
      </c>
      <c r="C1533" s="1" t="s">
        <v>486</v>
      </c>
      <c r="D1533" s="1" t="s">
        <v>487</v>
      </c>
    </row>
    <row r="1534">
      <c r="A1534" s="1" t="s">
        <v>3836</v>
      </c>
      <c r="B1534" s="2" t="s">
        <v>3837</v>
      </c>
      <c r="C1534" s="1" t="s">
        <v>486</v>
      </c>
      <c r="D1534" s="1" t="s">
        <v>487</v>
      </c>
    </row>
    <row r="1535">
      <c r="A1535" s="1" t="s">
        <v>3838</v>
      </c>
      <c r="B1535" s="2" t="s">
        <v>3839</v>
      </c>
      <c r="C1535" s="1" t="s">
        <v>486</v>
      </c>
      <c r="D1535" s="1" t="s">
        <v>487</v>
      </c>
    </row>
    <row r="1536">
      <c r="A1536" s="1" t="s">
        <v>3841</v>
      </c>
      <c r="B1536" s="2" t="s">
        <v>3843</v>
      </c>
      <c r="C1536" s="1" t="s">
        <v>486</v>
      </c>
      <c r="D1536" s="1" t="s">
        <v>487</v>
      </c>
    </row>
    <row r="1537">
      <c r="A1537" s="1" t="s">
        <v>3845</v>
      </c>
      <c r="B1537" s="2" t="s">
        <v>3846</v>
      </c>
      <c r="C1537" s="1" t="s">
        <v>486</v>
      </c>
      <c r="D1537" s="1" t="s">
        <v>487</v>
      </c>
    </row>
    <row r="1538">
      <c r="A1538" s="1" t="s">
        <v>3847</v>
      </c>
      <c r="B1538" s="2" t="s">
        <v>3848</v>
      </c>
      <c r="C1538" s="1" t="s">
        <v>486</v>
      </c>
      <c r="D1538" s="1" t="s">
        <v>487</v>
      </c>
    </row>
    <row r="1539">
      <c r="A1539" s="1" t="s">
        <v>3850</v>
      </c>
      <c r="B1539" s="2" t="s">
        <v>3851</v>
      </c>
      <c r="C1539" s="1" t="s">
        <v>486</v>
      </c>
      <c r="D1539" s="1" t="s">
        <v>487</v>
      </c>
    </row>
    <row r="1540">
      <c r="A1540" s="1" t="s">
        <v>3854</v>
      </c>
      <c r="B1540" s="2" t="s">
        <v>3855</v>
      </c>
      <c r="C1540" s="1" t="s">
        <v>486</v>
      </c>
      <c r="D1540" s="1" t="s">
        <v>487</v>
      </c>
    </row>
    <row r="1541">
      <c r="A1541" s="1" t="s">
        <v>3856</v>
      </c>
      <c r="B1541" s="2" t="s">
        <v>3857</v>
      </c>
      <c r="C1541" s="1" t="s">
        <v>486</v>
      </c>
      <c r="D1541" s="1" t="s">
        <v>487</v>
      </c>
    </row>
    <row r="1542">
      <c r="A1542" s="1" t="s">
        <v>3859</v>
      </c>
      <c r="B1542" s="2" t="s">
        <v>3860</v>
      </c>
      <c r="C1542" s="1" t="s">
        <v>486</v>
      </c>
      <c r="D1542" s="1" t="s">
        <v>487</v>
      </c>
    </row>
    <row r="1543">
      <c r="A1543" s="1" t="s">
        <v>3863</v>
      </c>
      <c r="B1543" s="2" t="s">
        <v>3864</v>
      </c>
      <c r="C1543" s="1" t="s">
        <v>486</v>
      </c>
      <c r="D1543" s="1" t="s">
        <v>487</v>
      </c>
    </row>
    <row r="1544">
      <c r="A1544" s="1" t="s">
        <v>3865</v>
      </c>
      <c r="B1544" s="2" t="s">
        <v>3866</v>
      </c>
      <c r="C1544" s="1" t="s">
        <v>486</v>
      </c>
      <c r="D1544" s="1" t="s">
        <v>487</v>
      </c>
    </row>
    <row r="1545">
      <c r="A1545" s="1" t="s">
        <v>3868</v>
      </c>
      <c r="B1545" s="2" t="s">
        <v>3869</v>
      </c>
      <c r="C1545" s="1" t="s">
        <v>486</v>
      </c>
      <c r="D1545" s="1" t="s">
        <v>487</v>
      </c>
    </row>
    <row r="1546">
      <c r="A1546" s="1" t="s">
        <v>3872</v>
      </c>
      <c r="B1546" s="2" t="s">
        <v>3873</v>
      </c>
      <c r="C1546" s="1" t="s">
        <v>486</v>
      </c>
      <c r="D1546" s="1" t="s">
        <v>487</v>
      </c>
    </row>
    <row r="1547">
      <c r="A1547" s="1" t="s">
        <v>3874</v>
      </c>
      <c r="B1547" s="2" t="s">
        <v>3875</v>
      </c>
      <c r="C1547" s="1" t="s">
        <v>486</v>
      </c>
      <c r="D1547" s="1" t="s">
        <v>487</v>
      </c>
    </row>
    <row r="1548">
      <c r="A1548" s="1" t="s">
        <v>3877</v>
      </c>
      <c r="B1548" s="2" t="s">
        <v>3878</v>
      </c>
      <c r="C1548" s="1" t="s">
        <v>486</v>
      </c>
      <c r="D1548" s="1" t="s">
        <v>487</v>
      </c>
    </row>
    <row r="1549">
      <c r="A1549" s="1" t="s">
        <v>3881</v>
      </c>
      <c r="B1549" s="2" t="s">
        <v>3882</v>
      </c>
      <c r="C1549" s="1" t="s">
        <v>486</v>
      </c>
      <c r="D1549" s="1" t="s">
        <v>487</v>
      </c>
    </row>
    <row r="1550">
      <c r="A1550" s="1" t="s">
        <v>3883</v>
      </c>
      <c r="B1550" s="2" t="s">
        <v>3884</v>
      </c>
      <c r="C1550" s="1" t="s">
        <v>486</v>
      </c>
      <c r="D1550" s="1" t="s">
        <v>487</v>
      </c>
    </row>
    <row r="1551">
      <c r="A1551" s="1" t="s">
        <v>3886</v>
      </c>
      <c r="B1551" s="2" t="s">
        <v>3887</v>
      </c>
      <c r="C1551" s="1" t="s">
        <v>486</v>
      </c>
      <c r="D1551" s="1" t="s">
        <v>487</v>
      </c>
    </row>
    <row r="1552">
      <c r="A1552" s="1" t="s">
        <v>3890</v>
      </c>
      <c r="B1552" s="2" t="s">
        <v>3891</v>
      </c>
      <c r="C1552" s="1" t="s">
        <v>486</v>
      </c>
      <c r="D1552" s="1" t="s">
        <v>487</v>
      </c>
    </row>
    <row r="1553">
      <c r="A1553" s="1" t="s">
        <v>3892</v>
      </c>
      <c r="B1553" s="2" t="s">
        <v>3894</v>
      </c>
      <c r="C1553" s="1" t="s">
        <v>486</v>
      </c>
      <c r="D1553" s="1" t="s">
        <v>487</v>
      </c>
    </row>
    <row r="1554">
      <c r="A1554" s="1" t="s">
        <v>3898</v>
      </c>
      <c r="B1554" s="2" t="s">
        <v>3899</v>
      </c>
      <c r="C1554" s="1" t="s">
        <v>486</v>
      </c>
      <c r="D1554" s="1" t="s">
        <v>487</v>
      </c>
    </row>
    <row r="1555">
      <c r="A1555" s="1" t="s">
        <v>3900</v>
      </c>
      <c r="B1555" s="2" t="s">
        <v>3901</v>
      </c>
      <c r="C1555" s="1" t="s">
        <v>486</v>
      </c>
      <c r="D1555" s="1" t="s">
        <v>487</v>
      </c>
    </row>
    <row r="1556">
      <c r="A1556" s="1" t="s">
        <v>3902</v>
      </c>
      <c r="B1556" s="2" t="s">
        <v>3903</v>
      </c>
      <c r="C1556" s="1" t="s">
        <v>486</v>
      </c>
      <c r="D1556" s="1" t="s">
        <v>487</v>
      </c>
    </row>
    <row r="1557">
      <c r="A1557" s="1" t="s">
        <v>3904</v>
      </c>
      <c r="B1557" s="2" t="s">
        <v>3905</v>
      </c>
      <c r="C1557" s="1" t="s">
        <v>486</v>
      </c>
      <c r="D1557" s="1" t="s">
        <v>487</v>
      </c>
    </row>
    <row r="1558">
      <c r="A1558" s="1" t="s">
        <v>3906</v>
      </c>
      <c r="B1558" s="2" t="s">
        <v>3907</v>
      </c>
      <c r="C1558" s="1" t="s">
        <v>486</v>
      </c>
      <c r="D1558" s="1" t="s">
        <v>487</v>
      </c>
    </row>
    <row r="1559">
      <c r="A1559" s="1" t="s">
        <v>3909</v>
      </c>
      <c r="B1559" s="2" t="s">
        <v>3910</v>
      </c>
      <c r="C1559" s="1" t="s">
        <v>486</v>
      </c>
      <c r="D1559" s="1" t="s">
        <v>487</v>
      </c>
    </row>
    <row r="1560">
      <c r="A1560" s="1" t="s">
        <v>3913</v>
      </c>
      <c r="B1560" s="2" t="s">
        <v>3914</v>
      </c>
      <c r="C1560" s="1" t="s">
        <v>486</v>
      </c>
      <c r="D1560" s="1" t="s">
        <v>487</v>
      </c>
    </row>
    <row r="1561">
      <c r="A1561" s="1" t="s">
        <v>3916</v>
      </c>
      <c r="B1561" s="2" t="s">
        <v>3917</v>
      </c>
      <c r="C1561" s="1" t="s">
        <v>486</v>
      </c>
      <c r="D1561" s="1" t="s">
        <v>487</v>
      </c>
    </row>
    <row r="1562">
      <c r="A1562" s="1" t="s">
        <v>3918</v>
      </c>
      <c r="B1562" s="2" t="s">
        <v>3920</v>
      </c>
      <c r="C1562" s="1" t="s">
        <v>486</v>
      </c>
      <c r="D1562" s="1" t="s">
        <v>487</v>
      </c>
    </row>
    <row r="1563">
      <c r="A1563" s="1" t="s">
        <v>3921</v>
      </c>
      <c r="B1563" s="2" t="s">
        <v>3923</v>
      </c>
      <c r="C1563" s="1" t="s">
        <v>486</v>
      </c>
      <c r="D1563" s="1" t="s">
        <v>487</v>
      </c>
    </row>
    <row r="1564">
      <c r="A1564" s="1" t="s">
        <v>3925</v>
      </c>
      <c r="B1564" s="2" t="s">
        <v>3557</v>
      </c>
      <c r="C1564" s="1" t="s">
        <v>486</v>
      </c>
      <c r="D1564" s="1" t="s">
        <v>487</v>
      </c>
    </row>
    <row r="1565">
      <c r="A1565" s="1" t="s">
        <v>3926</v>
      </c>
      <c r="B1565" s="2" t="s">
        <v>3927</v>
      </c>
      <c r="C1565" s="1" t="s">
        <v>486</v>
      </c>
      <c r="D1565" s="1" t="s">
        <v>487</v>
      </c>
    </row>
    <row r="1566">
      <c r="A1566" s="1" t="s">
        <v>3928</v>
      </c>
      <c r="B1566" s="2" t="s">
        <v>3929</v>
      </c>
      <c r="C1566" s="1" t="s">
        <v>486</v>
      </c>
      <c r="D1566" s="1" t="s">
        <v>487</v>
      </c>
    </row>
    <row r="1567">
      <c r="A1567" s="1" t="s">
        <v>3930</v>
      </c>
      <c r="B1567" s="2" t="s">
        <v>3931</v>
      </c>
      <c r="C1567" s="1" t="s">
        <v>486</v>
      </c>
      <c r="D1567" s="1" t="s">
        <v>487</v>
      </c>
    </row>
    <row r="1568">
      <c r="A1568" s="1" t="s">
        <v>3932</v>
      </c>
      <c r="B1568" s="2" t="s">
        <v>3933</v>
      </c>
      <c r="C1568" s="1" t="s">
        <v>486</v>
      </c>
      <c r="D1568" s="1" t="s">
        <v>487</v>
      </c>
    </row>
    <row r="1569">
      <c r="A1569" s="1" t="s">
        <v>3934</v>
      </c>
      <c r="B1569" s="2" t="s">
        <v>3935</v>
      </c>
      <c r="C1569" s="1" t="s">
        <v>486</v>
      </c>
      <c r="D1569" s="1" t="s">
        <v>487</v>
      </c>
    </row>
    <row r="1570">
      <c r="A1570" s="1" t="s">
        <v>3936</v>
      </c>
      <c r="B1570" s="2" t="s">
        <v>3937</v>
      </c>
      <c r="C1570" s="1" t="s">
        <v>486</v>
      </c>
      <c r="D1570" s="1" t="s">
        <v>487</v>
      </c>
    </row>
    <row r="1571">
      <c r="A1571" s="1" t="s">
        <v>3938</v>
      </c>
      <c r="B1571" s="2" t="s">
        <v>3939</v>
      </c>
      <c r="C1571" s="1" t="s">
        <v>486</v>
      </c>
      <c r="D1571" s="1" t="s">
        <v>487</v>
      </c>
    </row>
    <row r="1572">
      <c r="A1572" s="1" t="s">
        <v>3940</v>
      </c>
      <c r="B1572" s="2" t="s">
        <v>3941</v>
      </c>
      <c r="C1572" s="1" t="s">
        <v>486</v>
      </c>
      <c r="D1572" s="1" t="s">
        <v>487</v>
      </c>
    </row>
    <row r="1573">
      <c r="A1573" s="1" t="s">
        <v>3942</v>
      </c>
      <c r="B1573" s="2" t="s">
        <v>3943</v>
      </c>
      <c r="C1573" s="1" t="s">
        <v>486</v>
      </c>
      <c r="D1573" s="1" t="s">
        <v>487</v>
      </c>
    </row>
    <row r="1574">
      <c r="A1574" s="1" t="s">
        <v>3944</v>
      </c>
      <c r="B1574" s="2" t="s">
        <v>3945</v>
      </c>
      <c r="C1574" s="1" t="s">
        <v>486</v>
      </c>
      <c r="D1574" s="1" t="s">
        <v>487</v>
      </c>
    </row>
    <row r="1575">
      <c r="A1575" s="1" t="s">
        <v>3947</v>
      </c>
      <c r="B1575" s="2" t="s">
        <v>3948</v>
      </c>
      <c r="C1575" s="1" t="s">
        <v>486</v>
      </c>
      <c r="D1575" s="1" t="s">
        <v>487</v>
      </c>
    </row>
    <row r="1576">
      <c r="A1576" s="1" t="s">
        <v>3951</v>
      </c>
      <c r="B1576" s="2" t="s">
        <v>3952</v>
      </c>
      <c r="C1576" s="1" t="s">
        <v>486</v>
      </c>
      <c r="D1576" s="1" t="s">
        <v>487</v>
      </c>
    </row>
    <row r="1577">
      <c r="A1577" s="1" t="s">
        <v>3953</v>
      </c>
      <c r="B1577" s="2" t="s">
        <v>3954</v>
      </c>
      <c r="C1577" s="1" t="s">
        <v>486</v>
      </c>
      <c r="D1577" s="1" t="s">
        <v>487</v>
      </c>
    </row>
    <row r="1578">
      <c r="A1578" s="1" t="s">
        <v>3955</v>
      </c>
      <c r="B1578" s="2" t="s">
        <v>3957</v>
      </c>
      <c r="C1578" s="1" t="s">
        <v>486</v>
      </c>
      <c r="D1578" s="1" t="s">
        <v>487</v>
      </c>
    </row>
    <row r="1579">
      <c r="A1579" s="1" t="s">
        <v>3958</v>
      </c>
      <c r="B1579" s="2" t="s">
        <v>3960</v>
      </c>
      <c r="C1579" s="1" t="s">
        <v>486</v>
      </c>
      <c r="D1579" s="1" t="s">
        <v>487</v>
      </c>
    </row>
    <row r="1580">
      <c r="A1580" s="1" t="s">
        <v>3962</v>
      </c>
      <c r="B1580" s="2" t="s">
        <v>3963</v>
      </c>
      <c r="C1580" s="1" t="s">
        <v>486</v>
      </c>
      <c r="D1580" s="1" t="s">
        <v>487</v>
      </c>
    </row>
    <row r="1581">
      <c r="A1581" s="1" t="s">
        <v>3964</v>
      </c>
      <c r="B1581" s="2" t="s">
        <v>3965</v>
      </c>
      <c r="C1581" s="1" t="s">
        <v>486</v>
      </c>
      <c r="D1581" s="1" t="s">
        <v>487</v>
      </c>
    </row>
    <row r="1582">
      <c r="A1582" s="1" t="s">
        <v>3967</v>
      </c>
      <c r="B1582" s="2" t="s">
        <v>3968</v>
      </c>
      <c r="C1582" s="1" t="s">
        <v>486</v>
      </c>
      <c r="D1582" s="1" t="s">
        <v>487</v>
      </c>
    </row>
    <row r="1583">
      <c r="A1583" s="1" t="s">
        <v>3971</v>
      </c>
      <c r="B1583" s="2" t="s">
        <v>3972</v>
      </c>
      <c r="C1583" s="1" t="s">
        <v>486</v>
      </c>
      <c r="D1583" s="1" t="s">
        <v>487</v>
      </c>
    </row>
    <row r="1584">
      <c r="A1584" s="1" t="s">
        <v>3973</v>
      </c>
      <c r="B1584" s="2" t="s">
        <v>3974</v>
      </c>
      <c r="C1584" s="1" t="s">
        <v>486</v>
      </c>
      <c r="D1584" s="1" t="s">
        <v>487</v>
      </c>
    </row>
    <row r="1585">
      <c r="A1585" s="1" t="s">
        <v>3976</v>
      </c>
      <c r="B1585" s="2" t="s">
        <v>3977</v>
      </c>
      <c r="C1585" s="1" t="s">
        <v>486</v>
      </c>
      <c r="D1585" s="1" t="s">
        <v>487</v>
      </c>
    </row>
    <row r="1586">
      <c r="A1586" s="1" t="s">
        <v>3980</v>
      </c>
      <c r="B1586" s="2" t="s">
        <v>3981</v>
      </c>
      <c r="C1586" s="1" t="s">
        <v>486</v>
      </c>
      <c r="D1586" s="1" t="s">
        <v>487</v>
      </c>
    </row>
    <row r="1587">
      <c r="A1587" s="1" t="s">
        <v>3982</v>
      </c>
      <c r="B1587" s="2" t="s">
        <v>3983</v>
      </c>
      <c r="C1587" s="1" t="s">
        <v>486</v>
      </c>
      <c r="D1587" s="1" t="s">
        <v>487</v>
      </c>
    </row>
    <row r="1588">
      <c r="A1588" s="1" t="s">
        <v>3984</v>
      </c>
      <c r="B1588" s="2" t="s">
        <v>3986</v>
      </c>
      <c r="C1588" s="1" t="s">
        <v>486</v>
      </c>
      <c r="D1588" s="1" t="s">
        <v>487</v>
      </c>
    </row>
    <row r="1589">
      <c r="A1589" s="1" t="s">
        <v>3988</v>
      </c>
      <c r="B1589" s="2" t="s">
        <v>3990</v>
      </c>
      <c r="C1589" s="1" t="s">
        <v>486</v>
      </c>
      <c r="D1589" s="1" t="s">
        <v>487</v>
      </c>
    </row>
    <row r="1590">
      <c r="A1590" s="1" t="s">
        <v>3991</v>
      </c>
      <c r="B1590" s="2" t="s">
        <v>3992</v>
      </c>
      <c r="C1590" s="1" t="s">
        <v>486</v>
      </c>
      <c r="D1590" s="1" t="s">
        <v>487</v>
      </c>
    </row>
    <row r="1591">
      <c r="A1591" s="1" t="s">
        <v>3993</v>
      </c>
      <c r="B1591" s="2" t="s">
        <v>3995</v>
      </c>
      <c r="C1591" s="1" t="s">
        <v>486</v>
      </c>
      <c r="D1591" s="1" t="s">
        <v>487</v>
      </c>
    </row>
    <row r="1592">
      <c r="A1592" s="1" t="s">
        <v>3997</v>
      </c>
      <c r="B1592" s="2" t="s">
        <v>3999</v>
      </c>
      <c r="C1592" s="1" t="s">
        <v>486</v>
      </c>
      <c r="D1592" s="1" t="s">
        <v>487</v>
      </c>
    </row>
    <row r="1593">
      <c r="A1593" s="1" t="s">
        <v>4000</v>
      </c>
      <c r="B1593" s="2" t="s">
        <v>4001</v>
      </c>
      <c r="C1593" s="1" t="s">
        <v>486</v>
      </c>
      <c r="D1593" s="1" t="s">
        <v>487</v>
      </c>
    </row>
    <row r="1594">
      <c r="A1594" s="1" t="s">
        <v>4002</v>
      </c>
      <c r="B1594" s="2" t="s">
        <v>4004</v>
      </c>
      <c r="C1594" s="1" t="s">
        <v>486</v>
      </c>
      <c r="D1594" s="1" t="s">
        <v>487</v>
      </c>
    </row>
    <row r="1595">
      <c r="A1595" s="1" t="s">
        <v>4006</v>
      </c>
      <c r="B1595" s="2" t="s">
        <v>4008</v>
      </c>
      <c r="C1595" s="1" t="s">
        <v>486</v>
      </c>
      <c r="D1595" s="1" t="s">
        <v>487</v>
      </c>
    </row>
    <row r="1596">
      <c r="A1596" s="1" t="s">
        <v>4009</v>
      </c>
      <c r="B1596" s="2" t="s">
        <v>4010</v>
      </c>
      <c r="C1596" s="1" t="s">
        <v>486</v>
      </c>
      <c r="D1596" s="1" t="s">
        <v>487</v>
      </c>
    </row>
    <row r="1597">
      <c r="A1597" s="1" t="s">
        <v>4011</v>
      </c>
      <c r="B1597" s="2" t="s">
        <v>4013</v>
      </c>
      <c r="C1597" s="1" t="s">
        <v>486</v>
      </c>
      <c r="D1597" s="1" t="s">
        <v>487</v>
      </c>
    </row>
    <row r="1598">
      <c r="A1598" s="1" t="s">
        <v>4015</v>
      </c>
      <c r="B1598" s="2" t="s">
        <v>4017</v>
      </c>
      <c r="C1598" s="1" t="s">
        <v>486</v>
      </c>
      <c r="D1598" s="1" t="s">
        <v>487</v>
      </c>
    </row>
    <row r="1599">
      <c r="A1599" s="1" t="s">
        <v>4018</v>
      </c>
      <c r="B1599" s="2" t="s">
        <v>4019</v>
      </c>
      <c r="C1599" s="1" t="s">
        <v>486</v>
      </c>
      <c r="D1599" s="1" t="s">
        <v>487</v>
      </c>
    </row>
    <row r="1600">
      <c r="A1600" s="1" t="s">
        <v>4021</v>
      </c>
      <c r="B1600" s="2" t="s">
        <v>4022</v>
      </c>
      <c r="C1600" s="1" t="s">
        <v>486</v>
      </c>
      <c r="D1600" s="1" t="s">
        <v>487</v>
      </c>
    </row>
    <row r="1601">
      <c r="A1601" s="1" t="s">
        <v>4026</v>
      </c>
      <c r="B1601" s="2" t="s">
        <v>4027</v>
      </c>
      <c r="C1601" s="1" t="s">
        <v>486</v>
      </c>
      <c r="D1601" s="1" t="s">
        <v>487</v>
      </c>
    </row>
    <row r="1602">
      <c r="A1602" s="1" t="s">
        <v>4028</v>
      </c>
      <c r="B1602" s="2" t="s">
        <v>4029</v>
      </c>
      <c r="C1602" s="1" t="s">
        <v>486</v>
      </c>
      <c r="D1602" s="1" t="s">
        <v>487</v>
      </c>
    </row>
    <row r="1603">
      <c r="A1603" s="1" t="s">
        <v>4031</v>
      </c>
      <c r="B1603" s="2" t="s">
        <v>4032</v>
      </c>
      <c r="C1603" s="1" t="s">
        <v>486</v>
      </c>
      <c r="D1603" s="1" t="s">
        <v>487</v>
      </c>
    </row>
    <row r="1604">
      <c r="A1604" s="1" t="s">
        <v>4035</v>
      </c>
      <c r="B1604" s="2" t="s">
        <v>4036</v>
      </c>
      <c r="C1604" s="1" t="s">
        <v>486</v>
      </c>
      <c r="D1604" s="1" t="s">
        <v>487</v>
      </c>
    </row>
    <row r="1605">
      <c r="A1605" s="1" t="s">
        <v>4037</v>
      </c>
      <c r="B1605" s="2" t="s">
        <v>4038</v>
      </c>
      <c r="C1605" s="1" t="s">
        <v>486</v>
      </c>
      <c r="D1605" s="1" t="s">
        <v>487</v>
      </c>
    </row>
    <row r="1606">
      <c r="A1606" s="1" t="s">
        <v>4040</v>
      </c>
      <c r="B1606" s="2" t="s">
        <v>4041</v>
      </c>
      <c r="C1606" s="1" t="s">
        <v>486</v>
      </c>
      <c r="D1606" s="1" t="s">
        <v>487</v>
      </c>
    </row>
    <row r="1607">
      <c r="A1607" s="1" t="s">
        <v>4043</v>
      </c>
      <c r="B1607" s="2" t="s">
        <v>4045</v>
      </c>
      <c r="C1607" s="1" t="s">
        <v>486</v>
      </c>
      <c r="D1607" s="1" t="s">
        <v>487</v>
      </c>
    </row>
    <row r="1608">
      <c r="A1608" s="1" t="s">
        <v>4046</v>
      </c>
      <c r="B1608" s="2" t="s">
        <v>3566</v>
      </c>
      <c r="C1608" s="1" t="s">
        <v>486</v>
      </c>
      <c r="D1608" s="1" t="s">
        <v>487</v>
      </c>
    </row>
    <row r="1609">
      <c r="A1609" s="1" t="s">
        <v>4048</v>
      </c>
      <c r="B1609" s="2" t="s">
        <v>3571</v>
      </c>
      <c r="C1609" s="1" t="s">
        <v>486</v>
      </c>
      <c r="D1609" s="1" t="s">
        <v>487</v>
      </c>
    </row>
    <row r="1610">
      <c r="A1610" s="1" t="s">
        <v>4051</v>
      </c>
      <c r="B1610" s="2" t="s">
        <v>3573</v>
      </c>
      <c r="C1610" s="1" t="s">
        <v>486</v>
      </c>
      <c r="D1610" s="1" t="s">
        <v>487</v>
      </c>
    </row>
    <row r="1611">
      <c r="A1611" s="1" t="s">
        <v>4052</v>
      </c>
      <c r="B1611" s="2" t="s">
        <v>4053</v>
      </c>
      <c r="C1611" s="1" t="s">
        <v>486</v>
      </c>
      <c r="D1611" s="1" t="s">
        <v>487</v>
      </c>
    </row>
    <row r="1612">
      <c r="A1612" s="1" t="s">
        <v>4055</v>
      </c>
      <c r="B1612" s="2" t="s">
        <v>4056</v>
      </c>
      <c r="C1612" s="1" t="s">
        <v>486</v>
      </c>
      <c r="D1612" s="1" t="s">
        <v>487</v>
      </c>
    </row>
    <row r="1613">
      <c r="A1613" s="1" t="s">
        <v>4059</v>
      </c>
      <c r="B1613" s="2" t="s">
        <v>3576</v>
      </c>
      <c r="C1613" s="1" t="s">
        <v>486</v>
      </c>
      <c r="D1613" s="1" t="s">
        <v>487</v>
      </c>
    </row>
    <row r="1614">
      <c r="A1614" s="1" t="s">
        <v>4060</v>
      </c>
      <c r="B1614" s="2" t="s">
        <v>4061</v>
      </c>
      <c r="C1614" s="1" t="s">
        <v>486</v>
      </c>
      <c r="D1614" s="1" t="s">
        <v>487</v>
      </c>
    </row>
    <row r="1615">
      <c r="A1615" s="1" t="s">
        <v>4062</v>
      </c>
      <c r="B1615" s="2" t="s">
        <v>3580</v>
      </c>
      <c r="C1615" s="1" t="s">
        <v>486</v>
      </c>
      <c r="D1615" s="1" t="s">
        <v>487</v>
      </c>
    </row>
    <row r="1616">
      <c r="A1616" s="1" t="s">
        <v>4065</v>
      </c>
      <c r="B1616" s="2" t="s">
        <v>4067</v>
      </c>
      <c r="C1616" s="1" t="s">
        <v>486</v>
      </c>
      <c r="D1616" s="1" t="s">
        <v>487</v>
      </c>
    </row>
    <row r="1617">
      <c r="A1617" s="1" t="s">
        <v>4068</v>
      </c>
      <c r="B1617" s="2" t="s">
        <v>3582</v>
      </c>
      <c r="C1617" s="1" t="s">
        <v>486</v>
      </c>
      <c r="D1617" s="1" t="s">
        <v>487</v>
      </c>
    </row>
    <row r="1618">
      <c r="A1618" s="1" t="s">
        <v>4073</v>
      </c>
      <c r="B1618" s="2" t="s">
        <v>4074</v>
      </c>
      <c r="C1618" s="1" t="s">
        <v>486</v>
      </c>
      <c r="D1618" s="1" t="s">
        <v>487</v>
      </c>
    </row>
    <row r="1619">
      <c r="A1619" s="1" t="s">
        <v>4077</v>
      </c>
      <c r="B1619" s="2" t="s">
        <v>4078</v>
      </c>
      <c r="C1619" s="1" t="s">
        <v>486</v>
      </c>
      <c r="D1619" s="1" t="s">
        <v>487</v>
      </c>
    </row>
    <row r="1620">
      <c r="A1620" s="1" t="s">
        <v>4079</v>
      </c>
      <c r="B1620" s="2" t="s">
        <v>4080</v>
      </c>
      <c r="C1620" s="1" t="s">
        <v>486</v>
      </c>
      <c r="D1620" s="1" t="s">
        <v>487</v>
      </c>
    </row>
    <row r="1621">
      <c r="A1621" s="1" t="s">
        <v>4082</v>
      </c>
      <c r="B1621" s="2" t="s">
        <v>4084</v>
      </c>
      <c r="C1621" s="1" t="s">
        <v>486</v>
      </c>
      <c r="D1621" s="1" t="s">
        <v>487</v>
      </c>
    </row>
    <row r="1622">
      <c r="A1622" s="1" t="s">
        <v>4086</v>
      </c>
      <c r="B1622" s="2" t="s">
        <v>4087</v>
      </c>
      <c r="C1622" s="1" t="s">
        <v>486</v>
      </c>
      <c r="D1622" s="1" t="s">
        <v>487</v>
      </c>
    </row>
    <row r="1623">
      <c r="A1623" s="1" t="s">
        <v>4088</v>
      </c>
      <c r="B1623" s="2" t="s">
        <v>3586</v>
      </c>
      <c r="C1623" s="1" t="s">
        <v>486</v>
      </c>
      <c r="D1623" s="1" t="s">
        <v>487</v>
      </c>
    </row>
    <row r="1624">
      <c r="A1624" s="1" t="s">
        <v>4091</v>
      </c>
      <c r="B1624" s="2" t="s">
        <v>3589</v>
      </c>
      <c r="C1624" s="1" t="s">
        <v>486</v>
      </c>
      <c r="D1624" s="1" t="s">
        <v>487</v>
      </c>
    </row>
    <row r="1625">
      <c r="A1625" s="1" t="s">
        <v>4093</v>
      </c>
      <c r="B1625" s="2" t="s">
        <v>4094</v>
      </c>
      <c r="C1625" s="1" t="s">
        <v>486</v>
      </c>
      <c r="D1625" s="1" t="s">
        <v>487</v>
      </c>
    </row>
    <row r="1626">
      <c r="A1626" s="1" t="s">
        <v>4095</v>
      </c>
      <c r="B1626" s="2" t="s">
        <v>3592</v>
      </c>
      <c r="C1626" s="1" t="s">
        <v>486</v>
      </c>
      <c r="D1626" s="1" t="s">
        <v>487</v>
      </c>
    </row>
    <row r="1627">
      <c r="A1627" s="1" t="s">
        <v>4099</v>
      </c>
      <c r="B1627" s="2" t="s">
        <v>3596</v>
      </c>
      <c r="C1627" s="1" t="s">
        <v>486</v>
      </c>
      <c r="D1627" s="1" t="s">
        <v>487</v>
      </c>
    </row>
    <row r="1628">
      <c r="A1628" s="1" t="s">
        <v>4101</v>
      </c>
      <c r="B1628" s="2" t="s">
        <v>3599</v>
      </c>
      <c r="C1628" s="1" t="s">
        <v>486</v>
      </c>
      <c r="D1628" s="1" t="s">
        <v>487</v>
      </c>
    </row>
    <row r="1629">
      <c r="A1629" s="1" t="s">
        <v>4102</v>
      </c>
      <c r="B1629" s="2" t="s">
        <v>3603</v>
      </c>
      <c r="C1629" s="1" t="s">
        <v>486</v>
      </c>
      <c r="D1629" s="1" t="s">
        <v>487</v>
      </c>
    </row>
    <row r="1630">
      <c r="A1630" s="1" t="s">
        <v>4105</v>
      </c>
      <c r="B1630" s="2" t="s">
        <v>3605</v>
      </c>
      <c r="C1630" s="1" t="s">
        <v>486</v>
      </c>
      <c r="D1630" s="1" t="s">
        <v>487</v>
      </c>
    </row>
    <row r="1631">
      <c r="A1631" s="1" t="s">
        <v>4107</v>
      </c>
      <c r="B1631" s="2" t="s">
        <v>4108</v>
      </c>
      <c r="C1631" s="1" t="s">
        <v>486</v>
      </c>
      <c r="D1631" s="1" t="s">
        <v>487</v>
      </c>
    </row>
    <row r="1632">
      <c r="A1632" s="1" t="s">
        <v>4109</v>
      </c>
      <c r="B1632" s="2" t="s">
        <v>3609</v>
      </c>
      <c r="C1632" s="1" t="s">
        <v>486</v>
      </c>
      <c r="D1632" s="1" t="s">
        <v>487</v>
      </c>
    </row>
    <row r="1633">
      <c r="A1633" s="1" t="s">
        <v>4110</v>
      </c>
      <c r="B1633" s="2" t="s">
        <v>3612</v>
      </c>
      <c r="C1633" s="1" t="s">
        <v>486</v>
      </c>
      <c r="D1633" s="1" t="s">
        <v>487</v>
      </c>
    </row>
    <row r="1634">
      <c r="A1634" s="1" t="s">
        <v>4113</v>
      </c>
      <c r="B1634" s="2" t="s">
        <v>3614</v>
      </c>
      <c r="C1634" s="1" t="s">
        <v>486</v>
      </c>
      <c r="D1634" s="1" t="s">
        <v>487</v>
      </c>
    </row>
    <row r="1635">
      <c r="A1635" s="1" t="s">
        <v>4115</v>
      </c>
      <c r="B1635" s="2" t="s">
        <v>3616</v>
      </c>
      <c r="C1635" s="1" t="s">
        <v>486</v>
      </c>
      <c r="D1635" s="1" t="s">
        <v>487</v>
      </c>
    </row>
    <row r="1636">
      <c r="A1636" s="1" t="s">
        <v>4116</v>
      </c>
      <c r="B1636" s="2" t="s">
        <v>4117</v>
      </c>
      <c r="C1636" s="1" t="s">
        <v>486</v>
      </c>
      <c r="D1636" s="1" t="s">
        <v>487</v>
      </c>
    </row>
    <row r="1637">
      <c r="A1637" s="1" t="s">
        <v>4119</v>
      </c>
      <c r="B1637" s="2" t="s">
        <v>4120</v>
      </c>
      <c r="C1637" s="1" t="s">
        <v>486</v>
      </c>
      <c r="D1637" s="1" t="s">
        <v>487</v>
      </c>
    </row>
    <row r="1638">
      <c r="A1638" s="1" t="s">
        <v>4122</v>
      </c>
      <c r="B1638" s="2" t="s">
        <v>3618</v>
      </c>
      <c r="C1638" s="1" t="s">
        <v>486</v>
      </c>
      <c r="D1638" s="1" t="s">
        <v>487</v>
      </c>
    </row>
    <row r="1639">
      <c r="A1639" s="1" t="s">
        <v>4124</v>
      </c>
      <c r="B1639" s="2" t="s">
        <v>3621</v>
      </c>
      <c r="C1639" s="1" t="s">
        <v>486</v>
      </c>
      <c r="D1639" s="1" t="s">
        <v>487</v>
      </c>
    </row>
    <row r="1640">
      <c r="A1640" s="1" t="s">
        <v>4125</v>
      </c>
      <c r="B1640" s="2" t="s">
        <v>3625</v>
      </c>
      <c r="C1640" s="1" t="s">
        <v>486</v>
      </c>
      <c r="D1640" s="1" t="s">
        <v>487</v>
      </c>
    </row>
    <row r="1641">
      <c r="A1641" s="1" t="s">
        <v>4127</v>
      </c>
      <c r="B1641" s="2" t="s">
        <v>4128</v>
      </c>
      <c r="C1641" s="1" t="s">
        <v>486</v>
      </c>
      <c r="D1641" s="1" t="s">
        <v>487</v>
      </c>
    </row>
    <row r="1642">
      <c r="A1642" s="1" t="s">
        <v>4130</v>
      </c>
      <c r="B1642" s="2" t="s">
        <v>3627</v>
      </c>
      <c r="C1642" s="1" t="s">
        <v>486</v>
      </c>
      <c r="D1642" s="1" t="s">
        <v>487</v>
      </c>
    </row>
    <row r="1643">
      <c r="A1643" s="1" t="s">
        <v>4132</v>
      </c>
      <c r="B1643" s="2" t="s">
        <v>4133</v>
      </c>
      <c r="C1643" s="1" t="s">
        <v>486</v>
      </c>
      <c r="D1643" s="1" t="s">
        <v>487</v>
      </c>
    </row>
    <row r="1644">
      <c r="A1644" s="1" t="s">
        <v>4134</v>
      </c>
      <c r="B1644" s="2" t="s">
        <v>3632</v>
      </c>
      <c r="C1644" s="1" t="s">
        <v>486</v>
      </c>
      <c r="D1644" s="1" t="s">
        <v>487</v>
      </c>
    </row>
    <row r="1645">
      <c r="A1645" s="1" t="s">
        <v>4136</v>
      </c>
      <c r="B1645" s="2" t="s">
        <v>3634</v>
      </c>
      <c r="C1645" s="1" t="s">
        <v>486</v>
      </c>
      <c r="D1645" s="1" t="s">
        <v>487</v>
      </c>
    </row>
    <row r="1646">
      <c r="A1646" s="1" t="s">
        <v>4138</v>
      </c>
      <c r="B1646" s="2" t="s">
        <v>4140</v>
      </c>
      <c r="C1646" s="1" t="s">
        <v>486</v>
      </c>
      <c r="D1646" s="1" t="s">
        <v>487</v>
      </c>
    </row>
    <row r="1647">
      <c r="A1647" s="1" t="s">
        <v>4141</v>
      </c>
      <c r="B1647" s="2" t="s">
        <v>4142</v>
      </c>
      <c r="C1647" s="1" t="s">
        <v>486</v>
      </c>
      <c r="D1647" s="1" t="s">
        <v>487</v>
      </c>
    </row>
    <row r="1648">
      <c r="A1648" s="1" t="s">
        <v>4143</v>
      </c>
      <c r="B1648" s="2" t="s">
        <v>4144</v>
      </c>
      <c r="C1648" s="1" t="s">
        <v>486</v>
      </c>
      <c r="D1648" s="1" t="s">
        <v>487</v>
      </c>
    </row>
    <row r="1649">
      <c r="A1649" s="1" t="s">
        <v>494</v>
      </c>
      <c r="B1649" s="2" t="s">
        <v>7</v>
      </c>
      <c r="C1649" s="1" t="s">
        <v>496</v>
      </c>
      <c r="D1649" s="1" t="s">
        <v>497</v>
      </c>
    </row>
    <row r="1650">
      <c r="A1650" s="1" t="s">
        <v>4148</v>
      </c>
      <c r="B1650" s="2" t="s">
        <v>3413</v>
      </c>
      <c r="C1650" s="1" t="s">
        <v>496</v>
      </c>
      <c r="D1650" s="1" t="s">
        <v>497</v>
      </c>
    </row>
    <row r="1651">
      <c r="A1651" s="1" t="s">
        <v>4149</v>
      </c>
      <c r="B1651" s="2" t="s">
        <v>4150</v>
      </c>
      <c r="C1651" s="1" t="s">
        <v>496</v>
      </c>
      <c r="D1651" s="1" t="s">
        <v>497</v>
      </c>
    </row>
    <row r="1652">
      <c r="A1652" s="1" t="s">
        <v>4151</v>
      </c>
      <c r="B1652" s="2" t="s">
        <v>4153</v>
      </c>
      <c r="C1652" s="1" t="s">
        <v>496</v>
      </c>
      <c r="D1652" s="1" t="s">
        <v>497</v>
      </c>
    </row>
    <row r="1653">
      <c r="A1653" s="1" t="s">
        <v>4154</v>
      </c>
      <c r="B1653" s="2" t="s">
        <v>3427</v>
      </c>
      <c r="C1653" s="1" t="s">
        <v>496</v>
      </c>
      <c r="D1653" s="1" t="s">
        <v>497</v>
      </c>
    </row>
    <row r="1654">
      <c r="A1654" s="1" t="s">
        <v>4157</v>
      </c>
      <c r="B1654" s="2" t="s">
        <v>4158</v>
      </c>
      <c r="C1654" s="1" t="s">
        <v>496</v>
      </c>
      <c r="D1654" s="1" t="s">
        <v>497</v>
      </c>
    </row>
    <row r="1655">
      <c r="A1655" s="1" t="s">
        <v>4159</v>
      </c>
      <c r="B1655" s="2" t="s">
        <v>4160</v>
      </c>
      <c r="C1655" s="1" t="s">
        <v>496</v>
      </c>
      <c r="D1655" s="1" t="s">
        <v>497</v>
      </c>
    </row>
    <row r="1656">
      <c r="A1656" s="1" t="s">
        <v>4162</v>
      </c>
      <c r="B1656" s="2" t="s">
        <v>3442</v>
      </c>
      <c r="C1656" s="1" t="s">
        <v>496</v>
      </c>
      <c r="D1656" s="1" t="s">
        <v>497</v>
      </c>
    </row>
    <row r="1657">
      <c r="A1657" s="1" t="s">
        <v>4165</v>
      </c>
      <c r="B1657" s="2" t="s">
        <v>4166</v>
      </c>
      <c r="C1657" s="1" t="s">
        <v>496</v>
      </c>
      <c r="D1657" s="1" t="s">
        <v>497</v>
      </c>
    </row>
    <row r="1658">
      <c r="A1658" s="1" t="s">
        <v>4167</v>
      </c>
      <c r="B1658" s="2" t="s">
        <v>4168</v>
      </c>
      <c r="C1658" s="1" t="s">
        <v>496</v>
      </c>
      <c r="D1658" s="1" t="s">
        <v>497</v>
      </c>
    </row>
    <row r="1659">
      <c r="A1659" s="1" t="s">
        <v>4169</v>
      </c>
      <c r="B1659" s="2" t="s">
        <v>3455</v>
      </c>
      <c r="C1659" s="1" t="s">
        <v>496</v>
      </c>
      <c r="D1659" s="1" t="s">
        <v>497</v>
      </c>
    </row>
    <row r="1660">
      <c r="A1660" s="1" t="s">
        <v>4171</v>
      </c>
      <c r="B1660" s="2" t="s">
        <v>4172</v>
      </c>
      <c r="C1660" s="1" t="s">
        <v>496</v>
      </c>
      <c r="D1660" s="1" t="s">
        <v>497</v>
      </c>
    </row>
    <row r="1661">
      <c r="A1661" s="1" t="s">
        <v>4175</v>
      </c>
      <c r="B1661" s="2" t="s">
        <v>4176</v>
      </c>
      <c r="C1661" s="1" t="s">
        <v>496</v>
      </c>
      <c r="D1661" s="1" t="s">
        <v>497</v>
      </c>
    </row>
    <row r="1662">
      <c r="A1662" s="1" t="s">
        <v>4177</v>
      </c>
      <c r="B1662" s="2" t="s">
        <v>3507</v>
      </c>
      <c r="C1662" s="1" t="s">
        <v>496</v>
      </c>
      <c r="D1662" s="1" t="s">
        <v>497</v>
      </c>
    </row>
    <row r="1663">
      <c r="A1663" s="1" t="s">
        <v>4178</v>
      </c>
      <c r="B1663" s="2" t="s">
        <v>4179</v>
      </c>
      <c r="C1663" s="1" t="s">
        <v>496</v>
      </c>
      <c r="D1663" s="1" t="s">
        <v>497</v>
      </c>
    </row>
    <row r="1664">
      <c r="A1664" s="1" t="s">
        <v>4182</v>
      </c>
      <c r="B1664" s="2" t="s">
        <v>4183</v>
      </c>
      <c r="C1664" s="1" t="s">
        <v>496</v>
      </c>
      <c r="D1664" s="1" t="s">
        <v>497</v>
      </c>
    </row>
    <row r="1665">
      <c r="A1665" s="1" t="s">
        <v>4186</v>
      </c>
      <c r="B1665" s="2" t="s">
        <v>4187</v>
      </c>
      <c r="C1665" s="1" t="s">
        <v>496</v>
      </c>
      <c r="D1665" s="1" t="s">
        <v>497</v>
      </c>
    </row>
    <row r="1666">
      <c r="A1666" s="1" t="s">
        <v>4188</v>
      </c>
      <c r="B1666" s="2" t="s">
        <v>4189</v>
      </c>
      <c r="C1666" s="1" t="s">
        <v>496</v>
      </c>
      <c r="D1666" s="1" t="s">
        <v>497</v>
      </c>
    </row>
    <row r="1667">
      <c r="A1667" s="1" t="s">
        <v>4190</v>
      </c>
      <c r="B1667" s="2" t="s">
        <v>4191</v>
      </c>
      <c r="C1667" s="1" t="s">
        <v>496</v>
      </c>
      <c r="D1667" s="1" t="s">
        <v>497</v>
      </c>
    </row>
    <row r="1668">
      <c r="A1668" s="1" t="s">
        <v>4193</v>
      </c>
      <c r="B1668" s="2" t="s">
        <v>4195</v>
      </c>
      <c r="C1668" s="1" t="s">
        <v>496</v>
      </c>
      <c r="D1668" s="1" t="s">
        <v>497</v>
      </c>
    </row>
    <row r="1669">
      <c r="A1669" s="1" t="s">
        <v>4198</v>
      </c>
      <c r="B1669" s="2" t="s">
        <v>4199</v>
      </c>
      <c r="C1669" s="1" t="s">
        <v>496</v>
      </c>
      <c r="D1669" s="1" t="s">
        <v>497</v>
      </c>
    </row>
    <row r="1670">
      <c r="A1670" s="1" t="s">
        <v>4200</v>
      </c>
      <c r="B1670" s="2" t="s">
        <v>4201</v>
      </c>
      <c r="C1670" s="1" t="s">
        <v>496</v>
      </c>
      <c r="D1670" s="1" t="s">
        <v>497</v>
      </c>
    </row>
    <row r="1671">
      <c r="A1671" s="1" t="s">
        <v>4202</v>
      </c>
      <c r="B1671" s="2" t="s">
        <v>4203</v>
      </c>
      <c r="C1671" s="1" t="s">
        <v>496</v>
      </c>
      <c r="D1671" s="1" t="s">
        <v>497</v>
      </c>
    </row>
    <row r="1672">
      <c r="A1672" s="1" t="s">
        <v>4204</v>
      </c>
      <c r="B1672" s="2" t="s">
        <v>4205</v>
      </c>
      <c r="C1672" s="1" t="s">
        <v>496</v>
      </c>
      <c r="D1672" s="1" t="s">
        <v>497</v>
      </c>
    </row>
    <row r="1673">
      <c r="A1673" s="1" t="s">
        <v>4207</v>
      </c>
      <c r="B1673" s="2" t="s">
        <v>4208</v>
      </c>
      <c r="C1673" s="1" t="s">
        <v>496</v>
      </c>
      <c r="D1673" s="1" t="s">
        <v>497</v>
      </c>
    </row>
    <row r="1674">
      <c r="A1674" s="1" t="s">
        <v>4209</v>
      </c>
      <c r="B1674" s="2" t="s">
        <v>4211</v>
      </c>
      <c r="C1674" s="1" t="s">
        <v>496</v>
      </c>
      <c r="D1674" s="1" t="s">
        <v>497</v>
      </c>
    </row>
    <row r="1675">
      <c r="A1675" s="1" t="s">
        <v>4212</v>
      </c>
      <c r="B1675" s="2" t="s">
        <v>3527</v>
      </c>
      <c r="C1675" s="1" t="s">
        <v>496</v>
      </c>
      <c r="D1675" s="1" t="s">
        <v>497</v>
      </c>
    </row>
    <row r="1676">
      <c r="A1676" s="1" t="s">
        <v>4215</v>
      </c>
      <c r="B1676" s="2" t="s">
        <v>4216</v>
      </c>
      <c r="C1676" s="1" t="s">
        <v>496</v>
      </c>
      <c r="D1676" s="1" t="s">
        <v>497</v>
      </c>
    </row>
    <row r="1677">
      <c r="A1677" s="1" t="s">
        <v>4217</v>
      </c>
      <c r="B1677" s="2" t="s">
        <v>4218</v>
      </c>
      <c r="C1677" s="1" t="s">
        <v>496</v>
      </c>
      <c r="D1677" s="1" t="s">
        <v>497</v>
      </c>
    </row>
    <row r="1678">
      <c r="A1678" s="1" t="s">
        <v>4219</v>
      </c>
      <c r="B1678" s="2" t="s">
        <v>4221</v>
      </c>
      <c r="C1678" s="1" t="s">
        <v>496</v>
      </c>
      <c r="D1678" s="1" t="s">
        <v>497</v>
      </c>
    </row>
    <row r="1679">
      <c r="A1679" s="1" t="s">
        <v>4222</v>
      </c>
      <c r="B1679" s="2" t="s">
        <v>4223</v>
      </c>
      <c r="C1679" s="1" t="s">
        <v>496</v>
      </c>
      <c r="D1679" s="1" t="s">
        <v>497</v>
      </c>
    </row>
    <row r="1680">
      <c r="A1680" s="1" t="s">
        <v>4225</v>
      </c>
      <c r="B1680" s="2" t="s">
        <v>4226</v>
      </c>
      <c r="C1680" s="1" t="s">
        <v>496</v>
      </c>
      <c r="D1680" s="1" t="s">
        <v>497</v>
      </c>
    </row>
    <row r="1681">
      <c r="A1681" s="1" t="s">
        <v>4227</v>
      </c>
      <c r="B1681" s="2" t="s">
        <v>4228</v>
      </c>
      <c r="C1681" s="1" t="s">
        <v>496</v>
      </c>
      <c r="D1681" s="1" t="s">
        <v>497</v>
      </c>
    </row>
    <row r="1682">
      <c r="A1682" s="1" t="s">
        <v>4229</v>
      </c>
      <c r="B1682" s="2" t="s">
        <v>4230</v>
      </c>
      <c r="C1682" s="1" t="s">
        <v>496</v>
      </c>
      <c r="D1682" s="1" t="s">
        <v>497</v>
      </c>
    </row>
    <row r="1683">
      <c r="A1683" s="1" t="s">
        <v>4232</v>
      </c>
      <c r="B1683" s="2" t="s">
        <v>4233</v>
      </c>
      <c r="C1683" s="1" t="s">
        <v>496</v>
      </c>
      <c r="D1683" s="1" t="s">
        <v>497</v>
      </c>
    </row>
    <row r="1684">
      <c r="A1684" s="1" t="s">
        <v>4235</v>
      </c>
      <c r="B1684" s="2" t="s">
        <v>4237</v>
      </c>
      <c r="C1684" s="1" t="s">
        <v>496</v>
      </c>
      <c r="D1684" s="1" t="s">
        <v>497</v>
      </c>
    </row>
    <row r="1685">
      <c r="A1685" s="1" t="s">
        <v>4238</v>
      </c>
      <c r="B1685" s="2" t="s">
        <v>4239</v>
      </c>
      <c r="C1685" s="1" t="s">
        <v>496</v>
      </c>
      <c r="D1685" s="1" t="s">
        <v>497</v>
      </c>
    </row>
    <row r="1686">
      <c r="A1686" s="1" t="s">
        <v>4240</v>
      </c>
      <c r="B1686" s="2" t="s">
        <v>4241</v>
      </c>
      <c r="C1686" s="1" t="s">
        <v>496</v>
      </c>
      <c r="D1686" s="1" t="s">
        <v>497</v>
      </c>
    </row>
    <row r="1687">
      <c r="A1687" s="1" t="s">
        <v>4243</v>
      </c>
      <c r="B1687" s="2" t="s">
        <v>4244</v>
      </c>
      <c r="C1687" s="1" t="s">
        <v>496</v>
      </c>
      <c r="D1687" s="1" t="s">
        <v>497</v>
      </c>
    </row>
    <row r="1688">
      <c r="A1688" s="1" t="s">
        <v>4246</v>
      </c>
      <c r="B1688" s="2" t="s">
        <v>4248</v>
      </c>
      <c r="C1688" s="1" t="s">
        <v>496</v>
      </c>
      <c r="D1688" s="1" t="s">
        <v>497</v>
      </c>
    </row>
    <row r="1689">
      <c r="A1689" s="1" t="s">
        <v>4249</v>
      </c>
      <c r="B1689" s="2" t="s">
        <v>4250</v>
      </c>
      <c r="C1689" s="1" t="s">
        <v>496</v>
      </c>
      <c r="D1689" s="1" t="s">
        <v>497</v>
      </c>
    </row>
    <row r="1690">
      <c r="A1690" s="1" t="s">
        <v>4251</v>
      </c>
      <c r="B1690" s="2" t="s">
        <v>4252</v>
      </c>
      <c r="C1690" s="1" t="s">
        <v>496</v>
      </c>
      <c r="D1690" s="1" t="s">
        <v>497</v>
      </c>
    </row>
    <row r="1691">
      <c r="A1691" s="1" t="s">
        <v>4255</v>
      </c>
      <c r="B1691" s="2" t="s">
        <v>4257</v>
      </c>
      <c r="C1691" s="1" t="s">
        <v>496</v>
      </c>
      <c r="D1691" s="1" t="s">
        <v>497</v>
      </c>
    </row>
    <row r="1692">
      <c r="A1692" s="1" t="s">
        <v>4258</v>
      </c>
      <c r="B1692" s="2" t="s">
        <v>4259</v>
      </c>
      <c r="C1692" s="1" t="s">
        <v>496</v>
      </c>
      <c r="D1692" s="1" t="s">
        <v>497</v>
      </c>
    </row>
    <row r="1693">
      <c r="A1693" s="1" t="s">
        <v>4261</v>
      </c>
      <c r="B1693" s="2" t="s">
        <v>4262</v>
      </c>
      <c r="C1693" s="1" t="s">
        <v>496</v>
      </c>
      <c r="D1693" s="1" t="s">
        <v>497</v>
      </c>
    </row>
    <row r="1694">
      <c r="A1694" s="1" t="s">
        <v>4265</v>
      </c>
      <c r="B1694" s="2" t="s">
        <v>4266</v>
      </c>
      <c r="C1694" s="1" t="s">
        <v>496</v>
      </c>
      <c r="D1694" s="1" t="s">
        <v>497</v>
      </c>
    </row>
    <row r="1695">
      <c r="A1695" s="1" t="s">
        <v>4267</v>
      </c>
      <c r="B1695" s="2" t="s">
        <v>4268</v>
      </c>
      <c r="C1695" s="1" t="s">
        <v>496</v>
      </c>
      <c r="D1695" s="1" t="s">
        <v>497</v>
      </c>
    </row>
    <row r="1696">
      <c r="A1696" s="1" t="s">
        <v>4270</v>
      </c>
      <c r="B1696" s="2" t="s">
        <v>4271</v>
      </c>
      <c r="C1696" s="1" t="s">
        <v>496</v>
      </c>
      <c r="D1696" s="1" t="s">
        <v>497</v>
      </c>
    </row>
    <row r="1697">
      <c r="A1697" s="1" t="s">
        <v>4273</v>
      </c>
      <c r="B1697" s="2" t="s">
        <v>4275</v>
      </c>
      <c r="C1697" s="1" t="s">
        <v>496</v>
      </c>
      <c r="D1697" s="1" t="s">
        <v>497</v>
      </c>
    </row>
    <row r="1698">
      <c r="A1698" s="1" t="s">
        <v>4276</v>
      </c>
      <c r="B1698" s="2" t="s">
        <v>4277</v>
      </c>
      <c r="C1698" s="1" t="s">
        <v>496</v>
      </c>
      <c r="D1698" s="1" t="s">
        <v>497</v>
      </c>
    </row>
    <row r="1699">
      <c r="A1699" s="1" t="s">
        <v>4278</v>
      </c>
      <c r="B1699" s="2" t="s">
        <v>4279</v>
      </c>
      <c r="C1699" s="1" t="s">
        <v>496</v>
      </c>
      <c r="D1699" s="1" t="s">
        <v>497</v>
      </c>
    </row>
    <row r="1700">
      <c r="A1700" s="1" t="s">
        <v>4281</v>
      </c>
      <c r="B1700" s="2" t="s">
        <v>4282</v>
      </c>
      <c r="C1700" s="1" t="s">
        <v>496</v>
      </c>
      <c r="D1700" s="1" t="s">
        <v>497</v>
      </c>
    </row>
    <row r="1701">
      <c r="A1701" s="1" t="s">
        <v>4285</v>
      </c>
      <c r="B1701" s="2" t="s">
        <v>4286</v>
      </c>
      <c r="C1701" s="1" t="s">
        <v>496</v>
      </c>
      <c r="D1701" s="1" t="s">
        <v>497</v>
      </c>
    </row>
    <row r="1702">
      <c r="A1702" s="1" t="s">
        <v>4287</v>
      </c>
      <c r="B1702" s="2" t="s">
        <v>4288</v>
      </c>
      <c r="C1702" s="1" t="s">
        <v>496</v>
      </c>
      <c r="D1702" s="1" t="s">
        <v>497</v>
      </c>
    </row>
    <row r="1703">
      <c r="A1703" s="1" t="s">
        <v>4289</v>
      </c>
      <c r="B1703" s="2" t="s">
        <v>4290</v>
      </c>
      <c r="C1703" s="1" t="s">
        <v>496</v>
      </c>
      <c r="D1703" s="1" t="s">
        <v>497</v>
      </c>
    </row>
    <row r="1704">
      <c r="A1704" s="1" t="s">
        <v>4292</v>
      </c>
      <c r="B1704" s="2" t="s">
        <v>4293</v>
      </c>
      <c r="C1704" s="1" t="s">
        <v>496</v>
      </c>
      <c r="D1704" s="1" t="s">
        <v>497</v>
      </c>
    </row>
    <row r="1705">
      <c r="A1705" s="1" t="s">
        <v>4295</v>
      </c>
      <c r="B1705" s="2" t="s">
        <v>4297</v>
      </c>
      <c r="C1705" s="1" t="s">
        <v>496</v>
      </c>
      <c r="D1705" s="1" t="s">
        <v>497</v>
      </c>
    </row>
    <row r="1706">
      <c r="A1706" s="1" t="s">
        <v>4298</v>
      </c>
      <c r="B1706" s="2" t="s">
        <v>4299</v>
      </c>
      <c r="C1706" s="1" t="s">
        <v>496</v>
      </c>
      <c r="D1706" s="1" t="s">
        <v>497</v>
      </c>
    </row>
    <row r="1707">
      <c r="A1707" s="1" t="s">
        <v>4300</v>
      </c>
      <c r="B1707" s="2" t="s">
        <v>4301</v>
      </c>
      <c r="C1707" s="1" t="s">
        <v>496</v>
      </c>
      <c r="D1707" s="1" t="s">
        <v>497</v>
      </c>
    </row>
    <row r="1708">
      <c r="A1708" s="1" t="s">
        <v>4303</v>
      </c>
      <c r="B1708" s="2" t="s">
        <v>4304</v>
      </c>
      <c r="C1708" s="1" t="s">
        <v>496</v>
      </c>
      <c r="D1708" s="1" t="s">
        <v>497</v>
      </c>
    </row>
    <row r="1709">
      <c r="A1709" s="1" t="s">
        <v>4307</v>
      </c>
      <c r="B1709" s="2" t="s">
        <v>4308</v>
      </c>
      <c r="C1709" s="1" t="s">
        <v>496</v>
      </c>
      <c r="D1709" s="1" t="s">
        <v>497</v>
      </c>
    </row>
    <row r="1710">
      <c r="A1710" s="1" t="s">
        <v>4309</v>
      </c>
      <c r="B1710" s="2" t="s">
        <v>4310</v>
      </c>
      <c r="C1710" s="1" t="s">
        <v>496</v>
      </c>
      <c r="D1710" s="1" t="s">
        <v>497</v>
      </c>
    </row>
    <row r="1711">
      <c r="A1711" s="1" t="s">
        <v>4311</v>
      </c>
      <c r="B1711" s="2" t="s">
        <v>4312</v>
      </c>
      <c r="C1711" s="1" t="s">
        <v>496</v>
      </c>
      <c r="D1711" s="1" t="s">
        <v>497</v>
      </c>
    </row>
    <row r="1712">
      <c r="A1712" s="1" t="s">
        <v>4314</v>
      </c>
      <c r="B1712" s="2" t="s">
        <v>4316</v>
      </c>
      <c r="C1712" s="1" t="s">
        <v>496</v>
      </c>
      <c r="D1712" s="1" t="s">
        <v>497</v>
      </c>
    </row>
    <row r="1713">
      <c r="A1713" s="1" t="s">
        <v>4319</v>
      </c>
      <c r="B1713" s="2" t="s">
        <v>4320</v>
      </c>
      <c r="C1713" s="1" t="s">
        <v>496</v>
      </c>
      <c r="D1713" s="1" t="s">
        <v>497</v>
      </c>
    </row>
    <row r="1714">
      <c r="A1714" s="1" t="s">
        <v>4321</v>
      </c>
      <c r="B1714" s="2" t="s">
        <v>4323</v>
      </c>
      <c r="C1714" s="1" t="s">
        <v>496</v>
      </c>
      <c r="D1714" s="1" t="s">
        <v>497</v>
      </c>
    </row>
    <row r="1715">
      <c r="A1715" s="1" t="s">
        <v>4324</v>
      </c>
      <c r="B1715" s="2" t="s">
        <v>4325</v>
      </c>
      <c r="C1715" s="1" t="s">
        <v>496</v>
      </c>
      <c r="D1715" s="1" t="s">
        <v>497</v>
      </c>
    </row>
    <row r="1716">
      <c r="A1716" s="1" t="s">
        <v>4327</v>
      </c>
      <c r="B1716" s="2" t="s">
        <v>4329</v>
      </c>
      <c r="C1716" s="1" t="s">
        <v>496</v>
      </c>
      <c r="D1716" s="1" t="s">
        <v>497</v>
      </c>
    </row>
    <row r="1717">
      <c r="A1717" s="1" t="s">
        <v>4331</v>
      </c>
      <c r="B1717" s="2" t="s">
        <v>4333</v>
      </c>
      <c r="C1717" s="1" t="s">
        <v>496</v>
      </c>
      <c r="D1717" s="1" t="s">
        <v>497</v>
      </c>
    </row>
    <row r="1718">
      <c r="A1718" s="1" t="s">
        <v>4334</v>
      </c>
      <c r="B1718" s="2" t="s">
        <v>4335</v>
      </c>
      <c r="C1718" s="1" t="s">
        <v>496</v>
      </c>
      <c r="D1718" s="1" t="s">
        <v>497</v>
      </c>
    </row>
    <row r="1719">
      <c r="A1719" s="1" t="s">
        <v>4336</v>
      </c>
      <c r="B1719" s="2" t="s">
        <v>4337</v>
      </c>
      <c r="C1719" s="1" t="s">
        <v>496</v>
      </c>
      <c r="D1719" s="1" t="s">
        <v>497</v>
      </c>
    </row>
    <row r="1720">
      <c r="A1720" s="1" t="s">
        <v>4339</v>
      </c>
      <c r="B1720" s="2" t="s">
        <v>4341</v>
      </c>
      <c r="C1720" s="1" t="s">
        <v>496</v>
      </c>
      <c r="D1720" s="1" t="s">
        <v>497</v>
      </c>
    </row>
    <row r="1721">
      <c r="A1721" s="1" t="s">
        <v>4344</v>
      </c>
      <c r="B1721" s="2" t="s">
        <v>4345</v>
      </c>
      <c r="C1721" s="1" t="s">
        <v>496</v>
      </c>
      <c r="D1721" s="1" t="s">
        <v>497</v>
      </c>
    </row>
    <row r="1722">
      <c r="A1722" s="1" t="s">
        <v>4346</v>
      </c>
      <c r="B1722" s="2" t="s">
        <v>4347</v>
      </c>
      <c r="C1722" s="1" t="s">
        <v>496</v>
      </c>
      <c r="D1722" s="1" t="s">
        <v>497</v>
      </c>
    </row>
    <row r="1723">
      <c r="A1723" s="1" t="s">
        <v>4348</v>
      </c>
      <c r="B1723" s="2" t="s">
        <v>4349</v>
      </c>
      <c r="C1723" s="1" t="s">
        <v>496</v>
      </c>
      <c r="D1723" s="1" t="s">
        <v>497</v>
      </c>
    </row>
    <row r="1724">
      <c r="A1724" s="1" t="s">
        <v>4352</v>
      </c>
      <c r="B1724" s="2" t="s">
        <v>4353</v>
      </c>
      <c r="C1724" s="1" t="s">
        <v>496</v>
      </c>
      <c r="D1724" s="1" t="s">
        <v>497</v>
      </c>
    </row>
    <row r="1725">
      <c r="A1725" s="1" t="s">
        <v>4356</v>
      </c>
      <c r="B1725" s="2" t="s">
        <v>4357</v>
      </c>
      <c r="C1725" s="1" t="s">
        <v>496</v>
      </c>
      <c r="D1725" s="1" t="s">
        <v>497</v>
      </c>
    </row>
    <row r="1726">
      <c r="A1726" s="1" t="s">
        <v>4358</v>
      </c>
      <c r="B1726" s="2" t="s">
        <v>4359</v>
      </c>
      <c r="C1726" s="1" t="s">
        <v>496</v>
      </c>
      <c r="D1726" s="1" t="s">
        <v>497</v>
      </c>
    </row>
    <row r="1727">
      <c r="A1727" s="1" t="s">
        <v>4360</v>
      </c>
      <c r="B1727" s="2" t="s">
        <v>4361</v>
      </c>
      <c r="C1727" s="1" t="s">
        <v>496</v>
      </c>
      <c r="D1727" s="1" t="s">
        <v>497</v>
      </c>
    </row>
    <row r="1728">
      <c r="A1728" s="1" t="s">
        <v>4364</v>
      </c>
      <c r="B1728" s="2" t="s">
        <v>4365</v>
      </c>
      <c r="C1728" s="1" t="s">
        <v>496</v>
      </c>
      <c r="D1728" s="1" t="s">
        <v>497</v>
      </c>
    </row>
    <row r="1729">
      <c r="A1729" s="1" t="s">
        <v>4368</v>
      </c>
      <c r="B1729" s="2" t="s">
        <v>4369</v>
      </c>
      <c r="C1729" s="1" t="s">
        <v>496</v>
      </c>
      <c r="D1729" s="1" t="s">
        <v>497</v>
      </c>
    </row>
    <row r="1730">
      <c r="A1730" s="1" t="s">
        <v>4370</v>
      </c>
      <c r="B1730" s="2" t="s">
        <v>4371</v>
      </c>
      <c r="C1730" s="1" t="s">
        <v>496</v>
      </c>
      <c r="D1730" s="1" t="s">
        <v>497</v>
      </c>
    </row>
    <row r="1731">
      <c r="A1731" s="1" t="s">
        <v>4372</v>
      </c>
      <c r="B1731" s="2" t="s">
        <v>4373</v>
      </c>
      <c r="C1731" s="1" t="s">
        <v>496</v>
      </c>
      <c r="D1731" s="1" t="s">
        <v>497</v>
      </c>
    </row>
    <row r="1732">
      <c r="A1732" s="1" t="s">
        <v>4374</v>
      </c>
      <c r="B1732" s="2" t="s">
        <v>4375</v>
      </c>
      <c r="C1732" s="1" t="s">
        <v>496</v>
      </c>
      <c r="D1732" s="1" t="s">
        <v>497</v>
      </c>
    </row>
    <row r="1733">
      <c r="A1733" s="1" t="s">
        <v>4376</v>
      </c>
      <c r="B1733" s="2" t="s">
        <v>4377</v>
      </c>
      <c r="C1733" s="1" t="s">
        <v>496</v>
      </c>
      <c r="D1733" s="1" t="s">
        <v>497</v>
      </c>
    </row>
    <row r="1734">
      <c r="A1734" s="1" t="s">
        <v>4378</v>
      </c>
      <c r="B1734" s="2" t="s">
        <v>4379</v>
      </c>
      <c r="C1734" s="1" t="s">
        <v>496</v>
      </c>
      <c r="D1734" s="1" t="s">
        <v>497</v>
      </c>
    </row>
    <row r="1735">
      <c r="A1735" s="1" t="s">
        <v>4381</v>
      </c>
      <c r="B1735" s="2" t="s">
        <v>4382</v>
      </c>
      <c r="C1735" s="1" t="s">
        <v>496</v>
      </c>
      <c r="D1735" s="1" t="s">
        <v>497</v>
      </c>
    </row>
    <row r="1736">
      <c r="A1736" s="1" t="s">
        <v>4385</v>
      </c>
      <c r="B1736" s="2" t="s">
        <v>4386</v>
      </c>
      <c r="C1736" s="1" t="s">
        <v>496</v>
      </c>
      <c r="D1736" s="1" t="s">
        <v>497</v>
      </c>
    </row>
    <row r="1737">
      <c r="A1737" s="1" t="s">
        <v>4388</v>
      </c>
      <c r="B1737" s="2" t="s">
        <v>4389</v>
      </c>
      <c r="C1737" s="1" t="s">
        <v>496</v>
      </c>
      <c r="D1737" s="1" t="s">
        <v>497</v>
      </c>
    </row>
    <row r="1738">
      <c r="A1738" s="1" t="s">
        <v>4390</v>
      </c>
      <c r="B1738" s="2" t="s">
        <v>4391</v>
      </c>
      <c r="C1738" s="1" t="s">
        <v>496</v>
      </c>
      <c r="D1738" s="1" t="s">
        <v>497</v>
      </c>
    </row>
    <row r="1739">
      <c r="A1739" s="1" t="s">
        <v>4392</v>
      </c>
      <c r="B1739" s="2" t="s">
        <v>4393</v>
      </c>
      <c r="C1739" s="1" t="s">
        <v>496</v>
      </c>
      <c r="D1739" s="1" t="s">
        <v>497</v>
      </c>
    </row>
    <row r="1740">
      <c r="A1740" s="1" t="s">
        <v>4394</v>
      </c>
      <c r="B1740" s="2" t="s">
        <v>4395</v>
      </c>
      <c r="C1740" s="1" t="s">
        <v>496</v>
      </c>
      <c r="D1740" s="1" t="s">
        <v>497</v>
      </c>
    </row>
    <row r="1741">
      <c r="A1741" s="1" t="s">
        <v>4396</v>
      </c>
      <c r="B1741" s="2" t="s">
        <v>4397</v>
      </c>
      <c r="C1741" s="1" t="s">
        <v>496</v>
      </c>
      <c r="D1741" s="1" t="s">
        <v>497</v>
      </c>
    </row>
    <row r="1742">
      <c r="A1742" s="1" t="s">
        <v>4398</v>
      </c>
      <c r="B1742" s="2" t="s">
        <v>4400</v>
      </c>
      <c r="C1742" s="1" t="s">
        <v>496</v>
      </c>
      <c r="D1742" s="1" t="s">
        <v>497</v>
      </c>
    </row>
    <row r="1743">
      <c r="A1743" s="1" t="s">
        <v>4402</v>
      </c>
      <c r="B1743" s="2" t="s">
        <v>4403</v>
      </c>
      <c r="C1743" s="1" t="s">
        <v>496</v>
      </c>
      <c r="D1743" s="1" t="s">
        <v>497</v>
      </c>
    </row>
    <row r="1744">
      <c r="A1744" s="1" t="s">
        <v>4406</v>
      </c>
      <c r="B1744" s="2" t="s">
        <v>4407</v>
      </c>
      <c r="C1744" s="1" t="s">
        <v>496</v>
      </c>
      <c r="D1744" s="1" t="s">
        <v>497</v>
      </c>
    </row>
    <row r="1745">
      <c r="A1745" s="1" t="s">
        <v>4408</v>
      </c>
      <c r="B1745" s="2" t="s">
        <v>4410</v>
      </c>
      <c r="C1745" s="1" t="s">
        <v>496</v>
      </c>
      <c r="D1745" s="1" t="s">
        <v>497</v>
      </c>
    </row>
    <row r="1746">
      <c r="A1746" s="1" t="s">
        <v>4411</v>
      </c>
      <c r="B1746" s="2" t="s">
        <v>4412</v>
      </c>
      <c r="C1746" s="1" t="s">
        <v>496</v>
      </c>
      <c r="D1746" s="1" t="s">
        <v>497</v>
      </c>
    </row>
    <row r="1747">
      <c r="A1747" s="1" t="s">
        <v>4415</v>
      </c>
      <c r="B1747" s="2" t="s">
        <v>4417</v>
      </c>
      <c r="C1747" s="1" t="s">
        <v>496</v>
      </c>
      <c r="D1747" s="1" t="s">
        <v>497</v>
      </c>
    </row>
    <row r="1748">
      <c r="A1748" s="1" t="s">
        <v>4419</v>
      </c>
      <c r="B1748" s="2" t="s">
        <v>4420</v>
      </c>
      <c r="C1748" s="1" t="s">
        <v>496</v>
      </c>
      <c r="D1748" s="1" t="s">
        <v>497</v>
      </c>
    </row>
    <row r="1749">
      <c r="A1749" s="1" t="s">
        <v>4421</v>
      </c>
      <c r="B1749" s="2" t="s">
        <v>4422</v>
      </c>
      <c r="C1749" s="1" t="s">
        <v>496</v>
      </c>
      <c r="D1749" s="1" t="s">
        <v>497</v>
      </c>
    </row>
    <row r="1750">
      <c r="A1750" s="1" t="s">
        <v>4425</v>
      </c>
      <c r="B1750" s="2" t="s">
        <v>4427</v>
      </c>
      <c r="C1750" s="1" t="s">
        <v>496</v>
      </c>
      <c r="D1750" s="1" t="s">
        <v>497</v>
      </c>
    </row>
    <row r="1751">
      <c r="A1751" s="1" t="s">
        <v>4429</v>
      </c>
      <c r="B1751" s="2" t="s">
        <v>4430</v>
      </c>
      <c r="C1751" s="1" t="s">
        <v>496</v>
      </c>
      <c r="D1751" s="1" t="s">
        <v>497</v>
      </c>
    </row>
    <row r="1752">
      <c r="A1752" s="1" t="s">
        <v>4431</v>
      </c>
      <c r="B1752" s="2" t="s">
        <v>4432</v>
      </c>
      <c r="C1752" s="1" t="s">
        <v>496</v>
      </c>
      <c r="D1752" s="1" t="s">
        <v>497</v>
      </c>
    </row>
    <row r="1753">
      <c r="A1753" s="1" t="s">
        <v>4433</v>
      </c>
      <c r="B1753" s="2" t="s">
        <v>4434</v>
      </c>
      <c r="C1753" s="1" t="s">
        <v>496</v>
      </c>
      <c r="D1753" s="1" t="s">
        <v>497</v>
      </c>
    </row>
    <row r="1754">
      <c r="A1754" s="1" t="s">
        <v>4435</v>
      </c>
      <c r="B1754" s="2" t="s">
        <v>4436</v>
      </c>
      <c r="C1754" s="1" t="s">
        <v>496</v>
      </c>
      <c r="D1754" s="1" t="s">
        <v>497</v>
      </c>
    </row>
    <row r="1755">
      <c r="A1755" s="1" t="s">
        <v>499</v>
      </c>
      <c r="B1755" s="2" t="s">
        <v>7</v>
      </c>
      <c r="C1755" s="1" t="s">
        <v>501</v>
      </c>
      <c r="D1755" s="1" t="s">
        <v>502</v>
      </c>
    </row>
    <row r="1756">
      <c r="A1756" s="1" t="s">
        <v>4439</v>
      </c>
      <c r="B1756" s="2" t="s">
        <v>13</v>
      </c>
      <c r="C1756" s="1" t="s">
        <v>501</v>
      </c>
      <c r="D1756" s="1" t="s">
        <v>502</v>
      </c>
    </row>
    <row r="1757">
      <c r="A1757" s="1" t="s">
        <v>4442</v>
      </c>
      <c r="B1757" s="2" t="s">
        <v>4443</v>
      </c>
      <c r="C1757" s="1" t="s">
        <v>501</v>
      </c>
      <c r="D1757" s="1" t="s">
        <v>502</v>
      </c>
    </row>
    <row r="1758">
      <c r="A1758" s="1" t="s">
        <v>4445</v>
      </c>
      <c r="B1758" s="2" t="s">
        <v>4446</v>
      </c>
      <c r="C1758" s="1" t="s">
        <v>501</v>
      </c>
      <c r="D1758" s="1" t="s">
        <v>502</v>
      </c>
    </row>
    <row r="1759">
      <c r="A1759" s="1" t="s">
        <v>4448</v>
      </c>
      <c r="B1759" s="2" t="s">
        <v>4450</v>
      </c>
      <c r="C1759" s="1" t="s">
        <v>501</v>
      </c>
      <c r="D1759" s="1" t="s">
        <v>502</v>
      </c>
    </row>
    <row r="1760">
      <c r="A1760" s="1" t="s">
        <v>4453</v>
      </c>
      <c r="B1760" s="2" t="s">
        <v>4454</v>
      </c>
      <c r="C1760" s="1" t="s">
        <v>501</v>
      </c>
      <c r="D1760" s="1" t="s">
        <v>502</v>
      </c>
    </row>
    <row r="1761">
      <c r="A1761" s="1" t="s">
        <v>4455</v>
      </c>
      <c r="B1761" s="2" t="s">
        <v>4456</v>
      </c>
      <c r="C1761" s="1" t="s">
        <v>501</v>
      </c>
      <c r="D1761" s="1" t="s">
        <v>502</v>
      </c>
    </row>
    <row r="1762">
      <c r="A1762" s="1" t="s">
        <v>4457</v>
      </c>
      <c r="B1762" s="2" t="s">
        <v>4459</v>
      </c>
      <c r="C1762" s="1" t="s">
        <v>501</v>
      </c>
      <c r="D1762" s="1" t="s">
        <v>502</v>
      </c>
    </row>
    <row r="1763">
      <c r="A1763" s="1" t="s">
        <v>4462</v>
      </c>
      <c r="B1763" s="2" t="s">
        <v>4464</v>
      </c>
      <c r="C1763" s="1" t="s">
        <v>501</v>
      </c>
      <c r="D1763" s="1" t="s">
        <v>502</v>
      </c>
    </row>
    <row r="1764">
      <c r="A1764" s="1" t="s">
        <v>4465</v>
      </c>
      <c r="B1764" s="2" t="s">
        <v>4466</v>
      </c>
      <c r="C1764" s="1" t="s">
        <v>501</v>
      </c>
      <c r="D1764" s="1" t="s">
        <v>502</v>
      </c>
    </row>
    <row r="1765">
      <c r="A1765" s="1" t="s">
        <v>4467</v>
      </c>
      <c r="B1765" s="2" t="s">
        <v>4469</v>
      </c>
      <c r="C1765" s="1" t="s">
        <v>501</v>
      </c>
      <c r="D1765" s="1" t="s">
        <v>502</v>
      </c>
    </row>
    <row r="1766">
      <c r="A1766" s="1" t="s">
        <v>4471</v>
      </c>
      <c r="B1766" s="2" t="s">
        <v>4473</v>
      </c>
      <c r="C1766" s="1" t="s">
        <v>501</v>
      </c>
      <c r="D1766" s="1" t="s">
        <v>502</v>
      </c>
    </row>
    <row r="1767">
      <c r="A1767" s="1" t="s">
        <v>4474</v>
      </c>
      <c r="B1767" s="2" t="s">
        <v>4475</v>
      </c>
      <c r="C1767" s="1" t="s">
        <v>501</v>
      </c>
      <c r="D1767" s="1" t="s">
        <v>502</v>
      </c>
    </row>
    <row r="1768">
      <c r="A1768" s="1" t="s">
        <v>4476</v>
      </c>
      <c r="B1768" s="2" t="s">
        <v>4477</v>
      </c>
      <c r="C1768" s="1" t="s">
        <v>501</v>
      </c>
      <c r="D1768" s="1" t="s">
        <v>502</v>
      </c>
    </row>
    <row r="1769">
      <c r="A1769" s="1" t="s">
        <v>4479</v>
      </c>
      <c r="B1769" s="2" t="s">
        <v>4481</v>
      </c>
      <c r="C1769" s="1" t="s">
        <v>501</v>
      </c>
      <c r="D1769" s="1" t="s">
        <v>502</v>
      </c>
    </row>
    <row r="1770">
      <c r="A1770" s="1" t="s">
        <v>4483</v>
      </c>
      <c r="B1770" s="2" t="s">
        <v>4484</v>
      </c>
      <c r="C1770" s="1" t="s">
        <v>501</v>
      </c>
      <c r="D1770" s="1" t="s">
        <v>502</v>
      </c>
    </row>
    <row r="1771">
      <c r="A1771" s="1" t="s">
        <v>4485</v>
      </c>
      <c r="B1771" s="2" t="s">
        <v>4486</v>
      </c>
      <c r="C1771" s="1" t="s">
        <v>501</v>
      </c>
      <c r="D1771" s="1" t="s">
        <v>502</v>
      </c>
    </row>
    <row r="1772">
      <c r="A1772" s="1" t="s">
        <v>4488</v>
      </c>
      <c r="B1772" s="2" t="s">
        <v>4490</v>
      </c>
      <c r="C1772" s="1" t="s">
        <v>501</v>
      </c>
      <c r="D1772" s="1" t="s">
        <v>502</v>
      </c>
    </row>
    <row r="1773">
      <c r="A1773" s="1" t="s">
        <v>4492</v>
      </c>
      <c r="B1773" s="2" t="s">
        <v>4493</v>
      </c>
      <c r="C1773" s="1" t="s">
        <v>501</v>
      </c>
      <c r="D1773" s="1" t="s">
        <v>502</v>
      </c>
    </row>
    <row r="1774">
      <c r="A1774" s="1" t="s">
        <v>4494</v>
      </c>
      <c r="B1774" s="2" t="s">
        <v>4495</v>
      </c>
      <c r="C1774" s="1" t="s">
        <v>501</v>
      </c>
      <c r="D1774" s="1" t="s">
        <v>502</v>
      </c>
    </row>
    <row r="1775">
      <c r="A1775" s="1" t="s">
        <v>4497</v>
      </c>
      <c r="B1775" s="2" t="s">
        <v>4498</v>
      </c>
      <c r="C1775" s="1" t="s">
        <v>501</v>
      </c>
      <c r="D1775" s="1" t="s">
        <v>502</v>
      </c>
    </row>
    <row r="1776">
      <c r="A1776" s="1" t="s">
        <v>4501</v>
      </c>
      <c r="B1776" s="2" t="s">
        <v>4502</v>
      </c>
      <c r="C1776" s="1" t="s">
        <v>501</v>
      </c>
      <c r="D1776" s="1" t="s">
        <v>502</v>
      </c>
    </row>
    <row r="1777">
      <c r="A1777" s="1" t="s">
        <v>4503</v>
      </c>
      <c r="B1777" s="2" t="s">
        <v>4505</v>
      </c>
      <c r="C1777" s="1" t="s">
        <v>501</v>
      </c>
      <c r="D1777" s="1" t="s">
        <v>502</v>
      </c>
    </row>
    <row r="1778">
      <c r="A1778" s="1" t="s">
        <v>4508</v>
      </c>
      <c r="B1778" s="2" t="s">
        <v>4509</v>
      </c>
      <c r="C1778" s="1" t="s">
        <v>501</v>
      </c>
      <c r="D1778" s="1" t="s">
        <v>502</v>
      </c>
    </row>
    <row r="1779">
      <c r="A1779" s="1" t="s">
        <v>4510</v>
      </c>
      <c r="B1779" s="2" t="s">
        <v>4512</v>
      </c>
      <c r="C1779" s="1" t="s">
        <v>501</v>
      </c>
      <c r="D1779" s="1" t="s">
        <v>502</v>
      </c>
    </row>
    <row r="1780">
      <c r="A1780" s="1" t="s">
        <v>4515</v>
      </c>
      <c r="B1780" s="2" t="s">
        <v>4516</v>
      </c>
      <c r="C1780" s="1" t="s">
        <v>501</v>
      </c>
      <c r="D1780" s="1" t="s">
        <v>502</v>
      </c>
    </row>
    <row r="1781">
      <c r="A1781" s="1" t="s">
        <v>4517</v>
      </c>
      <c r="B1781" s="2" t="s">
        <v>4519</v>
      </c>
      <c r="C1781" s="1" t="s">
        <v>501</v>
      </c>
      <c r="D1781" s="1" t="s">
        <v>502</v>
      </c>
    </row>
    <row r="1782">
      <c r="A1782" s="1" t="s">
        <v>4522</v>
      </c>
      <c r="B1782" s="2" t="s">
        <v>4523</v>
      </c>
      <c r="C1782" s="1" t="s">
        <v>501</v>
      </c>
      <c r="D1782" s="1" t="s">
        <v>502</v>
      </c>
    </row>
    <row r="1783">
      <c r="A1783" s="1" t="s">
        <v>4538</v>
      </c>
      <c r="B1783" s="2" t="s">
        <v>4540</v>
      </c>
      <c r="C1783" s="1" t="s">
        <v>501</v>
      </c>
      <c r="D1783" s="1" t="s">
        <v>502</v>
      </c>
    </row>
    <row r="1784">
      <c r="A1784" s="1" t="s">
        <v>4542</v>
      </c>
      <c r="B1784" s="2" t="s">
        <v>4543</v>
      </c>
      <c r="C1784" s="1" t="s">
        <v>501</v>
      </c>
      <c r="D1784" s="1" t="s">
        <v>502</v>
      </c>
    </row>
    <row r="1785">
      <c r="A1785" s="1" t="s">
        <v>4544</v>
      </c>
      <c r="B1785" s="2" t="s">
        <v>4546</v>
      </c>
      <c r="C1785" s="1" t="s">
        <v>501</v>
      </c>
      <c r="D1785" s="1" t="s">
        <v>502</v>
      </c>
    </row>
    <row r="1786">
      <c r="A1786" s="1" t="s">
        <v>4548</v>
      </c>
      <c r="B1786" s="2" t="s">
        <v>4550</v>
      </c>
      <c r="C1786" s="1" t="s">
        <v>501</v>
      </c>
      <c r="D1786" s="1" t="s">
        <v>502</v>
      </c>
    </row>
    <row r="1787">
      <c r="A1787" s="1" t="s">
        <v>4551</v>
      </c>
      <c r="B1787" s="2" t="s">
        <v>4552</v>
      </c>
      <c r="C1787" s="1" t="s">
        <v>501</v>
      </c>
      <c r="D1787" s="1" t="s">
        <v>502</v>
      </c>
    </row>
    <row r="1788">
      <c r="A1788" s="1" t="s">
        <v>4554</v>
      </c>
      <c r="B1788" s="2" t="s">
        <v>4555</v>
      </c>
      <c r="C1788" s="1" t="s">
        <v>501</v>
      </c>
      <c r="D1788" s="1" t="s">
        <v>502</v>
      </c>
    </row>
    <row r="1789">
      <c r="A1789" s="1" t="s">
        <v>4558</v>
      </c>
      <c r="B1789" s="2" t="s">
        <v>4559</v>
      </c>
      <c r="C1789" s="1" t="s">
        <v>501</v>
      </c>
      <c r="D1789" s="1" t="s">
        <v>502</v>
      </c>
    </row>
    <row r="1790">
      <c r="A1790" s="1" t="s">
        <v>4560</v>
      </c>
      <c r="B1790" s="2" t="s">
        <v>70</v>
      </c>
      <c r="C1790" s="1" t="s">
        <v>501</v>
      </c>
      <c r="D1790" s="1" t="s">
        <v>502</v>
      </c>
    </row>
    <row r="1791">
      <c r="A1791" s="1" t="s">
        <v>4562</v>
      </c>
      <c r="B1791" s="2" t="s">
        <v>4563</v>
      </c>
      <c r="C1791" s="1" t="s">
        <v>501</v>
      </c>
      <c r="D1791" s="1" t="s">
        <v>502</v>
      </c>
    </row>
    <row r="1792">
      <c r="A1792" s="1" t="s">
        <v>4566</v>
      </c>
      <c r="B1792" s="2" t="s">
        <v>4567</v>
      </c>
      <c r="C1792" s="1" t="s">
        <v>501</v>
      </c>
      <c r="D1792" s="1" t="s">
        <v>502</v>
      </c>
    </row>
    <row r="1793">
      <c r="A1793" s="1" t="s">
        <v>4568</v>
      </c>
      <c r="B1793" s="2" t="s">
        <v>4569</v>
      </c>
      <c r="C1793" s="1" t="s">
        <v>501</v>
      </c>
      <c r="D1793" s="1" t="s">
        <v>502</v>
      </c>
    </row>
    <row r="1794">
      <c r="A1794" s="1" t="s">
        <v>4571</v>
      </c>
      <c r="B1794" s="2" t="s">
        <v>4572</v>
      </c>
      <c r="C1794" s="1" t="s">
        <v>501</v>
      </c>
      <c r="D1794" s="1" t="s">
        <v>502</v>
      </c>
    </row>
    <row r="1795">
      <c r="A1795" s="1" t="s">
        <v>4575</v>
      </c>
      <c r="B1795" s="2" t="s">
        <v>4576</v>
      </c>
      <c r="C1795" s="1" t="s">
        <v>501</v>
      </c>
      <c r="D1795" s="1" t="s">
        <v>502</v>
      </c>
    </row>
    <row r="1796">
      <c r="A1796" s="1" t="s">
        <v>4577</v>
      </c>
      <c r="B1796" s="2" t="s">
        <v>4578</v>
      </c>
      <c r="C1796" s="1" t="s">
        <v>501</v>
      </c>
      <c r="D1796" s="1" t="s">
        <v>502</v>
      </c>
    </row>
    <row r="1797">
      <c r="A1797" s="1" t="s">
        <v>4580</v>
      </c>
      <c r="B1797" s="2" t="s">
        <v>4581</v>
      </c>
      <c r="C1797" s="1" t="s">
        <v>501</v>
      </c>
      <c r="D1797" s="1" t="s">
        <v>502</v>
      </c>
    </row>
    <row r="1798">
      <c r="A1798" s="1" t="s">
        <v>4584</v>
      </c>
      <c r="B1798" s="2" t="s">
        <v>4585</v>
      </c>
      <c r="C1798" s="1" t="s">
        <v>501</v>
      </c>
      <c r="D1798" s="1" t="s">
        <v>502</v>
      </c>
    </row>
    <row r="1799">
      <c r="A1799" s="1" t="s">
        <v>4586</v>
      </c>
      <c r="B1799" s="2" t="s">
        <v>4587</v>
      </c>
      <c r="C1799" s="1" t="s">
        <v>501</v>
      </c>
      <c r="D1799" s="1" t="s">
        <v>502</v>
      </c>
    </row>
    <row r="1800">
      <c r="A1800" s="1" t="s">
        <v>4589</v>
      </c>
      <c r="B1800" s="2" t="s">
        <v>4591</v>
      </c>
      <c r="C1800" s="1" t="s">
        <v>501</v>
      </c>
      <c r="D1800" s="1" t="s">
        <v>502</v>
      </c>
    </row>
    <row r="1801">
      <c r="A1801" s="1" t="s">
        <v>4593</v>
      </c>
      <c r="B1801" s="2" t="s">
        <v>4594</v>
      </c>
      <c r="C1801" s="1" t="s">
        <v>501</v>
      </c>
      <c r="D1801" s="1" t="s">
        <v>502</v>
      </c>
    </row>
    <row r="1802">
      <c r="A1802" s="1" t="s">
        <v>4595</v>
      </c>
      <c r="B1802" s="2" t="s">
        <v>4597</v>
      </c>
      <c r="C1802" s="1" t="s">
        <v>501</v>
      </c>
      <c r="D1802" s="1" t="s">
        <v>502</v>
      </c>
    </row>
    <row r="1803">
      <c r="A1803" s="1" t="s">
        <v>4599</v>
      </c>
      <c r="B1803" s="2" t="s">
        <v>4601</v>
      </c>
      <c r="C1803" s="1" t="s">
        <v>501</v>
      </c>
      <c r="D1803" s="1" t="s">
        <v>502</v>
      </c>
    </row>
    <row r="1804">
      <c r="A1804" s="1" t="s">
        <v>4602</v>
      </c>
      <c r="B1804" s="2" t="s">
        <v>4603</v>
      </c>
      <c r="C1804" s="1" t="s">
        <v>501</v>
      </c>
      <c r="D1804" s="1" t="s">
        <v>502</v>
      </c>
    </row>
    <row r="1805">
      <c r="A1805" s="1" t="s">
        <v>4604</v>
      </c>
      <c r="B1805" s="2" t="s">
        <v>4606</v>
      </c>
      <c r="C1805" s="1" t="s">
        <v>501</v>
      </c>
      <c r="D1805" s="1" t="s">
        <v>502</v>
      </c>
    </row>
    <row r="1806">
      <c r="A1806" s="1" t="s">
        <v>4608</v>
      </c>
      <c r="B1806" s="2" t="s">
        <v>4610</v>
      </c>
      <c r="C1806" s="1" t="s">
        <v>501</v>
      </c>
      <c r="D1806" s="1" t="s">
        <v>502</v>
      </c>
    </row>
    <row r="1807">
      <c r="A1807" s="1" t="s">
        <v>4611</v>
      </c>
      <c r="B1807" s="2" t="s">
        <v>4612</v>
      </c>
      <c r="C1807" s="1" t="s">
        <v>501</v>
      </c>
      <c r="D1807" s="1" t="s">
        <v>502</v>
      </c>
    </row>
    <row r="1808">
      <c r="A1808" s="1" t="s">
        <v>4613</v>
      </c>
      <c r="B1808" s="2" t="s">
        <v>4614</v>
      </c>
      <c r="C1808" s="1" t="s">
        <v>501</v>
      </c>
      <c r="D1808" s="1" t="s">
        <v>502</v>
      </c>
    </row>
    <row r="1809">
      <c r="A1809" s="1" t="s">
        <v>4615</v>
      </c>
      <c r="B1809" s="2" t="s">
        <v>4616</v>
      </c>
      <c r="C1809" s="1" t="s">
        <v>501</v>
      </c>
      <c r="D1809" s="1" t="s">
        <v>502</v>
      </c>
    </row>
    <row r="1810">
      <c r="A1810" s="1" t="s">
        <v>4617</v>
      </c>
      <c r="B1810" s="2" t="s">
        <v>4618</v>
      </c>
      <c r="C1810" s="1" t="s">
        <v>501</v>
      </c>
      <c r="D1810" s="1" t="s">
        <v>502</v>
      </c>
    </row>
    <row r="1811">
      <c r="A1811" s="1" t="s">
        <v>4620</v>
      </c>
      <c r="B1811" s="2" t="s">
        <v>4622</v>
      </c>
      <c r="C1811" s="1" t="s">
        <v>501</v>
      </c>
      <c r="D1811" s="1" t="s">
        <v>502</v>
      </c>
    </row>
    <row r="1812">
      <c r="A1812" s="1" t="s">
        <v>4624</v>
      </c>
      <c r="B1812" s="2" t="s">
        <v>4625</v>
      </c>
      <c r="C1812" s="1" t="s">
        <v>501</v>
      </c>
      <c r="D1812" s="1" t="s">
        <v>502</v>
      </c>
    </row>
    <row r="1813">
      <c r="A1813" s="1" t="s">
        <v>4626</v>
      </c>
      <c r="B1813" s="2" t="s">
        <v>4627</v>
      </c>
      <c r="C1813" s="1" t="s">
        <v>501</v>
      </c>
      <c r="D1813" s="1" t="s">
        <v>502</v>
      </c>
    </row>
    <row r="1814">
      <c r="A1814" s="1" t="s">
        <v>4629</v>
      </c>
      <c r="B1814" s="2" t="s">
        <v>4631</v>
      </c>
      <c r="C1814" s="1" t="s">
        <v>501</v>
      </c>
      <c r="D1814" s="1" t="s">
        <v>502</v>
      </c>
    </row>
    <row r="1815">
      <c r="A1815" s="1" t="s">
        <v>4633</v>
      </c>
      <c r="B1815" s="2" t="s">
        <v>4634</v>
      </c>
      <c r="C1815" s="1" t="s">
        <v>501</v>
      </c>
      <c r="D1815" s="1" t="s">
        <v>502</v>
      </c>
    </row>
    <row r="1816">
      <c r="A1816" s="1" t="s">
        <v>4635</v>
      </c>
      <c r="B1816" s="2" t="s">
        <v>4636</v>
      </c>
      <c r="C1816" s="1" t="s">
        <v>501</v>
      </c>
      <c r="D1816" s="1" t="s">
        <v>502</v>
      </c>
    </row>
    <row r="1817">
      <c r="A1817" s="1" t="s">
        <v>4638</v>
      </c>
      <c r="B1817" s="2" t="s">
        <v>4640</v>
      </c>
      <c r="C1817" s="1" t="s">
        <v>501</v>
      </c>
      <c r="D1817" s="1" t="s">
        <v>502</v>
      </c>
    </row>
    <row r="1818">
      <c r="A1818" s="1" t="s">
        <v>4642</v>
      </c>
      <c r="B1818" s="2" t="s">
        <v>4643</v>
      </c>
      <c r="C1818" s="1" t="s">
        <v>501</v>
      </c>
      <c r="D1818" s="1" t="s">
        <v>502</v>
      </c>
    </row>
    <row r="1819">
      <c r="A1819" s="1" t="s">
        <v>4644</v>
      </c>
      <c r="B1819" s="2" t="s">
        <v>4646</v>
      </c>
      <c r="C1819" s="1" t="s">
        <v>501</v>
      </c>
      <c r="D1819" s="1" t="s">
        <v>502</v>
      </c>
    </row>
    <row r="1820">
      <c r="A1820" s="1" t="s">
        <v>4648</v>
      </c>
      <c r="B1820" s="2" t="s">
        <v>4650</v>
      </c>
      <c r="C1820" s="1" t="s">
        <v>501</v>
      </c>
      <c r="D1820" s="1" t="s">
        <v>502</v>
      </c>
    </row>
    <row r="1821">
      <c r="A1821" s="1" t="s">
        <v>4651</v>
      </c>
      <c r="B1821" s="2" t="s">
        <v>4652</v>
      </c>
      <c r="C1821" s="1" t="s">
        <v>501</v>
      </c>
      <c r="D1821" s="1" t="s">
        <v>502</v>
      </c>
    </row>
    <row r="1822">
      <c r="A1822" s="1" t="s">
        <v>4654</v>
      </c>
      <c r="B1822" s="2" t="s">
        <v>4655</v>
      </c>
      <c r="C1822" s="1" t="s">
        <v>501</v>
      </c>
      <c r="D1822" s="1" t="s">
        <v>502</v>
      </c>
    </row>
    <row r="1823">
      <c r="A1823" s="1" t="s">
        <v>4658</v>
      </c>
      <c r="B1823" s="2" t="s">
        <v>4659</v>
      </c>
      <c r="C1823" s="1" t="s">
        <v>501</v>
      </c>
      <c r="D1823" s="1" t="s">
        <v>502</v>
      </c>
    </row>
    <row r="1824">
      <c r="A1824" s="1" t="s">
        <v>504</v>
      </c>
      <c r="B1824" s="2" t="s">
        <v>7</v>
      </c>
      <c r="C1824" s="1" t="s">
        <v>506</v>
      </c>
      <c r="D1824" s="1" t="s">
        <v>507</v>
      </c>
    </row>
    <row r="1825">
      <c r="A1825" s="1" t="s">
        <v>4661</v>
      </c>
      <c r="B1825" s="2" t="s">
        <v>4662</v>
      </c>
      <c r="C1825" s="1" t="s">
        <v>506</v>
      </c>
      <c r="D1825" s="1" t="s">
        <v>507</v>
      </c>
    </row>
    <row r="1826">
      <c r="A1826" s="1" t="s">
        <v>4665</v>
      </c>
      <c r="B1826" s="2" t="s">
        <v>4666</v>
      </c>
      <c r="C1826" s="1" t="s">
        <v>506</v>
      </c>
      <c r="D1826" s="1" t="s">
        <v>507</v>
      </c>
    </row>
    <row r="1827">
      <c r="A1827" s="1" t="s">
        <v>4667</v>
      </c>
      <c r="B1827" s="2" t="s">
        <v>4668</v>
      </c>
      <c r="C1827" s="1" t="s">
        <v>506</v>
      </c>
      <c r="D1827" s="1" t="s">
        <v>507</v>
      </c>
    </row>
    <row r="1828">
      <c r="A1828" s="1" t="s">
        <v>4671</v>
      </c>
      <c r="B1828" s="2" t="s">
        <v>4673</v>
      </c>
      <c r="C1828" s="1" t="s">
        <v>506</v>
      </c>
      <c r="D1828" s="1" t="s">
        <v>507</v>
      </c>
    </row>
    <row r="1829">
      <c r="A1829" s="1" t="s">
        <v>4675</v>
      </c>
      <c r="B1829" s="2" t="s">
        <v>4676</v>
      </c>
      <c r="C1829" s="1" t="s">
        <v>506</v>
      </c>
      <c r="D1829" s="1" t="s">
        <v>507</v>
      </c>
    </row>
    <row r="1830">
      <c r="A1830" s="1" t="s">
        <v>4677</v>
      </c>
      <c r="B1830" s="2" t="s">
        <v>4678</v>
      </c>
      <c r="C1830" s="1" t="s">
        <v>506</v>
      </c>
      <c r="D1830" s="1" t="s">
        <v>507</v>
      </c>
    </row>
    <row r="1831">
      <c r="A1831" s="1" t="s">
        <v>4680</v>
      </c>
      <c r="B1831" s="2" t="s">
        <v>4682</v>
      </c>
      <c r="C1831" s="1" t="s">
        <v>506</v>
      </c>
      <c r="D1831" s="1" t="s">
        <v>507</v>
      </c>
    </row>
    <row r="1832">
      <c r="A1832" s="1" t="s">
        <v>4685</v>
      </c>
      <c r="B1832" s="2" t="s">
        <v>4686</v>
      </c>
      <c r="C1832" s="1" t="s">
        <v>506</v>
      </c>
      <c r="D1832" s="1" t="s">
        <v>507</v>
      </c>
    </row>
    <row r="1833">
      <c r="A1833" s="1" t="s">
        <v>4687</v>
      </c>
      <c r="B1833" s="2" t="s">
        <v>4688</v>
      </c>
      <c r="C1833" s="1" t="s">
        <v>506</v>
      </c>
      <c r="D1833" s="1" t="s">
        <v>507</v>
      </c>
    </row>
    <row r="1834">
      <c r="A1834" s="1" t="s">
        <v>4690</v>
      </c>
      <c r="B1834" s="2" t="s">
        <v>4692</v>
      </c>
      <c r="C1834" s="1" t="s">
        <v>506</v>
      </c>
      <c r="D1834" s="1" t="s">
        <v>507</v>
      </c>
    </row>
    <row r="1835">
      <c r="A1835" s="1" t="s">
        <v>4694</v>
      </c>
      <c r="B1835" s="2" t="s">
        <v>4695</v>
      </c>
      <c r="C1835" s="1" t="s">
        <v>506</v>
      </c>
      <c r="D1835" s="1" t="s">
        <v>507</v>
      </c>
    </row>
    <row r="1836">
      <c r="A1836" s="1" t="s">
        <v>4697</v>
      </c>
      <c r="B1836" s="2" t="s">
        <v>4698</v>
      </c>
      <c r="C1836" s="1" t="s">
        <v>506</v>
      </c>
      <c r="D1836" s="1" t="s">
        <v>507</v>
      </c>
    </row>
    <row r="1837">
      <c r="A1837" s="1" t="s">
        <v>4699</v>
      </c>
      <c r="B1837" s="2" t="s">
        <v>4700</v>
      </c>
      <c r="C1837" s="1" t="s">
        <v>506</v>
      </c>
      <c r="D1837" s="1" t="s">
        <v>507</v>
      </c>
    </row>
    <row r="1838">
      <c r="A1838" s="1" t="s">
        <v>4702</v>
      </c>
      <c r="B1838" s="2" t="s">
        <v>4703</v>
      </c>
      <c r="C1838" s="1" t="s">
        <v>506</v>
      </c>
      <c r="D1838" s="1" t="s">
        <v>507</v>
      </c>
    </row>
    <row r="1839">
      <c r="A1839" s="1" t="s">
        <v>4705</v>
      </c>
      <c r="B1839" s="2" t="s">
        <v>4707</v>
      </c>
      <c r="C1839" s="1" t="s">
        <v>506</v>
      </c>
      <c r="D1839" s="1" t="s">
        <v>507</v>
      </c>
    </row>
    <row r="1840">
      <c r="A1840" s="1" t="s">
        <v>4708</v>
      </c>
      <c r="B1840" s="2" t="s">
        <v>4709</v>
      </c>
      <c r="C1840" s="1" t="s">
        <v>506</v>
      </c>
      <c r="D1840" s="1" t="s">
        <v>507</v>
      </c>
    </row>
    <row r="1841">
      <c r="A1841" s="1" t="s">
        <v>4711</v>
      </c>
      <c r="B1841" s="2" t="s">
        <v>4712</v>
      </c>
      <c r="C1841" s="1" t="s">
        <v>506</v>
      </c>
      <c r="D1841" s="1" t="s">
        <v>507</v>
      </c>
    </row>
    <row r="1842">
      <c r="A1842" s="1" t="s">
        <v>4715</v>
      </c>
      <c r="B1842" s="2" t="s">
        <v>4716</v>
      </c>
      <c r="C1842" s="1" t="s">
        <v>506</v>
      </c>
      <c r="D1842" s="1" t="s">
        <v>507</v>
      </c>
    </row>
    <row r="1843">
      <c r="A1843" s="1" t="s">
        <v>4718</v>
      </c>
      <c r="B1843" s="2" t="s">
        <v>4719</v>
      </c>
      <c r="C1843" s="1" t="s">
        <v>506</v>
      </c>
      <c r="D1843" s="1" t="s">
        <v>507</v>
      </c>
    </row>
    <row r="1844">
      <c r="A1844" s="1" t="s">
        <v>4720</v>
      </c>
      <c r="B1844" s="2" t="s">
        <v>4721</v>
      </c>
      <c r="C1844" s="1" t="s">
        <v>506</v>
      </c>
      <c r="D1844" s="1" t="s">
        <v>507</v>
      </c>
    </row>
    <row r="1845">
      <c r="A1845" s="1" t="s">
        <v>4723</v>
      </c>
      <c r="B1845" s="2" t="s">
        <v>4724</v>
      </c>
      <c r="C1845" s="1" t="s">
        <v>506</v>
      </c>
      <c r="D1845" s="1" t="s">
        <v>507</v>
      </c>
    </row>
    <row r="1846">
      <c r="A1846" s="1" t="s">
        <v>4727</v>
      </c>
      <c r="B1846" s="2" t="s">
        <v>4728</v>
      </c>
      <c r="C1846" s="1" t="s">
        <v>506</v>
      </c>
      <c r="D1846" s="1" t="s">
        <v>507</v>
      </c>
    </row>
    <row r="1847">
      <c r="A1847" s="1" t="s">
        <v>4729</v>
      </c>
      <c r="B1847" s="2" t="s">
        <v>4730</v>
      </c>
      <c r="C1847" s="1" t="s">
        <v>506</v>
      </c>
      <c r="D1847" s="1" t="s">
        <v>507</v>
      </c>
    </row>
    <row r="1848">
      <c r="A1848" s="1" t="s">
        <v>4732</v>
      </c>
      <c r="B1848" s="2" t="s">
        <v>4733</v>
      </c>
      <c r="C1848" s="1" t="s">
        <v>506</v>
      </c>
      <c r="D1848" s="1" t="s">
        <v>507</v>
      </c>
    </row>
    <row r="1849">
      <c r="A1849" s="1" t="s">
        <v>4736</v>
      </c>
      <c r="B1849" s="2" t="s">
        <v>4737</v>
      </c>
      <c r="C1849" s="1" t="s">
        <v>506</v>
      </c>
      <c r="D1849" s="1" t="s">
        <v>507</v>
      </c>
    </row>
    <row r="1850">
      <c r="A1850" s="1" t="s">
        <v>4738</v>
      </c>
      <c r="B1850" s="2" t="s">
        <v>4739</v>
      </c>
      <c r="C1850" s="1" t="s">
        <v>506</v>
      </c>
      <c r="D1850" s="1" t="s">
        <v>507</v>
      </c>
    </row>
    <row r="1851">
      <c r="A1851" s="1" t="s">
        <v>4740</v>
      </c>
      <c r="B1851" s="2" t="s">
        <v>4742</v>
      </c>
      <c r="C1851" s="1" t="s">
        <v>506</v>
      </c>
      <c r="D1851" s="1" t="s">
        <v>507</v>
      </c>
    </row>
    <row r="1852">
      <c r="A1852" s="1" t="s">
        <v>4745</v>
      </c>
      <c r="B1852" s="2" t="s">
        <v>4746</v>
      </c>
      <c r="C1852" s="1" t="s">
        <v>506</v>
      </c>
      <c r="D1852" s="1" t="s">
        <v>507</v>
      </c>
    </row>
    <row r="1853">
      <c r="A1853" s="1" t="s">
        <v>4748</v>
      </c>
      <c r="B1853" s="2" t="s">
        <v>4749</v>
      </c>
      <c r="C1853" s="1" t="s">
        <v>506</v>
      </c>
      <c r="D1853" s="1" t="s">
        <v>507</v>
      </c>
    </row>
    <row r="1854">
      <c r="A1854" s="1" t="s">
        <v>4750</v>
      </c>
      <c r="B1854" s="2" t="s">
        <v>4751</v>
      </c>
      <c r="C1854" s="1" t="s">
        <v>506</v>
      </c>
      <c r="D1854" s="1" t="s">
        <v>507</v>
      </c>
    </row>
    <row r="1855">
      <c r="A1855" s="1" t="s">
        <v>4753</v>
      </c>
      <c r="B1855" s="2" t="s">
        <v>4754</v>
      </c>
      <c r="C1855" s="1" t="s">
        <v>506</v>
      </c>
      <c r="D1855" s="1" t="s">
        <v>507</v>
      </c>
    </row>
    <row r="1856">
      <c r="A1856" s="1" t="s">
        <v>4756</v>
      </c>
      <c r="B1856" s="2" t="s">
        <v>4758</v>
      </c>
      <c r="C1856" s="1" t="s">
        <v>506</v>
      </c>
      <c r="D1856" s="1" t="s">
        <v>507</v>
      </c>
    </row>
    <row r="1857">
      <c r="A1857" s="1" t="s">
        <v>4759</v>
      </c>
      <c r="B1857" s="2" t="s">
        <v>4760</v>
      </c>
      <c r="C1857" s="1" t="s">
        <v>506</v>
      </c>
      <c r="D1857" s="1" t="s">
        <v>507</v>
      </c>
    </row>
    <row r="1858">
      <c r="A1858" s="1" t="s">
        <v>4761</v>
      </c>
      <c r="B1858" s="2" t="s">
        <v>4762</v>
      </c>
      <c r="C1858" s="1" t="s">
        <v>506</v>
      </c>
      <c r="D1858" s="1" t="s">
        <v>507</v>
      </c>
    </row>
    <row r="1859">
      <c r="A1859" s="1" t="s">
        <v>4764</v>
      </c>
      <c r="B1859" s="2" t="s">
        <v>4765</v>
      </c>
      <c r="C1859" s="1" t="s">
        <v>506</v>
      </c>
      <c r="D1859" s="1" t="s">
        <v>507</v>
      </c>
    </row>
    <row r="1860">
      <c r="A1860" s="1" t="s">
        <v>4766</v>
      </c>
      <c r="B1860" s="2" t="s">
        <v>4768</v>
      </c>
      <c r="C1860" s="1" t="s">
        <v>506</v>
      </c>
      <c r="D1860" s="1" t="s">
        <v>507</v>
      </c>
    </row>
    <row r="1861">
      <c r="A1861" s="1" t="s">
        <v>509</v>
      </c>
      <c r="B1861" s="2" t="s">
        <v>7</v>
      </c>
      <c r="C1861" s="1" t="s">
        <v>511</v>
      </c>
      <c r="D1861" s="1" t="s">
        <v>512</v>
      </c>
    </row>
    <row r="1862">
      <c r="A1862" s="1" t="s">
        <v>4770</v>
      </c>
      <c r="B1862" s="2" t="s">
        <v>4772</v>
      </c>
      <c r="C1862" s="1" t="s">
        <v>511</v>
      </c>
      <c r="D1862" s="1" t="s">
        <v>512</v>
      </c>
    </row>
    <row r="1863">
      <c r="A1863" s="1" t="s">
        <v>4774</v>
      </c>
      <c r="B1863" s="2" t="s">
        <v>4776</v>
      </c>
      <c r="C1863" s="1" t="s">
        <v>511</v>
      </c>
      <c r="D1863" s="1" t="s">
        <v>512</v>
      </c>
    </row>
    <row r="1864">
      <c r="A1864" s="1" t="s">
        <v>4777</v>
      </c>
      <c r="B1864" s="2" t="s">
        <v>4778</v>
      </c>
      <c r="C1864" s="1" t="s">
        <v>511</v>
      </c>
      <c r="D1864" s="1" t="s">
        <v>512</v>
      </c>
    </row>
    <row r="1865">
      <c r="A1865" s="1" t="s">
        <v>4780</v>
      </c>
      <c r="B1865" s="2" t="s">
        <v>4781</v>
      </c>
      <c r="C1865" s="1" t="s">
        <v>511</v>
      </c>
      <c r="D1865" s="1" t="s">
        <v>512</v>
      </c>
    </row>
    <row r="1866">
      <c r="A1866" s="1" t="s">
        <v>4784</v>
      </c>
      <c r="B1866" s="2" t="s">
        <v>4785</v>
      </c>
      <c r="C1866" s="1" t="s">
        <v>511</v>
      </c>
      <c r="D1866" s="1" t="s">
        <v>512</v>
      </c>
    </row>
    <row r="1867">
      <c r="A1867" s="1" t="s">
        <v>4786</v>
      </c>
      <c r="B1867" s="2" t="s">
        <v>4787</v>
      </c>
      <c r="C1867" s="1" t="s">
        <v>511</v>
      </c>
      <c r="D1867" s="1" t="s">
        <v>512</v>
      </c>
    </row>
    <row r="1868">
      <c r="A1868" s="1" t="s">
        <v>4789</v>
      </c>
      <c r="B1868" s="2" t="s">
        <v>4790</v>
      </c>
      <c r="C1868" s="1" t="s">
        <v>511</v>
      </c>
      <c r="D1868" s="1" t="s">
        <v>512</v>
      </c>
    </row>
    <row r="1869">
      <c r="A1869" s="1" t="s">
        <v>4793</v>
      </c>
      <c r="B1869" s="2" t="s">
        <v>4794</v>
      </c>
      <c r="C1869" s="1" t="s">
        <v>511</v>
      </c>
      <c r="D1869" s="1" t="s">
        <v>512</v>
      </c>
    </row>
    <row r="1870">
      <c r="A1870" s="1" t="s">
        <v>4795</v>
      </c>
      <c r="B1870" s="2" t="s">
        <v>4796</v>
      </c>
      <c r="C1870" s="1" t="s">
        <v>511</v>
      </c>
      <c r="D1870" s="1" t="s">
        <v>512</v>
      </c>
    </row>
    <row r="1871">
      <c r="A1871" s="1" t="s">
        <v>4798</v>
      </c>
      <c r="B1871" s="2" t="s">
        <v>4800</v>
      </c>
      <c r="C1871" s="1" t="s">
        <v>511</v>
      </c>
      <c r="D1871" s="1" t="s">
        <v>512</v>
      </c>
    </row>
    <row r="1872">
      <c r="A1872" s="1" t="s">
        <v>4802</v>
      </c>
      <c r="B1872" s="2" t="s">
        <v>4803</v>
      </c>
      <c r="C1872" s="1" t="s">
        <v>511</v>
      </c>
      <c r="D1872" s="1" t="s">
        <v>512</v>
      </c>
    </row>
    <row r="1873">
      <c r="A1873" s="1" t="s">
        <v>4804</v>
      </c>
      <c r="B1873" s="2" t="s">
        <v>4806</v>
      </c>
      <c r="C1873" s="1" t="s">
        <v>511</v>
      </c>
      <c r="D1873" s="1" t="s">
        <v>512</v>
      </c>
    </row>
    <row r="1874">
      <c r="A1874" s="1" t="s">
        <v>4808</v>
      </c>
      <c r="B1874" s="2" t="s">
        <v>4809</v>
      </c>
      <c r="C1874" s="1" t="s">
        <v>511</v>
      </c>
      <c r="D1874" s="1" t="s">
        <v>512</v>
      </c>
    </row>
    <row r="1875">
      <c r="A1875" s="1" t="s">
        <v>4811</v>
      </c>
      <c r="B1875" s="2" t="s">
        <v>4812</v>
      </c>
      <c r="C1875" s="1" t="s">
        <v>511</v>
      </c>
      <c r="D1875" s="1" t="s">
        <v>512</v>
      </c>
    </row>
    <row r="1876">
      <c r="A1876" s="1" t="s">
        <v>4813</v>
      </c>
      <c r="B1876" s="2" t="s">
        <v>4814</v>
      </c>
      <c r="C1876" s="1" t="s">
        <v>511</v>
      </c>
      <c r="D1876" s="1" t="s">
        <v>512</v>
      </c>
    </row>
    <row r="1877">
      <c r="A1877" s="1" t="s">
        <v>4816</v>
      </c>
      <c r="B1877" s="2" t="s">
        <v>4817</v>
      </c>
      <c r="C1877" s="1" t="s">
        <v>511</v>
      </c>
      <c r="D1877" s="1" t="s">
        <v>512</v>
      </c>
    </row>
    <row r="1878">
      <c r="A1878" s="1" t="s">
        <v>4819</v>
      </c>
      <c r="B1878" s="2" t="s">
        <v>4821</v>
      </c>
      <c r="C1878" s="1" t="s">
        <v>511</v>
      </c>
      <c r="D1878" s="1" t="s">
        <v>512</v>
      </c>
    </row>
    <row r="1879">
      <c r="A1879" s="1" t="s">
        <v>4823</v>
      </c>
      <c r="B1879" s="2" t="s">
        <v>4824</v>
      </c>
      <c r="C1879" s="1" t="s">
        <v>511</v>
      </c>
      <c r="D1879" s="1" t="s">
        <v>512</v>
      </c>
    </row>
    <row r="1880">
      <c r="A1880" s="1" t="s">
        <v>4827</v>
      </c>
      <c r="B1880" s="2" t="s">
        <v>4828</v>
      </c>
      <c r="C1880" s="1" t="s">
        <v>511</v>
      </c>
      <c r="D1880" s="1" t="s">
        <v>512</v>
      </c>
    </row>
    <row r="1881">
      <c r="A1881" s="1" t="s">
        <v>4829</v>
      </c>
      <c r="B1881" s="2" t="s">
        <v>4830</v>
      </c>
      <c r="C1881" s="1" t="s">
        <v>511</v>
      </c>
      <c r="D1881" s="1" t="s">
        <v>512</v>
      </c>
    </row>
    <row r="1882">
      <c r="A1882" s="1" t="s">
        <v>4831</v>
      </c>
      <c r="B1882" s="2" t="s">
        <v>4833</v>
      </c>
      <c r="C1882" s="1" t="s">
        <v>511</v>
      </c>
      <c r="D1882" s="1" t="s">
        <v>512</v>
      </c>
    </row>
    <row r="1883">
      <c r="A1883" s="1" t="s">
        <v>4836</v>
      </c>
      <c r="B1883" s="2" t="s">
        <v>4837</v>
      </c>
      <c r="C1883" s="1" t="s">
        <v>511</v>
      </c>
      <c r="D1883" s="1" t="s">
        <v>512</v>
      </c>
    </row>
    <row r="1884">
      <c r="A1884" s="1" t="s">
        <v>4839</v>
      </c>
      <c r="B1884" s="2" t="s">
        <v>4840</v>
      </c>
      <c r="C1884" s="1" t="s">
        <v>511</v>
      </c>
      <c r="D1884" s="1" t="s">
        <v>512</v>
      </c>
    </row>
    <row r="1885">
      <c r="A1885" s="1" t="s">
        <v>4841</v>
      </c>
      <c r="B1885" s="2" t="s">
        <v>4842</v>
      </c>
      <c r="C1885" s="1" t="s">
        <v>511</v>
      </c>
      <c r="D1885" s="1" t="s">
        <v>512</v>
      </c>
    </row>
    <row r="1886">
      <c r="A1886" s="1" t="s">
        <v>516</v>
      </c>
      <c r="B1886" s="2" t="s">
        <v>7</v>
      </c>
      <c r="C1886" s="1" t="s">
        <v>517</v>
      </c>
      <c r="D1886" s="1" t="s">
        <v>519</v>
      </c>
    </row>
    <row r="1887">
      <c r="A1887" s="1" t="s">
        <v>4847</v>
      </c>
      <c r="B1887" s="2" t="s">
        <v>2801</v>
      </c>
      <c r="C1887" s="1" t="s">
        <v>517</v>
      </c>
      <c r="D1887" s="1" t="s">
        <v>519</v>
      </c>
    </row>
    <row r="1888">
      <c r="A1888" s="1" t="s">
        <v>4848</v>
      </c>
      <c r="B1888" s="2" t="s">
        <v>4849</v>
      </c>
      <c r="C1888" s="1" t="s">
        <v>517</v>
      </c>
      <c r="D1888" s="1" t="s">
        <v>519</v>
      </c>
    </row>
    <row r="1889">
      <c r="A1889" s="1" t="s">
        <v>4851</v>
      </c>
      <c r="B1889" s="2" t="s">
        <v>4852</v>
      </c>
      <c r="C1889" s="1" t="s">
        <v>517</v>
      </c>
      <c r="D1889" s="1" t="s">
        <v>519</v>
      </c>
    </row>
    <row r="1890">
      <c r="A1890" s="1" t="s">
        <v>4855</v>
      </c>
      <c r="B1890" s="2" t="s">
        <v>4857</v>
      </c>
      <c r="C1890" s="1" t="s">
        <v>517</v>
      </c>
      <c r="D1890" s="1" t="s">
        <v>519</v>
      </c>
    </row>
    <row r="1891">
      <c r="A1891" s="1" t="s">
        <v>4858</v>
      </c>
      <c r="B1891" s="2" t="s">
        <v>4860</v>
      </c>
      <c r="C1891" s="1" t="s">
        <v>517</v>
      </c>
      <c r="D1891" s="1" t="s">
        <v>519</v>
      </c>
    </row>
    <row r="1892">
      <c r="A1892" s="1" t="s">
        <v>4861</v>
      </c>
      <c r="B1892" s="2" t="s">
        <v>4863</v>
      </c>
      <c r="C1892" s="1" t="s">
        <v>517</v>
      </c>
      <c r="D1892" s="1" t="s">
        <v>519</v>
      </c>
    </row>
    <row r="1893">
      <c r="A1893" s="1" t="s">
        <v>4865</v>
      </c>
      <c r="B1893" s="2" t="s">
        <v>4866</v>
      </c>
      <c r="C1893" s="1" t="s">
        <v>517</v>
      </c>
      <c r="D1893" s="1" t="s">
        <v>519</v>
      </c>
    </row>
    <row r="1894">
      <c r="A1894" s="1" t="s">
        <v>4868</v>
      </c>
      <c r="B1894" s="2" t="s">
        <v>4869</v>
      </c>
      <c r="C1894" s="1" t="s">
        <v>517</v>
      </c>
      <c r="D1894" s="1" t="s">
        <v>519</v>
      </c>
    </row>
    <row r="1895">
      <c r="A1895" s="1" t="s">
        <v>4870</v>
      </c>
      <c r="B1895" s="2" t="s">
        <v>4871</v>
      </c>
      <c r="C1895" s="1" t="s">
        <v>517</v>
      </c>
      <c r="D1895" s="1" t="s">
        <v>519</v>
      </c>
    </row>
    <row r="1896">
      <c r="A1896" s="1" t="s">
        <v>532</v>
      </c>
      <c r="B1896" s="2" t="s">
        <v>7</v>
      </c>
      <c r="C1896" s="1" t="s">
        <v>534</v>
      </c>
      <c r="D1896" s="1" t="s">
        <v>535</v>
      </c>
    </row>
    <row r="1897">
      <c r="A1897" s="1" t="s">
        <v>4874</v>
      </c>
      <c r="B1897" s="2" t="s">
        <v>4876</v>
      </c>
      <c r="C1897" s="1" t="s">
        <v>534</v>
      </c>
      <c r="D1897" s="1" t="s">
        <v>535</v>
      </c>
    </row>
    <row r="1898">
      <c r="A1898" s="1" t="s">
        <v>4878</v>
      </c>
      <c r="B1898" s="2" t="s">
        <v>4879</v>
      </c>
      <c r="C1898" s="1" t="s">
        <v>534</v>
      </c>
      <c r="D1898" s="1" t="s">
        <v>535</v>
      </c>
    </row>
    <row r="1899">
      <c r="A1899" s="1" t="s">
        <v>527</v>
      </c>
      <c r="B1899" s="2" t="s">
        <v>7</v>
      </c>
      <c r="C1899" s="1" t="s">
        <v>529</v>
      </c>
      <c r="D1899" s="1" t="s">
        <v>530</v>
      </c>
    </row>
    <row r="1900">
      <c r="A1900" s="1" t="s">
        <v>4882</v>
      </c>
      <c r="B1900" s="2" t="s">
        <v>4876</v>
      </c>
      <c r="C1900" s="1" t="s">
        <v>529</v>
      </c>
      <c r="D1900" s="1" t="s">
        <v>530</v>
      </c>
    </row>
    <row r="1901">
      <c r="A1901" s="1" t="s">
        <v>4884</v>
      </c>
      <c r="B1901" s="2" t="s">
        <v>4879</v>
      </c>
      <c r="C1901" s="1" t="s">
        <v>529</v>
      </c>
      <c r="D1901" s="1" t="s">
        <v>530</v>
      </c>
    </row>
    <row r="1902">
      <c r="A1902" s="1" t="s">
        <v>537</v>
      </c>
      <c r="B1902" s="2" t="s">
        <v>7</v>
      </c>
      <c r="C1902" s="1" t="s">
        <v>539</v>
      </c>
      <c r="D1902" s="1" t="s">
        <v>540</v>
      </c>
    </row>
    <row r="1903">
      <c r="A1903" s="1" t="s">
        <v>4888</v>
      </c>
      <c r="B1903" s="2" t="s">
        <v>13</v>
      </c>
      <c r="C1903" s="1" t="s">
        <v>539</v>
      </c>
      <c r="D1903" s="1" t="s">
        <v>540</v>
      </c>
    </row>
    <row r="1904">
      <c r="A1904" s="1" t="s">
        <v>4889</v>
      </c>
      <c r="B1904" s="2" t="s">
        <v>17</v>
      </c>
      <c r="C1904" s="1" t="s">
        <v>539</v>
      </c>
      <c r="D1904" s="1" t="s">
        <v>540</v>
      </c>
    </row>
    <row r="1905">
      <c r="A1905" s="1" t="s">
        <v>4891</v>
      </c>
      <c r="B1905" s="2" t="s">
        <v>25</v>
      </c>
      <c r="C1905" s="1" t="s">
        <v>539</v>
      </c>
      <c r="D1905" s="1" t="s">
        <v>540</v>
      </c>
    </row>
    <row r="1906">
      <c r="A1906" s="1" t="s">
        <v>4894</v>
      </c>
      <c r="B1906" s="2" t="s">
        <v>30</v>
      </c>
      <c r="C1906" s="1" t="s">
        <v>539</v>
      </c>
      <c r="D1906" s="1" t="s">
        <v>540</v>
      </c>
    </row>
    <row r="1907">
      <c r="A1907" s="1" t="s">
        <v>4895</v>
      </c>
      <c r="B1907" s="2" t="s">
        <v>4897</v>
      </c>
      <c r="C1907" s="1" t="s">
        <v>539</v>
      </c>
      <c r="D1907" s="1" t="s">
        <v>540</v>
      </c>
    </row>
    <row r="1908">
      <c r="A1908" s="1" t="s">
        <v>4900</v>
      </c>
      <c r="B1908" s="2" t="s">
        <v>44</v>
      </c>
      <c r="C1908" s="1" t="s">
        <v>539</v>
      </c>
      <c r="D1908" s="1" t="s">
        <v>540</v>
      </c>
    </row>
    <row r="1909">
      <c r="A1909" s="1" t="s">
        <v>4901</v>
      </c>
      <c r="B1909" s="2" t="s">
        <v>47</v>
      </c>
      <c r="C1909" s="1" t="s">
        <v>539</v>
      </c>
      <c r="D1909" s="1" t="s">
        <v>540</v>
      </c>
    </row>
    <row r="1910">
      <c r="A1910" s="1" t="s">
        <v>4905</v>
      </c>
      <c r="B1910" s="2" t="s">
        <v>53</v>
      </c>
      <c r="C1910" s="1" t="s">
        <v>539</v>
      </c>
      <c r="D1910" s="1" t="s">
        <v>540</v>
      </c>
    </row>
    <row r="1911">
      <c r="A1911" s="1" t="s">
        <v>4906</v>
      </c>
      <c r="B1911" s="2" t="s">
        <v>682</v>
      </c>
      <c r="C1911" s="1" t="s">
        <v>539</v>
      </c>
      <c r="D1911" s="1" t="s">
        <v>540</v>
      </c>
    </row>
    <row r="1912">
      <c r="A1912" s="1" t="s">
        <v>4908</v>
      </c>
      <c r="B1912" s="2" t="s">
        <v>685</v>
      </c>
      <c r="C1912" s="1" t="s">
        <v>539</v>
      </c>
      <c r="D1912" s="1" t="s">
        <v>540</v>
      </c>
    </row>
    <row r="1913">
      <c r="A1913" s="1" t="s">
        <v>4911</v>
      </c>
      <c r="B1913" s="2" t="s">
        <v>689</v>
      </c>
      <c r="C1913" s="1" t="s">
        <v>539</v>
      </c>
      <c r="D1913" s="1" t="s">
        <v>540</v>
      </c>
    </row>
    <row r="1914">
      <c r="A1914" s="1" t="s">
        <v>4912</v>
      </c>
      <c r="B1914" s="2" t="s">
        <v>691</v>
      </c>
      <c r="C1914" s="1" t="s">
        <v>539</v>
      </c>
      <c r="D1914" s="1" t="s">
        <v>540</v>
      </c>
    </row>
    <row r="1915">
      <c r="A1915" s="1" t="s">
        <v>4914</v>
      </c>
      <c r="B1915" s="2" t="s">
        <v>694</v>
      </c>
      <c r="C1915" s="1" t="s">
        <v>539</v>
      </c>
      <c r="D1915" s="1" t="s">
        <v>540</v>
      </c>
    </row>
    <row r="1916">
      <c r="A1916" s="1" t="s">
        <v>4917</v>
      </c>
      <c r="B1916" s="2" t="s">
        <v>4918</v>
      </c>
      <c r="C1916" s="1" t="s">
        <v>539</v>
      </c>
      <c r="D1916" s="1" t="s">
        <v>540</v>
      </c>
    </row>
    <row r="1917">
      <c r="A1917" s="1" t="s">
        <v>4919</v>
      </c>
      <c r="B1917" s="2" t="s">
        <v>4921</v>
      </c>
      <c r="C1917" s="1" t="s">
        <v>539</v>
      </c>
      <c r="D1917" s="1" t="s">
        <v>540</v>
      </c>
    </row>
    <row r="1918">
      <c r="A1918" s="1" t="s">
        <v>4923</v>
      </c>
      <c r="B1918" s="2" t="s">
        <v>709</v>
      </c>
      <c r="C1918" s="1" t="s">
        <v>539</v>
      </c>
      <c r="D1918" s="1" t="s">
        <v>540</v>
      </c>
    </row>
    <row r="1919">
      <c r="A1919" s="1" t="s">
        <v>4925</v>
      </c>
      <c r="B1919" s="2" t="s">
        <v>712</v>
      </c>
      <c r="C1919" s="1" t="s">
        <v>539</v>
      </c>
      <c r="D1919" s="1" t="s">
        <v>540</v>
      </c>
    </row>
    <row r="1920">
      <c r="A1920" s="1" t="s">
        <v>4927</v>
      </c>
      <c r="B1920" s="2" t="s">
        <v>715</v>
      </c>
      <c r="C1920" s="1" t="s">
        <v>539</v>
      </c>
      <c r="D1920" s="1" t="s">
        <v>540</v>
      </c>
    </row>
    <row r="1921">
      <c r="A1921" s="1" t="s">
        <v>4931</v>
      </c>
      <c r="B1921" s="2" t="s">
        <v>68</v>
      </c>
      <c r="C1921" s="1" t="s">
        <v>539</v>
      </c>
      <c r="D1921" s="1" t="s">
        <v>540</v>
      </c>
    </row>
    <row r="1922">
      <c r="A1922" s="1" t="s">
        <v>4932</v>
      </c>
      <c r="B1922" s="2" t="s">
        <v>70</v>
      </c>
      <c r="C1922" s="1" t="s">
        <v>539</v>
      </c>
      <c r="D1922" s="1" t="s">
        <v>540</v>
      </c>
    </row>
    <row r="1923">
      <c r="A1923" s="1" t="s">
        <v>4934</v>
      </c>
      <c r="B1923" s="2" t="s">
        <v>73</v>
      </c>
      <c r="C1923" s="1" t="s">
        <v>539</v>
      </c>
      <c r="D1923" s="1" t="s">
        <v>540</v>
      </c>
    </row>
    <row r="1924">
      <c r="A1924" s="1" t="s">
        <v>4937</v>
      </c>
      <c r="B1924" s="2" t="s">
        <v>75</v>
      </c>
      <c r="C1924" s="1" t="s">
        <v>539</v>
      </c>
      <c r="D1924" s="1" t="s">
        <v>540</v>
      </c>
    </row>
    <row r="1925">
      <c r="A1925" s="1" t="s">
        <v>4938</v>
      </c>
      <c r="B1925" s="2" t="s">
        <v>86</v>
      </c>
      <c r="C1925" s="1" t="s">
        <v>539</v>
      </c>
      <c r="D1925" s="1" t="s">
        <v>540</v>
      </c>
    </row>
    <row r="1926">
      <c r="A1926" s="1" t="s">
        <v>4940</v>
      </c>
      <c r="B1926" s="2" t="s">
        <v>4942</v>
      </c>
      <c r="C1926" s="1" t="s">
        <v>539</v>
      </c>
      <c r="D1926" s="1" t="s">
        <v>540</v>
      </c>
    </row>
    <row r="1927">
      <c r="A1927" s="1" t="s">
        <v>4944</v>
      </c>
      <c r="B1927" s="2" t="s">
        <v>99</v>
      </c>
      <c r="C1927" s="1" t="s">
        <v>539</v>
      </c>
      <c r="D1927" s="1" t="s">
        <v>540</v>
      </c>
    </row>
    <row r="1928">
      <c r="A1928" s="1" t="s">
        <v>4945</v>
      </c>
      <c r="B1928" s="2" t="s">
        <v>107</v>
      </c>
      <c r="C1928" s="1" t="s">
        <v>539</v>
      </c>
      <c r="D1928" s="1" t="s">
        <v>540</v>
      </c>
    </row>
    <row r="1929">
      <c r="A1929" s="1" t="s">
        <v>4948</v>
      </c>
      <c r="B1929" s="2" t="s">
        <v>110</v>
      </c>
      <c r="C1929" s="1" t="s">
        <v>539</v>
      </c>
      <c r="D1929" s="1" t="s">
        <v>540</v>
      </c>
    </row>
    <row r="1930">
      <c r="A1930" s="1" t="s">
        <v>4950</v>
      </c>
      <c r="B1930" s="2" t="s">
        <v>744</v>
      </c>
      <c r="C1930" s="1" t="s">
        <v>539</v>
      </c>
      <c r="D1930" s="1" t="s">
        <v>540</v>
      </c>
    </row>
    <row r="1931">
      <c r="A1931" s="1" t="s">
        <v>4951</v>
      </c>
      <c r="B1931" s="2" t="s">
        <v>747</v>
      </c>
      <c r="C1931" s="1" t="s">
        <v>539</v>
      </c>
      <c r="D1931" s="1" t="s">
        <v>540</v>
      </c>
    </row>
    <row r="1932">
      <c r="A1932" s="1" t="s">
        <v>4953</v>
      </c>
      <c r="B1932" s="2" t="s">
        <v>751</v>
      </c>
      <c r="C1932" s="1" t="s">
        <v>539</v>
      </c>
      <c r="D1932" s="1" t="s">
        <v>540</v>
      </c>
    </row>
    <row r="1933">
      <c r="A1933" s="1" t="s">
        <v>4956</v>
      </c>
      <c r="B1933" s="2" t="s">
        <v>753</v>
      </c>
      <c r="C1933" s="1" t="s">
        <v>539</v>
      </c>
      <c r="D1933" s="1" t="s">
        <v>540</v>
      </c>
    </row>
    <row r="1934">
      <c r="A1934" s="1" t="s">
        <v>4957</v>
      </c>
      <c r="B1934" s="2" t="s">
        <v>755</v>
      </c>
      <c r="C1934" s="1" t="s">
        <v>539</v>
      </c>
      <c r="D1934" s="1" t="s">
        <v>540</v>
      </c>
    </row>
    <row r="1935">
      <c r="A1935" s="1" t="s">
        <v>4964</v>
      </c>
      <c r="B1935" s="2" t="s">
        <v>4966</v>
      </c>
      <c r="C1935" s="1" t="s">
        <v>539</v>
      </c>
      <c r="D1935" s="1" t="s">
        <v>540</v>
      </c>
    </row>
    <row r="1936">
      <c r="A1936" s="1" t="s">
        <v>4967</v>
      </c>
      <c r="B1936" s="2" t="s">
        <v>4969</v>
      </c>
      <c r="C1936" s="1" t="s">
        <v>539</v>
      </c>
      <c r="D1936" s="1" t="s">
        <v>540</v>
      </c>
    </row>
    <row r="1937">
      <c r="A1937" s="1" t="s">
        <v>4971</v>
      </c>
      <c r="B1937" s="2" t="s">
        <v>776</v>
      </c>
      <c r="C1937" s="1" t="s">
        <v>539</v>
      </c>
      <c r="D1937" s="1" t="s">
        <v>540</v>
      </c>
    </row>
    <row r="1938">
      <c r="A1938" s="1" t="s">
        <v>4972</v>
      </c>
      <c r="B1938" s="2" t="s">
        <v>780</v>
      </c>
      <c r="C1938" s="1" t="s">
        <v>539</v>
      </c>
      <c r="D1938" s="1" t="s">
        <v>540</v>
      </c>
    </row>
    <row r="1939">
      <c r="A1939" s="1" t="s">
        <v>4976</v>
      </c>
      <c r="B1939" s="2" t="s">
        <v>783</v>
      </c>
      <c r="C1939" s="1" t="s">
        <v>539</v>
      </c>
      <c r="D1939" s="1" t="s">
        <v>540</v>
      </c>
    </row>
    <row r="1940">
      <c r="A1940" s="1" t="s">
        <v>4977</v>
      </c>
      <c r="B1940" s="2" t="s">
        <v>141</v>
      </c>
      <c r="C1940" s="1" t="s">
        <v>539</v>
      </c>
      <c r="D1940" s="1" t="s">
        <v>540</v>
      </c>
    </row>
    <row r="1941">
      <c r="A1941" s="1" t="s">
        <v>543</v>
      </c>
      <c r="B1941" s="2" t="s">
        <v>7</v>
      </c>
      <c r="C1941" s="1" t="s">
        <v>539</v>
      </c>
      <c r="D1941" s="1" t="s">
        <v>545</v>
      </c>
    </row>
    <row r="1942">
      <c r="A1942" s="1" t="s">
        <v>4979</v>
      </c>
      <c r="B1942" s="2" t="s">
        <v>13</v>
      </c>
      <c r="C1942" s="1" t="s">
        <v>539</v>
      </c>
      <c r="D1942" s="1" t="s">
        <v>545</v>
      </c>
    </row>
    <row r="1943">
      <c r="A1943" s="1" t="s">
        <v>4980</v>
      </c>
      <c r="B1943" s="2" t="s">
        <v>4982</v>
      </c>
      <c r="C1943" s="1" t="s">
        <v>539</v>
      </c>
      <c r="D1943" s="1" t="s">
        <v>545</v>
      </c>
    </row>
    <row r="1944">
      <c r="A1944" s="1" t="s">
        <v>4984</v>
      </c>
      <c r="B1944" s="2" t="s">
        <v>4985</v>
      </c>
      <c r="C1944" s="1" t="s">
        <v>539</v>
      </c>
      <c r="D1944" s="1" t="s">
        <v>545</v>
      </c>
    </row>
    <row r="1945">
      <c r="A1945" s="1" t="s">
        <v>4986</v>
      </c>
      <c r="B1945" s="2" t="s">
        <v>4987</v>
      </c>
      <c r="C1945" s="1" t="s">
        <v>539</v>
      </c>
      <c r="D1945" s="1" t="s">
        <v>545</v>
      </c>
    </row>
    <row r="1946">
      <c r="A1946" s="1" t="s">
        <v>4989</v>
      </c>
      <c r="B1946" s="2" t="s">
        <v>4990</v>
      </c>
      <c r="C1946" s="1" t="s">
        <v>539</v>
      </c>
      <c r="D1946" s="1" t="s">
        <v>545</v>
      </c>
    </row>
    <row r="1947">
      <c r="A1947" s="1" t="s">
        <v>4993</v>
      </c>
      <c r="B1947" s="2" t="s">
        <v>4994</v>
      </c>
      <c r="C1947" s="1" t="s">
        <v>539</v>
      </c>
      <c r="D1947" s="1" t="s">
        <v>545</v>
      </c>
    </row>
    <row r="1948">
      <c r="A1948" s="1" t="s">
        <v>4995</v>
      </c>
      <c r="B1948" s="2" t="s">
        <v>4996</v>
      </c>
      <c r="C1948" s="1" t="s">
        <v>539</v>
      </c>
      <c r="D1948" s="1" t="s">
        <v>545</v>
      </c>
    </row>
    <row r="1949">
      <c r="A1949" s="1" t="s">
        <v>4998</v>
      </c>
      <c r="B1949" s="2" t="s">
        <v>4999</v>
      </c>
      <c r="C1949" s="1" t="s">
        <v>539</v>
      </c>
      <c r="D1949" s="1" t="s">
        <v>545</v>
      </c>
    </row>
    <row r="1950">
      <c r="A1950" s="1" t="s">
        <v>5002</v>
      </c>
      <c r="B1950" s="2" t="s">
        <v>5003</v>
      </c>
      <c r="C1950" s="1" t="s">
        <v>539</v>
      </c>
      <c r="D1950" s="1" t="s">
        <v>545</v>
      </c>
    </row>
    <row r="1951">
      <c r="A1951" s="1" t="s">
        <v>5005</v>
      </c>
      <c r="B1951" s="2" t="s">
        <v>70</v>
      </c>
      <c r="C1951" s="1" t="s">
        <v>539</v>
      </c>
      <c r="D1951" s="1" t="s">
        <v>545</v>
      </c>
    </row>
    <row r="1952">
      <c r="A1952" s="1" t="s">
        <v>5006</v>
      </c>
      <c r="B1952" s="2" t="s">
        <v>5007</v>
      </c>
      <c r="C1952" s="1" t="s">
        <v>539</v>
      </c>
      <c r="D1952" s="1" t="s">
        <v>545</v>
      </c>
    </row>
    <row r="1953">
      <c r="A1953" s="1" t="s">
        <v>5009</v>
      </c>
      <c r="B1953" s="2" t="s">
        <v>5010</v>
      </c>
      <c r="C1953" s="1" t="s">
        <v>539</v>
      </c>
      <c r="D1953" s="1" t="s">
        <v>545</v>
      </c>
    </row>
    <row r="1954">
      <c r="A1954" s="1" t="s">
        <v>5012</v>
      </c>
      <c r="B1954" s="2" t="s">
        <v>5013</v>
      </c>
      <c r="C1954" s="1" t="s">
        <v>539</v>
      </c>
      <c r="D1954" s="1" t="s">
        <v>545</v>
      </c>
    </row>
    <row r="1955">
      <c r="A1955" s="1" t="s">
        <v>5015</v>
      </c>
      <c r="B1955" s="2" t="s">
        <v>5016</v>
      </c>
      <c r="C1955" s="1" t="s">
        <v>539</v>
      </c>
      <c r="D1955" s="1" t="s">
        <v>545</v>
      </c>
    </row>
    <row r="1956">
      <c r="A1956" s="1" t="s">
        <v>5017</v>
      </c>
      <c r="B1956" s="2" t="s">
        <v>5018</v>
      </c>
      <c r="C1956" s="1" t="s">
        <v>539</v>
      </c>
      <c r="D1956" s="1" t="s">
        <v>545</v>
      </c>
    </row>
    <row r="1957">
      <c r="A1957" s="1" t="s">
        <v>5020</v>
      </c>
      <c r="B1957" s="2" t="s">
        <v>5021</v>
      </c>
      <c r="C1957" s="1" t="s">
        <v>539</v>
      </c>
      <c r="D1957" s="1" t="s">
        <v>545</v>
      </c>
    </row>
    <row r="1958">
      <c r="A1958" s="1" t="s">
        <v>5023</v>
      </c>
      <c r="B1958" s="2" t="s">
        <v>5025</v>
      </c>
      <c r="C1958" s="1" t="s">
        <v>539</v>
      </c>
      <c r="D1958" s="1" t="s">
        <v>545</v>
      </c>
    </row>
    <row r="1959">
      <c r="A1959" s="1" t="s">
        <v>5027</v>
      </c>
      <c r="B1959" s="2" t="s">
        <v>5028</v>
      </c>
      <c r="C1959" s="1" t="s">
        <v>539</v>
      </c>
      <c r="D1959" s="1" t="s">
        <v>545</v>
      </c>
    </row>
    <row r="1960">
      <c r="A1960" s="1" t="s">
        <v>547</v>
      </c>
      <c r="B1960" s="2" t="s">
        <v>7</v>
      </c>
      <c r="C1960" s="1" t="s">
        <v>549</v>
      </c>
      <c r="D1960" s="1" t="s">
        <v>550</v>
      </c>
    </row>
    <row r="1961">
      <c r="A1961" s="1" t="s">
        <v>5031</v>
      </c>
      <c r="B1961" s="2" t="s">
        <v>5032</v>
      </c>
      <c r="C1961" s="1" t="s">
        <v>549</v>
      </c>
      <c r="D1961" s="1" t="s">
        <v>550</v>
      </c>
    </row>
    <row r="1962">
      <c r="A1962" s="1" t="s">
        <v>5035</v>
      </c>
      <c r="B1962" s="2" t="s">
        <v>5036</v>
      </c>
      <c r="C1962" s="1" t="s">
        <v>549</v>
      </c>
      <c r="D1962" s="1" t="s">
        <v>550</v>
      </c>
    </row>
    <row r="1963">
      <c r="A1963" s="1" t="s">
        <v>5037</v>
      </c>
      <c r="B1963" s="2" t="s">
        <v>5038</v>
      </c>
      <c r="C1963" s="1" t="s">
        <v>549</v>
      </c>
      <c r="D1963" s="1" t="s">
        <v>550</v>
      </c>
    </row>
    <row r="1964">
      <c r="A1964" s="1" t="s">
        <v>5040</v>
      </c>
      <c r="B1964" s="2" t="s">
        <v>5042</v>
      </c>
      <c r="C1964" s="1" t="s">
        <v>549</v>
      </c>
      <c r="D1964" s="1" t="s">
        <v>550</v>
      </c>
    </row>
    <row r="1965">
      <c r="A1965" s="1" t="s">
        <v>5044</v>
      </c>
      <c r="B1965" s="2" t="s">
        <v>5046</v>
      </c>
      <c r="C1965" s="1" t="s">
        <v>549</v>
      </c>
      <c r="D1965" s="1" t="s">
        <v>550</v>
      </c>
    </row>
    <row r="1966">
      <c r="A1966" s="1" t="s">
        <v>5047</v>
      </c>
      <c r="B1966" s="2" t="s">
        <v>5048</v>
      </c>
      <c r="C1966" s="1" t="s">
        <v>549</v>
      </c>
      <c r="D1966" s="1" t="s">
        <v>550</v>
      </c>
    </row>
    <row r="1967">
      <c r="A1967" s="1" t="s">
        <v>5050</v>
      </c>
      <c r="B1967" s="2" t="s">
        <v>5052</v>
      </c>
      <c r="C1967" s="1" t="s">
        <v>549</v>
      </c>
      <c r="D1967" s="1" t="s">
        <v>550</v>
      </c>
    </row>
    <row r="1968">
      <c r="A1968" s="1" t="s">
        <v>5054</v>
      </c>
      <c r="B1968" s="2" t="s">
        <v>5055</v>
      </c>
      <c r="C1968" s="1" t="s">
        <v>549</v>
      </c>
      <c r="D1968" s="1" t="s">
        <v>550</v>
      </c>
    </row>
    <row r="1969">
      <c r="A1969" s="1" t="s">
        <v>5058</v>
      </c>
      <c r="B1969" s="2" t="s">
        <v>5059</v>
      </c>
      <c r="C1969" s="1" t="s">
        <v>549</v>
      </c>
      <c r="D1969" s="1" t="s">
        <v>550</v>
      </c>
    </row>
    <row r="1970">
      <c r="A1970" s="1" t="s">
        <v>5062</v>
      </c>
      <c r="B1970" s="2" t="s">
        <v>5063</v>
      </c>
      <c r="C1970" s="1" t="s">
        <v>549</v>
      </c>
      <c r="D1970" s="1" t="s">
        <v>550</v>
      </c>
    </row>
    <row r="1971">
      <c r="A1971" s="1" t="s">
        <v>5064</v>
      </c>
      <c r="B1971" s="2" t="s">
        <v>5065</v>
      </c>
      <c r="C1971" s="1" t="s">
        <v>549</v>
      </c>
      <c r="D1971" s="1" t="s">
        <v>550</v>
      </c>
    </row>
    <row r="1972">
      <c r="A1972" s="1" t="s">
        <v>5067</v>
      </c>
      <c r="B1972" s="2" t="s">
        <v>5068</v>
      </c>
      <c r="C1972" s="1" t="s">
        <v>549</v>
      </c>
      <c r="D1972" s="1" t="s">
        <v>550</v>
      </c>
    </row>
    <row r="1973">
      <c r="A1973" s="1" t="s">
        <v>5071</v>
      </c>
      <c r="B1973" s="2" t="s">
        <v>5072</v>
      </c>
      <c r="C1973" s="1" t="s">
        <v>549</v>
      </c>
      <c r="D1973" s="1" t="s">
        <v>550</v>
      </c>
    </row>
    <row r="1974">
      <c r="A1974" s="1" t="s">
        <v>5073</v>
      </c>
      <c r="B1974" s="2" t="s">
        <v>5074</v>
      </c>
      <c r="C1974" s="1" t="s">
        <v>549</v>
      </c>
      <c r="D1974" s="1" t="s">
        <v>550</v>
      </c>
    </row>
    <row r="1975">
      <c r="A1975" s="1" t="s">
        <v>5075</v>
      </c>
      <c r="B1975" s="2" t="s">
        <v>5077</v>
      </c>
      <c r="C1975" s="1" t="s">
        <v>549</v>
      </c>
      <c r="D1975" s="1" t="s">
        <v>550</v>
      </c>
    </row>
    <row r="1976">
      <c r="A1976" s="1" t="s">
        <v>5078</v>
      </c>
      <c r="B1976" s="2" t="s">
        <v>5080</v>
      </c>
      <c r="C1976" s="1" t="s">
        <v>549</v>
      </c>
      <c r="D1976" s="1" t="s">
        <v>550</v>
      </c>
    </row>
    <row r="1977">
      <c r="A1977" s="1" t="s">
        <v>5082</v>
      </c>
      <c r="B1977" s="2" t="s">
        <v>5083</v>
      </c>
      <c r="C1977" s="1" t="s">
        <v>549</v>
      </c>
      <c r="D1977" s="1" t="s">
        <v>550</v>
      </c>
    </row>
    <row r="1978">
      <c r="A1978" s="1" t="s">
        <v>5084</v>
      </c>
      <c r="B1978" s="2" t="s">
        <v>5085</v>
      </c>
      <c r="C1978" s="1" t="s">
        <v>549</v>
      </c>
      <c r="D1978" s="1" t="s">
        <v>550</v>
      </c>
    </row>
    <row r="1979">
      <c r="A1979" s="1" t="s">
        <v>5087</v>
      </c>
      <c r="B1979" s="2" t="s">
        <v>5089</v>
      </c>
      <c r="C1979" s="1" t="s">
        <v>549</v>
      </c>
      <c r="D1979" s="1" t="s">
        <v>550</v>
      </c>
    </row>
    <row r="1980">
      <c r="A1980" s="1" t="s">
        <v>5091</v>
      </c>
      <c r="B1980" s="2" t="s">
        <v>5092</v>
      </c>
      <c r="C1980" s="1" t="s">
        <v>549</v>
      </c>
      <c r="D1980" s="1" t="s">
        <v>550</v>
      </c>
    </row>
    <row r="1981">
      <c r="A1981" s="1" t="s">
        <v>5093</v>
      </c>
      <c r="B1981" s="2" t="s">
        <v>5094</v>
      </c>
      <c r="C1981" s="1" t="s">
        <v>549</v>
      </c>
      <c r="D1981" s="1" t="s">
        <v>550</v>
      </c>
    </row>
    <row r="1982">
      <c r="A1982" s="1" t="s">
        <v>5096</v>
      </c>
      <c r="B1982" s="2" t="s">
        <v>5098</v>
      </c>
      <c r="C1982" s="1" t="s">
        <v>549</v>
      </c>
      <c r="D1982" s="1" t="s">
        <v>550</v>
      </c>
    </row>
    <row r="1983">
      <c r="A1983" s="1" t="s">
        <v>5101</v>
      </c>
      <c r="B1983" s="2" t="s">
        <v>5102</v>
      </c>
      <c r="C1983" s="1" t="s">
        <v>549</v>
      </c>
      <c r="D1983" s="1" t="s">
        <v>550</v>
      </c>
    </row>
    <row r="1984">
      <c r="A1984" s="1" t="s">
        <v>5105</v>
      </c>
      <c r="B1984" s="2" t="s">
        <v>5106</v>
      </c>
      <c r="C1984" s="1" t="s">
        <v>549</v>
      </c>
      <c r="D1984" s="1" t="s">
        <v>550</v>
      </c>
    </row>
    <row r="1985">
      <c r="A1985" s="1" t="s">
        <v>5107</v>
      </c>
      <c r="B1985" s="2" t="s">
        <v>5108</v>
      </c>
      <c r="C1985" s="1" t="s">
        <v>549</v>
      </c>
      <c r="D1985" s="1" t="s">
        <v>550</v>
      </c>
    </row>
    <row r="1986">
      <c r="A1986" s="1" t="s">
        <v>5110</v>
      </c>
      <c r="B1986" s="2" t="s">
        <v>5111</v>
      </c>
      <c r="C1986" s="1" t="s">
        <v>549</v>
      </c>
      <c r="D1986" s="1" t="s">
        <v>550</v>
      </c>
    </row>
    <row r="1987">
      <c r="A1987" s="1" t="s">
        <v>5114</v>
      </c>
      <c r="B1987" s="2" t="s">
        <v>5115</v>
      </c>
      <c r="C1987" s="1" t="s">
        <v>549</v>
      </c>
      <c r="D1987" s="1" t="s">
        <v>550</v>
      </c>
    </row>
    <row r="1988">
      <c r="A1988" s="1" t="s">
        <v>5116</v>
      </c>
      <c r="B1988" s="2" t="s">
        <v>5117</v>
      </c>
      <c r="C1988" s="1" t="s">
        <v>549</v>
      </c>
      <c r="D1988" s="1" t="s">
        <v>550</v>
      </c>
    </row>
    <row r="1989">
      <c r="A1989" s="1" t="s">
        <v>5119</v>
      </c>
      <c r="B1989" s="2" t="s">
        <v>5120</v>
      </c>
      <c r="C1989" s="1" t="s">
        <v>549</v>
      </c>
      <c r="D1989" s="1" t="s">
        <v>550</v>
      </c>
    </row>
    <row r="1990">
      <c r="A1990" s="1" t="s">
        <v>5123</v>
      </c>
      <c r="B1990" s="2" t="s">
        <v>5124</v>
      </c>
      <c r="C1990" s="1" t="s">
        <v>549</v>
      </c>
      <c r="D1990" s="1" t="s">
        <v>550</v>
      </c>
    </row>
    <row r="1991">
      <c r="A1991" s="1" t="s">
        <v>558</v>
      </c>
      <c r="B1991" s="2" t="s">
        <v>7</v>
      </c>
      <c r="C1991" s="1" t="s">
        <v>560</v>
      </c>
      <c r="D1991" s="1" t="s">
        <v>561</v>
      </c>
    </row>
    <row r="1992">
      <c r="A1992" s="1" t="s">
        <v>5126</v>
      </c>
      <c r="B1992" s="2" t="s">
        <v>5127</v>
      </c>
      <c r="C1992" s="1" t="s">
        <v>560</v>
      </c>
      <c r="D1992" s="1" t="s">
        <v>561</v>
      </c>
    </row>
    <row r="1993">
      <c r="A1993" s="1" t="s">
        <v>5130</v>
      </c>
      <c r="B1993" s="2" t="s">
        <v>5131</v>
      </c>
      <c r="C1993" s="1" t="s">
        <v>560</v>
      </c>
      <c r="D1993" s="1" t="s">
        <v>561</v>
      </c>
    </row>
    <row r="1994">
      <c r="A1994" s="1" t="s">
        <v>5132</v>
      </c>
      <c r="B1994" s="2" t="s">
        <v>5133</v>
      </c>
      <c r="C1994" s="1" t="s">
        <v>560</v>
      </c>
      <c r="D1994" s="1" t="s">
        <v>561</v>
      </c>
    </row>
    <row r="1995">
      <c r="A1995" s="1" t="s">
        <v>5136</v>
      </c>
      <c r="B1995" s="2" t="s">
        <v>5137</v>
      </c>
      <c r="C1995" s="1" t="s">
        <v>560</v>
      </c>
      <c r="D1995" s="1" t="s">
        <v>561</v>
      </c>
    </row>
    <row r="1996">
      <c r="A1996" s="1" t="s">
        <v>5140</v>
      </c>
      <c r="B1996" s="2" t="s">
        <v>5141</v>
      </c>
      <c r="C1996" s="1" t="s">
        <v>560</v>
      </c>
      <c r="D1996" s="1" t="s">
        <v>561</v>
      </c>
    </row>
    <row r="1997">
      <c r="A1997" s="1" t="s">
        <v>5145</v>
      </c>
      <c r="B1997" s="2" t="s">
        <v>5146</v>
      </c>
      <c r="C1997" s="1" t="s">
        <v>560</v>
      </c>
      <c r="D1997" s="1" t="s">
        <v>561</v>
      </c>
    </row>
    <row r="1998">
      <c r="A1998" s="1" t="s">
        <v>5147</v>
      </c>
      <c r="B1998" s="2" t="s">
        <v>5148</v>
      </c>
      <c r="C1998" s="1" t="s">
        <v>560</v>
      </c>
      <c r="D1998" s="1" t="s">
        <v>561</v>
      </c>
    </row>
    <row r="1999">
      <c r="A1999" s="1" t="s">
        <v>5150</v>
      </c>
      <c r="B1999" s="2" t="s">
        <v>5151</v>
      </c>
      <c r="C1999" s="1" t="s">
        <v>560</v>
      </c>
      <c r="D1999" s="1" t="s">
        <v>561</v>
      </c>
    </row>
    <row r="2000">
      <c r="A2000" s="1" t="s">
        <v>5154</v>
      </c>
      <c r="B2000" s="2" t="s">
        <v>5155</v>
      </c>
      <c r="C2000" s="1" t="s">
        <v>560</v>
      </c>
      <c r="D2000" s="1" t="s">
        <v>561</v>
      </c>
    </row>
    <row r="2001">
      <c r="A2001" s="1" t="s">
        <v>5156</v>
      </c>
      <c r="B2001" s="2" t="s">
        <v>5157</v>
      </c>
      <c r="C2001" s="1" t="s">
        <v>560</v>
      </c>
      <c r="D2001" s="1" t="s">
        <v>561</v>
      </c>
    </row>
    <row r="2002">
      <c r="A2002" s="1" t="s">
        <v>5159</v>
      </c>
      <c r="B2002" s="2" t="s">
        <v>5161</v>
      </c>
      <c r="C2002" s="1" t="s">
        <v>560</v>
      </c>
      <c r="D2002" s="1" t="s">
        <v>561</v>
      </c>
    </row>
    <row r="2003">
      <c r="A2003" s="1" t="s">
        <v>5163</v>
      </c>
      <c r="B2003" s="2" t="s">
        <v>5164</v>
      </c>
      <c r="C2003" s="1" t="s">
        <v>560</v>
      </c>
      <c r="D2003" s="1" t="s">
        <v>561</v>
      </c>
    </row>
    <row r="2004">
      <c r="A2004" s="1" t="s">
        <v>5165</v>
      </c>
      <c r="B2004" s="2" t="s">
        <v>5166</v>
      </c>
      <c r="C2004" s="1" t="s">
        <v>560</v>
      </c>
      <c r="D2004" s="1" t="s">
        <v>561</v>
      </c>
    </row>
    <row r="2005">
      <c r="A2005" s="1" t="s">
        <v>5168</v>
      </c>
      <c r="B2005" s="2" t="s">
        <v>5170</v>
      </c>
      <c r="C2005" s="1" t="s">
        <v>560</v>
      </c>
      <c r="D2005" s="1" t="s">
        <v>561</v>
      </c>
    </row>
    <row r="2006">
      <c r="A2006" s="1" t="s">
        <v>5172</v>
      </c>
      <c r="B2006" s="2" t="s">
        <v>5173</v>
      </c>
      <c r="C2006" s="1" t="s">
        <v>560</v>
      </c>
      <c r="D2006" s="1" t="s">
        <v>561</v>
      </c>
    </row>
    <row r="2007">
      <c r="A2007" s="1" t="s">
        <v>5174</v>
      </c>
      <c r="B2007" s="2" t="s">
        <v>5175</v>
      </c>
      <c r="C2007" s="1" t="s">
        <v>560</v>
      </c>
      <c r="D2007" s="1" t="s">
        <v>561</v>
      </c>
    </row>
    <row r="2008">
      <c r="A2008" s="1" t="s">
        <v>5177</v>
      </c>
      <c r="B2008" s="2" t="s">
        <v>5178</v>
      </c>
      <c r="C2008" s="1" t="s">
        <v>560</v>
      </c>
      <c r="D2008" s="1" t="s">
        <v>561</v>
      </c>
    </row>
    <row r="2009">
      <c r="A2009" s="1" t="s">
        <v>5181</v>
      </c>
      <c r="B2009" s="2" t="s">
        <v>5182</v>
      </c>
      <c r="C2009" s="1" t="s">
        <v>560</v>
      </c>
      <c r="D2009" s="1" t="s">
        <v>561</v>
      </c>
    </row>
    <row r="2010">
      <c r="A2010" s="1" t="s">
        <v>5183</v>
      </c>
      <c r="B2010" s="2" t="s">
        <v>5185</v>
      </c>
      <c r="C2010" s="1" t="s">
        <v>560</v>
      </c>
      <c r="D2010" s="1" t="s">
        <v>561</v>
      </c>
    </row>
    <row r="2011">
      <c r="A2011" s="1" t="s">
        <v>5187</v>
      </c>
      <c r="B2011" s="2" t="s">
        <v>5189</v>
      </c>
      <c r="C2011" s="1" t="s">
        <v>560</v>
      </c>
      <c r="D2011" s="1" t="s">
        <v>561</v>
      </c>
    </row>
    <row r="2012">
      <c r="A2012" s="1" t="s">
        <v>5190</v>
      </c>
      <c r="B2012" s="2" t="s">
        <v>5191</v>
      </c>
      <c r="C2012" s="1" t="s">
        <v>560</v>
      </c>
      <c r="D2012" s="1" t="s">
        <v>561</v>
      </c>
    </row>
    <row r="2013">
      <c r="A2013" s="1" t="s">
        <v>5192</v>
      </c>
      <c r="B2013" s="2" t="s">
        <v>5194</v>
      </c>
      <c r="C2013" s="1" t="s">
        <v>560</v>
      </c>
      <c r="D2013" s="1" t="s">
        <v>561</v>
      </c>
    </row>
    <row r="2014">
      <c r="A2014" s="1" t="s">
        <v>5196</v>
      </c>
      <c r="B2014" s="2" t="s">
        <v>5198</v>
      </c>
      <c r="C2014" s="1" t="s">
        <v>560</v>
      </c>
      <c r="D2014" s="1" t="s">
        <v>561</v>
      </c>
    </row>
    <row r="2015">
      <c r="A2015" s="1" t="s">
        <v>5199</v>
      </c>
      <c r="B2015" s="2" t="s">
        <v>5200</v>
      </c>
      <c r="C2015" s="1" t="s">
        <v>560</v>
      </c>
      <c r="D2015" s="1" t="s">
        <v>561</v>
      </c>
    </row>
    <row r="2016">
      <c r="A2016" s="1" t="s">
        <v>5201</v>
      </c>
      <c r="B2016" s="2" t="s">
        <v>5202</v>
      </c>
      <c r="C2016" s="1" t="s">
        <v>560</v>
      </c>
      <c r="D2016" s="1" t="s">
        <v>561</v>
      </c>
    </row>
    <row r="2017">
      <c r="A2017" s="1" t="s">
        <v>5204</v>
      </c>
      <c r="B2017" s="2" t="s">
        <v>5206</v>
      </c>
      <c r="C2017" s="1" t="s">
        <v>560</v>
      </c>
      <c r="D2017" s="1" t="s">
        <v>561</v>
      </c>
    </row>
    <row r="2018">
      <c r="A2018" s="1" t="s">
        <v>5208</v>
      </c>
      <c r="B2018" s="2" t="s">
        <v>5209</v>
      </c>
      <c r="C2018" s="1" t="s">
        <v>560</v>
      </c>
      <c r="D2018" s="1" t="s">
        <v>561</v>
      </c>
    </row>
    <row r="2019">
      <c r="A2019" s="1" t="s">
        <v>5210</v>
      </c>
      <c r="B2019" s="2" t="s">
        <v>5212</v>
      </c>
      <c r="C2019" s="1" t="s">
        <v>560</v>
      </c>
      <c r="D2019" s="1" t="s">
        <v>561</v>
      </c>
    </row>
    <row r="2020">
      <c r="A2020" s="1" t="s">
        <v>5214</v>
      </c>
      <c r="B2020" s="2" t="s">
        <v>5216</v>
      </c>
      <c r="C2020" s="1" t="s">
        <v>560</v>
      </c>
      <c r="D2020" s="1" t="s">
        <v>561</v>
      </c>
    </row>
    <row r="2021">
      <c r="A2021" s="1" t="s">
        <v>5217</v>
      </c>
      <c r="B2021" s="2" t="s">
        <v>5218</v>
      </c>
      <c r="C2021" s="1" t="s">
        <v>560</v>
      </c>
      <c r="D2021" s="1" t="s">
        <v>561</v>
      </c>
    </row>
    <row r="2022">
      <c r="A2022" s="1" t="s">
        <v>5220</v>
      </c>
      <c r="B2022" s="2" t="s">
        <v>5222</v>
      </c>
      <c r="C2022" s="1" t="s">
        <v>560</v>
      </c>
      <c r="D2022" s="1" t="s">
        <v>561</v>
      </c>
    </row>
    <row r="2023">
      <c r="A2023" s="1" t="s">
        <v>5225</v>
      </c>
      <c r="B2023" s="2" t="s">
        <v>5226</v>
      </c>
      <c r="C2023" s="1" t="s">
        <v>560</v>
      </c>
      <c r="D2023" s="1" t="s">
        <v>561</v>
      </c>
    </row>
    <row r="2024">
      <c r="A2024" s="1" t="s">
        <v>5227</v>
      </c>
      <c r="B2024" s="2" t="s">
        <v>5228</v>
      </c>
      <c r="C2024" s="1" t="s">
        <v>560</v>
      </c>
      <c r="D2024" s="1" t="s">
        <v>561</v>
      </c>
    </row>
    <row r="2025">
      <c r="A2025" s="1" t="s">
        <v>5230</v>
      </c>
      <c r="B2025" s="2" t="s">
        <v>5231</v>
      </c>
      <c r="C2025" s="1" t="s">
        <v>560</v>
      </c>
      <c r="D2025" s="1" t="s">
        <v>561</v>
      </c>
    </row>
    <row r="2026">
      <c r="A2026" s="1" t="s">
        <v>5233</v>
      </c>
      <c r="B2026" s="2" t="s">
        <v>5234</v>
      </c>
      <c r="C2026" s="1" t="s">
        <v>560</v>
      </c>
      <c r="D2026" s="1" t="s">
        <v>561</v>
      </c>
    </row>
    <row r="2027">
      <c r="A2027" s="1" t="s">
        <v>5235</v>
      </c>
      <c r="B2027" s="2" t="s">
        <v>5236</v>
      </c>
      <c r="C2027" s="1" t="s">
        <v>560</v>
      </c>
      <c r="D2027" s="1" t="s">
        <v>561</v>
      </c>
    </row>
    <row r="2028">
      <c r="A2028" s="1" t="s">
        <v>5238</v>
      </c>
      <c r="B2028" s="2" t="s">
        <v>5239</v>
      </c>
      <c r="C2028" s="1" t="s">
        <v>560</v>
      </c>
      <c r="D2028" s="1" t="s">
        <v>561</v>
      </c>
    </row>
    <row r="2029">
      <c r="A2029" s="1" t="s">
        <v>5242</v>
      </c>
      <c r="B2029" s="2" t="s">
        <v>5243</v>
      </c>
      <c r="C2029" s="1" t="s">
        <v>560</v>
      </c>
      <c r="D2029" s="1" t="s">
        <v>561</v>
      </c>
    </row>
    <row r="2030">
      <c r="A2030" s="1" t="s">
        <v>5244</v>
      </c>
      <c r="B2030" s="2" t="s">
        <v>5245</v>
      </c>
      <c r="C2030" s="1" t="s">
        <v>560</v>
      </c>
      <c r="D2030" s="1" t="s">
        <v>561</v>
      </c>
    </row>
    <row r="2031">
      <c r="A2031" s="1" t="s">
        <v>5247</v>
      </c>
      <c r="B2031" s="2" t="s">
        <v>5248</v>
      </c>
      <c r="C2031" s="1" t="s">
        <v>560</v>
      </c>
      <c r="D2031" s="1" t="s">
        <v>561</v>
      </c>
    </row>
    <row r="2032">
      <c r="A2032" s="1" t="s">
        <v>5250</v>
      </c>
      <c r="B2032" s="2" t="s">
        <v>5251</v>
      </c>
      <c r="C2032" s="1" t="s">
        <v>560</v>
      </c>
      <c r="D2032" s="1" t="s">
        <v>561</v>
      </c>
    </row>
    <row r="2033">
      <c r="A2033" s="1" t="s">
        <v>5252</v>
      </c>
      <c r="B2033" s="2" t="s">
        <v>5253</v>
      </c>
      <c r="C2033" s="1" t="s">
        <v>560</v>
      </c>
      <c r="D2033" s="1" t="s">
        <v>561</v>
      </c>
    </row>
    <row r="2034">
      <c r="A2034" s="1" t="s">
        <v>5254</v>
      </c>
      <c r="B2034" s="2" t="s">
        <v>5255</v>
      </c>
      <c r="C2034" s="1" t="s">
        <v>560</v>
      </c>
      <c r="D2034" s="1" t="s">
        <v>561</v>
      </c>
    </row>
    <row r="2035">
      <c r="A2035" s="1" t="s">
        <v>5256</v>
      </c>
      <c r="B2035" s="2" t="s">
        <v>5258</v>
      </c>
      <c r="C2035" s="1" t="s">
        <v>560</v>
      </c>
      <c r="D2035" s="1" t="s">
        <v>561</v>
      </c>
    </row>
    <row r="2036">
      <c r="A2036" s="1" t="s">
        <v>5259</v>
      </c>
      <c r="B2036" s="2" t="s">
        <v>5260</v>
      </c>
      <c r="C2036" s="1" t="s">
        <v>560</v>
      </c>
      <c r="D2036" s="1" t="s">
        <v>561</v>
      </c>
    </row>
    <row r="2037">
      <c r="A2037" s="1" t="s">
        <v>5261</v>
      </c>
      <c r="B2037" s="2" t="s">
        <v>5263</v>
      </c>
      <c r="C2037" s="1" t="s">
        <v>560</v>
      </c>
      <c r="D2037" s="1" t="s">
        <v>561</v>
      </c>
    </row>
    <row r="2038">
      <c r="A2038" s="1" t="s">
        <v>5265</v>
      </c>
      <c r="B2038" s="2" t="s">
        <v>5267</v>
      </c>
      <c r="C2038" s="1" t="s">
        <v>560</v>
      </c>
      <c r="D2038" s="1" t="s">
        <v>561</v>
      </c>
    </row>
    <row r="2039">
      <c r="A2039" s="1" t="s">
        <v>5269</v>
      </c>
      <c r="B2039" s="2" t="s">
        <v>5270</v>
      </c>
      <c r="C2039" s="1" t="s">
        <v>560</v>
      </c>
      <c r="D2039" s="1" t="s">
        <v>561</v>
      </c>
    </row>
    <row r="2040">
      <c r="A2040" s="1" t="s">
        <v>5271</v>
      </c>
      <c r="B2040" s="2" t="s">
        <v>5272</v>
      </c>
      <c r="C2040" s="1" t="s">
        <v>560</v>
      </c>
      <c r="D2040" s="1" t="s">
        <v>561</v>
      </c>
    </row>
    <row r="2041">
      <c r="A2041" s="1" t="s">
        <v>5274</v>
      </c>
      <c r="B2041" s="2" t="s">
        <v>5275</v>
      </c>
      <c r="C2041" s="1" t="s">
        <v>560</v>
      </c>
      <c r="D2041" s="1" t="s">
        <v>561</v>
      </c>
    </row>
    <row r="2042">
      <c r="A2042" s="1" t="s">
        <v>5278</v>
      </c>
      <c r="B2042" s="2" t="s">
        <v>5279</v>
      </c>
      <c r="C2042" s="1" t="s">
        <v>560</v>
      </c>
      <c r="D2042" s="1" t="s">
        <v>561</v>
      </c>
    </row>
    <row r="2043">
      <c r="A2043" s="1" t="s">
        <v>5280</v>
      </c>
      <c r="B2043" s="2" t="s">
        <v>5281</v>
      </c>
      <c r="C2043" s="1" t="s">
        <v>560</v>
      </c>
      <c r="D2043" s="1" t="s">
        <v>561</v>
      </c>
    </row>
    <row r="2044">
      <c r="A2044" s="1" t="s">
        <v>5283</v>
      </c>
      <c r="B2044" s="2" t="s">
        <v>5285</v>
      </c>
      <c r="C2044" s="1" t="s">
        <v>560</v>
      </c>
      <c r="D2044" s="1" t="s">
        <v>561</v>
      </c>
    </row>
    <row r="2045">
      <c r="A2045" s="1" t="s">
        <v>5287</v>
      </c>
      <c r="B2045" s="2" t="s">
        <v>5288</v>
      </c>
      <c r="C2045" s="1" t="s">
        <v>560</v>
      </c>
      <c r="D2045" s="1" t="s">
        <v>561</v>
      </c>
    </row>
    <row r="2046">
      <c r="A2046" s="1" t="s">
        <v>5289</v>
      </c>
      <c r="B2046" s="2" t="s">
        <v>5291</v>
      </c>
      <c r="C2046" s="1" t="s">
        <v>560</v>
      </c>
      <c r="D2046" s="1" t="s">
        <v>561</v>
      </c>
    </row>
    <row r="2047">
      <c r="A2047" s="1" t="s">
        <v>5294</v>
      </c>
      <c r="B2047" s="2" t="s">
        <v>5295</v>
      </c>
      <c r="C2047" s="1" t="s">
        <v>560</v>
      </c>
      <c r="D2047" s="1" t="s">
        <v>561</v>
      </c>
    </row>
    <row r="2048">
      <c r="A2048" s="1" t="s">
        <v>5296</v>
      </c>
      <c r="B2048" s="2" t="s">
        <v>5297</v>
      </c>
      <c r="C2048" s="1" t="s">
        <v>560</v>
      </c>
      <c r="D2048" s="1" t="s">
        <v>561</v>
      </c>
    </row>
    <row r="2049">
      <c r="A2049" s="1" t="s">
        <v>5299</v>
      </c>
      <c r="B2049" s="2" t="s">
        <v>5301</v>
      </c>
      <c r="C2049" s="1" t="s">
        <v>560</v>
      </c>
      <c r="D2049" s="1" t="s">
        <v>561</v>
      </c>
    </row>
    <row r="2050">
      <c r="A2050" s="1" t="s">
        <v>5303</v>
      </c>
      <c r="B2050" s="2" t="s">
        <v>5304</v>
      </c>
      <c r="C2050" s="1" t="s">
        <v>560</v>
      </c>
      <c r="D2050" s="1" t="s">
        <v>561</v>
      </c>
    </row>
    <row r="2051">
      <c r="A2051" s="1" t="s">
        <v>553</v>
      </c>
      <c r="B2051" s="2" t="s">
        <v>7</v>
      </c>
      <c r="C2051" s="1" t="s">
        <v>555</v>
      </c>
      <c r="D2051" s="1" t="s">
        <v>556</v>
      </c>
    </row>
    <row r="2052">
      <c r="A2052" s="1" t="s">
        <v>5308</v>
      </c>
      <c r="B2052" s="2" t="s">
        <v>5127</v>
      </c>
      <c r="C2052" s="1" t="s">
        <v>555</v>
      </c>
      <c r="D2052" s="1" t="s">
        <v>556</v>
      </c>
    </row>
    <row r="2053">
      <c r="A2053" s="1" t="s">
        <v>5309</v>
      </c>
      <c r="B2053" s="2" t="s">
        <v>5131</v>
      </c>
      <c r="C2053" s="1" t="s">
        <v>555</v>
      </c>
      <c r="D2053" s="1" t="s">
        <v>556</v>
      </c>
    </row>
    <row r="2054">
      <c r="A2054" s="1" t="s">
        <v>5311</v>
      </c>
      <c r="B2054" s="2" t="s">
        <v>5133</v>
      </c>
      <c r="C2054" s="1" t="s">
        <v>555</v>
      </c>
      <c r="D2054" s="1" t="s">
        <v>556</v>
      </c>
    </row>
    <row r="2055">
      <c r="A2055" s="1" t="s">
        <v>5314</v>
      </c>
      <c r="B2055" s="2" t="s">
        <v>5137</v>
      </c>
      <c r="C2055" s="1" t="s">
        <v>555</v>
      </c>
      <c r="D2055" s="1" t="s">
        <v>556</v>
      </c>
    </row>
    <row r="2056">
      <c r="A2056" s="1" t="s">
        <v>5317</v>
      </c>
      <c r="B2056" s="2" t="s">
        <v>5141</v>
      </c>
      <c r="C2056" s="1" t="s">
        <v>555</v>
      </c>
      <c r="D2056" s="1" t="s">
        <v>556</v>
      </c>
    </row>
    <row r="2057">
      <c r="A2057" s="1" t="s">
        <v>5320</v>
      </c>
      <c r="B2057" s="2" t="s">
        <v>5146</v>
      </c>
      <c r="C2057" s="1" t="s">
        <v>555</v>
      </c>
      <c r="D2057" s="1" t="s">
        <v>556</v>
      </c>
    </row>
    <row r="2058">
      <c r="A2058" s="1" t="s">
        <v>5321</v>
      </c>
      <c r="B2058" s="2" t="s">
        <v>5148</v>
      </c>
      <c r="C2058" s="1" t="s">
        <v>555</v>
      </c>
      <c r="D2058" s="1" t="s">
        <v>556</v>
      </c>
    </row>
    <row r="2059">
      <c r="A2059" s="1" t="s">
        <v>5325</v>
      </c>
      <c r="B2059" s="2" t="s">
        <v>5151</v>
      </c>
      <c r="C2059" s="1" t="s">
        <v>555</v>
      </c>
      <c r="D2059" s="1" t="s">
        <v>556</v>
      </c>
    </row>
    <row r="2060">
      <c r="A2060" s="1" t="s">
        <v>5326</v>
      </c>
      <c r="B2060" s="2" t="s">
        <v>5155</v>
      </c>
      <c r="C2060" s="1" t="s">
        <v>555</v>
      </c>
      <c r="D2060" s="1" t="s">
        <v>556</v>
      </c>
    </row>
    <row r="2061">
      <c r="A2061" s="1" t="s">
        <v>5330</v>
      </c>
      <c r="B2061" s="2" t="s">
        <v>5157</v>
      </c>
      <c r="C2061" s="1" t="s">
        <v>555</v>
      </c>
      <c r="D2061" s="1" t="s">
        <v>556</v>
      </c>
    </row>
    <row r="2062">
      <c r="A2062" s="1" t="s">
        <v>5332</v>
      </c>
      <c r="B2062" s="2" t="s">
        <v>5161</v>
      </c>
      <c r="C2062" s="1" t="s">
        <v>555</v>
      </c>
      <c r="D2062" s="1" t="s">
        <v>556</v>
      </c>
    </row>
    <row r="2063">
      <c r="A2063" s="1" t="s">
        <v>5335</v>
      </c>
      <c r="B2063" s="2" t="s">
        <v>5336</v>
      </c>
      <c r="C2063" s="1" t="s">
        <v>555</v>
      </c>
      <c r="D2063" s="1" t="s">
        <v>556</v>
      </c>
    </row>
    <row r="2064">
      <c r="A2064" s="1" t="s">
        <v>5338</v>
      </c>
      <c r="B2064" s="2" t="s">
        <v>5339</v>
      </c>
      <c r="C2064" s="1" t="s">
        <v>555</v>
      </c>
      <c r="D2064" s="1" t="s">
        <v>556</v>
      </c>
    </row>
    <row r="2065">
      <c r="A2065" s="1" t="s">
        <v>5342</v>
      </c>
      <c r="B2065" s="2" t="s">
        <v>5343</v>
      </c>
      <c r="C2065" s="1" t="s">
        <v>555</v>
      </c>
      <c r="D2065" s="1" t="s">
        <v>556</v>
      </c>
    </row>
    <row r="2066">
      <c r="A2066" s="1" t="s">
        <v>5344</v>
      </c>
      <c r="B2066" s="2" t="s">
        <v>5346</v>
      </c>
      <c r="C2066" s="1" t="s">
        <v>555</v>
      </c>
      <c r="D2066" s="1" t="s">
        <v>556</v>
      </c>
    </row>
    <row r="2067">
      <c r="A2067" s="1" t="s">
        <v>5349</v>
      </c>
      <c r="B2067" s="2" t="s">
        <v>5350</v>
      </c>
      <c r="C2067" s="1" t="s">
        <v>555</v>
      </c>
      <c r="D2067" s="1" t="s">
        <v>556</v>
      </c>
    </row>
    <row r="2068">
      <c r="A2068" s="1" t="s">
        <v>5351</v>
      </c>
      <c r="B2068" s="2" t="s">
        <v>5352</v>
      </c>
      <c r="C2068" s="1" t="s">
        <v>555</v>
      </c>
      <c r="D2068" s="1" t="s">
        <v>556</v>
      </c>
    </row>
    <row r="2069">
      <c r="A2069" s="1" t="s">
        <v>5354</v>
      </c>
      <c r="B2069" s="2" t="s">
        <v>5356</v>
      </c>
      <c r="C2069" s="1" t="s">
        <v>555</v>
      </c>
      <c r="D2069" s="1" t="s">
        <v>556</v>
      </c>
    </row>
    <row r="2070">
      <c r="A2070" s="1" t="s">
        <v>5358</v>
      </c>
      <c r="B2070" s="2" t="s">
        <v>5359</v>
      </c>
      <c r="C2070" s="1" t="s">
        <v>555</v>
      </c>
      <c r="D2070" s="1" t="s">
        <v>556</v>
      </c>
    </row>
    <row r="2071">
      <c r="A2071" s="1" t="s">
        <v>5361</v>
      </c>
      <c r="B2071" s="2" t="s">
        <v>5362</v>
      </c>
      <c r="C2071" s="1" t="s">
        <v>555</v>
      </c>
      <c r="D2071" s="1" t="s">
        <v>556</v>
      </c>
    </row>
    <row r="2072">
      <c r="A2072" s="1" t="s">
        <v>5365</v>
      </c>
      <c r="B2072" s="2" t="s">
        <v>5366</v>
      </c>
      <c r="C2072" s="1" t="s">
        <v>555</v>
      </c>
      <c r="D2072" s="1" t="s">
        <v>556</v>
      </c>
    </row>
    <row r="2073">
      <c r="A2073" s="1" t="s">
        <v>5367</v>
      </c>
      <c r="B2073" s="2" t="s">
        <v>5368</v>
      </c>
      <c r="C2073" s="1" t="s">
        <v>555</v>
      </c>
      <c r="D2073" s="1" t="s">
        <v>556</v>
      </c>
    </row>
    <row r="2074">
      <c r="A2074" s="1" t="s">
        <v>5371</v>
      </c>
      <c r="B2074" s="2" t="s">
        <v>5373</v>
      </c>
      <c r="C2074" s="1" t="s">
        <v>555</v>
      </c>
      <c r="D2074" s="1" t="s">
        <v>556</v>
      </c>
    </row>
    <row r="2075">
      <c r="A2075" s="1" t="s">
        <v>5374</v>
      </c>
      <c r="B2075" s="2" t="s">
        <v>5375</v>
      </c>
      <c r="C2075" s="1" t="s">
        <v>555</v>
      </c>
      <c r="D2075" s="1" t="s">
        <v>556</v>
      </c>
    </row>
    <row r="2076">
      <c r="A2076" s="1" t="s">
        <v>5378</v>
      </c>
      <c r="B2076" s="2" t="s">
        <v>5381</v>
      </c>
      <c r="C2076" s="1" t="s">
        <v>555</v>
      </c>
      <c r="D2076" s="1" t="s">
        <v>556</v>
      </c>
    </row>
    <row r="2077">
      <c r="A2077" s="1" t="s">
        <v>5382</v>
      </c>
      <c r="B2077" s="2" t="s">
        <v>5383</v>
      </c>
      <c r="C2077" s="1" t="s">
        <v>555</v>
      </c>
      <c r="D2077" s="1" t="s">
        <v>556</v>
      </c>
    </row>
    <row r="2078">
      <c r="A2078" s="1" t="s">
        <v>5385</v>
      </c>
      <c r="B2078" s="2" t="s">
        <v>5388</v>
      </c>
      <c r="C2078" s="1" t="s">
        <v>555</v>
      </c>
      <c r="D2078" s="1" t="s">
        <v>556</v>
      </c>
    </row>
    <row r="2079">
      <c r="A2079" s="1" t="s">
        <v>5389</v>
      </c>
      <c r="B2079" s="2" t="s">
        <v>5390</v>
      </c>
      <c r="C2079" s="1" t="s">
        <v>555</v>
      </c>
      <c r="D2079" s="1" t="s">
        <v>556</v>
      </c>
    </row>
    <row r="2080">
      <c r="A2080" s="1" t="s">
        <v>5392</v>
      </c>
      <c r="B2080" s="2" t="s">
        <v>5394</v>
      </c>
      <c r="C2080" s="1" t="s">
        <v>555</v>
      </c>
      <c r="D2080" s="1" t="s">
        <v>556</v>
      </c>
    </row>
    <row r="2081">
      <c r="A2081" s="1" t="s">
        <v>5396</v>
      </c>
      <c r="B2081" s="2" t="s">
        <v>5397</v>
      </c>
      <c r="C2081" s="1" t="s">
        <v>555</v>
      </c>
      <c r="D2081" s="1" t="s">
        <v>556</v>
      </c>
    </row>
    <row r="2082">
      <c r="A2082" s="1" t="s">
        <v>5398</v>
      </c>
      <c r="B2082" s="2" t="s">
        <v>5400</v>
      </c>
      <c r="C2082" s="1" t="s">
        <v>555</v>
      </c>
      <c r="D2082" s="1" t="s">
        <v>556</v>
      </c>
    </row>
    <row r="2083">
      <c r="A2083" s="1" t="s">
        <v>5402</v>
      </c>
      <c r="B2083" s="2" t="s">
        <v>5404</v>
      </c>
      <c r="C2083" s="1" t="s">
        <v>555</v>
      </c>
      <c r="D2083" s="1" t="s">
        <v>556</v>
      </c>
    </row>
    <row r="2084">
      <c r="A2084" s="1" t="s">
        <v>5405</v>
      </c>
      <c r="B2084" s="2" t="s">
        <v>5406</v>
      </c>
      <c r="C2084" s="1" t="s">
        <v>555</v>
      </c>
      <c r="D2084" s="1" t="s">
        <v>556</v>
      </c>
    </row>
    <row r="2085">
      <c r="A2085" s="1" t="s">
        <v>5407</v>
      </c>
      <c r="B2085" s="2" t="s">
        <v>5409</v>
      </c>
      <c r="C2085" s="1" t="s">
        <v>555</v>
      </c>
      <c r="D2085" s="1" t="s">
        <v>556</v>
      </c>
    </row>
    <row r="2086">
      <c r="A2086" s="1" t="s">
        <v>5411</v>
      </c>
      <c r="B2086" s="2" t="s">
        <v>5413</v>
      </c>
      <c r="C2086" s="1" t="s">
        <v>555</v>
      </c>
      <c r="D2086" s="1" t="s">
        <v>556</v>
      </c>
    </row>
    <row r="2087">
      <c r="A2087" s="1" t="s">
        <v>5415</v>
      </c>
      <c r="B2087" s="2" t="s">
        <v>5416</v>
      </c>
      <c r="C2087" s="1" t="s">
        <v>555</v>
      </c>
      <c r="D2087" s="1" t="s">
        <v>556</v>
      </c>
    </row>
    <row r="2088">
      <c r="A2088" s="1" t="s">
        <v>5417</v>
      </c>
      <c r="B2088" s="2" t="s">
        <v>5419</v>
      </c>
      <c r="C2088" s="1" t="s">
        <v>555</v>
      </c>
      <c r="D2088" s="1" t="s">
        <v>556</v>
      </c>
    </row>
    <row r="2089">
      <c r="A2089" s="1" t="s">
        <v>5421</v>
      </c>
      <c r="B2089" s="2" t="s">
        <v>5423</v>
      </c>
      <c r="C2089" s="1" t="s">
        <v>555</v>
      </c>
      <c r="D2089" s="1" t="s">
        <v>556</v>
      </c>
    </row>
    <row r="2090">
      <c r="A2090" s="1" t="s">
        <v>5424</v>
      </c>
      <c r="B2090" s="2" t="s">
        <v>5425</v>
      </c>
      <c r="C2090" s="1" t="s">
        <v>555</v>
      </c>
      <c r="D2090" s="1" t="s">
        <v>556</v>
      </c>
    </row>
    <row r="2091">
      <c r="A2091" s="1" t="s">
        <v>5426</v>
      </c>
      <c r="B2091" s="2" t="s">
        <v>5428</v>
      </c>
      <c r="C2091" s="1" t="s">
        <v>555</v>
      </c>
      <c r="D2091" s="1" t="s">
        <v>556</v>
      </c>
    </row>
    <row r="2092">
      <c r="A2092" s="1" t="s">
        <v>5429</v>
      </c>
      <c r="B2092" s="2" t="s">
        <v>5431</v>
      </c>
      <c r="C2092" s="1" t="s">
        <v>555</v>
      </c>
      <c r="D2092" s="1" t="s">
        <v>556</v>
      </c>
    </row>
    <row r="2093">
      <c r="A2093" s="1" t="s">
        <v>5433</v>
      </c>
      <c r="B2093" s="2" t="s">
        <v>5434</v>
      </c>
      <c r="C2093" s="1" t="s">
        <v>555</v>
      </c>
      <c r="D2093" s="1" t="s">
        <v>556</v>
      </c>
    </row>
    <row r="2094">
      <c r="A2094" s="1" t="s">
        <v>5436</v>
      </c>
      <c r="B2094" s="2" t="s">
        <v>5437</v>
      </c>
      <c r="C2094" s="1" t="s">
        <v>555</v>
      </c>
      <c r="D2094" s="1" t="s">
        <v>556</v>
      </c>
    </row>
    <row r="2095">
      <c r="A2095" s="1" t="s">
        <v>5438</v>
      </c>
      <c r="B2095" s="2" t="s">
        <v>5440</v>
      </c>
      <c r="C2095" s="1" t="s">
        <v>555</v>
      </c>
      <c r="D2095" s="1" t="s">
        <v>556</v>
      </c>
    </row>
    <row r="2096">
      <c r="A2096" s="1" t="s">
        <v>5441</v>
      </c>
      <c r="B2096" s="2" t="s">
        <v>5443</v>
      </c>
      <c r="C2096" s="1" t="s">
        <v>555</v>
      </c>
      <c r="D2096" s="1" t="s">
        <v>556</v>
      </c>
    </row>
    <row r="2097">
      <c r="A2097" s="1" t="s">
        <v>5445</v>
      </c>
      <c r="B2097" s="2" t="s">
        <v>5446</v>
      </c>
      <c r="C2097" s="1" t="s">
        <v>555</v>
      </c>
      <c r="D2097" s="1" t="s">
        <v>556</v>
      </c>
    </row>
    <row r="2098">
      <c r="A2098" s="1" t="s">
        <v>5447</v>
      </c>
      <c r="B2098" s="2" t="s">
        <v>5448</v>
      </c>
      <c r="C2098" s="1" t="s">
        <v>555</v>
      </c>
      <c r="D2098" s="1" t="s">
        <v>556</v>
      </c>
    </row>
    <row r="2099">
      <c r="A2099" s="1" t="s">
        <v>5450</v>
      </c>
      <c r="B2099" s="2" t="s">
        <v>5270</v>
      </c>
      <c r="C2099" s="1" t="s">
        <v>555</v>
      </c>
      <c r="D2099" s="1" t="s">
        <v>556</v>
      </c>
    </row>
    <row r="2100">
      <c r="A2100" s="1" t="s">
        <v>5453</v>
      </c>
      <c r="B2100" s="2" t="s">
        <v>5272</v>
      </c>
      <c r="C2100" s="1" t="s">
        <v>555</v>
      </c>
      <c r="D2100" s="1" t="s">
        <v>556</v>
      </c>
    </row>
    <row r="2101">
      <c r="A2101" s="1" t="s">
        <v>5454</v>
      </c>
      <c r="B2101" s="2" t="s">
        <v>5275</v>
      </c>
      <c r="C2101" s="1" t="s">
        <v>555</v>
      </c>
      <c r="D2101" s="1" t="s">
        <v>556</v>
      </c>
    </row>
    <row r="2102">
      <c r="A2102" s="1" t="s">
        <v>5456</v>
      </c>
      <c r="B2102" s="2" t="s">
        <v>5279</v>
      </c>
      <c r="C2102" s="1" t="s">
        <v>555</v>
      </c>
      <c r="D2102" s="1" t="s">
        <v>556</v>
      </c>
    </row>
    <row r="2103">
      <c r="A2103" s="1" t="s">
        <v>5459</v>
      </c>
      <c r="B2103" s="2" t="s">
        <v>5281</v>
      </c>
      <c r="C2103" s="1" t="s">
        <v>555</v>
      </c>
      <c r="D2103" s="1" t="s">
        <v>556</v>
      </c>
    </row>
    <row r="2104">
      <c r="A2104" s="1" t="s">
        <v>5461</v>
      </c>
      <c r="B2104" s="2" t="s">
        <v>5285</v>
      </c>
      <c r="C2104" s="1" t="s">
        <v>555</v>
      </c>
      <c r="D2104" s="1" t="s">
        <v>556</v>
      </c>
    </row>
    <row r="2105">
      <c r="A2105" s="1" t="s">
        <v>5462</v>
      </c>
      <c r="B2105" s="2" t="s">
        <v>5288</v>
      </c>
      <c r="C2105" s="1" t="s">
        <v>555</v>
      </c>
      <c r="D2105" s="1" t="s">
        <v>556</v>
      </c>
    </row>
    <row r="2106">
      <c r="A2106" s="1" t="s">
        <v>5465</v>
      </c>
      <c r="B2106" s="2" t="s">
        <v>5291</v>
      </c>
      <c r="C2106" s="1" t="s">
        <v>555</v>
      </c>
      <c r="D2106" s="1" t="s">
        <v>556</v>
      </c>
    </row>
    <row r="2107">
      <c r="A2107" s="1" t="s">
        <v>5468</v>
      </c>
      <c r="B2107" s="2" t="s">
        <v>5295</v>
      </c>
      <c r="C2107" s="1" t="s">
        <v>555</v>
      </c>
      <c r="D2107" s="1" t="s">
        <v>556</v>
      </c>
    </row>
    <row r="2108">
      <c r="A2108" s="1" t="s">
        <v>5469</v>
      </c>
      <c r="B2108" s="2" t="s">
        <v>5297</v>
      </c>
      <c r="C2108" s="1" t="s">
        <v>555</v>
      </c>
      <c r="D2108" s="1" t="s">
        <v>556</v>
      </c>
    </row>
    <row r="2109">
      <c r="A2109" s="1" t="s">
        <v>5471</v>
      </c>
      <c r="B2109" s="2" t="s">
        <v>5301</v>
      </c>
      <c r="C2109" s="1" t="s">
        <v>555</v>
      </c>
      <c r="D2109" s="1" t="s">
        <v>556</v>
      </c>
    </row>
    <row r="2110">
      <c r="A2110" s="1" t="s">
        <v>5474</v>
      </c>
      <c r="B2110" s="2" t="s">
        <v>5304</v>
      </c>
      <c r="C2110" s="1" t="s">
        <v>555</v>
      </c>
      <c r="D2110" s="1" t="s">
        <v>556</v>
      </c>
    </row>
    <row r="2111">
      <c r="A2111" s="1" t="s">
        <v>569</v>
      </c>
      <c r="B2111" s="2" t="s">
        <v>176</v>
      </c>
      <c r="C2111" s="1" t="s">
        <v>570</v>
      </c>
      <c r="D2111" s="1" t="s">
        <v>571</v>
      </c>
    </row>
    <row r="2112">
      <c r="A2112" s="1" t="s">
        <v>5476</v>
      </c>
      <c r="B2112" s="2" t="s">
        <v>5478</v>
      </c>
      <c r="C2112" s="1" t="s">
        <v>570</v>
      </c>
      <c r="D2112" s="1" t="s">
        <v>571</v>
      </c>
    </row>
    <row r="2113">
      <c r="A2113" s="1" t="s">
        <v>5479</v>
      </c>
      <c r="B2113" s="2" t="s">
        <v>5481</v>
      </c>
      <c r="C2113" s="1" t="s">
        <v>570</v>
      </c>
      <c r="D2113" s="1" t="s">
        <v>571</v>
      </c>
    </row>
    <row r="2114">
      <c r="A2114" s="1" t="s">
        <v>5483</v>
      </c>
      <c r="B2114" s="2" t="s">
        <v>5484</v>
      </c>
      <c r="C2114" s="1" t="s">
        <v>570</v>
      </c>
      <c r="D2114" s="1" t="s">
        <v>571</v>
      </c>
    </row>
    <row r="2115">
      <c r="A2115" s="1" t="s">
        <v>5485</v>
      </c>
      <c r="B2115" s="2" t="s">
        <v>5486</v>
      </c>
      <c r="C2115" s="1" t="s">
        <v>570</v>
      </c>
      <c r="D2115" s="1" t="s">
        <v>571</v>
      </c>
    </row>
    <row r="2116">
      <c r="A2116" s="1" t="s">
        <v>564</v>
      </c>
      <c r="B2116" s="2" t="s">
        <v>176</v>
      </c>
      <c r="C2116" s="1" t="s">
        <v>565</v>
      </c>
      <c r="D2116" s="1" t="s">
        <v>566</v>
      </c>
    </row>
    <row r="2117">
      <c r="A2117" s="1" t="s">
        <v>5490</v>
      </c>
      <c r="B2117" s="2" t="s">
        <v>5491</v>
      </c>
      <c r="C2117" s="1" t="s">
        <v>565</v>
      </c>
      <c r="D2117" s="1" t="s">
        <v>566</v>
      </c>
    </row>
    <row r="2118">
      <c r="A2118" s="1" t="s">
        <v>5492</v>
      </c>
      <c r="B2118" s="2" t="s">
        <v>5493</v>
      </c>
      <c r="C2118" s="1" t="s">
        <v>565</v>
      </c>
      <c r="D2118" s="1" t="s">
        <v>566</v>
      </c>
    </row>
    <row r="2119">
      <c r="A2119" s="1" t="s">
        <v>5494</v>
      </c>
      <c r="B2119" s="2" t="s">
        <v>5495</v>
      </c>
      <c r="C2119" s="1" t="s">
        <v>565</v>
      </c>
      <c r="D2119" s="1" t="s">
        <v>566</v>
      </c>
    </row>
    <row r="2120">
      <c r="A2120" s="1" t="s">
        <v>5497</v>
      </c>
      <c r="B2120" s="2" t="s">
        <v>5486</v>
      </c>
      <c r="C2120" s="1" t="s">
        <v>565</v>
      </c>
      <c r="D2120" s="1" t="s">
        <v>566</v>
      </c>
    </row>
    <row r="2121">
      <c r="A2121" s="1" t="s">
        <v>579</v>
      </c>
      <c r="B2121" s="2" t="s">
        <v>7</v>
      </c>
      <c r="C2121" s="1" t="s">
        <v>581</v>
      </c>
      <c r="D2121" s="1" t="s">
        <v>582</v>
      </c>
    </row>
    <row r="2122">
      <c r="A2122" s="1" t="s">
        <v>5500</v>
      </c>
      <c r="B2122" s="2" t="s">
        <v>3373</v>
      </c>
      <c r="C2122" s="1" t="s">
        <v>581</v>
      </c>
      <c r="D2122" s="1" t="s">
        <v>582</v>
      </c>
    </row>
    <row r="2123">
      <c r="A2123" s="1" t="s">
        <v>5501</v>
      </c>
      <c r="B2123" s="2" t="s">
        <v>3376</v>
      </c>
      <c r="C2123" s="1" t="s">
        <v>581</v>
      </c>
      <c r="D2123" s="1" t="s">
        <v>582</v>
      </c>
    </row>
    <row r="2124">
      <c r="A2124" s="1" t="s">
        <v>5504</v>
      </c>
      <c r="B2124" s="2" t="s">
        <v>5164</v>
      </c>
      <c r="C2124" s="1" t="s">
        <v>581</v>
      </c>
      <c r="D2124" s="1" t="s">
        <v>582</v>
      </c>
    </row>
    <row r="2125">
      <c r="A2125" s="1" t="s">
        <v>5506</v>
      </c>
      <c r="B2125" s="2" t="s">
        <v>5507</v>
      </c>
      <c r="C2125" s="1" t="s">
        <v>581</v>
      </c>
      <c r="D2125" s="1" t="s">
        <v>582</v>
      </c>
    </row>
    <row r="2126">
      <c r="A2126" s="1" t="s">
        <v>5508</v>
      </c>
      <c r="B2126" s="2" t="s">
        <v>5510</v>
      </c>
      <c r="C2126" s="1" t="s">
        <v>581</v>
      </c>
      <c r="D2126" s="1" t="s">
        <v>582</v>
      </c>
    </row>
    <row r="2127">
      <c r="A2127" s="1" t="s">
        <v>5511</v>
      </c>
      <c r="B2127" s="2" t="s">
        <v>5200</v>
      </c>
      <c r="C2127" s="1" t="s">
        <v>581</v>
      </c>
      <c r="D2127" s="1" t="s">
        <v>582</v>
      </c>
    </row>
    <row r="2128">
      <c r="A2128" s="1" t="s">
        <v>5514</v>
      </c>
      <c r="B2128" s="2" t="s">
        <v>5515</v>
      </c>
      <c r="C2128" s="1" t="s">
        <v>581</v>
      </c>
      <c r="D2128" s="1" t="s">
        <v>582</v>
      </c>
    </row>
    <row r="2129">
      <c r="A2129" s="1" t="s">
        <v>5516</v>
      </c>
      <c r="B2129" s="2" t="s">
        <v>5517</v>
      </c>
      <c r="C2129" s="1" t="s">
        <v>581</v>
      </c>
      <c r="D2129" s="1" t="s">
        <v>582</v>
      </c>
    </row>
    <row r="2130">
      <c r="A2130" s="1" t="s">
        <v>5518</v>
      </c>
      <c r="B2130" s="2" t="s">
        <v>5236</v>
      </c>
      <c r="C2130" s="1" t="s">
        <v>581</v>
      </c>
      <c r="D2130" s="1" t="s">
        <v>582</v>
      </c>
    </row>
    <row r="2131">
      <c r="A2131" s="1" t="s">
        <v>5519</v>
      </c>
      <c r="B2131" s="2" t="s">
        <v>5521</v>
      </c>
      <c r="C2131" s="1" t="s">
        <v>581</v>
      </c>
      <c r="D2131" s="1" t="s">
        <v>582</v>
      </c>
    </row>
    <row r="2132">
      <c r="A2132" s="1" t="s">
        <v>5523</v>
      </c>
      <c r="B2132" s="2" t="s">
        <v>5525</v>
      </c>
      <c r="C2132" s="1" t="s">
        <v>581</v>
      </c>
      <c r="D2132" s="1" t="s">
        <v>582</v>
      </c>
    </row>
    <row r="2133">
      <c r="A2133" s="1" t="s">
        <v>5526</v>
      </c>
      <c r="B2133" s="2" t="s">
        <v>5270</v>
      </c>
      <c r="C2133" s="1" t="s">
        <v>581</v>
      </c>
      <c r="D2133" s="1" t="s">
        <v>582</v>
      </c>
    </row>
    <row r="2134">
      <c r="A2134" s="1" t="s">
        <v>5527</v>
      </c>
      <c r="B2134" s="2" t="s">
        <v>5528</v>
      </c>
      <c r="C2134" s="1" t="s">
        <v>581</v>
      </c>
      <c r="D2134" s="1" t="s">
        <v>582</v>
      </c>
    </row>
    <row r="2135">
      <c r="A2135" s="1" t="s">
        <v>5530</v>
      </c>
      <c r="B2135" s="2" t="s">
        <v>5532</v>
      </c>
      <c r="C2135" s="1" t="s">
        <v>581</v>
      </c>
      <c r="D2135" s="1" t="s">
        <v>582</v>
      </c>
    </row>
    <row r="2136">
      <c r="A2136" s="1" t="s">
        <v>574</v>
      </c>
      <c r="B2136" s="2" t="s">
        <v>7</v>
      </c>
      <c r="C2136" s="1" t="s">
        <v>576</v>
      </c>
      <c r="D2136" s="1" t="s">
        <v>577</v>
      </c>
    </row>
    <row r="2137">
      <c r="A2137" s="1" t="s">
        <v>5534</v>
      </c>
      <c r="B2137" s="2" t="s">
        <v>3373</v>
      </c>
      <c r="C2137" s="1" t="s">
        <v>576</v>
      </c>
      <c r="D2137" s="1" t="s">
        <v>577</v>
      </c>
    </row>
    <row r="2138">
      <c r="A2138" s="1" t="s">
        <v>5536</v>
      </c>
      <c r="B2138" s="2" t="s">
        <v>3376</v>
      </c>
      <c r="C2138" s="1" t="s">
        <v>576</v>
      </c>
      <c r="D2138" s="1" t="s">
        <v>577</v>
      </c>
    </row>
    <row r="2139">
      <c r="A2139" s="1" t="s">
        <v>5538</v>
      </c>
      <c r="B2139" s="2" t="s">
        <v>5336</v>
      </c>
      <c r="C2139" s="1" t="s">
        <v>576</v>
      </c>
      <c r="D2139" s="1" t="s">
        <v>577</v>
      </c>
    </row>
    <row r="2140">
      <c r="A2140" s="1" t="s">
        <v>5540</v>
      </c>
      <c r="B2140" s="2" t="s">
        <v>5541</v>
      </c>
      <c r="C2140" s="1" t="s">
        <v>576</v>
      </c>
      <c r="D2140" s="1" t="s">
        <v>577</v>
      </c>
    </row>
    <row r="2141">
      <c r="A2141" s="1" t="s">
        <v>5542</v>
      </c>
      <c r="B2141" s="2" t="s">
        <v>5544</v>
      </c>
      <c r="C2141" s="1" t="s">
        <v>576</v>
      </c>
      <c r="D2141" s="1" t="s">
        <v>577</v>
      </c>
    </row>
    <row r="2142">
      <c r="A2142" s="1" t="s">
        <v>5545</v>
      </c>
      <c r="B2142" s="2" t="s">
        <v>5375</v>
      </c>
      <c r="C2142" s="1" t="s">
        <v>576</v>
      </c>
      <c r="D2142" s="1" t="s">
        <v>577</v>
      </c>
    </row>
    <row r="2143">
      <c r="A2143" s="1" t="s">
        <v>5548</v>
      </c>
      <c r="B2143" s="2" t="s">
        <v>5549</v>
      </c>
      <c r="C2143" s="1" t="s">
        <v>576</v>
      </c>
      <c r="D2143" s="1" t="s">
        <v>577</v>
      </c>
    </row>
    <row r="2144">
      <c r="A2144" s="1" t="s">
        <v>5550</v>
      </c>
      <c r="B2144" s="2" t="s">
        <v>5551</v>
      </c>
      <c r="C2144" s="1" t="s">
        <v>576</v>
      </c>
      <c r="D2144" s="1" t="s">
        <v>577</v>
      </c>
    </row>
    <row r="2145">
      <c r="A2145" s="1" t="s">
        <v>5552</v>
      </c>
      <c r="B2145" s="2" t="s">
        <v>5416</v>
      </c>
      <c r="C2145" s="1" t="s">
        <v>576</v>
      </c>
      <c r="D2145" s="1" t="s">
        <v>577</v>
      </c>
    </row>
    <row r="2146">
      <c r="A2146" s="1" t="s">
        <v>5554</v>
      </c>
      <c r="B2146" s="2" t="s">
        <v>5555</v>
      </c>
      <c r="C2146" s="1" t="s">
        <v>576</v>
      </c>
      <c r="D2146" s="1" t="s">
        <v>577</v>
      </c>
    </row>
    <row r="2147">
      <c r="A2147" s="1" t="s">
        <v>5558</v>
      </c>
      <c r="B2147" s="2" t="s">
        <v>5559</v>
      </c>
      <c r="C2147" s="1" t="s">
        <v>576</v>
      </c>
      <c r="D2147" s="1" t="s">
        <v>577</v>
      </c>
    </row>
    <row r="2148">
      <c r="A2148" s="1" t="s">
        <v>5560</v>
      </c>
      <c r="B2148" s="2" t="s">
        <v>5270</v>
      </c>
      <c r="C2148" s="1" t="s">
        <v>576</v>
      </c>
      <c r="D2148" s="1" t="s">
        <v>577</v>
      </c>
    </row>
    <row r="2149">
      <c r="A2149" s="1" t="s">
        <v>5562</v>
      </c>
      <c r="B2149" s="2" t="s">
        <v>5528</v>
      </c>
      <c r="C2149" s="1" t="s">
        <v>576</v>
      </c>
      <c r="D2149" s="1" t="s">
        <v>577</v>
      </c>
    </row>
    <row r="2150">
      <c r="A2150" s="1" t="s">
        <v>5565</v>
      </c>
      <c r="B2150" s="2" t="s">
        <v>5532</v>
      </c>
      <c r="C2150" s="1" t="s">
        <v>576</v>
      </c>
      <c r="D2150" s="1" t="s">
        <v>577</v>
      </c>
    </row>
    <row r="2151">
      <c r="A2151" s="1" t="s">
        <v>591</v>
      </c>
      <c r="B2151" s="2" t="s">
        <v>7</v>
      </c>
      <c r="C2151" s="1" t="s">
        <v>593</v>
      </c>
      <c r="D2151" s="1" t="s">
        <v>594</v>
      </c>
    </row>
    <row r="2152">
      <c r="A2152" s="1" t="s">
        <v>5567</v>
      </c>
      <c r="B2152" s="2" t="s">
        <v>5569</v>
      </c>
      <c r="C2152" s="1" t="s">
        <v>593</v>
      </c>
      <c r="D2152" s="1" t="s">
        <v>594</v>
      </c>
    </row>
    <row r="2153">
      <c r="A2153" s="1" t="s">
        <v>5571</v>
      </c>
      <c r="B2153" s="2" t="s">
        <v>5573</v>
      </c>
      <c r="C2153" s="1" t="s">
        <v>593</v>
      </c>
      <c r="D2153" s="1" t="s">
        <v>594</v>
      </c>
    </row>
    <row r="2154">
      <c r="A2154" s="1" t="s">
        <v>5574</v>
      </c>
      <c r="B2154" s="2" t="s">
        <v>5575</v>
      </c>
      <c r="C2154" s="1" t="s">
        <v>593</v>
      </c>
      <c r="D2154" s="1" t="s">
        <v>594</v>
      </c>
    </row>
    <row r="2155">
      <c r="A2155" s="1" t="s">
        <v>5576</v>
      </c>
      <c r="B2155" s="2" t="s">
        <v>5577</v>
      </c>
      <c r="C2155" s="1" t="s">
        <v>593</v>
      </c>
      <c r="D2155" s="1" t="s">
        <v>594</v>
      </c>
    </row>
    <row r="2156">
      <c r="A2156" s="1" t="s">
        <v>585</v>
      </c>
      <c r="B2156" s="2" t="s">
        <v>7</v>
      </c>
      <c r="C2156" s="1" t="s">
        <v>586</v>
      </c>
      <c r="D2156" s="1" t="s">
        <v>587</v>
      </c>
    </row>
    <row r="2157">
      <c r="A2157" s="1" t="s">
        <v>5579</v>
      </c>
      <c r="B2157" s="2" t="s">
        <v>5580</v>
      </c>
      <c r="C2157" s="1" t="s">
        <v>586</v>
      </c>
      <c r="D2157" s="1" t="s">
        <v>587</v>
      </c>
    </row>
    <row r="2158">
      <c r="A2158" s="1" t="s">
        <v>5581</v>
      </c>
      <c r="B2158" s="2" t="s">
        <v>5582</v>
      </c>
      <c r="C2158" s="1" t="s">
        <v>586</v>
      </c>
      <c r="D2158" s="1" t="s">
        <v>587</v>
      </c>
    </row>
    <row r="2159">
      <c r="A2159" s="1" t="s">
        <v>5583</v>
      </c>
      <c r="B2159" s="2" t="s">
        <v>5584</v>
      </c>
      <c r="C2159" s="1" t="s">
        <v>586</v>
      </c>
      <c r="D2159" s="1" t="s">
        <v>587</v>
      </c>
    </row>
    <row r="2160">
      <c r="A2160" s="1" t="s">
        <v>5585</v>
      </c>
      <c r="B2160" s="2" t="s">
        <v>5577</v>
      </c>
      <c r="C2160" s="1" t="s">
        <v>586</v>
      </c>
      <c r="D2160" s="1" t="s">
        <v>587</v>
      </c>
    </row>
    <row r="2161">
      <c r="A2161" s="1" t="s">
        <v>600</v>
      </c>
      <c r="B2161" s="2" t="s">
        <v>7</v>
      </c>
      <c r="C2161" s="1" t="s">
        <v>602</v>
      </c>
      <c r="D2161" s="1" t="s">
        <v>603</v>
      </c>
    </row>
    <row r="2162">
      <c r="A2162" s="1" t="s">
        <v>5589</v>
      </c>
      <c r="B2162" s="2" t="s">
        <v>5569</v>
      </c>
      <c r="C2162" s="1" t="s">
        <v>602</v>
      </c>
      <c r="D2162" s="1" t="s">
        <v>603</v>
      </c>
    </row>
    <row r="2163">
      <c r="A2163" s="1" t="s">
        <v>5592</v>
      </c>
      <c r="B2163" s="2" t="s">
        <v>5573</v>
      </c>
      <c r="C2163" s="1" t="s">
        <v>602</v>
      </c>
      <c r="D2163" s="1" t="s">
        <v>603</v>
      </c>
    </row>
    <row r="2164">
      <c r="A2164" s="1" t="s">
        <v>5593</v>
      </c>
      <c r="B2164" s="2" t="s">
        <v>5575</v>
      </c>
      <c r="C2164" s="1" t="s">
        <v>602</v>
      </c>
      <c r="D2164" s="1" t="s">
        <v>603</v>
      </c>
    </row>
    <row r="2165">
      <c r="A2165" s="1" t="s">
        <v>5594</v>
      </c>
      <c r="B2165" s="2" t="s">
        <v>5577</v>
      </c>
      <c r="C2165" s="1" t="s">
        <v>602</v>
      </c>
      <c r="D2165" s="1" t="s">
        <v>603</v>
      </c>
    </row>
    <row r="2166">
      <c r="A2166" s="1" t="s">
        <v>595</v>
      </c>
      <c r="B2166" s="2" t="s">
        <v>7</v>
      </c>
      <c r="C2166" s="1" t="s">
        <v>597</v>
      </c>
      <c r="D2166" s="1" t="s">
        <v>598</v>
      </c>
    </row>
    <row r="2167">
      <c r="A2167" s="1" t="s">
        <v>5598</v>
      </c>
      <c r="B2167" s="2" t="s">
        <v>5580</v>
      </c>
      <c r="C2167" s="1" t="s">
        <v>597</v>
      </c>
      <c r="D2167" s="1" t="s">
        <v>598</v>
      </c>
    </row>
    <row r="2168">
      <c r="A2168" s="1" t="s">
        <v>5600</v>
      </c>
      <c r="B2168" s="2" t="s">
        <v>5582</v>
      </c>
      <c r="C2168" s="1" t="s">
        <v>597</v>
      </c>
      <c r="D2168" s="1" t="s">
        <v>598</v>
      </c>
    </row>
    <row r="2169">
      <c r="A2169" s="1" t="s">
        <v>5602</v>
      </c>
      <c r="B2169" s="2" t="s">
        <v>5584</v>
      </c>
      <c r="C2169" s="1" t="s">
        <v>597</v>
      </c>
      <c r="D2169" s="1" t="s">
        <v>598</v>
      </c>
    </row>
    <row r="2170">
      <c r="A2170" s="1" t="s">
        <v>5605</v>
      </c>
      <c r="B2170" s="2" t="s">
        <v>5577</v>
      </c>
      <c r="C2170" s="1" t="s">
        <v>597</v>
      </c>
      <c r="D2170" s="1" t="s">
        <v>598</v>
      </c>
    </row>
    <row r="2171">
      <c r="A2171" s="1" t="s">
        <v>612</v>
      </c>
      <c r="B2171" s="2" t="s">
        <v>7</v>
      </c>
      <c r="C2171" s="1" t="s">
        <v>613</v>
      </c>
      <c r="D2171" s="1" t="s">
        <v>615</v>
      </c>
    </row>
    <row r="2172">
      <c r="A2172" s="1" t="s">
        <v>5606</v>
      </c>
      <c r="B2172" s="2" t="s">
        <v>5569</v>
      </c>
      <c r="C2172" s="1" t="s">
        <v>613</v>
      </c>
      <c r="D2172" s="1" t="s">
        <v>615</v>
      </c>
    </row>
    <row r="2173">
      <c r="A2173" s="1" t="s">
        <v>5608</v>
      </c>
      <c r="B2173" s="2" t="s">
        <v>5573</v>
      </c>
      <c r="C2173" s="1" t="s">
        <v>613</v>
      </c>
      <c r="D2173" s="1" t="s">
        <v>615</v>
      </c>
    </row>
    <row r="2174">
      <c r="A2174" s="1" t="s">
        <v>5611</v>
      </c>
      <c r="B2174" s="2" t="s">
        <v>5575</v>
      </c>
      <c r="C2174" s="1" t="s">
        <v>613</v>
      </c>
      <c r="D2174" s="1" t="s">
        <v>615</v>
      </c>
    </row>
    <row r="2175">
      <c r="A2175" s="1" t="s">
        <v>5612</v>
      </c>
      <c r="B2175" s="2" t="s">
        <v>5577</v>
      </c>
      <c r="C2175" s="1" t="s">
        <v>613</v>
      </c>
      <c r="D2175" s="1" t="s">
        <v>615</v>
      </c>
    </row>
    <row r="2176">
      <c r="A2176" s="1" t="s">
        <v>606</v>
      </c>
      <c r="B2176" s="2" t="s">
        <v>7</v>
      </c>
      <c r="C2176" s="1" t="s">
        <v>608</v>
      </c>
      <c r="D2176" s="1" t="s">
        <v>609</v>
      </c>
    </row>
    <row r="2177">
      <c r="A2177" s="1" t="s">
        <v>5614</v>
      </c>
      <c r="B2177" s="2" t="s">
        <v>5580</v>
      </c>
      <c r="C2177" s="1" t="s">
        <v>608</v>
      </c>
      <c r="D2177" s="1" t="s">
        <v>609</v>
      </c>
    </row>
    <row r="2178">
      <c r="A2178" s="1" t="s">
        <v>5617</v>
      </c>
      <c r="B2178" s="2" t="s">
        <v>5582</v>
      </c>
      <c r="C2178" s="1" t="s">
        <v>608</v>
      </c>
      <c r="D2178" s="1" t="s">
        <v>609</v>
      </c>
    </row>
    <row r="2179">
      <c r="A2179" s="1" t="s">
        <v>5618</v>
      </c>
      <c r="B2179" s="2" t="s">
        <v>5584</v>
      </c>
      <c r="C2179" s="1" t="s">
        <v>608</v>
      </c>
      <c r="D2179" s="1" t="s">
        <v>609</v>
      </c>
    </row>
    <row r="2180">
      <c r="A2180" s="1" t="s">
        <v>5619</v>
      </c>
      <c r="B2180" s="2" t="s">
        <v>5577</v>
      </c>
      <c r="C2180" s="1" t="s">
        <v>608</v>
      </c>
      <c r="D2180" s="1" t="s">
        <v>609</v>
      </c>
    </row>
    <row r="2181">
      <c r="A2181" s="1" t="s">
        <v>624</v>
      </c>
      <c r="B2181" s="2" t="s">
        <v>7</v>
      </c>
      <c r="C2181" s="1" t="s">
        <v>626</v>
      </c>
      <c r="D2181" s="1" t="s">
        <v>627</v>
      </c>
    </row>
    <row r="2182">
      <c r="A2182" s="1" t="s">
        <v>5623</v>
      </c>
      <c r="B2182" s="2" t="s">
        <v>5569</v>
      </c>
      <c r="C2182" s="1" t="s">
        <v>626</v>
      </c>
      <c r="D2182" s="1" t="s">
        <v>627</v>
      </c>
    </row>
    <row r="2183">
      <c r="A2183" s="1" t="s">
        <v>5624</v>
      </c>
      <c r="B2183" s="2" t="s">
        <v>5573</v>
      </c>
      <c r="C2183" s="1" t="s">
        <v>626</v>
      </c>
      <c r="D2183" s="1" t="s">
        <v>627</v>
      </c>
    </row>
    <row r="2184">
      <c r="A2184" s="1" t="s">
        <v>5625</v>
      </c>
      <c r="B2184" s="2" t="s">
        <v>5575</v>
      </c>
      <c r="C2184" s="1" t="s">
        <v>626</v>
      </c>
      <c r="D2184" s="1" t="s">
        <v>627</v>
      </c>
    </row>
    <row r="2185">
      <c r="A2185" s="1" t="s">
        <v>5627</v>
      </c>
      <c r="B2185" s="2" t="s">
        <v>5577</v>
      </c>
      <c r="C2185" s="1" t="s">
        <v>626</v>
      </c>
      <c r="D2185" s="1" t="s">
        <v>627</v>
      </c>
    </row>
    <row r="2186">
      <c r="A2186" s="1" t="s">
        <v>618</v>
      </c>
      <c r="B2186" s="2" t="s">
        <v>7</v>
      </c>
      <c r="C2186" s="1" t="s">
        <v>620</v>
      </c>
      <c r="D2186" s="1" t="s">
        <v>621</v>
      </c>
    </row>
    <row r="2187">
      <c r="A2187" s="1" t="s">
        <v>5630</v>
      </c>
      <c r="B2187" s="2" t="s">
        <v>5580</v>
      </c>
      <c r="C2187" s="1" t="s">
        <v>620</v>
      </c>
      <c r="D2187" s="1" t="s">
        <v>621</v>
      </c>
    </row>
    <row r="2188">
      <c r="A2188" s="1" t="s">
        <v>5631</v>
      </c>
      <c r="B2188" s="2" t="s">
        <v>5582</v>
      </c>
      <c r="C2188" s="1" t="s">
        <v>620</v>
      </c>
      <c r="D2188" s="1" t="s">
        <v>621</v>
      </c>
    </row>
    <row r="2189">
      <c r="A2189" s="1" t="s">
        <v>5633</v>
      </c>
      <c r="B2189" s="2" t="s">
        <v>5584</v>
      </c>
      <c r="C2189" s="1" t="s">
        <v>620</v>
      </c>
      <c r="D2189" s="1" t="s">
        <v>621</v>
      </c>
    </row>
    <row r="2190">
      <c r="A2190" s="1" t="s">
        <v>5636</v>
      </c>
      <c r="B2190" s="2" t="s">
        <v>5577</v>
      </c>
      <c r="C2190" s="1" t="s">
        <v>620</v>
      </c>
      <c r="D2190" s="1" t="s">
        <v>621</v>
      </c>
    </row>
    <row r="2191">
      <c r="A2191" s="1" t="s">
        <v>637</v>
      </c>
      <c r="B2191" s="2" t="s">
        <v>7</v>
      </c>
      <c r="C2191" s="1" t="s">
        <v>638</v>
      </c>
      <c r="D2191" s="1" t="s">
        <v>640</v>
      </c>
    </row>
    <row r="2192">
      <c r="A2192" s="1" t="s">
        <v>5637</v>
      </c>
      <c r="B2192" s="2" t="s">
        <v>5569</v>
      </c>
      <c r="C2192" s="1" t="s">
        <v>638</v>
      </c>
      <c r="D2192" s="1" t="s">
        <v>640</v>
      </c>
    </row>
    <row r="2193">
      <c r="A2193" s="1" t="s">
        <v>5639</v>
      </c>
      <c r="B2193" s="2" t="s">
        <v>5573</v>
      </c>
      <c r="C2193" s="1" t="s">
        <v>638</v>
      </c>
      <c r="D2193" s="1" t="s">
        <v>640</v>
      </c>
    </row>
    <row r="2194">
      <c r="A2194" s="1" t="s">
        <v>5642</v>
      </c>
      <c r="B2194" s="2" t="s">
        <v>5575</v>
      </c>
      <c r="C2194" s="1" t="s">
        <v>638</v>
      </c>
      <c r="D2194" s="1" t="s">
        <v>640</v>
      </c>
    </row>
    <row r="2195">
      <c r="A2195" s="1" t="s">
        <v>5643</v>
      </c>
      <c r="B2195" s="2" t="s">
        <v>5577</v>
      </c>
      <c r="C2195" s="1" t="s">
        <v>638</v>
      </c>
      <c r="D2195" s="1" t="s">
        <v>640</v>
      </c>
    </row>
    <row r="2196">
      <c r="A2196" s="1" t="s">
        <v>630</v>
      </c>
      <c r="B2196" s="2" t="s">
        <v>7</v>
      </c>
      <c r="C2196" s="1" t="s">
        <v>632</v>
      </c>
      <c r="D2196" s="1" t="s">
        <v>633</v>
      </c>
    </row>
    <row r="2197">
      <c r="A2197" s="1" t="s">
        <v>5645</v>
      </c>
      <c r="B2197" s="2" t="s">
        <v>5580</v>
      </c>
      <c r="C2197" s="1" t="s">
        <v>632</v>
      </c>
      <c r="D2197" s="1" t="s">
        <v>633</v>
      </c>
    </row>
    <row r="2198">
      <c r="A2198" s="1" t="s">
        <v>5648</v>
      </c>
      <c r="B2198" s="2" t="s">
        <v>5582</v>
      </c>
      <c r="C2198" s="1" t="s">
        <v>632</v>
      </c>
      <c r="D2198" s="1" t="s">
        <v>633</v>
      </c>
    </row>
    <row r="2199">
      <c r="A2199" s="1" t="s">
        <v>5649</v>
      </c>
      <c r="B2199" s="2" t="s">
        <v>5584</v>
      </c>
      <c r="C2199" s="1" t="s">
        <v>632</v>
      </c>
      <c r="D2199" s="1" t="s">
        <v>633</v>
      </c>
    </row>
    <row r="2200">
      <c r="A2200" s="1" t="s">
        <v>5650</v>
      </c>
      <c r="B2200" s="2" t="s">
        <v>5577</v>
      </c>
      <c r="C2200" s="1" t="s">
        <v>632</v>
      </c>
      <c r="D2200" s="1" t="s">
        <v>633</v>
      </c>
    </row>
    <row r="2201">
      <c r="A2201" s="1" t="s">
        <v>648</v>
      </c>
      <c r="B2201" s="2" t="s">
        <v>7</v>
      </c>
      <c r="C2201" s="1" t="s">
        <v>650</v>
      </c>
      <c r="D2201" s="1" t="s">
        <v>651</v>
      </c>
    </row>
    <row r="2202">
      <c r="A2202" s="1" t="s">
        <v>5654</v>
      </c>
      <c r="B2202" s="2" t="s">
        <v>5569</v>
      </c>
      <c r="C2202" s="1" t="s">
        <v>650</v>
      </c>
      <c r="D2202" s="1" t="s">
        <v>651</v>
      </c>
    </row>
    <row r="2203">
      <c r="A2203" s="1" t="s">
        <v>5655</v>
      </c>
      <c r="B2203" s="2" t="s">
        <v>5573</v>
      </c>
      <c r="C2203" s="1" t="s">
        <v>650</v>
      </c>
      <c r="D2203" s="1" t="s">
        <v>651</v>
      </c>
    </row>
    <row r="2204">
      <c r="A2204" s="1" t="s">
        <v>5657</v>
      </c>
      <c r="B2204" s="2" t="s">
        <v>5575</v>
      </c>
      <c r="C2204" s="1" t="s">
        <v>650</v>
      </c>
      <c r="D2204" s="1" t="s">
        <v>651</v>
      </c>
    </row>
    <row r="2205">
      <c r="A2205" s="1" t="s">
        <v>5660</v>
      </c>
      <c r="B2205" s="2" t="s">
        <v>5577</v>
      </c>
      <c r="C2205" s="1" t="s">
        <v>650</v>
      </c>
      <c r="D2205" s="1" t="s">
        <v>651</v>
      </c>
    </row>
    <row r="2206">
      <c r="A2206" s="1" t="s">
        <v>643</v>
      </c>
      <c r="B2206" s="2" t="s">
        <v>7</v>
      </c>
      <c r="C2206" s="1" t="s">
        <v>644</v>
      </c>
      <c r="D2206" s="1" t="s">
        <v>645</v>
      </c>
    </row>
    <row r="2207">
      <c r="A2207" s="1" t="s">
        <v>5663</v>
      </c>
      <c r="B2207" s="2" t="s">
        <v>5580</v>
      </c>
      <c r="C2207" s="1" t="s">
        <v>644</v>
      </c>
      <c r="D2207" s="1" t="s">
        <v>645</v>
      </c>
    </row>
    <row r="2208">
      <c r="A2208" s="1" t="s">
        <v>5665</v>
      </c>
      <c r="B2208" s="2" t="s">
        <v>5582</v>
      </c>
      <c r="C2208" s="1" t="s">
        <v>644</v>
      </c>
      <c r="D2208" s="1" t="s">
        <v>645</v>
      </c>
    </row>
    <row r="2209">
      <c r="A2209" s="1" t="s">
        <v>5666</v>
      </c>
      <c r="B2209" s="2" t="s">
        <v>5584</v>
      </c>
      <c r="C2209" s="1" t="s">
        <v>644</v>
      </c>
      <c r="D2209" s="1" t="s">
        <v>645</v>
      </c>
    </row>
    <row r="2210">
      <c r="A2210" s="1" t="s">
        <v>5668</v>
      </c>
      <c r="B2210" s="2" t="s">
        <v>5577</v>
      </c>
      <c r="C2210" s="1" t="s">
        <v>644</v>
      </c>
      <c r="D2210" s="1" t="s">
        <v>645</v>
      </c>
    </row>
    <row r="2211">
      <c r="A2211" s="1" t="s">
        <v>658</v>
      </c>
      <c r="B2211" s="2" t="s">
        <v>7</v>
      </c>
      <c r="C2211" s="1" t="s">
        <v>660</v>
      </c>
      <c r="D2211" s="1" t="s">
        <v>661</v>
      </c>
    </row>
    <row r="2212">
      <c r="A2212" s="1" t="s">
        <v>5671</v>
      </c>
      <c r="B2212" s="2" t="s">
        <v>5569</v>
      </c>
      <c r="C2212" s="1" t="s">
        <v>660</v>
      </c>
      <c r="D2212" s="1" t="s">
        <v>661</v>
      </c>
    </row>
    <row r="2213">
      <c r="A2213" s="1" t="s">
        <v>5673</v>
      </c>
      <c r="B2213" s="2" t="s">
        <v>5573</v>
      </c>
      <c r="C2213" s="1" t="s">
        <v>660</v>
      </c>
      <c r="D2213" s="1" t="s">
        <v>661</v>
      </c>
    </row>
    <row r="2214">
      <c r="A2214" s="1" t="s">
        <v>5676</v>
      </c>
      <c r="B2214" s="2" t="s">
        <v>5575</v>
      </c>
      <c r="C2214" s="1" t="s">
        <v>660</v>
      </c>
      <c r="D2214" s="1" t="s">
        <v>661</v>
      </c>
    </row>
    <row r="2215">
      <c r="A2215" s="1" t="s">
        <v>5677</v>
      </c>
      <c r="B2215" s="2" t="s">
        <v>5577</v>
      </c>
      <c r="C2215" s="1" t="s">
        <v>660</v>
      </c>
      <c r="D2215" s="1" t="s">
        <v>661</v>
      </c>
    </row>
    <row r="2216">
      <c r="A2216" s="1" t="s">
        <v>653</v>
      </c>
      <c r="B2216" s="2" t="s">
        <v>7</v>
      </c>
      <c r="C2216" s="1" t="s">
        <v>655</v>
      </c>
      <c r="D2216" s="1" t="s">
        <v>656</v>
      </c>
    </row>
    <row r="2217">
      <c r="A2217" s="1" t="s">
        <v>5680</v>
      </c>
      <c r="B2217" s="2" t="s">
        <v>5580</v>
      </c>
      <c r="C2217" s="1" t="s">
        <v>655</v>
      </c>
      <c r="D2217" s="1" t="s">
        <v>656</v>
      </c>
    </row>
    <row r="2218">
      <c r="A2218" s="1" t="s">
        <v>5682</v>
      </c>
      <c r="B2218" s="2" t="s">
        <v>5582</v>
      </c>
      <c r="C2218" s="1" t="s">
        <v>655</v>
      </c>
      <c r="D2218" s="1" t="s">
        <v>656</v>
      </c>
    </row>
    <row r="2219">
      <c r="A2219" s="1" t="s">
        <v>5683</v>
      </c>
      <c r="B2219" s="2" t="s">
        <v>5584</v>
      </c>
      <c r="C2219" s="1" t="s">
        <v>655</v>
      </c>
      <c r="D2219" s="1" t="s">
        <v>656</v>
      </c>
    </row>
    <row r="2220">
      <c r="A2220" s="1" t="s">
        <v>5685</v>
      </c>
      <c r="B2220" s="2" t="s">
        <v>5577</v>
      </c>
      <c r="C2220" s="1" t="s">
        <v>655</v>
      </c>
      <c r="D2220" s="1" t="s">
        <v>656</v>
      </c>
    </row>
    <row r="2221">
      <c r="A2221" s="1" t="s">
        <v>676</v>
      </c>
      <c r="B2221" s="2" t="s">
        <v>7</v>
      </c>
      <c r="C2221" s="1" t="s">
        <v>678</v>
      </c>
      <c r="D2221" s="1" t="s">
        <v>679</v>
      </c>
    </row>
    <row r="2222">
      <c r="A2222" s="1" t="s">
        <v>5688</v>
      </c>
      <c r="B2222" s="2" t="s">
        <v>5569</v>
      </c>
      <c r="C2222" s="1" t="s">
        <v>678</v>
      </c>
      <c r="D2222" s="1" t="s">
        <v>679</v>
      </c>
    </row>
    <row r="2223">
      <c r="A2223" s="1" t="s">
        <v>5689</v>
      </c>
      <c r="B2223" s="2" t="s">
        <v>5573</v>
      </c>
      <c r="C2223" s="1" t="s">
        <v>678</v>
      </c>
      <c r="D2223" s="1" t="s">
        <v>679</v>
      </c>
    </row>
    <row r="2224">
      <c r="A2224" s="1" t="s">
        <v>5691</v>
      </c>
      <c r="B2224" s="2" t="s">
        <v>5575</v>
      </c>
      <c r="C2224" s="1" t="s">
        <v>678</v>
      </c>
      <c r="D2224" s="1" t="s">
        <v>679</v>
      </c>
    </row>
    <row r="2225">
      <c r="A2225" s="1" t="s">
        <v>5694</v>
      </c>
      <c r="B2225" s="2" t="s">
        <v>5577</v>
      </c>
      <c r="C2225" s="1" t="s">
        <v>678</v>
      </c>
      <c r="D2225" s="1" t="s">
        <v>679</v>
      </c>
    </row>
    <row r="2226">
      <c r="A2226" s="1" t="s">
        <v>664</v>
      </c>
      <c r="B2226" s="2" t="s">
        <v>7</v>
      </c>
      <c r="C2226" s="1" t="s">
        <v>666</v>
      </c>
      <c r="D2226" s="1" t="s">
        <v>667</v>
      </c>
    </row>
    <row r="2227">
      <c r="A2227" s="1" t="s">
        <v>5695</v>
      </c>
      <c r="B2227" s="2" t="s">
        <v>5580</v>
      </c>
      <c r="C2227" s="1" t="s">
        <v>666</v>
      </c>
      <c r="D2227" s="1" t="s">
        <v>667</v>
      </c>
    </row>
    <row r="2228">
      <c r="A2228" s="1" t="s">
        <v>5697</v>
      </c>
      <c r="B2228" s="2" t="s">
        <v>5582</v>
      </c>
      <c r="C2228" s="1" t="s">
        <v>666</v>
      </c>
      <c r="D2228" s="1" t="s">
        <v>667</v>
      </c>
    </row>
    <row r="2229">
      <c r="A2229" s="1" t="s">
        <v>5699</v>
      </c>
      <c r="B2229" s="2" t="s">
        <v>5584</v>
      </c>
      <c r="C2229" s="1" t="s">
        <v>666</v>
      </c>
      <c r="D2229" s="1" t="s">
        <v>667</v>
      </c>
    </row>
    <row r="2230">
      <c r="A2230" s="1" t="s">
        <v>5700</v>
      </c>
      <c r="B2230" s="2" t="s">
        <v>5577</v>
      </c>
      <c r="C2230" s="1" t="s">
        <v>666</v>
      </c>
      <c r="D2230" s="1" t="s">
        <v>667</v>
      </c>
    </row>
    <row r="2231">
      <c r="A2231" s="1" t="s">
        <v>692</v>
      </c>
      <c r="B2231" s="2" t="s">
        <v>7</v>
      </c>
      <c r="C2231" s="1" t="s">
        <v>695</v>
      </c>
      <c r="D2231" s="1" t="s">
        <v>696</v>
      </c>
    </row>
    <row r="2232">
      <c r="A2232" s="1" t="s">
        <v>5704</v>
      </c>
      <c r="B2232" s="2" t="s">
        <v>5569</v>
      </c>
      <c r="C2232" s="1" t="s">
        <v>695</v>
      </c>
      <c r="D2232" s="1" t="s">
        <v>696</v>
      </c>
    </row>
    <row r="2233">
      <c r="A2233" s="1" t="s">
        <v>5705</v>
      </c>
      <c r="B2233" s="2" t="s">
        <v>5573</v>
      </c>
      <c r="C2233" s="1" t="s">
        <v>695</v>
      </c>
      <c r="D2233" s="1" t="s">
        <v>696</v>
      </c>
    </row>
    <row r="2234">
      <c r="A2234" s="1" t="s">
        <v>5706</v>
      </c>
      <c r="B2234" s="2" t="s">
        <v>5575</v>
      </c>
      <c r="C2234" s="1" t="s">
        <v>695</v>
      </c>
      <c r="D2234" s="1" t="s">
        <v>696</v>
      </c>
    </row>
    <row r="2235">
      <c r="A2235" s="1" t="s">
        <v>5708</v>
      </c>
      <c r="B2235" s="2" t="s">
        <v>5577</v>
      </c>
      <c r="C2235" s="1" t="s">
        <v>695</v>
      </c>
      <c r="D2235" s="1" t="s">
        <v>696</v>
      </c>
    </row>
    <row r="2236">
      <c r="A2236" s="1" t="s">
        <v>683</v>
      </c>
      <c r="B2236" s="2" t="s">
        <v>7</v>
      </c>
      <c r="C2236" s="1" t="s">
        <v>686</v>
      </c>
      <c r="D2236" s="1" t="s">
        <v>687</v>
      </c>
    </row>
    <row r="2237">
      <c r="A2237" s="1" t="s">
        <v>5710</v>
      </c>
      <c r="B2237" s="2" t="s">
        <v>5580</v>
      </c>
      <c r="C2237" s="1" t="s">
        <v>686</v>
      </c>
      <c r="D2237" s="1" t="s">
        <v>687</v>
      </c>
    </row>
    <row r="2238">
      <c r="A2238" s="1" t="s">
        <v>5712</v>
      </c>
      <c r="B2238" s="2" t="s">
        <v>5582</v>
      </c>
      <c r="C2238" s="1" t="s">
        <v>686</v>
      </c>
      <c r="D2238" s="1" t="s">
        <v>687</v>
      </c>
    </row>
    <row r="2239">
      <c r="A2239" s="1" t="s">
        <v>5715</v>
      </c>
      <c r="B2239" s="2" t="s">
        <v>5584</v>
      </c>
      <c r="C2239" s="1" t="s">
        <v>686</v>
      </c>
      <c r="D2239" s="1" t="s">
        <v>687</v>
      </c>
    </row>
    <row r="2240">
      <c r="A2240" s="1" t="s">
        <v>5716</v>
      </c>
      <c r="B2240" s="2" t="s">
        <v>5577</v>
      </c>
      <c r="C2240" s="1" t="s">
        <v>686</v>
      </c>
      <c r="D2240" s="1" t="s">
        <v>687</v>
      </c>
    </row>
    <row r="2241">
      <c r="A2241" s="1" t="s">
        <v>714</v>
      </c>
      <c r="B2241" s="2" t="s">
        <v>7</v>
      </c>
      <c r="C2241" s="1" t="s">
        <v>716</v>
      </c>
      <c r="D2241" s="1" t="s">
        <v>718</v>
      </c>
    </row>
    <row r="2242">
      <c r="A2242" s="1" t="s">
        <v>5720</v>
      </c>
      <c r="B2242" s="2" t="s">
        <v>5721</v>
      </c>
      <c r="C2242" s="1" t="s">
        <v>716</v>
      </c>
      <c r="D2242" s="1" t="s">
        <v>718</v>
      </c>
    </row>
    <row r="2243">
      <c r="A2243" s="1" t="s">
        <v>5722</v>
      </c>
      <c r="B2243" s="2" t="s">
        <v>5723</v>
      </c>
      <c r="C2243" s="1" t="s">
        <v>716</v>
      </c>
      <c r="D2243" s="1" t="s">
        <v>718</v>
      </c>
    </row>
    <row r="2244">
      <c r="A2244" s="1" t="s">
        <v>5726</v>
      </c>
      <c r="B2244" s="2" t="s">
        <v>5728</v>
      </c>
      <c r="C2244" s="1" t="s">
        <v>716</v>
      </c>
      <c r="D2244" s="1" t="s">
        <v>718</v>
      </c>
    </row>
    <row r="2245">
      <c r="A2245" s="1" t="s">
        <v>5729</v>
      </c>
      <c r="B2245" s="2" t="s">
        <v>5730</v>
      </c>
      <c r="C2245" s="1" t="s">
        <v>716</v>
      </c>
      <c r="D2245" s="1" t="s">
        <v>718</v>
      </c>
    </row>
    <row r="2246">
      <c r="A2246" s="1" t="s">
        <v>5731</v>
      </c>
      <c r="B2246" s="2" t="s">
        <v>5732</v>
      </c>
      <c r="C2246" s="1" t="s">
        <v>716</v>
      </c>
      <c r="D2246" s="1" t="s">
        <v>718</v>
      </c>
    </row>
    <row r="2247">
      <c r="A2247" s="1" t="s">
        <v>5733</v>
      </c>
      <c r="B2247" s="2" t="s">
        <v>5734</v>
      </c>
      <c r="C2247" s="1" t="s">
        <v>716</v>
      </c>
      <c r="D2247" s="1" t="s">
        <v>718</v>
      </c>
    </row>
    <row r="2248">
      <c r="A2248" s="1" t="s">
        <v>5735</v>
      </c>
      <c r="B2248" s="2" t="s">
        <v>5736</v>
      </c>
      <c r="C2248" s="1" t="s">
        <v>716</v>
      </c>
      <c r="D2248" s="1" t="s">
        <v>718</v>
      </c>
    </row>
    <row r="2249">
      <c r="A2249" s="1" t="s">
        <v>5737</v>
      </c>
      <c r="B2249" s="2" t="s">
        <v>5164</v>
      </c>
      <c r="C2249" s="1" t="s">
        <v>716</v>
      </c>
      <c r="D2249" s="1" t="s">
        <v>718</v>
      </c>
    </row>
    <row r="2250">
      <c r="A2250" s="1" t="s">
        <v>5738</v>
      </c>
      <c r="B2250" s="2" t="s">
        <v>5739</v>
      </c>
      <c r="C2250" s="1" t="s">
        <v>716</v>
      </c>
      <c r="D2250" s="1" t="s">
        <v>718</v>
      </c>
    </row>
    <row r="2251">
      <c r="A2251" s="1" t="s">
        <v>5740</v>
      </c>
      <c r="B2251" s="2" t="s">
        <v>5741</v>
      </c>
      <c r="C2251" s="1" t="s">
        <v>716</v>
      </c>
      <c r="D2251" s="1" t="s">
        <v>718</v>
      </c>
    </row>
    <row r="2252">
      <c r="A2252" s="1" t="s">
        <v>5742</v>
      </c>
      <c r="B2252" s="2" t="s">
        <v>5743</v>
      </c>
      <c r="C2252" s="1" t="s">
        <v>716</v>
      </c>
      <c r="D2252" s="1" t="s">
        <v>718</v>
      </c>
    </row>
    <row r="2253">
      <c r="A2253" s="1" t="s">
        <v>5744</v>
      </c>
      <c r="B2253" s="2" t="s">
        <v>5745</v>
      </c>
      <c r="C2253" s="1" t="s">
        <v>716</v>
      </c>
      <c r="D2253" s="1" t="s">
        <v>718</v>
      </c>
    </row>
    <row r="2254">
      <c r="A2254" s="1" t="s">
        <v>5746</v>
      </c>
      <c r="B2254" s="2" t="s">
        <v>5747</v>
      </c>
      <c r="C2254" s="1" t="s">
        <v>716</v>
      </c>
      <c r="D2254" s="1" t="s">
        <v>718</v>
      </c>
    </row>
    <row r="2255">
      <c r="A2255" s="1" t="s">
        <v>5748</v>
      </c>
      <c r="B2255" s="2" t="s">
        <v>5749</v>
      </c>
      <c r="C2255" s="1" t="s">
        <v>716</v>
      </c>
      <c r="D2255" s="1" t="s">
        <v>718</v>
      </c>
    </row>
    <row r="2256">
      <c r="A2256" s="1" t="s">
        <v>5750</v>
      </c>
      <c r="B2256" s="2" t="s">
        <v>5751</v>
      </c>
      <c r="C2256" s="1" t="s">
        <v>716</v>
      </c>
      <c r="D2256" s="1" t="s">
        <v>718</v>
      </c>
    </row>
    <row r="2257">
      <c r="A2257" s="1" t="s">
        <v>5753</v>
      </c>
      <c r="B2257" s="2" t="s">
        <v>5200</v>
      </c>
      <c r="C2257" s="1" t="s">
        <v>716</v>
      </c>
      <c r="D2257" s="1" t="s">
        <v>718</v>
      </c>
    </row>
    <row r="2258">
      <c r="A2258" s="1" t="s">
        <v>5755</v>
      </c>
      <c r="B2258" s="2" t="s">
        <v>5757</v>
      </c>
      <c r="C2258" s="1" t="s">
        <v>716</v>
      </c>
      <c r="D2258" s="1" t="s">
        <v>718</v>
      </c>
    </row>
    <row r="2259">
      <c r="A2259" s="1" t="s">
        <v>5758</v>
      </c>
      <c r="B2259" s="2" t="s">
        <v>5759</v>
      </c>
      <c r="C2259" s="1" t="s">
        <v>716</v>
      </c>
      <c r="D2259" s="1" t="s">
        <v>718</v>
      </c>
    </row>
    <row r="2260">
      <c r="A2260" s="1" t="s">
        <v>5760</v>
      </c>
      <c r="B2260" s="2" t="s">
        <v>5762</v>
      </c>
      <c r="C2260" s="1" t="s">
        <v>716</v>
      </c>
      <c r="D2260" s="1" t="s">
        <v>718</v>
      </c>
    </row>
    <row r="2261">
      <c r="A2261" s="1" t="s">
        <v>5764</v>
      </c>
      <c r="B2261" s="2" t="s">
        <v>5766</v>
      </c>
      <c r="C2261" s="1" t="s">
        <v>716</v>
      </c>
      <c r="D2261" s="1" t="s">
        <v>718</v>
      </c>
    </row>
    <row r="2262">
      <c r="A2262" s="1" t="s">
        <v>5767</v>
      </c>
      <c r="B2262" s="2" t="s">
        <v>5768</v>
      </c>
      <c r="C2262" s="1" t="s">
        <v>716</v>
      </c>
      <c r="D2262" s="1" t="s">
        <v>718</v>
      </c>
    </row>
    <row r="2263">
      <c r="A2263" s="1" t="s">
        <v>5769</v>
      </c>
      <c r="B2263" s="2" t="s">
        <v>5771</v>
      </c>
      <c r="C2263" s="1" t="s">
        <v>716</v>
      </c>
      <c r="D2263" s="1" t="s">
        <v>718</v>
      </c>
    </row>
    <row r="2264">
      <c r="A2264" s="1" t="s">
        <v>5773</v>
      </c>
      <c r="B2264" s="2" t="s">
        <v>5775</v>
      </c>
      <c r="C2264" s="1" t="s">
        <v>716</v>
      </c>
      <c r="D2264" s="1" t="s">
        <v>718</v>
      </c>
    </row>
    <row r="2265">
      <c r="A2265" s="1" t="s">
        <v>5776</v>
      </c>
      <c r="B2265" s="2" t="s">
        <v>5236</v>
      </c>
      <c r="C2265" s="1" t="s">
        <v>716</v>
      </c>
      <c r="D2265" s="1" t="s">
        <v>718</v>
      </c>
    </row>
    <row r="2266">
      <c r="A2266" s="1" t="s">
        <v>5777</v>
      </c>
      <c r="B2266" s="2" t="s">
        <v>5778</v>
      </c>
      <c r="C2266" s="1" t="s">
        <v>716</v>
      </c>
      <c r="D2266" s="1" t="s">
        <v>718</v>
      </c>
    </row>
    <row r="2267">
      <c r="A2267" s="1" t="s">
        <v>5780</v>
      </c>
      <c r="B2267" s="2" t="s">
        <v>5781</v>
      </c>
      <c r="C2267" s="1" t="s">
        <v>716</v>
      </c>
      <c r="D2267" s="1" t="s">
        <v>718</v>
      </c>
    </row>
    <row r="2268">
      <c r="A2268" s="1" t="s">
        <v>5784</v>
      </c>
      <c r="B2268" s="2" t="s">
        <v>5785</v>
      </c>
      <c r="C2268" s="1" t="s">
        <v>716</v>
      </c>
      <c r="D2268" s="1" t="s">
        <v>718</v>
      </c>
    </row>
    <row r="2269">
      <c r="A2269" s="1" t="s">
        <v>5786</v>
      </c>
      <c r="B2269" s="2" t="s">
        <v>5787</v>
      </c>
      <c r="C2269" s="1" t="s">
        <v>716</v>
      </c>
      <c r="D2269" s="1" t="s">
        <v>718</v>
      </c>
    </row>
    <row r="2270">
      <c r="A2270" s="1" t="s">
        <v>5789</v>
      </c>
      <c r="B2270" s="2" t="s">
        <v>5790</v>
      </c>
      <c r="C2270" s="1" t="s">
        <v>716</v>
      </c>
      <c r="D2270" s="1" t="s">
        <v>718</v>
      </c>
    </row>
    <row r="2271">
      <c r="A2271" s="1" t="s">
        <v>5793</v>
      </c>
      <c r="B2271" s="2" t="s">
        <v>5794</v>
      </c>
      <c r="C2271" s="1" t="s">
        <v>716</v>
      </c>
      <c r="D2271" s="1" t="s">
        <v>718</v>
      </c>
    </row>
    <row r="2272">
      <c r="A2272" s="1" t="s">
        <v>5795</v>
      </c>
      <c r="B2272" s="2" t="s">
        <v>5796</v>
      </c>
      <c r="C2272" s="1" t="s">
        <v>716</v>
      </c>
      <c r="D2272" s="1" t="s">
        <v>718</v>
      </c>
    </row>
    <row r="2273">
      <c r="A2273" s="1" t="s">
        <v>5798</v>
      </c>
      <c r="B2273" s="2" t="s">
        <v>5270</v>
      </c>
      <c r="C2273" s="1" t="s">
        <v>716</v>
      </c>
      <c r="D2273" s="1" t="s">
        <v>718</v>
      </c>
    </row>
    <row r="2274">
      <c r="A2274" s="1" t="s">
        <v>5801</v>
      </c>
      <c r="B2274" s="2" t="s">
        <v>5802</v>
      </c>
      <c r="C2274" s="1" t="s">
        <v>716</v>
      </c>
      <c r="D2274" s="1" t="s">
        <v>718</v>
      </c>
    </row>
    <row r="2275">
      <c r="A2275" s="1" t="s">
        <v>5803</v>
      </c>
      <c r="B2275" s="2" t="s">
        <v>5804</v>
      </c>
      <c r="C2275" s="1" t="s">
        <v>716</v>
      </c>
      <c r="D2275" s="1" t="s">
        <v>718</v>
      </c>
    </row>
    <row r="2276">
      <c r="A2276" s="1" t="s">
        <v>5806</v>
      </c>
      <c r="B2276" s="2" t="s">
        <v>5807</v>
      </c>
      <c r="C2276" s="1" t="s">
        <v>716</v>
      </c>
      <c r="D2276" s="1" t="s">
        <v>718</v>
      </c>
    </row>
    <row r="2277">
      <c r="A2277" s="1" t="s">
        <v>5810</v>
      </c>
      <c r="B2277" s="2" t="s">
        <v>5811</v>
      </c>
      <c r="C2277" s="1" t="s">
        <v>716</v>
      </c>
      <c r="D2277" s="1" t="s">
        <v>718</v>
      </c>
    </row>
    <row r="2278">
      <c r="A2278" s="1" t="s">
        <v>5812</v>
      </c>
      <c r="B2278" s="2" t="s">
        <v>5813</v>
      </c>
      <c r="C2278" s="1" t="s">
        <v>716</v>
      </c>
      <c r="D2278" s="1" t="s">
        <v>718</v>
      </c>
    </row>
    <row r="2279">
      <c r="A2279" s="1" t="s">
        <v>5815</v>
      </c>
      <c r="B2279" s="2" t="s">
        <v>5816</v>
      </c>
      <c r="C2279" s="1" t="s">
        <v>716</v>
      </c>
      <c r="D2279" s="1" t="s">
        <v>718</v>
      </c>
    </row>
    <row r="2280">
      <c r="A2280" s="1" t="s">
        <v>5818</v>
      </c>
      <c r="B2280" s="2" t="s">
        <v>5820</v>
      </c>
      <c r="C2280" s="1" t="s">
        <v>716</v>
      </c>
      <c r="D2280" s="1" t="s">
        <v>718</v>
      </c>
    </row>
    <row r="2281">
      <c r="A2281" s="1" t="s">
        <v>701</v>
      </c>
      <c r="B2281" s="2" t="s">
        <v>7</v>
      </c>
      <c r="C2281" s="1" t="s">
        <v>706</v>
      </c>
      <c r="D2281" s="1" t="s">
        <v>707</v>
      </c>
    </row>
    <row r="2282">
      <c r="A2282" s="1" t="s">
        <v>5821</v>
      </c>
      <c r="B2282" s="2" t="s">
        <v>5721</v>
      </c>
      <c r="C2282" s="1" t="s">
        <v>706</v>
      </c>
      <c r="D2282" s="1" t="s">
        <v>707</v>
      </c>
    </row>
    <row r="2283">
      <c r="A2283" s="1" t="s">
        <v>5824</v>
      </c>
      <c r="B2283" s="2" t="s">
        <v>5723</v>
      </c>
      <c r="C2283" s="1" t="s">
        <v>706</v>
      </c>
      <c r="D2283" s="1" t="s">
        <v>707</v>
      </c>
    </row>
    <row r="2284">
      <c r="A2284" s="1" t="s">
        <v>5826</v>
      </c>
      <c r="B2284" s="2" t="s">
        <v>5728</v>
      </c>
      <c r="C2284" s="1" t="s">
        <v>706</v>
      </c>
      <c r="D2284" s="1" t="s">
        <v>707</v>
      </c>
    </row>
    <row r="2285">
      <c r="A2285" s="1" t="s">
        <v>5827</v>
      </c>
      <c r="B2285" s="2" t="s">
        <v>5730</v>
      </c>
      <c r="C2285" s="1" t="s">
        <v>706</v>
      </c>
      <c r="D2285" s="1" t="s">
        <v>707</v>
      </c>
    </row>
    <row r="2286">
      <c r="A2286" s="1" t="s">
        <v>5829</v>
      </c>
      <c r="B2286" s="2" t="s">
        <v>5732</v>
      </c>
      <c r="C2286" s="1" t="s">
        <v>706</v>
      </c>
      <c r="D2286" s="1" t="s">
        <v>707</v>
      </c>
    </row>
    <row r="2287">
      <c r="A2287" s="1" t="s">
        <v>5832</v>
      </c>
      <c r="B2287" s="2" t="s">
        <v>5734</v>
      </c>
      <c r="C2287" s="1" t="s">
        <v>706</v>
      </c>
      <c r="D2287" s="1" t="s">
        <v>707</v>
      </c>
    </row>
    <row r="2288">
      <c r="A2288" s="1" t="s">
        <v>5833</v>
      </c>
      <c r="B2288" s="2" t="s">
        <v>5736</v>
      </c>
      <c r="C2288" s="1" t="s">
        <v>706</v>
      </c>
      <c r="D2288" s="1" t="s">
        <v>707</v>
      </c>
    </row>
    <row r="2289">
      <c r="A2289" s="1" t="s">
        <v>5835</v>
      </c>
      <c r="B2289" s="2" t="s">
        <v>5336</v>
      </c>
      <c r="C2289" s="1" t="s">
        <v>706</v>
      </c>
      <c r="D2289" s="1" t="s">
        <v>707</v>
      </c>
    </row>
    <row r="2290">
      <c r="A2290" s="1" t="s">
        <v>5837</v>
      </c>
      <c r="B2290" s="2" t="s">
        <v>5838</v>
      </c>
      <c r="C2290" s="1" t="s">
        <v>706</v>
      </c>
      <c r="D2290" s="1" t="s">
        <v>707</v>
      </c>
    </row>
    <row r="2291">
      <c r="A2291" s="1" t="s">
        <v>5839</v>
      </c>
      <c r="B2291" s="2" t="s">
        <v>5840</v>
      </c>
      <c r="C2291" s="1" t="s">
        <v>706</v>
      </c>
      <c r="D2291" s="1" t="s">
        <v>707</v>
      </c>
    </row>
    <row r="2292">
      <c r="A2292" s="1" t="s">
        <v>5841</v>
      </c>
      <c r="B2292" s="2" t="s">
        <v>5843</v>
      </c>
      <c r="C2292" s="1" t="s">
        <v>706</v>
      </c>
      <c r="D2292" s="1" t="s">
        <v>707</v>
      </c>
    </row>
    <row r="2293">
      <c r="A2293" s="1" t="s">
        <v>5845</v>
      </c>
      <c r="B2293" s="2" t="s">
        <v>5847</v>
      </c>
      <c r="C2293" s="1" t="s">
        <v>706</v>
      </c>
      <c r="D2293" s="1" t="s">
        <v>707</v>
      </c>
    </row>
    <row r="2294">
      <c r="A2294" s="1" t="s">
        <v>5848</v>
      </c>
      <c r="B2294" s="2" t="s">
        <v>5849</v>
      </c>
      <c r="C2294" s="1" t="s">
        <v>706</v>
      </c>
      <c r="D2294" s="1" t="s">
        <v>707</v>
      </c>
    </row>
    <row r="2295">
      <c r="A2295" s="1" t="s">
        <v>5850</v>
      </c>
      <c r="B2295" s="2" t="s">
        <v>5852</v>
      </c>
      <c r="C2295" s="1" t="s">
        <v>706</v>
      </c>
      <c r="D2295" s="1" t="s">
        <v>707</v>
      </c>
    </row>
    <row r="2296">
      <c r="A2296" s="1" t="s">
        <v>5854</v>
      </c>
      <c r="B2296" s="2" t="s">
        <v>5856</v>
      </c>
      <c r="C2296" s="1" t="s">
        <v>706</v>
      </c>
      <c r="D2296" s="1" t="s">
        <v>707</v>
      </c>
    </row>
    <row r="2297">
      <c r="A2297" s="1" t="s">
        <v>5857</v>
      </c>
      <c r="B2297" s="2" t="s">
        <v>5375</v>
      </c>
      <c r="C2297" s="1" t="s">
        <v>706</v>
      </c>
      <c r="D2297" s="1" t="s">
        <v>707</v>
      </c>
    </row>
    <row r="2298">
      <c r="A2298" s="1" t="s">
        <v>5858</v>
      </c>
      <c r="B2298" s="2" t="s">
        <v>5860</v>
      </c>
      <c r="C2298" s="1" t="s">
        <v>706</v>
      </c>
      <c r="D2298" s="1" t="s">
        <v>707</v>
      </c>
    </row>
    <row r="2299">
      <c r="A2299" s="1" t="s">
        <v>5862</v>
      </c>
      <c r="B2299" s="2" t="s">
        <v>5864</v>
      </c>
      <c r="C2299" s="1" t="s">
        <v>706</v>
      </c>
      <c r="D2299" s="1" t="s">
        <v>707</v>
      </c>
    </row>
    <row r="2300">
      <c r="A2300" s="1" t="s">
        <v>5865</v>
      </c>
      <c r="B2300" s="2" t="s">
        <v>5866</v>
      </c>
      <c r="C2300" s="1" t="s">
        <v>706</v>
      </c>
      <c r="D2300" s="1" t="s">
        <v>707</v>
      </c>
    </row>
    <row r="2301">
      <c r="A2301" s="1" t="s">
        <v>5867</v>
      </c>
      <c r="B2301" s="2" t="s">
        <v>5869</v>
      </c>
      <c r="C2301" s="1" t="s">
        <v>706</v>
      </c>
      <c r="D2301" s="1" t="s">
        <v>707</v>
      </c>
    </row>
    <row r="2302">
      <c r="A2302" s="1" t="s">
        <v>5872</v>
      </c>
      <c r="B2302" s="2" t="s">
        <v>5873</v>
      </c>
      <c r="C2302" s="1" t="s">
        <v>706</v>
      </c>
      <c r="D2302" s="1" t="s">
        <v>707</v>
      </c>
    </row>
    <row r="2303">
      <c r="A2303" s="1" t="s">
        <v>5874</v>
      </c>
      <c r="B2303" s="2" t="s">
        <v>5875</v>
      </c>
      <c r="C2303" s="1" t="s">
        <v>706</v>
      </c>
      <c r="D2303" s="1" t="s">
        <v>707</v>
      </c>
    </row>
    <row r="2304">
      <c r="A2304" s="1" t="s">
        <v>5877</v>
      </c>
      <c r="B2304" s="2" t="s">
        <v>5878</v>
      </c>
      <c r="C2304" s="1" t="s">
        <v>706</v>
      </c>
      <c r="D2304" s="1" t="s">
        <v>707</v>
      </c>
    </row>
    <row r="2305">
      <c r="A2305" s="1" t="s">
        <v>5881</v>
      </c>
      <c r="B2305" s="2" t="s">
        <v>5416</v>
      </c>
      <c r="C2305" s="1" t="s">
        <v>706</v>
      </c>
      <c r="D2305" s="1" t="s">
        <v>707</v>
      </c>
    </row>
    <row r="2306">
      <c r="A2306" s="1" t="s">
        <v>5882</v>
      </c>
      <c r="B2306" s="2" t="s">
        <v>5883</v>
      </c>
      <c r="C2306" s="1" t="s">
        <v>706</v>
      </c>
      <c r="D2306" s="1" t="s">
        <v>707</v>
      </c>
    </row>
    <row r="2307">
      <c r="A2307" s="1" t="s">
        <v>5885</v>
      </c>
      <c r="B2307" s="2" t="s">
        <v>5887</v>
      </c>
      <c r="C2307" s="1" t="s">
        <v>706</v>
      </c>
      <c r="D2307" s="1" t="s">
        <v>707</v>
      </c>
    </row>
    <row r="2308">
      <c r="A2308" s="1" t="s">
        <v>5889</v>
      </c>
      <c r="B2308" s="2" t="s">
        <v>5890</v>
      </c>
      <c r="C2308" s="1" t="s">
        <v>706</v>
      </c>
      <c r="D2308" s="1" t="s">
        <v>707</v>
      </c>
    </row>
    <row r="2309">
      <c r="A2309" s="1" t="s">
        <v>5891</v>
      </c>
      <c r="B2309" s="2" t="s">
        <v>5892</v>
      </c>
      <c r="C2309" s="1" t="s">
        <v>706</v>
      </c>
      <c r="D2309" s="1" t="s">
        <v>707</v>
      </c>
    </row>
    <row r="2310">
      <c r="A2310" s="1" t="s">
        <v>5894</v>
      </c>
      <c r="B2310" s="2" t="s">
        <v>5896</v>
      </c>
      <c r="C2310" s="1" t="s">
        <v>706</v>
      </c>
      <c r="D2310" s="1" t="s">
        <v>707</v>
      </c>
    </row>
    <row r="2311">
      <c r="A2311" s="1" t="s">
        <v>5898</v>
      </c>
      <c r="B2311" s="2" t="s">
        <v>5899</v>
      </c>
      <c r="C2311" s="1" t="s">
        <v>706</v>
      </c>
      <c r="D2311" s="1" t="s">
        <v>707</v>
      </c>
    </row>
    <row r="2312">
      <c r="A2312" s="1" t="s">
        <v>5900</v>
      </c>
      <c r="B2312" s="2" t="s">
        <v>5901</v>
      </c>
      <c r="C2312" s="1" t="s">
        <v>706</v>
      </c>
      <c r="D2312" s="1" t="s">
        <v>707</v>
      </c>
    </row>
    <row r="2313">
      <c r="A2313" s="1" t="s">
        <v>5903</v>
      </c>
      <c r="B2313" s="2" t="s">
        <v>5270</v>
      </c>
      <c r="C2313" s="1" t="s">
        <v>706</v>
      </c>
      <c r="D2313" s="1" t="s">
        <v>707</v>
      </c>
    </row>
    <row r="2314">
      <c r="A2314" s="1" t="s">
        <v>5905</v>
      </c>
      <c r="B2314" s="2" t="s">
        <v>5802</v>
      </c>
      <c r="C2314" s="1" t="s">
        <v>706</v>
      </c>
      <c r="D2314" s="1" t="s">
        <v>707</v>
      </c>
    </row>
    <row r="2315">
      <c r="A2315" s="1" t="s">
        <v>5907</v>
      </c>
      <c r="B2315" s="2" t="s">
        <v>5804</v>
      </c>
      <c r="C2315" s="1" t="s">
        <v>706</v>
      </c>
      <c r="D2315" s="1" t="s">
        <v>707</v>
      </c>
    </row>
    <row r="2316">
      <c r="A2316" s="1" t="s">
        <v>5909</v>
      </c>
      <c r="B2316" s="2" t="s">
        <v>5807</v>
      </c>
      <c r="C2316" s="1" t="s">
        <v>706</v>
      </c>
      <c r="D2316" s="1" t="s">
        <v>707</v>
      </c>
    </row>
    <row r="2317">
      <c r="A2317" s="1" t="s">
        <v>5912</v>
      </c>
      <c r="B2317" s="2" t="s">
        <v>5811</v>
      </c>
      <c r="C2317" s="1" t="s">
        <v>706</v>
      </c>
      <c r="D2317" s="1" t="s">
        <v>707</v>
      </c>
    </row>
    <row r="2318">
      <c r="A2318" s="1" t="s">
        <v>5913</v>
      </c>
      <c r="B2318" s="2" t="s">
        <v>5813</v>
      </c>
      <c r="C2318" s="1" t="s">
        <v>706</v>
      </c>
      <c r="D2318" s="1" t="s">
        <v>707</v>
      </c>
    </row>
    <row r="2319">
      <c r="A2319" s="1" t="s">
        <v>5915</v>
      </c>
      <c r="B2319" s="2" t="s">
        <v>5816</v>
      </c>
      <c r="C2319" s="1" t="s">
        <v>706</v>
      </c>
      <c r="D2319" s="1" t="s">
        <v>707</v>
      </c>
    </row>
    <row r="2320">
      <c r="A2320" s="1" t="s">
        <v>5918</v>
      </c>
      <c r="B2320" s="2" t="s">
        <v>5820</v>
      </c>
      <c r="C2320" s="1" t="s">
        <v>706</v>
      </c>
      <c r="D2320" s="1" t="s">
        <v>707</v>
      </c>
    </row>
    <row r="2321">
      <c r="A2321" s="1" t="s">
        <v>727</v>
      </c>
      <c r="B2321" s="2" t="s">
        <v>7</v>
      </c>
      <c r="C2321" s="1" t="s">
        <v>729</v>
      </c>
      <c r="D2321" s="1" t="s">
        <v>730</v>
      </c>
    </row>
    <row r="2322">
      <c r="A2322" s="1" t="s">
        <v>5921</v>
      </c>
      <c r="B2322" s="2" t="s">
        <v>5922</v>
      </c>
      <c r="C2322" s="1" t="s">
        <v>729</v>
      </c>
      <c r="D2322" s="1" t="s">
        <v>730</v>
      </c>
    </row>
    <row r="2323">
      <c r="A2323" s="1" t="s">
        <v>5925</v>
      </c>
      <c r="B2323" s="2" t="s">
        <v>5926</v>
      </c>
      <c r="C2323" s="1" t="s">
        <v>729</v>
      </c>
      <c r="D2323" s="1" t="s">
        <v>730</v>
      </c>
    </row>
    <row r="2324">
      <c r="A2324" s="1" t="s">
        <v>5927</v>
      </c>
      <c r="B2324" s="2" t="s">
        <v>5928</v>
      </c>
      <c r="C2324" s="1" t="s">
        <v>729</v>
      </c>
      <c r="D2324" s="1" t="s">
        <v>730</v>
      </c>
    </row>
    <row r="2325">
      <c r="A2325" s="1" t="s">
        <v>5930</v>
      </c>
      <c r="B2325" s="2" t="s">
        <v>5932</v>
      </c>
      <c r="C2325" s="1" t="s">
        <v>729</v>
      </c>
      <c r="D2325" s="1" t="s">
        <v>730</v>
      </c>
    </row>
    <row r="2326">
      <c r="A2326" s="1" t="s">
        <v>5934</v>
      </c>
      <c r="B2326" s="2" t="s">
        <v>5935</v>
      </c>
      <c r="C2326" s="1" t="s">
        <v>729</v>
      </c>
      <c r="D2326" s="1" t="s">
        <v>730</v>
      </c>
    </row>
    <row r="2327">
      <c r="A2327" s="1" t="s">
        <v>5936</v>
      </c>
      <c r="B2327" s="2" t="s">
        <v>5164</v>
      </c>
      <c r="C2327" s="1" t="s">
        <v>729</v>
      </c>
      <c r="D2327" s="1" t="s">
        <v>730</v>
      </c>
    </row>
    <row r="2328">
      <c r="A2328" s="1" t="s">
        <v>5939</v>
      </c>
      <c r="B2328" s="2" t="s">
        <v>5941</v>
      </c>
      <c r="C2328" s="1" t="s">
        <v>729</v>
      </c>
      <c r="D2328" s="1" t="s">
        <v>730</v>
      </c>
    </row>
    <row r="2329">
      <c r="A2329" s="1" t="s">
        <v>5942</v>
      </c>
      <c r="B2329" s="2" t="s">
        <v>5943</v>
      </c>
      <c r="C2329" s="1" t="s">
        <v>729</v>
      </c>
      <c r="D2329" s="1" t="s">
        <v>730</v>
      </c>
    </row>
    <row r="2330">
      <c r="A2330" s="1" t="s">
        <v>5944</v>
      </c>
      <c r="B2330" s="2" t="s">
        <v>5946</v>
      </c>
      <c r="C2330" s="1" t="s">
        <v>729</v>
      </c>
      <c r="D2330" s="1" t="s">
        <v>730</v>
      </c>
    </row>
    <row r="2331">
      <c r="A2331" s="1" t="s">
        <v>5948</v>
      </c>
      <c r="B2331" s="2" t="s">
        <v>5950</v>
      </c>
      <c r="C2331" s="1" t="s">
        <v>729</v>
      </c>
      <c r="D2331" s="1" t="s">
        <v>730</v>
      </c>
    </row>
    <row r="2332">
      <c r="A2332" s="1" t="s">
        <v>5951</v>
      </c>
      <c r="B2332" s="2" t="s">
        <v>5952</v>
      </c>
      <c r="C2332" s="1" t="s">
        <v>729</v>
      </c>
      <c r="D2332" s="1" t="s">
        <v>730</v>
      </c>
    </row>
    <row r="2333">
      <c r="A2333" s="1" t="s">
        <v>5953</v>
      </c>
      <c r="B2333" s="2" t="s">
        <v>5200</v>
      </c>
      <c r="C2333" s="1" t="s">
        <v>729</v>
      </c>
      <c r="D2333" s="1" t="s">
        <v>730</v>
      </c>
    </row>
    <row r="2334">
      <c r="A2334" s="1" t="s">
        <v>5956</v>
      </c>
      <c r="B2334" s="2" t="s">
        <v>5958</v>
      </c>
      <c r="C2334" s="1" t="s">
        <v>729</v>
      </c>
      <c r="D2334" s="1" t="s">
        <v>730</v>
      </c>
    </row>
    <row r="2335">
      <c r="A2335" s="1" t="s">
        <v>5959</v>
      </c>
      <c r="B2335" s="2" t="s">
        <v>5960</v>
      </c>
      <c r="C2335" s="1" t="s">
        <v>729</v>
      </c>
      <c r="D2335" s="1" t="s">
        <v>730</v>
      </c>
    </row>
    <row r="2336">
      <c r="A2336" s="1" t="s">
        <v>5961</v>
      </c>
      <c r="B2336" s="2" t="s">
        <v>5962</v>
      </c>
      <c r="C2336" s="1" t="s">
        <v>729</v>
      </c>
      <c r="D2336" s="1" t="s">
        <v>730</v>
      </c>
    </row>
    <row r="2337">
      <c r="A2337" s="1" t="s">
        <v>5964</v>
      </c>
      <c r="B2337" s="2" t="s">
        <v>5965</v>
      </c>
      <c r="C2337" s="1" t="s">
        <v>729</v>
      </c>
      <c r="D2337" s="1" t="s">
        <v>730</v>
      </c>
    </row>
    <row r="2338">
      <c r="A2338" s="1" t="s">
        <v>5968</v>
      </c>
      <c r="B2338" s="2" t="s">
        <v>5969</v>
      </c>
      <c r="C2338" s="1" t="s">
        <v>729</v>
      </c>
      <c r="D2338" s="1" t="s">
        <v>730</v>
      </c>
    </row>
    <row r="2339">
      <c r="A2339" s="1" t="s">
        <v>5970</v>
      </c>
      <c r="B2339" s="2" t="s">
        <v>5236</v>
      </c>
      <c r="C2339" s="1" t="s">
        <v>729</v>
      </c>
      <c r="D2339" s="1" t="s">
        <v>730</v>
      </c>
    </row>
    <row r="2340">
      <c r="A2340" s="1" t="s">
        <v>5972</v>
      </c>
      <c r="B2340" s="2" t="s">
        <v>5973</v>
      </c>
      <c r="C2340" s="1" t="s">
        <v>729</v>
      </c>
      <c r="D2340" s="1" t="s">
        <v>730</v>
      </c>
    </row>
    <row r="2341">
      <c r="A2341" s="1" t="s">
        <v>5976</v>
      </c>
      <c r="B2341" s="2" t="s">
        <v>5977</v>
      </c>
      <c r="C2341" s="1" t="s">
        <v>729</v>
      </c>
      <c r="D2341" s="1" t="s">
        <v>730</v>
      </c>
    </row>
    <row r="2342">
      <c r="A2342" s="1" t="s">
        <v>5978</v>
      </c>
      <c r="B2342" s="2" t="s">
        <v>5979</v>
      </c>
      <c r="C2342" s="1" t="s">
        <v>729</v>
      </c>
      <c r="D2342" s="1" t="s">
        <v>730</v>
      </c>
    </row>
    <row r="2343">
      <c r="A2343" s="1" t="s">
        <v>5981</v>
      </c>
      <c r="B2343" s="2" t="s">
        <v>5982</v>
      </c>
      <c r="C2343" s="1" t="s">
        <v>729</v>
      </c>
      <c r="D2343" s="1" t="s">
        <v>730</v>
      </c>
    </row>
    <row r="2344">
      <c r="A2344" s="1" t="s">
        <v>5985</v>
      </c>
      <c r="B2344" s="2" t="s">
        <v>5986</v>
      </c>
      <c r="C2344" s="1" t="s">
        <v>729</v>
      </c>
      <c r="D2344" s="1" t="s">
        <v>730</v>
      </c>
    </row>
    <row r="2345">
      <c r="A2345" s="1" t="s">
        <v>5987</v>
      </c>
      <c r="B2345" s="2" t="s">
        <v>5270</v>
      </c>
      <c r="C2345" s="1" t="s">
        <v>729</v>
      </c>
      <c r="D2345" s="1" t="s">
        <v>730</v>
      </c>
    </row>
    <row r="2346">
      <c r="A2346" s="1" t="s">
        <v>5988</v>
      </c>
      <c r="B2346" s="2" t="s">
        <v>5989</v>
      </c>
      <c r="C2346" s="1" t="s">
        <v>729</v>
      </c>
      <c r="D2346" s="1" t="s">
        <v>730</v>
      </c>
    </row>
    <row r="2347">
      <c r="A2347" s="1" t="s">
        <v>5990</v>
      </c>
      <c r="B2347" s="2" t="s">
        <v>5991</v>
      </c>
      <c r="C2347" s="1" t="s">
        <v>729</v>
      </c>
      <c r="D2347" s="1" t="s">
        <v>730</v>
      </c>
    </row>
    <row r="2348">
      <c r="A2348" s="1" t="s">
        <v>5992</v>
      </c>
      <c r="B2348" s="2" t="s">
        <v>5993</v>
      </c>
      <c r="C2348" s="1" t="s">
        <v>729</v>
      </c>
      <c r="D2348" s="1" t="s">
        <v>730</v>
      </c>
    </row>
    <row r="2349">
      <c r="A2349" s="1" t="s">
        <v>5994</v>
      </c>
      <c r="B2349" s="2" t="s">
        <v>5995</v>
      </c>
      <c r="C2349" s="1" t="s">
        <v>729</v>
      </c>
      <c r="D2349" s="1" t="s">
        <v>730</v>
      </c>
    </row>
    <row r="2350">
      <c r="A2350" s="1" t="s">
        <v>5996</v>
      </c>
      <c r="B2350" s="2" t="s">
        <v>5997</v>
      </c>
      <c r="C2350" s="1" t="s">
        <v>729</v>
      </c>
      <c r="D2350" s="1" t="s">
        <v>730</v>
      </c>
    </row>
    <row r="2351">
      <c r="A2351" s="1" t="s">
        <v>721</v>
      </c>
      <c r="B2351" s="2" t="s">
        <v>7</v>
      </c>
      <c r="C2351" s="1" t="s">
        <v>723</v>
      </c>
      <c r="D2351" s="1" t="s">
        <v>724</v>
      </c>
    </row>
    <row r="2352">
      <c r="A2352" s="1" t="s">
        <v>5998</v>
      </c>
      <c r="B2352" s="2" t="s">
        <v>5922</v>
      </c>
      <c r="C2352" s="1" t="s">
        <v>723</v>
      </c>
      <c r="D2352" s="1" t="s">
        <v>724</v>
      </c>
    </row>
    <row r="2353">
      <c r="A2353" s="1" t="s">
        <v>5999</v>
      </c>
      <c r="B2353" s="2" t="s">
        <v>5926</v>
      </c>
      <c r="C2353" s="1" t="s">
        <v>723</v>
      </c>
      <c r="D2353" s="1" t="s">
        <v>724</v>
      </c>
    </row>
    <row r="2354">
      <c r="A2354" s="1" t="s">
        <v>6000</v>
      </c>
      <c r="B2354" s="2" t="s">
        <v>5928</v>
      </c>
      <c r="C2354" s="1" t="s">
        <v>723</v>
      </c>
      <c r="D2354" s="1" t="s">
        <v>724</v>
      </c>
    </row>
    <row r="2355">
      <c r="A2355" s="1" t="s">
        <v>6002</v>
      </c>
      <c r="B2355" s="2" t="s">
        <v>5932</v>
      </c>
      <c r="C2355" s="1" t="s">
        <v>723</v>
      </c>
      <c r="D2355" s="1" t="s">
        <v>724</v>
      </c>
    </row>
    <row r="2356">
      <c r="A2356" s="1" t="s">
        <v>6004</v>
      </c>
      <c r="B2356" s="2" t="s">
        <v>5935</v>
      </c>
      <c r="C2356" s="1" t="s">
        <v>723</v>
      </c>
      <c r="D2356" s="1" t="s">
        <v>724</v>
      </c>
    </row>
    <row r="2357">
      <c r="A2357" s="1" t="s">
        <v>6006</v>
      </c>
      <c r="B2357" s="2" t="s">
        <v>5336</v>
      </c>
      <c r="C2357" s="1" t="s">
        <v>723</v>
      </c>
      <c r="D2357" s="1" t="s">
        <v>724</v>
      </c>
    </row>
    <row r="2358">
      <c r="A2358" s="1" t="s">
        <v>6007</v>
      </c>
      <c r="B2358" s="2" t="s">
        <v>6008</v>
      </c>
      <c r="C2358" s="1" t="s">
        <v>723</v>
      </c>
      <c r="D2358" s="1" t="s">
        <v>724</v>
      </c>
    </row>
    <row r="2359">
      <c r="A2359" s="1" t="s">
        <v>6009</v>
      </c>
      <c r="B2359" s="2" t="s">
        <v>6010</v>
      </c>
      <c r="C2359" s="1" t="s">
        <v>723</v>
      </c>
      <c r="D2359" s="1" t="s">
        <v>724</v>
      </c>
    </row>
    <row r="2360">
      <c r="A2360" s="1" t="s">
        <v>6011</v>
      </c>
      <c r="B2360" s="2" t="s">
        <v>6013</v>
      </c>
      <c r="C2360" s="1" t="s">
        <v>723</v>
      </c>
      <c r="D2360" s="1" t="s">
        <v>724</v>
      </c>
    </row>
    <row r="2361">
      <c r="A2361" s="1" t="s">
        <v>6015</v>
      </c>
      <c r="B2361" s="2" t="s">
        <v>6017</v>
      </c>
      <c r="C2361" s="1" t="s">
        <v>723</v>
      </c>
      <c r="D2361" s="1" t="s">
        <v>724</v>
      </c>
    </row>
    <row r="2362">
      <c r="A2362" s="1" t="s">
        <v>6018</v>
      </c>
      <c r="B2362" s="2" t="s">
        <v>6019</v>
      </c>
      <c r="C2362" s="1" t="s">
        <v>723</v>
      </c>
      <c r="D2362" s="1" t="s">
        <v>724</v>
      </c>
    </row>
    <row r="2363">
      <c r="A2363" s="1" t="s">
        <v>6020</v>
      </c>
      <c r="B2363" s="2" t="s">
        <v>5375</v>
      </c>
      <c r="C2363" s="1" t="s">
        <v>723</v>
      </c>
      <c r="D2363" s="1" t="s">
        <v>724</v>
      </c>
    </row>
    <row r="2364">
      <c r="A2364" s="1" t="s">
        <v>6022</v>
      </c>
      <c r="B2364" s="2" t="s">
        <v>6024</v>
      </c>
      <c r="C2364" s="1" t="s">
        <v>723</v>
      </c>
      <c r="D2364" s="1" t="s">
        <v>724</v>
      </c>
    </row>
    <row r="2365">
      <c r="A2365" s="1" t="s">
        <v>6026</v>
      </c>
      <c r="B2365" s="2" t="s">
        <v>6027</v>
      </c>
      <c r="C2365" s="1" t="s">
        <v>723</v>
      </c>
      <c r="D2365" s="1" t="s">
        <v>724</v>
      </c>
    </row>
    <row r="2366">
      <c r="A2366" s="1" t="s">
        <v>6028</v>
      </c>
      <c r="B2366" s="2" t="s">
        <v>6029</v>
      </c>
      <c r="C2366" s="1" t="s">
        <v>723</v>
      </c>
      <c r="D2366" s="1" t="s">
        <v>724</v>
      </c>
    </row>
    <row r="2367">
      <c r="A2367" s="1" t="s">
        <v>6030</v>
      </c>
      <c r="B2367" s="2" t="s">
        <v>6032</v>
      </c>
      <c r="C2367" s="1" t="s">
        <v>723</v>
      </c>
      <c r="D2367" s="1" t="s">
        <v>724</v>
      </c>
    </row>
    <row r="2368">
      <c r="A2368" s="1" t="s">
        <v>6034</v>
      </c>
      <c r="B2368" s="2" t="s">
        <v>6036</v>
      </c>
      <c r="C2368" s="1" t="s">
        <v>723</v>
      </c>
      <c r="D2368" s="1" t="s">
        <v>724</v>
      </c>
    </row>
    <row r="2369">
      <c r="A2369" s="1" t="s">
        <v>6037</v>
      </c>
      <c r="B2369" s="2" t="s">
        <v>5416</v>
      </c>
      <c r="C2369" s="1" t="s">
        <v>723</v>
      </c>
      <c r="D2369" s="1" t="s">
        <v>724</v>
      </c>
    </row>
    <row r="2370">
      <c r="A2370" s="1" t="s">
        <v>6038</v>
      </c>
      <c r="B2370" s="2" t="s">
        <v>6040</v>
      </c>
      <c r="C2370" s="1" t="s">
        <v>723</v>
      </c>
      <c r="D2370" s="1" t="s">
        <v>724</v>
      </c>
    </row>
    <row r="2371">
      <c r="A2371" s="1" t="s">
        <v>6042</v>
      </c>
      <c r="B2371" s="2" t="s">
        <v>6044</v>
      </c>
      <c r="C2371" s="1" t="s">
        <v>723</v>
      </c>
      <c r="D2371" s="1" t="s">
        <v>724</v>
      </c>
    </row>
    <row r="2372">
      <c r="A2372" s="1" t="s">
        <v>6045</v>
      </c>
      <c r="B2372" s="2" t="s">
        <v>6046</v>
      </c>
      <c r="C2372" s="1" t="s">
        <v>723</v>
      </c>
      <c r="D2372" s="1" t="s">
        <v>724</v>
      </c>
    </row>
    <row r="2373">
      <c r="A2373" s="1" t="s">
        <v>6048</v>
      </c>
      <c r="B2373" s="2" t="s">
        <v>6049</v>
      </c>
      <c r="C2373" s="1" t="s">
        <v>723</v>
      </c>
      <c r="D2373" s="1" t="s">
        <v>724</v>
      </c>
    </row>
    <row r="2374">
      <c r="A2374" s="1" t="s">
        <v>6052</v>
      </c>
      <c r="B2374" s="2" t="s">
        <v>6053</v>
      </c>
      <c r="C2374" s="1" t="s">
        <v>723</v>
      </c>
      <c r="D2374" s="1" t="s">
        <v>724</v>
      </c>
    </row>
    <row r="2375">
      <c r="A2375" s="1" t="s">
        <v>6054</v>
      </c>
      <c r="B2375" s="2" t="s">
        <v>5270</v>
      </c>
      <c r="C2375" s="1" t="s">
        <v>723</v>
      </c>
      <c r="D2375" s="1" t="s">
        <v>724</v>
      </c>
    </row>
    <row r="2376">
      <c r="A2376" s="1" t="s">
        <v>6058</v>
      </c>
      <c r="B2376" s="2" t="s">
        <v>5989</v>
      </c>
      <c r="C2376" s="1" t="s">
        <v>723</v>
      </c>
      <c r="D2376" s="1" t="s">
        <v>724</v>
      </c>
    </row>
    <row r="2377">
      <c r="A2377" s="1" t="s">
        <v>6059</v>
      </c>
      <c r="B2377" s="2" t="s">
        <v>5991</v>
      </c>
      <c r="C2377" s="1" t="s">
        <v>723</v>
      </c>
      <c r="D2377" s="1" t="s">
        <v>724</v>
      </c>
    </row>
    <row r="2378">
      <c r="A2378" s="1" t="s">
        <v>6060</v>
      </c>
      <c r="B2378" s="2" t="s">
        <v>5993</v>
      </c>
      <c r="C2378" s="1" t="s">
        <v>723</v>
      </c>
      <c r="D2378" s="1" t="s">
        <v>724</v>
      </c>
    </row>
    <row r="2379">
      <c r="A2379" s="1" t="s">
        <v>6061</v>
      </c>
      <c r="B2379" s="2" t="s">
        <v>5995</v>
      </c>
      <c r="C2379" s="1" t="s">
        <v>723</v>
      </c>
      <c r="D2379" s="1" t="s">
        <v>724</v>
      </c>
    </row>
    <row r="2380">
      <c r="A2380" s="1" t="s">
        <v>6062</v>
      </c>
      <c r="B2380" s="2" t="s">
        <v>5997</v>
      </c>
      <c r="C2380" s="1" t="s">
        <v>723</v>
      </c>
      <c r="D2380" s="1" t="s">
        <v>724</v>
      </c>
    </row>
    <row r="2381">
      <c r="A2381" s="1" t="s">
        <v>745</v>
      </c>
      <c r="B2381" s="2" t="s">
        <v>7</v>
      </c>
      <c r="C2381" s="1" t="s">
        <v>748</v>
      </c>
      <c r="D2381" s="1" t="s">
        <v>750</v>
      </c>
    </row>
    <row r="2382">
      <c r="A2382" s="1" t="s">
        <v>6063</v>
      </c>
      <c r="B2382" s="2" t="s">
        <v>6064</v>
      </c>
      <c r="C2382" s="1" t="s">
        <v>748</v>
      </c>
      <c r="D2382" s="1" t="s">
        <v>750</v>
      </c>
    </row>
    <row r="2383">
      <c r="A2383" s="1" t="s">
        <v>6065</v>
      </c>
      <c r="B2383" s="2" t="s">
        <v>6066</v>
      </c>
      <c r="C2383" s="1" t="s">
        <v>748</v>
      </c>
      <c r="D2383" s="1" t="s">
        <v>750</v>
      </c>
    </row>
    <row r="2384">
      <c r="A2384" s="1" t="s">
        <v>6067</v>
      </c>
      <c r="B2384" s="2" t="s">
        <v>6069</v>
      </c>
      <c r="C2384" s="1" t="s">
        <v>748</v>
      </c>
      <c r="D2384" s="1" t="s">
        <v>750</v>
      </c>
    </row>
    <row r="2385">
      <c r="A2385" s="1" t="s">
        <v>6070</v>
      </c>
      <c r="B2385" s="2" t="s">
        <v>6072</v>
      </c>
      <c r="C2385" s="1" t="s">
        <v>748</v>
      </c>
      <c r="D2385" s="1" t="s">
        <v>750</v>
      </c>
    </row>
    <row r="2386">
      <c r="A2386" s="1" t="s">
        <v>6075</v>
      </c>
      <c r="B2386" s="2" t="s">
        <v>6076</v>
      </c>
      <c r="C2386" s="1" t="s">
        <v>748</v>
      </c>
      <c r="D2386" s="1" t="s">
        <v>750</v>
      </c>
    </row>
    <row r="2387">
      <c r="A2387" s="1" t="s">
        <v>6077</v>
      </c>
      <c r="B2387" s="2" t="s">
        <v>5164</v>
      </c>
      <c r="C2387" s="1" t="s">
        <v>748</v>
      </c>
      <c r="D2387" s="1" t="s">
        <v>750</v>
      </c>
    </row>
    <row r="2388">
      <c r="A2388" s="1" t="s">
        <v>6079</v>
      </c>
      <c r="B2388" s="2" t="s">
        <v>6081</v>
      </c>
      <c r="C2388" s="1" t="s">
        <v>748</v>
      </c>
      <c r="D2388" s="1" t="s">
        <v>750</v>
      </c>
    </row>
    <row r="2389">
      <c r="A2389" s="1" t="s">
        <v>6083</v>
      </c>
      <c r="B2389" s="2" t="s">
        <v>6084</v>
      </c>
      <c r="C2389" s="1" t="s">
        <v>748</v>
      </c>
      <c r="D2389" s="1" t="s">
        <v>750</v>
      </c>
    </row>
    <row r="2390">
      <c r="A2390" s="1" t="s">
        <v>6085</v>
      </c>
      <c r="B2390" s="2" t="s">
        <v>6087</v>
      </c>
      <c r="C2390" s="1" t="s">
        <v>748</v>
      </c>
      <c r="D2390" s="1" t="s">
        <v>750</v>
      </c>
    </row>
    <row r="2391">
      <c r="A2391" s="1" t="s">
        <v>6090</v>
      </c>
      <c r="B2391" s="2" t="s">
        <v>6091</v>
      </c>
      <c r="C2391" s="1" t="s">
        <v>748</v>
      </c>
      <c r="D2391" s="1" t="s">
        <v>750</v>
      </c>
    </row>
    <row r="2392">
      <c r="A2392" s="1" t="s">
        <v>6092</v>
      </c>
      <c r="B2392" s="2" t="s">
        <v>6094</v>
      </c>
      <c r="C2392" s="1" t="s">
        <v>748</v>
      </c>
      <c r="D2392" s="1" t="s">
        <v>750</v>
      </c>
    </row>
    <row r="2393">
      <c r="A2393" s="1" t="s">
        <v>6097</v>
      </c>
      <c r="B2393" s="2" t="s">
        <v>5200</v>
      </c>
      <c r="C2393" s="1" t="s">
        <v>748</v>
      </c>
      <c r="D2393" s="1" t="s">
        <v>750</v>
      </c>
    </row>
    <row r="2394">
      <c r="A2394" s="1" t="s">
        <v>6098</v>
      </c>
      <c r="B2394" s="2" t="s">
        <v>6100</v>
      </c>
      <c r="C2394" s="1" t="s">
        <v>748</v>
      </c>
      <c r="D2394" s="1" t="s">
        <v>750</v>
      </c>
    </row>
    <row r="2395">
      <c r="A2395" s="1" t="s">
        <v>6103</v>
      </c>
      <c r="B2395" s="2" t="s">
        <v>6104</v>
      </c>
      <c r="C2395" s="1" t="s">
        <v>748</v>
      </c>
      <c r="D2395" s="1" t="s">
        <v>750</v>
      </c>
    </row>
    <row r="2396">
      <c r="A2396" s="1" t="s">
        <v>6106</v>
      </c>
      <c r="B2396" s="2" t="s">
        <v>6107</v>
      </c>
      <c r="C2396" s="1" t="s">
        <v>748</v>
      </c>
      <c r="D2396" s="1" t="s">
        <v>750</v>
      </c>
    </row>
    <row r="2397">
      <c r="A2397" s="1" t="s">
        <v>6110</v>
      </c>
      <c r="B2397" s="2" t="s">
        <v>6111</v>
      </c>
      <c r="C2397" s="1" t="s">
        <v>748</v>
      </c>
      <c r="D2397" s="1" t="s">
        <v>750</v>
      </c>
    </row>
    <row r="2398">
      <c r="A2398" s="1" t="s">
        <v>6113</v>
      </c>
      <c r="B2398" s="2" t="s">
        <v>6114</v>
      </c>
      <c r="C2398" s="1" t="s">
        <v>748</v>
      </c>
      <c r="D2398" s="1" t="s">
        <v>750</v>
      </c>
    </row>
    <row r="2399">
      <c r="A2399" s="1" t="s">
        <v>6117</v>
      </c>
      <c r="B2399" s="2" t="s">
        <v>5236</v>
      </c>
      <c r="C2399" s="1" t="s">
        <v>748</v>
      </c>
      <c r="D2399" s="1" t="s">
        <v>750</v>
      </c>
    </row>
    <row r="2400">
      <c r="A2400" s="1" t="s">
        <v>6120</v>
      </c>
      <c r="B2400" s="2" t="s">
        <v>6122</v>
      </c>
      <c r="C2400" s="1" t="s">
        <v>748</v>
      </c>
      <c r="D2400" s="1" t="s">
        <v>750</v>
      </c>
    </row>
    <row r="2401">
      <c r="A2401" s="1" t="s">
        <v>6123</v>
      </c>
      <c r="B2401" s="2" t="s">
        <v>6124</v>
      </c>
      <c r="C2401" s="1" t="s">
        <v>748</v>
      </c>
      <c r="D2401" s="1" t="s">
        <v>750</v>
      </c>
    </row>
    <row r="2402">
      <c r="A2402" s="1" t="s">
        <v>6127</v>
      </c>
      <c r="B2402" s="2" t="s">
        <v>6129</v>
      </c>
      <c r="C2402" s="1" t="s">
        <v>748</v>
      </c>
      <c r="D2402" s="1" t="s">
        <v>750</v>
      </c>
    </row>
    <row r="2403">
      <c r="A2403" s="1" t="s">
        <v>6130</v>
      </c>
      <c r="B2403" s="2" t="s">
        <v>6131</v>
      </c>
      <c r="C2403" s="1" t="s">
        <v>748</v>
      </c>
      <c r="D2403" s="1" t="s">
        <v>750</v>
      </c>
    </row>
    <row r="2404">
      <c r="A2404" s="1" t="s">
        <v>6134</v>
      </c>
      <c r="B2404" s="2" t="s">
        <v>6136</v>
      </c>
      <c r="C2404" s="1" t="s">
        <v>748</v>
      </c>
      <c r="D2404" s="1" t="s">
        <v>750</v>
      </c>
    </row>
    <row r="2405">
      <c r="A2405" s="1" t="s">
        <v>6137</v>
      </c>
      <c r="B2405" s="2" t="s">
        <v>5270</v>
      </c>
      <c r="C2405" s="1" t="s">
        <v>748</v>
      </c>
      <c r="D2405" s="1" t="s">
        <v>750</v>
      </c>
    </row>
    <row r="2406">
      <c r="A2406" s="1" t="s">
        <v>6141</v>
      </c>
      <c r="B2406" s="2" t="s">
        <v>6142</v>
      </c>
      <c r="C2406" s="1" t="s">
        <v>748</v>
      </c>
      <c r="D2406" s="1" t="s">
        <v>750</v>
      </c>
    </row>
    <row r="2407">
      <c r="A2407" s="1" t="s">
        <v>6144</v>
      </c>
      <c r="B2407" s="2" t="s">
        <v>6145</v>
      </c>
      <c r="C2407" s="1" t="s">
        <v>748</v>
      </c>
      <c r="D2407" s="1" t="s">
        <v>750</v>
      </c>
    </row>
    <row r="2408">
      <c r="A2408" s="1" t="s">
        <v>6146</v>
      </c>
      <c r="B2408" s="2" t="s">
        <v>6147</v>
      </c>
      <c r="C2408" s="1" t="s">
        <v>748</v>
      </c>
      <c r="D2408" s="1" t="s">
        <v>750</v>
      </c>
    </row>
    <row r="2409">
      <c r="A2409" s="1" t="s">
        <v>6149</v>
      </c>
      <c r="B2409" s="2" t="s">
        <v>6150</v>
      </c>
      <c r="C2409" s="1" t="s">
        <v>748</v>
      </c>
      <c r="D2409" s="1" t="s">
        <v>750</v>
      </c>
    </row>
    <row r="2410">
      <c r="A2410" s="1" t="s">
        <v>6151</v>
      </c>
      <c r="B2410" s="2" t="s">
        <v>6153</v>
      </c>
      <c r="C2410" s="1" t="s">
        <v>748</v>
      </c>
      <c r="D2410" s="1" t="s">
        <v>750</v>
      </c>
    </row>
    <row r="2411">
      <c r="A2411" s="1" t="s">
        <v>735</v>
      </c>
      <c r="B2411" s="2" t="s">
        <v>7</v>
      </c>
      <c r="C2411" s="1" t="s">
        <v>738</v>
      </c>
      <c r="D2411" s="1" t="s">
        <v>739</v>
      </c>
    </row>
    <row r="2412">
      <c r="A2412" s="1" t="s">
        <v>6155</v>
      </c>
      <c r="B2412" s="2" t="s">
        <v>6064</v>
      </c>
      <c r="C2412" s="1" t="s">
        <v>738</v>
      </c>
      <c r="D2412" s="1" t="s">
        <v>739</v>
      </c>
    </row>
    <row r="2413">
      <c r="A2413" s="1" t="s">
        <v>6156</v>
      </c>
      <c r="B2413" s="2" t="s">
        <v>6066</v>
      </c>
      <c r="C2413" s="1" t="s">
        <v>738</v>
      </c>
      <c r="D2413" s="1" t="s">
        <v>739</v>
      </c>
    </row>
    <row r="2414">
      <c r="A2414" s="1" t="s">
        <v>6157</v>
      </c>
      <c r="B2414" s="2" t="s">
        <v>6069</v>
      </c>
      <c r="C2414" s="1" t="s">
        <v>738</v>
      </c>
      <c r="D2414" s="1" t="s">
        <v>739</v>
      </c>
    </row>
    <row r="2415">
      <c r="A2415" s="1" t="s">
        <v>6158</v>
      </c>
      <c r="B2415" s="2" t="s">
        <v>6072</v>
      </c>
      <c r="C2415" s="1" t="s">
        <v>738</v>
      </c>
      <c r="D2415" s="1" t="s">
        <v>739</v>
      </c>
    </row>
    <row r="2416">
      <c r="A2416" s="1" t="s">
        <v>6159</v>
      </c>
      <c r="B2416" s="2" t="s">
        <v>6076</v>
      </c>
      <c r="C2416" s="1" t="s">
        <v>738</v>
      </c>
      <c r="D2416" s="1" t="s">
        <v>739</v>
      </c>
    </row>
    <row r="2417">
      <c r="A2417" s="1" t="s">
        <v>6160</v>
      </c>
      <c r="B2417" s="2" t="s">
        <v>5336</v>
      </c>
      <c r="C2417" s="1" t="s">
        <v>738</v>
      </c>
      <c r="D2417" s="1" t="s">
        <v>739</v>
      </c>
    </row>
    <row r="2418">
      <c r="A2418" s="1" t="s">
        <v>6161</v>
      </c>
      <c r="B2418" s="2" t="s">
        <v>6162</v>
      </c>
      <c r="C2418" s="1" t="s">
        <v>738</v>
      </c>
      <c r="D2418" s="1" t="s">
        <v>739</v>
      </c>
    </row>
    <row r="2419">
      <c r="A2419" s="1" t="s">
        <v>6163</v>
      </c>
      <c r="B2419" s="2" t="s">
        <v>6164</v>
      </c>
      <c r="C2419" s="1" t="s">
        <v>738</v>
      </c>
      <c r="D2419" s="1" t="s">
        <v>739</v>
      </c>
    </row>
    <row r="2420">
      <c r="A2420" s="1" t="s">
        <v>6165</v>
      </c>
      <c r="B2420" s="2" t="s">
        <v>6166</v>
      </c>
      <c r="C2420" s="1" t="s">
        <v>738</v>
      </c>
      <c r="D2420" s="1" t="s">
        <v>739</v>
      </c>
    </row>
    <row r="2421">
      <c r="A2421" s="1" t="s">
        <v>6169</v>
      </c>
      <c r="B2421" s="2" t="s">
        <v>6170</v>
      </c>
      <c r="C2421" s="1" t="s">
        <v>738</v>
      </c>
      <c r="D2421" s="1" t="s">
        <v>739</v>
      </c>
    </row>
    <row r="2422">
      <c r="A2422" s="1" t="s">
        <v>6172</v>
      </c>
      <c r="B2422" s="2" t="s">
        <v>6174</v>
      </c>
      <c r="C2422" s="1" t="s">
        <v>738</v>
      </c>
      <c r="D2422" s="1" t="s">
        <v>739</v>
      </c>
    </row>
    <row r="2423">
      <c r="A2423" s="1" t="s">
        <v>6175</v>
      </c>
      <c r="B2423" s="2" t="s">
        <v>5375</v>
      </c>
      <c r="C2423" s="1" t="s">
        <v>738</v>
      </c>
      <c r="D2423" s="1" t="s">
        <v>739</v>
      </c>
    </row>
    <row r="2424">
      <c r="A2424" s="1" t="s">
        <v>6176</v>
      </c>
      <c r="B2424" s="2" t="s">
        <v>6177</v>
      </c>
      <c r="C2424" s="1" t="s">
        <v>738</v>
      </c>
      <c r="D2424" s="1" t="s">
        <v>739</v>
      </c>
    </row>
    <row r="2425">
      <c r="A2425" s="1" t="s">
        <v>6179</v>
      </c>
      <c r="B2425" s="2" t="s">
        <v>6181</v>
      </c>
      <c r="C2425" s="1" t="s">
        <v>738</v>
      </c>
      <c r="D2425" s="1" t="s">
        <v>739</v>
      </c>
    </row>
    <row r="2426">
      <c r="A2426" s="1" t="s">
        <v>6183</v>
      </c>
      <c r="B2426" s="2" t="s">
        <v>6184</v>
      </c>
      <c r="C2426" s="1" t="s">
        <v>738</v>
      </c>
      <c r="D2426" s="1" t="s">
        <v>739</v>
      </c>
    </row>
    <row r="2427">
      <c r="A2427" s="1" t="s">
        <v>6185</v>
      </c>
      <c r="B2427" s="2" t="s">
        <v>6186</v>
      </c>
      <c r="C2427" s="1" t="s">
        <v>738</v>
      </c>
      <c r="D2427" s="1" t="s">
        <v>739</v>
      </c>
    </row>
    <row r="2428">
      <c r="A2428" s="1" t="s">
        <v>6188</v>
      </c>
      <c r="B2428" s="2" t="s">
        <v>6190</v>
      </c>
      <c r="C2428" s="1" t="s">
        <v>738</v>
      </c>
      <c r="D2428" s="1" t="s">
        <v>739</v>
      </c>
    </row>
    <row r="2429">
      <c r="A2429" s="1" t="s">
        <v>6193</v>
      </c>
      <c r="B2429" s="2" t="s">
        <v>5416</v>
      </c>
      <c r="C2429" s="1" t="s">
        <v>738</v>
      </c>
      <c r="D2429" s="1" t="s">
        <v>739</v>
      </c>
    </row>
    <row r="2430">
      <c r="A2430" s="1" t="s">
        <v>6194</v>
      </c>
      <c r="B2430" s="2" t="s">
        <v>6195</v>
      </c>
      <c r="C2430" s="1" t="s">
        <v>738</v>
      </c>
      <c r="D2430" s="1" t="s">
        <v>739</v>
      </c>
    </row>
    <row r="2431">
      <c r="A2431" s="1" t="s">
        <v>6198</v>
      </c>
      <c r="B2431" s="2" t="s">
        <v>6199</v>
      </c>
      <c r="C2431" s="1" t="s">
        <v>738</v>
      </c>
      <c r="D2431" s="1" t="s">
        <v>739</v>
      </c>
    </row>
    <row r="2432">
      <c r="A2432" s="1" t="s">
        <v>6202</v>
      </c>
      <c r="B2432" s="2" t="s">
        <v>6203</v>
      </c>
      <c r="C2432" s="1" t="s">
        <v>738</v>
      </c>
      <c r="D2432" s="1" t="s">
        <v>739</v>
      </c>
    </row>
    <row r="2433">
      <c r="A2433" s="1" t="s">
        <v>6204</v>
      </c>
      <c r="B2433" s="2" t="s">
        <v>6205</v>
      </c>
      <c r="C2433" s="1" t="s">
        <v>738</v>
      </c>
      <c r="D2433" s="1" t="s">
        <v>739</v>
      </c>
    </row>
    <row r="2434">
      <c r="A2434" s="1" t="s">
        <v>6207</v>
      </c>
      <c r="B2434" s="2" t="s">
        <v>6208</v>
      </c>
      <c r="C2434" s="1" t="s">
        <v>738</v>
      </c>
      <c r="D2434" s="1" t="s">
        <v>739</v>
      </c>
    </row>
    <row r="2435">
      <c r="A2435" s="1" t="s">
        <v>6210</v>
      </c>
      <c r="B2435" s="2" t="s">
        <v>5270</v>
      </c>
      <c r="C2435" s="1" t="s">
        <v>738</v>
      </c>
      <c r="D2435" s="1" t="s">
        <v>739</v>
      </c>
    </row>
    <row r="2436">
      <c r="A2436" s="1" t="s">
        <v>6211</v>
      </c>
      <c r="B2436" s="2" t="s">
        <v>6142</v>
      </c>
      <c r="C2436" s="1" t="s">
        <v>738</v>
      </c>
      <c r="D2436" s="1" t="s">
        <v>739</v>
      </c>
    </row>
    <row r="2437">
      <c r="A2437" s="1" t="s">
        <v>6212</v>
      </c>
      <c r="B2437" s="2" t="s">
        <v>6145</v>
      </c>
      <c r="C2437" s="1" t="s">
        <v>738</v>
      </c>
      <c r="D2437" s="1" t="s">
        <v>739</v>
      </c>
    </row>
    <row r="2438">
      <c r="A2438" s="1" t="s">
        <v>6214</v>
      </c>
      <c r="B2438" s="2" t="s">
        <v>6147</v>
      </c>
      <c r="C2438" s="1" t="s">
        <v>738</v>
      </c>
      <c r="D2438" s="1" t="s">
        <v>739</v>
      </c>
    </row>
    <row r="2439">
      <c r="A2439" s="1" t="s">
        <v>6217</v>
      </c>
      <c r="B2439" s="2" t="s">
        <v>6150</v>
      </c>
      <c r="C2439" s="1" t="s">
        <v>738</v>
      </c>
      <c r="D2439" s="1" t="s">
        <v>739</v>
      </c>
    </row>
    <row r="2440">
      <c r="A2440" s="1" t="s">
        <v>6219</v>
      </c>
      <c r="B2440" s="2" t="s">
        <v>6153</v>
      </c>
      <c r="C2440" s="1" t="s">
        <v>738</v>
      </c>
      <c r="D2440" s="1" t="s">
        <v>739</v>
      </c>
    </row>
    <row r="2441">
      <c r="A2441" s="1" t="s">
        <v>768</v>
      </c>
      <c r="B2441" s="2" t="s">
        <v>7</v>
      </c>
      <c r="C2441" s="1" t="s">
        <v>769</v>
      </c>
      <c r="D2441" s="1" t="s">
        <v>770</v>
      </c>
    </row>
    <row r="2442">
      <c r="A2442" s="1" t="s">
        <v>6223</v>
      </c>
      <c r="B2442" s="2" t="s">
        <v>6225</v>
      </c>
      <c r="C2442" s="1" t="s">
        <v>769</v>
      </c>
      <c r="D2442" s="1" t="s">
        <v>770</v>
      </c>
    </row>
    <row r="2443">
      <c r="A2443" s="1" t="s">
        <v>6226</v>
      </c>
      <c r="B2443" s="2" t="s">
        <v>6228</v>
      </c>
      <c r="C2443" s="1" t="s">
        <v>769</v>
      </c>
      <c r="D2443" s="1" t="s">
        <v>770</v>
      </c>
    </row>
    <row r="2444">
      <c r="A2444" s="1" t="s">
        <v>6232</v>
      </c>
      <c r="B2444" s="2" t="s">
        <v>6233</v>
      </c>
      <c r="C2444" s="1" t="s">
        <v>769</v>
      </c>
      <c r="D2444" s="1" t="s">
        <v>770</v>
      </c>
    </row>
    <row r="2445">
      <c r="A2445" s="1" t="s">
        <v>6234</v>
      </c>
      <c r="B2445" s="2" t="s">
        <v>6235</v>
      </c>
      <c r="C2445" s="1" t="s">
        <v>769</v>
      </c>
      <c r="D2445" s="1" t="s">
        <v>770</v>
      </c>
    </row>
    <row r="2446">
      <c r="A2446" s="1" t="s">
        <v>6238</v>
      </c>
      <c r="B2446" s="2" t="s">
        <v>6240</v>
      </c>
      <c r="C2446" s="1" t="s">
        <v>769</v>
      </c>
      <c r="D2446" s="1" t="s">
        <v>770</v>
      </c>
    </row>
    <row r="2447">
      <c r="A2447" s="1" t="s">
        <v>6241</v>
      </c>
      <c r="B2447" s="2" t="s">
        <v>6242</v>
      </c>
      <c r="C2447" s="1" t="s">
        <v>769</v>
      </c>
      <c r="D2447" s="1" t="s">
        <v>770</v>
      </c>
    </row>
    <row r="2448">
      <c r="A2448" s="1" t="s">
        <v>6245</v>
      </c>
      <c r="B2448" s="2" t="s">
        <v>6247</v>
      </c>
      <c r="C2448" s="1" t="s">
        <v>769</v>
      </c>
      <c r="D2448" s="1" t="s">
        <v>770</v>
      </c>
    </row>
    <row r="2449">
      <c r="A2449" s="1" t="s">
        <v>6248</v>
      </c>
      <c r="B2449" s="2" t="s">
        <v>6249</v>
      </c>
      <c r="C2449" s="1" t="s">
        <v>769</v>
      </c>
      <c r="D2449" s="1" t="s">
        <v>770</v>
      </c>
    </row>
    <row r="2450">
      <c r="A2450" s="1" t="s">
        <v>6252</v>
      </c>
      <c r="B2450" s="2" t="s">
        <v>6254</v>
      </c>
      <c r="C2450" s="1" t="s">
        <v>769</v>
      </c>
      <c r="D2450" s="1" t="s">
        <v>770</v>
      </c>
    </row>
    <row r="2451">
      <c r="A2451" s="1" t="s">
        <v>6255</v>
      </c>
      <c r="B2451" s="2" t="s">
        <v>6256</v>
      </c>
      <c r="C2451" s="1" t="s">
        <v>769</v>
      </c>
      <c r="D2451" s="1" t="s">
        <v>770</v>
      </c>
    </row>
    <row r="2452">
      <c r="A2452" s="1" t="s">
        <v>6260</v>
      </c>
      <c r="B2452" s="2" t="s">
        <v>5164</v>
      </c>
      <c r="C2452" s="1" t="s">
        <v>769</v>
      </c>
      <c r="D2452" s="1" t="s">
        <v>770</v>
      </c>
    </row>
    <row r="2453">
      <c r="A2453" s="1" t="s">
        <v>6261</v>
      </c>
      <c r="B2453" s="2" t="s">
        <v>6262</v>
      </c>
      <c r="C2453" s="1" t="s">
        <v>769</v>
      </c>
      <c r="D2453" s="1" t="s">
        <v>770</v>
      </c>
    </row>
    <row r="2454">
      <c r="A2454" s="1" t="s">
        <v>6266</v>
      </c>
      <c r="B2454" s="2" t="s">
        <v>6267</v>
      </c>
      <c r="C2454" s="1" t="s">
        <v>769</v>
      </c>
      <c r="D2454" s="1" t="s">
        <v>770</v>
      </c>
    </row>
    <row r="2455">
      <c r="A2455" s="1" t="s">
        <v>6268</v>
      </c>
      <c r="B2455" s="2" t="s">
        <v>6269</v>
      </c>
      <c r="C2455" s="1" t="s">
        <v>769</v>
      </c>
      <c r="D2455" s="1" t="s">
        <v>770</v>
      </c>
    </row>
    <row r="2456">
      <c r="A2456" s="1" t="s">
        <v>6271</v>
      </c>
      <c r="B2456" s="2" t="s">
        <v>6272</v>
      </c>
      <c r="C2456" s="1" t="s">
        <v>769</v>
      </c>
      <c r="D2456" s="1" t="s">
        <v>770</v>
      </c>
    </row>
    <row r="2457">
      <c r="A2457" s="1" t="s">
        <v>6275</v>
      </c>
      <c r="B2457" s="2" t="s">
        <v>6276</v>
      </c>
      <c r="C2457" s="1" t="s">
        <v>769</v>
      </c>
      <c r="D2457" s="1" t="s">
        <v>770</v>
      </c>
    </row>
    <row r="2458">
      <c r="A2458" s="1" t="s">
        <v>6277</v>
      </c>
      <c r="B2458" s="2" t="s">
        <v>6278</v>
      </c>
      <c r="C2458" s="1" t="s">
        <v>769</v>
      </c>
      <c r="D2458" s="1" t="s">
        <v>770</v>
      </c>
    </row>
    <row r="2459">
      <c r="A2459" s="1" t="s">
        <v>6279</v>
      </c>
      <c r="B2459" s="2" t="s">
        <v>6280</v>
      </c>
      <c r="C2459" s="1" t="s">
        <v>769</v>
      </c>
      <c r="D2459" s="1" t="s">
        <v>770</v>
      </c>
    </row>
    <row r="2460">
      <c r="A2460" s="1" t="s">
        <v>6281</v>
      </c>
      <c r="B2460" s="2" t="s">
        <v>6282</v>
      </c>
      <c r="C2460" s="1" t="s">
        <v>769</v>
      </c>
      <c r="D2460" s="1" t="s">
        <v>770</v>
      </c>
    </row>
    <row r="2461">
      <c r="A2461" s="1" t="s">
        <v>6283</v>
      </c>
      <c r="B2461" s="2" t="s">
        <v>6284</v>
      </c>
      <c r="C2461" s="1" t="s">
        <v>769</v>
      </c>
      <c r="D2461" s="1" t="s">
        <v>770</v>
      </c>
    </row>
    <row r="2462">
      <c r="A2462" s="1" t="s">
        <v>6285</v>
      </c>
      <c r="B2462" s="2" t="s">
        <v>6286</v>
      </c>
      <c r="C2462" s="1" t="s">
        <v>769</v>
      </c>
      <c r="D2462" s="1" t="s">
        <v>770</v>
      </c>
    </row>
    <row r="2463">
      <c r="A2463" s="1" t="s">
        <v>6287</v>
      </c>
      <c r="B2463" s="2" t="s">
        <v>5200</v>
      </c>
      <c r="C2463" s="1" t="s">
        <v>769</v>
      </c>
      <c r="D2463" s="1" t="s">
        <v>770</v>
      </c>
    </row>
    <row r="2464">
      <c r="A2464" s="1" t="s">
        <v>6288</v>
      </c>
      <c r="B2464" s="2" t="s">
        <v>6289</v>
      </c>
      <c r="C2464" s="1" t="s">
        <v>769</v>
      </c>
      <c r="D2464" s="1" t="s">
        <v>770</v>
      </c>
    </row>
    <row r="2465">
      <c r="A2465" s="1" t="s">
        <v>6290</v>
      </c>
      <c r="B2465" s="2" t="s">
        <v>6291</v>
      </c>
      <c r="C2465" s="1" t="s">
        <v>769</v>
      </c>
      <c r="D2465" s="1" t="s">
        <v>770</v>
      </c>
    </row>
    <row r="2466">
      <c r="A2466" s="1" t="s">
        <v>6293</v>
      </c>
      <c r="B2466" s="2" t="s">
        <v>6295</v>
      </c>
      <c r="C2466" s="1" t="s">
        <v>769</v>
      </c>
      <c r="D2466" s="1" t="s">
        <v>770</v>
      </c>
    </row>
    <row r="2467">
      <c r="A2467" s="1" t="s">
        <v>6297</v>
      </c>
      <c r="B2467" s="2" t="s">
        <v>6298</v>
      </c>
      <c r="C2467" s="1" t="s">
        <v>769</v>
      </c>
      <c r="D2467" s="1" t="s">
        <v>770</v>
      </c>
    </row>
    <row r="2468">
      <c r="A2468" s="1" t="s">
        <v>6301</v>
      </c>
      <c r="B2468" s="2" t="s">
        <v>6303</v>
      </c>
      <c r="C2468" s="1" t="s">
        <v>769</v>
      </c>
      <c r="D2468" s="1" t="s">
        <v>770</v>
      </c>
    </row>
    <row r="2469">
      <c r="A2469" s="1" t="s">
        <v>6304</v>
      </c>
      <c r="B2469" s="2" t="s">
        <v>6305</v>
      </c>
      <c r="C2469" s="1" t="s">
        <v>769</v>
      </c>
      <c r="D2469" s="1" t="s">
        <v>770</v>
      </c>
    </row>
    <row r="2470">
      <c r="A2470" s="1" t="s">
        <v>6309</v>
      </c>
      <c r="B2470" s="2" t="s">
        <v>6310</v>
      </c>
      <c r="C2470" s="1" t="s">
        <v>769</v>
      </c>
      <c r="D2470" s="1" t="s">
        <v>770</v>
      </c>
    </row>
    <row r="2471">
      <c r="A2471" s="1" t="s">
        <v>6311</v>
      </c>
      <c r="B2471" s="2" t="s">
        <v>6312</v>
      </c>
      <c r="C2471" s="1" t="s">
        <v>769</v>
      </c>
      <c r="D2471" s="1" t="s">
        <v>770</v>
      </c>
    </row>
    <row r="2472">
      <c r="A2472" s="1" t="s">
        <v>6315</v>
      </c>
      <c r="B2472" s="2" t="s">
        <v>6317</v>
      </c>
      <c r="C2472" s="1" t="s">
        <v>769</v>
      </c>
      <c r="D2472" s="1" t="s">
        <v>770</v>
      </c>
    </row>
    <row r="2473">
      <c r="A2473" s="1" t="s">
        <v>6318</v>
      </c>
      <c r="B2473" s="2" t="s">
        <v>6319</v>
      </c>
      <c r="C2473" s="1" t="s">
        <v>769</v>
      </c>
      <c r="D2473" s="1" t="s">
        <v>770</v>
      </c>
    </row>
    <row r="2474">
      <c r="A2474" s="1" t="s">
        <v>6321</v>
      </c>
      <c r="B2474" s="2" t="s">
        <v>5236</v>
      </c>
      <c r="C2474" s="1" t="s">
        <v>769</v>
      </c>
      <c r="D2474" s="1" t="s">
        <v>770</v>
      </c>
    </row>
    <row r="2475">
      <c r="A2475" s="1" t="s">
        <v>6324</v>
      </c>
      <c r="B2475" s="2" t="s">
        <v>6325</v>
      </c>
      <c r="C2475" s="1" t="s">
        <v>769</v>
      </c>
      <c r="D2475" s="1" t="s">
        <v>770</v>
      </c>
    </row>
    <row r="2476">
      <c r="A2476" s="1" t="s">
        <v>6326</v>
      </c>
      <c r="B2476" s="2" t="s">
        <v>6327</v>
      </c>
      <c r="C2476" s="1" t="s">
        <v>769</v>
      </c>
      <c r="D2476" s="1" t="s">
        <v>770</v>
      </c>
    </row>
    <row r="2477">
      <c r="A2477" s="1" t="s">
        <v>6328</v>
      </c>
      <c r="B2477" s="2" t="s">
        <v>6329</v>
      </c>
      <c r="C2477" s="1" t="s">
        <v>769</v>
      </c>
      <c r="D2477" s="1" t="s">
        <v>770</v>
      </c>
    </row>
    <row r="2478">
      <c r="A2478" s="1" t="s">
        <v>6331</v>
      </c>
      <c r="B2478" s="2" t="s">
        <v>6333</v>
      </c>
      <c r="C2478" s="1" t="s">
        <v>769</v>
      </c>
      <c r="D2478" s="1" t="s">
        <v>770</v>
      </c>
    </row>
    <row r="2479">
      <c r="A2479" s="1" t="s">
        <v>6335</v>
      </c>
      <c r="B2479" s="2" t="s">
        <v>6336</v>
      </c>
      <c r="C2479" s="1" t="s">
        <v>769</v>
      </c>
      <c r="D2479" s="1" t="s">
        <v>770</v>
      </c>
    </row>
    <row r="2480">
      <c r="A2480" s="1" t="s">
        <v>6337</v>
      </c>
      <c r="B2480" s="2" t="s">
        <v>6338</v>
      </c>
      <c r="C2480" s="1" t="s">
        <v>769</v>
      </c>
      <c r="D2480" s="1" t="s">
        <v>770</v>
      </c>
    </row>
    <row r="2481">
      <c r="A2481" s="1" t="s">
        <v>6341</v>
      </c>
      <c r="B2481" s="2" t="s">
        <v>6343</v>
      </c>
      <c r="C2481" s="1" t="s">
        <v>769</v>
      </c>
      <c r="D2481" s="1" t="s">
        <v>770</v>
      </c>
    </row>
    <row r="2482">
      <c r="A2482" s="1" t="s">
        <v>6345</v>
      </c>
      <c r="B2482" s="2" t="s">
        <v>6346</v>
      </c>
      <c r="C2482" s="1" t="s">
        <v>769</v>
      </c>
      <c r="D2482" s="1" t="s">
        <v>770</v>
      </c>
    </row>
    <row r="2483">
      <c r="A2483" s="1" t="s">
        <v>6347</v>
      </c>
      <c r="B2483" s="2" t="s">
        <v>6348</v>
      </c>
      <c r="C2483" s="1" t="s">
        <v>769</v>
      </c>
      <c r="D2483" s="1" t="s">
        <v>770</v>
      </c>
    </row>
    <row r="2484">
      <c r="A2484" s="1" t="s">
        <v>6351</v>
      </c>
      <c r="B2484" s="2" t="s">
        <v>6353</v>
      </c>
      <c r="C2484" s="1" t="s">
        <v>769</v>
      </c>
      <c r="D2484" s="1" t="s">
        <v>770</v>
      </c>
    </row>
    <row r="2485">
      <c r="A2485" s="1" t="s">
        <v>6354</v>
      </c>
      <c r="B2485" s="2" t="s">
        <v>5270</v>
      </c>
      <c r="C2485" s="1" t="s">
        <v>769</v>
      </c>
      <c r="D2485" s="1" t="s">
        <v>770</v>
      </c>
    </row>
    <row r="2486">
      <c r="A2486" s="1" t="s">
        <v>6355</v>
      </c>
      <c r="B2486" s="2" t="s">
        <v>6357</v>
      </c>
      <c r="C2486" s="1" t="s">
        <v>769</v>
      </c>
      <c r="D2486" s="1" t="s">
        <v>770</v>
      </c>
    </row>
    <row r="2487">
      <c r="A2487" s="1" t="s">
        <v>6361</v>
      </c>
      <c r="B2487" s="2" t="s">
        <v>6362</v>
      </c>
      <c r="C2487" s="1" t="s">
        <v>769</v>
      </c>
      <c r="D2487" s="1" t="s">
        <v>770</v>
      </c>
    </row>
    <row r="2488">
      <c r="A2488" s="1" t="s">
        <v>6363</v>
      </c>
      <c r="B2488" s="2" t="s">
        <v>6364</v>
      </c>
      <c r="C2488" s="1" t="s">
        <v>769</v>
      </c>
      <c r="D2488" s="1" t="s">
        <v>770</v>
      </c>
    </row>
    <row r="2489">
      <c r="A2489" s="1" t="s">
        <v>6365</v>
      </c>
      <c r="B2489" s="2" t="s">
        <v>6367</v>
      </c>
      <c r="C2489" s="1" t="s">
        <v>769</v>
      </c>
      <c r="D2489" s="1" t="s">
        <v>770</v>
      </c>
    </row>
    <row r="2490">
      <c r="A2490" s="1" t="s">
        <v>6369</v>
      </c>
      <c r="B2490" s="2" t="s">
        <v>6371</v>
      </c>
      <c r="C2490" s="1" t="s">
        <v>769</v>
      </c>
      <c r="D2490" s="1" t="s">
        <v>770</v>
      </c>
    </row>
    <row r="2491">
      <c r="A2491" s="1" t="s">
        <v>6372</v>
      </c>
      <c r="B2491" s="2" t="s">
        <v>6373</v>
      </c>
      <c r="C2491" s="1" t="s">
        <v>769</v>
      </c>
      <c r="D2491" s="1" t="s">
        <v>770</v>
      </c>
    </row>
    <row r="2492">
      <c r="A2492" s="1" t="s">
        <v>6374</v>
      </c>
      <c r="B2492" s="2" t="s">
        <v>6375</v>
      </c>
      <c r="C2492" s="1" t="s">
        <v>769</v>
      </c>
      <c r="D2492" s="1" t="s">
        <v>770</v>
      </c>
    </row>
    <row r="2493">
      <c r="A2493" s="1" t="s">
        <v>6378</v>
      </c>
      <c r="B2493" s="2" t="s">
        <v>6380</v>
      </c>
      <c r="C2493" s="1" t="s">
        <v>769</v>
      </c>
      <c r="D2493" s="1" t="s">
        <v>770</v>
      </c>
    </row>
    <row r="2494">
      <c r="A2494" s="1" t="s">
        <v>6382</v>
      </c>
      <c r="B2494" s="2" t="s">
        <v>6383</v>
      </c>
      <c r="C2494" s="1" t="s">
        <v>769</v>
      </c>
      <c r="D2494" s="1" t="s">
        <v>770</v>
      </c>
    </row>
    <row r="2495">
      <c r="A2495" s="1" t="s">
        <v>6384</v>
      </c>
      <c r="B2495" s="2" t="s">
        <v>6385</v>
      </c>
      <c r="C2495" s="1" t="s">
        <v>769</v>
      </c>
      <c r="D2495" s="1" t="s">
        <v>770</v>
      </c>
    </row>
    <row r="2496">
      <c r="A2496" s="1" t="s">
        <v>756</v>
      </c>
      <c r="B2496" s="2" t="s">
        <v>7</v>
      </c>
      <c r="C2496" s="1" t="s">
        <v>759</v>
      </c>
      <c r="D2496" s="1" t="s">
        <v>760</v>
      </c>
    </row>
    <row r="2497">
      <c r="A2497" s="1" t="s">
        <v>6389</v>
      </c>
      <c r="B2497" s="2" t="s">
        <v>6225</v>
      </c>
      <c r="C2497" s="1" t="s">
        <v>759</v>
      </c>
      <c r="D2497" s="1" t="s">
        <v>760</v>
      </c>
    </row>
    <row r="2498">
      <c r="A2498" s="1" t="s">
        <v>6390</v>
      </c>
      <c r="B2498" s="2" t="s">
        <v>6228</v>
      </c>
      <c r="C2498" s="1" t="s">
        <v>759</v>
      </c>
      <c r="D2498" s="1" t="s">
        <v>760</v>
      </c>
    </row>
    <row r="2499">
      <c r="A2499" s="1" t="s">
        <v>6392</v>
      </c>
      <c r="B2499" s="2" t="s">
        <v>6233</v>
      </c>
      <c r="C2499" s="1" t="s">
        <v>759</v>
      </c>
      <c r="D2499" s="1" t="s">
        <v>760</v>
      </c>
    </row>
    <row r="2500">
      <c r="A2500" s="1" t="s">
        <v>6395</v>
      </c>
      <c r="B2500" s="2" t="s">
        <v>6235</v>
      </c>
      <c r="C2500" s="1" t="s">
        <v>759</v>
      </c>
      <c r="D2500" s="1" t="s">
        <v>760</v>
      </c>
    </row>
    <row r="2501">
      <c r="A2501" s="1" t="s">
        <v>6396</v>
      </c>
      <c r="B2501" s="2" t="s">
        <v>6240</v>
      </c>
      <c r="C2501" s="1" t="s">
        <v>759</v>
      </c>
      <c r="D2501" s="1" t="s">
        <v>760</v>
      </c>
    </row>
    <row r="2502">
      <c r="A2502" s="1" t="s">
        <v>6397</v>
      </c>
      <c r="B2502" s="2" t="s">
        <v>6242</v>
      </c>
      <c r="C2502" s="1" t="s">
        <v>759</v>
      </c>
      <c r="D2502" s="1" t="s">
        <v>760</v>
      </c>
    </row>
    <row r="2503">
      <c r="A2503" s="1" t="s">
        <v>6401</v>
      </c>
      <c r="B2503" s="2" t="s">
        <v>6247</v>
      </c>
      <c r="C2503" s="1" t="s">
        <v>759</v>
      </c>
      <c r="D2503" s="1" t="s">
        <v>760</v>
      </c>
    </row>
    <row r="2504">
      <c r="A2504" s="1" t="s">
        <v>6402</v>
      </c>
      <c r="B2504" s="2" t="s">
        <v>6249</v>
      </c>
      <c r="C2504" s="1" t="s">
        <v>759</v>
      </c>
      <c r="D2504" s="1" t="s">
        <v>760</v>
      </c>
    </row>
    <row r="2505">
      <c r="A2505" s="1" t="s">
        <v>6404</v>
      </c>
      <c r="B2505" s="2" t="s">
        <v>6254</v>
      </c>
      <c r="C2505" s="1" t="s">
        <v>759</v>
      </c>
      <c r="D2505" s="1" t="s">
        <v>760</v>
      </c>
    </row>
    <row r="2506">
      <c r="A2506" s="1" t="s">
        <v>6407</v>
      </c>
      <c r="B2506" s="2" t="s">
        <v>6256</v>
      </c>
      <c r="C2506" s="1" t="s">
        <v>759</v>
      </c>
      <c r="D2506" s="1" t="s">
        <v>760</v>
      </c>
    </row>
    <row r="2507">
      <c r="A2507" s="1" t="s">
        <v>6408</v>
      </c>
      <c r="B2507" s="2" t="s">
        <v>5336</v>
      </c>
      <c r="C2507" s="1" t="s">
        <v>759</v>
      </c>
      <c r="D2507" s="1" t="s">
        <v>760</v>
      </c>
    </row>
    <row r="2508">
      <c r="A2508" s="1" t="s">
        <v>6410</v>
      </c>
      <c r="B2508" s="2" t="s">
        <v>6413</v>
      </c>
      <c r="C2508" s="1" t="s">
        <v>759</v>
      </c>
      <c r="D2508" s="1" t="s">
        <v>760</v>
      </c>
    </row>
    <row r="2509">
      <c r="A2509" s="1" t="s">
        <v>6414</v>
      </c>
      <c r="B2509" s="2" t="s">
        <v>6415</v>
      </c>
      <c r="C2509" s="1" t="s">
        <v>759</v>
      </c>
      <c r="D2509" s="1" t="s">
        <v>760</v>
      </c>
    </row>
    <row r="2510">
      <c r="A2510" s="1" t="s">
        <v>6416</v>
      </c>
      <c r="B2510" s="2" t="s">
        <v>6417</v>
      </c>
      <c r="C2510" s="1" t="s">
        <v>759</v>
      </c>
      <c r="D2510" s="1" t="s">
        <v>760</v>
      </c>
    </row>
    <row r="2511">
      <c r="A2511" s="1" t="s">
        <v>6418</v>
      </c>
      <c r="B2511" s="2" t="s">
        <v>6419</v>
      </c>
      <c r="C2511" s="1" t="s">
        <v>759</v>
      </c>
      <c r="D2511" s="1" t="s">
        <v>760</v>
      </c>
    </row>
    <row r="2512">
      <c r="A2512" s="1" t="s">
        <v>6420</v>
      </c>
      <c r="B2512" s="2" t="s">
        <v>6421</v>
      </c>
      <c r="C2512" s="1" t="s">
        <v>759</v>
      </c>
      <c r="D2512" s="1" t="s">
        <v>760</v>
      </c>
    </row>
    <row r="2513">
      <c r="A2513" s="1" t="s">
        <v>6422</v>
      </c>
      <c r="B2513" s="2" t="s">
        <v>6423</v>
      </c>
      <c r="C2513" s="1" t="s">
        <v>759</v>
      </c>
      <c r="D2513" s="1" t="s">
        <v>760</v>
      </c>
    </row>
    <row r="2514">
      <c r="A2514" s="1" t="s">
        <v>6424</v>
      </c>
      <c r="B2514" s="2" t="s">
        <v>6425</v>
      </c>
      <c r="C2514" s="1" t="s">
        <v>759</v>
      </c>
      <c r="D2514" s="1" t="s">
        <v>760</v>
      </c>
    </row>
    <row r="2515">
      <c r="A2515" s="1" t="s">
        <v>6426</v>
      </c>
      <c r="B2515" s="2" t="s">
        <v>6427</v>
      </c>
      <c r="C2515" s="1" t="s">
        <v>759</v>
      </c>
      <c r="D2515" s="1" t="s">
        <v>760</v>
      </c>
    </row>
    <row r="2516">
      <c r="A2516" s="1" t="s">
        <v>6428</v>
      </c>
      <c r="B2516" s="2" t="s">
        <v>6429</v>
      </c>
      <c r="C2516" s="1" t="s">
        <v>759</v>
      </c>
      <c r="D2516" s="1" t="s">
        <v>760</v>
      </c>
    </row>
    <row r="2517">
      <c r="A2517" s="1" t="s">
        <v>6430</v>
      </c>
      <c r="B2517" s="2" t="s">
        <v>6431</v>
      </c>
      <c r="C2517" s="1" t="s">
        <v>759</v>
      </c>
      <c r="D2517" s="1" t="s">
        <v>760</v>
      </c>
    </row>
    <row r="2518">
      <c r="A2518" s="1" t="s">
        <v>6432</v>
      </c>
      <c r="B2518" s="2" t="s">
        <v>5375</v>
      </c>
      <c r="C2518" s="1" t="s">
        <v>759</v>
      </c>
      <c r="D2518" s="1" t="s">
        <v>760</v>
      </c>
    </row>
    <row r="2519">
      <c r="A2519" s="1" t="s">
        <v>6433</v>
      </c>
      <c r="B2519" s="2" t="s">
        <v>6434</v>
      </c>
      <c r="C2519" s="1" t="s">
        <v>759</v>
      </c>
      <c r="D2519" s="1" t="s">
        <v>760</v>
      </c>
    </row>
    <row r="2520">
      <c r="A2520" s="1" t="s">
        <v>6435</v>
      </c>
      <c r="B2520" s="2" t="s">
        <v>6436</v>
      </c>
      <c r="C2520" s="1" t="s">
        <v>759</v>
      </c>
      <c r="D2520" s="1" t="s">
        <v>760</v>
      </c>
    </row>
    <row r="2521">
      <c r="A2521" s="1" t="s">
        <v>6437</v>
      </c>
      <c r="B2521" s="2" t="s">
        <v>6438</v>
      </c>
      <c r="C2521" s="1" t="s">
        <v>759</v>
      </c>
      <c r="D2521" s="1" t="s">
        <v>760</v>
      </c>
    </row>
    <row r="2522">
      <c r="A2522" s="1" t="s">
        <v>6439</v>
      </c>
      <c r="B2522" s="2" t="s">
        <v>6440</v>
      </c>
      <c r="C2522" s="1" t="s">
        <v>759</v>
      </c>
      <c r="D2522" s="1" t="s">
        <v>760</v>
      </c>
    </row>
    <row r="2523">
      <c r="A2523" s="1" t="s">
        <v>6441</v>
      </c>
      <c r="B2523" s="2" t="s">
        <v>6442</v>
      </c>
      <c r="C2523" s="1" t="s">
        <v>759</v>
      </c>
      <c r="D2523" s="1" t="s">
        <v>760</v>
      </c>
    </row>
    <row r="2524">
      <c r="A2524" s="1" t="s">
        <v>6443</v>
      </c>
      <c r="B2524" s="2" t="s">
        <v>6444</v>
      </c>
      <c r="C2524" s="1" t="s">
        <v>759</v>
      </c>
      <c r="D2524" s="1" t="s">
        <v>760</v>
      </c>
    </row>
    <row r="2525">
      <c r="A2525" s="1" t="s">
        <v>6445</v>
      </c>
      <c r="B2525" s="2" t="s">
        <v>6446</v>
      </c>
      <c r="C2525" s="1" t="s">
        <v>759</v>
      </c>
      <c r="D2525" s="1" t="s">
        <v>760</v>
      </c>
    </row>
    <row r="2526">
      <c r="A2526" s="1" t="s">
        <v>6447</v>
      </c>
      <c r="B2526" s="2" t="s">
        <v>6448</v>
      </c>
      <c r="C2526" s="1" t="s">
        <v>759</v>
      </c>
      <c r="D2526" s="1" t="s">
        <v>760</v>
      </c>
    </row>
    <row r="2527">
      <c r="A2527" s="1" t="s">
        <v>6449</v>
      </c>
      <c r="B2527" s="2" t="s">
        <v>6450</v>
      </c>
      <c r="C2527" s="1" t="s">
        <v>759</v>
      </c>
      <c r="D2527" s="1" t="s">
        <v>760</v>
      </c>
    </row>
    <row r="2528">
      <c r="A2528" s="1" t="s">
        <v>6451</v>
      </c>
      <c r="B2528" s="2" t="s">
        <v>6452</v>
      </c>
      <c r="C2528" s="1" t="s">
        <v>759</v>
      </c>
      <c r="D2528" s="1" t="s">
        <v>760</v>
      </c>
    </row>
    <row r="2529">
      <c r="A2529" s="1" t="s">
        <v>6453</v>
      </c>
      <c r="B2529" s="2" t="s">
        <v>5416</v>
      </c>
      <c r="C2529" s="1" t="s">
        <v>759</v>
      </c>
      <c r="D2529" s="1" t="s">
        <v>760</v>
      </c>
    </row>
    <row r="2530">
      <c r="A2530" s="1" t="s">
        <v>6454</v>
      </c>
      <c r="B2530" s="2" t="s">
        <v>6455</v>
      </c>
      <c r="C2530" s="1" t="s">
        <v>759</v>
      </c>
      <c r="D2530" s="1" t="s">
        <v>760</v>
      </c>
    </row>
    <row r="2531">
      <c r="A2531" s="1" t="s">
        <v>6456</v>
      </c>
      <c r="B2531" s="2" t="s">
        <v>6457</v>
      </c>
      <c r="C2531" s="1" t="s">
        <v>759</v>
      </c>
      <c r="D2531" s="1" t="s">
        <v>760</v>
      </c>
    </row>
    <row r="2532">
      <c r="A2532" s="1" t="s">
        <v>6458</v>
      </c>
      <c r="B2532" s="2" t="s">
        <v>6459</v>
      </c>
      <c r="C2532" s="1" t="s">
        <v>759</v>
      </c>
      <c r="D2532" s="1" t="s">
        <v>760</v>
      </c>
    </row>
    <row r="2533">
      <c r="A2533" s="1" t="s">
        <v>6460</v>
      </c>
      <c r="B2533" s="2" t="s">
        <v>6461</v>
      </c>
      <c r="C2533" s="1" t="s">
        <v>759</v>
      </c>
      <c r="D2533" s="1" t="s">
        <v>760</v>
      </c>
    </row>
    <row r="2534">
      <c r="A2534" s="1" t="s">
        <v>6463</v>
      </c>
      <c r="B2534" s="2" t="s">
        <v>6464</v>
      </c>
      <c r="C2534" s="1" t="s">
        <v>759</v>
      </c>
      <c r="D2534" s="1" t="s">
        <v>760</v>
      </c>
    </row>
    <row r="2535">
      <c r="A2535" s="1" t="s">
        <v>6467</v>
      </c>
      <c r="B2535" s="2" t="s">
        <v>6468</v>
      </c>
      <c r="C2535" s="1" t="s">
        <v>759</v>
      </c>
      <c r="D2535" s="1" t="s">
        <v>760</v>
      </c>
    </row>
    <row r="2536">
      <c r="A2536" s="1" t="s">
        <v>6469</v>
      </c>
      <c r="B2536" s="2" t="s">
        <v>6470</v>
      </c>
      <c r="C2536" s="1" t="s">
        <v>759</v>
      </c>
      <c r="D2536" s="1" t="s">
        <v>760</v>
      </c>
    </row>
    <row r="2537">
      <c r="A2537" s="1" t="s">
        <v>6471</v>
      </c>
      <c r="B2537" s="2" t="s">
        <v>6473</v>
      </c>
      <c r="C2537" s="1" t="s">
        <v>759</v>
      </c>
      <c r="D2537" s="1" t="s">
        <v>760</v>
      </c>
    </row>
    <row r="2538">
      <c r="A2538" s="1" t="s">
        <v>6477</v>
      </c>
      <c r="B2538" s="2" t="s">
        <v>6478</v>
      </c>
      <c r="C2538" s="1" t="s">
        <v>759</v>
      </c>
      <c r="D2538" s="1" t="s">
        <v>760</v>
      </c>
    </row>
    <row r="2539">
      <c r="A2539" s="1" t="s">
        <v>6479</v>
      </c>
      <c r="B2539" s="2" t="s">
        <v>6480</v>
      </c>
      <c r="C2539" s="1" t="s">
        <v>759</v>
      </c>
      <c r="D2539" s="1" t="s">
        <v>760</v>
      </c>
    </row>
    <row r="2540">
      <c r="A2540" s="1" t="s">
        <v>6484</v>
      </c>
      <c r="B2540" s="2" t="s">
        <v>5270</v>
      </c>
      <c r="C2540" s="1" t="s">
        <v>759</v>
      </c>
      <c r="D2540" s="1" t="s">
        <v>760</v>
      </c>
    </row>
    <row r="2541">
      <c r="A2541" s="1" t="s">
        <v>6485</v>
      </c>
      <c r="B2541" s="2" t="s">
        <v>6357</v>
      </c>
      <c r="C2541" s="1" t="s">
        <v>759</v>
      </c>
      <c r="D2541" s="1" t="s">
        <v>760</v>
      </c>
    </row>
    <row r="2542">
      <c r="A2542" s="1" t="s">
        <v>6487</v>
      </c>
      <c r="B2542" s="2" t="s">
        <v>6362</v>
      </c>
      <c r="C2542" s="1" t="s">
        <v>759</v>
      </c>
      <c r="D2542" s="1" t="s">
        <v>760</v>
      </c>
    </row>
    <row r="2543">
      <c r="A2543" s="1" t="s">
        <v>6490</v>
      </c>
      <c r="B2543" s="2" t="s">
        <v>6364</v>
      </c>
      <c r="C2543" s="1" t="s">
        <v>759</v>
      </c>
      <c r="D2543" s="1" t="s">
        <v>760</v>
      </c>
    </row>
    <row r="2544">
      <c r="A2544" s="1" t="s">
        <v>6491</v>
      </c>
      <c r="B2544" s="2" t="s">
        <v>6367</v>
      </c>
      <c r="C2544" s="1" t="s">
        <v>759</v>
      </c>
      <c r="D2544" s="1" t="s">
        <v>760</v>
      </c>
    </row>
    <row r="2545">
      <c r="A2545" s="1" t="s">
        <v>6493</v>
      </c>
      <c r="B2545" s="2" t="s">
        <v>6371</v>
      </c>
      <c r="C2545" s="1" t="s">
        <v>759</v>
      </c>
      <c r="D2545" s="1" t="s">
        <v>760</v>
      </c>
    </row>
    <row r="2546">
      <c r="A2546" s="1" t="s">
        <v>6496</v>
      </c>
      <c r="B2546" s="2" t="s">
        <v>6373</v>
      </c>
      <c r="C2546" s="1" t="s">
        <v>759</v>
      </c>
      <c r="D2546" s="1" t="s">
        <v>760</v>
      </c>
    </row>
    <row r="2547">
      <c r="A2547" s="1" t="s">
        <v>6497</v>
      </c>
      <c r="B2547" s="2" t="s">
        <v>6375</v>
      </c>
      <c r="C2547" s="1" t="s">
        <v>759</v>
      </c>
      <c r="D2547" s="1" t="s">
        <v>760</v>
      </c>
    </row>
    <row r="2548">
      <c r="A2548" s="1" t="s">
        <v>6499</v>
      </c>
      <c r="B2548" s="2" t="s">
        <v>6380</v>
      </c>
      <c r="C2548" s="1" t="s">
        <v>759</v>
      </c>
      <c r="D2548" s="1" t="s">
        <v>760</v>
      </c>
    </row>
    <row r="2549">
      <c r="A2549" s="1" t="s">
        <v>6502</v>
      </c>
      <c r="B2549" s="2" t="s">
        <v>6383</v>
      </c>
      <c r="C2549" s="1" t="s">
        <v>759</v>
      </c>
      <c r="D2549" s="1" t="s">
        <v>760</v>
      </c>
    </row>
    <row r="2550">
      <c r="A2550" s="1" t="s">
        <v>6503</v>
      </c>
      <c r="B2550" s="2" t="s">
        <v>6385</v>
      </c>
      <c r="C2550" s="1" t="s">
        <v>759</v>
      </c>
      <c r="D2550" s="1" t="s">
        <v>760</v>
      </c>
    </row>
    <row r="2551">
      <c r="A2551" s="1" t="s">
        <v>777</v>
      </c>
      <c r="B2551" s="2" t="s">
        <v>772</v>
      </c>
      <c r="C2551" s="1" t="s">
        <v>779</v>
      </c>
      <c r="D2551" s="1" t="s">
        <v>781</v>
      </c>
    </row>
    <row r="2552">
      <c r="A2552" s="1" t="s">
        <v>6507</v>
      </c>
      <c r="B2552" s="2" t="s">
        <v>6508</v>
      </c>
      <c r="C2552" s="1" t="s">
        <v>779</v>
      </c>
      <c r="D2552" s="1" t="s">
        <v>781</v>
      </c>
    </row>
    <row r="2553">
      <c r="A2553" s="1" t="s">
        <v>6509</v>
      </c>
      <c r="B2553" s="2" t="s">
        <v>6511</v>
      </c>
      <c r="C2553" s="1" t="s">
        <v>779</v>
      </c>
      <c r="D2553" s="1" t="s">
        <v>781</v>
      </c>
    </row>
    <row r="2554">
      <c r="A2554" s="1" t="s">
        <v>6513</v>
      </c>
      <c r="B2554" s="2" t="s">
        <v>6515</v>
      </c>
      <c r="C2554" s="1" t="s">
        <v>779</v>
      </c>
      <c r="D2554" s="1" t="s">
        <v>781</v>
      </c>
    </row>
    <row r="2555">
      <c r="A2555" s="1" t="s">
        <v>6516</v>
      </c>
      <c r="B2555" s="2" t="s">
        <v>6517</v>
      </c>
      <c r="C2555" s="1" t="s">
        <v>779</v>
      </c>
      <c r="D2555" s="1" t="s">
        <v>781</v>
      </c>
    </row>
    <row r="2556">
      <c r="A2556" s="1" t="s">
        <v>771</v>
      </c>
      <c r="B2556" s="2" t="s">
        <v>772</v>
      </c>
      <c r="C2556" s="1" t="s">
        <v>773</v>
      </c>
      <c r="D2556" s="1" t="s">
        <v>774</v>
      </c>
    </row>
    <row r="2557">
      <c r="A2557" s="1" t="s">
        <v>6521</v>
      </c>
      <c r="B2557" s="2" t="s">
        <v>6522</v>
      </c>
      <c r="C2557" s="1" t="s">
        <v>773</v>
      </c>
      <c r="D2557" s="1" t="s">
        <v>774</v>
      </c>
    </row>
    <row r="2558">
      <c r="A2558" s="1" t="s">
        <v>6523</v>
      </c>
      <c r="B2558" s="2" t="s">
        <v>6511</v>
      </c>
      <c r="C2558" s="1" t="s">
        <v>773</v>
      </c>
      <c r="D2558" s="1" t="s">
        <v>774</v>
      </c>
    </row>
    <row r="2559">
      <c r="A2559" s="1" t="s">
        <v>6527</v>
      </c>
      <c r="B2559" s="2" t="s">
        <v>6528</v>
      </c>
      <c r="C2559" s="1" t="s">
        <v>773</v>
      </c>
      <c r="D2559" s="1" t="s">
        <v>774</v>
      </c>
    </row>
    <row r="2560">
      <c r="A2560" s="1" t="s">
        <v>6529</v>
      </c>
      <c r="B2560" s="2" t="s">
        <v>6517</v>
      </c>
      <c r="C2560" s="1" t="s">
        <v>773</v>
      </c>
      <c r="D2560" s="1" t="s">
        <v>774</v>
      </c>
    </row>
    <row r="2561">
      <c r="A2561" s="1" t="s">
        <v>794</v>
      </c>
      <c r="B2561" s="2" t="s">
        <v>7</v>
      </c>
      <c r="C2561" s="1" t="s">
        <v>795</v>
      </c>
      <c r="D2561" s="1" t="s">
        <v>796</v>
      </c>
    </row>
    <row r="2562">
      <c r="A2562" s="1" t="s">
        <v>6534</v>
      </c>
      <c r="B2562" s="2" t="s">
        <v>6537</v>
      </c>
      <c r="C2562" s="1" t="s">
        <v>795</v>
      </c>
      <c r="D2562" s="1" t="s">
        <v>796</v>
      </c>
    </row>
    <row r="2563">
      <c r="A2563" s="1" t="s">
        <v>6538</v>
      </c>
      <c r="B2563" s="2" t="s">
        <v>6539</v>
      </c>
      <c r="C2563" s="1" t="s">
        <v>795</v>
      </c>
      <c r="D2563" s="1" t="s">
        <v>796</v>
      </c>
    </row>
    <row r="2564">
      <c r="A2564" s="1" t="s">
        <v>6542</v>
      </c>
      <c r="B2564" s="2" t="s">
        <v>6544</v>
      </c>
      <c r="C2564" s="1" t="s">
        <v>795</v>
      </c>
      <c r="D2564" s="1" t="s">
        <v>796</v>
      </c>
    </row>
    <row r="2565">
      <c r="A2565" s="1" t="s">
        <v>6546</v>
      </c>
      <c r="B2565" s="2" t="s">
        <v>5164</v>
      </c>
      <c r="C2565" s="1" t="s">
        <v>795</v>
      </c>
      <c r="D2565" s="1" t="s">
        <v>796</v>
      </c>
    </row>
    <row r="2566">
      <c r="A2566" s="1" t="s">
        <v>6548</v>
      </c>
      <c r="B2566" s="2" t="s">
        <v>6549</v>
      </c>
      <c r="C2566" s="1" t="s">
        <v>795</v>
      </c>
      <c r="D2566" s="1" t="s">
        <v>796</v>
      </c>
    </row>
    <row r="2567">
      <c r="A2567" s="1" t="s">
        <v>6552</v>
      </c>
      <c r="B2567" s="2" t="s">
        <v>6554</v>
      </c>
      <c r="C2567" s="1" t="s">
        <v>795</v>
      </c>
      <c r="D2567" s="1" t="s">
        <v>796</v>
      </c>
    </row>
    <row r="2568">
      <c r="A2568" s="1" t="s">
        <v>6556</v>
      </c>
      <c r="B2568" s="2" t="s">
        <v>6557</v>
      </c>
      <c r="C2568" s="1" t="s">
        <v>795</v>
      </c>
      <c r="D2568" s="1" t="s">
        <v>796</v>
      </c>
    </row>
    <row r="2569">
      <c r="A2569" s="1" t="s">
        <v>6558</v>
      </c>
      <c r="B2569" s="2" t="s">
        <v>5200</v>
      </c>
      <c r="C2569" s="1" t="s">
        <v>795</v>
      </c>
      <c r="D2569" s="1" t="s">
        <v>796</v>
      </c>
    </row>
    <row r="2570">
      <c r="A2570" s="1" t="s">
        <v>6562</v>
      </c>
      <c r="B2570" s="2" t="s">
        <v>6564</v>
      </c>
      <c r="C2570" s="1" t="s">
        <v>795</v>
      </c>
      <c r="D2570" s="1" t="s">
        <v>796</v>
      </c>
    </row>
    <row r="2571">
      <c r="A2571" s="1" t="s">
        <v>6565</v>
      </c>
      <c r="B2571" s="2" t="s">
        <v>6566</v>
      </c>
      <c r="C2571" s="1" t="s">
        <v>795</v>
      </c>
      <c r="D2571" s="1" t="s">
        <v>796</v>
      </c>
    </row>
    <row r="2572">
      <c r="A2572" s="1" t="s">
        <v>6568</v>
      </c>
      <c r="B2572" s="2" t="s">
        <v>6569</v>
      </c>
      <c r="C2572" s="1" t="s">
        <v>795</v>
      </c>
      <c r="D2572" s="1" t="s">
        <v>796</v>
      </c>
    </row>
    <row r="2573">
      <c r="A2573" s="1" t="s">
        <v>6572</v>
      </c>
      <c r="B2573" s="2" t="s">
        <v>5236</v>
      </c>
      <c r="C2573" s="1" t="s">
        <v>795</v>
      </c>
      <c r="D2573" s="1" t="s">
        <v>796</v>
      </c>
    </row>
    <row r="2574">
      <c r="A2574" s="1" t="s">
        <v>6574</v>
      </c>
      <c r="B2574" s="2" t="s">
        <v>6575</v>
      </c>
      <c r="C2574" s="1" t="s">
        <v>795</v>
      </c>
      <c r="D2574" s="1" t="s">
        <v>796</v>
      </c>
    </row>
    <row r="2575">
      <c r="A2575" s="1" t="s">
        <v>6584</v>
      </c>
      <c r="B2575" s="2" t="s">
        <v>6585</v>
      </c>
      <c r="C2575" s="1" t="s">
        <v>795</v>
      </c>
      <c r="D2575" s="1" t="s">
        <v>796</v>
      </c>
    </row>
    <row r="2576">
      <c r="A2576" s="1" t="s">
        <v>6587</v>
      </c>
      <c r="B2576" s="2" t="s">
        <v>6588</v>
      </c>
      <c r="C2576" s="1" t="s">
        <v>795</v>
      </c>
      <c r="D2576" s="1" t="s">
        <v>796</v>
      </c>
    </row>
    <row r="2577">
      <c r="A2577" s="1" t="s">
        <v>6589</v>
      </c>
      <c r="B2577" s="2" t="s">
        <v>5270</v>
      </c>
      <c r="C2577" s="1" t="s">
        <v>795</v>
      </c>
      <c r="D2577" s="1" t="s">
        <v>796</v>
      </c>
    </row>
    <row r="2578">
      <c r="A2578" s="1" t="s">
        <v>6591</v>
      </c>
      <c r="B2578" s="2" t="s">
        <v>6593</v>
      </c>
      <c r="C2578" s="1" t="s">
        <v>795</v>
      </c>
      <c r="D2578" s="1" t="s">
        <v>796</v>
      </c>
    </row>
    <row r="2579">
      <c r="A2579" s="1" t="s">
        <v>6596</v>
      </c>
      <c r="B2579" s="2" t="s">
        <v>6597</v>
      </c>
      <c r="C2579" s="1" t="s">
        <v>795</v>
      </c>
      <c r="D2579" s="1" t="s">
        <v>796</v>
      </c>
    </row>
    <row r="2580">
      <c r="A2580" s="1" t="s">
        <v>6598</v>
      </c>
      <c r="B2580" s="2" t="s">
        <v>6599</v>
      </c>
      <c r="C2580" s="1" t="s">
        <v>795</v>
      </c>
      <c r="D2580" s="1" t="s">
        <v>796</v>
      </c>
    </row>
    <row r="2581">
      <c r="A2581" s="1" t="s">
        <v>787</v>
      </c>
      <c r="B2581" s="2" t="s">
        <v>7</v>
      </c>
      <c r="C2581" s="1" t="s">
        <v>789</v>
      </c>
      <c r="D2581" s="1" t="s">
        <v>790</v>
      </c>
    </row>
    <row r="2582">
      <c r="A2582" s="1" t="s">
        <v>6604</v>
      </c>
      <c r="B2582" s="2" t="s">
        <v>6537</v>
      </c>
      <c r="C2582" s="1" t="s">
        <v>789</v>
      </c>
      <c r="D2582" s="1" t="s">
        <v>790</v>
      </c>
    </row>
    <row r="2583">
      <c r="A2583" s="1" t="s">
        <v>6605</v>
      </c>
      <c r="B2583" s="2" t="s">
        <v>6539</v>
      </c>
      <c r="C2583" s="1" t="s">
        <v>789</v>
      </c>
      <c r="D2583" s="1" t="s">
        <v>790</v>
      </c>
    </row>
    <row r="2584">
      <c r="A2584" s="1" t="s">
        <v>6608</v>
      </c>
      <c r="B2584" s="2" t="s">
        <v>6544</v>
      </c>
      <c r="C2584" s="1" t="s">
        <v>789</v>
      </c>
      <c r="D2584" s="1" t="s">
        <v>790</v>
      </c>
    </row>
    <row r="2585">
      <c r="A2585" s="1" t="s">
        <v>6611</v>
      </c>
      <c r="B2585" s="2" t="s">
        <v>5336</v>
      </c>
      <c r="C2585" s="1" t="s">
        <v>789</v>
      </c>
      <c r="D2585" s="1" t="s">
        <v>790</v>
      </c>
    </row>
    <row r="2586">
      <c r="A2586" s="1" t="s">
        <v>6612</v>
      </c>
      <c r="B2586" s="2" t="s">
        <v>6613</v>
      </c>
      <c r="C2586" s="1" t="s">
        <v>789</v>
      </c>
      <c r="D2586" s="1" t="s">
        <v>790</v>
      </c>
    </row>
    <row r="2587">
      <c r="A2587" s="1" t="s">
        <v>6615</v>
      </c>
      <c r="B2587" s="2" t="s">
        <v>6617</v>
      </c>
      <c r="C2587" s="1" t="s">
        <v>789</v>
      </c>
      <c r="D2587" s="1" t="s">
        <v>790</v>
      </c>
    </row>
    <row r="2588">
      <c r="A2588" s="1" t="s">
        <v>6619</v>
      </c>
      <c r="B2588" s="2" t="s">
        <v>6620</v>
      </c>
      <c r="C2588" s="1" t="s">
        <v>789</v>
      </c>
      <c r="D2588" s="1" t="s">
        <v>790</v>
      </c>
    </row>
    <row r="2589">
      <c r="A2589" s="1" t="s">
        <v>6622</v>
      </c>
      <c r="B2589" s="2" t="s">
        <v>5375</v>
      </c>
      <c r="C2589" s="1" t="s">
        <v>789</v>
      </c>
      <c r="D2589" s="1" t="s">
        <v>790</v>
      </c>
    </row>
    <row r="2590">
      <c r="A2590" s="1" t="s">
        <v>6625</v>
      </c>
      <c r="B2590" s="2" t="s">
        <v>6626</v>
      </c>
      <c r="C2590" s="1" t="s">
        <v>789</v>
      </c>
      <c r="D2590" s="1" t="s">
        <v>790</v>
      </c>
    </row>
    <row r="2591">
      <c r="A2591" s="1" t="s">
        <v>6627</v>
      </c>
      <c r="B2591" s="2" t="s">
        <v>6629</v>
      </c>
      <c r="C2591" s="1" t="s">
        <v>789</v>
      </c>
      <c r="D2591" s="1" t="s">
        <v>790</v>
      </c>
    </row>
    <row r="2592">
      <c r="A2592" s="1" t="s">
        <v>6632</v>
      </c>
      <c r="B2592" s="2" t="s">
        <v>6633</v>
      </c>
      <c r="C2592" s="1" t="s">
        <v>789</v>
      </c>
      <c r="D2592" s="1" t="s">
        <v>790</v>
      </c>
    </row>
    <row r="2593">
      <c r="A2593" s="1" t="s">
        <v>6634</v>
      </c>
      <c r="B2593" s="2" t="s">
        <v>5416</v>
      </c>
      <c r="C2593" s="1" t="s">
        <v>789</v>
      </c>
      <c r="D2593" s="1" t="s">
        <v>790</v>
      </c>
    </row>
    <row r="2594">
      <c r="A2594" s="1" t="s">
        <v>6638</v>
      </c>
      <c r="B2594" s="2" t="s">
        <v>6639</v>
      </c>
      <c r="C2594" s="1" t="s">
        <v>789</v>
      </c>
      <c r="D2594" s="1" t="s">
        <v>790</v>
      </c>
    </row>
    <row r="2595">
      <c r="A2595" s="1" t="s">
        <v>6641</v>
      </c>
      <c r="B2595" s="2" t="s">
        <v>6644</v>
      </c>
      <c r="C2595" s="1" t="s">
        <v>789</v>
      </c>
      <c r="D2595" s="1" t="s">
        <v>790</v>
      </c>
    </row>
    <row r="2596">
      <c r="A2596" s="1" t="s">
        <v>6647</v>
      </c>
      <c r="B2596" s="2" t="s">
        <v>6648</v>
      </c>
      <c r="C2596" s="1" t="s">
        <v>789</v>
      </c>
      <c r="D2596" s="1" t="s">
        <v>790</v>
      </c>
    </row>
    <row r="2597">
      <c r="A2597" s="1" t="s">
        <v>6650</v>
      </c>
      <c r="B2597" s="2" t="s">
        <v>5270</v>
      </c>
      <c r="C2597" s="1" t="s">
        <v>789</v>
      </c>
      <c r="D2597" s="1" t="s">
        <v>790</v>
      </c>
    </row>
    <row r="2598">
      <c r="A2598" s="1" t="s">
        <v>6653</v>
      </c>
      <c r="B2598" s="2" t="s">
        <v>6593</v>
      </c>
      <c r="C2598" s="1" t="s">
        <v>789</v>
      </c>
      <c r="D2598" s="1" t="s">
        <v>790</v>
      </c>
    </row>
    <row r="2599">
      <c r="A2599" s="1" t="s">
        <v>6656</v>
      </c>
      <c r="B2599" s="2" t="s">
        <v>6597</v>
      </c>
      <c r="C2599" s="1" t="s">
        <v>789</v>
      </c>
      <c r="D2599" s="1" t="s">
        <v>790</v>
      </c>
    </row>
    <row r="2600">
      <c r="A2600" s="1" t="s">
        <v>6659</v>
      </c>
      <c r="B2600" s="2" t="s">
        <v>6599</v>
      </c>
      <c r="C2600" s="1" t="s">
        <v>789</v>
      </c>
      <c r="D2600" s="1" t="s">
        <v>790</v>
      </c>
    </row>
    <row r="2601">
      <c r="A2601" s="1" t="s">
        <v>803</v>
      </c>
      <c r="B2601" s="2" t="s">
        <v>7</v>
      </c>
      <c r="C2601" s="1" t="s">
        <v>804</v>
      </c>
      <c r="D2601" s="1" t="s">
        <v>805</v>
      </c>
    </row>
    <row r="2602">
      <c r="A2602" s="1" t="s">
        <v>6662</v>
      </c>
      <c r="B2602" s="2" t="s">
        <v>6663</v>
      </c>
      <c r="C2602" s="1" t="s">
        <v>804</v>
      </c>
      <c r="D2602" s="1" t="s">
        <v>805</v>
      </c>
    </row>
    <row r="2603">
      <c r="A2603" s="1" t="s">
        <v>6664</v>
      </c>
      <c r="B2603" s="2" t="s">
        <v>5131</v>
      </c>
      <c r="C2603" s="1" t="s">
        <v>804</v>
      </c>
      <c r="D2603" s="1" t="s">
        <v>805</v>
      </c>
    </row>
    <row r="2604">
      <c r="A2604" s="1" t="s">
        <v>6669</v>
      </c>
      <c r="B2604" s="2" t="s">
        <v>6670</v>
      </c>
      <c r="C2604" s="1" t="s">
        <v>804</v>
      </c>
      <c r="D2604" s="1" t="s">
        <v>805</v>
      </c>
    </row>
    <row r="2605">
      <c r="A2605" s="1" t="s">
        <v>6671</v>
      </c>
      <c r="B2605" s="2" t="s">
        <v>6673</v>
      </c>
      <c r="C2605" s="1" t="s">
        <v>804</v>
      </c>
      <c r="D2605" s="1" t="s">
        <v>805</v>
      </c>
    </row>
    <row r="2606">
      <c r="A2606" s="1" t="s">
        <v>6677</v>
      </c>
      <c r="B2606" s="2" t="s">
        <v>6678</v>
      </c>
      <c r="C2606" s="1" t="s">
        <v>804</v>
      </c>
      <c r="D2606" s="1" t="s">
        <v>805</v>
      </c>
    </row>
    <row r="2607">
      <c r="A2607" s="1" t="s">
        <v>6679</v>
      </c>
      <c r="B2607" s="2" t="s">
        <v>6680</v>
      </c>
      <c r="C2607" s="1" t="s">
        <v>804</v>
      </c>
      <c r="D2607" s="1" t="s">
        <v>805</v>
      </c>
    </row>
    <row r="2608">
      <c r="A2608" s="1" t="s">
        <v>6683</v>
      </c>
      <c r="B2608" s="2" t="s">
        <v>6685</v>
      </c>
      <c r="C2608" s="1" t="s">
        <v>804</v>
      </c>
      <c r="D2608" s="1" t="s">
        <v>805</v>
      </c>
    </row>
    <row r="2609">
      <c r="A2609" s="1" t="s">
        <v>6686</v>
      </c>
      <c r="B2609" s="2" t="s">
        <v>6687</v>
      </c>
      <c r="C2609" s="1" t="s">
        <v>804</v>
      </c>
      <c r="D2609" s="1" t="s">
        <v>805</v>
      </c>
    </row>
    <row r="2610">
      <c r="A2610" s="1" t="s">
        <v>6690</v>
      </c>
      <c r="B2610" s="2" t="s">
        <v>6692</v>
      </c>
      <c r="C2610" s="1" t="s">
        <v>804</v>
      </c>
      <c r="D2610" s="1" t="s">
        <v>805</v>
      </c>
    </row>
    <row r="2611">
      <c r="A2611" s="1" t="s">
        <v>6693</v>
      </c>
      <c r="B2611" s="2" t="s">
        <v>6694</v>
      </c>
      <c r="C2611" s="1" t="s">
        <v>804</v>
      </c>
      <c r="D2611" s="1" t="s">
        <v>805</v>
      </c>
    </row>
    <row r="2612">
      <c r="A2612" s="1" t="s">
        <v>6698</v>
      </c>
      <c r="B2612" s="2" t="s">
        <v>5148</v>
      </c>
      <c r="C2612" s="1" t="s">
        <v>804</v>
      </c>
      <c r="D2612" s="1" t="s">
        <v>805</v>
      </c>
    </row>
    <row r="2613">
      <c r="A2613" s="1" t="s">
        <v>6699</v>
      </c>
      <c r="B2613" s="2" t="s">
        <v>6701</v>
      </c>
      <c r="C2613" s="1" t="s">
        <v>804</v>
      </c>
      <c r="D2613" s="1" t="s">
        <v>805</v>
      </c>
    </row>
    <row r="2614">
      <c r="A2614" s="1" t="s">
        <v>6704</v>
      </c>
      <c r="B2614" s="2" t="s">
        <v>6705</v>
      </c>
      <c r="C2614" s="1" t="s">
        <v>804</v>
      </c>
      <c r="D2614" s="1" t="s">
        <v>805</v>
      </c>
    </row>
    <row r="2615">
      <c r="A2615" s="1" t="s">
        <v>6706</v>
      </c>
      <c r="B2615" s="2" t="s">
        <v>6707</v>
      </c>
      <c r="C2615" s="1" t="s">
        <v>804</v>
      </c>
      <c r="D2615" s="1" t="s">
        <v>805</v>
      </c>
    </row>
    <row r="2616">
      <c r="A2616" s="1" t="s">
        <v>6711</v>
      </c>
      <c r="B2616" s="2" t="s">
        <v>5161</v>
      </c>
      <c r="C2616" s="1" t="s">
        <v>804</v>
      </c>
      <c r="D2616" s="1" t="s">
        <v>805</v>
      </c>
    </row>
    <row r="2617">
      <c r="A2617" s="1" t="s">
        <v>6712</v>
      </c>
      <c r="B2617" s="2" t="s">
        <v>6713</v>
      </c>
      <c r="C2617" s="1" t="s">
        <v>804</v>
      </c>
      <c r="D2617" s="1" t="s">
        <v>805</v>
      </c>
    </row>
    <row r="2618">
      <c r="A2618" s="1" t="s">
        <v>6717</v>
      </c>
      <c r="B2618" s="2" t="s">
        <v>6718</v>
      </c>
      <c r="C2618" s="1" t="s">
        <v>804</v>
      </c>
      <c r="D2618" s="1" t="s">
        <v>805</v>
      </c>
    </row>
    <row r="2619">
      <c r="A2619" s="1" t="s">
        <v>6720</v>
      </c>
      <c r="B2619" s="2" t="s">
        <v>6721</v>
      </c>
      <c r="C2619" s="1" t="s">
        <v>804</v>
      </c>
      <c r="D2619" s="1" t="s">
        <v>805</v>
      </c>
    </row>
    <row r="2620">
      <c r="A2620" s="1" t="s">
        <v>6724</v>
      </c>
      <c r="B2620" s="2" t="s">
        <v>6725</v>
      </c>
      <c r="C2620" s="1" t="s">
        <v>804</v>
      </c>
      <c r="D2620" s="1" t="s">
        <v>805</v>
      </c>
    </row>
    <row r="2621">
      <c r="A2621" s="1" t="s">
        <v>6726</v>
      </c>
      <c r="B2621" s="2" t="s">
        <v>6728</v>
      </c>
      <c r="C2621" s="1" t="s">
        <v>804</v>
      </c>
      <c r="D2621" s="1" t="s">
        <v>805</v>
      </c>
    </row>
    <row r="2622">
      <c r="A2622" s="1" t="s">
        <v>6731</v>
      </c>
      <c r="B2622" s="2" t="s">
        <v>6732</v>
      </c>
      <c r="C2622" s="1" t="s">
        <v>804</v>
      </c>
      <c r="D2622" s="1" t="s">
        <v>805</v>
      </c>
    </row>
    <row r="2623">
      <c r="A2623" s="1" t="s">
        <v>6733</v>
      </c>
      <c r="B2623" s="2" t="s">
        <v>6735</v>
      </c>
      <c r="C2623" s="1" t="s">
        <v>804</v>
      </c>
      <c r="D2623" s="1" t="s">
        <v>805</v>
      </c>
    </row>
    <row r="2624">
      <c r="A2624" s="1" t="s">
        <v>6738</v>
      </c>
      <c r="B2624" s="2" t="s">
        <v>6739</v>
      </c>
      <c r="C2624" s="1" t="s">
        <v>804</v>
      </c>
      <c r="D2624" s="1" t="s">
        <v>805</v>
      </c>
    </row>
    <row r="2625">
      <c r="A2625" s="1" t="s">
        <v>6740</v>
      </c>
      <c r="B2625" s="2" t="s">
        <v>6742</v>
      </c>
      <c r="C2625" s="1" t="s">
        <v>804</v>
      </c>
      <c r="D2625" s="1" t="s">
        <v>805</v>
      </c>
    </row>
    <row r="2626">
      <c r="A2626" s="1" t="s">
        <v>6746</v>
      </c>
      <c r="B2626" s="2" t="s">
        <v>6747</v>
      </c>
      <c r="C2626" s="1" t="s">
        <v>804</v>
      </c>
      <c r="D2626" s="1" t="s">
        <v>805</v>
      </c>
    </row>
    <row r="2627">
      <c r="A2627" s="1" t="s">
        <v>6748</v>
      </c>
      <c r="B2627" s="2" t="s">
        <v>6751</v>
      </c>
      <c r="C2627" s="1" t="s">
        <v>804</v>
      </c>
      <c r="D2627" s="1" t="s">
        <v>805</v>
      </c>
    </row>
    <row r="2628">
      <c r="A2628" s="1" t="s">
        <v>6754</v>
      </c>
      <c r="B2628" s="2" t="s">
        <v>6756</v>
      </c>
      <c r="C2628" s="1" t="s">
        <v>804</v>
      </c>
      <c r="D2628" s="1" t="s">
        <v>805</v>
      </c>
    </row>
    <row r="2629">
      <c r="A2629" s="1" t="s">
        <v>6757</v>
      </c>
      <c r="B2629" s="2" t="s">
        <v>6759</v>
      </c>
      <c r="C2629" s="1" t="s">
        <v>804</v>
      </c>
      <c r="D2629" s="1" t="s">
        <v>805</v>
      </c>
    </row>
    <row r="2630">
      <c r="A2630" s="1" t="s">
        <v>6762</v>
      </c>
      <c r="B2630" s="2" t="s">
        <v>6763</v>
      </c>
      <c r="C2630" s="1" t="s">
        <v>804</v>
      </c>
      <c r="D2630" s="1" t="s">
        <v>805</v>
      </c>
    </row>
    <row r="2631">
      <c r="A2631" s="1" t="s">
        <v>6764</v>
      </c>
      <c r="B2631" s="2" t="s">
        <v>6765</v>
      </c>
      <c r="C2631" s="1" t="s">
        <v>804</v>
      </c>
      <c r="D2631" s="1" t="s">
        <v>805</v>
      </c>
    </row>
    <row r="2632">
      <c r="A2632" s="1" t="s">
        <v>6767</v>
      </c>
      <c r="B2632" s="2" t="s">
        <v>6768</v>
      </c>
      <c r="C2632" s="1" t="s">
        <v>804</v>
      </c>
      <c r="D2632" s="1" t="s">
        <v>805</v>
      </c>
    </row>
    <row r="2633">
      <c r="A2633" s="1" t="s">
        <v>6771</v>
      </c>
      <c r="B2633" s="2" t="s">
        <v>6772</v>
      </c>
      <c r="C2633" s="1" t="s">
        <v>804</v>
      </c>
      <c r="D2633" s="1" t="s">
        <v>805</v>
      </c>
    </row>
    <row r="2634">
      <c r="A2634" s="1" t="s">
        <v>6774</v>
      </c>
      <c r="B2634" s="2" t="s">
        <v>6776</v>
      </c>
      <c r="C2634" s="1" t="s">
        <v>804</v>
      </c>
      <c r="D2634" s="1" t="s">
        <v>805</v>
      </c>
    </row>
    <row r="2635">
      <c r="A2635" s="1" t="s">
        <v>6779</v>
      </c>
      <c r="B2635" s="2" t="s">
        <v>6780</v>
      </c>
      <c r="C2635" s="1" t="s">
        <v>804</v>
      </c>
      <c r="D2635" s="1" t="s">
        <v>805</v>
      </c>
    </row>
    <row r="2636">
      <c r="A2636" s="1" t="s">
        <v>6781</v>
      </c>
      <c r="B2636" s="2" t="s">
        <v>6783</v>
      </c>
      <c r="C2636" s="1" t="s">
        <v>804</v>
      </c>
      <c r="D2636" s="1" t="s">
        <v>805</v>
      </c>
    </row>
    <row r="2637">
      <c r="A2637" s="1" t="s">
        <v>6785</v>
      </c>
      <c r="B2637" s="2" t="s">
        <v>6787</v>
      </c>
      <c r="C2637" s="1" t="s">
        <v>804</v>
      </c>
      <c r="D2637" s="1" t="s">
        <v>805</v>
      </c>
    </row>
    <row r="2638">
      <c r="A2638" s="1" t="s">
        <v>6788</v>
      </c>
      <c r="B2638" s="2" t="s">
        <v>6789</v>
      </c>
      <c r="C2638" s="1" t="s">
        <v>804</v>
      </c>
      <c r="D2638" s="1" t="s">
        <v>805</v>
      </c>
    </row>
    <row r="2639">
      <c r="A2639" s="1" t="s">
        <v>6791</v>
      </c>
      <c r="B2639" s="2" t="s">
        <v>6792</v>
      </c>
      <c r="C2639" s="1" t="s">
        <v>804</v>
      </c>
      <c r="D2639" s="1" t="s">
        <v>805</v>
      </c>
    </row>
    <row r="2640">
      <c r="A2640" s="1" t="s">
        <v>6795</v>
      </c>
      <c r="B2640" s="2" t="s">
        <v>6796</v>
      </c>
      <c r="C2640" s="1" t="s">
        <v>804</v>
      </c>
      <c r="D2640" s="1" t="s">
        <v>805</v>
      </c>
    </row>
    <row r="2641">
      <c r="A2641" s="1" t="s">
        <v>6797</v>
      </c>
      <c r="B2641" s="2" t="s">
        <v>6798</v>
      </c>
      <c r="C2641" s="1" t="s">
        <v>804</v>
      </c>
      <c r="D2641" s="1" t="s">
        <v>805</v>
      </c>
    </row>
    <row r="2642">
      <c r="A2642" s="1" t="s">
        <v>6801</v>
      </c>
      <c r="B2642" s="2" t="s">
        <v>6803</v>
      </c>
      <c r="C2642" s="1" t="s">
        <v>804</v>
      </c>
      <c r="D2642" s="1" t="s">
        <v>805</v>
      </c>
    </row>
    <row r="2643">
      <c r="A2643" s="1" t="s">
        <v>6805</v>
      </c>
      <c r="B2643" s="2" t="s">
        <v>6806</v>
      </c>
      <c r="C2643" s="1" t="s">
        <v>804</v>
      </c>
      <c r="D2643" s="1" t="s">
        <v>805</v>
      </c>
    </row>
    <row r="2644">
      <c r="A2644" s="1" t="s">
        <v>6807</v>
      </c>
      <c r="B2644" s="2" t="s">
        <v>6808</v>
      </c>
      <c r="C2644" s="1" t="s">
        <v>804</v>
      </c>
      <c r="D2644" s="1" t="s">
        <v>805</v>
      </c>
    </row>
    <row r="2645">
      <c r="A2645" s="1" t="s">
        <v>6811</v>
      </c>
      <c r="B2645" s="2" t="s">
        <v>6813</v>
      </c>
      <c r="C2645" s="1" t="s">
        <v>804</v>
      </c>
      <c r="D2645" s="1" t="s">
        <v>805</v>
      </c>
    </row>
    <row r="2646">
      <c r="A2646" s="1" t="s">
        <v>6814</v>
      </c>
      <c r="B2646" s="2" t="s">
        <v>6815</v>
      </c>
      <c r="C2646" s="1" t="s">
        <v>804</v>
      </c>
      <c r="D2646" s="1" t="s">
        <v>805</v>
      </c>
    </row>
    <row r="2647">
      <c r="A2647" s="1" t="s">
        <v>6816</v>
      </c>
      <c r="B2647" s="2" t="s">
        <v>6817</v>
      </c>
      <c r="C2647" s="1" t="s">
        <v>804</v>
      </c>
      <c r="D2647" s="1" t="s">
        <v>805</v>
      </c>
    </row>
    <row r="2648">
      <c r="A2648" s="1" t="s">
        <v>6820</v>
      </c>
      <c r="B2648" s="2" t="s">
        <v>6822</v>
      </c>
      <c r="C2648" s="1" t="s">
        <v>804</v>
      </c>
      <c r="D2648" s="1" t="s">
        <v>805</v>
      </c>
    </row>
    <row r="2649">
      <c r="A2649" s="1" t="s">
        <v>6824</v>
      </c>
      <c r="B2649" s="2" t="s">
        <v>6825</v>
      </c>
      <c r="C2649" s="1" t="s">
        <v>804</v>
      </c>
      <c r="D2649" s="1" t="s">
        <v>805</v>
      </c>
    </row>
    <row r="2650">
      <c r="A2650" s="1" t="s">
        <v>6826</v>
      </c>
      <c r="B2650" s="2" t="s">
        <v>6827</v>
      </c>
      <c r="C2650" s="1" t="s">
        <v>804</v>
      </c>
      <c r="D2650" s="1" t="s">
        <v>805</v>
      </c>
    </row>
    <row r="2651">
      <c r="A2651" s="1" t="s">
        <v>6830</v>
      </c>
      <c r="B2651" s="2" t="s">
        <v>6831</v>
      </c>
      <c r="C2651" s="1" t="s">
        <v>804</v>
      </c>
      <c r="D2651" s="1" t="s">
        <v>805</v>
      </c>
    </row>
    <row r="2652">
      <c r="A2652" s="1" t="s">
        <v>6834</v>
      </c>
      <c r="B2652" s="2" t="s">
        <v>6835</v>
      </c>
      <c r="C2652" s="1" t="s">
        <v>804</v>
      </c>
      <c r="D2652" s="1" t="s">
        <v>805</v>
      </c>
    </row>
    <row r="2653">
      <c r="A2653" s="1" t="s">
        <v>6836</v>
      </c>
      <c r="B2653" s="2" t="s">
        <v>6837</v>
      </c>
      <c r="C2653" s="1" t="s">
        <v>804</v>
      </c>
      <c r="D2653" s="1" t="s">
        <v>805</v>
      </c>
    </row>
    <row r="2654">
      <c r="A2654" s="1" t="s">
        <v>6840</v>
      </c>
      <c r="B2654" s="2" t="s">
        <v>6842</v>
      </c>
      <c r="C2654" s="1" t="s">
        <v>804</v>
      </c>
      <c r="D2654" s="1" t="s">
        <v>805</v>
      </c>
    </row>
    <row r="2655">
      <c r="A2655" s="1" t="s">
        <v>6844</v>
      </c>
      <c r="B2655" s="2" t="s">
        <v>6845</v>
      </c>
      <c r="C2655" s="1" t="s">
        <v>804</v>
      </c>
      <c r="D2655" s="1" t="s">
        <v>805</v>
      </c>
    </row>
    <row r="2656">
      <c r="A2656" s="1" t="s">
        <v>6846</v>
      </c>
      <c r="B2656" s="2" t="s">
        <v>6847</v>
      </c>
      <c r="C2656" s="1" t="s">
        <v>804</v>
      </c>
      <c r="D2656" s="1" t="s">
        <v>805</v>
      </c>
    </row>
    <row r="2657">
      <c r="A2657" s="1" t="s">
        <v>6849</v>
      </c>
      <c r="B2657" s="2" t="s">
        <v>6851</v>
      </c>
      <c r="C2657" s="1" t="s">
        <v>804</v>
      </c>
      <c r="D2657" s="1" t="s">
        <v>805</v>
      </c>
    </row>
    <row r="2658">
      <c r="A2658" s="1" t="s">
        <v>6853</v>
      </c>
      <c r="B2658" s="2" t="s">
        <v>6854</v>
      </c>
      <c r="C2658" s="1" t="s">
        <v>804</v>
      </c>
      <c r="D2658" s="1" t="s">
        <v>805</v>
      </c>
    </row>
    <row r="2659">
      <c r="A2659" s="1" t="s">
        <v>6855</v>
      </c>
      <c r="B2659" s="2" t="s">
        <v>6856</v>
      </c>
      <c r="C2659" s="1" t="s">
        <v>804</v>
      </c>
      <c r="D2659" s="1" t="s">
        <v>805</v>
      </c>
    </row>
    <row r="2660">
      <c r="A2660" s="1" t="s">
        <v>6859</v>
      </c>
      <c r="B2660" s="2" t="s">
        <v>6861</v>
      </c>
      <c r="C2660" s="1" t="s">
        <v>804</v>
      </c>
      <c r="D2660" s="1" t="s">
        <v>805</v>
      </c>
    </row>
    <row r="2661">
      <c r="A2661" s="1" t="s">
        <v>6863</v>
      </c>
      <c r="B2661" s="2" t="s">
        <v>6864</v>
      </c>
      <c r="C2661" s="1" t="s">
        <v>804</v>
      </c>
      <c r="D2661" s="1" t="s">
        <v>805</v>
      </c>
    </row>
    <row r="2662">
      <c r="A2662" s="1" t="s">
        <v>6865</v>
      </c>
      <c r="B2662" s="2" t="s">
        <v>6866</v>
      </c>
      <c r="C2662" s="1" t="s">
        <v>804</v>
      </c>
      <c r="D2662" s="1" t="s">
        <v>805</v>
      </c>
    </row>
    <row r="2663">
      <c r="A2663" s="1" t="s">
        <v>6868</v>
      </c>
      <c r="B2663" s="2" t="s">
        <v>6870</v>
      </c>
      <c r="C2663" s="1" t="s">
        <v>804</v>
      </c>
      <c r="D2663" s="1" t="s">
        <v>805</v>
      </c>
    </row>
    <row r="2664">
      <c r="A2664" s="1" t="s">
        <v>6872</v>
      </c>
      <c r="B2664" s="2" t="s">
        <v>6873</v>
      </c>
      <c r="C2664" s="1" t="s">
        <v>804</v>
      </c>
      <c r="D2664" s="1" t="s">
        <v>805</v>
      </c>
    </row>
    <row r="2665">
      <c r="A2665" s="1" t="s">
        <v>6874</v>
      </c>
      <c r="B2665" s="2" t="s">
        <v>6875</v>
      </c>
      <c r="C2665" s="1" t="s">
        <v>804</v>
      </c>
      <c r="D2665" s="1" t="s">
        <v>805</v>
      </c>
    </row>
    <row r="2666">
      <c r="A2666" s="1" t="s">
        <v>6877</v>
      </c>
      <c r="B2666" s="2" t="s">
        <v>6879</v>
      </c>
      <c r="C2666" s="1" t="s">
        <v>804</v>
      </c>
      <c r="D2666" s="1" t="s">
        <v>805</v>
      </c>
    </row>
    <row r="2667">
      <c r="A2667" s="1" t="s">
        <v>6881</v>
      </c>
      <c r="B2667" s="2" t="s">
        <v>6882</v>
      </c>
      <c r="C2667" s="1" t="s">
        <v>804</v>
      </c>
      <c r="D2667" s="1" t="s">
        <v>805</v>
      </c>
    </row>
    <row r="2668">
      <c r="A2668" s="1" t="s">
        <v>6883</v>
      </c>
      <c r="B2668" s="2" t="s">
        <v>6885</v>
      </c>
      <c r="C2668" s="1" t="s">
        <v>804</v>
      </c>
      <c r="D2668" s="1" t="s">
        <v>805</v>
      </c>
    </row>
    <row r="2669">
      <c r="A2669" s="1" t="s">
        <v>6887</v>
      </c>
      <c r="B2669" s="2" t="s">
        <v>6889</v>
      </c>
      <c r="C2669" s="1" t="s">
        <v>804</v>
      </c>
      <c r="D2669" s="1" t="s">
        <v>805</v>
      </c>
    </row>
    <row r="2670">
      <c r="A2670" s="1" t="s">
        <v>6890</v>
      </c>
      <c r="B2670" s="2" t="s">
        <v>6891</v>
      </c>
      <c r="C2670" s="1" t="s">
        <v>804</v>
      </c>
      <c r="D2670" s="1" t="s">
        <v>805</v>
      </c>
    </row>
    <row r="2671">
      <c r="A2671" s="1" t="s">
        <v>6892</v>
      </c>
      <c r="B2671" s="2" t="s">
        <v>6894</v>
      </c>
      <c r="C2671" s="1" t="s">
        <v>804</v>
      </c>
      <c r="D2671" s="1" t="s">
        <v>805</v>
      </c>
    </row>
    <row r="2672">
      <c r="A2672" s="1" t="s">
        <v>6896</v>
      </c>
      <c r="B2672" s="2" t="s">
        <v>6898</v>
      </c>
      <c r="C2672" s="1" t="s">
        <v>804</v>
      </c>
      <c r="D2672" s="1" t="s">
        <v>805</v>
      </c>
    </row>
    <row r="2673">
      <c r="A2673" s="1" t="s">
        <v>6899</v>
      </c>
      <c r="B2673" s="2" t="s">
        <v>6900</v>
      </c>
      <c r="C2673" s="1" t="s">
        <v>804</v>
      </c>
      <c r="D2673" s="1" t="s">
        <v>805</v>
      </c>
    </row>
    <row r="2674">
      <c r="A2674" s="1" t="s">
        <v>6901</v>
      </c>
      <c r="B2674" s="2" t="s">
        <v>6902</v>
      </c>
      <c r="C2674" s="1" t="s">
        <v>804</v>
      </c>
      <c r="D2674" s="1" t="s">
        <v>805</v>
      </c>
    </row>
    <row r="2675">
      <c r="A2675" s="1" t="s">
        <v>6906</v>
      </c>
      <c r="B2675" s="2" t="s">
        <v>6908</v>
      </c>
      <c r="C2675" s="1" t="s">
        <v>804</v>
      </c>
      <c r="D2675" s="1" t="s">
        <v>805</v>
      </c>
    </row>
    <row r="2676">
      <c r="A2676" s="1" t="s">
        <v>6909</v>
      </c>
      <c r="B2676" s="2" t="s">
        <v>6910</v>
      </c>
      <c r="C2676" s="1" t="s">
        <v>804</v>
      </c>
      <c r="D2676" s="1" t="s">
        <v>805</v>
      </c>
    </row>
    <row r="2677">
      <c r="A2677" s="1" t="s">
        <v>6912</v>
      </c>
      <c r="B2677" s="2" t="s">
        <v>6914</v>
      </c>
      <c r="C2677" s="1" t="s">
        <v>804</v>
      </c>
      <c r="D2677" s="1" t="s">
        <v>805</v>
      </c>
    </row>
    <row r="2678">
      <c r="A2678" s="1" t="s">
        <v>6916</v>
      </c>
      <c r="B2678" s="2" t="s">
        <v>6917</v>
      </c>
      <c r="C2678" s="1" t="s">
        <v>804</v>
      </c>
      <c r="D2678" s="1" t="s">
        <v>805</v>
      </c>
    </row>
    <row r="2679">
      <c r="A2679" s="1" t="s">
        <v>6919</v>
      </c>
      <c r="B2679" s="2" t="s">
        <v>6921</v>
      </c>
      <c r="C2679" s="1" t="s">
        <v>804</v>
      </c>
      <c r="D2679" s="1" t="s">
        <v>805</v>
      </c>
    </row>
    <row r="2680">
      <c r="A2680" s="1" t="s">
        <v>6924</v>
      </c>
      <c r="B2680" s="2" t="s">
        <v>6925</v>
      </c>
      <c r="C2680" s="1" t="s">
        <v>804</v>
      </c>
      <c r="D2680" s="1" t="s">
        <v>805</v>
      </c>
    </row>
    <row r="2681">
      <c r="A2681" s="1" t="s">
        <v>6926</v>
      </c>
      <c r="B2681" s="2" t="s">
        <v>6928</v>
      </c>
      <c r="C2681" s="1" t="s">
        <v>804</v>
      </c>
      <c r="D2681" s="1" t="s">
        <v>805</v>
      </c>
    </row>
    <row r="2682">
      <c r="A2682" s="1" t="s">
        <v>6931</v>
      </c>
      <c r="B2682" s="2" t="s">
        <v>6932</v>
      </c>
      <c r="C2682" s="1" t="s">
        <v>804</v>
      </c>
      <c r="D2682" s="1" t="s">
        <v>805</v>
      </c>
    </row>
    <row r="2683">
      <c r="A2683" s="1" t="s">
        <v>6933</v>
      </c>
      <c r="B2683" s="2" t="s">
        <v>6934</v>
      </c>
      <c r="C2683" s="1" t="s">
        <v>804</v>
      </c>
      <c r="D2683" s="1" t="s">
        <v>805</v>
      </c>
    </row>
    <row r="2684">
      <c r="A2684" s="1" t="s">
        <v>6936</v>
      </c>
      <c r="B2684" s="2" t="s">
        <v>6938</v>
      </c>
      <c r="C2684" s="1" t="s">
        <v>804</v>
      </c>
      <c r="D2684" s="1" t="s">
        <v>805</v>
      </c>
    </row>
    <row r="2685">
      <c r="A2685" s="1" t="s">
        <v>6940</v>
      </c>
      <c r="B2685" s="2" t="s">
        <v>6941</v>
      </c>
      <c r="C2685" s="1" t="s">
        <v>804</v>
      </c>
      <c r="D2685" s="1" t="s">
        <v>805</v>
      </c>
    </row>
    <row r="2686">
      <c r="A2686" s="1" t="s">
        <v>6942</v>
      </c>
      <c r="B2686" s="2" t="s">
        <v>6944</v>
      </c>
      <c r="C2686" s="1" t="s">
        <v>804</v>
      </c>
      <c r="D2686" s="1" t="s">
        <v>805</v>
      </c>
    </row>
    <row r="2687">
      <c r="A2687" s="1" t="s">
        <v>6947</v>
      </c>
      <c r="B2687" s="2" t="s">
        <v>6948</v>
      </c>
      <c r="C2687" s="1" t="s">
        <v>804</v>
      </c>
      <c r="D2687" s="1" t="s">
        <v>805</v>
      </c>
    </row>
    <row r="2688">
      <c r="A2688" s="1" t="s">
        <v>6949</v>
      </c>
      <c r="B2688" s="2" t="s">
        <v>6950</v>
      </c>
      <c r="C2688" s="1" t="s">
        <v>804</v>
      </c>
      <c r="D2688" s="1" t="s">
        <v>805</v>
      </c>
    </row>
    <row r="2689">
      <c r="A2689" s="1" t="s">
        <v>6954</v>
      </c>
      <c r="B2689" s="2" t="s">
        <v>6956</v>
      </c>
      <c r="C2689" s="1" t="s">
        <v>804</v>
      </c>
      <c r="D2689" s="1" t="s">
        <v>805</v>
      </c>
    </row>
    <row r="2690">
      <c r="A2690" s="1" t="s">
        <v>6957</v>
      </c>
      <c r="B2690" s="2" t="s">
        <v>6958</v>
      </c>
      <c r="C2690" s="1" t="s">
        <v>804</v>
      </c>
      <c r="D2690" s="1" t="s">
        <v>805</v>
      </c>
    </row>
    <row r="2691">
      <c r="A2691" s="1" t="s">
        <v>6962</v>
      </c>
      <c r="B2691" s="2" t="s">
        <v>6963</v>
      </c>
      <c r="C2691" s="1" t="s">
        <v>804</v>
      </c>
      <c r="D2691" s="1" t="s">
        <v>805</v>
      </c>
    </row>
    <row r="2692">
      <c r="A2692" s="1" t="s">
        <v>6964</v>
      </c>
      <c r="B2692" s="2" t="s">
        <v>6965</v>
      </c>
      <c r="C2692" s="1" t="s">
        <v>804</v>
      </c>
      <c r="D2692" s="1" t="s">
        <v>805</v>
      </c>
    </row>
    <row r="2693">
      <c r="A2693" s="1" t="s">
        <v>6967</v>
      </c>
      <c r="B2693" s="2" t="s">
        <v>6968</v>
      </c>
      <c r="C2693" s="1" t="s">
        <v>804</v>
      </c>
      <c r="D2693" s="1" t="s">
        <v>805</v>
      </c>
    </row>
    <row r="2694">
      <c r="A2694" s="1" t="s">
        <v>6971</v>
      </c>
      <c r="B2694" s="2" t="s">
        <v>6973</v>
      </c>
      <c r="C2694" s="1" t="s">
        <v>804</v>
      </c>
      <c r="D2694" s="1" t="s">
        <v>805</v>
      </c>
    </row>
    <row r="2695">
      <c r="A2695" s="1" t="s">
        <v>6974</v>
      </c>
      <c r="B2695" s="2" t="s">
        <v>6975</v>
      </c>
      <c r="C2695" s="1" t="s">
        <v>804</v>
      </c>
      <c r="D2695" s="1" t="s">
        <v>805</v>
      </c>
    </row>
    <row r="2696">
      <c r="A2696" s="1" t="s">
        <v>6976</v>
      </c>
      <c r="B2696" s="2" t="s">
        <v>6977</v>
      </c>
      <c r="C2696" s="1" t="s">
        <v>804</v>
      </c>
      <c r="D2696" s="1" t="s">
        <v>805</v>
      </c>
    </row>
    <row r="2697">
      <c r="A2697" s="1" t="s">
        <v>799</v>
      </c>
      <c r="B2697" s="2" t="s">
        <v>7</v>
      </c>
      <c r="C2697" s="1" t="s">
        <v>800</v>
      </c>
      <c r="D2697" s="1" t="s">
        <v>801</v>
      </c>
    </row>
    <row r="2698">
      <c r="A2698" s="1" t="s">
        <v>6981</v>
      </c>
      <c r="B2698" s="2" t="s">
        <v>6663</v>
      </c>
      <c r="C2698" s="1" t="s">
        <v>800</v>
      </c>
      <c r="D2698" s="1" t="s">
        <v>801</v>
      </c>
    </row>
    <row r="2699">
      <c r="A2699" s="1" t="s">
        <v>6982</v>
      </c>
      <c r="B2699" s="2" t="s">
        <v>5131</v>
      </c>
      <c r="C2699" s="1" t="s">
        <v>800</v>
      </c>
      <c r="D2699" s="1" t="s">
        <v>801</v>
      </c>
    </row>
    <row r="2700">
      <c r="A2700" s="1" t="s">
        <v>6983</v>
      </c>
      <c r="B2700" s="2" t="s">
        <v>6670</v>
      </c>
      <c r="C2700" s="1" t="s">
        <v>800</v>
      </c>
      <c r="D2700" s="1" t="s">
        <v>801</v>
      </c>
    </row>
    <row r="2701">
      <c r="A2701" s="1" t="s">
        <v>6985</v>
      </c>
      <c r="B2701" s="2" t="s">
        <v>6673</v>
      </c>
      <c r="C2701" s="1" t="s">
        <v>800</v>
      </c>
      <c r="D2701" s="1" t="s">
        <v>801</v>
      </c>
    </row>
    <row r="2702">
      <c r="A2702" s="1" t="s">
        <v>6988</v>
      </c>
      <c r="B2702" s="2" t="s">
        <v>6678</v>
      </c>
      <c r="C2702" s="1" t="s">
        <v>800</v>
      </c>
      <c r="D2702" s="1" t="s">
        <v>801</v>
      </c>
    </row>
    <row r="2703">
      <c r="A2703" s="1" t="s">
        <v>6989</v>
      </c>
      <c r="B2703" s="2" t="s">
        <v>6680</v>
      </c>
      <c r="C2703" s="1" t="s">
        <v>800</v>
      </c>
      <c r="D2703" s="1" t="s">
        <v>801</v>
      </c>
    </row>
    <row r="2704">
      <c r="A2704" s="1" t="s">
        <v>6990</v>
      </c>
      <c r="B2704" s="2" t="s">
        <v>6685</v>
      </c>
      <c r="C2704" s="1" t="s">
        <v>800</v>
      </c>
      <c r="D2704" s="1" t="s">
        <v>801</v>
      </c>
    </row>
    <row r="2705">
      <c r="A2705" s="1" t="s">
        <v>6993</v>
      </c>
      <c r="B2705" s="2" t="s">
        <v>6687</v>
      </c>
      <c r="C2705" s="1" t="s">
        <v>800</v>
      </c>
      <c r="D2705" s="1" t="s">
        <v>801</v>
      </c>
    </row>
    <row r="2706">
      <c r="A2706" s="1" t="s">
        <v>6995</v>
      </c>
      <c r="B2706" s="2" t="s">
        <v>6692</v>
      </c>
      <c r="C2706" s="1" t="s">
        <v>800</v>
      </c>
      <c r="D2706" s="1" t="s">
        <v>801</v>
      </c>
    </row>
    <row r="2707">
      <c r="A2707" s="1" t="s">
        <v>6996</v>
      </c>
      <c r="B2707" s="2" t="s">
        <v>6694</v>
      </c>
      <c r="C2707" s="1" t="s">
        <v>800</v>
      </c>
      <c r="D2707" s="1" t="s">
        <v>801</v>
      </c>
    </row>
    <row r="2708">
      <c r="A2708" s="1" t="s">
        <v>6997</v>
      </c>
      <c r="B2708" s="2" t="s">
        <v>5148</v>
      </c>
      <c r="C2708" s="1" t="s">
        <v>800</v>
      </c>
      <c r="D2708" s="1" t="s">
        <v>801</v>
      </c>
    </row>
    <row r="2709">
      <c r="A2709" s="1" t="s">
        <v>7000</v>
      </c>
      <c r="B2709" s="2" t="s">
        <v>6701</v>
      </c>
      <c r="C2709" s="1" t="s">
        <v>800</v>
      </c>
      <c r="D2709" s="1" t="s">
        <v>801</v>
      </c>
    </row>
    <row r="2710">
      <c r="A2710" s="1" t="s">
        <v>7002</v>
      </c>
      <c r="B2710" s="2" t="s">
        <v>6705</v>
      </c>
      <c r="C2710" s="1" t="s">
        <v>800</v>
      </c>
      <c r="D2710" s="1" t="s">
        <v>801</v>
      </c>
    </row>
    <row r="2711">
      <c r="A2711" s="1" t="s">
        <v>7003</v>
      </c>
      <c r="B2711" s="2" t="s">
        <v>6707</v>
      </c>
      <c r="C2711" s="1" t="s">
        <v>800</v>
      </c>
      <c r="D2711" s="1" t="s">
        <v>801</v>
      </c>
    </row>
    <row r="2712">
      <c r="A2712" s="1" t="s">
        <v>7005</v>
      </c>
      <c r="B2712" s="2" t="s">
        <v>5161</v>
      </c>
      <c r="C2712" s="1" t="s">
        <v>800</v>
      </c>
      <c r="D2712" s="1" t="s">
        <v>801</v>
      </c>
    </row>
    <row r="2713">
      <c r="A2713" s="1" t="s">
        <v>7007</v>
      </c>
      <c r="B2713" s="2" t="s">
        <v>6713</v>
      </c>
      <c r="C2713" s="1" t="s">
        <v>800</v>
      </c>
      <c r="D2713" s="1" t="s">
        <v>801</v>
      </c>
    </row>
    <row r="2714">
      <c r="A2714" s="1" t="s">
        <v>7009</v>
      </c>
      <c r="B2714" s="2" t="s">
        <v>6718</v>
      </c>
      <c r="C2714" s="1" t="s">
        <v>800</v>
      </c>
      <c r="D2714" s="1" t="s">
        <v>801</v>
      </c>
    </row>
    <row r="2715">
      <c r="A2715" s="1" t="s">
        <v>7010</v>
      </c>
      <c r="B2715" s="2" t="s">
        <v>6721</v>
      </c>
      <c r="C2715" s="1" t="s">
        <v>800</v>
      </c>
      <c r="D2715" s="1" t="s">
        <v>801</v>
      </c>
    </row>
    <row r="2716">
      <c r="A2716" s="1" t="s">
        <v>7012</v>
      </c>
      <c r="B2716" s="2" t="s">
        <v>6725</v>
      </c>
      <c r="C2716" s="1" t="s">
        <v>800</v>
      </c>
      <c r="D2716" s="1" t="s">
        <v>801</v>
      </c>
    </row>
    <row r="2717">
      <c r="A2717" s="1" t="s">
        <v>7015</v>
      </c>
      <c r="B2717" s="2" t="s">
        <v>6728</v>
      </c>
      <c r="C2717" s="1" t="s">
        <v>800</v>
      </c>
      <c r="D2717" s="1" t="s">
        <v>801</v>
      </c>
    </row>
    <row r="2718">
      <c r="A2718" s="1" t="s">
        <v>7016</v>
      </c>
      <c r="B2718" s="2" t="s">
        <v>6732</v>
      </c>
      <c r="C2718" s="1" t="s">
        <v>800</v>
      </c>
      <c r="D2718" s="1" t="s">
        <v>801</v>
      </c>
    </row>
    <row r="2719">
      <c r="A2719" s="1" t="s">
        <v>7017</v>
      </c>
      <c r="B2719" s="2" t="s">
        <v>6735</v>
      </c>
      <c r="C2719" s="1" t="s">
        <v>800</v>
      </c>
      <c r="D2719" s="1" t="s">
        <v>801</v>
      </c>
    </row>
    <row r="2720">
      <c r="A2720" s="1" t="s">
        <v>7021</v>
      </c>
      <c r="B2720" s="2" t="s">
        <v>6739</v>
      </c>
      <c r="C2720" s="1" t="s">
        <v>800</v>
      </c>
      <c r="D2720" s="1" t="s">
        <v>801</v>
      </c>
    </row>
    <row r="2721">
      <c r="A2721" s="1" t="s">
        <v>7023</v>
      </c>
      <c r="B2721" s="2" t="s">
        <v>6742</v>
      </c>
      <c r="C2721" s="1" t="s">
        <v>800</v>
      </c>
      <c r="D2721" s="1" t="s">
        <v>801</v>
      </c>
    </row>
    <row r="2722">
      <c r="A2722" s="1" t="s">
        <v>7024</v>
      </c>
      <c r="B2722" s="2" t="s">
        <v>6747</v>
      </c>
      <c r="C2722" s="1" t="s">
        <v>800</v>
      </c>
      <c r="D2722" s="1" t="s">
        <v>801</v>
      </c>
    </row>
    <row r="2723">
      <c r="A2723" s="1" t="s">
        <v>7026</v>
      </c>
      <c r="B2723" s="2" t="s">
        <v>6751</v>
      </c>
      <c r="C2723" s="1" t="s">
        <v>800</v>
      </c>
      <c r="D2723" s="1" t="s">
        <v>801</v>
      </c>
    </row>
    <row r="2724">
      <c r="A2724" s="1" t="s">
        <v>7029</v>
      </c>
      <c r="B2724" s="2" t="s">
        <v>6756</v>
      </c>
      <c r="C2724" s="1" t="s">
        <v>800</v>
      </c>
      <c r="D2724" s="1" t="s">
        <v>801</v>
      </c>
    </row>
    <row r="2725">
      <c r="A2725" s="1" t="s">
        <v>7030</v>
      </c>
      <c r="B2725" s="2" t="s">
        <v>6759</v>
      </c>
      <c r="C2725" s="1" t="s">
        <v>800</v>
      </c>
      <c r="D2725" s="1" t="s">
        <v>801</v>
      </c>
    </row>
    <row r="2726">
      <c r="A2726" s="1" t="s">
        <v>7032</v>
      </c>
      <c r="B2726" s="2" t="s">
        <v>6763</v>
      </c>
      <c r="C2726" s="1" t="s">
        <v>800</v>
      </c>
      <c r="D2726" s="1" t="s">
        <v>801</v>
      </c>
    </row>
    <row r="2727">
      <c r="A2727" s="1" t="s">
        <v>7035</v>
      </c>
      <c r="B2727" s="2" t="s">
        <v>6765</v>
      </c>
      <c r="C2727" s="1" t="s">
        <v>800</v>
      </c>
      <c r="D2727" s="1" t="s">
        <v>801</v>
      </c>
    </row>
    <row r="2728">
      <c r="A2728" s="1" t="s">
        <v>7036</v>
      </c>
      <c r="B2728" s="2" t="s">
        <v>6768</v>
      </c>
      <c r="C2728" s="1" t="s">
        <v>800</v>
      </c>
      <c r="D2728" s="1" t="s">
        <v>801</v>
      </c>
    </row>
    <row r="2729">
      <c r="A2729" s="1" t="s">
        <v>7037</v>
      </c>
      <c r="B2729" s="2" t="s">
        <v>7038</v>
      </c>
      <c r="C2729" s="1" t="s">
        <v>800</v>
      </c>
      <c r="D2729" s="1" t="s">
        <v>801</v>
      </c>
    </row>
    <row r="2730">
      <c r="A2730" s="1" t="s">
        <v>7040</v>
      </c>
      <c r="B2730" s="2" t="s">
        <v>7042</v>
      </c>
      <c r="C2730" s="1" t="s">
        <v>800</v>
      </c>
      <c r="D2730" s="1" t="s">
        <v>801</v>
      </c>
    </row>
    <row r="2731">
      <c r="A2731" s="1" t="s">
        <v>7044</v>
      </c>
      <c r="B2731" s="2" t="s">
        <v>7045</v>
      </c>
      <c r="C2731" s="1" t="s">
        <v>800</v>
      </c>
      <c r="D2731" s="1" t="s">
        <v>801</v>
      </c>
    </row>
    <row r="2732">
      <c r="A2732" s="1" t="s">
        <v>7046</v>
      </c>
      <c r="B2732" s="2" t="s">
        <v>7047</v>
      </c>
      <c r="C2732" s="1" t="s">
        <v>800</v>
      </c>
      <c r="D2732" s="1" t="s">
        <v>801</v>
      </c>
    </row>
    <row r="2733">
      <c r="A2733" s="1" t="s">
        <v>7049</v>
      </c>
      <c r="B2733" s="2" t="s">
        <v>7050</v>
      </c>
      <c r="C2733" s="1" t="s">
        <v>800</v>
      </c>
      <c r="D2733" s="1" t="s">
        <v>801</v>
      </c>
    </row>
    <row r="2734">
      <c r="A2734" s="1" t="s">
        <v>7053</v>
      </c>
      <c r="B2734" s="2" t="s">
        <v>7054</v>
      </c>
      <c r="C2734" s="1" t="s">
        <v>800</v>
      </c>
      <c r="D2734" s="1" t="s">
        <v>801</v>
      </c>
    </row>
    <row r="2735">
      <c r="A2735" s="1" t="s">
        <v>7055</v>
      </c>
      <c r="B2735" s="2" t="s">
        <v>7056</v>
      </c>
      <c r="C2735" s="1" t="s">
        <v>800</v>
      </c>
      <c r="D2735" s="1" t="s">
        <v>801</v>
      </c>
    </row>
    <row r="2736">
      <c r="A2736" s="1" t="s">
        <v>7057</v>
      </c>
      <c r="B2736" s="2" t="s">
        <v>7058</v>
      </c>
      <c r="C2736" s="1" t="s">
        <v>800</v>
      </c>
      <c r="D2736" s="1" t="s">
        <v>801</v>
      </c>
    </row>
    <row r="2737">
      <c r="A2737" s="1" t="s">
        <v>7060</v>
      </c>
      <c r="B2737" s="2" t="s">
        <v>7061</v>
      </c>
      <c r="C2737" s="1" t="s">
        <v>800</v>
      </c>
      <c r="D2737" s="1" t="s">
        <v>801</v>
      </c>
    </row>
    <row r="2738">
      <c r="A2738" s="1" t="s">
        <v>7062</v>
      </c>
      <c r="B2738" s="2" t="s">
        <v>7063</v>
      </c>
      <c r="C2738" s="1" t="s">
        <v>800</v>
      </c>
      <c r="D2738" s="1" t="s">
        <v>801</v>
      </c>
    </row>
    <row r="2739">
      <c r="A2739" s="1" t="s">
        <v>7064</v>
      </c>
      <c r="B2739" s="2" t="s">
        <v>7065</v>
      </c>
      <c r="C2739" s="1" t="s">
        <v>800</v>
      </c>
      <c r="D2739" s="1" t="s">
        <v>801</v>
      </c>
    </row>
    <row r="2740">
      <c r="A2740" s="1" t="s">
        <v>7068</v>
      </c>
      <c r="B2740" s="2" t="s">
        <v>7069</v>
      </c>
      <c r="C2740" s="1" t="s">
        <v>800</v>
      </c>
      <c r="D2740" s="1" t="s">
        <v>801</v>
      </c>
    </row>
    <row r="2741">
      <c r="A2741" s="1" t="s">
        <v>7070</v>
      </c>
      <c r="B2741" s="2" t="s">
        <v>7071</v>
      </c>
      <c r="C2741" s="1" t="s">
        <v>800</v>
      </c>
      <c r="D2741" s="1" t="s">
        <v>801</v>
      </c>
    </row>
    <row r="2742">
      <c r="A2742" s="1" t="s">
        <v>7072</v>
      </c>
      <c r="B2742" s="2" t="s">
        <v>7074</v>
      </c>
      <c r="C2742" s="1" t="s">
        <v>800</v>
      </c>
      <c r="D2742" s="1" t="s">
        <v>801</v>
      </c>
    </row>
    <row r="2743">
      <c r="A2743" s="1" t="s">
        <v>7076</v>
      </c>
      <c r="B2743" s="2" t="s">
        <v>7077</v>
      </c>
      <c r="C2743" s="1" t="s">
        <v>800</v>
      </c>
      <c r="D2743" s="1" t="s">
        <v>801</v>
      </c>
    </row>
    <row r="2744">
      <c r="A2744" s="1" t="s">
        <v>7079</v>
      </c>
      <c r="B2744" s="2" t="s">
        <v>7080</v>
      </c>
      <c r="C2744" s="1" t="s">
        <v>800</v>
      </c>
      <c r="D2744" s="1" t="s">
        <v>801</v>
      </c>
    </row>
    <row r="2745">
      <c r="A2745" s="1" t="s">
        <v>7081</v>
      </c>
      <c r="B2745" s="2" t="s">
        <v>7082</v>
      </c>
      <c r="C2745" s="1" t="s">
        <v>800</v>
      </c>
      <c r="D2745" s="1" t="s">
        <v>801</v>
      </c>
    </row>
    <row r="2746">
      <c r="A2746" s="1" t="s">
        <v>7084</v>
      </c>
      <c r="B2746" s="2" t="s">
        <v>7085</v>
      </c>
      <c r="C2746" s="1" t="s">
        <v>800</v>
      </c>
      <c r="D2746" s="1" t="s">
        <v>801</v>
      </c>
    </row>
    <row r="2747">
      <c r="A2747" s="1" t="s">
        <v>7088</v>
      </c>
      <c r="B2747" s="2" t="s">
        <v>7089</v>
      </c>
      <c r="C2747" s="1" t="s">
        <v>800</v>
      </c>
      <c r="D2747" s="1" t="s">
        <v>801</v>
      </c>
    </row>
    <row r="2748">
      <c r="A2748" s="1" t="s">
        <v>7090</v>
      </c>
      <c r="B2748" s="2" t="s">
        <v>7091</v>
      </c>
      <c r="C2748" s="1" t="s">
        <v>800</v>
      </c>
      <c r="D2748" s="1" t="s">
        <v>801</v>
      </c>
    </row>
    <row r="2749">
      <c r="A2749" s="1" t="s">
        <v>7093</v>
      </c>
      <c r="B2749" s="2" t="s">
        <v>7094</v>
      </c>
      <c r="C2749" s="1" t="s">
        <v>800</v>
      </c>
      <c r="D2749" s="1" t="s">
        <v>801</v>
      </c>
    </row>
    <row r="2750">
      <c r="A2750" s="1" t="s">
        <v>7096</v>
      </c>
      <c r="B2750" s="2" t="s">
        <v>7097</v>
      </c>
      <c r="C2750" s="1" t="s">
        <v>800</v>
      </c>
      <c r="D2750" s="1" t="s">
        <v>801</v>
      </c>
    </row>
    <row r="2751">
      <c r="A2751" s="1" t="s">
        <v>7099</v>
      </c>
      <c r="B2751" s="2" t="s">
        <v>7100</v>
      </c>
      <c r="C2751" s="1" t="s">
        <v>800</v>
      </c>
      <c r="D2751" s="1" t="s">
        <v>801</v>
      </c>
    </row>
    <row r="2752">
      <c r="A2752" s="1" t="s">
        <v>7101</v>
      </c>
      <c r="B2752" s="2" t="s">
        <v>7102</v>
      </c>
      <c r="C2752" s="1" t="s">
        <v>800</v>
      </c>
      <c r="D2752" s="1" t="s">
        <v>801</v>
      </c>
    </row>
    <row r="2753">
      <c r="A2753" s="1" t="s">
        <v>7103</v>
      </c>
      <c r="B2753" s="2" t="s">
        <v>7104</v>
      </c>
      <c r="C2753" s="1" t="s">
        <v>800</v>
      </c>
      <c r="D2753" s="1" t="s">
        <v>801</v>
      </c>
    </row>
    <row r="2754">
      <c r="A2754" s="1" t="s">
        <v>7105</v>
      </c>
      <c r="B2754" s="2" t="s">
        <v>7106</v>
      </c>
      <c r="C2754" s="1" t="s">
        <v>800</v>
      </c>
      <c r="D2754" s="1" t="s">
        <v>801</v>
      </c>
    </row>
    <row r="2755">
      <c r="A2755" s="1" t="s">
        <v>7108</v>
      </c>
      <c r="B2755" s="2" t="s">
        <v>7109</v>
      </c>
      <c r="C2755" s="1" t="s">
        <v>800</v>
      </c>
      <c r="D2755" s="1" t="s">
        <v>801</v>
      </c>
    </row>
    <row r="2756">
      <c r="A2756" s="1" t="s">
        <v>7112</v>
      </c>
      <c r="B2756" s="2" t="s">
        <v>7113</v>
      </c>
      <c r="C2756" s="1" t="s">
        <v>800</v>
      </c>
      <c r="D2756" s="1" t="s">
        <v>801</v>
      </c>
    </row>
    <row r="2757">
      <c r="A2757" s="1" t="s">
        <v>7114</v>
      </c>
      <c r="B2757" s="2" t="s">
        <v>7115</v>
      </c>
      <c r="C2757" s="1" t="s">
        <v>800</v>
      </c>
      <c r="D2757" s="1" t="s">
        <v>801</v>
      </c>
    </row>
    <row r="2758">
      <c r="A2758" s="1" t="s">
        <v>7117</v>
      </c>
      <c r="B2758" s="2" t="s">
        <v>7118</v>
      </c>
      <c r="C2758" s="1" t="s">
        <v>800</v>
      </c>
      <c r="D2758" s="1" t="s">
        <v>801</v>
      </c>
    </row>
    <row r="2759">
      <c r="A2759" s="1" t="s">
        <v>7119</v>
      </c>
      <c r="B2759" s="2" t="s">
        <v>7121</v>
      </c>
      <c r="C2759" s="1" t="s">
        <v>800</v>
      </c>
      <c r="D2759" s="1" t="s">
        <v>801</v>
      </c>
    </row>
    <row r="2760">
      <c r="A2760" s="1" t="s">
        <v>7122</v>
      </c>
      <c r="B2760" s="2" t="s">
        <v>7123</v>
      </c>
      <c r="C2760" s="1" t="s">
        <v>800</v>
      </c>
      <c r="D2760" s="1" t="s">
        <v>801</v>
      </c>
    </row>
    <row r="2761">
      <c r="A2761" s="1" t="s">
        <v>7124</v>
      </c>
      <c r="B2761" s="2" t="s">
        <v>7125</v>
      </c>
      <c r="C2761" s="1" t="s">
        <v>800</v>
      </c>
      <c r="D2761" s="1" t="s">
        <v>801</v>
      </c>
    </row>
    <row r="2762">
      <c r="A2762" s="1" t="s">
        <v>7127</v>
      </c>
      <c r="B2762" s="2" t="s">
        <v>7128</v>
      </c>
      <c r="C2762" s="1" t="s">
        <v>800</v>
      </c>
      <c r="D2762" s="1" t="s">
        <v>801</v>
      </c>
    </row>
    <row r="2763">
      <c r="A2763" s="1" t="s">
        <v>7131</v>
      </c>
      <c r="B2763" s="2" t="s">
        <v>7132</v>
      </c>
      <c r="C2763" s="1" t="s">
        <v>800</v>
      </c>
      <c r="D2763" s="1" t="s">
        <v>801</v>
      </c>
    </row>
    <row r="2764">
      <c r="A2764" s="1" t="s">
        <v>7133</v>
      </c>
      <c r="B2764" s="2" t="s">
        <v>7134</v>
      </c>
      <c r="C2764" s="1" t="s">
        <v>800</v>
      </c>
      <c r="D2764" s="1" t="s">
        <v>801</v>
      </c>
    </row>
    <row r="2765">
      <c r="A2765" s="1" t="s">
        <v>7136</v>
      </c>
      <c r="B2765" s="2" t="s">
        <v>7137</v>
      </c>
      <c r="C2765" s="1" t="s">
        <v>800</v>
      </c>
      <c r="D2765" s="1" t="s">
        <v>801</v>
      </c>
    </row>
    <row r="2766">
      <c r="A2766" s="1" t="s">
        <v>7140</v>
      </c>
      <c r="B2766" s="2" t="s">
        <v>7141</v>
      </c>
      <c r="C2766" s="1" t="s">
        <v>800</v>
      </c>
      <c r="D2766" s="1" t="s">
        <v>801</v>
      </c>
    </row>
    <row r="2767">
      <c r="A2767" s="1" t="s">
        <v>7142</v>
      </c>
      <c r="B2767" s="2" t="s">
        <v>7143</v>
      </c>
      <c r="C2767" s="1" t="s">
        <v>800</v>
      </c>
      <c r="D2767" s="1" t="s">
        <v>801</v>
      </c>
    </row>
    <row r="2768">
      <c r="A2768" s="1" t="s">
        <v>7144</v>
      </c>
      <c r="B2768" s="2" t="s">
        <v>7145</v>
      </c>
      <c r="C2768" s="1" t="s">
        <v>800</v>
      </c>
      <c r="D2768" s="1" t="s">
        <v>801</v>
      </c>
    </row>
    <row r="2769">
      <c r="A2769" s="1" t="s">
        <v>7146</v>
      </c>
      <c r="B2769" s="2" t="s">
        <v>7147</v>
      </c>
      <c r="C2769" s="1" t="s">
        <v>800</v>
      </c>
      <c r="D2769" s="1" t="s">
        <v>801</v>
      </c>
    </row>
    <row r="2770">
      <c r="A2770" s="1" t="s">
        <v>7148</v>
      </c>
      <c r="B2770" s="2" t="s">
        <v>7149</v>
      </c>
      <c r="C2770" s="1" t="s">
        <v>800</v>
      </c>
      <c r="D2770" s="1" t="s">
        <v>801</v>
      </c>
    </row>
    <row r="2771">
      <c r="A2771" s="1" t="s">
        <v>7150</v>
      </c>
      <c r="B2771" s="2" t="s">
        <v>7151</v>
      </c>
      <c r="C2771" s="1" t="s">
        <v>800</v>
      </c>
      <c r="D2771" s="1" t="s">
        <v>801</v>
      </c>
    </row>
    <row r="2772">
      <c r="A2772" s="1" t="s">
        <v>7153</v>
      </c>
      <c r="B2772" s="2" t="s">
        <v>7154</v>
      </c>
      <c r="C2772" s="1" t="s">
        <v>800</v>
      </c>
      <c r="D2772" s="1" t="s">
        <v>801</v>
      </c>
    </row>
    <row r="2773">
      <c r="A2773" s="1" t="s">
        <v>7157</v>
      </c>
      <c r="B2773" s="2" t="s">
        <v>7158</v>
      </c>
      <c r="C2773" s="1" t="s">
        <v>800</v>
      </c>
      <c r="D2773" s="1" t="s">
        <v>801</v>
      </c>
    </row>
    <row r="2774">
      <c r="A2774" s="1" t="s">
        <v>7159</v>
      </c>
      <c r="B2774" s="2" t="s">
        <v>7160</v>
      </c>
      <c r="C2774" s="1" t="s">
        <v>800</v>
      </c>
      <c r="D2774" s="1" t="s">
        <v>801</v>
      </c>
    </row>
    <row r="2775">
      <c r="A2775" s="1" t="s">
        <v>7162</v>
      </c>
      <c r="B2775" s="2" t="s">
        <v>7163</v>
      </c>
      <c r="C2775" s="1" t="s">
        <v>800</v>
      </c>
      <c r="D2775" s="1" t="s">
        <v>801</v>
      </c>
    </row>
    <row r="2776">
      <c r="A2776" s="1" t="s">
        <v>7166</v>
      </c>
      <c r="B2776" s="2" t="s">
        <v>7167</v>
      </c>
      <c r="C2776" s="1" t="s">
        <v>800</v>
      </c>
      <c r="D2776" s="1" t="s">
        <v>801</v>
      </c>
    </row>
    <row r="2777">
      <c r="A2777" s="1" t="s">
        <v>7168</v>
      </c>
      <c r="B2777" s="2" t="s">
        <v>7169</v>
      </c>
      <c r="C2777" s="1" t="s">
        <v>800</v>
      </c>
      <c r="D2777" s="1" t="s">
        <v>801</v>
      </c>
    </row>
    <row r="2778">
      <c r="A2778" s="1" t="s">
        <v>7170</v>
      </c>
      <c r="B2778" s="2" t="s">
        <v>7171</v>
      </c>
      <c r="C2778" s="1" t="s">
        <v>800</v>
      </c>
      <c r="D2778" s="1" t="s">
        <v>801</v>
      </c>
    </row>
    <row r="2779">
      <c r="A2779" s="1" t="s">
        <v>7175</v>
      </c>
      <c r="B2779" s="2" t="s">
        <v>7176</v>
      </c>
      <c r="C2779" s="1" t="s">
        <v>800</v>
      </c>
      <c r="D2779" s="1" t="s">
        <v>801</v>
      </c>
    </row>
    <row r="2780">
      <c r="A2780" s="1" t="s">
        <v>7178</v>
      </c>
      <c r="B2780" s="2" t="s">
        <v>7179</v>
      </c>
      <c r="C2780" s="1" t="s">
        <v>800</v>
      </c>
      <c r="D2780" s="1" t="s">
        <v>801</v>
      </c>
    </row>
    <row r="2781">
      <c r="A2781" s="1" t="s">
        <v>7182</v>
      </c>
      <c r="B2781" s="2" t="s">
        <v>7183</v>
      </c>
      <c r="C2781" s="1" t="s">
        <v>800</v>
      </c>
      <c r="D2781" s="1" t="s">
        <v>801</v>
      </c>
    </row>
    <row r="2782">
      <c r="A2782" s="1" t="s">
        <v>7184</v>
      </c>
      <c r="B2782" s="2" t="s">
        <v>7185</v>
      </c>
      <c r="C2782" s="1" t="s">
        <v>800</v>
      </c>
      <c r="D2782" s="1" t="s">
        <v>801</v>
      </c>
    </row>
    <row r="2783">
      <c r="A2783" s="1" t="s">
        <v>7187</v>
      </c>
      <c r="B2783" s="2" t="s">
        <v>7188</v>
      </c>
      <c r="C2783" s="1" t="s">
        <v>800</v>
      </c>
      <c r="D2783" s="1" t="s">
        <v>801</v>
      </c>
    </row>
    <row r="2784">
      <c r="A2784" s="1" t="s">
        <v>7190</v>
      </c>
      <c r="B2784" s="2" t="s">
        <v>7192</v>
      </c>
      <c r="C2784" s="1" t="s">
        <v>800</v>
      </c>
      <c r="D2784" s="1" t="s">
        <v>801</v>
      </c>
    </row>
    <row r="2785">
      <c r="A2785" s="1" t="s">
        <v>7193</v>
      </c>
      <c r="B2785" s="2" t="s">
        <v>7194</v>
      </c>
      <c r="C2785" s="1" t="s">
        <v>800</v>
      </c>
      <c r="D2785" s="1" t="s">
        <v>801</v>
      </c>
    </row>
    <row r="2786">
      <c r="A2786" s="1" t="s">
        <v>7195</v>
      </c>
      <c r="B2786" s="2" t="s">
        <v>7196</v>
      </c>
      <c r="C2786" s="1" t="s">
        <v>800</v>
      </c>
      <c r="D2786" s="1" t="s">
        <v>801</v>
      </c>
    </row>
    <row r="2787">
      <c r="A2787" s="1" t="s">
        <v>7198</v>
      </c>
      <c r="B2787" s="2" t="s">
        <v>7199</v>
      </c>
      <c r="C2787" s="1" t="s">
        <v>800</v>
      </c>
      <c r="D2787" s="1" t="s">
        <v>801</v>
      </c>
    </row>
    <row r="2788">
      <c r="A2788" s="1" t="s">
        <v>7201</v>
      </c>
      <c r="B2788" s="2" t="s">
        <v>7202</v>
      </c>
      <c r="C2788" s="1" t="s">
        <v>800</v>
      </c>
      <c r="D2788" s="1" t="s">
        <v>801</v>
      </c>
    </row>
    <row r="2789">
      <c r="A2789" s="1" t="s">
        <v>7204</v>
      </c>
      <c r="B2789" s="2" t="s">
        <v>7205</v>
      </c>
      <c r="C2789" s="1" t="s">
        <v>800</v>
      </c>
      <c r="D2789" s="1" t="s">
        <v>801</v>
      </c>
    </row>
    <row r="2790">
      <c r="A2790" s="1" t="s">
        <v>7206</v>
      </c>
      <c r="B2790" s="2" t="s">
        <v>7207</v>
      </c>
      <c r="C2790" s="1" t="s">
        <v>800</v>
      </c>
      <c r="D2790" s="1" t="s">
        <v>801</v>
      </c>
    </row>
    <row r="2791">
      <c r="A2791" s="1" t="s">
        <v>7209</v>
      </c>
      <c r="B2791" s="2" t="s">
        <v>7210</v>
      </c>
      <c r="C2791" s="1" t="s">
        <v>800</v>
      </c>
      <c r="D2791" s="1" t="s">
        <v>801</v>
      </c>
    </row>
    <row r="2792">
      <c r="A2792" s="1" t="s">
        <v>7213</v>
      </c>
      <c r="B2792" s="2" t="s">
        <v>7214</v>
      </c>
      <c r="C2792" s="1" t="s">
        <v>800</v>
      </c>
      <c r="D2792" s="1" t="s">
        <v>801</v>
      </c>
    </row>
    <row r="2793">
      <c r="A2793" s="1" t="s">
        <v>813</v>
      </c>
      <c r="B2793" s="2" t="s">
        <v>176</v>
      </c>
      <c r="C2793" s="1" t="s">
        <v>814</v>
      </c>
      <c r="D2793" s="1" t="s">
        <v>816</v>
      </c>
    </row>
    <row r="2794">
      <c r="A2794" s="1" t="s">
        <v>7216</v>
      </c>
      <c r="B2794" s="2" t="s">
        <v>7217</v>
      </c>
      <c r="C2794" s="1" t="s">
        <v>814</v>
      </c>
      <c r="D2794" s="1" t="s">
        <v>816</v>
      </c>
    </row>
    <row r="2795">
      <c r="A2795" s="1" t="s">
        <v>7220</v>
      </c>
      <c r="B2795" s="2" t="s">
        <v>7221</v>
      </c>
      <c r="C2795" s="1" t="s">
        <v>814</v>
      </c>
      <c r="D2795" s="1" t="s">
        <v>816</v>
      </c>
    </row>
    <row r="2796">
      <c r="A2796" s="1" t="s">
        <v>7222</v>
      </c>
      <c r="B2796" s="2" t="s">
        <v>7223</v>
      </c>
      <c r="C2796" s="1" t="s">
        <v>814</v>
      </c>
      <c r="D2796" s="1" t="s">
        <v>816</v>
      </c>
    </row>
    <row r="2797">
      <c r="A2797" s="1" t="s">
        <v>7224</v>
      </c>
      <c r="B2797" s="2" t="s">
        <v>7226</v>
      </c>
      <c r="C2797" s="1" t="s">
        <v>814</v>
      </c>
      <c r="D2797" s="1" t="s">
        <v>816</v>
      </c>
    </row>
    <row r="2798">
      <c r="A2798" s="1" t="s">
        <v>7229</v>
      </c>
      <c r="B2798" s="2" t="s">
        <v>7232</v>
      </c>
      <c r="C2798" s="1" t="s">
        <v>814</v>
      </c>
      <c r="D2798" s="1" t="s">
        <v>816</v>
      </c>
    </row>
    <row r="2799">
      <c r="A2799" s="1" t="s">
        <v>808</v>
      </c>
      <c r="B2799" s="2" t="s">
        <v>176</v>
      </c>
      <c r="C2799" s="1" t="s">
        <v>809</v>
      </c>
      <c r="D2799" s="1" t="s">
        <v>810</v>
      </c>
    </row>
    <row r="2800">
      <c r="A2800" s="1" t="s">
        <v>7237</v>
      </c>
      <c r="B2800" s="2" t="s">
        <v>7217</v>
      </c>
      <c r="C2800" s="1" t="s">
        <v>809</v>
      </c>
      <c r="D2800" s="1" t="s">
        <v>810</v>
      </c>
    </row>
    <row r="2801">
      <c r="A2801" s="1" t="s">
        <v>7239</v>
      </c>
      <c r="B2801" s="2" t="s">
        <v>7240</v>
      </c>
      <c r="C2801" s="1" t="s">
        <v>809</v>
      </c>
      <c r="D2801" s="1" t="s">
        <v>810</v>
      </c>
    </row>
    <row r="2802">
      <c r="A2802" s="1" t="s">
        <v>7245</v>
      </c>
      <c r="B2802" s="2" t="s">
        <v>7246</v>
      </c>
      <c r="C2802" s="1" t="s">
        <v>809</v>
      </c>
      <c r="D2802" s="1" t="s">
        <v>810</v>
      </c>
    </row>
    <row r="2803">
      <c r="A2803" s="1" t="s">
        <v>7248</v>
      </c>
      <c r="B2803" s="2" t="s">
        <v>7250</v>
      </c>
      <c r="C2803" s="1" t="s">
        <v>809</v>
      </c>
      <c r="D2803" s="1" t="s">
        <v>810</v>
      </c>
    </row>
    <row r="2804">
      <c r="A2804" s="1" t="s">
        <v>7253</v>
      </c>
      <c r="B2804" s="2" t="s">
        <v>7254</v>
      </c>
      <c r="C2804" s="1" t="s">
        <v>809</v>
      </c>
      <c r="D2804" s="1" t="s">
        <v>810</v>
      </c>
    </row>
    <row r="2805">
      <c r="A2805" s="1" t="s">
        <v>822</v>
      </c>
      <c r="B2805" s="2" t="s">
        <v>7</v>
      </c>
      <c r="C2805" s="1" t="s">
        <v>823</v>
      </c>
      <c r="D2805" s="1" t="s">
        <v>825</v>
      </c>
    </row>
    <row r="2806">
      <c r="A2806" s="1" t="s">
        <v>7257</v>
      </c>
      <c r="B2806" s="2" t="s">
        <v>3373</v>
      </c>
      <c r="C2806" s="1" t="s">
        <v>823</v>
      </c>
      <c r="D2806" s="1" t="s">
        <v>825</v>
      </c>
    </row>
    <row r="2807">
      <c r="A2807" s="1" t="s">
        <v>7258</v>
      </c>
      <c r="B2807" s="2" t="s">
        <v>3376</v>
      </c>
      <c r="C2807" s="1" t="s">
        <v>823</v>
      </c>
      <c r="D2807" s="1" t="s">
        <v>825</v>
      </c>
    </row>
    <row r="2808">
      <c r="A2808" s="1" t="s">
        <v>7260</v>
      </c>
      <c r="B2808" s="2" t="s">
        <v>6713</v>
      </c>
      <c r="C2808" s="1" t="s">
        <v>823</v>
      </c>
      <c r="D2808" s="1" t="s">
        <v>825</v>
      </c>
    </row>
    <row r="2809">
      <c r="A2809" s="1" t="s">
        <v>7263</v>
      </c>
      <c r="B2809" s="2" t="s">
        <v>7265</v>
      </c>
      <c r="C2809" s="1" t="s">
        <v>823</v>
      </c>
      <c r="D2809" s="1" t="s">
        <v>825</v>
      </c>
    </row>
    <row r="2810">
      <c r="A2810" s="1" t="s">
        <v>7266</v>
      </c>
      <c r="B2810" s="2" t="s">
        <v>7267</v>
      </c>
      <c r="C2810" s="1" t="s">
        <v>823</v>
      </c>
      <c r="D2810" s="1" t="s">
        <v>825</v>
      </c>
    </row>
    <row r="2811">
      <c r="A2811" s="1" t="s">
        <v>7269</v>
      </c>
      <c r="B2811" s="2" t="s">
        <v>6772</v>
      </c>
      <c r="C2811" s="1" t="s">
        <v>823</v>
      </c>
      <c r="D2811" s="1" t="s">
        <v>825</v>
      </c>
    </row>
    <row r="2812">
      <c r="A2812" s="1" t="s">
        <v>7272</v>
      </c>
      <c r="B2812" s="2" t="s">
        <v>7273</v>
      </c>
      <c r="C2812" s="1" t="s">
        <v>823</v>
      </c>
      <c r="D2812" s="1" t="s">
        <v>825</v>
      </c>
    </row>
    <row r="2813">
      <c r="A2813" s="1" t="s">
        <v>7274</v>
      </c>
      <c r="B2813" s="2" t="s">
        <v>7275</v>
      </c>
      <c r="C2813" s="1" t="s">
        <v>823</v>
      </c>
      <c r="D2813" s="1" t="s">
        <v>825</v>
      </c>
    </row>
    <row r="2814">
      <c r="A2814" s="1" t="s">
        <v>7276</v>
      </c>
      <c r="B2814" s="2" t="s">
        <v>6825</v>
      </c>
      <c r="C2814" s="1" t="s">
        <v>823</v>
      </c>
      <c r="D2814" s="1" t="s">
        <v>825</v>
      </c>
    </row>
    <row r="2815">
      <c r="A2815" s="1" t="s">
        <v>7277</v>
      </c>
      <c r="B2815" s="2" t="s">
        <v>7278</v>
      </c>
      <c r="C2815" s="1" t="s">
        <v>823</v>
      </c>
      <c r="D2815" s="1" t="s">
        <v>825</v>
      </c>
    </row>
    <row r="2816">
      <c r="A2816" s="1" t="s">
        <v>7279</v>
      </c>
      <c r="B2816" s="2" t="s">
        <v>7280</v>
      </c>
      <c r="C2816" s="1" t="s">
        <v>823</v>
      </c>
      <c r="D2816" s="1" t="s">
        <v>825</v>
      </c>
    </row>
    <row r="2817">
      <c r="A2817" s="1" t="s">
        <v>7281</v>
      </c>
      <c r="B2817" s="2" t="s">
        <v>6875</v>
      </c>
      <c r="C2817" s="1" t="s">
        <v>823</v>
      </c>
      <c r="D2817" s="1" t="s">
        <v>825</v>
      </c>
    </row>
    <row r="2818">
      <c r="A2818" s="1" t="s">
        <v>7285</v>
      </c>
      <c r="B2818" s="2" t="s">
        <v>7286</v>
      </c>
      <c r="C2818" s="1" t="s">
        <v>823</v>
      </c>
      <c r="D2818" s="1" t="s">
        <v>825</v>
      </c>
    </row>
    <row r="2819">
      <c r="A2819" s="1" t="s">
        <v>7287</v>
      </c>
      <c r="B2819" s="2" t="s">
        <v>7289</v>
      </c>
      <c r="C2819" s="1" t="s">
        <v>823</v>
      </c>
      <c r="D2819" s="1" t="s">
        <v>825</v>
      </c>
    </row>
    <row r="2820">
      <c r="A2820" s="1" t="s">
        <v>7292</v>
      </c>
      <c r="B2820" s="2" t="s">
        <v>6928</v>
      </c>
      <c r="C2820" s="1" t="s">
        <v>823</v>
      </c>
      <c r="D2820" s="1" t="s">
        <v>825</v>
      </c>
    </row>
    <row r="2821">
      <c r="A2821" s="1" t="s">
        <v>7294</v>
      </c>
      <c r="B2821" s="2" t="s">
        <v>7295</v>
      </c>
      <c r="C2821" s="1" t="s">
        <v>823</v>
      </c>
      <c r="D2821" s="1" t="s">
        <v>825</v>
      </c>
    </row>
    <row r="2822">
      <c r="A2822" s="1" t="s">
        <v>7298</v>
      </c>
      <c r="B2822" s="2" t="s">
        <v>7299</v>
      </c>
      <c r="C2822" s="1" t="s">
        <v>823</v>
      </c>
      <c r="D2822" s="1" t="s">
        <v>825</v>
      </c>
    </row>
    <row r="2823">
      <c r="A2823" s="1" t="s">
        <v>817</v>
      </c>
      <c r="B2823" s="2" t="s">
        <v>7</v>
      </c>
      <c r="C2823" s="1" t="s">
        <v>819</v>
      </c>
      <c r="D2823" s="1" t="s">
        <v>820</v>
      </c>
    </row>
    <row r="2824">
      <c r="A2824" s="1" t="s">
        <v>7303</v>
      </c>
      <c r="B2824" s="2" t="s">
        <v>3373</v>
      </c>
      <c r="C2824" s="1" t="s">
        <v>819</v>
      </c>
      <c r="D2824" s="1" t="s">
        <v>820</v>
      </c>
    </row>
    <row r="2825">
      <c r="A2825" s="1" t="s">
        <v>7305</v>
      </c>
      <c r="B2825" s="2" t="s">
        <v>3376</v>
      </c>
      <c r="C2825" s="1" t="s">
        <v>819</v>
      </c>
      <c r="D2825" s="1" t="s">
        <v>820</v>
      </c>
    </row>
    <row r="2826">
      <c r="A2826" s="1" t="s">
        <v>7308</v>
      </c>
      <c r="B2826" s="2" t="s">
        <v>6713</v>
      </c>
      <c r="C2826" s="1" t="s">
        <v>819</v>
      </c>
      <c r="D2826" s="1" t="s">
        <v>820</v>
      </c>
    </row>
    <row r="2827">
      <c r="A2827" s="1" t="s">
        <v>7309</v>
      </c>
      <c r="B2827" s="2" t="s">
        <v>7265</v>
      </c>
      <c r="C2827" s="1" t="s">
        <v>819</v>
      </c>
      <c r="D2827" s="1" t="s">
        <v>820</v>
      </c>
    </row>
    <row r="2828">
      <c r="A2828" s="1" t="s">
        <v>7311</v>
      </c>
      <c r="B2828" s="2" t="s">
        <v>7267</v>
      </c>
      <c r="C2828" s="1" t="s">
        <v>819</v>
      </c>
      <c r="D2828" s="1" t="s">
        <v>820</v>
      </c>
    </row>
    <row r="2829">
      <c r="A2829" s="1" t="s">
        <v>7314</v>
      </c>
      <c r="B2829" s="2" t="s">
        <v>7038</v>
      </c>
      <c r="C2829" s="1" t="s">
        <v>819</v>
      </c>
      <c r="D2829" s="1" t="s">
        <v>820</v>
      </c>
    </row>
    <row r="2830">
      <c r="A2830" s="1" t="s">
        <v>7315</v>
      </c>
      <c r="B2830" s="2" t="s">
        <v>7316</v>
      </c>
      <c r="C2830" s="1" t="s">
        <v>819</v>
      </c>
      <c r="D2830" s="1" t="s">
        <v>820</v>
      </c>
    </row>
    <row r="2831">
      <c r="A2831" s="1" t="s">
        <v>7318</v>
      </c>
      <c r="B2831" s="2" t="s">
        <v>7320</v>
      </c>
      <c r="C2831" s="1" t="s">
        <v>819</v>
      </c>
      <c r="D2831" s="1" t="s">
        <v>820</v>
      </c>
    </row>
    <row r="2832">
      <c r="A2832" s="1" t="s">
        <v>7322</v>
      </c>
      <c r="B2832" s="2" t="s">
        <v>7082</v>
      </c>
      <c r="C2832" s="1" t="s">
        <v>819</v>
      </c>
      <c r="D2832" s="1" t="s">
        <v>820</v>
      </c>
    </row>
    <row r="2833">
      <c r="A2833" s="1" t="s">
        <v>7324</v>
      </c>
      <c r="B2833" s="2" t="s">
        <v>7326</v>
      </c>
      <c r="C2833" s="1" t="s">
        <v>819</v>
      </c>
      <c r="D2833" s="1" t="s">
        <v>820</v>
      </c>
    </row>
    <row r="2834">
      <c r="A2834" s="1" t="s">
        <v>7328</v>
      </c>
      <c r="B2834" s="2" t="s">
        <v>7329</v>
      </c>
      <c r="C2834" s="1" t="s">
        <v>819</v>
      </c>
      <c r="D2834" s="1" t="s">
        <v>820</v>
      </c>
    </row>
    <row r="2835">
      <c r="A2835" s="1" t="s">
        <v>7331</v>
      </c>
      <c r="B2835" s="2" t="s">
        <v>7125</v>
      </c>
      <c r="C2835" s="1" t="s">
        <v>819</v>
      </c>
      <c r="D2835" s="1" t="s">
        <v>820</v>
      </c>
    </row>
    <row r="2836">
      <c r="A2836" s="1" t="s">
        <v>7333</v>
      </c>
      <c r="B2836" s="2" t="s">
        <v>7334</v>
      </c>
      <c r="C2836" s="1" t="s">
        <v>819</v>
      </c>
      <c r="D2836" s="1" t="s">
        <v>820</v>
      </c>
    </row>
    <row r="2837">
      <c r="A2837" s="1" t="s">
        <v>7335</v>
      </c>
      <c r="B2837" s="2" t="s">
        <v>7337</v>
      </c>
      <c r="C2837" s="1" t="s">
        <v>819</v>
      </c>
      <c r="D2837" s="1" t="s">
        <v>820</v>
      </c>
    </row>
    <row r="2838">
      <c r="A2838" s="1" t="s">
        <v>7340</v>
      </c>
      <c r="B2838" s="2" t="s">
        <v>7169</v>
      </c>
      <c r="C2838" s="1" t="s">
        <v>819</v>
      </c>
      <c r="D2838" s="1" t="s">
        <v>820</v>
      </c>
    </row>
    <row r="2839">
      <c r="A2839" s="1" t="s">
        <v>7342</v>
      </c>
      <c r="B2839" s="2" t="s">
        <v>7343</v>
      </c>
      <c r="C2839" s="1" t="s">
        <v>819</v>
      </c>
      <c r="D2839" s="1" t="s">
        <v>820</v>
      </c>
    </row>
    <row r="2840">
      <c r="A2840" s="1" t="s">
        <v>7346</v>
      </c>
      <c r="B2840" s="2" t="s">
        <v>7347</v>
      </c>
      <c r="C2840" s="1" t="s">
        <v>819</v>
      </c>
      <c r="D2840" s="1" t="s">
        <v>820</v>
      </c>
    </row>
    <row r="2841">
      <c r="A2841" s="1" t="s">
        <v>833</v>
      </c>
      <c r="B2841" s="2" t="s">
        <v>7</v>
      </c>
      <c r="C2841" s="1" t="s">
        <v>834</v>
      </c>
      <c r="D2841" s="1" t="s">
        <v>836</v>
      </c>
    </row>
    <row r="2842">
      <c r="A2842" s="1" t="s">
        <v>7350</v>
      </c>
      <c r="B2842" s="2" t="s">
        <v>7351</v>
      </c>
      <c r="C2842" s="1" t="s">
        <v>834</v>
      </c>
      <c r="D2842" s="1" t="s">
        <v>836</v>
      </c>
    </row>
    <row r="2843">
      <c r="A2843" s="1" t="s">
        <v>7353</v>
      </c>
      <c r="B2843" s="2" t="s">
        <v>7354</v>
      </c>
      <c r="C2843" s="1" t="s">
        <v>834</v>
      </c>
      <c r="D2843" s="1" t="s">
        <v>836</v>
      </c>
    </row>
    <row r="2844">
      <c r="A2844" s="1" t="s">
        <v>7357</v>
      </c>
      <c r="B2844" s="2" t="s">
        <v>7358</v>
      </c>
      <c r="C2844" s="1" t="s">
        <v>834</v>
      </c>
      <c r="D2844" s="1" t="s">
        <v>836</v>
      </c>
    </row>
    <row r="2845">
      <c r="A2845" s="1" t="s">
        <v>7360</v>
      </c>
      <c r="B2845" s="2" t="s">
        <v>7361</v>
      </c>
      <c r="C2845" s="1" t="s">
        <v>834</v>
      </c>
      <c r="D2845" s="1" t="s">
        <v>836</v>
      </c>
    </row>
    <row r="2846">
      <c r="A2846" s="1" t="s">
        <v>7364</v>
      </c>
      <c r="B2846" s="2" t="s">
        <v>7365</v>
      </c>
      <c r="C2846" s="1" t="s">
        <v>834</v>
      </c>
      <c r="D2846" s="1" t="s">
        <v>836</v>
      </c>
    </row>
    <row r="2847">
      <c r="A2847" s="1" t="s">
        <v>827</v>
      </c>
      <c r="B2847" s="2" t="s">
        <v>7</v>
      </c>
      <c r="C2847" s="1" t="s">
        <v>828</v>
      </c>
      <c r="D2847" s="1" t="s">
        <v>830</v>
      </c>
    </row>
    <row r="2848">
      <c r="A2848" s="1" t="s">
        <v>7366</v>
      </c>
      <c r="B2848" s="2" t="s">
        <v>7351</v>
      </c>
      <c r="C2848" s="1" t="s">
        <v>828</v>
      </c>
      <c r="D2848" s="1" t="s">
        <v>830</v>
      </c>
    </row>
    <row r="2849">
      <c r="A2849" s="1" t="s">
        <v>7367</v>
      </c>
      <c r="B2849" s="2" t="s">
        <v>7368</v>
      </c>
      <c r="C2849" s="1" t="s">
        <v>828</v>
      </c>
      <c r="D2849" s="1" t="s">
        <v>830</v>
      </c>
    </row>
    <row r="2850">
      <c r="A2850" s="1" t="s">
        <v>7369</v>
      </c>
      <c r="B2850" s="2" t="s">
        <v>7370</v>
      </c>
      <c r="C2850" s="1" t="s">
        <v>828</v>
      </c>
      <c r="D2850" s="1" t="s">
        <v>830</v>
      </c>
    </row>
    <row r="2851">
      <c r="A2851" s="1" t="s">
        <v>7371</v>
      </c>
      <c r="B2851" s="2" t="s">
        <v>7373</v>
      </c>
      <c r="C2851" s="1" t="s">
        <v>828</v>
      </c>
      <c r="D2851" s="1" t="s">
        <v>830</v>
      </c>
    </row>
    <row r="2852">
      <c r="A2852" s="1" t="s">
        <v>7376</v>
      </c>
      <c r="B2852" s="2" t="s">
        <v>7377</v>
      </c>
      <c r="C2852" s="1" t="s">
        <v>828</v>
      </c>
      <c r="D2852" s="1" t="s">
        <v>830</v>
      </c>
    </row>
    <row r="2853">
      <c r="A2853" s="1" t="s">
        <v>843</v>
      </c>
      <c r="B2853" s="2" t="s">
        <v>7</v>
      </c>
      <c r="C2853" s="1" t="s">
        <v>844</v>
      </c>
      <c r="D2853" s="1" t="s">
        <v>846</v>
      </c>
    </row>
    <row r="2854">
      <c r="A2854" s="1" t="s">
        <v>7381</v>
      </c>
      <c r="B2854" s="2" t="s">
        <v>7351</v>
      </c>
      <c r="C2854" s="1" t="s">
        <v>844</v>
      </c>
      <c r="D2854" s="1" t="s">
        <v>846</v>
      </c>
    </row>
    <row r="2855">
      <c r="A2855" s="1" t="s">
        <v>7382</v>
      </c>
      <c r="B2855" s="2" t="s">
        <v>7354</v>
      </c>
      <c r="C2855" s="1" t="s">
        <v>844</v>
      </c>
      <c r="D2855" s="1" t="s">
        <v>846</v>
      </c>
    </row>
    <row r="2856">
      <c r="A2856" s="1" t="s">
        <v>7386</v>
      </c>
      <c r="B2856" s="2" t="s">
        <v>7358</v>
      </c>
      <c r="C2856" s="1" t="s">
        <v>844</v>
      </c>
      <c r="D2856" s="1" t="s">
        <v>846</v>
      </c>
    </row>
    <row r="2857">
      <c r="A2857" s="1" t="s">
        <v>7387</v>
      </c>
      <c r="B2857" s="2" t="s">
        <v>7361</v>
      </c>
      <c r="C2857" s="1" t="s">
        <v>844</v>
      </c>
      <c r="D2857" s="1" t="s">
        <v>846</v>
      </c>
    </row>
    <row r="2858">
      <c r="A2858" s="1" t="s">
        <v>7391</v>
      </c>
      <c r="B2858" s="2" t="s">
        <v>7365</v>
      </c>
      <c r="C2858" s="1" t="s">
        <v>844</v>
      </c>
      <c r="D2858" s="1" t="s">
        <v>846</v>
      </c>
    </row>
    <row r="2859">
      <c r="A2859" s="1" t="s">
        <v>838</v>
      </c>
      <c r="B2859" s="2" t="s">
        <v>7</v>
      </c>
      <c r="C2859" s="1" t="s">
        <v>840</v>
      </c>
      <c r="D2859" s="1" t="s">
        <v>841</v>
      </c>
    </row>
    <row r="2860">
      <c r="A2860" s="1" t="s">
        <v>7395</v>
      </c>
      <c r="B2860" s="2" t="s">
        <v>7351</v>
      </c>
      <c r="C2860" s="1" t="s">
        <v>840</v>
      </c>
      <c r="D2860" s="1" t="s">
        <v>841</v>
      </c>
    </row>
    <row r="2861">
      <c r="A2861" s="1" t="s">
        <v>7397</v>
      </c>
      <c r="B2861" s="2" t="s">
        <v>7368</v>
      </c>
      <c r="C2861" s="1" t="s">
        <v>840</v>
      </c>
      <c r="D2861" s="1" t="s">
        <v>841</v>
      </c>
    </row>
    <row r="2862">
      <c r="A2862" s="1" t="s">
        <v>7400</v>
      </c>
      <c r="B2862" s="2" t="s">
        <v>7370</v>
      </c>
      <c r="C2862" s="1" t="s">
        <v>840</v>
      </c>
      <c r="D2862" s="1" t="s">
        <v>841</v>
      </c>
    </row>
    <row r="2863">
      <c r="A2863" s="1" t="s">
        <v>7402</v>
      </c>
      <c r="B2863" s="2" t="s">
        <v>7373</v>
      </c>
      <c r="C2863" s="1" t="s">
        <v>840</v>
      </c>
      <c r="D2863" s="1" t="s">
        <v>841</v>
      </c>
    </row>
    <row r="2864">
      <c r="A2864" s="1" t="s">
        <v>7405</v>
      </c>
      <c r="B2864" s="2" t="s">
        <v>7377</v>
      </c>
      <c r="C2864" s="1" t="s">
        <v>840</v>
      </c>
      <c r="D2864" s="1" t="s">
        <v>841</v>
      </c>
    </row>
    <row r="2865">
      <c r="A2865" s="1" t="s">
        <v>855</v>
      </c>
      <c r="B2865" s="2" t="s">
        <v>7</v>
      </c>
      <c r="C2865" s="1" t="s">
        <v>857</v>
      </c>
      <c r="D2865" s="1" t="s">
        <v>859</v>
      </c>
    </row>
    <row r="2866">
      <c r="A2866" s="1" t="s">
        <v>7409</v>
      </c>
      <c r="B2866" s="2" t="s">
        <v>7351</v>
      </c>
      <c r="C2866" s="1" t="s">
        <v>857</v>
      </c>
      <c r="D2866" s="1" t="s">
        <v>859</v>
      </c>
    </row>
    <row r="2867">
      <c r="A2867" s="1" t="s">
        <v>7410</v>
      </c>
      <c r="B2867" s="2" t="s">
        <v>7354</v>
      </c>
      <c r="C2867" s="1" t="s">
        <v>857</v>
      </c>
      <c r="D2867" s="1" t="s">
        <v>859</v>
      </c>
    </row>
    <row r="2868">
      <c r="A2868" s="1" t="s">
        <v>7414</v>
      </c>
      <c r="B2868" s="2" t="s">
        <v>7358</v>
      </c>
      <c r="C2868" s="1" t="s">
        <v>857</v>
      </c>
      <c r="D2868" s="1" t="s">
        <v>859</v>
      </c>
    </row>
    <row r="2869">
      <c r="A2869" s="1" t="s">
        <v>7416</v>
      </c>
      <c r="B2869" s="2" t="s">
        <v>7361</v>
      </c>
      <c r="C2869" s="1" t="s">
        <v>857</v>
      </c>
      <c r="D2869" s="1" t="s">
        <v>859</v>
      </c>
    </row>
    <row r="2870">
      <c r="A2870" s="1" t="s">
        <v>7418</v>
      </c>
      <c r="B2870" s="2" t="s">
        <v>7365</v>
      </c>
      <c r="C2870" s="1" t="s">
        <v>857</v>
      </c>
      <c r="D2870" s="1" t="s">
        <v>859</v>
      </c>
    </row>
    <row r="2871">
      <c r="A2871" s="1" t="s">
        <v>848</v>
      </c>
      <c r="B2871" s="2" t="s">
        <v>7</v>
      </c>
      <c r="C2871" s="1" t="s">
        <v>849</v>
      </c>
      <c r="D2871" s="1" t="s">
        <v>850</v>
      </c>
    </row>
    <row r="2872">
      <c r="A2872" s="1" t="s">
        <v>7422</v>
      </c>
      <c r="B2872" s="2" t="s">
        <v>7351</v>
      </c>
      <c r="C2872" s="1" t="s">
        <v>849</v>
      </c>
      <c r="D2872" s="1" t="s">
        <v>850</v>
      </c>
    </row>
    <row r="2873">
      <c r="A2873" s="1" t="s">
        <v>7424</v>
      </c>
      <c r="B2873" s="2" t="s">
        <v>7368</v>
      </c>
      <c r="C2873" s="1" t="s">
        <v>849</v>
      </c>
      <c r="D2873" s="1" t="s">
        <v>850</v>
      </c>
    </row>
    <row r="2874">
      <c r="A2874" s="1" t="s">
        <v>7427</v>
      </c>
      <c r="B2874" s="2" t="s">
        <v>7370</v>
      </c>
      <c r="C2874" s="1" t="s">
        <v>849</v>
      </c>
      <c r="D2874" s="1" t="s">
        <v>850</v>
      </c>
    </row>
    <row r="2875">
      <c r="A2875" s="1" t="s">
        <v>7428</v>
      </c>
      <c r="B2875" s="2" t="s">
        <v>7373</v>
      </c>
      <c r="C2875" s="1" t="s">
        <v>849</v>
      </c>
      <c r="D2875" s="1" t="s">
        <v>850</v>
      </c>
    </row>
    <row r="2876">
      <c r="A2876" s="1" t="s">
        <v>7430</v>
      </c>
      <c r="B2876" s="2" t="s">
        <v>7377</v>
      </c>
      <c r="C2876" s="1" t="s">
        <v>849</v>
      </c>
      <c r="D2876" s="1" t="s">
        <v>850</v>
      </c>
    </row>
    <row r="2877">
      <c r="A2877" s="1" t="s">
        <v>873</v>
      </c>
      <c r="B2877" s="2" t="s">
        <v>7</v>
      </c>
      <c r="C2877" s="1" t="s">
        <v>876</v>
      </c>
      <c r="D2877" s="1" t="s">
        <v>877</v>
      </c>
    </row>
    <row r="2878">
      <c r="A2878" s="1" t="s">
        <v>7433</v>
      </c>
      <c r="B2878" s="2" t="s">
        <v>7351</v>
      </c>
      <c r="C2878" s="1" t="s">
        <v>876</v>
      </c>
      <c r="D2878" s="1" t="s">
        <v>877</v>
      </c>
    </row>
    <row r="2879">
      <c r="A2879" s="1" t="s">
        <v>7434</v>
      </c>
      <c r="B2879" s="2" t="s">
        <v>7354</v>
      </c>
      <c r="C2879" s="1" t="s">
        <v>876</v>
      </c>
      <c r="D2879" s="1" t="s">
        <v>877</v>
      </c>
    </row>
    <row r="2880">
      <c r="A2880" s="1" t="s">
        <v>7435</v>
      </c>
      <c r="B2880" s="2" t="s">
        <v>7358</v>
      </c>
      <c r="C2880" s="1" t="s">
        <v>876</v>
      </c>
      <c r="D2880" s="1" t="s">
        <v>877</v>
      </c>
    </row>
    <row r="2881">
      <c r="A2881" s="1" t="s">
        <v>7437</v>
      </c>
      <c r="B2881" s="2" t="s">
        <v>7361</v>
      </c>
      <c r="C2881" s="1" t="s">
        <v>876</v>
      </c>
      <c r="D2881" s="1" t="s">
        <v>877</v>
      </c>
    </row>
    <row r="2882">
      <c r="A2882" s="1" t="s">
        <v>7440</v>
      </c>
      <c r="B2882" s="2" t="s">
        <v>7365</v>
      </c>
      <c r="C2882" s="1" t="s">
        <v>876</v>
      </c>
      <c r="D2882" s="1" t="s">
        <v>877</v>
      </c>
    </row>
    <row r="2883">
      <c r="A2883" s="1" t="s">
        <v>864</v>
      </c>
      <c r="B2883" s="2" t="s">
        <v>7</v>
      </c>
      <c r="C2883" s="1" t="s">
        <v>867</v>
      </c>
      <c r="D2883" s="1" t="s">
        <v>868</v>
      </c>
    </row>
    <row r="2884">
      <c r="A2884" s="1" t="s">
        <v>7442</v>
      </c>
      <c r="B2884" s="2" t="s">
        <v>7351</v>
      </c>
      <c r="C2884" s="1" t="s">
        <v>867</v>
      </c>
      <c r="D2884" s="1" t="s">
        <v>868</v>
      </c>
    </row>
    <row r="2885">
      <c r="A2885" s="1" t="s">
        <v>7445</v>
      </c>
      <c r="B2885" s="2" t="s">
        <v>7368</v>
      </c>
      <c r="C2885" s="1" t="s">
        <v>867</v>
      </c>
      <c r="D2885" s="1" t="s">
        <v>868</v>
      </c>
    </row>
    <row r="2886">
      <c r="A2886" s="1" t="s">
        <v>7446</v>
      </c>
      <c r="B2886" s="2" t="s">
        <v>7370</v>
      </c>
      <c r="C2886" s="1" t="s">
        <v>867</v>
      </c>
      <c r="D2886" s="1" t="s">
        <v>868</v>
      </c>
    </row>
    <row r="2887">
      <c r="A2887" s="1" t="s">
        <v>7447</v>
      </c>
      <c r="B2887" s="2" t="s">
        <v>7373</v>
      </c>
      <c r="C2887" s="1" t="s">
        <v>867</v>
      </c>
      <c r="D2887" s="1" t="s">
        <v>868</v>
      </c>
    </row>
    <row r="2888">
      <c r="A2888" s="1" t="s">
        <v>7451</v>
      </c>
      <c r="B2888" s="2" t="s">
        <v>7377</v>
      </c>
      <c r="C2888" s="1" t="s">
        <v>867</v>
      </c>
      <c r="D2888" s="1" t="s">
        <v>868</v>
      </c>
    </row>
    <row r="2889">
      <c r="A2889" s="1" t="s">
        <v>881</v>
      </c>
      <c r="B2889" s="2" t="s">
        <v>7</v>
      </c>
      <c r="C2889" s="1" t="s">
        <v>882</v>
      </c>
      <c r="D2889" s="1" t="s">
        <v>883</v>
      </c>
    </row>
    <row r="2890">
      <c r="A2890" s="1" t="s">
        <v>7455</v>
      </c>
      <c r="B2890" s="2" t="s">
        <v>7351</v>
      </c>
      <c r="C2890" s="1" t="s">
        <v>882</v>
      </c>
      <c r="D2890" s="1" t="s">
        <v>883</v>
      </c>
    </row>
    <row r="2891">
      <c r="A2891" s="1" t="s">
        <v>7458</v>
      </c>
      <c r="B2891" s="2" t="s">
        <v>7354</v>
      </c>
      <c r="C2891" s="1" t="s">
        <v>882</v>
      </c>
      <c r="D2891" s="1" t="s">
        <v>883</v>
      </c>
    </row>
    <row r="2892">
      <c r="A2892" s="1" t="s">
        <v>7461</v>
      </c>
      <c r="B2892" s="2" t="s">
        <v>7358</v>
      </c>
      <c r="C2892" s="1" t="s">
        <v>882</v>
      </c>
      <c r="D2892" s="1" t="s">
        <v>883</v>
      </c>
    </row>
    <row r="2893">
      <c r="A2893" s="1" t="s">
        <v>7463</v>
      </c>
      <c r="B2893" s="2" t="s">
        <v>7361</v>
      </c>
      <c r="C2893" s="1" t="s">
        <v>882</v>
      </c>
      <c r="D2893" s="1" t="s">
        <v>883</v>
      </c>
    </row>
    <row r="2894">
      <c r="A2894" s="1" t="s">
        <v>7466</v>
      </c>
      <c r="B2894" s="2" t="s">
        <v>7365</v>
      </c>
      <c r="C2894" s="1" t="s">
        <v>882</v>
      </c>
      <c r="D2894" s="1" t="s">
        <v>883</v>
      </c>
    </row>
    <row r="2895">
      <c r="A2895" s="1" t="s">
        <v>878</v>
      </c>
      <c r="B2895" s="2" t="s">
        <v>7</v>
      </c>
      <c r="C2895" s="1" t="s">
        <v>879</v>
      </c>
      <c r="D2895" s="1" t="s">
        <v>880</v>
      </c>
    </row>
    <row r="2896">
      <c r="A2896" s="1" t="s">
        <v>7469</v>
      </c>
      <c r="B2896" s="2" t="s">
        <v>7351</v>
      </c>
      <c r="C2896" s="1" t="s">
        <v>879</v>
      </c>
      <c r="D2896" s="1" t="s">
        <v>880</v>
      </c>
    </row>
    <row r="2897">
      <c r="A2897" s="1" t="s">
        <v>7472</v>
      </c>
      <c r="B2897" s="2" t="s">
        <v>7368</v>
      </c>
      <c r="C2897" s="1" t="s">
        <v>879</v>
      </c>
      <c r="D2897" s="1" t="s">
        <v>880</v>
      </c>
    </row>
    <row r="2898">
      <c r="A2898" s="1" t="s">
        <v>7473</v>
      </c>
      <c r="B2898" s="2" t="s">
        <v>7370</v>
      </c>
      <c r="C2898" s="1" t="s">
        <v>879</v>
      </c>
      <c r="D2898" s="1" t="s">
        <v>880</v>
      </c>
    </row>
    <row r="2899">
      <c r="A2899" s="1" t="s">
        <v>7475</v>
      </c>
      <c r="B2899" s="2" t="s">
        <v>7373</v>
      </c>
      <c r="C2899" s="1" t="s">
        <v>879</v>
      </c>
      <c r="D2899" s="1" t="s">
        <v>880</v>
      </c>
    </row>
    <row r="2900">
      <c r="A2900" s="1" t="s">
        <v>7478</v>
      </c>
      <c r="B2900" s="2" t="s">
        <v>7377</v>
      </c>
      <c r="C2900" s="1" t="s">
        <v>879</v>
      </c>
      <c r="D2900" s="1" t="s">
        <v>880</v>
      </c>
    </row>
    <row r="2901">
      <c r="A2901" s="1" t="s">
        <v>901</v>
      </c>
      <c r="B2901" s="2" t="s">
        <v>7</v>
      </c>
      <c r="C2901" s="1" t="s">
        <v>902</v>
      </c>
      <c r="D2901" s="1" t="s">
        <v>904</v>
      </c>
    </row>
    <row r="2902">
      <c r="A2902" s="1" t="s">
        <v>7480</v>
      </c>
      <c r="B2902" s="2" t="s">
        <v>7351</v>
      </c>
      <c r="C2902" s="1" t="s">
        <v>902</v>
      </c>
      <c r="D2902" s="1" t="s">
        <v>904</v>
      </c>
    </row>
    <row r="2903">
      <c r="A2903" s="1" t="s">
        <v>7483</v>
      </c>
      <c r="B2903" s="2" t="s">
        <v>7354</v>
      </c>
      <c r="C2903" s="1" t="s">
        <v>902</v>
      </c>
      <c r="D2903" s="1" t="s">
        <v>904</v>
      </c>
    </row>
    <row r="2904">
      <c r="A2904" s="1" t="s">
        <v>7484</v>
      </c>
      <c r="B2904" s="2" t="s">
        <v>7358</v>
      </c>
      <c r="C2904" s="1" t="s">
        <v>902</v>
      </c>
      <c r="D2904" s="1" t="s">
        <v>904</v>
      </c>
    </row>
    <row r="2905">
      <c r="A2905" s="1" t="s">
        <v>7486</v>
      </c>
      <c r="B2905" s="2" t="s">
        <v>7361</v>
      </c>
      <c r="C2905" s="1" t="s">
        <v>902</v>
      </c>
      <c r="D2905" s="1" t="s">
        <v>904</v>
      </c>
    </row>
    <row r="2906">
      <c r="A2906" s="1" t="s">
        <v>7490</v>
      </c>
      <c r="B2906" s="2" t="s">
        <v>7365</v>
      </c>
      <c r="C2906" s="1" t="s">
        <v>902</v>
      </c>
      <c r="D2906" s="1" t="s">
        <v>904</v>
      </c>
    </row>
    <row r="2907">
      <c r="A2907" s="1" t="s">
        <v>894</v>
      </c>
      <c r="B2907" s="2" t="s">
        <v>7</v>
      </c>
      <c r="C2907" s="1" t="s">
        <v>896</v>
      </c>
      <c r="D2907" s="1" t="s">
        <v>898</v>
      </c>
    </row>
    <row r="2908">
      <c r="A2908" s="1" t="s">
        <v>7493</v>
      </c>
      <c r="B2908" s="2" t="s">
        <v>7351</v>
      </c>
      <c r="C2908" s="1" t="s">
        <v>896</v>
      </c>
      <c r="D2908" s="1" t="s">
        <v>898</v>
      </c>
    </row>
    <row r="2909">
      <c r="A2909" s="1" t="s">
        <v>7496</v>
      </c>
      <c r="B2909" s="2" t="s">
        <v>7368</v>
      </c>
      <c r="C2909" s="1" t="s">
        <v>896</v>
      </c>
      <c r="D2909" s="1" t="s">
        <v>898</v>
      </c>
    </row>
    <row r="2910">
      <c r="A2910" s="1" t="s">
        <v>7497</v>
      </c>
      <c r="B2910" s="2" t="s">
        <v>7370</v>
      </c>
      <c r="C2910" s="1" t="s">
        <v>896</v>
      </c>
      <c r="D2910" s="1" t="s">
        <v>898</v>
      </c>
    </row>
    <row r="2911">
      <c r="A2911" s="1" t="s">
        <v>7499</v>
      </c>
      <c r="B2911" s="2" t="s">
        <v>7373</v>
      </c>
      <c r="C2911" s="1" t="s">
        <v>896</v>
      </c>
      <c r="D2911" s="1" t="s">
        <v>898</v>
      </c>
    </row>
    <row r="2912">
      <c r="A2912" s="1" t="s">
        <v>7501</v>
      </c>
      <c r="B2912" s="2" t="s">
        <v>7377</v>
      </c>
      <c r="C2912" s="1" t="s">
        <v>896</v>
      </c>
      <c r="D2912" s="1" t="s">
        <v>898</v>
      </c>
    </row>
    <row r="2913">
      <c r="A2913" s="1" t="s">
        <v>915</v>
      </c>
      <c r="B2913" s="2" t="s">
        <v>7</v>
      </c>
      <c r="C2913" s="1" t="s">
        <v>916</v>
      </c>
      <c r="D2913" s="1" t="s">
        <v>917</v>
      </c>
    </row>
    <row r="2914">
      <c r="A2914" s="1" t="s">
        <v>7504</v>
      </c>
      <c r="B2914" s="2" t="s">
        <v>7351</v>
      </c>
      <c r="C2914" s="1" t="s">
        <v>916</v>
      </c>
      <c r="D2914" s="1" t="s">
        <v>917</v>
      </c>
    </row>
    <row r="2915">
      <c r="A2915" s="1" t="s">
        <v>7506</v>
      </c>
      <c r="B2915" s="2" t="s">
        <v>7354</v>
      </c>
      <c r="C2915" s="1" t="s">
        <v>916</v>
      </c>
      <c r="D2915" s="1" t="s">
        <v>917</v>
      </c>
    </row>
    <row r="2916">
      <c r="A2916" s="1" t="s">
        <v>7507</v>
      </c>
      <c r="B2916" s="2" t="s">
        <v>7358</v>
      </c>
      <c r="C2916" s="1" t="s">
        <v>916</v>
      </c>
      <c r="D2916" s="1" t="s">
        <v>917</v>
      </c>
    </row>
    <row r="2917">
      <c r="A2917" s="1" t="s">
        <v>7508</v>
      </c>
      <c r="B2917" s="2" t="s">
        <v>7361</v>
      </c>
      <c r="C2917" s="1" t="s">
        <v>916</v>
      </c>
      <c r="D2917" s="1" t="s">
        <v>917</v>
      </c>
    </row>
    <row r="2918">
      <c r="A2918" s="1" t="s">
        <v>7510</v>
      </c>
      <c r="B2918" s="2" t="s">
        <v>7365</v>
      </c>
      <c r="C2918" s="1" t="s">
        <v>916</v>
      </c>
      <c r="D2918" s="1" t="s">
        <v>917</v>
      </c>
    </row>
    <row r="2919">
      <c r="A2919" s="1" t="s">
        <v>908</v>
      </c>
      <c r="B2919" s="2" t="s">
        <v>7</v>
      </c>
      <c r="C2919" s="1" t="s">
        <v>910</v>
      </c>
      <c r="D2919" s="1" t="s">
        <v>912</v>
      </c>
    </row>
    <row r="2920">
      <c r="A2920" s="1" t="s">
        <v>7514</v>
      </c>
      <c r="B2920" s="2" t="s">
        <v>7351</v>
      </c>
      <c r="C2920" s="1" t="s">
        <v>910</v>
      </c>
      <c r="D2920" s="1" t="s">
        <v>912</v>
      </c>
    </row>
    <row r="2921">
      <c r="A2921" s="1" t="s">
        <v>7517</v>
      </c>
      <c r="B2921" s="2" t="s">
        <v>7368</v>
      </c>
      <c r="C2921" s="1" t="s">
        <v>910</v>
      </c>
      <c r="D2921" s="1" t="s">
        <v>912</v>
      </c>
    </row>
    <row r="2922">
      <c r="A2922" s="1" t="s">
        <v>7518</v>
      </c>
      <c r="B2922" s="2" t="s">
        <v>7370</v>
      </c>
      <c r="C2922" s="1" t="s">
        <v>910</v>
      </c>
      <c r="D2922" s="1" t="s">
        <v>912</v>
      </c>
    </row>
    <row r="2923">
      <c r="A2923" s="1" t="s">
        <v>7520</v>
      </c>
      <c r="B2923" s="2" t="s">
        <v>7373</v>
      </c>
      <c r="C2923" s="1" t="s">
        <v>910</v>
      </c>
      <c r="D2923" s="1" t="s">
        <v>912</v>
      </c>
    </row>
    <row r="2924">
      <c r="A2924" s="1" t="s">
        <v>7521</v>
      </c>
      <c r="B2924" s="2" t="s">
        <v>7377</v>
      </c>
      <c r="C2924" s="1" t="s">
        <v>910</v>
      </c>
      <c r="D2924" s="1" t="s">
        <v>912</v>
      </c>
    </row>
    <row r="2925">
      <c r="A2925" s="1" t="s">
        <v>921</v>
      </c>
      <c r="B2925" s="2" t="s">
        <v>7</v>
      </c>
      <c r="C2925" s="1" t="s">
        <v>922</v>
      </c>
      <c r="D2925" s="1" t="s">
        <v>923</v>
      </c>
    </row>
    <row r="2926">
      <c r="A2926" s="1" t="s">
        <v>7524</v>
      </c>
      <c r="B2926" s="2" t="s">
        <v>7351</v>
      </c>
      <c r="C2926" s="1" t="s">
        <v>922</v>
      </c>
      <c r="D2926" s="1" t="s">
        <v>923</v>
      </c>
    </row>
    <row r="2927">
      <c r="A2927" s="1" t="s">
        <v>7525</v>
      </c>
      <c r="B2927" s="2" t="s">
        <v>7354</v>
      </c>
      <c r="C2927" s="1" t="s">
        <v>922</v>
      </c>
      <c r="D2927" s="1" t="s">
        <v>923</v>
      </c>
    </row>
    <row r="2928">
      <c r="A2928" s="1" t="s">
        <v>7528</v>
      </c>
      <c r="B2928" s="2" t="s">
        <v>7358</v>
      </c>
      <c r="C2928" s="1" t="s">
        <v>922</v>
      </c>
      <c r="D2928" s="1" t="s">
        <v>923</v>
      </c>
    </row>
    <row r="2929">
      <c r="A2929" s="1" t="s">
        <v>7530</v>
      </c>
      <c r="B2929" s="2" t="s">
        <v>7361</v>
      </c>
      <c r="C2929" s="1" t="s">
        <v>922</v>
      </c>
      <c r="D2929" s="1" t="s">
        <v>923</v>
      </c>
    </row>
    <row r="2930">
      <c r="A2930" s="1" t="s">
        <v>7533</v>
      </c>
      <c r="B2930" s="2" t="s">
        <v>7365</v>
      </c>
      <c r="C2930" s="1" t="s">
        <v>922</v>
      </c>
      <c r="D2930" s="1" t="s">
        <v>923</v>
      </c>
    </row>
    <row r="2931">
      <c r="A2931" s="1" t="s">
        <v>918</v>
      </c>
      <c r="B2931" s="2" t="s">
        <v>7</v>
      </c>
      <c r="C2931" s="1" t="s">
        <v>919</v>
      </c>
      <c r="D2931" s="1" t="s">
        <v>920</v>
      </c>
    </row>
    <row r="2932">
      <c r="A2932" s="1" t="s">
        <v>7536</v>
      </c>
      <c r="B2932" s="2" t="s">
        <v>7351</v>
      </c>
      <c r="C2932" s="1" t="s">
        <v>919</v>
      </c>
      <c r="D2932" s="1" t="s">
        <v>920</v>
      </c>
    </row>
    <row r="2933">
      <c r="A2933" s="1" t="s">
        <v>7539</v>
      </c>
      <c r="B2933" s="2" t="s">
        <v>7368</v>
      </c>
      <c r="C2933" s="1" t="s">
        <v>919</v>
      </c>
      <c r="D2933" s="1" t="s">
        <v>920</v>
      </c>
    </row>
    <row r="2934">
      <c r="A2934" s="1" t="s">
        <v>7540</v>
      </c>
      <c r="B2934" s="2" t="s">
        <v>7370</v>
      </c>
      <c r="C2934" s="1" t="s">
        <v>919</v>
      </c>
      <c r="D2934" s="1" t="s">
        <v>920</v>
      </c>
    </row>
    <row r="2935">
      <c r="A2935" s="1" t="s">
        <v>7544</v>
      </c>
      <c r="B2935" s="2" t="s">
        <v>7373</v>
      </c>
      <c r="C2935" s="1" t="s">
        <v>919</v>
      </c>
      <c r="D2935" s="1" t="s">
        <v>920</v>
      </c>
    </row>
    <row r="2936">
      <c r="A2936" s="1" t="s">
        <v>7545</v>
      </c>
      <c r="B2936" s="2" t="s">
        <v>7377</v>
      </c>
      <c r="C2936" s="1" t="s">
        <v>919</v>
      </c>
      <c r="D2936" s="1" t="s">
        <v>920</v>
      </c>
    </row>
    <row r="2937">
      <c r="A2937" s="1" t="s">
        <v>927</v>
      </c>
      <c r="B2937" s="2" t="s">
        <v>7</v>
      </c>
      <c r="C2937" s="1" t="s">
        <v>928</v>
      </c>
      <c r="D2937" s="1" t="s">
        <v>929</v>
      </c>
    </row>
    <row r="2938">
      <c r="A2938" s="1" t="s">
        <v>7549</v>
      </c>
      <c r="B2938" s="2" t="s">
        <v>7351</v>
      </c>
      <c r="C2938" s="1" t="s">
        <v>928</v>
      </c>
      <c r="D2938" s="1" t="s">
        <v>929</v>
      </c>
    </row>
    <row r="2939">
      <c r="A2939" s="1" t="s">
        <v>7550</v>
      </c>
      <c r="B2939" s="2" t="s">
        <v>7354</v>
      </c>
      <c r="C2939" s="1" t="s">
        <v>928</v>
      </c>
      <c r="D2939" s="1" t="s">
        <v>929</v>
      </c>
    </row>
    <row r="2940">
      <c r="A2940" s="1" t="s">
        <v>7553</v>
      </c>
      <c r="B2940" s="2" t="s">
        <v>7358</v>
      </c>
      <c r="C2940" s="1" t="s">
        <v>928</v>
      </c>
      <c r="D2940" s="1" t="s">
        <v>929</v>
      </c>
    </row>
    <row r="2941">
      <c r="A2941" s="1" t="s">
        <v>7555</v>
      </c>
      <c r="B2941" s="2" t="s">
        <v>7361</v>
      </c>
      <c r="C2941" s="1" t="s">
        <v>928</v>
      </c>
      <c r="D2941" s="1" t="s">
        <v>929</v>
      </c>
    </row>
    <row r="2942">
      <c r="A2942" s="1" t="s">
        <v>7557</v>
      </c>
      <c r="B2942" s="2" t="s">
        <v>7365</v>
      </c>
      <c r="C2942" s="1" t="s">
        <v>928</v>
      </c>
      <c r="D2942" s="1" t="s">
        <v>929</v>
      </c>
    </row>
    <row r="2943">
      <c r="A2943" s="1" t="s">
        <v>924</v>
      </c>
      <c r="B2943" s="2" t="s">
        <v>7</v>
      </c>
      <c r="C2943" s="1" t="s">
        <v>925</v>
      </c>
      <c r="D2943" s="1" t="s">
        <v>926</v>
      </c>
    </row>
    <row r="2944">
      <c r="A2944" s="1" t="s">
        <v>7561</v>
      </c>
      <c r="B2944" s="2" t="s">
        <v>7351</v>
      </c>
      <c r="C2944" s="1" t="s">
        <v>925</v>
      </c>
      <c r="D2944" s="1" t="s">
        <v>926</v>
      </c>
    </row>
    <row r="2945">
      <c r="A2945" s="1" t="s">
        <v>7564</v>
      </c>
      <c r="B2945" s="2" t="s">
        <v>7368</v>
      </c>
      <c r="C2945" s="1" t="s">
        <v>925</v>
      </c>
      <c r="D2945" s="1" t="s">
        <v>926</v>
      </c>
    </row>
    <row r="2946">
      <c r="A2946" s="1" t="s">
        <v>7565</v>
      </c>
      <c r="B2946" s="2" t="s">
        <v>7370</v>
      </c>
      <c r="C2946" s="1" t="s">
        <v>925</v>
      </c>
      <c r="D2946" s="1" t="s">
        <v>926</v>
      </c>
    </row>
    <row r="2947">
      <c r="A2947" s="1" t="s">
        <v>7568</v>
      </c>
      <c r="B2947" s="2" t="s">
        <v>7373</v>
      </c>
      <c r="C2947" s="1" t="s">
        <v>925</v>
      </c>
      <c r="D2947" s="1" t="s">
        <v>926</v>
      </c>
    </row>
    <row r="2948">
      <c r="A2948" s="1" t="s">
        <v>7570</v>
      </c>
      <c r="B2948" s="2" t="s">
        <v>7377</v>
      </c>
      <c r="C2948" s="1" t="s">
        <v>925</v>
      </c>
      <c r="D2948" s="1" t="s">
        <v>926</v>
      </c>
    </row>
    <row r="2949">
      <c r="A2949" s="1" t="s">
        <v>933</v>
      </c>
      <c r="B2949" s="2" t="s">
        <v>7</v>
      </c>
      <c r="C2949" s="1" t="s">
        <v>934</v>
      </c>
      <c r="D2949" s="1" t="s">
        <v>935</v>
      </c>
    </row>
    <row r="2950">
      <c r="A2950" s="1" t="s">
        <v>7574</v>
      </c>
      <c r="B2950" s="2" t="s">
        <v>4876</v>
      </c>
      <c r="C2950" s="1" t="s">
        <v>934</v>
      </c>
      <c r="D2950" s="1" t="s">
        <v>935</v>
      </c>
    </row>
    <row r="2951">
      <c r="A2951" s="1" t="s">
        <v>7575</v>
      </c>
      <c r="B2951" s="2" t="s">
        <v>5270</v>
      </c>
      <c r="C2951" s="1" t="s">
        <v>934</v>
      </c>
      <c r="D2951" s="1" t="s">
        <v>935</v>
      </c>
    </row>
    <row r="2952">
      <c r="A2952" s="1" t="s">
        <v>7577</v>
      </c>
      <c r="B2952" s="2" t="s">
        <v>7579</v>
      </c>
      <c r="C2952" s="1" t="s">
        <v>934</v>
      </c>
      <c r="D2952" s="1" t="s">
        <v>935</v>
      </c>
    </row>
    <row r="2953">
      <c r="A2953" s="1" t="s">
        <v>7581</v>
      </c>
      <c r="B2953" s="2" t="s">
        <v>7583</v>
      </c>
      <c r="C2953" s="1" t="s">
        <v>934</v>
      </c>
      <c r="D2953" s="1" t="s">
        <v>935</v>
      </c>
    </row>
    <row r="2954">
      <c r="A2954" s="1" t="s">
        <v>7584</v>
      </c>
      <c r="B2954" s="2" t="s">
        <v>6713</v>
      </c>
      <c r="C2954" s="1" t="s">
        <v>934</v>
      </c>
      <c r="D2954" s="1" t="s">
        <v>935</v>
      </c>
    </row>
    <row r="2955">
      <c r="A2955" s="1" t="s">
        <v>7586</v>
      </c>
      <c r="B2955" s="2" t="s">
        <v>7588</v>
      </c>
      <c r="C2955" s="1" t="s">
        <v>934</v>
      </c>
      <c r="D2955" s="1" t="s">
        <v>935</v>
      </c>
    </row>
    <row r="2956">
      <c r="A2956" s="1" t="s">
        <v>7590</v>
      </c>
      <c r="B2956" s="2" t="s">
        <v>7591</v>
      </c>
      <c r="C2956" s="1" t="s">
        <v>934</v>
      </c>
      <c r="D2956" s="1" t="s">
        <v>935</v>
      </c>
    </row>
    <row r="2957">
      <c r="A2957" s="1" t="s">
        <v>7592</v>
      </c>
      <c r="B2957" s="2" t="s">
        <v>7594</v>
      </c>
      <c r="C2957" s="1" t="s">
        <v>934</v>
      </c>
      <c r="D2957" s="1" t="s">
        <v>935</v>
      </c>
    </row>
    <row r="2958">
      <c r="A2958" s="1" t="s">
        <v>7596</v>
      </c>
      <c r="B2958" s="2" t="s">
        <v>7598</v>
      </c>
      <c r="C2958" s="1" t="s">
        <v>934</v>
      </c>
      <c r="D2958" s="1" t="s">
        <v>935</v>
      </c>
    </row>
    <row r="2959">
      <c r="A2959" s="1" t="s">
        <v>7599</v>
      </c>
      <c r="B2959" s="2" t="s">
        <v>6772</v>
      </c>
      <c r="C2959" s="1" t="s">
        <v>934</v>
      </c>
      <c r="D2959" s="1" t="s">
        <v>935</v>
      </c>
    </row>
    <row r="2960">
      <c r="A2960" s="1" t="s">
        <v>7600</v>
      </c>
      <c r="B2960" s="2" t="s">
        <v>7602</v>
      </c>
      <c r="C2960" s="1" t="s">
        <v>934</v>
      </c>
      <c r="D2960" s="1" t="s">
        <v>935</v>
      </c>
    </row>
    <row r="2961">
      <c r="A2961" s="1" t="s">
        <v>7604</v>
      </c>
      <c r="B2961" s="2" t="s">
        <v>7606</v>
      </c>
      <c r="C2961" s="1" t="s">
        <v>934</v>
      </c>
      <c r="D2961" s="1" t="s">
        <v>935</v>
      </c>
    </row>
    <row r="2962">
      <c r="A2962" s="1" t="s">
        <v>7608</v>
      </c>
      <c r="B2962" s="2" t="s">
        <v>7609</v>
      </c>
      <c r="C2962" s="1" t="s">
        <v>934</v>
      </c>
      <c r="D2962" s="1" t="s">
        <v>935</v>
      </c>
    </row>
    <row r="2963">
      <c r="A2963" s="1" t="s">
        <v>7610</v>
      </c>
      <c r="B2963" s="2" t="s">
        <v>7612</v>
      </c>
      <c r="C2963" s="1" t="s">
        <v>934</v>
      </c>
      <c r="D2963" s="1" t="s">
        <v>935</v>
      </c>
    </row>
    <row r="2964">
      <c r="A2964" s="1" t="s">
        <v>7614</v>
      </c>
      <c r="B2964" s="2" t="s">
        <v>6825</v>
      </c>
      <c r="C2964" s="1" t="s">
        <v>934</v>
      </c>
      <c r="D2964" s="1" t="s">
        <v>935</v>
      </c>
    </row>
    <row r="2965">
      <c r="A2965" s="1" t="s">
        <v>7616</v>
      </c>
      <c r="B2965" s="2" t="s">
        <v>7618</v>
      </c>
      <c r="C2965" s="1" t="s">
        <v>934</v>
      </c>
      <c r="D2965" s="1" t="s">
        <v>935</v>
      </c>
    </row>
    <row r="2966">
      <c r="A2966" s="1" t="s">
        <v>7619</v>
      </c>
      <c r="B2966" s="2" t="s">
        <v>7621</v>
      </c>
      <c r="C2966" s="1" t="s">
        <v>934</v>
      </c>
      <c r="D2966" s="1" t="s">
        <v>935</v>
      </c>
    </row>
    <row r="2967">
      <c r="A2967" s="1" t="s">
        <v>7623</v>
      </c>
      <c r="B2967" s="2" t="s">
        <v>7625</v>
      </c>
      <c r="C2967" s="1" t="s">
        <v>934</v>
      </c>
      <c r="D2967" s="1" t="s">
        <v>935</v>
      </c>
    </row>
    <row r="2968">
      <c r="A2968" s="1" t="s">
        <v>7626</v>
      </c>
      <c r="B2968" s="2" t="s">
        <v>7627</v>
      </c>
      <c r="C2968" s="1" t="s">
        <v>934</v>
      </c>
      <c r="D2968" s="1" t="s">
        <v>935</v>
      </c>
    </row>
    <row r="2969">
      <c r="A2969" s="1" t="s">
        <v>7628</v>
      </c>
      <c r="B2969" s="2" t="s">
        <v>6875</v>
      </c>
      <c r="C2969" s="1" t="s">
        <v>934</v>
      </c>
      <c r="D2969" s="1" t="s">
        <v>935</v>
      </c>
    </row>
    <row r="2970">
      <c r="A2970" s="1" t="s">
        <v>7630</v>
      </c>
      <c r="B2970" s="2" t="s">
        <v>7632</v>
      </c>
      <c r="C2970" s="1" t="s">
        <v>934</v>
      </c>
      <c r="D2970" s="1" t="s">
        <v>935</v>
      </c>
    </row>
    <row r="2971">
      <c r="A2971" s="1" t="s">
        <v>7634</v>
      </c>
      <c r="B2971" s="2" t="s">
        <v>7641</v>
      </c>
      <c r="C2971" s="1" t="s">
        <v>934</v>
      </c>
      <c r="D2971" s="1" t="s">
        <v>935</v>
      </c>
    </row>
    <row r="2972">
      <c r="A2972" s="1" t="s">
        <v>7642</v>
      </c>
      <c r="B2972" s="2" t="s">
        <v>7643</v>
      </c>
      <c r="C2972" s="1" t="s">
        <v>934</v>
      </c>
      <c r="D2972" s="1" t="s">
        <v>935</v>
      </c>
    </row>
    <row r="2973">
      <c r="A2973" s="1" t="s">
        <v>7644</v>
      </c>
      <c r="B2973" s="2" t="s">
        <v>7646</v>
      </c>
      <c r="C2973" s="1" t="s">
        <v>934</v>
      </c>
      <c r="D2973" s="1" t="s">
        <v>935</v>
      </c>
    </row>
    <row r="2974">
      <c r="A2974" s="1" t="s">
        <v>7648</v>
      </c>
      <c r="B2974" s="2" t="s">
        <v>6928</v>
      </c>
      <c r="C2974" s="1" t="s">
        <v>934</v>
      </c>
      <c r="D2974" s="1" t="s">
        <v>935</v>
      </c>
    </row>
    <row r="2975">
      <c r="A2975" s="1" t="s">
        <v>7650</v>
      </c>
      <c r="B2975" s="2" t="s">
        <v>7651</v>
      </c>
      <c r="C2975" s="1" t="s">
        <v>934</v>
      </c>
      <c r="D2975" s="1" t="s">
        <v>935</v>
      </c>
    </row>
    <row r="2976">
      <c r="A2976" s="1" t="s">
        <v>7652</v>
      </c>
      <c r="B2976" s="2" t="s">
        <v>7654</v>
      </c>
      <c r="C2976" s="1" t="s">
        <v>934</v>
      </c>
      <c r="D2976" s="1" t="s">
        <v>935</v>
      </c>
    </row>
    <row r="2977">
      <c r="A2977" s="1" t="s">
        <v>7656</v>
      </c>
      <c r="B2977" s="2" t="s">
        <v>7658</v>
      </c>
      <c r="C2977" s="1" t="s">
        <v>934</v>
      </c>
      <c r="D2977" s="1" t="s">
        <v>935</v>
      </c>
    </row>
    <row r="2978">
      <c r="A2978" s="1" t="s">
        <v>7659</v>
      </c>
      <c r="B2978" s="2" t="s">
        <v>7660</v>
      </c>
      <c r="C2978" s="1" t="s">
        <v>934</v>
      </c>
      <c r="D2978" s="1" t="s">
        <v>935</v>
      </c>
    </row>
    <row r="2979">
      <c r="A2979" s="1" t="s">
        <v>930</v>
      </c>
      <c r="B2979" s="2" t="s">
        <v>7</v>
      </c>
      <c r="C2979" s="1" t="s">
        <v>931</v>
      </c>
      <c r="D2979" s="1" t="s">
        <v>932</v>
      </c>
    </row>
    <row r="2980">
      <c r="A2980" s="1" t="s">
        <v>7663</v>
      </c>
      <c r="B2980" s="2" t="s">
        <v>4876</v>
      </c>
      <c r="C2980" s="1" t="s">
        <v>931</v>
      </c>
      <c r="D2980" s="1" t="s">
        <v>932</v>
      </c>
    </row>
    <row r="2981">
      <c r="A2981" s="1" t="s">
        <v>7665</v>
      </c>
      <c r="B2981" s="2" t="s">
        <v>5270</v>
      </c>
      <c r="C2981" s="1" t="s">
        <v>931</v>
      </c>
      <c r="D2981" s="1" t="s">
        <v>932</v>
      </c>
    </row>
    <row r="2982">
      <c r="A2982" s="1" t="s">
        <v>7666</v>
      </c>
      <c r="B2982" s="2" t="s">
        <v>7579</v>
      </c>
      <c r="C2982" s="1" t="s">
        <v>931</v>
      </c>
      <c r="D2982" s="1" t="s">
        <v>932</v>
      </c>
    </row>
    <row r="2983">
      <c r="A2983" s="1" t="s">
        <v>7669</v>
      </c>
      <c r="B2983" s="2" t="s">
        <v>7583</v>
      </c>
      <c r="C2983" s="1" t="s">
        <v>931</v>
      </c>
      <c r="D2983" s="1" t="s">
        <v>932</v>
      </c>
    </row>
    <row r="2984">
      <c r="A2984" s="1" t="s">
        <v>7671</v>
      </c>
      <c r="B2984" s="2" t="s">
        <v>6713</v>
      </c>
      <c r="C2984" s="1" t="s">
        <v>931</v>
      </c>
      <c r="D2984" s="1" t="s">
        <v>932</v>
      </c>
    </row>
    <row r="2985">
      <c r="A2985" s="1" t="s">
        <v>7672</v>
      </c>
      <c r="B2985" s="2" t="s">
        <v>7588</v>
      </c>
      <c r="C2985" s="1" t="s">
        <v>931</v>
      </c>
      <c r="D2985" s="1" t="s">
        <v>932</v>
      </c>
    </row>
    <row r="2986">
      <c r="A2986" s="1" t="s">
        <v>7674</v>
      </c>
      <c r="B2986" s="2" t="s">
        <v>7591</v>
      </c>
      <c r="C2986" s="1" t="s">
        <v>931</v>
      </c>
      <c r="D2986" s="1" t="s">
        <v>932</v>
      </c>
    </row>
    <row r="2987">
      <c r="A2987" s="1" t="s">
        <v>7676</v>
      </c>
      <c r="B2987" s="2" t="s">
        <v>7594</v>
      </c>
      <c r="C2987" s="1" t="s">
        <v>931</v>
      </c>
      <c r="D2987" s="1" t="s">
        <v>932</v>
      </c>
    </row>
    <row r="2988">
      <c r="A2988" s="1" t="s">
        <v>7678</v>
      </c>
      <c r="B2988" s="2" t="s">
        <v>7598</v>
      </c>
      <c r="C2988" s="1" t="s">
        <v>931</v>
      </c>
      <c r="D2988" s="1" t="s">
        <v>932</v>
      </c>
    </row>
    <row r="2989">
      <c r="A2989" s="1" t="s">
        <v>7680</v>
      </c>
      <c r="B2989" s="2" t="s">
        <v>7038</v>
      </c>
      <c r="C2989" s="1" t="s">
        <v>931</v>
      </c>
      <c r="D2989" s="1" t="s">
        <v>932</v>
      </c>
    </row>
    <row r="2990">
      <c r="A2990" s="1" t="s">
        <v>7683</v>
      </c>
      <c r="B2990" s="2" t="s">
        <v>7684</v>
      </c>
      <c r="C2990" s="1" t="s">
        <v>931</v>
      </c>
      <c r="D2990" s="1" t="s">
        <v>932</v>
      </c>
    </row>
    <row r="2991">
      <c r="A2991" s="1" t="s">
        <v>7686</v>
      </c>
      <c r="B2991" s="2" t="s">
        <v>7687</v>
      </c>
      <c r="C2991" s="1" t="s">
        <v>931</v>
      </c>
      <c r="D2991" s="1" t="s">
        <v>932</v>
      </c>
    </row>
    <row r="2992">
      <c r="A2992" s="1" t="s">
        <v>7689</v>
      </c>
      <c r="B2992" s="2" t="s">
        <v>7690</v>
      </c>
      <c r="C2992" s="1" t="s">
        <v>931</v>
      </c>
      <c r="D2992" s="1" t="s">
        <v>932</v>
      </c>
    </row>
    <row r="2993">
      <c r="A2993" s="1" t="s">
        <v>7693</v>
      </c>
      <c r="B2993" s="2" t="s">
        <v>7694</v>
      </c>
      <c r="C2993" s="1" t="s">
        <v>931</v>
      </c>
      <c r="D2993" s="1" t="s">
        <v>932</v>
      </c>
    </row>
    <row r="2994">
      <c r="A2994" s="1" t="s">
        <v>7696</v>
      </c>
      <c r="B2994" s="2" t="s">
        <v>7082</v>
      </c>
      <c r="C2994" s="1" t="s">
        <v>931</v>
      </c>
      <c r="D2994" s="1" t="s">
        <v>932</v>
      </c>
    </row>
    <row r="2995">
      <c r="A2995" s="1" t="s">
        <v>7698</v>
      </c>
      <c r="B2995" s="2" t="s">
        <v>7699</v>
      </c>
      <c r="C2995" s="1" t="s">
        <v>931</v>
      </c>
      <c r="D2995" s="1" t="s">
        <v>932</v>
      </c>
    </row>
    <row r="2996">
      <c r="A2996" s="1" t="s">
        <v>7702</v>
      </c>
      <c r="B2996" s="2" t="s">
        <v>7703</v>
      </c>
      <c r="C2996" s="1" t="s">
        <v>931</v>
      </c>
      <c r="D2996" s="1" t="s">
        <v>932</v>
      </c>
    </row>
    <row r="2997">
      <c r="A2997" s="1" t="s">
        <v>7705</v>
      </c>
      <c r="B2997" s="2" t="s">
        <v>7706</v>
      </c>
      <c r="C2997" s="1" t="s">
        <v>931</v>
      </c>
      <c r="D2997" s="1" t="s">
        <v>932</v>
      </c>
    </row>
    <row r="2998">
      <c r="A2998" s="1" t="s">
        <v>7707</v>
      </c>
      <c r="B2998" s="2" t="s">
        <v>7709</v>
      </c>
      <c r="C2998" s="1" t="s">
        <v>931</v>
      </c>
      <c r="D2998" s="1" t="s">
        <v>932</v>
      </c>
    </row>
    <row r="2999">
      <c r="A2999" s="1" t="s">
        <v>7711</v>
      </c>
      <c r="B2999" s="2" t="s">
        <v>7125</v>
      </c>
      <c r="C2999" s="1" t="s">
        <v>931</v>
      </c>
      <c r="D2999" s="1" t="s">
        <v>932</v>
      </c>
    </row>
    <row r="3000">
      <c r="A3000" s="1" t="s">
        <v>7713</v>
      </c>
      <c r="B3000" s="2" t="s">
        <v>7714</v>
      </c>
      <c r="C3000" s="1" t="s">
        <v>931</v>
      </c>
      <c r="D3000" s="1" t="s">
        <v>932</v>
      </c>
    </row>
    <row r="3001">
      <c r="A3001" s="1" t="s">
        <v>7716</v>
      </c>
      <c r="B3001" s="2" t="s">
        <v>7717</v>
      </c>
      <c r="C3001" s="1" t="s">
        <v>931</v>
      </c>
      <c r="D3001" s="1" t="s">
        <v>932</v>
      </c>
    </row>
    <row r="3002">
      <c r="A3002" s="1" t="s">
        <v>7720</v>
      </c>
      <c r="B3002" s="2" t="s">
        <v>7721</v>
      </c>
      <c r="C3002" s="1" t="s">
        <v>931</v>
      </c>
      <c r="D3002" s="1" t="s">
        <v>932</v>
      </c>
    </row>
    <row r="3003">
      <c r="A3003" s="1" t="s">
        <v>7723</v>
      </c>
      <c r="B3003" s="2" t="s">
        <v>7724</v>
      </c>
      <c r="C3003" s="1" t="s">
        <v>931</v>
      </c>
      <c r="D3003" s="1" t="s">
        <v>932</v>
      </c>
    </row>
    <row r="3004">
      <c r="A3004" s="1" t="s">
        <v>7726</v>
      </c>
      <c r="B3004" s="2" t="s">
        <v>7169</v>
      </c>
      <c r="C3004" s="1" t="s">
        <v>931</v>
      </c>
      <c r="D3004" s="1" t="s">
        <v>932</v>
      </c>
    </row>
    <row r="3005">
      <c r="A3005" s="1" t="s">
        <v>7729</v>
      </c>
      <c r="B3005" s="2" t="s">
        <v>7730</v>
      </c>
      <c r="C3005" s="1" t="s">
        <v>931</v>
      </c>
      <c r="D3005" s="1" t="s">
        <v>932</v>
      </c>
    </row>
    <row r="3006">
      <c r="A3006" s="1" t="s">
        <v>7731</v>
      </c>
      <c r="B3006" s="2" t="s">
        <v>7732</v>
      </c>
      <c r="C3006" s="1" t="s">
        <v>931</v>
      </c>
      <c r="D3006" s="1" t="s">
        <v>932</v>
      </c>
    </row>
    <row r="3007">
      <c r="A3007" s="1" t="s">
        <v>7733</v>
      </c>
      <c r="B3007" s="2" t="s">
        <v>7734</v>
      </c>
      <c r="C3007" s="1" t="s">
        <v>931</v>
      </c>
      <c r="D3007" s="1" t="s">
        <v>932</v>
      </c>
    </row>
    <row r="3008">
      <c r="A3008" s="1" t="s">
        <v>7735</v>
      </c>
      <c r="B3008" s="2" t="s">
        <v>7736</v>
      </c>
      <c r="C3008" s="1" t="s">
        <v>931</v>
      </c>
      <c r="D3008" s="1" t="s">
        <v>932</v>
      </c>
    </row>
    <row r="3009">
      <c r="A3009" s="1" t="s">
        <v>939</v>
      </c>
      <c r="B3009" s="2" t="s">
        <v>7</v>
      </c>
      <c r="C3009" s="1" t="s">
        <v>940</v>
      </c>
      <c r="D3009" s="1" t="s">
        <v>941</v>
      </c>
    </row>
    <row r="3010">
      <c r="A3010" s="1" t="s">
        <v>7737</v>
      </c>
      <c r="B3010" s="2" t="s">
        <v>5922</v>
      </c>
      <c r="C3010" s="1" t="s">
        <v>940</v>
      </c>
      <c r="D3010" s="1" t="s">
        <v>941</v>
      </c>
    </row>
    <row r="3011">
      <c r="A3011" s="1" t="s">
        <v>7739</v>
      </c>
      <c r="B3011" s="2" t="s">
        <v>5926</v>
      </c>
      <c r="C3011" s="1" t="s">
        <v>940</v>
      </c>
      <c r="D3011" s="1" t="s">
        <v>941</v>
      </c>
    </row>
    <row r="3012">
      <c r="A3012" s="1" t="s">
        <v>7740</v>
      </c>
      <c r="B3012" s="2" t="s">
        <v>5928</v>
      </c>
      <c r="C3012" s="1" t="s">
        <v>940</v>
      </c>
      <c r="D3012" s="1" t="s">
        <v>941</v>
      </c>
    </row>
    <row r="3013">
      <c r="A3013" s="1" t="s">
        <v>7742</v>
      </c>
      <c r="B3013" s="2" t="s">
        <v>5932</v>
      </c>
      <c r="C3013" s="1" t="s">
        <v>940</v>
      </c>
      <c r="D3013" s="1" t="s">
        <v>941</v>
      </c>
    </row>
    <row r="3014">
      <c r="A3014" s="1" t="s">
        <v>7745</v>
      </c>
      <c r="B3014" s="2" t="s">
        <v>5935</v>
      </c>
      <c r="C3014" s="1" t="s">
        <v>940</v>
      </c>
      <c r="D3014" s="1" t="s">
        <v>941</v>
      </c>
    </row>
    <row r="3015">
      <c r="A3015" s="1" t="s">
        <v>7746</v>
      </c>
      <c r="B3015" s="2" t="s">
        <v>6713</v>
      </c>
      <c r="C3015" s="1" t="s">
        <v>940</v>
      </c>
      <c r="D3015" s="1" t="s">
        <v>941</v>
      </c>
    </row>
    <row r="3016">
      <c r="A3016" s="1" t="s">
        <v>7747</v>
      </c>
      <c r="B3016" s="2" t="s">
        <v>7748</v>
      </c>
      <c r="C3016" s="1" t="s">
        <v>940</v>
      </c>
      <c r="D3016" s="1" t="s">
        <v>941</v>
      </c>
    </row>
    <row r="3017">
      <c r="A3017" s="1" t="s">
        <v>7750</v>
      </c>
      <c r="B3017" s="2" t="s">
        <v>7752</v>
      </c>
      <c r="C3017" s="1" t="s">
        <v>940</v>
      </c>
      <c r="D3017" s="1" t="s">
        <v>941</v>
      </c>
    </row>
    <row r="3018">
      <c r="A3018" s="1" t="s">
        <v>7754</v>
      </c>
      <c r="B3018" s="2" t="s">
        <v>7755</v>
      </c>
      <c r="C3018" s="1" t="s">
        <v>940</v>
      </c>
      <c r="D3018" s="1" t="s">
        <v>941</v>
      </c>
    </row>
    <row r="3019">
      <c r="A3019" s="1" t="s">
        <v>7756</v>
      </c>
      <c r="B3019" s="2" t="s">
        <v>7757</v>
      </c>
      <c r="C3019" s="1" t="s">
        <v>940</v>
      </c>
      <c r="D3019" s="1" t="s">
        <v>941</v>
      </c>
    </row>
    <row r="3020">
      <c r="A3020" s="1" t="s">
        <v>7759</v>
      </c>
      <c r="B3020" s="2" t="s">
        <v>7761</v>
      </c>
      <c r="C3020" s="1" t="s">
        <v>940</v>
      </c>
      <c r="D3020" s="1" t="s">
        <v>941</v>
      </c>
    </row>
    <row r="3021">
      <c r="A3021" s="1" t="s">
        <v>7763</v>
      </c>
      <c r="B3021" s="2" t="s">
        <v>6772</v>
      </c>
      <c r="C3021" s="1" t="s">
        <v>940</v>
      </c>
      <c r="D3021" s="1" t="s">
        <v>941</v>
      </c>
    </row>
    <row r="3022">
      <c r="A3022" s="1" t="s">
        <v>7765</v>
      </c>
      <c r="B3022" s="2" t="s">
        <v>7766</v>
      </c>
      <c r="C3022" s="1" t="s">
        <v>940</v>
      </c>
      <c r="D3022" s="1" t="s">
        <v>941</v>
      </c>
    </row>
    <row r="3023">
      <c r="A3023" s="1" t="s">
        <v>7769</v>
      </c>
      <c r="B3023" s="2" t="s">
        <v>7771</v>
      </c>
      <c r="C3023" s="1" t="s">
        <v>940</v>
      </c>
      <c r="D3023" s="1" t="s">
        <v>941</v>
      </c>
    </row>
    <row r="3024">
      <c r="A3024" s="1" t="s">
        <v>7773</v>
      </c>
      <c r="B3024" s="2" t="s">
        <v>7774</v>
      </c>
      <c r="C3024" s="1" t="s">
        <v>940</v>
      </c>
      <c r="D3024" s="1" t="s">
        <v>941</v>
      </c>
    </row>
    <row r="3025">
      <c r="A3025" s="1" t="s">
        <v>7777</v>
      </c>
      <c r="B3025" s="2" t="s">
        <v>7778</v>
      </c>
      <c r="C3025" s="1" t="s">
        <v>940</v>
      </c>
      <c r="D3025" s="1" t="s">
        <v>941</v>
      </c>
    </row>
    <row r="3026">
      <c r="A3026" s="1" t="s">
        <v>7779</v>
      </c>
      <c r="B3026" s="2" t="s">
        <v>7780</v>
      </c>
      <c r="C3026" s="1" t="s">
        <v>940</v>
      </c>
      <c r="D3026" s="1" t="s">
        <v>941</v>
      </c>
    </row>
    <row r="3027">
      <c r="A3027" s="1" t="s">
        <v>7782</v>
      </c>
      <c r="B3027" s="2" t="s">
        <v>6825</v>
      </c>
      <c r="C3027" s="1" t="s">
        <v>940</v>
      </c>
      <c r="D3027" s="1" t="s">
        <v>941</v>
      </c>
    </row>
    <row r="3028">
      <c r="A3028" s="1" t="s">
        <v>7785</v>
      </c>
      <c r="B3028" s="2" t="s">
        <v>7786</v>
      </c>
      <c r="C3028" s="1" t="s">
        <v>940</v>
      </c>
      <c r="D3028" s="1" t="s">
        <v>941</v>
      </c>
    </row>
    <row r="3029">
      <c r="A3029" s="1" t="s">
        <v>7787</v>
      </c>
      <c r="B3029" s="2" t="s">
        <v>7789</v>
      </c>
      <c r="C3029" s="1" t="s">
        <v>940</v>
      </c>
      <c r="D3029" s="1" t="s">
        <v>941</v>
      </c>
    </row>
    <row r="3030">
      <c r="A3030" s="1" t="s">
        <v>7791</v>
      </c>
      <c r="B3030" s="2" t="s">
        <v>7793</v>
      </c>
      <c r="C3030" s="1" t="s">
        <v>940</v>
      </c>
      <c r="D3030" s="1" t="s">
        <v>941</v>
      </c>
    </row>
    <row r="3031">
      <c r="A3031" s="1" t="s">
        <v>7794</v>
      </c>
      <c r="B3031" s="2" t="s">
        <v>7795</v>
      </c>
      <c r="C3031" s="1" t="s">
        <v>940</v>
      </c>
      <c r="D3031" s="1" t="s">
        <v>941</v>
      </c>
    </row>
    <row r="3032">
      <c r="A3032" s="1" t="s">
        <v>7796</v>
      </c>
      <c r="B3032" s="2" t="s">
        <v>7798</v>
      </c>
      <c r="C3032" s="1" t="s">
        <v>940</v>
      </c>
      <c r="D3032" s="1" t="s">
        <v>941</v>
      </c>
    </row>
    <row r="3033">
      <c r="A3033" s="1" t="s">
        <v>7800</v>
      </c>
      <c r="B3033" s="2" t="s">
        <v>6875</v>
      </c>
      <c r="C3033" s="1" t="s">
        <v>940</v>
      </c>
      <c r="D3033" s="1" t="s">
        <v>941</v>
      </c>
    </row>
    <row r="3034">
      <c r="A3034" s="1" t="s">
        <v>7803</v>
      </c>
      <c r="B3034" s="2" t="s">
        <v>7804</v>
      </c>
      <c r="C3034" s="1" t="s">
        <v>940</v>
      </c>
      <c r="D3034" s="1" t="s">
        <v>941</v>
      </c>
    </row>
    <row r="3035">
      <c r="A3035" s="1" t="s">
        <v>7805</v>
      </c>
      <c r="B3035" s="2" t="s">
        <v>7807</v>
      </c>
      <c r="C3035" s="1" t="s">
        <v>940</v>
      </c>
      <c r="D3035" s="1" t="s">
        <v>941</v>
      </c>
    </row>
    <row r="3036">
      <c r="A3036" s="1" t="s">
        <v>7809</v>
      </c>
      <c r="B3036" s="2" t="s">
        <v>7811</v>
      </c>
      <c r="C3036" s="1" t="s">
        <v>940</v>
      </c>
      <c r="D3036" s="1" t="s">
        <v>941</v>
      </c>
    </row>
    <row r="3037">
      <c r="A3037" s="1" t="s">
        <v>7813</v>
      </c>
      <c r="B3037" s="2" t="s">
        <v>7814</v>
      </c>
      <c r="C3037" s="1" t="s">
        <v>940</v>
      </c>
      <c r="D3037" s="1" t="s">
        <v>941</v>
      </c>
    </row>
    <row r="3038">
      <c r="A3038" s="1" t="s">
        <v>7815</v>
      </c>
      <c r="B3038" s="2" t="s">
        <v>7817</v>
      </c>
      <c r="C3038" s="1" t="s">
        <v>940</v>
      </c>
      <c r="D3038" s="1" t="s">
        <v>941</v>
      </c>
    </row>
    <row r="3039">
      <c r="A3039" s="1" t="s">
        <v>7819</v>
      </c>
      <c r="B3039" s="2" t="s">
        <v>6928</v>
      </c>
      <c r="C3039" s="1" t="s">
        <v>940</v>
      </c>
      <c r="D3039" s="1" t="s">
        <v>941</v>
      </c>
    </row>
    <row r="3040">
      <c r="A3040" s="1" t="s">
        <v>7821</v>
      </c>
      <c r="B3040" s="2" t="s">
        <v>7823</v>
      </c>
      <c r="C3040" s="1" t="s">
        <v>940</v>
      </c>
      <c r="D3040" s="1" t="s">
        <v>941</v>
      </c>
    </row>
    <row r="3041">
      <c r="A3041" s="1" t="s">
        <v>7824</v>
      </c>
      <c r="B3041" s="2" t="s">
        <v>7825</v>
      </c>
      <c r="C3041" s="1" t="s">
        <v>940</v>
      </c>
      <c r="D3041" s="1" t="s">
        <v>941</v>
      </c>
    </row>
    <row r="3042">
      <c r="A3042" s="1" t="s">
        <v>7827</v>
      </c>
      <c r="B3042" s="2" t="s">
        <v>7828</v>
      </c>
      <c r="C3042" s="1" t="s">
        <v>940</v>
      </c>
      <c r="D3042" s="1" t="s">
        <v>941</v>
      </c>
    </row>
    <row r="3043">
      <c r="A3043" s="1" t="s">
        <v>7830</v>
      </c>
      <c r="B3043" s="2" t="s">
        <v>7831</v>
      </c>
      <c r="C3043" s="1" t="s">
        <v>940</v>
      </c>
      <c r="D3043" s="1" t="s">
        <v>941</v>
      </c>
    </row>
    <row r="3044">
      <c r="A3044" s="1" t="s">
        <v>7832</v>
      </c>
      <c r="B3044" s="2" t="s">
        <v>7833</v>
      </c>
      <c r="C3044" s="1" t="s">
        <v>940</v>
      </c>
      <c r="D3044" s="1" t="s">
        <v>941</v>
      </c>
    </row>
    <row r="3045">
      <c r="A3045" s="1" t="s">
        <v>936</v>
      </c>
      <c r="B3045" s="2" t="s">
        <v>7</v>
      </c>
      <c r="C3045" s="1" t="s">
        <v>937</v>
      </c>
      <c r="D3045" s="1" t="s">
        <v>938</v>
      </c>
    </row>
    <row r="3046">
      <c r="A3046" s="1" t="s">
        <v>7837</v>
      </c>
      <c r="B3046" s="2" t="s">
        <v>5922</v>
      </c>
      <c r="C3046" s="1" t="s">
        <v>937</v>
      </c>
      <c r="D3046" s="1" t="s">
        <v>938</v>
      </c>
    </row>
    <row r="3047">
      <c r="A3047" s="1" t="s">
        <v>7839</v>
      </c>
      <c r="B3047" s="2" t="s">
        <v>5926</v>
      </c>
      <c r="C3047" s="1" t="s">
        <v>937</v>
      </c>
      <c r="D3047" s="1" t="s">
        <v>938</v>
      </c>
    </row>
    <row r="3048">
      <c r="A3048" s="1" t="s">
        <v>7840</v>
      </c>
      <c r="B3048" s="2" t="s">
        <v>5928</v>
      </c>
      <c r="C3048" s="1" t="s">
        <v>937</v>
      </c>
      <c r="D3048" s="1" t="s">
        <v>938</v>
      </c>
    </row>
    <row r="3049">
      <c r="A3049" s="1" t="s">
        <v>7843</v>
      </c>
      <c r="B3049" s="2" t="s">
        <v>5932</v>
      </c>
      <c r="C3049" s="1" t="s">
        <v>937</v>
      </c>
      <c r="D3049" s="1" t="s">
        <v>938</v>
      </c>
    </row>
    <row r="3050">
      <c r="A3050" s="1" t="s">
        <v>7845</v>
      </c>
      <c r="B3050" s="2" t="s">
        <v>5935</v>
      </c>
      <c r="C3050" s="1" t="s">
        <v>937</v>
      </c>
      <c r="D3050" s="1" t="s">
        <v>938</v>
      </c>
    </row>
    <row r="3051">
      <c r="A3051" s="1" t="s">
        <v>7846</v>
      </c>
      <c r="B3051" s="2" t="s">
        <v>6713</v>
      </c>
      <c r="C3051" s="1" t="s">
        <v>937</v>
      </c>
      <c r="D3051" s="1" t="s">
        <v>938</v>
      </c>
    </row>
    <row r="3052">
      <c r="A3052" s="1" t="s">
        <v>7848</v>
      </c>
      <c r="B3052" s="2" t="s">
        <v>7748</v>
      </c>
      <c r="C3052" s="1" t="s">
        <v>937</v>
      </c>
      <c r="D3052" s="1" t="s">
        <v>938</v>
      </c>
    </row>
    <row r="3053">
      <c r="A3053" s="1" t="s">
        <v>7851</v>
      </c>
      <c r="B3053" s="2" t="s">
        <v>7752</v>
      </c>
      <c r="C3053" s="1" t="s">
        <v>937</v>
      </c>
      <c r="D3053" s="1" t="s">
        <v>938</v>
      </c>
    </row>
    <row r="3054">
      <c r="A3054" s="1" t="s">
        <v>7852</v>
      </c>
      <c r="B3054" s="2" t="s">
        <v>7755</v>
      </c>
      <c r="C3054" s="1" t="s">
        <v>937</v>
      </c>
      <c r="D3054" s="1" t="s">
        <v>938</v>
      </c>
    </row>
    <row r="3055">
      <c r="A3055" s="1" t="s">
        <v>7854</v>
      </c>
      <c r="B3055" s="2" t="s">
        <v>7757</v>
      </c>
      <c r="C3055" s="1" t="s">
        <v>937</v>
      </c>
      <c r="D3055" s="1" t="s">
        <v>938</v>
      </c>
    </row>
    <row r="3056">
      <c r="A3056" s="1" t="s">
        <v>7857</v>
      </c>
      <c r="B3056" s="2" t="s">
        <v>7761</v>
      </c>
      <c r="C3056" s="1" t="s">
        <v>937</v>
      </c>
      <c r="D3056" s="1" t="s">
        <v>938</v>
      </c>
    </row>
    <row r="3057">
      <c r="A3057" s="1" t="s">
        <v>7858</v>
      </c>
      <c r="B3057" s="2" t="s">
        <v>7038</v>
      </c>
      <c r="C3057" s="1" t="s">
        <v>937</v>
      </c>
      <c r="D3057" s="1" t="s">
        <v>938</v>
      </c>
    </row>
    <row r="3058">
      <c r="A3058" s="1" t="s">
        <v>7860</v>
      </c>
      <c r="B3058" s="2" t="s">
        <v>7861</v>
      </c>
      <c r="C3058" s="1" t="s">
        <v>937</v>
      </c>
      <c r="D3058" s="1" t="s">
        <v>938</v>
      </c>
    </row>
    <row r="3059">
      <c r="A3059" s="1" t="s">
        <v>7864</v>
      </c>
      <c r="B3059" s="2" t="s">
        <v>7865</v>
      </c>
      <c r="C3059" s="1" t="s">
        <v>937</v>
      </c>
      <c r="D3059" s="1" t="s">
        <v>938</v>
      </c>
    </row>
    <row r="3060">
      <c r="A3060" s="1" t="s">
        <v>7866</v>
      </c>
      <c r="B3060" s="2" t="s">
        <v>7867</v>
      </c>
      <c r="C3060" s="1" t="s">
        <v>937</v>
      </c>
      <c r="D3060" s="1" t="s">
        <v>938</v>
      </c>
    </row>
    <row r="3061">
      <c r="A3061" s="1" t="s">
        <v>7869</v>
      </c>
      <c r="B3061" s="2" t="s">
        <v>7871</v>
      </c>
      <c r="C3061" s="1" t="s">
        <v>937</v>
      </c>
      <c r="D3061" s="1" t="s">
        <v>938</v>
      </c>
    </row>
    <row r="3062">
      <c r="A3062" s="1" t="s">
        <v>7873</v>
      </c>
      <c r="B3062" s="2" t="s">
        <v>7874</v>
      </c>
      <c r="C3062" s="1" t="s">
        <v>937</v>
      </c>
      <c r="D3062" s="1" t="s">
        <v>938</v>
      </c>
    </row>
    <row r="3063">
      <c r="A3063" s="1" t="s">
        <v>7875</v>
      </c>
      <c r="B3063" s="2" t="s">
        <v>7082</v>
      </c>
      <c r="C3063" s="1" t="s">
        <v>937</v>
      </c>
      <c r="D3063" s="1" t="s">
        <v>938</v>
      </c>
    </row>
    <row r="3064">
      <c r="A3064" s="1" t="s">
        <v>7878</v>
      </c>
      <c r="B3064" s="2" t="s">
        <v>7880</v>
      </c>
      <c r="C3064" s="1" t="s">
        <v>937</v>
      </c>
      <c r="D3064" s="1" t="s">
        <v>938</v>
      </c>
    </row>
    <row r="3065">
      <c r="A3065" s="1" t="s">
        <v>7881</v>
      </c>
      <c r="B3065" s="2" t="s">
        <v>7882</v>
      </c>
      <c r="C3065" s="1" t="s">
        <v>937</v>
      </c>
      <c r="D3065" s="1" t="s">
        <v>938</v>
      </c>
    </row>
    <row r="3066">
      <c r="A3066" s="1" t="s">
        <v>7883</v>
      </c>
      <c r="B3066" s="2" t="s">
        <v>7887</v>
      </c>
      <c r="C3066" s="1" t="s">
        <v>937</v>
      </c>
      <c r="D3066" s="1" t="s">
        <v>938</v>
      </c>
    </row>
    <row r="3067">
      <c r="A3067" s="1" t="s">
        <v>7888</v>
      </c>
      <c r="B3067" s="2" t="s">
        <v>7889</v>
      </c>
      <c r="C3067" s="1" t="s">
        <v>937</v>
      </c>
      <c r="D3067" s="1" t="s">
        <v>938</v>
      </c>
    </row>
    <row r="3068">
      <c r="A3068" s="1" t="s">
        <v>7890</v>
      </c>
      <c r="B3068" s="2" t="s">
        <v>7891</v>
      </c>
      <c r="C3068" s="1" t="s">
        <v>937</v>
      </c>
      <c r="D3068" s="1" t="s">
        <v>938</v>
      </c>
    </row>
    <row r="3069">
      <c r="A3069" s="1" t="s">
        <v>7892</v>
      </c>
      <c r="B3069" s="2" t="s">
        <v>7125</v>
      </c>
      <c r="C3069" s="1" t="s">
        <v>937</v>
      </c>
      <c r="D3069" s="1" t="s">
        <v>938</v>
      </c>
    </row>
    <row r="3070">
      <c r="A3070" s="1" t="s">
        <v>7893</v>
      </c>
      <c r="B3070" s="2" t="s">
        <v>7894</v>
      </c>
      <c r="C3070" s="1" t="s">
        <v>937</v>
      </c>
      <c r="D3070" s="1" t="s">
        <v>938</v>
      </c>
    </row>
    <row r="3071">
      <c r="A3071" s="1" t="s">
        <v>7895</v>
      </c>
      <c r="B3071" s="2" t="s">
        <v>7896</v>
      </c>
      <c r="C3071" s="1" t="s">
        <v>937</v>
      </c>
      <c r="D3071" s="1" t="s">
        <v>938</v>
      </c>
    </row>
    <row r="3072">
      <c r="A3072" s="1" t="s">
        <v>7897</v>
      </c>
      <c r="B3072" s="2" t="s">
        <v>7898</v>
      </c>
      <c r="C3072" s="1" t="s">
        <v>937</v>
      </c>
      <c r="D3072" s="1" t="s">
        <v>938</v>
      </c>
    </row>
    <row r="3073">
      <c r="A3073" s="1" t="s">
        <v>7899</v>
      </c>
      <c r="B3073" s="2" t="s">
        <v>7900</v>
      </c>
      <c r="C3073" s="1" t="s">
        <v>937</v>
      </c>
      <c r="D3073" s="1" t="s">
        <v>938</v>
      </c>
    </row>
    <row r="3074">
      <c r="A3074" s="1" t="s">
        <v>7901</v>
      </c>
      <c r="B3074" s="2" t="s">
        <v>7902</v>
      </c>
      <c r="C3074" s="1" t="s">
        <v>937</v>
      </c>
      <c r="D3074" s="1" t="s">
        <v>938</v>
      </c>
    </row>
    <row r="3075">
      <c r="A3075" s="1" t="s">
        <v>7903</v>
      </c>
      <c r="B3075" s="2" t="s">
        <v>7169</v>
      </c>
      <c r="C3075" s="1" t="s">
        <v>937</v>
      </c>
      <c r="D3075" s="1" t="s">
        <v>938</v>
      </c>
    </row>
    <row r="3076">
      <c r="A3076" s="1" t="s">
        <v>7904</v>
      </c>
      <c r="B3076" s="2" t="s">
        <v>7905</v>
      </c>
      <c r="C3076" s="1" t="s">
        <v>937</v>
      </c>
      <c r="D3076" s="1" t="s">
        <v>938</v>
      </c>
    </row>
    <row r="3077">
      <c r="A3077" s="1" t="s">
        <v>7906</v>
      </c>
      <c r="B3077" s="2" t="s">
        <v>7907</v>
      </c>
      <c r="C3077" s="1" t="s">
        <v>937</v>
      </c>
      <c r="D3077" s="1" t="s">
        <v>938</v>
      </c>
    </row>
    <row r="3078">
      <c r="A3078" s="1" t="s">
        <v>7908</v>
      </c>
      <c r="B3078" s="2" t="s">
        <v>7909</v>
      </c>
      <c r="C3078" s="1" t="s">
        <v>937</v>
      </c>
      <c r="D3078" s="1" t="s">
        <v>938</v>
      </c>
    </row>
    <row r="3079">
      <c r="A3079" s="1" t="s">
        <v>7910</v>
      </c>
      <c r="B3079" s="2" t="s">
        <v>7911</v>
      </c>
      <c r="C3079" s="1" t="s">
        <v>937</v>
      </c>
      <c r="D3079" s="1" t="s">
        <v>938</v>
      </c>
    </row>
    <row r="3080">
      <c r="A3080" s="1" t="s">
        <v>7912</v>
      </c>
      <c r="B3080" s="2" t="s">
        <v>7913</v>
      </c>
      <c r="C3080" s="1" t="s">
        <v>937</v>
      </c>
      <c r="D3080" s="1" t="s">
        <v>938</v>
      </c>
    </row>
    <row r="3081">
      <c r="A3081" s="1" t="s">
        <v>960</v>
      </c>
      <c r="B3081" s="2" t="s">
        <v>7</v>
      </c>
      <c r="C3081" s="1" t="s">
        <v>962</v>
      </c>
      <c r="D3081" s="1" t="s">
        <v>964</v>
      </c>
    </row>
    <row r="3082">
      <c r="A3082" s="1" t="s">
        <v>7914</v>
      </c>
      <c r="B3082" s="2" t="s">
        <v>6064</v>
      </c>
      <c r="C3082" s="1" t="s">
        <v>962</v>
      </c>
      <c r="D3082" s="1" t="s">
        <v>964</v>
      </c>
    </row>
    <row r="3083">
      <c r="A3083" s="1" t="s">
        <v>7915</v>
      </c>
      <c r="B3083" s="2" t="s">
        <v>6066</v>
      </c>
      <c r="C3083" s="1" t="s">
        <v>962</v>
      </c>
      <c r="D3083" s="1" t="s">
        <v>964</v>
      </c>
    </row>
    <row r="3084">
      <c r="A3084" s="1" t="s">
        <v>7916</v>
      </c>
      <c r="B3084" s="2" t="s">
        <v>6069</v>
      </c>
      <c r="C3084" s="1" t="s">
        <v>962</v>
      </c>
      <c r="D3084" s="1" t="s">
        <v>964</v>
      </c>
    </row>
    <row r="3085">
      <c r="A3085" s="1" t="s">
        <v>7917</v>
      </c>
      <c r="B3085" s="2" t="s">
        <v>6072</v>
      </c>
      <c r="C3085" s="1" t="s">
        <v>962</v>
      </c>
      <c r="D3085" s="1" t="s">
        <v>964</v>
      </c>
    </row>
    <row r="3086">
      <c r="A3086" s="1" t="s">
        <v>7918</v>
      </c>
      <c r="B3086" s="2" t="s">
        <v>6076</v>
      </c>
      <c r="C3086" s="1" t="s">
        <v>962</v>
      </c>
      <c r="D3086" s="1" t="s">
        <v>964</v>
      </c>
    </row>
    <row r="3087">
      <c r="A3087" s="1" t="s">
        <v>7919</v>
      </c>
      <c r="B3087" s="2" t="s">
        <v>6713</v>
      </c>
      <c r="C3087" s="1" t="s">
        <v>962</v>
      </c>
      <c r="D3087" s="1" t="s">
        <v>964</v>
      </c>
    </row>
    <row r="3088">
      <c r="A3088" s="1" t="s">
        <v>7920</v>
      </c>
      <c r="B3088" s="2" t="s">
        <v>7921</v>
      </c>
      <c r="C3088" s="1" t="s">
        <v>962</v>
      </c>
      <c r="D3088" s="1" t="s">
        <v>964</v>
      </c>
    </row>
    <row r="3089">
      <c r="A3089" s="1" t="s">
        <v>7922</v>
      </c>
      <c r="B3089" s="2" t="s">
        <v>7923</v>
      </c>
      <c r="C3089" s="1" t="s">
        <v>962</v>
      </c>
      <c r="D3089" s="1" t="s">
        <v>964</v>
      </c>
    </row>
    <row r="3090">
      <c r="A3090" s="1" t="s">
        <v>7924</v>
      </c>
      <c r="B3090" s="2" t="s">
        <v>7925</v>
      </c>
      <c r="C3090" s="1" t="s">
        <v>962</v>
      </c>
      <c r="D3090" s="1" t="s">
        <v>964</v>
      </c>
    </row>
    <row r="3091">
      <c r="A3091" s="1" t="s">
        <v>7926</v>
      </c>
      <c r="B3091" s="2" t="s">
        <v>7927</v>
      </c>
      <c r="C3091" s="1" t="s">
        <v>962</v>
      </c>
      <c r="D3091" s="1" t="s">
        <v>964</v>
      </c>
    </row>
    <row r="3092">
      <c r="A3092" s="1" t="s">
        <v>7928</v>
      </c>
      <c r="B3092" s="2" t="s">
        <v>7929</v>
      </c>
      <c r="C3092" s="1" t="s">
        <v>962</v>
      </c>
      <c r="D3092" s="1" t="s">
        <v>964</v>
      </c>
    </row>
    <row r="3093">
      <c r="A3093" s="1" t="s">
        <v>7930</v>
      </c>
      <c r="B3093" s="2" t="s">
        <v>6772</v>
      </c>
      <c r="C3093" s="1" t="s">
        <v>962</v>
      </c>
      <c r="D3093" s="1" t="s">
        <v>964</v>
      </c>
    </row>
    <row r="3094">
      <c r="A3094" s="1" t="s">
        <v>7933</v>
      </c>
      <c r="B3094" s="2" t="s">
        <v>7934</v>
      </c>
      <c r="C3094" s="1" t="s">
        <v>962</v>
      </c>
      <c r="D3094" s="1" t="s">
        <v>964</v>
      </c>
    </row>
    <row r="3095">
      <c r="A3095" s="1" t="s">
        <v>7936</v>
      </c>
      <c r="B3095" s="2" t="s">
        <v>7937</v>
      </c>
      <c r="C3095" s="1" t="s">
        <v>962</v>
      </c>
      <c r="D3095" s="1" t="s">
        <v>964</v>
      </c>
    </row>
    <row r="3096">
      <c r="A3096" s="1" t="s">
        <v>7938</v>
      </c>
      <c r="B3096" s="2" t="s">
        <v>7939</v>
      </c>
      <c r="C3096" s="1" t="s">
        <v>962</v>
      </c>
      <c r="D3096" s="1" t="s">
        <v>964</v>
      </c>
    </row>
    <row r="3097">
      <c r="A3097" s="1" t="s">
        <v>7941</v>
      </c>
      <c r="B3097" s="2" t="s">
        <v>7943</v>
      </c>
      <c r="C3097" s="1" t="s">
        <v>962</v>
      </c>
      <c r="D3097" s="1" t="s">
        <v>964</v>
      </c>
    </row>
    <row r="3098">
      <c r="A3098" s="1" t="s">
        <v>7945</v>
      </c>
      <c r="B3098" s="2" t="s">
        <v>7947</v>
      </c>
      <c r="C3098" s="1" t="s">
        <v>962</v>
      </c>
      <c r="D3098" s="1" t="s">
        <v>964</v>
      </c>
    </row>
    <row r="3099">
      <c r="A3099" s="1" t="s">
        <v>7948</v>
      </c>
      <c r="B3099" s="2" t="s">
        <v>6825</v>
      </c>
      <c r="C3099" s="1" t="s">
        <v>962</v>
      </c>
      <c r="D3099" s="1" t="s">
        <v>964</v>
      </c>
    </row>
    <row r="3100">
      <c r="A3100" s="1" t="s">
        <v>7950</v>
      </c>
      <c r="B3100" s="2" t="s">
        <v>7952</v>
      </c>
      <c r="C3100" s="1" t="s">
        <v>962</v>
      </c>
      <c r="D3100" s="1" t="s">
        <v>964</v>
      </c>
    </row>
    <row r="3101">
      <c r="A3101" s="1" t="s">
        <v>7954</v>
      </c>
      <c r="B3101" s="2" t="s">
        <v>7955</v>
      </c>
      <c r="C3101" s="1" t="s">
        <v>962</v>
      </c>
      <c r="D3101" s="1" t="s">
        <v>964</v>
      </c>
    </row>
    <row r="3102">
      <c r="A3102" s="1" t="s">
        <v>7956</v>
      </c>
      <c r="B3102" s="2" t="s">
        <v>7957</v>
      </c>
      <c r="C3102" s="1" t="s">
        <v>962</v>
      </c>
      <c r="D3102" s="1" t="s">
        <v>964</v>
      </c>
    </row>
    <row r="3103">
      <c r="A3103" s="1" t="s">
        <v>7959</v>
      </c>
      <c r="B3103" s="2" t="s">
        <v>7961</v>
      </c>
      <c r="C3103" s="1" t="s">
        <v>962</v>
      </c>
      <c r="D3103" s="1" t="s">
        <v>964</v>
      </c>
    </row>
    <row r="3104">
      <c r="A3104" s="1" t="s">
        <v>7963</v>
      </c>
      <c r="B3104" s="2" t="s">
        <v>7964</v>
      </c>
      <c r="C3104" s="1" t="s">
        <v>962</v>
      </c>
      <c r="D3104" s="1" t="s">
        <v>964</v>
      </c>
    </row>
    <row r="3105">
      <c r="A3105" s="1" t="s">
        <v>7965</v>
      </c>
      <c r="B3105" s="2" t="s">
        <v>6875</v>
      </c>
      <c r="C3105" s="1" t="s">
        <v>962</v>
      </c>
      <c r="D3105" s="1" t="s">
        <v>964</v>
      </c>
    </row>
    <row r="3106">
      <c r="A3106" s="1" t="s">
        <v>7966</v>
      </c>
      <c r="B3106" s="2" t="s">
        <v>7968</v>
      </c>
      <c r="C3106" s="1" t="s">
        <v>962</v>
      </c>
      <c r="D3106" s="1" t="s">
        <v>964</v>
      </c>
    </row>
    <row r="3107">
      <c r="A3107" s="1" t="s">
        <v>7970</v>
      </c>
      <c r="B3107" s="2" t="s">
        <v>7972</v>
      </c>
      <c r="C3107" s="1" t="s">
        <v>962</v>
      </c>
      <c r="D3107" s="1" t="s">
        <v>964</v>
      </c>
    </row>
    <row r="3108">
      <c r="A3108" s="1" t="s">
        <v>7973</v>
      </c>
      <c r="B3108" s="2" t="s">
        <v>7974</v>
      </c>
      <c r="C3108" s="1" t="s">
        <v>962</v>
      </c>
      <c r="D3108" s="1" t="s">
        <v>964</v>
      </c>
    </row>
    <row r="3109">
      <c r="A3109" s="1" t="s">
        <v>7975</v>
      </c>
      <c r="B3109" s="2" t="s">
        <v>7977</v>
      </c>
      <c r="C3109" s="1" t="s">
        <v>962</v>
      </c>
      <c r="D3109" s="1" t="s">
        <v>964</v>
      </c>
    </row>
    <row r="3110">
      <c r="A3110" s="1" t="s">
        <v>7980</v>
      </c>
      <c r="B3110" s="2" t="s">
        <v>7981</v>
      </c>
      <c r="C3110" s="1" t="s">
        <v>962</v>
      </c>
      <c r="D3110" s="1" t="s">
        <v>964</v>
      </c>
    </row>
    <row r="3111">
      <c r="A3111" s="1" t="s">
        <v>7982</v>
      </c>
      <c r="B3111" s="2" t="s">
        <v>6928</v>
      </c>
      <c r="C3111" s="1" t="s">
        <v>962</v>
      </c>
      <c r="D3111" s="1" t="s">
        <v>964</v>
      </c>
    </row>
    <row r="3112">
      <c r="A3112" s="1" t="s">
        <v>7983</v>
      </c>
      <c r="B3112" s="2" t="s">
        <v>7985</v>
      </c>
      <c r="C3112" s="1" t="s">
        <v>962</v>
      </c>
      <c r="D3112" s="1" t="s">
        <v>964</v>
      </c>
    </row>
    <row r="3113">
      <c r="A3113" s="1" t="s">
        <v>7987</v>
      </c>
      <c r="B3113" s="2" t="s">
        <v>7989</v>
      </c>
      <c r="C3113" s="1" t="s">
        <v>962</v>
      </c>
      <c r="D3113" s="1" t="s">
        <v>964</v>
      </c>
    </row>
    <row r="3114">
      <c r="A3114" s="1" t="s">
        <v>7990</v>
      </c>
      <c r="B3114" s="2" t="s">
        <v>7991</v>
      </c>
      <c r="C3114" s="1" t="s">
        <v>962</v>
      </c>
      <c r="D3114" s="1" t="s">
        <v>964</v>
      </c>
    </row>
    <row r="3115">
      <c r="A3115" s="1" t="s">
        <v>7992</v>
      </c>
      <c r="B3115" s="2" t="s">
        <v>7994</v>
      </c>
      <c r="C3115" s="1" t="s">
        <v>962</v>
      </c>
      <c r="D3115" s="1" t="s">
        <v>964</v>
      </c>
    </row>
    <row r="3116">
      <c r="A3116" s="1" t="s">
        <v>7995</v>
      </c>
      <c r="B3116" s="2" t="s">
        <v>7997</v>
      </c>
      <c r="C3116" s="1" t="s">
        <v>962</v>
      </c>
      <c r="D3116" s="1" t="s">
        <v>964</v>
      </c>
    </row>
    <row r="3117">
      <c r="A3117" s="1" t="s">
        <v>946</v>
      </c>
      <c r="B3117" s="2" t="s">
        <v>7</v>
      </c>
      <c r="C3117" s="1" t="s">
        <v>949</v>
      </c>
      <c r="D3117" s="1" t="s">
        <v>954</v>
      </c>
    </row>
    <row r="3118">
      <c r="A3118" s="1" t="s">
        <v>7999</v>
      </c>
      <c r="B3118" s="2" t="s">
        <v>6064</v>
      </c>
      <c r="C3118" s="1" t="s">
        <v>949</v>
      </c>
      <c r="D3118" s="1" t="s">
        <v>954</v>
      </c>
    </row>
    <row r="3119">
      <c r="A3119" s="1" t="s">
        <v>8003</v>
      </c>
      <c r="B3119" s="2" t="s">
        <v>6066</v>
      </c>
      <c r="C3119" s="1" t="s">
        <v>949</v>
      </c>
      <c r="D3119" s="1" t="s">
        <v>954</v>
      </c>
    </row>
    <row r="3120">
      <c r="A3120" s="1" t="s">
        <v>8006</v>
      </c>
      <c r="B3120" s="2" t="s">
        <v>6069</v>
      </c>
      <c r="C3120" s="1" t="s">
        <v>949</v>
      </c>
      <c r="D3120" s="1" t="s">
        <v>954</v>
      </c>
    </row>
    <row r="3121">
      <c r="A3121" s="1" t="s">
        <v>8007</v>
      </c>
      <c r="B3121" s="2" t="s">
        <v>6072</v>
      </c>
      <c r="C3121" s="1" t="s">
        <v>949</v>
      </c>
      <c r="D3121" s="1" t="s">
        <v>954</v>
      </c>
    </row>
    <row r="3122">
      <c r="A3122" s="1" t="s">
        <v>8011</v>
      </c>
      <c r="B3122" s="2" t="s">
        <v>6076</v>
      </c>
      <c r="C3122" s="1" t="s">
        <v>949</v>
      </c>
      <c r="D3122" s="1" t="s">
        <v>954</v>
      </c>
    </row>
    <row r="3123">
      <c r="A3123" s="1" t="s">
        <v>8013</v>
      </c>
      <c r="B3123" s="2" t="s">
        <v>6713</v>
      </c>
      <c r="C3123" s="1" t="s">
        <v>949</v>
      </c>
      <c r="D3123" s="1" t="s">
        <v>954</v>
      </c>
    </row>
    <row r="3124">
      <c r="A3124" s="1" t="s">
        <v>8015</v>
      </c>
      <c r="B3124" s="2" t="s">
        <v>7921</v>
      </c>
      <c r="C3124" s="1" t="s">
        <v>949</v>
      </c>
      <c r="D3124" s="1" t="s">
        <v>954</v>
      </c>
    </row>
    <row r="3125">
      <c r="A3125" s="1" t="s">
        <v>8018</v>
      </c>
      <c r="B3125" s="2" t="s">
        <v>7923</v>
      </c>
      <c r="C3125" s="1" t="s">
        <v>949</v>
      </c>
      <c r="D3125" s="1" t="s">
        <v>954</v>
      </c>
    </row>
    <row r="3126">
      <c r="A3126" s="1" t="s">
        <v>8021</v>
      </c>
      <c r="B3126" s="2" t="s">
        <v>7925</v>
      </c>
      <c r="C3126" s="1" t="s">
        <v>949</v>
      </c>
      <c r="D3126" s="1" t="s">
        <v>954</v>
      </c>
    </row>
    <row r="3127">
      <c r="A3127" s="1" t="s">
        <v>8022</v>
      </c>
      <c r="B3127" s="2" t="s">
        <v>7927</v>
      </c>
      <c r="C3127" s="1" t="s">
        <v>949</v>
      </c>
      <c r="D3127" s="1" t="s">
        <v>954</v>
      </c>
    </row>
    <row r="3128">
      <c r="A3128" s="1" t="s">
        <v>8024</v>
      </c>
      <c r="B3128" s="2" t="s">
        <v>7929</v>
      </c>
      <c r="C3128" s="1" t="s">
        <v>949</v>
      </c>
      <c r="D3128" s="1" t="s">
        <v>954</v>
      </c>
    </row>
    <row r="3129">
      <c r="A3129" s="1" t="s">
        <v>8027</v>
      </c>
      <c r="B3129" s="2" t="s">
        <v>7038</v>
      </c>
      <c r="C3129" s="1" t="s">
        <v>949</v>
      </c>
      <c r="D3129" s="1" t="s">
        <v>954</v>
      </c>
    </row>
    <row r="3130">
      <c r="A3130" s="1" t="s">
        <v>8029</v>
      </c>
      <c r="B3130" s="2" t="s">
        <v>8030</v>
      </c>
      <c r="C3130" s="1" t="s">
        <v>949</v>
      </c>
      <c r="D3130" s="1" t="s">
        <v>954</v>
      </c>
    </row>
    <row r="3131">
      <c r="A3131" s="1" t="s">
        <v>8032</v>
      </c>
      <c r="B3131" s="2" t="s">
        <v>8034</v>
      </c>
      <c r="C3131" s="1" t="s">
        <v>949</v>
      </c>
      <c r="D3131" s="1" t="s">
        <v>954</v>
      </c>
    </row>
    <row r="3132">
      <c r="A3132" s="1" t="s">
        <v>8036</v>
      </c>
      <c r="B3132" s="2" t="s">
        <v>8037</v>
      </c>
      <c r="C3132" s="1" t="s">
        <v>949</v>
      </c>
      <c r="D3132" s="1" t="s">
        <v>954</v>
      </c>
    </row>
    <row r="3133">
      <c r="A3133" s="1" t="s">
        <v>8038</v>
      </c>
      <c r="B3133" s="2" t="s">
        <v>8039</v>
      </c>
      <c r="C3133" s="1" t="s">
        <v>949</v>
      </c>
      <c r="D3133" s="1" t="s">
        <v>954</v>
      </c>
    </row>
    <row r="3134">
      <c r="A3134" s="1" t="s">
        <v>8041</v>
      </c>
      <c r="B3134" s="2" t="s">
        <v>8043</v>
      </c>
      <c r="C3134" s="1" t="s">
        <v>949</v>
      </c>
      <c r="D3134" s="1" t="s">
        <v>954</v>
      </c>
    </row>
    <row r="3135">
      <c r="A3135" s="1" t="s">
        <v>8045</v>
      </c>
      <c r="B3135" s="2" t="s">
        <v>7082</v>
      </c>
      <c r="C3135" s="1" t="s">
        <v>949</v>
      </c>
      <c r="D3135" s="1" t="s">
        <v>954</v>
      </c>
    </row>
    <row r="3136">
      <c r="A3136" s="1" t="s">
        <v>8046</v>
      </c>
      <c r="B3136" s="2" t="s">
        <v>8047</v>
      </c>
      <c r="C3136" s="1" t="s">
        <v>949</v>
      </c>
      <c r="D3136" s="1" t="s">
        <v>954</v>
      </c>
    </row>
    <row r="3137">
      <c r="A3137" s="1" t="s">
        <v>8049</v>
      </c>
      <c r="B3137" s="2" t="s">
        <v>8051</v>
      </c>
      <c r="C3137" s="1" t="s">
        <v>949</v>
      </c>
      <c r="D3137" s="1" t="s">
        <v>954</v>
      </c>
    </row>
    <row r="3138">
      <c r="A3138" s="1" t="s">
        <v>8053</v>
      </c>
      <c r="B3138" s="2" t="s">
        <v>8054</v>
      </c>
      <c r="C3138" s="1" t="s">
        <v>949</v>
      </c>
      <c r="D3138" s="1" t="s">
        <v>954</v>
      </c>
    </row>
    <row r="3139">
      <c r="A3139" s="1" t="s">
        <v>8055</v>
      </c>
      <c r="B3139" s="2" t="s">
        <v>8056</v>
      </c>
      <c r="C3139" s="1" t="s">
        <v>949</v>
      </c>
      <c r="D3139" s="1" t="s">
        <v>954</v>
      </c>
    </row>
    <row r="3140">
      <c r="A3140" s="1" t="s">
        <v>8059</v>
      </c>
      <c r="B3140" s="2" t="s">
        <v>8061</v>
      </c>
      <c r="C3140" s="1" t="s">
        <v>949</v>
      </c>
      <c r="D3140" s="1" t="s">
        <v>954</v>
      </c>
    </row>
    <row r="3141">
      <c r="A3141" s="1" t="s">
        <v>8063</v>
      </c>
      <c r="B3141" s="2" t="s">
        <v>7125</v>
      </c>
      <c r="C3141" s="1" t="s">
        <v>949</v>
      </c>
      <c r="D3141" s="1" t="s">
        <v>954</v>
      </c>
    </row>
    <row r="3142">
      <c r="A3142" s="1" t="s">
        <v>8064</v>
      </c>
      <c r="B3142" s="2" t="s">
        <v>8065</v>
      </c>
      <c r="C3142" s="1" t="s">
        <v>949</v>
      </c>
      <c r="D3142" s="1" t="s">
        <v>954</v>
      </c>
    </row>
    <row r="3143">
      <c r="A3143" s="1" t="s">
        <v>8069</v>
      </c>
      <c r="B3143" s="2" t="s">
        <v>8070</v>
      </c>
      <c r="C3143" s="1" t="s">
        <v>949</v>
      </c>
      <c r="D3143" s="1" t="s">
        <v>954</v>
      </c>
    </row>
    <row r="3144">
      <c r="A3144" s="1" t="s">
        <v>8072</v>
      </c>
      <c r="B3144" s="2" t="s">
        <v>8073</v>
      </c>
      <c r="C3144" s="1" t="s">
        <v>949</v>
      </c>
      <c r="D3144" s="1" t="s">
        <v>954</v>
      </c>
    </row>
    <row r="3145">
      <c r="A3145" s="1" t="s">
        <v>8076</v>
      </c>
      <c r="B3145" s="2" t="s">
        <v>8077</v>
      </c>
      <c r="C3145" s="1" t="s">
        <v>949</v>
      </c>
      <c r="D3145" s="1" t="s">
        <v>954</v>
      </c>
    </row>
    <row r="3146">
      <c r="A3146" s="1" t="s">
        <v>8079</v>
      </c>
      <c r="B3146" s="2" t="s">
        <v>8080</v>
      </c>
      <c r="C3146" s="1" t="s">
        <v>949</v>
      </c>
      <c r="D3146" s="1" t="s">
        <v>954</v>
      </c>
    </row>
    <row r="3147">
      <c r="A3147" s="1" t="s">
        <v>8082</v>
      </c>
      <c r="B3147" s="2" t="s">
        <v>7169</v>
      </c>
      <c r="C3147" s="1" t="s">
        <v>949</v>
      </c>
      <c r="D3147" s="1" t="s">
        <v>954</v>
      </c>
    </row>
    <row r="3148">
      <c r="A3148" s="1" t="s">
        <v>8085</v>
      </c>
      <c r="B3148" s="2" t="s">
        <v>8086</v>
      </c>
      <c r="C3148" s="1" t="s">
        <v>949</v>
      </c>
      <c r="D3148" s="1" t="s">
        <v>954</v>
      </c>
    </row>
    <row r="3149">
      <c r="A3149" s="1" t="s">
        <v>8087</v>
      </c>
      <c r="B3149" s="2" t="s">
        <v>8088</v>
      </c>
      <c r="C3149" s="1" t="s">
        <v>949</v>
      </c>
      <c r="D3149" s="1" t="s">
        <v>954</v>
      </c>
    </row>
    <row r="3150">
      <c r="A3150" s="1" t="s">
        <v>8090</v>
      </c>
      <c r="B3150" s="2" t="s">
        <v>8091</v>
      </c>
      <c r="C3150" s="1" t="s">
        <v>949</v>
      </c>
      <c r="D3150" s="1" t="s">
        <v>954</v>
      </c>
    </row>
    <row r="3151">
      <c r="A3151" s="1" t="s">
        <v>8094</v>
      </c>
      <c r="B3151" s="2" t="s">
        <v>8095</v>
      </c>
      <c r="C3151" s="1" t="s">
        <v>949</v>
      </c>
      <c r="D3151" s="1" t="s">
        <v>954</v>
      </c>
    </row>
    <row r="3152">
      <c r="A3152" s="1" t="s">
        <v>8096</v>
      </c>
      <c r="B3152" s="2" t="s">
        <v>8097</v>
      </c>
      <c r="C3152" s="1" t="s">
        <v>949</v>
      </c>
      <c r="D3152" s="1" t="s">
        <v>954</v>
      </c>
    </row>
    <row r="3153">
      <c r="A3153" s="1" t="s">
        <v>979</v>
      </c>
      <c r="B3153" s="2" t="s">
        <v>7</v>
      </c>
      <c r="C3153" s="1" t="s">
        <v>982</v>
      </c>
      <c r="D3153" s="1" t="s">
        <v>983</v>
      </c>
    </row>
    <row r="3154">
      <c r="A3154" s="1" t="s">
        <v>8101</v>
      </c>
      <c r="B3154" s="2" t="s">
        <v>6225</v>
      </c>
      <c r="C3154" s="1" t="s">
        <v>982</v>
      </c>
      <c r="D3154" s="1" t="s">
        <v>983</v>
      </c>
    </row>
    <row r="3155">
      <c r="A3155" s="1" t="s">
        <v>8102</v>
      </c>
      <c r="B3155" s="2" t="s">
        <v>6228</v>
      </c>
      <c r="C3155" s="1" t="s">
        <v>982</v>
      </c>
      <c r="D3155" s="1" t="s">
        <v>983</v>
      </c>
    </row>
    <row r="3156">
      <c r="A3156" s="1" t="s">
        <v>8105</v>
      </c>
      <c r="B3156" s="2" t="s">
        <v>6233</v>
      </c>
      <c r="C3156" s="1" t="s">
        <v>982</v>
      </c>
      <c r="D3156" s="1" t="s">
        <v>983</v>
      </c>
    </row>
    <row r="3157">
      <c r="A3157" s="1" t="s">
        <v>8107</v>
      </c>
      <c r="B3157" s="2" t="s">
        <v>6235</v>
      </c>
      <c r="C3157" s="1" t="s">
        <v>982</v>
      </c>
      <c r="D3157" s="1" t="s">
        <v>983</v>
      </c>
    </row>
    <row r="3158">
      <c r="A3158" s="1" t="s">
        <v>8109</v>
      </c>
      <c r="B3158" s="2" t="s">
        <v>6240</v>
      </c>
      <c r="C3158" s="1" t="s">
        <v>982</v>
      </c>
      <c r="D3158" s="1" t="s">
        <v>983</v>
      </c>
    </row>
    <row r="3159">
      <c r="A3159" s="1" t="s">
        <v>8112</v>
      </c>
      <c r="B3159" s="2" t="s">
        <v>6242</v>
      </c>
      <c r="C3159" s="1" t="s">
        <v>982</v>
      </c>
      <c r="D3159" s="1" t="s">
        <v>983</v>
      </c>
    </row>
    <row r="3160">
      <c r="A3160" s="1" t="s">
        <v>8113</v>
      </c>
      <c r="B3160" s="2" t="s">
        <v>6247</v>
      </c>
      <c r="C3160" s="1" t="s">
        <v>982</v>
      </c>
      <c r="D3160" s="1" t="s">
        <v>983</v>
      </c>
    </row>
    <row r="3161">
      <c r="A3161" s="1" t="s">
        <v>8115</v>
      </c>
      <c r="B3161" s="2" t="s">
        <v>6249</v>
      </c>
      <c r="C3161" s="1" t="s">
        <v>982</v>
      </c>
      <c r="D3161" s="1" t="s">
        <v>983</v>
      </c>
    </row>
    <row r="3162">
      <c r="A3162" s="1" t="s">
        <v>8118</v>
      </c>
      <c r="B3162" s="2" t="s">
        <v>6254</v>
      </c>
      <c r="C3162" s="1" t="s">
        <v>982</v>
      </c>
      <c r="D3162" s="1" t="s">
        <v>983</v>
      </c>
    </row>
    <row r="3163">
      <c r="A3163" s="1" t="s">
        <v>8119</v>
      </c>
      <c r="B3163" s="2" t="s">
        <v>6256</v>
      </c>
      <c r="C3163" s="1" t="s">
        <v>982</v>
      </c>
      <c r="D3163" s="1" t="s">
        <v>983</v>
      </c>
    </row>
    <row r="3164">
      <c r="A3164" s="1" t="s">
        <v>8121</v>
      </c>
      <c r="B3164" s="2" t="s">
        <v>6713</v>
      </c>
      <c r="C3164" s="1" t="s">
        <v>982</v>
      </c>
      <c r="D3164" s="1" t="s">
        <v>983</v>
      </c>
    </row>
    <row r="3165">
      <c r="A3165" s="1" t="s">
        <v>8124</v>
      </c>
      <c r="B3165" s="2" t="s">
        <v>8125</v>
      </c>
      <c r="C3165" s="1" t="s">
        <v>982</v>
      </c>
      <c r="D3165" s="1" t="s">
        <v>983</v>
      </c>
    </row>
    <row r="3166">
      <c r="A3166" s="1" t="s">
        <v>8126</v>
      </c>
      <c r="B3166" s="2" t="s">
        <v>8127</v>
      </c>
      <c r="C3166" s="1" t="s">
        <v>982</v>
      </c>
      <c r="D3166" s="1" t="s">
        <v>983</v>
      </c>
    </row>
    <row r="3167">
      <c r="A3167" s="1" t="s">
        <v>8129</v>
      </c>
      <c r="B3167" s="2" t="s">
        <v>8131</v>
      </c>
      <c r="C3167" s="1" t="s">
        <v>982</v>
      </c>
      <c r="D3167" s="1" t="s">
        <v>983</v>
      </c>
    </row>
    <row r="3168">
      <c r="A3168" s="1" t="s">
        <v>8133</v>
      </c>
      <c r="B3168" s="2" t="s">
        <v>8134</v>
      </c>
      <c r="C3168" s="1" t="s">
        <v>982</v>
      </c>
      <c r="D3168" s="1" t="s">
        <v>983</v>
      </c>
    </row>
    <row r="3169">
      <c r="A3169" s="1" t="s">
        <v>8135</v>
      </c>
      <c r="B3169" s="2" t="s">
        <v>8136</v>
      </c>
      <c r="C3169" s="1" t="s">
        <v>982</v>
      </c>
      <c r="D3169" s="1" t="s">
        <v>983</v>
      </c>
    </row>
    <row r="3170">
      <c r="A3170" s="1" t="s">
        <v>8139</v>
      </c>
      <c r="B3170" s="2" t="s">
        <v>8141</v>
      </c>
      <c r="C3170" s="1" t="s">
        <v>982</v>
      </c>
      <c r="D3170" s="1" t="s">
        <v>983</v>
      </c>
    </row>
    <row r="3171">
      <c r="A3171" s="1" t="s">
        <v>8142</v>
      </c>
      <c r="B3171" s="2" t="s">
        <v>8143</v>
      </c>
      <c r="C3171" s="1" t="s">
        <v>982</v>
      </c>
      <c r="D3171" s="1" t="s">
        <v>983</v>
      </c>
    </row>
    <row r="3172">
      <c r="A3172" s="1" t="s">
        <v>8145</v>
      </c>
      <c r="B3172" s="2" t="s">
        <v>8146</v>
      </c>
      <c r="C3172" s="1" t="s">
        <v>982</v>
      </c>
      <c r="D3172" s="1" t="s">
        <v>983</v>
      </c>
    </row>
    <row r="3173">
      <c r="A3173" s="1" t="s">
        <v>8149</v>
      </c>
      <c r="B3173" s="2" t="s">
        <v>8150</v>
      </c>
      <c r="C3173" s="1" t="s">
        <v>982</v>
      </c>
      <c r="D3173" s="1" t="s">
        <v>983</v>
      </c>
    </row>
    <row r="3174">
      <c r="A3174" s="1" t="s">
        <v>8151</v>
      </c>
      <c r="B3174" s="2" t="s">
        <v>8152</v>
      </c>
      <c r="C3174" s="1" t="s">
        <v>982</v>
      </c>
      <c r="D3174" s="1" t="s">
        <v>983</v>
      </c>
    </row>
    <row r="3175">
      <c r="A3175" s="1" t="s">
        <v>8155</v>
      </c>
      <c r="B3175" s="2" t="s">
        <v>6772</v>
      </c>
      <c r="C3175" s="1" t="s">
        <v>982</v>
      </c>
      <c r="D3175" s="1" t="s">
        <v>983</v>
      </c>
    </row>
    <row r="3176">
      <c r="A3176" s="1" t="s">
        <v>8157</v>
      </c>
      <c r="B3176" s="2" t="s">
        <v>8158</v>
      </c>
      <c r="C3176" s="1" t="s">
        <v>982</v>
      </c>
      <c r="D3176" s="1" t="s">
        <v>983</v>
      </c>
    </row>
    <row r="3177">
      <c r="A3177" s="1" t="s">
        <v>8159</v>
      </c>
      <c r="B3177" s="2" t="s">
        <v>8161</v>
      </c>
      <c r="C3177" s="1" t="s">
        <v>982</v>
      </c>
      <c r="D3177" s="1" t="s">
        <v>983</v>
      </c>
    </row>
    <row r="3178">
      <c r="A3178" s="1" t="s">
        <v>8164</v>
      </c>
      <c r="B3178" s="2" t="s">
        <v>8165</v>
      </c>
      <c r="C3178" s="1" t="s">
        <v>982</v>
      </c>
      <c r="D3178" s="1" t="s">
        <v>983</v>
      </c>
    </row>
    <row r="3179">
      <c r="A3179" s="1" t="s">
        <v>8166</v>
      </c>
      <c r="B3179" s="2" t="s">
        <v>8167</v>
      </c>
      <c r="C3179" s="1" t="s">
        <v>982</v>
      </c>
      <c r="D3179" s="1" t="s">
        <v>983</v>
      </c>
    </row>
    <row r="3180">
      <c r="A3180" s="1" t="s">
        <v>8169</v>
      </c>
      <c r="B3180" s="2" t="s">
        <v>8170</v>
      </c>
      <c r="C3180" s="1" t="s">
        <v>982</v>
      </c>
      <c r="D3180" s="1" t="s">
        <v>983</v>
      </c>
    </row>
    <row r="3181">
      <c r="A3181" s="1" t="s">
        <v>8173</v>
      </c>
      <c r="B3181" s="2" t="s">
        <v>8174</v>
      </c>
      <c r="C3181" s="1" t="s">
        <v>982</v>
      </c>
      <c r="D3181" s="1" t="s">
        <v>983</v>
      </c>
    </row>
    <row r="3182">
      <c r="A3182" s="1" t="s">
        <v>8175</v>
      </c>
      <c r="B3182" s="2" t="s">
        <v>8176</v>
      </c>
      <c r="C3182" s="1" t="s">
        <v>982</v>
      </c>
      <c r="D3182" s="1" t="s">
        <v>983</v>
      </c>
    </row>
    <row r="3183">
      <c r="A3183" s="1" t="s">
        <v>8178</v>
      </c>
      <c r="B3183" s="2" t="s">
        <v>8180</v>
      </c>
      <c r="C3183" s="1" t="s">
        <v>982</v>
      </c>
      <c r="D3183" s="1" t="s">
        <v>983</v>
      </c>
    </row>
    <row r="3184">
      <c r="A3184" s="1" t="s">
        <v>8182</v>
      </c>
      <c r="B3184" s="2" t="s">
        <v>8183</v>
      </c>
      <c r="C3184" s="1" t="s">
        <v>982</v>
      </c>
      <c r="D3184" s="1" t="s">
        <v>983</v>
      </c>
    </row>
    <row r="3185">
      <c r="A3185" s="1" t="s">
        <v>8184</v>
      </c>
      <c r="B3185" s="2" t="s">
        <v>8186</v>
      </c>
      <c r="C3185" s="1" t="s">
        <v>982</v>
      </c>
      <c r="D3185" s="1" t="s">
        <v>983</v>
      </c>
    </row>
    <row r="3186">
      <c r="A3186" s="1" t="s">
        <v>8187</v>
      </c>
      <c r="B3186" s="2" t="s">
        <v>6825</v>
      </c>
      <c r="C3186" s="1" t="s">
        <v>982</v>
      </c>
      <c r="D3186" s="1" t="s">
        <v>983</v>
      </c>
    </row>
    <row r="3187">
      <c r="A3187" s="1" t="s">
        <v>8189</v>
      </c>
      <c r="B3187" s="2" t="s">
        <v>8191</v>
      </c>
      <c r="C3187" s="1" t="s">
        <v>982</v>
      </c>
      <c r="D3187" s="1" t="s">
        <v>983</v>
      </c>
    </row>
    <row r="3188">
      <c r="A3188" s="1" t="s">
        <v>8192</v>
      </c>
      <c r="B3188" s="2" t="s">
        <v>8193</v>
      </c>
      <c r="C3188" s="1" t="s">
        <v>982</v>
      </c>
      <c r="D3188" s="1" t="s">
        <v>983</v>
      </c>
    </row>
    <row r="3189">
      <c r="A3189" s="1" t="s">
        <v>8194</v>
      </c>
      <c r="B3189" s="2" t="s">
        <v>8195</v>
      </c>
      <c r="C3189" s="1" t="s">
        <v>982</v>
      </c>
      <c r="D3189" s="1" t="s">
        <v>983</v>
      </c>
    </row>
    <row r="3190">
      <c r="A3190" s="1" t="s">
        <v>8197</v>
      </c>
      <c r="B3190" s="2" t="s">
        <v>8198</v>
      </c>
      <c r="C3190" s="1" t="s">
        <v>982</v>
      </c>
      <c r="D3190" s="1" t="s">
        <v>983</v>
      </c>
    </row>
    <row r="3191">
      <c r="A3191" s="1" t="s">
        <v>8203</v>
      </c>
      <c r="B3191" s="2" t="s">
        <v>8205</v>
      </c>
      <c r="C3191" s="1" t="s">
        <v>982</v>
      </c>
      <c r="D3191" s="1" t="s">
        <v>983</v>
      </c>
    </row>
    <row r="3192">
      <c r="A3192" s="1" t="s">
        <v>8206</v>
      </c>
      <c r="B3192" s="2" t="s">
        <v>8207</v>
      </c>
      <c r="C3192" s="1" t="s">
        <v>982</v>
      </c>
      <c r="D3192" s="1" t="s">
        <v>983</v>
      </c>
    </row>
    <row r="3193">
      <c r="A3193" s="1" t="s">
        <v>8210</v>
      </c>
      <c r="B3193" s="2" t="s">
        <v>8212</v>
      </c>
      <c r="C3193" s="1" t="s">
        <v>982</v>
      </c>
      <c r="D3193" s="1" t="s">
        <v>983</v>
      </c>
    </row>
    <row r="3194">
      <c r="A3194" s="1" t="s">
        <v>8214</v>
      </c>
      <c r="B3194" s="2" t="s">
        <v>8215</v>
      </c>
      <c r="C3194" s="1" t="s">
        <v>982</v>
      </c>
      <c r="D3194" s="1" t="s">
        <v>983</v>
      </c>
    </row>
    <row r="3195">
      <c r="A3195" s="1" t="s">
        <v>8217</v>
      </c>
      <c r="B3195" s="2" t="s">
        <v>8218</v>
      </c>
      <c r="C3195" s="1" t="s">
        <v>982</v>
      </c>
      <c r="D3195" s="1" t="s">
        <v>983</v>
      </c>
    </row>
    <row r="3196">
      <c r="A3196" s="1" t="s">
        <v>8221</v>
      </c>
      <c r="B3196" s="2" t="s">
        <v>8222</v>
      </c>
      <c r="C3196" s="1" t="s">
        <v>982</v>
      </c>
      <c r="D3196" s="1" t="s">
        <v>983</v>
      </c>
    </row>
    <row r="3197">
      <c r="A3197" s="1" t="s">
        <v>8223</v>
      </c>
      <c r="B3197" s="2" t="s">
        <v>6875</v>
      </c>
      <c r="C3197" s="1" t="s">
        <v>982</v>
      </c>
      <c r="D3197" s="1" t="s">
        <v>983</v>
      </c>
    </row>
    <row r="3198">
      <c r="A3198" s="1" t="s">
        <v>8227</v>
      </c>
      <c r="B3198" s="2" t="s">
        <v>8228</v>
      </c>
      <c r="C3198" s="1" t="s">
        <v>982</v>
      </c>
      <c r="D3198" s="1" t="s">
        <v>983</v>
      </c>
    </row>
    <row r="3199">
      <c r="A3199" s="1" t="s">
        <v>8229</v>
      </c>
      <c r="B3199" s="2" t="s">
        <v>8231</v>
      </c>
      <c r="C3199" s="1" t="s">
        <v>982</v>
      </c>
      <c r="D3199" s="1" t="s">
        <v>983</v>
      </c>
    </row>
    <row r="3200">
      <c r="A3200" s="1" t="s">
        <v>8234</v>
      </c>
      <c r="B3200" s="2" t="s">
        <v>8235</v>
      </c>
      <c r="C3200" s="1" t="s">
        <v>982</v>
      </c>
      <c r="D3200" s="1" t="s">
        <v>983</v>
      </c>
    </row>
    <row r="3201">
      <c r="A3201" s="1" t="s">
        <v>8237</v>
      </c>
      <c r="B3201" s="2" t="s">
        <v>8238</v>
      </c>
      <c r="C3201" s="1" t="s">
        <v>982</v>
      </c>
      <c r="D3201" s="1" t="s">
        <v>983</v>
      </c>
    </row>
    <row r="3202">
      <c r="A3202" s="1" t="s">
        <v>8241</v>
      </c>
      <c r="B3202" s="2" t="s">
        <v>8242</v>
      </c>
      <c r="C3202" s="1" t="s">
        <v>982</v>
      </c>
      <c r="D3202" s="1" t="s">
        <v>983</v>
      </c>
    </row>
    <row r="3203">
      <c r="A3203" s="1" t="s">
        <v>8245</v>
      </c>
      <c r="B3203" s="2" t="s">
        <v>8247</v>
      </c>
      <c r="C3203" s="1" t="s">
        <v>982</v>
      </c>
      <c r="D3203" s="1" t="s">
        <v>983</v>
      </c>
    </row>
    <row r="3204">
      <c r="A3204" s="1" t="s">
        <v>8248</v>
      </c>
      <c r="B3204" s="2" t="s">
        <v>8249</v>
      </c>
      <c r="C3204" s="1" t="s">
        <v>982</v>
      </c>
      <c r="D3204" s="1" t="s">
        <v>983</v>
      </c>
    </row>
    <row r="3205">
      <c r="A3205" s="1" t="s">
        <v>8251</v>
      </c>
      <c r="B3205" s="2" t="s">
        <v>8253</v>
      </c>
      <c r="C3205" s="1" t="s">
        <v>982</v>
      </c>
      <c r="D3205" s="1" t="s">
        <v>983</v>
      </c>
    </row>
    <row r="3206">
      <c r="A3206" s="1" t="s">
        <v>8255</v>
      </c>
      <c r="B3206" s="2" t="s">
        <v>8256</v>
      </c>
      <c r="C3206" s="1" t="s">
        <v>982</v>
      </c>
      <c r="D3206" s="1" t="s">
        <v>983</v>
      </c>
    </row>
    <row r="3207">
      <c r="A3207" s="1" t="s">
        <v>8257</v>
      </c>
      <c r="B3207" s="2" t="s">
        <v>8259</v>
      </c>
      <c r="C3207" s="1" t="s">
        <v>982</v>
      </c>
      <c r="D3207" s="1" t="s">
        <v>983</v>
      </c>
    </row>
    <row r="3208">
      <c r="A3208" s="1" t="s">
        <v>8261</v>
      </c>
      <c r="B3208" s="2" t="s">
        <v>6928</v>
      </c>
      <c r="C3208" s="1" t="s">
        <v>982</v>
      </c>
      <c r="D3208" s="1" t="s">
        <v>983</v>
      </c>
    </row>
    <row r="3209">
      <c r="A3209" s="1" t="s">
        <v>8263</v>
      </c>
      <c r="B3209" s="2" t="s">
        <v>8264</v>
      </c>
      <c r="C3209" s="1" t="s">
        <v>982</v>
      </c>
      <c r="D3209" s="1" t="s">
        <v>983</v>
      </c>
    </row>
    <row r="3210">
      <c r="A3210" s="1" t="s">
        <v>8266</v>
      </c>
      <c r="B3210" s="2" t="s">
        <v>8267</v>
      </c>
      <c r="C3210" s="1" t="s">
        <v>982</v>
      </c>
      <c r="D3210" s="1" t="s">
        <v>983</v>
      </c>
    </row>
    <row r="3211">
      <c r="A3211" s="1" t="s">
        <v>8270</v>
      </c>
      <c r="B3211" s="2" t="s">
        <v>8271</v>
      </c>
      <c r="C3211" s="1" t="s">
        <v>982</v>
      </c>
      <c r="D3211" s="1" t="s">
        <v>983</v>
      </c>
    </row>
    <row r="3212">
      <c r="A3212" s="1" t="s">
        <v>8272</v>
      </c>
      <c r="B3212" s="2" t="s">
        <v>8273</v>
      </c>
      <c r="C3212" s="1" t="s">
        <v>982</v>
      </c>
      <c r="D3212" s="1" t="s">
        <v>983</v>
      </c>
    </row>
    <row r="3213">
      <c r="A3213" s="1" t="s">
        <v>8275</v>
      </c>
      <c r="B3213" s="2" t="s">
        <v>8276</v>
      </c>
      <c r="C3213" s="1" t="s">
        <v>982</v>
      </c>
      <c r="D3213" s="1" t="s">
        <v>983</v>
      </c>
    </row>
    <row r="3214">
      <c r="A3214" s="1" t="s">
        <v>8279</v>
      </c>
      <c r="B3214" s="2" t="s">
        <v>8280</v>
      </c>
      <c r="C3214" s="1" t="s">
        <v>982</v>
      </c>
      <c r="D3214" s="1" t="s">
        <v>983</v>
      </c>
    </row>
    <row r="3215">
      <c r="A3215" s="1" t="s">
        <v>8281</v>
      </c>
      <c r="B3215" s="2" t="s">
        <v>8282</v>
      </c>
      <c r="C3215" s="1" t="s">
        <v>982</v>
      </c>
      <c r="D3215" s="1" t="s">
        <v>983</v>
      </c>
    </row>
    <row r="3216">
      <c r="A3216" s="1" t="s">
        <v>8284</v>
      </c>
      <c r="B3216" s="2" t="s">
        <v>8285</v>
      </c>
      <c r="C3216" s="1" t="s">
        <v>982</v>
      </c>
      <c r="D3216" s="1" t="s">
        <v>983</v>
      </c>
    </row>
    <row r="3217">
      <c r="A3217" s="1" t="s">
        <v>8288</v>
      </c>
      <c r="B3217" s="2" t="s">
        <v>8289</v>
      </c>
      <c r="C3217" s="1" t="s">
        <v>982</v>
      </c>
      <c r="D3217" s="1" t="s">
        <v>983</v>
      </c>
    </row>
    <row r="3218">
      <c r="A3218" s="1" t="s">
        <v>8290</v>
      </c>
      <c r="B3218" s="2" t="s">
        <v>8291</v>
      </c>
      <c r="C3218" s="1" t="s">
        <v>982</v>
      </c>
      <c r="D3218" s="1" t="s">
        <v>983</v>
      </c>
    </row>
    <row r="3219">
      <c r="A3219" s="1" t="s">
        <v>969</v>
      </c>
      <c r="B3219" s="2" t="s">
        <v>7</v>
      </c>
      <c r="C3219" s="1" t="s">
        <v>971</v>
      </c>
      <c r="D3219" s="1" t="s">
        <v>973</v>
      </c>
    </row>
    <row r="3220">
      <c r="A3220" s="1" t="s">
        <v>8295</v>
      </c>
      <c r="B3220" s="2" t="s">
        <v>6225</v>
      </c>
      <c r="C3220" s="1" t="s">
        <v>971</v>
      </c>
      <c r="D3220" s="1" t="s">
        <v>973</v>
      </c>
    </row>
    <row r="3221">
      <c r="A3221" s="1" t="s">
        <v>8296</v>
      </c>
      <c r="B3221" s="2" t="s">
        <v>6228</v>
      </c>
      <c r="C3221" s="1" t="s">
        <v>971</v>
      </c>
      <c r="D3221" s="1" t="s">
        <v>973</v>
      </c>
    </row>
    <row r="3222">
      <c r="A3222" s="1" t="s">
        <v>8299</v>
      </c>
      <c r="B3222" s="2" t="s">
        <v>6233</v>
      </c>
      <c r="C3222" s="1" t="s">
        <v>971</v>
      </c>
      <c r="D3222" s="1" t="s">
        <v>973</v>
      </c>
    </row>
    <row r="3223">
      <c r="A3223" s="1" t="s">
        <v>8301</v>
      </c>
      <c r="B3223" s="2" t="s">
        <v>6235</v>
      </c>
      <c r="C3223" s="1" t="s">
        <v>971</v>
      </c>
      <c r="D3223" s="1" t="s">
        <v>973</v>
      </c>
    </row>
    <row r="3224">
      <c r="A3224" s="1" t="s">
        <v>8302</v>
      </c>
      <c r="B3224" s="2" t="s">
        <v>6240</v>
      </c>
      <c r="C3224" s="1" t="s">
        <v>971</v>
      </c>
      <c r="D3224" s="1" t="s">
        <v>973</v>
      </c>
    </row>
    <row r="3225">
      <c r="A3225" s="1" t="s">
        <v>8305</v>
      </c>
      <c r="B3225" s="2" t="s">
        <v>6242</v>
      </c>
      <c r="C3225" s="1" t="s">
        <v>971</v>
      </c>
      <c r="D3225" s="1" t="s">
        <v>973</v>
      </c>
    </row>
    <row r="3226">
      <c r="A3226" s="1" t="s">
        <v>8307</v>
      </c>
      <c r="B3226" s="2" t="s">
        <v>6247</v>
      </c>
      <c r="C3226" s="1" t="s">
        <v>971</v>
      </c>
      <c r="D3226" s="1" t="s">
        <v>973</v>
      </c>
    </row>
    <row r="3227">
      <c r="A3227" s="1" t="s">
        <v>8309</v>
      </c>
      <c r="B3227" s="2" t="s">
        <v>6249</v>
      </c>
      <c r="C3227" s="1" t="s">
        <v>971</v>
      </c>
      <c r="D3227" s="1" t="s">
        <v>973</v>
      </c>
    </row>
    <row r="3228">
      <c r="A3228" s="1" t="s">
        <v>8312</v>
      </c>
      <c r="B3228" s="2" t="s">
        <v>6254</v>
      </c>
      <c r="C3228" s="1" t="s">
        <v>971</v>
      </c>
      <c r="D3228" s="1" t="s">
        <v>973</v>
      </c>
    </row>
    <row r="3229">
      <c r="A3229" s="1" t="s">
        <v>8313</v>
      </c>
      <c r="B3229" s="2" t="s">
        <v>6256</v>
      </c>
      <c r="C3229" s="1" t="s">
        <v>971</v>
      </c>
      <c r="D3229" s="1" t="s">
        <v>973</v>
      </c>
    </row>
    <row r="3230">
      <c r="A3230" s="1" t="s">
        <v>8315</v>
      </c>
      <c r="B3230" s="2" t="s">
        <v>6713</v>
      </c>
      <c r="C3230" s="1" t="s">
        <v>971</v>
      </c>
      <c r="D3230" s="1" t="s">
        <v>973</v>
      </c>
    </row>
    <row r="3231">
      <c r="A3231" s="1" t="s">
        <v>8318</v>
      </c>
      <c r="B3231" s="2" t="s">
        <v>8125</v>
      </c>
      <c r="C3231" s="1" t="s">
        <v>971</v>
      </c>
      <c r="D3231" s="1" t="s">
        <v>973</v>
      </c>
    </row>
    <row r="3232">
      <c r="A3232" s="1" t="s">
        <v>8319</v>
      </c>
      <c r="B3232" s="2" t="s">
        <v>8127</v>
      </c>
      <c r="C3232" s="1" t="s">
        <v>971</v>
      </c>
      <c r="D3232" s="1" t="s">
        <v>973</v>
      </c>
    </row>
    <row r="3233">
      <c r="A3233" s="1" t="s">
        <v>8321</v>
      </c>
      <c r="B3233" s="2" t="s">
        <v>8131</v>
      </c>
      <c r="C3233" s="1" t="s">
        <v>971</v>
      </c>
      <c r="D3233" s="1" t="s">
        <v>973</v>
      </c>
    </row>
    <row r="3234">
      <c r="A3234" s="1" t="s">
        <v>8324</v>
      </c>
      <c r="B3234" s="2" t="s">
        <v>8134</v>
      </c>
      <c r="C3234" s="1" t="s">
        <v>971</v>
      </c>
      <c r="D3234" s="1" t="s">
        <v>973</v>
      </c>
    </row>
    <row r="3235">
      <c r="A3235" s="1" t="s">
        <v>8325</v>
      </c>
      <c r="B3235" s="2" t="s">
        <v>8136</v>
      </c>
      <c r="C3235" s="1" t="s">
        <v>971</v>
      </c>
      <c r="D3235" s="1" t="s">
        <v>973</v>
      </c>
    </row>
    <row r="3236">
      <c r="A3236" s="1" t="s">
        <v>8327</v>
      </c>
      <c r="B3236" s="2" t="s">
        <v>8141</v>
      </c>
      <c r="C3236" s="1" t="s">
        <v>971</v>
      </c>
      <c r="D3236" s="1" t="s">
        <v>973</v>
      </c>
    </row>
    <row r="3237">
      <c r="A3237" s="1" t="s">
        <v>8330</v>
      </c>
      <c r="B3237" s="2" t="s">
        <v>8143</v>
      </c>
      <c r="C3237" s="1" t="s">
        <v>971</v>
      </c>
      <c r="D3237" s="1" t="s">
        <v>973</v>
      </c>
    </row>
    <row r="3238">
      <c r="A3238" s="1" t="s">
        <v>8331</v>
      </c>
      <c r="B3238" s="2" t="s">
        <v>8146</v>
      </c>
      <c r="C3238" s="1" t="s">
        <v>971</v>
      </c>
      <c r="D3238" s="1" t="s">
        <v>973</v>
      </c>
    </row>
    <row r="3239">
      <c r="A3239" s="1" t="s">
        <v>8333</v>
      </c>
      <c r="B3239" s="2" t="s">
        <v>8150</v>
      </c>
      <c r="C3239" s="1" t="s">
        <v>971</v>
      </c>
      <c r="D3239" s="1" t="s">
        <v>973</v>
      </c>
    </row>
    <row r="3240">
      <c r="A3240" s="1" t="s">
        <v>8336</v>
      </c>
      <c r="B3240" s="2" t="s">
        <v>8152</v>
      </c>
      <c r="C3240" s="1" t="s">
        <v>971</v>
      </c>
      <c r="D3240" s="1" t="s">
        <v>973</v>
      </c>
    </row>
    <row r="3241">
      <c r="A3241" s="1" t="s">
        <v>8337</v>
      </c>
      <c r="B3241" s="2" t="s">
        <v>7038</v>
      </c>
      <c r="C3241" s="1" t="s">
        <v>971</v>
      </c>
      <c r="D3241" s="1" t="s">
        <v>973</v>
      </c>
    </row>
    <row r="3242">
      <c r="A3242" s="1" t="s">
        <v>8339</v>
      </c>
      <c r="B3242" s="2" t="s">
        <v>8341</v>
      </c>
      <c r="C3242" s="1" t="s">
        <v>971</v>
      </c>
      <c r="D3242" s="1" t="s">
        <v>973</v>
      </c>
    </row>
    <row r="3243">
      <c r="A3243" s="1" t="s">
        <v>8343</v>
      </c>
      <c r="B3243" s="2" t="s">
        <v>8344</v>
      </c>
      <c r="C3243" s="1" t="s">
        <v>971</v>
      </c>
      <c r="D3243" s="1" t="s">
        <v>973</v>
      </c>
    </row>
    <row r="3244">
      <c r="A3244" s="1" t="s">
        <v>8345</v>
      </c>
      <c r="B3244" s="2" t="s">
        <v>8347</v>
      </c>
      <c r="C3244" s="1" t="s">
        <v>971</v>
      </c>
      <c r="D3244" s="1" t="s">
        <v>973</v>
      </c>
    </row>
    <row r="3245">
      <c r="A3245" s="1" t="s">
        <v>8349</v>
      </c>
      <c r="B3245" s="2" t="s">
        <v>8351</v>
      </c>
      <c r="C3245" s="1" t="s">
        <v>971</v>
      </c>
      <c r="D3245" s="1" t="s">
        <v>973</v>
      </c>
    </row>
    <row r="3246">
      <c r="A3246" s="1" t="s">
        <v>8352</v>
      </c>
      <c r="B3246" s="2" t="s">
        <v>8353</v>
      </c>
      <c r="C3246" s="1" t="s">
        <v>971</v>
      </c>
      <c r="D3246" s="1" t="s">
        <v>973</v>
      </c>
    </row>
    <row r="3247">
      <c r="A3247" s="1" t="s">
        <v>8355</v>
      </c>
      <c r="B3247" s="2" t="s">
        <v>8356</v>
      </c>
      <c r="C3247" s="1" t="s">
        <v>971</v>
      </c>
      <c r="D3247" s="1" t="s">
        <v>973</v>
      </c>
    </row>
    <row r="3248">
      <c r="A3248" s="1" t="s">
        <v>8359</v>
      </c>
      <c r="B3248" s="2" t="s">
        <v>8360</v>
      </c>
      <c r="C3248" s="1" t="s">
        <v>971</v>
      </c>
      <c r="D3248" s="1" t="s">
        <v>973</v>
      </c>
    </row>
    <row r="3249">
      <c r="A3249" s="1" t="s">
        <v>8361</v>
      </c>
      <c r="B3249" s="2" t="s">
        <v>8362</v>
      </c>
      <c r="C3249" s="1" t="s">
        <v>971</v>
      </c>
      <c r="D3249" s="1" t="s">
        <v>973</v>
      </c>
    </row>
    <row r="3250">
      <c r="A3250" s="1" t="s">
        <v>8364</v>
      </c>
      <c r="B3250" s="2" t="s">
        <v>8366</v>
      </c>
      <c r="C3250" s="1" t="s">
        <v>971</v>
      </c>
      <c r="D3250" s="1" t="s">
        <v>973</v>
      </c>
    </row>
    <row r="3251">
      <c r="A3251" s="1" t="s">
        <v>8368</v>
      </c>
      <c r="B3251" s="2" t="s">
        <v>8369</v>
      </c>
      <c r="C3251" s="1" t="s">
        <v>971</v>
      </c>
      <c r="D3251" s="1" t="s">
        <v>973</v>
      </c>
    </row>
    <row r="3252">
      <c r="A3252" s="1" t="s">
        <v>8370</v>
      </c>
      <c r="B3252" s="2" t="s">
        <v>7082</v>
      </c>
      <c r="C3252" s="1" t="s">
        <v>971</v>
      </c>
      <c r="D3252" s="1" t="s">
        <v>973</v>
      </c>
    </row>
    <row r="3253">
      <c r="A3253" s="1" t="s">
        <v>8374</v>
      </c>
      <c r="B3253" s="2" t="s">
        <v>8375</v>
      </c>
      <c r="C3253" s="1" t="s">
        <v>971</v>
      </c>
      <c r="D3253" s="1" t="s">
        <v>973</v>
      </c>
    </row>
    <row r="3254">
      <c r="A3254" s="1" t="s">
        <v>8376</v>
      </c>
      <c r="B3254" s="2" t="s">
        <v>8377</v>
      </c>
      <c r="C3254" s="1" t="s">
        <v>971</v>
      </c>
      <c r="D3254" s="1" t="s">
        <v>973</v>
      </c>
    </row>
    <row r="3255">
      <c r="A3255" s="1" t="s">
        <v>8379</v>
      </c>
      <c r="B3255" s="2" t="s">
        <v>8381</v>
      </c>
      <c r="C3255" s="1" t="s">
        <v>971</v>
      </c>
      <c r="D3255" s="1" t="s">
        <v>973</v>
      </c>
    </row>
    <row r="3256">
      <c r="A3256" s="1" t="s">
        <v>8383</v>
      </c>
      <c r="B3256" s="2" t="s">
        <v>8384</v>
      </c>
      <c r="C3256" s="1" t="s">
        <v>971</v>
      </c>
      <c r="D3256" s="1" t="s">
        <v>973</v>
      </c>
    </row>
    <row r="3257">
      <c r="A3257" s="1" t="s">
        <v>8385</v>
      </c>
      <c r="B3257" s="2" t="s">
        <v>8386</v>
      </c>
      <c r="C3257" s="1" t="s">
        <v>971</v>
      </c>
      <c r="D3257" s="1" t="s">
        <v>973</v>
      </c>
    </row>
    <row r="3258">
      <c r="A3258" s="1" t="s">
        <v>8388</v>
      </c>
      <c r="B3258" s="2" t="s">
        <v>8390</v>
      </c>
      <c r="C3258" s="1" t="s">
        <v>971</v>
      </c>
      <c r="D3258" s="1" t="s">
        <v>973</v>
      </c>
    </row>
    <row r="3259">
      <c r="A3259" s="1" t="s">
        <v>8392</v>
      </c>
      <c r="B3259" s="2" t="s">
        <v>8393</v>
      </c>
      <c r="C3259" s="1" t="s">
        <v>971</v>
      </c>
      <c r="D3259" s="1" t="s">
        <v>973</v>
      </c>
    </row>
    <row r="3260">
      <c r="A3260" s="1" t="s">
        <v>8394</v>
      </c>
      <c r="B3260" s="2" t="s">
        <v>8396</v>
      </c>
      <c r="C3260" s="1" t="s">
        <v>971</v>
      </c>
      <c r="D3260" s="1" t="s">
        <v>973</v>
      </c>
    </row>
    <row r="3261">
      <c r="A3261" s="1" t="s">
        <v>8402</v>
      </c>
      <c r="B3261" s="2" t="s">
        <v>8404</v>
      </c>
      <c r="C3261" s="1" t="s">
        <v>971</v>
      </c>
      <c r="D3261" s="1" t="s">
        <v>973</v>
      </c>
    </row>
    <row r="3262">
      <c r="A3262" s="1" t="s">
        <v>8407</v>
      </c>
      <c r="B3262" s="2" t="s">
        <v>8408</v>
      </c>
      <c r="C3262" s="1" t="s">
        <v>971</v>
      </c>
      <c r="D3262" s="1" t="s">
        <v>973</v>
      </c>
    </row>
    <row r="3263">
      <c r="A3263" s="1" t="s">
        <v>8410</v>
      </c>
      <c r="B3263" s="2" t="s">
        <v>7125</v>
      </c>
      <c r="C3263" s="1" t="s">
        <v>971</v>
      </c>
      <c r="D3263" s="1" t="s">
        <v>973</v>
      </c>
    </row>
    <row r="3264">
      <c r="A3264" s="1" t="s">
        <v>8412</v>
      </c>
      <c r="B3264" s="2" t="s">
        <v>8413</v>
      </c>
      <c r="C3264" s="1" t="s">
        <v>971</v>
      </c>
      <c r="D3264" s="1" t="s">
        <v>973</v>
      </c>
    </row>
    <row r="3265">
      <c r="A3265" s="1" t="s">
        <v>8416</v>
      </c>
      <c r="B3265" s="2" t="s">
        <v>8417</v>
      </c>
      <c r="C3265" s="1" t="s">
        <v>971</v>
      </c>
      <c r="D3265" s="1" t="s">
        <v>973</v>
      </c>
    </row>
    <row r="3266">
      <c r="A3266" s="1" t="s">
        <v>8418</v>
      </c>
      <c r="B3266" s="2" t="s">
        <v>8419</v>
      </c>
      <c r="C3266" s="1" t="s">
        <v>971</v>
      </c>
      <c r="D3266" s="1" t="s">
        <v>973</v>
      </c>
    </row>
    <row r="3267">
      <c r="A3267" s="1" t="s">
        <v>8421</v>
      </c>
      <c r="B3267" s="2" t="s">
        <v>8422</v>
      </c>
      <c r="C3267" s="1" t="s">
        <v>971</v>
      </c>
      <c r="D3267" s="1" t="s">
        <v>973</v>
      </c>
    </row>
    <row r="3268">
      <c r="A3268" s="1" t="s">
        <v>8425</v>
      </c>
      <c r="B3268" s="2" t="s">
        <v>8426</v>
      </c>
      <c r="C3268" s="1" t="s">
        <v>971</v>
      </c>
      <c r="D3268" s="1" t="s">
        <v>973</v>
      </c>
    </row>
    <row r="3269">
      <c r="A3269" s="1" t="s">
        <v>8427</v>
      </c>
      <c r="B3269" s="2" t="s">
        <v>8428</v>
      </c>
      <c r="C3269" s="1" t="s">
        <v>971</v>
      </c>
      <c r="D3269" s="1" t="s">
        <v>973</v>
      </c>
    </row>
    <row r="3270">
      <c r="A3270" s="1" t="s">
        <v>8430</v>
      </c>
      <c r="B3270" s="2" t="s">
        <v>8432</v>
      </c>
      <c r="C3270" s="1" t="s">
        <v>971</v>
      </c>
      <c r="D3270" s="1" t="s">
        <v>973</v>
      </c>
    </row>
    <row r="3271">
      <c r="A3271" s="1" t="s">
        <v>8434</v>
      </c>
      <c r="B3271" s="2" t="s">
        <v>8435</v>
      </c>
      <c r="C3271" s="1" t="s">
        <v>971</v>
      </c>
      <c r="D3271" s="1" t="s">
        <v>973</v>
      </c>
    </row>
    <row r="3272">
      <c r="A3272" s="1" t="s">
        <v>8436</v>
      </c>
      <c r="B3272" s="2" t="s">
        <v>8438</v>
      </c>
      <c r="C3272" s="1" t="s">
        <v>971</v>
      </c>
      <c r="D3272" s="1" t="s">
        <v>973</v>
      </c>
    </row>
    <row r="3273">
      <c r="A3273" s="1" t="s">
        <v>8440</v>
      </c>
      <c r="B3273" s="2" t="s">
        <v>8442</v>
      </c>
      <c r="C3273" s="1" t="s">
        <v>971</v>
      </c>
      <c r="D3273" s="1" t="s">
        <v>973</v>
      </c>
    </row>
    <row r="3274">
      <c r="A3274" s="1" t="s">
        <v>8443</v>
      </c>
      <c r="B3274" s="2" t="s">
        <v>7169</v>
      </c>
      <c r="C3274" s="1" t="s">
        <v>971</v>
      </c>
      <c r="D3274" s="1" t="s">
        <v>973</v>
      </c>
    </row>
    <row r="3275">
      <c r="A3275" s="1" t="s">
        <v>8445</v>
      </c>
      <c r="B3275" s="2" t="s">
        <v>8446</v>
      </c>
      <c r="C3275" s="1" t="s">
        <v>971</v>
      </c>
      <c r="D3275" s="1" t="s">
        <v>973</v>
      </c>
    </row>
    <row r="3276">
      <c r="A3276" s="1" t="s">
        <v>8449</v>
      </c>
      <c r="B3276" s="2" t="s">
        <v>8450</v>
      </c>
      <c r="C3276" s="1" t="s">
        <v>971</v>
      </c>
      <c r="D3276" s="1" t="s">
        <v>973</v>
      </c>
    </row>
    <row r="3277">
      <c r="A3277" s="1" t="s">
        <v>8451</v>
      </c>
      <c r="B3277" s="2" t="s">
        <v>8452</v>
      </c>
      <c r="C3277" s="1" t="s">
        <v>971</v>
      </c>
      <c r="D3277" s="1" t="s">
        <v>973</v>
      </c>
    </row>
    <row r="3278">
      <c r="A3278" s="1" t="s">
        <v>8454</v>
      </c>
      <c r="B3278" s="2" t="s">
        <v>8455</v>
      </c>
      <c r="C3278" s="1" t="s">
        <v>971</v>
      </c>
      <c r="D3278" s="1" t="s">
        <v>973</v>
      </c>
    </row>
    <row r="3279">
      <c r="A3279" s="1" t="s">
        <v>8458</v>
      </c>
      <c r="B3279" s="2" t="s">
        <v>8459</v>
      </c>
      <c r="C3279" s="1" t="s">
        <v>971</v>
      </c>
      <c r="D3279" s="1" t="s">
        <v>973</v>
      </c>
    </row>
    <row r="3280">
      <c r="A3280" s="1" t="s">
        <v>8460</v>
      </c>
      <c r="B3280" s="2" t="s">
        <v>8461</v>
      </c>
      <c r="C3280" s="1" t="s">
        <v>971</v>
      </c>
      <c r="D3280" s="1" t="s">
        <v>973</v>
      </c>
    </row>
    <row r="3281">
      <c r="A3281" s="1" t="s">
        <v>8463</v>
      </c>
      <c r="B3281" s="2" t="s">
        <v>8464</v>
      </c>
      <c r="C3281" s="1" t="s">
        <v>971</v>
      </c>
      <c r="D3281" s="1" t="s">
        <v>973</v>
      </c>
    </row>
    <row r="3282">
      <c r="A3282" s="1" t="s">
        <v>8467</v>
      </c>
      <c r="B3282" s="2" t="s">
        <v>8468</v>
      </c>
      <c r="C3282" s="1" t="s">
        <v>971</v>
      </c>
      <c r="D3282" s="1" t="s">
        <v>973</v>
      </c>
    </row>
    <row r="3283">
      <c r="A3283" s="1" t="s">
        <v>8469</v>
      </c>
      <c r="B3283" s="2" t="s">
        <v>8470</v>
      </c>
      <c r="C3283" s="1" t="s">
        <v>971</v>
      </c>
      <c r="D3283" s="1" t="s">
        <v>973</v>
      </c>
    </row>
    <row r="3284">
      <c r="A3284" s="1" t="s">
        <v>8472</v>
      </c>
      <c r="B3284" s="2" t="s">
        <v>8473</v>
      </c>
      <c r="C3284" s="1" t="s">
        <v>971</v>
      </c>
      <c r="D3284" s="1" t="s">
        <v>973</v>
      </c>
    </row>
    <row r="3285">
      <c r="A3285" s="1" t="s">
        <v>998</v>
      </c>
      <c r="B3285" s="2" t="s">
        <v>772</v>
      </c>
      <c r="C3285" s="1" t="s">
        <v>1001</v>
      </c>
      <c r="D3285" s="1" t="s">
        <v>1002</v>
      </c>
    </row>
    <row r="3286">
      <c r="A3286" s="1" t="s">
        <v>8476</v>
      </c>
      <c r="B3286" s="2" t="s">
        <v>8477</v>
      </c>
      <c r="C3286" s="1" t="s">
        <v>1001</v>
      </c>
      <c r="D3286" s="1" t="s">
        <v>1002</v>
      </c>
    </row>
    <row r="3287">
      <c r="A3287" s="1" t="s">
        <v>8479</v>
      </c>
      <c r="B3287" s="2" t="s">
        <v>8480</v>
      </c>
      <c r="C3287" s="1" t="s">
        <v>1001</v>
      </c>
      <c r="D3287" s="1" t="s">
        <v>1002</v>
      </c>
    </row>
    <row r="3288">
      <c r="A3288" s="1" t="s">
        <v>8483</v>
      </c>
      <c r="B3288" s="2" t="s">
        <v>8484</v>
      </c>
      <c r="C3288" s="1" t="s">
        <v>1001</v>
      </c>
      <c r="D3288" s="1" t="s">
        <v>1002</v>
      </c>
    </row>
    <row r="3289">
      <c r="A3289" s="1" t="s">
        <v>8485</v>
      </c>
      <c r="B3289" s="2" t="s">
        <v>8486</v>
      </c>
      <c r="C3289" s="1" t="s">
        <v>1001</v>
      </c>
      <c r="D3289" s="1" t="s">
        <v>1002</v>
      </c>
    </row>
    <row r="3290">
      <c r="A3290" s="1" t="s">
        <v>8488</v>
      </c>
      <c r="B3290" s="2" t="s">
        <v>8490</v>
      </c>
      <c r="C3290" s="1" t="s">
        <v>1001</v>
      </c>
      <c r="D3290" s="1" t="s">
        <v>1002</v>
      </c>
    </row>
    <row r="3291">
      <c r="A3291" s="1" t="s">
        <v>988</v>
      </c>
      <c r="B3291" s="2" t="s">
        <v>772</v>
      </c>
      <c r="C3291" s="1" t="s">
        <v>990</v>
      </c>
      <c r="D3291" s="1" t="s">
        <v>992</v>
      </c>
    </row>
    <row r="3292">
      <c r="A3292" s="1" t="s">
        <v>8495</v>
      </c>
      <c r="B3292" s="2" t="s">
        <v>8477</v>
      </c>
      <c r="C3292" s="1" t="s">
        <v>990</v>
      </c>
      <c r="D3292" s="1" t="s">
        <v>992</v>
      </c>
    </row>
    <row r="3293">
      <c r="A3293" s="1" t="s">
        <v>8496</v>
      </c>
      <c r="B3293" s="2" t="s">
        <v>8497</v>
      </c>
      <c r="C3293" s="1" t="s">
        <v>990</v>
      </c>
      <c r="D3293" s="1" t="s">
        <v>992</v>
      </c>
    </row>
    <row r="3294">
      <c r="A3294" s="1" t="s">
        <v>8499</v>
      </c>
      <c r="B3294" s="2" t="s">
        <v>8501</v>
      </c>
      <c r="C3294" s="1" t="s">
        <v>990</v>
      </c>
      <c r="D3294" s="1" t="s">
        <v>992</v>
      </c>
    </row>
    <row r="3295">
      <c r="A3295" s="1" t="s">
        <v>8503</v>
      </c>
      <c r="B3295" s="2" t="s">
        <v>8504</v>
      </c>
      <c r="C3295" s="1" t="s">
        <v>990</v>
      </c>
      <c r="D3295" s="1" t="s">
        <v>992</v>
      </c>
    </row>
    <row r="3296">
      <c r="A3296" s="1" t="s">
        <v>8505</v>
      </c>
      <c r="B3296" s="2" t="s">
        <v>8506</v>
      </c>
      <c r="C3296" s="1" t="s">
        <v>990</v>
      </c>
      <c r="D3296" s="1" t="s">
        <v>992</v>
      </c>
    </row>
    <row r="3297">
      <c r="A3297" s="1" t="s">
        <v>1010</v>
      </c>
      <c r="B3297" s="2" t="s">
        <v>7</v>
      </c>
      <c r="C3297" s="1" t="s">
        <v>1011</v>
      </c>
      <c r="D3297" s="1" t="s">
        <v>1012</v>
      </c>
    </row>
    <row r="3298">
      <c r="A3298" s="1" t="s">
        <v>8510</v>
      </c>
      <c r="B3298" s="2" t="s">
        <v>6537</v>
      </c>
      <c r="C3298" s="1" t="s">
        <v>1011</v>
      </c>
      <c r="D3298" s="1" t="s">
        <v>1012</v>
      </c>
    </row>
    <row r="3299">
      <c r="A3299" s="1" t="s">
        <v>8511</v>
      </c>
      <c r="B3299" s="2" t="s">
        <v>6539</v>
      </c>
      <c r="C3299" s="1" t="s">
        <v>1011</v>
      </c>
      <c r="D3299" s="1" t="s">
        <v>1012</v>
      </c>
    </row>
    <row r="3300">
      <c r="A3300" s="1" t="s">
        <v>8513</v>
      </c>
      <c r="B3300" s="2" t="s">
        <v>6544</v>
      </c>
      <c r="C3300" s="1" t="s">
        <v>1011</v>
      </c>
      <c r="D3300" s="1" t="s">
        <v>1012</v>
      </c>
    </row>
    <row r="3301">
      <c r="A3301" s="1" t="s">
        <v>8516</v>
      </c>
      <c r="B3301" s="2" t="s">
        <v>6713</v>
      </c>
      <c r="C3301" s="1" t="s">
        <v>1011</v>
      </c>
      <c r="D3301" s="1" t="s">
        <v>1012</v>
      </c>
    </row>
    <row r="3302">
      <c r="A3302" s="1" t="s">
        <v>8517</v>
      </c>
      <c r="B3302" s="2" t="s">
        <v>8518</v>
      </c>
      <c r="C3302" s="1" t="s">
        <v>1011</v>
      </c>
      <c r="D3302" s="1" t="s">
        <v>1012</v>
      </c>
    </row>
    <row r="3303">
      <c r="A3303" s="1" t="s">
        <v>8519</v>
      </c>
      <c r="B3303" s="2" t="s">
        <v>8520</v>
      </c>
      <c r="C3303" s="1" t="s">
        <v>1011</v>
      </c>
      <c r="D3303" s="1" t="s">
        <v>1012</v>
      </c>
    </row>
    <row r="3304">
      <c r="A3304" s="1" t="s">
        <v>8521</v>
      </c>
      <c r="B3304" s="2" t="s">
        <v>8522</v>
      </c>
      <c r="C3304" s="1" t="s">
        <v>1011</v>
      </c>
      <c r="D3304" s="1" t="s">
        <v>1012</v>
      </c>
    </row>
    <row r="3305">
      <c r="A3305" s="1" t="s">
        <v>8523</v>
      </c>
      <c r="B3305" s="2" t="s">
        <v>6772</v>
      </c>
      <c r="C3305" s="1" t="s">
        <v>1011</v>
      </c>
      <c r="D3305" s="1" t="s">
        <v>1012</v>
      </c>
    </row>
    <row r="3306">
      <c r="A3306" s="1" t="s">
        <v>8524</v>
      </c>
      <c r="B3306" s="2" t="s">
        <v>8525</v>
      </c>
      <c r="C3306" s="1" t="s">
        <v>1011</v>
      </c>
      <c r="D3306" s="1" t="s">
        <v>1012</v>
      </c>
    </row>
    <row r="3307">
      <c r="A3307" s="1" t="s">
        <v>8526</v>
      </c>
      <c r="B3307" s="2" t="s">
        <v>8527</v>
      </c>
      <c r="C3307" s="1" t="s">
        <v>1011</v>
      </c>
      <c r="D3307" s="1" t="s">
        <v>1012</v>
      </c>
    </row>
    <row r="3308">
      <c r="A3308" s="1" t="s">
        <v>8528</v>
      </c>
      <c r="B3308" s="2" t="s">
        <v>8529</v>
      </c>
      <c r="C3308" s="1" t="s">
        <v>1011</v>
      </c>
      <c r="D3308" s="1" t="s">
        <v>1012</v>
      </c>
    </row>
    <row r="3309">
      <c r="A3309" s="1" t="s">
        <v>8530</v>
      </c>
      <c r="B3309" s="2" t="s">
        <v>6825</v>
      </c>
      <c r="C3309" s="1" t="s">
        <v>1011</v>
      </c>
      <c r="D3309" s="1" t="s">
        <v>1012</v>
      </c>
    </row>
    <row r="3310">
      <c r="A3310" s="1" t="s">
        <v>8531</v>
      </c>
      <c r="B3310" s="2" t="s">
        <v>8532</v>
      </c>
      <c r="C3310" s="1" t="s">
        <v>1011</v>
      </c>
      <c r="D3310" s="1" t="s">
        <v>1012</v>
      </c>
    </row>
    <row r="3311">
      <c r="A3311" s="1" t="s">
        <v>8533</v>
      </c>
      <c r="B3311" s="2" t="s">
        <v>8534</v>
      </c>
      <c r="C3311" s="1" t="s">
        <v>1011</v>
      </c>
      <c r="D3311" s="1" t="s">
        <v>1012</v>
      </c>
    </row>
    <row r="3312">
      <c r="A3312" s="1" t="s">
        <v>8535</v>
      </c>
      <c r="B3312" s="2" t="s">
        <v>8536</v>
      </c>
      <c r="C3312" s="1" t="s">
        <v>1011</v>
      </c>
      <c r="D3312" s="1" t="s">
        <v>1012</v>
      </c>
    </row>
    <row r="3313">
      <c r="A3313" s="1" t="s">
        <v>8537</v>
      </c>
      <c r="B3313" s="2" t="s">
        <v>6875</v>
      </c>
      <c r="C3313" s="1" t="s">
        <v>1011</v>
      </c>
      <c r="D3313" s="1" t="s">
        <v>1012</v>
      </c>
    </row>
    <row r="3314">
      <c r="A3314" s="1" t="s">
        <v>8538</v>
      </c>
      <c r="B3314" s="2" t="s">
        <v>8539</v>
      </c>
      <c r="C3314" s="1" t="s">
        <v>1011</v>
      </c>
      <c r="D3314" s="1" t="s">
        <v>1012</v>
      </c>
    </row>
    <row r="3315">
      <c r="A3315" s="1" t="s">
        <v>8540</v>
      </c>
      <c r="B3315" s="2" t="s">
        <v>8541</v>
      </c>
      <c r="C3315" s="1" t="s">
        <v>1011</v>
      </c>
      <c r="D3315" s="1" t="s">
        <v>1012</v>
      </c>
    </row>
    <row r="3316">
      <c r="A3316" s="1" t="s">
        <v>8542</v>
      </c>
      <c r="B3316" s="2" t="s">
        <v>8543</v>
      </c>
      <c r="C3316" s="1" t="s">
        <v>1011</v>
      </c>
      <c r="D3316" s="1" t="s">
        <v>1012</v>
      </c>
    </row>
    <row r="3317">
      <c r="A3317" s="1" t="s">
        <v>8544</v>
      </c>
      <c r="B3317" s="2" t="s">
        <v>6928</v>
      </c>
      <c r="C3317" s="1" t="s">
        <v>1011</v>
      </c>
      <c r="D3317" s="1" t="s">
        <v>1012</v>
      </c>
    </row>
    <row r="3318">
      <c r="A3318" s="1" t="s">
        <v>8546</v>
      </c>
      <c r="B3318" s="2" t="s">
        <v>8547</v>
      </c>
      <c r="C3318" s="1" t="s">
        <v>1011</v>
      </c>
      <c r="D3318" s="1" t="s">
        <v>1012</v>
      </c>
    </row>
    <row r="3319">
      <c r="A3319" s="1" t="s">
        <v>8549</v>
      </c>
      <c r="B3319" s="2" t="s">
        <v>8551</v>
      </c>
      <c r="C3319" s="1" t="s">
        <v>1011</v>
      </c>
      <c r="D3319" s="1" t="s">
        <v>1012</v>
      </c>
    </row>
    <row r="3320">
      <c r="A3320" s="1" t="s">
        <v>8552</v>
      </c>
      <c r="B3320" s="2" t="s">
        <v>8553</v>
      </c>
      <c r="C3320" s="1" t="s">
        <v>1011</v>
      </c>
      <c r="D3320" s="1" t="s">
        <v>1012</v>
      </c>
    </row>
    <row r="3321">
      <c r="A3321" s="1" t="s">
        <v>1007</v>
      </c>
      <c r="B3321" s="2" t="s">
        <v>7</v>
      </c>
      <c r="C3321" s="1" t="s">
        <v>1008</v>
      </c>
      <c r="D3321" s="1" t="s">
        <v>1009</v>
      </c>
    </row>
    <row r="3322">
      <c r="A3322" s="1" t="s">
        <v>8557</v>
      </c>
      <c r="B3322" s="2" t="s">
        <v>6537</v>
      </c>
      <c r="C3322" s="1" t="s">
        <v>1008</v>
      </c>
      <c r="D3322" s="1" t="s">
        <v>1009</v>
      </c>
    </row>
    <row r="3323">
      <c r="A3323" s="1" t="s">
        <v>8558</v>
      </c>
      <c r="B3323" s="2" t="s">
        <v>6539</v>
      </c>
      <c r="C3323" s="1" t="s">
        <v>1008</v>
      </c>
      <c r="D3323" s="1" t="s">
        <v>1009</v>
      </c>
    </row>
    <row r="3324">
      <c r="A3324" s="1" t="s">
        <v>8560</v>
      </c>
      <c r="B3324" s="2" t="s">
        <v>6544</v>
      </c>
      <c r="C3324" s="1" t="s">
        <v>1008</v>
      </c>
      <c r="D3324" s="1" t="s">
        <v>1009</v>
      </c>
    </row>
    <row r="3325">
      <c r="A3325" s="1" t="s">
        <v>8563</v>
      </c>
      <c r="B3325" s="2" t="s">
        <v>6713</v>
      </c>
      <c r="C3325" s="1" t="s">
        <v>1008</v>
      </c>
      <c r="D3325" s="1" t="s">
        <v>1009</v>
      </c>
    </row>
    <row r="3326">
      <c r="A3326" s="1" t="s">
        <v>8564</v>
      </c>
      <c r="B3326" s="2" t="s">
        <v>8518</v>
      </c>
      <c r="C3326" s="1" t="s">
        <v>1008</v>
      </c>
      <c r="D3326" s="1" t="s">
        <v>1009</v>
      </c>
    </row>
    <row r="3327">
      <c r="A3327" s="1" t="s">
        <v>8566</v>
      </c>
      <c r="B3327" s="2" t="s">
        <v>8520</v>
      </c>
      <c r="C3327" s="1" t="s">
        <v>1008</v>
      </c>
      <c r="D3327" s="1" t="s">
        <v>1009</v>
      </c>
    </row>
    <row r="3328">
      <c r="A3328" s="1" t="s">
        <v>8569</v>
      </c>
      <c r="B3328" s="2" t="s">
        <v>8522</v>
      </c>
      <c r="C3328" s="1" t="s">
        <v>1008</v>
      </c>
      <c r="D3328" s="1" t="s">
        <v>1009</v>
      </c>
    </row>
    <row r="3329">
      <c r="A3329" s="1" t="s">
        <v>8570</v>
      </c>
      <c r="B3329" s="2" t="s">
        <v>7038</v>
      </c>
      <c r="C3329" s="1" t="s">
        <v>1008</v>
      </c>
      <c r="D3329" s="1" t="s">
        <v>1009</v>
      </c>
    </row>
    <row r="3330">
      <c r="A3330" s="1" t="s">
        <v>8573</v>
      </c>
      <c r="B3330" s="2" t="s">
        <v>8575</v>
      </c>
      <c r="C3330" s="1" t="s">
        <v>1008</v>
      </c>
      <c r="D3330" s="1" t="s">
        <v>1009</v>
      </c>
    </row>
    <row r="3331">
      <c r="A3331" s="1" t="s">
        <v>8576</v>
      </c>
      <c r="B3331" s="2" t="s">
        <v>8577</v>
      </c>
      <c r="C3331" s="1" t="s">
        <v>1008</v>
      </c>
      <c r="D3331" s="1" t="s">
        <v>1009</v>
      </c>
    </row>
    <row r="3332">
      <c r="A3332" s="1" t="s">
        <v>8579</v>
      </c>
      <c r="B3332" s="2" t="s">
        <v>8580</v>
      </c>
      <c r="C3332" s="1" t="s">
        <v>1008</v>
      </c>
      <c r="D3332" s="1" t="s">
        <v>1009</v>
      </c>
    </row>
    <row r="3333">
      <c r="A3333" s="1" t="s">
        <v>8583</v>
      </c>
      <c r="B3333" s="2" t="s">
        <v>7082</v>
      </c>
      <c r="C3333" s="1" t="s">
        <v>1008</v>
      </c>
      <c r="D3333" s="1" t="s">
        <v>1009</v>
      </c>
    </row>
    <row r="3334">
      <c r="A3334" s="1" t="s">
        <v>8584</v>
      </c>
      <c r="B3334" s="2" t="s">
        <v>8585</v>
      </c>
      <c r="C3334" s="1" t="s">
        <v>1008</v>
      </c>
      <c r="D3334" s="1" t="s">
        <v>1009</v>
      </c>
    </row>
    <row r="3335">
      <c r="A3335" s="1" t="s">
        <v>8587</v>
      </c>
      <c r="B3335" s="2" t="s">
        <v>8588</v>
      </c>
      <c r="C3335" s="1" t="s">
        <v>1008</v>
      </c>
      <c r="D3335" s="1" t="s">
        <v>1009</v>
      </c>
    </row>
    <row r="3336">
      <c r="A3336" s="1" t="s">
        <v>8591</v>
      </c>
      <c r="B3336" s="2" t="s">
        <v>8592</v>
      </c>
      <c r="C3336" s="1" t="s">
        <v>1008</v>
      </c>
      <c r="D3336" s="1" t="s">
        <v>1009</v>
      </c>
    </row>
    <row r="3337">
      <c r="A3337" s="1" t="s">
        <v>8593</v>
      </c>
      <c r="B3337" s="2" t="s">
        <v>7125</v>
      </c>
      <c r="C3337" s="1" t="s">
        <v>1008</v>
      </c>
      <c r="D3337" s="1" t="s">
        <v>1009</v>
      </c>
    </row>
    <row r="3338">
      <c r="A3338" s="1" t="s">
        <v>8595</v>
      </c>
      <c r="B3338" s="2" t="s">
        <v>8597</v>
      </c>
      <c r="C3338" s="1" t="s">
        <v>1008</v>
      </c>
      <c r="D3338" s="1" t="s">
        <v>1009</v>
      </c>
    </row>
    <row r="3339">
      <c r="A3339" s="1" t="s">
        <v>8599</v>
      </c>
      <c r="B3339" s="2" t="s">
        <v>8600</v>
      </c>
      <c r="C3339" s="1" t="s">
        <v>1008</v>
      </c>
      <c r="D3339" s="1" t="s">
        <v>1009</v>
      </c>
    </row>
    <row r="3340">
      <c r="A3340" s="1" t="s">
        <v>8603</v>
      </c>
      <c r="B3340" s="2" t="s">
        <v>8605</v>
      </c>
      <c r="C3340" s="1" t="s">
        <v>1008</v>
      </c>
      <c r="D3340" s="1" t="s">
        <v>1009</v>
      </c>
    </row>
    <row r="3341">
      <c r="A3341" s="1" t="s">
        <v>8606</v>
      </c>
      <c r="B3341" s="2" t="s">
        <v>7169</v>
      </c>
      <c r="C3341" s="1" t="s">
        <v>1008</v>
      </c>
      <c r="D3341" s="1" t="s">
        <v>1009</v>
      </c>
    </row>
    <row r="3342">
      <c r="A3342" s="1" t="s">
        <v>8607</v>
      </c>
      <c r="B3342" s="2" t="s">
        <v>8608</v>
      </c>
      <c r="C3342" s="1" t="s">
        <v>1008</v>
      </c>
      <c r="D3342" s="1" t="s">
        <v>1009</v>
      </c>
    </row>
    <row r="3343">
      <c r="A3343" s="1" t="s">
        <v>8609</v>
      </c>
      <c r="B3343" s="2" t="s">
        <v>8610</v>
      </c>
      <c r="C3343" s="1" t="s">
        <v>1008</v>
      </c>
      <c r="D3343" s="1" t="s">
        <v>1009</v>
      </c>
    </row>
    <row r="3344">
      <c r="A3344" s="1" t="s">
        <v>8611</v>
      </c>
      <c r="B3344" s="2" t="s">
        <v>8612</v>
      </c>
      <c r="C3344" s="1" t="s">
        <v>1008</v>
      </c>
      <c r="D3344" s="1" t="s">
        <v>1009</v>
      </c>
    </row>
    <row r="3345">
      <c r="A3345" s="1" t="s">
        <v>1020</v>
      </c>
      <c r="B3345" s="2" t="s">
        <v>7</v>
      </c>
      <c r="C3345" s="1" t="s">
        <v>1022</v>
      </c>
      <c r="D3345" s="1" t="s">
        <v>1024</v>
      </c>
    </row>
    <row r="3346">
      <c r="A3346" s="1" t="s">
        <v>8613</v>
      </c>
      <c r="B3346" s="2" t="s">
        <v>8614</v>
      </c>
      <c r="C3346" s="1" t="s">
        <v>1022</v>
      </c>
      <c r="D3346" s="1" t="s">
        <v>1024</v>
      </c>
    </row>
    <row r="3347">
      <c r="A3347" s="1" t="s">
        <v>8615</v>
      </c>
      <c r="B3347" s="2" t="s">
        <v>8616</v>
      </c>
      <c r="C3347" s="1" t="s">
        <v>1022</v>
      </c>
      <c r="D3347" s="1" t="s">
        <v>1024</v>
      </c>
    </row>
    <row r="3348">
      <c r="A3348" s="1" t="s">
        <v>8617</v>
      </c>
      <c r="B3348" s="2" t="s">
        <v>6713</v>
      </c>
      <c r="C3348" s="1" t="s">
        <v>1022</v>
      </c>
      <c r="D3348" s="1" t="s">
        <v>1024</v>
      </c>
    </row>
    <row r="3349">
      <c r="A3349" s="1" t="s">
        <v>8619</v>
      </c>
      <c r="B3349" s="2" t="s">
        <v>8621</v>
      </c>
      <c r="C3349" s="1" t="s">
        <v>1022</v>
      </c>
      <c r="D3349" s="1" t="s">
        <v>1024</v>
      </c>
    </row>
    <row r="3350">
      <c r="A3350" s="1" t="s">
        <v>8623</v>
      </c>
      <c r="B3350" s="2" t="s">
        <v>8624</v>
      </c>
      <c r="C3350" s="1" t="s">
        <v>1022</v>
      </c>
      <c r="D3350" s="1" t="s">
        <v>1024</v>
      </c>
    </row>
    <row r="3351">
      <c r="A3351" s="1" t="s">
        <v>8625</v>
      </c>
      <c r="B3351" s="2" t="s">
        <v>6772</v>
      </c>
      <c r="C3351" s="1" t="s">
        <v>1022</v>
      </c>
      <c r="D3351" s="1" t="s">
        <v>1024</v>
      </c>
    </row>
    <row r="3352">
      <c r="A3352" s="1" t="s">
        <v>8628</v>
      </c>
      <c r="B3352" s="2" t="s">
        <v>8630</v>
      </c>
      <c r="C3352" s="1" t="s">
        <v>1022</v>
      </c>
      <c r="D3352" s="1" t="s">
        <v>1024</v>
      </c>
    </row>
    <row r="3353">
      <c r="A3353" s="1" t="s">
        <v>8631</v>
      </c>
      <c r="B3353" s="2" t="s">
        <v>8632</v>
      </c>
      <c r="C3353" s="1" t="s">
        <v>1022</v>
      </c>
      <c r="D3353" s="1" t="s">
        <v>1024</v>
      </c>
    </row>
    <row r="3354">
      <c r="A3354" s="1" t="s">
        <v>8634</v>
      </c>
      <c r="B3354" s="2" t="s">
        <v>6825</v>
      </c>
      <c r="C3354" s="1" t="s">
        <v>1022</v>
      </c>
      <c r="D3354" s="1" t="s">
        <v>1024</v>
      </c>
    </row>
    <row r="3355">
      <c r="A3355" s="1" t="s">
        <v>8637</v>
      </c>
      <c r="B3355" s="2" t="s">
        <v>8638</v>
      </c>
      <c r="C3355" s="1" t="s">
        <v>1022</v>
      </c>
      <c r="D3355" s="1" t="s">
        <v>1024</v>
      </c>
    </row>
    <row r="3356">
      <c r="A3356" s="1" t="s">
        <v>8639</v>
      </c>
      <c r="B3356" s="2" t="s">
        <v>8640</v>
      </c>
      <c r="C3356" s="1" t="s">
        <v>1022</v>
      </c>
      <c r="D3356" s="1" t="s">
        <v>1024</v>
      </c>
    </row>
    <row r="3357">
      <c r="A3357" s="1" t="s">
        <v>8641</v>
      </c>
      <c r="B3357" s="2" t="s">
        <v>6875</v>
      </c>
      <c r="C3357" s="1" t="s">
        <v>1022</v>
      </c>
      <c r="D3357" s="1" t="s">
        <v>1024</v>
      </c>
    </row>
    <row r="3358">
      <c r="A3358" s="1" t="s">
        <v>8642</v>
      </c>
      <c r="B3358" s="2" t="s">
        <v>8643</v>
      </c>
      <c r="C3358" s="1" t="s">
        <v>1022</v>
      </c>
      <c r="D3358" s="1" t="s">
        <v>1024</v>
      </c>
    </row>
    <row r="3359">
      <c r="A3359" s="1" t="s">
        <v>8644</v>
      </c>
      <c r="B3359" s="2" t="s">
        <v>8645</v>
      </c>
      <c r="C3359" s="1" t="s">
        <v>1022</v>
      </c>
      <c r="D3359" s="1" t="s">
        <v>1024</v>
      </c>
    </row>
    <row r="3360">
      <c r="A3360" s="1" t="s">
        <v>8647</v>
      </c>
      <c r="B3360" s="2" t="s">
        <v>6928</v>
      </c>
      <c r="C3360" s="1" t="s">
        <v>1022</v>
      </c>
      <c r="D3360" s="1" t="s">
        <v>1024</v>
      </c>
    </row>
    <row r="3361">
      <c r="A3361" s="1" t="s">
        <v>8650</v>
      </c>
      <c r="B3361" s="2" t="s">
        <v>8651</v>
      </c>
      <c r="C3361" s="1" t="s">
        <v>1022</v>
      </c>
      <c r="D3361" s="1" t="s">
        <v>1024</v>
      </c>
    </row>
    <row r="3362">
      <c r="A3362" s="1" t="s">
        <v>8652</v>
      </c>
      <c r="B3362" s="2" t="s">
        <v>8653</v>
      </c>
      <c r="C3362" s="1" t="s">
        <v>1022</v>
      </c>
      <c r="D3362" s="1" t="s">
        <v>1024</v>
      </c>
    </row>
    <row r="3363">
      <c r="A3363" s="1" t="s">
        <v>1013</v>
      </c>
      <c r="B3363" s="2" t="s">
        <v>7</v>
      </c>
      <c r="C3363" s="1" t="s">
        <v>1015</v>
      </c>
      <c r="D3363" s="1" t="s">
        <v>1017</v>
      </c>
    </row>
    <row r="3364">
      <c r="A3364" s="1" t="s">
        <v>8657</v>
      </c>
      <c r="B3364" s="2" t="s">
        <v>8614</v>
      </c>
      <c r="C3364" s="1" t="s">
        <v>1015</v>
      </c>
      <c r="D3364" s="1" t="s">
        <v>1017</v>
      </c>
    </row>
    <row r="3365">
      <c r="A3365" s="1" t="s">
        <v>8658</v>
      </c>
      <c r="B3365" s="2" t="s">
        <v>8616</v>
      </c>
      <c r="C3365" s="1" t="s">
        <v>1015</v>
      </c>
      <c r="D3365" s="1" t="s">
        <v>1017</v>
      </c>
    </row>
    <row r="3366">
      <c r="A3366" s="1" t="s">
        <v>8660</v>
      </c>
      <c r="B3366" s="2" t="s">
        <v>6713</v>
      </c>
      <c r="C3366" s="1" t="s">
        <v>1015</v>
      </c>
      <c r="D3366" s="1" t="s">
        <v>1017</v>
      </c>
    </row>
    <row r="3367">
      <c r="A3367" s="1" t="s">
        <v>8663</v>
      </c>
      <c r="B3367" s="2" t="s">
        <v>8621</v>
      </c>
      <c r="C3367" s="1" t="s">
        <v>1015</v>
      </c>
      <c r="D3367" s="1" t="s">
        <v>1017</v>
      </c>
    </row>
    <row r="3368">
      <c r="A3368" s="1" t="s">
        <v>8664</v>
      </c>
      <c r="B3368" s="2" t="s">
        <v>8624</v>
      </c>
      <c r="C3368" s="1" t="s">
        <v>1015</v>
      </c>
      <c r="D3368" s="1" t="s">
        <v>1017</v>
      </c>
    </row>
    <row r="3369">
      <c r="A3369" s="1" t="s">
        <v>8666</v>
      </c>
      <c r="B3369" s="2" t="s">
        <v>7038</v>
      </c>
      <c r="C3369" s="1" t="s">
        <v>1015</v>
      </c>
      <c r="D3369" s="1" t="s">
        <v>1017</v>
      </c>
    </row>
    <row r="3370">
      <c r="A3370" s="1" t="s">
        <v>8669</v>
      </c>
      <c r="B3370" s="2" t="s">
        <v>8670</v>
      </c>
      <c r="C3370" s="1" t="s">
        <v>1015</v>
      </c>
      <c r="D3370" s="1" t="s">
        <v>1017</v>
      </c>
    </row>
    <row r="3371">
      <c r="A3371" s="1" t="s">
        <v>8671</v>
      </c>
      <c r="B3371" s="2" t="s">
        <v>8672</v>
      </c>
      <c r="C3371" s="1" t="s">
        <v>1015</v>
      </c>
      <c r="D3371" s="1" t="s">
        <v>1017</v>
      </c>
    </row>
    <row r="3372">
      <c r="A3372" s="1" t="s">
        <v>8674</v>
      </c>
      <c r="B3372" s="2" t="s">
        <v>7082</v>
      </c>
      <c r="C3372" s="1" t="s">
        <v>1015</v>
      </c>
      <c r="D3372" s="1" t="s">
        <v>1017</v>
      </c>
    </row>
    <row r="3373">
      <c r="A3373" s="1" t="s">
        <v>8677</v>
      </c>
      <c r="B3373" s="2" t="s">
        <v>8678</v>
      </c>
      <c r="C3373" s="1" t="s">
        <v>1015</v>
      </c>
      <c r="D3373" s="1" t="s">
        <v>1017</v>
      </c>
    </row>
    <row r="3374">
      <c r="A3374" s="1" t="s">
        <v>8679</v>
      </c>
      <c r="B3374" s="2" t="s">
        <v>8680</v>
      </c>
      <c r="C3374" s="1" t="s">
        <v>1015</v>
      </c>
      <c r="D3374" s="1" t="s">
        <v>1017</v>
      </c>
    </row>
    <row r="3375">
      <c r="A3375" s="1" t="s">
        <v>8682</v>
      </c>
      <c r="B3375" s="2" t="s">
        <v>7125</v>
      </c>
      <c r="C3375" s="1" t="s">
        <v>1015</v>
      </c>
      <c r="D3375" s="1" t="s">
        <v>1017</v>
      </c>
    </row>
    <row r="3376">
      <c r="A3376" s="1" t="s">
        <v>8685</v>
      </c>
      <c r="B3376" s="2" t="s">
        <v>8686</v>
      </c>
      <c r="C3376" s="1" t="s">
        <v>1015</v>
      </c>
      <c r="D3376" s="1" t="s">
        <v>1017</v>
      </c>
    </row>
    <row r="3377">
      <c r="A3377" s="1" t="s">
        <v>8687</v>
      </c>
      <c r="B3377" s="2" t="s">
        <v>8688</v>
      </c>
      <c r="C3377" s="1" t="s">
        <v>1015</v>
      </c>
      <c r="D3377" s="1" t="s">
        <v>1017</v>
      </c>
    </row>
    <row r="3378">
      <c r="A3378" s="1" t="s">
        <v>8690</v>
      </c>
      <c r="B3378" s="2" t="s">
        <v>7169</v>
      </c>
      <c r="C3378" s="1" t="s">
        <v>1015</v>
      </c>
      <c r="D3378" s="1" t="s">
        <v>1017</v>
      </c>
    </row>
    <row r="3379">
      <c r="A3379" s="1" t="s">
        <v>8693</v>
      </c>
      <c r="B3379" s="2" t="s">
        <v>8694</v>
      </c>
      <c r="C3379" s="1" t="s">
        <v>1015</v>
      </c>
      <c r="D3379" s="1" t="s">
        <v>1017</v>
      </c>
    </row>
    <row r="3380">
      <c r="A3380" s="1" t="s">
        <v>8695</v>
      </c>
      <c r="B3380" s="2" t="s">
        <v>8696</v>
      </c>
      <c r="C3380" s="1" t="s">
        <v>1015</v>
      </c>
      <c r="D3380" s="1" t="s">
        <v>1017</v>
      </c>
    </row>
    <row r="3381">
      <c r="A3381" s="1" t="s">
        <v>1029</v>
      </c>
      <c r="B3381" s="2" t="s">
        <v>7</v>
      </c>
      <c r="C3381" s="1" t="s">
        <v>1031</v>
      </c>
      <c r="D3381" s="1" t="s">
        <v>1033</v>
      </c>
    </row>
    <row r="3382">
      <c r="A3382" s="1" t="s">
        <v>8700</v>
      </c>
      <c r="B3382" s="2" t="s">
        <v>8701</v>
      </c>
      <c r="C3382" s="1" t="s">
        <v>1031</v>
      </c>
      <c r="D3382" s="1" t="s">
        <v>1033</v>
      </c>
    </row>
    <row r="3383">
      <c r="A3383" s="1" t="s">
        <v>8703</v>
      </c>
      <c r="B3383" s="2" t="s">
        <v>8705</v>
      </c>
      <c r="C3383" s="1" t="s">
        <v>1031</v>
      </c>
      <c r="D3383" s="1" t="s">
        <v>1033</v>
      </c>
    </row>
    <row r="3384">
      <c r="A3384" s="1" t="s">
        <v>8707</v>
      </c>
      <c r="B3384" s="2" t="s">
        <v>8708</v>
      </c>
      <c r="C3384" s="1" t="s">
        <v>1031</v>
      </c>
      <c r="D3384" s="1" t="s">
        <v>1033</v>
      </c>
    </row>
    <row r="3385">
      <c r="A3385" s="1" t="s">
        <v>8709</v>
      </c>
      <c r="B3385" s="2" t="s">
        <v>8710</v>
      </c>
      <c r="C3385" s="1" t="s">
        <v>1031</v>
      </c>
      <c r="D3385" s="1" t="s">
        <v>1033</v>
      </c>
    </row>
    <row r="3386">
      <c r="A3386" s="1" t="s">
        <v>8712</v>
      </c>
      <c r="B3386" s="2" t="s">
        <v>8713</v>
      </c>
      <c r="C3386" s="1" t="s">
        <v>1031</v>
      </c>
      <c r="D3386" s="1" t="s">
        <v>1033</v>
      </c>
    </row>
    <row r="3387">
      <c r="A3387" s="1" t="s">
        <v>8716</v>
      </c>
      <c r="B3387" s="2" t="s">
        <v>8717</v>
      </c>
      <c r="C3387" s="1" t="s">
        <v>1031</v>
      </c>
      <c r="D3387" s="1" t="s">
        <v>1033</v>
      </c>
    </row>
    <row r="3388">
      <c r="A3388" s="1" t="s">
        <v>8718</v>
      </c>
      <c r="B3388" s="2" t="s">
        <v>8719</v>
      </c>
      <c r="C3388" s="1" t="s">
        <v>1031</v>
      </c>
      <c r="D3388" s="1" t="s">
        <v>1033</v>
      </c>
    </row>
    <row r="3389">
      <c r="A3389" s="1" t="s">
        <v>8721</v>
      </c>
      <c r="B3389" s="2" t="s">
        <v>8722</v>
      </c>
      <c r="C3389" s="1" t="s">
        <v>1031</v>
      </c>
      <c r="D3389" s="1" t="s">
        <v>1033</v>
      </c>
    </row>
    <row r="3390">
      <c r="A3390" s="1" t="s">
        <v>8725</v>
      </c>
      <c r="B3390" s="2" t="s">
        <v>8726</v>
      </c>
      <c r="C3390" s="1" t="s">
        <v>1031</v>
      </c>
      <c r="D3390" s="1" t="s">
        <v>1033</v>
      </c>
    </row>
    <row r="3391">
      <c r="A3391" s="1" t="s">
        <v>8727</v>
      </c>
      <c r="B3391" s="2" t="s">
        <v>8728</v>
      </c>
      <c r="C3391" s="1" t="s">
        <v>1031</v>
      </c>
      <c r="D3391" s="1" t="s">
        <v>1033</v>
      </c>
    </row>
    <row r="3392">
      <c r="A3392" s="1" t="s">
        <v>8731</v>
      </c>
      <c r="B3392" s="2" t="s">
        <v>8733</v>
      </c>
      <c r="C3392" s="1" t="s">
        <v>1031</v>
      </c>
      <c r="D3392" s="1" t="s">
        <v>1033</v>
      </c>
    </row>
    <row r="3393">
      <c r="A3393" s="1" t="s">
        <v>8734</v>
      </c>
      <c r="B3393" s="2" t="s">
        <v>8735</v>
      </c>
      <c r="C3393" s="1" t="s">
        <v>1031</v>
      </c>
      <c r="D3393" s="1" t="s">
        <v>1033</v>
      </c>
    </row>
    <row r="3394">
      <c r="A3394" s="1" t="s">
        <v>8737</v>
      </c>
      <c r="B3394" s="2" t="s">
        <v>8738</v>
      </c>
      <c r="C3394" s="1" t="s">
        <v>1031</v>
      </c>
      <c r="D3394" s="1" t="s">
        <v>1033</v>
      </c>
    </row>
    <row r="3395">
      <c r="A3395" s="1" t="s">
        <v>8741</v>
      </c>
      <c r="B3395" s="2" t="s">
        <v>8742</v>
      </c>
      <c r="C3395" s="1" t="s">
        <v>1031</v>
      </c>
      <c r="D3395" s="1" t="s">
        <v>1033</v>
      </c>
    </row>
    <row r="3396">
      <c r="A3396" s="1" t="s">
        <v>8743</v>
      </c>
      <c r="B3396" s="2" t="s">
        <v>8744</v>
      </c>
      <c r="C3396" s="1" t="s">
        <v>1031</v>
      </c>
      <c r="D3396" s="1" t="s">
        <v>1033</v>
      </c>
    </row>
    <row r="3397">
      <c r="A3397" s="1" t="s">
        <v>8748</v>
      </c>
      <c r="B3397" s="2" t="s">
        <v>8749</v>
      </c>
      <c r="C3397" s="1" t="s">
        <v>1031</v>
      </c>
      <c r="D3397" s="1" t="s">
        <v>1033</v>
      </c>
    </row>
    <row r="3398">
      <c r="A3398" s="1" t="s">
        <v>8750</v>
      </c>
      <c r="B3398" s="2" t="s">
        <v>8752</v>
      </c>
      <c r="C3398" s="1" t="s">
        <v>1031</v>
      </c>
      <c r="D3398" s="1" t="s">
        <v>1033</v>
      </c>
    </row>
    <row r="3399">
      <c r="A3399" s="1" t="s">
        <v>8755</v>
      </c>
      <c r="B3399" s="2" t="s">
        <v>8756</v>
      </c>
      <c r="C3399" s="1" t="s">
        <v>1031</v>
      </c>
      <c r="D3399" s="1" t="s">
        <v>1033</v>
      </c>
    </row>
    <row r="3400">
      <c r="A3400" s="1" t="s">
        <v>8757</v>
      </c>
      <c r="B3400" s="2" t="s">
        <v>8758</v>
      </c>
      <c r="C3400" s="1" t="s">
        <v>1031</v>
      </c>
      <c r="D3400" s="1" t="s">
        <v>1033</v>
      </c>
    </row>
    <row r="3401">
      <c r="A3401" s="1" t="s">
        <v>8760</v>
      </c>
      <c r="B3401" s="2" t="s">
        <v>8761</v>
      </c>
      <c r="C3401" s="1" t="s">
        <v>1031</v>
      </c>
      <c r="D3401" s="1" t="s">
        <v>1033</v>
      </c>
    </row>
    <row r="3402">
      <c r="A3402" s="1" t="s">
        <v>8764</v>
      </c>
      <c r="B3402" s="2" t="s">
        <v>8765</v>
      </c>
      <c r="C3402" s="1" t="s">
        <v>1031</v>
      </c>
      <c r="D3402" s="1" t="s">
        <v>1033</v>
      </c>
    </row>
    <row r="3403">
      <c r="A3403" s="1" t="s">
        <v>8766</v>
      </c>
      <c r="B3403" s="2" t="s">
        <v>8767</v>
      </c>
      <c r="C3403" s="1" t="s">
        <v>1031</v>
      </c>
      <c r="D3403" s="1" t="s">
        <v>1033</v>
      </c>
    </row>
    <row r="3404">
      <c r="A3404" s="1" t="s">
        <v>8769</v>
      </c>
      <c r="B3404" s="2" t="s">
        <v>8771</v>
      </c>
      <c r="C3404" s="1" t="s">
        <v>1031</v>
      </c>
      <c r="D3404" s="1" t="s">
        <v>1033</v>
      </c>
    </row>
    <row r="3405">
      <c r="A3405" s="1" t="s">
        <v>8773</v>
      </c>
      <c r="B3405" s="2" t="s">
        <v>8774</v>
      </c>
      <c r="C3405" s="1" t="s">
        <v>1031</v>
      </c>
      <c r="D3405" s="1" t="s">
        <v>1033</v>
      </c>
    </row>
    <row r="3406">
      <c r="A3406" s="1" t="s">
        <v>8775</v>
      </c>
      <c r="B3406" s="2" t="s">
        <v>8776</v>
      </c>
      <c r="C3406" s="1" t="s">
        <v>1031</v>
      </c>
      <c r="D3406" s="1" t="s">
        <v>1033</v>
      </c>
    </row>
    <row r="3407">
      <c r="A3407" s="1" t="s">
        <v>8778</v>
      </c>
      <c r="B3407" s="2" t="s">
        <v>8780</v>
      </c>
      <c r="C3407" s="1" t="s">
        <v>1031</v>
      </c>
      <c r="D3407" s="1" t="s">
        <v>1033</v>
      </c>
    </row>
    <row r="3408">
      <c r="A3408" s="1" t="s">
        <v>8782</v>
      </c>
      <c r="B3408" s="2" t="s">
        <v>8783</v>
      </c>
      <c r="C3408" s="1" t="s">
        <v>1031</v>
      </c>
      <c r="D3408" s="1" t="s">
        <v>1033</v>
      </c>
    </row>
    <row r="3409">
      <c r="A3409" s="1" t="s">
        <v>8784</v>
      </c>
      <c r="B3409" s="2" t="s">
        <v>8786</v>
      </c>
      <c r="C3409" s="1" t="s">
        <v>1031</v>
      </c>
      <c r="D3409" s="1" t="s">
        <v>1033</v>
      </c>
    </row>
    <row r="3410">
      <c r="A3410" s="1" t="s">
        <v>8789</v>
      </c>
      <c r="B3410" s="2" t="s">
        <v>8790</v>
      </c>
      <c r="C3410" s="1" t="s">
        <v>1031</v>
      </c>
      <c r="D3410" s="1" t="s">
        <v>1033</v>
      </c>
    </row>
    <row r="3411">
      <c r="A3411" s="1" t="s">
        <v>8791</v>
      </c>
      <c r="B3411" s="2" t="s">
        <v>8792</v>
      </c>
      <c r="C3411" s="1" t="s">
        <v>1031</v>
      </c>
      <c r="D3411" s="1" t="s">
        <v>1033</v>
      </c>
    </row>
    <row r="3412">
      <c r="A3412" s="1" t="s">
        <v>8795</v>
      </c>
      <c r="B3412" s="2" t="s">
        <v>8797</v>
      </c>
      <c r="C3412" s="1" t="s">
        <v>1031</v>
      </c>
      <c r="D3412" s="1" t="s">
        <v>1033</v>
      </c>
    </row>
    <row r="3413">
      <c r="A3413" s="1" t="s">
        <v>8798</v>
      </c>
      <c r="B3413" s="2" t="s">
        <v>8799</v>
      </c>
      <c r="C3413" s="1" t="s">
        <v>1031</v>
      </c>
      <c r="D3413" s="1" t="s">
        <v>1033</v>
      </c>
    </row>
    <row r="3414">
      <c r="A3414" s="1" t="s">
        <v>8802</v>
      </c>
      <c r="B3414" s="2" t="s">
        <v>8804</v>
      </c>
      <c r="C3414" s="1" t="s">
        <v>1031</v>
      </c>
      <c r="D3414" s="1" t="s">
        <v>1033</v>
      </c>
    </row>
    <row r="3415">
      <c r="A3415" s="1" t="s">
        <v>8806</v>
      </c>
      <c r="B3415" s="2" t="s">
        <v>8807</v>
      </c>
      <c r="C3415" s="1" t="s">
        <v>1031</v>
      </c>
      <c r="D3415" s="1" t="s">
        <v>1033</v>
      </c>
    </row>
    <row r="3416">
      <c r="A3416" s="1" t="s">
        <v>8808</v>
      </c>
      <c r="B3416" s="2" t="s">
        <v>8810</v>
      </c>
      <c r="C3416" s="1" t="s">
        <v>1031</v>
      </c>
      <c r="D3416" s="1" t="s">
        <v>1033</v>
      </c>
    </row>
    <row r="3417">
      <c r="A3417" s="1" t="s">
        <v>8812</v>
      </c>
      <c r="B3417" s="2" t="s">
        <v>8814</v>
      </c>
      <c r="C3417" s="1" t="s">
        <v>1031</v>
      </c>
      <c r="D3417" s="1" t="s">
        <v>1033</v>
      </c>
    </row>
    <row r="3418">
      <c r="A3418" s="1" t="s">
        <v>8815</v>
      </c>
      <c r="B3418" s="2" t="s">
        <v>8816</v>
      </c>
      <c r="C3418" s="1" t="s">
        <v>1031</v>
      </c>
      <c r="D3418" s="1" t="s">
        <v>1033</v>
      </c>
    </row>
    <row r="3419">
      <c r="A3419" s="1" t="s">
        <v>8817</v>
      </c>
      <c r="B3419" s="2" t="s">
        <v>8819</v>
      </c>
      <c r="C3419" s="1" t="s">
        <v>1031</v>
      </c>
      <c r="D3419" s="1" t="s">
        <v>1033</v>
      </c>
    </row>
    <row r="3420">
      <c r="A3420" s="1" t="s">
        <v>8821</v>
      </c>
      <c r="B3420" s="2" t="s">
        <v>8823</v>
      </c>
      <c r="C3420" s="1" t="s">
        <v>1031</v>
      </c>
      <c r="D3420" s="1" t="s">
        <v>1033</v>
      </c>
    </row>
    <row r="3421">
      <c r="A3421" s="1" t="s">
        <v>8824</v>
      </c>
      <c r="B3421" s="2" t="s">
        <v>8825</v>
      </c>
      <c r="C3421" s="1" t="s">
        <v>1031</v>
      </c>
      <c r="D3421" s="1" t="s">
        <v>1033</v>
      </c>
    </row>
    <row r="3422">
      <c r="A3422" s="1" t="s">
        <v>8826</v>
      </c>
      <c r="B3422" s="2" t="s">
        <v>8828</v>
      </c>
      <c r="C3422" s="1" t="s">
        <v>1031</v>
      </c>
      <c r="D3422" s="1" t="s">
        <v>1033</v>
      </c>
    </row>
    <row r="3423">
      <c r="A3423" s="1" t="s">
        <v>8830</v>
      </c>
      <c r="B3423" s="2" t="s">
        <v>8832</v>
      </c>
      <c r="C3423" s="1" t="s">
        <v>1031</v>
      </c>
      <c r="D3423" s="1" t="s">
        <v>1033</v>
      </c>
    </row>
    <row r="3424">
      <c r="A3424" s="1" t="s">
        <v>8833</v>
      </c>
      <c r="B3424" s="2" t="s">
        <v>8834</v>
      </c>
      <c r="C3424" s="1" t="s">
        <v>1031</v>
      </c>
      <c r="D3424" s="1" t="s">
        <v>1033</v>
      </c>
    </row>
    <row r="3425">
      <c r="A3425" s="1" t="s">
        <v>8836</v>
      </c>
      <c r="B3425" s="2" t="s">
        <v>8838</v>
      </c>
      <c r="C3425" s="1" t="s">
        <v>1031</v>
      </c>
      <c r="D3425" s="1" t="s">
        <v>1033</v>
      </c>
    </row>
    <row r="3426">
      <c r="A3426" s="1" t="s">
        <v>8840</v>
      </c>
      <c r="B3426" s="2" t="s">
        <v>8841</v>
      </c>
      <c r="C3426" s="1" t="s">
        <v>1031</v>
      </c>
      <c r="D3426" s="1" t="s">
        <v>1033</v>
      </c>
    </row>
    <row r="3427">
      <c r="A3427" s="1" t="s">
        <v>8843</v>
      </c>
      <c r="B3427" s="2" t="s">
        <v>8845</v>
      </c>
      <c r="C3427" s="1" t="s">
        <v>1031</v>
      </c>
      <c r="D3427" s="1" t="s">
        <v>1033</v>
      </c>
    </row>
    <row r="3428">
      <c r="A3428" s="1" t="s">
        <v>8847</v>
      </c>
      <c r="B3428" s="2" t="s">
        <v>8848</v>
      </c>
      <c r="C3428" s="1" t="s">
        <v>1031</v>
      </c>
      <c r="D3428" s="1" t="s">
        <v>1033</v>
      </c>
    </row>
    <row r="3429">
      <c r="A3429" s="1" t="s">
        <v>8850</v>
      </c>
      <c r="B3429" s="2" t="s">
        <v>8851</v>
      </c>
      <c r="C3429" s="1" t="s">
        <v>1031</v>
      </c>
      <c r="D3429" s="1" t="s">
        <v>1033</v>
      </c>
    </row>
    <row r="3430">
      <c r="A3430" s="1" t="s">
        <v>8854</v>
      </c>
      <c r="B3430" s="2" t="s">
        <v>8855</v>
      </c>
      <c r="C3430" s="1" t="s">
        <v>1031</v>
      </c>
      <c r="D3430" s="1" t="s">
        <v>1033</v>
      </c>
    </row>
    <row r="3431">
      <c r="A3431" s="1" t="s">
        <v>8856</v>
      </c>
      <c r="B3431" s="2" t="s">
        <v>8857</v>
      </c>
      <c r="C3431" s="1" t="s">
        <v>1031</v>
      </c>
      <c r="D3431" s="1" t="s">
        <v>1033</v>
      </c>
    </row>
    <row r="3432">
      <c r="A3432" s="1" t="s">
        <v>8859</v>
      </c>
      <c r="B3432" s="2" t="s">
        <v>8860</v>
      </c>
      <c r="C3432" s="1" t="s">
        <v>1031</v>
      </c>
      <c r="D3432" s="1" t="s">
        <v>1033</v>
      </c>
    </row>
    <row r="3433">
      <c r="A3433" s="1" t="s">
        <v>8863</v>
      </c>
      <c r="B3433" s="2" t="s">
        <v>8864</v>
      </c>
      <c r="C3433" s="1" t="s">
        <v>1031</v>
      </c>
      <c r="D3433" s="1" t="s">
        <v>1033</v>
      </c>
    </row>
    <row r="3434">
      <c r="A3434" s="1" t="s">
        <v>8865</v>
      </c>
      <c r="B3434" s="2" t="s">
        <v>8866</v>
      </c>
      <c r="C3434" s="1" t="s">
        <v>1031</v>
      </c>
      <c r="D3434" s="1" t="s">
        <v>1033</v>
      </c>
    </row>
    <row r="3435">
      <c r="A3435" s="1" t="s">
        <v>8868</v>
      </c>
      <c r="B3435" s="2" t="s">
        <v>8870</v>
      </c>
      <c r="C3435" s="1" t="s">
        <v>1031</v>
      </c>
      <c r="D3435" s="1" t="s">
        <v>1033</v>
      </c>
    </row>
    <row r="3436">
      <c r="A3436" s="1" t="s">
        <v>8872</v>
      </c>
      <c r="B3436" s="2" t="s">
        <v>8873</v>
      </c>
      <c r="C3436" s="1" t="s">
        <v>1031</v>
      </c>
      <c r="D3436" s="1" t="s">
        <v>1033</v>
      </c>
    </row>
    <row r="3437">
      <c r="A3437" s="1" t="s">
        <v>8874</v>
      </c>
      <c r="B3437" s="2" t="s">
        <v>8875</v>
      </c>
      <c r="C3437" s="1" t="s">
        <v>1031</v>
      </c>
      <c r="D3437" s="1" t="s">
        <v>1033</v>
      </c>
    </row>
    <row r="3438">
      <c r="A3438" s="1" t="s">
        <v>8877</v>
      </c>
      <c r="B3438" s="2" t="s">
        <v>8878</v>
      </c>
      <c r="C3438" s="1" t="s">
        <v>1031</v>
      </c>
      <c r="D3438" s="1" t="s">
        <v>1033</v>
      </c>
    </row>
    <row r="3439">
      <c r="A3439" s="1" t="s">
        <v>8880</v>
      </c>
      <c r="B3439" s="2" t="s">
        <v>8881</v>
      </c>
      <c r="C3439" s="1" t="s">
        <v>1031</v>
      </c>
      <c r="D3439" s="1" t="s">
        <v>1033</v>
      </c>
    </row>
    <row r="3440">
      <c r="A3440" s="1" t="s">
        <v>8882</v>
      </c>
      <c r="B3440" s="2" t="s">
        <v>8883</v>
      </c>
      <c r="C3440" s="1" t="s">
        <v>1031</v>
      </c>
      <c r="D3440" s="1" t="s">
        <v>1033</v>
      </c>
    </row>
    <row r="3441">
      <c r="A3441" s="1" t="s">
        <v>1051</v>
      </c>
      <c r="B3441" s="2" t="s">
        <v>7</v>
      </c>
      <c r="C3441" s="1" t="s">
        <v>1053</v>
      </c>
      <c r="D3441" s="1" t="s">
        <v>1055</v>
      </c>
    </row>
    <row r="3442">
      <c r="A3442" s="1" t="s">
        <v>8885</v>
      </c>
      <c r="B3442" s="2" t="s">
        <v>7351</v>
      </c>
      <c r="C3442" s="1" t="s">
        <v>1053</v>
      </c>
      <c r="D3442" s="1" t="s">
        <v>1055</v>
      </c>
    </row>
    <row r="3443">
      <c r="A3443" s="1" t="s">
        <v>8887</v>
      </c>
      <c r="B3443" s="2" t="s">
        <v>8888</v>
      </c>
      <c r="C3443" s="1" t="s">
        <v>1053</v>
      </c>
      <c r="D3443" s="1" t="s">
        <v>1055</v>
      </c>
    </row>
    <row r="3444">
      <c r="A3444" s="1" t="s">
        <v>8889</v>
      </c>
      <c r="B3444" s="2" t="s">
        <v>8890</v>
      </c>
      <c r="C3444" s="1" t="s">
        <v>1053</v>
      </c>
      <c r="D3444" s="1" t="s">
        <v>1055</v>
      </c>
    </row>
    <row r="3445">
      <c r="A3445" s="1" t="s">
        <v>8892</v>
      </c>
      <c r="B3445" s="2" t="s">
        <v>8893</v>
      </c>
      <c r="C3445" s="1" t="s">
        <v>1053</v>
      </c>
      <c r="D3445" s="1" t="s">
        <v>1055</v>
      </c>
    </row>
    <row r="3446">
      <c r="A3446" s="1" t="s">
        <v>8895</v>
      </c>
      <c r="B3446" s="2" t="s">
        <v>8896</v>
      </c>
      <c r="C3446" s="1" t="s">
        <v>1053</v>
      </c>
      <c r="D3446" s="1" t="s">
        <v>1055</v>
      </c>
    </row>
    <row r="3447">
      <c r="A3447" s="1" t="s">
        <v>8897</v>
      </c>
      <c r="B3447" s="2" t="s">
        <v>8898</v>
      </c>
      <c r="C3447" s="1" t="s">
        <v>1053</v>
      </c>
      <c r="D3447" s="1" t="s">
        <v>1055</v>
      </c>
    </row>
    <row r="3448">
      <c r="A3448" s="1" t="s">
        <v>8900</v>
      </c>
      <c r="B3448" s="2" t="s">
        <v>8901</v>
      </c>
      <c r="C3448" s="1" t="s">
        <v>1053</v>
      </c>
      <c r="D3448" s="1" t="s">
        <v>1055</v>
      </c>
    </row>
    <row r="3449">
      <c r="A3449" s="1" t="s">
        <v>8903</v>
      </c>
      <c r="B3449" s="2" t="s">
        <v>8904</v>
      </c>
      <c r="C3449" s="1" t="s">
        <v>1053</v>
      </c>
      <c r="D3449" s="1" t="s">
        <v>1055</v>
      </c>
    </row>
    <row r="3450">
      <c r="A3450" s="1" t="s">
        <v>8905</v>
      </c>
      <c r="B3450" s="2" t="s">
        <v>8906</v>
      </c>
      <c r="C3450" s="1" t="s">
        <v>1053</v>
      </c>
      <c r="D3450" s="1" t="s">
        <v>1055</v>
      </c>
    </row>
    <row r="3451">
      <c r="A3451" s="1" t="s">
        <v>8908</v>
      </c>
      <c r="B3451" s="2" t="s">
        <v>8910</v>
      </c>
      <c r="C3451" s="1" t="s">
        <v>1053</v>
      </c>
      <c r="D3451" s="1" t="s">
        <v>1055</v>
      </c>
    </row>
    <row r="3452">
      <c r="A3452" s="1" t="s">
        <v>8911</v>
      </c>
      <c r="B3452" s="2" t="s">
        <v>8912</v>
      </c>
      <c r="C3452" s="1" t="s">
        <v>1053</v>
      </c>
      <c r="D3452" s="1" t="s">
        <v>1055</v>
      </c>
    </row>
    <row r="3453">
      <c r="A3453" s="1" t="s">
        <v>8914</v>
      </c>
      <c r="B3453" s="2" t="s">
        <v>8915</v>
      </c>
      <c r="C3453" s="1" t="s">
        <v>1053</v>
      </c>
      <c r="D3453" s="1" t="s">
        <v>1055</v>
      </c>
    </row>
    <row r="3454">
      <c r="A3454" s="1" t="s">
        <v>8917</v>
      </c>
      <c r="B3454" s="2" t="s">
        <v>8918</v>
      </c>
      <c r="C3454" s="1" t="s">
        <v>1053</v>
      </c>
      <c r="D3454" s="1" t="s">
        <v>1055</v>
      </c>
    </row>
    <row r="3455">
      <c r="A3455" s="1" t="s">
        <v>8919</v>
      </c>
      <c r="B3455" s="2" t="s">
        <v>8920</v>
      </c>
      <c r="C3455" s="1" t="s">
        <v>1053</v>
      </c>
      <c r="D3455" s="1" t="s">
        <v>1055</v>
      </c>
    </row>
    <row r="3456">
      <c r="A3456" s="1" t="s">
        <v>8922</v>
      </c>
      <c r="B3456" s="2" t="s">
        <v>8923</v>
      </c>
      <c r="C3456" s="1" t="s">
        <v>1053</v>
      </c>
      <c r="D3456" s="1" t="s">
        <v>1055</v>
      </c>
    </row>
    <row r="3457">
      <c r="A3457" s="1" t="s">
        <v>8926</v>
      </c>
      <c r="B3457" s="2" t="s">
        <v>8927</v>
      </c>
      <c r="C3457" s="1" t="s">
        <v>1053</v>
      </c>
      <c r="D3457" s="1" t="s">
        <v>1055</v>
      </c>
    </row>
    <row r="3458">
      <c r="A3458" s="1" t="s">
        <v>8928</v>
      </c>
      <c r="B3458" s="2" t="s">
        <v>8929</v>
      </c>
      <c r="C3458" s="1" t="s">
        <v>1053</v>
      </c>
      <c r="D3458" s="1" t="s">
        <v>1055</v>
      </c>
    </row>
    <row r="3459">
      <c r="A3459" s="1" t="s">
        <v>8931</v>
      </c>
      <c r="B3459" s="2" t="s">
        <v>8932</v>
      </c>
      <c r="C3459" s="1" t="s">
        <v>1053</v>
      </c>
      <c r="D3459" s="1" t="s">
        <v>1055</v>
      </c>
    </row>
    <row r="3460">
      <c r="A3460" s="1" t="s">
        <v>8935</v>
      </c>
      <c r="B3460" s="2" t="s">
        <v>8936</v>
      </c>
      <c r="C3460" s="1" t="s">
        <v>1053</v>
      </c>
      <c r="D3460" s="1" t="s">
        <v>1055</v>
      </c>
    </row>
    <row r="3461">
      <c r="A3461" s="1" t="s">
        <v>8938</v>
      </c>
      <c r="B3461" s="2" t="s">
        <v>8939</v>
      </c>
      <c r="C3461" s="1" t="s">
        <v>1053</v>
      </c>
      <c r="D3461" s="1" t="s">
        <v>1055</v>
      </c>
    </row>
    <row r="3462">
      <c r="A3462" s="1" t="s">
        <v>8941</v>
      </c>
      <c r="B3462" s="2" t="s">
        <v>8943</v>
      </c>
      <c r="C3462" s="1" t="s">
        <v>1053</v>
      </c>
      <c r="D3462" s="1" t="s">
        <v>1055</v>
      </c>
    </row>
    <row r="3463">
      <c r="A3463" s="1" t="s">
        <v>1040</v>
      </c>
      <c r="B3463" s="2" t="s">
        <v>7</v>
      </c>
      <c r="C3463" s="1" t="s">
        <v>80</v>
      </c>
      <c r="D3463" s="1" t="s">
        <v>1043</v>
      </c>
    </row>
    <row r="3464">
      <c r="A3464" s="1" t="s">
        <v>8946</v>
      </c>
      <c r="B3464" s="2" t="s">
        <v>7351</v>
      </c>
      <c r="C3464" s="1" t="s">
        <v>80</v>
      </c>
      <c r="D3464" s="1" t="s">
        <v>1043</v>
      </c>
    </row>
    <row r="3465">
      <c r="A3465" s="1" t="s">
        <v>8949</v>
      </c>
      <c r="B3465" s="2" t="s">
        <v>8950</v>
      </c>
      <c r="C3465" s="1" t="s">
        <v>80</v>
      </c>
      <c r="D3465" s="1" t="s">
        <v>1043</v>
      </c>
    </row>
    <row r="3466">
      <c r="A3466" s="1" t="s">
        <v>8952</v>
      </c>
      <c r="B3466" s="2" t="s">
        <v>8953</v>
      </c>
      <c r="C3466" s="1" t="s">
        <v>80</v>
      </c>
      <c r="D3466" s="1" t="s">
        <v>1043</v>
      </c>
    </row>
    <row r="3467">
      <c r="A3467" s="1" t="s">
        <v>8956</v>
      </c>
      <c r="B3467" s="2" t="s">
        <v>8957</v>
      </c>
      <c r="C3467" s="1" t="s">
        <v>80</v>
      </c>
      <c r="D3467" s="1" t="s">
        <v>1043</v>
      </c>
    </row>
    <row r="3468">
      <c r="A3468" s="1" t="s">
        <v>8958</v>
      </c>
      <c r="B3468" s="2" t="s">
        <v>8959</v>
      </c>
      <c r="C3468" s="1" t="s">
        <v>80</v>
      </c>
      <c r="D3468" s="1" t="s">
        <v>1043</v>
      </c>
    </row>
    <row r="3469">
      <c r="A3469" s="1" t="s">
        <v>8962</v>
      </c>
      <c r="B3469" s="2" t="s">
        <v>8964</v>
      </c>
      <c r="C3469" s="1" t="s">
        <v>80</v>
      </c>
      <c r="D3469" s="1" t="s">
        <v>1043</v>
      </c>
    </row>
    <row r="3470">
      <c r="A3470" s="1" t="s">
        <v>8965</v>
      </c>
      <c r="B3470" s="2" t="s">
        <v>8966</v>
      </c>
      <c r="C3470" s="1" t="s">
        <v>80</v>
      </c>
      <c r="D3470" s="1" t="s">
        <v>1043</v>
      </c>
    </row>
    <row r="3471">
      <c r="A3471" s="1" t="s">
        <v>8968</v>
      </c>
      <c r="B3471" s="2" t="s">
        <v>8969</v>
      </c>
      <c r="C3471" s="1" t="s">
        <v>80</v>
      </c>
      <c r="D3471" s="1" t="s">
        <v>1043</v>
      </c>
    </row>
    <row r="3472">
      <c r="A3472" s="1" t="s">
        <v>8972</v>
      </c>
      <c r="B3472" s="2" t="s">
        <v>8973</v>
      </c>
      <c r="C3472" s="1" t="s">
        <v>80</v>
      </c>
      <c r="D3472" s="1" t="s">
        <v>1043</v>
      </c>
    </row>
    <row r="3473">
      <c r="A3473" s="1" t="s">
        <v>8974</v>
      </c>
      <c r="B3473" s="2" t="s">
        <v>8976</v>
      </c>
      <c r="C3473" s="1" t="s">
        <v>80</v>
      </c>
      <c r="D3473" s="1" t="s">
        <v>1043</v>
      </c>
    </row>
    <row r="3474">
      <c r="A3474" s="1" t="s">
        <v>8979</v>
      </c>
      <c r="B3474" s="2" t="s">
        <v>8980</v>
      </c>
      <c r="C3474" s="1" t="s">
        <v>80</v>
      </c>
      <c r="D3474" s="1" t="s">
        <v>1043</v>
      </c>
    </row>
    <row r="3475">
      <c r="A3475" s="1" t="s">
        <v>8981</v>
      </c>
      <c r="B3475" s="2" t="s">
        <v>8983</v>
      </c>
      <c r="C3475" s="1" t="s">
        <v>80</v>
      </c>
      <c r="D3475" s="1" t="s">
        <v>1043</v>
      </c>
    </row>
    <row r="3476">
      <c r="A3476" s="1" t="s">
        <v>8985</v>
      </c>
      <c r="B3476" s="2" t="s">
        <v>8943</v>
      </c>
      <c r="C3476" s="1" t="s">
        <v>80</v>
      </c>
      <c r="D3476" s="1" t="s">
        <v>1043</v>
      </c>
    </row>
    <row r="3477">
      <c r="A3477" s="1" t="s">
        <v>1067</v>
      </c>
      <c r="B3477" s="2" t="s">
        <v>7</v>
      </c>
      <c r="C3477" s="1" t="s">
        <v>1069</v>
      </c>
      <c r="D3477" s="1" t="s">
        <v>1071</v>
      </c>
    </row>
    <row r="3478">
      <c r="A3478" s="1" t="s">
        <v>8988</v>
      </c>
      <c r="B3478" s="2" t="s">
        <v>7351</v>
      </c>
      <c r="C3478" s="1" t="s">
        <v>1069</v>
      </c>
      <c r="D3478" s="1" t="s">
        <v>1071</v>
      </c>
    </row>
    <row r="3479">
      <c r="A3479" s="1" t="s">
        <v>8990</v>
      </c>
      <c r="B3479" s="2" t="s">
        <v>8888</v>
      </c>
      <c r="C3479" s="1" t="s">
        <v>1069</v>
      </c>
      <c r="D3479" s="1" t="s">
        <v>1071</v>
      </c>
    </row>
    <row r="3480">
      <c r="A3480" s="1" t="s">
        <v>8991</v>
      </c>
      <c r="B3480" s="2" t="s">
        <v>8992</v>
      </c>
      <c r="C3480" s="1" t="s">
        <v>1069</v>
      </c>
      <c r="D3480" s="1" t="s">
        <v>1071</v>
      </c>
    </row>
    <row r="3481">
      <c r="A3481" s="1" t="s">
        <v>8993</v>
      </c>
      <c r="B3481" s="2" t="s">
        <v>8995</v>
      </c>
      <c r="C3481" s="1" t="s">
        <v>1069</v>
      </c>
      <c r="D3481" s="1" t="s">
        <v>1071</v>
      </c>
    </row>
    <row r="3482">
      <c r="A3482" s="1" t="s">
        <v>8998</v>
      </c>
      <c r="B3482" s="2" t="s">
        <v>8999</v>
      </c>
      <c r="C3482" s="1" t="s">
        <v>1069</v>
      </c>
      <c r="D3482" s="1" t="s">
        <v>1071</v>
      </c>
    </row>
    <row r="3483">
      <c r="A3483" s="1" t="s">
        <v>9001</v>
      </c>
      <c r="B3483" s="2" t="s">
        <v>9002</v>
      </c>
      <c r="C3483" s="1" t="s">
        <v>1069</v>
      </c>
      <c r="D3483" s="1" t="s">
        <v>1071</v>
      </c>
    </row>
    <row r="3484">
      <c r="A3484" s="1" t="s">
        <v>9005</v>
      </c>
      <c r="B3484" s="2" t="s">
        <v>9007</v>
      </c>
      <c r="C3484" s="1" t="s">
        <v>1069</v>
      </c>
      <c r="D3484" s="1" t="s">
        <v>1071</v>
      </c>
    </row>
    <row r="3485">
      <c r="A3485" s="1" t="s">
        <v>9008</v>
      </c>
      <c r="B3485" s="2" t="s">
        <v>8915</v>
      </c>
      <c r="C3485" s="1" t="s">
        <v>1069</v>
      </c>
      <c r="D3485" s="1" t="s">
        <v>1071</v>
      </c>
    </row>
    <row r="3486">
      <c r="A3486" s="1" t="s">
        <v>9010</v>
      </c>
      <c r="B3486" s="2" t="s">
        <v>9012</v>
      </c>
      <c r="C3486" s="1" t="s">
        <v>1069</v>
      </c>
      <c r="D3486" s="1" t="s">
        <v>1071</v>
      </c>
    </row>
    <row r="3487">
      <c r="A3487" s="1" t="s">
        <v>9014</v>
      </c>
      <c r="B3487" s="2" t="s">
        <v>8943</v>
      </c>
      <c r="C3487" s="1" t="s">
        <v>1069</v>
      </c>
      <c r="D3487" s="1" t="s">
        <v>1071</v>
      </c>
    </row>
    <row r="3488">
      <c r="A3488" s="1" t="s">
        <v>1058</v>
      </c>
      <c r="B3488" s="2" t="s">
        <v>7</v>
      </c>
      <c r="C3488" s="1" t="s">
        <v>100</v>
      </c>
      <c r="D3488" s="1" t="s">
        <v>1061</v>
      </c>
    </row>
    <row r="3489">
      <c r="A3489" s="1" t="s">
        <v>9018</v>
      </c>
      <c r="B3489" s="2" t="s">
        <v>7351</v>
      </c>
      <c r="C3489" s="1" t="s">
        <v>100</v>
      </c>
      <c r="D3489" s="1" t="s">
        <v>1061</v>
      </c>
    </row>
    <row r="3490">
      <c r="A3490" s="1" t="s">
        <v>9020</v>
      </c>
      <c r="B3490" s="2" t="s">
        <v>8950</v>
      </c>
      <c r="C3490" s="1" t="s">
        <v>100</v>
      </c>
      <c r="D3490" s="1" t="s">
        <v>1061</v>
      </c>
    </row>
    <row r="3491">
      <c r="A3491" s="1" t="s">
        <v>9023</v>
      </c>
      <c r="B3491" s="2" t="s">
        <v>9024</v>
      </c>
      <c r="C3491" s="1" t="s">
        <v>100</v>
      </c>
      <c r="D3491" s="1" t="s">
        <v>1061</v>
      </c>
    </row>
    <row r="3492">
      <c r="A3492" s="1" t="s">
        <v>9028</v>
      </c>
      <c r="B3492" s="2" t="s">
        <v>9029</v>
      </c>
      <c r="C3492" s="1" t="s">
        <v>100</v>
      </c>
      <c r="D3492" s="1" t="s">
        <v>1061</v>
      </c>
    </row>
    <row r="3493">
      <c r="A3493" s="1" t="s">
        <v>9031</v>
      </c>
      <c r="B3493" s="2" t="s">
        <v>9034</v>
      </c>
      <c r="C3493" s="1" t="s">
        <v>100</v>
      </c>
      <c r="D3493" s="1" t="s">
        <v>1061</v>
      </c>
    </row>
    <row r="3494">
      <c r="A3494" s="1" t="s">
        <v>9035</v>
      </c>
      <c r="B3494" s="2" t="s">
        <v>9036</v>
      </c>
      <c r="C3494" s="1" t="s">
        <v>100</v>
      </c>
      <c r="D3494" s="1" t="s">
        <v>1061</v>
      </c>
    </row>
    <row r="3495">
      <c r="A3495" s="1" t="s">
        <v>9038</v>
      </c>
      <c r="B3495" s="2" t="s">
        <v>9039</v>
      </c>
      <c r="C3495" s="1" t="s">
        <v>100</v>
      </c>
      <c r="D3495" s="1" t="s">
        <v>1061</v>
      </c>
    </row>
    <row r="3496">
      <c r="A3496" s="1" t="s">
        <v>9042</v>
      </c>
      <c r="B3496" s="2" t="s">
        <v>9043</v>
      </c>
      <c r="C3496" s="1" t="s">
        <v>100</v>
      </c>
      <c r="D3496" s="1" t="s">
        <v>1061</v>
      </c>
    </row>
    <row r="3497">
      <c r="A3497" s="1" t="s">
        <v>9044</v>
      </c>
      <c r="B3497" s="2" t="s">
        <v>9046</v>
      </c>
      <c r="C3497" s="1" t="s">
        <v>100</v>
      </c>
      <c r="D3497" s="1" t="s">
        <v>1061</v>
      </c>
    </row>
    <row r="3498">
      <c r="A3498" s="1" t="s">
        <v>9048</v>
      </c>
      <c r="B3498" s="2" t="s">
        <v>9050</v>
      </c>
      <c r="C3498" s="1" t="s">
        <v>100</v>
      </c>
      <c r="D3498" s="1" t="s">
        <v>1061</v>
      </c>
    </row>
    <row r="3499">
      <c r="A3499" s="1" t="s">
        <v>9051</v>
      </c>
      <c r="B3499" s="2" t="s">
        <v>9052</v>
      </c>
      <c r="C3499" s="1" t="s">
        <v>100</v>
      </c>
      <c r="D3499" s="1" t="s">
        <v>1061</v>
      </c>
    </row>
    <row r="3500">
      <c r="A3500" s="1" t="s">
        <v>9054</v>
      </c>
      <c r="B3500" s="2" t="s">
        <v>8983</v>
      </c>
      <c r="C3500" s="1" t="s">
        <v>100</v>
      </c>
      <c r="D3500" s="1" t="s">
        <v>1061</v>
      </c>
    </row>
    <row r="3501">
      <c r="A3501" s="1" t="s">
        <v>9056</v>
      </c>
      <c r="B3501" s="2" t="s">
        <v>8943</v>
      </c>
      <c r="C3501" s="1" t="s">
        <v>100</v>
      </c>
      <c r="D3501" s="1" t="s">
        <v>1061</v>
      </c>
    </row>
    <row r="3502">
      <c r="A3502" s="1" t="s">
        <v>1087</v>
      </c>
      <c r="B3502" s="2" t="s">
        <v>7</v>
      </c>
      <c r="C3502" s="1" t="s">
        <v>1089</v>
      </c>
      <c r="D3502" s="1" t="s">
        <v>1091</v>
      </c>
    </row>
    <row r="3503">
      <c r="A3503" s="1" t="s">
        <v>9058</v>
      </c>
      <c r="B3503" s="2" t="s">
        <v>7351</v>
      </c>
      <c r="C3503" s="1" t="s">
        <v>1089</v>
      </c>
      <c r="D3503" s="1" t="s">
        <v>1091</v>
      </c>
    </row>
    <row r="3504">
      <c r="A3504" s="1" t="s">
        <v>9060</v>
      </c>
      <c r="B3504" s="2" t="s">
        <v>8888</v>
      </c>
      <c r="C3504" s="1" t="s">
        <v>1089</v>
      </c>
      <c r="D3504" s="1" t="s">
        <v>1091</v>
      </c>
    </row>
    <row r="3505">
      <c r="A3505" s="1" t="s">
        <v>9061</v>
      </c>
      <c r="B3505" s="2" t="s">
        <v>9007</v>
      </c>
      <c r="C3505" s="1" t="s">
        <v>1089</v>
      </c>
      <c r="D3505" s="1" t="s">
        <v>1091</v>
      </c>
    </row>
    <row r="3506">
      <c r="A3506" s="1" t="s">
        <v>9063</v>
      </c>
      <c r="B3506" s="2" t="s">
        <v>9064</v>
      </c>
      <c r="C3506" s="1" t="s">
        <v>1089</v>
      </c>
      <c r="D3506" s="1" t="s">
        <v>1091</v>
      </c>
    </row>
    <row r="3507">
      <c r="A3507" s="1" t="s">
        <v>9067</v>
      </c>
      <c r="B3507" s="2" t="s">
        <v>8915</v>
      </c>
      <c r="C3507" s="1" t="s">
        <v>1089</v>
      </c>
      <c r="D3507" s="1" t="s">
        <v>1091</v>
      </c>
    </row>
    <row r="3508">
      <c r="A3508" s="1" t="s">
        <v>9068</v>
      </c>
      <c r="B3508" s="2" t="s">
        <v>9012</v>
      </c>
      <c r="C3508" s="1" t="s">
        <v>1089</v>
      </c>
      <c r="D3508" s="1" t="s">
        <v>1091</v>
      </c>
    </row>
    <row r="3509">
      <c r="A3509" s="1" t="s">
        <v>9070</v>
      </c>
      <c r="B3509" s="2" t="s">
        <v>8943</v>
      </c>
      <c r="C3509" s="1" t="s">
        <v>1089</v>
      </c>
      <c r="D3509" s="1" t="s">
        <v>1091</v>
      </c>
    </row>
    <row r="3510">
      <c r="A3510" s="1" t="s">
        <v>1078</v>
      </c>
      <c r="B3510" s="2" t="s">
        <v>7</v>
      </c>
      <c r="C3510" s="1" t="s">
        <v>118</v>
      </c>
      <c r="D3510" s="1" t="s">
        <v>1081</v>
      </c>
    </row>
    <row r="3511">
      <c r="A3511" s="1" t="s">
        <v>9072</v>
      </c>
      <c r="B3511" s="2" t="s">
        <v>7351</v>
      </c>
      <c r="C3511" s="1" t="s">
        <v>118</v>
      </c>
      <c r="D3511" s="1" t="s">
        <v>1081</v>
      </c>
    </row>
    <row r="3512">
      <c r="A3512" s="1" t="s">
        <v>9074</v>
      </c>
      <c r="B3512" s="2" t="s">
        <v>8950</v>
      </c>
      <c r="C3512" s="1" t="s">
        <v>118</v>
      </c>
      <c r="D3512" s="1" t="s">
        <v>1081</v>
      </c>
    </row>
    <row r="3513">
      <c r="A3513" s="1" t="s">
        <v>9077</v>
      </c>
      <c r="B3513" s="2" t="s">
        <v>9046</v>
      </c>
      <c r="C3513" s="1" t="s">
        <v>118</v>
      </c>
      <c r="D3513" s="1" t="s">
        <v>1081</v>
      </c>
    </row>
    <row r="3514">
      <c r="A3514" s="1" t="s">
        <v>9078</v>
      </c>
      <c r="B3514" s="2" t="s">
        <v>9050</v>
      </c>
      <c r="C3514" s="1" t="s">
        <v>118</v>
      </c>
      <c r="D3514" s="1" t="s">
        <v>1081</v>
      </c>
    </row>
    <row r="3515">
      <c r="A3515" s="1" t="s">
        <v>9080</v>
      </c>
      <c r="B3515" s="2" t="s">
        <v>9052</v>
      </c>
      <c r="C3515" s="1" t="s">
        <v>118</v>
      </c>
      <c r="D3515" s="1" t="s">
        <v>1081</v>
      </c>
    </row>
    <row r="3516">
      <c r="A3516" s="1" t="s">
        <v>9081</v>
      </c>
      <c r="B3516" s="2" t="s">
        <v>8973</v>
      </c>
      <c r="C3516" s="1" t="s">
        <v>118</v>
      </c>
      <c r="D3516" s="1" t="s">
        <v>1081</v>
      </c>
    </row>
    <row r="3517">
      <c r="A3517" s="1" t="s">
        <v>9082</v>
      </c>
      <c r="B3517" s="2" t="s">
        <v>8976</v>
      </c>
      <c r="C3517" s="1" t="s">
        <v>118</v>
      </c>
      <c r="D3517" s="1" t="s">
        <v>1081</v>
      </c>
    </row>
    <row r="3518">
      <c r="A3518" s="1" t="s">
        <v>9083</v>
      </c>
      <c r="B3518" s="2" t="s">
        <v>8980</v>
      </c>
      <c r="C3518" s="1" t="s">
        <v>118</v>
      </c>
      <c r="D3518" s="1" t="s">
        <v>1081</v>
      </c>
    </row>
    <row r="3519">
      <c r="A3519" s="1" t="s">
        <v>9084</v>
      </c>
      <c r="B3519" s="2" t="s">
        <v>8983</v>
      </c>
      <c r="C3519" s="1" t="s">
        <v>118</v>
      </c>
      <c r="D3519" s="1" t="s">
        <v>1081</v>
      </c>
    </row>
    <row r="3520">
      <c r="A3520" s="1" t="s">
        <v>9087</v>
      </c>
      <c r="B3520" s="2" t="s">
        <v>8943</v>
      </c>
      <c r="C3520" s="1" t="s">
        <v>118</v>
      </c>
      <c r="D3520" s="1" t="s">
        <v>1081</v>
      </c>
    </row>
    <row r="3521">
      <c r="A3521" s="1" t="s">
        <v>1103</v>
      </c>
      <c r="B3521" s="2" t="s">
        <v>7</v>
      </c>
      <c r="C3521" s="1" t="s">
        <v>1105</v>
      </c>
      <c r="D3521" s="1" t="s">
        <v>1107</v>
      </c>
    </row>
    <row r="3522">
      <c r="A3522" s="1" t="s">
        <v>9089</v>
      </c>
      <c r="B3522" s="2" t="s">
        <v>7351</v>
      </c>
      <c r="C3522" s="1" t="s">
        <v>1105</v>
      </c>
      <c r="D3522" s="1" t="s">
        <v>1107</v>
      </c>
    </row>
    <row r="3523">
      <c r="A3523" s="1" t="s">
        <v>9092</v>
      </c>
      <c r="B3523" s="2" t="s">
        <v>8888</v>
      </c>
      <c r="C3523" s="1" t="s">
        <v>1105</v>
      </c>
      <c r="D3523" s="1" t="s">
        <v>1107</v>
      </c>
    </row>
    <row r="3524">
      <c r="A3524" s="1" t="s">
        <v>9094</v>
      </c>
      <c r="B3524" s="2" t="s">
        <v>9095</v>
      </c>
      <c r="C3524" s="1" t="s">
        <v>1105</v>
      </c>
      <c r="D3524" s="1" t="s">
        <v>1107</v>
      </c>
    </row>
    <row r="3525">
      <c r="A3525" s="1" t="s">
        <v>9097</v>
      </c>
      <c r="B3525" s="2" t="s">
        <v>9099</v>
      </c>
      <c r="C3525" s="1" t="s">
        <v>1105</v>
      </c>
      <c r="D3525" s="1" t="s">
        <v>1107</v>
      </c>
    </row>
    <row r="3526">
      <c r="A3526" s="1" t="s">
        <v>9101</v>
      </c>
      <c r="B3526" s="2" t="s">
        <v>9102</v>
      </c>
      <c r="C3526" s="1" t="s">
        <v>1105</v>
      </c>
      <c r="D3526" s="1" t="s">
        <v>1107</v>
      </c>
    </row>
    <row r="3527">
      <c r="A3527" s="1" t="s">
        <v>9103</v>
      </c>
      <c r="B3527" s="2" t="s">
        <v>9105</v>
      </c>
      <c r="C3527" s="1" t="s">
        <v>1105</v>
      </c>
      <c r="D3527" s="1" t="s">
        <v>1107</v>
      </c>
    </row>
    <row r="3528">
      <c r="A3528" s="1" t="s">
        <v>9107</v>
      </c>
      <c r="B3528" s="2" t="s">
        <v>9109</v>
      </c>
      <c r="C3528" s="1" t="s">
        <v>1105</v>
      </c>
      <c r="D3528" s="1" t="s">
        <v>1107</v>
      </c>
    </row>
    <row r="3529">
      <c r="A3529" s="1" t="s">
        <v>9110</v>
      </c>
      <c r="B3529" s="2" t="s">
        <v>9111</v>
      </c>
      <c r="C3529" s="1" t="s">
        <v>1105</v>
      </c>
      <c r="D3529" s="1" t="s">
        <v>1107</v>
      </c>
    </row>
    <row r="3530">
      <c r="A3530" s="1" t="s">
        <v>9112</v>
      </c>
      <c r="B3530" s="2" t="s">
        <v>8918</v>
      </c>
      <c r="C3530" s="1" t="s">
        <v>1105</v>
      </c>
      <c r="D3530" s="1" t="s">
        <v>1107</v>
      </c>
    </row>
    <row r="3531">
      <c r="A3531" s="1" t="s">
        <v>9115</v>
      </c>
      <c r="B3531" s="2" t="s">
        <v>9117</v>
      </c>
      <c r="C3531" s="1" t="s">
        <v>1105</v>
      </c>
      <c r="D3531" s="1" t="s">
        <v>1107</v>
      </c>
    </row>
    <row r="3532">
      <c r="A3532" s="1" t="s">
        <v>9118</v>
      </c>
      <c r="B3532" s="2" t="s">
        <v>9119</v>
      </c>
      <c r="C3532" s="1" t="s">
        <v>1105</v>
      </c>
      <c r="D3532" s="1" t="s">
        <v>1107</v>
      </c>
    </row>
    <row r="3533">
      <c r="A3533" s="1" t="s">
        <v>9121</v>
      </c>
      <c r="B3533" s="2" t="s">
        <v>9122</v>
      </c>
      <c r="C3533" s="1" t="s">
        <v>1105</v>
      </c>
      <c r="D3533" s="1" t="s">
        <v>1107</v>
      </c>
    </row>
    <row r="3534">
      <c r="A3534" s="1" t="s">
        <v>9125</v>
      </c>
      <c r="B3534" s="2" t="s">
        <v>9126</v>
      </c>
      <c r="C3534" s="1" t="s">
        <v>1105</v>
      </c>
      <c r="D3534" s="1" t="s">
        <v>1107</v>
      </c>
    </row>
    <row r="3535">
      <c r="A3535" s="1" t="s">
        <v>9127</v>
      </c>
      <c r="B3535" s="2" t="s">
        <v>9128</v>
      </c>
      <c r="C3535" s="1" t="s">
        <v>1105</v>
      </c>
      <c r="D3535" s="1" t="s">
        <v>1107</v>
      </c>
    </row>
    <row r="3536">
      <c r="A3536" s="1" t="s">
        <v>9129</v>
      </c>
      <c r="B3536" s="2" t="s">
        <v>9130</v>
      </c>
      <c r="C3536" s="1" t="s">
        <v>1105</v>
      </c>
      <c r="D3536" s="1" t="s">
        <v>1107</v>
      </c>
    </row>
    <row r="3537">
      <c r="A3537" s="1" t="s">
        <v>9131</v>
      </c>
      <c r="B3537" s="2" t="s">
        <v>9132</v>
      </c>
      <c r="C3537" s="1" t="s">
        <v>1105</v>
      </c>
      <c r="D3537" s="1" t="s">
        <v>1107</v>
      </c>
    </row>
    <row r="3538">
      <c r="A3538" s="1" t="s">
        <v>1096</v>
      </c>
      <c r="B3538" s="2" t="s">
        <v>7</v>
      </c>
      <c r="C3538" s="1" t="s">
        <v>133</v>
      </c>
      <c r="D3538" s="1" t="s">
        <v>1099</v>
      </c>
    </row>
    <row r="3539">
      <c r="A3539" s="1" t="s">
        <v>9133</v>
      </c>
      <c r="B3539" s="2" t="s">
        <v>7351</v>
      </c>
      <c r="C3539" s="1" t="s">
        <v>133</v>
      </c>
      <c r="D3539" s="1" t="s">
        <v>1099</v>
      </c>
    </row>
    <row r="3540">
      <c r="A3540" s="1" t="s">
        <v>9134</v>
      </c>
      <c r="B3540" s="2" t="s">
        <v>8950</v>
      </c>
      <c r="C3540" s="1" t="s">
        <v>133</v>
      </c>
      <c r="D3540" s="1" t="s">
        <v>1099</v>
      </c>
    </row>
    <row r="3541">
      <c r="A3541" s="1" t="s">
        <v>9135</v>
      </c>
      <c r="B3541" s="2" t="s">
        <v>9136</v>
      </c>
      <c r="C3541" s="1" t="s">
        <v>133</v>
      </c>
      <c r="D3541" s="1" t="s">
        <v>1099</v>
      </c>
    </row>
    <row r="3542">
      <c r="A3542" s="1" t="s">
        <v>9137</v>
      </c>
      <c r="B3542" s="2" t="s">
        <v>9138</v>
      </c>
      <c r="C3542" s="1" t="s">
        <v>133</v>
      </c>
      <c r="D3542" s="1" t="s">
        <v>1099</v>
      </c>
    </row>
    <row r="3543">
      <c r="A3543" s="1" t="s">
        <v>9139</v>
      </c>
      <c r="B3543" s="2" t="s">
        <v>9140</v>
      </c>
      <c r="C3543" s="1" t="s">
        <v>133</v>
      </c>
      <c r="D3543" s="1" t="s">
        <v>1099</v>
      </c>
    </row>
    <row r="3544">
      <c r="A3544" s="1" t="s">
        <v>9141</v>
      </c>
      <c r="B3544" s="2" t="s">
        <v>9142</v>
      </c>
      <c r="C3544" s="1" t="s">
        <v>133</v>
      </c>
      <c r="D3544" s="1" t="s">
        <v>1099</v>
      </c>
    </row>
    <row r="3545">
      <c r="A3545" s="1" t="s">
        <v>9143</v>
      </c>
      <c r="B3545" s="2" t="s">
        <v>9144</v>
      </c>
      <c r="C3545" s="1" t="s">
        <v>133</v>
      </c>
      <c r="D3545" s="1" t="s">
        <v>1099</v>
      </c>
    </row>
    <row r="3546">
      <c r="A3546" s="1" t="s">
        <v>9146</v>
      </c>
      <c r="B3546" s="2" t="s">
        <v>9147</v>
      </c>
      <c r="C3546" s="1" t="s">
        <v>133</v>
      </c>
      <c r="D3546" s="1" t="s">
        <v>1099</v>
      </c>
    </row>
    <row r="3547">
      <c r="A3547" s="1" t="s">
        <v>9150</v>
      </c>
      <c r="B3547" s="2" t="s">
        <v>9151</v>
      </c>
      <c r="C3547" s="1" t="s">
        <v>133</v>
      </c>
      <c r="D3547" s="1" t="s">
        <v>1099</v>
      </c>
    </row>
    <row r="3548">
      <c r="A3548" s="1" t="s">
        <v>9152</v>
      </c>
      <c r="B3548" s="2" t="s">
        <v>9153</v>
      </c>
      <c r="C3548" s="1" t="s">
        <v>133</v>
      </c>
      <c r="D3548" s="1" t="s">
        <v>1099</v>
      </c>
    </row>
    <row r="3549">
      <c r="A3549" s="1" t="s">
        <v>9154</v>
      </c>
      <c r="B3549" s="2" t="s">
        <v>9155</v>
      </c>
      <c r="C3549" s="1" t="s">
        <v>133</v>
      </c>
      <c r="D3549" s="1" t="s">
        <v>1099</v>
      </c>
    </row>
    <row r="3550">
      <c r="A3550" s="1" t="s">
        <v>9157</v>
      </c>
      <c r="B3550" s="2" t="s">
        <v>9159</v>
      </c>
      <c r="C3550" s="1" t="s">
        <v>133</v>
      </c>
      <c r="D3550" s="1" t="s">
        <v>1099</v>
      </c>
    </row>
    <row r="3551">
      <c r="A3551" s="1" t="s">
        <v>9161</v>
      </c>
      <c r="B3551" s="2" t="s">
        <v>9162</v>
      </c>
      <c r="C3551" s="1" t="s">
        <v>133</v>
      </c>
      <c r="D3551" s="1" t="s">
        <v>1099</v>
      </c>
    </row>
    <row r="3552">
      <c r="A3552" s="1" t="s">
        <v>9163</v>
      </c>
      <c r="B3552" s="2" t="s">
        <v>9165</v>
      </c>
      <c r="C3552" s="1" t="s">
        <v>133</v>
      </c>
      <c r="D3552" s="1" t="s">
        <v>1099</v>
      </c>
    </row>
    <row r="3553">
      <c r="A3553" s="1" t="s">
        <v>9167</v>
      </c>
      <c r="B3553" s="2" t="s">
        <v>9169</v>
      </c>
      <c r="C3553" s="1" t="s">
        <v>133</v>
      </c>
      <c r="D3553" s="1" t="s">
        <v>1099</v>
      </c>
    </row>
    <row r="3554">
      <c r="A3554" s="1" t="s">
        <v>9170</v>
      </c>
      <c r="B3554" s="2" t="s">
        <v>9171</v>
      </c>
      <c r="C3554" s="1" t="s">
        <v>133</v>
      </c>
      <c r="D3554" s="1" t="s">
        <v>1099</v>
      </c>
    </row>
    <row r="3555">
      <c r="A3555" s="1" t="s">
        <v>9173</v>
      </c>
      <c r="B3555" s="2" t="s">
        <v>9174</v>
      </c>
      <c r="C3555" s="1" t="s">
        <v>133</v>
      </c>
      <c r="D3555" s="1" t="s">
        <v>1099</v>
      </c>
    </row>
    <row r="3556">
      <c r="A3556" s="1" t="s">
        <v>9177</v>
      </c>
      <c r="B3556" s="2" t="s">
        <v>9178</v>
      </c>
      <c r="C3556" s="1" t="s">
        <v>133</v>
      </c>
      <c r="D3556" s="1" t="s">
        <v>1099</v>
      </c>
    </row>
    <row r="3557">
      <c r="A3557" s="1" t="s">
        <v>1121</v>
      </c>
      <c r="B3557" s="2" t="s">
        <v>1114</v>
      </c>
      <c r="C3557" s="1" t="s">
        <v>1124</v>
      </c>
      <c r="D3557" s="1" t="s">
        <v>1125</v>
      </c>
    </row>
    <row r="3558">
      <c r="A3558" s="1" t="s">
        <v>9181</v>
      </c>
      <c r="B3558" s="2" t="s">
        <v>9183</v>
      </c>
      <c r="C3558" s="1" t="s">
        <v>1124</v>
      </c>
      <c r="D3558" s="1" t="s">
        <v>1125</v>
      </c>
    </row>
    <row r="3559">
      <c r="A3559" s="1" t="s">
        <v>9184</v>
      </c>
      <c r="B3559" s="2" t="s">
        <v>9185</v>
      </c>
      <c r="C3559" s="1" t="s">
        <v>1124</v>
      </c>
      <c r="D3559" s="1" t="s">
        <v>1125</v>
      </c>
    </row>
    <row r="3560">
      <c r="A3560" s="1" t="s">
        <v>9186</v>
      </c>
      <c r="B3560" s="2" t="s">
        <v>9187</v>
      </c>
      <c r="C3560" s="1" t="s">
        <v>1124</v>
      </c>
      <c r="D3560" s="1" t="s">
        <v>1125</v>
      </c>
    </row>
    <row r="3561">
      <c r="A3561" s="1" t="s">
        <v>9189</v>
      </c>
      <c r="B3561" s="2" t="s">
        <v>9191</v>
      </c>
      <c r="C3561" s="1" t="s">
        <v>1124</v>
      </c>
      <c r="D3561" s="1" t="s">
        <v>1125</v>
      </c>
    </row>
    <row r="3562">
      <c r="A3562" s="1" t="s">
        <v>9192</v>
      </c>
      <c r="B3562" s="2" t="s">
        <v>9193</v>
      </c>
      <c r="C3562" s="1" t="s">
        <v>1124</v>
      </c>
      <c r="D3562" s="1" t="s">
        <v>1125</v>
      </c>
    </row>
    <row r="3563">
      <c r="A3563" s="1" t="s">
        <v>9194</v>
      </c>
      <c r="B3563" s="2" t="s">
        <v>9196</v>
      </c>
      <c r="C3563" s="1" t="s">
        <v>1124</v>
      </c>
      <c r="D3563" s="1" t="s">
        <v>1125</v>
      </c>
    </row>
    <row r="3564">
      <c r="A3564" s="1" t="s">
        <v>9197</v>
      </c>
      <c r="B3564" s="2" t="s">
        <v>9198</v>
      </c>
      <c r="C3564" s="1" t="s">
        <v>1124</v>
      </c>
      <c r="D3564" s="1" t="s">
        <v>1125</v>
      </c>
    </row>
    <row r="3565">
      <c r="A3565" s="1" t="s">
        <v>9200</v>
      </c>
      <c r="B3565" s="2" t="s">
        <v>9201</v>
      </c>
      <c r="C3565" s="1" t="s">
        <v>1124</v>
      </c>
      <c r="D3565" s="1" t="s">
        <v>1125</v>
      </c>
    </row>
    <row r="3566">
      <c r="A3566" s="1" t="s">
        <v>9204</v>
      </c>
      <c r="B3566" s="2" t="s">
        <v>9205</v>
      </c>
      <c r="C3566" s="1" t="s">
        <v>1124</v>
      </c>
      <c r="D3566" s="1" t="s">
        <v>1125</v>
      </c>
    </row>
    <row r="3567">
      <c r="A3567" s="1" t="s">
        <v>9206</v>
      </c>
      <c r="B3567" s="2" t="s">
        <v>9207</v>
      </c>
      <c r="C3567" s="1" t="s">
        <v>1124</v>
      </c>
      <c r="D3567" s="1" t="s">
        <v>1125</v>
      </c>
    </row>
    <row r="3568">
      <c r="A3568" s="1" t="s">
        <v>9209</v>
      </c>
      <c r="B3568" s="2" t="s">
        <v>9211</v>
      </c>
      <c r="C3568" s="1" t="s">
        <v>1124</v>
      </c>
      <c r="D3568" s="1" t="s">
        <v>1125</v>
      </c>
    </row>
    <row r="3569">
      <c r="A3569" s="1" t="s">
        <v>9213</v>
      </c>
      <c r="B3569" s="2" t="s">
        <v>9214</v>
      </c>
      <c r="C3569" s="1" t="s">
        <v>1124</v>
      </c>
      <c r="D3569" s="1" t="s">
        <v>1125</v>
      </c>
    </row>
    <row r="3570">
      <c r="A3570" s="1" t="s">
        <v>9216</v>
      </c>
      <c r="B3570" s="2" t="s">
        <v>9217</v>
      </c>
      <c r="C3570" s="1" t="s">
        <v>1124</v>
      </c>
      <c r="D3570" s="1" t="s">
        <v>1125</v>
      </c>
    </row>
    <row r="3571">
      <c r="A3571" s="1" t="s">
        <v>9219</v>
      </c>
      <c r="B3571" s="2" t="s">
        <v>9221</v>
      </c>
      <c r="C3571" s="1" t="s">
        <v>1124</v>
      </c>
      <c r="D3571" s="1" t="s">
        <v>1125</v>
      </c>
    </row>
    <row r="3572">
      <c r="A3572" s="1" t="s">
        <v>9223</v>
      </c>
      <c r="B3572" s="2" t="s">
        <v>9224</v>
      </c>
      <c r="C3572" s="1" t="s">
        <v>1124</v>
      </c>
      <c r="D3572" s="1" t="s">
        <v>1125</v>
      </c>
    </row>
    <row r="3573">
      <c r="A3573" s="1" t="s">
        <v>9225</v>
      </c>
      <c r="B3573" s="2" t="s">
        <v>9227</v>
      </c>
      <c r="C3573" s="1" t="s">
        <v>1124</v>
      </c>
      <c r="D3573" s="1" t="s">
        <v>1125</v>
      </c>
    </row>
    <row r="3574">
      <c r="A3574" s="1" t="s">
        <v>9229</v>
      </c>
      <c r="B3574" s="2" t="s">
        <v>9231</v>
      </c>
      <c r="C3574" s="1" t="s">
        <v>1124</v>
      </c>
      <c r="D3574" s="1" t="s">
        <v>1125</v>
      </c>
    </row>
    <row r="3575">
      <c r="A3575" s="1" t="s">
        <v>9232</v>
      </c>
      <c r="B3575" s="2" t="s">
        <v>9233</v>
      </c>
      <c r="C3575" s="1" t="s">
        <v>1124</v>
      </c>
      <c r="D3575" s="1" t="s">
        <v>1125</v>
      </c>
    </row>
    <row r="3576">
      <c r="A3576" s="1" t="s">
        <v>9234</v>
      </c>
      <c r="B3576" s="2" t="s">
        <v>9236</v>
      </c>
      <c r="C3576" s="1" t="s">
        <v>1124</v>
      </c>
      <c r="D3576" s="1" t="s">
        <v>1125</v>
      </c>
    </row>
    <row r="3577">
      <c r="A3577" s="1" t="s">
        <v>9239</v>
      </c>
      <c r="B3577" s="2" t="s">
        <v>9240</v>
      </c>
      <c r="C3577" s="1" t="s">
        <v>1124</v>
      </c>
      <c r="D3577" s="1" t="s">
        <v>1125</v>
      </c>
    </row>
    <row r="3578">
      <c r="A3578" s="1" t="s">
        <v>9241</v>
      </c>
      <c r="B3578" s="2" t="s">
        <v>9242</v>
      </c>
      <c r="C3578" s="1" t="s">
        <v>1124</v>
      </c>
      <c r="D3578" s="1" t="s">
        <v>1125</v>
      </c>
    </row>
    <row r="3579">
      <c r="A3579" s="1" t="s">
        <v>9243</v>
      </c>
      <c r="B3579" s="2" t="s">
        <v>9244</v>
      </c>
      <c r="C3579" s="1" t="s">
        <v>1124</v>
      </c>
      <c r="D3579" s="1" t="s">
        <v>1125</v>
      </c>
    </row>
    <row r="3580">
      <c r="A3580" s="1" t="s">
        <v>9245</v>
      </c>
      <c r="B3580" s="2" t="s">
        <v>9246</v>
      </c>
      <c r="C3580" s="1" t="s">
        <v>1124</v>
      </c>
      <c r="D3580" s="1" t="s">
        <v>1125</v>
      </c>
    </row>
    <row r="3581">
      <c r="A3581" s="1" t="s">
        <v>9248</v>
      </c>
      <c r="B3581" s="2" t="s">
        <v>9250</v>
      </c>
      <c r="C3581" s="1" t="s">
        <v>1124</v>
      </c>
      <c r="D3581" s="1" t="s">
        <v>1125</v>
      </c>
    </row>
    <row r="3582">
      <c r="A3582" s="1" t="s">
        <v>9252</v>
      </c>
      <c r="B3582" s="2" t="s">
        <v>9253</v>
      </c>
      <c r="C3582" s="1" t="s">
        <v>1124</v>
      </c>
      <c r="D3582" s="1" t="s">
        <v>1125</v>
      </c>
    </row>
    <row r="3583">
      <c r="A3583" s="1" t="s">
        <v>9254</v>
      </c>
      <c r="B3583" s="2" t="s">
        <v>9255</v>
      </c>
      <c r="C3583" s="1" t="s">
        <v>1124</v>
      </c>
      <c r="D3583" s="1" t="s">
        <v>1125</v>
      </c>
    </row>
    <row r="3584">
      <c r="A3584" s="1" t="s">
        <v>9257</v>
      </c>
      <c r="B3584" s="2" t="s">
        <v>9259</v>
      </c>
      <c r="C3584" s="1" t="s">
        <v>1124</v>
      </c>
      <c r="D3584" s="1" t="s">
        <v>1125</v>
      </c>
    </row>
    <row r="3585">
      <c r="A3585" s="1" t="s">
        <v>9261</v>
      </c>
      <c r="B3585" s="2" t="s">
        <v>9262</v>
      </c>
      <c r="C3585" s="1" t="s">
        <v>1124</v>
      </c>
      <c r="D3585" s="1" t="s">
        <v>1125</v>
      </c>
    </row>
    <row r="3586">
      <c r="A3586" s="1" t="s">
        <v>9263</v>
      </c>
      <c r="B3586" s="2" t="s">
        <v>9264</v>
      </c>
      <c r="C3586" s="1" t="s">
        <v>1124</v>
      </c>
      <c r="D3586" s="1" t="s">
        <v>1125</v>
      </c>
    </row>
    <row r="3587">
      <c r="A3587" s="1" t="s">
        <v>9266</v>
      </c>
      <c r="B3587" s="2" t="s">
        <v>9268</v>
      </c>
      <c r="C3587" s="1" t="s">
        <v>1124</v>
      </c>
      <c r="D3587" s="1" t="s">
        <v>1125</v>
      </c>
    </row>
    <row r="3588">
      <c r="A3588" s="1" t="s">
        <v>9270</v>
      </c>
      <c r="B3588" s="2" t="s">
        <v>9271</v>
      </c>
      <c r="C3588" s="1" t="s">
        <v>1124</v>
      </c>
      <c r="D3588" s="1" t="s">
        <v>1125</v>
      </c>
    </row>
    <row r="3589">
      <c r="A3589" s="1" t="s">
        <v>9273</v>
      </c>
      <c r="B3589" s="2" t="s">
        <v>9275</v>
      </c>
      <c r="C3589" s="1" t="s">
        <v>1124</v>
      </c>
      <c r="D3589" s="1" t="s">
        <v>1125</v>
      </c>
    </row>
    <row r="3590">
      <c r="A3590" s="1" t="s">
        <v>9277</v>
      </c>
      <c r="B3590" s="2" t="s">
        <v>9278</v>
      </c>
      <c r="C3590" s="1" t="s">
        <v>1124</v>
      </c>
      <c r="D3590" s="1" t="s">
        <v>1125</v>
      </c>
    </row>
    <row r="3591">
      <c r="A3591" s="1" t="s">
        <v>9280</v>
      </c>
      <c r="B3591" s="2" t="s">
        <v>9282</v>
      </c>
      <c r="C3591" s="1" t="s">
        <v>1124</v>
      </c>
      <c r="D3591" s="1" t="s">
        <v>1125</v>
      </c>
    </row>
    <row r="3592">
      <c r="A3592" s="1" t="s">
        <v>9284</v>
      </c>
      <c r="B3592" s="2" t="s">
        <v>9285</v>
      </c>
      <c r="C3592" s="1" t="s">
        <v>1124</v>
      </c>
      <c r="D3592" s="1" t="s">
        <v>1125</v>
      </c>
    </row>
    <row r="3593">
      <c r="A3593" s="1" t="s">
        <v>9287</v>
      </c>
      <c r="B3593" s="2" t="s">
        <v>9289</v>
      </c>
      <c r="C3593" s="1" t="s">
        <v>1124</v>
      </c>
      <c r="D3593" s="1" t="s">
        <v>1125</v>
      </c>
    </row>
    <row r="3594">
      <c r="A3594" s="1" t="s">
        <v>9291</v>
      </c>
      <c r="B3594" s="2" t="s">
        <v>9292</v>
      </c>
      <c r="C3594" s="1" t="s">
        <v>1124</v>
      </c>
      <c r="D3594" s="1" t="s">
        <v>1125</v>
      </c>
    </row>
    <row r="3595">
      <c r="A3595" s="1" t="s">
        <v>9294</v>
      </c>
      <c r="B3595" s="2" t="s">
        <v>9295</v>
      </c>
      <c r="C3595" s="1" t="s">
        <v>1124</v>
      </c>
      <c r="D3595" s="1" t="s">
        <v>1125</v>
      </c>
    </row>
    <row r="3596">
      <c r="A3596" s="1" t="s">
        <v>9298</v>
      </c>
      <c r="B3596" s="2" t="s">
        <v>9299</v>
      </c>
      <c r="C3596" s="1" t="s">
        <v>1124</v>
      </c>
      <c r="D3596" s="1" t="s">
        <v>1125</v>
      </c>
    </row>
    <row r="3597">
      <c r="A3597" s="1" t="s">
        <v>9300</v>
      </c>
      <c r="B3597" s="2" t="s">
        <v>9301</v>
      </c>
      <c r="C3597" s="1" t="s">
        <v>1124</v>
      </c>
      <c r="D3597" s="1" t="s">
        <v>1125</v>
      </c>
    </row>
    <row r="3598">
      <c r="A3598" s="1" t="s">
        <v>9303</v>
      </c>
      <c r="B3598" s="2" t="s">
        <v>9305</v>
      </c>
      <c r="C3598" s="1" t="s">
        <v>1124</v>
      </c>
      <c r="D3598" s="1" t="s">
        <v>1125</v>
      </c>
    </row>
    <row r="3599">
      <c r="A3599" s="1" t="s">
        <v>9307</v>
      </c>
      <c r="B3599" s="2" t="s">
        <v>9308</v>
      </c>
      <c r="C3599" s="1" t="s">
        <v>1124</v>
      </c>
      <c r="D3599" s="1" t="s">
        <v>1125</v>
      </c>
    </row>
    <row r="3600">
      <c r="A3600" s="1" t="s">
        <v>9310</v>
      </c>
      <c r="B3600" s="2" t="s">
        <v>9311</v>
      </c>
      <c r="C3600" s="1" t="s">
        <v>1124</v>
      </c>
      <c r="D3600" s="1" t="s">
        <v>1125</v>
      </c>
    </row>
    <row r="3601">
      <c r="A3601" s="1" t="s">
        <v>9314</v>
      </c>
      <c r="B3601" s="2" t="s">
        <v>9315</v>
      </c>
      <c r="C3601" s="1" t="s">
        <v>1124</v>
      </c>
      <c r="D3601" s="1" t="s">
        <v>1125</v>
      </c>
    </row>
    <row r="3602">
      <c r="A3602" s="1" t="s">
        <v>9316</v>
      </c>
      <c r="B3602" s="2" t="s">
        <v>9317</v>
      </c>
      <c r="C3602" s="1" t="s">
        <v>1124</v>
      </c>
      <c r="D3602" s="1" t="s">
        <v>1125</v>
      </c>
    </row>
    <row r="3603">
      <c r="A3603" s="1" t="s">
        <v>9319</v>
      </c>
      <c r="B3603" s="2" t="s">
        <v>9320</v>
      </c>
      <c r="C3603" s="1" t="s">
        <v>1124</v>
      </c>
      <c r="D3603" s="1" t="s">
        <v>1125</v>
      </c>
    </row>
    <row r="3604">
      <c r="A3604" s="1" t="s">
        <v>9321</v>
      </c>
      <c r="B3604" s="2" t="s">
        <v>9322</v>
      </c>
      <c r="C3604" s="1" t="s">
        <v>1124</v>
      </c>
      <c r="D3604" s="1" t="s">
        <v>1125</v>
      </c>
    </row>
    <row r="3605">
      <c r="A3605" s="1" t="s">
        <v>9323</v>
      </c>
      <c r="B3605" s="2" t="s">
        <v>9324</v>
      </c>
      <c r="C3605" s="1" t="s">
        <v>1124</v>
      </c>
      <c r="D3605" s="1" t="s">
        <v>1125</v>
      </c>
    </row>
    <row r="3606">
      <c r="A3606" s="1" t="s">
        <v>9325</v>
      </c>
      <c r="B3606" s="2" t="s">
        <v>9326</v>
      </c>
      <c r="C3606" s="1" t="s">
        <v>1124</v>
      </c>
      <c r="D3606" s="1" t="s">
        <v>1125</v>
      </c>
    </row>
    <row r="3607">
      <c r="A3607" s="1" t="s">
        <v>9329</v>
      </c>
      <c r="B3607" s="2" t="s">
        <v>9330</v>
      </c>
      <c r="C3607" s="1" t="s">
        <v>1124</v>
      </c>
      <c r="D3607" s="1" t="s">
        <v>1125</v>
      </c>
    </row>
    <row r="3608">
      <c r="A3608" s="1" t="s">
        <v>9331</v>
      </c>
      <c r="B3608" s="2" t="s">
        <v>9332</v>
      </c>
      <c r="C3608" s="1" t="s">
        <v>1124</v>
      </c>
      <c r="D3608" s="1" t="s">
        <v>1125</v>
      </c>
    </row>
    <row r="3609">
      <c r="A3609" s="1" t="s">
        <v>9334</v>
      </c>
      <c r="B3609" s="2" t="s">
        <v>9335</v>
      </c>
      <c r="C3609" s="1" t="s">
        <v>1124</v>
      </c>
      <c r="D3609" s="1" t="s">
        <v>1125</v>
      </c>
    </row>
    <row r="3610">
      <c r="A3610" s="1" t="s">
        <v>9338</v>
      </c>
      <c r="B3610" s="2" t="s">
        <v>9339</v>
      </c>
      <c r="C3610" s="1" t="s">
        <v>1124</v>
      </c>
      <c r="D3610" s="1" t="s">
        <v>1125</v>
      </c>
    </row>
    <row r="3611">
      <c r="A3611" s="1" t="s">
        <v>9340</v>
      </c>
      <c r="B3611" s="2" t="s">
        <v>9341</v>
      </c>
      <c r="C3611" s="1" t="s">
        <v>1124</v>
      </c>
      <c r="D3611" s="1" t="s">
        <v>1125</v>
      </c>
    </row>
    <row r="3612">
      <c r="A3612" s="1" t="s">
        <v>9343</v>
      </c>
      <c r="B3612" s="2" t="s">
        <v>9345</v>
      </c>
      <c r="C3612" s="1" t="s">
        <v>1124</v>
      </c>
      <c r="D3612" s="1" t="s">
        <v>1125</v>
      </c>
    </row>
    <row r="3613">
      <c r="A3613" s="1" t="s">
        <v>9347</v>
      </c>
      <c r="B3613" s="2" t="s">
        <v>9348</v>
      </c>
      <c r="C3613" s="1" t="s">
        <v>1124</v>
      </c>
      <c r="D3613" s="1" t="s">
        <v>1125</v>
      </c>
    </row>
    <row r="3614">
      <c r="A3614" s="1" t="s">
        <v>9349</v>
      </c>
      <c r="B3614" s="2" t="s">
        <v>9351</v>
      </c>
      <c r="C3614" s="1" t="s">
        <v>1124</v>
      </c>
      <c r="D3614" s="1" t="s">
        <v>1125</v>
      </c>
    </row>
    <row r="3615">
      <c r="A3615" s="1" t="s">
        <v>9353</v>
      </c>
      <c r="B3615" s="2" t="s">
        <v>9355</v>
      </c>
      <c r="C3615" s="1" t="s">
        <v>1124</v>
      </c>
      <c r="D3615" s="1" t="s">
        <v>1125</v>
      </c>
    </row>
    <row r="3616">
      <c r="A3616" s="1" t="s">
        <v>9356</v>
      </c>
      <c r="B3616" s="2" t="s">
        <v>9357</v>
      </c>
      <c r="C3616" s="1" t="s">
        <v>1124</v>
      </c>
      <c r="D3616" s="1" t="s">
        <v>1125</v>
      </c>
    </row>
    <row r="3617">
      <c r="A3617" s="1" t="s">
        <v>9359</v>
      </c>
      <c r="B3617" s="2" t="s">
        <v>9360</v>
      </c>
      <c r="C3617" s="1" t="s">
        <v>1124</v>
      </c>
      <c r="D3617" s="1" t="s">
        <v>1125</v>
      </c>
    </row>
    <row r="3618">
      <c r="A3618" s="1" t="s">
        <v>9363</v>
      </c>
      <c r="B3618" s="2" t="s">
        <v>9364</v>
      </c>
      <c r="C3618" s="1" t="s">
        <v>1124</v>
      </c>
      <c r="D3618" s="1" t="s">
        <v>1125</v>
      </c>
    </row>
    <row r="3619">
      <c r="A3619" s="1" t="s">
        <v>9365</v>
      </c>
      <c r="B3619" s="2" t="s">
        <v>9366</v>
      </c>
      <c r="C3619" s="1" t="s">
        <v>1124</v>
      </c>
      <c r="D3619" s="1" t="s">
        <v>1125</v>
      </c>
    </row>
    <row r="3620">
      <c r="A3620" s="1" t="s">
        <v>9368</v>
      </c>
      <c r="B3620" s="2" t="s">
        <v>9369</v>
      </c>
      <c r="C3620" s="1" t="s">
        <v>1124</v>
      </c>
      <c r="D3620" s="1" t="s">
        <v>1125</v>
      </c>
    </row>
    <row r="3621">
      <c r="A3621" s="1" t="s">
        <v>9372</v>
      </c>
      <c r="B3621" s="2" t="s">
        <v>9373</v>
      </c>
      <c r="C3621" s="1" t="s">
        <v>1124</v>
      </c>
      <c r="D3621" s="1" t="s">
        <v>1125</v>
      </c>
    </row>
    <row r="3622">
      <c r="A3622" s="1" t="s">
        <v>9374</v>
      </c>
      <c r="B3622" s="2" t="s">
        <v>9375</v>
      </c>
      <c r="C3622" s="1" t="s">
        <v>1124</v>
      </c>
      <c r="D3622" s="1" t="s">
        <v>1125</v>
      </c>
    </row>
    <row r="3623">
      <c r="A3623" s="1" t="s">
        <v>9377</v>
      </c>
      <c r="B3623" s="2" t="s">
        <v>9378</v>
      </c>
      <c r="C3623" s="1" t="s">
        <v>1124</v>
      </c>
      <c r="D3623" s="1" t="s">
        <v>1125</v>
      </c>
    </row>
    <row r="3624">
      <c r="A3624" s="1" t="s">
        <v>9381</v>
      </c>
      <c r="B3624" s="2" t="s">
        <v>9382</v>
      </c>
      <c r="C3624" s="1" t="s">
        <v>1124</v>
      </c>
      <c r="D3624" s="1" t="s">
        <v>1125</v>
      </c>
    </row>
    <row r="3625">
      <c r="A3625" s="1" t="s">
        <v>9383</v>
      </c>
      <c r="B3625" s="2" t="s">
        <v>9385</v>
      </c>
      <c r="C3625" s="1" t="s">
        <v>1124</v>
      </c>
      <c r="D3625" s="1" t="s">
        <v>1125</v>
      </c>
    </row>
    <row r="3626">
      <c r="A3626" s="1" t="s">
        <v>9388</v>
      </c>
      <c r="B3626" s="2" t="s">
        <v>9389</v>
      </c>
      <c r="C3626" s="1" t="s">
        <v>1124</v>
      </c>
      <c r="D3626" s="1" t="s">
        <v>1125</v>
      </c>
    </row>
    <row r="3627">
      <c r="A3627" s="1" t="s">
        <v>9390</v>
      </c>
      <c r="B3627" s="2" t="s">
        <v>9392</v>
      </c>
      <c r="C3627" s="1" t="s">
        <v>1124</v>
      </c>
      <c r="D3627" s="1" t="s">
        <v>1125</v>
      </c>
    </row>
    <row r="3628">
      <c r="A3628" s="1" t="s">
        <v>9395</v>
      </c>
      <c r="B3628" s="2" t="s">
        <v>9396</v>
      </c>
      <c r="C3628" s="1" t="s">
        <v>1124</v>
      </c>
      <c r="D3628" s="1" t="s">
        <v>1125</v>
      </c>
    </row>
    <row r="3629">
      <c r="A3629" s="1" t="s">
        <v>9397</v>
      </c>
      <c r="B3629" s="2" t="s">
        <v>9398</v>
      </c>
      <c r="C3629" s="1" t="s">
        <v>1124</v>
      </c>
      <c r="D3629" s="1" t="s">
        <v>1125</v>
      </c>
    </row>
    <row r="3630">
      <c r="A3630" s="1" t="s">
        <v>9400</v>
      </c>
      <c r="B3630" s="2" t="s">
        <v>9401</v>
      </c>
      <c r="C3630" s="1" t="s">
        <v>1124</v>
      </c>
      <c r="D3630" s="1" t="s">
        <v>1125</v>
      </c>
    </row>
    <row r="3631">
      <c r="A3631" s="1" t="s">
        <v>9403</v>
      </c>
      <c r="B3631" s="2" t="s">
        <v>9404</v>
      </c>
      <c r="C3631" s="1" t="s">
        <v>1124</v>
      </c>
      <c r="D3631" s="1" t="s">
        <v>1125</v>
      </c>
    </row>
    <row r="3632">
      <c r="A3632" s="1" t="s">
        <v>9405</v>
      </c>
      <c r="B3632" s="2" t="s">
        <v>9406</v>
      </c>
      <c r="C3632" s="1" t="s">
        <v>1124</v>
      </c>
      <c r="D3632" s="1" t="s">
        <v>1125</v>
      </c>
    </row>
    <row r="3633">
      <c r="A3633" s="1" t="s">
        <v>9407</v>
      </c>
      <c r="B3633" s="2" t="s">
        <v>9409</v>
      </c>
      <c r="C3633" s="1" t="s">
        <v>1124</v>
      </c>
      <c r="D3633" s="1" t="s">
        <v>1125</v>
      </c>
    </row>
    <row r="3634">
      <c r="A3634" s="1" t="s">
        <v>9411</v>
      </c>
      <c r="B3634" s="2" t="s">
        <v>9413</v>
      </c>
      <c r="C3634" s="1" t="s">
        <v>1124</v>
      </c>
      <c r="D3634" s="1" t="s">
        <v>1125</v>
      </c>
    </row>
    <row r="3635">
      <c r="A3635" s="1" t="s">
        <v>9414</v>
      </c>
      <c r="B3635" s="2" t="s">
        <v>9415</v>
      </c>
      <c r="C3635" s="1" t="s">
        <v>1124</v>
      </c>
      <c r="D3635" s="1" t="s">
        <v>1125</v>
      </c>
    </row>
    <row r="3636">
      <c r="A3636" s="1" t="s">
        <v>9416</v>
      </c>
      <c r="B3636" s="2" t="s">
        <v>9417</v>
      </c>
      <c r="C3636" s="1" t="s">
        <v>1124</v>
      </c>
      <c r="D3636" s="1" t="s">
        <v>1125</v>
      </c>
    </row>
    <row r="3637">
      <c r="A3637" s="1" t="s">
        <v>1113</v>
      </c>
      <c r="B3637" s="2" t="s">
        <v>1114</v>
      </c>
      <c r="C3637" s="1" t="s">
        <v>1115</v>
      </c>
      <c r="D3637" s="1" t="s">
        <v>1117</v>
      </c>
    </row>
    <row r="3638">
      <c r="A3638" s="1" t="s">
        <v>9421</v>
      </c>
      <c r="B3638" s="2" t="s">
        <v>9183</v>
      </c>
      <c r="C3638" s="1" t="s">
        <v>1115</v>
      </c>
      <c r="D3638" s="1" t="s">
        <v>1117</v>
      </c>
    </row>
    <row r="3639">
      <c r="A3639" s="1" t="s">
        <v>9422</v>
      </c>
      <c r="B3639" s="2" t="s">
        <v>9185</v>
      </c>
      <c r="C3639" s="1" t="s">
        <v>1115</v>
      </c>
      <c r="D3639" s="1" t="s">
        <v>1117</v>
      </c>
    </row>
    <row r="3640">
      <c r="A3640" s="1" t="s">
        <v>9424</v>
      </c>
      <c r="B3640" s="2" t="s">
        <v>9187</v>
      </c>
      <c r="C3640" s="1" t="s">
        <v>1115</v>
      </c>
      <c r="D3640" s="1" t="s">
        <v>1117</v>
      </c>
    </row>
    <row r="3641">
      <c r="A3641" s="1" t="s">
        <v>9427</v>
      </c>
      <c r="B3641" s="2" t="s">
        <v>9191</v>
      </c>
      <c r="C3641" s="1" t="s">
        <v>1115</v>
      </c>
      <c r="D3641" s="1" t="s">
        <v>1117</v>
      </c>
    </row>
    <row r="3642">
      <c r="A3642" s="1" t="s">
        <v>9429</v>
      </c>
      <c r="B3642" s="2" t="s">
        <v>9193</v>
      </c>
      <c r="C3642" s="1" t="s">
        <v>1115</v>
      </c>
      <c r="D3642" s="1" t="s">
        <v>1117</v>
      </c>
    </row>
    <row r="3643">
      <c r="A3643" s="1" t="s">
        <v>9431</v>
      </c>
      <c r="B3643" s="2" t="s">
        <v>9196</v>
      </c>
      <c r="C3643" s="1" t="s">
        <v>1115</v>
      </c>
      <c r="D3643" s="1" t="s">
        <v>1117</v>
      </c>
    </row>
    <row r="3644">
      <c r="A3644" s="1" t="s">
        <v>9434</v>
      </c>
      <c r="B3644" s="2" t="s">
        <v>9198</v>
      </c>
      <c r="C3644" s="1" t="s">
        <v>1115</v>
      </c>
      <c r="D3644" s="1" t="s">
        <v>1117</v>
      </c>
    </row>
    <row r="3645">
      <c r="A3645" s="1" t="s">
        <v>9435</v>
      </c>
      <c r="B3645" s="2" t="s">
        <v>9201</v>
      </c>
      <c r="C3645" s="1" t="s">
        <v>1115</v>
      </c>
      <c r="D3645" s="1" t="s">
        <v>1117</v>
      </c>
    </row>
    <row r="3646">
      <c r="A3646" s="1" t="s">
        <v>9437</v>
      </c>
      <c r="B3646" s="2" t="s">
        <v>9205</v>
      </c>
      <c r="C3646" s="1" t="s">
        <v>1115</v>
      </c>
      <c r="D3646" s="1" t="s">
        <v>1117</v>
      </c>
    </row>
    <row r="3647">
      <c r="A3647" s="1" t="s">
        <v>9439</v>
      </c>
      <c r="B3647" s="2" t="s">
        <v>9207</v>
      </c>
      <c r="C3647" s="1" t="s">
        <v>1115</v>
      </c>
      <c r="D3647" s="1" t="s">
        <v>1117</v>
      </c>
    </row>
    <row r="3648">
      <c r="A3648" s="1" t="s">
        <v>9442</v>
      </c>
      <c r="B3648" s="2" t="s">
        <v>9211</v>
      </c>
      <c r="C3648" s="1" t="s">
        <v>1115</v>
      </c>
      <c r="D3648" s="1" t="s">
        <v>1117</v>
      </c>
    </row>
    <row r="3649">
      <c r="A3649" s="1" t="s">
        <v>9448</v>
      </c>
      <c r="B3649" s="2" t="s">
        <v>9214</v>
      </c>
      <c r="C3649" s="1" t="s">
        <v>1115</v>
      </c>
      <c r="D3649" s="1" t="s">
        <v>1117</v>
      </c>
    </row>
    <row r="3650">
      <c r="A3650" s="1" t="s">
        <v>9450</v>
      </c>
      <c r="B3650" s="2" t="s">
        <v>9217</v>
      </c>
      <c r="C3650" s="1" t="s">
        <v>1115</v>
      </c>
      <c r="D3650" s="1" t="s">
        <v>1117</v>
      </c>
    </row>
    <row r="3651">
      <c r="A3651" s="1" t="s">
        <v>9453</v>
      </c>
      <c r="B3651" s="2" t="s">
        <v>9221</v>
      </c>
      <c r="C3651" s="1" t="s">
        <v>1115</v>
      </c>
      <c r="D3651" s="1" t="s">
        <v>1117</v>
      </c>
    </row>
    <row r="3652">
      <c r="A3652" s="1" t="s">
        <v>9455</v>
      </c>
      <c r="B3652" s="2" t="s">
        <v>9224</v>
      </c>
      <c r="C3652" s="1" t="s">
        <v>1115</v>
      </c>
      <c r="D3652" s="1" t="s">
        <v>1117</v>
      </c>
    </row>
    <row r="3653">
      <c r="A3653" s="1" t="s">
        <v>9458</v>
      </c>
      <c r="B3653" s="2" t="s">
        <v>9227</v>
      </c>
      <c r="C3653" s="1" t="s">
        <v>1115</v>
      </c>
      <c r="D3653" s="1" t="s">
        <v>1117</v>
      </c>
    </row>
    <row r="3654">
      <c r="A3654" s="1" t="s">
        <v>9460</v>
      </c>
      <c r="B3654" s="2" t="s">
        <v>9231</v>
      </c>
      <c r="C3654" s="1" t="s">
        <v>1115</v>
      </c>
      <c r="D3654" s="1" t="s">
        <v>1117</v>
      </c>
    </row>
    <row r="3655">
      <c r="A3655" s="1" t="s">
        <v>9463</v>
      </c>
      <c r="B3655" s="2" t="s">
        <v>9233</v>
      </c>
      <c r="C3655" s="1" t="s">
        <v>1115</v>
      </c>
      <c r="D3655" s="1" t="s">
        <v>1117</v>
      </c>
    </row>
    <row r="3656">
      <c r="A3656" s="1" t="s">
        <v>9464</v>
      </c>
      <c r="B3656" s="2" t="s">
        <v>9236</v>
      </c>
      <c r="C3656" s="1" t="s">
        <v>1115</v>
      </c>
      <c r="D3656" s="1" t="s">
        <v>1117</v>
      </c>
    </row>
    <row r="3657">
      <c r="A3657" s="1" t="s">
        <v>9468</v>
      </c>
      <c r="B3657" s="2" t="s">
        <v>9240</v>
      </c>
      <c r="C3657" s="1" t="s">
        <v>1115</v>
      </c>
      <c r="D3657" s="1" t="s">
        <v>1117</v>
      </c>
    </row>
    <row r="3658">
      <c r="A3658" s="1" t="s">
        <v>9469</v>
      </c>
      <c r="B3658" s="2" t="s">
        <v>9242</v>
      </c>
      <c r="C3658" s="1" t="s">
        <v>1115</v>
      </c>
      <c r="D3658" s="1" t="s">
        <v>1117</v>
      </c>
    </row>
    <row r="3659">
      <c r="A3659" s="1" t="s">
        <v>9473</v>
      </c>
      <c r="B3659" s="2" t="s">
        <v>9244</v>
      </c>
      <c r="C3659" s="1" t="s">
        <v>1115</v>
      </c>
      <c r="D3659" s="1" t="s">
        <v>1117</v>
      </c>
    </row>
    <row r="3660">
      <c r="A3660" s="1" t="s">
        <v>9474</v>
      </c>
      <c r="B3660" s="2" t="s">
        <v>9246</v>
      </c>
      <c r="C3660" s="1" t="s">
        <v>1115</v>
      </c>
      <c r="D3660" s="1" t="s">
        <v>1117</v>
      </c>
    </row>
    <row r="3661">
      <c r="A3661" s="1" t="s">
        <v>9477</v>
      </c>
      <c r="B3661" s="2" t="s">
        <v>9250</v>
      </c>
      <c r="C3661" s="1" t="s">
        <v>1115</v>
      </c>
      <c r="D3661" s="1" t="s">
        <v>1117</v>
      </c>
    </row>
    <row r="3662">
      <c r="A3662" s="1" t="s">
        <v>9479</v>
      </c>
      <c r="B3662" s="2" t="s">
        <v>9253</v>
      </c>
      <c r="C3662" s="1" t="s">
        <v>1115</v>
      </c>
      <c r="D3662" s="1" t="s">
        <v>1117</v>
      </c>
    </row>
    <row r="3663">
      <c r="A3663" s="1" t="s">
        <v>9481</v>
      </c>
      <c r="B3663" s="2" t="s">
        <v>9255</v>
      </c>
      <c r="C3663" s="1" t="s">
        <v>1115</v>
      </c>
      <c r="D3663" s="1" t="s">
        <v>1117</v>
      </c>
    </row>
    <row r="3664">
      <c r="A3664" s="1" t="s">
        <v>9483</v>
      </c>
      <c r="B3664" s="2" t="s">
        <v>9259</v>
      </c>
      <c r="C3664" s="1" t="s">
        <v>1115</v>
      </c>
      <c r="D3664" s="1" t="s">
        <v>1117</v>
      </c>
    </row>
    <row r="3665">
      <c r="A3665" s="1" t="s">
        <v>9485</v>
      </c>
      <c r="B3665" s="2" t="s">
        <v>9262</v>
      </c>
      <c r="C3665" s="1" t="s">
        <v>1115</v>
      </c>
      <c r="D3665" s="1" t="s">
        <v>1117</v>
      </c>
    </row>
    <row r="3666">
      <c r="A3666" s="1" t="s">
        <v>9488</v>
      </c>
      <c r="B3666" s="2" t="s">
        <v>9264</v>
      </c>
      <c r="C3666" s="1" t="s">
        <v>1115</v>
      </c>
      <c r="D3666" s="1" t="s">
        <v>1117</v>
      </c>
    </row>
    <row r="3667">
      <c r="A3667" s="1" t="s">
        <v>9490</v>
      </c>
      <c r="B3667" s="2" t="s">
        <v>9268</v>
      </c>
      <c r="C3667" s="1" t="s">
        <v>1115</v>
      </c>
      <c r="D3667" s="1" t="s">
        <v>1117</v>
      </c>
    </row>
    <row r="3668">
      <c r="A3668" s="1" t="s">
        <v>9492</v>
      </c>
      <c r="B3668" s="2" t="s">
        <v>9271</v>
      </c>
      <c r="C3668" s="1" t="s">
        <v>1115</v>
      </c>
      <c r="D3668" s="1" t="s">
        <v>1117</v>
      </c>
    </row>
    <row r="3669">
      <c r="A3669" s="1" t="s">
        <v>9494</v>
      </c>
      <c r="B3669" s="2" t="s">
        <v>9495</v>
      </c>
      <c r="C3669" s="1" t="s">
        <v>1115</v>
      </c>
      <c r="D3669" s="1" t="s">
        <v>1117</v>
      </c>
    </row>
    <row r="3670">
      <c r="A3670" s="1" t="s">
        <v>9498</v>
      </c>
      <c r="B3670" s="2" t="s">
        <v>9499</v>
      </c>
      <c r="C3670" s="1" t="s">
        <v>1115</v>
      </c>
      <c r="D3670" s="1" t="s">
        <v>1117</v>
      </c>
    </row>
    <row r="3671">
      <c r="A3671" s="1" t="s">
        <v>9500</v>
      </c>
      <c r="B3671" s="2" t="s">
        <v>9502</v>
      </c>
      <c r="C3671" s="1" t="s">
        <v>1115</v>
      </c>
      <c r="D3671" s="1" t="s">
        <v>1117</v>
      </c>
    </row>
    <row r="3672">
      <c r="A3672" s="1" t="s">
        <v>9505</v>
      </c>
      <c r="B3672" s="2" t="s">
        <v>9506</v>
      </c>
      <c r="C3672" s="1" t="s">
        <v>1115</v>
      </c>
      <c r="D3672" s="1" t="s">
        <v>1117</v>
      </c>
    </row>
    <row r="3673">
      <c r="A3673" s="1" t="s">
        <v>9507</v>
      </c>
      <c r="B3673" s="2" t="s">
        <v>9509</v>
      </c>
      <c r="C3673" s="1" t="s">
        <v>1115</v>
      </c>
      <c r="D3673" s="1" t="s">
        <v>1117</v>
      </c>
    </row>
    <row r="3674">
      <c r="A3674" s="1" t="s">
        <v>9512</v>
      </c>
      <c r="B3674" s="2" t="s">
        <v>9514</v>
      </c>
      <c r="C3674" s="1" t="s">
        <v>1115</v>
      </c>
      <c r="D3674" s="1" t="s">
        <v>1117</v>
      </c>
    </row>
    <row r="3675">
      <c r="A3675" s="1" t="s">
        <v>9517</v>
      </c>
      <c r="B3675" s="2" t="s">
        <v>9519</v>
      </c>
      <c r="C3675" s="1" t="s">
        <v>1115</v>
      </c>
      <c r="D3675" s="1" t="s">
        <v>1117</v>
      </c>
    </row>
    <row r="3676">
      <c r="A3676" s="1" t="s">
        <v>9521</v>
      </c>
      <c r="B3676" s="2" t="s">
        <v>9523</v>
      </c>
      <c r="C3676" s="1" t="s">
        <v>1115</v>
      </c>
      <c r="D3676" s="1" t="s">
        <v>1117</v>
      </c>
    </row>
    <row r="3677">
      <c r="A3677" s="1" t="s">
        <v>9526</v>
      </c>
      <c r="B3677" s="2" t="s">
        <v>9527</v>
      </c>
      <c r="C3677" s="1" t="s">
        <v>1115</v>
      </c>
      <c r="D3677" s="1" t="s">
        <v>1117</v>
      </c>
    </row>
    <row r="3678">
      <c r="A3678" s="1" t="s">
        <v>9529</v>
      </c>
      <c r="B3678" s="2" t="s">
        <v>9532</v>
      </c>
      <c r="C3678" s="1" t="s">
        <v>1115</v>
      </c>
      <c r="D3678" s="1" t="s">
        <v>1117</v>
      </c>
    </row>
    <row r="3679">
      <c r="A3679" s="1" t="s">
        <v>9536</v>
      </c>
      <c r="B3679" s="2" t="s">
        <v>9538</v>
      </c>
      <c r="C3679" s="1" t="s">
        <v>1115</v>
      </c>
      <c r="D3679" s="1" t="s">
        <v>1117</v>
      </c>
    </row>
    <row r="3680">
      <c r="A3680" s="1" t="s">
        <v>9540</v>
      </c>
      <c r="B3680" s="2" t="s">
        <v>9541</v>
      </c>
      <c r="C3680" s="1" t="s">
        <v>1115</v>
      </c>
      <c r="D3680" s="1" t="s">
        <v>1117</v>
      </c>
    </row>
    <row r="3681">
      <c r="A3681" s="1" t="s">
        <v>9543</v>
      </c>
      <c r="B3681" s="2" t="s">
        <v>9545</v>
      </c>
      <c r="C3681" s="1" t="s">
        <v>1115</v>
      </c>
      <c r="D3681" s="1" t="s">
        <v>1117</v>
      </c>
    </row>
    <row r="3682">
      <c r="A3682" s="1" t="s">
        <v>9547</v>
      </c>
      <c r="B3682" s="2" t="s">
        <v>9548</v>
      </c>
      <c r="C3682" s="1" t="s">
        <v>1115</v>
      </c>
      <c r="D3682" s="1" t="s">
        <v>1117</v>
      </c>
    </row>
    <row r="3683">
      <c r="A3683" s="1" t="s">
        <v>9549</v>
      </c>
      <c r="B3683" s="2" t="s">
        <v>9550</v>
      </c>
      <c r="C3683" s="1" t="s">
        <v>1115</v>
      </c>
      <c r="D3683" s="1" t="s">
        <v>1117</v>
      </c>
    </row>
    <row r="3684">
      <c r="A3684" s="1" t="s">
        <v>9551</v>
      </c>
      <c r="B3684" s="2" t="s">
        <v>9552</v>
      </c>
      <c r="C3684" s="1" t="s">
        <v>1115</v>
      </c>
      <c r="D3684" s="1" t="s">
        <v>1117</v>
      </c>
    </row>
    <row r="3685">
      <c r="A3685" s="1" t="s">
        <v>9553</v>
      </c>
      <c r="B3685" s="2" t="s">
        <v>9554</v>
      </c>
      <c r="C3685" s="1" t="s">
        <v>1115</v>
      </c>
      <c r="D3685" s="1" t="s">
        <v>1117</v>
      </c>
    </row>
    <row r="3686">
      <c r="A3686" s="1" t="s">
        <v>9555</v>
      </c>
      <c r="B3686" s="2" t="s">
        <v>9556</v>
      </c>
      <c r="C3686" s="1" t="s">
        <v>1115</v>
      </c>
      <c r="D3686" s="1" t="s">
        <v>1117</v>
      </c>
    </row>
    <row r="3687">
      <c r="A3687" s="1" t="s">
        <v>9557</v>
      </c>
      <c r="B3687" s="2" t="s">
        <v>9558</v>
      </c>
      <c r="C3687" s="1" t="s">
        <v>1115</v>
      </c>
      <c r="D3687" s="1" t="s">
        <v>1117</v>
      </c>
    </row>
    <row r="3688">
      <c r="A3688" s="1" t="s">
        <v>9559</v>
      </c>
      <c r="B3688" s="2" t="s">
        <v>9560</v>
      </c>
      <c r="C3688" s="1" t="s">
        <v>1115</v>
      </c>
      <c r="D3688" s="1" t="s">
        <v>1117</v>
      </c>
    </row>
    <row r="3689">
      <c r="A3689" s="1" t="s">
        <v>9561</v>
      </c>
      <c r="B3689" s="2" t="s">
        <v>9562</v>
      </c>
      <c r="C3689" s="1" t="s">
        <v>1115</v>
      </c>
      <c r="D3689" s="1" t="s">
        <v>1117</v>
      </c>
    </row>
    <row r="3690">
      <c r="A3690" s="1" t="s">
        <v>9563</v>
      </c>
      <c r="B3690" s="2" t="s">
        <v>9564</v>
      </c>
      <c r="C3690" s="1" t="s">
        <v>1115</v>
      </c>
      <c r="D3690" s="1" t="s">
        <v>1117</v>
      </c>
    </row>
    <row r="3691">
      <c r="A3691" s="1" t="s">
        <v>9565</v>
      </c>
      <c r="B3691" s="2" t="s">
        <v>9566</v>
      </c>
      <c r="C3691" s="1" t="s">
        <v>1115</v>
      </c>
      <c r="D3691" s="1" t="s">
        <v>1117</v>
      </c>
    </row>
    <row r="3692">
      <c r="A3692" s="1" t="s">
        <v>9567</v>
      </c>
      <c r="B3692" s="2" t="s">
        <v>9568</v>
      </c>
      <c r="C3692" s="1" t="s">
        <v>1115</v>
      </c>
      <c r="D3692" s="1" t="s">
        <v>1117</v>
      </c>
    </row>
    <row r="3693">
      <c r="A3693" s="1" t="s">
        <v>9569</v>
      </c>
      <c r="B3693" s="2" t="s">
        <v>9570</v>
      </c>
      <c r="C3693" s="1" t="s">
        <v>1115</v>
      </c>
      <c r="D3693" s="1" t="s">
        <v>1117</v>
      </c>
    </row>
    <row r="3694">
      <c r="A3694" s="1" t="s">
        <v>9571</v>
      </c>
      <c r="B3694" s="2" t="s">
        <v>9572</v>
      </c>
      <c r="C3694" s="1" t="s">
        <v>1115</v>
      </c>
      <c r="D3694" s="1" t="s">
        <v>1117</v>
      </c>
    </row>
    <row r="3695">
      <c r="A3695" s="1" t="s">
        <v>9573</v>
      </c>
      <c r="B3695" s="2" t="s">
        <v>9574</v>
      </c>
      <c r="C3695" s="1" t="s">
        <v>1115</v>
      </c>
      <c r="D3695" s="1" t="s">
        <v>1117</v>
      </c>
    </row>
    <row r="3696">
      <c r="A3696" s="1" t="s">
        <v>9575</v>
      </c>
      <c r="B3696" s="2" t="s">
        <v>9576</v>
      </c>
      <c r="C3696" s="1" t="s">
        <v>1115</v>
      </c>
      <c r="D3696" s="1" t="s">
        <v>1117</v>
      </c>
    </row>
    <row r="3697">
      <c r="A3697" s="1" t="s">
        <v>9577</v>
      </c>
      <c r="B3697" s="2" t="s">
        <v>9578</v>
      </c>
      <c r="C3697" s="1" t="s">
        <v>1115</v>
      </c>
      <c r="D3697" s="1" t="s">
        <v>1117</v>
      </c>
    </row>
    <row r="3698">
      <c r="A3698" s="1" t="s">
        <v>9579</v>
      </c>
      <c r="B3698" s="2" t="s">
        <v>9580</v>
      </c>
      <c r="C3698" s="1" t="s">
        <v>1115</v>
      </c>
      <c r="D3698" s="1" t="s">
        <v>1117</v>
      </c>
    </row>
    <row r="3699">
      <c r="A3699" s="1" t="s">
        <v>9581</v>
      </c>
      <c r="B3699" s="2" t="s">
        <v>9582</v>
      </c>
      <c r="C3699" s="1" t="s">
        <v>1115</v>
      </c>
      <c r="D3699" s="1" t="s">
        <v>1117</v>
      </c>
    </row>
    <row r="3700">
      <c r="A3700" s="1" t="s">
        <v>9583</v>
      </c>
      <c r="B3700" s="2" t="s">
        <v>9584</v>
      </c>
      <c r="C3700" s="1" t="s">
        <v>1115</v>
      </c>
      <c r="D3700" s="1" t="s">
        <v>1117</v>
      </c>
    </row>
    <row r="3701">
      <c r="A3701" s="1" t="s">
        <v>9585</v>
      </c>
      <c r="B3701" s="2" t="s">
        <v>9586</v>
      </c>
      <c r="C3701" s="1" t="s">
        <v>1115</v>
      </c>
      <c r="D3701" s="1" t="s">
        <v>1117</v>
      </c>
    </row>
    <row r="3702">
      <c r="A3702" s="1" t="s">
        <v>9587</v>
      </c>
      <c r="B3702" s="2" t="s">
        <v>9588</v>
      </c>
      <c r="C3702" s="1" t="s">
        <v>1115</v>
      </c>
      <c r="D3702" s="1" t="s">
        <v>1117</v>
      </c>
    </row>
    <row r="3703">
      <c r="A3703" s="1" t="s">
        <v>9589</v>
      </c>
      <c r="B3703" s="2" t="s">
        <v>9590</v>
      </c>
      <c r="C3703" s="1" t="s">
        <v>1115</v>
      </c>
      <c r="D3703" s="1" t="s">
        <v>1117</v>
      </c>
    </row>
    <row r="3704">
      <c r="A3704" s="1" t="s">
        <v>9591</v>
      </c>
      <c r="B3704" s="2" t="s">
        <v>9592</v>
      </c>
      <c r="C3704" s="1" t="s">
        <v>1115</v>
      </c>
      <c r="D3704" s="1" t="s">
        <v>1117</v>
      </c>
    </row>
    <row r="3705">
      <c r="A3705" s="1" t="s">
        <v>9593</v>
      </c>
      <c r="B3705" s="2" t="s">
        <v>9594</v>
      </c>
      <c r="C3705" s="1" t="s">
        <v>1115</v>
      </c>
      <c r="D3705" s="1" t="s">
        <v>1117</v>
      </c>
    </row>
    <row r="3706">
      <c r="A3706" s="1" t="s">
        <v>9595</v>
      </c>
      <c r="B3706" s="2" t="s">
        <v>9596</v>
      </c>
      <c r="C3706" s="1" t="s">
        <v>1115</v>
      </c>
      <c r="D3706" s="1" t="s">
        <v>1117</v>
      </c>
    </row>
    <row r="3707">
      <c r="A3707" s="1" t="s">
        <v>9597</v>
      </c>
      <c r="B3707" s="2" t="s">
        <v>9598</v>
      </c>
      <c r="C3707" s="1" t="s">
        <v>1115</v>
      </c>
      <c r="D3707" s="1" t="s">
        <v>1117</v>
      </c>
    </row>
    <row r="3708">
      <c r="A3708" s="1" t="s">
        <v>9599</v>
      </c>
      <c r="B3708" s="2" t="s">
        <v>9600</v>
      </c>
      <c r="C3708" s="1" t="s">
        <v>1115</v>
      </c>
      <c r="D3708" s="1" t="s">
        <v>1117</v>
      </c>
    </row>
    <row r="3709">
      <c r="A3709" s="1" t="s">
        <v>9601</v>
      </c>
      <c r="B3709" s="2" t="s">
        <v>9602</v>
      </c>
      <c r="C3709" s="1" t="s">
        <v>1115</v>
      </c>
      <c r="D3709" s="1" t="s">
        <v>1117</v>
      </c>
    </row>
    <row r="3710">
      <c r="A3710" s="1" t="s">
        <v>9603</v>
      </c>
      <c r="B3710" s="2" t="s">
        <v>9604</v>
      </c>
      <c r="C3710" s="1" t="s">
        <v>1115</v>
      </c>
      <c r="D3710" s="1" t="s">
        <v>1117</v>
      </c>
    </row>
    <row r="3711">
      <c r="A3711" s="1" t="s">
        <v>9605</v>
      </c>
      <c r="B3711" s="2" t="s">
        <v>9606</v>
      </c>
      <c r="C3711" s="1" t="s">
        <v>1115</v>
      </c>
      <c r="D3711" s="1" t="s">
        <v>1117</v>
      </c>
    </row>
    <row r="3712">
      <c r="A3712" s="1" t="s">
        <v>9607</v>
      </c>
      <c r="B3712" s="2" t="s">
        <v>9608</v>
      </c>
      <c r="C3712" s="1" t="s">
        <v>1115</v>
      </c>
      <c r="D3712" s="1" t="s">
        <v>1117</v>
      </c>
    </row>
    <row r="3713">
      <c r="A3713" s="1" t="s">
        <v>9609</v>
      </c>
      <c r="B3713" s="2" t="s">
        <v>9610</v>
      </c>
      <c r="C3713" s="1" t="s">
        <v>1115</v>
      </c>
      <c r="D3713" s="1" t="s">
        <v>1117</v>
      </c>
    </row>
    <row r="3714">
      <c r="A3714" s="1" t="s">
        <v>9611</v>
      </c>
      <c r="B3714" s="2" t="s">
        <v>9612</v>
      </c>
      <c r="C3714" s="1" t="s">
        <v>1115</v>
      </c>
      <c r="D3714" s="1" t="s">
        <v>1117</v>
      </c>
    </row>
    <row r="3715">
      <c r="A3715" s="1" t="s">
        <v>9613</v>
      </c>
      <c r="B3715" s="2" t="s">
        <v>9614</v>
      </c>
      <c r="C3715" s="1" t="s">
        <v>1115</v>
      </c>
      <c r="D3715" s="1" t="s">
        <v>1117</v>
      </c>
    </row>
    <row r="3716">
      <c r="A3716" s="1" t="s">
        <v>9615</v>
      </c>
      <c r="B3716" s="2" t="s">
        <v>9616</v>
      </c>
      <c r="C3716" s="1" t="s">
        <v>1115</v>
      </c>
      <c r="D3716" s="1" t="s">
        <v>1117</v>
      </c>
    </row>
    <row r="3717">
      <c r="A3717" s="1" t="s">
        <v>1138</v>
      </c>
      <c r="B3717" s="2" t="s">
        <v>1130</v>
      </c>
      <c r="C3717" s="1" t="s">
        <v>1141</v>
      </c>
      <c r="D3717" s="1" t="s">
        <v>1142</v>
      </c>
    </row>
    <row r="3718">
      <c r="A3718" s="1" t="s">
        <v>9617</v>
      </c>
      <c r="B3718" s="2" t="s">
        <v>9618</v>
      </c>
      <c r="C3718" s="1" t="s">
        <v>1141</v>
      </c>
      <c r="D3718" s="1" t="s">
        <v>1142</v>
      </c>
    </row>
    <row r="3719">
      <c r="A3719" s="1" t="s">
        <v>9619</v>
      </c>
      <c r="B3719" s="2" t="s">
        <v>9620</v>
      </c>
      <c r="C3719" s="1" t="s">
        <v>1141</v>
      </c>
      <c r="D3719" s="1" t="s">
        <v>1142</v>
      </c>
    </row>
    <row r="3720">
      <c r="A3720" s="1" t="s">
        <v>9621</v>
      </c>
      <c r="B3720" s="2" t="s">
        <v>9622</v>
      </c>
      <c r="C3720" s="1" t="s">
        <v>1141</v>
      </c>
      <c r="D3720" s="1" t="s">
        <v>1142</v>
      </c>
    </row>
    <row r="3721">
      <c r="A3721" s="1" t="s">
        <v>9623</v>
      </c>
      <c r="B3721" s="2" t="s">
        <v>9624</v>
      </c>
      <c r="C3721" s="1" t="s">
        <v>1141</v>
      </c>
      <c r="D3721" s="1" t="s">
        <v>1142</v>
      </c>
    </row>
    <row r="3722">
      <c r="A3722" s="1" t="s">
        <v>1128</v>
      </c>
      <c r="B3722" s="2" t="s">
        <v>1130</v>
      </c>
      <c r="C3722" s="1" t="s">
        <v>1132</v>
      </c>
      <c r="D3722" s="1" t="s">
        <v>1133</v>
      </c>
    </row>
    <row r="3723">
      <c r="A3723" s="1" t="s">
        <v>9625</v>
      </c>
      <c r="B3723" s="2" t="s">
        <v>9618</v>
      </c>
      <c r="C3723" s="1" t="s">
        <v>1132</v>
      </c>
      <c r="D3723" s="1" t="s">
        <v>1133</v>
      </c>
    </row>
    <row r="3724">
      <c r="A3724" s="1" t="s">
        <v>9626</v>
      </c>
      <c r="B3724" s="2" t="s">
        <v>9627</v>
      </c>
      <c r="C3724" s="1" t="s">
        <v>1132</v>
      </c>
      <c r="D3724" s="1" t="s">
        <v>1133</v>
      </c>
    </row>
    <row r="3725">
      <c r="A3725" s="1" t="s">
        <v>9628</v>
      </c>
      <c r="B3725" s="2" t="s">
        <v>9629</v>
      </c>
      <c r="C3725" s="1" t="s">
        <v>1132</v>
      </c>
      <c r="D3725" s="1" t="s">
        <v>1133</v>
      </c>
    </row>
    <row r="3726">
      <c r="A3726" s="1" t="s">
        <v>9630</v>
      </c>
      <c r="B3726" s="2" t="s">
        <v>9631</v>
      </c>
      <c r="C3726" s="1" t="s">
        <v>1132</v>
      </c>
      <c r="D3726" s="1" t="s">
        <v>1133</v>
      </c>
    </row>
    <row r="3727">
      <c r="A3727" s="1" t="s">
        <v>1156</v>
      </c>
      <c r="B3727" s="2" t="s">
        <v>1114</v>
      </c>
      <c r="C3727" s="1" t="s">
        <v>1157</v>
      </c>
      <c r="D3727" s="1" t="s">
        <v>1158</v>
      </c>
    </row>
    <row r="3728">
      <c r="A3728" s="1" t="s">
        <v>9632</v>
      </c>
      <c r="B3728" s="2" t="s">
        <v>9633</v>
      </c>
      <c r="C3728" s="1" t="s">
        <v>1157</v>
      </c>
      <c r="D3728" s="1" t="s">
        <v>1158</v>
      </c>
    </row>
    <row r="3729">
      <c r="A3729" s="1" t="s">
        <v>9634</v>
      </c>
      <c r="B3729" s="2" t="s">
        <v>9635</v>
      </c>
      <c r="C3729" s="1" t="s">
        <v>1157</v>
      </c>
      <c r="D3729" s="1" t="s">
        <v>1158</v>
      </c>
    </row>
    <row r="3730">
      <c r="A3730" s="1" t="s">
        <v>9636</v>
      </c>
      <c r="B3730" s="2" t="s">
        <v>9227</v>
      </c>
      <c r="C3730" s="1" t="s">
        <v>1157</v>
      </c>
      <c r="D3730" s="1" t="s">
        <v>1158</v>
      </c>
    </row>
    <row r="3731">
      <c r="A3731" s="1" t="s">
        <v>9637</v>
      </c>
      <c r="B3731" s="2" t="s">
        <v>9638</v>
      </c>
      <c r="C3731" s="1" t="s">
        <v>1157</v>
      </c>
      <c r="D3731" s="1" t="s">
        <v>1158</v>
      </c>
    </row>
    <row r="3732">
      <c r="A3732" s="1" t="s">
        <v>9639</v>
      </c>
      <c r="B3732" s="2" t="s">
        <v>9640</v>
      </c>
      <c r="C3732" s="1" t="s">
        <v>1157</v>
      </c>
      <c r="D3732" s="1" t="s">
        <v>1158</v>
      </c>
    </row>
    <row r="3733">
      <c r="A3733" s="1" t="s">
        <v>9641</v>
      </c>
      <c r="B3733" s="2" t="s">
        <v>9275</v>
      </c>
      <c r="C3733" s="1" t="s">
        <v>1157</v>
      </c>
      <c r="D3733" s="1" t="s">
        <v>1158</v>
      </c>
    </row>
    <row r="3734">
      <c r="A3734" s="1" t="s">
        <v>9642</v>
      </c>
      <c r="B3734" s="2" t="s">
        <v>9643</v>
      </c>
      <c r="C3734" s="1" t="s">
        <v>1157</v>
      </c>
      <c r="D3734" s="1" t="s">
        <v>1158</v>
      </c>
    </row>
    <row r="3735">
      <c r="A3735" s="1" t="s">
        <v>9644</v>
      </c>
      <c r="B3735" s="2" t="s">
        <v>9645</v>
      </c>
      <c r="C3735" s="1" t="s">
        <v>1157</v>
      </c>
      <c r="D3735" s="1" t="s">
        <v>1158</v>
      </c>
    </row>
    <row r="3736">
      <c r="A3736" s="1" t="s">
        <v>9646</v>
      </c>
      <c r="B3736" s="2" t="s">
        <v>9324</v>
      </c>
      <c r="C3736" s="1" t="s">
        <v>1157</v>
      </c>
      <c r="D3736" s="1" t="s">
        <v>1158</v>
      </c>
    </row>
    <row r="3737">
      <c r="A3737" s="1" t="s">
        <v>9647</v>
      </c>
      <c r="B3737" s="2" t="s">
        <v>9648</v>
      </c>
      <c r="C3737" s="1" t="s">
        <v>1157</v>
      </c>
      <c r="D3737" s="1" t="s">
        <v>1158</v>
      </c>
    </row>
    <row r="3738">
      <c r="A3738" s="1" t="s">
        <v>9649</v>
      </c>
      <c r="B3738" s="2" t="s">
        <v>9650</v>
      </c>
      <c r="C3738" s="1" t="s">
        <v>1157</v>
      </c>
      <c r="D3738" s="1" t="s">
        <v>1158</v>
      </c>
    </row>
    <row r="3739">
      <c r="A3739" s="1" t="s">
        <v>9651</v>
      </c>
      <c r="B3739" s="2" t="s">
        <v>9373</v>
      </c>
      <c r="C3739" s="1" t="s">
        <v>1157</v>
      </c>
      <c r="D3739" s="1" t="s">
        <v>1158</v>
      </c>
    </row>
    <row r="3740">
      <c r="A3740" s="1" t="s">
        <v>9652</v>
      </c>
      <c r="B3740" s="2" t="s">
        <v>9653</v>
      </c>
      <c r="C3740" s="1" t="s">
        <v>1157</v>
      </c>
      <c r="D3740" s="1" t="s">
        <v>1158</v>
      </c>
    </row>
    <row r="3741">
      <c r="A3741" s="1" t="s">
        <v>9654</v>
      </c>
      <c r="B3741" s="2" t="s">
        <v>9655</v>
      </c>
      <c r="C3741" s="1" t="s">
        <v>1157</v>
      </c>
      <c r="D3741" s="1" t="s">
        <v>1158</v>
      </c>
    </row>
    <row r="3742">
      <c r="A3742" s="1" t="s">
        <v>1147</v>
      </c>
      <c r="B3742" s="2" t="s">
        <v>1114</v>
      </c>
      <c r="C3742" s="1" t="s">
        <v>1150</v>
      </c>
      <c r="D3742" s="1" t="s">
        <v>1151</v>
      </c>
    </row>
    <row r="3743">
      <c r="A3743" s="1" t="s">
        <v>9656</v>
      </c>
      <c r="B3743" s="2" t="s">
        <v>9633</v>
      </c>
      <c r="C3743" s="1" t="s">
        <v>1150</v>
      </c>
      <c r="D3743" s="1" t="s">
        <v>1151</v>
      </c>
    </row>
    <row r="3744">
      <c r="A3744" s="1" t="s">
        <v>9657</v>
      </c>
      <c r="B3744" s="2" t="s">
        <v>9635</v>
      </c>
      <c r="C3744" s="1" t="s">
        <v>1150</v>
      </c>
      <c r="D3744" s="1" t="s">
        <v>1151</v>
      </c>
    </row>
    <row r="3745">
      <c r="A3745" s="1" t="s">
        <v>9658</v>
      </c>
      <c r="B3745" s="2" t="s">
        <v>9227</v>
      </c>
      <c r="C3745" s="1" t="s">
        <v>1150</v>
      </c>
      <c r="D3745" s="1" t="s">
        <v>1151</v>
      </c>
    </row>
    <row r="3746">
      <c r="A3746" s="1" t="s">
        <v>9659</v>
      </c>
      <c r="B3746" s="2" t="s">
        <v>9638</v>
      </c>
      <c r="C3746" s="1" t="s">
        <v>1150</v>
      </c>
      <c r="D3746" s="1" t="s">
        <v>1151</v>
      </c>
    </row>
    <row r="3747">
      <c r="A3747" s="1" t="s">
        <v>9660</v>
      </c>
      <c r="B3747" s="2" t="s">
        <v>9640</v>
      </c>
      <c r="C3747" s="1" t="s">
        <v>1150</v>
      </c>
      <c r="D3747" s="1" t="s">
        <v>1151</v>
      </c>
    </row>
    <row r="3748">
      <c r="A3748" s="1" t="s">
        <v>9661</v>
      </c>
      <c r="B3748" s="2" t="s">
        <v>9495</v>
      </c>
      <c r="C3748" s="1" t="s">
        <v>1150</v>
      </c>
      <c r="D3748" s="1" t="s">
        <v>1151</v>
      </c>
    </row>
    <row r="3749">
      <c r="A3749" s="1" t="s">
        <v>9662</v>
      </c>
      <c r="B3749" s="2" t="s">
        <v>9663</v>
      </c>
      <c r="C3749" s="1" t="s">
        <v>1150</v>
      </c>
      <c r="D3749" s="1" t="s">
        <v>1151</v>
      </c>
    </row>
    <row r="3750">
      <c r="A3750" s="1" t="s">
        <v>9664</v>
      </c>
      <c r="B3750" s="2" t="s">
        <v>9665</v>
      </c>
      <c r="C3750" s="1" t="s">
        <v>1150</v>
      </c>
      <c r="D3750" s="1" t="s">
        <v>1151</v>
      </c>
    </row>
    <row r="3751">
      <c r="A3751" s="1" t="s">
        <v>9666</v>
      </c>
      <c r="B3751" s="2" t="s">
        <v>9554</v>
      </c>
      <c r="C3751" s="1" t="s">
        <v>1150</v>
      </c>
      <c r="D3751" s="1" t="s">
        <v>1151</v>
      </c>
    </row>
    <row r="3752">
      <c r="A3752" s="1" t="s">
        <v>9667</v>
      </c>
      <c r="B3752" s="2" t="s">
        <v>9668</v>
      </c>
      <c r="C3752" s="1" t="s">
        <v>1150</v>
      </c>
      <c r="D3752" s="1" t="s">
        <v>1151</v>
      </c>
    </row>
    <row r="3753">
      <c r="A3753" s="1" t="s">
        <v>9669</v>
      </c>
      <c r="B3753" s="2" t="s">
        <v>9670</v>
      </c>
      <c r="C3753" s="1" t="s">
        <v>1150</v>
      </c>
      <c r="D3753" s="1" t="s">
        <v>1151</v>
      </c>
    </row>
    <row r="3754">
      <c r="A3754" s="1" t="s">
        <v>9671</v>
      </c>
      <c r="B3754" s="2" t="s">
        <v>9586</v>
      </c>
      <c r="C3754" s="1" t="s">
        <v>1150</v>
      </c>
      <c r="D3754" s="1" t="s">
        <v>1151</v>
      </c>
    </row>
    <row r="3755">
      <c r="A3755" s="1" t="s">
        <v>9672</v>
      </c>
      <c r="B3755" s="2" t="s">
        <v>9673</v>
      </c>
      <c r="C3755" s="1" t="s">
        <v>1150</v>
      </c>
      <c r="D3755" s="1" t="s">
        <v>1151</v>
      </c>
    </row>
    <row r="3756">
      <c r="A3756" s="1" t="s">
        <v>9674</v>
      </c>
      <c r="B3756" s="2" t="s">
        <v>9675</v>
      </c>
      <c r="C3756" s="1" t="s">
        <v>1150</v>
      </c>
      <c r="D3756" s="1" t="s">
        <v>1151</v>
      </c>
    </row>
    <row r="3757">
      <c r="A3757" s="1" t="s">
        <v>1172</v>
      </c>
      <c r="B3757" s="2" t="s">
        <v>1114</v>
      </c>
      <c r="C3757" s="1" t="s">
        <v>1175</v>
      </c>
      <c r="D3757" s="1" t="s">
        <v>1176</v>
      </c>
    </row>
    <row r="3758">
      <c r="A3758" s="1" t="s">
        <v>9676</v>
      </c>
      <c r="B3758" s="2" t="s">
        <v>9677</v>
      </c>
      <c r="C3758" s="1" t="s">
        <v>1175</v>
      </c>
      <c r="D3758" s="1" t="s">
        <v>1176</v>
      </c>
    </row>
    <row r="3759">
      <c r="A3759" s="1" t="s">
        <v>9678</v>
      </c>
      <c r="B3759" s="2" t="s">
        <v>9679</v>
      </c>
      <c r="C3759" s="1" t="s">
        <v>1175</v>
      </c>
      <c r="D3759" s="1" t="s">
        <v>1176</v>
      </c>
    </row>
    <row r="3760">
      <c r="A3760" s="1" t="s">
        <v>9680</v>
      </c>
      <c r="B3760" s="2" t="s">
        <v>9681</v>
      </c>
      <c r="C3760" s="1" t="s">
        <v>1175</v>
      </c>
      <c r="D3760" s="1" t="s">
        <v>1176</v>
      </c>
    </row>
    <row r="3761">
      <c r="A3761" s="1" t="s">
        <v>9682</v>
      </c>
      <c r="B3761" s="2" t="s">
        <v>9683</v>
      </c>
      <c r="C3761" s="1" t="s">
        <v>1175</v>
      </c>
      <c r="D3761" s="1" t="s">
        <v>1176</v>
      </c>
    </row>
    <row r="3762">
      <c r="A3762" s="1" t="s">
        <v>1162</v>
      </c>
      <c r="B3762" s="2" t="s">
        <v>1114</v>
      </c>
      <c r="C3762" s="1" t="s">
        <v>1164</v>
      </c>
      <c r="D3762" s="1" t="s">
        <v>1166</v>
      </c>
    </row>
    <row r="3763">
      <c r="A3763" s="1" t="s">
        <v>9684</v>
      </c>
      <c r="B3763" s="2" t="s">
        <v>9677</v>
      </c>
      <c r="C3763" s="1" t="s">
        <v>1164</v>
      </c>
      <c r="D3763" s="1" t="s">
        <v>1166</v>
      </c>
    </row>
    <row r="3764">
      <c r="A3764" s="1" t="s">
        <v>9685</v>
      </c>
      <c r="B3764" s="2" t="s">
        <v>9686</v>
      </c>
      <c r="C3764" s="1" t="s">
        <v>1164</v>
      </c>
      <c r="D3764" s="1" t="s">
        <v>1166</v>
      </c>
    </row>
    <row r="3765">
      <c r="A3765" s="1" t="s">
        <v>9687</v>
      </c>
      <c r="B3765" s="2" t="s">
        <v>9688</v>
      </c>
      <c r="C3765" s="1" t="s">
        <v>1164</v>
      </c>
      <c r="D3765" s="1" t="s">
        <v>1166</v>
      </c>
    </row>
    <row r="3766">
      <c r="A3766" s="1" t="s">
        <v>9689</v>
      </c>
      <c r="B3766" s="2" t="s">
        <v>9690</v>
      </c>
      <c r="C3766" s="1" t="s">
        <v>1164</v>
      </c>
      <c r="D3766" s="1" t="s">
        <v>1166</v>
      </c>
    </row>
    <row r="3767">
      <c r="A3767" s="1" t="s">
        <v>1190</v>
      </c>
      <c r="B3767" s="2" t="s">
        <v>1114</v>
      </c>
      <c r="C3767" s="1" t="s">
        <v>1193</v>
      </c>
      <c r="D3767" s="1" t="s">
        <v>1194</v>
      </c>
    </row>
    <row r="3768">
      <c r="A3768" s="1" t="s">
        <v>9691</v>
      </c>
      <c r="B3768" s="2" t="s">
        <v>9677</v>
      </c>
      <c r="C3768" s="1" t="s">
        <v>1193</v>
      </c>
      <c r="D3768" s="1" t="s">
        <v>1194</v>
      </c>
    </row>
    <row r="3769">
      <c r="A3769" s="1" t="s">
        <v>9692</v>
      </c>
      <c r="B3769" s="2" t="s">
        <v>9679</v>
      </c>
      <c r="C3769" s="1" t="s">
        <v>1193</v>
      </c>
      <c r="D3769" s="1" t="s">
        <v>1194</v>
      </c>
    </row>
    <row r="3770">
      <c r="A3770" s="1" t="s">
        <v>9693</v>
      </c>
      <c r="B3770" s="2" t="s">
        <v>9681</v>
      </c>
      <c r="C3770" s="1" t="s">
        <v>1193</v>
      </c>
      <c r="D3770" s="1" t="s">
        <v>1194</v>
      </c>
    </row>
    <row r="3771">
      <c r="A3771" s="1" t="s">
        <v>9694</v>
      </c>
      <c r="B3771" s="2" t="s">
        <v>9683</v>
      </c>
      <c r="C3771" s="1" t="s">
        <v>1193</v>
      </c>
      <c r="D3771" s="1" t="s">
        <v>1194</v>
      </c>
    </row>
    <row r="3772">
      <c r="A3772" s="1" t="s">
        <v>1181</v>
      </c>
      <c r="B3772" s="2" t="s">
        <v>1114</v>
      </c>
      <c r="C3772" s="1" t="s">
        <v>1184</v>
      </c>
      <c r="D3772" s="1" t="s">
        <v>1185</v>
      </c>
    </row>
    <row r="3773">
      <c r="A3773" s="1" t="s">
        <v>9695</v>
      </c>
      <c r="B3773" s="2" t="s">
        <v>9677</v>
      </c>
      <c r="C3773" s="1" t="s">
        <v>1184</v>
      </c>
      <c r="D3773" s="1" t="s">
        <v>1185</v>
      </c>
    </row>
    <row r="3774">
      <c r="A3774" s="1" t="s">
        <v>9696</v>
      </c>
      <c r="B3774" s="2" t="s">
        <v>9686</v>
      </c>
      <c r="C3774" s="1" t="s">
        <v>1184</v>
      </c>
      <c r="D3774" s="1" t="s">
        <v>1185</v>
      </c>
    </row>
    <row r="3775">
      <c r="A3775" s="1" t="s">
        <v>9697</v>
      </c>
      <c r="B3775" s="2" t="s">
        <v>9688</v>
      </c>
      <c r="C3775" s="1" t="s">
        <v>1184</v>
      </c>
      <c r="D3775" s="1" t="s">
        <v>1185</v>
      </c>
    </row>
    <row r="3776">
      <c r="A3776" s="1" t="s">
        <v>9698</v>
      </c>
      <c r="B3776" s="2" t="s">
        <v>9690</v>
      </c>
      <c r="C3776" s="1" t="s">
        <v>1184</v>
      </c>
      <c r="D3776" s="1" t="s">
        <v>1185</v>
      </c>
    </row>
    <row r="3777">
      <c r="A3777" s="1" t="s">
        <v>1207</v>
      </c>
      <c r="B3777" s="2" t="s">
        <v>1114</v>
      </c>
      <c r="C3777" s="1" t="s">
        <v>1209</v>
      </c>
      <c r="D3777" s="1" t="s">
        <v>1211</v>
      </c>
    </row>
    <row r="3778">
      <c r="A3778" s="1" t="s">
        <v>9699</v>
      </c>
      <c r="B3778" s="2" t="s">
        <v>9677</v>
      </c>
      <c r="C3778" s="1" t="s">
        <v>1209</v>
      </c>
      <c r="D3778" s="1" t="s">
        <v>1211</v>
      </c>
    </row>
    <row r="3779">
      <c r="A3779" s="1" t="s">
        <v>9700</v>
      </c>
      <c r="B3779" s="2" t="s">
        <v>9679</v>
      </c>
      <c r="C3779" s="1" t="s">
        <v>1209</v>
      </c>
      <c r="D3779" s="1" t="s">
        <v>1211</v>
      </c>
    </row>
    <row r="3780">
      <c r="A3780" s="1" t="s">
        <v>9701</v>
      </c>
      <c r="B3780" s="2" t="s">
        <v>9681</v>
      </c>
      <c r="C3780" s="1" t="s">
        <v>1209</v>
      </c>
      <c r="D3780" s="1" t="s">
        <v>1211</v>
      </c>
    </row>
    <row r="3781">
      <c r="A3781" s="1" t="s">
        <v>9702</v>
      </c>
      <c r="B3781" s="2" t="s">
        <v>9683</v>
      </c>
      <c r="C3781" s="1" t="s">
        <v>1209</v>
      </c>
      <c r="D3781" s="1" t="s">
        <v>1211</v>
      </c>
    </row>
    <row r="3782">
      <c r="A3782" s="1" t="s">
        <v>1198</v>
      </c>
      <c r="B3782" s="2" t="s">
        <v>1114</v>
      </c>
      <c r="C3782" s="1" t="s">
        <v>1200</v>
      </c>
      <c r="D3782" s="1" t="s">
        <v>1202</v>
      </c>
    </row>
    <row r="3783">
      <c r="A3783" s="1" t="s">
        <v>9703</v>
      </c>
      <c r="B3783" s="2" t="s">
        <v>9677</v>
      </c>
      <c r="C3783" s="1" t="s">
        <v>1200</v>
      </c>
      <c r="D3783" s="1" t="s">
        <v>1202</v>
      </c>
    </row>
    <row r="3784">
      <c r="A3784" s="1" t="s">
        <v>9704</v>
      </c>
      <c r="B3784" s="2" t="s">
        <v>9686</v>
      </c>
      <c r="C3784" s="1" t="s">
        <v>1200</v>
      </c>
      <c r="D3784" s="1" t="s">
        <v>1202</v>
      </c>
    </row>
    <row r="3785">
      <c r="A3785" s="1" t="s">
        <v>9705</v>
      </c>
      <c r="B3785" s="2" t="s">
        <v>9688</v>
      </c>
      <c r="C3785" s="1" t="s">
        <v>1200</v>
      </c>
      <c r="D3785" s="1" t="s">
        <v>1202</v>
      </c>
    </row>
    <row r="3786">
      <c r="A3786" s="1" t="s">
        <v>9706</v>
      </c>
      <c r="B3786" s="2" t="s">
        <v>9690</v>
      </c>
      <c r="C3786" s="1" t="s">
        <v>1200</v>
      </c>
      <c r="D3786" s="1" t="s">
        <v>1202</v>
      </c>
    </row>
    <row r="3787">
      <c r="A3787" s="1" t="s">
        <v>1224</v>
      </c>
      <c r="B3787" s="2" t="s">
        <v>1114</v>
      </c>
      <c r="C3787" s="1" t="s">
        <v>1225</v>
      </c>
      <c r="D3787" s="1" t="s">
        <v>1227</v>
      </c>
    </row>
    <row r="3788">
      <c r="A3788" s="1" t="s">
        <v>9707</v>
      </c>
      <c r="B3788" s="2" t="s">
        <v>9677</v>
      </c>
      <c r="C3788" s="1" t="s">
        <v>1225</v>
      </c>
      <c r="D3788" s="1" t="s">
        <v>1227</v>
      </c>
    </row>
    <row r="3789">
      <c r="A3789" s="1" t="s">
        <v>9708</v>
      </c>
      <c r="B3789" s="2" t="s">
        <v>9679</v>
      </c>
      <c r="C3789" s="1" t="s">
        <v>1225</v>
      </c>
      <c r="D3789" s="1" t="s">
        <v>1227</v>
      </c>
    </row>
    <row r="3790">
      <c r="A3790" s="1" t="s">
        <v>9709</v>
      </c>
      <c r="B3790" s="2" t="s">
        <v>9681</v>
      </c>
      <c r="C3790" s="1" t="s">
        <v>1225</v>
      </c>
      <c r="D3790" s="1" t="s">
        <v>1227</v>
      </c>
    </row>
    <row r="3791">
      <c r="A3791" s="1" t="s">
        <v>9710</v>
      </c>
      <c r="B3791" s="2" t="s">
        <v>9683</v>
      </c>
      <c r="C3791" s="1" t="s">
        <v>1225</v>
      </c>
      <c r="D3791" s="1" t="s">
        <v>1227</v>
      </c>
    </row>
    <row r="3792">
      <c r="A3792" s="1" t="s">
        <v>1216</v>
      </c>
      <c r="B3792" s="2" t="s">
        <v>1114</v>
      </c>
      <c r="C3792" s="1" t="s">
        <v>1218</v>
      </c>
      <c r="D3792" s="1" t="s">
        <v>1219</v>
      </c>
    </row>
    <row r="3793">
      <c r="A3793" s="1" t="s">
        <v>9711</v>
      </c>
      <c r="B3793" s="2" t="s">
        <v>9677</v>
      </c>
      <c r="C3793" s="1" t="s">
        <v>1218</v>
      </c>
      <c r="D3793" s="1" t="s">
        <v>1219</v>
      </c>
    </row>
    <row r="3794">
      <c r="A3794" s="1" t="s">
        <v>9712</v>
      </c>
      <c r="B3794" s="2" t="s">
        <v>9686</v>
      </c>
      <c r="C3794" s="1" t="s">
        <v>1218</v>
      </c>
      <c r="D3794" s="1" t="s">
        <v>1219</v>
      </c>
    </row>
    <row r="3795">
      <c r="A3795" s="1" t="s">
        <v>9713</v>
      </c>
      <c r="B3795" s="2" t="s">
        <v>9688</v>
      </c>
      <c r="C3795" s="1" t="s">
        <v>1218</v>
      </c>
      <c r="D3795" s="1" t="s">
        <v>1219</v>
      </c>
    </row>
    <row r="3796">
      <c r="A3796" s="1" t="s">
        <v>9714</v>
      </c>
      <c r="B3796" s="2" t="s">
        <v>9690</v>
      </c>
      <c r="C3796" s="1" t="s">
        <v>1218</v>
      </c>
      <c r="D3796" s="1" t="s">
        <v>1219</v>
      </c>
    </row>
    <row r="3797">
      <c r="A3797" s="1" t="s">
        <v>1238</v>
      </c>
      <c r="B3797" s="2" t="s">
        <v>1114</v>
      </c>
      <c r="C3797" s="1" t="s">
        <v>1239</v>
      </c>
      <c r="D3797" s="1" t="s">
        <v>1241</v>
      </c>
    </row>
    <row r="3798">
      <c r="A3798" s="1" t="s">
        <v>9715</v>
      </c>
      <c r="B3798" s="2" t="s">
        <v>9677</v>
      </c>
      <c r="C3798" s="1" t="s">
        <v>1239</v>
      </c>
      <c r="D3798" s="1" t="s">
        <v>1241</v>
      </c>
    </row>
    <row r="3799">
      <c r="A3799" s="1" t="s">
        <v>9716</v>
      </c>
      <c r="B3799" s="2" t="s">
        <v>9679</v>
      </c>
      <c r="C3799" s="1" t="s">
        <v>1239</v>
      </c>
      <c r="D3799" s="1" t="s">
        <v>1241</v>
      </c>
    </row>
    <row r="3800">
      <c r="A3800" s="1" t="s">
        <v>9717</v>
      </c>
      <c r="B3800" s="2" t="s">
        <v>9681</v>
      </c>
      <c r="C3800" s="1" t="s">
        <v>1239</v>
      </c>
      <c r="D3800" s="1" t="s">
        <v>1241</v>
      </c>
    </row>
    <row r="3801">
      <c r="A3801" s="1" t="s">
        <v>9718</v>
      </c>
      <c r="B3801" s="2" t="s">
        <v>9683</v>
      </c>
      <c r="C3801" s="1" t="s">
        <v>1239</v>
      </c>
      <c r="D3801" s="1" t="s">
        <v>1241</v>
      </c>
    </row>
    <row r="3802">
      <c r="A3802" s="1" t="s">
        <v>1231</v>
      </c>
      <c r="B3802" s="2" t="s">
        <v>1114</v>
      </c>
      <c r="C3802" s="1" t="s">
        <v>1232</v>
      </c>
      <c r="D3802" s="1" t="s">
        <v>1234</v>
      </c>
    </row>
    <row r="3803">
      <c r="A3803" s="1" t="s">
        <v>9719</v>
      </c>
      <c r="B3803" s="2" t="s">
        <v>9677</v>
      </c>
      <c r="C3803" s="1" t="s">
        <v>1232</v>
      </c>
      <c r="D3803" s="1" t="s">
        <v>1234</v>
      </c>
    </row>
    <row r="3804">
      <c r="A3804" s="1" t="s">
        <v>9720</v>
      </c>
      <c r="B3804" s="2" t="s">
        <v>9686</v>
      </c>
      <c r="C3804" s="1" t="s">
        <v>1232</v>
      </c>
      <c r="D3804" s="1" t="s">
        <v>1234</v>
      </c>
    </row>
    <row r="3805">
      <c r="A3805" s="1" t="s">
        <v>9721</v>
      </c>
      <c r="B3805" s="2" t="s">
        <v>9688</v>
      </c>
      <c r="C3805" s="1" t="s">
        <v>1232</v>
      </c>
      <c r="D3805" s="1" t="s">
        <v>1234</v>
      </c>
    </row>
    <row r="3806">
      <c r="A3806" s="1" t="s">
        <v>9722</v>
      </c>
      <c r="B3806" s="2" t="s">
        <v>9690</v>
      </c>
      <c r="C3806" s="1" t="s">
        <v>1232</v>
      </c>
      <c r="D3806" s="1" t="s">
        <v>1234</v>
      </c>
    </row>
    <row r="3807">
      <c r="A3807" s="1" t="s">
        <v>1248</v>
      </c>
      <c r="B3807" s="2" t="s">
        <v>1114</v>
      </c>
      <c r="C3807" s="1" t="s">
        <v>1250</v>
      </c>
      <c r="D3807" s="1" t="s">
        <v>1252</v>
      </c>
    </row>
    <row r="3808">
      <c r="A3808" s="1" t="s">
        <v>9723</v>
      </c>
      <c r="B3808" s="2" t="s">
        <v>9677</v>
      </c>
      <c r="C3808" s="1" t="s">
        <v>1250</v>
      </c>
      <c r="D3808" s="1" t="s">
        <v>1252</v>
      </c>
    </row>
    <row r="3809">
      <c r="A3809" s="1" t="s">
        <v>9724</v>
      </c>
      <c r="B3809" s="2" t="s">
        <v>9679</v>
      </c>
      <c r="C3809" s="1" t="s">
        <v>1250</v>
      </c>
      <c r="D3809" s="1" t="s">
        <v>1252</v>
      </c>
    </row>
    <row r="3810">
      <c r="A3810" s="1" t="s">
        <v>9725</v>
      </c>
      <c r="B3810" s="2" t="s">
        <v>9681</v>
      </c>
      <c r="C3810" s="1" t="s">
        <v>1250</v>
      </c>
      <c r="D3810" s="1" t="s">
        <v>1252</v>
      </c>
    </row>
    <row r="3811">
      <c r="A3811" s="1" t="s">
        <v>9726</v>
      </c>
      <c r="B3811" s="2" t="s">
        <v>9683</v>
      </c>
      <c r="C3811" s="1" t="s">
        <v>1250</v>
      </c>
      <c r="D3811" s="1" t="s">
        <v>1252</v>
      </c>
    </row>
    <row r="3812">
      <c r="A3812" s="1" t="s">
        <v>1244</v>
      </c>
      <c r="B3812" s="2" t="s">
        <v>1114</v>
      </c>
      <c r="C3812" s="1" t="s">
        <v>1245</v>
      </c>
      <c r="D3812" s="1" t="s">
        <v>1246</v>
      </c>
    </row>
    <row r="3813">
      <c r="A3813" s="1" t="s">
        <v>9727</v>
      </c>
      <c r="B3813" s="2" t="s">
        <v>9677</v>
      </c>
      <c r="C3813" s="1" t="s">
        <v>1245</v>
      </c>
      <c r="D3813" s="1" t="s">
        <v>1246</v>
      </c>
    </row>
    <row r="3814">
      <c r="A3814" s="1" t="s">
        <v>9728</v>
      </c>
      <c r="B3814" s="2" t="s">
        <v>9686</v>
      </c>
      <c r="C3814" s="1" t="s">
        <v>1245</v>
      </c>
      <c r="D3814" s="1" t="s">
        <v>1246</v>
      </c>
    </row>
    <row r="3815">
      <c r="A3815" s="1" t="s">
        <v>9729</v>
      </c>
      <c r="B3815" s="2" t="s">
        <v>9688</v>
      </c>
      <c r="C3815" s="1" t="s">
        <v>1245</v>
      </c>
      <c r="D3815" s="1" t="s">
        <v>1246</v>
      </c>
    </row>
    <row r="3816">
      <c r="A3816" s="1" t="s">
        <v>9730</v>
      </c>
      <c r="B3816" s="2" t="s">
        <v>9690</v>
      </c>
      <c r="C3816" s="1" t="s">
        <v>1245</v>
      </c>
      <c r="D3816" s="1" t="s">
        <v>1246</v>
      </c>
    </row>
    <row r="3817">
      <c r="A3817" s="1" t="s">
        <v>1262</v>
      </c>
      <c r="B3817" s="2" t="s">
        <v>1114</v>
      </c>
      <c r="C3817" s="1" t="s">
        <v>1264</v>
      </c>
      <c r="D3817" s="1" t="s">
        <v>1266</v>
      </c>
    </row>
    <row r="3818">
      <c r="A3818" s="1" t="s">
        <v>9731</v>
      </c>
      <c r="B3818" s="2" t="s">
        <v>9677</v>
      </c>
      <c r="C3818" s="1" t="s">
        <v>1264</v>
      </c>
      <c r="D3818" s="1" t="s">
        <v>1266</v>
      </c>
    </row>
    <row r="3819">
      <c r="A3819" s="1" t="s">
        <v>9732</v>
      </c>
      <c r="B3819" s="2" t="s">
        <v>9679</v>
      </c>
      <c r="C3819" s="1" t="s">
        <v>1264</v>
      </c>
      <c r="D3819" s="1" t="s">
        <v>1266</v>
      </c>
    </row>
    <row r="3820">
      <c r="A3820" s="1" t="s">
        <v>9733</v>
      </c>
      <c r="B3820" s="2" t="s">
        <v>9681</v>
      </c>
      <c r="C3820" s="1" t="s">
        <v>1264</v>
      </c>
      <c r="D3820" s="1" t="s">
        <v>1266</v>
      </c>
    </row>
    <row r="3821">
      <c r="A3821" s="1" t="s">
        <v>9734</v>
      </c>
      <c r="B3821" s="2" t="s">
        <v>9683</v>
      </c>
      <c r="C3821" s="1" t="s">
        <v>1264</v>
      </c>
      <c r="D3821" s="1" t="s">
        <v>1266</v>
      </c>
    </row>
    <row r="3822">
      <c r="A3822" s="1" t="s">
        <v>1255</v>
      </c>
      <c r="B3822" s="2" t="s">
        <v>1114</v>
      </c>
      <c r="C3822" s="1" t="s">
        <v>1257</v>
      </c>
      <c r="D3822" s="1" t="s">
        <v>1259</v>
      </c>
    </row>
    <row r="3823">
      <c r="A3823" s="1" t="s">
        <v>9735</v>
      </c>
      <c r="B3823" s="2" t="s">
        <v>9677</v>
      </c>
      <c r="C3823" s="1" t="s">
        <v>1257</v>
      </c>
      <c r="D3823" s="1" t="s">
        <v>1259</v>
      </c>
    </row>
    <row r="3824">
      <c r="A3824" s="1" t="s">
        <v>9736</v>
      </c>
      <c r="B3824" s="2" t="s">
        <v>9686</v>
      </c>
      <c r="C3824" s="1" t="s">
        <v>1257</v>
      </c>
      <c r="D3824" s="1" t="s">
        <v>1259</v>
      </c>
    </row>
    <row r="3825">
      <c r="A3825" s="1" t="s">
        <v>9737</v>
      </c>
      <c r="B3825" s="2" t="s">
        <v>9688</v>
      </c>
      <c r="C3825" s="1" t="s">
        <v>1257</v>
      </c>
      <c r="D3825" s="1" t="s">
        <v>1259</v>
      </c>
    </row>
    <row r="3826">
      <c r="A3826" s="1" t="s">
        <v>9738</v>
      </c>
      <c r="B3826" s="2" t="s">
        <v>9690</v>
      </c>
      <c r="C3826" s="1" t="s">
        <v>1257</v>
      </c>
      <c r="D3826" s="1" t="s">
        <v>1259</v>
      </c>
    </row>
    <row r="3827">
      <c r="A3827" s="1" t="s">
        <v>1276</v>
      </c>
      <c r="B3827" s="2" t="s">
        <v>1114</v>
      </c>
      <c r="C3827" s="1" t="s">
        <v>1278</v>
      </c>
      <c r="D3827" s="1" t="s">
        <v>1280</v>
      </c>
    </row>
    <row r="3828">
      <c r="A3828" s="1" t="s">
        <v>9739</v>
      </c>
      <c r="B3828" s="2" t="s">
        <v>9677</v>
      </c>
      <c r="C3828" s="1" t="s">
        <v>1278</v>
      </c>
      <c r="D3828" s="1" t="s">
        <v>1280</v>
      </c>
    </row>
    <row r="3829">
      <c r="A3829" s="1" t="s">
        <v>9740</v>
      </c>
      <c r="B3829" s="2" t="s">
        <v>9679</v>
      </c>
      <c r="C3829" s="1" t="s">
        <v>1278</v>
      </c>
      <c r="D3829" s="1" t="s">
        <v>1280</v>
      </c>
    </row>
    <row r="3830">
      <c r="A3830" s="1" t="s">
        <v>9741</v>
      </c>
      <c r="B3830" s="2" t="s">
        <v>9681</v>
      </c>
      <c r="C3830" s="1" t="s">
        <v>1278</v>
      </c>
      <c r="D3830" s="1" t="s">
        <v>1280</v>
      </c>
    </row>
    <row r="3831">
      <c r="A3831" s="1" t="s">
        <v>9742</v>
      </c>
      <c r="B3831" s="2" t="s">
        <v>9683</v>
      </c>
      <c r="C3831" s="1" t="s">
        <v>1278</v>
      </c>
      <c r="D3831" s="1" t="s">
        <v>1280</v>
      </c>
    </row>
    <row r="3832">
      <c r="A3832" s="1" t="s">
        <v>1269</v>
      </c>
      <c r="B3832" s="2" t="s">
        <v>1114</v>
      </c>
      <c r="C3832" s="1" t="s">
        <v>1270</v>
      </c>
      <c r="D3832" s="1" t="s">
        <v>1272</v>
      </c>
    </row>
    <row r="3833">
      <c r="A3833" s="1" t="s">
        <v>9743</v>
      </c>
      <c r="B3833" s="2" t="s">
        <v>9677</v>
      </c>
      <c r="C3833" s="1" t="s">
        <v>1270</v>
      </c>
      <c r="D3833" s="1" t="s">
        <v>1272</v>
      </c>
    </row>
    <row r="3834">
      <c r="A3834" s="1" t="s">
        <v>9744</v>
      </c>
      <c r="B3834" s="2" t="s">
        <v>9686</v>
      </c>
      <c r="C3834" s="1" t="s">
        <v>1270</v>
      </c>
      <c r="D3834" s="1" t="s">
        <v>1272</v>
      </c>
    </row>
    <row r="3835">
      <c r="A3835" s="1" t="s">
        <v>9745</v>
      </c>
      <c r="B3835" s="2" t="s">
        <v>9688</v>
      </c>
      <c r="C3835" s="1" t="s">
        <v>1270</v>
      </c>
      <c r="D3835" s="1" t="s">
        <v>1272</v>
      </c>
    </row>
    <row r="3836">
      <c r="A3836" s="1" t="s">
        <v>9746</v>
      </c>
      <c r="B3836" s="2" t="s">
        <v>9690</v>
      </c>
      <c r="C3836" s="1" t="s">
        <v>1270</v>
      </c>
      <c r="D3836" s="1" t="s">
        <v>1272</v>
      </c>
    </row>
    <row r="3837">
      <c r="A3837" s="1" t="s">
        <v>1304</v>
      </c>
      <c r="B3837" s="2" t="s">
        <v>1114</v>
      </c>
      <c r="C3837" s="1" t="s">
        <v>1307</v>
      </c>
      <c r="D3837" s="1" t="s">
        <v>1308</v>
      </c>
    </row>
    <row r="3838">
      <c r="A3838" s="1" t="s">
        <v>9747</v>
      </c>
      <c r="B3838" s="2" t="s">
        <v>9677</v>
      </c>
      <c r="C3838" s="1" t="s">
        <v>1307</v>
      </c>
      <c r="D3838" s="1" t="s">
        <v>1308</v>
      </c>
    </row>
    <row r="3839">
      <c r="A3839" s="1" t="s">
        <v>9748</v>
      </c>
      <c r="B3839" s="2" t="s">
        <v>9679</v>
      </c>
      <c r="C3839" s="1" t="s">
        <v>1307</v>
      </c>
      <c r="D3839" s="1" t="s">
        <v>1308</v>
      </c>
    </row>
    <row r="3840">
      <c r="A3840" s="1" t="s">
        <v>9749</v>
      </c>
      <c r="B3840" s="2" t="s">
        <v>9681</v>
      </c>
      <c r="C3840" s="1" t="s">
        <v>1307</v>
      </c>
      <c r="D3840" s="1" t="s">
        <v>1308</v>
      </c>
    </row>
    <row r="3841">
      <c r="A3841" s="1" t="s">
        <v>9750</v>
      </c>
      <c r="B3841" s="2" t="s">
        <v>9683</v>
      </c>
      <c r="C3841" s="1" t="s">
        <v>1307</v>
      </c>
      <c r="D3841" s="1" t="s">
        <v>1308</v>
      </c>
    </row>
    <row r="3842">
      <c r="A3842" s="1" t="s">
        <v>1285</v>
      </c>
      <c r="B3842" s="2" t="s">
        <v>1114</v>
      </c>
      <c r="C3842" s="1" t="s">
        <v>1287</v>
      </c>
      <c r="D3842" s="1" t="s">
        <v>1289</v>
      </c>
    </row>
    <row r="3843">
      <c r="A3843" s="1" t="s">
        <v>9751</v>
      </c>
      <c r="B3843" s="2" t="s">
        <v>9677</v>
      </c>
      <c r="C3843" s="1" t="s">
        <v>1287</v>
      </c>
      <c r="D3843" s="1" t="s">
        <v>1289</v>
      </c>
    </row>
    <row r="3844">
      <c r="A3844" s="1" t="s">
        <v>9752</v>
      </c>
      <c r="B3844" s="2" t="s">
        <v>9686</v>
      </c>
      <c r="C3844" s="1" t="s">
        <v>1287</v>
      </c>
      <c r="D3844" s="1" t="s">
        <v>1289</v>
      </c>
    </row>
    <row r="3845">
      <c r="A3845" s="1" t="s">
        <v>9753</v>
      </c>
      <c r="B3845" s="2" t="s">
        <v>9688</v>
      </c>
      <c r="C3845" s="1" t="s">
        <v>1287</v>
      </c>
      <c r="D3845" s="1" t="s">
        <v>1289</v>
      </c>
    </row>
    <row r="3846">
      <c r="A3846" s="1" t="s">
        <v>9754</v>
      </c>
      <c r="B3846" s="2" t="s">
        <v>9690</v>
      </c>
      <c r="C3846" s="1" t="s">
        <v>1287</v>
      </c>
      <c r="D3846" s="1" t="s">
        <v>1289</v>
      </c>
    </row>
    <row r="3847">
      <c r="A3847" s="1" t="s">
        <v>1322</v>
      </c>
      <c r="B3847" s="2" t="s">
        <v>1114</v>
      </c>
      <c r="C3847" s="1" t="s">
        <v>1325</v>
      </c>
      <c r="D3847" s="1" t="s">
        <v>1326</v>
      </c>
    </row>
    <row r="3848">
      <c r="A3848" s="1" t="s">
        <v>9755</v>
      </c>
      <c r="B3848" s="2" t="s">
        <v>9756</v>
      </c>
      <c r="C3848" s="1" t="s">
        <v>1325</v>
      </c>
      <c r="D3848" s="1" t="s">
        <v>1326</v>
      </c>
    </row>
    <row r="3849">
      <c r="A3849" s="1" t="s">
        <v>9757</v>
      </c>
      <c r="B3849" s="2" t="s">
        <v>9758</v>
      </c>
      <c r="C3849" s="1" t="s">
        <v>1325</v>
      </c>
      <c r="D3849" s="1" t="s">
        <v>1326</v>
      </c>
    </row>
    <row r="3850">
      <c r="A3850" s="1" t="s">
        <v>9759</v>
      </c>
      <c r="B3850" s="2" t="s">
        <v>9760</v>
      </c>
      <c r="C3850" s="1" t="s">
        <v>1325</v>
      </c>
      <c r="D3850" s="1" t="s">
        <v>1326</v>
      </c>
    </row>
    <row r="3851">
      <c r="A3851" s="1" t="s">
        <v>9761</v>
      </c>
      <c r="B3851" s="2" t="s">
        <v>9762</v>
      </c>
      <c r="C3851" s="1" t="s">
        <v>1325</v>
      </c>
      <c r="D3851" s="1" t="s">
        <v>1326</v>
      </c>
    </row>
    <row r="3852">
      <c r="A3852" s="1" t="s">
        <v>9763</v>
      </c>
      <c r="B3852" s="2" t="s">
        <v>9227</v>
      </c>
      <c r="C3852" s="1" t="s">
        <v>1325</v>
      </c>
      <c r="D3852" s="1" t="s">
        <v>1326</v>
      </c>
    </row>
    <row r="3853">
      <c r="A3853" s="1" t="s">
        <v>9764</v>
      </c>
      <c r="B3853" s="2" t="s">
        <v>9765</v>
      </c>
      <c r="C3853" s="1" t="s">
        <v>1325</v>
      </c>
      <c r="D3853" s="1" t="s">
        <v>1326</v>
      </c>
    </row>
    <row r="3854">
      <c r="A3854" s="1" t="s">
        <v>9766</v>
      </c>
      <c r="B3854" s="2" t="s">
        <v>9767</v>
      </c>
      <c r="C3854" s="1" t="s">
        <v>1325</v>
      </c>
      <c r="D3854" s="1" t="s">
        <v>1326</v>
      </c>
    </row>
    <row r="3855">
      <c r="A3855" s="1" t="s">
        <v>9768</v>
      </c>
      <c r="B3855" s="2" t="s">
        <v>9769</v>
      </c>
      <c r="C3855" s="1" t="s">
        <v>1325</v>
      </c>
      <c r="D3855" s="1" t="s">
        <v>1326</v>
      </c>
    </row>
    <row r="3856">
      <c r="A3856" s="1" t="s">
        <v>9770</v>
      </c>
      <c r="B3856" s="2" t="s">
        <v>9771</v>
      </c>
      <c r="C3856" s="1" t="s">
        <v>1325</v>
      </c>
      <c r="D3856" s="1" t="s">
        <v>1326</v>
      </c>
    </row>
    <row r="3857">
      <c r="A3857" s="1" t="s">
        <v>9772</v>
      </c>
      <c r="B3857" s="2" t="s">
        <v>9275</v>
      </c>
      <c r="C3857" s="1" t="s">
        <v>1325</v>
      </c>
      <c r="D3857" s="1" t="s">
        <v>1326</v>
      </c>
    </row>
    <row r="3858">
      <c r="A3858" s="1" t="s">
        <v>9773</v>
      </c>
      <c r="B3858" s="2" t="s">
        <v>9774</v>
      </c>
      <c r="C3858" s="1" t="s">
        <v>1325</v>
      </c>
      <c r="D3858" s="1" t="s">
        <v>1326</v>
      </c>
    </row>
    <row r="3859">
      <c r="A3859" s="1" t="s">
        <v>9775</v>
      </c>
      <c r="B3859" s="2" t="s">
        <v>9776</v>
      </c>
      <c r="C3859" s="1" t="s">
        <v>1325</v>
      </c>
      <c r="D3859" s="1" t="s">
        <v>1326</v>
      </c>
    </row>
    <row r="3860">
      <c r="A3860" s="1" t="s">
        <v>9777</v>
      </c>
      <c r="B3860" s="2" t="s">
        <v>9778</v>
      </c>
      <c r="C3860" s="1" t="s">
        <v>1325</v>
      </c>
      <c r="D3860" s="1" t="s">
        <v>1326</v>
      </c>
    </row>
    <row r="3861">
      <c r="A3861" s="1" t="s">
        <v>9779</v>
      </c>
      <c r="B3861" s="2" t="s">
        <v>9780</v>
      </c>
      <c r="C3861" s="1" t="s">
        <v>1325</v>
      </c>
      <c r="D3861" s="1" t="s">
        <v>1326</v>
      </c>
    </row>
    <row r="3862">
      <c r="A3862" s="1" t="s">
        <v>9781</v>
      </c>
      <c r="B3862" s="2" t="s">
        <v>9324</v>
      </c>
      <c r="C3862" s="1" t="s">
        <v>1325</v>
      </c>
      <c r="D3862" s="1" t="s">
        <v>1326</v>
      </c>
    </row>
    <row r="3863">
      <c r="A3863" s="1" t="s">
        <v>9782</v>
      </c>
      <c r="B3863" s="2" t="s">
        <v>9783</v>
      </c>
      <c r="C3863" s="1" t="s">
        <v>1325</v>
      </c>
      <c r="D3863" s="1" t="s">
        <v>1326</v>
      </c>
    </row>
    <row r="3864">
      <c r="A3864" s="1" t="s">
        <v>9784</v>
      </c>
      <c r="B3864" s="2" t="s">
        <v>9785</v>
      </c>
      <c r="C3864" s="1" t="s">
        <v>1325</v>
      </c>
      <c r="D3864" s="1" t="s">
        <v>1326</v>
      </c>
    </row>
    <row r="3865">
      <c r="A3865" s="1" t="s">
        <v>9786</v>
      </c>
      <c r="B3865" s="2" t="s">
        <v>9787</v>
      </c>
      <c r="C3865" s="1" t="s">
        <v>1325</v>
      </c>
      <c r="D3865" s="1" t="s">
        <v>1326</v>
      </c>
    </row>
    <row r="3866">
      <c r="A3866" s="1" t="s">
        <v>9788</v>
      </c>
      <c r="B3866" s="2" t="s">
        <v>9789</v>
      </c>
      <c r="C3866" s="1" t="s">
        <v>1325</v>
      </c>
      <c r="D3866" s="1" t="s">
        <v>1326</v>
      </c>
    </row>
    <row r="3867">
      <c r="A3867" s="1" t="s">
        <v>9790</v>
      </c>
      <c r="B3867" s="2" t="s">
        <v>9373</v>
      </c>
      <c r="C3867" s="1" t="s">
        <v>1325</v>
      </c>
      <c r="D3867" s="1" t="s">
        <v>1326</v>
      </c>
    </row>
    <row r="3868">
      <c r="A3868" s="1" t="s">
        <v>9791</v>
      </c>
      <c r="B3868" s="2" t="s">
        <v>9792</v>
      </c>
      <c r="C3868" s="1" t="s">
        <v>1325</v>
      </c>
      <c r="D3868" s="1" t="s">
        <v>1326</v>
      </c>
    </row>
    <row r="3869">
      <c r="A3869" s="1" t="s">
        <v>9793</v>
      </c>
      <c r="B3869" s="2" t="s">
        <v>9794</v>
      </c>
      <c r="C3869" s="1" t="s">
        <v>1325</v>
      </c>
      <c r="D3869" s="1" t="s">
        <v>1326</v>
      </c>
    </row>
    <row r="3870">
      <c r="A3870" s="1" t="s">
        <v>9795</v>
      </c>
      <c r="B3870" s="2" t="s">
        <v>9796</v>
      </c>
      <c r="C3870" s="1" t="s">
        <v>1325</v>
      </c>
      <c r="D3870" s="1" t="s">
        <v>1326</v>
      </c>
    </row>
    <row r="3871">
      <c r="A3871" s="1" t="s">
        <v>9797</v>
      </c>
      <c r="B3871" s="2" t="s">
        <v>9798</v>
      </c>
      <c r="C3871" s="1" t="s">
        <v>1325</v>
      </c>
      <c r="D3871" s="1" t="s">
        <v>1326</v>
      </c>
    </row>
    <row r="3872">
      <c r="A3872" s="1" t="s">
        <v>1315</v>
      </c>
      <c r="B3872" s="2" t="s">
        <v>1114</v>
      </c>
      <c r="C3872" s="1" t="s">
        <v>1318</v>
      </c>
      <c r="D3872" s="1" t="s">
        <v>1319</v>
      </c>
    </row>
    <row r="3873">
      <c r="A3873" s="1" t="s">
        <v>9799</v>
      </c>
      <c r="B3873" s="2" t="s">
        <v>9756</v>
      </c>
      <c r="C3873" s="1" t="s">
        <v>1318</v>
      </c>
      <c r="D3873" s="1" t="s">
        <v>1319</v>
      </c>
    </row>
    <row r="3874">
      <c r="A3874" s="1" t="s">
        <v>9800</v>
      </c>
      <c r="B3874" s="2" t="s">
        <v>9758</v>
      </c>
      <c r="C3874" s="1" t="s">
        <v>1318</v>
      </c>
      <c r="D3874" s="1" t="s">
        <v>1319</v>
      </c>
    </row>
    <row r="3875">
      <c r="A3875" s="1" t="s">
        <v>9801</v>
      </c>
      <c r="B3875" s="2" t="s">
        <v>9760</v>
      </c>
      <c r="C3875" s="1" t="s">
        <v>1318</v>
      </c>
      <c r="D3875" s="1" t="s">
        <v>1319</v>
      </c>
    </row>
    <row r="3876">
      <c r="A3876" s="1" t="s">
        <v>9802</v>
      </c>
      <c r="B3876" s="2" t="s">
        <v>9762</v>
      </c>
      <c r="C3876" s="1" t="s">
        <v>1318</v>
      </c>
      <c r="D3876" s="1" t="s">
        <v>1319</v>
      </c>
    </row>
    <row r="3877">
      <c r="A3877" s="1" t="s">
        <v>9803</v>
      </c>
      <c r="B3877" s="2" t="s">
        <v>9227</v>
      </c>
      <c r="C3877" s="1" t="s">
        <v>1318</v>
      </c>
      <c r="D3877" s="1" t="s">
        <v>1319</v>
      </c>
    </row>
    <row r="3878">
      <c r="A3878" s="1" t="s">
        <v>9804</v>
      </c>
      <c r="B3878" s="2" t="s">
        <v>9765</v>
      </c>
      <c r="C3878" s="1" t="s">
        <v>1318</v>
      </c>
      <c r="D3878" s="1" t="s">
        <v>1319</v>
      </c>
    </row>
    <row r="3879">
      <c r="A3879" s="1" t="s">
        <v>9805</v>
      </c>
      <c r="B3879" s="2" t="s">
        <v>9767</v>
      </c>
      <c r="C3879" s="1" t="s">
        <v>1318</v>
      </c>
      <c r="D3879" s="1" t="s">
        <v>1319</v>
      </c>
    </row>
    <row r="3880">
      <c r="A3880" s="1" t="s">
        <v>9806</v>
      </c>
      <c r="B3880" s="2" t="s">
        <v>9769</v>
      </c>
      <c r="C3880" s="1" t="s">
        <v>1318</v>
      </c>
      <c r="D3880" s="1" t="s">
        <v>1319</v>
      </c>
    </row>
    <row r="3881">
      <c r="A3881" s="1" t="s">
        <v>9807</v>
      </c>
      <c r="B3881" s="2" t="s">
        <v>9771</v>
      </c>
      <c r="C3881" s="1" t="s">
        <v>1318</v>
      </c>
      <c r="D3881" s="1" t="s">
        <v>1319</v>
      </c>
    </row>
    <row r="3882">
      <c r="A3882" s="1" t="s">
        <v>9808</v>
      </c>
      <c r="B3882" s="2" t="s">
        <v>9495</v>
      </c>
      <c r="C3882" s="1" t="s">
        <v>1318</v>
      </c>
      <c r="D3882" s="1" t="s">
        <v>1319</v>
      </c>
    </row>
    <row r="3883">
      <c r="A3883" s="1" t="s">
        <v>9809</v>
      </c>
      <c r="B3883" s="2" t="s">
        <v>9810</v>
      </c>
      <c r="C3883" s="1" t="s">
        <v>1318</v>
      </c>
      <c r="D3883" s="1" t="s">
        <v>1319</v>
      </c>
    </row>
    <row r="3884">
      <c r="A3884" s="1" t="s">
        <v>9811</v>
      </c>
      <c r="B3884" s="2" t="s">
        <v>9812</v>
      </c>
      <c r="C3884" s="1" t="s">
        <v>1318</v>
      </c>
      <c r="D3884" s="1" t="s">
        <v>1319</v>
      </c>
    </row>
    <row r="3885">
      <c r="A3885" s="1" t="s">
        <v>9813</v>
      </c>
      <c r="B3885" s="2" t="s">
        <v>9814</v>
      </c>
      <c r="C3885" s="1" t="s">
        <v>1318</v>
      </c>
      <c r="D3885" s="1" t="s">
        <v>1319</v>
      </c>
    </row>
    <row r="3886">
      <c r="A3886" s="1" t="s">
        <v>9815</v>
      </c>
      <c r="B3886" s="2" t="s">
        <v>9816</v>
      </c>
      <c r="C3886" s="1" t="s">
        <v>1318</v>
      </c>
      <c r="D3886" s="1" t="s">
        <v>1319</v>
      </c>
    </row>
    <row r="3887">
      <c r="A3887" s="1" t="s">
        <v>9817</v>
      </c>
      <c r="B3887" s="2" t="s">
        <v>9554</v>
      </c>
      <c r="C3887" s="1" t="s">
        <v>1318</v>
      </c>
      <c r="D3887" s="1" t="s">
        <v>1319</v>
      </c>
    </row>
    <row r="3888">
      <c r="A3888" s="1" t="s">
        <v>9818</v>
      </c>
      <c r="B3888" s="2" t="s">
        <v>9819</v>
      </c>
      <c r="C3888" s="1" t="s">
        <v>1318</v>
      </c>
      <c r="D3888" s="1" t="s">
        <v>1319</v>
      </c>
    </row>
    <row r="3889">
      <c r="A3889" s="1" t="s">
        <v>9820</v>
      </c>
      <c r="B3889" s="2" t="s">
        <v>9821</v>
      </c>
      <c r="C3889" s="1" t="s">
        <v>1318</v>
      </c>
      <c r="D3889" s="1" t="s">
        <v>1319</v>
      </c>
    </row>
    <row r="3890">
      <c r="A3890" s="1" t="s">
        <v>9822</v>
      </c>
      <c r="B3890" s="2" t="s">
        <v>9823</v>
      </c>
      <c r="C3890" s="1" t="s">
        <v>1318</v>
      </c>
      <c r="D3890" s="1" t="s">
        <v>1319</v>
      </c>
    </row>
    <row r="3891">
      <c r="A3891" s="1" t="s">
        <v>9824</v>
      </c>
      <c r="B3891" s="2" t="s">
        <v>9825</v>
      </c>
      <c r="C3891" s="1" t="s">
        <v>1318</v>
      </c>
      <c r="D3891" s="1" t="s">
        <v>1319</v>
      </c>
    </row>
    <row r="3892">
      <c r="A3892" s="1" t="s">
        <v>9826</v>
      </c>
      <c r="B3892" s="2" t="s">
        <v>9586</v>
      </c>
      <c r="C3892" s="1" t="s">
        <v>1318</v>
      </c>
      <c r="D3892" s="1" t="s">
        <v>1319</v>
      </c>
    </row>
    <row r="3893">
      <c r="A3893" s="1" t="s">
        <v>9827</v>
      </c>
      <c r="B3893" s="2" t="s">
        <v>9828</v>
      </c>
      <c r="C3893" s="1" t="s">
        <v>1318</v>
      </c>
      <c r="D3893" s="1" t="s">
        <v>1319</v>
      </c>
    </row>
    <row r="3894">
      <c r="A3894" s="1" t="s">
        <v>9829</v>
      </c>
      <c r="B3894" s="2" t="s">
        <v>9830</v>
      </c>
      <c r="C3894" s="1" t="s">
        <v>1318</v>
      </c>
      <c r="D3894" s="1" t="s">
        <v>1319</v>
      </c>
    </row>
    <row r="3895">
      <c r="A3895" s="1" t="s">
        <v>9831</v>
      </c>
      <c r="B3895" s="2" t="s">
        <v>9832</v>
      </c>
      <c r="C3895" s="1" t="s">
        <v>1318</v>
      </c>
      <c r="D3895" s="1" t="s">
        <v>1319</v>
      </c>
    </row>
    <row r="3896">
      <c r="A3896" s="1" t="s">
        <v>9833</v>
      </c>
      <c r="B3896" s="2" t="s">
        <v>9834</v>
      </c>
      <c r="C3896" s="1" t="s">
        <v>1318</v>
      </c>
      <c r="D3896" s="1" t="s">
        <v>1319</v>
      </c>
    </row>
    <row r="3897">
      <c r="A3897" s="1" t="s">
        <v>1339</v>
      </c>
      <c r="B3897" s="2" t="s">
        <v>1114</v>
      </c>
      <c r="C3897" s="1" t="s">
        <v>1341</v>
      </c>
      <c r="D3897" s="1" t="s">
        <v>1342</v>
      </c>
    </row>
    <row r="3898">
      <c r="A3898" s="1" t="s">
        <v>9835</v>
      </c>
      <c r="B3898" s="2" t="s">
        <v>9836</v>
      </c>
      <c r="C3898" s="1" t="s">
        <v>1341</v>
      </c>
      <c r="D3898" s="1" t="s">
        <v>1342</v>
      </c>
    </row>
    <row r="3899">
      <c r="A3899" s="1" t="s">
        <v>9837</v>
      </c>
      <c r="B3899" s="2" t="s">
        <v>9838</v>
      </c>
      <c r="C3899" s="1" t="s">
        <v>1341</v>
      </c>
      <c r="D3899" s="1" t="s">
        <v>1342</v>
      </c>
    </row>
    <row r="3900">
      <c r="A3900" s="1" t="s">
        <v>9839</v>
      </c>
      <c r="B3900" s="2" t="s">
        <v>9840</v>
      </c>
      <c r="C3900" s="1" t="s">
        <v>1341</v>
      </c>
      <c r="D3900" s="1" t="s">
        <v>1342</v>
      </c>
    </row>
    <row r="3901">
      <c r="A3901" s="1" t="s">
        <v>9841</v>
      </c>
      <c r="B3901" s="2" t="s">
        <v>9842</v>
      </c>
      <c r="C3901" s="1" t="s">
        <v>1341</v>
      </c>
      <c r="D3901" s="1" t="s">
        <v>1342</v>
      </c>
    </row>
    <row r="3902">
      <c r="A3902" s="1" t="s">
        <v>9843</v>
      </c>
      <c r="B3902" s="2" t="s">
        <v>9844</v>
      </c>
      <c r="C3902" s="1" t="s">
        <v>1341</v>
      </c>
      <c r="D3902" s="1" t="s">
        <v>1342</v>
      </c>
    </row>
    <row r="3903">
      <c r="A3903" s="1" t="s">
        <v>9845</v>
      </c>
      <c r="B3903" s="2" t="s">
        <v>9227</v>
      </c>
      <c r="C3903" s="1" t="s">
        <v>1341</v>
      </c>
      <c r="D3903" s="1" t="s">
        <v>1342</v>
      </c>
    </row>
    <row r="3904">
      <c r="A3904" s="1" t="s">
        <v>9846</v>
      </c>
      <c r="B3904" s="2" t="s">
        <v>9847</v>
      </c>
      <c r="C3904" s="1" t="s">
        <v>1341</v>
      </c>
      <c r="D3904" s="1" t="s">
        <v>1342</v>
      </c>
    </row>
    <row r="3905">
      <c r="A3905" s="1" t="s">
        <v>9848</v>
      </c>
      <c r="B3905" s="2" t="s">
        <v>9849</v>
      </c>
      <c r="C3905" s="1" t="s">
        <v>1341</v>
      </c>
      <c r="D3905" s="1" t="s">
        <v>1342</v>
      </c>
    </row>
    <row r="3906">
      <c r="A3906" s="1" t="s">
        <v>9850</v>
      </c>
      <c r="B3906" s="2" t="s">
        <v>9851</v>
      </c>
      <c r="C3906" s="1" t="s">
        <v>1341</v>
      </c>
      <c r="D3906" s="1" t="s">
        <v>1342</v>
      </c>
    </row>
    <row r="3907">
      <c r="A3907" s="1" t="s">
        <v>9852</v>
      </c>
      <c r="B3907" s="2" t="s">
        <v>9853</v>
      </c>
      <c r="C3907" s="1" t="s">
        <v>1341</v>
      </c>
      <c r="D3907" s="1" t="s">
        <v>1342</v>
      </c>
    </row>
    <row r="3908">
      <c r="A3908" s="1" t="s">
        <v>9854</v>
      </c>
      <c r="B3908" s="2" t="s">
        <v>9855</v>
      </c>
      <c r="C3908" s="1" t="s">
        <v>1341</v>
      </c>
      <c r="D3908" s="1" t="s">
        <v>1342</v>
      </c>
    </row>
    <row r="3909">
      <c r="A3909" s="1" t="s">
        <v>9856</v>
      </c>
      <c r="B3909" s="2" t="s">
        <v>9275</v>
      </c>
      <c r="C3909" s="1" t="s">
        <v>1341</v>
      </c>
      <c r="D3909" s="1" t="s">
        <v>1342</v>
      </c>
    </row>
    <row r="3910">
      <c r="A3910" s="1" t="s">
        <v>9857</v>
      </c>
      <c r="B3910" s="2" t="s">
        <v>9858</v>
      </c>
      <c r="C3910" s="1" t="s">
        <v>1341</v>
      </c>
      <c r="D3910" s="1" t="s">
        <v>1342</v>
      </c>
    </row>
    <row r="3911">
      <c r="A3911" s="1" t="s">
        <v>9859</v>
      </c>
      <c r="B3911" s="2" t="s">
        <v>9860</v>
      </c>
      <c r="C3911" s="1" t="s">
        <v>1341</v>
      </c>
      <c r="D3911" s="1" t="s">
        <v>1342</v>
      </c>
    </row>
    <row r="3912">
      <c r="A3912" s="1" t="s">
        <v>9861</v>
      </c>
      <c r="B3912" s="2" t="s">
        <v>9862</v>
      </c>
      <c r="C3912" s="1" t="s">
        <v>1341</v>
      </c>
      <c r="D3912" s="1" t="s">
        <v>1342</v>
      </c>
    </row>
    <row r="3913">
      <c r="A3913" s="1" t="s">
        <v>9863</v>
      </c>
      <c r="B3913" s="2" t="s">
        <v>9864</v>
      </c>
      <c r="C3913" s="1" t="s">
        <v>1341</v>
      </c>
      <c r="D3913" s="1" t="s">
        <v>1342</v>
      </c>
    </row>
    <row r="3914">
      <c r="A3914" s="1" t="s">
        <v>9865</v>
      </c>
      <c r="B3914" s="2" t="s">
        <v>9866</v>
      </c>
      <c r="C3914" s="1" t="s">
        <v>1341</v>
      </c>
      <c r="D3914" s="1" t="s">
        <v>1342</v>
      </c>
    </row>
    <row r="3915">
      <c r="A3915" s="1" t="s">
        <v>9867</v>
      </c>
      <c r="B3915" s="2" t="s">
        <v>9324</v>
      </c>
      <c r="C3915" s="1" t="s">
        <v>1341</v>
      </c>
      <c r="D3915" s="1" t="s">
        <v>1342</v>
      </c>
    </row>
    <row r="3916">
      <c r="A3916" s="1" t="s">
        <v>9868</v>
      </c>
      <c r="B3916" s="2" t="s">
        <v>9869</v>
      </c>
      <c r="C3916" s="1" t="s">
        <v>1341</v>
      </c>
      <c r="D3916" s="1" t="s">
        <v>1342</v>
      </c>
    </row>
    <row r="3917">
      <c r="A3917" s="1" t="s">
        <v>9870</v>
      </c>
      <c r="B3917" s="2" t="s">
        <v>9871</v>
      </c>
      <c r="C3917" s="1" t="s">
        <v>1341</v>
      </c>
      <c r="D3917" s="1" t="s">
        <v>1342</v>
      </c>
    </row>
    <row r="3918">
      <c r="A3918" s="1" t="s">
        <v>9872</v>
      </c>
      <c r="B3918" s="2" t="s">
        <v>9873</v>
      </c>
      <c r="C3918" s="1" t="s">
        <v>1341</v>
      </c>
      <c r="D3918" s="1" t="s">
        <v>1342</v>
      </c>
    </row>
    <row r="3919">
      <c r="A3919" s="1" t="s">
        <v>9874</v>
      </c>
      <c r="B3919" s="2" t="s">
        <v>9875</v>
      </c>
      <c r="C3919" s="1" t="s">
        <v>1341</v>
      </c>
      <c r="D3919" s="1" t="s">
        <v>1342</v>
      </c>
    </row>
    <row r="3920">
      <c r="A3920" s="1" t="s">
        <v>9876</v>
      </c>
      <c r="B3920" s="2" t="s">
        <v>9877</v>
      </c>
      <c r="C3920" s="1" t="s">
        <v>1341</v>
      </c>
      <c r="D3920" s="1" t="s">
        <v>1342</v>
      </c>
    </row>
    <row r="3921">
      <c r="A3921" s="1" t="s">
        <v>9878</v>
      </c>
      <c r="B3921" s="2" t="s">
        <v>9373</v>
      </c>
      <c r="C3921" s="1" t="s">
        <v>1341</v>
      </c>
      <c r="D3921" s="1" t="s">
        <v>1342</v>
      </c>
    </row>
    <row r="3922">
      <c r="A3922" s="1" t="s">
        <v>9879</v>
      </c>
      <c r="B3922" s="2" t="s">
        <v>9880</v>
      </c>
      <c r="C3922" s="1" t="s">
        <v>1341</v>
      </c>
      <c r="D3922" s="1" t="s">
        <v>1342</v>
      </c>
    </row>
    <row r="3923">
      <c r="A3923" s="1" t="s">
        <v>9881</v>
      </c>
      <c r="B3923" s="2" t="s">
        <v>9882</v>
      </c>
      <c r="C3923" s="1" t="s">
        <v>1341</v>
      </c>
      <c r="D3923" s="1" t="s">
        <v>1342</v>
      </c>
    </row>
    <row r="3924">
      <c r="A3924" s="1" t="s">
        <v>9883</v>
      </c>
      <c r="B3924" s="2" t="s">
        <v>9884</v>
      </c>
      <c r="C3924" s="1" t="s">
        <v>1341</v>
      </c>
      <c r="D3924" s="1" t="s">
        <v>1342</v>
      </c>
    </row>
    <row r="3925">
      <c r="A3925" s="1" t="s">
        <v>9885</v>
      </c>
      <c r="B3925" s="2" t="s">
        <v>9886</v>
      </c>
      <c r="C3925" s="1" t="s">
        <v>1341</v>
      </c>
      <c r="D3925" s="1" t="s">
        <v>1342</v>
      </c>
    </row>
    <row r="3926">
      <c r="A3926" s="1" t="s">
        <v>9887</v>
      </c>
      <c r="B3926" s="2" t="s">
        <v>9888</v>
      </c>
      <c r="C3926" s="1" t="s">
        <v>1341</v>
      </c>
      <c r="D3926" s="1" t="s">
        <v>1342</v>
      </c>
    </row>
    <row r="3927">
      <c r="A3927" s="1" t="s">
        <v>1331</v>
      </c>
      <c r="B3927" s="2" t="s">
        <v>1114</v>
      </c>
      <c r="C3927" s="1" t="s">
        <v>1333</v>
      </c>
      <c r="D3927" s="1" t="s">
        <v>1335</v>
      </c>
    </row>
    <row r="3928">
      <c r="A3928" s="1" t="s">
        <v>9889</v>
      </c>
      <c r="B3928" s="2" t="s">
        <v>9836</v>
      </c>
      <c r="C3928" s="1" t="s">
        <v>1333</v>
      </c>
      <c r="D3928" s="1" t="s">
        <v>1335</v>
      </c>
    </row>
    <row r="3929">
      <c r="A3929" s="1" t="s">
        <v>9890</v>
      </c>
      <c r="B3929" s="2" t="s">
        <v>9838</v>
      </c>
      <c r="C3929" s="1" t="s">
        <v>1333</v>
      </c>
      <c r="D3929" s="1" t="s">
        <v>1335</v>
      </c>
    </row>
    <row r="3930">
      <c r="A3930" s="1" t="s">
        <v>9891</v>
      </c>
      <c r="B3930" s="2" t="s">
        <v>9840</v>
      </c>
      <c r="C3930" s="1" t="s">
        <v>1333</v>
      </c>
      <c r="D3930" s="1" t="s">
        <v>1335</v>
      </c>
    </row>
    <row r="3931">
      <c r="A3931" s="1" t="s">
        <v>9892</v>
      </c>
      <c r="B3931" s="2" t="s">
        <v>9842</v>
      </c>
      <c r="C3931" s="1" t="s">
        <v>1333</v>
      </c>
      <c r="D3931" s="1" t="s">
        <v>1335</v>
      </c>
    </row>
    <row r="3932">
      <c r="A3932" s="1" t="s">
        <v>9893</v>
      </c>
      <c r="B3932" s="2" t="s">
        <v>9844</v>
      </c>
      <c r="C3932" s="1" t="s">
        <v>1333</v>
      </c>
      <c r="D3932" s="1" t="s">
        <v>1335</v>
      </c>
    </row>
    <row r="3933">
      <c r="A3933" s="1" t="s">
        <v>9894</v>
      </c>
      <c r="B3933" s="2" t="s">
        <v>9227</v>
      </c>
      <c r="C3933" s="1" t="s">
        <v>1333</v>
      </c>
      <c r="D3933" s="1" t="s">
        <v>1335</v>
      </c>
    </row>
    <row r="3934">
      <c r="A3934" s="1" t="s">
        <v>9895</v>
      </c>
      <c r="B3934" s="2" t="s">
        <v>9847</v>
      </c>
      <c r="C3934" s="1" t="s">
        <v>1333</v>
      </c>
      <c r="D3934" s="1" t="s">
        <v>1335</v>
      </c>
    </row>
    <row r="3935">
      <c r="A3935" s="1" t="s">
        <v>9896</v>
      </c>
      <c r="B3935" s="2" t="s">
        <v>9849</v>
      </c>
      <c r="C3935" s="1" t="s">
        <v>1333</v>
      </c>
      <c r="D3935" s="1" t="s">
        <v>1335</v>
      </c>
    </row>
    <row r="3936">
      <c r="A3936" s="1" t="s">
        <v>9897</v>
      </c>
      <c r="B3936" s="2" t="s">
        <v>9851</v>
      </c>
      <c r="C3936" s="1" t="s">
        <v>1333</v>
      </c>
      <c r="D3936" s="1" t="s">
        <v>1335</v>
      </c>
    </row>
    <row r="3937">
      <c r="A3937" s="1" t="s">
        <v>9898</v>
      </c>
      <c r="B3937" s="2" t="s">
        <v>9853</v>
      </c>
      <c r="C3937" s="1" t="s">
        <v>1333</v>
      </c>
      <c r="D3937" s="1" t="s">
        <v>1335</v>
      </c>
    </row>
    <row r="3938">
      <c r="A3938" s="1" t="s">
        <v>9899</v>
      </c>
      <c r="B3938" s="2" t="s">
        <v>9855</v>
      </c>
      <c r="C3938" s="1" t="s">
        <v>1333</v>
      </c>
      <c r="D3938" s="1" t="s">
        <v>1335</v>
      </c>
    </row>
    <row r="3939">
      <c r="A3939" s="1" t="s">
        <v>9900</v>
      </c>
      <c r="B3939" s="2" t="s">
        <v>9495</v>
      </c>
      <c r="C3939" s="1" t="s">
        <v>1333</v>
      </c>
      <c r="D3939" s="1" t="s">
        <v>1335</v>
      </c>
    </row>
    <row r="3940">
      <c r="A3940" s="1" t="s">
        <v>9901</v>
      </c>
      <c r="B3940" s="2" t="s">
        <v>9902</v>
      </c>
      <c r="C3940" s="1" t="s">
        <v>1333</v>
      </c>
      <c r="D3940" s="1" t="s">
        <v>1335</v>
      </c>
    </row>
    <row r="3941">
      <c r="A3941" s="1" t="s">
        <v>9903</v>
      </c>
      <c r="B3941" s="2" t="s">
        <v>9904</v>
      </c>
      <c r="C3941" s="1" t="s">
        <v>1333</v>
      </c>
      <c r="D3941" s="1" t="s">
        <v>1335</v>
      </c>
    </row>
    <row r="3942">
      <c r="A3942" s="1" t="s">
        <v>9905</v>
      </c>
      <c r="B3942" s="2" t="s">
        <v>9906</v>
      </c>
      <c r="C3942" s="1" t="s">
        <v>1333</v>
      </c>
      <c r="D3942" s="1" t="s">
        <v>1335</v>
      </c>
    </row>
    <row r="3943">
      <c r="A3943" s="1" t="s">
        <v>9907</v>
      </c>
      <c r="B3943" s="2" t="s">
        <v>9908</v>
      </c>
      <c r="C3943" s="1" t="s">
        <v>1333</v>
      </c>
      <c r="D3943" s="1" t="s">
        <v>1335</v>
      </c>
    </row>
    <row r="3944">
      <c r="A3944" s="1" t="s">
        <v>9909</v>
      </c>
      <c r="B3944" s="2" t="s">
        <v>9910</v>
      </c>
      <c r="C3944" s="1" t="s">
        <v>1333</v>
      </c>
      <c r="D3944" s="1" t="s">
        <v>1335</v>
      </c>
    </row>
    <row r="3945">
      <c r="A3945" s="1" t="s">
        <v>9911</v>
      </c>
      <c r="B3945" s="2" t="s">
        <v>9554</v>
      </c>
      <c r="C3945" s="1" t="s">
        <v>1333</v>
      </c>
      <c r="D3945" s="1" t="s">
        <v>1335</v>
      </c>
    </row>
    <row r="3946">
      <c r="A3946" s="1" t="s">
        <v>9912</v>
      </c>
      <c r="B3946" s="2" t="s">
        <v>9913</v>
      </c>
      <c r="C3946" s="1" t="s">
        <v>1333</v>
      </c>
      <c r="D3946" s="1" t="s">
        <v>1335</v>
      </c>
    </row>
    <row r="3947">
      <c r="A3947" s="1" t="s">
        <v>9914</v>
      </c>
      <c r="B3947" s="2" t="s">
        <v>9915</v>
      </c>
      <c r="C3947" s="1" t="s">
        <v>1333</v>
      </c>
      <c r="D3947" s="1" t="s">
        <v>1335</v>
      </c>
    </row>
    <row r="3948">
      <c r="A3948" s="1" t="s">
        <v>9916</v>
      </c>
      <c r="B3948" s="2" t="s">
        <v>9917</v>
      </c>
      <c r="C3948" s="1" t="s">
        <v>1333</v>
      </c>
      <c r="D3948" s="1" t="s">
        <v>1335</v>
      </c>
    </row>
    <row r="3949">
      <c r="A3949" s="1" t="s">
        <v>9918</v>
      </c>
      <c r="B3949" s="2" t="s">
        <v>9919</v>
      </c>
      <c r="C3949" s="1" t="s">
        <v>1333</v>
      </c>
      <c r="D3949" s="1" t="s">
        <v>1335</v>
      </c>
    </row>
    <row r="3950">
      <c r="A3950" s="1" t="s">
        <v>9920</v>
      </c>
      <c r="B3950" s="2" t="s">
        <v>9921</v>
      </c>
      <c r="C3950" s="1" t="s">
        <v>1333</v>
      </c>
      <c r="D3950" s="1" t="s">
        <v>1335</v>
      </c>
    </row>
    <row r="3951">
      <c r="A3951" s="1" t="s">
        <v>9922</v>
      </c>
      <c r="B3951" s="2" t="s">
        <v>9586</v>
      </c>
      <c r="C3951" s="1" t="s">
        <v>1333</v>
      </c>
      <c r="D3951" s="1" t="s">
        <v>1335</v>
      </c>
    </row>
    <row r="3952">
      <c r="A3952" s="1" t="s">
        <v>9923</v>
      </c>
      <c r="B3952" s="2" t="s">
        <v>9924</v>
      </c>
      <c r="C3952" s="1" t="s">
        <v>1333</v>
      </c>
      <c r="D3952" s="1" t="s">
        <v>1335</v>
      </c>
    </row>
    <row r="3953">
      <c r="A3953" s="1" t="s">
        <v>9925</v>
      </c>
      <c r="B3953" s="2" t="s">
        <v>9926</v>
      </c>
      <c r="C3953" s="1" t="s">
        <v>1333</v>
      </c>
      <c r="D3953" s="1" t="s">
        <v>1335</v>
      </c>
    </row>
    <row r="3954">
      <c r="A3954" s="1" t="s">
        <v>9927</v>
      </c>
      <c r="B3954" s="2" t="s">
        <v>9928</v>
      </c>
      <c r="C3954" s="1" t="s">
        <v>1333</v>
      </c>
      <c r="D3954" s="1" t="s">
        <v>1335</v>
      </c>
    </row>
    <row r="3955">
      <c r="A3955" s="1" t="s">
        <v>9929</v>
      </c>
      <c r="B3955" s="2" t="s">
        <v>9930</v>
      </c>
      <c r="C3955" s="1" t="s">
        <v>1333</v>
      </c>
      <c r="D3955" s="1" t="s">
        <v>1335</v>
      </c>
    </row>
    <row r="3956">
      <c r="A3956" s="1" t="s">
        <v>9931</v>
      </c>
      <c r="B3956" s="2" t="s">
        <v>9932</v>
      </c>
      <c r="C3956" s="1" t="s">
        <v>1333</v>
      </c>
      <c r="D3956" s="1" t="s">
        <v>1335</v>
      </c>
    </row>
    <row r="3957">
      <c r="A3957" s="1" t="s">
        <v>1356</v>
      </c>
      <c r="B3957" s="2" t="s">
        <v>1114</v>
      </c>
      <c r="C3957" s="1" t="s">
        <v>1359</v>
      </c>
      <c r="D3957" s="1" t="s">
        <v>1360</v>
      </c>
    </row>
    <row r="3958">
      <c r="A3958" s="1" t="s">
        <v>9933</v>
      </c>
      <c r="B3958" s="2" t="s">
        <v>9934</v>
      </c>
      <c r="C3958" s="1" t="s">
        <v>1359</v>
      </c>
      <c r="D3958" s="1" t="s">
        <v>1360</v>
      </c>
    </row>
    <row r="3959">
      <c r="A3959" s="1" t="s">
        <v>9935</v>
      </c>
      <c r="B3959" s="2" t="s">
        <v>9936</v>
      </c>
      <c r="C3959" s="1" t="s">
        <v>1359</v>
      </c>
      <c r="D3959" s="1" t="s">
        <v>1360</v>
      </c>
    </row>
    <row r="3960">
      <c r="A3960" s="1" t="s">
        <v>9937</v>
      </c>
      <c r="B3960" s="2" t="s">
        <v>9938</v>
      </c>
      <c r="C3960" s="1" t="s">
        <v>1359</v>
      </c>
      <c r="D3960" s="1" t="s">
        <v>1360</v>
      </c>
    </row>
    <row r="3961">
      <c r="A3961" s="1" t="s">
        <v>9939</v>
      </c>
      <c r="B3961" s="2" t="s">
        <v>9940</v>
      </c>
      <c r="C3961" s="1" t="s">
        <v>1359</v>
      </c>
      <c r="D3961" s="1" t="s">
        <v>1360</v>
      </c>
    </row>
    <row r="3962">
      <c r="A3962" s="1" t="s">
        <v>9941</v>
      </c>
      <c r="B3962" s="2" t="s">
        <v>9942</v>
      </c>
      <c r="C3962" s="1" t="s">
        <v>1359</v>
      </c>
      <c r="D3962" s="1" t="s">
        <v>1360</v>
      </c>
    </row>
    <row r="3963">
      <c r="A3963" s="1" t="s">
        <v>9943</v>
      </c>
      <c r="B3963" s="2" t="s">
        <v>9227</v>
      </c>
      <c r="C3963" s="1" t="s">
        <v>1359</v>
      </c>
      <c r="D3963" s="1" t="s">
        <v>1360</v>
      </c>
    </row>
    <row r="3964">
      <c r="A3964" s="1" t="s">
        <v>9944</v>
      </c>
      <c r="B3964" s="2" t="s">
        <v>9945</v>
      </c>
      <c r="C3964" s="1" t="s">
        <v>1359</v>
      </c>
      <c r="D3964" s="1" t="s">
        <v>1360</v>
      </c>
    </row>
    <row r="3965">
      <c r="A3965" s="1" t="s">
        <v>9946</v>
      </c>
      <c r="B3965" s="2" t="s">
        <v>9947</v>
      </c>
      <c r="C3965" s="1" t="s">
        <v>1359</v>
      </c>
      <c r="D3965" s="1" t="s">
        <v>1360</v>
      </c>
    </row>
    <row r="3966">
      <c r="A3966" s="1" t="s">
        <v>9948</v>
      </c>
      <c r="B3966" s="2" t="s">
        <v>9949</v>
      </c>
      <c r="C3966" s="1" t="s">
        <v>1359</v>
      </c>
      <c r="D3966" s="1" t="s">
        <v>1360</v>
      </c>
    </row>
    <row r="3967">
      <c r="A3967" s="1" t="s">
        <v>9950</v>
      </c>
      <c r="B3967" s="2" t="s">
        <v>9951</v>
      </c>
      <c r="C3967" s="1" t="s">
        <v>1359</v>
      </c>
      <c r="D3967" s="1" t="s">
        <v>1360</v>
      </c>
    </row>
    <row r="3968">
      <c r="A3968" s="1" t="s">
        <v>9952</v>
      </c>
      <c r="B3968" s="2" t="s">
        <v>9953</v>
      </c>
      <c r="C3968" s="1" t="s">
        <v>1359</v>
      </c>
      <c r="D3968" s="1" t="s">
        <v>1360</v>
      </c>
    </row>
    <row r="3969">
      <c r="A3969" s="1" t="s">
        <v>9954</v>
      </c>
      <c r="B3969" s="2" t="s">
        <v>9275</v>
      </c>
      <c r="C3969" s="1" t="s">
        <v>1359</v>
      </c>
      <c r="D3969" s="1" t="s">
        <v>1360</v>
      </c>
    </row>
    <row r="3970">
      <c r="A3970" s="1" t="s">
        <v>9955</v>
      </c>
      <c r="B3970" s="2" t="s">
        <v>9956</v>
      </c>
      <c r="C3970" s="1" t="s">
        <v>1359</v>
      </c>
      <c r="D3970" s="1" t="s">
        <v>1360</v>
      </c>
    </row>
    <row r="3971">
      <c r="A3971" s="1" t="s">
        <v>9957</v>
      </c>
      <c r="B3971" s="2" t="s">
        <v>9958</v>
      </c>
      <c r="C3971" s="1" t="s">
        <v>1359</v>
      </c>
      <c r="D3971" s="1" t="s">
        <v>1360</v>
      </c>
    </row>
    <row r="3972">
      <c r="A3972" s="1" t="s">
        <v>9959</v>
      </c>
      <c r="B3972" s="2" t="s">
        <v>9960</v>
      </c>
      <c r="C3972" s="1" t="s">
        <v>1359</v>
      </c>
      <c r="D3972" s="1" t="s">
        <v>1360</v>
      </c>
    </row>
    <row r="3973">
      <c r="A3973" s="1" t="s">
        <v>9961</v>
      </c>
      <c r="B3973" s="2" t="s">
        <v>9962</v>
      </c>
      <c r="C3973" s="1" t="s">
        <v>1359</v>
      </c>
      <c r="D3973" s="1" t="s">
        <v>1360</v>
      </c>
    </row>
    <row r="3974">
      <c r="A3974" s="1" t="s">
        <v>9963</v>
      </c>
      <c r="B3974" s="2" t="s">
        <v>9964</v>
      </c>
      <c r="C3974" s="1" t="s">
        <v>1359</v>
      </c>
      <c r="D3974" s="1" t="s">
        <v>1360</v>
      </c>
    </row>
    <row r="3975">
      <c r="A3975" s="1" t="s">
        <v>9965</v>
      </c>
      <c r="B3975" s="2" t="s">
        <v>9324</v>
      </c>
      <c r="C3975" s="1" t="s">
        <v>1359</v>
      </c>
      <c r="D3975" s="1" t="s">
        <v>1360</v>
      </c>
    </row>
    <row r="3976">
      <c r="A3976" s="1" t="s">
        <v>9966</v>
      </c>
      <c r="B3976" s="2" t="s">
        <v>9967</v>
      </c>
      <c r="C3976" s="1" t="s">
        <v>1359</v>
      </c>
      <c r="D3976" s="1" t="s">
        <v>1360</v>
      </c>
    </row>
    <row r="3977">
      <c r="A3977" s="1" t="s">
        <v>9968</v>
      </c>
      <c r="B3977" s="2" t="s">
        <v>9969</v>
      </c>
      <c r="C3977" s="1" t="s">
        <v>1359</v>
      </c>
      <c r="D3977" s="1" t="s">
        <v>1360</v>
      </c>
    </row>
    <row r="3978">
      <c r="A3978" s="1" t="s">
        <v>9970</v>
      </c>
      <c r="B3978" s="2" t="s">
        <v>9971</v>
      </c>
      <c r="C3978" s="1" t="s">
        <v>1359</v>
      </c>
      <c r="D3978" s="1" t="s">
        <v>1360</v>
      </c>
    </row>
    <row r="3979">
      <c r="A3979" s="1" t="s">
        <v>9972</v>
      </c>
      <c r="B3979" s="2" t="s">
        <v>9973</v>
      </c>
      <c r="C3979" s="1" t="s">
        <v>1359</v>
      </c>
      <c r="D3979" s="1" t="s">
        <v>1360</v>
      </c>
    </row>
    <row r="3980">
      <c r="A3980" s="1" t="s">
        <v>9974</v>
      </c>
      <c r="B3980" s="2" t="s">
        <v>9975</v>
      </c>
      <c r="C3980" s="1" t="s">
        <v>1359</v>
      </c>
      <c r="D3980" s="1" t="s">
        <v>1360</v>
      </c>
    </row>
    <row r="3981">
      <c r="A3981" s="1" t="s">
        <v>9976</v>
      </c>
      <c r="B3981" s="2" t="s">
        <v>9373</v>
      </c>
      <c r="C3981" s="1" t="s">
        <v>1359</v>
      </c>
      <c r="D3981" s="1" t="s">
        <v>1360</v>
      </c>
    </row>
    <row r="3982">
      <c r="A3982" s="1" t="s">
        <v>9977</v>
      </c>
      <c r="B3982" s="2" t="s">
        <v>9978</v>
      </c>
      <c r="C3982" s="1" t="s">
        <v>1359</v>
      </c>
      <c r="D3982" s="1" t="s">
        <v>1360</v>
      </c>
    </row>
    <row r="3983">
      <c r="A3983" s="1" t="s">
        <v>9979</v>
      </c>
      <c r="B3983" s="2" t="s">
        <v>9980</v>
      </c>
      <c r="C3983" s="1" t="s">
        <v>1359</v>
      </c>
      <c r="D3983" s="1" t="s">
        <v>1360</v>
      </c>
    </row>
    <row r="3984">
      <c r="A3984" s="1" t="s">
        <v>9981</v>
      </c>
      <c r="B3984" s="2" t="s">
        <v>9982</v>
      </c>
      <c r="C3984" s="1" t="s">
        <v>1359</v>
      </c>
      <c r="D3984" s="1" t="s">
        <v>1360</v>
      </c>
    </row>
    <row r="3985">
      <c r="A3985" s="1" t="s">
        <v>9983</v>
      </c>
      <c r="B3985" s="2" t="s">
        <v>9984</v>
      </c>
      <c r="C3985" s="1" t="s">
        <v>1359</v>
      </c>
      <c r="D3985" s="1" t="s">
        <v>1360</v>
      </c>
    </row>
    <row r="3986">
      <c r="A3986" s="1" t="s">
        <v>9985</v>
      </c>
      <c r="B3986" s="2" t="s">
        <v>9986</v>
      </c>
      <c r="C3986" s="1" t="s">
        <v>1359</v>
      </c>
      <c r="D3986" s="1" t="s">
        <v>1360</v>
      </c>
    </row>
    <row r="3987">
      <c r="A3987" s="1" t="s">
        <v>1347</v>
      </c>
      <c r="B3987" s="2" t="s">
        <v>1114</v>
      </c>
      <c r="C3987" s="1" t="s">
        <v>1350</v>
      </c>
      <c r="D3987" s="1" t="s">
        <v>1351</v>
      </c>
    </row>
    <row r="3988">
      <c r="A3988" s="1" t="s">
        <v>9987</v>
      </c>
      <c r="B3988" s="2" t="s">
        <v>9934</v>
      </c>
      <c r="C3988" s="1" t="s">
        <v>1350</v>
      </c>
      <c r="D3988" s="1" t="s">
        <v>1351</v>
      </c>
    </row>
    <row r="3989">
      <c r="A3989" s="1" t="s">
        <v>9988</v>
      </c>
      <c r="B3989" s="2" t="s">
        <v>9936</v>
      </c>
      <c r="C3989" s="1" t="s">
        <v>1350</v>
      </c>
      <c r="D3989" s="1" t="s">
        <v>1351</v>
      </c>
    </row>
    <row r="3990">
      <c r="A3990" s="1" t="s">
        <v>9989</v>
      </c>
      <c r="B3990" s="2" t="s">
        <v>9938</v>
      </c>
      <c r="C3990" s="1" t="s">
        <v>1350</v>
      </c>
      <c r="D3990" s="1" t="s">
        <v>1351</v>
      </c>
    </row>
    <row r="3991">
      <c r="A3991" s="1" t="s">
        <v>9990</v>
      </c>
      <c r="B3991" s="2" t="s">
        <v>9940</v>
      </c>
      <c r="C3991" s="1" t="s">
        <v>1350</v>
      </c>
      <c r="D3991" s="1" t="s">
        <v>1351</v>
      </c>
    </row>
    <row r="3992">
      <c r="A3992" s="1" t="s">
        <v>9991</v>
      </c>
      <c r="B3992" s="2" t="s">
        <v>9942</v>
      </c>
      <c r="C3992" s="1" t="s">
        <v>1350</v>
      </c>
      <c r="D3992" s="1" t="s">
        <v>1351</v>
      </c>
    </row>
    <row r="3993">
      <c r="A3993" s="1" t="s">
        <v>9992</v>
      </c>
      <c r="B3993" s="2" t="s">
        <v>9227</v>
      </c>
      <c r="C3993" s="1" t="s">
        <v>1350</v>
      </c>
      <c r="D3993" s="1" t="s">
        <v>1351</v>
      </c>
    </row>
    <row r="3994">
      <c r="A3994" s="1" t="s">
        <v>9993</v>
      </c>
      <c r="B3994" s="2" t="s">
        <v>9945</v>
      </c>
      <c r="C3994" s="1" t="s">
        <v>1350</v>
      </c>
      <c r="D3994" s="1" t="s">
        <v>1351</v>
      </c>
    </row>
    <row r="3995">
      <c r="A3995" s="1" t="s">
        <v>9994</v>
      </c>
      <c r="B3995" s="2" t="s">
        <v>9947</v>
      </c>
      <c r="C3995" s="1" t="s">
        <v>1350</v>
      </c>
      <c r="D3995" s="1" t="s">
        <v>1351</v>
      </c>
    </row>
    <row r="3996">
      <c r="A3996" s="1" t="s">
        <v>9995</v>
      </c>
      <c r="B3996" s="2" t="s">
        <v>9949</v>
      </c>
      <c r="C3996" s="1" t="s">
        <v>1350</v>
      </c>
      <c r="D3996" s="1" t="s">
        <v>1351</v>
      </c>
    </row>
    <row r="3997">
      <c r="A3997" s="1" t="s">
        <v>9996</v>
      </c>
      <c r="B3997" s="2" t="s">
        <v>9951</v>
      </c>
      <c r="C3997" s="1" t="s">
        <v>1350</v>
      </c>
      <c r="D3997" s="1" t="s">
        <v>1351</v>
      </c>
    </row>
    <row r="3998">
      <c r="A3998" s="1" t="s">
        <v>9997</v>
      </c>
      <c r="B3998" s="2" t="s">
        <v>9953</v>
      </c>
      <c r="C3998" s="1" t="s">
        <v>1350</v>
      </c>
      <c r="D3998" s="1" t="s">
        <v>1351</v>
      </c>
    </row>
    <row r="3999">
      <c r="A3999" s="1" t="s">
        <v>9998</v>
      </c>
      <c r="B3999" s="2" t="s">
        <v>9495</v>
      </c>
      <c r="C3999" s="1" t="s">
        <v>1350</v>
      </c>
      <c r="D3999" s="1" t="s">
        <v>1351</v>
      </c>
    </row>
    <row r="4000">
      <c r="A4000" s="1" t="s">
        <v>9999</v>
      </c>
      <c r="B4000" s="2" t="s">
        <v>10000</v>
      </c>
      <c r="C4000" s="1" t="s">
        <v>1350</v>
      </c>
      <c r="D4000" s="1" t="s">
        <v>1351</v>
      </c>
    </row>
    <row r="4001">
      <c r="A4001" s="1" t="s">
        <v>10001</v>
      </c>
      <c r="B4001" s="2" t="s">
        <v>10002</v>
      </c>
      <c r="C4001" s="1" t="s">
        <v>1350</v>
      </c>
      <c r="D4001" s="1" t="s">
        <v>1351</v>
      </c>
    </row>
    <row r="4002">
      <c r="A4002" s="1" t="s">
        <v>10003</v>
      </c>
      <c r="B4002" s="2" t="s">
        <v>10004</v>
      </c>
      <c r="C4002" s="1" t="s">
        <v>1350</v>
      </c>
      <c r="D4002" s="1" t="s">
        <v>1351</v>
      </c>
    </row>
    <row r="4003">
      <c r="A4003" s="1" t="s">
        <v>10005</v>
      </c>
      <c r="B4003" s="2" t="s">
        <v>10006</v>
      </c>
      <c r="C4003" s="1" t="s">
        <v>1350</v>
      </c>
      <c r="D4003" s="1" t="s">
        <v>1351</v>
      </c>
    </row>
    <row r="4004">
      <c r="A4004" s="1" t="s">
        <v>10007</v>
      </c>
      <c r="B4004" s="2" t="s">
        <v>10008</v>
      </c>
      <c r="C4004" s="1" t="s">
        <v>1350</v>
      </c>
      <c r="D4004" s="1" t="s">
        <v>1351</v>
      </c>
    </row>
    <row r="4005">
      <c r="A4005" s="1" t="s">
        <v>10009</v>
      </c>
      <c r="B4005" s="2" t="s">
        <v>9554</v>
      </c>
      <c r="C4005" s="1" t="s">
        <v>1350</v>
      </c>
      <c r="D4005" s="1" t="s">
        <v>1351</v>
      </c>
    </row>
    <row r="4006">
      <c r="A4006" s="1" t="s">
        <v>10010</v>
      </c>
      <c r="B4006" s="2" t="s">
        <v>10011</v>
      </c>
      <c r="C4006" s="1" t="s">
        <v>1350</v>
      </c>
      <c r="D4006" s="1" t="s">
        <v>1351</v>
      </c>
    </row>
    <row r="4007">
      <c r="A4007" s="1" t="s">
        <v>10012</v>
      </c>
      <c r="B4007" s="2" t="s">
        <v>10013</v>
      </c>
      <c r="C4007" s="1" t="s">
        <v>1350</v>
      </c>
      <c r="D4007" s="1" t="s">
        <v>1351</v>
      </c>
    </row>
    <row r="4008">
      <c r="A4008" s="1" t="s">
        <v>10014</v>
      </c>
      <c r="B4008" s="2" t="s">
        <v>10015</v>
      </c>
      <c r="C4008" s="1" t="s">
        <v>1350</v>
      </c>
      <c r="D4008" s="1" t="s">
        <v>1351</v>
      </c>
    </row>
    <row r="4009">
      <c r="A4009" s="1" t="s">
        <v>10016</v>
      </c>
      <c r="B4009" s="2" t="s">
        <v>10017</v>
      </c>
      <c r="C4009" s="1" t="s">
        <v>1350</v>
      </c>
      <c r="D4009" s="1" t="s">
        <v>1351</v>
      </c>
    </row>
    <row r="4010">
      <c r="A4010" s="1" t="s">
        <v>10018</v>
      </c>
      <c r="B4010" s="2" t="s">
        <v>10019</v>
      </c>
      <c r="C4010" s="1" t="s">
        <v>1350</v>
      </c>
      <c r="D4010" s="1" t="s">
        <v>1351</v>
      </c>
    </row>
    <row r="4011">
      <c r="A4011" s="1" t="s">
        <v>10020</v>
      </c>
      <c r="B4011" s="2" t="s">
        <v>9586</v>
      </c>
      <c r="C4011" s="1" t="s">
        <v>1350</v>
      </c>
      <c r="D4011" s="1" t="s">
        <v>1351</v>
      </c>
    </row>
    <row r="4012">
      <c r="A4012" s="1" t="s">
        <v>10021</v>
      </c>
      <c r="B4012" s="2" t="s">
        <v>10022</v>
      </c>
      <c r="C4012" s="1" t="s">
        <v>1350</v>
      </c>
      <c r="D4012" s="1" t="s">
        <v>1351</v>
      </c>
    </row>
    <row r="4013">
      <c r="A4013" s="1" t="s">
        <v>10023</v>
      </c>
      <c r="B4013" s="2" t="s">
        <v>10024</v>
      </c>
      <c r="C4013" s="1" t="s">
        <v>1350</v>
      </c>
      <c r="D4013" s="1" t="s">
        <v>1351</v>
      </c>
    </row>
    <row r="4014">
      <c r="A4014" s="1" t="s">
        <v>10025</v>
      </c>
      <c r="B4014" s="2" t="s">
        <v>10026</v>
      </c>
      <c r="C4014" s="1" t="s">
        <v>1350</v>
      </c>
      <c r="D4014" s="1" t="s">
        <v>1351</v>
      </c>
    </row>
    <row r="4015">
      <c r="A4015" s="1" t="s">
        <v>10027</v>
      </c>
      <c r="B4015" s="2" t="s">
        <v>10028</v>
      </c>
      <c r="C4015" s="1" t="s">
        <v>1350</v>
      </c>
      <c r="D4015" s="1" t="s">
        <v>1351</v>
      </c>
    </row>
    <row r="4016">
      <c r="A4016" s="1" t="s">
        <v>10029</v>
      </c>
      <c r="B4016" s="2" t="s">
        <v>10030</v>
      </c>
      <c r="C4016" s="1" t="s">
        <v>1350</v>
      </c>
      <c r="D4016" s="1" t="s">
        <v>1351</v>
      </c>
    </row>
    <row r="4017">
      <c r="A4017" s="1" t="s">
        <v>1377</v>
      </c>
      <c r="B4017" s="2" t="s">
        <v>1114</v>
      </c>
      <c r="C4017" s="1" t="s">
        <v>1380</v>
      </c>
      <c r="D4017" s="1" t="s">
        <v>1382</v>
      </c>
    </row>
    <row r="4018">
      <c r="A4018" s="1" t="s">
        <v>10031</v>
      </c>
      <c r="B4018" s="2" t="s">
        <v>10032</v>
      </c>
      <c r="C4018" s="1" t="s">
        <v>1380</v>
      </c>
      <c r="D4018" s="1" t="s">
        <v>1382</v>
      </c>
    </row>
    <row r="4019">
      <c r="A4019" s="1" t="s">
        <v>10033</v>
      </c>
      <c r="B4019" s="2" t="s">
        <v>10034</v>
      </c>
      <c r="C4019" s="1" t="s">
        <v>1380</v>
      </c>
      <c r="D4019" s="1" t="s">
        <v>1382</v>
      </c>
    </row>
    <row r="4020">
      <c r="A4020" s="1" t="s">
        <v>10035</v>
      </c>
      <c r="B4020" s="2" t="s">
        <v>10036</v>
      </c>
      <c r="C4020" s="1" t="s">
        <v>1380</v>
      </c>
      <c r="D4020" s="1" t="s">
        <v>1382</v>
      </c>
    </row>
    <row r="4021">
      <c r="A4021" s="1" t="s">
        <v>10037</v>
      </c>
      <c r="B4021" s="2" t="s">
        <v>10038</v>
      </c>
      <c r="C4021" s="1" t="s">
        <v>1380</v>
      </c>
      <c r="D4021" s="1" t="s">
        <v>1382</v>
      </c>
    </row>
    <row r="4022">
      <c r="A4022" s="1" t="s">
        <v>10039</v>
      </c>
      <c r="B4022" s="2" t="s">
        <v>10040</v>
      </c>
      <c r="C4022" s="1" t="s">
        <v>1380</v>
      </c>
      <c r="D4022" s="1" t="s">
        <v>1382</v>
      </c>
    </row>
    <row r="4023">
      <c r="A4023" s="1" t="s">
        <v>10041</v>
      </c>
      <c r="B4023" s="2" t="s">
        <v>10042</v>
      </c>
      <c r="C4023" s="1" t="s">
        <v>1380</v>
      </c>
      <c r="D4023" s="1" t="s">
        <v>1382</v>
      </c>
    </row>
    <row r="4024">
      <c r="A4024" s="1" t="s">
        <v>10043</v>
      </c>
      <c r="B4024" s="2" t="s">
        <v>10044</v>
      </c>
      <c r="C4024" s="1" t="s">
        <v>1380</v>
      </c>
      <c r="D4024" s="1" t="s">
        <v>1382</v>
      </c>
    </row>
    <row r="4025">
      <c r="A4025" s="1" t="s">
        <v>10045</v>
      </c>
      <c r="B4025" s="2" t="s">
        <v>10046</v>
      </c>
      <c r="C4025" s="1" t="s">
        <v>1380</v>
      </c>
      <c r="D4025" s="1" t="s">
        <v>1382</v>
      </c>
    </row>
    <row r="4026">
      <c r="A4026" s="1" t="s">
        <v>10047</v>
      </c>
      <c r="B4026" s="2" t="s">
        <v>10048</v>
      </c>
      <c r="C4026" s="1" t="s">
        <v>1380</v>
      </c>
      <c r="D4026" s="1" t="s">
        <v>1382</v>
      </c>
    </row>
    <row r="4027">
      <c r="A4027" s="1" t="s">
        <v>10049</v>
      </c>
      <c r="B4027" s="2" t="s">
        <v>10050</v>
      </c>
      <c r="C4027" s="1" t="s">
        <v>1380</v>
      </c>
      <c r="D4027" s="1" t="s">
        <v>1382</v>
      </c>
    </row>
    <row r="4028">
      <c r="A4028" s="1" t="s">
        <v>10051</v>
      </c>
      <c r="B4028" s="2" t="s">
        <v>9227</v>
      </c>
      <c r="C4028" s="1" t="s">
        <v>1380</v>
      </c>
      <c r="D4028" s="1" t="s">
        <v>1382</v>
      </c>
    </row>
    <row r="4029">
      <c r="A4029" s="1" t="s">
        <v>10052</v>
      </c>
      <c r="B4029" s="2" t="s">
        <v>10053</v>
      </c>
      <c r="C4029" s="1" t="s">
        <v>1380</v>
      </c>
      <c r="D4029" s="1" t="s">
        <v>1382</v>
      </c>
    </row>
    <row r="4030">
      <c r="A4030" s="1" t="s">
        <v>10054</v>
      </c>
      <c r="B4030" s="2" t="s">
        <v>10055</v>
      </c>
      <c r="C4030" s="1" t="s">
        <v>1380</v>
      </c>
      <c r="D4030" s="1" t="s">
        <v>1382</v>
      </c>
    </row>
    <row r="4031">
      <c r="A4031" s="1" t="s">
        <v>10056</v>
      </c>
      <c r="B4031" s="2" t="s">
        <v>10057</v>
      </c>
      <c r="C4031" s="1" t="s">
        <v>1380</v>
      </c>
      <c r="D4031" s="1" t="s">
        <v>1382</v>
      </c>
    </row>
    <row r="4032">
      <c r="A4032" s="1" t="s">
        <v>10058</v>
      </c>
      <c r="B4032" s="2" t="s">
        <v>10059</v>
      </c>
      <c r="C4032" s="1" t="s">
        <v>1380</v>
      </c>
      <c r="D4032" s="1" t="s">
        <v>1382</v>
      </c>
    </row>
    <row r="4033">
      <c r="A4033" s="1" t="s">
        <v>10060</v>
      </c>
      <c r="B4033" s="2" t="s">
        <v>10061</v>
      </c>
      <c r="C4033" s="1" t="s">
        <v>1380</v>
      </c>
      <c r="D4033" s="1" t="s">
        <v>1382</v>
      </c>
    </row>
    <row r="4034">
      <c r="A4034" s="1" t="s">
        <v>10062</v>
      </c>
      <c r="B4034" s="2" t="s">
        <v>10063</v>
      </c>
      <c r="C4034" s="1" t="s">
        <v>1380</v>
      </c>
      <c r="D4034" s="1" t="s">
        <v>1382</v>
      </c>
    </row>
    <row r="4035">
      <c r="A4035" s="1" t="s">
        <v>10064</v>
      </c>
      <c r="B4035" s="2" t="s">
        <v>10065</v>
      </c>
      <c r="C4035" s="1" t="s">
        <v>1380</v>
      </c>
      <c r="D4035" s="1" t="s">
        <v>1382</v>
      </c>
    </row>
    <row r="4036">
      <c r="A4036" s="1" t="s">
        <v>10066</v>
      </c>
      <c r="B4036" s="2" t="s">
        <v>10067</v>
      </c>
      <c r="C4036" s="1" t="s">
        <v>1380</v>
      </c>
      <c r="D4036" s="1" t="s">
        <v>1382</v>
      </c>
    </row>
    <row r="4037">
      <c r="A4037" s="1" t="s">
        <v>10068</v>
      </c>
      <c r="B4037" s="2" t="s">
        <v>10069</v>
      </c>
      <c r="C4037" s="1" t="s">
        <v>1380</v>
      </c>
      <c r="D4037" s="1" t="s">
        <v>1382</v>
      </c>
    </row>
    <row r="4038">
      <c r="A4038" s="1" t="s">
        <v>10070</v>
      </c>
      <c r="B4038" s="2" t="s">
        <v>10071</v>
      </c>
      <c r="C4038" s="1" t="s">
        <v>1380</v>
      </c>
      <c r="D4038" s="1" t="s">
        <v>1382</v>
      </c>
    </row>
    <row r="4039">
      <c r="A4039" s="1" t="s">
        <v>10072</v>
      </c>
      <c r="B4039" s="2" t="s">
        <v>9275</v>
      </c>
      <c r="C4039" s="1" t="s">
        <v>1380</v>
      </c>
      <c r="D4039" s="1" t="s">
        <v>1382</v>
      </c>
    </row>
    <row r="4040">
      <c r="A4040" s="1" t="s">
        <v>10073</v>
      </c>
      <c r="B4040" s="2" t="s">
        <v>10074</v>
      </c>
      <c r="C4040" s="1" t="s">
        <v>1380</v>
      </c>
      <c r="D4040" s="1" t="s">
        <v>1382</v>
      </c>
    </row>
    <row r="4041">
      <c r="A4041" s="1" t="s">
        <v>10075</v>
      </c>
      <c r="B4041" s="2" t="s">
        <v>10076</v>
      </c>
      <c r="C4041" s="1" t="s">
        <v>1380</v>
      </c>
      <c r="D4041" s="1" t="s">
        <v>1382</v>
      </c>
    </row>
    <row r="4042">
      <c r="A4042" s="1" t="s">
        <v>10077</v>
      </c>
      <c r="B4042" s="2" t="s">
        <v>10078</v>
      </c>
      <c r="C4042" s="1" t="s">
        <v>1380</v>
      </c>
      <c r="D4042" s="1" t="s">
        <v>1382</v>
      </c>
    </row>
    <row r="4043">
      <c r="A4043" s="1" t="s">
        <v>10079</v>
      </c>
      <c r="B4043" s="2" t="s">
        <v>10080</v>
      </c>
      <c r="C4043" s="1" t="s">
        <v>1380</v>
      </c>
      <c r="D4043" s="1" t="s">
        <v>1382</v>
      </c>
    </row>
    <row r="4044">
      <c r="A4044" s="1" t="s">
        <v>10081</v>
      </c>
      <c r="B4044" s="2" t="s">
        <v>10082</v>
      </c>
      <c r="C4044" s="1" t="s">
        <v>1380</v>
      </c>
      <c r="D4044" s="1" t="s">
        <v>1382</v>
      </c>
    </row>
    <row r="4045">
      <c r="A4045" s="1" t="s">
        <v>10083</v>
      </c>
      <c r="B4045" s="2" t="s">
        <v>10084</v>
      </c>
      <c r="C4045" s="1" t="s">
        <v>1380</v>
      </c>
      <c r="D4045" s="1" t="s">
        <v>1382</v>
      </c>
    </row>
    <row r="4046">
      <c r="A4046" s="1" t="s">
        <v>10085</v>
      </c>
      <c r="B4046" s="2" t="s">
        <v>10086</v>
      </c>
      <c r="C4046" s="1" t="s">
        <v>1380</v>
      </c>
      <c r="D4046" s="1" t="s">
        <v>1382</v>
      </c>
    </row>
    <row r="4047">
      <c r="A4047" s="1" t="s">
        <v>10087</v>
      </c>
      <c r="B4047" s="2" t="s">
        <v>10088</v>
      </c>
      <c r="C4047" s="1" t="s">
        <v>1380</v>
      </c>
      <c r="D4047" s="1" t="s">
        <v>1382</v>
      </c>
    </row>
    <row r="4048">
      <c r="A4048" s="1" t="s">
        <v>10089</v>
      </c>
      <c r="B4048" s="2" t="s">
        <v>10090</v>
      </c>
      <c r="C4048" s="1" t="s">
        <v>1380</v>
      </c>
      <c r="D4048" s="1" t="s">
        <v>1382</v>
      </c>
    </row>
    <row r="4049">
      <c r="A4049" s="1" t="s">
        <v>10091</v>
      </c>
      <c r="B4049" s="2" t="s">
        <v>10092</v>
      </c>
      <c r="C4049" s="1" t="s">
        <v>1380</v>
      </c>
      <c r="D4049" s="1" t="s">
        <v>1382</v>
      </c>
    </row>
    <row r="4050">
      <c r="A4050" s="1" t="s">
        <v>10093</v>
      </c>
      <c r="B4050" s="2" t="s">
        <v>9324</v>
      </c>
      <c r="C4050" s="1" t="s">
        <v>1380</v>
      </c>
      <c r="D4050" s="1" t="s">
        <v>1382</v>
      </c>
    </row>
    <row r="4051">
      <c r="A4051" s="1" t="s">
        <v>10094</v>
      </c>
      <c r="B4051" s="2" t="s">
        <v>10095</v>
      </c>
      <c r="C4051" s="1" t="s">
        <v>1380</v>
      </c>
      <c r="D4051" s="1" t="s">
        <v>1382</v>
      </c>
    </row>
    <row r="4052">
      <c r="A4052" s="1" t="s">
        <v>10096</v>
      </c>
      <c r="B4052" s="2" t="s">
        <v>10097</v>
      </c>
      <c r="C4052" s="1" t="s">
        <v>1380</v>
      </c>
      <c r="D4052" s="1" t="s">
        <v>1382</v>
      </c>
    </row>
    <row r="4053">
      <c r="A4053" s="1" t="s">
        <v>10098</v>
      </c>
      <c r="B4053" s="2" t="s">
        <v>10099</v>
      </c>
      <c r="C4053" s="1" t="s">
        <v>1380</v>
      </c>
      <c r="D4053" s="1" t="s">
        <v>1382</v>
      </c>
    </row>
    <row r="4054">
      <c r="A4054" s="1" t="s">
        <v>10100</v>
      </c>
      <c r="B4054" s="2" t="s">
        <v>10101</v>
      </c>
      <c r="C4054" s="1" t="s">
        <v>1380</v>
      </c>
      <c r="D4054" s="1" t="s">
        <v>1382</v>
      </c>
    </row>
    <row r="4055">
      <c r="A4055" s="1" t="s">
        <v>10102</v>
      </c>
      <c r="B4055" s="2" t="s">
        <v>10103</v>
      </c>
      <c r="C4055" s="1" t="s">
        <v>1380</v>
      </c>
      <c r="D4055" s="1" t="s">
        <v>1382</v>
      </c>
    </row>
    <row r="4056">
      <c r="A4056" s="1" t="s">
        <v>10104</v>
      </c>
      <c r="B4056" s="2" t="s">
        <v>10105</v>
      </c>
      <c r="C4056" s="1" t="s">
        <v>1380</v>
      </c>
      <c r="D4056" s="1" t="s">
        <v>1382</v>
      </c>
    </row>
    <row r="4057">
      <c r="A4057" s="1" t="s">
        <v>10106</v>
      </c>
      <c r="B4057" s="2" t="s">
        <v>10107</v>
      </c>
      <c r="C4057" s="1" t="s">
        <v>1380</v>
      </c>
      <c r="D4057" s="1" t="s">
        <v>1382</v>
      </c>
    </row>
    <row r="4058">
      <c r="A4058" s="1" t="s">
        <v>10108</v>
      </c>
      <c r="B4058" s="2" t="s">
        <v>10109</v>
      </c>
      <c r="C4058" s="1" t="s">
        <v>1380</v>
      </c>
      <c r="D4058" s="1" t="s">
        <v>1382</v>
      </c>
    </row>
    <row r="4059">
      <c r="A4059" s="1" t="s">
        <v>10110</v>
      </c>
      <c r="B4059" s="2" t="s">
        <v>10111</v>
      </c>
      <c r="C4059" s="1" t="s">
        <v>1380</v>
      </c>
      <c r="D4059" s="1" t="s">
        <v>1382</v>
      </c>
    </row>
    <row r="4060">
      <c r="A4060" s="1" t="s">
        <v>10112</v>
      </c>
      <c r="B4060" s="2" t="s">
        <v>10113</v>
      </c>
      <c r="C4060" s="1" t="s">
        <v>1380</v>
      </c>
      <c r="D4060" s="1" t="s">
        <v>1382</v>
      </c>
    </row>
    <row r="4061">
      <c r="A4061" s="1" t="s">
        <v>10114</v>
      </c>
      <c r="B4061" s="2" t="s">
        <v>9373</v>
      </c>
      <c r="C4061" s="1" t="s">
        <v>1380</v>
      </c>
      <c r="D4061" s="1" t="s">
        <v>1382</v>
      </c>
    </row>
    <row r="4062">
      <c r="A4062" s="1" t="s">
        <v>10115</v>
      </c>
      <c r="B4062" s="2" t="s">
        <v>10116</v>
      </c>
      <c r="C4062" s="1" t="s">
        <v>1380</v>
      </c>
      <c r="D4062" s="1" t="s">
        <v>1382</v>
      </c>
    </row>
    <row r="4063">
      <c r="A4063" s="1" t="s">
        <v>10117</v>
      </c>
      <c r="B4063" s="2" t="s">
        <v>10118</v>
      </c>
      <c r="C4063" s="1" t="s">
        <v>1380</v>
      </c>
      <c r="D4063" s="1" t="s">
        <v>1382</v>
      </c>
    </row>
    <row r="4064">
      <c r="A4064" s="1" t="s">
        <v>10119</v>
      </c>
      <c r="B4064" s="2" t="s">
        <v>10120</v>
      </c>
      <c r="C4064" s="1" t="s">
        <v>1380</v>
      </c>
      <c r="D4064" s="1" t="s">
        <v>1382</v>
      </c>
    </row>
    <row r="4065">
      <c r="A4065" s="1" t="s">
        <v>10121</v>
      </c>
      <c r="B4065" s="2" t="s">
        <v>10122</v>
      </c>
      <c r="C4065" s="1" t="s">
        <v>1380</v>
      </c>
      <c r="D4065" s="1" t="s">
        <v>1382</v>
      </c>
    </row>
    <row r="4066">
      <c r="A4066" s="1" t="s">
        <v>10123</v>
      </c>
      <c r="B4066" s="2" t="s">
        <v>10124</v>
      </c>
      <c r="C4066" s="1" t="s">
        <v>1380</v>
      </c>
      <c r="D4066" s="1" t="s">
        <v>1382</v>
      </c>
    </row>
    <row r="4067">
      <c r="A4067" s="1" t="s">
        <v>10125</v>
      </c>
      <c r="B4067" s="2" t="s">
        <v>10126</v>
      </c>
      <c r="C4067" s="1" t="s">
        <v>1380</v>
      </c>
      <c r="D4067" s="1" t="s">
        <v>1382</v>
      </c>
    </row>
    <row r="4068">
      <c r="A4068" s="1" t="s">
        <v>10127</v>
      </c>
      <c r="B4068" s="2" t="s">
        <v>10128</v>
      </c>
      <c r="C4068" s="1" t="s">
        <v>1380</v>
      </c>
      <c r="D4068" s="1" t="s">
        <v>1382</v>
      </c>
    </row>
    <row r="4069">
      <c r="A4069" s="1" t="s">
        <v>10129</v>
      </c>
      <c r="B4069" s="2" t="s">
        <v>10130</v>
      </c>
      <c r="C4069" s="1" t="s">
        <v>1380</v>
      </c>
      <c r="D4069" s="1" t="s">
        <v>1382</v>
      </c>
    </row>
    <row r="4070">
      <c r="A4070" s="1" t="s">
        <v>10131</v>
      </c>
      <c r="B4070" s="2" t="s">
        <v>10132</v>
      </c>
      <c r="C4070" s="1" t="s">
        <v>1380</v>
      </c>
      <c r="D4070" s="1" t="s">
        <v>1382</v>
      </c>
    </row>
    <row r="4071">
      <c r="A4071" s="1" t="s">
        <v>10133</v>
      </c>
      <c r="B4071" s="2" t="s">
        <v>10134</v>
      </c>
      <c r="C4071" s="1" t="s">
        <v>1380</v>
      </c>
      <c r="D4071" s="1" t="s">
        <v>1382</v>
      </c>
    </row>
    <row r="4072">
      <c r="A4072" s="1" t="s">
        <v>1365</v>
      </c>
      <c r="B4072" s="2" t="s">
        <v>1114</v>
      </c>
      <c r="C4072" s="1" t="s">
        <v>1368</v>
      </c>
      <c r="D4072" s="1" t="s">
        <v>1369</v>
      </c>
    </row>
    <row r="4073">
      <c r="A4073" s="1" t="s">
        <v>10135</v>
      </c>
      <c r="B4073" s="2" t="s">
        <v>10032</v>
      </c>
      <c r="C4073" s="1" t="s">
        <v>1368</v>
      </c>
      <c r="D4073" s="1" t="s">
        <v>1369</v>
      </c>
    </row>
    <row r="4074">
      <c r="A4074" s="1" t="s">
        <v>10136</v>
      </c>
      <c r="B4074" s="2" t="s">
        <v>10034</v>
      </c>
      <c r="C4074" s="1" t="s">
        <v>1368</v>
      </c>
      <c r="D4074" s="1" t="s">
        <v>1369</v>
      </c>
    </row>
    <row r="4075">
      <c r="A4075" s="1" t="s">
        <v>10137</v>
      </c>
      <c r="B4075" s="2" t="s">
        <v>10036</v>
      </c>
      <c r="C4075" s="1" t="s">
        <v>1368</v>
      </c>
      <c r="D4075" s="1" t="s">
        <v>1369</v>
      </c>
    </row>
    <row r="4076">
      <c r="A4076" s="1" t="s">
        <v>10138</v>
      </c>
      <c r="B4076" s="2" t="s">
        <v>10038</v>
      </c>
      <c r="C4076" s="1" t="s">
        <v>1368</v>
      </c>
      <c r="D4076" s="1" t="s">
        <v>1369</v>
      </c>
    </row>
    <row r="4077">
      <c r="A4077" s="1" t="s">
        <v>10139</v>
      </c>
      <c r="B4077" s="2" t="s">
        <v>10040</v>
      </c>
      <c r="C4077" s="1" t="s">
        <v>1368</v>
      </c>
      <c r="D4077" s="1" t="s">
        <v>1369</v>
      </c>
    </row>
    <row r="4078">
      <c r="A4078" s="1" t="s">
        <v>10140</v>
      </c>
      <c r="B4078" s="2" t="s">
        <v>10042</v>
      </c>
      <c r="C4078" s="1" t="s">
        <v>1368</v>
      </c>
      <c r="D4078" s="1" t="s">
        <v>1369</v>
      </c>
    </row>
    <row r="4079">
      <c r="A4079" s="1" t="s">
        <v>10141</v>
      </c>
      <c r="B4079" s="2" t="s">
        <v>10044</v>
      </c>
      <c r="C4079" s="1" t="s">
        <v>1368</v>
      </c>
      <c r="D4079" s="1" t="s">
        <v>1369</v>
      </c>
    </row>
    <row r="4080">
      <c r="A4080" s="1" t="s">
        <v>10142</v>
      </c>
      <c r="B4080" s="2" t="s">
        <v>10046</v>
      </c>
      <c r="C4080" s="1" t="s">
        <v>1368</v>
      </c>
      <c r="D4080" s="1" t="s">
        <v>1369</v>
      </c>
    </row>
    <row r="4081">
      <c r="A4081" s="1" t="s">
        <v>10143</v>
      </c>
      <c r="B4081" s="2" t="s">
        <v>10048</v>
      </c>
      <c r="C4081" s="1" t="s">
        <v>1368</v>
      </c>
      <c r="D4081" s="1" t="s">
        <v>1369</v>
      </c>
    </row>
    <row r="4082">
      <c r="A4082" s="1" t="s">
        <v>10144</v>
      </c>
      <c r="B4082" s="2" t="s">
        <v>10050</v>
      </c>
      <c r="C4082" s="1" t="s">
        <v>1368</v>
      </c>
      <c r="D4082" s="1" t="s">
        <v>1369</v>
      </c>
    </row>
    <row r="4083">
      <c r="A4083" s="1" t="s">
        <v>10145</v>
      </c>
      <c r="B4083" s="2" t="s">
        <v>9227</v>
      </c>
      <c r="C4083" s="1" t="s">
        <v>1368</v>
      </c>
      <c r="D4083" s="1" t="s">
        <v>1369</v>
      </c>
    </row>
    <row r="4084">
      <c r="A4084" s="1" t="s">
        <v>10146</v>
      </c>
      <c r="B4084" s="2" t="s">
        <v>10053</v>
      </c>
      <c r="C4084" s="1" t="s">
        <v>1368</v>
      </c>
      <c r="D4084" s="1" t="s">
        <v>1369</v>
      </c>
    </row>
    <row r="4085">
      <c r="A4085" s="1" t="s">
        <v>10147</v>
      </c>
      <c r="B4085" s="2" t="s">
        <v>10055</v>
      </c>
      <c r="C4085" s="1" t="s">
        <v>1368</v>
      </c>
      <c r="D4085" s="1" t="s">
        <v>1369</v>
      </c>
    </row>
    <row r="4086">
      <c r="A4086" s="1" t="s">
        <v>10148</v>
      </c>
      <c r="B4086" s="2" t="s">
        <v>10057</v>
      </c>
      <c r="C4086" s="1" t="s">
        <v>1368</v>
      </c>
      <c r="D4086" s="1" t="s">
        <v>1369</v>
      </c>
    </row>
    <row r="4087">
      <c r="A4087" s="1" t="s">
        <v>10149</v>
      </c>
      <c r="B4087" s="2" t="s">
        <v>10059</v>
      </c>
      <c r="C4087" s="1" t="s">
        <v>1368</v>
      </c>
      <c r="D4087" s="1" t="s">
        <v>1369</v>
      </c>
    </row>
    <row r="4088">
      <c r="A4088" s="1" t="s">
        <v>10150</v>
      </c>
      <c r="B4088" s="2" t="s">
        <v>10061</v>
      </c>
      <c r="C4088" s="1" t="s">
        <v>1368</v>
      </c>
      <c r="D4088" s="1" t="s">
        <v>1369</v>
      </c>
    </row>
    <row r="4089">
      <c r="A4089" s="1" t="s">
        <v>10151</v>
      </c>
      <c r="B4089" s="2" t="s">
        <v>10063</v>
      </c>
      <c r="C4089" s="1" t="s">
        <v>1368</v>
      </c>
      <c r="D4089" s="1" t="s">
        <v>1369</v>
      </c>
    </row>
    <row r="4090">
      <c r="A4090" s="1" t="s">
        <v>10152</v>
      </c>
      <c r="B4090" s="2" t="s">
        <v>10065</v>
      </c>
      <c r="C4090" s="1" t="s">
        <v>1368</v>
      </c>
      <c r="D4090" s="1" t="s">
        <v>1369</v>
      </c>
    </row>
    <row r="4091">
      <c r="A4091" s="1" t="s">
        <v>10153</v>
      </c>
      <c r="B4091" s="2" t="s">
        <v>10067</v>
      </c>
      <c r="C4091" s="1" t="s">
        <v>1368</v>
      </c>
      <c r="D4091" s="1" t="s">
        <v>1369</v>
      </c>
    </row>
    <row r="4092">
      <c r="A4092" s="1" t="s">
        <v>10154</v>
      </c>
      <c r="B4092" s="2" t="s">
        <v>10069</v>
      </c>
      <c r="C4092" s="1" t="s">
        <v>1368</v>
      </c>
      <c r="D4092" s="1" t="s">
        <v>1369</v>
      </c>
    </row>
    <row r="4093">
      <c r="A4093" s="1" t="s">
        <v>10155</v>
      </c>
      <c r="B4093" s="2" t="s">
        <v>10071</v>
      </c>
      <c r="C4093" s="1" t="s">
        <v>1368</v>
      </c>
      <c r="D4093" s="1" t="s">
        <v>1369</v>
      </c>
    </row>
    <row r="4094">
      <c r="A4094" s="1" t="s">
        <v>10156</v>
      </c>
      <c r="B4094" s="2" t="s">
        <v>9495</v>
      </c>
      <c r="C4094" s="1" t="s">
        <v>1368</v>
      </c>
      <c r="D4094" s="1" t="s">
        <v>1369</v>
      </c>
    </row>
    <row r="4095">
      <c r="A4095" s="1" t="s">
        <v>10157</v>
      </c>
      <c r="B4095" s="2" t="s">
        <v>10158</v>
      </c>
      <c r="C4095" s="1" t="s">
        <v>1368</v>
      </c>
      <c r="D4095" s="1" t="s">
        <v>1369</v>
      </c>
    </row>
    <row r="4096">
      <c r="A4096" s="1" t="s">
        <v>10159</v>
      </c>
      <c r="B4096" s="2" t="s">
        <v>10160</v>
      </c>
      <c r="C4096" s="1" t="s">
        <v>1368</v>
      </c>
      <c r="D4096" s="1" t="s">
        <v>1369</v>
      </c>
    </row>
    <row r="4097">
      <c r="A4097" s="1" t="s">
        <v>10161</v>
      </c>
      <c r="B4097" s="2" t="s">
        <v>10162</v>
      </c>
      <c r="C4097" s="1" t="s">
        <v>1368</v>
      </c>
      <c r="D4097" s="1" t="s">
        <v>1369</v>
      </c>
    </row>
    <row r="4098">
      <c r="A4098" s="1" t="s">
        <v>10163</v>
      </c>
      <c r="B4098" s="2" t="s">
        <v>10164</v>
      </c>
      <c r="C4098" s="1" t="s">
        <v>1368</v>
      </c>
      <c r="D4098" s="1" t="s">
        <v>1369</v>
      </c>
    </row>
    <row r="4099">
      <c r="A4099" s="1" t="s">
        <v>10165</v>
      </c>
      <c r="B4099" s="2" t="s">
        <v>10166</v>
      </c>
      <c r="C4099" s="1" t="s">
        <v>1368</v>
      </c>
      <c r="D4099" s="1" t="s">
        <v>1369</v>
      </c>
    </row>
    <row r="4100">
      <c r="A4100" s="1" t="s">
        <v>10167</v>
      </c>
      <c r="B4100" s="2" t="s">
        <v>10168</v>
      </c>
      <c r="C4100" s="1" t="s">
        <v>1368</v>
      </c>
      <c r="D4100" s="1" t="s">
        <v>1369</v>
      </c>
    </row>
    <row r="4101">
      <c r="A4101" s="1" t="s">
        <v>10169</v>
      </c>
      <c r="B4101" s="2" t="s">
        <v>10170</v>
      </c>
      <c r="C4101" s="1" t="s">
        <v>1368</v>
      </c>
      <c r="D4101" s="1" t="s">
        <v>1369</v>
      </c>
    </row>
    <row r="4102">
      <c r="A4102" s="1" t="s">
        <v>10171</v>
      </c>
      <c r="B4102" s="2" t="s">
        <v>10172</v>
      </c>
      <c r="C4102" s="1" t="s">
        <v>1368</v>
      </c>
      <c r="D4102" s="1" t="s">
        <v>1369</v>
      </c>
    </row>
    <row r="4103">
      <c r="A4103" s="1" t="s">
        <v>10173</v>
      </c>
      <c r="B4103" s="2" t="s">
        <v>10174</v>
      </c>
      <c r="C4103" s="1" t="s">
        <v>1368</v>
      </c>
      <c r="D4103" s="1" t="s">
        <v>1369</v>
      </c>
    </row>
    <row r="4104">
      <c r="A4104" s="1" t="s">
        <v>10175</v>
      </c>
      <c r="B4104" s="2" t="s">
        <v>10176</v>
      </c>
      <c r="C4104" s="1" t="s">
        <v>1368</v>
      </c>
      <c r="D4104" s="1" t="s">
        <v>1369</v>
      </c>
    </row>
    <row r="4105">
      <c r="A4105" s="1" t="s">
        <v>10177</v>
      </c>
      <c r="B4105" s="2" t="s">
        <v>9554</v>
      </c>
      <c r="C4105" s="1" t="s">
        <v>1368</v>
      </c>
      <c r="D4105" s="1" t="s">
        <v>1369</v>
      </c>
    </row>
    <row r="4106">
      <c r="A4106" s="1" t="s">
        <v>10178</v>
      </c>
      <c r="B4106" s="2" t="s">
        <v>10179</v>
      </c>
      <c r="C4106" s="1" t="s">
        <v>1368</v>
      </c>
      <c r="D4106" s="1" t="s">
        <v>1369</v>
      </c>
    </row>
    <row r="4107">
      <c r="A4107" s="1" t="s">
        <v>10180</v>
      </c>
      <c r="B4107" s="2" t="s">
        <v>10181</v>
      </c>
      <c r="C4107" s="1" t="s">
        <v>1368</v>
      </c>
      <c r="D4107" s="1" t="s">
        <v>1369</v>
      </c>
    </row>
    <row r="4108">
      <c r="A4108" s="1" t="s">
        <v>10182</v>
      </c>
      <c r="B4108" s="2" t="s">
        <v>10183</v>
      </c>
      <c r="C4108" s="1" t="s">
        <v>1368</v>
      </c>
      <c r="D4108" s="1" t="s">
        <v>1369</v>
      </c>
    </row>
    <row r="4109">
      <c r="A4109" s="1" t="s">
        <v>10184</v>
      </c>
      <c r="B4109" s="2" t="s">
        <v>10185</v>
      </c>
      <c r="C4109" s="1" t="s">
        <v>1368</v>
      </c>
      <c r="D4109" s="1" t="s">
        <v>1369</v>
      </c>
    </row>
    <row r="4110">
      <c r="A4110" s="1" t="s">
        <v>10186</v>
      </c>
      <c r="B4110" s="2" t="s">
        <v>10187</v>
      </c>
      <c r="C4110" s="1" t="s">
        <v>1368</v>
      </c>
      <c r="D4110" s="1" t="s">
        <v>1369</v>
      </c>
    </row>
    <row r="4111">
      <c r="A4111" s="1" t="s">
        <v>10188</v>
      </c>
      <c r="B4111" s="2" t="s">
        <v>10189</v>
      </c>
      <c r="C4111" s="1" t="s">
        <v>1368</v>
      </c>
      <c r="D4111" s="1" t="s">
        <v>1369</v>
      </c>
    </row>
    <row r="4112">
      <c r="A4112" s="1" t="s">
        <v>10190</v>
      </c>
      <c r="B4112" s="2" t="s">
        <v>10191</v>
      </c>
      <c r="C4112" s="1" t="s">
        <v>1368</v>
      </c>
      <c r="D4112" s="1" t="s">
        <v>1369</v>
      </c>
    </row>
    <row r="4113">
      <c r="A4113" s="1" t="s">
        <v>10192</v>
      </c>
      <c r="B4113" s="2" t="s">
        <v>10193</v>
      </c>
      <c r="C4113" s="1" t="s">
        <v>1368</v>
      </c>
      <c r="D4113" s="1" t="s">
        <v>1369</v>
      </c>
    </row>
    <row r="4114">
      <c r="A4114" s="1" t="s">
        <v>10194</v>
      </c>
      <c r="B4114" s="2" t="s">
        <v>10195</v>
      </c>
      <c r="C4114" s="1" t="s">
        <v>1368</v>
      </c>
      <c r="D4114" s="1" t="s">
        <v>1369</v>
      </c>
    </row>
    <row r="4115">
      <c r="A4115" s="1" t="s">
        <v>10196</v>
      </c>
      <c r="B4115" s="2" t="s">
        <v>10197</v>
      </c>
      <c r="C4115" s="1" t="s">
        <v>1368</v>
      </c>
      <c r="D4115" s="1" t="s">
        <v>1369</v>
      </c>
    </row>
    <row r="4116">
      <c r="A4116" s="1" t="s">
        <v>10198</v>
      </c>
      <c r="B4116" s="2" t="s">
        <v>9586</v>
      </c>
      <c r="C4116" s="1" t="s">
        <v>1368</v>
      </c>
      <c r="D4116" s="1" t="s">
        <v>1369</v>
      </c>
    </row>
    <row r="4117">
      <c r="A4117" s="1" t="s">
        <v>10199</v>
      </c>
      <c r="B4117" s="2" t="s">
        <v>10200</v>
      </c>
      <c r="C4117" s="1" t="s">
        <v>1368</v>
      </c>
      <c r="D4117" s="1" t="s">
        <v>1369</v>
      </c>
    </row>
    <row r="4118">
      <c r="A4118" s="1" t="s">
        <v>10201</v>
      </c>
      <c r="B4118" s="2" t="s">
        <v>10202</v>
      </c>
      <c r="C4118" s="1" t="s">
        <v>1368</v>
      </c>
      <c r="D4118" s="1" t="s">
        <v>1369</v>
      </c>
    </row>
    <row r="4119">
      <c r="A4119" s="1" t="s">
        <v>10203</v>
      </c>
      <c r="B4119" s="2" t="s">
        <v>10204</v>
      </c>
      <c r="C4119" s="1" t="s">
        <v>1368</v>
      </c>
      <c r="D4119" s="1" t="s">
        <v>1369</v>
      </c>
    </row>
    <row r="4120">
      <c r="A4120" s="1" t="s">
        <v>10205</v>
      </c>
      <c r="B4120" s="2" t="s">
        <v>10206</v>
      </c>
      <c r="C4120" s="1" t="s">
        <v>1368</v>
      </c>
      <c r="D4120" s="1" t="s">
        <v>1369</v>
      </c>
    </row>
    <row r="4121">
      <c r="A4121" s="1" t="s">
        <v>10207</v>
      </c>
      <c r="B4121" s="2" t="s">
        <v>10208</v>
      </c>
      <c r="C4121" s="1" t="s">
        <v>1368</v>
      </c>
      <c r="D4121" s="1" t="s">
        <v>1369</v>
      </c>
    </row>
    <row r="4122">
      <c r="A4122" s="1" t="s">
        <v>10209</v>
      </c>
      <c r="B4122" s="2" t="s">
        <v>10210</v>
      </c>
      <c r="C4122" s="1" t="s">
        <v>1368</v>
      </c>
      <c r="D4122" s="1" t="s">
        <v>1369</v>
      </c>
    </row>
    <row r="4123">
      <c r="A4123" s="1" t="s">
        <v>10211</v>
      </c>
      <c r="B4123" s="2" t="s">
        <v>10212</v>
      </c>
      <c r="C4123" s="1" t="s">
        <v>1368</v>
      </c>
      <c r="D4123" s="1" t="s">
        <v>1369</v>
      </c>
    </row>
    <row r="4124">
      <c r="A4124" s="1" t="s">
        <v>10213</v>
      </c>
      <c r="B4124" s="2" t="s">
        <v>10214</v>
      </c>
      <c r="C4124" s="1" t="s">
        <v>1368</v>
      </c>
      <c r="D4124" s="1" t="s">
        <v>1369</v>
      </c>
    </row>
    <row r="4125">
      <c r="A4125" s="1" t="s">
        <v>10215</v>
      </c>
      <c r="B4125" s="2" t="s">
        <v>10216</v>
      </c>
      <c r="C4125" s="1" t="s">
        <v>1368</v>
      </c>
      <c r="D4125" s="1" t="s">
        <v>1369</v>
      </c>
    </row>
    <row r="4126">
      <c r="A4126" s="1" t="s">
        <v>10217</v>
      </c>
      <c r="B4126" s="2" t="s">
        <v>10218</v>
      </c>
      <c r="C4126" s="1" t="s">
        <v>1368</v>
      </c>
      <c r="D4126" s="1" t="s">
        <v>1369</v>
      </c>
    </row>
    <row r="4127">
      <c r="A4127" s="1" t="s">
        <v>1396</v>
      </c>
      <c r="B4127" s="2" t="s">
        <v>1388</v>
      </c>
      <c r="C4127" s="1" t="s">
        <v>1398</v>
      </c>
      <c r="D4127" s="1" t="s">
        <v>1399</v>
      </c>
    </row>
    <row r="4128">
      <c r="A4128" s="1" t="s">
        <v>10219</v>
      </c>
      <c r="B4128" s="2" t="s">
        <v>10220</v>
      </c>
      <c r="C4128" s="1" t="s">
        <v>1398</v>
      </c>
      <c r="D4128" s="1" t="s">
        <v>1399</v>
      </c>
    </row>
    <row r="4129">
      <c r="A4129" s="1" t="s">
        <v>10221</v>
      </c>
      <c r="B4129" s="2" t="s">
        <v>10222</v>
      </c>
      <c r="C4129" s="1" t="s">
        <v>1398</v>
      </c>
      <c r="D4129" s="1" t="s">
        <v>1399</v>
      </c>
    </row>
    <row r="4130">
      <c r="A4130" s="1" t="s">
        <v>10223</v>
      </c>
      <c r="B4130" s="2" t="s">
        <v>10224</v>
      </c>
      <c r="C4130" s="1" t="s">
        <v>1398</v>
      </c>
      <c r="D4130" s="1" t="s">
        <v>1399</v>
      </c>
    </row>
    <row r="4131">
      <c r="A4131" s="1" t="s">
        <v>10225</v>
      </c>
      <c r="B4131" s="2" t="s">
        <v>10226</v>
      </c>
      <c r="C4131" s="1" t="s">
        <v>1398</v>
      </c>
      <c r="D4131" s="1" t="s">
        <v>1399</v>
      </c>
    </row>
    <row r="4132">
      <c r="A4132" s="1" t="s">
        <v>1386</v>
      </c>
      <c r="B4132" s="2" t="s">
        <v>1388</v>
      </c>
      <c r="C4132" s="1" t="s">
        <v>1391</v>
      </c>
      <c r="D4132" s="1" t="s">
        <v>1392</v>
      </c>
    </row>
    <row r="4133">
      <c r="A4133" s="1" t="s">
        <v>10227</v>
      </c>
      <c r="B4133" s="2" t="s">
        <v>10220</v>
      </c>
      <c r="C4133" s="1" t="s">
        <v>1391</v>
      </c>
      <c r="D4133" s="1" t="s">
        <v>1392</v>
      </c>
    </row>
    <row r="4134">
      <c r="A4134" s="1" t="s">
        <v>10228</v>
      </c>
      <c r="B4134" s="2" t="s">
        <v>10229</v>
      </c>
      <c r="C4134" s="1" t="s">
        <v>1391</v>
      </c>
      <c r="D4134" s="1" t="s">
        <v>1392</v>
      </c>
    </row>
    <row r="4135">
      <c r="A4135" s="1" t="s">
        <v>10230</v>
      </c>
      <c r="B4135" s="2" t="s">
        <v>10231</v>
      </c>
      <c r="C4135" s="1" t="s">
        <v>1391</v>
      </c>
      <c r="D4135" s="1" t="s">
        <v>1392</v>
      </c>
    </row>
    <row r="4136">
      <c r="A4136" s="1" t="s">
        <v>10232</v>
      </c>
      <c r="B4136" s="2" t="s">
        <v>10233</v>
      </c>
      <c r="C4136" s="1" t="s">
        <v>1391</v>
      </c>
      <c r="D4136" s="1" t="s">
        <v>1392</v>
      </c>
    </row>
    <row r="4137">
      <c r="A4137" s="1" t="s">
        <v>1409</v>
      </c>
      <c r="B4137" s="2" t="s">
        <v>1114</v>
      </c>
      <c r="C4137" s="1" t="s">
        <v>1412</v>
      </c>
      <c r="D4137" s="1" t="s">
        <v>1413</v>
      </c>
    </row>
    <row r="4138">
      <c r="A4138" s="1" t="s">
        <v>10234</v>
      </c>
      <c r="B4138" s="2" t="s">
        <v>10235</v>
      </c>
      <c r="C4138" s="1" t="s">
        <v>1412</v>
      </c>
      <c r="D4138" s="1" t="s">
        <v>1413</v>
      </c>
    </row>
    <row r="4139">
      <c r="A4139" s="1" t="s">
        <v>10236</v>
      </c>
      <c r="B4139" s="2" t="s">
        <v>10237</v>
      </c>
      <c r="C4139" s="1" t="s">
        <v>1412</v>
      </c>
      <c r="D4139" s="1" t="s">
        <v>1413</v>
      </c>
    </row>
    <row r="4140">
      <c r="A4140" s="1" t="s">
        <v>10238</v>
      </c>
      <c r="B4140" s="2" t="s">
        <v>10239</v>
      </c>
      <c r="C4140" s="1" t="s">
        <v>1412</v>
      </c>
      <c r="D4140" s="1" t="s">
        <v>1413</v>
      </c>
    </row>
    <row r="4141">
      <c r="A4141" s="1" t="s">
        <v>10240</v>
      </c>
      <c r="B4141" s="2" t="s">
        <v>9227</v>
      </c>
      <c r="C4141" s="1" t="s">
        <v>1412</v>
      </c>
      <c r="D4141" s="1" t="s">
        <v>1413</v>
      </c>
    </row>
    <row r="4142">
      <c r="A4142" s="1" t="s">
        <v>10241</v>
      </c>
      <c r="B4142" s="2" t="s">
        <v>10242</v>
      </c>
      <c r="C4142" s="1" t="s">
        <v>1412</v>
      </c>
      <c r="D4142" s="1" t="s">
        <v>1413</v>
      </c>
    </row>
    <row r="4143">
      <c r="A4143" s="1" t="s">
        <v>10243</v>
      </c>
      <c r="B4143" s="2" t="s">
        <v>10244</v>
      </c>
      <c r="C4143" s="1" t="s">
        <v>1412</v>
      </c>
      <c r="D4143" s="1" t="s">
        <v>1413</v>
      </c>
    </row>
    <row r="4144">
      <c r="A4144" s="1" t="s">
        <v>10245</v>
      </c>
      <c r="B4144" s="2" t="s">
        <v>10246</v>
      </c>
      <c r="C4144" s="1" t="s">
        <v>1412</v>
      </c>
      <c r="D4144" s="1" t="s">
        <v>1413</v>
      </c>
    </row>
    <row r="4145">
      <c r="A4145" s="1" t="s">
        <v>10247</v>
      </c>
      <c r="B4145" s="2" t="s">
        <v>9275</v>
      </c>
      <c r="C4145" s="1" t="s">
        <v>1412</v>
      </c>
      <c r="D4145" s="1" t="s">
        <v>1413</v>
      </c>
    </row>
    <row r="4146">
      <c r="A4146" s="1" t="s">
        <v>10248</v>
      </c>
      <c r="B4146" s="2" t="s">
        <v>10249</v>
      </c>
      <c r="C4146" s="1" t="s">
        <v>1412</v>
      </c>
      <c r="D4146" s="1" t="s">
        <v>1413</v>
      </c>
    </row>
    <row r="4147">
      <c r="A4147" s="1" t="s">
        <v>10250</v>
      </c>
      <c r="B4147" s="2" t="s">
        <v>10251</v>
      </c>
      <c r="C4147" s="1" t="s">
        <v>1412</v>
      </c>
      <c r="D4147" s="1" t="s">
        <v>1413</v>
      </c>
    </row>
    <row r="4148">
      <c r="A4148" s="1" t="s">
        <v>10252</v>
      </c>
      <c r="B4148" s="2" t="s">
        <v>10253</v>
      </c>
      <c r="C4148" s="1" t="s">
        <v>1412</v>
      </c>
      <c r="D4148" s="1" t="s">
        <v>1413</v>
      </c>
    </row>
    <row r="4149">
      <c r="A4149" s="1" t="s">
        <v>10254</v>
      </c>
      <c r="B4149" s="2" t="s">
        <v>9324</v>
      </c>
      <c r="C4149" s="1" t="s">
        <v>1412</v>
      </c>
      <c r="D4149" s="1" t="s">
        <v>1413</v>
      </c>
    </row>
    <row r="4150">
      <c r="A4150" s="1" t="s">
        <v>10255</v>
      </c>
      <c r="B4150" s="2" t="s">
        <v>10256</v>
      </c>
      <c r="C4150" s="1" t="s">
        <v>1412</v>
      </c>
      <c r="D4150" s="1" t="s">
        <v>1413</v>
      </c>
    </row>
    <row r="4151">
      <c r="A4151" s="1" t="s">
        <v>10257</v>
      </c>
      <c r="B4151" s="2" t="s">
        <v>10258</v>
      </c>
      <c r="C4151" s="1" t="s">
        <v>1412</v>
      </c>
      <c r="D4151" s="1" t="s">
        <v>1413</v>
      </c>
    </row>
    <row r="4152">
      <c r="A4152" s="1" t="s">
        <v>10259</v>
      </c>
      <c r="B4152" s="2" t="s">
        <v>10260</v>
      </c>
      <c r="C4152" s="1" t="s">
        <v>1412</v>
      </c>
      <c r="D4152" s="1" t="s">
        <v>1413</v>
      </c>
    </row>
    <row r="4153">
      <c r="A4153" s="1" t="s">
        <v>10261</v>
      </c>
      <c r="B4153" s="2" t="s">
        <v>9373</v>
      </c>
      <c r="C4153" s="1" t="s">
        <v>1412</v>
      </c>
      <c r="D4153" s="1" t="s">
        <v>1413</v>
      </c>
    </row>
    <row r="4154">
      <c r="A4154" s="1" t="s">
        <v>10262</v>
      </c>
      <c r="B4154" s="2" t="s">
        <v>10263</v>
      </c>
      <c r="C4154" s="1" t="s">
        <v>1412</v>
      </c>
      <c r="D4154" s="1" t="s">
        <v>1413</v>
      </c>
    </row>
    <row r="4155">
      <c r="A4155" s="1" t="s">
        <v>10264</v>
      </c>
      <c r="B4155" s="2" t="s">
        <v>10265</v>
      </c>
      <c r="C4155" s="1" t="s">
        <v>1412</v>
      </c>
      <c r="D4155" s="1" t="s">
        <v>1413</v>
      </c>
    </row>
    <row r="4156">
      <c r="A4156" s="1" t="s">
        <v>10266</v>
      </c>
      <c r="B4156" s="2" t="s">
        <v>10267</v>
      </c>
      <c r="C4156" s="1" t="s">
        <v>1412</v>
      </c>
      <c r="D4156" s="1" t="s">
        <v>1413</v>
      </c>
    </row>
    <row r="4157">
      <c r="A4157" s="1" t="s">
        <v>1402</v>
      </c>
      <c r="B4157" s="2" t="s">
        <v>1114</v>
      </c>
      <c r="C4157" s="1" t="s">
        <v>1405</v>
      </c>
      <c r="D4157" s="1" t="s">
        <v>1406</v>
      </c>
    </row>
    <row r="4158">
      <c r="A4158" s="1" t="s">
        <v>10268</v>
      </c>
      <c r="B4158" s="2" t="s">
        <v>10235</v>
      </c>
      <c r="C4158" s="1" t="s">
        <v>1405</v>
      </c>
      <c r="D4158" s="1" t="s">
        <v>1406</v>
      </c>
    </row>
    <row r="4159">
      <c r="A4159" s="1" t="s">
        <v>10269</v>
      </c>
      <c r="B4159" s="2" t="s">
        <v>10237</v>
      </c>
      <c r="C4159" s="1" t="s">
        <v>1405</v>
      </c>
      <c r="D4159" s="1" t="s">
        <v>1406</v>
      </c>
    </row>
    <row r="4160">
      <c r="A4160" s="1" t="s">
        <v>10270</v>
      </c>
      <c r="B4160" s="2" t="s">
        <v>10239</v>
      </c>
      <c r="C4160" s="1" t="s">
        <v>1405</v>
      </c>
      <c r="D4160" s="1" t="s">
        <v>1406</v>
      </c>
    </row>
    <row r="4161">
      <c r="A4161" s="1" t="s">
        <v>10271</v>
      </c>
      <c r="B4161" s="2" t="s">
        <v>9227</v>
      </c>
      <c r="C4161" s="1" t="s">
        <v>1405</v>
      </c>
      <c r="D4161" s="1" t="s">
        <v>1406</v>
      </c>
    </row>
    <row r="4162">
      <c r="A4162" s="1" t="s">
        <v>10272</v>
      </c>
      <c r="B4162" s="2" t="s">
        <v>10242</v>
      </c>
      <c r="C4162" s="1" t="s">
        <v>1405</v>
      </c>
      <c r="D4162" s="1" t="s">
        <v>1406</v>
      </c>
    </row>
    <row r="4163">
      <c r="A4163" s="1" t="s">
        <v>10273</v>
      </c>
      <c r="B4163" s="2" t="s">
        <v>10244</v>
      </c>
      <c r="C4163" s="1" t="s">
        <v>1405</v>
      </c>
      <c r="D4163" s="1" t="s">
        <v>1406</v>
      </c>
    </row>
    <row r="4164">
      <c r="A4164" s="1" t="s">
        <v>10274</v>
      </c>
      <c r="B4164" s="2" t="s">
        <v>10246</v>
      </c>
      <c r="C4164" s="1" t="s">
        <v>1405</v>
      </c>
      <c r="D4164" s="1" t="s">
        <v>1406</v>
      </c>
    </row>
    <row r="4165">
      <c r="A4165" s="1" t="s">
        <v>10275</v>
      </c>
      <c r="B4165" s="2" t="s">
        <v>9495</v>
      </c>
      <c r="C4165" s="1" t="s">
        <v>1405</v>
      </c>
      <c r="D4165" s="1" t="s">
        <v>1406</v>
      </c>
    </row>
    <row r="4166">
      <c r="A4166" s="1" t="s">
        <v>10276</v>
      </c>
      <c r="B4166" s="2" t="s">
        <v>10277</v>
      </c>
      <c r="C4166" s="1" t="s">
        <v>1405</v>
      </c>
      <c r="D4166" s="1" t="s">
        <v>1406</v>
      </c>
    </row>
    <row r="4167">
      <c r="A4167" s="1" t="s">
        <v>10278</v>
      </c>
      <c r="B4167" s="2" t="s">
        <v>10279</v>
      </c>
      <c r="C4167" s="1" t="s">
        <v>1405</v>
      </c>
      <c r="D4167" s="1" t="s">
        <v>1406</v>
      </c>
    </row>
    <row r="4168">
      <c r="A4168" s="1" t="s">
        <v>10280</v>
      </c>
      <c r="B4168" s="2" t="s">
        <v>10281</v>
      </c>
      <c r="C4168" s="1" t="s">
        <v>1405</v>
      </c>
      <c r="D4168" s="1" t="s">
        <v>1406</v>
      </c>
    </row>
    <row r="4169">
      <c r="A4169" s="1" t="s">
        <v>10282</v>
      </c>
      <c r="B4169" s="2" t="s">
        <v>9554</v>
      </c>
      <c r="C4169" s="1" t="s">
        <v>1405</v>
      </c>
      <c r="D4169" s="1" t="s">
        <v>1406</v>
      </c>
    </row>
    <row r="4170">
      <c r="A4170" s="1" t="s">
        <v>10283</v>
      </c>
      <c r="B4170" s="2" t="s">
        <v>10284</v>
      </c>
      <c r="C4170" s="1" t="s">
        <v>1405</v>
      </c>
      <c r="D4170" s="1" t="s">
        <v>1406</v>
      </c>
    </row>
    <row r="4171">
      <c r="A4171" s="1" t="s">
        <v>10285</v>
      </c>
      <c r="B4171" s="2" t="s">
        <v>10286</v>
      </c>
      <c r="C4171" s="1" t="s">
        <v>1405</v>
      </c>
      <c r="D4171" s="1" t="s">
        <v>1406</v>
      </c>
    </row>
    <row r="4172">
      <c r="A4172" s="1" t="s">
        <v>10287</v>
      </c>
      <c r="B4172" s="2" t="s">
        <v>10288</v>
      </c>
      <c r="C4172" s="1" t="s">
        <v>1405</v>
      </c>
      <c r="D4172" s="1" t="s">
        <v>1406</v>
      </c>
    </row>
    <row r="4173">
      <c r="A4173" s="1" t="s">
        <v>10289</v>
      </c>
      <c r="B4173" s="2" t="s">
        <v>9586</v>
      </c>
      <c r="C4173" s="1" t="s">
        <v>1405</v>
      </c>
      <c r="D4173" s="1" t="s">
        <v>1406</v>
      </c>
    </row>
    <row r="4174">
      <c r="A4174" s="1" t="s">
        <v>10290</v>
      </c>
      <c r="B4174" s="2" t="s">
        <v>10291</v>
      </c>
      <c r="C4174" s="1" t="s">
        <v>1405</v>
      </c>
      <c r="D4174" s="1" t="s">
        <v>1406</v>
      </c>
    </row>
    <row r="4175">
      <c r="A4175" s="1" t="s">
        <v>10292</v>
      </c>
      <c r="B4175" s="2" t="s">
        <v>10293</v>
      </c>
      <c r="C4175" s="1" t="s">
        <v>1405</v>
      </c>
      <c r="D4175" s="1" t="s">
        <v>1406</v>
      </c>
    </row>
    <row r="4176">
      <c r="A4176" s="1" t="s">
        <v>10294</v>
      </c>
      <c r="B4176" s="2" t="s">
        <v>10295</v>
      </c>
      <c r="C4176" s="1" t="s">
        <v>1405</v>
      </c>
      <c r="D4176" s="1" t="s">
        <v>1406</v>
      </c>
    </row>
    <row r="4177">
      <c r="A4177" s="1" t="s">
        <v>1422</v>
      </c>
      <c r="B4177" s="2" t="s">
        <v>1114</v>
      </c>
      <c r="C4177" s="1" t="s">
        <v>1424</v>
      </c>
      <c r="D4177" s="1" t="s">
        <v>1425</v>
      </c>
    </row>
    <row r="4178">
      <c r="A4178" s="1" t="s">
        <v>10296</v>
      </c>
      <c r="B4178" s="2" t="s">
        <v>10297</v>
      </c>
      <c r="C4178" s="1" t="s">
        <v>1424</v>
      </c>
      <c r="D4178" s="1" t="s">
        <v>1425</v>
      </c>
    </row>
    <row r="4179">
      <c r="A4179" s="1" t="s">
        <v>10298</v>
      </c>
      <c r="B4179" s="2" t="s">
        <v>10299</v>
      </c>
      <c r="C4179" s="1" t="s">
        <v>1424</v>
      </c>
      <c r="D4179" s="1" t="s">
        <v>1425</v>
      </c>
    </row>
    <row r="4180">
      <c r="A4180" s="1" t="s">
        <v>10300</v>
      </c>
      <c r="B4180" s="2" t="s">
        <v>10301</v>
      </c>
      <c r="C4180" s="1" t="s">
        <v>1424</v>
      </c>
      <c r="D4180" s="1" t="s">
        <v>1425</v>
      </c>
    </row>
    <row r="4181">
      <c r="A4181" s="1" t="s">
        <v>10302</v>
      </c>
      <c r="B4181" s="2" t="s">
        <v>10303</v>
      </c>
      <c r="C4181" s="1" t="s">
        <v>1424</v>
      </c>
      <c r="D4181" s="1" t="s">
        <v>1425</v>
      </c>
    </row>
    <row r="4182">
      <c r="A4182" s="1" t="s">
        <v>10304</v>
      </c>
      <c r="B4182" s="2" t="s">
        <v>10305</v>
      </c>
      <c r="C4182" s="1" t="s">
        <v>1424</v>
      </c>
      <c r="D4182" s="1" t="s">
        <v>1425</v>
      </c>
    </row>
    <row r="4183">
      <c r="A4183" s="1" t="s">
        <v>10306</v>
      </c>
      <c r="B4183" s="2" t="s">
        <v>9275</v>
      </c>
      <c r="C4183" s="1" t="s">
        <v>1424</v>
      </c>
      <c r="D4183" s="1" t="s">
        <v>1425</v>
      </c>
    </row>
    <row r="4184">
      <c r="A4184" s="1" t="s">
        <v>10307</v>
      </c>
      <c r="B4184" s="2" t="s">
        <v>10308</v>
      </c>
      <c r="C4184" s="1" t="s">
        <v>1424</v>
      </c>
      <c r="D4184" s="1" t="s">
        <v>1425</v>
      </c>
    </row>
    <row r="4185">
      <c r="A4185" s="1" t="s">
        <v>10309</v>
      </c>
      <c r="B4185" s="2" t="s">
        <v>10310</v>
      </c>
      <c r="C4185" s="1" t="s">
        <v>1424</v>
      </c>
      <c r="D4185" s="1" t="s">
        <v>1425</v>
      </c>
    </row>
    <row r="4186">
      <c r="A4186" s="1" t="s">
        <v>10311</v>
      </c>
      <c r="B4186" s="2" t="s">
        <v>9324</v>
      </c>
      <c r="C4186" s="1" t="s">
        <v>1424</v>
      </c>
      <c r="D4186" s="1" t="s">
        <v>1425</v>
      </c>
    </row>
    <row r="4187">
      <c r="A4187" s="1" t="s">
        <v>10312</v>
      </c>
      <c r="B4187" s="2" t="s">
        <v>10313</v>
      </c>
      <c r="C4187" s="1" t="s">
        <v>1424</v>
      </c>
      <c r="D4187" s="1" t="s">
        <v>1425</v>
      </c>
    </row>
    <row r="4188">
      <c r="A4188" s="1" t="s">
        <v>10314</v>
      </c>
      <c r="B4188" s="2" t="s">
        <v>10315</v>
      </c>
      <c r="C4188" s="1" t="s">
        <v>1424</v>
      </c>
      <c r="D4188" s="1" t="s">
        <v>1425</v>
      </c>
    </row>
    <row r="4189">
      <c r="A4189" s="1" t="s">
        <v>10316</v>
      </c>
      <c r="B4189" s="2" t="s">
        <v>9373</v>
      </c>
      <c r="C4189" s="1" t="s">
        <v>1424</v>
      </c>
      <c r="D4189" s="1" t="s">
        <v>1425</v>
      </c>
    </row>
    <row r="4190">
      <c r="A4190" s="1" t="s">
        <v>10317</v>
      </c>
      <c r="B4190" s="2" t="s">
        <v>10318</v>
      </c>
      <c r="C4190" s="1" t="s">
        <v>1424</v>
      </c>
      <c r="D4190" s="1" t="s">
        <v>1425</v>
      </c>
    </row>
    <row r="4191">
      <c r="A4191" s="1" t="s">
        <v>10319</v>
      </c>
      <c r="B4191" s="2" t="s">
        <v>10320</v>
      </c>
      <c r="C4191" s="1" t="s">
        <v>1424</v>
      </c>
      <c r="D4191" s="1" t="s">
        <v>1425</v>
      </c>
    </row>
    <row r="4192">
      <c r="A4192" s="1" t="s">
        <v>1416</v>
      </c>
      <c r="B4192" s="2" t="s">
        <v>1114</v>
      </c>
      <c r="C4192" s="1" t="s">
        <v>1419</v>
      </c>
      <c r="D4192" s="1" t="s">
        <v>1420</v>
      </c>
    </row>
    <row r="4193">
      <c r="A4193" s="1" t="s">
        <v>10321</v>
      </c>
      <c r="B4193" s="2" t="s">
        <v>10297</v>
      </c>
      <c r="C4193" s="1" t="s">
        <v>1419</v>
      </c>
      <c r="D4193" s="1" t="s">
        <v>1420</v>
      </c>
    </row>
    <row r="4194">
      <c r="A4194" s="1" t="s">
        <v>10322</v>
      </c>
      <c r="B4194" s="2" t="s">
        <v>10299</v>
      </c>
      <c r="C4194" s="1" t="s">
        <v>1419</v>
      </c>
      <c r="D4194" s="1" t="s">
        <v>1420</v>
      </c>
    </row>
    <row r="4195">
      <c r="A4195" s="1" t="s">
        <v>10323</v>
      </c>
      <c r="B4195" s="2" t="s">
        <v>9227</v>
      </c>
      <c r="C4195" s="1" t="s">
        <v>1419</v>
      </c>
      <c r="D4195" s="1" t="s">
        <v>1420</v>
      </c>
    </row>
    <row r="4196">
      <c r="A4196" s="1" t="s">
        <v>10324</v>
      </c>
      <c r="B4196" s="2" t="s">
        <v>10325</v>
      </c>
      <c r="C4196" s="1" t="s">
        <v>1419</v>
      </c>
      <c r="D4196" s="1" t="s">
        <v>1420</v>
      </c>
    </row>
    <row r="4197">
      <c r="A4197" s="1" t="s">
        <v>10326</v>
      </c>
      <c r="B4197" s="2" t="s">
        <v>10327</v>
      </c>
      <c r="C4197" s="1" t="s">
        <v>1419</v>
      </c>
      <c r="D4197" s="1" t="s">
        <v>1420</v>
      </c>
    </row>
    <row r="4198">
      <c r="A4198" s="1" t="s">
        <v>10328</v>
      </c>
      <c r="B4198" s="2" t="s">
        <v>9495</v>
      </c>
      <c r="C4198" s="1" t="s">
        <v>1419</v>
      </c>
      <c r="D4198" s="1" t="s">
        <v>1420</v>
      </c>
    </row>
    <row r="4199">
      <c r="A4199" s="1" t="s">
        <v>10329</v>
      </c>
      <c r="B4199" s="2" t="s">
        <v>10330</v>
      </c>
      <c r="C4199" s="1" t="s">
        <v>1419</v>
      </c>
      <c r="D4199" s="1" t="s">
        <v>1420</v>
      </c>
    </row>
    <row r="4200">
      <c r="A4200" s="1" t="s">
        <v>10331</v>
      </c>
      <c r="B4200" s="2" t="s">
        <v>10332</v>
      </c>
      <c r="C4200" s="1" t="s">
        <v>1419</v>
      </c>
      <c r="D4200" s="1" t="s">
        <v>1420</v>
      </c>
    </row>
    <row r="4201">
      <c r="A4201" s="1" t="s">
        <v>10333</v>
      </c>
      <c r="B4201" s="2" t="s">
        <v>9554</v>
      </c>
      <c r="C4201" s="1" t="s">
        <v>1419</v>
      </c>
      <c r="D4201" s="1" t="s">
        <v>1420</v>
      </c>
    </row>
    <row r="4202">
      <c r="A4202" s="1" t="s">
        <v>10334</v>
      </c>
      <c r="B4202" s="2" t="s">
        <v>10335</v>
      </c>
      <c r="C4202" s="1" t="s">
        <v>1419</v>
      </c>
      <c r="D4202" s="1" t="s">
        <v>1420</v>
      </c>
    </row>
    <row r="4203">
      <c r="A4203" s="1" t="s">
        <v>10336</v>
      </c>
      <c r="B4203" s="2" t="s">
        <v>10337</v>
      </c>
      <c r="C4203" s="1" t="s">
        <v>1419</v>
      </c>
      <c r="D4203" s="1" t="s">
        <v>1420</v>
      </c>
    </row>
    <row r="4204">
      <c r="A4204" s="1" t="s">
        <v>10338</v>
      </c>
      <c r="B4204" s="2" t="s">
        <v>9586</v>
      </c>
      <c r="C4204" s="1" t="s">
        <v>1419</v>
      </c>
      <c r="D4204" s="1" t="s">
        <v>1420</v>
      </c>
    </row>
    <row r="4205">
      <c r="A4205" s="1" t="s">
        <v>10339</v>
      </c>
      <c r="B4205" s="2" t="s">
        <v>10340</v>
      </c>
      <c r="C4205" s="1" t="s">
        <v>1419</v>
      </c>
      <c r="D4205" s="1" t="s">
        <v>1420</v>
      </c>
    </row>
    <row r="4206">
      <c r="A4206" s="1" t="s">
        <v>10341</v>
      </c>
      <c r="B4206" s="2" t="s">
        <v>10342</v>
      </c>
      <c r="C4206" s="1" t="s">
        <v>1419</v>
      </c>
      <c r="D4206" s="1" t="s">
        <v>1420</v>
      </c>
    </row>
    <row r="4207">
      <c r="A4207" s="1" t="s">
        <v>1429</v>
      </c>
      <c r="B4207" s="2" t="s">
        <v>7</v>
      </c>
      <c r="C4207" s="1" t="s">
        <v>1431</v>
      </c>
      <c r="D4207" s="1" t="s">
        <v>1432</v>
      </c>
    </row>
    <row r="4208">
      <c r="A4208" s="1" t="s">
        <v>10343</v>
      </c>
      <c r="B4208" s="2" t="s">
        <v>10344</v>
      </c>
      <c r="C4208" s="1" t="s">
        <v>1431</v>
      </c>
      <c r="D4208" s="1" t="s">
        <v>1432</v>
      </c>
    </row>
    <row r="4209">
      <c r="A4209" s="1" t="s">
        <v>10345</v>
      </c>
      <c r="B4209" s="2" t="s">
        <v>10346</v>
      </c>
      <c r="C4209" s="1" t="s">
        <v>1431</v>
      </c>
      <c r="D4209" s="1" t="s">
        <v>1432</v>
      </c>
    </row>
    <row r="4210">
      <c r="A4210" s="1" t="s">
        <v>10347</v>
      </c>
      <c r="B4210" s="2" t="s">
        <v>10348</v>
      </c>
      <c r="C4210" s="1" t="s">
        <v>1431</v>
      </c>
      <c r="D4210" s="1" t="s">
        <v>1432</v>
      </c>
    </row>
    <row r="4211">
      <c r="A4211" s="1" t="s">
        <v>10349</v>
      </c>
      <c r="B4211" s="2" t="s">
        <v>10350</v>
      </c>
      <c r="C4211" s="1" t="s">
        <v>1431</v>
      </c>
      <c r="D4211" s="1" t="s">
        <v>1432</v>
      </c>
    </row>
    <row r="4212">
      <c r="A4212" s="1" t="s">
        <v>10351</v>
      </c>
      <c r="B4212" s="2" t="s">
        <v>10352</v>
      </c>
      <c r="C4212" s="1" t="s">
        <v>1431</v>
      </c>
      <c r="D4212" s="1" t="s">
        <v>1432</v>
      </c>
    </row>
    <row r="4213">
      <c r="A4213" s="1" t="s">
        <v>10353</v>
      </c>
      <c r="B4213" s="2" t="s">
        <v>10354</v>
      </c>
      <c r="C4213" s="1" t="s">
        <v>1431</v>
      </c>
      <c r="D4213" s="1" t="s">
        <v>1432</v>
      </c>
    </row>
    <row r="4214">
      <c r="A4214" s="1" t="s">
        <v>10355</v>
      </c>
      <c r="B4214" s="2" t="s">
        <v>10356</v>
      </c>
      <c r="C4214" s="1" t="s">
        <v>1431</v>
      </c>
      <c r="D4214" s="1" t="s">
        <v>1432</v>
      </c>
    </row>
    <row r="4215">
      <c r="A4215" s="1" t="s">
        <v>10357</v>
      </c>
      <c r="B4215" s="2" t="s">
        <v>10358</v>
      </c>
      <c r="C4215" s="1" t="s">
        <v>1431</v>
      </c>
      <c r="D4215" s="1" t="s">
        <v>1432</v>
      </c>
    </row>
    <row r="4216">
      <c r="A4216" s="1" t="s">
        <v>10359</v>
      </c>
      <c r="B4216" s="2" t="s">
        <v>10360</v>
      </c>
      <c r="C4216" s="1" t="s">
        <v>1431</v>
      </c>
      <c r="D4216" s="1" t="s">
        <v>1432</v>
      </c>
    </row>
    <row r="4217">
      <c r="A4217" s="1" t="s">
        <v>10361</v>
      </c>
      <c r="B4217" s="2" t="s">
        <v>10362</v>
      </c>
      <c r="C4217" s="1" t="s">
        <v>1431</v>
      </c>
      <c r="D4217" s="1" t="s">
        <v>1432</v>
      </c>
    </row>
    <row r="4218">
      <c r="A4218" s="1" t="s">
        <v>10363</v>
      </c>
      <c r="B4218" s="2" t="s">
        <v>10364</v>
      </c>
      <c r="C4218" s="1" t="s">
        <v>1431</v>
      </c>
      <c r="D4218" s="1" t="s">
        <v>1432</v>
      </c>
    </row>
    <row r="4219">
      <c r="A4219" s="1" t="s">
        <v>10365</v>
      </c>
      <c r="B4219" s="2" t="s">
        <v>10366</v>
      </c>
      <c r="C4219" s="1" t="s">
        <v>1431</v>
      </c>
      <c r="D4219" s="1" t="s">
        <v>1432</v>
      </c>
    </row>
    <row r="4220">
      <c r="A4220" s="1" t="s">
        <v>10367</v>
      </c>
      <c r="B4220" s="2" t="s">
        <v>10368</v>
      </c>
      <c r="C4220" s="1" t="s">
        <v>1431</v>
      </c>
      <c r="D4220" s="1" t="s">
        <v>1432</v>
      </c>
    </row>
    <row r="4221">
      <c r="A4221" s="1" t="s">
        <v>10369</v>
      </c>
      <c r="B4221" s="2" t="s">
        <v>10370</v>
      </c>
      <c r="C4221" s="1" t="s">
        <v>1431</v>
      </c>
      <c r="D4221" s="1" t="s">
        <v>1432</v>
      </c>
    </row>
    <row r="4222">
      <c r="A4222" s="1" t="s">
        <v>10371</v>
      </c>
      <c r="B4222" s="2" t="s">
        <v>10372</v>
      </c>
      <c r="C4222" s="1" t="s">
        <v>1431</v>
      </c>
      <c r="D4222" s="1" t="s">
        <v>1432</v>
      </c>
    </row>
    <row r="4223">
      <c r="A4223" s="1" t="s">
        <v>10373</v>
      </c>
      <c r="B4223" s="2" t="s">
        <v>10374</v>
      </c>
      <c r="C4223" s="1" t="s">
        <v>1431</v>
      </c>
      <c r="D4223" s="1" t="s">
        <v>1432</v>
      </c>
    </row>
    <row r="4224">
      <c r="A4224" s="1" t="s">
        <v>10375</v>
      </c>
      <c r="B4224" s="2" t="s">
        <v>13</v>
      </c>
      <c r="C4224" s="1" t="s">
        <v>1431</v>
      </c>
      <c r="D4224" s="1" t="s">
        <v>1432</v>
      </c>
    </row>
    <row r="4225">
      <c r="A4225" s="1" t="s">
        <v>10376</v>
      </c>
      <c r="B4225" s="2" t="s">
        <v>10377</v>
      </c>
      <c r="C4225" s="1" t="s">
        <v>1431</v>
      </c>
      <c r="D4225" s="1" t="s">
        <v>1432</v>
      </c>
    </row>
    <row r="4226">
      <c r="A4226" s="1" t="s">
        <v>10378</v>
      </c>
      <c r="B4226" s="2" t="s">
        <v>10379</v>
      </c>
      <c r="C4226" s="1" t="s">
        <v>1431</v>
      </c>
      <c r="D4226" s="1" t="s">
        <v>1432</v>
      </c>
    </row>
    <row r="4227">
      <c r="A4227" s="1" t="s">
        <v>10380</v>
      </c>
      <c r="B4227" s="2" t="s">
        <v>10381</v>
      </c>
      <c r="C4227" s="1" t="s">
        <v>1431</v>
      </c>
      <c r="D4227" s="1" t="s">
        <v>1432</v>
      </c>
    </row>
    <row r="4228">
      <c r="A4228" s="1" t="s">
        <v>10382</v>
      </c>
      <c r="B4228" s="2" t="s">
        <v>10383</v>
      </c>
      <c r="C4228" s="1" t="s">
        <v>1431</v>
      </c>
      <c r="D4228" s="1" t="s">
        <v>1432</v>
      </c>
    </row>
    <row r="4229">
      <c r="A4229" s="1" t="s">
        <v>10384</v>
      </c>
      <c r="B4229" s="2" t="s">
        <v>10385</v>
      </c>
      <c r="C4229" s="1" t="s">
        <v>1431</v>
      </c>
      <c r="D4229" s="1" t="s">
        <v>1432</v>
      </c>
    </row>
    <row r="4230">
      <c r="A4230" s="1" t="s">
        <v>10386</v>
      </c>
      <c r="B4230" s="2" t="s">
        <v>10387</v>
      </c>
      <c r="C4230" s="1" t="s">
        <v>1431</v>
      </c>
      <c r="D4230" s="1" t="s">
        <v>1432</v>
      </c>
    </row>
    <row r="4231">
      <c r="A4231" s="1" t="s">
        <v>10388</v>
      </c>
      <c r="B4231" s="2" t="s">
        <v>10389</v>
      </c>
      <c r="C4231" s="1" t="s">
        <v>1431</v>
      </c>
      <c r="D4231" s="1" t="s">
        <v>1432</v>
      </c>
    </row>
    <row r="4232">
      <c r="A4232" s="1" t="s">
        <v>10390</v>
      </c>
      <c r="B4232" s="2" t="s">
        <v>10391</v>
      </c>
      <c r="C4232" s="1" t="s">
        <v>1431</v>
      </c>
      <c r="D4232" s="1" t="s">
        <v>1432</v>
      </c>
    </row>
    <row r="4233">
      <c r="A4233" s="1" t="s">
        <v>10392</v>
      </c>
      <c r="B4233" s="2" t="s">
        <v>10393</v>
      </c>
      <c r="C4233" s="1" t="s">
        <v>1431</v>
      </c>
      <c r="D4233" s="1" t="s">
        <v>1432</v>
      </c>
    </row>
    <row r="4234">
      <c r="A4234" s="1" t="s">
        <v>10394</v>
      </c>
      <c r="B4234" s="2" t="s">
        <v>10395</v>
      </c>
      <c r="C4234" s="1" t="s">
        <v>1431</v>
      </c>
      <c r="D4234" s="1" t="s">
        <v>1432</v>
      </c>
    </row>
    <row r="4235">
      <c r="A4235" s="1" t="s">
        <v>10396</v>
      </c>
      <c r="B4235" s="2" t="s">
        <v>10397</v>
      </c>
      <c r="C4235" s="1" t="s">
        <v>1431</v>
      </c>
      <c r="D4235" s="1" t="s">
        <v>1432</v>
      </c>
    </row>
    <row r="4236">
      <c r="A4236" s="1" t="s">
        <v>10398</v>
      </c>
      <c r="B4236" s="2" t="s">
        <v>10399</v>
      </c>
      <c r="C4236" s="1" t="s">
        <v>1431</v>
      </c>
      <c r="D4236" s="1" t="s">
        <v>1432</v>
      </c>
    </row>
    <row r="4237">
      <c r="A4237" s="1" t="s">
        <v>10400</v>
      </c>
      <c r="B4237" s="2" t="s">
        <v>10401</v>
      </c>
      <c r="C4237" s="1" t="s">
        <v>1431</v>
      </c>
      <c r="D4237" s="1" t="s">
        <v>1432</v>
      </c>
    </row>
    <row r="4238">
      <c r="A4238" s="1" t="s">
        <v>10402</v>
      </c>
      <c r="B4238" s="2" t="s">
        <v>10403</v>
      </c>
      <c r="C4238" s="1" t="s">
        <v>1431</v>
      </c>
      <c r="D4238" s="1" t="s">
        <v>1432</v>
      </c>
    </row>
    <row r="4239">
      <c r="A4239" s="1" t="s">
        <v>10404</v>
      </c>
      <c r="B4239" s="2" t="s">
        <v>10405</v>
      </c>
      <c r="C4239" s="1" t="s">
        <v>1431</v>
      </c>
      <c r="D4239" s="1" t="s">
        <v>1432</v>
      </c>
    </row>
    <row r="4240">
      <c r="A4240" s="1" t="s">
        <v>10406</v>
      </c>
      <c r="B4240" s="2" t="s">
        <v>10407</v>
      </c>
      <c r="C4240" s="1" t="s">
        <v>1431</v>
      </c>
      <c r="D4240" s="1" t="s">
        <v>1432</v>
      </c>
    </row>
    <row r="4241">
      <c r="A4241" s="1" t="s">
        <v>10408</v>
      </c>
      <c r="B4241" s="2" t="s">
        <v>70</v>
      </c>
      <c r="C4241" s="1" t="s">
        <v>1431</v>
      </c>
      <c r="D4241" s="1" t="s">
        <v>1432</v>
      </c>
    </row>
    <row r="4242">
      <c r="A4242" s="1" t="s">
        <v>10409</v>
      </c>
      <c r="B4242" s="2" t="s">
        <v>10410</v>
      </c>
      <c r="C4242" s="1" t="s">
        <v>1431</v>
      </c>
      <c r="D4242" s="1" t="s">
        <v>1432</v>
      </c>
    </row>
    <row r="4243">
      <c r="A4243" s="1" t="s">
        <v>10411</v>
      </c>
      <c r="B4243" s="2" t="s">
        <v>10412</v>
      </c>
      <c r="C4243" s="1" t="s">
        <v>1431</v>
      </c>
      <c r="D4243" s="1" t="s">
        <v>1432</v>
      </c>
    </row>
    <row r="4244">
      <c r="A4244" s="1" t="s">
        <v>10413</v>
      </c>
      <c r="B4244" s="2" t="s">
        <v>10414</v>
      </c>
      <c r="C4244" s="1" t="s">
        <v>1431</v>
      </c>
      <c r="D4244" s="1" t="s">
        <v>1432</v>
      </c>
    </row>
    <row r="4245">
      <c r="A4245" s="1" t="s">
        <v>10415</v>
      </c>
      <c r="B4245" s="2" t="s">
        <v>10416</v>
      </c>
      <c r="C4245" s="1" t="s">
        <v>1431</v>
      </c>
      <c r="D4245" s="1" t="s">
        <v>1432</v>
      </c>
    </row>
    <row r="4246">
      <c r="A4246" s="1" t="s">
        <v>10417</v>
      </c>
      <c r="B4246" s="2" t="s">
        <v>10418</v>
      </c>
      <c r="C4246" s="1" t="s">
        <v>1431</v>
      </c>
      <c r="D4246" s="1" t="s">
        <v>1432</v>
      </c>
    </row>
    <row r="4247">
      <c r="A4247" s="1" t="s">
        <v>10419</v>
      </c>
      <c r="B4247" s="2" t="s">
        <v>10420</v>
      </c>
      <c r="C4247" s="1" t="s">
        <v>1431</v>
      </c>
      <c r="D4247" s="1" t="s">
        <v>1432</v>
      </c>
    </row>
    <row r="4248">
      <c r="A4248" s="1" t="s">
        <v>10421</v>
      </c>
      <c r="B4248" s="2" t="s">
        <v>10422</v>
      </c>
      <c r="C4248" s="1" t="s">
        <v>1431</v>
      </c>
      <c r="D4248" s="1" t="s">
        <v>1432</v>
      </c>
    </row>
    <row r="4249">
      <c r="A4249" s="1" t="s">
        <v>10423</v>
      </c>
      <c r="B4249" s="2" t="s">
        <v>10424</v>
      </c>
      <c r="C4249" s="1" t="s">
        <v>1431</v>
      </c>
      <c r="D4249" s="1" t="s">
        <v>1432</v>
      </c>
    </row>
    <row r="4250">
      <c r="A4250" s="1" t="s">
        <v>10425</v>
      </c>
      <c r="B4250" s="2" t="s">
        <v>10426</v>
      </c>
      <c r="C4250" s="1" t="s">
        <v>1431</v>
      </c>
      <c r="D4250" s="1" t="s">
        <v>1432</v>
      </c>
    </row>
    <row r="4251">
      <c r="A4251" s="1" t="s">
        <v>10427</v>
      </c>
      <c r="B4251" s="2" t="s">
        <v>10428</v>
      </c>
      <c r="C4251" s="1" t="s">
        <v>1431</v>
      </c>
      <c r="D4251" s="1" t="s">
        <v>1432</v>
      </c>
    </row>
    <row r="4252">
      <c r="A4252" s="1" t="s">
        <v>10429</v>
      </c>
      <c r="B4252" s="2" t="s">
        <v>10430</v>
      </c>
      <c r="C4252" s="1" t="s">
        <v>1431</v>
      </c>
      <c r="D4252" s="1" t="s">
        <v>1432</v>
      </c>
    </row>
    <row r="4253">
      <c r="A4253" s="1" t="s">
        <v>10431</v>
      </c>
      <c r="B4253" s="2" t="s">
        <v>10432</v>
      </c>
      <c r="C4253" s="1" t="s">
        <v>1431</v>
      </c>
      <c r="D4253" s="1" t="s">
        <v>1432</v>
      </c>
    </row>
    <row r="4254">
      <c r="A4254" s="1" t="s">
        <v>10433</v>
      </c>
      <c r="B4254" s="2" t="s">
        <v>10434</v>
      </c>
      <c r="C4254" s="1" t="s">
        <v>1431</v>
      </c>
      <c r="D4254" s="1" t="s">
        <v>1432</v>
      </c>
    </row>
    <row r="4255">
      <c r="A4255" s="1" t="s">
        <v>10435</v>
      </c>
      <c r="B4255" s="2" t="s">
        <v>10436</v>
      </c>
      <c r="C4255" s="1" t="s">
        <v>1431</v>
      </c>
      <c r="D4255" s="1" t="s">
        <v>1432</v>
      </c>
    </row>
    <row r="4256">
      <c r="A4256" s="1" t="s">
        <v>10437</v>
      </c>
      <c r="B4256" s="2" t="s">
        <v>10438</v>
      </c>
      <c r="C4256" s="1" t="s">
        <v>1431</v>
      </c>
      <c r="D4256" s="1" t="s">
        <v>1432</v>
      </c>
    </row>
    <row r="4257">
      <c r="A4257" s="1" t="s">
        <v>10439</v>
      </c>
      <c r="B4257" s="2" t="s">
        <v>10440</v>
      </c>
      <c r="C4257" s="1" t="s">
        <v>1431</v>
      </c>
      <c r="D4257" s="1" t="s">
        <v>1432</v>
      </c>
    </row>
    <row r="4258">
      <c r="A4258" s="1" t="s">
        <v>1436</v>
      </c>
      <c r="B4258" s="2" t="s">
        <v>7</v>
      </c>
      <c r="C4258" s="1" t="s">
        <v>1438</v>
      </c>
      <c r="D4258" s="1" t="s">
        <v>1439</v>
      </c>
    </row>
    <row r="4259">
      <c r="A4259" s="1" t="s">
        <v>10441</v>
      </c>
      <c r="B4259" s="2" t="s">
        <v>10442</v>
      </c>
      <c r="C4259" s="1" t="s">
        <v>1438</v>
      </c>
      <c r="D4259" s="1" t="s">
        <v>1439</v>
      </c>
    </row>
    <row r="4260">
      <c r="A4260" s="1" t="s">
        <v>10443</v>
      </c>
      <c r="B4260" s="2" t="s">
        <v>10444</v>
      </c>
      <c r="C4260" s="1" t="s">
        <v>1438</v>
      </c>
      <c r="D4260" s="1" t="s">
        <v>1439</v>
      </c>
    </row>
    <row r="4261">
      <c r="A4261" s="1" t="s">
        <v>10445</v>
      </c>
      <c r="B4261" s="2" t="s">
        <v>10446</v>
      </c>
      <c r="C4261" s="1" t="s">
        <v>1438</v>
      </c>
      <c r="D4261" s="1" t="s">
        <v>1439</v>
      </c>
    </row>
    <row r="4262">
      <c r="A4262" s="1" t="s">
        <v>10447</v>
      </c>
      <c r="B4262" s="2" t="s">
        <v>10448</v>
      </c>
      <c r="C4262" s="1" t="s">
        <v>1438</v>
      </c>
      <c r="D4262" s="1" t="s">
        <v>1439</v>
      </c>
    </row>
    <row r="4263">
      <c r="A4263" s="1" t="s">
        <v>10449</v>
      </c>
      <c r="B4263" s="2" t="s">
        <v>13</v>
      </c>
      <c r="C4263" s="1" t="s">
        <v>1438</v>
      </c>
      <c r="D4263" s="1" t="s">
        <v>1439</v>
      </c>
    </row>
    <row r="4264">
      <c r="A4264" s="1" t="s">
        <v>10450</v>
      </c>
      <c r="B4264" s="2" t="s">
        <v>10451</v>
      </c>
      <c r="C4264" s="1" t="s">
        <v>1438</v>
      </c>
      <c r="D4264" s="1" t="s">
        <v>1439</v>
      </c>
    </row>
    <row r="4265">
      <c r="A4265" s="1" t="s">
        <v>10452</v>
      </c>
      <c r="B4265" s="2" t="s">
        <v>10453</v>
      </c>
      <c r="C4265" s="1" t="s">
        <v>1438</v>
      </c>
      <c r="D4265" s="1" t="s">
        <v>1439</v>
      </c>
    </row>
    <row r="4266">
      <c r="A4266" s="1" t="s">
        <v>10454</v>
      </c>
      <c r="B4266" s="2" t="s">
        <v>10455</v>
      </c>
      <c r="C4266" s="1" t="s">
        <v>1438</v>
      </c>
      <c r="D4266" s="1" t="s">
        <v>1439</v>
      </c>
    </row>
    <row r="4267">
      <c r="A4267" s="1" t="s">
        <v>10456</v>
      </c>
      <c r="B4267" s="2" t="s">
        <v>10457</v>
      </c>
      <c r="C4267" s="1" t="s">
        <v>1438</v>
      </c>
      <c r="D4267" s="1" t="s">
        <v>1439</v>
      </c>
    </row>
    <row r="4268">
      <c r="A4268" s="1" t="s">
        <v>10458</v>
      </c>
      <c r="B4268" s="2" t="s">
        <v>70</v>
      </c>
      <c r="C4268" s="1" t="s">
        <v>1438</v>
      </c>
      <c r="D4268" s="1" t="s">
        <v>1439</v>
      </c>
    </row>
    <row r="4269">
      <c r="A4269" s="1" t="s">
        <v>10459</v>
      </c>
      <c r="B4269" s="2" t="s">
        <v>10460</v>
      </c>
      <c r="C4269" s="1" t="s">
        <v>1438</v>
      </c>
      <c r="D4269" s="1" t="s">
        <v>1439</v>
      </c>
    </row>
    <row r="4270">
      <c r="A4270" s="1" t="s">
        <v>10461</v>
      </c>
      <c r="B4270" s="2" t="s">
        <v>10462</v>
      </c>
      <c r="C4270" s="1" t="s">
        <v>1438</v>
      </c>
      <c r="D4270" s="1" t="s">
        <v>1439</v>
      </c>
    </row>
    <row r="4271">
      <c r="A4271" s="1" t="s">
        <v>10463</v>
      </c>
      <c r="B4271" s="2" t="s">
        <v>10464</v>
      </c>
      <c r="C4271" s="1" t="s">
        <v>1438</v>
      </c>
      <c r="D4271" s="1" t="s">
        <v>1439</v>
      </c>
    </row>
    <row r="4272">
      <c r="A4272" s="1" t="s">
        <v>10465</v>
      </c>
      <c r="B4272" s="2" t="s">
        <v>10466</v>
      </c>
      <c r="C4272" s="1" t="s">
        <v>1438</v>
      </c>
      <c r="D4272" s="1" t="s">
        <v>1439</v>
      </c>
    </row>
    <row r="4273">
      <c r="A4273" s="1" t="s">
        <v>1482</v>
      </c>
      <c r="B4273" s="2" t="s">
        <v>7</v>
      </c>
      <c r="C4273" s="1" t="s">
        <v>1485</v>
      </c>
      <c r="D4273" s="1" t="s">
        <v>1488</v>
      </c>
    </row>
    <row r="4274">
      <c r="A4274" s="1" t="s">
        <v>10467</v>
      </c>
      <c r="B4274" s="2" t="s">
        <v>10468</v>
      </c>
      <c r="C4274" s="1" t="s">
        <v>1485</v>
      </c>
      <c r="D4274" s="1" t="s">
        <v>1488</v>
      </c>
    </row>
    <row r="4275">
      <c r="A4275" s="1" t="s">
        <v>10469</v>
      </c>
      <c r="B4275" s="2" t="s">
        <v>10470</v>
      </c>
      <c r="C4275" s="1" t="s">
        <v>1485</v>
      </c>
      <c r="D4275" s="1" t="s">
        <v>1488</v>
      </c>
    </row>
    <row r="4276">
      <c r="A4276" s="1" t="s">
        <v>10471</v>
      </c>
      <c r="B4276" s="2" t="s">
        <v>10472</v>
      </c>
      <c r="C4276" s="1" t="s">
        <v>1485</v>
      </c>
      <c r="D4276" s="1" t="s">
        <v>1488</v>
      </c>
    </row>
    <row r="4277">
      <c r="A4277" s="1" t="s">
        <v>10473</v>
      </c>
      <c r="B4277" s="2" t="s">
        <v>10474</v>
      </c>
      <c r="C4277" s="1" t="s">
        <v>1485</v>
      </c>
      <c r="D4277" s="1" t="s">
        <v>1488</v>
      </c>
    </row>
    <row r="4278">
      <c r="A4278" s="1" t="s">
        <v>10475</v>
      </c>
      <c r="B4278" s="2" t="s">
        <v>13</v>
      </c>
      <c r="C4278" s="1" t="s">
        <v>1485</v>
      </c>
      <c r="D4278" s="1" t="s">
        <v>1488</v>
      </c>
    </row>
    <row r="4279">
      <c r="A4279" s="1" t="s">
        <v>10476</v>
      </c>
      <c r="B4279" s="2" t="s">
        <v>10477</v>
      </c>
      <c r="C4279" s="1" t="s">
        <v>1485</v>
      </c>
      <c r="D4279" s="1" t="s">
        <v>1488</v>
      </c>
    </row>
    <row r="4280">
      <c r="A4280" s="1" t="s">
        <v>10478</v>
      </c>
      <c r="B4280" s="2" t="s">
        <v>10479</v>
      </c>
      <c r="C4280" s="1" t="s">
        <v>1485</v>
      </c>
      <c r="D4280" s="1" t="s">
        <v>1488</v>
      </c>
    </row>
    <row r="4281">
      <c r="A4281" s="1" t="s">
        <v>10480</v>
      </c>
      <c r="B4281" s="2" t="s">
        <v>10481</v>
      </c>
      <c r="C4281" s="1" t="s">
        <v>1485</v>
      </c>
      <c r="D4281" s="1" t="s">
        <v>1488</v>
      </c>
    </row>
    <row r="4282">
      <c r="A4282" s="1" t="s">
        <v>10482</v>
      </c>
      <c r="B4282" s="2" t="s">
        <v>10483</v>
      </c>
      <c r="C4282" s="1" t="s">
        <v>1485</v>
      </c>
      <c r="D4282" s="1" t="s">
        <v>1488</v>
      </c>
    </row>
    <row r="4283">
      <c r="A4283" s="1" t="s">
        <v>10484</v>
      </c>
      <c r="B4283" s="2" t="s">
        <v>70</v>
      </c>
      <c r="C4283" s="1" t="s">
        <v>1485</v>
      </c>
      <c r="D4283" s="1" t="s">
        <v>1488</v>
      </c>
    </row>
    <row r="4284">
      <c r="A4284" s="1" t="s">
        <v>10485</v>
      </c>
      <c r="B4284" s="2" t="s">
        <v>10486</v>
      </c>
      <c r="C4284" s="1" t="s">
        <v>1485</v>
      </c>
      <c r="D4284" s="1" t="s">
        <v>1488</v>
      </c>
    </row>
    <row r="4285">
      <c r="A4285" s="1" t="s">
        <v>10487</v>
      </c>
      <c r="B4285" s="2" t="s">
        <v>10488</v>
      </c>
      <c r="C4285" s="1" t="s">
        <v>1485</v>
      </c>
      <c r="D4285" s="1" t="s">
        <v>1488</v>
      </c>
    </row>
    <row r="4286">
      <c r="A4286" s="1" t="s">
        <v>10489</v>
      </c>
      <c r="B4286" s="2" t="s">
        <v>10490</v>
      </c>
      <c r="C4286" s="1" t="s">
        <v>1485</v>
      </c>
      <c r="D4286" s="1" t="s">
        <v>1488</v>
      </c>
    </row>
    <row r="4287">
      <c r="A4287" s="1" t="s">
        <v>10491</v>
      </c>
      <c r="B4287" s="2" t="s">
        <v>10492</v>
      </c>
      <c r="C4287" s="1" t="s">
        <v>1485</v>
      </c>
      <c r="D4287" s="1" t="s">
        <v>1488</v>
      </c>
    </row>
    <row r="4288">
      <c r="A4288" s="1" t="s">
        <v>1493</v>
      </c>
      <c r="B4288" s="2" t="s">
        <v>7</v>
      </c>
      <c r="C4288" s="1" t="s">
        <v>1496</v>
      </c>
      <c r="D4288" s="1" t="s">
        <v>1498</v>
      </c>
    </row>
    <row r="4289">
      <c r="A4289" s="1" t="s">
        <v>10493</v>
      </c>
      <c r="B4289" s="2" t="s">
        <v>10494</v>
      </c>
      <c r="C4289" s="1" t="s">
        <v>1496</v>
      </c>
      <c r="D4289" s="1" t="s">
        <v>1498</v>
      </c>
    </row>
    <row r="4290">
      <c r="A4290" s="1" t="s">
        <v>10495</v>
      </c>
      <c r="B4290" s="2" t="s">
        <v>10496</v>
      </c>
      <c r="C4290" s="1" t="s">
        <v>1496</v>
      </c>
      <c r="D4290" s="1" t="s">
        <v>1498</v>
      </c>
    </row>
    <row r="4291">
      <c r="A4291" s="1" t="s">
        <v>10497</v>
      </c>
      <c r="B4291" s="2" t="s">
        <v>10498</v>
      </c>
      <c r="C4291" s="1" t="s">
        <v>1496</v>
      </c>
      <c r="D4291" s="1" t="s">
        <v>1498</v>
      </c>
    </row>
    <row r="4292">
      <c r="A4292" s="1" t="s">
        <v>10499</v>
      </c>
      <c r="B4292" s="2" t="s">
        <v>10500</v>
      </c>
      <c r="C4292" s="1" t="s">
        <v>1496</v>
      </c>
      <c r="D4292" s="1" t="s">
        <v>1498</v>
      </c>
    </row>
    <row r="4293">
      <c r="A4293" s="1" t="s">
        <v>10501</v>
      </c>
      <c r="B4293" s="2" t="s">
        <v>13</v>
      </c>
      <c r="C4293" s="1" t="s">
        <v>1496</v>
      </c>
      <c r="D4293" s="1" t="s">
        <v>1498</v>
      </c>
    </row>
    <row r="4294">
      <c r="A4294" s="1" t="s">
        <v>10502</v>
      </c>
      <c r="B4294" s="2" t="s">
        <v>10503</v>
      </c>
      <c r="C4294" s="1" t="s">
        <v>1496</v>
      </c>
      <c r="D4294" s="1" t="s">
        <v>1498</v>
      </c>
    </row>
    <row r="4295">
      <c r="A4295" s="1" t="s">
        <v>10504</v>
      </c>
      <c r="B4295" s="2" t="s">
        <v>10505</v>
      </c>
      <c r="C4295" s="1" t="s">
        <v>1496</v>
      </c>
      <c r="D4295" s="1" t="s">
        <v>1498</v>
      </c>
    </row>
    <row r="4296">
      <c r="A4296" s="1" t="s">
        <v>10506</v>
      </c>
      <c r="B4296" s="2" t="s">
        <v>10507</v>
      </c>
      <c r="C4296" s="1" t="s">
        <v>1496</v>
      </c>
      <c r="D4296" s="1" t="s">
        <v>1498</v>
      </c>
    </row>
    <row r="4297">
      <c r="A4297" s="1" t="s">
        <v>10508</v>
      </c>
      <c r="B4297" s="2" t="s">
        <v>10509</v>
      </c>
      <c r="C4297" s="1" t="s">
        <v>1496</v>
      </c>
      <c r="D4297" s="1" t="s">
        <v>1498</v>
      </c>
    </row>
    <row r="4298">
      <c r="A4298" s="1" t="s">
        <v>10510</v>
      </c>
      <c r="B4298" s="2" t="s">
        <v>70</v>
      </c>
      <c r="C4298" s="1" t="s">
        <v>1496</v>
      </c>
      <c r="D4298" s="1" t="s">
        <v>1498</v>
      </c>
    </row>
    <row r="4299">
      <c r="A4299" s="1" t="s">
        <v>10511</v>
      </c>
      <c r="B4299" s="2" t="s">
        <v>10512</v>
      </c>
      <c r="C4299" s="1" t="s">
        <v>1496</v>
      </c>
      <c r="D4299" s="1" t="s">
        <v>1498</v>
      </c>
    </row>
    <row r="4300">
      <c r="A4300" s="1" t="s">
        <v>10513</v>
      </c>
      <c r="B4300" s="2" t="s">
        <v>10514</v>
      </c>
      <c r="C4300" s="1" t="s">
        <v>1496</v>
      </c>
      <c r="D4300" s="1" t="s">
        <v>1498</v>
      </c>
    </row>
    <row r="4301">
      <c r="A4301" s="1" t="s">
        <v>10515</v>
      </c>
      <c r="B4301" s="2" t="s">
        <v>10516</v>
      </c>
      <c r="C4301" s="1" t="s">
        <v>1496</v>
      </c>
      <c r="D4301" s="1" t="s">
        <v>1498</v>
      </c>
    </row>
    <row r="4302">
      <c r="A4302" s="1" t="s">
        <v>10517</v>
      </c>
      <c r="B4302" s="2" t="s">
        <v>10518</v>
      </c>
      <c r="C4302" s="1" t="s">
        <v>1496</v>
      </c>
      <c r="D4302" s="1" t="s">
        <v>1498</v>
      </c>
    </row>
    <row r="4303">
      <c r="A4303" s="1" t="s">
        <v>1504</v>
      </c>
      <c r="B4303" s="2" t="s">
        <v>7</v>
      </c>
      <c r="C4303" s="1" t="s">
        <v>1506</v>
      </c>
      <c r="D4303" s="1" t="s">
        <v>1508</v>
      </c>
    </row>
    <row r="4304">
      <c r="A4304" s="1" t="s">
        <v>10519</v>
      </c>
      <c r="B4304" s="2" t="s">
        <v>10520</v>
      </c>
      <c r="C4304" s="1" t="s">
        <v>1506</v>
      </c>
      <c r="D4304" s="1" t="s">
        <v>1508</v>
      </c>
    </row>
    <row r="4305">
      <c r="A4305" s="1" t="s">
        <v>10521</v>
      </c>
      <c r="B4305" s="2" t="s">
        <v>10522</v>
      </c>
      <c r="C4305" s="1" t="s">
        <v>1506</v>
      </c>
      <c r="D4305" s="1" t="s">
        <v>1508</v>
      </c>
    </row>
    <row r="4306">
      <c r="A4306" s="1" t="s">
        <v>10523</v>
      </c>
      <c r="B4306" s="2" t="s">
        <v>10524</v>
      </c>
      <c r="C4306" s="1" t="s">
        <v>1506</v>
      </c>
      <c r="D4306" s="1" t="s">
        <v>1508</v>
      </c>
    </row>
    <row r="4307">
      <c r="A4307" s="1" t="s">
        <v>10525</v>
      </c>
      <c r="B4307" s="2" t="s">
        <v>10526</v>
      </c>
      <c r="C4307" s="1" t="s">
        <v>1506</v>
      </c>
      <c r="D4307" s="1" t="s">
        <v>1508</v>
      </c>
    </row>
    <row r="4308">
      <c r="A4308" s="1" t="s">
        <v>10527</v>
      </c>
      <c r="B4308" s="2" t="s">
        <v>10528</v>
      </c>
      <c r="C4308" s="1" t="s">
        <v>1506</v>
      </c>
      <c r="D4308" s="1" t="s">
        <v>1508</v>
      </c>
    </row>
    <row r="4309">
      <c r="A4309" s="1" t="s">
        <v>10529</v>
      </c>
      <c r="B4309" s="2" t="s">
        <v>10530</v>
      </c>
      <c r="C4309" s="1" t="s">
        <v>1506</v>
      </c>
      <c r="D4309" s="1" t="s">
        <v>1508</v>
      </c>
    </row>
    <row r="4310">
      <c r="A4310" s="1" t="s">
        <v>10531</v>
      </c>
      <c r="B4310" s="2" t="s">
        <v>10532</v>
      </c>
      <c r="C4310" s="1" t="s">
        <v>1506</v>
      </c>
      <c r="D4310" s="1" t="s">
        <v>1508</v>
      </c>
    </row>
    <row r="4311">
      <c r="A4311" s="1" t="s">
        <v>10533</v>
      </c>
      <c r="B4311" s="2" t="s">
        <v>10534</v>
      </c>
      <c r="C4311" s="1" t="s">
        <v>1506</v>
      </c>
      <c r="D4311" s="1" t="s">
        <v>1508</v>
      </c>
    </row>
    <row r="4312">
      <c r="A4312" s="1" t="s">
        <v>10535</v>
      </c>
      <c r="B4312" s="2" t="s">
        <v>10536</v>
      </c>
      <c r="C4312" s="1" t="s">
        <v>1506</v>
      </c>
      <c r="D4312" s="1" t="s">
        <v>1508</v>
      </c>
    </row>
    <row r="4313">
      <c r="A4313" s="1" t="s">
        <v>10537</v>
      </c>
      <c r="B4313" s="2" t="s">
        <v>10538</v>
      </c>
      <c r="C4313" s="1" t="s">
        <v>1506</v>
      </c>
      <c r="D4313" s="1" t="s">
        <v>1508</v>
      </c>
    </row>
    <row r="4314">
      <c r="A4314" s="1" t="s">
        <v>10539</v>
      </c>
      <c r="B4314" s="2" t="s">
        <v>10540</v>
      </c>
      <c r="C4314" s="1" t="s">
        <v>1506</v>
      </c>
      <c r="D4314" s="1" t="s">
        <v>1508</v>
      </c>
    </row>
    <row r="4315">
      <c r="A4315" s="1" t="s">
        <v>10541</v>
      </c>
      <c r="B4315" s="2" t="s">
        <v>10542</v>
      </c>
      <c r="C4315" s="1" t="s">
        <v>1506</v>
      </c>
      <c r="D4315" s="1" t="s">
        <v>1508</v>
      </c>
    </row>
    <row r="4316">
      <c r="A4316" s="1" t="s">
        <v>10543</v>
      </c>
      <c r="B4316" s="2" t="s">
        <v>10544</v>
      </c>
      <c r="C4316" s="1" t="s">
        <v>1506</v>
      </c>
      <c r="D4316" s="1" t="s">
        <v>1508</v>
      </c>
    </row>
    <row r="4317">
      <c r="A4317" s="1" t="s">
        <v>10545</v>
      </c>
      <c r="B4317" s="2" t="s">
        <v>10546</v>
      </c>
      <c r="C4317" s="1" t="s">
        <v>1506</v>
      </c>
      <c r="D4317" s="1" t="s">
        <v>1508</v>
      </c>
    </row>
    <row r="4318">
      <c r="A4318" s="1" t="s">
        <v>10547</v>
      </c>
      <c r="B4318" s="2" t="s">
        <v>13</v>
      </c>
      <c r="C4318" s="1" t="s">
        <v>1506</v>
      </c>
      <c r="D4318" s="1" t="s">
        <v>1508</v>
      </c>
    </row>
    <row r="4319">
      <c r="A4319" s="1" t="s">
        <v>10548</v>
      </c>
      <c r="B4319" s="2" t="s">
        <v>10549</v>
      </c>
      <c r="C4319" s="1" t="s">
        <v>1506</v>
      </c>
      <c r="D4319" s="1" t="s">
        <v>1508</v>
      </c>
    </row>
    <row r="4320">
      <c r="A4320" s="1" t="s">
        <v>10550</v>
      </c>
      <c r="B4320" s="2" t="s">
        <v>10551</v>
      </c>
      <c r="C4320" s="1" t="s">
        <v>1506</v>
      </c>
      <c r="D4320" s="1" t="s">
        <v>1508</v>
      </c>
    </row>
    <row r="4321">
      <c r="A4321" s="1" t="s">
        <v>10552</v>
      </c>
      <c r="B4321" s="2" t="s">
        <v>10553</v>
      </c>
      <c r="C4321" s="1" t="s">
        <v>1506</v>
      </c>
      <c r="D4321" s="1" t="s">
        <v>1508</v>
      </c>
    </row>
    <row r="4322">
      <c r="A4322" s="1" t="s">
        <v>10554</v>
      </c>
      <c r="B4322" s="2" t="s">
        <v>10555</v>
      </c>
      <c r="C4322" s="1" t="s">
        <v>1506</v>
      </c>
      <c r="D4322" s="1" t="s">
        <v>1508</v>
      </c>
    </row>
    <row r="4323">
      <c r="A4323" s="1" t="s">
        <v>10556</v>
      </c>
      <c r="B4323" s="2" t="s">
        <v>10557</v>
      </c>
      <c r="C4323" s="1" t="s">
        <v>1506</v>
      </c>
      <c r="D4323" s="1" t="s">
        <v>1508</v>
      </c>
    </row>
    <row r="4324">
      <c r="A4324" s="1" t="s">
        <v>10558</v>
      </c>
      <c r="B4324" s="2" t="s">
        <v>10559</v>
      </c>
      <c r="C4324" s="1" t="s">
        <v>1506</v>
      </c>
      <c r="D4324" s="1" t="s">
        <v>1508</v>
      </c>
    </row>
    <row r="4325">
      <c r="A4325" s="1" t="s">
        <v>10560</v>
      </c>
      <c r="B4325" s="2" t="s">
        <v>10561</v>
      </c>
      <c r="C4325" s="1" t="s">
        <v>1506</v>
      </c>
      <c r="D4325" s="1" t="s">
        <v>1508</v>
      </c>
    </row>
    <row r="4326">
      <c r="A4326" s="1" t="s">
        <v>10562</v>
      </c>
      <c r="B4326" s="2" t="s">
        <v>10563</v>
      </c>
      <c r="C4326" s="1" t="s">
        <v>1506</v>
      </c>
      <c r="D4326" s="1" t="s">
        <v>1508</v>
      </c>
    </row>
    <row r="4327">
      <c r="A4327" s="1" t="s">
        <v>10564</v>
      </c>
      <c r="B4327" s="2" t="s">
        <v>10565</v>
      </c>
      <c r="C4327" s="1" t="s">
        <v>1506</v>
      </c>
      <c r="D4327" s="1" t="s">
        <v>1508</v>
      </c>
    </row>
    <row r="4328">
      <c r="A4328" s="1" t="s">
        <v>10566</v>
      </c>
      <c r="B4328" s="2" t="s">
        <v>10567</v>
      </c>
      <c r="C4328" s="1" t="s">
        <v>1506</v>
      </c>
      <c r="D4328" s="1" t="s">
        <v>1508</v>
      </c>
    </row>
    <row r="4329">
      <c r="A4329" s="1" t="s">
        <v>10568</v>
      </c>
      <c r="B4329" s="2" t="s">
        <v>10569</v>
      </c>
      <c r="C4329" s="1" t="s">
        <v>1506</v>
      </c>
      <c r="D4329" s="1" t="s">
        <v>1508</v>
      </c>
    </row>
    <row r="4330">
      <c r="A4330" s="1" t="s">
        <v>10570</v>
      </c>
      <c r="B4330" s="2" t="s">
        <v>10571</v>
      </c>
      <c r="C4330" s="1" t="s">
        <v>1506</v>
      </c>
      <c r="D4330" s="1" t="s">
        <v>1508</v>
      </c>
    </row>
    <row r="4331">
      <c r="A4331" s="1" t="s">
        <v>10572</v>
      </c>
      <c r="B4331" s="2" t="s">
        <v>10573</v>
      </c>
      <c r="C4331" s="1" t="s">
        <v>1506</v>
      </c>
      <c r="D4331" s="1" t="s">
        <v>1508</v>
      </c>
    </row>
    <row r="4332">
      <c r="A4332" s="1" t="s">
        <v>10574</v>
      </c>
      <c r="B4332" s="2" t="s">
        <v>10575</v>
      </c>
      <c r="C4332" s="1" t="s">
        <v>1506</v>
      </c>
      <c r="D4332" s="1" t="s">
        <v>1508</v>
      </c>
    </row>
    <row r="4333">
      <c r="A4333" s="1" t="s">
        <v>10576</v>
      </c>
      <c r="B4333" s="2" t="s">
        <v>70</v>
      </c>
      <c r="C4333" s="1" t="s">
        <v>1506</v>
      </c>
      <c r="D4333" s="1" t="s">
        <v>1508</v>
      </c>
    </row>
    <row r="4334">
      <c r="A4334" s="1" t="s">
        <v>10577</v>
      </c>
      <c r="B4334" s="2" t="s">
        <v>10578</v>
      </c>
      <c r="C4334" s="1" t="s">
        <v>1506</v>
      </c>
      <c r="D4334" s="1" t="s">
        <v>1508</v>
      </c>
    </row>
    <row r="4335">
      <c r="A4335" s="1" t="s">
        <v>10579</v>
      </c>
      <c r="B4335" s="2" t="s">
        <v>10580</v>
      </c>
      <c r="C4335" s="1" t="s">
        <v>1506</v>
      </c>
      <c r="D4335" s="1" t="s">
        <v>1508</v>
      </c>
    </row>
    <row r="4336">
      <c r="A4336" s="1" t="s">
        <v>10581</v>
      </c>
      <c r="B4336" s="2" t="s">
        <v>10582</v>
      </c>
      <c r="C4336" s="1" t="s">
        <v>1506</v>
      </c>
      <c r="D4336" s="1" t="s">
        <v>1508</v>
      </c>
    </row>
    <row r="4337">
      <c r="A4337" s="1" t="s">
        <v>10583</v>
      </c>
      <c r="B4337" s="2" t="s">
        <v>10584</v>
      </c>
      <c r="C4337" s="1" t="s">
        <v>1506</v>
      </c>
      <c r="D4337" s="1" t="s">
        <v>1508</v>
      </c>
    </row>
    <row r="4338">
      <c r="A4338" s="1" t="s">
        <v>10585</v>
      </c>
      <c r="B4338" s="2" t="s">
        <v>10586</v>
      </c>
      <c r="C4338" s="1" t="s">
        <v>1506</v>
      </c>
      <c r="D4338" s="1" t="s">
        <v>1508</v>
      </c>
    </row>
    <row r="4339">
      <c r="A4339" s="1" t="s">
        <v>10587</v>
      </c>
      <c r="B4339" s="2" t="s">
        <v>10588</v>
      </c>
      <c r="C4339" s="1" t="s">
        <v>1506</v>
      </c>
      <c r="D4339" s="1" t="s">
        <v>1508</v>
      </c>
    </row>
    <row r="4340">
      <c r="A4340" s="1" t="s">
        <v>10589</v>
      </c>
      <c r="B4340" s="2" t="s">
        <v>10590</v>
      </c>
      <c r="C4340" s="1" t="s">
        <v>1506</v>
      </c>
      <c r="D4340" s="1" t="s">
        <v>1508</v>
      </c>
    </row>
    <row r="4341">
      <c r="A4341" s="1" t="s">
        <v>10591</v>
      </c>
      <c r="B4341" s="2" t="s">
        <v>10592</v>
      </c>
      <c r="C4341" s="1" t="s">
        <v>1506</v>
      </c>
      <c r="D4341" s="1" t="s">
        <v>1508</v>
      </c>
    </row>
    <row r="4342">
      <c r="A4342" s="1" t="s">
        <v>10593</v>
      </c>
      <c r="B4342" s="2" t="s">
        <v>10594</v>
      </c>
      <c r="C4342" s="1" t="s">
        <v>1506</v>
      </c>
      <c r="D4342" s="1" t="s">
        <v>1508</v>
      </c>
    </row>
    <row r="4343">
      <c r="A4343" s="1" t="s">
        <v>10595</v>
      </c>
      <c r="B4343" s="2" t="s">
        <v>10596</v>
      </c>
      <c r="C4343" s="1" t="s">
        <v>1506</v>
      </c>
      <c r="D4343" s="1" t="s">
        <v>1508</v>
      </c>
    </row>
    <row r="4344">
      <c r="A4344" s="1" t="s">
        <v>10597</v>
      </c>
      <c r="B4344" s="2" t="s">
        <v>10598</v>
      </c>
      <c r="C4344" s="1" t="s">
        <v>1506</v>
      </c>
      <c r="D4344" s="1" t="s">
        <v>1508</v>
      </c>
    </row>
    <row r="4345">
      <c r="A4345" s="1" t="s">
        <v>10599</v>
      </c>
      <c r="B4345" s="2" t="s">
        <v>10600</v>
      </c>
      <c r="C4345" s="1" t="s">
        <v>1506</v>
      </c>
      <c r="D4345" s="1" t="s">
        <v>1508</v>
      </c>
    </row>
    <row r="4346">
      <c r="A4346" s="1" t="s">
        <v>10601</v>
      </c>
      <c r="B4346" s="2" t="s">
        <v>10602</v>
      </c>
      <c r="C4346" s="1" t="s">
        <v>1506</v>
      </c>
      <c r="D4346" s="1" t="s">
        <v>1508</v>
      </c>
    </row>
    <row r="4347">
      <c r="A4347" s="1" t="s">
        <v>10603</v>
      </c>
      <c r="B4347" s="2" t="s">
        <v>10604</v>
      </c>
      <c r="C4347" s="1" t="s">
        <v>1506</v>
      </c>
      <c r="D4347" s="1" t="s">
        <v>1508</v>
      </c>
    </row>
    <row r="4348">
      <c r="A4348" s="1" t="s">
        <v>1513</v>
      </c>
      <c r="B4348" s="2" t="s">
        <v>7</v>
      </c>
      <c r="C4348" s="1" t="s">
        <v>1516</v>
      </c>
      <c r="D4348" s="1" t="s">
        <v>1517</v>
      </c>
    </row>
    <row r="4349">
      <c r="A4349" s="1" t="s">
        <v>10605</v>
      </c>
      <c r="B4349" s="2" t="s">
        <v>10606</v>
      </c>
      <c r="C4349" s="1" t="s">
        <v>1516</v>
      </c>
      <c r="D4349" s="1" t="s">
        <v>1517</v>
      </c>
    </row>
    <row r="4350">
      <c r="A4350" s="1" t="s">
        <v>10607</v>
      </c>
      <c r="B4350" s="2" t="s">
        <v>10608</v>
      </c>
      <c r="C4350" s="1" t="s">
        <v>1516</v>
      </c>
      <c r="D4350" s="1" t="s">
        <v>1517</v>
      </c>
    </row>
    <row r="4351">
      <c r="A4351" s="1" t="s">
        <v>10609</v>
      </c>
      <c r="B4351" s="2" t="s">
        <v>10610</v>
      </c>
      <c r="C4351" s="1" t="s">
        <v>1516</v>
      </c>
      <c r="D4351" s="1" t="s">
        <v>1517</v>
      </c>
    </row>
    <row r="4352">
      <c r="A4352" s="1" t="s">
        <v>10611</v>
      </c>
      <c r="B4352" s="2" t="s">
        <v>10612</v>
      </c>
      <c r="C4352" s="1" t="s">
        <v>1516</v>
      </c>
      <c r="D4352" s="1" t="s">
        <v>1517</v>
      </c>
    </row>
    <row r="4353">
      <c r="A4353" s="1" t="s">
        <v>10613</v>
      </c>
      <c r="B4353" s="2" t="s">
        <v>10614</v>
      </c>
      <c r="C4353" s="1" t="s">
        <v>1516</v>
      </c>
      <c r="D4353" s="1" t="s">
        <v>1517</v>
      </c>
    </row>
    <row r="4354">
      <c r="A4354" s="1" t="s">
        <v>10615</v>
      </c>
      <c r="B4354" s="2" t="s">
        <v>10616</v>
      </c>
      <c r="C4354" s="1" t="s">
        <v>1516</v>
      </c>
      <c r="D4354" s="1" t="s">
        <v>1517</v>
      </c>
    </row>
    <row r="4355">
      <c r="A4355" s="1" t="s">
        <v>10617</v>
      </c>
      <c r="B4355" s="2" t="s">
        <v>10618</v>
      </c>
      <c r="C4355" s="1" t="s">
        <v>1516</v>
      </c>
      <c r="D4355" s="1" t="s">
        <v>1517</v>
      </c>
    </row>
    <row r="4356">
      <c r="A4356" s="1" t="s">
        <v>10619</v>
      </c>
      <c r="B4356" s="2" t="s">
        <v>10620</v>
      </c>
      <c r="C4356" s="1" t="s">
        <v>1516</v>
      </c>
      <c r="D4356" s="1" t="s">
        <v>1517</v>
      </c>
    </row>
    <row r="4357">
      <c r="A4357" s="1" t="s">
        <v>10621</v>
      </c>
      <c r="B4357" s="2" t="s">
        <v>10622</v>
      </c>
      <c r="C4357" s="1" t="s">
        <v>1516</v>
      </c>
      <c r="D4357" s="1" t="s">
        <v>1517</v>
      </c>
    </row>
    <row r="4358">
      <c r="A4358" s="1" t="s">
        <v>10623</v>
      </c>
      <c r="B4358" s="2" t="s">
        <v>10624</v>
      </c>
      <c r="C4358" s="1" t="s">
        <v>1516</v>
      </c>
      <c r="D4358" s="1" t="s">
        <v>1517</v>
      </c>
    </row>
    <row r="4359">
      <c r="A4359" s="1" t="s">
        <v>10625</v>
      </c>
      <c r="B4359" s="2" t="s">
        <v>10626</v>
      </c>
      <c r="C4359" s="1" t="s">
        <v>1516</v>
      </c>
      <c r="D4359" s="1" t="s">
        <v>1517</v>
      </c>
    </row>
    <row r="4360">
      <c r="A4360" s="1" t="s">
        <v>10627</v>
      </c>
      <c r="B4360" s="2" t="s">
        <v>10628</v>
      </c>
      <c r="C4360" s="1" t="s">
        <v>1516</v>
      </c>
      <c r="D4360" s="1" t="s">
        <v>1517</v>
      </c>
    </row>
    <row r="4361">
      <c r="A4361" s="1" t="s">
        <v>10629</v>
      </c>
      <c r="B4361" s="2" t="s">
        <v>13</v>
      </c>
      <c r="C4361" s="1" t="s">
        <v>1516</v>
      </c>
      <c r="D4361" s="1" t="s">
        <v>1517</v>
      </c>
    </row>
    <row r="4362">
      <c r="A4362" s="1" t="s">
        <v>10630</v>
      </c>
      <c r="B4362" s="2" t="s">
        <v>10631</v>
      </c>
      <c r="C4362" s="1" t="s">
        <v>1516</v>
      </c>
      <c r="D4362" s="1" t="s">
        <v>1517</v>
      </c>
    </row>
    <row r="4363">
      <c r="A4363" s="1" t="s">
        <v>10632</v>
      </c>
      <c r="B4363" s="2" t="s">
        <v>10633</v>
      </c>
      <c r="C4363" s="1" t="s">
        <v>1516</v>
      </c>
      <c r="D4363" s="1" t="s">
        <v>1517</v>
      </c>
    </row>
    <row r="4364">
      <c r="A4364" s="1" t="s">
        <v>10634</v>
      </c>
      <c r="B4364" s="2" t="s">
        <v>10635</v>
      </c>
      <c r="C4364" s="1" t="s">
        <v>1516</v>
      </c>
      <c r="D4364" s="1" t="s">
        <v>1517</v>
      </c>
    </row>
    <row r="4365">
      <c r="A4365" s="1" t="s">
        <v>10636</v>
      </c>
      <c r="B4365" s="2" t="s">
        <v>10637</v>
      </c>
      <c r="C4365" s="1" t="s">
        <v>1516</v>
      </c>
      <c r="D4365" s="1" t="s">
        <v>1517</v>
      </c>
    </row>
    <row r="4366">
      <c r="A4366" s="1" t="s">
        <v>10638</v>
      </c>
      <c r="B4366" s="2" t="s">
        <v>10639</v>
      </c>
      <c r="C4366" s="1" t="s">
        <v>1516</v>
      </c>
      <c r="D4366" s="1" t="s">
        <v>1517</v>
      </c>
    </row>
    <row r="4367">
      <c r="A4367" s="1" t="s">
        <v>10640</v>
      </c>
      <c r="B4367" s="2" t="s">
        <v>10641</v>
      </c>
      <c r="C4367" s="1" t="s">
        <v>1516</v>
      </c>
      <c r="D4367" s="1" t="s">
        <v>1517</v>
      </c>
    </row>
    <row r="4368">
      <c r="A4368" s="1" t="s">
        <v>10642</v>
      </c>
      <c r="B4368" s="2" t="s">
        <v>10643</v>
      </c>
      <c r="C4368" s="1" t="s">
        <v>1516</v>
      </c>
      <c r="D4368" s="1" t="s">
        <v>1517</v>
      </c>
    </row>
    <row r="4369">
      <c r="A4369" s="1" t="s">
        <v>10644</v>
      </c>
      <c r="B4369" s="2" t="s">
        <v>10645</v>
      </c>
      <c r="C4369" s="1" t="s">
        <v>1516</v>
      </c>
      <c r="D4369" s="1" t="s">
        <v>1517</v>
      </c>
    </row>
    <row r="4370">
      <c r="A4370" s="1" t="s">
        <v>10646</v>
      </c>
      <c r="B4370" s="2" t="s">
        <v>10647</v>
      </c>
      <c r="C4370" s="1" t="s">
        <v>1516</v>
      </c>
      <c r="D4370" s="1" t="s">
        <v>1517</v>
      </c>
    </row>
    <row r="4371">
      <c r="A4371" s="1" t="s">
        <v>10648</v>
      </c>
      <c r="B4371" s="2" t="s">
        <v>10649</v>
      </c>
      <c r="C4371" s="1" t="s">
        <v>1516</v>
      </c>
      <c r="D4371" s="1" t="s">
        <v>1517</v>
      </c>
    </row>
    <row r="4372">
      <c r="A4372" s="1" t="s">
        <v>10650</v>
      </c>
      <c r="B4372" s="2" t="s">
        <v>10651</v>
      </c>
      <c r="C4372" s="1" t="s">
        <v>1516</v>
      </c>
      <c r="D4372" s="1" t="s">
        <v>1517</v>
      </c>
    </row>
    <row r="4373">
      <c r="A4373" s="1" t="s">
        <v>10652</v>
      </c>
      <c r="B4373" s="2" t="s">
        <v>10653</v>
      </c>
      <c r="C4373" s="1" t="s">
        <v>1516</v>
      </c>
      <c r="D4373" s="1" t="s">
        <v>1517</v>
      </c>
    </row>
    <row r="4374">
      <c r="A4374" s="1" t="s">
        <v>10654</v>
      </c>
      <c r="B4374" s="2" t="s">
        <v>70</v>
      </c>
      <c r="C4374" s="1" t="s">
        <v>1516</v>
      </c>
      <c r="D4374" s="1" t="s">
        <v>1517</v>
      </c>
    </row>
    <row r="4375">
      <c r="A4375" s="1" t="s">
        <v>10655</v>
      </c>
      <c r="B4375" s="2" t="s">
        <v>10656</v>
      </c>
      <c r="C4375" s="1" t="s">
        <v>1516</v>
      </c>
      <c r="D4375" s="1" t="s">
        <v>1517</v>
      </c>
    </row>
    <row r="4376">
      <c r="A4376" s="1" t="s">
        <v>10657</v>
      </c>
      <c r="B4376" s="2" t="s">
        <v>10658</v>
      </c>
      <c r="C4376" s="1" t="s">
        <v>1516</v>
      </c>
      <c r="D4376" s="1" t="s">
        <v>1517</v>
      </c>
    </row>
    <row r="4377">
      <c r="A4377" s="1" t="s">
        <v>10659</v>
      </c>
      <c r="B4377" s="2" t="s">
        <v>10660</v>
      </c>
      <c r="C4377" s="1" t="s">
        <v>1516</v>
      </c>
      <c r="D4377" s="1" t="s">
        <v>1517</v>
      </c>
    </row>
    <row r="4378">
      <c r="A4378" s="1" t="s">
        <v>10661</v>
      </c>
      <c r="B4378" s="2" t="s">
        <v>10662</v>
      </c>
      <c r="C4378" s="1" t="s">
        <v>1516</v>
      </c>
      <c r="D4378" s="1" t="s">
        <v>1517</v>
      </c>
    </row>
    <row r="4379">
      <c r="A4379" s="1" t="s">
        <v>10663</v>
      </c>
      <c r="B4379" s="2" t="s">
        <v>10664</v>
      </c>
      <c r="C4379" s="1" t="s">
        <v>1516</v>
      </c>
      <c r="D4379" s="1" t="s">
        <v>1517</v>
      </c>
    </row>
    <row r="4380">
      <c r="A4380" s="1" t="s">
        <v>10665</v>
      </c>
      <c r="B4380" s="2" t="s">
        <v>10666</v>
      </c>
      <c r="C4380" s="1" t="s">
        <v>1516</v>
      </c>
      <c r="D4380" s="1" t="s">
        <v>1517</v>
      </c>
    </row>
    <row r="4381">
      <c r="A4381" s="1" t="s">
        <v>10667</v>
      </c>
      <c r="B4381" s="2" t="s">
        <v>10668</v>
      </c>
      <c r="C4381" s="1" t="s">
        <v>1516</v>
      </c>
      <c r="D4381" s="1" t="s">
        <v>1517</v>
      </c>
    </row>
    <row r="4382">
      <c r="A4382" s="1" t="s">
        <v>10669</v>
      </c>
      <c r="B4382" s="2" t="s">
        <v>10670</v>
      </c>
      <c r="C4382" s="1" t="s">
        <v>1516</v>
      </c>
      <c r="D4382" s="1" t="s">
        <v>1517</v>
      </c>
    </row>
    <row r="4383">
      <c r="A4383" s="1" t="s">
        <v>10671</v>
      </c>
      <c r="B4383" s="2" t="s">
        <v>10672</v>
      </c>
      <c r="C4383" s="1" t="s">
        <v>1516</v>
      </c>
      <c r="D4383" s="1" t="s">
        <v>1517</v>
      </c>
    </row>
    <row r="4384">
      <c r="A4384" s="1" t="s">
        <v>10673</v>
      </c>
      <c r="B4384" s="2" t="s">
        <v>10674</v>
      </c>
      <c r="C4384" s="1" t="s">
        <v>1516</v>
      </c>
      <c r="D4384" s="1" t="s">
        <v>1517</v>
      </c>
    </row>
    <row r="4385">
      <c r="A4385" s="1" t="s">
        <v>10675</v>
      </c>
      <c r="B4385" s="2" t="s">
        <v>10676</v>
      </c>
      <c r="C4385" s="1" t="s">
        <v>1516</v>
      </c>
      <c r="D4385" s="1" t="s">
        <v>1517</v>
      </c>
    </row>
    <row r="4386">
      <c r="A4386" s="1" t="s">
        <v>10677</v>
      </c>
      <c r="B4386" s="2" t="s">
        <v>10678</v>
      </c>
      <c r="C4386" s="1" t="s">
        <v>1516</v>
      </c>
      <c r="D4386" s="1" t="s">
        <v>1517</v>
      </c>
    </row>
    <row r="4387">
      <c r="A4387" s="1" t="s">
        <v>1523</v>
      </c>
      <c r="B4387" s="2" t="s">
        <v>1524</v>
      </c>
      <c r="C4387" s="1" t="s">
        <v>1526</v>
      </c>
      <c r="D4387" s="1" t="s">
        <v>1527</v>
      </c>
    </row>
    <row r="4388">
      <c r="A4388" s="1" t="s">
        <v>10679</v>
      </c>
      <c r="B4388" s="2" t="s">
        <v>10680</v>
      </c>
      <c r="C4388" s="1" t="s">
        <v>1526</v>
      </c>
      <c r="D4388" s="1" t="s">
        <v>1527</v>
      </c>
    </row>
    <row r="4389">
      <c r="A4389" s="1" t="s">
        <v>10681</v>
      </c>
      <c r="B4389" s="2" t="s">
        <v>10682</v>
      </c>
      <c r="C4389" s="1" t="s">
        <v>1526</v>
      </c>
      <c r="D4389" s="1" t="s">
        <v>1527</v>
      </c>
    </row>
    <row r="4390">
      <c r="A4390" s="1" t="s">
        <v>1534</v>
      </c>
      <c r="B4390" s="2" t="s">
        <v>7</v>
      </c>
      <c r="C4390" s="1" t="s">
        <v>1536</v>
      </c>
      <c r="D4390" s="1" t="s">
        <v>1537</v>
      </c>
    </row>
    <row r="4391">
      <c r="A4391" s="1" t="s">
        <v>10683</v>
      </c>
      <c r="B4391" s="2" t="s">
        <v>10684</v>
      </c>
      <c r="C4391" s="1" t="s">
        <v>1536</v>
      </c>
      <c r="D4391" s="1" t="s">
        <v>1537</v>
      </c>
    </row>
    <row r="4392">
      <c r="A4392" s="1" t="s">
        <v>10685</v>
      </c>
      <c r="B4392" s="2" t="s">
        <v>10686</v>
      </c>
      <c r="C4392" s="1" t="s">
        <v>1536</v>
      </c>
      <c r="D4392" s="1" t="s">
        <v>1537</v>
      </c>
    </row>
    <row r="4393">
      <c r="A4393" s="1" t="s">
        <v>10687</v>
      </c>
      <c r="B4393" s="2" t="s">
        <v>10688</v>
      </c>
      <c r="C4393" s="1" t="s">
        <v>1536</v>
      </c>
      <c r="D4393" s="1" t="s">
        <v>1537</v>
      </c>
    </row>
    <row r="4394">
      <c r="A4394" s="1" t="s">
        <v>10689</v>
      </c>
      <c r="B4394" s="2" t="s">
        <v>10690</v>
      </c>
      <c r="C4394" s="1" t="s">
        <v>1536</v>
      </c>
      <c r="D4394" s="1" t="s">
        <v>1537</v>
      </c>
    </row>
    <row r="4395">
      <c r="A4395" s="1" t="s">
        <v>10691</v>
      </c>
      <c r="B4395" s="2" t="s">
        <v>10692</v>
      </c>
      <c r="C4395" s="1" t="s">
        <v>1536</v>
      </c>
      <c r="D4395" s="1" t="s">
        <v>1537</v>
      </c>
    </row>
    <row r="4396">
      <c r="A4396" s="1" t="s">
        <v>10693</v>
      </c>
      <c r="B4396" s="2" t="s">
        <v>10694</v>
      </c>
      <c r="C4396" s="1" t="s">
        <v>1536</v>
      </c>
      <c r="D4396" s="1" t="s">
        <v>1537</v>
      </c>
    </row>
    <row r="4397">
      <c r="A4397" s="1" t="s">
        <v>10695</v>
      </c>
      <c r="B4397" s="2" t="s">
        <v>13</v>
      </c>
      <c r="C4397" s="1" t="s">
        <v>1536</v>
      </c>
      <c r="D4397" s="1" t="s">
        <v>1537</v>
      </c>
    </row>
    <row r="4398">
      <c r="A4398" s="1" t="s">
        <v>10696</v>
      </c>
      <c r="B4398" s="2" t="s">
        <v>10697</v>
      </c>
      <c r="C4398" s="1" t="s">
        <v>1536</v>
      </c>
      <c r="D4398" s="1" t="s">
        <v>1537</v>
      </c>
    </row>
    <row r="4399">
      <c r="A4399" s="1" t="s">
        <v>10698</v>
      </c>
      <c r="B4399" s="2" t="s">
        <v>10699</v>
      </c>
      <c r="C4399" s="1" t="s">
        <v>1536</v>
      </c>
      <c r="D4399" s="1" t="s">
        <v>1537</v>
      </c>
    </row>
    <row r="4400">
      <c r="A4400" s="1" t="s">
        <v>10700</v>
      </c>
      <c r="B4400" s="2" t="s">
        <v>10701</v>
      </c>
      <c r="C4400" s="1" t="s">
        <v>1536</v>
      </c>
      <c r="D4400" s="1" t="s">
        <v>1537</v>
      </c>
    </row>
    <row r="4401">
      <c r="A4401" s="1" t="s">
        <v>10702</v>
      </c>
      <c r="B4401" s="2" t="s">
        <v>10703</v>
      </c>
      <c r="C4401" s="1" t="s">
        <v>1536</v>
      </c>
      <c r="D4401" s="1" t="s">
        <v>1537</v>
      </c>
    </row>
    <row r="4402">
      <c r="A4402" s="1" t="s">
        <v>10704</v>
      </c>
      <c r="B4402" s="2" t="s">
        <v>10705</v>
      </c>
      <c r="C4402" s="1" t="s">
        <v>1536</v>
      </c>
      <c r="D4402" s="1" t="s">
        <v>1537</v>
      </c>
    </row>
    <row r="4403">
      <c r="A4403" s="1" t="s">
        <v>10706</v>
      </c>
      <c r="B4403" s="2" t="s">
        <v>10707</v>
      </c>
      <c r="C4403" s="1" t="s">
        <v>1536</v>
      </c>
      <c r="D4403" s="1" t="s">
        <v>1537</v>
      </c>
    </row>
    <row r="4404">
      <c r="A4404" s="1" t="s">
        <v>10708</v>
      </c>
      <c r="B4404" s="2" t="s">
        <v>70</v>
      </c>
      <c r="C4404" s="1" t="s">
        <v>1536</v>
      </c>
      <c r="D4404" s="1" t="s">
        <v>1537</v>
      </c>
    </row>
    <row r="4405">
      <c r="A4405" s="1" t="s">
        <v>10709</v>
      </c>
      <c r="B4405" s="2" t="s">
        <v>10710</v>
      </c>
      <c r="C4405" s="1" t="s">
        <v>1536</v>
      </c>
      <c r="D4405" s="1" t="s">
        <v>1537</v>
      </c>
    </row>
    <row r="4406">
      <c r="A4406" s="1" t="s">
        <v>10711</v>
      </c>
      <c r="B4406" s="2" t="s">
        <v>10712</v>
      </c>
      <c r="C4406" s="1" t="s">
        <v>1536</v>
      </c>
      <c r="D4406" s="1" t="s">
        <v>1537</v>
      </c>
    </row>
    <row r="4407">
      <c r="A4407" s="1" t="s">
        <v>10713</v>
      </c>
      <c r="B4407" s="2" t="s">
        <v>10714</v>
      </c>
      <c r="C4407" s="1" t="s">
        <v>1536</v>
      </c>
      <c r="D4407" s="1" t="s">
        <v>1537</v>
      </c>
    </row>
    <row r="4408">
      <c r="A4408" s="1" t="s">
        <v>10715</v>
      </c>
      <c r="B4408" s="2" t="s">
        <v>10716</v>
      </c>
      <c r="C4408" s="1" t="s">
        <v>1536</v>
      </c>
      <c r="D4408" s="1" t="s">
        <v>1537</v>
      </c>
    </row>
    <row r="4409">
      <c r="A4409" s="1" t="s">
        <v>10717</v>
      </c>
      <c r="B4409" s="2" t="s">
        <v>10718</v>
      </c>
      <c r="C4409" s="1" t="s">
        <v>1536</v>
      </c>
      <c r="D4409" s="1" t="s">
        <v>1537</v>
      </c>
    </row>
    <row r="4410">
      <c r="A4410" s="1" t="s">
        <v>10719</v>
      </c>
      <c r="B4410" s="2" t="s">
        <v>10720</v>
      </c>
      <c r="C4410" s="1" t="s">
        <v>1536</v>
      </c>
      <c r="D4410" s="1" t="s">
        <v>1537</v>
      </c>
    </row>
    <row r="4411">
      <c r="A4411" s="1" t="s">
        <v>1540</v>
      </c>
      <c r="B4411" s="2" t="s">
        <v>1541</v>
      </c>
      <c r="C4411" s="1" t="s">
        <v>1542</v>
      </c>
      <c r="D4411" s="1" t="s">
        <v>1543</v>
      </c>
    </row>
    <row r="4412">
      <c r="A4412" s="1" t="s">
        <v>10721</v>
      </c>
      <c r="B4412" s="2" t="s">
        <v>10722</v>
      </c>
      <c r="C4412" s="1" t="s">
        <v>1542</v>
      </c>
      <c r="D4412" s="1" t="s">
        <v>1543</v>
      </c>
    </row>
    <row r="4413">
      <c r="A4413" s="1" t="s">
        <v>10723</v>
      </c>
      <c r="B4413" s="2" t="s">
        <v>10724</v>
      </c>
      <c r="C4413" s="1" t="s">
        <v>1542</v>
      </c>
      <c r="D4413" s="1" t="s">
        <v>1543</v>
      </c>
    </row>
    <row r="4414">
      <c r="A4414" s="1" t="s">
        <v>1549</v>
      </c>
      <c r="B4414" s="2" t="s">
        <v>7</v>
      </c>
      <c r="C4414" s="1" t="s">
        <v>1551</v>
      </c>
      <c r="D4414" s="1" t="s">
        <v>1553</v>
      </c>
    </row>
    <row r="4415">
      <c r="A4415" s="1" t="s">
        <v>10725</v>
      </c>
      <c r="B4415" s="2" t="s">
        <v>10726</v>
      </c>
      <c r="C4415" s="1" t="s">
        <v>1551</v>
      </c>
      <c r="D4415" s="1" t="s">
        <v>1553</v>
      </c>
    </row>
    <row r="4416">
      <c r="A4416" s="1" t="s">
        <v>10727</v>
      </c>
      <c r="B4416" s="2" t="s">
        <v>10728</v>
      </c>
      <c r="C4416" s="1" t="s">
        <v>1551</v>
      </c>
      <c r="D4416" s="1" t="s">
        <v>1553</v>
      </c>
    </row>
    <row r="4417">
      <c r="A4417" s="1" t="s">
        <v>10729</v>
      </c>
      <c r="B4417" s="2" t="s">
        <v>10730</v>
      </c>
      <c r="C4417" s="1" t="s">
        <v>1551</v>
      </c>
      <c r="D4417" s="1" t="s">
        <v>1553</v>
      </c>
    </row>
    <row r="4418">
      <c r="A4418" s="1" t="s">
        <v>10731</v>
      </c>
      <c r="B4418" s="2" t="s">
        <v>10732</v>
      </c>
      <c r="C4418" s="1" t="s">
        <v>1551</v>
      </c>
      <c r="D4418" s="1" t="s">
        <v>1553</v>
      </c>
    </row>
    <row r="4419">
      <c r="A4419" s="1" t="s">
        <v>10733</v>
      </c>
      <c r="B4419" s="2" t="s">
        <v>10734</v>
      </c>
      <c r="C4419" s="1" t="s">
        <v>1551</v>
      </c>
      <c r="D4419" s="1" t="s">
        <v>1553</v>
      </c>
    </row>
    <row r="4420">
      <c r="A4420" s="1" t="s">
        <v>10735</v>
      </c>
      <c r="B4420" s="2" t="s">
        <v>10736</v>
      </c>
      <c r="C4420" s="1" t="s">
        <v>1551</v>
      </c>
      <c r="D4420" s="1" t="s">
        <v>1553</v>
      </c>
    </row>
    <row r="4421">
      <c r="A4421" s="1" t="s">
        <v>10737</v>
      </c>
      <c r="B4421" s="2" t="s">
        <v>10738</v>
      </c>
      <c r="C4421" s="1" t="s">
        <v>1551</v>
      </c>
      <c r="D4421" s="1" t="s">
        <v>1553</v>
      </c>
    </row>
    <row r="4422">
      <c r="A4422" s="1" t="s">
        <v>10739</v>
      </c>
      <c r="B4422" s="2" t="s">
        <v>10740</v>
      </c>
      <c r="C4422" s="1" t="s">
        <v>1551</v>
      </c>
      <c r="D4422" s="1" t="s">
        <v>1553</v>
      </c>
    </row>
    <row r="4423">
      <c r="A4423" s="1" t="s">
        <v>10741</v>
      </c>
      <c r="B4423" s="2" t="s">
        <v>10742</v>
      </c>
      <c r="C4423" s="1" t="s">
        <v>1551</v>
      </c>
      <c r="D4423" s="1" t="s">
        <v>1553</v>
      </c>
    </row>
    <row r="4424">
      <c r="A4424" s="1" t="s">
        <v>10743</v>
      </c>
      <c r="B4424" s="2" t="s">
        <v>10744</v>
      </c>
      <c r="C4424" s="1" t="s">
        <v>1551</v>
      </c>
      <c r="D4424" s="1" t="s">
        <v>1553</v>
      </c>
    </row>
    <row r="4425">
      <c r="A4425" s="1" t="s">
        <v>10745</v>
      </c>
      <c r="B4425" s="2" t="s">
        <v>10746</v>
      </c>
      <c r="C4425" s="1" t="s">
        <v>1551</v>
      </c>
      <c r="D4425" s="1" t="s">
        <v>1553</v>
      </c>
    </row>
    <row r="4426">
      <c r="A4426" s="1" t="s">
        <v>10747</v>
      </c>
      <c r="B4426" s="2" t="s">
        <v>10748</v>
      </c>
      <c r="C4426" s="1" t="s">
        <v>1551</v>
      </c>
      <c r="D4426" s="1" t="s">
        <v>1553</v>
      </c>
    </row>
    <row r="4427">
      <c r="A4427" s="1" t="s">
        <v>10749</v>
      </c>
      <c r="B4427" s="2" t="s">
        <v>10750</v>
      </c>
      <c r="C4427" s="1" t="s">
        <v>1551</v>
      </c>
      <c r="D4427" s="1" t="s">
        <v>1553</v>
      </c>
    </row>
    <row r="4428">
      <c r="A4428" s="1" t="s">
        <v>10751</v>
      </c>
      <c r="B4428" s="2" t="s">
        <v>10752</v>
      </c>
      <c r="C4428" s="1" t="s">
        <v>1551</v>
      </c>
      <c r="D4428" s="1" t="s">
        <v>1553</v>
      </c>
    </row>
    <row r="4429">
      <c r="A4429" s="1" t="s">
        <v>10753</v>
      </c>
      <c r="B4429" s="2" t="s">
        <v>10754</v>
      </c>
      <c r="C4429" s="1" t="s">
        <v>1551</v>
      </c>
      <c r="D4429" s="1" t="s">
        <v>1553</v>
      </c>
    </row>
    <row r="4430">
      <c r="A4430" s="1" t="s">
        <v>10755</v>
      </c>
      <c r="B4430" s="2" t="s">
        <v>10756</v>
      </c>
      <c r="C4430" s="1" t="s">
        <v>1551</v>
      </c>
      <c r="D4430" s="1" t="s">
        <v>1553</v>
      </c>
    </row>
    <row r="4431">
      <c r="A4431" s="1" t="s">
        <v>10757</v>
      </c>
      <c r="B4431" s="2" t="s">
        <v>10758</v>
      </c>
      <c r="C4431" s="1" t="s">
        <v>1551</v>
      </c>
      <c r="D4431" s="1" t="s">
        <v>1553</v>
      </c>
    </row>
    <row r="4432">
      <c r="A4432" s="1" t="s">
        <v>10759</v>
      </c>
      <c r="B4432" s="2" t="s">
        <v>10760</v>
      </c>
      <c r="C4432" s="1" t="s">
        <v>1551</v>
      </c>
      <c r="D4432" s="1" t="s">
        <v>1553</v>
      </c>
    </row>
    <row r="4433">
      <c r="A4433" s="1" t="s">
        <v>10761</v>
      </c>
      <c r="B4433" s="2" t="s">
        <v>10762</v>
      </c>
      <c r="C4433" s="1" t="s">
        <v>1551</v>
      </c>
      <c r="D4433" s="1" t="s">
        <v>1553</v>
      </c>
    </row>
    <row r="4434">
      <c r="A4434" s="1" t="s">
        <v>10763</v>
      </c>
      <c r="B4434" s="2" t="s">
        <v>10764</v>
      </c>
      <c r="C4434" s="1" t="s">
        <v>1551</v>
      </c>
      <c r="D4434" s="1" t="s">
        <v>1553</v>
      </c>
    </row>
    <row r="4435">
      <c r="A4435" s="1" t="s">
        <v>10765</v>
      </c>
      <c r="B4435" s="2" t="s">
        <v>10766</v>
      </c>
      <c r="C4435" s="1" t="s">
        <v>1551</v>
      </c>
      <c r="D4435" s="1" t="s">
        <v>1553</v>
      </c>
    </row>
    <row r="4436">
      <c r="A4436" s="1" t="s">
        <v>10767</v>
      </c>
      <c r="B4436" s="2" t="s">
        <v>10768</v>
      </c>
      <c r="C4436" s="1" t="s">
        <v>1551</v>
      </c>
      <c r="D4436" s="1" t="s">
        <v>1553</v>
      </c>
    </row>
    <row r="4437">
      <c r="A4437" s="1" t="s">
        <v>1560</v>
      </c>
      <c r="B4437" s="2" t="s">
        <v>7</v>
      </c>
      <c r="C4437" s="1" t="s">
        <v>1562</v>
      </c>
      <c r="D4437" s="1" t="s">
        <v>1564</v>
      </c>
    </row>
    <row r="4438">
      <c r="A4438" s="1" t="s">
        <v>10769</v>
      </c>
      <c r="B4438" s="2" t="s">
        <v>10726</v>
      </c>
      <c r="C4438" s="1" t="s">
        <v>1562</v>
      </c>
      <c r="D4438" s="1" t="s">
        <v>1564</v>
      </c>
    </row>
    <row r="4439">
      <c r="A4439" s="1" t="s">
        <v>10770</v>
      </c>
      <c r="B4439" s="2" t="s">
        <v>10771</v>
      </c>
      <c r="C4439" s="1" t="s">
        <v>1562</v>
      </c>
      <c r="D4439" s="1" t="s">
        <v>1564</v>
      </c>
    </row>
    <row r="4440">
      <c r="A4440" s="1" t="s">
        <v>10772</v>
      </c>
      <c r="B4440" s="2" t="s">
        <v>10773</v>
      </c>
      <c r="C4440" s="1" t="s">
        <v>1562</v>
      </c>
      <c r="D4440" s="1" t="s">
        <v>1564</v>
      </c>
    </row>
    <row r="4441">
      <c r="A4441" s="1" t="s">
        <v>10774</v>
      </c>
      <c r="B4441" s="2" t="s">
        <v>10775</v>
      </c>
      <c r="C4441" s="1" t="s">
        <v>1562</v>
      </c>
      <c r="D4441" s="1" t="s">
        <v>1564</v>
      </c>
    </row>
    <row r="4442">
      <c r="A4442" s="1" t="s">
        <v>10776</v>
      </c>
      <c r="B4442" s="2" t="s">
        <v>10777</v>
      </c>
      <c r="C4442" s="1" t="s">
        <v>1562</v>
      </c>
      <c r="D4442" s="1" t="s">
        <v>1564</v>
      </c>
    </row>
    <row r="4443">
      <c r="A4443" s="1" t="s">
        <v>10778</v>
      </c>
      <c r="B4443" s="2" t="s">
        <v>10779</v>
      </c>
      <c r="C4443" s="1" t="s">
        <v>1562</v>
      </c>
      <c r="D4443" s="1" t="s">
        <v>1564</v>
      </c>
    </row>
    <row r="4444">
      <c r="A4444" s="1" t="s">
        <v>10780</v>
      </c>
      <c r="B4444" s="2" t="s">
        <v>10781</v>
      </c>
      <c r="C4444" s="1" t="s">
        <v>1562</v>
      </c>
      <c r="D4444" s="1" t="s">
        <v>1564</v>
      </c>
    </row>
    <row r="4445">
      <c r="A4445" s="1" t="s">
        <v>10782</v>
      </c>
      <c r="B4445" s="2" t="s">
        <v>10783</v>
      </c>
      <c r="C4445" s="1" t="s">
        <v>1562</v>
      </c>
      <c r="D4445" s="1" t="s">
        <v>1564</v>
      </c>
    </row>
    <row r="4446">
      <c r="A4446" s="1" t="s">
        <v>10784</v>
      </c>
      <c r="B4446" s="2" t="s">
        <v>10785</v>
      </c>
      <c r="C4446" s="1" t="s">
        <v>1562</v>
      </c>
      <c r="D4446" s="1" t="s">
        <v>1564</v>
      </c>
    </row>
    <row r="4447">
      <c r="A4447" s="1" t="s">
        <v>10786</v>
      </c>
      <c r="B4447" s="2" t="s">
        <v>10787</v>
      </c>
      <c r="C4447" s="1" t="s">
        <v>1562</v>
      </c>
      <c r="D4447" s="1" t="s">
        <v>1564</v>
      </c>
    </row>
    <row r="4448">
      <c r="A4448" s="1" t="s">
        <v>10788</v>
      </c>
      <c r="B4448" s="2" t="s">
        <v>10746</v>
      </c>
      <c r="C4448" s="1" t="s">
        <v>1562</v>
      </c>
      <c r="D4448" s="1" t="s">
        <v>1564</v>
      </c>
    </row>
    <row r="4449">
      <c r="A4449" s="1" t="s">
        <v>10789</v>
      </c>
      <c r="B4449" s="2" t="s">
        <v>10748</v>
      </c>
      <c r="C4449" s="1" t="s">
        <v>1562</v>
      </c>
      <c r="D4449" s="1" t="s">
        <v>1564</v>
      </c>
    </row>
    <row r="4450">
      <c r="A4450" s="1" t="s">
        <v>10790</v>
      </c>
      <c r="B4450" s="2" t="s">
        <v>10791</v>
      </c>
      <c r="C4450" s="1" t="s">
        <v>1562</v>
      </c>
      <c r="D4450" s="1" t="s">
        <v>1564</v>
      </c>
    </row>
    <row r="4451">
      <c r="A4451" s="1" t="s">
        <v>10792</v>
      </c>
      <c r="B4451" s="2" t="s">
        <v>10793</v>
      </c>
      <c r="C4451" s="1" t="s">
        <v>1562</v>
      </c>
      <c r="D4451" s="1" t="s">
        <v>1564</v>
      </c>
    </row>
    <row r="4452">
      <c r="A4452" s="1" t="s">
        <v>10794</v>
      </c>
      <c r="B4452" s="2" t="s">
        <v>10795</v>
      </c>
      <c r="C4452" s="1" t="s">
        <v>1562</v>
      </c>
      <c r="D4452" s="1" t="s">
        <v>1564</v>
      </c>
    </row>
    <row r="4453">
      <c r="A4453" s="1" t="s">
        <v>10796</v>
      </c>
      <c r="B4453" s="2" t="s">
        <v>10797</v>
      </c>
      <c r="C4453" s="1" t="s">
        <v>1562</v>
      </c>
      <c r="D4453" s="1" t="s">
        <v>1564</v>
      </c>
    </row>
    <row r="4454">
      <c r="A4454" s="1" t="s">
        <v>10798</v>
      </c>
      <c r="B4454" s="2" t="s">
        <v>10799</v>
      </c>
      <c r="C4454" s="1" t="s">
        <v>1562</v>
      </c>
      <c r="D4454" s="1" t="s">
        <v>1564</v>
      </c>
    </row>
    <row r="4455">
      <c r="A4455" s="1" t="s">
        <v>10800</v>
      </c>
      <c r="B4455" s="2" t="s">
        <v>10801</v>
      </c>
      <c r="C4455" s="1" t="s">
        <v>1562</v>
      </c>
      <c r="D4455" s="1" t="s">
        <v>1564</v>
      </c>
    </row>
    <row r="4456">
      <c r="A4456" s="1" t="s">
        <v>10802</v>
      </c>
      <c r="B4456" s="2" t="s">
        <v>10803</v>
      </c>
      <c r="C4456" s="1" t="s">
        <v>1562</v>
      </c>
      <c r="D4456" s="1" t="s">
        <v>1564</v>
      </c>
    </row>
    <row r="4457">
      <c r="A4457" s="1" t="s">
        <v>10804</v>
      </c>
      <c r="B4457" s="2" t="s">
        <v>10805</v>
      </c>
      <c r="C4457" s="1" t="s">
        <v>1562</v>
      </c>
      <c r="D4457" s="1" t="s">
        <v>1564</v>
      </c>
    </row>
    <row r="4458">
      <c r="A4458" s="1" t="s">
        <v>10806</v>
      </c>
      <c r="B4458" s="2" t="s">
        <v>10807</v>
      </c>
      <c r="C4458" s="1" t="s">
        <v>1562</v>
      </c>
      <c r="D4458" s="1" t="s">
        <v>1564</v>
      </c>
    </row>
    <row r="4459">
      <c r="A4459" s="1" t="s">
        <v>10808</v>
      </c>
      <c r="B4459" s="2" t="s">
        <v>10768</v>
      </c>
      <c r="C4459" s="1" t="s">
        <v>1562</v>
      </c>
      <c r="D4459" s="1" t="s">
        <v>1564</v>
      </c>
    </row>
    <row r="4460">
      <c r="A4460" s="1" t="s">
        <v>1569</v>
      </c>
      <c r="B4460" s="2" t="s">
        <v>7</v>
      </c>
      <c r="C4460" s="1" t="s">
        <v>1572</v>
      </c>
      <c r="D4460" s="1" t="s">
        <v>1573</v>
      </c>
    </row>
    <row r="4461">
      <c r="A4461" s="1" t="s">
        <v>10809</v>
      </c>
      <c r="B4461" s="2" t="s">
        <v>10810</v>
      </c>
      <c r="C4461" s="1" t="s">
        <v>1572</v>
      </c>
      <c r="D4461" s="1" t="s">
        <v>1573</v>
      </c>
    </row>
    <row r="4462">
      <c r="A4462" s="1" t="s">
        <v>10811</v>
      </c>
      <c r="B4462" s="2" t="s">
        <v>10812</v>
      </c>
      <c r="C4462" s="1" t="s">
        <v>1572</v>
      </c>
      <c r="D4462" s="1" t="s">
        <v>1573</v>
      </c>
    </row>
    <row r="4463">
      <c r="A4463" s="1" t="s">
        <v>10813</v>
      </c>
      <c r="B4463" s="2" t="s">
        <v>10814</v>
      </c>
      <c r="C4463" s="1" t="s">
        <v>1572</v>
      </c>
      <c r="D4463" s="1" t="s">
        <v>1573</v>
      </c>
    </row>
    <row r="4464">
      <c r="A4464" s="1" t="s">
        <v>10815</v>
      </c>
      <c r="B4464" s="2" t="s">
        <v>10816</v>
      </c>
      <c r="C4464" s="1" t="s">
        <v>1572</v>
      </c>
      <c r="D4464" s="1" t="s">
        <v>1573</v>
      </c>
    </row>
    <row r="4465">
      <c r="A4465" s="1" t="s">
        <v>10817</v>
      </c>
      <c r="B4465" s="2" t="s">
        <v>10818</v>
      </c>
      <c r="C4465" s="1" t="s">
        <v>1572</v>
      </c>
      <c r="D4465" s="1" t="s">
        <v>1573</v>
      </c>
    </row>
    <row r="4466">
      <c r="A4466" s="1" t="s">
        <v>10819</v>
      </c>
      <c r="B4466" s="2" t="s">
        <v>10820</v>
      </c>
      <c r="C4466" s="1" t="s">
        <v>1572</v>
      </c>
      <c r="D4466" s="1" t="s">
        <v>1573</v>
      </c>
    </row>
    <row r="4467">
      <c r="A4467" s="1" t="s">
        <v>10821</v>
      </c>
      <c r="B4467" s="2" t="s">
        <v>10822</v>
      </c>
      <c r="C4467" s="1" t="s">
        <v>1572</v>
      </c>
      <c r="D4467" s="1" t="s">
        <v>1573</v>
      </c>
    </row>
    <row r="4468">
      <c r="A4468" s="1" t="s">
        <v>1578</v>
      </c>
      <c r="B4468" s="2" t="s">
        <v>7</v>
      </c>
      <c r="C4468" s="1" t="s">
        <v>1581</v>
      </c>
      <c r="D4468" s="1" t="s">
        <v>1582</v>
      </c>
    </row>
    <row r="4469">
      <c r="A4469" s="1" t="s">
        <v>10823</v>
      </c>
      <c r="B4469" s="2" t="s">
        <v>10824</v>
      </c>
      <c r="C4469" s="1" t="s">
        <v>1581</v>
      </c>
      <c r="D4469" s="1" t="s">
        <v>1582</v>
      </c>
    </row>
    <row r="4470">
      <c r="A4470" s="1" t="s">
        <v>10825</v>
      </c>
      <c r="B4470" s="2" t="s">
        <v>6673</v>
      </c>
      <c r="C4470" s="1" t="s">
        <v>1581</v>
      </c>
      <c r="D4470" s="1" t="s">
        <v>1582</v>
      </c>
    </row>
    <row r="4471">
      <c r="A4471" s="1" t="s">
        <v>10826</v>
      </c>
      <c r="B4471" s="2" t="s">
        <v>10827</v>
      </c>
      <c r="C4471" s="1" t="s">
        <v>1581</v>
      </c>
      <c r="D4471" s="1" t="s">
        <v>1582</v>
      </c>
    </row>
    <row r="4472">
      <c r="A4472" s="1" t="s">
        <v>10828</v>
      </c>
      <c r="B4472" s="2" t="s">
        <v>5146</v>
      </c>
      <c r="C4472" s="1" t="s">
        <v>1581</v>
      </c>
      <c r="D4472" s="1" t="s">
        <v>1582</v>
      </c>
    </row>
    <row r="4473">
      <c r="A4473" s="1" t="s">
        <v>10829</v>
      </c>
      <c r="B4473" s="2" t="s">
        <v>5148</v>
      </c>
      <c r="C4473" s="1" t="s">
        <v>1581</v>
      </c>
      <c r="D4473" s="1" t="s">
        <v>1582</v>
      </c>
    </row>
    <row r="4474">
      <c r="A4474" s="1" t="s">
        <v>10830</v>
      </c>
      <c r="B4474" s="2" t="s">
        <v>6701</v>
      </c>
      <c r="C4474" s="1" t="s">
        <v>1581</v>
      </c>
      <c r="D4474" s="1" t="s">
        <v>1582</v>
      </c>
    </row>
    <row r="4475">
      <c r="A4475" s="1" t="s">
        <v>10831</v>
      </c>
      <c r="B4475" s="2" t="s">
        <v>10832</v>
      </c>
      <c r="C4475" s="1" t="s">
        <v>1581</v>
      </c>
      <c r="D4475" s="1" t="s">
        <v>1582</v>
      </c>
    </row>
    <row r="4476">
      <c r="A4476" s="1" t="s">
        <v>10833</v>
      </c>
      <c r="B4476" s="2" t="s">
        <v>10834</v>
      </c>
      <c r="C4476" s="1" t="s">
        <v>1581</v>
      </c>
      <c r="D4476" s="1" t="s">
        <v>1582</v>
      </c>
    </row>
    <row r="4477">
      <c r="A4477" s="1" t="s">
        <v>10835</v>
      </c>
      <c r="B4477" s="2" t="s">
        <v>10836</v>
      </c>
      <c r="C4477" s="1" t="s">
        <v>1581</v>
      </c>
      <c r="D4477" s="1" t="s">
        <v>1582</v>
      </c>
    </row>
    <row r="4478">
      <c r="A4478" s="1" t="s">
        <v>10837</v>
      </c>
      <c r="B4478" s="2" t="s">
        <v>10838</v>
      </c>
      <c r="C4478" s="1" t="s">
        <v>1581</v>
      </c>
      <c r="D4478" s="1" t="s">
        <v>1582</v>
      </c>
    </row>
    <row r="4479">
      <c r="A4479" s="1" t="s">
        <v>10839</v>
      </c>
      <c r="B4479" s="2" t="s">
        <v>10840</v>
      </c>
      <c r="C4479" s="1" t="s">
        <v>1581</v>
      </c>
      <c r="D4479" s="1" t="s">
        <v>1582</v>
      </c>
    </row>
    <row r="4480">
      <c r="A4480" s="1" t="s">
        <v>10841</v>
      </c>
      <c r="B4480" s="2" t="s">
        <v>10842</v>
      </c>
      <c r="C4480" s="1" t="s">
        <v>1581</v>
      </c>
      <c r="D4480" s="1" t="s">
        <v>1582</v>
      </c>
    </row>
    <row r="4481">
      <c r="A4481" s="1" t="s">
        <v>10843</v>
      </c>
      <c r="B4481" s="2" t="s">
        <v>10844</v>
      </c>
      <c r="C4481" s="1" t="s">
        <v>1581</v>
      </c>
      <c r="D4481" s="1" t="s">
        <v>1582</v>
      </c>
    </row>
    <row r="4482">
      <c r="A4482" s="1" t="s">
        <v>10845</v>
      </c>
      <c r="B4482" s="2" t="s">
        <v>10846</v>
      </c>
      <c r="C4482" s="1" t="s">
        <v>1581</v>
      </c>
      <c r="D4482" s="1" t="s">
        <v>1582</v>
      </c>
    </row>
    <row r="4483">
      <c r="A4483" s="1" t="s">
        <v>10847</v>
      </c>
      <c r="B4483" s="2" t="s">
        <v>10848</v>
      </c>
      <c r="C4483" s="1" t="s">
        <v>1581</v>
      </c>
      <c r="D4483" s="1" t="s">
        <v>1582</v>
      </c>
    </row>
    <row r="4484">
      <c r="A4484" s="1" t="s">
        <v>10849</v>
      </c>
      <c r="B4484" s="2" t="s">
        <v>10850</v>
      </c>
      <c r="C4484" s="1" t="s">
        <v>1581</v>
      </c>
      <c r="D4484" s="1" t="s">
        <v>1582</v>
      </c>
    </row>
    <row r="4485">
      <c r="A4485" s="1" t="s">
        <v>10851</v>
      </c>
      <c r="B4485" s="2" t="s">
        <v>10852</v>
      </c>
      <c r="C4485" s="1" t="s">
        <v>1581</v>
      </c>
      <c r="D4485" s="1" t="s">
        <v>1582</v>
      </c>
    </row>
    <row r="4486">
      <c r="A4486" s="1" t="s">
        <v>10853</v>
      </c>
      <c r="B4486" s="2" t="s">
        <v>10854</v>
      </c>
      <c r="C4486" s="1" t="s">
        <v>1581</v>
      </c>
      <c r="D4486" s="1" t="s">
        <v>1582</v>
      </c>
    </row>
    <row r="4487">
      <c r="A4487" s="1" t="s">
        <v>10855</v>
      </c>
      <c r="B4487" s="2" t="s">
        <v>10856</v>
      </c>
      <c r="C4487" s="1" t="s">
        <v>1581</v>
      </c>
      <c r="D4487" s="1" t="s">
        <v>1582</v>
      </c>
    </row>
    <row r="4488">
      <c r="A4488" s="1" t="s">
        <v>10857</v>
      </c>
      <c r="B4488" s="2" t="s">
        <v>10858</v>
      </c>
      <c r="C4488" s="1" t="s">
        <v>1581</v>
      </c>
      <c r="D4488" s="1" t="s">
        <v>1582</v>
      </c>
    </row>
    <row r="4489">
      <c r="A4489" s="1" t="s">
        <v>10859</v>
      </c>
      <c r="B4489" s="2" t="s">
        <v>10860</v>
      </c>
      <c r="C4489" s="1" t="s">
        <v>1581</v>
      </c>
      <c r="D4489" s="1" t="s">
        <v>1582</v>
      </c>
    </row>
    <row r="4490">
      <c r="A4490" s="1" t="s">
        <v>10861</v>
      </c>
      <c r="B4490" s="2" t="s">
        <v>10862</v>
      </c>
      <c r="C4490" s="1" t="s">
        <v>1581</v>
      </c>
      <c r="D4490" s="1" t="s">
        <v>1582</v>
      </c>
    </row>
    <row r="4491">
      <c r="A4491" s="1" t="s">
        <v>10863</v>
      </c>
      <c r="B4491" s="2" t="s">
        <v>10864</v>
      </c>
      <c r="C4491" s="1" t="s">
        <v>1581</v>
      </c>
      <c r="D4491" s="1" t="s">
        <v>1582</v>
      </c>
    </row>
    <row r="4492">
      <c r="A4492" s="1" t="s">
        <v>10865</v>
      </c>
      <c r="B4492" s="2" t="s">
        <v>10356</v>
      </c>
      <c r="C4492" s="1" t="s">
        <v>1581</v>
      </c>
      <c r="D4492" s="1" t="s">
        <v>1582</v>
      </c>
    </row>
    <row r="4493">
      <c r="A4493" s="1" t="s">
        <v>10866</v>
      </c>
      <c r="B4493" s="2" t="s">
        <v>10867</v>
      </c>
      <c r="C4493" s="1" t="s">
        <v>1581</v>
      </c>
      <c r="D4493" s="1" t="s">
        <v>1582</v>
      </c>
    </row>
    <row r="4494">
      <c r="A4494" s="1" t="s">
        <v>10868</v>
      </c>
      <c r="B4494" s="2" t="s">
        <v>10869</v>
      </c>
      <c r="C4494" s="1" t="s">
        <v>1581</v>
      </c>
      <c r="D4494" s="1" t="s">
        <v>1582</v>
      </c>
    </row>
    <row r="4495">
      <c r="A4495" s="1" t="s">
        <v>10870</v>
      </c>
      <c r="B4495" s="2" t="s">
        <v>10871</v>
      </c>
      <c r="C4495" s="1" t="s">
        <v>1581</v>
      </c>
      <c r="D4495" s="1" t="s">
        <v>1582</v>
      </c>
    </row>
    <row r="4496">
      <c r="A4496" s="1" t="s">
        <v>10872</v>
      </c>
      <c r="B4496" s="2" t="s">
        <v>10873</v>
      </c>
      <c r="C4496" s="1" t="s">
        <v>1581</v>
      </c>
      <c r="D4496" s="1" t="s">
        <v>1582</v>
      </c>
    </row>
    <row r="4497">
      <c r="A4497" s="1" t="s">
        <v>10874</v>
      </c>
      <c r="B4497" s="2" t="s">
        <v>10875</v>
      </c>
      <c r="C4497" s="1" t="s">
        <v>1581</v>
      </c>
      <c r="D4497" s="1" t="s">
        <v>1582</v>
      </c>
    </row>
    <row r="4498">
      <c r="A4498" s="1" t="s">
        <v>10876</v>
      </c>
      <c r="B4498" s="2" t="s">
        <v>10877</v>
      </c>
      <c r="C4498" s="1" t="s">
        <v>1581</v>
      </c>
      <c r="D4498" s="1" t="s">
        <v>1582</v>
      </c>
    </row>
    <row r="4499">
      <c r="A4499" s="1" t="s">
        <v>10878</v>
      </c>
      <c r="B4499" s="2" t="s">
        <v>10879</v>
      </c>
      <c r="C4499" s="1" t="s">
        <v>1581</v>
      </c>
      <c r="D4499" s="1" t="s">
        <v>1582</v>
      </c>
    </row>
    <row r="4500">
      <c r="A4500" s="1" t="s">
        <v>10880</v>
      </c>
      <c r="B4500" s="2" t="s">
        <v>10881</v>
      </c>
      <c r="C4500" s="1" t="s">
        <v>1581</v>
      </c>
      <c r="D4500" s="1" t="s">
        <v>1582</v>
      </c>
    </row>
    <row r="4501">
      <c r="A4501" s="1" t="s">
        <v>10882</v>
      </c>
      <c r="B4501" s="2" t="s">
        <v>10883</v>
      </c>
      <c r="C4501" s="1" t="s">
        <v>1581</v>
      </c>
      <c r="D4501" s="1" t="s">
        <v>1582</v>
      </c>
    </row>
    <row r="4502">
      <c r="A4502" s="1" t="s">
        <v>10884</v>
      </c>
      <c r="B4502" s="2" t="s">
        <v>10885</v>
      </c>
      <c r="C4502" s="1" t="s">
        <v>1581</v>
      </c>
      <c r="D4502" s="1" t="s">
        <v>1582</v>
      </c>
    </row>
    <row r="4503">
      <c r="A4503" s="1" t="s">
        <v>10886</v>
      </c>
      <c r="B4503" s="2" t="s">
        <v>10887</v>
      </c>
      <c r="C4503" s="1" t="s">
        <v>1581</v>
      </c>
      <c r="D4503" s="1" t="s">
        <v>1582</v>
      </c>
    </row>
    <row r="4504">
      <c r="A4504" s="1" t="s">
        <v>10888</v>
      </c>
      <c r="B4504" s="2" t="s">
        <v>10889</v>
      </c>
      <c r="C4504" s="1" t="s">
        <v>1581</v>
      </c>
      <c r="D4504" s="1" t="s">
        <v>1582</v>
      </c>
    </row>
    <row r="4505">
      <c r="A4505" s="1" t="s">
        <v>10890</v>
      </c>
      <c r="B4505" s="2" t="s">
        <v>10891</v>
      </c>
      <c r="C4505" s="1" t="s">
        <v>1581</v>
      </c>
      <c r="D4505" s="1" t="s">
        <v>1582</v>
      </c>
    </row>
    <row r="4506">
      <c r="A4506" s="1" t="s">
        <v>10892</v>
      </c>
      <c r="B4506" s="2" t="s">
        <v>10893</v>
      </c>
      <c r="C4506" s="1" t="s">
        <v>1581</v>
      </c>
      <c r="D4506" s="1" t="s">
        <v>1582</v>
      </c>
    </row>
    <row r="4507">
      <c r="A4507" s="1" t="s">
        <v>10894</v>
      </c>
      <c r="B4507" s="2" t="s">
        <v>10895</v>
      </c>
      <c r="C4507" s="1" t="s">
        <v>1581</v>
      </c>
      <c r="D4507" s="1" t="s">
        <v>1582</v>
      </c>
    </row>
    <row r="4508">
      <c r="A4508" s="1" t="s">
        <v>10896</v>
      </c>
      <c r="B4508" s="2" t="s">
        <v>10897</v>
      </c>
      <c r="C4508" s="1" t="s">
        <v>1581</v>
      </c>
      <c r="D4508" s="1" t="s">
        <v>1582</v>
      </c>
    </row>
    <row r="4509">
      <c r="A4509" s="1" t="s">
        <v>10898</v>
      </c>
      <c r="B4509" s="2" t="s">
        <v>10899</v>
      </c>
      <c r="C4509" s="1" t="s">
        <v>1581</v>
      </c>
      <c r="D4509" s="1" t="s">
        <v>1582</v>
      </c>
    </row>
    <row r="4510">
      <c r="A4510" s="1" t="s">
        <v>10900</v>
      </c>
      <c r="B4510" s="2" t="s">
        <v>10901</v>
      </c>
      <c r="C4510" s="1" t="s">
        <v>1581</v>
      </c>
      <c r="D4510" s="1" t="s">
        <v>1582</v>
      </c>
    </row>
    <row r="4511">
      <c r="A4511" s="1" t="s">
        <v>10902</v>
      </c>
      <c r="B4511" s="2" t="s">
        <v>10903</v>
      </c>
      <c r="C4511" s="1" t="s">
        <v>1581</v>
      </c>
      <c r="D4511" s="1" t="s">
        <v>1582</v>
      </c>
    </row>
    <row r="4512">
      <c r="A4512" s="1" t="s">
        <v>10904</v>
      </c>
      <c r="B4512" s="2" t="s">
        <v>10905</v>
      </c>
      <c r="C4512" s="1" t="s">
        <v>1581</v>
      </c>
      <c r="D4512" s="1" t="s">
        <v>1582</v>
      </c>
    </row>
    <row r="4513">
      <c r="A4513" s="1" t="s">
        <v>10906</v>
      </c>
      <c r="B4513" s="2" t="s">
        <v>10907</v>
      </c>
      <c r="C4513" s="1" t="s">
        <v>1581</v>
      </c>
      <c r="D4513" s="1" t="s">
        <v>1582</v>
      </c>
    </row>
    <row r="4514">
      <c r="A4514" s="1" t="s">
        <v>10908</v>
      </c>
      <c r="B4514" s="2" t="s">
        <v>10909</v>
      </c>
      <c r="C4514" s="1" t="s">
        <v>1581</v>
      </c>
      <c r="D4514" s="1" t="s">
        <v>1582</v>
      </c>
    </row>
    <row r="4515">
      <c r="A4515" s="1" t="s">
        <v>10910</v>
      </c>
      <c r="B4515" s="2" t="s">
        <v>10911</v>
      </c>
      <c r="C4515" s="1" t="s">
        <v>1581</v>
      </c>
      <c r="D4515" s="1" t="s">
        <v>1582</v>
      </c>
    </row>
    <row r="4516">
      <c r="A4516" s="1" t="s">
        <v>10912</v>
      </c>
      <c r="B4516" s="2" t="s">
        <v>10374</v>
      </c>
      <c r="C4516" s="1" t="s">
        <v>1581</v>
      </c>
      <c r="D4516" s="1" t="s">
        <v>1582</v>
      </c>
    </row>
    <row r="4517">
      <c r="A4517" s="1" t="s">
        <v>10913</v>
      </c>
      <c r="B4517" s="2" t="s">
        <v>10914</v>
      </c>
      <c r="C4517" s="1" t="s">
        <v>1581</v>
      </c>
      <c r="D4517" s="1" t="s">
        <v>1582</v>
      </c>
    </row>
    <row r="4518">
      <c r="A4518" s="1" t="s">
        <v>10915</v>
      </c>
      <c r="B4518" s="2" t="s">
        <v>10916</v>
      </c>
      <c r="C4518" s="1" t="s">
        <v>1581</v>
      </c>
      <c r="D4518" s="1" t="s">
        <v>1582</v>
      </c>
    </row>
    <row r="4519">
      <c r="A4519" s="1" t="s">
        <v>10917</v>
      </c>
      <c r="B4519" s="2" t="s">
        <v>10918</v>
      </c>
      <c r="C4519" s="1" t="s">
        <v>1581</v>
      </c>
      <c r="D4519" s="1" t="s">
        <v>1582</v>
      </c>
    </row>
    <row r="4520">
      <c r="A4520" s="1" t="s">
        <v>10919</v>
      </c>
      <c r="B4520" s="2" t="s">
        <v>10920</v>
      </c>
      <c r="C4520" s="1" t="s">
        <v>1581</v>
      </c>
      <c r="D4520" s="1" t="s">
        <v>1582</v>
      </c>
    </row>
    <row r="4521">
      <c r="A4521" s="1" t="s">
        <v>10921</v>
      </c>
      <c r="B4521" s="2" t="s">
        <v>10922</v>
      </c>
      <c r="C4521" s="1" t="s">
        <v>1581</v>
      </c>
      <c r="D4521" s="1" t="s">
        <v>1582</v>
      </c>
    </row>
    <row r="4522">
      <c r="A4522" s="1" t="s">
        <v>10923</v>
      </c>
      <c r="B4522" s="2" t="s">
        <v>10924</v>
      </c>
      <c r="C4522" s="1" t="s">
        <v>1581</v>
      </c>
      <c r="D4522" s="1" t="s">
        <v>1582</v>
      </c>
    </row>
    <row r="4523">
      <c r="A4523" s="1" t="s">
        <v>10925</v>
      </c>
      <c r="B4523" s="2" t="s">
        <v>10926</v>
      </c>
      <c r="C4523" s="1" t="s">
        <v>1581</v>
      </c>
      <c r="D4523" s="1" t="s">
        <v>1582</v>
      </c>
    </row>
    <row r="4524">
      <c r="A4524" s="1" t="s">
        <v>1588</v>
      </c>
      <c r="B4524" s="2" t="s">
        <v>176</v>
      </c>
      <c r="C4524" s="1" t="s">
        <v>1589</v>
      </c>
      <c r="D4524" s="1" t="s">
        <v>1591</v>
      </c>
    </row>
    <row r="4525">
      <c r="A4525" s="1" t="s">
        <v>10927</v>
      </c>
      <c r="B4525" s="2" t="s">
        <v>10928</v>
      </c>
      <c r="C4525" s="1" t="s">
        <v>1589</v>
      </c>
      <c r="D4525" s="1" t="s">
        <v>1591</v>
      </c>
    </row>
    <row r="4526">
      <c r="A4526" s="1" t="s">
        <v>10929</v>
      </c>
      <c r="B4526" s="2" t="s">
        <v>10930</v>
      </c>
      <c r="C4526" s="1" t="s">
        <v>1589</v>
      </c>
      <c r="D4526" s="1" t="s">
        <v>1591</v>
      </c>
    </row>
    <row r="4527">
      <c r="A4527" s="1" t="s">
        <v>10931</v>
      </c>
      <c r="B4527" s="2" t="s">
        <v>10932</v>
      </c>
      <c r="C4527" s="1" t="s">
        <v>1589</v>
      </c>
      <c r="D4527" s="1" t="s">
        <v>1591</v>
      </c>
    </row>
    <row r="4528">
      <c r="A4528" s="1" t="s">
        <v>10933</v>
      </c>
      <c r="B4528" s="2" t="s">
        <v>10934</v>
      </c>
      <c r="C4528" s="1" t="s">
        <v>1589</v>
      </c>
      <c r="D4528" s="1" t="s">
        <v>1591</v>
      </c>
    </row>
    <row r="4529">
      <c r="A4529" s="1" t="s">
        <v>10935</v>
      </c>
      <c r="B4529" s="2" t="s">
        <v>10936</v>
      </c>
      <c r="C4529" s="1" t="s">
        <v>1589</v>
      </c>
      <c r="D4529" s="1" t="s">
        <v>1591</v>
      </c>
    </row>
    <row r="4530">
      <c r="A4530" s="1" t="s">
        <v>10937</v>
      </c>
      <c r="B4530" s="2" t="s">
        <v>10938</v>
      </c>
      <c r="C4530" s="1" t="s">
        <v>1589</v>
      </c>
      <c r="D4530" s="1" t="s">
        <v>1591</v>
      </c>
    </row>
    <row r="4531">
      <c r="A4531" s="1" t="s">
        <v>1596</v>
      </c>
      <c r="B4531" s="2" t="s">
        <v>7</v>
      </c>
      <c r="C4531" s="1" t="s">
        <v>1599</v>
      </c>
      <c r="D4531" s="1" t="s">
        <v>1600</v>
      </c>
    </row>
    <row r="4532">
      <c r="A4532" s="1" t="s">
        <v>10939</v>
      </c>
      <c r="B4532" s="2" t="s">
        <v>10940</v>
      </c>
      <c r="C4532" s="1" t="s">
        <v>1599</v>
      </c>
      <c r="D4532" s="1" t="s">
        <v>1600</v>
      </c>
    </row>
    <row r="4533">
      <c r="A4533" s="1" t="s">
        <v>10941</v>
      </c>
      <c r="B4533" s="2" t="s">
        <v>10942</v>
      </c>
      <c r="C4533" s="1" t="s">
        <v>1599</v>
      </c>
      <c r="D4533" s="1" t="s">
        <v>1600</v>
      </c>
    </row>
    <row r="4534">
      <c r="A4534" s="1" t="s">
        <v>10943</v>
      </c>
      <c r="B4534" s="2" t="s">
        <v>10944</v>
      </c>
      <c r="C4534" s="1" t="s">
        <v>1599</v>
      </c>
      <c r="D4534" s="1" t="s">
        <v>1600</v>
      </c>
    </row>
    <row r="4535">
      <c r="A4535" s="1" t="s">
        <v>10945</v>
      </c>
      <c r="B4535" s="2" t="s">
        <v>10370</v>
      </c>
      <c r="C4535" s="1" t="s">
        <v>1599</v>
      </c>
      <c r="D4535" s="1" t="s">
        <v>1600</v>
      </c>
    </row>
    <row r="4536">
      <c r="A4536" s="1" t="s">
        <v>10946</v>
      </c>
      <c r="B4536" s="2" t="s">
        <v>10947</v>
      </c>
      <c r="C4536" s="1" t="s">
        <v>1599</v>
      </c>
      <c r="D4536" s="1" t="s">
        <v>1600</v>
      </c>
    </row>
    <row r="4537">
      <c r="A4537" s="1" t="s">
        <v>10948</v>
      </c>
      <c r="B4537" s="2" t="s">
        <v>10374</v>
      </c>
      <c r="C4537" s="1" t="s">
        <v>1599</v>
      </c>
      <c r="D4537" s="1" t="s">
        <v>1600</v>
      </c>
    </row>
    <row r="4538">
      <c r="A4538" s="1" t="s">
        <v>1604</v>
      </c>
      <c r="B4538" s="2" t="s">
        <v>7</v>
      </c>
      <c r="C4538" s="1" t="s">
        <v>1606</v>
      </c>
      <c r="D4538" s="1" t="s">
        <v>1608</v>
      </c>
    </row>
    <row r="4539">
      <c r="A4539" s="1" t="s">
        <v>10949</v>
      </c>
      <c r="B4539" s="2" t="s">
        <v>10940</v>
      </c>
      <c r="C4539" s="1" t="s">
        <v>1606</v>
      </c>
      <c r="D4539" s="1" t="s">
        <v>1608</v>
      </c>
    </row>
    <row r="4540">
      <c r="A4540" s="1" t="s">
        <v>10950</v>
      </c>
      <c r="B4540" s="2" t="s">
        <v>10942</v>
      </c>
      <c r="C4540" s="1" t="s">
        <v>1606</v>
      </c>
      <c r="D4540" s="1" t="s">
        <v>1608</v>
      </c>
    </row>
    <row r="4541">
      <c r="A4541" s="1" t="s">
        <v>10951</v>
      </c>
      <c r="B4541" s="2" t="s">
        <v>10944</v>
      </c>
      <c r="C4541" s="1" t="s">
        <v>1606</v>
      </c>
      <c r="D4541" s="1" t="s">
        <v>1608</v>
      </c>
    </row>
    <row r="4542">
      <c r="A4542" s="1" t="s">
        <v>10952</v>
      </c>
      <c r="B4542" s="2" t="s">
        <v>10370</v>
      </c>
      <c r="C4542" s="1" t="s">
        <v>1606</v>
      </c>
      <c r="D4542" s="1" t="s">
        <v>1608</v>
      </c>
    </row>
    <row r="4543">
      <c r="A4543" s="1" t="s">
        <v>10953</v>
      </c>
      <c r="B4543" s="2" t="s">
        <v>10947</v>
      </c>
      <c r="C4543" s="1" t="s">
        <v>1606</v>
      </c>
      <c r="D4543" s="1" t="s">
        <v>1608</v>
      </c>
    </row>
    <row r="4544">
      <c r="A4544" s="1" t="s">
        <v>10954</v>
      </c>
      <c r="B4544" s="2" t="s">
        <v>10374</v>
      </c>
      <c r="C4544" s="1" t="s">
        <v>1606</v>
      </c>
      <c r="D4544" s="1" t="s">
        <v>1608</v>
      </c>
    </row>
    <row r="4545">
      <c r="A4545" s="1" t="s">
        <v>1613</v>
      </c>
      <c r="B4545" s="2" t="s">
        <v>7</v>
      </c>
      <c r="C4545" s="1" t="s">
        <v>1615</v>
      </c>
      <c r="D4545" s="1" t="s">
        <v>1617</v>
      </c>
    </row>
    <row r="4546">
      <c r="A4546" s="1" t="s">
        <v>10955</v>
      </c>
      <c r="B4546" s="2" t="s">
        <v>10940</v>
      </c>
      <c r="C4546" s="1" t="s">
        <v>1615</v>
      </c>
      <c r="D4546" s="1" t="s">
        <v>1617</v>
      </c>
    </row>
    <row r="4547">
      <c r="A4547" s="1" t="s">
        <v>10956</v>
      </c>
      <c r="B4547" s="2" t="s">
        <v>10942</v>
      </c>
      <c r="C4547" s="1" t="s">
        <v>1615</v>
      </c>
      <c r="D4547" s="1" t="s">
        <v>1617</v>
      </c>
    </row>
    <row r="4548">
      <c r="A4548" s="1" t="s">
        <v>10957</v>
      </c>
      <c r="B4548" s="2" t="s">
        <v>10944</v>
      </c>
      <c r="C4548" s="1" t="s">
        <v>1615</v>
      </c>
      <c r="D4548" s="1" t="s">
        <v>1617</v>
      </c>
    </row>
    <row r="4549">
      <c r="A4549" s="1" t="s">
        <v>10958</v>
      </c>
      <c r="B4549" s="2" t="s">
        <v>10370</v>
      </c>
      <c r="C4549" s="1" t="s">
        <v>1615</v>
      </c>
      <c r="D4549" s="1" t="s">
        <v>1617</v>
      </c>
    </row>
    <row r="4550">
      <c r="A4550" s="1" t="s">
        <v>10959</v>
      </c>
      <c r="B4550" s="2" t="s">
        <v>10947</v>
      </c>
      <c r="C4550" s="1" t="s">
        <v>1615</v>
      </c>
      <c r="D4550" s="1" t="s">
        <v>1617</v>
      </c>
    </row>
    <row r="4551">
      <c r="A4551" s="1" t="s">
        <v>10960</v>
      </c>
      <c r="B4551" s="2" t="s">
        <v>10374</v>
      </c>
      <c r="C4551" s="1" t="s">
        <v>1615</v>
      </c>
      <c r="D4551" s="1" t="s">
        <v>1617</v>
      </c>
    </row>
    <row r="4552">
      <c r="A4552" s="1" t="s">
        <v>1622</v>
      </c>
      <c r="B4552" s="2" t="s">
        <v>7</v>
      </c>
      <c r="C4552" s="1" t="s">
        <v>1624</v>
      </c>
      <c r="D4552" s="1" t="s">
        <v>1626</v>
      </c>
    </row>
    <row r="4553">
      <c r="A4553" s="1" t="s">
        <v>10961</v>
      </c>
      <c r="B4553" s="2" t="s">
        <v>10940</v>
      </c>
      <c r="C4553" s="1" t="s">
        <v>1624</v>
      </c>
      <c r="D4553" s="1" t="s">
        <v>1626</v>
      </c>
    </row>
    <row r="4554">
      <c r="A4554" s="1" t="s">
        <v>10962</v>
      </c>
      <c r="B4554" s="2" t="s">
        <v>10942</v>
      </c>
      <c r="C4554" s="1" t="s">
        <v>1624</v>
      </c>
      <c r="D4554" s="1" t="s">
        <v>1626</v>
      </c>
    </row>
    <row r="4555">
      <c r="A4555" s="1" t="s">
        <v>10963</v>
      </c>
      <c r="B4555" s="2" t="s">
        <v>10944</v>
      </c>
      <c r="C4555" s="1" t="s">
        <v>1624</v>
      </c>
      <c r="D4555" s="1" t="s">
        <v>1626</v>
      </c>
    </row>
    <row r="4556">
      <c r="A4556" s="1" t="s">
        <v>10964</v>
      </c>
      <c r="B4556" s="2" t="s">
        <v>10370</v>
      </c>
      <c r="C4556" s="1" t="s">
        <v>1624</v>
      </c>
      <c r="D4556" s="1" t="s">
        <v>1626</v>
      </c>
    </row>
    <row r="4557">
      <c r="A4557" s="1" t="s">
        <v>10965</v>
      </c>
      <c r="B4557" s="2" t="s">
        <v>10947</v>
      </c>
      <c r="C4557" s="1" t="s">
        <v>1624</v>
      </c>
      <c r="D4557" s="1" t="s">
        <v>1626</v>
      </c>
    </row>
    <row r="4558">
      <c r="A4558" s="1" t="s">
        <v>10966</v>
      </c>
      <c r="B4558" s="2" t="s">
        <v>10374</v>
      </c>
      <c r="C4558" s="1" t="s">
        <v>1624</v>
      </c>
      <c r="D4558" s="1" t="s">
        <v>1626</v>
      </c>
    </row>
    <row r="4559">
      <c r="A4559" s="1" t="s">
        <v>1631</v>
      </c>
      <c r="B4559" s="2" t="s">
        <v>7</v>
      </c>
      <c r="C4559" s="1" t="s">
        <v>1633</v>
      </c>
      <c r="D4559" s="1" t="s">
        <v>1635</v>
      </c>
    </row>
    <row r="4560">
      <c r="A4560" s="1" t="s">
        <v>10967</v>
      </c>
      <c r="B4560" s="2" t="s">
        <v>10940</v>
      </c>
      <c r="C4560" s="1" t="s">
        <v>1633</v>
      </c>
      <c r="D4560" s="1" t="s">
        <v>1635</v>
      </c>
    </row>
    <row r="4561">
      <c r="A4561" s="1" t="s">
        <v>10968</v>
      </c>
      <c r="B4561" s="2" t="s">
        <v>10942</v>
      </c>
      <c r="C4561" s="1" t="s">
        <v>1633</v>
      </c>
      <c r="D4561" s="1" t="s">
        <v>1635</v>
      </c>
    </row>
    <row r="4562">
      <c r="A4562" s="1" t="s">
        <v>10969</v>
      </c>
      <c r="B4562" s="2" t="s">
        <v>10944</v>
      </c>
      <c r="C4562" s="1" t="s">
        <v>1633</v>
      </c>
      <c r="D4562" s="1" t="s">
        <v>1635</v>
      </c>
    </row>
    <row r="4563">
      <c r="A4563" s="1" t="s">
        <v>10970</v>
      </c>
      <c r="B4563" s="2" t="s">
        <v>10370</v>
      </c>
      <c r="C4563" s="1" t="s">
        <v>1633</v>
      </c>
      <c r="D4563" s="1" t="s">
        <v>1635</v>
      </c>
    </row>
    <row r="4564">
      <c r="A4564" s="1" t="s">
        <v>10971</v>
      </c>
      <c r="B4564" s="2" t="s">
        <v>10947</v>
      </c>
      <c r="C4564" s="1" t="s">
        <v>1633</v>
      </c>
      <c r="D4564" s="1" t="s">
        <v>1635</v>
      </c>
    </row>
    <row r="4565">
      <c r="A4565" s="1" t="s">
        <v>10972</v>
      </c>
      <c r="B4565" s="2" t="s">
        <v>10374</v>
      </c>
      <c r="C4565" s="1" t="s">
        <v>1633</v>
      </c>
      <c r="D4565" s="1" t="s">
        <v>1635</v>
      </c>
    </row>
    <row r="4566">
      <c r="A4566" s="1" t="s">
        <v>1640</v>
      </c>
      <c r="B4566" s="2" t="s">
        <v>7</v>
      </c>
      <c r="C4566" s="1" t="s">
        <v>1642</v>
      </c>
      <c r="D4566" s="1" t="s">
        <v>1644</v>
      </c>
    </row>
    <row r="4567">
      <c r="A4567" s="1" t="s">
        <v>10973</v>
      </c>
      <c r="B4567" s="2" t="s">
        <v>10940</v>
      </c>
      <c r="C4567" s="1" t="s">
        <v>1642</v>
      </c>
      <c r="D4567" s="1" t="s">
        <v>1644</v>
      </c>
    </row>
    <row r="4568">
      <c r="A4568" s="1" t="s">
        <v>10974</v>
      </c>
      <c r="B4568" s="2" t="s">
        <v>10942</v>
      </c>
      <c r="C4568" s="1" t="s">
        <v>1642</v>
      </c>
      <c r="D4568" s="1" t="s">
        <v>1644</v>
      </c>
    </row>
    <row r="4569">
      <c r="A4569" s="1" t="s">
        <v>10975</v>
      </c>
      <c r="B4569" s="2" t="s">
        <v>10944</v>
      </c>
      <c r="C4569" s="1" t="s">
        <v>1642</v>
      </c>
      <c r="D4569" s="1" t="s">
        <v>1644</v>
      </c>
    </row>
    <row r="4570">
      <c r="A4570" s="1" t="s">
        <v>10976</v>
      </c>
      <c r="B4570" s="2" t="s">
        <v>10370</v>
      </c>
      <c r="C4570" s="1" t="s">
        <v>1642</v>
      </c>
      <c r="D4570" s="1" t="s">
        <v>1644</v>
      </c>
    </row>
    <row r="4571">
      <c r="A4571" s="1" t="s">
        <v>10977</v>
      </c>
      <c r="B4571" s="2" t="s">
        <v>10947</v>
      </c>
      <c r="C4571" s="1" t="s">
        <v>1642</v>
      </c>
      <c r="D4571" s="1" t="s">
        <v>1644</v>
      </c>
    </row>
    <row r="4572">
      <c r="A4572" s="1" t="s">
        <v>10978</v>
      </c>
      <c r="B4572" s="2" t="s">
        <v>10374</v>
      </c>
      <c r="C4572" s="1" t="s">
        <v>1642</v>
      </c>
      <c r="D4572" s="1" t="s">
        <v>1644</v>
      </c>
    </row>
    <row r="4573">
      <c r="A4573" s="1" t="s">
        <v>1649</v>
      </c>
      <c r="B4573" s="2" t="s">
        <v>7</v>
      </c>
      <c r="C4573" s="1" t="s">
        <v>1651</v>
      </c>
      <c r="D4573" s="1" t="s">
        <v>1653</v>
      </c>
    </row>
    <row r="4574">
      <c r="A4574" s="1" t="s">
        <v>10979</v>
      </c>
      <c r="B4574" s="2" t="s">
        <v>10940</v>
      </c>
      <c r="C4574" s="1" t="s">
        <v>1651</v>
      </c>
      <c r="D4574" s="1" t="s">
        <v>1653</v>
      </c>
    </row>
    <row r="4575">
      <c r="A4575" s="1" t="s">
        <v>10980</v>
      </c>
      <c r="B4575" s="2" t="s">
        <v>10942</v>
      </c>
      <c r="C4575" s="1" t="s">
        <v>1651</v>
      </c>
      <c r="D4575" s="1" t="s">
        <v>1653</v>
      </c>
    </row>
    <row r="4576">
      <c r="A4576" s="1" t="s">
        <v>10981</v>
      </c>
      <c r="B4576" s="2" t="s">
        <v>10944</v>
      </c>
      <c r="C4576" s="1" t="s">
        <v>1651</v>
      </c>
      <c r="D4576" s="1" t="s">
        <v>1653</v>
      </c>
    </row>
    <row r="4577">
      <c r="A4577" s="1" t="s">
        <v>10982</v>
      </c>
      <c r="B4577" s="2" t="s">
        <v>10370</v>
      </c>
      <c r="C4577" s="1" t="s">
        <v>1651</v>
      </c>
      <c r="D4577" s="1" t="s">
        <v>1653</v>
      </c>
    </row>
    <row r="4578">
      <c r="A4578" s="1" t="s">
        <v>10983</v>
      </c>
      <c r="B4578" s="2" t="s">
        <v>10947</v>
      </c>
      <c r="C4578" s="1" t="s">
        <v>1651</v>
      </c>
      <c r="D4578" s="1" t="s">
        <v>1653</v>
      </c>
    </row>
    <row r="4579">
      <c r="A4579" s="1" t="s">
        <v>10984</v>
      </c>
      <c r="B4579" s="2" t="s">
        <v>10374</v>
      </c>
      <c r="C4579" s="1" t="s">
        <v>1651</v>
      </c>
      <c r="D4579" s="1" t="s">
        <v>1653</v>
      </c>
    </row>
    <row r="4580">
      <c r="A4580" s="1" t="s">
        <v>1658</v>
      </c>
      <c r="B4580" s="2" t="s">
        <v>7</v>
      </c>
      <c r="C4580" s="1" t="s">
        <v>1661</v>
      </c>
      <c r="D4580" s="1" t="s">
        <v>1663</v>
      </c>
    </row>
    <row r="4581">
      <c r="A4581" s="1" t="s">
        <v>10985</v>
      </c>
      <c r="B4581" s="2" t="s">
        <v>10940</v>
      </c>
      <c r="C4581" s="1" t="s">
        <v>1661</v>
      </c>
      <c r="D4581" s="1" t="s">
        <v>1663</v>
      </c>
    </row>
    <row r="4582">
      <c r="A4582" s="1" t="s">
        <v>10986</v>
      </c>
      <c r="B4582" s="2" t="s">
        <v>10942</v>
      </c>
      <c r="C4582" s="1" t="s">
        <v>1661</v>
      </c>
      <c r="D4582" s="1" t="s">
        <v>1663</v>
      </c>
    </row>
    <row r="4583">
      <c r="A4583" s="1" t="s">
        <v>10987</v>
      </c>
      <c r="B4583" s="2" t="s">
        <v>10944</v>
      </c>
      <c r="C4583" s="1" t="s">
        <v>1661</v>
      </c>
      <c r="D4583" s="1" t="s">
        <v>1663</v>
      </c>
    </row>
    <row r="4584">
      <c r="A4584" s="1" t="s">
        <v>10988</v>
      </c>
      <c r="B4584" s="2" t="s">
        <v>10370</v>
      </c>
      <c r="C4584" s="1" t="s">
        <v>1661</v>
      </c>
      <c r="D4584" s="1" t="s">
        <v>1663</v>
      </c>
    </row>
    <row r="4585">
      <c r="A4585" s="1" t="s">
        <v>10989</v>
      </c>
      <c r="B4585" s="2" t="s">
        <v>10947</v>
      </c>
      <c r="C4585" s="1" t="s">
        <v>1661</v>
      </c>
      <c r="D4585" s="1" t="s">
        <v>1663</v>
      </c>
    </row>
    <row r="4586">
      <c r="A4586" s="1" t="s">
        <v>10990</v>
      </c>
      <c r="B4586" s="2" t="s">
        <v>10374</v>
      </c>
      <c r="C4586" s="1" t="s">
        <v>1661</v>
      </c>
      <c r="D4586" s="1" t="s">
        <v>1663</v>
      </c>
    </row>
    <row r="4587">
      <c r="A4587" s="1" t="s">
        <v>1667</v>
      </c>
      <c r="B4587" s="2" t="s">
        <v>7</v>
      </c>
      <c r="C4587" s="1" t="s">
        <v>1668</v>
      </c>
      <c r="D4587" s="1" t="s">
        <v>1669</v>
      </c>
    </row>
    <row r="4588">
      <c r="A4588" s="1" t="s">
        <v>10991</v>
      </c>
      <c r="B4588" s="2" t="s">
        <v>10940</v>
      </c>
      <c r="C4588" s="1" t="s">
        <v>1668</v>
      </c>
      <c r="D4588" s="1" t="s">
        <v>1669</v>
      </c>
    </row>
    <row r="4589">
      <c r="A4589" s="1" t="s">
        <v>10992</v>
      </c>
      <c r="B4589" s="2" t="s">
        <v>10942</v>
      </c>
      <c r="C4589" s="1" t="s">
        <v>1668</v>
      </c>
      <c r="D4589" s="1" t="s">
        <v>1669</v>
      </c>
    </row>
    <row r="4590">
      <c r="A4590" s="1" t="s">
        <v>10993</v>
      </c>
      <c r="B4590" s="2" t="s">
        <v>10944</v>
      </c>
      <c r="C4590" s="1" t="s">
        <v>1668</v>
      </c>
      <c r="D4590" s="1" t="s">
        <v>1669</v>
      </c>
    </row>
    <row r="4591">
      <c r="A4591" s="1" t="s">
        <v>10994</v>
      </c>
      <c r="B4591" s="2" t="s">
        <v>10370</v>
      </c>
      <c r="C4591" s="1" t="s">
        <v>1668</v>
      </c>
      <c r="D4591" s="1" t="s">
        <v>1669</v>
      </c>
    </row>
    <row r="4592">
      <c r="A4592" s="1" t="s">
        <v>10995</v>
      </c>
      <c r="B4592" s="2" t="s">
        <v>10947</v>
      </c>
      <c r="C4592" s="1" t="s">
        <v>1668</v>
      </c>
      <c r="D4592" s="1" t="s">
        <v>1669</v>
      </c>
    </row>
    <row r="4593">
      <c r="A4593" s="1" t="s">
        <v>10996</v>
      </c>
      <c r="B4593" s="2" t="s">
        <v>10374</v>
      </c>
      <c r="C4593" s="1" t="s">
        <v>1668</v>
      </c>
      <c r="D4593" s="1" t="s">
        <v>1669</v>
      </c>
    </row>
    <row r="4594">
      <c r="A4594" s="1" t="s">
        <v>1674</v>
      </c>
      <c r="B4594" s="2" t="s">
        <v>7</v>
      </c>
      <c r="C4594" s="1" t="s">
        <v>1677</v>
      </c>
      <c r="D4594" s="1" t="s">
        <v>1678</v>
      </c>
    </row>
    <row r="4595">
      <c r="A4595" s="1" t="s">
        <v>10997</v>
      </c>
      <c r="B4595" s="2" t="s">
        <v>4876</v>
      </c>
      <c r="C4595" s="1" t="s">
        <v>1677</v>
      </c>
      <c r="D4595" s="1" t="s">
        <v>1678</v>
      </c>
    </row>
    <row r="4596">
      <c r="A4596" s="1" t="s">
        <v>10998</v>
      </c>
      <c r="B4596" s="2" t="s">
        <v>5270</v>
      </c>
      <c r="C4596" s="1" t="s">
        <v>1677</v>
      </c>
      <c r="D4596" s="1" t="s">
        <v>1678</v>
      </c>
    </row>
    <row r="4597">
      <c r="A4597" s="1" t="s">
        <v>10999</v>
      </c>
      <c r="B4597" s="2" t="s">
        <v>7579</v>
      </c>
      <c r="C4597" s="1" t="s">
        <v>1677</v>
      </c>
      <c r="D4597" s="1" t="s">
        <v>1678</v>
      </c>
    </row>
    <row r="4598">
      <c r="A4598" s="1" t="s">
        <v>11000</v>
      </c>
      <c r="B4598" s="2" t="s">
        <v>7583</v>
      </c>
      <c r="C4598" s="1" t="s">
        <v>1677</v>
      </c>
      <c r="D4598" s="1" t="s">
        <v>1678</v>
      </c>
    </row>
    <row r="4599">
      <c r="A4599" s="1" t="s">
        <v>11001</v>
      </c>
      <c r="B4599" s="2" t="s">
        <v>10834</v>
      </c>
      <c r="C4599" s="1" t="s">
        <v>1677</v>
      </c>
      <c r="D4599" s="1" t="s">
        <v>1678</v>
      </c>
    </row>
    <row r="4600">
      <c r="A4600" s="1" t="s">
        <v>11002</v>
      </c>
      <c r="B4600" s="2" t="s">
        <v>11003</v>
      </c>
      <c r="C4600" s="1" t="s">
        <v>1677</v>
      </c>
      <c r="D4600" s="1" t="s">
        <v>1678</v>
      </c>
    </row>
    <row r="4601">
      <c r="A4601" s="1" t="s">
        <v>11004</v>
      </c>
      <c r="B4601" s="2" t="s">
        <v>11005</v>
      </c>
      <c r="C4601" s="1" t="s">
        <v>1677</v>
      </c>
      <c r="D4601" s="1" t="s">
        <v>1678</v>
      </c>
    </row>
    <row r="4602">
      <c r="A4602" s="1" t="s">
        <v>11006</v>
      </c>
      <c r="B4602" s="2" t="s">
        <v>11007</v>
      </c>
      <c r="C4602" s="1" t="s">
        <v>1677</v>
      </c>
      <c r="D4602" s="1" t="s">
        <v>1678</v>
      </c>
    </row>
    <row r="4603">
      <c r="A4603" s="1" t="s">
        <v>11008</v>
      </c>
      <c r="B4603" s="2" t="s">
        <v>11009</v>
      </c>
      <c r="C4603" s="1" t="s">
        <v>1677</v>
      </c>
      <c r="D4603" s="1" t="s">
        <v>1678</v>
      </c>
    </row>
    <row r="4604">
      <c r="A4604" s="1" t="s">
        <v>11010</v>
      </c>
      <c r="B4604" s="2" t="s">
        <v>10850</v>
      </c>
      <c r="C4604" s="1" t="s">
        <v>1677</v>
      </c>
      <c r="D4604" s="1" t="s">
        <v>1678</v>
      </c>
    </row>
    <row r="4605">
      <c r="A4605" s="1" t="s">
        <v>11011</v>
      </c>
      <c r="B4605" s="2" t="s">
        <v>11012</v>
      </c>
      <c r="C4605" s="1" t="s">
        <v>1677</v>
      </c>
      <c r="D4605" s="1" t="s">
        <v>1678</v>
      </c>
    </row>
    <row r="4606">
      <c r="A4606" s="1" t="s">
        <v>11013</v>
      </c>
      <c r="B4606" s="2" t="s">
        <v>11014</v>
      </c>
      <c r="C4606" s="1" t="s">
        <v>1677</v>
      </c>
      <c r="D4606" s="1" t="s">
        <v>1678</v>
      </c>
    </row>
    <row r="4607">
      <c r="A4607" s="1" t="s">
        <v>11015</v>
      </c>
      <c r="B4607" s="2" t="s">
        <v>11016</v>
      </c>
      <c r="C4607" s="1" t="s">
        <v>1677</v>
      </c>
      <c r="D4607" s="1" t="s">
        <v>1678</v>
      </c>
    </row>
    <row r="4608">
      <c r="A4608" s="1" t="s">
        <v>11017</v>
      </c>
      <c r="B4608" s="2" t="s">
        <v>11018</v>
      </c>
      <c r="C4608" s="1" t="s">
        <v>1677</v>
      </c>
      <c r="D4608" s="1" t="s">
        <v>1678</v>
      </c>
    </row>
    <row r="4609">
      <c r="A4609" s="1" t="s">
        <v>11019</v>
      </c>
      <c r="B4609" s="2" t="s">
        <v>10356</v>
      </c>
      <c r="C4609" s="1" t="s">
        <v>1677</v>
      </c>
      <c r="D4609" s="1" t="s">
        <v>1678</v>
      </c>
    </row>
    <row r="4610">
      <c r="A4610" s="1" t="s">
        <v>11020</v>
      </c>
      <c r="B4610" s="2" t="s">
        <v>11021</v>
      </c>
      <c r="C4610" s="1" t="s">
        <v>1677</v>
      </c>
      <c r="D4610" s="1" t="s">
        <v>1678</v>
      </c>
    </row>
    <row r="4611">
      <c r="A4611" s="1" t="s">
        <v>11022</v>
      </c>
      <c r="B4611" s="2" t="s">
        <v>11023</v>
      </c>
      <c r="C4611" s="1" t="s">
        <v>1677</v>
      </c>
      <c r="D4611" s="1" t="s">
        <v>1678</v>
      </c>
    </row>
    <row r="4612">
      <c r="A4612" s="1" t="s">
        <v>11024</v>
      </c>
      <c r="B4612" s="2" t="s">
        <v>11025</v>
      </c>
      <c r="C4612" s="1" t="s">
        <v>1677</v>
      </c>
      <c r="D4612" s="1" t="s">
        <v>1678</v>
      </c>
    </row>
    <row r="4613">
      <c r="A4613" s="1" t="s">
        <v>11026</v>
      </c>
      <c r="B4613" s="2" t="s">
        <v>11027</v>
      </c>
      <c r="C4613" s="1" t="s">
        <v>1677</v>
      </c>
      <c r="D4613" s="1" t="s">
        <v>1678</v>
      </c>
    </row>
    <row r="4614">
      <c r="A4614" s="1" t="s">
        <v>11028</v>
      </c>
      <c r="B4614" s="2" t="s">
        <v>10881</v>
      </c>
      <c r="C4614" s="1" t="s">
        <v>1677</v>
      </c>
      <c r="D4614" s="1" t="s">
        <v>1678</v>
      </c>
    </row>
    <row r="4615">
      <c r="A4615" s="1" t="s">
        <v>11029</v>
      </c>
      <c r="B4615" s="2" t="s">
        <v>11030</v>
      </c>
      <c r="C4615" s="1" t="s">
        <v>1677</v>
      </c>
      <c r="D4615" s="1" t="s">
        <v>1678</v>
      </c>
    </row>
    <row r="4616">
      <c r="A4616" s="1" t="s">
        <v>11031</v>
      </c>
      <c r="B4616" s="2" t="s">
        <v>11032</v>
      </c>
      <c r="C4616" s="1" t="s">
        <v>1677</v>
      </c>
      <c r="D4616" s="1" t="s">
        <v>1678</v>
      </c>
    </row>
    <row r="4617">
      <c r="A4617" s="1" t="s">
        <v>11033</v>
      </c>
      <c r="B4617" s="2" t="s">
        <v>11034</v>
      </c>
      <c r="C4617" s="1" t="s">
        <v>1677</v>
      </c>
      <c r="D4617" s="1" t="s">
        <v>1678</v>
      </c>
    </row>
    <row r="4618">
      <c r="A4618" s="1" t="s">
        <v>11035</v>
      </c>
      <c r="B4618" s="2" t="s">
        <v>11036</v>
      </c>
      <c r="C4618" s="1" t="s">
        <v>1677</v>
      </c>
      <c r="D4618" s="1" t="s">
        <v>1678</v>
      </c>
    </row>
    <row r="4619">
      <c r="A4619" s="1" t="s">
        <v>11037</v>
      </c>
      <c r="B4619" s="2" t="s">
        <v>10897</v>
      </c>
      <c r="C4619" s="1" t="s">
        <v>1677</v>
      </c>
      <c r="D4619" s="1" t="s">
        <v>1678</v>
      </c>
    </row>
    <row r="4620">
      <c r="A4620" s="1" t="s">
        <v>11038</v>
      </c>
      <c r="B4620" s="2" t="s">
        <v>11039</v>
      </c>
      <c r="C4620" s="1" t="s">
        <v>1677</v>
      </c>
      <c r="D4620" s="1" t="s">
        <v>1678</v>
      </c>
    </row>
    <row r="4621">
      <c r="A4621" s="1" t="s">
        <v>11040</v>
      </c>
      <c r="B4621" s="2" t="s">
        <v>11041</v>
      </c>
      <c r="C4621" s="1" t="s">
        <v>1677</v>
      </c>
      <c r="D4621" s="1" t="s">
        <v>1678</v>
      </c>
    </row>
    <row r="4622">
      <c r="A4622" s="1" t="s">
        <v>11042</v>
      </c>
      <c r="B4622" s="2" t="s">
        <v>11043</v>
      </c>
      <c r="C4622" s="1" t="s">
        <v>1677</v>
      </c>
      <c r="D4622" s="1" t="s">
        <v>1678</v>
      </c>
    </row>
    <row r="4623">
      <c r="A4623" s="1" t="s">
        <v>11044</v>
      </c>
      <c r="B4623" s="2" t="s">
        <v>11045</v>
      </c>
      <c r="C4623" s="1" t="s">
        <v>1677</v>
      </c>
      <c r="D4623" s="1" t="s">
        <v>1678</v>
      </c>
    </row>
    <row r="4624">
      <c r="A4624" s="1" t="s">
        <v>11046</v>
      </c>
      <c r="B4624" s="2" t="s">
        <v>11047</v>
      </c>
      <c r="C4624" s="1" t="s">
        <v>1677</v>
      </c>
      <c r="D4624" s="1" t="s">
        <v>1678</v>
      </c>
    </row>
    <row r="4625">
      <c r="A4625" s="1" t="s">
        <v>11048</v>
      </c>
      <c r="B4625" s="2" t="s">
        <v>11049</v>
      </c>
      <c r="C4625" s="1" t="s">
        <v>1677</v>
      </c>
      <c r="D4625" s="1" t="s">
        <v>1678</v>
      </c>
    </row>
    <row r="4626">
      <c r="A4626" s="1" t="s">
        <v>11050</v>
      </c>
      <c r="B4626" s="2" t="s">
        <v>11051</v>
      </c>
      <c r="C4626" s="1" t="s">
        <v>1677</v>
      </c>
      <c r="D4626" s="1" t="s">
        <v>1678</v>
      </c>
    </row>
    <row r="4627">
      <c r="A4627" s="1" t="s">
        <v>11052</v>
      </c>
      <c r="B4627" s="2" t="s">
        <v>11053</v>
      </c>
      <c r="C4627" s="1" t="s">
        <v>1677</v>
      </c>
      <c r="D4627" s="1" t="s">
        <v>1678</v>
      </c>
    </row>
    <row r="4628">
      <c r="A4628" s="1" t="s">
        <v>11054</v>
      </c>
      <c r="B4628" s="2" t="s">
        <v>11055</v>
      </c>
      <c r="C4628" s="1" t="s">
        <v>1677</v>
      </c>
      <c r="D4628" s="1" t="s">
        <v>1678</v>
      </c>
    </row>
    <row r="4629">
      <c r="A4629" s="1" t="s">
        <v>1683</v>
      </c>
      <c r="B4629" s="2" t="s">
        <v>7</v>
      </c>
      <c r="C4629" s="1" t="s">
        <v>1686</v>
      </c>
      <c r="D4629" s="1" t="s">
        <v>1687</v>
      </c>
    </row>
    <row r="4630">
      <c r="A4630" s="1" t="s">
        <v>11056</v>
      </c>
      <c r="B4630" s="2" t="s">
        <v>5721</v>
      </c>
      <c r="C4630" s="1" t="s">
        <v>1686</v>
      </c>
      <c r="D4630" s="1" t="s">
        <v>1687</v>
      </c>
    </row>
    <row r="4631">
      <c r="A4631" s="1" t="s">
        <v>11057</v>
      </c>
      <c r="B4631" s="2" t="s">
        <v>5723</v>
      </c>
      <c r="C4631" s="1" t="s">
        <v>1686</v>
      </c>
      <c r="D4631" s="1" t="s">
        <v>1687</v>
      </c>
    </row>
    <row r="4632">
      <c r="A4632" s="1" t="s">
        <v>11058</v>
      </c>
      <c r="B4632" s="2" t="s">
        <v>5728</v>
      </c>
      <c r="C4632" s="1" t="s">
        <v>1686</v>
      </c>
      <c r="D4632" s="1" t="s">
        <v>1687</v>
      </c>
    </row>
    <row r="4633">
      <c r="A4633" s="1" t="s">
        <v>11059</v>
      </c>
      <c r="B4633" s="2" t="s">
        <v>5730</v>
      </c>
      <c r="C4633" s="1" t="s">
        <v>1686</v>
      </c>
      <c r="D4633" s="1" t="s">
        <v>1687</v>
      </c>
    </row>
    <row r="4634">
      <c r="A4634" s="1" t="s">
        <v>11060</v>
      </c>
      <c r="B4634" s="2" t="s">
        <v>5732</v>
      </c>
      <c r="C4634" s="1" t="s">
        <v>1686</v>
      </c>
      <c r="D4634" s="1" t="s">
        <v>1687</v>
      </c>
    </row>
    <row r="4635">
      <c r="A4635" s="1" t="s">
        <v>11061</v>
      </c>
      <c r="B4635" s="2" t="s">
        <v>5734</v>
      </c>
      <c r="C4635" s="1" t="s">
        <v>1686</v>
      </c>
      <c r="D4635" s="1" t="s">
        <v>1687</v>
      </c>
    </row>
    <row r="4636">
      <c r="A4636" s="1" t="s">
        <v>11062</v>
      </c>
      <c r="B4636" s="2" t="s">
        <v>5736</v>
      </c>
      <c r="C4636" s="1" t="s">
        <v>1686</v>
      </c>
      <c r="D4636" s="1" t="s">
        <v>1687</v>
      </c>
    </row>
    <row r="4637">
      <c r="A4637" s="1" t="s">
        <v>11063</v>
      </c>
      <c r="B4637" s="2" t="s">
        <v>10834</v>
      </c>
      <c r="C4637" s="1" t="s">
        <v>1686</v>
      </c>
      <c r="D4637" s="1" t="s">
        <v>1687</v>
      </c>
    </row>
    <row r="4638">
      <c r="A4638" s="1" t="s">
        <v>11064</v>
      </c>
      <c r="B4638" s="2" t="s">
        <v>11065</v>
      </c>
      <c r="C4638" s="1" t="s">
        <v>1686</v>
      </c>
      <c r="D4638" s="1" t="s">
        <v>1687</v>
      </c>
    </row>
    <row r="4639">
      <c r="A4639" s="1" t="s">
        <v>11066</v>
      </c>
      <c r="B4639" s="2" t="s">
        <v>11067</v>
      </c>
      <c r="C4639" s="1" t="s">
        <v>1686</v>
      </c>
      <c r="D4639" s="1" t="s">
        <v>1687</v>
      </c>
    </row>
    <row r="4640">
      <c r="A4640" s="1" t="s">
        <v>11068</v>
      </c>
      <c r="B4640" s="2" t="s">
        <v>11069</v>
      </c>
      <c r="C4640" s="1" t="s">
        <v>1686</v>
      </c>
      <c r="D4640" s="1" t="s">
        <v>1687</v>
      </c>
    </row>
    <row r="4641">
      <c r="A4641" s="1" t="s">
        <v>11070</v>
      </c>
      <c r="B4641" s="2" t="s">
        <v>11071</v>
      </c>
      <c r="C4641" s="1" t="s">
        <v>1686</v>
      </c>
      <c r="D4641" s="1" t="s">
        <v>1687</v>
      </c>
    </row>
    <row r="4642">
      <c r="A4642" s="1" t="s">
        <v>11072</v>
      </c>
      <c r="B4642" s="2" t="s">
        <v>11073</v>
      </c>
      <c r="C4642" s="1" t="s">
        <v>1686</v>
      </c>
      <c r="D4642" s="1" t="s">
        <v>1687</v>
      </c>
    </row>
    <row r="4643">
      <c r="A4643" s="1" t="s">
        <v>11074</v>
      </c>
      <c r="B4643" s="2" t="s">
        <v>11075</v>
      </c>
      <c r="C4643" s="1" t="s">
        <v>1686</v>
      </c>
      <c r="D4643" s="1" t="s">
        <v>1687</v>
      </c>
    </row>
    <row r="4644">
      <c r="A4644" s="1" t="s">
        <v>11076</v>
      </c>
      <c r="B4644" s="2" t="s">
        <v>11077</v>
      </c>
      <c r="C4644" s="1" t="s">
        <v>1686</v>
      </c>
      <c r="D4644" s="1" t="s">
        <v>1687</v>
      </c>
    </row>
    <row r="4645">
      <c r="A4645" s="1" t="s">
        <v>11078</v>
      </c>
      <c r="B4645" s="2" t="s">
        <v>10850</v>
      </c>
      <c r="C4645" s="1" t="s">
        <v>1686</v>
      </c>
      <c r="D4645" s="1" t="s">
        <v>1687</v>
      </c>
    </row>
    <row r="4646">
      <c r="A4646" s="1" t="s">
        <v>11079</v>
      </c>
      <c r="B4646" s="2" t="s">
        <v>11080</v>
      </c>
      <c r="C4646" s="1" t="s">
        <v>1686</v>
      </c>
      <c r="D4646" s="1" t="s">
        <v>1687</v>
      </c>
    </row>
    <row r="4647">
      <c r="A4647" s="1" t="s">
        <v>11081</v>
      </c>
      <c r="B4647" s="2" t="s">
        <v>11082</v>
      </c>
      <c r="C4647" s="1" t="s">
        <v>1686</v>
      </c>
      <c r="D4647" s="1" t="s">
        <v>1687</v>
      </c>
    </row>
    <row r="4648">
      <c r="A4648" s="1" t="s">
        <v>11083</v>
      </c>
      <c r="B4648" s="2" t="s">
        <v>11084</v>
      </c>
      <c r="C4648" s="1" t="s">
        <v>1686</v>
      </c>
      <c r="D4648" s="1" t="s">
        <v>1687</v>
      </c>
    </row>
    <row r="4649">
      <c r="A4649" s="1" t="s">
        <v>11085</v>
      </c>
      <c r="B4649" s="2" t="s">
        <v>11086</v>
      </c>
      <c r="C4649" s="1" t="s">
        <v>1686</v>
      </c>
      <c r="D4649" s="1" t="s">
        <v>1687</v>
      </c>
    </row>
    <row r="4650">
      <c r="A4650" s="1" t="s">
        <v>11087</v>
      </c>
      <c r="B4650" s="2" t="s">
        <v>11088</v>
      </c>
      <c r="C4650" s="1" t="s">
        <v>1686</v>
      </c>
      <c r="D4650" s="1" t="s">
        <v>1687</v>
      </c>
    </row>
    <row r="4651">
      <c r="A4651" s="1" t="s">
        <v>11089</v>
      </c>
      <c r="B4651" s="2" t="s">
        <v>11090</v>
      </c>
      <c r="C4651" s="1" t="s">
        <v>1686</v>
      </c>
      <c r="D4651" s="1" t="s">
        <v>1687</v>
      </c>
    </row>
    <row r="4652">
      <c r="A4652" s="1" t="s">
        <v>11091</v>
      </c>
      <c r="B4652" s="2" t="s">
        <v>11092</v>
      </c>
      <c r="C4652" s="1" t="s">
        <v>1686</v>
      </c>
      <c r="D4652" s="1" t="s">
        <v>1687</v>
      </c>
    </row>
    <row r="4653">
      <c r="A4653" s="1" t="s">
        <v>11093</v>
      </c>
      <c r="B4653" s="2" t="s">
        <v>10356</v>
      </c>
      <c r="C4653" s="1" t="s">
        <v>1686</v>
      </c>
      <c r="D4653" s="1" t="s">
        <v>1687</v>
      </c>
    </row>
    <row r="4654">
      <c r="A4654" s="1" t="s">
        <v>11094</v>
      </c>
      <c r="B4654" s="2" t="s">
        <v>11095</v>
      </c>
      <c r="C4654" s="1" t="s">
        <v>1686</v>
      </c>
      <c r="D4654" s="1" t="s">
        <v>1687</v>
      </c>
    </row>
    <row r="4655">
      <c r="A4655" s="1" t="s">
        <v>11096</v>
      </c>
      <c r="B4655" s="2" t="s">
        <v>11097</v>
      </c>
      <c r="C4655" s="1" t="s">
        <v>1686</v>
      </c>
      <c r="D4655" s="1" t="s">
        <v>1687</v>
      </c>
    </row>
    <row r="4656">
      <c r="A4656" s="1" t="s">
        <v>11098</v>
      </c>
      <c r="B4656" s="2" t="s">
        <v>11099</v>
      </c>
      <c r="C4656" s="1" t="s">
        <v>1686</v>
      </c>
      <c r="D4656" s="1" t="s">
        <v>1687</v>
      </c>
    </row>
    <row r="4657">
      <c r="A4657" s="1" t="s">
        <v>11100</v>
      </c>
      <c r="B4657" s="2" t="s">
        <v>11101</v>
      </c>
      <c r="C4657" s="1" t="s">
        <v>1686</v>
      </c>
      <c r="D4657" s="1" t="s">
        <v>1687</v>
      </c>
    </row>
    <row r="4658">
      <c r="A4658" s="1" t="s">
        <v>11102</v>
      </c>
      <c r="B4658" s="2" t="s">
        <v>11103</v>
      </c>
      <c r="C4658" s="1" t="s">
        <v>1686</v>
      </c>
      <c r="D4658" s="1" t="s">
        <v>1687</v>
      </c>
    </row>
    <row r="4659">
      <c r="A4659" s="1" t="s">
        <v>11104</v>
      </c>
      <c r="B4659" s="2" t="s">
        <v>11105</v>
      </c>
      <c r="C4659" s="1" t="s">
        <v>1686</v>
      </c>
      <c r="D4659" s="1" t="s">
        <v>1687</v>
      </c>
    </row>
    <row r="4660">
      <c r="A4660" s="1" t="s">
        <v>11106</v>
      </c>
      <c r="B4660" s="2" t="s">
        <v>11107</v>
      </c>
      <c r="C4660" s="1" t="s">
        <v>1686</v>
      </c>
      <c r="D4660" s="1" t="s">
        <v>1687</v>
      </c>
    </row>
    <row r="4661">
      <c r="A4661" s="1" t="s">
        <v>11108</v>
      </c>
      <c r="B4661" s="2" t="s">
        <v>10881</v>
      </c>
      <c r="C4661" s="1" t="s">
        <v>1686</v>
      </c>
      <c r="D4661" s="1" t="s">
        <v>1687</v>
      </c>
    </row>
    <row r="4662">
      <c r="A4662" s="1" t="s">
        <v>11109</v>
      </c>
      <c r="B4662" s="2" t="s">
        <v>11110</v>
      </c>
      <c r="C4662" s="1" t="s">
        <v>1686</v>
      </c>
      <c r="D4662" s="1" t="s">
        <v>1687</v>
      </c>
    </row>
    <row r="4663">
      <c r="A4663" s="1" t="s">
        <v>11111</v>
      </c>
      <c r="B4663" s="2" t="s">
        <v>11112</v>
      </c>
      <c r="C4663" s="1" t="s">
        <v>1686</v>
      </c>
      <c r="D4663" s="1" t="s">
        <v>1687</v>
      </c>
    </row>
    <row r="4664">
      <c r="A4664" s="1" t="s">
        <v>11113</v>
      </c>
      <c r="B4664" s="2" t="s">
        <v>11114</v>
      </c>
      <c r="C4664" s="1" t="s">
        <v>1686</v>
      </c>
      <c r="D4664" s="1" t="s">
        <v>1687</v>
      </c>
    </row>
    <row r="4665">
      <c r="A4665" s="1" t="s">
        <v>11115</v>
      </c>
      <c r="B4665" s="2" t="s">
        <v>11116</v>
      </c>
      <c r="C4665" s="1" t="s">
        <v>1686</v>
      </c>
      <c r="D4665" s="1" t="s">
        <v>1687</v>
      </c>
    </row>
    <row r="4666">
      <c r="A4666" s="1" t="s">
        <v>11117</v>
      </c>
      <c r="B4666" s="2" t="s">
        <v>11118</v>
      </c>
      <c r="C4666" s="1" t="s">
        <v>1686</v>
      </c>
      <c r="D4666" s="1" t="s">
        <v>1687</v>
      </c>
    </row>
    <row r="4667">
      <c r="A4667" s="1" t="s">
        <v>11119</v>
      </c>
      <c r="B4667" s="2" t="s">
        <v>11120</v>
      </c>
      <c r="C4667" s="1" t="s">
        <v>1686</v>
      </c>
      <c r="D4667" s="1" t="s">
        <v>1687</v>
      </c>
    </row>
    <row r="4668">
      <c r="A4668" s="1" t="s">
        <v>11121</v>
      </c>
      <c r="B4668" s="2" t="s">
        <v>11122</v>
      </c>
      <c r="C4668" s="1" t="s">
        <v>1686</v>
      </c>
      <c r="D4668" s="1" t="s">
        <v>1687</v>
      </c>
    </row>
    <row r="4669">
      <c r="A4669" s="1" t="s">
        <v>11123</v>
      </c>
      <c r="B4669" s="2" t="s">
        <v>10897</v>
      </c>
      <c r="C4669" s="1" t="s">
        <v>1686</v>
      </c>
      <c r="D4669" s="1" t="s">
        <v>1687</v>
      </c>
    </row>
    <row r="4670">
      <c r="A4670" s="1" t="s">
        <v>11124</v>
      </c>
      <c r="B4670" s="2" t="s">
        <v>11125</v>
      </c>
      <c r="C4670" s="1" t="s">
        <v>1686</v>
      </c>
      <c r="D4670" s="1" t="s">
        <v>1687</v>
      </c>
    </row>
    <row r="4671">
      <c r="A4671" s="1" t="s">
        <v>11126</v>
      </c>
      <c r="B4671" s="2" t="s">
        <v>11127</v>
      </c>
      <c r="C4671" s="1" t="s">
        <v>1686</v>
      </c>
      <c r="D4671" s="1" t="s">
        <v>1687</v>
      </c>
    </row>
    <row r="4672">
      <c r="A4672" s="1" t="s">
        <v>11128</v>
      </c>
      <c r="B4672" s="2" t="s">
        <v>11129</v>
      </c>
      <c r="C4672" s="1" t="s">
        <v>1686</v>
      </c>
      <c r="D4672" s="1" t="s">
        <v>1687</v>
      </c>
    </row>
    <row r="4673">
      <c r="A4673" s="1" t="s">
        <v>11130</v>
      </c>
      <c r="B4673" s="2" t="s">
        <v>11131</v>
      </c>
      <c r="C4673" s="1" t="s">
        <v>1686</v>
      </c>
      <c r="D4673" s="1" t="s">
        <v>1687</v>
      </c>
    </row>
    <row r="4674">
      <c r="A4674" s="1" t="s">
        <v>11132</v>
      </c>
      <c r="B4674" s="2" t="s">
        <v>11133</v>
      </c>
      <c r="C4674" s="1" t="s">
        <v>1686</v>
      </c>
      <c r="D4674" s="1" t="s">
        <v>1687</v>
      </c>
    </row>
    <row r="4675">
      <c r="A4675" s="1" t="s">
        <v>11134</v>
      </c>
      <c r="B4675" s="2" t="s">
        <v>11135</v>
      </c>
      <c r="C4675" s="1" t="s">
        <v>1686</v>
      </c>
      <c r="D4675" s="1" t="s">
        <v>1687</v>
      </c>
    </row>
    <row r="4676">
      <c r="A4676" s="1" t="s">
        <v>11136</v>
      </c>
      <c r="B4676" s="2" t="s">
        <v>11137</v>
      </c>
      <c r="C4676" s="1" t="s">
        <v>1686</v>
      </c>
      <c r="D4676" s="1" t="s">
        <v>1687</v>
      </c>
    </row>
    <row r="4677">
      <c r="A4677" s="1" t="s">
        <v>11138</v>
      </c>
      <c r="B4677" s="2" t="s">
        <v>11047</v>
      </c>
      <c r="C4677" s="1" t="s">
        <v>1686</v>
      </c>
      <c r="D4677" s="1" t="s">
        <v>1687</v>
      </c>
    </row>
    <row r="4678">
      <c r="A4678" s="1" t="s">
        <v>11139</v>
      </c>
      <c r="B4678" s="2" t="s">
        <v>11140</v>
      </c>
      <c r="C4678" s="1" t="s">
        <v>1686</v>
      </c>
      <c r="D4678" s="1" t="s">
        <v>1687</v>
      </c>
    </row>
    <row r="4679">
      <c r="A4679" s="1" t="s">
        <v>11141</v>
      </c>
      <c r="B4679" s="2" t="s">
        <v>11142</v>
      </c>
      <c r="C4679" s="1" t="s">
        <v>1686</v>
      </c>
      <c r="D4679" s="1" t="s">
        <v>1687</v>
      </c>
    </row>
    <row r="4680">
      <c r="A4680" s="1" t="s">
        <v>11143</v>
      </c>
      <c r="B4680" s="2" t="s">
        <v>11144</v>
      </c>
      <c r="C4680" s="1" t="s">
        <v>1686</v>
      </c>
      <c r="D4680" s="1" t="s">
        <v>1687</v>
      </c>
    </row>
    <row r="4681">
      <c r="A4681" s="1" t="s">
        <v>11145</v>
      </c>
      <c r="B4681" s="2" t="s">
        <v>11146</v>
      </c>
      <c r="C4681" s="1" t="s">
        <v>1686</v>
      </c>
      <c r="D4681" s="1" t="s">
        <v>1687</v>
      </c>
    </row>
    <row r="4682">
      <c r="A4682" s="1" t="s">
        <v>11147</v>
      </c>
      <c r="B4682" s="2" t="s">
        <v>11148</v>
      </c>
      <c r="C4682" s="1" t="s">
        <v>1686</v>
      </c>
      <c r="D4682" s="1" t="s">
        <v>1687</v>
      </c>
    </row>
    <row r="4683">
      <c r="A4683" s="1" t="s">
        <v>11149</v>
      </c>
      <c r="B4683" s="2" t="s">
        <v>11150</v>
      </c>
      <c r="C4683" s="1" t="s">
        <v>1686</v>
      </c>
      <c r="D4683" s="1" t="s">
        <v>1687</v>
      </c>
    </row>
    <row r="4684">
      <c r="A4684" s="1" t="s">
        <v>11151</v>
      </c>
      <c r="B4684" s="2" t="s">
        <v>11152</v>
      </c>
      <c r="C4684" s="1" t="s">
        <v>1686</v>
      </c>
      <c r="D4684" s="1" t="s">
        <v>1687</v>
      </c>
    </row>
    <row r="4685">
      <c r="A4685" s="1" t="s">
        <v>1693</v>
      </c>
      <c r="B4685" s="2" t="s">
        <v>7</v>
      </c>
      <c r="C4685" s="1" t="s">
        <v>1696</v>
      </c>
      <c r="D4685" s="1" t="s">
        <v>1697</v>
      </c>
    </row>
    <row r="4686">
      <c r="A4686" s="1" t="s">
        <v>11153</v>
      </c>
      <c r="B4686" s="2" t="s">
        <v>11154</v>
      </c>
      <c r="C4686" s="1" t="s">
        <v>1696</v>
      </c>
      <c r="D4686" s="1" t="s">
        <v>1697</v>
      </c>
    </row>
    <row r="4687">
      <c r="A4687" s="1" t="s">
        <v>11155</v>
      </c>
      <c r="B4687" s="2" t="s">
        <v>11156</v>
      </c>
      <c r="C4687" s="1" t="s">
        <v>1696</v>
      </c>
      <c r="D4687" s="1" t="s">
        <v>1697</v>
      </c>
    </row>
    <row r="4688">
      <c r="A4688" s="1" t="s">
        <v>11157</v>
      </c>
      <c r="B4688" s="2" t="s">
        <v>11158</v>
      </c>
      <c r="C4688" s="1" t="s">
        <v>1696</v>
      </c>
      <c r="D4688" s="1" t="s">
        <v>1697</v>
      </c>
    </row>
    <row r="4689">
      <c r="A4689" s="1" t="s">
        <v>11159</v>
      </c>
      <c r="B4689" s="2" t="s">
        <v>11160</v>
      </c>
      <c r="C4689" s="1" t="s">
        <v>1696</v>
      </c>
      <c r="D4689" s="1" t="s">
        <v>1697</v>
      </c>
    </row>
    <row r="4690">
      <c r="A4690" s="1" t="s">
        <v>11161</v>
      </c>
      <c r="B4690" s="2" t="s">
        <v>11162</v>
      </c>
      <c r="C4690" s="1" t="s">
        <v>1696</v>
      </c>
      <c r="D4690" s="1" t="s">
        <v>1697</v>
      </c>
    </row>
    <row r="4691">
      <c r="A4691" s="1" t="s">
        <v>11163</v>
      </c>
      <c r="B4691" s="2" t="s">
        <v>11164</v>
      </c>
      <c r="C4691" s="1" t="s">
        <v>1696</v>
      </c>
      <c r="D4691" s="1" t="s">
        <v>1697</v>
      </c>
    </row>
    <row r="4692">
      <c r="A4692" s="1" t="s">
        <v>11165</v>
      </c>
      <c r="B4692" s="2" t="s">
        <v>11166</v>
      </c>
      <c r="C4692" s="1" t="s">
        <v>1696</v>
      </c>
      <c r="D4692" s="1" t="s">
        <v>1697</v>
      </c>
    </row>
    <row r="4693">
      <c r="A4693" s="1" t="s">
        <v>11167</v>
      </c>
      <c r="B4693" s="2" t="s">
        <v>11168</v>
      </c>
      <c r="C4693" s="1" t="s">
        <v>1696</v>
      </c>
      <c r="D4693" s="1" t="s">
        <v>1697</v>
      </c>
    </row>
    <row r="4694">
      <c r="A4694" s="1" t="s">
        <v>11169</v>
      </c>
      <c r="B4694" s="2" t="s">
        <v>10834</v>
      </c>
      <c r="C4694" s="1" t="s">
        <v>1696</v>
      </c>
      <c r="D4694" s="1" t="s">
        <v>1697</v>
      </c>
    </row>
    <row r="4695">
      <c r="A4695" s="1" t="s">
        <v>11170</v>
      </c>
      <c r="B4695" s="2" t="s">
        <v>11171</v>
      </c>
      <c r="C4695" s="1" t="s">
        <v>1696</v>
      </c>
      <c r="D4695" s="1" t="s">
        <v>1697</v>
      </c>
    </row>
    <row r="4696">
      <c r="A4696" s="1" t="s">
        <v>11172</v>
      </c>
      <c r="B4696" s="2" t="s">
        <v>11173</v>
      </c>
      <c r="C4696" s="1" t="s">
        <v>1696</v>
      </c>
      <c r="D4696" s="1" t="s">
        <v>1697</v>
      </c>
    </row>
    <row r="4697">
      <c r="A4697" s="1" t="s">
        <v>11174</v>
      </c>
      <c r="B4697" s="2" t="s">
        <v>11175</v>
      </c>
      <c r="C4697" s="1" t="s">
        <v>1696</v>
      </c>
      <c r="D4697" s="1" t="s">
        <v>1697</v>
      </c>
    </row>
    <row r="4698">
      <c r="A4698" s="1" t="s">
        <v>11176</v>
      </c>
      <c r="B4698" s="2" t="s">
        <v>11177</v>
      </c>
      <c r="C4698" s="1" t="s">
        <v>1696</v>
      </c>
      <c r="D4698" s="1" t="s">
        <v>1697</v>
      </c>
    </row>
    <row r="4699">
      <c r="A4699" s="1" t="s">
        <v>11178</v>
      </c>
      <c r="B4699" s="2" t="s">
        <v>11179</v>
      </c>
      <c r="C4699" s="1" t="s">
        <v>1696</v>
      </c>
      <c r="D4699" s="1" t="s">
        <v>1697</v>
      </c>
    </row>
    <row r="4700">
      <c r="A4700" s="1" t="s">
        <v>11180</v>
      </c>
      <c r="B4700" s="2" t="s">
        <v>11181</v>
      </c>
      <c r="C4700" s="1" t="s">
        <v>1696</v>
      </c>
      <c r="D4700" s="1" t="s">
        <v>1697</v>
      </c>
    </row>
    <row r="4701">
      <c r="A4701" s="1" t="s">
        <v>11182</v>
      </c>
      <c r="B4701" s="2" t="s">
        <v>11183</v>
      </c>
      <c r="C4701" s="1" t="s">
        <v>1696</v>
      </c>
      <c r="D4701" s="1" t="s">
        <v>1697</v>
      </c>
    </row>
    <row r="4702">
      <c r="A4702" s="1" t="s">
        <v>11184</v>
      </c>
      <c r="B4702" s="2" t="s">
        <v>11185</v>
      </c>
      <c r="C4702" s="1" t="s">
        <v>1696</v>
      </c>
      <c r="D4702" s="1" t="s">
        <v>1697</v>
      </c>
    </row>
    <row r="4703">
      <c r="A4703" s="1" t="s">
        <v>11186</v>
      </c>
      <c r="B4703" s="2" t="s">
        <v>10850</v>
      </c>
      <c r="C4703" s="1" t="s">
        <v>1696</v>
      </c>
      <c r="D4703" s="1" t="s">
        <v>1697</v>
      </c>
    </row>
    <row r="4704">
      <c r="A4704" s="1" t="s">
        <v>11187</v>
      </c>
      <c r="B4704" s="2" t="s">
        <v>11188</v>
      </c>
      <c r="C4704" s="1" t="s">
        <v>1696</v>
      </c>
      <c r="D4704" s="1" t="s">
        <v>1697</v>
      </c>
    </row>
    <row r="4705">
      <c r="A4705" s="1" t="s">
        <v>11189</v>
      </c>
      <c r="B4705" s="2" t="s">
        <v>11190</v>
      </c>
      <c r="C4705" s="1" t="s">
        <v>1696</v>
      </c>
      <c r="D4705" s="1" t="s">
        <v>1697</v>
      </c>
    </row>
    <row r="4706">
      <c r="A4706" s="1" t="s">
        <v>11191</v>
      </c>
      <c r="B4706" s="2" t="s">
        <v>11192</v>
      </c>
      <c r="C4706" s="1" t="s">
        <v>1696</v>
      </c>
      <c r="D4706" s="1" t="s">
        <v>1697</v>
      </c>
    </row>
    <row r="4707">
      <c r="A4707" s="1" t="s">
        <v>11193</v>
      </c>
      <c r="B4707" s="2" t="s">
        <v>11194</v>
      </c>
      <c r="C4707" s="1" t="s">
        <v>1696</v>
      </c>
      <c r="D4707" s="1" t="s">
        <v>1697</v>
      </c>
    </row>
    <row r="4708">
      <c r="A4708" s="1" t="s">
        <v>11195</v>
      </c>
      <c r="B4708" s="2" t="s">
        <v>11196</v>
      </c>
      <c r="C4708" s="1" t="s">
        <v>1696</v>
      </c>
      <c r="D4708" s="1" t="s">
        <v>1697</v>
      </c>
    </row>
    <row r="4709">
      <c r="A4709" s="1" t="s">
        <v>11197</v>
      </c>
      <c r="B4709" s="2" t="s">
        <v>11198</v>
      </c>
      <c r="C4709" s="1" t="s">
        <v>1696</v>
      </c>
      <c r="D4709" s="1" t="s">
        <v>1697</v>
      </c>
    </row>
    <row r="4710">
      <c r="A4710" s="1" t="s">
        <v>11199</v>
      </c>
      <c r="B4710" s="2" t="s">
        <v>11200</v>
      </c>
      <c r="C4710" s="1" t="s">
        <v>1696</v>
      </c>
      <c r="D4710" s="1" t="s">
        <v>1697</v>
      </c>
    </row>
    <row r="4711">
      <c r="A4711" s="1" t="s">
        <v>11201</v>
      </c>
      <c r="B4711" s="2" t="s">
        <v>11202</v>
      </c>
      <c r="C4711" s="1" t="s">
        <v>1696</v>
      </c>
      <c r="D4711" s="1" t="s">
        <v>1697</v>
      </c>
    </row>
    <row r="4712">
      <c r="A4712" s="1" t="s">
        <v>11203</v>
      </c>
      <c r="B4712" s="2" t="s">
        <v>10356</v>
      </c>
      <c r="C4712" s="1" t="s">
        <v>1696</v>
      </c>
      <c r="D4712" s="1" t="s">
        <v>1697</v>
      </c>
    </row>
    <row r="4713">
      <c r="A4713" s="1" t="s">
        <v>11204</v>
      </c>
      <c r="B4713" s="2" t="s">
        <v>11205</v>
      </c>
      <c r="C4713" s="1" t="s">
        <v>1696</v>
      </c>
      <c r="D4713" s="1" t="s">
        <v>1697</v>
      </c>
    </row>
    <row r="4714">
      <c r="A4714" s="1" t="s">
        <v>11206</v>
      </c>
      <c r="B4714" s="2" t="s">
        <v>11207</v>
      </c>
      <c r="C4714" s="1" t="s">
        <v>1696</v>
      </c>
      <c r="D4714" s="1" t="s">
        <v>1697</v>
      </c>
    </row>
    <row r="4715">
      <c r="A4715" s="1" t="s">
        <v>11208</v>
      </c>
      <c r="B4715" s="2" t="s">
        <v>11209</v>
      </c>
      <c r="C4715" s="1" t="s">
        <v>1696</v>
      </c>
      <c r="D4715" s="1" t="s">
        <v>1697</v>
      </c>
    </row>
    <row r="4716">
      <c r="A4716" s="1" t="s">
        <v>11210</v>
      </c>
      <c r="B4716" s="2" t="s">
        <v>11211</v>
      </c>
      <c r="C4716" s="1" t="s">
        <v>1696</v>
      </c>
      <c r="D4716" s="1" t="s">
        <v>1697</v>
      </c>
    </row>
    <row r="4717">
      <c r="A4717" s="1" t="s">
        <v>11212</v>
      </c>
      <c r="B4717" s="2" t="s">
        <v>11213</v>
      </c>
      <c r="C4717" s="1" t="s">
        <v>1696</v>
      </c>
      <c r="D4717" s="1" t="s">
        <v>1697</v>
      </c>
    </row>
    <row r="4718">
      <c r="A4718" s="1" t="s">
        <v>11214</v>
      </c>
      <c r="B4718" s="2" t="s">
        <v>11215</v>
      </c>
      <c r="C4718" s="1" t="s">
        <v>1696</v>
      </c>
      <c r="D4718" s="1" t="s">
        <v>1697</v>
      </c>
    </row>
    <row r="4719">
      <c r="A4719" s="1" t="s">
        <v>11216</v>
      </c>
      <c r="B4719" s="2" t="s">
        <v>11217</v>
      </c>
      <c r="C4719" s="1" t="s">
        <v>1696</v>
      </c>
      <c r="D4719" s="1" t="s">
        <v>1697</v>
      </c>
    </row>
    <row r="4720">
      <c r="A4720" s="1" t="s">
        <v>11218</v>
      </c>
      <c r="B4720" s="2" t="s">
        <v>11219</v>
      </c>
      <c r="C4720" s="1" t="s">
        <v>1696</v>
      </c>
      <c r="D4720" s="1" t="s">
        <v>1697</v>
      </c>
    </row>
    <row r="4721">
      <c r="A4721" s="1" t="s">
        <v>11220</v>
      </c>
      <c r="B4721" s="2" t="s">
        <v>10881</v>
      </c>
      <c r="C4721" s="1" t="s">
        <v>1696</v>
      </c>
      <c r="D4721" s="1" t="s">
        <v>1697</v>
      </c>
    </row>
    <row r="4722">
      <c r="A4722" s="1" t="s">
        <v>11221</v>
      </c>
      <c r="B4722" s="2" t="s">
        <v>11222</v>
      </c>
      <c r="C4722" s="1" t="s">
        <v>1696</v>
      </c>
      <c r="D4722" s="1" t="s">
        <v>1697</v>
      </c>
    </row>
    <row r="4723">
      <c r="A4723" s="1" t="s">
        <v>11223</v>
      </c>
      <c r="B4723" s="2" t="s">
        <v>11224</v>
      </c>
      <c r="C4723" s="1" t="s">
        <v>1696</v>
      </c>
      <c r="D4723" s="1" t="s">
        <v>1697</v>
      </c>
    </row>
    <row r="4724">
      <c r="A4724" s="1" t="s">
        <v>11225</v>
      </c>
      <c r="B4724" s="2" t="s">
        <v>11226</v>
      </c>
      <c r="C4724" s="1" t="s">
        <v>1696</v>
      </c>
      <c r="D4724" s="1" t="s">
        <v>1697</v>
      </c>
    </row>
    <row r="4725">
      <c r="A4725" s="1" t="s">
        <v>11227</v>
      </c>
      <c r="B4725" s="2" t="s">
        <v>11228</v>
      </c>
      <c r="C4725" s="1" t="s">
        <v>1696</v>
      </c>
      <c r="D4725" s="1" t="s">
        <v>1697</v>
      </c>
    </row>
    <row r="4726">
      <c r="A4726" s="1" t="s">
        <v>11229</v>
      </c>
      <c r="B4726" s="2" t="s">
        <v>11230</v>
      </c>
      <c r="C4726" s="1" t="s">
        <v>1696</v>
      </c>
      <c r="D4726" s="1" t="s">
        <v>1697</v>
      </c>
    </row>
    <row r="4727">
      <c r="A4727" s="1" t="s">
        <v>11231</v>
      </c>
      <c r="B4727" s="2" t="s">
        <v>11232</v>
      </c>
      <c r="C4727" s="1" t="s">
        <v>1696</v>
      </c>
      <c r="D4727" s="1" t="s">
        <v>1697</v>
      </c>
    </row>
    <row r="4728">
      <c r="A4728" s="1" t="s">
        <v>11233</v>
      </c>
      <c r="B4728" s="2" t="s">
        <v>11234</v>
      </c>
      <c r="C4728" s="1" t="s">
        <v>1696</v>
      </c>
      <c r="D4728" s="1" t="s">
        <v>1697</v>
      </c>
    </row>
    <row r="4729">
      <c r="A4729" s="1" t="s">
        <v>11235</v>
      </c>
      <c r="B4729" s="2" t="s">
        <v>11236</v>
      </c>
      <c r="C4729" s="1" t="s">
        <v>1696</v>
      </c>
      <c r="D4729" s="1" t="s">
        <v>1697</v>
      </c>
    </row>
    <row r="4730">
      <c r="A4730" s="1" t="s">
        <v>11237</v>
      </c>
      <c r="B4730" s="2" t="s">
        <v>10897</v>
      </c>
      <c r="C4730" s="1" t="s">
        <v>1696</v>
      </c>
      <c r="D4730" s="1" t="s">
        <v>1697</v>
      </c>
    </row>
    <row r="4731">
      <c r="A4731" s="1" t="s">
        <v>11238</v>
      </c>
      <c r="B4731" s="2" t="s">
        <v>11239</v>
      </c>
      <c r="C4731" s="1" t="s">
        <v>1696</v>
      </c>
      <c r="D4731" s="1" t="s">
        <v>1697</v>
      </c>
    </row>
    <row r="4732">
      <c r="A4732" s="1" t="s">
        <v>11240</v>
      </c>
      <c r="B4732" s="2" t="s">
        <v>11241</v>
      </c>
      <c r="C4732" s="1" t="s">
        <v>1696</v>
      </c>
      <c r="D4732" s="1" t="s">
        <v>1697</v>
      </c>
    </row>
    <row r="4733">
      <c r="A4733" s="1" t="s">
        <v>11242</v>
      </c>
      <c r="B4733" s="2" t="s">
        <v>11243</v>
      </c>
      <c r="C4733" s="1" t="s">
        <v>1696</v>
      </c>
      <c r="D4733" s="1" t="s">
        <v>1697</v>
      </c>
    </row>
    <row r="4734">
      <c r="A4734" s="1" t="s">
        <v>11244</v>
      </c>
      <c r="B4734" s="2" t="s">
        <v>11245</v>
      </c>
      <c r="C4734" s="1" t="s">
        <v>1696</v>
      </c>
      <c r="D4734" s="1" t="s">
        <v>1697</v>
      </c>
    </row>
    <row r="4735">
      <c r="A4735" s="1" t="s">
        <v>11246</v>
      </c>
      <c r="B4735" s="2" t="s">
        <v>11247</v>
      </c>
      <c r="C4735" s="1" t="s">
        <v>1696</v>
      </c>
      <c r="D4735" s="1" t="s">
        <v>1697</v>
      </c>
    </row>
    <row r="4736">
      <c r="A4736" s="1" t="s">
        <v>11248</v>
      </c>
      <c r="B4736" s="2" t="s">
        <v>11249</v>
      </c>
      <c r="C4736" s="1" t="s">
        <v>1696</v>
      </c>
      <c r="D4736" s="1" t="s">
        <v>1697</v>
      </c>
    </row>
    <row r="4737">
      <c r="A4737" s="1" t="s">
        <v>11250</v>
      </c>
      <c r="B4737" s="2" t="s">
        <v>11251</v>
      </c>
      <c r="C4737" s="1" t="s">
        <v>1696</v>
      </c>
      <c r="D4737" s="1" t="s">
        <v>1697</v>
      </c>
    </row>
    <row r="4738">
      <c r="A4738" s="1" t="s">
        <v>11252</v>
      </c>
      <c r="B4738" s="2" t="s">
        <v>11253</v>
      </c>
      <c r="C4738" s="1" t="s">
        <v>1696</v>
      </c>
      <c r="D4738" s="1" t="s">
        <v>1697</v>
      </c>
    </row>
    <row r="4739">
      <c r="A4739" s="1" t="s">
        <v>11254</v>
      </c>
      <c r="B4739" s="2" t="s">
        <v>11047</v>
      </c>
      <c r="C4739" s="1" t="s">
        <v>1696</v>
      </c>
      <c r="D4739" s="1" t="s">
        <v>1697</v>
      </c>
    </row>
    <row r="4740">
      <c r="A4740" s="1" t="s">
        <v>11255</v>
      </c>
      <c r="B4740" s="2" t="s">
        <v>11256</v>
      </c>
      <c r="C4740" s="1" t="s">
        <v>1696</v>
      </c>
      <c r="D4740" s="1" t="s">
        <v>1697</v>
      </c>
    </row>
    <row r="4741">
      <c r="A4741" s="1" t="s">
        <v>11257</v>
      </c>
      <c r="B4741" s="2" t="s">
        <v>11258</v>
      </c>
      <c r="C4741" s="1" t="s">
        <v>1696</v>
      </c>
      <c r="D4741" s="1" t="s">
        <v>1697</v>
      </c>
    </row>
    <row r="4742">
      <c r="A4742" s="1" t="s">
        <v>11259</v>
      </c>
      <c r="B4742" s="2" t="s">
        <v>11260</v>
      </c>
      <c r="C4742" s="1" t="s">
        <v>1696</v>
      </c>
      <c r="D4742" s="1" t="s">
        <v>1697</v>
      </c>
    </row>
    <row r="4743">
      <c r="A4743" s="1" t="s">
        <v>11261</v>
      </c>
      <c r="B4743" s="2" t="s">
        <v>11262</v>
      </c>
      <c r="C4743" s="1" t="s">
        <v>1696</v>
      </c>
      <c r="D4743" s="1" t="s">
        <v>1697</v>
      </c>
    </row>
    <row r="4744">
      <c r="A4744" s="1" t="s">
        <v>11263</v>
      </c>
      <c r="B4744" s="2" t="s">
        <v>11264</v>
      </c>
      <c r="C4744" s="1" t="s">
        <v>1696</v>
      </c>
      <c r="D4744" s="1" t="s">
        <v>1697</v>
      </c>
    </row>
    <row r="4745">
      <c r="A4745" s="1" t="s">
        <v>11265</v>
      </c>
      <c r="B4745" s="2" t="s">
        <v>11266</v>
      </c>
      <c r="C4745" s="1" t="s">
        <v>1696</v>
      </c>
      <c r="D4745" s="1" t="s">
        <v>1697</v>
      </c>
    </row>
    <row r="4746">
      <c r="A4746" s="1" t="s">
        <v>11267</v>
      </c>
      <c r="B4746" s="2" t="s">
        <v>11268</v>
      </c>
      <c r="C4746" s="1" t="s">
        <v>1696</v>
      </c>
      <c r="D4746" s="1" t="s">
        <v>1697</v>
      </c>
    </row>
    <row r="4747">
      <c r="A4747" s="1" t="s">
        <v>11269</v>
      </c>
      <c r="B4747" s="2" t="s">
        <v>11270</v>
      </c>
      <c r="C4747" s="1" t="s">
        <v>1696</v>
      </c>
      <c r="D4747" s="1" t="s">
        <v>1697</v>
      </c>
    </row>
    <row r="4748">
      <c r="A4748" s="1" t="s">
        <v>1703</v>
      </c>
      <c r="B4748" s="2" t="s">
        <v>1705</v>
      </c>
      <c r="C4748" s="1" t="s">
        <v>1707</v>
      </c>
      <c r="D4748" s="1" t="s">
        <v>1708</v>
      </c>
    </row>
    <row r="4749">
      <c r="A4749" s="1" t="s">
        <v>11271</v>
      </c>
      <c r="B4749" s="2" t="s">
        <v>11272</v>
      </c>
      <c r="C4749" s="1" t="s">
        <v>1707</v>
      </c>
      <c r="D4749" s="1" t="s">
        <v>1708</v>
      </c>
    </row>
    <row r="4750">
      <c r="A4750" s="1" t="s">
        <v>11273</v>
      </c>
      <c r="B4750" s="2" t="s">
        <v>11274</v>
      </c>
      <c r="C4750" s="1" t="s">
        <v>1707</v>
      </c>
      <c r="D4750" s="1" t="s">
        <v>1708</v>
      </c>
    </row>
    <row r="4751">
      <c r="A4751" s="1" t="s">
        <v>11275</v>
      </c>
      <c r="B4751" s="2" t="s">
        <v>11276</v>
      </c>
      <c r="C4751" s="1" t="s">
        <v>1707</v>
      </c>
      <c r="D4751" s="1" t="s">
        <v>1708</v>
      </c>
    </row>
    <row r="4752">
      <c r="A4752" s="1" t="s">
        <v>11277</v>
      </c>
      <c r="B4752" s="2" t="s">
        <v>11278</v>
      </c>
      <c r="C4752" s="1" t="s">
        <v>1707</v>
      </c>
      <c r="D4752" s="1" t="s">
        <v>1708</v>
      </c>
    </row>
    <row r="4753">
      <c r="A4753" s="1" t="s">
        <v>11279</v>
      </c>
      <c r="B4753" s="2" t="s">
        <v>11280</v>
      </c>
      <c r="C4753" s="1" t="s">
        <v>1707</v>
      </c>
      <c r="D4753" s="1" t="s">
        <v>1708</v>
      </c>
    </row>
    <row r="4754">
      <c r="A4754" s="1" t="s">
        <v>11281</v>
      </c>
      <c r="B4754" s="2" t="s">
        <v>11282</v>
      </c>
      <c r="C4754" s="1" t="s">
        <v>1707</v>
      </c>
      <c r="D4754" s="1" t="s">
        <v>1708</v>
      </c>
    </row>
    <row r="4755">
      <c r="A4755" s="1" t="s">
        <v>1714</v>
      </c>
      <c r="B4755" s="2" t="s">
        <v>7</v>
      </c>
      <c r="C4755" s="1" t="s">
        <v>1716</v>
      </c>
      <c r="D4755" s="1" t="s">
        <v>1718</v>
      </c>
    </row>
    <row r="4756">
      <c r="A4756" s="1" t="s">
        <v>11283</v>
      </c>
      <c r="B4756" s="2" t="s">
        <v>6537</v>
      </c>
      <c r="C4756" s="1" t="s">
        <v>1716</v>
      </c>
      <c r="D4756" s="1" t="s">
        <v>1718</v>
      </c>
    </row>
    <row r="4757">
      <c r="A4757" s="1" t="s">
        <v>11284</v>
      </c>
      <c r="B4757" s="2" t="s">
        <v>6539</v>
      </c>
      <c r="C4757" s="1" t="s">
        <v>1716</v>
      </c>
      <c r="D4757" s="1" t="s">
        <v>1718</v>
      </c>
    </row>
    <row r="4758">
      <c r="A4758" s="1" t="s">
        <v>11285</v>
      </c>
      <c r="B4758" s="2" t="s">
        <v>6544</v>
      </c>
      <c r="C4758" s="1" t="s">
        <v>1716</v>
      </c>
      <c r="D4758" s="1" t="s">
        <v>1718</v>
      </c>
    </row>
    <row r="4759">
      <c r="A4759" s="1" t="s">
        <v>11286</v>
      </c>
      <c r="B4759" s="2" t="s">
        <v>10834</v>
      </c>
      <c r="C4759" s="1" t="s">
        <v>1716</v>
      </c>
      <c r="D4759" s="1" t="s">
        <v>1718</v>
      </c>
    </row>
    <row r="4760">
      <c r="A4760" s="1" t="s">
        <v>11287</v>
      </c>
      <c r="B4760" s="2" t="s">
        <v>11288</v>
      </c>
      <c r="C4760" s="1" t="s">
        <v>1716</v>
      </c>
      <c r="D4760" s="1" t="s">
        <v>1718</v>
      </c>
    </row>
    <row r="4761">
      <c r="A4761" s="1" t="s">
        <v>11289</v>
      </c>
      <c r="B4761" s="2" t="s">
        <v>11290</v>
      </c>
      <c r="C4761" s="1" t="s">
        <v>1716</v>
      </c>
      <c r="D4761" s="1" t="s">
        <v>1718</v>
      </c>
    </row>
    <row r="4762">
      <c r="A4762" s="1" t="s">
        <v>11291</v>
      </c>
      <c r="B4762" s="2" t="s">
        <v>11292</v>
      </c>
      <c r="C4762" s="1" t="s">
        <v>1716</v>
      </c>
      <c r="D4762" s="1" t="s">
        <v>1718</v>
      </c>
    </row>
    <row r="4763">
      <c r="A4763" s="1" t="s">
        <v>11293</v>
      </c>
      <c r="B4763" s="2" t="s">
        <v>10850</v>
      </c>
      <c r="C4763" s="1" t="s">
        <v>1716</v>
      </c>
      <c r="D4763" s="1" t="s">
        <v>1718</v>
      </c>
    </row>
    <row r="4764">
      <c r="A4764" s="1" t="s">
        <v>11294</v>
      </c>
      <c r="B4764" s="2" t="s">
        <v>11295</v>
      </c>
      <c r="C4764" s="1" t="s">
        <v>1716</v>
      </c>
      <c r="D4764" s="1" t="s">
        <v>1718</v>
      </c>
    </row>
    <row r="4765">
      <c r="A4765" s="1" t="s">
        <v>11296</v>
      </c>
      <c r="B4765" s="2" t="s">
        <v>11297</v>
      </c>
      <c r="C4765" s="1" t="s">
        <v>1716</v>
      </c>
      <c r="D4765" s="1" t="s">
        <v>1718</v>
      </c>
    </row>
    <row r="4766">
      <c r="A4766" s="1" t="s">
        <v>11298</v>
      </c>
      <c r="B4766" s="2" t="s">
        <v>11299</v>
      </c>
      <c r="C4766" s="1" t="s">
        <v>1716</v>
      </c>
      <c r="D4766" s="1" t="s">
        <v>1718</v>
      </c>
    </row>
    <row r="4767">
      <c r="A4767" s="1" t="s">
        <v>11300</v>
      </c>
      <c r="B4767" s="2" t="s">
        <v>10356</v>
      </c>
      <c r="C4767" s="1" t="s">
        <v>1716</v>
      </c>
      <c r="D4767" s="1" t="s">
        <v>1718</v>
      </c>
    </row>
    <row r="4768">
      <c r="A4768" s="1" t="s">
        <v>11301</v>
      </c>
      <c r="B4768" s="2" t="s">
        <v>11302</v>
      </c>
      <c r="C4768" s="1" t="s">
        <v>1716</v>
      </c>
      <c r="D4768" s="1" t="s">
        <v>1718</v>
      </c>
    </row>
    <row r="4769">
      <c r="A4769" s="1" t="s">
        <v>11303</v>
      </c>
      <c r="B4769" s="2" t="s">
        <v>11304</v>
      </c>
      <c r="C4769" s="1" t="s">
        <v>1716</v>
      </c>
      <c r="D4769" s="1" t="s">
        <v>1718</v>
      </c>
    </row>
    <row r="4770">
      <c r="A4770" s="1" t="s">
        <v>11305</v>
      </c>
      <c r="B4770" s="2" t="s">
        <v>11306</v>
      </c>
      <c r="C4770" s="1" t="s">
        <v>1716</v>
      </c>
      <c r="D4770" s="1" t="s">
        <v>1718</v>
      </c>
    </row>
    <row r="4771">
      <c r="A4771" s="1" t="s">
        <v>11307</v>
      </c>
      <c r="B4771" s="2" t="s">
        <v>10881</v>
      </c>
      <c r="C4771" s="1" t="s">
        <v>1716</v>
      </c>
      <c r="D4771" s="1" t="s">
        <v>1718</v>
      </c>
    </row>
    <row r="4772">
      <c r="A4772" s="1" t="s">
        <v>11308</v>
      </c>
      <c r="B4772" s="2" t="s">
        <v>11309</v>
      </c>
      <c r="C4772" s="1" t="s">
        <v>1716</v>
      </c>
      <c r="D4772" s="1" t="s">
        <v>1718</v>
      </c>
    </row>
    <row r="4773">
      <c r="A4773" s="1" t="s">
        <v>11310</v>
      </c>
      <c r="B4773" s="2" t="s">
        <v>11311</v>
      </c>
      <c r="C4773" s="1" t="s">
        <v>1716</v>
      </c>
      <c r="D4773" s="1" t="s">
        <v>1718</v>
      </c>
    </row>
    <row r="4774">
      <c r="A4774" s="1" t="s">
        <v>11312</v>
      </c>
      <c r="B4774" s="2" t="s">
        <v>11313</v>
      </c>
      <c r="C4774" s="1" t="s">
        <v>1716</v>
      </c>
      <c r="D4774" s="1" t="s">
        <v>1718</v>
      </c>
    </row>
    <row r="4775">
      <c r="A4775" s="1" t="s">
        <v>11314</v>
      </c>
      <c r="B4775" s="2" t="s">
        <v>10897</v>
      </c>
      <c r="C4775" s="1" t="s">
        <v>1716</v>
      </c>
      <c r="D4775" s="1" t="s">
        <v>1718</v>
      </c>
    </row>
    <row r="4776">
      <c r="A4776" s="1" t="s">
        <v>11315</v>
      </c>
      <c r="B4776" s="2" t="s">
        <v>11316</v>
      </c>
      <c r="C4776" s="1" t="s">
        <v>1716</v>
      </c>
      <c r="D4776" s="1" t="s">
        <v>1718</v>
      </c>
    </row>
    <row r="4777">
      <c r="A4777" s="1" t="s">
        <v>11317</v>
      </c>
      <c r="B4777" s="2" t="s">
        <v>11318</v>
      </c>
      <c r="C4777" s="1" t="s">
        <v>1716</v>
      </c>
      <c r="D4777" s="1" t="s">
        <v>1718</v>
      </c>
    </row>
    <row r="4778">
      <c r="A4778" s="1" t="s">
        <v>11319</v>
      </c>
      <c r="B4778" s="2" t="s">
        <v>11320</v>
      </c>
      <c r="C4778" s="1" t="s">
        <v>1716</v>
      </c>
      <c r="D4778" s="1" t="s">
        <v>1718</v>
      </c>
    </row>
    <row r="4779">
      <c r="A4779" s="1" t="s">
        <v>11321</v>
      </c>
      <c r="B4779" s="2" t="s">
        <v>10374</v>
      </c>
      <c r="C4779" s="1" t="s">
        <v>1716</v>
      </c>
      <c r="D4779" s="1" t="s">
        <v>1718</v>
      </c>
    </row>
    <row r="4780">
      <c r="A4780" s="1" t="s">
        <v>11322</v>
      </c>
      <c r="B4780" s="2" t="s">
        <v>11323</v>
      </c>
      <c r="C4780" s="1" t="s">
        <v>1716</v>
      </c>
      <c r="D4780" s="1" t="s">
        <v>1718</v>
      </c>
    </row>
    <row r="4781">
      <c r="A4781" s="1" t="s">
        <v>11324</v>
      </c>
      <c r="B4781" s="2" t="s">
        <v>11325</v>
      </c>
      <c r="C4781" s="1" t="s">
        <v>1716</v>
      </c>
      <c r="D4781" s="1" t="s">
        <v>1718</v>
      </c>
    </row>
    <row r="4782">
      <c r="A4782" s="1" t="s">
        <v>11326</v>
      </c>
      <c r="B4782" s="2" t="s">
        <v>11327</v>
      </c>
      <c r="C4782" s="1" t="s">
        <v>1716</v>
      </c>
      <c r="D4782" s="1" t="s">
        <v>1718</v>
      </c>
    </row>
    <row r="4783">
      <c r="A4783" s="1" t="s">
        <v>1724</v>
      </c>
      <c r="B4783" s="2" t="s">
        <v>7</v>
      </c>
      <c r="C4783" s="1" t="s">
        <v>1725</v>
      </c>
      <c r="D4783" s="1" t="s">
        <v>1727</v>
      </c>
    </row>
    <row r="4784">
      <c r="A4784" s="1" t="s">
        <v>11328</v>
      </c>
      <c r="B4784" s="2" t="s">
        <v>11329</v>
      </c>
      <c r="C4784" s="1" t="s">
        <v>1725</v>
      </c>
      <c r="D4784" s="1" t="s">
        <v>1727</v>
      </c>
    </row>
    <row r="4785">
      <c r="A4785" s="1" t="s">
        <v>11330</v>
      </c>
      <c r="B4785" s="2" t="s">
        <v>11331</v>
      </c>
      <c r="C4785" s="1" t="s">
        <v>1725</v>
      </c>
      <c r="D4785" s="1" t="s">
        <v>1727</v>
      </c>
    </row>
    <row r="4786">
      <c r="A4786" s="1" t="s">
        <v>11332</v>
      </c>
      <c r="B4786" s="2" t="s">
        <v>11333</v>
      </c>
      <c r="C4786" s="1" t="s">
        <v>1725</v>
      </c>
      <c r="D4786" s="1" t="s">
        <v>1727</v>
      </c>
    </row>
    <row r="4787">
      <c r="A4787" s="1" t="s">
        <v>11334</v>
      </c>
      <c r="B4787" s="2" t="s">
        <v>11335</v>
      </c>
      <c r="C4787" s="1" t="s">
        <v>1725</v>
      </c>
      <c r="D4787" s="1" t="s">
        <v>1727</v>
      </c>
    </row>
    <row r="4788">
      <c r="A4788" s="1" t="s">
        <v>11336</v>
      </c>
      <c r="B4788" s="2" t="s">
        <v>11337</v>
      </c>
      <c r="C4788" s="1" t="s">
        <v>1725</v>
      </c>
      <c r="D4788" s="1" t="s">
        <v>1727</v>
      </c>
    </row>
    <row r="4789">
      <c r="A4789" s="1" t="s">
        <v>11338</v>
      </c>
      <c r="B4789" s="2" t="s">
        <v>11339</v>
      </c>
      <c r="C4789" s="1" t="s">
        <v>1725</v>
      </c>
      <c r="D4789" s="1" t="s">
        <v>1727</v>
      </c>
    </row>
    <row r="4790">
      <c r="A4790" s="1" t="s">
        <v>11340</v>
      </c>
      <c r="B4790" s="2" t="s">
        <v>10834</v>
      </c>
      <c r="C4790" s="1" t="s">
        <v>1725</v>
      </c>
      <c r="D4790" s="1" t="s">
        <v>1727</v>
      </c>
    </row>
    <row r="4791">
      <c r="A4791" s="1" t="s">
        <v>11341</v>
      </c>
      <c r="B4791" s="2" t="s">
        <v>11342</v>
      </c>
      <c r="C4791" s="1" t="s">
        <v>1725</v>
      </c>
      <c r="D4791" s="1" t="s">
        <v>1727</v>
      </c>
    </row>
    <row r="4792">
      <c r="A4792" s="1" t="s">
        <v>11343</v>
      </c>
      <c r="B4792" s="2" t="s">
        <v>11344</v>
      </c>
      <c r="C4792" s="1" t="s">
        <v>1725</v>
      </c>
      <c r="D4792" s="1" t="s">
        <v>1727</v>
      </c>
    </row>
    <row r="4793">
      <c r="A4793" s="1" t="s">
        <v>11345</v>
      </c>
      <c r="B4793" s="2" t="s">
        <v>11346</v>
      </c>
      <c r="C4793" s="1" t="s">
        <v>1725</v>
      </c>
      <c r="D4793" s="1" t="s">
        <v>1727</v>
      </c>
    </row>
    <row r="4794">
      <c r="A4794" s="1" t="s">
        <v>11347</v>
      </c>
      <c r="B4794" s="2" t="s">
        <v>11348</v>
      </c>
      <c r="C4794" s="1" t="s">
        <v>1725</v>
      </c>
      <c r="D4794" s="1" t="s">
        <v>1727</v>
      </c>
    </row>
    <row r="4795">
      <c r="A4795" s="1" t="s">
        <v>11349</v>
      </c>
      <c r="B4795" s="2" t="s">
        <v>11350</v>
      </c>
      <c r="C4795" s="1" t="s">
        <v>1725</v>
      </c>
      <c r="D4795" s="1" t="s">
        <v>1727</v>
      </c>
    </row>
    <row r="4796">
      <c r="A4796" s="1" t="s">
        <v>11351</v>
      </c>
      <c r="B4796" s="2" t="s">
        <v>11352</v>
      </c>
      <c r="C4796" s="1" t="s">
        <v>1725</v>
      </c>
      <c r="D4796" s="1" t="s">
        <v>1727</v>
      </c>
    </row>
    <row r="4797">
      <c r="A4797" s="1" t="s">
        <v>11353</v>
      </c>
      <c r="B4797" s="2" t="s">
        <v>10850</v>
      </c>
      <c r="C4797" s="1" t="s">
        <v>1725</v>
      </c>
      <c r="D4797" s="1" t="s">
        <v>1727</v>
      </c>
    </row>
    <row r="4798">
      <c r="A4798" s="1" t="s">
        <v>11354</v>
      </c>
      <c r="B4798" s="2" t="s">
        <v>11355</v>
      </c>
      <c r="C4798" s="1" t="s">
        <v>1725</v>
      </c>
      <c r="D4798" s="1" t="s">
        <v>1727</v>
      </c>
    </row>
    <row r="4799">
      <c r="A4799" s="1" t="s">
        <v>11356</v>
      </c>
      <c r="B4799" s="2" t="s">
        <v>11357</v>
      </c>
      <c r="C4799" s="1" t="s">
        <v>1725</v>
      </c>
      <c r="D4799" s="1" t="s">
        <v>1727</v>
      </c>
    </row>
    <row r="4800">
      <c r="A4800" s="1" t="s">
        <v>11358</v>
      </c>
      <c r="B4800" s="2" t="s">
        <v>11359</v>
      </c>
      <c r="C4800" s="1" t="s">
        <v>1725</v>
      </c>
      <c r="D4800" s="1" t="s">
        <v>1727</v>
      </c>
    </row>
    <row r="4801">
      <c r="A4801" s="1" t="s">
        <v>11360</v>
      </c>
      <c r="B4801" s="2" t="s">
        <v>11361</v>
      </c>
      <c r="C4801" s="1" t="s">
        <v>1725</v>
      </c>
      <c r="D4801" s="1" t="s">
        <v>1727</v>
      </c>
    </row>
    <row r="4802">
      <c r="A4802" s="1" t="s">
        <v>11362</v>
      </c>
      <c r="B4802" s="2" t="s">
        <v>11363</v>
      </c>
      <c r="C4802" s="1" t="s">
        <v>1725</v>
      </c>
      <c r="D4802" s="1" t="s">
        <v>1727</v>
      </c>
    </row>
    <row r="4803">
      <c r="A4803" s="1" t="s">
        <v>11364</v>
      </c>
      <c r="B4803" s="2" t="s">
        <v>11365</v>
      </c>
      <c r="C4803" s="1" t="s">
        <v>1725</v>
      </c>
      <c r="D4803" s="1" t="s">
        <v>1727</v>
      </c>
    </row>
    <row r="4804">
      <c r="A4804" s="1" t="s">
        <v>11366</v>
      </c>
      <c r="B4804" s="2" t="s">
        <v>10356</v>
      </c>
      <c r="C4804" s="1" t="s">
        <v>1725</v>
      </c>
      <c r="D4804" s="1" t="s">
        <v>1727</v>
      </c>
    </row>
    <row r="4805">
      <c r="A4805" s="1" t="s">
        <v>11367</v>
      </c>
      <c r="B4805" s="2" t="s">
        <v>11368</v>
      </c>
      <c r="C4805" s="1" t="s">
        <v>1725</v>
      </c>
      <c r="D4805" s="1" t="s">
        <v>1727</v>
      </c>
    </row>
    <row r="4806">
      <c r="A4806" s="1" t="s">
        <v>11369</v>
      </c>
      <c r="B4806" s="2" t="s">
        <v>11370</v>
      </c>
      <c r="C4806" s="1" t="s">
        <v>1725</v>
      </c>
      <c r="D4806" s="1" t="s">
        <v>1727</v>
      </c>
    </row>
    <row r="4807">
      <c r="A4807" s="1" t="s">
        <v>11371</v>
      </c>
      <c r="B4807" s="2" t="s">
        <v>11372</v>
      </c>
      <c r="C4807" s="1" t="s">
        <v>1725</v>
      </c>
      <c r="D4807" s="1" t="s">
        <v>1727</v>
      </c>
    </row>
    <row r="4808">
      <c r="A4808" s="1" t="s">
        <v>11373</v>
      </c>
      <c r="B4808" s="2" t="s">
        <v>11374</v>
      </c>
      <c r="C4808" s="1" t="s">
        <v>1725</v>
      </c>
      <c r="D4808" s="1" t="s">
        <v>1727</v>
      </c>
    </row>
    <row r="4809">
      <c r="A4809" s="1" t="s">
        <v>11375</v>
      </c>
      <c r="B4809" s="2" t="s">
        <v>11376</v>
      </c>
      <c r="C4809" s="1" t="s">
        <v>1725</v>
      </c>
      <c r="D4809" s="1" t="s">
        <v>1727</v>
      </c>
    </row>
    <row r="4810">
      <c r="A4810" s="1" t="s">
        <v>11377</v>
      </c>
      <c r="B4810" s="2" t="s">
        <v>11378</v>
      </c>
      <c r="C4810" s="1" t="s">
        <v>1725</v>
      </c>
      <c r="D4810" s="1" t="s">
        <v>1727</v>
      </c>
    </row>
    <row r="4811">
      <c r="A4811" s="1" t="s">
        <v>11379</v>
      </c>
      <c r="B4811" s="2" t="s">
        <v>10881</v>
      </c>
      <c r="C4811" s="1" t="s">
        <v>1725</v>
      </c>
      <c r="D4811" s="1" t="s">
        <v>1727</v>
      </c>
    </row>
    <row r="4812">
      <c r="A4812" s="1" t="s">
        <v>11380</v>
      </c>
      <c r="B4812" s="2" t="s">
        <v>11381</v>
      </c>
      <c r="C4812" s="1" t="s">
        <v>1725</v>
      </c>
      <c r="D4812" s="1" t="s">
        <v>1727</v>
      </c>
    </row>
    <row r="4813">
      <c r="A4813" s="1" t="s">
        <v>11382</v>
      </c>
      <c r="B4813" s="2" t="s">
        <v>11383</v>
      </c>
      <c r="C4813" s="1" t="s">
        <v>1725</v>
      </c>
      <c r="D4813" s="1" t="s">
        <v>1727</v>
      </c>
    </row>
    <row r="4814">
      <c r="A4814" s="1" t="s">
        <v>11384</v>
      </c>
      <c r="B4814" s="2" t="s">
        <v>11385</v>
      </c>
      <c r="C4814" s="1" t="s">
        <v>1725</v>
      </c>
      <c r="D4814" s="1" t="s">
        <v>1727</v>
      </c>
    </row>
    <row r="4815">
      <c r="A4815" s="1" t="s">
        <v>11386</v>
      </c>
      <c r="B4815" s="2" t="s">
        <v>11387</v>
      </c>
      <c r="C4815" s="1" t="s">
        <v>1725</v>
      </c>
      <c r="D4815" s="1" t="s">
        <v>1727</v>
      </c>
    </row>
    <row r="4816">
      <c r="A4816" s="1" t="s">
        <v>11388</v>
      </c>
      <c r="B4816" s="2" t="s">
        <v>11389</v>
      </c>
      <c r="C4816" s="1" t="s">
        <v>1725</v>
      </c>
      <c r="D4816" s="1" t="s">
        <v>1727</v>
      </c>
    </row>
    <row r="4817">
      <c r="A4817" s="1" t="s">
        <v>11390</v>
      </c>
      <c r="B4817" s="2" t="s">
        <v>11391</v>
      </c>
      <c r="C4817" s="1" t="s">
        <v>1725</v>
      </c>
      <c r="D4817" s="1" t="s">
        <v>1727</v>
      </c>
    </row>
    <row r="4818">
      <c r="A4818" s="1" t="s">
        <v>11392</v>
      </c>
      <c r="B4818" s="2" t="s">
        <v>10897</v>
      </c>
      <c r="C4818" s="1" t="s">
        <v>1725</v>
      </c>
      <c r="D4818" s="1" t="s">
        <v>1727</v>
      </c>
    </row>
    <row r="4819">
      <c r="A4819" s="1" t="s">
        <v>11393</v>
      </c>
      <c r="B4819" s="2" t="s">
        <v>11394</v>
      </c>
      <c r="C4819" s="1" t="s">
        <v>1725</v>
      </c>
      <c r="D4819" s="1" t="s">
        <v>1727</v>
      </c>
    </row>
    <row r="4820">
      <c r="A4820" s="1" t="s">
        <v>11395</v>
      </c>
      <c r="B4820" s="2" t="s">
        <v>11396</v>
      </c>
      <c r="C4820" s="1" t="s">
        <v>1725</v>
      </c>
      <c r="D4820" s="1" t="s">
        <v>1727</v>
      </c>
    </row>
    <row r="4821">
      <c r="A4821" s="1" t="s">
        <v>11397</v>
      </c>
      <c r="B4821" s="2" t="s">
        <v>11398</v>
      </c>
      <c r="C4821" s="1" t="s">
        <v>1725</v>
      </c>
      <c r="D4821" s="1" t="s">
        <v>1727</v>
      </c>
    </row>
    <row r="4822">
      <c r="A4822" s="1" t="s">
        <v>11399</v>
      </c>
      <c r="B4822" s="2" t="s">
        <v>11400</v>
      </c>
      <c r="C4822" s="1" t="s">
        <v>1725</v>
      </c>
      <c r="D4822" s="1" t="s">
        <v>1727</v>
      </c>
    </row>
    <row r="4823">
      <c r="A4823" s="1" t="s">
        <v>11401</v>
      </c>
      <c r="B4823" s="2" t="s">
        <v>11402</v>
      </c>
      <c r="C4823" s="1" t="s">
        <v>1725</v>
      </c>
      <c r="D4823" s="1" t="s">
        <v>1727</v>
      </c>
    </row>
    <row r="4824">
      <c r="A4824" s="1" t="s">
        <v>11403</v>
      </c>
      <c r="B4824" s="2" t="s">
        <v>11404</v>
      </c>
      <c r="C4824" s="1" t="s">
        <v>1725</v>
      </c>
      <c r="D4824" s="1" t="s">
        <v>1727</v>
      </c>
    </row>
    <row r="4825">
      <c r="A4825" s="1" t="s">
        <v>11405</v>
      </c>
      <c r="B4825" s="2" t="s">
        <v>11047</v>
      </c>
      <c r="C4825" s="1" t="s">
        <v>1725</v>
      </c>
      <c r="D4825" s="1" t="s">
        <v>1727</v>
      </c>
    </row>
    <row r="4826">
      <c r="A4826" s="1" t="s">
        <v>11406</v>
      </c>
      <c r="B4826" s="2" t="s">
        <v>11407</v>
      </c>
      <c r="C4826" s="1" t="s">
        <v>1725</v>
      </c>
      <c r="D4826" s="1" t="s">
        <v>1727</v>
      </c>
    </row>
    <row r="4827">
      <c r="A4827" s="1" t="s">
        <v>11408</v>
      </c>
      <c r="B4827" s="2" t="s">
        <v>11409</v>
      </c>
      <c r="C4827" s="1" t="s">
        <v>1725</v>
      </c>
      <c r="D4827" s="1" t="s">
        <v>1727</v>
      </c>
    </row>
    <row r="4828">
      <c r="A4828" s="1" t="s">
        <v>11410</v>
      </c>
      <c r="B4828" s="2" t="s">
        <v>11411</v>
      </c>
      <c r="C4828" s="1" t="s">
        <v>1725</v>
      </c>
      <c r="D4828" s="1" t="s">
        <v>1727</v>
      </c>
    </row>
    <row r="4829">
      <c r="A4829" s="1" t="s">
        <v>11412</v>
      </c>
      <c r="B4829" s="2" t="s">
        <v>11413</v>
      </c>
      <c r="C4829" s="1" t="s">
        <v>1725</v>
      </c>
      <c r="D4829" s="1" t="s">
        <v>1727</v>
      </c>
    </row>
    <row r="4830">
      <c r="A4830" s="1" t="s">
        <v>11414</v>
      </c>
      <c r="B4830" s="2" t="s">
        <v>11415</v>
      </c>
      <c r="C4830" s="1" t="s">
        <v>1725</v>
      </c>
      <c r="D4830" s="1" t="s">
        <v>1727</v>
      </c>
    </row>
    <row r="4831">
      <c r="A4831" s="1" t="s">
        <v>11416</v>
      </c>
      <c r="B4831" s="2" t="s">
        <v>11417</v>
      </c>
      <c r="C4831" s="1" t="s">
        <v>1725</v>
      </c>
      <c r="D4831" s="1" t="s">
        <v>1727</v>
      </c>
    </row>
    <row r="4832">
      <c r="A4832" s="1" t="s">
        <v>1733</v>
      </c>
      <c r="B4832" s="2" t="s">
        <v>7</v>
      </c>
      <c r="C4832" s="1" t="s">
        <v>1734</v>
      </c>
      <c r="D4832" s="1" t="s">
        <v>1736</v>
      </c>
    </row>
    <row r="4833">
      <c r="A4833" s="1" t="s">
        <v>11418</v>
      </c>
      <c r="B4833" s="2" t="s">
        <v>11419</v>
      </c>
      <c r="C4833" s="1" t="s">
        <v>1734</v>
      </c>
      <c r="D4833" s="1" t="s">
        <v>1736</v>
      </c>
    </row>
    <row r="4834">
      <c r="A4834" s="1" t="s">
        <v>11420</v>
      </c>
      <c r="B4834" s="2" t="s">
        <v>11421</v>
      </c>
      <c r="C4834" s="1" t="s">
        <v>1734</v>
      </c>
      <c r="D4834" s="1" t="s">
        <v>1736</v>
      </c>
    </row>
    <row r="4835">
      <c r="A4835" s="1" t="s">
        <v>11422</v>
      </c>
      <c r="B4835" s="2" t="s">
        <v>11423</v>
      </c>
      <c r="C4835" s="1" t="s">
        <v>1734</v>
      </c>
      <c r="D4835" s="1" t="s">
        <v>1736</v>
      </c>
    </row>
    <row r="4836">
      <c r="A4836" s="1" t="s">
        <v>11424</v>
      </c>
      <c r="B4836" s="2" t="s">
        <v>11425</v>
      </c>
      <c r="C4836" s="1" t="s">
        <v>1734</v>
      </c>
      <c r="D4836" s="1" t="s">
        <v>1736</v>
      </c>
    </row>
    <row r="4837">
      <c r="A4837" s="1" t="s">
        <v>11426</v>
      </c>
      <c r="B4837" s="2" t="s">
        <v>11427</v>
      </c>
      <c r="C4837" s="1" t="s">
        <v>1734</v>
      </c>
      <c r="D4837" s="1" t="s">
        <v>1736</v>
      </c>
    </row>
    <row r="4838">
      <c r="A4838" s="1" t="s">
        <v>11428</v>
      </c>
      <c r="B4838" s="2" t="s">
        <v>11429</v>
      </c>
      <c r="C4838" s="1" t="s">
        <v>1734</v>
      </c>
      <c r="D4838" s="1" t="s">
        <v>1736</v>
      </c>
    </row>
    <row r="4839">
      <c r="A4839" s="1" t="s">
        <v>11430</v>
      </c>
      <c r="B4839" s="2" t="s">
        <v>11431</v>
      </c>
      <c r="C4839" s="1" t="s">
        <v>1734</v>
      </c>
      <c r="D4839" s="1" t="s">
        <v>1736</v>
      </c>
    </row>
    <row r="4840">
      <c r="A4840" s="1" t="s">
        <v>11432</v>
      </c>
      <c r="B4840" s="2" t="s">
        <v>11433</v>
      </c>
      <c r="C4840" s="1" t="s">
        <v>1734</v>
      </c>
      <c r="D4840" s="1" t="s">
        <v>1736</v>
      </c>
    </row>
    <row r="4841">
      <c r="A4841" s="1" t="s">
        <v>11434</v>
      </c>
      <c r="B4841" s="2" t="s">
        <v>11435</v>
      </c>
      <c r="C4841" s="1" t="s">
        <v>1734</v>
      </c>
      <c r="D4841" s="1" t="s">
        <v>1736</v>
      </c>
    </row>
    <row r="4842">
      <c r="A4842" s="1" t="s">
        <v>11436</v>
      </c>
      <c r="B4842" s="2" t="s">
        <v>11437</v>
      </c>
      <c r="C4842" s="1" t="s">
        <v>1734</v>
      </c>
      <c r="D4842" s="1" t="s">
        <v>1736</v>
      </c>
    </row>
    <row r="4843">
      <c r="A4843" s="1" t="s">
        <v>11438</v>
      </c>
      <c r="B4843" s="2" t="s">
        <v>11439</v>
      </c>
      <c r="C4843" s="1" t="s">
        <v>1734</v>
      </c>
      <c r="D4843" s="1" t="s">
        <v>1736</v>
      </c>
    </row>
    <row r="4844">
      <c r="A4844" s="1" t="s">
        <v>11440</v>
      </c>
      <c r="B4844" s="2" t="s">
        <v>11441</v>
      </c>
      <c r="C4844" s="1" t="s">
        <v>1734</v>
      </c>
      <c r="D4844" s="1" t="s">
        <v>1736</v>
      </c>
    </row>
    <row r="4845">
      <c r="A4845" s="1" t="s">
        <v>11442</v>
      </c>
      <c r="B4845" s="2" t="s">
        <v>11443</v>
      </c>
      <c r="C4845" s="1" t="s">
        <v>1734</v>
      </c>
      <c r="D4845" s="1" t="s">
        <v>1736</v>
      </c>
    </row>
    <row r="4846">
      <c r="A4846" s="1" t="s">
        <v>11444</v>
      </c>
      <c r="B4846" s="2" t="s">
        <v>11445</v>
      </c>
      <c r="C4846" s="1" t="s">
        <v>1734</v>
      </c>
      <c r="D4846" s="1" t="s">
        <v>1736</v>
      </c>
    </row>
    <row r="4847">
      <c r="A4847" s="1" t="s">
        <v>11446</v>
      </c>
      <c r="B4847" s="2" t="s">
        <v>10834</v>
      </c>
      <c r="C4847" s="1" t="s">
        <v>1734</v>
      </c>
      <c r="D4847" s="1" t="s">
        <v>1736</v>
      </c>
    </row>
    <row r="4848">
      <c r="A4848" s="1" t="s">
        <v>11447</v>
      </c>
      <c r="B4848" s="2" t="s">
        <v>11448</v>
      </c>
      <c r="C4848" s="1" t="s">
        <v>1734</v>
      </c>
      <c r="D4848" s="1" t="s">
        <v>1736</v>
      </c>
    </row>
    <row r="4849">
      <c r="A4849" s="1" t="s">
        <v>11449</v>
      </c>
      <c r="B4849" s="2" t="s">
        <v>11450</v>
      </c>
      <c r="C4849" s="1" t="s">
        <v>1734</v>
      </c>
      <c r="D4849" s="1" t="s">
        <v>1736</v>
      </c>
    </row>
    <row r="4850">
      <c r="A4850" s="1" t="s">
        <v>11451</v>
      </c>
      <c r="B4850" s="2" t="s">
        <v>11452</v>
      </c>
      <c r="C4850" s="1" t="s">
        <v>1734</v>
      </c>
      <c r="D4850" s="1" t="s">
        <v>1736</v>
      </c>
    </row>
    <row r="4851">
      <c r="A4851" s="1" t="s">
        <v>11453</v>
      </c>
      <c r="B4851" s="2" t="s">
        <v>11454</v>
      </c>
      <c r="C4851" s="1" t="s">
        <v>1734</v>
      </c>
      <c r="D4851" s="1" t="s">
        <v>1736</v>
      </c>
    </row>
    <row r="4852">
      <c r="A4852" s="1" t="s">
        <v>11455</v>
      </c>
      <c r="B4852" s="2" t="s">
        <v>11456</v>
      </c>
      <c r="C4852" s="1" t="s">
        <v>1734</v>
      </c>
      <c r="D4852" s="1" t="s">
        <v>1736</v>
      </c>
    </row>
    <row r="4853">
      <c r="A4853" s="1" t="s">
        <v>11457</v>
      </c>
      <c r="B4853" s="2" t="s">
        <v>11458</v>
      </c>
      <c r="C4853" s="1" t="s">
        <v>1734</v>
      </c>
      <c r="D4853" s="1" t="s">
        <v>1736</v>
      </c>
    </row>
    <row r="4854">
      <c r="A4854" s="1" t="s">
        <v>11459</v>
      </c>
      <c r="B4854" s="2" t="s">
        <v>11460</v>
      </c>
      <c r="C4854" s="1" t="s">
        <v>1734</v>
      </c>
      <c r="D4854" s="1" t="s">
        <v>1736</v>
      </c>
    </row>
    <row r="4855">
      <c r="A4855" s="1" t="s">
        <v>11461</v>
      </c>
      <c r="B4855" s="2" t="s">
        <v>11462</v>
      </c>
      <c r="C4855" s="1" t="s">
        <v>1734</v>
      </c>
      <c r="D4855" s="1" t="s">
        <v>1736</v>
      </c>
    </row>
    <row r="4856">
      <c r="A4856" s="1" t="s">
        <v>11463</v>
      </c>
      <c r="B4856" s="2" t="s">
        <v>11464</v>
      </c>
      <c r="C4856" s="1" t="s">
        <v>1734</v>
      </c>
      <c r="D4856" s="1" t="s">
        <v>1736</v>
      </c>
    </row>
    <row r="4857">
      <c r="A4857" s="1" t="s">
        <v>11465</v>
      </c>
      <c r="B4857" s="2" t="s">
        <v>11466</v>
      </c>
      <c r="C4857" s="1" t="s">
        <v>1734</v>
      </c>
      <c r="D4857" s="1" t="s">
        <v>1736</v>
      </c>
    </row>
    <row r="4858">
      <c r="A4858" s="1" t="s">
        <v>11467</v>
      </c>
      <c r="B4858" s="2" t="s">
        <v>11468</v>
      </c>
      <c r="C4858" s="1" t="s">
        <v>1734</v>
      </c>
      <c r="D4858" s="1" t="s">
        <v>1736</v>
      </c>
    </row>
    <row r="4859">
      <c r="A4859" s="1" t="s">
        <v>11469</v>
      </c>
      <c r="B4859" s="2" t="s">
        <v>11470</v>
      </c>
      <c r="C4859" s="1" t="s">
        <v>1734</v>
      </c>
      <c r="D4859" s="1" t="s">
        <v>1736</v>
      </c>
    </row>
    <row r="4860">
      <c r="A4860" s="1" t="s">
        <v>11471</v>
      </c>
      <c r="B4860" s="2" t="s">
        <v>11472</v>
      </c>
      <c r="C4860" s="1" t="s">
        <v>1734</v>
      </c>
      <c r="D4860" s="1" t="s">
        <v>1736</v>
      </c>
    </row>
    <row r="4861">
      <c r="A4861" s="1" t="s">
        <v>11473</v>
      </c>
      <c r="B4861" s="2" t="s">
        <v>11474</v>
      </c>
      <c r="C4861" s="1" t="s">
        <v>1734</v>
      </c>
      <c r="D4861" s="1" t="s">
        <v>1736</v>
      </c>
    </row>
    <row r="4862">
      <c r="A4862" s="1" t="s">
        <v>11475</v>
      </c>
      <c r="B4862" s="2" t="s">
        <v>10850</v>
      </c>
      <c r="C4862" s="1" t="s">
        <v>1734</v>
      </c>
      <c r="D4862" s="1" t="s">
        <v>1736</v>
      </c>
    </row>
    <row r="4863">
      <c r="A4863" s="1" t="s">
        <v>11476</v>
      </c>
      <c r="B4863" s="2" t="s">
        <v>11477</v>
      </c>
      <c r="C4863" s="1" t="s">
        <v>1734</v>
      </c>
      <c r="D4863" s="1" t="s">
        <v>1736</v>
      </c>
    </row>
    <row r="4864">
      <c r="A4864" s="1" t="s">
        <v>11478</v>
      </c>
      <c r="B4864" s="2" t="s">
        <v>11479</v>
      </c>
      <c r="C4864" s="1" t="s">
        <v>1734</v>
      </c>
      <c r="D4864" s="1" t="s">
        <v>1736</v>
      </c>
    </row>
    <row r="4865">
      <c r="A4865" s="1" t="s">
        <v>11480</v>
      </c>
      <c r="B4865" s="2" t="s">
        <v>11481</v>
      </c>
      <c r="C4865" s="1" t="s">
        <v>1734</v>
      </c>
      <c r="D4865" s="1" t="s">
        <v>1736</v>
      </c>
    </row>
    <row r="4866">
      <c r="A4866" s="1" t="s">
        <v>11482</v>
      </c>
      <c r="B4866" s="2" t="s">
        <v>11483</v>
      </c>
      <c r="C4866" s="1" t="s">
        <v>1734</v>
      </c>
      <c r="D4866" s="1" t="s">
        <v>1736</v>
      </c>
    </row>
    <row r="4867">
      <c r="A4867" s="1" t="s">
        <v>11484</v>
      </c>
      <c r="B4867" s="2" t="s">
        <v>11485</v>
      </c>
      <c r="C4867" s="1" t="s">
        <v>1734</v>
      </c>
      <c r="D4867" s="1" t="s">
        <v>1736</v>
      </c>
    </row>
    <row r="4868">
      <c r="A4868" s="1" t="s">
        <v>11486</v>
      </c>
      <c r="B4868" s="2" t="s">
        <v>11487</v>
      </c>
      <c r="C4868" s="1" t="s">
        <v>1734</v>
      </c>
      <c r="D4868" s="1" t="s">
        <v>1736</v>
      </c>
    </row>
    <row r="4869">
      <c r="A4869" s="1" t="s">
        <v>11488</v>
      </c>
      <c r="B4869" s="2" t="s">
        <v>11489</v>
      </c>
      <c r="C4869" s="1" t="s">
        <v>1734</v>
      </c>
      <c r="D4869" s="1" t="s">
        <v>1736</v>
      </c>
    </row>
    <row r="4870">
      <c r="A4870" s="1" t="s">
        <v>11490</v>
      </c>
      <c r="B4870" s="2" t="s">
        <v>11491</v>
      </c>
      <c r="C4870" s="1" t="s">
        <v>1734</v>
      </c>
      <c r="D4870" s="1" t="s">
        <v>1736</v>
      </c>
    </row>
    <row r="4871">
      <c r="A4871" s="1" t="s">
        <v>11492</v>
      </c>
      <c r="B4871" s="2" t="s">
        <v>11493</v>
      </c>
      <c r="C4871" s="1" t="s">
        <v>1734</v>
      </c>
      <c r="D4871" s="1" t="s">
        <v>1736</v>
      </c>
    </row>
    <row r="4872">
      <c r="A4872" s="1" t="s">
        <v>11494</v>
      </c>
      <c r="B4872" s="2" t="s">
        <v>11495</v>
      </c>
      <c r="C4872" s="1" t="s">
        <v>1734</v>
      </c>
      <c r="D4872" s="1" t="s">
        <v>1736</v>
      </c>
    </row>
    <row r="4873">
      <c r="A4873" s="1" t="s">
        <v>11496</v>
      </c>
      <c r="B4873" s="2" t="s">
        <v>11497</v>
      </c>
      <c r="C4873" s="1" t="s">
        <v>1734</v>
      </c>
      <c r="D4873" s="1" t="s">
        <v>1736</v>
      </c>
    </row>
    <row r="4874">
      <c r="A4874" s="1" t="s">
        <v>11498</v>
      </c>
      <c r="B4874" s="2" t="s">
        <v>11499</v>
      </c>
      <c r="C4874" s="1" t="s">
        <v>1734</v>
      </c>
      <c r="D4874" s="1" t="s">
        <v>1736</v>
      </c>
    </row>
    <row r="4875">
      <c r="A4875" s="1" t="s">
        <v>11500</v>
      </c>
      <c r="B4875" s="2" t="s">
        <v>11501</v>
      </c>
      <c r="C4875" s="1" t="s">
        <v>1734</v>
      </c>
      <c r="D4875" s="1" t="s">
        <v>1736</v>
      </c>
    </row>
    <row r="4876">
      <c r="A4876" s="1" t="s">
        <v>11502</v>
      </c>
      <c r="B4876" s="2" t="s">
        <v>11503</v>
      </c>
      <c r="C4876" s="1" t="s">
        <v>1734</v>
      </c>
      <c r="D4876" s="1" t="s">
        <v>1736</v>
      </c>
    </row>
    <row r="4877">
      <c r="A4877" s="1" t="s">
        <v>11504</v>
      </c>
      <c r="B4877" s="2" t="s">
        <v>10356</v>
      </c>
      <c r="C4877" s="1" t="s">
        <v>1734</v>
      </c>
      <c r="D4877" s="1" t="s">
        <v>1736</v>
      </c>
    </row>
    <row r="4878">
      <c r="A4878" s="1" t="s">
        <v>11505</v>
      </c>
      <c r="B4878" s="2" t="s">
        <v>11506</v>
      </c>
      <c r="C4878" s="1" t="s">
        <v>1734</v>
      </c>
      <c r="D4878" s="1" t="s">
        <v>1736</v>
      </c>
    </row>
    <row r="4879">
      <c r="A4879" s="1" t="s">
        <v>11507</v>
      </c>
      <c r="B4879" s="2" t="s">
        <v>11508</v>
      </c>
      <c r="C4879" s="1" t="s">
        <v>1734</v>
      </c>
      <c r="D4879" s="1" t="s">
        <v>1736</v>
      </c>
    </row>
    <row r="4880">
      <c r="A4880" s="1" t="s">
        <v>11509</v>
      </c>
      <c r="B4880" s="2" t="s">
        <v>11510</v>
      </c>
      <c r="C4880" s="1" t="s">
        <v>1734</v>
      </c>
      <c r="D4880" s="1" t="s">
        <v>1736</v>
      </c>
    </row>
    <row r="4881">
      <c r="A4881" s="1" t="s">
        <v>11511</v>
      </c>
      <c r="B4881" s="2" t="s">
        <v>11512</v>
      </c>
      <c r="C4881" s="1" t="s">
        <v>1734</v>
      </c>
      <c r="D4881" s="1" t="s">
        <v>1736</v>
      </c>
    </row>
    <row r="4882">
      <c r="A4882" s="1" t="s">
        <v>11513</v>
      </c>
      <c r="B4882" s="2" t="s">
        <v>11514</v>
      </c>
      <c r="C4882" s="1" t="s">
        <v>1734</v>
      </c>
      <c r="D4882" s="1" t="s">
        <v>1736</v>
      </c>
    </row>
    <row r="4883">
      <c r="A4883" s="1" t="s">
        <v>11515</v>
      </c>
      <c r="B4883" s="2" t="s">
        <v>11516</v>
      </c>
      <c r="C4883" s="1" t="s">
        <v>1734</v>
      </c>
      <c r="D4883" s="1" t="s">
        <v>1736</v>
      </c>
    </row>
    <row r="4884">
      <c r="A4884" s="1" t="s">
        <v>11517</v>
      </c>
      <c r="B4884" s="2" t="s">
        <v>11518</v>
      </c>
      <c r="C4884" s="1" t="s">
        <v>1734</v>
      </c>
      <c r="D4884" s="1" t="s">
        <v>1736</v>
      </c>
    </row>
    <row r="4885">
      <c r="A4885" s="1" t="s">
        <v>11519</v>
      </c>
      <c r="B4885" s="2" t="s">
        <v>11520</v>
      </c>
      <c r="C4885" s="1" t="s">
        <v>1734</v>
      </c>
      <c r="D4885" s="1" t="s">
        <v>1736</v>
      </c>
    </row>
    <row r="4886">
      <c r="A4886" s="1" t="s">
        <v>11521</v>
      </c>
      <c r="B4886" s="2" t="s">
        <v>11522</v>
      </c>
      <c r="C4886" s="1" t="s">
        <v>1734</v>
      </c>
      <c r="D4886" s="1" t="s">
        <v>1736</v>
      </c>
    </row>
    <row r="4887">
      <c r="A4887" s="1" t="s">
        <v>11523</v>
      </c>
      <c r="B4887" s="2" t="s">
        <v>11524</v>
      </c>
      <c r="C4887" s="1" t="s">
        <v>1734</v>
      </c>
      <c r="D4887" s="1" t="s">
        <v>1736</v>
      </c>
    </row>
    <row r="4888">
      <c r="A4888" s="1" t="s">
        <v>11525</v>
      </c>
      <c r="B4888" s="2" t="s">
        <v>11526</v>
      </c>
      <c r="C4888" s="1" t="s">
        <v>1734</v>
      </c>
      <c r="D4888" s="1" t="s">
        <v>1736</v>
      </c>
    </row>
    <row r="4889">
      <c r="A4889" s="1" t="s">
        <v>11527</v>
      </c>
      <c r="B4889" s="2" t="s">
        <v>11528</v>
      </c>
      <c r="C4889" s="1" t="s">
        <v>1734</v>
      </c>
      <c r="D4889" s="1" t="s">
        <v>1736</v>
      </c>
    </row>
    <row r="4890">
      <c r="A4890" s="1" t="s">
        <v>11529</v>
      </c>
      <c r="B4890" s="2" t="s">
        <v>11530</v>
      </c>
      <c r="C4890" s="1" t="s">
        <v>1734</v>
      </c>
      <c r="D4890" s="1" t="s">
        <v>1736</v>
      </c>
    </row>
    <row r="4891">
      <c r="A4891" s="1" t="s">
        <v>11531</v>
      </c>
      <c r="B4891" s="2" t="s">
        <v>11532</v>
      </c>
      <c r="C4891" s="1" t="s">
        <v>1734</v>
      </c>
      <c r="D4891" s="1" t="s">
        <v>1736</v>
      </c>
    </row>
    <row r="4892">
      <c r="A4892" s="1" t="s">
        <v>11533</v>
      </c>
      <c r="B4892" s="2" t="s">
        <v>10881</v>
      </c>
      <c r="C4892" s="1" t="s">
        <v>1734</v>
      </c>
      <c r="D4892" s="1" t="s">
        <v>1736</v>
      </c>
    </row>
    <row r="4893">
      <c r="A4893" s="1" t="s">
        <v>11534</v>
      </c>
      <c r="B4893" s="2" t="s">
        <v>11535</v>
      </c>
      <c r="C4893" s="1" t="s">
        <v>1734</v>
      </c>
      <c r="D4893" s="1" t="s">
        <v>1736</v>
      </c>
    </row>
    <row r="4894">
      <c r="A4894" s="1" t="s">
        <v>11536</v>
      </c>
      <c r="B4894" s="2" t="s">
        <v>11537</v>
      </c>
      <c r="C4894" s="1" t="s">
        <v>1734</v>
      </c>
      <c r="D4894" s="1" t="s">
        <v>1736</v>
      </c>
    </row>
    <row r="4895">
      <c r="A4895" s="1" t="s">
        <v>11538</v>
      </c>
      <c r="B4895" s="2" t="s">
        <v>11539</v>
      </c>
      <c r="C4895" s="1" t="s">
        <v>1734</v>
      </c>
      <c r="D4895" s="1" t="s">
        <v>1736</v>
      </c>
    </row>
    <row r="4896">
      <c r="A4896" s="1" t="s">
        <v>11540</v>
      </c>
      <c r="B4896" s="2" t="s">
        <v>11541</v>
      </c>
      <c r="C4896" s="1" t="s">
        <v>1734</v>
      </c>
      <c r="D4896" s="1" t="s">
        <v>1736</v>
      </c>
    </row>
    <row r="4897">
      <c r="A4897" s="1" t="s">
        <v>11542</v>
      </c>
      <c r="B4897" s="2" t="s">
        <v>11543</v>
      </c>
      <c r="C4897" s="1" t="s">
        <v>1734</v>
      </c>
      <c r="D4897" s="1" t="s">
        <v>1736</v>
      </c>
    </row>
    <row r="4898">
      <c r="A4898" s="1" t="s">
        <v>11544</v>
      </c>
      <c r="B4898" s="2" t="s">
        <v>11545</v>
      </c>
      <c r="C4898" s="1" t="s">
        <v>1734</v>
      </c>
      <c r="D4898" s="1" t="s">
        <v>1736</v>
      </c>
    </row>
    <row r="4899">
      <c r="A4899" s="1" t="s">
        <v>11546</v>
      </c>
      <c r="B4899" s="2" t="s">
        <v>11547</v>
      </c>
      <c r="C4899" s="1" t="s">
        <v>1734</v>
      </c>
      <c r="D4899" s="1" t="s">
        <v>1736</v>
      </c>
    </row>
    <row r="4900">
      <c r="A4900" s="1" t="s">
        <v>11548</v>
      </c>
      <c r="B4900" s="2" t="s">
        <v>11549</v>
      </c>
      <c r="C4900" s="1" t="s">
        <v>1734</v>
      </c>
      <c r="D4900" s="1" t="s">
        <v>1736</v>
      </c>
    </row>
    <row r="4901">
      <c r="A4901" s="1" t="s">
        <v>11550</v>
      </c>
      <c r="B4901" s="2" t="s">
        <v>11551</v>
      </c>
      <c r="C4901" s="1" t="s">
        <v>1734</v>
      </c>
      <c r="D4901" s="1" t="s">
        <v>1736</v>
      </c>
    </row>
    <row r="4902">
      <c r="A4902" s="1" t="s">
        <v>11552</v>
      </c>
      <c r="B4902" s="2" t="s">
        <v>11553</v>
      </c>
      <c r="C4902" s="1" t="s">
        <v>1734</v>
      </c>
      <c r="D4902" s="1" t="s">
        <v>1736</v>
      </c>
    </row>
    <row r="4903">
      <c r="A4903" s="1" t="s">
        <v>11554</v>
      </c>
      <c r="B4903" s="2" t="s">
        <v>11555</v>
      </c>
      <c r="C4903" s="1" t="s">
        <v>1734</v>
      </c>
      <c r="D4903" s="1" t="s">
        <v>1736</v>
      </c>
    </row>
    <row r="4904">
      <c r="A4904" s="1" t="s">
        <v>11556</v>
      </c>
      <c r="B4904" s="2" t="s">
        <v>11557</v>
      </c>
      <c r="C4904" s="1" t="s">
        <v>1734</v>
      </c>
      <c r="D4904" s="1" t="s">
        <v>1736</v>
      </c>
    </row>
    <row r="4905">
      <c r="A4905" s="1" t="s">
        <v>11558</v>
      </c>
      <c r="B4905" s="2" t="s">
        <v>11559</v>
      </c>
      <c r="C4905" s="1" t="s">
        <v>1734</v>
      </c>
      <c r="D4905" s="1" t="s">
        <v>1736</v>
      </c>
    </row>
    <row r="4906">
      <c r="A4906" s="1" t="s">
        <v>11560</v>
      </c>
      <c r="B4906" s="2" t="s">
        <v>11561</v>
      </c>
      <c r="C4906" s="1" t="s">
        <v>1734</v>
      </c>
      <c r="D4906" s="1" t="s">
        <v>1736</v>
      </c>
    </row>
    <row r="4907">
      <c r="A4907" s="1" t="s">
        <v>11562</v>
      </c>
      <c r="B4907" s="2" t="s">
        <v>10897</v>
      </c>
      <c r="C4907" s="1" t="s">
        <v>1734</v>
      </c>
      <c r="D4907" s="1" t="s">
        <v>1736</v>
      </c>
    </row>
    <row r="4908">
      <c r="A4908" s="1" t="s">
        <v>11563</v>
      </c>
      <c r="B4908" s="2" t="s">
        <v>11564</v>
      </c>
      <c r="C4908" s="1" t="s">
        <v>1734</v>
      </c>
      <c r="D4908" s="1" t="s">
        <v>1736</v>
      </c>
    </row>
    <row r="4909">
      <c r="A4909" s="1" t="s">
        <v>11565</v>
      </c>
      <c r="B4909" s="2" t="s">
        <v>11566</v>
      </c>
      <c r="C4909" s="1" t="s">
        <v>1734</v>
      </c>
      <c r="D4909" s="1" t="s">
        <v>1736</v>
      </c>
    </row>
    <row r="4910">
      <c r="A4910" s="1" t="s">
        <v>11567</v>
      </c>
      <c r="B4910" s="2" t="s">
        <v>11568</v>
      </c>
      <c r="C4910" s="1" t="s">
        <v>1734</v>
      </c>
      <c r="D4910" s="1" t="s">
        <v>1736</v>
      </c>
    </row>
    <row r="4911">
      <c r="A4911" s="1" t="s">
        <v>11569</v>
      </c>
      <c r="B4911" s="2" t="s">
        <v>11570</v>
      </c>
      <c r="C4911" s="1" t="s">
        <v>1734</v>
      </c>
      <c r="D4911" s="1" t="s">
        <v>1736</v>
      </c>
    </row>
    <row r="4912">
      <c r="A4912" s="1" t="s">
        <v>11571</v>
      </c>
      <c r="B4912" s="2" t="s">
        <v>11572</v>
      </c>
      <c r="C4912" s="1" t="s">
        <v>1734</v>
      </c>
      <c r="D4912" s="1" t="s">
        <v>1736</v>
      </c>
    </row>
    <row r="4913">
      <c r="A4913" s="1" t="s">
        <v>11573</v>
      </c>
      <c r="B4913" s="2" t="s">
        <v>11574</v>
      </c>
      <c r="C4913" s="1" t="s">
        <v>1734</v>
      </c>
      <c r="D4913" s="1" t="s">
        <v>1736</v>
      </c>
    </row>
    <row r="4914">
      <c r="A4914" s="1" t="s">
        <v>11575</v>
      </c>
      <c r="B4914" s="2" t="s">
        <v>11576</v>
      </c>
      <c r="C4914" s="1" t="s">
        <v>1734</v>
      </c>
      <c r="D4914" s="1" t="s">
        <v>1736</v>
      </c>
    </row>
    <row r="4915">
      <c r="A4915" s="1" t="s">
        <v>11577</v>
      </c>
      <c r="B4915" s="2" t="s">
        <v>11578</v>
      </c>
      <c r="C4915" s="1" t="s">
        <v>1734</v>
      </c>
      <c r="D4915" s="1" t="s">
        <v>1736</v>
      </c>
    </row>
    <row r="4916">
      <c r="A4916" s="1" t="s">
        <v>11579</v>
      </c>
      <c r="B4916" s="2" t="s">
        <v>11580</v>
      </c>
      <c r="C4916" s="1" t="s">
        <v>1734</v>
      </c>
      <c r="D4916" s="1" t="s">
        <v>1736</v>
      </c>
    </row>
    <row r="4917">
      <c r="A4917" s="1" t="s">
        <v>11581</v>
      </c>
      <c r="B4917" s="2" t="s">
        <v>11582</v>
      </c>
      <c r="C4917" s="1" t="s">
        <v>1734</v>
      </c>
      <c r="D4917" s="1" t="s">
        <v>1736</v>
      </c>
    </row>
    <row r="4918">
      <c r="A4918" s="1" t="s">
        <v>11583</v>
      </c>
      <c r="B4918" s="2" t="s">
        <v>11584</v>
      </c>
      <c r="C4918" s="1" t="s">
        <v>1734</v>
      </c>
      <c r="D4918" s="1" t="s">
        <v>1736</v>
      </c>
    </row>
    <row r="4919">
      <c r="A4919" s="1" t="s">
        <v>11585</v>
      </c>
      <c r="B4919" s="2" t="s">
        <v>11586</v>
      </c>
      <c r="C4919" s="1" t="s">
        <v>1734</v>
      </c>
      <c r="D4919" s="1" t="s">
        <v>1736</v>
      </c>
    </row>
    <row r="4920">
      <c r="A4920" s="1" t="s">
        <v>11587</v>
      </c>
      <c r="B4920" s="2" t="s">
        <v>11588</v>
      </c>
      <c r="C4920" s="1" t="s">
        <v>1734</v>
      </c>
      <c r="D4920" s="1" t="s">
        <v>1736</v>
      </c>
    </row>
    <row r="4921">
      <c r="A4921" s="1" t="s">
        <v>11589</v>
      </c>
      <c r="B4921" s="2" t="s">
        <v>11590</v>
      </c>
      <c r="C4921" s="1" t="s">
        <v>1734</v>
      </c>
      <c r="D4921" s="1" t="s">
        <v>1736</v>
      </c>
    </row>
    <row r="4922">
      <c r="A4922" s="1" t="s">
        <v>11591</v>
      </c>
      <c r="B4922" s="2" t="s">
        <v>11047</v>
      </c>
      <c r="C4922" s="1" t="s">
        <v>1734</v>
      </c>
      <c r="D4922" s="1" t="s">
        <v>1736</v>
      </c>
    </row>
    <row r="4923">
      <c r="A4923" s="1" t="s">
        <v>11592</v>
      </c>
      <c r="B4923" s="2" t="s">
        <v>11593</v>
      </c>
      <c r="C4923" s="1" t="s">
        <v>1734</v>
      </c>
      <c r="D4923" s="1" t="s">
        <v>1736</v>
      </c>
    </row>
    <row r="4924">
      <c r="A4924" s="1" t="s">
        <v>11594</v>
      </c>
      <c r="B4924" s="2" t="s">
        <v>11595</v>
      </c>
      <c r="C4924" s="1" t="s">
        <v>1734</v>
      </c>
      <c r="D4924" s="1" t="s">
        <v>1736</v>
      </c>
    </row>
    <row r="4925">
      <c r="A4925" s="1" t="s">
        <v>11596</v>
      </c>
      <c r="B4925" s="2" t="s">
        <v>11597</v>
      </c>
      <c r="C4925" s="1" t="s">
        <v>1734</v>
      </c>
      <c r="D4925" s="1" t="s">
        <v>1736</v>
      </c>
    </row>
    <row r="4926">
      <c r="A4926" s="1" t="s">
        <v>11598</v>
      </c>
      <c r="B4926" s="2" t="s">
        <v>11599</v>
      </c>
      <c r="C4926" s="1" t="s">
        <v>1734</v>
      </c>
      <c r="D4926" s="1" t="s">
        <v>1736</v>
      </c>
    </row>
    <row r="4927">
      <c r="A4927" s="1" t="s">
        <v>11600</v>
      </c>
      <c r="B4927" s="2" t="s">
        <v>11601</v>
      </c>
      <c r="C4927" s="1" t="s">
        <v>1734</v>
      </c>
      <c r="D4927" s="1" t="s">
        <v>1736</v>
      </c>
    </row>
    <row r="4928">
      <c r="A4928" s="1" t="s">
        <v>11602</v>
      </c>
      <c r="B4928" s="2" t="s">
        <v>11603</v>
      </c>
      <c r="C4928" s="1" t="s">
        <v>1734</v>
      </c>
      <c r="D4928" s="1" t="s">
        <v>1736</v>
      </c>
    </row>
    <row r="4929">
      <c r="A4929" s="1" t="s">
        <v>11604</v>
      </c>
      <c r="B4929" s="2" t="s">
        <v>11605</v>
      </c>
      <c r="C4929" s="1" t="s">
        <v>1734</v>
      </c>
      <c r="D4929" s="1" t="s">
        <v>1736</v>
      </c>
    </row>
    <row r="4930">
      <c r="A4930" s="1" t="s">
        <v>11606</v>
      </c>
      <c r="B4930" s="2" t="s">
        <v>11607</v>
      </c>
      <c r="C4930" s="1" t="s">
        <v>1734</v>
      </c>
      <c r="D4930" s="1" t="s">
        <v>1736</v>
      </c>
    </row>
    <row r="4931">
      <c r="A4931" s="1" t="s">
        <v>11608</v>
      </c>
      <c r="B4931" s="2" t="s">
        <v>11609</v>
      </c>
      <c r="C4931" s="1" t="s">
        <v>1734</v>
      </c>
      <c r="D4931" s="1" t="s">
        <v>1736</v>
      </c>
    </row>
    <row r="4932">
      <c r="A4932" s="1" t="s">
        <v>11610</v>
      </c>
      <c r="B4932" s="2" t="s">
        <v>11611</v>
      </c>
      <c r="C4932" s="1" t="s">
        <v>1734</v>
      </c>
      <c r="D4932" s="1" t="s">
        <v>1736</v>
      </c>
    </row>
    <row r="4933">
      <c r="A4933" s="1" t="s">
        <v>11612</v>
      </c>
      <c r="B4933" s="2" t="s">
        <v>11613</v>
      </c>
      <c r="C4933" s="1" t="s">
        <v>1734</v>
      </c>
      <c r="D4933" s="1" t="s">
        <v>1736</v>
      </c>
    </row>
    <row r="4934">
      <c r="A4934" s="1" t="s">
        <v>11614</v>
      </c>
      <c r="B4934" s="2" t="s">
        <v>11615</v>
      </c>
      <c r="C4934" s="1" t="s">
        <v>1734</v>
      </c>
      <c r="D4934" s="1" t="s">
        <v>1736</v>
      </c>
    </row>
    <row r="4935">
      <c r="A4935" s="1" t="s">
        <v>11616</v>
      </c>
      <c r="B4935" s="2" t="s">
        <v>11617</v>
      </c>
      <c r="C4935" s="1" t="s">
        <v>1734</v>
      </c>
      <c r="D4935" s="1" t="s">
        <v>1736</v>
      </c>
    </row>
    <row r="4936">
      <c r="A4936" s="1" t="s">
        <v>11618</v>
      </c>
      <c r="B4936" s="2" t="s">
        <v>11619</v>
      </c>
      <c r="C4936" s="1" t="s">
        <v>1734</v>
      </c>
      <c r="D4936" s="1" t="s">
        <v>1736</v>
      </c>
    </row>
    <row r="4937">
      <c r="A4937" s="1" t="s">
        <v>1742</v>
      </c>
      <c r="B4937" s="2" t="s">
        <v>7</v>
      </c>
      <c r="C4937" s="1" t="s">
        <v>1745</v>
      </c>
      <c r="D4937" s="1" t="s">
        <v>1746</v>
      </c>
    </row>
    <row r="4938">
      <c r="A4938" s="1" t="s">
        <v>11620</v>
      </c>
      <c r="B4938" s="2" t="s">
        <v>11621</v>
      </c>
      <c r="C4938" s="1" t="s">
        <v>1745</v>
      </c>
      <c r="D4938" s="1" t="s">
        <v>1746</v>
      </c>
    </row>
    <row r="4939">
      <c r="A4939" s="1" t="s">
        <v>11622</v>
      </c>
      <c r="B4939" s="2" t="s">
        <v>11623</v>
      </c>
      <c r="C4939" s="1" t="s">
        <v>1745</v>
      </c>
      <c r="D4939" s="1" t="s">
        <v>1746</v>
      </c>
    </row>
    <row r="4940">
      <c r="A4940" s="1" t="s">
        <v>11624</v>
      </c>
      <c r="B4940" s="2" t="s">
        <v>11625</v>
      </c>
      <c r="C4940" s="1" t="s">
        <v>1745</v>
      </c>
      <c r="D4940" s="1" t="s">
        <v>1746</v>
      </c>
    </row>
    <row r="4941">
      <c r="A4941" s="1" t="s">
        <v>11626</v>
      </c>
      <c r="B4941" s="2" t="s">
        <v>11627</v>
      </c>
      <c r="C4941" s="1" t="s">
        <v>1745</v>
      </c>
      <c r="D4941" s="1" t="s">
        <v>1746</v>
      </c>
    </row>
    <row r="4942">
      <c r="A4942" s="1" t="s">
        <v>11628</v>
      </c>
      <c r="B4942" s="2" t="s">
        <v>11629</v>
      </c>
      <c r="C4942" s="1" t="s">
        <v>1745</v>
      </c>
      <c r="D4942" s="1" t="s">
        <v>1746</v>
      </c>
    </row>
    <row r="4943">
      <c r="A4943" s="1" t="s">
        <v>11630</v>
      </c>
      <c r="B4943" s="2" t="s">
        <v>11631</v>
      </c>
      <c r="C4943" s="1" t="s">
        <v>1745</v>
      </c>
      <c r="D4943" s="1" t="s">
        <v>1746</v>
      </c>
    </row>
    <row r="4944">
      <c r="A4944" s="1" t="s">
        <v>11632</v>
      </c>
      <c r="B4944" s="2" t="s">
        <v>11633</v>
      </c>
      <c r="C4944" s="1" t="s">
        <v>1745</v>
      </c>
      <c r="D4944" s="1" t="s">
        <v>1746</v>
      </c>
    </row>
    <row r="4945">
      <c r="A4945" s="1" t="s">
        <v>11634</v>
      </c>
      <c r="B4945" s="2" t="s">
        <v>11635</v>
      </c>
      <c r="C4945" s="1" t="s">
        <v>1745</v>
      </c>
      <c r="D4945" s="1" t="s">
        <v>1746</v>
      </c>
    </row>
    <row r="4946">
      <c r="A4946" s="1" t="s">
        <v>11636</v>
      </c>
      <c r="B4946" s="2" t="s">
        <v>11637</v>
      </c>
      <c r="C4946" s="1" t="s">
        <v>1745</v>
      </c>
      <c r="D4946" s="1" t="s">
        <v>1746</v>
      </c>
    </row>
    <row r="4947">
      <c r="A4947" s="1" t="s">
        <v>11638</v>
      </c>
      <c r="B4947" s="2" t="s">
        <v>10834</v>
      </c>
      <c r="C4947" s="1" t="s">
        <v>1745</v>
      </c>
      <c r="D4947" s="1" t="s">
        <v>1746</v>
      </c>
    </row>
    <row r="4948">
      <c r="A4948" s="1" t="s">
        <v>11639</v>
      </c>
      <c r="B4948" s="2" t="s">
        <v>11640</v>
      </c>
      <c r="C4948" s="1" t="s">
        <v>1745</v>
      </c>
      <c r="D4948" s="1" t="s">
        <v>1746</v>
      </c>
    </row>
    <row r="4949">
      <c r="A4949" s="1" t="s">
        <v>11641</v>
      </c>
      <c r="B4949" s="2" t="s">
        <v>11642</v>
      </c>
      <c r="C4949" s="1" t="s">
        <v>1745</v>
      </c>
      <c r="D4949" s="1" t="s">
        <v>1746</v>
      </c>
    </row>
    <row r="4950">
      <c r="A4950" s="1" t="s">
        <v>11643</v>
      </c>
      <c r="B4950" s="2" t="s">
        <v>11644</v>
      </c>
      <c r="C4950" s="1" t="s">
        <v>1745</v>
      </c>
      <c r="D4950" s="1" t="s">
        <v>1746</v>
      </c>
    </row>
    <row r="4951">
      <c r="A4951" s="1" t="s">
        <v>11645</v>
      </c>
      <c r="B4951" s="2" t="s">
        <v>11646</v>
      </c>
      <c r="C4951" s="1" t="s">
        <v>1745</v>
      </c>
      <c r="D4951" s="1" t="s">
        <v>1746</v>
      </c>
    </row>
    <row r="4952">
      <c r="A4952" s="1" t="s">
        <v>11647</v>
      </c>
      <c r="B4952" s="2" t="s">
        <v>11648</v>
      </c>
      <c r="C4952" s="1" t="s">
        <v>1745</v>
      </c>
      <c r="D4952" s="1" t="s">
        <v>1746</v>
      </c>
    </row>
    <row r="4953">
      <c r="A4953" s="1" t="s">
        <v>11649</v>
      </c>
      <c r="B4953" s="2" t="s">
        <v>11650</v>
      </c>
      <c r="C4953" s="1" t="s">
        <v>1745</v>
      </c>
      <c r="D4953" s="1" t="s">
        <v>1746</v>
      </c>
    </row>
    <row r="4954">
      <c r="A4954" s="1" t="s">
        <v>11651</v>
      </c>
      <c r="B4954" s="2" t="s">
        <v>11652</v>
      </c>
      <c r="C4954" s="1" t="s">
        <v>1745</v>
      </c>
      <c r="D4954" s="1" t="s">
        <v>1746</v>
      </c>
    </row>
    <row r="4955">
      <c r="A4955" s="1" t="s">
        <v>11653</v>
      </c>
      <c r="B4955" s="2" t="s">
        <v>11654</v>
      </c>
      <c r="C4955" s="1" t="s">
        <v>1745</v>
      </c>
      <c r="D4955" s="1" t="s">
        <v>1746</v>
      </c>
    </row>
    <row r="4956">
      <c r="A4956" s="1" t="s">
        <v>11655</v>
      </c>
      <c r="B4956" s="2" t="s">
        <v>11656</v>
      </c>
      <c r="C4956" s="1" t="s">
        <v>1745</v>
      </c>
      <c r="D4956" s="1" t="s">
        <v>1746</v>
      </c>
    </row>
    <row r="4957">
      <c r="A4957" s="1" t="s">
        <v>11657</v>
      </c>
      <c r="B4957" s="2" t="s">
        <v>10850</v>
      </c>
      <c r="C4957" s="1" t="s">
        <v>1745</v>
      </c>
      <c r="D4957" s="1" t="s">
        <v>1746</v>
      </c>
    </row>
    <row r="4958">
      <c r="A4958" s="1" t="s">
        <v>11658</v>
      </c>
      <c r="B4958" s="2" t="s">
        <v>11659</v>
      </c>
      <c r="C4958" s="1" t="s">
        <v>1745</v>
      </c>
      <c r="D4958" s="1" t="s">
        <v>1746</v>
      </c>
    </row>
    <row r="4959">
      <c r="A4959" s="1" t="s">
        <v>11660</v>
      </c>
      <c r="B4959" s="2" t="s">
        <v>11661</v>
      </c>
      <c r="C4959" s="1" t="s">
        <v>1745</v>
      </c>
      <c r="D4959" s="1" t="s">
        <v>1746</v>
      </c>
    </row>
    <row r="4960">
      <c r="A4960" s="1" t="s">
        <v>11662</v>
      </c>
      <c r="B4960" s="2" t="s">
        <v>11663</v>
      </c>
      <c r="C4960" s="1" t="s">
        <v>1745</v>
      </c>
      <c r="D4960" s="1" t="s">
        <v>1746</v>
      </c>
    </row>
    <row r="4961">
      <c r="A4961" s="1" t="s">
        <v>11664</v>
      </c>
      <c r="B4961" s="2" t="s">
        <v>11665</v>
      </c>
      <c r="C4961" s="1" t="s">
        <v>1745</v>
      </c>
      <c r="D4961" s="1" t="s">
        <v>1746</v>
      </c>
    </row>
    <row r="4962">
      <c r="A4962" s="1" t="s">
        <v>11666</v>
      </c>
      <c r="B4962" s="2" t="s">
        <v>11667</v>
      </c>
      <c r="C4962" s="1" t="s">
        <v>1745</v>
      </c>
      <c r="D4962" s="1" t="s">
        <v>1746</v>
      </c>
    </row>
    <row r="4963">
      <c r="A4963" s="1" t="s">
        <v>11668</v>
      </c>
      <c r="B4963" s="2" t="s">
        <v>11669</v>
      </c>
      <c r="C4963" s="1" t="s">
        <v>1745</v>
      </c>
      <c r="D4963" s="1" t="s">
        <v>1746</v>
      </c>
    </row>
    <row r="4964">
      <c r="A4964" s="1" t="s">
        <v>11670</v>
      </c>
      <c r="B4964" s="2" t="s">
        <v>11671</v>
      </c>
      <c r="C4964" s="1" t="s">
        <v>1745</v>
      </c>
      <c r="D4964" s="1" t="s">
        <v>1746</v>
      </c>
    </row>
    <row r="4965">
      <c r="A4965" s="1" t="s">
        <v>11672</v>
      </c>
      <c r="B4965" s="2" t="s">
        <v>11673</v>
      </c>
      <c r="C4965" s="1" t="s">
        <v>1745</v>
      </c>
      <c r="D4965" s="1" t="s">
        <v>1746</v>
      </c>
    </row>
    <row r="4966">
      <c r="A4966" s="1" t="s">
        <v>11674</v>
      </c>
      <c r="B4966" s="2" t="s">
        <v>11675</v>
      </c>
      <c r="C4966" s="1" t="s">
        <v>1745</v>
      </c>
      <c r="D4966" s="1" t="s">
        <v>1746</v>
      </c>
    </row>
    <row r="4967">
      <c r="A4967" s="1" t="s">
        <v>11676</v>
      </c>
      <c r="B4967" s="2" t="s">
        <v>10356</v>
      </c>
      <c r="C4967" s="1" t="s">
        <v>1745</v>
      </c>
      <c r="D4967" s="1" t="s">
        <v>1746</v>
      </c>
    </row>
    <row r="4968">
      <c r="A4968" s="1" t="s">
        <v>11677</v>
      </c>
      <c r="B4968" s="2" t="s">
        <v>11678</v>
      </c>
      <c r="C4968" s="1" t="s">
        <v>1745</v>
      </c>
      <c r="D4968" s="1" t="s">
        <v>1746</v>
      </c>
    </row>
    <row r="4969">
      <c r="A4969" s="1" t="s">
        <v>11679</v>
      </c>
      <c r="B4969" s="2" t="s">
        <v>11680</v>
      </c>
      <c r="C4969" s="1" t="s">
        <v>1745</v>
      </c>
      <c r="D4969" s="1" t="s">
        <v>1746</v>
      </c>
    </row>
    <row r="4970">
      <c r="A4970" s="1" t="s">
        <v>11681</v>
      </c>
      <c r="B4970" s="2" t="s">
        <v>11682</v>
      </c>
      <c r="C4970" s="1" t="s">
        <v>1745</v>
      </c>
      <c r="D4970" s="1" t="s">
        <v>1746</v>
      </c>
    </row>
    <row r="4971">
      <c r="A4971" s="1" t="s">
        <v>11683</v>
      </c>
      <c r="B4971" s="2" t="s">
        <v>11684</v>
      </c>
      <c r="C4971" s="1" t="s">
        <v>1745</v>
      </c>
      <c r="D4971" s="1" t="s">
        <v>1746</v>
      </c>
    </row>
    <row r="4972">
      <c r="A4972" s="1" t="s">
        <v>11685</v>
      </c>
      <c r="B4972" s="2" t="s">
        <v>11686</v>
      </c>
      <c r="C4972" s="1" t="s">
        <v>1745</v>
      </c>
      <c r="D4972" s="1" t="s">
        <v>1746</v>
      </c>
    </row>
    <row r="4973">
      <c r="A4973" s="1" t="s">
        <v>11687</v>
      </c>
      <c r="B4973" s="2" t="s">
        <v>11688</v>
      </c>
      <c r="C4973" s="1" t="s">
        <v>1745</v>
      </c>
      <c r="D4973" s="1" t="s">
        <v>1746</v>
      </c>
    </row>
    <row r="4974">
      <c r="A4974" s="1" t="s">
        <v>11689</v>
      </c>
      <c r="B4974" s="2" t="s">
        <v>11690</v>
      </c>
      <c r="C4974" s="1" t="s">
        <v>1745</v>
      </c>
      <c r="D4974" s="1" t="s">
        <v>1746</v>
      </c>
    </row>
    <row r="4975">
      <c r="A4975" s="1" t="s">
        <v>11691</v>
      </c>
      <c r="B4975" s="2" t="s">
        <v>11692</v>
      </c>
      <c r="C4975" s="1" t="s">
        <v>1745</v>
      </c>
      <c r="D4975" s="1" t="s">
        <v>1746</v>
      </c>
    </row>
    <row r="4976">
      <c r="A4976" s="1" t="s">
        <v>11693</v>
      </c>
      <c r="B4976" s="2" t="s">
        <v>11694</v>
      </c>
      <c r="C4976" s="1" t="s">
        <v>1745</v>
      </c>
      <c r="D4976" s="1" t="s">
        <v>1746</v>
      </c>
    </row>
    <row r="4977">
      <c r="A4977" s="1" t="s">
        <v>11695</v>
      </c>
      <c r="B4977" s="2" t="s">
        <v>10881</v>
      </c>
      <c r="C4977" s="1" t="s">
        <v>1745</v>
      </c>
      <c r="D4977" s="1" t="s">
        <v>1746</v>
      </c>
    </row>
    <row r="4978">
      <c r="A4978" s="1" t="s">
        <v>11696</v>
      </c>
      <c r="B4978" s="2" t="s">
        <v>11697</v>
      </c>
      <c r="C4978" s="1" t="s">
        <v>1745</v>
      </c>
      <c r="D4978" s="1" t="s">
        <v>1746</v>
      </c>
    </row>
    <row r="4979">
      <c r="A4979" s="1" t="s">
        <v>11698</v>
      </c>
      <c r="B4979" s="2" t="s">
        <v>11699</v>
      </c>
      <c r="C4979" s="1" t="s">
        <v>1745</v>
      </c>
      <c r="D4979" s="1" t="s">
        <v>1746</v>
      </c>
    </row>
    <row r="4980">
      <c r="A4980" s="1" t="s">
        <v>11700</v>
      </c>
      <c r="B4980" s="2" t="s">
        <v>11701</v>
      </c>
      <c r="C4980" s="1" t="s">
        <v>1745</v>
      </c>
      <c r="D4980" s="1" t="s">
        <v>1746</v>
      </c>
    </row>
    <row r="4981">
      <c r="A4981" s="1" t="s">
        <v>11702</v>
      </c>
      <c r="B4981" s="2" t="s">
        <v>11703</v>
      </c>
      <c r="C4981" s="1" t="s">
        <v>1745</v>
      </c>
      <c r="D4981" s="1" t="s">
        <v>1746</v>
      </c>
    </row>
    <row r="4982">
      <c r="A4982" s="1" t="s">
        <v>11704</v>
      </c>
      <c r="B4982" s="2" t="s">
        <v>11705</v>
      </c>
      <c r="C4982" s="1" t="s">
        <v>1745</v>
      </c>
      <c r="D4982" s="1" t="s">
        <v>1746</v>
      </c>
    </row>
    <row r="4983">
      <c r="A4983" s="1" t="s">
        <v>11706</v>
      </c>
      <c r="B4983" s="2" t="s">
        <v>11707</v>
      </c>
      <c r="C4983" s="1" t="s">
        <v>1745</v>
      </c>
      <c r="D4983" s="1" t="s">
        <v>1746</v>
      </c>
    </row>
    <row r="4984">
      <c r="A4984" s="1" t="s">
        <v>11708</v>
      </c>
      <c r="B4984" s="2" t="s">
        <v>11709</v>
      </c>
      <c r="C4984" s="1" t="s">
        <v>1745</v>
      </c>
      <c r="D4984" s="1" t="s">
        <v>1746</v>
      </c>
    </row>
    <row r="4985">
      <c r="A4985" s="1" t="s">
        <v>11710</v>
      </c>
      <c r="B4985" s="2" t="s">
        <v>11711</v>
      </c>
      <c r="C4985" s="1" t="s">
        <v>1745</v>
      </c>
      <c r="D4985" s="1" t="s">
        <v>1746</v>
      </c>
    </row>
    <row r="4986">
      <c r="A4986" s="1" t="s">
        <v>11712</v>
      </c>
      <c r="B4986" s="2" t="s">
        <v>11713</v>
      </c>
      <c r="C4986" s="1" t="s">
        <v>1745</v>
      </c>
      <c r="D4986" s="1" t="s">
        <v>1746</v>
      </c>
    </row>
    <row r="4987">
      <c r="A4987" s="1" t="s">
        <v>11714</v>
      </c>
      <c r="B4987" s="2" t="s">
        <v>10897</v>
      </c>
      <c r="C4987" s="1" t="s">
        <v>1745</v>
      </c>
      <c r="D4987" s="1" t="s">
        <v>1746</v>
      </c>
    </row>
    <row r="4988">
      <c r="A4988" s="1" t="s">
        <v>11715</v>
      </c>
      <c r="B4988" s="2" t="s">
        <v>11716</v>
      </c>
      <c r="C4988" s="1" t="s">
        <v>1745</v>
      </c>
      <c r="D4988" s="1" t="s">
        <v>1746</v>
      </c>
    </row>
    <row r="4989">
      <c r="A4989" s="1" t="s">
        <v>11717</v>
      </c>
      <c r="B4989" s="2" t="s">
        <v>11718</v>
      </c>
      <c r="C4989" s="1" t="s">
        <v>1745</v>
      </c>
      <c r="D4989" s="1" t="s">
        <v>1746</v>
      </c>
    </row>
    <row r="4990">
      <c r="A4990" s="1" t="s">
        <v>11719</v>
      </c>
      <c r="B4990" s="2" t="s">
        <v>11720</v>
      </c>
      <c r="C4990" s="1" t="s">
        <v>1745</v>
      </c>
      <c r="D4990" s="1" t="s">
        <v>1746</v>
      </c>
    </row>
    <row r="4991">
      <c r="A4991" s="1" t="s">
        <v>11721</v>
      </c>
      <c r="B4991" s="2" t="s">
        <v>11722</v>
      </c>
      <c r="C4991" s="1" t="s">
        <v>1745</v>
      </c>
      <c r="D4991" s="1" t="s">
        <v>1746</v>
      </c>
    </row>
    <row r="4992">
      <c r="A4992" s="1" t="s">
        <v>11723</v>
      </c>
      <c r="B4992" s="2" t="s">
        <v>11724</v>
      </c>
      <c r="C4992" s="1" t="s">
        <v>1745</v>
      </c>
      <c r="D4992" s="1" t="s">
        <v>1746</v>
      </c>
    </row>
    <row r="4993">
      <c r="A4993" s="1" t="s">
        <v>11725</v>
      </c>
      <c r="B4993" s="2" t="s">
        <v>11726</v>
      </c>
      <c r="C4993" s="1" t="s">
        <v>1745</v>
      </c>
      <c r="D4993" s="1" t="s">
        <v>1746</v>
      </c>
    </row>
    <row r="4994">
      <c r="A4994" s="1" t="s">
        <v>11727</v>
      </c>
      <c r="B4994" s="2" t="s">
        <v>11728</v>
      </c>
      <c r="C4994" s="1" t="s">
        <v>1745</v>
      </c>
      <c r="D4994" s="1" t="s">
        <v>1746</v>
      </c>
    </row>
    <row r="4995">
      <c r="A4995" s="1" t="s">
        <v>11729</v>
      </c>
      <c r="B4995" s="2" t="s">
        <v>11730</v>
      </c>
      <c r="C4995" s="1" t="s">
        <v>1745</v>
      </c>
      <c r="D4995" s="1" t="s">
        <v>1746</v>
      </c>
    </row>
    <row r="4996">
      <c r="A4996" s="1" t="s">
        <v>11731</v>
      </c>
      <c r="B4996" s="2" t="s">
        <v>11732</v>
      </c>
      <c r="C4996" s="1" t="s">
        <v>1745</v>
      </c>
      <c r="D4996" s="1" t="s">
        <v>1746</v>
      </c>
    </row>
    <row r="4997">
      <c r="A4997" s="1" t="s">
        <v>11733</v>
      </c>
      <c r="B4997" s="2" t="s">
        <v>11047</v>
      </c>
      <c r="C4997" s="1" t="s">
        <v>1745</v>
      </c>
      <c r="D4997" s="1" t="s">
        <v>1746</v>
      </c>
    </row>
    <row r="4998">
      <c r="A4998" s="1" t="s">
        <v>11734</v>
      </c>
      <c r="B4998" s="2" t="s">
        <v>11735</v>
      </c>
      <c r="C4998" s="1" t="s">
        <v>1745</v>
      </c>
      <c r="D4998" s="1" t="s">
        <v>1746</v>
      </c>
    </row>
    <row r="4999">
      <c r="A4999" s="1" t="s">
        <v>11736</v>
      </c>
      <c r="B4999" s="2" t="s">
        <v>11737</v>
      </c>
      <c r="C4999" s="1" t="s">
        <v>1745</v>
      </c>
      <c r="D4999" s="1" t="s">
        <v>1746</v>
      </c>
    </row>
    <row r="5000">
      <c r="A5000" s="1" t="s">
        <v>11738</v>
      </c>
      <c r="B5000" s="2" t="s">
        <v>11739</v>
      </c>
      <c r="C5000" s="1" t="s">
        <v>1745</v>
      </c>
      <c r="D5000" s="1" t="s">
        <v>1746</v>
      </c>
    </row>
    <row r="5001">
      <c r="A5001" s="1" t="s">
        <v>11740</v>
      </c>
      <c r="B5001" s="2" t="s">
        <v>11741</v>
      </c>
      <c r="C5001" s="1" t="s">
        <v>1745</v>
      </c>
      <c r="D5001" s="1" t="s">
        <v>1746</v>
      </c>
    </row>
    <row r="5002">
      <c r="A5002" s="1" t="s">
        <v>11742</v>
      </c>
      <c r="B5002" s="2" t="s">
        <v>11743</v>
      </c>
      <c r="C5002" s="1" t="s">
        <v>1745</v>
      </c>
      <c r="D5002" s="1" t="s">
        <v>1746</v>
      </c>
    </row>
    <row r="5003">
      <c r="A5003" s="1" t="s">
        <v>11744</v>
      </c>
      <c r="B5003" s="2" t="s">
        <v>11745</v>
      </c>
      <c r="C5003" s="1" t="s">
        <v>1745</v>
      </c>
      <c r="D5003" s="1" t="s">
        <v>1746</v>
      </c>
    </row>
    <row r="5004">
      <c r="A5004" s="1" t="s">
        <v>11746</v>
      </c>
      <c r="B5004" s="2" t="s">
        <v>11747</v>
      </c>
      <c r="C5004" s="1" t="s">
        <v>1745</v>
      </c>
      <c r="D5004" s="1" t="s">
        <v>1746</v>
      </c>
    </row>
    <row r="5005">
      <c r="A5005" s="1" t="s">
        <v>11748</v>
      </c>
      <c r="B5005" s="2" t="s">
        <v>11749</v>
      </c>
      <c r="C5005" s="1" t="s">
        <v>1745</v>
      </c>
      <c r="D5005" s="1" t="s">
        <v>1746</v>
      </c>
    </row>
    <row r="5006">
      <c r="A5006" s="1" t="s">
        <v>11750</v>
      </c>
      <c r="B5006" s="2" t="s">
        <v>11751</v>
      </c>
      <c r="C5006" s="1" t="s">
        <v>1745</v>
      </c>
      <c r="D5006" s="1" t="s">
        <v>1746</v>
      </c>
    </row>
    <row r="5007">
      <c r="A5007" s="1" t="s">
        <v>1751</v>
      </c>
      <c r="B5007" s="2" t="s">
        <v>7</v>
      </c>
      <c r="C5007" s="1" t="s">
        <v>1754</v>
      </c>
      <c r="D5007" s="1" t="s">
        <v>1755</v>
      </c>
    </row>
    <row r="5008">
      <c r="A5008" s="1" t="s">
        <v>11752</v>
      </c>
      <c r="B5008" s="2" t="s">
        <v>10442</v>
      </c>
      <c r="C5008" s="1" t="s">
        <v>1754</v>
      </c>
      <c r="D5008" s="1" t="s">
        <v>1755</v>
      </c>
    </row>
    <row r="5009">
      <c r="A5009" s="1" t="s">
        <v>11753</v>
      </c>
      <c r="B5009" s="2" t="s">
        <v>10444</v>
      </c>
      <c r="C5009" s="1" t="s">
        <v>1754</v>
      </c>
      <c r="D5009" s="1" t="s">
        <v>1755</v>
      </c>
    </row>
    <row r="5010">
      <c r="A5010" s="1" t="s">
        <v>11754</v>
      </c>
      <c r="B5010" s="2" t="s">
        <v>10446</v>
      </c>
      <c r="C5010" s="1" t="s">
        <v>1754</v>
      </c>
      <c r="D5010" s="1" t="s">
        <v>1755</v>
      </c>
    </row>
    <row r="5011">
      <c r="A5011" s="1" t="s">
        <v>11755</v>
      </c>
      <c r="B5011" s="2" t="s">
        <v>10448</v>
      </c>
      <c r="C5011" s="1" t="s">
        <v>1754</v>
      </c>
      <c r="D5011" s="1" t="s">
        <v>1755</v>
      </c>
    </row>
    <row r="5012">
      <c r="A5012" s="1" t="s">
        <v>11756</v>
      </c>
      <c r="B5012" s="2" t="s">
        <v>10834</v>
      </c>
      <c r="C5012" s="1" t="s">
        <v>1754</v>
      </c>
      <c r="D5012" s="1" t="s">
        <v>1755</v>
      </c>
    </row>
    <row r="5013">
      <c r="A5013" s="1" t="s">
        <v>11757</v>
      </c>
      <c r="B5013" s="2" t="s">
        <v>11758</v>
      </c>
      <c r="C5013" s="1" t="s">
        <v>1754</v>
      </c>
      <c r="D5013" s="1" t="s">
        <v>1755</v>
      </c>
    </row>
    <row r="5014">
      <c r="A5014" s="1" t="s">
        <v>11759</v>
      </c>
      <c r="B5014" s="2" t="s">
        <v>11760</v>
      </c>
      <c r="C5014" s="1" t="s">
        <v>1754</v>
      </c>
      <c r="D5014" s="1" t="s">
        <v>1755</v>
      </c>
    </row>
    <row r="5015">
      <c r="A5015" s="1" t="s">
        <v>11761</v>
      </c>
      <c r="B5015" s="2" t="s">
        <v>11762</v>
      </c>
      <c r="C5015" s="1" t="s">
        <v>1754</v>
      </c>
      <c r="D5015" s="1" t="s">
        <v>1755</v>
      </c>
    </row>
    <row r="5016">
      <c r="A5016" s="1" t="s">
        <v>11763</v>
      </c>
      <c r="B5016" s="2" t="s">
        <v>11764</v>
      </c>
      <c r="C5016" s="1" t="s">
        <v>1754</v>
      </c>
      <c r="D5016" s="1" t="s">
        <v>1755</v>
      </c>
    </row>
    <row r="5017">
      <c r="A5017" s="1" t="s">
        <v>11765</v>
      </c>
      <c r="B5017" s="2" t="s">
        <v>10850</v>
      </c>
      <c r="C5017" s="1" t="s">
        <v>1754</v>
      </c>
      <c r="D5017" s="1" t="s">
        <v>1755</v>
      </c>
    </row>
    <row r="5018">
      <c r="A5018" s="1" t="s">
        <v>11766</v>
      </c>
      <c r="B5018" s="2" t="s">
        <v>11767</v>
      </c>
      <c r="C5018" s="1" t="s">
        <v>1754</v>
      </c>
      <c r="D5018" s="1" t="s">
        <v>1755</v>
      </c>
    </row>
    <row r="5019">
      <c r="A5019" s="1" t="s">
        <v>11768</v>
      </c>
      <c r="B5019" s="2" t="s">
        <v>11769</v>
      </c>
      <c r="C5019" s="1" t="s">
        <v>1754</v>
      </c>
      <c r="D5019" s="1" t="s">
        <v>1755</v>
      </c>
    </row>
    <row r="5020">
      <c r="A5020" s="1" t="s">
        <v>11770</v>
      </c>
      <c r="B5020" s="2" t="s">
        <v>11771</v>
      </c>
      <c r="C5020" s="1" t="s">
        <v>1754</v>
      </c>
      <c r="D5020" s="1" t="s">
        <v>1755</v>
      </c>
    </row>
    <row r="5021">
      <c r="A5021" s="1" t="s">
        <v>11772</v>
      </c>
      <c r="B5021" s="2" t="s">
        <v>11773</v>
      </c>
      <c r="C5021" s="1" t="s">
        <v>1754</v>
      </c>
      <c r="D5021" s="1" t="s">
        <v>1755</v>
      </c>
    </row>
    <row r="5022">
      <c r="A5022" s="1" t="s">
        <v>11774</v>
      </c>
      <c r="B5022" s="2" t="s">
        <v>10356</v>
      </c>
      <c r="C5022" s="1" t="s">
        <v>1754</v>
      </c>
      <c r="D5022" s="1" t="s">
        <v>1755</v>
      </c>
    </row>
    <row r="5023">
      <c r="A5023" s="1" t="s">
        <v>11775</v>
      </c>
      <c r="B5023" s="2" t="s">
        <v>11776</v>
      </c>
      <c r="C5023" s="1" t="s">
        <v>1754</v>
      </c>
      <c r="D5023" s="1" t="s">
        <v>1755</v>
      </c>
    </row>
    <row r="5024">
      <c r="A5024" s="1" t="s">
        <v>11777</v>
      </c>
      <c r="B5024" s="2" t="s">
        <v>11778</v>
      </c>
      <c r="C5024" s="1" t="s">
        <v>1754</v>
      </c>
      <c r="D5024" s="1" t="s">
        <v>1755</v>
      </c>
    </row>
    <row r="5025">
      <c r="A5025" s="1" t="s">
        <v>11779</v>
      </c>
      <c r="B5025" s="2" t="s">
        <v>11780</v>
      </c>
      <c r="C5025" s="1" t="s">
        <v>1754</v>
      </c>
      <c r="D5025" s="1" t="s">
        <v>1755</v>
      </c>
    </row>
    <row r="5026">
      <c r="A5026" s="1" t="s">
        <v>11781</v>
      </c>
      <c r="B5026" s="2" t="s">
        <v>11782</v>
      </c>
      <c r="C5026" s="1" t="s">
        <v>1754</v>
      </c>
      <c r="D5026" s="1" t="s">
        <v>1755</v>
      </c>
    </row>
    <row r="5027">
      <c r="A5027" s="1" t="s">
        <v>11783</v>
      </c>
      <c r="B5027" s="2" t="s">
        <v>10881</v>
      </c>
      <c r="C5027" s="1" t="s">
        <v>1754</v>
      </c>
      <c r="D5027" s="1" t="s">
        <v>1755</v>
      </c>
    </row>
    <row r="5028">
      <c r="A5028" s="1" t="s">
        <v>11784</v>
      </c>
      <c r="B5028" s="2" t="s">
        <v>11785</v>
      </c>
      <c r="C5028" s="1" t="s">
        <v>1754</v>
      </c>
      <c r="D5028" s="1" t="s">
        <v>1755</v>
      </c>
    </row>
    <row r="5029">
      <c r="A5029" s="1" t="s">
        <v>11786</v>
      </c>
      <c r="B5029" s="2" t="s">
        <v>11787</v>
      </c>
      <c r="C5029" s="1" t="s">
        <v>1754</v>
      </c>
      <c r="D5029" s="1" t="s">
        <v>1755</v>
      </c>
    </row>
    <row r="5030">
      <c r="A5030" s="1" t="s">
        <v>11788</v>
      </c>
      <c r="B5030" s="2" t="s">
        <v>11789</v>
      </c>
      <c r="C5030" s="1" t="s">
        <v>1754</v>
      </c>
      <c r="D5030" s="1" t="s">
        <v>1755</v>
      </c>
    </row>
    <row r="5031">
      <c r="A5031" s="1" t="s">
        <v>11790</v>
      </c>
      <c r="B5031" s="2" t="s">
        <v>11791</v>
      </c>
      <c r="C5031" s="1" t="s">
        <v>1754</v>
      </c>
      <c r="D5031" s="1" t="s">
        <v>1755</v>
      </c>
    </row>
    <row r="5032">
      <c r="A5032" s="1" t="s">
        <v>11792</v>
      </c>
      <c r="B5032" s="2" t="s">
        <v>10897</v>
      </c>
      <c r="C5032" s="1" t="s">
        <v>1754</v>
      </c>
      <c r="D5032" s="1" t="s">
        <v>1755</v>
      </c>
    </row>
    <row r="5033">
      <c r="A5033" s="1" t="s">
        <v>11793</v>
      </c>
      <c r="B5033" s="2" t="s">
        <v>11794</v>
      </c>
      <c r="C5033" s="1" t="s">
        <v>1754</v>
      </c>
      <c r="D5033" s="1" t="s">
        <v>1755</v>
      </c>
    </row>
    <row r="5034">
      <c r="A5034" s="1" t="s">
        <v>11795</v>
      </c>
      <c r="B5034" s="2" t="s">
        <v>11796</v>
      </c>
      <c r="C5034" s="1" t="s">
        <v>1754</v>
      </c>
      <c r="D5034" s="1" t="s">
        <v>1755</v>
      </c>
    </row>
    <row r="5035">
      <c r="A5035" s="1" t="s">
        <v>11797</v>
      </c>
      <c r="B5035" s="2" t="s">
        <v>11798</v>
      </c>
      <c r="C5035" s="1" t="s">
        <v>1754</v>
      </c>
      <c r="D5035" s="1" t="s">
        <v>1755</v>
      </c>
    </row>
    <row r="5036">
      <c r="A5036" s="1" t="s">
        <v>11799</v>
      </c>
      <c r="B5036" s="2" t="s">
        <v>11800</v>
      </c>
      <c r="C5036" s="1" t="s">
        <v>1754</v>
      </c>
      <c r="D5036" s="1" t="s">
        <v>1755</v>
      </c>
    </row>
    <row r="5037">
      <c r="A5037" s="1" t="s">
        <v>11801</v>
      </c>
      <c r="B5037" s="2" t="s">
        <v>10374</v>
      </c>
      <c r="C5037" s="1" t="s">
        <v>1754</v>
      </c>
      <c r="D5037" s="1" t="s">
        <v>1755</v>
      </c>
    </row>
    <row r="5038">
      <c r="A5038" s="1" t="s">
        <v>1760</v>
      </c>
      <c r="B5038" s="2" t="s">
        <v>1524</v>
      </c>
      <c r="C5038" s="1" t="s">
        <v>1763</v>
      </c>
      <c r="D5038" s="1" t="s">
        <v>1765</v>
      </c>
    </row>
    <row r="5039">
      <c r="A5039" s="1" t="s">
        <v>11802</v>
      </c>
      <c r="B5039" s="2" t="s">
        <v>11803</v>
      </c>
      <c r="C5039" s="1" t="s">
        <v>1763</v>
      </c>
      <c r="D5039" s="1" t="s">
        <v>1765</v>
      </c>
    </row>
    <row r="5040">
      <c r="A5040" s="1" t="s">
        <v>11804</v>
      </c>
      <c r="B5040" s="2" t="s">
        <v>11805</v>
      </c>
      <c r="C5040" s="1" t="s">
        <v>1763</v>
      </c>
      <c r="D5040" s="1" t="s">
        <v>1765</v>
      </c>
    </row>
    <row r="5041">
      <c r="A5041" s="1" t="s">
        <v>11806</v>
      </c>
      <c r="B5041" s="2" t="s">
        <v>11807</v>
      </c>
      <c r="C5041" s="1" t="s">
        <v>1763</v>
      </c>
      <c r="D5041" s="1" t="s">
        <v>1765</v>
      </c>
    </row>
    <row r="5042">
      <c r="A5042" s="1" t="s">
        <v>11808</v>
      </c>
      <c r="B5042" s="2" t="s">
        <v>11809</v>
      </c>
      <c r="C5042" s="1" t="s">
        <v>1763</v>
      </c>
      <c r="D5042" s="1" t="s">
        <v>1765</v>
      </c>
    </row>
    <row r="5043">
      <c r="A5043" s="1" t="s">
        <v>1771</v>
      </c>
      <c r="B5043" s="2" t="s">
        <v>7</v>
      </c>
      <c r="C5043" s="1" t="s">
        <v>1773</v>
      </c>
      <c r="D5043" s="1" t="s">
        <v>1775</v>
      </c>
    </row>
    <row r="5044">
      <c r="A5044" s="1" t="s">
        <v>11810</v>
      </c>
      <c r="B5044" s="2" t="s">
        <v>10520</v>
      </c>
      <c r="C5044" s="1" t="s">
        <v>1773</v>
      </c>
      <c r="D5044" s="1" t="s">
        <v>1775</v>
      </c>
    </row>
    <row r="5045">
      <c r="A5045" s="1" t="s">
        <v>11811</v>
      </c>
      <c r="B5045" s="2" t="s">
        <v>10522</v>
      </c>
      <c r="C5045" s="1" t="s">
        <v>1773</v>
      </c>
      <c r="D5045" s="1" t="s">
        <v>1775</v>
      </c>
    </row>
    <row r="5046">
      <c r="A5046" s="1" t="s">
        <v>11812</v>
      </c>
      <c r="B5046" s="2" t="s">
        <v>10524</v>
      </c>
      <c r="C5046" s="1" t="s">
        <v>1773</v>
      </c>
      <c r="D5046" s="1" t="s">
        <v>1775</v>
      </c>
    </row>
    <row r="5047">
      <c r="A5047" s="1" t="s">
        <v>11813</v>
      </c>
      <c r="B5047" s="2" t="s">
        <v>10526</v>
      </c>
      <c r="C5047" s="1" t="s">
        <v>1773</v>
      </c>
      <c r="D5047" s="1" t="s">
        <v>1775</v>
      </c>
    </row>
    <row r="5048">
      <c r="A5048" s="1" t="s">
        <v>11814</v>
      </c>
      <c r="B5048" s="2" t="s">
        <v>10528</v>
      </c>
      <c r="C5048" s="1" t="s">
        <v>1773</v>
      </c>
      <c r="D5048" s="1" t="s">
        <v>1775</v>
      </c>
    </row>
    <row r="5049">
      <c r="A5049" s="1" t="s">
        <v>11815</v>
      </c>
      <c r="B5049" s="2" t="s">
        <v>10530</v>
      </c>
      <c r="C5049" s="1" t="s">
        <v>1773</v>
      </c>
      <c r="D5049" s="1" t="s">
        <v>1775</v>
      </c>
    </row>
    <row r="5050">
      <c r="A5050" s="1" t="s">
        <v>11816</v>
      </c>
      <c r="B5050" s="2" t="s">
        <v>10532</v>
      </c>
      <c r="C5050" s="1" t="s">
        <v>1773</v>
      </c>
      <c r="D5050" s="1" t="s">
        <v>1775</v>
      </c>
    </row>
    <row r="5051">
      <c r="A5051" s="1" t="s">
        <v>11817</v>
      </c>
      <c r="B5051" s="2" t="s">
        <v>10534</v>
      </c>
      <c r="C5051" s="1" t="s">
        <v>1773</v>
      </c>
      <c r="D5051" s="1" t="s">
        <v>1775</v>
      </c>
    </row>
    <row r="5052">
      <c r="A5052" s="1" t="s">
        <v>11818</v>
      </c>
      <c r="B5052" s="2" t="s">
        <v>10536</v>
      </c>
      <c r="C5052" s="1" t="s">
        <v>1773</v>
      </c>
      <c r="D5052" s="1" t="s">
        <v>1775</v>
      </c>
    </row>
    <row r="5053">
      <c r="A5053" s="1" t="s">
        <v>11819</v>
      </c>
      <c r="B5053" s="2" t="s">
        <v>10538</v>
      </c>
      <c r="C5053" s="1" t="s">
        <v>1773</v>
      </c>
      <c r="D5053" s="1" t="s">
        <v>1775</v>
      </c>
    </row>
    <row r="5054">
      <c r="A5054" s="1" t="s">
        <v>11820</v>
      </c>
      <c r="B5054" s="2" t="s">
        <v>10540</v>
      </c>
      <c r="C5054" s="1" t="s">
        <v>1773</v>
      </c>
      <c r="D5054" s="1" t="s">
        <v>1775</v>
      </c>
    </row>
    <row r="5055">
      <c r="A5055" s="1" t="s">
        <v>11821</v>
      </c>
      <c r="B5055" s="2" t="s">
        <v>10542</v>
      </c>
      <c r="C5055" s="1" t="s">
        <v>1773</v>
      </c>
      <c r="D5055" s="1" t="s">
        <v>1775</v>
      </c>
    </row>
    <row r="5056">
      <c r="A5056" s="1" t="s">
        <v>11822</v>
      </c>
      <c r="B5056" s="2" t="s">
        <v>10544</v>
      </c>
      <c r="C5056" s="1" t="s">
        <v>1773</v>
      </c>
      <c r="D5056" s="1" t="s">
        <v>1775</v>
      </c>
    </row>
    <row r="5057">
      <c r="A5057" s="1" t="s">
        <v>11823</v>
      </c>
      <c r="B5057" s="2" t="s">
        <v>10546</v>
      </c>
      <c r="C5057" s="1" t="s">
        <v>1773</v>
      </c>
      <c r="D5057" s="1" t="s">
        <v>1775</v>
      </c>
    </row>
    <row r="5058">
      <c r="A5058" s="1" t="s">
        <v>11824</v>
      </c>
      <c r="B5058" s="2" t="s">
        <v>10834</v>
      </c>
      <c r="C5058" s="1" t="s">
        <v>1773</v>
      </c>
      <c r="D5058" s="1" t="s">
        <v>1775</v>
      </c>
    </row>
    <row r="5059">
      <c r="A5059" s="1" t="s">
        <v>11825</v>
      </c>
      <c r="B5059" s="2" t="s">
        <v>11826</v>
      </c>
      <c r="C5059" s="1" t="s">
        <v>1773</v>
      </c>
      <c r="D5059" s="1" t="s">
        <v>1775</v>
      </c>
    </row>
    <row r="5060">
      <c r="A5060" s="1" t="s">
        <v>11827</v>
      </c>
      <c r="B5060" s="2" t="s">
        <v>11828</v>
      </c>
      <c r="C5060" s="1" t="s">
        <v>1773</v>
      </c>
      <c r="D5060" s="1" t="s">
        <v>1775</v>
      </c>
    </row>
    <row r="5061">
      <c r="A5061" s="1" t="s">
        <v>11829</v>
      </c>
      <c r="B5061" s="2" t="s">
        <v>11830</v>
      </c>
      <c r="C5061" s="1" t="s">
        <v>1773</v>
      </c>
      <c r="D5061" s="1" t="s">
        <v>1775</v>
      </c>
    </row>
    <row r="5062">
      <c r="A5062" s="1" t="s">
        <v>11831</v>
      </c>
      <c r="B5062" s="2" t="s">
        <v>11832</v>
      </c>
      <c r="C5062" s="1" t="s">
        <v>1773</v>
      </c>
      <c r="D5062" s="1" t="s">
        <v>1775</v>
      </c>
    </row>
    <row r="5063">
      <c r="A5063" s="1" t="s">
        <v>11833</v>
      </c>
      <c r="B5063" s="2" t="s">
        <v>11834</v>
      </c>
      <c r="C5063" s="1" t="s">
        <v>1773</v>
      </c>
      <c r="D5063" s="1" t="s">
        <v>1775</v>
      </c>
    </row>
    <row r="5064">
      <c r="A5064" s="1" t="s">
        <v>11835</v>
      </c>
      <c r="B5064" s="2" t="s">
        <v>11836</v>
      </c>
      <c r="C5064" s="1" t="s">
        <v>1773</v>
      </c>
      <c r="D5064" s="1" t="s">
        <v>1775</v>
      </c>
    </row>
    <row r="5065">
      <c r="A5065" s="1" t="s">
        <v>11837</v>
      </c>
      <c r="B5065" s="2" t="s">
        <v>11838</v>
      </c>
      <c r="C5065" s="1" t="s">
        <v>1773</v>
      </c>
      <c r="D5065" s="1" t="s">
        <v>1775</v>
      </c>
    </row>
    <row r="5066">
      <c r="A5066" s="1" t="s">
        <v>11839</v>
      </c>
      <c r="B5066" s="2" t="s">
        <v>11840</v>
      </c>
      <c r="C5066" s="1" t="s">
        <v>1773</v>
      </c>
      <c r="D5066" s="1" t="s">
        <v>1775</v>
      </c>
    </row>
    <row r="5067">
      <c r="A5067" s="1" t="s">
        <v>11841</v>
      </c>
      <c r="B5067" s="2" t="s">
        <v>11842</v>
      </c>
      <c r="C5067" s="1" t="s">
        <v>1773</v>
      </c>
      <c r="D5067" s="1" t="s">
        <v>1775</v>
      </c>
    </row>
    <row r="5068">
      <c r="A5068" s="1" t="s">
        <v>11843</v>
      </c>
      <c r="B5068" s="2" t="s">
        <v>11844</v>
      </c>
      <c r="C5068" s="1" t="s">
        <v>1773</v>
      </c>
      <c r="D5068" s="1" t="s">
        <v>1775</v>
      </c>
    </row>
    <row r="5069">
      <c r="A5069" s="1" t="s">
        <v>11845</v>
      </c>
      <c r="B5069" s="2" t="s">
        <v>11846</v>
      </c>
      <c r="C5069" s="1" t="s">
        <v>1773</v>
      </c>
      <c r="D5069" s="1" t="s">
        <v>1775</v>
      </c>
    </row>
    <row r="5070">
      <c r="A5070" s="1" t="s">
        <v>11847</v>
      </c>
      <c r="B5070" s="2" t="s">
        <v>11848</v>
      </c>
      <c r="C5070" s="1" t="s">
        <v>1773</v>
      </c>
      <c r="D5070" s="1" t="s">
        <v>1775</v>
      </c>
    </row>
    <row r="5071">
      <c r="A5071" s="1" t="s">
        <v>11849</v>
      </c>
      <c r="B5071" s="2" t="s">
        <v>11850</v>
      </c>
      <c r="C5071" s="1" t="s">
        <v>1773</v>
      </c>
      <c r="D5071" s="1" t="s">
        <v>1775</v>
      </c>
    </row>
    <row r="5072">
      <c r="A5072" s="1" t="s">
        <v>11851</v>
      </c>
      <c r="B5072" s="2" t="s">
        <v>11852</v>
      </c>
      <c r="C5072" s="1" t="s">
        <v>1773</v>
      </c>
      <c r="D5072" s="1" t="s">
        <v>1775</v>
      </c>
    </row>
    <row r="5073">
      <c r="A5073" s="1" t="s">
        <v>11853</v>
      </c>
      <c r="B5073" s="2" t="s">
        <v>10850</v>
      </c>
      <c r="C5073" s="1" t="s">
        <v>1773</v>
      </c>
      <c r="D5073" s="1" t="s">
        <v>1775</v>
      </c>
    </row>
    <row r="5074">
      <c r="A5074" s="1" t="s">
        <v>11854</v>
      </c>
      <c r="B5074" s="2" t="s">
        <v>11855</v>
      </c>
      <c r="C5074" s="1" t="s">
        <v>1773</v>
      </c>
      <c r="D5074" s="1" t="s">
        <v>1775</v>
      </c>
    </row>
    <row r="5075">
      <c r="A5075" s="1" t="s">
        <v>11856</v>
      </c>
      <c r="B5075" s="2" t="s">
        <v>11857</v>
      </c>
      <c r="C5075" s="1" t="s">
        <v>1773</v>
      </c>
      <c r="D5075" s="1" t="s">
        <v>1775</v>
      </c>
    </row>
    <row r="5076">
      <c r="A5076" s="1" t="s">
        <v>11858</v>
      </c>
      <c r="B5076" s="2" t="s">
        <v>11859</v>
      </c>
      <c r="C5076" s="1" t="s">
        <v>1773</v>
      </c>
      <c r="D5076" s="1" t="s">
        <v>1775</v>
      </c>
    </row>
    <row r="5077">
      <c r="A5077" s="1" t="s">
        <v>11860</v>
      </c>
      <c r="B5077" s="2" t="s">
        <v>11861</v>
      </c>
      <c r="C5077" s="1" t="s">
        <v>1773</v>
      </c>
      <c r="D5077" s="1" t="s">
        <v>1775</v>
      </c>
    </row>
    <row r="5078">
      <c r="A5078" s="1" t="s">
        <v>11862</v>
      </c>
      <c r="B5078" s="2" t="s">
        <v>11863</v>
      </c>
      <c r="C5078" s="1" t="s">
        <v>1773</v>
      </c>
      <c r="D5078" s="1" t="s">
        <v>1775</v>
      </c>
    </row>
    <row r="5079">
      <c r="A5079" s="1" t="s">
        <v>11864</v>
      </c>
      <c r="B5079" s="2" t="s">
        <v>11865</v>
      </c>
      <c r="C5079" s="1" t="s">
        <v>1773</v>
      </c>
      <c r="D5079" s="1" t="s">
        <v>1775</v>
      </c>
    </row>
    <row r="5080">
      <c r="A5080" s="1" t="s">
        <v>11866</v>
      </c>
      <c r="B5080" s="2" t="s">
        <v>11867</v>
      </c>
      <c r="C5080" s="1" t="s">
        <v>1773</v>
      </c>
      <c r="D5080" s="1" t="s">
        <v>1775</v>
      </c>
    </row>
    <row r="5081">
      <c r="A5081" s="1" t="s">
        <v>11868</v>
      </c>
      <c r="B5081" s="2" t="s">
        <v>11869</v>
      </c>
      <c r="C5081" s="1" t="s">
        <v>1773</v>
      </c>
      <c r="D5081" s="1" t="s">
        <v>1775</v>
      </c>
    </row>
    <row r="5082">
      <c r="A5082" s="1" t="s">
        <v>11870</v>
      </c>
      <c r="B5082" s="2" t="s">
        <v>11871</v>
      </c>
      <c r="C5082" s="1" t="s">
        <v>1773</v>
      </c>
      <c r="D5082" s="1" t="s">
        <v>1775</v>
      </c>
    </row>
    <row r="5083">
      <c r="A5083" s="1" t="s">
        <v>11872</v>
      </c>
      <c r="B5083" s="2" t="s">
        <v>11873</v>
      </c>
      <c r="C5083" s="1" t="s">
        <v>1773</v>
      </c>
      <c r="D5083" s="1" t="s">
        <v>1775</v>
      </c>
    </row>
    <row r="5084">
      <c r="A5084" s="1" t="s">
        <v>11874</v>
      </c>
      <c r="B5084" s="2" t="s">
        <v>11875</v>
      </c>
      <c r="C5084" s="1" t="s">
        <v>1773</v>
      </c>
      <c r="D5084" s="1" t="s">
        <v>1775</v>
      </c>
    </row>
    <row r="5085">
      <c r="A5085" s="1" t="s">
        <v>11876</v>
      </c>
      <c r="B5085" s="2" t="s">
        <v>11877</v>
      </c>
      <c r="C5085" s="1" t="s">
        <v>1773</v>
      </c>
      <c r="D5085" s="1" t="s">
        <v>1775</v>
      </c>
    </row>
    <row r="5086">
      <c r="A5086" s="1" t="s">
        <v>11878</v>
      </c>
      <c r="B5086" s="2" t="s">
        <v>11879</v>
      </c>
      <c r="C5086" s="1" t="s">
        <v>1773</v>
      </c>
      <c r="D5086" s="1" t="s">
        <v>1775</v>
      </c>
    </row>
    <row r="5087">
      <c r="A5087" s="1" t="s">
        <v>11880</v>
      </c>
      <c r="B5087" s="2" t="s">
        <v>11881</v>
      </c>
      <c r="C5087" s="1" t="s">
        <v>1773</v>
      </c>
      <c r="D5087" s="1" t="s">
        <v>1775</v>
      </c>
    </row>
    <row r="5088">
      <c r="A5088" s="1" t="s">
        <v>11882</v>
      </c>
      <c r="B5088" s="2" t="s">
        <v>10356</v>
      </c>
      <c r="C5088" s="1" t="s">
        <v>1773</v>
      </c>
      <c r="D5088" s="1" t="s">
        <v>1775</v>
      </c>
    </row>
    <row r="5089">
      <c r="A5089" s="1" t="s">
        <v>11883</v>
      </c>
      <c r="B5089" s="2" t="s">
        <v>11884</v>
      </c>
      <c r="C5089" s="1" t="s">
        <v>1773</v>
      </c>
      <c r="D5089" s="1" t="s">
        <v>1775</v>
      </c>
    </row>
    <row r="5090">
      <c r="A5090" s="1" t="s">
        <v>11885</v>
      </c>
      <c r="B5090" s="2" t="s">
        <v>11886</v>
      </c>
      <c r="C5090" s="1" t="s">
        <v>1773</v>
      </c>
      <c r="D5090" s="1" t="s">
        <v>1775</v>
      </c>
    </row>
    <row r="5091">
      <c r="A5091" s="1" t="s">
        <v>11887</v>
      </c>
      <c r="B5091" s="2" t="s">
        <v>11888</v>
      </c>
      <c r="C5091" s="1" t="s">
        <v>1773</v>
      </c>
      <c r="D5091" s="1" t="s">
        <v>1775</v>
      </c>
    </row>
    <row r="5092">
      <c r="A5092" s="1" t="s">
        <v>11889</v>
      </c>
      <c r="B5092" s="2" t="s">
        <v>11890</v>
      </c>
      <c r="C5092" s="1" t="s">
        <v>1773</v>
      </c>
      <c r="D5092" s="1" t="s">
        <v>1775</v>
      </c>
    </row>
    <row r="5093">
      <c r="A5093" s="1" t="s">
        <v>11891</v>
      </c>
      <c r="B5093" s="2" t="s">
        <v>11892</v>
      </c>
      <c r="C5093" s="1" t="s">
        <v>1773</v>
      </c>
      <c r="D5093" s="1" t="s">
        <v>1775</v>
      </c>
    </row>
    <row r="5094">
      <c r="A5094" s="1" t="s">
        <v>11893</v>
      </c>
      <c r="B5094" s="2" t="s">
        <v>11894</v>
      </c>
      <c r="C5094" s="1" t="s">
        <v>1773</v>
      </c>
      <c r="D5094" s="1" t="s">
        <v>1775</v>
      </c>
    </row>
    <row r="5095">
      <c r="A5095" s="1" t="s">
        <v>11895</v>
      </c>
      <c r="B5095" s="2" t="s">
        <v>11896</v>
      </c>
      <c r="C5095" s="1" t="s">
        <v>1773</v>
      </c>
      <c r="D5095" s="1" t="s">
        <v>1775</v>
      </c>
    </row>
    <row r="5096">
      <c r="A5096" s="1" t="s">
        <v>11897</v>
      </c>
      <c r="B5096" s="2" t="s">
        <v>11898</v>
      </c>
      <c r="C5096" s="1" t="s">
        <v>1773</v>
      </c>
      <c r="D5096" s="1" t="s">
        <v>1775</v>
      </c>
    </row>
    <row r="5097">
      <c r="A5097" s="1" t="s">
        <v>11899</v>
      </c>
      <c r="B5097" s="2" t="s">
        <v>11900</v>
      </c>
      <c r="C5097" s="1" t="s">
        <v>1773</v>
      </c>
      <c r="D5097" s="1" t="s">
        <v>1775</v>
      </c>
    </row>
    <row r="5098">
      <c r="A5098" s="1" t="s">
        <v>11901</v>
      </c>
      <c r="B5098" s="2" t="s">
        <v>11902</v>
      </c>
      <c r="C5098" s="1" t="s">
        <v>1773</v>
      </c>
      <c r="D5098" s="1" t="s">
        <v>1775</v>
      </c>
    </row>
    <row r="5099">
      <c r="A5099" s="1" t="s">
        <v>11903</v>
      </c>
      <c r="B5099" s="2" t="s">
        <v>11904</v>
      </c>
      <c r="C5099" s="1" t="s">
        <v>1773</v>
      </c>
      <c r="D5099" s="1" t="s">
        <v>1775</v>
      </c>
    </row>
    <row r="5100">
      <c r="A5100" s="1" t="s">
        <v>11905</v>
      </c>
      <c r="B5100" s="2" t="s">
        <v>11906</v>
      </c>
      <c r="C5100" s="1" t="s">
        <v>1773</v>
      </c>
      <c r="D5100" s="1" t="s">
        <v>1775</v>
      </c>
    </row>
    <row r="5101">
      <c r="A5101" s="1" t="s">
        <v>11907</v>
      </c>
      <c r="B5101" s="2" t="s">
        <v>11908</v>
      </c>
      <c r="C5101" s="1" t="s">
        <v>1773</v>
      </c>
      <c r="D5101" s="1" t="s">
        <v>1775</v>
      </c>
    </row>
    <row r="5102">
      <c r="A5102" s="1" t="s">
        <v>11909</v>
      </c>
      <c r="B5102" s="2" t="s">
        <v>11910</v>
      </c>
      <c r="C5102" s="1" t="s">
        <v>1773</v>
      </c>
      <c r="D5102" s="1" t="s">
        <v>1775</v>
      </c>
    </row>
    <row r="5103">
      <c r="A5103" s="1" t="s">
        <v>11911</v>
      </c>
      <c r="B5103" s="2" t="s">
        <v>10881</v>
      </c>
      <c r="C5103" s="1" t="s">
        <v>1773</v>
      </c>
      <c r="D5103" s="1" t="s">
        <v>1775</v>
      </c>
    </row>
    <row r="5104">
      <c r="A5104" s="1" t="s">
        <v>11912</v>
      </c>
      <c r="B5104" s="2" t="s">
        <v>11913</v>
      </c>
      <c r="C5104" s="1" t="s">
        <v>1773</v>
      </c>
      <c r="D5104" s="1" t="s">
        <v>1775</v>
      </c>
    </row>
    <row r="5105">
      <c r="A5105" s="1" t="s">
        <v>11914</v>
      </c>
      <c r="B5105" s="2" t="s">
        <v>11915</v>
      </c>
      <c r="C5105" s="1" t="s">
        <v>1773</v>
      </c>
      <c r="D5105" s="1" t="s">
        <v>1775</v>
      </c>
    </row>
    <row r="5106">
      <c r="A5106" s="1" t="s">
        <v>11916</v>
      </c>
      <c r="B5106" s="2" t="s">
        <v>11917</v>
      </c>
      <c r="C5106" s="1" t="s">
        <v>1773</v>
      </c>
      <c r="D5106" s="1" t="s">
        <v>1775</v>
      </c>
    </row>
    <row r="5107">
      <c r="A5107" s="1" t="s">
        <v>11918</v>
      </c>
      <c r="B5107" s="2" t="s">
        <v>11919</v>
      </c>
      <c r="C5107" s="1" t="s">
        <v>1773</v>
      </c>
      <c r="D5107" s="1" t="s">
        <v>1775</v>
      </c>
    </row>
    <row r="5108">
      <c r="A5108" s="1" t="s">
        <v>11920</v>
      </c>
      <c r="B5108" s="2" t="s">
        <v>11921</v>
      </c>
      <c r="C5108" s="1" t="s">
        <v>1773</v>
      </c>
      <c r="D5108" s="1" t="s">
        <v>1775</v>
      </c>
    </row>
    <row r="5109">
      <c r="A5109" s="1" t="s">
        <v>11922</v>
      </c>
      <c r="B5109" s="2" t="s">
        <v>11923</v>
      </c>
      <c r="C5109" s="1" t="s">
        <v>1773</v>
      </c>
      <c r="D5109" s="1" t="s">
        <v>1775</v>
      </c>
    </row>
    <row r="5110">
      <c r="A5110" s="1" t="s">
        <v>11924</v>
      </c>
      <c r="B5110" s="2" t="s">
        <v>11925</v>
      </c>
      <c r="C5110" s="1" t="s">
        <v>1773</v>
      </c>
      <c r="D5110" s="1" t="s">
        <v>1775</v>
      </c>
    </row>
    <row r="5111">
      <c r="A5111" s="1" t="s">
        <v>11926</v>
      </c>
      <c r="B5111" s="2" t="s">
        <v>11927</v>
      </c>
      <c r="C5111" s="1" t="s">
        <v>1773</v>
      </c>
      <c r="D5111" s="1" t="s">
        <v>1775</v>
      </c>
    </row>
    <row r="5112">
      <c r="A5112" s="1" t="s">
        <v>11928</v>
      </c>
      <c r="B5112" s="2" t="s">
        <v>11929</v>
      </c>
      <c r="C5112" s="1" t="s">
        <v>1773</v>
      </c>
      <c r="D5112" s="1" t="s">
        <v>1775</v>
      </c>
    </row>
    <row r="5113">
      <c r="A5113" s="1" t="s">
        <v>11930</v>
      </c>
      <c r="B5113" s="2" t="s">
        <v>11931</v>
      </c>
      <c r="C5113" s="1" t="s">
        <v>1773</v>
      </c>
      <c r="D5113" s="1" t="s">
        <v>1775</v>
      </c>
    </row>
    <row r="5114">
      <c r="A5114" s="1" t="s">
        <v>11932</v>
      </c>
      <c r="B5114" s="2" t="s">
        <v>11933</v>
      </c>
      <c r="C5114" s="1" t="s">
        <v>1773</v>
      </c>
      <c r="D5114" s="1" t="s">
        <v>1775</v>
      </c>
    </row>
    <row r="5115">
      <c r="A5115" s="1" t="s">
        <v>11934</v>
      </c>
      <c r="B5115" s="2" t="s">
        <v>11935</v>
      </c>
      <c r="C5115" s="1" t="s">
        <v>1773</v>
      </c>
      <c r="D5115" s="1" t="s">
        <v>1775</v>
      </c>
    </row>
    <row r="5116">
      <c r="A5116" s="1" t="s">
        <v>11936</v>
      </c>
      <c r="B5116" s="2" t="s">
        <v>11937</v>
      </c>
      <c r="C5116" s="1" t="s">
        <v>1773</v>
      </c>
      <c r="D5116" s="1" t="s">
        <v>1775</v>
      </c>
    </row>
    <row r="5117">
      <c r="A5117" s="1" t="s">
        <v>11938</v>
      </c>
      <c r="B5117" s="2" t="s">
        <v>11939</v>
      </c>
      <c r="C5117" s="1" t="s">
        <v>1773</v>
      </c>
      <c r="D5117" s="1" t="s">
        <v>1775</v>
      </c>
    </row>
    <row r="5118">
      <c r="A5118" s="1" t="s">
        <v>11940</v>
      </c>
      <c r="B5118" s="2" t="s">
        <v>10897</v>
      </c>
      <c r="C5118" s="1" t="s">
        <v>1773</v>
      </c>
      <c r="D5118" s="1" t="s">
        <v>1775</v>
      </c>
    </row>
    <row r="5119">
      <c r="A5119" s="1" t="s">
        <v>11941</v>
      </c>
      <c r="B5119" s="2" t="s">
        <v>11942</v>
      </c>
      <c r="C5119" s="1" t="s">
        <v>1773</v>
      </c>
      <c r="D5119" s="1" t="s">
        <v>1775</v>
      </c>
    </row>
    <row r="5120">
      <c r="A5120" s="1" t="s">
        <v>11943</v>
      </c>
      <c r="B5120" s="2" t="s">
        <v>11944</v>
      </c>
      <c r="C5120" s="1" t="s">
        <v>1773</v>
      </c>
      <c r="D5120" s="1" t="s">
        <v>1775</v>
      </c>
    </row>
    <row r="5121">
      <c r="A5121" s="1" t="s">
        <v>11945</v>
      </c>
      <c r="B5121" s="2" t="s">
        <v>11946</v>
      </c>
      <c r="C5121" s="1" t="s">
        <v>1773</v>
      </c>
      <c r="D5121" s="1" t="s">
        <v>1775</v>
      </c>
    </row>
    <row r="5122">
      <c r="A5122" s="1" t="s">
        <v>11947</v>
      </c>
      <c r="B5122" s="2" t="s">
        <v>11948</v>
      </c>
      <c r="C5122" s="1" t="s">
        <v>1773</v>
      </c>
      <c r="D5122" s="1" t="s">
        <v>1775</v>
      </c>
    </row>
    <row r="5123">
      <c r="A5123" s="1" t="s">
        <v>11949</v>
      </c>
      <c r="B5123" s="2" t="s">
        <v>11950</v>
      </c>
      <c r="C5123" s="1" t="s">
        <v>1773</v>
      </c>
      <c r="D5123" s="1" t="s">
        <v>1775</v>
      </c>
    </row>
    <row r="5124">
      <c r="A5124" s="1" t="s">
        <v>11951</v>
      </c>
      <c r="B5124" s="2" t="s">
        <v>11952</v>
      </c>
      <c r="C5124" s="1" t="s">
        <v>1773</v>
      </c>
      <c r="D5124" s="1" t="s">
        <v>1775</v>
      </c>
    </row>
    <row r="5125">
      <c r="A5125" s="1" t="s">
        <v>11953</v>
      </c>
      <c r="B5125" s="2" t="s">
        <v>11954</v>
      </c>
      <c r="C5125" s="1" t="s">
        <v>1773</v>
      </c>
      <c r="D5125" s="1" t="s">
        <v>1775</v>
      </c>
    </row>
    <row r="5126">
      <c r="A5126" s="1" t="s">
        <v>11955</v>
      </c>
      <c r="B5126" s="2" t="s">
        <v>11956</v>
      </c>
      <c r="C5126" s="1" t="s">
        <v>1773</v>
      </c>
      <c r="D5126" s="1" t="s">
        <v>1775</v>
      </c>
    </row>
    <row r="5127">
      <c r="A5127" s="1" t="s">
        <v>11957</v>
      </c>
      <c r="B5127" s="2" t="s">
        <v>11958</v>
      </c>
      <c r="C5127" s="1" t="s">
        <v>1773</v>
      </c>
      <c r="D5127" s="1" t="s">
        <v>1775</v>
      </c>
    </row>
    <row r="5128">
      <c r="A5128" s="1" t="s">
        <v>11959</v>
      </c>
      <c r="B5128" s="2" t="s">
        <v>11960</v>
      </c>
      <c r="C5128" s="1" t="s">
        <v>1773</v>
      </c>
      <c r="D5128" s="1" t="s">
        <v>1775</v>
      </c>
    </row>
    <row r="5129">
      <c r="A5129" s="1" t="s">
        <v>11961</v>
      </c>
      <c r="B5129" s="2" t="s">
        <v>11962</v>
      </c>
      <c r="C5129" s="1" t="s">
        <v>1773</v>
      </c>
      <c r="D5129" s="1" t="s">
        <v>1775</v>
      </c>
    </row>
    <row r="5130">
      <c r="A5130" s="1" t="s">
        <v>11963</v>
      </c>
      <c r="B5130" s="2" t="s">
        <v>11964</v>
      </c>
      <c r="C5130" s="1" t="s">
        <v>1773</v>
      </c>
      <c r="D5130" s="1" t="s">
        <v>1775</v>
      </c>
    </row>
    <row r="5131">
      <c r="A5131" s="1" t="s">
        <v>11965</v>
      </c>
      <c r="B5131" s="2" t="s">
        <v>11966</v>
      </c>
      <c r="C5131" s="1" t="s">
        <v>1773</v>
      </c>
      <c r="D5131" s="1" t="s">
        <v>1775</v>
      </c>
    </row>
    <row r="5132">
      <c r="A5132" s="1" t="s">
        <v>11967</v>
      </c>
      <c r="B5132" s="2" t="s">
        <v>11968</v>
      </c>
      <c r="C5132" s="1" t="s">
        <v>1773</v>
      </c>
      <c r="D5132" s="1" t="s">
        <v>1775</v>
      </c>
    </row>
    <row r="5133">
      <c r="A5133" s="1" t="s">
        <v>1780</v>
      </c>
      <c r="B5133" s="2" t="s">
        <v>1524</v>
      </c>
      <c r="C5133" s="1" t="s">
        <v>1782</v>
      </c>
      <c r="D5133" s="1" t="s">
        <v>1784</v>
      </c>
    </row>
    <row r="5134">
      <c r="A5134" s="1" t="s">
        <v>11969</v>
      </c>
      <c r="B5134" s="2" t="s">
        <v>11970</v>
      </c>
      <c r="C5134" s="1" t="s">
        <v>1782</v>
      </c>
      <c r="D5134" s="1" t="s">
        <v>1784</v>
      </c>
    </row>
    <row r="5135">
      <c r="A5135" s="1" t="s">
        <v>11971</v>
      </c>
      <c r="B5135" s="2" t="s">
        <v>11972</v>
      </c>
      <c r="C5135" s="1" t="s">
        <v>1782</v>
      </c>
      <c r="D5135" s="1" t="s">
        <v>1784</v>
      </c>
    </row>
    <row r="5136">
      <c r="A5136" s="1" t="s">
        <v>11973</v>
      </c>
      <c r="B5136" s="2" t="s">
        <v>11974</v>
      </c>
      <c r="C5136" s="1" t="s">
        <v>1782</v>
      </c>
      <c r="D5136" s="1" t="s">
        <v>1784</v>
      </c>
    </row>
    <row r="5137">
      <c r="A5137" s="1" t="s">
        <v>11975</v>
      </c>
      <c r="B5137" s="2" t="s">
        <v>11976</v>
      </c>
      <c r="C5137" s="1" t="s">
        <v>1782</v>
      </c>
      <c r="D5137" s="1" t="s">
        <v>1784</v>
      </c>
    </row>
    <row r="5138">
      <c r="A5138" s="1" t="s">
        <v>11977</v>
      </c>
      <c r="B5138" s="2" t="s">
        <v>11978</v>
      </c>
      <c r="C5138" s="1" t="s">
        <v>1782</v>
      </c>
      <c r="D5138" s="1" t="s">
        <v>1784</v>
      </c>
    </row>
    <row r="5139">
      <c r="A5139" s="1" t="s">
        <v>11979</v>
      </c>
      <c r="B5139" s="2" t="s">
        <v>11980</v>
      </c>
      <c r="C5139" s="1" t="s">
        <v>1782</v>
      </c>
      <c r="D5139" s="1" t="s">
        <v>1784</v>
      </c>
    </row>
    <row r="5140">
      <c r="A5140" s="1" t="s">
        <v>11981</v>
      </c>
      <c r="B5140" s="2" t="s">
        <v>11982</v>
      </c>
      <c r="C5140" s="1" t="s">
        <v>1782</v>
      </c>
      <c r="D5140" s="1" t="s">
        <v>1784</v>
      </c>
    </row>
    <row r="5141">
      <c r="A5141" s="1" t="s">
        <v>11983</v>
      </c>
      <c r="B5141" s="2" t="s">
        <v>11984</v>
      </c>
      <c r="C5141" s="1" t="s">
        <v>1782</v>
      </c>
      <c r="D5141" s="1" t="s">
        <v>1784</v>
      </c>
    </row>
    <row r="5142">
      <c r="A5142" s="1" t="s">
        <v>11985</v>
      </c>
      <c r="B5142" s="2" t="s">
        <v>11986</v>
      </c>
      <c r="C5142" s="1" t="s">
        <v>1782</v>
      </c>
      <c r="D5142" s="1" t="s">
        <v>1784</v>
      </c>
    </row>
    <row r="5143">
      <c r="A5143" s="1" t="s">
        <v>11987</v>
      </c>
      <c r="B5143" s="2" t="s">
        <v>11988</v>
      </c>
      <c r="C5143" s="1" t="s">
        <v>1782</v>
      </c>
      <c r="D5143" s="1" t="s">
        <v>1784</v>
      </c>
    </row>
    <row r="5144">
      <c r="A5144" s="1" t="s">
        <v>11989</v>
      </c>
      <c r="B5144" s="2" t="s">
        <v>11990</v>
      </c>
      <c r="C5144" s="1" t="s">
        <v>1782</v>
      </c>
      <c r="D5144" s="1" t="s">
        <v>1784</v>
      </c>
    </row>
    <row r="5145">
      <c r="A5145" s="1" t="s">
        <v>11991</v>
      </c>
      <c r="B5145" s="2" t="s">
        <v>11992</v>
      </c>
      <c r="C5145" s="1" t="s">
        <v>1782</v>
      </c>
      <c r="D5145" s="1" t="s">
        <v>1784</v>
      </c>
    </row>
    <row r="5146">
      <c r="A5146" s="1" t="s">
        <v>11993</v>
      </c>
      <c r="B5146" s="2" t="s">
        <v>11994</v>
      </c>
      <c r="C5146" s="1" t="s">
        <v>1782</v>
      </c>
      <c r="D5146" s="1" t="s">
        <v>1784</v>
      </c>
    </row>
    <row r="5147">
      <c r="A5147" s="1" t="s">
        <v>11995</v>
      </c>
      <c r="B5147" s="2" t="s">
        <v>11996</v>
      </c>
      <c r="C5147" s="1" t="s">
        <v>1782</v>
      </c>
      <c r="D5147" s="1" t="s">
        <v>1784</v>
      </c>
    </row>
    <row r="5148">
      <c r="A5148" s="1" t="s">
        <v>1789</v>
      </c>
      <c r="B5148" s="2" t="s">
        <v>7</v>
      </c>
      <c r="C5148" s="1" t="s">
        <v>1790</v>
      </c>
      <c r="D5148" s="1" t="s">
        <v>1792</v>
      </c>
    </row>
    <row r="5149">
      <c r="A5149" s="1" t="s">
        <v>11997</v>
      </c>
      <c r="B5149" s="2" t="s">
        <v>11998</v>
      </c>
      <c r="C5149" s="1" t="s">
        <v>1790</v>
      </c>
      <c r="D5149" s="1" t="s">
        <v>1792</v>
      </c>
    </row>
    <row r="5150">
      <c r="A5150" s="1" t="s">
        <v>11999</v>
      </c>
      <c r="B5150" s="2" t="s">
        <v>10610</v>
      </c>
      <c r="C5150" s="1" t="s">
        <v>1790</v>
      </c>
      <c r="D5150" s="1" t="s">
        <v>1792</v>
      </c>
    </row>
    <row r="5151">
      <c r="A5151" s="1" t="s">
        <v>12000</v>
      </c>
      <c r="B5151" s="2" t="s">
        <v>10612</v>
      </c>
      <c r="C5151" s="1" t="s">
        <v>1790</v>
      </c>
      <c r="D5151" s="1" t="s">
        <v>1792</v>
      </c>
    </row>
    <row r="5152">
      <c r="A5152" s="1" t="s">
        <v>12001</v>
      </c>
      <c r="B5152" s="2" t="s">
        <v>10614</v>
      </c>
      <c r="C5152" s="1" t="s">
        <v>1790</v>
      </c>
      <c r="D5152" s="1" t="s">
        <v>1792</v>
      </c>
    </row>
    <row r="5153">
      <c r="A5153" s="1" t="s">
        <v>12002</v>
      </c>
      <c r="B5153" s="2" t="s">
        <v>10616</v>
      </c>
      <c r="C5153" s="1" t="s">
        <v>1790</v>
      </c>
      <c r="D5153" s="1" t="s">
        <v>1792</v>
      </c>
    </row>
    <row r="5154">
      <c r="A5154" s="1" t="s">
        <v>12003</v>
      </c>
      <c r="B5154" s="2" t="s">
        <v>10618</v>
      </c>
      <c r="C5154" s="1" t="s">
        <v>1790</v>
      </c>
      <c r="D5154" s="1" t="s">
        <v>1792</v>
      </c>
    </row>
    <row r="5155">
      <c r="A5155" s="1" t="s">
        <v>12004</v>
      </c>
      <c r="B5155" s="2" t="s">
        <v>12005</v>
      </c>
      <c r="C5155" s="1" t="s">
        <v>1790</v>
      </c>
      <c r="D5155" s="1" t="s">
        <v>1792</v>
      </c>
    </row>
    <row r="5156">
      <c r="A5156" s="1" t="s">
        <v>12006</v>
      </c>
      <c r="B5156" s="2" t="s">
        <v>10624</v>
      </c>
      <c r="C5156" s="1" t="s">
        <v>1790</v>
      </c>
      <c r="D5156" s="1" t="s">
        <v>1792</v>
      </c>
    </row>
    <row r="5157">
      <c r="A5157" s="1" t="s">
        <v>12007</v>
      </c>
      <c r="B5157" s="2" t="s">
        <v>12008</v>
      </c>
      <c r="C5157" s="1" t="s">
        <v>1790</v>
      </c>
      <c r="D5157" s="1" t="s">
        <v>1792</v>
      </c>
    </row>
    <row r="5158">
      <c r="A5158" s="1" t="s">
        <v>12009</v>
      </c>
      <c r="B5158" s="2" t="s">
        <v>10344</v>
      </c>
      <c r="C5158" s="1" t="s">
        <v>1790</v>
      </c>
      <c r="D5158" s="1" t="s">
        <v>1792</v>
      </c>
    </row>
    <row r="5159">
      <c r="A5159" s="1" t="s">
        <v>12010</v>
      </c>
      <c r="B5159" s="2" t="s">
        <v>12011</v>
      </c>
      <c r="C5159" s="1" t="s">
        <v>1790</v>
      </c>
      <c r="D5159" s="1" t="s">
        <v>1792</v>
      </c>
    </row>
    <row r="5160">
      <c r="A5160" s="1" t="s">
        <v>12012</v>
      </c>
      <c r="B5160" s="2" t="s">
        <v>12013</v>
      </c>
      <c r="C5160" s="1" t="s">
        <v>1790</v>
      </c>
      <c r="D5160" s="1" t="s">
        <v>1792</v>
      </c>
    </row>
    <row r="5161">
      <c r="A5161" s="1" t="s">
        <v>12014</v>
      </c>
      <c r="B5161" s="2" t="s">
        <v>12015</v>
      </c>
      <c r="C5161" s="1" t="s">
        <v>1790</v>
      </c>
      <c r="D5161" s="1" t="s">
        <v>1792</v>
      </c>
    </row>
    <row r="5162">
      <c r="A5162" s="1" t="s">
        <v>12016</v>
      </c>
      <c r="B5162" s="2" t="s">
        <v>12017</v>
      </c>
      <c r="C5162" s="1" t="s">
        <v>1790</v>
      </c>
      <c r="D5162" s="1" t="s">
        <v>1792</v>
      </c>
    </row>
    <row r="5163">
      <c r="A5163" s="1" t="s">
        <v>12018</v>
      </c>
      <c r="B5163" s="2" t="s">
        <v>12019</v>
      </c>
      <c r="C5163" s="1" t="s">
        <v>1790</v>
      </c>
      <c r="D5163" s="1" t="s">
        <v>1792</v>
      </c>
    </row>
    <row r="5164">
      <c r="A5164" s="1" t="s">
        <v>12020</v>
      </c>
      <c r="B5164" s="2" t="s">
        <v>12021</v>
      </c>
      <c r="C5164" s="1" t="s">
        <v>1790</v>
      </c>
      <c r="D5164" s="1" t="s">
        <v>1792</v>
      </c>
    </row>
    <row r="5165">
      <c r="A5165" s="1" t="s">
        <v>12022</v>
      </c>
      <c r="B5165" s="2" t="s">
        <v>12023</v>
      </c>
      <c r="C5165" s="1" t="s">
        <v>1790</v>
      </c>
      <c r="D5165" s="1" t="s">
        <v>1792</v>
      </c>
    </row>
    <row r="5166">
      <c r="A5166" s="1" t="s">
        <v>12024</v>
      </c>
      <c r="B5166" s="2" t="s">
        <v>12025</v>
      </c>
      <c r="C5166" s="1" t="s">
        <v>1790</v>
      </c>
      <c r="D5166" s="1" t="s">
        <v>1792</v>
      </c>
    </row>
    <row r="5167">
      <c r="A5167" s="1" t="s">
        <v>12026</v>
      </c>
      <c r="B5167" s="2" t="s">
        <v>12027</v>
      </c>
      <c r="C5167" s="1" t="s">
        <v>1790</v>
      </c>
      <c r="D5167" s="1" t="s">
        <v>1792</v>
      </c>
    </row>
    <row r="5168">
      <c r="A5168" s="1" t="s">
        <v>12028</v>
      </c>
      <c r="B5168" s="2" t="s">
        <v>12029</v>
      </c>
      <c r="C5168" s="1" t="s">
        <v>1790</v>
      </c>
      <c r="D5168" s="1" t="s">
        <v>1792</v>
      </c>
    </row>
    <row r="5169">
      <c r="A5169" s="1" t="s">
        <v>12030</v>
      </c>
      <c r="B5169" s="2" t="s">
        <v>12031</v>
      </c>
      <c r="C5169" s="1" t="s">
        <v>1790</v>
      </c>
      <c r="D5169" s="1" t="s">
        <v>1792</v>
      </c>
    </row>
    <row r="5170">
      <c r="A5170" s="1" t="s">
        <v>12032</v>
      </c>
      <c r="B5170" s="2" t="s">
        <v>12033</v>
      </c>
      <c r="C5170" s="1" t="s">
        <v>1790</v>
      </c>
      <c r="D5170" s="1" t="s">
        <v>1792</v>
      </c>
    </row>
    <row r="5171">
      <c r="A5171" s="1" t="s">
        <v>12034</v>
      </c>
      <c r="B5171" s="2" t="s">
        <v>12035</v>
      </c>
      <c r="C5171" s="1" t="s">
        <v>1790</v>
      </c>
      <c r="D5171" s="1" t="s">
        <v>1792</v>
      </c>
    </row>
    <row r="5172">
      <c r="A5172" s="1" t="s">
        <v>12036</v>
      </c>
      <c r="B5172" s="2" t="s">
        <v>12037</v>
      </c>
      <c r="C5172" s="1" t="s">
        <v>1790</v>
      </c>
      <c r="D5172" s="1" t="s">
        <v>1792</v>
      </c>
    </row>
    <row r="5173">
      <c r="A5173" s="1" t="s">
        <v>12038</v>
      </c>
      <c r="B5173" s="2" t="s">
        <v>12039</v>
      </c>
      <c r="C5173" s="1" t="s">
        <v>1790</v>
      </c>
      <c r="D5173" s="1" t="s">
        <v>1792</v>
      </c>
    </row>
    <row r="5174">
      <c r="A5174" s="1" t="s">
        <v>12040</v>
      </c>
      <c r="B5174" s="2" t="s">
        <v>12041</v>
      </c>
      <c r="C5174" s="1" t="s">
        <v>1790</v>
      </c>
      <c r="D5174" s="1" t="s">
        <v>1792</v>
      </c>
    </row>
    <row r="5175">
      <c r="A5175" s="1" t="s">
        <v>12042</v>
      </c>
      <c r="B5175" s="2" t="s">
        <v>12043</v>
      </c>
      <c r="C5175" s="1" t="s">
        <v>1790</v>
      </c>
      <c r="D5175" s="1" t="s">
        <v>1792</v>
      </c>
    </row>
    <row r="5176">
      <c r="A5176" s="1" t="s">
        <v>12044</v>
      </c>
      <c r="B5176" s="2" t="s">
        <v>12045</v>
      </c>
      <c r="C5176" s="1" t="s">
        <v>1790</v>
      </c>
      <c r="D5176" s="1" t="s">
        <v>1792</v>
      </c>
    </row>
    <row r="5177">
      <c r="A5177" s="1" t="s">
        <v>12046</v>
      </c>
      <c r="B5177" s="2" t="s">
        <v>12047</v>
      </c>
      <c r="C5177" s="1" t="s">
        <v>1790</v>
      </c>
      <c r="D5177" s="1" t="s">
        <v>1792</v>
      </c>
    </row>
    <row r="5178">
      <c r="A5178" s="1" t="s">
        <v>12048</v>
      </c>
      <c r="B5178" s="2" t="s">
        <v>10348</v>
      </c>
      <c r="C5178" s="1" t="s">
        <v>1790</v>
      </c>
      <c r="D5178" s="1" t="s">
        <v>1792</v>
      </c>
    </row>
    <row r="5179">
      <c r="A5179" s="1" t="s">
        <v>12049</v>
      </c>
      <c r="B5179" s="2" t="s">
        <v>12050</v>
      </c>
      <c r="C5179" s="1" t="s">
        <v>1790</v>
      </c>
      <c r="D5179" s="1" t="s">
        <v>1792</v>
      </c>
    </row>
    <row r="5180">
      <c r="A5180" s="1" t="s">
        <v>12051</v>
      </c>
      <c r="B5180" s="2" t="s">
        <v>12052</v>
      </c>
      <c r="C5180" s="1" t="s">
        <v>1790</v>
      </c>
      <c r="D5180" s="1" t="s">
        <v>1792</v>
      </c>
    </row>
    <row r="5181">
      <c r="A5181" s="1" t="s">
        <v>12053</v>
      </c>
      <c r="B5181" s="2" t="s">
        <v>12054</v>
      </c>
      <c r="C5181" s="1" t="s">
        <v>1790</v>
      </c>
      <c r="D5181" s="1" t="s">
        <v>1792</v>
      </c>
    </row>
    <row r="5182">
      <c r="A5182" s="1" t="s">
        <v>12055</v>
      </c>
      <c r="B5182" s="2" t="s">
        <v>12056</v>
      </c>
      <c r="C5182" s="1" t="s">
        <v>1790</v>
      </c>
      <c r="D5182" s="1" t="s">
        <v>1792</v>
      </c>
    </row>
    <row r="5183">
      <c r="A5183" s="1" t="s">
        <v>12057</v>
      </c>
      <c r="B5183" s="2" t="s">
        <v>12058</v>
      </c>
      <c r="C5183" s="1" t="s">
        <v>1790</v>
      </c>
      <c r="D5183" s="1" t="s">
        <v>1792</v>
      </c>
    </row>
    <row r="5184">
      <c r="A5184" s="1" t="s">
        <v>12059</v>
      </c>
      <c r="B5184" s="2" t="s">
        <v>12060</v>
      </c>
      <c r="C5184" s="1" t="s">
        <v>1790</v>
      </c>
      <c r="D5184" s="1" t="s">
        <v>1792</v>
      </c>
    </row>
    <row r="5185">
      <c r="A5185" s="1" t="s">
        <v>12061</v>
      </c>
      <c r="B5185" s="2" t="s">
        <v>12062</v>
      </c>
      <c r="C5185" s="1" t="s">
        <v>1790</v>
      </c>
      <c r="D5185" s="1" t="s">
        <v>1792</v>
      </c>
    </row>
    <row r="5186">
      <c r="A5186" s="1" t="s">
        <v>12063</v>
      </c>
      <c r="B5186" s="2" t="s">
        <v>12064</v>
      </c>
      <c r="C5186" s="1" t="s">
        <v>1790</v>
      </c>
      <c r="D5186" s="1" t="s">
        <v>1792</v>
      </c>
    </row>
    <row r="5187">
      <c r="A5187" s="1" t="s">
        <v>12065</v>
      </c>
      <c r="B5187" s="2" t="s">
        <v>12066</v>
      </c>
      <c r="C5187" s="1" t="s">
        <v>1790</v>
      </c>
      <c r="D5187" s="1" t="s">
        <v>1792</v>
      </c>
    </row>
    <row r="5188">
      <c r="A5188" s="1" t="s">
        <v>12067</v>
      </c>
      <c r="B5188" s="2" t="s">
        <v>12068</v>
      </c>
      <c r="C5188" s="1" t="s">
        <v>1790</v>
      </c>
      <c r="D5188" s="1" t="s">
        <v>1792</v>
      </c>
    </row>
    <row r="5189">
      <c r="A5189" s="1" t="s">
        <v>12069</v>
      </c>
      <c r="B5189" s="2" t="s">
        <v>12070</v>
      </c>
      <c r="C5189" s="1" t="s">
        <v>1790</v>
      </c>
      <c r="D5189" s="1" t="s">
        <v>1792</v>
      </c>
    </row>
    <row r="5190">
      <c r="A5190" s="1" t="s">
        <v>12071</v>
      </c>
      <c r="B5190" s="2" t="s">
        <v>12072</v>
      </c>
      <c r="C5190" s="1" t="s">
        <v>1790</v>
      </c>
      <c r="D5190" s="1" t="s">
        <v>1792</v>
      </c>
    </row>
    <row r="5191">
      <c r="A5191" s="1" t="s">
        <v>12073</v>
      </c>
      <c r="B5191" s="2" t="s">
        <v>12074</v>
      </c>
      <c r="C5191" s="1" t="s">
        <v>1790</v>
      </c>
      <c r="D5191" s="1" t="s">
        <v>1792</v>
      </c>
    </row>
    <row r="5192">
      <c r="A5192" s="1" t="s">
        <v>12075</v>
      </c>
      <c r="B5192" s="2" t="s">
        <v>12076</v>
      </c>
      <c r="C5192" s="1" t="s">
        <v>1790</v>
      </c>
      <c r="D5192" s="1" t="s">
        <v>1792</v>
      </c>
    </row>
    <row r="5193">
      <c r="A5193" s="1" t="s">
        <v>12077</v>
      </c>
      <c r="B5193" s="2" t="s">
        <v>12078</v>
      </c>
      <c r="C5193" s="1" t="s">
        <v>1790</v>
      </c>
      <c r="D5193" s="1" t="s">
        <v>1792</v>
      </c>
    </row>
    <row r="5194">
      <c r="A5194" s="1" t="s">
        <v>12079</v>
      </c>
      <c r="B5194" s="2" t="s">
        <v>12080</v>
      </c>
      <c r="C5194" s="1" t="s">
        <v>1790</v>
      </c>
      <c r="D5194" s="1" t="s">
        <v>1792</v>
      </c>
    </row>
    <row r="5195">
      <c r="A5195" s="1" t="s">
        <v>12081</v>
      </c>
      <c r="B5195" s="2" t="s">
        <v>12082</v>
      </c>
      <c r="C5195" s="1" t="s">
        <v>1790</v>
      </c>
      <c r="D5195" s="1" t="s">
        <v>1792</v>
      </c>
    </row>
    <row r="5196">
      <c r="A5196" s="1" t="s">
        <v>12083</v>
      </c>
      <c r="B5196" s="2" t="s">
        <v>12084</v>
      </c>
      <c r="C5196" s="1" t="s">
        <v>1790</v>
      </c>
      <c r="D5196" s="1" t="s">
        <v>1792</v>
      </c>
    </row>
    <row r="5197">
      <c r="A5197" s="1" t="s">
        <v>12085</v>
      </c>
      <c r="B5197" s="2" t="s">
        <v>12086</v>
      </c>
      <c r="C5197" s="1" t="s">
        <v>1790</v>
      </c>
      <c r="D5197" s="1" t="s">
        <v>1792</v>
      </c>
    </row>
    <row r="5198">
      <c r="A5198" s="1" t="s">
        <v>12087</v>
      </c>
      <c r="B5198" s="2" t="s">
        <v>12088</v>
      </c>
      <c r="C5198" s="1" t="s">
        <v>1790</v>
      </c>
      <c r="D5198" s="1" t="s">
        <v>1792</v>
      </c>
    </row>
    <row r="5199">
      <c r="A5199" s="1" t="s">
        <v>12089</v>
      </c>
      <c r="B5199" s="2" t="s">
        <v>12090</v>
      </c>
      <c r="C5199" s="1" t="s">
        <v>1790</v>
      </c>
      <c r="D5199" s="1" t="s">
        <v>1792</v>
      </c>
    </row>
    <row r="5200">
      <c r="A5200" s="1" t="s">
        <v>12091</v>
      </c>
      <c r="B5200" s="2" t="s">
        <v>12092</v>
      </c>
      <c r="C5200" s="1" t="s">
        <v>1790</v>
      </c>
      <c r="D5200" s="1" t="s">
        <v>1792</v>
      </c>
    </row>
    <row r="5201">
      <c r="A5201" s="1" t="s">
        <v>12093</v>
      </c>
      <c r="B5201" s="2" t="s">
        <v>12094</v>
      </c>
      <c r="C5201" s="1" t="s">
        <v>1790</v>
      </c>
      <c r="D5201" s="1" t="s">
        <v>1792</v>
      </c>
    </row>
    <row r="5202">
      <c r="A5202" s="1" t="s">
        <v>12095</v>
      </c>
      <c r="B5202" s="2" t="s">
        <v>12096</v>
      </c>
      <c r="C5202" s="1" t="s">
        <v>1790</v>
      </c>
      <c r="D5202" s="1" t="s">
        <v>1792</v>
      </c>
    </row>
    <row r="5203">
      <c r="A5203" s="1" t="s">
        <v>12097</v>
      </c>
      <c r="B5203" s="2" t="s">
        <v>12098</v>
      </c>
      <c r="C5203" s="1" t="s">
        <v>1790</v>
      </c>
      <c r="D5203" s="1" t="s">
        <v>1792</v>
      </c>
    </row>
    <row r="5204">
      <c r="A5204" s="1" t="s">
        <v>12099</v>
      </c>
      <c r="B5204" s="2" t="s">
        <v>12100</v>
      </c>
      <c r="C5204" s="1" t="s">
        <v>1790</v>
      </c>
      <c r="D5204" s="1" t="s">
        <v>1792</v>
      </c>
    </row>
    <row r="5205">
      <c r="A5205" s="1" t="s">
        <v>12101</v>
      </c>
      <c r="B5205" s="2" t="s">
        <v>12102</v>
      </c>
      <c r="C5205" s="1" t="s">
        <v>1790</v>
      </c>
      <c r="D5205" s="1" t="s">
        <v>1792</v>
      </c>
    </row>
    <row r="5206">
      <c r="A5206" s="1" t="s">
        <v>12103</v>
      </c>
      <c r="B5206" s="2" t="s">
        <v>12104</v>
      </c>
      <c r="C5206" s="1" t="s">
        <v>1790</v>
      </c>
      <c r="D5206" s="1" t="s">
        <v>1792</v>
      </c>
    </row>
    <row r="5207">
      <c r="A5207" s="1" t="s">
        <v>12105</v>
      </c>
      <c r="B5207" s="2" t="s">
        <v>12106</v>
      </c>
      <c r="C5207" s="1" t="s">
        <v>1790</v>
      </c>
      <c r="D5207" s="1" t="s">
        <v>1792</v>
      </c>
    </row>
    <row r="5208">
      <c r="A5208" s="1" t="s">
        <v>12107</v>
      </c>
      <c r="B5208" s="2" t="s">
        <v>10356</v>
      </c>
      <c r="C5208" s="1" t="s">
        <v>1790</v>
      </c>
      <c r="D5208" s="1" t="s">
        <v>1792</v>
      </c>
    </row>
    <row r="5209">
      <c r="A5209" s="1" t="s">
        <v>12108</v>
      </c>
      <c r="B5209" s="2" t="s">
        <v>12109</v>
      </c>
      <c r="C5209" s="1" t="s">
        <v>1790</v>
      </c>
      <c r="D5209" s="1" t="s">
        <v>1792</v>
      </c>
    </row>
    <row r="5210">
      <c r="A5210" s="1" t="s">
        <v>12110</v>
      </c>
      <c r="B5210" s="2" t="s">
        <v>12111</v>
      </c>
      <c r="C5210" s="1" t="s">
        <v>1790</v>
      </c>
      <c r="D5210" s="1" t="s">
        <v>1792</v>
      </c>
    </row>
    <row r="5211">
      <c r="A5211" s="1" t="s">
        <v>12112</v>
      </c>
      <c r="B5211" s="2" t="s">
        <v>12113</v>
      </c>
      <c r="C5211" s="1" t="s">
        <v>1790</v>
      </c>
      <c r="D5211" s="1" t="s">
        <v>1792</v>
      </c>
    </row>
    <row r="5212">
      <c r="A5212" s="1" t="s">
        <v>12114</v>
      </c>
      <c r="B5212" s="2" t="s">
        <v>12115</v>
      </c>
      <c r="C5212" s="1" t="s">
        <v>1790</v>
      </c>
      <c r="D5212" s="1" t="s">
        <v>1792</v>
      </c>
    </row>
    <row r="5213">
      <c r="A5213" s="1" t="s">
        <v>12116</v>
      </c>
      <c r="B5213" s="2" t="s">
        <v>12117</v>
      </c>
      <c r="C5213" s="1" t="s">
        <v>1790</v>
      </c>
      <c r="D5213" s="1" t="s">
        <v>1792</v>
      </c>
    </row>
    <row r="5214">
      <c r="A5214" s="1" t="s">
        <v>12118</v>
      </c>
      <c r="B5214" s="2" t="s">
        <v>12119</v>
      </c>
      <c r="C5214" s="1" t="s">
        <v>1790</v>
      </c>
      <c r="D5214" s="1" t="s">
        <v>1792</v>
      </c>
    </row>
    <row r="5215">
      <c r="A5215" s="1" t="s">
        <v>12120</v>
      </c>
      <c r="B5215" s="2" t="s">
        <v>12121</v>
      </c>
      <c r="C5215" s="1" t="s">
        <v>1790</v>
      </c>
      <c r="D5215" s="1" t="s">
        <v>1792</v>
      </c>
    </row>
    <row r="5216">
      <c r="A5216" s="1" t="s">
        <v>12122</v>
      </c>
      <c r="B5216" s="2" t="s">
        <v>12123</v>
      </c>
      <c r="C5216" s="1" t="s">
        <v>1790</v>
      </c>
      <c r="D5216" s="1" t="s">
        <v>1792</v>
      </c>
    </row>
    <row r="5217">
      <c r="A5217" s="1" t="s">
        <v>12124</v>
      </c>
      <c r="B5217" s="2" t="s">
        <v>12125</v>
      </c>
      <c r="C5217" s="1" t="s">
        <v>1790</v>
      </c>
      <c r="D5217" s="1" t="s">
        <v>1792</v>
      </c>
    </row>
    <row r="5218">
      <c r="A5218" s="1" t="s">
        <v>12126</v>
      </c>
      <c r="B5218" s="2" t="s">
        <v>12127</v>
      </c>
      <c r="C5218" s="1" t="s">
        <v>1790</v>
      </c>
      <c r="D5218" s="1" t="s">
        <v>1792</v>
      </c>
    </row>
    <row r="5219">
      <c r="A5219" s="1" t="s">
        <v>12128</v>
      </c>
      <c r="B5219" s="2" t="s">
        <v>12129</v>
      </c>
      <c r="C5219" s="1" t="s">
        <v>1790</v>
      </c>
      <c r="D5219" s="1" t="s">
        <v>1792</v>
      </c>
    </row>
    <row r="5220">
      <c r="A5220" s="1" t="s">
        <v>12130</v>
      </c>
      <c r="B5220" s="2" t="s">
        <v>12131</v>
      </c>
      <c r="C5220" s="1" t="s">
        <v>1790</v>
      </c>
      <c r="D5220" s="1" t="s">
        <v>1792</v>
      </c>
    </row>
    <row r="5221">
      <c r="A5221" s="1" t="s">
        <v>12132</v>
      </c>
      <c r="B5221" s="2" t="s">
        <v>12133</v>
      </c>
      <c r="C5221" s="1" t="s">
        <v>1790</v>
      </c>
      <c r="D5221" s="1" t="s">
        <v>1792</v>
      </c>
    </row>
    <row r="5222">
      <c r="A5222" s="1" t="s">
        <v>12134</v>
      </c>
      <c r="B5222" s="2" t="s">
        <v>12135</v>
      </c>
      <c r="C5222" s="1" t="s">
        <v>1790</v>
      </c>
      <c r="D5222" s="1" t="s">
        <v>1792</v>
      </c>
    </row>
    <row r="5223">
      <c r="A5223" s="1" t="s">
        <v>12136</v>
      </c>
      <c r="B5223" s="2" t="s">
        <v>12137</v>
      </c>
      <c r="C5223" s="1" t="s">
        <v>1790</v>
      </c>
      <c r="D5223" s="1" t="s">
        <v>1792</v>
      </c>
    </row>
    <row r="5224">
      <c r="A5224" s="1" t="s">
        <v>12138</v>
      </c>
      <c r="B5224" s="2" t="s">
        <v>12139</v>
      </c>
      <c r="C5224" s="1" t="s">
        <v>1790</v>
      </c>
      <c r="D5224" s="1" t="s">
        <v>1792</v>
      </c>
    </row>
    <row r="5225">
      <c r="A5225" s="1" t="s">
        <v>12140</v>
      </c>
      <c r="B5225" s="2" t="s">
        <v>12141</v>
      </c>
      <c r="C5225" s="1" t="s">
        <v>1790</v>
      </c>
      <c r="D5225" s="1" t="s">
        <v>1792</v>
      </c>
    </row>
    <row r="5226">
      <c r="A5226" s="1" t="s">
        <v>12142</v>
      </c>
      <c r="B5226" s="2" t="s">
        <v>12143</v>
      </c>
      <c r="C5226" s="1" t="s">
        <v>1790</v>
      </c>
      <c r="D5226" s="1" t="s">
        <v>1792</v>
      </c>
    </row>
    <row r="5227">
      <c r="A5227" s="1" t="s">
        <v>12144</v>
      </c>
      <c r="B5227" s="2" t="s">
        <v>12145</v>
      </c>
      <c r="C5227" s="1" t="s">
        <v>1790</v>
      </c>
      <c r="D5227" s="1" t="s">
        <v>1792</v>
      </c>
    </row>
    <row r="5228">
      <c r="A5228" s="1" t="s">
        <v>12146</v>
      </c>
      <c r="B5228" s="2" t="s">
        <v>12147</v>
      </c>
      <c r="C5228" s="1" t="s">
        <v>1790</v>
      </c>
      <c r="D5228" s="1" t="s">
        <v>1792</v>
      </c>
    </row>
    <row r="5229">
      <c r="A5229" s="1" t="s">
        <v>12148</v>
      </c>
      <c r="B5229" s="2" t="s">
        <v>12149</v>
      </c>
      <c r="C5229" s="1" t="s">
        <v>1790</v>
      </c>
      <c r="D5229" s="1" t="s">
        <v>1792</v>
      </c>
    </row>
    <row r="5230">
      <c r="A5230" s="1" t="s">
        <v>12150</v>
      </c>
      <c r="B5230" s="2" t="s">
        <v>12151</v>
      </c>
      <c r="C5230" s="1" t="s">
        <v>1790</v>
      </c>
      <c r="D5230" s="1" t="s">
        <v>1792</v>
      </c>
    </row>
    <row r="5231">
      <c r="A5231" s="1" t="s">
        <v>12152</v>
      </c>
      <c r="B5231" s="2" t="s">
        <v>12153</v>
      </c>
      <c r="C5231" s="1" t="s">
        <v>1790</v>
      </c>
      <c r="D5231" s="1" t="s">
        <v>1792</v>
      </c>
    </row>
    <row r="5232">
      <c r="A5232" s="1" t="s">
        <v>12154</v>
      </c>
      <c r="B5232" s="2" t="s">
        <v>12155</v>
      </c>
      <c r="C5232" s="1" t="s">
        <v>1790</v>
      </c>
      <c r="D5232" s="1" t="s">
        <v>1792</v>
      </c>
    </row>
    <row r="5233">
      <c r="A5233" s="1" t="s">
        <v>12156</v>
      </c>
      <c r="B5233" s="2" t="s">
        <v>12157</v>
      </c>
      <c r="C5233" s="1" t="s">
        <v>1790</v>
      </c>
      <c r="D5233" s="1" t="s">
        <v>1792</v>
      </c>
    </row>
    <row r="5234">
      <c r="A5234" s="1" t="s">
        <v>12158</v>
      </c>
      <c r="B5234" s="2" t="s">
        <v>12159</v>
      </c>
      <c r="C5234" s="1" t="s">
        <v>1790</v>
      </c>
      <c r="D5234" s="1" t="s">
        <v>1792</v>
      </c>
    </row>
    <row r="5235">
      <c r="A5235" s="1" t="s">
        <v>12160</v>
      </c>
      <c r="B5235" s="2" t="s">
        <v>12161</v>
      </c>
      <c r="C5235" s="1" t="s">
        <v>1790</v>
      </c>
      <c r="D5235" s="1" t="s">
        <v>1792</v>
      </c>
    </row>
    <row r="5236">
      <c r="A5236" s="1" t="s">
        <v>12162</v>
      </c>
      <c r="B5236" s="2" t="s">
        <v>12163</v>
      </c>
      <c r="C5236" s="1" t="s">
        <v>1790</v>
      </c>
      <c r="D5236" s="1" t="s">
        <v>1792</v>
      </c>
    </row>
    <row r="5237">
      <c r="A5237" s="1" t="s">
        <v>12164</v>
      </c>
      <c r="B5237" s="2" t="s">
        <v>12165</v>
      </c>
      <c r="C5237" s="1" t="s">
        <v>1790</v>
      </c>
      <c r="D5237" s="1" t="s">
        <v>1792</v>
      </c>
    </row>
    <row r="5238">
      <c r="A5238" s="1" t="s">
        <v>12166</v>
      </c>
      <c r="B5238" s="2" t="s">
        <v>12167</v>
      </c>
      <c r="C5238" s="1" t="s">
        <v>1790</v>
      </c>
      <c r="D5238" s="1" t="s">
        <v>1792</v>
      </c>
    </row>
    <row r="5239">
      <c r="A5239" s="1" t="s">
        <v>12168</v>
      </c>
      <c r="B5239" s="2" t="s">
        <v>12169</v>
      </c>
      <c r="C5239" s="1" t="s">
        <v>1790</v>
      </c>
      <c r="D5239" s="1" t="s">
        <v>1792</v>
      </c>
    </row>
    <row r="5240">
      <c r="A5240" s="1" t="s">
        <v>12170</v>
      </c>
      <c r="B5240" s="2" t="s">
        <v>12171</v>
      </c>
      <c r="C5240" s="1" t="s">
        <v>1790</v>
      </c>
      <c r="D5240" s="1" t="s">
        <v>1792</v>
      </c>
    </row>
    <row r="5241">
      <c r="A5241" s="1" t="s">
        <v>12172</v>
      </c>
      <c r="B5241" s="2" t="s">
        <v>12173</v>
      </c>
      <c r="C5241" s="1" t="s">
        <v>1790</v>
      </c>
      <c r="D5241" s="1" t="s">
        <v>1792</v>
      </c>
    </row>
    <row r="5242">
      <c r="A5242" s="1" t="s">
        <v>12174</v>
      </c>
      <c r="B5242" s="2" t="s">
        <v>12175</v>
      </c>
      <c r="C5242" s="1" t="s">
        <v>1790</v>
      </c>
      <c r="D5242" s="1" t="s">
        <v>1792</v>
      </c>
    </row>
    <row r="5243">
      <c r="A5243" s="1" t="s">
        <v>12176</v>
      </c>
      <c r="B5243" s="2" t="s">
        <v>12177</v>
      </c>
      <c r="C5243" s="1" t="s">
        <v>1790</v>
      </c>
      <c r="D5243" s="1" t="s">
        <v>1792</v>
      </c>
    </row>
    <row r="5244">
      <c r="A5244" s="1" t="s">
        <v>12178</v>
      </c>
      <c r="B5244" s="2" t="s">
        <v>12179</v>
      </c>
      <c r="C5244" s="1" t="s">
        <v>1790</v>
      </c>
      <c r="D5244" s="1" t="s">
        <v>1792</v>
      </c>
    </row>
    <row r="5245">
      <c r="A5245" s="1" t="s">
        <v>12180</v>
      </c>
      <c r="B5245" s="2" t="s">
        <v>12181</v>
      </c>
      <c r="C5245" s="1" t="s">
        <v>1790</v>
      </c>
      <c r="D5245" s="1" t="s">
        <v>1792</v>
      </c>
    </row>
    <row r="5246">
      <c r="A5246" s="1" t="s">
        <v>12182</v>
      </c>
      <c r="B5246" s="2" t="s">
        <v>12183</v>
      </c>
      <c r="C5246" s="1" t="s">
        <v>1790</v>
      </c>
      <c r="D5246" s="1" t="s">
        <v>1792</v>
      </c>
    </row>
    <row r="5247">
      <c r="A5247" s="1" t="s">
        <v>12184</v>
      </c>
      <c r="B5247" s="2" t="s">
        <v>12185</v>
      </c>
      <c r="C5247" s="1" t="s">
        <v>1790</v>
      </c>
      <c r="D5247" s="1" t="s">
        <v>1792</v>
      </c>
    </row>
    <row r="5248">
      <c r="A5248" s="1" t="s">
        <v>12186</v>
      </c>
      <c r="B5248" s="2" t="s">
        <v>10881</v>
      </c>
      <c r="C5248" s="1" t="s">
        <v>1790</v>
      </c>
      <c r="D5248" s="1" t="s">
        <v>1792</v>
      </c>
    </row>
    <row r="5249">
      <c r="A5249" s="1" t="s">
        <v>12187</v>
      </c>
      <c r="B5249" s="2" t="s">
        <v>12188</v>
      </c>
      <c r="C5249" s="1" t="s">
        <v>1790</v>
      </c>
      <c r="D5249" s="1" t="s">
        <v>1792</v>
      </c>
    </row>
    <row r="5250">
      <c r="A5250" s="1" t="s">
        <v>12189</v>
      </c>
      <c r="B5250" s="2" t="s">
        <v>12190</v>
      </c>
      <c r="C5250" s="1" t="s">
        <v>1790</v>
      </c>
      <c r="D5250" s="1" t="s">
        <v>1792</v>
      </c>
    </row>
    <row r="5251">
      <c r="A5251" s="1" t="s">
        <v>12191</v>
      </c>
      <c r="B5251" s="2" t="s">
        <v>12192</v>
      </c>
      <c r="C5251" s="1" t="s">
        <v>1790</v>
      </c>
      <c r="D5251" s="1" t="s">
        <v>1792</v>
      </c>
    </row>
    <row r="5252">
      <c r="A5252" s="1" t="s">
        <v>12193</v>
      </c>
      <c r="B5252" s="2" t="s">
        <v>12194</v>
      </c>
      <c r="C5252" s="1" t="s">
        <v>1790</v>
      </c>
      <c r="D5252" s="1" t="s">
        <v>1792</v>
      </c>
    </row>
    <row r="5253">
      <c r="A5253" s="1" t="s">
        <v>12195</v>
      </c>
      <c r="B5253" s="2" t="s">
        <v>12196</v>
      </c>
      <c r="C5253" s="1" t="s">
        <v>1790</v>
      </c>
      <c r="D5253" s="1" t="s">
        <v>1792</v>
      </c>
    </row>
    <row r="5254">
      <c r="A5254" s="1" t="s">
        <v>12197</v>
      </c>
      <c r="B5254" s="2" t="s">
        <v>12198</v>
      </c>
      <c r="C5254" s="1" t="s">
        <v>1790</v>
      </c>
      <c r="D5254" s="1" t="s">
        <v>1792</v>
      </c>
    </row>
    <row r="5255">
      <c r="A5255" s="1" t="s">
        <v>12199</v>
      </c>
      <c r="B5255" s="2" t="s">
        <v>12200</v>
      </c>
      <c r="C5255" s="1" t="s">
        <v>1790</v>
      </c>
      <c r="D5255" s="1" t="s">
        <v>1792</v>
      </c>
    </row>
    <row r="5256">
      <c r="A5256" s="1" t="s">
        <v>12201</v>
      </c>
      <c r="B5256" s="2" t="s">
        <v>12202</v>
      </c>
      <c r="C5256" s="1" t="s">
        <v>1790</v>
      </c>
      <c r="D5256" s="1" t="s">
        <v>1792</v>
      </c>
    </row>
    <row r="5257">
      <c r="A5257" s="1" t="s">
        <v>12203</v>
      </c>
      <c r="B5257" s="2" t="s">
        <v>12204</v>
      </c>
      <c r="C5257" s="1" t="s">
        <v>1790</v>
      </c>
      <c r="D5257" s="1" t="s">
        <v>1792</v>
      </c>
    </row>
    <row r="5258">
      <c r="A5258" s="1" t="s">
        <v>12205</v>
      </c>
      <c r="B5258" s="2" t="s">
        <v>10897</v>
      </c>
      <c r="C5258" s="1" t="s">
        <v>1790</v>
      </c>
      <c r="D5258" s="1" t="s">
        <v>1792</v>
      </c>
    </row>
    <row r="5259">
      <c r="A5259" s="1" t="s">
        <v>12206</v>
      </c>
      <c r="B5259" s="2" t="s">
        <v>12207</v>
      </c>
      <c r="C5259" s="1" t="s">
        <v>1790</v>
      </c>
      <c r="D5259" s="1" t="s">
        <v>1792</v>
      </c>
    </row>
    <row r="5260">
      <c r="A5260" s="1" t="s">
        <v>12208</v>
      </c>
      <c r="B5260" s="2" t="s">
        <v>12209</v>
      </c>
      <c r="C5260" s="1" t="s">
        <v>1790</v>
      </c>
      <c r="D5260" s="1" t="s">
        <v>1792</v>
      </c>
    </row>
    <row r="5261">
      <c r="A5261" s="1" t="s">
        <v>12210</v>
      </c>
      <c r="B5261" s="2" t="s">
        <v>12211</v>
      </c>
      <c r="C5261" s="1" t="s">
        <v>1790</v>
      </c>
      <c r="D5261" s="1" t="s">
        <v>1792</v>
      </c>
    </row>
    <row r="5262">
      <c r="A5262" s="1" t="s">
        <v>12212</v>
      </c>
      <c r="B5262" s="2" t="s">
        <v>12213</v>
      </c>
      <c r="C5262" s="1" t="s">
        <v>1790</v>
      </c>
      <c r="D5262" s="1" t="s">
        <v>1792</v>
      </c>
    </row>
    <row r="5263">
      <c r="A5263" s="1" t="s">
        <v>12214</v>
      </c>
      <c r="B5263" s="2" t="s">
        <v>12215</v>
      </c>
      <c r="C5263" s="1" t="s">
        <v>1790</v>
      </c>
      <c r="D5263" s="1" t="s">
        <v>1792</v>
      </c>
    </row>
    <row r="5264">
      <c r="A5264" s="1" t="s">
        <v>12216</v>
      </c>
      <c r="B5264" s="2" t="s">
        <v>12217</v>
      </c>
      <c r="C5264" s="1" t="s">
        <v>1790</v>
      </c>
      <c r="D5264" s="1" t="s">
        <v>1792</v>
      </c>
    </row>
    <row r="5265">
      <c r="A5265" s="1" t="s">
        <v>12218</v>
      </c>
      <c r="B5265" s="2" t="s">
        <v>12219</v>
      </c>
      <c r="C5265" s="1" t="s">
        <v>1790</v>
      </c>
      <c r="D5265" s="1" t="s">
        <v>1792</v>
      </c>
    </row>
    <row r="5266">
      <c r="A5266" s="1" t="s">
        <v>12220</v>
      </c>
      <c r="B5266" s="2" t="s">
        <v>12221</v>
      </c>
      <c r="C5266" s="1" t="s">
        <v>1790</v>
      </c>
      <c r="D5266" s="1" t="s">
        <v>1792</v>
      </c>
    </row>
    <row r="5267">
      <c r="A5267" s="1" t="s">
        <v>12222</v>
      </c>
      <c r="B5267" s="2" t="s">
        <v>12223</v>
      </c>
      <c r="C5267" s="1" t="s">
        <v>1790</v>
      </c>
      <c r="D5267" s="1" t="s">
        <v>1792</v>
      </c>
    </row>
    <row r="5268">
      <c r="A5268" s="1" t="s">
        <v>1797</v>
      </c>
      <c r="B5268" s="2" t="s">
        <v>1524</v>
      </c>
      <c r="C5268" s="1" t="s">
        <v>1799</v>
      </c>
      <c r="D5268" s="1" t="s">
        <v>1801</v>
      </c>
    </row>
    <row r="5269">
      <c r="A5269" s="1" t="s">
        <v>12224</v>
      </c>
      <c r="B5269" s="2" t="s">
        <v>12225</v>
      </c>
      <c r="C5269" s="1" t="s">
        <v>1799</v>
      </c>
      <c r="D5269" s="1" t="s">
        <v>1801</v>
      </c>
    </row>
    <row r="5270">
      <c r="A5270" s="1" t="s">
        <v>12226</v>
      </c>
      <c r="B5270" s="2" t="s">
        <v>12227</v>
      </c>
      <c r="C5270" s="1" t="s">
        <v>1799</v>
      </c>
      <c r="D5270" s="1" t="s">
        <v>1801</v>
      </c>
    </row>
    <row r="5271">
      <c r="A5271" s="1" t="s">
        <v>12228</v>
      </c>
      <c r="B5271" s="2" t="s">
        <v>12229</v>
      </c>
      <c r="C5271" s="1" t="s">
        <v>1799</v>
      </c>
      <c r="D5271" s="1" t="s">
        <v>1801</v>
      </c>
    </row>
    <row r="5272">
      <c r="A5272" s="1" t="s">
        <v>12230</v>
      </c>
      <c r="B5272" s="2" t="s">
        <v>12231</v>
      </c>
      <c r="C5272" s="1" t="s">
        <v>1799</v>
      </c>
      <c r="D5272" s="1" t="s">
        <v>1801</v>
      </c>
    </row>
    <row r="5273">
      <c r="A5273" s="1" t="s">
        <v>12232</v>
      </c>
      <c r="B5273" s="2" t="s">
        <v>12233</v>
      </c>
      <c r="C5273" s="1" t="s">
        <v>1799</v>
      </c>
      <c r="D5273" s="1" t="s">
        <v>1801</v>
      </c>
    </row>
    <row r="5274">
      <c r="A5274" s="1" t="s">
        <v>12234</v>
      </c>
      <c r="B5274" s="2" t="s">
        <v>12235</v>
      </c>
      <c r="C5274" s="1" t="s">
        <v>1799</v>
      </c>
      <c r="D5274" s="1" t="s">
        <v>1801</v>
      </c>
    </row>
    <row r="5275">
      <c r="A5275" s="1" t="s">
        <v>12236</v>
      </c>
      <c r="B5275" s="2" t="s">
        <v>12237</v>
      </c>
      <c r="C5275" s="1" t="s">
        <v>1799</v>
      </c>
      <c r="D5275" s="1" t="s">
        <v>1801</v>
      </c>
    </row>
    <row r="5276">
      <c r="A5276" s="1" t="s">
        <v>12238</v>
      </c>
      <c r="B5276" s="2" t="s">
        <v>12239</v>
      </c>
      <c r="C5276" s="1" t="s">
        <v>1799</v>
      </c>
      <c r="D5276" s="1" t="s">
        <v>1801</v>
      </c>
    </row>
    <row r="5277">
      <c r="A5277" s="1" t="s">
        <v>12240</v>
      </c>
      <c r="B5277" s="2" t="s">
        <v>12241</v>
      </c>
      <c r="C5277" s="1" t="s">
        <v>1799</v>
      </c>
      <c r="D5277" s="1" t="s">
        <v>1801</v>
      </c>
    </row>
    <row r="5278">
      <c r="A5278" s="1" t="s">
        <v>1807</v>
      </c>
      <c r="B5278" s="2" t="s">
        <v>1524</v>
      </c>
      <c r="C5278" s="1" t="s">
        <v>1809</v>
      </c>
      <c r="D5278" s="1" t="s">
        <v>1811</v>
      </c>
    </row>
    <row r="5279">
      <c r="A5279" s="1" t="s">
        <v>12242</v>
      </c>
      <c r="B5279" s="2" t="s">
        <v>12243</v>
      </c>
      <c r="C5279" s="1" t="s">
        <v>1809</v>
      </c>
      <c r="D5279" s="1" t="s">
        <v>1811</v>
      </c>
    </row>
    <row r="5280">
      <c r="A5280" s="1" t="s">
        <v>12244</v>
      </c>
      <c r="B5280" s="2" t="s">
        <v>12245</v>
      </c>
      <c r="C5280" s="1" t="s">
        <v>1809</v>
      </c>
      <c r="D5280" s="1" t="s">
        <v>1811</v>
      </c>
    </row>
    <row r="5281">
      <c r="A5281" s="1" t="s">
        <v>12246</v>
      </c>
      <c r="B5281" s="2" t="s">
        <v>12247</v>
      </c>
      <c r="C5281" s="1" t="s">
        <v>1809</v>
      </c>
      <c r="D5281" s="1" t="s">
        <v>1811</v>
      </c>
    </row>
    <row r="5282">
      <c r="A5282" s="1" t="s">
        <v>12248</v>
      </c>
      <c r="B5282" s="2" t="s">
        <v>12249</v>
      </c>
      <c r="C5282" s="1" t="s">
        <v>1809</v>
      </c>
      <c r="D5282" s="1" t="s">
        <v>1811</v>
      </c>
    </row>
    <row r="5283">
      <c r="A5283" s="1" t="s">
        <v>12250</v>
      </c>
      <c r="B5283" s="2" t="s">
        <v>12251</v>
      </c>
      <c r="C5283" s="1" t="s">
        <v>1809</v>
      </c>
      <c r="D5283" s="1" t="s">
        <v>1811</v>
      </c>
    </row>
    <row r="5284">
      <c r="A5284" s="1" t="s">
        <v>12252</v>
      </c>
      <c r="B5284" s="2" t="s">
        <v>12253</v>
      </c>
      <c r="C5284" s="1" t="s">
        <v>1809</v>
      </c>
      <c r="D5284" s="1" t="s">
        <v>1811</v>
      </c>
    </row>
    <row r="5285">
      <c r="A5285" s="1" t="s">
        <v>12254</v>
      </c>
      <c r="B5285" s="2" t="s">
        <v>12255</v>
      </c>
      <c r="C5285" s="1" t="s">
        <v>1809</v>
      </c>
      <c r="D5285" s="1" t="s">
        <v>1811</v>
      </c>
    </row>
    <row r="5286">
      <c r="A5286" s="1" t="s">
        <v>12256</v>
      </c>
      <c r="B5286" s="2" t="s">
        <v>12257</v>
      </c>
      <c r="C5286" s="1" t="s">
        <v>1809</v>
      </c>
      <c r="D5286" s="1" t="s">
        <v>1811</v>
      </c>
    </row>
    <row r="5287">
      <c r="A5287" s="1" t="s">
        <v>12258</v>
      </c>
      <c r="B5287" s="2" t="s">
        <v>12259</v>
      </c>
      <c r="C5287" s="1" t="s">
        <v>1809</v>
      </c>
      <c r="D5287" s="1" t="s">
        <v>1811</v>
      </c>
    </row>
    <row r="5288">
      <c r="A5288" s="1" t="s">
        <v>12260</v>
      </c>
      <c r="B5288" s="2" t="s">
        <v>12261</v>
      </c>
      <c r="C5288" s="1" t="s">
        <v>1809</v>
      </c>
      <c r="D5288" s="1" t="s">
        <v>1811</v>
      </c>
    </row>
    <row r="5289">
      <c r="A5289" s="1" t="s">
        <v>12262</v>
      </c>
      <c r="B5289" s="2" t="s">
        <v>12263</v>
      </c>
      <c r="C5289" s="1" t="s">
        <v>1809</v>
      </c>
      <c r="D5289" s="1" t="s">
        <v>1811</v>
      </c>
    </row>
    <row r="5290">
      <c r="A5290" s="1" t="s">
        <v>1816</v>
      </c>
      <c r="B5290" s="2" t="s">
        <v>7</v>
      </c>
      <c r="C5290" s="1" t="s">
        <v>1818</v>
      </c>
      <c r="D5290" s="1" t="s">
        <v>1820</v>
      </c>
    </row>
    <row r="5291">
      <c r="A5291" s="1" t="s">
        <v>12264</v>
      </c>
      <c r="B5291" s="2" t="s">
        <v>8614</v>
      </c>
      <c r="C5291" s="1" t="s">
        <v>1818</v>
      </c>
      <c r="D5291" s="1" t="s">
        <v>1820</v>
      </c>
    </row>
    <row r="5292">
      <c r="A5292" s="1" t="s">
        <v>12265</v>
      </c>
      <c r="B5292" s="2" t="s">
        <v>8616</v>
      </c>
      <c r="C5292" s="1" t="s">
        <v>1818</v>
      </c>
      <c r="D5292" s="1" t="s">
        <v>1820</v>
      </c>
    </row>
    <row r="5293">
      <c r="A5293" s="1" t="s">
        <v>12266</v>
      </c>
      <c r="B5293" s="2" t="s">
        <v>10834</v>
      </c>
      <c r="C5293" s="1" t="s">
        <v>1818</v>
      </c>
      <c r="D5293" s="1" t="s">
        <v>1820</v>
      </c>
    </row>
    <row r="5294">
      <c r="A5294" s="1" t="s">
        <v>12267</v>
      </c>
      <c r="B5294" s="2" t="s">
        <v>12268</v>
      </c>
      <c r="C5294" s="1" t="s">
        <v>1818</v>
      </c>
      <c r="D5294" s="1" t="s">
        <v>1820</v>
      </c>
    </row>
    <row r="5295">
      <c r="A5295" s="1" t="s">
        <v>12269</v>
      </c>
      <c r="B5295" s="2" t="s">
        <v>12270</v>
      </c>
      <c r="C5295" s="1" t="s">
        <v>1818</v>
      </c>
      <c r="D5295" s="1" t="s">
        <v>1820</v>
      </c>
    </row>
    <row r="5296">
      <c r="A5296" s="1" t="s">
        <v>12271</v>
      </c>
      <c r="B5296" s="2" t="s">
        <v>10850</v>
      </c>
      <c r="C5296" s="1" t="s">
        <v>1818</v>
      </c>
      <c r="D5296" s="1" t="s">
        <v>1820</v>
      </c>
    </row>
    <row r="5297">
      <c r="A5297" s="1" t="s">
        <v>12272</v>
      </c>
      <c r="B5297" s="2" t="s">
        <v>12273</v>
      </c>
      <c r="C5297" s="1" t="s">
        <v>1818</v>
      </c>
      <c r="D5297" s="1" t="s">
        <v>1820</v>
      </c>
    </row>
    <row r="5298">
      <c r="A5298" s="1" t="s">
        <v>12274</v>
      </c>
      <c r="B5298" s="2" t="s">
        <v>12275</v>
      </c>
      <c r="C5298" s="1" t="s">
        <v>1818</v>
      </c>
      <c r="D5298" s="1" t="s">
        <v>1820</v>
      </c>
    </row>
    <row r="5299">
      <c r="A5299" s="1" t="s">
        <v>12276</v>
      </c>
      <c r="B5299" s="2" t="s">
        <v>10356</v>
      </c>
      <c r="C5299" s="1" t="s">
        <v>1818</v>
      </c>
      <c r="D5299" s="1" t="s">
        <v>1820</v>
      </c>
    </row>
    <row r="5300">
      <c r="A5300" s="1" t="s">
        <v>12277</v>
      </c>
      <c r="B5300" s="2" t="s">
        <v>12278</v>
      </c>
      <c r="C5300" s="1" t="s">
        <v>1818</v>
      </c>
      <c r="D5300" s="1" t="s">
        <v>1820</v>
      </c>
    </row>
    <row r="5301">
      <c r="A5301" s="1" t="s">
        <v>12279</v>
      </c>
      <c r="B5301" s="2" t="s">
        <v>12280</v>
      </c>
      <c r="C5301" s="1" t="s">
        <v>1818</v>
      </c>
      <c r="D5301" s="1" t="s">
        <v>1820</v>
      </c>
    </row>
    <row r="5302">
      <c r="A5302" s="1" t="s">
        <v>12281</v>
      </c>
      <c r="B5302" s="2" t="s">
        <v>10881</v>
      </c>
      <c r="C5302" s="1" t="s">
        <v>1818</v>
      </c>
      <c r="D5302" s="1" t="s">
        <v>1820</v>
      </c>
    </row>
    <row r="5303">
      <c r="A5303" s="1" t="s">
        <v>12282</v>
      </c>
      <c r="B5303" s="2" t="s">
        <v>12283</v>
      </c>
      <c r="C5303" s="1" t="s">
        <v>1818</v>
      </c>
      <c r="D5303" s="1" t="s">
        <v>1820</v>
      </c>
    </row>
    <row r="5304">
      <c r="A5304" s="1" t="s">
        <v>12284</v>
      </c>
      <c r="B5304" s="2" t="s">
        <v>12285</v>
      </c>
      <c r="C5304" s="1" t="s">
        <v>1818</v>
      </c>
      <c r="D5304" s="1" t="s">
        <v>1820</v>
      </c>
    </row>
    <row r="5305">
      <c r="A5305" s="1" t="s">
        <v>12286</v>
      </c>
      <c r="B5305" s="2" t="s">
        <v>10897</v>
      </c>
      <c r="C5305" s="1" t="s">
        <v>1818</v>
      </c>
      <c r="D5305" s="1" t="s">
        <v>1820</v>
      </c>
    </row>
    <row r="5306">
      <c r="A5306" s="1" t="s">
        <v>12287</v>
      </c>
      <c r="B5306" s="2" t="s">
        <v>12288</v>
      </c>
      <c r="C5306" s="1" t="s">
        <v>1818</v>
      </c>
      <c r="D5306" s="1" t="s">
        <v>1820</v>
      </c>
    </row>
    <row r="5307">
      <c r="A5307" s="1" t="s">
        <v>12289</v>
      </c>
      <c r="B5307" s="2" t="s">
        <v>12290</v>
      </c>
      <c r="C5307" s="1" t="s">
        <v>1818</v>
      </c>
      <c r="D5307" s="1" t="s">
        <v>1820</v>
      </c>
    </row>
    <row r="5308">
      <c r="A5308" s="1" t="s">
        <v>12291</v>
      </c>
      <c r="B5308" s="2" t="s">
        <v>11047</v>
      </c>
      <c r="C5308" s="1" t="s">
        <v>1818</v>
      </c>
      <c r="D5308" s="1" t="s">
        <v>1820</v>
      </c>
    </row>
    <row r="5309">
      <c r="A5309" s="1" t="s">
        <v>12292</v>
      </c>
      <c r="B5309" s="2" t="s">
        <v>12293</v>
      </c>
      <c r="C5309" s="1" t="s">
        <v>1818</v>
      </c>
      <c r="D5309" s="1" t="s">
        <v>1820</v>
      </c>
    </row>
    <row r="5310">
      <c r="A5310" s="1" t="s">
        <v>12294</v>
      </c>
      <c r="B5310" s="2" t="s">
        <v>12295</v>
      </c>
      <c r="C5310" s="1" t="s">
        <v>1818</v>
      </c>
      <c r="D5310" s="1" t="s">
        <v>1820</v>
      </c>
    </row>
    <row r="5311">
      <c r="A5311" s="1" t="s">
        <v>1826</v>
      </c>
      <c r="B5311" s="2" t="s">
        <v>7</v>
      </c>
      <c r="C5311" s="1" t="s">
        <v>1829</v>
      </c>
      <c r="D5311" s="1" t="s">
        <v>1830</v>
      </c>
    </row>
    <row r="5312">
      <c r="A5312" s="1" t="s">
        <v>12296</v>
      </c>
      <c r="B5312" s="2" t="s">
        <v>10684</v>
      </c>
      <c r="C5312" s="1" t="s">
        <v>1829</v>
      </c>
      <c r="D5312" s="1" t="s">
        <v>1830</v>
      </c>
    </row>
    <row r="5313">
      <c r="A5313" s="1" t="s">
        <v>12297</v>
      </c>
      <c r="B5313" s="2" t="s">
        <v>10686</v>
      </c>
      <c r="C5313" s="1" t="s">
        <v>1829</v>
      </c>
      <c r="D5313" s="1" t="s">
        <v>1830</v>
      </c>
    </row>
    <row r="5314">
      <c r="A5314" s="1" t="s">
        <v>12298</v>
      </c>
      <c r="B5314" s="2" t="s">
        <v>10688</v>
      </c>
      <c r="C5314" s="1" t="s">
        <v>1829</v>
      </c>
      <c r="D5314" s="1" t="s">
        <v>1830</v>
      </c>
    </row>
    <row r="5315">
      <c r="A5315" s="1" t="s">
        <v>12299</v>
      </c>
      <c r="B5315" s="2" t="s">
        <v>12300</v>
      </c>
      <c r="C5315" s="1" t="s">
        <v>1829</v>
      </c>
      <c r="D5315" s="1" t="s">
        <v>1830</v>
      </c>
    </row>
    <row r="5316">
      <c r="A5316" s="1" t="s">
        <v>12301</v>
      </c>
      <c r="B5316" s="2" t="s">
        <v>10834</v>
      </c>
      <c r="C5316" s="1" t="s">
        <v>1829</v>
      </c>
      <c r="D5316" s="1" t="s">
        <v>1830</v>
      </c>
    </row>
    <row r="5317">
      <c r="A5317" s="1" t="s">
        <v>12302</v>
      </c>
      <c r="B5317" s="2" t="s">
        <v>12303</v>
      </c>
      <c r="C5317" s="1" t="s">
        <v>1829</v>
      </c>
      <c r="D5317" s="1" t="s">
        <v>1830</v>
      </c>
    </row>
    <row r="5318">
      <c r="A5318" s="1" t="s">
        <v>12304</v>
      </c>
      <c r="B5318" s="2" t="s">
        <v>12305</v>
      </c>
      <c r="C5318" s="1" t="s">
        <v>1829</v>
      </c>
      <c r="D5318" s="1" t="s">
        <v>1830</v>
      </c>
    </row>
    <row r="5319">
      <c r="A5319" s="1" t="s">
        <v>12306</v>
      </c>
      <c r="B5319" s="2" t="s">
        <v>12307</v>
      </c>
      <c r="C5319" s="1" t="s">
        <v>1829</v>
      </c>
      <c r="D5319" s="1" t="s">
        <v>1830</v>
      </c>
    </row>
    <row r="5320">
      <c r="A5320" s="1" t="s">
        <v>12308</v>
      </c>
      <c r="B5320" s="2" t="s">
        <v>12309</v>
      </c>
      <c r="C5320" s="1" t="s">
        <v>1829</v>
      </c>
      <c r="D5320" s="1" t="s">
        <v>1830</v>
      </c>
    </row>
    <row r="5321">
      <c r="A5321" s="1" t="s">
        <v>12310</v>
      </c>
      <c r="B5321" s="2" t="s">
        <v>10850</v>
      </c>
      <c r="C5321" s="1" t="s">
        <v>1829</v>
      </c>
      <c r="D5321" s="1" t="s">
        <v>1830</v>
      </c>
    </row>
    <row r="5322">
      <c r="A5322" s="1" t="s">
        <v>12311</v>
      </c>
      <c r="B5322" s="2" t="s">
        <v>12312</v>
      </c>
      <c r="C5322" s="1" t="s">
        <v>1829</v>
      </c>
      <c r="D5322" s="1" t="s">
        <v>1830</v>
      </c>
    </row>
    <row r="5323">
      <c r="A5323" s="1" t="s">
        <v>12313</v>
      </c>
      <c r="B5323" s="2" t="s">
        <v>12314</v>
      </c>
      <c r="C5323" s="1" t="s">
        <v>1829</v>
      </c>
      <c r="D5323" s="1" t="s">
        <v>1830</v>
      </c>
    </row>
    <row r="5324">
      <c r="A5324" s="1" t="s">
        <v>12315</v>
      </c>
      <c r="B5324" s="2" t="s">
        <v>12316</v>
      </c>
      <c r="C5324" s="1" t="s">
        <v>1829</v>
      </c>
      <c r="D5324" s="1" t="s">
        <v>1830</v>
      </c>
    </row>
    <row r="5325">
      <c r="A5325" s="1" t="s">
        <v>12317</v>
      </c>
      <c r="B5325" s="2" t="s">
        <v>12318</v>
      </c>
      <c r="C5325" s="1" t="s">
        <v>1829</v>
      </c>
      <c r="D5325" s="1" t="s">
        <v>1830</v>
      </c>
    </row>
    <row r="5326">
      <c r="A5326" s="1" t="s">
        <v>12319</v>
      </c>
      <c r="B5326" s="2" t="s">
        <v>10356</v>
      </c>
      <c r="C5326" s="1" t="s">
        <v>1829</v>
      </c>
      <c r="D5326" s="1" t="s">
        <v>1830</v>
      </c>
    </row>
    <row r="5327">
      <c r="A5327" s="1" t="s">
        <v>12320</v>
      </c>
      <c r="B5327" s="2" t="s">
        <v>12321</v>
      </c>
      <c r="C5327" s="1" t="s">
        <v>1829</v>
      </c>
      <c r="D5327" s="1" t="s">
        <v>1830</v>
      </c>
    </row>
    <row r="5328">
      <c r="A5328" s="1" t="s">
        <v>12322</v>
      </c>
      <c r="B5328" s="2" t="s">
        <v>12323</v>
      </c>
      <c r="C5328" s="1" t="s">
        <v>1829</v>
      </c>
      <c r="D5328" s="1" t="s">
        <v>1830</v>
      </c>
    </row>
    <row r="5329">
      <c r="A5329" s="1" t="s">
        <v>12324</v>
      </c>
      <c r="B5329" s="2" t="s">
        <v>12325</v>
      </c>
      <c r="C5329" s="1" t="s">
        <v>1829</v>
      </c>
      <c r="D5329" s="1" t="s">
        <v>1830</v>
      </c>
    </row>
    <row r="5330">
      <c r="A5330" s="1" t="s">
        <v>12326</v>
      </c>
      <c r="B5330" s="2" t="s">
        <v>12327</v>
      </c>
      <c r="C5330" s="1" t="s">
        <v>1829</v>
      </c>
      <c r="D5330" s="1" t="s">
        <v>1830</v>
      </c>
    </row>
    <row r="5331">
      <c r="A5331" s="1" t="s">
        <v>12328</v>
      </c>
      <c r="B5331" s="2" t="s">
        <v>10881</v>
      </c>
      <c r="C5331" s="1" t="s">
        <v>1829</v>
      </c>
      <c r="D5331" s="1" t="s">
        <v>1830</v>
      </c>
    </row>
    <row r="5332">
      <c r="A5332" s="1" t="s">
        <v>12329</v>
      </c>
      <c r="B5332" s="2" t="s">
        <v>12330</v>
      </c>
      <c r="C5332" s="1" t="s">
        <v>1829</v>
      </c>
      <c r="D5332" s="1" t="s">
        <v>1830</v>
      </c>
    </row>
    <row r="5333">
      <c r="A5333" s="1" t="s">
        <v>12331</v>
      </c>
      <c r="B5333" s="2" t="s">
        <v>12332</v>
      </c>
      <c r="C5333" s="1" t="s">
        <v>1829</v>
      </c>
      <c r="D5333" s="1" t="s">
        <v>1830</v>
      </c>
    </row>
    <row r="5334">
      <c r="A5334" s="1" t="s">
        <v>12333</v>
      </c>
      <c r="B5334" s="2" t="s">
        <v>12334</v>
      </c>
      <c r="C5334" s="1" t="s">
        <v>1829</v>
      </c>
      <c r="D5334" s="1" t="s">
        <v>1830</v>
      </c>
    </row>
    <row r="5335">
      <c r="A5335" s="1" t="s">
        <v>12335</v>
      </c>
      <c r="B5335" s="2" t="s">
        <v>12336</v>
      </c>
      <c r="C5335" s="1" t="s">
        <v>1829</v>
      </c>
      <c r="D5335" s="1" t="s">
        <v>1830</v>
      </c>
    </row>
    <row r="5336">
      <c r="A5336" s="1" t="s">
        <v>12337</v>
      </c>
      <c r="B5336" s="2" t="s">
        <v>10897</v>
      </c>
      <c r="C5336" s="1" t="s">
        <v>1829</v>
      </c>
      <c r="D5336" s="1" t="s">
        <v>1830</v>
      </c>
    </row>
    <row r="5337">
      <c r="A5337" s="1" t="s">
        <v>12338</v>
      </c>
      <c r="B5337" s="2" t="s">
        <v>12339</v>
      </c>
      <c r="C5337" s="1" t="s">
        <v>1829</v>
      </c>
      <c r="D5337" s="1" t="s">
        <v>1830</v>
      </c>
    </row>
    <row r="5338">
      <c r="A5338" s="1" t="s">
        <v>12340</v>
      </c>
      <c r="B5338" s="2" t="s">
        <v>12341</v>
      </c>
      <c r="C5338" s="1" t="s">
        <v>1829</v>
      </c>
      <c r="D5338" s="1" t="s">
        <v>1830</v>
      </c>
    </row>
    <row r="5339">
      <c r="A5339" s="1" t="s">
        <v>12342</v>
      </c>
      <c r="B5339" s="2" t="s">
        <v>12343</v>
      </c>
      <c r="C5339" s="1" t="s">
        <v>1829</v>
      </c>
      <c r="D5339" s="1" t="s">
        <v>1830</v>
      </c>
    </row>
    <row r="5340">
      <c r="A5340" s="1" t="s">
        <v>12344</v>
      </c>
      <c r="B5340" s="2" t="s">
        <v>12345</v>
      </c>
      <c r="C5340" s="1" t="s">
        <v>1829</v>
      </c>
      <c r="D5340" s="1" t="s">
        <v>1830</v>
      </c>
    </row>
    <row r="5341">
      <c r="A5341" s="1" t="s">
        <v>12346</v>
      </c>
      <c r="B5341" s="2" t="s">
        <v>11047</v>
      </c>
      <c r="C5341" s="1" t="s">
        <v>1829</v>
      </c>
      <c r="D5341" s="1" t="s">
        <v>1830</v>
      </c>
    </row>
    <row r="5342">
      <c r="A5342" s="1" t="s">
        <v>12347</v>
      </c>
      <c r="B5342" s="2" t="s">
        <v>12348</v>
      </c>
      <c r="C5342" s="1" t="s">
        <v>1829</v>
      </c>
      <c r="D5342" s="1" t="s">
        <v>1830</v>
      </c>
    </row>
    <row r="5343">
      <c r="A5343" s="1" t="s">
        <v>12349</v>
      </c>
      <c r="B5343" s="2" t="s">
        <v>12350</v>
      </c>
      <c r="C5343" s="1" t="s">
        <v>1829</v>
      </c>
      <c r="D5343" s="1" t="s">
        <v>1830</v>
      </c>
    </row>
    <row r="5344">
      <c r="A5344" s="1" t="s">
        <v>12351</v>
      </c>
      <c r="B5344" s="2" t="s">
        <v>12352</v>
      </c>
      <c r="C5344" s="1" t="s">
        <v>1829</v>
      </c>
      <c r="D5344" s="1" t="s">
        <v>1830</v>
      </c>
    </row>
    <row r="5345">
      <c r="A5345" s="1" t="s">
        <v>12353</v>
      </c>
      <c r="B5345" s="2" t="s">
        <v>12354</v>
      </c>
      <c r="C5345" s="1" t="s">
        <v>1829</v>
      </c>
      <c r="D5345" s="1" t="s">
        <v>1830</v>
      </c>
    </row>
    <row r="5346">
      <c r="A5346" s="1" t="s">
        <v>1835</v>
      </c>
      <c r="B5346" s="2" t="s">
        <v>7</v>
      </c>
      <c r="C5346" s="1" t="s">
        <v>1837</v>
      </c>
      <c r="D5346" s="1" t="s">
        <v>1839</v>
      </c>
    </row>
    <row r="5347">
      <c r="A5347" s="1" t="s">
        <v>12355</v>
      </c>
      <c r="B5347" s="2" t="s">
        <v>10684</v>
      </c>
      <c r="C5347" s="1" t="s">
        <v>1837</v>
      </c>
      <c r="D5347" s="1" t="s">
        <v>1839</v>
      </c>
    </row>
    <row r="5348">
      <c r="A5348" s="1" t="s">
        <v>12356</v>
      </c>
      <c r="B5348" s="2" t="s">
        <v>10686</v>
      </c>
      <c r="C5348" s="1" t="s">
        <v>1837</v>
      </c>
      <c r="D5348" s="1" t="s">
        <v>1839</v>
      </c>
    </row>
    <row r="5349">
      <c r="A5349" s="1" t="s">
        <v>12357</v>
      </c>
      <c r="B5349" s="2" t="s">
        <v>10688</v>
      </c>
      <c r="C5349" s="1" t="s">
        <v>1837</v>
      </c>
      <c r="D5349" s="1" t="s">
        <v>1839</v>
      </c>
    </row>
    <row r="5350">
      <c r="A5350" s="1" t="s">
        <v>12358</v>
      </c>
      <c r="B5350" s="2" t="s">
        <v>10690</v>
      </c>
      <c r="C5350" s="1" t="s">
        <v>1837</v>
      </c>
      <c r="D5350" s="1" t="s">
        <v>1839</v>
      </c>
    </row>
    <row r="5351">
      <c r="A5351" s="1" t="s">
        <v>12359</v>
      </c>
      <c r="B5351" s="2" t="s">
        <v>12360</v>
      </c>
      <c r="C5351" s="1" t="s">
        <v>1837</v>
      </c>
      <c r="D5351" s="1" t="s">
        <v>1839</v>
      </c>
    </row>
    <row r="5352">
      <c r="A5352" s="1" t="s">
        <v>12361</v>
      </c>
      <c r="B5352" s="2" t="s">
        <v>12362</v>
      </c>
      <c r="C5352" s="1" t="s">
        <v>1837</v>
      </c>
      <c r="D5352" s="1" t="s">
        <v>1839</v>
      </c>
    </row>
    <row r="5353">
      <c r="A5353" s="1" t="s">
        <v>12363</v>
      </c>
      <c r="B5353" s="2" t="s">
        <v>12364</v>
      </c>
      <c r="C5353" s="1" t="s">
        <v>1837</v>
      </c>
      <c r="D5353" s="1" t="s">
        <v>1839</v>
      </c>
    </row>
    <row r="5354">
      <c r="A5354" s="1" t="s">
        <v>12365</v>
      </c>
      <c r="B5354" s="2" t="s">
        <v>12366</v>
      </c>
      <c r="C5354" s="1" t="s">
        <v>1837</v>
      </c>
      <c r="D5354" s="1" t="s">
        <v>1839</v>
      </c>
    </row>
    <row r="5355">
      <c r="A5355" s="1" t="s">
        <v>12367</v>
      </c>
      <c r="B5355" s="2" t="s">
        <v>12368</v>
      </c>
      <c r="C5355" s="1" t="s">
        <v>1837</v>
      </c>
      <c r="D5355" s="1" t="s">
        <v>1839</v>
      </c>
    </row>
    <row r="5356">
      <c r="A5356" s="1" t="s">
        <v>12369</v>
      </c>
      <c r="B5356" s="2" t="s">
        <v>12370</v>
      </c>
      <c r="C5356" s="1" t="s">
        <v>1837</v>
      </c>
      <c r="D5356" s="1" t="s">
        <v>1839</v>
      </c>
    </row>
    <row r="5357">
      <c r="A5357" s="1" t="s">
        <v>12371</v>
      </c>
      <c r="B5357" s="2" t="s">
        <v>12372</v>
      </c>
      <c r="C5357" s="1" t="s">
        <v>1837</v>
      </c>
      <c r="D5357" s="1" t="s">
        <v>1839</v>
      </c>
    </row>
    <row r="5358">
      <c r="A5358" s="1" t="s">
        <v>12373</v>
      </c>
      <c r="B5358" s="2" t="s">
        <v>12374</v>
      </c>
      <c r="C5358" s="1" t="s">
        <v>1837</v>
      </c>
      <c r="D5358" s="1" t="s">
        <v>1839</v>
      </c>
    </row>
    <row r="5359">
      <c r="A5359" s="1" t="s">
        <v>12375</v>
      </c>
      <c r="B5359" s="2" t="s">
        <v>12376</v>
      </c>
      <c r="C5359" s="1" t="s">
        <v>1837</v>
      </c>
      <c r="D5359" s="1" t="s">
        <v>1839</v>
      </c>
    </row>
    <row r="5360">
      <c r="A5360" s="1" t="s">
        <v>12377</v>
      </c>
      <c r="B5360" s="2" t="s">
        <v>12378</v>
      </c>
      <c r="C5360" s="1" t="s">
        <v>1837</v>
      </c>
      <c r="D5360" s="1" t="s">
        <v>1839</v>
      </c>
    </row>
    <row r="5361">
      <c r="A5361" s="1" t="s">
        <v>12379</v>
      </c>
      <c r="B5361" s="2" t="s">
        <v>12380</v>
      </c>
      <c r="C5361" s="1" t="s">
        <v>1837</v>
      </c>
      <c r="D5361" s="1" t="s">
        <v>1839</v>
      </c>
    </row>
    <row r="5362">
      <c r="A5362" s="1" t="s">
        <v>12381</v>
      </c>
      <c r="B5362" s="2" t="s">
        <v>12382</v>
      </c>
      <c r="C5362" s="1" t="s">
        <v>1837</v>
      </c>
      <c r="D5362" s="1" t="s">
        <v>1839</v>
      </c>
    </row>
    <row r="5363">
      <c r="A5363" s="1" t="s">
        <v>12383</v>
      </c>
      <c r="B5363" s="2" t="s">
        <v>12384</v>
      </c>
      <c r="C5363" s="1" t="s">
        <v>1837</v>
      </c>
      <c r="D5363" s="1" t="s">
        <v>1839</v>
      </c>
    </row>
    <row r="5364">
      <c r="A5364" s="1" t="s">
        <v>12385</v>
      </c>
      <c r="B5364" s="2" t="s">
        <v>12386</v>
      </c>
      <c r="C5364" s="1" t="s">
        <v>1837</v>
      </c>
      <c r="D5364" s="1" t="s">
        <v>1839</v>
      </c>
    </row>
    <row r="5365">
      <c r="A5365" s="1" t="s">
        <v>12387</v>
      </c>
      <c r="B5365" s="2" t="s">
        <v>12388</v>
      </c>
      <c r="C5365" s="1" t="s">
        <v>1837</v>
      </c>
      <c r="D5365" s="1" t="s">
        <v>1839</v>
      </c>
    </row>
    <row r="5366">
      <c r="A5366" s="1" t="s">
        <v>12389</v>
      </c>
      <c r="B5366" s="2" t="s">
        <v>12390</v>
      </c>
      <c r="C5366" s="1" t="s">
        <v>1837</v>
      </c>
      <c r="D5366" s="1" t="s">
        <v>1839</v>
      </c>
    </row>
    <row r="5367">
      <c r="A5367" s="1" t="s">
        <v>12391</v>
      </c>
      <c r="B5367" s="2" t="s">
        <v>12392</v>
      </c>
      <c r="C5367" s="1" t="s">
        <v>1837</v>
      </c>
      <c r="D5367" s="1" t="s">
        <v>1839</v>
      </c>
    </row>
    <row r="5368">
      <c r="A5368" s="1" t="s">
        <v>12393</v>
      </c>
      <c r="B5368" s="2" t="s">
        <v>12394</v>
      </c>
      <c r="C5368" s="1" t="s">
        <v>1837</v>
      </c>
      <c r="D5368" s="1" t="s">
        <v>1839</v>
      </c>
    </row>
    <row r="5369">
      <c r="A5369" s="1" t="s">
        <v>12395</v>
      </c>
      <c r="B5369" s="2" t="s">
        <v>12396</v>
      </c>
      <c r="C5369" s="1" t="s">
        <v>1837</v>
      </c>
      <c r="D5369" s="1" t="s">
        <v>1839</v>
      </c>
    </row>
    <row r="5370">
      <c r="A5370" s="1" t="s">
        <v>12397</v>
      </c>
      <c r="B5370" s="2" t="s">
        <v>12398</v>
      </c>
      <c r="C5370" s="1" t="s">
        <v>1837</v>
      </c>
      <c r="D5370" s="1" t="s">
        <v>1839</v>
      </c>
    </row>
    <row r="5371">
      <c r="A5371" s="1" t="s">
        <v>12399</v>
      </c>
      <c r="B5371" s="2" t="s">
        <v>12400</v>
      </c>
      <c r="C5371" s="1" t="s">
        <v>1837</v>
      </c>
      <c r="D5371" s="1" t="s">
        <v>1839</v>
      </c>
    </row>
    <row r="5372">
      <c r="A5372" s="1" t="s">
        <v>12401</v>
      </c>
      <c r="B5372" s="2" t="s">
        <v>12402</v>
      </c>
      <c r="C5372" s="1" t="s">
        <v>1837</v>
      </c>
      <c r="D5372" s="1" t="s">
        <v>1839</v>
      </c>
    </row>
    <row r="5373">
      <c r="A5373" s="1" t="s">
        <v>12403</v>
      </c>
      <c r="B5373" s="2" t="s">
        <v>12404</v>
      </c>
      <c r="C5373" s="1" t="s">
        <v>1837</v>
      </c>
      <c r="D5373" s="1" t="s">
        <v>1839</v>
      </c>
    </row>
    <row r="5374">
      <c r="A5374" s="1" t="s">
        <v>12405</v>
      </c>
      <c r="B5374" s="2" t="s">
        <v>12406</v>
      </c>
      <c r="C5374" s="1" t="s">
        <v>1837</v>
      </c>
      <c r="D5374" s="1" t="s">
        <v>1839</v>
      </c>
    </row>
    <row r="5375">
      <c r="A5375" s="1" t="s">
        <v>12407</v>
      </c>
      <c r="B5375" s="2" t="s">
        <v>12408</v>
      </c>
      <c r="C5375" s="1" t="s">
        <v>1837</v>
      </c>
      <c r="D5375" s="1" t="s">
        <v>1839</v>
      </c>
    </row>
    <row r="5376">
      <c r="A5376" s="1" t="s">
        <v>1841</v>
      </c>
      <c r="B5376" s="2" t="s">
        <v>7</v>
      </c>
      <c r="C5376" s="1" t="s">
        <v>1842</v>
      </c>
      <c r="D5376" s="1" t="s">
        <v>1843</v>
      </c>
    </row>
    <row r="5377">
      <c r="A5377" s="1" t="s">
        <v>12409</v>
      </c>
      <c r="B5377" s="2" t="s">
        <v>12410</v>
      </c>
      <c r="C5377" s="1" t="s">
        <v>1842</v>
      </c>
      <c r="D5377" s="1" t="s">
        <v>1843</v>
      </c>
    </row>
    <row r="5378">
      <c r="A5378" s="1" t="s">
        <v>12411</v>
      </c>
      <c r="B5378" s="2" t="s">
        <v>12412</v>
      </c>
      <c r="C5378" s="1" t="s">
        <v>1842</v>
      </c>
      <c r="D5378" s="1" t="s">
        <v>1843</v>
      </c>
    </row>
    <row r="5379">
      <c r="A5379" s="1" t="s">
        <v>12413</v>
      </c>
      <c r="B5379" s="2" t="s">
        <v>12414</v>
      </c>
      <c r="C5379" s="1" t="s">
        <v>1842</v>
      </c>
      <c r="D5379" s="1" t="s">
        <v>1843</v>
      </c>
    </row>
    <row r="5380">
      <c r="A5380" s="1" t="s">
        <v>12415</v>
      </c>
      <c r="B5380" s="2" t="s">
        <v>12416</v>
      </c>
      <c r="C5380" s="1" t="s">
        <v>1842</v>
      </c>
      <c r="D5380" s="1" t="s">
        <v>1843</v>
      </c>
    </row>
    <row r="5381">
      <c r="A5381" s="1" t="s">
        <v>12417</v>
      </c>
      <c r="B5381" s="2" t="s">
        <v>12362</v>
      </c>
      <c r="C5381" s="1" t="s">
        <v>1842</v>
      </c>
      <c r="D5381" s="1" t="s">
        <v>1843</v>
      </c>
    </row>
    <row r="5382">
      <c r="A5382" s="1" t="s">
        <v>12418</v>
      </c>
      <c r="B5382" s="2" t="s">
        <v>12419</v>
      </c>
      <c r="C5382" s="1" t="s">
        <v>1842</v>
      </c>
      <c r="D5382" s="1" t="s">
        <v>1843</v>
      </c>
    </row>
    <row r="5383">
      <c r="A5383" s="1" t="s">
        <v>12420</v>
      </c>
      <c r="B5383" s="2" t="s">
        <v>12421</v>
      </c>
      <c r="C5383" s="1" t="s">
        <v>1842</v>
      </c>
      <c r="D5383" s="1" t="s">
        <v>1843</v>
      </c>
    </row>
    <row r="5384">
      <c r="A5384" s="1" t="s">
        <v>12422</v>
      </c>
      <c r="B5384" s="2" t="s">
        <v>12374</v>
      </c>
      <c r="C5384" s="1" t="s">
        <v>1842</v>
      </c>
      <c r="D5384" s="1" t="s">
        <v>1843</v>
      </c>
    </row>
    <row r="5385">
      <c r="A5385" s="1" t="s">
        <v>12423</v>
      </c>
      <c r="B5385" s="2" t="s">
        <v>12424</v>
      </c>
      <c r="C5385" s="1" t="s">
        <v>1842</v>
      </c>
      <c r="D5385" s="1" t="s">
        <v>1843</v>
      </c>
    </row>
    <row r="5386">
      <c r="A5386" s="1" t="s">
        <v>12425</v>
      </c>
      <c r="B5386" s="2" t="s">
        <v>12426</v>
      </c>
      <c r="C5386" s="1" t="s">
        <v>1842</v>
      </c>
      <c r="D5386" s="1" t="s">
        <v>1843</v>
      </c>
    </row>
    <row r="5387">
      <c r="A5387" s="1" t="s">
        <v>12427</v>
      </c>
      <c r="B5387" s="2" t="s">
        <v>12428</v>
      </c>
      <c r="C5387" s="1" t="s">
        <v>1842</v>
      </c>
      <c r="D5387" s="1" t="s">
        <v>1843</v>
      </c>
    </row>
    <row r="5388">
      <c r="A5388" s="1" t="s">
        <v>12429</v>
      </c>
      <c r="B5388" s="2" t="s">
        <v>12386</v>
      </c>
      <c r="C5388" s="1" t="s">
        <v>1842</v>
      </c>
      <c r="D5388" s="1" t="s">
        <v>1843</v>
      </c>
    </row>
    <row r="5389">
      <c r="A5389" s="1" t="s">
        <v>12430</v>
      </c>
      <c r="B5389" s="2" t="s">
        <v>12431</v>
      </c>
      <c r="C5389" s="1" t="s">
        <v>1842</v>
      </c>
      <c r="D5389" s="1" t="s">
        <v>1843</v>
      </c>
    </row>
    <row r="5390">
      <c r="A5390" s="1" t="s">
        <v>12432</v>
      </c>
      <c r="B5390" s="2" t="s">
        <v>12433</v>
      </c>
      <c r="C5390" s="1" t="s">
        <v>1842</v>
      </c>
      <c r="D5390" s="1" t="s">
        <v>1843</v>
      </c>
    </row>
    <row r="5391">
      <c r="A5391" s="1" t="s">
        <v>12434</v>
      </c>
      <c r="B5391" s="2" t="s">
        <v>12435</v>
      </c>
      <c r="C5391" s="1" t="s">
        <v>1842</v>
      </c>
      <c r="D5391" s="1" t="s">
        <v>1843</v>
      </c>
    </row>
    <row r="5392">
      <c r="A5392" s="1" t="s">
        <v>12436</v>
      </c>
      <c r="B5392" s="2" t="s">
        <v>12437</v>
      </c>
      <c r="C5392" s="1" t="s">
        <v>1842</v>
      </c>
      <c r="D5392" s="1" t="s">
        <v>1843</v>
      </c>
    </row>
    <row r="5393">
      <c r="A5393" s="1" t="s">
        <v>12438</v>
      </c>
      <c r="B5393" s="2" t="s">
        <v>12398</v>
      </c>
      <c r="C5393" s="1" t="s">
        <v>1842</v>
      </c>
      <c r="D5393" s="1" t="s">
        <v>1843</v>
      </c>
    </row>
    <row r="5394">
      <c r="A5394" s="1" t="s">
        <v>12439</v>
      </c>
      <c r="B5394" s="2" t="s">
        <v>12440</v>
      </c>
      <c r="C5394" s="1" t="s">
        <v>1842</v>
      </c>
      <c r="D5394" s="1" t="s">
        <v>1843</v>
      </c>
    </row>
    <row r="5395">
      <c r="A5395" s="1" t="s">
        <v>12441</v>
      </c>
      <c r="B5395" s="2" t="s">
        <v>12442</v>
      </c>
      <c r="C5395" s="1" t="s">
        <v>1842</v>
      </c>
      <c r="D5395" s="1" t="s">
        <v>1843</v>
      </c>
    </row>
    <row r="5396">
      <c r="A5396" s="1" t="s">
        <v>12443</v>
      </c>
      <c r="B5396" s="2" t="s">
        <v>12444</v>
      </c>
      <c r="C5396" s="1" t="s">
        <v>1842</v>
      </c>
      <c r="D5396" s="1" t="s">
        <v>1843</v>
      </c>
    </row>
    <row r="5397">
      <c r="A5397" s="1" t="s">
        <v>12445</v>
      </c>
      <c r="B5397" s="2" t="s">
        <v>12446</v>
      </c>
      <c r="C5397" s="1" t="s">
        <v>1842</v>
      </c>
      <c r="D5397" s="1" t="s">
        <v>1843</v>
      </c>
    </row>
    <row r="5398">
      <c r="A5398" s="1" t="s">
        <v>1849</v>
      </c>
      <c r="B5398" s="2" t="s">
        <v>7</v>
      </c>
      <c r="C5398" s="1" t="s">
        <v>1854</v>
      </c>
      <c r="D5398" s="1" t="s">
        <v>1855</v>
      </c>
    </row>
    <row r="5399">
      <c r="A5399" s="1" t="s">
        <v>12447</v>
      </c>
      <c r="B5399" s="2" t="s">
        <v>10684</v>
      </c>
      <c r="C5399" s="1" t="s">
        <v>1854</v>
      </c>
      <c r="D5399" s="1" t="s">
        <v>1855</v>
      </c>
    </row>
    <row r="5400">
      <c r="A5400" s="1" t="s">
        <v>12448</v>
      </c>
      <c r="B5400" s="2" t="s">
        <v>10686</v>
      </c>
      <c r="C5400" s="1" t="s">
        <v>1854</v>
      </c>
      <c r="D5400" s="1" t="s">
        <v>1855</v>
      </c>
    </row>
    <row r="5401">
      <c r="A5401" s="1" t="s">
        <v>12449</v>
      </c>
      <c r="B5401" s="2" t="s">
        <v>10688</v>
      </c>
      <c r="C5401" s="1" t="s">
        <v>1854</v>
      </c>
      <c r="D5401" s="1" t="s">
        <v>1855</v>
      </c>
    </row>
    <row r="5402">
      <c r="A5402" s="1" t="s">
        <v>12450</v>
      </c>
      <c r="B5402" s="2" t="s">
        <v>10690</v>
      </c>
      <c r="C5402" s="1" t="s">
        <v>1854</v>
      </c>
      <c r="D5402" s="1" t="s">
        <v>1855</v>
      </c>
    </row>
    <row r="5403">
      <c r="A5403" s="1" t="s">
        <v>12451</v>
      </c>
      <c r="B5403" s="2" t="s">
        <v>12360</v>
      </c>
      <c r="C5403" s="1" t="s">
        <v>1854</v>
      </c>
      <c r="D5403" s="1" t="s">
        <v>1855</v>
      </c>
    </row>
    <row r="5404">
      <c r="A5404" s="1" t="s">
        <v>12452</v>
      </c>
      <c r="B5404" s="2" t="s">
        <v>12453</v>
      </c>
      <c r="C5404" s="1" t="s">
        <v>1854</v>
      </c>
      <c r="D5404" s="1" t="s">
        <v>1855</v>
      </c>
    </row>
    <row r="5405">
      <c r="A5405" s="1" t="s">
        <v>12454</v>
      </c>
      <c r="B5405" s="2" t="s">
        <v>12455</v>
      </c>
      <c r="C5405" s="1" t="s">
        <v>1854</v>
      </c>
      <c r="D5405" s="1" t="s">
        <v>1855</v>
      </c>
    </row>
    <row r="5406">
      <c r="A5406" s="1" t="s">
        <v>12456</v>
      </c>
      <c r="B5406" s="2" t="s">
        <v>12457</v>
      </c>
      <c r="C5406" s="1" t="s">
        <v>1854</v>
      </c>
      <c r="D5406" s="1" t="s">
        <v>1855</v>
      </c>
    </row>
    <row r="5407">
      <c r="A5407" s="1" t="s">
        <v>12458</v>
      </c>
      <c r="B5407" s="2" t="s">
        <v>12459</v>
      </c>
      <c r="C5407" s="1" t="s">
        <v>1854</v>
      </c>
      <c r="D5407" s="1" t="s">
        <v>1855</v>
      </c>
    </row>
    <row r="5408">
      <c r="A5408" s="1" t="s">
        <v>12460</v>
      </c>
      <c r="B5408" s="2" t="s">
        <v>12461</v>
      </c>
      <c r="C5408" s="1" t="s">
        <v>1854</v>
      </c>
      <c r="D5408" s="1" t="s">
        <v>1855</v>
      </c>
    </row>
    <row r="5409">
      <c r="A5409" s="1" t="s">
        <v>12462</v>
      </c>
      <c r="B5409" s="2" t="s">
        <v>12463</v>
      </c>
      <c r="C5409" s="1" t="s">
        <v>1854</v>
      </c>
      <c r="D5409" s="1" t="s">
        <v>1855</v>
      </c>
    </row>
    <row r="5410">
      <c r="A5410" s="1" t="s">
        <v>12464</v>
      </c>
      <c r="B5410" s="2" t="s">
        <v>12465</v>
      </c>
      <c r="C5410" s="1" t="s">
        <v>1854</v>
      </c>
      <c r="D5410" s="1" t="s">
        <v>1855</v>
      </c>
    </row>
    <row r="5411">
      <c r="A5411" s="1" t="s">
        <v>12466</v>
      </c>
      <c r="B5411" s="2" t="s">
        <v>12467</v>
      </c>
      <c r="C5411" s="1" t="s">
        <v>1854</v>
      </c>
      <c r="D5411" s="1" t="s">
        <v>1855</v>
      </c>
    </row>
    <row r="5412">
      <c r="A5412" s="1" t="s">
        <v>12468</v>
      </c>
      <c r="B5412" s="2" t="s">
        <v>12469</v>
      </c>
      <c r="C5412" s="1" t="s">
        <v>1854</v>
      </c>
      <c r="D5412" s="1" t="s">
        <v>1855</v>
      </c>
    </row>
    <row r="5413">
      <c r="A5413" s="1" t="s">
        <v>12470</v>
      </c>
      <c r="B5413" s="2" t="s">
        <v>12471</v>
      </c>
      <c r="C5413" s="1" t="s">
        <v>1854</v>
      </c>
      <c r="D5413" s="1" t="s">
        <v>1855</v>
      </c>
    </row>
    <row r="5414">
      <c r="A5414" s="1" t="s">
        <v>12472</v>
      </c>
      <c r="B5414" s="2" t="s">
        <v>12473</v>
      </c>
      <c r="C5414" s="1" t="s">
        <v>1854</v>
      </c>
      <c r="D5414" s="1" t="s">
        <v>1855</v>
      </c>
    </row>
    <row r="5415">
      <c r="A5415" s="1" t="s">
        <v>12474</v>
      </c>
      <c r="B5415" s="2" t="s">
        <v>12475</v>
      </c>
      <c r="C5415" s="1" t="s">
        <v>1854</v>
      </c>
      <c r="D5415" s="1" t="s">
        <v>1855</v>
      </c>
    </row>
    <row r="5416">
      <c r="A5416" s="1" t="s">
        <v>12476</v>
      </c>
      <c r="B5416" s="2" t="s">
        <v>12477</v>
      </c>
      <c r="C5416" s="1" t="s">
        <v>1854</v>
      </c>
      <c r="D5416" s="1" t="s">
        <v>1855</v>
      </c>
    </row>
    <row r="5417">
      <c r="A5417" s="1" t="s">
        <v>12478</v>
      </c>
      <c r="B5417" s="2" t="s">
        <v>12479</v>
      </c>
      <c r="C5417" s="1" t="s">
        <v>1854</v>
      </c>
      <c r="D5417" s="1" t="s">
        <v>1855</v>
      </c>
    </row>
    <row r="5418">
      <c r="A5418" s="1" t="s">
        <v>12480</v>
      </c>
      <c r="B5418" s="2" t="s">
        <v>12481</v>
      </c>
      <c r="C5418" s="1" t="s">
        <v>1854</v>
      </c>
      <c r="D5418" s="1" t="s">
        <v>1855</v>
      </c>
    </row>
    <row r="5419">
      <c r="A5419" s="1" t="s">
        <v>12482</v>
      </c>
      <c r="B5419" s="2" t="s">
        <v>12483</v>
      </c>
      <c r="C5419" s="1" t="s">
        <v>1854</v>
      </c>
      <c r="D5419" s="1" t="s">
        <v>1855</v>
      </c>
    </row>
    <row r="5420">
      <c r="A5420" s="1" t="s">
        <v>12484</v>
      </c>
      <c r="B5420" s="2" t="s">
        <v>12485</v>
      </c>
      <c r="C5420" s="1" t="s">
        <v>1854</v>
      </c>
      <c r="D5420" s="1" t="s">
        <v>1855</v>
      </c>
    </row>
    <row r="5421">
      <c r="A5421" s="1" t="s">
        <v>12486</v>
      </c>
      <c r="B5421" s="2" t="s">
        <v>12487</v>
      </c>
      <c r="C5421" s="1" t="s">
        <v>1854</v>
      </c>
      <c r="D5421" s="1" t="s">
        <v>1855</v>
      </c>
    </row>
    <row r="5422">
      <c r="A5422" s="1" t="s">
        <v>12488</v>
      </c>
      <c r="B5422" s="2" t="s">
        <v>12489</v>
      </c>
      <c r="C5422" s="1" t="s">
        <v>1854</v>
      </c>
      <c r="D5422" s="1" t="s">
        <v>1855</v>
      </c>
    </row>
    <row r="5423">
      <c r="A5423" s="1" t="s">
        <v>12490</v>
      </c>
      <c r="B5423" s="2" t="s">
        <v>12491</v>
      </c>
      <c r="C5423" s="1" t="s">
        <v>1854</v>
      </c>
      <c r="D5423" s="1" t="s">
        <v>1855</v>
      </c>
    </row>
    <row r="5424">
      <c r="A5424" s="1" t="s">
        <v>12492</v>
      </c>
      <c r="B5424" s="2" t="s">
        <v>12493</v>
      </c>
      <c r="C5424" s="1" t="s">
        <v>1854</v>
      </c>
      <c r="D5424" s="1" t="s">
        <v>1855</v>
      </c>
    </row>
    <row r="5425">
      <c r="A5425" s="1" t="s">
        <v>12494</v>
      </c>
      <c r="B5425" s="2" t="s">
        <v>12495</v>
      </c>
      <c r="C5425" s="1" t="s">
        <v>1854</v>
      </c>
      <c r="D5425" s="1" t="s">
        <v>1855</v>
      </c>
    </row>
    <row r="5426">
      <c r="A5426" s="1" t="s">
        <v>12496</v>
      </c>
      <c r="B5426" s="2" t="s">
        <v>12497</v>
      </c>
      <c r="C5426" s="1" t="s">
        <v>1854</v>
      </c>
      <c r="D5426" s="1" t="s">
        <v>1855</v>
      </c>
    </row>
    <row r="5427">
      <c r="A5427" s="1" t="s">
        <v>12498</v>
      </c>
      <c r="B5427" s="2" t="s">
        <v>12499</v>
      </c>
      <c r="C5427" s="1" t="s">
        <v>1854</v>
      </c>
      <c r="D5427" s="1" t="s">
        <v>1855</v>
      </c>
    </row>
    <row r="5428">
      <c r="A5428" s="1" t="s">
        <v>1861</v>
      </c>
      <c r="B5428" s="2" t="s">
        <v>7</v>
      </c>
      <c r="C5428" s="1" t="s">
        <v>82</v>
      </c>
      <c r="D5428" s="1" t="s">
        <v>1864</v>
      </c>
    </row>
    <row r="5429">
      <c r="A5429" s="1" t="s">
        <v>12500</v>
      </c>
      <c r="B5429" s="2" t="s">
        <v>10344</v>
      </c>
      <c r="C5429" s="1" t="s">
        <v>82</v>
      </c>
      <c r="D5429" s="1" t="s">
        <v>1864</v>
      </c>
    </row>
    <row r="5430">
      <c r="A5430" s="1" t="s">
        <v>12501</v>
      </c>
      <c r="B5430" s="2" t="s">
        <v>10346</v>
      </c>
      <c r="C5430" s="1" t="s">
        <v>82</v>
      </c>
      <c r="D5430" s="1" t="s">
        <v>1864</v>
      </c>
    </row>
    <row r="5431">
      <c r="A5431" s="1" t="s">
        <v>12502</v>
      </c>
      <c r="B5431" s="2" t="s">
        <v>10348</v>
      </c>
      <c r="C5431" s="1" t="s">
        <v>82</v>
      </c>
      <c r="D5431" s="1" t="s">
        <v>1864</v>
      </c>
    </row>
    <row r="5432">
      <c r="A5432" s="1" t="s">
        <v>12503</v>
      </c>
      <c r="B5432" s="2" t="s">
        <v>10350</v>
      </c>
      <c r="C5432" s="1" t="s">
        <v>82</v>
      </c>
      <c r="D5432" s="1" t="s">
        <v>1864</v>
      </c>
    </row>
    <row r="5433">
      <c r="A5433" s="1" t="s">
        <v>12504</v>
      </c>
      <c r="B5433" s="2" t="s">
        <v>10352</v>
      </c>
      <c r="C5433" s="1" t="s">
        <v>82</v>
      </c>
      <c r="D5433" s="1" t="s">
        <v>1864</v>
      </c>
    </row>
    <row r="5434">
      <c r="A5434" s="1" t="s">
        <v>12505</v>
      </c>
      <c r="B5434" s="2" t="s">
        <v>12506</v>
      </c>
      <c r="C5434" s="1" t="s">
        <v>82</v>
      </c>
      <c r="D5434" s="1" t="s">
        <v>1864</v>
      </c>
    </row>
    <row r="5435">
      <c r="A5435" s="1" t="s">
        <v>12507</v>
      </c>
      <c r="B5435" s="2" t="s">
        <v>12508</v>
      </c>
      <c r="C5435" s="1" t="s">
        <v>82</v>
      </c>
      <c r="D5435" s="1" t="s">
        <v>1864</v>
      </c>
    </row>
    <row r="5436">
      <c r="A5436" s="1" t="s">
        <v>12509</v>
      </c>
      <c r="B5436" s="2" t="s">
        <v>12510</v>
      </c>
      <c r="C5436" s="1" t="s">
        <v>82</v>
      </c>
      <c r="D5436" s="1" t="s">
        <v>1864</v>
      </c>
    </row>
    <row r="5437">
      <c r="A5437" s="1" t="s">
        <v>12511</v>
      </c>
      <c r="B5437" s="2" t="s">
        <v>10356</v>
      </c>
      <c r="C5437" s="1" t="s">
        <v>82</v>
      </c>
      <c r="D5437" s="1" t="s">
        <v>1864</v>
      </c>
    </row>
    <row r="5438">
      <c r="A5438" s="1" t="s">
        <v>12512</v>
      </c>
      <c r="B5438" s="2" t="s">
        <v>10358</v>
      </c>
      <c r="C5438" s="1" t="s">
        <v>82</v>
      </c>
      <c r="D5438" s="1" t="s">
        <v>1864</v>
      </c>
    </row>
    <row r="5439">
      <c r="A5439" s="1" t="s">
        <v>12513</v>
      </c>
      <c r="B5439" s="2" t="s">
        <v>10360</v>
      </c>
      <c r="C5439" s="1" t="s">
        <v>82</v>
      </c>
      <c r="D5439" s="1" t="s">
        <v>1864</v>
      </c>
    </row>
    <row r="5440">
      <c r="A5440" s="1" t="s">
        <v>12514</v>
      </c>
      <c r="B5440" s="2" t="s">
        <v>10362</v>
      </c>
      <c r="C5440" s="1" t="s">
        <v>82</v>
      </c>
      <c r="D5440" s="1" t="s">
        <v>1864</v>
      </c>
    </row>
    <row r="5441">
      <c r="A5441" s="1" t="s">
        <v>12515</v>
      </c>
      <c r="B5441" s="2" t="s">
        <v>10364</v>
      </c>
      <c r="C5441" s="1" t="s">
        <v>82</v>
      </c>
      <c r="D5441" s="1" t="s">
        <v>1864</v>
      </c>
    </row>
    <row r="5442">
      <c r="A5442" s="1" t="s">
        <v>12516</v>
      </c>
      <c r="B5442" s="2" t="s">
        <v>10366</v>
      </c>
      <c r="C5442" s="1" t="s">
        <v>82</v>
      </c>
      <c r="D5442" s="1" t="s">
        <v>1864</v>
      </c>
    </row>
    <row r="5443">
      <c r="A5443" s="1" t="s">
        <v>12517</v>
      </c>
      <c r="B5443" s="2" t="s">
        <v>12518</v>
      </c>
      <c r="C5443" s="1" t="s">
        <v>82</v>
      </c>
      <c r="D5443" s="1" t="s">
        <v>1864</v>
      </c>
    </row>
    <row r="5444">
      <c r="A5444" s="1" t="s">
        <v>12519</v>
      </c>
      <c r="B5444" s="2" t="s">
        <v>12520</v>
      </c>
      <c r="C5444" s="1" t="s">
        <v>82</v>
      </c>
      <c r="D5444" s="1" t="s">
        <v>1864</v>
      </c>
    </row>
    <row r="5445">
      <c r="A5445" s="1" t="s">
        <v>12521</v>
      </c>
      <c r="B5445" s="2" t="s">
        <v>10368</v>
      </c>
      <c r="C5445" s="1" t="s">
        <v>82</v>
      </c>
      <c r="D5445" s="1" t="s">
        <v>1864</v>
      </c>
    </row>
    <row r="5446">
      <c r="A5446" s="1" t="s">
        <v>12522</v>
      </c>
      <c r="B5446" s="2" t="s">
        <v>10370</v>
      </c>
      <c r="C5446" s="1" t="s">
        <v>82</v>
      </c>
      <c r="D5446" s="1" t="s">
        <v>1864</v>
      </c>
    </row>
    <row r="5447">
      <c r="A5447" s="1" t="s">
        <v>12523</v>
      </c>
      <c r="B5447" s="2" t="s">
        <v>12524</v>
      </c>
      <c r="C5447" s="1" t="s">
        <v>82</v>
      </c>
      <c r="D5447" s="1" t="s">
        <v>1864</v>
      </c>
    </row>
    <row r="5448">
      <c r="A5448" s="1" t="s">
        <v>12525</v>
      </c>
      <c r="B5448" s="2" t="s">
        <v>10374</v>
      </c>
      <c r="C5448" s="1" t="s">
        <v>82</v>
      </c>
      <c r="D5448" s="1" t="s">
        <v>1864</v>
      </c>
    </row>
    <row r="5449">
      <c r="A5449" s="1" t="s">
        <v>1867</v>
      </c>
      <c r="B5449" s="2" t="s">
        <v>7</v>
      </c>
      <c r="C5449" s="1" t="s">
        <v>1870</v>
      </c>
      <c r="D5449" s="1" t="s">
        <v>1871</v>
      </c>
    </row>
    <row r="5450">
      <c r="A5450" s="1" t="s">
        <v>12526</v>
      </c>
      <c r="B5450" s="2" t="s">
        <v>10520</v>
      </c>
      <c r="C5450" s="1" t="s">
        <v>1870</v>
      </c>
      <c r="D5450" s="1" t="s">
        <v>1871</v>
      </c>
    </row>
    <row r="5451">
      <c r="A5451" s="1" t="s">
        <v>12527</v>
      </c>
      <c r="B5451" s="2" t="s">
        <v>10522</v>
      </c>
      <c r="C5451" s="1" t="s">
        <v>1870</v>
      </c>
      <c r="D5451" s="1" t="s">
        <v>1871</v>
      </c>
    </row>
    <row r="5452">
      <c r="A5452" s="1" t="s">
        <v>12528</v>
      </c>
      <c r="B5452" s="2" t="s">
        <v>10524</v>
      </c>
      <c r="C5452" s="1" t="s">
        <v>1870</v>
      </c>
      <c r="D5452" s="1" t="s">
        <v>1871</v>
      </c>
    </row>
    <row r="5453">
      <c r="A5453" s="1" t="s">
        <v>12529</v>
      </c>
      <c r="B5453" s="2" t="s">
        <v>10526</v>
      </c>
      <c r="C5453" s="1" t="s">
        <v>1870</v>
      </c>
      <c r="D5453" s="1" t="s">
        <v>1871</v>
      </c>
    </row>
    <row r="5454">
      <c r="A5454" s="1" t="s">
        <v>12530</v>
      </c>
      <c r="B5454" s="2" t="s">
        <v>10528</v>
      </c>
      <c r="C5454" s="1" t="s">
        <v>1870</v>
      </c>
      <c r="D5454" s="1" t="s">
        <v>1871</v>
      </c>
    </row>
    <row r="5455">
      <c r="A5455" s="1" t="s">
        <v>12531</v>
      </c>
      <c r="B5455" s="2" t="s">
        <v>10530</v>
      </c>
      <c r="C5455" s="1" t="s">
        <v>1870</v>
      </c>
      <c r="D5455" s="1" t="s">
        <v>1871</v>
      </c>
    </row>
    <row r="5456">
      <c r="A5456" s="1" t="s">
        <v>12532</v>
      </c>
      <c r="B5456" s="2" t="s">
        <v>10532</v>
      </c>
      <c r="C5456" s="1" t="s">
        <v>1870</v>
      </c>
      <c r="D5456" s="1" t="s">
        <v>1871</v>
      </c>
    </row>
    <row r="5457">
      <c r="A5457" s="1" t="s">
        <v>12533</v>
      </c>
      <c r="B5457" s="2" t="s">
        <v>10534</v>
      </c>
      <c r="C5457" s="1" t="s">
        <v>1870</v>
      </c>
      <c r="D5457" s="1" t="s">
        <v>1871</v>
      </c>
    </row>
    <row r="5458">
      <c r="A5458" s="1" t="s">
        <v>12534</v>
      </c>
      <c r="B5458" s="2" t="s">
        <v>10536</v>
      </c>
      <c r="C5458" s="1" t="s">
        <v>1870</v>
      </c>
      <c r="D5458" s="1" t="s">
        <v>1871</v>
      </c>
    </row>
    <row r="5459">
      <c r="A5459" s="1" t="s">
        <v>12535</v>
      </c>
      <c r="B5459" s="2" t="s">
        <v>10538</v>
      </c>
      <c r="C5459" s="1" t="s">
        <v>1870</v>
      </c>
      <c r="D5459" s="1" t="s">
        <v>1871</v>
      </c>
    </row>
    <row r="5460">
      <c r="A5460" s="1" t="s">
        <v>12536</v>
      </c>
      <c r="B5460" s="2" t="s">
        <v>10540</v>
      </c>
      <c r="C5460" s="1" t="s">
        <v>1870</v>
      </c>
      <c r="D5460" s="1" t="s">
        <v>1871</v>
      </c>
    </row>
    <row r="5461">
      <c r="A5461" s="1" t="s">
        <v>12537</v>
      </c>
      <c r="B5461" s="2" t="s">
        <v>10542</v>
      </c>
      <c r="C5461" s="1" t="s">
        <v>1870</v>
      </c>
      <c r="D5461" s="1" t="s">
        <v>1871</v>
      </c>
    </row>
    <row r="5462">
      <c r="A5462" s="1" t="s">
        <v>12538</v>
      </c>
      <c r="B5462" s="2" t="s">
        <v>10544</v>
      </c>
      <c r="C5462" s="1" t="s">
        <v>1870</v>
      </c>
      <c r="D5462" s="1" t="s">
        <v>1871</v>
      </c>
    </row>
    <row r="5463">
      <c r="A5463" s="1" t="s">
        <v>12539</v>
      </c>
      <c r="B5463" s="2" t="s">
        <v>10546</v>
      </c>
      <c r="C5463" s="1" t="s">
        <v>1870</v>
      </c>
      <c r="D5463" s="1" t="s">
        <v>1871</v>
      </c>
    </row>
    <row r="5464">
      <c r="A5464" s="1" t="s">
        <v>1876</v>
      </c>
      <c r="B5464" s="2" t="s">
        <v>7</v>
      </c>
      <c r="C5464" s="1" t="s">
        <v>103</v>
      </c>
      <c r="D5464" s="1" t="s">
        <v>1879</v>
      </c>
    </row>
    <row r="5465">
      <c r="A5465" s="1" t="s">
        <v>12540</v>
      </c>
      <c r="B5465" s="2" t="s">
        <v>10606</v>
      </c>
      <c r="C5465" s="1" t="s">
        <v>103</v>
      </c>
      <c r="D5465" s="1" t="s">
        <v>1879</v>
      </c>
    </row>
    <row r="5466">
      <c r="A5466" s="1" t="s">
        <v>12541</v>
      </c>
      <c r="B5466" s="2" t="s">
        <v>10608</v>
      </c>
      <c r="C5466" s="1" t="s">
        <v>103</v>
      </c>
      <c r="D5466" s="1" t="s">
        <v>1879</v>
      </c>
    </row>
    <row r="5467">
      <c r="A5467" s="1" t="s">
        <v>12542</v>
      </c>
      <c r="B5467" s="2" t="s">
        <v>10610</v>
      </c>
      <c r="C5467" s="1" t="s">
        <v>103</v>
      </c>
      <c r="D5467" s="1" t="s">
        <v>1879</v>
      </c>
    </row>
    <row r="5468">
      <c r="A5468" s="1" t="s">
        <v>12543</v>
      </c>
      <c r="B5468" s="2" t="s">
        <v>10612</v>
      </c>
      <c r="C5468" s="1" t="s">
        <v>103</v>
      </c>
      <c r="D5468" s="1" t="s">
        <v>1879</v>
      </c>
    </row>
    <row r="5469">
      <c r="A5469" s="1" t="s">
        <v>12544</v>
      </c>
      <c r="B5469" s="2" t="s">
        <v>10614</v>
      </c>
      <c r="C5469" s="1" t="s">
        <v>103</v>
      </c>
      <c r="D5469" s="1" t="s">
        <v>1879</v>
      </c>
    </row>
    <row r="5470">
      <c r="A5470" s="1" t="s">
        <v>12545</v>
      </c>
      <c r="B5470" s="2" t="s">
        <v>10616</v>
      </c>
      <c r="C5470" s="1" t="s">
        <v>103</v>
      </c>
      <c r="D5470" s="1" t="s">
        <v>1879</v>
      </c>
    </row>
    <row r="5471">
      <c r="A5471" s="1" t="s">
        <v>12546</v>
      </c>
      <c r="B5471" s="2" t="s">
        <v>10618</v>
      </c>
      <c r="C5471" s="1" t="s">
        <v>103</v>
      </c>
      <c r="D5471" s="1" t="s">
        <v>1879</v>
      </c>
    </row>
    <row r="5472">
      <c r="A5472" s="1" t="s">
        <v>12547</v>
      </c>
      <c r="B5472" s="2" t="s">
        <v>10620</v>
      </c>
      <c r="C5472" s="1" t="s">
        <v>103</v>
      </c>
      <c r="D5472" s="1" t="s">
        <v>1879</v>
      </c>
    </row>
    <row r="5473">
      <c r="A5473" s="1" t="s">
        <v>12548</v>
      </c>
      <c r="B5473" s="2" t="s">
        <v>10622</v>
      </c>
      <c r="C5473" s="1" t="s">
        <v>103</v>
      </c>
      <c r="D5473" s="1" t="s">
        <v>1879</v>
      </c>
    </row>
    <row r="5474">
      <c r="A5474" s="1" t="s">
        <v>12549</v>
      </c>
      <c r="B5474" s="2" t="s">
        <v>10624</v>
      </c>
      <c r="C5474" s="1" t="s">
        <v>103</v>
      </c>
      <c r="D5474" s="1" t="s">
        <v>1879</v>
      </c>
    </row>
    <row r="5475">
      <c r="A5475" s="1" t="s">
        <v>12550</v>
      </c>
      <c r="B5475" s="2" t="s">
        <v>10626</v>
      </c>
      <c r="C5475" s="1" t="s">
        <v>103</v>
      </c>
      <c r="D5475" s="1" t="s">
        <v>1879</v>
      </c>
    </row>
    <row r="5476">
      <c r="A5476" s="1" t="s">
        <v>12551</v>
      </c>
      <c r="B5476" s="2" t="s">
        <v>10628</v>
      </c>
      <c r="C5476" s="1" t="s">
        <v>103</v>
      </c>
      <c r="D5476" s="1" t="s">
        <v>1879</v>
      </c>
    </row>
    <row r="5477">
      <c r="A5477" s="1" t="s">
        <v>1886</v>
      </c>
      <c r="B5477" s="2" t="s">
        <v>7</v>
      </c>
      <c r="C5477" s="1" t="s">
        <v>1888</v>
      </c>
      <c r="D5477" s="1" t="s">
        <v>1890</v>
      </c>
    </row>
    <row r="5478">
      <c r="A5478" s="1" t="s">
        <v>12552</v>
      </c>
      <c r="B5478" s="2" t="s">
        <v>10344</v>
      </c>
      <c r="C5478" s="1" t="s">
        <v>1888</v>
      </c>
      <c r="D5478" s="1" t="s">
        <v>1890</v>
      </c>
    </row>
    <row r="5479">
      <c r="A5479" s="1" t="s">
        <v>12553</v>
      </c>
      <c r="B5479" s="2" t="s">
        <v>10346</v>
      </c>
      <c r="C5479" s="1" t="s">
        <v>1888</v>
      </c>
      <c r="D5479" s="1" t="s">
        <v>1890</v>
      </c>
    </row>
    <row r="5480">
      <c r="A5480" s="1" t="s">
        <v>12554</v>
      </c>
      <c r="B5480" s="2" t="s">
        <v>10348</v>
      </c>
      <c r="C5480" s="1" t="s">
        <v>1888</v>
      </c>
      <c r="D5480" s="1" t="s">
        <v>1890</v>
      </c>
    </row>
    <row r="5481">
      <c r="A5481" s="1" t="s">
        <v>12555</v>
      </c>
      <c r="B5481" s="2" t="s">
        <v>10350</v>
      </c>
      <c r="C5481" s="1" t="s">
        <v>1888</v>
      </c>
      <c r="D5481" s="1" t="s">
        <v>1890</v>
      </c>
    </row>
    <row r="5482">
      <c r="A5482" s="1" t="s">
        <v>12556</v>
      </c>
      <c r="B5482" s="2" t="s">
        <v>10352</v>
      </c>
      <c r="C5482" s="1" t="s">
        <v>1888</v>
      </c>
      <c r="D5482" s="1" t="s">
        <v>1890</v>
      </c>
    </row>
    <row r="5483">
      <c r="A5483" s="1" t="s">
        <v>12557</v>
      </c>
      <c r="B5483" s="2" t="s">
        <v>10354</v>
      </c>
      <c r="C5483" s="1" t="s">
        <v>1888</v>
      </c>
      <c r="D5483" s="1" t="s">
        <v>1890</v>
      </c>
    </row>
    <row r="5484">
      <c r="A5484" s="1" t="s">
        <v>12558</v>
      </c>
      <c r="B5484" s="2" t="s">
        <v>10356</v>
      </c>
      <c r="C5484" s="1" t="s">
        <v>1888</v>
      </c>
      <c r="D5484" s="1" t="s">
        <v>1890</v>
      </c>
    </row>
    <row r="5485">
      <c r="A5485" s="1" t="s">
        <v>12559</v>
      </c>
      <c r="B5485" s="2" t="s">
        <v>10358</v>
      </c>
      <c r="C5485" s="1" t="s">
        <v>1888</v>
      </c>
      <c r="D5485" s="1" t="s">
        <v>1890</v>
      </c>
    </row>
    <row r="5486">
      <c r="A5486" s="1" t="s">
        <v>12560</v>
      </c>
      <c r="B5486" s="2" t="s">
        <v>10360</v>
      </c>
      <c r="C5486" s="1" t="s">
        <v>1888</v>
      </c>
      <c r="D5486" s="1" t="s">
        <v>1890</v>
      </c>
    </row>
    <row r="5487">
      <c r="A5487" s="1" t="s">
        <v>12561</v>
      </c>
      <c r="B5487" s="2" t="s">
        <v>10362</v>
      </c>
      <c r="C5487" s="1" t="s">
        <v>1888</v>
      </c>
      <c r="D5487" s="1" t="s">
        <v>1890</v>
      </c>
    </row>
    <row r="5488">
      <c r="A5488" s="1" t="s">
        <v>12562</v>
      </c>
      <c r="B5488" s="2" t="s">
        <v>10364</v>
      </c>
      <c r="C5488" s="1" t="s">
        <v>1888</v>
      </c>
      <c r="D5488" s="1" t="s">
        <v>1890</v>
      </c>
    </row>
    <row r="5489">
      <c r="A5489" s="1" t="s">
        <v>12563</v>
      </c>
      <c r="B5489" s="2" t="s">
        <v>10366</v>
      </c>
      <c r="C5489" s="1" t="s">
        <v>1888</v>
      </c>
      <c r="D5489" s="1" t="s">
        <v>1890</v>
      </c>
    </row>
    <row r="5490">
      <c r="A5490" s="1" t="s">
        <v>12564</v>
      </c>
      <c r="B5490" s="2" t="s">
        <v>10368</v>
      </c>
      <c r="C5490" s="1" t="s">
        <v>1888</v>
      </c>
      <c r="D5490" s="1" t="s">
        <v>1890</v>
      </c>
    </row>
    <row r="5491">
      <c r="A5491" s="1" t="s">
        <v>12565</v>
      </c>
      <c r="B5491" s="2" t="s">
        <v>10370</v>
      </c>
      <c r="C5491" s="1" t="s">
        <v>1888</v>
      </c>
      <c r="D5491" s="1" t="s">
        <v>1890</v>
      </c>
    </row>
    <row r="5492">
      <c r="A5492" s="1" t="s">
        <v>12566</v>
      </c>
      <c r="B5492" s="2" t="s">
        <v>10372</v>
      </c>
      <c r="C5492" s="1" t="s">
        <v>1888</v>
      </c>
      <c r="D5492" s="1" t="s">
        <v>1890</v>
      </c>
    </row>
    <row r="5493">
      <c r="A5493" s="1" t="s">
        <v>12567</v>
      </c>
      <c r="B5493" s="2" t="s">
        <v>10374</v>
      </c>
      <c r="C5493" s="1" t="s">
        <v>1888</v>
      </c>
      <c r="D5493" s="1" t="s">
        <v>1890</v>
      </c>
    </row>
    <row r="5494">
      <c r="A5494" s="1" t="s">
        <v>12568</v>
      </c>
      <c r="B5494" s="2" t="s">
        <v>13</v>
      </c>
      <c r="C5494" s="1" t="s">
        <v>1888</v>
      </c>
      <c r="D5494" s="1" t="s">
        <v>1890</v>
      </c>
    </row>
    <row r="5495">
      <c r="A5495" s="1" t="s">
        <v>12569</v>
      </c>
      <c r="B5495" s="2" t="s">
        <v>10377</v>
      </c>
      <c r="C5495" s="1" t="s">
        <v>1888</v>
      </c>
      <c r="D5495" s="1" t="s">
        <v>1890</v>
      </c>
    </row>
    <row r="5496">
      <c r="A5496" s="1" t="s">
        <v>12570</v>
      </c>
      <c r="B5496" s="2" t="s">
        <v>10379</v>
      </c>
      <c r="C5496" s="1" t="s">
        <v>1888</v>
      </c>
      <c r="D5496" s="1" t="s">
        <v>1890</v>
      </c>
    </row>
    <row r="5497">
      <c r="A5497" s="1" t="s">
        <v>12571</v>
      </c>
      <c r="B5497" s="2" t="s">
        <v>10381</v>
      </c>
      <c r="C5497" s="1" t="s">
        <v>1888</v>
      </c>
      <c r="D5497" s="1" t="s">
        <v>1890</v>
      </c>
    </row>
    <row r="5498">
      <c r="A5498" s="1" t="s">
        <v>12572</v>
      </c>
      <c r="B5498" s="2" t="s">
        <v>10383</v>
      </c>
      <c r="C5498" s="1" t="s">
        <v>1888</v>
      </c>
      <c r="D5498" s="1" t="s">
        <v>1890</v>
      </c>
    </row>
    <row r="5499">
      <c r="A5499" s="1" t="s">
        <v>12573</v>
      </c>
      <c r="B5499" s="2" t="s">
        <v>10385</v>
      </c>
      <c r="C5499" s="1" t="s">
        <v>1888</v>
      </c>
      <c r="D5499" s="1" t="s">
        <v>1890</v>
      </c>
    </row>
    <row r="5500">
      <c r="A5500" s="1" t="s">
        <v>12574</v>
      </c>
      <c r="B5500" s="2" t="s">
        <v>10387</v>
      </c>
      <c r="C5500" s="1" t="s">
        <v>1888</v>
      </c>
      <c r="D5500" s="1" t="s">
        <v>1890</v>
      </c>
    </row>
    <row r="5501">
      <c r="A5501" s="1" t="s">
        <v>12575</v>
      </c>
      <c r="B5501" s="2" t="s">
        <v>10389</v>
      </c>
      <c r="C5501" s="1" t="s">
        <v>1888</v>
      </c>
      <c r="D5501" s="1" t="s">
        <v>1890</v>
      </c>
    </row>
    <row r="5502">
      <c r="A5502" s="1" t="s">
        <v>12576</v>
      </c>
      <c r="B5502" s="2" t="s">
        <v>10391</v>
      </c>
      <c r="C5502" s="1" t="s">
        <v>1888</v>
      </c>
      <c r="D5502" s="1" t="s">
        <v>1890</v>
      </c>
    </row>
    <row r="5503">
      <c r="A5503" s="1" t="s">
        <v>12577</v>
      </c>
      <c r="B5503" s="2" t="s">
        <v>10393</v>
      </c>
      <c r="C5503" s="1" t="s">
        <v>1888</v>
      </c>
      <c r="D5503" s="1" t="s">
        <v>1890</v>
      </c>
    </row>
    <row r="5504">
      <c r="A5504" s="1" t="s">
        <v>12578</v>
      </c>
      <c r="B5504" s="2" t="s">
        <v>10395</v>
      </c>
      <c r="C5504" s="1" t="s">
        <v>1888</v>
      </c>
      <c r="D5504" s="1" t="s">
        <v>1890</v>
      </c>
    </row>
    <row r="5505">
      <c r="A5505" s="1" t="s">
        <v>12579</v>
      </c>
      <c r="B5505" s="2" t="s">
        <v>10397</v>
      </c>
      <c r="C5505" s="1" t="s">
        <v>1888</v>
      </c>
      <c r="D5505" s="1" t="s">
        <v>1890</v>
      </c>
    </row>
    <row r="5506">
      <c r="A5506" s="1" t="s">
        <v>12580</v>
      </c>
      <c r="B5506" s="2" t="s">
        <v>10399</v>
      </c>
      <c r="C5506" s="1" t="s">
        <v>1888</v>
      </c>
      <c r="D5506" s="1" t="s">
        <v>1890</v>
      </c>
    </row>
    <row r="5507">
      <c r="A5507" s="1" t="s">
        <v>12581</v>
      </c>
      <c r="B5507" s="2" t="s">
        <v>10401</v>
      </c>
      <c r="C5507" s="1" t="s">
        <v>1888</v>
      </c>
      <c r="D5507" s="1" t="s">
        <v>1890</v>
      </c>
    </row>
    <row r="5508">
      <c r="A5508" s="1" t="s">
        <v>12582</v>
      </c>
      <c r="B5508" s="2" t="s">
        <v>10403</v>
      </c>
      <c r="C5508" s="1" t="s">
        <v>1888</v>
      </c>
      <c r="D5508" s="1" t="s">
        <v>1890</v>
      </c>
    </row>
    <row r="5509">
      <c r="A5509" s="1" t="s">
        <v>12583</v>
      </c>
      <c r="B5509" s="2" t="s">
        <v>10405</v>
      </c>
      <c r="C5509" s="1" t="s">
        <v>1888</v>
      </c>
      <c r="D5509" s="1" t="s">
        <v>1890</v>
      </c>
    </row>
    <row r="5510">
      <c r="A5510" s="1" t="s">
        <v>12584</v>
      </c>
      <c r="B5510" s="2" t="s">
        <v>10407</v>
      </c>
      <c r="C5510" s="1" t="s">
        <v>1888</v>
      </c>
      <c r="D5510" s="1" t="s">
        <v>1890</v>
      </c>
    </row>
    <row r="5511">
      <c r="A5511" s="1" t="s">
        <v>12585</v>
      </c>
      <c r="B5511" s="2" t="s">
        <v>70</v>
      </c>
      <c r="C5511" s="1" t="s">
        <v>1888</v>
      </c>
      <c r="D5511" s="1" t="s">
        <v>1890</v>
      </c>
    </row>
    <row r="5512">
      <c r="A5512" s="1" t="s">
        <v>12586</v>
      </c>
      <c r="B5512" s="2" t="s">
        <v>10410</v>
      </c>
      <c r="C5512" s="1" t="s">
        <v>1888</v>
      </c>
      <c r="D5512" s="1" t="s">
        <v>1890</v>
      </c>
    </row>
    <row r="5513">
      <c r="A5513" s="1" t="s">
        <v>12587</v>
      </c>
      <c r="B5513" s="2" t="s">
        <v>10412</v>
      </c>
      <c r="C5513" s="1" t="s">
        <v>1888</v>
      </c>
      <c r="D5513" s="1" t="s">
        <v>1890</v>
      </c>
    </row>
    <row r="5514">
      <c r="A5514" s="1" t="s">
        <v>12588</v>
      </c>
      <c r="B5514" s="2" t="s">
        <v>10414</v>
      </c>
      <c r="C5514" s="1" t="s">
        <v>1888</v>
      </c>
      <c r="D5514" s="1" t="s">
        <v>1890</v>
      </c>
    </row>
    <row r="5515">
      <c r="A5515" s="1" t="s">
        <v>12589</v>
      </c>
      <c r="B5515" s="2" t="s">
        <v>10416</v>
      </c>
      <c r="C5515" s="1" t="s">
        <v>1888</v>
      </c>
      <c r="D5515" s="1" t="s">
        <v>1890</v>
      </c>
    </row>
    <row r="5516">
      <c r="A5516" s="1" t="s">
        <v>12590</v>
      </c>
      <c r="B5516" s="2" t="s">
        <v>10418</v>
      </c>
      <c r="C5516" s="1" t="s">
        <v>1888</v>
      </c>
      <c r="D5516" s="1" t="s">
        <v>1890</v>
      </c>
    </row>
    <row r="5517">
      <c r="A5517" s="1" t="s">
        <v>12591</v>
      </c>
      <c r="B5517" s="2" t="s">
        <v>10420</v>
      </c>
      <c r="C5517" s="1" t="s">
        <v>1888</v>
      </c>
      <c r="D5517" s="1" t="s">
        <v>1890</v>
      </c>
    </row>
    <row r="5518">
      <c r="A5518" s="1" t="s">
        <v>12592</v>
      </c>
      <c r="B5518" s="2" t="s">
        <v>10422</v>
      </c>
      <c r="C5518" s="1" t="s">
        <v>1888</v>
      </c>
      <c r="D5518" s="1" t="s">
        <v>1890</v>
      </c>
    </row>
    <row r="5519">
      <c r="A5519" s="1" t="s">
        <v>12593</v>
      </c>
      <c r="B5519" s="2" t="s">
        <v>10424</v>
      </c>
      <c r="C5519" s="1" t="s">
        <v>1888</v>
      </c>
      <c r="D5519" s="1" t="s">
        <v>1890</v>
      </c>
    </row>
    <row r="5520">
      <c r="A5520" s="1" t="s">
        <v>12594</v>
      </c>
      <c r="B5520" s="2" t="s">
        <v>10426</v>
      </c>
      <c r="C5520" s="1" t="s">
        <v>1888</v>
      </c>
      <c r="D5520" s="1" t="s">
        <v>1890</v>
      </c>
    </row>
    <row r="5521">
      <c r="A5521" s="1" t="s">
        <v>12595</v>
      </c>
      <c r="B5521" s="2" t="s">
        <v>10428</v>
      </c>
      <c r="C5521" s="1" t="s">
        <v>1888</v>
      </c>
      <c r="D5521" s="1" t="s">
        <v>1890</v>
      </c>
    </row>
    <row r="5522">
      <c r="A5522" s="1" t="s">
        <v>12596</v>
      </c>
      <c r="B5522" s="2" t="s">
        <v>10430</v>
      </c>
      <c r="C5522" s="1" t="s">
        <v>1888</v>
      </c>
      <c r="D5522" s="1" t="s">
        <v>1890</v>
      </c>
    </row>
    <row r="5523">
      <c r="A5523" s="1" t="s">
        <v>12597</v>
      </c>
      <c r="B5523" s="2" t="s">
        <v>10432</v>
      </c>
      <c r="C5523" s="1" t="s">
        <v>1888</v>
      </c>
      <c r="D5523" s="1" t="s">
        <v>1890</v>
      </c>
    </row>
    <row r="5524">
      <c r="A5524" s="1" t="s">
        <v>12598</v>
      </c>
      <c r="B5524" s="2" t="s">
        <v>10434</v>
      </c>
      <c r="C5524" s="1" t="s">
        <v>1888</v>
      </c>
      <c r="D5524" s="1" t="s">
        <v>1890</v>
      </c>
    </row>
    <row r="5525">
      <c r="A5525" s="1" t="s">
        <v>12599</v>
      </c>
      <c r="B5525" s="2" t="s">
        <v>10436</v>
      </c>
      <c r="C5525" s="1" t="s">
        <v>1888</v>
      </c>
      <c r="D5525" s="1" t="s">
        <v>1890</v>
      </c>
    </row>
    <row r="5526">
      <c r="A5526" s="1" t="s">
        <v>12600</v>
      </c>
      <c r="B5526" s="2" t="s">
        <v>10438</v>
      </c>
      <c r="C5526" s="1" t="s">
        <v>1888</v>
      </c>
      <c r="D5526" s="1" t="s">
        <v>1890</v>
      </c>
    </row>
    <row r="5527">
      <c r="A5527" s="1" t="s">
        <v>12601</v>
      </c>
      <c r="B5527" s="2" t="s">
        <v>10440</v>
      </c>
      <c r="C5527" s="1" t="s">
        <v>1888</v>
      </c>
      <c r="D5527" s="1" t="s">
        <v>1890</v>
      </c>
    </row>
    <row r="5528">
      <c r="A5528" s="1" t="s">
        <v>1895</v>
      </c>
      <c r="B5528" s="2" t="s">
        <v>7</v>
      </c>
      <c r="C5528" s="1" t="s">
        <v>1898</v>
      </c>
      <c r="D5528" s="1" t="s">
        <v>1899</v>
      </c>
    </row>
    <row r="5529">
      <c r="A5529" s="1" t="s">
        <v>12602</v>
      </c>
      <c r="B5529" s="2" t="s">
        <v>10606</v>
      </c>
      <c r="C5529" s="1" t="s">
        <v>1898</v>
      </c>
      <c r="D5529" s="1" t="s">
        <v>1899</v>
      </c>
    </row>
    <row r="5530">
      <c r="A5530" s="1" t="s">
        <v>12603</v>
      </c>
      <c r="B5530" s="2" t="s">
        <v>10608</v>
      </c>
      <c r="C5530" s="1" t="s">
        <v>1898</v>
      </c>
      <c r="D5530" s="1" t="s">
        <v>1899</v>
      </c>
    </row>
    <row r="5531">
      <c r="A5531" s="1" t="s">
        <v>12604</v>
      </c>
      <c r="B5531" s="2" t="s">
        <v>10610</v>
      </c>
      <c r="C5531" s="1" t="s">
        <v>1898</v>
      </c>
      <c r="D5531" s="1" t="s">
        <v>1899</v>
      </c>
    </row>
    <row r="5532">
      <c r="A5532" s="1" t="s">
        <v>12605</v>
      </c>
      <c r="B5532" s="2" t="s">
        <v>10612</v>
      </c>
      <c r="C5532" s="1" t="s">
        <v>1898</v>
      </c>
      <c r="D5532" s="1" t="s">
        <v>1899</v>
      </c>
    </row>
    <row r="5533">
      <c r="A5533" s="1" t="s">
        <v>12606</v>
      </c>
      <c r="B5533" s="2" t="s">
        <v>10614</v>
      </c>
      <c r="C5533" s="1" t="s">
        <v>1898</v>
      </c>
      <c r="D5533" s="1" t="s">
        <v>1899</v>
      </c>
    </row>
    <row r="5534">
      <c r="A5534" s="1" t="s">
        <v>12607</v>
      </c>
      <c r="B5534" s="2" t="s">
        <v>10616</v>
      </c>
      <c r="C5534" s="1" t="s">
        <v>1898</v>
      </c>
      <c r="D5534" s="1" t="s">
        <v>1899</v>
      </c>
    </row>
    <row r="5535">
      <c r="A5535" s="1" t="s">
        <v>12608</v>
      </c>
      <c r="B5535" s="2" t="s">
        <v>10618</v>
      </c>
      <c r="C5535" s="1" t="s">
        <v>1898</v>
      </c>
      <c r="D5535" s="1" t="s">
        <v>1899</v>
      </c>
    </row>
    <row r="5536">
      <c r="A5536" s="1" t="s">
        <v>12609</v>
      </c>
      <c r="B5536" s="2" t="s">
        <v>10620</v>
      </c>
      <c r="C5536" s="1" t="s">
        <v>1898</v>
      </c>
      <c r="D5536" s="1" t="s">
        <v>1899</v>
      </c>
    </row>
    <row r="5537">
      <c r="A5537" s="1" t="s">
        <v>12610</v>
      </c>
      <c r="B5537" s="2" t="s">
        <v>10622</v>
      </c>
      <c r="C5537" s="1" t="s">
        <v>1898</v>
      </c>
      <c r="D5537" s="1" t="s">
        <v>1899</v>
      </c>
    </row>
    <row r="5538">
      <c r="A5538" s="1" t="s">
        <v>12611</v>
      </c>
      <c r="B5538" s="2" t="s">
        <v>10624</v>
      </c>
      <c r="C5538" s="1" t="s">
        <v>1898</v>
      </c>
      <c r="D5538" s="1" t="s">
        <v>1899</v>
      </c>
    </row>
    <row r="5539">
      <c r="A5539" s="1" t="s">
        <v>12612</v>
      </c>
      <c r="B5539" s="2" t="s">
        <v>10626</v>
      </c>
      <c r="C5539" s="1" t="s">
        <v>1898</v>
      </c>
      <c r="D5539" s="1" t="s">
        <v>1899</v>
      </c>
    </row>
    <row r="5540">
      <c r="A5540" s="1" t="s">
        <v>12613</v>
      </c>
      <c r="B5540" s="2" t="s">
        <v>10628</v>
      </c>
      <c r="C5540" s="1" t="s">
        <v>1898</v>
      </c>
      <c r="D5540" s="1" t="s">
        <v>1899</v>
      </c>
    </row>
    <row r="5541">
      <c r="A5541" s="1" t="s">
        <v>12614</v>
      </c>
      <c r="B5541" s="2" t="s">
        <v>13</v>
      </c>
      <c r="C5541" s="1" t="s">
        <v>1898</v>
      </c>
      <c r="D5541" s="1" t="s">
        <v>1899</v>
      </c>
    </row>
    <row r="5542">
      <c r="A5542" s="1" t="s">
        <v>12615</v>
      </c>
      <c r="B5542" s="2" t="s">
        <v>10631</v>
      </c>
      <c r="C5542" s="1" t="s">
        <v>1898</v>
      </c>
      <c r="D5542" s="1" t="s">
        <v>1899</v>
      </c>
    </row>
    <row r="5543">
      <c r="A5543" s="1" t="s">
        <v>12616</v>
      </c>
      <c r="B5543" s="2" t="s">
        <v>10633</v>
      </c>
      <c r="C5543" s="1" t="s">
        <v>1898</v>
      </c>
      <c r="D5543" s="1" t="s">
        <v>1899</v>
      </c>
    </row>
    <row r="5544">
      <c r="A5544" s="1" t="s">
        <v>12617</v>
      </c>
      <c r="B5544" s="2" t="s">
        <v>10635</v>
      </c>
      <c r="C5544" s="1" t="s">
        <v>1898</v>
      </c>
      <c r="D5544" s="1" t="s">
        <v>1899</v>
      </c>
    </row>
    <row r="5545">
      <c r="A5545" s="1" t="s">
        <v>12618</v>
      </c>
      <c r="B5545" s="2" t="s">
        <v>10637</v>
      </c>
      <c r="C5545" s="1" t="s">
        <v>1898</v>
      </c>
      <c r="D5545" s="1" t="s">
        <v>1899</v>
      </c>
    </row>
    <row r="5546">
      <c r="A5546" s="1" t="s">
        <v>12619</v>
      </c>
      <c r="B5546" s="2" t="s">
        <v>10639</v>
      </c>
      <c r="C5546" s="1" t="s">
        <v>1898</v>
      </c>
      <c r="D5546" s="1" t="s">
        <v>1899</v>
      </c>
    </row>
    <row r="5547">
      <c r="A5547" s="1" t="s">
        <v>12620</v>
      </c>
      <c r="B5547" s="2" t="s">
        <v>10641</v>
      </c>
      <c r="C5547" s="1" t="s">
        <v>1898</v>
      </c>
      <c r="D5547" s="1" t="s">
        <v>1899</v>
      </c>
    </row>
    <row r="5548">
      <c r="A5548" s="1" t="s">
        <v>12621</v>
      </c>
      <c r="B5548" s="2" t="s">
        <v>10643</v>
      </c>
      <c r="C5548" s="1" t="s">
        <v>1898</v>
      </c>
      <c r="D5548" s="1" t="s">
        <v>1899</v>
      </c>
    </row>
    <row r="5549">
      <c r="A5549" s="1" t="s">
        <v>12622</v>
      </c>
      <c r="B5549" s="2" t="s">
        <v>10645</v>
      </c>
      <c r="C5549" s="1" t="s">
        <v>1898</v>
      </c>
      <c r="D5549" s="1" t="s">
        <v>1899</v>
      </c>
    </row>
    <row r="5550">
      <c r="A5550" s="1" t="s">
        <v>12623</v>
      </c>
      <c r="B5550" s="2" t="s">
        <v>10647</v>
      </c>
      <c r="C5550" s="1" t="s">
        <v>1898</v>
      </c>
      <c r="D5550" s="1" t="s">
        <v>1899</v>
      </c>
    </row>
    <row r="5551">
      <c r="A5551" s="1" t="s">
        <v>12624</v>
      </c>
      <c r="B5551" s="2" t="s">
        <v>10649</v>
      </c>
      <c r="C5551" s="1" t="s">
        <v>1898</v>
      </c>
      <c r="D5551" s="1" t="s">
        <v>1899</v>
      </c>
    </row>
    <row r="5552">
      <c r="A5552" s="1" t="s">
        <v>12625</v>
      </c>
      <c r="B5552" s="2" t="s">
        <v>10651</v>
      </c>
      <c r="C5552" s="1" t="s">
        <v>1898</v>
      </c>
      <c r="D5552" s="1" t="s">
        <v>1899</v>
      </c>
    </row>
    <row r="5553">
      <c r="A5553" s="1" t="s">
        <v>12626</v>
      </c>
      <c r="B5553" s="2" t="s">
        <v>10653</v>
      </c>
      <c r="C5553" s="1" t="s">
        <v>1898</v>
      </c>
      <c r="D5553" s="1" t="s">
        <v>1899</v>
      </c>
    </row>
    <row r="5554">
      <c r="A5554" s="1" t="s">
        <v>12627</v>
      </c>
      <c r="B5554" s="2" t="s">
        <v>70</v>
      </c>
      <c r="C5554" s="1" t="s">
        <v>1898</v>
      </c>
      <c r="D5554" s="1" t="s">
        <v>1899</v>
      </c>
    </row>
    <row r="5555">
      <c r="A5555" s="1" t="s">
        <v>12628</v>
      </c>
      <c r="B5555" s="2" t="s">
        <v>10656</v>
      </c>
      <c r="C5555" s="1" t="s">
        <v>1898</v>
      </c>
      <c r="D5555" s="1" t="s">
        <v>1899</v>
      </c>
    </row>
    <row r="5556">
      <c r="A5556" s="1" t="s">
        <v>12629</v>
      </c>
      <c r="B5556" s="2" t="s">
        <v>10658</v>
      </c>
      <c r="C5556" s="1" t="s">
        <v>1898</v>
      </c>
      <c r="D5556" s="1" t="s">
        <v>1899</v>
      </c>
    </row>
    <row r="5557">
      <c r="A5557" s="1" t="s">
        <v>12630</v>
      </c>
      <c r="B5557" s="2" t="s">
        <v>10660</v>
      </c>
      <c r="C5557" s="1" t="s">
        <v>1898</v>
      </c>
      <c r="D5557" s="1" t="s">
        <v>1899</v>
      </c>
    </row>
    <row r="5558">
      <c r="A5558" s="1" t="s">
        <v>12631</v>
      </c>
      <c r="B5558" s="2" t="s">
        <v>10662</v>
      </c>
      <c r="C5558" s="1" t="s">
        <v>1898</v>
      </c>
      <c r="D5558" s="1" t="s">
        <v>1899</v>
      </c>
    </row>
    <row r="5559">
      <c r="A5559" s="1" t="s">
        <v>12632</v>
      </c>
      <c r="B5559" s="2" t="s">
        <v>10664</v>
      </c>
      <c r="C5559" s="1" t="s">
        <v>1898</v>
      </c>
      <c r="D5559" s="1" t="s">
        <v>1899</v>
      </c>
    </row>
    <row r="5560">
      <c r="A5560" s="1" t="s">
        <v>12633</v>
      </c>
      <c r="B5560" s="2" t="s">
        <v>10666</v>
      </c>
      <c r="C5560" s="1" t="s">
        <v>1898</v>
      </c>
      <c r="D5560" s="1" t="s">
        <v>1899</v>
      </c>
    </row>
    <row r="5561">
      <c r="A5561" s="1" t="s">
        <v>12634</v>
      </c>
      <c r="B5561" s="2" t="s">
        <v>10668</v>
      </c>
      <c r="C5561" s="1" t="s">
        <v>1898</v>
      </c>
      <c r="D5561" s="1" t="s">
        <v>1899</v>
      </c>
    </row>
    <row r="5562">
      <c r="A5562" s="1" t="s">
        <v>12635</v>
      </c>
      <c r="B5562" s="2" t="s">
        <v>10670</v>
      </c>
      <c r="C5562" s="1" t="s">
        <v>1898</v>
      </c>
      <c r="D5562" s="1" t="s">
        <v>1899</v>
      </c>
    </row>
    <row r="5563">
      <c r="A5563" s="1" t="s">
        <v>12636</v>
      </c>
      <c r="B5563" s="2" t="s">
        <v>10672</v>
      </c>
      <c r="C5563" s="1" t="s">
        <v>1898</v>
      </c>
      <c r="D5563" s="1" t="s">
        <v>1899</v>
      </c>
    </row>
    <row r="5564">
      <c r="A5564" s="1" t="s">
        <v>12637</v>
      </c>
      <c r="B5564" s="2" t="s">
        <v>10674</v>
      </c>
      <c r="C5564" s="1" t="s">
        <v>1898</v>
      </c>
      <c r="D5564" s="1" t="s">
        <v>1899</v>
      </c>
    </row>
    <row r="5565">
      <c r="A5565" s="1" t="s">
        <v>12638</v>
      </c>
      <c r="B5565" s="2" t="s">
        <v>10676</v>
      </c>
      <c r="C5565" s="1" t="s">
        <v>1898</v>
      </c>
      <c r="D5565" s="1" t="s">
        <v>1899</v>
      </c>
    </row>
    <row r="5566">
      <c r="A5566" s="1" t="s">
        <v>12639</v>
      </c>
      <c r="B5566" s="2" t="s">
        <v>10678</v>
      </c>
      <c r="C5566" s="1" t="s">
        <v>1898</v>
      </c>
      <c r="D5566" s="1" t="s">
        <v>1899</v>
      </c>
    </row>
    <row r="5567">
      <c r="A5567" s="1" t="s">
        <v>1902</v>
      </c>
      <c r="B5567" s="2" t="s">
        <v>7</v>
      </c>
      <c r="C5567" s="1" t="s">
        <v>1903</v>
      </c>
      <c r="D5567" s="1" t="s">
        <v>1905</v>
      </c>
    </row>
    <row r="5568">
      <c r="A5568" s="1" t="s">
        <v>12640</v>
      </c>
      <c r="B5568" s="2" t="s">
        <v>10824</v>
      </c>
      <c r="C5568" s="1" t="s">
        <v>1903</v>
      </c>
      <c r="D5568" s="1" t="s">
        <v>1905</v>
      </c>
    </row>
    <row r="5569">
      <c r="A5569" s="1" t="s">
        <v>12641</v>
      </c>
      <c r="B5569" s="2" t="s">
        <v>6673</v>
      </c>
      <c r="C5569" s="1" t="s">
        <v>1903</v>
      </c>
      <c r="D5569" s="1" t="s">
        <v>1905</v>
      </c>
    </row>
    <row r="5570">
      <c r="A5570" s="1" t="s">
        <v>12642</v>
      </c>
      <c r="B5570" s="2" t="s">
        <v>10827</v>
      </c>
      <c r="C5570" s="1" t="s">
        <v>1903</v>
      </c>
      <c r="D5570" s="1" t="s">
        <v>1905</v>
      </c>
    </row>
    <row r="5571">
      <c r="A5571" s="1" t="s">
        <v>12643</v>
      </c>
      <c r="B5571" s="2" t="s">
        <v>5146</v>
      </c>
      <c r="C5571" s="1" t="s">
        <v>1903</v>
      </c>
      <c r="D5571" s="1" t="s">
        <v>1905</v>
      </c>
    </row>
    <row r="5572">
      <c r="A5572" s="1" t="s">
        <v>12644</v>
      </c>
      <c r="B5572" s="2" t="s">
        <v>5148</v>
      </c>
      <c r="C5572" s="1" t="s">
        <v>1903</v>
      </c>
      <c r="D5572" s="1" t="s">
        <v>1905</v>
      </c>
    </row>
    <row r="5573">
      <c r="A5573" s="1" t="s">
        <v>12645</v>
      </c>
      <c r="B5573" s="2" t="s">
        <v>6701</v>
      </c>
      <c r="C5573" s="1" t="s">
        <v>1903</v>
      </c>
      <c r="D5573" s="1" t="s">
        <v>1905</v>
      </c>
    </row>
    <row r="5574">
      <c r="A5574" s="1" t="s">
        <v>12646</v>
      </c>
      <c r="B5574" s="2" t="s">
        <v>10832</v>
      </c>
      <c r="C5574" s="1" t="s">
        <v>1903</v>
      </c>
      <c r="D5574" s="1" t="s">
        <v>1905</v>
      </c>
    </row>
    <row r="5575">
      <c r="A5575" s="1" t="s">
        <v>12647</v>
      </c>
      <c r="B5575" s="2" t="s">
        <v>10834</v>
      </c>
      <c r="C5575" s="1" t="s">
        <v>1903</v>
      </c>
      <c r="D5575" s="1" t="s">
        <v>1905</v>
      </c>
    </row>
    <row r="5576">
      <c r="A5576" s="1" t="s">
        <v>12648</v>
      </c>
      <c r="B5576" s="2" t="s">
        <v>10836</v>
      </c>
      <c r="C5576" s="1" t="s">
        <v>1903</v>
      </c>
      <c r="D5576" s="1" t="s">
        <v>1905</v>
      </c>
    </row>
    <row r="5577">
      <c r="A5577" s="1" t="s">
        <v>12649</v>
      </c>
      <c r="B5577" s="2" t="s">
        <v>10838</v>
      </c>
      <c r="C5577" s="1" t="s">
        <v>1903</v>
      </c>
      <c r="D5577" s="1" t="s">
        <v>1905</v>
      </c>
    </row>
    <row r="5578">
      <c r="A5578" s="1" t="s">
        <v>12650</v>
      </c>
      <c r="B5578" s="2" t="s">
        <v>10840</v>
      </c>
      <c r="C5578" s="1" t="s">
        <v>1903</v>
      </c>
      <c r="D5578" s="1" t="s">
        <v>1905</v>
      </c>
    </row>
    <row r="5579">
      <c r="A5579" s="1" t="s">
        <v>12651</v>
      </c>
      <c r="B5579" s="2" t="s">
        <v>10842</v>
      </c>
      <c r="C5579" s="1" t="s">
        <v>1903</v>
      </c>
      <c r="D5579" s="1" t="s">
        <v>1905</v>
      </c>
    </row>
    <row r="5580">
      <c r="A5580" s="1" t="s">
        <v>12652</v>
      </c>
      <c r="B5580" s="2" t="s">
        <v>10844</v>
      </c>
      <c r="C5580" s="1" t="s">
        <v>1903</v>
      </c>
      <c r="D5580" s="1" t="s">
        <v>1905</v>
      </c>
    </row>
    <row r="5581">
      <c r="A5581" s="1" t="s">
        <v>12653</v>
      </c>
      <c r="B5581" s="2" t="s">
        <v>10846</v>
      </c>
      <c r="C5581" s="1" t="s">
        <v>1903</v>
      </c>
      <c r="D5581" s="1" t="s">
        <v>1905</v>
      </c>
    </row>
    <row r="5582">
      <c r="A5582" s="1" t="s">
        <v>12654</v>
      </c>
      <c r="B5582" s="2" t="s">
        <v>10848</v>
      </c>
      <c r="C5582" s="1" t="s">
        <v>1903</v>
      </c>
      <c r="D5582" s="1" t="s">
        <v>1905</v>
      </c>
    </row>
    <row r="5583">
      <c r="A5583" s="1" t="s">
        <v>12655</v>
      </c>
      <c r="B5583" s="2" t="s">
        <v>10850</v>
      </c>
      <c r="C5583" s="1" t="s">
        <v>1903</v>
      </c>
      <c r="D5583" s="1" t="s">
        <v>1905</v>
      </c>
    </row>
    <row r="5584">
      <c r="A5584" s="1" t="s">
        <v>12656</v>
      </c>
      <c r="B5584" s="2" t="s">
        <v>10852</v>
      </c>
      <c r="C5584" s="1" t="s">
        <v>1903</v>
      </c>
      <c r="D5584" s="1" t="s">
        <v>1905</v>
      </c>
    </row>
    <row r="5585">
      <c r="A5585" s="1" t="s">
        <v>12657</v>
      </c>
      <c r="B5585" s="2" t="s">
        <v>10854</v>
      </c>
      <c r="C5585" s="1" t="s">
        <v>1903</v>
      </c>
      <c r="D5585" s="1" t="s">
        <v>1905</v>
      </c>
    </row>
    <row r="5586">
      <c r="A5586" s="1" t="s">
        <v>12658</v>
      </c>
      <c r="B5586" s="2" t="s">
        <v>10856</v>
      </c>
      <c r="C5586" s="1" t="s">
        <v>1903</v>
      </c>
      <c r="D5586" s="1" t="s">
        <v>1905</v>
      </c>
    </row>
    <row r="5587">
      <c r="A5587" s="1" t="s">
        <v>12659</v>
      </c>
      <c r="B5587" s="2" t="s">
        <v>10858</v>
      </c>
      <c r="C5587" s="1" t="s">
        <v>1903</v>
      </c>
      <c r="D5587" s="1" t="s">
        <v>1905</v>
      </c>
    </row>
    <row r="5588">
      <c r="A5588" s="1" t="s">
        <v>12660</v>
      </c>
      <c r="B5588" s="2" t="s">
        <v>10860</v>
      </c>
      <c r="C5588" s="1" t="s">
        <v>1903</v>
      </c>
      <c r="D5588" s="1" t="s">
        <v>1905</v>
      </c>
    </row>
    <row r="5589">
      <c r="A5589" s="1" t="s">
        <v>12661</v>
      </c>
      <c r="B5589" s="2" t="s">
        <v>10862</v>
      </c>
      <c r="C5589" s="1" t="s">
        <v>1903</v>
      </c>
      <c r="D5589" s="1" t="s">
        <v>1905</v>
      </c>
    </row>
    <row r="5590">
      <c r="A5590" s="1" t="s">
        <v>12662</v>
      </c>
      <c r="B5590" s="2" t="s">
        <v>10864</v>
      </c>
      <c r="C5590" s="1" t="s">
        <v>1903</v>
      </c>
      <c r="D5590" s="1" t="s">
        <v>1905</v>
      </c>
    </row>
    <row r="5591">
      <c r="A5591" s="1" t="s">
        <v>12663</v>
      </c>
      <c r="B5591" s="2" t="s">
        <v>10356</v>
      </c>
      <c r="C5591" s="1" t="s">
        <v>1903</v>
      </c>
      <c r="D5591" s="1" t="s">
        <v>1905</v>
      </c>
    </row>
    <row r="5592">
      <c r="A5592" s="1" t="s">
        <v>12664</v>
      </c>
      <c r="B5592" s="2" t="s">
        <v>10867</v>
      </c>
      <c r="C5592" s="1" t="s">
        <v>1903</v>
      </c>
      <c r="D5592" s="1" t="s">
        <v>1905</v>
      </c>
    </row>
    <row r="5593">
      <c r="A5593" s="1" t="s">
        <v>12665</v>
      </c>
      <c r="B5593" s="2" t="s">
        <v>10869</v>
      </c>
      <c r="C5593" s="1" t="s">
        <v>1903</v>
      </c>
      <c r="D5593" s="1" t="s">
        <v>1905</v>
      </c>
    </row>
    <row r="5594">
      <c r="A5594" s="1" t="s">
        <v>12666</v>
      </c>
      <c r="B5594" s="2" t="s">
        <v>10871</v>
      </c>
      <c r="C5594" s="1" t="s">
        <v>1903</v>
      </c>
      <c r="D5594" s="1" t="s">
        <v>1905</v>
      </c>
    </row>
    <row r="5595">
      <c r="A5595" s="1" t="s">
        <v>12667</v>
      </c>
      <c r="B5595" s="2" t="s">
        <v>10873</v>
      </c>
      <c r="C5595" s="1" t="s">
        <v>1903</v>
      </c>
      <c r="D5595" s="1" t="s">
        <v>1905</v>
      </c>
    </row>
    <row r="5596">
      <c r="A5596" s="1" t="s">
        <v>12668</v>
      </c>
      <c r="B5596" s="2" t="s">
        <v>10875</v>
      </c>
      <c r="C5596" s="1" t="s">
        <v>1903</v>
      </c>
      <c r="D5596" s="1" t="s">
        <v>1905</v>
      </c>
    </row>
    <row r="5597">
      <c r="A5597" s="1" t="s">
        <v>12669</v>
      </c>
      <c r="B5597" s="2" t="s">
        <v>10877</v>
      </c>
      <c r="C5597" s="1" t="s">
        <v>1903</v>
      </c>
      <c r="D5597" s="1" t="s">
        <v>1905</v>
      </c>
    </row>
    <row r="5598">
      <c r="A5598" s="1" t="s">
        <v>12670</v>
      </c>
      <c r="B5598" s="2" t="s">
        <v>10879</v>
      </c>
      <c r="C5598" s="1" t="s">
        <v>1903</v>
      </c>
      <c r="D5598" s="1" t="s">
        <v>1905</v>
      </c>
    </row>
    <row r="5599">
      <c r="A5599" s="1" t="s">
        <v>12671</v>
      </c>
      <c r="B5599" s="2" t="s">
        <v>10881</v>
      </c>
      <c r="C5599" s="1" t="s">
        <v>1903</v>
      </c>
      <c r="D5599" s="1" t="s">
        <v>1905</v>
      </c>
    </row>
    <row r="5600">
      <c r="A5600" s="1" t="s">
        <v>12672</v>
      </c>
      <c r="B5600" s="2" t="s">
        <v>10883</v>
      </c>
      <c r="C5600" s="1" t="s">
        <v>1903</v>
      </c>
      <c r="D5600" s="1" t="s">
        <v>1905</v>
      </c>
    </row>
    <row r="5601">
      <c r="A5601" s="1" t="s">
        <v>12673</v>
      </c>
      <c r="B5601" s="2" t="s">
        <v>10885</v>
      </c>
      <c r="C5601" s="1" t="s">
        <v>1903</v>
      </c>
      <c r="D5601" s="1" t="s">
        <v>1905</v>
      </c>
    </row>
    <row r="5602">
      <c r="A5602" s="1" t="s">
        <v>12674</v>
      </c>
      <c r="B5602" s="2" t="s">
        <v>10887</v>
      </c>
      <c r="C5602" s="1" t="s">
        <v>1903</v>
      </c>
      <c r="D5602" s="1" t="s">
        <v>1905</v>
      </c>
    </row>
    <row r="5603">
      <c r="A5603" s="1" t="s">
        <v>12675</v>
      </c>
      <c r="B5603" s="2" t="s">
        <v>10889</v>
      </c>
      <c r="C5603" s="1" t="s">
        <v>1903</v>
      </c>
      <c r="D5603" s="1" t="s">
        <v>1905</v>
      </c>
    </row>
    <row r="5604">
      <c r="A5604" s="1" t="s">
        <v>12676</v>
      </c>
      <c r="B5604" s="2" t="s">
        <v>10891</v>
      </c>
      <c r="C5604" s="1" t="s">
        <v>1903</v>
      </c>
      <c r="D5604" s="1" t="s">
        <v>1905</v>
      </c>
    </row>
    <row r="5605">
      <c r="A5605" s="1" t="s">
        <v>12677</v>
      </c>
      <c r="B5605" s="2" t="s">
        <v>10893</v>
      </c>
      <c r="C5605" s="1" t="s">
        <v>1903</v>
      </c>
      <c r="D5605" s="1" t="s">
        <v>1905</v>
      </c>
    </row>
    <row r="5606">
      <c r="A5606" s="1" t="s">
        <v>12678</v>
      </c>
      <c r="B5606" s="2" t="s">
        <v>10895</v>
      </c>
      <c r="C5606" s="1" t="s">
        <v>1903</v>
      </c>
      <c r="D5606" s="1" t="s">
        <v>1905</v>
      </c>
    </row>
    <row r="5607">
      <c r="A5607" s="1" t="s">
        <v>12679</v>
      </c>
      <c r="B5607" s="2" t="s">
        <v>10897</v>
      </c>
      <c r="C5607" s="1" t="s">
        <v>1903</v>
      </c>
      <c r="D5607" s="1" t="s">
        <v>1905</v>
      </c>
    </row>
    <row r="5608">
      <c r="A5608" s="1" t="s">
        <v>12680</v>
      </c>
      <c r="B5608" s="2" t="s">
        <v>10899</v>
      </c>
      <c r="C5608" s="1" t="s">
        <v>1903</v>
      </c>
      <c r="D5608" s="1" t="s">
        <v>1905</v>
      </c>
    </row>
    <row r="5609">
      <c r="A5609" s="1" t="s">
        <v>12681</v>
      </c>
      <c r="B5609" s="2" t="s">
        <v>10901</v>
      </c>
      <c r="C5609" s="1" t="s">
        <v>1903</v>
      </c>
      <c r="D5609" s="1" t="s">
        <v>1905</v>
      </c>
    </row>
    <row r="5610">
      <c r="A5610" s="1" t="s">
        <v>12682</v>
      </c>
      <c r="B5610" s="2" t="s">
        <v>10903</v>
      </c>
      <c r="C5610" s="1" t="s">
        <v>1903</v>
      </c>
      <c r="D5610" s="1" t="s">
        <v>1905</v>
      </c>
    </row>
    <row r="5611">
      <c r="A5611" s="1" t="s">
        <v>12683</v>
      </c>
      <c r="B5611" s="2" t="s">
        <v>10905</v>
      </c>
      <c r="C5611" s="1" t="s">
        <v>1903</v>
      </c>
      <c r="D5611" s="1" t="s">
        <v>1905</v>
      </c>
    </row>
    <row r="5612">
      <c r="A5612" s="1" t="s">
        <v>12684</v>
      </c>
      <c r="B5612" s="2" t="s">
        <v>10907</v>
      </c>
      <c r="C5612" s="1" t="s">
        <v>1903</v>
      </c>
      <c r="D5612" s="1" t="s">
        <v>1905</v>
      </c>
    </row>
    <row r="5613">
      <c r="A5613" s="1" t="s">
        <v>12685</v>
      </c>
      <c r="B5613" s="2" t="s">
        <v>10909</v>
      </c>
      <c r="C5613" s="1" t="s">
        <v>1903</v>
      </c>
      <c r="D5613" s="1" t="s">
        <v>1905</v>
      </c>
    </row>
    <row r="5614">
      <c r="A5614" s="1" t="s">
        <v>12686</v>
      </c>
      <c r="B5614" s="2" t="s">
        <v>10911</v>
      </c>
      <c r="C5614" s="1" t="s">
        <v>1903</v>
      </c>
      <c r="D5614" s="1" t="s">
        <v>1905</v>
      </c>
    </row>
    <row r="5615">
      <c r="A5615" s="1" t="s">
        <v>12687</v>
      </c>
      <c r="B5615" s="2" t="s">
        <v>11047</v>
      </c>
      <c r="C5615" s="1" t="s">
        <v>1903</v>
      </c>
      <c r="D5615" s="1" t="s">
        <v>1905</v>
      </c>
    </row>
    <row r="5616">
      <c r="A5616" s="1" t="s">
        <v>12688</v>
      </c>
      <c r="B5616" s="2" t="s">
        <v>12689</v>
      </c>
      <c r="C5616" s="1" t="s">
        <v>1903</v>
      </c>
      <c r="D5616" s="1" t="s">
        <v>1905</v>
      </c>
    </row>
    <row r="5617">
      <c r="A5617" s="1" t="s">
        <v>12690</v>
      </c>
      <c r="B5617" s="2" t="s">
        <v>12691</v>
      </c>
      <c r="C5617" s="1" t="s">
        <v>1903</v>
      </c>
      <c r="D5617" s="1" t="s">
        <v>1905</v>
      </c>
    </row>
    <row r="5618">
      <c r="A5618" s="1" t="s">
        <v>12692</v>
      </c>
      <c r="B5618" s="2" t="s">
        <v>12693</v>
      </c>
      <c r="C5618" s="1" t="s">
        <v>1903</v>
      </c>
      <c r="D5618" s="1" t="s">
        <v>1905</v>
      </c>
    </row>
    <row r="5619">
      <c r="A5619" s="1" t="s">
        <v>12694</v>
      </c>
      <c r="B5619" s="2" t="s">
        <v>12695</v>
      </c>
      <c r="C5619" s="1" t="s">
        <v>1903</v>
      </c>
      <c r="D5619" s="1" t="s">
        <v>1905</v>
      </c>
    </row>
    <row r="5620">
      <c r="A5620" s="1" t="s">
        <v>12696</v>
      </c>
      <c r="B5620" s="2" t="s">
        <v>12697</v>
      </c>
      <c r="C5620" s="1" t="s">
        <v>1903</v>
      </c>
      <c r="D5620" s="1" t="s">
        <v>1905</v>
      </c>
    </row>
    <row r="5621">
      <c r="A5621" s="1" t="s">
        <v>12698</v>
      </c>
      <c r="B5621" s="2" t="s">
        <v>12699</v>
      </c>
      <c r="C5621" s="1" t="s">
        <v>1903</v>
      </c>
      <c r="D5621" s="1" t="s">
        <v>1905</v>
      </c>
    </row>
    <row r="5622">
      <c r="A5622" s="1" t="s">
        <v>12700</v>
      </c>
      <c r="B5622" s="2" t="s">
        <v>12701</v>
      </c>
      <c r="C5622" s="1" t="s">
        <v>1903</v>
      </c>
      <c r="D5622" s="1" t="s">
        <v>1905</v>
      </c>
    </row>
    <row r="5623">
      <c r="A5623" s="1" t="s">
        <v>1911</v>
      </c>
      <c r="B5623" s="2" t="s">
        <v>176</v>
      </c>
      <c r="C5623" s="1" t="s">
        <v>1913</v>
      </c>
      <c r="D5623" s="1" t="s">
        <v>1915</v>
      </c>
    </row>
    <row r="5624">
      <c r="A5624" s="1" t="s">
        <v>12702</v>
      </c>
      <c r="B5624" s="2" t="s">
        <v>10928</v>
      </c>
      <c r="C5624" s="1" t="s">
        <v>1913</v>
      </c>
      <c r="D5624" s="1" t="s">
        <v>1915</v>
      </c>
    </row>
    <row r="5625">
      <c r="A5625" s="1" t="s">
        <v>12703</v>
      </c>
      <c r="B5625" s="2" t="s">
        <v>10930</v>
      </c>
      <c r="C5625" s="1" t="s">
        <v>1913</v>
      </c>
      <c r="D5625" s="1" t="s">
        <v>1915</v>
      </c>
    </row>
    <row r="5626">
      <c r="A5626" s="1" t="s">
        <v>12704</v>
      </c>
      <c r="B5626" s="2" t="s">
        <v>10932</v>
      </c>
      <c r="C5626" s="1" t="s">
        <v>1913</v>
      </c>
      <c r="D5626" s="1" t="s">
        <v>1915</v>
      </c>
    </row>
    <row r="5627">
      <c r="A5627" s="1" t="s">
        <v>12705</v>
      </c>
      <c r="B5627" s="2" t="s">
        <v>10934</v>
      </c>
      <c r="C5627" s="1" t="s">
        <v>1913</v>
      </c>
      <c r="D5627" s="1" t="s">
        <v>1915</v>
      </c>
    </row>
    <row r="5628">
      <c r="A5628" s="1" t="s">
        <v>12706</v>
      </c>
      <c r="B5628" s="2" t="s">
        <v>10936</v>
      </c>
      <c r="C5628" s="1" t="s">
        <v>1913</v>
      </c>
      <c r="D5628" s="1" t="s">
        <v>1915</v>
      </c>
    </row>
    <row r="5629">
      <c r="A5629" s="1" t="s">
        <v>12707</v>
      </c>
      <c r="B5629" s="2" t="s">
        <v>12708</v>
      </c>
      <c r="C5629" s="1" t="s">
        <v>1913</v>
      </c>
      <c r="D5629" s="1" t="s">
        <v>1915</v>
      </c>
    </row>
    <row r="5630">
      <c r="A5630" s="1" t="s">
        <v>1920</v>
      </c>
      <c r="B5630" s="2" t="s">
        <v>7</v>
      </c>
      <c r="C5630" s="1" t="s">
        <v>1922</v>
      </c>
      <c r="D5630" s="1" t="s">
        <v>1924</v>
      </c>
    </row>
    <row r="5631">
      <c r="A5631" s="1" t="s">
        <v>12709</v>
      </c>
      <c r="B5631" s="2" t="s">
        <v>10940</v>
      </c>
      <c r="C5631" s="1" t="s">
        <v>1922</v>
      </c>
      <c r="D5631" s="1" t="s">
        <v>1924</v>
      </c>
    </row>
    <row r="5632">
      <c r="A5632" s="1" t="s">
        <v>12710</v>
      </c>
      <c r="B5632" s="2" t="s">
        <v>10942</v>
      </c>
      <c r="C5632" s="1" t="s">
        <v>1922</v>
      </c>
      <c r="D5632" s="1" t="s">
        <v>1924</v>
      </c>
    </row>
    <row r="5633">
      <c r="A5633" s="1" t="s">
        <v>12711</v>
      </c>
      <c r="B5633" s="2" t="s">
        <v>10944</v>
      </c>
      <c r="C5633" s="1" t="s">
        <v>1922</v>
      </c>
      <c r="D5633" s="1" t="s">
        <v>1924</v>
      </c>
    </row>
    <row r="5634">
      <c r="A5634" s="1" t="s">
        <v>12712</v>
      </c>
      <c r="B5634" s="2" t="s">
        <v>10370</v>
      </c>
      <c r="C5634" s="1" t="s">
        <v>1922</v>
      </c>
      <c r="D5634" s="1" t="s">
        <v>1924</v>
      </c>
    </row>
    <row r="5635">
      <c r="A5635" s="1" t="s">
        <v>12713</v>
      </c>
      <c r="B5635" s="2" t="s">
        <v>10947</v>
      </c>
      <c r="C5635" s="1" t="s">
        <v>1922</v>
      </c>
      <c r="D5635" s="1" t="s">
        <v>1924</v>
      </c>
    </row>
    <row r="5636">
      <c r="A5636" s="1" t="s">
        <v>12714</v>
      </c>
      <c r="B5636" s="2" t="s">
        <v>11047</v>
      </c>
      <c r="C5636" s="1" t="s">
        <v>1922</v>
      </c>
      <c r="D5636" s="1" t="s">
        <v>1924</v>
      </c>
    </row>
    <row r="5637">
      <c r="A5637" s="1" t="s">
        <v>1930</v>
      </c>
      <c r="B5637" s="2" t="s">
        <v>7</v>
      </c>
      <c r="C5637" s="1" t="s">
        <v>1933</v>
      </c>
      <c r="D5637" s="1" t="s">
        <v>1934</v>
      </c>
    </row>
    <row r="5638">
      <c r="A5638" s="1" t="s">
        <v>12715</v>
      </c>
      <c r="B5638" s="2" t="s">
        <v>10940</v>
      </c>
      <c r="C5638" s="1" t="s">
        <v>1933</v>
      </c>
      <c r="D5638" s="1" t="s">
        <v>1934</v>
      </c>
    </row>
    <row r="5639">
      <c r="A5639" s="1" t="s">
        <v>12716</v>
      </c>
      <c r="B5639" s="2" t="s">
        <v>10942</v>
      </c>
      <c r="C5639" s="1" t="s">
        <v>1933</v>
      </c>
      <c r="D5639" s="1" t="s">
        <v>1934</v>
      </c>
    </row>
    <row r="5640">
      <c r="A5640" s="1" t="s">
        <v>12717</v>
      </c>
      <c r="B5640" s="2" t="s">
        <v>10944</v>
      </c>
      <c r="C5640" s="1" t="s">
        <v>1933</v>
      </c>
      <c r="D5640" s="1" t="s">
        <v>1934</v>
      </c>
    </row>
    <row r="5641">
      <c r="A5641" s="1" t="s">
        <v>12718</v>
      </c>
      <c r="B5641" s="2" t="s">
        <v>10370</v>
      </c>
      <c r="C5641" s="1" t="s">
        <v>1933</v>
      </c>
      <c r="D5641" s="1" t="s">
        <v>1934</v>
      </c>
    </row>
    <row r="5642">
      <c r="A5642" s="1" t="s">
        <v>12719</v>
      </c>
      <c r="B5642" s="2" t="s">
        <v>10947</v>
      </c>
      <c r="C5642" s="1" t="s">
        <v>1933</v>
      </c>
      <c r="D5642" s="1" t="s">
        <v>1934</v>
      </c>
    </row>
    <row r="5643">
      <c r="A5643" s="1" t="s">
        <v>12720</v>
      </c>
      <c r="B5643" s="2" t="s">
        <v>10374</v>
      </c>
      <c r="C5643" s="1" t="s">
        <v>1933</v>
      </c>
      <c r="D5643" s="1" t="s">
        <v>1934</v>
      </c>
    </row>
    <row r="5644">
      <c r="A5644" s="1" t="s">
        <v>1939</v>
      </c>
      <c r="B5644" s="2" t="s">
        <v>7</v>
      </c>
      <c r="C5644" s="1" t="s">
        <v>1942</v>
      </c>
      <c r="D5644" s="1" t="s">
        <v>1943</v>
      </c>
    </row>
    <row r="5645">
      <c r="A5645" s="1" t="s">
        <v>12721</v>
      </c>
      <c r="B5645" s="2" t="s">
        <v>10940</v>
      </c>
      <c r="C5645" s="1" t="s">
        <v>1942</v>
      </c>
      <c r="D5645" s="1" t="s">
        <v>1943</v>
      </c>
    </row>
    <row r="5646">
      <c r="A5646" s="1" t="s">
        <v>12722</v>
      </c>
      <c r="B5646" s="2" t="s">
        <v>10942</v>
      </c>
      <c r="C5646" s="1" t="s">
        <v>1942</v>
      </c>
      <c r="D5646" s="1" t="s">
        <v>1943</v>
      </c>
    </row>
    <row r="5647">
      <c r="A5647" s="1" t="s">
        <v>12723</v>
      </c>
      <c r="B5647" s="2" t="s">
        <v>10944</v>
      </c>
      <c r="C5647" s="1" t="s">
        <v>1942</v>
      </c>
      <c r="D5647" s="1" t="s">
        <v>1943</v>
      </c>
    </row>
    <row r="5648">
      <c r="A5648" s="1" t="s">
        <v>12724</v>
      </c>
      <c r="B5648" s="2" t="s">
        <v>10370</v>
      </c>
      <c r="C5648" s="1" t="s">
        <v>1942</v>
      </c>
      <c r="D5648" s="1" t="s">
        <v>1943</v>
      </c>
    </row>
    <row r="5649">
      <c r="A5649" s="1" t="s">
        <v>12725</v>
      </c>
      <c r="B5649" s="2" t="s">
        <v>10947</v>
      </c>
      <c r="C5649" s="1" t="s">
        <v>1942</v>
      </c>
      <c r="D5649" s="1" t="s">
        <v>1943</v>
      </c>
    </row>
    <row r="5650">
      <c r="A5650" s="1" t="s">
        <v>12726</v>
      </c>
      <c r="B5650" s="2" t="s">
        <v>10374</v>
      </c>
      <c r="C5650" s="1" t="s">
        <v>1942</v>
      </c>
      <c r="D5650" s="1" t="s">
        <v>1943</v>
      </c>
    </row>
    <row r="5651">
      <c r="A5651" s="1" t="s">
        <v>1948</v>
      </c>
      <c r="B5651" s="2" t="s">
        <v>7</v>
      </c>
      <c r="C5651" s="1" t="s">
        <v>1951</v>
      </c>
      <c r="D5651" s="1" t="s">
        <v>1952</v>
      </c>
    </row>
    <row r="5652">
      <c r="A5652" s="1" t="s">
        <v>12727</v>
      </c>
      <c r="B5652" s="2" t="s">
        <v>10940</v>
      </c>
      <c r="C5652" s="1" t="s">
        <v>1951</v>
      </c>
      <c r="D5652" s="1" t="s">
        <v>1952</v>
      </c>
    </row>
    <row r="5653">
      <c r="A5653" s="1" t="s">
        <v>12728</v>
      </c>
      <c r="B5653" s="2" t="s">
        <v>10942</v>
      </c>
      <c r="C5653" s="1" t="s">
        <v>1951</v>
      </c>
      <c r="D5653" s="1" t="s">
        <v>1952</v>
      </c>
    </row>
    <row r="5654">
      <c r="A5654" s="1" t="s">
        <v>12729</v>
      </c>
      <c r="B5654" s="2" t="s">
        <v>10944</v>
      </c>
      <c r="C5654" s="1" t="s">
        <v>1951</v>
      </c>
      <c r="D5654" s="1" t="s">
        <v>1952</v>
      </c>
    </row>
    <row r="5655">
      <c r="A5655" s="1" t="s">
        <v>12730</v>
      </c>
      <c r="B5655" s="2" t="s">
        <v>10370</v>
      </c>
      <c r="C5655" s="1" t="s">
        <v>1951</v>
      </c>
      <c r="D5655" s="1" t="s">
        <v>1952</v>
      </c>
    </row>
    <row r="5656">
      <c r="A5656" s="1" t="s">
        <v>12731</v>
      </c>
      <c r="B5656" s="2" t="s">
        <v>10947</v>
      </c>
      <c r="C5656" s="1" t="s">
        <v>1951</v>
      </c>
      <c r="D5656" s="1" t="s">
        <v>1952</v>
      </c>
    </row>
    <row r="5657">
      <c r="A5657" s="1" t="s">
        <v>12732</v>
      </c>
      <c r="B5657" s="2" t="s">
        <v>10374</v>
      </c>
      <c r="C5657" s="1" t="s">
        <v>1951</v>
      </c>
      <c r="D5657" s="1" t="s">
        <v>1952</v>
      </c>
    </row>
    <row r="5658">
      <c r="A5658" s="1" t="s">
        <v>1958</v>
      </c>
      <c r="B5658" s="2" t="s">
        <v>7</v>
      </c>
      <c r="C5658" s="1" t="s">
        <v>1960</v>
      </c>
      <c r="D5658" s="1" t="s">
        <v>1962</v>
      </c>
    </row>
    <row r="5659">
      <c r="A5659" s="1" t="s">
        <v>12733</v>
      </c>
      <c r="B5659" s="2" t="s">
        <v>10940</v>
      </c>
      <c r="C5659" s="1" t="s">
        <v>1960</v>
      </c>
      <c r="D5659" s="1" t="s">
        <v>1962</v>
      </c>
    </row>
    <row r="5660">
      <c r="A5660" s="1" t="s">
        <v>12734</v>
      </c>
      <c r="B5660" s="2" t="s">
        <v>10942</v>
      </c>
      <c r="C5660" s="1" t="s">
        <v>1960</v>
      </c>
      <c r="D5660" s="1" t="s">
        <v>1962</v>
      </c>
    </row>
    <row r="5661">
      <c r="A5661" s="1" t="s">
        <v>12735</v>
      </c>
      <c r="B5661" s="2" t="s">
        <v>10944</v>
      </c>
      <c r="C5661" s="1" t="s">
        <v>1960</v>
      </c>
      <c r="D5661" s="1" t="s">
        <v>1962</v>
      </c>
    </row>
    <row r="5662">
      <c r="A5662" s="1" t="s">
        <v>12736</v>
      </c>
      <c r="B5662" s="2" t="s">
        <v>10370</v>
      </c>
      <c r="C5662" s="1" t="s">
        <v>1960</v>
      </c>
      <c r="D5662" s="1" t="s">
        <v>1962</v>
      </c>
    </row>
    <row r="5663">
      <c r="A5663" s="1" t="s">
        <v>12737</v>
      </c>
      <c r="B5663" s="2" t="s">
        <v>10947</v>
      </c>
      <c r="C5663" s="1" t="s">
        <v>1960</v>
      </c>
      <c r="D5663" s="1" t="s">
        <v>1962</v>
      </c>
    </row>
    <row r="5664">
      <c r="A5664" s="1" t="s">
        <v>12738</v>
      </c>
      <c r="B5664" s="2" t="s">
        <v>10374</v>
      </c>
      <c r="C5664" s="1" t="s">
        <v>1960</v>
      </c>
      <c r="D5664" s="1" t="s">
        <v>1962</v>
      </c>
    </row>
    <row r="5665">
      <c r="A5665" s="1" t="s">
        <v>1968</v>
      </c>
      <c r="B5665" s="2" t="s">
        <v>7</v>
      </c>
      <c r="C5665" s="1" t="s">
        <v>1971</v>
      </c>
      <c r="D5665" s="1" t="s">
        <v>1972</v>
      </c>
    </row>
    <row r="5666">
      <c r="A5666" s="1" t="s">
        <v>12739</v>
      </c>
      <c r="B5666" s="2" t="s">
        <v>10940</v>
      </c>
      <c r="C5666" s="1" t="s">
        <v>1971</v>
      </c>
      <c r="D5666" s="1" t="s">
        <v>1972</v>
      </c>
    </row>
    <row r="5667">
      <c r="A5667" s="1" t="s">
        <v>12740</v>
      </c>
      <c r="B5667" s="2" t="s">
        <v>10942</v>
      </c>
      <c r="C5667" s="1" t="s">
        <v>1971</v>
      </c>
      <c r="D5667" s="1" t="s">
        <v>1972</v>
      </c>
    </row>
    <row r="5668">
      <c r="A5668" s="1" t="s">
        <v>12741</v>
      </c>
      <c r="B5668" s="2" t="s">
        <v>10944</v>
      </c>
      <c r="C5668" s="1" t="s">
        <v>1971</v>
      </c>
      <c r="D5668" s="1" t="s">
        <v>1972</v>
      </c>
    </row>
    <row r="5669">
      <c r="A5669" s="1" t="s">
        <v>12742</v>
      </c>
      <c r="B5669" s="2" t="s">
        <v>10370</v>
      </c>
      <c r="C5669" s="1" t="s">
        <v>1971</v>
      </c>
      <c r="D5669" s="1" t="s">
        <v>1972</v>
      </c>
    </row>
    <row r="5670">
      <c r="A5670" s="1" t="s">
        <v>12743</v>
      </c>
      <c r="B5670" s="2" t="s">
        <v>10947</v>
      </c>
      <c r="C5670" s="1" t="s">
        <v>1971</v>
      </c>
      <c r="D5670" s="1" t="s">
        <v>1972</v>
      </c>
    </row>
    <row r="5671">
      <c r="A5671" s="1" t="s">
        <v>12744</v>
      </c>
      <c r="B5671" s="2" t="s">
        <v>10374</v>
      </c>
      <c r="C5671" s="1" t="s">
        <v>1971</v>
      </c>
      <c r="D5671" s="1" t="s">
        <v>1972</v>
      </c>
    </row>
    <row r="5672">
      <c r="A5672" s="1" t="s">
        <v>1977</v>
      </c>
      <c r="B5672" s="2" t="s">
        <v>7</v>
      </c>
      <c r="C5672" s="1" t="s">
        <v>1980</v>
      </c>
      <c r="D5672" s="1" t="s">
        <v>1986</v>
      </c>
    </row>
    <row r="5673">
      <c r="A5673" s="1" t="s">
        <v>12745</v>
      </c>
      <c r="B5673" s="2" t="s">
        <v>10940</v>
      </c>
      <c r="C5673" s="1" t="s">
        <v>1980</v>
      </c>
      <c r="D5673" s="1" t="s">
        <v>1986</v>
      </c>
    </row>
    <row r="5674">
      <c r="A5674" s="1" t="s">
        <v>12746</v>
      </c>
      <c r="B5674" s="2" t="s">
        <v>10942</v>
      </c>
      <c r="C5674" s="1" t="s">
        <v>1980</v>
      </c>
      <c r="D5674" s="1" t="s">
        <v>1986</v>
      </c>
    </row>
    <row r="5675">
      <c r="A5675" s="1" t="s">
        <v>12747</v>
      </c>
      <c r="B5675" s="2" t="s">
        <v>10944</v>
      </c>
      <c r="C5675" s="1" t="s">
        <v>1980</v>
      </c>
      <c r="D5675" s="1" t="s">
        <v>1986</v>
      </c>
    </row>
    <row r="5676">
      <c r="A5676" s="1" t="s">
        <v>12748</v>
      </c>
      <c r="B5676" s="2" t="s">
        <v>10370</v>
      </c>
      <c r="C5676" s="1" t="s">
        <v>1980</v>
      </c>
      <c r="D5676" s="1" t="s">
        <v>1986</v>
      </c>
    </row>
    <row r="5677">
      <c r="A5677" s="1" t="s">
        <v>12749</v>
      </c>
      <c r="B5677" s="2" t="s">
        <v>10947</v>
      </c>
      <c r="C5677" s="1" t="s">
        <v>1980</v>
      </c>
      <c r="D5677" s="1" t="s">
        <v>1986</v>
      </c>
    </row>
    <row r="5678">
      <c r="A5678" s="1" t="s">
        <v>12750</v>
      </c>
      <c r="B5678" s="2" t="s">
        <v>10374</v>
      </c>
      <c r="C5678" s="1" t="s">
        <v>1980</v>
      </c>
      <c r="D5678" s="1" t="s">
        <v>1986</v>
      </c>
    </row>
    <row r="5679">
      <c r="A5679" s="1" t="s">
        <v>1990</v>
      </c>
      <c r="B5679" s="2" t="s">
        <v>7</v>
      </c>
      <c r="C5679" s="1" t="s">
        <v>1992</v>
      </c>
      <c r="D5679" s="1" t="s">
        <v>1994</v>
      </c>
    </row>
    <row r="5680">
      <c r="A5680" s="1" t="s">
        <v>12751</v>
      </c>
      <c r="B5680" s="2" t="s">
        <v>10940</v>
      </c>
      <c r="C5680" s="1" t="s">
        <v>1992</v>
      </c>
      <c r="D5680" s="1" t="s">
        <v>1994</v>
      </c>
    </row>
    <row r="5681">
      <c r="A5681" s="1" t="s">
        <v>12752</v>
      </c>
      <c r="B5681" s="2" t="s">
        <v>10942</v>
      </c>
      <c r="C5681" s="1" t="s">
        <v>1992</v>
      </c>
      <c r="D5681" s="1" t="s">
        <v>1994</v>
      </c>
    </row>
    <row r="5682">
      <c r="A5682" s="1" t="s">
        <v>12753</v>
      </c>
      <c r="B5682" s="2" t="s">
        <v>10944</v>
      </c>
      <c r="C5682" s="1" t="s">
        <v>1992</v>
      </c>
      <c r="D5682" s="1" t="s">
        <v>1994</v>
      </c>
    </row>
    <row r="5683">
      <c r="A5683" s="1" t="s">
        <v>12754</v>
      </c>
      <c r="B5683" s="2" t="s">
        <v>10370</v>
      </c>
      <c r="C5683" s="1" t="s">
        <v>1992</v>
      </c>
      <c r="D5683" s="1" t="s">
        <v>1994</v>
      </c>
    </row>
    <row r="5684">
      <c r="A5684" s="1" t="s">
        <v>12755</v>
      </c>
      <c r="B5684" s="2" t="s">
        <v>10947</v>
      </c>
      <c r="C5684" s="1" t="s">
        <v>1992</v>
      </c>
      <c r="D5684" s="1" t="s">
        <v>1994</v>
      </c>
    </row>
    <row r="5685">
      <c r="A5685" s="1" t="s">
        <v>12756</v>
      </c>
      <c r="B5685" s="2" t="s">
        <v>10374</v>
      </c>
      <c r="C5685" s="1" t="s">
        <v>1992</v>
      </c>
      <c r="D5685" s="1" t="s">
        <v>1994</v>
      </c>
    </row>
    <row r="5686">
      <c r="A5686" s="1" t="s">
        <v>1999</v>
      </c>
      <c r="B5686" s="2" t="s">
        <v>7</v>
      </c>
      <c r="C5686" s="1" t="s">
        <v>2001</v>
      </c>
      <c r="D5686" s="1" t="s">
        <v>2003</v>
      </c>
    </row>
    <row r="5687">
      <c r="A5687" s="1" t="s">
        <v>12757</v>
      </c>
      <c r="B5687" s="2" t="s">
        <v>10940</v>
      </c>
      <c r="C5687" s="1" t="s">
        <v>2001</v>
      </c>
      <c r="D5687" s="1" t="s">
        <v>2003</v>
      </c>
    </row>
    <row r="5688">
      <c r="A5688" s="1" t="s">
        <v>12758</v>
      </c>
      <c r="B5688" s="2" t="s">
        <v>10942</v>
      </c>
      <c r="C5688" s="1" t="s">
        <v>2001</v>
      </c>
      <c r="D5688" s="1" t="s">
        <v>2003</v>
      </c>
    </row>
    <row r="5689">
      <c r="A5689" s="1" t="s">
        <v>12759</v>
      </c>
      <c r="B5689" s="2" t="s">
        <v>10944</v>
      </c>
      <c r="C5689" s="1" t="s">
        <v>2001</v>
      </c>
      <c r="D5689" s="1" t="s">
        <v>2003</v>
      </c>
    </row>
    <row r="5690">
      <c r="A5690" s="1" t="s">
        <v>12760</v>
      </c>
      <c r="B5690" s="2" t="s">
        <v>10370</v>
      </c>
      <c r="C5690" s="1" t="s">
        <v>2001</v>
      </c>
      <c r="D5690" s="1" t="s">
        <v>2003</v>
      </c>
    </row>
    <row r="5691">
      <c r="A5691" s="1" t="s">
        <v>12761</v>
      </c>
      <c r="B5691" s="2" t="s">
        <v>10947</v>
      </c>
      <c r="C5691" s="1" t="s">
        <v>2001</v>
      </c>
      <c r="D5691" s="1" t="s">
        <v>2003</v>
      </c>
    </row>
    <row r="5692">
      <c r="A5692" s="1" t="s">
        <v>12762</v>
      </c>
      <c r="B5692" s="2" t="s">
        <v>10374</v>
      </c>
      <c r="C5692" s="1" t="s">
        <v>2001</v>
      </c>
      <c r="D5692" s="1" t="s">
        <v>2003</v>
      </c>
    </row>
    <row r="5693">
      <c r="A5693" s="1" t="s">
        <v>2009</v>
      </c>
      <c r="B5693" s="2" t="s">
        <v>7</v>
      </c>
      <c r="C5693" s="1" t="s">
        <v>2011</v>
      </c>
      <c r="D5693" s="1" t="s">
        <v>2013</v>
      </c>
    </row>
    <row r="5694">
      <c r="A5694" s="1" t="s">
        <v>12763</v>
      </c>
      <c r="B5694" s="2" t="s">
        <v>4876</v>
      </c>
      <c r="C5694" s="1" t="s">
        <v>2011</v>
      </c>
      <c r="D5694" s="1" t="s">
        <v>2013</v>
      </c>
    </row>
    <row r="5695">
      <c r="A5695" s="1" t="s">
        <v>12764</v>
      </c>
      <c r="B5695" s="2" t="s">
        <v>5270</v>
      </c>
      <c r="C5695" s="1" t="s">
        <v>2011</v>
      </c>
      <c r="D5695" s="1" t="s">
        <v>2013</v>
      </c>
    </row>
    <row r="5696">
      <c r="A5696" s="1" t="s">
        <v>12765</v>
      </c>
      <c r="B5696" s="2" t="s">
        <v>7579</v>
      </c>
      <c r="C5696" s="1" t="s">
        <v>2011</v>
      </c>
      <c r="D5696" s="1" t="s">
        <v>2013</v>
      </c>
    </row>
    <row r="5697">
      <c r="A5697" s="1" t="s">
        <v>12766</v>
      </c>
      <c r="B5697" s="2" t="s">
        <v>7583</v>
      </c>
      <c r="C5697" s="1" t="s">
        <v>2011</v>
      </c>
      <c r="D5697" s="1" t="s">
        <v>2013</v>
      </c>
    </row>
    <row r="5698">
      <c r="A5698" s="1" t="s">
        <v>12767</v>
      </c>
      <c r="B5698" s="2" t="s">
        <v>10834</v>
      </c>
      <c r="C5698" s="1" t="s">
        <v>2011</v>
      </c>
      <c r="D5698" s="1" t="s">
        <v>2013</v>
      </c>
    </row>
    <row r="5699">
      <c r="A5699" s="1" t="s">
        <v>12768</v>
      </c>
      <c r="B5699" s="2" t="s">
        <v>11003</v>
      </c>
      <c r="C5699" s="1" t="s">
        <v>2011</v>
      </c>
      <c r="D5699" s="1" t="s">
        <v>2013</v>
      </c>
    </row>
    <row r="5700">
      <c r="A5700" s="1" t="s">
        <v>12769</v>
      </c>
      <c r="B5700" s="2" t="s">
        <v>11005</v>
      </c>
      <c r="C5700" s="1" t="s">
        <v>2011</v>
      </c>
      <c r="D5700" s="1" t="s">
        <v>2013</v>
      </c>
    </row>
    <row r="5701">
      <c r="A5701" s="1" t="s">
        <v>12770</v>
      </c>
      <c r="B5701" s="2" t="s">
        <v>11007</v>
      </c>
      <c r="C5701" s="1" t="s">
        <v>2011</v>
      </c>
      <c r="D5701" s="1" t="s">
        <v>2013</v>
      </c>
    </row>
    <row r="5702">
      <c r="A5702" s="1" t="s">
        <v>12771</v>
      </c>
      <c r="B5702" s="2" t="s">
        <v>11009</v>
      </c>
      <c r="C5702" s="1" t="s">
        <v>2011</v>
      </c>
      <c r="D5702" s="1" t="s">
        <v>2013</v>
      </c>
    </row>
    <row r="5703">
      <c r="A5703" s="1" t="s">
        <v>12772</v>
      </c>
      <c r="B5703" s="2" t="s">
        <v>10850</v>
      </c>
      <c r="C5703" s="1" t="s">
        <v>2011</v>
      </c>
      <c r="D5703" s="1" t="s">
        <v>2013</v>
      </c>
    </row>
    <row r="5704">
      <c r="A5704" s="1" t="s">
        <v>12773</v>
      </c>
      <c r="B5704" s="2" t="s">
        <v>11012</v>
      </c>
      <c r="C5704" s="1" t="s">
        <v>2011</v>
      </c>
      <c r="D5704" s="1" t="s">
        <v>2013</v>
      </c>
    </row>
    <row r="5705">
      <c r="A5705" s="1" t="s">
        <v>12774</v>
      </c>
      <c r="B5705" s="2" t="s">
        <v>11014</v>
      </c>
      <c r="C5705" s="1" t="s">
        <v>2011</v>
      </c>
      <c r="D5705" s="1" t="s">
        <v>2013</v>
      </c>
    </row>
    <row r="5706">
      <c r="A5706" s="1" t="s">
        <v>12775</v>
      </c>
      <c r="B5706" s="2" t="s">
        <v>11016</v>
      </c>
      <c r="C5706" s="1" t="s">
        <v>2011</v>
      </c>
      <c r="D5706" s="1" t="s">
        <v>2013</v>
      </c>
    </row>
    <row r="5707">
      <c r="A5707" s="1" t="s">
        <v>12776</v>
      </c>
      <c r="B5707" s="2" t="s">
        <v>11018</v>
      </c>
      <c r="C5707" s="1" t="s">
        <v>2011</v>
      </c>
      <c r="D5707" s="1" t="s">
        <v>2013</v>
      </c>
    </row>
    <row r="5708">
      <c r="A5708" s="1" t="s">
        <v>12777</v>
      </c>
      <c r="B5708" s="2" t="s">
        <v>10356</v>
      </c>
      <c r="C5708" s="1" t="s">
        <v>2011</v>
      </c>
      <c r="D5708" s="1" t="s">
        <v>2013</v>
      </c>
    </row>
    <row r="5709">
      <c r="A5709" s="1" t="s">
        <v>12778</v>
      </c>
      <c r="B5709" s="2" t="s">
        <v>11021</v>
      </c>
      <c r="C5709" s="1" t="s">
        <v>2011</v>
      </c>
      <c r="D5709" s="1" t="s">
        <v>2013</v>
      </c>
    </row>
    <row r="5710">
      <c r="A5710" s="1" t="s">
        <v>12779</v>
      </c>
      <c r="B5710" s="2" t="s">
        <v>11023</v>
      </c>
      <c r="C5710" s="1" t="s">
        <v>2011</v>
      </c>
      <c r="D5710" s="1" t="s">
        <v>2013</v>
      </c>
    </row>
    <row r="5711">
      <c r="A5711" s="1" t="s">
        <v>12780</v>
      </c>
      <c r="B5711" s="2" t="s">
        <v>11025</v>
      </c>
      <c r="C5711" s="1" t="s">
        <v>2011</v>
      </c>
      <c r="D5711" s="1" t="s">
        <v>2013</v>
      </c>
    </row>
    <row r="5712">
      <c r="A5712" s="1" t="s">
        <v>12781</v>
      </c>
      <c r="B5712" s="2" t="s">
        <v>11027</v>
      </c>
      <c r="C5712" s="1" t="s">
        <v>2011</v>
      </c>
      <c r="D5712" s="1" t="s">
        <v>2013</v>
      </c>
    </row>
    <row r="5713">
      <c r="A5713" s="1" t="s">
        <v>12782</v>
      </c>
      <c r="B5713" s="2" t="s">
        <v>10881</v>
      </c>
      <c r="C5713" s="1" t="s">
        <v>2011</v>
      </c>
      <c r="D5713" s="1" t="s">
        <v>2013</v>
      </c>
    </row>
    <row r="5714">
      <c r="A5714" s="1" t="s">
        <v>12783</v>
      </c>
      <c r="B5714" s="2" t="s">
        <v>11030</v>
      </c>
      <c r="C5714" s="1" t="s">
        <v>2011</v>
      </c>
      <c r="D5714" s="1" t="s">
        <v>2013</v>
      </c>
    </row>
    <row r="5715">
      <c r="A5715" s="1" t="s">
        <v>12784</v>
      </c>
      <c r="B5715" s="2" t="s">
        <v>11032</v>
      </c>
      <c r="C5715" s="1" t="s">
        <v>2011</v>
      </c>
      <c r="D5715" s="1" t="s">
        <v>2013</v>
      </c>
    </row>
    <row r="5716">
      <c r="A5716" s="1" t="s">
        <v>12785</v>
      </c>
      <c r="B5716" s="2" t="s">
        <v>11034</v>
      </c>
      <c r="C5716" s="1" t="s">
        <v>2011</v>
      </c>
      <c r="D5716" s="1" t="s">
        <v>2013</v>
      </c>
    </row>
    <row r="5717">
      <c r="A5717" s="1" t="s">
        <v>12786</v>
      </c>
      <c r="B5717" s="2" t="s">
        <v>11036</v>
      </c>
      <c r="C5717" s="1" t="s">
        <v>2011</v>
      </c>
      <c r="D5717" s="1" t="s">
        <v>2013</v>
      </c>
    </row>
    <row r="5718">
      <c r="A5718" s="1" t="s">
        <v>12787</v>
      </c>
      <c r="B5718" s="2" t="s">
        <v>10897</v>
      </c>
      <c r="C5718" s="1" t="s">
        <v>2011</v>
      </c>
      <c r="D5718" s="1" t="s">
        <v>2013</v>
      </c>
    </row>
    <row r="5719">
      <c r="A5719" s="1" t="s">
        <v>12788</v>
      </c>
      <c r="B5719" s="2" t="s">
        <v>11039</v>
      </c>
      <c r="C5719" s="1" t="s">
        <v>2011</v>
      </c>
      <c r="D5719" s="1" t="s">
        <v>2013</v>
      </c>
    </row>
    <row r="5720">
      <c r="A5720" s="1" t="s">
        <v>12789</v>
      </c>
      <c r="B5720" s="2" t="s">
        <v>11041</v>
      </c>
      <c r="C5720" s="1" t="s">
        <v>2011</v>
      </c>
      <c r="D5720" s="1" t="s">
        <v>2013</v>
      </c>
    </row>
    <row r="5721">
      <c r="A5721" s="1" t="s">
        <v>12790</v>
      </c>
      <c r="B5721" s="2" t="s">
        <v>11043</v>
      </c>
      <c r="C5721" s="1" t="s">
        <v>2011</v>
      </c>
      <c r="D5721" s="1" t="s">
        <v>2013</v>
      </c>
    </row>
    <row r="5722">
      <c r="A5722" s="1" t="s">
        <v>12791</v>
      </c>
      <c r="B5722" s="2" t="s">
        <v>11045</v>
      </c>
      <c r="C5722" s="1" t="s">
        <v>2011</v>
      </c>
      <c r="D5722" s="1" t="s">
        <v>2013</v>
      </c>
    </row>
    <row r="5723">
      <c r="A5723" s="1" t="s">
        <v>12792</v>
      </c>
      <c r="B5723" s="2" t="s">
        <v>11047</v>
      </c>
      <c r="C5723" s="1" t="s">
        <v>2011</v>
      </c>
      <c r="D5723" s="1" t="s">
        <v>2013</v>
      </c>
    </row>
    <row r="5724">
      <c r="A5724" s="1" t="s">
        <v>12793</v>
      </c>
      <c r="B5724" s="2" t="s">
        <v>11049</v>
      </c>
      <c r="C5724" s="1" t="s">
        <v>2011</v>
      </c>
      <c r="D5724" s="1" t="s">
        <v>2013</v>
      </c>
    </row>
    <row r="5725">
      <c r="A5725" s="1" t="s">
        <v>12794</v>
      </c>
      <c r="B5725" s="2" t="s">
        <v>11051</v>
      </c>
      <c r="C5725" s="1" t="s">
        <v>2011</v>
      </c>
      <c r="D5725" s="1" t="s">
        <v>2013</v>
      </c>
    </row>
    <row r="5726">
      <c r="A5726" s="1" t="s">
        <v>12795</v>
      </c>
      <c r="B5726" s="2" t="s">
        <v>11053</v>
      </c>
      <c r="C5726" s="1" t="s">
        <v>2011</v>
      </c>
      <c r="D5726" s="1" t="s">
        <v>2013</v>
      </c>
    </row>
    <row r="5727">
      <c r="A5727" s="1" t="s">
        <v>12796</v>
      </c>
      <c r="B5727" s="2" t="s">
        <v>11055</v>
      </c>
      <c r="C5727" s="1" t="s">
        <v>2011</v>
      </c>
      <c r="D5727" s="1" t="s">
        <v>2013</v>
      </c>
    </row>
    <row r="5728">
      <c r="A5728" s="1" t="s">
        <v>2030</v>
      </c>
      <c r="B5728" s="2" t="s">
        <v>7</v>
      </c>
      <c r="C5728" s="1" t="s">
        <v>2036</v>
      </c>
      <c r="D5728" s="1" t="s">
        <v>2038</v>
      </c>
    </row>
    <row r="5729">
      <c r="A5729" s="1" t="s">
        <v>12797</v>
      </c>
      <c r="B5729" s="2" t="s">
        <v>5721</v>
      </c>
      <c r="C5729" s="1" t="s">
        <v>2036</v>
      </c>
      <c r="D5729" s="1" t="s">
        <v>2038</v>
      </c>
    </row>
    <row r="5730">
      <c r="A5730" s="1" t="s">
        <v>12798</v>
      </c>
      <c r="B5730" s="2" t="s">
        <v>5723</v>
      </c>
      <c r="C5730" s="1" t="s">
        <v>2036</v>
      </c>
      <c r="D5730" s="1" t="s">
        <v>2038</v>
      </c>
    </row>
    <row r="5731">
      <c r="A5731" s="1" t="s">
        <v>12799</v>
      </c>
      <c r="B5731" s="2" t="s">
        <v>5728</v>
      </c>
      <c r="C5731" s="1" t="s">
        <v>2036</v>
      </c>
      <c r="D5731" s="1" t="s">
        <v>2038</v>
      </c>
    </row>
    <row r="5732">
      <c r="A5732" s="1" t="s">
        <v>12800</v>
      </c>
      <c r="B5732" s="2" t="s">
        <v>5730</v>
      </c>
      <c r="C5732" s="1" t="s">
        <v>2036</v>
      </c>
      <c r="D5732" s="1" t="s">
        <v>2038</v>
      </c>
    </row>
    <row r="5733">
      <c r="A5733" s="1" t="s">
        <v>12801</v>
      </c>
      <c r="B5733" s="2" t="s">
        <v>5732</v>
      </c>
      <c r="C5733" s="1" t="s">
        <v>2036</v>
      </c>
      <c r="D5733" s="1" t="s">
        <v>2038</v>
      </c>
    </row>
    <row r="5734">
      <c r="A5734" s="1" t="s">
        <v>12802</v>
      </c>
      <c r="B5734" s="2" t="s">
        <v>5734</v>
      </c>
      <c r="C5734" s="1" t="s">
        <v>2036</v>
      </c>
      <c r="D5734" s="1" t="s">
        <v>2038</v>
      </c>
    </row>
    <row r="5735">
      <c r="A5735" s="1" t="s">
        <v>12803</v>
      </c>
      <c r="B5735" s="2" t="s">
        <v>5736</v>
      </c>
      <c r="C5735" s="1" t="s">
        <v>2036</v>
      </c>
      <c r="D5735" s="1" t="s">
        <v>2038</v>
      </c>
    </row>
    <row r="5736">
      <c r="A5736" s="1" t="s">
        <v>12804</v>
      </c>
      <c r="B5736" s="2" t="s">
        <v>10834</v>
      </c>
      <c r="C5736" s="1" t="s">
        <v>2036</v>
      </c>
      <c r="D5736" s="1" t="s">
        <v>2038</v>
      </c>
    </row>
    <row r="5737">
      <c r="A5737" s="1" t="s">
        <v>12805</v>
      </c>
      <c r="B5737" s="2" t="s">
        <v>11065</v>
      </c>
      <c r="C5737" s="1" t="s">
        <v>2036</v>
      </c>
      <c r="D5737" s="1" t="s">
        <v>2038</v>
      </c>
    </row>
    <row r="5738">
      <c r="A5738" s="1" t="s">
        <v>12806</v>
      </c>
      <c r="B5738" s="2" t="s">
        <v>11067</v>
      </c>
      <c r="C5738" s="1" t="s">
        <v>2036</v>
      </c>
      <c r="D5738" s="1" t="s">
        <v>2038</v>
      </c>
    </row>
    <row r="5739">
      <c r="A5739" s="1" t="s">
        <v>12807</v>
      </c>
      <c r="B5739" s="2" t="s">
        <v>11069</v>
      </c>
      <c r="C5739" s="1" t="s">
        <v>2036</v>
      </c>
      <c r="D5739" s="1" t="s">
        <v>2038</v>
      </c>
    </row>
    <row r="5740">
      <c r="A5740" s="1" t="s">
        <v>12808</v>
      </c>
      <c r="B5740" s="2" t="s">
        <v>11071</v>
      </c>
      <c r="C5740" s="1" t="s">
        <v>2036</v>
      </c>
      <c r="D5740" s="1" t="s">
        <v>2038</v>
      </c>
    </row>
    <row r="5741">
      <c r="A5741" s="1" t="s">
        <v>12809</v>
      </c>
      <c r="B5741" s="2" t="s">
        <v>11073</v>
      </c>
      <c r="C5741" s="1" t="s">
        <v>2036</v>
      </c>
      <c r="D5741" s="1" t="s">
        <v>2038</v>
      </c>
    </row>
    <row r="5742">
      <c r="A5742" s="1" t="s">
        <v>12810</v>
      </c>
      <c r="B5742" s="2" t="s">
        <v>11075</v>
      </c>
      <c r="C5742" s="1" t="s">
        <v>2036</v>
      </c>
      <c r="D5742" s="1" t="s">
        <v>2038</v>
      </c>
    </row>
    <row r="5743">
      <c r="A5743" s="1" t="s">
        <v>12811</v>
      </c>
      <c r="B5743" s="2" t="s">
        <v>11077</v>
      </c>
      <c r="C5743" s="1" t="s">
        <v>2036</v>
      </c>
      <c r="D5743" s="1" t="s">
        <v>2038</v>
      </c>
    </row>
    <row r="5744">
      <c r="A5744" s="1" t="s">
        <v>12812</v>
      </c>
      <c r="B5744" s="2" t="s">
        <v>10850</v>
      </c>
      <c r="C5744" s="1" t="s">
        <v>2036</v>
      </c>
      <c r="D5744" s="1" t="s">
        <v>2038</v>
      </c>
    </row>
    <row r="5745">
      <c r="A5745" s="1" t="s">
        <v>12813</v>
      </c>
      <c r="B5745" s="2" t="s">
        <v>11080</v>
      </c>
      <c r="C5745" s="1" t="s">
        <v>2036</v>
      </c>
      <c r="D5745" s="1" t="s">
        <v>2038</v>
      </c>
    </row>
    <row r="5746">
      <c r="A5746" s="1" t="s">
        <v>12814</v>
      </c>
      <c r="B5746" s="2" t="s">
        <v>11082</v>
      </c>
      <c r="C5746" s="1" t="s">
        <v>2036</v>
      </c>
      <c r="D5746" s="1" t="s">
        <v>2038</v>
      </c>
    </row>
    <row r="5747">
      <c r="A5747" s="1" t="s">
        <v>12815</v>
      </c>
      <c r="B5747" s="2" t="s">
        <v>11084</v>
      </c>
      <c r="C5747" s="1" t="s">
        <v>2036</v>
      </c>
      <c r="D5747" s="1" t="s">
        <v>2038</v>
      </c>
    </row>
    <row r="5748">
      <c r="A5748" s="1" t="s">
        <v>12816</v>
      </c>
      <c r="B5748" s="2" t="s">
        <v>11086</v>
      </c>
      <c r="C5748" s="1" t="s">
        <v>2036</v>
      </c>
      <c r="D5748" s="1" t="s">
        <v>2038</v>
      </c>
    </row>
    <row r="5749">
      <c r="A5749" s="1" t="s">
        <v>12817</v>
      </c>
      <c r="B5749" s="2" t="s">
        <v>11088</v>
      </c>
      <c r="C5749" s="1" t="s">
        <v>2036</v>
      </c>
      <c r="D5749" s="1" t="s">
        <v>2038</v>
      </c>
    </row>
    <row r="5750">
      <c r="A5750" s="1" t="s">
        <v>12818</v>
      </c>
      <c r="B5750" s="2" t="s">
        <v>11090</v>
      </c>
      <c r="C5750" s="1" t="s">
        <v>2036</v>
      </c>
      <c r="D5750" s="1" t="s">
        <v>2038</v>
      </c>
    </row>
    <row r="5751">
      <c r="A5751" s="1" t="s">
        <v>12819</v>
      </c>
      <c r="B5751" s="2" t="s">
        <v>11092</v>
      </c>
      <c r="C5751" s="1" t="s">
        <v>2036</v>
      </c>
      <c r="D5751" s="1" t="s">
        <v>2038</v>
      </c>
    </row>
    <row r="5752">
      <c r="A5752" s="1" t="s">
        <v>12820</v>
      </c>
      <c r="B5752" s="2" t="s">
        <v>10356</v>
      </c>
      <c r="C5752" s="1" t="s">
        <v>2036</v>
      </c>
      <c r="D5752" s="1" t="s">
        <v>2038</v>
      </c>
    </row>
    <row r="5753">
      <c r="A5753" s="1" t="s">
        <v>12821</v>
      </c>
      <c r="B5753" s="2" t="s">
        <v>11095</v>
      </c>
      <c r="C5753" s="1" t="s">
        <v>2036</v>
      </c>
      <c r="D5753" s="1" t="s">
        <v>2038</v>
      </c>
    </row>
    <row r="5754">
      <c r="A5754" s="1" t="s">
        <v>12822</v>
      </c>
      <c r="B5754" s="2" t="s">
        <v>11097</v>
      </c>
      <c r="C5754" s="1" t="s">
        <v>2036</v>
      </c>
      <c r="D5754" s="1" t="s">
        <v>2038</v>
      </c>
    </row>
    <row r="5755">
      <c r="A5755" s="1" t="s">
        <v>12823</v>
      </c>
      <c r="B5755" s="2" t="s">
        <v>11099</v>
      </c>
      <c r="C5755" s="1" t="s">
        <v>2036</v>
      </c>
      <c r="D5755" s="1" t="s">
        <v>2038</v>
      </c>
    </row>
    <row r="5756">
      <c r="A5756" s="1" t="s">
        <v>12824</v>
      </c>
      <c r="B5756" s="2" t="s">
        <v>11101</v>
      </c>
      <c r="C5756" s="1" t="s">
        <v>2036</v>
      </c>
      <c r="D5756" s="1" t="s">
        <v>2038</v>
      </c>
    </row>
    <row r="5757">
      <c r="A5757" s="1" t="s">
        <v>12825</v>
      </c>
      <c r="B5757" s="2" t="s">
        <v>11103</v>
      </c>
      <c r="C5757" s="1" t="s">
        <v>2036</v>
      </c>
      <c r="D5757" s="1" t="s">
        <v>2038</v>
      </c>
    </row>
    <row r="5758">
      <c r="A5758" s="1" t="s">
        <v>12826</v>
      </c>
      <c r="B5758" s="2" t="s">
        <v>11105</v>
      </c>
      <c r="C5758" s="1" t="s">
        <v>2036</v>
      </c>
      <c r="D5758" s="1" t="s">
        <v>2038</v>
      </c>
    </row>
    <row r="5759">
      <c r="A5759" s="1" t="s">
        <v>12827</v>
      </c>
      <c r="B5759" s="2" t="s">
        <v>11107</v>
      </c>
      <c r="C5759" s="1" t="s">
        <v>2036</v>
      </c>
      <c r="D5759" s="1" t="s">
        <v>2038</v>
      </c>
    </row>
    <row r="5760">
      <c r="A5760" s="1" t="s">
        <v>12828</v>
      </c>
      <c r="B5760" s="2" t="s">
        <v>10881</v>
      </c>
      <c r="C5760" s="1" t="s">
        <v>2036</v>
      </c>
      <c r="D5760" s="1" t="s">
        <v>2038</v>
      </c>
    </row>
    <row r="5761">
      <c r="A5761" s="1" t="s">
        <v>12829</v>
      </c>
      <c r="B5761" s="2" t="s">
        <v>11110</v>
      </c>
      <c r="C5761" s="1" t="s">
        <v>2036</v>
      </c>
      <c r="D5761" s="1" t="s">
        <v>2038</v>
      </c>
    </row>
    <row r="5762">
      <c r="A5762" s="1" t="s">
        <v>12830</v>
      </c>
      <c r="B5762" s="2" t="s">
        <v>11112</v>
      </c>
      <c r="C5762" s="1" t="s">
        <v>2036</v>
      </c>
      <c r="D5762" s="1" t="s">
        <v>2038</v>
      </c>
    </row>
    <row r="5763">
      <c r="A5763" s="1" t="s">
        <v>12831</v>
      </c>
      <c r="B5763" s="2" t="s">
        <v>11114</v>
      </c>
      <c r="C5763" s="1" t="s">
        <v>2036</v>
      </c>
      <c r="D5763" s="1" t="s">
        <v>2038</v>
      </c>
    </row>
    <row r="5764">
      <c r="A5764" s="1" t="s">
        <v>12832</v>
      </c>
      <c r="B5764" s="2" t="s">
        <v>11116</v>
      </c>
      <c r="C5764" s="1" t="s">
        <v>2036</v>
      </c>
      <c r="D5764" s="1" t="s">
        <v>2038</v>
      </c>
    </row>
    <row r="5765">
      <c r="A5765" s="1" t="s">
        <v>12833</v>
      </c>
      <c r="B5765" s="2" t="s">
        <v>11118</v>
      </c>
      <c r="C5765" s="1" t="s">
        <v>2036</v>
      </c>
      <c r="D5765" s="1" t="s">
        <v>2038</v>
      </c>
    </row>
    <row r="5766">
      <c r="A5766" s="1" t="s">
        <v>12834</v>
      </c>
      <c r="B5766" s="2" t="s">
        <v>11120</v>
      </c>
      <c r="C5766" s="1" t="s">
        <v>2036</v>
      </c>
      <c r="D5766" s="1" t="s">
        <v>2038</v>
      </c>
    </row>
    <row r="5767">
      <c r="A5767" s="1" t="s">
        <v>12835</v>
      </c>
      <c r="B5767" s="2" t="s">
        <v>11122</v>
      </c>
      <c r="C5767" s="1" t="s">
        <v>2036</v>
      </c>
      <c r="D5767" s="1" t="s">
        <v>2038</v>
      </c>
    </row>
    <row r="5768">
      <c r="A5768" s="1" t="s">
        <v>12836</v>
      </c>
      <c r="B5768" s="2" t="s">
        <v>10897</v>
      </c>
      <c r="C5768" s="1" t="s">
        <v>2036</v>
      </c>
      <c r="D5768" s="1" t="s">
        <v>2038</v>
      </c>
    </row>
    <row r="5769">
      <c r="A5769" s="1" t="s">
        <v>12837</v>
      </c>
      <c r="B5769" s="2" t="s">
        <v>11125</v>
      </c>
      <c r="C5769" s="1" t="s">
        <v>2036</v>
      </c>
      <c r="D5769" s="1" t="s">
        <v>2038</v>
      </c>
    </row>
    <row r="5770">
      <c r="A5770" s="1" t="s">
        <v>12838</v>
      </c>
      <c r="B5770" s="2" t="s">
        <v>11127</v>
      </c>
      <c r="C5770" s="1" t="s">
        <v>2036</v>
      </c>
      <c r="D5770" s="1" t="s">
        <v>2038</v>
      </c>
    </row>
    <row r="5771">
      <c r="A5771" s="1" t="s">
        <v>12839</v>
      </c>
      <c r="B5771" s="2" t="s">
        <v>11129</v>
      </c>
      <c r="C5771" s="1" t="s">
        <v>2036</v>
      </c>
      <c r="D5771" s="1" t="s">
        <v>2038</v>
      </c>
    </row>
    <row r="5772">
      <c r="A5772" s="1" t="s">
        <v>12840</v>
      </c>
      <c r="B5772" s="2" t="s">
        <v>11131</v>
      </c>
      <c r="C5772" s="1" t="s">
        <v>2036</v>
      </c>
      <c r="D5772" s="1" t="s">
        <v>2038</v>
      </c>
    </row>
    <row r="5773">
      <c r="A5773" s="1" t="s">
        <v>12841</v>
      </c>
      <c r="B5773" s="2" t="s">
        <v>11133</v>
      </c>
      <c r="C5773" s="1" t="s">
        <v>2036</v>
      </c>
      <c r="D5773" s="1" t="s">
        <v>2038</v>
      </c>
    </row>
    <row r="5774">
      <c r="A5774" s="1" t="s">
        <v>12842</v>
      </c>
      <c r="B5774" s="2" t="s">
        <v>11135</v>
      </c>
      <c r="C5774" s="1" t="s">
        <v>2036</v>
      </c>
      <c r="D5774" s="1" t="s">
        <v>2038</v>
      </c>
    </row>
    <row r="5775">
      <c r="A5775" s="1" t="s">
        <v>12843</v>
      </c>
      <c r="B5775" s="2" t="s">
        <v>11137</v>
      </c>
      <c r="C5775" s="1" t="s">
        <v>2036</v>
      </c>
      <c r="D5775" s="1" t="s">
        <v>2038</v>
      </c>
    </row>
    <row r="5776">
      <c r="A5776" s="1" t="s">
        <v>12844</v>
      </c>
      <c r="B5776" s="2" t="s">
        <v>11047</v>
      </c>
      <c r="C5776" s="1" t="s">
        <v>2036</v>
      </c>
      <c r="D5776" s="1" t="s">
        <v>2038</v>
      </c>
    </row>
    <row r="5777">
      <c r="A5777" s="1" t="s">
        <v>12845</v>
      </c>
      <c r="B5777" s="2" t="s">
        <v>11140</v>
      </c>
      <c r="C5777" s="1" t="s">
        <v>2036</v>
      </c>
      <c r="D5777" s="1" t="s">
        <v>2038</v>
      </c>
    </row>
    <row r="5778">
      <c r="A5778" s="1" t="s">
        <v>12846</v>
      </c>
      <c r="B5778" s="2" t="s">
        <v>11142</v>
      </c>
      <c r="C5778" s="1" t="s">
        <v>2036</v>
      </c>
      <c r="D5778" s="1" t="s">
        <v>2038</v>
      </c>
    </row>
    <row r="5779">
      <c r="A5779" s="1" t="s">
        <v>12847</v>
      </c>
      <c r="B5779" s="2" t="s">
        <v>11144</v>
      </c>
      <c r="C5779" s="1" t="s">
        <v>2036</v>
      </c>
      <c r="D5779" s="1" t="s">
        <v>2038</v>
      </c>
    </row>
    <row r="5780">
      <c r="A5780" s="1" t="s">
        <v>12848</v>
      </c>
      <c r="B5780" s="2" t="s">
        <v>11146</v>
      </c>
      <c r="C5780" s="1" t="s">
        <v>2036</v>
      </c>
      <c r="D5780" s="1" t="s">
        <v>2038</v>
      </c>
    </row>
    <row r="5781">
      <c r="A5781" s="1" t="s">
        <v>12849</v>
      </c>
      <c r="B5781" s="2" t="s">
        <v>11148</v>
      </c>
      <c r="C5781" s="1" t="s">
        <v>2036</v>
      </c>
      <c r="D5781" s="1" t="s">
        <v>2038</v>
      </c>
    </row>
    <row r="5782">
      <c r="A5782" s="1" t="s">
        <v>12850</v>
      </c>
      <c r="B5782" s="2" t="s">
        <v>11150</v>
      </c>
      <c r="C5782" s="1" t="s">
        <v>2036</v>
      </c>
      <c r="D5782" s="1" t="s">
        <v>2038</v>
      </c>
    </row>
    <row r="5783">
      <c r="A5783" s="1" t="s">
        <v>12851</v>
      </c>
      <c r="B5783" s="2" t="s">
        <v>11152</v>
      </c>
      <c r="C5783" s="1" t="s">
        <v>2036</v>
      </c>
      <c r="D5783" s="1" t="s">
        <v>2038</v>
      </c>
    </row>
    <row r="5784">
      <c r="A5784" s="1" t="s">
        <v>2044</v>
      </c>
      <c r="B5784" s="2" t="s">
        <v>7</v>
      </c>
      <c r="C5784" s="1" t="s">
        <v>2047</v>
      </c>
      <c r="D5784" s="1" t="s">
        <v>2048</v>
      </c>
    </row>
    <row r="5785">
      <c r="A5785" s="1" t="s">
        <v>12852</v>
      </c>
      <c r="B5785" s="2" t="s">
        <v>11154</v>
      </c>
      <c r="C5785" s="1" t="s">
        <v>2047</v>
      </c>
      <c r="D5785" s="1" t="s">
        <v>2048</v>
      </c>
    </row>
    <row r="5786">
      <c r="A5786" s="1" t="s">
        <v>12853</v>
      </c>
      <c r="B5786" s="2" t="s">
        <v>11156</v>
      </c>
      <c r="C5786" s="1" t="s">
        <v>2047</v>
      </c>
      <c r="D5786" s="1" t="s">
        <v>2048</v>
      </c>
    </row>
    <row r="5787">
      <c r="A5787" s="1" t="s">
        <v>12854</v>
      </c>
      <c r="B5787" s="2" t="s">
        <v>11158</v>
      </c>
      <c r="C5787" s="1" t="s">
        <v>2047</v>
      </c>
      <c r="D5787" s="1" t="s">
        <v>2048</v>
      </c>
    </row>
    <row r="5788">
      <c r="A5788" s="1" t="s">
        <v>12855</v>
      </c>
      <c r="B5788" s="2" t="s">
        <v>11160</v>
      </c>
      <c r="C5788" s="1" t="s">
        <v>2047</v>
      </c>
      <c r="D5788" s="1" t="s">
        <v>2048</v>
      </c>
    </row>
    <row r="5789">
      <c r="A5789" s="1" t="s">
        <v>12856</v>
      </c>
      <c r="B5789" s="2" t="s">
        <v>11162</v>
      </c>
      <c r="C5789" s="1" t="s">
        <v>2047</v>
      </c>
      <c r="D5789" s="1" t="s">
        <v>2048</v>
      </c>
    </row>
    <row r="5790">
      <c r="A5790" s="1" t="s">
        <v>12857</v>
      </c>
      <c r="B5790" s="2" t="s">
        <v>11164</v>
      </c>
      <c r="C5790" s="1" t="s">
        <v>2047</v>
      </c>
      <c r="D5790" s="1" t="s">
        <v>2048</v>
      </c>
    </row>
    <row r="5791">
      <c r="A5791" s="1" t="s">
        <v>12858</v>
      </c>
      <c r="B5791" s="2" t="s">
        <v>11166</v>
      </c>
      <c r="C5791" s="1" t="s">
        <v>2047</v>
      </c>
      <c r="D5791" s="1" t="s">
        <v>2048</v>
      </c>
    </row>
    <row r="5792">
      <c r="A5792" s="1" t="s">
        <v>12859</v>
      </c>
      <c r="B5792" s="2" t="s">
        <v>11168</v>
      </c>
      <c r="C5792" s="1" t="s">
        <v>2047</v>
      </c>
      <c r="D5792" s="1" t="s">
        <v>2048</v>
      </c>
    </row>
    <row r="5793">
      <c r="A5793" s="1" t="s">
        <v>12860</v>
      </c>
      <c r="B5793" s="2" t="s">
        <v>10834</v>
      </c>
      <c r="C5793" s="1" t="s">
        <v>2047</v>
      </c>
      <c r="D5793" s="1" t="s">
        <v>2048</v>
      </c>
    </row>
    <row r="5794">
      <c r="A5794" s="1" t="s">
        <v>12861</v>
      </c>
      <c r="B5794" s="2" t="s">
        <v>11171</v>
      </c>
      <c r="C5794" s="1" t="s">
        <v>2047</v>
      </c>
      <c r="D5794" s="1" t="s">
        <v>2048</v>
      </c>
    </row>
    <row r="5795">
      <c r="A5795" s="1" t="s">
        <v>12862</v>
      </c>
      <c r="B5795" s="2" t="s">
        <v>11173</v>
      </c>
      <c r="C5795" s="1" t="s">
        <v>2047</v>
      </c>
      <c r="D5795" s="1" t="s">
        <v>2048</v>
      </c>
    </row>
    <row r="5796">
      <c r="A5796" s="1" t="s">
        <v>12863</v>
      </c>
      <c r="B5796" s="2" t="s">
        <v>11175</v>
      </c>
      <c r="C5796" s="1" t="s">
        <v>2047</v>
      </c>
      <c r="D5796" s="1" t="s">
        <v>2048</v>
      </c>
    </row>
    <row r="5797">
      <c r="A5797" s="1" t="s">
        <v>12864</v>
      </c>
      <c r="B5797" s="2" t="s">
        <v>11177</v>
      </c>
      <c r="C5797" s="1" t="s">
        <v>2047</v>
      </c>
      <c r="D5797" s="1" t="s">
        <v>2048</v>
      </c>
    </row>
    <row r="5798">
      <c r="A5798" s="1" t="s">
        <v>12865</v>
      </c>
      <c r="B5798" s="2" t="s">
        <v>11179</v>
      </c>
      <c r="C5798" s="1" t="s">
        <v>2047</v>
      </c>
      <c r="D5798" s="1" t="s">
        <v>2048</v>
      </c>
    </row>
    <row r="5799">
      <c r="A5799" s="1" t="s">
        <v>12866</v>
      </c>
      <c r="B5799" s="2" t="s">
        <v>11181</v>
      </c>
      <c r="C5799" s="1" t="s">
        <v>2047</v>
      </c>
      <c r="D5799" s="1" t="s">
        <v>2048</v>
      </c>
    </row>
    <row r="5800">
      <c r="A5800" s="1" t="s">
        <v>12867</v>
      </c>
      <c r="B5800" s="2" t="s">
        <v>11183</v>
      </c>
      <c r="C5800" s="1" t="s">
        <v>2047</v>
      </c>
      <c r="D5800" s="1" t="s">
        <v>2048</v>
      </c>
    </row>
    <row r="5801">
      <c r="A5801" s="1" t="s">
        <v>12868</v>
      </c>
      <c r="B5801" s="2" t="s">
        <v>11185</v>
      </c>
      <c r="C5801" s="1" t="s">
        <v>2047</v>
      </c>
      <c r="D5801" s="1" t="s">
        <v>2048</v>
      </c>
    </row>
    <row r="5802">
      <c r="A5802" s="1" t="s">
        <v>12869</v>
      </c>
      <c r="B5802" s="2" t="s">
        <v>10850</v>
      </c>
      <c r="C5802" s="1" t="s">
        <v>2047</v>
      </c>
      <c r="D5802" s="1" t="s">
        <v>2048</v>
      </c>
    </row>
    <row r="5803">
      <c r="A5803" s="1" t="s">
        <v>12870</v>
      </c>
      <c r="B5803" s="2" t="s">
        <v>11188</v>
      </c>
      <c r="C5803" s="1" t="s">
        <v>2047</v>
      </c>
      <c r="D5803" s="1" t="s">
        <v>2048</v>
      </c>
    </row>
    <row r="5804">
      <c r="A5804" s="1" t="s">
        <v>12871</v>
      </c>
      <c r="B5804" s="2" t="s">
        <v>11190</v>
      </c>
      <c r="C5804" s="1" t="s">
        <v>2047</v>
      </c>
      <c r="D5804" s="1" t="s">
        <v>2048</v>
      </c>
    </row>
    <row r="5805">
      <c r="A5805" s="1" t="s">
        <v>12872</v>
      </c>
      <c r="B5805" s="2" t="s">
        <v>11192</v>
      </c>
      <c r="C5805" s="1" t="s">
        <v>2047</v>
      </c>
      <c r="D5805" s="1" t="s">
        <v>2048</v>
      </c>
    </row>
    <row r="5806">
      <c r="A5806" s="1" t="s">
        <v>12873</v>
      </c>
      <c r="B5806" s="2" t="s">
        <v>11194</v>
      </c>
      <c r="C5806" s="1" t="s">
        <v>2047</v>
      </c>
      <c r="D5806" s="1" t="s">
        <v>2048</v>
      </c>
    </row>
    <row r="5807">
      <c r="A5807" s="1" t="s">
        <v>12874</v>
      </c>
      <c r="B5807" s="2" t="s">
        <v>11196</v>
      </c>
      <c r="C5807" s="1" t="s">
        <v>2047</v>
      </c>
      <c r="D5807" s="1" t="s">
        <v>2048</v>
      </c>
    </row>
    <row r="5808">
      <c r="A5808" s="1" t="s">
        <v>12875</v>
      </c>
      <c r="B5808" s="2" t="s">
        <v>11198</v>
      </c>
      <c r="C5808" s="1" t="s">
        <v>2047</v>
      </c>
      <c r="D5808" s="1" t="s">
        <v>2048</v>
      </c>
    </row>
    <row r="5809">
      <c r="A5809" s="1" t="s">
        <v>12876</v>
      </c>
      <c r="B5809" s="2" t="s">
        <v>11200</v>
      </c>
      <c r="C5809" s="1" t="s">
        <v>2047</v>
      </c>
      <c r="D5809" s="1" t="s">
        <v>2048</v>
      </c>
    </row>
    <row r="5810">
      <c r="A5810" s="1" t="s">
        <v>12877</v>
      </c>
      <c r="B5810" s="2" t="s">
        <v>11202</v>
      </c>
      <c r="C5810" s="1" t="s">
        <v>2047</v>
      </c>
      <c r="D5810" s="1" t="s">
        <v>2048</v>
      </c>
    </row>
    <row r="5811">
      <c r="A5811" s="1" t="s">
        <v>12878</v>
      </c>
      <c r="B5811" s="2" t="s">
        <v>10356</v>
      </c>
      <c r="C5811" s="1" t="s">
        <v>2047</v>
      </c>
      <c r="D5811" s="1" t="s">
        <v>2048</v>
      </c>
    </row>
    <row r="5812">
      <c r="A5812" s="1" t="s">
        <v>12879</v>
      </c>
      <c r="B5812" s="2" t="s">
        <v>11205</v>
      </c>
      <c r="C5812" s="1" t="s">
        <v>2047</v>
      </c>
      <c r="D5812" s="1" t="s">
        <v>2048</v>
      </c>
    </row>
    <row r="5813">
      <c r="A5813" s="1" t="s">
        <v>12880</v>
      </c>
      <c r="B5813" s="2" t="s">
        <v>11207</v>
      </c>
      <c r="C5813" s="1" t="s">
        <v>2047</v>
      </c>
      <c r="D5813" s="1" t="s">
        <v>2048</v>
      </c>
    </row>
    <row r="5814">
      <c r="A5814" s="1" t="s">
        <v>12881</v>
      </c>
      <c r="B5814" s="2" t="s">
        <v>11209</v>
      </c>
      <c r="C5814" s="1" t="s">
        <v>2047</v>
      </c>
      <c r="D5814" s="1" t="s">
        <v>2048</v>
      </c>
    </row>
    <row r="5815">
      <c r="A5815" s="1" t="s">
        <v>12882</v>
      </c>
      <c r="B5815" s="2" t="s">
        <v>11211</v>
      </c>
      <c r="C5815" s="1" t="s">
        <v>2047</v>
      </c>
      <c r="D5815" s="1" t="s">
        <v>2048</v>
      </c>
    </row>
    <row r="5816">
      <c r="A5816" s="1" t="s">
        <v>12883</v>
      </c>
      <c r="B5816" s="2" t="s">
        <v>11213</v>
      </c>
      <c r="C5816" s="1" t="s">
        <v>2047</v>
      </c>
      <c r="D5816" s="1" t="s">
        <v>2048</v>
      </c>
    </row>
    <row r="5817">
      <c r="A5817" s="1" t="s">
        <v>12884</v>
      </c>
      <c r="B5817" s="2" t="s">
        <v>11215</v>
      </c>
      <c r="C5817" s="1" t="s">
        <v>2047</v>
      </c>
      <c r="D5817" s="1" t="s">
        <v>2048</v>
      </c>
    </row>
    <row r="5818">
      <c r="A5818" s="1" t="s">
        <v>12885</v>
      </c>
      <c r="B5818" s="2" t="s">
        <v>11217</v>
      </c>
      <c r="C5818" s="1" t="s">
        <v>2047</v>
      </c>
      <c r="D5818" s="1" t="s">
        <v>2048</v>
      </c>
    </row>
    <row r="5819">
      <c r="A5819" s="1" t="s">
        <v>12886</v>
      </c>
      <c r="B5819" s="2" t="s">
        <v>11219</v>
      </c>
      <c r="C5819" s="1" t="s">
        <v>2047</v>
      </c>
      <c r="D5819" s="1" t="s">
        <v>2048</v>
      </c>
    </row>
    <row r="5820">
      <c r="A5820" s="1" t="s">
        <v>12887</v>
      </c>
      <c r="B5820" s="2" t="s">
        <v>10881</v>
      </c>
      <c r="C5820" s="1" t="s">
        <v>2047</v>
      </c>
      <c r="D5820" s="1" t="s">
        <v>2048</v>
      </c>
    </row>
    <row r="5821">
      <c r="A5821" s="1" t="s">
        <v>12888</v>
      </c>
      <c r="B5821" s="2" t="s">
        <v>11222</v>
      </c>
      <c r="C5821" s="1" t="s">
        <v>2047</v>
      </c>
      <c r="D5821" s="1" t="s">
        <v>2048</v>
      </c>
    </row>
    <row r="5822">
      <c r="A5822" s="1" t="s">
        <v>12889</v>
      </c>
      <c r="B5822" s="2" t="s">
        <v>11224</v>
      </c>
      <c r="C5822" s="1" t="s">
        <v>2047</v>
      </c>
      <c r="D5822" s="1" t="s">
        <v>2048</v>
      </c>
    </row>
    <row r="5823">
      <c r="A5823" s="1" t="s">
        <v>12890</v>
      </c>
      <c r="B5823" s="2" t="s">
        <v>11226</v>
      </c>
      <c r="C5823" s="1" t="s">
        <v>2047</v>
      </c>
      <c r="D5823" s="1" t="s">
        <v>2048</v>
      </c>
    </row>
    <row r="5824">
      <c r="A5824" s="1" t="s">
        <v>12891</v>
      </c>
      <c r="B5824" s="2" t="s">
        <v>11228</v>
      </c>
      <c r="C5824" s="1" t="s">
        <v>2047</v>
      </c>
      <c r="D5824" s="1" t="s">
        <v>2048</v>
      </c>
    </row>
    <row r="5825">
      <c r="A5825" s="1" t="s">
        <v>12892</v>
      </c>
      <c r="B5825" s="2" t="s">
        <v>11230</v>
      </c>
      <c r="C5825" s="1" t="s">
        <v>2047</v>
      </c>
      <c r="D5825" s="1" t="s">
        <v>2048</v>
      </c>
    </row>
    <row r="5826">
      <c r="A5826" s="1" t="s">
        <v>12893</v>
      </c>
      <c r="B5826" s="2" t="s">
        <v>11232</v>
      </c>
      <c r="C5826" s="1" t="s">
        <v>2047</v>
      </c>
      <c r="D5826" s="1" t="s">
        <v>2048</v>
      </c>
    </row>
    <row r="5827">
      <c r="A5827" s="1" t="s">
        <v>12894</v>
      </c>
      <c r="B5827" s="2" t="s">
        <v>11234</v>
      </c>
      <c r="C5827" s="1" t="s">
        <v>2047</v>
      </c>
      <c r="D5827" s="1" t="s">
        <v>2048</v>
      </c>
    </row>
    <row r="5828">
      <c r="A5828" s="1" t="s">
        <v>12895</v>
      </c>
      <c r="B5828" s="2" t="s">
        <v>11236</v>
      </c>
      <c r="C5828" s="1" t="s">
        <v>2047</v>
      </c>
      <c r="D5828" s="1" t="s">
        <v>2048</v>
      </c>
    </row>
    <row r="5829">
      <c r="A5829" s="1" t="s">
        <v>12896</v>
      </c>
      <c r="B5829" s="2" t="s">
        <v>10897</v>
      </c>
      <c r="C5829" s="1" t="s">
        <v>2047</v>
      </c>
      <c r="D5829" s="1" t="s">
        <v>2048</v>
      </c>
    </row>
    <row r="5830">
      <c r="A5830" s="1" t="s">
        <v>12897</v>
      </c>
      <c r="B5830" s="2" t="s">
        <v>11239</v>
      </c>
      <c r="C5830" s="1" t="s">
        <v>2047</v>
      </c>
      <c r="D5830" s="1" t="s">
        <v>2048</v>
      </c>
    </row>
    <row r="5831">
      <c r="A5831" s="1" t="s">
        <v>12898</v>
      </c>
      <c r="B5831" s="2" t="s">
        <v>11241</v>
      </c>
      <c r="C5831" s="1" t="s">
        <v>2047</v>
      </c>
      <c r="D5831" s="1" t="s">
        <v>2048</v>
      </c>
    </row>
    <row r="5832">
      <c r="A5832" s="1" t="s">
        <v>12899</v>
      </c>
      <c r="B5832" s="2" t="s">
        <v>11243</v>
      </c>
      <c r="C5832" s="1" t="s">
        <v>2047</v>
      </c>
      <c r="D5832" s="1" t="s">
        <v>2048</v>
      </c>
    </row>
    <row r="5833">
      <c r="A5833" s="1" t="s">
        <v>12900</v>
      </c>
      <c r="B5833" s="2" t="s">
        <v>11245</v>
      </c>
      <c r="C5833" s="1" t="s">
        <v>2047</v>
      </c>
      <c r="D5833" s="1" t="s">
        <v>2048</v>
      </c>
    </row>
    <row r="5834">
      <c r="A5834" s="1" t="s">
        <v>12901</v>
      </c>
      <c r="B5834" s="2" t="s">
        <v>11247</v>
      </c>
      <c r="C5834" s="1" t="s">
        <v>2047</v>
      </c>
      <c r="D5834" s="1" t="s">
        <v>2048</v>
      </c>
    </row>
    <row r="5835">
      <c r="A5835" s="1" t="s">
        <v>12902</v>
      </c>
      <c r="B5835" s="2" t="s">
        <v>11249</v>
      </c>
      <c r="C5835" s="1" t="s">
        <v>2047</v>
      </c>
      <c r="D5835" s="1" t="s">
        <v>2048</v>
      </c>
    </row>
    <row r="5836">
      <c r="A5836" s="1" t="s">
        <v>12903</v>
      </c>
      <c r="B5836" s="2" t="s">
        <v>11251</v>
      </c>
      <c r="C5836" s="1" t="s">
        <v>2047</v>
      </c>
      <c r="D5836" s="1" t="s">
        <v>2048</v>
      </c>
    </row>
    <row r="5837">
      <c r="A5837" s="1" t="s">
        <v>12904</v>
      </c>
      <c r="B5837" s="2" t="s">
        <v>11253</v>
      </c>
      <c r="C5837" s="1" t="s">
        <v>2047</v>
      </c>
      <c r="D5837" s="1" t="s">
        <v>2048</v>
      </c>
    </row>
    <row r="5838">
      <c r="A5838" s="1" t="s">
        <v>12905</v>
      </c>
      <c r="B5838" s="2" t="s">
        <v>11047</v>
      </c>
      <c r="C5838" s="1" t="s">
        <v>2047</v>
      </c>
      <c r="D5838" s="1" t="s">
        <v>2048</v>
      </c>
    </row>
    <row r="5839">
      <c r="A5839" s="1" t="s">
        <v>12906</v>
      </c>
      <c r="B5839" s="2" t="s">
        <v>11256</v>
      </c>
      <c r="C5839" s="1" t="s">
        <v>2047</v>
      </c>
      <c r="D5839" s="1" t="s">
        <v>2048</v>
      </c>
    </row>
    <row r="5840">
      <c r="A5840" s="1" t="s">
        <v>12907</v>
      </c>
      <c r="B5840" s="2" t="s">
        <v>11258</v>
      </c>
      <c r="C5840" s="1" t="s">
        <v>2047</v>
      </c>
      <c r="D5840" s="1" t="s">
        <v>2048</v>
      </c>
    </row>
    <row r="5841">
      <c r="A5841" s="1" t="s">
        <v>12908</v>
      </c>
      <c r="B5841" s="2" t="s">
        <v>11260</v>
      </c>
      <c r="C5841" s="1" t="s">
        <v>2047</v>
      </c>
      <c r="D5841" s="1" t="s">
        <v>2048</v>
      </c>
    </row>
    <row r="5842">
      <c r="A5842" s="1" t="s">
        <v>12909</v>
      </c>
      <c r="B5842" s="2" t="s">
        <v>11262</v>
      </c>
      <c r="C5842" s="1" t="s">
        <v>2047</v>
      </c>
      <c r="D5842" s="1" t="s">
        <v>2048</v>
      </c>
    </row>
    <row r="5843">
      <c r="A5843" s="1" t="s">
        <v>12910</v>
      </c>
      <c r="B5843" s="2" t="s">
        <v>11264</v>
      </c>
      <c r="C5843" s="1" t="s">
        <v>2047</v>
      </c>
      <c r="D5843" s="1" t="s">
        <v>2048</v>
      </c>
    </row>
    <row r="5844">
      <c r="A5844" s="1" t="s">
        <v>12911</v>
      </c>
      <c r="B5844" s="2" t="s">
        <v>11266</v>
      </c>
      <c r="C5844" s="1" t="s">
        <v>2047</v>
      </c>
      <c r="D5844" s="1" t="s">
        <v>2048</v>
      </c>
    </row>
    <row r="5845">
      <c r="A5845" s="1" t="s">
        <v>12912</v>
      </c>
      <c r="B5845" s="2" t="s">
        <v>11268</v>
      </c>
      <c r="C5845" s="1" t="s">
        <v>2047</v>
      </c>
      <c r="D5845" s="1" t="s">
        <v>2048</v>
      </c>
    </row>
    <row r="5846">
      <c r="A5846" s="1" t="s">
        <v>12913</v>
      </c>
      <c r="B5846" s="2" t="s">
        <v>11270</v>
      </c>
      <c r="C5846" s="1" t="s">
        <v>2047</v>
      </c>
      <c r="D5846" s="1" t="s">
        <v>2048</v>
      </c>
    </row>
    <row r="5847">
      <c r="A5847" s="1" t="s">
        <v>2051</v>
      </c>
      <c r="B5847" s="2" t="s">
        <v>1705</v>
      </c>
      <c r="C5847" s="1" t="s">
        <v>2054</v>
      </c>
      <c r="D5847" s="1" t="s">
        <v>2055</v>
      </c>
    </row>
    <row r="5848">
      <c r="A5848" s="1" t="s">
        <v>12914</v>
      </c>
      <c r="B5848" s="2" t="s">
        <v>11272</v>
      </c>
      <c r="C5848" s="1" t="s">
        <v>2054</v>
      </c>
      <c r="D5848" s="1" t="s">
        <v>2055</v>
      </c>
    </row>
    <row r="5849">
      <c r="A5849" s="1" t="s">
        <v>12915</v>
      </c>
      <c r="B5849" s="2" t="s">
        <v>11274</v>
      </c>
      <c r="C5849" s="1" t="s">
        <v>2054</v>
      </c>
      <c r="D5849" s="1" t="s">
        <v>2055</v>
      </c>
    </row>
    <row r="5850">
      <c r="A5850" s="1" t="s">
        <v>12916</v>
      </c>
      <c r="B5850" s="2" t="s">
        <v>11276</v>
      </c>
      <c r="C5850" s="1" t="s">
        <v>2054</v>
      </c>
      <c r="D5850" s="1" t="s">
        <v>2055</v>
      </c>
    </row>
    <row r="5851">
      <c r="A5851" s="1" t="s">
        <v>12917</v>
      </c>
      <c r="B5851" s="2" t="s">
        <v>11278</v>
      </c>
      <c r="C5851" s="1" t="s">
        <v>2054</v>
      </c>
      <c r="D5851" s="1" t="s">
        <v>2055</v>
      </c>
    </row>
    <row r="5852">
      <c r="A5852" s="1" t="s">
        <v>12918</v>
      </c>
      <c r="B5852" s="2" t="s">
        <v>11280</v>
      </c>
      <c r="C5852" s="1" t="s">
        <v>2054</v>
      </c>
      <c r="D5852" s="1" t="s">
        <v>2055</v>
      </c>
    </row>
    <row r="5853">
      <c r="A5853" s="1" t="s">
        <v>12919</v>
      </c>
      <c r="B5853" s="2" t="s">
        <v>11282</v>
      </c>
      <c r="C5853" s="1" t="s">
        <v>2054</v>
      </c>
      <c r="D5853" s="1" t="s">
        <v>2055</v>
      </c>
    </row>
    <row r="5854">
      <c r="A5854" s="1" t="s">
        <v>2060</v>
      </c>
      <c r="B5854" s="2" t="s">
        <v>7</v>
      </c>
      <c r="C5854" s="1" t="s">
        <v>2062</v>
      </c>
      <c r="D5854" s="1" t="s">
        <v>2070</v>
      </c>
    </row>
    <row r="5855">
      <c r="A5855" s="1" t="s">
        <v>12920</v>
      </c>
      <c r="B5855" s="2" t="s">
        <v>6537</v>
      </c>
      <c r="C5855" s="1" t="s">
        <v>2062</v>
      </c>
      <c r="D5855" s="1" t="s">
        <v>2070</v>
      </c>
    </row>
    <row r="5856">
      <c r="A5856" s="1" t="s">
        <v>12921</v>
      </c>
      <c r="B5856" s="2" t="s">
        <v>6539</v>
      </c>
      <c r="C5856" s="1" t="s">
        <v>2062</v>
      </c>
      <c r="D5856" s="1" t="s">
        <v>2070</v>
      </c>
    </row>
    <row r="5857">
      <c r="A5857" s="1" t="s">
        <v>12922</v>
      </c>
      <c r="B5857" s="2" t="s">
        <v>6544</v>
      </c>
      <c r="C5857" s="1" t="s">
        <v>2062</v>
      </c>
      <c r="D5857" s="1" t="s">
        <v>2070</v>
      </c>
    </row>
    <row r="5858">
      <c r="A5858" s="1" t="s">
        <v>12923</v>
      </c>
      <c r="B5858" s="2" t="s">
        <v>10834</v>
      </c>
      <c r="C5858" s="1" t="s">
        <v>2062</v>
      </c>
      <c r="D5858" s="1" t="s">
        <v>2070</v>
      </c>
    </row>
    <row r="5859">
      <c r="A5859" s="1" t="s">
        <v>12924</v>
      </c>
      <c r="B5859" s="2" t="s">
        <v>11288</v>
      </c>
      <c r="C5859" s="1" t="s">
        <v>2062</v>
      </c>
      <c r="D5859" s="1" t="s">
        <v>2070</v>
      </c>
    </row>
    <row r="5860">
      <c r="A5860" s="1" t="s">
        <v>12925</v>
      </c>
      <c r="B5860" s="2" t="s">
        <v>11290</v>
      </c>
      <c r="C5860" s="1" t="s">
        <v>2062</v>
      </c>
      <c r="D5860" s="1" t="s">
        <v>2070</v>
      </c>
    </row>
    <row r="5861">
      <c r="A5861" s="1" t="s">
        <v>12926</v>
      </c>
      <c r="B5861" s="2" t="s">
        <v>11292</v>
      </c>
      <c r="C5861" s="1" t="s">
        <v>2062</v>
      </c>
      <c r="D5861" s="1" t="s">
        <v>2070</v>
      </c>
    </row>
    <row r="5862">
      <c r="A5862" s="1" t="s">
        <v>12927</v>
      </c>
      <c r="B5862" s="2" t="s">
        <v>10850</v>
      </c>
      <c r="C5862" s="1" t="s">
        <v>2062</v>
      </c>
      <c r="D5862" s="1" t="s">
        <v>2070</v>
      </c>
    </row>
    <row r="5863">
      <c r="A5863" s="1" t="s">
        <v>12928</v>
      </c>
      <c r="B5863" s="2" t="s">
        <v>11295</v>
      </c>
      <c r="C5863" s="1" t="s">
        <v>2062</v>
      </c>
      <c r="D5863" s="1" t="s">
        <v>2070</v>
      </c>
    </row>
    <row r="5864">
      <c r="A5864" s="1" t="s">
        <v>12929</v>
      </c>
      <c r="B5864" s="2" t="s">
        <v>11297</v>
      </c>
      <c r="C5864" s="1" t="s">
        <v>2062</v>
      </c>
      <c r="D5864" s="1" t="s">
        <v>2070</v>
      </c>
    </row>
    <row r="5865">
      <c r="A5865" s="1" t="s">
        <v>12930</v>
      </c>
      <c r="B5865" s="2" t="s">
        <v>11299</v>
      </c>
      <c r="C5865" s="1" t="s">
        <v>2062</v>
      </c>
      <c r="D5865" s="1" t="s">
        <v>2070</v>
      </c>
    </row>
    <row r="5866">
      <c r="A5866" s="1" t="s">
        <v>12931</v>
      </c>
      <c r="B5866" s="2" t="s">
        <v>10356</v>
      </c>
      <c r="C5866" s="1" t="s">
        <v>2062</v>
      </c>
      <c r="D5866" s="1" t="s">
        <v>2070</v>
      </c>
    </row>
    <row r="5867">
      <c r="A5867" s="1" t="s">
        <v>12932</v>
      </c>
      <c r="B5867" s="2" t="s">
        <v>11302</v>
      </c>
      <c r="C5867" s="1" t="s">
        <v>2062</v>
      </c>
      <c r="D5867" s="1" t="s">
        <v>2070</v>
      </c>
    </row>
    <row r="5868">
      <c r="A5868" s="1" t="s">
        <v>12933</v>
      </c>
      <c r="B5868" s="2" t="s">
        <v>11304</v>
      </c>
      <c r="C5868" s="1" t="s">
        <v>2062</v>
      </c>
      <c r="D5868" s="1" t="s">
        <v>2070</v>
      </c>
    </row>
    <row r="5869">
      <c r="A5869" s="1" t="s">
        <v>12934</v>
      </c>
      <c r="B5869" s="2" t="s">
        <v>11306</v>
      </c>
      <c r="C5869" s="1" t="s">
        <v>2062</v>
      </c>
      <c r="D5869" s="1" t="s">
        <v>2070</v>
      </c>
    </row>
    <row r="5870">
      <c r="A5870" s="1" t="s">
        <v>12935</v>
      </c>
      <c r="B5870" s="2" t="s">
        <v>10881</v>
      </c>
      <c r="C5870" s="1" t="s">
        <v>2062</v>
      </c>
      <c r="D5870" s="1" t="s">
        <v>2070</v>
      </c>
    </row>
    <row r="5871">
      <c r="A5871" s="1" t="s">
        <v>12936</v>
      </c>
      <c r="B5871" s="2" t="s">
        <v>11309</v>
      </c>
      <c r="C5871" s="1" t="s">
        <v>2062</v>
      </c>
      <c r="D5871" s="1" t="s">
        <v>2070</v>
      </c>
    </row>
    <row r="5872">
      <c r="A5872" s="1" t="s">
        <v>12937</v>
      </c>
      <c r="B5872" s="2" t="s">
        <v>11311</v>
      </c>
      <c r="C5872" s="1" t="s">
        <v>2062</v>
      </c>
      <c r="D5872" s="1" t="s">
        <v>2070</v>
      </c>
    </row>
    <row r="5873">
      <c r="A5873" s="1" t="s">
        <v>12938</v>
      </c>
      <c r="B5873" s="2" t="s">
        <v>11313</v>
      </c>
      <c r="C5873" s="1" t="s">
        <v>2062</v>
      </c>
      <c r="D5873" s="1" t="s">
        <v>2070</v>
      </c>
    </row>
    <row r="5874">
      <c r="A5874" s="1" t="s">
        <v>12939</v>
      </c>
      <c r="B5874" s="2" t="s">
        <v>10897</v>
      </c>
      <c r="C5874" s="1" t="s">
        <v>2062</v>
      </c>
      <c r="D5874" s="1" t="s">
        <v>2070</v>
      </c>
    </row>
    <row r="5875">
      <c r="A5875" s="1" t="s">
        <v>12940</v>
      </c>
      <c r="B5875" s="2" t="s">
        <v>11316</v>
      </c>
      <c r="C5875" s="1" t="s">
        <v>2062</v>
      </c>
      <c r="D5875" s="1" t="s">
        <v>2070</v>
      </c>
    </row>
    <row r="5876">
      <c r="A5876" s="1" t="s">
        <v>12941</v>
      </c>
      <c r="B5876" s="2" t="s">
        <v>11318</v>
      </c>
      <c r="C5876" s="1" t="s">
        <v>2062</v>
      </c>
      <c r="D5876" s="1" t="s">
        <v>2070</v>
      </c>
    </row>
    <row r="5877">
      <c r="A5877" s="1" t="s">
        <v>12942</v>
      </c>
      <c r="B5877" s="2" t="s">
        <v>11320</v>
      </c>
      <c r="C5877" s="1" t="s">
        <v>2062</v>
      </c>
      <c r="D5877" s="1" t="s">
        <v>2070</v>
      </c>
    </row>
    <row r="5878">
      <c r="A5878" s="1" t="s">
        <v>12943</v>
      </c>
      <c r="B5878" s="2" t="s">
        <v>11047</v>
      </c>
      <c r="C5878" s="1" t="s">
        <v>2062</v>
      </c>
      <c r="D5878" s="1" t="s">
        <v>2070</v>
      </c>
    </row>
    <row r="5879">
      <c r="A5879" s="1" t="s">
        <v>12944</v>
      </c>
      <c r="B5879" s="2" t="s">
        <v>12945</v>
      </c>
      <c r="C5879" s="1" t="s">
        <v>2062</v>
      </c>
      <c r="D5879" s="1" t="s">
        <v>2070</v>
      </c>
    </row>
    <row r="5880">
      <c r="A5880" s="1" t="s">
        <v>12946</v>
      </c>
      <c r="B5880" s="2" t="s">
        <v>12947</v>
      </c>
      <c r="C5880" s="1" t="s">
        <v>2062</v>
      </c>
      <c r="D5880" s="1" t="s">
        <v>2070</v>
      </c>
    </row>
    <row r="5881">
      <c r="A5881" s="1" t="s">
        <v>12948</v>
      </c>
      <c r="B5881" s="2" t="s">
        <v>12949</v>
      </c>
      <c r="C5881" s="1" t="s">
        <v>2062</v>
      </c>
      <c r="D5881" s="1" t="s">
        <v>2070</v>
      </c>
    </row>
    <row r="5882">
      <c r="A5882" s="1" t="s">
        <v>2077</v>
      </c>
      <c r="B5882" s="2" t="s">
        <v>7</v>
      </c>
      <c r="C5882" s="1" t="s">
        <v>2079</v>
      </c>
      <c r="D5882" s="1" t="s">
        <v>2081</v>
      </c>
    </row>
    <row r="5883">
      <c r="A5883" s="1" t="s">
        <v>12950</v>
      </c>
      <c r="B5883" s="2" t="s">
        <v>11329</v>
      </c>
      <c r="C5883" s="1" t="s">
        <v>2079</v>
      </c>
      <c r="D5883" s="1" t="s">
        <v>2081</v>
      </c>
    </row>
    <row r="5884">
      <c r="A5884" s="1" t="s">
        <v>12951</v>
      </c>
      <c r="B5884" s="2" t="s">
        <v>11331</v>
      </c>
      <c r="C5884" s="1" t="s">
        <v>2079</v>
      </c>
      <c r="D5884" s="1" t="s">
        <v>2081</v>
      </c>
    </row>
    <row r="5885">
      <c r="A5885" s="1" t="s">
        <v>12952</v>
      </c>
      <c r="B5885" s="2" t="s">
        <v>11333</v>
      </c>
      <c r="C5885" s="1" t="s">
        <v>2079</v>
      </c>
      <c r="D5885" s="1" t="s">
        <v>2081</v>
      </c>
    </row>
    <row r="5886">
      <c r="A5886" s="1" t="s">
        <v>12953</v>
      </c>
      <c r="B5886" s="2" t="s">
        <v>11335</v>
      </c>
      <c r="C5886" s="1" t="s">
        <v>2079</v>
      </c>
      <c r="D5886" s="1" t="s">
        <v>2081</v>
      </c>
    </row>
    <row r="5887">
      <c r="A5887" s="1" t="s">
        <v>12954</v>
      </c>
      <c r="B5887" s="2" t="s">
        <v>11337</v>
      </c>
      <c r="C5887" s="1" t="s">
        <v>2079</v>
      </c>
      <c r="D5887" s="1" t="s">
        <v>2081</v>
      </c>
    </row>
    <row r="5888">
      <c r="A5888" s="1" t="s">
        <v>12955</v>
      </c>
      <c r="B5888" s="2" t="s">
        <v>11339</v>
      </c>
      <c r="C5888" s="1" t="s">
        <v>2079</v>
      </c>
      <c r="D5888" s="1" t="s">
        <v>2081</v>
      </c>
    </row>
    <row r="5889">
      <c r="A5889" s="1" t="s">
        <v>12956</v>
      </c>
      <c r="B5889" s="2" t="s">
        <v>10834</v>
      </c>
      <c r="C5889" s="1" t="s">
        <v>2079</v>
      </c>
      <c r="D5889" s="1" t="s">
        <v>2081</v>
      </c>
    </row>
    <row r="5890">
      <c r="A5890" s="1" t="s">
        <v>12957</v>
      </c>
      <c r="B5890" s="2" t="s">
        <v>11342</v>
      </c>
      <c r="C5890" s="1" t="s">
        <v>2079</v>
      </c>
      <c r="D5890" s="1" t="s">
        <v>2081</v>
      </c>
    </row>
    <row r="5891">
      <c r="A5891" s="1" t="s">
        <v>12958</v>
      </c>
      <c r="B5891" s="2" t="s">
        <v>11344</v>
      </c>
      <c r="C5891" s="1" t="s">
        <v>2079</v>
      </c>
      <c r="D5891" s="1" t="s">
        <v>2081</v>
      </c>
    </row>
    <row r="5892">
      <c r="A5892" s="1" t="s">
        <v>12959</v>
      </c>
      <c r="B5892" s="2" t="s">
        <v>11346</v>
      </c>
      <c r="C5892" s="1" t="s">
        <v>2079</v>
      </c>
      <c r="D5892" s="1" t="s">
        <v>2081</v>
      </c>
    </row>
    <row r="5893">
      <c r="A5893" s="1" t="s">
        <v>12960</v>
      </c>
      <c r="B5893" s="2" t="s">
        <v>11348</v>
      </c>
      <c r="C5893" s="1" t="s">
        <v>2079</v>
      </c>
      <c r="D5893" s="1" t="s">
        <v>2081</v>
      </c>
    </row>
    <row r="5894">
      <c r="A5894" s="1" t="s">
        <v>12961</v>
      </c>
      <c r="B5894" s="2" t="s">
        <v>11350</v>
      </c>
      <c r="C5894" s="1" t="s">
        <v>2079</v>
      </c>
      <c r="D5894" s="1" t="s">
        <v>2081</v>
      </c>
    </row>
    <row r="5895">
      <c r="A5895" s="1" t="s">
        <v>12962</v>
      </c>
      <c r="B5895" s="2" t="s">
        <v>11352</v>
      </c>
      <c r="C5895" s="1" t="s">
        <v>2079</v>
      </c>
      <c r="D5895" s="1" t="s">
        <v>2081</v>
      </c>
    </row>
    <row r="5896">
      <c r="A5896" s="1" t="s">
        <v>12963</v>
      </c>
      <c r="B5896" s="2" t="s">
        <v>10850</v>
      </c>
      <c r="C5896" s="1" t="s">
        <v>2079</v>
      </c>
      <c r="D5896" s="1" t="s">
        <v>2081</v>
      </c>
    </row>
    <row r="5897">
      <c r="A5897" s="1" t="s">
        <v>12964</v>
      </c>
      <c r="B5897" s="2" t="s">
        <v>11355</v>
      </c>
      <c r="C5897" s="1" t="s">
        <v>2079</v>
      </c>
      <c r="D5897" s="1" t="s">
        <v>2081</v>
      </c>
    </row>
    <row r="5898">
      <c r="A5898" s="1" t="s">
        <v>12965</v>
      </c>
      <c r="B5898" s="2" t="s">
        <v>11357</v>
      </c>
      <c r="C5898" s="1" t="s">
        <v>2079</v>
      </c>
      <c r="D5898" s="1" t="s">
        <v>2081</v>
      </c>
    </row>
    <row r="5899">
      <c r="A5899" s="1" t="s">
        <v>12966</v>
      </c>
      <c r="B5899" s="2" t="s">
        <v>11359</v>
      </c>
      <c r="C5899" s="1" t="s">
        <v>2079</v>
      </c>
      <c r="D5899" s="1" t="s">
        <v>2081</v>
      </c>
    </row>
    <row r="5900">
      <c r="A5900" s="1" t="s">
        <v>12967</v>
      </c>
      <c r="B5900" s="2" t="s">
        <v>11361</v>
      </c>
      <c r="C5900" s="1" t="s">
        <v>2079</v>
      </c>
      <c r="D5900" s="1" t="s">
        <v>2081</v>
      </c>
    </row>
    <row r="5901">
      <c r="A5901" s="1" t="s">
        <v>12968</v>
      </c>
      <c r="B5901" s="2" t="s">
        <v>11363</v>
      </c>
      <c r="C5901" s="1" t="s">
        <v>2079</v>
      </c>
      <c r="D5901" s="1" t="s">
        <v>2081</v>
      </c>
    </row>
    <row r="5902">
      <c r="A5902" s="1" t="s">
        <v>12969</v>
      </c>
      <c r="B5902" s="2" t="s">
        <v>11365</v>
      </c>
      <c r="C5902" s="1" t="s">
        <v>2079</v>
      </c>
      <c r="D5902" s="1" t="s">
        <v>2081</v>
      </c>
    </row>
    <row r="5903">
      <c r="A5903" s="1" t="s">
        <v>12970</v>
      </c>
      <c r="B5903" s="2" t="s">
        <v>10356</v>
      </c>
      <c r="C5903" s="1" t="s">
        <v>2079</v>
      </c>
      <c r="D5903" s="1" t="s">
        <v>2081</v>
      </c>
    </row>
    <row r="5904">
      <c r="A5904" s="1" t="s">
        <v>12971</v>
      </c>
      <c r="B5904" s="2" t="s">
        <v>11368</v>
      </c>
      <c r="C5904" s="1" t="s">
        <v>2079</v>
      </c>
      <c r="D5904" s="1" t="s">
        <v>2081</v>
      </c>
    </row>
    <row r="5905">
      <c r="A5905" s="1" t="s">
        <v>12972</v>
      </c>
      <c r="B5905" s="2" t="s">
        <v>11370</v>
      </c>
      <c r="C5905" s="1" t="s">
        <v>2079</v>
      </c>
      <c r="D5905" s="1" t="s">
        <v>2081</v>
      </c>
    </row>
    <row r="5906">
      <c r="A5906" s="1" t="s">
        <v>12973</v>
      </c>
      <c r="B5906" s="2" t="s">
        <v>11372</v>
      </c>
      <c r="C5906" s="1" t="s">
        <v>2079</v>
      </c>
      <c r="D5906" s="1" t="s">
        <v>2081</v>
      </c>
    </row>
    <row r="5907">
      <c r="A5907" s="1" t="s">
        <v>12974</v>
      </c>
      <c r="B5907" s="2" t="s">
        <v>11374</v>
      </c>
      <c r="C5907" s="1" t="s">
        <v>2079</v>
      </c>
      <c r="D5907" s="1" t="s">
        <v>2081</v>
      </c>
    </row>
    <row r="5908">
      <c r="A5908" s="1" t="s">
        <v>12975</v>
      </c>
      <c r="B5908" s="2" t="s">
        <v>11376</v>
      </c>
      <c r="C5908" s="1" t="s">
        <v>2079</v>
      </c>
      <c r="D5908" s="1" t="s">
        <v>2081</v>
      </c>
    </row>
    <row r="5909">
      <c r="A5909" s="1" t="s">
        <v>12976</v>
      </c>
      <c r="B5909" s="2" t="s">
        <v>11378</v>
      </c>
      <c r="C5909" s="1" t="s">
        <v>2079</v>
      </c>
      <c r="D5909" s="1" t="s">
        <v>2081</v>
      </c>
    </row>
    <row r="5910">
      <c r="A5910" s="1" t="s">
        <v>12977</v>
      </c>
      <c r="B5910" s="2" t="s">
        <v>10881</v>
      </c>
      <c r="C5910" s="1" t="s">
        <v>2079</v>
      </c>
      <c r="D5910" s="1" t="s">
        <v>2081</v>
      </c>
    </row>
    <row r="5911">
      <c r="A5911" s="1" t="s">
        <v>12978</v>
      </c>
      <c r="B5911" s="2" t="s">
        <v>11381</v>
      </c>
      <c r="C5911" s="1" t="s">
        <v>2079</v>
      </c>
      <c r="D5911" s="1" t="s">
        <v>2081</v>
      </c>
    </row>
    <row r="5912">
      <c r="A5912" s="1" t="s">
        <v>12979</v>
      </c>
      <c r="B5912" s="2" t="s">
        <v>11383</v>
      </c>
      <c r="C5912" s="1" t="s">
        <v>2079</v>
      </c>
      <c r="D5912" s="1" t="s">
        <v>2081</v>
      </c>
    </row>
    <row r="5913">
      <c r="A5913" s="1" t="s">
        <v>12980</v>
      </c>
      <c r="B5913" s="2" t="s">
        <v>11385</v>
      </c>
      <c r="C5913" s="1" t="s">
        <v>2079</v>
      </c>
      <c r="D5913" s="1" t="s">
        <v>2081</v>
      </c>
    </row>
    <row r="5914">
      <c r="A5914" s="1" t="s">
        <v>12981</v>
      </c>
      <c r="B5914" s="2" t="s">
        <v>11387</v>
      </c>
      <c r="C5914" s="1" t="s">
        <v>2079</v>
      </c>
      <c r="D5914" s="1" t="s">
        <v>2081</v>
      </c>
    </row>
    <row r="5915">
      <c r="A5915" s="1" t="s">
        <v>12982</v>
      </c>
      <c r="B5915" s="2" t="s">
        <v>11389</v>
      </c>
      <c r="C5915" s="1" t="s">
        <v>2079</v>
      </c>
      <c r="D5915" s="1" t="s">
        <v>2081</v>
      </c>
    </row>
    <row r="5916">
      <c r="A5916" s="1" t="s">
        <v>12983</v>
      </c>
      <c r="B5916" s="2" t="s">
        <v>11391</v>
      </c>
      <c r="C5916" s="1" t="s">
        <v>2079</v>
      </c>
      <c r="D5916" s="1" t="s">
        <v>2081</v>
      </c>
    </row>
    <row r="5917">
      <c r="A5917" s="1" t="s">
        <v>12984</v>
      </c>
      <c r="B5917" s="2" t="s">
        <v>10897</v>
      </c>
      <c r="C5917" s="1" t="s">
        <v>2079</v>
      </c>
      <c r="D5917" s="1" t="s">
        <v>2081</v>
      </c>
    </row>
    <row r="5918">
      <c r="A5918" s="1" t="s">
        <v>12985</v>
      </c>
      <c r="B5918" s="2" t="s">
        <v>11394</v>
      </c>
      <c r="C5918" s="1" t="s">
        <v>2079</v>
      </c>
      <c r="D5918" s="1" t="s">
        <v>2081</v>
      </c>
    </row>
    <row r="5919">
      <c r="A5919" s="1" t="s">
        <v>12986</v>
      </c>
      <c r="B5919" s="2" t="s">
        <v>11396</v>
      </c>
      <c r="C5919" s="1" t="s">
        <v>2079</v>
      </c>
      <c r="D5919" s="1" t="s">
        <v>2081</v>
      </c>
    </row>
    <row r="5920">
      <c r="A5920" s="1" t="s">
        <v>12987</v>
      </c>
      <c r="B5920" s="2" t="s">
        <v>11398</v>
      </c>
      <c r="C5920" s="1" t="s">
        <v>2079</v>
      </c>
      <c r="D5920" s="1" t="s">
        <v>2081</v>
      </c>
    </row>
    <row r="5921">
      <c r="A5921" s="1" t="s">
        <v>12988</v>
      </c>
      <c r="B5921" s="2" t="s">
        <v>11400</v>
      </c>
      <c r="C5921" s="1" t="s">
        <v>2079</v>
      </c>
      <c r="D5921" s="1" t="s">
        <v>2081</v>
      </c>
    </row>
    <row r="5922">
      <c r="A5922" s="1" t="s">
        <v>12989</v>
      </c>
      <c r="B5922" s="2" t="s">
        <v>11402</v>
      </c>
      <c r="C5922" s="1" t="s">
        <v>2079</v>
      </c>
      <c r="D5922" s="1" t="s">
        <v>2081</v>
      </c>
    </row>
    <row r="5923">
      <c r="A5923" s="1" t="s">
        <v>12990</v>
      </c>
      <c r="B5923" s="2" t="s">
        <v>11404</v>
      </c>
      <c r="C5923" s="1" t="s">
        <v>2079</v>
      </c>
      <c r="D5923" s="1" t="s">
        <v>2081</v>
      </c>
    </row>
    <row r="5924">
      <c r="A5924" s="1" t="s">
        <v>12991</v>
      </c>
      <c r="B5924" s="2" t="s">
        <v>11047</v>
      </c>
      <c r="C5924" s="1" t="s">
        <v>2079</v>
      </c>
      <c r="D5924" s="1" t="s">
        <v>2081</v>
      </c>
    </row>
    <row r="5925">
      <c r="A5925" s="1" t="s">
        <v>12992</v>
      </c>
      <c r="B5925" s="2" t="s">
        <v>11407</v>
      </c>
      <c r="C5925" s="1" t="s">
        <v>2079</v>
      </c>
      <c r="D5925" s="1" t="s">
        <v>2081</v>
      </c>
    </row>
    <row r="5926">
      <c r="A5926" s="1" t="s">
        <v>12993</v>
      </c>
      <c r="B5926" s="2" t="s">
        <v>11409</v>
      </c>
      <c r="C5926" s="1" t="s">
        <v>2079</v>
      </c>
      <c r="D5926" s="1" t="s">
        <v>2081</v>
      </c>
    </row>
    <row r="5927">
      <c r="A5927" s="1" t="s">
        <v>12994</v>
      </c>
      <c r="B5927" s="2" t="s">
        <v>11411</v>
      </c>
      <c r="C5927" s="1" t="s">
        <v>2079</v>
      </c>
      <c r="D5927" s="1" t="s">
        <v>2081</v>
      </c>
    </row>
    <row r="5928">
      <c r="A5928" s="1" t="s">
        <v>12995</v>
      </c>
      <c r="B5928" s="2" t="s">
        <v>11413</v>
      </c>
      <c r="C5928" s="1" t="s">
        <v>2079</v>
      </c>
      <c r="D5928" s="1" t="s">
        <v>2081</v>
      </c>
    </row>
    <row r="5929">
      <c r="A5929" s="1" t="s">
        <v>12996</v>
      </c>
      <c r="B5929" s="2" t="s">
        <v>11415</v>
      </c>
      <c r="C5929" s="1" t="s">
        <v>2079</v>
      </c>
      <c r="D5929" s="1" t="s">
        <v>2081</v>
      </c>
    </row>
    <row r="5930">
      <c r="A5930" s="1" t="s">
        <v>12997</v>
      </c>
      <c r="B5930" s="2" t="s">
        <v>11417</v>
      </c>
      <c r="C5930" s="1" t="s">
        <v>2079</v>
      </c>
      <c r="D5930" s="1" t="s">
        <v>2081</v>
      </c>
    </row>
    <row r="5931">
      <c r="A5931" s="1" t="s">
        <v>2086</v>
      </c>
      <c r="B5931" s="2" t="s">
        <v>7</v>
      </c>
      <c r="C5931" s="1" t="s">
        <v>2088</v>
      </c>
      <c r="D5931" s="1" t="s">
        <v>2090</v>
      </c>
    </row>
    <row r="5932">
      <c r="A5932" s="1" t="s">
        <v>12998</v>
      </c>
      <c r="B5932" s="2" t="s">
        <v>11419</v>
      </c>
      <c r="C5932" s="1" t="s">
        <v>2088</v>
      </c>
      <c r="D5932" s="1" t="s">
        <v>2090</v>
      </c>
    </row>
    <row r="5933">
      <c r="A5933" s="1" t="s">
        <v>12999</v>
      </c>
      <c r="B5933" s="2" t="s">
        <v>11421</v>
      </c>
      <c r="C5933" s="1" t="s">
        <v>2088</v>
      </c>
      <c r="D5933" s="1" t="s">
        <v>2090</v>
      </c>
    </row>
    <row r="5934">
      <c r="A5934" s="1" t="s">
        <v>13000</v>
      </c>
      <c r="B5934" s="2" t="s">
        <v>11423</v>
      </c>
      <c r="C5934" s="1" t="s">
        <v>2088</v>
      </c>
      <c r="D5934" s="1" t="s">
        <v>2090</v>
      </c>
    </row>
    <row r="5935">
      <c r="A5935" s="1" t="s">
        <v>13001</v>
      </c>
      <c r="B5935" s="2" t="s">
        <v>11425</v>
      </c>
      <c r="C5935" s="1" t="s">
        <v>2088</v>
      </c>
      <c r="D5935" s="1" t="s">
        <v>2090</v>
      </c>
    </row>
    <row r="5936">
      <c r="A5936" s="1" t="s">
        <v>13002</v>
      </c>
      <c r="B5936" s="2" t="s">
        <v>11427</v>
      </c>
      <c r="C5936" s="1" t="s">
        <v>2088</v>
      </c>
      <c r="D5936" s="1" t="s">
        <v>2090</v>
      </c>
    </row>
    <row r="5937">
      <c r="A5937" s="1" t="s">
        <v>13003</v>
      </c>
      <c r="B5937" s="2" t="s">
        <v>11429</v>
      </c>
      <c r="C5937" s="1" t="s">
        <v>2088</v>
      </c>
      <c r="D5937" s="1" t="s">
        <v>2090</v>
      </c>
    </row>
    <row r="5938">
      <c r="A5938" s="1" t="s">
        <v>13004</v>
      </c>
      <c r="B5938" s="2" t="s">
        <v>11431</v>
      </c>
      <c r="C5938" s="1" t="s">
        <v>2088</v>
      </c>
      <c r="D5938" s="1" t="s">
        <v>2090</v>
      </c>
    </row>
    <row r="5939">
      <c r="A5939" s="1" t="s">
        <v>13005</v>
      </c>
      <c r="B5939" s="2" t="s">
        <v>11433</v>
      </c>
      <c r="C5939" s="1" t="s">
        <v>2088</v>
      </c>
      <c r="D5939" s="1" t="s">
        <v>2090</v>
      </c>
    </row>
    <row r="5940">
      <c r="A5940" s="1" t="s">
        <v>13006</v>
      </c>
      <c r="B5940" s="2" t="s">
        <v>11435</v>
      </c>
      <c r="C5940" s="1" t="s">
        <v>2088</v>
      </c>
      <c r="D5940" s="1" t="s">
        <v>2090</v>
      </c>
    </row>
    <row r="5941">
      <c r="A5941" s="1" t="s">
        <v>13007</v>
      </c>
      <c r="B5941" s="2" t="s">
        <v>11437</v>
      </c>
      <c r="C5941" s="1" t="s">
        <v>2088</v>
      </c>
      <c r="D5941" s="1" t="s">
        <v>2090</v>
      </c>
    </row>
    <row r="5942">
      <c r="A5942" s="1" t="s">
        <v>13008</v>
      </c>
      <c r="B5942" s="2" t="s">
        <v>11439</v>
      </c>
      <c r="C5942" s="1" t="s">
        <v>2088</v>
      </c>
      <c r="D5942" s="1" t="s">
        <v>2090</v>
      </c>
    </row>
    <row r="5943">
      <c r="A5943" s="1" t="s">
        <v>13009</v>
      </c>
      <c r="B5943" s="2" t="s">
        <v>11441</v>
      </c>
      <c r="C5943" s="1" t="s">
        <v>2088</v>
      </c>
      <c r="D5943" s="1" t="s">
        <v>2090</v>
      </c>
    </row>
    <row r="5944">
      <c r="A5944" s="1" t="s">
        <v>13010</v>
      </c>
      <c r="B5944" s="2" t="s">
        <v>11443</v>
      </c>
      <c r="C5944" s="1" t="s">
        <v>2088</v>
      </c>
      <c r="D5944" s="1" t="s">
        <v>2090</v>
      </c>
    </row>
    <row r="5945">
      <c r="A5945" s="1" t="s">
        <v>13011</v>
      </c>
      <c r="B5945" s="2" t="s">
        <v>11445</v>
      </c>
      <c r="C5945" s="1" t="s">
        <v>2088</v>
      </c>
      <c r="D5945" s="1" t="s">
        <v>2090</v>
      </c>
    </row>
    <row r="5946">
      <c r="A5946" s="1" t="s">
        <v>13012</v>
      </c>
      <c r="B5946" s="2" t="s">
        <v>10834</v>
      </c>
      <c r="C5946" s="1" t="s">
        <v>2088</v>
      </c>
      <c r="D5946" s="1" t="s">
        <v>2090</v>
      </c>
    </row>
    <row r="5947">
      <c r="A5947" s="1" t="s">
        <v>13013</v>
      </c>
      <c r="B5947" s="2" t="s">
        <v>11448</v>
      </c>
      <c r="C5947" s="1" t="s">
        <v>2088</v>
      </c>
      <c r="D5947" s="1" t="s">
        <v>2090</v>
      </c>
    </row>
    <row r="5948">
      <c r="A5948" s="1" t="s">
        <v>13014</v>
      </c>
      <c r="B5948" s="2" t="s">
        <v>11450</v>
      </c>
      <c r="C5948" s="1" t="s">
        <v>2088</v>
      </c>
      <c r="D5948" s="1" t="s">
        <v>2090</v>
      </c>
    </row>
    <row r="5949">
      <c r="A5949" s="1" t="s">
        <v>13015</v>
      </c>
      <c r="B5949" s="2" t="s">
        <v>11452</v>
      </c>
      <c r="C5949" s="1" t="s">
        <v>2088</v>
      </c>
      <c r="D5949" s="1" t="s">
        <v>2090</v>
      </c>
    </row>
    <row r="5950">
      <c r="A5950" s="1" t="s">
        <v>13016</v>
      </c>
      <c r="B5950" s="2" t="s">
        <v>11454</v>
      </c>
      <c r="C5950" s="1" t="s">
        <v>2088</v>
      </c>
      <c r="D5950" s="1" t="s">
        <v>2090</v>
      </c>
    </row>
    <row r="5951">
      <c r="A5951" s="1" t="s">
        <v>13017</v>
      </c>
      <c r="B5951" s="2" t="s">
        <v>11456</v>
      </c>
      <c r="C5951" s="1" t="s">
        <v>2088</v>
      </c>
      <c r="D5951" s="1" t="s">
        <v>2090</v>
      </c>
    </row>
    <row r="5952">
      <c r="A5952" s="1" t="s">
        <v>13018</v>
      </c>
      <c r="B5952" s="2" t="s">
        <v>11458</v>
      </c>
      <c r="C5952" s="1" t="s">
        <v>2088</v>
      </c>
      <c r="D5952" s="1" t="s">
        <v>2090</v>
      </c>
    </row>
    <row r="5953">
      <c r="A5953" s="1" t="s">
        <v>13019</v>
      </c>
      <c r="B5953" s="2" t="s">
        <v>11460</v>
      </c>
      <c r="C5953" s="1" t="s">
        <v>2088</v>
      </c>
      <c r="D5953" s="1" t="s">
        <v>2090</v>
      </c>
    </row>
    <row r="5954">
      <c r="A5954" s="1" t="s">
        <v>13020</v>
      </c>
      <c r="B5954" s="2" t="s">
        <v>11462</v>
      </c>
      <c r="C5954" s="1" t="s">
        <v>2088</v>
      </c>
      <c r="D5954" s="1" t="s">
        <v>2090</v>
      </c>
    </row>
    <row r="5955">
      <c r="A5955" s="1" t="s">
        <v>13021</v>
      </c>
      <c r="B5955" s="2" t="s">
        <v>11464</v>
      </c>
      <c r="C5955" s="1" t="s">
        <v>2088</v>
      </c>
      <c r="D5955" s="1" t="s">
        <v>2090</v>
      </c>
    </row>
    <row r="5956">
      <c r="A5956" s="1" t="s">
        <v>13022</v>
      </c>
      <c r="B5956" s="2" t="s">
        <v>11466</v>
      </c>
      <c r="C5956" s="1" t="s">
        <v>2088</v>
      </c>
      <c r="D5956" s="1" t="s">
        <v>2090</v>
      </c>
    </row>
    <row r="5957">
      <c r="A5957" s="1" t="s">
        <v>13023</v>
      </c>
      <c r="B5957" s="2" t="s">
        <v>11468</v>
      </c>
      <c r="C5957" s="1" t="s">
        <v>2088</v>
      </c>
      <c r="D5957" s="1" t="s">
        <v>2090</v>
      </c>
    </row>
    <row r="5958">
      <c r="A5958" s="1" t="s">
        <v>13024</v>
      </c>
      <c r="B5958" s="2" t="s">
        <v>11470</v>
      </c>
      <c r="C5958" s="1" t="s">
        <v>2088</v>
      </c>
      <c r="D5958" s="1" t="s">
        <v>2090</v>
      </c>
    </row>
    <row r="5959">
      <c r="A5959" s="1" t="s">
        <v>13025</v>
      </c>
      <c r="B5959" s="2" t="s">
        <v>11472</v>
      </c>
      <c r="C5959" s="1" t="s">
        <v>2088</v>
      </c>
      <c r="D5959" s="1" t="s">
        <v>2090</v>
      </c>
    </row>
    <row r="5960">
      <c r="A5960" s="1" t="s">
        <v>13026</v>
      </c>
      <c r="B5960" s="2" t="s">
        <v>11474</v>
      </c>
      <c r="C5960" s="1" t="s">
        <v>2088</v>
      </c>
      <c r="D5960" s="1" t="s">
        <v>2090</v>
      </c>
    </row>
    <row r="5961">
      <c r="A5961" s="1" t="s">
        <v>13027</v>
      </c>
      <c r="B5961" s="2" t="s">
        <v>10850</v>
      </c>
      <c r="C5961" s="1" t="s">
        <v>2088</v>
      </c>
      <c r="D5961" s="1" t="s">
        <v>2090</v>
      </c>
    </row>
    <row r="5962">
      <c r="A5962" s="1" t="s">
        <v>13028</v>
      </c>
      <c r="B5962" s="2" t="s">
        <v>11477</v>
      </c>
      <c r="C5962" s="1" t="s">
        <v>2088</v>
      </c>
      <c r="D5962" s="1" t="s">
        <v>2090</v>
      </c>
    </row>
    <row r="5963">
      <c r="A5963" s="1" t="s">
        <v>13029</v>
      </c>
      <c r="B5963" s="2" t="s">
        <v>11479</v>
      </c>
      <c r="C5963" s="1" t="s">
        <v>2088</v>
      </c>
      <c r="D5963" s="1" t="s">
        <v>2090</v>
      </c>
    </row>
    <row r="5964">
      <c r="A5964" s="1" t="s">
        <v>13030</v>
      </c>
      <c r="B5964" s="2" t="s">
        <v>11481</v>
      </c>
      <c r="C5964" s="1" t="s">
        <v>2088</v>
      </c>
      <c r="D5964" s="1" t="s">
        <v>2090</v>
      </c>
    </row>
    <row r="5965">
      <c r="A5965" s="1" t="s">
        <v>13031</v>
      </c>
      <c r="B5965" s="2" t="s">
        <v>11483</v>
      </c>
      <c r="C5965" s="1" t="s">
        <v>2088</v>
      </c>
      <c r="D5965" s="1" t="s">
        <v>2090</v>
      </c>
    </row>
    <row r="5966">
      <c r="A5966" s="1" t="s">
        <v>13032</v>
      </c>
      <c r="B5966" s="2" t="s">
        <v>11485</v>
      </c>
      <c r="C5966" s="1" t="s">
        <v>2088</v>
      </c>
      <c r="D5966" s="1" t="s">
        <v>2090</v>
      </c>
    </row>
    <row r="5967">
      <c r="A5967" s="1" t="s">
        <v>13033</v>
      </c>
      <c r="B5967" s="2" t="s">
        <v>11487</v>
      </c>
      <c r="C5967" s="1" t="s">
        <v>2088</v>
      </c>
      <c r="D5967" s="1" t="s">
        <v>2090</v>
      </c>
    </row>
    <row r="5968">
      <c r="A5968" s="1" t="s">
        <v>13034</v>
      </c>
      <c r="B5968" s="2" t="s">
        <v>11489</v>
      </c>
      <c r="C5968" s="1" t="s">
        <v>2088</v>
      </c>
      <c r="D5968" s="1" t="s">
        <v>2090</v>
      </c>
    </row>
    <row r="5969">
      <c r="A5969" s="1" t="s">
        <v>13035</v>
      </c>
      <c r="B5969" s="2" t="s">
        <v>11491</v>
      </c>
      <c r="C5969" s="1" t="s">
        <v>2088</v>
      </c>
      <c r="D5969" s="1" t="s">
        <v>2090</v>
      </c>
    </row>
    <row r="5970">
      <c r="A5970" s="1" t="s">
        <v>13036</v>
      </c>
      <c r="B5970" s="2" t="s">
        <v>11493</v>
      </c>
      <c r="C5970" s="1" t="s">
        <v>2088</v>
      </c>
      <c r="D5970" s="1" t="s">
        <v>2090</v>
      </c>
    </row>
    <row r="5971">
      <c r="A5971" s="1" t="s">
        <v>13037</v>
      </c>
      <c r="B5971" s="2" t="s">
        <v>11495</v>
      </c>
      <c r="C5971" s="1" t="s">
        <v>2088</v>
      </c>
      <c r="D5971" s="1" t="s">
        <v>2090</v>
      </c>
    </row>
    <row r="5972">
      <c r="A5972" s="1" t="s">
        <v>13038</v>
      </c>
      <c r="B5972" s="2" t="s">
        <v>11497</v>
      </c>
      <c r="C5972" s="1" t="s">
        <v>2088</v>
      </c>
      <c r="D5972" s="1" t="s">
        <v>2090</v>
      </c>
    </row>
    <row r="5973">
      <c r="A5973" s="1" t="s">
        <v>13039</v>
      </c>
      <c r="B5973" s="2" t="s">
        <v>11499</v>
      </c>
      <c r="C5973" s="1" t="s">
        <v>2088</v>
      </c>
      <c r="D5973" s="1" t="s">
        <v>2090</v>
      </c>
    </row>
    <row r="5974">
      <c r="A5974" s="1" t="s">
        <v>13040</v>
      </c>
      <c r="B5974" s="2" t="s">
        <v>11501</v>
      </c>
      <c r="C5974" s="1" t="s">
        <v>2088</v>
      </c>
      <c r="D5974" s="1" t="s">
        <v>2090</v>
      </c>
    </row>
    <row r="5975">
      <c r="A5975" s="1" t="s">
        <v>13041</v>
      </c>
      <c r="B5975" s="2" t="s">
        <v>11503</v>
      </c>
      <c r="C5975" s="1" t="s">
        <v>2088</v>
      </c>
      <c r="D5975" s="1" t="s">
        <v>2090</v>
      </c>
    </row>
    <row r="5976">
      <c r="A5976" s="1" t="s">
        <v>13042</v>
      </c>
      <c r="B5976" s="2" t="s">
        <v>10356</v>
      </c>
      <c r="C5976" s="1" t="s">
        <v>2088</v>
      </c>
      <c r="D5976" s="1" t="s">
        <v>2090</v>
      </c>
    </row>
    <row r="5977">
      <c r="A5977" s="1" t="s">
        <v>13043</v>
      </c>
      <c r="B5977" s="2" t="s">
        <v>11506</v>
      </c>
      <c r="C5977" s="1" t="s">
        <v>2088</v>
      </c>
      <c r="D5977" s="1" t="s">
        <v>2090</v>
      </c>
    </row>
    <row r="5978">
      <c r="A5978" s="1" t="s">
        <v>13044</v>
      </c>
      <c r="B5978" s="2" t="s">
        <v>11508</v>
      </c>
      <c r="C5978" s="1" t="s">
        <v>2088</v>
      </c>
      <c r="D5978" s="1" t="s">
        <v>2090</v>
      </c>
    </row>
    <row r="5979">
      <c r="A5979" s="1" t="s">
        <v>13045</v>
      </c>
      <c r="B5979" s="2" t="s">
        <v>11510</v>
      </c>
      <c r="C5979" s="1" t="s">
        <v>2088</v>
      </c>
      <c r="D5979" s="1" t="s">
        <v>2090</v>
      </c>
    </row>
    <row r="5980">
      <c r="A5980" s="1" t="s">
        <v>13046</v>
      </c>
      <c r="B5980" s="2" t="s">
        <v>11512</v>
      </c>
      <c r="C5980" s="1" t="s">
        <v>2088</v>
      </c>
      <c r="D5980" s="1" t="s">
        <v>2090</v>
      </c>
    </row>
    <row r="5981">
      <c r="A5981" s="1" t="s">
        <v>13047</v>
      </c>
      <c r="B5981" s="2" t="s">
        <v>11514</v>
      </c>
      <c r="C5981" s="1" t="s">
        <v>2088</v>
      </c>
      <c r="D5981" s="1" t="s">
        <v>2090</v>
      </c>
    </row>
    <row r="5982">
      <c r="A5982" s="1" t="s">
        <v>13048</v>
      </c>
      <c r="B5982" s="2" t="s">
        <v>11516</v>
      </c>
      <c r="C5982" s="1" t="s">
        <v>2088</v>
      </c>
      <c r="D5982" s="1" t="s">
        <v>2090</v>
      </c>
    </row>
    <row r="5983">
      <c r="A5983" s="1" t="s">
        <v>13049</v>
      </c>
      <c r="B5983" s="2" t="s">
        <v>11518</v>
      </c>
      <c r="C5983" s="1" t="s">
        <v>2088</v>
      </c>
      <c r="D5983" s="1" t="s">
        <v>2090</v>
      </c>
    </row>
    <row r="5984">
      <c r="A5984" s="1" t="s">
        <v>13050</v>
      </c>
      <c r="B5984" s="2" t="s">
        <v>11520</v>
      </c>
      <c r="C5984" s="1" t="s">
        <v>2088</v>
      </c>
      <c r="D5984" s="1" t="s">
        <v>2090</v>
      </c>
    </row>
    <row r="5985">
      <c r="A5985" s="1" t="s">
        <v>13051</v>
      </c>
      <c r="B5985" s="2" t="s">
        <v>11522</v>
      </c>
      <c r="C5985" s="1" t="s">
        <v>2088</v>
      </c>
      <c r="D5985" s="1" t="s">
        <v>2090</v>
      </c>
    </row>
    <row r="5986">
      <c r="A5986" s="1" t="s">
        <v>13052</v>
      </c>
      <c r="B5986" s="2" t="s">
        <v>11524</v>
      </c>
      <c r="C5986" s="1" t="s">
        <v>2088</v>
      </c>
      <c r="D5986" s="1" t="s">
        <v>2090</v>
      </c>
    </row>
    <row r="5987">
      <c r="A5987" s="1" t="s">
        <v>13053</v>
      </c>
      <c r="B5987" s="2" t="s">
        <v>11526</v>
      </c>
      <c r="C5987" s="1" t="s">
        <v>2088</v>
      </c>
      <c r="D5987" s="1" t="s">
        <v>2090</v>
      </c>
    </row>
    <row r="5988">
      <c r="A5988" s="1" t="s">
        <v>13054</v>
      </c>
      <c r="B5988" s="2" t="s">
        <v>11528</v>
      </c>
      <c r="C5988" s="1" t="s">
        <v>2088</v>
      </c>
      <c r="D5988" s="1" t="s">
        <v>2090</v>
      </c>
    </row>
    <row r="5989">
      <c r="A5989" s="1" t="s">
        <v>13055</v>
      </c>
      <c r="B5989" s="2" t="s">
        <v>11530</v>
      </c>
      <c r="C5989" s="1" t="s">
        <v>2088</v>
      </c>
      <c r="D5989" s="1" t="s">
        <v>2090</v>
      </c>
    </row>
    <row r="5990">
      <c r="A5990" s="1" t="s">
        <v>13056</v>
      </c>
      <c r="B5990" s="2" t="s">
        <v>11532</v>
      </c>
      <c r="C5990" s="1" t="s">
        <v>2088</v>
      </c>
      <c r="D5990" s="1" t="s">
        <v>2090</v>
      </c>
    </row>
    <row r="5991">
      <c r="A5991" s="1" t="s">
        <v>13057</v>
      </c>
      <c r="B5991" s="2" t="s">
        <v>10881</v>
      </c>
      <c r="C5991" s="1" t="s">
        <v>2088</v>
      </c>
      <c r="D5991" s="1" t="s">
        <v>2090</v>
      </c>
    </row>
    <row r="5992">
      <c r="A5992" s="1" t="s">
        <v>13058</v>
      </c>
      <c r="B5992" s="2" t="s">
        <v>11535</v>
      </c>
      <c r="C5992" s="1" t="s">
        <v>2088</v>
      </c>
      <c r="D5992" s="1" t="s">
        <v>2090</v>
      </c>
    </row>
    <row r="5993">
      <c r="A5993" s="1" t="s">
        <v>13059</v>
      </c>
      <c r="B5993" s="2" t="s">
        <v>11537</v>
      </c>
      <c r="C5993" s="1" t="s">
        <v>2088</v>
      </c>
      <c r="D5993" s="1" t="s">
        <v>2090</v>
      </c>
    </row>
    <row r="5994">
      <c r="A5994" s="1" t="s">
        <v>13060</v>
      </c>
      <c r="B5994" s="2" t="s">
        <v>11539</v>
      </c>
      <c r="C5994" s="1" t="s">
        <v>2088</v>
      </c>
      <c r="D5994" s="1" t="s">
        <v>2090</v>
      </c>
    </row>
    <row r="5995">
      <c r="A5995" s="1" t="s">
        <v>13061</v>
      </c>
      <c r="B5995" s="2" t="s">
        <v>11541</v>
      </c>
      <c r="C5995" s="1" t="s">
        <v>2088</v>
      </c>
      <c r="D5995" s="1" t="s">
        <v>2090</v>
      </c>
    </row>
    <row r="5996">
      <c r="A5996" s="1" t="s">
        <v>13062</v>
      </c>
      <c r="B5996" s="2" t="s">
        <v>11543</v>
      </c>
      <c r="C5996" s="1" t="s">
        <v>2088</v>
      </c>
      <c r="D5996" s="1" t="s">
        <v>2090</v>
      </c>
    </row>
    <row r="5997">
      <c r="A5997" s="1" t="s">
        <v>13063</v>
      </c>
      <c r="B5997" s="2" t="s">
        <v>11545</v>
      </c>
      <c r="C5997" s="1" t="s">
        <v>2088</v>
      </c>
      <c r="D5997" s="1" t="s">
        <v>2090</v>
      </c>
    </row>
    <row r="5998">
      <c r="A5998" s="1" t="s">
        <v>13064</v>
      </c>
      <c r="B5998" s="2" t="s">
        <v>11547</v>
      </c>
      <c r="C5998" s="1" t="s">
        <v>2088</v>
      </c>
      <c r="D5998" s="1" t="s">
        <v>2090</v>
      </c>
    </row>
    <row r="5999">
      <c r="A5999" s="1" t="s">
        <v>13065</v>
      </c>
      <c r="B5999" s="2" t="s">
        <v>11549</v>
      </c>
      <c r="C5999" s="1" t="s">
        <v>2088</v>
      </c>
      <c r="D5999" s="1" t="s">
        <v>2090</v>
      </c>
    </row>
    <row r="6000">
      <c r="A6000" s="1" t="s">
        <v>13066</v>
      </c>
      <c r="B6000" s="2" t="s">
        <v>11551</v>
      </c>
      <c r="C6000" s="1" t="s">
        <v>2088</v>
      </c>
      <c r="D6000" s="1" t="s">
        <v>2090</v>
      </c>
    </row>
    <row r="6001">
      <c r="A6001" s="1" t="s">
        <v>13067</v>
      </c>
      <c r="B6001" s="2" t="s">
        <v>11553</v>
      </c>
      <c r="C6001" s="1" t="s">
        <v>2088</v>
      </c>
      <c r="D6001" s="1" t="s">
        <v>2090</v>
      </c>
    </row>
    <row r="6002">
      <c r="A6002" s="1" t="s">
        <v>13068</v>
      </c>
      <c r="B6002" s="2" t="s">
        <v>11555</v>
      </c>
      <c r="C6002" s="1" t="s">
        <v>2088</v>
      </c>
      <c r="D6002" s="1" t="s">
        <v>2090</v>
      </c>
    </row>
    <row r="6003">
      <c r="A6003" s="1" t="s">
        <v>13069</v>
      </c>
      <c r="B6003" s="2" t="s">
        <v>11557</v>
      </c>
      <c r="C6003" s="1" t="s">
        <v>2088</v>
      </c>
      <c r="D6003" s="1" t="s">
        <v>2090</v>
      </c>
    </row>
    <row r="6004">
      <c r="A6004" s="1" t="s">
        <v>13070</v>
      </c>
      <c r="B6004" s="2" t="s">
        <v>11559</v>
      </c>
      <c r="C6004" s="1" t="s">
        <v>2088</v>
      </c>
      <c r="D6004" s="1" t="s">
        <v>2090</v>
      </c>
    </row>
    <row r="6005">
      <c r="A6005" s="1" t="s">
        <v>13071</v>
      </c>
      <c r="B6005" s="2" t="s">
        <v>11561</v>
      </c>
      <c r="C6005" s="1" t="s">
        <v>2088</v>
      </c>
      <c r="D6005" s="1" t="s">
        <v>2090</v>
      </c>
    </row>
    <row r="6006">
      <c r="A6006" s="1" t="s">
        <v>13072</v>
      </c>
      <c r="B6006" s="2" t="s">
        <v>10897</v>
      </c>
      <c r="C6006" s="1" t="s">
        <v>2088</v>
      </c>
      <c r="D6006" s="1" t="s">
        <v>2090</v>
      </c>
    </row>
    <row r="6007">
      <c r="A6007" s="1" t="s">
        <v>13073</v>
      </c>
      <c r="B6007" s="2" t="s">
        <v>11564</v>
      </c>
      <c r="C6007" s="1" t="s">
        <v>2088</v>
      </c>
      <c r="D6007" s="1" t="s">
        <v>2090</v>
      </c>
    </row>
    <row r="6008">
      <c r="A6008" s="1" t="s">
        <v>13074</v>
      </c>
      <c r="B6008" s="2" t="s">
        <v>11566</v>
      </c>
      <c r="C6008" s="1" t="s">
        <v>2088</v>
      </c>
      <c r="D6008" s="1" t="s">
        <v>2090</v>
      </c>
    </row>
    <row r="6009">
      <c r="A6009" s="1" t="s">
        <v>13075</v>
      </c>
      <c r="B6009" s="2" t="s">
        <v>11568</v>
      </c>
      <c r="C6009" s="1" t="s">
        <v>2088</v>
      </c>
      <c r="D6009" s="1" t="s">
        <v>2090</v>
      </c>
    </row>
    <row r="6010">
      <c r="A6010" s="1" t="s">
        <v>13076</v>
      </c>
      <c r="B6010" s="2" t="s">
        <v>11570</v>
      </c>
      <c r="C6010" s="1" t="s">
        <v>2088</v>
      </c>
      <c r="D6010" s="1" t="s">
        <v>2090</v>
      </c>
    </row>
    <row r="6011">
      <c r="A6011" s="1" t="s">
        <v>13077</v>
      </c>
      <c r="B6011" s="2" t="s">
        <v>11572</v>
      </c>
      <c r="C6011" s="1" t="s">
        <v>2088</v>
      </c>
      <c r="D6011" s="1" t="s">
        <v>2090</v>
      </c>
    </row>
    <row r="6012">
      <c r="A6012" s="1" t="s">
        <v>13078</v>
      </c>
      <c r="B6012" s="2" t="s">
        <v>11574</v>
      </c>
      <c r="C6012" s="1" t="s">
        <v>2088</v>
      </c>
      <c r="D6012" s="1" t="s">
        <v>2090</v>
      </c>
    </row>
    <row r="6013">
      <c r="A6013" s="1" t="s">
        <v>13079</v>
      </c>
      <c r="B6013" s="2" t="s">
        <v>11576</v>
      </c>
      <c r="C6013" s="1" t="s">
        <v>2088</v>
      </c>
      <c r="D6013" s="1" t="s">
        <v>2090</v>
      </c>
    </row>
    <row r="6014">
      <c r="A6014" s="1" t="s">
        <v>13080</v>
      </c>
      <c r="B6014" s="2" t="s">
        <v>11578</v>
      </c>
      <c r="C6014" s="1" t="s">
        <v>2088</v>
      </c>
      <c r="D6014" s="1" t="s">
        <v>2090</v>
      </c>
    </row>
    <row r="6015">
      <c r="A6015" s="1" t="s">
        <v>13081</v>
      </c>
      <c r="B6015" s="2" t="s">
        <v>11580</v>
      </c>
      <c r="C6015" s="1" t="s">
        <v>2088</v>
      </c>
      <c r="D6015" s="1" t="s">
        <v>2090</v>
      </c>
    </row>
    <row r="6016">
      <c r="A6016" s="1" t="s">
        <v>13082</v>
      </c>
      <c r="B6016" s="2" t="s">
        <v>11582</v>
      </c>
      <c r="C6016" s="1" t="s">
        <v>2088</v>
      </c>
      <c r="D6016" s="1" t="s">
        <v>2090</v>
      </c>
    </row>
    <row r="6017">
      <c r="A6017" s="1" t="s">
        <v>13083</v>
      </c>
      <c r="B6017" s="2" t="s">
        <v>11584</v>
      </c>
      <c r="C6017" s="1" t="s">
        <v>2088</v>
      </c>
      <c r="D6017" s="1" t="s">
        <v>2090</v>
      </c>
    </row>
    <row r="6018">
      <c r="A6018" s="1" t="s">
        <v>13084</v>
      </c>
      <c r="B6018" s="2" t="s">
        <v>11586</v>
      </c>
      <c r="C6018" s="1" t="s">
        <v>2088</v>
      </c>
      <c r="D6018" s="1" t="s">
        <v>2090</v>
      </c>
    </row>
    <row r="6019">
      <c r="A6019" s="1" t="s">
        <v>13085</v>
      </c>
      <c r="B6019" s="2" t="s">
        <v>11588</v>
      </c>
      <c r="C6019" s="1" t="s">
        <v>2088</v>
      </c>
      <c r="D6019" s="1" t="s">
        <v>2090</v>
      </c>
    </row>
    <row r="6020">
      <c r="A6020" s="1" t="s">
        <v>13086</v>
      </c>
      <c r="B6020" s="2" t="s">
        <v>11590</v>
      </c>
      <c r="C6020" s="1" t="s">
        <v>2088</v>
      </c>
      <c r="D6020" s="1" t="s">
        <v>2090</v>
      </c>
    </row>
    <row r="6021">
      <c r="A6021" s="1" t="s">
        <v>13087</v>
      </c>
      <c r="B6021" s="2" t="s">
        <v>11047</v>
      </c>
      <c r="C6021" s="1" t="s">
        <v>2088</v>
      </c>
      <c r="D6021" s="1" t="s">
        <v>2090</v>
      </c>
    </row>
    <row r="6022">
      <c r="A6022" s="1" t="s">
        <v>13088</v>
      </c>
      <c r="B6022" s="2" t="s">
        <v>11593</v>
      </c>
      <c r="C6022" s="1" t="s">
        <v>2088</v>
      </c>
      <c r="D6022" s="1" t="s">
        <v>2090</v>
      </c>
    </row>
    <row r="6023">
      <c r="A6023" s="1" t="s">
        <v>13089</v>
      </c>
      <c r="B6023" s="2" t="s">
        <v>11595</v>
      </c>
      <c r="C6023" s="1" t="s">
        <v>2088</v>
      </c>
      <c r="D6023" s="1" t="s">
        <v>2090</v>
      </c>
    </row>
    <row r="6024">
      <c r="A6024" s="1" t="s">
        <v>13090</v>
      </c>
      <c r="B6024" s="2" t="s">
        <v>11597</v>
      </c>
      <c r="C6024" s="1" t="s">
        <v>2088</v>
      </c>
      <c r="D6024" s="1" t="s">
        <v>2090</v>
      </c>
    </row>
    <row r="6025">
      <c r="A6025" s="1" t="s">
        <v>13091</v>
      </c>
      <c r="B6025" s="2" t="s">
        <v>11599</v>
      </c>
      <c r="C6025" s="1" t="s">
        <v>2088</v>
      </c>
      <c r="D6025" s="1" t="s">
        <v>2090</v>
      </c>
    </row>
    <row r="6026">
      <c r="A6026" s="1" t="s">
        <v>13092</v>
      </c>
      <c r="B6026" s="2" t="s">
        <v>11601</v>
      </c>
      <c r="C6026" s="1" t="s">
        <v>2088</v>
      </c>
      <c r="D6026" s="1" t="s">
        <v>2090</v>
      </c>
    </row>
    <row r="6027">
      <c r="A6027" s="1" t="s">
        <v>13093</v>
      </c>
      <c r="B6027" s="2" t="s">
        <v>11603</v>
      </c>
      <c r="C6027" s="1" t="s">
        <v>2088</v>
      </c>
      <c r="D6027" s="1" t="s">
        <v>2090</v>
      </c>
    </row>
    <row r="6028">
      <c r="A6028" s="1" t="s">
        <v>13094</v>
      </c>
      <c r="B6028" s="2" t="s">
        <v>11605</v>
      </c>
      <c r="C6028" s="1" t="s">
        <v>2088</v>
      </c>
      <c r="D6028" s="1" t="s">
        <v>2090</v>
      </c>
    </row>
    <row r="6029">
      <c r="A6029" s="1" t="s">
        <v>13095</v>
      </c>
      <c r="B6029" s="2" t="s">
        <v>11607</v>
      </c>
      <c r="C6029" s="1" t="s">
        <v>2088</v>
      </c>
      <c r="D6029" s="1" t="s">
        <v>2090</v>
      </c>
    </row>
    <row r="6030">
      <c r="A6030" s="1" t="s">
        <v>13096</v>
      </c>
      <c r="B6030" s="2" t="s">
        <v>11609</v>
      </c>
      <c r="C6030" s="1" t="s">
        <v>2088</v>
      </c>
      <c r="D6030" s="1" t="s">
        <v>2090</v>
      </c>
    </row>
    <row r="6031">
      <c r="A6031" s="1" t="s">
        <v>13097</v>
      </c>
      <c r="B6031" s="2" t="s">
        <v>11611</v>
      </c>
      <c r="C6031" s="1" t="s">
        <v>2088</v>
      </c>
      <c r="D6031" s="1" t="s">
        <v>2090</v>
      </c>
    </row>
    <row r="6032">
      <c r="A6032" s="1" t="s">
        <v>13098</v>
      </c>
      <c r="B6032" s="2" t="s">
        <v>11613</v>
      </c>
      <c r="C6032" s="1" t="s">
        <v>2088</v>
      </c>
      <c r="D6032" s="1" t="s">
        <v>2090</v>
      </c>
    </row>
    <row r="6033">
      <c r="A6033" s="1" t="s">
        <v>13099</v>
      </c>
      <c r="B6033" s="2" t="s">
        <v>11615</v>
      </c>
      <c r="C6033" s="1" t="s">
        <v>2088</v>
      </c>
      <c r="D6033" s="1" t="s">
        <v>2090</v>
      </c>
    </row>
    <row r="6034">
      <c r="A6034" s="1" t="s">
        <v>13100</v>
      </c>
      <c r="B6034" s="2" t="s">
        <v>11617</v>
      </c>
      <c r="C6034" s="1" t="s">
        <v>2088</v>
      </c>
      <c r="D6034" s="1" t="s">
        <v>2090</v>
      </c>
    </row>
    <row r="6035">
      <c r="A6035" s="1" t="s">
        <v>13101</v>
      </c>
      <c r="B6035" s="2" t="s">
        <v>11619</v>
      </c>
      <c r="C6035" s="1" t="s">
        <v>2088</v>
      </c>
      <c r="D6035" s="1" t="s">
        <v>2090</v>
      </c>
    </row>
    <row r="6036">
      <c r="A6036" s="1" t="s">
        <v>2095</v>
      </c>
      <c r="B6036" s="2" t="s">
        <v>7</v>
      </c>
      <c r="C6036" s="1" t="s">
        <v>2096</v>
      </c>
      <c r="D6036" s="1" t="s">
        <v>2098</v>
      </c>
    </row>
    <row r="6037">
      <c r="A6037" s="1" t="s">
        <v>13102</v>
      </c>
      <c r="B6037" s="2" t="s">
        <v>11621</v>
      </c>
      <c r="C6037" s="1" t="s">
        <v>2096</v>
      </c>
      <c r="D6037" s="1" t="s">
        <v>2098</v>
      </c>
    </row>
    <row r="6038">
      <c r="A6038" s="1" t="s">
        <v>13103</v>
      </c>
      <c r="B6038" s="2" t="s">
        <v>11623</v>
      </c>
      <c r="C6038" s="1" t="s">
        <v>2096</v>
      </c>
      <c r="D6038" s="1" t="s">
        <v>2098</v>
      </c>
    </row>
    <row r="6039">
      <c r="A6039" s="1" t="s">
        <v>13104</v>
      </c>
      <c r="B6039" s="2" t="s">
        <v>11625</v>
      </c>
      <c r="C6039" s="1" t="s">
        <v>2096</v>
      </c>
      <c r="D6039" s="1" t="s">
        <v>2098</v>
      </c>
    </row>
    <row r="6040">
      <c r="A6040" s="1" t="s">
        <v>13105</v>
      </c>
      <c r="B6040" s="2" t="s">
        <v>11627</v>
      </c>
      <c r="C6040" s="1" t="s">
        <v>2096</v>
      </c>
      <c r="D6040" s="1" t="s">
        <v>2098</v>
      </c>
    </row>
    <row r="6041">
      <c r="A6041" s="1" t="s">
        <v>13106</v>
      </c>
      <c r="B6041" s="2" t="s">
        <v>11629</v>
      </c>
      <c r="C6041" s="1" t="s">
        <v>2096</v>
      </c>
      <c r="D6041" s="1" t="s">
        <v>2098</v>
      </c>
    </row>
    <row r="6042">
      <c r="A6042" s="1" t="s">
        <v>13107</v>
      </c>
      <c r="B6042" s="2" t="s">
        <v>11631</v>
      </c>
      <c r="C6042" s="1" t="s">
        <v>2096</v>
      </c>
      <c r="D6042" s="1" t="s">
        <v>2098</v>
      </c>
    </row>
    <row r="6043">
      <c r="A6043" s="1" t="s">
        <v>13108</v>
      </c>
      <c r="B6043" s="2" t="s">
        <v>11633</v>
      </c>
      <c r="C6043" s="1" t="s">
        <v>2096</v>
      </c>
      <c r="D6043" s="1" t="s">
        <v>2098</v>
      </c>
    </row>
    <row r="6044">
      <c r="A6044" s="1" t="s">
        <v>13109</v>
      </c>
      <c r="B6044" s="2" t="s">
        <v>11635</v>
      </c>
      <c r="C6044" s="1" t="s">
        <v>2096</v>
      </c>
      <c r="D6044" s="1" t="s">
        <v>2098</v>
      </c>
    </row>
    <row r="6045">
      <c r="A6045" s="1" t="s">
        <v>13110</v>
      </c>
      <c r="B6045" s="2" t="s">
        <v>11637</v>
      </c>
      <c r="C6045" s="1" t="s">
        <v>2096</v>
      </c>
      <c r="D6045" s="1" t="s">
        <v>2098</v>
      </c>
    </row>
    <row r="6046">
      <c r="A6046" s="1" t="s">
        <v>13111</v>
      </c>
      <c r="B6046" s="2" t="s">
        <v>10834</v>
      </c>
      <c r="C6046" s="1" t="s">
        <v>2096</v>
      </c>
      <c r="D6046" s="1" t="s">
        <v>2098</v>
      </c>
    </row>
    <row r="6047">
      <c r="A6047" s="1" t="s">
        <v>13112</v>
      </c>
      <c r="B6047" s="2" t="s">
        <v>11640</v>
      </c>
      <c r="C6047" s="1" t="s">
        <v>2096</v>
      </c>
      <c r="D6047" s="1" t="s">
        <v>2098</v>
      </c>
    </row>
    <row r="6048">
      <c r="A6048" s="1" t="s">
        <v>13113</v>
      </c>
      <c r="B6048" s="2" t="s">
        <v>11642</v>
      </c>
      <c r="C6048" s="1" t="s">
        <v>2096</v>
      </c>
      <c r="D6048" s="1" t="s">
        <v>2098</v>
      </c>
    </row>
    <row r="6049">
      <c r="A6049" s="1" t="s">
        <v>13114</v>
      </c>
      <c r="B6049" s="2" t="s">
        <v>11644</v>
      </c>
      <c r="C6049" s="1" t="s">
        <v>2096</v>
      </c>
      <c r="D6049" s="1" t="s">
        <v>2098</v>
      </c>
    </row>
    <row r="6050">
      <c r="A6050" s="1" t="s">
        <v>13115</v>
      </c>
      <c r="B6050" s="2" t="s">
        <v>11646</v>
      </c>
      <c r="C6050" s="1" t="s">
        <v>2096</v>
      </c>
      <c r="D6050" s="1" t="s">
        <v>2098</v>
      </c>
    </row>
    <row r="6051">
      <c r="A6051" s="1" t="s">
        <v>13116</v>
      </c>
      <c r="B6051" s="2" t="s">
        <v>11648</v>
      </c>
      <c r="C6051" s="1" t="s">
        <v>2096</v>
      </c>
      <c r="D6051" s="1" t="s">
        <v>2098</v>
      </c>
    </row>
    <row r="6052">
      <c r="A6052" s="1" t="s">
        <v>13117</v>
      </c>
      <c r="B6052" s="2" t="s">
        <v>11650</v>
      </c>
      <c r="C6052" s="1" t="s">
        <v>2096</v>
      </c>
      <c r="D6052" s="1" t="s">
        <v>2098</v>
      </c>
    </row>
    <row r="6053">
      <c r="A6053" s="1" t="s">
        <v>13118</v>
      </c>
      <c r="B6053" s="2" t="s">
        <v>11652</v>
      </c>
      <c r="C6053" s="1" t="s">
        <v>2096</v>
      </c>
      <c r="D6053" s="1" t="s">
        <v>2098</v>
      </c>
    </row>
    <row r="6054">
      <c r="A6054" s="1" t="s">
        <v>13119</v>
      </c>
      <c r="B6054" s="2" t="s">
        <v>11654</v>
      </c>
      <c r="C6054" s="1" t="s">
        <v>2096</v>
      </c>
      <c r="D6054" s="1" t="s">
        <v>2098</v>
      </c>
    </row>
    <row r="6055">
      <c r="A6055" s="1" t="s">
        <v>13120</v>
      </c>
      <c r="B6055" s="2" t="s">
        <v>11656</v>
      </c>
      <c r="C6055" s="1" t="s">
        <v>2096</v>
      </c>
      <c r="D6055" s="1" t="s">
        <v>2098</v>
      </c>
    </row>
    <row r="6056">
      <c r="A6056" s="1" t="s">
        <v>13121</v>
      </c>
      <c r="B6056" s="2" t="s">
        <v>10850</v>
      </c>
      <c r="C6056" s="1" t="s">
        <v>2096</v>
      </c>
      <c r="D6056" s="1" t="s">
        <v>2098</v>
      </c>
    </row>
    <row r="6057">
      <c r="A6057" s="1" t="s">
        <v>13122</v>
      </c>
      <c r="B6057" s="2" t="s">
        <v>11659</v>
      </c>
      <c r="C6057" s="1" t="s">
        <v>2096</v>
      </c>
      <c r="D6057" s="1" t="s">
        <v>2098</v>
      </c>
    </row>
    <row r="6058">
      <c r="A6058" s="1" t="s">
        <v>13123</v>
      </c>
      <c r="B6058" s="2" t="s">
        <v>11661</v>
      </c>
      <c r="C6058" s="1" t="s">
        <v>2096</v>
      </c>
      <c r="D6058" s="1" t="s">
        <v>2098</v>
      </c>
    </row>
    <row r="6059">
      <c r="A6059" s="1" t="s">
        <v>13124</v>
      </c>
      <c r="B6059" s="2" t="s">
        <v>11663</v>
      </c>
      <c r="C6059" s="1" t="s">
        <v>2096</v>
      </c>
      <c r="D6059" s="1" t="s">
        <v>2098</v>
      </c>
    </row>
    <row r="6060">
      <c r="A6060" s="1" t="s">
        <v>13125</v>
      </c>
      <c r="B6060" s="2" t="s">
        <v>11665</v>
      </c>
      <c r="C6060" s="1" t="s">
        <v>2096</v>
      </c>
      <c r="D6060" s="1" t="s">
        <v>2098</v>
      </c>
    </row>
    <row r="6061">
      <c r="A6061" s="1" t="s">
        <v>13126</v>
      </c>
      <c r="B6061" s="2" t="s">
        <v>11667</v>
      </c>
      <c r="C6061" s="1" t="s">
        <v>2096</v>
      </c>
      <c r="D6061" s="1" t="s">
        <v>2098</v>
      </c>
    </row>
    <row r="6062">
      <c r="A6062" s="1" t="s">
        <v>13127</v>
      </c>
      <c r="B6062" s="2" t="s">
        <v>11669</v>
      </c>
      <c r="C6062" s="1" t="s">
        <v>2096</v>
      </c>
      <c r="D6062" s="1" t="s">
        <v>2098</v>
      </c>
    </row>
    <row r="6063">
      <c r="A6063" s="1" t="s">
        <v>13128</v>
      </c>
      <c r="B6063" s="2" t="s">
        <v>11671</v>
      </c>
      <c r="C6063" s="1" t="s">
        <v>2096</v>
      </c>
      <c r="D6063" s="1" t="s">
        <v>2098</v>
      </c>
    </row>
    <row r="6064">
      <c r="A6064" s="1" t="s">
        <v>13129</v>
      </c>
      <c r="B6064" s="2" t="s">
        <v>11673</v>
      </c>
      <c r="C6064" s="1" t="s">
        <v>2096</v>
      </c>
      <c r="D6064" s="1" t="s">
        <v>2098</v>
      </c>
    </row>
    <row r="6065">
      <c r="A6065" s="1" t="s">
        <v>13130</v>
      </c>
      <c r="B6065" s="2" t="s">
        <v>11675</v>
      </c>
      <c r="C6065" s="1" t="s">
        <v>2096</v>
      </c>
      <c r="D6065" s="1" t="s">
        <v>2098</v>
      </c>
    </row>
    <row r="6066">
      <c r="A6066" s="1" t="s">
        <v>13131</v>
      </c>
      <c r="B6066" s="2" t="s">
        <v>10356</v>
      </c>
      <c r="C6066" s="1" t="s">
        <v>2096</v>
      </c>
      <c r="D6066" s="1" t="s">
        <v>2098</v>
      </c>
    </row>
    <row r="6067">
      <c r="A6067" s="1" t="s">
        <v>13132</v>
      </c>
      <c r="B6067" s="2" t="s">
        <v>11678</v>
      </c>
      <c r="C6067" s="1" t="s">
        <v>2096</v>
      </c>
      <c r="D6067" s="1" t="s">
        <v>2098</v>
      </c>
    </row>
    <row r="6068">
      <c r="A6068" s="1" t="s">
        <v>13133</v>
      </c>
      <c r="B6068" s="2" t="s">
        <v>11680</v>
      </c>
      <c r="C6068" s="1" t="s">
        <v>2096</v>
      </c>
      <c r="D6068" s="1" t="s">
        <v>2098</v>
      </c>
    </row>
    <row r="6069">
      <c r="A6069" s="1" t="s">
        <v>13134</v>
      </c>
      <c r="B6069" s="2" t="s">
        <v>11682</v>
      </c>
      <c r="C6069" s="1" t="s">
        <v>2096</v>
      </c>
      <c r="D6069" s="1" t="s">
        <v>2098</v>
      </c>
    </row>
    <row r="6070">
      <c r="A6070" s="1" t="s">
        <v>13135</v>
      </c>
      <c r="B6070" s="2" t="s">
        <v>11684</v>
      </c>
      <c r="C6070" s="1" t="s">
        <v>2096</v>
      </c>
      <c r="D6070" s="1" t="s">
        <v>2098</v>
      </c>
    </row>
    <row r="6071">
      <c r="A6071" s="1" t="s">
        <v>13136</v>
      </c>
      <c r="B6071" s="2" t="s">
        <v>11686</v>
      </c>
      <c r="C6071" s="1" t="s">
        <v>2096</v>
      </c>
      <c r="D6071" s="1" t="s">
        <v>2098</v>
      </c>
    </row>
    <row r="6072">
      <c r="A6072" s="1" t="s">
        <v>13137</v>
      </c>
      <c r="B6072" s="2" t="s">
        <v>11688</v>
      </c>
      <c r="C6072" s="1" t="s">
        <v>2096</v>
      </c>
      <c r="D6072" s="1" t="s">
        <v>2098</v>
      </c>
    </row>
    <row r="6073">
      <c r="A6073" s="1" t="s">
        <v>13138</v>
      </c>
      <c r="B6073" s="2" t="s">
        <v>11690</v>
      </c>
      <c r="C6073" s="1" t="s">
        <v>2096</v>
      </c>
      <c r="D6073" s="1" t="s">
        <v>2098</v>
      </c>
    </row>
    <row r="6074">
      <c r="A6074" s="1" t="s">
        <v>13139</v>
      </c>
      <c r="B6074" s="2" t="s">
        <v>11692</v>
      </c>
      <c r="C6074" s="1" t="s">
        <v>2096</v>
      </c>
      <c r="D6074" s="1" t="s">
        <v>2098</v>
      </c>
    </row>
    <row r="6075">
      <c r="A6075" s="1" t="s">
        <v>13140</v>
      </c>
      <c r="B6075" s="2" t="s">
        <v>11694</v>
      </c>
      <c r="C6075" s="1" t="s">
        <v>2096</v>
      </c>
      <c r="D6075" s="1" t="s">
        <v>2098</v>
      </c>
    </row>
    <row r="6076">
      <c r="A6076" s="1" t="s">
        <v>13141</v>
      </c>
      <c r="B6076" s="2" t="s">
        <v>10881</v>
      </c>
      <c r="C6076" s="1" t="s">
        <v>2096</v>
      </c>
      <c r="D6076" s="1" t="s">
        <v>2098</v>
      </c>
    </row>
    <row r="6077">
      <c r="A6077" s="1" t="s">
        <v>13142</v>
      </c>
      <c r="B6077" s="2" t="s">
        <v>11697</v>
      </c>
      <c r="C6077" s="1" t="s">
        <v>2096</v>
      </c>
      <c r="D6077" s="1" t="s">
        <v>2098</v>
      </c>
    </row>
    <row r="6078">
      <c r="A6078" s="1" t="s">
        <v>13143</v>
      </c>
      <c r="B6078" s="2" t="s">
        <v>11699</v>
      </c>
      <c r="C6078" s="1" t="s">
        <v>2096</v>
      </c>
      <c r="D6078" s="1" t="s">
        <v>2098</v>
      </c>
    </row>
    <row r="6079">
      <c r="A6079" s="1" t="s">
        <v>13144</v>
      </c>
      <c r="B6079" s="2" t="s">
        <v>11701</v>
      </c>
      <c r="C6079" s="1" t="s">
        <v>2096</v>
      </c>
      <c r="D6079" s="1" t="s">
        <v>2098</v>
      </c>
    </row>
    <row r="6080">
      <c r="A6080" s="1" t="s">
        <v>13145</v>
      </c>
      <c r="B6080" s="2" t="s">
        <v>11703</v>
      </c>
      <c r="C6080" s="1" t="s">
        <v>2096</v>
      </c>
      <c r="D6080" s="1" t="s">
        <v>2098</v>
      </c>
    </row>
    <row r="6081">
      <c r="A6081" s="1" t="s">
        <v>13146</v>
      </c>
      <c r="B6081" s="2" t="s">
        <v>11705</v>
      </c>
      <c r="C6081" s="1" t="s">
        <v>2096</v>
      </c>
      <c r="D6081" s="1" t="s">
        <v>2098</v>
      </c>
    </row>
    <row r="6082">
      <c r="A6082" s="1" t="s">
        <v>13147</v>
      </c>
      <c r="B6082" s="2" t="s">
        <v>11707</v>
      </c>
      <c r="C6082" s="1" t="s">
        <v>2096</v>
      </c>
      <c r="D6082" s="1" t="s">
        <v>2098</v>
      </c>
    </row>
    <row r="6083">
      <c r="A6083" s="1" t="s">
        <v>13148</v>
      </c>
      <c r="B6083" s="2" t="s">
        <v>11709</v>
      </c>
      <c r="C6083" s="1" t="s">
        <v>2096</v>
      </c>
      <c r="D6083" s="1" t="s">
        <v>2098</v>
      </c>
    </row>
    <row r="6084">
      <c r="A6084" s="1" t="s">
        <v>13149</v>
      </c>
      <c r="B6084" s="2" t="s">
        <v>11711</v>
      </c>
      <c r="C6084" s="1" t="s">
        <v>2096</v>
      </c>
      <c r="D6084" s="1" t="s">
        <v>2098</v>
      </c>
    </row>
    <row r="6085">
      <c r="A6085" s="1" t="s">
        <v>13150</v>
      </c>
      <c r="B6085" s="2" t="s">
        <v>11713</v>
      </c>
      <c r="C6085" s="1" t="s">
        <v>2096</v>
      </c>
      <c r="D6085" s="1" t="s">
        <v>2098</v>
      </c>
    </row>
    <row r="6086">
      <c r="A6086" s="1" t="s">
        <v>13151</v>
      </c>
      <c r="B6086" s="2" t="s">
        <v>10897</v>
      </c>
      <c r="C6086" s="1" t="s">
        <v>2096</v>
      </c>
      <c r="D6086" s="1" t="s">
        <v>2098</v>
      </c>
    </row>
    <row r="6087">
      <c r="A6087" s="1" t="s">
        <v>13152</v>
      </c>
      <c r="B6087" s="2" t="s">
        <v>11716</v>
      </c>
      <c r="C6087" s="1" t="s">
        <v>2096</v>
      </c>
      <c r="D6087" s="1" t="s">
        <v>2098</v>
      </c>
    </row>
    <row r="6088">
      <c r="A6088" s="1" t="s">
        <v>13153</v>
      </c>
      <c r="B6088" s="2" t="s">
        <v>11718</v>
      </c>
      <c r="C6088" s="1" t="s">
        <v>2096</v>
      </c>
      <c r="D6088" s="1" t="s">
        <v>2098</v>
      </c>
    </row>
    <row r="6089">
      <c r="A6089" s="1" t="s">
        <v>13154</v>
      </c>
      <c r="B6089" s="2" t="s">
        <v>11720</v>
      </c>
      <c r="C6089" s="1" t="s">
        <v>2096</v>
      </c>
      <c r="D6089" s="1" t="s">
        <v>2098</v>
      </c>
    </row>
    <row r="6090">
      <c r="A6090" s="1" t="s">
        <v>13155</v>
      </c>
      <c r="B6090" s="2" t="s">
        <v>11722</v>
      </c>
      <c r="C6090" s="1" t="s">
        <v>2096</v>
      </c>
      <c r="D6090" s="1" t="s">
        <v>2098</v>
      </c>
    </row>
    <row r="6091">
      <c r="A6091" s="1" t="s">
        <v>13156</v>
      </c>
      <c r="B6091" s="2" t="s">
        <v>11724</v>
      </c>
      <c r="C6091" s="1" t="s">
        <v>2096</v>
      </c>
      <c r="D6091" s="1" t="s">
        <v>2098</v>
      </c>
    </row>
    <row r="6092">
      <c r="A6092" s="1" t="s">
        <v>13157</v>
      </c>
      <c r="B6092" s="2" t="s">
        <v>11726</v>
      </c>
      <c r="C6092" s="1" t="s">
        <v>2096</v>
      </c>
      <c r="D6092" s="1" t="s">
        <v>2098</v>
      </c>
    </row>
    <row r="6093">
      <c r="A6093" s="1" t="s">
        <v>13158</v>
      </c>
      <c r="B6093" s="2" t="s">
        <v>11728</v>
      </c>
      <c r="C6093" s="1" t="s">
        <v>2096</v>
      </c>
      <c r="D6093" s="1" t="s">
        <v>2098</v>
      </c>
    </row>
    <row r="6094">
      <c r="A6094" s="1" t="s">
        <v>13159</v>
      </c>
      <c r="B6094" s="2" t="s">
        <v>11730</v>
      </c>
      <c r="C6094" s="1" t="s">
        <v>2096</v>
      </c>
      <c r="D6094" s="1" t="s">
        <v>2098</v>
      </c>
    </row>
    <row r="6095">
      <c r="A6095" s="1" t="s">
        <v>13160</v>
      </c>
      <c r="B6095" s="2" t="s">
        <v>11732</v>
      </c>
      <c r="C6095" s="1" t="s">
        <v>2096</v>
      </c>
      <c r="D6095" s="1" t="s">
        <v>2098</v>
      </c>
    </row>
    <row r="6096">
      <c r="A6096" s="1" t="s">
        <v>13161</v>
      </c>
      <c r="B6096" s="2" t="s">
        <v>11047</v>
      </c>
      <c r="C6096" s="1" t="s">
        <v>2096</v>
      </c>
      <c r="D6096" s="1" t="s">
        <v>2098</v>
      </c>
    </row>
    <row r="6097">
      <c r="A6097" s="1" t="s">
        <v>13162</v>
      </c>
      <c r="B6097" s="2" t="s">
        <v>11735</v>
      </c>
      <c r="C6097" s="1" t="s">
        <v>2096</v>
      </c>
      <c r="D6097" s="1" t="s">
        <v>2098</v>
      </c>
    </row>
    <row r="6098">
      <c r="A6098" s="1" t="s">
        <v>13163</v>
      </c>
      <c r="B6098" s="2" t="s">
        <v>11737</v>
      </c>
      <c r="C6098" s="1" t="s">
        <v>2096</v>
      </c>
      <c r="D6098" s="1" t="s">
        <v>2098</v>
      </c>
    </row>
    <row r="6099">
      <c r="A6099" s="1" t="s">
        <v>13164</v>
      </c>
      <c r="B6099" s="2" t="s">
        <v>11739</v>
      </c>
      <c r="C6099" s="1" t="s">
        <v>2096</v>
      </c>
      <c r="D6099" s="1" t="s">
        <v>2098</v>
      </c>
    </row>
    <row r="6100">
      <c r="A6100" s="1" t="s">
        <v>13165</v>
      </c>
      <c r="B6100" s="2" t="s">
        <v>11741</v>
      </c>
      <c r="C6100" s="1" t="s">
        <v>2096</v>
      </c>
      <c r="D6100" s="1" t="s">
        <v>2098</v>
      </c>
    </row>
    <row r="6101">
      <c r="A6101" s="1" t="s">
        <v>13166</v>
      </c>
      <c r="B6101" s="2" t="s">
        <v>11743</v>
      </c>
      <c r="C6101" s="1" t="s">
        <v>2096</v>
      </c>
      <c r="D6101" s="1" t="s">
        <v>2098</v>
      </c>
    </row>
    <row r="6102">
      <c r="A6102" s="1" t="s">
        <v>13167</v>
      </c>
      <c r="B6102" s="2" t="s">
        <v>11745</v>
      </c>
      <c r="C6102" s="1" t="s">
        <v>2096</v>
      </c>
      <c r="D6102" s="1" t="s">
        <v>2098</v>
      </c>
    </row>
    <row r="6103">
      <c r="A6103" s="1" t="s">
        <v>13168</v>
      </c>
      <c r="B6103" s="2" t="s">
        <v>11747</v>
      </c>
      <c r="C6103" s="1" t="s">
        <v>2096</v>
      </c>
      <c r="D6103" s="1" t="s">
        <v>2098</v>
      </c>
    </row>
    <row r="6104">
      <c r="A6104" s="1" t="s">
        <v>13169</v>
      </c>
      <c r="B6104" s="2" t="s">
        <v>11749</v>
      </c>
      <c r="C6104" s="1" t="s">
        <v>2096</v>
      </c>
      <c r="D6104" s="1" t="s">
        <v>2098</v>
      </c>
    </row>
    <row r="6105">
      <c r="A6105" s="1" t="s">
        <v>13170</v>
      </c>
      <c r="B6105" s="2" t="s">
        <v>11751</v>
      </c>
      <c r="C6105" s="1" t="s">
        <v>2096</v>
      </c>
      <c r="D6105" s="1" t="s">
        <v>2098</v>
      </c>
    </row>
    <row r="6106">
      <c r="A6106" s="1" t="s">
        <v>2104</v>
      </c>
      <c r="B6106" s="2" t="s">
        <v>7</v>
      </c>
      <c r="C6106" s="1" t="s">
        <v>2106</v>
      </c>
      <c r="D6106" s="1" t="s">
        <v>2108</v>
      </c>
    </row>
    <row r="6107">
      <c r="A6107" s="1" t="s">
        <v>13171</v>
      </c>
      <c r="B6107" s="2" t="s">
        <v>10520</v>
      </c>
      <c r="C6107" s="1" t="s">
        <v>2106</v>
      </c>
      <c r="D6107" s="1" t="s">
        <v>2108</v>
      </c>
    </row>
    <row r="6108">
      <c r="A6108" s="1" t="s">
        <v>13172</v>
      </c>
      <c r="B6108" s="2" t="s">
        <v>10522</v>
      </c>
      <c r="C6108" s="1" t="s">
        <v>2106</v>
      </c>
      <c r="D6108" s="1" t="s">
        <v>2108</v>
      </c>
    </row>
    <row r="6109">
      <c r="A6109" s="1" t="s">
        <v>13173</v>
      </c>
      <c r="B6109" s="2" t="s">
        <v>10524</v>
      </c>
      <c r="C6109" s="1" t="s">
        <v>2106</v>
      </c>
      <c r="D6109" s="1" t="s">
        <v>2108</v>
      </c>
    </row>
    <row r="6110">
      <c r="A6110" s="1" t="s">
        <v>13174</v>
      </c>
      <c r="B6110" s="2" t="s">
        <v>10526</v>
      </c>
      <c r="C6110" s="1" t="s">
        <v>2106</v>
      </c>
      <c r="D6110" s="1" t="s">
        <v>2108</v>
      </c>
    </row>
    <row r="6111">
      <c r="A6111" s="1" t="s">
        <v>13175</v>
      </c>
      <c r="B6111" s="2" t="s">
        <v>10528</v>
      </c>
      <c r="C6111" s="1" t="s">
        <v>2106</v>
      </c>
      <c r="D6111" s="1" t="s">
        <v>2108</v>
      </c>
    </row>
    <row r="6112">
      <c r="A6112" s="1" t="s">
        <v>13176</v>
      </c>
      <c r="B6112" s="2" t="s">
        <v>10530</v>
      </c>
      <c r="C6112" s="1" t="s">
        <v>2106</v>
      </c>
      <c r="D6112" s="1" t="s">
        <v>2108</v>
      </c>
    </row>
    <row r="6113">
      <c r="A6113" s="1" t="s">
        <v>13177</v>
      </c>
      <c r="B6113" s="2" t="s">
        <v>10532</v>
      </c>
      <c r="C6113" s="1" t="s">
        <v>2106</v>
      </c>
      <c r="D6113" s="1" t="s">
        <v>2108</v>
      </c>
    </row>
    <row r="6114">
      <c r="A6114" s="1" t="s">
        <v>13178</v>
      </c>
      <c r="B6114" s="2" t="s">
        <v>10534</v>
      </c>
      <c r="C6114" s="1" t="s">
        <v>2106</v>
      </c>
      <c r="D6114" s="1" t="s">
        <v>2108</v>
      </c>
    </row>
    <row r="6115">
      <c r="A6115" s="1" t="s">
        <v>13179</v>
      </c>
      <c r="B6115" s="2" t="s">
        <v>10536</v>
      </c>
      <c r="C6115" s="1" t="s">
        <v>2106</v>
      </c>
      <c r="D6115" s="1" t="s">
        <v>2108</v>
      </c>
    </row>
    <row r="6116">
      <c r="A6116" s="1" t="s">
        <v>13180</v>
      </c>
      <c r="B6116" s="2" t="s">
        <v>10538</v>
      </c>
      <c r="C6116" s="1" t="s">
        <v>2106</v>
      </c>
      <c r="D6116" s="1" t="s">
        <v>2108</v>
      </c>
    </row>
    <row r="6117">
      <c r="A6117" s="1" t="s">
        <v>13181</v>
      </c>
      <c r="B6117" s="2" t="s">
        <v>10540</v>
      </c>
      <c r="C6117" s="1" t="s">
        <v>2106</v>
      </c>
      <c r="D6117" s="1" t="s">
        <v>2108</v>
      </c>
    </row>
    <row r="6118">
      <c r="A6118" s="1" t="s">
        <v>13182</v>
      </c>
      <c r="B6118" s="2" t="s">
        <v>10542</v>
      </c>
      <c r="C6118" s="1" t="s">
        <v>2106</v>
      </c>
      <c r="D6118" s="1" t="s">
        <v>2108</v>
      </c>
    </row>
    <row r="6119">
      <c r="A6119" s="1" t="s">
        <v>13183</v>
      </c>
      <c r="B6119" s="2" t="s">
        <v>10544</v>
      </c>
      <c r="C6119" s="1" t="s">
        <v>2106</v>
      </c>
      <c r="D6119" s="1" t="s">
        <v>2108</v>
      </c>
    </row>
    <row r="6120">
      <c r="A6120" s="1" t="s">
        <v>13184</v>
      </c>
      <c r="B6120" s="2" t="s">
        <v>10546</v>
      </c>
      <c r="C6120" s="1" t="s">
        <v>2106</v>
      </c>
      <c r="D6120" s="1" t="s">
        <v>2108</v>
      </c>
    </row>
    <row r="6121">
      <c r="A6121" s="1" t="s">
        <v>13185</v>
      </c>
      <c r="B6121" s="2" t="s">
        <v>10834</v>
      </c>
      <c r="C6121" s="1" t="s">
        <v>2106</v>
      </c>
      <c r="D6121" s="1" t="s">
        <v>2108</v>
      </c>
    </row>
    <row r="6122">
      <c r="A6122" s="1" t="s">
        <v>13186</v>
      </c>
      <c r="B6122" s="2" t="s">
        <v>11826</v>
      </c>
      <c r="C6122" s="1" t="s">
        <v>2106</v>
      </c>
      <c r="D6122" s="1" t="s">
        <v>2108</v>
      </c>
    </row>
    <row r="6123">
      <c r="A6123" s="1" t="s">
        <v>13187</v>
      </c>
      <c r="B6123" s="2" t="s">
        <v>11828</v>
      </c>
      <c r="C6123" s="1" t="s">
        <v>2106</v>
      </c>
      <c r="D6123" s="1" t="s">
        <v>2108</v>
      </c>
    </row>
    <row r="6124">
      <c r="A6124" s="1" t="s">
        <v>13188</v>
      </c>
      <c r="B6124" s="2" t="s">
        <v>11830</v>
      </c>
      <c r="C6124" s="1" t="s">
        <v>2106</v>
      </c>
      <c r="D6124" s="1" t="s">
        <v>2108</v>
      </c>
    </row>
    <row r="6125">
      <c r="A6125" s="1" t="s">
        <v>13189</v>
      </c>
      <c r="B6125" s="2" t="s">
        <v>11832</v>
      </c>
      <c r="C6125" s="1" t="s">
        <v>2106</v>
      </c>
      <c r="D6125" s="1" t="s">
        <v>2108</v>
      </c>
    </row>
    <row r="6126">
      <c r="A6126" s="1" t="s">
        <v>13190</v>
      </c>
      <c r="B6126" s="2" t="s">
        <v>11834</v>
      </c>
      <c r="C6126" s="1" t="s">
        <v>2106</v>
      </c>
      <c r="D6126" s="1" t="s">
        <v>2108</v>
      </c>
    </row>
    <row r="6127">
      <c r="A6127" s="1" t="s">
        <v>13191</v>
      </c>
      <c r="B6127" s="2" t="s">
        <v>11836</v>
      </c>
      <c r="C6127" s="1" t="s">
        <v>2106</v>
      </c>
      <c r="D6127" s="1" t="s">
        <v>2108</v>
      </c>
    </row>
    <row r="6128">
      <c r="A6128" s="1" t="s">
        <v>13192</v>
      </c>
      <c r="B6128" s="2" t="s">
        <v>11838</v>
      </c>
      <c r="C6128" s="1" t="s">
        <v>2106</v>
      </c>
      <c r="D6128" s="1" t="s">
        <v>2108</v>
      </c>
    </row>
    <row r="6129">
      <c r="A6129" s="1" t="s">
        <v>13193</v>
      </c>
      <c r="B6129" s="2" t="s">
        <v>11840</v>
      </c>
      <c r="C6129" s="1" t="s">
        <v>2106</v>
      </c>
      <c r="D6129" s="1" t="s">
        <v>2108</v>
      </c>
    </row>
    <row r="6130">
      <c r="A6130" s="1" t="s">
        <v>13194</v>
      </c>
      <c r="B6130" s="2" t="s">
        <v>11842</v>
      </c>
      <c r="C6130" s="1" t="s">
        <v>2106</v>
      </c>
      <c r="D6130" s="1" t="s">
        <v>2108</v>
      </c>
    </row>
    <row r="6131">
      <c r="A6131" s="1" t="s">
        <v>13195</v>
      </c>
      <c r="B6131" s="2" t="s">
        <v>11844</v>
      </c>
      <c r="C6131" s="1" t="s">
        <v>2106</v>
      </c>
      <c r="D6131" s="1" t="s">
        <v>2108</v>
      </c>
    </row>
    <row r="6132">
      <c r="A6132" s="1" t="s">
        <v>13196</v>
      </c>
      <c r="B6132" s="2" t="s">
        <v>11846</v>
      </c>
      <c r="C6132" s="1" t="s">
        <v>2106</v>
      </c>
      <c r="D6132" s="1" t="s">
        <v>2108</v>
      </c>
    </row>
    <row r="6133">
      <c r="A6133" s="1" t="s">
        <v>13197</v>
      </c>
      <c r="B6133" s="2" t="s">
        <v>11848</v>
      </c>
      <c r="C6133" s="1" t="s">
        <v>2106</v>
      </c>
      <c r="D6133" s="1" t="s">
        <v>2108</v>
      </c>
    </row>
    <row r="6134">
      <c r="A6134" s="1" t="s">
        <v>13198</v>
      </c>
      <c r="B6134" s="2" t="s">
        <v>11850</v>
      </c>
      <c r="C6134" s="1" t="s">
        <v>2106</v>
      </c>
      <c r="D6134" s="1" t="s">
        <v>2108</v>
      </c>
    </row>
    <row r="6135">
      <c r="A6135" s="1" t="s">
        <v>13199</v>
      </c>
      <c r="B6135" s="2" t="s">
        <v>11852</v>
      </c>
      <c r="C6135" s="1" t="s">
        <v>2106</v>
      </c>
      <c r="D6135" s="1" t="s">
        <v>2108</v>
      </c>
    </row>
    <row r="6136">
      <c r="A6136" s="1" t="s">
        <v>13200</v>
      </c>
      <c r="B6136" s="2" t="s">
        <v>10850</v>
      </c>
      <c r="C6136" s="1" t="s">
        <v>2106</v>
      </c>
      <c r="D6136" s="1" t="s">
        <v>2108</v>
      </c>
    </row>
    <row r="6137">
      <c r="A6137" s="1" t="s">
        <v>13201</v>
      </c>
      <c r="B6137" s="2" t="s">
        <v>11855</v>
      </c>
      <c r="C6137" s="1" t="s">
        <v>2106</v>
      </c>
      <c r="D6137" s="1" t="s">
        <v>2108</v>
      </c>
    </row>
    <row r="6138">
      <c r="A6138" s="1" t="s">
        <v>13202</v>
      </c>
      <c r="B6138" s="2" t="s">
        <v>11857</v>
      </c>
      <c r="C6138" s="1" t="s">
        <v>2106</v>
      </c>
      <c r="D6138" s="1" t="s">
        <v>2108</v>
      </c>
    </row>
    <row r="6139">
      <c r="A6139" s="1" t="s">
        <v>13203</v>
      </c>
      <c r="B6139" s="2" t="s">
        <v>11859</v>
      </c>
      <c r="C6139" s="1" t="s">
        <v>2106</v>
      </c>
      <c r="D6139" s="1" t="s">
        <v>2108</v>
      </c>
    </row>
    <row r="6140">
      <c r="A6140" s="1" t="s">
        <v>13204</v>
      </c>
      <c r="B6140" s="2" t="s">
        <v>11861</v>
      </c>
      <c r="C6140" s="1" t="s">
        <v>2106</v>
      </c>
      <c r="D6140" s="1" t="s">
        <v>2108</v>
      </c>
    </row>
    <row r="6141">
      <c r="A6141" s="1" t="s">
        <v>13205</v>
      </c>
      <c r="B6141" s="2" t="s">
        <v>11863</v>
      </c>
      <c r="C6141" s="1" t="s">
        <v>2106</v>
      </c>
      <c r="D6141" s="1" t="s">
        <v>2108</v>
      </c>
    </row>
    <row r="6142">
      <c r="A6142" s="1" t="s">
        <v>13206</v>
      </c>
      <c r="B6142" s="2" t="s">
        <v>11865</v>
      </c>
      <c r="C6142" s="1" t="s">
        <v>2106</v>
      </c>
      <c r="D6142" s="1" t="s">
        <v>2108</v>
      </c>
    </row>
    <row r="6143">
      <c r="A6143" s="1" t="s">
        <v>13207</v>
      </c>
      <c r="B6143" s="2" t="s">
        <v>11867</v>
      </c>
      <c r="C6143" s="1" t="s">
        <v>2106</v>
      </c>
      <c r="D6143" s="1" t="s">
        <v>2108</v>
      </c>
    </row>
    <row r="6144">
      <c r="A6144" s="1" t="s">
        <v>13208</v>
      </c>
      <c r="B6144" s="2" t="s">
        <v>11869</v>
      </c>
      <c r="C6144" s="1" t="s">
        <v>2106</v>
      </c>
      <c r="D6144" s="1" t="s">
        <v>2108</v>
      </c>
    </row>
    <row r="6145">
      <c r="A6145" s="1" t="s">
        <v>13209</v>
      </c>
      <c r="B6145" s="2" t="s">
        <v>11871</v>
      </c>
      <c r="C6145" s="1" t="s">
        <v>2106</v>
      </c>
      <c r="D6145" s="1" t="s">
        <v>2108</v>
      </c>
    </row>
    <row r="6146">
      <c r="A6146" s="1" t="s">
        <v>13210</v>
      </c>
      <c r="B6146" s="2" t="s">
        <v>11873</v>
      </c>
      <c r="C6146" s="1" t="s">
        <v>2106</v>
      </c>
      <c r="D6146" s="1" t="s">
        <v>2108</v>
      </c>
    </row>
    <row r="6147">
      <c r="A6147" s="1" t="s">
        <v>13211</v>
      </c>
      <c r="B6147" s="2" t="s">
        <v>11875</v>
      </c>
      <c r="C6147" s="1" t="s">
        <v>2106</v>
      </c>
      <c r="D6147" s="1" t="s">
        <v>2108</v>
      </c>
    </row>
    <row r="6148">
      <c r="A6148" s="1" t="s">
        <v>13212</v>
      </c>
      <c r="B6148" s="2" t="s">
        <v>11877</v>
      </c>
      <c r="C6148" s="1" t="s">
        <v>2106</v>
      </c>
      <c r="D6148" s="1" t="s">
        <v>2108</v>
      </c>
    </row>
    <row r="6149">
      <c r="A6149" s="1" t="s">
        <v>13213</v>
      </c>
      <c r="B6149" s="2" t="s">
        <v>11879</v>
      </c>
      <c r="C6149" s="1" t="s">
        <v>2106</v>
      </c>
      <c r="D6149" s="1" t="s">
        <v>2108</v>
      </c>
    </row>
    <row r="6150">
      <c r="A6150" s="1" t="s">
        <v>13214</v>
      </c>
      <c r="B6150" s="2" t="s">
        <v>11881</v>
      </c>
      <c r="C6150" s="1" t="s">
        <v>2106</v>
      </c>
      <c r="D6150" s="1" t="s">
        <v>2108</v>
      </c>
    </row>
    <row r="6151">
      <c r="A6151" s="1" t="s">
        <v>13215</v>
      </c>
      <c r="B6151" s="2" t="s">
        <v>10356</v>
      </c>
      <c r="C6151" s="1" t="s">
        <v>2106</v>
      </c>
      <c r="D6151" s="1" t="s">
        <v>2108</v>
      </c>
    </row>
    <row r="6152">
      <c r="A6152" s="1" t="s">
        <v>13216</v>
      </c>
      <c r="B6152" s="2" t="s">
        <v>11884</v>
      </c>
      <c r="C6152" s="1" t="s">
        <v>2106</v>
      </c>
      <c r="D6152" s="1" t="s">
        <v>2108</v>
      </c>
    </row>
    <row r="6153">
      <c r="A6153" s="1" t="s">
        <v>13217</v>
      </c>
      <c r="B6153" s="2" t="s">
        <v>11886</v>
      </c>
      <c r="C6153" s="1" t="s">
        <v>2106</v>
      </c>
      <c r="D6153" s="1" t="s">
        <v>2108</v>
      </c>
    </row>
    <row r="6154">
      <c r="A6154" s="1" t="s">
        <v>13218</v>
      </c>
      <c r="B6154" s="2" t="s">
        <v>11888</v>
      </c>
      <c r="C6154" s="1" t="s">
        <v>2106</v>
      </c>
      <c r="D6154" s="1" t="s">
        <v>2108</v>
      </c>
    </row>
    <row r="6155">
      <c r="A6155" s="1" t="s">
        <v>13219</v>
      </c>
      <c r="B6155" s="2" t="s">
        <v>11890</v>
      </c>
      <c r="C6155" s="1" t="s">
        <v>2106</v>
      </c>
      <c r="D6155" s="1" t="s">
        <v>2108</v>
      </c>
    </row>
    <row r="6156">
      <c r="A6156" s="1" t="s">
        <v>13220</v>
      </c>
      <c r="B6156" s="2" t="s">
        <v>11892</v>
      </c>
      <c r="C6156" s="1" t="s">
        <v>2106</v>
      </c>
      <c r="D6156" s="1" t="s">
        <v>2108</v>
      </c>
    </row>
    <row r="6157">
      <c r="A6157" s="1" t="s">
        <v>13221</v>
      </c>
      <c r="B6157" s="2" t="s">
        <v>11894</v>
      </c>
      <c r="C6157" s="1" t="s">
        <v>2106</v>
      </c>
      <c r="D6157" s="1" t="s">
        <v>2108</v>
      </c>
    </row>
    <row r="6158">
      <c r="A6158" s="1" t="s">
        <v>13222</v>
      </c>
      <c r="B6158" s="2" t="s">
        <v>11896</v>
      </c>
      <c r="C6158" s="1" t="s">
        <v>2106</v>
      </c>
      <c r="D6158" s="1" t="s">
        <v>2108</v>
      </c>
    </row>
    <row r="6159">
      <c r="A6159" s="1" t="s">
        <v>13223</v>
      </c>
      <c r="B6159" s="2" t="s">
        <v>11898</v>
      </c>
      <c r="C6159" s="1" t="s">
        <v>2106</v>
      </c>
      <c r="D6159" s="1" t="s">
        <v>2108</v>
      </c>
    </row>
    <row r="6160">
      <c r="A6160" s="1" t="s">
        <v>13224</v>
      </c>
      <c r="B6160" s="2" t="s">
        <v>11900</v>
      </c>
      <c r="C6160" s="1" t="s">
        <v>2106</v>
      </c>
      <c r="D6160" s="1" t="s">
        <v>2108</v>
      </c>
    </row>
    <row r="6161">
      <c r="A6161" s="1" t="s">
        <v>13225</v>
      </c>
      <c r="B6161" s="2" t="s">
        <v>11902</v>
      </c>
      <c r="C6161" s="1" t="s">
        <v>2106</v>
      </c>
      <c r="D6161" s="1" t="s">
        <v>2108</v>
      </c>
    </row>
    <row r="6162">
      <c r="A6162" s="1" t="s">
        <v>13226</v>
      </c>
      <c r="B6162" s="2" t="s">
        <v>11904</v>
      </c>
      <c r="C6162" s="1" t="s">
        <v>2106</v>
      </c>
      <c r="D6162" s="1" t="s">
        <v>2108</v>
      </c>
    </row>
    <row r="6163">
      <c r="A6163" s="1" t="s">
        <v>13227</v>
      </c>
      <c r="B6163" s="2" t="s">
        <v>11906</v>
      </c>
      <c r="C6163" s="1" t="s">
        <v>2106</v>
      </c>
      <c r="D6163" s="1" t="s">
        <v>2108</v>
      </c>
    </row>
    <row r="6164">
      <c r="A6164" s="1" t="s">
        <v>13228</v>
      </c>
      <c r="B6164" s="2" t="s">
        <v>11908</v>
      </c>
      <c r="C6164" s="1" t="s">
        <v>2106</v>
      </c>
      <c r="D6164" s="1" t="s">
        <v>2108</v>
      </c>
    </row>
    <row r="6165">
      <c r="A6165" s="1" t="s">
        <v>13229</v>
      </c>
      <c r="B6165" s="2" t="s">
        <v>11910</v>
      </c>
      <c r="C6165" s="1" t="s">
        <v>2106</v>
      </c>
      <c r="D6165" s="1" t="s">
        <v>2108</v>
      </c>
    </row>
    <row r="6166">
      <c r="A6166" s="1" t="s">
        <v>13230</v>
      </c>
      <c r="B6166" s="2" t="s">
        <v>10881</v>
      </c>
      <c r="C6166" s="1" t="s">
        <v>2106</v>
      </c>
      <c r="D6166" s="1" t="s">
        <v>2108</v>
      </c>
    </row>
    <row r="6167">
      <c r="A6167" s="1" t="s">
        <v>13231</v>
      </c>
      <c r="B6167" s="2" t="s">
        <v>11913</v>
      </c>
      <c r="C6167" s="1" t="s">
        <v>2106</v>
      </c>
      <c r="D6167" s="1" t="s">
        <v>2108</v>
      </c>
    </row>
    <row r="6168">
      <c r="A6168" s="1" t="s">
        <v>13232</v>
      </c>
      <c r="B6168" s="2" t="s">
        <v>11915</v>
      </c>
      <c r="C6168" s="1" t="s">
        <v>2106</v>
      </c>
      <c r="D6168" s="1" t="s">
        <v>2108</v>
      </c>
    </row>
    <row r="6169">
      <c r="A6169" s="1" t="s">
        <v>13233</v>
      </c>
      <c r="B6169" s="2" t="s">
        <v>11917</v>
      </c>
      <c r="C6169" s="1" t="s">
        <v>2106</v>
      </c>
      <c r="D6169" s="1" t="s">
        <v>2108</v>
      </c>
    </row>
    <row r="6170">
      <c r="A6170" s="1" t="s">
        <v>13234</v>
      </c>
      <c r="B6170" s="2" t="s">
        <v>11919</v>
      </c>
      <c r="C6170" s="1" t="s">
        <v>2106</v>
      </c>
      <c r="D6170" s="1" t="s">
        <v>2108</v>
      </c>
    </row>
    <row r="6171">
      <c r="A6171" s="1" t="s">
        <v>13235</v>
      </c>
      <c r="B6171" s="2" t="s">
        <v>11921</v>
      </c>
      <c r="C6171" s="1" t="s">
        <v>2106</v>
      </c>
      <c r="D6171" s="1" t="s">
        <v>2108</v>
      </c>
    </row>
    <row r="6172">
      <c r="A6172" s="1" t="s">
        <v>13236</v>
      </c>
      <c r="B6172" s="2" t="s">
        <v>11923</v>
      </c>
      <c r="C6172" s="1" t="s">
        <v>2106</v>
      </c>
      <c r="D6172" s="1" t="s">
        <v>2108</v>
      </c>
    </row>
    <row r="6173">
      <c r="A6173" s="1" t="s">
        <v>13237</v>
      </c>
      <c r="B6173" s="2" t="s">
        <v>11925</v>
      </c>
      <c r="C6173" s="1" t="s">
        <v>2106</v>
      </c>
      <c r="D6173" s="1" t="s">
        <v>2108</v>
      </c>
    </row>
    <row r="6174">
      <c r="A6174" s="1" t="s">
        <v>13238</v>
      </c>
      <c r="B6174" s="2" t="s">
        <v>11927</v>
      </c>
      <c r="C6174" s="1" t="s">
        <v>2106</v>
      </c>
      <c r="D6174" s="1" t="s">
        <v>2108</v>
      </c>
    </row>
    <row r="6175">
      <c r="A6175" s="1" t="s">
        <v>13239</v>
      </c>
      <c r="B6175" s="2" t="s">
        <v>11929</v>
      </c>
      <c r="C6175" s="1" t="s">
        <v>2106</v>
      </c>
      <c r="D6175" s="1" t="s">
        <v>2108</v>
      </c>
    </row>
    <row r="6176">
      <c r="A6176" s="1" t="s">
        <v>13240</v>
      </c>
      <c r="B6176" s="2" t="s">
        <v>11931</v>
      </c>
      <c r="C6176" s="1" t="s">
        <v>2106</v>
      </c>
      <c r="D6176" s="1" t="s">
        <v>2108</v>
      </c>
    </row>
    <row r="6177">
      <c r="A6177" s="1" t="s">
        <v>13241</v>
      </c>
      <c r="B6177" s="2" t="s">
        <v>11933</v>
      </c>
      <c r="C6177" s="1" t="s">
        <v>2106</v>
      </c>
      <c r="D6177" s="1" t="s">
        <v>2108</v>
      </c>
    </row>
    <row r="6178">
      <c r="A6178" s="1" t="s">
        <v>13242</v>
      </c>
      <c r="B6178" s="2" t="s">
        <v>11935</v>
      </c>
      <c r="C6178" s="1" t="s">
        <v>2106</v>
      </c>
      <c r="D6178" s="1" t="s">
        <v>2108</v>
      </c>
    </row>
    <row r="6179">
      <c r="A6179" s="1" t="s">
        <v>13243</v>
      </c>
      <c r="B6179" s="2" t="s">
        <v>11937</v>
      </c>
      <c r="C6179" s="1" t="s">
        <v>2106</v>
      </c>
      <c r="D6179" s="1" t="s">
        <v>2108</v>
      </c>
    </row>
    <row r="6180">
      <c r="A6180" s="1" t="s">
        <v>13244</v>
      </c>
      <c r="B6180" s="2" t="s">
        <v>11939</v>
      </c>
      <c r="C6180" s="1" t="s">
        <v>2106</v>
      </c>
      <c r="D6180" s="1" t="s">
        <v>2108</v>
      </c>
    </row>
    <row r="6181">
      <c r="A6181" s="1" t="s">
        <v>13245</v>
      </c>
      <c r="B6181" s="2" t="s">
        <v>10897</v>
      </c>
      <c r="C6181" s="1" t="s">
        <v>2106</v>
      </c>
      <c r="D6181" s="1" t="s">
        <v>2108</v>
      </c>
    </row>
    <row r="6182">
      <c r="A6182" s="1" t="s">
        <v>13246</v>
      </c>
      <c r="B6182" s="2" t="s">
        <v>11942</v>
      </c>
      <c r="C6182" s="1" t="s">
        <v>2106</v>
      </c>
      <c r="D6182" s="1" t="s">
        <v>2108</v>
      </c>
    </row>
    <row r="6183">
      <c r="A6183" s="1" t="s">
        <v>13247</v>
      </c>
      <c r="B6183" s="2" t="s">
        <v>11944</v>
      </c>
      <c r="C6183" s="1" t="s">
        <v>2106</v>
      </c>
      <c r="D6183" s="1" t="s">
        <v>2108</v>
      </c>
    </row>
    <row r="6184">
      <c r="A6184" s="1" t="s">
        <v>13248</v>
      </c>
      <c r="B6184" s="2" t="s">
        <v>11946</v>
      </c>
      <c r="C6184" s="1" t="s">
        <v>2106</v>
      </c>
      <c r="D6184" s="1" t="s">
        <v>2108</v>
      </c>
    </row>
    <row r="6185">
      <c r="A6185" s="1" t="s">
        <v>13249</v>
      </c>
      <c r="B6185" s="2" t="s">
        <v>11948</v>
      </c>
      <c r="C6185" s="1" t="s">
        <v>2106</v>
      </c>
      <c r="D6185" s="1" t="s">
        <v>2108</v>
      </c>
    </row>
    <row r="6186">
      <c r="A6186" s="1" t="s">
        <v>13250</v>
      </c>
      <c r="B6186" s="2" t="s">
        <v>11950</v>
      </c>
      <c r="C6186" s="1" t="s">
        <v>2106</v>
      </c>
      <c r="D6186" s="1" t="s">
        <v>2108</v>
      </c>
    </row>
    <row r="6187">
      <c r="A6187" s="1" t="s">
        <v>13251</v>
      </c>
      <c r="B6187" s="2" t="s">
        <v>11952</v>
      </c>
      <c r="C6187" s="1" t="s">
        <v>2106</v>
      </c>
      <c r="D6187" s="1" t="s">
        <v>2108</v>
      </c>
    </row>
    <row r="6188">
      <c r="A6188" s="1" t="s">
        <v>13252</v>
      </c>
      <c r="B6188" s="2" t="s">
        <v>11954</v>
      </c>
      <c r="C6188" s="1" t="s">
        <v>2106</v>
      </c>
      <c r="D6188" s="1" t="s">
        <v>2108</v>
      </c>
    </row>
    <row r="6189">
      <c r="A6189" s="1" t="s">
        <v>13253</v>
      </c>
      <c r="B6189" s="2" t="s">
        <v>11956</v>
      </c>
      <c r="C6189" s="1" t="s">
        <v>2106</v>
      </c>
      <c r="D6189" s="1" t="s">
        <v>2108</v>
      </c>
    </row>
    <row r="6190">
      <c r="A6190" s="1" t="s">
        <v>13254</v>
      </c>
      <c r="B6190" s="2" t="s">
        <v>11958</v>
      </c>
      <c r="C6190" s="1" t="s">
        <v>2106</v>
      </c>
      <c r="D6190" s="1" t="s">
        <v>2108</v>
      </c>
    </row>
    <row r="6191">
      <c r="A6191" s="1" t="s">
        <v>13255</v>
      </c>
      <c r="B6191" s="2" t="s">
        <v>11960</v>
      </c>
      <c r="C6191" s="1" t="s">
        <v>2106</v>
      </c>
      <c r="D6191" s="1" t="s">
        <v>2108</v>
      </c>
    </row>
    <row r="6192">
      <c r="A6192" s="1" t="s">
        <v>13256</v>
      </c>
      <c r="B6192" s="2" t="s">
        <v>11962</v>
      </c>
      <c r="C6192" s="1" t="s">
        <v>2106</v>
      </c>
      <c r="D6192" s="1" t="s">
        <v>2108</v>
      </c>
    </row>
    <row r="6193">
      <c r="A6193" s="1" t="s">
        <v>13257</v>
      </c>
      <c r="B6193" s="2" t="s">
        <v>11964</v>
      </c>
      <c r="C6193" s="1" t="s">
        <v>2106</v>
      </c>
      <c r="D6193" s="1" t="s">
        <v>2108</v>
      </c>
    </row>
    <row r="6194">
      <c r="A6194" s="1" t="s">
        <v>13258</v>
      </c>
      <c r="B6194" s="2" t="s">
        <v>11966</v>
      </c>
      <c r="C6194" s="1" t="s">
        <v>2106</v>
      </c>
      <c r="D6194" s="1" t="s">
        <v>2108</v>
      </c>
    </row>
    <row r="6195">
      <c r="A6195" s="1" t="s">
        <v>13259</v>
      </c>
      <c r="B6195" s="2" t="s">
        <v>11968</v>
      </c>
      <c r="C6195" s="1" t="s">
        <v>2106</v>
      </c>
      <c r="D6195" s="1" t="s">
        <v>2108</v>
      </c>
    </row>
    <row r="6196">
      <c r="A6196" s="1" t="s">
        <v>2113</v>
      </c>
      <c r="B6196" s="2" t="s">
        <v>7</v>
      </c>
      <c r="C6196" s="1" t="s">
        <v>2115</v>
      </c>
      <c r="D6196" s="1" t="s">
        <v>2117</v>
      </c>
    </row>
    <row r="6197">
      <c r="A6197" s="1" t="s">
        <v>13260</v>
      </c>
      <c r="B6197" s="2" t="s">
        <v>11998</v>
      </c>
      <c r="C6197" s="1" t="s">
        <v>2115</v>
      </c>
      <c r="D6197" s="1" t="s">
        <v>2117</v>
      </c>
    </row>
    <row r="6198">
      <c r="A6198" s="1" t="s">
        <v>13261</v>
      </c>
      <c r="B6198" s="2" t="s">
        <v>10610</v>
      </c>
      <c r="C6198" s="1" t="s">
        <v>2115</v>
      </c>
      <c r="D6198" s="1" t="s">
        <v>2117</v>
      </c>
    </row>
    <row r="6199">
      <c r="A6199" s="1" t="s">
        <v>13262</v>
      </c>
      <c r="B6199" s="2" t="s">
        <v>10612</v>
      </c>
      <c r="C6199" s="1" t="s">
        <v>2115</v>
      </c>
      <c r="D6199" s="1" t="s">
        <v>2117</v>
      </c>
    </row>
    <row r="6200">
      <c r="A6200" s="1" t="s">
        <v>13263</v>
      </c>
      <c r="B6200" s="2" t="s">
        <v>10614</v>
      </c>
      <c r="C6200" s="1" t="s">
        <v>2115</v>
      </c>
      <c r="D6200" s="1" t="s">
        <v>2117</v>
      </c>
    </row>
    <row r="6201">
      <c r="A6201" s="1" t="s">
        <v>13264</v>
      </c>
      <c r="B6201" s="2" t="s">
        <v>10616</v>
      </c>
      <c r="C6201" s="1" t="s">
        <v>2115</v>
      </c>
      <c r="D6201" s="1" t="s">
        <v>2117</v>
      </c>
    </row>
    <row r="6202">
      <c r="A6202" s="1" t="s">
        <v>13265</v>
      </c>
      <c r="B6202" s="2" t="s">
        <v>10618</v>
      </c>
      <c r="C6202" s="1" t="s">
        <v>2115</v>
      </c>
      <c r="D6202" s="1" t="s">
        <v>2117</v>
      </c>
    </row>
    <row r="6203">
      <c r="A6203" s="1" t="s">
        <v>13266</v>
      </c>
      <c r="B6203" s="2" t="s">
        <v>12005</v>
      </c>
      <c r="C6203" s="1" t="s">
        <v>2115</v>
      </c>
      <c r="D6203" s="1" t="s">
        <v>2117</v>
      </c>
    </row>
    <row r="6204">
      <c r="A6204" s="1" t="s">
        <v>13267</v>
      </c>
      <c r="B6204" s="2" t="s">
        <v>10624</v>
      </c>
      <c r="C6204" s="1" t="s">
        <v>2115</v>
      </c>
      <c r="D6204" s="1" t="s">
        <v>2117</v>
      </c>
    </row>
    <row r="6205">
      <c r="A6205" s="1" t="s">
        <v>13268</v>
      </c>
      <c r="B6205" s="2" t="s">
        <v>12008</v>
      </c>
      <c r="C6205" s="1" t="s">
        <v>2115</v>
      </c>
      <c r="D6205" s="1" t="s">
        <v>2117</v>
      </c>
    </row>
    <row r="6206">
      <c r="A6206" s="1" t="s">
        <v>13269</v>
      </c>
      <c r="B6206" s="2" t="s">
        <v>10344</v>
      </c>
      <c r="C6206" s="1" t="s">
        <v>2115</v>
      </c>
      <c r="D6206" s="1" t="s">
        <v>2117</v>
      </c>
    </row>
    <row r="6207">
      <c r="A6207" s="1" t="s">
        <v>13270</v>
      </c>
      <c r="B6207" s="2" t="s">
        <v>12011</v>
      </c>
      <c r="C6207" s="1" t="s">
        <v>2115</v>
      </c>
      <c r="D6207" s="1" t="s">
        <v>2117</v>
      </c>
    </row>
    <row r="6208">
      <c r="A6208" s="1" t="s">
        <v>13271</v>
      </c>
      <c r="B6208" s="2" t="s">
        <v>12013</v>
      </c>
      <c r="C6208" s="1" t="s">
        <v>2115</v>
      </c>
      <c r="D6208" s="1" t="s">
        <v>2117</v>
      </c>
    </row>
    <row r="6209">
      <c r="A6209" s="1" t="s">
        <v>13272</v>
      </c>
      <c r="B6209" s="2" t="s">
        <v>12015</v>
      </c>
      <c r="C6209" s="1" t="s">
        <v>2115</v>
      </c>
      <c r="D6209" s="1" t="s">
        <v>2117</v>
      </c>
    </row>
    <row r="6210">
      <c r="A6210" s="1" t="s">
        <v>13273</v>
      </c>
      <c r="B6210" s="2" t="s">
        <v>12017</v>
      </c>
      <c r="C6210" s="1" t="s">
        <v>2115</v>
      </c>
      <c r="D6210" s="1" t="s">
        <v>2117</v>
      </c>
    </row>
    <row r="6211">
      <c r="A6211" s="1" t="s">
        <v>13274</v>
      </c>
      <c r="B6211" s="2" t="s">
        <v>12019</v>
      </c>
      <c r="C6211" s="1" t="s">
        <v>2115</v>
      </c>
      <c r="D6211" s="1" t="s">
        <v>2117</v>
      </c>
    </row>
    <row r="6212">
      <c r="A6212" s="1" t="s">
        <v>13275</v>
      </c>
      <c r="B6212" s="2" t="s">
        <v>12021</v>
      </c>
      <c r="C6212" s="1" t="s">
        <v>2115</v>
      </c>
      <c r="D6212" s="1" t="s">
        <v>2117</v>
      </c>
    </row>
    <row r="6213">
      <c r="A6213" s="1" t="s">
        <v>13276</v>
      </c>
      <c r="B6213" s="2" t="s">
        <v>12023</v>
      </c>
      <c r="C6213" s="1" t="s">
        <v>2115</v>
      </c>
      <c r="D6213" s="1" t="s">
        <v>2117</v>
      </c>
    </row>
    <row r="6214">
      <c r="A6214" s="1" t="s">
        <v>13277</v>
      </c>
      <c r="B6214" s="2" t="s">
        <v>12025</v>
      </c>
      <c r="C6214" s="1" t="s">
        <v>2115</v>
      </c>
      <c r="D6214" s="1" t="s">
        <v>2117</v>
      </c>
    </row>
    <row r="6215">
      <c r="A6215" s="1" t="s">
        <v>13278</v>
      </c>
      <c r="B6215" s="2" t="s">
        <v>12027</v>
      </c>
      <c r="C6215" s="1" t="s">
        <v>2115</v>
      </c>
      <c r="D6215" s="1" t="s">
        <v>2117</v>
      </c>
    </row>
    <row r="6216">
      <c r="A6216" s="1" t="s">
        <v>13279</v>
      </c>
      <c r="B6216" s="2" t="s">
        <v>12029</v>
      </c>
      <c r="C6216" s="1" t="s">
        <v>2115</v>
      </c>
      <c r="D6216" s="1" t="s">
        <v>2117</v>
      </c>
    </row>
    <row r="6217">
      <c r="A6217" s="1" t="s">
        <v>13280</v>
      </c>
      <c r="B6217" s="2" t="s">
        <v>12031</v>
      </c>
      <c r="C6217" s="1" t="s">
        <v>2115</v>
      </c>
      <c r="D6217" s="1" t="s">
        <v>2117</v>
      </c>
    </row>
    <row r="6218">
      <c r="A6218" s="1" t="s">
        <v>13281</v>
      </c>
      <c r="B6218" s="2" t="s">
        <v>12033</v>
      </c>
      <c r="C6218" s="1" t="s">
        <v>2115</v>
      </c>
      <c r="D6218" s="1" t="s">
        <v>2117</v>
      </c>
    </row>
    <row r="6219">
      <c r="A6219" s="1" t="s">
        <v>13282</v>
      </c>
      <c r="B6219" s="2" t="s">
        <v>12035</v>
      </c>
      <c r="C6219" s="1" t="s">
        <v>2115</v>
      </c>
      <c r="D6219" s="1" t="s">
        <v>2117</v>
      </c>
    </row>
    <row r="6220">
      <c r="A6220" s="1" t="s">
        <v>13283</v>
      </c>
      <c r="B6220" s="2" t="s">
        <v>12037</v>
      </c>
      <c r="C6220" s="1" t="s">
        <v>2115</v>
      </c>
      <c r="D6220" s="1" t="s">
        <v>2117</v>
      </c>
    </row>
    <row r="6221">
      <c r="A6221" s="1" t="s">
        <v>13284</v>
      </c>
      <c r="B6221" s="2" t="s">
        <v>12039</v>
      </c>
      <c r="C6221" s="1" t="s">
        <v>2115</v>
      </c>
      <c r="D6221" s="1" t="s">
        <v>2117</v>
      </c>
    </row>
    <row r="6222">
      <c r="A6222" s="1" t="s">
        <v>13285</v>
      </c>
      <c r="B6222" s="2" t="s">
        <v>12041</v>
      </c>
      <c r="C6222" s="1" t="s">
        <v>2115</v>
      </c>
      <c r="D6222" s="1" t="s">
        <v>2117</v>
      </c>
    </row>
    <row r="6223">
      <c r="A6223" s="1" t="s">
        <v>13286</v>
      </c>
      <c r="B6223" s="2" t="s">
        <v>12043</v>
      </c>
      <c r="C6223" s="1" t="s">
        <v>2115</v>
      </c>
      <c r="D6223" s="1" t="s">
        <v>2117</v>
      </c>
    </row>
    <row r="6224">
      <c r="A6224" s="1" t="s">
        <v>13287</v>
      </c>
      <c r="B6224" s="2" t="s">
        <v>12045</v>
      </c>
      <c r="C6224" s="1" t="s">
        <v>2115</v>
      </c>
      <c r="D6224" s="1" t="s">
        <v>2117</v>
      </c>
    </row>
    <row r="6225">
      <c r="A6225" s="1" t="s">
        <v>13288</v>
      </c>
      <c r="B6225" s="2" t="s">
        <v>12047</v>
      </c>
      <c r="C6225" s="1" t="s">
        <v>2115</v>
      </c>
      <c r="D6225" s="1" t="s">
        <v>2117</v>
      </c>
    </row>
    <row r="6226">
      <c r="A6226" s="1" t="s">
        <v>13289</v>
      </c>
      <c r="B6226" s="2" t="s">
        <v>10348</v>
      </c>
      <c r="C6226" s="1" t="s">
        <v>2115</v>
      </c>
      <c r="D6226" s="1" t="s">
        <v>2117</v>
      </c>
    </row>
    <row r="6227">
      <c r="A6227" s="1" t="s">
        <v>13290</v>
      </c>
      <c r="B6227" s="2" t="s">
        <v>12050</v>
      </c>
      <c r="C6227" s="1" t="s">
        <v>2115</v>
      </c>
      <c r="D6227" s="1" t="s">
        <v>2117</v>
      </c>
    </row>
    <row r="6228">
      <c r="A6228" s="1" t="s">
        <v>13291</v>
      </c>
      <c r="B6228" s="2" t="s">
        <v>12052</v>
      </c>
      <c r="C6228" s="1" t="s">
        <v>2115</v>
      </c>
      <c r="D6228" s="1" t="s">
        <v>2117</v>
      </c>
    </row>
    <row r="6229">
      <c r="A6229" s="1" t="s">
        <v>13292</v>
      </c>
      <c r="B6229" s="2" t="s">
        <v>12054</v>
      </c>
      <c r="C6229" s="1" t="s">
        <v>2115</v>
      </c>
      <c r="D6229" s="1" t="s">
        <v>2117</v>
      </c>
    </row>
    <row r="6230">
      <c r="A6230" s="1" t="s">
        <v>13293</v>
      </c>
      <c r="B6230" s="2" t="s">
        <v>12056</v>
      </c>
      <c r="C6230" s="1" t="s">
        <v>2115</v>
      </c>
      <c r="D6230" s="1" t="s">
        <v>2117</v>
      </c>
    </row>
    <row r="6231">
      <c r="A6231" s="1" t="s">
        <v>13294</v>
      </c>
      <c r="B6231" s="2" t="s">
        <v>12058</v>
      </c>
      <c r="C6231" s="1" t="s">
        <v>2115</v>
      </c>
      <c r="D6231" s="1" t="s">
        <v>2117</v>
      </c>
    </row>
    <row r="6232">
      <c r="A6232" s="1" t="s">
        <v>13295</v>
      </c>
      <c r="B6232" s="2" t="s">
        <v>12060</v>
      </c>
      <c r="C6232" s="1" t="s">
        <v>2115</v>
      </c>
      <c r="D6232" s="1" t="s">
        <v>2117</v>
      </c>
    </row>
    <row r="6233">
      <c r="A6233" s="1" t="s">
        <v>13296</v>
      </c>
      <c r="B6233" s="2" t="s">
        <v>12062</v>
      </c>
      <c r="C6233" s="1" t="s">
        <v>2115</v>
      </c>
      <c r="D6233" s="1" t="s">
        <v>2117</v>
      </c>
    </row>
    <row r="6234">
      <c r="A6234" s="1" t="s">
        <v>13297</v>
      </c>
      <c r="B6234" s="2" t="s">
        <v>12064</v>
      </c>
      <c r="C6234" s="1" t="s">
        <v>2115</v>
      </c>
      <c r="D6234" s="1" t="s">
        <v>2117</v>
      </c>
    </row>
    <row r="6235">
      <c r="A6235" s="1" t="s">
        <v>13298</v>
      </c>
      <c r="B6235" s="2" t="s">
        <v>12066</v>
      </c>
      <c r="C6235" s="1" t="s">
        <v>2115</v>
      </c>
      <c r="D6235" s="1" t="s">
        <v>2117</v>
      </c>
    </row>
    <row r="6236">
      <c r="A6236" s="1" t="s">
        <v>13299</v>
      </c>
      <c r="B6236" s="2" t="s">
        <v>12068</v>
      </c>
      <c r="C6236" s="1" t="s">
        <v>2115</v>
      </c>
      <c r="D6236" s="1" t="s">
        <v>2117</v>
      </c>
    </row>
    <row r="6237">
      <c r="A6237" s="1" t="s">
        <v>13300</v>
      </c>
      <c r="B6237" s="2" t="s">
        <v>12070</v>
      </c>
      <c r="C6237" s="1" t="s">
        <v>2115</v>
      </c>
      <c r="D6237" s="1" t="s">
        <v>2117</v>
      </c>
    </row>
    <row r="6238">
      <c r="A6238" s="1" t="s">
        <v>13301</v>
      </c>
      <c r="B6238" s="2" t="s">
        <v>12072</v>
      </c>
      <c r="C6238" s="1" t="s">
        <v>2115</v>
      </c>
      <c r="D6238" s="1" t="s">
        <v>2117</v>
      </c>
    </row>
    <row r="6239">
      <c r="A6239" s="1" t="s">
        <v>13302</v>
      </c>
      <c r="B6239" s="2" t="s">
        <v>12074</v>
      </c>
      <c r="C6239" s="1" t="s">
        <v>2115</v>
      </c>
      <c r="D6239" s="1" t="s">
        <v>2117</v>
      </c>
    </row>
    <row r="6240">
      <c r="A6240" s="1" t="s">
        <v>13303</v>
      </c>
      <c r="B6240" s="2" t="s">
        <v>12076</v>
      </c>
      <c r="C6240" s="1" t="s">
        <v>2115</v>
      </c>
      <c r="D6240" s="1" t="s">
        <v>2117</v>
      </c>
    </row>
    <row r="6241">
      <c r="A6241" s="1" t="s">
        <v>13304</v>
      </c>
      <c r="B6241" s="2" t="s">
        <v>12078</v>
      </c>
      <c r="C6241" s="1" t="s">
        <v>2115</v>
      </c>
      <c r="D6241" s="1" t="s">
        <v>2117</v>
      </c>
    </row>
    <row r="6242">
      <c r="A6242" s="1" t="s">
        <v>13305</v>
      </c>
      <c r="B6242" s="2" t="s">
        <v>12080</v>
      </c>
      <c r="C6242" s="1" t="s">
        <v>2115</v>
      </c>
      <c r="D6242" s="1" t="s">
        <v>2117</v>
      </c>
    </row>
    <row r="6243">
      <c r="A6243" s="1" t="s">
        <v>13306</v>
      </c>
      <c r="B6243" s="2" t="s">
        <v>12082</v>
      </c>
      <c r="C6243" s="1" t="s">
        <v>2115</v>
      </c>
      <c r="D6243" s="1" t="s">
        <v>2117</v>
      </c>
    </row>
    <row r="6244">
      <c r="A6244" s="1" t="s">
        <v>13307</v>
      </c>
      <c r="B6244" s="2" t="s">
        <v>12084</v>
      </c>
      <c r="C6244" s="1" t="s">
        <v>2115</v>
      </c>
      <c r="D6244" s="1" t="s">
        <v>2117</v>
      </c>
    </row>
    <row r="6245">
      <c r="A6245" s="1" t="s">
        <v>13308</v>
      </c>
      <c r="B6245" s="2" t="s">
        <v>12086</v>
      </c>
      <c r="C6245" s="1" t="s">
        <v>2115</v>
      </c>
      <c r="D6245" s="1" t="s">
        <v>2117</v>
      </c>
    </row>
    <row r="6246">
      <c r="A6246" s="1" t="s">
        <v>13309</v>
      </c>
      <c r="B6246" s="2" t="s">
        <v>12088</v>
      </c>
      <c r="C6246" s="1" t="s">
        <v>2115</v>
      </c>
      <c r="D6246" s="1" t="s">
        <v>2117</v>
      </c>
    </row>
    <row r="6247">
      <c r="A6247" s="1" t="s">
        <v>13310</v>
      </c>
      <c r="B6247" s="2" t="s">
        <v>12090</v>
      </c>
      <c r="C6247" s="1" t="s">
        <v>2115</v>
      </c>
      <c r="D6247" s="1" t="s">
        <v>2117</v>
      </c>
    </row>
    <row r="6248">
      <c r="A6248" s="1" t="s">
        <v>13311</v>
      </c>
      <c r="B6248" s="2" t="s">
        <v>12092</v>
      </c>
      <c r="C6248" s="1" t="s">
        <v>2115</v>
      </c>
      <c r="D6248" s="1" t="s">
        <v>2117</v>
      </c>
    </row>
    <row r="6249">
      <c r="A6249" s="1" t="s">
        <v>13312</v>
      </c>
      <c r="B6249" s="2" t="s">
        <v>12094</v>
      </c>
      <c r="C6249" s="1" t="s">
        <v>2115</v>
      </c>
      <c r="D6249" s="1" t="s">
        <v>2117</v>
      </c>
    </row>
    <row r="6250">
      <c r="A6250" s="1" t="s">
        <v>13313</v>
      </c>
      <c r="B6250" s="2" t="s">
        <v>12096</v>
      </c>
      <c r="C6250" s="1" t="s">
        <v>2115</v>
      </c>
      <c r="D6250" s="1" t="s">
        <v>2117</v>
      </c>
    </row>
    <row r="6251">
      <c r="A6251" s="1" t="s">
        <v>13314</v>
      </c>
      <c r="B6251" s="2" t="s">
        <v>12098</v>
      </c>
      <c r="C6251" s="1" t="s">
        <v>2115</v>
      </c>
      <c r="D6251" s="1" t="s">
        <v>2117</v>
      </c>
    </row>
    <row r="6252">
      <c r="A6252" s="1" t="s">
        <v>13315</v>
      </c>
      <c r="B6252" s="2" t="s">
        <v>12100</v>
      </c>
      <c r="C6252" s="1" t="s">
        <v>2115</v>
      </c>
      <c r="D6252" s="1" t="s">
        <v>2117</v>
      </c>
    </row>
    <row r="6253">
      <c r="A6253" s="1" t="s">
        <v>13316</v>
      </c>
      <c r="B6253" s="2" t="s">
        <v>12102</v>
      </c>
      <c r="C6253" s="1" t="s">
        <v>2115</v>
      </c>
      <c r="D6253" s="1" t="s">
        <v>2117</v>
      </c>
    </row>
    <row r="6254">
      <c r="A6254" s="1" t="s">
        <v>13317</v>
      </c>
      <c r="B6254" s="2" t="s">
        <v>12104</v>
      </c>
      <c r="C6254" s="1" t="s">
        <v>2115</v>
      </c>
      <c r="D6254" s="1" t="s">
        <v>2117</v>
      </c>
    </row>
    <row r="6255">
      <c r="A6255" s="1" t="s">
        <v>13318</v>
      </c>
      <c r="B6255" s="2" t="s">
        <v>12106</v>
      </c>
      <c r="C6255" s="1" t="s">
        <v>2115</v>
      </c>
      <c r="D6255" s="1" t="s">
        <v>2117</v>
      </c>
    </row>
    <row r="6256">
      <c r="A6256" s="1" t="s">
        <v>13319</v>
      </c>
      <c r="B6256" s="2" t="s">
        <v>10356</v>
      </c>
      <c r="C6256" s="1" t="s">
        <v>2115</v>
      </c>
      <c r="D6256" s="1" t="s">
        <v>2117</v>
      </c>
    </row>
    <row r="6257">
      <c r="A6257" s="1" t="s">
        <v>13320</v>
      </c>
      <c r="B6257" s="2" t="s">
        <v>12109</v>
      </c>
      <c r="C6257" s="1" t="s">
        <v>2115</v>
      </c>
      <c r="D6257" s="1" t="s">
        <v>2117</v>
      </c>
    </row>
    <row r="6258">
      <c r="A6258" s="1" t="s">
        <v>13321</v>
      </c>
      <c r="B6258" s="2" t="s">
        <v>12111</v>
      </c>
      <c r="C6258" s="1" t="s">
        <v>2115</v>
      </c>
      <c r="D6258" s="1" t="s">
        <v>2117</v>
      </c>
    </row>
    <row r="6259">
      <c r="A6259" s="1" t="s">
        <v>13322</v>
      </c>
      <c r="B6259" s="2" t="s">
        <v>12113</v>
      </c>
      <c r="C6259" s="1" t="s">
        <v>2115</v>
      </c>
      <c r="D6259" s="1" t="s">
        <v>2117</v>
      </c>
    </row>
    <row r="6260">
      <c r="A6260" s="1" t="s">
        <v>13323</v>
      </c>
      <c r="B6260" s="2" t="s">
        <v>12115</v>
      </c>
      <c r="C6260" s="1" t="s">
        <v>2115</v>
      </c>
      <c r="D6260" s="1" t="s">
        <v>2117</v>
      </c>
    </row>
    <row r="6261">
      <c r="A6261" s="1" t="s">
        <v>13324</v>
      </c>
      <c r="B6261" s="2" t="s">
        <v>12117</v>
      </c>
      <c r="C6261" s="1" t="s">
        <v>2115</v>
      </c>
      <c r="D6261" s="1" t="s">
        <v>2117</v>
      </c>
    </row>
    <row r="6262">
      <c r="A6262" s="1" t="s">
        <v>13325</v>
      </c>
      <c r="B6262" s="2" t="s">
        <v>12119</v>
      </c>
      <c r="C6262" s="1" t="s">
        <v>2115</v>
      </c>
      <c r="D6262" s="1" t="s">
        <v>2117</v>
      </c>
    </row>
    <row r="6263">
      <c r="A6263" s="1" t="s">
        <v>13326</v>
      </c>
      <c r="B6263" s="2" t="s">
        <v>12121</v>
      </c>
      <c r="C6263" s="1" t="s">
        <v>2115</v>
      </c>
      <c r="D6263" s="1" t="s">
        <v>2117</v>
      </c>
    </row>
    <row r="6264">
      <c r="A6264" s="1" t="s">
        <v>13327</v>
      </c>
      <c r="B6264" s="2" t="s">
        <v>12123</v>
      </c>
      <c r="C6264" s="1" t="s">
        <v>2115</v>
      </c>
      <c r="D6264" s="1" t="s">
        <v>2117</v>
      </c>
    </row>
    <row r="6265">
      <c r="A6265" s="1" t="s">
        <v>13328</v>
      </c>
      <c r="B6265" s="2" t="s">
        <v>12125</v>
      </c>
      <c r="C6265" s="1" t="s">
        <v>2115</v>
      </c>
      <c r="D6265" s="1" t="s">
        <v>2117</v>
      </c>
    </row>
    <row r="6266">
      <c r="A6266" s="1" t="s">
        <v>13329</v>
      </c>
      <c r="B6266" s="2" t="s">
        <v>12127</v>
      </c>
      <c r="C6266" s="1" t="s">
        <v>2115</v>
      </c>
      <c r="D6266" s="1" t="s">
        <v>2117</v>
      </c>
    </row>
    <row r="6267">
      <c r="A6267" s="1" t="s">
        <v>13330</v>
      </c>
      <c r="B6267" s="2" t="s">
        <v>12129</v>
      </c>
      <c r="C6267" s="1" t="s">
        <v>2115</v>
      </c>
      <c r="D6267" s="1" t="s">
        <v>2117</v>
      </c>
    </row>
    <row r="6268">
      <c r="A6268" s="1" t="s">
        <v>13331</v>
      </c>
      <c r="B6268" s="2" t="s">
        <v>12131</v>
      </c>
      <c r="C6268" s="1" t="s">
        <v>2115</v>
      </c>
      <c r="D6268" s="1" t="s">
        <v>2117</v>
      </c>
    </row>
    <row r="6269">
      <c r="A6269" s="1" t="s">
        <v>13332</v>
      </c>
      <c r="B6269" s="2" t="s">
        <v>12133</v>
      </c>
      <c r="C6269" s="1" t="s">
        <v>2115</v>
      </c>
      <c r="D6269" s="1" t="s">
        <v>2117</v>
      </c>
    </row>
    <row r="6270">
      <c r="A6270" s="1" t="s">
        <v>13333</v>
      </c>
      <c r="B6270" s="2" t="s">
        <v>12135</v>
      </c>
      <c r="C6270" s="1" t="s">
        <v>2115</v>
      </c>
      <c r="D6270" s="1" t="s">
        <v>2117</v>
      </c>
    </row>
    <row r="6271">
      <c r="A6271" s="1" t="s">
        <v>13334</v>
      </c>
      <c r="B6271" s="2" t="s">
        <v>12137</v>
      </c>
      <c r="C6271" s="1" t="s">
        <v>2115</v>
      </c>
      <c r="D6271" s="1" t="s">
        <v>2117</v>
      </c>
    </row>
    <row r="6272">
      <c r="A6272" s="1" t="s">
        <v>13335</v>
      </c>
      <c r="B6272" s="2" t="s">
        <v>12139</v>
      </c>
      <c r="C6272" s="1" t="s">
        <v>2115</v>
      </c>
      <c r="D6272" s="1" t="s">
        <v>2117</v>
      </c>
    </row>
    <row r="6273">
      <c r="A6273" s="1" t="s">
        <v>13336</v>
      </c>
      <c r="B6273" s="2" t="s">
        <v>12141</v>
      </c>
      <c r="C6273" s="1" t="s">
        <v>2115</v>
      </c>
      <c r="D6273" s="1" t="s">
        <v>2117</v>
      </c>
    </row>
    <row r="6274">
      <c r="A6274" s="1" t="s">
        <v>13337</v>
      </c>
      <c r="B6274" s="2" t="s">
        <v>12143</v>
      </c>
      <c r="C6274" s="1" t="s">
        <v>2115</v>
      </c>
      <c r="D6274" s="1" t="s">
        <v>2117</v>
      </c>
    </row>
    <row r="6275">
      <c r="A6275" s="1" t="s">
        <v>13338</v>
      </c>
      <c r="B6275" s="2" t="s">
        <v>12145</v>
      </c>
      <c r="C6275" s="1" t="s">
        <v>2115</v>
      </c>
      <c r="D6275" s="1" t="s">
        <v>2117</v>
      </c>
    </row>
    <row r="6276">
      <c r="A6276" s="1" t="s">
        <v>13339</v>
      </c>
      <c r="B6276" s="2" t="s">
        <v>13340</v>
      </c>
      <c r="C6276" s="1" t="s">
        <v>2115</v>
      </c>
      <c r="D6276" s="1" t="s">
        <v>2117</v>
      </c>
    </row>
    <row r="6277">
      <c r="A6277" s="1" t="s">
        <v>13341</v>
      </c>
      <c r="B6277" s="2" t="s">
        <v>13342</v>
      </c>
      <c r="C6277" s="1" t="s">
        <v>2115</v>
      </c>
      <c r="D6277" s="1" t="s">
        <v>2117</v>
      </c>
    </row>
    <row r="6278">
      <c r="A6278" s="1" t="s">
        <v>13343</v>
      </c>
      <c r="B6278" s="2" t="s">
        <v>13344</v>
      </c>
      <c r="C6278" s="1" t="s">
        <v>2115</v>
      </c>
      <c r="D6278" s="1" t="s">
        <v>2117</v>
      </c>
    </row>
    <row r="6279">
      <c r="A6279" s="1" t="s">
        <v>13345</v>
      </c>
      <c r="B6279" s="2" t="s">
        <v>13346</v>
      </c>
      <c r="C6279" s="1" t="s">
        <v>2115</v>
      </c>
      <c r="D6279" s="1" t="s">
        <v>2117</v>
      </c>
    </row>
    <row r="6280">
      <c r="A6280" s="1" t="s">
        <v>13347</v>
      </c>
      <c r="B6280" s="2" t="s">
        <v>13348</v>
      </c>
      <c r="C6280" s="1" t="s">
        <v>2115</v>
      </c>
      <c r="D6280" s="1" t="s">
        <v>2117</v>
      </c>
    </row>
    <row r="6281">
      <c r="A6281" s="1" t="s">
        <v>13349</v>
      </c>
      <c r="B6281" s="2" t="s">
        <v>13350</v>
      </c>
      <c r="C6281" s="1" t="s">
        <v>2115</v>
      </c>
      <c r="D6281" s="1" t="s">
        <v>2117</v>
      </c>
    </row>
    <row r="6282">
      <c r="A6282" s="1" t="s">
        <v>13351</v>
      </c>
      <c r="B6282" s="2" t="s">
        <v>13352</v>
      </c>
      <c r="C6282" s="1" t="s">
        <v>2115</v>
      </c>
      <c r="D6282" s="1" t="s">
        <v>2117</v>
      </c>
    </row>
    <row r="6283">
      <c r="A6283" s="1" t="s">
        <v>13353</v>
      </c>
      <c r="B6283" s="2" t="s">
        <v>13354</v>
      </c>
      <c r="C6283" s="1" t="s">
        <v>2115</v>
      </c>
      <c r="D6283" s="1" t="s">
        <v>2117</v>
      </c>
    </row>
    <row r="6284">
      <c r="A6284" s="1" t="s">
        <v>13355</v>
      </c>
      <c r="B6284" s="2" t="s">
        <v>13356</v>
      </c>
      <c r="C6284" s="1" t="s">
        <v>2115</v>
      </c>
      <c r="D6284" s="1" t="s">
        <v>2117</v>
      </c>
    </row>
    <row r="6285">
      <c r="A6285" s="1" t="s">
        <v>13357</v>
      </c>
      <c r="B6285" s="2" t="s">
        <v>13358</v>
      </c>
      <c r="C6285" s="1" t="s">
        <v>2115</v>
      </c>
      <c r="D6285" s="1" t="s">
        <v>2117</v>
      </c>
    </row>
    <row r="6286">
      <c r="A6286" s="1" t="s">
        <v>13359</v>
      </c>
      <c r="B6286" s="2" t="s">
        <v>12167</v>
      </c>
      <c r="C6286" s="1" t="s">
        <v>2115</v>
      </c>
      <c r="D6286" s="1" t="s">
        <v>2117</v>
      </c>
    </row>
    <row r="6287">
      <c r="A6287" s="1" t="s">
        <v>13360</v>
      </c>
      <c r="B6287" s="2" t="s">
        <v>12169</v>
      </c>
      <c r="C6287" s="1" t="s">
        <v>2115</v>
      </c>
      <c r="D6287" s="1" t="s">
        <v>2117</v>
      </c>
    </row>
    <row r="6288">
      <c r="A6288" s="1" t="s">
        <v>13361</v>
      </c>
      <c r="B6288" s="2" t="s">
        <v>12171</v>
      </c>
      <c r="C6288" s="1" t="s">
        <v>2115</v>
      </c>
      <c r="D6288" s="1" t="s">
        <v>2117</v>
      </c>
    </row>
    <row r="6289">
      <c r="A6289" s="1" t="s">
        <v>13362</v>
      </c>
      <c r="B6289" s="2" t="s">
        <v>12173</v>
      </c>
      <c r="C6289" s="1" t="s">
        <v>2115</v>
      </c>
      <c r="D6289" s="1" t="s">
        <v>2117</v>
      </c>
    </row>
    <row r="6290">
      <c r="A6290" s="1" t="s">
        <v>13363</v>
      </c>
      <c r="B6290" s="2" t="s">
        <v>12175</v>
      </c>
      <c r="C6290" s="1" t="s">
        <v>2115</v>
      </c>
      <c r="D6290" s="1" t="s">
        <v>2117</v>
      </c>
    </row>
    <row r="6291">
      <c r="A6291" s="1" t="s">
        <v>13364</v>
      </c>
      <c r="B6291" s="2" t="s">
        <v>12177</v>
      </c>
      <c r="C6291" s="1" t="s">
        <v>2115</v>
      </c>
      <c r="D6291" s="1" t="s">
        <v>2117</v>
      </c>
    </row>
    <row r="6292">
      <c r="A6292" s="1" t="s">
        <v>13365</v>
      </c>
      <c r="B6292" s="2" t="s">
        <v>12179</v>
      </c>
      <c r="C6292" s="1" t="s">
        <v>2115</v>
      </c>
      <c r="D6292" s="1" t="s">
        <v>2117</v>
      </c>
    </row>
    <row r="6293">
      <c r="A6293" s="1" t="s">
        <v>13366</v>
      </c>
      <c r="B6293" s="2" t="s">
        <v>12181</v>
      </c>
      <c r="C6293" s="1" t="s">
        <v>2115</v>
      </c>
      <c r="D6293" s="1" t="s">
        <v>2117</v>
      </c>
    </row>
    <row r="6294">
      <c r="A6294" s="1" t="s">
        <v>13367</v>
      </c>
      <c r="B6294" s="2" t="s">
        <v>12183</v>
      </c>
      <c r="C6294" s="1" t="s">
        <v>2115</v>
      </c>
      <c r="D6294" s="1" t="s">
        <v>2117</v>
      </c>
    </row>
    <row r="6295">
      <c r="A6295" s="1" t="s">
        <v>13368</v>
      </c>
      <c r="B6295" s="2" t="s">
        <v>12185</v>
      </c>
      <c r="C6295" s="1" t="s">
        <v>2115</v>
      </c>
      <c r="D6295" s="1" t="s">
        <v>2117</v>
      </c>
    </row>
    <row r="6296">
      <c r="A6296" s="1" t="s">
        <v>13369</v>
      </c>
      <c r="B6296" s="2" t="s">
        <v>10881</v>
      </c>
      <c r="C6296" s="1" t="s">
        <v>2115</v>
      </c>
      <c r="D6296" s="1" t="s">
        <v>2117</v>
      </c>
    </row>
    <row r="6297">
      <c r="A6297" s="1" t="s">
        <v>13370</v>
      </c>
      <c r="B6297" s="2" t="s">
        <v>12188</v>
      </c>
      <c r="C6297" s="1" t="s">
        <v>2115</v>
      </c>
      <c r="D6297" s="1" t="s">
        <v>2117</v>
      </c>
    </row>
    <row r="6298">
      <c r="A6298" s="1" t="s">
        <v>13371</v>
      </c>
      <c r="B6298" s="2" t="s">
        <v>12190</v>
      </c>
      <c r="C6298" s="1" t="s">
        <v>2115</v>
      </c>
      <c r="D6298" s="1" t="s">
        <v>2117</v>
      </c>
    </row>
    <row r="6299">
      <c r="A6299" s="1" t="s">
        <v>13372</v>
      </c>
      <c r="B6299" s="2" t="s">
        <v>12192</v>
      </c>
      <c r="C6299" s="1" t="s">
        <v>2115</v>
      </c>
      <c r="D6299" s="1" t="s">
        <v>2117</v>
      </c>
    </row>
    <row r="6300">
      <c r="A6300" s="1" t="s">
        <v>13373</v>
      </c>
      <c r="B6300" s="2" t="s">
        <v>12194</v>
      </c>
      <c r="C6300" s="1" t="s">
        <v>2115</v>
      </c>
      <c r="D6300" s="1" t="s">
        <v>2117</v>
      </c>
    </row>
    <row r="6301">
      <c r="A6301" s="1" t="s">
        <v>13374</v>
      </c>
      <c r="B6301" s="2" t="s">
        <v>12196</v>
      </c>
      <c r="C6301" s="1" t="s">
        <v>2115</v>
      </c>
      <c r="D6301" s="1" t="s">
        <v>2117</v>
      </c>
    </row>
    <row r="6302">
      <c r="A6302" s="1" t="s">
        <v>13375</v>
      </c>
      <c r="B6302" s="2" t="s">
        <v>12198</v>
      </c>
      <c r="C6302" s="1" t="s">
        <v>2115</v>
      </c>
      <c r="D6302" s="1" t="s">
        <v>2117</v>
      </c>
    </row>
    <row r="6303">
      <c r="A6303" s="1" t="s">
        <v>13376</v>
      </c>
      <c r="B6303" s="2" t="s">
        <v>12200</v>
      </c>
      <c r="C6303" s="1" t="s">
        <v>2115</v>
      </c>
      <c r="D6303" s="1" t="s">
        <v>2117</v>
      </c>
    </row>
    <row r="6304">
      <c r="A6304" s="1" t="s">
        <v>13377</v>
      </c>
      <c r="B6304" s="2" t="s">
        <v>12202</v>
      </c>
      <c r="C6304" s="1" t="s">
        <v>2115</v>
      </c>
      <c r="D6304" s="1" t="s">
        <v>2117</v>
      </c>
    </row>
    <row r="6305">
      <c r="A6305" s="1" t="s">
        <v>13378</v>
      </c>
      <c r="B6305" s="2" t="s">
        <v>12204</v>
      </c>
      <c r="C6305" s="1" t="s">
        <v>2115</v>
      </c>
      <c r="D6305" s="1" t="s">
        <v>2117</v>
      </c>
    </row>
    <row r="6306">
      <c r="A6306" s="1" t="s">
        <v>13379</v>
      </c>
      <c r="B6306" s="2" t="s">
        <v>10897</v>
      </c>
      <c r="C6306" s="1" t="s">
        <v>2115</v>
      </c>
      <c r="D6306" s="1" t="s">
        <v>2117</v>
      </c>
    </row>
    <row r="6307">
      <c r="A6307" s="1" t="s">
        <v>13380</v>
      </c>
      <c r="B6307" s="2" t="s">
        <v>12207</v>
      </c>
      <c r="C6307" s="1" t="s">
        <v>2115</v>
      </c>
      <c r="D6307" s="1" t="s">
        <v>2117</v>
      </c>
    </row>
    <row r="6308">
      <c r="A6308" s="1" t="s">
        <v>13381</v>
      </c>
      <c r="B6308" s="2" t="s">
        <v>12209</v>
      </c>
      <c r="C6308" s="1" t="s">
        <v>2115</v>
      </c>
      <c r="D6308" s="1" t="s">
        <v>2117</v>
      </c>
    </row>
    <row r="6309">
      <c r="A6309" s="1" t="s">
        <v>13382</v>
      </c>
      <c r="B6309" s="2" t="s">
        <v>12211</v>
      </c>
      <c r="C6309" s="1" t="s">
        <v>2115</v>
      </c>
      <c r="D6309" s="1" t="s">
        <v>2117</v>
      </c>
    </row>
    <row r="6310">
      <c r="A6310" s="1" t="s">
        <v>13383</v>
      </c>
      <c r="B6310" s="2" t="s">
        <v>12213</v>
      </c>
      <c r="C6310" s="1" t="s">
        <v>2115</v>
      </c>
      <c r="D6310" s="1" t="s">
        <v>2117</v>
      </c>
    </row>
    <row r="6311">
      <c r="A6311" s="1" t="s">
        <v>13384</v>
      </c>
      <c r="B6311" s="2" t="s">
        <v>12215</v>
      </c>
      <c r="C6311" s="1" t="s">
        <v>2115</v>
      </c>
      <c r="D6311" s="1" t="s">
        <v>2117</v>
      </c>
    </row>
    <row r="6312">
      <c r="A6312" s="1" t="s">
        <v>13385</v>
      </c>
      <c r="B6312" s="2" t="s">
        <v>12217</v>
      </c>
      <c r="C6312" s="1" t="s">
        <v>2115</v>
      </c>
      <c r="D6312" s="1" t="s">
        <v>2117</v>
      </c>
    </row>
    <row r="6313">
      <c r="A6313" s="1" t="s">
        <v>13386</v>
      </c>
      <c r="B6313" s="2" t="s">
        <v>12219</v>
      </c>
      <c r="C6313" s="1" t="s">
        <v>2115</v>
      </c>
      <c r="D6313" s="1" t="s">
        <v>2117</v>
      </c>
    </row>
    <row r="6314">
      <c r="A6314" s="1" t="s">
        <v>13387</v>
      </c>
      <c r="B6314" s="2" t="s">
        <v>12221</v>
      </c>
      <c r="C6314" s="1" t="s">
        <v>2115</v>
      </c>
      <c r="D6314" s="1" t="s">
        <v>2117</v>
      </c>
    </row>
    <row r="6315">
      <c r="A6315" s="1" t="s">
        <v>13388</v>
      </c>
      <c r="B6315" s="2" t="s">
        <v>12223</v>
      </c>
      <c r="C6315" s="1" t="s">
        <v>2115</v>
      </c>
      <c r="D6315" s="1" t="s">
        <v>2117</v>
      </c>
    </row>
    <row r="6316">
      <c r="A6316" s="1" t="s">
        <v>2122</v>
      </c>
      <c r="B6316" s="2" t="s">
        <v>1524</v>
      </c>
      <c r="C6316" s="1" t="s">
        <v>2125</v>
      </c>
      <c r="D6316" s="1" t="s">
        <v>2126</v>
      </c>
    </row>
    <row r="6317">
      <c r="A6317" s="1" t="s">
        <v>13389</v>
      </c>
      <c r="B6317" s="2" t="s">
        <v>12243</v>
      </c>
      <c r="C6317" s="1" t="s">
        <v>2125</v>
      </c>
      <c r="D6317" s="1" t="s">
        <v>2126</v>
      </c>
    </row>
    <row r="6318">
      <c r="A6318" s="1" t="s">
        <v>13390</v>
      </c>
      <c r="B6318" s="2" t="s">
        <v>12245</v>
      </c>
      <c r="C6318" s="1" t="s">
        <v>2125</v>
      </c>
      <c r="D6318" s="1" t="s">
        <v>2126</v>
      </c>
    </row>
    <row r="6319">
      <c r="A6319" s="1" t="s">
        <v>13391</v>
      </c>
      <c r="B6319" s="2" t="s">
        <v>12247</v>
      </c>
      <c r="C6319" s="1" t="s">
        <v>2125</v>
      </c>
      <c r="D6319" s="1" t="s">
        <v>2126</v>
      </c>
    </row>
    <row r="6320">
      <c r="A6320" s="1" t="s">
        <v>13392</v>
      </c>
      <c r="B6320" s="2" t="s">
        <v>12249</v>
      </c>
      <c r="C6320" s="1" t="s">
        <v>2125</v>
      </c>
      <c r="D6320" s="1" t="s">
        <v>2126</v>
      </c>
    </row>
    <row r="6321">
      <c r="A6321" s="1" t="s">
        <v>13393</v>
      </c>
      <c r="B6321" s="2" t="s">
        <v>12251</v>
      </c>
      <c r="C6321" s="1" t="s">
        <v>2125</v>
      </c>
      <c r="D6321" s="1" t="s">
        <v>2126</v>
      </c>
    </row>
    <row r="6322">
      <c r="A6322" s="1" t="s">
        <v>13394</v>
      </c>
      <c r="B6322" s="2" t="s">
        <v>12253</v>
      </c>
      <c r="C6322" s="1" t="s">
        <v>2125</v>
      </c>
      <c r="D6322" s="1" t="s">
        <v>2126</v>
      </c>
    </row>
    <row r="6323">
      <c r="A6323" s="1" t="s">
        <v>13395</v>
      </c>
      <c r="B6323" s="2" t="s">
        <v>13396</v>
      </c>
      <c r="C6323" s="1" t="s">
        <v>2125</v>
      </c>
      <c r="D6323" s="1" t="s">
        <v>2126</v>
      </c>
    </row>
    <row r="6324">
      <c r="A6324" s="1" t="s">
        <v>13397</v>
      </c>
      <c r="B6324" s="2" t="s">
        <v>13398</v>
      </c>
      <c r="C6324" s="1" t="s">
        <v>2125</v>
      </c>
      <c r="D6324" s="1" t="s">
        <v>2126</v>
      </c>
    </row>
    <row r="6325">
      <c r="A6325" s="1" t="s">
        <v>13399</v>
      </c>
      <c r="B6325" s="2" t="s">
        <v>12259</v>
      </c>
      <c r="C6325" s="1" t="s">
        <v>2125</v>
      </c>
      <c r="D6325" s="1" t="s">
        <v>2126</v>
      </c>
    </row>
    <row r="6326">
      <c r="A6326" s="1" t="s">
        <v>13400</v>
      </c>
      <c r="B6326" s="2" t="s">
        <v>12261</v>
      </c>
      <c r="C6326" s="1" t="s">
        <v>2125</v>
      </c>
      <c r="D6326" s="1" t="s">
        <v>2126</v>
      </c>
    </row>
    <row r="6327">
      <c r="A6327" s="1" t="s">
        <v>13401</v>
      </c>
      <c r="B6327" s="2" t="s">
        <v>12263</v>
      </c>
      <c r="C6327" s="1" t="s">
        <v>2125</v>
      </c>
      <c r="D6327" s="1" t="s">
        <v>2126</v>
      </c>
    </row>
    <row r="6328">
      <c r="A6328" s="1" t="s">
        <v>2129</v>
      </c>
      <c r="B6328" s="2" t="s">
        <v>7</v>
      </c>
      <c r="C6328" s="1" t="s">
        <v>2130</v>
      </c>
      <c r="D6328" s="1" t="s">
        <v>2131</v>
      </c>
    </row>
    <row r="6329">
      <c r="A6329" s="1" t="s">
        <v>13402</v>
      </c>
      <c r="B6329" s="2" t="s">
        <v>8614</v>
      </c>
      <c r="C6329" s="1" t="s">
        <v>2130</v>
      </c>
      <c r="D6329" s="1" t="s">
        <v>2131</v>
      </c>
    </row>
    <row r="6330">
      <c r="A6330" s="1" t="s">
        <v>13403</v>
      </c>
      <c r="B6330" s="2" t="s">
        <v>8616</v>
      </c>
      <c r="C6330" s="1" t="s">
        <v>2130</v>
      </c>
      <c r="D6330" s="1" t="s">
        <v>2131</v>
      </c>
    </row>
    <row r="6331">
      <c r="A6331" s="1" t="s">
        <v>13404</v>
      </c>
      <c r="B6331" s="2" t="s">
        <v>10834</v>
      </c>
      <c r="C6331" s="1" t="s">
        <v>2130</v>
      </c>
      <c r="D6331" s="1" t="s">
        <v>2131</v>
      </c>
    </row>
    <row r="6332">
      <c r="A6332" s="1" t="s">
        <v>13405</v>
      </c>
      <c r="B6332" s="2" t="s">
        <v>12268</v>
      </c>
      <c r="C6332" s="1" t="s">
        <v>2130</v>
      </c>
      <c r="D6332" s="1" t="s">
        <v>2131</v>
      </c>
    </row>
    <row r="6333">
      <c r="A6333" s="1" t="s">
        <v>13406</v>
      </c>
      <c r="B6333" s="2" t="s">
        <v>12270</v>
      </c>
      <c r="C6333" s="1" t="s">
        <v>2130</v>
      </c>
      <c r="D6333" s="1" t="s">
        <v>2131</v>
      </c>
    </row>
    <row r="6334">
      <c r="A6334" s="1" t="s">
        <v>13407</v>
      </c>
      <c r="B6334" s="2" t="s">
        <v>10850</v>
      </c>
      <c r="C6334" s="1" t="s">
        <v>2130</v>
      </c>
      <c r="D6334" s="1" t="s">
        <v>2131</v>
      </c>
    </row>
    <row r="6335">
      <c r="A6335" s="1" t="s">
        <v>13408</v>
      </c>
      <c r="B6335" s="2" t="s">
        <v>12273</v>
      </c>
      <c r="C6335" s="1" t="s">
        <v>2130</v>
      </c>
      <c r="D6335" s="1" t="s">
        <v>2131</v>
      </c>
    </row>
    <row r="6336">
      <c r="A6336" s="1" t="s">
        <v>13409</v>
      </c>
      <c r="B6336" s="2" t="s">
        <v>12275</v>
      </c>
      <c r="C6336" s="1" t="s">
        <v>2130</v>
      </c>
      <c r="D6336" s="1" t="s">
        <v>2131</v>
      </c>
    </row>
    <row r="6337">
      <c r="A6337" s="1" t="s">
        <v>13410</v>
      </c>
      <c r="B6337" s="2" t="s">
        <v>10356</v>
      </c>
      <c r="C6337" s="1" t="s">
        <v>2130</v>
      </c>
      <c r="D6337" s="1" t="s">
        <v>2131</v>
      </c>
    </row>
    <row r="6338">
      <c r="A6338" s="1" t="s">
        <v>13411</v>
      </c>
      <c r="B6338" s="2" t="s">
        <v>12278</v>
      </c>
      <c r="C6338" s="1" t="s">
        <v>2130</v>
      </c>
      <c r="D6338" s="1" t="s">
        <v>2131</v>
      </c>
    </row>
    <row r="6339">
      <c r="A6339" s="1" t="s">
        <v>13412</v>
      </c>
      <c r="B6339" s="2" t="s">
        <v>12280</v>
      </c>
      <c r="C6339" s="1" t="s">
        <v>2130</v>
      </c>
      <c r="D6339" s="1" t="s">
        <v>2131</v>
      </c>
    </row>
    <row r="6340">
      <c r="A6340" s="1" t="s">
        <v>13413</v>
      </c>
      <c r="B6340" s="2" t="s">
        <v>10881</v>
      </c>
      <c r="C6340" s="1" t="s">
        <v>2130</v>
      </c>
      <c r="D6340" s="1" t="s">
        <v>2131</v>
      </c>
    </row>
    <row r="6341">
      <c r="A6341" s="1" t="s">
        <v>13414</v>
      </c>
      <c r="B6341" s="2" t="s">
        <v>12283</v>
      </c>
      <c r="C6341" s="1" t="s">
        <v>2130</v>
      </c>
      <c r="D6341" s="1" t="s">
        <v>2131</v>
      </c>
    </row>
    <row r="6342">
      <c r="A6342" s="1" t="s">
        <v>13415</v>
      </c>
      <c r="B6342" s="2" t="s">
        <v>12285</v>
      </c>
      <c r="C6342" s="1" t="s">
        <v>2130</v>
      </c>
      <c r="D6342" s="1" t="s">
        <v>2131</v>
      </c>
    </row>
    <row r="6343">
      <c r="A6343" s="1" t="s">
        <v>13416</v>
      </c>
      <c r="B6343" s="2" t="s">
        <v>10897</v>
      </c>
      <c r="C6343" s="1" t="s">
        <v>2130</v>
      </c>
      <c r="D6343" s="1" t="s">
        <v>2131</v>
      </c>
    </row>
    <row r="6344">
      <c r="A6344" s="1" t="s">
        <v>13417</v>
      </c>
      <c r="B6344" s="2" t="s">
        <v>12288</v>
      </c>
      <c r="C6344" s="1" t="s">
        <v>2130</v>
      </c>
      <c r="D6344" s="1" t="s">
        <v>2131</v>
      </c>
    </row>
    <row r="6345">
      <c r="A6345" s="1" t="s">
        <v>13418</v>
      </c>
      <c r="B6345" s="2" t="s">
        <v>12290</v>
      </c>
      <c r="C6345" s="1" t="s">
        <v>2130</v>
      </c>
      <c r="D6345" s="1" t="s">
        <v>2131</v>
      </c>
    </row>
    <row r="6346">
      <c r="A6346" s="1" t="s">
        <v>13419</v>
      </c>
      <c r="B6346" s="2" t="s">
        <v>11047</v>
      </c>
      <c r="C6346" s="1" t="s">
        <v>2130</v>
      </c>
      <c r="D6346" s="1" t="s">
        <v>2131</v>
      </c>
    </row>
    <row r="6347">
      <c r="A6347" s="1" t="s">
        <v>13420</v>
      </c>
      <c r="B6347" s="2" t="s">
        <v>12293</v>
      </c>
      <c r="C6347" s="1" t="s">
        <v>2130</v>
      </c>
      <c r="D6347" s="1" t="s">
        <v>2131</v>
      </c>
    </row>
    <row r="6348">
      <c r="A6348" s="1" t="s">
        <v>13421</v>
      </c>
      <c r="B6348" s="2" t="s">
        <v>12295</v>
      </c>
      <c r="C6348" s="1" t="s">
        <v>2130</v>
      </c>
      <c r="D6348" s="1" t="s">
        <v>2131</v>
      </c>
    </row>
    <row r="6349">
      <c r="A6349" s="1" t="s">
        <v>2137</v>
      </c>
      <c r="B6349" s="2" t="s">
        <v>7</v>
      </c>
      <c r="C6349" s="1" t="s">
        <v>2141</v>
      </c>
      <c r="D6349" s="1" t="s">
        <v>2142</v>
      </c>
    </row>
    <row r="6350">
      <c r="A6350" s="1" t="s">
        <v>13422</v>
      </c>
      <c r="B6350" s="2" t="s">
        <v>10684</v>
      </c>
      <c r="C6350" s="1" t="s">
        <v>2141</v>
      </c>
      <c r="D6350" s="1" t="s">
        <v>2142</v>
      </c>
    </row>
    <row r="6351">
      <c r="A6351" s="1" t="s">
        <v>13423</v>
      </c>
      <c r="B6351" s="2" t="s">
        <v>10686</v>
      </c>
      <c r="C6351" s="1" t="s">
        <v>2141</v>
      </c>
      <c r="D6351" s="1" t="s">
        <v>2142</v>
      </c>
    </row>
    <row r="6352">
      <c r="A6352" s="1" t="s">
        <v>13424</v>
      </c>
      <c r="B6352" s="2" t="s">
        <v>10688</v>
      </c>
      <c r="C6352" s="1" t="s">
        <v>2141</v>
      </c>
      <c r="D6352" s="1" t="s">
        <v>2142</v>
      </c>
    </row>
    <row r="6353">
      <c r="A6353" s="1" t="s">
        <v>13425</v>
      </c>
      <c r="B6353" s="2" t="s">
        <v>12300</v>
      </c>
      <c r="C6353" s="1" t="s">
        <v>2141</v>
      </c>
      <c r="D6353" s="1" t="s">
        <v>2142</v>
      </c>
    </row>
    <row r="6354">
      <c r="A6354" s="1" t="s">
        <v>13426</v>
      </c>
      <c r="B6354" s="2" t="s">
        <v>10834</v>
      </c>
      <c r="C6354" s="1" t="s">
        <v>2141</v>
      </c>
      <c r="D6354" s="1" t="s">
        <v>2142</v>
      </c>
    </row>
    <row r="6355">
      <c r="A6355" s="1" t="s">
        <v>13427</v>
      </c>
      <c r="B6355" s="2" t="s">
        <v>12303</v>
      </c>
      <c r="C6355" s="1" t="s">
        <v>2141</v>
      </c>
      <c r="D6355" s="1" t="s">
        <v>2142</v>
      </c>
    </row>
    <row r="6356">
      <c r="A6356" s="1" t="s">
        <v>13428</v>
      </c>
      <c r="B6356" s="2" t="s">
        <v>12305</v>
      </c>
      <c r="C6356" s="1" t="s">
        <v>2141</v>
      </c>
      <c r="D6356" s="1" t="s">
        <v>2142</v>
      </c>
    </row>
    <row r="6357">
      <c r="A6357" s="1" t="s">
        <v>13429</v>
      </c>
      <c r="B6357" s="2" t="s">
        <v>12307</v>
      </c>
      <c r="C6357" s="1" t="s">
        <v>2141</v>
      </c>
      <c r="D6357" s="1" t="s">
        <v>2142</v>
      </c>
    </row>
    <row r="6358">
      <c r="A6358" s="1" t="s">
        <v>13430</v>
      </c>
      <c r="B6358" s="2" t="s">
        <v>12309</v>
      </c>
      <c r="C6358" s="1" t="s">
        <v>2141</v>
      </c>
      <c r="D6358" s="1" t="s">
        <v>2142</v>
      </c>
    </row>
    <row r="6359">
      <c r="A6359" s="1" t="s">
        <v>13431</v>
      </c>
      <c r="B6359" s="2" t="s">
        <v>10850</v>
      </c>
      <c r="C6359" s="1" t="s">
        <v>2141</v>
      </c>
      <c r="D6359" s="1" t="s">
        <v>2142</v>
      </c>
    </row>
    <row r="6360">
      <c r="A6360" s="1" t="s">
        <v>13432</v>
      </c>
      <c r="B6360" s="2" t="s">
        <v>12312</v>
      </c>
      <c r="C6360" s="1" t="s">
        <v>2141</v>
      </c>
      <c r="D6360" s="1" t="s">
        <v>2142</v>
      </c>
    </row>
    <row r="6361">
      <c r="A6361" s="1" t="s">
        <v>13433</v>
      </c>
      <c r="B6361" s="2" t="s">
        <v>12314</v>
      </c>
      <c r="C6361" s="1" t="s">
        <v>2141</v>
      </c>
      <c r="D6361" s="1" t="s">
        <v>2142</v>
      </c>
    </row>
    <row r="6362">
      <c r="A6362" s="1" t="s">
        <v>13434</v>
      </c>
      <c r="B6362" s="2" t="s">
        <v>12316</v>
      </c>
      <c r="C6362" s="1" t="s">
        <v>2141</v>
      </c>
      <c r="D6362" s="1" t="s">
        <v>2142</v>
      </c>
    </row>
    <row r="6363">
      <c r="A6363" s="1" t="s">
        <v>13435</v>
      </c>
      <c r="B6363" s="2" t="s">
        <v>12318</v>
      </c>
      <c r="C6363" s="1" t="s">
        <v>2141</v>
      </c>
      <c r="D6363" s="1" t="s">
        <v>2142</v>
      </c>
    </row>
    <row r="6364">
      <c r="A6364" s="1" t="s">
        <v>13436</v>
      </c>
      <c r="B6364" s="2" t="s">
        <v>10356</v>
      </c>
      <c r="C6364" s="1" t="s">
        <v>2141</v>
      </c>
      <c r="D6364" s="1" t="s">
        <v>2142</v>
      </c>
    </row>
    <row r="6365">
      <c r="A6365" s="1" t="s">
        <v>13437</v>
      </c>
      <c r="B6365" s="2" t="s">
        <v>12321</v>
      </c>
      <c r="C6365" s="1" t="s">
        <v>2141</v>
      </c>
      <c r="D6365" s="1" t="s">
        <v>2142</v>
      </c>
    </row>
    <row r="6366">
      <c r="A6366" s="1" t="s">
        <v>13438</v>
      </c>
      <c r="B6366" s="2" t="s">
        <v>12323</v>
      </c>
      <c r="C6366" s="1" t="s">
        <v>2141</v>
      </c>
      <c r="D6366" s="1" t="s">
        <v>2142</v>
      </c>
    </row>
    <row r="6367">
      <c r="A6367" s="1" t="s">
        <v>13439</v>
      </c>
      <c r="B6367" s="2" t="s">
        <v>12325</v>
      </c>
      <c r="C6367" s="1" t="s">
        <v>2141</v>
      </c>
      <c r="D6367" s="1" t="s">
        <v>2142</v>
      </c>
    </row>
    <row r="6368">
      <c r="A6368" s="1" t="s">
        <v>13440</v>
      </c>
      <c r="B6368" s="2" t="s">
        <v>12327</v>
      </c>
      <c r="C6368" s="1" t="s">
        <v>2141</v>
      </c>
      <c r="D6368" s="1" t="s">
        <v>2142</v>
      </c>
    </row>
    <row r="6369">
      <c r="A6369" s="1" t="s">
        <v>13441</v>
      </c>
      <c r="B6369" s="2" t="s">
        <v>10881</v>
      </c>
      <c r="C6369" s="1" t="s">
        <v>2141</v>
      </c>
      <c r="D6369" s="1" t="s">
        <v>2142</v>
      </c>
    </row>
    <row r="6370">
      <c r="A6370" s="1" t="s">
        <v>13442</v>
      </c>
      <c r="B6370" s="2" t="s">
        <v>12330</v>
      </c>
      <c r="C6370" s="1" t="s">
        <v>2141</v>
      </c>
      <c r="D6370" s="1" t="s">
        <v>2142</v>
      </c>
    </row>
    <row r="6371">
      <c r="A6371" s="1" t="s">
        <v>13443</v>
      </c>
      <c r="B6371" s="2" t="s">
        <v>12332</v>
      </c>
      <c r="C6371" s="1" t="s">
        <v>2141</v>
      </c>
      <c r="D6371" s="1" t="s">
        <v>2142</v>
      </c>
    </row>
    <row r="6372">
      <c r="A6372" s="1" t="s">
        <v>13444</v>
      </c>
      <c r="B6372" s="2" t="s">
        <v>12334</v>
      </c>
      <c r="C6372" s="1" t="s">
        <v>2141</v>
      </c>
      <c r="D6372" s="1" t="s">
        <v>2142</v>
      </c>
    </row>
    <row r="6373">
      <c r="A6373" s="1" t="s">
        <v>13445</v>
      </c>
      <c r="B6373" s="2" t="s">
        <v>12336</v>
      </c>
      <c r="C6373" s="1" t="s">
        <v>2141</v>
      </c>
      <c r="D6373" s="1" t="s">
        <v>2142</v>
      </c>
    </row>
    <row r="6374">
      <c r="A6374" s="1" t="s">
        <v>13446</v>
      </c>
      <c r="B6374" s="2" t="s">
        <v>10897</v>
      </c>
      <c r="C6374" s="1" t="s">
        <v>2141</v>
      </c>
      <c r="D6374" s="1" t="s">
        <v>2142</v>
      </c>
    </row>
    <row r="6375">
      <c r="A6375" s="1" t="s">
        <v>13447</v>
      </c>
      <c r="B6375" s="2" t="s">
        <v>12339</v>
      </c>
      <c r="C6375" s="1" t="s">
        <v>2141</v>
      </c>
      <c r="D6375" s="1" t="s">
        <v>2142</v>
      </c>
    </row>
    <row r="6376">
      <c r="A6376" s="1" t="s">
        <v>13448</v>
      </c>
      <c r="B6376" s="2" t="s">
        <v>12341</v>
      </c>
      <c r="C6376" s="1" t="s">
        <v>2141</v>
      </c>
      <c r="D6376" s="1" t="s">
        <v>2142</v>
      </c>
    </row>
    <row r="6377">
      <c r="A6377" s="1" t="s">
        <v>13449</v>
      </c>
      <c r="B6377" s="2" t="s">
        <v>12343</v>
      </c>
      <c r="C6377" s="1" t="s">
        <v>2141</v>
      </c>
      <c r="D6377" s="1" t="s">
        <v>2142</v>
      </c>
    </row>
    <row r="6378">
      <c r="A6378" s="1" t="s">
        <v>13450</v>
      </c>
      <c r="B6378" s="2" t="s">
        <v>12345</v>
      </c>
      <c r="C6378" s="1" t="s">
        <v>2141</v>
      </c>
      <c r="D6378" s="1" t="s">
        <v>2142</v>
      </c>
    </row>
    <row r="6379">
      <c r="A6379" s="1" t="s">
        <v>13451</v>
      </c>
      <c r="B6379" s="2" t="s">
        <v>11047</v>
      </c>
      <c r="C6379" s="1" t="s">
        <v>2141</v>
      </c>
      <c r="D6379" s="1" t="s">
        <v>2142</v>
      </c>
    </row>
    <row r="6380">
      <c r="A6380" s="1" t="s">
        <v>13452</v>
      </c>
      <c r="B6380" s="2" t="s">
        <v>12348</v>
      </c>
      <c r="C6380" s="1" t="s">
        <v>2141</v>
      </c>
      <c r="D6380" s="1" t="s">
        <v>2142</v>
      </c>
    </row>
    <row r="6381">
      <c r="A6381" s="1" t="s">
        <v>13453</v>
      </c>
      <c r="B6381" s="2" t="s">
        <v>12350</v>
      </c>
      <c r="C6381" s="1" t="s">
        <v>2141</v>
      </c>
      <c r="D6381" s="1" t="s">
        <v>2142</v>
      </c>
    </row>
    <row r="6382">
      <c r="A6382" s="1" t="s">
        <v>13454</v>
      </c>
      <c r="B6382" s="2" t="s">
        <v>12352</v>
      </c>
      <c r="C6382" s="1" t="s">
        <v>2141</v>
      </c>
      <c r="D6382" s="1" t="s">
        <v>2142</v>
      </c>
    </row>
    <row r="6383">
      <c r="A6383" s="1" t="s">
        <v>13455</v>
      </c>
      <c r="B6383" s="2" t="s">
        <v>12354</v>
      </c>
      <c r="C6383" s="1" t="s">
        <v>2141</v>
      </c>
      <c r="D6383" s="1" t="s">
        <v>2142</v>
      </c>
    </row>
    <row r="6384">
      <c r="A6384" s="1" t="s">
        <v>2147</v>
      </c>
      <c r="B6384" s="2" t="s">
        <v>7</v>
      </c>
      <c r="C6384" s="1" t="s">
        <v>2150</v>
      </c>
      <c r="D6384" s="1" t="s">
        <v>2151</v>
      </c>
    </row>
    <row r="6385">
      <c r="A6385" s="1" t="s">
        <v>13456</v>
      </c>
      <c r="B6385" s="2" t="s">
        <v>10344</v>
      </c>
      <c r="C6385" s="1" t="s">
        <v>2150</v>
      </c>
      <c r="D6385" s="1" t="s">
        <v>2151</v>
      </c>
    </row>
    <row r="6386">
      <c r="A6386" s="1" t="s">
        <v>13457</v>
      </c>
      <c r="B6386" s="2" t="s">
        <v>10346</v>
      </c>
      <c r="C6386" s="1" t="s">
        <v>2150</v>
      </c>
      <c r="D6386" s="1" t="s">
        <v>2151</v>
      </c>
    </row>
    <row r="6387">
      <c r="A6387" s="1" t="s">
        <v>13458</v>
      </c>
      <c r="B6387" s="2" t="s">
        <v>10348</v>
      </c>
      <c r="C6387" s="1" t="s">
        <v>2150</v>
      </c>
      <c r="D6387" s="1" t="s">
        <v>2151</v>
      </c>
    </row>
    <row r="6388">
      <c r="A6388" s="1" t="s">
        <v>13459</v>
      </c>
      <c r="B6388" s="2" t="s">
        <v>10350</v>
      </c>
      <c r="C6388" s="1" t="s">
        <v>2150</v>
      </c>
      <c r="D6388" s="1" t="s">
        <v>2151</v>
      </c>
    </row>
    <row r="6389">
      <c r="A6389" s="1" t="s">
        <v>13460</v>
      </c>
      <c r="B6389" s="2" t="s">
        <v>10352</v>
      </c>
      <c r="C6389" s="1" t="s">
        <v>2150</v>
      </c>
      <c r="D6389" s="1" t="s">
        <v>2151</v>
      </c>
    </row>
    <row r="6390">
      <c r="A6390" s="1" t="s">
        <v>13461</v>
      </c>
      <c r="B6390" s="2" t="s">
        <v>12506</v>
      </c>
      <c r="C6390" s="1" t="s">
        <v>2150</v>
      </c>
      <c r="D6390" s="1" t="s">
        <v>2151</v>
      </c>
    </row>
    <row r="6391">
      <c r="A6391" s="1" t="s">
        <v>13462</v>
      </c>
      <c r="B6391" s="2" t="s">
        <v>12508</v>
      </c>
      <c r="C6391" s="1" t="s">
        <v>2150</v>
      </c>
      <c r="D6391" s="1" t="s">
        <v>2151</v>
      </c>
    </row>
    <row r="6392">
      <c r="A6392" s="1" t="s">
        <v>13463</v>
      </c>
      <c r="B6392" s="2" t="s">
        <v>12510</v>
      </c>
      <c r="C6392" s="1" t="s">
        <v>2150</v>
      </c>
      <c r="D6392" s="1" t="s">
        <v>2151</v>
      </c>
    </row>
    <row r="6393">
      <c r="A6393" s="1" t="s">
        <v>13464</v>
      </c>
      <c r="B6393" s="2" t="s">
        <v>10356</v>
      </c>
      <c r="C6393" s="1" t="s">
        <v>2150</v>
      </c>
      <c r="D6393" s="1" t="s">
        <v>2151</v>
      </c>
    </row>
    <row r="6394">
      <c r="A6394" s="1" t="s">
        <v>13465</v>
      </c>
      <c r="B6394" s="2" t="s">
        <v>10358</v>
      </c>
      <c r="C6394" s="1" t="s">
        <v>2150</v>
      </c>
      <c r="D6394" s="1" t="s">
        <v>2151</v>
      </c>
    </row>
    <row r="6395">
      <c r="A6395" s="1" t="s">
        <v>13466</v>
      </c>
      <c r="B6395" s="2" t="s">
        <v>10360</v>
      </c>
      <c r="C6395" s="1" t="s">
        <v>2150</v>
      </c>
      <c r="D6395" s="1" t="s">
        <v>2151</v>
      </c>
    </row>
    <row r="6396">
      <c r="A6396" s="1" t="s">
        <v>13467</v>
      </c>
      <c r="B6396" s="2" t="s">
        <v>10362</v>
      </c>
      <c r="C6396" s="1" t="s">
        <v>2150</v>
      </c>
      <c r="D6396" s="1" t="s">
        <v>2151</v>
      </c>
    </row>
    <row r="6397">
      <c r="A6397" s="1" t="s">
        <v>13468</v>
      </c>
      <c r="B6397" s="2" t="s">
        <v>10364</v>
      </c>
      <c r="C6397" s="1" t="s">
        <v>2150</v>
      </c>
      <c r="D6397" s="1" t="s">
        <v>2151</v>
      </c>
    </row>
    <row r="6398">
      <c r="A6398" s="1" t="s">
        <v>13469</v>
      </c>
      <c r="B6398" s="2" t="s">
        <v>10366</v>
      </c>
      <c r="C6398" s="1" t="s">
        <v>2150</v>
      </c>
      <c r="D6398" s="1" t="s">
        <v>2151</v>
      </c>
    </row>
    <row r="6399">
      <c r="A6399" s="1" t="s">
        <v>13470</v>
      </c>
      <c r="B6399" s="2" t="s">
        <v>12518</v>
      </c>
      <c r="C6399" s="1" t="s">
        <v>2150</v>
      </c>
      <c r="D6399" s="1" t="s">
        <v>2151</v>
      </c>
    </row>
    <row r="6400">
      <c r="A6400" s="1" t="s">
        <v>13471</v>
      </c>
      <c r="B6400" s="2" t="s">
        <v>12520</v>
      </c>
      <c r="C6400" s="1" t="s">
        <v>2150</v>
      </c>
      <c r="D6400" s="1" t="s">
        <v>2151</v>
      </c>
    </row>
    <row r="6401">
      <c r="A6401" s="1" t="s">
        <v>13472</v>
      </c>
      <c r="B6401" s="2" t="s">
        <v>10368</v>
      </c>
      <c r="C6401" s="1" t="s">
        <v>2150</v>
      </c>
      <c r="D6401" s="1" t="s">
        <v>2151</v>
      </c>
    </row>
    <row r="6402">
      <c r="A6402" s="1" t="s">
        <v>13473</v>
      </c>
      <c r="B6402" s="2" t="s">
        <v>10370</v>
      </c>
      <c r="C6402" s="1" t="s">
        <v>2150</v>
      </c>
      <c r="D6402" s="1" t="s">
        <v>2151</v>
      </c>
    </row>
    <row r="6403">
      <c r="A6403" s="1" t="s">
        <v>13474</v>
      </c>
      <c r="B6403" s="2" t="s">
        <v>12524</v>
      </c>
      <c r="C6403" s="1" t="s">
        <v>2150</v>
      </c>
      <c r="D6403" s="1" t="s">
        <v>2151</v>
      </c>
    </row>
    <row r="6404">
      <c r="A6404" s="1" t="s">
        <v>13475</v>
      </c>
      <c r="B6404" s="2" t="s">
        <v>10374</v>
      </c>
      <c r="C6404" s="1" t="s">
        <v>2150</v>
      </c>
      <c r="D6404" s="1" t="s">
        <v>2151</v>
      </c>
    </row>
    <row r="6405">
      <c r="A6405" s="1" t="s">
        <v>2157</v>
      </c>
      <c r="B6405" s="2" t="s">
        <v>7</v>
      </c>
      <c r="C6405" s="1" t="s">
        <v>2159</v>
      </c>
      <c r="D6405" s="1" t="s">
        <v>2161</v>
      </c>
    </row>
    <row r="6406">
      <c r="A6406" s="1" t="s">
        <v>13476</v>
      </c>
      <c r="B6406" s="2" t="s">
        <v>10520</v>
      </c>
      <c r="C6406" s="1" t="s">
        <v>2159</v>
      </c>
      <c r="D6406" s="1" t="s">
        <v>2161</v>
      </c>
    </row>
    <row r="6407">
      <c r="A6407" s="1" t="s">
        <v>13477</v>
      </c>
      <c r="B6407" s="2" t="s">
        <v>10522</v>
      </c>
      <c r="C6407" s="1" t="s">
        <v>2159</v>
      </c>
      <c r="D6407" s="1" t="s">
        <v>2161</v>
      </c>
    </row>
    <row r="6408">
      <c r="A6408" s="1" t="s">
        <v>13478</v>
      </c>
      <c r="B6408" s="2" t="s">
        <v>10524</v>
      </c>
      <c r="C6408" s="1" t="s">
        <v>2159</v>
      </c>
      <c r="D6408" s="1" t="s">
        <v>2161</v>
      </c>
    </row>
    <row r="6409">
      <c r="A6409" s="1" t="s">
        <v>13479</v>
      </c>
      <c r="B6409" s="2" t="s">
        <v>10526</v>
      </c>
      <c r="C6409" s="1" t="s">
        <v>2159</v>
      </c>
      <c r="D6409" s="1" t="s">
        <v>2161</v>
      </c>
    </row>
    <row r="6410">
      <c r="A6410" s="1" t="s">
        <v>13480</v>
      </c>
      <c r="B6410" s="2" t="s">
        <v>10528</v>
      </c>
      <c r="C6410" s="1" t="s">
        <v>2159</v>
      </c>
      <c r="D6410" s="1" t="s">
        <v>2161</v>
      </c>
    </row>
    <row r="6411">
      <c r="A6411" s="1" t="s">
        <v>13481</v>
      </c>
      <c r="B6411" s="2" t="s">
        <v>10530</v>
      </c>
      <c r="C6411" s="1" t="s">
        <v>2159</v>
      </c>
      <c r="D6411" s="1" t="s">
        <v>2161</v>
      </c>
    </row>
    <row r="6412">
      <c r="A6412" s="1" t="s">
        <v>13482</v>
      </c>
      <c r="B6412" s="2" t="s">
        <v>10532</v>
      </c>
      <c r="C6412" s="1" t="s">
        <v>2159</v>
      </c>
      <c r="D6412" s="1" t="s">
        <v>2161</v>
      </c>
    </row>
    <row r="6413">
      <c r="A6413" s="1" t="s">
        <v>13483</v>
      </c>
      <c r="B6413" s="2" t="s">
        <v>10534</v>
      </c>
      <c r="C6413" s="1" t="s">
        <v>2159</v>
      </c>
      <c r="D6413" s="1" t="s">
        <v>2161</v>
      </c>
    </row>
    <row r="6414">
      <c r="A6414" s="1" t="s">
        <v>13484</v>
      </c>
      <c r="B6414" s="2" t="s">
        <v>10536</v>
      </c>
      <c r="C6414" s="1" t="s">
        <v>2159</v>
      </c>
      <c r="D6414" s="1" t="s">
        <v>2161</v>
      </c>
    </row>
    <row r="6415">
      <c r="A6415" s="1" t="s">
        <v>13485</v>
      </c>
      <c r="B6415" s="2" t="s">
        <v>10538</v>
      </c>
      <c r="C6415" s="1" t="s">
        <v>2159</v>
      </c>
      <c r="D6415" s="1" t="s">
        <v>2161</v>
      </c>
    </row>
    <row r="6416">
      <c r="A6416" s="1" t="s">
        <v>13486</v>
      </c>
      <c r="B6416" s="2" t="s">
        <v>10540</v>
      </c>
      <c r="C6416" s="1" t="s">
        <v>2159</v>
      </c>
      <c r="D6416" s="1" t="s">
        <v>2161</v>
      </c>
    </row>
    <row r="6417">
      <c r="A6417" s="1" t="s">
        <v>13487</v>
      </c>
      <c r="B6417" s="2" t="s">
        <v>10542</v>
      </c>
      <c r="C6417" s="1" t="s">
        <v>2159</v>
      </c>
      <c r="D6417" s="1" t="s">
        <v>2161</v>
      </c>
    </row>
    <row r="6418">
      <c r="A6418" s="1" t="s">
        <v>13488</v>
      </c>
      <c r="B6418" s="2" t="s">
        <v>10544</v>
      </c>
      <c r="C6418" s="1" t="s">
        <v>2159</v>
      </c>
      <c r="D6418" s="1" t="s">
        <v>2161</v>
      </c>
    </row>
    <row r="6419">
      <c r="A6419" s="1" t="s">
        <v>13489</v>
      </c>
      <c r="B6419" s="2" t="s">
        <v>10546</v>
      </c>
      <c r="C6419" s="1" t="s">
        <v>2159</v>
      </c>
      <c r="D6419" s="1" t="s">
        <v>2161</v>
      </c>
    </row>
    <row r="6420">
      <c r="A6420" s="1" t="s">
        <v>2166</v>
      </c>
      <c r="B6420" s="2" t="s">
        <v>7</v>
      </c>
      <c r="C6420" s="1" t="s">
        <v>2168</v>
      </c>
      <c r="D6420" s="1" t="s">
        <v>2170</v>
      </c>
    </row>
    <row r="6421">
      <c r="A6421" s="1" t="s">
        <v>13490</v>
      </c>
      <c r="B6421" s="2" t="s">
        <v>10606</v>
      </c>
      <c r="C6421" s="1" t="s">
        <v>2168</v>
      </c>
      <c r="D6421" s="1" t="s">
        <v>2170</v>
      </c>
    </row>
    <row r="6422">
      <c r="A6422" s="1" t="s">
        <v>13491</v>
      </c>
      <c r="B6422" s="2" t="s">
        <v>10608</v>
      </c>
      <c r="C6422" s="1" t="s">
        <v>2168</v>
      </c>
      <c r="D6422" s="1" t="s">
        <v>2170</v>
      </c>
    </row>
    <row r="6423">
      <c r="A6423" s="1" t="s">
        <v>13492</v>
      </c>
      <c r="B6423" s="2" t="s">
        <v>10610</v>
      </c>
      <c r="C6423" s="1" t="s">
        <v>2168</v>
      </c>
      <c r="D6423" s="1" t="s">
        <v>2170</v>
      </c>
    </row>
    <row r="6424">
      <c r="A6424" s="1" t="s">
        <v>13493</v>
      </c>
      <c r="B6424" s="2" t="s">
        <v>10612</v>
      </c>
      <c r="C6424" s="1" t="s">
        <v>2168</v>
      </c>
      <c r="D6424" s="1" t="s">
        <v>2170</v>
      </c>
    </row>
    <row r="6425">
      <c r="A6425" s="1" t="s">
        <v>13494</v>
      </c>
      <c r="B6425" s="2" t="s">
        <v>10614</v>
      </c>
      <c r="C6425" s="1" t="s">
        <v>2168</v>
      </c>
      <c r="D6425" s="1" t="s">
        <v>2170</v>
      </c>
    </row>
    <row r="6426">
      <c r="A6426" s="1" t="s">
        <v>13495</v>
      </c>
      <c r="B6426" s="2" t="s">
        <v>10616</v>
      </c>
      <c r="C6426" s="1" t="s">
        <v>2168</v>
      </c>
      <c r="D6426" s="1" t="s">
        <v>2170</v>
      </c>
    </row>
    <row r="6427">
      <c r="A6427" s="1" t="s">
        <v>13496</v>
      </c>
      <c r="B6427" s="2" t="s">
        <v>10618</v>
      </c>
      <c r="C6427" s="1" t="s">
        <v>2168</v>
      </c>
      <c r="D6427" s="1" t="s">
        <v>2170</v>
      </c>
    </row>
    <row r="6428">
      <c r="A6428" s="1" t="s">
        <v>13497</v>
      </c>
      <c r="B6428" s="2" t="s">
        <v>10620</v>
      </c>
      <c r="C6428" s="1" t="s">
        <v>2168</v>
      </c>
      <c r="D6428" s="1" t="s">
        <v>2170</v>
      </c>
    </row>
    <row r="6429">
      <c r="A6429" s="1" t="s">
        <v>13498</v>
      </c>
      <c r="B6429" s="2" t="s">
        <v>10622</v>
      </c>
      <c r="C6429" s="1" t="s">
        <v>2168</v>
      </c>
      <c r="D6429" s="1" t="s">
        <v>2170</v>
      </c>
    </row>
    <row r="6430">
      <c r="A6430" s="1" t="s">
        <v>13499</v>
      </c>
      <c r="B6430" s="2" t="s">
        <v>10624</v>
      </c>
      <c r="C6430" s="1" t="s">
        <v>2168</v>
      </c>
      <c r="D6430" s="1" t="s">
        <v>2170</v>
      </c>
    </row>
    <row r="6431">
      <c r="A6431" s="1" t="s">
        <v>13500</v>
      </c>
      <c r="B6431" s="2" t="s">
        <v>10626</v>
      </c>
      <c r="C6431" s="1" t="s">
        <v>2168</v>
      </c>
      <c r="D6431" s="1" t="s">
        <v>2170</v>
      </c>
    </row>
    <row r="6432">
      <c r="A6432" s="1" t="s">
        <v>13501</v>
      </c>
      <c r="B6432" s="2" t="s">
        <v>10628</v>
      </c>
      <c r="C6432" s="1" t="s">
        <v>2168</v>
      </c>
      <c r="D6432" s="1" t="s">
        <v>2170</v>
      </c>
    </row>
    <row r="6433">
      <c r="A6433" s="1" t="s">
        <v>2175</v>
      </c>
      <c r="B6433" s="2" t="s">
        <v>7</v>
      </c>
      <c r="C6433" s="1" t="s">
        <v>2177</v>
      </c>
      <c r="D6433" s="1" t="s">
        <v>2178</v>
      </c>
    </row>
    <row r="6434">
      <c r="A6434" s="1" t="s">
        <v>2183</v>
      </c>
      <c r="B6434" s="2" t="s">
        <v>7</v>
      </c>
      <c r="C6434" s="1" t="s">
        <v>2186</v>
      </c>
      <c r="D6434" s="1" t="s">
        <v>2187</v>
      </c>
    </row>
    <row r="6435">
      <c r="A6435" s="1" t="s">
        <v>13502</v>
      </c>
      <c r="B6435" s="2" t="s">
        <v>13503</v>
      </c>
      <c r="C6435" s="1" t="s">
        <v>2186</v>
      </c>
      <c r="D6435" s="1" t="s">
        <v>2187</v>
      </c>
    </row>
    <row r="6436">
      <c r="A6436" s="1" t="s">
        <v>13504</v>
      </c>
      <c r="B6436" s="2" t="s">
        <v>13505</v>
      </c>
      <c r="C6436" s="1" t="s">
        <v>2186</v>
      </c>
      <c r="D6436" s="1" t="s">
        <v>2187</v>
      </c>
    </row>
    <row r="6437">
      <c r="A6437" s="1" t="s">
        <v>13506</v>
      </c>
      <c r="B6437" s="2" t="s">
        <v>13507</v>
      </c>
      <c r="C6437" s="1" t="s">
        <v>2186</v>
      </c>
      <c r="D6437" s="1" t="s">
        <v>2187</v>
      </c>
    </row>
    <row r="6438">
      <c r="A6438" s="1" t="s">
        <v>13508</v>
      </c>
      <c r="B6438" s="2" t="s">
        <v>13509</v>
      </c>
      <c r="C6438" s="1" t="s">
        <v>2186</v>
      </c>
      <c r="D6438" s="1" t="s">
        <v>2187</v>
      </c>
    </row>
    <row r="6439">
      <c r="A6439" s="1" t="s">
        <v>13510</v>
      </c>
      <c r="B6439" s="2" t="s">
        <v>13511</v>
      </c>
      <c r="C6439" s="1" t="s">
        <v>2186</v>
      </c>
      <c r="D6439" s="1" t="s">
        <v>2187</v>
      </c>
    </row>
    <row r="6440">
      <c r="A6440" s="1" t="s">
        <v>13512</v>
      </c>
      <c r="B6440" s="2" t="s">
        <v>13513</v>
      </c>
      <c r="C6440" s="1" t="s">
        <v>2186</v>
      </c>
      <c r="D6440" s="1" t="s">
        <v>2187</v>
      </c>
    </row>
    <row r="6441">
      <c r="A6441" s="1" t="s">
        <v>13514</v>
      </c>
      <c r="B6441" s="2" t="s">
        <v>13515</v>
      </c>
      <c r="C6441" s="1" t="s">
        <v>2186</v>
      </c>
      <c r="D6441" s="1" t="s">
        <v>2187</v>
      </c>
    </row>
    <row r="6442">
      <c r="A6442" s="1" t="s">
        <v>13516</v>
      </c>
      <c r="B6442" s="2" t="s">
        <v>13517</v>
      </c>
      <c r="C6442" s="1" t="s">
        <v>2186</v>
      </c>
      <c r="D6442" s="1" t="s">
        <v>2187</v>
      </c>
    </row>
    <row r="6443">
      <c r="A6443" s="1" t="s">
        <v>13518</v>
      </c>
      <c r="B6443" s="2" t="s">
        <v>13519</v>
      </c>
      <c r="C6443" s="1" t="s">
        <v>2186</v>
      </c>
      <c r="D6443" s="1" t="s">
        <v>2187</v>
      </c>
    </row>
    <row r="6444">
      <c r="A6444" s="1" t="s">
        <v>2192</v>
      </c>
      <c r="B6444" s="2" t="s">
        <v>7</v>
      </c>
      <c r="C6444" s="1" t="s">
        <v>2197</v>
      </c>
      <c r="D6444" s="1" t="s">
        <v>2198</v>
      </c>
    </row>
    <row r="6445">
      <c r="A6445" s="1" t="s">
        <v>13520</v>
      </c>
      <c r="B6445" s="2" t="s">
        <v>13521</v>
      </c>
      <c r="C6445" s="1" t="s">
        <v>2197</v>
      </c>
      <c r="D6445" s="1" t="s">
        <v>2198</v>
      </c>
    </row>
    <row r="6446">
      <c r="A6446" s="1" t="s">
        <v>13522</v>
      </c>
      <c r="B6446" s="2" t="s">
        <v>13523</v>
      </c>
      <c r="C6446" s="1" t="s">
        <v>2197</v>
      </c>
      <c r="D6446" s="1" t="s">
        <v>2198</v>
      </c>
    </row>
    <row r="6447">
      <c r="A6447" s="1" t="s">
        <v>13524</v>
      </c>
      <c r="B6447" s="2" t="s">
        <v>13525</v>
      </c>
      <c r="C6447" s="1" t="s">
        <v>2197</v>
      </c>
      <c r="D6447" s="1" t="s">
        <v>2198</v>
      </c>
    </row>
    <row r="6448">
      <c r="A6448" s="1" t="s">
        <v>13526</v>
      </c>
      <c r="B6448" s="2" t="s">
        <v>13527</v>
      </c>
      <c r="C6448" s="1" t="s">
        <v>2197</v>
      </c>
      <c r="D6448" s="1" t="s">
        <v>2198</v>
      </c>
    </row>
    <row r="6449">
      <c r="A6449" s="1" t="s">
        <v>13528</v>
      </c>
      <c r="B6449" s="2" t="s">
        <v>13529</v>
      </c>
      <c r="C6449" s="1" t="s">
        <v>2197</v>
      </c>
      <c r="D6449" s="1" t="s">
        <v>2198</v>
      </c>
    </row>
    <row r="6450">
      <c r="A6450" s="1" t="s">
        <v>13530</v>
      </c>
      <c r="B6450" s="2" t="s">
        <v>13531</v>
      </c>
      <c r="C6450" s="1" t="s">
        <v>2197</v>
      </c>
      <c r="D6450" s="1" t="s">
        <v>2198</v>
      </c>
    </row>
    <row r="6451">
      <c r="A6451" s="1" t="s">
        <v>13532</v>
      </c>
      <c r="B6451" s="2" t="s">
        <v>13533</v>
      </c>
      <c r="C6451" s="1" t="s">
        <v>2197</v>
      </c>
      <c r="D6451" s="1" t="s">
        <v>2198</v>
      </c>
    </row>
    <row r="6452">
      <c r="A6452" s="1" t="s">
        <v>13534</v>
      </c>
      <c r="B6452" s="2" t="s">
        <v>13535</v>
      </c>
      <c r="C6452" s="1" t="s">
        <v>2197</v>
      </c>
      <c r="D6452" s="1" t="s">
        <v>2198</v>
      </c>
    </row>
    <row r="6453">
      <c r="A6453" s="1" t="s">
        <v>13536</v>
      </c>
      <c r="B6453" s="2" t="s">
        <v>13537</v>
      </c>
      <c r="C6453" s="1" t="s">
        <v>2197</v>
      </c>
      <c r="D6453" s="1" t="s">
        <v>2198</v>
      </c>
    </row>
    <row r="6454">
      <c r="A6454" s="1" t="s">
        <v>13538</v>
      </c>
      <c r="B6454" s="2" t="s">
        <v>13539</v>
      </c>
      <c r="C6454" s="1" t="s">
        <v>2197</v>
      </c>
      <c r="D6454" s="1" t="s">
        <v>2198</v>
      </c>
    </row>
    <row r="6455">
      <c r="A6455" s="1" t="s">
        <v>13540</v>
      </c>
      <c r="B6455" s="2" t="s">
        <v>13541</v>
      </c>
      <c r="C6455" s="1" t="s">
        <v>2197</v>
      </c>
      <c r="D6455" s="1" t="s">
        <v>2198</v>
      </c>
    </row>
    <row r="6456">
      <c r="A6456" s="1" t="s">
        <v>13542</v>
      </c>
      <c r="B6456" s="2" t="s">
        <v>13543</v>
      </c>
      <c r="C6456" s="1" t="s">
        <v>2197</v>
      </c>
      <c r="D6456" s="1" t="s">
        <v>2198</v>
      </c>
    </row>
    <row r="6457">
      <c r="A6457" s="1" t="s">
        <v>13544</v>
      </c>
      <c r="B6457" s="2" t="s">
        <v>13545</v>
      </c>
      <c r="C6457" s="1" t="s">
        <v>2197</v>
      </c>
      <c r="D6457" s="1" t="s">
        <v>2198</v>
      </c>
    </row>
    <row r="6458">
      <c r="A6458" s="1" t="s">
        <v>13546</v>
      </c>
      <c r="B6458" s="2" t="s">
        <v>13547</v>
      </c>
      <c r="C6458" s="1" t="s">
        <v>2197</v>
      </c>
      <c r="D6458" s="1" t="s">
        <v>2198</v>
      </c>
    </row>
    <row r="6459">
      <c r="A6459" s="1" t="s">
        <v>13548</v>
      </c>
      <c r="B6459" s="2" t="s">
        <v>13549</v>
      </c>
      <c r="C6459" s="1" t="s">
        <v>2197</v>
      </c>
      <c r="D6459" s="1" t="s">
        <v>2198</v>
      </c>
    </row>
    <row r="6460">
      <c r="A6460" s="1" t="s">
        <v>13550</v>
      </c>
      <c r="B6460" s="2" t="s">
        <v>13551</v>
      </c>
      <c r="C6460" s="1" t="s">
        <v>2197</v>
      </c>
      <c r="D6460" s="1" t="s">
        <v>2198</v>
      </c>
    </row>
    <row r="6461">
      <c r="A6461" s="1" t="s">
        <v>13552</v>
      </c>
      <c r="B6461" s="2" t="s">
        <v>13553</v>
      </c>
      <c r="C6461" s="1" t="s">
        <v>2197</v>
      </c>
      <c r="D6461" s="1" t="s">
        <v>2198</v>
      </c>
    </row>
    <row r="6462">
      <c r="A6462" s="1" t="s">
        <v>13554</v>
      </c>
      <c r="B6462" s="2" t="s">
        <v>13555</v>
      </c>
      <c r="C6462" s="1" t="s">
        <v>2197</v>
      </c>
      <c r="D6462" s="1" t="s">
        <v>2198</v>
      </c>
    </row>
    <row r="6463">
      <c r="A6463" s="1" t="s">
        <v>13556</v>
      </c>
      <c r="B6463" s="2" t="s">
        <v>13557</v>
      </c>
      <c r="C6463" s="1" t="s">
        <v>2197</v>
      </c>
      <c r="D6463" s="1" t="s">
        <v>2198</v>
      </c>
    </row>
    <row r="6464">
      <c r="A6464" s="1" t="s">
        <v>2207</v>
      </c>
      <c r="B6464" s="2" t="s">
        <v>7</v>
      </c>
      <c r="C6464" s="1" t="s">
        <v>2210</v>
      </c>
      <c r="D6464" s="1" t="s">
        <v>2211</v>
      </c>
    </row>
    <row r="6465">
      <c r="A6465" s="1" t="s">
        <v>13558</v>
      </c>
      <c r="B6465" s="2" t="s">
        <v>13559</v>
      </c>
      <c r="C6465" s="1" t="s">
        <v>2210</v>
      </c>
      <c r="D6465" s="1" t="s">
        <v>2211</v>
      </c>
    </row>
    <row r="6466">
      <c r="A6466" s="1" t="s">
        <v>13560</v>
      </c>
      <c r="B6466" s="2" t="s">
        <v>13561</v>
      </c>
      <c r="C6466" s="1" t="s">
        <v>2210</v>
      </c>
      <c r="D6466" s="1" t="s">
        <v>2211</v>
      </c>
    </row>
    <row r="6467">
      <c r="A6467" s="1" t="s">
        <v>13562</v>
      </c>
      <c r="B6467" s="2" t="s">
        <v>13563</v>
      </c>
      <c r="C6467" s="1" t="s">
        <v>2210</v>
      </c>
      <c r="D6467" s="1" t="s">
        <v>2211</v>
      </c>
    </row>
    <row r="6468">
      <c r="A6468" s="1" t="s">
        <v>13564</v>
      </c>
      <c r="B6468" s="2" t="s">
        <v>13565</v>
      </c>
      <c r="C6468" s="1" t="s">
        <v>2210</v>
      </c>
      <c r="D6468" s="1" t="s">
        <v>2211</v>
      </c>
    </row>
    <row r="6469">
      <c r="A6469" s="1" t="s">
        <v>2305</v>
      </c>
      <c r="B6469" s="2" t="s">
        <v>7</v>
      </c>
      <c r="C6469" s="1" t="s">
        <v>85</v>
      </c>
      <c r="D6469" s="1" t="s">
        <v>2310</v>
      </c>
    </row>
    <row r="6470">
      <c r="A6470" s="1" t="s">
        <v>13566</v>
      </c>
      <c r="B6470" s="2" t="s">
        <v>13567</v>
      </c>
      <c r="C6470" s="1" t="s">
        <v>85</v>
      </c>
      <c r="D6470" s="1" t="s">
        <v>2310</v>
      </c>
    </row>
    <row r="6471">
      <c r="A6471" s="1" t="s">
        <v>13568</v>
      </c>
      <c r="B6471" s="2" t="s">
        <v>13569</v>
      </c>
      <c r="C6471" s="1" t="s">
        <v>85</v>
      </c>
      <c r="D6471" s="1" t="s">
        <v>2310</v>
      </c>
    </row>
    <row r="6472">
      <c r="A6472" s="1" t="s">
        <v>13570</v>
      </c>
      <c r="B6472" s="2" t="s">
        <v>13571</v>
      </c>
      <c r="C6472" s="1" t="s">
        <v>85</v>
      </c>
      <c r="D6472" s="1" t="s">
        <v>2310</v>
      </c>
    </row>
    <row r="6473">
      <c r="A6473" s="1" t="s">
        <v>13572</v>
      </c>
      <c r="B6473" s="2" t="s">
        <v>13573</v>
      </c>
      <c r="C6473" s="1" t="s">
        <v>85</v>
      </c>
      <c r="D6473" s="1" t="s">
        <v>2310</v>
      </c>
    </row>
    <row r="6474">
      <c r="A6474" s="1" t="s">
        <v>13574</v>
      </c>
      <c r="B6474" s="2" t="s">
        <v>13575</v>
      </c>
      <c r="C6474" s="1" t="s">
        <v>85</v>
      </c>
      <c r="D6474" s="1" t="s">
        <v>2310</v>
      </c>
    </row>
    <row r="6475">
      <c r="A6475" s="1" t="s">
        <v>13576</v>
      </c>
      <c r="B6475" s="2" t="s">
        <v>13577</v>
      </c>
      <c r="C6475" s="1" t="s">
        <v>85</v>
      </c>
      <c r="D6475" s="1" t="s">
        <v>2310</v>
      </c>
    </row>
    <row r="6476">
      <c r="A6476" s="1" t="s">
        <v>13578</v>
      </c>
      <c r="B6476" s="2" t="s">
        <v>13579</v>
      </c>
      <c r="C6476" s="1" t="s">
        <v>85</v>
      </c>
      <c r="D6476" s="1" t="s">
        <v>2310</v>
      </c>
    </row>
    <row r="6477">
      <c r="A6477" s="1" t="s">
        <v>13580</v>
      </c>
      <c r="B6477" s="2" t="s">
        <v>13581</v>
      </c>
      <c r="C6477" s="1" t="s">
        <v>85</v>
      </c>
      <c r="D6477" s="1" t="s">
        <v>2310</v>
      </c>
    </row>
    <row r="6478">
      <c r="A6478" s="1" t="s">
        <v>13582</v>
      </c>
      <c r="B6478" s="2" t="s">
        <v>13583</v>
      </c>
      <c r="C6478" s="1" t="s">
        <v>85</v>
      </c>
      <c r="D6478" s="1" t="s">
        <v>2310</v>
      </c>
    </row>
    <row r="6479">
      <c r="A6479" s="1" t="s">
        <v>13584</v>
      </c>
      <c r="B6479" s="2" t="s">
        <v>13585</v>
      </c>
      <c r="C6479" s="1" t="s">
        <v>85</v>
      </c>
      <c r="D6479" s="1" t="s">
        <v>2310</v>
      </c>
    </row>
    <row r="6480">
      <c r="A6480" s="1" t="s">
        <v>13586</v>
      </c>
      <c r="B6480" s="2" t="s">
        <v>13587</v>
      </c>
      <c r="C6480" s="1" t="s">
        <v>85</v>
      </c>
      <c r="D6480" s="1" t="s">
        <v>2310</v>
      </c>
    </row>
    <row r="6481">
      <c r="A6481" s="1" t="s">
        <v>13588</v>
      </c>
      <c r="B6481" s="2" t="s">
        <v>13589</v>
      </c>
      <c r="C6481" s="1" t="s">
        <v>85</v>
      </c>
      <c r="D6481" s="1" t="s">
        <v>2310</v>
      </c>
    </row>
    <row r="6482">
      <c r="A6482" s="1" t="s">
        <v>2315</v>
      </c>
      <c r="B6482" s="2" t="s">
        <v>7</v>
      </c>
      <c r="C6482" s="1" t="s">
        <v>2317</v>
      </c>
      <c r="D6482" s="1" t="s">
        <v>2318</v>
      </c>
    </row>
    <row r="6483">
      <c r="A6483" s="1" t="s">
        <v>13590</v>
      </c>
      <c r="B6483" s="2" t="s">
        <v>13591</v>
      </c>
      <c r="C6483" s="1" t="s">
        <v>2317</v>
      </c>
      <c r="D6483" s="1" t="s">
        <v>2318</v>
      </c>
    </row>
    <row r="6484">
      <c r="A6484" s="1" t="s">
        <v>13592</v>
      </c>
      <c r="B6484" s="2" t="s">
        <v>13593</v>
      </c>
      <c r="C6484" s="1" t="s">
        <v>2317</v>
      </c>
      <c r="D6484" s="1" t="s">
        <v>2318</v>
      </c>
    </row>
    <row r="6485">
      <c r="A6485" s="1" t="s">
        <v>13594</v>
      </c>
      <c r="B6485" s="2" t="s">
        <v>13595</v>
      </c>
      <c r="C6485" s="1" t="s">
        <v>2317</v>
      </c>
      <c r="D6485" s="1" t="s">
        <v>2318</v>
      </c>
    </row>
    <row r="6486">
      <c r="A6486" s="1" t="s">
        <v>13596</v>
      </c>
      <c r="B6486" s="2" t="s">
        <v>13597</v>
      </c>
      <c r="C6486" s="1" t="s">
        <v>2317</v>
      </c>
      <c r="D6486" s="1" t="s">
        <v>2318</v>
      </c>
    </row>
    <row r="6487">
      <c r="A6487" s="1" t="s">
        <v>13598</v>
      </c>
      <c r="B6487" s="2" t="s">
        <v>13599</v>
      </c>
      <c r="C6487" s="1" t="s">
        <v>2317</v>
      </c>
      <c r="D6487" s="1" t="s">
        <v>2318</v>
      </c>
    </row>
    <row r="6488">
      <c r="A6488" s="1" t="s">
        <v>13600</v>
      </c>
      <c r="B6488" s="2" t="s">
        <v>13601</v>
      </c>
      <c r="C6488" s="1" t="s">
        <v>2317</v>
      </c>
      <c r="D6488" s="1" t="s">
        <v>2318</v>
      </c>
    </row>
    <row r="6489">
      <c r="A6489" s="1" t="s">
        <v>13602</v>
      </c>
      <c r="B6489" s="2" t="s">
        <v>13603</v>
      </c>
      <c r="C6489" s="1" t="s">
        <v>2317</v>
      </c>
      <c r="D6489" s="1" t="s">
        <v>2318</v>
      </c>
    </row>
    <row r="6490">
      <c r="A6490" s="1" t="s">
        <v>2324</v>
      </c>
      <c r="B6490" s="2" t="s">
        <v>7</v>
      </c>
      <c r="C6490" s="1" t="s">
        <v>2326</v>
      </c>
      <c r="D6490" s="1" t="s">
        <v>2327</v>
      </c>
    </row>
    <row r="6491">
      <c r="A6491" s="1" t="s">
        <v>13604</v>
      </c>
      <c r="B6491" s="2" t="s">
        <v>13503</v>
      </c>
      <c r="C6491" s="1" t="s">
        <v>2326</v>
      </c>
      <c r="D6491" s="1" t="s">
        <v>2327</v>
      </c>
    </row>
    <row r="6492">
      <c r="A6492" s="1" t="s">
        <v>13605</v>
      </c>
      <c r="B6492" s="2" t="s">
        <v>13606</v>
      </c>
      <c r="C6492" s="1" t="s">
        <v>2326</v>
      </c>
      <c r="D6492" s="1" t="s">
        <v>2327</v>
      </c>
    </row>
    <row r="6493">
      <c r="A6493" s="1" t="s">
        <v>13607</v>
      </c>
      <c r="B6493" s="2" t="s">
        <v>13608</v>
      </c>
      <c r="C6493" s="1" t="s">
        <v>2326</v>
      </c>
      <c r="D6493" s="1" t="s">
        <v>2327</v>
      </c>
    </row>
    <row r="6494">
      <c r="A6494" s="1" t="s">
        <v>13609</v>
      </c>
      <c r="B6494" s="2" t="s">
        <v>13610</v>
      </c>
      <c r="C6494" s="1" t="s">
        <v>2326</v>
      </c>
      <c r="D6494" s="1" t="s">
        <v>2327</v>
      </c>
    </row>
    <row r="6495">
      <c r="A6495" s="1" t="s">
        <v>13611</v>
      </c>
      <c r="B6495" s="2" t="s">
        <v>13612</v>
      </c>
      <c r="C6495" s="1" t="s">
        <v>2326</v>
      </c>
      <c r="D6495" s="1" t="s">
        <v>2327</v>
      </c>
    </row>
    <row r="6496">
      <c r="A6496" s="1" t="s">
        <v>13613</v>
      </c>
      <c r="B6496" s="2" t="s">
        <v>13614</v>
      </c>
      <c r="C6496" s="1" t="s">
        <v>2326</v>
      </c>
      <c r="D6496" s="1" t="s">
        <v>2327</v>
      </c>
    </row>
    <row r="6497">
      <c r="A6497" s="1" t="s">
        <v>13615</v>
      </c>
      <c r="B6497" s="2" t="s">
        <v>13616</v>
      </c>
      <c r="C6497" s="1" t="s">
        <v>2326</v>
      </c>
      <c r="D6497" s="1" t="s">
        <v>2327</v>
      </c>
    </row>
    <row r="6498">
      <c r="A6498" s="1" t="s">
        <v>13617</v>
      </c>
      <c r="B6498" s="2" t="s">
        <v>13618</v>
      </c>
      <c r="C6498" s="1" t="s">
        <v>2326</v>
      </c>
      <c r="D6498" s="1" t="s">
        <v>2327</v>
      </c>
    </row>
    <row r="6499">
      <c r="A6499" s="1" t="s">
        <v>13619</v>
      </c>
      <c r="B6499" s="2" t="s">
        <v>13620</v>
      </c>
      <c r="C6499" s="1" t="s">
        <v>2326</v>
      </c>
      <c r="D6499" s="1" t="s">
        <v>2327</v>
      </c>
    </row>
    <row r="6500">
      <c r="A6500" s="1" t="s">
        <v>13621</v>
      </c>
      <c r="B6500" s="2" t="s">
        <v>13622</v>
      </c>
      <c r="C6500" s="1" t="s">
        <v>2326</v>
      </c>
      <c r="D6500" s="1" t="s">
        <v>2327</v>
      </c>
    </row>
    <row r="6501">
      <c r="A6501" s="1" t="s">
        <v>13623</v>
      </c>
      <c r="B6501" s="2" t="s">
        <v>13624</v>
      </c>
      <c r="C6501" s="1" t="s">
        <v>2326</v>
      </c>
      <c r="D6501" s="1" t="s">
        <v>2327</v>
      </c>
    </row>
    <row r="6502">
      <c r="A6502" s="1" t="s">
        <v>13625</v>
      </c>
      <c r="B6502" s="2" t="s">
        <v>13626</v>
      </c>
      <c r="C6502" s="1" t="s">
        <v>2326</v>
      </c>
      <c r="D6502" s="1" t="s">
        <v>2327</v>
      </c>
    </row>
    <row r="6503">
      <c r="A6503" s="1" t="s">
        <v>13627</v>
      </c>
      <c r="B6503" s="2" t="s">
        <v>13628</v>
      </c>
      <c r="C6503" s="1" t="s">
        <v>2326</v>
      </c>
      <c r="D6503" s="1" t="s">
        <v>2327</v>
      </c>
    </row>
    <row r="6504">
      <c r="A6504" s="1" t="s">
        <v>13629</v>
      </c>
      <c r="B6504" s="2" t="s">
        <v>13630</v>
      </c>
      <c r="C6504" s="1" t="s">
        <v>2326</v>
      </c>
      <c r="D6504" s="1" t="s">
        <v>2327</v>
      </c>
    </row>
    <row r="6505">
      <c r="A6505" s="1" t="s">
        <v>13631</v>
      </c>
      <c r="B6505" s="2" t="s">
        <v>13632</v>
      </c>
      <c r="C6505" s="1" t="s">
        <v>2326</v>
      </c>
      <c r="D6505" s="1" t="s">
        <v>2327</v>
      </c>
    </row>
    <row r="6506">
      <c r="A6506" s="1" t="s">
        <v>13633</v>
      </c>
      <c r="B6506" s="2" t="s">
        <v>13634</v>
      </c>
      <c r="C6506" s="1" t="s">
        <v>2326</v>
      </c>
      <c r="D6506" s="1" t="s">
        <v>2327</v>
      </c>
    </row>
    <row r="6507">
      <c r="A6507" s="1" t="s">
        <v>13635</v>
      </c>
      <c r="B6507" s="2" t="s">
        <v>13636</v>
      </c>
      <c r="C6507" s="1" t="s">
        <v>2326</v>
      </c>
      <c r="D6507" s="1" t="s">
        <v>2327</v>
      </c>
    </row>
    <row r="6508">
      <c r="A6508" s="1" t="s">
        <v>13637</v>
      </c>
      <c r="B6508" s="2" t="s">
        <v>13638</v>
      </c>
      <c r="C6508" s="1" t="s">
        <v>2326</v>
      </c>
      <c r="D6508" s="1" t="s">
        <v>2327</v>
      </c>
    </row>
    <row r="6509">
      <c r="A6509" s="1" t="s">
        <v>13639</v>
      </c>
      <c r="B6509" s="2" t="s">
        <v>13640</v>
      </c>
      <c r="C6509" s="1" t="s">
        <v>2326</v>
      </c>
      <c r="D6509" s="1" t="s">
        <v>2327</v>
      </c>
    </row>
    <row r="6510">
      <c r="A6510" s="1" t="s">
        <v>13641</v>
      </c>
      <c r="B6510" s="2" t="s">
        <v>13642</v>
      </c>
      <c r="C6510" s="1" t="s">
        <v>2326</v>
      </c>
      <c r="D6510" s="1" t="s">
        <v>2327</v>
      </c>
    </row>
    <row r="6511">
      <c r="A6511" s="1" t="s">
        <v>13643</v>
      </c>
      <c r="B6511" s="2" t="s">
        <v>13644</v>
      </c>
      <c r="C6511" s="1" t="s">
        <v>2326</v>
      </c>
      <c r="D6511" s="1" t="s">
        <v>2327</v>
      </c>
    </row>
    <row r="6512">
      <c r="A6512" s="1" t="s">
        <v>13645</v>
      </c>
      <c r="B6512" s="2" t="s">
        <v>13646</v>
      </c>
      <c r="C6512" s="1" t="s">
        <v>2326</v>
      </c>
      <c r="D6512" s="1" t="s">
        <v>2327</v>
      </c>
    </row>
    <row r="6513">
      <c r="A6513" s="1" t="s">
        <v>13647</v>
      </c>
      <c r="B6513" s="2" t="s">
        <v>13648</v>
      </c>
      <c r="C6513" s="1" t="s">
        <v>2326</v>
      </c>
      <c r="D6513" s="1" t="s">
        <v>2327</v>
      </c>
    </row>
    <row r="6514">
      <c r="A6514" s="1" t="s">
        <v>13649</v>
      </c>
      <c r="B6514" s="2" t="s">
        <v>13650</v>
      </c>
      <c r="C6514" s="1" t="s">
        <v>2326</v>
      </c>
      <c r="D6514" s="1" t="s">
        <v>2327</v>
      </c>
    </row>
    <row r="6515">
      <c r="A6515" s="1" t="s">
        <v>13651</v>
      </c>
      <c r="B6515" s="2" t="s">
        <v>13519</v>
      </c>
      <c r="C6515" s="1" t="s">
        <v>2326</v>
      </c>
      <c r="D6515" s="1" t="s">
        <v>2327</v>
      </c>
    </row>
    <row r="6516">
      <c r="A6516" s="1" t="s">
        <v>2331</v>
      </c>
      <c r="B6516" s="2" t="s">
        <v>7</v>
      </c>
      <c r="C6516" s="1" t="s">
        <v>2332</v>
      </c>
      <c r="D6516" s="1" t="s">
        <v>2334</v>
      </c>
    </row>
    <row r="6517">
      <c r="A6517" s="1" t="s">
        <v>13652</v>
      </c>
      <c r="B6517" s="2" t="s">
        <v>13503</v>
      </c>
      <c r="C6517" s="1" t="s">
        <v>2332</v>
      </c>
      <c r="D6517" s="1" t="s">
        <v>2334</v>
      </c>
    </row>
    <row r="6518">
      <c r="A6518" s="1" t="s">
        <v>13653</v>
      </c>
      <c r="B6518" s="2" t="s">
        <v>13654</v>
      </c>
      <c r="C6518" s="1" t="s">
        <v>2332</v>
      </c>
      <c r="D6518" s="1" t="s">
        <v>2334</v>
      </c>
    </row>
    <row r="6519">
      <c r="A6519" s="1" t="s">
        <v>13655</v>
      </c>
      <c r="B6519" s="2" t="s">
        <v>13656</v>
      </c>
      <c r="C6519" s="1" t="s">
        <v>2332</v>
      </c>
      <c r="D6519" s="1" t="s">
        <v>2334</v>
      </c>
    </row>
    <row r="6520">
      <c r="A6520" s="1" t="s">
        <v>13657</v>
      </c>
      <c r="B6520" s="2" t="s">
        <v>13658</v>
      </c>
      <c r="C6520" s="1" t="s">
        <v>2332</v>
      </c>
      <c r="D6520" s="1" t="s">
        <v>2334</v>
      </c>
    </row>
    <row r="6521">
      <c r="A6521" s="1" t="s">
        <v>13659</v>
      </c>
      <c r="B6521" s="2" t="s">
        <v>13660</v>
      </c>
      <c r="C6521" s="1" t="s">
        <v>2332</v>
      </c>
      <c r="D6521" s="1" t="s">
        <v>2334</v>
      </c>
    </row>
    <row r="6522">
      <c r="A6522" s="1" t="s">
        <v>13661</v>
      </c>
      <c r="B6522" s="2" t="s">
        <v>13662</v>
      </c>
      <c r="C6522" s="1" t="s">
        <v>2332</v>
      </c>
      <c r="D6522" s="1" t="s">
        <v>2334</v>
      </c>
    </row>
    <row r="6523">
      <c r="A6523" s="1" t="s">
        <v>13663</v>
      </c>
      <c r="B6523" s="2" t="s">
        <v>13664</v>
      </c>
      <c r="C6523" s="1" t="s">
        <v>2332</v>
      </c>
      <c r="D6523" s="1" t="s">
        <v>2334</v>
      </c>
    </row>
    <row r="6524">
      <c r="A6524" s="1" t="s">
        <v>13665</v>
      </c>
      <c r="B6524" s="2" t="s">
        <v>13666</v>
      </c>
      <c r="C6524" s="1" t="s">
        <v>2332</v>
      </c>
      <c r="D6524" s="1" t="s">
        <v>2334</v>
      </c>
    </row>
    <row r="6525">
      <c r="A6525" s="1" t="s">
        <v>13667</v>
      </c>
      <c r="B6525" s="2" t="s">
        <v>13668</v>
      </c>
      <c r="C6525" s="1" t="s">
        <v>2332</v>
      </c>
      <c r="D6525" s="1" t="s">
        <v>2334</v>
      </c>
    </row>
    <row r="6526">
      <c r="A6526" s="1" t="s">
        <v>13669</v>
      </c>
      <c r="B6526" s="2" t="s">
        <v>13670</v>
      </c>
      <c r="C6526" s="1" t="s">
        <v>2332</v>
      </c>
      <c r="D6526" s="1" t="s">
        <v>2334</v>
      </c>
    </row>
    <row r="6527">
      <c r="A6527" s="1" t="s">
        <v>13671</v>
      </c>
      <c r="B6527" s="2" t="s">
        <v>13672</v>
      </c>
      <c r="C6527" s="1" t="s">
        <v>2332</v>
      </c>
      <c r="D6527" s="1" t="s">
        <v>2334</v>
      </c>
    </row>
    <row r="6528">
      <c r="A6528" s="1" t="s">
        <v>13673</v>
      </c>
      <c r="B6528" s="2" t="s">
        <v>13674</v>
      </c>
      <c r="C6528" s="1" t="s">
        <v>2332</v>
      </c>
      <c r="D6528" s="1" t="s">
        <v>2334</v>
      </c>
    </row>
    <row r="6529">
      <c r="A6529" s="1" t="s">
        <v>13675</v>
      </c>
      <c r="B6529" s="2" t="s">
        <v>13676</v>
      </c>
      <c r="C6529" s="1" t="s">
        <v>2332</v>
      </c>
      <c r="D6529" s="1" t="s">
        <v>2334</v>
      </c>
    </row>
    <row r="6530">
      <c r="A6530" s="1" t="s">
        <v>13677</v>
      </c>
      <c r="B6530" s="2" t="s">
        <v>13678</v>
      </c>
      <c r="C6530" s="1" t="s">
        <v>2332</v>
      </c>
      <c r="D6530" s="1" t="s">
        <v>2334</v>
      </c>
    </row>
    <row r="6531">
      <c r="A6531" s="1" t="s">
        <v>13679</v>
      </c>
      <c r="B6531" s="2" t="s">
        <v>13680</v>
      </c>
      <c r="C6531" s="1" t="s">
        <v>2332</v>
      </c>
      <c r="D6531" s="1" t="s">
        <v>2334</v>
      </c>
    </row>
    <row r="6532">
      <c r="A6532" s="1" t="s">
        <v>13681</v>
      </c>
      <c r="B6532" s="2" t="s">
        <v>13682</v>
      </c>
      <c r="C6532" s="1" t="s">
        <v>2332</v>
      </c>
      <c r="D6532" s="1" t="s">
        <v>2334</v>
      </c>
    </row>
    <row r="6533">
      <c r="A6533" s="1" t="s">
        <v>13683</v>
      </c>
      <c r="B6533" s="2" t="s">
        <v>13684</v>
      </c>
      <c r="C6533" s="1" t="s">
        <v>2332</v>
      </c>
      <c r="D6533" s="1" t="s">
        <v>2334</v>
      </c>
    </row>
    <row r="6534">
      <c r="A6534" s="1" t="s">
        <v>13685</v>
      </c>
      <c r="B6534" s="2" t="s">
        <v>13686</v>
      </c>
      <c r="C6534" s="1" t="s">
        <v>2332</v>
      </c>
      <c r="D6534" s="1" t="s">
        <v>2334</v>
      </c>
    </row>
    <row r="6535">
      <c r="A6535" s="1" t="s">
        <v>13687</v>
      </c>
      <c r="B6535" s="2" t="s">
        <v>13688</v>
      </c>
      <c r="C6535" s="1" t="s">
        <v>2332</v>
      </c>
      <c r="D6535" s="1" t="s">
        <v>2334</v>
      </c>
    </row>
    <row r="6536">
      <c r="A6536" s="1" t="s">
        <v>13689</v>
      </c>
      <c r="B6536" s="2" t="s">
        <v>13519</v>
      </c>
      <c r="C6536" s="1" t="s">
        <v>2332</v>
      </c>
      <c r="D6536" s="1" t="s">
        <v>2334</v>
      </c>
    </row>
    <row r="6537">
      <c r="A6537" s="1" t="s">
        <v>2338</v>
      </c>
      <c r="B6537" s="2" t="s">
        <v>7</v>
      </c>
      <c r="C6537" s="1" t="s">
        <v>2340</v>
      </c>
      <c r="D6537" s="1" t="s">
        <v>2341</v>
      </c>
    </row>
    <row r="6538">
      <c r="A6538" s="1" t="s">
        <v>13690</v>
      </c>
      <c r="B6538" s="2" t="s">
        <v>13691</v>
      </c>
      <c r="C6538" s="1" t="s">
        <v>2340</v>
      </c>
      <c r="D6538" s="1" t="s">
        <v>2341</v>
      </c>
    </row>
    <row r="6539">
      <c r="A6539" s="1" t="s">
        <v>13692</v>
      </c>
      <c r="B6539" s="2" t="s">
        <v>13693</v>
      </c>
      <c r="C6539" s="1" t="s">
        <v>2340</v>
      </c>
      <c r="D6539" s="1" t="s">
        <v>2341</v>
      </c>
    </row>
    <row r="6540">
      <c r="A6540" s="1" t="s">
        <v>13694</v>
      </c>
      <c r="B6540" s="2" t="s">
        <v>13695</v>
      </c>
      <c r="C6540" s="1" t="s">
        <v>2340</v>
      </c>
      <c r="D6540" s="1" t="s">
        <v>2341</v>
      </c>
    </row>
    <row r="6541">
      <c r="A6541" s="1" t="s">
        <v>13696</v>
      </c>
      <c r="B6541" s="2" t="s">
        <v>13697</v>
      </c>
      <c r="C6541" s="1" t="s">
        <v>2340</v>
      </c>
      <c r="D6541" s="1" t="s">
        <v>2341</v>
      </c>
    </row>
    <row r="6542">
      <c r="A6542" s="1" t="s">
        <v>13698</v>
      </c>
      <c r="B6542" s="2" t="s">
        <v>13601</v>
      </c>
      <c r="C6542" s="1" t="s">
        <v>2340</v>
      </c>
      <c r="D6542" s="1" t="s">
        <v>2341</v>
      </c>
    </row>
    <row r="6543">
      <c r="A6543" s="1" t="s">
        <v>13699</v>
      </c>
      <c r="B6543" s="2" t="s">
        <v>13700</v>
      </c>
      <c r="C6543" s="1" t="s">
        <v>2340</v>
      </c>
      <c r="D6543" s="1" t="s">
        <v>2341</v>
      </c>
    </row>
    <row r="6544">
      <c r="A6544" s="1" t="s">
        <v>13701</v>
      </c>
      <c r="B6544" s="2" t="s">
        <v>13702</v>
      </c>
      <c r="C6544" s="1" t="s">
        <v>2340</v>
      </c>
      <c r="D6544" s="1" t="s">
        <v>2341</v>
      </c>
    </row>
    <row r="6545">
      <c r="A6545" s="1" t="s">
        <v>13703</v>
      </c>
      <c r="B6545" s="2" t="s">
        <v>13704</v>
      </c>
      <c r="C6545" s="1" t="s">
        <v>2340</v>
      </c>
      <c r="D6545" s="1" t="s">
        <v>2341</v>
      </c>
    </row>
    <row r="6546">
      <c r="A6546" s="1" t="s">
        <v>13705</v>
      </c>
      <c r="B6546" s="2" t="s">
        <v>13706</v>
      </c>
      <c r="C6546" s="1" t="s">
        <v>2340</v>
      </c>
      <c r="D6546" s="1" t="s">
        <v>2341</v>
      </c>
    </row>
    <row r="6547">
      <c r="A6547" s="1" t="s">
        <v>13707</v>
      </c>
      <c r="B6547" s="2" t="s">
        <v>13708</v>
      </c>
      <c r="C6547" s="1" t="s">
        <v>2340</v>
      </c>
      <c r="D6547" s="1" t="s">
        <v>2341</v>
      </c>
    </row>
    <row r="6548">
      <c r="A6548" s="1" t="s">
        <v>13709</v>
      </c>
      <c r="B6548" s="2" t="s">
        <v>13710</v>
      </c>
      <c r="C6548" s="1" t="s">
        <v>2340</v>
      </c>
      <c r="D6548" s="1" t="s">
        <v>2341</v>
      </c>
    </row>
    <row r="6549">
      <c r="A6549" s="1" t="s">
        <v>13711</v>
      </c>
      <c r="B6549" s="2" t="s">
        <v>13712</v>
      </c>
      <c r="C6549" s="1" t="s">
        <v>2340</v>
      </c>
      <c r="D6549" s="1" t="s">
        <v>2341</v>
      </c>
    </row>
    <row r="6550">
      <c r="A6550" s="1" t="s">
        <v>13713</v>
      </c>
      <c r="B6550" s="2" t="s">
        <v>13714</v>
      </c>
      <c r="C6550" s="1" t="s">
        <v>2340</v>
      </c>
      <c r="D6550" s="1" t="s">
        <v>2341</v>
      </c>
    </row>
    <row r="6551">
      <c r="A6551" s="1" t="s">
        <v>13715</v>
      </c>
      <c r="B6551" s="2" t="s">
        <v>13716</v>
      </c>
      <c r="C6551" s="1" t="s">
        <v>2340</v>
      </c>
      <c r="D6551" s="1" t="s">
        <v>2341</v>
      </c>
    </row>
    <row r="6552">
      <c r="A6552" s="1" t="s">
        <v>13717</v>
      </c>
      <c r="B6552" s="2" t="s">
        <v>13718</v>
      </c>
      <c r="C6552" s="1" t="s">
        <v>2340</v>
      </c>
      <c r="D6552" s="1" t="s">
        <v>2341</v>
      </c>
    </row>
    <row r="6553">
      <c r="A6553" s="1" t="s">
        <v>13719</v>
      </c>
      <c r="B6553" s="2" t="s">
        <v>13720</v>
      </c>
      <c r="C6553" s="1" t="s">
        <v>2340</v>
      </c>
      <c r="D6553" s="1" t="s">
        <v>2341</v>
      </c>
    </row>
    <row r="6554">
      <c r="A6554" s="1" t="s">
        <v>13721</v>
      </c>
      <c r="B6554" s="2" t="s">
        <v>13722</v>
      </c>
      <c r="C6554" s="1" t="s">
        <v>2340</v>
      </c>
      <c r="D6554" s="1" t="s">
        <v>2341</v>
      </c>
    </row>
    <row r="6555">
      <c r="A6555" s="1" t="s">
        <v>13723</v>
      </c>
      <c r="B6555" s="2" t="s">
        <v>13724</v>
      </c>
      <c r="C6555" s="1" t="s">
        <v>2340</v>
      </c>
      <c r="D6555" s="1" t="s">
        <v>2341</v>
      </c>
    </row>
    <row r="6556">
      <c r="A6556" s="1" t="s">
        <v>13725</v>
      </c>
      <c r="B6556" s="2" t="s">
        <v>13726</v>
      </c>
      <c r="C6556" s="1" t="s">
        <v>2340</v>
      </c>
      <c r="D6556" s="1" t="s">
        <v>2341</v>
      </c>
    </row>
    <row r="6557">
      <c r="A6557" s="1" t="s">
        <v>13727</v>
      </c>
      <c r="B6557" s="2" t="s">
        <v>13728</v>
      </c>
      <c r="C6557" s="1" t="s">
        <v>2340</v>
      </c>
      <c r="D6557" s="1" t="s">
        <v>2341</v>
      </c>
    </row>
    <row r="6558">
      <c r="A6558" s="1" t="s">
        <v>13729</v>
      </c>
      <c r="B6558" s="2" t="s">
        <v>13730</v>
      </c>
      <c r="C6558" s="1" t="s">
        <v>2340</v>
      </c>
      <c r="D6558" s="1" t="s">
        <v>2341</v>
      </c>
    </row>
    <row r="6559">
      <c r="A6559" s="1" t="s">
        <v>13731</v>
      </c>
      <c r="B6559" s="2" t="s">
        <v>13732</v>
      </c>
      <c r="C6559" s="1" t="s">
        <v>2340</v>
      </c>
      <c r="D6559" s="1" t="s">
        <v>2341</v>
      </c>
    </row>
    <row r="6560">
      <c r="A6560" s="1" t="s">
        <v>13733</v>
      </c>
      <c r="B6560" s="2" t="s">
        <v>13734</v>
      </c>
      <c r="C6560" s="1" t="s">
        <v>2340</v>
      </c>
      <c r="D6560" s="1" t="s">
        <v>2341</v>
      </c>
    </row>
    <row r="6561">
      <c r="A6561" s="1" t="s">
        <v>13735</v>
      </c>
      <c r="B6561" s="2" t="s">
        <v>13736</v>
      </c>
      <c r="C6561" s="1" t="s">
        <v>2340</v>
      </c>
      <c r="D6561" s="1" t="s">
        <v>2341</v>
      </c>
    </row>
    <row r="6562">
      <c r="A6562" s="1" t="s">
        <v>13737</v>
      </c>
      <c r="B6562" s="2" t="s">
        <v>13738</v>
      </c>
      <c r="C6562" s="1" t="s">
        <v>2340</v>
      </c>
      <c r="D6562" s="1" t="s">
        <v>2341</v>
      </c>
    </row>
    <row r="6563">
      <c r="A6563" s="1" t="s">
        <v>13739</v>
      </c>
      <c r="B6563" s="2" t="s">
        <v>13740</v>
      </c>
      <c r="C6563" s="1" t="s">
        <v>2340</v>
      </c>
      <c r="D6563" s="1" t="s">
        <v>2341</v>
      </c>
    </row>
    <row r="6564">
      <c r="A6564" s="1" t="s">
        <v>13741</v>
      </c>
      <c r="B6564" s="2" t="s">
        <v>13742</v>
      </c>
      <c r="C6564" s="1" t="s">
        <v>2340</v>
      </c>
      <c r="D6564" s="1" t="s">
        <v>2341</v>
      </c>
    </row>
    <row r="6565">
      <c r="A6565" s="1" t="s">
        <v>2345</v>
      </c>
      <c r="B6565" s="2" t="s">
        <v>7</v>
      </c>
      <c r="C6565" s="1" t="s">
        <v>2347</v>
      </c>
      <c r="D6565" s="1" t="s">
        <v>2348</v>
      </c>
    </row>
    <row r="6566">
      <c r="A6566" s="1" t="s">
        <v>13743</v>
      </c>
      <c r="B6566" s="2" t="s">
        <v>13744</v>
      </c>
      <c r="C6566" s="1" t="s">
        <v>2347</v>
      </c>
      <c r="D6566" s="1" t="s">
        <v>2348</v>
      </c>
    </row>
    <row r="6567">
      <c r="A6567" s="1" t="s">
        <v>13745</v>
      </c>
      <c r="B6567" s="2" t="s">
        <v>13746</v>
      </c>
      <c r="C6567" s="1" t="s">
        <v>2347</v>
      </c>
      <c r="D6567" s="1" t="s">
        <v>2348</v>
      </c>
    </row>
    <row r="6568">
      <c r="A6568" s="1" t="s">
        <v>13747</v>
      </c>
      <c r="B6568" s="2" t="s">
        <v>13748</v>
      </c>
      <c r="C6568" s="1" t="s">
        <v>2347</v>
      </c>
      <c r="D6568" s="1" t="s">
        <v>2348</v>
      </c>
    </row>
    <row r="6569">
      <c r="A6569" s="1" t="s">
        <v>2353</v>
      </c>
      <c r="B6569" s="2" t="s">
        <v>7</v>
      </c>
      <c r="C6569" s="1" t="s">
        <v>2355</v>
      </c>
      <c r="D6569" s="1" t="s">
        <v>2356</v>
      </c>
    </row>
    <row r="6570">
      <c r="A6570" s="1" t="s">
        <v>13749</v>
      </c>
      <c r="B6570" s="2" t="s">
        <v>13750</v>
      </c>
      <c r="C6570" s="1" t="s">
        <v>2355</v>
      </c>
      <c r="D6570" s="1" t="s">
        <v>2356</v>
      </c>
    </row>
    <row r="6571">
      <c r="A6571" s="1" t="s">
        <v>13751</v>
      </c>
      <c r="B6571" s="2" t="s">
        <v>13752</v>
      </c>
      <c r="C6571" s="1" t="s">
        <v>2355</v>
      </c>
      <c r="D6571" s="1" t="s">
        <v>2356</v>
      </c>
    </row>
    <row r="6572">
      <c r="A6572" s="1" t="s">
        <v>13753</v>
      </c>
      <c r="B6572" s="2" t="s">
        <v>13754</v>
      </c>
      <c r="C6572" s="1" t="s">
        <v>2355</v>
      </c>
      <c r="D6572" s="1" t="s">
        <v>2356</v>
      </c>
    </row>
    <row r="6573">
      <c r="A6573" s="1" t="s">
        <v>13755</v>
      </c>
      <c r="B6573" s="2" t="s">
        <v>13756</v>
      </c>
      <c r="C6573" s="1" t="s">
        <v>2355</v>
      </c>
      <c r="D6573" s="1" t="s">
        <v>2356</v>
      </c>
    </row>
    <row r="6574">
      <c r="A6574" s="1" t="s">
        <v>2359</v>
      </c>
      <c r="B6574" s="2" t="s">
        <v>2361</v>
      </c>
      <c r="C6574" s="1" t="s">
        <v>2363</v>
      </c>
      <c r="D6574" s="1" t="s">
        <v>2364</v>
      </c>
    </row>
    <row r="6575">
      <c r="A6575" s="1" t="s">
        <v>13757</v>
      </c>
      <c r="B6575" s="2" t="s">
        <v>13758</v>
      </c>
      <c r="C6575" s="1" t="s">
        <v>2363</v>
      </c>
      <c r="D6575" s="1" t="s">
        <v>2364</v>
      </c>
    </row>
    <row r="6576">
      <c r="A6576" s="1" t="s">
        <v>13759</v>
      </c>
      <c r="B6576" s="2" t="s">
        <v>13760</v>
      </c>
      <c r="C6576" s="1" t="s">
        <v>2363</v>
      </c>
      <c r="D6576" s="1" t="s">
        <v>2364</v>
      </c>
    </row>
    <row r="6577">
      <c r="A6577" s="1" t="s">
        <v>2368</v>
      </c>
      <c r="B6577" s="2" t="s">
        <v>7</v>
      </c>
      <c r="C6577" s="1" t="s">
        <v>2370</v>
      </c>
      <c r="D6577" s="1" t="s">
        <v>2371</v>
      </c>
    </row>
    <row r="6578">
      <c r="A6578" s="1" t="s">
        <v>13761</v>
      </c>
      <c r="B6578" s="2" t="s">
        <v>13762</v>
      </c>
      <c r="C6578" s="1" t="s">
        <v>2370</v>
      </c>
      <c r="D6578" s="1" t="s">
        <v>2371</v>
      </c>
    </row>
    <row r="6579">
      <c r="A6579" s="1" t="s">
        <v>13763</v>
      </c>
      <c r="B6579" s="2" t="s">
        <v>13764</v>
      </c>
      <c r="C6579" s="1" t="s">
        <v>2370</v>
      </c>
      <c r="D6579" s="1" t="s">
        <v>2371</v>
      </c>
    </row>
    <row r="6580">
      <c r="A6580" s="1" t="s">
        <v>13765</v>
      </c>
      <c r="B6580" s="2" t="s">
        <v>13766</v>
      </c>
      <c r="C6580" s="1" t="s">
        <v>2370</v>
      </c>
      <c r="D6580" s="1" t="s">
        <v>2371</v>
      </c>
    </row>
    <row r="6581">
      <c r="A6581" s="1" t="s">
        <v>13767</v>
      </c>
      <c r="B6581" s="2" t="s">
        <v>13768</v>
      </c>
      <c r="C6581" s="1" t="s">
        <v>2370</v>
      </c>
      <c r="D6581" s="1" t="s">
        <v>2371</v>
      </c>
    </row>
    <row r="6582">
      <c r="A6582" s="1" t="s">
        <v>13769</v>
      </c>
      <c r="B6582" s="2" t="s">
        <v>13770</v>
      </c>
      <c r="C6582" s="1" t="s">
        <v>2370</v>
      </c>
      <c r="D6582" s="1" t="s">
        <v>2371</v>
      </c>
    </row>
    <row r="6583">
      <c r="A6583" s="1" t="s">
        <v>13771</v>
      </c>
      <c r="B6583" s="2" t="s">
        <v>13772</v>
      </c>
      <c r="C6583" s="1" t="s">
        <v>2370</v>
      </c>
      <c r="D6583" s="1" t="s">
        <v>2371</v>
      </c>
    </row>
    <row r="6584">
      <c r="A6584" s="1" t="s">
        <v>13773</v>
      </c>
      <c r="B6584" s="2" t="s">
        <v>13774</v>
      </c>
      <c r="C6584" s="1" t="s">
        <v>2370</v>
      </c>
      <c r="D6584" s="1" t="s">
        <v>2371</v>
      </c>
    </row>
    <row r="6585">
      <c r="A6585" s="1" t="s">
        <v>13775</v>
      </c>
      <c r="B6585" s="2" t="s">
        <v>13776</v>
      </c>
      <c r="C6585" s="1" t="s">
        <v>2370</v>
      </c>
      <c r="D6585" s="1" t="s">
        <v>2371</v>
      </c>
    </row>
    <row r="6586">
      <c r="A6586" s="1" t="s">
        <v>13777</v>
      </c>
      <c r="B6586" s="2" t="s">
        <v>13778</v>
      </c>
      <c r="C6586" s="1" t="s">
        <v>2370</v>
      </c>
      <c r="D6586" s="1" t="s">
        <v>2371</v>
      </c>
    </row>
    <row r="6587">
      <c r="A6587" s="1" t="s">
        <v>2380</v>
      </c>
      <c r="B6587" s="2" t="s">
        <v>7</v>
      </c>
      <c r="C6587" s="1" t="s">
        <v>2382</v>
      </c>
      <c r="D6587" s="1" t="s">
        <v>2383</v>
      </c>
    </row>
    <row r="6588">
      <c r="A6588" s="1" t="s">
        <v>13779</v>
      </c>
      <c r="B6588" s="2" t="s">
        <v>13780</v>
      </c>
      <c r="C6588" s="1" t="s">
        <v>2382</v>
      </c>
      <c r="D6588" s="1" t="s">
        <v>2383</v>
      </c>
    </row>
    <row r="6589">
      <c r="A6589" s="1" t="s">
        <v>13781</v>
      </c>
      <c r="B6589" s="2" t="s">
        <v>13782</v>
      </c>
      <c r="C6589" s="1" t="s">
        <v>2382</v>
      </c>
      <c r="D6589" s="1" t="s">
        <v>2383</v>
      </c>
    </row>
    <row r="6590">
      <c r="A6590" s="1" t="s">
        <v>13783</v>
      </c>
      <c r="B6590" s="2" t="s">
        <v>13784</v>
      </c>
      <c r="C6590" s="1" t="s">
        <v>2382</v>
      </c>
      <c r="D6590" s="1" t="s">
        <v>2383</v>
      </c>
    </row>
    <row r="6591">
      <c r="A6591" s="1" t="s">
        <v>13785</v>
      </c>
      <c r="B6591" s="2" t="s">
        <v>13786</v>
      </c>
      <c r="C6591" s="1" t="s">
        <v>2382</v>
      </c>
      <c r="D6591" s="1" t="s">
        <v>2383</v>
      </c>
    </row>
    <row r="6592">
      <c r="A6592" s="1" t="s">
        <v>13787</v>
      </c>
      <c r="B6592" s="2" t="s">
        <v>13788</v>
      </c>
      <c r="C6592" s="1" t="s">
        <v>2382</v>
      </c>
      <c r="D6592" s="1" t="s">
        <v>2383</v>
      </c>
    </row>
    <row r="6593">
      <c r="A6593" s="1" t="s">
        <v>13789</v>
      </c>
      <c r="B6593" s="2" t="s">
        <v>13790</v>
      </c>
      <c r="C6593" s="1" t="s">
        <v>2382</v>
      </c>
      <c r="D6593" s="1" t="s">
        <v>2383</v>
      </c>
    </row>
    <row r="6594">
      <c r="A6594" s="1" t="s">
        <v>2386</v>
      </c>
      <c r="B6594" s="2" t="s">
        <v>7</v>
      </c>
      <c r="C6594" s="1" t="s">
        <v>2388</v>
      </c>
      <c r="D6594" s="1" t="s">
        <v>2390</v>
      </c>
    </row>
    <row r="6595">
      <c r="A6595" s="1" t="s">
        <v>13791</v>
      </c>
      <c r="B6595" s="2" t="s">
        <v>13780</v>
      </c>
      <c r="C6595" s="1" t="s">
        <v>2388</v>
      </c>
      <c r="D6595" s="1" t="s">
        <v>2390</v>
      </c>
    </row>
    <row r="6596">
      <c r="A6596" s="1" t="s">
        <v>13792</v>
      </c>
      <c r="B6596" s="2" t="s">
        <v>13782</v>
      </c>
      <c r="C6596" s="1" t="s">
        <v>2388</v>
      </c>
      <c r="D6596" s="1" t="s">
        <v>2390</v>
      </c>
    </row>
    <row r="6597">
      <c r="A6597" s="1" t="s">
        <v>13793</v>
      </c>
      <c r="B6597" s="2" t="s">
        <v>13784</v>
      </c>
      <c r="C6597" s="1" t="s">
        <v>2388</v>
      </c>
      <c r="D6597" s="1" t="s">
        <v>2390</v>
      </c>
    </row>
    <row r="6598">
      <c r="A6598" s="1" t="s">
        <v>13794</v>
      </c>
      <c r="B6598" s="2" t="s">
        <v>13786</v>
      </c>
      <c r="C6598" s="1" t="s">
        <v>2388</v>
      </c>
      <c r="D6598" s="1" t="s">
        <v>2390</v>
      </c>
    </row>
    <row r="6599">
      <c r="A6599" s="1" t="s">
        <v>13795</v>
      </c>
      <c r="B6599" s="2" t="s">
        <v>13788</v>
      </c>
      <c r="C6599" s="1" t="s">
        <v>2388</v>
      </c>
      <c r="D6599" s="1" t="s">
        <v>2390</v>
      </c>
    </row>
    <row r="6600">
      <c r="A6600" s="1" t="s">
        <v>13796</v>
      </c>
      <c r="B6600" s="2" t="s">
        <v>13790</v>
      </c>
      <c r="C6600" s="1" t="s">
        <v>2388</v>
      </c>
      <c r="D6600" s="1" t="s">
        <v>2390</v>
      </c>
    </row>
    <row r="6601">
      <c r="A6601" s="1" t="s">
        <v>2394</v>
      </c>
      <c r="B6601" s="2" t="s">
        <v>7</v>
      </c>
      <c r="C6601" s="1" t="s">
        <v>2396</v>
      </c>
      <c r="D6601" s="1" t="s">
        <v>2397</v>
      </c>
    </row>
    <row r="6602">
      <c r="A6602" s="1" t="s">
        <v>13797</v>
      </c>
      <c r="B6602" s="2" t="s">
        <v>13780</v>
      </c>
      <c r="C6602" s="1" t="s">
        <v>2396</v>
      </c>
      <c r="D6602" s="1" t="s">
        <v>2397</v>
      </c>
    </row>
    <row r="6603">
      <c r="A6603" s="1" t="s">
        <v>13798</v>
      </c>
      <c r="B6603" s="2" t="s">
        <v>13782</v>
      </c>
      <c r="C6603" s="1" t="s">
        <v>2396</v>
      </c>
      <c r="D6603" s="1" t="s">
        <v>2397</v>
      </c>
    </row>
    <row r="6604">
      <c r="A6604" s="1" t="s">
        <v>13799</v>
      </c>
      <c r="B6604" s="2" t="s">
        <v>13784</v>
      </c>
      <c r="C6604" s="1" t="s">
        <v>2396</v>
      </c>
      <c r="D6604" s="1" t="s">
        <v>2397</v>
      </c>
    </row>
    <row r="6605">
      <c r="A6605" s="1" t="s">
        <v>13800</v>
      </c>
      <c r="B6605" s="2" t="s">
        <v>13786</v>
      </c>
      <c r="C6605" s="1" t="s">
        <v>2396</v>
      </c>
      <c r="D6605" s="1" t="s">
        <v>2397</v>
      </c>
    </row>
    <row r="6606">
      <c r="A6606" s="1" t="s">
        <v>13801</v>
      </c>
      <c r="B6606" s="2" t="s">
        <v>13788</v>
      </c>
      <c r="C6606" s="1" t="s">
        <v>2396</v>
      </c>
      <c r="D6606" s="1" t="s">
        <v>2397</v>
      </c>
    </row>
    <row r="6607">
      <c r="A6607" s="1" t="s">
        <v>13802</v>
      </c>
      <c r="B6607" s="2" t="s">
        <v>13790</v>
      </c>
      <c r="C6607" s="1" t="s">
        <v>2396</v>
      </c>
      <c r="D6607" s="1" t="s">
        <v>2397</v>
      </c>
    </row>
    <row r="6608">
      <c r="A6608" s="1" t="s">
        <v>2401</v>
      </c>
      <c r="B6608" s="2" t="s">
        <v>7</v>
      </c>
      <c r="C6608" s="1" t="s">
        <v>2403</v>
      </c>
      <c r="D6608" s="1" t="s">
        <v>2405</v>
      </c>
    </row>
    <row r="6609">
      <c r="A6609" s="1" t="s">
        <v>13803</v>
      </c>
      <c r="B6609" s="2" t="s">
        <v>13780</v>
      </c>
      <c r="C6609" s="1" t="s">
        <v>2403</v>
      </c>
      <c r="D6609" s="1" t="s">
        <v>2405</v>
      </c>
    </row>
    <row r="6610">
      <c r="A6610" s="1" t="s">
        <v>13804</v>
      </c>
      <c r="B6610" s="2" t="s">
        <v>13782</v>
      </c>
      <c r="C6610" s="1" t="s">
        <v>2403</v>
      </c>
      <c r="D6610" s="1" t="s">
        <v>2405</v>
      </c>
    </row>
    <row r="6611">
      <c r="A6611" s="1" t="s">
        <v>13805</v>
      </c>
      <c r="B6611" s="2" t="s">
        <v>13784</v>
      </c>
      <c r="C6611" s="1" t="s">
        <v>2403</v>
      </c>
      <c r="D6611" s="1" t="s">
        <v>2405</v>
      </c>
    </row>
    <row r="6612">
      <c r="A6612" s="1" t="s">
        <v>13806</v>
      </c>
      <c r="B6612" s="2" t="s">
        <v>13786</v>
      </c>
      <c r="C6612" s="1" t="s">
        <v>2403</v>
      </c>
      <c r="D6612" s="1" t="s">
        <v>2405</v>
      </c>
    </row>
    <row r="6613">
      <c r="A6613" s="1" t="s">
        <v>13807</v>
      </c>
      <c r="B6613" s="2" t="s">
        <v>13788</v>
      </c>
      <c r="C6613" s="1" t="s">
        <v>2403</v>
      </c>
      <c r="D6613" s="1" t="s">
        <v>2405</v>
      </c>
    </row>
    <row r="6614">
      <c r="A6614" s="1" t="s">
        <v>13808</v>
      </c>
      <c r="B6614" s="2" t="s">
        <v>13790</v>
      </c>
      <c r="C6614" s="1" t="s">
        <v>2403</v>
      </c>
      <c r="D6614" s="1" t="s">
        <v>2405</v>
      </c>
    </row>
    <row r="6615">
      <c r="A6615" s="1" t="s">
        <v>2408</v>
      </c>
      <c r="B6615" s="2" t="s">
        <v>7</v>
      </c>
      <c r="C6615" s="1" t="s">
        <v>2410</v>
      </c>
      <c r="D6615" s="1" t="s">
        <v>2411</v>
      </c>
    </row>
    <row r="6616">
      <c r="A6616" s="1" t="s">
        <v>13809</v>
      </c>
      <c r="B6616" s="2" t="s">
        <v>13780</v>
      </c>
      <c r="C6616" s="1" t="s">
        <v>2410</v>
      </c>
      <c r="D6616" s="1" t="s">
        <v>2411</v>
      </c>
    </row>
    <row r="6617">
      <c r="A6617" s="1" t="s">
        <v>13810</v>
      </c>
      <c r="B6617" s="2" t="s">
        <v>13782</v>
      </c>
      <c r="C6617" s="1" t="s">
        <v>2410</v>
      </c>
      <c r="D6617" s="1" t="s">
        <v>2411</v>
      </c>
    </row>
    <row r="6618">
      <c r="A6618" s="1" t="s">
        <v>13811</v>
      </c>
      <c r="B6618" s="2" t="s">
        <v>13784</v>
      </c>
      <c r="C6618" s="1" t="s">
        <v>2410</v>
      </c>
      <c r="D6618" s="1" t="s">
        <v>2411</v>
      </c>
    </row>
    <row r="6619">
      <c r="A6619" s="1" t="s">
        <v>13812</v>
      </c>
      <c r="B6619" s="2" t="s">
        <v>13786</v>
      </c>
      <c r="C6619" s="1" t="s">
        <v>2410</v>
      </c>
      <c r="D6619" s="1" t="s">
        <v>2411</v>
      </c>
    </row>
    <row r="6620">
      <c r="A6620" s="1" t="s">
        <v>13813</v>
      </c>
      <c r="B6620" s="2" t="s">
        <v>13788</v>
      </c>
      <c r="C6620" s="1" t="s">
        <v>2410</v>
      </c>
      <c r="D6620" s="1" t="s">
        <v>2411</v>
      </c>
    </row>
    <row r="6621">
      <c r="A6621" s="1" t="s">
        <v>13814</v>
      </c>
      <c r="B6621" s="2" t="s">
        <v>13790</v>
      </c>
      <c r="C6621" s="1" t="s">
        <v>2410</v>
      </c>
      <c r="D6621" s="1" t="s">
        <v>2411</v>
      </c>
    </row>
    <row r="6622">
      <c r="A6622" s="1" t="s">
        <v>2418</v>
      </c>
      <c r="B6622" s="2" t="s">
        <v>7</v>
      </c>
      <c r="C6622" s="1" t="s">
        <v>2419</v>
      </c>
      <c r="D6622" s="1" t="s">
        <v>2421</v>
      </c>
    </row>
    <row r="6623">
      <c r="A6623" s="1" t="s">
        <v>13815</v>
      </c>
      <c r="B6623" s="2" t="s">
        <v>13780</v>
      </c>
      <c r="C6623" s="1" t="s">
        <v>2419</v>
      </c>
      <c r="D6623" s="1" t="s">
        <v>2421</v>
      </c>
    </row>
    <row r="6624">
      <c r="A6624" s="1" t="s">
        <v>13816</v>
      </c>
      <c r="B6624" s="2" t="s">
        <v>13782</v>
      </c>
      <c r="C6624" s="1" t="s">
        <v>2419</v>
      </c>
      <c r="D6624" s="1" t="s">
        <v>2421</v>
      </c>
    </row>
    <row r="6625">
      <c r="A6625" s="1" t="s">
        <v>13817</v>
      </c>
      <c r="B6625" s="2" t="s">
        <v>13784</v>
      </c>
      <c r="C6625" s="1" t="s">
        <v>2419</v>
      </c>
      <c r="D6625" s="1" t="s">
        <v>2421</v>
      </c>
    </row>
    <row r="6626">
      <c r="A6626" s="1" t="s">
        <v>13818</v>
      </c>
      <c r="B6626" s="2" t="s">
        <v>13786</v>
      </c>
      <c r="C6626" s="1" t="s">
        <v>2419</v>
      </c>
      <c r="D6626" s="1" t="s">
        <v>2421</v>
      </c>
    </row>
    <row r="6627">
      <c r="A6627" s="1" t="s">
        <v>13819</v>
      </c>
      <c r="B6627" s="2" t="s">
        <v>13788</v>
      </c>
      <c r="C6627" s="1" t="s">
        <v>2419</v>
      </c>
      <c r="D6627" s="1" t="s">
        <v>2421</v>
      </c>
    </row>
    <row r="6628">
      <c r="A6628" s="1" t="s">
        <v>13820</v>
      </c>
      <c r="B6628" s="2" t="s">
        <v>13790</v>
      </c>
      <c r="C6628" s="1" t="s">
        <v>2419</v>
      </c>
      <c r="D6628" s="1" t="s">
        <v>2421</v>
      </c>
    </row>
    <row r="6629">
      <c r="A6629" s="1" t="s">
        <v>2423</v>
      </c>
      <c r="B6629" s="2" t="s">
        <v>7</v>
      </c>
      <c r="C6629" s="1" t="s">
        <v>2425</v>
      </c>
      <c r="D6629" s="1" t="s">
        <v>2427</v>
      </c>
    </row>
    <row r="6630">
      <c r="A6630" s="1" t="s">
        <v>13821</v>
      </c>
      <c r="B6630" s="2" t="s">
        <v>13780</v>
      </c>
      <c r="C6630" s="1" t="s">
        <v>2425</v>
      </c>
      <c r="D6630" s="1" t="s">
        <v>2427</v>
      </c>
    </row>
    <row r="6631">
      <c r="A6631" s="1" t="s">
        <v>13822</v>
      </c>
      <c r="B6631" s="2" t="s">
        <v>13782</v>
      </c>
      <c r="C6631" s="1" t="s">
        <v>2425</v>
      </c>
      <c r="D6631" s="1" t="s">
        <v>2427</v>
      </c>
    </row>
    <row r="6632">
      <c r="A6632" s="1" t="s">
        <v>13823</v>
      </c>
      <c r="B6632" s="2" t="s">
        <v>13784</v>
      </c>
      <c r="C6632" s="1" t="s">
        <v>2425</v>
      </c>
      <c r="D6632" s="1" t="s">
        <v>2427</v>
      </c>
    </row>
    <row r="6633">
      <c r="A6633" s="1" t="s">
        <v>13824</v>
      </c>
      <c r="B6633" s="2" t="s">
        <v>13786</v>
      </c>
      <c r="C6633" s="1" t="s">
        <v>2425</v>
      </c>
      <c r="D6633" s="1" t="s">
        <v>2427</v>
      </c>
    </row>
    <row r="6634">
      <c r="A6634" s="1" t="s">
        <v>13825</v>
      </c>
      <c r="B6634" s="2" t="s">
        <v>13788</v>
      </c>
      <c r="C6634" s="1" t="s">
        <v>2425</v>
      </c>
      <c r="D6634" s="1" t="s">
        <v>2427</v>
      </c>
    </row>
    <row r="6635">
      <c r="A6635" s="1" t="s">
        <v>13826</v>
      </c>
      <c r="B6635" s="2" t="s">
        <v>13790</v>
      </c>
      <c r="C6635" s="1" t="s">
        <v>2425</v>
      </c>
      <c r="D6635" s="1" t="s">
        <v>2427</v>
      </c>
    </row>
    <row r="6636">
      <c r="A6636" s="1" t="s">
        <v>2430</v>
      </c>
      <c r="B6636" s="2" t="s">
        <v>7</v>
      </c>
      <c r="C6636" s="1" t="s">
        <v>2432</v>
      </c>
      <c r="D6636" s="1" t="s">
        <v>2433</v>
      </c>
    </row>
    <row r="6637">
      <c r="A6637" s="1" t="s">
        <v>13827</v>
      </c>
      <c r="B6637" s="2" t="s">
        <v>13780</v>
      </c>
      <c r="C6637" s="1" t="s">
        <v>2432</v>
      </c>
      <c r="D6637" s="1" t="s">
        <v>2433</v>
      </c>
    </row>
    <row r="6638">
      <c r="A6638" s="1" t="s">
        <v>13828</v>
      </c>
      <c r="B6638" s="2" t="s">
        <v>13782</v>
      </c>
      <c r="C6638" s="1" t="s">
        <v>2432</v>
      </c>
      <c r="D6638" s="1" t="s">
        <v>2433</v>
      </c>
    </row>
    <row r="6639">
      <c r="A6639" s="1" t="s">
        <v>13829</v>
      </c>
      <c r="B6639" s="2" t="s">
        <v>13784</v>
      </c>
      <c r="C6639" s="1" t="s">
        <v>2432</v>
      </c>
      <c r="D6639" s="1" t="s">
        <v>2433</v>
      </c>
    </row>
    <row r="6640">
      <c r="A6640" s="1" t="s">
        <v>13830</v>
      </c>
      <c r="B6640" s="2" t="s">
        <v>13786</v>
      </c>
      <c r="C6640" s="1" t="s">
        <v>2432</v>
      </c>
      <c r="D6640" s="1" t="s">
        <v>2433</v>
      </c>
    </row>
    <row r="6641">
      <c r="A6641" s="1" t="s">
        <v>13831</v>
      </c>
      <c r="B6641" s="2" t="s">
        <v>13788</v>
      </c>
      <c r="C6641" s="1" t="s">
        <v>2432</v>
      </c>
      <c r="D6641" s="1" t="s">
        <v>2433</v>
      </c>
    </row>
    <row r="6642">
      <c r="A6642" s="1" t="s">
        <v>13832</v>
      </c>
      <c r="B6642" s="2" t="s">
        <v>13790</v>
      </c>
      <c r="C6642" s="1" t="s">
        <v>2432</v>
      </c>
      <c r="D6642" s="1" t="s">
        <v>2433</v>
      </c>
    </row>
    <row r="6643">
      <c r="A6643" s="1" t="s">
        <v>2436</v>
      </c>
      <c r="B6643" s="2" t="s">
        <v>7</v>
      </c>
      <c r="C6643" s="1" t="s">
        <v>2438</v>
      </c>
      <c r="D6643" s="1" t="s">
        <v>2439</v>
      </c>
    </row>
    <row r="6644">
      <c r="A6644" s="1" t="s">
        <v>13833</v>
      </c>
      <c r="B6644" s="2" t="s">
        <v>13780</v>
      </c>
      <c r="C6644" s="1" t="s">
        <v>2438</v>
      </c>
      <c r="D6644" s="1" t="s">
        <v>2439</v>
      </c>
    </row>
    <row r="6645">
      <c r="A6645" s="1" t="s">
        <v>13834</v>
      </c>
      <c r="B6645" s="2" t="s">
        <v>13782</v>
      </c>
      <c r="C6645" s="1" t="s">
        <v>2438</v>
      </c>
      <c r="D6645" s="1" t="s">
        <v>2439</v>
      </c>
    </row>
    <row r="6646">
      <c r="A6646" s="1" t="s">
        <v>13835</v>
      </c>
      <c r="B6646" s="2" t="s">
        <v>13784</v>
      </c>
      <c r="C6646" s="1" t="s">
        <v>2438</v>
      </c>
      <c r="D6646" s="1" t="s">
        <v>2439</v>
      </c>
    </row>
    <row r="6647">
      <c r="A6647" s="1" t="s">
        <v>13836</v>
      </c>
      <c r="B6647" s="2" t="s">
        <v>13786</v>
      </c>
      <c r="C6647" s="1" t="s">
        <v>2438</v>
      </c>
      <c r="D6647" s="1" t="s">
        <v>2439</v>
      </c>
    </row>
    <row r="6648">
      <c r="A6648" s="1" t="s">
        <v>13837</v>
      </c>
      <c r="B6648" s="2" t="s">
        <v>13788</v>
      </c>
      <c r="C6648" s="1" t="s">
        <v>2438</v>
      </c>
      <c r="D6648" s="1" t="s">
        <v>2439</v>
      </c>
    </row>
    <row r="6649">
      <c r="A6649" s="1" t="s">
        <v>13838</v>
      </c>
      <c r="B6649" s="2" t="s">
        <v>13790</v>
      </c>
      <c r="C6649" s="1" t="s">
        <v>2438</v>
      </c>
      <c r="D6649" s="1" t="s">
        <v>2439</v>
      </c>
    </row>
    <row r="6650">
      <c r="A6650" s="1" t="s">
        <v>2374</v>
      </c>
      <c r="B6650" s="2" t="s">
        <v>7</v>
      </c>
      <c r="C6650" s="1" t="s">
        <v>2376</v>
      </c>
      <c r="D6650" s="1" t="s">
        <v>2377</v>
      </c>
    </row>
    <row r="6651">
      <c r="A6651" s="1" t="s">
        <v>13839</v>
      </c>
      <c r="B6651" s="2" t="s">
        <v>13780</v>
      </c>
      <c r="C6651" s="1" t="s">
        <v>2376</v>
      </c>
      <c r="D6651" s="1" t="s">
        <v>2377</v>
      </c>
    </row>
    <row r="6652">
      <c r="A6652" s="1" t="s">
        <v>13840</v>
      </c>
      <c r="B6652" s="2" t="s">
        <v>13841</v>
      </c>
      <c r="C6652" s="1" t="s">
        <v>2376</v>
      </c>
      <c r="D6652" s="1" t="s">
        <v>2377</v>
      </c>
    </row>
    <row r="6653">
      <c r="A6653" s="1" t="s">
        <v>13842</v>
      </c>
      <c r="B6653" s="2" t="s">
        <v>13843</v>
      </c>
      <c r="C6653" s="1" t="s">
        <v>2376</v>
      </c>
      <c r="D6653" s="1" t="s">
        <v>2377</v>
      </c>
    </row>
    <row r="6654">
      <c r="A6654" s="1" t="s">
        <v>13844</v>
      </c>
      <c r="B6654" s="2" t="s">
        <v>13845</v>
      </c>
      <c r="C6654" s="1" t="s">
        <v>2376</v>
      </c>
      <c r="D6654" s="1" t="s">
        <v>2377</v>
      </c>
    </row>
    <row r="6655">
      <c r="A6655" s="1" t="s">
        <v>13846</v>
      </c>
      <c r="B6655" s="2" t="s">
        <v>13847</v>
      </c>
      <c r="C6655" s="1" t="s">
        <v>2376</v>
      </c>
      <c r="D6655" s="1" t="s">
        <v>2377</v>
      </c>
    </row>
    <row r="6656">
      <c r="A6656" s="1" t="s">
        <v>13848</v>
      </c>
      <c r="B6656" s="2" t="s">
        <v>13849</v>
      </c>
      <c r="C6656" s="1" t="s">
        <v>2376</v>
      </c>
      <c r="D6656" s="1" t="s">
        <v>2377</v>
      </c>
    </row>
    <row r="6657">
      <c r="A6657" s="1" t="s">
        <v>13850</v>
      </c>
      <c r="B6657" s="2" t="s">
        <v>13851</v>
      </c>
      <c r="C6657" s="1" t="s">
        <v>2376</v>
      </c>
      <c r="D6657" s="1" t="s">
        <v>2377</v>
      </c>
    </row>
    <row r="6658">
      <c r="A6658" s="1" t="s">
        <v>13852</v>
      </c>
      <c r="B6658" s="2" t="s">
        <v>13786</v>
      </c>
      <c r="C6658" s="1" t="s">
        <v>2376</v>
      </c>
      <c r="D6658" s="1" t="s">
        <v>2377</v>
      </c>
    </row>
    <row r="6659">
      <c r="A6659" s="1" t="s">
        <v>13853</v>
      </c>
      <c r="B6659" s="2" t="s">
        <v>13788</v>
      </c>
      <c r="C6659" s="1" t="s">
        <v>2376</v>
      </c>
      <c r="D6659" s="1" t="s">
        <v>2377</v>
      </c>
    </row>
    <row r="6660">
      <c r="A6660" s="1" t="s">
        <v>13854</v>
      </c>
      <c r="B6660" s="2" t="s">
        <v>13790</v>
      </c>
      <c r="C6660" s="1" t="s">
        <v>2376</v>
      </c>
      <c r="D6660" s="1" t="s">
        <v>2377</v>
      </c>
    </row>
    <row r="6661">
      <c r="A6661" s="1" t="s">
        <v>2442</v>
      </c>
      <c r="B6661" s="2" t="s">
        <v>7</v>
      </c>
      <c r="C6661" s="1" t="s">
        <v>2444</v>
      </c>
      <c r="D6661" s="1" t="s">
        <v>2445</v>
      </c>
    </row>
    <row r="6662">
      <c r="A6662" s="1" t="s">
        <v>13855</v>
      </c>
      <c r="B6662" s="2" t="s">
        <v>13856</v>
      </c>
      <c r="C6662" s="1" t="s">
        <v>2444</v>
      </c>
      <c r="D6662" s="1" t="s">
        <v>2445</v>
      </c>
    </row>
    <row r="6663">
      <c r="A6663" s="1" t="s">
        <v>13857</v>
      </c>
      <c r="B6663" s="2" t="s">
        <v>13858</v>
      </c>
      <c r="C6663" s="1" t="s">
        <v>2444</v>
      </c>
      <c r="D6663" s="1" t="s">
        <v>2445</v>
      </c>
    </row>
    <row r="6664">
      <c r="A6664" s="1" t="s">
        <v>13859</v>
      </c>
      <c r="B6664" s="2" t="s">
        <v>13860</v>
      </c>
      <c r="C6664" s="1" t="s">
        <v>2444</v>
      </c>
      <c r="D6664" s="1" t="s">
        <v>2445</v>
      </c>
    </row>
    <row r="6665">
      <c r="A6665" s="1" t="s">
        <v>13861</v>
      </c>
      <c r="B6665" s="2" t="s">
        <v>13862</v>
      </c>
      <c r="C6665" s="1" t="s">
        <v>2444</v>
      </c>
      <c r="D6665" s="1" t="s">
        <v>2445</v>
      </c>
    </row>
    <row r="6666">
      <c r="A6666" s="1" t="s">
        <v>13863</v>
      </c>
      <c r="B6666" s="2" t="s">
        <v>13864</v>
      </c>
      <c r="C6666" s="1" t="s">
        <v>2444</v>
      </c>
      <c r="D6666" s="1" t="s">
        <v>2445</v>
      </c>
    </row>
    <row r="6667">
      <c r="A6667" s="1" t="s">
        <v>13865</v>
      </c>
      <c r="B6667" s="2" t="s">
        <v>13866</v>
      </c>
      <c r="C6667" s="1" t="s">
        <v>2444</v>
      </c>
      <c r="D6667" s="1" t="s">
        <v>2445</v>
      </c>
    </row>
    <row r="6668">
      <c r="A6668" s="1" t="s">
        <v>13867</v>
      </c>
      <c r="B6668" s="2" t="s">
        <v>13868</v>
      </c>
      <c r="C6668" s="1" t="s">
        <v>2444</v>
      </c>
      <c r="D6668" s="1" t="s">
        <v>2445</v>
      </c>
    </row>
    <row r="6669">
      <c r="A6669" s="1" t="s">
        <v>13869</v>
      </c>
      <c r="B6669" s="2" t="s">
        <v>13870</v>
      </c>
      <c r="C6669" s="1" t="s">
        <v>2444</v>
      </c>
      <c r="D6669" s="1" t="s">
        <v>2445</v>
      </c>
    </row>
    <row r="6670">
      <c r="A6670" s="1" t="s">
        <v>13871</v>
      </c>
      <c r="B6670" s="2" t="s">
        <v>13872</v>
      </c>
      <c r="C6670" s="1" t="s">
        <v>2444</v>
      </c>
      <c r="D6670" s="1" t="s">
        <v>2445</v>
      </c>
    </row>
    <row r="6671">
      <c r="A6671" s="1" t="s">
        <v>13873</v>
      </c>
      <c r="B6671" s="2" t="s">
        <v>13874</v>
      </c>
      <c r="C6671" s="1" t="s">
        <v>2444</v>
      </c>
      <c r="D6671" s="1" t="s">
        <v>2445</v>
      </c>
    </row>
    <row r="6672">
      <c r="A6672" s="1" t="s">
        <v>2449</v>
      </c>
      <c r="B6672" s="2" t="s">
        <v>7</v>
      </c>
      <c r="C6672" s="1" t="s">
        <v>2450</v>
      </c>
      <c r="D6672" s="1" t="s">
        <v>2451</v>
      </c>
    </row>
    <row r="6673">
      <c r="A6673" s="1" t="s">
        <v>13875</v>
      </c>
      <c r="B6673" s="2" t="s">
        <v>2820</v>
      </c>
      <c r="C6673" s="1" t="s">
        <v>2450</v>
      </c>
      <c r="D6673" s="1" t="s">
        <v>2451</v>
      </c>
    </row>
    <row r="6674">
      <c r="A6674" s="1" t="s">
        <v>13876</v>
      </c>
      <c r="B6674" s="2" t="s">
        <v>13877</v>
      </c>
      <c r="C6674" s="1" t="s">
        <v>2450</v>
      </c>
      <c r="D6674" s="1" t="s">
        <v>2451</v>
      </c>
    </row>
    <row r="6675">
      <c r="A6675" s="1" t="s">
        <v>13878</v>
      </c>
      <c r="B6675" s="2" t="s">
        <v>13879</v>
      </c>
      <c r="C6675" s="1" t="s">
        <v>2450</v>
      </c>
      <c r="D6675" s="1" t="s">
        <v>2451</v>
      </c>
    </row>
    <row r="6676">
      <c r="A6676" s="1" t="s">
        <v>13880</v>
      </c>
      <c r="B6676" s="2" t="s">
        <v>13881</v>
      </c>
      <c r="C6676" s="1" t="s">
        <v>2450</v>
      </c>
      <c r="D6676" s="1" t="s">
        <v>2451</v>
      </c>
    </row>
    <row r="6677">
      <c r="A6677" s="1" t="s">
        <v>13882</v>
      </c>
      <c r="B6677" s="2" t="s">
        <v>13883</v>
      </c>
      <c r="C6677" s="1" t="s">
        <v>2450</v>
      </c>
      <c r="D6677" s="1" t="s">
        <v>2451</v>
      </c>
    </row>
    <row r="6678">
      <c r="A6678" s="1" t="s">
        <v>13884</v>
      </c>
      <c r="B6678" s="2" t="s">
        <v>2858</v>
      </c>
      <c r="C6678" s="1" t="s">
        <v>2450</v>
      </c>
      <c r="D6678" s="1" t="s">
        <v>2451</v>
      </c>
    </row>
    <row r="6679">
      <c r="A6679" s="1" t="s">
        <v>13885</v>
      </c>
      <c r="B6679" s="2" t="s">
        <v>13886</v>
      </c>
      <c r="C6679" s="1" t="s">
        <v>2450</v>
      </c>
      <c r="D6679" s="1" t="s">
        <v>2451</v>
      </c>
    </row>
    <row r="6680">
      <c r="A6680" s="1" t="s">
        <v>13887</v>
      </c>
      <c r="B6680" s="2" t="s">
        <v>13888</v>
      </c>
      <c r="C6680" s="1" t="s">
        <v>2450</v>
      </c>
      <c r="D6680" s="1" t="s">
        <v>2451</v>
      </c>
    </row>
    <row r="6681">
      <c r="A6681" s="1" t="s">
        <v>13889</v>
      </c>
      <c r="B6681" s="2" t="s">
        <v>13890</v>
      </c>
      <c r="C6681" s="1" t="s">
        <v>2450</v>
      </c>
      <c r="D6681" s="1" t="s">
        <v>2451</v>
      </c>
    </row>
    <row r="6682">
      <c r="A6682" s="1" t="s">
        <v>13891</v>
      </c>
      <c r="B6682" s="2" t="s">
        <v>13892</v>
      </c>
      <c r="C6682" s="1" t="s">
        <v>2450</v>
      </c>
      <c r="D6682" s="1" t="s">
        <v>2451</v>
      </c>
    </row>
    <row r="6683">
      <c r="A6683" s="1" t="s">
        <v>2452</v>
      </c>
      <c r="B6683" s="2" t="s">
        <v>7</v>
      </c>
      <c r="C6683" s="1" t="s">
        <v>2454</v>
      </c>
      <c r="D6683" s="1" t="s">
        <v>2455</v>
      </c>
    </row>
    <row r="6684">
      <c r="A6684" s="1" t="s">
        <v>13893</v>
      </c>
      <c r="B6684" s="2" t="s">
        <v>13894</v>
      </c>
      <c r="C6684" s="1" t="s">
        <v>2454</v>
      </c>
      <c r="D6684" s="1" t="s">
        <v>2455</v>
      </c>
    </row>
    <row r="6685">
      <c r="A6685" s="1" t="s">
        <v>13895</v>
      </c>
      <c r="B6685" s="2" t="s">
        <v>13896</v>
      </c>
      <c r="C6685" s="1" t="s">
        <v>2454</v>
      </c>
      <c r="D6685" s="1" t="s">
        <v>2455</v>
      </c>
    </row>
    <row r="6686">
      <c r="A6686" s="1" t="s">
        <v>13897</v>
      </c>
      <c r="B6686" s="2" t="s">
        <v>13898</v>
      </c>
      <c r="C6686" s="1" t="s">
        <v>2454</v>
      </c>
      <c r="D6686" s="1" t="s">
        <v>2455</v>
      </c>
    </row>
    <row r="6687">
      <c r="A6687" s="1" t="s">
        <v>13899</v>
      </c>
      <c r="B6687" s="2" t="s">
        <v>13900</v>
      </c>
      <c r="C6687" s="1" t="s">
        <v>2454</v>
      </c>
      <c r="D6687" s="1" t="s">
        <v>2455</v>
      </c>
    </row>
    <row r="6688">
      <c r="A6688" s="1" t="s">
        <v>13901</v>
      </c>
      <c r="B6688" s="2" t="s">
        <v>13902</v>
      </c>
      <c r="C6688" s="1" t="s">
        <v>2454</v>
      </c>
      <c r="D6688" s="1" t="s">
        <v>2455</v>
      </c>
    </row>
    <row r="6689">
      <c r="A6689" s="1" t="s">
        <v>13903</v>
      </c>
      <c r="B6689" s="2" t="s">
        <v>13904</v>
      </c>
      <c r="C6689" s="1" t="s">
        <v>2454</v>
      </c>
      <c r="D6689" s="1" t="s">
        <v>2455</v>
      </c>
    </row>
    <row r="6690">
      <c r="A6690" s="1" t="s">
        <v>13905</v>
      </c>
      <c r="B6690" s="2" t="s">
        <v>13906</v>
      </c>
      <c r="C6690" s="1" t="s">
        <v>2454</v>
      </c>
      <c r="D6690" s="1" t="s">
        <v>2455</v>
      </c>
    </row>
    <row r="6691">
      <c r="A6691" s="1" t="s">
        <v>13907</v>
      </c>
      <c r="B6691" s="2" t="s">
        <v>13908</v>
      </c>
      <c r="C6691" s="1" t="s">
        <v>2454</v>
      </c>
      <c r="D6691" s="1" t="s">
        <v>2455</v>
      </c>
    </row>
    <row r="6692">
      <c r="A6692" s="1" t="s">
        <v>13909</v>
      </c>
      <c r="B6692" s="2" t="s">
        <v>13910</v>
      </c>
      <c r="C6692" s="1" t="s">
        <v>2454</v>
      </c>
      <c r="D6692" s="1" t="s">
        <v>2455</v>
      </c>
    </row>
    <row r="6693">
      <c r="A6693" s="1" t="s">
        <v>13911</v>
      </c>
      <c r="B6693" s="2" t="s">
        <v>13912</v>
      </c>
      <c r="C6693" s="1" t="s">
        <v>2454</v>
      </c>
      <c r="D6693" s="1" t="s">
        <v>2455</v>
      </c>
    </row>
    <row r="6694">
      <c r="A6694" s="1" t="s">
        <v>13913</v>
      </c>
      <c r="B6694" s="2" t="s">
        <v>13914</v>
      </c>
      <c r="C6694" s="1" t="s">
        <v>2454</v>
      </c>
      <c r="D6694" s="1" t="s">
        <v>2455</v>
      </c>
    </row>
    <row r="6695">
      <c r="A6695" s="1" t="s">
        <v>13915</v>
      </c>
      <c r="B6695" s="2" t="s">
        <v>13916</v>
      </c>
      <c r="C6695" s="1" t="s">
        <v>2454</v>
      </c>
      <c r="D6695" s="1" t="s">
        <v>2455</v>
      </c>
    </row>
    <row r="6696">
      <c r="A6696" s="1" t="s">
        <v>13917</v>
      </c>
      <c r="B6696" s="2" t="s">
        <v>13918</v>
      </c>
      <c r="C6696" s="1" t="s">
        <v>2454</v>
      </c>
      <c r="D6696" s="1" t="s">
        <v>2455</v>
      </c>
    </row>
    <row r="6697">
      <c r="A6697" s="1" t="s">
        <v>13919</v>
      </c>
      <c r="B6697" s="2" t="s">
        <v>13920</v>
      </c>
      <c r="C6697" s="1" t="s">
        <v>2454</v>
      </c>
      <c r="D6697" s="1" t="s">
        <v>2455</v>
      </c>
    </row>
    <row r="6698">
      <c r="A6698" s="1" t="s">
        <v>13921</v>
      </c>
      <c r="B6698" s="2" t="s">
        <v>13922</v>
      </c>
      <c r="C6698" s="1" t="s">
        <v>2454</v>
      </c>
      <c r="D6698" s="1" t="s">
        <v>2455</v>
      </c>
    </row>
    <row r="6699">
      <c r="A6699" s="1" t="s">
        <v>13923</v>
      </c>
      <c r="B6699" s="2" t="s">
        <v>13924</v>
      </c>
      <c r="C6699" s="1" t="s">
        <v>2454</v>
      </c>
      <c r="D6699" s="1" t="s">
        <v>2455</v>
      </c>
    </row>
    <row r="6700">
      <c r="A6700" s="1" t="s">
        <v>2464</v>
      </c>
      <c r="B6700" s="2" t="s">
        <v>7</v>
      </c>
      <c r="C6700" s="1" t="s">
        <v>2465</v>
      </c>
      <c r="D6700" s="1" t="s">
        <v>2466</v>
      </c>
    </row>
    <row r="6701">
      <c r="A6701" s="1" t="s">
        <v>13925</v>
      </c>
      <c r="B6701" s="2" t="s">
        <v>13</v>
      </c>
      <c r="C6701" s="1" t="s">
        <v>2465</v>
      </c>
      <c r="D6701" s="1" t="s">
        <v>2466</v>
      </c>
    </row>
    <row r="6702">
      <c r="A6702" s="1" t="s">
        <v>13926</v>
      </c>
      <c r="B6702" s="2" t="s">
        <v>13927</v>
      </c>
      <c r="C6702" s="1" t="s">
        <v>2465</v>
      </c>
      <c r="D6702" s="1" t="s">
        <v>2466</v>
      </c>
    </row>
    <row r="6703">
      <c r="A6703" s="1" t="s">
        <v>13928</v>
      </c>
      <c r="B6703" s="2" t="s">
        <v>13929</v>
      </c>
      <c r="C6703" s="1" t="s">
        <v>2465</v>
      </c>
      <c r="D6703" s="1" t="s">
        <v>2466</v>
      </c>
    </row>
    <row r="6704">
      <c r="A6704" s="1" t="s">
        <v>13930</v>
      </c>
      <c r="B6704" s="2" t="s">
        <v>13931</v>
      </c>
      <c r="C6704" s="1" t="s">
        <v>2465</v>
      </c>
      <c r="D6704" s="1" t="s">
        <v>2466</v>
      </c>
    </row>
    <row r="6705">
      <c r="A6705" s="1" t="s">
        <v>13932</v>
      </c>
      <c r="B6705" s="2" t="s">
        <v>13933</v>
      </c>
      <c r="C6705" s="1" t="s">
        <v>2465</v>
      </c>
      <c r="D6705" s="1" t="s">
        <v>2466</v>
      </c>
    </row>
    <row r="6706">
      <c r="A6706" s="1" t="s">
        <v>13934</v>
      </c>
      <c r="B6706" s="2" t="s">
        <v>70</v>
      </c>
      <c r="C6706" s="1" t="s">
        <v>2465</v>
      </c>
      <c r="D6706" s="1" t="s">
        <v>2466</v>
      </c>
    </row>
    <row r="6707">
      <c r="A6707" s="1" t="s">
        <v>13935</v>
      </c>
      <c r="B6707" s="2" t="s">
        <v>13936</v>
      </c>
      <c r="C6707" s="1" t="s">
        <v>2465</v>
      </c>
      <c r="D6707" s="1" t="s">
        <v>2466</v>
      </c>
    </row>
    <row r="6708">
      <c r="A6708" s="1" t="s">
        <v>13937</v>
      </c>
      <c r="B6708" s="2" t="s">
        <v>13938</v>
      </c>
      <c r="C6708" s="1" t="s">
        <v>2465</v>
      </c>
      <c r="D6708" s="1" t="s">
        <v>2466</v>
      </c>
    </row>
    <row r="6709">
      <c r="A6709" s="1" t="s">
        <v>13939</v>
      </c>
      <c r="B6709" s="2" t="s">
        <v>13940</v>
      </c>
      <c r="C6709" s="1" t="s">
        <v>2465</v>
      </c>
      <c r="D6709" s="1" t="s">
        <v>2466</v>
      </c>
    </row>
    <row r="6710">
      <c r="A6710" s="1" t="s">
        <v>13941</v>
      </c>
      <c r="B6710" s="2" t="s">
        <v>13942</v>
      </c>
      <c r="C6710" s="1" t="s">
        <v>2465</v>
      </c>
      <c r="D6710" s="1" t="s">
        <v>2466</v>
      </c>
    </row>
    <row r="6711">
      <c r="A6711" s="1" t="s">
        <v>2470</v>
      </c>
      <c r="B6711" s="2" t="s">
        <v>7</v>
      </c>
      <c r="C6711" s="1" t="s">
        <v>2472</v>
      </c>
      <c r="D6711" s="1" t="s">
        <v>2473</v>
      </c>
    </row>
    <row r="6712">
      <c r="A6712" s="1" t="s">
        <v>13943</v>
      </c>
      <c r="B6712" s="2" t="s">
        <v>13944</v>
      </c>
      <c r="C6712" s="1" t="s">
        <v>2472</v>
      </c>
      <c r="D6712" s="1" t="s">
        <v>2473</v>
      </c>
    </row>
    <row r="6713">
      <c r="A6713" s="1" t="s">
        <v>13945</v>
      </c>
      <c r="B6713" s="2" t="s">
        <v>13946</v>
      </c>
      <c r="C6713" s="1" t="s">
        <v>2472</v>
      </c>
      <c r="D6713" s="1" t="s">
        <v>2473</v>
      </c>
    </row>
    <row r="6714">
      <c r="A6714" s="1" t="s">
        <v>13947</v>
      </c>
      <c r="B6714" s="2" t="s">
        <v>13948</v>
      </c>
      <c r="C6714" s="1" t="s">
        <v>2472</v>
      </c>
      <c r="D6714" s="1" t="s">
        <v>2473</v>
      </c>
    </row>
    <row r="6715">
      <c r="A6715" s="1" t="s">
        <v>13949</v>
      </c>
      <c r="B6715" s="2" t="s">
        <v>13950</v>
      </c>
      <c r="C6715" s="1" t="s">
        <v>2472</v>
      </c>
      <c r="D6715" s="1" t="s">
        <v>2473</v>
      </c>
    </row>
    <row r="6716">
      <c r="A6716" s="1" t="s">
        <v>13951</v>
      </c>
      <c r="B6716" s="2" t="s">
        <v>13952</v>
      </c>
      <c r="C6716" s="1" t="s">
        <v>2472</v>
      </c>
      <c r="D6716" s="1" t="s">
        <v>2473</v>
      </c>
    </row>
    <row r="6717">
      <c r="A6717" s="1" t="s">
        <v>13953</v>
      </c>
      <c r="B6717" s="2" t="s">
        <v>13954</v>
      </c>
      <c r="C6717" s="1" t="s">
        <v>2472</v>
      </c>
      <c r="D6717" s="1" t="s">
        <v>2473</v>
      </c>
    </row>
    <row r="6718">
      <c r="A6718" s="1" t="s">
        <v>13955</v>
      </c>
      <c r="B6718" s="2" t="s">
        <v>13956</v>
      </c>
      <c r="C6718" s="1" t="s">
        <v>2472</v>
      </c>
      <c r="D6718" s="1" t="s">
        <v>2473</v>
      </c>
    </row>
    <row r="6719">
      <c r="A6719" s="1" t="s">
        <v>13957</v>
      </c>
      <c r="B6719" s="2" t="s">
        <v>13958</v>
      </c>
      <c r="C6719" s="1" t="s">
        <v>2472</v>
      </c>
      <c r="D6719" s="1" t="s">
        <v>2473</v>
      </c>
    </row>
    <row r="6720">
      <c r="A6720" s="1" t="s">
        <v>13959</v>
      </c>
      <c r="B6720" s="2" t="s">
        <v>13960</v>
      </c>
      <c r="C6720" s="1" t="s">
        <v>2472</v>
      </c>
      <c r="D6720" s="1" t="s">
        <v>2473</v>
      </c>
    </row>
    <row r="6721">
      <c r="A6721" s="1" t="s">
        <v>13961</v>
      </c>
      <c r="B6721" s="2" t="s">
        <v>13962</v>
      </c>
      <c r="C6721" s="1" t="s">
        <v>2472</v>
      </c>
      <c r="D6721" s="1" t="s">
        <v>2473</v>
      </c>
    </row>
    <row r="6722">
      <c r="A6722" s="1" t="s">
        <v>2476</v>
      </c>
      <c r="B6722" s="2" t="s">
        <v>7</v>
      </c>
      <c r="C6722" s="1" t="s">
        <v>2477</v>
      </c>
      <c r="D6722" s="1" t="s">
        <v>2479</v>
      </c>
    </row>
    <row r="6723">
      <c r="A6723" s="1" t="s">
        <v>13963</v>
      </c>
      <c r="B6723" s="2" t="s">
        <v>13964</v>
      </c>
      <c r="C6723" s="1" t="s">
        <v>2477</v>
      </c>
      <c r="D6723" s="1" t="s">
        <v>2479</v>
      </c>
    </row>
    <row r="6724">
      <c r="A6724" s="1" t="s">
        <v>13965</v>
      </c>
      <c r="B6724" s="2" t="s">
        <v>13966</v>
      </c>
      <c r="C6724" s="1" t="s">
        <v>2477</v>
      </c>
      <c r="D6724" s="1" t="s">
        <v>2479</v>
      </c>
    </row>
    <row r="6725">
      <c r="A6725" s="1" t="s">
        <v>13967</v>
      </c>
      <c r="B6725" s="2" t="s">
        <v>13968</v>
      </c>
      <c r="C6725" s="1" t="s">
        <v>2477</v>
      </c>
      <c r="D6725" s="1" t="s">
        <v>2479</v>
      </c>
    </row>
    <row r="6726">
      <c r="A6726" s="1" t="s">
        <v>13969</v>
      </c>
      <c r="B6726" s="2" t="s">
        <v>13970</v>
      </c>
      <c r="C6726" s="1" t="s">
        <v>2477</v>
      </c>
      <c r="D6726" s="1" t="s">
        <v>2479</v>
      </c>
    </row>
    <row r="6727">
      <c r="A6727" s="1" t="s">
        <v>13971</v>
      </c>
      <c r="B6727" s="2" t="s">
        <v>13972</v>
      </c>
      <c r="C6727" s="1" t="s">
        <v>2477</v>
      </c>
      <c r="D6727" s="1" t="s">
        <v>2479</v>
      </c>
    </row>
    <row r="6728">
      <c r="A6728" s="1" t="s">
        <v>13973</v>
      </c>
      <c r="B6728" s="2" t="s">
        <v>13974</v>
      </c>
      <c r="C6728" s="1" t="s">
        <v>2477</v>
      </c>
      <c r="D6728" s="1" t="s">
        <v>2479</v>
      </c>
    </row>
    <row r="6729">
      <c r="A6729" s="1" t="s">
        <v>13975</v>
      </c>
      <c r="B6729" s="2" t="s">
        <v>13976</v>
      </c>
      <c r="C6729" s="1" t="s">
        <v>2477</v>
      </c>
      <c r="D6729" s="1" t="s">
        <v>2479</v>
      </c>
    </row>
    <row r="6730">
      <c r="A6730" s="1" t="s">
        <v>13977</v>
      </c>
      <c r="B6730" s="2" t="s">
        <v>13978</v>
      </c>
      <c r="C6730" s="1" t="s">
        <v>2477</v>
      </c>
      <c r="D6730" s="1" t="s">
        <v>2479</v>
      </c>
    </row>
    <row r="6731">
      <c r="A6731" s="1" t="s">
        <v>13979</v>
      </c>
      <c r="B6731" s="2" t="s">
        <v>13980</v>
      </c>
      <c r="C6731" s="1" t="s">
        <v>2477</v>
      </c>
      <c r="D6731" s="1" t="s">
        <v>2479</v>
      </c>
    </row>
    <row r="6732">
      <c r="A6732" s="1" t="s">
        <v>13981</v>
      </c>
      <c r="B6732" s="2" t="s">
        <v>13982</v>
      </c>
      <c r="C6732" s="1" t="s">
        <v>2477</v>
      </c>
      <c r="D6732" s="1" t="s">
        <v>2479</v>
      </c>
    </row>
    <row r="6733">
      <c r="A6733" s="1" t="s">
        <v>2481</v>
      </c>
      <c r="B6733" s="2" t="s">
        <v>7</v>
      </c>
      <c r="C6733" s="1" t="s">
        <v>2484</v>
      </c>
      <c r="D6733" s="1" t="s">
        <v>2485</v>
      </c>
    </row>
    <row r="6734">
      <c r="A6734" s="1" t="s">
        <v>13983</v>
      </c>
      <c r="B6734" s="2" t="s">
        <v>13984</v>
      </c>
      <c r="C6734" s="1" t="s">
        <v>2484</v>
      </c>
      <c r="D6734" s="1" t="s">
        <v>2485</v>
      </c>
    </row>
    <row r="6735">
      <c r="A6735" s="1" t="s">
        <v>13985</v>
      </c>
      <c r="B6735" s="2" t="s">
        <v>13986</v>
      </c>
      <c r="C6735" s="1" t="s">
        <v>2484</v>
      </c>
      <c r="D6735" s="1" t="s">
        <v>2485</v>
      </c>
    </row>
    <row r="6736">
      <c r="A6736" s="1" t="s">
        <v>13987</v>
      </c>
      <c r="B6736" s="2" t="s">
        <v>13988</v>
      </c>
      <c r="C6736" s="1" t="s">
        <v>2484</v>
      </c>
      <c r="D6736" s="1" t="s">
        <v>2485</v>
      </c>
    </row>
    <row r="6737">
      <c r="A6737" s="1" t="s">
        <v>13989</v>
      </c>
      <c r="B6737" s="2" t="s">
        <v>13990</v>
      </c>
      <c r="C6737" s="1" t="s">
        <v>2484</v>
      </c>
      <c r="D6737" s="1" t="s">
        <v>2485</v>
      </c>
    </row>
    <row r="6738">
      <c r="A6738" s="1" t="s">
        <v>13991</v>
      </c>
      <c r="B6738" s="2" t="s">
        <v>13992</v>
      </c>
      <c r="C6738" s="1" t="s">
        <v>2484</v>
      </c>
      <c r="D6738" s="1" t="s">
        <v>2485</v>
      </c>
    </row>
    <row r="6739">
      <c r="A6739" s="1" t="s">
        <v>13993</v>
      </c>
      <c r="B6739" s="2" t="s">
        <v>13994</v>
      </c>
      <c r="C6739" s="1" t="s">
        <v>2484</v>
      </c>
      <c r="D6739" s="1" t="s">
        <v>2485</v>
      </c>
    </row>
    <row r="6740">
      <c r="A6740" s="1" t="s">
        <v>13995</v>
      </c>
      <c r="B6740" s="2" t="s">
        <v>13996</v>
      </c>
      <c r="C6740" s="1" t="s">
        <v>2484</v>
      </c>
      <c r="D6740" s="1" t="s">
        <v>2485</v>
      </c>
    </row>
    <row r="6741">
      <c r="A6741" s="1" t="s">
        <v>13997</v>
      </c>
      <c r="B6741" s="2" t="s">
        <v>13998</v>
      </c>
      <c r="C6741" s="1" t="s">
        <v>2484</v>
      </c>
      <c r="D6741" s="1" t="s">
        <v>2485</v>
      </c>
    </row>
    <row r="6742">
      <c r="A6742" s="1" t="s">
        <v>13999</v>
      </c>
      <c r="B6742" s="2" t="s">
        <v>14000</v>
      </c>
      <c r="C6742" s="1" t="s">
        <v>2484</v>
      </c>
      <c r="D6742" s="1" t="s">
        <v>2485</v>
      </c>
    </row>
    <row r="6743">
      <c r="A6743" s="1" t="s">
        <v>14001</v>
      </c>
      <c r="B6743" s="2" t="s">
        <v>14002</v>
      </c>
      <c r="C6743" s="1" t="s">
        <v>2484</v>
      </c>
      <c r="D6743" s="1" t="s">
        <v>2485</v>
      </c>
    </row>
    <row r="6744">
      <c r="A6744" s="1" t="s">
        <v>2489</v>
      </c>
      <c r="B6744" s="2" t="s">
        <v>7</v>
      </c>
      <c r="C6744" s="1" t="s">
        <v>2491</v>
      </c>
      <c r="D6744" s="1" t="s">
        <v>2492</v>
      </c>
    </row>
    <row r="6745">
      <c r="A6745" s="1" t="s">
        <v>14003</v>
      </c>
      <c r="B6745" s="2" t="s">
        <v>14004</v>
      </c>
      <c r="C6745" s="1" t="s">
        <v>2491</v>
      </c>
      <c r="D6745" s="1" t="s">
        <v>2492</v>
      </c>
    </row>
    <row r="6746">
      <c r="A6746" s="1" t="s">
        <v>14005</v>
      </c>
      <c r="B6746" s="2" t="s">
        <v>14006</v>
      </c>
      <c r="C6746" s="1" t="s">
        <v>2491</v>
      </c>
      <c r="D6746" s="1" t="s">
        <v>2492</v>
      </c>
    </row>
    <row r="6747">
      <c r="A6747" s="1" t="s">
        <v>14007</v>
      </c>
      <c r="B6747" s="2" t="s">
        <v>14008</v>
      </c>
      <c r="C6747" s="1" t="s">
        <v>2491</v>
      </c>
      <c r="D6747" s="1" t="s">
        <v>2492</v>
      </c>
    </row>
    <row r="6748">
      <c r="A6748" s="1" t="s">
        <v>14009</v>
      </c>
      <c r="B6748" s="2" t="s">
        <v>14010</v>
      </c>
      <c r="C6748" s="1" t="s">
        <v>2491</v>
      </c>
      <c r="D6748" s="1" t="s">
        <v>2492</v>
      </c>
    </row>
    <row r="6749">
      <c r="A6749" s="1" t="s">
        <v>14011</v>
      </c>
      <c r="B6749" s="2" t="s">
        <v>14012</v>
      </c>
      <c r="C6749" s="1" t="s">
        <v>2491</v>
      </c>
      <c r="D6749" s="1" t="s">
        <v>2492</v>
      </c>
    </row>
    <row r="6750">
      <c r="A6750" s="1" t="s">
        <v>14013</v>
      </c>
      <c r="B6750" s="2" t="s">
        <v>14014</v>
      </c>
      <c r="C6750" s="1" t="s">
        <v>2491</v>
      </c>
      <c r="D6750" s="1" t="s">
        <v>2492</v>
      </c>
    </row>
    <row r="6751">
      <c r="A6751" s="1" t="s">
        <v>2502</v>
      </c>
      <c r="B6751" s="2" t="s">
        <v>7</v>
      </c>
      <c r="C6751" s="1" t="s">
        <v>2504</v>
      </c>
      <c r="D6751" s="1" t="s">
        <v>2505</v>
      </c>
    </row>
    <row r="6752">
      <c r="A6752" s="1" t="s">
        <v>14015</v>
      </c>
      <c r="B6752" s="2" t="s">
        <v>14016</v>
      </c>
      <c r="C6752" s="1" t="s">
        <v>2504</v>
      </c>
      <c r="D6752" s="1" t="s">
        <v>2505</v>
      </c>
    </row>
    <row r="6753">
      <c r="A6753" s="1" t="s">
        <v>14017</v>
      </c>
      <c r="B6753" s="2" t="s">
        <v>14018</v>
      </c>
      <c r="C6753" s="1" t="s">
        <v>2504</v>
      </c>
      <c r="D6753" s="1" t="s">
        <v>2505</v>
      </c>
    </row>
    <row r="6754">
      <c r="A6754" s="1" t="s">
        <v>14019</v>
      </c>
      <c r="B6754" s="2" t="s">
        <v>14020</v>
      </c>
      <c r="C6754" s="1" t="s">
        <v>2504</v>
      </c>
      <c r="D6754" s="1" t="s">
        <v>2505</v>
      </c>
    </row>
    <row r="6755">
      <c r="A6755" s="1" t="s">
        <v>14021</v>
      </c>
      <c r="B6755" s="2" t="s">
        <v>14022</v>
      </c>
      <c r="C6755" s="1" t="s">
        <v>2504</v>
      </c>
      <c r="D6755" s="1" t="s">
        <v>2505</v>
      </c>
    </row>
    <row r="6756">
      <c r="A6756" s="1" t="s">
        <v>14023</v>
      </c>
      <c r="B6756" s="2" t="s">
        <v>14024</v>
      </c>
      <c r="C6756" s="1" t="s">
        <v>2504</v>
      </c>
      <c r="D6756" s="1" t="s">
        <v>2505</v>
      </c>
    </row>
    <row r="6757">
      <c r="A6757" s="1" t="s">
        <v>14025</v>
      </c>
      <c r="B6757" s="2" t="s">
        <v>14026</v>
      </c>
      <c r="C6757" s="1" t="s">
        <v>2504</v>
      </c>
      <c r="D6757" s="1" t="s">
        <v>2505</v>
      </c>
    </row>
    <row r="6758">
      <c r="A6758" s="1" t="s">
        <v>14027</v>
      </c>
      <c r="B6758" s="2" t="s">
        <v>14028</v>
      </c>
      <c r="C6758" s="1" t="s">
        <v>2504</v>
      </c>
      <c r="D6758" s="1" t="s">
        <v>2505</v>
      </c>
    </row>
    <row r="6759">
      <c r="A6759" s="1" t="s">
        <v>14029</v>
      </c>
      <c r="B6759" s="2" t="s">
        <v>14030</v>
      </c>
      <c r="C6759" s="1" t="s">
        <v>2504</v>
      </c>
      <c r="D6759" s="1" t="s">
        <v>2505</v>
      </c>
    </row>
    <row r="6760">
      <c r="A6760" s="1" t="s">
        <v>2508</v>
      </c>
      <c r="B6760" s="2" t="s">
        <v>7</v>
      </c>
      <c r="C6760" s="1" t="s">
        <v>2510</v>
      </c>
      <c r="D6760" s="1" t="s">
        <v>2511</v>
      </c>
    </row>
    <row r="6761">
      <c r="A6761" s="1" t="s">
        <v>14031</v>
      </c>
      <c r="B6761" s="2" t="s">
        <v>14016</v>
      </c>
      <c r="C6761" s="1" t="s">
        <v>2510</v>
      </c>
      <c r="D6761" s="1" t="s">
        <v>2511</v>
      </c>
    </row>
    <row r="6762">
      <c r="A6762" s="1" t="s">
        <v>14032</v>
      </c>
      <c r="B6762" s="2" t="s">
        <v>14018</v>
      </c>
      <c r="C6762" s="1" t="s">
        <v>2510</v>
      </c>
      <c r="D6762" s="1" t="s">
        <v>2511</v>
      </c>
    </row>
    <row r="6763">
      <c r="A6763" s="1" t="s">
        <v>14033</v>
      </c>
      <c r="B6763" s="2" t="s">
        <v>14020</v>
      </c>
      <c r="C6763" s="1" t="s">
        <v>2510</v>
      </c>
      <c r="D6763" s="1" t="s">
        <v>2511</v>
      </c>
    </row>
    <row r="6764">
      <c r="A6764" s="1" t="s">
        <v>14034</v>
      </c>
      <c r="B6764" s="2" t="s">
        <v>14022</v>
      </c>
      <c r="C6764" s="1" t="s">
        <v>2510</v>
      </c>
      <c r="D6764" s="1" t="s">
        <v>2511</v>
      </c>
    </row>
    <row r="6765">
      <c r="A6765" s="1" t="s">
        <v>14035</v>
      </c>
      <c r="B6765" s="2" t="s">
        <v>14024</v>
      </c>
      <c r="C6765" s="1" t="s">
        <v>2510</v>
      </c>
      <c r="D6765" s="1" t="s">
        <v>2511</v>
      </c>
    </row>
    <row r="6766">
      <c r="A6766" s="1" t="s">
        <v>14036</v>
      </c>
      <c r="B6766" s="2" t="s">
        <v>14026</v>
      </c>
      <c r="C6766" s="1" t="s">
        <v>2510</v>
      </c>
      <c r="D6766" s="1" t="s">
        <v>2511</v>
      </c>
    </row>
    <row r="6767">
      <c r="A6767" s="1" t="s">
        <v>14037</v>
      </c>
      <c r="B6767" s="2" t="s">
        <v>14028</v>
      </c>
      <c r="C6767" s="1" t="s">
        <v>2510</v>
      </c>
      <c r="D6767" s="1" t="s">
        <v>2511</v>
      </c>
    </row>
    <row r="6768">
      <c r="A6768" s="1" t="s">
        <v>14038</v>
      </c>
      <c r="B6768" s="2" t="s">
        <v>14030</v>
      </c>
      <c r="C6768" s="1" t="s">
        <v>2510</v>
      </c>
      <c r="D6768" s="1" t="s">
        <v>2511</v>
      </c>
    </row>
    <row r="6769">
      <c r="A6769" s="1" t="s">
        <v>2514</v>
      </c>
      <c r="B6769" s="2" t="s">
        <v>7</v>
      </c>
      <c r="C6769" s="1" t="s">
        <v>2516</v>
      </c>
      <c r="D6769" s="1" t="s">
        <v>2517</v>
      </c>
    </row>
    <row r="6770">
      <c r="A6770" s="1" t="s">
        <v>14039</v>
      </c>
      <c r="B6770" s="2" t="s">
        <v>14016</v>
      </c>
      <c r="C6770" s="1" t="s">
        <v>2516</v>
      </c>
      <c r="D6770" s="1" t="s">
        <v>2517</v>
      </c>
    </row>
    <row r="6771">
      <c r="A6771" s="1" t="s">
        <v>14040</v>
      </c>
      <c r="B6771" s="2" t="s">
        <v>14018</v>
      </c>
      <c r="C6771" s="1" t="s">
        <v>2516</v>
      </c>
      <c r="D6771" s="1" t="s">
        <v>2517</v>
      </c>
    </row>
    <row r="6772">
      <c r="A6772" s="1" t="s">
        <v>14041</v>
      </c>
      <c r="B6772" s="2" t="s">
        <v>14020</v>
      </c>
      <c r="C6772" s="1" t="s">
        <v>2516</v>
      </c>
      <c r="D6772" s="1" t="s">
        <v>2517</v>
      </c>
    </row>
    <row r="6773">
      <c r="A6773" s="1" t="s">
        <v>14042</v>
      </c>
      <c r="B6773" s="2" t="s">
        <v>14022</v>
      </c>
      <c r="C6773" s="1" t="s">
        <v>2516</v>
      </c>
      <c r="D6773" s="1" t="s">
        <v>2517</v>
      </c>
    </row>
    <row r="6774">
      <c r="A6774" s="1" t="s">
        <v>14043</v>
      </c>
      <c r="B6774" s="2" t="s">
        <v>14024</v>
      </c>
      <c r="C6774" s="1" t="s">
        <v>2516</v>
      </c>
      <c r="D6774" s="1" t="s">
        <v>2517</v>
      </c>
    </row>
    <row r="6775">
      <c r="A6775" s="1" t="s">
        <v>14044</v>
      </c>
      <c r="B6775" s="2" t="s">
        <v>14026</v>
      </c>
      <c r="C6775" s="1" t="s">
        <v>2516</v>
      </c>
      <c r="D6775" s="1" t="s">
        <v>2517</v>
      </c>
    </row>
    <row r="6776">
      <c r="A6776" s="1" t="s">
        <v>14045</v>
      </c>
      <c r="B6776" s="2" t="s">
        <v>14028</v>
      </c>
      <c r="C6776" s="1" t="s">
        <v>2516</v>
      </c>
      <c r="D6776" s="1" t="s">
        <v>2517</v>
      </c>
    </row>
    <row r="6777">
      <c r="A6777" s="1" t="s">
        <v>14046</v>
      </c>
      <c r="B6777" s="2" t="s">
        <v>14030</v>
      </c>
      <c r="C6777" s="1" t="s">
        <v>2516</v>
      </c>
      <c r="D6777" s="1" t="s">
        <v>2517</v>
      </c>
    </row>
    <row r="6778">
      <c r="A6778" s="1" t="s">
        <v>2520</v>
      </c>
      <c r="B6778" s="2" t="s">
        <v>7</v>
      </c>
      <c r="C6778" s="1" t="s">
        <v>2522</v>
      </c>
      <c r="D6778" s="1" t="s">
        <v>2523</v>
      </c>
    </row>
    <row r="6779">
      <c r="A6779" s="1" t="s">
        <v>14047</v>
      </c>
      <c r="B6779" s="2" t="s">
        <v>14016</v>
      </c>
      <c r="C6779" s="1" t="s">
        <v>2522</v>
      </c>
      <c r="D6779" s="1" t="s">
        <v>2523</v>
      </c>
    </row>
    <row r="6780">
      <c r="A6780" s="1" t="s">
        <v>14048</v>
      </c>
      <c r="B6780" s="2" t="s">
        <v>14018</v>
      </c>
      <c r="C6780" s="1" t="s">
        <v>2522</v>
      </c>
      <c r="D6780" s="1" t="s">
        <v>2523</v>
      </c>
    </row>
    <row r="6781">
      <c r="A6781" s="1" t="s">
        <v>14049</v>
      </c>
      <c r="B6781" s="2" t="s">
        <v>14020</v>
      </c>
      <c r="C6781" s="1" t="s">
        <v>2522</v>
      </c>
      <c r="D6781" s="1" t="s">
        <v>2523</v>
      </c>
    </row>
    <row r="6782">
      <c r="A6782" s="1" t="s">
        <v>14050</v>
      </c>
      <c r="B6782" s="2" t="s">
        <v>14022</v>
      </c>
      <c r="C6782" s="1" t="s">
        <v>2522</v>
      </c>
      <c r="D6782" s="1" t="s">
        <v>2523</v>
      </c>
    </row>
    <row r="6783">
      <c r="A6783" s="1" t="s">
        <v>14051</v>
      </c>
      <c r="B6783" s="2" t="s">
        <v>14024</v>
      </c>
      <c r="C6783" s="1" t="s">
        <v>2522</v>
      </c>
      <c r="D6783" s="1" t="s">
        <v>2523</v>
      </c>
    </row>
    <row r="6784">
      <c r="A6784" s="1" t="s">
        <v>14052</v>
      </c>
      <c r="B6784" s="2" t="s">
        <v>14026</v>
      </c>
      <c r="C6784" s="1" t="s">
        <v>2522</v>
      </c>
      <c r="D6784" s="1" t="s">
        <v>2523</v>
      </c>
    </row>
    <row r="6785">
      <c r="A6785" s="1" t="s">
        <v>14053</v>
      </c>
      <c r="B6785" s="2" t="s">
        <v>14028</v>
      </c>
      <c r="C6785" s="1" t="s">
        <v>2522</v>
      </c>
      <c r="D6785" s="1" t="s">
        <v>2523</v>
      </c>
    </row>
    <row r="6786">
      <c r="A6786" s="1" t="s">
        <v>14054</v>
      </c>
      <c r="B6786" s="2" t="s">
        <v>14030</v>
      </c>
      <c r="C6786" s="1" t="s">
        <v>2522</v>
      </c>
      <c r="D6786" s="1" t="s">
        <v>2523</v>
      </c>
    </row>
    <row r="6787">
      <c r="A6787" s="1" t="s">
        <v>2525</v>
      </c>
      <c r="B6787" s="2" t="s">
        <v>7</v>
      </c>
      <c r="C6787" s="1" t="s">
        <v>2526</v>
      </c>
      <c r="D6787" s="1" t="s">
        <v>2527</v>
      </c>
    </row>
    <row r="6788">
      <c r="A6788" s="1" t="s">
        <v>14055</v>
      </c>
      <c r="B6788" s="2" t="s">
        <v>14016</v>
      </c>
      <c r="C6788" s="1" t="s">
        <v>2526</v>
      </c>
      <c r="D6788" s="1" t="s">
        <v>2527</v>
      </c>
    </row>
    <row r="6789">
      <c r="A6789" s="1" t="s">
        <v>14056</v>
      </c>
      <c r="B6789" s="2" t="s">
        <v>14018</v>
      </c>
      <c r="C6789" s="1" t="s">
        <v>2526</v>
      </c>
      <c r="D6789" s="1" t="s">
        <v>2527</v>
      </c>
    </row>
    <row r="6790">
      <c r="A6790" s="1" t="s">
        <v>14057</v>
      </c>
      <c r="B6790" s="2" t="s">
        <v>14020</v>
      </c>
      <c r="C6790" s="1" t="s">
        <v>2526</v>
      </c>
      <c r="D6790" s="1" t="s">
        <v>2527</v>
      </c>
    </row>
    <row r="6791">
      <c r="A6791" s="1" t="s">
        <v>14058</v>
      </c>
      <c r="B6791" s="2" t="s">
        <v>14022</v>
      </c>
      <c r="C6791" s="1" t="s">
        <v>2526</v>
      </c>
      <c r="D6791" s="1" t="s">
        <v>2527</v>
      </c>
    </row>
    <row r="6792">
      <c r="A6792" s="1" t="s">
        <v>14059</v>
      </c>
      <c r="B6792" s="2" t="s">
        <v>14024</v>
      </c>
      <c r="C6792" s="1" t="s">
        <v>2526</v>
      </c>
      <c r="D6792" s="1" t="s">
        <v>2527</v>
      </c>
    </row>
    <row r="6793">
      <c r="A6793" s="1" t="s">
        <v>14060</v>
      </c>
      <c r="B6793" s="2" t="s">
        <v>14026</v>
      </c>
      <c r="C6793" s="1" t="s">
        <v>2526</v>
      </c>
      <c r="D6793" s="1" t="s">
        <v>2527</v>
      </c>
    </row>
    <row r="6794">
      <c r="A6794" s="1" t="s">
        <v>14061</v>
      </c>
      <c r="B6794" s="2" t="s">
        <v>14028</v>
      </c>
      <c r="C6794" s="1" t="s">
        <v>2526</v>
      </c>
      <c r="D6794" s="1" t="s">
        <v>2527</v>
      </c>
    </row>
    <row r="6795">
      <c r="A6795" s="1" t="s">
        <v>14062</v>
      </c>
      <c r="B6795" s="2" t="s">
        <v>14030</v>
      </c>
      <c r="C6795" s="1" t="s">
        <v>2526</v>
      </c>
      <c r="D6795" s="1" t="s">
        <v>2527</v>
      </c>
    </row>
    <row r="6796">
      <c r="A6796" s="1" t="s">
        <v>2530</v>
      </c>
      <c r="B6796" s="2" t="s">
        <v>7</v>
      </c>
      <c r="C6796" s="1" t="s">
        <v>2532</v>
      </c>
      <c r="D6796" s="1" t="s">
        <v>2533</v>
      </c>
    </row>
    <row r="6797">
      <c r="A6797" s="1" t="s">
        <v>14063</v>
      </c>
      <c r="B6797" s="2" t="s">
        <v>14016</v>
      </c>
      <c r="C6797" s="1" t="s">
        <v>2532</v>
      </c>
      <c r="D6797" s="1" t="s">
        <v>2533</v>
      </c>
    </row>
    <row r="6798">
      <c r="A6798" s="1" t="s">
        <v>14064</v>
      </c>
      <c r="B6798" s="2" t="s">
        <v>14018</v>
      </c>
      <c r="C6798" s="1" t="s">
        <v>2532</v>
      </c>
      <c r="D6798" s="1" t="s">
        <v>2533</v>
      </c>
    </row>
    <row r="6799">
      <c r="A6799" s="1" t="s">
        <v>14065</v>
      </c>
      <c r="B6799" s="2" t="s">
        <v>14020</v>
      </c>
      <c r="C6799" s="1" t="s">
        <v>2532</v>
      </c>
      <c r="D6799" s="1" t="s">
        <v>2533</v>
      </c>
    </row>
    <row r="6800">
      <c r="A6800" s="1" t="s">
        <v>14066</v>
      </c>
      <c r="B6800" s="2" t="s">
        <v>14022</v>
      </c>
      <c r="C6800" s="1" t="s">
        <v>2532</v>
      </c>
      <c r="D6800" s="1" t="s">
        <v>2533</v>
      </c>
    </row>
    <row r="6801">
      <c r="A6801" s="1" t="s">
        <v>14067</v>
      </c>
      <c r="B6801" s="2" t="s">
        <v>14024</v>
      </c>
      <c r="C6801" s="1" t="s">
        <v>2532</v>
      </c>
      <c r="D6801" s="1" t="s">
        <v>2533</v>
      </c>
    </row>
    <row r="6802">
      <c r="A6802" s="1" t="s">
        <v>14068</v>
      </c>
      <c r="B6802" s="2" t="s">
        <v>14026</v>
      </c>
      <c r="C6802" s="1" t="s">
        <v>2532</v>
      </c>
      <c r="D6802" s="1" t="s">
        <v>2533</v>
      </c>
    </row>
    <row r="6803">
      <c r="A6803" s="1" t="s">
        <v>14069</v>
      </c>
      <c r="B6803" s="2" t="s">
        <v>14028</v>
      </c>
      <c r="C6803" s="1" t="s">
        <v>2532</v>
      </c>
      <c r="D6803" s="1" t="s">
        <v>2533</v>
      </c>
    </row>
    <row r="6804">
      <c r="A6804" s="1" t="s">
        <v>14070</v>
      </c>
      <c r="B6804" s="2" t="s">
        <v>14030</v>
      </c>
      <c r="C6804" s="1" t="s">
        <v>2532</v>
      </c>
      <c r="D6804" s="1" t="s">
        <v>2533</v>
      </c>
    </row>
    <row r="6805">
      <c r="A6805" s="1" t="s">
        <v>2536</v>
      </c>
      <c r="B6805" s="2" t="s">
        <v>7</v>
      </c>
      <c r="C6805" s="1" t="s">
        <v>2538</v>
      </c>
      <c r="D6805" s="1" t="s">
        <v>2539</v>
      </c>
    </row>
    <row r="6806">
      <c r="A6806" s="1" t="s">
        <v>14071</v>
      </c>
      <c r="B6806" s="2" t="s">
        <v>14016</v>
      </c>
      <c r="C6806" s="1" t="s">
        <v>2538</v>
      </c>
      <c r="D6806" s="1" t="s">
        <v>2539</v>
      </c>
    </row>
    <row r="6807">
      <c r="A6807" s="1" t="s">
        <v>14072</v>
      </c>
      <c r="B6807" s="2" t="s">
        <v>14018</v>
      </c>
      <c r="C6807" s="1" t="s">
        <v>2538</v>
      </c>
      <c r="D6807" s="1" t="s">
        <v>2539</v>
      </c>
    </row>
    <row r="6808">
      <c r="A6808" s="1" t="s">
        <v>14073</v>
      </c>
      <c r="B6808" s="2" t="s">
        <v>14020</v>
      </c>
      <c r="C6808" s="1" t="s">
        <v>2538</v>
      </c>
      <c r="D6808" s="1" t="s">
        <v>2539</v>
      </c>
    </row>
    <row r="6809">
      <c r="A6809" s="1" t="s">
        <v>14074</v>
      </c>
      <c r="B6809" s="2" t="s">
        <v>14022</v>
      </c>
      <c r="C6809" s="1" t="s">
        <v>2538</v>
      </c>
      <c r="D6809" s="1" t="s">
        <v>2539</v>
      </c>
    </row>
    <row r="6810">
      <c r="A6810" s="1" t="s">
        <v>14075</v>
      </c>
      <c r="B6810" s="2" t="s">
        <v>14024</v>
      </c>
      <c r="C6810" s="1" t="s">
        <v>2538</v>
      </c>
      <c r="D6810" s="1" t="s">
        <v>2539</v>
      </c>
    </row>
    <row r="6811">
      <c r="A6811" s="1" t="s">
        <v>14076</v>
      </c>
      <c r="B6811" s="2" t="s">
        <v>14026</v>
      </c>
      <c r="C6811" s="1" t="s">
        <v>2538</v>
      </c>
      <c r="D6811" s="1" t="s">
        <v>2539</v>
      </c>
    </row>
    <row r="6812">
      <c r="A6812" s="1" t="s">
        <v>14077</v>
      </c>
      <c r="B6812" s="2" t="s">
        <v>14028</v>
      </c>
      <c r="C6812" s="1" t="s">
        <v>2538</v>
      </c>
      <c r="D6812" s="1" t="s">
        <v>2539</v>
      </c>
    </row>
    <row r="6813">
      <c r="A6813" s="1" t="s">
        <v>14078</v>
      </c>
      <c r="B6813" s="2" t="s">
        <v>14030</v>
      </c>
      <c r="C6813" s="1" t="s">
        <v>2538</v>
      </c>
      <c r="D6813" s="1" t="s">
        <v>2539</v>
      </c>
    </row>
    <row r="6814">
      <c r="A6814" s="1" t="s">
        <v>2542</v>
      </c>
      <c r="B6814" s="2" t="s">
        <v>7</v>
      </c>
      <c r="C6814" s="1" t="s">
        <v>2544</v>
      </c>
      <c r="D6814" s="1" t="s">
        <v>2545</v>
      </c>
    </row>
    <row r="6815">
      <c r="A6815" s="1" t="s">
        <v>14079</v>
      </c>
      <c r="B6815" s="2" t="s">
        <v>14016</v>
      </c>
      <c r="C6815" s="1" t="s">
        <v>2544</v>
      </c>
      <c r="D6815" s="1" t="s">
        <v>2545</v>
      </c>
    </row>
    <row r="6816">
      <c r="A6816" s="1" t="s">
        <v>14080</v>
      </c>
      <c r="B6816" s="2" t="s">
        <v>14018</v>
      </c>
      <c r="C6816" s="1" t="s">
        <v>2544</v>
      </c>
      <c r="D6816" s="1" t="s">
        <v>2545</v>
      </c>
    </row>
    <row r="6817">
      <c r="A6817" s="1" t="s">
        <v>14081</v>
      </c>
      <c r="B6817" s="2" t="s">
        <v>14020</v>
      </c>
      <c r="C6817" s="1" t="s">
        <v>2544</v>
      </c>
      <c r="D6817" s="1" t="s">
        <v>2545</v>
      </c>
    </row>
    <row r="6818">
      <c r="A6818" s="1" t="s">
        <v>14082</v>
      </c>
      <c r="B6818" s="2" t="s">
        <v>14022</v>
      </c>
      <c r="C6818" s="1" t="s">
        <v>2544</v>
      </c>
      <c r="D6818" s="1" t="s">
        <v>2545</v>
      </c>
    </row>
    <row r="6819">
      <c r="A6819" s="1" t="s">
        <v>14083</v>
      </c>
      <c r="B6819" s="2" t="s">
        <v>14024</v>
      </c>
      <c r="C6819" s="1" t="s">
        <v>2544</v>
      </c>
      <c r="D6819" s="1" t="s">
        <v>2545</v>
      </c>
    </row>
    <row r="6820">
      <c r="A6820" s="1" t="s">
        <v>14084</v>
      </c>
      <c r="B6820" s="2" t="s">
        <v>14026</v>
      </c>
      <c r="C6820" s="1" t="s">
        <v>2544</v>
      </c>
      <c r="D6820" s="1" t="s">
        <v>2545</v>
      </c>
    </row>
    <row r="6821">
      <c r="A6821" s="1" t="s">
        <v>14085</v>
      </c>
      <c r="B6821" s="2" t="s">
        <v>14028</v>
      </c>
      <c r="C6821" s="1" t="s">
        <v>2544</v>
      </c>
      <c r="D6821" s="1" t="s">
        <v>2545</v>
      </c>
    </row>
    <row r="6822">
      <c r="A6822" s="1" t="s">
        <v>14086</v>
      </c>
      <c r="B6822" s="2" t="s">
        <v>14030</v>
      </c>
      <c r="C6822" s="1" t="s">
        <v>2544</v>
      </c>
      <c r="D6822" s="1" t="s">
        <v>2545</v>
      </c>
    </row>
    <row r="6823">
      <c r="A6823" s="1" t="s">
        <v>2548</v>
      </c>
      <c r="B6823" s="2" t="s">
        <v>7</v>
      </c>
      <c r="C6823" s="1" t="s">
        <v>2550</v>
      </c>
      <c r="D6823" s="1" t="s">
        <v>2551</v>
      </c>
    </row>
    <row r="6824">
      <c r="A6824" s="1" t="s">
        <v>14087</v>
      </c>
      <c r="B6824" s="2" t="s">
        <v>14016</v>
      </c>
      <c r="C6824" s="1" t="s">
        <v>2550</v>
      </c>
      <c r="D6824" s="1" t="s">
        <v>2551</v>
      </c>
    </row>
    <row r="6825">
      <c r="A6825" s="1" t="s">
        <v>14088</v>
      </c>
      <c r="B6825" s="2" t="s">
        <v>14018</v>
      </c>
      <c r="C6825" s="1" t="s">
        <v>2550</v>
      </c>
      <c r="D6825" s="1" t="s">
        <v>2551</v>
      </c>
    </row>
    <row r="6826">
      <c r="A6826" s="1" t="s">
        <v>14089</v>
      </c>
      <c r="B6826" s="2" t="s">
        <v>14020</v>
      </c>
      <c r="C6826" s="1" t="s">
        <v>2550</v>
      </c>
      <c r="D6826" s="1" t="s">
        <v>2551</v>
      </c>
    </row>
    <row r="6827">
      <c r="A6827" s="1" t="s">
        <v>14090</v>
      </c>
      <c r="B6827" s="2" t="s">
        <v>14022</v>
      </c>
      <c r="C6827" s="1" t="s">
        <v>2550</v>
      </c>
      <c r="D6827" s="1" t="s">
        <v>2551</v>
      </c>
    </row>
    <row r="6828">
      <c r="A6828" s="1" t="s">
        <v>14091</v>
      </c>
      <c r="B6828" s="2" t="s">
        <v>14024</v>
      </c>
      <c r="C6828" s="1" t="s">
        <v>2550</v>
      </c>
      <c r="D6828" s="1" t="s">
        <v>2551</v>
      </c>
    </row>
    <row r="6829">
      <c r="A6829" s="1" t="s">
        <v>14092</v>
      </c>
      <c r="B6829" s="2" t="s">
        <v>14026</v>
      </c>
      <c r="C6829" s="1" t="s">
        <v>2550</v>
      </c>
      <c r="D6829" s="1" t="s">
        <v>2551</v>
      </c>
    </row>
    <row r="6830">
      <c r="A6830" s="1" t="s">
        <v>14093</v>
      </c>
      <c r="B6830" s="2" t="s">
        <v>14028</v>
      </c>
      <c r="C6830" s="1" t="s">
        <v>2550</v>
      </c>
      <c r="D6830" s="1" t="s">
        <v>2551</v>
      </c>
    </row>
    <row r="6831">
      <c r="A6831" s="1" t="s">
        <v>14094</v>
      </c>
      <c r="B6831" s="2" t="s">
        <v>14030</v>
      </c>
      <c r="C6831" s="1" t="s">
        <v>2550</v>
      </c>
      <c r="D6831" s="1" t="s">
        <v>2551</v>
      </c>
    </row>
    <row r="6832">
      <c r="A6832" s="1" t="s">
        <v>2496</v>
      </c>
      <c r="B6832" s="2" t="s">
        <v>7</v>
      </c>
      <c r="C6832" s="1" t="s">
        <v>77</v>
      </c>
      <c r="D6832" s="1" t="s">
        <v>2498</v>
      </c>
    </row>
    <row r="6833">
      <c r="A6833" s="1" t="s">
        <v>14095</v>
      </c>
      <c r="B6833" s="2" t="s">
        <v>14016</v>
      </c>
      <c r="C6833" s="1" t="s">
        <v>77</v>
      </c>
      <c r="D6833" s="1" t="s">
        <v>2498</v>
      </c>
    </row>
    <row r="6834">
      <c r="A6834" s="1" t="s">
        <v>14096</v>
      </c>
      <c r="B6834" s="2" t="s">
        <v>14018</v>
      </c>
      <c r="C6834" s="1" t="s">
        <v>77</v>
      </c>
      <c r="D6834" s="1" t="s">
        <v>2498</v>
      </c>
    </row>
    <row r="6835">
      <c r="A6835" s="1" t="s">
        <v>14097</v>
      </c>
      <c r="B6835" s="2" t="s">
        <v>14020</v>
      </c>
      <c r="C6835" s="1" t="s">
        <v>77</v>
      </c>
      <c r="D6835" s="1" t="s">
        <v>2498</v>
      </c>
    </row>
    <row r="6836">
      <c r="A6836" s="1" t="s">
        <v>14098</v>
      </c>
      <c r="B6836" s="2" t="s">
        <v>14022</v>
      </c>
      <c r="C6836" s="1" t="s">
        <v>77</v>
      </c>
      <c r="D6836" s="1" t="s">
        <v>2498</v>
      </c>
    </row>
    <row r="6837">
      <c r="A6837" s="1" t="s">
        <v>14099</v>
      </c>
      <c r="B6837" s="2" t="s">
        <v>14024</v>
      </c>
      <c r="C6837" s="1" t="s">
        <v>77</v>
      </c>
      <c r="D6837" s="1" t="s">
        <v>2498</v>
      </c>
    </row>
    <row r="6838">
      <c r="A6838" s="1" t="s">
        <v>14100</v>
      </c>
      <c r="B6838" s="2" t="s">
        <v>14026</v>
      </c>
      <c r="C6838" s="1" t="s">
        <v>77</v>
      </c>
      <c r="D6838" s="1" t="s">
        <v>2498</v>
      </c>
    </row>
    <row r="6839">
      <c r="A6839" s="1" t="s">
        <v>14101</v>
      </c>
      <c r="B6839" s="2" t="s">
        <v>14028</v>
      </c>
      <c r="C6839" s="1" t="s">
        <v>77</v>
      </c>
      <c r="D6839" s="1" t="s">
        <v>2498</v>
      </c>
    </row>
    <row r="6840">
      <c r="A6840" s="1" t="s">
        <v>14102</v>
      </c>
      <c r="B6840" s="2" t="s">
        <v>14030</v>
      </c>
      <c r="C6840" s="1" t="s">
        <v>77</v>
      </c>
      <c r="D6840" s="1" t="s">
        <v>2498</v>
      </c>
    </row>
    <row r="6841">
      <c r="A6841" s="1" t="s">
        <v>2559</v>
      </c>
      <c r="B6841" s="2" t="s">
        <v>7</v>
      </c>
      <c r="C6841" s="1" t="s">
        <v>2561</v>
      </c>
      <c r="D6841" s="1" t="s">
        <v>2562</v>
      </c>
    </row>
    <row r="6842">
      <c r="A6842" s="1" t="s">
        <v>14103</v>
      </c>
      <c r="B6842" s="2" t="s">
        <v>14104</v>
      </c>
      <c r="C6842" s="1" t="s">
        <v>2561</v>
      </c>
      <c r="D6842" s="1" t="s">
        <v>2562</v>
      </c>
    </row>
    <row r="6843">
      <c r="A6843" s="1" t="s">
        <v>14105</v>
      </c>
      <c r="B6843" s="2" t="s">
        <v>14106</v>
      </c>
      <c r="C6843" s="1" t="s">
        <v>2561</v>
      </c>
      <c r="D6843" s="1" t="s">
        <v>2562</v>
      </c>
    </row>
    <row r="6844">
      <c r="A6844" s="1" t="s">
        <v>14107</v>
      </c>
      <c r="B6844" s="2" t="s">
        <v>14108</v>
      </c>
      <c r="C6844" s="1" t="s">
        <v>2561</v>
      </c>
      <c r="D6844" s="1" t="s">
        <v>2562</v>
      </c>
    </row>
    <row r="6845">
      <c r="A6845" s="1" t="s">
        <v>14109</v>
      </c>
      <c r="B6845" s="2" t="s">
        <v>14110</v>
      </c>
      <c r="C6845" s="1" t="s">
        <v>2561</v>
      </c>
      <c r="D6845" s="1" t="s">
        <v>2562</v>
      </c>
    </row>
    <row r="6846">
      <c r="A6846" s="1" t="s">
        <v>14111</v>
      </c>
      <c r="B6846" s="2" t="s">
        <v>14112</v>
      </c>
      <c r="C6846" s="1" t="s">
        <v>2561</v>
      </c>
      <c r="D6846" s="1" t="s">
        <v>2562</v>
      </c>
    </row>
    <row r="6847">
      <c r="A6847" s="1" t="s">
        <v>14113</v>
      </c>
      <c r="B6847" s="2" t="s">
        <v>14114</v>
      </c>
      <c r="C6847" s="1" t="s">
        <v>2561</v>
      </c>
      <c r="D6847" s="1" t="s">
        <v>2562</v>
      </c>
    </row>
    <row r="6848">
      <c r="A6848" s="1" t="s">
        <v>14115</v>
      </c>
      <c r="B6848" s="2" t="s">
        <v>14116</v>
      </c>
      <c r="C6848" s="1" t="s">
        <v>2561</v>
      </c>
      <c r="D6848" s="1" t="s">
        <v>2562</v>
      </c>
    </row>
    <row r="6849">
      <c r="A6849" s="1" t="s">
        <v>14117</v>
      </c>
      <c r="B6849" s="2" t="s">
        <v>14118</v>
      </c>
      <c r="C6849" s="1" t="s">
        <v>2561</v>
      </c>
      <c r="D6849" s="1" t="s">
        <v>2562</v>
      </c>
    </row>
    <row r="6850">
      <c r="A6850" s="1" t="s">
        <v>14119</v>
      </c>
      <c r="B6850" s="2" t="s">
        <v>14120</v>
      </c>
      <c r="C6850" s="1" t="s">
        <v>2561</v>
      </c>
      <c r="D6850" s="1" t="s">
        <v>2562</v>
      </c>
    </row>
    <row r="6851">
      <c r="A6851" s="1" t="s">
        <v>14121</v>
      </c>
      <c r="B6851" s="2" t="s">
        <v>14122</v>
      </c>
      <c r="C6851" s="1" t="s">
        <v>2561</v>
      </c>
      <c r="D6851" s="1" t="s">
        <v>2562</v>
      </c>
    </row>
    <row r="6852">
      <c r="A6852" s="1" t="s">
        <v>14123</v>
      </c>
      <c r="B6852" s="2" t="s">
        <v>14124</v>
      </c>
      <c r="C6852" s="1" t="s">
        <v>2561</v>
      </c>
      <c r="D6852" s="1" t="s">
        <v>2562</v>
      </c>
    </row>
    <row r="6853">
      <c r="A6853" s="1" t="s">
        <v>2566</v>
      </c>
      <c r="B6853" s="2" t="s">
        <v>7</v>
      </c>
      <c r="C6853" s="1" t="s">
        <v>2568</v>
      </c>
      <c r="D6853" s="1" t="s">
        <v>2569</v>
      </c>
    </row>
    <row r="6854">
      <c r="A6854" s="1" t="s">
        <v>14125</v>
      </c>
      <c r="B6854" s="2" t="s">
        <v>14104</v>
      </c>
      <c r="C6854" s="1" t="s">
        <v>2568</v>
      </c>
      <c r="D6854" s="1" t="s">
        <v>2569</v>
      </c>
    </row>
    <row r="6855">
      <c r="A6855" s="1" t="s">
        <v>14126</v>
      </c>
      <c r="B6855" s="2" t="s">
        <v>14106</v>
      </c>
      <c r="C6855" s="1" t="s">
        <v>2568</v>
      </c>
      <c r="D6855" s="1" t="s">
        <v>2569</v>
      </c>
    </row>
    <row r="6856">
      <c r="A6856" s="1" t="s">
        <v>14127</v>
      </c>
      <c r="B6856" s="2" t="s">
        <v>14108</v>
      </c>
      <c r="C6856" s="1" t="s">
        <v>2568</v>
      </c>
      <c r="D6856" s="1" t="s">
        <v>2569</v>
      </c>
    </row>
    <row r="6857">
      <c r="A6857" s="1" t="s">
        <v>14128</v>
      </c>
      <c r="B6857" s="2" t="s">
        <v>14110</v>
      </c>
      <c r="C6857" s="1" t="s">
        <v>2568</v>
      </c>
      <c r="D6857" s="1" t="s">
        <v>2569</v>
      </c>
    </row>
    <row r="6858">
      <c r="A6858" s="1" t="s">
        <v>14129</v>
      </c>
      <c r="B6858" s="2" t="s">
        <v>14112</v>
      </c>
      <c r="C6858" s="1" t="s">
        <v>2568</v>
      </c>
      <c r="D6858" s="1" t="s">
        <v>2569</v>
      </c>
    </row>
    <row r="6859">
      <c r="A6859" s="1" t="s">
        <v>14130</v>
      </c>
      <c r="B6859" s="2" t="s">
        <v>14114</v>
      </c>
      <c r="C6859" s="1" t="s">
        <v>2568</v>
      </c>
      <c r="D6859" s="1" t="s">
        <v>2569</v>
      </c>
    </row>
    <row r="6860">
      <c r="A6860" s="1" t="s">
        <v>14131</v>
      </c>
      <c r="B6860" s="2" t="s">
        <v>14116</v>
      </c>
      <c r="C6860" s="1" t="s">
        <v>2568</v>
      </c>
      <c r="D6860" s="1" t="s">
        <v>2569</v>
      </c>
    </row>
    <row r="6861">
      <c r="A6861" s="1" t="s">
        <v>14132</v>
      </c>
      <c r="B6861" s="2" t="s">
        <v>14118</v>
      </c>
      <c r="C6861" s="1" t="s">
        <v>2568</v>
      </c>
      <c r="D6861" s="1" t="s">
        <v>2569</v>
      </c>
    </row>
    <row r="6862">
      <c r="A6862" s="1" t="s">
        <v>14133</v>
      </c>
      <c r="B6862" s="2" t="s">
        <v>14120</v>
      </c>
      <c r="C6862" s="1" t="s">
        <v>2568</v>
      </c>
      <c r="D6862" s="1" t="s">
        <v>2569</v>
      </c>
    </row>
    <row r="6863">
      <c r="A6863" s="1" t="s">
        <v>14134</v>
      </c>
      <c r="B6863" s="2" t="s">
        <v>14122</v>
      </c>
      <c r="C6863" s="1" t="s">
        <v>2568</v>
      </c>
      <c r="D6863" s="1" t="s">
        <v>2569</v>
      </c>
    </row>
    <row r="6864">
      <c r="A6864" s="1" t="s">
        <v>14135</v>
      </c>
      <c r="B6864" s="2" t="s">
        <v>14124</v>
      </c>
      <c r="C6864" s="1" t="s">
        <v>2568</v>
      </c>
      <c r="D6864" s="1" t="s">
        <v>2569</v>
      </c>
    </row>
    <row r="6865">
      <c r="A6865" s="1" t="s">
        <v>2573</v>
      </c>
      <c r="B6865" s="2" t="s">
        <v>7</v>
      </c>
      <c r="C6865" s="1" t="s">
        <v>2574</v>
      </c>
      <c r="D6865" s="1" t="s">
        <v>2576</v>
      </c>
    </row>
    <row r="6866">
      <c r="A6866" s="1" t="s">
        <v>14136</v>
      </c>
      <c r="B6866" s="2" t="s">
        <v>14104</v>
      </c>
      <c r="C6866" s="1" t="s">
        <v>2574</v>
      </c>
      <c r="D6866" s="1" t="s">
        <v>2576</v>
      </c>
    </row>
    <row r="6867">
      <c r="A6867" s="1" t="s">
        <v>14137</v>
      </c>
      <c r="B6867" s="2" t="s">
        <v>14106</v>
      </c>
      <c r="C6867" s="1" t="s">
        <v>2574</v>
      </c>
      <c r="D6867" s="1" t="s">
        <v>2576</v>
      </c>
    </row>
    <row r="6868">
      <c r="A6868" s="1" t="s">
        <v>14138</v>
      </c>
      <c r="B6868" s="2" t="s">
        <v>14108</v>
      </c>
      <c r="C6868" s="1" t="s">
        <v>2574</v>
      </c>
      <c r="D6868" s="1" t="s">
        <v>2576</v>
      </c>
    </row>
    <row r="6869">
      <c r="A6869" s="1" t="s">
        <v>14139</v>
      </c>
      <c r="B6869" s="2" t="s">
        <v>14110</v>
      </c>
      <c r="C6869" s="1" t="s">
        <v>2574</v>
      </c>
      <c r="D6869" s="1" t="s">
        <v>2576</v>
      </c>
    </row>
    <row r="6870">
      <c r="A6870" s="1" t="s">
        <v>14140</v>
      </c>
      <c r="B6870" s="2" t="s">
        <v>14112</v>
      </c>
      <c r="C6870" s="1" t="s">
        <v>2574</v>
      </c>
      <c r="D6870" s="1" t="s">
        <v>2576</v>
      </c>
    </row>
    <row r="6871">
      <c r="A6871" s="1" t="s">
        <v>14141</v>
      </c>
      <c r="B6871" s="2" t="s">
        <v>14114</v>
      </c>
      <c r="C6871" s="1" t="s">
        <v>2574</v>
      </c>
      <c r="D6871" s="1" t="s">
        <v>2576</v>
      </c>
    </row>
    <row r="6872">
      <c r="A6872" s="1" t="s">
        <v>14142</v>
      </c>
      <c r="B6872" s="2" t="s">
        <v>14116</v>
      </c>
      <c r="C6872" s="1" t="s">
        <v>2574</v>
      </c>
      <c r="D6872" s="1" t="s">
        <v>2576</v>
      </c>
    </row>
    <row r="6873">
      <c r="A6873" s="1" t="s">
        <v>14143</v>
      </c>
      <c r="B6873" s="2" t="s">
        <v>14118</v>
      </c>
      <c r="C6873" s="1" t="s">
        <v>2574</v>
      </c>
      <c r="D6873" s="1" t="s">
        <v>2576</v>
      </c>
    </row>
    <row r="6874">
      <c r="A6874" s="1" t="s">
        <v>14144</v>
      </c>
      <c r="B6874" s="2" t="s">
        <v>14120</v>
      </c>
      <c r="C6874" s="1" t="s">
        <v>2574</v>
      </c>
      <c r="D6874" s="1" t="s">
        <v>2576</v>
      </c>
    </row>
    <row r="6875">
      <c r="A6875" s="1" t="s">
        <v>14145</v>
      </c>
      <c r="B6875" s="2" t="s">
        <v>14122</v>
      </c>
      <c r="C6875" s="1" t="s">
        <v>2574</v>
      </c>
      <c r="D6875" s="1" t="s">
        <v>2576</v>
      </c>
    </row>
    <row r="6876">
      <c r="A6876" s="1" t="s">
        <v>14146</v>
      </c>
      <c r="B6876" s="2" t="s">
        <v>14124</v>
      </c>
      <c r="C6876" s="1" t="s">
        <v>2574</v>
      </c>
      <c r="D6876" s="1" t="s">
        <v>2576</v>
      </c>
    </row>
    <row r="6877">
      <c r="A6877" s="1" t="s">
        <v>2578</v>
      </c>
      <c r="B6877" s="2" t="s">
        <v>7</v>
      </c>
      <c r="C6877" s="1" t="s">
        <v>2580</v>
      </c>
      <c r="D6877" s="1" t="s">
        <v>2581</v>
      </c>
    </row>
    <row r="6878">
      <c r="A6878" s="1" t="s">
        <v>14147</v>
      </c>
      <c r="B6878" s="2" t="s">
        <v>14104</v>
      </c>
      <c r="C6878" s="1" t="s">
        <v>2580</v>
      </c>
      <c r="D6878" s="1" t="s">
        <v>2581</v>
      </c>
    </row>
    <row r="6879">
      <c r="A6879" s="1" t="s">
        <v>14148</v>
      </c>
      <c r="B6879" s="2" t="s">
        <v>14106</v>
      </c>
      <c r="C6879" s="1" t="s">
        <v>2580</v>
      </c>
      <c r="D6879" s="1" t="s">
        <v>2581</v>
      </c>
    </row>
    <row r="6880">
      <c r="A6880" s="1" t="s">
        <v>14149</v>
      </c>
      <c r="B6880" s="2" t="s">
        <v>14108</v>
      </c>
      <c r="C6880" s="1" t="s">
        <v>2580</v>
      </c>
      <c r="D6880" s="1" t="s">
        <v>2581</v>
      </c>
    </row>
    <row r="6881">
      <c r="A6881" s="1" t="s">
        <v>14150</v>
      </c>
      <c r="B6881" s="2" t="s">
        <v>14110</v>
      </c>
      <c r="C6881" s="1" t="s">
        <v>2580</v>
      </c>
      <c r="D6881" s="1" t="s">
        <v>2581</v>
      </c>
    </row>
    <row r="6882">
      <c r="A6882" s="1" t="s">
        <v>14151</v>
      </c>
      <c r="B6882" s="2" t="s">
        <v>14112</v>
      </c>
      <c r="C6882" s="1" t="s">
        <v>2580</v>
      </c>
      <c r="D6882" s="1" t="s">
        <v>2581</v>
      </c>
    </row>
    <row r="6883">
      <c r="A6883" s="1" t="s">
        <v>14152</v>
      </c>
      <c r="B6883" s="2" t="s">
        <v>14114</v>
      </c>
      <c r="C6883" s="1" t="s">
        <v>2580</v>
      </c>
      <c r="D6883" s="1" t="s">
        <v>2581</v>
      </c>
    </row>
    <row r="6884">
      <c r="A6884" s="1" t="s">
        <v>14153</v>
      </c>
      <c r="B6884" s="2" t="s">
        <v>14116</v>
      </c>
      <c r="C6884" s="1" t="s">
        <v>2580</v>
      </c>
      <c r="D6884" s="1" t="s">
        <v>2581</v>
      </c>
    </row>
    <row r="6885">
      <c r="A6885" s="1" t="s">
        <v>14154</v>
      </c>
      <c r="B6885" s="2" t="s">
        <v>14118</v>
      </c>
      <c r="C6885" s="1" t="s">
        <v>2580</v>
      </c>
      <c r="D6885" s="1" t="s">
        <v>2581</v>
      </c>
    </row>
    <row r="6886">
      <c r="A6886" s="1" t="s">
        <v>14155</v>
      </c>
      <c r="B6886" s="2" t="s">
        <v>14120</v>
      </c>
      <c r="C6886" s="1" t="s">
        <v>2580</v>
      </c>
      <c r="D6886" s="1" t="s">
        <v>2581</v>
      </c>
    </row>
    <row r="6887">
      <c r="A6887" s="1" t="s">
        <v>14156</v>
      </c>
      <c r="B6887" s="2" t="s">
        <v>14122</v>
      </c>
      <c r="C6887" s="1" t="s">
        <v>2580</v>
      </c>
      <c r="D6887" s="1" t="s">
        <v>2581</v>
      </c>
    </row>
    <row r="6888">
      <c r="A6888" s="1" t="s">
        <v>14157</v>
      </c>
      <c r="B6888" s="2" t="s">
        <v>14124</v>
      </c>
      <c r="C6888" s="1" t="s">
        <v>2580</v>
      </c>
      <c r="D6888" s="1" t="s">
        <v>2581</v>
      </c>
    </row>
    <row r="6889">
      <c r="A6889" s="1" t="s">
        <v>2584</v>
      </c>
      <c r="B6889" s="2" t="s">
        <v>7</v>
      </c>
      <c r="C6889" s="1" t="s">
        <v>2586</v>
      </c>
      <c r="D6889" s="1" t="s">
        <v>2587</v>
      </c>
    </row>
    <row r="6890">
      <c r="A6890" s="1" t="s">
        <v>14158</v>
      </c>
      <c r="B6890" s="2" t="s">
        <v>14104</v>
      </c>
      <c r="C6890" s="1" t="s">
        <v>2586</v>
      </c>
      <c r="D6890" s="1" t="s">
        <v>2587</v>
      </c>
    </row>
    <row r="6891">
      <c r="A6891" s="1" t="s">
        <v>14159</v>
      </c>
      <c r="B6891" s="2" t="s">
        <v>14106</v>
      </c>
      <c r="C6891" s="1" t="s">
        <v>2586</v>
      </c>
      <c r="D6891" s="1" t="s">
        <v>2587</v>
      </c>
    </row>
    <row r="6892">
      <c r="A6892" s="1" t="s">
        <v>14160</v>
      </c>
      <c r="B6892" s="2" t="s">
        <v>14108</v>
      </c>
      <c r="C6892" s="1" t="s">
        <v>2586</v>
      </c>
      <c r="D6892" s="1" t="s">
        <v>2587</v>
      </c>
    </row>
    <row r="6893">
      <c r="A6893" s="1" t="s">
        <v>14161</v>
      </c>
      <c r="B6893" s="2" t="s">
        <v>14110</v>
      </c>
      <c r="C6893" s="1" t="s">
        <v>2586</v>
      </c>
      <c r="D6893" s="1" t="s">
        <v>2587</v>
      </c>
    </row>
    <row r="6894">
      <c r="A6894" s="1" t="s">
        <v>14162</v>
      </c>
      <c r="B6894" s="2" t="s">
        <v>14112</v>
      </c>
      <c r="C6894" s="1" t="s">
        <v>2586</v>
      </c>
      <c r="D6894" s="1" t="s">
        <v>2587</v>
      </c>
    </row>
    <row r="6895">
      <c r="A6895" s="1" t="s">
        <v>14163</v>
      </c>
      <c r="B6895" s="2" t="s">
        <v>14114</v>
      </c>
      <c r="C6895" s="1" t="s">
        <v>2586</v>
      </c>
      <c r="D6895" s="1" t="s">
        <v>2587</v>
      </c>
    </row>
    <row r="6896">
      <c r="A6896" s="1" t="s">
        <v>14164</v>
      </c>
      <c r="B6896" s="2" t="s">
        <v>14116</v>
      </c>
      <c r="C6896" s="1" t="s">
        <v>2586</v>
      </c>
      <c r="D6896" s="1" t="s">
        <v>2587</v>
      </c>
    </row>
    <row r="6897">
      <c r="A6897" s="1" t="s">
        <v>14165</v>
      </c>
      <c r="B6897" s="2" t="s">
        <v>14118</v>
      </c>
      <c r="C6897" s="1" t="s">
        <v>2586</v>
      </c>
      <c r="D6897" s="1" t="s">
        <v>2587</v>
      </c>
    </row>
    <row r="6898">
      <c r="A6898" s="1" t="s">
        <v>14166</v>
      </c>
      <c r="B6898" s="2" t="s">
        <v>14120</v>
      </c>
      <c r="C6898" s="1" t="s">
        <v>2586</v>
      </c>
      <c r="D6898" s="1" t="s">
        <v>2587</v>
      </c>
    </row>
    <row r="6899">
      <c r="A6899" s="1" t="s">
        <v>14167</v>
      </c>
      <c r="B6899" s="2" t="s">
        <v>14122</v>
      </c>
      <c r="C6899" s="1" t="s">
        <v>2586</v>
      </c>
      <c r="D6899" s="1" t="s">
        <v>2587</v>
      </c>
    </row>
    <row r="6900">
      <c r="A6900" s="1" t="s">
        <v>14168</v>
      </c>
      <c r="B6900" s="2" t="s">
        <v>14124</v>
      </c>
      <c r="C6900" s="1" t="s">
        <v>2586</v>
      </c>
      <c r="D6900" s="1" t="s">
        <v>2587</v>
      </c>
    </row>
    <row r="6901">
      <c r="A6901" s="1" t="s">
        <v>2590</v>
      </c>
      <c r="B6901" s="2" t="s">
        <v>7</v>
      </c>
      <c r="C6901" s="1" t="s">
        <v>2591</v>
      </c>
      <c r="D6901" s="1" t="s">
        <v>2592</v>
      </c>
    </row>
    <row r="6902">
      <c r="A6902" s="1" t="s">
        <v>14169</v>
      </c>
      <c r="B6902" s="2" t="s">
        <v>14104</v>
      </c>
      <c r="C6902" s="1" t="s">
        <v>2591</v>
      </c>
      <c r="D6902" s="1" t="s">
        <v>2592</v>
      </c>
    </row>
    <row r="6903">
      <c r="A6903" s="1" t="s">
        <v>14170</v>
      </c>
      <c r="B6903" s="2" t="s">
        <v>14106</v>
      </c>
      <c r="C6903" s="1" t="s">
        <v>2591</v>
      </c>
      <c r="D6903" s="1" t="s">
        <v>2592</v>
      </c>
    </row>
    <row r="6904">
      <c r="A6904" s="1" t="s">
        <v>14171</v>
      </c>
      <c r="B6904" s="2" t="s">
        <v>14108</v>
      </c>
      <c r="C6904" s="1" t="s">
        <v>2591</v>
      </c>
      <c r="D6904" s="1" t="s">
        <v>2592</v>
      </c>
    </row>
    <row r="6905">
      <c r="A6905" s="1" t="s">
        <v>14172</v>
      </c>
      <c r="B6905" s="2" t="s">
        <v>14110</v>
      </c>
      <c r="C6905" s="1" t="s">
        <v>2591</v>
      </c>
      <c r="D6905" s="1" t="s">
        <v>2592</v>
      </c>
    </row>
    <row r="6906">
      <c r="A6906" s="1" t="s">
        <v>14173</v>
      </c>
      <c r="B6906" s="2" t="s">
        <v>14112</v>
      </c>
      <c r="C6906" s="1" t="s">
        <v>2591</v>
      </c>
      <c r="D6906" s="1" t="s">
        <v>2592</v>
      </c>
    </row>
    <row r="6907">
      <c r="A6907" s="1" t="s">
        <v>14174</v>
      </c>
      <c r="B6907" s="2" t="s">
        <v>14114</v>
      </c>
      <c r="C6907" s="1" t="s">
        <v>2591</v>
      </c>
      <c r="D6907" s="1" t="s">
        <v>2592</v>
      </c>
    </row>
    <row r="6908">
      <c r="A6908" s="1" t="s">
        <v>14175</v>
      </c>
      <c r="B6908" s="2" t="s">
        <v>14116</v>
      </c>
      <c r="C6908" s="1" t="s">
        <v>2591</v>
      </c>
      <c r="D6908" s="1" t="s">
        <v>2592</v>
      </c>
    </row>
    <row r="6909">
      <c r="A6909" s="1" t="s">
        <v>14176</v>
      </c>
      <c r="B6909" s="2" t="s">
        <v>14118</v>
      </c>
      <c r="C6909" s="1" t="s">
        <v>2591</v>
      </c>
      <c r="D6909" s="1" t="s">
        <v>2592</v>
      </c>
    </row>
    <row r="6910">
      <c r="A6910" s="1" t="s">
        <v>14177</v>
      </c>
      <c r="B6910" s="2" t="s">
        <v>14120</v>
      </c>
      <c r="C6910" s="1" t="s">
        <v>2591</v>
      </c>
      <c r="D6910" s="1" t="s">
        <v>2592</v>
      </c>
    </row>
    <row r="6911">
      <c r="A6911" s="1" t="s">
        <v>14178</v>
      </c>
      <c r="B6911" s="2" t="s">
        <v>14122</v>
      </c>
      <c r="C6911" s="1" t="s">
        <v>2591</v>
      </c>
      <c r="D6911" s="1" t="s">
        <v>2592</v>
      </c>
    </row>
    <row r="6912">
      <c r="A6912" s="1" t="s">
        <v>14179</v>
      </c>
      <c r="B6912" s="2" t="s">
        <v>14124</v>
      </c>
      <c r="C6912" s="1" t="s">
        <v>2591</v>
      </c>
      <c r="D6912" s="1" t="s">
        <v>2592</v>
      </c>
    </row>
    <row r="6913">
      <c r="A6913" s="1" t="s">
        <v>2595</v>
      </c>
      <c r="B6913" s="2" t="s">
        <v>7</v>
      </c>
      <c r="C6913" s="1" t="s">
        <v>2596</v>
      </c>
      <c r="D6913" s="1" t="s">
        <v>2598</v>
      </c>
    </row>
    <row r="6914">
      <c r="A6914" s="1" t="s">
        <v>14180</v>
      </c>
      <c r="B6914" s="2" t="s">
        <v>14104</v>
      </c>
      <c r="C6914" s="1" t="s">
        <v>2596</v>
      </c>
      <c r="D6914" s="1" t="s">
        <v>2598</v>
      </c>
    </row>
    <row r="6915">
      <c r="A6915" s="1" t="s">
        <v>14181</v>
      </c>
      <c r="B6915" s="2" t="s">
        <v>14106</v>
      </c>
      <c r="C6915" s="1" t="s">
        <v>2596</v>
      </c>
      <c r="D6915" s="1" t="s">
        <v>2598</v>
      </c>
    </row>
    <row r="6916">
      <c r="A6916" s="1" t="s">
        <v>14182</v>
      </c>
      <c r="B6916" s="2" t="s">
        <v>14108</v>
      </c>
      <c r="C6916" s="1" t="s">
        <v>2596</v>
      </c>
      <c r="D6916" s="1" t="s">
        <v>2598</v>
      </c>
    </row>
    <row r="6917">
      <c r="A6917" s="1" t="s">
        <v>14183</v>
      </c>
      <c r="B6917" s="2" t="s">
        <v>14110</v>
      </c>
      <c r="C6917" s="1" t="s">
        <v>2596</v>
      </c>
      <c r="D6917" s="1" t="s">
        <v>2598</v>
      </c>
    </row>
    <row r="6918">
      <c r="A6918" s="1" t="s">
        <v>14184</v>
      </c>
      <c r="B6918" s="2" t="s">
        <v>14112</v>
      </c>
      <c r="C6918" s="1" t="s">
        <v>2596</v>
      </c>
      <c r="D6918" s="1" t="s">
        <v>2598</v>
      </c>
    </row>
    <row r="6919">
      <c r="A6919" s="1" t="s">
        <v>14185</v>
      </c>
      <c r="B6919" s="2" t="s">
        <v>14114</v>
      </c>
      <c r="C6919" s="1" t="s">
        <v>2596</v>
      </c>
      <c r="D6919" s="1" t="s">
        <v>2598</v>
      </c>
    </row>
    <row r="6920">
      <c r="A6920" s="1" t="s">
        <v>14186</v>
      </c>
      <c r="B6920" s="2" t="s">
        <v>14116</v>
      </c>
      <c r="C6920" s="1" t="s">
        <v>2596</v>
      </c>
      <c r="D6920" s="1" t="s">
        <v>2598</v>
      </c>
    </row>
    <row r="6921">
      <c r="A6921" s="1" t="s">
        <v>14187</v>
      </c>
      <c r="B6921" s="2" t="s">
        <v>14118</v>
      </c>
      <c r="C6921" s="1" t="s">
        <v>2596</v>
      </c>
      <c r="D6921" s="1" t="s">
        <v>2598</v>
      </c>
    </row>
    <row r="6922">
      <c r="A6922" s="1" t="s">
        <v>14188</v>
      </c>
      <c r="B6922" s="2" t="s">
        <v>14120</v>
      </c>
      <c r="C6922" s="1" t="s">
        <v>2596</v>
      </c>
      <c r="D6922" s="1" t="s">
        <v>2598</v>
      </c>
    </row>
    <row r="6923">
      <c r="A6923" s="1" t="s">
        <v>14189</v>
      </c>
      <c r="B6923" s="2" t="s">
        <v>14122</v>
      </c>
      <c r="C6923" s="1" t="s">
        <v>2596</v>
      </c>
      <c r="D6923" s="1" t="s">
        <v>2598</v>
      </c>
    </row>
    <row r="6924">
      <c r="A6924" s="1" t="s">
        <v>14190</v>
      </c>
      <c r="B6924" s="2" t="s">
        <v>14124</v>
      </c>
      <c r="C6924" s="1" t="s">
        <v>2596</v>
      </c>
      <c r="D6924" s="1" t="s">
        <v>2598</v>
      </c>
    </row>
    <row r="6925">
      <c r="A6925" s="1" t="s">
        <v>2601</v>
      </c>
      <c r="B6925" s="2" t="s">
        <v>7</v>
      </c>
      <c r="C6925" s="1" t="s">
        <v>2603</v>
      </c>
      <c r="D6925" s="1" t="s">
        <v>2604</v>
      </c>
    </row>
    <row r="6926">
      <c r="A6926" s="1" t="s">
        <v>14191</v>
      </c>
      <c r="B6926" s="2" t="s">
        <v>14104</v>
      </c>
      <c r="C6926" s="1" t="s">
        <v>2603</v>
      </c>
      <c r="D6926" s="1" t="s">
        <v>2604</v>
      </c>
    </row>
    <row r="6927">
      <c r="A6927" s="1" t="s">
        <v>14192</v>
      </c>
      <c r="B6927" s="2" t="s">
        <v>14106</v>
      </c>
      <c r="C6927" s="1" t="s">
        <v>2603</v>
      </c>
      <c r="D6927" s="1" t="s">
        <v>2604</v>
      </c>
    </row>
    <row r="6928">
      <c r="A6928" s="1" t="s">
        <v>14193</v>
      </c>
      <c r="B6928" s="2" t="s">
        <v>14108</v>
      </c>
      <c r="C6928" s="1" t="s">
        <v>2603</v>
      </c>
      <c r="D6928" s="1" t="s">
        <v>2604</v>
      </c>
    </row>
    <row r="6929">
      <c r="A6929" s="1" t="s">
        <v>14194</v>
      </c>
      <c r="B6929" s="2" t="s">
        <v>14110</v>
      </c>
      <c r="C6929" s="1" t="s">
        <v>2603</v>
      </c>
      <c r="D6929" s="1" t="s">
        <v>2604</v>
      </c>
    </row>
    <row r="6930">
      <c r="A6930" s="1" t="s">
        <v>14195</v>
      </c>
      <c r="B6930" s="2" t="s">
        <v>14112</v>
      </c>
      <c r="C6930" s="1" t="s">
        <v>2603</v>
      </c>
      <c r="D6930" s="1" t="s">
        <v>2604</v>
      </c>
    </row>
    <row r="6931">
      <c r="A6931" s="1" t="s">
        <v>14196</v>
      </c>
      <c r="B6931" s="2" t="s">
        <v>14114</v>
      </c>
      <c r="C6931" s="1" t="s">
        <v>2603</v>
      </c>
      <c r="D6931" s="1" t="s">
        <v>2604</v>
      </c>
    </row>
    <row r="6932">
      <c r="A6932" s="1" t="s">
        <v>14197</v>
      </c>
      <c r="B6932" s="2" t="s">
        <v>14116</v>
      </c>
      <c r="C6932" s="1" t="s">
        <v>2603</v>
      </c>
      <c r="D6932" s="1" t="s">
        <v>2604</v>
      </c>
    </row>
    <row r="6933">
      <c r="A6933" s="1" t="s">
        <v>14198</v>
      </c>
      <c r="B6933" s="2" t="s">
        <v>14118</v>
      </c>
      <c r="C6933" s="1" t="s">
        <v>2603</v>
      </c>
      <c r="D6933" s="1" t="s">
        <v>2604</v>
      </c>
    </row>
    <row r="6934">
      <c r="A6934" s="1" t="s">
        <v>14199</v>
      </c>
      <c r="B6934" s="2" t="s">
        <v>14120</v>
      </c>
      <c r="C6934" s="1" t="s">
        <v>2603</v>
      </c>
      <c r="D6934" s="1" t="s">
        <v>2604</v>
      </c>
    </row>
    <row r="6935">
      <c r="A6935" s="1" t="s">
        <v>14200</v>
      </c>
      <c r="B6935" s="2" t="s">
        <v>14122</v>
      </c>
      <c r="C6935" s="1" t="s">
        <v>2603</v>
      </c>
      <c r="D6935" s="1" t="s">
        <v>2604</v>
      </c>
    </row>
    <row r="6936">
      <c r="A6936" s="1" t="s">
        <v>14201</v>
      </c>
      <c r="B6936" s="2" t="s">
        <v>14124</v>
      </c>
      <c r="C6936" s="1" t="s">
        <v>2603</v>
      </c>
      <c r="D6936" s="1" t="s">
        <v>2604</v>
      </c>
    </row>
    <row r="6937">
      <c r="A6937" s="1" t="s">
        <v>2607</v>
      </c>
      <c r="B6937" s="2" t="s">
        <v>7</v>
      </c>
      <c r="C6937" s="1" t="s">
        <v>2608</v>
      </c>
      <c r="D6937" s="1" t="s">
        <v>2609</v>
      </c>
    </row>
    <row r="6938">
      <c r="A6938" s="1" t="s">
        <v>14202</v>
      </c>
      <c r="B6938" s="2" t="s">
        <v>14104</v>
      </c>
      <c r="C6938" s="1" t="s">
        <v>2608</v>
      </c>
      <c r="D6938" s="1" t="s">
        <v>2609</v>
      </c>
    </row>
    <row r="6939">
      <c r="A6939" s="1" t="s">
        <v>14203</v>
      </c>
      <c r="B6939" s="2" t="s">
        <v>14106</v>
      </c>
      <c r="C6939" s="1" t="s">
        <v>2608</v>
      </c>
      <c r="D6939" s="1" t="s">
        <v>2609</v>
      </c>
    </row>
    <row r="6940">
      <c r="A6940" s="1" t="s">
        <v>14204</v>
      </c>
      <c r="B6940" s="2" t="s">
        <v>14108</v>
      </c>
      <c r="C6940" s="1" t="s">
        <v>2608</v>
      </c>
      <c r="D6940" s="1" t="s">
        <v>2609</v>
      </c>
    </row>
    <row r="6941">
      <c r="A6941" s="1" t="s">
        <v>14205</v>
      </c>
      <c r="B6941" s="2" t="s">
        <v>14110</v>
      </c>
      <c r="C6941" s="1" t="s">
        <v>2608</v>
      </c>
      <c r="D6941" s="1" t="s">
        <v>2609</v>
      </c>
    </row>
    <row r="6942">
      <c r="A6942" s="1" t="s">
        <v>14206</v>
      </c>
      <c r="B6942" s="2" t="s">
        <v>14112</v>
      </c>
      <c r="C6942" s="1" t="s">
        <v>2608</v>
      </c>
      <c r="D6942" s="1" t="s">
        <v>2609</v>
      </c>
    </row>
    <row r="6943">
      <c r="A6943" s="1" t="s">
        <v>14207</v>
      </c>
      <c r="B6943" s="2" t="s">
        <v>14114</v>
      </c>
      <c r="C6943" s="1" t="s">
        <v>2608</v>
      </c>
      <c r="D6943" s="1" t="s">
        <v>2609</v>
      </c>
    </row>
    <row r="6944">
      <c r="A6944" s="1" t="s">
        <v>14208</v>
      </c>
      <c r="B6944" s="2" t="s">
        <v>14116</v>
      </c>
      <c r="C6944" s="1" t="s">
        <v>2608</v>
      </c>
      <c r="D6944" s="1" t="s">
        <v>2609</v>
      </c>
    </row>
    <row r="6945">
      <c r="A6945" s="1" t="s">
        <v>14209</v>
      </c>
      <c r="B6945" s="2" t="s">
        <v>14118</v>
      </c>
      <c r="C6945" s="1" t="s">
        <v>2608</v>
      </c>
      <c r="D6945" s="1" t="s">
        <v>2609</v>
      </c>
    </row>
    <row r="6946">
      <c r="A6946" s="1" t="s">
        <v>14210</v>
      </c>
      <c r="B6946" s="2" t="s">
        <v>14120</v>
      </c>
      <c r="C6946" s="1" t="s">
        <v>2608</v>
      </c>
      <c r="D6946" s="1" t="s">
        <v>2609</v>
      </c>
    </row>
    <row r="6947">
      <c r="A6947" s="1" t="s">
        <v>14211</v>
      </c>
      <c r="B6947" s="2" t="s">
        <v>14122</v>
      </c>
      <c r="C6947" s="1" t="s">
        <v>2608</v>
      </c>
      <c r="D6947" s="1" t="s">
        <v>2609</v>
      </c>
    </row>
    <row r="6948">
      <c r="A6948" s="1" t="s">
        <v>14212</v>
      </c>
      <c r="B6948" s="2" t="s">
        <v>14124</v>
      </c>
      <c r="C6948" s="1" t="s">
        <v>2608</v>
      </c>
      <c r="D6948" s="1" t="s">
        <v>2609</v>
      </c>
    </row>
    <row r="6949">
      <c r="A6949" s="1" t="s">
        <v>2554</v>
      </c>
      <c r="B6949" s="2" t="s">
        <v>7</v>
      </c>
      <c r="C6949" s="1" t="s">
        <v>2555</v>
      </c>
      <c r="D6949" s="1" t="s">
        <v>2556</v>
      </c>
    </row>
    <row r="6950">
      <c r="A6950" s="1" t="s">
        <v>14213</v>
      </c>
      <c r="B6950" s="2" t="s">
        <v>14104</v>
      </c>
      <c r="C6950" s="1" t="s">
        <v>2555</v>
      </c>
      <c r="D6950" s="1" t="s">
        <v>2556</v>
      </c>
    </row>
    <row r="6951">
      <c r="A6951" s="1" t="s">
        <v>14214</v>
      </c>
      <c r="B6951" s="2" t="s">
        <v>14106</v>
      </c>
      <c r="C6951" s="1" t="s">
        <v>2555</v>
      </c>
      <c r="D6951" s="1" t="s">
        <v>2556</v>
      </c>
    </row>
    <row r="6952">
      <c r="A6952" s="1" t="s">
        <v>14215</v>
      </c>
      <c r="B6952" s="2" t="s">
        <v>14108</v>
      </c>
      <c r="C6952" s="1" t="s">
        <v>2555</v>
      </c>
      <c r="D6952" s="1" t="s">
        <v>2556</v>
      </c>
    </row>
    <row r="6953">
      <c r="A6953" s="1" t="s">
        <v>14216</v>
      </c>
      <c r="B6953" s="2" t="s">
        <v>14110</v>
      </c>
      <c r="C6953" s="1" t="s">
        <v>2555</v>
      </c>
      <c r="D6953" s="1" t="s">
        <v>2556</v>
      </c>
    </row>
    <row r="6954">
      <c r="A6954" s="1" t="s">
        <v>14217</v>
      </c>
      <c r="B6954" s="2" t="s">
        <v>14112</v>
      </c>
      <c r="C6954" s="1" t="s">
        <v>2555</v>
      </c>
      <c r="D6954" s="1" t="s">
        <v>2556</v>
      </c>
    </row>
    <row r="6955">
      <c r="A6955" s="1" t="s">
        <v>14218</v>
      </c>
      <c r="B6955" s="2" t="s">
        <v>14114</v>
      </c>
      <c r="C6955" s="1" t="s">
        <v>2555</v>
      </c>
      <c r="D6955" s="1" t="s">
        <v>2556</v>
      </c>
    </row>
    <row r="6956">
      <c r="A6956" s="1" t="s">
        <v>14219</v>
      </c>
      <c r="B6956" s="2" t="s">
        <v>14116</v>
      </c>
      <c r="C6956" s="1" t="s">
        <v>2555</v>
      </c>
      <c r="D6956" s="1" t="s">
        <v>2556</v>
      </c>
    </row>
    <row r="6957">
      <c r="A6957" s="1" t="s">
        <v>14220</v>
      </c>
      <c r="B6957" s="2" t="s">
        <v>14118</v>
      </c>
      <c r="C6957" s="1" t="s">
        <v>2555</v>
      </c>
      <c r="D6957" s="1" t="s">
        <v>2556</v>
      </c>
    </row>
    <row r="6958">
      <c r="A6958" s="1" t="s">
        <v>14221</v>
      </c>
      <c r="B6958" s="2" t="s">
        <v>14120</v>
      </c>
      <c r="C6958" s="1" t="s">
        <v>2555</v>
      </c>
      <c r="D6958" s="1" t="s">
        <v>2556</v>
      </c>
    </row>
    <row r="6959">
      <c r="A6959" s="1" t="s">
        <v>14222</v>
      </c>
      <c r="B6959" s="2" t="s">
        <v>14122</v>
      </c>
      <c r="C6959" s="1" t="s">
        <v>2555</v>
      </c>
      <c r="D6959" s="1" t="s">
        <v>2556</v>
      </c>
    </row>
    <row r="6960">
      <c r="A6960" s="1" t="s">
        <v>14223</v>
      </c>
      <c r="B6960" s="2" t="s">
        <v>14124</v>
      </c>
      <c r="C6960" s="1" t="s">
        <v>2555</v>
      </c>
      <c r="D6960" s="1" t="s">
        <v>2556</v>
      </c>
    </row>
    <row r="6961">
      <c r="A6961" s="1" t="s">
        <v>2613</v>
      </c>
      <c r="B6961" s="2" t="s">
        <v>7</v>
      </c>
      <c r="C6961" s="1" t="s">
        <v>2615</v>
      </c>
      <c r="D6961" s="1" t="s">
        <v>2616</v>
      </c>
    </row>
    <row r="6962">
      <c r="A6962" s="1" t="s">
        <v>14224</v>
      </c>
      <c r="B6962" s="2" t="s">
        <v>14225</v>
      </c>
      <c r="C6962" s="1" t="s">
        <v>2615</v>
      </c>
      <c r="D6962" s="1" t="s">
        <v>2616</v>
      </c>
    </row>
    <row r="6963">
      <c r="A6963" s="1" t="s">
        <v>14226</v>
      </c>
      <c r="B6963" s="2" t="s">
        <v>14227</v>
      </c>
      <c r="C6963" s="1" t="s">
        <v>2615</v>
      </c>
      <c r="D6963" s="1" t="s">
        <v>2616</v>
      </c>
    </row>
    <row r="6964">
      <c r="A6964" s="1" t="s">
        <v>14228</v>
      </c>
      <c r="B6964" s="2" t="s">
        <v>14229</v>
      </c>
      <c r="C6964" s="1" t="s">
        <v>2615</v>
      </c>
      <c r="D6964" s="1" t="s">
        <v>2616</v>
      </c>
    </row>
    <row r="6965">
      <c r="A6965" s="1" t="s">
        <v>14230</v>
      </c>
      <c r="B6965" s="2" t="s">
        <v>14231</v>
      </c>
      <c r="C6965" s="1" t="s">
        <v>2615</v>
      </c>
      <c r="D6965" s="1" t="s">
        <v>2616</v>
      </c>
    </row>
    <row r="6966">
      <c r="A6966" s="1" t="s">
        <v>14232</v>
      </c>
      <c r="B6966" s="2" t="s">
        <v>14233</v>
      </c>
      <c r="C6966" s="1" t="s">
        <v>2615</v>
      </c>
      <c r="D6966" s="1" t="s">
        <v>2616</v>
      </c>
    </row>
    <row r="6967">
      <c r="A6967" s="1" t="s">
        <v>14234</v>
      </c>
      <c r="B6967" s="2" t="s">
        <v>14235</v>
      </c>
      <c r="C6967" s="1" t="s">
        <v>2615</v>
      </c>
      <c r="D6967" s="1" t="s">
        <v>2616</v>
      </c>
    </row>
    <row r="6968">
      <c r="A6968" s="1" t="s">
        <v>14236</v>
      </c>
      <c r="B6968" s="2" t="s">
        <v>14237</v>
      </c>
      <c r="C6968" s="1" t="s">
        <v>2615</v>
      </c>
      <c r="D6968" s="1" t="s">
        <v>2616</v>
      </c>
    </row>
    <row r="6969">
      <c r="A6969" s="1" t="s">
        <v>14238</v>
      </c>
      <c r="B6969" s="2" t="s">
        <v>14239</v>
      </c>
      <c r="C6969" s="1" t="s">
        <v>2615</v>
      </c>
      <c r="D6969" s="1" t="s">
        <v>2616</v>
      </c>
    </row>
    <row r="6970">
      <c r="A6970" s="1" t="s">
        <v>14240</v>
      </c>
      <c r="B6970" s="2" t="s">
        <v>14241</v>
      </c>
      <c r="C6970" s="1" t="s">
        <v>2615</v>
      </c>
      <c r="D6970" s="1" t="s">
        <v>2616</v>
      </c>
    </row>
    <row r="6971">
      <c r="A6971" s="1" t="s">
        <v>14242</v>
      </c>
      <c r="B6971" s="2" t="s">
        <v>14243</v>
      </c>
      <c r="C6971" s="1" t="s">
        <v>2615</v>
      </c>
      <c r="D6971" s="1" t="s">
        <v>2616</v>
      </c>
    </row>
    <row r="6972">
      <c r="A6972" s="1" t="s">
        <v>14244</v>
      </c>
      <c r="B6972" s="2" t="s">
        <v>14245</v>
      </c>
      <c r="C6972" s="1" t="s">
        <v>2615</v>
      </c>
      <c r="D6972" s="1" t="s">
        <v>2616</v>
      </c>
    </row>
    <row r="6973">
      <c r="A6973" s="1" t="s">
        <v>14246</v>
      </c>
      <c r="B6973" s="2" t="s">
        <v>14247</v>
      </c>
      <c r="C6973" s="1" t="s">
        <v>2615</v>
      </c>
      <c r="D6973" s="1" t="s">
        <v>2616</v>
      </c>
    </row>
    <row r="6974">
      <c r="A6974" s="1" t="s">
        <v>14248</v>
      </c>
      <c r="B6974" s="2" t="s">
        <v>14249</v>
      </c>
      <c r="C6974" s="1" t="s">
        <v>2615</v>
      </c>
      <c r="D6974" s="1" t="s">
        <v>2616</v>
      </c>
    </row>
    <row r="6975">
      <c r="A6975" s="1" t="s">
        <v>14250</v>
      </c>
      <c r="B6975" s="2" t="s">
        <v>14251</v>
      </c>
      <c r="C6975" s="1" t="s">
        <v>2615</v>
      </c>
      <c r="D6975" s="1" t="s">
        <v>2616</v>
      </c>
    </row>
    <row r="6976">
      <c r="A6976" s="1" t="s">
        <v>14252</v>
      </c>
      <c r="B6976" s="2" t="s">
        <v>14253</v>
      </c>
      <c r="C6976" s="1" t="s">
        <v>2615</v>
      </c>
      <c r="D6976" s="1" t="s">
        <v>2616</v>
      </c>
    </row>
    <row r="6977">
      <c r="A6977" s="1" t="s">
        <v>14254</v>
      </c>
      <c r="B6977" s="2" t="s">
        <v>14255</v>
      </c>
      <c r="C6977" s="1" t="s">
        <v>2615</v>
      </c>
      <c r="D6977" s="1" t="s">
        <v>2616</v>
      </c>
    </row>
    <row r="6978">
      <c r="A6978" s="1" t="s">
        <v>14256</v>
      </c>
      <c r="B6978" s="2" t="s">
        <v>14257</v>
      </c>
      <c r="C6978" s="1" t="s">
        <v>2615</v>
      </c>
      <c r="D6978" s="1" t="s">
        <v>2616</v>
      </c>
    </row>
    <row r="6979">
      <c r="A6979" s="1" t="s">
        <v>14258</v>
      </c>
      <c r="B6979" s="2" t="s">
        <v>14259</v>
      </c>
      <c r="C6979" s="1" t="s">
        <v>2615</v>
      </c>
      <c r="D6979" s="1" t="s">
        <v>2616</v>
      </c>
    </row>
    <row r="6980">
      <c r="A6980" s="1" t="s">
        <v>14260</v>
      </c>
      <c r="B6980" s="2" t="s">
        <v>14261</v>
      </c>
      <c r="C6980" s="1" t="s">
        <v>2615</v>
      </c>
      <c r="D6980" s="1" t="s">
        <v>2616</v>
      </c>
    </row>
    <row r="6981">
      <c r="A6981" s="1" t="s">
        <v>2619</v>
      </c>
      <c r="B6981" s="2" t="s">
        <v>7</v>
      </c>
      <c r="C6981" s="1" t="s">
        <v>2620</v>
      </c>
      <c r="D6981" s="1" t="s">
        <v>2621</v>
      </c>
    </row>
    <row r="6982">
      <c r="A6982" s="1" t="s">
        <v>14262</v>
      </c>
      <c r="B6982" s="2" t="s">
        <v>14225</v>
      </c>
      <c r="C6982" s="1" t="s">
        <v>2620</v>
      </c>
      <c r="D6982" s="1" t="s">
        <v>2621</v>
      </c>
    </row>
    <row r="6983">
      <c r="A6983" s="1" t="s">
        <v>14263</v>
      </c>
      <c r="B6983" s="2" t="s">
        <v>14264</v>
      </c>
      <c r="C6983" s="1" t="s">
        <v>2620</v>
      </c>
      <c r="D6983" s="1" t="s">
        <v>2621</v>
      </c>
    </row>
    <row r="6984">
      <c r="A6984" s="1" t="s">
        <v>14265</v>
      </c>
      <c r="B6984" s="2" t="s">
        <v>14266</v>
      </c>
      <c r="C6984" s="1" t="s">
        <v>2620</v>
      </c>
      <c r="D6984" s="1" t="s">
        <v>2621</v>
      </c>
    </row>
    <row r="6985">
      <c r="A6985" s="1" t="s">
        <v>14267</v>
      </c>
      <c r="B6985" s="2" t="s">
        <v>14268</v>
      </c>
      <c r="C6985" s="1" t="s">
        <v>2620</v>
      </c>
      <c r="D6985" s="1" t="s">
        <v>2621</v>
      </c>
    </row>
    <row r="6986">
      <c r="A6986" s="1" t="s">
        <v>14269</v>
      </c>
      <c r="B6986" s="2" t="s">
        <v>14270</v>
      </c>
      <c r="C6986" s="1" t="s">
        <v>2620</v>
      </c>
      <c r="D6986" s="1" t="s">
        <v>2621</v>
      </c>
    </row>
    <row r="6987">
      <c r="A6987" s="1" t="s">
        <v>14271</v>
      </c>
      <c r="B6987" s="2" t="s">
        <v>14272</v>
      </c>
      <c r="C6987" s="1" t="s">
        <v>2620</v>
      </c>
      <c r="D6987" s="1" t="s">
        <v>2621</v>
      </c>
    </row>
    <row r="6988">
      <c r="A6988" s="1" t="s">
        <v>14273</v>
      </c>
      <c r="B6988" s="2" t="s">
        <v>14237</v>
      </c>
      <c r="C6988" s="1" t="s">
        <v>2620</v>
      </c>
      <c r="D6988" s="1" t="s">
        <v>2621</v>
      </c>
    </row>
    <row r="6989">
      <c r="A6989" s="1" t="s">
        <v>14274</v>
      </c>
      <c r="B6989" s="2" t="s">
        <v>14239</v>
      </c>
      <c r="C6989" s="1" t="s">
        <v>2620</v>
      </c>
      <c r="D6989" s="1" t="s">
        <v>2621</v>
      </c>
    </row>
    <row r="6990">
      <c r="A6990" s="1" t="s">
        <v>14275</v>
      </c>
      <c r="B6990" s="2" t="s">
        <v>14276</v>
      </c>
      <c r="C6990" s="1" t="s">
        <v>2620</v>
      </c>
      <c r="D6990" s="1" t="s">
        <v>2621</v>
      </c>
    </row>
    <row r="6991">
      <c r="A6991" s="1" t="s">
        <v>14277</v>
      </c>
      <c r="B6991" s="2" t="s">
        <v>14278</v>
      </c>
      <c r="C6991" s="1" t="s">
        <v>2620</v>
      </c>
      <c r="D6991" s="1" t="s">
        <v>2621</v>
      </c>
    </row>
    <row r="6992">
      <c r="A6992" s="1" t="s">
        <v>14279</v>
      </c>
      <c r="B6992" s="2" t="s">
        <v>14280</v>
      </c>
      <c r="C6992" s="1" t="s">
        <v>2620</v>
      </c>
      <c r="D6992" s="1" t="s">
        <v>2621</v>
      </c>
    </row>
    <row r="6993">
      <c r="A6993" s="1" t="s">
        <v>14281</v>
      </c>
      <c r="B6993" s="2" t="s">
        <v>14282</v>
      </c>
      <c r="C6993" s="1" t="s">
        <v>2620</v>
      </c>
      <c r="D6993" s="1" t="s">
        <v>2621</v>
      </c>
    </row>
    <row r="6994">
      <c r="A6994" s="1" t="s">
        <v>14283</v>
      </c>
      <c r="B6994" s="2" t="s">
        <v>14284</v>
      </c>
      <c r="C6994" s="1" t="s">
        <v>2620</v>
      </c>
      <c r="D6994" s="1" t="s">
        <v>2621</v>
      </c>
    </row>
    <row r="6995">
      <c r="A6995" s="1" t="s">
        <v>14285</v>
      </c>
      <c r="B6995" s="2" t="s">
        <v>14251</v>
      </c>
      <c r="C6995" s="1" t="s">
        <v>2620</v>
      </c>
      <c r="D6995" s="1" t="s">
        <v>2621</v>
      </c>
    </row>
    <row r="6996">
      <c r="A6996" s="1" t="s">
        <v>14286</v>
      </c>
      <c r="B6996" s="2" t="s">
        <v>14287</v>
      </c>
      <c r="C6996" s="1" t="s">
        <v>2620</v>
      </c>
      <c r="D6996" s="1" t="s">
        <v>2621</v>
      </c>
    </row>
    <row r="6997">
      <c r="A6997" s="1" t="s">
        <v>14288</v>
      </c>
      <c r="B6997" s="2" t="s">
        <v>14289</v>
      </c>
      <c r="C6997" s="1" t="s">
        <v>2620</v>
      </c>
      <c r="D6997" s="1" t="s">
        <v>2621</v>
      </c>
    </row>
    <row r="6998">
      <c r="A6998" s="1" t="s">
        <v>14290</v>
      </c>
      <c r="B6998" s="2" t="s">
        <v>14291</v>
      </c>
      <c r="C6998" s="1" t="s">
        <v>2620</v>
      </c>
      <c r="D6998" s="1" t="s">
        <v>2621</v>
      </c>
    </row>
    <row r="6999">
      <c r="A6999" s="1" t="s">
        <v>14292</v>
      </c>
      <c r="B6999" s="2" t="s">
        <v>14293</v>
      </c>
      <c r="C6999" s="1" t="s">
        <v>2620</v>
      </c>
      <c r="D6999" s="1" t="s">
        <v>2621</v>
      </c>
    </row>
    <row r="7000">
      <c r="A7000" s="1" t="s">
        <v>14294</v>
      </c>
      <c r="B7000" s="2" t="s">
        <v>14295</v>
      </c>
      <c r="C7000" s="1" t="s">
        <v>2620</v>
      </c>
      <c r="D7000" s="1" t="s">
        <v>2621</v>
      </c>
    </row>
    <row r="7001">
      <c r="A7001" s="1" t="s">
        <v>2622</v>
      </c>
      <c r="B7001" s="2" t="s">
        <v>7</v>
      </c>
      <c r="C7001" s="1" t="s">
        <v>2623</v>
      </c>
      <c r="D7001" s="1" t="s">
        <v>2624</v>
      </c>
    </row>
    <row r="7002">
      <c r="A7002" s="1" t="s">
        <v>14296</v>
      </c>
      <c r="B7002" s="2" t="s">
        <v>14297</v>
      </c>
      <c r="C7002" s="1" t="s">
        <v>2623</v>
      </c>
      <c r="D7002" s="1" t="s">
        <v>2624</v>
      </c>
    </row>
    <row r="7003">
      <c r="A7003" s="1" t="s">
        <v>14298</v>
      </c>
      <c r="B7003" s="2" t="s">
        <v>14299</v>
      </c>
      <c r="C7003" s="1" t="s">
        <v>2623</v>
      </c>
      <c r="D7003" s="1" t="s">
        <v>2624</v>
      </c>
    </row>
    <row r="7004">
      <c r="A7004" s="1" t="s">
        <v>14300</v>
      </c>
      <c r="B7004" s="2" t="s">
        <v>14301</v>
      </c>
      <c r="C7004" s="1" t="s">
        <v>2623</v>
      </c>
      <c r="D7004" s="1" t="s">
        <v>2624</v>
      </c>
    </row>
    <row r="7005">
      <c r="A7005" s="1" t="s">
        <v>14302</v>
      </c>
      <c r="B7005" s="2" t="s">
        <v>14303</v>
      </c>
      <c r="C7005" s="1" t="s">
        <v>2623</v>
      </c>
      <c r="D7005" s="1" t="s">
        <v>2624</v>
      </c>
    </row>
    <row r="7006">
      <c r="A7006" s="1" t="s">
        <v>14304</v>
      </c>
      <c r="B7006" s="2" t="s">
        <v>14305</v>
      </c>
      <c r="C7006" s="1" t="s">
        <v>2623</v>
      </c>
      <c r="D7006" s="1" t="s">
        <v>2624</v>
      </c>
    </row>
    <row r="7007">
      <c r="A7007" s="1" t="s">
        <v>14306</v>
      </c>
      <c r="B7007" s="2" t="s">
        <v>14307</v>
      </c>
      <c r="C7007" s="1" t="s">
        <v>2623</v>
      </c>
      <c r="D7007" s="1" t="s">
        <v>2624</v>
      </c>
    </row>
    <row r="7008">
      <c r="A7008" s="1" t="s">
        <v>14308</v>
      </c>
      <c r="B7008" s="2" t="s">
        <v>14309</v>
      </c>
      <c r="C7008" s="1" t="s">
        <v>2623</v>
      </c>
      <c r="D7008" s="1" t="s">
        <v>2624</v>
      </c>
    </row>
    <row r="7009">
      <c r="A7009" s="1" t="s">
        <v>14310</v>
      </c>
      <c r="B7009" s="2" t="s">
        <v>14311</v>
      </c>
      <c r="C7009" s="1" t="s">
        <v>2623</v>
      </c>
      <c r="D7009" s="1" t="s">
        <v>2624</v>
      </c>
    </row>
    <row r="7010">
      <c r="A7010" s="1" t="s">
        <v>14312</v>
      </c>
      <c r="B7010" s="2" t="s">
        <v>14313</v>
      </c>
      <c r="C7010" s="1" t="s">
        <v>2623</v>
      </c>
      <c r="D7010" s="1" t="s">
        <v>2624</v>
      </c>
    </row>
    <row r="7011">
      <c r="A7011" s="1" t="s">
        <v>14314</v>
      </c>
      <c r="B7011" s="2" t="s">
        <v>14315</v>
      </c>
      <c r="C7011" s="1" t="s">
        <v>2623</v>
      </c>
      <c r="D7011" s="1" t="s">
        <v>2624</v>
      </c>
    </row>
    <row r="7012">
      <c r="A7012" s="1" t="s">
        <v>14316</v>
      </c>
      <c r="B7012" s="2" t="s">
        <v>14317</v>
      </c>
      <c r="C7012" s="1" t="s">
        <v>2623</v>
      </c>
      <c r="D7012" s="1" t="s">
        <v>2624</v>
      </c>
    </row>
    <row r="7013">
      <c r="A7013" s="1" t="s">
        <v>14318</v>
      </c>
      <c r="B7013" s="2" t="s">
        <v>14319</v>
      </c>
      <c r="C7013" s="1" t="s">
        <v>2623</v>
      </c>
      <c r="D7013" s="1" t="s">
        <v>2624</v>
      </c>
    </row>
    <row r="7014">
      <c r="A7014" s="1" t="s">
        <v>14320</v>
      </c>
      <c r="B7014" s="2" t="s">
        <v>14321</v>
      </c>
      <c r="C7014" s="1" t="s">
        <v>2623</v>
      </c>
      <c r="D7014" s="1" t="s">
        <v>2624</v>
      </c>
    </row>
    <row r="7015">
      <c r="A7015" s="1" t="s">
        <v>14322</v>
      </c>
      <c r="B7015" s="2" t="s">
        <v>14323</v>
      </c>
      <c r="C7015" s="1" t="s">
        <v>2623</v>
      </c>
      <c r="D7015" s="1" t="s">
        <v>2624</v>
      </c>
    </row>
    <row r="7016">
      <c r="A7016" s="1" t="s">
        <v>14324</v>
      </c>
      <c r="B7016" s="2" t="s">
        <v>14325</v>
      </c>
      <c r="C7016" s="1" t="s">
        <v>2623</v>
      </c>
      <c r="D7016" s="1" t="s">
        <v>2624</v>
      </c>
    </row>
    <row r="7017">
      <c r="A7017" s="1" t="s">
        <v>14326</v>
      </c>
      <c r="B7017" s="2" t="s">
        <v>14327</v>
      </c>
      <c r="C7017" s="1" t="s">
        <v>2623</v>
      </c>
      <c r="D7017" s="1" t="s">
        <v>2624</v>
      </c>
    </row>
    <row r="7018">
      <c r="A7018" s="1" t="s">
        <v>14328</v>
      </c>
      <c r="B7018" s="2" t="s">
        <v>14329</v>
      </c>
      <c r="C7018" s="1" t="s">
        <v>2623</v>
      </c>
      <c r="D7018" s="1" t="s">
        <v>2624</v>
      </c>
    </row>
    <row r="7019">
      <c r="A7019" s="1" t="s">
        <v>14330</v>
      </c>
      <c r="B7019" s="2" t="s">
        <v>14331</v>
      </c>
      <c r="C7019" s="1" t="s">
        <v>2623</v>
      </c>
      <c r="D7019" s="1" t="s">
        <v>2624</v>
      </c>
    </row>
    <row r="7020">
      <c r="A7020" s="1" t="s">
        <v>2627</v>
      </c>
      <c r="B7020" s="2" t="s">
        <v>7</v>
      </c>
      <c r="C7020" s="1" t="s">
        <v>2629</v>
      </c>
      <c r="D7020" s="1" t="s">
        <v>2630</v>
      </c>
    </row>
    <row r="7021">
      <c r="A7021" s="1" t="s">
        <v>14332</v>
      </c>
      <c r="B7021" s="2" t="s">
        <v>14333</v>
      </c>
      <c r="C7021" s="1" t="s">
        <v>2629</v>
      </c>
      <c r="D7021" s="1" t="s">
        <v>2630</v>
      </c>
    </row>
    <row r="7022">
      <c r="A7022" s="1" t="s">
        <v>14334</v>
      </c>
      <c r="B7022" s="2" t="s">
        <v>14335</v>
      </c>
      <c r="C7022" s="1" t="s">
        <v>2629</v>
      </c>
      <c r="D7022" s="1" t="s">
        <v>2630</v>
      </c>
    </row>
    <row r="7023">
      <c r="A7023" s="1" t="s">
        <v>14336</v>
      </c>
      <c r="B7023" s="2" t="s">
        <v>14337</v>
      </c>
      <c r="C7023" s="1" t="s">
        <v>2629</v>
      </c>
      <c r="D7023" s="1" t="s">
        <v>2630</v>
      </c>
    </row>
    <row r="7024">
      <c r="A7024" s="1" t="s">
        <v>14338</v>
      </c>
      <c r="B7024" s="2" t="s">
        <v>14339</v>
      </c>
      <c r="C7024" s="1" t="s">
        <v>2629</v>
      </c>
      <c r="D7024" s="1" t="s">
        <v>2630</v>
      </c>
    </row>
    <row r="7025">
      <c r="A7025" s="1" t="s">
        <v>14340</v>
      </c>
      <c r="B7025" s="2" t="s">
        <v>14341</v>
      </c>
      <c r="C7025" s="1" t="s">
        <v>2629</v>
      </c>
      <c r="D7025" s="1" t="s">
        <v>2630</v>
      </c>
    </row>
    <row r="7026">
      <c r="A7026" s="1" t="s">
        <v>14342</v>
      </c>
      <c r="B7026" s="2" t="s">
        <v>14343</v>
      </c>
      <c r="C7026" s="1" t="s">
        <v>2629</v>
      </c>
      <c r="D7026" s="1" t="s">
        <v>2630</v>
      </c>
    </row>
    <row r="7027">
      <c r="A7027" s="1" t="s">
        <v>14344</v>
      </c>
      <c r="B7027" s="2" t="s">
        <v>14345</v>
      </c>
      <c r="C7027" s="1" t="s">
        <v>2629</v>
      </c>
      <c r="D7027" s="1" t="s">
        <v>2630</v>
      </c>
    </row>
    <row r="7028">
      <c r="A7028" s="1" t="s">
        <v>14346</v>
      </c>
      <c r="B7028" s="2" t="s">
        <v>14347</v>
      </c>
      <c r="C7028" s="1" t="s">
        <v>2629</v>
      </c>
      <c r="D7028" s="1" t="s">
        <v>2630</v>
      </c>
    </row>
    <row r="7029">
      <c r="A7029" s="1" t="s">
        <v>14348</v>
      </c>
      <c r="B7029" s="2" t="s">
        <v>14349</v>
      </c>
      <c r="C7029" s="1" t="s">
        <v>2629</v>
      </c>
      <c r="D7029" s="1" t="s">
        <v>2630</v>
      </c>
    </row>
    <row r="7030">
      <c r="A7030" s="1" t="s">
        <v>14350</v>
      </c>
      <c r="B7030" s="2" t="s">
        <v>14351</v>
      </c>
      <c r="C7030" s="1" t="s">
        <v>2629</v>
      </c>
      <c r="D7030" s="1" t="s">
        <v>2630</v>
      </c>
    </row>
    <row r="7031">
      <c r="A7031" s="1" t="s">
        <v>14352</v>
      </c>
      <c r="B7031" s="2" t="s">
        <v>14353</v>
      </c>
      <c r="C7031" s="1" t="s">
        <v>2629</v>
      </c>
      <c r="D7031" s="1" t="s">
        <v>2630</v>
      </c>
    </row>
    <row r="7032">
      <c r="A7032" s="1" t="s">
        <v>14354</v>
      </c>
      <c r="B7032" s="2" t="s">
        <v>14355</v>
      </c>
      <c r="C7032" s="1" t="s">
        <v>2629</v>
      </c>
      <c r="D7032" s="1" t="s">
        <v>2630</v>
      </c>
    </row>
    <row r="7033">
      <c r="A7033" s="1" t="s">
        <v>14356</v>
      </c>
      <c r="B7033" s="2" t="s">
        <v>14357</v>
      </c>
      <c r="C7033" s="1" t="s">
        <v>2629</v>
      </c>
      <c r="D7033" s="1" t="s">
        <v>2630</v>
      </c>
    </row>
    <row r="7034">
      <c r="A7034" s="1" t="s">
        <v>14358</v>
      </c>
      <c r="B7034" s="2" t="s">
        <v>14359</v>
      </c>
      <c r="C7034" s="1" t="s">
        <v>2629</v>
      </c>
      <c r="D7034" s="1" t="s">
        <v>2630</v>
      </c>
    </row>
    <row r="7035">
      <c r="A7035" s="1" t="s">
        <v>2633</v>
      </c>
      <c r="B7035" s="2" t="s">
        <v>7</v>
      </c>
      <c r="C7035" s="1" t="s">
        <v>2635</v>
      </c>
      <c r="D7035" s="1" t="s">
        <v>2636</v>
      </c>
    </row>
    <row r="7036">
      <c r="A7036" s="1" t="s">
        <v>14360</v>
      </c>
      <c r="B7036" s="2" t="s">
        <v>14361</v>
      </c>
      <c r="C7036" s="1" t="s">
        <v>2635</v>
      </c>
      <c r="D7036" s="1" t="s">
        <v>2636</v>
      </c>
    </row>
    <row r="7037">
      <c r="A7037" s="1" t="s">
        <v>14362</v>
      </c>
      <c r="B7037" s="2" t="s">
        <v>14363</v>
      </c>
      <c r="C7037" s="1" t="s">
        <v>2635</v>
      </c>
      <c r="D7037" s="1" t="s">
        <v>2636</v>
      </c>
    </row>
    <row r="7038">
      <c r="A7038" s="1" t="s">
        <v>14364</v>
      </c>
      <c r="B7038" s="2" t="s">
        <v>14365</v>
      </c>
      <c r="C7038" s="1" t="s">
        <v>2635</v>
      </c>
      <c r="D7038" s="1" t="s">
        <v>2636</v>
      </c>
    </row>
    <row r="7039">
      <c r="A7039" s="1" t="s">
        <v>14366</v>
      </c>
      <c r="B7039" s="2" t="s">
        <v>14367</v>
      </c>
      <c r="C7039" s="1" t="s">
        <v>2635</v>
      </c>
      <c r="D7039" s="1" t="s">
        <v>2636</v>
      </c>
    </row>
    <row r="7040">
      <c r="A7040" s="1" t="s">
        <v>14368</v>
      </c>
      <c r="B7040" s="2" t="s">
        <v>14369</v>
      </c>
      <c r="C7040" s="1" t="s">
        <v>2635</v>
      </c>
      <c r="D7040" s="1" t="s">
        <v>2636</v>
      </c>
    </row>
    <row r="7041">
      <c r="A7041" s="1" t="s">
        <v>14370</v>
      </c>
      <c r="B7041" s="2" t="s">
        <v>14371</v>
      </c>
      <c r="C7041" s="1" t="s">
        <v>2635</v>
      </c>
      <c r="D7041" s="1" t="s">
        <v>2636</v>
      </c>
    </row>
    <row r="7042">
      <c r="A7042" s="1" t="s">
        <v>14372</v>
      </c>
      <c r="B7042" s="2" t="s">
        <v>14373</v>
      </c>
      <c r="C7042" s="1" t="s">
        <v>2635</v>
      </c>
      <c r="D7042" s="1" t="s">
        <v>2636</v>
      </c>
    </row>
    <row r="7043">
      <c r="A7043" s="1" t="s">
        <v>14374</v>
      </c>
      <c r="B7043" s="2" t="s">
        <v>14375</v>
      </c>
      <c r="C7043" s="1" t="s">
        <v>2635</v>
      </c>
      <c r="D7043" s="1" t="s">
        <v>2636</v>
      </c>
    </row>
    <row r="7044">
      <c r="A7044" s="1" t="s">
        <v>14376</v>
      </c>
      <c r="B7044" s="2" t="s">
        <v>14377</v>
      </c>
      <c r="C7044" s="1" t="s">
        <v>2635</v>
      </c>
      <c r="D7044" s="1" t="s">
        <v>2636</v>
      </c>
    </row>
    <row r="7045">
      <c r="A7045" s="1" t="s">
        <v>14378</v>
      </c>
      <c r="B7045" s="2" t="s">
        <v>14379</v>
      </c>
      <c r="C7045" s="1" t="s">
        <v>2635</v>
      </c>
      <c r="D7045" s="1" t="s">
        <v>2636</v>
      </c>
    </row>
    <row r="7046">
      <c r="A7046" s="1" t="s">
        <v>2639</v>
      </c>
      <c r="B7046" s="2" t="s">
        <v>7</v>
      </c>
      <c r="C7046" s="1" t="s">
        <v>2640</v>
      </c>
      <c r="D7046" s="1" t="s">
        <v>2642</v>
      </c>
    </row>
    <row r="7047">
      <c r="A7047" s="1" t="s">
        <v>14380</v>
      </c>
      <c r="B7047" s="2" t="s">
        <v>14381</v>
      </c>
      <c r="C7047" s="1" t="s">
        <v>2640</v>
      </c>
      <c r="D7047" s="1" t="s">
        <v>2642</v>
      </c>
    </row>
    <row r="7048">
      <c r="A7048" s="1" t="s">
        <v>14382</v>
      </c>
      <c r="B7048" s="2" t="s">
        <v>14383</v>
      </c>
      <c r="C7048" s="1" t="s">
        <v>2640</v>
      </c>
      <c r="D7048" s="1" t="s">
        <v>2642</v>
      </c>
    </row>
    <row r="7049">
      <c r="A7049" s="1" t="s">
        <v>14384</v>
      </c>
      <c r="B7049" s="2" t="s">
        <v>14385</v>
      </c>
      <c r="C7049" s="1" t="s">
        <v>2640</v>
      </c>
      <c r="D7049" s="1" t="s">
        <v>2642</v>
      </c>
    </row>
    <row r="7050">
      <c r="A7050" s="1" t="s">
        <v>14386</v>
      </c>
      <c r="B7050" s="2" t="s">
        <v>14387</v>
      </c>
      <c r="C7050" s="1" t="s">
        <v>2640</v>
      </c>
      <c r="D7050" s="1" t="s">
        <v>2642</v>
      </c>
    </row>
    <row r="7051">
      <c r="A7051" s="1" t="s">
        <v>14388</v>
      </c>
      <c r="B7051" s="2" t="s">
        <v>14389</v>
      </c>
      <c r="C7051" s="1" t="s">
        <v>2640</v>
      </c>
      <c r="D7051" s="1" t="s">
        <v>2642</v>
      </c>
    </row>
    <row r="7052">
      <c r="A7052" s="1" t="s">
        <v>14390</v>
      </c>
      <c r="B7052" s="2" t="s">
        <v>14391</v>
      </c>
      <c r="C7052" s="1" t="s">
        <v>2640</v>
      </c>
      <c r="D7052" s="1" t="s">
        <v>2642</v>
      </c>
    </row>
    <row r="7053">
      <c r="A7053" s="1" t="s">
        <v>14392</v>
      </c>
      <c r="B7053" s="2" t="s">
        <v>14393</v>
      </c>
      <c r="C7053" s="1" t="s">
        <v>2640</v>
      </c>
      <c r="D7053" s="1" t="s">
        <v>2642</v>
      </c>
    </row>
    <row r="7054">
      <c r="A7054" s="1" t="s">
        <v>2645</v>
      </c>
      <c r="B7054" s="2" t="s">
        <v>7</v>
      </c>
      <c r="C7054" s="1" t="s">
        <v>2647</v>
      </c>
      <c r="D7054" s="1" t="s">
        <v>2648</v>
      </c>
    </row>
    <row r="7055">
      <c r="A7055" s="1" t="s">
        <v>14394</v>
      </c>
      <c r="B7055" s="2" t="s">
        <v>14395</v>
      </c>
      <c r="C7055" s="1" t="s">
        <v>2647</v>
      </c>
      <c r="D7055" s="1" t="s">
        <v>2648</v>
      </c>
    </row>
    <row r="7056">
      <c r="A7056" s="1" t="s">
        <v>14396</v>
      </c>
      <c r="B7056" s="2" t="s">
        <v>14397</v>
      </c>
      <c r="C7056" s="1" t="s">
        <v>2647</v>
      </c>
      <c r="D7056" s="1" t="s">
        <v>2648</v>
      </c>
    </row>
    <row r="7057">
      <c r="A7057" s="1" t="s">
        <v>14398</v>
      </c>
      <c r="B7057" s="2" t="s">
        <v>14399</v>
      </c>
      <c r="C7057" s="1" t="s">
        <v>2647</v>
      </c>
      <c r="D7057" s="1" t="s">
        <v>2648</v>
      </c>
    </row>
    <row r="7058">
      <c r="A7058" s="1" t="s">
        <v>14400</v>
      </c>
      <c r="B7058" s="2" t="s">
        <v>14401</v>
      </c>
      <c r="C7058" s="1" t="s">
        <v>2647</v>
      </c>
      <c r="D7058" s="1" t="s">
        <v>2648</v>
      </c>
    </row>
    <row r="7059">
      <c r="A7059" s="1" t="s">
        <v>14402</v>
      </c>
      <c r="B7059" s="2" t="s">
        <v>14403</v>
      </c>
      <c r="C7059" s="1" t="s">
        <v>2647</v>
      </c>
      <c r="D7059" s="1" t="s">
        <v>2648</v>
      </c>
    </row>
    <row r="7060">
      <c r="A7060" s="1" t="s">
        <v>14404</v>
      </c>
      <c r="B7060" s="2" t="s">
        <v>14405</v>
      </c>
      <c r="C7060" s="1" t="s">
        <v>2647</v>
      </c>
      <c r="D7060" s="1" t="s">
        <v>2648</v>
      </c>
    </row>
    <row r="7061">
      <c r="A7061" s="1" t="s">
        <v>14406</v>
      </c>
      <c r="B7061" s="2" t="s">
        <v>14407</v>
      </c>
      <c r="C7061" s="1" t="s">
        <v>2647</v>
      </c>
      <c r="D7061" s="1" t="s">
        <v>2648</v>
      </c>
    </row>
    <row r="7062">
      <c r="A7062" s="1" t="s">
        <v>14408</v>
      </c>
      <c r="B7062" s="2" t="s">
        <v>14409</v>
      </c>
      <c r="C7062" s="1" t="s">
        <v>2647</v>
      </c>
      <c r="D7062" s="1" t="s">
        <v>2648</v>
      </c>
    </row>
    <row r="7063">
      <c r="A7063" s="1" t="s">
        <v>14410</v>
      </c>
      <c r="B7063" s="2" t="s">
        <v>14411</v>
      </c>
      <c r="C7063" s="1" t="s">
        <v>2647</v>
      </c>
      <c r="D7063" s="1" t="s">
        <v>2648</v>
      </c>
    </row>
    <row r="7064">
      <c r="A7064" s="1" t="s">
        <v>14412</v>
      </c>
      <c r="B7064" s="2" t="s">
        <v>14413</v>
      </c>
      <c r="C7064" s="1" t="s">
        <v>2647</v>
      </c>
      <c r="D7064" s="1" t="s">
        <v>2648</v>
      </c>
    </row>
    <row r="7065">
      <c r="A7065" s="1" t="s">
        <v>14414</v>
      </c>
      <c r="B7065" s="2" t="s">
        <v>14415</v>
      </c>
      <c r="C7065" s="1" t="s">
        <v>2647</v>
      </c>
      <c r="D7065" s="1" t="s">
        <v>2648</v>
      </c>
    </row>
    <row r="7066">
      <c r="A7066" s="1" t="s">
        <v>2651</v>
      </c>
      <c r="B7066" s="2" t="s">
        <v>7</v>
      </c>
      <c r="C7066" s="1" t="s">
        <v>2652</v>
      </c>
      <c r="D7066" s="1" t="s">
        <v>2654</v>
      </c>
    </row>
    <row r="7067">
      <c r="A7067" s="1" t="s">
        <v>14416</v>
      </c>
      <c r="B7067" s="2" t="s">
        <v>14417</v>
      </c>
      <c r="C7067" s="1" t="s">
        <v>2652</v>
      </c>
      <c r="D7067" s="1" t="s">
        <v>2654</v>
      </c>
    </row>
    <row r="7068">
      <c r="A7068" s="1" t="s">
        <v>14418</v>
      </c>
      <c r="B7068" s="2" t="s">
        <v>14419</v>
      </c>
      <c r="C7068" s="1" t="s">
        <v>2652</v>
      </c>
      <c r="D7068" s="1" t="s">
        <v>2654</v>
      </c>
    </row>
    <row r="7069">
      <c r="A7069" s="1" t="s">
        <v>14420</v>
      </c>
      <c r="B7069" s="2" t="s">
        <v>14421</v>
      </c>
      <c r="C7069" s="1" t="s">
        <v>2652</v>
      </c>
      <c r="D7069" s="1" t="s">
        <v>2654</v>
      </c>
    </row>
    <row r="7070">
      <c r="A7070" s="1" t="s">
        <v>14422</v>
      </c>
      <c r="B7070" s="2" t="s">
        <v>14423</v>
      </c>
      <c r="C7070" s="1" t="s">
        <v>2652</v>
      </c>
      <c r="D7070" s="1" t="s">
        <v>2654</v>
      </c>
    </row>
    <row r="7071">
      <c r="A7071" s="1" t="s">
        <v>14424</v>
      </c>
      <c r="B7071" s="2" t="s">
        <v>14425</v>
      </c>
      <c r="C7071" s="1" t="s">
        <v>2652</v>
      </c>
      <c r="D7071" s="1" t="s">
        <v>2654</v>
      </c>
    </row>
    <row r="7072">
      <c r="A7072" s="1" t="s">
        <v>14426</v>
      </c>
      <c r="B7072" s="2" t="s">
        <v>14427</v>
      </c>
      <c r="C7072" s="1" t="s">
        <v>2652</v>
      </c>
      <c r="D7072" s="1" t="s">
        <v>2654</v>
      </c>
    </row>
    <row r="7073">
      <c r="A7073" s="1" t="s">
        <v>14428</v>
      </c>
      <c r="B7073" s="2" t="s">
        <v>14429</v>
      </c>
      <c r="C7073" s="1" t="s">
        <v>2652</v>
      </c>
      <c r="D7073" s="1" t="s">
        <v>2654</v>
      </c>
    </row>
    <row r="7074">
      <c r="A7074" s="1" t="s">
        <v>14430</v>
      </c>
      <c r="B7074" s="2" t="s">
        <v>14431</v>
      </c>
      <c r="C7074" s="1" t="s">
        <v>2652</v>
      </c>
      <c r="D7074" s="1" t="s">
        <v>2654</v>
      </c>
    </row>
    <row r="7075">
      <c r="A7075" s="1" t="s">
        <v>14432</v>
      </c>
      <c r="B7075" s="2" t="s">
        <v>14433</v>
      </c>
      <c r="C7075" s="1" t="s">
        <v>2652</v>
      </c>
      <c r="D7075" s="1" t="s">
        <v>2654</v>
      </c>
    </row>
    <row r="7076">
      <c r="A7076" s="1" t="s">
        <v>14434</v>
      </c>
      <c r="B7076" s="2" t="s">
        <v>14435</v>
      </c>
      <c r="C7076" s="1" t="s">
        <v>2652</v>
      </c>
      <c r="D7076" s="1" t="s">
        <v>2654</v>
      </c>
    </row>
    <row r="7077">
      <c r="A7077" s="1" t="s">
        <v>14436</v>
      </c>
      <c r="B7077" s="2" t="s">
        <v>14437</v>
      </c>
      <c r="C7077" s="1" t="s">
        <v>2652</v>
      </c>
      <c r="D7077" s="1" t="s">
        <v>2654</v>
      </c>
    </row>
    <row r="7078">
      <c r="A7078" s="1" t="s">
        <v>14438</v>
      </c>
      <c r="B7078" s="2" t="s">
        <v>14439</v>
      </c>
      <c r="C7078" s="1" t="s">
        <v>2652</v>
      </c>
      <c r="D7078" s="1" t="s">
        <v>2654</v>
      </c>
    </row>
    <row r="7079">
      <c r="A7079" s="1" t="s">
        <v>14440</v>
      </c>
      <c r="B7079" s="2" t="s">
        <v>14441</v>
      </c>
      <c r="C7079" s="1" t="s">
        <v>2652</v>
      </c>
      <c r="D7079" s="1" t="s">
        <v>2654</v>
      </c>
    </row>
    <row r="7080">
      <c r="A7080" s="1" t="s">
        <v>14442</v>
      </c>
      <c r="B7080" s="2" t="s">
        <v>14443</v>
      </c>
      <c r="C7080" s="1" t="s">
        <v>2652</v>
      </c>
      <c r="D7080" s="1" t="s">
        <v>2654</v>
      </c>
    </row>
    <row r="7081">
      <c r="A7081" s="1" t="s">
        <v>2656</v>
      </c>
      <c r="B7081" s="2" t="s">
        <v>7</v>
      </c>
      <c r="C7081" s="1" t="s">
        <v>2657</v>
      </c>
      <c r="D7081" s="1" t="s">
        <v>2659</v>
      </c>
    </row>
    <row r="7082">
      <c r="A7082" s="1" t="s">
        <v>14444</v>
      </c>
      <c r="B7082" s="2" t="s">
        <v>14016</v>
      </c>
      <c r="C7082" s="1" t="s">
        <v>2657</v>
      </c>
      <c r="D7082" s="1" t="s">
        <v>2659</v>
      </c>
    </row>
    <row r="7083">
      <c r="A7083" s="1" t="s">
        <v>14445</v>
      </c>
      <c r="B7083" s="2" t="s">
        <v>14446</v>
      </c>
      <c r="C7083" s="1" t="s">
        <v>2657</v>
      </c>
      <c r="D7083" s="1" t="s">
        <v>2659</v>
      </c>
    </row>
    <row r="7084">
      <c r="A7084" s="1" t="s">
        <v>14447</v>
      </c>
      <c r="B7084" s="2" t="s">
        <v>14448</v>
      </c>
      <c r="C7084" s="1" t="s">
        <v>2657</v>
      </c>
      <c r="D7084" s="1" t="s">
        <v>2659</v>
      </c>
    </row>
    <row r="7085">
      <c r="A7085" s="1" t="s">
        <v>14449</v>
      </c>
      <c r="B7085" s="2" t="s">
        <v>14450</v>
      </c>
      <c r="C7085" s="1" t="s">
        <v>2657</v>
      </c>
      <c r="D7085" s="1" t="s">
        <v>2659</v>
      </c>
    </row>
    <row r="7086">
      <c r="A7086" s="1" t="s">
        <v>14451</v>
      </c>
      <c r="B7086" s="2" t="s">
        <v>14452</v>
      </c>
      <c r="C7086" s="1" t="s">
        <v>2657</v>
      </c>
      <c r="D7086" s="1" t="s">
        <v>2659</v>
      </c>
    </row>
    <row r="7087">
      <c r="A7087" s="1" t="s">
        <v>14453</v>
      </c>
      <c r="B7087" s="2" t="s">
        <v>14020</v>
      </c>
      <c r="C7087" s="1" t="s">
        <v>2657</v>
      </c>
      <c r="D7087" s="1" t="s">
        <v>2659</v>
      </c>
    </row>
    <row r="7088">
      <c r="A7088" s="1" t="s">
        <v>14454</v>
      </c>
      <c r="B7088" s="2" t="s">
        <v>14455</v>
      </c>
      <c r="C7088" s="1" t="s">
        <v>2657</v>
      </c>
      <c r="D7088" s="1" t="s">
        <v>2659</v>
      </c>
    </row>
    <row r="7089">
      <c r="A7089" s="1" t="s">
        <v>14456</v>
      </c>
      <c r="B7089" s="2" t="s">
        <v>14457</v>
      </c>
      <c r="C7089" s="1" t="s">
        <v>2657</v>
      </c>
      <c r="D7089" s="1" t="s">
        <v>2659</v>
      </c>
    </row>
    <row r="7090">
      <c r="A7090" s="1" t="s">
        <v>14458</v>
      </c>
      <c r="B7090" s="2" t="s">
        <v>14459</v>
      </c>
      <c r="C7090" s="1" t="s">
        <v>2657</v>
      </c>
      <c r="D7090" s="1" t="s">
        <v>2659</v>
      </c>
    </row>
    <row r="7091">
      <c r="A7091" s="1" t="s">
        <v>14460</v>
      </c>
      <c r="B7091" s="2" t="s">
        <v>14461</v>
      </c>
      <c r="C7091" s="1" t="s">
        <v>2657</v>
      </c>
      <c r="D7091" s="1" t="s">
        <v>2659</v>
      </c>
    </row>
    <row r="7092">
      <c r="A7092" s="1" t="s">
        <v>14462</v>
      </c>
      <c r="B7092" s="2" t="s">
        <v>14463</v>
      </c>
      <c r="C7092" s="1" t="s">
        <v>2657</v>
      </c>
      <c r="D7092" s="1" t="s">
        <v>2659</v>
      </c>
    </row>
    <row r="7093">
      <c r="A7093" s="1" t="s">
        <v>14464</v>
      </c>
      <c r="B7093" s="2" t="s">
        <v>14465</v>
      </c>
      <c r="C7093" s="1" t="s">
        <v>2657</v>
      </c>
      <c r="D7093" s="1" t="s">
        <v>2659</v>
      </c>
    </row>
    <row r="7094">
      <c r="A7094" s="1" t="s">
        <v>14466</v>
      </c>
      <c r="B7094" s="2" t="s">
        <v>14467</v>
      </c>
      <c r="C7094" s="1" t="s">
        <v>2657</v>
      </c>
      <c r="D7094" s="1" t="s">
        <v>2659</v>
      </c>
    </row>
    <row r="7095">
      <c r="A7095" s="1" t="s">
        <v>14468</v>
      </c>
      <c r="B7095" s="2" t="s">
        <v>14469</v>
      </c>
      <c r="C7095" s="1" t="s">
        <v>2657</v>
      </c>
      <c r="D7095" s="1" t="s">
        <v>2659</v>
      </c>
    </row>
    <row r="7096">
      <c r="A7096" s="1" t="s">
        <v>14470</v>
      </c>
      <c r="B7096" s="2" t="s">
        <v>14026</v>
      </c>
      <c r="C7096" s="1" t="s">
        <v>2657</v>
      </c>
      <c r="D7096" s="1" t="s">
        <v>2659</v>
      </c>
    </row>
    <row r="7097">
      <c r="A7097" s="1" t="s">
        <v>14471</v>
      </c>
      <c r="B7097" s="2" t="s">
        <v>14472</v>
      </c>
      <c r="C7097" s="1" t="s">
        <v>2657</v>
      </c>
      <c r="D7097" s="1" t="s">
        <v>2659</v>
      </c>
    </row>
    <row r="7098">
      <c r="A7098" s="1" t="s">
        <v>14473</v>
      </c>
      <c r="B7098" s="2" t="s">
        <v>14474</v>
      </c>
      <c r="C7098" s="1" t="s">
        <v>2657</v>
      </c>
      <c r="D7098" s="1" t="s">
        <v>2659</v>
      </c>
    </row>
    <row r="7099">
      <c r="A7099" s="1" t="s">
        <v>14475</v>
      </c>
      <c r="B7099" s="2" t="s">
        <v>14476</v>
      </c>
      <c r="C7099" s="1" t="s">
        <v>2657</v>
      </c>
      <c r="D7099" s="1" t="s">
        <v>2659</v>
      </c>
    </row>
    <row r="7100">
      <c r="A7100" s="1" t="s">
        <v>2660</v>
      </c>
      <c r="B7100" s="2" t="s">
        <v>7</v>
      </c>
      <c r="C7100" s="1" t="s">
        <v>2661</v>
      </c>
      <c r="D7100" s="1" t="s">
        <v>2663</v>
      </c>
    </row>
    <row r="7101">
      <c r="A7101" s="1" t="s">
        <v>14477</v>
      </c>
      <c r="B7101" s="2" t="s">
        <v>14478</v>
      </c>
      <c r="C7101" s="1" t="s">
        <v>2661</v>
      </c>
      <c r="D7101" s="1" t="s">
        <v>2663</v>
      </c>
    </row>
    <row r="7102">
      <c r="A7102" s="1" t="s">
        <v>14479</v>
      </c>
      <c r="B7102" s="2" t="s">
        <v>14480</v>
      </c>
      <c r="C7102" s="1" t="s">
        <v>2661</v>
      </c>
      <c r="D7102" s="1" t="s">
        <v>2663</v>
      </c>
    </row>
    <row r="7103">
      <c r="A7103" s="1" t="s">
        <v>14481</v>
      </c>
      <c r="B7103" s="2" t="s">
        <v>14482</v>
      </c>
      <c r="C7103" s="1" t="s">
        <v>2661</v>
      </c>
      <c r="D7103" s="1" t="s">
        <v>2663</v>
      </c>
    </row>
    <row r="7104">
      <c r="A7104" s="1" t="s">
        <v>14483</v>
      </c>
      <c r="B7104" s="2" t="s">
        <v>14381</v>
      </c>
      <c r="C7104" s="1" t="s">
        <v>2661</v>
      </c>
      <c r="D7104" s="1" t="s">
        <v>2663</v>
      </c>
    </row>
    <row r="7105">
      <c r="A7105" s="1" t="s">
        <v>14484</v>
      </c>
      <c r="B7105" s="2" t="s">
        <v>14485</v>
      </c>
      <c r="C7105" s="1" t="s">
        <v>2661</v>
      </c>
      <c r="D7105" s="1" t="s">
        <v>2663</v>
      </c>
    </row>
    <row r="7106">
      <c r="A7106" s="1" t="s">
        <v>14486</v>
      </c>
      <c r="B7106" s="2" t="s">
        <v>14487</v>
      </c>
      <c r="C7106" s="1" t="s">
        <v>2661</v>
      </c>
      <c r="D7106" s="1" t="s">
        <v>2663</v>
      </c>
    </row>
    <row r="7107">
      <c r="A7107" s="1" t="s">
        <v>14488</v>
      </c>
      <c r="B7107" s="2" t="s">
        <v>14489</v>
      </c>
      <c r="C7107" s="1" t="s">
        <v>2661</v>
      </c>
      <c r="D7107" s="1" t="s">
        <v>2663</v>
      </c>
    </row>
    <row r="7108">
      <c r="A7108" s="1" t="s">
        <v>14490</v>
      </c>
      <c r="B7108" s="2" t="s">
        <v>14491</v>
      </c>
      <c r="C7108" s="1" t="s">
        <v>2661</v>
      </c>
      <c r="D7108" s="1" t="s">
        <v>2663</v>
      </c>
    </row>
    <row r="7109">
      <c r="A7109" s="1" t="s">
        <v>14492</v>
      </c>
      <c r="B7109" s="2" t="s">
        <v>14493</v>
      </c>
      <c r="C7109" s="1" t="s">
        <v>2661</v>
      </c>
      <c r="D7109" s="1" t="s">
        <v>2663</v>
      </c>
    </row>
    <row r="7110">
      <c r="A7110" s="1" t="s">
        <v>14494</v>
      </c>
      <c r="B7110" s="2" t="s">
        <v>14495</v>
      </c>
      <c r="C7110" s="1" t="s">
        <v>2661</v>
      </c>
      <c r="D7110" s="1" t="s">
        <v>2663</v>
      </c>
    </row>
    <row r="7111">
      <c r="A7111" s="1" t="s">
        <v>14496</v>
      </c>
      <c r="B7111" s="2" t="s">
        <v>14497</v>
      </c>
      <c r="C7111" s="1" t="s">
        <v>2661</v>
      </c>
      <c r="D7111" s="1" t="s">
        <v>2663</v>
      </c>
    </row>
    <row r="7112">
      <c r="A7112" s="1" t="s">
        <v>14498</v>
      </c>
      <c r="B7112" s="2" t="s">
        <v>14499</v>
      </c>
      <c r="C7112" s="1" t="s">
        <v>2661</v>
      </c>
      <c r="D7112" s="1" t="s">
        <v>2663</v>
      </c>
    </row>
    <row r="7113">
      <c r="A7113" s="1" t="s">
        <v>14500</v>
      </c>
      <c r="B7113" s="2" t="s">
        <v>14501</v>
      </c>
      <c r="C7113" s="1" t="s">
        <v>2661</v>
      </c>
      <c r="D7113" s="1" t="s">
        <v>2663</v>
      </c>
    </row>
    <row r="7114">
      <c r="A7114" s="1" t="s">
        <v>14502</v>
      </c>
      <c r="B7114" s="2" t="s">
        <v>14503</v>
      </c>
      <c r="C7114" s="1" t="s">
        <v>2661</v>
      </c>
      <c r="D7114" s="1" t="s">
        <v>2663</v>
      </c>
    </row>
    <row r="7115">
      <c r="A7115" s="1" t="s">
        <v>14504</v>
      </c>
      <c r="B7115" s="2" t="s">
        <v>14505</v>
      </c>
      <c r="C7115" s="1" t="s">
        <v>2661</v>
      </c>
      <c r="D7115" s="1" t="s">
        <v>2663</v>
      </c>
    </row>
    <row r="7116">
      <c r="A7116" s="1" t="s">
        <v>14506</v>
      </c>
      <c r="B7116" s="2" t="s">
        <v>14507</v>
      </c>
      <c r="C7116" s="1" t="s">
        <v>2661</v>
      </c>
      <c r="D7116" s="1" t="s">
        <v>2663</v>
      </c>
    </row>
    <row r="7117">
      <c r="A7117" s="1" t="s">
        <v>2665</v>
      </c>
      <c r="B7117" s="2" t="s">
        <v>7</v>
      </c>
      <c r="C7117" s="1" t="s">
        <v>2667</v>
      </c>
      <c r="D7117" s="1" t="s">
        <v>2668</v>
      </c>
    </row>
    <row r="7118">
      <c r="A7118" s="1" t="s">
        <v>14508</v>
      </c>
      <c r="B7118" s="2" t="s">
        <v>14509</v>
      </c>
      <c r="C7118" s="1" t="s">
        <v>2667</v>
      </c>
      <c r="D7118" s="1" t="s">
        <v>2668</v>
      </c>
    </row>
    <row r="7119">
      <c r="A7119" s="1" t="s">
        <v>14510</v>
      </c>
      <c r="B7119" s="2" t="s">
        <v>14511</v>
      </c>
      <c r="C7119" s="1" t="s">
        <v>2667</v>
      </c>
      <c r="D7119" s="1" t="s">
        <v>2668</v>
      </c>
    </row>
    <row r="7120">
      <c r="A7120" s="1" t="s">
        <v>14512</v>
      </c>
      <c r="B7120" s="2" t="s">
        <v>14513</v>
      </c>
      <c r="C7120" s="1" t="s">
        <v>2667</v>
      </c>
      <c r="D7120" s="1" t="s">
        <v>2668</v>
      </c>
    </row>
    <row r="7121">
      <c r="A7121" s="1" t="s">
        <v>14514</v>
      </c>
      <c r="B7121" s="2" t="s">
        <v>14515</v>
      </c>
      <c r="C7121" s="1" t="s">
        <v>2667</v>
      </c>
      <c r="D7121" s="1" t="s">
        <v>2668</v>
      </c>
    </row>
    <row r="7122">
      <c r="A7122" s="1" t="s">
        <v>14516</v>
      </c>
      <c r="B7122" s="2" t="s">
        <v>14517</v>
      </c>
      <c r="C7122" s="1" t="s">
        <v>2667</v>
      </c>
      <c r="D7122" s="1" t="s">
        <v>2668</v>
      </c>
    </row>
    <row r="7123">
      <c r="A7123" s="1" t="s">
        <v>2674</v>
      </c>
      <c r="B7123" s="2" t="s">
        <v>7</v>
      </c>
      <c r="C7123" s="1" t="s">
        <v>2675</v>
      </c>
      <c r="D7123" s="1" t="s">
        <v>2677</v>
      </c>
    </row>
    <row r="7124">
      <c r="A7124" s="1" t="s">
        <v>14518</v>
      </c>
      <c r="B7124" s="2" t="s">
        <v>14519</v>
      </c>
      <c r="C7124" s="1" t="s">
        <v>2675</v>
      </c>
      <c r="D7124" s="1" t="s">
        <v>2677</v>
      </c>
    </row>
    <row r="7125">
      <c r="A7125" s="1" t="s">
        <v>14520</v>
      </c>
      <c r="B7125" s="2" t="s">
        <v>14521</v>
      </c>
      <c r="C7125" s="1" t="s">
        <v>2675</v>
      </c>
      <c r="D7125" s="1" t="s">
        <v>2677</v>
      </c>
    </row>
    <row r="7126">
      <c r="A7126" s="1" t="s">
        <v>14522</v>
      </c>
      <c r="B7126" s="2" t="s">
        <v>14523</v>
      </c>
      <c r="C7126" s="1" t="s">
        <v>2675</v>
      </c>
      <c r="D7126" s="1" t="s">
        <v>2677</v>
      </c>
    </row>
    <row r="7127">
      <c r="A7127" s="1" t="s">
        <v>14524</v>
      </c>
      <c r="B7127" s="2" t="s">
        <v>14525</v>
      </c>
      <c r="C7127" s="1" t="s">
        <v>2675</v>
      </c>
      <c r="D7127" s="1" t="s">
        <v>2677</v>
      </c>
    </row>
    <row r="7128">
      <c r="A7128" s="1" t="s">
        <v>14526</v>
      </c>
      <c r="B7128" s="2" t="s">
        <v>14527</v>
      </c>
      <c r="C7128" s="1" t="s">
        <v>2675</v>
      </c>
      <c r="D7128" s="1" t="s">
        <v>2677</v>
      </c>
    </row>
    <row r="7129">
      <c r="A7129" s="1" t="s">
        <v>14528</v>
      </c>
      <c r="B7129" s="2" t="s">
        <v>14529</v>
      </c>
      <c r="C7129" s="1" t="s">
        <v>2675</v>
      </c>
      <c r="D7129" s="1" t="s">
        <v>2677</v>
      </c>
    </row>
    <row r="7130">
      <c r="A7130" s="1" t="s">
        <v>14530</v>
      </c>
      <c r="B7130" s="2" t="s">
        <v>14531</v>
      </c>
      <c r="C7130" s="1" t="s">
        <v>2675</v>
      </c>
      <c r="D7130" s="1" t="s">
        <v>2677</v>
      </c>
    </row>
    <row r="7131">
      <c r="A7131" s="1" t="s">
        <v>14532</v>
      </c>
      <c r="B7131" s="2" t="s">
        <v>14533</v>
      </c>
      <c r="C7131" s="1" t="s">
        <v>2675</v>
      </c>
      <c r="D7131" s="1" t="s">
        <v>2677</v>
      </c>
    </row>
    <row r="7132">
      <c r="A7132" s="1" t="s">
        <v>14534</v>
      </c>
      <c r="B7132" s="2" t="s">
        <v>14535</v>
      </c>
      <c r="C7132" s="1" t="s">
        <v>2675</v>
      </c>
      <c r="D7132" s="1" t="s">
        <v>2677</v>
      </c>
    </row>
    <row r="7133">
      <c r="A7133" s="1" t="s">
        <v>14536</v>
      </c>
      <c r="B7133" s="2" t="s">
        <v>14537</v>
      </c>
      <c r="C7133" s="1" t="s">
        <v>2675</v>
      </c>
      <c r="D7133" s="1" t="s">
        <v>2677</v>
      </c>
    </row>
    <row r="7134">
      <c r="A7134" s="1" t="s">
        <v>2679</v>
      </c>
      <c r="B7134" s="2" t="s">
        <v>7</v>
      </c>
      <c r="C7134" s="1" t="s">
        <v>2681</v>
      </c>
      <c r="D7134" s="1" t="s">
        <v>2682</v>
      </c>
    </row>
    <row r="7135">
      <c r="A7135" s="1" t="s">
        <v>14538</v>
      </c>
      <c r="B7135" s="2" t="s">
        <v>14539</v>
      </c>
      <c r="C7135" s="1" t="s">
        <v>2681</v>
      </c>
      <c r="D7135" s="1" t="s">
        <v>2682</v>
      </c>
    </row>
    <row r="7136">
      <c r="A7136" s="1" t="s">
        <v>14540</v>
      </c>
      <c r="B7136" s="2" t="s">
        <v>14541</v>
      </c>
      <c r="C7136" s="1" t="s">
        <v>2681</v>
      </c>
      <c r="D7136" s="1" t="s">
        <v>2682</v>
      </c>
    </row>
    <row r="7137">
      <c r="A7137" s="1" t="s">
        <v>2685</v>
      </c>
      <c r="B7137" s="2" t="s">
        <v>7</v>
      </c>
      <c r="C7137" s="1" t="s">
        <v>2686</v>
      </c>
      <c r="D7137" s="1" t="s">
        <v>2687</v>
      </c>
    </row>
    <row r="7138">
      <c r="A7138" s="1" t="s">
        <v>14542</v>
      </c>
      <c r="B7138" s="2" t="s">
        <v>14016</v>
      </c>
      <c r="C7138" s="1" t="s">
        <v>2686</v>
      </c>
      <c r="D7138" s="1" t="s">
        <v>2687</v>
      </c>
    </row>
    <row r="7139">
      <c r="A7139" s="1" t="s">
        <v>14543</v>
      </c>
      <c r="B7139" s="2" t="s">
        <v>14544</v>
      </c>
      <c r="C7139" s="1" t="s">
        <v>2686</v>
      </c>
      <c r="D7139" s="1" t="s">
        <v>2687</v>
      </c>
    </row>
    <row r="7140">
      <c r="A7140" s="1" t="s">
        <v>14545</v>
      </c>
      <c r="B7140" s="2" t="s">
        <v>14546</v>
      </c>
      <c r="C7140" s="1" t="s">
        <v>2686</v>
      </c>
      <c r="D7140" s="1" t="s">
        <v>2687</v>
      </c>
    </row>
    <row r="7141">
      <c r="A7141" s="1" t="s">
        <v>14547</v>
      </c>
      <c r="B7141" s="2" t="s">
        <v>14548</v>
      </c>
      <c r="C7141" s="1" t="s">
        <v>2686</v>
      </c>
      <c r="D7141" s="1" t="s">
        <v>2687</v>
      </c>
    </row>
    <row r="7142">
      <c r="A7142" s="1" t="s">
        <v>14549</v>
      </c>
      <c r="B7142" s="2" t="s">
        <v>14550</v>
      </c>
      <c r="C7142" s="1" t="s">
        <v>2686</v>
      </c>
      <c r="D7142" s="1" t="s">
        <v>2687</v>
      </c>
    </row>
    <row r="7143">
      <c r="A7143" s="1" t="s">
        <v>14551</v>
      </c>
      <c r="B7143" s="2" t="s">
        <v>14552</v>
      </c>
      <c r="C7143" s="1" t="s">
        <v>2686</v>
      </c>
      <c r="D7143" s="1" t="s">
        <v>2687</v>
      </c>
    </row>
    <row r="7144">
      <c r="A7144" s="1" t="s">
        <v>14553</v>
      </c>
      <c r="B7144" s="2" t="s">
        <v>14554</v>
      </c>
      <c r="C7144" s="1" t="s">
        <v>2686</v>
      </c>
      <c r="D7144" s="1" t="s">
        <v>2687</v>
      </c>
    </row>
    <row r="7145">
      <c r="A7145" s="1" t="s">
        <v>14555</v>
      </c>
      <c r="B7145" s="2" t="s">
        <v>14026</v>
      </c>
      <c r="C7145" s="1" t="s">
        <v>2686</v>
      </c>
      <c r="D7145" s="1" t="s">
        <v>2687</v>
      </c>
    </row>
    <row r="7146">
      <c r="A7146" s="1" t="s">
        <v>14556</v>
      </c>
      <c r="B7146" s="2" t="s">
        <v>14557</v>
      </c>
      <c r="C7146" s="1" t="s">
        <v>2686</v>
      </c>
      <c r="D7146" s="1" t="s">
        <v>2687</v>
      </c>
    </row>
    <row r="7147">
      <c r="A7147" s="1" t="s">
        <v>14558</v>
      </c>
      <c r="B7147" s="2" t="s">
        <v>14559</v>
      </c>
      <c r="C7147" s="1" t="s">
        <v>2686</v>
      </c>
      <c r="D7147" s="1" t="s">
        <v>2687</v>
      </c>
    </row>
    <row r="7148">
      <c r="A7148" s="1" t="s">
        <v>14560</v>
      </c>
      <c r="B7148" s="2" t="s">
        <v>14561</v>
      </c>
      <c r="C7148" s="1" t="s">
        <v>2686</v>
      </c>
      <c r="D7148" s="1" t="s">
        <v>2687</v>
      </c>
    </row>
    <row r="7149">
      <c r="A7149" s="1" t="s">
        <v>14562</v>
      </c>
      <c r="B7149" s="2" t="s">
        <v>14563</v>
      </c>
      <c r="C7149" s="1" t="s">
        <v>2686</v>
      </c>
      <c r="D7149" s="1" t="s">
        <v>2687</v>
      </c>
    </row>
    <row r="7150">
      <c r="A7150" s="1" t="s">
        <v>14564</v>
      </c>
      <c r="B7150" s="2" t="s">
        <v>14565</v>
      </c>
      <c r="C7150" s="1" t="s">
        <v>2686</v>
      </c>
      <c r="D7150" s="1" t="s">
        <v>2687</v>
      </c>
    </row>
    <row r="7151">
      <c r="A7151" s="1" t="s">
        <v>14566</v>
      </c>
      <c r="B7151" s="2" t="s">
        <v>14567</v>
      </c>
      <c r="C7151" s="1" t="s">
        <v>2686</v>
      </c>
      <c r="D7151" s="1" t="s">
        <v>2687</v>
      </c>
    </row>
    <row r="7152">
      <c r="A7152" s="1" t="s">
        <v>14568</v>
      </c>
      <c r="B7152" s="2" t="s">
        <v>14569</v>
      </c>
      <c r="C7152" s="1" t="s">
        <v>2686</v>
      </c>
      <c r="D7152" s="1" t="s">
        <v>2687</v>
      </c>
    </row>
    <row r="7153">
      <c r="A7153" s="1" t="s">
        <v>2691</v>
      </c>
      <c r="B7153" s="2" t="s">
        <v>7</v>
      </c>
      <c r="C7153" s="1" t="s">
        <v>2692</v>
      </c>
      <c r="D7153" s="1" t="s">
        <v>2694</v>
      </c>
    </row>
    <row r="7154">
      <c r="A7154" s="1" t="s">
        <v>14570</v>
      </c>
      <c r="B7154" s="2" t="s">
        <v>14571</v>
      </c>
      <c r="C7154" s="1" t="s">
        <v>2692</v>
      </c>
      <c r="D7154" s="1" t="s">
        <v>2694</v>
      </c>
    </row>
    <row r="7155">
      <c r="A7155" s="1" t="s">
        <v>14572</v>
      </c>
      <c r="B7155" s="2" t="s">
        <v>14415</v>
      </c>
      <c r="C7155" s="1" t="s">
        <v>2692</v>
      </c>
      <c r="D7155" s="1" t="s">
        <v>2694</v>
      </c>
    </row>
    <row r="7156">
      <c r="A7156" s="1" t="s">
        <v>2697</v>
      </c>
      <c r="B7156" s="2" t="s">
        <v>7</v>
      </c>
      <c r="C7156" s="1" t="s">
        <v>2698</v>
      </c>
      <c r="D7156" s="1" t="s">
        <v>2700</v>
      </c>
    </row>
    <row r="7157">
      <c r="A7157" s="1" t="s">
        <v>14573</v>
      </c>
      <c r="B7157" s="2" t="s">
        <v>13</v>
      </c>
      <c r="C7157" s="1" t="s">
        <v>2698</v>
      </c>
      <c r="D7157" s="1" t="s">
        <v>2700</v>
      </c>
    </row>
    <row r="7158">
      <c r="A7158" s="1" t="s">
        <v>14574</v>
      </c>
      <c r="B7158" s="2" t="s">
        <v>14575</v>
      </c>
      <c r="C7158" s="1" t="s">
        <v>2698</v>
      </c>
      <c r="D7158" s="1" t="s">
        <v>2700</v>
      </c>
    </row>
    <row r="7159">
      <c r="A7159" s="1" t="s">
        <v>14576</v>
      </c>
      <c r="B7159" s="2" t="s">
        <v>14577</v>
      </c>
      <c r="C7159" s="1" t="s">
        <v>2698</v>
      </c>
      <c r="D7159" s="1" t="s">
        <v>2700</v>
      </c>
    </row>
    <row r="7160">
      <c r="A7160" s="1" t="s">
        <v>14578</v>
      </c>
      <c r="B7160" s="2" t="s">
        <v>14579</v>
      </c>
      <c r="C7160" s="1" t="s">
        <v>2698</v>
      </c>
      <c r="D7160" s="1" t="s">
        <v>2700</v>
      </c>
    </row>
    <row r="7161">
      <c r="A7161" s="1" t="s">
        <v>14580</v>
      </c>
      <c r="B7161" s="2" t="s">
        <v>14581</v>
      </c>
      <c r="C7161" s="1" t="s">
        <v>2698</v>
      </c>
      <c r="D7161" s="1" t="s">
        <v>2700</v>
      </c>
    </row>
    <row r="7162">
      <c r="A7162" s="1" t="s">
        <v>14582</v>
      </c>
      <c r="B7162" s="2" t="s">
        <v>14583</v>
      </c>
      <c r="C7162" s="1" t="s">
        <v>2698</v>
      </c>
      <c r="D7162" s="1" t="s">
        <v>2700</v>
      </c>
    </row>
    <row r="7163">
      <c r="A7163" s="1" t="s">
        <v>14584</v>
      </c>
      <c r="B7163" s="2" t="s">
        <v>14585</v>
      </c>
      <c r="C7163" s="1" t="s">
        <v>2698</v>
      </c>
      <c r="D7163" s="1" t="s">
        <v>2700</v>
      </c>
    </row>
    <row r="7164">
      <c r="A7164" s="1" t="s">
        <v>14586</v>
      </c>
      <c r="B7164" s="2" t="s">
        <v>14587</v>
      </c>
      <c r="C7164" s="1" t="s">
        <v>2698</v>
      </c>
      <c r="D7164" s="1" t="s">
        <v>2700</v>
      </c>
    </row>
    <row r="7165">
      <c r="A7165" s="1" t="s">
        <v>14588</v>
      </c>
      <c r="B7165" s="2" t="s">
        <v>14589</v>
      </c>
      <c r="C7165" s="1" t="s">
        <v>2698</v>
      </c>
      <c r="D7165" s="1" t="s">
        <v>2700</v>
      </c>
    </row>
    <row r="7166">
      <c r="A7166" s="1" t="s">
        <v>14590</v>
      </c>
      <c r="B7166" s="2" t="s">
        <v>70</v>
      </c>
      <c r="C7166" s="1" t="s">
        <v>2698</v>
      </c>
      <c r="D7166" s="1" t="s">
        <v>2700</v>
      </c>
    </row>
    <row r="7167">
      <c r="A7167" s="1" t="s">
        <v>14591</v>
      </c>
      <c r="B7167" s="2" t="s">
        <v>14592</v>
      </c>
      <c r="C7167" s="1" t="s">
        <v>2698</v>
      </c>
      <c r="D7167" s="1" t="s">
        <v>2700</v>
      </c>
    </row>
    <row r="7168">
      <c r="A7168" s="1" t="s">
        <v>14593</v>
      </c>
      <c r="B7168" s="2" t="s">
        <v>14594</v>
      </c>
      <c r="C7168" s="1" t="s">
        <v>2698</v>
      </c>
      <c r="D7168" s="1" t="s">
        <v>2700</v>
      </c>
    </row>
    <row r="7169">
      <c r="A7169" s="1" t="s">
        <v>14595</v>
      </c>
      <c r="B7169" s="2" t="s">
        <v>14596</v>
      </c>
      <c r="C7169" s="1" t="s">
        <v>2698</v>
      </c>
      <c r="D7169" s="1" t="s">
        <v>2700</v>
      </c>
    </row>
    <row r="7170">
      <c r="A7170" s="1" t="s">
        <v>14597</v>
      </c>
      <c r="B7170" s="2" t="s">
        <v>14598</v>
      </c>
      <c r="C7170" s="1" t="s">
        <v>2698</v>
      </c>
      <c r="D7170" s="1" t="s">
        <v>2700</v>
      </c>
    </row>
    <row r="7171">
      <c r="A7171" s="1" t="s">
        <v>14599</v>
      </c>
      <c r="B7171" s="2" t="s">
        <v>14600</v>
      </c>
      <c r="C7171" s="1" t="s">
        <v>2698</v>
      </c>
      <c r="D7171" s="1" t="s">
        <v>2700</v>
      </c>
    </row>
    <row r="7172">
      <c r="A7172" s="1" t="s">
        <v>14601</v>
      </c>
      <c r="B7172" s="2" t="s">
        <v>14602</v>
      </c>
      <c r="C7172" s="1" t="s">
        <v>2698</v>
      </c>
      <c r="D7172" s="1" t="s">
        <v>2700</v>
      </c>
    </row>
    <row r="7173">
      <c r="A7173" s="1" t="s">
        <v>14603</v>
      </c>
      <c r="B7173" s="2" t="s">
        <v>14604</v>
      </c>
      <c r="C7173" s="1" t="s">
        <v>2698</v>
      </c>
      <c r="D7173" s="1" t="s">
        <v>2700</v>
      </c>
    </row>
    <row r="7174">
      <c r="A7174" s="1" t="s">
        <v>14605</v>
      </c>
      <c r="B7174" s="2" t="s">
        <v>14606</v>
      </c>
      <c r="C7174" s="1" t="s">
        <v>2698</v>
      </c>
      <c r="D7174" s="1" t="s">
        <v>2700</v>
      </c>
    </row>
    <row r="7175">
      <c r="A7175" s="1" t="s">
        <v>2708</v>
      </c>
      <c r="B7175" s="2" t="s">
        <v>7</v>
      </c>
      <c r="C7175" s="1" t="s">
        <v>2709</v>
      </c>
      <c r="D7175" s="1" t="s">
        <v>2711</v>
      </c>
    </row>
    <row r="7176">
      <c r="A7176" s="1" t="s">
        <v>14607</v>
      </c>
      <c r="B7176" s="2" t="s">
        <v>13</v>
      </c>
      <c r="C7176" s="1" t="s">
        <v>2709</v>
      </c>
      <c r="D7176" s="1" t="s">
        <v>2711</v>
      </c>
    </row>
    <row r="7177">
      <c r="A7177" s="1" t="s">
        <v>14608</v>
      </c>
      <c r="B7177" s="2" t="s">
        <v>14575</v>
      </c>
      <c r="C7177" s="1" t="s">
        <v>2709</v>
      </c>
      <c r="D7177" s="1" t="s">
        <v>2711</v>
      </c>
    </row>
    <row r="7178">
      <c r="A7178" s="1" t="s">
        <v>14609</v>
      </c>
      <c r="B7178" s="2" t="s">
        <v>14610</v>
      </c>
      <c r="C7178" s="1" t="s">
        <v>2709</v>
      </c>
      <c r="D7178" s="1" t="s">
        <v>2711</v>
      </c>
    </row>
    <row r="7179">
      <c r="A7179" s="1" t="s">
        <v>14611</v>
      </c>
      <c r="B7179" s="2" t="s">
        <v>14612</v>
      </c>
      <c r="C7179" s="1" t="s">
        <v>2709</v>
      </c>
      <c r="D7179" s="1" t="s">
        <v>2711</v>
      </c>
    </row>
    <row r="7180">
      <c r="A7180" s="1" t="s">
        <v>14613</v>
      </c>
      <c r="B7180" s="2" t="s">
        <v>14587</v>
      </c>
      <c r="C7180" s="1" t="s">
        <v>2709</v>
      </c>
      <c r="D7180" s="1" t="s">
        <v>2711</v>
      </c>
    </row>
    <row r="7181">
      <c r="A7181" s="1" t="s">
        <v>14614</v>
      </c>
      <c r="B7181" s="2" t="s">
        <v>14589</v>
      </c>
      <c r="C7181" s="1" t="s">
        <v>2709</v>
      </c>
      <c r="D7181" s="1" t="s">
        <v>2711</v>
      </c>
    </row>
    <row r="7182">
      <c r="A7182" s="1" t="s">
        <v>14615</v>
      </c>
      <c r="B7182" s="2" t="s">
        <v>70</v>
      </c>
      <c r="C7182" s="1" t="s">
        <v>2709</v>
      </c>
      <c r="D7182" s="1" t="s">
        <v>2711</v>
      </c>
    </row>
    <row r="7183">
      <c r="A7183" s="1" t="s">
        <v>14616</v>
      </c>
      <c r="B7183" s="2" t="s">
        <v>14592</v>
      </c>
      <c r="C7183" s="1" t="s">
        <v>2709</v>
      </c>
      <c r="D7183" s="1" t="s">
        <v>2711</v>
      </c>
    </row>
    <row r="7184">
      <c r="A7184" s="1" t="s">
        <v>14617</v>
      </c>
      <c r="B7184" s="2" t="s">
        <v>14618</v>
      </c>
      <c r="C7184" s="1" t="s">
        <v>2709</v>
      </c>
      <c r="D7184" s="1" t="s">
        <v>2711</v>
      </c>
    </row>
    <row r="7185">
      <c r="A7185" s="1" t="s">
        <v>14619</v>
      </c>
      <c r="B7185" s="2" t="s">
        <v>14620</v>
      </c>
      <c r="C7185" s="1" t="s">
        <v>2709</v>
      </c>
      <c r="D7185" s="1" t="s">
        <v>2711</v>
      </c>
    </row>
    <row r="7186">
      <c r="A7186" s="1" t="s">
        <v>14621</v>
      </c>
      <c r="B7186" s="2" t="s">
        <v>14604</v>
      </c>
      <c r="C7186" s="1" t="s">
        <v>2709</v>
      </c>
      <c r="D7186" s="1" t="s">
        <v>2711</v>
      </c>
    </row>
    <row r="7187">
      <c r="A7187" s="1" t="s">
        <v>14622</v>
      </c>
      <c r="B7187" s="2" t="s">
        <v>14606</v>
      </c>
      <c r="C7187" s="1" t="s">
        <v>2709</v>
      </c>
      <c r="D7187" s="1" t="s">
        <v>2711</v>
      </c>
    </row>
    <row r="7188">
      <c r="A7188" s="1" t="s">
        <v>2713</v>
      </c>
      <c r="B7188" s="2" t="s">
        <v>7</v>
      </c>
      <c r="C7188" s="1" t="s">
        <v>2715</v>
      </c>
      <c r="D7188" s="1" t="s">
        <v>2716</v>
      </c>
    </row>
    <row r="7189">
      <c r="A7189" s="1" t="s">
        <v>14623</v>
      </c>
      <c r="B7189" s="2" t="s">
        <v>13</v>
      </c>
      <c r="C7189" s="1" t="s">
        <v>2715</v>
      </c>
      <c r="D7189" s="1" t="s">
        <v>2716</v>
      </c>
    </row>
    <row r="7190">
      <c r="A7190" s="1" t="s">
        <v>14624</v>
      </c>
      <c r="B7190" s="2" t="s">
        <v>14575</v>
      </c>
      <c r="C7190" s="1" t="s">
        <v>2715</v>
      </c>
      <c r="D7190" s="1" t="s">
        <v>2716</v>
      </c>
    </row>
    <row r="7191">
      <c r="A7191" s="1" t="s">
        <v>14625</v>
      </c>
      <c r="B7191" s="2" t="s">
        <v>14610</v>
      </c>
      <c r="C7191" s="1" t="s">
        <v>2715</v>
      </c>
      <c r="D7191" s="1" t="s">
        <v>2716</v>
      </c>
    </row>
    <row r="7192">
      <c r="A7192" s="1" t="s">
        <v>14626</v>
      </c>
      <c r="B7192" s="2" t="s">
        <v>14612</v>
      </c>
      <c r="C7192" s="1" t="s">
        <v>2715</v>
      </c>
      <c r="D7192" s="1" t="s">
        <v>2716</v>
      </c>
    </row>
    <row r="7193">
      <c r="A7193" s="1" t="s">
        <v>14627</v>
      </c>
      <c r="B7193" s="2" t="s">
        <v>14587</v>
      </c>
      <c r="C7193" s="1" t="s">
        <v>2715</v>
      </c>
      <c r="D7193" s="1" t="s">
        <v>2716</v>
      </c>
    </row>
    <row r="7194">
      <c r="A7194" s="1" t="s">
        <v>14628</v>
      </c>
      <c r="B7194" s="2" t="s">
        <v>14589</v>
      </c>
      <c r="C7194" s="1" t="s">
        <v>2715</v>
      </c>
      <c r="D7194" s="1" t="s">
        <v>2716</v>
      </c>
    </row>
    <row r="7195">
      <c r="A7195" s="1" t="s">
        <v>14629</v>
      </c>
      <c r="B7195" s="2" t="s">
        <v>70</v>
      </c>
      <c r="C7195" s="1" t="s">
        <v>2715</v>
      </c>
      <c r="D7195" s="1" t="s">
        <v>2716</v>
      </c>
    </row>
    <row r="7196">
      <c r="A7196" s="1" t="s">
        <v>14630</v>
      </c>
      <c r="B7196" s="2" t="s">
        <v>14592</v>
      </c>
      <c r="C7196" s="1" t="s">
        <v>2715</v>
      </c>
      <c r="D7196" s="1" t="s">
        <v>2716</v>
      </c>
    </row>
    <row r="7197">
      <c r="A7197" s="1" t="s">
        <v>14631</v>
      </c>
      <c r="B7197" s="2" t="s">
        <v>14618</v>
      </c>
      <c r="C7197" s="1" t="s">
        <v>2715</v>
      </c>
      <c r="D7197" s="1" t="s">
        <v>2716</v>
      </c>
    </row>
    <row r="7198">
      <c r="A7198" s="1" t="s">
        <v>14632</v>
      </c>
      <c r="B7198" s="2" t="s">
        <v>14620</v>
      </c>
      <c r="C7198" s="1" t="s">
        <v>2715</v>
      </c>
      <c r="D7198" s="1" t="s">
        <v>2716</v>
      </c>
    </row>
    <row r="7199">
      <c r="A7199" s="1" t="s">
        <v>14633</v>
      </c>
      <c r="B7199" s="2" t="s">
        <v>14604</v>
      </c>
      <c r="C7199" s="1" t="s">
        <v>2715</v>
      </c>
      <c r="D7199" s="1" t="s">
        <v>2716</v>
      </c>
    </row>
    <row r="7200">
      <c r="A7200" s="1" t="s">
        <v>14634</v>
      </c>
      <c r="B7200" s="2" t="s">
        <v>14606</v>
      </c>
      <c r="C7200" s="1" t="s">
        <v>2715</v>
      </c>
      <c r="D7200" s="1" t="s">
        <v>2716</v>
      </c>
    </row>
    <row r="7201">
      <c r="A7201" s="1" t="s">
        <v>2719</v>
      </c>
      <c r="B7201" s="2" t="s">
        <v>7</v>
      </c>
      <c r="C7201" s="1" t="s">
        <v>2720</v>
      </c>
      <c r="D7201" s="1" t="s">
        <v>2721</v>
      </c>
    </row>
    <row r="7202">
      <c r="A7202" s="1" t="s">
        <v>14635</v>
      </c>
      <c r="B7202" s="2" t="s">
        <v>13</v>
      </c>
      <c r="C7202" s="1" t="s">
        <v>2720</v>
      </c>
      <c r="D7202" s="1" t="s">
        <v>2721</v>
      </c>
    </row>
    <row r="7203">
      <c r="A7203" s="1" t="s">
        <v>14636</v>
      </c>
      <c r="B7203" s="2" t="s">
        <v>14575</v>
      </c>
      <c r="C7203" s="1" t="s">
        <v>2720</v>
      </c>
      <c r="D7203" s="1" t="s">
        <v>2721</v>
      </c>
    </row>
    <row r="7204">
      <c r="A7204" s="1" t="s">
        <v>14637</v>
      </c>
      <c r="B7204" s="2" t="s">
        <v>14610</v>
      </c>
      <c r="C7204" s="1" t="s">
        <v>2720</v>
      </c>
      <c r="D7204" s="1" t="s">
        <v>2721</v>
      </c>
    </row>
    <row r="7205">
      <c r="A7205" s="1" t="s">
        <v>14638</v>
      </c>
      <c r="B7205" s="2" t="s">
        <v>14612</v>
      </c>
      <c r="C7205" s="1" t="s">
        <v>2720</v>
      </c>
      <c r="D7205" s="1" t="s">
        <v>2721</v>
      </c>
    </row>
    <row r="7206">
      <c r="A7206" s="1" t="s">
        <v>14639</v>
      </c>
      <c r="B7206" s="2" t="s">
        <v>14587</v>
      </c>
      <c r="C7206" s="1" t="s">
        <v>2720</v>
      </c>
      <c r="D7206" s="1" t="s">
        <v>2721</v>
      </c>
    </row>
    <row r="7207">
      <c r="A7207" s="1" t="s">
        <v>14640</v>
      </c>
      <c r="B7207" s="2" t="s">
        <v>14589</v>
      </c>
      <c r="C7207" s="1" t="s">
        <v>2720</v>
      </c>
      <c r="D7207" s="1" t="s">
        <v>2721</v>
      </c>
    </row>
    <row r="7208">
      <c r="A7208" s="1" t="s">
        <v>14641</v>
      </c>
      <c r="B7208" s="2" t="s">
        <v>70</v>
      </c>
      <c r="C7208" s="1" t="s">
        <v>2720</v>
      </c>
      <c r="D7208" s="1" t="s">
        <v>2721</v>
      </c>
    </row>
    <row r="7209">
      <c r="A7209" s="1" t="s">
        <v>14642</v>
      </c>
      <c r="B7209" s="2" t="s">
        <v>14592</v>
      </c>
      <c r="C7209" s="1" t="s">
        <v>2720</v>
      </c>
      <c r="D7209" s="1" t="s">
        <v>2721</v>
      </c>
    </row>
    <row r="7210">
      <c r="A7210" s="1" t="s">
        <v>14643</v>
      </c>
      <c r="B7210" s="2" t="s">
        <v>14618</v>
      </c>
      <c r="C7210" s="1" t="s">
        <v>2720</v>
      </c>
      <c r="D7210" s="1" t="s">
        <v>2721</v>
      </c>
    </row>
    <row r="7211">
      <c r="A7211" s="1" t="s">
        <v>14644</v>
      </c>
      <c r="B7211" s="2" t="s">
        <v>14620</v>
      </c>
      <c r="C7211" s="1" t="s">
        <v>2720</v>
      </c>
      <c r="D7211" s="1" t="s">
        <v>2721</v>
      </c>
    </row>
    <row r="7212">
      <c r="A7212" s="1" t="s">
        <v>14645</v>
      </c>
      <c r="B7212" s="2" t="s">
        <v>14604</v>
      </c>
      <c r="C7212" s="1" t="s">
        <v>2720</v>
      </c>
      <c r="D7212" s="1" t="s">
        <v>2721</v>
      </c>
    </row>
    <row r="7213">
      <c r="A7213" s="1" t="s">
        <v>14646</v>
      </c>
      <c r="B7213" s="2" t="s">
        <v>14606</v>
      </c>
      <c r="C7213" s="1" t="s">
        <v>2720</v>
      </c>
      <c r="D7213" s="1" t="s">
        <v>2721</v>
      </c>
    </row>
    <row r="7214">
      <c r="A7214" s="1" t="s">
        <v>2724</v>
      </c>
      <c r="B7214" s="2" t="s">
        <v>7</v>
      </c>
      <c r="C7214" s="1" t="s">
        <v>2725</v>
      </c>
      <c r="D7214" s="1" t="s">
        <v>2727</v>
      </c>
    </row>
    <row r="7215">
      <c r="A7215" s="1" t="s">
        <v>14647</v>
      </c>
      <c r="B7215" s="2" t="s">
        <v>13</v>
      </c>
      <c r="C7215" s="1" t="s">
        <v>2725</v>
      </c>
      <c r="D7215" s="1" t="s">
        <v>2727</v>
      </c>
    </row>
    <row r="7216">
      <c r="A7216" s="1" t="s">
        <v>14648</v>
      </c>
      <c r="B7216" s="2" t="s">
        <v>14575</v>
      </c>
      <c r="C7216" s="1" t="s">
        <v>2725</v>
      </c>
      <c r="D7216" s="1" t="s">
        <v>2727</v>
      </c>
    </row>
    <row r="7217">
      <c r="A7217" s="1" t="s">
        <v>14649</v>
      </c>
      <c r="B7217" s="2" t="s">
        <v>14610</v>
      </c>
      <c r="C7217" s="1" t="s">
        <v>2725</v>
      </c>
      <c r="D7217" s="1" t="s">
        <v>2727</v>
      </c>
    </row>
    <row r="7218">
      <c r="A7218" s="1" t="s">
        <v>14650</v>
      </c>
      <c r="B7218" s="2" t="s">
        <v>14612</v>
      </c>
      <c r="C7218" s="1" t="s">
        <v>2725</v>
      </c>
      <c r="D7218" s="1" t="s">
        <v>2727</v>
      </c>
    </row>
    <row r="7219">
      <c r="A7219" s="1" t="s">
        <v>14651</v>
      </c>
      <c r="B7219" s="2" t="s">
        <v>14587</v>
      </c>
      <c r="C7219" s="1" t="s">
        <v>2725</v>
      </c>
      <c r="D7219" s="1" t="s">
        <v>2727</v>
      </c>
    </row>
    <row r="7220">
      <c r="A7220" s="1" t="s">
        <v>14652</v>
      </c>
      <c r="B7220" s="2" t="s">
        <v>14589</v>
      </c>
      <c r="C7220" s="1" t="s">
        <v>2725</v>
      </c>
      <c r="D7220" s="1" t="s">
        <v>2727</v>
      </c>
    </row>
    <row r="7221">
      <c r="A7221" s="1" t="s">
        <v>14653</v>
      </c>
      <c r="B7221" s="2" t="s">
        <v>70</v>
      </c>
      <c r="C7221" s="1" t="s">
        <v>2725</v>
      </c>
      <c r="D7221" s="1" t="s">
        <v>2727</v>
      </c>
    </row>
    <row r="7222">
      <c r="A7222" s="1" t="s">
        <v>14654</v>
      </c>
      <c r="B7222" s="2" t="s">
        <v>14592</v>
      </c>
      <c r="C7222" s="1" t="s">
        <v>2725</v>
      </c>
      <c r="D7222" s="1" t="s">
        <v>2727</v>
      </c>
    </row>
    <row r="7223">
      <c r="A7223" s="1" t="s">
        <v>14655</v>
      </c>
      <c r="B7223" s="2" t="s">
        <v>14618</v>
      </c>
      <c r="C7223" s="1" t="s">
        <v>2725</v>
      </c>
      <c r="D7223" s="1" t="s">
        <v>2727</v>
      </c>
    </row>
    <row r="7224">
      <c r="A7224" s="1" t="s">
        <v>14656</v>
      </c>
      <c r="B7224" s="2" t="s">
        <v>14620</v>
      </c>
      <c r="C7224" s="1" t="s">
        <v>2725</v>
      </c>
      <c r="D7224" s="1" t="s">
        <v>2727</v>
      </c>
    </row>
    <row r="7225">
      <c r="A7225" s="1" t="s">
        <v>14657</v>
      </c>
      <c r="B7225" s="2" t="s">
        <v>14604</v>
      </c>
      <c r="C7225" s="1" t="s">
        <v>2725</v>
      </c>
      <c r="D7225" s="1" t="s">
        <v>2727</v>
      </c>
    </row>
    <row r="7226">
      <c r="A7226" s="1" t="s">
        <v>14658</v>
      </c>
      <c r="B7226" s="2" t="s">
        <v>14606</v>
      </c>
      <c r="C7226" s="1" t="s">
        <v>2725</v>
      </c>
      <c r="D7226" s="1" t="s">
        <v>2727</v>
      </c>
    </row>
    <row r="7227">
      <c r="A7227" s="1" t="s">
        <v>2731</v>
      </c>
      <c r="B7227" s="2" t="s">
        <v>7</v>
      </c>
      <c r="C7227" s="1" t="s">
        <v>2732</v>
      </c>
      <c r="D7227" s="1" t="s">
        <v>2733</v>
      </c>
    </row>
    <row r="7228">
      <c r="A7228" s="1" t="s">
        <v>14659</v>
      </c>
      <c r="B7228" s="2" t="s">
        <v>13</v>
      </c>
      <c r="C7228" s="1" t="s">
        <v>2732</v>
      </c>
      <c r="D7228" s="1" t="s">
        <v>2733</v>
      </c>
    </row>
    <row r="7229">
      <c r="A7229" s="1" t="s">
        <v>14660</v>
      </c>
      <c r="B7229" s="2" t="s">
        <v>14575</v>
      </c>
      <c r="C7229" s="1" t="s">
        <v>2732</v>
      </c>
      <c r="D7229" s="1" t="s">
        <v>2733</v>
      </c>
    </row>
    <row r="7230">
      <c r="A7230" s="1" t="s">
        <v>14661</v>
      </c>
      <c r="B7230" s="2" t="s">
        <v>14610</v>
      </c>
      <c r="C7230" s="1" t="s">
        <v>2732</v>
      </c>
      <c r="D7230" s="1" t="s">
        <v>2733</v>
      </c>
    </row>
    <row r="7231">
      <c r="A7231" s="1" t="s">
        <v>14662</v>
      </c>
      <c r="B7231" s="2" t="s">
        <v>14612</v>
      </c>
      <c r="C7231" s="1" t="s">
        <v>2732</v>
      </c>
      <c r="D7231" s="1" t="s">
        <v>2733</v>
      </c>
    </row>
    <row r="7232">
      <c r="A7232" s="1" t="s">
        <v>14663</v>
      </c>
      <c r="B7232" s="2" t="s">
        <v>14587</v>
      </c>
      <c r="C7232" s="1" t="s">
        <v>2732</v>
      </c>
      <c r="D7232" s="1" t="s">
        <v>2733</v>
      </c>
    </row>
    <row r="7233">
      <c r="A7233" s="1" t="s">
        <v>14664</v>
      </c>
      <c r="B7233" s="2" t="s">
        <v>14589</v>
      </c>
      <c r="C7233" s="1" t="s">
        <v>2732</v>
      </c>
      <c r="D7233" s="1" t="s">
        <v>2733</v>
      </c>
    </row>
    <row r="7234">
      <c r="A7234" s="1" t="s">
        <v>14665</v>
      </c>
      <c r="B7234" s="2" t="s">
        <v>70</v>
      </c>
      <c r="C7234" s="1" t="s">
        <v>2732</v>
      </c>
      <c r="D7234" s="1" t="s">
        <v>2733</v>
      </c>
    </row>
    <row r="7235">
      <c r="A7235" s="1" t="s">
        <v>14666</v>
      </c>
      <c r="B7235" s="2" t="s">
        <v>14592</v>
      </c>
      <c r="C7235" s="1" t="s">
        <v>2732</v>
      </c>
      <c r="D7235" s="1" t="s">
        <v>2733</v>
      </c>
    </row>
    <row r="7236">
      <c r="A7236" s="1" t="s">
        <v>14667</v>
      </c>
      <c r="B7236" s="2" t="s">
        <v>14618</v>
      </c>
      <c r="C7236" s="1" t="s">
        <v>2732</v>
      </c>
      <c r="D7236" s="1" t="s">
        <v>2733</v>
      </c>
    </row>
    <row r="7237">
      <c r="A7237" s="1" t="s">
        <v>14668</v>
      </c>
      <c r="B7237" s="2" t="s">
        <v>14620</v>
      </c>
      <c r="C7237" s="1" t="s">
        <v>2732</v>
      </c>
      <c r="D7237" s="1" t="s">
        <v>2733</v>
      </c>
    </row>
    <row r="7238">
      <c r="A7238" s="1" t="s">
        <v>14669</v>
      </c>
      <c r="B7238" s="2" t="s">
        <v>14604</v>
      </c>
      <c r="C7238" s="1" t="s">
        <v>2732</v>
      </c>
      <c r="D7238" s="1" t="s">
        <v>2733</v>
      </c>
    </row>
    <row r="7239">
      <c r="A7239" s="1" t="s">
        <v>14670</v>
      </c>
      <c r="B7239" s="2" t="s">
        <v>14606</v>
      </c>
      <c r="C7239" s="1" t="s">
        <v>2732</v>
      </c>
      <c r="D7239" s="1" t="s">
        <v>2733</v>
      </c>
    </row>
    <row r="7240">
      <c r="A7240" s="1" t="s">
        <v>2736</v>
      </c>
      <c r="B7240" s="2" t="s">
        <v>7</v>
      </c>
      <c r="C7240" s="1" t="s">
        <v>2737</v>
      </c>
      <c r="D7240" s="1" t="s">
        <v>2739</v>
      </c>
    </row>
    <row r="7241">
      <c r="A7241" s="1" t="s">
        <v>14671</v>
      </c>
      <c r="B7241" s="2" t="s">
        <v>13</v>
      </c>
      <c r="C7241" s="1" t="s">
        <v>2737</v>
      </c>
      <c r="D7241" s="1" t="s">
        <v>2739</v>
      </c>
    </row>
    <row r="7242">
      <c r="A7242" s="1" t="s">
        <v>14672</v>
      </c>
      <c r="B7242" s="2" t="s">
        <v>14575</v>
      </c>
      <c r="C7242" s="1" t="s">
        <v>2737</v>
      </c>
      <c r="D7242" s="1" t="s">
        <v>2739</v>
      </c>
    </row>
    <row r="7243">
      <c r="A7243" s="1" t="s">
        <v>14673</v>
      </c>
      <c r="B7243" s="2" t="s">
        <v>14610</v>
      </c>
      <c r="C7243" s="1" t="s">
        <v>2737</v>
      </c>
      <c r="D7243" s="1" t="s">
        <v>2739</v>
      </c>
    </row>
    <row r="7244">
      <c r="A7244" s="1" t="s">
        <v>14674</v>
      </c>
      <c r="B7244" s="2" t="s">
        <v>14612</v>
      </c>
      <c r="C7244" s="1" t="s">
        <v>2737</v>
      </c>
      <c r="D7244" s="1" t="s">
        <v>2739</v>
      </c>
    </row>
    <row r="7245">
      <c r="A7245" s="1" t="s">
        <v>14675</v>
      </c>
      <c r="B7245" s="2" t="s">
        <v>14587</v>
      </c>
      <c r="C7245" s="1" t="s">
        <v>2737</v>
      </c>
      <c r="D7245" s="1" t="s">
        <v>2739</v>
      </c>
    </row>
    <row r="7246">
      <c r="A7246" s="1" t="s">
        <v>14676</v>
      </c>
      <c r="B7246" s="2" t="s">
        <v>14589</v>
      </c>
      <c r="C7246" s="1" t="s">
        <v>2737</v>
      </c>
      <c r="D7246" s="1" t="s">
        <v>2739</v>
      </c>
    </row>
    <row r="7247">
      <c r="A7247" s="1" t="s">
        <v>14677</v>
      </c>
      <c r="B7247" s="2" t="s">
        <v>70</v>
      </c>
      <c r="C7247" s="1" t="s">
        <v>2737</v>
      </c>
      <c r="D7247" s="1" t="s">
        <v>2739</v>
      </c>
    </row>
    <row r="7248">
      <c r="A7248" s="1" t="s">
        <v>14678</v>
      </c>
      <c r="B7248" s="2" t="s">
        <v>14592</v>
      </c>
      <c r="C7248" s="1" t="s">
        <v>2737</v>
      </c>
      <c r="D7248" s="1" t="s">
        <v>2739</v>
      </c>
    </row>
    <row r="7249">
      <c r="A7249" s="1" t="s">
        <v>14679</v>
      </c>
      <c r="B7249" s="2" t="s">
        <v>14618</v>
      </c>
      <c r="C7249" s="1" t="s">
        <v>2737</v>
      </c>
      <c r="D7249" s="1" t="s">
        <v>2739</v>
      </c>
    </row>
    <row r="7250">
      <c r="A7250" s="1" t="s">
        <v>14680</v>
      </c>
      <c r="B7250" s="2" t="s">
        <v>14620</v>
      </c>
      <c r="C7250" s="1" t="s">
        <v>2737</v>
      </c>
      <c r="D7250" s="1" t="s">
        <v>2739</v>
      </c>
    </row>
    <row r="7251">
      <c r="A7251" s="1" t="s">
        <v>14681</v>
      </c>
      <c r="B7251" s="2" t="s">
        <v>14604</v>
      </c>
      <c r="C7251" s="1" t="s">
        <v>2737</v>
      </c>
      <c r="D7251" s="1" t="s">
        <v>2739</v>
      </c>
    </row>
    <row r="7252">
      <c r="A7252" s="1" t="s">
        <v>14682</v>
      </c>
      <c r="B7252" s="2" t="s">
        <v>14606</v>
      </c>
      <c r="C7252" s="1" t="s">
        <v>2737</v>
      </c>
      <c r="D7252" s="1" t="s">
        <v>2739</v>
      </c>
    </row>
    <row r="7253">
      <c r="A7253" s="1" t="s">
        <v>2741</v>
      </c>
      <c r="B7253" s="2" t="s">
        <v>7</v>
      </c>
      <c r="C7253" s="1" t="s">
        <v>2742</v>
      </c>
      <c r="D7253" s="1" t="s">
        <v>2744</v>
      </c>
    </row>
    <row r="7254">
      <c r="A7254" s="1" t="s">
        <v>14683</v>
      </c>
      <c r="B7254" s="2" t="s">
        <v>13</v>
      </c>
      <c r="C7254" s="1" t="s">
        <v>2742</v>
      </c>
      <c r="D7254" s="1" t="s">
        <v>2744</v>
      </c>
    </row>
    <row r="7255">
      <c r="A7255" s="1" t="s">
        <v>14684</v>
      </c>
      <c r="B7255" s="2" t="s">
        <v>14575</v>
      </c>
      <c r="C7255" s="1" t="s">
        <v>2742</v>
      </c>
      <c r="D7255" s="1" t="s">
        <v>2744</v>
      </c>
    </row>
    <row r="7256">
      <c r="A7256" s="1" t="s">
        <v>14685</v>
      </c>
      <c r="B7256" s="2" t="s">
        <v>14610</v>
      </c>
      <c r="C7256" s="1" t="s">
        <v>2742</v>
      </c>
      <c r="D7256" s="1" t="s">
        <v>2744</v>
      </c>
    </row>
    <row r="7257">
      <c r="A7257" s="1" t="s">
        <v>14686</v>
      </c>
      <c r="B7257" s="2" t="s">
        <v>14612</v>
      </c>
      <c r="C7257" s="1" t="s">
        <v>2742</v>
      </c>
      <c r="D7257" s="1" t="s">
        <v>2744</v>
      </c>
    </row>
    <row r="7258">
      <c r="A7258" s="1" t="s">
        <v>14687</v>
      </c>
      <c r="B7258" s="2" t="s">
        <v>14587</v>
      </c>
      <c r="C7258" s="1" t="s">
        <v>2742</v>
      </c>
      <c r="D7258" s="1" t="s">
        <v>2744</v>
      </c>
    </row>
    <row r="7259">
      <c r="A7259" s="1" t="s">
        <v>14688</v>
      </c>
      <c r="B7259" s="2" t="s">
        <v>14589</v>
      </c>
      <c r="C7259" s="1" t="s">
        <v>2742</v>
      </c>
      <c r="D7259" s="1" t="s">
        <v>2744</v>
      </c>
    </row>
    <row r="7260">
      <c r="A7260" s="1" t="s">
        <v>14689</v>
      </c>
      <c r="B7260" s="2" t="s">
        <v>70</v>
      </c>
      <c r="C7260" s="1" t="s">
        <v>2742</v>
      </c>
      <c r="D7260" s="1" t="s">
        <v>2744</v>
      </c>
    </row>
    <row r="7261">
      <c r="A7261" s="1" t="s">
        <v>14690</v>
      </c>
      <c r="B7261" s="2" t="s">
        <v>14592</v>
      </c>
      <c r="C7261" s="1" t="s">
        <v>2742</v>
      </c>
      <c r="D7261" s="1" t="s">
        <v>2744</v>
      </c>
    </row>
    <row r="7262">
      <c r="A7262" s="1" t="s">
        <v>14691</v>
      </c>
      <c r="B7262" s="2" t="s">
        <v>14618</v>
      </c>
      <c r="C7262" s="1" t="s">
        <v>2742</v>
      </c>
      <c r="D7262" s="1" t="s">
        <v>2744</v>
      </c>
    </row>
    <row r="7263">
      <c r="A7263" s="1" t="s">
        <v>14692</v>
      </c>
      <c r="B7263" s="2" t="s">
        <v>14620</v>
      </c>
      <c r="C7263" s="1" t="s">
        <v>2742</v>
      </c>
      <c r="D7263" s="1" t="s">
        <v>2744</v>
      </c>
    </row>
    <row r="7264">
      <c r="A7264" s="1" t="s">
        <v>14693</v>
      </c>
      <c r="B7264" s="2" t="s">
        <v>14604</v>
      </c>
      <c r="C7264" s="1" t="s">
        <v>2742</v>
      </c>
      <c r="D7264" s="1" t="s">
        <v>2744</v>
      </c>
    </row>
    <row r="7265">
      <c r="A7265" s="1" t="s">
        <v>14694</v>
      </c>
      <c r="B7265" s="2" t="s">
        <v>14606</v>
      </c>
      <c r="C7265" s="1" t="s">
        <v>2742</v>
      </c>
      <c r="D7265" s="1" t="s">
        <v>2744</v>
      </c>
    </row>
    <row r="7266">
      <c r="A7266" s="1" t="s">
        <v>2746</v>
      </c>
      <c r="B7266" s="2" t="s">
        <v>7</v>
      </c>
      <c r="C7266" s="1" t="s">
        <v>2747</v>
      </c>
      <c r="D7266" s="1" t="s">
        <v>2749</v>
      </c>
    </row>
    <row r="7267">
      <c r="A7267" s="1" t="s">
        <v>14695</v>
      </c>
      <c r="B7267" s="2" t="s">
        <v>13</v>
      </c>
      <c r="C7267" s="1" t="s">
        <v>2747</v>
      </c>
      <c r="D7267" s="1" t="s">
        <v>2749</v>
      </c>
    </row>
    <row r="7268">
      <c r="A7268" s="1" t="s">
        <v>14696</v>
      </c>
      <c r="B7268" s="2" t="s">
        <v>14575</v>
      </c>
      <c r="C7268" s="1" t="s">
        <v>2747</v>
      </c>
      <c r="D7268" s="1" t="s">
        <v>2749</v>
      </c>
    </row>
    <row r="7269">
      <c r="A7269" s="1" t="s">
        <v>14697</v>
      </c>
      <c r="B7269" s="2" t="s">
        <v>14610</v>
      </c>
      <c r="C7269" s="1" t="s">
        <v>2747</v>
      </c>
      <c r="D7269" s="1" t="s">
        <v>2749</v>
      </c>
    </row>
    <row r="7270">
      <c r="A7270" s="1" t="s">
        <v>14698</v>
      </c>
      <c r="B7270" s="2" t="s">
        <v>14612</v>
      </c>
      <c r="C7270" s="1" t="s">
        <v>2747</v>
      </c>
      <c r="D7270" s="1" t="s">
        <v>2749</v>
      </c>
    </row>
    <row r="7271">
      <c r="A7271" s="1" t="s">
        <v>14699</v>
      </c>
      <c r="B7271" s="2" t="s">
        <v>14587</v>
      </c>
      <c r="C7271" s="1" t="s">
        <v>2747</v>
      </c>
      <c r="D7271" s="1" t="s">
        <v>2749</v>
      </c>
    </row>
    <row r="7272">
      <c r="A7272" s="1" t="s">
        <v>14700</v>
      </c>
      <c r="B7272" s="2" t="s">
        <v>14589</v>
      </c>
      <c r="C7272" s="1" t="s">
        <v>2747</v>
      </c>
      <c r="D7272" s="1" t="s">
        <v>2749</v>
      </c>
    </row>
    <row r="7273">
      <c r="A7273" s="1" t="s">
        <v>14701</v>
      </c>
      <c r="B7273" s="2" t="s">
        <v>70</v>
      </c>
      <c r="C7273" s="1" t="s">
        <v>2747</v>
      </c>
      <c r="D7273" s="1" t="s">
        <v>2749</v>
      </c>
    </row>
    <row r="7274">
      <c r="A7274" s="1" t="s">
        <v>14702</v>
      </c>
      <c r="B7274" s="2" t="s">
        <v>14592</v>
      </c>
      <c r="C7274" s="1" t="s">
        <v>2747</v>
      </c>
      <c r="D7274" s="1" t="s">
        <v>2749</v>
      </c>
    </row>
    <row r="7275">
      <c r="A7275" s="1" t="s">
        <v>14703</v>
      </c>
      <c r="B7275" s="2" t="s">
        <v>14618</v>
      </c>
      <c r="C7275" s="1" t="s">
        <v>2747</v>
      </c>
      <c r="D7275" s="1" t="s">
        <v>2749</v>
      </c>
    </row>
    <row r="7276">
      <c r="A7276" s="1" t="s">
        <v>14704</v>
      </c>
      <c r="B7276" s="2" t="s">
        <v>14620</v>
      </c>
      <c r="C7276" s="1" t="s">
        <v>2747</v>
      </c>
      <c r="D7276" s="1" t="s">
        <v>2749</v>
      </c>
    </row>
    <row r="7277">
      <c r="A7277" s="1" t="s">
        <v>14705</v>
      </c>
      <c r="B7277" s="2" t="s">
        <v>14604</v>
      </c>
      <c r="C7277" s="1" t="s">
        <v>2747</v>
      </c>
      <c r="D7277" s="1" t="s">
        <v>2749</v>
      </c>
    </row>
    <row r="7278">
      <c r="A7278" s="1" t="s">
        <v>14706</v>
      </c>
      <c r="B7278" s="2" t="s">
        <v>14606</v>
      </c>
      <c r="C7278" s="1" t="s">
        <v>2747</v>
      </c>
      <c r="D7278" s="1" t="s">
        <v>2749</v>
      </c>
    </row>
    <row r="7279">
      <c r="A7279" s="1" t="s">
        <v>2751</v>
      </c>
      <c r="B7279" s="2" t="s">
        <v>7</v>
      </c>
      <c r="C7279" s="1" t="s">
        <v>2753</v>
      </c>
      <c r="D7279" s="1" t="s">
        <v>2754</v>
      </c>
    </row>
    <row r="7280">
      <c r="A7280" s="1" t="s">
        <v>14707</v>
      </c>
      <c r="B7280" s="2" t="s">
        <v>13</v>
      </c>
      <c r="C7280" s="1" t="s">
        <v>2753</v>
      </c>
      <c r="D7280" s="1" t="s">
        <v>2754</v>
      </c>
    </row>
    <row r="7281">
      <c r="A7281" s="1" t="s">
        <v>14708</v>
      </c>
      <c r="B7281" s="2" t="s">
        <v>14575</v>
      </c>
      <c r="C7281" s="1" t="s">
        <v>2753</v>
      </c>
      <c r="D7281" s="1" t="s">
        <v>2754</v>
      </c>
    </row>
    <row r="7282">
      <c r="A7282" s="1" t="s">
        <v>14709</v>
      </c>
      <c r="B7282" s="2" t="s">
        <v>14610</v>
      </c>
      <c r="C7282" s="1" t="s">
        <v>2753</v>
      </c>
      <c r="D7282" s="1" t="s">
        <v>2754</v>
      </c>
    </row>
    <row r="7283">
      <c r="A7283" s="1" t="s">
        <v>14710</v>
      </c>
      <c r="B7283" s="2" t="s">
        <v>14612</v>
      </c>
      <c r="C7283" s="1" t="s">
        <v>2753</v>
      </c>
      <c r="D7283" s="1" t="s">
        <v>2754</v>
      </c>
    </row>
    <row r="7284">
      <c r="A7284" s="1" t="s">
        <v>14711</v>
      </c>
      <c r="B7284" s="2" t="s">
        <v>14587</v>
      </c>
      <c r="C7284" s="1" t="s">
        <v>2753</v>
      </c>
      <c r="D7284" s="1" t="s">
        <v>2754</v>
      </c>
    </row>
    <row r="7285">
      <c r="A7285" s="1" t="s">
        <v>14712</v>
      </c>
      <c r="B7285" s="2" t="s">
        <v>14589</v>
      </c>
      <c r="C7285" s="1" t="s">
        <v>2753</v>
      </c>
      <c r="D7285" s="1" t="s">
        <v>2754</v>
      </c>
    </row>
    <row r="7286">
      <c r="A7286" s="1" t="s">
        <v>14713</v>
      </c>
      <c r="B7286" s="2" t="s">
        <v>70</v>
      </c>
      <c r="C7286" s="1" t="s">
        <v>2753</v>
      </c>
      <c r="D7286" s="1" t="s">
        <v>2754</v>
      </c>
    </row>
    <row r="7287">
      <c r="A7287" s="1" t="s">
        <v>14714</v>
      </c>
      <c r="B7287" s="2" t="s">
        <v>14592</v>
      </c>
      <c r="C7287" s="1" t="s">
        <v>2753</v>
      </c>
      <c r="D7287" s="1" t="s">
        <v>2754</v>
      </c>
    </row>
    <row r="7288">
      <c r="A7288" s="1" t="s">
        <v>14715</v>
      </c>
      <c r="B7288" s="2" t="s">
        <v>14618</v>
      </c>
      <c r="C7288" s="1" t="s">
        <v>2753</v>
      </c>
      <c r="D7288" s="1" t="s">
        <v>2754</v>
      </c>
    </row>
    <row r="7289">
      <c r="A7289" s="1" t="s">
        <v>14716</v>
      </c>
      <c r="B7289" s="2" t="s">
        <v>14620</v>
      </c>
      <c r="C7289" s="1" t="s">
        <v>2753</v>
      </c>
      <c r="D7289" s="1" t="s">
        <v>2754</v>
      </c>
    </row>
    <row r="7290">
      <c r="A7290" s="1" t="s">
        <v>14717</v>
      </c>
      <c r="B7290" s="2" t="s">
        <v>14604</v>
      </c>
      <c r="C7290" s="1" t="s">
        <v>2753</v>
      </c>
      <c r="D7290" s="1" t="s">
        <v>2754</v>
      </c>
    </row>
    <row r="7291">
      <c r="A7291" s="1" t="s">
        <v>14718</v>
      </c>
      <c r="B7291" s="2" t="s">
        <v>14606</v>
      </c>
      <c r="C7291" s="1" t="s">
        <v>2753</v>
      </c>
      <c r="D7291" s="1" t="s">
        <v>2754</v>
      </c>
    </row>
    <row r="7292">
      <c r="A7292" s="1" t="s">
        <v>2703</v>
      </c>
      <c r="B7292" s="2" t="s">
        <v>7</v>
      </c>
      <c r="C7292" s="1" t="s">
        <v>2704</v>
      </c>
      <c r="D7292" s="1" t="s">
        <v>2705</v>
      </c>
    </row>
    <row r="7293">
      <c r="A7293" s="1" t="s">
        <v>14719</v>
      </c>
      <c r="B7293" s="2" t="s">
        <v>13</v>
      </c>
      <c r="C7293" s="1" t="s">
        <v>2704</v>
      </c>
      <c r="D7293" s="1" t="s">
        <v>2705</v>
      </c>
    </row>
    <row r="7294">
      <c r="A7294" s="1" t="s">
        <v>14720</v>
      </c>
      <c r="B7294" s="2" t="s">
        <v>14721</v>
      </c>
      <c r="C7294" s="1" t="s">
        <v>2704</v>
      </c>
      <c r="D7294" s="1" t="s">
        <v>2705</v>
      </c>
    </row>
    <row r="7295">
      <c r="A7295" s="1" t="s">
        <v>14722</v>
      </c>
      <c r="B7295" s="2" t="s">
        <v>14723</v>
      </c>
      <c r="C7295" s="1" t="s">
        <v>2704</v>
      </c>
      <c r="D7295" s="1" t="s">
        <v>2705</v>
      </c>
    </row>
    <row r="7296">
      <c r="A7296" s="1" t="s">
        <v>14724</v>
      </c>
      <c r="B7296" s="2" t="s">
        <v>14725</v>
      </c>
      <c r="C7296" s="1" t="s">
        <v>2704</v>
      </c>
      <c r="D7296" s="1" t="s">
        <v>2705</v>
      </c>
    </row>
    <row r="7297">
      <c r="A7297" s="1" t="s">
        <v>14726</v>
      </c>
      <c r="B7297" s="2" t="s">
        <v>14727</v>
      </c>
      <c r="C7297" s="1" t="s">
        <v>2704</v>
      </c>
      <c r="D7297" s="1" t="s">
        <v>2705</v>
      </c>
    </row>
    <row r="7298">
      <c r="A7298" s="1" t="s">
        <v>14728</v>
      </c>
      <c r="B7298" s="2" t="s">
        <v>14729</v>
      </c>
      <c r="C7298" s="1" t="s">
        <v>2704</v>
      </c>
      <c r="D7298" s="1" t="s">
        <v>2705</v>
      </c>
    </row>
    <row r="7299">
      <c r="A7299" s="1" t="s">
        <v>14730</v>
      </c>
      <c r="B7299" s="2" t="s">
        <v>14731</v>
      </c>
      <c r="C7299" s="1" t="s">
        <v>2704</v>
      </c>
      <c r="D7299" s="1" t="s">
        <v>2705</v>
      </c>
    </row>
    <row r="7300">
      <c r="A7300" s="1" t="s">
        <v>14732</v>
      </c>
      <c r="B7300" s="2" t="s">
        <v>14733</v>
      </c>
      <c r="C7300" s="1" t="s">
        <v>2704</v>
      </c>
      <c r="D7300" s="1" t="s">
        <v>2705</v>
      </c>
    </row>
    <row r="7301">
      <c r="A7301" s="1" t="s">
        <v>14734</v>
      </c>
      <c r="B7301" s="2" t="s">
        <v>14735</v>
      </c>
      <c r="C7301" s="1" t="s">
        <v>2704</v>
      </c>
      <c r="D7301" s="1" t="s">
        <v>2705</v>
      </c>
    </row>
    <row r="7302">
      <c r="A7302" s="1" t="s">
        <v>14736</v>
      </c>
      <c r="B7302" s="2" t="s">
        <v>14737</v>
      </c>
      <c r="C7302" s="1" t="s">
        <v>2704</v>
      </c>
      <c r="D7302" s="1" t="s">
        <v>2705</v>
      </c>
    </row>
    <row r="7303">
      <c r="A7303" s="1" t="s">
        <v>14738</v>
      </c>
      <c r="B7303" s="2" t="s">
        <v>14739</v>
      </c>
      <c r="C7303" s="1" t="s">
        <v>2704</v>
      </c>
      <c r="D7303" s="1" t="s">
        <v>2705</v>
      </c>
    </row>
    <row r="7304">
      <c r="A7304" s="1" t="s">
        <v>14740</v>
      </c>
      <c r="B7304" s="2" t="s">
        <v>14741</v>
      </c>
      <c r="C7304" s="1" t="s">
        <v>2704</v>
      </c>
      <c r="D7304" s="1" t="s">
        <v>2705</v>
      </c>
    </row>
    <row r="7305">
      <c r="A7305" s="1" t="s">
        <v>14742</v>
      </c>
      <c r="B7305" s="2" t="s">
        <v>14743</v>
      </c>
      <c r="C7305" s="1" t="s">
        <v>2704</v>
      </c>
      <c r="D7305" s="1" t="s">
        <v>2705</v>
      </c>
    </row>
    <row r="7306">
      <c r="A7306" s="1" t="s">
        <v>14744</v>
      </c>
      <c r="B7306" s="2" t="s">
        <v>14745</v>
      </c>
      <c r="C7306" s="1" t="s">
        <v>2704</v>
      </c>
      <c r="D7306" s="1" t="s">
        <v>2705</v>
      </c>
    </row>
    <row r="7307">
      <c r="A7307" s="1" t="s">
        <v>14746</v>
      </c>
      <c r="B7307" s="2" t="s">
        <v>14747</v>
      </c>
      <c r="C7307" s="1" t="s">
        <v>2704</v>
      </c>
      <c r="D7307" s="1" t="s">
        <v>2705</v>
      </c>
    </row>
    <row r="7308">
      <c r="A7308" s="1" t="s">
        <v>14748</v>
      </c>
      <c r="B7308" s="2" t="s">
        <v>14749</v>
      </c>
      <c r="C7308" s="1" t="s">
        <v>2704</v>
      </c>
      <c r="D7308" s="1" t="s">
        <v>2705</v>
      </c>
    </row>
    <row r="7309">
      <c r="A7309" s="1" t="s">
        <v>14750</v>
      </c>
      <c r="B7309" s="2" t="s">
        <v>14577</v>
      </c>
      <c r="C7309" s="1" t="s">
        <v>2704</v>
      </c>
      <c r="D7309" s="1" t="s">
        <v>2705</v>
      </c>
    </row>
    <row r="7310">
      <c r="A7310" s="1" t="s">
        <v>14751</v>
      </c>
      <c r="B7310" s="2" t="s">
        <v>14752</v>
      </c>
      <c r="C7310" s="1" t="s">
        <v>2704</v>
      </c>
      <c r="D7310" s="1" t="s">
        <v>2705</v>
      </c>
    </row>
    <row r="7311">
      <c r="A7311" s="1" t="s">
        <v>14753</v>
      </c>
      <c r="B7311" s="2" t="s">
        <v>14754</v>
      </c>
      <c r="C7311" s="1" t="s">
        <v>2704</v>
      </c>
      <c r="D7311" s="1" t="s">
        <v>2705</v>
      </c>
    </row>
    <row r="7312">
      <c r="A7312" s="1" t="s">
        <v>14755</v>
      </c>
      <c r="B7312" s="2" t="s">
        <v>14756</v>
      </c>
      <c r="C7312" s="1" t="s">
        <v>2704</v>
      </c>
      <c r="D7312" s="1" t="s">
        <v>2705</v>
      </c>
    </row>
    <row r="7313">
      <c r="A7313" s="1" t="s">
        <v>14757</v>
      </c>
      <c r="B7313" s="2" t="s">
        <v>14758</v>
      </c>
      <c r="C7313" s="1" t="s">
        <v>2704</v>
      </c>
      <c r="D7313" s="1" t="s">
        <v>2705</v>
      </c>
    </row>
    <row r="7314">
      <c r="A7314" s="1" t="s">
        <v>14759</v>
      </c>
      <c r="B7314" s="2" t="s">
        <v>14760</v>
      </c>
      <c r="C7314" s="1" t="s">
        <v>2704</v>
      </c>
      <c r="D7314" s="1" t="s">
        <v>2705</v>
      </c>
    </row>
    <row r="7315">
      <c r="A7315" s="1" t="s">
        <v>14761</v>
      </c>
      <c r="B7315" s="2" t="s">
        <v>14762</v>
      </c>
      <c r="C7315" s="1" t="s">
        <v>2704</v>
      </c>
      <c r="D7315" s="1" t="s">
        <v>2705</v>
      </c>
    </row>
    <row r="7316">
      <c r="A7316" s="1" t="s">
        <v>14763</v>
      </c>
      <c r="B7316" s="2" t="s">
        <v>14764</v>
      </c>
      <c r="C7316" s="1" t="s">
        <v>2704</v>
      </c>
      <c r="D7316" s="1" t="s">
        <v>2705</v>
      </c>
    </row>
    <row r="7317">
      <c r="A7317" s="1" t="s">
        <v>14765</v>
      </c>
      <c r="B7317" s="2" t="s">
        <v>14766</v>
      </c>
      <c r="C7317" s="1" t="s">
        <v>2704</v>
      </c>
      <c r="D7317" s="1" t="s">
        <v>2705</v>
      </c>
    </row>
    <row r="7318">
      <c r="A7318" s="1" t="s">
        <v>14767</v>
      </c>
      <c r="B7318" s="2" t="s">
        <v>14768</v>
      </c>
      <c r="C7318" s="1" t="s">
        <v>2704</v>
      </c>
      <c r="D7318" s="1" t="s">
        <v>2705</v>
      </c>
    </row>
    <row r="7319">
      <c r="A7319" s="1" t="s">
        <v>14769</v>
      </c>
      <c r="B7319" s="2" t="s">
        <v>14770</v>
      </c>
      <c r="C7319" s="1" t="s">
        <v>2704</v>
      </c>
      <c r="D7319" s="1" t="s">
        <v>2705</v>
      </c>
    </row>
    <row r="7320">
      <c r="A7320" s="1" t="s">
        <v>14771</v>
      </c>
      <c r="B7320" s="2" t="s">
        <v>14772</v>
      </c>
      <c r="C7320" s="1" t="s">
        <v>2704</v>
      </c>
      <c r="D7320" s="1" t="s">
        <v>2705</v>
      </c>
    </row>
    <row r="7321">
      <c r="A7321" s="1" t="s">
        <v>14773</v>
      </c>
      <c r="B7321" s="2" t="s">
        <v>14774</v>
      </c>
      <c r="C7321" s="1" t="s">
        <v>2704</v>
      </c>
      <c r="D7321" s="1" t="s">
        <v>2705</v>
      </c>
    </row>
    <row r="7322">
      <c r="A7322" s="1" t="s">
        <v>14775</v>
      </c>
      <c r="B7322" s="2" t="s">
        <v>14776</v>
      </c>
      <c r="C7322" s="1" t="s">
        <v>2704</v>
      </c>
      <c r="D7322" s="1" t="s">
        <v>2705</v>
      </c>
    </row>
    <row r="7323">
      <c r="A7323" s="1" t="s">
        <v>14777</v>
      </c>
      <c r="B7323" s="2" t="s">
        <v>14778</v>
      </c>
      <c r="C7323" s="1" t="s">
        <v>2704</v>
      </c>
      <c r="D7323" s="1" t="s">
        <v>2705</v>
      </c>
    </row>
    <row r="7324">
      <c r="A7324" s="1" t="s">
        <v>14779</v>
      </c>
      <c r="B7324" s="2" t="s">
        <v>14780</v>
      </c>
      <c r="C7324" s="1" t="s">
        <v>2704</v>
      </c>
      <c r="D7324" s="1" t="s">
        <v>2705</v>
      </c>
    </row>
    <row r="7325">
      <c r="A7325" s="1" t="s">
        <v>14781</v>
      </c>
      <c r="B7325" s="2" t="s">
        <v>14581</v>
      </c>
      <c r="C7325" s="1" t="s">
        <v>2704</v>
      </c>
      <c r="D7325" s="1" t="s">
        <v>2705</v>
      </c>
    </row>
    <row r="7326">
      <c r="A7326" s="1" t="s">
        <v>14782</v>
      </c>
      <c r="B7326" s="2" t="s">
        <v>14783</v>
      </c>
      <c r="C7326" s="1" t="s">
        <v>2704</v>
      </c>
      <c r="D7326" s="1" t="s">
        <v>2705</v>
      </c>
    </row>
    <row r="7327">
      <c r="A7327" s="1" t="s">
        <v>14784</v>
      </c>
      <c r="B7327" s="2" t="s">
        <v>14785</v>
      </c>
      <c r="C7327" s="1" t="s">
        <v>2704</v>
      </c>
      <c r="D7327" s="1" t="s">
        <v>2705</v>
      </c>
    </row>
    <row r="7328">
      <c r="A7328" s="1" t="s">
        <v>14786</v>
      </c>
      <c r="B7328" s="2" t="s">
        <v>14787</v>
      </c>
      <c r="C7328" s="1" t="s">
        <v>2704</v>
      </c>
      <c r="D7328" s="1" t="s">
        <v>2705</v>
      </c>
    </row>
    <row r="7329">
      <c r="A7329" s="1" t="s">
        <v>14788</v>
      </c>
      <c r="B7329" s="2" t="s">
        <v>14789</v>
      </c>
      <c r="C7329" s="1" t="s">
        <v>2704</v>
      </c>
      <c r="D7329" s="1" t="s">
        <v>2705</v>
      </c>
    </row>
    <row r="7330">
      <c r="A7330" s="1" t="s">
        <v>14790</v>
      </c>
      <c r="B7330" s="2" t="s">
        <v>14791</v>
      </c>
      <c r="C7330" s="1" t="s">
        <v>2704</v>
      </c>
      <c r="D7330" s="1" t="s">
        <v>2705</v>
      </c>
    </row>
    <row r="7331">
      <c r="A7331" s="1" t="s">
        <v>14792</v>
      </c>
      <c r="B7331" s="2" t="s">
        <v>14793</v>
      </c>
      <c r="C7331" s="1" t="s">
        <v>2704</v>
      </c>
      <c r="D7331" s="1" t="s">
        <v>2705</v>
      </c>
    </row>
    <row r="7332">
      <c r="A7332" s="1" t="s">
        <v>14794</v>
      </c>
      <c r="B7332" s="2" t="s">
        <v>14795</v>
      </c>
      <c r="C7332" s="1" t="s">
        <v>2704</v>
      </c>
      <c r="D7332" s="1" t="s">
        <v>2705</v>
      </c>
    </row>
    <row r="7333">
      <c r="A7333" s="1" t="s">
        <v>14796</v>
      </c>
      <c r="B7333" s="2" t="s">
        <v>14797</v>
      </c>
      <c r="C7333" s="1" t="s">
        <v>2704</v>
      </c>
      <c r="D7333" s="1" t="s">
        <v>2705</v>
      </c>
    </row>
    <row r="7334">
      <c r="A7334" s="1" t="s">
        <v>14798</v>
      </c>
      <c r="B7334" s="2" t="s">
        <v>14799</v>
      </c>
      <c r="C7334" s="1" t="s">
        <v>2704</v>
      </c>
      <c r="D7334" s="1" t="s">
        <v>2705</v>
      </c>
    </row>
    <row r="7335">
      <c r="A7335" s="1" t="s">
        <v>14800</v>
      </c>
      <c r="B7335" s="2" t="s">
        <v>14801</v>
      </c>
      <c r="C7335" s="1" t="s">
        <v>2704</v>
      </c>
      <c r="D7335" s="1" t="s">
        <v>2705</v>
      </c>
    </row>
    <row r="7336">
      <c r="A7336" s="1" t="s">
        <v>14802</v>
      </c>
      <c r="B7336" s="2" t="s">
        <v>14803</v>
      </c>
      <c r="C7336" s="1" t="s">
        <v>2704</v>
      </c>
      <c r="D7336" s="1" t="s">
        <v>2705</v>
      </c>
    </row>
    <row r="7337">
      <c r="A7337" s="1" t="s">
        <v>14804</v>
      </c>
      <c r="B7337" s="2" t="s">
        <v>14805</v>
      </c>
      <c r="C7337" s="1" t="s">
        <v>2704</v>
      </c>
      <c r="D7337" s="1" t="s">
        <v>2705</v>
      </c>
    </row>
    <row r="7338">
      <c r="A7338" s="1" t="s">
        <v>14806</v>
      </c>
      <c r="B7338" s="2" t="s">
        <v>14807</v>
      </c>
      <c r="C7338" s="1" t="s">
        <v>2704</v>
      </c>
      <c r="D7338" s="1" t="s">
        <v>2705</v>
      </c>
    </row>
    <row r="7339">
      <c r="A7339" s="1" t="s">
        <v>14808</v>
      </c>
      <c r="B7339" s="2" t="s">
        <v>14809</v>
      </c>
      <c r="C7339" s="1" t="s">
        <v>2704</v>
      </c>
      <c r="D7339" s="1" t="s">
        <v>2705</v>
      </c>
    </row>
    <row r="7340">
      <c r="A7340" s="1" t="s">
        <v>14810</v>
      </c>
      <c r="B7340" s="2" t="s">
        <v>14811</v>
      </c>
      <c r="C7340" s="1" t="s">
        <v>2704</v>
      </c>
      <c r="D7340" s="1" t="s">
        <v>2705</v>
      </c>
    </row>
    <row r="7341">
      <c r="A7341" s="1" t="s">
        <v>14812</v>
      </c>
      <c r="B7341" s="2" t="s">
        <v>14813</v>
      </c>
      <c r="C7341" s="1" t="s">
        <v>2704</v>
      </c>
      <c r="D7341" s="1" t="s">
        <v>2705</v>
      </c>
    </row>
    <row r="7342">
      <c r="A7342" s="1" t="s">
        <v>14814</v>
      </c>
      <c r="B7342" s="2" t="s">
        <v>14815</v>
      </c>
      <c r="C7342" s="1" t="s">
        <v>2704</v>
      </c>
      <c r="D7342" s="1" t="s">
        <v>2705</v>
      </c>
    </row>
    <row r="7343">
      <c r="A7343" s="1" t="s">
        <v>14816</v>
      </c>
      <c r="B7343" s="2" t="s">
        <v>14817</v>
      </c>
      <c r="C7343" s="1" t="s">
        <v>2704</v>
      </c>
      <c r="D7343" s="1" t="s">
        <v>2705</v>
      </c>
    </row>
    <row r="7344">
      <c r="A7344" s="1" t="s">
        <v>14818</v>
      </c>
      <c r="B7344" s="2" t="s">
        <v>14819</v>
      </c>
      <c r="C7344" s="1" t="s">
        <v>2704</v>
      </c>
      <c r="D7344" s="1" t="s">
        <v>2705</v>
      </c>
    </row>
    <row r="7345">
      <c r="A7345" s="1" t="s">
        <v>14820</v>
      </c>
      <c r="B7345" s="2" t="s">
        <v>14821</v>
      </c>
      <c r="C7345" s="1" t="s">
        <v>2704</v>
      </c>
      <c r="D7345" s="1" t="s">
        <v>2705</v>
      </c>
    </row>
    <row r="7346">
      <c r="A7346" s="1" t="s">
        <v>14822</v>
      </c>
      <c r="B7346" s="2" t="s">
        <v>14823</v>
      </c>
      <c r="C7346" s="1" t="s">
        <v>2704</v>
      </c>
      <c r="D7346" s="1" t="s">
        <v>2705</v>
      </c>
    </row>
    <row r="7347">
      <c r="A7347" s="1" t="s">
        <v>14824</v>
      </c>
      <c r="B7347" s="2" t="s">
        <v>14825</v>
      </c>
      <c r="C7347" s="1" t="s">
        <v>2704</v>
      </c>
      <c r="D7347" s="1" t="s">
        <v>2705</v>
      </c>
    </row>
    <row r="7348">
      <c r="A7348" s="1" t="s">
        <v>14826</v>
      </c>
      <c r="B7348" s="2" t="s">
        <v>14827</v>
      </c>
      <c r="C7348" s="1" t="s">
        <v>2704</v>
      </c>
      <c r="D7348" s="1" t="s">
        <v>2705</v>
      </c>
    </row>
    <row r="7349">
      <c r="A7349" s="1" t="s">
        <v>14828</v>
      </c>
      <c r="B7349" s="2" t="s">
        <v>14829</v>
      </c>
      <c r="C7349" s="1" t="s">
        <v>2704</v>
      </c>
      <c r="D7349" s="1" t="s">
        <v>2705</v>
      </c>
    </row>
    <row r="7350">
      <c r="A7350" s="1" t="s">
        <v>14830</v>
      </c>
      <c r="B7350" s="2" t="s">
        <v>14831</v>
      </c>
      <c r="C7350" s="1" t="s">
        <v>2704</v>
      </c>
      <c r="D7350" s="1" t="s">
        <v>2705</v>
      </c>
    </row>
    <row r="7351">
      <c r="A7351" s="1" t="s">
        <v>14832</v>
      </c>
      <c r="B7351" s="2" t="s">
        <v>14833</v>
      </c>
      <c r="C7351" s="1" t="s">
        <v>2704</v>
      </c>
      <c r="D7351" s="1" t="s">
        <v>2705</v>
      </c>
    </row>
    <row r="7352">
      <c r="A7352" s="1" t="s">
        <v>14834</v>
      </c>
      <c r="B7352" s="2" t="s">
        <v>14835</v>
      </c>
      <c r="C7352" s="1" t="s">
        <v>2704</v>
      </c>
      <c r="D7352" s="1" t="s">
        <v>2705</v>
      </c>
    </row>
    <row r="7353">
      <c r="A7353" s="1" t="s">
        <v>14836</v>
      </c>
      <c r="B7353" s="2" t="s">
        <v>14837</v>
      </c>
      <c r="C7353" s="1" t="s">
        <v>2704</v>
      </c>
      <c r="D7353" s="1" t="s">
        <v>2705</v>
      </c>
    </row>
    <row r="7354">
      <c r="A7354" s="1" t="s">
        <v>14838</v>
      </c>
      <c r="B7354" s="2" t="s">
        <v>14839</v>
      </c>
      <c r="C7354" s="1" t="s">
        <v>2704</v>
      </c>
      <c r="D7354" s="1" t="s">
        <v>2705</v>
      </c>
    </row>
    <row r="7355">
      <c r="A7355" s="1" t="s">
        <v>14840</v>
      </c>
      <c r="B7355" s="2" t="s">
        <v>14841</v>
      </c>
      <c r="C7355" s="1" t="s">
        <v>2704</v>
      </c>
      <c r="D7355" s="1" t="s">
        <v>2705</v>
      </c>
    </row>
    <row r="7356">
      <c r="A7356" s="1" t="s">
        <v>14842</v>
      </c>
      <c r="B7356" s="2" t="s">
        <v>14843</v>
      </c>
      <c r="C7356" s="1" t="s">
        <v>2704</v>
      </c>
      <c r="D7356" s="1" t="s">
        <v>2705</v>
      </c>
    </row>
    <row r="7357">
      <c r="A7357" s="1" t="s">
        <v>14844</v>
      </c>
      <c r="B7357" s="2" t="s">
        <v>14845</v>
      </c>
      <c r="C7357" s="1" t="s">
        <v>2704</v>
      </c>
      <c r="D7357" s="1" t="s">
        <v>2705</v>
      </c>
    </row>
    <row r="7358">
      <c r="A7358" s="1" t="s">
        <v>14846</v>
      </c>
      <c r="B7358" s="2" t="s">
        <v>14847</v>
      </c>
      <c r="C7358" s="1" t="s">
        <v>2704</v>
      </c>
      <c r="D7358" s="1" t="s">
        <v>2705</v>
      </c>
    </row>
    <row r="7359">
      <c r="A7359" s="1" t="s">
        <v>14848</v>
      </c>
      <c r="B7359" s="2" t="s">
        <v>14849</v>
      </c>
      <c r="C7359" s="1" t="s">
        <v>2704</v>
      </c>
      <c r="D7359" s="1" t="s">
        <v>2705</v>
      </c>
    </row>
    <row r="7360">
      <c r="A7360" s="1" t="s">
        <v>14850</v>
      </c>
      <c r="B7360" s="2" t="s">
        <v>14851</v>
      </c>
      <c r="C7360" s="1" t="s">
        <v>2704</v>
      </c>
      <c r="D7360" s="1" t="s">
        <v>2705</v>
      </c>
    </row>
    <row r="7361">
      <c r="A7361" s="1" t="s">
        <v>14852</v>
      </c>
      <c r="B7361" s="2" t="s">
        <v>14853</v>
      </c>
      <c r="C7361" s="1" t="s">
        <v>2704</v>
      </c>
      <c r="D7361" s="1" t="s">
        <v>2705</v>
      </c>
    </row>
    <row r="7362">
      <c r="A7362" s="1" t="s">
        <v>14854</v>
      </c>
      <c r="B7362" s="2" t="s">
        <v>14855</v>
      </c>
      <c r="C7362" s="1" t="s">
        <v>2704</v>
      </c>
      <c r="D7362" s="1" t="s">
        <v>2705</v>
      </c>
    </row>
    <row r="7363">
      <c r="A7363" s="1" t="s">
        <v>14856</v>
      </c>
      <c r="B7363" s="2" t="s">
        <v>14857</v>
      </c>
      <c r="C7363" s="1" t="s">
        <v>2704</v>
      </c>
      <c r="D7363" s="1" t="s">
        <v>2705</v>
      </c>
    </row>
    <row r="7364">
      <c r="A7364" s="1" t="s">
        <v>14858</v>
      </c>
      <c r="B7364" s="2" t="s">
        <v>14859</v>
      </c>
      <c r="C7364" s="1" t="s">
        <v>2704</v>
      </c>
      <c r="D7364" s="1" t="s">
        <v>2705</v>
      </c>
    </row>
    <row r="7365">
      <c r="A7365" s="1" t="s">
        <v>14860</v>
      </c>
      <c r="B7365" s="2" t="s">
        <v>14861</v>
      </c>
      <c r="C7365" s="1" t="s">
        <v>2704</v>
      </c>
      <c r="D7365" s="1" t="s">
        <v>2705</v>
      </c>
    </row>
    <row r="7366">
      <c r="A7366" s="1" t="s">
        <v>14862</v>
      </c>
      <c r="B7366" s="2" t="s">
        <v>14863</v>
      </c>
      <c r="C7366" s="1" t="s">
        <v>2704</v>
      </c>
      <c r="D7366" s="1" t="s">
        <v>2705</v>
      </c>
    </row>
    <row r="7367">
      <c r="A7367" s="1" t="s">
        <v>14864</v>
      </c>
      <c r="B7367" s="2" t="s">
        <v>14865</v>
      </c>
      <c r="C7367" s="1" t="s">
        <v>2704</v>
      </c>
      <c r="D7367" s="1" t="s">
        <v>2705</v>
      </c>
    </row>
    <row r="7368">
      <c r="A7368" s="1" t="s">
        <v>14866</v>
      </c>
      <c r="B7368" s="2" t="s">
        <v>14867</v>
      </c>
      <c r="C7368" s="1" t="s">
        <v>2704</v>
      </c>
      <c r="D7368" s="1" t="s">
        <v>2705</v>
      </c>
    </row>
    <row r="7369">
      <c r="A7369" s="1" t="s">
        <v>14868</v>
      </c>
      <c r="B7369" s="2" t="s">
        <v>14869</v>
      </c>
      <c r="C7369" s="1" t="s">
        <v>2704</v>
      </c>
      <c r="D7369" s="1" t="s">
        <v>2705</v>
      </c>
    </row>
    <row r="7370">
      <c r="A7370" s="1" t="s">
        <v>14870</v>
      </c>
      <c r="B7370" s="2" t="s">
        <v>14871</v>
      </c>
      <c r="C7370" s="1" t="s">
        <v>2704</v>
      </c>
      <c r="D7370" s="1" t="s">
        <v>2705</v>
      </c>
    </row>
    <row r="7371">
      <c r="A7371" s="1" t="s">
        <v>14872</v>
      </c>
      <c r="B7371" s="2" t="s">
        <v>14873</v>
      </c>
      <c r="C7371" s="1" t="s">
        <v>2704</v>
      </c>
      <c r="D7371" s="1" t="s">
        <v>2705</v>
      </c>
    </row>
    <row r="7372">
      <c r="A7372" s="1" t="s">
        <v>14874</v>
      </c>
      <c r="B7372" s="2" t="s">
        <v>14875</v>
      </c>
      <c r="C7372" s="1" t="s">
        <v>2704</v>
      </c>
      <c r="D7372" s="1" t="s">
        <v>2705</v>
      </c>
    </row>
    <row r="7373">
      <c r="A7373" s="1" t="s">
        <v>14876</v>
      </c>
      <c r="B7373" s="2" t="s">
        <v>14877</v>
      </c>
      <c r="C7373" s="1" t="s">
        <v>2704</v>
      </c>
      <c r="D7373" s="1" t="s">
        <v>2705</v>
      </c>
    </row>
    <row r="7374">
      <c r="A7374" s="1" t="s">
        <v>14878</v>
      </c>
      <c r="B7374" s="2" t="s">
        <v>14879</v>
      </c>
      <c r="C7374" s="1" t="s">
        <v>2704</v>
      </c>
      <c r="D7374" s="1" t="s">
        <v>2705</v>
      </c>
    </row>
    <row r="7375">
      <c r="A7375" s="1" t="s">
        <v>14880</v>
      </c>
      <c r="B7375" s="2" t="s">
        <v>14881</v>
      </c>
      <c r="C7375" s="1" t="s">
        <v>2704</v>
      </c>
      <c r="D7375" s="1" t="s">
        <v>2705</v>
      </c>
    </row>
    <row r="7376">
      <c r="A7376" s="1" t="s">
        <v>14882</v>
      </c>
      <c r="B7376" s="2" t="s">
        <v>14883</v>
      </c>
      <c r="C7376" s="1" t="s">
        <v>2704</v>
      </c>
      <c r="D7376" s="1" t="s">
        <v>2705</v>
      </c>
    </row>
    <row r="7377">
      <c r="A7377" s="1" t="s">
        <v>14884</v>
      </c>
      <c r="B7377" s="2" t="s">
        <v>14885</v>
      </c>
      <c r="C7377" s="1" t="s">
        <v>2704</v>
      </c>
      <c r="D7377" s="1" t="s">
        <v>2705</v>
      </c>
    </row>
    <row r="7378">
      <c r="A7378" s="1" t="s">
        <v>14886</v>
      </c>
      <c r="B7378" s="2" t="s">
        <v>14887</v>
      </c>
      <c r="C7378" s="1" t="s">
        <v>2704</v>
      </c>
      <c r="D7378" s="1" t="s">
        <v>2705</v>
      </c>
    </row>
    <row r="7379">
      <c r="A7379" s="1" t="s">
        <v>14888</v>
      </c>
      <c r="B7379" s="2" t="s">
        <v>14889</v>
      </c>
      <c r="C7379" s="1" t="s">
        <v>2704</v>
      </c>
      <c r="D7379" s="1" t="s">
        <v>2705</v>
      </c>
    </row>
    <row r="7380">
      <c r="A7380" s="1" t="s">
        <v>14890</v>
      </c>
      <c r="B7380" s="2" t="s">
        <v>14891</v>
      </c>
      <c r="C7380" s="1" t="s">
        <v>2704</v>
      </c>
      <c r="D7380" s="1" t="s">
        <v>2705</v>
      </c>
    </row>
    <row r="7381">
      <c r="A7381" s="1" t="s">
        <v>14892</v>
      </c>
      <c r="B7381" s="2" t="s">
        <v>14893</v>
      </c>
      <c r="C7381" s="1" t="s">
        <v>2704</v>
      </c>
      <c r="D7381" s="1" t="s">
        <v>2705</v>
      </c>
    </row>
    <row r="7382">
      <c r="A7382" s="1" t="s">
        <v>14894</v>
      </c>
      <c r="B7382" s="2" t="s">
        <v>14895</v>
      </c>
      <c r="C7382" s="1" t="s">
        <v>2704</v>
      </c>
      <c r="D7382" s="1" t="s">
        <v>2705</v>
      </c>
    </row>
    <row r="7383">
      <c r="A7383" s="1" t="s">
        <v>14896</v>
      </c>
      <c r="B7383" s="2" t="s">
        <v>14897</v>
      </c>
      <c r="C7383" s="1" t="s">
        <v>2704</v>
      </c>
      <c r="D7383" s="1" t="s">
        <v>2705</v>
      </c>
    </row>
    <row r="7384">
      <c r="A7384" s="1" t="s">
        <v>14898</v>
      </c>
      <c r="B7384" s="2" t="s">
        <v>14899</v>
      </c>
      <c r="C7384" s="1" t="s">
        <v>2704</v>
      </c>
      <c r="D7384" s="1" t="s">
        <v>2705</v>
      </c>
    </row>
    <row r="7385">
      <c r="A7385" s="1" t="s">
        <v>14900</v>
      </c>
      <c r="B7385" s="2" t="s">
        <v>14901</v>
      </c>
      <c r="C7385" s="1" t="s">
        <v>2704</v>
      </c>
      <c r="D7385" s="1" t="s">
        <v>2705</v>
      </c>
    </row>
    <row r="7386">
      <c r="A7386" s="1" t="s">
        <v>14902</v>
      </c>
      <c r="B7386" s="2" t="s">
        <v>70</v>
      </c>
      <c r="C7386" s="1" t="s">
        <v>2704</v>
      </c>
      <c r="D7386" s="1" t="s">
        <v>2705</v>
      </c>
    </row>
    <row r="7387">
      <c r="A7387" s="1" t="s">
        <v>14903</v>
      </c>
      <c r="B7387" s="2" t="s">
        <v>14904</v>
      </c>
      <c r="C7387" s="1" t="s">
        <v>2704</v>
      </c>
      <c r="D7387" s="1" t="s">
        <v>2705</v>
      </c>
    </row>
    <row r="7388">
      <c r="A7388" s="1" t="s">
        <v>14905</v>
      </c>
      <c r="B7388" s="2" t="s">
        <v>14906</v>
      </c>
      <c r="C7388" s="1" t="s">
        <v>2704</v>
      </c>
      <c r="D7388" s="1" t="s">
        <v>2705</v>
      </c>
    </row>
    <row r="7389">
      <c r="A7389" s="1" t="s">
        <v>14907</v>
      </c>
      <c r="B7389" s="2" t="s">
        <v>14908</v>
      </c>
      <c r="C7389" s="1" t="s">
        <v>2704</v>
      </c>
      <c r="D7389" s="1" t="s">
        <v>2705</v>
      </c>
    </row>
    <row r="7390">
      <c r="A7390" s="1" t="s">
        <v>14909</v>
      </c>
      <c r="B7390" s="2" t="s">
        <v>14910</v>
      </c>
      <c r="C7390" s="1" t="s">
        <v>2704</v>
      </c>
      <c r="D7390" s="1" t="s">
        <v>2705</v>
      </c>
    </row>
    <row r="7391">
      <c r="A7391" s="1" t="s">
        <v>14911</v>
      </c>
      <c r="B7391" s="2" t="s">
        <v>14912</v>
      </c>
      <c r="C7391" s="1" t="s">
        <v>2704</v>
      </c>
      <c r="D7391" s="1" t="s">
        <v>2705</v>
      </c>
    </row>
    <row r="7392">
      <c r="A7392" s="1" t="s">
        <v>14913</v>
      </c>
      <c r="B7392" s="2" t="s">
        <v>14914</v>
      </c>
      <c r="C7392" s="1" t="s">
        <v>2704</v>
      </c>
      <c r="D7392" s="1" t="s">
        <v>2705</v>
      </c>
    </row>
    <row r="7393">
      <c r="A7393" s="1" t="s">
        <v>14915</v>
      </c>
      <c r="B7393" s="2" t="s">
        <v>14916</v>
      </c>
      <c r="C7393" s="1" t="s">
        <v>2704</v>
      </c>
      <c r="D7393" s="1" t="s">
        <v>2705</v>
      </c>
    </row>
    <row r="7394">
      <c r="A7394" s="1" t="s">
        <v>14917</v>
      </c>
      <c r="B7394" s="2" t="s">
        <v>14918</v>
      </c>
      <c r="C7394" s="1" t="s">
        <v>2704</v>
      </c>
      <c r="D7394" s="1" t="s">
        <v>2705</v>
      </c>
    </row>
    <row r="7395">
      <c r="A7395" s="1" t="s">
        <v>14919</v>
      </c>
      <c r="B7395" s="2" t="s">
        <v>14920</v>
      </c>
      <c r="C7395" s="1" t="s">
        <v>2704</v>
      </c>
      <c r="D7395" s="1" t="s">
        <v>2705</v>
      </c>
    </row>
    <row r="7396">
      <c r="A7396" s="1" t="s">
        <v>14921</v>
      </c>
      <c r="B7396" s="2" t="s">
        <v>14922</v>
      </c>
      <c r="C7396" s="1" t="s">
        <v>2704</v>
      </c>
      <c r="D7396" s="1" t="s">
        <v>2705</v>
      </c>
    </row>
    <row r="7397">
      <c r="A7397" s="1" t="s">
        <v>14923</v>
      </c>
      <c r="B7397" s="2" t="s">
        <v>14924</v>
      </c>
      <c r="C7397" s="1" t="s">
        <v>2704</v>
      </c>
      <c r="D7397" s="1" t="s">
        <v>2705</v>
      </c>
    </row>
    <row r="7398">
      <c r="A7398" s="1" t="s">
        <v>14925</v>
      </c>
      <c r="B7398" s="2" t="s">
        <v>14926</v>
      </c>
      <c r="C7398" s="1" t="s">
        <v>2704</v>
      </c>
      <c r="D7398" s="1" t="s">
        <v>2705</v>
      </c>
    </row>
    <row r="7399">
      <c r="A7399" s="1" t="s">
        <v>14927</v>
      </c>
      <c r="B7399" s="2" t="s">
        <v>14928</v>
      </c>
      <c r="C7399" s="1" t="s">
        <v>2704</v>
      </c>
      <c r="D7399" s="1" t="s">
        <v>2705</v>
      </c>
    </row>
    <row r="7400">
      <c r="A7400" s="1" t="s">
        <v>14929</v>
      </c>
      <c r="B7400" s="2" t="s">
        <v>14930</v>
      </c>
      <c r="C7400" s="1" t="s">
        <v>2704</v>
      </c>
      <c r="D7400" s="1" t="s">
        <v>2705</v>
      </c>
    </row>
    <row r="7401">
      <c r="A7401" s="1" t="s">
        <v>14931</v>
      </c>
      <c r="B7401" s="2" t="s">
        <v>14932</v>
      </c>
      <c r="C7401" s="1" t="s">
        <v>2704</v>
      </c>
      <c r="D7401" s="1" t="s">
        <v>2705</v>
      </c>
    </row>
    <row r="7402">
      <c r="A7402" s="1" t="s">
        <v>14933</v>
      </c>
      <c r="B7402" s="2" t="s">
        <v>14594</v>
      </c>
      <c r="C7402" s="1" t="s">
        <v>2704</v>
      </c>
      <c r="D7402" s="1" t="s">
        <v>2705</v>
      </c>
    </row>
    <row r="7403">
      <c r="A7403" s="1" t="s">
        <v>14934</v>
      </c>
      <c r="B7403" s="2" t="s">
        <v>14935</v>
      </c>
      <c r="C7403" s="1" t="s">
        <v>2704</v>
      </c>
      <c r="D7403" s="1" t="s">
        <v>2705</v>
      </c>
    </row>
    <row r="7404">
      <c r="A7404" s="1" t="s">
        <v>14936</v>
      </c>
      <c r="B7404" s="2" t="s">
        <v>14937</v>
      </c>
      <c r="C7404" s="1" t="s">
        <v>2704</v>
      </c>
      <c r="D7404" s="1" t="s">
        <v>2705</v>
      </c>
    </row>
    <row r="7405">
      <c r="A7405" s="1" t="s">
        <v>14938</v>
      </c>
      <c r="B7405" s="2" t="s">
        <v>14939</v>
      </c>
      <c r="C7405" s="1" t="s">
        <v>2704</v>
      </c>
      <c r="D7405" s="1" t="s">
        <v>2705</v>
      </c>
    </row>
    <row r="7406">
      <c r="A7406" s="1" t="s">
        <v>14940</v>
      </c>
      <c r="B7406" s="2" t="s">
        <v>14941</v>
      </c>
      <c r="C7406" s="1" t="s">
        <v>2704</v>
      </c>
      <c r="D7406" s="1" t="s">
        <v>2705</v>
      </c>
    </row>
    <row r="7407">
      <c r="A7407" s="1" t="s">
        <v>14942</v>
      </c>
      <c r="B7407" s="2" t="s">
        <v>14943</v>
      </c>
      <c r="C7407" s="1" t="s">
        <v>2704</v>
      </c>
      <c r="D7407" s="1" t="s">
        <v>2705</v>
      </c>
    </row>
    <row r="7408">
      <c r="A7408" s="1" t="s">
        <v>14944</v>
      </c>
      <c r="B7408" s="2" t="s">
        <v>14945</v>
      </c>
      <c r="C7408" s="1" t="s">
        <v>2704</v>
      </c>
      <c r="D7408" s="1" t="s">
        <v>2705</v>
      </c>
    </row>
    <row r="7409">
      <c r="A7409" s="1" t="s">
        <v>14946</v>
      </c>
      <c r="B7409" s="2" t="s">
        <v>14947</v>
      </c>
      <c r="C7409" s="1" t="s">
        <v>2704</v>
      </c>
      <c r="D7409" s="1" t="s">
        <v>2705</v>
      </c>
    </row>
    <row r="7410">
      <c r="A7410" s="1" t="s">
        <v>14948</v>
      </c>
      <c r="B7410" s="2" t="s">
        <v>14949</v>
      </c>
      <c r="C7410" s="1" t="s">
        <v>2704</v>
      </c>
      <c r="D7410" s="1" t="s">
        <v>2705</v>
      </c>
    </row>
    <row r="7411">
      <c r="A7411" s="1" t="s">
        <v>14950</v>
      </c>
      <c r="B7411" s="2" t="s">
        <v>14951</v>
      </c>
      <c r="C7411" s="1" t="s">
        <v>2704</v>
      </c>
      <c r="D7411" s="1" t="s">
        <v>2705</v>
      </c>
    </row>
    <row r="7412">
      <c r="A7412" s="1" t="s">
        <v>14952</v>
      </c>
      <c r="B7412" s="2" t="s">
        <v>14953</v>
      </c>
      <c r="C7412" s="1" t="s">
        <v>2704</v>
      </c>
      <c r="D7412" s="1" t="s">
        <v>2705</v>
      </c>
    </row>
    <row r="7413">
      <c r="A7413" s="1" t="s">
        <v>14954</v>
      </c>
      <c r="B7413" s="2" t="s">
        <v>14955</v>
      </c>
      <c r="C7413" s="1" t="s">
        <v>2704</v>
      </c>
      <c r="D7413" s="1" t="s">
        <v>2705</v>
      </c>
    </row>
    <row r="7414">
      <c r="A7414" s="1" t="s">
        <v>14956</v>
      </c>
      <c r="B7414" s="2" t="s">
        <v>14957</v>
      </c>
      <c r="C7414" s="1" t="s">
        <v>2704</v>
      </c>
      <c r="D7414" s="1" t="s">
        <v>2705</v>
      </c>
    </row>
    <row r="7415">
      <c r="A7415" s="1" t="s">
        <v>14958</v>
      </c>
      <c r="B7415" s="2" t="s">
        <v>14959</v>
      </c>
      <c r="C7415" s="1" t="s">
        <v>2704</v>
      </c>
      <c r="D7415" s="1" t="s">
        <v>2705</v>
      </c>
    </row>
    <row r="7416">
      <c r="A7416" s="1" t="s">
        <v>14960</v>
      </c>
      <c r="B7416" s="2" t="s">
        <v>14961</v>
      </c>
      <c r="C7416" s="1" t="s">
        <v>2704</v>
      </c>
      <c r="D7416" s="1" t="s">
        <v>2705</v>
      </c>
    </row>
    <row r="7417">
      <c r="A7417" s="1" t="s">
        <v>14962</v>
      </c>
      <c r="B7417" s="2" t="s">
        <v>14963</v>
      </c>
      <c r="C7417" s="1" t="s">
        <v>2704</v>
      </c>
      <c r="D7417" s="1" t="s">
        <v>2705</v>
      </c>
    </row>
    <row r="7418">
      <c r="A7418" s="1" t="s">
        <v>14964</v>
      </c>
      <c r="B7418" s="2" t="s">
        <v>14598</v>
      </c>
      <c r="C7418" s="1" t="s">
        <v>2704</v>
      </c>
      <c r="D7418" s="1" t="s">
        <v>2705</v>
      </c>
    </row>
    <row r="7419">
      <c r="A7419" s="1" t="s">
        <v>14965</v>
      </c>
      <c r="B7419" s="2" t="s">
        <v>14966</v>
      </c>
      <c r="C7419" s="1" t="s">
        <v>2704</v>
      </c>
      <c r="D7419" s="1" t="s">
        <v>2705</v>
      </c>
    </row>
    <row r="7420">
      <c r="A7420" s="1" t="s">
        <v>14967</v>
      </c>
      <c r="B7420" s="2" t="s">
        <v>14968</v>
      </c>
      <c r="C7420" s="1" t="s">
        <v>2704</v>
      </c>
      <c r="D7420" s="1" t="s">
        <v>2705</v>
      </c>
    </row>
    <row r="7421">
      <c r="A7421" s="1" t="s">
        <v>14969</v>
      </c>
      <c r="B7421" s="2" t="s">
        <v>14970</v>
      </c>
      <c r="C7421" s="1" t="s">
        <v>2704</v>
      </c>
      <c r="D7421" s="1" t="s">
        <v>2705</v>
      </c>
    </row>
    <row r="7422">
      <c r="A7422" s="1" t="s">
        <v>14971</v>
      </c>
      <c r="B7422" s="2" t="s">
        <v>14972</v>
      </c>
      <c r="C7422" s="1" t="s">
        <v>2704</v>
      </c>
      <c r="D7422" s="1" t="s">
        <v>2705</v>
      </c>
    </row>
    <row r="7423">
      <c r="A7423" s="1" t="s">
        <v>14973</v>
      </c>
      <c r="B7423" s="2" t="s">
        <v>14974</v>
      </c>
      <c r="C7423" s="1" t="s">
        <v>2704</v>
      </c>
      <c r="D7423" s="1" t="s">
        <v>2705</v>
      </c>
    </row>
    <row r="7424">
      <c r="A7424" s="1" t="s">
        <v>14975</v>
      </c>
      <c r="B7424" s="2" t="s">
        <v>14976</v>
      </c>
      <c r="C7424" s="1" t="s">
        <v>2704</v>
      </c>
      <c r="D7424" s="1" t="s">
        <v>2705</v>
      </c>
    </row>
    <row r="7425">
      <c r="A7425" s="1" t="s">
        <v>14977</v>
      </c>
      <c r="B7425" s="2" t="s">
        <v>14978</v>
      </c>
      <c r="C7425" s="1" t="s">
        <v>2704</v>
      </c>
      <c r="D7425" s="1" t="s">
        <v>2705</v>
      </c>
    </row>
    <row r="7426">
      <c r="A7426" s="1" t="s">
        <v>14979</v>
      </c>
      <c r="B7426" s="2" t="s">
        <v>14980</v>
      </c>
      <c r="C7426" s="1" t="s">
        <v>2704</v>
      </c>
      <c r="D7426" s="1" t="s">
        <v>2705</v>
      </c>
    </row>
    <row r="7427">
      <c r="A7427" s="1" t="s">
        <v>14981</v>
      </c>
      <c r="B7427" s="2" t="s">
        <v>14982</v>
      </c>
      <c r="C7427" s="1" t="s">
        <v>2704</v>
      </c>
      <c r="D7427" s="1" t="s">
        <v>2705</v>
      </c>
    </row>
    <row r="7428">
      <c r="A7428" s="1" t="s">
        <v>14983</v>
      </c>
      <c r="B7428" s="2" t="s">
        <v>14984</v>
      </c>
      <c r="C7428" s="1" t="s">
        <v>2704</v>
      </c>
      <c r="D7428" s="1" t="s">
        <v>2705</v>
      </c>
    </row>
    <row r="7429">
      <c r="A7429" s="1" t="s">
        <v>14985</v>
      </c>
      <c r="B7429" s="2" t="s">
        <v>14986</v>
      </c>
      <c r="C7429" s="1" t="s">
        <v>2704</v>
      </c>
      <c r="D7429" s="1" t="s">
        <v>2705</v>
      </c>
    </row>
    <row r="7430">
      <c r="A7430" s="1" t="s">
        <v>14987</v>
      </c>
      <c r="B7430" s="2" t="s">
        <v>14988</v>
      </c>
      <c r="C7430" s="1" t="s">
        <v>2704</v>
      </c>
      <c r="D7430" s="1" t="s">
        <v>2705</v>
      </c>
    </row>
    <row r="7431">
      <c r="A7431" s="1" t="s">
        <v>14989</v>
      </c>
      <c r="B7431" s="2" t="s">
        <v>14990</v>
      </c>
      <c r="C7431" s="1" t="s">
        <v>2704</v>
      </c>
      <c r="D7431" s="1" t="s">
        <v>2705</v>
      </c>
    </row>
    <row r="7432">
      <c r="A7432" s="1" t="s">
        <v>14991</v>
      </c>
      <c r="B7432" s="2" t="s">
        <v>14992</v>
      </c>
      <c r="C7432" s="1" t="s">
        <v>2704</v>
      </c>
      <c r="D7432" s="1" t="s">
        <v>2705</v>
      </c>
    </row>
    <row r="7433">
      <c r="A7433" s="1" t="s">
        <v>14993</v>
      </c>
      <c r="B7433" s="2" t="s">
        <v>14994</v>
      </c>
      <c r="C7433" s="1" t="s">
        <v>2704</v>
      </c>
      <c r="D7433" s="1" t="s">
        <v>2705</v>
      </c>
    </row>
    <row r="7434">
      <c r="A7434" s="1" t="s">
        <v>14995</v>
      </c>
      <c r="B7434" s="2" t="s">
        <v>14996</v>
      </c>
      <c r="C7434" s="1" t="s">
        <v>2704</v>
      </c>
      <c r="D7434" s="1" t="s">
        <v>2705</v>
      </c>
    </row>
    <row r="7435">
      <c r="A7435" s="1" t="s">
        <v>14997</v>
      </c>
      <c r="B7435" s="2" t="s">
        <v>14998</v>
      </c>
      <c r="C7435" s="1" t="s">
        <v>2704</v>
      </c>
      <c r="D7435" s="1" t="s">
        <v>2705</v>
      </c>
    </row>
    <row r="7436">
      <c r="A7436" s="1" t="s">
        <v>14999</v>
      </c>
      <c r="B7436" s="2" t="s">
        <v>15000</v>
      </c>
      <c r="C7436" s="1" t="s">
        <v>2704</v>
      </c>
      <c r="D7436" s="1" t="s">
        <v>2705</v>
      </c>
    </row>
    <row r="7437">
      <c r="A7437" s="1" t="s">
        <v>15001</v>
      </c>
      <c r="B7437" s="2" t="s">
        <v>15002</v>
      </c>
      <c r="C7437" s="1" t="s">
        <v>2704</v>
      </c>
      <c r="D7437" s="1" t="s">
        <v>2705</v>
      </c>
    </row>
    <row r="7438">
      <c r="A7438" s="1" t="s">
        <v>15003</v>
      </c>
      <c r="B7438" s="2" t="s">
        <v>15004</v>
      </c>
      <c r="C7438" s="1" t="s">
        <v>2704</v>
      </c>
      <c r="D7438" s="1" t="s">
        <v>2705</v>
      </c>
    </row>
    <row r="7439">
      <c r="A7439" s="1" t="s">
        <v>15005</v>
      </c>
      <c r="B7439" s="2" t="s">
        <v>15006</v>
      </c>
      <c r="C7439" s="1" t="s">
        <v>2704</v>
      </c>
      <c r="D7439" s="1" t="s">
        <v>2705</v>
      </c>
    </row>
    <row r="7440">
      <c r="A7440" s="1" t="s">
        <v>15007</v>
      </c>
      <c r="B7440" s="2" t="s">
        <v>15008</v>
      </c>
      <c r="C7440" s="1" t="s">
        <v>2704</v>
      </c>
      <c r="D7440" s="1" t="s">
        <v>2705</v>
      </c>
    </row>
    <row r="7441">
      <c r="A7441" s="1" t="s">
        <v>15009</v>
      </c>
      <c r="B7441" s="2" t="s">
        <v>15010</v>
      </c>
      <c r="C7441" s="1" t="s">
        <v>2704</v>
      </c>
      <c r="D7441" s="1" t="s">
        <v>2705</v>
      </c>
    </row>
    <row r="7442">
      <c r="A7442" s="1" t="s">
        <v>15011</v>
      </c>
      <c r="B7442" s="2" t="s">
        <v>15012</v>
      </c>
      <c r="C7442" s="1" t="s">
        <v>2704</v>
      </c>
      <c r="D7442" s="1" t="s">
        <v>2705</v>
      </c>
    </row>
    <row r="7443">
      <c r="A7443" s="1" t="s">
        <v>15013</v>
      </c>
      <c r="B7443" s="2" t="s">
        <v>15014</v>
      </c>
      <c r="C7443" s="1" t="s">
        <v>2704</v>
      </c>
      <c r="D7443" s="1" t="s">
        <v>2705</v>
      </c>
    </row>
    <row r="7444">
      <c r="A7444" s="1" t="s">
        <v>15015</v>
      </c>
      <c r="B7444" s="2" t="s">
        <v>15016</v>
      </c>
      <c r="C7444" s="1" t="s">
        <v>2704</v>
      </c>
      <c r="D7444" s="1" t="s">
        <v>2705</v>
      </c>
    </row>
    <row r="7445">
      <c r="A7445" s="1" t="s">
        <v>15017</v>
      </c>
      <c r="B7445" s="2" t="s">
        <v>15018</v>
      </c>
      <c r="C7445" s="1" t="s">
        <v>2704</v>
      </c>
      <c r="D7445" s="1" t="s">
        <v>2705</v>
      </c>
    </row>
    <row r="7446">
      <c r="A7446" s="1" t="s">
        <v>15019</v>
      </c>
      <c r="B7446" s="2" t="s">
        <v>15020</v>
      </c>
      <c r="C7446" s="1" t="s">
        <v>2704</v>
      </c>
      <c r="D7446" s="1" t="s">
        <v>2705</v>
      </c>
    </row>
    <row r="7447">
      <c r="A7447" s="1" t="s">
        <v>15021</v>
      </c>
      <c r="B7447" s="2" t="s">
        <v>15022</v>
      </c>
      <c r="C7447" s="1" t="s">
        <v>2704</v>
      </c>
      <c r="D7447" s="1" t="s">
        <v>2705</v>
      </c>
    </row>
    <row r="7448">
      <c r="A7448" s="1" t="s">
        <v>15023</v>
      </c>
      <c r="B7448" s="2" t="s">
        <v>15024</v>
      </c>
      <c r="C7448" s="1" t="s">
        <v>2704</v>
      </c>
      <c r="D7448" s="1" t="s">
        <v>2705</v>
      </c>
    </row>
    <row r="7449">
      <c r="A7449" s="1" t="s">
        <v>15025</v>
      </c>
      <c r="B7449" s="2" t="s">
        <v>15026</v>
      </c>
      <c r="C7449" s="1" t="s">
        <v>2704</v>
      </c>
      <c r="D7449" s="1" t="s">
        <v>2705</v>
      </c>
    </row>
    <row r="7450">
      <c r="A7450" s="1" t="s">
        <v>15027</v>
      </c>
      <c r="B7450" s="2" t="s">
        <v>15028</v>
      </c>
      <c r="C7450" s="1" t="s">
        <v>2704</v>
      </c>
      <c r="D7450" s="1" t="s">
        <v>2705</v>
      </c>
    </row>
    <row r="7451">
      <c r="A7451" s="1" t="s">
        <v>15029</v>
      </c>
      <c r="B7451" s="2" t="s">
        <v>15030</v>
      </c>
      <c r="C7451" s="1" t="s">
        <v>2704</v>
      </c>
      <c r="D7451" s="1" t="s">
        <v>2705</v>
      </c>
    </row>
    <row r="7452">
      <c r="A7452" s="1" t="s">
        <v>15031</v>
      </c>
      <c r="B7452" s="2" t="s">
        <v>15032</v>
      </c>
      <c r="C7452" s="1" t="s">
        <v>2704</v>
      </c>
      <c r="D7452" s="1" t="s">
        <v>2705</v>
      </c>
    </row>
    <row r="7453">
      <c r="A7453" s="1" t="s">
        <v>15033</v>
      </c>
      <c r="B7453" s="2" t="s">
        <v>15034</v>
      </c>
      <c r="C7453" s="1" t="s">
        <v>2704</v>
      </c>
      <c r="D7453" s="1" t="s">
        <v>2705</v>
      </c>
    </row>
    <row r="7454">
      <c r="A7454" s="1" t="s">
        <v>15035</v>
      </c>
      <c r="B7454" s="2" t="s">
        <v>15036</v>
      </c>
      <c r="C7454" s="1" t="s">
        <v>2704</v>
      </c>
      <c r="D7454" s="1" t="s">
        <v>2705</v>
      </c>
    </row>
    <row r="7455">
      <c r="A7455" s="1" t="s">
        <v>15037</v>
      </c>
      <c r="B7455" s="2" t="s">
        <v>15038</v>
      </c>
      <c r="C7455" s="1" t="s">
        <v>2704</v>
      </c>
      <c r="D7455" s="1" t="s">
        <v>2705</v>
      </c>
    </row>
    <row r="7456">
      <c r="A7456" s="1" t="s">
        <v>15039</v>
      </c>
      <c r="B7456" s="2" t="s">
        <v>15040</v>
      </c>
      <c r="C7456" s="1" t="s">
        <v>2704</v>
      </c>
      <c r="D7456" s="1" t="s">
        <v>2705</v>
      </c>
    </row>
    <row r="7457">
      <c r="A7457" s="1" t="s">
        <v>15041</v>
      </c>
      <c r="B7457" s="2" t="s">
        <v>15042</v>
      </c>
      <c r="C7457" s="1" t="s">
        <v>2704</v>
      </c>
      <c r="D7457" s="1" t="s">
        <v>2705</v>
      </c>
    </row>
    <row r="7458">
      <c r="A7458" s="1" t="s">
        <v>15043</v>
      </c>
      <c r="B7458" s="2" t="s">
        <v>15044</v>
      </c>
      <c r="C7458" s="1" t="s">
        <v>2704</v>
      </c>
      <c r="D7458" s="1" t="s">
        <v>2705</v>
      </c>
    </row>
    <row r="7459">
      <c r="A7459" s="1" t="s">
        <v>15045</v>
      </c>
      <c r="B7459" s="2" t="s">
        <v>15046</v>
      </c>
      <c r="C7459" s="1" t="s">
        <v>2704</v>
      </c>
      <c r="D7459" s="1" t="s">
        <v>2705</v>
      </c>
    </row>
    <row r="7460">
      <c r="A7460" s="1" t="s">
        <v>15047</v>
      </c>
      <c r="B7460" s="2" t="s">
        <v>15048</v>
      </c>
      <c r="C7460" s="1" t="s">
        <v>2704</v>
      </c>
      <c r="D7460" s="1" t="s">
        <v>2705</v>
      </c>
    </row>
    <row r="7461">
      <c r="A7461" s="1" t="s">
        <v>15049</v>
      </c>
      <c r="B7461" s="2" t="s">
        <v>15050</v>
      </c>
      <c r="C7461" s="1" t="s">
        <v>2704</v>
      </c>
      <c r="D7461" s="1" t="s">
        <v>2705</v>
      </c>
    </row>
    <row r="7462">
      <c r="A7462" s="1" t="s">
        <v>15051</v>
      </c>
      <c r="B7462" s="2" t="s">
        <v>15052</v>
      </c>
      <c r="C7462" s="1" t="s">
        <v>2704</v>
      </c>
      <c r="D7462" s="1" t="s">
        <v>2705</v>
      </c>
    </row>
    <row r="7463">
      <c r="A7463" s="1" t="s">
        <v>15053</v>
      </c>
      <c r="B7463" s="2" t="s">
        <v>15054</v>
      </c>
      <c r="C7463" s="1" t="s">
        <v>2704</v>
      </c>
      <c r="D7463" s="1" t="s">
        <v>2705</v>
      </c>
    </row>
    <row r="7464">
      <c r="A7464" s="1" t="s">
        <v>15055</v>
      </c>
      <c r="B7464" s="2" t="s">
        <v>15056</v>
      </c>
      <c r="C7464" s="1" t="s">
        <v>2704</v>
      </c>
      <c r="D7464" s="1" t="s">
        <v>2705</v>
      </c>
    </row>
    <row r="7465">
      <c r="A7465" s="1" t="s">
        <v>15057</v>
      </c>
      <c r="B7465" s="2" t="s">
        <v>15058</v>
      </c>
      <c r="C7465" s="1" t="s">
        <v>2704</v>
      </c>
      <c r="D7465" s="1" t="s">
        <v>2705</v>
      </c>
    </row>
    <row r="7466">
      <c r="A7466" s="1" t="s">
        <v>15059</v>
      </c>
      <c r="B7466" s="2" t="s">
        <v>15060</v>
      </c>
      <c r="C7466" s="1" t="s">
        <v>2704</v>
      </c>
      <c r="D7466" s="1" t="s">
        <v>2705</v>
      </c>
    </row>
    <row r="7467">
      <c r="A7467" s="1" t="s">
        <v>15061</v>
      </c>
      <c r="B7467" s="2" t="s">
        <v>15062</v>
      </c>
      <c r="C7467" s="1" t="s">
        <v>2704</v>
      </c>
      <c r="D7467" s="1" t="s">
        <v>2705</v>
      </c>
    </row>
    <row r="7468">
      <c r="A7468" s="1" t="s">
        <v>15063</v>
      </c>
      <c r="B7468" s="2" t="s">
        <v>15064</v>
      </c>
      <c r="C7468" s="1" t="s">
        <v>2704</v>
      </c>
      <c r="D7468" s="1" t="s">
        <v>2705</v>
      </c>
    </row>
    <row r="7469">
      <c r="A7469" s="1" t="s">
        <v>15065</v>
      </c>
      <c r="B7469" s="2" t="s">
        <v>15066</v>
      </c>
      <c r="C7469" s="1" t="s">
        <v>2704</v>
      </c>
      <c r="D7469" s="1" t="s">
        <v>2705</v>
      </c>
    </row>
    <row r="7470">
      <c r="A7470" s="1" t="s">
        <v>15067</v>
      </c>
      <c r="B7470" s="2" t="s">
        <v>15068</v>
      </c>
      <c r="C7470" s="1" t="s">
        <v>2704</v>
      </c>
      <c r="D7470" s="1" t="s">
        <v>2705</v>
      </c>
    </row>
    <row r="7471">
      <c r="A7471" s="1" t="s">
        <v>15069</v>
      </c>
      <c r="B7471" s="2" t="s">
        <v>15070</v>
      </c>
      <c r="C7471" s="1" t="s">
        <v>2704</v>
      </c>
      <c r="D7471" s="1" t="s">
        <v>2705</v>
      </c>
    </row>
    <row r="7472">
      <c r="A7472" s="1" t="s">
        <v>15071</v>
      </c>
      <c r="B7472" s="2" t="s">
        <v>15072</v>
      </c>
      <c r="C7472" s="1" t="s">
        <v>2704</v>
      </c>
      <c r="D7472" s="1" t="s">
        <v>2705</v>
      </c>
    </row>
    <row r="7473">
      <c r="A7473" s="1" t="s">
        <v>15073</v>
      </c>
      <c r="B7473" s="2" t="s">
        <v>15074</v>
      </c>
      <c r="C7473" s="1" t="s">
        <v>2704</v>
      </c>
      <c r="D7473" s="1" t="s">
        <v>2705</v>
      </c>
    </row>
    <row r="7474">
      <c r="A7474" s="1" t="s">
        <v>15075</v>
      </c>
      <c r="B7474" s="2" t="s">
        <v>15076</v>
      </c>
      <c r="C7474" s="1" t="s">
        <v>2704</v>
      </c>
      <c r="D7474" s="1" t="s">
        <v>2705</v>
      </c>
    </row>
    <row r="7475">
      <c r="A7475" s="1" t="s">
        <v>15077</v>
      </c>
      <c r="B7475" s="2" t="s">
        <v>15078</v>
      </c>
      <c r="C7475" s="1" t="s">
        <v>2704</v>
      </c>
      <c r="D7475" s="1" t="s">
        <v>2705</v>
      </c>
    </row>
    <row r="7476">
      <c r="A7476" s="1" t="s">
        <v>15079</v>
      </c>
      <c r="B7476" s="2" t="s">
        <v>15080</v>
      </c>
      <c r="C7476" s="1" t="s">
        <v>2704</v>
      </c>
      <c r="D7476" s="1" t="s">
        <v>2705</v>
      </c>
    </row>
    <row r="7477">
      <c r="A7477" s="1" t="s">
        <v>15081</v>
      </c>
      <c r="B7477" s="2" t="s">
        <v>15082</v>
      </c>
      <c r="C7477" s="1" t="s">
        <v>2704</v>
      </c>
      <c r="D7477" s="1" t="s">
        <v>2705</v>
      </c>
    </row>
    <row r="7478">
      <c r="A7478" s="1" t="s">
        <v>15083</v>
      </c>
      <c r="B7478" s="2" t="s">
        <v>15084</v>
      </c>
      <c r="C7478" s="1" t="s">
        <v>2704</v>
      </c>
      <c r="D7478" s="1" t="s">
        <v>2705</v>
      </c>
    </row>
    <row r="7479">
      <c r="A7479" s="1" t="s">
        <v>2756</v>
      </c>
      <c r="B7479" s="2" t="s">
        <v>7</v>
      </c>
      <c r="C7479" s="1" t="s">
        <v>2759</v>
      </c>
      <c r="D7479" s="1" t="s">
        <v>2760</v>
      </c>
    </row>
    <row r="7480">
      <c r="A7480" s="1" t="s">
        <v>15085</v>
      </c>
      <c r="B7480" s="2" t="s">
        <v>15086</v>
      </c>
      <c r="C7480" s="1" t="s">
        <v>2759</v>
      </c>
      <c r="D7480" s="1" t="s">
        <v>2760</v>
      </c>
    </row>
    <row r="7481">
      <c r="A7481" s="1" t="s">
        <v>15087</v>
      </c>
      <c r="B7481" s="2" t="s">
        <v>15088</v>
      </c>
      <c r="C7481" s="1" t="s">
        <v>2759</v>
      </c>
      <c r="D7481" s="1" t="s">
        <v>2760</v>
      </c>
    </row>
    <row r="7482">
      <c r="A7482" s="1" t="s">
        <v>15089</v>
      </c>
      <c r="B7482" s="2" t="s">
        <v>15090</v>
      </c>
      <c r="C7482" s="1" t="s">
        <v>2759</v>
      </c>
      <c r="D7482" s="1" t="s">
        <v>2760</v>
      </c>
    </row>
    <row r="7483">
      <c r="A7483" s="1" t="s">
        <v>15091</v>
      </c>
      <c r="B7483" s="2" t="s">
        <v>15092</v>
      </c>
      <c r="C7483" s="1" t="s">
        <v>2759</v>
      </c>
      <c r="D7483" s="1" t="s">
        <v>2760</v>
      </c>
    </row>
    <row r="7484">
      <c r="A7484" s="1" t="s">
        <v>15093</v>
      </c>
      <c r="B7484" s="2" t="s">
        <v>15094</v>
      </c>
      <c r="C7484" s="1" t="s">
        <v>2759</v>
      </c>
      <c r="D7484" s="1" t="s">
        <v>2760</v>
      </c>
    </row>
    <row r="7485">
      <c r="A7485" s="1" t="s">
        <v>15095</v>
      </c>
      <c r="B7485" s="2" t="s">
        <v>15096</v>
      </c>
      <c r="C7485" s="1" t="s">
        <v>2759</v>
      </c>
      <c r="D7485" s="1" t="s">
        <v>2760</v>
      </c>
    </row>
    <row r="7486">
      <c r="A7486" s="1" t="s">
        <v>15097</v>
      </c>
      <c r="B7486" s="2" t="s">
        <v>15098</v>
      </c>
      <c r="C7486" s="1" t="s">
        <v>2759</v>
      </c>
      <c r="D7486" s="1" t="s">
        <v>2760</v>
      </c>
    </row>
    <row r="7487">
      <c r="A7487" s="1" t="s">
        <v>15099</v>
      </c>
      <c r="B7487" s="2" t="s">
        <v>15100</v>
      </c>
      <c r="C7487" s="1" t="s">
        <v>2759</v>
      </c>
      <c r="D7487" s="1" t="s">
        <v>2760</v>
      </c>
    </row>
    <row r="7488">
      <c r="A7488" s="1" t="s">
        <v>15101</v>
      </c>
      <c r="B7488" s="2" t="s">
        <v>15102</v>
      </c>
      <c r="C7488" s="1" t="s">
        <v>2759</v>
      </c>
      <c r="D7488" s="1" t="s">
        <v>2760</v>
      </c>
    </row>
    <row r="7489">
      <c r="A7489" s="1" t="s">
        <v>15103</v>
      </c>
      <c r="B7489" s="2" t="s">
        <v>15104</v>
      </c>
      <c r="C7489" s="1" t="s">
        <v>2759</v>
      </c>
      <c r="D7489" s="1" t="s">
        <v>2760</v>
      </c>
    </row>
    <row r="7490">
      <c r="A7490" s="1" t="s">
        <v>15105</v>
      </c>
      <c r="B7490" s="2" t="s">
        <v>15106</v>
      </c>
      <c r="C7490" s="1" t="s">
        <v>2759</v>
      </c>
      <c r="D7490" s="1" t="s">
        <v>2760</v>
      </c>
    </row>
    <row r="7491">
      <c r="A7491" s="1" t="s">
        <v>15107</v>
      </c>
      <c r="B7491" s="2" t="s">
        <v>15108</v>
      </c>
      <c r="C7491" s="1" t="s">
        <v>2759</v>
      </c>
      <c r="D7491" s="1" t="s">
        <v>2760</v>
      </c>
    </row>
    <row r="7492">
      <c r="A7492" s="1" t="s">
        <v>15109</v>
      </c>
      <c r="B7492" s="2" t="s">
        <v>15110</v>
      </c>
      <c r="C7492" s="1" t="s">
        <v>2759</v>
      </c>
      <c r="D7492" s="1" t="s">
        <v>2760</v>
      </c>
    </row>
    <row r="7493">
      <c r="A7493" s="1" t="s">
        <v>15111</v>
      </c>
      <c r="B7493" s="2" t="s">
        <v>15112</v>
      </c>
      <c r="C7493" s="1" t="s">
        <v>2759</v>
      </c>
      <c r="D7493" s="1" t="s">
        <v>2760</v>
      </c>
    </row>
    <row r="7494">
      <c r="A7494" s="1" t="s">
        <v>15113</v>
      </c>
      <c r="B7494" s="2" t="s">
        <v>15114</v>
      </c>
      <c r="C7494" s="1" t="s">
        <v>2759</v>
      </c>
      <c r="D7494" s="1" t="s">
        <v>2760</v>
      </c>
    </row>
    <row r="7495">
      <c r="A7495" s="1" t="s">
        <v>15115</v>
      </c>
      <c r="B7495" s="2" t="s">
        <v>15116</v>
      </c>
      <c r="C7495" s="1" t="s">
        <v>2759</v>
      </c>
      <c r="D7495" s="1" t="s">
        <v>2760</v>
      </c>
    </row>
    <row r="7496">
      <c r="A7496" s="1" t="s">
        <v>15117</v>
      </c>
      <c r="B7496" s="2" t="s">
        <v>15118</v>
      </c>
      <c r="C7496" s="1" t="s">
        <v>2759</v>
      </c>
      <c r="D7496" s="1" t="s">
        <v>2760</v>
      </c>
    </row>
    <row r="7497">
      <c r="A7497" s="1" t="s">
        <v>15119</v>
      </c>
      <c r="B7497" s="2" t="s">
        <v>15120</v>
      </c>
      <c r="C7497" s="1" t="s">
        <v>2759</v>
      </c>
      <c r="D7497" s="1" t="s">
        <v>2760</v>
      </c>
    </row>
    <row r="7498">
      <c r="A7498" s="1" t="s">
        <v>15121</v>
      </c>
      <c r="B7498" s="2" t="s">
        <v>15122</v>
      </c>
      <c r="C7498" s="1" t="s">
        <v>2759</v>
      </c>
      <c r="D7498" s="1" t="s">
        <v>2760</v>
      </c>
    </row>
    <row r="7499">
      <c r="A7499" s="1" t="s">
        <v>15123</v>
      </c>
      <c r="B7499" s="2" t="s">
        <v>15124</v>
      </c>
      <c r="C7499" s="1" t="s">
        <v>2759</v>
      </c>
      <c r="D7499" s="1" t="s">
        <v>2760</v>
      </c>
    </row>
    <row r="7500">
      <c r="A7500" s="1" t="s">
        <v>15125</v>
      </c>
      <c r="B7500" s="2" t="s">
        <v>15126</v>
      </c>
      <c r="C7500" s="1" t="s">
        <v>2759</v>
      </c>
      <c r="D7500" s="1" t="s">
        <v>2760</v>
      </c>
    </row>
    <row r="7501">
      <c r="A7501" s="1" t="s">
        <v>15127</v>
      </c>
      <c r="B7501" s="2" t="s">
        <v>15128</v>
      </c>
      <c r="C7501" s="1" t="s">
        <v>2759</v>
      </c>
      <c r="D7501" s="1" t="s">
        <v>2760</v>
      </c>
    </row>
    <row r="7502">
      <c r="A7502" s="1" t="s">
        <v>15129</v>
      </c>
      <c r="B7502" s="2" t="s">
        <v>15130</v>
      </c>
      <c r="C7502" s="1" t="s">
        <v>2759</v>
      </c>
      <c r="D7502" s="1" t="s">
        <v>2760</v>
      </c>
    </row>
    <row r="7503">
      <c r="A7503" s="1" t="s">
        <v>15131</v>
      </c>
      <c r="B7503" s="2" t="s">
        <v>15132</v>
      </c>
      <c r="C7503" s="1" t="s">
        <v>2759</v>
      </c>
      <c r="D7503" s="1" t="s">
        <v>2760</v>
      </c>
    </row>
    <row r="7504">
      <c r="A7504" s="1" t="s">
        <v>15133</v>
      </c>
      <c r="B7504" s="2" t="s">
        <v>15134</v>
      </c>
      <c r="C7504" s="1" t="s">
        <v>2759</v>
      </c>
      <c r="D7504" s="1" t="s">
        <v>2760</v>
      </c>
    </row>
    <row r="7505">
      <c r="A7505" s="1" t="s">
        <v>15135</v>
      </c>
      <c r="B7505" s="2" t="s">
        <v>15136</v>
      </c>
      <c r="C7505" s="1" t="s">
        <v>2759</v>
      </c>
      <c r="D7505" s="1" t="s">
        <v>2760</v>
      </c>
    </row>
    <row r="7506">
      <c r="A7506" s="1" t="s">
        <v>15137</v>
      </c>
      <c r="B7506" s="2" t="s">
        <v>15138</v>
      </c>
      <c r="C7506" s="1" t="s">
        <v>2759</v>
      </c>
      <c r="D7506" s="1" t="s">
        <v>2760</v>
      </c>
    </row>
    <row r="7507">
      <c r="A7507" s="1" t="s">
        <v>15139</v>
      </c>
      <c r="B7507" s="2" t="s">
        <v>15140</v>
      </c>
      <c r="C7507" s="1" t="s">
        <v>2759</v>
      </c>
      <c r="D7507" s="1" t="s">
        <v>2760</v>
      </c>
    </row>
    <row r="7508">
      <c r="A7508" s="1" t="s">
        <v>15141</v>
      </c>
      <c r="B7508" s="2" t="s">
        <v>15142</v>
      </c>
      <c r="C7508" s="1" t="s">
        <v>2759</v>
      </c>
      <c r="D7508" s="1" t="s">
        <v>2760</v>
      </c>
    </row>
    <row r="7509">
      <c r="A7509" s="1" t="s">
        <v>15143</v>
      </c>
      <c r="B7509" s="2" t="s">
        <v>15144</v>
      </c>
      <c r="C7509" s="1" t="s">
        <v>2759</v>
      </c>
      <c r="D7509" s="1" t="s">
        <v>2760</v>
      </c>
    </row>
    <row r="7510">
      <c r="A7510" s="1" t="s">
        <v>15145</v>
      </c>
      <c r="B7510" s="2" t="s">
        <v>15146</v>
      </c>
      <c r="C7510" s="1" t="s">
        <v>2759</v>
      </c>
      <c r="D7510" s="1" t="s">
        <v>2760</v>
      </c>
    </row>
    <row r="7511">
      <c r="A7511" s="1" t="s">
        <v>15147</v>
      </c>
      <c r="B7511" s="2" t="s">
        <v>15148</v>
      </c>
      <c r="C7511" s="1" t="s">
        <v>2759</v>
      </c>
      <c r="D7511" s="1" t="s">
        <v>2760</v>
      </c>
    </row>
    <row r="7512">
      <c r="A7512" s="1" t="s">
        <v>15149</v>
      </c>
      <c r="B7512" s="2" t="s">
        <v>15150</v>
      </c>
      <c r="C7512" s="1" t="s">
        <v>2759</v>
      </c>
      <c r="D7512" s="1" t="s">
        <v>2760</v>
      </c>
    </row>
    <row r="7513">
      <c r="A7513" s="1" t="s">
        <v>15151</v>
      </c>
      <c r="B7513" s="2" t="s">
        <v>15152</v>
      </c>
      <c r="C7513" s="1" t="s">
        <v>2759</v>
      </c>
      <c r="D7513" s="1" t="s">
        <v>2760</v>
      </c>
    </row>
    <row r="7514">
      <c r="A7514" s="1" t="s">
        <v>15153</v>
      </c>
      <c r="B7514" s="2" t="s">
        <v>15154</v>
      </c>
      <c r="C7514" s="1" t="s">
        <v>2759</v>
      </c>
      <c r="D7514" s="1" t="s">
        <v>2760</v>
      </c>
    </row>
    <row r="7515">
      <c r="A7515" s="1" t="s">
        <v>15155</v>
      </c>
      <c r="B7515" s="2" t="s">
        <v>15156</v>
      </c>
      <c r="C7515" s="1" t="s">
        <v>2759</v>
      </c>
      <c r="D7515" s="1" t="s">
        <v>2760</v>
      </c>
    </row>
    <row r="7516">
      <c r="A7516" s="1" t="s">
        <v>15157</v>
      </c>
      <c r="B7516" s="2" t="s">
        <v>15158</v>
      </c>
      <c r="C7516" s="1" t="s">
        <v>2759</v>
      </c>
      <c r="D7516" s="1" t="s">
        <v>2760</v>
      </c>
    </row>
    <row r="7517">
      <c r="A7517" s="1" t="s">
        <v>15159</v>
      </c>
      <c r="B7517" s="2" t="s">
        <v>15160</v>
      </c>
      <c r="C7517" s="1" t="s">
        <v>2759</v>
      </c>
      <c r="D7517" s="1" t="s">
        <v>2760</v>
      </c>
    </row>
    <row r="7518">
      <c r="A7518" s="1" t="s">
        <v>15161</v>
      </c>
      <c r="B7518" s="2" t="s">
        <v>15162</v>
      </c>
      <c r="C7518" s="1" t="s">
        <v>2759</v>
      </c>
      <c r="D7518" s="1" t="s">
        <v>2760</v>
      </c>
    </row>
    <row r="7519">
      <c r="A7519" s="1" t="s">
        <v>15163</v>
      </c>
      <c r="B7519" s="2" t="s">
        <v>15164</v>
      </c>
      <c r="C7519" s="1" t="s">
        <v>2759</v>
      </c>
      <c r="D7519" s="1" t="s">
        <v>2760</v>
      </c>
    </row>
    <row r="7520">
      <c r="A7520" s="1" t="s">
        <v>15165</v>
      </c>
      <c r="B7520" s="2" t="s">
        <v>15166</v>
      </c>
      <c r="C7520" s="1" t="s">
        <v>2759</v>
      </c>
      <c r="D7520" s="1" t="s">
        <v>2760</v>
      </c>
    </row>
    <row r="7521">
      <c r="A7521" s="1" t="s">
        <v>15167</v>
      </c>
      <c r="B7521" s="2" t="s">
        <v>15168</v>
      </c>
      <c r="C7521" s="1" t="s">
        <v>2759</v>
      </c>
      <c r="D7521" s="1" t="s">
        <v>2760</v>
      </c>
    </row>
    <row r="7522">
      <c r="A7522" s="1" t="s">
        <v>15169</v>
      </c>
      <c r="B7522" s="2" t="s">
        <v>15170</v>
      </c>
      <c r="C7522" s="1" t="s">
        <v>2759</v>
      </c>
      <c r="D7522" s="1" t="s">
        <v>2760</v>
      </c>
    </row>
    <row r="7523">
      <c r="A7523" s="1" t="s">
        <v>15171</v>
      </c>
      <c r="B7523" s="2" t="s">
        <v>15172</v>
      </c>
      <c r="C7523" s="1" t="s">
        <v>2759</v>
      </c>
      <c r="D7523" s="1" t="s">
        <v>2760</v>
      </c>
    </row>
    <row r="7524">
      <c r="A7524" s="1" t="s">
        <v>15173</v>
      </c>
      <c r="B7524" s="2" t="s">
        <v>15174</v>
      </c>
      <c r="C7524" s="1" t="s">
        <v>2759</v>
      </c>
      <c r="D7524" s="1" t="s">
        <v>2760</v>
      </c>
    </row>
    <row r="7525">
      <c r="A7525" s="1" t="s">
        <v>15175</v>
      </c>
      <c r="B7525" s="2" t="s">
        <v>15176</v>
      </c>
      <c r="C7525" s="1" t="s">
        <v>2759</v>
      </c>
      <c r="D7525" s="1" t="s">
        <v>2760</v>
      </c>
    </row>
    <row r="7526">
      <c r="A7526" s="1" t="s">
        <v>15177</v>
      </c>
      <c r="B7526" s="2" t="s">
        <v>15178</v>
      </c>
      <c r="C7526" s="1" t="s">
        <v>2759</v>
      </c>
      <c r="D7526" s="1" t="s">
        <v>2760</v>
      </c>
    </row>
    <row r="7527">
      <c r="A7527" s="1" t="s">
        <v>15179</v>
      </c>
      <c r="B7527" s="2" t="s">
        <v>15180</v>
      </c>
      <c r="C7527" s="1" t="s">
        <v>2759</v>
      </c>
      <c r="D7527" s="1" t="s">
        <v>2760</v>
      </c>
    </row>
    <row r="7528">
      <c r="A7528" s="1" t="s">
        <v>15181</v>
      </c>
      <c r="B7528" s="2" t="s">
        <v>15182</v>
      </c>
      <c r="C7528" s="1" t="s">
        <v>2759</v>
      </c>
      <c r="D7528" s="1" t="s">
        <v>2760</v>
      </c>
    </row>
    <row r="7529">
      <c r="A7529" s="1" t="s">
        <v>15183</v>
      </c>
      <c r="B7529" s="2" t="s">
        <v>15184</v>
      </c>
      <c r="C7529" s="1" t="s">
        <v>2759</v>
      </c>
      <c r="D7529" s="1" t="s">
        <v>2760</v>
      </c>
    </row>
    <row r="7530">
      <c r="A7530" s="1" t="s">
        <v>15185</v>
      </c>
      <c r="B7530" s="2" t="s">
        <v>15186</v>
      </c>
      <c r="C7530" s="1" t="s">
        <v>2759</v>
      </c>
      <c r="D7530" s="1" t="s">
        <v>2760</v>
      </c>
    </row>
    <row r="7531">
      <c r="A7531" s="1" t="s">
        <v>15187</v>
      </c>
      <c r="B7531" s="2" t="s">
        <v>15188</v>
      </c>
      <c r="C7531" s="1" t="s">
        <v>2759</v>
      </c>
      <c r="D7531" s="1" t="s">
        <v>2760</v>
      </c>
    </row>
    <row r="7532">
      <c r="A7532" s="1" t="s">
        <v>15189</v>
      </c>
      <c r="B7532" s="2" t="s">
        <v>15190</v>
      </c>
      <c r="C7532" s="1" t="s">
        <v>2759</v>
      </c>
      <c r="D7532" s="1" t="s">
        <v>2760</v>
      </c>
    </row>
    <row r="7533">
      <c r="A7533" s="1" t="s">
        <v>15191</v>
      </c>
      <c r="B7533" s="2" t="s">
        <v>15192</v>
      </c>
      <c r="C7533" s="1" t="s">
        <v>2759</v>
      </c>
      <c r="D7533" s="1" t="s">
        <v>2760</v>
      </c>
    </row>
    <row r="7534">
      <c r="A7534" s="1" t="s">
        <v>15193</v>
      </c>
      <c r="B7534" s="2" t="s">
        <v>15194</v>
      </c>
      <c r="C7534" s="1" t="s">
        <v>2759</v>
      </c>
      <c r="D7534" s="1" t="s">
        <v>2760</v>
      </c>
    </row>
    <row r="7535">
      <c r="A7535" s="1" t="s">
        <v>2770</v>
      </c>
      <c r="B7535" s="2" t="s">
        <v>2763</v>
      </c>
      <c r="C7535" s="1" t="s">
        <v>2772</v>
      </c>
      <c r="D7535" s="1" t="s">
        <v>2773</v>
      </c>
    </row>
    <row r="7536">
      <c r="A7536" s="1" t="s">
        <v>15195</v>
      </c>
      <c r="B7536" s="2" t="s">
        <v>15196</v>
      </c>
      <c r="C7536" s="1" t="s">
        <v>2772</v>
      </c>
      <c r="D7536" s="1" t="s">
        <v>2773</v>
      </c>
    </row>
    <row r="7537">
      <c r="A7537" s="1" t="s">
        <v>2776</v>
      </c>
      <c r="B7537" s="2" t="s">
        <v>2763</v>
      </c>
      <c r="C7537" s="1" t="s">
        <v>2777</v>
      </c>
      <c r="D7537" s="1" t="s">
        <v>2779</v>
      </c>
    </row>
    <row r="7538">
      <c r="A7538" s="1" t="s">
        <v>15197</v>
      </c>
      <c r="B7538" s="2" t="s">
        <v>15196</v>
      </c>
      <c r="C7538" s="1" t="s">
        <v>2777</v>
      </c>
      <c r="D7538" s="1" t="s">
        <v>2779</v>
      </c>
    </row>
    <row r="7539">
      <c r="A7539" s="1" t="s">
        <v>2783</v>
      </c>
      <c r="B7539" s="2" t="s">
        <v>2763</v>
      </c>
      <c r="C7539" s="1" t="s">
        <v>2784</v>
      </c>
      <c r="D7539" s="1" t="s">
        <v>2785</v>
      </c>
    </row>
    <row r="7540">
      <c r="A7540" s="1" t="s">
        <v>15198</v>
      </c>
      <c r="B7540" s="2" t="s">
        <v>15196</v>
      </c>
      <c r="C7540" s="1" t="s">
        <v>2784</v>
      </c>
      <c r="D7540" s="1" t="s">
        <v>2785</v>
      </c>
    </row>
    <row r="7541">
      <c r="A7541" s="1" t="s">
        <v>2790</v>
      </c>
      <c r="B7541" s="2" t="s">
        <v>2763</v>
      </c>
      <c r="C7541" s="1" t="s">
        <v>2791</v>
      </c>
      <c r="D7541" s="1" t="s">
        <v>2793</v>
      </c>
    </row>
    <row r="7542">
      <c r="A7542" s="1" t="s">
        <v>15199</v>
      </c>
      <c r="B7542" s="2" t="s">
        <v>15196</v>
      </c>
      <c r="C7542" s="1" t="s">
        <v>2791</v>
      </c>
      <c r="D7542" s="1" t="s">
        <v>2793</v>
      </c>
    </row>
    <row r="7543">
      <c r="A7543" s="1" t="s">
        <v>2797</v>
      </c>
      <c r="B7543" s="2" t="s">
        <v>2763</v>
      </c>
      <c r="C7543" s="1" t="s">
        <v>2798</v>
      </c>
      <c r="D7543" s="1" t="s">
        <v>2800</v>
      </c>
    </row>
    <row r="7544">
      <c r="A7544" s="1" t="s">
        <v>15200</v>
      </c>
      <c r="B7544" s="2" t="s">
        <v>15196</v>
      </c>
      <c r="C7544" s="1" t="s">
        <v>2798</v>
      </c>
      <c r="D7544" s="1" t="s">
        <v>2800</v>
      </c>
    </row>
    <row r="7545">
      <c r="A7545" s="1" t="s">
        <v>2802</v>
      </c>
      <c r="B7545" s="2" t="s">
        <v>2763</v>
      </c>
      <c r="C7545" s="1" t="s">
        <v>2804</v>
      </c>
      <c r="D7545" s="1" t="s">
        <v>2806</v>
      </c>
    </row>
    <row r="7546">
      <c r="A7546" s="1" t="s">
        <v>15201</v>
      </c>
      <c r="B7546" s="2" t="s">
        <v>15196</v>
      </c>
      <c r="C7546" s="1" t="s">
        <v>2804</v>
      </c>
      <c r="D7546" s="1" t="s">
        <v>2806</v>
      </c>
    </row>
    <row r="7547">
      <c r="A7547" s="1" t="s">
        <v>2809</v>
      </c>
      <c r="B7547" s="2" t="s">
        <v>2763</v>
      </c>
      <c r="C7547" s="1" t="s">
        <v>2811</v>
      </c>
      <c r="D7547" s="1" t="s">
        <v>2812</v>
      </c>
    </row>
    <row r="7548">
      <c r="A7548" s="1" t="s">
        <v>15202</v>
      </c>
      <c r="B7548" s="2" t="s">
        <v>15196</v>
      </c>
      <c r="C7548" s="1" t="s">
        <v>2811</v>
      </c>
      <c r="D7548" s="1" t="s">
        <v>2812</v>
      </c>
    </row>
    <row r="7549">
      <c r="A7549" s="1" t="s">
        <v>2815</v>
      </c>
      <c r="B7549" s="2" t="s">
        <v>2763</v>
      </c>
      <c r="C7549" s="1" t="s">
        <v>2816</v>
      </c>
      <c r="D7549" s="1" t="s">
        <v>2817</v>
      </c>
    </row>
    <row r="7550">
      <c r="A7550" s="1" t="s">
        <v>15203</v>
      </c>
      <c r="B7550" s="2" t="s">
        <v>15196</v>
      </c>
      <c r="C7550" s="1" t="s">
        <v>2816</v>
      </c>
      <c r="D7550" s="1" t="s">
        <v>2817</v>
      </c>
    </row>
    <row r="7551">
      <c r="A7551" s="1" t="s">
        <v>2819</v>
      </c>
      <c r="B7551" s="2" t="s">
        <v>2763</v>
      </c>
      <c r="C7551" s="1" t="s">
        <v>2821</v>
      </c>
      <c r="D7551" s="1" t="s">
        <v>2822</v>
      </c>
    </row>
    <row r="7552">
      <c r="A7552" s="1" t="s">
        <v>15204</v>
      </c>
      <c r="B7552" s="2" t="s">
        <v>15196</v>
      </c>
      <c r="C7552" s="1" t="s">
        <v>2821</v>
      </c>
      <c r="D7552" s="1" t="s">
        <v>2822</v>
      </c>
    </row>
    <row r="7553">
      <c r="A7553" s="1" t="s">
        <v>2761</v>
      </c>
      <c r="B7553" s="2" t="s">
        <v>2763</v>
      </c>
      <c r="C7553" s="1" t="s">
        <v>2765</v>
      </c>
      <c r="D7553" s="1" t="s">
        <v>2766</v>
      </c>
    </row>
    <row r="7554">
      <c r="A7554" s="1" t="s">
        <v>15205</v>
      </c>
      <c r="B7554" s="2" t="s">
        <v>15196</v>
      </c>
      <c r="C7554" s="1" t="s">
        <v>2765</v>
      </c>
      <c r="D7554" s="1" t="s">
        <v>2766</v>
      </c>
    </row>
    <row r="7555">
      <c r="A7555" s="1" t="s">
        <v>2826</v>
      </c>
      <c r="B7555" s="2" t="s">
        <v>7</v>
      </c>
      <c r="C7555" s="1" t="s">
        <v>2828</v>
      </c>
      <c r="D7555" s="1" t="s">
        <v>2829</v>
      </c>
    </row>
    <row r="7556">
      <c r="A7556" s="1" t="s">
        <v>15206</v>
      </c>
      <c r="B7556" s="2" t="s">
        <v>13</v>
      </c>
      <c r="C7556" s="1" t="s">
        <v>2828</v>
      </c>
      <c r="D7556" s="1" t="s">
        <v>2829</v>
      </c>
    </row>
    <row r="7557">
      <c r="A7557" s="1" t="s">
        <v>15207</v>
      </c>
      <c r="B7557" s="2" t="s">
        <v>14575</v>
      </c>
      <c r="C7557" s="1" t="s">
        <v>2828</v>
      </c>
      <c r="D7557" s="1" t="s">
        <v>2829</v>
      </c>
    </row>
    <row r="7558">
      <c r="A7558" s="1" t="s">
        <v>15208</v>
      </c>
      <c r="B7558" s="2" t="s">
        <v>15209</v>
      </c>
      <c r="C7558" s="1" t="s">
        <v>2828</v>
      </c>
      <c r="D7558" s="1" t="s">
        <v>2829</v>
      </c>
    </row>
    <row r="7559">
      <c r="A7559" s="1" t="s">
        <v>15210</v>
      </c>
      <c r="B7559" s="2" t="s">
        <v>15211</v>
      </c>
      <c r="C7559" s="1" t="s">
        <v>2828</v>
      </c>
      <c r="D7559" s="1" t="s">
        <v>2829</v>
      </c>
    </row>
    <row r="7560">
      <c r="A7560" s="1" t="s">
        <v>15212</v>
      </c>
      <c r="B7560" s="2" t="s">
        <v>15213</v>
      </c>
      <c r="C7560" s="1" t="s">
        <v>2828</v>
      </c>
      <c r="D7560" s="1" t="s">
        <v>2829</v>
      </c>
    </row>
    <row r="7561">
      <c r="A7561" s="1" t="s">
        <v>15214</v>
      </c>
      <c r="B7561" s="2" t="s">
        <v>70</v>
      </c>
      <c r="C7561" s="1" t="s">
        <v>2828</v>
      </c>
      <c r="D7561" s="1" t="s">
        <v>2829</v>
      </c>
    </row>
    <row r="7562">
      <c r="A7562" s="1" t="s">
        <v>15215</v>
      </c>
      <c r="B7562" s="2" t="s">
        <v>14592</v>
      </c>
      <c r="C7562" s="1" t="s">
        <v>2828</v>
      </c>
      <c r="D7562" s="1" t="s">
        <v>2829</v>
      </c>
    </row>
    <row r="7563">
      <c r="A7563" s="1" t="s">
        <v>15216</v>
      </c>
      <c r="B7563" s="2" t="s">
        <v>15217</v>
      </c>
      <c r="C7563" s="1" t="s">
        <v>2828</v>
      </c>
      <c r="D7563" s="1" t="s">
        <v>2829</v>
      </c>
    </row>
    <row r="7564">
      <c r="A7564" s="1" t="s">
        <v>15218</v>
      </c>
      <c r="B7564" s="2" t="s">
        <v>15219</v>
      </c>
      <c r="C7564" s="1" t="s">
        <v>2828</v>
      </c>
      <c r="D7564" s="1" t="s">
        <v>2829</v>
      </c>
    </row>
    <row r="7565">
      <c r="A7565" s="1" t="s">
        <v>15220</v>
      </c>
      <c r="B7565" s="2" t="s">
        <v>15221</v>
      </c>
      <c r="C7565" s="1" t="s">
        <v>2828</v>
      </c>
      <c r="D7565" s="1" t="s">
        <v>2829</v>
      </c>
    </row>
    <row r="7566">
      <c r="A7566" s="1" t="s">
        <v>2833</v>
      </c>
      <c r="B7566" s="2" t="s">
        <v>7</v>
      </c>
      <c r="C7566" s="1" t="s">
        <v>2835</v>
      </c>
      <c r="D7566" s="1" t="s">
        <v>2836</v>
      </c>
    </row>
    <row r="7567">
      <c r="A7567" s="1" t="s">
        <v>15222</v>
      </c>
      <c r="B7567" s="2" t="s">
        <v>13</v>
      </c>
      <c r="C7567" s="1" t="s">
        <v>2835</v>
      </c>
      <c r="D7567" s="1" t="s">
        <v>2836</v>
      </c>
    </row>
    <row r="7568">
      <c r="A7568" s="1" t="s">
        <v>15223</v>
      </c>
      <c r="B7568" s="2" t="s">
        <v>14575</v>
      </c>
      <c r="C7568" s="1" t="s">
        <v>2835</v>
      </c>
      <c r="D7568" s="1" t="s">
        <v>2836</v>
      </c>
    </row>
    <row r="7569">
      <c r="A7569" s="1" t="s">
        <v>15224</v>
      </c>
      <c r="B7569" s="2" t="s">
        <v>15209</v>
      </c>
      <c r="C7569" s="1" t="s">
        <v>2835</v>
      </c>
      <c r="D7569" s="1" t="s">
        <v>2836</v>
      </c>
    </row>
    <row r="7570">
      <c r="A7570" s="1" t="s">
        <v>15225</v>
      </c>
      <c r="B7570" s="2" t="s">
        <v>15226</v>
      </c>
      <c r="C7570" s="1" t="s">
        <v>2835</v>
      </c>
      <c r="D7570" s="1" t="s">
        <v>2836</v>
      </c>
    </row>
    <row r="7571">
      <c r="A7571" s="1" t="s">
        <v>15227</v>
      </c>
      <c r="B7571" s="2" t="s">
        <v>15228</v>
      </c>
      <c r="C7571" s="1" t="s">
        <v>2835</v>
      </c>
      <c r="D7571" s="1" t="s">
        <v>2836</v>
      </c>
    </row>
    <row r="7572">
      <c r="A7572" s="1" t="s">
        <v>15229</v>
      </c>
      <c r="B7572" s="2" t="s">
        <v>70</v>
      </c>
      <c r="C7572" s="1" t="s">
        <v>2835</v>
      </c>
      <c r="D7572" s="1" t="s">
        <v>2836</v>
      </c>
    </row>
    <row r="7573">
      <c r="A7573" s="1" t="s">
        <v>15230</v>
      </c>
      <c r="B7573" s="2" t="s">
        <v>14592</v>
      </c>
      <c r="C7573" s="1" t="s">
        <v>2835</v>
      </c>
      <c r="D7573" s="1" t="s">
        <v>2836</v>
      </c>
    </row>
    <row r="7574">
      <c r="A7574" s="1" t="s">
        <v>15231</v>
      </c>
      <c r="B7574" s="2" t="s">
        <v>15217</v>
      </c>
      <c r="C7574" s="1" t="s">
        <v>2835</v>
      </c>
      <c r="D7574" s="1" t="s">
        <v>2836</v>
      </c>
    </row>
    <row r="7575">
      <c r="A7575" s="1" t="s">
        <v>15232</v>
      </c>
      <c r="B7575" s="2" t="s">
        <v>15233</v>
      </c>
      <c r="C7575" s="1" t="s">
        <v>2835</v>
      </c>
      <c r="D7575" s="1" t="s">
        <v>2836</v>
      </c>
    </row>
    <row r="7576">
      <c r="A7576" s="1" t="s">
        <v>15234</v>
      </c>
      <c r="B7576" s="2" t="s">
        <v>15235</v>
      </c>
      <c r="C7576" s="1" t="s">
        <v>2835</v>
      </c>
      <c r="D7576" s="1" t="s">
        <v>2836</v>
      </c>
    </row>
    <row r="7577">
      <c r="A7577" s="1" t="s">
        <v>2840</v>
      </c>
      <c r="B7577" s="2" t="s">
        <v>7</v>
      </c>
      <c r="C7577" s="1" t="s">
        <v>2842</v>
      </c>
      <c r="D7577" s="1" t="s">
        <v>2843</v>
      </c>
    </row>
    <row r="7578">
      <c r="A7578" s="1" t="s">
        <v>15236</v>
      </c>
      <c r="B7578" s="2" t="s">
        <v>13</v>
      </c>
      <c r="C7578" s="1" t="s">
        <v>2842</v>
      </c>
      <c r="D7578" s="1" t="s">
        <v>2843</v>
      </c>
    </row>
    <row r="7579">
      <c r="A7579" s="1" t="s">
        <v>15237</v>
      </c>
      <c r="B7579" s="2" t="s">
        <v>14575</v>
      </c>
      <c r="C7579" s="1" t="s">
        <v>2842</v>
      </c>
      <c r="D7579" s="1" t="s">
        <v>2843</v>
      </c>
    </row>
    <row r="7580">
      <c r="A7580" s="1" t="s">
        <v>15238</v>
      </c>
      <c r="B7580" s="2" t="s">
        <v>15209</v>
      </c>
      <c r="C7580" s="1" t="s">
        <v>2842</v>
      </c>
      <c r="D7580" s="1" t="s">
        <v>2843</v>
      </c>
    </row>
    <row r="7581">
      <c r="A7581" s="1" t="s">
        <v>15239</v>
      </c>
      <c r="B7581" s="2" t="s">
        <v>15240</v>
      </c>
      <c r="C7581" s="1" t="s">
        <v>2842</v>
      </c>
      <c r="D7581" s="1" t="s">
        <v>2843</v>
      </c>
    </row>
    <row r="7582">
      <c r="A7582" s="1" t="s">
        <v>15241</v>
      </c>
      <c r="B7582" s="2" t="s">
        <v>15242</v>
      </c>
      <c r="C7582" s="1" t="s">
        <v>2842</v>
      </c>
      <c r="D7582" s="1" t="s">
        <v>2843</v>
      </c>
    </row>
    <row r="7583">
      <c r="A7583" s="1" t="s">
        <v>15243</v>
      </c>
      <c r="B7583" s="2" t="s">
        <v>70</v>
      </c>
      <c r="C7583" s="1" t="s">
        <v>2842</v>
      </c>
      <c r="D7583" s="1" t="s">
        <v>2843</v>
      </c>
    </row>
    <row r="7584">
      <c r="A7584" s="1" t="s">
        <v>15244</v>
      </c>
      <c r="B7584" s="2" t="s">
        <v>14592</v>
      </c>
      <c r="C7584" s="1" t="s">
        <v>2842</v>
      </c>
      <c r="D7584" s="1" t="s">
        <v>2843</v>
      </c>
    </row>
    <row r="7585">
      <c r="A7585" s="1" t="s">
        <v>15245</v>
      </c>
      <c r="B7585" s="2" t="s">
        <v>15217</v>
      </c>
      <c r="C7585" s="1" t="s">
        <v>2842</v>
      </c>
      <c r="D7585" s="1" t="s">
        <v>2843</v>
      </c>
    </row>
    <row r="7586">
      <c r="A7586" s="1" t="s">
        <v>15246</v>
      </c>
      <c r="B7586" s="2" t="s">
        <v>15247</v>
      </c>
      <c r="C7586" s="1" t="s">
        <v>2842</v>
      </c>
      <c r="D7586" s="1" t="s">
        <v>2843</v>
      </c>
    </row>
    <row r="7587">
      <c r="A7587" s="1" t="s">
        <v>15248</v>
      </c>
      <c r="B7587" s="2" t="s">
        <v>15249</v>
      </c>
      <c r="C7587" s="1" t="s">
        <v>2842</v>
      </c>
      <c r="D7587" s="1" t="s">
        <v>2843</v>
      </c>
    </row>
    <row r="7588">
      <c r="A7588" s="1" t="s">
        <v>2847</v>
      </c>
      <c r="B7588" s="2" t="s">
        <v>7</v>
      </c>
      <c r="C7588" s="1" t="s">
        <v>2850</v>
      </c>
      <c r="D7588" s="1" t="s">
        <v>2852</v>
      </c>
    </row>
    <row r="7589">
      <c r="A7589" s="1" t="s">
        <v>15250</v>
      </c>
      <c r="B7589" s="2" t="s">
        <v>13</v>
      </c>
      <c r="C7589" s="1" t="s">
        <v>2850</v>
      </c>
      <c r="D7589" s="1" t="s">
        <v>2852</v>
      </c>
    </row>
    <row r="7590">
      <c r="A7590" s="1" t="s">
        <v>15251</v>
      </c>
      <c r="B7590" s="2" t="s">
        <v>15252</v>
      </c>
      <c r="C7590" s="1" t="s">
        <v>2850</v>
      </c>
      <c r="D7590" s="1" t="s">
        <v>2852</v>
      </c>
    </row>
    <row r="7591">
      <c r="A7591" s="1" t="s">
        <v>15253</v>
      </c>
      <c r="B7591" s="2" t="s">
        <v>15254</v>
      </c>
      <c r="C7591" s="1" t="s">
        <v>2850</v>
      </c>
      <c r="D7591" s="1" t="s">
        <v>2852</v>
      </c>
    </row>
    <row r="7592">
      <c r="A7592" s="1" t="s">
        <v>15255</v>
      </c>
      <c r="B7592" s="2" t="s">
        <v>15256</v>
      </c>
      <c r="C7592" s="1" t="s">
        <v>2850</v>
      </c>
      <c r="D7592" s="1" t="s">
        <v>2852</v>
      </c>
    </row>
    <row r="7593">
      <c r="A7593" s="1" t="s">
        <v>15257</v>
      </c>
      <c r="B7593" s="2" t="s">
        <v>15258</v>
      </c>
      <c r="C7593" s="1" t="s">
        <v>2850</v>
      </c>
      <c r="D7593" s="1" t="s">
        <v>2852</v>
      </c>
    </row>
    <row r="7594">
      <c r="A7594" s="1" t="s">
        <v>15259</v>
      </c>
      <c r="B7594" s="2" t="s">
        <v>14612</v>
      </c>
      <c r="C7594" s="1" t="s">
        <v>2850</v>
      </c>
      <c r="D7594" s="1" t="s">
        <v>2852</v>
      </c>
    </row>
    <row r="7595">
      <c r="A7595" s="1" t="s">
        <v>15260</v>
      </c>
      <c r="B7595" s="2" t="s">
        <v>70</v>
      </c>
      <c r="C7595" s="1" t="s">
        <v>2850</v>
      </c>
      <c r="D7595" s="1" t="s">
        <v>2852</v>
      </c>
    </row>
    <row r="7596">
      <c r="A7596" s="1" t="s">
        <v>15261</v>
      </c>
      <c r="B7596" s="2" t="s">
        <v>15262</v>
      </c>
      <c r="C7596" s="1" t="s">
        <v>2850</v>
      </c>
      <c r="D7596" s="1" t="s">
        <v>2852</v>
      </c>
    </row>
    <row r="7597">
      <c r="A7597" s="1" t="s">
        <v>15263</v>
      </c>
      <c r="B7597" s="2" t="s">
        <v>15264</v>
      </c>
      <c r="C7597" s="1" t="s">
        <v>2850</v>
      </c>
      <c r="D7597" s="1" t="s">
        <v>2852</v>
      </c>
    </row>
    <row r="7598">
      <c r="A7598" s="1" t="s">
        <v>15265</v>
      </c>
      <c r="B7598" s="2" t="s">
        <v>15266</v>
      </c>
      <c r="C7598" s="1" t="s">
        <v>2850</v>
      </c>
      <c r="D7598" s="1" t="s">
        <v>2852</v>
      </c>
    </row>
    <row r="7599">
      <c r="A7599" s="1" t="s">
        <v>15267</v>
      </c>
      <c r="B7599" s="2" t="s">
        <v>15268</v>
      </c>
      <c r="C7599" s="1" t="s">
        <v>2850</v>
      </c>
      <c r="D7599" s="1" t="s">
        <v>2852</v>
      </c>
    </row>
    <row r="7600">
      <c r="A7600" s="1" t="s">
        <v>15269</v>
      </c>
      <c r="B7600" s="2" t="s">
        <v>14620</v>
      </c>
      <c r="C7600" s="1" t="s">
        <v>2850</v>
      </c>
      <c r="D7600" s="1" t="s">
        <v>2852</v>
      </c>
    </row>
    <row r="7601">
      <c r="A7601" s="1" t="s">
        <v>2855</v>
      </c>
      <c r="B7601" s="2" t="s">
        <v>7</v>
      </c>
      <c r="C7601" s="1" t="s">
        <v>2857</v>
      </c>
      <c r="D7601" s="1" t="s">
        <v>2859</v>
      </c>
    </row>
    <row r="7602">
      <c r="A7602" s="1" t="s">
        <v>15270</v>
      </c>
      <c r="B7602" s="2" t="s">
        <v>13</v>
      </c>
      <c r="C7602" s="1" t="s">
        <v>2857</v>
      </c>
      <c r="D7602" s="1" t="s">
        <v>2859</v>
      </c>
    </row>
    <row r="7603">
      <c r="A7603" s="1" t="s">
        <v>15271</v>
      </c>
      <c r="B7603" s="2" t="s">
        <v>14575</v>
      </c>
      <c r="C7603" s="1" t="s">
        <v>2857</v>
      </c>
      <c r="D7603" s="1" t="s">
        <v>2859</v>
      </c>
    </row>
    <row r="7604">
      <c r="A7604" s="1" t="s">
        <v>15272</v>
      </c>
      <c r="B7604" s="2" t="s">
        <v>15209</v>
      </c>
      <c r="C7604" s="1" t="s">
        <v>2857</v>
      </c>
      <c r="D7604" s="1" t="s">
        <v>2859</v>
      </c>
    </row>
    <row r="7605">
      <c r="A7605" s="1" t="s">
        <v>15273</v>
      </c>
      <c r="B7605" s="2" t="s">
        <v>15274</v>
      </c>
      <c r="C7605" s="1" t="s">
        <v>2857</v>
      </c>
      <c r="D7605" s="1" t="s">
        <v>2859</v>
      </c>
    </row>
    <row r="7606">
      <c r="A7606" s="1" t="s">
        <v>15275</v>
      </c>
      <c r="B7606" s="2" t="s">
        <v>15276</v>
      </c>
      <c r="C7606" s="1" t="s">
        <v>2857</v>
      </c>
      <c r="D7606" s="1" t="s">
        <v>2859</v>
      </c>
    </row>
    <row r="7607">
      <c r="A7607" s="1" t="s">
        <v>15277</v>
      </c>
      <c r="B7607" s="2" t="s">
        <v>15278</v>
      </c>
      <c r="C7607" s="1" t="s">
        <v>2857</v>
      </c>
      <c r="D7607" s="1" t="s">
        <v>2859</v>
      </c>
    </row>
    <row r="7608">
      <c r="A7608" s="1" t="s">
        <v>15279</v>
      </c>
      <c r="B7608" s="2" t="s">
        <v>70</v>
      </c>
      <c r="C7608" s="1" t="s">
        <v>2857</v>
      </c>
      <c r="D7608" s="1" t="s">
        <v>2859</v>
      </c>
    </row>
    <row r="7609">
      <c r="A7609" s="1" t="s">
        <v>15280</v>
      </c>
      <c r="B7609" s="2" t="s">
        <v>14592</v>
      </c>
      <c r="C7609" s="1" t="s">
        <v>2857</v>
      </c>
      <c r="D7609" s="1" t="s">
        <v>2859</v>
      </c>
    </row>
    <row r="7610">
      <c r="A7610" s="1" t="s">
        <v>15281</v>
      </c>
      <c r="B7610" s="2" t="s">
        <v>15217</v>
      </c>
      <c r="C7610" s="1" t="s">
        <v>2857</v>
      </c>
      <c r="D7610" s="1" t="s">
        <v>2859</v>
      </c>
    </row>
    <row r="7611">
      <c r="A7611" s="1" t="s">
        <v>15282</v>
      </c>
      <c r="B7611" s="2" t="s">
        <v>15283</v>
      </c>
      <c r="C7611" s="1" t="s">
        <v>2857</v>
      </c>
      <c r="D7611" s="1" t="s">
        <v>2859</v>
      </c>
    </row>
    <row r="7612">
      <c r="A7612" s="1" t="s">
        <v>15284</v>
      </c>
      <c r="B7612" s="2" t="s">
        <v>15285</v>
      </c>
      <c r="C7612" s="1" t="s">
        <v>2857</v>
      </c>
      <c r="D7612" s="1" t="s">
        <v>2859</v>
      </c>
    </row>
    <row r="7613">
      <c r="A7613" s="1" t="s">
        <v>15286</v>
      </c>
      <c r="B7613" s="2" t="s">
        <v>15287</v>
      </c>
      <c r="C7613" s="1" t="s">
        <v>2857</v>
      </c>
      <c r="D7613" s="1" t="s">
        <v>2859</v>
      </c>
    </row>
    <row r="7614">
      <c r="A7614" s="1" t="s">
        <v>2869</v>
      </c>
      <c r="B7614" s="2" t="s">
        <v>7</v>
      </c>
      <c r="C7614" s="1" t="s">
        <v>2871</v>
      </c>
      <c r="D7614" s="1" t="s">
        <v>2872</v>
      </c>
    </row>
    <row r="7615">
      <c r="A7615" s="1" t="s">
        <v>15288</v>
      </c>
      <c r="B7615" s="2" t="s">
        <v>15289</v>
      </c>
      <c r="C7615" s="1" t="s">
        <v>2871</v>
      </c>
      <c r="D7615" s="1" t="s">
        <v>2872</v>
      </c>
    </row>
    <row r="7616">
      <c r="A7616" s="1" t="s">
        <v>15290</v>
      </c>
      <c r="B7616" s="2" t="s">
        <v>15291</v>
      </c>
      <c r="C7616" s="1" t="s">
        <v>2871</v>
      </c>
      <c r="D7616" s="1" t="s">
        <v>2872</v>
      </c>
    </row>
    <row r="7617">
      <c r="A7617" s="1" t="s">
        <v>15292</v>
      </c>
      <c r="B7617" s="2" t="s">
        <v>15293</v>
      </c>
      <c r="C7617" s="1" t="s">
        <v>2871</v>
      </c>
      <c r="D7617" s="1" t="s">
        <v>2872</v>
      </c>
    </row>
    <row r="7618">
      <c r="A7618" s="1" t="s">
        <v>15294</v>
      </c>
      <c r="B7618" s="2" t="s">
        <v>15295</v>
      </c>
      <c r="C7618" s="1" t="s">
        <v>2871</v>
      </c>
      <c r="D7618" s="1" t="s">
        <v>2872</v>
      </c>
    </row>
    <row r="7619">
      <c r="A7619" s="1" t="s">
        <v>15296</v>
      </c>
      <c r="B7619" s="2" t="s">
        <v>15297</v>
      </c>
      <c r="C7619" s="1" t="s">
        <v>2871</v>
      </c>
      <c r="D7619" s="1" t="s">
        <v>2872</v>
      </c>
    </row>
    <row r="7620">
      <c r="A7620" s="1" t="s">
        <v>15298</v>
      </c>
      <c r="B7620" s="2" t="s">
        <v>15299</v>
      </c>
      <c r="C7620" s="1" t="s">
        <v>2871</v>
      </c>
      <c r="D7620" s="1" t="s">
        <v>2872</v>
      </c>
    </row>
    <row r="7621">
      <c r="A7621" s="1" t="s">
        <v>2873</v>
      </c>
      <c r="B7621" s="2" t="s">
        <v>7</v>
      </c>
      <c r="C7621" s="1" t="s">
        <v>2874</v>
      </c>
      <c r="D7621" s="1" t="s">
        <v>2875</v>
      </c>
    </row>
    <row r="7622">
      <c r="A7622" s="1" t="s">
        <v>15300</v>
      </c>
      <c r="B7622" s="2" t="s">
        <v>15289</v>
      </c>
      <c r="C7622" s="1" t="s">
        <v>2874</v>
      </c>
      <c r="D7622" s="1" t="s">
        <v>2875</v>
      </c>
    </row>
    <row r="7623">
      <c r="A7623" s="1" t="s">
        <v>15301</v>
      </c>
      <c r="B7623" s="2" t="s">
        <v>15291</v>
      </c>
      <c r="C7623" s="1" t="s">
        <v>2874</v>
      </c>
      <c r="D7623" s="1" t="s">
        <v>2875</v>
      </c>
    </row>
    <row r="7624">
      <c r="A7624" s="1" t="s">
        <v>15302</v>
      </c>
      <c r="B7624" s="2" t="s">
        <v>15293</v>
      </c>
      <c r="C7624" s="1" t="s">
        <v>2874</v>
      </c>
      <c r="D7624" s="1" t="s">
        <v>2875</v>
      </c>
    </row>
    <row r="7625">
      <c r="A7625" s="1" t="s">
        <v>15303</v>
      </c>
      <c r="B7625" s="2" t="s">
        <v>15295</v>
      </c>
      <c r="C7625" s="1" t="s">
        <v>2874</v>
      </c>
      <c r="D7625" s="1" t="s">
        <v>2875</v>
      </c>
    </row>
    <row r="7626">
      <c r="A7626" s="1" t="s">
        <v>15304</v>
      </c>
      <c r="B7626" s="2" t="s">
        <v>15297</v>
      </c>
      <c r="C7626" s="1" t="s">
        <v>2874</v>
      </c>
      <c r="D7626" s="1" t="s">
        <v>2875</v>
      </c>
    </row>
    <row r="7627">
      <c r="A7627" s="1" t="s">
        <v>15305</v>
      </c>
      <c r="B7627" s="2" t="s">
        <v>15299</v>
      </c>
      <c r="C7627" s="1" t="s">
        <v>2874</v>
      </c>
      <c r="D7627" s="1" t="s">
        <v>2875</v>
      </c>
    </row>
    <row r="7628">
      <c r="A7628" s="1" t="s">
        <v>2877</v>
      </c>
      <c r="B7628" s="2" t="s">
        <v>7</v>
      </c>
      <c r="C7628" s="1" t="s">
        <v>2878</v>
      </c>
      <c r="D7628" s="1" t="s">
        <v>2879</v>
      </c>
    </row>
    <row r="7629">
      <c r="A7629" s="1" t="s">
        <v>15306</v>
      </c>
      <c r="B7629" s="2" t="s">
        <v>15289</v>
      </c>
      <c r="C7629" s="1" t="s">
        <v>2878</v>
      </c>
      <c r="D7629" s="1" t="s">
        <v>2879</v>
      </c>
    </row>
    <row r="7630">
      <c r="A7630" s="1" t="s">
        <v>15307</v>
      </c>
      <c r="B7630" s="2" t="s">
        <v>15291</v>
      </c>
      <c r="C7630" s="1" t="s">
        <v>2878</v>
      </c>
      <c r="D7630" s="1" t="s">
        <v>2879</v>
      </c>
    </row>
    <row r="7631">
      <c r="A7631" s="1" t="s">
        <v>15308</v>
      </c>
      <c r="B7631" s="2" t="s">
        <v>15293</v>
      </c>
      <c r="C7631" s="1" t="s">
        <v>2878</v>
      </c>
      <c r="D7631" s="1" t="s">
        <v>2879</v>
      </c>
    </row>
    <row r="7632">
      <c r="A7632" s="1" t="s">
        <v>15309</v>
      </c>
      <c r="B7632" s="2" t="s">
        <v>15295</v>
      </c>
      <c r="C7632" s="1" t="s">
        <v>2878</v>
      </c>
      <c r="D7632" s="1" t="s">
        <v>2879</v>
      </c>
    </row>
    <row r="7633">
      <c r="A7633" s="1" t="s">
        <v>15310</v>
      </c>
      <c r="B7633" s="2" t="s">
        <v>15297</v>
      </c>
      <c r="C7633" s="1" t="s">
        <v>2878</v>
      </c>
      <c r="D7633" s="1" t="s">
        <v>2879</v>
      </c>
    </row>
    <row r="7634">
      <c r="A7634" s="1" t="s">
        <v>15311</v>
      </c>
      <c r="B7634" s="2" t="s">
        <v>15299</v>
      </c>
      <c r="C7634" s="1" t="s">
        <v>2878</v>
      </c>
      <c r="D7634" s="1" t="s">
        <v>2879</v>
      </c>
    </row>
    <row r="7635">
      <c r="A7635" s="1" t="s">
        <v>2883</v>
      </c>
      <c r="B7635" s="2" t="s">
        <v>7</v>
      </c>
      <c r="C7635" s="1" t="s">
        <v>2885</v>
      </c>
      <c r="D7635" s="1" t="s">
        <v>2886</v>
      </c>
    </row>
    <row r="7636">
      <c r="A7636" s="1" t="s">
        <v>15312</v>
      </c>
      <c r="B7636" s="2" t="s">
        <v>15289</v>
      </c>
      <c r="C7636" s="1" t="s">
        <v>2885</v>
      </c>
      <c r="D7636" s="1" t="s">
        <v>2886</v>
      </c>
    </row>
    <row r="7637">
      <c r="A7637" s="1" t="s">
        <v>15313</v>
      </c>
      <c r="B7637" s="2" t="s">
        <v>15291</v>
      </c>
      <c r="C7637" s="1" t="s">
        <v>2885</v>
      </c>
      <c r="D7637" s="1" t="s">
        <v>2886</v>
      </c>
    </row>
    <row r="7638">
      <c r="A7638" s="1" t="s">
        <v>15314</v>
      </c>
      <c r="B7638" s="2" t="s">
        <v>15293</v>
      </c>
      <c r="C7638" s="1" t="s">
        <v>2885</v>
      </c>
      <c r="D7638" s="1" t="s">
        <v>2886</v>
      </c>
    </row>
    <row r="7639">
      <c r="A7639" s="1" t="s">
        <v>15315</v>
      </c>
      <c r="B7639" s="2" t="s">
        <v>15295</v>
      </c>
      <c r="C7639" s="1" t="s">
        <v>2885</v>
      </c>
      <c r="D7639" s="1" t="s">
        <v>2886</v>
      </c>
    </row>
    <row r="7640">
      <c r="A7640" s="1" t="s">
        <v>15316</v>
      </c>
      <c r="B7640" s="2" t="s">
        <v>15297</v>
      </c>
      <c r="C7640" s="1" t="s">
        <v>2885</v>
      </c>
      <c r="D7640" s="1" t="s">
        <v>2886</v>
      </c>
    </row>
    <row r="7641">
      <c r="A7641" s="1" t="s">
        <v>15317</v>
      </c>
      <c r="B7641" s="2" t="s">
        <v>15299</v>
      </c>
      <c r="C7641" s="1" t="s">
        <v>2885</v>
      </c>
      <c r="D7641" s="1" t="s">
        <v>2886</v>
      </c>
    </row>
    <row r="7642">
      <c r="A7642" s="1" t="s">
        <v>2889</v>
      </c>
      <c r="B7642" s="2" t="s">
        <v>7</v>
      </c>
      <c r="C7642" s="1" t="s">
        <v>2892</v>
      </c>
      <c r="D7642" s="1" t="s">
        <v>2893</v>
      </c>
    </row>
    <row r="7643">
      <c r="A7643" s="1" t="s">
        <v>15318</v>
      </c>
      <c r="B7643" s="2" t="s">
        <v>15289</v>
      </c>
      <c r="C7643" s="1" t="s">
        <v>2892</v>
      </c>
      <c r="D7643" s="1" t="s">
        <v>2893</v>
      </c>
    </row>
    <row r="7644">
      <c r="A7644" s="1" t="s">
        <v>15319</v>
      </c>
      <c r="B7644" s="2" t="s">
        <v>15291</v>
      </c>
      <c r="C7644" s="1" t="s">
        <v>2892</v>
      </c>
      <c r="D7644" s="1" t="s">
        <v>2893</v>
      </c>
    </row>
    <row r="7645">
      <c r="A7645" s="1" t="s">
        <v>15320</v>
      </c>
      <c r="B7645" s="2" t="s">
        <v>15293</v>
      </c>
      <c r="C7645" s="1" t="s">
        <v>2892</v>
      </c>
      <c r="D7645" s="1" t="s">
        <v>2893</v>
      </c>
    </row>
    <row r="7646">
      <c r="A7646" s="1" t="s">
        <v>15321</v>
      </c>
      <c r="B7646" s="2" t="s">
        <v>15295</v>
      </c>
      <c r="C7646" s="1" t="s">
        <v>2892</v>
      </c>
      <c r="D7646" s="1" t="s">
        <v>2893</v>
      </c>
    </row>
    <row r="7647">
      <c r="A7647" s="1" t="s">
        <v>15322</v>
      </c>
      <c r="B7647" s="2" t="s">
        <v>15297</v>
      </c>
      <c r="C7647" s="1" t="s">
        <v>2892</v>
      </c>
      <c r="D7647" s="1" t="s">
        <v>2893</v>
      </c>
    </row>
    <row r="7648">
      <c r="A7648" s="1" t="s">
        <v>15323</v>
      </c>
      <c r="B7648" s="2" t="s">
        <v>15299</v>
      </c>
      <c r="C7648" s="1" t="s">
        <v>2892</v>
      </c>
      <c r="D7648" s="1" t="s">
        <v>2893</v>
      </c>
    </row>
    <row r="7649">
      <c r="A7649" s="1" t="s">
        <v>2896</v>
      </c>
      <c r="B7649" s="2" t="s">
        <v>7</v>
      </c>
      <c r="C7649" s="1" t="s">
        <v>2899</v>
      </c>
      <c r="D7649" s="1" t="s">
        <v>2900</v>
      </c>
    </row>
    <row r="7650">
      <c r="A7650" s="1" t="s">
        <v>15324</v>
      </c>
      <c r="B7650" s="2" t="s">
        <v>15289</v>
      </c>
      <c r="C7650" s="1" t="s">
        <v>2899</v>
      </c>
      <c r="D7650" s="1" t="s">
        <v>2900</v>
      </c>
    </row>
    <row r="7651">
      <c r="A7651" s="1" t="s">
        <v>15325</v>
      </c>
      <c r="B7651" s="2" t="s">
        <v>15291</v>
      </c>
      <c r="C7651" s="1" t="s">
        <v>2899</v>
      </c>
      <c r="D7651" s="1" t="s">
        <v>2900</v>
      </c>
    </row>
    <row r="7652">
      <c r="A7652" s="1" t="s">
        <v>15326</v>
      </c>
      <c r="B7652" s="2" t="s">
        <v>15293</v>
      </c>
      <c r="C7652" s="1" t="s">
        <v>2899</v>
      </c>
      <c r="D7652" s="1" t="s">
        <v>2900</v>
      </c>
    </row>
    <row r="7653">
      <c r="A7653" s="1" t="s">
        <v>15327</v>
      </c>
      <c r="B7653" s="2" t="s">
        <v>15295</v>
      </c>
      <c r="C7653" s="1" t="s">
        <v>2899</v>
      </c>
      <c r="D7653" s="1" t="s">
        <v>2900</v>
      </c>
    </row>
    <row r="7654">
      <c r="A7654" s="1" t="s">
        <v>15328</v>
      </c>
      <c r="B7654" s="2" t="s">
        <v>15297</v>
      </c>
      <c r="C7654" s="1" t="s">
        <v>2899</v>
      </c>
      <c r="D7654" s="1" t="s">
        <v>2900</v>
      </c>
    </row>
    <row r="7655">
      <c r="A7655" s="1" t="s">
        <v>15329</v>
      </c>
      <c r="B7655" s="2" t="s">
        <v>15299</v>
      </c>
      <c r="C7655" s="1" t="s">
        <v>2899</v>
      </c>
      <c r="D7655" s="1" t="s">
        <v>2900</v>
      </c>
    </row>
    <row r="7656">
      <c r="A7656" s="1" t="s">
        <v>2903</v>
      </c>
      <c r="B7656" s="2" t="s">
        <v>7</v>
      </c>
      <c r="C7656" s="1" t="s">
        <v>2906</v>
      </c>
      <c r="D7656" s="1" t="s">
        <v>2907</v>
      </c>
    </row>
    <row r="7657">
      <c r="A7657" s="1" t="s">
        <v>15330</v>
      </c>
      <c r="B7657" s="2" t="s">
        <v>15289</v>
      </c>
      <c r="C7657" s="1" t="s">
        <v>2906</v>
      </c>
      <c r="D7657" s="1" t="s">
        <v>2907</v>
      </c>
    </row>
    <row r="7658">
      <c r="A7658" s="1" t="s">
        <v>15331</v>
      </c>
      <c r="B7658" s="2" t="s">
        <v>15291</v>
      </c>
      <c r="C7658" s="1" t="s">
        <v>2906</v>
      </c>
      <c r="D7658" s="1" t="s">
        <v>2907</v>
      </c>
    </row>
    <row r="7659">
      <c r="A7659" s="1" t="s">
        <v>15332</v>
      </c>
      <c r="B7659" s="2" t="s">
        <v>15293</v>
      </c>
      <c r="C7659" s="1" t="s">
        <v>2906</v>
      </c>
      <c r="D7659" s="1" t="s">
        <v>2907</v>
      </c>
    </row>
    <row r="7660">
      <c r="A7660" s="1" t="s">
        <v>15333</v>
      </c>
      <c r="B7660" s="2" t="s">
        <v>15295</v>
      </c>
      <c r="C7660" s="1" t="s">
        <v>2906</v>
      </c>
      <c r="D7660" s="1" t="s">
        <v>2907</v>
      </c>
    </row>
    <row r="7661">
      <c r="A7661" s="1" t="s">
        <v>15334</v>
      </c>
      <c r="B7661" s="2" t="s">
        <v>15297</v>
      </c>
      <c r="C7661" s="1" t="s">
        <v>2906</v>
      </c>
      <c r="D7661" s="1" t="s">
        <v>2907</v>
      </c>
    </row>
    <row r="7662">
      <c r="A7662" s="1" t="s">
        <v>15335</v>
      </c>
      <c r="B7662" s="2" t="s">
        <v>15299</v>
      </c>
      <c r="C7662" s="1" t="s">
        <v>2906</v>
      </c>
      <c r="D7662" s="1" t="s">
        <v>2907</v>
      </c>
    </row>
    <row r="7663">
      <c r="A7663" s="1" t="s">
        <v>2911</v>
      </c>
      <c r="B7663" s="2" t="s">
        <v>7</v>
      </c>
      <c r="C7663" s="1" t="s">
        <v>2913</v>
      </c>
      <c r="D7663" s="1" t="s">
        <v>2914</v>
      </c>
    </row>
    <row r="7664">
      <c r="A7664" s="1" t="s">
        <v>15336</v>
      </c>
      <c r="B7664" s="2" t="s">
        <v>15289</v>
      </c>
      <c r="C7664" s="1" t="s">
        <v>2913</v>
      </c>
      <c r="D7664" s="1" t="s">
        <v>2914</v>
      </c>
    </row>
    <row r="7665">
      <c r="A7665" s="1" t="s">
        <v>15337</v>
      </c>
      <c r="B7665" s="2" t="s">
        <v>15291</v>
      </c>
      <c r="C7665" s="1" t="s">
        <v>2913</v>
      </c>
      <c r="D7665" s="1" t="s">
        <v>2914</v>
      </c>
    </row>
    <row r="7666">
      <c r="A7666" s="1" t="s">
        <v>15338</v>
      </c>
      <c r="B7666" s="2" t="s">
        <v>15293</v>
      </c>
      <c r="C7666" s="1" t="s">
        <v>2913</v>
      </c>
      <c r="D7666" s="1" t="s">
        <v>2914</v>
      </c>
    </row>
    <row r="7667">
      <c r="A7667" s="1" t="s">
        <v>15339</v>
      </c>
      <c r="B7667" s="2" t="s">
        <v>15295</v>
      </c>
      <c r="C7667" s="1" t="s">
        <v>2913</v>
      </c>
      <c r="D7667" s="1" t="s">
        <v>2914</v>
      </c>
    </row>
    <row r="7668">
      <c r="A7668" s="1" t="s">
        <v>15340</v>
      </c>
      <c r="B7668" s="2" t="s">
        <v>15297</v>
      </c>
      <c r="C7668" s="1" t="s">
        <v>2913</v>
      </c>
      <c r="D7668" s="1" t="s">
        <v>2914</v>
      </c>
    </row>
    <row r="7669">
      <c r="A7669" s="1" t="s">
        <v>15341</v>
      </c>
      <c r="B7669" s="2" t="s">
        <v>15299</v>
      </c>
      <c r="C7669" s="1" t="s">
        <v>2913</v>
      </c>
      <c r="D7669" s="1" t="s">
        <v>2914</v>
      </c>
    </row>
    <row r="7670">
      <c r="A7670" s="1" t="s">
        <v>2915</v>
      </c>
      <c r="B7670" s="2" t="s">
        <v>7</v>
      </c>
      <c r="C7670" s="1" t="s">
        <v>2917</v>
      </c>
      <c r="D7670" s="1" t="s">
        <v>2918</v>
      </c>
    </row>
    <row r="7671">
      <c r="A7671" s="1" t="s">
        <v>15342</v>
      </c>
      <c r="B7671" s="2" t="s">
        <v>15289</v>
      </c>
      <c r="C7671" s="1" t="s">
        <v>2917</v>
      </c>
      <c r="D7671" s="1" t="s">
        <v>2918</v>
      </c>
    </row>
    <row r="7672">
      <c r="A7672" s="1" t="s">
        <v>15343</v>
      </c>
      <c r="B7672" s="2" t="s">
        <v>15291</v>
      </c>
      <c r="C7672" s="1" t="s">
        <v>2917</v>
      </c>
      <c r="D7672" s="1" t="s">
        <v>2918</v>
      </c>
    </row>
    <row r="7673">
      <c r="A7673" s="1" t="s">
        <v>15344</v>
      </c>
      <c r="B7673" s="2" t="s">
        <v>15293</v>
      </c>
      <c r="C7673" s="1" t="s">
        <v>2917</v>
      </c>
      <c r="D7673" s="1" t="s">
        <v>2918</v>
      </c>
    </row>
    <row r="7674">
      <c r="A7674" s="1" t="s">
        <v>15345</v>
      </c>
      <c r="B7674" s="2" t="s">
        <v>15295</v>
      </c>
      <c r="C7674" s="1" t="s">
        <v>2917</v>
      </c>
      <c r="D7674" s="1" t="s">
        <v>2918</v>
      </c>
    </row>
    <row r="7675">
      <c r="A7675" s="1" t="s">
        <v>15346</v>
      </c>
      <c r="B7675" s="2" t="s">
        <v>15297</v>
      </c>
      <c r="C7675" s="1" t="s">
        <v>2917</v>
      </c>
      <c r="D7675" s="1" t="s">
        <v>2918</v>
      </c>
    </row>
    <row r="7676">
      <c r="A7676" s="1" t="s">
        <v>15347</v>
      </c>
      <c r="B7676" s="2" t="s">
        <v>15299</v>
      </c>
      <c r="C7676" s="1" t="s">
        <v>2917</v>
      </c>
      <c r="D7676" s="1" t="s">
        <v>2918</v>
      </c>
    </row>
    <row r="7677">
      <c r="A7677" s="1" t="s">
        <v>2862</v>
      </c>
      <c r="B7677" s="2" t="s">
        <v>7</v>
      </c>
      <c r="C7677" s="1" t="s">
        <v>2864</v>
      </c>
      <c r="D7677" s="1" t="s">
        <v>2866</v>
      </c>
    </row>
    <row r="7678">
      <c r="A7678" s="1" t="s">
        <v>15348</v>
      </c>
      <c r="B7678" s="2" t="s">
        <v>15289</v>
      </c>
      <c r="C7678" s="1" t="s">
        <v>2864</v>
      </c>
      <c r="D7678" s="1" t="s">
        <v>2866</v>
      </c>
    </row>
    <row r="7679">
      <c r="A7679" s="1" t="s">
        <v>15349</v>
      </c>
      <c r="B7679" s="2" t="s">
        <v>15350</v>
      </c>
      <c r="C7679" s="1" t="s">
        <v>2864</v>
      </c>
      <c r="D7679" s="1" t="s">
        <v>2866</v>
      </c>
    </row>
    <row r="7680">
      <c r="A7680" s="1" t="s">
        <v>15351</v>
      </c>
      <c r="B7680" s="2" t="s">
        <v>15352</v>
      </c>
      <c r="C7680" s="1" t="s">
        <v>2864</v>
      </c>
      <c r="D7680" s="1" t="s">
        <v>2866</v>
      </c>
    </row>
    <row r="7681">
      <c r="A7681" s="1" t="s">
        <v>15353</v>
      </c>
      <c r="B7681" s="2" t="s">
        <v>15354</v>
      </c>
      <c r="C7681" s="1" t="s">
        <v>2864</v>
      </c>
      <c r="D7681" s="1" t="s">
        <v>2866</v>
      </c>
    </row>
    <row r="7682">
      <c r="A7682" s="1" t="s">
        <v>15355</v>
      </c>
      <c r="B7682" s="2" t="s">
        <v>15356</v>
      </c>
      <c r="C7682" s="1" t="s">
        <v>2864</v>
      </c>
      <c r="D7682" s="1" t="s">
        <v>2866</v>
      </c>
    </row>
    <row r="7683">
      <c r="A7683" s="1" t="s">
        <v>15357</v>
      </c>
      <c r="B7683" s="2" t="s">
        <v>15358</v>
      </c>
      <c r="C7683" s="1" t="s">
        <v>2864</v>
      </c>
      <c r="D7683" s="1" t="s">
        <v>2866</v>
      </c>
    </row>
    <row r="7684">
      <c r="A7684" s="1" t="s">
        <v>15359</v>
      </c>
      <c r="B7684" s="2" t="s">
        <v>15360</v>
      </c>
      <c r="C7684" s="1" t="s">
        <v>2864</v>
      </c>
      <c r="D7684" s="1" t="s">
        <v>2866</v>
      </c>
    </row>
    <row r="7685">
      <c r="A7685" s="1" t="s">
        <v>15361</v>
      </c>
      <c r="B7685" s="2" t="s">
        <v>15362</v>
      </c>
      <c r="C7685" s="1" t="s">
        <v>2864</v>
      </c>
      <c r="D7685" s="1" t="s">
        <v>2866</v>
      </c>
    </row>
    <row r="7686">
      <c r="A7686" s="1" t="s">
        <v>15363</v>
      </c>
      <c r="B7686" s="2" t="s">
        <v>15364</v>
      </c>
      <c r="C7686" s="1" t="s">
        <v>2864</v>
      </c>
      <c r="D7686" s="1" t="s">
        <v>2866</v>
      </c>
    </row>
    <row r="7687">
      <c r="A7687" s="1" t="s">
        <v>15365</v>
      </c>
      <c r="B7687" s="2" t="s">
        <v>15295</v>
      </c>
      <c r="C7687" s="1" t="s">
        <v>2864</v>
      </c>
      <c r="D7687" s="1" t="s">
        <v>2866</v>
      </c>
    </row>
    <row r="7688">
      <c r="A7688" s="1" t="s">
        <v>15366</v>
      </c>
      <c r="B7688" s="2" t="s">
        <v>15367</v>
      </c>
      <c r="C7688" s="1" t="s">
        <v>2864</v>
      </c>
      <c r="D7688" s="1" t="s">
        <v>2866</v>
      </c>
    </row>
    <row r="7689">
      <c r="A7689" s="1" t="s">
        <v>15368</v>
      </c>
      <c r="B7689" s="2" t="s">
        <v>15369</v>
      </c>
      <c r="C7689" s="1" t="s">
        <v>2864</v>
      </c>
      <c r="D7689" s="1" t="s">
        <v>2866</v>
      </c>
    </row>
    <row r="7690">
      <c r="A7690" s="1" t="s">
        <v>15370</v>
      </c>
      <c r="B7690" s="2" t="s">
        <v>15371</v>
      </c>
      <c r="C7690" s="1" t="s">
        <v>2864</v>
      </c>
      <c r="D7690" s="1" t="s">
        <v>2866</v>
      </c>
    </row>
    <row r="7691">
      <c r="A7691" s="1" t="s">
        <v>15372</v>
      </c>
      <c r="B7691" s="2" t="s">
        <v>15373</v>
      </c>
      <c r="C7691" s="1" t="s">
        <v>2864</v>
      </c>
      <c r="D7691" s="1" t="s">
        <v>2866</v>
      </c>
    </row>
    <row r="7692">
      <c r="A7692" s="1" t="s">
        <v>15374</v>
      </c>
      <c r="B7692" s="2" t="s">
        <v>15375</v>
      </c>
      <c r="C7692" s="1" t="s">
        <v>2864</v>
      </c>
      <c r="D7692" s="1" t="s">
        <v>2866</v>
      </c>
    </row>
    <row r="7693">
      <c r="A7693" s="1" t="s">
        <v>15376</v>
      </c>
      <c r="B7693" s="2" t="s">
        <v>15377</v>
      </c>
      <c r="C7693" s="1" t="s">
        <v>2864</v>
      </c>
      <c r="D7693" s="1" t="s">
        <v>2866</v>
      </c>
    </row>
    <row r="7694">
      <c r="A7694" s="1" t="s">
        <v>15378</v>
      </c>
      <c r="B7694" s="2" t="s">
        <v>15379</v>
      </c>
      <c r="C7694" s="1" t="s">
        <v>2864</v>
      </c>
      <c r="D7694" s="1" t="s">
        <v>2866</v>
      </c>
    </row>
    <row r="7695">
      <c r="A7695" s="1" t="s">
        <v>15380</v>
      </c>
      <c r="B7695" s="2" t="s">
        <v>15381</v>
      </c>
      <c r="C7695" s="1" t="s">
        <v>2864</v>
      </c>
      <c r="D7695" s="1" t="s">
        <v>2866</v>
      </c>
    </row>
    <row r="7696">
      <c r="A7696" s="1" t="s">
        <v>2921</v>
      </c>
      <c r="B7696" s="2" t="s">
        <v>7</v>
      </c>
      <c r="C7696" s="1" t="s">
        <v>2924</v>
      </c>
      <c r="D7696" s="1" t="s">
        <v>2925</v>
      </c>
    </row>
    <row r="7697">
      <c r="A7697" s="1" t="s">
        <v>15382</v>
      </c>
      <c r="B7697" s="2" t="s">
        <v>15289</v>
      </c>
      <c r="C7697" s="1" t="s">
        <v>2924</v>
      </c>
      <c r="D7697" s="1" t="s">
        <v>2925</v>
      </c>
    </row>
    <row r="7698">
      <c r="A7698" s="1" t="s">
        <v>15383</v>
      </c>
      <c r="B7698" s="2" t="s">
        <v>15384</v>
      </c>
      <c r="C7698" s="1" t="s">
        <v>2924</v>
      </c>
      <c r="D7698" s="1" t="s">
        <v>2925</v>
      </c>
    </row>
    <row r="7699">
      <c r="A7699" s="1" t="s">
        <v>15385</v>
      </c>
      <c r="B7699" s="2" t="s">
        <v>15386</v>
      </c>
      <c r="C7699" s="1" t="s">
        <v>2924</v>
      </c>
      <c r="D7699" s="1" t="s">
        <v>2925</v>
      </c>
    </row>
    <row r="7700">
      <c r="A7700" s="1" t="s">
        <v>15387</v>
      </c>
      <c r="B7700" s="2" t="s">
        <v>15388</v>
      </c>
      <c r="C7700" s="1" t="s">
        <v>2924</v>
      </c>
      <c r="D7700" s="1" t="s">
        <v>2925</v>
      </c>
    </row>
    <row r="7701">
      <c r="A7701" s="1" t="s">
        <v>15389</v>
      </c>
      <c r="B7701" s="2" t="s">
        <v>15295</v>
      </c>
      <c r="C7701" s="1" t="s">
        <v>2924</v>
      </c>
      <c r="D7701" s="1" t="s">
        <v>2925</v>
      </c>
    </row>
    <row r="7702">
      <c r="A7702" s="1" t="s">
        <v>15390</v>
      </c>
      <c r="B7702" s="2" t="s">
        <v>15391</v>
      </c>
      <c r="C7702" s="1" t="s">
        <v>2924</v>
      </c>
      <c r="D7702" s="1" t="s">
        <v>2925</v>
      </c>
    </row>
    <row r="7703">
      <c r="A7703" s="1" t="s">
        <v>15392</v>
      </c>
      <c r="B7703" s="2" t="s">
        <v>15393</v>
      </c>
      <c r="C7703" s="1" t="s">
        <v>2924</v>
      </c>
      <c r="D7703" s="1" t="s">
        <v>2925</v>
      </c>
    </row>
    <row r="7704">
      <c r="A7704" s="1" t="s">
        <v>15394</v>
      </c>
      <c r="B7704" s="2" t="s">
        <v>15395</v>
      </c>
      <c r="C7704" s="1" t="s">
        <v>2924</v>
      </c>
      <c r="D7704" s="1" t="s">
        <v>2925</v>
      </c>
    </row>
    <row r="7705">
      <c r="A7705" s="1" t="s">
        <v>2930</v>
      </c>
      <c r="B7705" s="2" t="s">
        <v>7</v>
      </c>
      <c r="C7705" s="1" t="s">
        <v>2931</v>
      </c>
      <c r="D7705" s="1" t="s">
        <v>2933</v>
      </c>
    </row>
    <row r="7706">
      <c r="A7706" s="1" t="s">
        <v>15396</v>
      </c>
      <c r="B7706" s="2" t="s">
        <v>15289</v>
      </c>
      <c r="C7706" s="1" t="s">
        <v>2931</v>
      </c>
      <c r="D7706" s="1" t="s">
        <v>2933</v>
      </c>
    </row>
    <row r="7707">
      <c r="A7707" s="1" t="s">
        <v>15397</v>
      </c>
      <c r="B7707" s="2" t="s">
        <v>15350</v>
      </c>
      <c r="C7707" s="1" t="s">
        <v>2931</v>
      </c>
      <c r="D7707" s="1" t="s">
        <v>2933</v>
      </c>
    </row>
    <row r="7708">
      <c r="A7708" s="1" t="s">
        <v>15398</v>
      </c>
      <c r="B7708" s="2" t="s">
        <v>15399</v>
      </c>
      <c r="C7708" s="1" t="s">
        <v>2931</v>
      </c>
      <c r="D7708" s="1" t="s">
        <v>2933</v>
      </c>
    </row>
    <row r="7709">
      <c r="A7709" s="1" t="s">
        <v>15400</v>
      </c>
      <c r="B7709" s="2" t="s">
        <v>15401</v>
      </c>
      <c r="C7709" s="1" t="s">
        <v>2931</v>
      </c>
      <c r="D7709" s="1" t="s">
        <v>2933</v>
      </c>
    </row>
    <row r="7710">
      <c r="A7710" s="1" t="s">
        <v>15402</v>
      </c>
      <c r="B7710" s="2" t="s">
        <v>15403</v>
      </c>
      <c r="C7710" s="1" t="s">
        <v>2931</v>
      </c>
      <c r="D7710" s="1" t="s">
        <v>2933</v>
      </c>
    </row>
    <row r="7711">
      <c r="A7711" s="1" t="s">
        <v>15404</v>
      </c>
      <c r="B7711" s="2" t="s">
        <v>15405</v>
      </c>
      <c r="C7711" s="1" t="s">
        <v>2931</v>
      </c>
      <c r="D7711" s="1" t="s">
        <v>2933</v>
      </c>
    </row>
    <row r="7712">
      <c r="A7712" s="1" t="s">
        <v>15406</v>
      </c>
      <c r="B7712" s="2" t="s">
        <v>15407</v>
      </c>
      <c r="C7712" s="1" t="s">
        <v>2931</v>
      </c>
      <c r="D7712" s="1" t="s">
        <v>2933</v>
      </c>
    </row>
    <row r="7713">
      <c r="A7713" s="1" t="s">
        <v>15408</v>
      </c>
      <c r="B7713" s="2" t="s">
        <v>15295</v>
      </c>
      <c r="C7713" s="1" t="s">
        <v>2931</v>
      </c>
      <c r="D7713" s="1" t="s">
        <v>2933</v>
      </c>
    </row>
    <row r="7714">
      <c r="A7714" s="1" t="s">
        <v>15409</v>
      </c>
      <c r="B7714" s="2" t="s">
        <v>15367</v>
      </c>
      <c r="C7714" s="1" t="s">
        <v>2931</v>
      </c>
      <c r="D7714" s="1" t="s">
        <v>2933</v>
      </c>
    </row>
    <row r="7715">
      <c r="A7715" s="1" t="s">
        <v>15410</v>
      </c>
      <c r="B7715" s="2" t="s">
        <v>15411</v>
      </c>
      <c r="C7715" s="1" t="s">
        <v>2931</v>
      </c>
      <c r="D7715" s="1" t="s">
        <v>2933</v>
      </c>
    </row>
    <row r="7716">
      <c r="A7716" s="1" t="s">
        <v>15412</v>
      </c>
      <c r="B7716" s="2" t="s">
        <v>15413</v>
      </c>
      <c r="C7716" s="1" t="s">
        <v>2931</v>
      </c>
      <c r="D7716" s="1" t="s">
        <v>2933</v>
      </c>
    </row>
    <row r="7717">
      <c r="A7717" s="1" t="s">
        <v>15414</v>
      </c>
      <c r="B7717" s="2" t="s">
        <v>15415</v>
      </c>
      <c r="C7717" s="1" t="s">
        <v>2931</v>
      </c>
      <c r="D7717" s="1" t="s">
        <v>2933</v>
      </c>
    </row>
    <row r="7718">
      <c r="A7718" s="1" t="s">
        <v>15416</v>
      </c>
      <c r="B7718" s="2" t="s">
        <v>15417</v>
      </c>
      <c r="C7718" s="1" t="s">
        <v>2931</v>
      </c>
      <c r="D7718" s="1" t="s">
        <v>2933</v>
      </c>
    </row>
    <row r="7719">
      <c r="A7719" s="1" t="s">
        <v>15418</v>
      </c>
      <c r="B7719" s="2" t="s">
        <v>15419</v>
      </c>
      <c r="C7719" s="1" t="s">
        <v>2931</v>
      </c>
      <c r="D7719" s="1" t="s">
        <v>2933</v>
      </c>
    </row>
    <row r="7720">
      <c r="A7720" s="1" t="s">
        <v>2937</v>
      </c>
      <c r="B7720" s="2" t="s">
        <v>7</v>
      </c>
      <c r="C7720" s="1" t="s">
        <v>2939</v>
      </c>
      <c r="D7720" s="1" t="s">
        <v>2941</v>
      </c>
    </row>
    <row r="7721">
      <c r="A7721" s="1" t="s">
        <v>15420</v>
      </c>
      <c r="B7721" s="2" t="s">
        <v>15289</v>
      </c>
      <c r="C7721" s="1" t="s">
        <v>2939</v>
      </c>
      <c r="D7721" s="1" t="s">
        <v>2941</v>
      </c>
    </row>
    <row r="7722">
      <c r="A7722" s="1" t="s">
        <v>15421</v>
      </c>
      <c r="B7722" s="2" t="s">
        <v>15350</v>
      </c>
      <c r="C7722" s="1" t="s">
        <v>2939</v>
      </c>
      <c r="D7722" s="1" t="s">
        <v>2941</v>
      </c>
    </row>
    <row r="7723">
      <c r="A7723" s="1" t="s">
        <v>15422</v>
      </c>
      <c r="B7723" s="2" t="s">
        <v>15423</v>
      </c>
      <c r="C7723" s="1" t="s">
        <v>2939</v>
      </c>
      <c r="D7723" s="1" t="s">
        <v>2941</v>
      </c>
    </row>
    <row r="7724">
      <c r="A7724" s="1" t="s">
        <v>15424</v>
      </c>
      <c r="B7724" s="2" t="s">
        <v>15425</v>
      </c>
      <c r="C7724" s="1" t="s">
        <v>2939</v>
      </c>
      <c r="D7724" s="1" t="s">
        <v>2941</v>
      </c>
    </row>
    <row r="7725">
      <c r="A7725" s="1" t="s">
        <v>15426</v>
      </c>
      <c r="B7725" s="2" t="s">
        <v>15427</v>
      </c>
      <c r="C7725" s="1" t="s">
        <v>2939</v>
      </c>
      <c r="D7725" s="1" t="s">
        <v>2941</v>
      </c>
    </row>
    <row r="7726">
      <c r="A7726" s="1" t="s">
        <v>15428</v>
      </c>
      <c r="B7726" s="2" t="s">
        <v>15403</v>
      </c>
      <c r="C7726" s="1" t="s">
        <v>2939</v>
      </c>
      <c r="D7726" s="1" t="s">
        <v>2941</v>
      </c>
    </row>
    <row r="7727">
      <c r="A7727" s="1" t="s">
        <v>15429</v>
      </c>
      <c r="B7727" s="2" t="s">
        <v>15430</v>
      </c>
      <c r="C7727" s="1" t="s">
        <v>2939</v>
      </c>
      <c r="D7727" s="1" t="s">
        <v>2941</v>
      </c>
    </row>
    <row r="7728">
      <c r="A7728" s="1" t="s">
        <v>15431</v>
      </c>
      <c r="B7728" s="2" t="s">
        <v>15432</v>
      </c>
      <c r="C7728" s="1" t="s">
        <v>2939</v>
      </c>
      <c r="D7728" s="1" t="s">
        <v>2941</v>
      </c>
    </row>
    <row r="7729">
      <c r="A7729" s="1" t="s">
        <v>15433</v>
      </c>
      <c r="B7729" s="2" t="s">
        <v>15434</v>
      </c>
      <c r="C7729" s="1" t="s">
        <v>2939</v>
      </c>
      <c r="D7729" s="1" t="s">
        <v>2941</v>
      </c>
    </row>
    <row r="7730">
      <c r="A7730" s="1" t="s">
        <v>15435</v>
      </c>
      <c r="B7730" s="2" t="s">
        <v>15295</v>
      </c>
      <c r="C7730" s="1" t="s">
        <v>2939</v>
      </c>
      <c r="D7730" s="1" t="s">
        <v>2941</v>
      </c>
    </row>
    <row r="7731">
      <c r="A7731" s="1" t="s">
        <v>15436</v>
      </c>
      <c r="B7731" s="2" t="s">
        <v>15367</v>
      </c>
      <c r="C7731" s="1" t="s">
        <v>2939</v>
      </c>
      <c r="D7731" s="1" t="s">
        <v>2941</v>
      </c>
    </row>
    <row r="7732">
      <c r="A7732" s="1" t="s">
        <v>15437</v>
      </c>
      <c r="B7732" s="2" t="s">
        <v>15438</v>
      </c>
      <c r="C7732" s="1" t="s">
        <v>2939</v>
      </c>
      <c r="D7732" s="1" t="s">
        <v>2941</v>
      </c>
    </row>
    <row r="7733">
      <c r="A7733" s="1" t="s">
        <v>15439</v>
      </c>
      <c r="B7733" s="2" t="s">
        <v>15440</v>
      </c>
      <c r="C7733" s="1" t="s">
        <v>2939</v>
      </c>
      <c r="D7733" s="1" t="s">
        <v>2941</v>
      </c>
    </row>
    <row r="7734">
      <c r="A7734" s="1" t="s">
        <v>15441</v>
      </c>
      <c r="B7734" s="2" t="s">
        <v>15442</v>
      </c>
      <c r="C7734" s="1" t="s">
        <v>2939</v>
      </c>
      <c r="D7734" s="1" t="s">
        <v>2941</v>
      </c>
    </row>
    <row r="7735">
      <c r="A7735" s="1" t="s">
        <v>15443</v>
      </c>
      <c r="B7735" s="2" t="s">
        <v>15415</v>
      </c>
      <c r="C7735" s="1" t="s">
        <v>2939</v>
      </c>
      <c r="D7735" s="1" t="s">
        <v>2941</v>
      </c>
    </row>
    <row r="7736">
      <c r="A7736" s="1" t="s">
        <v>15444</v>
      </c>
      <c r="B7736" s="2" t="s">
        <v>15445</v>
      </c>
      <c r="C7736" s="1" t="s">
        <v>2939</v>
      </c>
      <c r="D7736" s="1" t="s">
        <v>2941</v>
      </c>
    </row>
    <row r="7737">
      <c r="A7737" s="1" t="s">
        <v>15446</v>
      </c>
      <c r="B7737" s="2" t="s">
        <v>15447</v>
      </c>
      <c r="C7737" s="1" t="s">
        <v>2939</v>
      </c>
      <c r="D7737" s="1" t="s">
        <v>2941</v>
      </c>
    </row>
    <row r="7738">
      <c r="A7738" s="1" t="s">
        <v>15448</v>
      </c>
      <c r="B7738" s="2" t="s">
        <v>15449</v>
      </c>
      <c r="C7738" s="1" t="s">
        <v>2939</v>
      </c>
      <c r="D7738" s="1" t="s">
        <v>2941</v>
      </c>
    </row>
    <row r="7739">
      <c r="A7739" s="1" t="s">
        <v>2944</v>
      </c>
      <c r="B7739" s="2" t="s">
        <v>7</v>
      </c>
      <c r="C7739" s="1" t="s">
        <v>2946</v>
      </c>
      <c r="D7739" s="1" t="s">
        <v>2948</v>
      </c>
    </row>
    <row r="7740">
      <c r="A7740" s="1" t="s">
        <v>15450</v>
      </c>
      <c r="B7740" s="2" t="s">
        <v>15289</v>
      </c>
      <c r="C7740" s="1" t="s">
        <v>2946</v>
      </c>
      <c r="D7740" s="1" t="s">
        <v>2948</v>
      </c>
    </row>
    <row r="7741">
      <c r="A7741" s="1" t="s">
        <v>15451</v>
      </c>
      <c r="B7741" s="2" t="s">
        <v>15350</v>
      </c>
      <c r="C7741" s="1" t="s">
        <v>2946</v>
      </c>
      <c r="D7741" s="1" t="s">
        <v>2948</v>
      </c>
    </row>
    <row r="7742">
      <c r="A7742" s="1" t="s">
        <v>15452</v>
      </c>
      <c r="B7742" s="2" t="s">
        <v>15453</v>
      </c>
      <c r="C7742" s="1" t="s">
        <v>2946</v>
      </c>
      <c r="D7742" s="1" t="s">
        <v>2948</v>
      </c>
    </row>
    <row r="7743">
      <c r="A7743" s="1" t="s">
        <v>15454</v>
      </c>
      <c r="B7743" s="2" t="s">
        <v>15455</v>
      </c>
      <c r="C7743" s="1" t="s">
        <v>2946</v>
      </c>
      <c r="D7743" s="1" t="s">
        <v>2948</v>
      </c>
    </row>
    <row r="7744">
      <c r="A7744" s="1" t="s">
        <v>15456</v>
      </c>
      <c r="B7744" s="2" t="s">
        <v>15403</v>
      </c>
      <c r="C7744" s="1" t="s">
        <v>2946</v>
      </c>
      <c r="D7744" s="1" t="s">
        <v>2948</v>
      </c>
    </row>
    <row r="7745">
      <c r="A7745" s="1" t="s">
        <v>15457</v>
      </c>
      <c r="B7745" s="2" t="s">
        <v>15458</v>
      </c>
      <c r="C7745" s="1" t="s">
        <v>2946</v>
      </c>
      <c r="D7745" s="1" t="s">
        <v>2948</v>
      </c>
    </row>
    <row r="7746">
      <c r="A7746" s="1" t="s">
        <v>15459</v>
      </c>
      <c r="B7746" s="2" t="s">
        <v>15460</v>
      </c>
      <c r="C7746" s="1" t="s">
        <v>2946</v>
      </c>
      <c r="D7746" s="1" t="s">
        <v>2948</v>
      </c>
    </row>
    <row r="7747">
      <c r="A7747" s="1" t="s">
        <v>15461</v>
      </c>
      <c r="B7747" s="2" t="s">
        <v>15295</v>
      </c>
      <c r="C7747" s="1" t="s">
        <v>2946</v>
      </c>
      <c r="D7747" s="1" t="s">
        <v>2948</v>
      </c>
    </row>
    <row r="7748">
      <c r="A7748" s="1" t="s">
        <v>15462</v>
      </c>
      <c r="B7748" s="2" t="s">
        <v>15367</v>
      </c>
      <c r="C7748" s="1" t="s">
        <v>2946</v>
      </c>
      <c r="D7748" s="1" t="s">
        <v>2948</v>
      </c>
    </row>
    <row r="7749">
      <c r="A7749" s="1" t="s">
        <v>15463</v>
      </c>
      <c r="B7749" s="2" t="s">
        <v>15464</v>
      </c>
      <c r="C7749" s="1" t="s">
        <v>2946</v>
      </c>
      <c r="D7749" s="1" t="s">
        <v>2948</v>
      </c>
    </row>
    <row r="7750">
      <c r="A7750" s="1" t="s">
        <v>15465</v>
      </c>
      <c r="B7750" s="2" t="s">
        <v>15466</v>
      </c>
      <c r="C7750" s="1" t="s">
        <v>2946</v>
      </c>
      <c r="D7750" s="1" t="s">
        <v>2948</v>
      </c>
    </row>
    <row r="7751">
      <c r="A7751" s="1" t="s">
        <v>15467</v>
      </c>
      <c r="B7751" s="2" t="s">
        <v>15415</v>
      </c>
      <c r="C7751" s="1" t="s">
        <v>2946</v>
      </c>
      <c r="D7751" s="1" t="s">
        <v>2948</v>
      </c>
    </row>
    <row r="7752">
      <c r="A7752" s="1" t="s">
        <v>15468</v>
      </c>
      <c r="B7752" s="2" t="s">
        <v>15469</v>
      </c>
      <c r="C7752" s="1" t="s">
        <v>2946</v>
      </c>
      <c r="D7752" s="1" t="s">
        <v>2948</v>
      </c>
    </row>
    <row r="7753">
      <c r="A7753" s="1" t="s">
        <v>15470</v>
      </c>
      <c r="B7753" s="2" t="s">
        <v>15471</v>
      </c>
      <c r="C7753" s="1" t="s">
        <v>2946</v>
      </c>
      <c r="D7753" s="1" t="s">
        <v>2948</v>
      </c>
    </row>
    <row r="7754">
      <c r="A7754" s="1" t="s">
        <v>2951</v>
      </c>
      <c r="B7754" s="2" t="s">
        <v>7</v>
      </c>
      <c r="C7754" s="1" t="s">
        <v>2953</v>
      </c>
      <c r="D7754" s="1" t="s">
        <v>2954</v>
      </c>
    </row>
    <row r="7755">
      <c r="A7755" s="1" t="s">
        <v>15472</v>
      </c>
      <c r="B7755" s="2" t="s">
        <v>15289</v>
      </c>
      <c r="C7755" s="1" t="s">
        <v>2953</v>
      </c>
      <c r="D7755" s="1" t="s">
        <v>2954</v>
      </c>
    </row>
    <row r="7756">
      <c r="A7756" s="1" t="s">
        <v>15473</v>
      </c>
      <c r="B7756" s="2" t="s">
        <v>15350</v>
      </c>
      <c r="C7756" s="1" t="s">
        <v>2953</v>
      </c>
      <c r="D7756" s="1" t="s">
        <v>2954</v>
      </c>
    </row>
    <row r="7757">
      <c r="A7757" s="1" t="s">
        <v>15474</v>
      </c>
      <c r="B7757" s="2" t="s">
        <v>15475</v>
      </c>
      <c r="C7757" s="1" t="s">
        <v>2953</v>
      </c>
      <c r="D7757" s="1" t="s">
        <v>2954</v>
      </c>
    </row>
    <row r="7758">
      <c r="A7758" s="1" t="s">
        <v>15476</v>
      </c>
      <c r="B7758" s="2" t="s">
        <v>15477</v>
      </c>
      <c r="C7758" s="1" t="s">
        <v>2953</v>
      </c>
      <c r="D7758" s="1" t="s">
        <v>2954</v>
      </c>
    </row>
    <row r="7759">
      <c r="A7759" s="1" t="s">
        <v>15478</v>
      </c>
      <c r="B7759" s="2" t="s">
        <v>15479</v>
      </c>
      <c r="C7759" s="1" t="s">
        <v>2953</v>
      </c>
      <c r="D7759" s="1" t="s">
        <v>2954</v>
      </c>
    </row>
    <row r="7760">
      <c r="A7760" s="1" t="s">
        <v>15480</v>
      </c>
      <c r="B7760" s="2" t="s">
        <v>15481</v>
      </c>
      <c r="C7760" s="1" t="s">
        <v>2953</v>
      </c>
      <c r="D7760" s="1" t="s">
        <v>2954</v>
      </c>
    </row>
    <row r="7761">
      <c r="A7761" s="1" t="s">
        <v>15482</v>
      </c>
      <c r="B7761" s="2" t="s">
        <v>15483</v>
      </c>
      <c r="C7761" s="1" t="s">
        <v>2953</v>
      </c>
      <c r="D7761" s="1" t="s">
        <v>2954</v>
      </c>
    </row>
    <row r="7762">
      <c r="A7762" s="1" t="s">
        <v>15484</v>
      </c>
      <c r="B7762" s="2" t="s">
        <v>15403</v>
      </c>
      <c r="C7762" s="1" t="s">
        <v>2953</v>
      </c>
      <c r="D7762" s="1" t="s">
        <v>2954</v>
      </c>
    </row>
    <row r="7763">
      <c r="A7763" s="1" t="s">
        <v>15485</v>
      </c>
      <c r="B7763" s="2" t="s">
        <v>15486</v>
      </c>
      <c r="C7763" s="1" t="s">
        <v>2953</v>
      </c>
      <c r="D7763" s="1" t="s">
        <v>2954</v>
      </c>
    </row>
    <row r="7764">
      <c r="A7764" s="1" t="s">
        <v>15487</v>
      </c>
      <c r="B7764" s="2" t="s">
        <v>15488</v>
      </c>
      <c r="C7764" s="1" t="s">
        <v>2953</v>
      </c>
      <c r="D7764" s="1" t="s">
        <v>2954</v>
      </c>
    </row>
    <row r="7765">
      <c r="A7765" s="1" t="s">
        <v>15489</v>
      </c>
      <c r="B7765" s="2" t="s">
        <v>15490</v>
      </c>
      <c r="C7765" s="1" t="s">
        <v>2953</v>
      </c>
      <c r="D7765" s="1" t="s">
        <v>2954</v>
      </c>
    </row>
    <row r="7766">
      <c r="A7766" s="1" t="s">
        <v>15491</v>
      </c>
      <c r="B7766" s="2" t="s">
        <v>15492</v>
      </c>
      <c r="C7766" s="1" t="s">
        <v>2953</v>
      </c>
      <c r="D7766" s="1" t="s">
        <v>2954</v>
      </c>
    </row>
    <row r="7767">
      <c r="A7767" s="1" t="s">
        <v>15493</v>
      </c>
      <c r="B7767" s="2" t="s">
        <v>15494</v>
      </c>
      <c r="C7767" s="1" t="s">
        <v>2953</v>
      </c>
      <c r="D7767" s="1" t="s">
        <v>2954</v>
      </c>
    </row>
    <row r="7768">
      <c r="A7768" s="1" t="s">
        <v>15495</v>
      </c>
      <c r="B7768" s="2" t="s">
        <v>15295</v>
      </c>
      <c r="C7768" s="1" t="s">
        <v>2953</v>
      </c>
      <c r="D7768" s="1" t="s">
        <v>2954</v>
      </c>
    </row>
    <row r="7769">
      <c r="A7769" s="1" t="s">
        <v>15496</v>
      </c>
      <c r="B7769" s="2" t="s">
        <v>15367</v>
      </c>
      <c r="C7769" s="1" t="s">
        <v>2953</v>
      </c>
      <c r="D7769" s="1" t="s">
        <v>2954</v>
      </c>
    </row>
    <row r="7770">
      <c r="A7770" s="1" t="s">
        <v>15497</v>
      </c>
      <c r="B7770" s="2" t="s">
        <v>15498</v>
      </c>
      <c r="C7770" s="1" t="s">
        <v>2953</v>
      </c>
      <c r="D7770" s="1" t="s">
        <v>2954</v>
      </c>
    </row>
    <row r="7771">
      <c r="A7771" s="1" t="s">
        <v>15499</v>
      </c>
      <c r="B7771" s="2" t="s">
        <v>15500</v>
      </c>
      <c r="C7771" s="1" t="s">
        <v>2953</v>
      </c>
      <c r="D7771" s="1" t="s">
        <v>2954</v>
      </c>
    </row>
    <row r="7772">
      <c r="A7772" s="1" t="s">
        <v>15501</v>
      </c>
      <c r="B7772" s="2" t="s">
        <v>15502</v>
      </c>
      <c r="C7772" s="1" t="s">
        <v>2953</v>
      </c>
      <c r="D7772" s="1" t="s">
        <v>2954</v>
      </c>
    </row>
    <row r="7773">
      <c r="A7773" s="1" t="s">
        <v>15503</v>
      </c>
      <c r="B7773" s="2" t="s">
        <v>15504</v>
      </c>
      <c r="C7773" s="1" t="s">
        <v>2953</v>
      </c>
      <c r="D7773" s="1" t="s">
        <v>2954</v>
      </c>
    </row>
    <row r="7774">
      <c r="A7774" s="1" t="s">
        <v>15505</v>
      </c>
      <c r="B7774" s="2" t="s">
        <v>15506</v>
      </c>
      <c r="C7774" s="1" t="s">
        <v>2953</v>
      </c>
      <c r="D7774" s="1" t="s">
        <v>2954</v>
      </c>
    </row>
    <row r="7775">
      <c r="A7775" s="1" t="s">
        <v>15507</v>
      </c>
      <c r="B7775" s="2" t="s">
        <v>15415</v>
      </c>
      <c r="C7775" s="1" t="s">
        <v>2953</v>
      </c>
      <c r="D7775" s="1" t="s">
        <v>2954</v>
      </c>
    </row>
    <row r="7776">
      <c r="A7776" s="1" t="s">
        <v>15508</v>
      </c>
      <c r="B7776" s="2" t="s">
        <v>15509</v>
      </c>
      <c r="C7776" s="1" t="s">
        <v>2953</v>
      </c>
      <c r="D7776" s="1" t="s">
        <v>2954</v>
      </c>
    </row>
    <row r="7777">
      <c r="A7777" s="1" t="s">
        <v>15510</v>
      </c>
      <c r="B7777" s="2" t="s">
        <v>15511</v>
      </c>
      <c r="C7777" s="1" t="s">
        <v>2953</v>
      </c>
      <c r="D7777" s="1" t="s">
        <v>2954</v>
      </c>
    </row>
    <row r="7778">
      <c r="A7778" s="1" t="s">
        <v>15512</v>
      </c>
      <c r="B7778" s="2" t="s">
        <v>15513</v>
      </c>
      <c r="C7778" s="1" t="s">
        <v>2953</v>
      </c>
      <c r="D7778" s="1" t="s">
        <v>2954</v>
      </c>
    </row>
    <row r="7779">
      <c r="A7779" s="1" t="s">
        <v>15514</v>
      </c>
      <c r="B7779" s="2" t="s">
        <v>15515</v>
      </c>
      <c r="C7779" s="1" t="s">
        <v>2953</v>
      </c>
      <c r="D7779" s="1" t="s">
        <v>2954</v>
      </c>
    </row>
    <row r="7780">
      <c r="A7780" s="1" t="s">
        <v>15516</v>
      </c>
      <c r="B7780" s="2" t="s">
        <v>15517</v>
      </c>
      <c r="C7780" s="1" t="s">
        <v>2953</v>
      </c>
      <c r="D7780" s="1" t="s">
        <v>2954</v>
      </c>
    </row>
    <row r="7781">
      <c r="A7781" s="1" t="s">
        <v>2958</v>
      </c>
      <c r="B7781" s="2" t="s">
        <v>7</v>
      </c>
      <c r="C7781" s="1" t="s">
        <v>2960</v>
      </c>
      <c r="D7781" s="1" t="s">
        <v>2961</v>
      </c>
    </row>
    <row r="7782">
      <c r="A7782" s="1" t="s">
        <v>15518</v>
      </c>
      <c r="B7782" s="2" t="s">
        <v>15289</v>
      </c>
      <c r="C7782" s="1" t="s">
        <v>2960</v>
      </c>
      <c r="D7782" s="1" t="s">
        <v>2961</v>
      </c>
    </row>
    <row r="7783">
      <c r="A7783" s="1" t="s">
        <v>15519</v>
      </c>
      <c r="B7783" s="2" t="s">
        <v>15350</v>
      </c>
      <c r="C7783" s="1" t="s">
        <v>2960</v>
      </c>
      <c r="D7783" s="1" t="s">
        <v>2961</v>
      </c>
    </row>
    <row r="7784">
      <c r="A7784" s="1" t="s">
        <v>15520</v>
      </c>
      <c r="B7784" s="2" t="s">
        <v>15521</v>
      </c>
      <c r="C7784" s="1" t="s">
        <v>2960</v>
      </c>
      <c r="D7784" s="1" t="s">
        <v>2961</v>
      </c>
    </row>
    <row r="7785">
      <c r="A7785" s="1" t="s">
        <v>15522</v>
      </c>
      <c r="B7785" s="2" t="s">
        <v>15523</v>
      </c>
      <c r="C7785" s="1" t="s">
        <v>2960</v>
      </c>
      <c r="D7785" s="1" t="s">
        <v>2961</v>
      </c>
    </row>
    <row r="7786">
      <c r="A7786" s="1" t="s">
        <v>15524</v>
      </c>
      <c r="B7786" s="2" t="s">
        <v>15403</v>
      </c>
      <c r="C7786" s="1" t="s">
        <v>2960</v>
      </c>
      <c r="D7786" s="1" t="s">
        <v>2961</v>
      </c>
    </row>
    <row r="7787">
      <c r="A7787" s="1" t="s">
        <v>15525</v>
      </c>
      <c r="B7787" s="2" t="s">
        <v>15526</v>
      </c>
      <c r="C7787" s="1" t="s">
        <v>2960</v>
      </c>
      <c r="D7787" s="1" t="s">
        <v>2961</v>
      </c>
    </row>
    <row r="7788">
      <c r="A7788" s="1" t="s">
        <v>15527</v>
      </c>
      <c r="B7788" s="2" t="s">
        <v>15528</v>
      </c>
      <c r="C7788" s="1" t="s">
        <v>2960</v>
      </c>
      <c r="D7788" s="1" t="s">
        <v>2961</v>
      </c>
    </row>
    <row r="7789">
      <c r="A7789" s="1" t="s">
        <v>15529</v>
      </c>
      <c r="B7789" s="2" t="s">
        <v>15295</v>
      </c>
      <c r="C7789" s="1" t="s">
        <v>2960</v>
      </c>
      <c r="D7789" s="1" t="s">
        <v>2961</v>
      </c>
    </row>
    <row r="7790">
      <c r="A7790" s="1" t="s">
        <v>15530</v>
      </c>
      <c r="B7790" s="2" t="s">
        <v>15367</v>
      </c>
      <c r="C7790" s="1" t="s">
        <v>2960</v>
      </c>
      <c r="D7790" s="1" t="s">
        <v>2961</v>
      </c>
    </row>
    <row r="7791">
      <c r="A7791" s="1" t="s">
        <v>15531</v>
      </c>
      <c r="B7791" s="2" t="s">
        <v>15532</v>
      </c>
      <c r="C7791" s="1" t="s">
        <v>2960</v>
      </c>
      <c r="D7791" s="1" t="s">
        <v>2961</v>
      </c>
    </row>
    <row r="7792">
      <c r="A7792" s="1" t="s">
        <v>15533</v>
      </c>
      <c r="B7792" s="2" t="s">
        <v>15534</v>
      </c>
      <c r="C7792" s="1" t="s">
        <v>2960</v>
      </c>
      <c r="D7792" s="1" t="s">
        <v>2961</v>
      </c>
    </row>
    <row r="7793">
      <c r="A7793" s="1" t="s">
        <v>15535</v>
      </c>
      <c r="B7793" s="2" t="s">
        <v>15415</v>
      </c>
      <c r="C7793" s="1" t="s">
        <v>2960</v>
      </c>
      <c r="D7793" s="1" t="s">
        <v>2961</v>
      </c>
    </row>
    <row r="7794">
      <c r="A7794" s="1" t="s">
        <v>15536</v>
      </c>
      <c r="B7794" s="2" t="s">
        <v>15537</v>
      </c>
      <c r="C7794" s="1" t="s">
        <v>2960</v>
      </c>
      <c r="D7794" s="1" t="s">
        <v>2961</v>
      </c>
    </row>
    <row r="7795">
      <c r="A7795" s="1" t="s">
        <v>15538</v>
      </c>
      <c r="B7795" s="2" t="s">
        <v>15539</v>
      </c>
      <c r="C7795" s="1" t="s">
        <v>2960</v>
      </c>
      <c r="D7795" s="1" t="s">
        <v>2961</v>
      </c>
    </row>
    <row r="7796">
      <c r="A7796" s="1" t="s">
        <v>2965</v>
      </c>
      <c r="B7796" s="2" t="s">
        <v>7</v>
      </c>
      <c r="C7796" s="1" t="s">
        <v>2967</v>
      </c>
      <c r="D7796" s="1" t="s">
        <v>2968</v>
      </c>
    </row>
    <row r="7797">
      <c r="A7797" s="1" t="s">
        <v>15540</v>
      </c>
      <c r="B7797" s="2" t="s">
        <v>15289</v>
      </c>
      <c r="C7797" s="1" t="s">
        <v>2967</v>
      </c>
      <c r="D7797" s="1" t="s">
        <v>2968</v>
      </c>
    </row>
    <row r="7798">
      <c r="A7798" s="1" t="s">
        <v>15541</v>
      </c>
      <c r="B7798" s="2" t="s">
        <v>15542</v>
      </c>
      <c r="C7798" s="1" t="s">
        <v>2967</v>
      </c>
      <c r="D7798" s="1" t="s">
        <v>2968</v>
      </c>
    </row>
    <row r="7799">
      <c r="A7799" s="1" t="s">
        <v>15543</v>
      </c>
      <c r="B7799" s="2" t="s">
        <v>15544</v>
      </c>
      <c r="C7799" s="1" t="s">
        <v>2967</v>
      </c>
      <c r="D7799" s="1" t="s">
        <v>2968</v>
      </c>
    </row>
    <row r="7800">
      <c r="A7800" s="1" t="s">
        <v>15545</v>
      </c>
      <c r="B7800" s="2" t="s">
        <v>15546</v>
      </c>
      <c r="C7800" s="1" t="s">
        <v>2967</v>
      </c>
      <c r="D7800" s="1" t="s">
        <v>2968</v>
      </c>
    </row>
    <row r="7801">
      <c r="A7801" s="1" t="s">
        <v>15547</v>
      </c>
      <c r="B7801" s="2" t="s">
        <v>15548</v>
      </c>
      <c r="C7801" s="1" t="s">
        <v>2967</v>
      </c>
      <c r="D7801" s="1" t="s">
        <v>2968</v>
      </c>
    </row>
    <row r="7802">
      <c r="A7802" s="1" t="s">
        <v>15549</v>
      </c>
      <c r="B7802" s="2" t="s">
        <v>15550</v>
      </c>
      <c r="C7802" s="1" t="s">
        <v>2967</v>
      </c>
      <c r="D7802" s="1" t="s">
        <v>2968</v>
      </c>
    </row>
    <row r="7803">
      <c r="A7803" s="1" t="s">
        <v>15551</v>
      </c>
      <c r="B7803" s="2" t="s">
        <v>15552</v>
      </c>
      <c r="C7803" s="1" t="s">
        <v>2967</v>
      </c>
      <c r="D7803" s="1" t="s">
        <v>2968</v>
      </c>
    </row>
    <row r="7804">
      <c r="A7804" s="1" t="s">
        <v>15553</v>
      </c>
      <c r="B7804" s="2" t="s">
        <v>15554</v>
      </c>
      <c r="C7804" s="1" t="s">
        <v>2967</v>
      </c>
      <c r="D7804" s="1" t="s">
        <v>2968</v>
      </c>
    </row>
    <row r="7805">
      <c r="A7805" s="1" t="s">
        <v>15555</v>
      </c>
      <c r="B7805" s="2" t="s">
        <v>15295</v>
      </c>
      <c r="C7805" s="1" t="s">
        <v>2967</v>
      </c>
      <c r="D7805" s="1" t="s">
        <v>2968</v>
      </c>
    </row>
    <row r="7806">
      <c r="A7806" s="1" t="s">
        <v>15556</v>
      </c>
      <c r="B7806" s="2" t="s">
        <v>15557</v>
      </c>
      <c r="C7806" s="1" t="s">
        <v>2967</v>
      </c>
      <c r="D7806" s="1" t="s">
        <v>2968</v>
      </c>
    </row>
    <row r="7807">
      <c r="A7807" s="1" t="s">
        <v>15558</v>
      </c>
      <c r="B7807" s="2" t="s">
        <v>15559</v>
      </c>
      <c r="C7807" s="1" t="s">
        <v>2967</v>
      </c>
      <c r="D7807" s="1" t="s">
        <v>2968</v>
      </c>
    </row>
    <row r="7808">
      <c r="A7808" s="1" t="s">
        <v>15560</v>
      </c>
      <c r="B7808" s="2" t="s">
        <v>15561</v>
      </c>
      <c r="C7808" s="1" t="s">
        <v>2967</v>
      </c>
      <c r="D7808" s="1" t="s">
        <v>2968</v>
      </c>
    </row>
    <row r="7809">
      <c r="A7809" s="1" t="s">
        <v>15562</v>
      </c>
      <c r="B7809" s="2" t="s">
        <v>15563</v>
      </c>
      <c r="C7809" s="1" t="s">
        <v>2967</v>
      </c>
      <c r="D7809" s="1" t="s">
        <v>2968</v>
      </c>
    </row>
    <row r="7810">
      <c r="A7810" s="1" t="s">
        <v>15564</v>
      </c>
      <c r="B7810" s="2" t="s">
        <v>15565</v>
      </c>
      <c r="C7810" s="1" t="s">
        <v>2967</v>
      </c>
      <c r="D7810" s="1" t="s">
        <v>2968</v>
      </c>
    </row>
    <row r="7811">
      <c r="A7811" s="1" t="s">
        <v>15566</v>
      </c>
      <c r="B7811" s="2" t="s">
        <v>15567</v>
      </c>
      <c r="C7811" s="1" t="s">
        <v>2967</v>
      </c>
      <c r="D7811" s="1" t="s">
        <v>2968</v>
      </c>
    </row>
    <row r="7812">
      <c r="A7812" s="1" t="s">
        <v>15568</v>
      </c>
      <c r="B7812" s="2" t="s">
        <v>15569</v>
      </c>
      <c r="C7812" s="1" t="s">
        <v>2967</v>
      </c>
      <c r="D7812" s="1" t="s">
        <v>2968</v>
      </c>
    </row>
    <row r="7813">
      <c r="A7813" s="1" t="s">
        <v>2973</v>
      </c>
      <c r="B7813" s="2" t="s">
        <v>7</v>
      </c>
      <c r="C7813" s="1" t="s">
        <v>79</v>
      </c>
      <c r="D7813" s="1" t="s">
        <v>2975</v>
      </c>
    </row>
    <row r="7814">
      <c r="A7814" s="1" t="s">
        <v>15570</v>
      </c>
      <c r="B7814" s="2" t="s">
        <v>15571</v>
      </c>
      <c r="C7814" s="1" t="s">
        <v>79</v>
      </c>
      <c r="D7814" s="1" t="s">
        <v>2975</v>
      </c>
    </row>
    <row r="7815">
      <c r="A7815" s="1" t="s">
        <v>15572</v>
      </c>
      <c r="B7815" s="2" t="s">
        <v>15573</v>
      </c>
      <c r="C7815" s="1" t="s">
        <v>79</v>
      </c>
      <c r="D7815" s="1" t="s">
        <v>2975</v>
      </c>
    </row>
    <row r="7816">
      <c r="A7816" s="1" t="s">
        <v>15574</v>
      </c>
      <c r="B7816" s="2" t="s">
        <v>15575</v>
      </c>
      <c r="C7816" s="1" t="s">
        <v>79</v>
      </c>
      <c r="D7816" s="1" t="s">
        <v>2975</v>
      </c>
    </row>
    <row r="7817">
      <c r="A7817" s="1" t="s">
        <v>15576</v>
      </c>
      <c r="B7817" s="2" t="s">
        <v>15577</v>
      </c>
      <c r="C7817" s="1" t="s">
        <v>79</v>
      </c>
      <c r="D7817" s="1" t="s">
        <v>2975</v>
      </c>
    </row>
    <row r="7818">
      <c r="A7818" s="1" t="s">
        <v>15578</v>
      </c>
      <c r="B7818" s="2" t="s">
        <v>15579</v>
      </c>
      <c r="C7818" s="1" t="s">
        <v>79</v>
      </c>
      <c r="D7818" s="1" t="s">
        <v>2975</v>
      </c>
    </row>
    <row r="7819">
      <c r="A7819" s="1" t="s">
        <v>15580</v>
      </c>
      <c r="B7819" s="2" t="s">
        <v>15581</v>
      </c>
      <c r="C7819" s="1" t="s">
        <v>79</v>
      </c>
      <c r="D7819" s="1" t="s">
        <v>2975</v>
      </c>
    </row>
    <row r="7820">
      <c r="A7820" s="1" t="s">
        <v>15582</v>
      </c>
      <c r="B7820" s="2" t="s">
        <v>15583</v>
      </c>
      <c r="C7820" s="1" t="s">
        <v>79</v>
      </c>
      <c r="D7820" s="1" t="s">
        <v>2975</v>
      </c>
    </row>
    <row r="7821">
      <c r="A7821" s="1" t="s">
        <v>15584</v>
      </c>
      <c r="B7821" s="2" t="s">
        <v>15585</v>
      </c>
      <c r="C7821" s="1" t="s">
        <v>79</v>
      </c>
      <c r="D7821" s="1" t="s">
        <v>2975</v>
      </c>
    </row>
    <row r="7822">
      <c r="A7822" s="1" t="s">
        <v>15586</v>
      </c>
      <c r="B7822" s="2" t="s">
        <v>15587</v>
      </c>
      <c r="C7822" s="1" t="s">
        <v>79</v>
      </c>
      <c r="D7822" s="1" t="s">
        <v>2975</v>
      </c>
    </row>
    <row r="7823">
      <c r="A7823" s="1" t="s">
        <v>2980</v>
      </c>
      <c r="B7823" s="2" t="s">
        <v>7</v>
      </c>
      <c r="C7823" s="1" t="s">
        <v>2983</v>
      </c>
      <c r="D7823" s="1" t="s">
        <v>2984</v>
      </c>
    </row>
    <row r="7824">
      <c r="A7824" s="1" t="s">
        <v>15588</v>
      </c>
      <c r="B7824" s="2" t="s">
        <v>13</v>
      </c>
      <c r="C7824" s="1" t="s">
        <v>2983</v>
      </c>
      <c r="D7824" s="1" t="s">
        <v>2984</v>
      </c>
    </row>
    <row r="7825">
      <c r="A7825" s="1" t="s">
        <v>15589</v>
      </c>
      <c r="B7825" s="2" t="s">
        <v>15590</v>
      </c>
      <c r="C7825" s="1" t="s">
        <v>2983</v>
      </c>
      <c r="D7825" s="1" t="s">
        <v>2984</v>
      </c>
    </row>
    <row r="7826">
      <c r="A7826" s="1" t="s">
        <v>15591</v>
      </c>
      <c r="B7826" s="2" t="s">
        <v>15592</v>
      </c>
      <c r="C7826" s="1" t="s">
        <v>2983</v>
      </c>
      <c r="D7826" s="1" t="s">
        <v>2984</v>
      </c>
    </row>
    <row r="7827">
      <c r="A7827" s="1" t="s">
        <v>15593</v>
      </c>
      <c r="B7827" s="2" t="s">
        <v>15594</v>
      </c>
      <c r="C7827" s="1" t="s">
        <v>2983</v>
      </c>
      <c r="D7827" s="1" t="s">
        <v>2984</v>
      </c>
    </row>
    <row r="7828">
      <c r="A7828" s="1" t="s">
        <v>15595</v>
      </c>
      <c r="B7828" s="2" t="s">
        <v>15596</v>
      </c>
      <c r="C7828" s="1" t="s">
        <v>2983</v>
      </c>
      <c r="D7828" s="1" t="s">
        <v>2984</v>
      </c>
    </row>
    <row r="7829">
      <c r="A7829" s="1" t="s">
        <v>15597</v>
      </c>
      <c r="B7829" s="2" t="s">
        <v>15598</v>
      </c>
      <c r="C7829" s="1" t="s">
        <v>2983</v>
      </c>
      <c r="D7829" s="1" t="s">
        <v>2984</v>
      </c>
    </row>
    <row r="7830">
      <c r="A7830" s="1" t="s">
        <v>15599</v>
      </c>
      <c r="B7830" s="2" t="s">
        <v>15600</v>
      </c>
      <c r="C7830" s="1" t="s">
        <v>2983</v>
      </c>
      <c r="D7830" s="1" t="s">
        <v>2984</v>
      </c>
    </row>
    <row r="7831">
      <c r="A7831" s="1" t="s">
        <v>15601</v>
      </c>
      <c r="B7831" s="2" t="s">
        <v>15602</v>
      </c>
      <c r="C7831" s="1" t="s">
        <v>2983</v>
      </c>
      <c r="D7831" s="1" t="s">
        <v>2984</v>
      </c>
    </row>
    <row r="7832">
      <c r="A7832" s="1" t="s">
        <v>15603</v>
      </c>
      <c r="B7832" s="2" t="s">
        <v>15604</v>
      </c>
      <c r="C7832" s="1" t="s">
        <v>2983</v>
      </c>
      <c r="D7832" s="1" t="s">
        <v>2984</v>
      </c>
    </row>
    <row r="7833">
      <c r="A7833" s="1" t="s">
        <v>15605</v>
      </c>
      <c r="B7833" s="2" t="s">
        <v>15606</v>
      </c>
      <c r="C7833" s="1" t="s">
        <v>2983</v>
      </c>
      <c r="D7833" s="1" t="s">
        <v>2984</v>
      </c>
    </row>
    <row r="7834">
      <c r="A7834" s="1" t="s">
        <v>15607</v>
      </c>
      <c r="B7834" s="2" t="s">
        <v>15608</v>
      </c>
      <c r="C7834" s="1" t="s">
        <v>2983</v>
      </c>
      <c r="D7834" s="1" t="s">
        <v>2984</v>
      </c>
    </row>
    <row r="7835">
      <c r="A7835" s="1" t="s">
        <v>15609</v>
      </c>
      <c r="B7835" s="2" t="s">
        <v>15610</v>
      </c>
      <c r="C7835" s="1" t="s">
        <v>2983</v>
      </c>
      <c r="D7835" s="1" t="s">
        <v>2984</v>
      </c>
    </row>
    <row r="7836">
      <c r="A7836" s="1" t="s">
        <v>15611</v>
      </c>
      <c r="B7836" s="2" t="s">
        <v>15612</v>
      </c>
      <c r="C7836" s="1" t="s">
        <v>2983</v>
      </c>
      <c r="D7836" s="1" t="s">
        <v>2984</v>
      </c>
    </row>
    <row r="7837">
      <c r="A7837" s="1" t="s">
        <v>15613</v>
      </c>
      <c r="B7837" s="2" t="s">
        <v>15614</v>
      </c>
      <c r="C7837" s="1" t="s">
        <v>2983</v>
      </c>
      <c r="D7837" s="1" t="s">
        <v>2984</v>
      </c>
    </row>
    <row r="7838">
      <c r="A7838" s="1" t="s">
        <v>15615</v>
      </c>
      <c r="B7838" s="2" t="s">
        <v>15616</v>
      </c>
      <c r="C7838" s="1" t="s">
        <v>2983</v>
      </c>
      <c r="D7838" s="1" t="s">
        <v>2984</v>
      </c>
    </row>
    <row r="7839">
      <c r="A7839" s="1" t="s">
        <v>15617</v>
      </c>
      <c r="B7839" s="2" t="s">
        <v>15618</v>
      </c>
      <c r="C7839" s="1" t="s">
        <v>2983</v>
      </c>
      <c r="D7839" s="1" t="s">
        <v>2984</v>
      </c>
    </row>
    <row r="7840">
      <c r="A7840" s="1" t="s">
        <v>15619</v>
      </c>
      <c r="B7840" s="2" t="s">
        <v>15620</v>
      </c>
      <c r="C7840" s="1" t="s">
        <v>2983</v>
      </c>
      <c r="D7840" s="1" t="s">
        <v>2984</v>
      </c>
    </row>
    <row r="7841">
      <c r="A7841" s="1" t="s">
        <v>15621</v>
      </c>
      <c r="B7841" s="2" t="s">
        <v>15622</v>
      </c>
      <c r="C7841" s="1" t="s">
        <v>2983</v>
      </c>
      <c r="D7841" s="1" t="s">
        <v>2984</v>
      </c>
    </row>
    <row r="7842">
      <c r="A7842" s="1" t="s">
        <v>15623</v>
      </c>
      <c r="B7842" s="2" t="s">
        <v>15624</v>
      </c>
      <c r="C7842" s="1" t="s">
        <v>2983</v>
      </c>
      <c r="D7842" s="1" t="s">
        <v>2984</v>
      </c>
    </row>
    <row r="7843">
      <c r="A7843" s="1" t="s">
        <v>15625</v>
      </c>
      <c r="B7843" s="2" t="s">
        <v>15626</v>
      </c>
      <c r="C7843" s="1" t="s">
        <v>2983</v>
      </c>
      <c r="D7843" s="1" t="s">
        <v>2984</v>
      </c>
    </row>
    <row r="7844">
      <c r="A7844" s="1" t="s">
        <v>15627</v>
      </c>
      <c r="B7844" s="2" t="s">
        <v>15628</v>
      </c>
      <c r="C7844" s="1" t="s">
        <v>2983</v>
      </c>
      <c r="D7844" s="1" t="s">
        <v>2984</v>
      </c>
    </row>
    <row r="7845">
      <c r="A7845" s="1" t="s">
        <v>15629</v>
      </c>
      <c r="B7845" s="2" t="s">
        <v>15630</v>
      </c>
      <c r="C7845" s="1" t="s">
        <v>2983</v>
      </c>
      <c r="D7845" s="1" t="s">
        <v>2984</v>
      </c>
    </row>
    <row r="7846">
      <c r="A7846" s="1" t="s">
        <v>15631</v>
      </c>
      <c r="B7846" s="2" t="s">
        <v>15632</v>
      </c>
      <c r="C7846" s="1" t="s">
        <v>2983</v>
      </c>
      <c r="D7846" s="1" t="s">
        <v>2984</v>
      </c>
    </row>
    <row r="7847">
      <c r="A7847" s="1" t="s">
        <v>15633</v>
      </c>
      <c r="B7847" s="2" t="s">
        <v>15634</v>
      </c>
      <c r="C7847" s="1" t="s">
        <v>2983</v>
      </c>
      <c r="D7847" s="1" t="s">
        <v>2984</v>
      </c>
    </row>
    <row r="7848">
      <c r="A7848" s="1" t="s">
        <v>15635</v>
      </c>
      <c r="B7848" s="2" t="s">
        <v>70</v>
      </c>
      <c r="C7848" s="1" t="s">
        <v>2983</v>
      </c>
      <c r="D7848" s="1" t="s">
        <v>2984</v>
      </c>
    </row>
    <row r="7849">
      <c r="A7849" s="1" t="s">
        <v>15636</v>
      </c>
      <c r="B7849" s="2" t="s">
        <v>15637</v>
      </c>
      <c r="C7849" s="1" t="s">
        <v>2983</v>
      </c>
      <c r="D7849" s="1" t="s">
        <v>2984</v>
      </c>
    </row>
    <row r="7850">
      <c r="A7850" s="1" t="s">
        <v>15638</v>
      </c>
      <c r="B7850" s="2" t="s">
        <v>15639</v>
      </c>
      <c r="C7850" s="1" t="s">
        <v>2983</v>
      </c>
      <c r="D7850" s="1" t="s">
        <v>2984</v>
      </c>
    </row>
    <row r="7851">
      <c r="A7851" s="1" t="s">
        <v>15640</v>
      </c>
      <c r="B7851" s="2" t="s">
        <v>15641</v>
      </c>
      <c r="C7851" s="1" t="s">
        <v>2983</v>
      </c>
      <c r="D7851" s="1" t="s">
        <v>2984</v>
      </c>
    </row>
    <row r="7852">
      <c r="A7852" s="1" t="s">
        <v>15642</v>
      </c>
      <c r="B7852" s="2" t="s">
        <v>15643</v>
      </c>
      <c r="C7852" s="1" t="s">
        <v>2983</v>
      </c>
      <c r="D7852" s="1" t="s">
        <v>2984</v>
      </c>
    </row>
    <row r="7853">
      <c r="A7853" s="1" t="s">
        <v>15644</v>
      </c>
      <c r="B7853" s="2" t="s">
        <v>15645</v>
      </c>
      <c r="C7853" s="1" t="s">
        <v>2983</v>
      </c>
      <c r="D7853" s="1" t="s">
        <v>2984</v>
      </c>
    </row>
    <row r="7854">
      <c r="A7854" s="1" t="s">
        <v>15646</v>
      </c>
      <c r="B7854" s="2" t="s">
        <v>15647</v>
      </c>
      <c r="C7854" s="1" t="s">
        <v>2983</v>
      </c>
      <c r="D7854" s="1" t="s">
        <v>2984</v>
      </c>
    </row>
    <row r="7855">
      <c r="A7855" s="1" t="s">
        <v>15648</v>
      </c>
      <c r="B7855" s="2" t="s">
        <v>15649</v>
      </c>
      <c r="C7855" s="1" t="s">
        <v>2983</v>
      </c>
      <c r="D7855" s="1" t="s">
        <v>2984</v>
      </c>
    </row>
    <row r="7856">
      <c r="A7856" s="1" t="s">
        <v>15650</v>
      </c>
      <c r="B7856" s="2" t="s">
        <v>15651</v>
      </c>
      <c r="C7856" s="1" t="s">
        <v>2983</v>
      </c>
      <c r="D7856" s="1" t="s">
        <v>2984</v>
      </c>
    </row>
    <row r="7857">
      <c r="A7857" s="1" t="s">
        <v>15652</v>
      </c>
      <c r="B7857" s="2" t="s">
        <v>15653</v>
      </c>
      <c r="C7857" s="1" t="s">
        <v>2983</v>
      </c>
      <c r="D7857" s="1" t="s">
        <v>2984</v>
      </c>
    </row>
    <row r="7858">
      <c r="A7858" s="1" t="s">
        <v>15654</v>
      </c>
      <c r="B7858" s="2" t="s">
        <v>15655</v>
      </c>
      <c r="C7858" s="1" t="s">
        <v>2983</v>
      </c>
      <c r="D7858" s="1" t="s">
        <v>2984</v>
      </c>
    </row>
    <row r="7859">
      <c r="A7859" s="1" t="s">
        <v>15656</v>
      </c>
      <c r="B7859" s="2" t="s">
        <v>15657</v>
      </c>
      <c r="C7859" s="1" t="s">
        <v>2983</v>
      </c>
      <c r="D7859" s="1" t="s">
        <v>2984</v>
      </c>
    </row>
    <row r="7860">
      <c r="A7860" s="1" t="s">
        <v>15658</v>
      </c>
      <c r="B7860" s="2" t="s">
        <v>15659</v>
      </c>
      <c r="C7860" s="1" t="s">
        <v>2983</v>
      </c>
      <c r="D7860" s="1" t="s">
        <v>2984</v>
      </c>
    </row>
    <row r="7861">
      <c r="A7861" s="1" t="s">
        <v>15660</v>
      </c>
      <c r="B7861" s="2" t="s">
        <v>15661</v>
      </c>
      <c r="C7861" s="1" t="s">
        <v>2983</v>
      </c>
      <c r="D7861" s="1" t="s">
        <v>2984</v>
      </c>
    </row>
    <row r="7862">
      <c r="A7862" s="1" t="s">
        <v>15662</v>
      </c>
      <c r="B7862" s="2" t="s">
        <v>15663</v>
      </c>
      <c r="C7862" s="1" t="s">
        <v>2983</v>
      </c>
      <c r="D7862" s="1" t="s">
        <v>2984</v>
      </c>
    </row>
    <row r="7863">
      <c r="A7863" s="1" t="s">
        <v>15664</v>
      </c>
      <c r="B7863" s="2" t="s">
        <v>15665</v>
      </c>
      <c r="C7863" s="1" t="s">
        <v>2983</v>
      </c>
      <c r="D7863" s="1" t="s">
        <v>2984</v>
      </c>
    </row>
    <row r="7864">
      <c r="A7864" s="1" t="s">
        <v>15666</v>
      </c>
      <c r="B7864" s="2" t="s">
        <v>15667</v>
      </c>
      <c r="C7864" s="1" t="s">
        <v>2983</v>
      </c>
      <c r="D7864" s="1" t="s">
        <v>2984</v>
      </c>
    </row>
    <row r="7865">
      <c r="A7865" s="1" t="s">
        <v>15668</v>
      </c>
      <c r="B7865" s="2" t="s">
        <v>15669</v>
      </c>
      <c r="C7865" s="1" t="s">
        <v>2983</v>
      </c>
      <c r="D7865" s="1" t="s">
        <v>2984</v>
      </c>
    </row>
    <row r="7866">
      <c r="A7866" s="1" t="s">
        <v>15670</v>
      </c>
      <c r="B7866" s="2" t="s">
        <v>15671</v>
      </c>
      <c r="C7866" s="1" t="s">
        <v>2983</v>
      </c>
      <c r="D7866" s="1" t="s">
        <v>2984</v>
      </c>
    </row>
    <row r="7867">
      <c r="A7867" s="1" t="s">
        <v>15672</v>
      </c>
      <c r="B7867" s="2" t="s">
        <v>15673</v>
      </c>
      <c r="C7867" s="1" t="s">
        <v>2983</v>
      </c>
      <c r="D7867" s="1" t="s">
        <v>2984</v>
      </c>
    </row>
    <row r="7868">
      <c r="A7868" s="1" t="s">
        <v>15674</v>
      </c>
      <c r="B7868" s="2" t="s">
        <v>15675</v>
      </c>
      <c r="C7868" s="1" t="s">
        <v>2983</v>
      </c>
      <c r="D7868" s="1" t="s">
        <v>2984</v>
      </c>
    </row>
    <row r="7869">
      <c r="A7869" s="1" t="s">
        <v>15676</v>
      </c>
      <c r="B7869" s="2" t="s">
        <v>15677</v>
      </c>
      <c r="C7869" s="1" t="s">
        <v>2983</v>
      </c>
      <c r="D7869" s="1" t="s">
        <v>2984</v>
      </c>
    </row>
    <row r="7870">
      <c r="A7870" s="1" t="s">
        <v>15678</v>
      </c>
      <c r="B7870" s="2" t="s">
        <v>15679</v>
      </c>
      <c r="C7870" s="1" t="s">
        <v>2983</v>
      </c>
      <c r="D7870" s="1" t="s">
        <v>2984</v>
      </c>
    </row>
    <row r="7871">
      <c r="A7871" s="1" t="s">
        <v>15680</v>
      </c>
      <c r="B7871" s="2" t="s">
        <v>15681</v>
      </c>
      <c r="C7871" s="1" t="s">
        <v>2983</v>
      </c>
      <c r="D7871" s="1" t="s">
        <v>2984</v>
      </c>
    </row>
    <row r="7872">
      <c r="A7872" s="1" t="s">
        <v>2988</v>
      </c>
      <c r="B7872" s="2" t="s">
        <v>7</v>
      </c>
      <c r="C7872" s="1" t="s">
        <v>2989</v>
      </c>
      <c r="D7872" s="1" t="s">
        <v>2990</v>
      </c>
    </row>
    <row r="7873">
      <c r="A7873" s="1" t="s">
        <v>15682</v>
      </c>
      <c r="B7873" s="2" t="s">
        <v>13</v>
      </c>
      <c r="C7873" s="1" t="s">
        <v>2989</v>
      </c>
      <c r="D7873" s="1" t="s">
        <v>2990</v>
      </c>
    </row>
    <row r="7874">
      <c r="A7874" s="1" t="s">
        <v>15683</v>
      </c>
      <c r="B7874" s="2" t="s">
        <v>15684</v>
      </c>
      <c r="C7874" s="1" t="s">
        <v>2989</v>
      </c>
      <c r="D7874" s="1" t="s">
        <v>2990</v>
      </c>
    </row>
    <row r="7875">
      <c r="A7875" s="1" t="s">
        <v>15685</v>
      </c>
      <c r="B7875" s="2" t="s">
        <v>15686</v>
      </c>
      <c r="C7875" s="1" t="s">
        <v>2989</v>
      </c>
      <c r="D7875" s="1" t="s">
        <v>2990</v>
      </c>
    </row>
    <row r="7876">
      <c r="A7876" s="1" t="s">
        <v>15687</v>
      </c>
      <c r="B7876" s="2" t="s">
        <v>15688</v>
      </c>
      <c r="C7876" s="1" t="s">
        <v>2989</v>
      </c>
      <c r="D7876" s="1" t="s">
        <v>2990</v>
      </c>
    </row>
    <row r="7877">
      <c r="A7877" s="1" t="s">
        <v>15689</v>
      </c>
      <c r="B7877" s="2" t="s">
        <v>15690</v>
      </c>
      <c r="C7877" s="1" t="s">
        <v>2989</v>
      </c>
      <c r="D7877" s="1" t="s">
        <v>2990</v>
      </c>
    </row>
    <row r="7878">
      <c r="A7878" s="1" t="s">
        <v>15691</v>
      </c>
      <c r="B7878" s="2" t="s">
        <v>15692</v>
      </c>
      <c r="C7878" s="1" t="s">
        <v>2989</v>
      </c>
      <c r="D7878" s="1" t="s">
        <v>2990</v>
      </c>
    </row>
    <row r="7879">
      <c r="A7879" s="1" t="s">
        <v>15693</v>
      </c>
      <c r="B7879" s="2" t="s">
        <v>15694</v>
      </c>
      <c r="C7879" s="1" t="s">
        <v>2989</v>
      </c>
      <c r="D7879" s="1" t="s">
        <v>2990</v>
      </c>
    </row>
    <row r="7880">
      <c r="A7880" s="1" t="s">
        <v>15695</v>
      </c>
      <c r="B7880" s="2" t="s">
        <v>15696</v>
      </c>
      <c r="C7880" s="1" t="s">
        <v>2989</v>
      </c>
      <c r="D7880" s="1" t="s">
        <v>2990</v>
      </c>
    </row>
    <row r="7881">
      <c r="A7881" s="1" t="s">
        <v>15697</v>
      </c>
      <c r="B7881" s="2" t="s">
        <v>15698</v>
      </c>
      <c r="C7881" s="1" t="s">
        <v>2989</v>
      </c>
      <c r="D7881" s="1" t="s">
        <v>2990</v>
      </c>
    </row>
    <row r="7882">
      <c r="A7882" s="1" t="s">
        <v>15699</v>
      </c>
      <c r="B7882" s="2" t="s">
        <v>15700</v>
      </c>
      <c r="C7882" s="1" t="s">
        <v>2989</v>
      </c>
      <c r="D7882" s="1" t="s">
        <v>2990</v>
      </c>
    </row>
    <row r="7883">
      <c r="A7883" s="1" t="s">
        <v>15701</v>
      </c>
      <c r="B7883" s="2" t="s">
        <v>15702</v>
      </c>
      <c r="C7883" s="1" t="s">
        <v>2989</v>
      </c>
      <c r="D7883" s="1" t="s">
        <v>2990</v>
      </c>
    </row>
    <row r="7884">
      <c r="A7884" s="1" t="s">
        <v>15703</v>
      </c>
      <c r="B7884" s="2" t="s">
        <v>15704</v>
      </c>
      <c r="C7884" s="1" t="s">
        <v>2989</v>
      </c>
      <c r="D7884" s="1" t="s">
        <v>2990</v>
      </c>
    </row>
    <row r="7885">
      <c r="A7885" s="1" t="s">
        <v>15705</v>
      </c>
      <c r="B7885" s="2" t="s">
        <v>15706</v>
      </c>
      <c r="C7885" s="1" t="s">
        <v>2989</v>
      </c>
      <c r="D7885" s="1" t="s">
        <v>2990</v>
      </c>
    </row>
    <row r="7886">
      <c r="A7886" s="1" t="s">
        <v>15707</v>
      </c>
      <c r="B7886" s="2" t="s">
        <v>15708</v>
      </c>
      <c r="C7886" s="1" t="s">
        <v>2989</v>
      </c>
      <c r="D7886" s="1" t="s">
        <v>2990</v>
      </c>
    </row>
    <row r="7887">
      <c r="A7887" s="1" t="s">
        <v>15709</v>
      </c>
      <c r="B7887" s="2" t="s">
        <v>15710</v>
      </c>
      <c r="C7887" s="1" t="s">
        <v>2989</v>
      </c>
      <c r="D7887" s="1" t="s">
        <v>2990</v>
      </c>
    </row>
    <row r="7888">
      <c r="A7888" s="1" t="s">
        <v>15711</v>
      </c>
      <c r="B7888" s="2" t="s">
        <v>15712</v>
      </c>
      <c r="C7888" s="1" t="s">
        <v>2989</v>
      </c>
      <c r="D7888" s="1" t="s">
        <v>2990</v>
      </c>
    </row>
    <row r="7889">
      <c r="A7889" s="1" t="s">
        <v>15713</v>
      </c>
      <c r="B7889" s="2" t="s">
        <v>15714</v>
      </c>
      <c r="C7889" s="1" t="s">
        <v>2989</v>
      </c>
      <c r="D7889" s="1" t="s">
        <v>2990</v>
      </c>
    </row>
    <row r="7890">
      <c r="A7890" s="1" t="s">
        <v>15715</v>
      </c>
      <c r="B7890" s="2" t="s">
        <v>15716</v>
      </c>
      <c r="C7890" s="1" t="s">
        <v>2989</v>
      </c>
      <c r="D7890" s="1" t="s">
        <v>2990</v>
      </c>
    </row>
    <row r="7891">
      <c r="A7891" s="1" t="s">
        <v>15717</v>
      </c>
      <c r="B7891" s="2" t="s">
        <v>15718</v>
      </c>
      <c r="C7891" s="1" t="s">
        <v>2989</v>
      </c>
      <c r="D7891" s="1" t="s">
        <v>2990</v>
      </c>
    </row>
    <row r="7892">
      <c r="A7892" s="1" t="s">
        <v>15719</v>
      </c>
      <c r="B7892" s="2" t="s">
        <v>15720</v>
      </c>
      <c r="C7892" s="1" t="s">
        <v>2989</v>
      </c>
      <c r="D7892" s="1" t="s">
        <v>2990</v>
      </c>
    </row>
    <row r="7893">
      <c r="A7893" s="1" t="s">
        <v>15721</v>
      </c>
      <c r="B7893" s="2" t="s">
        <v>15722</v>
      </c>
      <c r="C7893" s="1" t="s">
        <v>2989</v>
      </c>
      <c r="D7893" s="1" t="s">
        <v>2990</v>
      </c>
    </row>
    <row r="7894">
      <c r="A7894" s="1" t="s">
        <v>15723</v>
      </c>
      <c r="B7894" s="2" t="s">
        <v>15724</v>
      </c>
      <c r="C7894" s="1" t="s">
        <v>2989</v>
      </c>
      <c r="D7894" s="1" t="s">
        <v>2990</v>
      </c>
    </row>
    <row r="7895">
      <c r="A7895" s="1" t="s">
        <v>15725</v>
      </c>
      <c r="B7895" s="2" t="s">
        <v>15726</v>
      </c>
      <c r="C7895" s="1" t="s">
        <v>2989</v>
      </c>
      <c r="D7895" s="1" t="s">
        <v>2990</v>
      </c>
    </row>
    <row r="7896">
      <c r="A7896" s="1" t="s">
        <v>15727</v>
      </c>
      <c r="B7896" s="2" t="s">
        <v>15728</v>
      </c>
      <c r="C7896" s="1" t="s">
        <v>2989</v>
      </c>
      <c r="D7896" s="1" t="s">
        <v>2990</v>
      </c>
    </row>
    <row r="7897">
      <c r="A7897" s="1" t="s">
        <v>15729</v>
      </c>
      <c r="B7897" s="2" t="s">
        <v>15730</v>
      </c>
      <c r="C7897" s="1" t="s">
        <v>2989</v>
      </c>
      <c r="D7897" s="1" t="s">
        <v>2990</v>
      </c>
    </row>
    <row r="7898">
      <c r="A7898" s="1" t="s">
        <v>15731</v>
      </c>
      <c r="B7898" s="2" t="s">
        <v>15732</v>
      </c>
      <c r="C7898" s="1" t="s">
        <v>2989</v>
      </c>
      <c r="D7898" s="1" t="s">
        <v>2990</v>
      </c>
    </row>
    <row r="7899">
      <c r="A7899" s="1" t="s">
        <v>15733</v>
      </c>
      <c r="B7899" s="2" t="s">
        <v>15734</v>
      </c>
      <c r="C7899" s="1" t="s">
        <v>2989</v>
      </c>
      <c r="D7899" s="1" t="s">
        <v>2990</v>
      </c>
    </row>
    <row r="7900">
      <c r="A7900" s="1" t="s">
        <v>15735</v>
      </c>
      <c r="B7900" s="2" t="s">
        <v>15736</v>
      </c>
      <c r="C7900" s="1" t="s">
        <v>2989</v>
      </c>
      <c r="D7900" s="1" t="s">
        <v>2990</v>
      </c>
    </row>
    <row r="7901">
      <c r="A7901" s="1" t="s">
        <v>15737</v>
      </c>
      <c r="B7901" s="2" t="s">
        <v>70</v>
      </c>
      <c r="C7901" s="1" t="s">
        <v>2989</v>
      </c>
      <c r="D7901" s="1" t="s">
        <v>2990</v>
      </c>
    </row>
    <row r="7902">
      <c r="A7902" s="1" t="s">
        <v>15738</v>
      </c>
      <c r="B7902" s="2" t="s">
        <v>15739</v>
      </c>
      <c r="C7902" s="1" t="s">
        <v>2989</v>
      </c>
      <c r="D7902" s="1" t="s">
        <v>2990</v>
      </c>
    </row>
    <row r="7903">
      <c r="A7903" s="1" t="s">
        <v>15740</v>
      </c>
      <c r="B7903" s="2" t="s">
        <v>15741</v>
      </c>
      <c r="C7903" s="1" t="s">
        <v>2989</v>
      </c>
      <c r="D7903" s="1" t="s">
        <v>2990</v>
      </c>
    </row>
    <row r="7904">
      <c r="A7904" s="1" t="s">
        <v>15742</v>
      </c>
      <c r="B7904" s="2" t="s">
        <v>15743</v>
      </c>
      <c r="C7904" s="1" t="s">
        <v>2989</v>
      </c>
      <c r="D7904" s="1" t="s">
        <v>2990</v>
      </c>
    </row>
    <row r="7905">
      <c r="A7905" s="1" t="s">
        <v>15744</v>
      </c>
      <c r="B7905" s="2" t="s">
        <v>15745</v>
      </c>
      <c r="C7905" s="1" t="s">
        <v>2989</v>
      </c>
      <c r="D7905" s="1" t="s">
        <v>2990</v>
      </c>
    </row>
    <row r="7906">
      <c r="A7906" s="1" t="s">
        <v>15746</v>
      </c>
      <c r="B7906" s="2" t="s">
        <v>15747</v>
      </c>
      <c r="C7906" s="1" t="s">
        <v>2989</v>
      </c>
      <c r="D7906" s="1" t="s">
        <v>2990</v>
      </c>
    </row>
    <row r="7907">
      <c r="A7907" s="1" t="s">
        <v>15748</v>
      </c>
      <c r="B7907" s="2" t="s">
        <v>15749</v>
      </c>
      <c r="C7907" s="1" t="s">
        <v>2989</v>
      </c>
      <c r="D7907" s="1" t="s">
        <v>2990</v>
      </c>
    </row>
    <row r="7908">
      <c r="A7908" s="1" t="s">
        <v>15750</v>
      </c>
      <c r="B7908" s="2" t="s">
        <v>15751</v>
      </c>
      <c r="C7908" s="1" t="s">
        <v>2989</v>
      </c>
      <c r="D7908" s="1" t="s">
        <v>2990</v>
      </c>
    </row>
    <row r="7909">
      <c r="A7909" s="1" t="s">
        <v>15752</v>
      </c>
      <c r="B7909" s="2" t="s">
        <v>15753</v>
      </c>
      <c r="C7909" s="1" t="s">
        <v>2989</v>
      </c>
      <c r="D7909" s="1" t="s">
        <v>2990</v>
      </c>
    </row>
    <row r="7910">
      <c r="A7910" s="1" t="s">
        <v>15754</v>
      </c>
      <c r="B7910" s="2" t="s">
        <v>15755</v>
      </c>
      <c r="C7910" s="1" t="s">
        <v>2989</v>
      </c>
      <c r="D7910" s="1" t="s">
        <v>2990</v>
      </c>
    </row>
    <row r="7911">
      <c r="A7911" s="1" t="s">
        <v>15756</v>
      </c>
      <c r="B7911" s="2" t="s">
        <v>15757</v>
      </c>
      <c r="C7911" s="1" t="s">
        <v>2989</v>
      </c>
      <c r="D7911" s="1" t="s">
        <v>2990</v>
      </c>
    </row>
    <row r="7912">
      <c r="A7912" s="1" t="s">
        <v>15758</v>
      </c>
      <c r="B7912" s="2" t="s">
        <v>15759</v>
      </c>
      <c r="C7912" s="1" t="s">
        <v>2989</v>
      </c>
      <c r="D7912" s="1" t="s">
        <v>2990</v>
      </c>
    </row>
    <row r="7913">
      <c r="A7913" s="1" t="s">
        <v>15760</v>
      </c>
      <c r="B7913" s="2" t="s">
        <v>15761</v>
      </c>
      <c r="C7913" s="1" t="s">
        <v>2989</v>
      </c>
      <c r="D7913" s="1" t="s">
        <v>2990</v>
      </c>
    </row>
    <row r="7914">
      <c r="A7914" s="1" t="s">
        <v>15762</v>
      </c>
      <c r="B7914" s="2" t="s">
        <v>15763</v>
      </c>
      <c r="C7914" s="1" t="s">
        <v>2989</v>
      </c>
      <c r="D7914" s="1" t="s">
        <v>2990</v>
      </c>
    </row>
    <row r="7915">
      <c r="A7915" s="1" t="s">
        <v>15764</v>
      </c>
      <c r="B7915" s="2" t="s">
        <v>15765</v>
      </c>
      <c r="C7915" s="1" t="s">
        <v>2989</v>
      </c>
      <c r="D7915" s="1" t="s">
        <v>2990</v>
      </c>
    </row>
    <row r="7916">
      <c r="A7916" s="1" t="s">
        <v>15766</v>
      </c>
      <c r="B7916" s="2" t="s">
        <v>15767</v>
      </c>
      <c r="C7916" s="1" t="s">
        <v>2989</v>
      </c>
      <c r="D7916" s="1" t="s">
        <v>2990</v>
      </c>
    </row>
    <row r="7917">
      <c r="A7917" s="1" t="s">
        <v>15768</v>
      </c>
      <c r="B7917" s="2" t="s">
        <v>15769</v>
      </c>
      <c r="C7917" s="1" t="s">
        <v>2989</v>
      </c>
      <c r="D7917" s="1" t="s">
        <v>2990</v>
      </c>
    </row>
    <row r="7918">
      <c r="A7918" s="1" t="s">
        <v>15770</v>
      </c>
      <c r="B7918" s="2" t="s">
        <v>15771</v>
      </c>
      <c r="C7918" s="1" t="s">
        <v>2989</v>
      </c>
      <c r="D7918" s="1" t="s">
        <v>2990</v>
      </c>
    </row>
    <row r="7919">
      <c r="A7919" s="1" t="s">
        <v>15772</v>
      </c>
      <c r="B7919" s="2" t="s">
        <v>15773</v>
      </c>
      <c r="C7919" s="1" t="s">
        <v>2989</v>
      </c>
      <c r="D7919" s="1" t="s">
        <v>2990</v>
      </c>
    </row>
    <row r="7920">
      <c r="A7920" s="1" t="s">
        <v>15774</v>
      </c>
      <c r="B7920" s="2" t="s">
        <v>15775</v>
      </c>
      <c r="C7920" s="1" t="s">
        <v>2989</v>
      </c>
      <c r="D7920" s="1" t="s">
        <v>2990</v>
      </c>
    </row>
    <row r="7921">
      <c r="A7921" s="1" t="s">
        <v>15776</v>
      </c>
      <c r="B7921" s="2" t="s">
        <v>15777</v>
      </c>
      <c r="C7921" s="1" t="s">
        <v>2989</v>
      </c>
      <c r="D7921" s="1" t="s">
        <v>2990</v>
      </c>
    </row>
    <row r="7922">
      <c r="A7922" s="1" t="s">
        <v>15778</v>
      </c>
      <c r="B7922" s="2" t="s">
        <v>15779</v>
      </c>
      <c r="C7922" s="1" t="s">
        <v>2989</v>
      </c>
      <c r="D7922" s="1" t="s">
        <v>2990</v>
      </c>
    </row>
    <row r="7923">
      <c r="A7923" s="1" t="s">
        <v>15780</v>
      </c>
      <c r="B7923" s="2" t="s">
        <v>15781</v>
      </c>
      <c r="C7923" s="1" t="s">
        <v>2989</v>
      </c>
      <c r="D7923" s="1" t="s">
        <v>2990</v>
      </c>
    </row>
    <row r="7924">
      <c r="A7924" s="1" t="s">
        <v>15782</v>
      </c>
      <c r="B7924" s="2" t="s">
        <v>15783</v>
      </c>
      <c r="C7924" s="1" t="s">
        <v>2989</v>
      </c>
      <c r="D7924" s="1" t="s">
        <v>2990</v>
      </c>
    </row>
    <row r="7925">
      <c r="A7925" s="1" t="s">
        <v>15784</v>
      </c>
      <c r="B7925" s="2" t="s">
        <v>15785</v>
      </c>
      <c r="C7925" s="1" t="s">
        <v>2989</v>
      </c>
      <c r="D7925" s="1" t="s">
        <v>2990</v>
      </c>
    </row>
    <row r="7926">
      <c r="A7926" s="1" t="s">
        <v>15786</v>
      </c>
      <c r="B7926" s="2" t="s">
        <v>15787</v>
      </c>
      <c r="C7926" s="1" t="s">
        <v>2989</v>
      </c>
      <c r="D7926" s="1" t="s">
        <v>2990</v>
      </c>
    </row>
    <row r="7927">
      <c r="A7927" s="1" t="s">
        <v>15788</v>
      </c>
      <c r="B7927" s="2" t="s">
        <v>15789</v>
      </c>
      <c r="C7927" s="1" t="s">
        <v>2989</v>
      </c>
      <c r="D7927" s="1" t="s">
        <v>2990</v>
      </c>
    </row>
    <row r="7928">
      <c r="A7928" s="1" t="s">
        <v>15790</v>
      </c>
      <c r="B7928" s="2" t="s">
        <v>15791</v>
      </c>
      <c r="C7928" s="1" t="s">
        <v>2989</v>
      </c>
      <c r="D7928" s="1" t="s">
        <v>2990</v>
      </c>
    </row>
    <row r="7929">
      <c r="A7929" s="1" t="s">
        <v>2993</v>
      </c>
      <c r="B7929" s="2" t="s">
        <v>7</v>
      </c>
      <c r="C7929" s="1" t="s">
        <v>2994</v>
      </c>
      <c r="D7929" s="1" t="s">
        <v>2996</v>
      </c>
    </row>
    <row r="7930">
      <c r="A7930" s="1" t="s">
        <v>15792</v>
      </c>
      <c r="B7930" s="2" t="s">
        <v>13</v>
      </c>
      <c r="C7930" s="1" t="s">
        <v>2994</v>
      </c>
      <c r="D7930" s="1" t="s">
        <v>2996</v>
      </c>
    </row>
    <row r="7931">
      <c r="A7931" s="1" t="s">
        <v>15793</v>
      </c>
      <c r="B7931" s="2" t="s">
        <v>15794</v>
      </c>
      <c r="C7931" s="1" t="s">
        <v>2994</v>
      </c>
      <c r="D7931" s="1" t="s">
        <v>2996</v>
      </c>
    </row>
    <row r="7932">
      <c r="A7932" s="1" t="s">
        <v>15795</v>
      </c>
      <c r="B7932" s="2" t="s">
        <v>15796</v>
      </c>
      <c r="C7932" s="1" t="s">
        <v>2994</v>
      </c>
      <c r="D7932" s="1" t="s">
        <v>2996</v>
      </c>
    </row>
    <row r="7933">
      <c r="A7933" s="1" t="s">
        <v>15797</v>
      </c>
      <c r="B7933" s="2" t="s">
        <v>15798</v>
      </c>
      <c r="C7933" s="1" t="s">
        <v>2994</v>
      </c>
      <c r="D7933" s="1" t="s">
        <v>2996</v>
      </c>
    </row>
    <row r="7934">
      <c r="A7934" s="1" t="s">
        <v>15799</v>
      </c>
      <c r="B7934" s="2" t="s">
        <v>15800</v>
      </c>
      <c r="C7934" s="1" t="s">
        <v>2994</v>
      </c>
      <c r="D7934" s="1" t="s">
        <v>2996</v>
      </c>
    </row>
    <row r="7935">
      <c r="A7935" s="1" t="s">
        <v>15801</v>
      </c>
      <c r="B7935" s="2" t="s">
        <v>15802</v>
      </c>
      <c r="C7935" s="1" t="s">
        <v>2994</v>
      </c>
      <c r="D7935" s="1" t="s">
        <v>2996</v>
      </c>
    </row>
    <row r="7936">
      <c r="A7936" s="1" t="s">
        <v>15803</v>
      </c>
      <c r="B7936" s="2" t="s">
        <v>15804</v>
      </c>
      <c r="C7936" s="1" t="s">
        <v>2994</v>
      </c>
      <c r="D7936" s="1" t="s">
        <v>2996</v>
      </c>
    </row>
    <row r="7937">
      <c r="A7937" s="1" t="s">
        <v>15805</v>
      </c>
      <c r="B7937" s="2" t="s">
        <v>15806</v>
      </c>
      <c r="C7937" s="1" t="s">
        <v>2994</v>
      </c>
      <c r="D7937" s="1" t="s">
        <v>2996</v>
      </c>
    </row>
    <row r="7938">
      <c r="A7938" s="1" t="s">
        <v>15807</v>
      </c>
      <c r="B7938" s="2" t="s">
        <v>15808</v>
      </c>
      <c r="C7938" s="1" t="s">
        <v>2994</v>
      </c>
      <c r="D7938" s="1" t="s">
        <v>2996</v>
      </c>
    </row>
    <row r="7939">
      <c r="A7939" s="1" t="s">
        <v>15809</v>
      </c>
      <c r="B7939" s="2" t="s">
        <v>15810</v>
      </c>
      <c r="C7939" s="1" t="s">
        <v>2994</v>
      </c>
      <c r="D7939" s="1" t="s">
        <v>2996</v>
      </c>
    </row>
    <row r="7940">
      <c r="A7940" s="1" t="s">
        <v>15811</v>
      </c>
      <c r="B7940" s="2" t="s">
        <v>15812</v>
      </c>
      <c r="C7940" s="1" t="s">
        <v>2994</v>
      </c>
      <c r="D7940" s="1" t="s">
        <v>2996</v>
      </c>
    </row>
    <row r="7941">
      <c r="A7941" s="1" t="s">
        <v>15813</v>
      </c>
      <c r="B7941" s="2" t="s">
        <v>15814</v>
      </c>
      <c r="C7941" s="1" t="s">
        <v>2994</v>
      </c>
      <c r="D7941" s="1" t="s">
        <v>2996</v>
      </c>
    </row>
    <row r="7942">
      <c r="A7942" s="1" t="s">
        <v>15815</v>
      </c>
      <c r="B7942" s="2" t="s">
        <v>15816</v>
      </c>
      <c r="C7942" s="1" t="s">
        <v>2994</v>
      </c>
      <c r="D7942" s="1" t="s">
        <v>2996</v>
      </c>
    </row>
    <row r="7943">
      <c r="A7943" s="1" t="s">
        <v>15817</v>
      </c>
      <c r="B7943" s="2" t="s">
        <v>15818</v>
      </c>
      <c r="C7943" s="1" t="s">
        <v>2994</v>
      </c>
      <c r="D7943" s="1" t="s">
        <v>2996</v>
      </c>
    </row>
    <row r="7944">
      <c r="A7944" s="1" t="s">
        <v>15819</v>
      </c>
      <c r="B7944" s="2" t="s">
        <v>15820</v>
      </c>
      <c r="C7944" s="1" t="s">
        <v>2994</v>
      </c>
      <c r="D7944" s="1" t="s">
        <v>2996</v>
      </c>
    </row>
    <row r="7945">
      <c r="A7945" s="1" t="s">
        <v>15821</v>
      </c>
      <c r="B7945" s="2" t="s">
        <v>15822</v>
      </c>
      <c r="C7945" s="1" t="s">
        <v>2994</v>
      </c>
      <c r="D7945" s="1" t="s">
        <v>2996</v>
      </c>
    </row>
    <row r="7946">
      <c r="A7946" s="1" t="s">
        <v>15823</v>
      </c>
      <c r="B7946" s="2" t="s">
        <v>70</v>
      </c>
      <c r="C7946" s="1" t="s">
        <v>2994</v>
      </c>
      <c r="D7946" s="1" t="s">
        <v>2996</v>
      </c>
    </row>
    <row r="7947">
      <c r="A7947" s="1" t="s">
        <v>15824</v>
      </c>
      <c r="B7947" s="2" t="s">
        <v>15825</v>
      </c>
      <c r="C7947" s="1" t="s">
        <v>2994</v>
      </c>
      <c r="D7947" s="1" t="s">
        <v>2996</v>
      </c>
    </row>
    <row r="7948">
      <c r="A7948" s="1" t="s">
        <v>15826</v>
      </c>
      <c r="B7948" s="2" t="s">
        <v>15827</v>
      </c>
      <c r="C7948" s="1" t="s">
        <v>2994</v>
      </c>
      <c r="D7948" s="1" t="s">
        <v>2996</v>
      </c>
    </row>
    <row r="7949">
      <c r="A7949" s="1" t="s">
        <v>15828</v>
      </c>
      <c r="B7949" s="2" t="s">
        <v>15829</v>
      </c>
      <c r="C7949" s="1" t="s">
        <v>2994</v>
      </c>
      <c r="D7949" s="1" t="s">
        <v>2996</v>
      </c>
    </row>
    <row r="7950">
      <c r="A7950" s="1" t="s">
        <v>15830</v>
      </c>
      <c r="B7950" s="2" t="s">
        <v>15831</v>
      </c>
      <c r="C7950" s="1" t="s">
        <v>2994</v>
      </c>
      <c r="D7950" s="1" t="s">
        <v>2996</v>
      </c>
    </row>
    <row r="7951">
      <c r="A7951" s="1" t="s">
        <v>15832</v>
      </c>
      <c r="B7951" s="2" t="s">
        <v>15833</v>
      </c>
      <c r="C7951" s="1" t="s">
        <v>2994</v>
      </c>
      <c r="D7951" s="1" t="s">
        <v>2996</v>
      </c>
    </row>
    <row r="7952">
      <c r="A7952" s="1" t="s">
        <v>15834</v>
      </c>
      <c r="B7952" s="2" t="s">
        <v>15835</v>
      </c>
      <c r="C7952" s="1" t="s">
        <v>2994</v>
      </c>
      <c r="D7952" s="1" t="s">
        <v>2996</v>
      </c>
    </row>
    <row r="7953">
      <c r="A7953" s="1" t="s">
        <v>15836</v>
      </c>
      <c r="B7953" s="2" t="s">
        <v>15837</v>
      </c>
      <c r="C7953" s="1" t="s">
        <v>2994</v>
      </c>
      <c r="D7953" s="1" t="s">
        <v>2996</v>
      </c>
    </row>
    <row r="7954">
      <c r="A7954" s="1" t="s">
        <v>15838</v>
      </c>
      <c r="B7954" s="2" t="s">
        <v>15839</v>
      </c>
      <c r="C7954" s="1" t="s">
        <v>2994</v>
      </c>
      <c r="D7954" s="1" t="s">
        <v>2996</v>
      </c>
    </row>
    <row r="7955">
      <c r="A7955" s="1" t="s">
        <v>15840</v>
      </c>
      <c r="B7955" s="2" t="s">
        <v>15841</v>
      </c>
      <c r="C7955" s="1" t="s">
        <v>2994</v>
      </c>
      <c r="D7955" s="1" t="s">
        <v>2996</v>
      </c>
    </row>
    <row r="7956">
      <c r="A7956" s="1" t="s">
        <v>15842</v>
      </c>
      <c r="B7956" s="2" t="s">
        <v>15843</v>
      </c>
      <c r="C7956" s="1" t="s">
        <v>2994</v>
      </c>
      <c r="D7956" s="1" t="s">
        <v>2996</v>
      </c>
    </row>
    <row r="7957">
      <c r="A7957" s="1" t="s">
        <v>15844</v>
      </c>
      <c r="B7957" s="2" t="s">
        <v>15845</v>
      </c>
      <c r="C7957" s="1" t="s">
        <v>2994</v>
      </c>
      <c r="D7957" s="1" t="s">
        <v>2996</v>
      </c>
    </row>
    <row r="7958">
      <c r="A7958" s="1" t="s">
        <v>15846</v>
      </c>
      <c r="B7958" s="2" t="s">
        <v>15847</v>
      </c>
      <c r="C7958" s="1" t="s">
        <v>2994</v>
      </c>
      <c r="D7958" s="1" t="s">
        <v>2996</v>
      </c>
    </row>
    <row r="7959">
      <c r="A7959" s="1" t="s">
        <v>15848</v>
      </c>
      <c r="B7959" s="2" t="s">
        <v>15849</v>
      </c>
      <c r="C7959" s="1" t="s">
        <v>2994</v>
      </c>
      <c r="D7959" s="1" t="s">
        <v>2996</v>
      </c>
    </row>
    <row r="7960">
      <c r="A7960" s="1" t="s">
        <v>15850</v>
      </c>
      <c r="B7960" s="2" t="s">
        <v>15851</v>
      </c>
      <c r="C7960" s="1" t="s">
        <v>2994</v>
      </c>
      <c r="D7960" s="1" t="s">
        <v>2996</v>
      </c>
    </row>
    <row r="7961">
      <c r="A7961" s="1" t="s">
        <v>15852</v>
      </c>
      <c r="B7961" s="2" t="s">
        <v>15853</v>
      </c>
      <c r="C7961" s="1" t="s">
        <v>2994</v>
      </c>
      <c r="D7961" s="1" t="s">
        <v>2996</v>
      </c>
    </row>
    <row r="7962">
      <c r="A7962" s="1" t="s">
        <v>2999</v>
      </c>
      <c r="B7962" s="2" t="s">
        <v>7</v>
      </c>
      <c r="C7962" s="1" t="s">
        <v>3001</v>
      </c>
      <c r="D7962" s="1" t="s">
        <v>3002</v>
      </c>
    </row>
    <row r="7963">
      <c r="A7963" s="1" t="s">
        <v>15854</v>
      </c>
      <c r="B7963" s="2" t="s">
        <v>13</v>
      </c>
      <c r="C7963" s="1" t="s">
        <v>3001</v>
      </c>
      <c r="D7963" s="1" t="s">
        <v>3002</v>
      </c>
    </row>
    <row r="7964">
      <c r="A7964" s="1" t="s">
        <v>15855</v>
      </c>
      <c r="B7964" s="2" t="s">
        <v>15590</v>
      </c>
      <c r="C7964" s="1" t="s">
        <v>3001</v>
      </c>
      <c r="D7964" s="1" t="s">
        <v>3002</v>
      </c>
    </row>
    <row r="7965">
      <c r="A7965" s="1" t="s">
        <v>15856</v>
      </c>
      <c r="B7965" s="2" t="s">
        <v>15857</v>
      </c>
      <c r="C7965" s="1" t="s">
        <v>3001</v>
      </c>
      <c r="D7965" s="1" t="s">
        <v>3002</v>
      </c>
    </row>
    <row r="7966">
      <c r="A7966" s="1" t="s">
        <v>15858</v>
      </c>
      <c r="B7966" s="2" t="s">
        <v>15859</v>
      </c>
      <c r="C7966" s="1" t="s">
        <v>3001</v>
      </c>
      <c r="D7966" s="1" t="s">
        <v>3002</v>
      </c>
    </row>
    <row r="7967">
      <c r="A7967" s="1" t="s">
        <v>15860</v>
      </c>
      <c r="B7967" s="2" t="s">
        <v>15861</v>
      </c>
      <c r="C7967" s="1" t="s">
        <v>3001</v>
      </c>
      <c r="D7967" s="1" t="s">
        <v>3002</v>
      </c>
    </row>
    <row r="7968">
      <c r="A7968" s="1" t="s">
        <v>15862</v>
      </c>
      <c r="B7968" s="2" t="s">
        <v>15720</v>
      </c>
      <c r="C7968" s="1" t="s">
        <v>3001</v>
      </c>
      <c r="D7968" s="1" t="s">
        <v>3002</v>
      </c>
    </row>
    <row r="7969">
      <c r="A7969" s="1" t="s">
        <v>15863</v>
      </c>
      <c r="B7969" s="2" t="s">
        <v>15864</v>
      </c>
      <c r="C7969" s="1" t="s">
        <v>3001</v>
      </c>
      <c r="D7969" s="1" t="s">
        <v>3002</v>
      </c>
    </row>
    <row r="7970">
      <c r="A7970" s="1" t="s">
        <v>15865</v>
      </c>
      <c r="B7970" s="2" t="s">
        <v>15866</v>
      </c>
      <c r="C7970" s="1" t="s">
        <v>3001</v>
      </c>
      <c r="D7970" s="1" t="s">
        <v>3002</v>
      </c>
    </row>
    <row r="7971">
      <c r="A7971" s="1" t="s">
        <v>15867</v>
      </c>
      <c r="B7971" s="2" t="s">
        <v>15868</v>
      </c>
      <c r="C7971" s="1" t="s">
        <v>3001</v>
      </c>
      <c r="D7971" s="1" t="s">
        <v>3002</v>
      </c>
    </row>
    <row r="7972">
      <c r="A7972" s="1" t="s">
        <v>15869</v>
      </c>
      <c r="B7972" s="2" t="s">
        <v>15870</v>
      </c>
      <c r="C7972" s="1" t="s">
        <v>3001</v>
      </c>
      <c r="D7972" s="1" t="s">
        <v>3002</v>
      </c>
    </row>
    <row r="7973">
      <c r="A7973" s="1" t="s">
        <v>15871</v>
      </c>
      <c r="B7973" s="2" t="s">
        <v>15872</v>
      </c>
      <c r="C7973" s="1" t="s">
        <v>3001</v>
      </c>
      <c r="D7973" s="1" t="s">
        <v>3002</v>
      </c>
    </row>
    <row r="7974">
      <c r="A7974" s="1" t="s">
        <v>15873</v>
      </c>
      <c r="B7974" s="2" t="s">
        <v>15874</v>
      </c>
      <c r="C7974" s="1" t="s">
        <v>3001</v>
      </c>
      <c r="D7974" s="1" t="s">
        <v>3002</v>
      </c>
    </row>
    <row r="7975">
      <c r="A7975" s="1" t="s">
        <v>15875</v>
      </c>
      <c r="B7975" s="2" t="s">
        <v>15876</v>
      </c>
      <c r="C7975" s="1" t="s">
        <v>3001</v>
      </c>
      <c r="D7975" s="1" t="s">
        <v>3002</v>
      </c>
    </row>
    <row r="7976">
      <c r="A7976" s="1" t="s">
        <v>15877</v>
      </c>
      <c r="B7976" s="2" t="s">
        <v>15878</v>
      </c>
      <c r="C7976" s="1" t="s">
        <v>3001</v>
      </c>
      <c r="D7976" s="1" t="s">
        <v>3002</v>
      </c>
    </row>
    <row r="7977">
      <c r="A7977" s="1" t="s">
        <v>15879</v>
      </c>
      <c r="B7977" s="2" t="s">
        <v>70</v>
      </c>
      <c r="C7977" s="1" t="s">
        <v>3001</v>
      </c>
      <c r="D7977" s="1" t="s">
        <v>3002</v>
      </c>
    </row>
    <row r="7978">
      <c r="A7978" s="1" t="s">
        <v>15880</v>
      </c>
      <c r="B7978" s="2" t="s">
        <v>15637</v>
      </c>
      <c r="C7978" s="1" t="s">
        <v>3001</v>
      </c>
      <c r="D7978" s="1" t="s">
        <v>3002</v>
      </c>
    </row>
    <row r="7979">
      <c r="A7979" s="1" t="s">
        <v>15881</v>
      </c>
      <c r="B7979" s="2" t="s">
        <v>15882</v>
      </c>
      <c r="C7979" s="1" t="s">
        <v>3001</v>
      </c>
      <c r="D7979" s="1" t="s">
        <v>3002</v>
      </c>
    </row>
    <row r="7980">
      <c r="A7980" s="1" t="s">
        <v>15883</v>
      </c>
      <c r="B7980" s="2" t="s">
        <v>15884</v>
      </c>
      <c r="C7980" s="1" t="s">
        <v>3001</v>
      </c>
      <c r="D7980" s="1" t="s">
        <v>3002</v>
      </c>
    </row>
    <row r="7981">
      <c r="A7981" s="1" t="s">
        <v>15885</v>
      </c>
      <c r="B7981" s="2" t="s">
        <v>15886</v>
      </c>
      <c r="C7981" s="1" t="s">
        <v>3001</v>
      </c>
      <c r="D7981" s="1" t="s">
        <v>3002</v>
      </c>
    </row>
    <row r="7982">
      <c r="A7982" s="1" t="s">
        <v>15887</v>
      </c>
      <c r="B7982" s="2" t="s">
        <v>15775</v>
      </c>
      <c r="C7982" s="1" t="s">
        <v>3001</v>
      </c>
      <c r="D7982" s="1" t="s">
        <v>3002</v>
      </c>
    </row>
    <row r="7983">
      <c r="A7983" s="1" t="s">
        <v>15888</v>
      </c>
      <c r="B7983" s="2" t="s">
        <v>15889</v>
      </c>
      <c r="C7983" s="1" t="s">
        <v>3001</v>
      </c>
      <c r="D7983" s="1" t="s">
        <v>3002</v>
      </c>
    </row>
    <row r="7984">
      <c r="A7984" s="1" t="s">
        <v>15890</v>
      </c>
      <c r="B7984" s="2" t="s">
        <v>15891</v>
      </c>
      <c r="C7984" s="1" t="s">
        <v>3001</v>
      </c>
      <c r="D7984" s="1" t="s">
        <v>3002</v>
      </c>
    </row>
    <row r="7985">
      <c r="A7985" s="1" t="s">
        <v>15892</v>
      </c>
      <c r="B7985" s="2" t="s">
        <v>15893</v>
      </c>
      <c r="C7985" s="1" t="s">
        <v>3001</v>
      </c>
      <c r="D7985" s="1" t="s">
        <v>3002</v>
      </c>
    </row>
    <row r="7986">
      <c r="A7986" s="1" t="s">
        <v>15894</v>
      </c>
      <c r="B7986" s="2" t="s">
        <v>15895</v>
      </c>
      <c r="C7986" s="1" t="s">
        <v>3001</v>
      </c>
      <c r="D7986" s="1" t="s">
        <v>3002</v>
      </c>
    </row>
    <row r="7987">
      <c r="A7987" s="1" t="s">
        <v>15896</v>
      </c>
      <c r="B7987" s="2" t="s">
        <v>15897</v>
      </c>
      <c r="C7987" s="1" t="s">
        <v>3001</v>
      </c>
      <c r="D7987" s="1" t="s">
        <v>3002</v>
      </c>
    </row>
    <row r="7988">
      <c r="A7988" s="1" t="s">
        <v>15898</v>
      </c>
      <c r="B7988" s="2" t="s">
        <v>15899</v>
      </c>
      <c r="C7988" s="1" t="s">
        <v>3001</v>
      </c>
      <c r="D7988" s="1" t="s">
        <v>3002</v>
      </c>
    </row>
    <row r="7989">
      <c r="A7989" s="1" t="s">
        <v>15900</v>
      </c>
      <c r="B7989" s="2" t="s">
        <v>15901</v>
      </c>
      <c r="C7989" s="1" t="s">
        <v>3001</v>
      </c>
      <c r="D7989" s="1" t="s">
        <v>3002</v>
      </c>
    </row>
    <row r="7990">
      <c r="A7990" s="1" t="s">
        <v>15902</v>
      </c>
      <c r="B7990" s="2" t="s">
        <v>15903</v>
      </c>
      <c r="C7990" s="1" t="s">
        <v>3001</v>
      </c>
      <c r="D7990" s="1" t="s">
        <v>3002</v>
      </c>
    </row>
    <row r="7991">
      <c r="A7991" s="1" t="s">
        <v>3005</v>
      </c>
      <c r="B7991" s="2" t="s">
        <v>7</v>
      </c>
      <c r="C7991" s="1" t="s">
        <v>3006</v>
      </c>
      <c r="D7991" s="1" t="s">
        <v>3007</v>
      </c>
    </row>
    <row r="7992">
      <c r="A7992" s="1" t="s">
        <v>15904</v>
      </c>
      <c r="B7992" s="2" t="s">
        <v>15905</v>
      </c>
      <c r="C7992" s="1" t="s">
        <v>3006</v>
      </c>
      <c r="D7992" s="1" t="s">
        <v>3007</v>
      </c>
    </row>
    <row r="7993">
      <c r="A7993" s="1" t="s">
        <v>15906</v>
      </c>
      <c r="B7993" s="2" t="s">
        <v>15907</v>
      </c>
      <c r="C7993" s="1" t="s">
        <v>3006</v>
      </c>
      <c r="D7993" s="1" t="s">
        <v>3007</v>
      </c>
    </row>
    <row r="7994">
      <c r="A7994" s="1" t="s">
        <v>15908</v>
      </c>
      <c r="B7994" s="2" t="s">
        <v>15909</v>
      </c>
      <c r="C7994" s="1" t="s">
        <v>3006</v>
      </c>
      <c r="D7994" s="1" t="s">
        <v>3007</v>
      </c>
    </row>
    <row r="7995">
      <c r="A7995" s="1" t="s">
        <v>15910</v>
      </c>
      <c r="B7995" s="2" t="s">
        <v>15911</v>
      </c>
      <c r="C7995" s="1" t="s">
        <v>3006</v>
      </c>
      <c r="D7995" s="1" t="s">
        <v>3007</v>
      </c>
    </row>
    <row r="7996">
      <c r="A7996" s="1" t="s">
        <v>15912</v>
      </c>
      <c r="B7996" s="2" t="s">
        <v>15913</v>
      </c>
      <c r="C7996" s="1" t="s">
        <v>3006</v>
      </c>
      <c r="D7996" s="1" t="s">
        <v>3007</v>
      </c>
    </row>
    <row r="7997">
      <c r="A7997" s="1" t="s">
        <v>15914</v>
      </c>
      <c r="B7997" s="2" t="s">
        <v>15915</v>
      </c>
      <c r="C7997" s="1" t="s">
        <v>3006</v>
      </c>
      <c r="D7997" s="1" t="s">
        <v>3007</v>
      </c>
    </row>
    <row r="7998">
      <c r="A7998" s="1" t="s">
        <v>15916</v>
      </c>
      <c r="B7998" s="2" t="s">
        <v>15917</v>
      </c>
      <c r="C7998" s="1" t="s">
        <v>3006</v>
      </c>
      <c r="D7998" s="1" t="s">
        <v>3007</v>
      </c>
    </row>
    <row r="7999">
      <c r="A7999" s="1" t="s">
        <v>15918</v>
      </c>
      <c r="B7999" s="2" t="s">
        <v>15919</v>
      </c>
      <c r="C7999" s="1" t="s">
        <v>3006</v>
      </c>
      <c r="D7999" s="1" t="s">
        <v>3007</v>
      </c>
    </row>
    <row r="8000">
      <c r="A8000" s="1" t="s">
        <v>15920</v>
      </c>
      <c r="B8000" s="2" t="s">
        <v>15921</v>
      </c>
      <c r="C8000" s="1" t="s">
        <v>3006</v>
      </c>
      <c r="D8000" s="1" t="s">
        <v>3007</v>
      </c>
    </row>
    <row r="8001">
      <c r="A8001" s="1" t="s">
        <v>15922</v>
      </c>
      <c r="B8001" s="2" t="s">
        <v>15923</v>
      </c>
      <c r="C8001" s="1" t="s">
        <v>3006</v>
      </c>
      <c r="D8001" s="1" t="s">
        <v>3007</v>
      </c>
    </row>
    <row r="8002">
      <c r="A8002" s="1" t="s">
        <v>15924</v>
      </c>
      <c r="B8002" s="2" t="s">
        <v>15925</v>
      </c>
      <c r="C8002" s="1" t="s">
        <v>3006</v>
      </c>
      <c r="D8002" s="1" t="s">
        <v>3007</v>
      </c>
    </row>
    <row r="8003">
      <c r="A8003" s="1" t="s">
        <v>15926</v>
      </c>
      <c r="B8003" s="2" t="s">
        <v>15927</v>
      </c>
      <c r="C8003" s="1" t="s">
        <v>3006</v>
      </c>
      <c r="D8003" s="1" t="s">
        <v>3007</v>
      </c>
    </row>
    <row r="8004">
      <c r="A8004" s="1" t="s">
        <v>15928</v>
      </c>
      <c r="B8004" s="2" t="s">
        <v>15929</v>
      </c>
      <c r="C8004" s="1" t="s">
        <v>3006</v>
      </c>
      <c r="D8004" s="1" t="s">
        <v>3007</v>
      </c>
    </row>
    <row r="8005">
      <c r="A8005" s="1" t="s">
        <v>15930</v>
      </c>
      <c r="B8005" s="2" t="s">
        <v>15931</v>
      </c>
      <c r="C8005" s="1" t="s">
        <v>3006</v>
      </c>
      <c r="D8005" s="1" t="s">
        <v>3007</v>
      </c>
    </row>
    <row r="8006">
      <c r="A8006" s="1" t="s">
        <v>15932</v>
      </c>
      <c r="B8006" s="2" t="s">
        <v>15933</v>
      </c>
      <c r="C8006" s="1" t="s">
        <v>3006</v>
      </c>
      <c r="D8006" s="1" t="s">
        <v>3007</v>
      </c>
    </row>
    <row r="8007">
      <c r="A8007" s="1" t="s">
        <v>15934</v>
      </c>
      <c r="B8007" s="2" t="s">
        <v>15935</v>
      </c>
      <c r="C8007" s="1" t="s">
        <v>3006</v>
      </c>
      <c r="D8007" s="1" t="s">
        <v>3007</v>
      </c>
    </row>
    <row r="8008">
      <c r="A8008" s="1" t="s">
        <v>15936</v>
      </c>
      <c r="B8008" s="2" t="s">
        <v>15937</v>
      </c>
      <c r="C8008" s="1" t="s">
        <v>3006</v>
      </c>
      <c r="D8008" s="1" t="s">
        <v>3007</v>
      </c>
    </row>
    <row r="8009">
      <c r="A8009" s="1" t="s">
        <v>15938</v>
      </c>
      <c r="B8009" s="2" t="s">
        <v>15939</v>
      </c>
      <c r="C8009" s="1" t="s">
        <v>3006</v>
      </c>
      <c r="D8009" s="1" t="s">
        <v>3007</v>
      </c>
    </row>
    <row r="8010">
      <c r="A8010" s="1" t="s">
        <v>15940</v>
      </c>
      <c r="B8010" s="2" t="s">
        <v>15941</v>
      </c>
      <c r="C8010" s="1" t="s">
        <v>3006</v>
      </c>
      <c r="D8010" s="1" t="s">
        <v>3007</v>
      </c>
    </row>
    <row r="8011">
      <c r="A8011" s="1" t="s">
        <v>15942</v>
      </c>
      <c r="B8011" s="2" t="s">
        <v>15943</v>
      </c>
      <c r="C8011" s="1" t="s">
        <v>3006</v>
      </c>
      <c r="D8011" s="1" t="s">
        <v>3007</v>
      </c>
    </row>
    <row r="8012">
      <c r="A8012" s="1" t="s">
        <v>3016</v>
      </c>
      <c r="B8012" s="2" t="s">
        <v>7</v>
      </c>
      <c r="C8012" s="1" t="s">
        <v>3017</v>
      </c>
      <c r="D8012" s="1" t="s">
        <v>3019</v>
      </c>
    </row>
    <row r="8013">
      <c r="A8013" s="1" t="s">
        <v>15944</v>
      </c>
      <c r="B8013" s="2" t="s">
        <v>15571</v>
      </c>
      <c r="C8013" s="1" t="s">
        <v>3017</v>
      </c>
      <c r="D8013" s="1" t="s">
        <v>3019</v>
      </c>
    </row>
    <row r="8014">
      <c r="A8014" s="1" t="s">
        <v>15945</v>
      </c>
      <c r="B8014" s="2" t="s">
        <v>15573</v>
      </c>
      <c r="C8014" s="1" t="s">
        <v>3017</v>
      </c>
      <c r="D8014" s="1" t="s">
        <v>3019</v>
      </c>
    </row>
    <row r="8015">
      <c r="A8015" s="1" t="s">
        <v>15946</v>
      </c>
      <c r="B8015" s="2" t="s">
        <v>15575</v>
      </c>
      <c r="C8015" s="1" t="s">
        <v>3017</v>
      </c>
      <c r="D8015" s="1" t="s">
        <v>3019</v>
      </c>
    </row>
    <row r="8016">
      <c r="A8016" s="1" t="s">
        <v>15947</v>
      </c>
      <c r="B8016" s="2" t="s">
        <v>15948</v>
      </c>
      <c r="C8016" s="1" t="s">
        <v>3017</v>
      </c>
      <c r="D8016" s="1" t="s">
        <v>3019</v>
      </c>
    </row>
    <row r="8017">
      <c r="A8017" s="1" t="s">
        <v>15949</v>
      </c>
      <c r="B8017" s="2" t="s">
        <v>15950</v>
      </c>
      <c r="C8017" s="1" t="s">
        <v>3017</v>
      </c>
      <c r="D8017" s="1" t="s">
        <v>3019</v>
      </c>
    </row>
    <row r="8018">
      <c r="A8018" s="1" t="s">
        <v>15951</v>
      </c>
      <c r="B8018" s="2" t="s">
        <v>15952</v>
      </c>
      <c r="C8018" s="1" t="s">
        <v>3017</v>
      </c>
      <c r="D8018" s="1" t="s">
        <v>3019</v>
      </c>
    </row>
    <row r="8019">
      <c r="A8019" s="1" t="s">
        <v>15953</v>
      </c>
      <c r="B8019" s="2" t="s">
        <v>15954</v>
      </c>
      <c r="C8019" s="1" t="s">
        <v>3017</v>
      </c>
      <c r="D8019" s="1" t="s">
        <v>3019</v>
      </c>
    </row>
    <row r="8020">
      <c r="A8020" s="1" t="s">
        <v>15955</v>
      </c>
      <c r="B8020" s="2" t="s">
        <v>15956</v>
      </c>
      <c r="C8020" s="1" t="s">
        <v>3017</v>
      </c>
      <c r="D8020" s="1" t="s">
        <v>3019</v>
      </c>
    </row>
    <row r="8021">
      <c r="A8021" s="1" t="s">
        <v>15957</v>
      </c>
      <c r="B8021" s="2" t="s">
        <v>15958</v>
      </c>
      <c r="C8021" s="1" t="s">
        <v>3017</v>
      </c>
      <c r="D8021" s="1" t="s">
        <v>3019</v>
      </c>
    </row>
    <row r="8022">
      <c r="A8022" s="1" t="s">
        <v>15959</v>
      </c>
      <c r="B8022" s="2" t="s">
        <v>15960</v>
      </c>
      <c r="C8022" s="1" t="s">
        <v>3017</v>
      </c>
      <c r="D8022" s="1" t="s">
        <v>3019</v>
      </c>
    </row>
    <row r="8023">
      <c r="A8023" s="1" t="s">
        <v>15961</v>
      </c>
      <c r="B8023" s="2" t="s">
        <v>15962</v>
      </c>
      <c r="C8023" s="1" t="s">
        <v>3017</v>
      </c>
      <c r="D8023" s="1" t="s">
        <v>3019</v>
      </c>
    </row>
    <row r="8024">
      <c r="A8024" s="1" t="s">
        <v>15963</v>
      </c>
      <c r="B8024" s="2" t="s">
        <v>15964</v>
      </c>
      <c r="C8024" s="1" t="s">
        <v>3017</v>
      </c>
      <c r="D8024" s="1" t="s">
        <v>3019</v>
      </c>
    </row>
    <row r="8025">
      <c r="A8025" s="1" t="s">
        <v>15965</v>
      </c>
      <c r="B8025" s="2" t="s">
        <v>15966</v>
      </c>
      <c r="C8025" s="1" t="s">
        <v>3017</v>
      </c>
      <c r="D8025" s="1" t="s">
        <v>3019</v>
      </c>
    </row>
    <row r="8026">
      <c r="A8026" s="1" t="s">
        <v>15967</v>
      </c>
      <c r="B8026" s="2" t="s">
        <v>15968</v>
      </c>
      <c r="C8026" s="1" t="s">
        <v>3017</v>
      </c>
      <c r="D8026" s="1" t="s">
        <v>3019</v>
      </c>
    </row>
    <row r="8027">
      <c r="A8027" s="1" t="s">
        <v>15969</v>
      </c>
      <c r="B8027" s="2" t="s">
        <v>15970</v>
      </c>
      <c r="C8027" s="1" t="s">
        <v>3017</v>
      </c>
      <c r="D8027" s="1" t="s">
        <v>3019</v>
      </c>
    </row>
    <row r="8028">
      <c r="A8028" s="1" t="s">
        <v>15971</v>
      </c>
      <c r="B8028" s="2" t="s">
        <v>15583</v>
      </c>
      <c r="C8028" s="1" t="s">
        <v>3017</v>
      </c>
      <c r="D8028" s="1" t="s">
        <v>3019</v>
      </c>
    </row>
    <row r="8029">
      <c r="A8029" s="1" t="s">
        <v>15972</v>
      </c>
      <c r="B8029" s="2" t="s">
        <v>15585</v>
      </c>
      <c r="C8029" s="1" t="s">
        <v>3017</v>
      </c>
      <c r="D8029" s="1" t="s">
        <v>3019</v>
      </c>
    </row>
    <row r="8030">
      <c r="A8030" s="1" t="s">
        <v>15973</v>
      </c>
      <c r="B8030" s="2" t="s">
        <v>15587</v>
      </c>
      <c r="C8030" s="1" t="s">
        <v>3017</v>
      </c>
      <c r="D8030" s="1" t="s">
        <v>3019</v>
      </c>
    </row>
    <row r="8031">
      <c r="A8031" s="1" t="s">
        <v>3022</v>
      </c>
      <c r="B8031" s="2" t="s">
        <v>7</v>
      </c>
      <c r="C8031" s="1" t="s">
        <v>3024</v>
      </c>
      <c r="D8031" s="1" t="s">
        <v>3025</v>
      </c>
    </row>
    <row r="8032">
      <c r="A8032" s="1" t="s">
        <v>15974</v>
      </c>
      <c r="B8032" s="2" t="s">
        <v>15571</v>
      </c>
      <c r="C8032" s="1" t="s">
        <v>3024</v>
      </c>
      <c r="D8032" s="1" t="s">
        <v>3025</v>
      </c>
    </row>
    <row r="8033">
      <c r="A8033" s="1" t="s">
        <v>15975</v>
      </c>
      <c r="B8033" s="2" t="s">
        <v>15573</v>
      </c>
      <c r="C8033" s="1" t="s">
        <v>3024</v>
      </c>
      <c r="D8033" s="1" t="s">
        <v>3025</v>
      </c>
    </row>
    <row r="8034">
      <c r="A8034" s="1" t="s">
        <v>15976</v>
      </c>
      <c r="B8034" s="2" t="s">
        <v>15575</v>
      </c>
      <c r="C8034" s="1" t="s">
        <v>3024</v>
      </c>
      <c r="D8034" s="1" t="s">
        <v>3025</v>
      </c>
    </row>
    <row r="8035">
      <c r="A8035" s="1" t="s">
        <v>15977</v>
      </c>
      <c r="B8035" s="2" t="s">
        <v>15948</v>
      </c>
      <c r="C8035" s="1" t="s">
        <v>3024</v>
      </c>
      <c r="D8035" s="1" t="s">
        <v>3025</v>
      </c>
    </row>
    <row r="8036">
      <c r="A8036" s="1" t="s">
        <v>15978</v>
      </c>
      <c r="B8036" s="2" t="s">
        <v>15950</v>
      </c>
      <c r="C8036" s="1" t="s">
        <v>3024</v>
      </c>
      <c r="D8036" s="1" t="s">
        <v>3025</v>
      </c>
    </row>
    <row r="8037">
      <c r="A8037" s="1" t="s">
        <v>15979</v>
      </c>
      <c r="B8037" s="2" t="s">
        <v>15952</v>
      </c>
      <c r="C8037" s="1" t="s">
        <v>3024</v>
      </c>
      <c r="D8037" s="1" t="s">
        <v>3025</v>
      </c>
    </row>
    <row r="8038">
      <c r="A8038" s="1" t="s">
        <v>15980</v>
      </c>
      <c r="B8038" s="2" t="s">
        <v>15954</v>
      </c>
      <c r="C8038" s="1" t="s">
        <v>3024</v>
      </c>
      <c r="D8038" s="1" t="s">
        <v>3025</v>
      </c>
    </row>
    <row r="8039">
      <c r="A8039" s="1" t="s">
        <v>15981</v>
      </c>
      <c r="B8039" s="2" t="s">
        <v>15956</v>
      </c>
      <c r="C8039" s="1" t="s">
        <v>3024</v>
      </c>
      <c r="D8039" s="1" t="s">
        <v>3025</v>
      </c>
    </row>
    <row r="8040">
      <c r="A8040" s="1" t="s">
        <v>15982</v>
      </c>
      <c r="B8040" s="2" t="s">
        <v>15958</v>
      </c>
      <c r="C8040" s="1" t="s">
        <v>3024</v>
      </c>
      <c r="D8040" s="1" t="s">
        <v>3025</v>
      </c>
    </row>
    <row r="8041">
      <c r="A8041" s="1" t="s">
        <v>15983</v>
      </c>
      <c r="B8041" s="2" t="s">
        <v>15960</v>
      </c>
      <c r="C8041" s="1" t="s">
        <v>3024</v>
      </c>
      <c r="D8041" s="1" t="s">
        <v>3025</v>
      </c>
    </row>
    <row r="8042">
      <c r="A8042" s="1" t="s">
        <v>15984</v>
      </c>
      <c r="B8042" s="2" t="s">
        <v>15962</v>
      </c>
      <c r="C8042" s="1" t="s">
        <v>3024</v>
      </c>
      <c r="D8042" s="1" t="s">
        <v>3025</v>
      </c>
    </row>
    <row r="8043">
      <c r="A8043" s="1" t="s">
        <v>15985</v>
      </c>
      <c r="B8043" s="2" t="s">
        <v>15964</v>
      </c>
      <c r="C8043" s="1" t="s">
        <v>3024</v>
      </c>
      <c r="D8043" s="1" t="s">
        <v>3025</v>
      </c>
    </row>
    <row r="8044">
      <c r="A8044" s="1" t="s">
        <v>15986</v>
      </c>
      <c r="B8044" s="2" t="s">
        <v>15966</v>
      </c>
      <c r="C8044" s="1" t="s">
        <v>3024</v>
      </c>
      <c r="D8044" s="1" t="s">
        <v>3025</v>
      </c>
    </row>
    <row r="8045">
      <c r="A8045" s="1" t="s">
        <v>15987</v>
      </c>
      <c r="B8045" s="2" t="s">
        <v>15968</v>
      </c>
      <c r="C8045" s="1" t="s">
        <v>3024</v>
      </c>
      <c r="D8045" s="1" t="s">
        <v>3025</v>
      </c>
    </row>
    <row r="8046">
      <c r="A8046" s="1" t="s">
        <v>15988</v>
      </c>
      <c r="B8046" s="2" t="s">
        <v>15970</v>
      </c>
      <c r="C8046" s="1" t="s">
        <v>3024</v>
      </c>
      <c r="D8046" s="1" t="s">
        <v>3025</v>
      </c>
    </row>
    <row r="8047">
      <c r="A8047" s="1" t="s">
        <v>15989</v>
      </c>
      <c r="B8047" s="2" t="s">
        <v>15583</v>
      </c>
      <c r="C8047" s="1" t="s">
        <v>3024</v>
      </c>
      <c r="D8047" s="1" t="s">
        <v>3025</v>
      </c>
    </row>
    <row r="8048">
      <c r="A8048" s="1" t="s">
        <v>15990</v>
      </c>
      <c r="B8048" s="2" t="s">
        <v>15585</v>
      </c>
      <c r="C8048" s="1" t="s">
        <v>3024</v>
      </c>
      <c r="D8048" s="1" t="s">
        <v>3025</v>
      </c>
    </row>
    <row r="8049">
      <c r="A8049" s="1" t="s">
        <v>15991</v>
      </c>
      <c r="B8049" s="2" t="s">
        <v>15587</v>
      </c>
      <c r="C8049" s="1" t="s">
        <v>3024</v>
      </c>
      <c r="D8049" s="1" t="s">
        <v>3025</v>
      </c>
    </row>
    <row r="8050">
      <c r="A8050" s="1" t="s">
        <v>3028</v>
      </c>
      <c r="B8050" s="2" t="s">
        <v>7</v>
      </c>
      <c r="C8050" s="1" t="s">
        <v>3030</v>
      </c>
      <c r="D8050" s="1" t="s">
        <v>3031</v>
      </c>
    </row>
    <row r="8051">
      <c r="A8051" s="1" t="s">
        <v>15992</v>
      </c>
      <c r="B8051" s="2" t="s">
        <v>15571</v>
      </c>
      <c r="C8051" s="1" t="s">
        <v>3030</v>
      </c>
      <c r="D8051" s="1" t="s">
        <v>3031</v>
      </c>
    </row>
    <row r="8052">
      <c r="A8052" s="1" t="s">
        <v>15993</v>
      </c>
      <c r="B8052" s="2" t="s">
        <v>15573</v>
      </c>
      <c r="C8052" s="1" t="s">
        <v>3030</v>
      </c>
      <c r="D8052" s="1" t="s">
        <v>3031</v>
      </c>
    </row>
    <row r="8053">
      <c r="A8053" s="1" t="s">
        <v>15994</v>
      </c>
      <c r="B8053" s="2" t="s">
        <v>15575</v>
      </c>
      <c r="C8053" s="1" t="s">
        <v>3030</v>
      </c>
      <c r="D8053" s="1" t="s">
        <v>3031</v>
      </c>
    </row>
    <row r="8054">
      <c r="A8054" s="1" t="s">
        <v>15995</v>
      </c>
      <c r="B8054" s="2" t="s">
        <v>15948</v>
      </c>
      <c r="C8054" s="1" t="s">
        <v>3030</v>
      </c>
      <c r="D8054" s="1" t="s">
        <v>3031</v>
      </c>
    </row>
    <row r="8055">
      <c r="A8055" s="1" t="s">
        <v>15996</v>
      </c>
      <c r="B8055" s="2" t="s">
        <v>15950</v>
      </c>
      <c r="C8055" s="1" t="s">
        <v>3030</v>
      </c>
      <c r="D8055" s="1" t="s">
        <v>3031</v>
      </c>
    </row>
    <row r="8056">
      <c r="A8056" s="1" t="s">
        <v>15997</v>
      </c>
      <c r="B8056" s="2" t="s">
        <v>15952</v>
      </c>
      <c r="C8056" s="1" t="s">
        <v>3030</v>
      </c>
      <c r="D8056" s="1" t="s">
        <v>3031</v>
      </c>
    </row>
    <row r="8057">
      <c r="A8057" s="1" t="s">
        <v>15998</v>
      </c>
      <c r="B8057" s="2" t="s">
        <v>15954</v>
      </c>
      <c r="C8057" s="1" t="s">
        <v>3030</v>
      </c>
      <c r="D8057" s="1" t="s">
        <v>3031</v>
      </c>
    </row>
    <row r="8058">
      <c r="A8058" s="1" t="s">
        <v>15999</v>
      </c>
      <c r="B8058" s="2" t="s">
        <v>15956</v>
      </c>
      <c r="C8058" s="1" t="s">
        <v>3030</v>
      </c>
      <c r="D8058" s="1" t="s">
        <v>3031</v>
      </c>
    </row>
    <row r="8059">
      <c r="A8059" s="1" t="s">
        <v>16000</v>
      </c>
      <c r="B8059" s="2" t="s">
        <v>15958</v>
      </c>
      <c r="C8059" s="1" t="s">
        <v>3030</v>
      </c>
      <c r="D8059" s="1" t="s">
        <v>3031</v>
      </c>
    </row>
    <row r="8060">
      <c r="A8060" s="1" t="s">
        <v>16001</v>
      </c>
      <c r="B8060" s="2" t="s">
        <v>15960</v>
      </c>
      <c r="C8060" s="1" t="s">
        <v>3030</v>
      </c>
      <c r="D8060" s="1" t="s">
        <v>3031</v>
      </c>
    </row>
    <row r="8061">
      <c r="A8061" s="1" t="s">
        <v>16002</v>
      </c>
      <c r="B8061" s="2" t="s">
        <v>15962</v>
      </c>
      <c r="C8061" s="1" t="s">
        <v>3030</v>
      </c>
      <c r="D8061" s="1" t="s">
        <v>3031</v>
      </c>
    </row>
    <row r="8062">
      <c r="A8062" s="1" t="s">
        <v>16003</v>
      </c>
      <c r="B8062" s="2" t="s">
        <v>15964</v>
      </c>
      <c r="C8062" s="1" t="s">
        <v>3030</v>
      </c>
      <c r="D8062" s="1" t="s">
        <v>3031</v>
      </c>
    </row>
    <row r="8063">
      <c r="A8063" s="1" t="s">
        <v>16004</v>
      </c>
      <c r="B8063" s="2" t="s">
        <v>15966</v>
      </c>
      <c r="C8063" s="1" t="s">
        <v>3030</v>
      </c>
      <c r="D8063" s="1" t="s">
        <v>3031</v>
      </c>
    </row>
    <row r="8064">
      <c r="A8064" s="1" t="s">
        <v>16005</v>
      </c>
      <c r="B8064" s="2" t="s">
        <v>15968</v>
      </c>
      <c r="C8064" s="1" t="s">
        <v>3030</v>
      </c>
      <c r="D8064" s="1" t="s">
        <v>3031</v>
      </c>
    </row>
    <row r="8065">
      <c r="A8065" s="1" t="s">
        <v>16006</v>
      </c>
      <c r="B8065" s="2" t="s">
        <v>15970</v>
      </c>
      <c r="C8065" s="1" t="s">
        <v>3030</v>
      </c>
      <c r="D8065" s="1" t="s">
        <v>3031</v>
      </c>
    </row>
    <row r="8066">
      <c r="A8066" s="1" t="s">
        <v>16007</v>
      </c>
      <c r="B8066" s="2" t="s">
        <v>15583</v>
      </c>
      <c r="C8066" s="1" t="s">
        <v>3030</v>
      </c>
      <c r="D8066" s="1" t="s">
        <v>3031</v>
      </c>
    </row>
    <row r="8067">
      <c r="A8067" s="1" t="s">
        <v>16008</v>
      </c>
      <c r="B8067" s="2" t="s">
        <v>15585</v>
      </c>
      <c r="C8067" s="1" t="s">
        <v>3030</v>
      </c>
      <c r="D8067" s="1" t="s">
        <v>3031</v>
      </c>
    </row>
    <row r="8068">
      <c r="A8068" s="1" t="s">
        <v>16009</v>
      </c>
      <c r="B8068" s="2" t="s">
        <v>15587</v>
      </c>
      <c r="C8068" s="1" t="s">
        <v>3030</v>
      </c>
      <c r="D8068" s="1" t="s">
        <v>3031</v>
      </c>
    </row>
    <row r="8069">
      <c r="A8069" s="1" t="s">
        <v>3033</v>
      </c>
      <c r="B8069" s="2" t="s">
        <v>7</v>
      </c>
      <c r="C8069" s="1" t="s">
        <v>3035</v>
      </c>
      <c r="D8069" s="1" t="s">
        <v>3036</v>
      </c>
    </row>
    <row r="8070">
      <c r="A8070" s="1" t="s">
        <v>16010</v>
      </c>
      <c r="B8070" s="2" t="s">
        <v>15571</v>
      </c>
      <c r="C8070" s="1" t="s">
        <v>3035</v>
      </c>
      <c r="D8070" s="1" t="s">
        <v>3036</v>
      </c>
    </row>
    <row r="8071">
      <c r="A8071" s="1" t="s">
        <v>16011</v>
      </c>
      <c r="B8071" s="2" t="s">
        <v>15573</v>
      </c>
      <c r="C8071" s="1" t="s">
        <v>3035</v>
      </c>
      <c r="D8071" s="1" t="s">
        <v>3036</v>
      </c>
    </row>
    <row r="8072">
      <c r="A8072" s="1" t="s">
        <v>16012</v>
      </c>
      <c r="B8072" s="2" t="s">
        <v>15575</v>
      </c>
      <c r="C8072" s="1" t="s">
        <v>3035</v>
      </c>
      <c r="D8072" s="1" t="s">
        <v>3036</v>
      </c>
    </row>
    <row r="8073">
      <c r="A8073" s="1" t="s">
        <v>16013</v>
      </c>
      <c r="B8073" s="2" t="s">
        <v>15948</v>
      </c>
      <c r="C8073" s="1" t="s">
        <v>3035</v>
      </c>
      <c r="D8073" s="1" t="s">
        <v>3036</v>
      </c>
    </row>
    <row r="8074">
      <c r="A8074" s="1" t="s">
        <v>16014</v>
      </c>
      <c r="B8074" s="2" t="s">
        <v>15950</v>
      </c>
      <c r="C8074" s="1" t="s">
        <v>3035</v>
      </c>
      <c r="D8074" s="1" t="s">
        <v>3036</v>
      </c>
    </row>
    <row r="8075">
      <c r="A8075" s="1" t="s">
        <v>16015</v>
      </c>
      <c r="B8075" s="2" t="s">
        <v>15952</v>
      </c>
      <c r="C8075" s="1" t="s">
        <v>3035</v>
      </c>
      <c r="D8075" s="1" t="s">
        <v>3036</v>
      </c>
    </row>
    <row r="8076">
      <c r="A8076" s="1" t="s">
        <v>16016</v>
      </c>
      <c r="B8076" s="2" t="s">
        <v>15954</v>
      </c>
      <c r="C8076" s="1" t="s">
        <v>3035</v>
      </c>
      <c r="D8076" s="1" t="s">
        <v>3036</v>
      </c>
    </row>
    <row r="8077">
      <c r="A8077" s="1" t="s">
        <v>16017</v>
      </c>
      <c r="B8077" s="2" t="s">
        <v>15956</v>
      </c>
      <c r="C8077" s="1" t="s">
        <v>3035</v>
      </c>
      <c r="D8077" s="1" t="s">
        <v>3036</v>
      </c>
    </row>
    <row r="8078">
      <c r="A8078" s="1" t="s">
        <v>16018</v>
      </c>
      <c r="B8078" s="2" t="s">
        <v>15958</v>
      </c>
      <c r="C8078" s="1" t="s">
        <v>3035</v>
      </c>
      <c r="D8078" s="1" t="s">
        <v>3036</v>
      </c>
    </row>
    <row r="8079">
      <c r="A8079" s="1" t="s">
        <v>16019</v>
      </c>
      <c r="B8079" s="2" t="s">
        <v>15960</v>
      </c>
      <c r="C8079" s="1" t="s">
        <v>3035</v>
      </c>
      <c r="D8079" s="1" t="s">
        <v>3036</v>
      </c>
    </row>
    <row r="8080">
      <c r="A8080" s="1" t="s">
        <v>16020</v>
      </c>
      <c r="B8080" s="2" t="s">
        <v>15962</v>
      </c>
      <c r="C8080" s="1" t="s">
        <v>3035</v>
      </c>
      <c r="D8080" s="1" t="s">
        <v>3036</v>
      </c>
    </row>
    <row r="8081">
      <c r="A8081" s="1" t="s">
        <v>16021</v>
      </c>
      <c r="B8081" s="2" t="s">
        <v>15964</v>
      </c>
      <c r="C8081" s="1" t="s">
        <v>3035</v>
      </c>
      <c r="D8081" s="1" t="s">
        <v>3036</v>
      </c>
    </row>
    <row r="8082">
      <c r="A8082" s="1" t="s">
        <v>16022</v>
      </c>
      <c r="B8082" s="2" t="s">
        <v>15966</v>
      </c>
      <c r="C8082" s="1" t="s">
        <v>3035</v>
      </c>
      <c r="D8082" s="1" t="s">
        <v>3036</v>
      </c>
    </row>
    <row r="8083">
      <c r="A8083" s="1" t="s">
        <v>16023</v>
      </c>
      <c r="B8083" s="2" t="s">
        <v>15968</v>
      </c>
      <c r="C8083" s="1" t="s">
        <v>3035</v>
      </c>
      <c r="D8083" s="1" t="s">
        <v>3036</v>
      </c>
    </row>
    <row r="8084">
      <c r="A8084" s="1" t="s">
        <v>16024</v>
      </c>
      <c r="B8084" s="2" t="s">
        <v>15970</v>
      </c>
      <c r="C8084" s="1" t="s">
        <v>3035</v>
      </c>
      <c r="D8084" s="1" t="s">
        <v>3036</v>
      </c>
    </row>
    <row r="8085">
      <c r="A8085" s="1" t="s">
        <v>16025</v>
      </c>
      <c r="B8085" s="2" t="s">
        <v>15583</v>
      </c>
      <c r="C8085" s="1" t="s">
        <v>3035</v>
      </c>
      <c r="D8085" s="1" t="s">
        <v>3036</v>
      </c>
    </row>
    <row r="8086">
      <c r="A8086" s="1" t="s">
        <v>16026</v>
      </c>
      <c r="B8086" s="2" t="s">
        <v>15585</v>
      </c>
      <c r="C8086" s="1" t="s">
        <v>3035</v>
      </c>
      <c r="D8086" s="1" t="s">
        <v>3036</v>
      </c>
    </row>
    <row r="8087">
      <c r="A8087" s="1" t="s">
        <v>16027</v>
      </c>
      <c r="B8087" s="2" t="s">
        <v>15587</v>
      </c>
      <c r="C8087" s="1" t="s">
        <v>3035</v>
      </c>
      <c r="D8087" s="1" t="s">
        <v>3036</v>
      </c>
    </row>
    <row r="8088">
      <c r="A8088" s="1" t="s">
        <v>3039</v>
      </c>
      <c r="B8088" s="2" t="s">
        <v>7</v>
      </c>
      <c r="C8088" s="1" t="s">
        <v>3041</v>
      </c>
      <c r="D8088" s="1" t="s">
        <v>3042</v>
      </c>
    </row>
    <row r="8089">
      <c r="A8089" s="1" t="s">
        <v>16028</v>
      </c>
      <c r="B8089" s="2" t="s">
        <v>15571</v>
      </c>
      <c r="C8089" s="1" t="s">
        <v>3041</v>
      </c>
      <c r="D8089" s="1" t="s">
        <v>3042</v>
      </c>
    </row>
    <row r="8090">
      <c r="A8090" s="1" t="s">
        <v>16029</v>
      </c>
      <c r="B8090" s="2" t="s">
        <v>15573</v>
      </c>
      <c r="C8090" s="1" t="s">
        <v>3041</v>
      </c>
      <c r="D8090" s="1" t="s">
        <v>3042</v>
      </c>
    </row>
    <row r="8091">
      <c r="A8091" s="1" t="s">
        <v>16030</v>
      </c>
      <c r="B8091" s="2" t="s">
        <v>15575</v>
      </c>
      <c r="C8091" s="1" t="s">
        <v>3041</v>
      </c>
      <c r="D8091" s="1" t="s">
        <v>3042</v>
      </c>
    </row>
    <row r="8092">
      <c r="A8092" s="1" t="s">
        <v>16031</v>
      </c>
      <c r="B8092" s="2" t="s">
        <v>15948</v>
      </c>
      <c r="C8092" s="1" t="s">
        <v>3041</v>
      </c>
      <c r="D8092" s="1" t="s">
        <v>3042</v>
      </c>
    </row>
    <row r="8093">
      <c r="A8093" s="1" t="s">
        <v>16032</v>
      </c>
      <c r="B8093" s="2" t="s">
        <v>15950</v>
      </c>
      <c r="C8093" s="1" t="s">
        <v>3041</v>
      </c>
      <c r="D8093" s="1" t="s">
        <v>3042</v>
      </c>
    </row>
    <row r="8094">
      <c r="A8094" s="1" t="s">
        <v>16033</v>
      </c>
      <c r="B8094" s="2" t="s">
        <v>15952</v>
      </c>
      <c r="C8094" s="1" t="s">
        <v>3041</v>
      </c>
      <c r="D8094" s="1" t="s">
        <v>3042</v>
      </c>
    </row>
    <row r="8095">
      <c r="A8095" s="1" t="s">
        <v>16034</v>
      </c>
      <c r="B8095" s="2" t="s">
        <v>15954</v>
      </c>
      <c r="C8095" s="1" t="s">
        <v>3041</v>
      </c>
      <c r="D8095" s="1" t="s">
        <v>3042</v>
      </c>
    </row>
    <row r="8096">
      <c r="A8096" s="1" t="s">
        <v>16035</v>
      </c>
      <c r="B8096" s="2" t="s">
        <v>15956</v>
      </c>
      <c r="C8096" s="1" t="s">
        <v>3041</v>
      </c>
      <c r="D8096" s="1" t="s">
        <v>3042</v>
      </c>
    </row>
    <row r="8097">
      <c r="A8097" s="1" t="s">
        <v>16036</v>
      </c>
      <c r="B8097" s="2" t="s">
        <v>15958</v>
      </c>
      <c r="C8097" s="1" t="s">
        <v>3041</v>
      </c>
      <c r="D8097" s="1" t="s">
        <v>3042</v>
      </c>
    </row>
    <row r="8098">
      <c r="A8098" s="1" t="s">
        <v>16037</v>
      </c>
      <c r="B8098" s="2" t="s">
        <v>15960</v>
      </c>
      <c r="C8098" s="1" t="s">
        <v>3041</v>
      </c>
      <c r="D8098" s="1" t="s">
        <v>3042</v>
      </c>
    </row>
    <row r="8099">
      <c r="A8099" s="1" t="s">
        <v>16038</v>
      </c>
      <c r="B8099" s="2" t="s">
        <v>15962</v>
      </c>
      <c r="C8099" s="1" t="s">
        <v>3041</v>
      </c>
      <c r="D8099" s="1" t="s">
        <v>3042</v>
      </c>
    </row>
    <row r="8100">
      <c r="A8100" s="1" t="s">
        <v>16039</v>
      </c>
      <c r="B8100" s="2" t="s">
        <v>15964</v>
      </c>
      <c r="C8100" s="1" t="s">
        <v>3041</v>
      </c>
      <c r="D8100" s="1" t="s">
        <v>3042</v>
      </c>
    </row>
    <row r="8101">
      <c r="A8101" s="1" t="s">
        <v>16040</v>
      </c>
      <c r="B8101" s="2" t="s">
        <v>15966</v>
      </c>
      <c r="C8101" s="1" t="s">
        <v>3041</v>
      </c>
      <c r="D8101" s="1" t="s">
        <v>3042</v>
      </c>
    </row>
    <row r="8102">
      <c r="A8102" s="1" t="s">
        <v>16041</v>
      </c>
      <c r="B8102" s="2" t="s">
        <v>15968</v>
      </c>
      <c r="C8102" s="1" t="s">
        <v>3041</v>
      </c>
      <c r="D8102" s="1" t="s">
        <v>3042</v>
      </c>
    </row>
    <row r="8103">
      <c r="A8103" s="1" t="s">
        <v>16042</v>
      </c>
      <c r="B8103" s="2" t="s">
        <v>15970</v>
      </c>
      <c r="C8103" s="1" t="s">
        <v>3041</v>
      </c>
      <c r="D8103" s="1" t="s">
        <v>3042</v>
      </c>
    </row>
    <row r="8104">
      <c r="A8104" s="1" t="s">
        <v>16043</v>
      </c>
      <c r="B8104" s="2" t="s">
        <v>15583</v>
      </c>
      <c r="C8104" s="1" t="s">
        <v>3041</v>
      </c>
      <c r="D8104" s="1" t="s">
        <v>3042</v>
      </c>
    </row>
    <row r="8105">
      <c r="A8105" s="1" t="s">
        <v>16044</v>
      </c>
      <c r="B8105" s="2" t="s">
        <v>15585</v>
      </c>
      <c r="C8105" s="1" t="s">
        <v>3041</v>
      </c>
      <c r="D8105" s="1" t="s">
        <v>3042</v>
      </c>
    </row>
    <row r="8106">
      <c r="A8106" s="1" t="s">
        <v>16045</v>
      </c>
      <c r="B8106" s="2" t="s">
        <v>15587</v>
      </c>
      <c r="C8106" s="1" t="s">
        <v>3041</v>
      </c>
      <c r="D8106" s="1" t="s">
        <v>3042</v>
      </c>
    </row>
    <row r="8107">
      <c r="A8107" s="1" t="s">
        <v>3043</v>
      </c>
      <c r="B8107" s="2" t="s">
        <v>7</v>
      </c>
      <c r="C8107" s="1" t="s">
        <v>3045</v>
      </c>
      <c r="D8107" s="1" t="s">
        <v>3046</v>
      </c>
    </row>
    <row r="8108">
      <c r="A8108" s="1" t="s">
        <v>16046</v>
      </c>
      <c r="B8108" s="2" t="s">
        <v>15571</v>
      </c>
      <c r="C8108" s="1" t="s">
        <v>3045</v>
      </c>
      <c r="D8108" s="1" t="s">
        <v>3046</v>
      </c>
    </row>
    <row r="8109">
      <c r="A8109" s="1" t="s">
        <v>16047</v>
      </c>
      <c r="B8109" s="2" t="s">
        <v>15573</v>
      </c>
      <c r="C8109" s="1" t="s">
        <v>3045</v>
      </c>
      <c r="D8109" s="1" t="s">
        <v>3046</v>
      </c>
    </row>
    <row r="8110">
      <c r="A8110" s="1" t="s">
        <v>16048</v>
      </c>
      <c r="B8110" s="2" t="s">
        <v>15575</v>
      </c>
      <c r="C8110" s="1" t="s">
        <v>3045</v>
      </c>
      <c r="D8110" s="1" t="s">
        <v>3046</v>
      </c>
    </row>
    <row r="8111">
      <c r="A8111" s="1" t="s">
        <v>16049</v>
      </c>
      <c r="B8111" s="2" t="s">
        <v>15948</v>
      </c>
      <c r="C8111" s="1" t="s">
        <v>3045</v>
      </c>
      <c r="D8111" s="1" t="s">
        <v>3046</v>
      </c>
    </row>
    <row r="8112">
      <c r="A8112" s="1" t="s">
        <v>16050</v>
      </c>
      <c r="B8112" s="2" t="s">
        <v>15950</v>
      </c>
      <c r="C8112" s="1" t="s">
        <v>3045</v>
      </c>
      <c r="D8112" s="1" t="s">
        <v>3046</v>
      </c>
    </row>
    <row r="8113">
      <c r="A8113" s="1" t="s">
        <v>16051</v>
      </c>
      <c r="B8113" s="2" t="s">
        <v>15952</v>
      </c>
      <c r="C8113" s="1" t="s">
        <v>3045</v>
      </c>
      <c r="D8113" s="1" t="s">
        <v>3046</v>
      </c>
    </row>
    <row r="8114">
      <c r="A8114" s="1" t="s">
        <v>16052</v>
      </c>
      <c r="B8114" s="2" t="s">
        <v>15954</v>
      </c>
      <c r="C8114" s="1" t="s">
        <v>3045</v>
      </c>
      <c r="D8114" s="1" t="s">
        <v>3046</v>
      </c>
    </row>
    <row r="8115">
      <c r="A8115" s="1" t="s">
        <v>16053</v>
      </c>
      <c r="B8115" s="2" t="s">
        <v>15956</v>
      </c>
      <c r="C8115" s="1" t="s">
        <v>3045</v>
      </c>
      <c r="D8115" s="1" t="s">
        <v>3046</v>
      </c>
    </row>
    <row r="8116">
      <c r="A8116" s="1" t="s">
        <v>16054</v>
      </c>
      <c r="B8116" s="2" t="s">
        <v>15958</v>
      </c>
      <c r="C8116" s="1" t="s">
        <v>3045</v>
      </c>
      <c r="D8116" s="1" t="s">
        <v>3046</v>
      </c>
    </row>
    <row r="8117">
      <c r="A8117" s="1" t="s">
        <v>16055</v>
      </c>
      <c r="B8117" s="2" t="s">
        <v>15960</v>
      </c>
      <c r="C8117" s="1" t="s">
        <v>3045</v>
      </c>
      <c r="D8117" s="1" t="s">
        <v>3046</v>
      </c>
    </row>
    <row r="8118">
      <c r="A8118" s="1" t="s">
        <v>16056</v>
      </c>
      <c r="B8118" s="2" t="s">
        <v>15962</v>
      </c>
      <c r="C8118" s="1" t="s">
        <v>3045</v>
      </c>
      <c r="D8118" s="1" t="s">
        <v>3046</v>
      </c>
    </row>
    <row r="8119">
      <c r="A8119" s="1" t="s">
        <v>16057</v>
      </c>
      <c r="B8119" s="2" t="s">
        <v>15964</v>
      </c>
      <c r="C8119" s="1" t="s">
        <v>3045</v>
      </c>
      <c r="D8119" s="1" t="s">
        <v>3046</v>
      </c>
    </row>
    <row r="8120">
      <c r="A8120" s="1" t="s">
        <v>16058</v>
      </c>
      <c r="B8120" s="2" t="s">
        <v>15966</v>
      </c>
      <c r="C8120" s="1" t="s">
        <v>3045</v>
      </c>
      <c r="D8120" s="1" t="s">
        <v>3046</v>
      </c>
    </row>
    <row r="8121">
      <c r="A8121" s="1" t="s">
        <v>16059</v>
      </c>
      <c r="B8121" s="2" t="s">
        <v>15968</v>
      </c>
      <c r="C8121" s="1" t="s">
        <v>3045</v>
      </c>
      <c r="D8121" s="1" t="s">
        <v>3046</v>
      </c>
    </row>
    <row r="8122">
      <c r="A8122" s="1" t="s">
        <v>16060</v>
      </c>
      <c r="B8122" s="2" t="s">
        <v>15970</v>
      </c>
      <c r="C8122" s="1" t="s">
        <v>3045</v>
      </c>
      <c r="D8122" s="1" t="s">
        <v>3046</v>
      </c>
    </row>
    <row r="8123">
      <c r="A8123" s="1" t="s">
        <v>16061</v>
      </c>
      <c r="B8123" s="2" t="s">
        <v>15583</v>
      </c>
      <c r="C8123" s="1" t="s">
        <v>3045</v>
      </c>
      <c r="D8123" s="1" t="s">
        <v>3046</v>
      </c>
    </row>
    <row r="8124">
      <c r="A8124" s="1" t="s">
        <v>16062</v>
      </c>
      <c r="B8124" s="2" t="s">
        <v>15585</v>
      </c>
      <c r="C8124" s="1" t="s">
        <v>3045</v>
      </c>
      <c r="D8124" s="1" t="s">
        <v>3046</v>
      </c>
    </row>
    <row r="8125">
      <c r="A8125" s="1" t="s">
        <v>16063</v>
      </c>
      <c r="B8125" s="2" t="s">
        <v>15587</v>
      </c>
      <c r="C8125" s="1" t="s">
        <v>3045</v>
      </c>
      <c r="D8125" s="1" t="s">
        <v>3046</v>
      </c>
    </row>
    <row r="8126">
      <c r="A8126" s="1" t="s">
        <v>3049</v>
      </c>
      <c r="B8126" s="2" t="s">
        <v>7</v>
      </c>
      <c r="C8126" s="1" t="s">
        <v>3050</v>
      </c>
      <c r="D8126" s="1" t="s">
        <v>3051</v>
      </c>
    </row>
    <row r="8127">
      <c r="A8127" s="1" t="s">
        <v>16064</v>
      </c>
      <c r="B8127" s="2" t="s">
        <v>15571</v>
      </c>
      <c r="C8127" s="1" t="s">
        <v>3050</v>
      </c>
      <c r="D8127" s="1" t="s">
        <v>3051</v>
      </c>
    </row>
    <row r="8128">
      <c r="A8128" s="1" t="s">
        <v>16065</v>
      </c>
      <c r="B8128" s="2" t="s">
        <v>15573</v>
      </c>
      <c r="C8128" s="1" t="s">
        <v>3050</v>
      </c>
      <c r="D8128" s="1" t="s">
        <v>3051</v>
      </c>
    </row>
    <row r="8129">
      <c r="A8129" s="1" t="s">
        <v>16066</v>
      </c>
      <c r="B8129" s="2" t="s">
        <v>15575</v>
      </c>
      <c r="C8129" s="1" t="s">
        <v>3050</v>
      </c>
      <c r="D8129" s="1" t="s">
        <v>3051</v>
      </c>
    </row>
    <row r="8130">
      <c r="A8130" s="1" t="s">
        <v>16067</v>
      </c>
      <c r="B8130" s="2" t="s">
        <v>15948</v>
      </c>
      <c r="C8130" s="1" t="s">
        <v>3050</v>
      </c>
      <c r="D8130" s="1" t="s">
        <v>3051</v>
      </c>
    </row>
    <row r="8131">
      <c r="A8131" s="1" t="s">
        <v>16068</v>
      </c>
      <c r="B8131" s="2" t="s">
        <v>15950</v>
      </c>
      <c r="C8131" s="1" t="s">
        <v>3050</v>
      </c>
      <c r="D8131" s="1" t="s">
        <v>3051</v>
      </c>
    </row>
    <row r="8132">
      <c r="A8132" s="1" t="s">
        <v>16069</v>
      </c>
      <c r="B8132" s="2" t="s">
        <v>15952</v>
      </c>
      <c r="C8132" s="1" t="s">
        <v>3050</v>
      </c>
      <c r="D8132" s="1" t="s">
        <v>3051</v>
      </c>
    </row>
    <row r="8133">
      <c r="A8133" s="1" t="s">
        <v>16070</v>
      </c>
      <c r="B8133" s="2" t="s">
        <v>15954</v>
      </c>
      <c r="C8133" s="1" t="s">
        <v>3050</v>
      </c>
      <c r="D8133" s="1" t="s">
        <v>3051</v>
      </c>
    </row>
    <row r="8134">
      <c r="A8134" s="1" t="s">
        <v>16071</v>
      </c>
      <c r="B8134" s="2" t="s">
        <v>15956</v>
      </c>
      <c r="C8134" s="1" t="s">
        <v>3050</v>
      </c>
      <c r="D8134" s="1" t="s">
        <v>3051</v>
      </c>
    </row>
    <row r="8135">
      <c r="A8135" s="1" t="s">
        <v>16072</v>
      </c>
      <c r="B8135" s="2" t="s">
        <v>15958</v>
      </c>
      <c r="C8135" s="1" t="s">
        <v>3050</v>
      </c>
      <c r="D8135" s="1" t="s">
        <v>3051</v>
      </c>
    </row>
    <row r="8136">
      <c r="A8136" s="1" t="s">
        <v>16073</v>
      </c>
      <c r="B8136" s="2" t="s">
        <v>15960</v>
      </c>
      <c r="C8136" s="1" t="s">
        <v>3050</v>
      </c>
      <c r="D8136" s="1" t="s">
        <v>3051</v>
      </c>
    </row>
    <row r="8137">
      <c r="A8137" s="1" t="s">
        <v>16074</v>
      </c>
      <c r="B8137" s="2" t="s">
        <v>15962</v>
      </c>
      <c r="C8137" s="1" t="s">
        <v>3050</v>
      </c>
      <c r="D8137" s="1" t="s">
        <v>3051</v>
      </c>
    </row>
    <row r="8138">
      <c r="A8138" s="1" t="s">
        <v>16075</v>
      </c>
      <c r="B8138" s="2" t="s">
        <v>15964</v>
      </c>
      <c r="C8138" s="1" t="s">
        <v>3050</v>
      </c>
      <c r="D8138" s="1" t="s">
        <v>3051</v>
      </c>
    </row>
    <row r="8139">
      <c r="A8139" s="1" t="s">
        <v>16076</v>
      </c>
      <c r="B8139" s="2" t="s">
        <v>15966</v>
      </c>
      <c r="C8139" s="1" t="s">
        <v>3050</v>
      </c>
      <c r="D8139" s="1" t="s">
        <v>3051</v>
      </c>
    </row>
    <row r="8140">
      <c r="A8140" s="1" t="s">
        <v>16077</v>
      </c>
      <c r="B8140" s="2" t="s">
        <v>15968</v>
      </c>
      <c r="C8140" s="1" t="s">
        <v>3050</v>
      </c>
      <c r="D8140" s="1" t="s">
        <v>3051</v>
      </c>
    </row>
    <row r="8141">
      <c r="A8141" s="1" t="s">
        <v>16078</v>
      </c>
      <c r="B8141" s="2" t="s">
        <v>15970</v>
      </c>
      <c r="C8141" s="1" t="s">
        <v>3050</v>
      </c>
      <c r="D8141" s="1" t="s">
        <v>3051</v>
      </c>
    </row>
    <row r="8142">
      <c r="A8142" s="1" t="s">
        <v>16079</v>
      </c>
      <c r="B8142" s="2" t="s">
        <v>15583</v>
      </c>
      <c r="C8142" s="1" t="s">
        <v>3050</v>
      </c>
      <c r="D8142" s="1" t="s">
        <v>3051</v>
      </c>
    </row>
    <row r="8143">
      <c r="A8143" s="1" t="s">
        <v>16080</v>
      </c>
      <c r="B8143" s="2" t="s">
        <v>15585</v>
      </c>
      <c r="C8143" s="1" t="s">
        <v>3050</v>
      </c>
      <c r="D8143" s="1" t="s">
        <v>3051</v>
      </c>
    </row>
    <row r="8144">
      <c r="A8144" s="1" t="s">
        <v>16081</v>
      </c>
      <c r="B8144" s="2" t="s">
        <v>15587</v>
      </c>
      <c r="C8144" s="1" t="s">
        <v>3050</v>
      </c>
      <c r="D8144" s="1" t="s">
        <v>3051</v>
      </c>
    </row>
    <row r="8145">
      <c r="A8145" s="1" t="s">
        <v>3054</v>
      </c>
      <c r="B8145" s="2" t="s">
        <v>7</v>
      </c>
      <c r="C8145" s="1" t="s">
        <v>3055</v>
      </c>
      <c r="D8145" s="1" t="s">
        <v>3057</v>
      </c>
    </row>
    <row r="8146">
      <c r="A8146" s="1" t="s">
        <v>16082</v>
      </c>
      <c r="B8146" s="2" t="s">
        <v>15571</v>
      </c>
      <c r="C8146" s="1" t="s">
        <v>3055</v>
      </c>
      <c r="D8146" s="1" t="s">
        <v>3057</v>
      </c>
    </row>
    <row r="8147">
      <c r="A8147" s="1" t="s">
        <v>16083</v>
      </c>
      <c r="B8147" s="2" t="s">
        <v>15573</v>
      </c>
      <c r="C8147" s="1" t="s">
        <v>3055</v>
      </c>
      <c r="D8147" s="1" t="s">
        <v>3057</v>
      </c>
    </row>
    <row r="8148">
      <c r="A8148" s="1" t="s">
        <v>16084</v>
      </c>
      <c r="B8148" s="2" t="s">
        <v>15575</v>
      </c>
      <c r="C8148" s="1" t="s">
        <v>3055</v>
      </c>
      <c r="D8148" s="1" t="s">
        <v>3057</v>
      </c>
    </row>
    <row r="8149">
      <c r="A8149" s="1" t="s">
        <v>16085</v>
      </c>
      <c r="B8149" s="2" t="s">
        <v>15948</v>
      </c>
      <c r="C8149" s="1" t="s">
        <v>3055</v>
      </c>
      <c r="D8149" s="1" t="s">
        <v>3057</v>
      </c>
    </row>
    <row r="8150">
      <c r="A8150" s="1" t="s">
        <v>16086</v>
      </c>
      <c r="B8150" s="2" t="s">
        <v>15950</v>
      </c>
      <c r="C8150" s="1" t="s">
        <v>3055</v>
      </c>
      <c r="D8150" s="1" t="s">
        <v>3057</v>
      </c>
    </row>
    <row r="8151">
      <c r="A8151" s="1" t="s">
        <v>16087</v>
      </c>
      <c r="B8151" s="2" t="s">
        <v>15952</v>
      </c>
      <c r="C8151" s="1" t="s">
        <v>3055</v>
      </c>
      <c r="D8151" s="1" t="s">
        <v>3057</v>
      </c>
    </row>
    <row r="8152">
      <c r="A8152" s="1" t="s">
        <v>16088</v>
      </c>
      <c r="B8152" s="2" t="s">
        <v>15954</v>
      </c>
      <c r="C8152" s="1" t="s">
        <v>3055</v>
      </c>
      <c r="D8152" s="1" t="s">
        <v>3057</v>
      </c>
    </row>
    <row r="8153">
      <c r="A8153" s="1" t="s">
        <v>16089</v>
      </c>
      <c r="B8153" s="2" t="s">
        <v>15956</v>
      </c>
      <c r="C8153" s="1" t="s">
        <v>3055</v>
      </c>
      <c r="D8153" s="1" t="s">
        <v>3057</v>
      </c>
    </row>
    <row r="8154">
      <c r="A8154" s="1" t="s">
        <v>16090</v>
      </c>
      <c r="B8154" s="2" t="s">
        <v>15958</v>
      </c>
      <c r="C8154" s="1" t="s">
        <v>3055</v>
      </c>
      <c r="D8154" s="1" t="s">
        <v>3057</v>
      </c>
    </row>
    <row r="8155">
      <c r="A8155" s="1" t="s">
        <v>16091</v>
      </c>
      <c r="B8155" s="2" t="s">
        <v>15960</v>
      </c>
      <c r="C8155" s="1" t="s">
        <v>3055</v>
      </c>
      <c r="D8155" s="1" t="s">
        <v>3057</v>
      </c>
    </row>
    <row r="8156">
      <c r="A8156" s="1" t="s">
        <v>16092</v>
      </c>
      <c r="B8156" s="2" t="s">
        <v>15962</v>
      </c>
      <c r="C8156" s="1" t="s">
        <v>3055</v>
      </c>
      <c r="D8156" s="1" t="s">
        <v>3057</v>
      </c>
    </row>
    <row r="8157">
      <c r="A8157" s="1" t="s">
        <v>16093</v>
      </c>
      <c r="B8157" s="2" t="s">
        <v>15964</v>
      </c>
      <c r="C8157" s="1" t="s">
        <v>3055</v>
      </c>
      <c r="D8157" s="1" t="s">
        <v>3057</v>
      </c>
    </row>
    <row r="8158">
      <c r="A8158" s="1" t="s">
        <v>16094</v>
      </c>
      <c r="B8158" s="2" t="s">
        <v>15966</v>
      </c>
      <c r="C8158" s="1" t="s">
        <v>3055</v>
      </c>
      <c r="D8158" s="1" t="s">
        <v>3057</v>
      </c>
    </row>
    <row r="8159">
      <c r="A8159" s="1" t="s">
        <v>16095</v>
      </c>
      <c r="B8159" s="2" t="s">
        <v>15968</v>
      </c>
      <c r="C8159" s="1" t="s">
        <v>3055</v>
      </c>
      <c r="D8159" s="1" t="s">
        <v>3057</v>
      </c>
    </row>
    <row r="8160">
      <c r="A8160" s="1" t="s">
        <v>16096</v>
      </c>
      <c r="B8160" s="2" t="s">
        <v>15970</v>
      </c>
      <c r="C8160" s="1" t="s">
        <v>3055</v>
      </c>
      <c r="D8160" s="1" t="s">
        <v>3057</v>
      </c>
    </row>
    <row r="8161">
      <c r="A8161" s="1" t="s">
        <v>16097</v>
      </c>
      <c r="B8161" s="2" t="s">
        <v>15583</v>
      </c>
      <c r="C8161" s="1" t="s">
        <v>3055</v>
      </c>
      <c r="D8161" s="1" t="s">
        <v>3057</v>
      </c>
    </row>
    <row r="8162">
      <c r="A8162" s="1" t="s">
        <v>16098</v>
      </c>
      <c r="B8162" s="2" t="s">
        <v>15585</v>
      </c>
      <c r="C8162" s="1" t="s">
        <v>3055</v>
      </c>
      <c r="D8162" s="1" t="s">
        <v>3057</v>
      </c>
    </row>
    <row r="8163">
      <c r="A8163" s="1" t="s">
        <v>16099</v>
      </c>
      <c r="B8163" s="2" t="s">
        <v>15587</v>
      </c>
      <c r="C8163" s="1" t="s">
        <v>3055</v>
      </c>
      <c r="D8163" s="1" t="s">
        <v>3057</v>
      </c>
    </row>
    <row r="8164">
      <c r="A8164" s="1" t="s">
        <v>3059</v>
      </c>
      <c r="B8164" s="2" t="s">
        <v>7</v>
      </c>
      <c r="C8164" s="1" t="s">
        <v>3060</v>
      </c>
      <c r="D8164" s="1" t="s">
        <v>3062</v>
      </c>
    </row>
    <row r="8165">
      <c r="A8165" s="1" t="s">
        <v>16100</v>
      </c>
      <c r="B8165" s="2" t="s">
        <v>15571</v>
      </c>
      <c r="C8165" s="1" t="s">
        <v>3060</v>
      </c>
      <c r="D8165" s="1" t="s">
        <v>3062</v>
      </c>
    </row>
    <row r="8166">
      <c r="A8166" s="1" t="s">
        <v>16101</v>
      </c>
      <c r="B8166" s="2" t="s">
        <v>15573</v>
      </c>
      <c r="C8166" s="1" t="s">
        <v>3060</v>
      </c>
      <c r="D8166" s="1" t="s">
        <v>3062</v>
      </c>
    </row>
    <row r="8167">
      <c r="A8167" s="1" t="s">
        <v>16102</v>
      </c>
      <c r="B8167" s="2" t="s">
        <v>15575</v>
      </c>
      <c r="C8167" s="1" t="s">
        <v>3060</v>
      </c>
      <c r="D8167" s="1" t="s">
        <v>3062</v>
      </c>
    </row>
    <row r="8168">
      <c r="A8168" s="1" t="s">
        <v>16103</v>
      </c>
      <c r="B8168" s="2" t="s">
        <v>15948</v>
      </c>
      <c r="C8168" s="1" t="s">
        <v>3060</v>
      </c>
      <c r="D8168" s="1" t="s">
        <v>3062</v>
      </c>
    </row>
    <row r="8169">
      <c r="A8169" s="1" t="s">
        <v>16104</v>
      </c>
      <c r="B8169" s="2" t="s">
        <v>15950</v>
      </c>
      <c r="C8169" s="1" t="s">
        <v>3060</v>
      </c>
      <c r="D8169" s="1" t="s">
        <v>3062</v>
      </c>
    </row>
    <row r="8170">
      <c r="A8170" s="1" t="s">
        <v>16105</v>
      </c>
      <c r="B8170" s="2" t="s">
        <v>15952</v>
      </c>
      <c r="C8170" s="1" t="s">
        <v>3060</v>
      </c>
      <c r="D8170" s="1" t="s">
        <v>3062</v>
      </c>
    </row>
    <row r="8171">
      <c r="A8171" s="1" t="s">
        <v>16106</v>
      </c>
      <c r="B8171" s="2" t="s">
        <v>15954</v>
      </c>
      <c r="C8171" s="1" t="s">
        <v>3060</v>
      </c>
      <c r="D8171" s="1" t="s">
        <v>3062</v>
      </c>
    </row>
    <row r="8172">
      <c r="A8172" s="1" t="s">
        <v>16107</v>
      </c>
      <c r="B8172" s="2" t="s">
        <v>15956</v>
      </c>
      <c r="C8172" s="1" t="s">
        <v>3060</v>
      </c>
      <c r="D8172" s="1" t="s">
        <v>3062</v>
      </c>
    </row>
    <row r="8173">
      <c r="A8173" s="1" t="s">
        <v>16108</v>
      </c>
      <c r="B8173" s="2" t="s">
        <v>15958</v>
      </c>
      <c r="C8173" s="1" t="s">
        <v>3060</v>
      </c>
      <c r="D8173" s="1" t="s">
        <v>3062</v>
      </c>
    </row>
    <row r="8174">
      <c r="A8174" s="1" t="s">
        <v>16109</v>
      </c>
      <c r="B8174" s="2" t="s">
        <v>15960</v>
      </c>
      <c r="C8174" s="1" t="s">
        <v>3060</v>
      </c>
      <c r="D8174" s="1" t="s">
        <v>3062</v>
      </c>
    </row>
    <row r="8175">
      <c r="A8175" s="1" t="s">
        <v>16110</v>
      </c>
      <c r="B8175" s="2" t="s">
        <v>15962</v>
      </c>
      <c r="C8175" s="1" t="s">
        <v>3060</v>
      </c>
      <c r="D8175" s="1" t="s">
        <v>3062</v>
      </c>
    </row>
    <row r="8176">
      <c r="A8176" s="1" t="s">
        <v>16111</v>
      </c>
      <c r="B8176" s="2" t="s">
        <v>15964</v>
      </c>
      <c r="C8176" s="1" t="s">
        <v>3060</v>
      </c>
      <c r="D8176" s="1" t="s">
        <v>3062</v>
      </c>
    </row>
    <row r="8177">
      <c r="A8177" s="1" t="s">
        <v>16112</v>
      </c>
      <c r="B8177" s="2" t="s">
        <v>15966</v>
      </c>
      <c r="C8177" s="1" t="s">
        <v>3060</v>
      </c>
      <c r="D8177" s="1" t="s">
        <v>3062</v>
      </c>
    </row>
    <row r="8178">
      <c r="A8178" s="1" t="s">
        <v>16113</v>
      </c>
      <c r="B8178" s="2" t="s">
        <v>15968</v>
      </c>
      <c r="C8178" s="1" t="s">
        <v>3060</v>
      </c>
      <c r="D8178" s="1" t="s">
        <v>3062</v>
      </c>
    </row>
    <row r="8179">
      <c r="A8179" s="1" t="s">
        <v>16114</v>
      </c>
      <c r="B8179" s="2" t="s">
        <v>15970</v>
      </c>
      <c r="C8179" s="1" t="s">
        <v>3060</v>
      </c>
      <c r="D8179" s="1" t="s">
        <v>3062</v>
      </c>
    </row>
    <row r="8180">
      <c r="A8180" s="1" t="s">
        <v>16115</v>
      </c>
      <c r="B8180" s="2" t="s">
        <v>15583</v>
      </c>
      <c r="C8180" s="1" t="s">
        <v>3060</v>
      </c>
      <c r="D8180" s="1" t="s">
        <v>3062</v>
      </c>
    </row>
    <row r="8181">
      <c r="A8181" s="1" t="s">
        <v>16116</v>
      </c>
      <c r="B8181" s="2" t="s">
        <v>15585</v>
      </c>
      <c r="C8181" s="1" t="s">
        <v>3060</v>
      </c>
      <c r="D8181" s="1" t="s">
        <v>3062</v>
      </c>
    </row>
    <row r="8182">
      <c r="A8182" s="1" t="s">
        <v>16117</v>
      </c>
      <c r="B8182" s="2" t="s">
        <v>15587</v>
      </c>
      <c r="C8182" s="1" t="s">
        <v>3060</v>
      </c>
      <c r="D8182" s="1" t="s">
        <v>3062</v>
      </c>
    </row>
    <row r="8183">
      <c r="A8183" s="1" t="s">
        <v>3011</v>
      </c>
      <c r="B8183" s="2" t="s">
        <v>7</v>
      </c>
      <c r="C8183" s="1" t="s">
        <v>3012</v>
      </c>
      <c r="D8183" s="1" t="s">
        <v>3013</v>
      </c>
    </row>
    <row r="8184">
      <c r="A8184" s="1" t="s">
        <v>16118</v>
      </c>
      <c r="B8184" s="2" t="s">
        <v>15571</v>
      </c>
      <c r="C8184" s="1" t="s">
        <v>3012</v>
      </c>
      <c r="D8184" s="1" t="s">
        <v>3013</v>
      </c>
    </row>
    <row r="8185">
      <c r="A8185" s="1" t="s">
        <v>16119</v>
      </c>
      <c r="B8185" s="2" t="s">
        <v>15573</v>
      </c>
      <c r="C8185" s="1" t="s">
        <v>3012</v>
      </c>
      <c r="D8185" s="1" t="s">
        <v>3013</v>
      </c>
    </row>
    <row r="8186">
      <c r="A8186" s="1" t="s">
        <v>16120</v>
      </c>
      <c r="B8186" s="2" t="s">
        <v>15575</v>
      </c>
      <c r="C8186" s="1" t="s">
        <v>3012</v>
      </c>
      <c r="D8186" s="1" t="s">
        <v>3013</v>
      </c>
    </row>
    <row r="8187">
      <c r="A8187" s="1" t="s">
        <v>16121</v>
      </c>
      <c r="B8187" s="2" t="s">
        <v>15948</v>
      </c>
      <c r="C8187" s="1" t="s">
        <v>3012</v>
      </c>
      <c r="D8187" s="1" t="s">
        <v>3013</v>
      </c>
    </row>
    <row r="8188">
      <c r="A8188" s="1" t="s">
        <v>16122</v>
      </c>
      <c r="B8188" s="2" t="s">
        <v>15950</v>
      </c>
      <c r="C8188" s="1" t="s">
        <v>3012</v>
      </c>
      <c r="D8188" s="1" t="s">
        <v>3013</v>
      </c>
    </row>
    <row r="8189">
      <c r="A8189" s="1" t="s">
        <v>16123</v>
      </c>
      <c r="B8189" s="2" t="s">
        <v>15952</v>
      </c>
      <c r="C8189" s="1" t="s">
        <v>3012</v>
      </c>
      <c r="D8189" s="1" t="s">
        <v>3013</v>
      </c>
    </row>
    <row r="8190">
      <c r="A8190" s="1" t="s">
        <v>16124</v>
      </c>
      <c r="B8190" s="2" t="s">
        <v>15954</v>
      </c>
      <c r="C8190" s="1" t="s">
        <v>3012</v>
      </c>
      <c r="D8190" s="1" t="s">
        <v>3013</v>
      </c>
    </row>
    <row r="8191">
      <c r="A8191" s="1" t="s">
        <v>16125</v>
      </c>
      <c r="B8191" s="2" t="s">
        <v>15956</v>
      </c>
      <c r="C8191" s="1" t="s">
        <v>3012</v>
      </c>
      <c r="D8191" s="1" t="s">
        <v>3013</v>
      </c>
    </row>
    <row r="8192">
      <c r="A8192" s="1" t="s">
        <v>16126</v>
      </c>
      <c r="B8192" s="2" t="s">
        <v>15958</v>
      </c>
      <c r="C8192" s="1" t="s">
        <v>3012</v>
      </c>
      <c r="D8192" s="1" t="s">
        <v>3013</v>
      </c>
    </row>
    <row r="8193">
      <c r="A8193" s="1" t="s">
        <v>16127</v>
      </c>
      <c r="B8193" s="2" t="s">
        <v>15960</v>
      </c>
      <c r="C8193" s="1" t="s">
        <v>3012</v>
      </c>
      <c r="D8193" s="1" t="s">
        <v>3013</v>
      </c>
    </row>
    <row r="8194">
      <c r="A8194" s="1" t="s">
        <v>16128</v>
      </c>
      <c r="B8194" s="2" t="s">
        <v>15962</v>
      </c>
      <c r="C8194" s="1" t="s">
        <v>3012</v>
      </c>
      <c r="D8194" s="1" t="s">
        <v>3013</v>
      </c>
    </row>
    <row r="8195">
      <c r="A8195" s="1" t="s">
        <v>16129</v>
      </c>
      <c r="B8195" s="2" t="s">
        <v>15964</v>
      </c>
      <c r="C8195" s="1" t="s">
        <v>3012</v>
      </c>
      <c r="D8195" s="1" t="s">
        <v>3013</v>
      </c>
    </row>
    <row r="8196">
      <c r="A8196" s="1" t="s">
        <v>16130</v>
      </c>
      <c r="B8196" s="2" t="s">
        <v>15966</v>
      </c>
      <c r="C8196" s="1" t="s">
        <v>3012</v>
      </c>
      <c r="D8196" s="1" t="s">
        <v>3013</v>
      </c>
    </row>
    <row r="8197">
      <c r="A8197" s="1" t="s">
        <v>16131</v>
      </c>
      <c r="B8197" s="2" t="s">
        <v>15968</v>
      </c>
      <c r="C8197" s="1" t="s">
        <v>3012</v>
      </c>
      <c r="D8197" s="1" t="s">
        <v>3013</v>
      </c>
    </row>
    <row r="8198">
      <c r="A8198" s="1" t="s">
        <v>16132</v>
      </c>
      <c r="B8198" s="2" t="s">
        <v>15970</v>
      </c>
      <c r="C8198" s="1" t="s">
        <v>3012</v>
      </c>
      <c r="D8198" s="1" t="s">
        <v>3013</v>
      </c>
    </row>
    <row r="8199">
      <c r="A8199" s="1" t="s">
        <v>16133</v>
      </c>
      <c r="B8199" s="2" t="s">
        <v>15583</v>
      </c>
      <c r="C8199" s="1" t="s">
        <v>3012</v>
      </c>
      <c r="D8199" s="1" t="s">
        <v>3013</v>
      </c>
    </row>
    <row r="8200">
      <c r="A8200" s="1" t="s">
        <v>16134</v>
      </c>
      <c r="B8200" s="2" t="s">
        <v>15585</v>
      </c>
      <c r="C8200" s="1" t="s">
        <v>3012</v>
      </c>
      <c r="D8200" s="1" t="s">
        <v>3013</v>
      </c>
    </row>
    <row r="8201">
      <c r="A8201" s="1" t="s">
        <v>16135</v>
      </c>
      <c r="B8201" s="2" t="s">
        <v>15587</v>
      </c>
      <c r="C8201" s="1" t="s">
        <v>3012</v>
      </c>
      <c r="D8201" s="1" t="s">
        <v>3013</v>
      </c>
    </row>
    <row r="8202">
      <c r="A8202" s="1" t="s">
        <v>3064</v>
      </c>
      <c r="B8202" s="2" t="s">
        <v>7</v>
      </c>
      <c r="C8202" s="1" t="s">
        <v>3065</v>
      </c>
      <c r="D8202" s="1" t="s">
        <v>3067</v>
      </c>
    </row>
    <row r="8203">
      <c r="A8203" s="1" t="s">
        <v>16136</v>
      </c>
      <c r="B8203" s="2" t="s">
        <v>13</v>
      </c>
      <c r="C8203" s="1" t="s">
        <v>3065</v>
      </c>
      <c r="D8203" s="1" t="s">
        <v>3067</v>
      </c>
    </row>
    <row r="8204">
      <c r="A8204" s="1" t="s">
        <v>16137</v>
      </c>
      <c r="B8204" s="2" t="s">
        <v>16138</v>
      </c>
      <c r="C8204" s="1" t="s">
        <v>3065</v>
      </c>
      <c r="D8204" s="1" t="s">
        <v>3067</v>
      </c>
    </row>
    <row r="8205">
      <c r="A8205" s="1" t="s">
        <v>16139</v>
      </c>
      <c r="B8205" s="2" t="s">
        <v>16140</v>
      </c>
      <c r="C8205" s="1" t="s">
        <v>3065</v>
      </c>
      <c r="D8205" s="1" t="s">
        <v>3067</v>
      </c>
    </row>
    <row r="8206">
      <c r="A8206" s="1" t="s">
        <v>16141</v>
      </c>
      <c r="B8206" s="2" t="s">
        <v>16142</v>
      </c>
      <c r="C8206" s="1" t="s">
        <v>3065</v>
      </c>
      <c r="D8206" s="1" t="s">
        <v>3067</v>
      </c>
    </row>
    <row r="8207">
      <c r="A8207" s="1" t="s">
        <v>16143</v>
      </c>
      <c r="B8207" s="2" t="s">
        <v>16144</v>
      </c>
      <c r="C8207" s="1" t="s">
        <v>3065</v>
      </c>
      <c r="D8207" s="1" t="s">
        <v>3067</v>
      </c>
    </row>
    <row r="8208">
      <c r="A8208" s="1" t="s">
        <v>16145</v>
      </c>
      <c r="B8208" s="2" t="s">
        <v>16146</v>
      </c>
      <c r="C8208" s="1" t="s">
        <v>3065</v>
      </c>
      <c r="D8208" s="1" t="s">
        <v>3067</v>
      </c>
    </row>
    <row r="8209">
      <c r="A8209" s="1" t="s">
        <v>16147</v>
      </c>
      <c r="B8209" s="2" t="s">
        <v>16148</v>
      </c>
      <c r="C8209" s="1" t="s">
        <v>3065</v>
      </c>
      <c r="D8209" s="1" t="s">
        <v>3067</v>
      </c>
    </row>
    <row r="8210">
      <c r="A8210" s="1" t="s">
        <v>16149</v>
      </c>
      <c r="B8210" s="2" t="s">
        <v>16150</v>
      </c>
      <c r="C8210" s="1" t="s">
        <v>3065</v>
      </c>
      <c r="D8210" s="1" t="s">
        <v>3067</v>
      </c>
    </row>
    <row r="8211">
      <c r="A8211" s="1" t="s">
        <v>16151</v>
      </c>
      <c r="B8211" s="2" t="s">
        <v>16152</v>
      </c>
      <c r="C8211" s="1" t="s">
        <v>3065</v>
      </c>
      <c r="D8211" s="1" t="s">
        <v>3067</v>
      </c>
    </row>
    <row r="8212">
      <c r="A8212" s="1" t="s">
        <v>16153</v>
      </c>
      <c r="B8212" s="2" t="s">
        <v>16154</v>
      </c>
      <c r="C8212" s="1" t="s">
        <v>3065</v>
      </c>
      <c r="D8212" s="1" t="s">
        <v>3067</v>
      </c>
    </row>
    <row r="8213">
      <c r="A8213" s="1" t="s">
        <v>16155</v>
      </c>
      <c r="B8213" s="2" t="s">
        <v>16156</v>
      </c>
      <c r="C8213" s="1" t="s">
        <v>3065</v>
      </c>
      <c r="D8213" s="1" t="s">
        <v>3067</v>
      </c>
    </row>
    <row r="8214">
      <c r="A8214" s="1" t="s">
        <v>16157</v>
      </c>
      <c r="B8214" s="2" t="s">
        <v>16158</v>
      </c>
      <c r="C8214" s="1" t="s">
        <v>3065</v>
      </c>
      <c r="D8214" s="1" t="s">
        <v>3067</v>
      </c>
    </row>
    <row r="8215">
      <c r="A8215" s="1" t="s">
        <v>16159</v>
      </c>
      <c r="B8215" s="2" t="s">
        <v>16160</v>
      </c>
      <c r="C8215" s="1" t="s">
        <v>3065</v>
      </c>
      <c r="D8215" s="1" t="s">
        <v>3067</v>
      </c>
    </row>
    <row r="8216">
      <c r="A8216" s="1" t="s">
        <v>16161</v>
      </c>
      <c r="B8216" s="2" t="s">
        <v>16162</v>
      </c>
      <c r="C8216" s="1" t="s">
        <v>3065</v>
      </c>
      <c r="D8216" s="1" t="s">
        <v>3067</v>
      </c>
    </row>
    <row r="8217">
      <c r="A8217" s="1" t="s">
        <v>16163</v>
      </c>
      <c r="B8217" s="2" t="s">
        <v>16164</v>
      </c>
      <c r="C8217" s="1" t="s">
        <v>3065</v>
      </c>
      <c r="D8217" s="1" t="s">
        <v>3067</v>
      </c>
    </row>
    <row r="8218">
      <c r="A8218" s="1" t="s">
        <v>16165</v>
      </c>
      <c r="B8218" s="2" t="s">
        <v>16166</v>
      </c>
      <c r="C8218" s="1" t="s">
        <v>3065</v>
      </c>
      <c r="D8218" s="1" t="s">
        <v>3067</v>
      </c>
    </row>
    <row r="8219">
      <c r="A8219" s="1" t="s">
        <v>16167</v>
      </c>
      <c r="B8219" s="2" t="s">
        <v>16168</v>
      </c>
      <c r="C8219" s="1" t="s">
        <v>3065</v>
      </c>
      <c r="D8219" s="1" t="s">
        <v>3067</v>
      </c>
    </row>
    <row r="8220">
      <c r="A8220" s="1" t="s">
        <v>16169</v>
      </c>
      <c r="B8220" s="2" t="s">
        <v>16170</v>
      </c>
      <c r="C8220" s="1" t="s">
        <v>3065</v>
      </c>
      <c r="D8220" s="1" t="s">
        <v>3067</v>
      </c>
    </row>
    <row r="8221">
      <c r="A8221" s="1" t="s">
        <v>16171</v>
      </c>
      <c r="B8221" s="2" t="s">
        <v>16172</v>
      </c>
      <c r="C8221" s="1" t="s">
        <v>3065</v>
      </c>
      <c r="D8221" s="1" t="s">
        <v>3067</v>
      </c>
    </row>
    <row r="8222">
      <c r="A8222" s="1" t="s">
        <v>16173</v>
      </c>
      <c r="B8222" s="2" t="s">
        <v>16174</v>
      </c>
      <c r="C8222" s="1" t="s">
        <v>3065</v>
      </c>
      <c r="D8222" s="1" t="s">
        <v>3067</v>
      </c>
    </row>
    <row r="8223">
      <c r="A8223" s="1" t="s">
        <v>16175</v>
      </c>
      <c r="B8223" s="2" t="s">
        <v>16176</v>
      </c>
      <c r="C8223" s="1" t="s">
        <v>3065</v>
      </c>
      <c r="D8223" s="1" t="s">
        <v>3067</v>
      </c>
    </row>
    <row r="8224">
      <c r="A8224" s="1" t="s">
        <v>16177</v>
      </c>
      <c r="B8224" s="2" t="s">
        <v>16178</v>
      </c>
      <c r="C8224" s="1" t="s">
        <v>3065</v>
      </c>
      <c r="D8224" s="1" t="s">
        <v>3067</v>
      </c>
    </row>
    <row r="8225">
      <c r="A8225" s="1" t="s">
        <v>16179</v>
      </c>
      <c r="B8225" s="2" t="s">
        <v>16180</v>
      </c>
      <c r="C8225" s="1" t="s">
        <v>3065</v>
      </c>
      <c r="D8225" s="1" t="s">
        <v>3067</v>
      </c>
    </row>
    <row r="8226">
      <c r="A8226" s="1" t="s">
        <v>16181</v>
      </c>
      <c r="B8226" s="2" t="s">
        <v>16182</v>
      </c>
      <c r="C8226" s="1" t="s">
        <v>3065</v>
      </c>
      <c r="D8226" s="1" t="s">
        <v>3067</v>
      </c>
    </row>
    <row r="8227">
      <c r="A8227" s="1" t="s">
        <v>16183</v>
      </c>
      <c r="B8227" s="2" t="s">
        <v>16184</v>
      </c>
      <c r="C8227" s="1" t="s">
        <v>3065</v>
      </c>
      <c r="D8227" s="1" t="s">
        <v>3067</v>
      </c>
    </row>
    <row r="8228">
      <c r="A8228" s="1" t="s">
        <v>16185</v>
      </c>
      <c r="B8228" s="2" t="s">
        <v>16186</v>
      </c>
      <c r="C8228" s="1" t="s">
        <v>3065</v>
      </c>
      <c r="D8228" s="1" t="s">
        <v>3067</v>
      </c>
    </row>
    <row r="8229">
      <c r="A8229" s="1" t="s">
        <v>16187</v>
      </c>
      <c r="B8229" s="2" t="s">
        <v>16188</v>
      </c>
      <c r="C8229" s="1" t="s">
        <v>3065</v>
      </c>
      <c r="D8229" s="1" t="s">
        <v>3067</v>
      </c>
    </row>
    <row r="8230">
      <c r="A8230" s="1" t="s">
        <v>16189</v>
      </c>
      <c r="B8230" s="2" t="s">
        <v>16190</v>
      </c>
      <c r="C8230" s="1" t="s">
        <v>3065</v>
      </c>
      <c r="D8230" s="1" t="s">
        <v>3067</v>
      </c>
    </row>
    <row r="8231">
      <c r="A8231" s="1" t="s">
        <v>16191</v>
      </c>
      <c r="B8231" s="2" t="s">
        <v>16192</v>
      </c>
      <c r="C8231" s="1" t="s">
        <v>3065</v>
      </c>
      <c r="D8231" s="1" t="s">
        <v>3067</v>
      </c>
    </row>
    <row r="8232">
      <c r="A8232" s="1" t="s">
        <v>16193</v>
      </c>
      <c r="B8232" s="2" t="s">
        <v>16194</v>
      </c>
      <c r="C8232" s="1" t="s">
        <v>3065</v>
      </c>
      <c r="D8232" s="1" t="s">
        <v>3067</v>
      </c>
    </row>
    <row r="8233">
      <c r="A8233" s="1" t="s">
        <v>16195</v>
      </c>
      <c r="B8233" s="2" t="s">
        <v>16196</v>
      </c>
      <c r="C8233" s="1" t="s">
        <v>3065</v>
      </c>
      <c r="D8233" s="1" t="s">
        <v>3067</v>
      </c>
    </row>
    <row r="8234">
      <c r="A8234" s="1" t="s">
        <v>16197</v>
      </c>
      <c r="B8234" s="2" t="s">
        <v>16198</v>
      </c>
      <c r="C8234" s="1" t="s">
        <v>3065</v>
      </c>
      <c r="D8234" s="1" t="s">
        <v>3067</v>
      </c>
    </row>
    <row r="8235">
      <c r="A8235" s="1" t="s">
        <v>16199</v>
      </c>
      <c r="B8235" s="2" t="s">
        <v>16200</v>
      </c>
      <c r="C8235" s="1" t="s">
        <v>3065</v>
      </c>
      <c r="D8235" s="1" t="s">
        <v>3067</v>
      </c>
    </row>
    <row r="8236">
      <c r="A8236" s="1" t="s">
        <v>16201</v>
      </c>
      <c r="B8236" s="2" t="s">
        <v>16202</v>
      </c>
      <c r="C8236" s="1" t="s">
        <v>3065</v>
      </c>
      <c r="D8236" s="1" t="s">
        <v>3067</v>
      </c>
    </row>
    <row r="8237">
      <c r="A8237" s="1" t="s">
        <v>16203</v>
      </c>
      <c r="B8237" s="2" t="s">
        <v>16204</v>
      </c>
      <c r="C8237" s="1" t="s">
        <v>3065</v>
      </c>
      <c r="D8237" s="1" t="s">
        <v>3067</v>
      </c>
    </row>
    <row r="8238">
      <c r="A8238" s="1" t="s">
        <v>16205</v>
      </c>
      <c r="B8238" s="2" t="s">
        <v>16206</v>
      </c>
      <c r="C8238" s="1" t="s">
        <v>3065</v>
      </c>
      <c r="D8238" s="1" t="s">
        <v>3067</v>
      </c>
    </row>
    <row r="8239">
      <c r="A8239" s="1" t="s">
        <v>16207</v>
      </c>
      <c r="B8239" s="2" t="s">
        <v>16208</v>
      </c>
      <c r="C8239" s="1" t="s">
        <v>3065</v>
      </c>
      <c r="D8239" s="1" t="s">
        <v>3067</v>
      </c>
    </row>
    <row r="8240">
      <c r="A8240" s="1" t="s">
        <v>16209</v>
      </c>
      <c r="B8240" s="2" t="s">
        <v>16210</v>
      </c>
      <c r="C8240" s="1" t="s">
        <v>3065</v>
      </c>
      <c r="D8240" s="1" t="s">
        <v>3067</v>
      </c>
    </row>
    <row r="8241">
      <c r="A8241" s="1" t="s">
        <v>16211</v>
      </c>
      <c r="B8241" s="2" t="s">
        <v>16212</v>
      </c>
      <c r="C8241" s="1" t="s">
        <v>3065</v>
      </c>
      <c r="D8241" s="1" t="s">
        <v>3067</v>
      </c>
    </row>
    <row r="8242">
      <c r="A8242" s="1" t="s">
        <v>16213</v>
      </c>
      <c r="B8242" s="2" t="s">
        <v>16214</v>
      </c>
      <c r="C8242" s="1" t="s">
        <v>3065</v>
      </c>
      <c r="D8242" s="1" t="s">
        <v>3067</v>
      </c>
    </row>
    <row r="8243">
      <c r="A8243" s="1" t="s">
        <v>16215</v>
      </c>
      <c r="B8243" s="2" t="s">
        <v>16216</v>
      </c>
      <c r="C8243" s="1" t="s">
        <v>3065</v>
      </c>
      <c r="D8243" s="1" t="s">
        <v>3067</v>
      </c>
    </row>
    <row r="8244">
      <c r="A8244" s="1" t="s">
        <v>16217</v>
      </c>
      <c r="B8244" s="2" t="s">
        <v>70</v>
      </c>
      <c r="C8244" s="1" t="s">
        <v>3065</v>
      </c>
      <c r="D8244" s="1" t="s">
        <v>3067</v>
      </c>
    </row>
    <row r="8245">
      <c r="A8245" s="1" t="s">
        <v>16218</v>
      </c>
      <c r="B8245" s="2" t="s">
        <v>16219</v>
      </c>
      <c r="C8245" s="1" t="s">
        <v>3065</v>
      </c>
      <c r="D8245" s="1" t="s">
        <v>3067</v>
      </c>
    </row>
    <row r="8246">
      <c r="A8246" s="1" t="s">
        <v>16220</v>
      </c>
      <c r="B8246" s="2" t="s">
        <v>16221</v>
      </c>
      <c r="C8246" s="1" t="s">
        <v>3065</v>
      </c>
      <c r="D8246" s="1" t="s">
        <v>3067</v>
      </c>
    </row>
    <row r="8247">
      <c r="A8247" s="1" t="s">
        <v>16222</v>
      </c>
      <c r="B8247" s="2" t="s">
        <v>16223</v>
      </c>
      <c r="C8247" s="1" t="s">
        <v>3065</v>
      </c>
      <c r="D8247" s="1" t="s">
        <v>3067</v>
      </c>
    </row>
    <row r="8248">
      <c r="A8248" s="1" t="s">
        <v>16224</v>
      </c>
      <c r="B8248" s="2" t="s">
        <v>16225</v>
      </c>
      <c r="C8248" s="1" t="s">
        <v>3065</v>
      </c>
      <c r="D8248" s="1" t="s">
        <v>3067</v>
      </c>
    </row>
    <row r="8249">
      <c r="A8249" s="1" t="s">
        <v>16226</v>
      </c>
      <c r="B8249" s="2" t="s">
        <v>16227</v>
      </c>
      <c r="C8249" s="1" t="s">
        <v>3065</v>
      </c>
      <c r="D8249" s="1" t="s">
        <v>3067</v>
      </c>
    </row>
    <row r="8250">
      <c r="A8250" s="1" t="s">
        <v>16228</v>
      </c>
      <c r="B8250" s="2" t="s">
        <v>16229</v>
      </c>
      <c r="C8250" s="1" t="s">
        <v>3065</v>
      </c>
      <c r="D8250" s="1" t="s">
        <v>3067</v>
      </c>
    </row>
    <row r="8251">
      <c r="A8251" s="1" t="s">
        <v>16230</v>
      </c>
      <c r="B8251" s="2" t="s">
        <v>16231</v>
      </c>
      <c r="C8251" s="1" t="s">
        <v>3065</v>
      </c>
      <c r="D8251" s="1" t="s">
        <v>3067</v>
      </c>
    </row>
    <row r="8252">
      <c r="A8252" s="1" t="s">
        <v>16232</v>
      </c>
      <c r="B8252" s="2" t="s">
        <v>16233</v>
      </c>
      <c r="C8252" s="1" t="s">
        <v>3065</v>
      </c>
      <c r="D8252" s="1" t="s">
        <v>3067</v>
      </c>
    </row>
    <row r="8253">
      <c r="A8253" s="1" t="s">
        <v>16234</v>
      </c>
      <c r="B8253" s="2" t="s">
        <v>16235</v>
      </c>
      <c r="C8253" s="1" t="s">
        <v>3065</v>
      </c>
      <c r="D8253" s="1" t="s">
        <v>3067</v>
      </c>
    </row>
    <row r="8254">
      <c r="A8254" s="1" t="s">
        <v>16236</v>
      </c>
      <c r="B8254" s="2" t="s">
        <v>16237</v>
      </c>
      <c r="C8254" s="1" t="s">
        <v>3065</v>
      </c>
      <c r="D8254" s="1" t="s">
        <v>3067</v>
      </c>
    </row>
    <row r="8255">
      <c r="A8255" s="1" t="s">
        <v>16238</v>
      </c>
      <c r="B8255" s="2" t="s">
        <v>16239</v>
      </c>
      <c r="C8255" s="1" t="s">
        <v>3065</v>
      </c>
      <c r="D8255" s="1" t="s">
        <v>3067</v>
      </c>
    </row>
    <row r="8256">
      <c r="A8256" s="1" t="s">
        <v>16240</v>
      </c>
      <c r="B8256" s="2" t="s">
        <v>16241</v>
      </c>
      <c r="C8256" s="1" t="s">
        <v>3065</v>
      </c>
      <c r="D8256" s="1" t="s">
        <v>3067</v>
      </c>
    </row>
    <row r="8257">
      <c r="A8257" s="1" t="s">
        <v>16242</v>
      </c>
      <c r="B8257" s="2" t="s">
        <v>16243</v>
      </c>
      <c r="C8257" s="1" t="s">
        <v>3065</v>
      </c>
      <c r="D8257" s="1" t="s">
        <v>3067</v>
      </c>
    </row>
    <row r="8258">
      <c r="A8258" s="1" t="s">
        <v>16244</v>
      </c>
      <c r="B8258" s="2" t="s">
        <v>16245</v>
      </c>
      <c r="C8258" s="1" t="s">
        <v>3065</v>
      </c>
      <c r="D8258" s="1" t="s">
        <v>3067</v>
      </c>
    </row>
    <row r="8259">
      <c r="A8259" s="1" t="s">
        <v>16246</v>
      </c>
      <c r="B8259" s="2" t="s">
        <v>16247</v>
      </c>
      <c r="C8259" s="1" t="s">
        <v>3065</v>
      </c>
      <c r="D8259" s="1" t="s">
        <v>3067</v>
      </c>
    </row>
    <row r="8260">
      <c r="A8260" s="1" t="s">
        <v>16248</v>
      </c>
      <c r="B8260" s="2" t="s">
        <v>16249</v>
      </c>
      <c r="C8260" s="1" t="s">
        <v>3065</v>
      </c>
      <c r="D8260" s="1" t="s">
        <v>3067</v>
      </c>
    </row>
    <row r="8261">
      <c r="A8261" s="1" t="s">
        <v>16250</v>
      </c>
      <c r="B8261" s="2" t="s">
        <v>16251</v>
      </c>
      <c r="C8261" s="1" t="s">
        <v>3065</v>
      </c>
      <c r="D8261" s="1" t="s">
        <v>3067</v>
      </c>
    </row>
    <row r="8262">
      <c r="A8262" s="1" t="s">
        <v>16252</v>
      </c>
      <c r="B8262" s="2" t="s">
        <v>16253</v>
      </c>
      <c r="C8262" s="1" t="s">
        <v>3065</v>
      </c>
      <c r="D8262" s="1" t="s">
        <v>3067</v>
      </c>
    </row>
    <row r="8263">
      <c r="A8263" s="1" t="s">
        <v>16254</v>
      </c>
      <c r="B8263" s="2" t="s">
        <v>16255</v>
      </c>
      <c r="C8263" s="1" t="s">
        <v>3065</v>
      </c>
      <c r="D8263" s="1" t="s">
        <v>3067</v>
      </c>
    </row>
    <row r="8264">
      <c r="A8264" s="1" t="s">
        <v>16256</v>
      </c>
      <c r="B8264" s="2" t="s">
        <v>16257</v>
      </c>
      <c r="C8264" s="1" t="s">
        <v>3065</v>
      </c>
      <c r="D8264" s="1" t="s">
        <v>3067</v>
      </c>
    </row>
    <row r="8265">
      <c r="A8265" s="1" t="s">
        <v>16258</v>
      </c>
      <c r="B8265" s="2" t="s">
        <v>16259</v>
      </c>
      <c r="C8265" s="1" t="s">
        <v>3065</v>
      </c>
      <c r="D8265" s="1" t="s">
        <v>3067</v>
      </c>
    </row>
    <row r="8266">
      <c r="A8266" s="1" t="s">
        <v>16260</v>
      </c>
      <c r="B8266" s="2" t="s">
        <v>16261</v>
      </c>
      <c r="C8266" s="1" t="s">
        <v>3065</v>
      </c>
      <c r="D8266" s="1" t="s">
        <v>3067</v>
      </c>
    </row>
    <row r="8267">
      <c r="A8267" s="1" t="s">
        <v>16262</v>
      </c>
      <c r="B8267" s="2" t="s">
        <v>16263</v>
      </c>
      <c r="C8267" s="1" t="s">
        <v>3065</v>
      </c>
      <c r="D8267" s="1" t="s">
        <v>3067</v>
      </c>
    </row>
    <row r="8268">
      <c r="A8268" s="1" t="s">
        <v>16264</v>
      </c>
      <c r="B8268" s="2" t="s">
        <v>16265</v>
      </c>
      <c r="C8268" s="1" t="s">
        <v>3065</v>
      </c>
      <c r="D8268" s="1" t="s">
        <v>3067</v>
      </c>
    </row>
    <row r="8269">
      <c r="A8269" s="1" t="s">
        <v>16266</v>
      </c>
      <c r="B8269" s="2" t="s">
        <v>16267</v>
      </c>
      <c r="C8269" s="1" t="s">
        <v>3065</v>
      </c>
      <c r="D8269" s="1" t="s">
        <v>3067</v>
      </c>
    </row>
    <row r="8270">
      <c r="A8270" s="1" t="s">
        <v>16268</v>
      </c>
      <c r="B8270" s="2" t="s">
        <v>16269</v>
      </c>
      <c r="C8270" s="1" t="s">
        <v>3065</v>
      </c>
      <c r="D8270" s="1" t="s">
        <v>3067</v>
      </c>
    </row>
    <row r="8271">
      <c r="A8271" s="1" t="s">
        <v>16270</v>
      </c>
      <c r="B8271" s="2" t="s">
        <v>16271</v>
      </c>
      <c r="C8271" s="1" t="s">
        <v>3065</v>
      </c>
      <c r="D8271" s="1" t="s">
        <v>3067</v>
      </c>
    </row>
    <row r="8272">
      <c r="A8272" s="1" t="s">
        <v>16272</v>
      </c>
      <c r="B8272" s="2" t="s">
        <v>16273</v>
      </c>
      <c r="C8272" s="1" t="s">
        <v>3065</v>
      </c>
      <c r="D8272" s="1" t="s">
        <v>3067</v>
      </c>
    </row>
    <row r="8273">
      <c r="A8273" s="1" t="s">
        <v>16274</v>
      </c>
      <c r="B8273" s="2" t="s">
        <v>16275</v>
      </c>
      <c r="C8273" s="1" t="s">
        <v>3065</v>
      </c>
      <c r="D8273" s="1" t="s">
        <v>3067</v>
      </c>
    </row>
    <row r="8274">
      <c r="A8274" s="1" t="s">
        <v>16276</v>
      </c>
      <c r="B8274" s="2" t="s">
        <v>16277</v>
      </c>
      <c r="C8274" s="1" t="s">
        <v>3065</v>
      </c>
      <c r="D8274" s="1" t="s">
        <v>3067</v>
      </c>
    </row>
    <row r="8275">
      <c r="A8275" s="1" t="s">
        <v>16278</v>
      </c>
      <c r="B8275" s="2" t="s">
        <v>16279</v>
      </c>
      <c r="C8275" s="1" t="s">
        <v>3065</v>
      </c>
      <c r="D8275" s="1" t="s">
        <v>3067</v>
      </c>
    </row>
    <row r="8276">
      <c r="A8276" s="1" t="s">
        <v>16280</v>
      </c>
      <c r="B8276" s="2" t="s">
        <v>16281</v>
      </c>
      <c r="C8276" s="1" t="s">
        <v>3065</v>
      </c>
      <c r="D8276" s="1" t="s">
        <v>3067</v>
      </c>
    </row>
    <row r="8277">
      <c r="A8277" s="1" t="s">
        <v>16282</v>
      </c>
      <c r="B8277" s="2" t="s">
        <v>16283</v>
      </c>
      <c r="C8277" s="1" t="s">
        <v>3065</v>
      </c>
      <c r="D8277" s="1" t="s">
        <v>3067</v>
      </c>
    </row>
    <row r="8278">
      <c r="A8278" s="1" t="s">
        <v>16284</v>
      </c>
      <c r="B8278" s="2" t="s">
        <v>16285</v>
      </c>
      <c r="C8278" s="1" t="s">
        <v>3065</v>
      </c>
      <c r="D8278" s="1" t="s">
        <v>3067</v>
      </c>
    </row>
    <row r="8279">
      <c r="A8279" s="1" t="s">
        <v>16286</v>
      </c>
      <c r="B8279" s="2" t="s">
        <v>16287</v>
      </c>
      <c r="C8279" s="1" t="s">
        <v>3065</v>
      </c>
      <c r="D8279" s="1" t="s">
        <v>3067</v>
      </c>
    </row>
    <row r="8280">
      <c r="A8280" s="1" t="s">
        <v>16288</v>
      </c>
      <c r="B8280" s="2" t="s">
        <v>16289</v>
      </c>
      <c r="C8280" s="1" t="s">
        <v>3065</v>
      </c>
      <c r="D8280" s="1" t="s">
        <v>3067</v>
      </c>
    </row>
    <row r="8281">
      <c r="A8281" s="1" t="s">
        <v>16290</v>
      </c>
      <c r="B8281" s="2" t="s">
        <v>16291</v>
      </c>
      <c r="C8281" s="1" t="s">
        <v>3065</v>
      </c>
      <c r="D8281" s="1" t="s">
        <v>3067</v>
      </c>
    </row>
    <row r="8282">
      <c r="A8282" s="1" t="s">
        <v>16292</v>
      </c>
      <c r="B8282" s="2" t="s">
        <v>16293</v>
      </c>
      <c r="C8282" s="1" t="s">
        <v>3065</v>
      </c>
      <c r="D8282" s="1" t="s">
        <v>3067</v>
      </c>
    </row>
    <row r="8283">
      <c r="A8283" s="1" t="s">
        <v>16294</v>
      </c>
      <c r="B8283" s="2" t="s">
        <v>16295</v>
      </c>
      <c r="C8283" s="1" t="s">
        <v>3065</v>
      </c>
      <c r="D8283" s="1" t="s">
        <v>3067</v>
      </c>
    </row>
    <row r="8284">
      <c r="A8284" s="1" t="s">
        <v>16296</v>
      </c>
      <c r="B8284" s="2" t="s">
        <v>16297</v>
      </c>
      <c r="C8284" s="1" t="s">
        <v>3065</v>
      </c>
      <c r="D8284" s="1" t="s">
        <v>3067</v>
      </c>
    </row>
    <row r="8285">
      <c r="A8285" s="1" t="s">
        <v>3069</v>
      </c>
      <c r="B8285" s="2" t="s">
        <v>7</v>
      </c>
      <c r="C8285" s="1" t="s">
        <v>95</v>
      </c>
      <c r="D8285" s="1" t="s">
        <v>3071</v>
      </c>
    </row>
    <row r="8286">
      <c r="A8286" s="1" t="s">
        <v>16298</v>
      </c>
      <c r="B8286" s="2" t="s">
        <v>13</v>
      </c>
      <c r="C8286" s="1" t="s">
        <v>95</v>
      </c>
      <c r="D8286" s="1" t="s">
        <v>3071</v>
      </c>
    </row>
    <row r="8287">
      <c r="A8287" s="1" t="s">
        <v>16299</v>
      </c>
      <c r="B8287" s="2" t="s">
        <v>16300</v>
      </c>
      <c r="C8287" s="1" t="s">
        <v>95</v>
      </c>
      <c r="D8287" s="1" t="s">
        <v>3071</v>
      </c>
    </row>
    <row r="8288">
      <c r="A8288" s="1" t="s">
        <v>16301</v>
      </c>
      <c r="B8288" s="2" t="s">
        <v>16302</v>
      </c>
      <c r="C8288" s="1" t="s">
        <v>95</v>
      </c>
      <c r="D8288" s="1" t="s">
        <v>3071</v>
      </c>
    </row>
    <row r="8289">
      <c r="A8289" s="1" t="s">
        <v>16303</v>
      </c>
      <c r="B8289" s="2" t="s">
        <v>16304</v>
      </c>
      <c r="C8289" s="1" t="s">
        <v>95</v>
      </c>
      <c r="D8289" s="1" t="s">
        <v>3071</v>
      </c>
    </row>
    <row r="8290">
      <c r="A8290" s="1" t="s">
        <v>16305</v>
      </c>
      <c r="B8290" s="2" t="s">
        <v>16306</v>
      </c>
      <c r="C8290" s="1" t="s">
        <v>95</v>
      </c>
      <c r="D8290" s="1" t="s">
        <v>3071</v>
      </c>
    </row>
    <row r="8291">
      <c r="A8291" s="1" t="s">
        <v>16307</v>
      </c>
      <c r="B8291" s="2" t="s">
        <v>16308</v>
      </c>
      <c r="C8291" s="1" t="s">
        <v>95</v>
      </c>
      <c r="D8291" s="1" t="s">
        <v>3071</v>
      </c>
    </row>
    <row r="8292">
      <c r="A8292" s="1" t="s">
        <v>16309</v>
      </c>
      <c r="B8292" s="2" t="s">
        <v>16310</v>
      </c>
      <c r="C8292" s="1" t="s">
        <v>95</v>
      </c>
      <c r="D8292" s="1" t="s">
        <v>3071</v>
      </c>
    </row>
    <row r="8293">
      <c r="A8293" s="1" t="s">
        <v>16311</v>
      </c>
      <c r="B8293" s="2" t="s">
        <v>16312</v>
      </c>
      <c r="C8293" s="1" t="s">
        <v>95</v>
      </c>
      <c r="D8293" s="1" t="s">
        <v>3071</v>
      </c>
    </row>
    <row r="8294">
      <c r="A8294" s="1" t="s">
        <v>16313</v>
      </c>
      <c r="B8294" s="2" t="s">
        <v>16314</v>
      </c>
      <c r="C8294" s="1" t="s">
        <v>95</v>
      </c>
      <c r="D8294" s="1" t="s">
        <v>3071</v>
      </c>
    </row>
    <row r="8295">
      <c r="A8295" s="1" t="s">
        <v>16315</v>
      </c>
      <c r="B8295" s="2" t="s">
        <v>16316</v>
      </c>
      <c r="C8295" s="1" t="s">
        <v>95</v>
      </c>
      <c r="D8295" s="1" t="s">
        <v>3071</v>
      </c>
    </row>
    <row r="8296">
      <c r="A8296" s="1" t="s">
        <v>16317</v>
      </c>
      <c r="B8296" s="2" t="s">
        <v>16318</v>
      </c>
      <c r="C8296" s="1" t="s">
        <v>95</v>
      </c>
      <c r="D8296" s="1" t="s">
        <v>3071</v>
      </c>
    </row>
    <row r="8297">
      <c r="A8297" s="1" t="s">
        <v>16319</v>
      </c>
      <c r="B8297" s="2" t="s">
        <v>16320</v>
      </c>
      <c r="C8297" s="1" t="s">
        <v>95</v>
      </c>
      <c r="D8297" s="1" t="s">
        <v>3071</v>
      </c>
    </row>
    <row r="8298">
      <c r="A8298" s="1" t="s">
        <v>16321</v>
      </c>
      <c r="B8298" s="2" t="s">
        <v>16322</v>
      </c>
      <c r="C8298" s="1" t="s">
        <v>95</v>
      </c>
      <c r="D8298" s="1" t="s">
        <v>3071</v>
      </c>
    </row>
    <row r="8299">
      <c r="A8299" s="1" t="s">
        <v>16323</v>
      </c>
      <c r="B8299" s="2" t="s">
        <v>16324</v>
      </c>
      <c r="C8299" s="1" t="s">
        <v>95</v>
      </c>
      <c r="D8299" s="1" t="s">
        <v>3071</v>
      </c>
    </row>
    <row r="8300">
      <c r="A8300" s="1" t="s">
        <v>16325</v>
      </c>
      <c r="B8300" s="2" t="s">
        <v>16326</v>
      </c>
      <c r="C8300" s="1" t="s">
        <v>95</v>
      </c>
      <c r="D8300" s="1" t="s">
        <v>3071</v>
      </c>
    </row>
    <row r="8301">
      <c r="A8301" s="1" t="s">
        <v>16327</v>
      </c>
      <c r="B8301" s="2" t="s">
        <v>16328</v>
      </c>
      <c r="C8301" s="1" t="s">
        <v>95</v>
      </c>
      <c r="D8301" s="1" t="s">
        <v>3071</v>
      </c>
    </row>
    <row r="8302">
      <c r="A8302" s="1" t="s">
        <v>16329</v>
      </c>
      <c r="B8302" s="2" t="s">
        <v>16330</v>
      </c>
      <c r="C8302" s="1" t="s">
        <v>95</v>
      </c>
      <c r="D8302" s="1" t="s">
        <v>3071</v>
      </c>
    </row>
    <row r="8303">
      <c r="A8303" s="1" t="s">
        <v>16331</v>
      </c>
      <c r="B8303" s="2" t="s">
        <v>70</v>
      </c>
      <c r="C8303" s="1" t="s">
        <v>95</v>
      </c>
      <c r="D8303" s="1" t="s">
        <v>3071</v>
      </c>
    </row>
    <row r="8304">
      <c r="A8304" s="1" t="s">
        <v>16332</v>
      </c>
      <c r="B8304" s="2" t="s">
        <v>16333</v>
      </c>
      <c r="C8304" s="1" t="s">
        <v>95</v>
      </c>
      <c r="D8304" s="1" t="s">
        <v>3071</v>
      </c>
    </row>
    <row r="8305">
      <c r="A8305" s="1" t="s">
        <v>16334</v>
      </c>
      <c r="B8305" s="2" t="s">
        <v>16335</v>
      </c>
      <c r="C8305" s="1" t="s">
        <v>95</v>
      </c>
      <c r="D8305" s="1" t="s">
        <v>3071</v>
      </c>
    </row>
    <row r="8306">
      <c r="A8306" s="1" t="s">
        <v>16336</v>
      </c>
      <c r="B8306" s="2" t="s">
        <v>16337</v>
      </c>
      <c r="C8306" s="1" t="s">
        <v>95</v>
      </c>
      <c r="D8306" s="1" t="s">
        <v>3071</v>
      </c>
    </row>
    <row r="8307">
      <c r="A8307" s="1" t="s">
        <v>16338</v>
      </c>
      <c r="B8307" s="2" t="s">
        <v>16339</v>
      </c>
      <c r="C8307" s="1" t="s">
        <v>95</v>
      </c>
      <c r="D8307" s="1" t="s">
        <v>3071</v>
      </c>
    </row>
    <row r="8308">
      <c r="A8308" s="1" t="s">
        <v>16340</v>
      </c>
      <c r="B8308" s="2" t="s">
        <v>16341</v>
      </c>
      <c r="C8308" s="1" t="s">
        <v>95</v>
      </c>
      <c r="D8308" s="1" t="s">
        <v>3071</v>
      </c>
    </row>
    <row r="8309">
      <c r="A8309" s="1" t="s">
        <v>16342</v>
      </c>
      <c r="B8309" s="2" t="s">
        <v>16343</v>
      </c>
      <c r="C8309" s="1" t="s">
        <v>95</v>
      </c>
      <c r="D8309" s="1" t="s">
        <v>3071</v>
      </c>
    </row>
    <row r="8310">
      <c r="A8310" s="1" t="s">
        <v>16344</v>
      </c>
      <c r="B8310" s="2" t="s">
        <v>16345</v>
      </c>
      <c r="C8310" s="1" t="s">
        <v>95</v>
      </c>
      <c r="D8310" s="1" t="s">
        <v>3071</v>
      </c>
    </row>
    <row r="8311">
      <c r="A8311" s="1" t="s">
        <v>16346</v>
      </c>
      <c r="B8311" s="2" t="s">
        <v>16347</v>
      </c>
      <c r="C8311" s="1" t="s">
        <v>95</v>
      </c>
      <c r="D8311" s="1" t="s">
        <v>3071</v>
      </c>
    </row>
    <row r="8312">
      <c r="A8312" s="1" t="s">
        <v>16348</v>
      </c>
      <c r="B8312" s="2" t="s">
        <v>16349</v>
      </c>
      <c r="C8312" s="1" t="s">
        <v>95</v>
      </c>
      <c r="D8312" s="1" t="s">
        <v>3071</v>
      </c>
    </row>
    <row r="8313">
      <c r="A8313" s="1" t="s">
        <v>16350</v>
      </c>
      <c r="B8313" s="2" t="s">
        <v>16351</v>
      </c>
      <c r="C8313" s="1" t="s">
        <v>95</v>
      </c>
      <c r="D8313" s="1" t="s">
        <v>3071</v>
      </c>
    </row>
    <row r="8314">
      <c r="A8314" s="1" t="s">
        <v>16352</v>
      </c>
      <c r="B8314" s="2" t="s">
        <v>16353</v>
      </c>
      <c r="C8314" s="1" t="s">
        <v>95</v>
      </c>
      <c r="D8314" s="1" t="s">
        <v>3071</v>
      </c>
    </row>
    <row r="8315">
      <c r="A8315" s="1" t="s">
        <v>16354</v>
      </c>
      <c r="B8315" s="2" t="s">
        <v>16355</v>
      </c>
      <c r="C8315" s="1" t="s">
        <v>95</v>
      </c>
      <c r="D8315" s="1" t="s">
        <v>3071</v>
      </c>
    </row>
    <row r="8316">
      <c r="A8316" s="1" t="s">
        <v>16356</v>
      </c>
      <c r="B8316" s="2" t="s">
        <v>16357</v>
      </c>
      <c r="C8316" s="1" t="s">
        <v>95</v>
      </c>
      <c r="D8316" s="1" t="s">
        <v>3071</v>
      </c>
    </row>
    <row r="8317">
      <c r="A8317" s="1" t="s">
        <v>16358</v>
      </c>
      <c r="B8317" s="2" t="s">
        <v>16359</v>
      </c>
      <c r="C8317" s="1" t="s">
        <v>95</v>
      </c>
      <c r="D8317" s="1" t="s">
        <v>3071</v>
      </c>
    </row>
    <row r="8318">
      <c r="A8318" s="1" t="s">
        <v>16360</v>
      </c>
      <c r="B8318" s="2" t="s">
        <v>16361</v>
      </c>
      <c r="C8318" s="1" t="s">
        <v>95</v>
      </c>
      <c r="D8318" s="1" t="s">
        <v>3071</v>
      </c>
    </row>
    <row r="8319">
      <c r="A8319" s="1" t="s">
        <v>16362</v>
      </c>
      <c r="B8319" s="2" t="s">
        <v>16363</v>
      </c>
      <c r="C8319" s="1" t="s">
        <v>95</v>
      </c>
      <c r="D8319" s="1" t="s">
        <v>3071</v>
      </c>
    </row>
    <row r="8320">
      <c r="A8320" s="1" t="s">
        <v>3078</v>
      </c>
      <c r="B8320" s="2" t="s">
        <v>7</v>
      </c>
      <c r="C8320" s="1" t="s">
        <v>115</v>
      </c>
      <c r="D8320" s="1" t="s">
        <v>3082</v>
      </c>
    </row>
    <row r="8321">
      <c r="A8321" s="1" t="s">
        <v>16364</v>
      </c>
      <c r="B8321" s="2" t="s">
        <v>16365</v>
      </c>
      <c r="C8321" s="1" t="s">
        <v>115</v>
      </c>
      <c r="D8321" s="1" t="s">
        <v>3082</v>
      </c>
    </row>
    <row r="8322">
      <c r="A8322" s="1" t="s">
        <v>16366</v>
      </c>
      <c r="B8322" s="2" t="s">
        <v>16367</v>
      </c>
      <c r="C8322" s="1" t="s">
        <v>115</v>
      </c>
      <c r="D8322" s="1" t="s">
        <v>3082</v>
      </c>
    </row>
    <row r="8323">
      <c r="A8323" s="1" t="s">
        <v>16368</v>
      </c>
      <c r="B8323" s="2" t="s">
        <v>16369</v>
      </c>
      <c r="C8323" s="1" t="s">
        <v>115</v>
      </c>
      <c r="D8323" s="1" t="s">
        <v>3082</v>
      </c>
    </row>
    <row r="8324">
      <c r="A8324" s="1" t="s">
        <v>16370</v>
      </c>
      <c r="B8324" s="2" t="s">
        <v>16371</v>
      </c>
      <c r="C8324" s="1" t="s">
        <v>115</v>
      </c>
      <c r="D8324" s="1" t="s">
        <v>3082</v>
      </c>
    </row>
    <row r="8325">
      <c r="A8325" s="1" t="s">
        <v>16372</v>
      </c>
      <c r="B8325" s="2" t="s">
        <v>16373</v>
      </c>
      <c r="C8325" s="1" t="s">
        <v>115</v>
      </c>
      <c r="D8325" s="1" t="s">
        <v>3082</v>
      </c>
    </row>
    <row r="8326">
      <c r="A8326" s="1" t="s">
        <v>16374</v>
      </c>
      <c r="B8326" s="2" t="s">
        <v>16375</v>
      </c>
      <c r="C8326" s="1" t="s">
        <v>115</v>
      </c>
      <c r="D8326" s="1" t="s">
        <v>3082</v>
      </c>
    </row>
    <row r="8327">
      <c r="A8327" s="1" t="s">
        <v>16376</v>
      </c>
      <c r="B8327" s="2" t="s">
        <v>16377</v>
      </c>
      <c r="C8327" s="1" t="s">
        <v>115</v>
      </c>
      <c r="D8327" s="1" t="s">
        <v>3082</v>
      </c>
    </row>
    <row r="8328">
      <c r="A8328" s="1" t="s">
        <v>16378</v>
      </c>
      <c r="B8328" s="2" t="s">
        <v>16379</v>
      </c>
      <c r="C8328" s="1" t="s">
        <v>115</v>
      </c>
      <c r="D8328" s="1" t="s">
        <v>3082</v>
      </c>
    </row>
    <row r="8329">
      <c r="A8329" s="1" t="s">
        <v>16380</v>
      </c>
      <c r="B8329" s="2" t="s">
        <v>16381</v>
      </c>
      <c r="C8329" s="1" t="s">
        <v>115</v>
      </c>
      <c r="D8329" s="1" t="s">
        <v>3082</v>
      </c>
    </row>
    <row r="8330">
      <c r="A8330" s="1" t="s">
        <v>16382</v>
      </c>
      <c r="B8330" s="2" t="s">
        <v>16383</v>
      </c>
      <c r="C8330" s="1" t="s">
        <v>115</v>
      </c>
      <c r="D8330" s="1" t="s">
        <v>3082</v>
      </c>
    </row>
    <row r="8331">
      <c r="A8331" s="1" t="s">
        <v>16384</v>
      </c>
      <c r="B8331" s="2" t="s">
        <v>16385</v>
      </c>
      <c r="C8331" s="1" t="s">
        <v>115</v>
      </c>
      <c r="D8331" s="1" t="s">
        <v>3082</v>
      </c>
    </row>
    <row r="8332">
      <c r="A8332" s="1" t="s">
        <v>16386</v>
      </c>
      <c r="B8332" s="2" t="s">
        <v>16387</v>
      </c>
      <c r="C8332" s="1" t="s">
        <v>115</v>
      </c>
      <c r="D8332" s="1" t="s">
        <v>3082</v>
      </c>
    </row>
    <row r="8333">
      <c r="A8333" s="1" t="s">
        <v>16388</v>
      </c>
      <c r="B8333" s="2" t="s">
        <v>16389</v>
      </c>
      <c r="C8333" s="1" t="s">
        <v>115</v>
      </c>
      <c r="D8333" s="1" t="s">
        <v>3082</v>
      </c>
    </row>
    <row r="8334">
      <c r="A8334" s="1" t="s">
        <v>16390</v>
      </c>
      <c r="B8334" s="2" t="s">
        <v>16391</v>
      </c>
      <c r="C8334" s="1" t="s">
        <v>115</v>
      </c>
      <c r="D8334" s="1" t="s">
        <v>3082</v>
      </c>
    </row>
    <row r="8335">
      <c r="A8335" s="1" t="s">
        <v>16392</v>
      </c>
      <c r="B8335" s="2" t="s">
        <v>16393</v>
      </c>
      <c r="C8335" s="1" t="s">
        <v>115</v>
      </c>
      <c r="D8335" s="1" t="s">
        <v>3082</v>
      </c>
    </row>
    <row r="8336">
      <c r="A8336" s="1" t="s">
        <v>16394</v>
      </c>
      <c r="B8336" s="2" t="s">
        <v>16395</v>
      </c>
      <c r="C8336" s="1" t="s">
        <v>115</v>
      </c>
      <c r="D8336" s="1" t="s">
        <v>3082</v>
      </c>
    </row>
    <row r="8337">
      <c r="A8337" s="1" t="s">
        <v>16396</v>
      </c>
      <c r="B8337" s="2" t="s">
        <v>16397</v>
      </c>
      <c r="C8337" s="1" t="s">
        <v>115</v>
      </c>
      <c r="D8337" s="1" t="s">
        <v>3082</v>
      </c>
    </row>
    <row r="8338">
      <c r="A8338" s="1" t="s">
        <v>16398</v>
      </c>
      <c r="B8338" s="2" t="s">
        <v>16399</v>
      </c>
      <c r="C8338" s="1" t="s">
        <v>115</v>
      </c>
      <c r="D8338" s="1" t="s">
        <v>3082</v>
      </c>
    </row>
    <row r="8339">
      <c r="A8339" s="1" t="s">
        <v>16400</v>
      </c>
      <c r="B8339" s="2" t="s">
        <v>16401</v>
      </c>
      <c r="C8339" s="1" t="s">
        <v>115</v>
      </c>
      <c r="D8339" s="1" t="s">
        <v>3082</v>
      </c>
    </row>
    <row r="8340">
      <c r="A8340" s="1" t="s">
        <v>16402</v>
      </c>
      <c r="B8340" s="2" t="s">
        <v>16403</v>
      </c>
      <c r="C8340" s="1" t="s">
        <v>115</v>
      </c>
      <c r="D8340" s="1" t="s">
        <v>3082</v>
      </c>
    </row>
    <row r="8341">
      <c r="A8341" s="1" t="s">
        <v>16404</v>
      </c>
      <c r="B8341" s="2" t="s">
        <v>6072</v>
      </c>
      <c r="C8341" s="1" t="s">
        <v>115</v>
      </c>
      <c r="D8341" s="1" t="s">
        <v>3082</v>
      </c>
    </row>
    <row r="8342">
      <c r="A8342" s="1" t="s">
        <v>16405</v>
      </c>
      <c r="B8342" s="2" t="s">
        <v>16406</v>
      </c>
      <c r="C8342" s="1" t="s">
        <v>115</v>
      </c>
      <c r="D8342" s="1" t="s">
        <v>3082</v>
      </c>
    </row>
    <row r="8343">
      <c r="A8343" s="1" t="s">
        <v>16407</v>
      </c>
      <c r="B8343" s="2" t="s">
        <v>16408</v>
      </c>
      <c r="C8343" s="1" t="s">
        <v>115</v>
      </c>
      <c r="D8343" s="1" t="s">
        <v>3082</v>
      </c>
    </row>
    <row r="8344">
      <c r="A8344" s="1" t="s">
        <v>16409</v>
      </c>
      <c r="B8344" s="2" t="s">
        <v>16410</v>
      </c>
      <c r="C8344" s="1" t="s">
        <v>115</v>
      </c>
      <c r="D8344" s="1" t="s">
        <v>3082</v>
      </c>
    </row>
    <row r="8345">
      <c r="A8345" s="1" t="s">
        <v>3086</v>
      </c>
      <c r="B8345" s="2" t="s">
        <v>7</v>
      </c>
      <c r="C8345" s="1" t="s">
        <v>3088</v>
      </c>
      <c r="D8345" s="1" t="s">
        <v>3090</v>
      </c>
    </row>
    <row r="8346">
      <c r="A8346" s="1" t="s">
        <v>16411</v>
      </c>
      <c r="B8346" s="2" t="s">
        <v>13</v>
      </c>
      <c r="C8346" s="1" t="s">
        <v>3088</v>
      </c>
      <c r="D8346" s="1" t="s">
        <v>3090</v>
      </c>
    </row>
    <row r="8347">
      <c r="A8347" s="1" t="s">
        <v>16412</v>
      </c>
      <c r="B8347" s="2" t="s">
        <v>16413</v>
      </c>
      <c r="C8347" s="1" t="s">
        <v>3088</v>
      </c>
      <c r="D8347" s="1" t="s">
        <v>3090</v>
      </c>
    </row>
    <row r="8348">
      <c r="A8348" s="1" t="s">
        <v>16414</v>
      </c>
      <c r="B8348" s="2" t="s">
        <v>16415</v>
      </c>
      <c r="C8348" s="1" t="s">
        <v>3088</v>
      </c>
      <c r="D8348" s="1" t="s">
        <v>3090</v>
      </c>
    </row>
    <row r="8349">
      <c r="A8349" s="1" t="s">
        <v>16416</v>
      </c>
      <c r="B8349" s="2" t="s">
        <v>16417</v>
      </c>
      <c r="C8349" s="1" t="s">
        <v>3088</v>
      </c>
      <c r="D8349" s="1" t="s">
        <v>3090</v>
      </c>
    </row>
    <row r="8350">
      <c r="A8350" s="1" t="s">
        <v>16418</v>
      </c>
      <c r="B8350" s="2" t="s">
        <v>16419</v>
      </c>
      <c r="C8350" s="1" t="s">
        <v>3088</v>
      </c>
      <c r="D8350" s="1" t="s">
        <v>3090</v>
      </c>
    </row>
    <row r="8351">
      <c r="A8351" s="1" t="s">
        <v>16420</v>
      </c>
      <c r="B8351" s="2" t="s">
        <v>16421</v>
      </c>
      <c r="C8351" s="1" t="s">
        <v>3088</v>
      </c>
      <c r="D8351" s="1" t="s">
        <v>3090</v>
      </c>
    </row>
    <row r="8352">
      <c r="A8352" s="1" t="s">
        <v>16422</v>
      </c>
      <c r="B8352" s="2" t="s">
        <v>16423</v>
      </c>
      <c r="C8352" s="1" t="s">
        <v>3088</v>
      </c>
      <c r="D8352" s="1" t="s">
        <v>3090</v>
      </c>
    </row>
    <row r="8353">
      <c r="A8353" s="1" t="s">
        <v>16424</v>
      </c>
      <c r="B8353" s="2" t="s">
        <v>16425</v>
      </c>
      <c r="C8353" s="1" t="s">
        <v>3088</v>
      </c>
      <c r="D8353" s="1" t="s">
        <v>3090</v>
      </c>
    </row>
    <row r="8354">
      <c r="A8354" s="1" t="s">
        <v>16426</v>
      </c>
      <c r="B8354" s="2" t="s">
        <v>16427</v>
      </c>
      <c r="C8354" s="1" t="s">
        <v>3088</v>
      </c>
      <c r="D8354" s="1" t="s">
        <v>3090</v>
      </c>
    </row>
    <row r="8355">
      <c r="A8355" s="1" t="s">
        <v>16428</v>
      </c>
      <c r="B8355" s="2" t="s">
        <v>16429</v>
      </c>
      <c r="C8355" s="1" t="s">
        <v>3088</v>
      </c>
      <c r="D8355" s="1" t="s">
        <v>3090</v>
      </c>
    </row>
    <row r="8356">
      <c r="A8356" s="1" t="s">
        <v>16430</v>
      </c>
      <c r="B8356" s="2" t="s">
        <v>16431</v>
      </c>
      <c r="C8356" s="1" t="s">
        <v>3088</v>
      </c>
      <c r="D8356" s="1" t="s">
        <v>3090</v>
      </c>
    </row>
    <row r="8357">
      <c r="A8357" s="1" t="s">
        <v>16432</v>
      </c>
      <c r="B8357" s="2" t="s">
        <v>16433</v>
      </c>
      <c r="C8357" s="1" t="s">
        <v>3088</v>
      </c>
      <c r="D8357" s="1" t="s">
        <v>3090</v>
      </c>
    </row>
    <row r="8358">
      <c r="A8358" s="1" t="s">
        <v>16434</v>
      </c>
      <c r="B8358" s="2" t="s">
        <v>16435</v>
      </c>
      <c r="C8358" s="1" t="s">
        <v>3088</v>
      </c>
      <c r="D8358" s="1" t="s">
        <v>3090</v>
      </c>
    </row>
    <row r="8359">
      <c r="A8359" s="1" t="s">
        <v>16436</v>
      </c>
      <c r="B8359" s="2" t="s">
        <v>16202</v>
      </c>
      <c r="C8359" s="1" t="s">
        <v>3088</v>
      </c>
      <c r="D8359" s="1" t="s">
        <v>3090</v>
      </c>
    </row>
    <row r="8360">
      <c r="A8360" s="1" t="s">
        <v>16437</v>
      </c>
      <c r="B8360" s="2" t="s">
        <v>16438</v>
      </c>
      <c r="C8360" s="1" t="s">
        <v>3088</v>
      </c>
      <c r="D8360" s="1" t="s">
        <v>3090</v>
      </c>
    </row>
    <row r="8361">
      <c r="A8361" s="1" t="s">
        <v>16439</v>
      </c>
      <c r="B8361" s="2" t="s">
        <v>16440</v>
      </c>
      <c r="C8361" s="1" t="s">
        <v>3088</v>
      </c>
      <c r="D8361" s="1" t="s">
        <v>3090</v>
      </c>
    </row>
    <row r="8362">
      <c r="A8362" s="1" t="s">
        <v>16441</v>
      </c>
      <c r="B8362" s="2" t="s">
        <v>16442</v>
      </c>
      <c r="C8362" s="1" t="s">
        <v>3088</v>
      </c>
      <c r="D8362" s="1" t="s">
        <v>3090</v>
      </c>
    </row>
    <row r="8363">
      <c r="A8363" s="1" t="s">
        <v>16443</v>
      </c>
      <c r="B8363" s="2" t="s">
        <v>16444</v>
      </c>
      <c r="C8363" s="1" t="s">
        <v>3088</v>
      </c>
      <c r="D8363" s="1" t="s">
        <v>3090</v>
      </c>
    </row>
    <row r="8364">
      <c r="A8364" s="1" t="s">
        <v>16445</v>
      </c>
      <c r="B8364" s="2" t="s">
        <v>16446</v>
      </c>
      <c r="C8364" s="1" t="s">
        <v>3088</v>
      </c>
      <c r="D8364" s="1" t="s">
        <v>3090</v>
      </c>
    </row>
    <row r="8365">
      <c r="A8365" s="1" t="s">
        <v>16447</v>
      </c>
      <c r="B8365" s="2" t="s">
        <v>70</v>
      </c>
      <c r="C8365" s="1" t="s">
        <v>3088</v>
      </c>
      <c r="D8365" s="1" t="s">
        <v>3090</v>
      </c>
    </row>
    <row r="8366">
      <c r="A8366" s="1" t="s">
        <v>16448</v>
      </c>
      <c r="B8366" s="2" t="s">
        <v>16449</v>
      </c>
      <c r="C8366" s="1" t="s">
        <v>3088</v>
      </c>
      <c r="D8366" s="1" t="s">
        <v>3090</v>
      </c>
    </row>
    <row r="8367">
      <c r="A8367" s="1" t="s">
        <v>16450</v>
      </c>
      <c r="B8367" s="2" t="s">
        <v>16451</v>
      </c>
      <c r="C8367" s="1" t="s">
        <v>3088</v>
      </c>
      <c r="D8367" s="1" t="s">
        <v>3090</v>
      </c>
    </row>
    <row r="8368">
      <c r="A8368" s="1" t="s">
        <v>16452</v>
      </c>
      <c r="B8368" s="2" t="s">
        <v>16453</v>
      </c>
      <c r="C8368" s="1" t="s">
        <v>3088</v>
      </c>
      <c r="D8368" s="1" t="s">
        <v>3090</v>
      </c>
    </row>
    <row r="8369">
      <c r="A8369" s="1" t="s">
        <v>16454</v>
      </c>
      <c r="B8369" s="2" t="s">
        <v>16455</v>
      </c>
      <c r="C8369" s="1" t="s">
        <v>3088</v>
      </c>
      <c r="D8369" s="1" t="s">
        <v>3090</v>
      </c>
    </row>
    <row r="8370">
      <c r="A8370" s="1" t="s">
        <v>16456</v>
      </c>
      <c r="B8370" s="2" t="s">
        <v>16457</v>
      </c>
      <c r="C8370" s="1" t="s">
        <v>3088</v>
      </c>
      <c r="D8370" s="1" t="s">
        <v>3090</v>
      </c>
    </row>
    <row r="8371">
      <c r="A8371" s="1" t="s">
        <v>16458</v>
      </c>
      <c r="B8371" s="2" t="s">
        <v>16459</v>
      </c>
      <c r="C8371" s="1" t="s">
        <v>3088</v>
      </c>
      <c r="D8371" s="1" t="s">
        <v>3090</v>
      </c>
    </row>
    <row r="8372">
      <c r="A8372" s="1" t="s">
        <v>16460</v>
      </c>
      <c r="B8372" s="2" t="s">
        <v>16461</v>
      </c>
      <c r="C8372" s="1" t="s">
        <v>3088</v>
      </c>
      <c r="D8372" s="1" t="s">
        <v>3090</v>
      </c>
    </row>
    <row r="8373">
      <c r="A8373" s="1" t="s">
        <v>16462</v>
      </c>
      <c r="B8373" s="2" t="s">
        <v>16463</v>
      </c>
      <c r="C8373" s="1" t="s">
        <v>3088</v>
      </c>
      <c r="D8373" s="1" t="s">
        <v>3090</v>
      </c>
    </row>
    <row r="8374">
      <c r="A8374" s="1" t="s">
        <v>16464</v>
      </c>
      <c r="B8374" s="2" t="s">
        <v>16465</v>
      </c>
      <c r="C8374" s="1" t="s">
        <v>3088</v>
      </c>
      <c r="D8374" s="1" t="s">
        <v>3090</v>
      </c>
    </row>
    <row r="8375">
      <c r="A8375" s="1" t="s">
        <v>16466</v>
      </c>
      <c r="B8375" s="2" t="s">
        <v>16467</v>
      </c>
      <c r="C8375" s="1" t="s">
        <v>3088</v>
      </c>
      <c r="D8375" s="1" t="s">
        <v>3090</v>
      </c>
    </row>
    <row r="8376">
      <c r="A8376" s="1" t="s">
        <v>16468</v>
      </c>
      <c r="B8376" s="2" t="s">
        <v>16469</v>
      </c>
      <c r="C8376" s="1" t="s">
        <v>3088</v>
      </c>
      <c r="D8376" s="1" t="s">
        <v>3090</v>
      </c>
    </row>
    <row r="8377">
      <c r="A8377" s="1" t="s">
        <v>16470</v>
      </c>
      <c r="B8377" s="2" t="s">
        <v>16471</v>
      </c>
      <c r="C8377" s="1" t="s">
        <v>3088</v>
      </c>
      <c r="D8377" s="1" t="s">
        <v>3090</v>
      </c>
    </row>
    <row r="8378">
      <c r="A8378" s="1" t="s">
        <v>16472</v>
      </c>
      <c r="B8378" s="2" t="s">
        <v>16283</v>
      </c>
      <c r="C8378" s="1" t="s">
        <v>3088</v>
      </c>
      <c r="D8378" s="1" t="s">
        <v>3090</v>
      </c>
    </row>
    <row r="8379">
      <c r="A8379" s="1" t="s">
        <v>16473</v>
      </c>
      <c r="B8379" s="2" t="s">
        <v>16474</v>
      </c>
      <c r="C8379" s="1" t="s">
        <v>3088</v>
      </c>
      <c r="D8379" s="1" t="s">
        <v>3090</v>
      </c>
    </row>
    <row r="8380">
      <c r="A8380" s="1" t="s">
        <v>16475</v>
      </c>
      <c r="B8380" s="2" t="s">
        <v>16476</v>
      </c>
      <c r="C8380" s="1" t="s">
        <v>3088</v>
      </c>
      <c r="D8380" s="1" t="s">
        <v>3090</v>
      </c>
    </row>
    <row r="8381">
      <c r="A8381" s="1" t="s">
        <v>16477</v>
      </c>
      <c r="B8381" s="2" t="s">
        <v>16478</v>
      </c>
      <c r="C8381" s="1" t="s">
        <v>3088</v>
      </c>
      <c r="D8381" s="1" t="s">
        <v>3090</v>
      </c>
    </row>
    <row r="8382">
      <c r="A8382" s="1" t="s">
        <v>16479</v>
      </c>
      <c r="B8382" s="2" t="s">
        <v>16480</v>
      </c>
      <c r="C8382" s="1" t="s">
        <v>3088</v>
      </c>
      <c r="D8382" s="1" t="s">
        <v>3090</v>
      </c>
    </row>
    <row r="8383">
      <c r="A8383" s="1" t="s">
        <v>16481</v>
      </c>
      <c r="B8383" s="2" t="s">
        <v>16482</v>
      </c>
      <c r="C8383" s="1" t="s">
        <v>3088</v>
      </c>
      <c r="D8383" s="1" t="s">
        <v>3090</v>
      </c>
    </row>
    <row r="8384">
      <c r="A8384" s="1" t="s">
        <v>3094</v>
      </c>
      <c r="B8384" s="2" t="s">
        <v>7</v>
      </c>
      <c r="C8384" s="1" t="s">
        <v>3095</v>
      </c>
      <c r="D8384" s="1" t="s">
        <v>3096</v>
      </c>
    </row>
    <row r="8385">
      <c r="A8385" s="1" t="s">
        <v>16483</v>
      </c>
      <c r="B8385" s="2" t="s">
        <v>16484</v>
      </c>
      <c r="C8385" s="1" t="s">
        <v>3095</v>
      </c>
      <c r="D8385" s="1" t="s">
        <v>3096</v>
      </c>
    </row>
    <row r="8386">
      <c r="A8386" s="1" t="s">
        <v>16485</v>
      </c>
      <c r="B8386" s="2" t="s">
        <v>16486</v>
      </c>
      <c r="C8386" s="1" t="s">
        <v>3095</v>
      </c>
      <c r="D8386" s="1" t="s">
        <v>3096</v>
      </c>
    </row>
    <row r="8387">
      <c r="A8387" s="1" t="s">
        <v>16487</v>
      </c>
      <c r="B8387" s="2" t="s">
        <v>16488</v>
      </c>
      <c r="C8387" s="1" t="s">
        <v>3095</v>
      </c>
      <c r="D8387" s="1" t="s">
        <v>3096</v>
      </c>
    </row>
    <row r="8388">
      <c r="A8388" s="1" t="s">
        <v>16489</v>
      </c>
      <c r="B8388" s="2" t="s">
        <v>16490</v>
      </c>
      <c r="C8388" s="1" t="s">
        <v>3095</v>
      </c>
      <c r="D8388" s="1" t="s">
        <v>3096</v>
      </c>
    </row>
    <row r="8389">
      <c r="A8389" s="1" t="s">
        <v>16491</v>
      </c>
      <c r="B8389" s="2" t="s">
        <v>16492</v>
      </c>
      <c r="C8389" s="1" t="s">
        <v>3095</v>
      </c>
      <c r="D8389" s="1" t="s">
        <v>3096</v>
      </c>
    </row>
    <row r="8390">
      <c r="A8390" s="1" t="s">
        <v>16493</v>
      </c>
      <c r="B8390" s="2" t="s">
        <v>16494</v>
      </c>
      <c r="C8390" s="1" t="s">
        <v>3095</v>
      </c>
      <c r="D8390" s="1" t="s">
        <v>3096</v>
      </c>
    </row>
    <row r="8391">
      <c r="A8391" s="1" t="s">
        <v>16495</v>
      </c>
      <c r="B8391" s="2" t="s">
        <v>16496</v>
      </c>
      <c r="C8391" s="1" t="s">
        <v>3095</v>
      </c>
      <c r="D8391" s="1" t="s">
        <v>3096</v>
      </c>
    </row>
    <row r="8392">
      <c r="A8392" s="1" t="s">
        <v>16497</v>
      </c>
      <c r="B8392" s="2" t="s">
        <v>16498</v>
      </c>
      <c r="C8392" s="1" t="s">
        <v>3095</v>
      </c>
      <c r="D8392" s="1" t="s">
        <v>3096</v>
      </c>
    </row>
    <row r="8393">
      <c r="A8393" s="1" t="s">
        <v>16499</v>
      </c>
      <c r="B8393" s="2" t="s">
        <v>16500</v>
      </c>
      <c r="C8393" s="1" t="s">
        <v>3095</v>
      </c>
      <c r="D8393" s="1" t="s">
        <v>3096</v>
      </c>
    </row>
    <row r="8394">
      <c r="A8394" s="1" t="s">
        <v>16501</v>
      </c>
      <c r="B8394" s="2" t="s">
        <v>16502</v>
      </c>
      <c r="C8394" s="1" t="s">
        <v>3095</v>
      </c>
      <c r="D8394" s="1" t="s">
        <v>3096</v>
      </c>
    </row>
    <row r="8395">
      <c r="A8395" s="1" t="s">
        <v>16503</v>
      </c>
      <c r="B8395" s="2" t="s">
        <v>16504</v>
      </c>
      <c r="C8395" s="1" t="s">
        <v>3095</v>
      </c>
      <c r="D8395" s="1" t="s">
        <v>3096</v>
      </c>
    </row>
    <row r="8396">
      <c r="A8396" s="1" t="s">
        <v>16505</v>
      </c>
      <c r="B8396" s="2" t="s">
        <v>16506</v>
      </c>
      <c r="C8396" s="1" t="s">
        <v>3095</v>
      </c>
      <c r="D8396" s="1" t="s">
        <v>3096</v>
      </c>
    </row>
    <row r="8397">
      <c r="A8397" s="1" t="s">
        <v>16507</v>
      </c>
      <c r="B8397" s="2" t="s">
        <v>16508</v>
      </c>
      <c r="C8397" s="1" t="s">
        <v>3095</v>
      </c>
      <c r="D8397" s="1" t="s">
        <v>3096</v>
      </c>
    </row>
    <row r="8398">
      <c r="A8398" s="1" t="s">
        <v>16509</v>
      </c>
      <c r="B8398" s="2" t="s">
        <v>16510</v>
      </c>
      <c r="C8398" s="1" t="s">
        <v>3095</v>
      </c>
      <c r="D8398" s="1" t="s">
        <v>3096</v>
      </c>
    </row>
    <row r="8399">
      <c r="A8399" s="1" t="s">
        <v>16511</v>
      </c>
      <c r="B8399" s="2" t="s">
        <v>16512</v>
      </c>
      <c r="C8399" s="1" t="s">
        <v>3095</v>
      </c>
      <c r="D8399" s="1" t="s">
        <v>3096</v>
      </c>
    </row>
    <row r="8400">
      <c r="A8400" s="1" t="s">
        <v>3099</v>
      </c>
      <c r="B8400" s="2" t="s">
        <v>7</v>
      </c>
      <c r="C8400" s="1" t="s">
        <v>3101</v>
      </c>
      <c r="D8400" s="1" t="s">
        <v>3103</v>
      </c>
    </row>
    <row r="8401">
      <c r="A8401" s="1" t="s">
        <v>16513</v>
      </c>
      <c r="B8401" s="2" t="s">
        <v>16484</v>
      </c>
      <c r="C8401" s="1" t="s">
        <v>3101</v>
      </c>
      <c r="D8401" s="1" t="s">
        <v>3103</v>
      </c>
    </row>
    <row r="8402">
      <c r="A8402" s="1" t="s">
        <v>16514</v>
      </c>
      <c r="B8402" s="2" t="s">
        <v>16486</v>
      </c>
      <c r="C8402" s="1" t="s">
        <v>3101</v>
      </c>
      <c r="D8402" s="1" t="s">
        <v>3103</v>
      </c>
    </row>
    <row r="8403">
      <c r="A8403" s="1" t="s">
        <v>16515</v>
      </c>
      <c r="B8403" s="2" t="s">
        <v>16488</v>
      </c>
      <c r="C8403" s="1" t="s">
        <v>3101</v>
      </c>
      <c r="D8403" s="1" t="s">
        <v>3103</v>
      </c>
    </row>
    <row r="8404">
      <c r="A8404" s="1" t="s">
        <v>16516</v>
      </c>
      <c r="B8404" s="2" t="s">
        <v>16490</v>
      </c>
      <c r="C8404" s="1" t="s">
        <v>3101</v>
      </c>
      <c r="D8404" s="1" t="s">
        <v>3103</v>
      </c>
    </row>
    <row r="8405">
      <c r="A8405" s="1" t="s">
        <v>16517</v>
      </c>
      <c r="B8405" s="2" t="s">
        <v>16492</v>
      </c>
      <c r="C8405" s="1" t="s">
        <v>3101</v>
      </c>
      <c r="D8405" s="1" t="s">
        <v>3103</v>
      </c>
    </row>
    <row r="8406">
      <c r="A8406" s="1" t="s">
        <v>16518</v>
      </c>
      <c r="B8406" s="2" t="s">
        <v>16494</v>
      </c>
      <c r="C8406" s="1" t="s">
        <v>3101</v>
      </c>
      <c r="D8406" s="1" t="s">
        <v>3103</v>
      </c>
    </row>
    <row r="8407">
      <c r="A8407" s="1" t="s">
        <v>16519</v>
      </c>
      <c r="B8407" s="2" t="s">
        <v>16496</v>
      </c>
      <c r="C8407" s="1" t="s">
        <v>3101</v>
      </c>
      <c r="D8407" s="1" t="s">
        <v>3103</v>
      </c>
    </row>
    <row r="8408">
      <c r="A8408" s="1" t="s">
        <v>16520</v>
      </c>
      <c r="B8408" s="2" t="s">
        <v>16498</v>
      </c>
      <c r="C8408" s="1" t="s">
        <v>3101</v>
      </c>
      <c r="D8408" s="1" t="s">
        <v>3103</v>
      </c>
    </row>
    <row r="8409">
      <c r="A8409" s="1" t="s">
        <v>16521</v>
      </c>
      <c r="B8409" s="2" t="s">
        <v>16500</v>
      </c>
      <c r="C8409" s="1" t="s">
        <v>3101</v>
      </c>
      <c r="D8409" s="1" t="s">
        <v>3103</v>
      </c>
    </row>
    <row r="8410">
      <c r="A8410" s="1" t="s">
        <v>16522</v>
      </c>
      <c r="B8410" s="2" t="s">
        <v>16502</v>
      </c>
      <c r="C8410" s="1" t="s">
        <v>3101</v>
      </c>
      <c r="D8410" s="1" t="s">
        <v>3103</v>
      </c>
    </row>
    <row r="8411">
      <c r="A8411" s="1" t="s">
        <v>16523</v>
      </c>
      <c r="B8411" s="2" t="s">
        <v>16504</v>
      </c>
      <c r="C8411" s="1" t="s">
        <v>3101</v>
      </c>
      <c r="D8411" s="1" t="s">
        <v>3103</v>
      </c>
    </row>
    <row r="8412">
      <c r="A8412" s="1" t="s">
        <v>16524</v>
      </c>
      <c r="B8412" s="2" t="s">
        <v>16506</v>
      </c>
      <c r="C8412" s="1" t="s">
        <v>3101</v>
      </c>
      <c r="D8412" s="1" t="s">
        <v>3103</v>
      </c>
    </row>
    <row r="8413">
      <c r="A8413" s="1" t="s">
        <v>16525</v>
      </c>
      <c r="B8413" s="2" t="s">
        <v>16508</v>
      </c>
      <c r="C8413" s="1" t="s">
        <v>3101</v>
      </c>
      <c r="D8413" s="1" t="s">
        <v>3103</v>
      </c>
    </row>
    <row r="8414">
      <c r="A8414" s="1" t="s">
        <v>16526</v>
      </c>
      <c r="B8414" s="2" t="s">
        <v>16510</v>
      </c>
      <c r="C8414" s="1" t="s">
        <v>3101</v>
      </c>
      <c r="D8414" s="1" t="s">
        <v>3103</v>
      </c>
    </row>
    <row r="8415">
      <c r="A8415" s="1" t="s">
        <v>16527</v>
      </c>
      <c r="B8415" s="2" t="s">
        <v>16512</v>
      </c>
      <c r="C8415" s="1" t="s">
        <v>3101</v>
      </c>
      <c r="D8415" s="1" t="s">
        <v>3103</v>
      </c>
    </row>
    <row r="8416">
      <c r="A8416" s="1" t="s">
        <v>16528</v>
      </c>
      <c r="B8416" s="2" t="s">
        <v>13</v>
      </c>
      <c r="C8416" s="1" t="s">
        <v>3101</v>
      </c>
      <c r="D8416" s="1" t="s">
        <v>3103</v>
      </c>
    </row>
    <row r="8417">
      <c r="A8417" s="1" t="s">
        <v>16529</v>
      </c>
      <c r="B8417" s="2" t="s">
        <v>16530</v>
      </c>
      <c r="C8417" s="1" t="s">
        <v>3101</v>
      </c>
      <c r="D8417" s="1" t="s">
        <v>3103</v>
      </c>
    </row>
    <row r="8418">
      <c r="A8418" s="1" t="s">
        <v>16531</v>
      </c>
      <c r="B8418" s="2" t="s">
        <v>16532</v>
      </c>
      <c r="C8418" s="1" t="s">
        <v>3101</v>
      </c>
      <c r="D8418" s="1" t="s">
        <v>3103</v>
      </c>
    </row>
    <row r="8419">
      <c r="A8419" s="1" t="s">
        <v>16533</v>
      </c>
      <c r="B8419" s="2" t="s">
        <v>16534</v>
      </c>
      <c r="C8419" s="1" t="s">
        <v>3101</v>
      </c>
      <c r="D8419" s="1" t="s">
        <v>3103</v>
      </c>
    </row>
    <row r="8420">
      <c r="A8420" s="1" t="s">
        <v>16535</v>
      </c>
      <c r="B8420" s="2" t="s">
        <v>16536</v>
      </c>
      <c r="C8420" s="1" t="s">
        <v>3101</v>
      </c>
      <c r="D8420" s="1" t="s">
        <v>3103</v>
      </c>
    </row>
    <row r="8421">
      <c r="A8421" s="1" t="s">
        <v>16537</v>
      </c>
      <c r="B8421" s="2" t="s">
        <v>16538</v>
      </c>
      <c r="C8421" s="1" t="s">
        <v>3101</v>
      </c>
      <c r="D8421" s="1" t="s">
        <v>3103</v>
      </c>
    </row>
    <row r="8422">
      <c r="A8422" s="1" t="s">
        <v>16539</v>
      </c>
      <c r="B8422" s="2" t="s">
        <v>16540</v>
      </c>
      <c r="C8422" s="1" t="s">
        <v>3101</v>
      </c>
      <c r="D8422" s="1" t="s">
        <v>3103</v>
      </c>
    </row>
    <row r="8423">
      <c r="A8423" s="1" t="s">
        <v>16541</v>
      </c>
      <c r="B8423" s="2" t="s">
        <v>16542</v>
      </c>
      <c r="C8423" s="1" t="s">
        <v>3101</v>
      </c>
      <c r="D8423" s="1" t="s">
        <v>3103</v>
      </c>
    </row>
    <row r="8424">
      <c r="A8424" s="1" t="s">
        <v>16543</v>
      </c>
      <c r="B8424" s="2" t="s">
        <v>16544</v>
      </c>
      <c r="C8424" s="1" t="s">
        <v>3101</v>
      </c>
      <c r="D8424" s="1" t="s">
        <v>3103</v>
      </c>
    </row>
    <row r="8425">
      <c r="A8425" s="1" t="s">
        <v>16545</v>
      </c>
      <c r="B8425" s="2" t="s">
        <v>16546</v>
      </c>
      <c r="C8425" s="1" t="s">
        <v>3101</v>
      </c>
      <c r="D8425" s="1" t="s">
        <v>3103</v>
      </c>
    </row>
    <row r="8426">
      <c r="A8426" s="1" t="s">
        <v>16547</v>
      </c>
      <c r="B8426" s="2" t="s">
        <v>16548</v>
      </c>
      <c r="C8426" s="1" t="s">
        <v>3101</v>
      </c>
      <c r="D8426" s="1" t="s">
        <v>3103</v>
      </c>
    </row>
    <row r="8427">
      <c r="A8427" s="1" t="s">
        <v>16549</v>
      </c>
      <c r="B8427" s="2" t="s">
        <v>16550</v>
      </c>
      <c r="C8427" s="1" t="s">
        <v>3101</v>
      </c>
      <c r="D8427" s="1" t="s">
        <v>3103</v>
      </c>
    </row>
    <row r="8428">
      <c r="A8428" s="1" t="s">
        <v>16551</v>
      </c>
      <c r="B8428" s="2" t="s">
        <v>16552</v>
      </c>
      <c r="C8428" s="1" t="s">
        <v>3101</v>
      </c>
      <c r="D8428" s="1" t="s">
        <v>3103</v>
      </c>
    </row>
    <row r="8429">
      <c r="A8429" s="1" t="s">
        <v>16553</v>
      </c>
      <c r="B8429" s="2" t="s">
        <v>16554</v>
      </c>
      <c r="C8429" s="1" t="s">
        <v>3101</v>
      </c>
      <c r="D8429" s="1" t="s">
        <v>3103</v>
      </c>
    </row>
    <row r="8430">
      <c r="A8430" s="1" t="s">
        <v>16555</v>
      </c>
      <c r="B8430" s="2" t="s">
        <v>16556</v>
      </c>
      <c r="C8430" s="1" t="s">
        <v>3101</v>
      </c>
      <c r="D8430" s="1" t="s">
        <v>3103</v>
      </c>
    </row>
    <row r="8431">
      <c r="A8431" s="1" t="s">
        <v>16557</v>
      </c>
      <c r="B8431" s="2" t="s">
        <v>16558</v>
      </c>
      <c r="C8431" s="1" t="s">
        <v>3101</v>
      </c>
      <c r="D8431" s="1" t="s">
        <v>3103</v>
      </c>
    </row>
    <row r="8432">
      <c r="A8432" s="1" t="s">
        <v>16559</v>
      </c>
      <c r="B8432" s="2" t="s">
        <v>70</v>
      </c>
      <c r="C8432" s="1" t="s">
        <v>3101</v>
      </c>
      <c r="D8432" s="1" t="s">
        <v>3103</v>
      </c>
    </row>
    <row r="8433">
      <c r="A8433" s="1" t="s">
        <v>16560</v>
      </c>
      <c r="B8433" s="2" t="s">
        <v>16561</v>
      </c>
      <c r="C8433" s="1" t="s">
        <v>3101</v>
      </c>
      <c r="D8433" s="1" t="s">
        <v>3103</v>
      </c>
    </row>
    <row r="8434">
      <c r="A8434" s="1" t="s">
        <v>16562</v>
      </c>
      <c r="B8434" s="2" t="s">
        <v>16563</v>
      </c>
      <c r="C8434" s="1" t="s">
        <v>3101</v>
      </c>
      <c r="D8434" s="1" t="s">
        <v>3103</v>
      </c>
    </row>
    <row r="8435">
      <c r="A8435" s="1" t="s">
        <v>16564</v>
      </c>
      <c r="B8435" s="2" t="s">
        <v>16565</v>
      </c>
      <c r="C8435" s="1" t="s">
        <v>3101</v>
      </c>
      <c r="D8435" s="1" t="s">
        <v>3103</v>
      </c>
    </row>
    <row r="8436">
      <c r="A8436" s="1" t="s">
        <v>16566</v>
      </c>
      <c r="B8436" s="2" t="s">
        <v>16567</v>
      </c>
      <c r="C8436" s="1" t="s">
        <v>3101</v>
      </c>
      <c r="D8436" s="1" t="s">
        <v>3103</v>
      </c>
    </row>
    <row r="8437">
      <c r="A8437" s="1" t="s">
        <v>16568</v>
      </c>
      <c r="B8437" s="2" t="s">
        <v>16569</v>
      </c>
      <c r="C8437" s="1" t="s">
        <v>3101</v>
      </c>
      <c r="D8437" s="1" t="s">
        <v>3103</v>
      </c>
    </row>
    <row r="8438">
      <c r="A8438" s="1" t="s">
        <v>16570</v>
      </c>
      <c r="B8438" s="2" t="s">
        <v>16571</v>
      </c>
      <c r="C8438" s="1" t="s">
        <v>3101</v>
      </c>
      <c r="D8438" s="1" t="s">
        <v>3103</v>
      </c>
    </row>
    <row r="8439">
      <c r="A8439" s="1" t="s">
        <v>16572</v>
      </c>
      <c r="B8439" s="2" t="s">
        <v>16573</v>
      </c>
      <c r="C8439" s="1" t="s">
        <v>3101</v>
      </c>
      <c r="D8439" s="1" t="s">
        <v>3103</v>
      </c>
    </row>
    <row r="8440">
      <c r="A8440" s="1" t="s">
        <v>16574</v>
      </c>
      <c r="B8440" s="2" t="s">
        <v>16575</v>
      </c>
      <c r="C8440" s="1" t="s">
        <v>3101</v>
      </c>
      <c r="D8440" s="1" t="s">
        <v>3103</v>
      </c>
    </row>
    <row r="8441">
      <c r="A8441" s="1" t="s">
        <v>16576</v>
      </c>
      <c r="B8441" s="2" t="s">
        <v>16577</v>
      </c>
      <c r="C8441" s="1" t="s">
        <v>3101</v>
      </c>
      <c r="D8441" s="1" t="s">
        <v>3103</v>
      </c>
    </row>
    <row r="8442">
      <c r="A8442" s="1" t="s">
        <v>16578</v>
      </c>
      <c r="B8442" s="2" t="s">
        <v>16579</v>
      </c>
      <c r="C8442" s="1" t="s">
        <v>3101</v>
      </c>
      <c r="D8442" s="1" t="s">
        <v>3103</v>
      </c>
    </row>
    <row r="8443">
      <c r="A8443" s="1" t="s">
        <v>16580</v>
      </c>
      <c r="B8443" s="2" t="s">
        <v>16581</v>
      </c>
      <c r="C8443" s="1" t="s">
        <v>3101</v>
      </c>
      <c r="D8443" s="1" t="s">
        <v>3103</v>
      </c>
    </row>
    <row r="8444">
      <c r="A8444" s="1" t="s">
        <v>16582</v>
      </c>
      <c r="B8444" s="2" t="s">
        <v>16583</v>
      </c>
      <c r="C8444" s="1" t="s">
        <v>3101</v>
      </c>
      <c r="D8444" s="1" t="s">
        <v>3103</v>
      </c>
    </row>
    <row r="8445">
      <c r="A8445" s="1" t="s">
        <v>16584</v>
      </c>
      <c r="B8445" s="2" t="s">
        <v>16585</v>
      </c>
      <c r="C8445" s="1" t="s">
        <v>3101</v>
      </c>
      <c r="D8445" s="1" t="s">
        <v>3103</v>
      </c>
    </row>
    <row r="8446">
      <c r="A8446" s="1" t="s">
        <v>16586</v>
      </c>
      <c r="B8446" s="2" t="s">
        <v>16587</v>
      </c>
      <c r="C8446" s="1" t="s">
        <v>3101</v>
      </c>
      <c r="D8446" s="1" t="s">
        <v>3103</v>
      </c>
    </row>
    <row r="8447">
      <c r="A8447" s="1" t="s">
        <v>16588</v>
      </c>
      <c r="B8447" s="2" t="s">
        <v>16589</v>
      </c>
      <c r="C8447" s="1" t="s">
        <v>3101</v>
      </c>
      <c r="D8447" s="1" t="s">
        <v>3103</v>
      </c>
    </row>
    <row r="8448">
      <c r="A8448" s="1" t="s">
        <v>3108</v>
      </c>
      <c r="B8448" s="2" t="s">
        <v>7</v>
      </c>
      <c r="C8448" s="1" t="s">
        <v>3109</v>
      </c>
      <c r="D8448" s="1" t="s">
        <v>3111</v>
      </c>
    </row>
    <row r="8449">
      <c r="A8449" s="1" t="s">
        <v>16590</v>
      </c>
      <c r="B8449" s="2" t="s">
        <v>16591</v>
      </c>
      <c r="C8449" s="1" t="s">
        <v>3109</v>
      </c>
      <c r="D8449" s="1" t="s">
        <v>3111</v>
      </c>
    </row>
    <row r="8450">
      <c r="A8450" s="1" t="s">
        <v>16592</v>
      </c>
      <c r="B8450" s="2" t="s">
        <v>16593</v>
      </c>
      <c r="C8450" s="1" t="s">
        <v>3109</v>
      </c>
      <c r="D8450" s="1" t="s">
        <v>3111</v>
      </c>
    </row>
    <row r="8451">
      <c r="A8451" s="1" t="s">
        <v>16594</v>
      </c>
      <c r="B8451" s="2" t="s">
        <v>16595</v>
      </c>
      <c r="C8451" s="1" t="s">
        <v>3109</v>
      </c>
      <c r="D8451" s="1" t="s">
        <v>3111</v>
      </c>
    </row>
    <row r="8452">
      <c r="A8452" s="1" t="s">
        <v>16596</v>
      </c>
      <c r="B8452" s="2" t="s">
        <v>16597</v>
      </c>
      <c r="C8452" s="1" t="s">
        <v>3109</v>
      </c>
      <c r="D8452" s="1" t="s">
        <v>3111</v>
      </c>
    </row>
    <row r="8453">
      <c r="A8453" s="1" t="s">
        <v>16598</v>
      </c>
      <c r="B8453" s="2" t="s">
        <v>16599</v>
      </c>
      <c r="C8453" s="1" t="s">
        <v>3109</v>
      </c>
      <c r="D8453" s="1" t="s">
        <v>3111</v>
      </c>
    </row>
    <row r="8454">
      <c r="A8454" s="1" t="s">
        <v>16600</v>
      </c>
      <c r="B8454" s="2" t="s">
        <v>16601</v>
      </c>
      <c r="C8454" s="1" t="s">
        <v>3109</v>
      </c>
      <c r="D8454" s="1" t="s">
        <v>3111</v>
      </c>
    </row>
    <row r="8455">
      <c r="A8455" s="1" t="s">
        <v>16602</v>
      </c>
      <c r="B8455" s="2" t="s">
        <v>16603</v>
      </c>
      <c r="C8455" s="1" t="s">
        <v>3109</v>
      </c>
      <c r="D8455" s="1" t="s">
        <v>3111</v>
      </c>
    </row>
    <row r="8456">
      <c r="A8456" s="1" t="s">
        <v>16604</v>
      </c>
      <c r="B8456" s="2" t="s">
        <v>16605</v>
      </c>
      <c r="C8456" s="1" t="s">
        <v>3109</v>
      </c>
      <c r="D8456" s="1" t="s">
        <v>3111</v>
      </c>
    </row>
    <row r="8457">
      <c r="A8457" s="1" t="s">
        <v>16606</v>
      </c>
      <c r="B8457" s="2" t="s">
        <v>16607</v>
      </c>
      <c r="C8457" s="1" t="s">
        <v>3109</v>
      </c>
      <c r="D8457" s="1" t="s">
        <v>3111</v>
      </c>
    </row>
    <row r="8458">
      <c r="A8458" s="1" t="s">
        <v>16608</v>
      </c>
      <c r="B8458" s="2" t="s">
        <v>16609</v>
      </c>
      <c r="C8458" s="1" t="s">
        <v>3109</v>
      </c>
      <c r="D8458" s="1" t="s">
        <v>3111</v>
      </c>
    </row>
    <row r="8459">
      <c r="A8459" s="1" t="s">
        <v>16610</v>
      </c>
      <c r="B8459" s="2" t="s">
        <v>16611</v>
      </c>
      <c r="C8459" s="1" t="s">
        <v>3109</v>
      </c>
      <c r="D8459" s="1" t="s">
        <v>3111</v>
      </c>
    </row>
    <row r="8460">
      <c r="A8460" s="1" t="s">
        <v>16612</v>
      </c>
      <c r="B8460" s="2" t="s">
        <v>16613</v>
      </c>
      <c r="C8460" s="1" t="s">
        <v>3109</v>
      </c>
      <c r="D8460" s="1" t="s">
        <v>3111</v>
      </c>
    </row>
    <row r="8461">
      <c r="A8461" s="1" t="s">
        <v>16614</v>
      </c>
      <c r="B8461" s="2" t="s">
        <v>16615</v>
      </c>
      <c r="C8461" s="1" t="s">
        <v>3109</v>
      </c>
      <c r="D8461" s="1" t="s">
        <v>3111</v>
      </c>
    </row>
    <row r="8462">
      <c r="A8462" s="1" t="s">
        <v>16616</v>
      </c>
      <c r="B8462" s="2" t="s">
        <v>16617</v>
      </c>
      <c r="C8462" s="1" t="s">
        <v>3109</v>
      </c>
      <c r="D8462" s="1" t="s">
        <v>3111</v>
      </c>
    </row>
    <row r="8463">
      <c r="A8463" s="1" t="s">
        <v>16618</v>
      </c>
      <c r="B8463" s="2" t="s">
        <v>16619</v>
      </c>
      <c r="C8463" s="1" t="s">
        <v>3109</v>
      </c>
      <c r="D8463" s="1" t="s">
        <v>3111</v>
      </c>
    </row>
    <row r="8464">
      <c r="A8464" s="1" t="s">
        <v>16620</v>
      </c>
      <c r="B8464" s="2" t="s">
        <v>16621</v>
      </c>
      <c r="C8464" s="1" t="s">
        <v>3109</v>
      </c>
      <c r="D8464" s="1" t="s">
        <v>3111</v>
      </c>
    </row>
    <row r="8465">
      <c r="A8465" s="1" t="s">
        <v>16622</v>
      </c>
      <c r="B8465" s="2" t="s">
        <v>16623</v>
      </c>
      <c r="C8465" s="1" t="s">
        <v>3109</v>
      </c>
      <c r="D8465" s="1" t="s">
        <v>3111</v>
      </c>
    </row>
    <row r="8466">
      <c r="A8466" s="1" t="s">
        <v>16624</v>
      </c>
      <c r="B8466" s="2" t="s">
        <v>16625</v>
      </c>
      <c r="C8466" s="1" t="s">
        <v>3109</v>
      </c>
      <c r="D8466" s="1" t="s">
        <v>3111</v>
      </c>
    </row>
    <row r="8467">
      <c r="A8467" s="1" t="s">
        <v>16626</v>
      </c>
      <c r="B8467" s="2" t="s">
        <v>16627</v>
      </c>
      <c r="C8467" s="1" t="s">
        <v>3109</v>
      </c>
      <c r="D8467" s="1" t="s">
        <v>3111</v>
      </c>
    </row>
    <row r="8468">
      <c r="A8468" s="1" t="s">
        <v>16628</v>
      </c>
      <c r="B8468" s="2" t="s">
        <v>16629</v>
      </c>
      <c r="C8468" s="1" t="s">
        <v>3109</v>
      </c>
      <c r="D8468" s="1" t="s">
        <v>3111</v>
      </c>
    </row>
    <row r="8469">
      <c r="A8469" s="1" t="s">
        <v>16630</v>
      </c>
      <c r="B8469" s="2" t="s">
        <v>16631</v>
      </c>
      <c r="C8469" s="1" t="s">
        <v>3109</v>
      </c>
      <c r="D8469" s="1" t="s">
        <v>3111</v>
      </c>
    </row>
    <row r="8470">
      <c r="A8470" s="1" t="s">
        <v>16632</v>
      </c>
      <c r="B8470" s="2" t="s">
        <v>16633</v>
      </c>
      <c r="C8470" s="1" t="s">
        <v>3109</v>
      </c>
      <c r="D8470" s="1" t="s">
        <v>3111</v>
      </c>
    </row>
    <row r="8471">
      <c r="A8471" s="1" t="s">
        <v>16634</v>
      </c>
      <c r="B8471" s="2" t="s">
        <v>16635</v>
      </c>
      <c r="C8471" s="1" t="s">
        <v>3109</v>
      </c>
      <c r="D8471" s="1" t="s">
        <v>3111</v>
      </c>
    </row>
    <row r="8472">
      <c r="A8472" s="1" t="s">
        <v>16636</v>
      </c>
      <c r="B8472" s="2" t="s">
        <v>16637</v>
      </c>
      <c r="C8472" s="1" t="s">
        <v>3109</v>
      </c>
      <c r="D8472" s="1" t="s">
        <v>3111</v>
      </c>
    </row>
    <row r="8473">
      <c r="A8473" s="1" t="s">
        <v>16638</v>
      </c>
      <c r="B8473" s="2" t="s">
        <v>16639</v>
      </c>
      <c r="C8473" s="1" t="s">
        <v>3109</v>
      </c>
      <c r="D8473" s="1" t="s">
        <v>3111</v>
      </c>
    </row>
    <row r="8474">
      <c r="A8474" s="1" t="s">
        <v>16640</v>
      </c>
      <c r="B8474" s="2" t="s">
        <v>16641</v>
      </c>
      <c r="C8474" s="1" t="s">
        <v>3109</v>
      </c>
      <c r="D8474" s="1" t="s">
        <v>3111</v>
      </c>
    </row>
    <row r="8475">
      <c r="A8475" s="1" t="s">
        <v>16642</v>
      </c>
      <c r="B8475" s="2" t="s">
        <v>16643</v>
      </c>
      <c r="C8475" s="1" t="s">
        <v>3109</v>
      </c>
      <c r="D8475" s="1" t="s">
        <v>3111</v>
      </c>
    </row>
    <row r="8476">
      <c r="A8476" s="1" t="s">
        <v>16644</v>
      </c>
      <c r="B8476" s="2" t="s">
        <v>16645</v>
      </c>
      <c r="C8476" s="1" t="s">
        <v>3109</v>
      </c>
      <c r="D8476" s="1" t="s">
        <v>3111</v>
      </c>
    </row>
    <row r="8477">
      <c r="A8477" s="1" t="s">
        <v>16646</v>
      </c>
      <c r="B8477" s="2" t="s">
        <v>16647</v>
      </c>
      <c r="C8477" s="1" t="s">
        <v>3109</v>
      </c>
      <c r="D8477" s="1" t="s">
        <v>3111</v>
      </c>
    </row>
    <row r="8478">
      <c r="A8478" s="1" t="s">
        <v>16648</v>
      </c>
      <c r="B8478" s="2" t="s">
        <v>16649</v>
      </c>
      <c r="C8478" s="1" t="s">
        <v>3109</v>
      </c>
      <c r="D8478" s="1" t="s">
        <v>3111</v>
      </c>
    </row>
    <row r="8479">
      <c r="A8479" s="1" t="s">
        <v>16650</v>
      </c>
      <c r="B8479" s="2" t="s">
        <v>16651</v>
      </c>
      <c r="C8479" s="1" t="s">
        <v>3109</v>
      </c>
      <c r="D8479" s="1" t="s">
        <v>3111</v>
      </c>
    </row>
    <row r="8480">
      <c r="A8480" s="1" t="s">
        <v>16652</v>
      </c>
      <c r="B8480" s="2" t="s">
        <v>16653</v>
      </c>
      <c r="C8480" s="1" t="s">
        <v>3109</v>
      </c>
      <c r="D8480" s="1" t="s">
        <v>3111</v>
      </c>
    </row>
    <row r="8481">
      <c r="A8481" s="1" t="s">
        <v>3114</v>
      </c>
      <c r="B8481" s="2" t="s">
        <v>7</v>
      </c>
      <c r="C8481" s="1" t="s">
        <v>81</v>
      </c>
      <c r="D8481" s="1" t="s">
        <v>3116</v>
      </c>
    </row>
    <row r="8482">
      <c r="A8482" s="1" t="s">
        <v>16654</v>
      </c>
      <c r="B8482" s="2" t="s">
        <v>5721</v>
      </c>
      <c r="C8482" s="1" t="s">
        <v>81</v>
      </c>
      <c r="D8482" s="1" t="s">
        <v>3116</v>
      </c>
    </row>
    <row r="8483">
      <c r="A8483" s="1" t="s">
        <v>16655</v>
      </c>
      <c r="B8483" s="2" t="s">
        <v>16656</v>
      </c>
      <c r="C8483" s="1" t="s">
        <v>81</v>
      </c>
      <c r="D8483" s="1" t="s">
        <v>3116</v>
      </c>
    </row>
    <row r="8484">
      <c r="A8484" s="1" t="s">
        <v>16657</v>
      </c>
      <c r="B8484" s="2" t="s">
        <v>16658</v>
      </c>
      <c r="C8484" s="1" t="s">
        <v>81</v>
      </c>
      <c r="D8484" s="1" t="s">
        <v>3116</v>
      </c>
    </row>
    <row r="8485">
      <c r="A8485" s="1" t="s">
        <v>16659</v>
      </c>
      <c r="B8485" s="2" t="s">
        <v>16660</v>
      </c>
      <c r="C8485" s="1" t="s">
        <v>81</v>
      </c>
      <c r="D8485" s="1" t="s">
        <v>3116</v>
      </c>
    </row>
    <row r="8486">
      <c r="A8486" s="1" t="s">
        <v>16661</v>
      </c>
      <c r="B8486" s="2" t="s">
        <v>16662</v>
      </c>
      <c r="C8486" s="1" t="s">
        <v>81</v>
      </c>
      <c r="D8486" s="1" t="s">
        <v>3116</v>
      </c>
    </row>
    <row r="8487">
      <c r="A8487" s="1" t="s">
        <v>16663</v>
      </c>
      <c r="B8487" s="2" t="s">
        <v>16664</v>
      </c>
      <c r="C8487" s="1" t="s">
        <v>81</v>
      </c>
      <c r="D8487" s="1" t="s">
        <v>3116</v>
      </c>
    </row>
    <row r="8488">
      <c r="A8488" s="1" t="s">
        <v>16665</v>
      </c>
      <c r="B8488" s="2" t="s">
        <v>16666</v>
      </c>
      <c r="C8488" s="1" t="s">
        <v>81</v>
      </c>
      <c r="D8488" s="1" t="s">
        <v>3116</v>
      </c>
    </row>
    <row r="8489">
      <c r="A8489" s="1" t="s">
        <v>16667</v>
      </c>
      <c r="B8489" s="2" t="s">
        <v>16668</v>
      </c>
      <c r="C8489" s="1" t="s">
        <v>81</v>
      </c>
      <c r="D8489" s="1" t="s">
        <v>3116</v>
      </c>
    </row>
    <row r="8490">
      <c r="A8490" s="1" t="s">
        <v>16669</v>
      </c>
      <c r="B8490" s="2" t="s">
        <v>16670</v>
      </c>
      <c r="C8490" s="1" t="s">
        <v>81</v>
      </c>
      <c r="D8490" s="1" t="s">
        <v>3116</v>
      </c>
    </row>
    <row r="8491">
      <c r="A8491" s="1" t="s">
        <v>16671</v>
      </c>
      <c r="B8491" s="2" t="s">
        <v>16672</v>
      </c>
      <c r="C8491" s="1" t="s">
        <v>81</v>
      </c>
      <c r="D8491" s="1" t="s">
        <v>3116</v>
      </c>
    </row>
    <row r="8492">
      <c r="A8492" s="1" t="s">
        <v>16673</v>
      </c>
      <c r="B8492" s="2" t="s">
        <v>16674</v>
      </c>
      <c r="C8492" s="1" t="s">
        <v>81</v>
      </c>
      <c r="D8492" s="1" t="s">
        <v>3116</v>
      </c>
    </row>
    <row r="8493">
      <c r="A8493" s="1" t="s">
        <v>16675</v>
      </c>
      <c r="B8493" s="2" t="s">
        <v>16676</v>
      </c>
      <c r="C8493" s="1" t="s">
        <v>81</v>
      </c>
      <c r="D8493" s="1" t="s">
        <v>3116</v>
      </c>
    </row>
    <row r="8494">
      <c r="A8494" s="1" t="s">
        <v>16677</v>
      </c>
      <c r="B8494" s="2" t="s">
        <v>16678</v>
      </c>
      <c r="C8494" s="1" t="s">
        <v>81</v>
      </c>
      <c r="D8494" s="1" t="s">
        <v>3116</v>
      </c>
    </row>
    <row r="8495">
      <c r="A8495" s="1" t="s">
        <v>16679</v>
      </c>
      <c r="B8495" s="2" t="s">
        <v>16680</v>
      </c>
      <c r="C8495" s="1" t="s">
        <v>81</v>
      </c>
      <c r="D8495" s="1" t="s">
        <v>3116</v>
      </c>
    </row>
    <row r="8496">
      <c r="A8496" s="1" t="s">
        <v>16681</v>
      </c>
      <c r="B8496" s="2" t="s">
        <v>16682</v>
      </c>
      <c r="C8496" s="1" t="s">
        <v>81</v>
      </c>
      <c r="D8496" s="1" t="s">
        <v>3116</v>
      </c>
    </row>
    <row r="8497">
      <c r="A8497" s="1" t="s">
        <v>16683</v>
      </c>
      <c r="B8497" s="2" t="s">
        <v>16684</v>
      </c>
      <c r="C8497" s="1" t="s">
        <v>81</v>
      </c>
      <c r="D8497" s="1" t="s">
        <v>3116</v>
      </c>
    </row>
    <row r="8498">
      <c r="A8498" s="1" t="s">
        <v>16685</v>
      </c>
      <c r="B8498" s="2" t="s">
        <v>16686</v>
      </c>
      <c r="C8498" s="1" t="s">
        <v>81</v>
      </c>
      <c r="D8498" s="1" t="s">
        <v>3116</v>
      </c>
    </row>
    <row r="8499">
      <c r="A8499" s="1" t="s">
        <v>16687</v>
      </c>
      <c r="B8499" s="2" t="s">
        <v>16688</v>
      </c>
      <c r="C8499" s="1" t="s">
        <v>81</v>
      </c>
      <c r="D8499" s="1" t="s">
        <v>3116</v>
      </c>
    </row>
    <row r="8500">
      <c r="A8500" s="1" t="s">
        <v>16689</v>
      </c>
      <c r="B8500" s="2" t="s">
        <v>16690</v>
      </c>
      <c r="C8500" s="1" t="s">
        <v>81</v>
      </c>
      <c r="D8500" s="1" t="s">
        <v>3116</v>
      </c>
    </row>
    <row r="8501">
      <c r="A8501" s="1" t="s">
        <v>16691</v>
      </c>
      <c r="B8501" s="2" t="s">
        <v>16692</v>
      </c>
      <c r="C8501" s="1" t="s">
        <v>81</v>
      </c>
      <c r="D8501" s="1" t="s">
        <v>3116</v>
      </c>
    </row>
    <row r="8502">
      <c r="A8502" s="1" t="s">
        <v>16693</v>
      </c>
      <c r="B8502" s="2" t="s">
        <v>16694</v>
      </c>
      <c r="C8502" s="1" t="s">
        <v>81</v>
      </c>
      <c r="D8502" s="1" t="s">
        <v>3116</v>
      </c>
    </row>
    <row r="8503">
      <c r="A8503" s="1" t="s">
        <v>16695</v>
      </c>
      <c r="B8503" s="2" t="s">
        <v>16696</v>
      </c>
      <c r="C8503" s="1" t="s">
        <v>81</v>
      </c>
      <c r="D8503" s="1" t="s">
        <v>3116</v>
      </c>
    </row>
    <row r="8504">
      <c r="A8504" s="1" t="s">
        <v>16697</v>
      </c>
      <c r="B8504" s="2" t="s">
        <v>16698</v>
      </c>
      <c r="C8504" s="1" t="s">
        <v>81</v>
      </c>
      <c r="D8504" s="1" t="s">
        <v>3116</v>
      </c>
    </row>
    <row r="8505">
      <c r="A8505" s="1" t="s">
        <v>16699</v>
      </c>
      <c r="B8505" s="2" t="s">
        <v>16700</v>
      </c>
      <c r="C8505" s="1" t="s">
        <v>81</v>
      </c>
      <c r="D8505" s="1" t="s">
        <v>3116</v>
      </c>
    </row>
    <row r="8506">
      <c r="A8506" s="1" t="s">
        <v>16701</v>
      </c>
      <c r="B8506" s="2" t="s">
        <v>16702</v>
      </c>
      <c r="C8506" s="1" t="s">
        <v>81</v>
      </c>
      <c r="D8506" s="1" t="s">
        <v>3116</v>
      </c>
    </row>
    <row r="8507">
      <c r="A8507" s="1" t="s">
        <v>16703</v>
      </c>
      <c r="B8507" s="2" t="s">
        <v>16704</v>
      </c>
      <c r="C8507" s="1" t="s">
        <v>81</v>
      </c>
      <c r="D8507" s="1" t="s">
        <v>3116</v>
      </c>
    </row>
    <row r="8508">
      <c r="A8508" s="1" t="s">
        <v>16705</v>
      </c>
      <c r="B8508" s="2" t="s">
        <v>16706</v>
      </c>
      <c r="C8508" s="1" t="s">
        <v>81</v>
      </c>
      <c r="D8508" s="1" t="s">
        <v>3116</v>
      </c>
    </row>
    <row r="8509">
      <c r="A8509" s="1" t="s">
        <v>16707</v>
      </c>
      <c r="B8509" s="2" t="s">
        <v>16708</v>
      </c>
      <c r="C8509" s="1" t="s">
        <v>81</v>
      </c>
      <c r="D8509" s="1" t="s">
        <v>3116</v>
      </c>
    </row>
    <row r="8510">
      <c r="A8510" s="1" t="s">
        <v>16709</v>
      </c>
      <c r="B8510" s="2" t="s">
        <v>16710</v>
      </c>
      <c r="C8510" s="1" t="s">
        <v>81</v>
      </c>
      <c r="D8510" s="1" t="s">
        <v>3116</v>
      </c>
    </row>
    <row r="8511">
      <c r="A8511" s="1" t="s">
        <v>16711</v>
      </c>
      <c r="B8511" s="2" t="s">
        <v>16712</v>
      </c>
      <c r="C8511" s="1" t="s">
        <v>81</v>
      </c>
      <c r="D8511" s="1" t="s">
        <v>3116</v>
      </c>
    </row>
    <row r="8512">
      <c r="A8512" s="1" t="s">
        <v>16713</v>
      </c>
      <c r="B8512" s="2" t="s">
        <v>16714</v>
      </c>
      <c r="C8512" s="1" t="s">
        <v>81</v>
      </c>
      <c r="D8512" s="1" t="s">
        <v>3116</v>
      </c>
    </row>
    <row r="8513">
      <c r="A8513" s="1" t="s">
        <v>16715</v>
      </c>
      <c r="B8513" s="2" t="s">
        <v>16716</v>
      </c>
      <c r="C8513" s="1" t="s">
        <v>81</v>
      </c>
      <c r="D8513" s="1" t="s">
        <v>3116</v>
      </c>
    </row>
    <row r="8514">
      <c r="A8514" s="1" t="s">
        <v>16717</v>
      </c>
      <c r="B8514" s="2" t="s">
        <v>16718</v>
      </c>
      <c r="C8514" s="1" t="s">
        <v>81</v>
      </c>
      <c r="D8514" s="1" t="s">
        <v>3116</v>
      </c>
    </row>
    <row r="8515">
      <c r="A8515" s="1" t="s">
        <v>16719</v>
      </c>
      <c r="B8515" s="2" t="s">
        <v>16720</v>
      </c>
      <c r="C8515" s="1" t="s">
        <v>81</v>
      </c>
      <c r="D8515" s="1" t="s">
        <v>3116</v>
      </c>
    </row>
    <row r="8516">
      <c r="A8516" s="1" t="s">
        <v>16721</v>
      </c>
      <c r="B8516" s="2" t="s">
        <v>16722</v>
      </c>
      <c r="C8516" s="1" t="s">
        <v>81</v>
      </c>
      <c r="D8516" s="1" t="s">
        <v>3116</v>
      </c>
    </row>
    <row r="8517">
      <c r="A8517" s="1" t="s">
        <v>16723</v>
      </c>
      <c r="B8517" s="2" t="s">
        <v>16724</v>
      </c>
      <c r="C8517" s="1" t="s">
        <v>81</v>
      </c>
      <c r="D8517" s="1" t="s">
        <v>3116</v>
      </c>
    </row>
    <row r="8518">
      <c r="A8518" s="1" t="s">
        <v>16725</v>
      </c>
      <c r="B8518" s="2" t="s">
        <v>16726</v>
      </c>
      <c r="C8518" s="1" t="s">
        <v>81</v>
      </c>
      <c r="D8518" s="1" t="s">
        <v>3116</v>
      </c>
    </row>
    <row r="8519">
      <c r="A8519" s="1" t="s">
        <v>16727</v>
      </c>
      <c r="B8519" s="2" t="s">
        <v>16728</v>
      </c>
      <c r="C8519" s="1" t="s">
        <v>81</v>
      </c>
      <c r="D8519" s="1" t="s">
        <v>3116</v>
      </c>
    </row>
    <row r="8520">
      <c r="A8520" s="1" t="s">
        <v>16729</v>
      </c>
      <c r="B8520" s="2" t="s">
        <v>16730</v>
      </c>
      <c r="C8520" s="1" t="s">
        <v>81</v>
      </c>
      <c r="D8520" s="1" t="s">
        <v>3116</v>
      </c>
    </row>
    <row r="8521">
      <c r="A8521" s="1" t="s">
        <v>16731</v>
      </c>
      <c r="B8521" s="2" t="s">
        <v>16732</v>
      </c>
      <c r="C8521" s="1" t="s">
        <v>81</v>
      </c>
      <c r="D8521" s="1" t="s">
        <v>3116</v>
      </c>
    </row>
    <row r="8522">
      <c r="A8522" s="1" t="s">
        <v>16733</v>
      </c>
      <c r="B8522" s="2" t="s">
        <v>16734</v>
      </c>
      <c r="C8522" s="1" t="s">
        <v>81</v>
      </c>
      <c r="D8522" s="1" t="s">
        <v>3116</v>
      </c>
    </row>
    <row r="8523">
      <c r="A8523" s="1" t="s">
        <v>16735</v>
      </c>
      <c r="B8523" s="2" t="s">
        <v>16736</v>
      </c>
      <c r="C8523" s="1" t="s">
        <v>81</v>
      </c>
      <c r="D8523" s="1" t="s">
        <v>3116</v>
      </c>
    </row>
    <row r="8524">
      <c r="A8524" s="1" t="s">
        <v>16737</v>
      </c>
      <c r="B8524" s="2" t="s">
        <v>16738</v>
      </c>
      <c r="C8524" s="1" t="s">
        <v>81</v>
      </c>
      <c r="D8524" s="1" t="s">
        <v>3116</v>
      </c>
    </row>
    <row r="8525">
      <c r="A8525" s="1" t="s">
        <v>16739</v>
      </c>
      <c r="B8525" s="2" t="s">
        <v>16740</v>
      </c>
      <c r="C8525" s="1" t="s">
        <v>81</v>
      </c>
      <c r="D8525" s="1" t="s">
        <v>3116</v>
      </c>
    </row>
    <row r="8526">
      <c r="A8526" s="1" t="s">
        <v>16741</v>
      </c>
      <c r="B8526" s="2" t="s">
        <v>16742</v>
      </c>
      <c r="C8526" s="1" t="s">
        <v>81</v>
      </c>
      <c r="D8526" s="1" t="s">
        <v>3116</v>
      </c>
    </row>
    <row r="8527">
      <c r="A8527" s="1" t="s">
        <v>16743</v>
      </c>
      <c r="B8527" s="2" t="s">
        <v>16744</v>
      </c>
      <c r="C8527" s="1" t="s">
        <v>81</v>
      </c>
      <c r="D8527" s="1" t="s">
        <v>3116</v>
      </c>
    </row>
    <row r="8528">
      <c r="A8528" s="1" t="s">
        <v>16745</v>
      </c>
      <c r="B8528" s="2" t="s">
        <v>16746</v>
      </c>
      <c r="C8528" s="1" t="s">
        <v>81</v>
      </c>
      <c r="D8528" s="1" t="s">
        <v>3116</v>
      </c>
    </row>
    <row r="8529">
      <c r="A8529" s="1" t="s">
        <v>16747</v>
      </c>
      <c r="B8529" s="2" t="s">
        <v>16748</v>
      </c>
      <c r="C8529" s="1" t="s">
        <v>81</v>
      </c>
      <c r="D8529" s="1" t="s">
        <v>3116</v>
      </c>
    </row>
    <row r="8530">
      <c r="A8530" s="1" t="s">
        <v>16749</v>
      </c>
      <c r="B8530" s="2" t="s">
        <v>16750</v>
      </c>
      <c r="C8530" s="1" t="s">
        <v>81</v>
      </c>
      <c r="D8530" s="1" t="s">
        <v>3116</v>
      </c>
    </row>
    <row r="8531">
      <c r="A8531" s="1" t="s">
        <v>16751</v>
      </c>
      <c r="B8531" s="2" t="s">
        <v>16752</v>
      </c>
      <c r="C8531" s="1" t="s">
        <v>81</v>
      </c>
      <c r="D8531" s="1" t="s">
        <v>3116</v>
      </c>
    </row>
    <row r="8532">
      <c r="A8532" s="1" t="s">
        <v>16753</v>
      </c>
      <c r="B8532" s="2" t="s">
        <v>16754</v>
      </c>
      <c r="C8532" s="1" t="s">
        <v>81</v>
      </c>
      <c r="D8532" s="1" t="s">
        <v>3116</v>
      </c>
    </row>
    <row r="8533">
      <c r="A8533" s="1" t="s">
        <v>16755</v>
      </c>
      <c r="B8533" s="2" t="s">
        <v>16756</v>
      </c>
      <c r="C8533" s="1" t="s">
        <v>81</v>
      </c>
      <c r="D8533" s="1" t="s">
        <v>3116</v>
      </c>
    </row>
    <row r="8534">
      <c r="A8534" s="1" t="s">
        <v>16757</v>
      </c>
      <c r="B8534" s="2" t="s">
        <v>16758</v>
      </c>
      <c r="C8534" s="1" t="s">
        <v>81</v>
      </c>
      <c r="D8534" s="1" t="s">
        <v>3116</v>
      </c>
    </row>
    <row r="8535">
      <c r="A8535" s="1" t="s">
        <v>16759</v>
      </c>
      <c r="B8535" s="2" t="s">
        <v>16760</v>
      </c>
      <c r="C8535" s="1" t="s">
        <v>81</v>
      </c>
      <c r="D8535" s="1" t="s">
        <v>3116</v>
      </c>
    </row>
    <row r="8536">
      <c r="A8536" s="1" t="s">
        <v>16761</v>
      </c>
      <c r="B8536" s="2" t="s">
        <v>16762</v>
      </c>
      <c r="C8536" s="1" t="s">
        <v>81</v>
      </c>
      <c r="D8536" s="1" t="s">
        <v>3116</v>
      </c>
    </row>
    <row r="8537">
      <c r="A8537" s="1" t="s">
        <v>16763</v>
      </c>
      <c r="B8537" s="2" t="s">
        <v>16764</v>
      </c>
      <c r="C8537" s="1" t="s">
        <v>81</v>
      </c>
      <c r="D8537" s="1" t="s">
        <v>3116</v>
      </c>
    </row>
    <row r="8538">
      <c r="A8538" s="1" t="s">
        <v>16765</v>
      </c>
      <c r="B8538" s="2" t="s">
        <v>16766</v>
      </c>
      <c r="C8538" s="1" t="s">
        <v>81</v>
      </c>
      <c r="D8538" s="1" t="s">
        <v>3116</v>
      </c>
    </row>
    <row r="8539">
      <c r="A8539" s="1" t="s">
        <v>16767</v>
      </c>
      <c r="B8539" s="2" t="s">
        <v>16768</v>
      </c>
      <c r="C8539" s="1" t="s">
        <v>81</v>
      </c>
      <c r="D8539" s="1" t="s">
        <v>3116</v>
      </c>
    </row>
    <row r="8540">
      <c r="A8540" s="1" t="s">
        <v>16769</v>
      </c>
      <c r="B8540" s="2" t="s">
        <v>16770</v>
      </c>
      <c r="C8540" s="1" t="s">
        <v>81</v>
      </c>
      <c r="D8540" s="1" t="s">
        <v>3116</v>
      </c>
    </row>
    <row r="8541">
      <c r="A8541" s="1" t="s">
        <v>16771</v>
      </c>
      <c r="B8541" s="2" t="s">
        <v>16772</v>
      </c>
      <c r="C8541" s="1" t="s">
        <v>81</v>
      </c>
      <c r="D8541" s="1" t="s">
        <v>3116</v>
      </c>
    </row>
    <row r="8542">
      <c r="A8542" s="1" t="s">
        <v>16773</v>
      </c>
      <c r="B8542" s="2" t="s">
        <v>16774</v>
      </c>
      <c r="C8542" s="1" t="s">
        <v>81</v>
      </c>
      <c r="D8542" s="1" t="s">
        <v>3116</v>
      </c>
    </row>
    <row r="8543">
      <c r="A8543" s="1" t="s">
        <v>16775</v>
      </c>
      <c r="B8543" s="2" t="s">
        <v>16776</v>
      </c>
      <c r="C8543" s="1" t="s">
        <v>81</v>
      </c>
      <c r="D8543" s="1" t="s">
        <v>3116</v>
      </c>
    </row>
    <row r="8544">
      <c r="A8544" s="1" t="s">
        <v>16777</v>
      </c>
      <c r="B8544" s="2" t="s">
        <v>16778</v>
      </c>
      <c r="C8544" s="1" t="s">
        <v>81</v>
      </c>
      <c r="D8544" s="1" t="s">
        <v>3116</v>
      </c>
    </row>
    <row r="8545">
      <c r="A8545" s="1" t="s">
        <v>16779</v>
      </c>
      <c r="B8545" s="2" t="s">
        <v>16780</v>
      </c>
      <c r="C8545" s="1" t="s">
        <v>81</v>
      </c>
      <c r="D8545" s="1" t="s">
        <v>3116</v>
      </c>
    </row>
    <row r="8546">
      <c r="A8546" s="1" t="s">
        <v>16781</v>
      </c>
      <c r="B8546" s="2" t="s">
        <v>16782</v>
      </c>
      <c r="C8546" s="1" t="s">
        <v>81</v>
      </c>
      <c r="D8546" s="1" t="s">
        <v>3116</v>
      </c>
    </row>
    <row r="8547">
      <c r="A8547" s="1" t="s">
        <v>16783</v>
      </c>
      <c r="B8547" s="2" t="s">
        <v>16784</v>
      </c>
      <c r="C8547" s="1" t="s">
        <v>81</v>
      </c>
      <c r="D8547" s="1" t="s">
        <v>3116</v>
      </c>
    </row>
    <row r="8548">
      <c r="A8548" s="1" t="s">
        <v>16785</v>
      </c>
      <c r="B8548" s="2" t="s">
        <v>16786</v>
      </c>
      <c r="C8548" s="1" t="s">
        <v>81</v>
      </c>
      <c r="D8548" s="1" t="s">
        <v>3116</v>
      </c>
    </row>
    <row r="8549">
      <c r="A8549" s="1" t="s">
        <v>16787</v>
      </c>
      <c r="B8549" s="2" t="s">
        <v>16788</v>
      </c>
      <c r="C8549" s="1" t="s">
        <v>81</v>
      </c>
      <c r="D8549" s="1" t="s">
        <v>3116</v>
      </c>
    </row>
    <row r="8550">
      <c r="A8550" s="1" t="s">
        <v>16789</v>
      </c>
      <c r="B8550" s="2" t="s">
        <v>16790</v>
      </c>
      <c r="C8550" s="1" t="s">
        <v>81</v>
      </c>
      <c r="D8550" s="1" t="s">
        <v>3116</v>
      </c>
    </row>
    <row r="8551">
      <c r="A8551" s="1" t="s">
        <v>16791</v>
      </c>
      <c r="B8551" s="2" t="s">
        <v>16792</v>
      </c>
      <c r="C8551" s="1" t="s">
        <v>81</v>
      </c>
      <c r="D8551" s="1" t="s">
        <v>3116</v>
      </c>
    </row>
    <row r="8552">
      <c r="A8552" s="1" t="s">
        <v>16793</v>
      </c>
      <c r="B8552" s="2" t="s">
        <v>16794</v>
      </c>
      <c r="C8552" s="1" t="s">
        <v>81</v>
      </c>
      <c r="D8552" s="1" t="s">
        <v>3116</v>
      </c>
    </row>
    <row r="8553">
      <c r="A8553" s="1" t="s">
        <v>16795</v>
      </c>
      <c r="B8553" s="2" t="s">
        <v>16796</v>
      </c>
      <c r="C8553" s="1" t="s">
        <v>81</v>
      </c>
      <c r="D8553" s="1" t="s">
        <v>3116</v>
      </c>
    </row>
    <row r="8554">
      <c r="A8554" s="1" t="s">
        <v>16797</v>
      </c>
      <c r="B8554" s="2" t="s">
        <v>16798</v>
      </c>
      <c r="C8554" s="1" t="s">
        <v>81</v>
      </c>
      <c r="D8554" s="1" t="s">
        <v>3116</v>
      </c>
    </row>
    <row r="8555">
      <c r="A8555" s="1" t="s">
        <v>16799</v>
      </c>
      <c r="B8555" s="2" t="s">
        <v>16800</v>
      </c>
      <c r="C8555" s="1" t="s">
        <v>81</v>
      </c>
      <c r="D8555" s="1" t="s">
        <v>3116</v>
      </c>
    </row>
    <row r="8556">
      <c r="A8556" s="1" t="s">
        <v>16801</v>
      </c>
      <c r="B8556" s="2" t="s">
        <v>16802</v>
      </c>
      <c r="C8556" s="1" t="s">
        <v>81</v>
      </c>
      <c r="D8556" s="1" t="s">
        <v>3116</v>
      </c>
    </row>
    <row r="8557">
      <c r="A8557" s="1" t="s">
        <v>16803</v>
      </c>
      <c r="B8557" s="2" t="s">
        <v>16804</v>
      </c>
      <c r="C8557" s="1" t="s">
        <v>81</v>
      </c>
      <c r="D8557" s="1" t="s">
        <v>3116</v>
      </c>
    </row>
    <row r="8558">
      <c r="A8558" s="1" t="s">
        <v>16805</v>
      </c>
      <c r="B8558" s="2" t="s">
        <v>16806</v>
      </c>
      <c r="C8558" s="1" t="s">
        <v>81</v>
      </c>
      <c r="D8558" s="1" t="s">
        <v>3116</v>
      </c>
    </row>
    <row r="8559">
      <c r="A8559" s="1" t="s">
        <v>16807</v>
      </c>
      <c r="B8559" s="2" t="s">
        <v>16808</v>
      </c>
      <c r="C8559" s="1" t="s">
        <v>81</v>
      </c>
      <c r="D8559" s="1" t="s">
        <v>3116</v>
      </c>
    </row>
    <row r="8560">
      <c r="A8560" s="1" t="s">
        <v>16809</v>
      </c>
      <c r="B8560" s="2" t="s">
        <v>16810</v>
      </c>
      <c r="C8560" s="1" t="s">
        <v>81</v>
      </c>
      <c r="D8560" s="1" t="s">
        <v>3116</v>
      </c>
    </row>
    <row r="8561">
      <c r="A8561" s="1" t="s">
        <v>16811</v>
      </c>
      <c r="B8561" s="2" t="s">
        <v>16812</v>
      </c>
      <c r="C8561" s="1" t="s">
        <v>81</v>
      </c>
      <c r="D8561" s="1" t="s">
        <v>3116</v>
      </c>
    </row>
    <row r="8562">
      <c r="A8562" s="1" t="s">
        <v>16813</v>
      </c>
      <c r="B8562" s="2" t="s">
        <v>16814</v>
      </c>
      <c r="C8562" s="1" t="s">
        <v>81</v>
      </c>
      <c r="D8562" s="1" t="s">
        <v>3116</v>
      </c>
    </row>
    <row r="8563">
      <c r="A8563" s="1" t="s">
        <v>16815</v>
      </c>
      <c r="B8563" s="2" t="s">
        <v>16816</v>
      </c>
      <c r="C8563" s="1" t="s">
        <v>81</v>
      </c>
      <c r="D8563" s="1" t="s">
        <v>3116</v>
      </c>
    </row>
    <row r="8564">
      <c r="A8564" s="1" t="s">
        <v>16817</v>
      </c>
      <c r="B8564" s="2" t="s">
        <v>16818</v>
      </c>
      <c r="C8564" s="1" t="s">
        <v>81</v>
      </c>
      <c r="D8564" s="1" t="s">
        <v>3116</v>
      </c>
    </row>
    <row r="8565">
      <c r="A8565" s="1" t="s">
        <v>16819</v>
      </c>
      <c r="B8565" s="2" t="s">
        <v>16820</v>
      </c>
      <c r="C8565" s="1" t="s">
        <v>81</v>
      </c>
      <c r="D8565" s="1" t="s">
        <v>3116</v>
      </c>
    </row>
    <row r="8566">
      <c r="A8566" s="1" t="s">
        <v>16821</v>
      </c>
      <c r="B8566" s="2" t="s">
        <v>16822</v>
      </c>
      <c r="C8566" s="1" t="s">
        <v>81</v>
      </c>
      <c r="D8566" s="1" t="s">
        <v>3116</v>
      </c>
    </row>
    <row r="8567">
      <c r="A8567" s="1" t="s">
        <v>16823</v>
      </c>
      <c r="B8567" s="2" t="s">
        <v>16824</v>
      </c>
      <c r="C8567" s="1" t="s">
        <v>81</v>
      </c>
      <c r="D8567" s="1" t="s">
        <v>3116</v>
      </c>
    </row>
    <row r="8568">
      <c r="A8568" s="1" t="s">
        <v>16825</v>
      </c>
      <c r="B8568" s="2" t="s">
        <v>16826</v>
      </c>
      <c r="C8568" s="1" t="s">
        <v>81</v>
      </c>
      <c r="D8568" s="1" t="s">
        <v>3116</v>
      </c>
    </row>
    <row r="8569">
      <c r="A8569" s="1" t="s">
        <v>16827</v>
      </c>
      <c r="B8569" s="2" t="s">
        <v>16828</v>
      </c>
      <c r="C8569" s="1" t="s">
        <v>81</v>
      </c>
      <c r="D8569" s="1" t="s">
        <v>3116</v>
      </c>
    </row>
    <row r="8570">
      <c r="A8570" s="1" t="s">
        <v>16829</v>
      </c>
      <c r="B8570" s="2" t="s">
        <v>16830</v>
      </c>
      <c r="C8570" s="1" t="s">
        <v>81</v>
      </c>
      <c r="D8570" s="1" t="s">
        <v>3116</v>
      </c>
    </row>
    <row r="8571">
      <c r="A8571" s="1" t="s">
        <v>16831</v>
      </c>
      <c r="B8571" s="2" t="s">
        <v>16832</v>
      </c>
      <c r="C8571" s="1" t="s">
        <v>81</v>
      </c>
      <c r="D8571" s="1" t="s">
        <v>3116</v>
      </c>
    </row>
    <row r="8572">
      <c r="A8572" s="1" t="s">
        <v>16833</v>
      </c>
      <c r="B8572" s="2" t="s">
        <v>16834</v>
      </c>
      <c r="C8572" s="1" t="s">
        <v>81</v>
      </c>
      <c r="D8572" s="1" t="s">
        <v>3116</v>
      </c>
    </row>
    <row r="8573">
      <c r="A8573" s="1" t="s">
        <v>16835</v>
      </c>
      <c r="B8573" s="2" t="s">
        <v>16836</v>
      </c>
      <c r="C8573" s="1" t="s">
        <v>81</v>
      </c>
      <c r="D8573" s="1" t="s">
        <v>3116</v>
      </c>
    </row>
    <row r="8574">
      <c r="A8574" s="1" t="s">
        <v>16837</v>
      </c>
      <c r="B8574" s="2" t="s">
        <v>16838</v>
      </c>
      <c r="C8574" s="1" t="s">
        <v>81</v>
      </c>
      <c r="D8574" s="1" t="s">
        <v>3116</v>
      </c>
    </row>
    <row r="8575">
      <c r="A8575" s="1" t="s">
        <v>16839</v>
      </c>
      <c r="B8575" s="2" t="s">
        <v>16840</v>
      </c>
      <c r="C8575" s="1" t="s">
        <v>81</v>
      </c>
      <c r="D8575" s="1" t="s">
        <v>3116</v>
      </c>
    </row>
    <row r="8576">
      <c r="A8576" s="1" t="s">
        <v>16841</v>
      </c>
      <c r="B8576" s="2" t="s">
        <v>16842</v>
      </c>
      <c r="C8576" s="1" t="s">
        <v>81</v>
      </c>
      <c r="D8576" s="1" t="s">
        <v>3116</v>
      </c>
    </row>
    <row r="8577">
      <c r="A8577" s="1" t="s">
        <v>16843</v>
      </c>
      <c r="B8577" s="2" t="s">
        <v>16844</v>
      </c>
      <c r="C8577" s="1" t="s">
        <v>81</v>
      </c>
      <c r="D8577" s="1" t="s">
        <v>3116</v>
      </c>
    </row>
    <row r="8578">
      <c r="A8578" s="1" t="s">
        <v>16845</v>
      </c>
      <c r="B8578" s="2" t="s">
        <v>16846</v>
      </c>
      <c r="C8578" s="1" t="s">
        <v>81</v>
      </c>
      <c r="D8578" s="1" t="s">
        <v>3116</v>
      </c>
    </row>
    <row r="8579">
      <c r="A8579" s="1" t="s">
        <v>16847</v>
      </c>
      <c r="B8579" s="2" t="s">
        <v>16848</v>
      </c>
      <c r="C8579" s="1" t="s">
        <v>81</v>
      </c>
      <c r="D8579" s="1" t="s">
        <v>3116</v>
      </c>
    </row>
    <row r="8580">
      <c r="A8580" s="1" t="s">
        <v>16849</v>
      </c>
      <c r="B8580" s="2" t="s">
        <v>16850</v>
      </c>
      <c r="C8580" s="1" t="s">
        <v>81</v>
      </c>
      <c r="D8580" s="1" t="s">
        <v>3116</v>
      </c>
    </row>
    <row r="8581">
      <c r="A8581" s="1" t="s">
        <v>16851</v>
      </c>
      <c r="B8581" s="2" t="s">
        <v>16852</v>
      </c>
      <c r="C8581" s="1" t="s">
        <v>81</v>
      </c>
      <c r="D8581" s="1" t="s">
        <v>3116</v>
      </c>
    </row>
    <row r="8582">
      <c r="A8582" s="1" t="s">
        <v>16853</v>
      </c>
      <c r="B8582" s="2" t="s">
        <v>16854</v>
      </c>
      <c r="C8582" s="1" t="s">
        <v>81</v>
      </c>
      <c r="D8582" s="1" t="s">
        <v>3116</v>
      </c>
    </row>
    <row r="8583">
      <c r="A8583" s="1" t="s">
        <v>16855</v>
      </c>
      <c r="B8583" s="2" t="s">
        <v>16856</v>
      </c>
      <c r="C8583" s="1" t="s">
        <v>81</v>
      </c>
      <c r="D8583" s="1" t="s">
        <v>3116</v>
      </c>
    </row>
    <row r="8584">
      <c r="A8584" s="1" t="s">
        <v>16857</v>
      </c>
      <c r="B8584" s="2" t="s">
        <v>16858</v>
      </c>
      <c r="C8584" s="1" t="s">
        <v>81</v>
      </c>
      <c r="D8584" s="1" t="s">
        <v>3116</v>
      </c>
    </row>
    <row r="8585">
      <c r="A8585" s="1" t="s">
        <v>16859</v>
      </c>
      <c r="B8585" s="2" t="s">
        <v>16860</v>
      </c>
      <c r="C8585" s="1" t="s">
        <v>81</v>
      </c>
      <c r="D8585" s="1" t="s">
        <v>3116</v>
      </c>
    </row>
    <row r="8586">
      <c r="A8586" s="1" t="s">
        <v>16861</v>
      </c>
      <c r="B8586" s="2" t="s">
        <v>16862</v>
      </c>
      <c r="C8586" s="1" t="s">
        <v>81</v>
      </c>
      <c r="D8586" s="1" t="s">
        <v>3116</v>
      </c>
    </row>
    <row r="8587">
      <c r="A8587" s="1" t="s">
        <v>16863</v>
      </c>
      <c r="B8587" s="2" t="s">
        <v>16864</v>
      </c>
      <c r="C8587" s="1" t="s">
        <v>81</v>
      </c>
      <c r="D8587" s="1" t="s">
        <v>3116</v>
      </c>
    </row>
    <row r="8588">
      <c r="A8588" s="1" t="s">
        <v>16865</v>
      </c>
      <c r="B8588" s="2" t="s">
        <v>16866</v>
      </c>
      <c r="C8588" s="1" t="s">
        <v>81</v>
      </c>
      <c r="D8588" s="1" t="s">
        <v>3116</v>
      </c>
    </row>
    <row r="8589">
      <c r="A8589" s="1" t="s">
        <v>16867</v>
      </c>
      <c r="B8589" s="2" t="s">
        <v>16868</v>
      </c>
      <c r="C8589" s="1" t="s">
        <v>81</v>
      </c>
      <c r="D8589" s="1" t="s">
        <v>3116</v>
      </c>
    </row>
    <row r="8590">
      <c r="A8590" s="1" t="s">
        <v>16869</v>
      </c>
      <c r="B8590" s="2" t="s">
        <v>16870</v>
      </c>
      <c r="C8590" s="1" t="s">
        <v>81</v>
      </c>
      <c r="D8590" s="1" t="s">
        <v>3116</v>
      </c>
    </row>
    <row r="8591">
      <c r="A8591" s="1" t="s">
        <v>16871</v>
      </c>
      <c r="B8591" s="2" t="s">
        <v>16872</v>
      </c>
      <c r="C8591" s="1" t="s">
        <v>81</v>
      </c>
      <c r="D8591" s="1" t="s">
        <v>3116</v>
      </c>
    </row>
    <row r="8592">
      <c r="A8592" s="1" t="s">
        <v>16873</v>
      </c>
      <c r="B8592" s="2" t="s">
        <v>16874</v>
      </c>
      <c r="C8592" s="1" t="s">
        <v>81</v>
      </c>
      <c r="D8592" s="1" t="s">
        <v>3116</v>
      </c>
    </row>
    <row r="8593">
      <c r="A8593" s="1" t="s">
        <v>16875</v>
      </c>
      <c r="B8593" s="2" t="s">
        <v>16876</v>
      </c>
      <c r="C8593" s="1" t="s">
        <v>81</v>
      </c>
      <c r="D8593" s="1" t="s">
        <v>3116</v>
      </c>
    </row>
    <row r="8594">
      <c r="A8594" s="1" t="s">
        <v>16877</v>
      </c>
      <c r="B8594" s="2" t="s">
        <v>16878</v>
      </c>
      <c r="C8594" s="1" t="s">
        <v>81</v>
      </c>
      <c r="D8594" s="1" t="s">
        <v>3116</v>
      </c>
    </row>
    <row r="8595">
      <c r="A8595" s="1" t="s">
        <v>16879</v>
      </c>
      <c r="B8595" s="2" t="s">
        <v>16880</v>
      </c>
      <c r="C8595" s="1" t="s">
        <v>81</v>
      </c>
      <c r="D8595" s="1" t="s">
        <v>3116</v>
      </c>
    </row>
    <row r="8596">
      <c r="A8596" s="1" t="s">
        <v>16881</v>
      </c>
      <c r="B8596" s="2" t="s">
        <v>16882</v>
      </c>
      <c r="C8596" s="1" t="s">
        <v>81</v>
      </c>
      <c r="D8596" s="1" t="s">
        <v>3116</v>
      </c>
    </row>
    <row r="8597">
      <c r="A8597" s="1" t="s">
        <v>16883</v>
      </c>
      <c r="B8597" s="2" t="s">
        <v>16884</v>
      </c>
      <c r="C8597" s="1" t="s">
        <v>81</v>
      </c>
      <c r="D8597" s="1" t="s">
        <v>3116</v>
      </c>
    </row>
    <row r="8598">
      <c r="A8598" s="1" t="s">
        <v>16885</v>
      </c>
      <c r="B8598" s="2" t="s">
        <v>16886</v>
      </c>
      <c r="C8598" s="1" t="s">
        <v>81</v>
      </c>
      <c r="D8598" s="1" t="s">
        <v>3116</v>
      </c>
    </row>
    <row r="8599">
      <c r="A8599" s="1" t="s">
        <v>16887</v>
      </c>
      <c r="B8599" s="2" t="s">
        <v>16888</v>
      </c>
      <c r="C8599" s="1" t="s">
        <v>81</v>
      </c>
      <c r="D8599" s="1" t="s">
        <v>3116</v>
      </c>
    </row>
    <row r="8600">
      <c r="A8600" s="1" t="s">
        <v>16889</v>
      </c>
      <c r="B8600" s="2" t="s">
        <v>16890</v>
      </c>
      <c r="C8600" s="1" t="s">
        <v>81</v>
      </c>
      <c r="D8600" s="1" t="s">
        <v>3116</v>
      </c>
    </row>
    <row r="8601">
      <c r="A8601" s="1" t="s">
        <v>16891</v>
      </c>
      <c r="B8601" s="2" t="s">
        <v>16892</v>
      </c>
      <c r="C8601" s="1" t="s">
        <v>81</v>
      </c>
      <c r="D8601" s="1" t="s">
        <v>3116</v>
      </c>
    </row>
    <row r="8602">
      <c r="A8602" s="1" t="s">
        <v>16893</v>
      </c>
      <c r="B8602" s="2" t="s">
        <v>16894</v>
      </c>
      <c r="C8602" s="1" t="s">
        <v>81</v>
      </c>
      <c r="D8602" s="1" t="s">
        <v>3116</v>
      </c>
    </row>
    <row r="8603">
      <c r="A8603" s="1" t="s">
        <v>16895</v>
      </c>
      <c r="B8603" s="2" t="s">
        <v>16896</v>
      </c>
      <c r="C8603" s="1" t="s">
        <v>81</v>
      </c>
      <c r="D8603" s="1" t="s">
        <v>3116</v>
      </c>
    </row>
    <row r="8604">
      <c r="A8604" s="1" t="s">
        <v>16897</v>
      </c>
      <c r="B8604" s="2" t="s">
        <v>16898</v>
      </c>
      <c r="C8604" s="1" t="s">
        <v>81</v>
      </c>
      <c r="D8604" s="1" t="s">
        <v>3116</v>
      </c>
    </row>
    <row r="8605">
      <c r="A8605" s="1" t="s">
        <v>16899</v>
      </c>
      <c r="B8605" s="2" t="s">
        <v>16900</v>
      </c>
      <c r="C8605" s="1" t="s">
        <v>81</v>
      </c>
      <c r="D8605" s="1" t="s">
        <v>3116</v>
      </c>
    </row>
    <row r="8606">
      <c r="A8606" s="1" t="s">
        <v>16901</v>
      </c>
      <c r="B8606" s="2" t="s">
        <v>16902</v>
      </c>
      <c r="C8606" s="1" t="s">
        <v>81</v>
      </c>
      <c r="D8606" s="1" t="s">
        <v>3116</v>
      </c>
    </row>
    <row r="8607">
      <c r="A8607" s="1" t="s">
        <v>16903</v>
      </c>
      <c r="B8607" s="2" t="s">
        <v>16904</v>
      </c>
      <c r="C8607" s="1" t="s">
        <v>81</v>
      </c>
      <c r="D8607" s="1" t="s">
        <v>3116</v>
      </c>
    </row>
    <row r="8608">
      <c r="A8608" s="1" t="s">
        <v>16905</v>
      </c>
      <c r="B8608" s="2" t="s">
        <v>16906</v>
      </c>
      <c r="C8608" s="1" t="s">
        <v>81</v>
      </c>
      <c r="D8608" s="1" t="s">
        <v>3116</v>
      </c>
    </row>
    <row r="8609">
      <c r="A8609" s="1" t="s">
        <v>3121</v>
      </c>
      <c r="B8609" s="2" t="s">
        <v>7</v>
      </c>
      <c r="C8609" s="1" t="s">
        <v>3122</v>
      </c>
      <c r="D8609" s="1" t="s">
        <v>3124</v>
      </c>
    </row>
    <row r="8610">
      <c r="A8610" s="1" t="s">
        <v>16907</v>
      </c>
      <c r="B8610" s="2" t="s">
        <v>16908</v>
      </c>
      <c r="C8610" s="1" t="s">
        <v>3122</v>
      </c>
      <c r="D8610" s="1" t="s">
        <v>3124</v>
      </c>
    </row>
    <row r="8611">
      <c r="A8611" s="1" t="s">
        <v>16909</v>
      </c>
      <c r="B8611" s="2" t="s">
        <v>16656</v>
      </c>
      <c r="C8611" s="1" t="s">
        <v>3122</v>
      </c>
      <c r="D8611" s="1" t="s">
        <v>3124</v>
      </c>
    </row>
    <row r="8612">
      <c r="A8612" s="1" t="s">
        <v>16910</v>
      </c>
      <c r="B8612" s="2" t="s">
        <v>16911</v>
      </c>
      <c r="C8612" s="1" t="s">
        <v>3122</v>
      </c>
      <c r="D8612" s="1" t="s">
        <v>3124</v>
      </c>
    </row>
    <row r="8613">
      <c r="A8613" s="1" t="s">
        <v>16912</v>
      </c>
      <c r="B8613" s="2" t="s">
        <v>16913</v>
      </c>
      <c r="C8613" s="1" t="s">
        <v>3122</v>
      </c>
      <c r="D8613" s="1" t="s">
        <v>3124</v>
      </c>
    </row>
    <row r="8614">
      <c r="A8614" s="1" t="s">
        <v>16914</v>
      </c>
      <c r="B8614" s="2" t="s">
        <v>16915</v>
      </c>
      <c r="C8614" s="1" t="s">
        <v>3122</v>
      </c>
      <c r="D8614" s="1" t="s">
        <v>3124</v>
      </c>
    </row>
    <row r="8615">
      <c r="A8615" s="1" t="s">
        <v>16916</v>
      </c>
      <c r="B8615" s="2" t="s">
        <v>16917</v>
      </c>
      <c r="C8615" s="1" t="s">
        <v>3122</v>
      </c>
      <c r="D8615" s="1" t="s">
        <v>3124</v>
      </c>
    </row>
    <row r="8616">
      <c r="A8616" s="1" t="s">
        <v>16918</v>
      </c>
      <c r="B8616" s="2" t="s">
        <v>16919</v>
      </c>
      <c r="C8616" s="1" t="s">
        <v>3122</v>
      </c>
      <c r="D8616" s="1" t="s">
        <v>3124</v>
      </c>
    </row>
    <row r="8617">
      <c r="A8617" s="1" t="s">
        <v>16920</v>
      </c>
      <c r="B8617" s="2" t="s">
        <v>16921</v>
      </c>
      <c r="C8617" s="1" t="s">
        <v>3122</v>
      </c>
      <c r="D8617" s="1" t="s">
        <v>3124</v>
      </c>
    </row>
    <row r="8618">
      <c r="A8618" s="1" t="s">
        <v>16922</v>
      </c>
      <c r="B8618" s="2" t="s">
        <v>16923</v>
      </c>
      <c r="C8618" s="1" t="s">
        <v>3122</v>
      </c>
      <c r="D8618" s="1" t="s">
        <v>3124</v>
      </c>
    </row>
    <row r="8619">
      <c r="A8619" s="1" t="s">
        <v>16924</v>
      </c>
      <c r="B8619" s="2" t="s">
        <v>16925</v>
      </c>
      <c r="C8619" s="1" t="s">
        <v>3122</v>
      </c>
      <c r="D8619" s="1" t="s">
        <v>3124</v>
      </c>
    </row>
    <row r="8620">
      <c r="A8620" s="1" t="s">
        <v>16926</v>
      </c>
      <c r="B8620" s="2" t="s">
        <v>16927</v>
      </c>
      <c r="C8620" s="1" t="s">
        <v>3122</v>
      </c>
      <c r="D8620" s="1" t="s">
        <v>3124</v>
      </c>
    </row>
    <row r="8621">
      <c r="A8621" s="1" t="s">
        <v>16928</v>
      </c>
      <c r="B8621" s="2" t="s">
        <v>16929</v>
      </c>
      <c r="C8621" s="1" t="s">
        <v>3122</v>
      </c>
      <c r="D8621" s="1" t="s">
        <v>3124</v>
      </c>
    </row>
    <row r="8622">
      <c r="A8622" s="1" t="s">
        <v>16930</v>
      </c>
      <c r="B8622" s="2" t="s">
        <v>16931</v>
      </c>
      <c r="C8622" s="1" t="s">
        <v>3122</v>
      </c>
      <c r="D8622" s="1" t="s">
        <v>3124</v>
      </c>
    </row>
    <row r="8623">
      <c r="A8623" s="1" t="s">
        <v>16932</v>
      </c>
      <c r="B8623" s="2" t="s">
        <v>16776</v>
      </c>
      <c r="C8623" s="1" t="s">
        <v>3122</v>
      </c>
      <c r="D8623" s="1" t="s">
        <v>3124</v>
      </c>
    </row>
    <row r="8624">
      <c r="A8624" s="1" t="s">
        <v>16933</v>
      </c>
      <c r="B8624" s="2" t="s">
        <v>16934</v>
      </c>
      <c r="C8624" s="1" t="s">
        <v>3122</v>
      </c>
      <c r="D8624" s="1" t="s">
        <v>3124</v>
      </c>
    </row>
    <row r="8625">
      <c r="A8625" s="1" t="s">
        <v>16935</v>
      </c>
      <c r="B8625" s="2" t="s">
        <v>16936</v>
      </c>
      <c r="C8625" s="1" t="s">
        <v>3122</v>
      </c>
      <c r="D8625" s="1" t="s">
        <v>3124</v>
      </c>
    </row>
    <row r="8626">
      <c r="A8626" s="1" t="s">
        <v>16937</v>
      </c>
      <c r="B8626" s="2" t="s">
        <v>16812</v>
      </c>
      <c r="C8626" s="1" t="s">
        <v>3122</v>
      </c>
      <c r="D8626" s="1" t="s">
        <v>3124</v>
      </c>
    </row>
    <row r="8627">
      <c r="A8627" s="1" t="s">
        <v>16938</v>
      </c>
      <c r="B8627" s="2" t="s">
        <v>16939</v>
      </c>
      <c r="C8627" s="1" t="s">
        <v>3122</v>
      </c>
      <c r="D8627" s="1" t="s">
        <v>3124</v>
      </c>
    </row>
    <row r="8628">
      <c r="A8628" s="1" t="s">
        <v>16940</v>
      </c>
      <c r="B8628" s="2" t="s">
        <v>16941</v>
      </c>
      <c r="C8628" s="1" t="s">
        <v>3122</v>
      </c>
      <c r="D8628" s="1" t="s">
        <v>3124</v>
      </c>
    </row>
    <row r="8629">
      <c r="A8629" s="1" t="s">
        <v>16942</v>
      </c>
      <c r="B8629" s="2" t="s">
        <v>16800</v>
      </c>
      <c r="C8629" s="1" t="s">
        <v>3122</v>
      </c>
      <c r="D8629" s="1" t="s">
        <v>3124</v>
      </c>
    </row>
    <row r="8630">
      <c r="A8630" s="1" t="s">
        <v>16943</v>
      </c>
      <c r="B8630" s="2" t="s">
        <v>16944</v>
      </c>
      <c r="C8630" s="1" t="s">
        <v>3122</v>
      </c>
      <c r="D8630" s="1" t="s">
        <v>3124</v>
      </c>
    </row>
    <row r="8631">
      <c r="A8631" s="1" t="s">
        <v>16945</v>
      </c>
      <c r="B8631" s="2" t="s">
        <v>16946</v>
      </c>
      <c r="C8631" s="1" t="s">
        <v>3122</v>
      </c>
      <c r="D8631" s="1" t="s">
        <v>3124</v>
      </c>
    </row>
    <row r="8632">
      <c r="A8632" s="1" t="s">
        <v>16947</v>
      </c>
      <c r="B8632" s="2" t="s">
        <v>16824</v>
      </c>
      <c r="C8632" s="1" t="s">
        <v>3122</v>
      </c>
      <c r="D8632" s="1" t="s">
        <v>3124</v>
      </c>
    </row>
    <row r="8633">
      <c r="A8633" s="1" t="s">
        <v>16948</v>
      </c>
      <c r="B8633" s="2" t="s">
        <v>16949</v>
      </c>
      <c r="C8633" s="1" t="s">
        <v>3122</v>
      </c>
      <c r="D8633" s="1" t="s">
        <v>3124</v>
      </c>
    </row>
    <row r="8634">
      <c r="A8634" s="1" t="s">
        <v>16950</v>
      </c>
      <c r="B8634" s="2" t="s">
        <v>16951</v>
      </c>
      <c r="C8634" s="1" t="s">
        <v>3122</v>
      </c>
      <c r="D8634" s="1" t="s">
        <v>3124</v>
      </c>
    </row>
    <row r="8635">
      <c r="A8635" s="1" t="s">
        <v>16952</v>
      </c>
      <c r="B8635" s="2" t="s">
        <v>16848</v>
      </c>
      <c r="C8635" s="1" t="s">
        <v>3122</v>
      </c>
      <c r="D8635" s="1" t="s">
        <v>3124</v>
      </c>
    </row>
    <row r="8636">
      <c r="A8636" s="1" t="s">
        <v>16953</v>
      </c>
      <c r="B8636" s="2" t="s">
        <v>16954</v>
      </c>
      <c r="C8636" s="1" t="s">
        <v>3122</v>
      </c>
      <c r="D8636" s="1" t="s">
        <v>3124</v>
      </c>
    </row>
    <row r="8637">
      <c r="A8637" s="1" t="s">
        <v>16955</v>
      </c>
      <c r="B8637" s="2" t="s">
        <v>16956</v>
      </c>
      <c r="C8637" s="1" t="s">
        <v>3122</v>
      </c>
      <c r="D8637" s="1" t="s">
        <v>3124</v>
      </c>
    </row>
    <row r="8638">
      <c r="A8638" s="1" t="s">
        <v>16957</v>
      </c>
      <c r="B8638" s="2" t="s">
        <v>16958</v>
      </c>
      <c r="C8638" s="1" t="s">
        <v>3122</v>
      </c>
      <c r="D8638" s="1" t="s">
        <v>3124</v>
      </c>
    </row>
    <row r="8639">
      <c r="A8639" s="1" t="s">
        <v>16959</v>
      </c>
      <c r="B8639" s="2" t="s">
        <v>16960</v>
      </c>
      <c r="C8639" s="1" t="s">
        <v>3122</v>
      </c>
      <c r="D8639" s="1" t="s">
        <v>3124</v>
      </c>
    </row>
    <row r="8640">
      <c r="A8640" s="1" t="s">
        <v>16961</v>
      </c>
      <c r="B8640" s="2" t="s">
        <v>16962</v>
      </c>
      <c r="C8640" s="1" t="s">
        <v>3122</v>
      </c>
      <c r="D8640" s="1" t="s">
        <v>3124</v>
      </c>
    </row>
    <row r="8641">
      <c r="A8641" s="1" t="s">
        <v>16963</v>
      </c>
      <c r="B8641" s="2" t="s">
        <v>16860</v>
      </c>
      <c r="C8641" s="1" t="s">
        <v>3122</v>
      </c>
      <c r="D8641" s="1" t="s">
        <v>3124</v>
      </c>
    </row>
    <row r="8642">
      <c r="A8642" s="1" t="s">
        <v>16964</v>
      </c>
      <c r="B8642" s="2" t="s">
        <v>16965</v>
      </c>
      <c r="C8642" s="1" t="s">
        <v>3122</v>
      </c>
      <c r="D8642" s="1" t="s">
        <v>3124</v>
      </c>
    </row>
    <row r="8643">
      <c r="A8643" s="1" t="s">
        <v>16966</v>
      </c>
      <c r="B8643" s="2" t="s">
        <v>16967</v>
      </c>
      <c r="C8643" s="1" t="s">
        <v>3122</v>
      </c>
      <c r="D8643" s="1" t="s">
        <v>3124</v>
      </c>
    </row>
    <row r="8644">
      <c r="A8644" s="1" t="s">
        <v>16968</v>
      </c>
      <c r="B8644" s="2" t="s">
        <v>16902</v>
      </c>
      <c r="C8644" s="1" t="s">
        <v>3122</v>
      </c>
      <c r="D8644" s="1" t="s">
        <v>3124</v>
      </c>
    </row>
    <row r="8645">
      <c r="A8645" s="1" t="s">
        <v>16969</v>
      </c>
      <c r="B8645" s="2" t="s">
        <v>16970</v>
      </c>
      <c r="C8645" s="1" t="s">
        <v>3122</v>
      </c>
      <c r="D8645" s="1" t="s">
        <v>3124</v>
      </c>
    </row>
    <row r="8646">
      <c r="A8646" s="1" t="s">
        <v>16971</v>
      </c>
      <c r="B8646" s="2" t="s">
        <v>16972</v>
      </c>
      <c r="C8646" s="1" t="s">
        <v>3122</v>
      </c>
      <c r="D8646" s="1" t="s">
        <v>3124</v>
      </c>
    </row>
    <row r="8647">
      <c r="A8647" s="1" t="s">
        <v>3127</v>
      </c>
      <c r="B8647" s="2" t="s">
        <v>7</v>
      </c>
      <c r="C8647" s="1" t="s">
        <v>3130</v>
      </c>
      <c r="D8647" s="1" t="s">
        <v>3131</v>
      </c>
    </row>
    <row r="8648">
      <c r="A8648" s="1" t="s">
        <v>16973</v>
      </c>
      <c r="B8648" s="2" t="s">
        <v>16974</v>
      </c>
      <c r="C8648" s="1" t="s">
        <v>3130</v>
      </c>
      <c r="D8648" s="1" t="s">
        <v>3131</v>
      </c>
    </row>
    <row r="8649">
      <c r="A8649" s="1" t="s">
        <v>16975</v>
      </c>
      <c r="B8649" s="2" t="s">
        <v>16976</v>
      </c>
      <c r="C8649" s="1" t="s">
        <v>3130</v>
      </c>
      <c r="D8649" s="1" t="s">
        <v>3131</v>
      </c>
    </row>
    <row r="8650">
      <c r="A8650" s="1" t="s">
        <v>16977</v>
      </c>
      <c r="B8650" s="2" t="s">
        <v>16978</v>
      </c>
      <c r="C8650" s="1" t="s">
        <v>3130</v>
      </c>
      <c r="D8650" s="1" t="s">
        <v>3131</v>
      </c>
    </row>
    <row r="8651">
      <c r="A8651" s="1" t="s">
        <v>16979</v>
      </c>
      <c r="B8651" s="2" t="s">
        <v>16980</v>
      </c>
      <c r="C8651" s="1" t="s">
        <v>3130</v>
      </c>
      <c r="D8651" s="1" t="s">
        <v>3131</v>
      </c>
    </row>
    <row r="8652">
      <c r="A8652" s="1" t="s">
        <v>16981</v>
      </c>
      <c r="B8652" s="2" t="s">
        <v>16982</v>
      </c>
      <c r="C8652" s="1" t="s">
        <v>3130</v>
      </c>
      <c r="D8652" s="1" t="s">
        <v>3131</v>
      </c>
    </row>
    <row r="8653">
      <c r="A8653" s="1" t="s">
        <v>16983</v>
      </c>
      <c r="B8653" s="2" t="s">
        <v>16984</v>
      </c>
      <c r="C8653" s="1" t="s">
        <v>3130</v>
      </c>
      <c r="D8653" s="1" t="s">
        <v>3131</v>
      </c>
    </row>
    <row r="8654">
      <c r="A8654" s="1" t="s">
        <v>16985</v>
      </c>
      <c r="B8654" s="2" t="s">
        <v>16986</v>
      </c>
      <c r="C8654" s="1" t="s">
        <v>3130</v>
      </c>
      <c r="D8654" s="1" t="s">
        <v>3131</v>
      </c>
    </row>
    <row r="8655">
      <c r="A8655" s="1" t="s">
        <v>16987</v>
      </c>
      <c r="B8655" s="2" t="s">
        <v>16988</v>
      </c>
      <c r="C8655" s="1" t="s">
        <v>3130</v>
      </c>
      <c r="D8655" s="1" t="s">
        <v>3131</v>
      </c>
    </row>
    <row r="8656">
      <c r="A8656" s="1" t="s">
        <v>16989</v>
      </c>
      <c r="B8656" s="2" t="s">
        <v>16990</v>
      </c>
      <c r="C8656" s="1" t="s">
        <v>3130</v>
      </c>
      <c r="D8656" s="1" t="s">
        <v>3131</v>
      </c>
    </row>
    <row r="8657">
      <c r="A8657" s="1" t="s">
        <v>16991</v>
      </c>
      <c r="B8657" s="2" t="s">
        <v>16992</v>
      </c>
      <c r="C8657" s="1" t="s">
        <v>3130</v>
      </c>
      <c r="D8657" s="1" t="s">
        <v>3131</v>
      </c>
    </row>
    <row r="8658">
      <c r="A8658" s="1" t="s">
        <v>16993</v>
      </c>
      <c r="B8658" s="2" t="s">
        <v>16994</v>
      </c>
      <c r="C8658" s="1" t="s">
        <v>3130</v>
      </c>
      <c r="D8658" s="1" t="s">
        <v>3131</v>
      </c>
    </row>
    <row r="8659">
      <c r="A8659" s="1" t="s">
        <v>3135</v>
      </c>
      <c r="B8659" s="2" t="s">
        <v>7</v>
      </c>
      <c r="C8659" s="1" t="s">
        <v>3137</v>
      </c>
      <c r="D8659" s="1" t="s">
        <v>3138</v>
      </c>
    </row>
    <row r="8660">
      <c r="A8660" s="1" t="s">
        <v>16995</v>
      </c>
      <c r="B8660" s="2" t="s">
        <v>16974</v>
      </c>
      <c r="C8660" s="1" t="s">
        <v>3137</v>
      </c>
      <c r="D8660" s="1" t="s">
        <v>3138</v>
      </c>
    </row>
    <row r="8661">
      <c r="A8661" s="1" t="s">
        <v>16996</v>
      </c>
      <c r="B8661" s="2" t="s">
        <v>16976</v>
      </c>
      <c r="C8661" s="1" t="s">
        <v>3137</v>
      </c>
      <c r="D8661" s="1" t="s">
        <v>3138</v>
      </c>
    </row>
    <row r="8662">
      <c r="A8662" s="1" t="s">
        <v>16997</v>
      </c>
      <c r="B8662" s="2" t="s">
        <v>16998</v>
      </c>
      <c r="C8662" s="1" t="s">
        <v>3137</v>
      </c>
      <c r="D8662" s="1" t="s">
        <v>3138</v>
      </c>
    </row>
    <row r="8663">
      <c r="A8663" s="1" t="s">
        <v>16999</v>
      </c>
      <c r="B8663" s="2" t="s">
        <v>17000</v>
      </c>
      <c r="C8663" s="1" t="s">
        <v>3137</v>
      </c>
      <c r="D8663" s="1" t="s">
        <v>3138</v>
      </c>
    </row>
    <row r="8664">
      <c r="A8664" s="1" t="s">
        <v>17001</v>
      </c>
      <c r="B8664" s="2" t="s">
        <v>17002</v>
      </c>
      <c r="C8664" s="1" t="s">
        <v>3137</v>
      </c>
      <c r="D8664" s="1" t="s">
        <v>3138</v>
      </c>
    </row>
    <row r="8665">
      <c r="A8665" s="1" t="s">
        <v>17003</v>
      </c>
      <c r="B8665" s="2" t="s">
        <v>17004</v>
      </c>
      <c r="C8665" s="1" t="s">
        <v>3137</v>
      </c>
      <c r="D8665" s="1" t="s">
        <v>3138</v>
      </c>
    </row>
    <row r="8666">
      <c r="A8666" s="1" t="s">
        <v>17005</v>
      </c>
      <c r="B8666" s="2" t="s">
        <v>17006</v>
      </c>
      <c r="C8666" s="1" t="s">
        <v>3137</v>
      </c>
      <c r="D8666" s="1" t="s">
        <v>3138</v>
      </c>
    </row>
    <row r="8667">
      <c r="A8667" s="1" t="s">
        <v>17007</v>
      </c>
      <c r="B8667" s="2" t="s">
        <v>17008</v>
      </c>
      <c r="C8667" s="1" t="s">
        <v>3137</v>
      </c>
      <c r="D8667" s="1" t="s">
        <v>3138</v>
      </c>
    </row>
    <row r="8668">
      <c r="A8668" s="1" t="s">
        <v>17009</v>
      </c>
      <c r="B8668" s="2" t="s">
        <v>17010</v>
      </c>
      <c r="C8668" s="1" t="s">
        <v>3137</v>
      </c>
      <c r="D8668" s="1" t="s">
        <v>3138</v>
      </c>
    </row>
    <row r="8669">
      <c r="A8669" s="1" t="s">
        <v>17011</v>
      </c>
      <c r="B8669" s="2" t="s">
        <v>17012</v>
      </c>
      <c r="C8669" s="1" t="s">
        <v>3137</v>
      </c>
      <c r="D8669" s="1" t="s">
        <v>3138</v>
      </c>
    </row>
    <row r="8670">
      <c r="A8670" s="1" t="s">
        <v>17013</v>
      </c>
      <c r="B8670" s="2" t="s">
        <v>17014</v>
      </c>
      <c r="C8670" s="1" t="s">
        <v>3137</v>
      </c>
      <c r="D8670" s="1" t="s">
        <v>3138</v>
      </c>
    </row>
    <row r="8671">
      <c r="A8671" s="1" t="s">
        <v>17015</v>
      </c>
      <c r="B8671" s="2" t="s">
        <v>17016</v>
      </c>
      <c r="C8671" s="1" t="s">
        <v>3137</v>
      </c>
      <c r="D8671" s="1" t="s">
        <v>3138</v>
      </c>
    </row>
    <row r="8672">
      <c r="A8672" s="1" t="s">
        <v>17017</v>
      </c>
      <c r="B8672" s="2" t="s">
        <v>17018</v>
      </c>
      <c r="C8672" s="1" t="s">
        <v>3137</v>
      </c>
      <c r="D8672" s="1" t="s">
        <v>3138</v>
      </c>
    </row>
    <row r="8673">
      <c r="A8673" s="1" t="s">
        <v>17019</v>
      </c>
      <c r="B8673" s="2" t="s">
        <v>17020</v>
      </c>
      <c r="C8673" s="1" t="s">
        <v>3137</v>
      </c>
      <c r="D8673" s="1" t="s">
        <v>3138</v>
      </c>
    </row>
    <row r="8674">
      <c r="A8674" s="1" t="s">
        <v>17021</v>
      </c>
      <c r="B8674" s="2" t="s">
        <v>17022</v>
      </c>
      <c r="C8674" s="1" t="s">
        <v>3137</v>
      </c>
      <c r="D8674" s="1" t="s">
        <v>3138</v>
      </c>
    </row>
    <row r="8675">
      <c r="A8675" s="1" t="s">
        <v>17023</v>
      </c>
      <c r="B8675" s="2" t="s">
        <v>17024</v>
      </c>
      <c r="C8675" s="1" t="s">
        <v>3137</v>
      </c>
      <c r="D8675" s="1" t="s">
        <v>3138</v>
      </c>
    </row>
    <row r="8676">
      <c r="A8676" s="1" t="s">
        <v>17025</v>
      </c>
      <c r="B8676" s="2" t="s">
        <v>17026</v>
      </c>
      <c r="C8676" s="1" t="s">
        <v>3137</v>
      </c>
      <c r="D8676" s="1" t="s">
        <v>3138</v>
      </c>
    </row>
    <row r="8677">
      <c r="A8677" s="1" t="s">
        <v>17027</v>
      </c>
      <c r="B8677" s="2" t="s">
        <v>17028</v>
      </c>
      <c r="C8677" s="1" t="s">
        <v>3137</v>
      </c>
      <c r="D8677" s="1" t="s">
        <v>3138</v>
      </c>
    </row>
    <row r="8678">
      <c r="A8678" s="1" t="s">
        <v>17029</v>
      </c>
      <c r="B8678" s="2" t="s">
        <v>17030</v>
      </c>
      <c r="C8678" s="1" t="s">
        <v>3137</v>
      </c>
      <c r="D8678" s="1" t="s">
        <v>3138</v>
      </c>
    </row>
    <row r="8679">
      <c r="A8679" s="1" t="s">
        <v>17031</v>
      </c>
      <c r="B8679" s="2" t="s">
        <v>17032</v>
      </c>
      <c r="C8679" s="1" t="s">
        <v>3137</v>
      </c>
      <c r="D8679" s="1" t="s">
        <v>3138</v>
      </c>
    </row>
    <row r="8680">
      <c r="A8680" s="1" t="s">
        <v>17033</v>
      </c>
      <c r="B8680" s="2" t="s">
        <v>17034</v>
      </c>
      <c r="C8680" s="1" t="s">
        <v>3137</v>
      </c>
      <c r="D8680" s="1" t="s">
        <v>3138</v>
      </c>
    </row>
    <row r="8681">
      <c r="A8681" s="1" t="s">
        <v>17035</v>
      </c>
      <c r="B8681" s="2" t="s">
        <v>17036</v>
      </c>
      <c r="C8681" s="1" t="s">
        <v>3137</v>
      </c>
      <c r="D8681" s="1" t="s">
        <v>3138</v>
      </c>
    </row>
    <row r="8682">
      <c r="A8682" s="1" t="s">
        <v>17037</v>
      </c>
      <c r="B8682" s="2" t="s">
        <v>17038</v>
      </c>
      <c r="C8682" s="1" t="s">
        <v>3137</v>
      </c>
      <c r="D8682" s="1" t="s">
        <v>3138</v>
      </c>
    </row>
    <row r="8683">
      <c r="A8683" s="1" t="s">
        <v>17039</v>
      </c>
      <c r="B8683" s="2" t="s">
        <v>17040</v>
      </c>
      <c r="C8683" s="1" t="s">
        <v>3137</v>
      </c>
      <c r="D8683" s="1" t="s">
        <v>3138</v>
      </c>
    </row>
    <row r="8684">
      <c r="A8684" s="1" t="s">
        <v>17041</v>
      </c>
      <c r="B8684" s="2" t="s">
        <v>17042</v>
      </c>
      <c r="C8684" s="1" t="s">
        <v>3137</v>
      </c>
      <c r="D8684" s="1" t="s">
        <v>3138</v>
      </c>
    </row>
    <row r="8685">
      <c r="A8685" s="1" t="s">
        <v>17043</v>
      </c>
      <c r="B8685" s="2" t="s">
        <v>17044</v>
      </c>
      <c r="C8685" s="1" t="s">
        <v>3137</v>
      </c>
      <c r="D8685" s="1" t="s">
        <v>3138</v>
      </c>
    </row>
    <row r="8686">
      <c r="A8686" s="1" t="s">
        <v>17045</v>
      </c>
      <c r="B8686" s="2" t="s">
        <v>17046</v>
      </c>
      <c r="C8686" s="1" t="s">
        <v>3137</v>
      </c>
      <c r="D8686" s="1" t="s">
        <v>3138</v>
      </c>
    </row>
    <row r="8687">
      <c r="A8687" s="1" t="s">
        <v>17047</v>
      </c>
      <c r="B8687" s="2" t="s">
        <v>17048</v>
      </c>
      <c r="C8687" s="1" t="s">
        <v>3137</v>
      </c>
      <c r="D8687" s="1" t="s">
        <v>3138</v>
      </c>
    </row>
    <row r="8688">
      <c r="A8688" s="1" t="s">
        <v>17049</v>
      </c>
      <c r="B8688" s="2" t="s">
        <v>17050</v>
      </c>
      <c r="C8688" s="1" t="s">
        <v>3137</v>
      </c>
      <c r="D8688" s="1" t="s">
        <v>3138</v>
      </c>
    </row>
    <row r="8689">
      <c r="A8689" s="1" t="s">
        <v>17051</v>
      </c>
      <c r="B8689" s="2" t="s">
        <v>17052</v>
      </c>
      <c r="C8689" s="1" t="s">
        <v>3137</v>
      </c>
      <c r="D8689" s="1" t="s">
        <v>3138</v>
      </c>
    </row>
    <row r="8690">
      <c r="A8690" s="1" t="s">
        <v>17053</v>
      </c>
      <c r="B8690" s="2" t="s">
        <v>17054</v>
      </c>
      <c r="C8690" s="1" t="s">
        <v>3137</v>
      </c>
      <c r="D8690" s="1" t="s">
        <v>3138</v>
      </c>
    </row>
    <row r="8691">
      <c r="A8691" s="1" t="s">
        <v>17055</v>
      </c>
      <c r="B8691" s="2" t="s">
        <v>17056</v>
      </c>
      <c r="C8691" s="1" t="s">
        <v>3137</v>
      </c>
      <c r="D8691" s="1" t="s">
        <v>3138</v>
      </c>
    </row>
    <row r="8692">
      <c r="A8692" s="1" t="s">
        <v>17057</v>
      </c>
      <c r="B8692" s="2" t="s">
        <v>17058</v>
      </c>
      <c r="C8692" s="1" t="s">
        <v>3137</v>
      </c>
      <c r="D8692" s="1" t="s">
        <v>3138</v>
      </c>
    </row>
    <row r="8693">
      <c r="A8693" s="1" t="s">
        <v>17059</v>
      </c>
      <c r="B8693" s="2" t="s">
        <v>17060</v>
      </c>
      <c r="C8693" s="1" t="s">
        <v>3137</v>
      </c>
      <c r="D8693" s="1" t="s">
        <v>3138</v>
      </c>
    </row>
    <row r="8694">
      <c r="A8694" s="1" t="s">
        <v>17061</v>
      </c>
      <c r="B8694" s="2" t="s">
        <v>17062</v>
      </c>
      <c r="C8694" s="1" t="s">
        <v>3137</v>
      </c>
      <c r="D8694" s="1" t="s">
        <v>3138</v>
      </c>
    </row>
    <row r="8695">
      <c r="A8695" s="1" t="s">
        <v>17063</v>
      </c>
      <c r="B8695" s="2" t="s">
        <v>17064</v>
      </c>
      <c r="C8695" s="1" t="s">
        <v>3137</v>
      </c>
      <c r="D8695" s="1" t="s">
        <v>3138</v>
      </c>
    </row>
    <row r="8696">
      <c r="A8696" s="1" t="s">
        <v>17065</v>
      </c>
      <c r="B8696" s="2" t="s">
        <v>17066</v>
      </c>
      <c r="C8696" s="1" t="s">
        <v>3137</v>
      </c>
      <c r="D8696" s="1" t="s">
        <v>3138</v>
      </c>
    </row>
    <row r="8697">
      <c r="A8697" s="1" t="s">
        <v>17067</v>
      </c>
      <c r="B8697" s="2" t="s">
        <v>17068</v>
      </c>
      <c r="C8697" s="1" t="s">
        <v>3137</v>
      </c>
      <c r="D8697" s="1" t="s">
        <v>3138</v>
      </c>
    </row>
    <row r="8698">
      <c r="A8698" s="1" t="s">
        <v>17069</v>
      </c>
      <c r="B8698" s="2" t="s">
        <v>17070</v>
      </c>
      <c r="C8698" s="1" t="s">
        <v>3137</v>
      </c>
      <c r="D8698" s="1" t="s">
        <v>3138</v>
      </c>
    </row>
    <row r="8699">
      <c r="A8699" s="1" t="s">
        <v>17071</v>
      </c>
      <c r="B8699" s="2" t="s">
        <v>17072</v>
      </c>
      <c r="C8699" s="1" t="s">
        <v>3137</v>
      </c>
      <c r="D8699" s="1" t="s">
        <v>3138</v>
      </c>
    </row>
    <row r="8700">
      <c r="A8700" s="1" t="s">
        <v>17073</v>
      </c>
      <c r="B8700" s="2" t="s">
        <v>17074</v>
      </c>
      <c r="C8700" s="1" t="s">
        <v>3137</v>
      </c>
      <c r="D8700" s="1" t="s">
        <v>3138</v>
      </c>
    </row>
    <row r="8701">
      <c r="A8701" s="1" t="s">
        <v>17075</v>
      </c>
      <c r="B8701" s="2" t="s">
        <v>17076</v>
      </c>
      <c r="C8701" s="1" t="s">
        <v>3137</v>
      </c>
      <c r="D8701" s="1" t="s">
        <v>3138</v>
      </c>
    </row>
    <row r="8702">
      <c r="A8702" s="1" t="s">
        <v>17077</v>
      </c>
      <c r="B8702" s="2" t="s">
        <v>17078</v>
      </c>
      <c r="C8702" s="1" t="s">
        <v>3137</v>
      </c>
      <c r="D8702" s="1" t="s">
        <v>3138</v>
      </c>
    </row>
    <row r="8703">
      <c r="A8703" s="1" t="s">
        <v>17079</v>
      </c>
      <c r="B8703" s="2" t="s">
        <v>17080</v>
      </c>
      <c r="C8703" s="1" t="s">
        <v>3137</v>
      </c>
      <c r="D8703" s="1" t="s">
        <v>3138</v>
      </c>
    </row>
    <row r="8704">
      <c r="A8704" s="1" t="s">
        <v>17081</v>
      </c>
      <c r="B8704" s="2" t="s">
        <v>13730</v>
      </c>
      <c r="C8704" s="1" t="s">
        <v>3137</v>
      </c>
      <c r="D8704" s="1" t="s">
        <v>3138</v>
      </c>
    </row>
    <row r="8705">
      <c r="A8705" s="1" t="s">
        <v>17082</v>
      </c>
      <c r="B8705" s="2" t="s">
        <v>17083</v>
      </c>
      <c r="C8705" s="1" t="s">
        <v>3137</v>
      </c>
      <c r="D8705" s="1" t="s">
        <v>3138</v>
      </c>
    </row>
    <row r="8706">
      <c r="A8706" s="1" t="s">
        <v>17084</v>
      </c>
      <c r="B8706" s="2" t="s">
        <v>17085</v>
      </c>
      <c r="C8706" s="1" t="s">
        <v>3137</v>
      </c>
      <c r="D8706" s="1" t="s">
        <v>3138</v>
      </c>
    </row>
    <row r="8707">
      <c r="A8707" s="1" t="s">
        <v>17086</v>
      </c>
      <c r="B8707" s="2" t="s">
        <v>17087</v>
      </c>
      <c r="C8707" s="1" t="s">
        <v>3137</v>
      </c>
      <c r="D8707" s="1" t="s">
        <v>3138</v>
      </c>
    </row>
    <row r="8708">
      <c r="A8708" s="1" t="s">
        <v>17088</v>
      </c>
      <c r="B8708" s="2" t="s">
        <v>17089</v>
      </c>
      <c r="C8708" s="1" t="s">
        <v>3137</v>
      </c>
      <c r="D8708" s="1" t="s">
        <v>3138</v>
      </c>
    </row>
    <row r="8709">
      <c r="A8709" s="1" t="s">
        <v>17090</v>
      </c>
      <c r="B8709" s="2" t="s">
        <v>17091</v>
      </c>
      <c r="C8709" s="1" t="s">
        <v>3137</v>
      </c>
      <c r="D8709" s="1" t="s">
        <v>3138</v>
      </c>
    </row>
    <row r="8710">
      <c r="A8710" s="1" t="s">
        <v>17092</v>
      </c>
      <c r="B8710" s="2" t="s">
        <v>17093</v>
      </c>
      <c r="C8710" s="1" t="s">
        <v>3137</v>
      </c>
      <c r="D8710" s="1" t="s">
        <v>3138</v>
      </c>
    </row>
    <row r="8711">
      <c r="A8711" s="1" t="s">
        <v>17094</v>
      </c>
      <c r="B8711" s="2" t="s">
        <v>17095</v>
      </c>
      <c r="C8711" s="1" t="s">
        <v>3137</v>
      </c>
      <c r="D8711" s="1" t="s">
        <v>3138</v>
      </c>
    </row>
    <row r="8712">
      <c r="A8712" s="1" t="s">
        <v>17096</v>
      </c>
      <c r="B8712" s="2" t="s">
        <v>17097</v>
      </c>
      <c r="C8712" s="1" t="s">
        <v>3137</v>
      </c>
      <c r="D8712" s="1" t="s">
        <v>3138</v>
      </c>
    </row>
    <row r="8713">
      <c r="A8713" s="1" t="s">
        <v>17098</v>
      </c>
      <c r="B8713" s="2" t="s">
        <v>17099</v>
      </c>
      <c r="C8713" s="1" t="s">
        <v>3137</v>
      </c>
      <c r="D8713" s="1" t="s">
        <v>3138</v>
      </c>
    </row>
    <row r="8714">
      <c r="A8714" s="1" t="s">
        <v>17100</v>
      </c>
      <c r="B8714" s="2" t="s">
        <v>17101</v>
      </c>
      <c r="C8714" s="1" t="s">
        <v>3137</v>
      </c>
      <c r="D8714" s="1" t="s">
        <v>3138</v>
      </c>
    </row>
    <row r="8715">
      <c r="A8715" s="1" t="s">
        <v>17102</v>
      </c>
      <c r="B8715" s="2" t="s">
        <v>17103</v>
      </c>
      <c r="C8715" s="1" t="s">
        <v>3137</v>
      </c>
      <c r="D8715" s="1" t="s">
        <v>3138</v>
      </c>
    </row>
    <row r="8716">
      <c r="A8716" s="1" t="s">
        <v>17104</v>
      </c>
      <c r="B8716" s="2" t="s">
        <v>17105</v>
      </c>
      <c r="C8716" s="1" t="s">
        <v>3137</v>
      </c>
      <c r="D8716" s="1" t="s">
        <v>3138</v>
      </c>
    </row>
    <row r="8717">
      <c r="A8717" s="1" t="s">
        <v>17106</v>
      </c>
      <c r="B8717" s="2" t="s">
        <v>17107</v>
      </c>
      <c r="C8717" s="1" t="s">
        <v>3137</v>
      </c>
      <c r="D8717" s="1" t="s">
        <v>3138</v>
      </c>
    </row>
    <row r="8718">
      <c r="A8718" s="1" t="s">
        <v>17108</v>
      </c>
      <c r="B8718" s="2" t="s">
        <v>17109</v>
      </c>
      <c r="C8718" s="1" t="s">
        <v>3137</v>
      </c>
      <c r="D8718" s="1" t="s">
        <v>3138</v>
      </c>
    </row>
    <row r="8719">
      <c r="A8719" s="1" t="s">
        <v>17110</v>
      </c>
      <c r="B8719" s="2" t="s">
        <v>17111</v>
      </c>
      <c r="C8719" s="1" t="s">
        <v>3137</v>
      </c>
      <c r="D8719" s="1" t="s">
        <v>3138</v>
      </c>
    </row>
    <row r="8720">
      <c r="A8720" s="1" t="s">
        <v>17112</v>
      </c>
      <c r="B8720" s="2" t="s">
        <v>17113</v>
      </c>
      <c r="C8720" s="1" t="s">
        <v>3137</v>
      </c>
      <c r="D8720" s="1" t="s">
        <v>3138</v>
      </c>
    </row>
    <row r="8721">
      <c r="A8721" s="1" t="s">
        <v>17114</v>
      </c>
      <c r="B8721" s="2" t="s">
        <v>17115</v>
      </c>
      <c r="C8721" s="1" t="s">
        <v>3137</v>
      </c>
      <c r="D8721" s="1" t="s">
        <v>3138</v>
      </c>
    </row>
    <row r="8722">
      <c r="A8722" s="1" t="s">
        <v>17116</v>
      </c>
      <c r="B8722" s="2" t="s">
        <v>17117</v>
      </c>
      <c r="C8722" s="1" t="s">
        <v>3137</v>
      </c>
      <c r="D8722" s="1" t="s">
        <v>3138</v>
      </c>
    </row>
    <row r="8723">
      <c r="A8723" s="1" t="s">
        <v>17118</v>
      </c>
      <c r="B8723" s="2" t="s">
        <v>17119</v>
      </c>
      <c r="C8723" s="1" t="s">
        <v>3137</v>
      </c>
      <c r="D8723" s="1" t="s">
        <v>3138</v>
      </c>
    </row>
    <row r="8724">
      <c r="A8724" s="1" t="s">
        <v>17120</v>
      </c>
      <c r="B8724" s="2" t="s">
        <v>17121</v>
      </c>
      <c r="C8724" s="1" t="s">
        <v>3137</v>
      </c>
      <c r="D8724" s="1" t="s">
        <v>3138</v>
      </c>
    </row>
    <row r="8725">
      <c r="A8725" s="1" t="s">
        <v>17122</v>
      </c>
      <c r="B8725" s="2" t="s">
        <v>17123</v>
      </c>
      <c r="C8725" s="1" t="s">
        <v>3137</v>
      </c>
      <c r="D8725" s="1" t="s">
        <v>3138</v>
      </c>
    </row>
    <row r="8726">
      <c r="A8726" s="1" t="s">
        <v>3148</v>
      </c>
      <c r="B8726" s="2" t="s">
        <v>7</v>
      </c>
      <c r="C8726" s="1" t="s">
        <v>3150</v>
      </c>
      <c r="D8726" s="1" t="s">
        <v>3151</v>
      </c>
    </row>
    <row r="8727">
      <c r="A8727" s="1" t="s">
        <v>17124</v>
      </c>
      <c r="B8727" s="2" t="s">
        <v>2820</v>
      </c>
      <c r="C8727" s="1" t="s">
        <v>3150</v>
      </c>
      <c r="D8727" s="1" t="s">
        <v>3151</v>
      </c>
    </row>
    <row r="8728">
      <c r="A8728" s="1" t="s">
        <v>17125</v>
      </c>
      <c r="B8728" s="2" t="s">
        <v>17126</v>
      </c>
      <c r="C8728" s="1" t="s">
        <v>3150</v>
      </c>
      <c r="D8728" s="1" t="s">
        <v>3151</v>
      </c>
    </row>
    <row r="8729">
      <c r="A8729" s="1" t="s">
        <v>17127</v>
      </c>
      <c r="B8729" s="2" t="s">
        <v>17128</v>
      </c>
      <c r="C8729" s="1" t="s">
        <v>3150</v>
      </c>
      <c r="D8729" s="1" t="s">
        <v>3151</v>
      </c>
    </row>
    <row r="8730">
      <c r="A8730" s="1" t="s">
        <v>17129</v>
      </c>
      <c r="B8730" s="2" t="s">
        <v>17130</v>
      </c>
      <c r="C8730" s="1" t="s">
        <v>3150</v>
      </c>
      <c r="D8730" s="1" t="s">
        <v>3151</v>
      </c>
    </row>
    <row r="8731">
      <c r="A8731" s="1" t="s">
        <v>17131</v>
      </c>
      <c r="B8731" s="2" t="s">
        <v>17132</v>
      </c>
      <c r="C8731" s="1" t="s">
        <v>3150</v>
      </c>
      <c r="D8731" s="1" t="s">
        <v>3151</v>
      </c>
    </row>
    <row r="8732">
      <c r="A8732" s="1" t="s">
        <v>17133</v>
      </c>
      <c r="B8732" s="2" t="s">
        <v>5270</v>
      </c>
      <c r="C8732" s="1" t="s">
        <v>3150</v>
      </c>
      <c r="D8732" s="1" t="s">
        <v>3151</v>
      </c>
    </row>
    <row r="8733">
      <c r="A8733" s="1" t="s">
        <v>17134</v>
      </c>
      <c r="B8733" s="2" t="s">
        <v>5802</v>
      </c>
      <c r="C8733" s="1" t="s">
        <v>3150</v>
      </c>
      <c r="D8733" s="1" t="s">
        <v>3151</v>
      </c>
    </row>
    <row r="8734">
      <c r="A8734" s="1" t="s">
        <v>17135</v>
      </c>
      <c r="B8734" s="2" t="s">
        <v>17136</v>
      </c>
      <c r="C8734" s="1" t="s">
        <v>3150</v>
      </c>
      <c r="D8734" s="1" t="s">
        <v>3151</v>
      </c>
    </row>
    <row r="8735">
      <c r="A8735" s="1" t="s">
        <v>17137</v>
      </c>
      <c r="B8735" s="2" t="s">
        <v>17138</v>
      </c>
      <c r="C8735" s="1" t="s">
        <v>3150</v>
      </c>
      <c r="D8735" s="1" t="s">
        <v>3151</v>
      </c>
    </row>
    <row r="8736">
      <c r="A8736" s="1" t="s">
        <v>17139</v>
      </c>
      <c r="B8736" s="2" t="s">
        <v>17140</v>
      </c>
      <c r="C8736" s="1" t="s">
        <v>3150</v>
      </c>
      <c r="D8736" s="1" t="s">
        <v>3151</v>
      </c>
    </row>
    <row r="8737">
      <c r="A8737" s="1" t="s">
        <v>3156</v>
      </c>
      <c r="B8737" s="2" t="s">
        <v>7</v>
      </c>
      <c r="C8737" s="1" t="s">
        <v>3157</v>
      </c>
      <c r="D8737" s="1" t="s">
        <v>3159</v>
      </c>
    </row>
    <row r="8738">
      <c r="A8738" s="1" t="s">
        <v>17141</v>
      </c>
      <c r="B8738" s="2" t="s">
        <v>2820</v>
      </c>
      <c r="C8738" s="1" t="s">
        <v>3157</v>
      </c>
      <c r="D8738" s="1" t="s">
        <v>3159</v>
      </c>
    </row>
    <row r="8739">
      <c r="A8739" s="1" t="s">
        <v>17142</v>
      </c>
      <c r="B8739" s="2" t="s">
        <v>17126</v>
      </c>
      <c r="C8739" s="1" t="s">
        <v>3157</v>
      </c>
      <c r="D8739" s="1" t="s">
        <v>3159</v>
      </c>
    </row>
    <row r="8740">
      <c r="A8740" s="1" t="s">
        <v>17143</v>
      </c>
      <c r="B8740" s="2" t="s">
        <v>17128</v>
      </c>
      <c r="C8740" s="1" t="s">
        <v>3157</v>
      </c>
      <c r="D8740" s="1" t="s">
        <v>3159</v>
      </c>
    </row>
    <row r="8741">
      <c r="A8741" s="1" t="s">
        <v>17144</v>
      </c>
      <c r="B8741" s="2" t="s">
        <v>17130</v>
      </c>
      <c r="C8741" s="1" t="s">
        <v>3157</v>
      </c>
      <c r="D8741" s="1" t="s">
        <v>3159</v>
      </c>
    </row>
    <row r="8742">
      <c r="A8742" s="1" t="s">
        <v>17145</v>
      </c>
      <c r="B8742" s="2" t="s">
        <v>17132</v>
      </c>
      <c r="C8742" s="1" t="s">
        <v>3157</v>
      </c>
      <c r="D8742" s="1" t="s">
        <v>3159</v>
      </c>
    </row>
    <row r="8743">
      <c r="A8743" s="1" t="s">
        <v>17146</v>
      </c>
      <c r="B8743" s="2" t="s">
        <v>5270</v>
      </c>
      <c r="C8743" s="1" t="s">
        <v>3157</v>
      </c>
      <c r="D8743" s="1" t="s">
        <v>3159</v>
      </c>
    </row>
    <row r="8744">
      <c r="A8744" s="1" t="s">
        <v>17147</v>
      </c>
      <c r="B8744" s="2" t="s">
        <v>5802</v>
      </c>
      <c r="C8744" s="1" t="s">
        <v>3157</v>
      </c>
      <c r="D8744" s="1" t="s">
        <v>3159</v>
      </c>
    </row>
    <row r="8745">
      <c r="A8745" s="1" t="s">
        <v>17148</v>
      </c>
      <c r="B8745" s="2" t="s">
        <v>17136</v>
      </c>
      <c r="C8745" s="1" t="s">
        <v>3157</v>
      </c>
      <c r="D8745" s="1" t="s">
        <v>3159</v>
      </c>
    </row>
    <row r="8746">
      <c r="A8746" s="1" t="s">
        <v>17149</v>
      </c>
      <c r="B8746" s="2" t="s">
        <v>17138</v>
      </c>
      <c r="C8746" s="1" t="s">
        <v>3157</v>
      </c>
      <c r="D8746" s="1" t="s">
        <v>3159</v>
      </c>
    </row>
    <row r="8747">
      <c r="A8747" s="1" t="s">
        <v>17150</v>
      </c>
      <c r="B8747" s="2" t="s">
        <v>17140</v>
      </c>
      <c r="C8747" s="1" t="s">
        <v>3157</v>
      </c>
      <c r="D8747" s="1" t="s">
        <v>3159</v>
      </c>
    </row>
    <row r="8748">
      <c r="A8748" s="1" t="s">
        <v>3162</v>
      </c>
      <c r="B8748" s="2" t="s">
        <v>7</v>
      </c>
      <c r="C8748" s="1" t="s">
        <v>3164</v>
      </c>
      <c r="D8748" s="1" t="s">
        <v>3165</v>
      </c>
    </row>
    <row r="8749">
      <c r="A8749" s="1" t="s">
        <v>17151</v>
      </c>
      <c r="B8749" s="2" t="s">
        <v>2820</v>
      </c>
      <c r="C8749" s="1" t="s">
        <v>3164</v>
      </c>
      <c r="D8749" s="1" t="s">
        <v>3165</v>
      </c>
    </row>
    <row r="8750">
      <c r="A8750" s="1" t="s">
        <v>17152</v>
      </c>
      <c r="B8750" s="2" t="s">
        <v>17126</v>
      </c>
      <c r="C8750" s="1" t="s">
        <v>3164</v>
      </c>
      <c r="D8750" s="1" t="s">
        <v>3165</v>
      </c>
    </row>
    <row r="8751">
      <c r="A8751" s="1" t="s">
        <v>17153</v>
      </c>
      <c r="B8751" s="2" t="s">
        <v>17128</v>
      </c>
      <c r="C8751" s="1" t="s">
        <v>3164</v>
      </c>
      <c r="D8751" s="1" t="s">
        <v>3165</v>
      </c>
    </row>
    <row r="8752">
      <c r="A8752" s="1" t="s">
        <v>17154</v>
      </c>
      <c r="B8752" s="2" t="s">
        <v>17130</v>
      </c>
      <c r="C8752" s="1" t="s">
        <v>3164</v>
      </c>
      <c r="D8752" s="1" t="s">
        <v>3165</v>
      </c>
    </row>
    <row r="8753">
      <c r="A8753" s="1" t="s">
        <v>17155</v>
      </c>
      <c r="B8753" s="2" t="s">
        <v>17132</v>
      </c>
      <c r="C8753" s="1" t="s">
        <v>3164</v>
      </c>
      <c r="D8753" s="1" t="s">
        <v>3165</v>
      </c>
    </row>
    <row r="8754">
      <c r="A8754" s="1" t="s">
        <v>17156</v>
      </c>
      <c r="B8754" s="2" t="s">
        <v>5270</v>
      </c>
      <c r="C8754" s="1" t="s">
        <v>3164</v>
      </c>
      <c r="D8754" s="1" t="s">
        <v>3165</v>
      </c>
    </row>
    <row r="8755">
      <c r="A8755" s="1" t="s">
        <v>17157</v>
      </c>
      <c r="B8755" s="2" t="s">
        <v>5802</v>
      </c>
      <c r="C8755" s="1" t="s">
        <v>3164</v>
      </c>
      <c r="D8755" s="1" t="s">
        <v>3165</v>
      </c>
    </row>
    <row r="8756">
      <c r="A8756" s="1" t="s">
        <v>17158</v>
      </c>
      <c r="B8756" s="2" t="s">
        <v>17136</v>
      </c>
      <c r="C8756" s="1" t="s">
        <v>3164</v>
      </c>
      <c r="D8756" s="1" t="s">
        <v>3165</v>
      </c>
    </row>
    <row r="8757">
      <c r="A8757" s="1" t="s">
        <v>17159</v>
      </c>
      <c r="B8757" s="2" t="s">
        <v>17138</v>
      </c>
      <c r="C8757" s="1" t="s">
        <v>3164</v>
      </c>
      <c r="D8757" s="1" t="s">
        <v>3165</v>
      </c>
    </row>
    <row r="8758">
      <c r="A8758" s="1" t="s">
        <v>17160</v>
      </c>
      <c r="B8758" s="2" t="s">
        <v>17140</v>
      </c>
      <c r="C8758" s="1" t="s">
        <v>3164</v>
      </c>
      <c r="D8758" s="1" t="s">
        <v>3165</v>
      </c>
    </row>
    <row r="8759">
      <c r="A8759" s="1" t="s">
        <v>3168</v>
      </c>
      <c r="B8759" s="2" t="s">
        <v>7</v>
      </c>
      <c r="C8759" s="1" t="s">
        <v>3169</v>
      </c>
      <c r="D8759" s="1" t="s">
        <v>3170</v>
      </c>
    </row>
    <row r="8760">
      <c r="A8760" s="1" t="s">
        <v>17161</v>
      </c>
      <c r="B8760" s="2" t="s">
        <v>2820</v>
      </c>
      <c r="C8760" s="1" t="s">
        <v>3169</v>
      </c>
      <c r="D8760" s="1" t="s">
        <v>3170</v>
      </c>
    </row>
    <row r="8761">
      <c r="A8761" s="1" t="s">
        <v>17162</v>
      </c>
      <c r="B8761" s="2" t="s">
        <v>17126</v>
      </c>
      <c r="C8761" s="1" t="s">
        <v>3169</v>
      </c>
      <c r="D8761" s="1" t="s">
        <v>3170</v>
      </c>
    </row>
    <row r="8762">
      <c r="A8762" s="1" t="s">
        <v>17163</v>
      </c>
      <c r="B8762" s="2" t="s">
        <v>17128</v>
      </c>
      <c r="C8762" s="1" t="s">
        <v>3169</v>
      </c>
      <c r="D8762" s="1" t="s">
        <v>3170</v>
      </c>
    </row>
    <row r="8763">
      <c r="A8763" s="1" t="s">
        <v>17164</v>
      </c>
      <c r="B8763" s="2" t="s">
        <v>17130</v>
      </c>
      <c r="C8763" s="1" t="s">
        <v>3169</v>
      </c>
      <c r="D8763" s="1" t="s">
        <v>3170</v>
      </c>
    </row>
    <row r="8764">
      <c r="A8764" s="1" t="s">
        <v>17165</v>
      </c>
      <c r="B8764" s="2" t="s">
        <v>17132</v>
      </c>
      <c r="C8764" s="1" t="s">
        <v>3169</v>
      </c>
      <c r="D8764" s="1" t="s">
        <v>3170</v>
      </c>
    </row>
    <row r="8765">
      <c r="A8765" s="1" t="s">
        <v>17166</v>
      </c>
      <c r="B8765" s="2" t="s">
        <v>5270</v>
      </c>
      <c r="C8765" s="1" t="s">
        <v>3169</v>
      </c>
      <c r="D8765" s="1" t="s">
        <v>3170</v>
      </c>
    </row>
    <row r="8766">
      <c r="A8766" s="1" t="s">
        <v>17167</v>
      </c>
      <c r="B8766" s="2" t="s">
        <v>5802</v>
      </c>
      <c r="C8766" s="1" t="s">
        <v>3169</v>
      </c>
      <c r="D8766" s="1" t="s">
        <v>3170</v>
      </c>
    </row>
    <row r="8767">
      <c r="A8767" s="1" t="s">
        <v>17168</v>
      </c>
      <c r="B8767" s="2" t="s">
        <v>17136</v>
      </c>
      <c r="C8767" s="1" t="s">
        <v>3169</v>
      </c>
      <c r="D8767" s="1" t="s">
        <v>3170</v>
      </c>
    </row>
    <row r="8768">
      <c r="A8768" s="1" t="s">
        <v>17169</v>
      </c>
      <c r="B8768" s="2" t="s">
        <v>17138</v>
      </c>
      <c r="C8768" s="1" t="s">
        <v>3169</v>
      </c>
      <c r="D8768" s="1" t="s">
        <v>3170</v>
      </c>
    </row>
    <row r="8769">
      <c r="A8769" s="1" t="s">
        <v>17170</v>
      </c>
      <c r="B8769" s="2" t="s">
        <v>17140</v>
      </c>
      <c r="C8769" s="1" t="s">
        <v>3169</v>
      </c>
      <c r="D8769" s="1" t="s">
        <v>3170</v>
      </c>
    </row>
    <row r="8770">
      <c r="A8770" s="1" t="s">
        <v>3174</v>
      </c>
      <c r="B8770" s="2" t="s">
        <v>7</v>
      </c>
      <c r="C8770" s="1" t="s">
        <v>3176</v>
      </c>
      <c r="D8770" s="1" t="s">
        <v>3177</v>
      </c>
    </row>
    <row r="8771">
      <c r="A8771" s="1" t="s">
        <v>17171</v>
      </c>
      <c r="B8771" s="2" t="s">
        <v>2820</v>
      </c>
      <c r="C8771" s="1" t="s">
        <v>3176</v>
      </c>
      <c r="D8771" s="1" t="s">
        <v>3177</v>
      </c>
    </row>
    <row r="8772">
      <c r="A8772" s="1" t="s">
        <v>17172</v>
      </c>
      <c r="B8772" s="2" t="s">
        <v>17126</v>
      </c>
      <c r="C8772" s="1" t="s">
        <v>3176</v>
      </c>
      <c r="D8772" s="1" t="s">
        <v>3177</v>
      </c>
    </row>
    <row r="8773">
      <c r="A8773" s="1" t="s">
        <v>17173</v>
      </c>
      <c r="B8773" s="2" t="s">
        <v>17128</v>
      </c>
      <c r="C8773" s="1" t="s">
        <v>3176</v>
      </c>
      <c r="D8773" s="1" t="s">
        <v>3177</v>
      </c>
    </row>
    <row r="8774">
      <c r="A8774" s="1" t="s">
        <v>17174</v>
      </c>
      <c r="B8774" s="2" t="s">
        <v>17130</v>
      </c>
      <c r="C8774" s="1" t="s">
        <v>3176</v>
      </c>
      <c r="D8774" s="1" t="s">
        <v>3177</v>
      </c>
    </row>
    <row r="8775">
      <c r="A8775" s="1" t="s">
        <v>17175</v>
      </c>
      <c r="B8775" s="2" t="s">
        <v>17132</v>
      </c>
      <c r="C8775" s="1" t="s">
        <v>3176</v>
      </c>
      <c r="D8775" s="1" t="s">
        <v>3177</v>
      </c>
    </row>
    <row r="8776">
      <c r="A8776" s="1" t="s">
        <v>17176</v>
      </c>
      <c r="B8776" s="2" t="s">
        <v>5270</v>
      </c>
      <c r="C8776" s="1" t="s">
        <v>3176</v>
      </c>
      <c r="D8776" s="1" t="s">
        <v>3177</v>
      </c>
    </row>
    <row r="8777">
      <c r="A8777" s="1" t="s">
        <v>17177</v>
      </c>
      <c r="B8777" s="2" t="s">
        <v>5802</v>
      </c>
      <c r="C8777" s="1" t="s">
        <v>3176</v>
      </c>
      <c r="D8777" s="1" t="s">
        <v>3177</v>
      </c>
    </row>
    <row r="8778">
      <c r="A8778" s="1" t="s">
        <v>17178</v>
      </c>
      <c r="B8778" s="2" t="s">
        <v>17136</v>
      </c>
      <c r="C8778" s="1" t="s">
        <v>3176</v>
      </c>
      <c r="D8778" s="1" t="s">
        <v>3177</v>
      </c>
    </row>
    <row r="8779">
      <c r="A8779" s="1" t="s">
        <v>17179</v>
      </c>
      <c r="B8779" s="2" t="s">
        <v>17138</v>
      </c>
      <c r="C8779" s="1" t="s">
        <v>3176</v>
      </c>
      <c r="D8779" s="1" t="s">
        <v>3177</v>
      </c>
    </row>
    <row r="8780">
      <c r="A8780" s="1" t="s">
        <v>17180</v>
      </c>
      <c r="B8780" s="2" t="s">
        <v>17140</v>
      </c>
      <c r="C8780" s="1" t="s">
        <v>3176</v>
      </c>
      <c r="D8780" s="1" t="s">
        <v>3177</v>
      </c>
    </row>
    <row r="8781">
      <c r="A8781" s="1" t="s">
        <v>3180</v>
      </c>
      <c r="B8781" s="2" t="s">
        <v>7</v>
      </c>
      <c r="C8781" s="1" t="s">
        <v>3182</v>
      </c>
      <c r="D8781" s="1" t="s">
        <v>3183</v>
      </c>
    </row>
    <row r="8782">
      <c r="A8782" s="1" t="s">
        <v>17181</v>
      </c>
      <c r="B8782" s="2" t="s">
        <v>2820</v>
      </c>
      <c r="C8782" s="1" t="s">
        <v>3182</v>
      </c>
      <c r="D8782" s="1" t="s">
        <v>3183</v>
      </c>
    </row>
    <row r="8783">
      <c r="A8783" s="1" t="s">
        <v>17182</v>
      </c>
      <c r="B8783" s="2" t="s">
        <v>17126</v>
      </c>
      <c r="C8783" s="1" t="s">
        <v>3182</v>
      </c>
      <c r="D8783" s="1" t="s">
        <v>3183</v>
      </c>
    </row>
    <row r="8784">
      <c r="A8784" s="1" t="s">
        <v>17183</v>
      </c>
      <c r="B8784" s="2" t="s">
        <v>17128</v>
      </c>
      <c r="C8784" s="1" t="s">
        <v>3182</v>
      </c>
      <c r="D8784" s="1" t="s">
        <v>3183</v>
      </c>
    </row>
    <row r="8785">
      <c r="A8785" s="1" t="s">
        <v>17184</v>
      </c>
      <c r="B8785" s="2" t="s">
        <v>17130</v>
      </c>
      <c r="C8785" s="1" t="s">
        <v>3182</v>
      </c>
      <c r="D8785" s="1" t="s">
        <v>3183</v>
      </c>
    </row>
    <row r="8786">
      <c r="A8786" s="1" t="s">
        <v>17185</v>
      </c>
      <c r="B8786" s="2" t="s">
        <v>17132</v>
      </c>
      <c r="C8786" s="1" t="s">
        <v>3182</v>
      </c>
      <c r="D8786" s="1" t="s">
        <v>3183</v>
      </c>
    </row>
    <row r="8787">
      <c r="A8787" s="1" t="s">
        <v>17186</v>
      </c>
      <c r="B8787" s="2" t="s">
        <v>5270</v>
      </c>
      <c r="C8787" s="1" t="s">
        <v>3182</v>
      </c>
      <c r="D8787" s="1" t="s">
        <v>3183</v>
      </c>
    </row>
    <row r="8788">
      <c r="A8788" s="1" t="s">
        <v>17187</v>
      </c>
      <c r="B8788" s="2" t="s">
        <v>5802</v>
      </c>
      <c r="C8788" s="1" t="s">
        <v>3182</v>
      </c>
      <c r="D8788" s="1" t="s">
        <v>3183</v>
      </c>
    </row>
    <row r="8789">
      <c r="A8789" s="1" t="s">
        <v>17188</v>
      </c>
      <c r="B8789" s="2" t="s">
        <v>17136</v>
      </c>
      <c r="C8789" s="1" t="s">
        <v>3182</v>
      </c>
      <c r="D8789" s="1" t="s">
        <v>3183</v>
      </c>
    </row>
    <row r="8790">
      <c r="A8790" s="1" t="s">
        <v>17189</v>
      </c>
      <c r="B8790" s="2" t="s">
        <v>17138</v>
      </c>
      <c r="C8790" s="1" t="s">
        <v>3182</v>
      </c>
      <c r="D8790" s="1" t="s">
        <v>3183</v>
      </c>
    </row>
    <row r="8791">
      <c r="A8791" s="1" t="s">
        <v>17190</v>
      </c>
      <c r="B8791" s="2" t="s">
        <v>17140</v>
      </c>
      <c r="C8791" s="1" t="s">
        <v>3182</v>
      </c>
      <c r="D8791" s="1" t="s">
        <v>3183</v>
      </c>
    </row>
    <row r="8792">
      <c r="A8792" s="1" t="s">
        <v>3187</v>
      </c>
      <c r="B8792" s="2" t="s">
        <v>7</v>
      </c>
      <c r="C8792" s="1" t="s">
        <v>3188</v>
      </c>
      <c r="D8792" s="1" t="s">
        <v>3190</v>
      </c>
    </row>
    <row r="8793">
      <c r="A8793" s="1" t="s">
        <v>17191</v>
      </c>
      <c r="B8793" s="2" t="s">
        <v>2820</v>
      </c>
      <c r="C8793" s="1" t="s">
        <v>3188</v>
      </c>
      <c r="D8793" s="1" t="s">
        <v>3190</v>
      </c>
    </row>
    <row r="8794">
      <c r="A8794" s="1" t="s">
        <v>17192</v>
      </c>
      <c r="B8794" s="2" t="s">
        <v>17126</v>
      </c>
      <c r="C8794" s="1" t="s">
        <v>3188</v>
      </c>
      <c r="D8794" s="1" t="s">
        <v>3190</v>
      </c>
    </row>
    <row r="8795">
      <c r="A8795" s="1" t="s">
        <v>17193</v>
      </c>
      <c r="B8795" s="2" t="s">
        <v>17128</v>
      </c>
      <c r="C8795" s="1" t="s">
        <v>3188</v>
      </c>
      <c r="D8795" s="1" t="s">
        <v>3190</v>
      </c>
    </row>
    <row r="8796">
      <c r="A8796" s="1" t="s">
        <v>17194</v>
      </c>
      <c r="B8796" s="2" t="s">
        <v>17130</v>
      </c>
      <c r="C8796" s="1" t="s">
        <v>3188</v>
      </c>
      <c r="D8796" s="1" t="s">
        <v>3190</v>
      </c>
    </row>
    <row r="8797">
      <c r="A8797" s="1" t="s">
        <v>17195</v>
      </c>
      <c r="B8797" s="2" t="s">
        <v>17132</v>
      </c>
      <c r="C8797" s="1" t="s">
        <v>3188</v>
      </c>
      <c r="D8797" s="1" t="s">
        <v>3190</v>
      </c>
    </row>
    <row r="8798">
      <c r="A8798" s="1" t="s">
        <v>17196</v>
      </c>
      <c r="B8798" s="2" t="s">
        <v>5270</v>
      </c>
      <c r="C8798" s="1" t="s">
        <v>3188</v>
      </c>
      <c r="D8798" s="1" t="s">
        <v>3190</v>
      </c>
    </row>
    <row r="8799">
      <c r="A8799" s="1" t="s">
        <v>17197</v>
      </c>
      <c r="B8799" s="2" t="s">
        <v>5802</v>
      </c>
      <c r="C8799" s="1" t="s">
        <v>3188</v>
      </c>
      <c r="D8799" s="1" t="s">
        <v>3190</v>
      </c>
    </row>
    <row r="8800">
      <c r="A8800" s="1" t="s">
        <v>17198</v>
      </c>
      <c r="B8800" s="2" t="s">
        <v>17136</v>
      </c>
      <c r="C8800" s="1" t="s">
        <v>3188</v>
      </c>
      <c r="D8800" s="1" t="s">
        <v>3190</v>
      </c>
    </row>
    <row r="8801">
      <c r="A8801" s="1" t="s">
        <v>17199</v>
      </c>
      <c r="B8801" s="2" t="s">
        <v>17138</v>
      </c>
      <c r="C8801" s="1" t="s">
        <v>3188</v>
      </c>
      <c r="D8801" s="1" t="s">
        <v>3190</v>
      </c>
    </row>
    <row r="8802">
      <c r="A8802" s="1" t="s">
        <v>17200</v>
      </c>
      <c r="B8802" s="2" t="s">
        <v>17140</v>
      </c>
      <c r="C8802" s="1" t="s">
        <v>3188</v>
      </c>
      <c r="D8802" s="1" t="s">
        <v>3190</v>
      </c>
    </row>
    <row r="8803">
      <c r="A8803" s="1" t="s">
        <v>3199</v>
      </c>
      <c r="B8803" s="2" t="s">
        <v>7</v>
      </c>
      <c r="C8803" s="1" t="s">
        <v>3201</v>
      </c>
      <c r="D8803" s="1" t="s">
        <v>3203</v>
      </c>
    </row>
    <row r="8804">
      <c r="A8804" s="1" t="s">
        <v>17201</v>
      </c>
      <c r="B8804" s="2" t="s">
        <v>2820</v>
      </c>
      <c r="C8804" s="1" t="s">
        <v>3201</v>
      </c>
      <c r="D8804" s="1" t="s">
        <v>3203</v>
      </c>
    </row>
    <row r="8805">
      <c r="A8805" s="1" t="s">
        <v>17202</v>
      </c>
      <c r="B8805" s="2" t="s">
        <v>17126</v>
      </c>
      <c r="C8805" s="1" t="s">
        <v>3201</v>
      </c>
      <c r="D8805" s="1" t="s">
        <v>3203</v>
      </c>
    </row>
    <row r="8806">
      <c r="A8806" s="1" t="s">
        <v>17203</v>
      </c>
      <c r="B8806" s="2" t="s">
        <v>17128</v>
      </c>
      <c r="C8806" s="1" t="s">
        <v>3201</v>
      </c>
      <c r="D8806" s="1" t="s">
        <v>3203</v>
      </c>
    </row>
    <row r="8807">
      <c r="A8807" s="1" t="s">
        <v>17204</v>
      </c>
      <c r="B8807" s="2" t="s">
        <v>17130</v>
      </c>
      <c r="C8807" s="1" t="s">
        <v>3201</v>
      </c>
      <c r="D8807" s="1" t="s">
        <v>3203</v>
      </c>
    </row>
    <row r="8808">
      <c r="A8808" s="1" t="s">
        <v>17205</v>
      </c>
      <c r="B8808" s="2" t="s">
        <v>17132</v>
      </c>
      <c r="C8808" s="1" t="s">
        <v>3201</v>
      </c>
      <c r="D8808" s="1" t="s">
        <v>3203</v>
      </c>
    </row>
    <row r="8809">
      <c r="A8809" s="1" t="s">
        <v>17206</v>
      </c>
      <c r="B8809" s="2" t="s">
        <v>5270</v>
      </c>
      <c r="C8809" s="1" t="s">
        <v>3201</v>
      </c>
      <c r="D8809" s="1" t="s">
        <v>3203</v>
      </c>
    </row>
    <row r="8810">
      <c r="A8810" s="1" t="s">
        <v>17207</v>
      </c>
      <c r="B8810" s="2" t="s">
        <v>5802</v>
      </c>
      <c r="C8810" s="1" t="s">
        <v>3201</v>
      </c>
      <c r="D8810" s="1" t="s">
        <v>3203</v>
      </c>
    </row>
    <row r="8811">
      <c r="A8811" s="1" t="s">
        <v>17208</v>
      </c>
      <c r="B8811" s="2" t="s">
        <v>17136</v>
      </c>
      <c r="C8811" s="1" t="s">
        <v>3201</v>
      </c>
      <c r="D8811" s="1" t="s">
        <v>3203</v>
      </c>
    </row>
    <row r="8812">
      <c r="A8812" s="1" t="s">
        <v>17209</v>
      </c>
      <c r="B8812" s="2" t="s">
        <v>17138</v>
      </c>
      <c r="C8812" s="1" t="s">
        <v>3201</v>
      </c>
      <c r="D8812" s="1" t="s">
        <v>3203</v>
      </c>
    </row>
    <row r="8813">
      <c r="A8813" s="1" t="s">
        <v>17210</v>
      </c>
      <c r="B8813" s="2" t="s">
        <v>17140</v>
      </c>
      <c r="C8813" s="1" t="s">
        <v>3201</v>
      </c>
      <c r="D8813" s="1" t="s">
        <v>3203</v>
      </c>
    </row>
    <row r="8814">
      <c r="A8814" s="1" t="s">
        <v>3205</v>
      </c>
      <c r="B8814" s="2" t="s">
        <v>7</v>
      </c>
      <c r="C8814" s="1" t="s">
        <v>3207</v>
      </c>
      <c r="D8814" s="1" t="s">
        <v>3208</v>
      </c>
    </row>
    <row r="8815">
      <c r="A8815" s="1" t="s">
        <v>17211</v>
      </c>
      <c r="B8815" s="2" t="s">
        <v>2820</v>
      </c>
      <c r="C8815" s="1" t="s">
        <v>3207</v>
      </c>
      <c r="D8815" s="1" t="s">
        <v>3208</v>
      </c>
    </row>
    <row r="8816">
      <c r="A8816" s="1" t="s">
        <v>17212</v>
      </c>
      <c r="B8816" s="2" t="s">
        <v>17126</v>
      </c>
      <c r="C8816" s="1" t="s">
        <v>3207</v>
      </c>
      <c r="D8816" s="1" t="s">
        <v>3208</v>
      </c>
    </row>
    <row r="8817">
      <c r="A8817" s="1" t="s">
        <v>17213</v>
      </c>
      <c r="B8817" s="2" t="s">
        <v>17128</v>
      </c>
      <c r="C8817" s="1" t="s">
        <v>3207</v>
      </c>
      <c r="D8817" s="1" t="s">
        <v>3208</v>
      </c>
    </row>
    <row r="8818">
      <c r="A8818" s="1" t="s">
        <v>17214</v>
      </c>
      <c r="B8818" s="2" t="s">
        <v>17130</v>
      </c>
      <c r="C8818" s="1" t="s">
        <v>3207</v>
      </c>
      <c r="D8818" s="1" t="s">
        <v>3208</v>
      </c>
    </row>
    <row r="8819">
      <c r="A8819" s="1" t="s">
        <v>17215</v>
      </c>
      <c r="B8819" s="2" t="s">
        <v>17132</v>
      </c>
      <c r="C8819" s="1" t="s">
        <v>3207</v>
      </c>
      <c r="D8819" s="1" t="s">
        <v>3208</v>
      </c>
    </row>
    <row r="8820">
      <c r="A8820" s="1" t="s">
        <v>17216</v>
      </c>
      <c r="B8820" s="2" t="s">
        <v>5270</v>
      </c>
      <c r="C8820" s="1" t="s">
        <v>3207</v>
      </c>
      <c r="D8820" s="1" t="s">
        <v>3208</v>
      </c>
    </row>
    <row r="8821">
      <c r="A8821" s="1" t="s">
        <v>17217</v>
      </c>
      <c r="B8821" s="2" t="s">
        <v>5802</v>
      </c>
      <c r="C8821" s="1" t="s">
        <v>3207</v>
      </c>
      <c r="D8821" s="1" t="s">
        <v>3208</v>
      </c>
    </row>
    <row r="8822">
      <c r="A8822" s="1" t="s">
        <v>17218</v>
      </c>
      <c r="B8822" s="2" t="s">
        <v>17136</v>
      </c>
      <c r="C8822" s="1" t="s">
        <v>3207</v>
      </c>
      <c r="D8822" s="1" t="s">
        <v>3208</v>
      </c>
    </row>
    <row r="8823">
      <c r="A8823" s="1" t="s">
        <v>17219</v>
      </c>
      <c r="B8823" s="2" t="s">
        <v>17138</v>
      </c>
      <c r="C8823" s="1" t="s">
        <v>3207</v>
      </c>
      <c r="D8823" s="1" t="s">
        <v>3208</v>
      </c>
    </row>
    <row r="8824">
      <c r="A8824" s="1" t="s">
        <v>17220</v>
      </c>
      <c r="B8824" s="2" t="s">
        <v>17140</v>
      </c>
      <c r="C8824" s="1" t="s">
        <v>3207</v>
      </c>
      <c r="D8824" s="1" t="s">
        <v>3208</v>
      </c>
    </row>
    <row r="8825">
      <c r="A8825" s="1" t="s">
        <v>3142</v>
      </c>
      <c r="B8825" s="2" t="s">
        <v>7</v>
      </c>
      <c r="C8825" s="1" t="s">
        <v>3144</v>
      </c>
      <c r="D8825" s="1" t="s">
        <v>3145</v>
      </c>
    </row>
    <row r="8826">
      <c r="A8826" s="1" t="s">
        <v>17221</v>
      </c>
      <c r="B8826" s="2" t="s">
        <v>2820</v>
      </c>
      <c r="C8826" s="1" t="s">
        <v>3144</v>
      </c>
      <c r="D8826" s="1" t="s">
        <v>3145</v>
      </c>
    </row>
    <row r="8827">
      <c r="A8827" s="1" t="s">
        <v>17222</v>
      </c>
      <c r="B8827" s="2" t="s">
        <v>17126</v>
      </c>
      <c r="C8827" s="1" t="s">
        <v>3144</v>
      </c>
      <c r="D8827" s="1" t="s">
        <v>3145</v>
      </c>
    </row>
    <row r="8828">
      <c r="A8828" s="1" t="s">
        <v>17223</v>
      </c>
      <c r="B8828" s="2" t="s">
        <v>17224</v>
      </c>
      <c r="C8828" s="1" t="s">
        <v>3144</v>
      </c>
      <c r="D8828" s="1" t="s">
        <v>3145</v>
      </c>
    </row>
    <row r="8829">
      <c r="A8829" s="1" t="s">
        <v>17225</v>
      </c>
      <c r="B8829" s="2" t="s">
        <v>17226</v>
      </c>
      <c r="C8829" s="1" t="s">
        <v>3144</v>
      </c>
      <c r="D8829" s="1" t="s">
        <v>3145</v>
      </c>
    </row>
    <row r="8830">
      <c r="A8830" s="1" t="s">
        <v>17227</v>
      </c>
      <c r="B8830" s="2" t="s">
        <v>17228</v>
      </c>
      <c r="C8830" s="1" t="s">
        <v>3144</v>
      </c>
      <c r="D8830" s="1" t="s">
        <v>3145</v>
      </c>
    </row>
    <row r="8831">
      <c r="A8831" s="1" t="s">
        <v>17229</v>
      </c>
      <c r="B8831" s="2" t="s">
        <v>17230</v>
      </c>
      <c r="C8831" s="1" t="s">
        <v>3144</v>
      </c>
      <c r="D8831" s="1" t="s">
        <v>3145</v>
      </c>
    </row>
    <row r="8832">
      <c r="A8832" s="1" t="s">
        <v>17231</v>
      </c>
      <c r="B8832" s="2" t="s">
        <v>17232</v>
      </c>
      <c r="C8832" s="1" t="s">
        <v>3144</v>
      </c>
      <c r="D8832" s="1" t="s">
        <v>3145</v>
      </c>
    </row>
    <row r="8833">
      <c r="A8833" s="1" t="s">
        <v>17233</v>
      </c>
      <c r="B8833" s="2" t="s">
        <v>17234</v>
      </c>
      <c r="C8833" s="1" t="s">
        <v>3144</v>
      </c>
      <c r="D8833" s="1" t="s">
        <v>3145</v>
      </c>
    </row>
    <row r="8834">
      <c r="A8834" s="1" t="s">
        <v>17235</v>
      </c>
      <c r="B8834" s="2" t="s">
        <v>17236</v>
      </c>
      <c r="C8834" s="1" t="s">
        <v>3144</v>
      </c>
      <c r="D8834" s="1" t="s">
        <v>3145</v>
      </c>
    </row>
    <row r="8835">
      <c r="A8835" s="1" t="s">
        <v>17237</v>
      </c>
      <c r="B8835" s="2" t="s">
        <v>17238</v>
      </c>
      <c r="C8835" s="1" t="s">
        <v>3144</v>
      </c>
      <c r="D8835" s="1" t="s">
        <v>3145</v>
      </c>
    </row>
    <row r="8836">
      <c r="A8836" s="1" t="s">
        <v>17239</v>
      </c>
      <c r="B8836" s="2" t="s">
        <v>17240</v>
      </c>
      <c r="C8836" s="1" t="s">
        <v>3144</v>
      </c>
      <c r="D8836" s="1" t="s">
        <v>3145</v>
      </c>
    </row>
    <row r="8837">
      <c r="A8837" s="1" t="s">
        <v>17241</v>
      </c>
      <c r="B8837" s="2" t="s">
        <v>17242</v>
      </c>
      <c r="C8837" s="1" t="s">
        <v>3144</v>
      </c>
      <c r="D8837" s="1" t="s">
        <v>3145</v>
      </c>
    </row>
    <row r="8838">
      <c r="A8838" s="1" t="s">
        <v>17243</v>
      </c>
      <c r="B8838" s="2" t="s">
        <v>17244</v>
      </c>
      <c r="C8838" s="1" t="s">
        <v>3144</v>
      </c>
      <c r="D8838" s="1" t="s">
        <v>3145</v>
      </c>
    </row>
    <row r="8839">
      <c r="A8839" s="1" t="s">
        <v>17245</v>
      </c>
      <c r="B8839" s="2" t="s">
        <v>17246</v>
      </c>
      <c r="C8839" s="1" t="s">
        <v>3144</v>
      </c>
      <c r="D8839" s="1" t="s">
        <v>3145</v>
      </c>
    </row>
    <row r="8840">
      <c r="A8840" s="1" t="s">
        <v>17247</v>
      </c>
      <c r="B8840" s="2" t="s">
        <v>17248</v>
      </c>
      <c r="C8840" s="1" t="s">
        <v>3144</v>
      </c>
      <c r="D8840" s="1" t="s">
        <v>3145</v>
      </c>
    </row>
    <row r="8841">
      <c r="A8841" s="1" t="s">
        <v>17249</v>
      </c>
      <c r="B8841" s="2" t="s">
        <v>17250</v>
      </c>
      <c r="C8841" s="1" t="s">
        <v>3144</v>
      </c>
      <c r="D8841" s="1" t="s">
        <v>3145</v>
      </c>
    </row>
    <row r="8842">
      <c r="A8842" s="1" t="s">
        <v>17251</v>
      </c>
      <c r="B8842" s="2" t="s">
        <v>17252</v>
      </c>
      <c r="C8842" s="1" t="s">
        <v>3144</v>
      </c>
      <c r="D8842" s="1" t="s">
        <v>3145</v>
      </c>
    </row>
    <row r="8843">
      <c r="A8843" s="1" t="s">
        <v>17253</v>
      </c>
      <c r="B8843" s="2" t="s">
        <v>17254</v>
      </c>
      <c r="C8843" s="1" t="s">
        <v>3144</v>
      </c>
      <c r="D8843" s="1" t="s">
        <v>3145</v>
      </c>
    </row>
    <row r="8844">
      <c r="A8844" s="1" t="s">
        <v>17255</v>
      </c>
      <c r="B8844" s="2" t="s">
        <v>17256</v>
      </c>
      <c r="C8844" s="1" t="s">
        <v>3144</v>
      </c>
      <c r="D8844" s="1" t="s">
        <v>3145</v>
      </c>
    </row>
    <row r="8845">
      <c r="A8845" s="1" t="s">
        <v>17257</v>
      </c>
      <c r="B8845" s="2" t="s">
        <v>17258</v>
      </c>
      <c r="C8845" s="1" t="s">
        <v>3144</v>
      </c>
      <c r="D8845" s="1" t="s">
        <v>3145</v>
      </c>
    </row>
    <row r="8846">
      <c r="A8846" s="1" t="s">
        <v>17259</v>
      </c>
      <c r="B8846" s="2" t="s">
        <v>17260</v>
      </c>
      <c r="C8846" s="1" t="s">
        <v>3144</v>
      </c>
      <c r="D8846" s="1" t="s">
        <v>3145</v>
      </c>
    </row>
    <row r="8847">
      <c r="A8847" s="1" t="s">
        <v>17261</v>
      </c>
      <c r="B8847" s="2" t="s">
        <v>17262</v>
      </c>
      <c r="C8847" s="1" t="s">
        <v>3144</v>
      </c>
      <c r="D8847" s="1" t="s">
        <v>3145</v>
      </c>
    </row>
    <row r="8848">
      <c r="A8848" s="1" t="s">
        <v>17263</v>
      </c>
      <c r="B8848" s="2" t="s">
        <v>5270</v>
      </c>
      <c r="C8848" s="1" t="s">
        <v>3144</v>
      </c>
      <c r="D8848" s="1" t="s">
        <v>3145</v>
      </c>
    </row>
    <row r="8849">
      <c r="A8849" s="1" t="s">
        <v>17264</v>
      </c>
      <c r="B8849" s="2" t="s">
        <v>5802</v>
      </c>
      <c r="C8849" s="1" t="s">
        <v>3144</v>
      </c>
      <c r="D8849" s="1" t="s">
        <v>3145</v>
      </c>
    </row>
    <row r="8850">
      <c r="A8850" s="1" t="s">
        <v>17265</v>
      </c>
      <c r="B8850" s="2" t="s">
        <v>5804</v>
      </c>
      <c r="C8850" s="1" t="s">
        <v>3144</v>
      </c>
      <c r="D8850" s="1" t="s">
        <v>3145</v>
      </c>
    </row>
    <row r="8851">
      <c r="A8851" s="1" t="s">
        <v>17266</v>
      </c>
      <c r="B8851" s="2" t="s">
        <v>5807</v>
      </c>
      <c r="C8851" s="1" t="s">
        <v>3144</v>
      </c>
      <c r="D8851" s="1" t="s">
        <v>3145</v>
      </c>
    </row>
    <row r="8852">
      <c r="A8852" s="1" t="s">
        <v>17267</v>
      </c>
      <c r="B8852" s="2" t="s">
        <v>17268</v>
      </c>
      <c r="C8852" s="1" t="s">
        <v>3144</v>
      </c>
      <c r="D8852" s="1" t="s">
        <v>3145</v>
      </c>
    </row>
    <row r="8853">
      <c r="A8853" s="1" t="s">
        <v>17269</v>
      </c>
      <c r="B8853" s="2" t="s">
        <v>17270</v>
      </c>
      <c r="C8853" s="1" t="s">
        <v>3144</v>
      </c>
      <c r="D8853" s="1" t="s">
        <v>3145</v>
      </c>
    </row>
    <row r="8854">
      <c r="A8854" s="1" t="s">
        <v>17271</v>
      </c>
      <c r="B8854" s="2" t="s">
        <v>17272</v>
      </c>
      <c r="C8854" s="1" t="s">
        <v>3144</v>
      </c>
      <c r="D8854" s="1" t="s">
        <v>3145</v>
      </c>
    </row>
    <row r="8855">
      <c r="A8855" s="1" t="s">
        <v>17273</v>
      </c>
      <c r="B8855" s="2" t="s">
        <v>17274</v>
      </c>
      <c r="C8855" s="1" t="s">
        <v>3144</v>
      </c>
      <c r="D8855" s="1" t="s">
        <v>3145</v>
      </c>
    </row>
    <row r="8856">
      <c r="A8856" s="1" t="s">
        <v>17275</v>
      </c>
      <c r="B8856" s="2" t="s">
        <v>17276</v>
      </c>
      <c r="C8856" s="1" t="s">
        <v>3144</v>
      </c>
      <c r="D8856" s="1" t="s">
        <v>3145</v>
      </c>
    </row>
    <row r="8857">
      <c r="A8857" s="1" t="s">
        <v>17277</v>
      </c>
      <c r="B8857" s="2" t="s">
        <v>17278</v>
      </c>
      <c r="C8857" s="1" t="s">
        <v>3144</v>
      </c>
      <c r="D8857" s="1" t="s">
        <v>3145</v>
      </c>
    </row>
    <row r="8858">
      <c r="A8858" s="1" t="s">
        <v>17279</v>
      </c>
      <c r="B8858" s="2" t="s">
        <v>17280</v>
      </c>
      <c r="C8858" s="1" t="s">
        <v>3144</v>
      </c>
      <c r="D8858" s="1" t="s">
        <v>3145</v>
      </c>
    </row>
    <row r="8859">
      <c r="A8859" s="1" t="s">
        <v>17281</v>
      </c>
      <c r="B8859" s="2" t="s">
        <v>17282</v>
      </c>
      <c r="C8859" s="1" t="s">
        <v>3144</v>
      </c>
      <c r="D8859" s="1" t="s">
        <v>3145</v>
      </c>
    </row>
    <row r="8860">
      <c r="A8860" s="1" t="s">
        <v>17283</v>
      </c>
      <c r="B8860" s="2" t="s">
        <v>17284</v>
      </c>
      <c r="C8860" s="1" t="s">
        <v>3144</v>
      </c>
      <c r="D8860" s="1" t="s">
        <v>3145</v>
      </c>
    </row>
    <row r="8861">
      <c r="A8861" s="1" t="s">
        <v>17285</v>
      </c>
      <c r="B8861" s="2" t="s">
        <v>17286</v>
      </c>
      <c r="C8861" s="1" t="s">
        <v>3144</v>
      </c>
      <c r="D8861" s="1" t="s">
        <v>3145</v>
      </c>
    </row>
    <row r="8862">
      <c r="A8862" s="1" t="s">
        <v>17287</v>
      </c>
      <c r="B8862" s="2" t="s">
        <v>17288</v>
      </c>
      <c r="C8862" s="1" t="s">
        <v>3144</v>
      </c>
      <c r="D8862" s="1" t="s">
        <v>3145</v>
      </c>
    </row>
    <row r="8863">
      <c r="A8863" s="1" t="s">
        <v>17289</v>
      </c>
      <c r="B8863" s="2" t="s">
        <v>17290</v>
      </c>
      <c r="C8863" s="1" t="s">
        <v>3144</v>
      </c>
      <c r="D8863" s="1" t="s">
        <v>3145</v>
      </c>
    </row>
    <row r="8864">
      <c r="A8864" s="1" t="s">
        <v>17291</v>
      </c>
      <c r="B8864" s="2" t="s">
        <v>17292</v>
      </c>
      <c r="C8864" s="1" t="s">
        <v>3144</v>
      </c>
      <c r="D8864" s="1" t="s">
        <v>3145</v>
      </c>
    </row>
    <row r="8865">
      <c r="A8865" s="1" t="s">
        <v>17293</v>
      </c>
      <c r="B8865" s="2" t="s">
        <v>5813</v>
      </c>
      <c r="C8865" s="1" t="s">
        <v>3144</v>
      </c>
      <c r="D8865" s="1" t="s">
        <v>3145</v>
      </c>
    </row>
    <row r="8866">
      <c r="A8866" s="1" t="s">
        <v>17294</v>
      </c>
      <c r="B8866" s="2" t="s">
        <v>5816</v>
      </c>
      <c r="C8866" s="1" t="s">
        <v>3144</v>
      </c>
      <c r="D8866" s="1" t="s">
        <v>3145</v>
      </c>
    </row>
    <row r="8867">
      <c r="A8867" s="1" t="s">
        <v>17295</v>
      </c>
      <c r="B8867" s="2" t="s">
        <v>17296</v>
      </c>
      <c r="C8867" s="1" t="s">
        <v>3144</v>
      </c>
      <c r="D8867" s="1" t="s">
        <v>3145</v>
      </c>
    </row>
    <row r="8868">
      <c r="A8868" s="1" t="s">
        <v>17297</v>
      </c>
      <c r="B8868" s="2" t="s">
        <v>17298</v>
      </c>
      <c r="C8868" s="1" t="s">
        <v>3144</v>
      </c>
      <c r="D8868" s="1" t="s">
        <v>3145</v>
      </c>
    </row>
    <row r="8869">
      <c r="A8869" s="1" t="s">
        <v>17299</v>
      </c>
      <c r="B8869" s="2" t="s">
        <v>17300</v>
      </c>
      <c r="C8869" s="1" t="s">
        <v>3144</v>
      </c>
      <c r="D8869" s="1" t="s">
        <v>3145</v>
      </c>
    </row>
    <row r="8870">
      <c r="A8870" s="1" t="s">
        <v>3211</v>
      </c>
      <c r="B8870" s="2" t="s">
        <v>7</v>
      </c>
      <c r="C8870" s="1" t="s">
        <v>3213</v>
      </c>
      <c r="D8870" s="1" t="s">
        <v>3215</v>
      </c>
    </row>
    <row r="8871">
      <c r="A8871" s="1" t="s">
        <v>17301</v>
      </c>
      <c r="B8871" s="2" t="s">
        <v>5721</v>
      </c>
      <c r="C8871" s="1" t="s">
        <v>3213</v>
      </c>
      <c r="D8871" s="1" t="s">
        <v>3215</v>
      </c>
    </row>
    <row r="8872">
      <c r="A8872" s="1" t="s">
        <v>17302</v>
      </c>
      <c r="B8872" s="2" t="s">
        <v>5723</v>
      </c>
      <c r="C8872" s="1" t="s">
        <v>3213</v>
      </c>
      <c r="D8872" s="1" t="s">
        <v>3215</v>
      </c>
    </row>
    <row r="8873">
      <c r="A8873" s="1" t="s">
        <v>17303</v>
      </c>
      <c r="B8873" s="2" t="s">
        <v>5728</v>
      </c>
      <c r="C8873" s="1" t="s">
        <v>3213</v>
      </c>
      <c r="D8873" s="1" t="s">
        <v>3215</v>
      </c>
    </row>
    <row r="8874">
      <c r="A8874" s="1" t="s">
        <v>17304</v>
      </c>
      <c r="B8874" s="2" t="s">
        <v>17305</v>
      </c>
      <c r="C8874" s="1" t="s">
        <v>3213</v>
      </c>
      <c r="D8874" s="1" t="s">
        <v>3215</v>
      </c>
    </row>
    <row r="8875">
      <c r="A8875" s="1" t="s">
        <v>17306</v>
      </c>
      <c r="B8875" s="2" t="s">
        <v>17307</v>
      </c>
      <c r="C8875" s="1" t="s">
        <v>3213</v>
      </c>
      <c r="D8875" s="1" t="s">
        <v>3215</v>
      </c>
    </row>
    <row r="8876">
      <c r="A8876" s="1" t="s">
        <v>17308</v>
      </c>
      <c r="B8876" s="2" t="s">
        <v>17309</v>
      </c>
      <c r="C8876" s="1" t="s">
        <v>3213</v>
      </c>
      <c r="D8876" s="1" t="s">
        <v>3215</v>
      </c>
    </row>
    <row r="8877">
      <c r="A8877" s="1" t="s">
        <v>17310</v>
      </c>
      <c r="B8877" s="2" t="s">
        <v>17311</v>
      </c>
      <c r="C8877" s="1" t="s">
        <v>3213</v>
      </c>
      <c r="D8877" s="1" t="s">
        <v>3215</v>
      </c>
    </row>
    <row r="8878">
      <c r="A8878" s="1" t="s">
        <v>3220</v>
      </c>
      <c r="B8878" s="2" t="s">
        <v>7</v>
      </c>
      <c r="C8878" s="1" t="s">
        <v>3222</v>
      </c>
      <c r="D8878" s="1" t="s">
        <v>3223</v>
      </c>
    </row>
    <row r="8879">
      <c r="A8879" s="1" t="s">
        <v>17312</v>
      </c>
      <c r="B8879" s="2" t="s">
        <v>16974</v>
      </c>
      <c r="C8879" s="1" t="s">
        <v>3222</v>
      </c>
      <c r="D8879" s="1" t="s">
        <v>3223</v>
      </c>
    </row>
    <row r="8880">
      <c r="A8880" s="1" t="s">
        <v>17313</v>
      </c>
      <c r="B8880" s="2" t="s">
        <v>16976</v>
      </c>
      <c r="C8880" s="1" t="s">
        <v>3222</v>
      </c>
      <c r="D8880" s="1" t="s">
        <v>3223</v>
      </c>
    </row>
    <row r="8881">
      <c r="A8881" s="1" t="s">
        <v>17314</v>
      </c>
      <c r="B8881" s="2" t="s">
        <v>16978</v>
      </c>
      <c r="C8881" s="1" t="s">
        <v>3222</v>
      </c>
      <c r="D8881" s="1" t="s">
        <v>3223</v>
      </c>
    </row>
    <row r="8882">
      <c r="A8882" s="1" t="s">
        <v>17315</v>
      </c>
      <c r="B8882" s="2" t="s">
        <v>16980</v>
      </c>
      <c r="C8882" s="1" t="s">
        <v>3222</v>
      </c>
      <c r="D8882" s="1" t="s">
        <v>3223</v>
      </c>
    </row>
    <row r="8883">
      <c r="A8883" s="1" t="s">
        <v>17316</v>
      </c>
      <c r="B8883" s="2" t="s">
        <v>16982</v>
      </c>
      <c r="C8883" s="1" t="s">
        <v>3222</v>
      </c>
      <c r="D8883" s="1" t="s">
        <v>3223</v>
      </c>
    </row>
    <row r="8884">
      <c r="A8884" s="1" t="s">
        <v>17317</v>
      </c>
      <c r="B8884" s="2" t="s">
        <v>16984</v>
      </c>
      <c r="C8884" s="1" t="s">
        <v>3222</v>
      </c>
      <c r="D8884" s="1" t="s">
        <v>3223</v>
      </c>
    </row>
    <row r="8885">
      <c r="A8885" s="1" t="s">
        <v>17318</v>
      </c>
      <c r="B8885" s="2" t="s">
        <v>17038</v>
      </c>
      <c r="C8885" s="1" t="s">
        <v>3222</v>
      </c>
      <c r="D8885" s="1" t="s">
        <v>3223</v>
      </c>
    </row>
    <row r="8886">
      <c r="A8886" s="1" t="s">
        <v>17319</v>
      </c>
      <c r="B8886" s="2" t="s">
        <v>17040</v>
      </c>
      <c r="C8886" s="1" t="s">
        <v>3222</v>
      </c>
      <c r="D8886" s="1" t="s">
        <v>3223</v>
      </c>
    </row>
    <row r="8887">
      <c r="A8887" s="1" t="s">
        <v>17320</v>
      </c>
      <c r="B8887" s="2" t="s">
        <v>17321</v>
      </c>
      <c r="C8887" s="1" t="s">
        <v>3222</v>
      </c>
      <c r="D8887" s="1" t="s">
        <v>3223</v>
      </c>
    </row>
    <row r="8888">
      <c r="A8888" s="1" t="s">
        <v>17322</v>
      </c>
      <c r="B8888" s="2" t="s">
        <v>17323</v>
      </c>
      <c r="C8888" s="1" t="s">
        <v>3222</v>
      </c>
      <c r="D8888" s="1" t="s">
        <v>3223</v>
      </c>
    </row>
    <row r="8889">
      <c r="A8889" s="1" t="s">
        <v>17324</v>
      </c>
      <c r="B8889" s="2" t="s">
        <v>17325</v>
      </c>
      <c r="C8889" s="1" t="s">
        <v>3222</v>
      </c>
      <c r="D8889" s="1" t="s">
        <v>3223</v>
      </c>
    </row>
    <row r="8890">
      <c r="A8890" s="1" t="s">
        <v>17326</v>
      </c>
      <c r="B8890" s="2" t="s">
        <v>17327</v>
      </c>
      <c r="C8890" s="1" t="s">
        <v>3222</v>
      </c>
      <c r="D8890" s="1" t="s">
        <v>3223</v>
      </c>
    </row>
    <row r="8891">
      <c r="A8891" s="1" t="s">
        <v>17328</v>
      </c>
      <c r="B8891" s="2" t="s">
        <v>13730</v>
      </c>
      <c r="C8891" s="1" t="s">
        <v>3222</v>
      </c>
      <c r="D8891" s="1" t="s">
        <v>3223</v>
      </c>
    </row>
    <row r="8892">
      <c r="A8892" s="1" t="s">
        <v>17329</v>
      </c>
      <c r="B8892" s="2" t="s">
        <v>17083</v>
      </c>
      <c r="C8892" s="1" t="s">
        <v>3222</v>
      </c>
      <c r="D8892" s="1" t="s">
        <v>3223</v>
      </c>
    </row>
    <row r="8893">
      <c r="A8893" s="1" t="s">
        <v>17330</v>
      </c>
      <c r="B8893" s="2" t="s">
        <v>17331</v>
      </c>
      <c r="C8893" s="1" t="s">
        <v>3222</v>
      </c>
      <c r="D8893" s="1" t="s">
        <v>3223</v>
      </c>
    </row>
    <row r="8894">
      <c r="A8894" s="1" t="s">
        <v>17332</v>
      </c>
      <c r="B8894" s="2" t="s">
        <v>17333</v>
      </c>
      <c r="C8894" s="1" t="s">
        <v>3222</v>
      </c>
      <c r="D8894" s="1" t="s">
        <v>3223</v>
      </c>
    </row>
    <row r="8895">
      <c r="A8895" s="1" t="s">
        <v>17334</v>
      </c>
      <c r="B8895" s="2" t="s">
        <v>17335</v>
      </c>
      <c r="C8895" s="1" t="s">
        <v>3222</v>
      </c>
      <c r="D8895" s="1" t="s">
        <v>3223</v>
      </c>
    </row>
    <row r="8896">
      <c r="A8896" s="1" t="s">
        <v>17336</v>
      </c>
      <c r="B8896" s="2" t="s">
        <v>17337</v>
      </c>
      <c r="C8896" s="1" t="s">
        <v>3222</v>
      </c>
      <c r="D8896" s="1" t="s">
        <v>3223</v>
      </c>
    </row>
    <row r="8897">
      <c r="A8897" s="1" t="s">
        <v>3227</v>
      </c>
      <c r="B8897" s="2" t="s">
        <v>7</v>
      </c>
      <c r="C8897" s="1" t="s">
        <v>3229</v>
      </c>
      <c r="D8897" s="1" t="s">
        <v>3230</v>
      </c>
    </row>
    <row r="8898">
      <c r="A8898" s="1" t="s">
        <v>17338</v>
      </c>
      <c r="B8898" s="2" t="s">
        <v>17339</v>
      </c>
      <c r="C8898" s="1" t="s">
        <v>3229</v>
      </c>
      <c r="D8898" s="1" t="s">
        <v>3230</v>
      </c>
    </row>
    <row r="8899">
      <c r="A8899" s="1" t="s">
        <v>17340</v>
      </c>
      <c r="B8899" s="2" t="s">
        <v>17341</v>
      </c>
      <c r="C8899" s="1" t="s">
        <v>3229</v>
      </c>
      <c r="D8899" s="1" t="s">
        <v>3230</v>
      </c>
    </row>
    <row r="8900">
      <c r="A8900" s="1" t="s">
        <v>17342</v>
      </c>
      <c r="B8900" s="2" t="s">
        <v>17343</v>
      </c>
      <c r="C8900" s="1" t="s">
        <v>3229</v>
      </c>
      <c r="D8900" s="1" t="s">
        <v>3230</v>
      </c>
    </row>
    <row r="8901">
      <c r="A8901" s="1" t="s">
        <v>17344</v>
      </c>
      <c r="B8901" s="2" t="s">
        <v>17345</v>
      </c>
      <c r="C8901" s="1" t="s">
        <v>3229</v>
      </c>
      <c r="D8901" s="1" t="s">
        <v>3230</v>
      </c>
    </row>
    <row r="8902">
      <c r="A8902" s="1" t="s">
        <v>17346</v>
      </c>
      <c r="B8902" s="2" t="s">
        <v>17347</v>
      </c>
      <c r="C8902" s="1" t="s">
        <v>3229</v>
      </c>
      <c r="D8902" s="1" t="s">
        <v>3230</v>
      </c>
    </row>
    <row r="8903">
      <c r="A8903" s="1" t="s">
        <v>17348</v>
      </c>
      <c r="B8903" s="2" t="s">
        <v>17349</v>
      </c>
      <c r="C8903" s="1" t="s">
        <v>3229</v>
      </c>
      <c r="D8903" s="1" t="s">
        <v>3230</v>
      </c>
    </row>
    <row r="8904">
      <c r="A8904" s="1" t="s">
        <v>17350</v>
      </c>
      <c r="B8904" s="2" t="s">
        <v>17351</v>
      </c>
      <c r="C8904" s="1" t="s">
        <v>3229</v>
      </c>
      <c r="D8904" s="1" t="s">
        <v>3230</v>
      </c>
    </row>
    <row r="8905">
      <c r="A8905" s="1" t="s">
        <v>17352</v>
      </c>
      <c r="B8905" s="2" t="s">
        <v>17353</v>
      </c>
      <c r="C8905" s="1" t="s">
        <v>3229</v>
      </c>
      <c r="D8905" s="1" t="s">
        <v>3230</v>
      </c>
    </row>
    <row r="8906">
      <c r="A8906" s="1" t="s">
        <v>17354</v>
      </c>
      <c r="B8906" s="2" t="s">
        <v>17355</v>
      </c>
      <c r="C8906" s="1" t="s">
        <v>3229</v>
      </c>
      <c r="D8906" s="1" t="s">
        <v>3230</v>
      </c>
    </row>
    <row r="8907">
      <c r="A8907" s="1" t="s">
        <v>17356</v>
      </c>
      <c r="B8907" s="2" t="s">
        <v>17357</v>
      </c>
      <c r="C8907" s="1" t="s">
        <v>3229</v>
      </c>
      <c r="D8907" s="1" t="s">
        <v>3230</v>
      </c>
    </row>
    <row r="8908">
      <c r="A8908" s="1" t="s">
        <v>17358</v>
      </c>
      <c r="B8908" s="2" t="s">
        <v>17359</v>
      </c>
      <c r="C8908" s="1" t="s">
        <v>3229</v>
      </c>
      <c r="D8908" s="1" t="s">
        <v>3230</v>
      </c>
    </row>
    <row r="8909">
      <c r="A8909" s="1" t="s">
        <v>17360</v>
      </c>
      <c r="B8909" s="2" t="s">
        <v>17361</v>
      </c>
      <c r="C8909" s="1" t="s">
        <v>3229</v>
      </c>
      <c r="D8909" s="1" t="s">
        <v>3230</v>
      </c>
    </row>
    <row r="8910">
      <c r="A8910" s="1" t="s">
        <v>17362</v>
      </c>
      <c r="B8910" s="2" t="s">
        <v>17363</v>
      </c>
      <c r="C8910" s="1" t="s">
        <v>3229</v>
      </c>
      <c r="D8910" s="1" t="s">
        <v>3230</v>
      </c>
    </row>
    <row r="8911">
      <c r="A8911" s="1" t="s">
        <v>17364</v>
      </c>
      <c r="B8911" s="2" t="s">
        <v>17365</v>
      </c>
      <c r="C8911" s="1" t="s">
        <v>3229</v>
      </c>
      <c r="D8911" s="1" t="s">
        <v>3230</v>
      </c>
    </row>
    <row r="8912">
      <c r="A8912" s="1" t="s">
        <v>17366</v>
      </c>
      <c r="B8912" s="2" t="s">
        <v>17367</v>
      </c>
      <c r="C8912" s="1" t="s">
        <v>3229</v>
      </c>
      <c r="D8912" s="1" t="s">
        <v>3230</v>
      </c>
    </row>
    <row r="8913">
      <c r="A8913" s="1" t="s">
        <v>17368</v>
      </c>
      <c r="B8913" s="2" t="s">
        <v>17369</v>
      </c>
      <c r="C8913" s="1" t="s">
        <v>3229</v>
      </c>
      <c r="D8913" s="1" t="s">
        <v>3230</v>
      </c>
    </row>
    <row r="8914">
      <c r="A8914" s="1" t="s">
        <v>17370</v>
      </c>
      <c r="B8914" s="2" t="s">
        <v>17371</v>
      </c>
      <c r="C8914" s="1" t="s">
        <v>3229</v>
      </c>
      <c r="D8914" s="1" t="s">
        <v>3230</v>
      </c>
    </row>
    <row r="8915">
      <c r="A8915" s="1" t="s">
        <v>17372</v>
      </c>
      <c r="B8915" s="2" t="s">
        <v>17373</v>
      </c>
      <c r="C8915" s="1" t="s">
        <v>3229</v>
      </c>
      <c r="D8915" s="1" t="s">
        <v>3230</v>
      </c>
    </row>
    <row r="8916">
      <c r="A8916" s="1" t="s">
        <v>17374</v>
      </c>
      <c r="B8916" s="2" t="s">
        <v>17375</v>
      </c>
      <c r="C8916" s="1" t="s">
        <v>3229</v>
      </c>
      <c r="D8916" s="1" t="s">
        <v>3230</v>
      </c>
    </row>
    <row r="8917">
      <c r="A8917" s="1" t="s">
        <v>17376</v>
      </c>
      <c r="B8917" s="2" t="s">
        <v>17377</v>
      </c>
      <c r="C8917" s="1" t="s">
        <v>3229</v>
      </c>
      <c r="D8917" s="1" t="s">
        <v>3230</v>
      </c>
    </row>
    <row r="8918">
      <c r="A8918" s="1" t="s">
        <v>17378</v>
      </c>
      <c r="B8918" s="2" t="s">
        <v>17379</v>
      </c>
      <c r="C8918" s="1" t="s">
        <v>3229</v>
      </c>
      <c r="D8918" s="1" t="s">
        <v>3230</v>
      </c>
    </row>
    <row r="8919">
      <c r="A8919" s="1" t="s">
        <v>17380</v>
      </c>
      <c r="B8919" s="2" t="s">
        <v>17381</v>
      </c>
      <c r="C8919" s="1" t="s">
        <v>3229</v>
      </c>
      <c r="D8919" s="1" t="s">
        <v>3230</v>
      </c>
    </row>
    <row r="8920">
      <c r="A8920" s="1" t="s">
        <v>17382</v>
      </c>
      <c r="B8920" s="2" t="s">
        <v>17383</v>
      </c>
      <c r="C8920" s="1" t="s">
        <v>3229</v>
      </c>
      <c r="D8920" s="1" t="s">
        <v>3230</v>
      </c>
    </row>
    <row r="8921">
      <c r="A8921" s="1" t="s">
        <v>17384</v>
      </c>
      <c r="B8921" s="2" t="s">
        <v>17385</v>
      </c>
      <c r="C8921" s="1" t="s">
        <v>3229</v>
      </c>
      <c r="D8921" s="1" t="s">
        <v>3230</v>
      </c>
    </row>
    <row r="8922">
      <c r="A8922" s="1" t="s">
        <v>17386</v>
      </c>
      <c r="B8922" s="2" t="s">
        <v>17387</v>
      </c>
      <c r="C8922" s="1" t="s">
        <v>3229</v>
      </c>
      <c r="D8922" s="1" t="s">
        <v>3230</v>
      </c>
    </row>
    <row r="8923">
      <c r="A8923" s="1" t="s">
        <v>17388</v>
      </c>
      <c r="B8923" s="2" t="s">
        <v>17389</v>
      </c>
      <c r="C8923" s="1" t="s">
        <v>3229</v>
      </c>
      <c r="D8923" s="1" t="s">
        <v>3230</v>
      </c>
    </row>
    <row r="8924">
      <c r="A8924" s="1" t="s">
        <v>17390</v>
      </c>
      <c r="B8924" s="2" t="s">
        <v>17391</v>
      </c>
      <c r="C8924" s="1" t="s">
        <v>3229</v>
      </c>
      <c r="D8924" s="1" t="s">
        <v>3230</v>
      </c>
    </row>
    <row r="8925">
      <c r="A8925" s="1" t="s">
        <v>17392</v>
      </c>
      <c r="B8925" s="2" t="s">
        <v>17393</v>
      </c>
      <c r="C8925" s="1" t="s">
        <v>3229</v>
      </c>
      <c r="D8925" s="1" t="s">
        <v>3230</v>
      </c>
    </row>
    <row r="8926">
      <c r="A8926" s="1" t="s">
        <v>17394</v>
      </c>
      <c r="B8926" s="2" t="s">
        <v>17395</v>
      </c>
      <c r="C8926" s="1" t="s">
        <v>3229</v>
      </c>
      <c r="D8926" s="1" t="s">
        <v>3230</v>
      </c>
    </row>
    <row r="8927">
      <c r="A8927" s="1" t="s">
        <v>17396</v>
      </c>
      <c r="B8927" s="2" t="s">
        <v>17397</v>
      </c>
      <c r="C8927" s="1" t="s">
        <v>3229</v>
      </c>
      <c r="D8927" s="1" t="s">
        <v>3230</v>
      </c>
    </row>
    <row r="8928">
      <c r="A8928" s="1" t="s">
        <v>17398</v>
      </c>
      <c r="B8928" s="2" t="s">
        <v>17399</v>
      </c>
      <c r="C8928" s="1" t="s">
        <v>3229</v>
      </c>
      <c r="D8928" s="1" t="s">
        <v>3230</v>
      </c>
    </row>
    <row r="8929">
      <c r="A8929" s="1" t="s">
        <v>17400</v>
      </c>
      <c r="B8929" s="2" t="s">
        <v>17401</v>
      </c>
      <c r="C8929" s="1" t="s">
        <v>3229</v>
      </c>
      <c r="D8929" s="1" t="s">
        <v>3230</v>
      </c>
    </row>
    <row r="8930">
      <c r="A8930" s="1" t="s">
        <v>17402</v>
      </c>
      <c r="B8930" s="2" t="s">
        <v>17403</v>
      </c>
      <c r="C8930" s="1" t="s">
        <v>3229</v>
      </c>
      <c r="D8930" s="1" t="s">
        <v>3230</v>
      </c>
    </row>
    <row r="8931">
      <c r="A8931" s="1" t="s">
        <v>17404</v>
      </c>
      <c r="B8931" s="2" t="s">
        <v>17405</v>
      </c>
      <c r="C8931" s="1" t="s">
        <v>3229</v>
      </c>
      <c r="D8931" s="1" t="s">
        <v>3230</v>
      </c>
    </row>
    <row r="8932">
      <c r="A8932" s="1" t="s">
        <v>17406</v>
      </c>
      <c r="B8932" s="2" t="s">
        <v>17407</v>
      </c>
      <c r="C8932" s="1" t="s">
        <v>3229</v>
      </c>
      <c r="D8932" s="1" t="s">
        <v>3230</v>
      </c>
    </row>
    <row r="8933">
      <c r="A8933" s="1" t="s">
        <v>17408</v>
      </c>
      <c r="B8933" s="2" t="s">
        <v>17409</v>
      </c>
      <c r="C8933" s="1" t="s">
        <v>3229</v>
      </c>
      <c r="D8933" s="1" t="s">
        <v>3230</v>
      </c>
    </row>
    <row r="8934">
      <c r="A8934" s="1" t="s">
        <v>17410</v>
      </c>
      <c r="B8934" s="2" t="s">
        <v>17411</v>
      </c>
      <c r="C8934" s="1" t="s">
        <v>3229</v>
      </c>
      <c r="D8934" s="1" t="s">
        <v>3230</v>
      </c>
    </row>
    <row r="8935">
      <c r="A8935" s="1" t="s">
        <v>17412</v>
      </c>
      <c r="B8935" s="2" t="s">
        <v>17413</v>
      </c>
      <c r="C8935" s="1" t="s">
        <v>3229</v>
      </c>
      <c r="D8935" s="1" t="s">
        <v>3230</v>
      </c>
    </row>
    <row r="8936">
      <c r="A8936" s="1" t="s">
        <v>17414</v>
      </c>
      <c r="B8936" s="2" t="s">
        <v>17415</v>
      </c>
      <c r="C8936" s="1" t="s">
        <v>3229</v>
      </c>
      <c r="D8936" s="1" t="s">
        <v>3230</v>
      </c>
    </row>
    <row r="8937">
      <c r="A8937" s="1" t="s">
        <v>17416</v>
      </c>
      <c r="B8937" s="2" t="s">
        <v>17417</v>
      </c>
      <c r="C8937" s="1" t="s">
        <v>3229</v>
      </c>
      <c r="D8937" s="1" t="s">
        <v>3230</v>
      </c>
    </row>
    <row r="8938">
      <c r="A8938" s="1" t="s">
        <v>17418</v>
      </c>
      <c r="B8938" s="2" t="s">
        <v>17419</v>
      </c>
      <c r="C8938" s="1" t="s">
        <v>3229</v>
      </c>
      <c r="D8938" s="1" t="s">
        <v>3230</v>
      </c>
    </row>
    <row r="8939">
      <c r="A8939" s="1" t="s">
        <v>17420</v>
      </c>
      <c r="B8939" s="2" t="s">
        <v>17421</v>
      </c>
      <c r="C8939" s="1" t="s">
        <v>3229</v>
      </c>
      <c r="D8939" s="1" t="s">
        <v>3230</v>
      </c>
    </row>
    <row r="8940">
      <c r="A8940" s="1" t="s">
        <v>17422</v>
      </c>
      <c r="B8940" s="2" t="s">
        <v>17423</v>
      </c>
      <c r="C8940" s="1" t="s">
        <v>3229</v>
      </c>
      <c r="D8940" s="1" t="s">
        <v>3230</v>
      </c>
    </row>
    <row r="8941">
      <c r="A8941" s="1" t="s">
        <v>17424</v>
      </c>
      <c r="B8941" s="2" t="s">
        <v>17425</v>
      </c>
      <c r="C8941" s="1" t="s">
        <v>3229</v>
      </c>
      <c r="D8941" s="1" t="s">
        <v>3230</v>
      </c>
    </row>
    <row r="8942">
      <c r="A8942" s="1" t="s">
        <v>17426</v>
      </c>
      <c r="B8942" s="2" t="s">
        <v>17427</v>
      </c>
      <c r="C8942" s="1" t="s">
        <v>3229</v>
      </c>
      <c r="D8942" s="1" t="s">
        <v>3230</v>
      </c>
    </row>
    <row r="8943">
      <c r="A8943" s="1" t="s">
        <v>17428</v>
      </c>
      <c r="B8943" s="2" t="s">
        <v>17429</v>
      </c>
      <c r="C8943" s="1" t="s">
        <v>3229</v>
      </c>
      <c r="D8943" s="1" t="s">
        <v>3230</v>
      </c>
    </row>
    <row r="8944">
      <c r="A8944" s="1" t="s">
        <v>17430</v>
      </c>
      <c r="B8944" s="2" t="s">
        <v>17431</v>
      </c>
      <c r="C8944" s="1" t="s">
        <v>3229</v>
      </c>
      <c r="D8944" s="1" t="s">
        <v>3230</v>
      </c>
    </row>
    <row r="8945">
      <c r="A8945" s="1" t="s">
        <v>17432</v>
      </c>
      <c r="B8945" s="2" t="s">
        <v>17433</v>
      </c>
      <c r="C8945" s="1" t="s">
        <v>3229</v>
      </c>
      <c r="D8945" s="1" t="s">
        <v>3230</v>
      </c>
    </row>
    <row r="8946">
      <c r="A8946" s="1" t="s">
        <v>17434</v>
      </c>
      <c r="B8946" s="2" t="s">
        <v>17435</v>
      </c>
      <c r="C8946" s="1" t="s">
        <v>3229</v>
      </c>
      <c r="D8946" s="1" t="s">
        <v>3230</v>
      </c>
    </row>
    <row r="8947">
      <c r="A8947" s="1" t="s">
        <v>17436</v>
      </c>
      <c r="B8947" s="2" t="s">
        <v>17437</v>
      </c>
      <c r="C8947" s="1" t="s">
        <v>3229</v>
      </c>
      <c r="D8947" s="1" t="s">
        <v>3230</v>
      </c>
    </row>
    <row r="8948">
      <c r="A8948" s="1" t="s">
        <v>17438</v>
      </c>
      <c r="B8948" s="2" t="s">
        <v>17439</v>
      </c>
      <c r="C8948" s="1" t="s">
        <v>3229</v>
      </c>
      <c r="D8948" s="1" t="s">
        <v>3230</v>
      </c>
    </row>
    <row r="8949">
      <c r="A8949" s="1" t="s">
        <v>17440</v>
      </c>
      <c r="B8949" s="2" t="s">
        <v>17441</v>
      </c>
      <c r="C8949" s="1" t="s">
        <v>3229</v>
      </c>
      <c r="D8949" s="1" t="s">
        <v>3230</v>
      </c>
    </row>
    <row r="8950">
      <c r="A8950" s="1" t="s">
        <v>3234</v>
      </c>
      <c r="B8950" s="2" t="s">
        <v>7</v>
      </c>
      <c r="C8950" s="1" t="s">
        <v>3235</v>
      </c>
      <c r="D8950" s="1" t="s">
        <v>3237</v>
      </c>
    </row>
    <row r="8951">
      <c r="A8951" s="1" t="s">
        <v>17442</v>
      </c>
      <c r="B8951" s="2" t="s">
        <v>13984</v>
      </c>
      <c r="C8951" s="1" t="s">
        <v>3235</v>
      </c>
      <c r="D8951" s="1" t="s">
        <v>3237</v>
      </c>
    </row>
    <row r="8952">
      <c r="A8952" s="1" t="s">
        <v>17443</v>
      </c>
      <c r="B8952" s="2" t="s">
        <v>17444</v>
      </c>
      <c r="C8952" s="1" t="s">
        <v>3235</v>
      </c>
      <c r="D8952" s="1" t="s">
        <v>3237</v>
      </c>
    </row>
    <row r="8953">
      <c r="A8953" s="1" t="s">
        <v>17445</v>
      </c>
      <c r="B8953" s="2" t="s">
        <v>17446</v>
      </c>
      <c r="C8953" s="1" t="s">
        <v>3235</v>
      </c>
      <c r="D8953" s="1" t="s">
        <v>3237</v>
      </c>
    </row>
    <row r="8954">
      <c r="A8954" s="1" t="s">
        <v>17447</v>
      </c>
      <c r="B8954" s="2" t="s">
        <v>17448</v>
      </c>
      <c r="C8954" s="1" t="s">
        <v>3235</v>
      </c>
      <c r="D8954" s="1" t="s">
        <v>3237</v>
      </c>
    </row>
    <row r="8955">
      <c r="A8955" s="1" t="s">
        <v>17449</v>
      </c>
      <c r="B8955" s="2" t="s">
        <v>17450</v>
      </c>
      <c r="C8955" s="1" t="s">
        <v>3235</v>
      </c>
      <c r="D8955" s="1" t="s">
        <v>3237</v>
      </c>
    </row>
    <row r="8956">
      <c r="A8956" s="1" t="s">
        <v>17451</v>
      </c>
      <c r="B8956" s="2" t="s">
        <v>17452</v>
      </c>
      <c r="C8956" s="1" t="s">
        <v>3235</v>
      </c>
      <c r="D8956" s="1" t="s">
        <v>3237</v>
      </c>
    </row>
    <row r="8957">
      <c r="A8957" s="1" t="s">
        <v>17453</v>
      </c>
      <c r="B8957" s="2" t="s">
        <v>17454</v>
      </c>
      <c r="C8957" s="1" t="s">
        <v>3235</v>
      </c>
      <c r="D8957" s="1" t="s">
        <v>3237</v>
      </c>
    </row>
    <row r="8958">
      <c r="A8958" s="1" t="s">
        <v>17455</v>
      </c>
      <c r="B8958" s="2" t="s">
        <v>17456</v>
      </c>
      <c r="C8958" s="1" t="s">
        <v>3235</v>
      </c>
      <c r="D8958" s="1" t="s">
        <v>3237</v>
      </c>
    </row>
    <row r="8959">
      <c r="A8959" s="1" t="s">
        <v>17457</v>
      </c>
      <c r="B8959" s="2" t="s">
        <v>17458</v>
      </c>
      <c r="C8959" s="1" t="s">
        <v>3235</v>
      </c>
      <c r="D8959" s="1" t="s">
        <v>3237</v>
      </c>
    </row>
    <row r="8960">
      <c r="A8960" s="1" t="s">
        <v>17459</v>
      </c>
      <c r="B8960" s="2" t="s">
        <v>17460</v>
      </c>
      <c r="C8960" s="1" t="s">
        <v>3235</v>
      </c>
      <c r="D8960" s="1" t="s">
        <v>3237</v>
      </c>
    </row>
    <row r="8961">
      <c r="A8961" s="1" t="s">
        <v>17461</v>
      </c>
      <c r="B8961" s="2" t="s">
        <v>17462</v>
      </c>
      <c r="C8961" s="1" t="s">
        <v>3235</v>
      </c>
      <c r="D8961" s="1" t="s">
        <v>3237</v>
      </c>
    </row>
    <row r="8962">
      <c r="A8962" s="1" t="s">
        <v>17463</v>
      </c>
      <c r="B8962" s="2" t="s">
        <v>17464</v>
      </c>
      <c r="C8962" s="1" t="s">
        <v>3235</v>
      </c>
      <c r="D8962" s="1" t="s">
        <v>3237</v>
      </c>
    </row>
    <row r="8963">
      <c r="A8963" s="1" t="s">
        <v>17465</v>
      </c>
      <c r="B8963" s="2" t="s">
        <v>17466</v>
      </c>
      <c r="C8963" s="1" t="s">
        <v>3235</v>
      </c>
      <c r="D8963" s="1" t="s">
        <v>3237</v>
      </c>
    </row>
    <row r="8964">
      <c r="A8964" s="1" t="s">
        <v>17467</v>
      </c>
      <c r="B8964" s="2" t="s">
        <v>13994</v>
      </c>
      <c r="C8964" s="1" t="s">
        <v>3235</v>
      </c>
      <c r="D8964" s="1" t="s">
        <v>3237</v>
      </c>
    </row>
    <row r="8965">
      <c r="A8965" s="1" t="s">
        <v>17468</v>
      </c>
      <c r="B8965" s="2" t="s">
        <v>17469</v>
      </c>
      <c r="C8965" s="1" t="s">
        <v>3235</v>
      </c>
      <c r="D8965" s="1" t="s">
        <v>3237</v>
      </c>
    </row>
    <row r="8966">
      <c r="A8966" s="1" t="s">
        <v>17470</v>
      </c>
      <c r="B8966" s="2" t="s">
        <v>17471</v>
      </c>
      <c r="C8966" s="1" t="s">
        <v>3235</v>
      </c>
      <c r="D8966" s="1" t="s">
        <v>3237</v>
      </c>
    </row>
    <row r="8967">
      <c r="A8967" s="1" t="s">
        <v>17472</v>
      </c>
      <c r="B8967" s="2" t="s">
        <v>17473</v>
      </c>
      <c r="C8967" s="1" t="s">
        <v>3235</v>
      </c>
      <c r="D8967" s="1" t="s">
        <v>3237</v>
      </c>
    </row>
    <row r="8968">
      <c r="A8968" s="1" t="s">
        <v>17474</v>
      </c>
      <c r="B8968" s="2" t="s">
        <v>17475</v>
      </c>
      <c r="C8968" s="1" t="s">
        <v>3235</v>
      </c>
      <c r="D8968" s="1" t="s">
        <v>3237</v>
      </c>
    </row>
    <row r="8969">
      <c r="A8969" s="1" t="s">
        <v>17476</v>
      </c>
      <c r="B8969" s="2" t="s">
        <v>17477</v>
      </c>
      <c r="C8969" s="1" t="s">
        <v>3235</v>
      </c>
      <c r="D8969" s="1" t="s">
        <v>3237</v>
      </c>
    </row>
    <row r="8970">
      <c r="A8970" s="1" t="s">
        <v>17478</v>
      </c>
      <c r="B8970" s="2" t="s">
        <v>17479</v>
      </c>
      <c r="C8970" s="1" t="s">
        <v>3235</v>
      </c>
      <c r="D8970" s="1" t="s">
        <v>3237</v>
      </c>
    </row>
    <row r="8971">
      <c r="A8971" s="1" t="s">
        <v>17480</v>
      </c>
      <c r="B8971" s="2" t="s">
        <v>17481</v>
      </c>
      <c r="C8971" s="1" t="s">
        <v>3235</v>
      </c>
      <c r="D8971" s="1" t="s">
        <v>3237</v>
      </c>
    </row>
    <row r="8972">
      <c r="A8972" s="1" t="s">
        <v>17482</v>
      </c>
      <c r="B8972" s="2" t="s">
        <v>17483</v>
      </c>
      <c r="C8972" s="1" t="s">
        <v>3235</v>
      </c>
      <c r="D8972" s="1" t="s">
        <v>3237</v>
      </c>
    </row>
    <row r="8973">
      <c r="A8973" s="1" t="s">
        <v>17484</v>
      </c>
      <c r="B8973" s="2" t="s">
        <v>17485</v>
      </c>
      <c r="C8973" s="1" t="s">
        <v>3235</v>
      </c>
      <c r="D8973" s="1" t="s">
        <v>3237</v>
      </c>
    </row>
    <row r="8974">
      <c r="A8974" s="1" t="s">
        <v>17486</v>
      </c>
      <c r="B8974" s="2" t="s">
        <v>17487</v>
      </c>
      <c r="C8974" s="1" t="s">
        <v>3235</v>
      </c>
      <c r="D8974" s="1" t="s">
        <v>3237</v>
      </c>
    </row>
    <row r="8975">
      <c r="A8975" s="1" t="s">
        <v>17488</v>
      </c>
      <c r="B8975" s="2" t="s">
        <v>17489</v>
      </c>
      <c r="C8975" s="1" t="s">
        <v>3235</v>
      </c>
      <c r="D8975" s="1" t="s">
        <v>3237</v>
      </c>
    </row>
    <row r="8976">
      <c r="A8976" s="1" t="s">
        <v>17490</v>
      </c>
      <c r="B8976" s="2" t="s">
        <v>17491</v>
      </c>
      <c r="C8976" s="1" t="s">
        <v>3235</v>
      </c>
      <c r="D8976" s="1" t="s">
        <v>3237</v>
      </c>
    </row>
    <row r="8977">
      <c r="A8977" s="1" t="s">
        <v>3242</v>
      </c>
      <c r="B8977" s="2" t="s">
        <v>7</v>
      </c>
      <c r="C8977" s="1" t="s">
        <v>3244</v>
      </c>
      <c r="D8977" s="1" t="s">
        <v>3245</v>
      </c>
    </row>
    <row r="8978">
      <c r="A8978" s="1" t="s">
        <v>17492</v>
      </c>
      <c r="B8978" s="2" t="s">
        <v>17493</v>
      </c>
      <c r="C8978" s="1" t="s">
        <v>3244</v>
      </c>
      <c r="D8978" s="1" t="s">
        <v>3245</v>
      </c>
    </row>
    <row r="8979">
      <c r="A8979" s="1" t="s">
        <v>17494</v>
      </c>
      <c r="B8979" s="2" t="s">
        <v>17495</v>
      </c>
      <c r="C8979" s="1" t="s">
        <v>3244</v>
      </c>
      <c r="D8979" s="1" t="s">
        <v>3245</v>
      </c>
    </row>
    <row r="8980">
      <c r="A8980" s="1" t="s">
        <v>17496</v>
      </c>
      <c r="B8980" s="2" t="s">
        <v>17497</v>
      </c>
      <c r="C8980" s="1" t="s">
        <v>3244</v>
      </c>
      <c r="D8980" s="1" t="s">
        <v>3245</v>
      </c>
    </row>
    <row r="8981">
      <c r="A8981" s="1" t="s">
        <v>17498</v>
      </c>
      <c r="B8981" s="2" t="s">
        <v>17499</v>
      </c>
      <c r="C8981" s="1" t="s">
        <v>3244</v>
      </c>
      <c r="D8981" s="1" t="s">
        <v>3245</v>
      </c>
    </row>
    <row r="8982">
      <c r="A8982" s="1" t="s">
        <v>17500</v>
      </c>
      <c r="B8982" s="2" t="s">
        <v>17501</v>
      </c>
      <c r="C8982" s="1" t="s">
        <v>3244</v>
      </c>
      <c r="D8982" s="1" t="s">
        <v>3245</v>
      </c>
    </row>
    <row r="8983">
      <c r="A8983" s="1" t="s">
        <v>17502</v>
      </c>
      <c r="B8983" s="2" t="s">
        <v>17503</v>
      </c>
      <c r="C8983" s="1" t="s">
        <v>3244</v>
      </c>
      <c r="D8983" s="1" t="s">
        <v>3245</v>
      </c>
    </row>
    <row r="8984">
      <c r="A8984" s="1" t="s">
        <v>17504</v>
      </c>
      <c r="B8984" s="2" t="s">
        <v>17505</v>
      </c>
      <c r="C8984" s="1" t="s">
        <v>3244</v>
      </c>
      <c r="D8984" s="1" t="s">
        <v>3245</v>
      </c>
    </row>
    <row r="8985">
      <c r="A8985" s="1" t="s">
        <v>17506</v>
      </c>
      <c r="B8985" s="2" t="s">
        <v>17507</v>
      </c>
      <c r="C8985" s="1" t="s">
        <v>3244</v>
      </c>
      <c r="D8985" s="1" t="s">
        <v>3245</v>
      </c>
    </row>
    <row r="8986">
      <c r="A8986" s="1" t="s">
        <v>17508</v>
      </c>
      <c r="B8986" s="2" t="s">
        <v>17509</v>
      </c>
      <c r="C8986" s="1" t="s">
        <v>3244</v>
      </c>
      <c r="D8986" s="1" t="s">
        <v>3245</v>
      </c>
    </row>
    <row r="8987">
      <c r="A8987" s="1" t="s">
        <v>17510</v>
      </c>
      <c r="B8987" s="2" t="s">
        <v>17511</v>
      </c>
      <c r="C8987" s="1" t="s">
        <v>3244</v>
      </c>
      <c r="D8987" s="1" t="s">
        <v>3245</v>
      </c>
    </row>
    <row r="8988">
      <c r="A8988" s="1" t="s">
        <v>17512</v>
      </c>
      <c r="B8988" s="2" t="s">
        <v>17513</v>
      </c>
      <c r="C8988" s="1" t="s">
        <v>3244</v>
      </c>
      <c r="D8988" s="1" t="s">
        <v>3245</v>
      </c>
    </row>
    <row r="8989">
      <c r="A8989" s="1" t="s">
        <v>17514</v>
      </c>
      <c r="B8989" s="2" t="s">
        <v>17515</v>
      </c>
      <c r="C8989" s="1" t="s">
        <v>3244</v>
      </c>
      <c r="D8989" s="1" t="s">
        <v>3245</v>
      </c>
    </row>
    <row r="8990">
      <c r="A8990" s="1" t="s">
        <v>17516</v>
      </c>
      <c r="B8990" s="2" t="s">
        <v>17517</v>
      </c>
      <c r="C8990" s="1" t="s">
        <v>3244</v>
      </c>
      <c r="D8990" s="1" t="s">
        <v>3245</v>
      </c>
    </row>
    <row r="8991">
      <c r="A8991" s="1" t="s">
        <v>17518</v>
      </c>
      <c r="B8991" s="2" t="s">
        <v>17519</v>
      </c>
      <c r="C8991" s="1" t="s">
        <v>3244</v>
      </c>
      <c r="D8991" s="1" t="s">
        <v>3245</v>
      </c>
    </row>
    <row r="8992">
      <c r="A8992" s="1" t="s">
        <v>17520</v>
      </c>
      <c r="B8992" s="2" t="s">
        <v>17521</v>
      </c>
      <c r="C8992" s="1" t="s">
        <v>3244</v>
      </c>
      <c r="D8992" s="1" t="s">
        <v>3245</v>
      </c>
    </row>
    <row r="8993">
      <c r="A8993" s="1" t="s">
        <v>17522</v>
      </c>
      <c r="B8993" s="2" t="s">
        <v>17523</v>
      </c>
      <c r="C8993" s="1" t="s">
        <v>3244</v>
      </c>
      <c r="D8993" s="1" t="s">
        <v>3245</v>
      </c>
    </row>
    <row r="8994">
      <c r="A8994" s="1" t="s">
        <v>17524</v>
      </c>
      <c r="B8994" s="2" t="s">
        <v>17525</v>
      </c>
      <c r="C8994" s="1" t="s">
        <v>3244</v>
      </c>
      <c r="D8994" s="1" t="s">
        <v>3245</v>
      </c>
    </row>
    <row r="8995">
      <c r="A8995" s="1" t="s">
        <v>17526</v>
      </c>
      <c r="B8995" s="2" t="s">
        <v>17527</v>
      </c>
      <c r="C8995" s="1" t="s">
        <v>3244</v>
      </c>
      <c r="D8995" s="1" t="s">
        <v>3245</v>
      </c>
    </row>
    <row r="8996">
      <c r="A8996" s="1" t="s">
        <v>17528</v>
      </c>
      <c r="B8996" s="2" t="s">
        <v>17529</v>
      </c>
      <c r="C8996" s="1" t="s">
        <v>3244</v>
      </c>
      <c r="D8996" s="1" t="s">
        <v>3245</v>
      </c>
    </row>
    <row r="8997">
      <c r="A8997" s="1" t="s">
        <v>17530</v>
      </c>
      <c r="B8997" s="2" t="s">
        <v>17531</v>
      </c>
      <c r="C8997" s="1" t="s">
        <v>3244</v>
      </c>
      <c r="D8997" s="1" t="s">
        <v>3245</v>
      </c>
    </row>
    <row r="8998">
      <c r="A8998" s="1" t="s">
        <v>17532</v>
      </c>
      <c r="B8998" s="2" t="s">
        <v>17533</v>
      </c>
      <c r="C8998" s="1" t="s">
        <v>3244</v>
      </c>
      <c r="D8998" s="1" t="s">
        <v>3245</v>
      </c>
    </row>
    <row r="8999">
      <c r="A8999" s="1" t="s">
        <v>17534</v>
      </c>
      <c r="B8999" s="2" t="s">
        <v>17535</v>
      </c>
      <c r="C8999" s="1" t="s">
        <v>3244</v>
      </c>
      <c r="D8999" s="1" t="s">
        <v>3245</v>
      </c>
    </row>
    <row r="9000">
      <c r="A9000" s="1" t="s">
        <v>17536</v>
      </c>
      <c r="B9000" s="2" t="s">
        <v>17537</v>
      </c>
      <c r="C9000" s="1" t="s">
        <v>3244</v>
      </c>
      <c r="D9000" s="1" t="s">
        <v>3245</v>
      </c>
    </row>
    <row r="9001">
      <c r="A9001" s="1" t="s">
        <v>17538</v>
      </c>
      <c r="B9001" s="2" t="s">
        <v>17539</v>
      </c>
      <c r="C9001" s="1" t="s">
        <v>3244</v>
      </c>
      <c r="D9001" s="1" t="s">
        <v>3245</v>
      </c>
    </row>
    <row r="9002">
      <c r="A9002" s="1" t="s">
        <v>17540</v>
      </c>
      <c r="B9002" s="2" t="s">
        <v>17541</v>
      </c>
      <c r="C9002" s="1" t="s">
        <v>3244</v>
      </c>
      <c r="D9002" s="1" t="s">
        <v>3245</v>
      </c>
    </row>
    <row r="9003">
      <c r="A9003" s="1" t="s">
        <v>17542</v>
      </c>
      <c r="B9003" s="2" t="s">
        <v>17543</v>
      </c>
      <c r="C9003" s="1" t="s">
        <v>3244</v>
      </c>
      <c r="D9003" s="1" t="s">
        <v>3245</v>
      </c>
    </row>
    <row r="9004">
      <c r="A9004" s="1" t="s">
        <v>17544</v>
      </c>
      <c r="B9004" s="2" t="s">
        <v>17545</v>
      </c>
      <c r="C9004" s="1" t="s">
        <v>3244</v>
      </c>
      <c r="D9004" s="1" t="s">
        <v>3245</v>
      </c>
    </row>
    <row r="9005">
      <c r="A9005" s="1" t="s">
        <v>17546</v>
      </c>
      <c r="B9005" s="2" t="s">
        <v>17547</v>
      </c>
      <c r="C9005" s="1" t="s">
        <v>3244</v>
      </c>
      <c r="D9005" s="1" t="s">
        <v>3245</v>
      </c>
    </row>
    <row r="9006">
      <c r="A9006" s="1" t="s">
        <v>17548</v>
      </c>
      <c r="B9006" s="2" t="s">
        <v>17549</v>
      </c>
      <c r="C9006" s="1" t="s">
        <v>3244</v>
      </c>
      <c r="D9006" s="1" t="s">
        <v>3245</v>
      </c>
    </row>
    <row r="9007">
      <c r="A9007" s="1" t="s">
        <v>17550</v>
      </c>
      <c r="B9007" s="2" t="s">
        <v>17551</v>
      </c>
      <c r="C9007" s="1" t="s">
        <v>3244</v>
      </c>
      <c r="D9007" s="1" t="s">
        <v>3245</v>
      </c>
    </row>
    <row r="9008">
      <c r="A9008" s="1" t="s">
        <v>17552</v>
      </c>
      <c r="B9008" s="2" t="s">
        <v>17553</v>
      </c>
      <c r="C9008" s="1" t="s">
        <v>3244</v>
      </c>
      <c r="D9008" s="1" t="s">
        <v>3245</v>
      </c>
    </row>
    <row r="9009">
      <c r="A9009" s="1" t="s">
        <v>17554</v>
      </c>
      <c r="B9009" s="2" t="s">
        <v>17555</v>
      </c>
      <c r="C9009" s="1" t="s">
        <v>3244</v>
      </c>
      <c r="D9009" s="1" t="s">
        <v>3245</v>
      </c>
    </row>
    <row r="9010">
      <c r="A9010" s="1" t="s">
        <v>17556</v>
      </c>
      <c r="B9010" s="2" t="s">
        <v>17557</v>
      </c>
      <c r="C9010" s="1" t="s">
        <v>3244</v>
      </c>
      <c r="D9010" s="1" t="s">
        <v>3245</v>
      </c>
    </row>
    <row r="9011">
      <c r="A9011" s="1" t="s">
        <v>17558</v>
      </c>
      <c r="B9011" s="2" t="s">
        <v>17559</v>
      </c>
      <c r="C9011" s="1" t="s">
        <v>3244</v>
      </c>
      <c r="D9011" s="1" t="s">
        <v>3245</v>
      </c>
    </row>
    <row r="9012">
      <c r="A9012" s="1" t="s">
        <v>17560</v>
      </c>
      <c r="B9012" s="2" t="s">
        <v>17561</v>
      </c>
      <c r="C9012" s="1" t="s">
        <v>3244</v>
      </c>
      <c r="D9012" s="1" t="s">
        <v>3245</v>
      </c>
    </row>
    <row r="9013">
      <c r="A9013" s="1" t="s">
        <v>17562</v>
      </c>
      <c r="B9013" s="2" t="s">
        <v>17563</v>
      </c>
      <c r="C9013" s="1" t="s">
        <v>3244</v>
      </c>
      <c r="D9013" s="1" t="s">
        <v>3245</v>
      </c>
    </row>
    <row r="9014">
      <c r="A9014" s="1" t="s">
        <v>17564</v>
      </c>
      <c r="B9014" s="2" t="s">
        <v>17565</v>
      </c>
      <c r="C9014" s="1" t="s">
        <v>3244</v>
      </c>
      <c r="D9014" s="1" t="s">
        <v>3245</v>
      </c>
    </row>
    <row r="9015">
      <c r="A9015" s="1" t="s">
        <v>17566</v>
      </c>
      <c r="B9015" s="2" t="s">
        <v>17567</v>
      </c>
      <c r="C9015" s="1" t="s">
        <v>3244</v>
      </c>
      <c r="D9015" s="1" t="s">
        <v>3245</v>
      </c>
    </row>
    <row r="9016">
      <c r="A9016" s="1" t="s">
        <v>17568</v>
      </c>
      <c r="B9016" s="2" t="s">
        <v>17569</v>
      </c>
      <c r="C9016" s="1" t="s">
        <v>3244</v>
      </c>
      <c r="D9016" s="1" t="s">
        <v>3245</v>
      </c>
    </row>
    <row r="9017">
      <c r="A9017" s="1" t="s">
        <v>17570</v>
      </c>
      <c r="B9017" s="2" t="s">
        <v>17571</v>
      </c>
      <c r="C9017" s="1" t="s">
        <v>3244</v>
      </c>
      <c r="D9017" s="1" t="s">
        <v>3245</v>
      </c>
    </row>
    <row r="9018">
      <c r="A9018" s="1" t="s">
        <v>17572</v>
      </c>
      <c r="B9018" s="2" t="s">
        <v>17573</v>
      </c>
      <c r="C9018" s="1" t="s">
        <v>3244</v>
      </c>
      <c r="D9018" s="1" t="s">
        <v>3245</v>
      </c>
    </row>
    <row r="9019">
      <c r="A9019" s="1" t="s">
        <v>17574</v>
      </c>
      <c r="B9019" s="2" t="s">
        <v>17575</v>
      </c>
      <c r="C9019" s="1" t="s">
        <v>3244</v>
      </c>
      <c r="D9019" s="1" t="s">
        <v>3245</v>
      </c>
    </row>
    <row r="9020">
      <c r="A9020" s="1" t="s">
        <v>17576</v>
      </c>
      <c r="B9020" s="2" t="s">
        <v>17577</v>
      </c>
      <c r="C9020" s="1" t="s">
        <v>3244</v>
      </c>
      <c r="D9020" s="1" t="s">
        <v>3245</v>
      </c>
    </row>
    <row r="9021">
      <c r="A9021" s="1" t="s">
        <v>17578</v>
      </c>
      <c r="B9021" s="2" t="s">
        <v>17579</v>
      </c>
      <c r="C9021" s="1" t="s">
        <v>3244</v>
      </c>
      <c r="D9021" s="1" t="s">
        <v>3245</v>
      </c>
    </row>
    <row r="9022">
      <c r="A9022" s="1" t="s">
        <v>17580</v>
      </c>
      <c r="B9022" s="2" t="s">
        <v>17581</v>
      </c>
      <c r="C9022" s="1" t="s">
        <v>3244</v>
      </c>
      <c r="D9022" s="1" t="s">
        <v>3245</v>
      </c>
    </row>
    <row r="9023">
      <c r="A9023" s="1" t="s">
        <v>17582</v>
      </c>
      <c r="B9023" s="2" t="s">
        <v>17583</v>
      </c>
      <c r="C9023" s="1" t="s">
        <v>3244</v>
      </c>
      <c r="D9023" s="1" t="s">
        <v>3245</v>
      </c>
    </row>
    <row r="9024">
      <c r="A9024" s="1" t="s">
        <v>17584</v>
      </c>
      <c r="B9024" s="2" t="s">
        <v>17585</v>
      </c>
      <c r="C9024" s="1" t="s">
        <v>3244</v>
      </c>
      <c r="D9024" s="1" t="s">
        <v>3245</v>
      </c>
    </row>
    <row r="9025">
      <c r="A9025" s="1" t="s">
        <v>17586</v>
      </c>
      <c r="B9025" s="2" t="s">
        <v>17587</v>
      </c>
      <c r="C9025" s="1" t="s">
        <v>3244</v>
      </c>
      <c r="D9025" s="1" t="s">
        <v>3245</v>
      </c>
    </row>
    <row r="9026">
      <c r="A9026" s="1" t="s">
        <v>17588</v>
      </c>
      <c r="B9026" s="2" t="s">
        <v>17589</v>
      </c>
      <c r="C9026" s="1" t="s">
        <v>3244</v>
      </c>
      <c r="D9026" s="1" t="s">
        <v>3245</v>
      </c>
    </row>
    <row r="9027">
      <c r="A9027" s="1" t="s">
        <v>17590</v>
      </c>
      <c r="B9027" s="2" t="s">
        <v>17591</v>
      </c>
      <c r="C9027" s="1" t="s">
        <v>3244</v>
      </c>
      <c r="D9027" s="1" t="s">
        <v>3245</v>
      </c>
    </row>
    <row r="9028">
      <c r="A9028" s="1" t="s">
        <v>17592</v>
      </c>
      <c r="B9028" s="2" t="s">
        <v>17593</v>
      </c>
      <c r="C9028" s="1" t="s">
        <v>3244</v>
      </c>
      <c r="D9028" s="1" t="s">
        <v>3245</v>
      </c>
    </row>
    <row r="9029">
      <c r="A9029" s="1" t="s">
        <v>17594</v>
      </c>
      <c r="B9029" s="2" t="s">
        <v>17595</v>
      </c>
      <c r="C9029" s="1" t="s">
        <v>3244</v>
      </c>
      <c r="D9029" s="1" t="s">
        <v>3245</v>
      </c>
    </row>
    <row r="9030">
      <c r="A9030" s="1" t="s">
        <v>3255</v>
      </c>
      <c r="B9030" s="2" t="s">
        <v>7</v>
      </c>
      <c r="C9030" s="1" t="s">
        <v>3257</v>
      </c>
      <c r="D9030" s="1" t="s">
        <v>3258</v>
      </c>
    </row>
    <row r="9031">
      <c r="A9031" s="1" t="s">
        <v>17596</v>
      </c>
      <c r="B9031" s="2" t="s">
        <v>13984</v>
      </c>
      <c r="C9031" s="1" t="s">
        <v>3257</v>
      </c>
      <c r="D9031" s="1" t="s">
        <v>3258</v>
      </c>
    </row>
    <row r="9032">
      <c r="A9032" s="1" t="s">
        <v>17597</v>
      </c>
      <c r="B9032" s="2" t="s">
        <v>17598</v>
      </c>
      <c r="C9032" s="1" t="s">
        <v>3257</v>
      </c>
      <c r="D9032" s="1" t="s">
        <v>3258</v>
      </c>
    </row>
    <row r="9033">
      <c r="A9033" s="1" t="s">
        <v>17599</v>
      </c>
      <c r="B9033" s="2" t="s">
        <v>17600</v>
      </c>
      <c r="C9033" s="1" t="s">
        <v>3257</v>
      </c>
      <c r="D9033" s="1" t="s">
        <v>3258</v>
      </c>
    </row>
    <row r="9034">
      <c r="A9034" s="1" t="s">
        <v>17601</v>
      </c>
      <c r="B9034" s="2" t="s">
        <v>17602</v>
      </c>
      <c r="C9034" s="1" t="s">
        <v>3257</v>
      </c>
      <c r="D9034" s="1" t="s">
        <v>3258</v>
      </c>
    </row>
    <row r="9035">
      <c r="A9035" s="1" t="s">
        <v>17603</v>
      </c>
      <c r="B9035" s="2" t="s">
        <v>17604</v>
      </c>
      <c r="C9035" s="1" t="s">
        <v>3257</v>
      </c>
      <c r="D9035" s="1" t="s">
        <v>3258</v>
      </c>
    </row>
    <row r="9036">
      <c r="A9036" s="1" t="s">
        <v>17605</v>
      </c>
      <c r="B9036" s="2" t="s">
        <v>17606</v>
      </c>
      <c r="C9036" s="1" t="s">
        <v>3257</v>
      </c>
      <c r="D9036" s="1" t="s">
        <v>3258</v>
      </c>
    </row>
    <row r="9037">
      <c r="A9037" s="1" t="s">
        <v>17607</v>
      </c>
      <c r="B9037" s="2" t="s">
        <v>17608</v>
      </c>
      <c r="C9037" s="1" t="s">
        <v>3257</v>
      </c>
      <c r="D9037" s="1" t="s">
        <v>3258</v>
      </c>
    </row>
    <row r="9038">
      <c r="A9038" s="1" t="s">
        <v>17609</v>
      </c>
      <c r="B9038" s="2" t="s">
        <v>17610</v>
      </c>
      <c r="C9038" s="1" t="s">
        <v>3257</v>
      </c>
      <c r="D9038" s="1" t="s">
        <v>3258</v>
      </c>
    </row>
    <row r="9039">
      <c r="A9039" s="1" t="s">
        <v>17611</v>
      </c>
      <c r="B9039" s="2" t="s">
        <v>17612</v>
      </c>
      <c r="C9039" s="1" t="s">
        <v>3257</v>
      </c>
      <c r="D9039" s="1" t="s">
        <v>3258</v>
      </c>
    </row>
    <row r="9040">
      <c r="A9040" s="1" t="s">
        <v>17613</v>
      </c>
      <c r="B9040" s="2" t="s">
        <v>17614</v>
      </c>
      <c r="C9040" s="1" t="s">
        <v>3257</v>
      </c>
      <c r="D9040" s="1" t="s">
        <v>3258</v>
      </c>
    </row>
    <row r="9041">
      <c r="A9041" s="1" t="s">
        <v>17615</v>
      </c>
      <c r="B9041" s="2" t="s">
        <v>17616</v>
      </c>
      <c r="C9041" s="1" t="s">
        <v>3257</v>
      </c>
      <c r="D9041" s="1" t="s">
        <v>3258</v>
      </c>
    </row>
    <row r="9042">
      <c r="A9042" s="1" t="s">
        <v>17617</v>
      </c>
      <c r="B9042" s="2" t="s">
        <v>17618</v>
      </c>
      <c r="C9042" s="1" t="s">
        <v>3257</v>
      </c>
      <c r="D9042" s="1" t="s">
        <v>3258</v>
      </c>
    </row>
    <row r="9043">
      <c r="A9043" s="1" t="s">
        <v>17619</v>
      </c>
      <c r="B9043" s="2" t="s">
        <v>17620</v>
      </c>
      <c r="C9043" s="1" t="s">
        <v>3257</v>
      </c>
      <c r="D9043" s="1" t="s">
        <v>3258</v>
      </c>
    </row>
    <row r="9044">
      <c r="A9044" s="1" t="s">
        <v>17621</v>
      </c>
      <c r="B9044" s="2" t="s">
        <v>17622</v>
      </c>
      <c r="C9044" s="1" t="s">
        <v>3257</v>
      </c>
      <c r="D9044" s="1" t="s">
        <v>3258</v>
      </c>
    </row>
    <row r="9045">
      <c r="A9045" s="1" t="s">
        <v>17623</v>
      </c>
      <c r="B9045" s="2" t="s">
        <v>17624</v>
      </c>
      <c r="C9045" s="1" t="s">
        <v>3257</v>
      </c>
      <c r="D9045" s="1" t="s">
        <v>3258</v>
      </c>
    </row>
    <row r="9046">
      <c r="A9046" s="1" t="s">
        <v>17625</v>
      </c>
      <c r="B9046" s="2" t="s">
        <v>17626</v>
      </c>
      <c r="C9046" s="1" t="s">
        <v>3257</v>
      </c>
      <c r="D9046" s="1" t="s">
        <v>3258</v>
      </c>
    </row>
    <row r="9047">
      <c r="A9047" s="1" t="s">
        <v>17627</v>
      </c>
      <c r="B9047" s="2" t="s">
        <v>17628</v>
      </c>
      <c r="C9047" s="1" t="s">
        <v>3257</v>
      </c>
      <c r="D9047" s="1" t="s">
        <v>3258</v>
      </c>
    </row>
    <row r="9048">
      <c r="A9048" s="1" t="s">
        <v>17629</v>
      </c>
      <c r="B9048" s="2" t="s">
        <v>17630</v>
      </c>
      <c r="C9048" s="1" t="s">
        <v>3257</v>
      </c>
      <c r="D9048" s="1" t="s">
        <v>3258</v>
      </c>
    </row>
    <row r="9049">
      <c r="A9049" s="1" t="s">
        <v>17631</v>
      </c>
      <c r="B9049" s="2" t="s">
        <v>17632</v>
      </c>
      <c r="C9049" s="1" t="s">
        <v>3257</v>
      </c>
      <c r="D9049" s="1" t="s">
        <v>3258</v>
      </c>
    </row>
    <row r="9050">
      <c r="A9050" s="1" t="s">
        <v>17633</v>
      </c>
      <c r="B9050" s="2" t="s">
        <v>17634</v>
      </c>
      <c r="C9050" s="1" t="s">
        <v>3257</v>
      </c>
      <c r="D9050" s="1" t="s">
        <v>3258</v>
      </c>
    </row>
    <row r="9051">
      <c r="A9051" s="1" t="s">
        <v>17635</v>
      </c>
      <c r="B9051" s="2" t="s">
        <v>17636</v>
      </c>
      <c r="C9051" s="1" t="s">
        <v>3257</v>
      </c>
      <c r="D9051" s="1" t="s">
        <v>3258</v>
      </c>
    </row>
    <row r="9052">
      <c r="A9052" s="1" t="s">
        <v>17637</v>
      </c>
      <c r="B9052" s="2" t="s">
        <v>17638</v>
      </c>
      <c r="C9052" s="1" t="s">
        <v>3257</v>
      </c>
      <c r="D9052" s="1" t="s">
        <v>3258</v>
      </c>
    </row>
    <row r="9053">
      <c r="A9053" s="1" t="s">
        <v>17639</v>
      </c>
      <c r="B9053" s="2" t="s">
        <v>17640</v>
      </c>
      <c r="C9053" s="1" t="s">
        <v>3257</v>
      </c>
      <c r="D9053" s="1" t="s">
        <v>3258</v>
      </c>
    </row>
    <row r="9054">
      <c r="A9054" s="1" t="s">
        <v>17641</v>
      </c>
      <c r="B9054" s="2" t="s">
        <v>17642</v>
      </c>
      <c r="C9054" s="1" t="s">
        <v>3257</v>
      </c>
      <c r="D9054" s="1" t="s">
        <v>3258</v>
      </c>
    </row>
    <row r="9055">
      <c r="A9055" s="1" t="s">
        <v>17643</v>
      </c>
      <c r="B9055" s="2" t="s">
        <v>17644</v>
      </c>
      <c r="C9055" s="1" t="s">
        <v>3257</v>
      </c>
      <c r="D9055" s="1" t="s">
        <v>3258</v>
      </c>
    </row>
    <row r="9056">
      <c r="A9056" s="1" t="s">
        <v>17645</v>
      </c>
      <c r="B9056" s="2" t="s">
        <v>17646</v>
      </c>
      <c r="C9056" s="1" t="s">
        <v>3257</v>
      </c>
      <c r="D9056" s="1" t="s">
        <v>3258</v>
      </c>
    </row>
    <row r="9057">
      <c r="A9057" s="1" t="s">
        <v>17647</v>
      </c>
      <c r="B9057" s="2" t="s">
        <v>17648</v>
      </c>
      <c r="C9057" s="1" t="s">
        <v>3257</v>
      </c>
      <c r="D9057" s="1" t="s">
        <v>3258</v>
      </c>
    </row>
    <row r="9058">
      <c r="A9058" s="1" t="s">
        <v>17649</v>
      </c>
      <c r="B9058" s="2" t="s">
        <v>17650</v>
      </c>
      <c r="C9058" s="1" t="s">
        <v>3257</v>
      </c>
      <c r="D9058" s="1" t="s">
        <v>3258</v>
      </c>
    </row>
    <row r="9059">
      <c r="A9059" s="1" t="s">
        <v>17651</v>
      </c>
      <c r="B9059" s="2" t="s">
        <v>17652</v>
      </c>
      <c r="C9059" s="1" t="s">
        <v>3257</v>
      </c>
      <c r="D9059" s="1" t="s">
        <v>3258</v>
      </c>
    </row>
    <row r="9060">
      <c r="A9060" s="1" t="s">
        <v>17653</v>
      </c>
      <c r="B9060" s="2" t="s">
        <v>13994</v>
      </c>
      <c r="C9060" s="1" t="s">
        <v>3257</v>
      </c>
      <c r="D9060" s="1" t="s">
        <v>3258</v>
      </c>
    </row>
    <row r="9061">
      <c r="A9061" s="1" t="s">
        <v>17654</v>
      </c>
      <c r="B9061" s="2" t="s">
        <v>17655</v>
      </c>
      <c r="C9061" s="1" t="s">
        <v>3257</v>
      </c>
      <c r="D9061" s="1" t="s">
        <v>3258</v>
      </c>
    </row>
    <row r="9062">
      <c r="A9062" s="1" t="s">
        <v>17656</v>
      </c>
      <c r="B9062" s="2" t="s">
        <v>17657</v>
      </c>
      <c r="C9062" s="1" t="s">
        <v>3257</v>
      </c>
      <c r="D9062" s="1" t="s">
        <v>3258</v>
      </c>
    </row>
    <row r="9063">
      <c r="A9063" s="1" t="s">
        <v>17658</v>
      </c>
      <c r="B9063" s="2" t="s">
        <v>17659</v>
      </c>
      <c r="C9063" s="1" t="s">
        <v>3257</v>
      </c>
      <c r="D9063" s="1" t="s">
        <v>3258</v>
      </c>
    </row>
    <row r="9064">
      <c r="A9064" s="1" t="s">
        <v>17660</v>
      </c>
      <c r="B9064" s="2" t="s">
        <v>17661</v>
      </c>
      <c r="C9064" s="1" t="s">
        <v>3257</v>
      </c>
      <c r="D9064" s="1" t="s">
        <v>3258</v>
      </c>
    </row>
    <row r="9065">
      <c r="A9065" s="1" t="s">
        <v>17662</v>
      </c>
      <c r="B9065" s="2" t="s">
        <v>17663</v>
      </c>
      <c r="C9065" s="1" t="s">
        <v>3257</v>
      </c>
      <c r="D9065" s="1" t="s">
        <v>3258</v>
      </c>
    </row>
    <row r="9066">
      <c r="A9066" s="1" t="s">
        <v>17664</v>
      </c>
      <c r="B9066" s="2" t="s">
        <v>17665</v>
      </c>
      <c r="C9066" s="1" t="s">
        <v>3257</v>
      </c>
      <c r="D9066" s="1" t="s">
        <v>3258</v>
      </c>
    </row>
    <row r="9067">
      <c r="A9067" s="1" t="s">
        <v>17666</v>
      </c>
      <c r="B9067" s="2" t="s">
        <v>17667</v>
      </c>
      <c r="C9067" s="1" t="s">
        <v>3257</v>
      </c>
      <c r="D9067" s="1" t="s">
        <v>3258</v>
      </c>
    </row>
    <row r="9068">
      <c r="A9068" s="1" t="s">
        <v>17668</v>
      </c>
      <c r="B9068" s="2" t="s">
        <v>17669</v>
      </c>
      <c r="C9068" s="1" t="s">
        <v>3257</v>
      </c>
      <c r="D9068" s="1" t="s">
        <v>3258</v>
      </c>
    </row>
    <row r="9069">
      <c r="A9069" s="1" t="s">
        <v>17670</v>
      </c>
      <c r="B9069" s="2" t="s">
        <v>17671</v>
      </c>
      <c r="C9069" s="1" t="s">
        <v>3257</v>
      </c>
      <c r="D9069" s="1" t="s">
        <v>3258</v>
      </c>
    </row>
    <row r="9070">
      <c r="A9070" s="1" t="s">
        <v>17672</v>
      </c>
      <c r="B9070" s="2" t="s">
        <v>17673</v>
      </c>
      <c r="C9070" s="1" t="s">
        <v>3257</v>
      </c>
      <c r="D9070" s="1" t="s">
        <v>3258</v>
      </c>
    </row>
    <row r="9071">
      <c r="A9071" s="1" t="s">
        <v>17674</v>
      </c>
      <c r="B9071" s="2" t="s">
        <v>17675</v>
      </c>
      <c r="C9071" s="1" t="s">
        <v>3257</v>
      </c>
      <c r="D9071" s="1" t="s">
        <v>3258</v>
      </c>
    </row>
    <row r="9072">
      <c r="A9072" s="1" t="s">
        <v>17676</v>
      </c>
      <c r="B9072" s="2" t="s">
        <v>17677</v>
      </c>
      <c r="C9072" s="1" t="s">
        <v>3257</v>
      </c>
      <c r="D9072" s="1" t="s">
        <v>3258</v>
      </c>
    </row>
    <row r="9073">
      <c r="A9073" s="1" t="s">
        <v>17678</v>
      </c>
      <c r="B9073" s="2" t="s">
        <v>17679</v>
      </c>
      <c r="C9073" s="1" t="s">
        <v>3257</v>
      </c>
      <c r="D9073" s="1" t="s">
        <v>3258</v>
      </c>
    </row>
    <row r="9074">
      <c r="A9074" s="1" t="s">
        <v>17680</v>
      </c>
      <c r="B9074" s="2" t="s">
        <v>17681</v>
      </c>
      <c r="C9074" s="1" t="s">
        <v>3257</v>
      </c>
      <c r="D9074" s="1" t="s">
        <v>3258</v>
      </c>
    </row>
    <row r="9075">
      <c r="A9075" s="1" t="s">
        <v>17682</v>
      </c>
      <c r="B9075" s="2" t="s">
        <v>17683</v>
      </c>
      <c r="C9075" s="1" t="s">
        <v>3257</v>
      </c>
      <c r="D9075" s="1" t="s">
        <v>3258</v>
      </c>
    </row>
    <row r="9076">
      <c r="A9076" s="1" t="s">
        <v>17684</v>
      </c>
      <c r="B9076" s="2" t="s">
        <v>17685</v>
      </c>
      <c r="C9076" s="1" t="s">
        <v>3257</v>
      </c>
      <c r="D9076" s="1" t="s">
        <v>3258</v>
      </c>
    </row>
    <row r="9077">
      <c r="A9077" s="1" t="s">
        <v>17686</v>
      </c>
      <c r="B9077" s="2" t="s">
        <v>17687</v>
      </c>
      <c r="C9077" s="1" t="s">
        <v>3257</v>
      </c>
      <c r="D9077" s="1" t="s">
        <v>3258</v>
      </c>
    </row>
    <row r="9078">
      <c r="A9078" s="1" t="s">
        <v>17688</v>
      </c>
      <c r="B9078" s="2" t="s">
        <v>17689</v>
      </c>
      <c r="C9078" s="1" t="s">
        <v>3257</v>
      </c>
      <c r="D9078" s="1" t="s">
        <v>3258</v>
      </c>
    </row>
    <row r="9079">
      <c r="A9079" s="1" t="s">
        <v>17690</v>
      </c>
      <c r="B9079" s="2" t="s">
        <v>17691</v>
      </c>
      <c r="C9079" s="1" t="s">
        <v>3257</v>
      </c>
      <c r="D9079" s="1" t="s">
        <v>3258</v>
      </c>
    </row>
    <row r="9080">
      <c r="A9080" s="1" t="s">
        <v>17692</v>
      </c>
      <c r="B9080" s="2" t="s">
        <v>17693</v>
      </c>
      <c r="C9080" s="1" t="s">
        <v>3257</v>
      </c>
      <c r="D9080" s="1" t="s">
        <v>3258</v>
      </c>
    </row>
    <row r="9081">
      <c r="A9081" s="1" t="s">
        <v>17694</v>
      </c>
      <c r="B9081" s="2" t="s">
        <v>17695</v>
      </c>
      <c r="C9081" s="1" t="s">
        <v>3257</v>
      </c>
      <c r="D9081" s="1" t="s">
        <v>3258</v>
      </c>
    </row>
    <row r="9082">
      <c r="A9082" s="1" t="s">
        <v>17696</v>
      </c>
      <c r="B9082" s="2" t="s">
        <v>17697</v>
      </c>
      <c r="C9082" s="1" t="s">
        <v>3257</v>
      </c>
      <c r="D9082" s="1" t="s">
        <v>3258</v>
      </c>
    </row>
    <row r="9083">
      <c r="A9083" s="1" t="s">
        <v>17698</v>
      </c>
      <c r="B9083" s="2" t="s">
        <v>17699</v>
      </c>
      <c r="C9083" s="1" t="s">
        <v>3257</v>
      </c>
      <c r="D9083" s="1" t="s">
        <v>3258</v>
      </c>
    </row>
    <row r="9084">
      <c r="A9084" s="1" t="s">
        <v>17700</v>
      </c>
      <c r="B9084" s="2" t="s">
        <v>17701</v>
      </c>
      <c r="C9084" s="1" t="s">
        <v>3257</v>
      </c>
      <c r="D9084" s="1" t="s">
        <v>3258</v>
      </c>
    </row>
    <row r="9085">
      <c r="A9085" s="1" t="s">
        <v>17702</v>
      </c>
      <c r="B9085" s="2" t="s">
        <v>17703</v>
      </c>
      <c r="C9085" s="1" t="s">
        <v>3257</v>
      </c>
      <c r="D9085" s="1" t="s">
        <v>3258</v>
      </c>
    </row>
    <row r="9086">
      <c r="A9086" s="1" t="s">
        <v>17704</v>
      </c>
      <c r="B9086" s="2" t="s">
        <v>17705</v>
      </c>
      <c r="C9086" s="1" t="s">
        <v>3257</v>
      </c>
      <c r="D9086" s="1" t="s">
        <v>3258</v>
      </c>
    </row>
    <row r="9087">
      <c r="A9087" s="1" t="s">
        <v>17706</v>
      </c>
      <c r="B9087" s="2" t="s">
        <v>17707</v>
      </c>
      <c r="C9087" s="1" t="s">
        <v>3257</v>
      </c>
      <c r="D9087" s="1" t="s">
        <v>3258</v>
      </c>
    </row>
    <row r="9088">
      <c r="A9088" s="1" t="s">
        <v>17708</v>
      </c>
      <c r="B9088" s="2" t="s">
        <v>17709</v>
      </c>
      <c r="C9088" s="1" t="s">
        <v>3257</v>
      </c>
      <c r="D9088" s="1" t="s">
        <v>3258</v>
      </c>
    </row>
    <row r="9089">
      <c r="A9089" s="1" t="s">
        <v>3263</v>
      </c>
      <c r="B9089" s="2" t="s">
        <v>7</v>
      </c>
      <c r="C9089" s="1" t="s">
        <v>3265</v>
      </c>
      <c r="D9089" s="1" t="s">
        <v>3266</v>
      </c>
    </row>
    <row r="9090">
      <c r="A9090" s="1" t="s">
        <v>17710</v>
      </c>
      <c r="B9090" s="2" t="s">
        <v>13984</v>
      </c>
      <c r="C9090" s="1" t="s">
        <v>3265</v>
      </c>
      <c r="D9090" s="1" t="s">
        <v>3266</v>
      </c>
    </row>
    <row r="9091">
      <c r="A9091" s="1" t="s">
        <v>17711</v>
      </c>
      <c r="B9091" s="2" t="s">
        <v>17598</v>
      </c>
      <c r="C9091" s="1" t="s">
        <v>3265</v>
      </c>
      <c r="D9091" s="1" t="s">
        <v>3266</v>
      </c>
    </row>
    <row r="9092">
      <c r="A9092" s="1" t="s">
        <v>17712</v>
      </c>
      <c r="B9092" s="2" t="s">
        <v>17600</v>
      </c>
      <c r="C9092" s="1" t="s">
        <v>3265</v>
      </c>
      <c r="D9092" s="1" t="s">
        <v>3266</v>
      </c>
    </row>
    <row r="9093">
      <c r="A9093" s="1" t="s">
        <v>17713</v>
      </c>
      <c r="B9093" s="2" t="s">
        <v>17602</v>
      </c>
      <c r="C9093" s="1" t="s">
        <v>3265</v>
      </c>
      <c r="D9093" s="1" t="s">
        <v>3266</v>
      </c>
    </row>
    <row r="9094">
      <c r="A9094" s="1" t="s">
        <v>17714</v>
      </c>
      <c r="B9094" s="2" t="s">
        <v>17604</v>
      </c>
      <c r="C9094" s="1" t="s">
        <v>3265</v>
      </c>
      <c r="D9094" s="1" t="s">
        <v>3266</v>
      </c>
    </row>
    <row r="9095">
      <c r="A9095" s="1" t="s">
        <v>17715</v>
      </c>
      <c r="B9095" s="2" t="s">
        <v>17606</v>
      </c>
      <c r="C9095" s="1" t="s">
        <v>3265</v>
      </c>
      <c r="D9095" s="1" t="s">
        <v>3266</v>
      </c>
    </row>
    <row r="9096">
      <c r="A9096" s="1" t="s">
        <v>17716</v>
      </c>
      <c r="B9096" s="2" t="s">
        <v>17608</v>
      </c>
      <c r="C9096" s="1" t="s">
        <v>3265</v>
      </c>
      <c r="D9096" s="1" t="s">
        <v>3266</v>
      </c>
    </row>
    <row r="9097">
      <c r="A9097" s="1" t="s">
        <v>17717</v>
      </c>
      <c r="B9097" s="2" t="s">
        <v>17610</v>
      </c>
      <c r="C9097" s="1" t="s">
        <v>3265</v>
      </c>
      <c r="D9097" s="1" t="s">
        <v>3266</v>
      </c>
    </row>
    <row r="9098">
      <c r="A9098" s="1" t="s">
        <v>17718</v>
      </c>
      <c r="B9098" s="2" t="s">
        <v>17612</v>
      </c>
      <c r="C9098" s="1" t="s">
        <v>3265</v>
      </c>
      <c r="D9098" s="1" t="s">
        <v>3266</v>
      </c>
    </row>
    <row r="9099">
      <c r="A9099" s="1" t="s">
        <v>17719</v>
      </c>
      <c r="B9099" s="2" t="s">
        <v>17614</v>
      </c>
      <c r="C9099" s="1" t="s">
        <v>3265</v>
      </c>
      <c r="D9099" s="1" t="s">
        <v>3266</v>
      </c>
    </row>
    <row r="9100">
      <c r="A9100" s="1" t="s">
        <v>17720</v>
      </c>
      <c r="B9100" s="2" t="s">
        <v>17616</v>
      </c>
      <c r="C9100" s="1" t="s">
        <v>3265</v>
      </c>
      <c r="D9100" s="1" t="s">
        <v>3266</v>
      </c>
    </row>
    <row r="9101">
      <c r="A9101" s="1" t="s">
        <v>17721</v>
      </c>
      <c r="B9101" s="2" t="s">
        <v>17618</v>
      </c>
      <c r="C9101" s="1" t="s">
        <v>3265</v>
      </c>
      <c r="D9101" s="1" t="s">
        <v>3266</v>
      </c>
    </row>
    <row r="9102">
      <c r="A9102" s="1" t="s">
        <v>17722</v>
      </c>
      <c r="B9102" s="2" t="s">
        <v>17620</v>
      </c>
      <c r="C9102" s="1" t="s">
        <v>3265</v>
      </c>
      <c r="D9102" s="1" t="s">
        <v>3266</v>
      </c>
    </row>
    <row r="9103">
      <c r="A9103" s="1" t="s">
        <v>17723</v>
      </c>
      <c r="B9103" s="2" t="s">
        <v>17622</v>
      </c>
      <c r="C9103" s="1" t="s">
        <v>3265</v>
      </c>
      <c r="D9103" s="1" t="s">
        <v>3266</v>
      </c>
    </row>
    <row r="9104">
      <c r="A9104" s="1" t="s">
        <v>17724</v>
      </c>
      <c r="B9104" s="2" t="s">
        <v>17624</v>
      </c>
      <c r="C9104" s="1" t="s">
        <v>3265</v>
      </c>
      <c r="D9104" s="1" t="s">
        <v>3266</v>
      </c>
    </row>
    <row r="9105">
      <c r="A9105" s="1" t="s">
        <v>17725</v>
      </c>
      <c r="B9105" s="2" t="s">
        <v>17626</v>
      </c>
      <c r="C9105" s="1" t="s">
        <v>3265</v>
      </c>
      <c r="D9105" s="1" t="s">
        <v>3266</v>
      </c>
    </row>
    <row r="9106">
      <c r="A9106" s="1" t="s">
        <v>17726</v>
      </c>
      <c r="B9106" s="2" t="s">
        <v>17628</v>
      </c>
      <c r="C9106" s="1" t="s">
        <v>3265</v>
      </c>
      <c r="D9106" s="1" t="s">
        <v>3266</v>
      </c>
    </row>
    <row r="9107">
      <c r="A9107" s="1" t="s">
        <v>17727</v>
      </c>
      <c r="B9107" s="2" t="s">
        <v>17630</v>
      </c>
      <c r="C9107" s="1" t="s">
        <v>3265</v>
      </c>
      <c r="D9107" s="1" t="s">
        <v>3266</v>
      </c>
    </row>
    <row r="9108">
      <c r="A9108" s="1" t="s">
        <v>17728</v>
      </c>
      <c r="B9108" s="2" t="s">
        <v>17632</v>
      </c>
      <c r="C9108" s="1" t="s">
        <v>3265</v>
      </c>
      <c r="D9108" s="1" t="s">
        <v>3266</v>
      </c>
    </row>
    <row r="9109">
      <c r="A9109" s="1" t="s">
        <v>17729</v>
      </c>
      <c r="B9109" s="2" t="s">
        <v>17634</v>
      </c>
      <c r="C9109" s="1" t="s">
        <v>3265</v>
      </c>
      <c r="D9109" s="1" t="s">
        <v>3266</v>
      </c>
    </row>
    <row r="9110">
      <c r="A9110" s="1" t="s">
        <v>17730</v>
      </c>
      <c r="B9110" s="2" t="s">
        <v>17636</v>
      </c>
      <c r="C9110" s="1" t="s">
        <v>3265</v>
      </c>
      <c r="D9110" s="1" t="s">
        <v>3266</v>
      </c>
    </row>
    <row r="9111">
      <c r="A9111" s="1" t="s">
        <v>17731</v>
      </c>
      <c r="B9111" s="2" t="s">
        <v>17638</v>
      </c>
      <c r="C9111" s="1" t="s">
        <v>3265</v>
      </c>
      <c r="D9111" s="1" t="s">
        <v>3266</v>
      </c>
    </row>
    <row r="9112">
      <c r="A9112" s="1" t="s">
        <v>17732</v>
      </c>
      <c r="B9112" s="2" t="s">
        <v>17640</v>
      </c>
      <c r="C9112" s="1" t="s">
        <v>3265</v>
      </c>
      <c r="D9112" s="1" t="s">
        <v>3266</v>
      </c>
    </row>
    <row r="9113">
      <c r="A9113" s="1" t="s">
        <v>17733</v>
      </c>
      <c r="B9113" s="2" t="s">
        <v>17642</v>
      </c>
      <c r="C9113" s="1" t="s">
        <v>3265</v>
      </c>
      <c r="D9113" s="1" t="s">
        <v>3266</v>
      </c>
    </row>
    <row r="9114">
      <c r="A9114" s="1" t="s">
        <v>17734</v>
      </c>
      <c r="B9114" s="2" t="s">
        <v>17644</v>
      </c>
      <c r="C9114" s="1" t="s">
        <v>3265</v>
      </c>
      <c r="D9114" s="1" t="s">
        <v>3266</v>
      </c>
    </row>
    <row r="9115">
      <c r="A9115" s="1" t="s">
        <v>17735</v>
      </c>
      <c r="B9115" s="2" t="s">
        <v>17646</v>
      </c>
      <c r="C9115" s="1" t="s">
        <v>3265</v>
      </c>
      <c r="D9115" s="1" t="s">
        <v>3266</v>
      </c>
    </row>
    <row r="9116">
      <c r="A9116" s="1" t="s">
        <v>17736</v>
      </c>
      <c r="B9116" s="2" t="s">
        <v>17648</v>
      </c>
      <c r="C9116" s="1" t="s">
        <v>3265</v>
      </c>
      <c r="D9116" s="1" t="s">
        <v>3266</v>
      </c>
    </row>
    <row r="9117">
      <c r="A9117" s="1" t="s">
        <v>17737</v>
      </c>
      <c r="B9117" s="2" t="s">
        <v>17650</v>
      </c>
      <c r="C9117" s="1" t="s">
        <v>3265</v>
      </c>
      <c r="D9117" s="1" t="s">
        <v>3266</v>
      </c>
    </row>
    <row r="9118">
      <c r="A9118" s="1" t="s">
        <v>17738</v>
      </c>
      <c r="B9118" s="2" t="s">
        <v>17652</v>
      </c>
      <c r="C9118" s="1" t="s">
        <v>3265</v>
      </c>
      <c r="D9118" s="1" t="s">
        <v>3266</v>
      </c>
    </row>
    <row r="9119">
      <c r="A9119" s="1" t="s">
        <v>17739</v>
      </c>
      <c r="B9119" s="2" t="s">
        <v>13994</v>
      </c>
      <c r="C9119" s="1" t="s">
        <v>3265</v>
      </c>
      <c r="D9119" s="1" t="s">
        <v>3266</v>
      </c>
    </row>
    <row r="9120">
      <c r="A9120" s="1" t="s">
        <v>17740</v>
      </c>
      <c r="B9120" s="2" t="s">
        <v>17655</v>
      </c>
      <c r="C9120" s="1" t="s">
        <v>3265</v>
      </c>
      <c r="D9120" s="1" t="s">
        <v>3266</v>
      </c>
    </row>
    <row r="9121">
      <c r="A9121" s="1" t="s">
        <v>17741</v>
      </c>
      <c r="B9121" s="2" t="s">
        <v>17657</v>
      </c>
      <c r="C9121" s="1" t="s">
        <v>3265</v>
      </c>
      <c r="D9121" s="1" t="s">
        <v>3266</v>
      </c>
    </row>
    <row r="9122">
      <c r="A9122" s="1" t="s">
        <v>17742</v>
      </c>
      <c r="B9122" s="2" t="s">
        <v>17659</v>
      </c>
      <c r="C9122" s="1" t="s">
        <v>3265</v>
      </c>
      <c r="D9122" s="1" t="s">
        <v>3266</v>
      </c>
    </row>
    <row r="9123">
      <c r="A9123" s="1" t="s">
        <v>17743</v>
      </c>
      <c r="B9123" s="2" t="s">
        <v>17661</v>
      </c>
      <c r="C9123" s="1" t="s">
        <v>3265</v>
      </c>
      <c r="D9123" s="1" t="s">
        <v>3266</v>
      </c>
    </row>
    <row r="9124">
      <c r="A9124" s="1" t="s">
        <v>17744</v>
      </c>
      <c r="B9124" s="2" t="s">
        <v>17663</v>
      </c>
      <c r="C9124" s="1" t="s">
        <v>3265</v>
      </c>
      <c r="D9124" s="1" t="s">
        <v>3266</v>
      </c>
    </row>
    <row r="9125">
      <c r="A9125" s="1" t="s">
        <v>17745</v>
      </c>
      <c r="B9125" s="2" t="s">
        <v>17665</v>
      </c>
      <c r="C9125" s="1" t="s">
        <v>3265</v>
      </c>
      <c r="D9125" s="1" t="s">
        <v>3266</v>
      </c>
    </row>
    <row r="9126">
      <c r="A9126" s="1" t="s">
        <v>17746</v>
      </c>
      <c r="B9126" s="2" t="s">
        <v>17667</v>
      </c>
      <c r="C9126" s="1" t="s">
        <v>3265</v>
      </c>
      <c r="D9126" s="1" t="s">
        <v>3266</v>
      </c>
    </row>
    <row r="9127">
      <c r="A9127" s="1" t="s">
        <v>17747</v>
      </c>
      <c r="B9127" s="2" t="s">
        <v>17669</v>
      </c>
      <c r="C9127" s="1" t="s">
        <v>3265</v>
      </c>
      <c r="D9127" s="1" t="s">
        <v>3266</v>
      </c>
    </row>
    <row r="9128">
      <c r="A9128" s="1" t="s">
        <v>17748</v>
      </c>
      <c r="B9128" s="2" t="s">
        <v>17671</v>
      </c>
      <c r="C9128" s="1" t="s">
        <v>3265</v>
      </c>
      <c r="D9128" s="1" t="s">
        <v>3266</v>
      </c>
    </row>
    <row r="9129">
      <c r="A9129" s="1" t="s">
        <v>17749</v>
      </c>
      <c r="B9129" s="2" t="s">
        <v>17673</v>
      </c>
      <c r="C9129" s="1" t="s">
        <v>3265</v>
      </c>
      <c r="D9129" s="1" t="s">
        <v>3266</v>
      </c>
    </row>
    <row r="9130">
      <c r="A9130" s="1" t="s">
        <v>17750</v>
      </c>
      <c r="B9130" s="2" t="s">
        <v>17675</v>
      </c>
      <c r="C9130" s="1" t="s">
        <v>3265</v>
      </c>
      <c r="D9130" s="1" t="s">
        <v>3266</v>
      </c>
    </row>
    <row r="9131">
      <c r="A9131" s="1" t="s">
        <v>17751</v>
      </c>
      <c r="B9131" s="2" t="s">
        <v>17677</v>
      </c>
      <c r="C9131" s="1" t="s">
        <v>3265</v>
      </c>
      <c r="D9131" s="1" t="s">
        <v>3266</v>
      </c>
    </row>
    <row r="9132">
      <c r="A9132" s="1" t="s">
        <v>17752</v>
      </c>
      <c r="B9132" s="2" t="s">
        <v>17679</v>
      </c>
      <c r="C9132" s="1" t="s">
        <v>3265</v>
      </c>
      <c r="D9132" s="1" t="s">
        <v>3266</v>
      </c>
    </row>
    <row r="9133">
      <c r="A9133" s="1" t="s">
        <v>17753</v>
      </c>
      <c r="B9133" s="2" t="s">
        <v>17681</v>
      </c>
      <c r="C9133" s="1" t="s">
        <v>3265</v>
      </c>
      <c r="D9133" s="1" t="s">
        <v>3266</v>
      </c>
    </row>
    <row r="9134">
      <c r="A9134" s="1" t="s">
        <v>17754</v>
      </c>
      <c r="B9134" s="2" t="s">
        <v>17683</v>
      </c>
      <c r="C9134" s="1" t="s">
        <v>3265</v>
      </c>
      <c r="D9134" s="1" t="s">
        <v>3266</v>
      </c>
    </row>
    <row r="9135">
      <c r="A9135" s="1" t="s">
        <v>17755</v>
      </c>
      <c r="B9135" s="2" t="s">
        <v>17685</v>
      </c>
      <c r="C9135" s="1" t="s">
        <v>3265</v>
      </c>
      <c r="D9135" s="1" t="s">
        <v>3266</v>
      </c>
    </row>
    <row r="9136">
      <c r="A9136" s="1" t="s">
        <v>17756</v>
      </c>
      <c r="B9136" s="2" t="s">
        <v>17687</v>
      </c>
      <c r="C9136" s="1" t="s">
        <v>3265</v>
      </c>
      <c r="D9136" s="1" t="s">
        <v>3266</v>
      </c>
    </row>
    <row r="9137">
      <c r="A9137" s="1" t="s">
        <v>17757</v>
      </c>
      <c r="B9137" s="2" t="s">
        <v>17689</v>
      </c>
      <c r="C9137" s="1" t="s">
        <v>3265</v>
      </c>
      <c r="D9137" s="1" t="s">
        <v>3266</v>
      </c>
    </row>
    <row r="9138">
      <c r="A9138" s="1" t="s">
        <v>17758</v>
      </c>
      <c r="B9138" s="2" t="s">
        <v>17691</v>
      </c>
      <c r="C9138" s="1" t="s">
        <v>3265</v>
      </c>
      <c r="D9138" s="1" t="s">
        <v>3266</v>
      </c>
    </row>
    <row r="9139">
      <c r="A9139" s="1" t="s">
        <v>17759</v>
      </c>
      <c r="B9139" s="2" t="s">
        <v>17693</v>
      </c>
      <c r="C9139" s="1" t="s">
        <v>3265</v>
      </c>
      <c r="D9139" s="1" t="s">
        <v>3266</v>
      </c>
    </row>
    <row r="9140">
      <c r="A9140" s="1" t="s">
        <v>17760</v>
      </c>
      <c r="B9140" s="2" t="s">
        <v>17695</v>
      </c>
      <c r="C9140" s="1" t="s">
        <v>3265</v>
      </c>
      <c r="D9140" s="1" t="s">
        <v>3266</v>
      </c>
    </row>
    <row r="9141">
      <c r="A9141" s="1" t="s">
        <v>17761</v>
      </c>
      <c r="B9141" s="2" t="s">
        <v>17697</v>
      </c>
      <c r="C9141" s="1" t="s">
        <v>3265</v>
      </c>
      <c r="D9141" s="1" t="s">
        <v>3266</v>
      </c>
    </row>
    <row r="9142">
      <c r="A9142" s="1" t="s">
        <v>17762</v>
      </c>
      <c r="B9142" s="2" t="s">
        <v>17699</v>
      </c>
      <c r="C9142" s="1" t="s">
        <v>3265</v>
      </c>
      <c r="D9142" s="1" t="s">
        <v>3266</v>
      </c>
    </row>
    <row r="9143">
      <c r="A9143" s="1" t="s">
        <v>17763</v>
      </c>
      <c r="B9143" s="2" t="s">
        <v>17701</v>
      </c>
      <c r="C9143" s="1" t="s">
        <v>3265</v>
      </c>
      <c r="D9143" s="1" t="s">
        <v>3266</v>
      </c>
    </row>
    <row r="9144">
      <c r="A9144" s="1" t="s">
        <v>17764</v>
      </c>
      <c r="B9144" s="2" t="s">
        <v>17703</v>
      </c>
      <c r="C9144" s="1" t="s">
        <v>3265</v>
      </c>
      <c r="D9144" s="1" t="s">
        <v>3266</v>
      </c>
    </row>
    <row r="9145">
      <c r="A9145" s="1" t="s">
        <v>17765</v>
      </c>
      <c r="B9145" s="2" t="s">
        <v>17705</v>
      </c>
      <c r="C9145" s="1" t="s">
        <v>3265</v>
      </c>
      <c r="D9145" s="1" t="s">
        <v>3266</v>
      </c>
    </row>
    <row r="9146">
      <c r="A9146" s="1" t="s">
        <v>17766</v>
      </c>
      <c r="B9146" s="2" t="s">
        <v>17707</v>
      </c>
      <c r="C9146" s="1" t="s">
        <v>3265</v>
      </c>
      <c r="D9146" s="1" t="s">
        <v>3266</v>
      </c>
    </row>
    <row r="9147">
      <c r="A9147" s="1" t="s">
        <v>17767</v>
      </c>
      <c r="B9147" s="2" t="s">
        <v>17709</v>
      </c>
      <c r="C9147" s="1" t="s">
        <v>3265</v>
      </c>
      <c r="D9147" s="1" t="s">
        <v>3266</v>
      </c>
    </row>
    <row r="9148">
      <c r="A9148" s="1" t="s">
        <v>3269</v>
      </c>
      <c r="B9148" s="2" t="s">
        <v>7</v>
      </c>
      <c r="C9148" s="1" t="s">
        <v>3271</v>
      </c>
      <c r="D9148" s="1" t="s">
        <v>3272</v>
      </c>
    </row>
    <row r="9149">
      <c r="A9149" s="1" t="s">
        <v>17768</v>
      </c>
      <c r="B9149" s="2" t="s">
        <v>13984</v>
      </c>
      <c r="C9149" s="1" t="s">
        <v>3271</v>
      </c>
      <c r="D9149" s="1" t="s">
        <v>3272</v>
      </c>
    </row>
    <row r="9150">
      <c r="A9150" s="1" t="s">
        <v>17769</v>
      </c>
      <c r="B9150" s="2" t="s">
        <v>17598</v>
      </c>
      <c r="C9150" s="1" t="s">
        <v>3271</v>
      </c>
      <c r="D9150" s="1" t="s">
        <v>3272</v>
      </c>
    </row>
    <row r="9151">
      <c r="A9151" s="1" t="s">
        <v>17770</v>
      </c>
      <c r="B9151" s="2" t="s">
        <v>17600</v>
      </c>
      <c r="C9151" s="1" t="s">
        <v>3271</v>
      </c>
      <c r="D9151" s="1" t="s">
        <v>3272</v>
      </c>
    </row>
    <row r="9152">
      <c r="A9152" s="1" t="s">
        <v>17771</v>
      </c>
      <c r="B9152" s="2" t="s">
        <v>17602</v>
      </c>
      <c r="C9152" s="1" t="s">
        <v>3271</v>
      </c>
      <c r="D9152" s="1" t="s">
        <v>3272</v>
      </c>
    </row>
    <row r="9153">
      <c r="A9153" s="1" t="s">
        <v>17772</v>
      </c>
      <c r="B9153" s="2" t="s">
        <v>17604</v>
      </c>
      <c r="C9153" s="1" t="s">
        <v>3271</v>
      </c>
      <c r="D9153" s="1" t="s">
        <v>3272</v>
      </c>
    </row>
    <row r="9154">
      <c r="A9154" s="1" t="s">
        <v>17773</v>
      </c>
      <c r="B9154" s="2" t="s">
        <v>17606</v>
      </c>
      <c r="C9154" s="1" t="s">
        <v>3271</v>
      </c>
      <c r="D9154" s="1" t="s">
        <v>3272</v>
      </c>
    </row>
    <row r="9155">
      <c r="A9155" s="1" t="s">
        <v>17774</v>
      </c>
      <c r="B9155" s="2" t="s">
        <v>17608</v>
      </c>
      <c r="C9155" s="1" t="s">
        <v>3271</v>
      </c>
      <c r="D9155" s="1" t="s">
        <v>3272</v>
      </c>
    </row>
    <row r="9156">
      <c r="A9156" s="1" t="s">
        <v>17775</v>
      </c>
      <c r="B9156" s="2" t="s">
        <v>17610</v>
      </c>
      <c r="C9156" s="1" t="s">
        <v>3271</v>
      </c>
      <c r="D9156" s="1" t="s">
        <v>3272</v>
      </c>
    </row>
    <row r="9157">
      <c r="A9157" s="1" t="s">
        <v>17776</v>
      </c>
      <c r="B9157" s="2" t="s">
        <v>17612</v>
      </c>
      <c r="C9157" s="1" t="s">
        <v>3271</v>
      </c>
      <c r="D9157" s="1" t="s">
        <v>3272</v>
      </c>
    </row>
    <row r="9158">
      <c r="A9158" s="1" t="s">
        <v>17777</v>
      </c>
      <c r="B9158" s="2" t="s">
        <v>17614</v>
      </c>
      <c r="C9158" s="1" t="s">
        <v>3271</v>
      </c>
      <c r="D9158" s="1" t="s">
        <v>3272</v>
      </c>
    </row>
    <row r="9159">
      <c r="A9159" s="1" t="s">
        <v>17778</v>
      </c>
      <c r="B9159" s="2" t="s">
        <v>17616</v>
      </c>
      <c r="C9159" s="1" t="s">
        <v>3271</v>
      </c>
      <c r="D9159" s="1" t="s">
        <v>3272</v>
      </c>
    </row>
    <row r="9160">
      <c r="A9160" s="1" t="s">
        <v>17779</v>
      </c>
      <c r="B9160" s="2" t="s">
        <v>17618</v>
      </c>
      <c r="C9160" s="1" t="s">
        <v>3271</v>
      </c>
      <c r="D9160" s="1" t="s">
        <v>3272</v>
      </c>
    </row>
    <row r="9161">
      <c r="A9161" s="1" t="s">
        <v>17780</v>
      </c>
      <c r="B9161" s="2" t="s">
        <v>17620</v>
      </c>
      <c r="C9161" s="1" t="s">
        <v>3271</v>
      </c>
      <c r="D9161" s="1" t="s">
        <v>3272</v>
      </c>
    </row>
    <row r="9162">
      <c r="A9162" s="1" t="s">
        <v>17781</v>
      </c>
      <c r="B9162" s="2" t="s">
        <v>17622</v>
      </c>
      <c r="C9162" s="1" t="s">
        <v>3271</v>
      </c>
      <c r="D9162" s="1" t="s">
        <v>3272</v>
      </c>
    </row>
    <row r="9163">
      <c r="A9163" s="1" t="s">
        <v>17782</v>
      </c>
      <c r="B9163" s="2" t="s">
        <v>17624</v>
      </c>
      <c r="C9163" s="1" t="s">
        <v>3271</v>
      </c>
      <c r="D9163" s="1" t="s">
        <v>3272</v>
      </c>
    </row>
    <row r="9164">
      <c r="A9164" s="1" t="s">
        <v>17783</v>
      </c>
      <c r="B9164" s="2" t="s">
        <v>17626</v>
      </c>
      <c r="C9164" s="1" t="s">
        <v>3271</v>
      </c>
      <c r="D9164" s="1" t="s">
        <v>3272</v>
      </c>
    </row>
    <row r="9165">
      <c r="A9165" s="1" t="s">
        <v>17784</v>
      </c>
      <c r="B9165" s="2" t="s">
        <v>17628</v>
      </c>
      <c r="C9165" s="1" t="s">
        <v>3271</v>
      </c>
      <c r="D9165" s="1" t="s">
        <v>3272</v>
      </c>
    </row>
    <row r="9166">
      <c r="A9166" s="1" t="s">
        <v>17785</v>
      </c>
      <c r="B9166" s="2" t="s">
        <v>17630</v>
      </c>
      <c r="C9166" s="1" t="s">
        <v>3271</v>
      </c>
      <c r="D9166" s="1" t="s">
        <v>3272</v>
      </c>
    </row>
    <row r="9167">
      <c r="A9167" s="1" t="s">
        <v>17786</v>
      </c>
      <c r="B9167" s="2" t="s">
        <v>17632</v>
      </c>
      <c r="C9167" s="1" t="s">
        <v>3271</v>
      </c>
      <c r="D9167" s="1" t="s">
        <v>3272</v>
      </c>
    </row>
    <row r="9168">
      <c r="A9168" s="1" t="s">
        <v>17787</v>
      </c>
      <c r="B9168" s="2" t="s">
        <v>17634</v>
      </c>
      <c r="C9168" s="1" t="s">
        <v>3271</v>
      </c>
      <c r="D9168" s="1" t="s">
        <v>3272</v>
      </c>
    </row>
    <row r="9169">
      <c r="A9169" s="1" t="s">
        <v>17788</v>
      </c>
      <c r="B9169" s="2" t="s">
        <v>17636</v>
      </c>
      <c r="C9169" s="1" t="s">
        <v>3271</v>
      </c>
      <c r="D9169" s="1" t="s">
        <v>3272</v>
      </c>
    </row>
    <row r="9170">
      <c r="A9170" s="1" t="s">
        <v>17789</v>
      </c>
      <c r="B9170" s="2" t="s">
        <v>17638</v>
      </c>
      <c r="C9170" s="1" t="s">
        <v>3271</v>
      </c>
      <c r="D9170" s="1" t="s">
        <v>3272</v>
      </c>
    </row>
    <row r="9171">
      <c r="A9171" s="1" t="s">
        <v>17790</v>
      </c>
      <c r="B9171" s="2" t="s">
        <v>17640</v>
      </c>
      <c r="C9171" s="1" t="s">
        <v>3271</v>
      </c>
      <c r="D9171" s="1" t="s">
        <v>3272</v>
      </c>
    </row>
    <row r="9172">
      <c r="A9172" s="1" t="s">
        <v>17791</v>
      </c>
      <c r="B9172" s="2" t="s">
        <v>17642</v>
      </c>
      <c r="C9172" s="1" t="s">
        <v>3271</v>
      </c>
      <c r="D9172" s="1" t="s">
        <v>3272</v>
      </c>
    </row>
    <row r="9173">
      <c r="A9173" s="1" t="s">
        <v>17792</v>
      </c>
      <c r="B9173" s="2" t="s">
        <v>17644</v>
      </c>
      <c r="C9173" s="1" t="s">
        <v>3271</v>
      </c>
      <c r="D9173" s="1" t="s">
        <v>3272</v>
      </c>
    </row>
    <row r="9174">
      <c r="A9174" s="1" t="s">
        <v>17793</v>
      </c>
      <c r="B9174" s="2" t="s">
        <v>17646</v>
      </c>
      <c r="C9174" s="1" t="s">
        <v>3271</v>
      </c>
      <c r="D9174" s="1" t="s">
        <v>3272</v>
      </c>
    </row>
    <row r="9175">
      <c r="A9175" s="1" t="s">
        <v>17794</v>
      </c>
      <c r="B9175" s="2" t="s">
        <v>17648</v>
      </c>
      <c r="C9175" s="1" t="s">
        <v>3271</v>
      </c>
      <c r="D9175" s="1" t="s">
        <v>3272</v>
      </c>
    </row>
    <row r="9176">
      <c r="A9176" s="1" t="s">
        <v>17795</v>
      </c>
      <c r="B9176" s="2" t="s">
        <v>17650</v>
      </c>
      <c r="C9176" s="1" t="s">
        <v>3271</v>
      </c>
      <c r="D9176" s="1" t="s">
        <v>3272</v>
      </c>
    </row>
    <row r="9177">
      <c r="A9177" s="1" t="s">
        <v>17796</v>
      </c>
      <c r="B9177" s="2" t="s">
        <v>17652</v>
      </c>
      <c r="C9177" s="1" t="s">
        <v>3271</v>
      </c>
      <c r="D9177" s="1" t="s">
        <v>3272</v>
      </c>
    </row>
    <row r="9178">
      <c r="A9178" s="1" t="s">
        <v>17797</v>
      </c>
      <c r="B9178" s="2" t="s">
        <v>13994</v>
      </c>
      <c r="C9178" s="1" t="s">
        <v>3271</v>
      </c>
      <c r="D9178" s="1" t="s">
        <v>3272</v>
      </c>
    </row>
    <row r="9179">
      <c r="A9179" s="1" t="s">
        <v>17798</v>
      </c>
      <c r="B9179" s="2" t="s">
        <v>17655</v>
      </c>
      <c r="C9179" s="1" t="s">
        <v>3271</v>
      </c>
      <c r="D9179" s="1" t="s">
        <v>3272</v>
      </c>
    </row>
    <row r="9180">
      <c r="A9180" s="1" t="s">
        <v>17799</v>
      </c>
      <c r="B9180" s="2" t="s">
        <v>17657</v>
      </c>
      <c r="C9180" s="1" t="s">
        <v>3271</v>
      </c>
      <c r="D9180" s="1" t="s">
        <v>3272</v>
      </c>
    </row>
    <row r="9181">
      <c r="A9181" s="1" t="s">
        <v>17800</v>
      </c>
      <c r="B9181" s="2" t="s">
        <v>17659</v>
      </c>
      <c r="C9181" s="1" t="s">
        <v>3271</v>
      </c>
      <c r="D9181" s="1" t="s">
        <v>3272</v>
      </c>
    </row>
    <row r="9182">
      <c r="A9182" s="1" t="s">
        <v>17801</v>
      </c>
      <c r="B9182" s="2" t="s">
        <v>17661</v>
      </c>
      <c r="C9182" s="1" t="s">
        <v>3271</v>
      </c>
      <c r="D9182" s="1" t="s">
        <v>3272</v>
      </c>
    </row>
    <row r="9183">
      <c r="A9183" s="1" t="s">
        <v>17802</v>
      </c>
      <c r="B9183" s="2" t="s">
        <v>17663</v>
      </c>
      <c r="C9183" s="1" t="s">
        <v>3271</v>
      </c>
      <c r="D9183" s="1" t="s">
        <v>3272</v>
      </c>
    </row>
    <row r="9184">
      <c r="A9184" s="1" t="s">
        <v>17803</v>
      </c>
      <c r="B9184" s="2" t="s">
        <v>17665</v>
      </c>
      <c r="C9184" s="1" t="s">
        <v>3271</v>
      </c>
      <c r="D9184" s="1" t="s">
        <v>3272</v>
      </c>
    </row>
    <row r="9185">
      <c r="A9185" s="1" t="s">
        <v>17804</v>
      </c>
      <c r="B9185" s="2" t="s">
        <v>17667</v>
      </c>
      <c r="C9185" s="1" t="s">
        <v>3271</v>
      </c>
      <c r="D9185" s="1" t="s">
        <v>3272</v>
      </c>
    </row>
    <row r="9186">
      <c r="A9186" s="1" t="s">
        <v>17805</v>
      </c>
      <c r="B9186" s="2" t="s">
        <v>17669</v>
      </c>
      <c r="C9186" s="1" t="s">
        <v>3271</v>
      </c>
      <c r="D9186" s="1" t="s">
        <v>3272</v>
      </c>
    </row>
    <row r="9187">
      <c r="A9187" s="1" t="s">
        <v>17806</v>
      </c>
      <c r="B9187" s="2" t="s">
        <v>17671</v>
      </c>
      <c r="C9187" s="1" t="s">
        <v>3271</v>
      </c>
      <c r="D9187" s="1" t="s">
        <v>3272</v>
      </c>
    </row>
    <row r="9188">
      <c r="A9188" s="1" t="s">
        <v>17807</v>
      </c>
      <c r="B9188" s="2" t="s">
        <v>17673</v>
      </c>
      <c r="C9188" s="1" t="s">
        <v>3271</v>
      </c>
      <c r="D9188" s="1" t="s">
        <v>3272</v>
      </c>
    </row>
    <row r="9189">
      <c r="A9189" s="1" t="s">
        <v>17808</v>
      </c>
      <c r="B9189" s="2" t="s">
        <v>17675</v>
      </c>
      <c r="C9189" s="1" t="s">
        <v>3271</v>
      </c>
      <c r="D9189" s="1" t="s">
        <v>3272</v>
      </c>
    </row>
    <row r="9190">
      <c r="A9190" s="1" t="s">
        <v>17809</v>
      </c>
      <c r="B9190" s="2" t="s">
        <v>17677</v>
      </c>
      <c r="C9190" s="1" t="s">
        <v>3271</v>
      </c>
      <c r="D9190" s="1" t="s">
        <v>3272</v>
      </c>
    </row>
    <row r="9191">
      <c r="A9191" s="1" t="s">
        <v>17810</v>
      </c>
      <c r="B9191" s="2" t="s">
        <v>17679</v>
      </c>
      <c r="C9191" s="1" t="s">
        <v>3271</v>
      </c>
      <c r="D9191" s="1" t="s">
        <v>3272</v>
      </c>
    </row>
    <row r="9192">
      <c r="A9192" s="1" t="s">
        <v>17811</v>
      </c>
      <c r="B9192" s="2" t="s">
        <v>17681</v>
      </c>
      <c r="C9192" s="1" t="s">
        <v>3271</v>
      </c>
      <c r="D9192" s="1" t="s">
        <v>3272</v>
      </c>
    </row>
    <row r="9193">
      <c r="A9193" s="1" t="s">
        <v>17812</v>
      </c>
      <c r="B9193" s="2" t="s">
        <v>17683</v>
      </c>
      <c r="C9193" s="1" t="s">
        <v>3271</v>
      </c>
      <c r="D9193" s="1" t="s">
        <v>3272</v>
      </c>
    </row>
    <row r="9194">
      <c r="A9194" s="1" t="s">
        <v>17813</v>
      </c>
      <c r="B9194" s="2" t="s">
        <v>17685</v>
      </c>
      <c r="C9194" s="1" t="s">
        <v>3271</v>
      </c>
      <c r="D9194" s="1" t="s">
        <v>3272</v>
      </c>
    </row>
    <row r="9195">
      <c r="A9195" s="1" t="s">
        <v>17814</v>
      </c>
      <c r="B9195" s="2" t="s">
        <v>17687</v>
      </c>
      <c r="C9195" s="1" t="s">
        <v>3271</v>
      </c>
      <c r="D9195" s="1" t="s">
        <v>3272</v>
      </c>
    </row>
    <row r="9196">
      <c r="A9196" s="1" t="s">
        <v>17815</v>
      </c>
      <c r="B9196" s="2" t="s">
        <v>17689</v>
      </c>
      <c r="C9196" s="1" t="s">
        <v>3271</v>
      </c>
      <c r="D9196" s="1" t="s">
        <v>3272</v>
      </c>
    </row>
    <row r="9197">
      <c r="A9197" s="1" t="s">
        <v>17816</v>
      </c>
      <c r="B9197" s="2" t="s">
        <v>17691</v>
      </c>
      <c r="C9197" s="1" t="s">
        <v>3271</v>
      </c>
      <c r="D9197" s="1" t="s">
        <v>3272</v>
      </c>
    </row>
    <row r="9198">
      <c r="A9198" s="1" t="s">
        <v>17817</v>
      </c>
      <c r="B9198" s="2" t="s">
        <v>17693</v>
      </c>
      <c r="C9198" s="1" t="s">
        <v>3271</v>
      </c>
      <c r="D9198" s="1" t="s">
        <v>3272</v>
      </c>
    </row>
    <row r="9199">
      <c r="A9199" s="1" t="s">
        <v>17818</v>
      </c>
      <c r="B9199" s="2" t="s">
        <v>17695</v>
      </c>
      <c r="C9199" s="1" t="s">
        <v>3271</v>
      </c>
      <c r="D9199" s="1" t="s">
        <v>3272</v>
      </c>
    </row>
    <row r="9200">
      <c r="A9200" s="1" t="s">
        <v>17819</v>
      </c>
      <c r="B9200" s="2" t="s">
        <v>17697</v>
      </c>
      <c r="C9200" s="1" t="s">
        <v>3271</v>
      </c>
      <c r="D9200" s="1" t="s">
        <v>3272</v>
      </c>
    </row>
    <row r="9201">
      <c r="A9201" s="1" t="s">
        <v>17820</v>
      </c>
      <c r="B9201" s="2" t="s">
        <v>17699</v>
      </c>
      <c r="C9201" s="1" t="s">
        <v>3271</v>
      </c>
      <c r="D9201" s="1" t="s">
        <v>3272</v>
      </c>
    </row>
    <row r="9202">
      <c r="A9202" s="1" t="s">
        <v>17821</v>
      </c>
      <c r="B9202" s="2" t="s">
        <v>17701</v>
      </c>
      <c r="C9202" s="1" t="s">
        <v>3271</v>
      </c>
      <c r="D9202" s="1" t="s">
        <v>3272</v>
      </c>
    </row>
    <row r="9203">
      <c r="A9203" s="1" t="s">
        <v>17822</v>
      </c>
      <c r="B9203" s="2" t="s">
        <v>17703</v>
      </c>
      <c r="C9203" s="1" t="s">
        <v>3271</v>
      </c>
      <c r="D9203" s="1" t="s">
        <v>3272</v>
      </c>
    </row>
    <row r="9204">
      <c r="A9204" s="1" t="s">
        <v>17823</v>
      </c>
      <c r="B9204" s="2" t="s">
        <v>17705</v>
      </c>
      <c r="C9204" s="1" t="s">
        <v>3271</v>
      </c>
      <c r="D9204" s="1" t="s">
        <v>3272</v>
      </c>
    </row>
    <row r="9205">
      <c r="A9205" s="1" t="s">
        <v>17824</v>
      </c>
      <c r="B9205" s="2" t="s">
        <v>17707</v>
      </c>
      <c r="C9205" s="1" t="s">
        <v>3271</v>
      </c>
      <c r="D9205" s="1" t="s">
        <v>3272</v>
      </c>
    </row>
    <row r="9206">
      <c r="A9206" s="1" t="s">
        <v>17825</v>
      </c>
      <c r="B9206" s="2" t="s">
        <v>17709</v>
      </c>
      <c r="C9206" s="1" t="s">
        <v>3271</v>
      </c>
      <c r="D9206" s="1" t="s">
        <v>3272</v>
      </c>
    </row>
    <row r="9207">
      <c r="A9207" s="1" t="s">
        <v>3277</v>
      </c>
      <c r="B9207" s="2" t="s">
        <v>7</v>
      </c>
      <c r="C9207" s="1" t="s">
        <v>3279</v>
      </c>
      <c r="D9207" s="1" t="s">
        <v>3280</v>
      </c>
    </row>
    <row r="9208">
      <c r="A9208" s="1" t="s">
        <v>17826</v>
      </c>
      <c r="B9208" s="2" t="s">
        <v>13984</v>
      </c>
      <c r="C9208" s="1" t="s">
        <v>3279</v>
      </c>
      <c r="D9208" s="1" t="s">
        <v>3280</v>
      </c>
    </row>
    <row r="9209">
      <c r="A9209" s="1" t="s">
        <v>17827</v>
      </c>
      <c r="B9209" s="2" t="s">
        <v>17598</v>
      </c>
      <c r="C9209" s="1" t="s">
        <v>3279</v>
      </c>
      <c r="D9209" s="1" t="s">
        <v>3280</v>
      </c>
    </row>
    <row r="9210">
      <c r="A9210" s="1" t="s">
        <v>17828</v>
      </c>
      <c r="B9210" s="2" t="s">
        <v>17600</v>
      </c>
      <c r="C9210" s="1" t="s">
        <v>3279</v>
      </c>
      <c r="D9210" s="1" t="s">
        <v>3280</v>
      </c>
    </row>
    <row r="9211">
      <c r="A9211" s="1" t="s">
        <v>17829</v>
      </c>
      <c r="B9211" s="2" t="s">
        <v>17602</v>
      </c>
      <c r="C9211" s="1" t="s">
        <v>3279</v>
      </c>
      <c r="D9211" s="1" t="s">
        <v>3280</v>
      </c>
    </row>
    <row r="9212">
      <c r="A9212" s="1" t="s">
        <v>17830</v>
      </c>
      <c r="B9212" s="2" t="s">
        <v>17604</v>
      </c>
      <c r="C9212" s="1" t="s">
        <v>3279</v>
      </c>
      <c r="D9212" s="1" t="s">
        <v>3280</v>
      </c>
    </row>
    <row r="9213">
      <c r="A9213" s="1" t="s">
        <v>17831</v>
      </c>
      <c r="B9213" s="2" t="s">
        <v>17606</v>
      </c>
      <c r="C9213" s="1" t="s">
        <v>3279</v>
      </c>
      <c r="D9213" s="1" t="s">
        <v>3280</v>
      </c>
    </row>
    <row r="9214">
      <c r="A9214" s="1" t="s">
        <v>17832</v>
      </c>
      <c r="B9214" s="2" t="s">
        <v>17608</v>
      </c>
      <c r="C9214" s="1" t="s">
        <v>3279</v>
      </c>
      <c r="D9214" s="1" t="s">
        <v>3280</v>
      </c>
    </row>
    <row r="9215">
      <c r="A9215" s="1" t="s">
        <v>17833</v>
      </c>
      <c r="B9215" s="2" t="s">
        <v>17610</v>
      </c>
      <c r="C9215" s="1" t="s">
        <v>3279</v>
      </c>
      <c r="D9215" s="1" t="s">
        <v>3280</v>
      </c>
    </row>
    <row r="9216">
      <c r="A9216" s="1" t="s">
        <v>17834</v>
      </c>
      <c r="B9216" s="2" t="s">
        <v>17612</v>
      </c>
      <c r="C9216" s="1" t="s">
        <v>3279</v>
      </c>
      <c r="D9216" s="1" t="s">
        <v>3280</v>
      </c>
    </row>
    <row r="9217">
      <c r="A9217" s="1" t="s">
        <v>17835</v>
      </c>
      <c r="B9217" s="2" t="s">
        <v>17614</v>
      </c>
      <c r="C9217" s="1" t="s">
        <v>3279</v>
      </c>
      <c r="D9217" s="1" t="s">
        <v>3280</v>
      </c>
    </row>
    <row r="9218">
      <c r="A9218" s="1" t="s">
        <v>17836</v>
      </c>
      <c r="B9218" s="2" t="s">
        <v>17616</v>
      </c>
      <c r="C9218" s="1" t="s">
        <v>3279</v>
      </c>
      <c r="D9218" s="1" t="s">
        <v>3280</v>
      </c>
    </row>
    <row r="9219">
      <c r="A9219" s="1" t="s">
        <v>17837</v>
      </c>
      <c r="B9219" s="2" t="s">
        <v>17618</v>
      </c>
      <c r="C9219" s="1" t="s">
        <v>3279</v>
      </c>
      <c r="D9219" s="1" t="s">
        <v>3280</v>
      </c>
    </row>
    <row r="9220">
      <c r="A9220" s="1" t="s">
        <v>17838</v>
      </c>
      <c r="B9220" s="2" t="s">
        <v>17620</v>
      </c>
      <c r="C9220" s="1" t="s">
        <v>3279</v>
      </c>
      <c r="D9220" s="1" t="s">
        <v>3280</v>
      </c>
    </row>
    <row r="9221">
      <c r="A9221" s="1" t="s">
        <v>17839</v>
      </c>
      <c r="B9221" s="2" t="s">
        <v>17622</v>
      </c>
      <c r="C9221" s="1" t="s">
        <v>3279</v>
      </c>
      <c r="D9221" s="1" t="s">
        <v>3280</v>
      </c>
    </row>
    <row r="9222">
      <c r="A9222" s="1" t="s">
        <v>17840</v>
      </c>
      <c r="B9222" s="2" t="s">
        <v>17624</v>
      </c>
      <c r="C9222" s="1" t="s">
        <v>3279</v>
      </c>
      <c r="D9222" s="1" t="s">
        <v>3280</v>
      </c>
    </row>
    <row r="9223">
      <c r="A9223" s="1" t="s">
        <v>17841</v>
      </c>
      <c r="B9223" s="2" t="s">
        <v>17626</v>
      </c>
      <c r="C9223" s="1" t="s">
        <v>3279</v>
      </c>
      <c r="D9223" s="1" t="s">
        <v>3280</v>
      </c>
    </row>
    <row r="9224">
      <c r="A9224" s="1" t="s">
        <v>17842</v>
      </c>
      <c r="B9224" s="2" t="s">
        <v>17628</v>
      </c>
      <c r="C9224" s="1" t="s">
        <v>3279</v>
      </c>
      <c r="D9224" s="1" t="s">
        <v>3280</v>
      </c>
    </row>
    <row r="9225">
      <c r="A9225" s="1" t="s">
        <v>17843</v>
      </c>
      <c r="B9225" s="2" t="s">
        <v>17630</v>
      </c>
      <c r="C9225" s="1" t="s">
        <v>3279</v>
      </c>
      <c r="D9225" s="1" t="s">
        <v>3280</v>
      </c>
    </row>
    <row r="9226">
      <c r="A9226" s="1" t="s">
        <v>17844</v>
      </c>
      <c r="B9226" s="2" t="s">
        <v>17632</v>
      </c>
      <c r="C9226" s="1" t="s">
        <v>3279</v>
      </c>
      <c r="D9226" s="1" t="s">
        <v>3280</v>
      </c>
    </row>
    <row r="9227">
      <c r="A9227" s="1" t="s">
        <v>17845</v>
      </c>
      <c r="B9227" s="2" t="s">
        <v>17634</v>
      </c>
      <c r="C9227" s="1" t="s">
        <v>3279</v>
      </c>
      <c r="D9227" s="1" t="s">
        <v>3280</v>
      </c>
    </row>
    <row r="9228">
      <c r="A9228" s="1" t="s">
        <v>17846</v>
      </c>
      <c r="B9228" s="2" t="s">
        <v>17636</v>
      </c>
      <c r="C9228" s="1" t="s">
        <v>3279</v>
      </c>
      <c r="D9228" s="1" t="s">
        <v>3280</v>
      </c>
    </row>
    <row r="9229">
      <c r="A9229" s="1" t="s">
        <v>17847</v>
      </c>
      <c r="B9229" s="2" t="s">
        <v>17638</v>
      </c>
      <c r="C9229" s="1" t="s">
        <v>3279</v>
      </c>
      <c r="D9229" s="1" t="s">
        <v>3280</v>
      </c>
    </row>
    <row r="9230">
      <c r="A9230" s="1" t="s">
        <v>17848</v>
      </c>
      <c r="B9230" s="2" t="s">
        <v>17640</v>
      </c>
      <c r="C9230" s="1" t="s">
        <v>3279</v>
      </c>
      <c r="D9230" s="1" t="s">
        <v>3280</v>
      </c>
    </row>
    <row r="9231">
      <c r="A9231" s="1" t="s">
        <v>17849</v>
      </c>
      <c r="B9231" s="2" t="s">
        <v>17642</v>
      </c>
      <c r="C9231" s="1" t="s">
        <v>3279</v>
      </c>
      <c r="D9231" s="1" t="s">
        <v>3280</v>
      </c>
    </row>
    <row r="9232">
      <c r="A9232" s="1" t="s">
        <v>17850</v>
      </c>
      <c r="B9232" s="2" t="s">
        <v>17644</v>
      </c>
      <c r="C9232" s="1" t="s">
        <v>3279</v>
      </c>
      <c r="D9232" s="1" t="s">
        <v>3280</v>
      </c>
    </row>
    <row r="9233">
      <c r="A9233" s="1" t="s">
        <v>17851</v>
      </c>
      <c r="B9233" s="2" t="s">
        <v>17646</v>
      </c>
      <c r="C9233" s="1" t="s">
        <v>3279</v>
      </c>
      <c r="D9233" s="1" t="s">
        <v>3280</v>
      </c>
    </row>
    <row r="9234">
      <c r="A9234" s="1" t="s">
        <v>17852</v>
      </c>
      <c r="B9234" s="2" t="s">
        <v>17648</v>
      </c>
      <c r="C9234" s="1" t="s">
        <v>3279</v>
      </c>
      <c r="D9234" s="1" t="s">
        <v>3280</v>
      </c>
    </row>
    <row r="9235">
      <c r="A9235" s="1" t="s">
        <v>17853</v>
      </c>
      <c r="B9235" s="2" t="s">
        <v>17650</v>
      </c>
      <c r="C9235" s="1" t="s">
        <v>3279</v>
      </c>
      <c r="D9235" s="1" t="s">
        <v>3280</v>
      </c>
    </row>
    <row r="9236">
      <c r="A9236" s="1" t="s">
        <v>17854</v>
      </c>
      <c r="B9236" s="2" t="s">
        <v>17652</v>
      </c>
      <c r="C9236" s="1" t="s">
        <v>3279</v>
      </c>
      <c r="D9236" s="1" t="s">
        <v>3280</v>
      </c>
    </row>
    <row r="9237">
      <c r="A9237" s="1" t="s">
        <v>17855</v>
      </c>
      <c r="B9237" s="2" t="s">
        <v>13994</v>
      </c>
      <c r="C9237" s="1" t="s">
        <v>3279</v>
      </c>
      <c r="D9237" s="1" t="s">
        <v>3280</v>
      </c>
    </row>
    <row r="9238">
      <c r="A9238" s="1" t="s">
        <v>17856</v>
      </c>
      <c r="B9238" s="2" t="s">
        <v>17655</v>
      </c>
      <c r="C9238" s="1" t="s">
        <v>3279</v>
      </c>
      <c r="D9238" s="1" t="s">
        <v>3280</v>
      </c>
    </row>
    <row r="9239">
      <c r="A9239" s="1" t="s">
        <v>17857</v>
      </c>
      <c r="B9239" s="2" t="s">
        <v>17657</v>
      </c>
      <c r="C9239" s="1" t="s">
        <v>3279</v>
      </c>
      <c r="D9239" s="1" t="s">
        <v>3280</v>
      </c>
    </row>
    <row r="9240">
      <c r="A9240" s="1" t="s">
        <v>17858</v>
      </c>
      <c r="B9240" s="2" t="s">
        <v>17659</v>
      </c>
      <c r="C9240" s="1" t="s">
        <v>3279</v>
      </c>
      <c r="D9240" s="1" t="s">
        <v>3280</v>
      </c>
    </row>
    <row r="9241">
      <c r="A9241" s="1" t="s">
        <v>17859</v>
      </c>
      <c r="B9241" s="2" t="s">
        <v>17661</v>
      </c>
      <c r="C9241" s="1" t="s">
        <v>3279</v>
      </c>
      <c r="D9241" s="1" t="s">
        <v>3280</v>
      </c>
    </row>
    <row r="9242">
      <c r="A9242" s="1" t="s">
        <v>17860</v>
      </c>
      <c r="B9242" s="2" t="s">
        <v>17663</v>
      </c>
      <c r="C9242" s="1" t="s">
        <v>3279</v>
      </c>
      <c r="D9242" s="1" t="s">
        <v>3280</v>
      </c>
    </row>
    <row r="9243">
      <c r="A9243" s="1" t="s">
        <v>17861</v>
      </c>
      <c r="B9243" s="2" t="s">
        <v>17665</v>
      </c>
      <c r="C9243" s="1" t="s">
        <v>3279</v>
      </c>
      <c r="D9243" s="1" t="s">
        <v>3280</v>
      </c>
    </row>
    <row r="9244">
      <c r="A9244" s="1" t="s">
        <v>17862</v>
      </c>
      <c r="B9244" s="2" t="s">
        <v>17667</v>
      </c>
      <c r="C9244" s="1" t="s">
        <v>3279</v>
      </c>
      <c r="D9244" s="1" t="s">
        <v>3280</v>
      </c>
    </row>
    <row r="9245">
      <c r="A9245" s="1" t="s">
        <v>17863</v>
      </c>
      <c r="B9245" s="2" t="s">
        <v>17669</v>
      </c>
      <c r="C9245" s="1" t="s">
        <v>3279</v>
      </c>
      <c r="D9245" s="1" t="s">
        <v>3280</v>
      </c>
    </row>
    <row r="9246">
      <c r="A9246" s="1" t="s">
        <v>17864</v>
      </c>
      <c r="B9246" s="2" t="s">
        <v>17671</v>
      </c>
      <c r="C9246" s="1" t="s">
        <v>3279</v>
      </c>
      <c r="D9246" s="1" t="s">
        <v>3280</v>
      </c>
    </row>
    <row r="9247">
      <c r="A9247" s="1" t="s">
        <v>17865</v>
      </c>
      <c r="B9247" s="2" t="s">
        <v>17673</v>
      </c>
      <c r="C9247" s="1" t="s">
        <v>3279</v>
      </c>
      <c r="D9247" s="1" t="s">
        <v>3280</v>
      </c>
    </row>
    <row r="9248">
      <c r="A9248" s="1" t="s">
        <v>17866</v>
      </c>
      <c r="B9248" s="2" t="s">
        <v>17675</v>
      </c>
      <c r="C9248" s="1" t="s">
        <v>3279</v>
      </c>
      <c r="D9248" s="1" t="s">
        <v>3280</v>
      </c>
    </row>
    <row r="9249">
      <c r="A9249" s="1" t="s">
        <v>17867</v>
      </c>
      <c r="B9249" s="2" t="s">
        <v>17677</v>
      </c>
      <c r="C9249" s="1" t="s">
        <v>3279</v>
      </c>
      <c r="D9249" s="1" t="s">
        <v>3280</v>
      </c>
    </row>
    <row r="9250">
      <c r="A9250" s="1" t="s">
        <v>17868</v>
      </c>
      <c r="B9250" s="2" t="s">
        <v>17679</v>
      </c>
      <c r="C9250" s="1" t="s">
        <v>3279</v>
      </c>
      <c r="D9250" s="1" t="s">
        <v>3280</v>
      </c>
    </row>
    <row r="9251">
      <c r="A9251" s="1" t="s">
        <v>17869</v>
      </c>
      <c r="B9251" s="2" t="s">
        <v>17681</v>
      </c>
      <c r="C9251" s="1" t="s">
        <v>3279</v>
      </c>
      <c r="D9251" s="1" t="s">
        <v>3280</v>
      </c>
    </row>
    <row r="9252">
      <c r="A9252" s="1" t="s">
        <v>17870</v>
      </c>
      <c r="B9252" s="2" t="s">
        <v>17683</v>
      </c>
      <c r="C9252" s="1" t="s">
        <v>3279</v>
      </c>
      <c r="D9252" s="1" t="s">
        <v>3280</v>
      </c>
    </row>
    <row r="9253">
      <c r="A9253" s="1" t="s">
        <v>17871</v>
      </c>
      <c r="B9253" s="2" t="s">
        <v>17685</v>
      </c>
      <c r="C9253" s="1" t="s">
        <v>3279</v>
      </c>
      <c r="D9253" s="1" t="s">
        <v>3280</v>
      </c>
    </row>
    <row r="9254">
      <c r="A9254" s="1" t="s">
        <v>17872</v>
      </c>
      <c r="B9254" s="2" t="s">
        <v>17687</v>
      </c>
      <c r="C9254" s="1" t="s">
        <v>3279</v>
      </c>
      <c r="D9254" s="1" t="s">
        <v>3280</v>
      </c>
    </row>
    <row r="9255">
      <c r="A9255" s="1" t="s">
        <v>17873</v>
      </c>
      <c r="B9255" s="2" t="s">
        <v>17689</v>
      </c>
      <c r="C9255" s="1" t="s">
        <v>3279</v>
      </c>
      <c r="D9255" s="1" t="s">
        <v>3280</v>
      </c>
    </row>
    <row r="9256">
      <c r="A9256" s="1" t="s">
        <v>17874</v>
      </c>
      <c r="B9256" s="2" t="s">
        <v>17691</v>
      </c>
      <c r="C9256" s="1" t="s">
        <v>3279</v>
      </c>
      <c r="D9256" s="1" t="s">
        <v>3280</v>
      </c>
    </row>
    <row r="9257">
      <c r="A9257" s="1" t="s">
        <v>17875</v>
      </c>
      <c r="B9257" s="2" t="s">
        <v>17693</v>
      </c>
      <c r="C9257" s="1" t="s">
        <v>3279</v>
      </c>
      <c r="D9257" s="1" t="s">
        <v>3280</v>
      </c>
    </row>
    <row r="9258">
      <c r="A9258" s="1" t="s">
        <v>17876</v>
      </c>
      <c r="B9258" s="2" t="s">
        <v>17695</v>
      </c>
      <c r="C9258" s="1" t="s">
        <v>3279</v>
      </c>
      <c r="D9258" s="1" t="s">
        <v>3280</v>
      </c>
    </row>
    <row r="9259">
      <c r="A9259" s="1" t="s">
        <v>17877</v>
      </c>
      <c r="B9259" s="2" t="s">
        <v>17697</v>
      </c>
      <c r="C9259" s="1" t="s">
        <v>3279</v>
      </c>
      <c r="D9259" s="1" t="s">
        <v>3280</v>
      </c>
    </row>
    <row r="9260">
      <c r="A9260" s="1" t="s">
        <v>17878</v>
      </c>
      <c r="B9260" s="2" t="s">
        <v>17699</v>
      </c>
      <c r="C9260" s="1" t="s">
        <v>3279</v>
      </c>
      <c r="D9260" s="1" t="s">
        <v>3280</v>
      </c>
    </row>
    <row r="9261">
      <c r="A9261" s="1" t="s">
        <v>17879</v>
      </c>
      <c r="B9261" s="2" t="s">
        <v>17701</v>
      </c>
      <c r="C9261" s="1" t="s">
        <v>3279</v>
      </c>
      <c r="D9261" s="1" t="s">
        <v>3280</v>
      </c>
    </row>
    <row r="9262">
      <c r="A9262" s="1" t="s">
        <v>17880</v>
      </c>
      <c r="B9262" s="2" t="s">
        <v>17703</v>
      </c>
      <c r="C9262" s="1" t="s">
        <v>3279</v>
      </c>
      <c r="D9262" s="1" t="s">
        <v>3280</v>
      </c>
    </row>
    <row r="9263">
      <c r="A9263" s="1" t="s">
        <v>17881</v>
      </c>
      <c r="B9263" s="2" t="s">
        <v>17705</v>
      </c>
      <c r="C9263" s="1" t="s">
        <v>3279</v>
      </c>
      <c r="D9263" s="1" t="s">
        <v>3280</v>
      </c>
    </row>
    <row r="9264">
      <c r="A9264" s="1" t="s">
        <v>17882</v>
      </c>
      <c r="B9264" s="2" t="s">
        <v>17707</v>
      </c>
      <c r="C9264" s="1" t="s">
        <v>3279</v>
      </c>
      <c r="D9264" s="1" t="s">
        <v>3280</v>
      </c>
    </row>
    <row r="9265">
      <c r="A9265" s="1" t="s">
        <v>17883</v>
      </c>
      <c r="B9265" s="2" t="s">
        <v>17709</v>
      </c>
      <c r="C9265" s="1" t="s">
        <v>3279</v>
      </c>
      <c r="D9265" s="1" t="s">
        <v>3280</v>
      </c>
    </row>
    <row r="9266">
      <c r="A9266" s="1" t="s">
        <v>3284</v>
      </c>
      <c r="B9266" s="2" t="s">
        <v>7</v>
      </c>
      <c r="C9266" s="1" t="s">
        <v>3286</v>
      </c>
      <c r="D9266" s="1" t="s">
        <v>3287</v>
      </c>
    </row>
    <row r="9267">
      <c r="A9267" s="1" t="s">
        <v>17884</v>
      </c>
      <c r="B9267" s="2" t="s">
        <v>13984</v>
      </c>
      <c r="C9267" s="1" t="s">
        <v>3286</v>
      </c>
      <c r="D9267" s="1" t="s">
        <v>3287</v>
      </c>
    </row>
    <row r="9268">
      <c r="A9268" s="1" t="s">
        <v>17885</v>
      </c>
      <c r="B9268" s="2" t="s">
        <v>17598</v>
      </c>
      <c r="C9268" s="1" t="s">
        <v>3286</v>
      </c>
      <c r="D9268" s="1" t="s">
        <v>3287</v>
      </c>
    </row>
    <row r="9269">
      <c r="A9269" s="1" t="s">
        <v>17886</v>
      </c>
      <c r="B9269" s="2" t="s">
        <v>17600</v>
      </c>
      <c r="C9269" s="1" t="s">
        <v>3286</v>
      </c>
      <c r="D9269" s="1" t="s">
        <v>3287</v>
      </c>
    </row>
    <row r="9270">
      <c r="A9270" s="1" t="s">
        <v>17887</v>
      </c>
      <c r="B9270" s="2" t="s">
        <v>17602</v>
      </c>
      <c r="C9270" s="1" t="s">
        <v>3286</v>
      </c>
      <c r="D9270" s="1" t="s">
        <v>3287</v>
      </c>
    </row>
    <row r="9271">
      <c r="A9271" s="1" t="s">
        <v>17888</v>
      </c>
      <c r="B9271" s="2" t="s">
        <v>17604</v>
      </c>
      <c r="C9271" s="1" t="s">
        <v>3286</v>
      </c>
      <c r="D9271" s="1" t="s">
        <v>3287</v>
      </c>
    </row>
    <row r="9272">
      <c r="A9272" s="1" t="s">
        <v>17889</v>
      </c>
      <c r="B9272" s="2" t="s">
        <v>17606</v>
      </c>
      <c r="C9272" s="1" t="s">
        <v>3286</v>
      </c>
      <c r="D9272" s="1" t="s">
        <v>3287</v>
      </c>
    </row>
    <row r="9273">
      <c r="A9273" s="1" t="s">
        <v>17890</v>
      </c>
      <c r="B9273" s="2" t="s">
        <v>17608</v>
      </c>
      <c r="C9273" s="1" t="s">
        <v>3286</v>
      </c>
      <c r="D9273" s="1" t="s">
        <v>3287</v>
      </c>
    </row>
    <row r="9274">
      <c r="A9274" s="1" t="s">
        <v>17891</v>
      </c>
      <c r="B9274" s="2" t="s">
        <v>17610</v>
      </c>
      <c r="C9274" s="1" t="s">
        <v>3286</v>
      </c>
      <c r="D9274" s="1" t="s">
        <v>3287</v>
      </c>
    </row>
    <row r="9275">
      <c r="A9275" s="1" t="s">
        <v>17892</v>
      </c>
      <c r="B9275" s="2" t="s">
        <v>17612</v>
      </c>
      <c r="C9275" s="1" t="s">
        <v>3286</v>
      </c>
      <c r="D9275" s="1" t="s">
        <v>3287</v>
      </c>
    </row>
    <row r="9276">
      <c r="A9276" s="1" t="s">
        <v>17893</v>
      </c>
      <c r="B9276" s="2" t="s">
        <v>17614</v>
      </c>
      <c r="C9276" s="1" t="s">
        <v>3286</v>
      </c>
      <c r="D9276" s="1" t="s">
        <v>3287</v>
      </c>
    </row>
    <row r="9277">
      <c r="A9277" s="1" t="s">
        <v>17894</v>
      </c>
      <c r="B9277" s="2" t="s">
        <v>17616</v>
      </c>
      <c r="C9277" s="1" t="s">
        <v>3286</v>
      </c>
      <c r="D9277" s="1" t="s">
        <v>3287</v>
      </c>
    </row>
    <row r="9278">
      <c r="A9278" s="1" t="s">
        <v>17895</v>
      </c>
      <c r="B9278" s="2" t="s">
        <v>17618</v>
      </c>
      <c r="C9278" s="1" t="s">
        <v>3286</v>
      </c>
      <c r="D9278" s="1" t="s">
        <v>3287</v>
      </c>
    </row>
    <row r="9279">
      <c r="A9279" s="1" t="s">
        <v>17896</v>
      </c>
      <c r="B9279" s="2" t="s">
        <v>17620</v>
      </c>
      <c r="C9279" s="1" t="s">
        <v>3286</v>
      </c>
      <c r="D9279" s="1" t="s">
        <v>3287</v>
      </c>
    </row>
    <row r="9280">
      <c r="A9280" s="1" t="s">
        <v>17897</v>
      </c>
      <c r="B9280" s="2" t="s">
        <v>17622</v>
      </c>
      <c r="C9280" s="1" t="s">
        <v>3286</v>
      </c>
      <c r="D9280" s="1" t="s">
        <v>3287</v>
      </c>
    </row>
    <row r="9281">
      <c r="A9281" s="1" t="s">
        <v>17898</v>
      </c>
      <c r="B9281" s="2" t="s">
        <v>17624</v>
      </c>
      <c r="C9281" s="1" t="s">
        <v>3286</v>
      </c>
      <c r="D9281" s="1" t="s">
        <v>3287</v>
      </c>
    </row>
    <row r="9282">
      <c r="A9282" s="1" t="s">
        <v>17899</v>
      </c>
      <c r="B9282" s="2" t="s">
        <v>17626</v>
      </c>
      <c r="C9282" s="1" t="s">
        <v>3286</v>
      </c>
      <c r="D9282" s="1" t="s">
        <v>3287</v>
      </c>
    </row>
    <row r="9283">
      <c r="A9283" s="1" t="s">
        <v>17900</v>
      </c>
      <c r="B9283" s="2" t="s">
        <v>17628</v>
      </c>
      <c r="C9283" s="1" t="s">
        <v>3286</v>
      </c>
      <c r="D9283" s="1" t="s">
        <v>3287</v>
      </c>
    </row>
    <row r="9284">
      <c r="A9284" s="1" t="s">
        <v>17901</v>
      </c>
      <c r="B9284" s="2" t="s">
        <v>17630</v>
      </c>
      <c r="C9284" s="1" t="s">
        <v>3286</v>
      </c>
      <c r="D9284" s="1" t="s">
        <v>3287</v>
      </c>
    </row>
    <row r="9285">
      <c r="A9285" s="1" t="s">
        <v>17902</v>
      </c>
      <c r="B9285" s="2" t="s">
        <v>17632</v>
      </c>
      <c r="C9285" s="1" t="s">
        <v>3286</v>
      </c>
      <c r="D9285" s="1" t="s">
        <v>3287</v>
      </c>
    </row>
    <row r="9286">
      <c r="A9286" s="1" t="s">
        <v>17903</v>
      </c>
      <c r="B9286" s="2" t="s">
        <v>17634</v>
      </c>
      <c r="C9286" s="1" t="s">
        <v>3286</v>
      </c>
      <c r="D9286" s="1" t="s">
        <v>3287</v>
      </c>
    </row>
    <row r="9287">
      <c r="A9287" s="1" t="s">
        <v>17904</v>
      </c>
      <c r="B9287" s="2" t="s">
        <v>17636</v>
      </c>
      <c r="C9287" s="1" t="s">
        <v>3286</v>
      </c>
      <c r="D9287" s="1" t="s">
        <v>3287</v>
      </c>
    </row>
    <row r="9288">
      <c r="A9288" s="1" t="s">
        <v>17905</v>
      </c>
      <c r="B9288" s="2" t="s">
        <v>17638</v>
      </c>
      <c r="C9288" s="1" t="s">
        <v>3286</v>
      </c>
      <c r="D9288" s="1" t="s">
        <v>3287</v>
      </c>
    </row>
    <row r="9289">
      <c r="A9289" s="1" t="s">
        <v>17906</v>
      </c>
      <c r="B9289" s="2" t="s">
        <v>17640</v>
      </c>
      <c r="C9289" s="1" t="s">
        <v>3286</v>
      </c>
      <c r="D9289" s="1" t="s">
        <v>3287</v>
      </c>
    </row>
    <row r="9290">
      <c r="A9290" s="1" t="s">
        <v>17907</v>
      </c>
      <c r="B9290" s="2" t="s">
        <v>17642</v>
      </c>
      <c r="C9290" s="1" t="s">
        <v>3286</v>
      </c>
      <c r="D9290" s="1" t="s">
        <v>3287</v>
      </c>
    </row>
    <row r="9291">
      <c r="A9291" s="1" t="s">
        <v>17908</v>
      </c>
      <c r="B9291" s="2" t="s">
        <v>17644</v>
      </c>
      <c r="C9291" s="1" t="s">
        <v>3286</v>
      </c>
      <c r="D9291" s="1" t="s">
        <v>3287</v>
      </c>
    </row>
    <row r="9292">
      <c r="A9292" s="1" t="s">
        <v>17909</v>
      </c>
      <c r="B9292" s="2" t="s">
        <v>17646</v>
      </c>
      <c r="C9292" s="1" t="s">
        <v>3286</v>
      </c>
      <c r="D9292" s="1" t="s">
        <v>3287</v>
      </c>
    </row>
    <row r="9293">
      <c r="A9293" s="1" t="s">
        <v>17910</v>
      </c>
      <c r="B9293" s="2" t="s">
        <v>17648</v>
      </c>
      <c r="C9293" s="1" t="s">
        <v>3286</v>
      </c>
      <c r="D9293" s="1" t="s">
        <v>3287</v>
      </c>
    </row>
    <row r="9294">
      <c r="A9294" s="1" t="s">
        <v>17911</v>
      </c>
      <c r="B9294" s="2" t="s">
        <v>17650</v>
      </c>
      <c r="C9294" s="1" t="s">
        <v>3286</v>
      </c>
      <c r="D9294" s="1" t="s">
        <v>3287</v>
      </c>
    </row>
    <row r="9295">
      <c r="A9295" s="1" t="s">
        <v>17912</v>
      </c>
      <c r="B9295" s="2" t="s">
        <v>17652</v>
      </c>
      <c r="C9295" s="1" t="s">
        <v>3286</v>
      </c>
      <c r="D9295" s="1" t="s">
        <v>3287</v>
      </c>
    </row>
    <row r="9296">
      <c r="A9296" s="1" t="s">
        <v>17913</v>
      </c>
      <c r="B9296" s="2" t="s">
        <v>13994</v>
      </c>
      <c r="C9296" s="1" t="s">
        <v>3286</v>
      </c>
      <c r="D9296" s="1" t="s">
        <v>3287</v>
      </c>
    </row>
    <row r="9297">
      <c r="A9297" s="1" t="s">
        <v>17914</v>
      </c>
      <c r="B9297" s="2" t="s">
        <v>17655</v>
      </c>
      <c r="C9297" s="1" t="s">
        <v>3286</v>
      </c>
      <c r="D9297" s="1" t="s">
        <v>3287</v>
      </c>
    </row>
    <row r="9298">
      <c r="A9298" s="1" t="s">
        <v>17915</v>
      </c>
      <c r="B9298" s="2" t="s">
        <v>17657</v>
      </c>
      <c r="C9298" s="1" t="s">
        <v>3286</v>
      </c>
      <c r="D9298" s="1" t="s">
        <v>3287</v>
      </c>
    </row>
    <row r="9299">
      <c r="A9299" s="1" t="s">
        <v>17916</v>
      </c>
      <c r="B9299" s="2" t="s">
        <v>17659</v>
      </c>
      <c r="C9299" s="1" t="s">
        <v>3286</v>
      </c>
      <c r="D9299" s="1" t="s">
        <v>3287</v>
      </c>
    </row>
    <row r="9300">
      <c r="A9300" s="1" t="s">
        <v>17917</v>
      </c>
      <c r="B9300" s="2" t="s">
        <v>17661</v>
      </c>
      <c r="C9300" s="1" t="s">
        <v>3286</v>
      </c>
      <c r="D9300" s="1" t="s">
        <v>3287</v>
      </c>
    </row>
    <row r="9301">
      <c r="A9301" s="1" t="s">
        <v>17918</v>
      </c>
      <c r="B9301" s="2" t="s">
        <v>17663</v>
      </c>
      <c r="C9301" s="1" t="s">
        <v>3286</v>
      </c>
      <c r="D9301" s="1" t="s">
        <v>3287</v>
      </c>
    </row>
    <row r="9302">
      <c r="A9302" s="1" t="s">
        <v>17919</v>
      </c>
      <c r="B9302" s="2" t="s">
        <v>17665</v>
      </c>
      <c r="C9302" s="1" t="s">
        <v>3286</v>
      </c>
      <c r="D9302" s="1" t="s">
        <v>3287</v>
      </c>
    </row>
    <row r="9303">
      <c r="A9303" s="1" t="s">
        <v>17920</v>
      </c>
      <c r="B9303" s="2" t="s">
        <v>17667</v>
      </c>
      <c r="C9303" s="1" t="s">
        <v>3286</v>
      </c>
      <c r="D9303" s="1" t="s">
        <v>3287</v>
      </c>
    </row>
    <row r="9304">
      <c r="A9304" s="1" t="s">
        <v>17921</v>
      </c>
      <c r="B9304" s="2" t="s">
        <v>17669</v>
      </c>
      <c r="C9304" s="1" t="s">
        <v>3286</v>
      </c>
      <c r="D9304" s="1" t="s">
        <v>3287</v>
      </c>
    </row>
    <row r="9305">
      <c r="A9305" s="1" t="s">
        <v>17922</v>
      </c>
      <c r="B9305" s="2" t="s">
        <v>17671</v>
      </c>
      <c r="C9305" s="1" t="s">
        <v>3286</v>
      </c>
      <c r="D9305" s="1" t="s">
        <v>3287</v>
      </c>
    </row>
    <row r="9306">
      <c r="A9306" s="1" t="s">
        <v>17923</v>
      </c>
      <c r="B9306" s="2" t="s">
        <v>17673</v>
      </c>
      <c r="C9306" s="1" t="s">
        <v>3286</v>
      </c>
      <c r="D9306" s="1" t="s">
        <v>3287</v>
      </c>
    </row>
    <row r="9307">
      <c r="A9307" s="1" t="s">
        <v>17924</v>
      </c>
      <c r="B9307" s="2" t="s">
        <v>17675</v>
      </c>
      <c r="C9307" s="1" t="s">
        <v>3286</v>
      </c>
      <c r="D9307" s="1" t="s">
        <v>3287</v>
      </c>
    </row>
    <row r="9308">
      <c r="A9308" s="1" t="s">
        <v>17925</v>
      </c>
      <c r="B9308" s="2" t="s">
        <v>17677</v>
      </c>
      <c r="C9308" s="1" t="s">
        <v>3286</v>
      </c>
      <c r="D9308" s="1" t="s">
        <v>3287</v>
      </c>
    </row>
    <row r="9309">
      <c r="A9309" s="1" t="s">
        <v>17926</v>
      </c>
      <c r="B9309" s="2" t="s">
        <v>17679</v>
      </c>
      <c r="C9309" s="1" t="s">
        <v>3286</v>
      </c>
      <c r="D9309" s="1" t="s">
        <v>3287</v>
      </c>
    </row>
    <row r="9310">
      <c r="A9310" s="1" t="s">
        <v>17927</v>
      </c>
      <c r="B9310" s="2" t="s">
        <v>17681</v>
      </c>
      <c r="C9310" s="1" t="s">
        <v>3286</v>
      </c>
      <c r="D9310" s="1" t="s">
        <v>3287</v>
      </c>
    </row>
    <row r="9311">
      <c r="A9311" s="1" t="s">
        <v>17928</v>
      </c>
      <c r="B9311" s="2" t="s">
        <v>17683</v>
      </c>
      <c r="C9311" s="1" t="s">
        <v>3286</v>
      </c>
      <c r="D9311" s="1" t="s">
        <v>3287</v>
      </c>
    </row>
    <row r="9312">
      <c r="A9312" s="1" t="s">
        <v>17929</v>
      </c>
      <c r="B9312" s="2" t="s">
        <v>17685</v>
      </c>
      <c r="C9312" s="1" t="s">
        <v>3286</v>
      </c>
      <c r="D9312" s="1" t="s">
        <v>3287</v>
      </c>
    </row>
    <row r="9313">
      <c r="A9313" s="1" t="s">
        <v>17930</v>
      </c>
      <c r="B9313" s="2" t="s">
        <v>17687</v>
      </c>
      <c r="C9313" s="1" t="s">
        <v>3286</v>
      </c>
      <c r="D9313" s="1" t="s">
        <v>3287</v>
      </c>
    </row>
    <row r="9314">
      <c r="A9314" s="1" t="s">
        <v>17931</v>
      </c>
      <c r="B9314" s="2" t="s">
        <v>17689</v>
      </c>
      <c r="C9314" s="1" t="s">
        <v>3286</v>
      </c>
      <c r="D9314" s="1" t="s">
        <v>3287</v>
      </c>
    </row>
    <row r="9315">
      <c r="A9315" s="1" t="s">
        <v>17932</v>
      </c>
      <c r="B9315" s="2" t="s">
        <v>17691</v>
      </c>
      <c r="C9315" s="1" t="s">
        <v>3286</v>
      </c>
      <c r="D9315" s="1" t="s">
        <v>3287</v>
      </c>
    </row>
    <row r="9316">
      <c r="A9316" s="1" t="s">
        <v>17933</v>
      </c>
      <c r="B9316" s="2" t="s">
        <v>17693</v>
      </c>
      <c r="C9316" s="1" t="s">
        <v>3286</v>
      </c>
      <c r="D9316" s="1" t="s">
        <v>3287</v>
      </c>
    </row>
    <row r="9317">
      <c r="A9317" s="1" t="s">
        <v>17934</v>
      </c>
      <c r="B9317" s="2" t="s">
        <v>17695</v>
      </c>
      <c r="C9317" s="1" t="s">
        <v>3286</v>
      </c>
      <c r="D9317" s="1" t="s">
        <v>3287</v>
      </c>
    </row>
    <row r="9318">
      <c r="A9318" s="1" t="s">
        <v>17935</v>
      </c>
      <c r="B9318" s="2" t="s">
        <v>17697</v>
      </c>
      <c r="C9318" s="1" t="s">
        <v>3286</v>
      </c>
      <c r="D9318" s="1" t="s">
        <v>3287</v>
      </c>
    </row>
    <row r="9319">
      <c r="A9319" s="1" t="s">
        <v>17936</v>
      </c>
      <c r="B9319" s="2" t="s">
        <v>17699</v>
      </c>
      <c r="C9319" s="1" t="s">
        <v>3286</v>
      </c>
      <c r="D9319" s="1" t="s">
        <v>3287</v>
      </c>
    </row>
    <row r="9320">
      <c r="A9320" s="1" t="s">
        <v>17937</v>
      </c>
      <c r="B9320" s="2" t="s">
        <v>17701</v>
      </c>
      <c r="C9320" s="1" t="s">
        <v>3286</v>
      </c>
      <c r="D9320" s="1" t="s">
        <v>3287</v>
      </c>
    </row>
    <row r="9321">
      <c r="A9321" s="1" t="s">
        <v>17938</v>
      </c>
      <c r="B9321" s="2" t="s">
        <v>17703</v>
      </c>
      <c r="C9321" s="1" t="s">
        <v>3286</v>
      </c>
      <c r="D9321" s="1" t="s">
        <v>3287</v>
      </c>
    </row>
    <row r="9322">
      <c r="A9322" s="1" t="s">
        <v>17939</v>
      </c>
      <c r="B9322" s="2" t="s">
        <v>17705</v>
      </c>
      <c r="C9322" s="1" t="s">
        <v>3286</v>
      </c>
      <c r="D9322" s="1" t="s">
        <v>3287</v>
      </c>
    </row>
    <row r="9323">
      <c r="A9323" s="1" t="s">
        <v>17940</v>
      </c>
      <c r="B9323" s="2" t="s">
        <v>17707</v>
      </c>
      <c r="C9323" s="1" t="s">
        <v>3286</v>
      </c>
      <c r="D9323" s="1" t="s">
        <v>3287</v>
      </c>
    </row>
    <row r="9324">
      <c r="A9324" s="1" t="s">
        <v>17941</v>
      </c>
      <c r="B9324" s="2" t="s">
        <v>17709</v>
      </c>
      <c r="C9324" s="1" t="s">
        <v>3286</v>
      </c>
      <c r="D9324" s="1" t="s">
        <v>3287</v>
      </c>
    </row>
    <row r="9325">
      <c r="A9325" s="1" t="s">
        <v>3291</v>
      </c>
      <c r="B9325" s="2" t="s">
        <v>7</v>
      </c>
      <c r="C9325" s="1" t="s">
        <v>3293</v>
      </c>
      <c r="D9325" s="1" t="s">
        <v>3294</v>
      </c>
    </row>
    <row r="9326">
      <c r="A9326" s="1" t="s">
        <v>17942</v>
      </c>
      <c r="B9326" s="2" t="s">
        <v>13984</v>
      </c>
      <c r="C9326" s="1" t="s">
        <v>3293</v>
      </c>
      <c r="D9326" s="1" t="s">
        <v>3294</v>
      </c>
    </row>
    <row r="9327">
      <c r="A9327" s="1" t="s">
        <v>17943</v>
      </c>
      <c r="B9327" s="2" t="s">
        <v>17598</v>
      </c>
      <c r="C9327" s="1" t="s">
        <v>3293</v>
      </c>
      <c r="D9327" s="1" t="s">
        <v>3294</v>
      </c>
    </row>
    <row r="9328">
      <c r="A9328" s="1" t="s">
        <v>17944</v>
      </c>
      <c r="B9328" s="2" t="s">
        <v>17600</v>
      </c>
      <c r="C9328" s="1" t="s">
        <v>3293</v>
      </c>
      <c r="D9328" s="1" t="s">
        <v>3294</v>
      </c>
    </row>
    <row r="9329">
      <c r="A9329" s="1" t="s">
        <v>17945</v>
      </c>
      <c r="B9329" s="2" t="s">
        <v>17602</v>
      </c>
      <c r="C9329" s="1" t="s">
        <v>3293</v>
      </c>
      <c r="D9329" s="1" t="s">
        <v>3294</v>
      </c>
    </row>
    <row r="9330">
      <c r="A9330" s="1" t="s">
        <v>17946</v>
      </c>
      <c r="B9330" s="2" t="s">
        <v>17604</v>
      </c>
      <c r="C9330" s="1" t="s">
        <v>3293</v>
      </c>
      <c r="D9330" s="1" t="s">
        <v>3294</v>
      </c>
    </row>
    <row r="9331">
      <c r="A9331" s="1" t="s">
        <v>17947</v>
      </c>
      <c r="B9331" s="2" t="s">
        <v>17606</v>
      </c>
      <c r="C9331" s="1" t="s">
        <v>3293</v>
      </c>
      <c r="D9331" s="1" t="s">
        <v>3294</v>
      </c>
    </row>
    <row r="9332">
      <c r="A9332" s="1" t="s">
        <v>17948</v>
      </c>
      <c r="B9332" s="2" t="s">
        <v>17608</v>
      </c>
      <c r="C9332" s="1" t="s">
        <v>3293</v>
      </c>
      <c r="D9332" s="1" t="s">
        <v>3294</v>
      </c>
    </row>
    <row r="9333">
      <c r="A9333" s="1" t="s">
        <v>17949</v>
      </c>
      <c r="B9333" s="2" t="s">
        <v>17610</v>
      </c>
      <c r="C9333" s="1" t="s">
        <v>3293</v>
      </c>
      <c r="D9333" s="1" t="s">
        <v>3294</v>
      </c>
    </row>
    <row r="9334">
      <c r="A9334" s="1" t="s">
        <v>17950</v>
      </c>
      <c r="B9334" s="2" t="s">
        <v>17612</v>
      </c>
      <c r="C9334" s="1" t="s">
        <v>3293</v>
      </c>
      <c r="D9334" s="1" t="s">
        <v>3294</v>
      </c>
    </row>
    <row r="9335">
      <c r="A9335" s="1" t="s">
        <v>17951</v>
      </c>
      <c r="B9335" s="2" t="s">
        <v>17614</v>
      </c>
      <c r="C9335" s="1" t="s">
        <v>3293</v>
      </c>
      <c r="D9335" s="1" t="s">
        <v>3294</v>
      </c>
    </row>
    <row r="9336">
      <c r="A9336" s="1" t="s">
        <v>17952</v>
      </c>
      <c r="B9336" s="2" t="s">
        <v>17616</v>
      </c>
      <c r="C9336" s="1" t="s">
        <v>3293</v>
      </c>
      <c r="D9336" s="1" t="s">
        <v>3294</v>
      </c>
    </row>
    <row r="9337">
      <c r="A9337" s="1" t="s">
        <v>17953</v>
      </c>
      <c r="B9337" s="2" t="s">
        <v>17618</v>
      </c>
      <c r="C9337" s="1" t="s">
        <v>3293</v>
      </c>
      <c r="D9337" s="1" t="s">
        <v>3294</v>
      </c>
    </row>
    <row r="9338">
      <c r="A9338" s="1" t="s">
        <v>17954</v>
      </c>
      <c r="B9338" s="2" t="s">
        <v>17620</v>
      </c>
      <c r="C9338" s="1" t="s">
        <v>3293</v>
      </c>
      <c r="D9338" s="1" t="s">
        <v>3294</v>
      </c>
    </row>
    <row r="9339">
      <c r="A9339" s="1" t="s">
        <v>17955</v>
      </c>
      <c r="B9339" s="2" t="s">
        <v>17622</v>
      </c>
      <c r="C9339" s="1" t="s">
        <v>3293</v>
      </c>
      <c r="D9339" s="1" t="s">
        <v>3294</v>
      </c>
    </row>
    <row r="9340">
      <c r="A9340" s="1" t="s">
        <v>17956</v>
      </c>
      <c r="B9340" s="2" t="s">
        <v>17624</v>
      </c>
      <c r="C9340" s="1" t="s">
        <v>3293</v>
      </c>
      <c r="D9340" s="1" t="s">
        <v>3294</v>
      </c>
    </row>
    <row r="9341">
      <c r="A9341" s="1" t="s">
        <v>17957</v>
      </c>
      <c r="B9341" s="2" t="s">
        <v>17626</v>
      </c>
      <c r="C9341" s="1" t="s">
        <v>3293</v>
      </c>
      <c r="D9341" s="1" t="s">
        <v>3294</v>
      </c>
    </row>
    <row r="9342">
      <c r="A9342" s="1" t="s">
        <v>17958</v>
      </c>
      <c r="B9342" s="2" t="s">
        <v>17628</v>
      </c>
      <c r="C9342" s="1" t="s">
        <v>3293</v>
      </c>
      <c r="D9342" s="1" t="s">
        <v>3294</v>
      </c>
    </row>
    <row r="9343">
      <c r="A9343" s="1" t="s">
        <v>17959</v>
      </c>
      <c r="B9343" s="2" t="s">
        <v>17630</v>
      </c>
      <c r="C9343" s="1" t="s">
        <v>3293</v>
      </c>
      <c r="D9343" s="1" t="s">
        <v>3294</v>
      </c>
    </row>
    <row r="9344">
      <c r="A9344" s="1" t="s">
        <v>17960</v>
      </c>
      <c r="B9344" s="2" t="s">
        <v>17632</v>
      </c>
      <c r="C9344" s="1" t="s">
        <v>3293</v>
      </c>
      <c r="D9344" s="1" t="s">
        <v>3294</v>
      </c>
    </row>
    <row r="9345">
      <c r="A9345" s="1" t="s">
        <v>17961</v>
      </c>
      <c r="B9345" s="2" t="s">
        <v>17634</v>
      </c>
      <c r="C9345" s="1" t="s">
        <v>3293</v>
      </c>
      <c r="D9345" s="1" t="s">
        <v>3294</v>
      </c>
    </row>
    <row r="9346">
      <c r="A9346" s="1" t="s">
        <v>17962</v>
      </c>
      <c r="B9346" s="2" t="s">
        <v>17636</v>
      </c>
      <c r="C9346" s="1" t="s">
        <v>3293</v>
      </c>
      <c r="D9346" s="1" t="s">
        <v>3294</v>
      </c>
    </row>
    <row r="9347">
      <c r="A9347" s="1" t="s">
        <v>17963</v>
      </c>
      <c r="B9347" s="2" t="s">
        <v>17638</v>
      </c>
      <c r="C9347" s="1" t="s">
        <v>3293</v>
      </c>
      <c r="D9347" s="1" t="s">
        <v>3294</v>
      </c>
    </row>
    <row r="9348">
      <c r="A9348" s="1" t="s">
        <v>17964</v>
      </c>
      <c r="B9348" s="2" t="s">
        <v>17640</v>
      </c>
      <c r="C9348" s="1" t="s">
        <v>3293</v>
      </c>
      <c r="D9348" s="1" t="s">
        <v>3294</v>
      </c>
    </row>
    <row r="9349">
      <c r="A9349" s="1" t="s">
        <v>17965</v>
      </c>
      <c r="B9349" s="2" t="s">
        <v>17642</v>
      </c>
      <c r="C9349" s="1" t="s">
        <v>3293</v>
      </c>
      <c r="D9349" s="1" t="s">
        <v>3294</v>
      </c>
    </row>
    <row r="9350">
      <c r="A9350" s="1" t="s">
        <v>17966</v>
      </c>
      <c r="B9350" s="2" t="s">
        <v>17644</v>
      </c>
      <c r="C9350" s="1" t="s">
        <v>3293</v>
      </c>
      <c r="D9350" s="1" t="s">
        <v>3294</v>
      </c>
    </row>
    <row r="9351">
      <c r="A9351" s="1" t="s">
        <v>17967</v>
      </c>
      <c r="B9351" s="2" t="s">
        <v>17646</v>
      </c>
      <c r="C9351" s="1" t="s">
        <v>3293</v>
      </c>
      <c r="D9351" s="1" t="s">
        <v>3294</v>
      </c>
    </row>
    <row r="9352">
      <c r="A9352" s="1" t="s">
        <v>17968</v>
      </c>
      <c r="B9352" s="2" t="s">
        <v>17648</v>
      </c>
      <c r="C9352" s="1" t="s">
        <v>3293</v>
      </c>
      <c r="D9352" s="1" t="s">
        <v>3294</v>
      </c>
    </row>
    <row r="9353">
      <c r="A9353" s="1" t="s">
        <v>17969</v>
      </c>
      <c r="B9353" s="2" t="s">
        <v>17650</v>
      </c>
      <c r="C9353" s="1" t="s">
        <v>3293</v>
      </c>
      <c r="D9353" s="1" t="s">
        <v>3294</v>
      </c>
    </row>
    <row r="9354">
      <c r="A9354" s="1" t="s">
        <v>17970</v>
      </c>
      <c r="B9354" s="2" t="s">
        <v>17652</v>
      </c>
      <c r="C9354" s="1" t="s">
        <v>3293</v>
      </c>
      <c r="D9354" s="1" t="s">
        <v>3294</v>
      </c>
    </row>
    <row r="9355">
      <c r="A9355" s="1" t="s">
        <v>17971</v>
      </c>
      <c r="B9355" s="2" t="s">
        <v>13994</v>
      </c>
      <c r="C9355" s="1" t="s">
        <v>3293</v>
      </c>
      <c r="D9355" s="1" t="s">
        <v>3294</v>
      </c>
    </row>
    <row r="9356">
      <c r="A9356" s="1" t="s">
        <v>17972</v>
      </c>
      <c r="B9356" s="2" t="s">
        <v>17655</v>
      </c>
      <c r="C9356" s="1" t="s">
        <v>3293</v>
      </c>
      <c r="D9356" s="1" t="s">
        <v>3294</v>
      </c>
    </row>
    <row r="9357">
      <c r="A9357" s="1" t="s">
        <v>17973</v>
      </c>
      <c r="B9357" s="2" t="s">
        <v>17657</v>
      </c>
      <c r="C9357" s="1" t="s">
        <v>3293</v>
      </c>
      <c r="D9357" s="1" t="s">
        <v>3294</v>
      </c>
    </row>
    <row r="9358">
      <c r="A9358" s="1" t="s">
        <v>17974</v>
      </c>
      <c r="B9358" s="2" t="s">
        <v>17659</v>
      </c>
      <c r="C9358" s="1" t="s">
        <v>3293</v>
      </c>
      <c r="D9358" s="1" t="s">
        <v>3294</v>
      </c>
    </row>
    <row r="9359">
      <c r="A9359" s="1" t="s">
        <v>17975</v>
      </c>
      <c r="B9359" s="2" t="s">
        <v>17661</v>
      </c>
      <c r="C9359" s="1" t="s">
        <v>3293</v>
      </c>
      <c r="D9359" s="1" t="s">
        <v>3294</v>
      </c>
    </row>
    <row r="9360">
      <c r="A9360" s="1" t="s">
        <v>17976</v>
      </c>
      <c r="B9360" s="2" t="s">
        <v>17663</v>
      </c>
      <c r="C9360" s="1" t="s">
        <v>3293</v>
      </c>
      <c r="D9360" s="1" t="s">
        <v>3294</v>
      </c>
    </row>
    <row r="9361">
      <c r="A9361" s="1" t="s">
        <v>17977</v>
      </c>
      <c r="B9361" s="2" t="s">
        <v>17665</v>
      </c>
      <c r="C9361" s="1" t="s">
        <v>3293</v>
      </c>
      <c r="D9361" s="1" t="s">
        <v>3294</v>
      </c>
    </row>
    <row r="9362">
      <c r="A9362" s="1" t="s">
        <v>17978</v>
      </c>
      <c r="B9362" s="2" t="s">
        <v>17667</v>
      </c>
      <c r="C9362" s="1" t="s">
        <v>3293</v>
      </c>
      <c r="D9362" s="1" t="s">
        <v>3294</v>
      </c>
    </row>
    <row r="9363">
      <c r="A9363" s="1" t="s">
        <v>17979</v>
      </c>
      <c r="B9363" s="2" t="s">
        <v>17669</v>
      </c>
      <c r="C9363" s="1" t="s">
        <v>3293</v>
      </c>
      <c r="D9363" s="1" t="s">
        <v>3294</v>
      </c>
    </row>
    <row r="9364">
      <c r="A9364" s="1" t="s">
        <v>17980</v>
      </c>
      <c r="B9364" s="2" t="s">
        <v>17671</v>
      </c>
      <c r="C9364" s="1" t="s">
        <v>3293</v>
      </c>
      <c r="D9364" s="1" t="s">
        <v>3294</v>
      </c>
    </row>
    <row r="9365">
      <c r="A9365" s="1" t="s">
        <v>17981</v>
      </c>
      <c r="B9365" s="2" t="s">
        <v>17673</v>
      </c>
      <c r="C9365" s="1" t="s">
        <v>3293</v>
      </c>
      <c r="D9365" s="1" t="s">
        <v>3294</v>
      </c>
    </row>
    <row r="9366">
      <c r="A9366" s="1" t="s">
        <v>17982</v>
      </c>
      <c r="B9366" s="2" t="s">
        <v>17675</v>
      </c>
      <c r="C9366" s="1" t="s">
        <v>3293</v>
      </c>
      <c r="D9366" s="1" t="s">
        <v>3294</v>
      </c>
    </row>
    <row r="9367">
      <c r="A9367" s="1" t="s">
        <v>17983</v>
      </c>
      <c r="B9367" s="2" t="s">
        <v>17677</v>
      </c>
      <c r="C9367" s="1" t="s">
        <v>3293</v>
      </c>
      <c r="D9367" s="1" t="s">
        <v>3294</v>
      </c>
    </row>
    <row r="9368">
      <c r="A9368" s="1" t="s">
        <v>17984</v>
      </c>
      <c r="B9368" s="2" t="s">
        <v>17679</v>
      </c>
      <c r="C9368" s="1" t="s">
        <v>3293</v>
      </c>
      <c r="D9368" s="1" t="s">
        <v>3294</v>
      </c>
    </row>
    <row r="9369">
      <c r="A9369" s="1" t="s">
        <v>17985</v>
      </c>
      <c r="B9369" s="2" t="s">
        <v>17681</v>
      </c>
      <c r="C9369" s="1" t="s">
        <v>3293</v>
      </c>
      <c r="D9369" s="1" t="s">
        <v>3294</v>
      </c>
    </row>
    <row r="9370">
      <c r="A9370" s="1" t="s">
        <v>17986</v>
      </c>
      <c r="B9370" s="2" t="s">
        <v>17683</v>
      </c>
      <c r="C9370" s="1" t="s">
        <v>3293</v>
      </c>
      <c r="D9370" s="1" t="s">
        <v>3294</v>
      </c>
    </row>
    <row r="9371">
      <c r="A9371" s="1" t="s">
        <v>17987</v>
      </c>
      <c r="B9371" s="2" t="s">
        <v>17685</v>
      </c>
      <c r="C9371" s="1" t="s">
        <v>3293</v>
      </c>
      <c r="D9371" s="1" t="s">
        <v>3294</v>
      </c>
    </row>
    <row r="9372">
      <c r="A9372" s="1" t="s">
        <v>17988</v>
      </c>
      <c r="B9372" s="2" t="s">
        <v>17687</v>
      </c>
      <c r="C9372" s="1" t="s">
        <v>3293</v>
      </c>
      <c r="D9372" s="1" t="s">
        <v>3294</v>
      </c>
    </row>
    <row r="9373">
      <c r="A9373" s="1" t="s">
        <v>17989</v>
      </c>
      <c r="B9373" s="2" t="s">
        <v>17689</v>
      </c>
      <c r="C9373" s="1" t="s">
        <v>3293</v>
      </c>
      <c r="D9373" s="1" t="s">
        <v>3294</v>
      </c>
    </row>
    <row r="9374">
      <c r="A9374" s="1" t="s">
        <v>17990</v>
      </c>
      <c r="B9374" s="2" t="s">
        <v>17691</v>
      </c>
      <c r="C9374" s="1" t="s">
        <v>3293</v>
      </c>
      <c r="D9374" s="1" t="s">
        <v>3294</v>
      </c>
    </row>
    <row r="9375">
      <c r="A9375" s="1" t="s">
        <v>17991</v>
      </c>
      <c r="B9375" s="2" t="s">
        <v>17693</v>
      </c>
      <c r="C9375" s="1" t="s">
        <v>3293</v>
      </c>
      <c r="D9375" s="1" t="s">
        <v>3294</v>
      </c>
    </row>
    <row r="9376">
      <c r="A9376" s="1" t="s">
        <v>17992</v>
      </c>
      <c r="B9376" s="2" t="s">
        <v>17695</v>
      </c>
      <c r="C9376" s="1" t="s">
        <v>3293</v>
      </c>
      <c r="D9376" s="1" t="s">
        <v>3294</v>
      </c>
    </row>
    <row r="9377">
      <c r="A9377" s="1" t="s">
        <v>17993</v>
      </c>
      <c r="B9377" s="2" t="s">
        <v>17697</v>
      </c>
      <c r="C9377" s="1" t="s">
        <v>3293</v>
      </c>
      <c r="D9377" s="1" t="s">
        <v>3294</v>
      </c>
    </row>
    <row r="9378">
      <c r="A9378" s="1" t="s">
        <v>17994</v>
      </c>
      <c r="B9378" s="2" t="s">
        <v>17699</v>
      </c>
      <c r="C9378" s="1" t="s">
        <v>3293</v>
      </c>
      <c r="D9378" s="1" t="s">
        <v>3294</v>
      </c>
    </row>
    <row r="9379">
      <c r="A9379" s="1" t="s">
        <v>17995</v>
      </c>
      <c r="B9379" s="2" t="s">
        <v>17701</v>
      </c>
      <c r="C9379" s="1" t="s">
        <v>3293</v>
      </c>
      <c r="D9379" s="1" t="s">
        <v>3294</v>
      </c>
    </row>
    <row r="9380">
      <c r="A9380" s="1" t="s">
        <v>17996</v>
      </c>
      <c r="B9380" s="2" t="s">
        <v>17703</v>
      </c>
      <c r="C9380" s="1" t="s">
        <v>3293</v>
      </c>
      <c r="D9380" s="1" t="s">
        <v>3294</v>
      </c>
    </row>
    <row r="9381">
      <c r="A9381" s="1" t="s">
        <v>17997</v>
      </c>
      <c r="B9381" s="2" t="s">
        <v>17705</v>
      </c>
      <c r="C9381" s="1" t="s">
        <v>3293</v>
      </c>
      <c r="D9381" s="1" t="s">
        <v>3294</v>
      </c>
    </row>
    <row r="9382">
      <c r="A9382" s="1" t="s">
        <v>17998</v>
      </c>
      <c r="B9382" s="2" t="s">
        <v>17707</v>
      </c>
      <c r="C9382" s="1" t="s">
        <v>3293</v>
      </c>
      <c r="D9382" s="1" t="s">
        <v>3294</v>
      </c>
    </row>
    <row r="9383">
      <c r="A9383" s="1" t="s">
        <v>17999</v>
      </c>
      <c r="B9383" s="2" t="s">
        <v>17709</v>
      </c>
      <c r="C9383" s="1" t="s">
        <v>3293</v>
      </c>
      <c r="D9383" s="1" t="s">
        <v>3294</v>
      </c>
    </row>
    <row r="9384">
      <c r="A9384" s="1" t="s">
        <v>3298</v>
      </c>
      <c r="B9384" s="2" t="s">
        <v>7</v>
      </c>
      <c r="C9384" s="1" t="s">
        <v>3300</v>
      </c>
      <c r="D9384" s="1" t="s">
        <v>3302</v>
      </c>
    </row>
    <row r="9385">
      <c r="A9385" s="1" t="s">
        <v>18000</v>
      </c>
      <c r="B9385" s="2" t="s">
        <v>13984</v>
      </c>
      <c r="C9385" s="1" t="s">
        <v>3300</v>
      </c>
      <c r="D9385" s="1" t="s">
        <v>3302</v>
      </c>
    </row>
    <row r="9386">
      <c r="A9386" s="1" t="s">
        <v>18001</v>
      </c>
      <c r="B9386" s="2" t="s">
        <v>17598</v>
      </c>
      <c r="C9386" s="1" t="s">
        <v>3300</v>
      </c>
      <c r="D9386" s="1" t="s">
        <v>3302</v>
      </c>
    </row>
    <row r="9387">
      <c r="A9387" s="1" t="s">
        <v>18002</v>
      </c>
      <c r="B9387" s="2" t="s">
        <v>17600</v>
      </c>
      <c r="C9387" s="1" t="s">
        <v>3300</v>
      </c>
      <c r="D9387" s="1" t="s">
        <v>3302</v>
      </c>
    </row>
    <row r="9388">
      <c r="A9388" s="1" t="s">
        <v>18003</v>
      </c>
      <c r="B9388" s="2" t="s">
        <v>17602</v>
      </c>
      <c r="C9388" s="1" t="s">
        <v>3300</v>
      </c>
      <c r="D9388" s="1" t="s">
        <v>3302</v>
      </c>
    </row>
    <row r="9389">
      <c r="A9389" s="1" t="s">
        <v>18004</v>
      </c>
      <c r="B9389" s="2" t="s">
        <v>17604</v>
      </c>
      <c r="C9389" s="1" t="s">
        <v>3300</v>
      </c>
      <c r="D9389" s="1" t="s">
        <v>3302</v>
      </c>
    </row>
    <row r="9390">
      <c r="A9390" s="1" t="s">
        <v>18005</v>
      </c>
      <c r="B9390" s="2" t="s">
        <v>17606</v>
      </c>
      <c r="C9390" s="1" t="s">
        <v>3300</v>
      </c>
      <c r="D9390" s="1" t="s">
        <v>3302</v>
      </c>
    </row>
    <row r="9391">
      <c r="A9391" s="1" t="s">
        <v>18006</v>
      </c>
      <c r="B9391" s="2" t="s">
        <v>17608</v>
      </c>
      <c r="C9391" s="1" t="s">
        <v>3300</v>
      </c>
      <c r="D9391" s="1" t="s">
        <v>3302</v>
      </c>
    </row>
    <row r="9392">
      <c r="A9392" s="1" t="s">
        <v>18007</v>
      </c>
      <c r="B9392" s="2" t="s">
        <v>17610</v>
      </c>
      <c r="C9392" s="1" t="s">
        <v>3300</v>
      </c>
      <c r="D9392" s="1" t="s">
        <v>3302</v>
      </c>
    </row>
    <row r="9393">
      <c r="A9393" s="1" t="s">
        <v>18008</v>
      </c>
      <c r="B9393" s="2" t="s">
        <v>17612</v>
      </c>
      <c r="C9393" s="1" t="s">
        <v>3300</v>
      </c>
      <c r="D9393" s="1" t="s">
        <v>3302</v>
      </c>
    </row>
    <row r="9394">
      <c r="A9394" s="1" t="s">
        <v>18009</v>
      </c>
      <c r="B9394" s="2" t="s">
        <v>17614</v>
      </c>
      <c r="C9394" s="1" t="s">
        <v>3300</v>
      </c>
      <c r="D9394" s="1" t="s">
        <v>3302</v>
      </c>
    </row>
    <row r="9395">
      <c r="A9395" s="1" t="s">
        <v>18010</v>
      </c>
      <c r="B9395" s="2" t="s">
        <v>17616</v>
      </c>
      <c r="C9395" s="1" t="s">
        <v>3300</v>
      </c>
      <c r="D9395" s="1" t="s">
        <v>3302</v>
      </c>
    </row>
    <row r="9396">
      <c r="A9396" s="1" t="s">
        <v>18011</v>
      </c>
      <c r="B9396" s="2" t="s">
        <v>17618</v>
      </c>
      <c r="C9396" s="1" t="s">
        <v>3300</v>
      </c>
      <c r="D9396" s="1" t="s">
        <v>3302</v>
      </c>
    </row>
    <row r="9397">
      <c r="A9397" s="1" t="s">
        <v>18012</v>
      </c>
      <c r="B9397" s="2" t="s">
        <v>17620</v>
      </c>
      <c r="C9397" s="1" t="s">
        <v>3300</v>
      </c>
      <c r="D9397" s="1" t="s">
        <v>3302</v>
      </c>
    </row>
    <row r="9398">
      <c r="A9398" s="1" t="s">
        <v>18013</v>
      </c>
      <c r="B9398" s="2" t="s">
        <v>17622</v>
      </c>
      <c r="C9398" s="1" t="s">
        <v>3300</v>
      </c>
      <c r="D9398" s="1" t="s">
        <v>3302</v>
      </c>
    </row>
    <row r="9399">
      <c r="A9399" s="1" t="s">
        <v>18014</v>
      </c>
      <c r="B9399" s="2" t="s">
        <v>17624</v>
      </c>
      <c r="C9399" s="1" t="s">
        <v>3300</v>
      </c>
      <c r="D9399" s="1" t="s">
        <v>3302</v>
      </c>
    </row>
    <row r="9400">
      <c r="A9400" s="1" t="s">
        <v>18015</v>
      </c>
      <c r="B9400" s="2" t="s">
        <v>17626</v>
      </c>
      <c r="C9400" s="1" t="s">
        <v>3300</v>
      </c>
      <c r="D9400" s="1" t="s">
        <v>3302</v>
      </c>
    </row>
    <row r="9401">
      <c r="A9401" s="1" t="s">
        <v>18016</v>
      </c>
      <c r="B9401" s="2" t="s">
        <v>17628</v>
      </c>
      <c r="C9401" s="1" t="s">
        <v>3300</v>
      </c>
      <c r="D9401" s="1" t="s">
        <v>3302</v>
      </c>
    </row>
    <row r="9402">
      <c r="A9402" s="1" t="s">
        <v>18017</v>
      </c>
      <c r="B9402" s="2" t="s">
        <v>17630</v>
      </c>
      <c r="C9402" s="1" t="s">
        <v>3300</v>
      </c>
      <c r="D9402" s="1" t="s">
        <v>3302</v>
      </c>
    </row>
    <row r="9403">
      <c r="A9403" s="1" t="s">
        <v>18018</v>
      </c>
      <c r="B9403" s="2" t="s">
        <v>17632</v>
      </c>
      <c r="C9403" s="1" t="s">
        <v>3300</v>
      </c>
      <c r="D9403" s="1" t="s">
        <v>3302</v>
      </c>
    </row>
    <row r="9404">
      <c r="A9404" s="1" t="s">
        <v>18019</v>
      </c>
      <c r="B9404" s="2" t="s">
        <v>17634</v>
      </c>
      <c r="C9404" s="1" t="s">
        <v>3300</v>
      </c>
      <c r="D9404" s="1" t="s">
        <v>3302</v>
      </c>
    </row>
    <row r="9405">
      <c r="A9405" s="1" t="s">
        <v>18020</v>
      </c>
      <c r="B9405" s="2" t="s">
        <v>17636</v>
      </c>
      <c r="C9405" s="1" t="s">
        <v>3300</v>
      </c>
      <c r="D9405" s="1" t="s">
        <v>3302</v>
      </c>
    </row>
    <row r="9406">
      <c r="A9406" s="1" t="s">
        <v>18021</v>
      </c>
      <c r="B9406" s="2" t="s">
        <v>17638</v>
      </c>
      <c r="C9406" s="1" t="s">
        <v>3300</v>
      </c>
      <c r="D9406" s="1" t="s">
        <v>3302</v>
      </c>
    </row>
    <row r="9407">
      <c r="A9407" s="1" t="s">
        <v>18022</v>
      </c>
      <c r="B9407" s="2" t="s">
        <v>17640</v>
      </c>
      <c r="C9407" s="1" t="s">
        <v>3300</v>
      </c>
      <c r="D9407" s="1" t="s">
        <v>3302</v>
      </c>
    </row>
    <row r="9408">
      <c r="A9408" s="1" t="s">
        <v>18023</v>
      </c>
      <c r="B9408" s="2" t="s">
        <v>17642</v>
      </c>
      <c r="C9408" s="1" t="s">
        <v>3300</v>
      </c>
      <c r="D9408" s="1" t="s">
        <v>3302</v>
      </c>
    </row>
    <row r="9409">
      <c r="A9409" s="1" t="s">
        <v>18024</v>
      </c>
      <c r="B9409" s="2" t="s">
        <v>17644</v>
      </c>
      <c r="C9409" s="1" t="s">
        <v>3300</v>
      </c>
      <c r="D9409" s="1" t="s">
        <v>3302</v>
      </c>
    </row>
    <row r="9410">
      <c r="A9410" s="1" t="s">
        <v>18025</v>
      </c>
      <c r="B9410" s="2" t="s">
        <v>17646</v>
      </c>
      <c r="C9410" s="1" t="s">
        <v>3300</v>
      </c>
      <c r="D9410" s="1" t="s">
        <v>3302</v>
      </c>
    </row>
    <row r="9411">
      <c r="A9411" s="1" t="s">
        <v>18026</v>
      </c>
      <c r="B9411" s="2" t="s">
        <v>17648</v>
      </c>
      <c r="C9411" s="1" t="s">
        <v>3300</v>
      </c>
      <c r="D9411" s="1" t="s">
        <v>3302</v>
      </c>
    </row>
    <row r="9412">
      <c r="A9412" s="1" t="s">
        <v>18027</v>
      </c>
      <c r="B9412" s="2" t="s">
        <v>17650</v>
      </c>
      <c r="C9412" s="1" t="s">
        <v>3300</v>
      </c>
      <c r="D9412" s="1" t="s">
        <v>3302</v>
      </c>
    </row>
    <row r="9413">
      <c r="A9413" s="1" t="s">
        <v>18028</v>
      </c>
      <c r="B9413" s="2" t="s">
        <v>17652</v>
      </c>
      <c r="C9413" s="1" t="s">
        <v>3300</v>
      </c>
      <c r="D9413" s="1" t="s">
        <v>3302</v>
      </c>
    </row>
    <row r="9414">
      <c r="A9414" s="1" t="s">
        <v>18029</v>
      </c>
      <c r="B9414" s="2" t="s">
        <v>13994</v>
      </c>
      <c r="C9414" s="1" t="s">
        <v>3300</v>
      </c>
      <c r="D9414" s="1" t="s">
        <v>3302</v>
      </c>
    </row>
    <row r="9415">
      <c r="A9415" s="1" t="s">
        <v>18030</v>
      </c>
      <c r="B9415" s="2" t="s">
        <v>17655</v>
      </c>
      <c r="C9415" s="1" t="s">
        <v>3300</v>
      </c>
      <c r="D9415" s="1" t="s">
        <v>3302</v>
      </c>
    </row>
    <row r="9416">
      <c r="A9416" s="1" t="s">
        <v>18031</v>
      </c>
      <c r="B9416" s="2" t="s">
        <v>17657</v>
      </c>
      <c r="C9416" s="1" t="s">
        <v>3300</v>
      </c>
      <c r="D9416" s="1" t="s">
        <v>3302</v>
      </c>
    </row>
    <row r="9417">
      <c r="A9417" s="1" t="s">
        <v>18032</v>
      </c>
      <c r="B9417" s="2" t="s">
        <v>17659</v>
      </c>
      <c r="C9417" s="1" t="s">
        <v>3300</v>
      </c>
      <c r="D9417" s="1" t="s">
        <v>3302</v>
      </c>
    </row>
    <row r="9418">
      <c r="A9418" s="1" t="s">
        <v>18033</v>
      </c>
      <c r="B9418" s="2" t="s">
        <v>17661</v>
      </c>
      <c r="C9418" s="1" t="s">
        <v>3300</v>
      </c>
      <c r="D9418" s="1" t="s">
        <v>3302</v>
      </c>
    </row>
    <row r="9419">
      <c r="A9419" s="1" t="s">
        <v>18034</v>
      </c>
      <c r="B9419" s="2" t="s">
        <v>17663</v>
      </c>
      <c r="C9419" s="1" t="s">
        <v>3300</v>
      </c>
      <c r="D9419" s="1" t="s">
        <v>3302</v>
      </c>
    </row>
    <row r="9420">
      <c r="A9420" s="1" t="s">
        <v>18035</v>
      </c>
      <c r="B9420" s="2" t="s">
        <v>17665</v>
      </c>
      <c r="C9420" s="1" t="s">
        <v>3300</v>
      </c>
      <c r="D9420" s="1" t="s">
        <v>3302</v>
      </c>
    </row>
    <row r="9421">
      <c r="A9421" s="1" t="s">
        <v>18036</v>
      </c>
      <c r="B9421" s="2" t="s">
        <v>17667</v>
      </c>
      <c r="C9421" s="1" t="s">
        <v>3300</v>
      </c>
      <c r="D9421" s="1" t="s">
        <v>3302</v>
      </c>
    </row>
    <row r="9422">
      <c r="A9422" s="1" t="s">
        <v>18037</v>
      </c>
      <c r="B9422" s="2" t="s">
        <v>17669</v>
      </c>
      <c r="C9422" s="1" t="s">
        <v>3300</v>
      </c>
      <c r="D9422" s="1" t="s">
        <v>3302</v>
      </c>
    </row>
    <row r="9423">
      <c r="A9423" s="1" t="s">
        <v>18038</v>
      </c>
      <c r="B9423" s="2" t="s">
        <v>17671</v>
      </c>
      <c r="C9423" s="1" t="s">
        <v>3300</v>
      </c>
      <c r="D9423" s="1" t="s">
        <v>3302</v>
      </c>
    </row>
    <row r="9424">
      <c r="A9424" s="1" t="s">
        <v>18039</v>
      </c>
      <c r="B9424" s="2" t="s">
        <v>17673</v>
      </c>
      <c r="C9424" s="1" t="s">
        <v>3300</v>
      </c>
      <c r="D9424" s="1" t="s">
        <v>3302</v>
      </c>
    </row>
    <row r="9425">
      <c r="A9425" s="1" t="s">
        <v>18040</v>
      </c>
      <c r="B9425" s="2" t="s">
        <v>17675</v>
      </c>
      <c r="C9425" s="1" t="s">
        <v>3300</v>
      </c>
      <c r="D9425" s="1" t="s">
        <v>3302</v>
      </c>
    </row>
    <row r="9426">
      <c r="A9426" s="1" t="s">
        <v>18041</v>
      </c>
      <c r="B9426" s="2" t="s">
        <v>17677</v>
      </c>
      <c r="C9426" s="1" t="s">
        <v>3300</v>
      </c>
      <c r="D9426" s="1" t="s">
        <v>3302</v>
      </c>
    </row>
    <row r="9427">
      <c r="A9427" s="1" t="s">
        <v>18042</v>
      </c>
      <c r="B9427" s="2" t="s">
        <v>17679</v>
      </c>
      <c r="C9427" s="1" t="s">
        <v>3300</v>
      </c>
      <c r="D9427" s="1" t="s">
        <v>3302</v>
      </c>
    </row>
    <row r="9428">
      <c r="A9428" s="1" t="s">
        <v>18043</v>
      </c>
      <c r="B9428" s="2" t="s">
        <v>17681</v>
      </c>
      <c r="C9428" s="1" t="s">
        <v>3300</v>
      </c>
      <c r="D9428" s="1" t="s">
        <v>3302</v>
      </c>
    </row>
    <row r="9429">
      <c r="A9429" s="1" t="s">
        <v>18044</v>
      </c>
      <c r="B9429" s="2" t="s">
        <v>17683</v>
      </c>
      <c r="C9429" s="1" t="s">
        <v>3300</v>
      </c>
      <c r="D9429" s="1" t="s">
        <v>3302</v>
      </c>
    </row>
    <row r="9430">
      <c r="A9430" s="1" t="s">
        <v>18045</v>
      </c>
      <c r="B9430" s="2" t="s">
        <v>17685</v>
      </c>
      <c r="C9430" s="1" t="s">
        <v>3300</v>
      </c>
      <c r="D9430" s="1" t="s">
        <v>3302</v>
      </c>
    </row>
    <row r="9431">
      <c r="A9431" s="1" t="s">
        <v>18046</v>
      </c>
      <c r="B9431" s="2" t="s">
        <v>17687</v>
      </c>
      <c r="C9431" s="1" t="s">
        <v>3300</v>
      </c>
      <c r="D9431" s="1" t="s">
        <v>3302</v>
      </c>
    </row>
    <row r="9432">
      <c r="A9432" s="1" t="s">
        <v>18047</v>
      </c>
      <c r="B9432" s="2" t="s">
        <v>17689</v>
      </c>
      <c r="C9432" s="1" t="s">
        <v>3300</v>
      </c>
      <c r="D9432" s="1" t="s">
        <v>3302</v>
      </c>
    </row>
    <row r="9433">
      <c r="A9433" s="1" t="s">
        <v>18048</v>
      </c>
      <c r="B9433" s="2" t="s">
        <v>17691</v>
      </c>
      <c r="C9433" s="1" t="s">
        <v>3300</v>
      </c>
      <c r="D9433" s="1" t="s">
        <v>3302</v>
      </c>
    </row>
    <row r="9434">
      <c r="A9434" s="1" t="s">
        <v>18049</v>
      </c>
      <c r="B9434" s="2" t="s">
        <v>17693</v>
      </c>
      <c r="C9434" s="1" t="s">
        <v>3300</v>
      </c>
      <c r="D9434" s="1" t="s">
        <v>3302</v>
      </c>
    </row>
    <row r="9435">
      <c r="A9435" s="1" t="s">
        <v>18050</v>
      </c>
      <c r="B9435" s="2" t="s">
        <v>17695</v>
      </c>
      <c r="C9435" s="1" t="s">
        <v>3300</v>
      </c>
      <c r="D9435" s="1" t="s">
        <v>3302</v>
      </c>
    </row>
    <row r="9436">
      <c r="A9436" s="1" t="s">
        <v>18051</v>
      </c>
      <c r="B9436" s="2" t="s">
        <v>17697</v>
      </c>
      <c r="C9436" s="1" t="s">
        <v>3300</v>
      </c>
      <c r="D9436" s="1" t="s">
        <v>3302</v>
      </c>
    </row>
    <row r="9437">
      <c r="A9437" s="1" t="s">
        <v>18052</v>
      </c>
      <c r="B9437" s="2" t="s">
        <v>17699</v>
      </c>
      <c r="C9437" s="1" t="s">
        <v>3300</v>
      </c>
      <c r="D9437" s="1" t="s">
        <v>3302</v>
      </c>
    </row>
    <row r="9438">
      <c r="A9438" s="1" t="s">
        <v>18053</v>
      </c>
      <c r="B9438" s="2" t="s">
        <v>17701</v>
      </c>
      <c r="C9438" s="1" t="s">
        <v>3300</v>
      </c>
      <c r="D9438" s="1" t="s">
        <v>3302</v>
      </c>
    </row>
    <row r="9439">
      <c r="A9439" s="1" t="s">
        <v>18054</v>
      </c>
      <c r="B9439" s="2" t="s">
        <v>17703</v>
      </c>
      <c r="C9439" s="1" t="s">
        <v>3300</v>
      </c>
      <c r="D9439" s="1" t="s">
        <v>3302</v>
      </c>
    </row>
    <row r="9440">
      <c r="A9440" s="1" t="s">
        <v>18055</v>
      </c>
      <c r="B9440" s="2" t="s">
        <v>17705</v>
      </c>
      <c r="C9440" s="1" t="s">
        <v>3300</v>
      </c>
      <c r="D9440" s="1" t="s">
        <v>3302</v>
      </c>
    </row>
    <row r="9441">
      <c r="A9441" s="1" t="s">
        <v>18056</v>
      </c>
      <c r="B9441" s="2" t="s">
        <v>17707</v>
      </c>
      <c r="C9441" s="1" t="s">
        <v>3300</v>
      </c>
      <c r="D9441" s="1" t="s">
        <v>3302</v>
      </c>
    </row>
    <row r="9442">
      <c r="A9442" s="1" t="s">
        <v>18057</v>
      </c>
      <c r="B9442" s="2" t="s">
        <v>17709</v>
      </c>
      <c r="C9442" s="1" t="s">
        <v>3300</v>
      </c>
      <c r="D9442" s="1" t="s">
        <v>3302</v>
      </c>
    </row>
    <row r="9443">
      <c r="A9443" s="1" t="s">
        <v>3304</v>
      </c>
      <c r="B9443" s="2" t="s">
        <v>7</v>
      </c>
      <c r="C9443" s="1" t="s">
        <v>3306</v>
      </c>
      <c r="D9443" s="1" t="s">
        <v>3307</v>
      </c>
    </row>
    <row r="9444">
      <c r="A9444" s="1" t="s">
        <v>18058</v>
      </c>
      <c r="B9444" s="2" t="s">
        <v>13984</v>
      </c>
      <c r="C9444" s="1" t="s">
        <v>3306</v>
      </c>
      <c r="D9444" s="1" t="s">
        <v>3307</v>
      </c>
    </row>
    <row r="9445">
      <c r="A9445" s="1" t="s">
        <v>18059</v>
      </c>
      <c r="B9445" s="2" t="s">
        <v>17598</v>
      </c>
      <c r="C9445" s="1" t="s">
        <v>3306</v>
      </c>
      <c r="D9445" s="1" t="s">
        <v>3307</v>
      </c>
    </row>
    <row r="9446">
      <c r="A9446" s="1" t="s">
        <v>18060</v>
      </c>
      <c r="B9446" s="2" t="s">
        <v>17600</v>
      </c>
      <c r="C9446" s="1" t="s">
        <v>3306</v>
      </c>
      <c r="D9446" s="1" t="s">
        <v>3307</v>
      </c>
    </row>
    <row r="9447">
      <c r="A9447" s="1" t="s">
        <v>18061</v>
      </c>
      <c r="B9447" s="2" t="s">
        <v>17602</v>
      </c>
      <c r="C9447" s="1" t="s">
        <v>3306</v>
      </c>
      <c r="D9447" s="1" t="s">
        <v>3307</v>
      </c>
    </row>
    <row r="9448">
      <c r="A9448" s="1" t="s">
        <v>18062</v>
      </c>
      <c r="B9448" s="2" t="s">
        <v>17604</v>
      </c>
      <c r="C9448" s="1" t="s">
        <v>3306</v>
      </c>
      <c r="D9448" s="1" t="s">
        <v>3307</v>
      </c>
    </row>
    <row r="9449">
      <c r="A9449" s="1" t="s">
        <v>18063</v>
      </c>
      <c r="B9449" s="2" t="s">
        <v>17606</v>
      </c>
      <c r="C9449" s="1" t="s">
        <v>3306</v>
      </c>
      <c r="D9449" s="1" t="s">
        <v>3307</v>
      </c>
    </row>
    <row r="9450">
      <c r="A9450" s="1" t="s">
        <v>18064</v>
      </c>
      <c r="B9450" s="2" t="s">
        <v>17608</v>
      </c>
      <c r="C9450" s="1" t="s">
        <v>3306</v>
      </c>
      <c r="D9450" s="1" t="s">
        <v>3307</v>
      </c>
    </row>
    <row r="9451">
      <c r="A9451" s="1" t="s">
        <v>18065</v>
      </c>
      <c r="B9451" s="2" t="s">
        <v>17610</v>
      </c>
      <c r="C9451" s="1" t="s">
        <v>3306</v>
      </c>
      <c r="D9451" s="1" t="s">
        <v>3307</v>
      </c>
    </row>
    <row r="9452">
      <c r="A9452" s="1" t="s">
        <v>18066</v>
      </c>
      <c r="B9452" s="2" t="s">
        <v>17612</v>
      </c>
      <c r="C9452" s="1" t="s">
        <v>3306</v>
      </c>
      <c r="D9452" s="1" t="s">
        <v>3307</v>
      </c>
    </row>
    <row r="9453">
      <c r="A9453" s="1" t="s">
        <v>18067</v>
      </c>
      <c r="B9453" s="2" t="s">
        <v>17614</v>
      </c>
      <c r="C9453" s="1" t="s">
        <v>3306</v>
      </c>
      <c r="D9453" s="1" t="s">
        <v>3307</v>
      </c>
    </row>
    <row r="9454">
      <c r="A9454" s="1" t="s">
        <v>18068</v>
      </c>
      <c r="B9454" s="2" t="s">
        <v>17616</v>
      </c>
      <c r="C9454" s="1" t="s">
        <v>3306</v>
      </c>
      <c r="D9454" s="1" t="s">
        <v>3307</v>
      </c>
    </row>
    <row r="9455">
      <c r="A9455" s="1" t="s">
        <v>18069</v>
      </c>
      <c r="B9455" s="2" t="s">
        <v>17618</v>
      </c>
      <c r="C9455" s="1" t="s">
        <v>3306</v>
      </c>
      <c r="D9455" s="1" t="s">
        <v>3307</v>
      </c>
    </row>
    <row r="9456">
      <c r="A9456" s="1" t="s">
        <v>18070</v>
      </c>
      <c r="B9456" s="2" t="s">
        <v>17620</v>
      </c>
      <c r="C9456" s="1" t="s">
        <v>3306</v>
      </c>
      <c r="D9456" s="1" t="s">
        <v>3307</v>
      </c>
    </row>
    <row r="9457">
      <c r="A9457" s="1" t="s">
        <v>18071</v>
      </c>
      <c r="B9457" s="2" t="s">
        <v>17622</v>
      </c>
      <c r="C9457" s="1" t="s">
        <v>3306</v>
      </c>
      <c r="D9457" s="1" t="s">
        <v>3307</v>
      </c>
    </row>
    <row r="9458">
      <c r="A9458" s="1" t="s">
        <v>18072</v>
      </c>
      <c r="B9458" s="2" t="s">
        <v>17624</v>
      </c>
      <c r="C9458" s="1" t="s">
        <v>3306</v>
      </c>
      <c r="D9458" s="1" t="s">
        <v>3307</v>
      </c>
    </row>
    <row r="9459">
      <c r="A9459" s="1" t="s">
        <v>18073</v>
      </c>
      <c r="B9459" s="2" t="s">
        <v>17626</v>
      </c>
      <c r="C9459" s="1" t="s">
        <v>3306</v>
      </c>
      <c r="D9459" s="1" t="s">
        <v>3307</v>
      </c>
    </row>
    <row r="9460">
      <c r="A9460" s="1" t="s">
        <v>18074</v>
      </c>
      <c r="B9460" s="2" t="s">
        <v>17628</v>
      </c>
      <c r="C9460" s="1" t="s">
        <v>3306</v>
      </c>
      <c r="D9460" s="1" t="s">
        <v>3307</v>
      </c>
    </row>
    <row r="9461">
      <c r="A9461" s="1" t="s">
        <v>18075</v>
      </c>
      <c r="B9461" s="2" t="s">
        <v>17630</v>
      </c>
      <c r="C9461" s="1" t="s">
        <v>3306</v>
      </c>
      <c r="D9461" s="1" t="s">
        <v>3307</v>
      </c>
    </row>
    <row r="9462">
      <c r="A9462" s="1" t="s">
        <v>18076</v>
      </c>
      <c r="B9462" s="2" t="s">
        <v>17632</v>
      </c>
      <c r="C9462" s="1" t="s">
        <v>3306</v>
      </c>
      <c r="D9462" s="1" t="s">
        <v>3307</v>
      </c>
    </row>
    <row r="9463">
      <c r="A9463" s="1" t="s">
        <v>18077</v>
      </c>
      <c r="B9463" s="2" t="s">
        <v>17634</v>
      </c>
      <c r="C9463" s="1" t="s">
        <v>3306</v>
      </c>
      <c r="D9463" s="1" t="s">
        <v>3307</v>
      </c>
    </row>
    <row r="9464">
      <c r="A9464" s="1" t="s">
        <v>18078</v>
      </c>
      <c r="B9464" s="2" t="s">
        <v>17636</v>
      </c>
      <c r="C9464" s="1" t="s">
        <v>3306</v>
      </c>
      <c r="D9464" s="1" t="s">
        <v>3307</v>
      </c>
    </row>
    <row r="9465">
      <c r="A9465" s="1" t="s">
        <v>18079</v>
      </c>
      <c r="B9465" s="2" t="s">
        <v>17638</v>
      </c>
      <c r="C9465" s="1" t="s">
        <v>3306</v>
      </c>
      <c r="D9465" s="1" t="s">
        <v>3307</v>
      </c>
    </row>
    <row r="9466">
      <c r="A9466" s="1" t="s">
        <v>18080</v>
      </c>
      <c r="B9466" s="2" t="s">
        <v>17640</v>
      </c>
      <c r="C9466" s="1" t="s">
        <v>3306</v>
      </c>
      <c r="D9466" s="1" t="s">
        <v>3307</v>
      </c>
    </row>
    <row r="9467">
      <c r="A9467" s="1" t="s">
        <v>18081</v>
      </c>
      <c r="B9467" s="2" t="s">
        <v>17642</v>
      </c>
      <c r="C9467" s="1" t="s">
        <v>3306</v>
      </c>
      <c r="D9467" s="1" t="s">
        <v>3307</v>
      </c>
    </row>
    <row r="9468">
      <c r="A9468" s="1" t="s">
        <v>18082</v>
      </c>
      <c r="B9468" s="2" t="s">
        <v>17644</v>
      </c>
      <c r="C9468" s="1" t="s">
        <v>3306</v>
      </c>
      <c r="D9468" s="1" t="s">
        <v>3307</v>
      </c>
    </row>
    <row r="9469">
      <c r="A9469" s="1" t="s">
        <v>18083</v>
      </c>
      <c r="B9469" s="2" t="s">
        <v>17646</v>
      </c>
      <c r="C9469" s="1" t="s">
        <v>3306</v>
      </c>
      <c r="D9469" s="1" t="s">
        <v>3307</v>
      </c>
    </row>
    <row r="9470">
      <c r="A9470" s="1" t="s">
        <v>18084</v>
      </c>
      <c r="B9470" s="2" t="s">
        <v>17648</v>
      </c>
      <c r="C9470" s="1" t="s">
        <v>3306</v>
      </c>
      <c r="D9470" s="1" t="s">
        <v>3307</v>
      </c>
    </row>
    <row r="9471">
      <c r="A9471" s="1" t="s">
        <v>18085</v>
      </c>
      <c r="B9471" s="2" t="s">
        <v>17650</v>
      </c>
      <c r="C9471" s="1" t="s">
        <v>3306</v>
      </c>
      <c r="D9471" s="1" t="s">
        <v>3307</v>
      </c>
    </row>
    <row r="9472">
      <c r="A9472" s="1" t="s">
        <v>18086</v>
      </c>
      <c r="B9472" s="2" t="s">
        <v>17652</v>
      </c>
      <c r="C9472" s="1" t="s">
        <v>3306</v>
      </c>
      <c r="D9472" s="1" t="s">
        <v>3307</v>
      </c>
    </row>
    <row r="9473">
      <c r="A9473" s="1" t="s">
        <v>18087</v>
      </c>
      <c r="B9473" s="2" t="s">
        <v>13994</v>
      </c>
      <c r="C9473" s="1" t="s">
        <v>3306</v>
      </c>
      <c r="D9473" s="1" t="s">
        <v>3307</v>
      </c>
    </row>
    <row r="9474">
      <c r="A9474" s="1" t="s">
        <v>18088</v>
      </c>
      <c r="B9474" s="2" t="s">
        <v>17655</v>
      </c>
      <c r="C9474" s="1" t="s">
        <v>3306</v>
      </c>
      <c r="D9474" s="1" t="s">
        <v>3307</v>
      </c>
    </row>
    <row r="9475">
      <c r="A9475" s="1" t="s">
        <v>18089</v>
      </c>
      <c r="B9475" s="2" t="s">
        <v>17657</v>
      </c>
      <c r="C9475" s="1" t="s">
        <v>3306</v>
      </c>
      <c r="D9475" s="1" t="s">
        <v>3307</v>
      </c>
    </row>
    <row r="9476">
      <c r="A9476" s="1" t="s">
        <v>18090</v>
      </c>
      <c r="B9476" s="2" t="s">
        <v>17659</v>
      </c>
      <c r="C9476" s="1" t="s">
        <v>3306</v>
      </c>
      <c r="D9476" s="1" t="s">
        <v>3307</v>
      </c>
    </row>
    <row r="9477">
      <c r="A9477" s="1" t="s">
        <v>18091</v>
      </c>
      <c r="B9477" s="2" t="s">
        <v>17661</v>
      </c>
      <c r="C9477" s="1" t="s">
        <v>3306</v>
      </c>
      <c r="D9477" s="1" t="s">
        <v>3307</v>
      </c>
    </row>
    <row r="9478">
      <c r="A9478" s="1" t="s">
        <v>18092</v>
      </c>
      <c r="B9478" s="2" t="s">
        <v>17663</v>
      </c>
      <c r="C9478" s="1" t="s">
        <v>3306</v>
      </c>
      <c r="D9478" s="1" t="s">
        <v>3307</v>
      </c>
    </row>
    <row r="9479">
      <c r="A9479" s="1" t="s">
        <v>18093</v>
      </c>
      <c r="B9479" s="2" t="s">
        <v>17665</v>
      </c>
      <c r="C9479" s="1" t="s">
        <v>3306</v>
      </c>
      <c r="D9479" s="1" t="s">
        <v>3307</v>
      </c>
    </row>
    <row r="9480">
      <c r="A9480" s="1" t="s">
        <v>18094</v>
      </c>
      <c r="B9480" s="2" t="s">
        <v>17667</v>
      </c>
      <c r="C9480" s="1" t="s">
        <v>3306</v>
      </c>
      <c r="D9480" s="1" t="s">
        <v>3307</v>
      </c>
    </row>
    <row r="9481">
      <c r="A9481" s="1" t="s">
        <v>18095</v>
      </c>
      <c r="B9481" s="2" t="s">
        <v>17669</v>
      </c>
      <c r="C9481" s="1" t="s">
        <v>3306</v>
      </c>
      <c r="D9481" s="1" t="s">
        <v>3307</v>
      </c>
    </row>
    <row r="9482">
      <c r="A9482" s="1" t="s">
        <v>18096</v>
      </c>
      <c r="B9482" s="2" t="s">
        <v>17671</v>
      </c>
      <c r="C9482" s="1" t="s">
        <v>3306</v>
      </c>
      <c r="D9482" s="1" t="s">
        <v>3307</v>
      </c>
    </row>
    <row r="9483">
      <c r="A9483" s="1" t="s">
        <v>18097</v>
      </c>
      <c r="B9483" s="2" t="s">
        <v>17673</v>
      </c>
      <c r="C9483" s="1" t="s">
        <v>3306</v>
      </c>
      <c r="D9483" s="1" t="s">
        <v>3307</v>
      </c>
    </row>
    <row r="9484">
      <c r="A9484" s="1" t="s">
        <v>18098</v>
      </c>
      <c r="B9484" s="2" t="s">
        <v>17675</v>
      </c>
      <c r="C9484" s="1" t="s">
        <v>3306</v>
      </c>
      <c r="D9484" s="1" t="s">
        <v>3307</v>
      </c>
    </row>
    <row r="9485">
      <c r="A9485" s="1" t="s">
        <v>18099</v>
      </c>
      <c r="B9485" s="2" t="s">
        <v>17677</v>
      </c>
      <c r="C9485" s="1" t="s">
        <v>3306</v>
      </c>
      <c r="D9485" s="1" t="s">
        <v>3307</v>
      </c>
    </row>
    <row r="9486">
      <c r="A9486" s="1" t="s">
        <v>18100</v>
      </c>
      <c r="B9486" s="2" t="s">
        <v>17679</v>
      </c>
      <c r="C9486" s="1" t="s">
        <v>3306</v>
      </c>
      <c r="D9486" s="1" t="s">
        <v>3307</v>
      </c>
    </row>
    <row r="9487">
      <c r="A9487" s="1" t="s">
        <v>18101</v>
      </c>
      <c r="B9487" s="2" t="s">
        <v>17681</v>
      </c>
      <c r="C9487" s="1" t="s">
        <v>3306</v>
      </c>
      <c r="D9487" s="1" t="s">
        <v>3307</v>
      </c>
    </row>
    <row r="9488">
      <c r="A9488" s="1" t="s">
        <v>18102</v>
      </c>
      <c r="B9488" s="2" t="s">
        <v>17683</v>
      </c>
      <c r="C9488" s="1" t="s">
        <v>3306</v>
      </c>
      <c r="D9488" s="1" t="s">
        <v>3307</v>
      </c>
    </row>
    <row r="9489">
      <c r="A9489" s="1" t="s">
        <v>18103</v>
      </c>
      <c r="B9489" s="2" t="s">
        <v>17685</v>
      </c>
      <c r="C9489" s="1" t="s">
        <v>3306</v>
      </c>
      <c r="D9489" s="1" t="s">
        <v>3307</v>
      </c>
    </row>
    <row r="9490">
      <c r="A9490" s="1" t="s">
        <v>18104</v>
      </c>
      <c r="B9490" s="2" t="s">
        <v>17687</v>
      </c>
      <c r="C9490" s="1" t="s">
        <v>3306</v>
      </c>
      <c r="D9490" s="1" t="s">
        <v>3307</v>
      </c>
    </row>
    <row r="9491">
      <c r="A9491" s="1" t="s">
        <v>18105</v>
      </c>
      <c r="B9491" s="2" t="s">
        <v>17689</v>
      </c>
      <c r="C9491" s="1" t="s">
        <v>3306</v>
      </c>
      <c r="D9491" s="1" t="s">
        <v>3307</v>
      </c>
    </row>
    <row r="9492">
      <c r="A9492" s="1" t="s">
        <v>18106</v>
      </c>
      <c r="B9492" s="2" t="s">
        <v>17691</v>
      </c>
      <c r="C9492" s="1" t="s">
        <v>3306</v>
      </c>
      <c r="D9492" s="1" t="s">
        <v>3307</v>
      </c>
    </row>
    <row r="9493">
      <c r="A9493" s="1" t="s">
        <v>18107</v>
      </c>
      <c r="B9493" s="2" t="s">
        <v>17693</v>
      </c>
      <c r="C9493" s="1" t="s">
        <v>3306</v>
      </c>
      <c r="D9493" s="1" t="s">
        <v>3307</v>
      </c>
    </row>
    <row r="9494">
      <c r="A9494" s="1" t="s">
        <v>18108</v>
      </c>
      <c r="B9494" s="2" t="s">
        <v>17695</v>
      </c>
      <c r="C9494" s="1" t="s">
        <v>3306</v>
      </c>
      <c r="D9494" s="1" t="s">
        <v>3307</v>
      </c>
    </row>
    <row r="9495">
      <c r="A9495" s="1" t="s">
        <v>18109</v>
      </c>
      <c r="B9495" s="2" t="s">
        <v>17697</v>
      </c>
      <c r="C9495" s="1" t="s">
        <v>3306</v>
      </c>
      <c r="D9495" s="1" t="s">
        <v>3307</v>
      </c>
    </row>
    <row r="9496">
      <c r="A9496" s="1" t="s">
        <v>18110</v>
      </c>
      <c r="B9496" s="2" t="s">
        <v>17699</v>
      </c>
      <c r="C9496" s="1" t="s">
        <v>3306</v>
      </c>
      <c r="D9496" s="1" t="s">
        <v>3307</v>
      </c>
    </row>
    <row r="9497">
      <c r="A9497" s="1" t="s">
        <v>18111</v>
      </c>
      <c r="B9497" s="2" t="s">
        <v>17701</v>
      </c>
      <c r="C9497" s="1" t="s">
        <v>3306</v>
      </c>
      <c r="D9497" s="1" t="s">
        <v>3307</v>
      </c>
    </row>
    <row r="9498">
      <c r="A9498" s="1" t="s">
        <v>18112</v>
      </c>
      <c r="B9498" s="2" t="s">
        <v>17703</v>
      </c>
      <c r="C9498" s="1" t="s">
        <v>3306</v>
      </c>
      <c r="D9498" s="1" t="s">
        <v>3307</v>
      </c>
    </row>
    <row r="9499">
      <c r="A9499" s="1" t="s">
        <v>18113</v>
      </c>
      <c r="B9499" s="2" t="s">
        <v>17705</v>
      </c>
      <c r="C9499" s="1" t="s">
        <v>3306</v>
      </c>
      <c r="D9499" s="1" t="s">
        <v>3307</v>
      </c>
    </row>
    <row r="9500">
      <c r="A9500" s="1" t="s">
        <v>18114</v>
      </c>
      <c r="B9500" s="2" t="s">
        <v>17707</v>
      </c>
      <c r="C9500" s="1" t="s">
        <v>3306</v>
      </c>
      <c r="D9500" s="1" t="s">
        <v>3307</v>
      </c>
    </row>
    <row r="9501">
      <c r="A9501" s="1" t="s">
        <v>18115</v>
      </c>
      <c r="B9501" s="2" t="s">
        <v>17709</v>
      </c>
      <c r="C9501" s="1" t="s">
        <v>3306</v>
      </c>
      <c r="D9501" s="1" t="s">
        <v>3307</v>
      </c>
    </row>
    <row r="9502">
      <c r="A9502" s="1" t="s">
        <v>3312</v>
      </c>
      <c r="B9502" s="2" t="s">
        <v>7</v>
      </c>
      <c r="C9502" s="1" t="s">
        <v>3313</v>
      </c>
      <c r="D9502" s="1" t="s">
        <v>3314</v>
      </c>
    </row>
    <row r="9503">
      <c r="A9503" s="1" t="s">
        <v>18116</v>
      </c>
      <c r="B9503" s="2" t="s">
        <v>13984</v>
      </c>
      <c r="C9503" s="1" t="s">
        <v>3313</v>
      </c>
      <c r="D9503" s="1" t="s">
        <v>3314</v>
      </c>
    </row>
    <row r="9504">
      <c r="A9504" s="1" t="s">
        <v>18117</v>
      </c>
      <c r="B9504" s="2" t="s">
        <v>17598</v>
      </c>
      <c r="C9504" s="1" t="s">
        <v>3313</v>
      </c>
      <c r="D9504" s="1" t="s">
        <v>3314</v>
      </c>
    </row>
    <row r="9505">
      <c r="A9505" s="1" t="s">
        <v>18118</v>
      </c>
      <c r="B9505" s="2" t="s">
        <v>17600</v>
      </c>
      <c r="C9505" s="1" t="s">
        <v>3313</v>
      </c>
      <c r="D9505" s="1" t="s">
        <v>3314</v>
      </c>
    </row>
    <row r="9506">
      <c r="A9506" s="1" t="s">
        <v>18119</v>
      </c>
      <c r="B9506" s="2" t="s">
        <v>17602</v>
      </c>
      <c r="C9506" s="1" t="s">
        <v>3313</v>
      </c>
      <c r="D9506" s="1" t="s">
        <v>3314</v>
      </c>
    </row>
    <row r="9507">
      <c r="A9507" s="1" t="s">
        <v>18120</v>
      </c>
      <c r="B9507" s="2" t="s">
        <v>17604</v>
      </c>
      <c r="C9507" s="1" t="s">
        <v>3313</v>
      </c>
      <c r="D9507" s="1" t="s">
        <v>3314</v>
      </c>
    </row>
    <row r="9508">
      <c r="A9508" s="1" t="s">
        <v>18121</v>
      </c>
      <c r="B9508" s="2" t="s">
        <v>17606</v>
      </c>
      <c r="C9508" s="1" t="s">
        <v>3313</v>
      </c>
      <c r="D9508" s="1" t="s">
        <v>3314</v>
      </c>
    </row>
    <row r="9509">
      <c r="A9509" s="1" t="s">
        <v>18122</v>
      </c>
      <c r="B9509" s="2" t="s">
        <v>17608</v>
      </c>
      <c r="C9509" s="1" t="s">
        <v>3313</v>
      </c>
      <c r="D9509" s="1" t="s">
        <v>3314</v>
      </c>
    </row>
    <row r="9510">
      <c r="A9510" s="1" t="s">
        <v>18123</v>
      </c>
      <c r="B9510" s="2" t="s">
        <v>17610</v>
      </c>
      <c r="C9510" s="1" t="s">
        <v>3313</v>
      </c>
      <c r="D9510" s="1" t="s">
        <v>3314</v>
      </c>
    </row>
    <row r="9511">
      <c r="A9511" s="1" t="s">
        <v>18124</v>
      </c>
      <c r="B9511" s="2" t="s">
        <v>17612</v>
      </c>
      <c r="C9511" s="1" t="s">
        <v>3313</v>
      </c>
      <c r="D9511" s="1" t="s">
        <v>3314</v>
      </c>
    </row>
    <row r="9512">
      <c r="A9512" s="1" t="s">
        <v>18125</v>
      </c>
      <c r="B9512" s="2" t="s">
        <v>17614</v>
      </c>
      <c r="C9512" s="1" t="s">
        <v>3313</v>
      </c>
      <c r="D9512" s="1" t="s">
        <v>3314</v>
      </c>
    </row>
    <row r="9513">
      <c r="A9513" s="1" t="s">
        <v>18126</v>
      </c>
      <c r="B9513" s="2" t="s">
        <v>17616</v>
      </c>
      <c r="C9513" s="1" t="s">
        <v>3313</v>
      </c>
      <c r="D9513" s="1" t="s">
        <v>3314</v>
      </c>
    </row>
    <row r="9514">
      <c r="A9514" s="1" t="s">
        <v>18127</v>
      </c>
      <c r="B9514" s="2" t="s">
        <v>17618</v>
      </c>
      <c r="C9514" s="1" t="s">
        <v>3313</v>
      </c>
      <c r="D9514" s="1" t="s">
        <v>3314</v>
      </c>
    </row>
    <row r="9515">
      <c r="A9515" s="1" t="s">
        <v>18128</v>
      </c>
      <c r="B9515" s="2" t="s">
        <v>17620</v>
      </c>
      <c r="C9515" s="1" t="s">
        <v>3313</v>
      </c>
      <c r="D9515" s="1" t="s">
        <v>3314</v>
      </c>
    </row>
    <row r="9516">
      <c r="A9516" s="1" t="s">
        <v>18129</v>
      </c>
      <c r="B9516" s="2" t="s">
        <v>17622</v>
      </c>
      <c r="C9516" s="1" t="s">
        <v>3313</v>
      </c>
      <c r="D9516" s="1" t="s">
        <v>3314</v>
      </c>
    </row>
    <row r="9517">
      <c r="A9517" s="1" t="s">
        <v>18130</v>
      </c>
      <c r="B9517" s="2" t="s">
        <v>17624</v>
      </c>
      <c r="C9517" s="1" t="s">
        <v>3313</v>
      </c>
      <c r="D9517" s="1" t="s">
        <v>3314</v>
      </c>
    </row>
    <row r="9518">
      <c r="A9518" s="1" t="s">
        <v>18131</v>
      </c>
      <c r="B9518" s="2" t="s">
        <v>17626</v>
      </c>
      <c r="C9518" s="1" t="s">
        <v>3313</v>
      </c>
      <c r="D9518" s="1" t="s">
        <v>3314</v>
      </c>
    </row>
    <row r="9519">
      <c r="A9519" s="1" t="s">
        <v>18132</v>
      </c>
      <c r="B9519" s="2" t="s">
        <v>17628</v>
      </c>
      <c r="C9519" s="1" t="s">
        <v>3313</v>
      </c>
      <c r="D9519" s="1" t="s">
        <v>3314</v>
      </c>
    </row>
    <row r="9520">
      <c r="A9520" s="1" t="s">
        <v>18133</v>
      </c>
      <c r="B9520" s="2" t="s">
        <v>17630</v>
      </c>
      <c r="C9520" s="1" t="s">
        <v>3313</v>
      </c>
      <c r="D9520" s="1" t="s">
        <v>3314</v>
      </c>
    </row>
    <row r="9521">
      <c r="A9521" s="1" t="s">
        <v>18134</v>
      </c>
      <c r="B9521" s="2" t="s">
        <v>17632</v>
      </c>
      <c r="C9521" s="1" t="s">
        <v>3313</v>
      </c>
      <c r="D9521" s="1" t="s">
        <v>3314</v>
      </c>
    </row>
    <row r="9522">
      <c r="A9522" s="1" t="s">
        <v>18135</v>
      </c>
      <c r="B9522" s="2" t="s">
        <v>17634</v>
      </c>
      <c r="C9522" s="1" t="s">
        <v>3313</v>
      </c>
      <c r="D9522" s="1" t="s">
        <v>3314</v>
      </c>
    </row>
    <row r="9523">
      <c r="A9523" s="1" t="s">
        <v>18136</v>
      </c>
      <c r="B9523" s="2" t="s">
        <v>17636</v>
      </c>
      <c r="C9523" s="1" t="s">
        <v>3313</v>
      </c>
      <c r="D9523" s="1" t="s">
        <v>3314</v>
      </c>
    </row>
    <row r="9524">
      <c r="A9524" s="1" t="s">
        <v>18137</v>
      </c>
      <c r="B9524" s="2" t="s">
        <v>17638</v>
      </c>
      <c r="C9524" s="1" t="s">
        <v>3313</v>
      </c>
      <c r="D9524" s="1" t="s">
        <v>3314</v>
      </c>
    </row>
    <row r="9525">
      <c r="A9525" s="1" t="s">
        <v>18138</v>
      </c>
      <c r="B9525" s="2" t="s">
        <v>17640</v>
      </c>
      <c r="C9525" s="1" t="s">
        <v>3313</v>
      </c>
      <c r="D9525" s="1" t="s">
        <v>3314</v>
      </c>
    </row>
    <row r="9526">
      <c r="A9526" s="1" t="s">
        <v>18139</v>
      </c>
      <c r="B9526" s="2" t="s">
        <v>17642</v>
      </c>
      <c r="C9526" s="1" t="s">
        <v>3313</v>
      </c>
      <c r="D9526" s="1" t="s">
        <v>3314</v>
      </c>
    </row>
    <row r="9527">
      <c r="A9527" s="1" t="s">
        <v>18140</v>
      </c>
      <c r="B9527" s="2" t="s">
        <v>17644</v>
      </c>
      <c r="C9527" s="1" t="s">
        <v>3313</v>
      </c>
      <c r="D9527" s="1" t="s">
        <v>3314</v>
      </c>
    </row>
    <row r="9528">
      <c r="A9528" s="1" t="s">
        <v>18141</v>
      </c>
      <c r="B9528" s="2" t="s">
        <v>17646</v>
      </c>
      <c r="C9528" s="1" t="s">
        <v>3313</v>
      </c>
      <c r="D9528" s="1" t="s">
        <v>3314</v>
      </c>
    </row>
    <row r="9529">
      <c r="A9529" s="1" t="s">
        <v>18142</v>
      </c>
      <c r="B9529" s="2" t="s">
        <v>17648</v>
      </c>
      <c r="C9529" s="1" t="s">
        <v>3313</v>
      </c>
      <c r="D9529" s="1" t="s">
        <v>3314</v>
      </c>
    </row>
    <row r="9530">
      <c r="A9530" s="1" t="s">
        <v>18143</v>
      </c>
      <c r="B9530" s="2" t="s">
        <v>17650</v>
      </c>
      <c r="C9530" s="1" t="s">
        <v>3313</v>
      </c>
      <c r="D9530" s="1" t="s">
        <v>3314</v>
      </c>
    </row>
    <row r="9531">
      <c r="A9531" s="1" t="s">
        <v>18144</v>
      </c>
      <c r="B9531" s="2" t="s">
        <v>17652</v>
      </c>
      <c r="C9531" s="1" t="s">
        <v>3313</v>
      </c>
      <c r="D9531" s="1" t="s">
        <v>3314</v>
      </c>
    </row>
    <row r="9532">
      <c r="A9532" s="1" t="s">
        <v>18145</v>
      </c>
      <c r="B9532" s="2" t="s">
        <v>13994</v>
      </c>
      <c r="C9532" s="1" t="s">
        <v>3313</v>
      </c>
      <c r="D9532" s="1" t="s">
        <v>3314</v>
      </c>
    </row>
    <row r="9533">
      <c r="A9533" s="1" t="s">
        <v>18146</v>
      </c>
      <c r="B9533" s="2" t="s">
        <v>17655</v>
      </c>
      <c r="C9533" s="1" t="s">
        <v>3313</v>
      </c>
      <c r="D9533" s="1" t="s">
        <v>3314</v>
      </c>
    </row>
    <row r="9534">
      <c r="A9534" s="1" t="s">
        <v>18147</v>
      </c>
      <c r="B9534" s="2" t="s">
        <v>17657</v>
      </c>
      <c r="C9534" s="1" t="s">
        <v>3313</v>
      </c>
      <c r="D9534" s="1" t="s">
        <v>3314</v>
      </c>
    </row>
    <row r="9535">
      <c r="A9535" s="1" t="s">
        <v>18148</v>
      </c>
      <c r="B9535" s="2" t="s">
        <v>17659</v>
      </c>
      <c r="C9535" s="1" t="s">
        <v>3313</v>
      </c>
      <c r="D9535" s="1" t="s">
        <v>3314</v>
      </c>
    </row>
    <row r="9536">
      <c r="A9536" s="1" t="s">
        <v>18149</v>
      </c>
      <c r="B9536" s="2" t="s">
        <v>17661</v>
      </c>
      <c r="C9536" s="1" t="s">
        <v>3313</v>
      </c>
      <c r="D9536" s="1" t="s">
        <v>3314</v>
      </c>
    </row>
    <row r="9537">
      <c r="A9537" s="1" t="s">
        <v>18150</v>
      </c>
      <c r="B9537" s="2" t="s">
        <v>17663</v>
      </c>
      <c r="C9537" s="1" t="s">
        <v>3313</v>
      </c>
      <c r="D9537" s="1" t="s">
        <v>3314</v>
      </c>
    </row>
    <row r="9538">
      <c r="A9538" s="1" t="s">
        <v>18151</v>
      </c>
      <c r="B9538" s="2" t="s">
        <v>17665</v>
      </c>
      <c r="C9538" s="1" t="s">
        <v>3313</v>
      </c>
      <c r="D9538" s="1" t="s">
        <v>3314</v>
      </c>
    </row>
    <row r="9539">
      <c r="A9539" s="1" t="s">
        <v>18152</v>
      </c>
      <c r="B9539" s="2" t="s">
        <v>17667</v>
      </c>
      <c r="C9539" s="1" t="s">
        <v>3313</v>
      </c>
      <c r="D9539" s="1" t="s">
        <v>3314</v>
      </c>
    </row>
    <row r="9540">
      <c r="A9540" s="1" t="s">
        <v>18153</v>
      </c>
      <c r="B9540" s="2" t="s">
        <v>17669</v>
      </c>
      <c r="C9540" s="1" t="s">
        <v>3313</v>
      </c>
      <c r="D9540" s="1" t="s">
        <v>3314</v>
      </c>
    </row>
    <row r="9541">
      <c r="A9541" s="1" t="s">
        <v>18154</v>
      </c>
      <c r="B9541" s="2" t="s">
        <v>17671</v>
      </c>
      <c r="C9541" s="1" t="s">
        <v>3313</v>
      </c>
      <c r="D9541" s="1" t="s">
        <v>3314</v>
      </c>
    </row>
    <row r="9542">
      <c r="A9542" s="1" t="s">
        <v>18155</v>
      </c>
      <c r="B9542" s="2" t="s">
        <v>17673</v>
      </c>
      <c r="C9542" s="1" t="s">
        <v>3313</v>
      </c>
      <c r="D9542" s="1" t="s">
        <v>3314</v>
      </c>
    </row>
    <row r="9543">
      <c r="A9543" s="1" t="s">
        <v>18156</v>
      </c>
      <c r="B9543" s="2" t="s">
        <v>17675</v>
      </c>
      <c r="C9543" s="1" t="s">
        <v>3313</v>
      </c>
      <c r="D9543" s="1" t="s">
        <v>3314</v>
      </c>
    </row>
    <row r="9544">
      <c r="A9544" s="1" t="s">
        <v>18157</v>
      </c>
      <c r="B9544" s="2" t="s">
        <v>17677</v>
      </c>
      <c r="C9544" s="1" t="s">
        <v>3313</v>
      </c>
      <c r="D9544" s="1" t="s">
        <v>3314</v>
      </c>
    </row>
    <row r="9545">
      <c r="A9545" s="1" t="s">
        <v>18158</v>
      </c>
      <c r="B9545" s="2" t="s">
        <v>17679</v>
      </c>
      <c r="C9545" s="1" t="s">
        <v>3313</v>
      </c>
      <c r="D9545" s="1" t="s">
        <v>3314</v>
      </c>
    </row>
    <row r="9546">
      <c r="A9546" s="1" t="s">
        <v>18159</v>
      </c>
      <c r="B9546" s="2" t="s">
        <v>17681</v>
      </c>
      <c r="C9546" s="1" t="s">
        <v>3313</v>
      </c>
      <c r="D9546" s="1" t="s">
        <v>3314</v>
      </c>
    </row>
    <row r="9547">
      <c r="A9547" s="1" t="s">
        <v>18160</v>
      </c>
      <c r="B9547" s="2" t="s">
        <v>17683</v>
      </c>
      <c r="C9547" s="1" t="s">
        <v>3313</v>
      </c>
      <c r="D9547" s="1" t="s">
        <v>3314</v>
      </c>
    </row>
    <row r="9548">
      <c r="A9548" s="1" t="s">
        <v>18161</v>
      </c>
      <c r="B9548" s="2" t="s">
        <v>17685</v>
      </c>
      <c r="C9548" s="1" t="s">
        <v>3313</v>
      </c>
      <c r="D9548" s="1" t="s">
        <v>3314</v>
      </c>
    </row>
    <row r="9549">
      <c r="A9549" s="1" t="s">
        <v>18162</v>
      </c>
      <c r="B9549" s="2" t="s">
        <v>17687</v>
      </c>
      <c r="C9549" s="1" t="s">
        <v>3313</v>
      </c>
      <c r="D9549" s="1" t="s">
        <v>3314</v>
      </c>
    </row>
    <row r="9550">
      <c r="A9550" s="1" t="s">
        <v>18163</v>
      </c>
      <c r="B9550" s="2" t="s">
        <v>17689</v>
      </c>
      <c r="C9550" s="1" t="s">
        <v>3313</v>
      </c>
      <c r="D9550" s="1" t="s">
        <v>3314</v>
      </c>
    </row>
    <row r="9551">
      <c r="A9551" s="1" t="s">
        <v>18164</v>
      </c>
      <c r="B9551" s="2" t="s">
        <v>17691</v>
      </c>
      <c r="C9551" s="1" t="s">
        <v>3313</v>
      </c>
      <c r="D9551" s="1" t="s">
        <v>3314</v>
      </c>
    </row>
    <row r="9552">
      <c r="A9552" s="1" t="s">
        <v>18165</v>
      </c>
      <c r="B9552" s="2" t="s">
        <v>17693</v>
      </c>
      <c r="C9552" s="1" t="s">
        <v>3313</v>
      </c>
      <c r="D9552" s="1" t="s">
        <v>3314</v>
      </c>
    </row>
    <row r="9553">
      <c r="A9553" s="1" t="s">
        <v>18166</v>
      </c>
      <c r="B9553" s="2" t="s">
        <v>17695</v>
      </c>
      <c r="C9553" s="1" t="s">
        <v>3313</v>
      </c>
      <c r="D9553" s="1" t="s">
        <v>3314</v>
      </c>
    </row>
    <row r="9554">
      <c r="A9554" s="1" t="s">
        <v>18167</v>
      </c>
      <c r="B9554" s="2" t="s">
        <v>17697</v>
      </c>
      <c r="C9554" s="1" t="s">
        <v>3313</v>
      </c>
      <c r="D9554" s="1" t="s">
        <v>3314</v>
      </c>
    </row>
    <row r="9555">
      <c r="A9555" s="1" t="s">
        <v>18168</v>
      </c>
      <c r="B9555" s="2" t="s">
        <v>17699</v>
      </c>
      <c r="C9555" s="1" t="s">
        <v>3313</v>
      </c>
      <c r="D9555" s="1" t="s">
        <v>3314</v>
      </c>
    </row>
    <row r="9556">
      <c r="A9556" s="1" t="s">
        <v>18169</v>
      </c>
      <c r="B9556" s="2" t="s">
        <v>17701</v>
      </c>
      <c r="C9556" s="1" t="s">
        <v>3313</v>
      </c>
      <c r="D9556" s="1" t="s">
        <v>3314</v>
      </c>
    </row>
    <row r="9557">
      <c r="A9557" s="1" t="s">
        <v>18170</v>
      </c>
      <c r="B9557" s="2" t="s">
        <v>17703</v>
      </c>
      <c r="C9557" s="1" t="s">
        <v>3313</v>
      </c>
      <c r="D9557" s="1" t="s">
        <v>3314</v>
      </c>
    </row>
    <row r="9558">
      <c r="A9558" s="1" t="s">
        <v>18171</v>
      </c>
      <c r="B9558" s="2" t="s">
        <v>17705</v>
      </c>
      <c r="C9558" s="1" t="s">
        <v>3313</v>
      </c>
      <c r="D9558" s="1" t="s">
        <v>3314</v>
      </c>
    </row>
    <row r="9559">
      <c r="A9559" s="1" t="s">
        <v>18172</v>
      </c>
      <c r="B9559" s="2" t="s">
        <v>17707</v>
      </c>
      <c r="C9559" s="1" t="s">
        <v>3313</v>
      </c>
      <c r="D9559" s="1" t="s">
        <v>3314</v>
      </c>
    </row>
    <row r="9560">
      <c r="A9560" s="1" t="s">
        <v>18173</v>
      </c>
      <c r="B9560" s="2" t="s">
        <v>17709</v>
      </c>
      <c r="C9560" s="1" t="s">
        <v>3313</v>
      </c>
      <c r="D9560" s="1" t="s">
        <v>3314</v>
      </c>
    </row>
    <row r="9561">
      <c r="A9561" s="1" t="s">
        <v>3249</v>
      </c>
      <c r="B9561" s="2" t="s">
        <v>7</v>
      </c>
      <c r="C9561" s="1" t="s">
        <v>3250</v>
      </c>
      <c r="D9561" s="1" t="s">
        <v>3251</v>
      </c>
    </row>
    <row r="9562">
      <c r="A9562" s="1" t="s">
        <v>18174</v>
      </c>
      <c r="B9562" s="2" t="s">
        <v>13984</v>
      </c>
      <c r="C9562" s="1" t="s">
        <v>3250</v>
      </c>
      <c r="D9562" s="1" t="s">
        <v>3251</v>
      </c>
    </row>
    <row r="9563">
      <c r="A9563" s="1" t="s">
        <v>18175</v>
      </c>
      <c r="B9563" s="2" t="s">
        <v>17598</v>
      </c>
      <c r="C9563" s="1" t="s">
        <v>3250</v>
      </c>
      <c r="D9563" s="1" t="s">
        <v>3251</v>
      </c>
    </row>
    <row r="9564">
      <c r="A9564" s="1" t="s">
        <v>18176</v>
      </c>
      <c r="B9564" s="2" t="s">
        <v>17600</v>
      </c>
      <c r="C9564" s="1" t="s">
        <v>3250</v>
      </c>
      <c r="D9564" s="1" t="s">
        <v>3251</v>
      </c>
    </row>
    <row r="9565">
      <c r="A9565" s="1" t="s">
        <v>18177</v>
      </c>
      <c r="B9565" s="2" t="s">
        <v>17602</v>
      </c>
      <c r="C9565" s="1" t="s">
        <v>3250</v>
      </c>
      <c r="D9565" s="1" t="s">
        <v>3251</v>
      </c>
    </row>
    <row r="9566">
      <c r="A9566" s="1" t="s">
        <v>18178</v>
      </c>
      <c r="B9566" s="2" t="s">
        <v>17604</v>
      </c>
      <c r="C9566" s="1" t="s">
        <v>3250</v>
      </c>
      <c r="D9566" s="1" t="s">
        <v>3251</v>
      </c>
    </row>
    <row r="9567">
      <c r="A9567" s="1" t="s">
        <v>18179</v>
      </c>
      <c r="B9567" s="2" t="s">
        <v>17606</v>
      </c>
      <c r="C9567" s="1" t="s">
        <v>3250</v>
      </c>
      <c r="D9567" s="1" t="s">
        <v>3251</v>
      </c>
    </row>
    <row r="9568">
      <c r="A9568" s="1" t="s">
        <v>18180</v>
      </c>
      <c r="B9568" s="2" t="s">
        <v>17608</v>
      </c>
      <c r="C9568" s="1" t="s">
        <v>3250</v>
      </c>
      <c r="D9568" s="1" t="s">
        <v>3251</v>
      </c>
    </row>
    <row r="9569">
      <c r="A9569" s="1" t="s">
        <v>18181</v>
      </c>
      <c r="B9569" s="2" t="s">
        <v>17610</v>
      </c>
      <c r="C9569" s="1" t="s">
        <v>3250</v>
      </c>
      <c r="D9569" s="1" t="s">
        <v>3251</v>
      </c>
    </row>
    <row r="9570">
      <c r="A9570" s="1" t="s">
        <v>18182</v>
      </c>
      <c r="B9570" s="2" t="s">
        <v>17612</v>
      </c>
      <c r="C9570" s="1" t="s">
        <v>3250</v>
      </c>
      <c r="D9570" s="1" t="s">
        <v>3251</v>
      </c>
    </row>
    <row r="9571">
      <c r="A9571" s="1" t="s">
        <v>18183</v>
      </c>
      <c r="B9571" s="2" t="s">
        <v>17614</v>
      </c>
      <c r="C9571" s="1" t="s">
        <v>3250</v>
      </c>
      <c r="D9571" s="1" t="s">
        <v>3251</v>
      </c>
    </row>
    <row r="9572">
      <c r="A9572" s="1" t="s">
        <v>18184</v>
      </c>
      <c r="B9572" s="2" t="s">
        <v>17616</v>
      </c>
      <c r="C9572" s="1" t="s">
        <v>3250</v>
      </c>
      <c r="D9572" s="1" t="s">
        <v>3251</v>
      </c>
    </row>
    <row r="9573">
      <c r="A9573" s="1" t="s">
        <v>18185</v>
      </c>
      <c r="B9573" s="2" t="s">
        <v>17618</v>
      </c>
      <c r="C9573" s="1" t="s">
        <v>3250</v>
      </c>
      <c r="D9573" s="1" t="s">
        <v>3251</v>
      </c>
    </row>
    <row r="9574">
      <c r="A9574" s="1" t="s">
        <v>18186</v>
      </c>
      <c r="B9574" s="2" t="s">
        <v>17620</v>
      </c>
      <c r="C9574" s="1" t="s">
        <v>3250</v>
      </c>
      <c r="D9574" s="1" t="s">
        <v>3251</v>
      </c>
    </row>
    <row r="9575">
      <c r="A9575" s="1" t="s">
        <v>18187</v>
      </c>
      <c r="B9575" s="2" t="s">
        <v>17622</v>
      </c>
      <c r="C9575" s="1" t="s">
        <v>3250</v>
      </c>
      <c r="D9575" s="1" t="s">
        <v>3251</v>
      </c>
    </row>
    <row r="9576">
      <c r="A9576" s="1" t="s">
        <v>18188</v>
      </c>
      <c r="B9576" s="2" t="s">
        <v>17624</v>
      </c>
      <c r="C9576" s="1" t="s">
        <v>3250</v>
      </c>
      <c r="D9576" s="1" t="s">
        <v>3251</v>
      </c>
    </row>
    <row r="9577">
      <c r="A9577" s="1" t="s">
        <v>18189</v>
      </c>
      <c r="B9577" s="2" t="s">
        <v>17626</v>
      </c>
      <c r="C9577" s="1" t="s">
        <v>3250</v>
      </c>
      <c r="D9577" s="1" t="s">
        <v>3251</v>
      </c>
    </row>
    <row r="9578">
      <c r="A9578" s="1" t="s">
        <v>18190</v>
      </c>
      <c r="B9578" s="2" t="s">
        <v>17628</v>
      </c>
      <c r="C9578" s="1" t="s">
        <v>3250</v>
      </c>
      <c r="D9578" s="1" t="s">
        <v>3251</v>
      </c>
    </row>
    <row r="9579">
      <c r="A9579" s="1" t="s">
        <v>18191</v>
      </c>
      <c r="B9579" s="2" t="s">
        <v>17630</v>
      </c>
      <c r="C9579" s="1" t="s">
        <v>3250</v>
      </c>
      <c r="D9579" s="1" t="s">
        <v>3251</v>
      </c>
    </row>
    <row r="9580">
      <c r="A9580" s="1" t="s">
        <v>18192</v>
      </c>
      <c r="B9580" s="2" t="s">
        <v>17632</v>
      </c>
      <c r="C9580" s="1" t="s">
        <v>3250</v>
      </c>
      <c r="D9580" s="1" t="s">
        <v>3251</v>
      </c>
    </row>
    <row r="9581">
      <c r="A9581" s="1" t="s">
        <v>18193</v>
      </c>
      <c r="B9581" s="2" t="s">
        <v>17634</v>
      </c>
      <c r="C9581" s="1" t="s">
        <v>3250</v>
      </c>
      <c r="D9581" s="1" t="s">
        <v>3251</v>
      </c>
    </row>
    <row r="9582">
      <c r="A9582" s="1" t="s">
        <v>18194</v>
      </c>
      <c r="B9582" s="2" t="s">
        <v>17636</v>
      </c>
      <c r="C9582" s="1" t="s">
        <v>3250</v>
      </c>
      <c r="D9582" s="1" t="s">
        <v>3251</v>
      </c>
    </row>
    <row r="9583">
      <c r="A9583" s="1" t="s">
        <v>18195</v>
      </c>
      <c r="B9583" s="2" t="s">
        <v>17638</v>
      </c>
      <c r="C9583" s="1" t="s">
        <v>3250</v>
      </c>
      <c r="D9583" s="1" t="s">
        <v>3251</v>
      </c>
    </row>
    <row r="9584">
      <c r="A9584" s="1" t="s">
        <v>18196</v>
      </c>
      <c r="B9584" s="2" t="s">
        <v>17640</v>
      </c>
      <c r="C9584" s="1" t="s">
        <v>3250</v>
      </c>
      <c r="D9584" s="1" t="s">
        <v>3251</v>
      </c>
    </row>
    <row r="9585">
      <c r="A9585" s="1" t="s">
        <v>18197</v>
      </c>
      <c r="B9585" s="2" t="s">
        <v>17642</v>
      </c>
      <c r="C9585" s="1" t="s">
        <v>3250</v>
      </c>
      <c r="D9585" s="1" t="s">
        <v>3251</v>
      </c>
    </row>
    <row r="9586">
      <c r="A9586" s="1" t="s">
        <v>18198</v>
      </c>
      <c r="B9586" s="2" t="s">
        <v>17644</v>
      </c>
      <c r="C9586" s="1" t="s">
        <v>3250</v>
      </c>
      <c r="D9586" s="1" t="s">
        <v>3251</v>
      </c>
    </row>
    <row r="9587">
      <c r="A9587" s="1" t="s">
        <v>18199</v>
      </c>
      <c r="B9587" s="2" t="s">
        <v>17646</v>
      </c>
      <c r="C9587" s="1" t="s">
        <v>3250</v>
      </c>
      <c r="D9587" s="1" t="s">
        <v>3251</v>
      </c>
    </row>
    <row r="9588">
      <c r="A9588" s="1" t="s">
        <v>18200</v>
      </c>
      <c r="B9588" s="2" t="s">
        <v>17648</v>
      </c>
      <c r="C9588" s="1" t="s">
        <v>3250</v>
      </c>
      <c r="D9588" s="1" t="s">
        <v>3251</v>
      </c>
    </row>
    <row r="9589">
      <c r="A9589" s="1" t="s">
        <v>18201</v>
      </c>
      <c r="B9589" s="2" t="s">
        <v>17650</v>
      </c>
      <c r="C9589" s="1" t="s">
        <v>3250</v>
      </c>
      <c r="D9589" s="1" t="s">
        <v>3251</v>
      </c>
    </row>
    <row r="9590">
      <c r="A9590" s="1" t="s">
        <v>18202</v>
      </c>
      <c r="B9590" s="2" t="s">
        <v>17652</v>
      </c>
      <c r="C9590" s="1" t="s">
        <v>3250</v>
      </c>
      <c r="D9590" s="1" t="s">
        <v>3251</v>
      </c>
    </row>
    <row r="9591">
      <c r="A9591" s="1" t="s">
        <v>18203</v>
      </c>
      <c r="B9591" s="2" t="s">
        <v>13994</v>
      </c>
      <c r="C9591" s="1" t="s">
        <v>3250</v>
      </c>
      <c r="D9591" s="1" t="s">
        <v>3251</v>
      </c>
    </row>
    <row r="9592">
      <c r="A9592" s="1" t="s">
        <v>18204</v>
      </c>
      <c r="B9592" s="2" t="s">
        <v>17655</v>
      </c>
      <c r="C9592" s="1" t="s">
        <v>3250</v>
      </c>
      <c r="D9592" s="1" t="s">
        <v>3251</v>
      </c>
    </row>
    <row r="9593">
      <c r="A9593" s="1" t="s">
        <v>18205</v>
      </c>
      <c r="B9593" s="2" t="s">
        <v>17657</v>
      </c>
      <c r="C9593" s="1" t="s">
        <v>3250</v>
      </c>
      <c r="D9593" s="1" t="s">
        <v>3251</v>
      </c>
    </row>
    <row r="9594">
      <c r="A9594" s="1" t="s">
        <v>18206</v>
      </c>
      <c r="B9594" s="2" t="s">
        <v>17659</v>
      </c>
      <c r="C9594" s="1" t="s">
        <v>3250</v>
      </c>
      <c r="D9594" s="1" t="s">
        <v>3251</v>
      </c>
    </row>
    <row r="9595">
      <c r="A9595" s="1" t="s">
        <v>18207</v>
      </c>
      <c r="B9595" s="2" t="s">
        <v>17661</v>
      </c>
      <c r="C9595" s="1" t="s">
        <v>3250</v>
      </c>
      <c r="D9595" s="1" t="s">
        <v>3251</v>
      </c>
    </row>
    <row r="9596">
      <c r="A9596" s="1" t="s">
        <v>18208</v>
      </c>
      <c r="B9596" s="2" t="s">
        <v>17663</v>
      </c>
      <c r="C9596" s="1" t="s">
        <v>3250</v>
      </c>
      <c r="D9596" s="1" t="s">
        <v>3251</v>
      </c>
    </row>
    <row r="9597">
      <c r="A9597" s="1" t="s">
        <v>18209</v>
      </c>
      <c r="B9597" s="2" t="s">
        <v>17665</v>
      </c>
      <c r="C9597" s="1" t="s">
        <v>3250</v>
      </c>
      <c r="D9597" s="1" t="s">
        <v>3251</v>
      </c>
    </row>
    <row r="9598">
      <c r="A9598" s="1" t="s">
        <v>18210</v>
      </c>
      <c r="B9598" s="2" t="s">
        <v>17667</v>
      </c>
      <c r="C9598" s="1" t="s">
        <v>3250</v>
      </c>
      <c r="D9598" s="1" t="s">
        <v>3251</v>
      </c>
    </row>
    <row r="9599">
      <c r="A9599" s="1" t="s">
        <v>18211</v>
      </c>
      <c r="B9599" s="2" t="s">
        <v>17669</v>
      </c>
      <c r="C9599" s="1" t="s">
        <v>3250</v>
      </c>
      <c r="D9599" s="1" t="s">
        <v>3251</v>
      </c>
    </row>
    <row r="9600">
      <c r="A9600" s="1" t="s">
        <v>18212</v>
      </c>
      <c r="B9600" s="2" t="s">
        <v>17671</v>
      </c>
      <c r="C9600" s="1" t="s">
        <v>3250</v>
      </c>
      <c r="D9600" s="1" t="s">
        <v>3251</v>
      </c>
    </row>
    <row r="9601">
      <c r="A9601" s="1" t="s">
        <v>18213</v>
      </c>
      <c r="B9601" s="2" t="s">
        <v>17673</v>
      </c>
      <c r="C9601" s="1" t="s">
        <v>3250</v>
      </c>
      <c r="D9601" s="1" t="s">
        <v>3251</v>
      </c>
    </row>
    <row r="9602">
      <c r="A9602" s="1" t="s">
        <v>18214</v>
      </c>
      <c r="B9602" s="2" t="s">
        <v>17675</v>
      </c>
      <c r="C9602" s="1" t="s">
        <v>3250</v>
      </c>
      <c r="D9602" s="1" t="s">
        <v>3251</v>
      </c>
    </row>
    <row r="9603">
      <c r="A9603" s="1" t="s">
        <v>18215</v>
      </c>
      <c r="B9603" s="2" t="s">
        <v>17677</v>
      </c>
      <c r="C9603" s="1" t="s">
        <v>3250</v>
      </c>
      <c r="D9603" s="1" t="s">
        <v>3251</v>
      </c>
    </row>
    <row r="9604">
      <c r="A9604" s="1" t="s">
        <v>18216</v>
      </c>
      <c r="B9604" s="2" t="s">
        <v>17679</v>
      </c>
      <c r="C9604" s="1" t="s">
        <v>3250</v>
      </c>
      <c r="D9604" s="1" t="s">
        <v>3251</v>
      </c>
    </row>
    <row r="9605">
      <c r="A9605" s="1" t="s">
        <v>18217</v>
      </c>
      <c r="B9605" s="2" t="s">
        <v>17681</v>
      </c>
      <c r="C9605" s="1" t="s">
        <v>3250</v>
      </c>
      <c r="D9605" s="1" t="s">
        <v>3251</v>
      </c>
    </row>
    <row r="9606">
      <c r="A9606" s="1" t="s">
        <v>18218</v>
      </c>
      <c r="B9606" s="2" t="s">
        <v>17683</v>
      </c>
      <c r="C9606" s="1" t="s">
        <v>3250</v>
      </c>
      <c r="D9606" s="1" t="s">
        <v>3251</v>
      </c>
    </row>
    <row r="9607">
      <c r="A9607" s="1" t="s">
        <v>18219</v>
      </c>
      <c r="B9607" s="2" t="s">
        <v>17685</v>
      </c>
      <c r="C9607" s="1" t="s">
        <v>3250</v>
      </c>
      <c r="D9607" s="1" t="s">
        <v>3251</v>
      </c>
    </row>
    <row r="9608">
      <c r="A9608" s="1" t="s">
        <v>18220</v>
      </c>
      <c r="B9608" s="2" t="s">
        <v>17687</v>
      </c>
      <c r="C9608" s="1" t="s">
        <v>3250</v>
      </c>
      <c r="D9608" s="1" t="s">
        <v>3251</v>
      </c>
    </row>
    <row r="9609">
      <c r="A9609" s="1" t="s">
        <v>18221</v>
      </c>
      <c r="B9609" s="2" t="s">
        <v>17689</v>
      </c>
      <c r="C9609" s="1" t="s">
        <v>3250</v>
      </c>
      <c r="D9609" s="1" t="s">
        <v>3251</v>
      </c>
    </row>
    <row r="9610">
      <c r="A9610" s="1" t="s">
        <v>18222</v>
      </c>
      <c r="B9610" s="2" t="s">
        <v>17691</v>
      </c>
      <c r="C9610" s="1" t="s">
        <v>3250</v>
      </c>
      <c r="D9610" s="1" t="s">
        <v>3251</v>
      </c>
    </row>
    <row r="9611">
      <c r="A9611" s="1" t="s">
        <v>18223</v>
      </c>
      <c r="B9611" s="2" t="s">
        <v>17693</v>
      </c>
      <c r="C9611" s="1" t="s">
        <v>3250</v>
      </c>
      <c r="D9611" s="1" t="s">
        <v>3251</v>
      </c>
    </row>
    <row r="9612">
      <c r="A9612" s="1" t="s">
        <v>18224</v>
      </c>
      <c r="B9612" s="2" t="s">
        <v>17695</v>
      </c>
      <c r="C9612" s="1" t="s">
        <v>3250</v>
      </c>
      <c r="D9612" s="1" t="s">
        <v>3251</v>
      </c>
    </row>
    <row r="9613">
      <c r="A9613" s="1" t="s">
        <v>18225</v>
      </c>
      <c r="B9613" s="2" t="s">
        <v>17697</v>
      </c>
      <c r="C9613" s="1" t="s">
        <v>3250</v>
      </c>
      <c r="D9613" s="1" t="s">
        <v>3251</v>
      </c>
    </row>
    <row r="9614">
      <c r="A9614" s="1" t="s">
        <v>18226</v>
      </c>
      <c r="B9614" s="2" t="s">
        <v>17699</v>
      </c>
      <c r="C9614" s="1" t="s">
        <v>3250</v>
      </c>
      <c r="D9614" s="1" t="s">
        <v>3251</v>
      </c>
    </row>
    <row r="9615">
      <c r="A9615" s="1" t="s">
        <v>18227</v>
      </c>
      <c r="B9615" s="2" t="s">
        <v>17701</v>
      </c>
      <c r="C9615" s="1" t="s">
        <v>3250</v>
      </c>
      <c r="D9615" s="1" t="s">
        <v>3251</v>
      </c>
    </row>
    <row r="9616">
      <c r="A9616" s="1" t="s">
        <v>18228</v>
      </c>
      <c r="B9616" s="2" t="s">
        <v>17703</v>
      </c>
      <c r="C9616" s="1" t="s">
        <v>3250</v>
      </c>
      <c r="D9616" s="1" t="s">
        <v>3251</v>
      </c>
    </row>
    <row r="9617">
      <c r="A9617" s="1" t="s">
        <v>18229</v>
      </c>
      <c r="B9617" s="2" t="s">
        <v>17705</v>
      </c>
      <c r="C9617" s="1" t="s">
        <v>3250</v>
      </c>
      <c r="D9617" s="1" t="s">
        <v>3251</v>
      </c>
    </row>
    <row r="9618">
      <c r="A9618" s="1" t="s">
        <v>18230</v>
      </c>
      <c r="B9618" s="2" t="s">
        <v>17707</v>
      </c>
      <c r="C9618" s="1" t="s">
        <v>3250</v>
      </c>
      <c r="D9618" s="1" t="s">
        <v>3251</v>
      </c>
    </row>
    <row r="9619">
      <c r="A9619" s="1" t="s">
        <v>18231</v>
      </c>
      <c r="B9619" s="2" t="s">
        <v>17709</v>
      </c>
      <c r="C9619" s="1" t="s">
        <v>3250</v>
      </c>
      <c r="D9619" s="1" t="s">
        <v>3251</v>
      </c>
    </row>
    <row r="9620">
      <c r="A9620" s="1" t="s">
        <v>3317</v>
      </c>
      <c r="B9620" s="2" t="s">
        <v>7</v>
      </c>
      <c r="C9620" s="1" t="s">
        <v>3319</v>
      </c>
      <c r="D9620" s="1" t="s">
        <v>3320</v>
      </c>
    </row>
    <row r="9621">
      <c r="A9621" s="1" t="s">
        <v>18232</v>
      </c>
      <c r="B9621" s="2" t="s">
        <v>13984</v>
      </c>
      <c r="C9621" s="1" t="s">
        <v>3319</v>
      </c>
      <c r="D9621" s="1" t="s">
        <v>3320</v>
      </c>
    </row>
    <row r="9622">
      <c r="A9622" s="1" t="s">
        <v>18233</v>
      </c>
      <c r="B9622" s="2" t="s">
        <v>17598</v>
      </c>
      <c r="C9622" s="1" t="s">
        <v>3319</v>
      </c>
      <c r="D9622" s="1" t="s">
        <v>3320</v>
      </c>
    </row>
    <row r="9623">
      <c r="A9623" s="1" t="s">
        <v>18234</v>
      </c>
      <c r="B9623" s="2" t="s">
        <v>18235</v>
      </c>
      <c r="C9623" s="1" t="s">
        <v>3319</v>
      </c>
      <c r="D9623" s="1" t="s">
        <v>3320</v>
      </c>
    </row>
    <row r="9624">
      <c r="A9624" s="1" t="s">
        <v>18236</v>
      </c>
      <c r="B9624" s="2" t="s">
        <v>18237</v>
      </c>
      <c r="C9624" s="1" t="s">
        <v>3319</v>
      </c>
      <c r="D9624" s="1" t="s">
        <v>3320</v>
      </c>
    </row>
    <row r="9625">
      <c r="A9625" s="1" t="s">
        <v>18238</v>
      </c>
      <c r="B9625" s="2" t="s">
        <v>18239</v>
      </c>
      <c r="C9625" s="1" t="s">
        <v>3319</v>
      </c>
      <c r="D9625" s="1" t="s">
        <v>3320</v>
      </c>
    </row>
    <row r="9626">
      <c r="A9626" s="1" t="s">
        <v>18240</v>
      </c>
      <c r="B9626" s="2" t="s">
        <v>18241</v>
      </c>
      <c r="C9626" s="1" t="s">
        <v>3319</v>
      </c>
      <c r="D9626" s="1" t="s">
        <v>3320</v>
      </c>
    </row>
    <row r="9627">
      <c r="A9627" s="1" t="s">
        <v>18242</v>
      </c>
      <c r="B9627" s="2" t="s">
        <v>17626</v>
      </c>
      <c r="C9627" s="1" t="s">
        <v>3319</v>
      </c>
      <c r="D9627" s="1" t="s">
        <v>3320</v>
      </c>
    </row>
    <row r="9628">
      <c r="A9628" s="1" t="s">
        <v>18243</v>
      </c>
      <c r="B9628" s="2" t="s">
        <v>18244</v>
      </c>
      <c r="C9628" s="1" t="s">
        <v>3319</v>
      </c>
      <c r="D9628" s="1" t="s">
        <v>3320</v>
      </c>
    </row>
    <row r="9629">
      <c r="A9629" s="1" t="s">
        <v>18245</v>
      </c>
      <c r="B9629" s="2" t="s">
        <v>18246</v>
      </c>
      <c r="C9629" s="1" t="s">
        <v>3319</v>
      </c>
      <c r="D9629" s="1" t="s">
        <v>3320</v>
      </c>
    </row>
    <row r="9630">
      <c r="A9630" s="1" t="s">
        <v>18247</v>
      </c>
      <c r="B9630" s="2" t="s">
        <v>18248</v>
      </c>
      <c r="C9630" s="1" t="s">
        <v>3319</v>
      </c>
      <c r="D9630" s="1" t="s">
        <v>3320</v>
      </c>
    </row>
    <row r="9631">
      <c r="A9631" s="1" t="s">
        <v>18249</v>
      </c>
      <c r="B9631" s="2" t="s">
        <v>18250</v>
      </c>
      <c r="C9631" s="1" t="s">
        <v>3319</v>
      </c>
      <c r="D9631" s="1" t="s">
        <v>3320</v>
      </c>
    </row>
    <row r="9632">
      <c r="A9632" s="1" t="s">
        <v>18251</v>
      </c>
      <c r="B9632" s="2" t="s">
        <v>13994</v>
      </c>
      <c r="C9632" s="1" t="s">
        <v>3319</v>
      </c>
      <c r="D9632" s="1" t="s">
        <v>3320</v>
      </c>
    </row>
    <row r="9633">
      <c r="A9633" s="1" t="s">
        <v>18252</v>
      </c>
      <c r="B9633" s="2" t="s">
        <v>17655</v>
      </c>
      <c r="C9633" s="1" t="s">
        <v>3319</v>
      </c>
      <c r="D9633" s="1" t="s">
        <v>3320</v>
      </c>
    </row>
    <row r="9634">
      <c r="A9634" s="1" t="s">
        <v>18253</v>
      </c>
      <c r="B9634" s="2" t="s">
        <v>18254</v>
      </c>
      <c r="C9634" s="1" t="s">
        <v>3319</v>
      </c>
      <c r="D9634" s="1" t="s">
        <v>3320</v>
      </c>
    </row>
    <row r="9635">
      <c r="A9635" s="1" t="s">
        <v>18255</v>
      </c>
      <c r="B9635" s="2" t="s">
        <v>18256</v>
      </c>
      <c r="C9635" s="1" t="s">
        <v>3319</v>
      </c>
      <c r="D9635" s="1" t="s">
        <v>3320</v>
      </c>
    </row>
    <row r="9636">
      <c r="A9636" s="1" t="s">
        <v>18257</v>
      </c>
      <c r="B9636" s="2" t="s">
        <v>18258</v>
      </c>
      <c r="C9636" s="1" t="s">
        <v>3319</v>
      </c>
      <c r="D9636" s="1" t="s">
        <v>3320</v>
      </c>
    </row>
    <row r="9637">
      <c r="A9637" s="1" t="s">
        <v>18259</v>
      </c>
      <c r="B9637" s="2" t="s">
        <v>18260</v>
      </c>
      <c r="C9637" s="1" t="s">
        <v>3319</v>
      </c>
      <c r="D9637" s="1" t="s">
        <v>3320</v>
      </c>
    </row>
    <row r="9638">
      <c r="A9638" s="1" t="s">
        <v>18261</v>
      </c>
      <c r="B9638" s="2" t="s">
        <v>17683</v>
      </c>
      <c r="C9638" s="1" t="s">
        <v>3319</v>
      </c>
      <c r="D9638" s="1" t="s">
        <v>3320</v>
      </c>
    </row>
    <row r="9639">
      <c r="A9639" s="1" t="s">
        <v>18262</v>
      </c>
      <c r="B9639" s="2" t="s">
        <v>18263</v>
      </c>
      <c r="C9639" s="1" t="s">
        <v>3319</v>
      </c>
      <c r="D9639" s="1" t="s">
        <v>3320</v>
      </c>
    </row>
    <row r="9640">
      <c r="A9640" s="1" t="s">
        <v>18264</v>
      </c>
      <c r="B9640" s="2" t="s">
        <v>18265</v>
      </c>
      <c r="C9640" s="1" t="s">
        <v>3319</v>
      </c>
      <c r="D9640" s="1" t="s">
        <v>3320</v>
      </c>
    </row>
    <row r="9641">
      <c r="A9641" s="1" t="s">
        <v>18266</v>
      </c>
      <c r="B9641" s="2" t="s">
        <v>18267</v>
      </c>
      <c r="C9641" s="1" t="s">
        <v>3319</v>
      </c>
      <c r="D9641" s="1" t="s">
        <v>3320</v>
      </c>
    </row>
    <row r="9642">
      <c r="A9642" s="1" t="s">
        <v>18268</v>
      </c>
      <c r="B9642" s="2" t="s">
        <v>18269</v>
      </c>
      <c r="C9642" s="1" t="s">
        <v>3319</v>
      </c>
      <c r="D9642" s="1" t="s">
        <v>3320</v>
      </c>
    </row>
    <row r="9643">
      <c r="A9643" s="1" t="s">
        <v>3324</v>
      </c>
      <c r="B9643" s="2" t="s">
        <v>7</v>
      </c>
      <c r="C9643" s="1" t="s">
        <v>3326</v>
      </c>
      <c r="D9643" s="1" t="s">
        <v>3327</v>
      </c>
    </row>
    <row r="9644">
      <c r="A9644" s="1" t="s">
        <v>18270</v>
      </c>
      <c r="B9644" s="2" t="s">
        <v>13984</v>
      </c>
      <c r="C9644" s="1" t="s">
        <v>3326</v>
      </c>
      <c r="D9644" s="1" t="s">
        <v>3327</v>
      </c>
    </row>
    <row r="9645">
      <c r="A9645" s="1" t="s">
        <v>18271</v>
      </c>
      <c r="B9645" s="2" t="s">
        <v>17598</v>
      </c>
      <c r="C9645" s="1" t="s">
        <v>3326</v>
      </c>
      <c r="D9645" s="1" t="s">
        <v>3327</v>
      </c>
    </row>
    <row r="9646">
      <c r="A9646" s="1" t="s">
        <v>18272</v>
      </c>
      <c r="B9646" s="2" t="s">
        <v>18273</v>
      </c>
      <c r="C9646" s="1" t="s">
        <v>3326</v>
      </c>
      <c r="D9646" s="1" t="s">
        <v>3327</v>
      </c>
    </row>
    <row r="9647">
      <c r="A9647" s="1" t="s">
        <v>18274</v>
      </c>
      <c r="B9647" s="2" t="s">
        <v>18275</v>
      </c>
      <c r="C9647" s="1" t="s">
        <v>3326</v>
      </c>
      <c r="D9647" s="1" t="s">
        <v>3327</v>
      </c>
    </row>
    <row r="9648">
      <c r="A9648" s="1" t="s">
        <v>18276</v>
      </c>
      <c r="B9648" s="2" t="s">
        <v>18277</v>
      </c>
      <c r="C9648" s="1" t="s">
        <v>3326</v>
      </c>
      <c r="D9648" s="1" t="s">
        <v>3327</v>
      </c>
    </row>
    <row r="9649">
      <c r="A9649" s="1" t="s">
        <v>18278</v>
      </c>
      <c r="B9649" s="2" t="s">
        <v>17626</v>
      </c>
      <c r="C9649" s="1" t="s">
        <v>3326</v>
      </c>
      <c r="D9649" s="1" t="s">
        <v>3327</v>
      </c>
    </row>
    <row r="9650">
      <c r="A9650" s="1" t="s">
        <v>18279</v>
      </c>
      <c r="B9650" s="2" t="s">
        <v>18280</v>
      </c>
      <c r="C9650" s="1" t="s">
        <v>3326</v>
      </c>
      <c r="D9650" s="1" t="s">
        <v>3327</v>
      </c>
    </row>
    <row r="9651">
      <c r="A9651" s="1" t="s">
        <v>18281</v>
      </c>
      <c r="B9651" s="2" t="s">
        <v>18282</v>
      </c>
      <c r="C9651" s="1" t="s">
        <v>3326</v>
      </c>
      <c r="D9651" s="1" t="s">
        <v>3327</v>
      </c>
    </row>
    <row r="9652">
      <c r="A9652" s="1" t="s">
        <v>18283</v>
      </c>
      <c r="B9652" s="2" t="s">
        <v>18284</v>
      </c>
      <c r="C9652" s="1" t="s">
        <v>3326</v>
      </c>
      <c r="D9652" s="1" t="s">
        <v>3327</v>
      </c>
    </row>
    <row r="9653">
      <c r="A9653" s="1" t="s">
        <v>18285</v>
      </c>
      <c r="B9653" s="2" t="s">
        <v>13994</v>
      </c>
      <c r="C9653" s="1" t="s">
        <v>3326</v>
      </c>
      <c r="D9653" s="1" t="s">
        <v>3327</v>
      </c>
    </row>
    <row r="9654">
      <c r="A9654" s="1" t="s">
        <v>18286</v>
      </c>
      <c r="B9654" s="2" t="s">
        <v>17655</v>
      </c>
      <c r="C9654" s="1" t="s">
        <v>3326</v>
      </c>
      <c r="D9654" s="1" t="s">
        <v>3327</v>
      </c>
    </row>
    <row r="9655">
      <c r="A9655" s="1" t="s">
        <v>18287</v>
      </c>
      <c r="B9655" s="2" t="s">
        <v>18288</v>
      </c>
      <c r="C9655" s="1" t="s">
        <v>3326</v>
      </c>
      <c r="D9655" s="1" t="s">
        <v>3327</v>
      </c>
    </row>
    <row r="9656">
      <c r="A9656" s="1" t="s">
        <v>18289</v>
      </c>
      <c r="B9656" s="2" t="s">
        <v>18290</v>
      </c>
      <c r="C9656" s="1" t="s">
        <v>3326</v>
      </c>
      <c r="D9656" s="1" t="s">
        <v>3327</v>
      </c>
    </row>
    <row r="9657">
      <c r="A9657" s="1" t="s">
        <v>18291</v>
      </c>
      <c r="B9657" s="2" t="s">
        <v>18292</v>
      </c>
      <c r="C9657" s="1" t="s">
        <v>3326</v>
      </c>
      <c r="D9657" s="1" t="s">
        <v>3327</v>
      </c>
    </row>
    <row r="9658">
      <c r="A9658" s="1" t="s">
        <v>18293</v>
      </c>
      <c r="B9658" s="2" t="s">
        <v>17683</v>
      </c>
      <c r="C9658" s="1" t="s">
        <v>3326</v>
      </c>
      <c r="D9658" s="1" t="s">
        <v>3327</v>
      </c>
    </row>
    <row r="9659">
      <c r="A9659" s="1" t="s">
        <v>18294</v>
      </c>
      <c r="B9659" s="2" t="s">
        <v>18295</v>
      </c>
      <c r="C9659" s="1" t="s">
        <v>3326</v>
      </c>
      <c r="D9659" s="1" t="s">
        <v>3327</v>
      </c>
    </row>
    <row r="9660">
      <c r="A9660" s="1" t="s">
        <v>18296</v>
      </c>
      <c r="B9660" s="2" t="s">
        <v>18297</v>
      </c>
      <c r="C9660" s="1" t="s">
        <v>3326</v>
      </c>
      <c r="D9660" s="1" t="s">
        <v>3327</v>
      </c>
    </row>
    <row r="9661">
      <c r="A9661" s="1" t="s">
        <v>18298</v>
      </c>
      <c r="B9661" s="2" t="s">
        <v>18299</v>
      </c>
      <c r="C9661" s="1" t="s">
        <v>3326</v>
      </c>
      <c r="D9661" s="1" t="s">
        <v>3327</v>
      </c>
    </row>
    <row r="9662">
      <c r="A9662" s="1" t="s">
        <v>3329</v>
      </c>
      <c r="B9662" s="2" t="s">
        <v>7</v>
      </c>
      <c r="C9662" s="1" t="s">
        <v>3331</v>
      </c>
      <c r="D9662" s="1" t="s">
        <v>3332</v>
      </c>
    </row>
    <row r="9663">
      <c r="A9663" s="1" t="s">
        <v>18300</v>
      </c>
      <c r="B9663" s="2" t="s">
        <v>13984</v>
      </c>
      <c r="C9663" s="1" t="s">
        <v>3331</v>
      </c>
      <c r="D9663" s="1" t="s">
        <v>3332</v>
      </c>
    </row>
    <row r="9664">
      <c r="A9664" s="1" t="s">
        <v>18301</v>
      </c>
      <c r="B9664" s="2" t="s">
        <v>17598</v>
      </c>
      <c r="C9664" s="1" t="s">
        <v>3331</v>
      </c>
      <c r="D9664" s="1" t="s">
        <v>3332</v>
      </c>
    </row>
    <row r="9665">
      <c r="A9665" s="1" t="s">
        <v>18302</v>
      </c>
      <c r="B9665" s="2" t="s">
        <v>18303</v>
      </c>
      <c r="C9665" s="1" t="s">
        <v>3331</v>
      </c>
      <c r="D9665" s="1" t="s">
        <v>3332</v>
      </c>
    </row>
    <row r="9666">
      <c r="A9666" s="1" t="s">
        <v>18304</v>
      </c>
      <c r="B9666" s="2" t="s">
        <v>18305</v>
      </c>
      <c r="C9666" s="1" t="s">
        <v>3331</v>
      </c>
      <c r="D9666" s="1" t="s">
        <v>3332</v>
      </c>
    </row>
    <row r="9667">
      <c r="A9667" s="1" t="s">
        <v>18306</v>
      </c>
      <c r="B9667" s="2" t="s">
        <v>18307</v>
      </c>
      <c r="C9667" s="1" t="s">
        <v>3331</v>
      </c>
      <c r="D9667" s="1" t="s">
        <v>3332</v>
      </c>
    </row>
    <row r="9668">
      <c r="A9668" s="1" t="s">
        <v>18308</v>
      </c>
      <c r="B9668" s="2" t="s">
        <v>18309</v>
      </c>
      <c r="C9668" s="1" t="s">
        <v>3331</v>
      </c>
      <c r="D9668" s="1" t="s">
        <v>3332</v>
      </c>
    </row>
    <row r="9669">
      <c r="A9669" s="1" t="s">
        <v>18310</v>
      </c>
      <c r="B9669" s="2" t="s">
        <v>17626</v>
      </c>
      <c r="C9669" s="1" t="s">
        <v>3331</v>
      </c>
      <c r="D9669" s="1" t="s">
        <v>3332</v>
      </c>
    </row>
    <row r="9670">
      <c r="A9670" s="1" t="s">
        <v>18311</v>
      </c>
      <c r="B9670" s="2" t="s">
        <v>18312</v>
      </c>
      <c r="C9670" s="1" t="s">
        <v>3331</v>
      </c>
      <c r="D9670" s="1" t="s">
        <v>3332</v>
      </c>
    </row>
    <row r="9671">
      <c r="A9671" s="1" t="s">
        <v>18313</v>
      </c>
      <c r="B9671" s="2" t="s">
        <v>18314</v>
      </c>
      <c r="C9671" s="1" t="s">
        <v>3331</v>
      </c>
      <c r="D9671" s="1" t="s">
        <v>3332</v>
      </c>
    </row>
    <row r="9672">
      <c r="A9672" s="1" t="s">
        <v>18315</v>
      </c>
      <c r="B9672" s="2" t="s">
        <v>18316</v>
      </c>
      <c r="C9672" s="1" t="s">
        <v>3331</v>
      </c>
      <c r="D9672" s="1" t="s">
        <v>3332</v>
      </c>
    </row>
    <row r="9673">
      <c r="A9673" s="1" t="s">
        <v>18317</v>
      </c>
      <c r="B9673" s="2" t="s">
        <v>18318</v>
      </c>
      <c r="C9673" s="1" t="s">
        <v>3331</v>
      </c>
      <c r="D9673" s="1" t="s">
        <v>3332</v>
      </c>
    </row>
    <row r="9674">
      <c r="A9674" s="1" t="s">
        <v>18319</v>
      </c>
      <c r="B9674" s="2" t="s">
        <v>13994</v>
      </c>
      <c r="C9674" s="1" t="s">
        <v>3331</v>
      </c>
      <c r="D9674" s="1" t="s">
        <v>3332</v>
      </c>
    </row>
    <row r="9675">
      <c r="A9675" s="1" t="s">
        <v>18320</v>
      </c>
      <c r="B9675" s="2" t="s">
        <v>17655</v>
      </c>
      <c r="C9675" s="1" t="s">
        <v>3331</v>
      </c>
      <c r="D9675" s="1" t="s">
        <v>3332</v>
      </c>
    </row>
    <row r="9676">
      <c r="A9676" s="1" t="s">
        <v>18321</v>
      </c>
      <c r="B9676" s="2" t="s">
        <v>18322</v>
      </c>
      <c r="C9676" s="1" t="s">
        <v>3331</v>
      </c>
      <c r="D9676" s="1" t="s">
        <v>3332</v>
      </c>
    </row>
    <row r="9677">
      <c r="A9677" s="1" t="s">
        <v>18323</v>
      </c>
      <c r="B9677" s="2" t="s">
        <v>18324</v>
      </c>
      <c r="C9677" s="1" t="s">
        <v>3331</v>
      </c>
      <c r="D9677" s="1" t="s">
        <v>3332</v>
      </c>
    </row>
    <row r="9678">
      <c r="A9678" s="1" t="s">
        <v>18325</v>
      </c>
      <c r="B9678" s="2" t="s">
        <v>18326</v>
      </c>
      <c r="C9678" s="1" t="s">
        <v>3331</v>
      </c>
      <c r="D9678" s="1" t="s">
        <v>3332</v>
      </c>
    </row>
    <row r="9679">
      <c r="A9679" s="1" t="s">
        <v>18327</v>
      </c>
      <c r="B9679" s="2" t="s">
        <v>18328</v>
      </c>
      <c r="C9679" s="1" t="s">
        <v>3331</v>
      </c>
      <c r="D9679" s="1" t="s">
        <v>3332</v>
      </c>
    </row>
    <row r="9680">
      <c r="A9680" s="1" t="s">
        <v>18329</v>
      </c>
      <c r="B9680" s="2" t="s">
        <v>17683</v>
      </c>
      <c r="C9680" s="1" t="s">
        <v>3331</v>
      </c>
      <c r="D9680" s="1" t="s">
        <v>3332</v>
      </c>
    </row>
    <row r="9681">
      <c r="A9681" s="1" t="s">
        <v>18330</v>
      </c>
      <c r="B9681" s="2" t="s">
        <v>18331</v>
      </c>
      <c r="C9681" s="1" t="s">
        <v>3331</v>
      </c>
      <c r="D9681" s="1" t="s">
        <v>3332</v>
      </c>
    </row>
    <row r="9682">
      <c r="A9682" s="1" t="s">
        <v>18332</v>
      </c>
      <c r="B9682" s="2" t="s">
        <v>18333</v>
      </c>
      <c r="C9682" s="1" t="s">
        <v>3331</v>
      </c>
      <c r="D9682" s="1" t="s">
        <v>3332</v>
      </c>
    </row>
    <row r="9683">
      <c r="A9683" s="1" t="s">
        <v>18334</v>
      </c>
      <c r="B9683" s="2" t="s">
        <v>18335</v>
      </c>
      <c r="C9683" s="1" t="s">
        <v>3331</v>
      </c>
      <c r="D9683" s="1" t="s">
        <v>3332</v>
      </c>
    </row>
    <row r="9684">
      <c r="A9684" s="1" t="s">
        <v>18336</v>
      </c>
      <c r="B9684" s="2" t="s">
        <v>18337</v>
      </c>
      <c r="C9684" s="1" t="s">
        <v>3331</v>
      </c>
      <c r="D9684" s="1" t="s">
        <v>3332</v>
      </c>
    </row>
    <row r="9685">
      <c r="A9685" s="1" t="s">
        <v>3336</v>
      </c>
      <c r="B9685" s="2" t="s">
        <v>7</v>
      </c>
      <c r="C9685" s="1" t="s">
        <v>3338</v>
      </c>
      <c r="D9685" s="1" t="s">
        <v>3339</v>
      </c>
    </row>
    <row r="9686">
      <c r="A9686" s="1" t="s">
        <v>18338</v>
      </c>
      <c r="B9686" s="2" t="s">
        <v>13984</v>
      </c>
      <c r="C9686" s="1" t="s">
        <v>3338</v>
      </c>
      <c r="D9686" s="1" t="s">
        <v>3339</v>
      </c>
    </row>
    <row r="9687">
      <c r="A9687" s="1" t="s">
        <v>18339</v>
      </c>
      <c r="B9687" s="2" t="s">
        <v>18340</v>
      </c>
      <c r="C9687" s="1" t="s">
        <v>3338</v>
      </c>
      <c r="D9687" s="1" t="s">
        <v>3339</v>
      </c>
    </row>
    <row r="9688">
      <c r="A9688" s="1" t="s">
        <v>18341</v>
      </c>
      <c r="B9688" s="2" t="s">
        <v>18342</v>
      </c>
      <c r="C9688" s="1" t="s">
        <v>3338</v>
      </c>
      <c r="D9688" s="1" t="s">
        <v>3339</v>
      </c>
    </row>
    <row r="9689">
      <c r="A9689" s="1" t="s">
        <v>18343</v>
      </c>
      <c r="B9689" s="2" t="s">
        <v>18344</v>
      </c>
      <c r="C9689" s="1" t="s">
        <v>3338</v>
      </c>
      <c r="D9689" s="1" t="s">
        <v>3339</v>
      </c>
    </row>
    <row r="9690">
      <c r="A9690" s="1" t="s">
        <v>18345</v>
      </c>
      <c r="B9690" s="2" t="s">
        <v>18346</v>
      </c>
      <c r="C9690" s="1" t="s">
        <v>3338</v>
      </c>
      <c r="D9690" s="1" t="s">
        <v>3339</v>
      </c>
    </row>
    <row r="9691">
      <c r="A9691" s="1" t="s">
        <v>18347</v>
      </c>
      <c r="B9691" s="2" t="s">
        <v>18348</v>
      </c>
      <c r="C9691" s="1" t="s">
        <v>3338</v>
      </c>
      <c r="D9691" s="1" t="s">
        <v>3339</v>
      </c>
    </row>
    <row r="9692">
      <c r="A9692" s="1" t="s">
        <v>18349</v>
      </c>
      <c r="B9692" s="2" t="s">
        <v>18350</v>
      </c>
      <c r="C9692" s="1" t="s">
        <v>3338</v>
      </c>
      <c r="D9692" s="1" t="s">
        <v>3339</v>
      </c>
    </row>
    <row r="9693">
      <c r="A9693" s="1" t="s">
        <v>18351</v>
      </c>
      <c r="B9693" s="2" t="s">
        <v>18352</v>
      </c>
      <c r="C9693" s="1" t="s">
        <v>3338</v>
      </c>
      <c r="D9693" s="1" t="s">
        <v>3339</v>
      </c>
    </row>
    <row r="9694">
      <c r="A9694" s="1" t="s">
        <v>18353</v>
      </c>
      <c r="B9694" s="2" t="s">
        <v>18354</v>
      </c>
      <c r="C9694" s="1" t="s">
        <v>3338</v>
      </c>
      <c r="D9694" s="1" t="s">
        <v>3339</v>
      </c>
    </row>
    <row r="9695">
      <c r="A9695" s="1" t="s">
        <v>18355</v>
      </c>
      <c r="B9695" s="2" t="s">
        <v>18356</v>
      </c>
      <c r="C9695" s="1" t="s">
        <v>3338</v>
      </c>
      <c r="D9695" s="1" t="s">
        <v>3339</v>
      </c>
    </row>
    <row r="9696">
      <c r="A9696" s="1" t="s">
        <v>18357</v>
      </c>
      <c r="B9696" s="2" t="s">
        <v>18358</v>
      </c>
      <c r="C9696" s="1" t="s">
        <v>3338</v>
      </c>
      <c r="D9696" s="1" t="s">
        <v>3339</v>
      </c>
    </row>
    <row r="9697">
      <c r="A9697" s="1" t="s">
        <v>18359</v>
      </c>
      <c r="B9697" s="2" t="s">
        <v>18360</v>
      </c>
      <c r="C9697" s="1" t="s">
        <v>3338</v>
      </c>
      <c r="D9697" s="1" t="s">
        <v>3339</v>
      </c>
    </row>
    <row r="9698">
      <c r="A9698" s="1" t="s">
        <v>18361</v>
      </c>
      <c r="B9698" s="2" t="s">
        <v>18362</v>
      </c>
      <c r="C9698" s="1" t="s">
        <v>3338</v>
      </c>
      <c r="D9698" s="1" t="s">
        <v>3339</v>
      </c>
    </row>
    <row r="9699">
      <c r="A9699" s="1" t="s">
        <v>18363</v>
      </c>
      <c r="B9699" s="2" t="s">
        <v>18364</v>
      </c>
      <c r="C9699" s="1" t="s">
        <v>3338</v>
      </c>
      <c r="D9699" s="1" t="s">
        <v>3339</v>
      </c>
    </row>
    <row r="9700">
      <c r="A9700" s="1" t="s">
        <v>18365</v>
      </c>
      <c r="B9700" s="2" t="s">
        <v>13994</v>
      </c>
      <c r="C9700" s="1" t="s">
        <v>3338</v>
      </c>
      <c r="D9700" s="1" t="s">
        <v>3339</v>
      </c>
    </row>
    <row r="9701">
      <c r="A9701" s="1" t="s">
        <v>18366</v>
      </c>
      <c r="B9701" s="2" t="s">
        <v>18367</v>
      </c>
      <c r="C9701" s="1" t="s">
        <v>3338</v>
      </c>
      <c r="D9701" s="1" t="s">
        <v>3339</v>
      </c>
    </row>
    <row r="9702">
      <c r="A9702" s="1" t="s">
        <v>18368</v>
      </c>
      <c r="B9702" s="2" t="s">
        <v>18369</v>
      </c>
      <c r="C9702" s="1" t="s">
        <v>3338</v>
      </c>
      <c r="D9702" s="1" t="s">
        <v>3339</v>
      </c>
    </row>
    <row r="9703">
      <c r="A9703" s="1" t="s">
        <v>18370</v>
      </c>
      <c r="B9703" s="2" t="s">
        <v>18371</v>
      </c>
      <c r="C9703" s="1" t="s">
        <v>3338</v>
      </c>
      <c r="D9703" s="1" t="s">
        <v>3339</v>
      </c>
    </row>
    <row r="9704">
      <c r="A9704" s="1" t="s">
        <v>18372</v>
      </c>
      <c r="B9704" s="2" t="s">
        <v>18373</v>
      </c>
      <c r="C9704" s="1" t="s">
        <v>3338</v>
      </c>
      <c r="D9704" s="1" t="s">
        <v>3339</v>
      </c>
    </row>
    <row r="9705">
      <c r="A9705" s="1" t="s">
        <v>18374</v>
      </c>
      <c r="B9705" s="2" t="s">
        <v>18375</v>
      </c>
      <c r="C9705" s="1" t="s">
        <v>3338</v>
      </c>
      <c r="D9705" s="1" t="s">
        <v>3339</v>
      </c>
    </row>
    <row r="9706">
      <c r="A9706" s="1" t="s">
        <v>18376</v>
      </c>
      <c r="B9706" s="2" t="s">
        <v>18377</v>
      </c>
      <c r="C9706" s="1" t="s">
        <v>3338</v>
      </c>
      <c r="D9706" s="1" t="s">
        <v>3339</v>
      </c>
    </row>
    <row r="9707">
      <c r="A9707" s="1" t="s">
        <v>18378</v>
      </c>
      <c r="B9707" s="2" t="s">
        <v>18379</v>
      </c>
      <c r="C9707" s="1" t="s">
        <v>3338</v>
      </c>
      <c r="D9707" s="1" t="s">
        <v>3339</v>
      </c>
    </row>
    <row r="9708">
      <c r="A9708" s="1" t="s">
        <v>18380</v>
      </c>
      <c r="B9708" s="2" t="s">
        <v>18381</v>
      </c>
      <c r="C9708" s="1" t="s">
        <v>3338</v>
      </c>
      <c r="D9708" s="1" t="s">
        <v>3339</v>
      </c>
    </row>
    <row r="9709">
      <c r="A9709" s="1" t="s">
        <v>18382</v>
      </c>
      <c r="B9709" s="2" t="s">
        <v>18383</v>
      </c>
      <c r="C9709" s="1" t="s">
        <v>3338</v>
      </c>
      <c r="D9709" s="1" t="s">
        <v>3339</v>
      </c>
    </row>
    <row r="9710">
      <c r="A9710" s="1" t="s">
        <v>18384</v>
      </c>
      <c r="B9710" s="2" t="s">
        <v>18385</v>
      </c>
      <c r="C9710" s="1" t="s">
        <v>3338</v>
      </c>
      <c r="D9710" s="1" t="s">
        <v>3339</v>
      </c>
    </row>
    <row r="9711">
      <c r="A9711" s="1" t="s">
        <v>18386</v>
      </c>
      <c r="B9711" s="2" t="s">
        <v>18387</v>
      </c>
      <c r="C9711" s="1" t="s">
        <v>3338</v>
      </c>
      <c r="D9711" s="1" t="s">
        <v>3339</v>
      </c>
    </row>
    <row r="9712">
      <c r="A9712" s="1" t="s">
        <v>18388</v>
      </c>
      <c r="B9712" s="2" t="s">
        <v>18389</v>
      </c>
      <c r="C9712" s="1" t="s">
        <v>3338</v>
      </c>
      <c r="D9712" s="1" t="s">
        <v>3339</v>
      </c>
    </row>
    <row r="9713">
      <c r="A9713" s="1" t="s">
        <v>18390</v>
      </c>
      <c r="B9713" s="2" t="s">
        <v>18391</v>
      </c>
      <c r="C9713" s="1" t="s">
        <v>3338</v>
      </c>
      <c r="D9713" s="1" t="s">
        <v>3339</v>
      </c>
    </row>
    <row r="9714">
      <c r="A9714" s="1" t="s">
        <v>3343</v>
      </c>
      <c r="B9714" s="2" t="s">
        <v>7</v>
      </c>
      <c r="C9714" s="1" t="s">
        <v>3344</v>
      </c>
      <c r="D9714" s="1" t="s">
        <v>3346</v>
      </c>
    </row>
    <row r="9715">
      <c r="A9715" s="1" t="s">
        <v>18392</v>
      </c>
      <c r="B9715" s="2" t="s">
        <v>13984</v>
      </c>
      <c r="C9715" s="1" t="s">
        <v>3344</v>
      </c>
      <c r="D9715" s="1" t="s">
        <v>3346</v>
      </c>
    </row>
    <row r="9716">
      <c r="A9716" s="1" t="s">
        <v>18393</v>
      </c>
      <c r="B9716" s="2" t="s">
        <v>17598</v>
      </c>
      <c r="C9716" s="1" t="s">
        <v>3344</v>
      </c>
      <c r="D9716" s="1" t="s">
        <v>3346</v>
      </c>
    </row>
    <row r="9717">
      <c r="A9717" s="1" t="s">
        <v>18394</v>
      </c>
      <c r="B9717" s="2" t="s">
        <v>17608</v>
      </c>
      <c r="C9717" s="1" t="s">
        <v>3344</v>
      </c>
      <c r="D9717" s="1" t="s">
        <v>3346</v>
      </c>
    </row>
    <row r="9718">
      <c r="A9718" s="1" t="s">
        <v>18395</v>
      </c>
      <c r="B9718" s="2" t="s">
        <v>17610</v>
      </c>
      <c r="C9718" s="1" t="s">
        <v>3344</v>
      </c>
      <c r="D9718" s="1" t="s">
        <v>3346</v>
      </c>
    </row>
    <row r="9719">
      <c r="A9719" s="1" t="s">
        <v>18396</v>
      </c>
      <c r="B9719" s="2" t="s">
        <v>17612</v>
      </c>
      <c r="C9719" s="1" t="s">
        <v>3344</v>
      </c>
      <c r="D9719" s="1" t="s">
        <v>3346</v>
      </c>
    </row>
    <row r="9720">
      <c r="A9720" s="1" t="s">
        <v>18397</v>
      </c>
      <c r="B9720" s="2" t="s">
        <v>17614</v>
      </c>
      <c r="C9720" s="1" t="s">
        <v>3344</v>
      </c>
      <c r="D9720" s="1" t="s">
        <v>3346</v>
      </c>
    </row>
    <row r="9721">
      <c r="A9721" s="1" t="s">
        <v>18398</v>
      </c>
      <c r="B9721" s="2" t="s">
        <v>17616</v>
      </c>
      <c r="C9721" s="1" t="s">
        <v>3344</v>
      </c>
      <c r="D9721" s="1" t="s">
        <v>3346</v>
      </c>
    </row>
    <row r="9722">
      <c r="A9722" s="1" t="s">
        <v>18399</v>
      </c>
      <c r="B9722" s="2" t="s">
        <v>17618</v>
      </c>
      <c r="C9722" s="1" t="s">
        <v>3344</v>
      </c>
      <c r="D9722" s="1" t="s">
        <v>3346</v>
      </c>
    </row>
    <row r="9723">
      <c r="A9723" s="1" t="s">
        <v>18400</v>
      </c>
      <c r="B9723" s="2" t="s">
        <v>17620</v>
      </c>
      <c r="C9723" s="1" t="s">
        <v>3344</v>
      </c>
      <c r="D9723" s="1" t="s">
        <v>3346</v>
      </c>
    </row>
    <row r="9724">
      <c r="A9724" s="1" t="s">
        <v>18401</v>
      </c>
      <c r="B9724" s="2" t="s">
        <v>17622</v>
      </c>
      <c r="C9724" s="1" t="s">
        <v>3344</v>
      </c>
      <c r="D9724" s="1" t="s">
        <v>3346</v>
      </c>
    </row>
    <row r="9725">
      <c r="A9725" s="1" t="s">
        <v>18402</v>
      </c>
      <c r="B9725" s="2" t="s">
        <v>17624</v>
      </c>
      <c r="C9725" s="1" t="s">
        <v>3344</v>
      </c>
      <c r="D9725" s="1" t="s">
        <v>3346</v>
      </c>
    </row>
    <row r="9726">
      <c r="A9726" s="1" t="s">
        <v>18403</v>
      </c>
      <c r="B9726" s="2" t="s">
        <v>17626</v>
      </c>
      <c r="C9726" s="1" t="s">
        <v>3344</v>
      </c>
      <c r="D9726" s="1" t="s">
        <v>3346</v>
      </c>
    </row>
    <row r="9727">
      <c r="A9727" s="1" t="s">
        <v>18404</v>
      </c>
      <c r="B9727" s="2" t="s">
        <v>17636</v>
      </c>
      <c r="C9727" s="1" t="s">
        <v>3344</v>
      </c>
      <c r="D9727" s="1" t="s">
        <v>3346</v>
      </c>
    </row>
    <row r="9728">
      <c r="A9728" s="1" t="s">
        <v>18405</v>
      </c>
      <c r="B9728" s="2" t="s">
        <v>17638</v>
      </c>
      <c r="C9728" s="1" t="s">
        <v>3344</v>
      </c>
      <c r="D9728" s="1" t="s">
        <v>3346</v>
      </c>
    </row>
    <row r="9729">
      <c r="A9729" s="1" t="s">
        <v>18406</v>
      </c>
      <c r="B9729" s="2" t="s">
        <v>17640</v>
      </c>
      <c r="C9729" s="1" t="s">
        <v>3344</v>
      </c>
      <c r="D9729" s="1" t="s">
        <v>3346</v>
      </c>
    </row>
    <row r="9730">
      <c r="A9730" s="1" t="s">
        <v>18407</v>
      </c>
      <c r="B9730" s="2" t="s">
        <v>17642</v>
      </c>
      <c r="C9730" s="1" t="s">
        <v>3344</v>
      </c>
      <c r="D9730" s="1" t="s">
        <v>3346</v>
      </c>
    </row>
    <row r="9731">
      <c r="A9731" s="1" t="s">
        <v>18408</v>
      </c>
      <c r="B9731" s="2" t="s">
        <v>17644</v>
      </c>
      <c r="C9731" s="1" t="s">
        <v>3344</v>
      </c>
      <c r="D9731" s="1" t="s">
        <v>3346</v>
      </c>
    </row>
    <row r="9732">
      <c r="A9732" s="1" t="s">
        <v>18409</v>
      </c>
      <c r="B9732" s="2" t="s">
        <v>17646</v>
      </c>
      <c r="C9732" s="1" t="s">
        <v>3344</v>
      </c>
      <c r="D9732" s="1" t="s">
        <v>3346</v>
      </c>
    </row>
    <row r="9733">
      <c r="A9733" s="1" t="s">
        <v>18410</v>
      </c>
      <c r="B9733" s="2" t="s">
        <v>17648</v>
      </c>
      <c r="C9733" s="1" t="s">
        <v>3344</v>
      </c>
      <c r="D9733" s="1" t="s">
        <v>3346</v>
      </c>
    </row>
    <row r="9734">
      <c r="A9734" s="1" t="s">
        <v>18411</v>
      </c>
      <c r="B9734" s="2" t="s">
        <v>17650</v>
      </c>
      <c r="C9734" s="1" t="s">
        <v>3344</v>
      </c>
      <c r="D9734" s="1" t="s">
        <v>3346</v>
      </c>
    </row>
    <row r="9735">
      <c r="A9735" s="1" t="s">
        <v>18412</v>
      </c>
      <c r="B9735" s="2" t="s">
        <v>17652</v>
      </c>
      <c r="C9735" s="1" t="s">
        <v>3344</v>
      </c>
      <c r="D9735" s="1" t="s">
        <v>3346</v>
      </c>
    </row>
    <row r="9736">
      <c r="A9736" s="1" t="s">
        <v>18413</v>
      </c>
      <c r="B9736" s="2" t="s">
        <v>13994</v>
      </c>
      <c r="C9736" s="1" t="s">
        <v>3344</v>
      </c>
      <c r="D9736" s="1" t="s">
        <v>3346</v>
      </c>
    </row>
    <row r="9737">
      <c r="A9737" s="1" t="s">
        <v>18414</v>
      </c>
      <c r="B9737" s="2" t="s">
        <v>17655</v>
      </c>
      <c r="C9737" s="1" t="s">
        <v>3344</v>
      </c>
      <c r="D9737" s="1" t="s">
        <v>3346</v>
      </c>
    </row>
    <row r="9738">
      <c r="A9738" s="1" t="s">
        <v>18415</v>
      </c>
      <c r="B9738" s="2" t="s">
        <v>17665</v>
      </c>
      <c r="C9738" s="1" t="s">
        <v>3344</v>
      </c>
      <c r="D9738" s="1" t="s">
        <v>3346</v>
      </c>
    </row>
    <row r="9739">
      <c r="A9739" s="1" t="s">
        <v>18416</v>
      </c>
      <c r="B9739" s="2" t="s">
        <v>17667</v>
      </c>
      <c r="C9739" s="1" t="s">
        <v>3344</v>
      </c>
      <c r="D9739" s="1" t="s">
        <v>3346</v>
      </c>
    </row>
    <row r="9740">
      <c r="A9740" s="1" t="s">
        <v>18417</v>
      </c>
      <c r="B9740" s="2" t="s">
        <v>17669</v>
      </c>
      <c r="C9740" s="1" t="s">
        <v>3344</v>
      </c>
      <c r="D9740" s="1" t="s">
        <v>3346</v>
      </c>
    </row>
    <row r="9741">
      <c r="A9741" s="1" t="s">
        <v>18418</v>
      </c>
      <c r="B9741" s="2" t="s">
        <v>17671</v>
      </c>
      <c r="C9741" s="1" t="s">
        <v>3344</v>
      </c>
      <c r="D9741" s="1" t="s">
        <v>3346</v>
      </c>
    </row>
    <row r="9742">
      <c r="A9742" s="1" t="s">
        <v>18419</v>
      </c>
      <c r="B9742" s="2" t="s">
        <v>17673</v>
      </c>
      <c r="C9742" s="1" t="s">
        <v>3344</v>
      </c>
      <c r="D9742" s="1" t="s">
        <v>3346</v>
      </c>
    </row>
    <row r="9743">
      <c r="A9743" s="1" t="s">
        <v>18420</v>
      </c>
      <c r="B9743" s="2" t="s">
        <v>17675</v>
      </c>
      <c r="C9743" s="1" t="s">
        <v>3344</v>
      </c>
      <c r="D9743" s="1" t="s">
        <v>3346</v>
      </c>
    </row>
    <row r="9744">
      <c r="A9744" s="1" t="s">
        <v>18421</v>
      </c>
      <c r="B9744" s="2" t="s">
        <v>17677</v>
      </c>
      <c r="C9744" s="1" t="s">
        <v>3344</v>
      </c>
      <c r="D9744" s="1" t="s">
        <v>3346</v>
      </c>
    </row>
    <row r="9745">
      <c r="A9745" s="1" t="s">
        <v>18422</v>
      </c>
      <c r="B9745" s="2" t="s">
        <v>17679</v>
      </c>
      <c r="C9745" s="1" t="s">
        <v>3344</v>
      </c>
      <c r="D9745" s="1" t="s">
        <v>3346</v>
      </c>
    </row>
    <row r="9746">
      <c r="A9746" s="1" t="s">
        <v>18423</v>
      </c>
      <c r="B9746" s="2" t="s">
        <v>17681</v>
      </c>
      <c r="C9746" s="1" t="s">
        <v>3344</v>
      </c>
      <c r="D9746" s="1" t="s">
        <v>3346</v>
      </c>
    </row>
    <row r="9747">
      <c r="A9747" s="1" t="s">
        <v>18424</v>
      </c>
      <c r="B9747" s="2" t="s">
        <v>17683</v>
      </c>
      <c r="C9747" s="1" t="s">
        <v>3344</v>
      </c>
      <c r="D9747" s="1" t="s">
        <v>3346</v>
      </c>
    </row>
    <row r="9748">
      <c r="A9748" s="1" t="s">
        <v>18425</v>
      </c>
      <c r="B9748" s="2" t="s">
        <v>17693</v>
      </c>
      <c r="C9748" s="1" t="s">
        <v>3344</v>
      </c>
      <c r="D9748" s="1" t="s">
        <v>3346</v>
      </c>
    </row>
    <row r="9749">
      <c r="A9749" s="1" t="s">
        <v>18426</v>
      </c>
      <c r="B9749" s="2" t="s">
        <v>17695</v>
      </c>
      <c r="C9749" s="1" t="s">
        <v>3344</v>
      </c>
      <c r="D9749" s="1" t="s">
        <v>3346</v>
      </c>
    </row>
    <row r="9750">
      <c r="A9750" s="1" t="s">
        <v>18427</v>
      </c>
      <c r="B9750" s="2" t="s">
        <v>17697</v>
      </c>
      <c r="C9750" s="1" t="s">
        <v>3344</v>
      </c>
      <c r="D9750" s="1" t="s">
        <v>3346</v>
      </c>
    </row>
    <row r="9751">
      <c r="A9751" s="1" t="s">
        <v>18428</v>
      </c>
      <c r="B9751" s="2" t="s">
        <v>17699</v>
      </c>
      <c r="C9751" s="1" t="s">
        <v>3344</v>
      </c>
      <c r="D9751" s="1" t="s">
        <v>3346</v>
      </c>
    </row>
    <row r="9752">
      <c r="A9752" s="1" t="s">
        <v>18429</v>
      </c>
      <c r="B9752" s="2" t="s">
        <v>17701</v>
      </c>
      <c r="C9752" s="1" t="s">
        <v>3344</v>
      </c>
      <c r="D9752" s="1" t="s">
        <v>3346</v>
      </c>
    </row>
    <row r="9753">
      <c r="A9753" s="1" t="s">
        <v>18430</v>
      </c>
      <c r="B9753" s="2" t="s">
        <v>17703</v>
      </c>
      <c r="C9753" s="1" t="s">
        <v>3344</v>
      </c>
      <c r="D9753" s="1" t="s">
        <v>3346</v>
      </c>
    </row>
    <row r="9754">
      <c r="A9754" s="1" t="s">
        <v>18431</v>
      </c>
      <c r="B9754" s="2" t="s">
        <v>17705</v>
      </c>
      <c r="C9754" s="1" t="s">
        <v>3344</v>
      </c>
      <c r="D9754" s="1" t="s">
        <v>3346</v>
      </c>
    </row>
    <row r="9755">
      <c r="A9755" s="1" t="s">
        <v>18432</v>
      </c>
      <c r="B9755" s="2" t="s">
        <v>17707</v>
      </c>
      <c r="C9755" s="1" t="s">
        <v>3344</v>
      </c>
      <c r="D9755" s="1" t="s">
        <v>3346</v>
      </c>
    </row>
    <row r="9756">
      <c r="A9756" s="1" t="s">
        <v>18433</v>
      </c>
      <c r="B9756" s="2" t="s">
        <v>17709</v>
      </c>
      <c r="C9756" s="1" t="s">
        <v>3344</v>
      </c>
      <c r="D9756" s="1" t="s">
        <v>3346</v>
      </c>
    </row>
    <row r="9757">
      <c r="A9757" s="1" t="s">
        <v>3350</v>
      </c>
      <c r="B9757" s="2" t="s">
        <v>3351</v>
      </c>
      <c r="C9757" s="1" t="s">
        <v>3353</v>
      </c>
      <c r="D9757" s="1" t="s">
        <v>3354</v>
      </c>
    </row>
    <row r="9758">
      <c r="A9758" s="1" t="s">
        <v>18434</v>
      </c>
      <c r="B9758" s="2" t="s">
        <v>18435</v>
      </c>
      <c r="C9758" s="1" t="s">
        <v>3353</v>
      </c>
      <c r="D9758" s="1" t="s">
        <v>3354</v>
      </c>
    </row>
    <row r="9759">
      <c r="A9759" s="1" t="s">
        <v>18436</v>
      </c>
      <c r="B9759" s="2" t="s">
        <v>18437</v>
      </c>
      <c r="C9759" s="1" t="s">
        <v>3353</v>
      </c>
      <c r="D9759" s="1" t="s">
        <v>3354</v>
      </c>
    </row>
    <row r="9760">
      <c r="A9760" s="1" t="s">
        <v>3359</v>
      </c>
      <c r="B9760" s="2" t="s">
        <v>7</v>
      </c>
      <c r="C9760" s="1" t="s">
        <v>3361</v>
      </c>
      <c r="D9760" s="1" t="s">
        <v>3362</v>
      </c>
    </row>
    <row r="9761">
      <c r="A9761" s="1" t="s">
        <v>18438</v>
      </c>
      <c r="B9761" s="2" t="s">
        <v>15905</v>
      </c>
      <c r="C9761" s="1" t="s">
        <v>3361</v>
      </c>
      <c r="D9761" s="1" t="s">
        <v>3362</v>
      </c>
    </row>
    <row r="9762">
      <c r="A9762" s="1" t="s">
        <v>18439</v>
      </c>
      <c r="B9762" s="2" t="s">
        <v>18440</v>
      </c>
      <c r="C9762" s="1" t="s">
        <v>3361</v>
      </c>
      <c r="D9762" s="1" t="s">
        <v>3362</v>
      </c>
    </row>
    <row r="9763">
      <c r="A9763" s="1" t="s">
        <v>18441</v>
      </c>
      <c r="B9763" s="2" t="s">
        <v>18442</v>
      </c>
      <c r="C9763" s="1" t="s">
        <v>3361</v>
      </c>
      <c r="D9763" s="1" t="s">
        <v>3362</v>
      </c>
    </row>
    <row r="9764">
      <c r="A9764" s="1" t="s">
        <v>18443</v>
      </c>
      <c r="B9764" s="2" t="s">
        <v>18444</v>
      </c>
      <c r="C9764" s="1" t="s">
        <v>3361</v>
      </c>
      <c r="D9764" s="1" t="s">
        <v>3362</v>
      </c>
    </row>
    <row r="9765">
      <c r="A9765" s="1" t="s">
        <v>18445</v>
      </c>
      <c r="B9765" s="2" t="s">
        <v>18446</v>
      </c>
      <c r="C9765" s="1" t="s">
        <v>3361</v>
      </c>
      <c r="D9765" s="1" t="s">
        <v>3362</v>
      </c>
    </row>
    <row r="9766">
      <c r="A9766" s="1" t="s">
        <v>18447</v>
      </c>
      <c r="B9766" s="2" t="s">
        <v>18448</v>
      </c>
      <c r="C9766" s="1" t="s">
        <v>3361</v>
      </c>
      <c r="D9766" s="1" t="s">
        <v>3362</v>
      </c>
    </row>
    <row r="9767">
      <c r="A9767" s="1" t="s">
        <v>18449</v>
      </c>
      <c r="B9767" s="2" t="s">
        <v>18450</v>
      </c>
      <c r="C9767" s="1" t="s">
        <v>3361</v>
      </c>
      <c r="D9767" s="1" t="s">
        <v>3362</v>
      </c>
    </row>
    <row r="9768">
      <c r="A9768" s="1" t="s">
        <v>18451</v>
      </c>
      <c r="B9768" s="2" t="s">
        <v>18452</v>
      </c>
      <c r="C9768" s="1" t="s">
        <v>3361</v>
      </c>
      <c r="D9768" s="1" t="s">
        <v>3362</v>
      </c>
    </row>
    <row r="9769">
      <c r="A9769" s="1" t="s">
        <v>18453</v>
      </c>
      <c r="B9769" s="2" t="s">
        <v>18454</v>
      </c>
      <c r="C9769" s="1" t="s">
        <v>3361</v>
      </c>
      <c r="D9769" s="1" t="s">
        <v>3362</v>
      </c>
    </row>
    <row r="9770">
      <c r="A9770" s="1" t="s">
        <v>18455</v>
      </c>
      <c r="B9770" s="2" t="s">
        <v>18456</v>
      </c>
      <c r="C9770" s="1" t="s">
        <v>3361</v>
      </c>
      <c r="D9770" s="1" t="s">
        <v>3362</v>
      </c>
    </row>
    <row r="9771">
      <c r="A9771" s="1" t="s">
        <v>18457</v>
      </c>
      <c r="B9771" s="2" t="s">
        <v>15925</v>
      </c>
      <c r="C9771" s="1" t="s">
        <v>3361</v>
      </c>
      <c r="D9771" s="1" t="s">
        <v>3362</v>
      </c>
    </row>
    <row r="9772">
      <c r="A9772" s="1" t="s">
        <v>18458</v>
      </c>
      <c r="B9772" s="2" t="s">
        <v>18459</v>
      </c>
      <c r="C9772" s="1" t="s">
        <v>3361</v>
      </c>
      <c r="D9772" s="1" t="s">
        <v>3362</v>
      </c>
    </row>
    <row r="9773">
      <c r="A9773" s="1" t="s">
        <v>18460</v>
      </c>
      <c r="B9773" s="2" t="s">
        <v>18461</v>
      </c>
      <c r="C9773" s="1" t="s">
        <v>3361</v>
      </c>
      <c r="D9773" s="1" t="s">
        <v>3362</v>
      </c>
    </row>
    <row r="9774">
      <c r="A9774" s="1" t="s">
        <v>18462</v>
      </c>
      <c r="B9774" s="2" t="s">
        <v>18463</v>
      </c>
      <c r="C9774" s="1" t="s">
        <v>3361</v>
      </c>
      <c r="D9774" s="1" t="s">
        <v>3362</v>
      </c>
    </row>
    <row r="9775">
      <c r="A9775" s="1" t="s">
        <v>18464</v>
      </c>
      <c r="B9775" s="2" t="s">
        <v>18465</v>
      </c>
      <c r="C9775" s="1" t="s">
        <v>3361</v>
      </c>
      <c r="D9775" s="1" t="s">
        <v>3362</v>
      </c>
    </row>
    <row r="9776">
      <c r="A9776" s="1" t="s">
        <v>18466</v>
      </c>
      <c r="B9776" s="2" t="s">
        <v>18467</v>
      </c>
      <c r="C9776" s="1" t="s">
        <v>3361</v>
      </c>
      <c r="D9776" s="1" t="s">
        <v>3362</v>
      </c>
    </row>
    <row r="9777">
      <c r="A9777" s="1" t="s">
        <v>18468</v>
      </c>
      <c r="B9777" s="2" t="s">
        <v>18469</v>
      </c>
      <c r="C9777" s="1" t="s">
        <v>3361</v>
      </c>
      <c r="D9777" s="1" t="s">
        <v>3362</v>
      </c>
    </row>
    <row r="9778">
      <c r="A9778" s="1" t="s">
        <v>18470</v>
      </c>
      <c r="B9778" s="2" t="s">
        <v>18471</v>
      </c>
      <c r="C9778" s="1" t="s">
        <v>3361</v>
      </c>
      <c r="D9778" s="1" t="s">
        <v>3362</v>
      </c>
    </row>
    <row r="9779">
      <c r="A9779" s="1" t="s">
        <v>18472</v>
      </c>
      <c r="B9779" s="2" t="s">
        <v>18473</v>
      </c>
      <c r="C9779" s="1" t="s">
        <v>3361</v>
      </c>
      <c r="D9779" s="1" t="s">
        <v>3362</v>
      </c>
    </row>
    <row r="9780">
      <c r="A9780" s="1" t="s">
        <v>18474</v>
      </c>
      <c r="B9780" s="2" t="s">
        <v>18475</v>
      </c>
      <c r="C9780" s="1" t="s">
        <v>3361</v>
      </c>
      <c r="D9780" s="1" t="s">
        <v>3362</v>
      </c>
    </row>
    <row r="9781">
      <c r="A9781" s="1" t="s">
        <v>3371</v>
      </c>
      <c r="B9781" s="2" t="s">
        <v>7</v>
      </c>
      <c r="C9781" s="1" t="s">
        <v>3375</v>
      </c>
      <c r="D9781" s="1" t="s">
        <v>3377</v>
      </c>
    </row>
    <row r="9782">
      <c r="A9782" s="1" t="s">
        <v>18476</v>
      </c>
      <c r="B9782" s="2" t="s">
        <v>13984</v>
      </c>
      <c r="C9782" s="1" t="s">
        <v>3375</v>
      </c>
      <c r="D9782" s="1" t="s">
        <v>3377</v>
      </c>
    </row>
    <row r="9783">
      <c r="A9783" s="1" t="s">
        <v>18477</v>
      </c>
      <c r="B9783" s="2" t="s">
        <v>18478</v>
      </c>
      <c r="C9783" s="1" t="s">
        <v>3375</v>
      </c>
      <c r="D9783" s="1" t="s">
        <v>3377</v>
      </c>
    </row>
    <row r="9784">
      <c r="A9784" s="1" t="s">
        <v>18479</v>
      </c>
      <c r="B9784" s="2" t="s">
        <v>18480</v>
      </c>
      <c r="C9784" s="1" t="s">
        <v>3375</v>
      </c>
      <c r="D9784" s="1" t="s">
        <v>3377</v>
      </c>
    </row>
    <row r="9785">
      <c r="A9785" s="1" t="s">
        <v>18481</v>
      </c>
      <c r="B9785" s="2" t="s">
        <v>18482</v>
      </c>
      <c r="C9785" s="1" t="s">
        <v>3375</v>
      </c>
      <c r="D9785" s="1" t="s">
        <v>3377</v>
      </c>
    </row>
    <row r="9786">
      <c r="A9786" s="1" t="s">
        <v>18483</v>
      </c>
      <c r="B9786" s="2" t="s">
        <v>18484</v>
      </c>
      <c r="C9786" s="1" t="s">
        <v>3375</v>
      </c>
      <c r="D9786" s="1" t="s">
        <v>3377</v>
      </c>
    </row>
    <row r="9787">
      <c r="A9787" s="1" t="s">
        <v>18485</v>
      </c>
      <c r="B9787" s="2" t="s">
        <v>18486</v>
      </c>
      <c r="C9787" s="1" t="s">
        <v>3375</v>
      </c>
      <c r="D9787" s="1" t="s">
        <v>3377</v>
      </c>
    </row>
    <row r="9788">
      <c r="A9788" s="1" t="s">
        <v>18487</v>
      </c>
      <c r="B9788" s="2" t="s">
        <v>18488</v>
      </c>
      <c r="C9788" s="1" t="s">
        <v>3375</v>
      </c>
      <c r="D9788" s="1" t="s">
        <v>3377</v>
      </c>
    </row>
    <row r="9789">
      <c r="A9789" s="1" t="s">
        <v>18489</v>
      </c>
      <c r="B9789" s="2" t="s">
        <v>18490</v>
      </c>
      <c r="C9789" s="1" t="s">
        <v>3375</v>
      </c>
      <c r="D9789" s="1" t="s">
        <v>3377</v>
      </c>
    </row>
    <row r="9790">
      <c r="A9790" s="1" t="s">
        <v>18491</v>
      </c>
      <c r="B9790" s="2" t="s">
        <v>18492</v>
      </c>
      <c r="C9790" s="1" t="s">
        <v>3375</v>
      </c>
      <c r="D9790" s="1" t="s">
        <v>3377</v>
      </c>
    </row>
    <row r="9791">
      <c r="A9791" s="1" t="s">
        <v>18493</v>
      </c>
      <c r="B9791" s="2" t="s">
        <v>18494</v>
      </c>
      <c r="C9791" s="1" t="s">
        <v>3375</v>
      </c>
      <c r="D9791" s="1" t="s">
        <v>3377</v>
      </c>
    </row>
    <row r="9792">
      <c r="A9792" s="1" t="s">
        <v>18495</v>
      </c>
      <c r="B9792" s="2" t="s">
        <v>18496</v>
      </c>
      <c r="C9792" s="1" t="s">
        <v>3375</v>
      </c>
      <c r="D9792" s="1" t="s">
        <v>3377</v>
      </c>
    </row>
    <row r="9793">
      <c r="A9793" s="1" t="s">
        <v>18497</v>
      </c>
      <c r="B9793" s="2" t="s">
        <v>18498</v>
      </c>
      <c r="C9793" s="1" t="s">
        <v>3375</v>
      </c>
      <c r="D9793" s="1" t="s">
        <v>3377</v>
      </c>
    </row>
    <row r="9794">
      <c r="A9794" s="1" t="s">
        <v>18499</v>
      </c>
      <c r="B9794" s="2" t="s">
        <v>18500</v>
      </c>
      <c r="C9794" s="1" t="s">
        <v>3375</v>
      </c>
      <c r="D9794" s="1" t="s">
        <v>3377</v>
      </c>
    </row>
    <row r="9795">
      <c r="A9795" s="1" t="s">
        <v>18501</v>
      </c>
      <c r="B9795" s="2" t="s">
        <v>18502</v>
      </c>
      <c r="C9795" s="1" t="s">
        <v>3375</v>
      </c>
      <c r="D9795" s="1" t="s">
        <v>3377</v>
      </c>
    </row>
    <row r="9796">
      <c r="A9796" s="1" t="s">
        <v>18503</v>
      </c>
      <c r="B9796" s="2" t="s">
        <v>18504</v>
      </c>
      <c r="C9796" s="1" t="s">
        <v>3375</v>
      </c>
      <c r="D9796" s="1" t="s">
        <v>3377</v>
      </c>
    </row>
    <row r="9797">
      <c r="A9797" s="1" t="s">
        <v>18505</v>
      </c>
      <c r="B9797" s="2" t="s">
        <v>18506</v>
      </c>
      <c r="C9797" s="1" t="s">
        <v>3375</v>
      </c>
      <c r="D9797" s="1" t="s">
        <v>3377</v>
      </c>
    </row>
    <row r="9798">
      <c r="A9798" s="1" t="s">
        <v>18507</v>
      </c>
      <c r="B9798" s="2" t="s">
        <v>18508</v>
      </c>
      <c r="C9798" s="1" t="s">
        <v>3375</v>
      </c>
      <c r="D9798" s="1" t="s">
        <v>3377</v>
      </c>
    </row>
    <row r="9799">
      <c r="A9799" s="1" t="s">
        <v>18509</v>
      </c>
      <c r="B9799" s="2" t="s">
        <v>18510</v>
      </c>
      <c r="C9799" s="1" t="s">
        <v>3375</v>
      </c>
      <c r="D9799" s="1" t="s">
        <v>3377</v>
      </c>
    </row>
    <row r="9800">
      <c r="A9800" s="1" t="s">
        <v>18511</v>
      </c>
      <c r="B9800" s="2" t="s">
        <v>18512</v>
      </c>
      <c r="C9800" s="1" t="s">
        <v>3375</v>
      </c>
      <c r="D9800" s="1" t="s">
        <v>3377</v>
      </c>
    </row>
    <row r="9801">
      <c r="A9801" s="1" t="s">
        <v>18513</v>
      </c>
      <c r="B9801" s="2" t="s">
        <v>18514</v>
      </c>
      <c r="C9801" s="1" t="s">
        <v>3375</v>
      </c>
      <c r="D9801" s="1" t="s">
        <v>3377</v>
      </c>
    </row>
    <row r="9802">
      <c r="A9802" s="1" t="s">
        <v>18515</v>
      </c>
      <c r="B9802" s="2" t="s">
        <v>13994</v>
      </c>
      <c r="C9802" s="1" t="s">
        <v>3375</v>
      </c>
      <c r="D9802" s="1" t="s">
        <v>3377</v>
      </c>
    </row>
    <row r="9803">
      <c r="A9803" s="1" t="s">
        <v>18516</v>
      </c>
      <c r="B9803" s="2" t="s">
        <v>18517</v>
      </c>
      <c r="C9803" s="1" t="s">
        <v>3375</v>
      </c>
      <c r="D9803" s="1" t="s">
        <v>3377</v>
      </c>
    </row>
    <row r="9804">
      <c r="A9804" s="1" t="s">
        <v>18518</v>
      </c>
      <c r="B9804" s="2" t="s">
        <v>18519</v>
      </c>
      <c r="C9804" s="1" t="s">
        <v>3375</v>
      </c>
      <c r="D9804" s="1" t="s">
        <v>3377</v>
      </c>
    </row>
    <row r="9805">
      <c r="A9805" s="1" t="s">
        <v>18520</v>
      </c>
      <c r="B9805" s="2" t="s">
        <v>18521</v>
      </c>
      <c r="C9805" s="1" t="s">
        <v>3375</v>
      </c>
      <c r="D9805" s="1" t="s">
        <v>3377</v>
      </c>
    </row>
    <row r="9806">
      <c r="A9806" s="1" t="s">
        <v>18522</v>
      </c>
      <c r="B9806" s="2" t="s">
        <v>18523</v>
      </c>
      <c r="C9806" s="1" t="s">
        <v>3375</v>
      </c>
      <c r="D9806" s="1" t="s">
        <v>3377</v>
      </c>
    </row>
    <row r="9807">
      <c r="A9807" s="1" t="s">
        <v>18524</v>
      </c>
      <c r="B9807" s="2" t="s">
        <v>18525</v>
      </c>
      <c r="C9807" s="1" t="s">
        <v>3375</v>
      </c>
      <c r="D9807" s="1" t="s">
        <v>3377</v>
      </c>
    </row>
    <row r="9808">
      <c r="A9808" s="1" t="s">
        <v>18526</v>
      </c>
      <c r="B9808" s="2" t="s">
        <v>18527</v>
      </c>
      <c r="C9808" s="1" t="s">
        <v>3375</v>
      </c>
      <c r="D9808" s="1" t="s">
        <v>3377</v>
      </c>
    </row>
    <row r="9809">
      <c r="A9809" s="1" t="s">
        <v>18528</v>
      </c>
      <c r="B9809" s="2" t="s">
        <v>18529</v>
      </c>
      <c r="C9809" s="1" t="s">
        <v>3375</v>
      </c>
      <c r="D9809" s="1" t="s">
        <v>3377</v>
      </c>
    </row>
    <row r="9810">
      <c r="A9810" s="1" t="s">
        <v>18530</v>
      </c>
      <c r="B9810" s="2" t="s">
        <v>18531</v>
      </c>
      <c r="C9810" s="1" t="s">
        <v>3375</v>
      </c>
      <c r="D9810" s="1" t="s">
        <v>3377</v>
      </c>
    </row>
    <row r="9811">
      <c r="A9811" s="1" t="s">
        <v>18532</v>
      </c>
      <c r="B9811" s="2" t="s">
        <v>18533</v>
      </c>
      <c r="C9811" s="1" t="s">
        <v>3375</v>
      </c>
      <c r="D9811" s="1" t="s">
        <v>3377</v>
      </c>
    </row>
    <row r="9812">
      <c r="A9812" s="1" t="s">
        <v>18534</v>
      </c>
      <c r="B9812" s="2" t="s">
        <v>18535</v>
      </c>
      <c r="C9812" s="1" t="s">
        <v>3375</v>
      </c>
      <c r="D9812" s="1" t="s">
        <v>3377</v>
      </c>
    </row>
    <row r="9813">
      <c r="A9813" s="1" t="s">
        <v>18536</v>
      </c>
      <c r="B9813" s="2" t="s">
        <v>18537</v>
      </c>
      <c r="C9813" s="1" t="s">
        <v>3375</v>
      </c>
      <c r="D9813" s="1" t="s">
        <v>3377</v>
      </c>
    </row>
    <row r="9814">
      <c r="A9814" s="1" t="s">
        <v>18538</v>
      </c>
      <c r="B9814" s="2" t="s">
        <v>18539</v>
      </c>
      <c r="C9814" s="1" t="s">
        <v>3375</v>
      </c>
      <c r="D9814" s="1" t="s">
        <v>3377</v>
      </c>
    </row>
    <row r="9815">
      <c r="A9815" s="1" t="s">
        <v>18540</v>
      </c>
      <c r="B9815" s="2" t="s">
        <v>18541</v>
      </c>
      <c r="C9815" s="1" t="s">
        <v>3375</v>
      </c>
      <c r="D9815" s="1" t="s">
        <v>3377</v>
      </c>
    </row>
    <row r="9816">
      <c r="A9816" s="1" t="s">
        <v>18542</v>
      </c>
      <c r="B9816" s="2" t="s">
        <v>18543</v>
      </c>
      <c r="C9816" s="1" t="s">
        <v>3375</v>
      </c>
      <c r="D9816" s="1" t="s">
        <v>3377</v>
      </c>
    </row>
    <row r="9817">
      <c r="A9817" s="1" t="s">
        <v>18544</v>
      </c>
      <c r="B9817" s="2" t="s">
        <v>18545</v>
      </c>
      <c r="C9817" s="1" t="s">
        <v>3375</v>
      </c>
      <c r="D9817" s="1" t="s">
        <v>3377</v>
      </c>
    </row>
    <row r="9818">
      <c r="A9818" s="1" t="s">
        <v>18546</v>
      </c>
      <c r="B9818" s="2" t="s">
        <v>18547</v>
      </c>
      <c r="C9818" s="1" t="s">
        <v>3375</v>
      </c>
      <c r="D9818" s="1" t="s">
        <v>3377</v>
      </c>
    </row>
    <row r="9819">
      <c r="A9819" s="1" t="s">
        <v>18548</v>
      </c>
      <c r="B9819" s="2" t="s">
        <v>18549</v>
      </c>
      <c r="C9819" s="1" t="s">
        <v>3375</v>
      </c>
      <c r="D9819" s="1" t="s">
        <v>3377</v>
      </c>
    </row>
    <row r="9820">
      <c r="A9820" s="1" t="s">
        <v>18550</v>
      </c>
      <c r="B9820" s="2" t="s">
        <v>18551</v>
      </c>
      <c r="C9820" s="1" t="s">
        <v>3375</v>
      </c>
      <c r="D9820" s="1" t="s">
        <v>3377</v>
      </c>
    </row>
    <row r="9821">
      <c r="A9821" s="1" t="s">
        <v>18552</v>
      </c>
      <c r="B9821" s="2" t="s">
        <v>18553</v>
      </c>
      <c r="C9821" s="1" t="s">
        <v>3375</v>
      </c>
      <c r="D9821" s="1" t="s">
        <v>3377</v>
      </c>
    </row>
    <row r="9822">
      <c r="A9822" s="1" t="s">
        <v>3382</v>
      </c>
      <c r="B9822" s="2" t="s">
        <v>7</v>
      </c>
      <c r="C9822" s="1" t="s">
        <v>3384</v>
      </c>
      <c r="D9822" s="1" t="s">
        <v>3386</v>
      </c>
    </row>
    <row r="9823">
      <c r="A9823" s="1" t="s">
        <v>18554</v>
      </c>
      <c r="B9823" s="2" t="s">
        <v>13984</v>
      </c>
      <c r="C9823" s="1" t="s">
        <v>3384</v>
      </c>
      <c r="D9823" s="1" t="s">
        <v>3386</v>
      </c>
    </row>
    <row r="9824">
      <c r="A9824" s="1" t="s">
        <v>18555</v>
      </c>
      <c r="B9824" s="2" t="s">
        <v>18478</v>
      </c>
      <c r="C9824" s="1" t="s">
        <v>3384</v>
      </c>
      <c r="D9824" s="1" t="s">
        <v>3386</v>
      </c>
    </row>
    <row r="9825">
      <c r="A9825" s="1" t="s">
        <v>18556</v>
      </c>
      <c r="B9825" s="2" t="s">
        <v>18480</v>
      </c>
      <c r="C9825" s="1" t="s">
        <v>3384</v>
      </c>
      <c r="D9825" s="1" t="s">
        <v>3386</v>
      </c>
    </row>
    <row r="9826">
      <c r="A9826" s="1" t="s">
        <v>18557</v>
      </c>
      <c r="B9826" s="2" t="s">
        <v>18482</v>
      </c>
      <c r="C9826" s="1" t="s">
        <v>3384</v>
      </c>
      <c r="D9826" s="1" t="s">
        <v>3386</v>
      </c>
    </row>
    <row r="9827">
      <c r="A9827" s="1" t="s">
        <v>18558</v>
      </c>
      <c r="B9827" s="2" t="s">
        <v>18484</v>
      </c>
      <c r="C9827" s="1" t="s">
        <v>3384</v>
      </c>
      <c r="D9827" s="1" t="s">
        <v>3386</v>
      </c>
    </row>
    <row r="9828">
      <c r="A9828" s="1" t="s">
        <v>18559</v>
      </c>
      <c r="B9828" s="2" t="s">
        <v>18486</v>
      </c>
      <c r="C9828" s="1" t="s">
        <v>3384</v>
      </c>
      <c r="D9828" s="1" t="s">
        <v>3386</v>
      </c>
    </row>
    <row r="9829">
      <c r="A9829" s="1" t="s">
        <v>18560</v>
      </c>
      <c r="B9829" s="2" t="s">
        <v>18488</v>
      </c>
      <c r="C9829" s="1" t="s">
        <v>3384</v>
      </c>
      <c r="D9829" s="1" t="s">
        <v>3386</v>
      </c>
    </row>
    <row r="9830">
      <c r="A9830" s="1" t="s">
        <v>18561</v>
      </c>
      <c r="B9830" s="2" t="s">
        <v>18490</v>
      </c>
      <c r="C9830" s="1" t="s">
        <v>3384</v>
      </c>
      <c r="D9830" s="1" t="s">
        <v>3386</v>
      </c>
    </row>
    <row r="9831">
      <c r="A9831" s="1" t="s">
        <v>18562</v>
      </c>
      <c r="B9831" s="2" t="s">
        <v>18492</v>
      </c>
      <c r="C9831" s="1" t="s">
        <v>3384</v>
      </c>
      <c r="D9831" s="1" t="s">
        <v>3386</v>
      </c>
    </row>
    <row r="9832">
      <c r="A9832" s="1" t="s">
        <v>18563</v>
      </c>
      <c r="B9832" s="2" t="s">
        <v>18494</v>
      </c>
      <c r="C9832" s="1" t="s">
        <v>3384</v>
      </c>
      <c r="D9832" s="1" t="s">
        <v>3386</v>
      </c>
    </row>
    <row r="9833">
      <c r="A9833" s="1" t="s">
        <v>18564</v>
      </c>
      <c r="B9833" s="2" t="s">
        <v>18496</v>
      </c>
      <c r="C9833" s="1" t="s">
        <v>3384</v>
      </c>
      <c r="D9833" s="1" t="s">
        <v>3386</v>
      </c>
    </row>
    <row r="9834">
      <c r="A9834" s="1" t="s">
        <v>18565</v>
      </c>
      <c r="B9834" s="2" t="s">
        <v>18498</v>
      </c>
      <c r="C9834" s="1" t="s">
        <v>3384</v>
      </c>
      <c r="D9834" s="1" t="s">
        <v>3386</v>
      </c>
    </row>
    <row r="9835">
      <c r="A9835" s="1" t="s">
        <v>18566</v>
      </c>
      <c r="B9835" s="2" t="s">
        <v>18500</v>
      </c>
      <c r="C9835" s="1" t="s">
        <v>3384</v>
      </c>
      <c r="D9835" s="1" t="s">
        <v>3386</v>
      </c>
    </row>
    <row r="9836">
      <c r="A9836" s="1" t="s">
        <v>18567</v>
      </c>
      <c r="B9836" s="2" t="s">
        <v>18502</v>
      </c>
      <c r="C9836" s="1" t="s">
        <v>3384</v>
      </c>
      <c r="D9836" s="1" t="s">
        <v>3386</v>
      </c>
    </row>
    <row r="9837">
      <c r="A9837" s="1" t="s">
        <v>18568</v>
      </c>
      <c r="B9837" s="2" t="s">
        <v>18504</v>
      </c>
      <c r="C9837" s="1" t="s">
        <v>3384</v>
      </c>
      <c r="D9837" s="1" t="s">
        <v>3386</v>
      </c>
    </row>
    <row r="9838">
      <c r="A9838" s="1" t="s">
        <v>18569</v>
      </c>
      <c r="B9838" s="2" t="s">
        <v>18506</v>
      </c>
      <c r="C9838" s="1" t="s">
        <v>3384</v>
      </c>
      <c r="D9838" s="1" t="s">
        <v>3386</v>
      </c>
    </row>
    <row r="9839">
      <c r="A9839" s="1" t="s">
        <v>18570</v>
      </c>
      <c r="B9839" s="2" t="s">
        <v>18508</v>
      </c>
      <c r="C9839" s="1" t="s">
        <v>3384</v>
      </c>
      <c r="D9839" s="1" t="s">
        <v>3386</v>
      </c>
    </row>
    <row r="9840">
      <c r="A9840" s="1" t="s">
        <v>18571</v>
      </c>
      <c r="B9840" s="2" t="s">
        <v>18510</v>
      </c>
      <c r="C9840" s="1" t="s">
        <v>3384</v>
      </c>
      <c r="D9840" s="1" t="s">
        <v>3386</v>
      </c>
    </row>
    <row r="9841">
      <c r="A9841" s="1" t="s">
        <v>18572</v>
      </c>
      <c r="B9841" s="2" t="s">
        <v>18512</v>
      </c>
      <c r="C9841" s="1" t="s">
        <v>3384</v>
      </c>
      <c r="D9841" s="1" t="s">
        <v>3386</v>
      </c>
    </row>
    <row r="9842">
      <c r="A9842" s="1" t="s">
        <v>18573</v>
      </c>
      <c r="B9842" s="2" t="s">
        <v>18514</v>
      </c>
      <c r="C9842" s="1" t="s">
        <v>3384</v>
      </c>
      <c r="D9842" s="1" t="s">
        <v>3386</v>
      </c>
    </row>
    <row r="9843">
      <c r="A9843" s="1" t="s">
        <v>18574</v>
      </c>
      <c r="B9843" s="2" t="s">
        <v>13994</v>
      </c>
      <c r="C9843" s="1" t="s">
        <v>3384</v>
      </c>
      <c r="D9843" s="1" t="s">
        <v>3386</v>
      </c>
    </row>
    <row r="9844">
      <c r="A9844" s="1" t="s">
        <v>18575</v>
      </c>
      <c r="B9844" s="2" t="s">
        <v>18517</v>
      </c>
      <c r="C9844" s="1" t="s">
        <v>3384</v>
      </c>
      <c r="D9844" s="1" t="s">
        <v>3386</v>
      </c>
    </row>
    <row r="9845">
      <c r="A9845" s="1" t="s">
        <v>18576</v>
      </c>
      <c r="B9845" s="2" t="s">
        <v>18519</v>
      </c>
      <c r="C9845" s="1" t="s">
        <v>3384</v>
      </c>
      <c r="D9845" s="1" t="s">
        <v>3386</v>
      </c>
    </row>
    <row r="9846">
      <c r="A9846" s="1" t="s">
        <v>18577</v>
      </c>
      <c r="B9846" s="2" t="s">
        <v>18521</v>
      </c>
      <c r="C9846" s="1" t="s">
        <v>3384</v>
      </c>
      <c r="D9846" s="1" t="s">
        <v>3386</v>
      </c>
    </row>
    <row r="9847">
      <c r="A9847" s="1" t="s">
        <v>18578</v>
      </c>
      <c r="B9847" s="2" t="s">
        <v>18523</v>
      </c>
      <c r="C9847" s="1" t="s">
        <v>3384</v>
      </c>
      <c r="D9847" s="1" t="s">
        <v>3386</v>
      </c>
    </row>
    <row r="9848">
      <c r="A9848" s="1" t="s">
        <v>18579</v>
      </c>
      <c r="B9848" s="2" t="s">
        <v>18525</v>
      </c>
      <c r="C9848" s="1" t="s">
        <v>3384</v>
      </c>
      <c r="D9848" s="1" t="s">
        <v>3386</v>
      </c>
    </row>
    <row r="9849">
      <c r="A9849" s="1" t="s">
        <v>18580</v>
      </c>
      <c r="B9849" s="2" t="s">
        <v>18527</v>
      </c>
      <c r="C9849" s="1" t="s">
        <v>3384</v>
      </c>
      <c r="D9849" s="1" t="s">
        <v>3386</v>
      </c>
    </row>
    <row r="9850">
      <c r="A9850" s="1" t="s">
        <v>18581</v>
      </c>
      <c r="B9850" s="2" t="s">
        <v>18529</v>
      </c>
      <c r="C9850" s="1" t="s">
        <v>3384</v>
      </c>
      <c r="D9850" s="1" t="s">
        <v>3386</v>
      </c>
    </row>
    <row r="9851">
      <c r="A9851" s="1" t="s">
        <v>18582</v>
      </c>
      <c r="B9851" s="2" t="s">
        <v>18531</v>
      </c>
      <c r="C9851" s="1" t="s">
        <v>3384</v>
      </c>
      <c r="D9851" s="1" t="s">
        <v>3386</v>
      </c>
    </row>
    <row r="9852">
      <c r="A9852" s="1" t="s">
        <v>18583</v>
      </c>
      <c r="B9852" s="2" t="s">
        <v>18533</v>
      </c>
      <c r="C9852" s="1" t="s">
        <v>3384</v>
      </c>
      <c r="D9852" s="1" t="s">
        <v>3386</v>
      </c>
    </row>
    <row r="9853">
      <c r="A9853" s="1" t="s">
        <v>18584</v>
      </c>
      <c r="B9853" s="2" t="s">
        <v>18535</v>
      </c>
      <c r="C9853" s="1" t="s">
        <v>3384</v>
      </c>
      <c r="D9853" s="1" t="s">
        <v>3386</v>
      </c>
    </row>
    <row r="9854">
      <c r="A9854" s="1" t="s">
        <v>18585</v>
      </c>
      <c r="B9854" s="2" t="s">
        <v>18537</v>
      </c>
      <c r="C9854" s="1" t="s">
        <v>3384</v>
      </c>
      <c r="D9854" s="1" t="s">
        <v>3386</v>
      </c>
    </row>
    <row r="9855">
      <c r="A9855" s="1" t="s">
        <v>18586</v>
      </c>
      <c r="B9855" s="2" t="s">
        <v>18539</v>
      </c>
      <c r="C9855" s="1" t="s">
        <v>3384</v>
      </c>
      <c r="D9855" s="1" t="s">
        <v>3386</v>
      </c>
    </row>
    <row r="9856">
      <c r="A9856" s="1" t="s">
        <v>18587</v>
      </c>
      <c r="B9856" s="2" t="s">
        <v>18541</v>
      </c>
      <c r="C9856" s="1" t="s">
        <v>3384</v>
      </c>
      <c r="D9856" s="1" t="s">
        <v>3386</v>
      </c>
    </row>
    <row r="9857">
      <c r="A9857" s="1" t="s">
        <v>18588</v>
      </c>
      <c r="B9857" s="2" t="s">
        <v>18543</v>
      </c>
      <c r="C9857" s="1" t="s">
        <v>3384</v>
      </c>
      <c r="D9857" s="1" t="s">
        <v>3386</v>
      </c>
    </row>
    <row r="9858">
      <c r="A9858" s="1" t="s">
        <v>18589</v>
      </c>
      <c r="B9858" s="2" t="s">
        <v>18545</v>
      </c>
      <c r="C9858" s="1" t="s">
        <v>3384</v>
      </c>
      <c r="D9858" s="1" t="s">
        <v>3386</v>
      </c>
    </row>
    <row r="9859">
      <c r="A9859" s="1" t="s">
        <v>18590</v>
      </c>
      <c r="B9859" s="2" t="s">
        <v>18547</v>
      </c>
      <c r="C9859" s="1" t="s">
        <v>3384</v>
      </c>
      <c r="D9859" s="1" t="s">
        <v>3386</v>
      </c>
    </row>
    <row r="9860">
      <c r="A9860" s="1" t="s">
        <v>18591</v>
      </c>
      <c r="B9860" s="2" t="s">
        <v>18549</v>
      </c>
      <c r="C9860" s="1" t="s">
        <v>3384</v>
      </c>
      <c r="D9860" s="1" t="s">
        <v>3386</v>
      </c>
    </row>
    <row r="9861">
      <c r="A9861" s="1" t="s">
        <v>18592</v>
      </c>
      <c r="B9861" s="2" t="s">
        <v>18551</v>
      </c>
      <c r="C9861" s="1" t="s">
        <v>3384</v>
      </c>
      <c r="D9861" s="1" t="s">
        <v>3386</v>
      </c>
    </row>
    <row r="9862">
      <c r="A9862" s="1" t="s">
        <v>18593</v>
      </c>
      <c r="B9862" s="2" t="s">
        <v>18553</v>
      </c>
      <c r="C9862" s="1" t="s">
        <v>3384</v>
      </c>
      <c r="D9862" s="1" t="s">
        <v>3386</v>
      </c>
    </row>
    <row r="9863">
      <c r="A9863" s="1" t="s">
        <v>3389</v>
      </c>
      <c r="B9863" s="2" t="s">
        <v>7</v>
      </c>
      <c r="C9863" s="1" t="s">
        <v>3391</v>
      </c>
      <c r="D9863" s="1" t="s">
        <v>3393</v>
      </c>
    </row>
    <row r="9864">
      <c r="A9864" s="1" t="s">
        <v>18594</v>
      </c>
      <c r="B9864" s="2" t="s">
        <v>13984</v>
      </c>
      <c r="C9864" s="1" t="s">
        <v>3391</v>
      </c>
      <c r="D9864" s="1" t="s">
        <v>3393</v>
      </c>
    </row>
    <row r="9865">
      <c r="A9865" s="1" t="s">
        <v>18595</v>
      </c>
      <c r="B9865" s="2" t="s">
        <v>18478</v>
      </c>
      <c r="C9865" s="1" t="s">
        <v>3391</v>
      </c>
      <c r="D9865" s="1" t="s">
        <v>3393</v>
      </c>
    </row>
    <row r="9866">
      <c r="A9866" s="1" t="s">
        <v>18596</v>
      </c>
      <c r="B9866" s="2" t="s">
        <v>18480</v>
      </c>
      <c r="C9866" s="1" t="s">
        <v>3391</v>
      </c>
      <c r="D9866" s="1" t="s">
        <v>3393</v>
      </c>
    </row>
    <row r="9867">
      <c r="A9867" s="1" t="s">
        <v>18597</v>
      </c>
      <c r="B9867" s="2" t="s">
        <v>18482</v>
      </c>
      <c r="C9867" s="1" t="s">
        <v>3391</v>
      </c>
      <c r="D9867" s="1" t="s">
        <v>3393</v>
      </c>
    </row>
    <row r="9868">
      <c r="A9868" s="1" t="s">
        <v>18598</v>
      </c>
      <c r="B9868" s="2" t="s">
        <v>18484</v>
      </c>
      <c r="C9868" s="1" t="s">
        <v>3391</v>
      </c>
      <c r="D9868" s="1" t="s">
        <v>3393</v>
      </c>
    </row>
    <row r="9869">
      <c r="A9869" s="1" t="s">
        <v>18599</v>
      </c>
      <c r="B9869" s="2" t="s">
        <v>18486</v>
      </c>
      <c r="C9869" s="1" t="s">
        <v>3391</v>
      </c>
      <c r="D9869" s="1" t="s">
        <v>3393</v>
      </c>
    </row>
    <row r="9870">
      <c r="A9870" s="1" t="s">
        <v>18600</v>
      </c>
      <c r="B9870" s="2" t="s">
        <v>18488</v>
      </c>
      <c r="C9870" s="1" t="s">
        <v>3391</v>
      </c>
      <c r="D9870" s="1" t="s">
        <v>3393</v>
      </c>
    </row>
    <row r="9871">
      <c r="A9871" s="1" t="s">
        <v>18601</v>
      </c>
      <c r="B9871" s="2" t="s">
        <v>18490</v>
      </c>
      <c r="C9871" s="1" t="s">
        <v>3391</v>
      </c>
      <c r="D9871" s="1" t="s">
        <v>3393</v>
      </c>
    </row>
    <row r="9872">
      <c r="A9872" s="1" t="s">
        <v>18602</v>
      </c>
      <c r="B9872" s="2" t="s">
        <v>18492</v>
      </c>
      <c r="C9872" s="1" t="s">
        <v>3391</v>
      </c>
      <c r="D9872" s="1" t="s">
        <v>3393</v>
      </c>
    </row>
    <row r="9873">
      <c r="A9873" s="1" t="s">
        <v>18603</v>
      </c>
      <c r="B9873" s="2" t="s">
        <v>18494</v>
      </c>
      <c r="C9873" s="1" t="s">
        <v>3391</v>
      </c>
      <c r="D9873" s="1" t="s">
        <v>3393</v>
      </c>
    </row>
    <row r="9874">
      <c r="A9874" s="1" t="s">
        <v>18604</v>
      </c>
      <c r="B9874" s="2" t="s">
        <v>18496</v>
      </c>
      <c r="C9874" s="1" t="s">
        <v>3391</v>
      </c>
      <c r="D9874" s="1" t="s">
        <v>3393</v>
      </c>
    </row>
    <row r="9875">
      <c r="A9875" s="1" t="s">
        <v>18605</v>
      </c>
      <c r="B9875" s="2" t="s">
        <v>18498</v>
      </c>
      <c r="C9875" s="1" t="s">
        <v>3391</v>
      </c>
      <c r="D9875" s="1" t="s">
        <v>3393</v>
      </c>
    </row>
    <row r="9876">
      <c r="A9876" s="1" t="s">
        <v>18606</v>
      </c>
      <c r="B9876" s="2" t="s">
        <v>18500</v>
      </c>
      <c r="C9876" s="1" t="s">
        <v>3391</v>
      </c>
      <c r="D9876" s="1" t="s">
        <v>3393</v>
      </c>
    </row>
    <row r="9877">
      <c r="A9877" s="1" t="s">
        <v>18607</v>
      </c>
      <c r="B9877" s="2" t="s">
        <v>18502</v>
      </c>
      <c r="C9877" s="1" t="s">
        <v>3391</v>
      </c>
      <c r="D9877" s="1" t="s">
        <v>3393</v>
      </c>
    </row>
    <row r="9878">
      <c r="A9878" s="1" t="s">
        <v>18608</v>
      </c>
      <c r="B9878" s="2" t="s">
        <v>18504</v>
      </c>
      <c r="C9878" s="1" t="s">
        <v>3391</v>
      </c>
      <c r="D9878" s="1" t="s">
        <v>3393</v>
      </c>
    </row>
    <row r="9879">
      <c r="A9879" s="1" t="s">
        <v>18609</v>
      </c>
      <c r="B9879" s="2" t="s">
        <v>18506</v>
      </c>
      <c r="C9879" s="1" t="s">
        <v>3391</v>
      </c>
      <c r="D9879" s="1" t="s">
        <v>3393</v>
      </c>
    </row>
    <row r="9880">
      <c r="A9880" s="1" t="s">
        <v>18610</v>
      </c>
      <c r="B9880" s="2" t="s">
        <v>18508</v>
      </c>
      <c r="C9880" s="1" t="s">
        <v>3391</v>
      </c>
      <c r="D9880" s="1" t="s">
        <v>3393</v>
      </c>
    </row>
    <row r="9881">
      <c r="A9881" s="1" t="s">
        <v>18611</v>
      </c>
      <c r="B9881" s="2" t="s">
        <v>18510</v>
      </c>
      <c r="C9881" s="1" t="s">
        <v>3391</v>
      </c>
      <c r="D9881" s="1" t="s">
        <v>3393</v>
      </c>
    </row>
    <row r="9882">
      <c r="A9882" s="1" t="s">
        <v>18612</v>
      </c>
      <c r="B9882" s="2" t="s">
        <v>18512</v>
      </c>
      <c r="C9882" s="1" t="s">
        <v>3391</v>
      </c>
      <c r="D9882" s="1" t="s">
        <v>3393</v>
      </c>
    </row>
    <row r="9883">
      <c r="A9883" s="1" t="s">
        <v>18613</v>
      </c>
      <c r="B9883" s="2" t="s">
        <v>18514</v>
      </c>
      <c r="C9883" s="1" t="s">
        <v>3391</v>
      </c>
      <c r="D9883" s="1" t="s">
        <v>3393</v>
      </c>
    </row>
    <row r="9884">
      <c r="A9884" s="1" t="s">
        <v>18614</v>
      </c>
      <c r="B9884" s="2" t="s">
        <v>13994</v>
      </c>
      <c r="C9884" s="1" t="s">
        <v>3391</v>
      </c>
      <c r="D9884" s="1" t="s">
        <v>3393</v>
      </c>
    </row>
    <row r="9885">
      <c r="A9885" s="1" t="s">
        <v>18615</v>
      </c>
      <c r="B9885" s="2" t="s">
        <v>18517</v>
      </c>
      <c r="C9885" s="1" t="s">
        <v>3391</v>
      </c>
      <c r="D9885" s="1" t="s">
        <v>3393</v>
      </c>
    </row>
    <row r="9886">
      <c r="A9886" s="1" t="s">
        <v>18616</v>
      </c>
      <c r="B9886" s="2" t="s">
        <v>18519</v>
      </c>
      <c r="C9886" s="1" t="s">
        <v>3391</v>
      </c>
      <c r="D9886" s="1" t="s">
        <v>3393</v>
      </c>
    </row>
    <row r="9887">
      <c r="A9887" s="1" t="s">
        <v>18617</v>
      </c>
      <c r="B9887" s="2" t="s">
        <v>18521</v>
      </c>
      <c r="C9887" s="1" t="s">
        <v>3391</v>
      </c>
      <c r="D9887" s="1" t="s">
        <v>3393</v>
      </c>
    </row>
    <row r="9888">
      <c r="A9888" s="1" t="s">
        <v>18618</v>
      </c>
      <c r="B9888" s="2" t="s">
        <v>18523</v>
      </c>
      <c r="C9888" s="1" t="s">
        <v>3391</v>
      </c>
      <c r="D9888" s="1" t="s">
        <v>3393</v>
      </c>
    </row>
    <row r="9889">
      <c r="A9889" s="1" t="s">
        <v>18619</v>
      </c>
      <c r="B9889" s="2" t="s">
        <v>18525</v>
      </c>
      <c r="C9889" s="1" t="s">
        <v>3391</v>
      </c>
      <c r="D9889" s="1" t="s">
        <v>3393</v>
      </c>
    </row>
    <row r="9890">
      <c r="A9890" s="1" t="s">
        <v>18620</v>
      </c>
      <c r="B9890" s="2" t="s">
        <v>18527</v>
      </c>
      <c r="C9890" s="1" t="s">
        <v>3391</v>
      </c>
      <c r="D9890" s="1" t="s">
        <v>3393</v>
      </c>
    </row>
    <row r="9891">
      <c r="A9891" s="1" t="s">
        <v>18621</v>
      </c>
      <c r="B9891" s="2" t="s">
        <v>18529</v>
      </c>
      <c r="C9891" s="1" t="s">
        <v>3391</v>
      </c>
      <c r="D9891" s="1" t="s">
        <v>3393</v>
      </c>
    </row>
    <row r="9892">
      <c r="A9892" s="1" t="s">
        <v>18622</v>
      </c>
      <c r="B9892" s="2" t="s">
        <v>18531</v>
      </c>
      <c r="C9892" s="1" t="s">
        <v>3391</v>
      </c>
      <c r="D9892" s="1" t="s">
        <v>3393</v>
      </c>
    </row>
    <row r="9893">
      <c r="A9893" s="1" t="s">
        <v>18623</v>
      </c>
      <c r="B9893" s="2" t="s">
        <v>18533</v>
      </c>
      <c r="C9893" s="1" t="s">
        <v>3391</v>
      </c>
      <c r="D9893" s="1" t="s">
        <v>3393</v>
      </c>
    </row>
    <row r="9894">
      <c r="A9894" s="1" t="s">
        <v>18624</v>
      </c>
      <c r="B9894" s="2" t="s">
        <v>18535</v>
      </c>
      <c r="C9894" s="1" t="s">
        <v>3391</v>
      </c>
      <c r="D9894" s="1" t="s">
        <v>3393</v>
      </c>
    </row>
    <row r="9895">
      <c r="A9895" s="1" t="s">
        <v>18625</v>
      </c>
      <c r="B9895" s="2" t="s">
        <v>18537</v>
      </c>
      <c r="C9895" s="1" t="s">
        <v>3391</v>
      </c>
      <c r="D9895" s="1" t="s">
        <v>3393</v>
      </c>
    </row>
    <row r="9896">
      <c r="A9896" s="1" t="s">
        <v>18626</v>
      </c>
      <c r="B9896" s="2" t="s">
        <v>18539</v>
      </c>
      <c r="C9896" s="1" t="s">
        <v>3391</v>
      </c>
      <c r="D9896" s="1" t="s">
        <v>3393</v>
      </c>
    </row>
    <row r="9897">
      <c r="A9897" s="1" t="s">
        <v>18627</v>
      </c>
      <c r="B9897" s="2" t="s">
        <v>18541</v>
      </c>
      <c r="C9897" s="1" t="s">
        <v>3391</v>
      </c>
      <c r="D9897" s="1" t="s">
        <v>3393</v>
      </c>
    </row>
    <row r="9898">
      <c r="A9898" s="1" t="s">
        <v>18628</v>
      </c>
      <c r="B9898" s="2" t="s">
        <v>18543</v>
      </c>
      <c r="C9898" s="1" t="s">
        <v>3391</v>
      </c>
      <c r="D9898" s="1" t="s">
        <v>3393</v>
      </c>
    </row>
    <row r="9899">
      <c r="A9899" s="1" t="s">
        <v>18629</v>
      </c>
      <c r="B9899" s="2" t="s">
        <v>18545</v>
      </c>
      <c r="C9899" s="1" t="s">
        <v>3391</v>
      </c>
      <c r="D9899" s="1" t="s">
        <v>3393</v>
      </c>
    </row>
    <row r="9900">
      <c r="A9900" s="1" t="s">
        <v>18630</v>
      </c>
      <c r="B9900" s="2" t="s">
        <v>18547</v>
      </c>
      <c r="C9900" s="1" t="s">
        <v>3391</v>
      </c>
      <c r="D9900" s="1" t="s">
        <v>3393</v>
      </c>
    </row>
    <row r="9901">
      <c r="A9901" s="1" t="s">
        <v>18631</v>
      </c>
      <c r="B9901" s="2" t="s">
        <v>18549</v>
      </c>
      <c r="C9901" s="1" t="s">
        <v>3391</v>
      </c>
      <c r="D9901" s="1" t="s">
        <v>3393</v>
      </c>
    </row>
    <row r="9902">
      <c r="A9902" s="1" t="s">
        <v>18632</v>
      </c>
      <c r="B9902" s="2" t="s">
        <v>18551</v>
      </c>
      <c r="C9902" s="1" t="s">
        <v>3391</v>
      </c>
      <c r="D9902" s="1" t="s">
        <v>3393</v>
      </c>
    </row>
    <row r="9903">
      <c r="A9903" s="1" t="s">
        <v>18633</v>
      </c>
      <c r="B9903" s="2" t="s">
        <v>18553</v>
      </c>
      <c r="C9903" s="1" t="s">
        <v>3391</v>
      </c>
      <c r="D9903" s="1" t="s">
        <v>3393</v>
      </c>
    </row>
    <row r="9904">
      <c r="A9904" s="1" t="s">
        <v>3397</v>
      </c>
      <c r="B9904" s="2" t="s">
        <v>7</v>
      </c>
      <c r="C9904" s="1" t="s">
        <v>3399</v>
      </c>
      <c r="D9904" s="1" t="s">
        <v>3401</v>
      </c>
    </row>
    <row r="9905">
      <c r="A9905" s="1" t="s">
        <v>18634</v>
      </c>
      <c r="B9905" s="2" t="s">
        <v>13984</v>
      </c>
      <c r="C9905" s="1" t="s">
        <v>3399</v>
      </c>
      <c r="D9905" s="1" t="s">
        <v>3401</v>
      </c>
    </row>
    <row r="9906">
      <c r="A9906" s="1" t="s">
        <v>18635</v>
      </c>
      <c r="B9906" s="2" t="s">
        <v>18478</v>
      </c>
      <c r="C9906" s="1" t="s">
        <v>3399</v>
      </c>
      <c r="D9906" s="1" t="s">
        <v>3401</v>
      </c>
    </row>
    <row r="9907">
      <c r="A9907" s="1" t="s">
        <v>18636</v>
      </c>
      <c r="B9907" s="2" t="s">
        <v>18480</v>
      </c>
      <c r="C9907" s="1" t="s">
        <v>3399</v>
      </c>
      <c r="D9907" s="1" t="s">
        <v>3401</v>
      </c>
    </row>
    <row r="9908">
      <c r="A9908" s="1" t="s">
        <v>18637</v>
      </c>
      <c r="B9908" s="2" t="s">
        <v>18482</v>
      </c>
      <c r="C9908" s="1" t="s">
        <v>3399</v>
      </c>
      <c r="D9908" s="1" t="s">
        <v>3401</v>
      </c>
    </row>
    <row r="9909">
      <c r="A9909" s="1" t="s">
        <v>18638</v>
      </c>
      <c r="B9909" s="2" t="s">
        <v>18484</v>
      </c>
      <c r="C9909" s="1" t="s">
        <v>3399</v>
      </c>
      <c r="D9909" s="1" t="s">
        <v>3401</v>
      </c>
    </row>
    <row r="9910">
      <c r="A9910" s="1" t="s">
        <v>18639</v>
      </c>
      <c r="B9910" s="2" t="s">
        <v>18486</v>
      </c>
      <c r="C9910" s="1" t="s">
        <v>3399</v>
      </c>
      <c r="D9910" s="1" t="s">
        <v>3401</v>
      </c>
    </row>
    <row r="9911">
      <c r="A9911" s="1" t="s">
        <v>18640</v>
      </c>
      <c r="B9911" s="2" t="s">
        <v>18488</v>
      </c>
      <c r="C9911" s="1" t="s">
        <v>3399</v>
      </c>
      <c r="D9911" s="1" t="s">
        <v>3401</v>
      </c>
    </row>
    <row r="9912">
      <c r="A9912" s="1" t="s">
        <v>18641</v>
      </c>
      <c r="B9912" s="2" t="s">
        <v>18490</v>
      </c>
      <c r="C9912" s="1" t="s">
        <v>3399</v>
      </c>
      <c r="D9912" s="1" t="s">
        <v>3401</v>
      </c>
    </row>
    <row r="9913">
      <c r="A9913" s="1" t="s">
        <v>18642</v>
      </c>
      <c r="B9913" s="2" t="s">
        <v>18492</v>
      </c>
      <c r="C9913" s="1" t="s">
        <v>3399</v>
      </c>
      <c r="D9913" s="1" t="s">
        <v>3401</v>
      </c>
    </row>
    <row r="9914">
      <c r="A9914" s="1" t="s">
        <v>18643</v>
      </c>
      <c r="B9914" s="2" t="s">
        <v>18494</v>
      </c>
      <c r="C9914" s="1" t="s">
        <v>3399</v>
      </c>
      <c r="D9914" s="1" t="s">
        <v>3401</v>
      </c>
    </row>
    <row r="9915">
      <c r="A9915" s="1" t="s">
        <v>18644</v>
      </c>
      <c r="B9915" s="2" t="s">
        <v>18496</v>
      </c>
      <c r="C9915" s="1" t="s">
        <v>3399</v>
      </c>
      <c r="D9915" s="1" t="s">
        <v>3401</v>
      </c>
    </row>
    <row r="9916">
      <c r="A9916" s="1" t="s">
        <v>18645</v>
      </c>
      <c r="B9916" s="2" t="s">
        <v>18498</v>
      </c>
      <c r="C9916" s="1" t="s">
        <v>3399</v>
      </c>
      <c r="D9916" s="1" t="s">
        <v>3401</v>
      </c>
    </row>
    <row r="9917">
      <c r="A9917" s="1" t="s">
        <v>18646</v>
      </c>
      <c r="B9917" s="2" t="s">
        <v>18500</v>
      </c>
      <c r="C9917" s="1" t="s">
        <v>3399</v>
      </c>
      <c r="D9917" s="1" t="s">
        <v>3401</v>
      </c>
    </row>
    <row r="9918">
      <c r="A9918" s="1" t="s">
        <v>18647</v>
      </c>
      <c r="B9918" s="2" t="s">
        <v>18502</v>
      </c>
      <c r="C9918" s="1" t="s">
        <v>3399</v>
      </c>
      <c r="D9918" s="1" t="s">
        <v>3401</v>
      </c>
    </row>
    <row r="9919">
      <c r="A9919" s="1" t="s">
        <v>18648</v>
      </c>
      <c r="B9919" s="2" t="s">
        <v>18504</v>
      </c>
      <c r="C9919" s="1" t="s">
        <v>3399</v>
      </c>
      <c r="D9919" s="1" t="s">
        <v>3401</v>
      </c>
    </row>
    <row r="9920">
      <c r="A9920" s="1" t="s">
        <v>18649</v>
      </c>
      <c r="B9920" s="2" t="s">
        <v>18506</v>
      </c>
      <c r="C9920" s="1" t="s">
        <v>3399</v>
      </c>
      <c r="D9920" s="1" t="s">
        <v>3401</v>
      </c>
    </row>
    <row r="9921">
      <c r="A9921" s="1" t="s">
        <v>18650</v>
      </c>
      <c r="B9921" s="2" t="s">
        <v>18508</v>
      </c>
      <c r="C9921" s="1" t="s">
        <v>3399</v>
      </c>
      <c r="D9921" s="1" t="s">
        <v>3401</v>
      </c>
    </row>
    <row r="9922">
      <c r="A9922" s="1" t="s">
        <v>18651</v>
      </c>
      <c r="B9922" s="2" t="s">
        <v>18510</v>
      </c>
      <c r="C9922" s="1" t="s">
        <v>3399</v>
      </c>
      <c r="D9922" s="1" t="s">
        <v>3401</v>
      </c>
    </row>
    <row r="9923">
      <c r="A9923" s="1" t="s">
        <v>18652</v>
      </c>
      <c r="B9923" s="2" t="s">
        <v>18512</v>
      </c>
      <c r="C9923" s="1" t="s">
        <v>3399</v>
      </c>
      <c r="D9923" s="1" t="s">
        <v>3401</v>
      </c>
    </row>
    <row r="9924">
      <c r="A9924" s="1" t="s">
        <v>18653</v>
      </c>
      <c r="B9924" s="2" t="s">
        <v>18514</v>
      </c>
      <c r="C9924" s="1" t="s">
        <v>3399</v>
      </c>
      <c r="D9924" s="1" t="s">
        <v>3401</v>
      </c>
    </row>
    <row r="9925">
      <c r="A9925" s="1" t="s">
        <v>18654</v>
      </c>
      <c r="B9925" s="2" t="s">
        <v>13994</v>
      </c>
      <c r="C9925" s="1" t="s">
        <v>3399</v>
      </c>
      <c r="D9925" s="1" t="s">
        <v>3401</v>
      </c>
    </row>
    <row r="9926">
      <c r="A9926" s="1" t="s">
        <v>18655</v>
      </c>
      <c r="B9926" s="2" t="s">
        <v>18517</v>
      </c>
      <c r="C9926" s="1" t="s">
        <v>3399</v>
      </c>
      <c r="D9926" s="1" t="s">
        <v>3401</v>
      </c>
    </row>
    <row r="9927">
      <c r="A9927" s="1" t="s">
        <v>18656</v>
      </c>
      <c r="B9927" s="2" t="s">
        <v>18519</v>
      </c>
      <c r="C9927" s="1" t="s">
        <v>3399</v>
      </c>
      <c r="D9927" s="1" t="s">
        <v>3401</v>
      </c>
    </row>
    <row r="9928">
      <c r="A9928" s="1" t="s">
        <v>18657</v>
      </c>
      <c r="B9928" s="2" t="s">
        <v>18521</v>
      </c>
      <c r="C9928" s="1" t="s">
        <v>3399</v>
      </c>
      <c r="D9928" s="1" t="s">
        <v>3401</v>
      </c>
    </row>
    <row r="9929">
      <c r="A9929" s="1" t="s">
        <v>18658</v>
      </c>
      <c r="B9929" s="2" t="s">
        <v>18523</v>
      </c>
      <c r="C9929" s="1" t="s">
        <v>3399</v>
      </c>
      <c r="D9929" s="1" t="s">
        <v>3401</v>
      </c>
    </row>
    <row r="9930">
      <c r="A9930" s="1" t="s">
        <v>18659</v>
      </c>
      <c r="B9930" s="2" t="s">
        <v>18525</v>
      </c>
      <c r="C9930" s="1" t="s">
        <v>3399</v>
      </c>
      <c r="D9930" s="1" t="s">
        <v>3401</v>
      </c>
    </row>
    <row r="9931">
      <c r="A9931" s="1" t="s">
        <v>18660</v>
      </c>
      <c r="B9931" s="2" t="s">
        <v>18527</v>
      </c>
      <c r="C9931" s="1" t="s">
        <v>3399</v>
      </c>
      <c r="D9931" s="1" t="s">
        <v>3401</v>
      </c>
    </row>
    <row r="9932">
      <c r="A9932" s="1" t="s">
        <v>18661</v>
      </c>
      <c r="B9932" s="2" t="s">
        <v>18529</v>
      </c>
      <c r="C9932" s="1" t="s">
        <v>3399</v>
      </c>
      <c r="D9932" s="1" t="s">
        <v>3401</v>
      </c>
    </row>
    <row r="9933">
      <c r="A9933" s="1" t="s">
        <v>18662</v>
      </c>
      <c r="B9933" s="2" t="s">
        <v>18531</v>
      </c>
      <c r="C9933" s="1" t="s">
        <v>3399</v>
      </c>
      <c r="D9933" s="1" t="s">
        <v>3401</v>
      </c>
    </row>
    <row r="9934">
      <c r="A9934" s="1" t="s">
        <v>18663</v>
      </c>
      <c r="B9934" s="2" t="s">
        <v>18533</v>
      </c>
      <c r="C9934" s="1" t="s">
        <v>3399</v>
      </c>
      <c r="D9934" s="1" t="s">
        <v>3401</v>
      </c>
    </row>
    <row r="9935">
      <c r="A9935" s="1" t="s">
        <v>18664</v>
      </c>
      <c r="B9935" s="2" t="s">
        <v>18535</v>
      </c>
      <c r="C9935" s="1" t="s">
        <v>3399</v>
      </c>
      <c r="D9935" s="1" t="s">
        <v>3401</v>
      </c>
    </row>
    <row r="9936">
      <c r="A9936" s="1" t="s">
        <v>18665</v>
      </c>
      <c r="B9936" s="2" t="s">
        <v>18537</v>
      </c>
      <c r="C9936" s="1" t="s">
        <v>3399</v>
      </c>
      <c r="D9936" s="1" t="s">
        <v>3401</v>
      </c>
    </row>
    <row r="9937">
      <c r="A9937" s="1" t="s">
        <v>18666</v>
      </c>
      <c r="B9937" s="2" t="s">
        <v>18539</v>
      </c>
      <c r="C9937" s="1" t="s">
        <v>3399</v>
      </c>
      <c r="D9937" s="1" t="s">
        <v>3401</v>
      </c>
    </row>
    <row r="9938">
      <c r="A9938" s="1" t="s">
        <v>18667</v>
      </c>
      <c r="B9938" s="2" t="s">
        <v>18541</v>
      </c>
      <c r="C9938" s="1" t="s">
        <v>3399</v>
      </c>
      <c r="D9938" s="1" t="s">
        <v>3401</v>
      </c>
    </row>
    <row r="9939">
      <c r="A9939" s="1" t="s">
        <v>18668</v>
      </c>
      <c r="B9939" s="2" t="s">
        <v>18543</v>
      </c>
      <c r="C9939" s="1" t="s">
        <v>3399</v>
      </c>
      <c r="D9939" s="1" t="s">
        <v>3401</v>
      </c>
    </row>
    <row r="9940">
      <c r="A9940" s="1" t="s">
        <v>18669</v>
      </c>
      <c r="B9940" s="2" t="s">
        <v>18545</v>
      </c>
      <c r="C9940" s="1" t="s">
        <v>3399</v>
      </c>
      <c r="D9940" s="1" t="s">
        <v>3401</v>
      </c>
    </row>
    <row r="9941">
      <c r="A9941" s="1" t="s">
        <v>18670</v>
      </c>
      <c r="B9941" s="2" t="s">
        <v>18547</v>
      </c>
      <c r="C9941" s="1" t="s">
        <v>3399</v>
      </c>
      <c r="D9941" s="1" t="s">
        <v>3401</v>
      </c>
    </row>
    <row r="9942">
      <c r="A9942" s="1" t="s">
        <v>18671</v>
      </c>
      <c r="B9942" s="2" t="s">
        <v>18549</v>
      </c>
      <c r="C9942" s="1" t="s">
        <v>3399</v>
      </c>
      <c r="D9942" s="1" t="s">
        <v>3401</v>
      </c>
    </row>
    <row r="9943">
      <c r="A9943" s="1" t="s">
        <v>18672</v>
      </c>
      <c r="B9943" s="2" t="s">
        <v>18551</v>
      </c>
      <c r="C9943" s="1" t="s">
        <v>3399</v>
      </c>
      <c r="D9943" s="1" t="s">
        <v>3401</v>
      </c>
    </row>
    <row r="9944">
      <c r="A9944" s="1" t="s">
        <v>18673</v>
      </c>
      <c r="B9944" s="2" t="s">
        <v>18553</v>
      </c>
      <c r="C9944" s="1" t="s">
        <v>3399</v>
      </c>
      <c r="D9944" s="1" t="s">
        <v>3401</v>
      </c>
    </row>
    <row r="9945">
      <c r="A9945" s="1" t="s">
        <v>3407</v>
      </c>
      <c r="B9945" s="2" t="s">
        <v>7</v>
      </c>
      <c r="C9945" s="1" t="s">
        <v>3410</v>
      </c>
      <c r="D9945" s="1" t="s">
        <v>3411</v>
      </c>
    </row>
    <row r="9946">
      <c r="A9946" s="1" t="s">
        <v>18674</v>
      </c>
      <c r="B9946" s="2" t="s">
        <v>13984</v>
      </c>
      <c r="C9946" s="1" t="s">
        <v>3410</v>
      </c>
      <c r="D9946" s="1" t="s">
        <v>3411</v>
      </c>
    </row>
    <row r="9947">
      <c r="A9947" s="1" t="s">
        <v>18675</v>
      </c>
      <c r="B9947" s="2" t="s">
        <v>18478</v>
      </c>
      <c r="C9947" s="1" t="s">
        <v>3410</v>
      </c>
      <c r="D9947" s="1" t="s">
        <v>3411</v>
      </c>
    </row>
    <row r="9948">
      <c r="A9948" s="1" t="s">
        <v>18676</v>
      </c>
      <c r="B9948" s="2" t="s">
        <v>18480</v>
      </c>
      <c r="C9948" s="1" t="s">
        <v>3410</v>
      </c>
      <c r="D9948" s="1" t="s">
        <v>3411</v>
      </c>
    </row>
    <row r="9949">
      <c r="A9949" s="1" t="s">
        <v>18677</v>
      </c>
      <c r="B9949" s="2" t="s">
        <v>18482</v>
      </c>
      <c r="C9949" s="1" t="s">
        <v>3410</v>
      </c>
      <c r="D9949" s="1" t="s">
        <v>3411</v>
      </c>
    </row>
    <row r="9950">
      <c r="A9950" s="1" t="s">
        <v>18678</v>
      </c>
      <c r="B9950" s="2" t="s">
        <v>18484</v>
      </c>
      <c r="C9950" s="1" t="s">
        <v>3410</v>
      </c>
      <c r="D9950" s="1" t="s">
        <v>3411</v>
      </c>
    </row>
    <row r="9951">
      <c r="A9951" s="1" t="s">
        <v>18679</v>
      </c>
      <c r="B9951" s="2" t="s">
        <v>18486</v>
      </c>
      <c r="C9951" s="1" t="s">
        <v>3410</v>
      </c>
      <c r="D9951" s="1" t="s">
        <v>3411</v>
      </c>
    </row>
    <row r="9952">
      <c r="A9952" s="1" t="s">
        <v>18680</v>
      </c>
      <c r="B9952" s="2" t="s">
        <v>18488</v>
      </c>
      <c r="C9952" s="1" t="s">
        <v>3410</v>
      </c>
      <c r="D9952" s="1" t="s">
        <v>3411</v>
      </c>
    </row>
    <row r="9953">
      <c r="A9953" s="1" t="s">
        <v>18681</v>
      </c>
      <c r="B9953" s="2" t="s">
        <v>18490</v>
      </c>
      <c r="C9953" s="1" t="s">
        <v>3410</v>
      </c>
      <c r="D9953" s="1" t="s">
        <v>3411</v>
      </c>
    </row>
    <row r="9954">
      <c r="A9954" s="1" t="s">
        <v>18682</v>
      </c>
      <c r="B9954" s="2" t="s">
        <v>18492</v>
      </c>
      <c r="C9954" s="1" t="s">
        <v>3410</v>
      </c>
      <c r="D9954" s="1" t="s">
        <v>3411</v>
      </c>
    </row>
    <row r="9955">
      <c r="A9955" s="1" t="s">
        <v>18683</v>
      </c>
      <c r="B9955" s="2" t="s">
        <v>18494</v>
      </c>
      <c r="C9955" s="1" t="s">
        <v>3410</v>
      </c>
      <c r="D9955" s="1" t="s">
        <v>3411</v>
      </c>
    </row>
    <row r="9956">
      <c r="A9956" s="1" t="s">
        <v>18684</v>
      </c>
      <c r="B9956" s="2" t="s">
        <v>18496</v>
      </c>
      <c r="C9956" s="1" t="s">
        <v>3410</v>
      </c>
      <c r="D9956" s="1" t="s">
        <v>3411</v>
      </c>
    </row>
    <row r="9957">
      <c r="A9957" s="1" t="s">
        <v>18685</v>
      </c>
      <c r="B9957" s="2" t="s">
        <v>18498</v>
      </c>
      <c r="C9957" s="1" t="s">
        <v>3410</v>
      </c>
      <c r="D9957" s="1" t="s">
        <v>3411</v>
      </c>
    </row>
    <row r="9958">
      <c r="A9958" s="1" t="s">
        <v>18686</v>
      </c>
      <c r="B9958" s="2" t="s">
        <v>18500</v>
      </c>
      <c r="C9958" s="1" t="s">
        <v>3410</v>
      </c>
      <c r="D9958" s="1" t="s">
        <v>3411</v>
      </c>
    </row>
    <row r="9959">
      <c r="A9959" s="1" t="s">
        <v>18687</v>
      </c>
      <c r="B9959" s="2" t="s">
        <v>18502</v>
      </c>
      <c r="C9959" s="1" t="s">
        <v>3410</v>
      </c>
      <c r="D9959" s="1" t="s">
        <v>3411</v>
      </c>
    </row>
    <row r="9960">
      <c r="A9960" s="1" t="s">
        <v>18688</v>
      </c>
      <c r="B9960" s="2" t="s">
        <v>18504</v>
      </c>
      <c r="C9960" s="1" t="s">
        <v>3410</v>
      </c>
      <c r="D9960" s="1" t="s">
        <v>3411</v>
      </c>
    </row>
    <row r="9961">
      <c r="A9961" s="1" t="s">
        <v>18689</v>
      </c>
      <c r="B9961" s="2" t="s">
        <v>18506</v>
      </c>
      <c r="C9961" s="1" t="s">
        <v>3410</v>
      </c>
      <c r="D9961" s="1" t="s">
        <v>3411</v>
      </c>
    </row>
    <row r="9962">
      <c r="A9962" s="1" t="s">
        <v>18690</v>
      </c>
      <c r="B9962" s="2" t="s">
        <v>18508</v>
      </c>
      <c r="C9962" s="1" t="s">
        <v>3410</v>
      </c>
      <c r="D9962" s="1" t="s">
        <v>3411</v>
      </c>
    </row>
    <row r="9963">
      <c r="A9963" s="1" t="s">
        <v>18691</v>
      </c>
      <c r="B9963" s="2" t="s">
        <v>18510</v>
      </c>
      <c r="C9963" s="1" t="s">
        <v>3410</v>
      </c>
      <c r="D9963" s="1" t="s">
        <v>3411</v>
      </c>
    </row>
    <row r="9964">
      <c r="A9964" s="1" t="s">
        <v>18692</v>
      </c>
      <c r="B9964" s="2" t="s">
        <v>18512</v>
      </c>
      <c r="C9964" s="1" t="s">
        <v>3410</v>
      </c>
      <c r="D9964" s="1" t="s">
        <v>3411</v>
      </c>
    </row>
    <row r="9965">
      <c r="A9965" s="1" t="s">
        <v>18693</v>
      </c>
      <c r="B9965" s="2" t="s">
        <v>18514</v>
      </c>
      <c r="C9965" s="1" t="s">
        <v>3410</v>
      </c>
      <c r="D9965" s="1" t="s">
        <v>3411</v>
      </c>
    </row>
    <row r="9966">
      <c r="A9966" s="1" t="s">
        <v>18694</v>
      </c>
      <c r="B9966" s="2" t="s">
        <v>13994</v>
      </c>
      <c r="C9966" s="1" t="s">
        <v>3410</v>
      </c>
      <c r="D9966" s="1" t="s">
        <v>3411</v>
      </c>
    </row>
    <row r="9967">
      <c r="A9967" s="1" t="s">
        <v>18695</v>
      </c>
      <c r="B9967" s="2" t="s">
        <v>18517</v>
      </c>
      <c r="C9967" s="1" t="s">
        <v>3410</v>
      </c>
      <c r="D9967" s="1" t="s">
        <v>3411</v>
      </c>
    </row>
    <row r="9968">
      <c r="A9968" s="1" t="s">
        <v>18696</v>
      </c>
      <c r="B9968" s="2" t="s">
        <v>18519</v>
      </c>
      <c r="C9968" s="1" t="s">
        <v>3410</v>
      </c>
      <c r="D9968" s="1" t="s">
        <v>3411</v>
      </c>
    </row>
    <row r="9969">
      <c r="A9969" s="1" t="s">
        <v>18697</v>
      </c>
      <c r="B9969" s="2" t="s">
        <v>18521</v>
      </c>
      <c r="C9969" s="1" t="s">
        <v>3410</v>
      </c>
      <c r="D9969" s="1" t="s">
        <v>3411</v>
      </c>
    </row>
    <row r="9970">
      <c r="A9970" s="1" t="s">
        <v>18698</v>
      </c>
      <c r="B9970" s="2" t="s">
        <v>18523</v>
      </c>
      <c r="C9970" s="1" t="s">
        <v>3410</v>
      </c>
      <c r="D9970" s="1" t="s">
        <v>3411</v>
      </c>
    </row>
    <row r="9971">
      <c r="A9971" s="1" t="s">
        <v>18699</v>
      </c>
      <c r="B9971" s="2" t="s">
        <v>18525</v>
      </c>
      <c r="C9971" s="1" t="s">
        <v>3410</v>
      </c>
      <c r="D9971" s="1" t="s">
        <v>3411</v>
      </c>
    </row>
    <row r="9972">
      <c r="A9972" s="1" t="s">
        <v>18700</v>
      </c>
      <c r="B9972" s="2" t="s">
        <v>18527</v>
      </c>
      <c r="C9972" s="1" t="s">
        <v>3410</v>
      </c>
      <c r="D9972" s="1" t="s">
        <v>3411</v>
      </c>
    </row>
    <row r="9973">
      <c r="A9973" s="1" t="s">
        <v>18701</v>
      </c>
      <c r="B9973" s="2" t="s">
        <v>18529</v>
      </c>
      <c r="C9973" s="1" t="s">
        <v>3410</v>
      </c>
      <c r="D9973" s="1" t="s">
        <v>3411</v>
      </c>
    </row>
    <row r="9974">
      <c r="A9974" s="1" t="s">
        <v>18702</v>
      </c>
      <c r="B9974" s="2" t="s">
        <v>18531</v>
      </c>
      <c r="C9974" s="1" t="s">
        <v>3410</v>
      </c>
      <c r="D9974" s="1" t="s">
        <v>3411</v>
      </c>
    </row>
    <row r="9975">
      <c r="A9975" s="1" t="s">
        <v>18703</v>
      </c>
      <c r="B9975" s="2" t="s">
        <v>18533</v>
      </c>
      <c r="C9975" s="1" t="s">
        <v>3410</v>
      </c>
      <c r="D9975" s="1" t="s">
        <v>3411</v>
      </c>
    </row>
    <row r="9976">
      <c r="A9976" s="1" t="s">
        <v>18704</v>
      </c>
      <c r="B9976" s="2" t="s">
        <v>18535</v>
      </c>
      <c r="C9976" s="1" t="s">
        <v>3410</v>
      </c>
      <c r="D9976" s="1" t="s">
        <v>3411</v>
      </c>
    </row>
    <row r="9977">
      <c r="A9977" s="1" t="s">
        <v>18705</v>
      </c>
      <c r="B9977" s="2" t="s">
        <v>18537</v>
      </c>
      <c r="C9977" s="1" t="s">
        <v>3410</v>
      </c>
      <c r="D9977" s="1" t="s">
        <v>3411</v>
      </c>
    </row>
    <row r="9978">
      <c r="A9978" s="1" t="s">
        <v>18706</v>
      </c>
      <c r="B9978" s="2" t="s">
        <v>18539</v>
      </c>
      <c r="C9978" s="1" t="s">
        <v>3410</v>
      </c>
      <c r="D9978" s="1" t="s">
        <v>3411</v>
      </c>
    </row>
    <row r="9979">
      <c r="A9979" s="1" t="s">
        <v>18707</v>
      </c>
      <c r="B9979" s="2" t="s">
        <v>18541</v>
      </c>
      <c r="C9979" s="1" t="s">
        <v>3410</v>
      </c>
      <c r="D9979" s="1" t="s">
        <v>3411</v>
      </c>
    </row>
    <row r="9980">
      <c r="A9980" s="1" t="s">
        <v>18708</v>
      </c>
      <c r="B9980" s="2" t="s">
        <v>18543</v>
      </c>
      <c r="C9980" s="1" t="s">
        <v>3410</v>
      </c>
      <c r="D9980" s="1" t="s">
        <v>3411</v>
      </c>
    </row>
    <row r="9981">
      <c r="A9981" s="1" t="s">
        <v>18709</v>
      </c>
      <c r="B9981" s="2" t="s">
        <v>18545</v>
      </c>
      <c r="C9981" s="1" t="s">
        <v>3410</v>
      </c>
      <c r="D9981" s="1" t="s">
        <v>3411</v>
      </c>
    </row>
    <row r="9982">
      <c r="A9982" s="1" t="s">
        <v>18710</v>
      </c>
      <c r="B9982" s="2" t="s">
        <v>18547</v>
      </c>
      <c r="C9982" s="1" t="s">
        <v>3410</v>
      </c>
      <c r="D9982" s="1" t="s">
        <v>3411</v>
      </c>
    </row>
    <row r="9983">
      <c r="A9983" s="1" t="s">
        <v>18711</v>
      </c>
      <c r="B9983" s="2" t="s">
        <v>18549</v>
      </c>
      <c r="C9983" s="1" t="s">
        <v>3410</v>
      </c>
      <c r="D9983" s="1" t="s">
        <v>3411</v>
      </c>
    </row>
    <row r="9984">
      <c r="A9984" s="1" t="s">
        <v>18712</v>
      </c>
      <c r="B9984" s="2" t="s">
        <v>18551</v>
      </c>
      <c r="C9984" s="1" t="s">
        <v>3410</v>
      </c>
      <c r="D9984" s="1" t="s">
        <v>3411</v>
      </c>
    </row>
    <row r="9985">
      <c r="A9985" s="1" t="s">
        <v>18713</v>
      </c>
      <c r="B9985" s="2" t="s">
        <v>18553</v>
      </c>
      <c r="C9985" s="1" t="s">
        <v>3410</v>
      </c>
      <c r="D9985" s="1" t="s">
        <v>3411</v>
      </c>
    </row>
    <row r="9986">
      <c r="A9986" s="1" t="s">
        <v>3416</v>
      </c>
      <c r="B9986" s="2" t="s">
        <v>7</v>
      </c>
      <c r="C9986" s="1" t="s">
        <v>3418</v>
      </c>
      <c r="D9986" s="1" t="s">
        <v>3420</v>
      </c>
    </row>
    <row r="9987">
      <c r="A9987" s="1" t="s">
        <v>18714</v>
      </c>
      <c r="B9987" s="2" t="s">
        <v>13984</v>
      </c>
      <c r="C9987" s="1" t="s">
        <v>3418</v>
      </c>
      <c r="D9987" s="1" t="s">
        <v>3420</v>
      </c>
    </row>
    <row r="9988">
      <c r="A9988" s="1" t="s">
        <v>18715</v>
      </c>
      <c r="B9988" s="2" t="s">
        <v>18478</v>
      </c>
      <c r="C9988" s="1" t="s">
        <v>3418</v>
      </c>
      <c r="D9988" s="1" t="s">
        <v>3420</v>
      </c>
    </row>
    <row r="9989">
      <c r="A9989" s="1" t="s">
        <v>18716</v>
      </c>
      <c r="B9989" s="2" t="s">
        <v>18480</v>
      </c>
      <c r="C9989" s="1" t="s">
        <v>3418</v>
      </c>
      <c r="D9989" s="1" t="s">
        <v>3420</v>
      </c>
    </row>
    <row r="9990">
      <c r="A9990" s="1" t="s">
        <v>18717</v>
      </c>
      <c r="B9990" s="2" t="s">
        <v>18482</v>
      </c>
      <c r="C9990" s="1" t="s">
        <v>3418</v>
      </c>
      <c r="D9990" s="1" t="s">
        <v>3420</v>
      </c>
    </row>
    <row r="9991">
      <c r="A9991" s="1" t="s">
        <v>18718</v>
      </c>
      <c r="B9991" s="2" t="s">
        <v>18484</v>
      </c>
      <c r="C9991" s="1" t="s">
        <v>3418</v>
      </c>
      <c r="D9991" s="1" t="s">
        <v>3420</v>
      </c>
    </row>
    <row r="9992">
      <c r="A9992" s="1" t="s">
        <v>18719</v>
      </c>
      <c r="B9992" s="2" t="s">
        <v>18486</v>
      </c>
      <c r="C9992" s="1" t="s">
        <v>3418</v>
      </c>
      <c r="D9992" s="1" t="s">
        <v>3420</v>
      </c>
    </row>
    <row r="9993">
      <c r="A9993" s="1" t="s">
        <v>18720</v>
      </c>
      <c r="B9993" s="2" t="s">
        <v>18488</v>
      </c>
      <c r="C9993" s="1" t="s">
        <v>3418</v>
      </c>
      <c r="D9993" s="1" t="s">
        <v>3420</v>
      </c>
    </row>
    <row r="9994">
      <c r="A9994" s="1" t="s">
        <v>18721</v>
      </c>
      <c r="B9994" s="2" t="s">
        <v>18490</v>
      </c>
      <c r="C9994" s="1" t="s">
        <v>3418</v>
      </c>
      <c r="D9994" s="1" t="s">
        <v>3420</v>
      </c>
    </row>
    <row r="9995">
      <c r="A9995" s="1" t="s">
        <v>18722</v>
      </c>
      <c r="B9995" s="2" t="s">
        <v>18492</v>
      </c>
      <c r="C9995" s="1" t="s">
        <v>3418</v>
      </c>
      <c r="D9995" s="1" t="s">
        <v>3420</v>
      </c>
    </row>
    <row r="9996">
      <c r="A9996" s="1" t="s">
        <v>18723</v>
      </c>
      <c r="B9996" s="2" t="s">
        <v>18494</v>
      </c>
      <c r="C9996" s="1" t="s">
        <v>3418</v>
      </c>
      <c r="D9996" s="1" t="s">
        <v>3420</v>
      </c>
    </row>
    <row r="9997">
      <c r="A9997" s="1" t="s">
        <v>18724</v>
      </c>
      <c r="B9997" s="2" t="s">
        <v>18496</v>
      </c>
      <c r="C9997" s="1" t="s">
        <v>3418</v>
      </c>
      <c r="D9997" s="1" t="s">
        <v>3420</v>
      </c>
    </row>
    <row r="9998">
      <c r="A9998" s="1" t="s">
        <v>18725</v>
      </c>
      <c r="B9998" s="2" t="s">
        <v>18498</v>
      </c>
      <c r="C9998" s="1" t="s">
        <v>3418</v>
      </c>
      <c r="D9998" s="1" t="s">
        <v>3420</v>
      </c>
    </row>
    <row r="9999">
      <c r="A9999" s="1" t="s">
        <v>18726</v>
      </c>
      <c r="B9999" s="2" t="s">
        <v>18500</v>
      </c>
      <c r="C9999" s="1" t="s">
        <v>3418</v>
      </c>
      <c r="D9999" s="1" t="s">
        <v>3420</v>
      </c>
    </row>
    <row r="10000">
      <c r="A10000" s="1" t="s">
        <v>18727</v>
      </c>
      <c r="B10000" s="2" t="s">
        <v>18502</v>
      </c>
      <c r="C10000" s="1" t="s">
        <v>3418</v>
      </c>
      <c r="D10000" s="1" t="s">
        <v>3420</v>
      </c>
    </row>
    <row r="10001">
      <c r="A10001" s="1" t="s">
        <v>18728</v>
      </c>
      <c r="B10001" s="2" t="s">
        <v>18504</v>
      </c>
      <c r="C10001" s="1" t="s">
        <v>3418</v>
      </c>
      <c r="D10001" s="1" t="s">
        <v>3420</v>
      </c>
    </row>
    <row r="10002">
      <c r="A10002" s="1" t="s">
        <v>18729</v>
      </c>
      <c r="B10002" s="2" t="s">
        <v>18506</v>
      </c>
      <c r="C10002" s="1" t="s">
        <v>3418</v>
      </c>
      <c r="D10002" s="1" t="s">
        <v>3420</v>
      </c>
    </row>
    <row r="10003">
      <c r="A10003" s="1" t="s">
        <v>18730</v>
      </c>
      <c r="B10003" s="2" t="s">
        <v>18508</v>
      </c>
      <c r="C10003" s="1" t="s">
        <v>3418</v>
      </c>
      <c r="D10003" s="1" t="s">
        <v>3420</v>
      </c>
    </row>
    <row r="10004">
      <c r="A10004" s="1" t="s">
        <v>18731</v>
      </c>
      <c r="B10004" s="2" t="s">
        <v>18510</v>
      </c>
      <c r="C10004" s="1" t="s">
        <v>3418</v>
      </c>
      <c r="D10004" s="1" t="s">
        <v>3420</v>
      </c>
    </row>
    <row r="10005">
      <c r="A10005" s="1" t="s">
        <v>18732</v>
      </c>
      <c r="B10005" s="2" t="s">
        <v>18512</v>
      </c>
      <c r="C10005" s="1" t="s">
        <v>3418</v>
      </c>
      <c r="D10005" s="1" t="s">
        <v>3420</v>
      </c>
    </row>
    <row r="10006">
      <c r="A10006" s="1" t="s">
        <v>18733</v>
      </c>
      <c r="B10006" s="2" t="s">
        <v>18514</v>
      </c>
      <c r="C10006" s="1" t="s">
        <v>3418</v>
      </c>
      <c r="D10006" s="1" t="s">
        <v>3420</v>
      </c>
    </row>
    <row r="10007">
      <c r="A10007" s="1" t="s">
        <v>18734</v>
      </c>
      <c r="B10007" s="2" t="s">
        <v>13994</v>
      </c>
      <c r="C10007" s="1" t="s">
        <v>3418</v>
      </c>
      <c r="D10007" s="1" t="s">
        <v>3420</v>
      </c>
    </row>
    <row r="10008">
      <c r="A10008" s="1" t="s">
        <v>18735</v>
      </c>
      <c r="B10008" s="2" t="s">
        <v>18517</v>
      </c>
      <c r="C10008" s="1" t="s">
        <v>3418</v>
      </c>
      <c r="D10008" s="1" t="s">
        <v>3420</v>
      </c>
    </row>
    <row r="10009">
      <c r="A10009" s="1" t="s">
        <v>18736</v>
      </c>
      <c r="B10009" s="2" t="s">
        <v>18519</v>
      </c>
      <c r="C10009" s="1" t="s">
        <v>3418</v>
      </c>
      <c r="D10009" s="1" t="s">
        <v>3420</v>
      </c>
    </row>
    <row r="10010">
      <c r="A10010" s="1" t="s">
        <v>18737</v>
      </c>
      <c r="B10010" s="2" t="s">
        <v>18521</v>
      </c>
      <c r="C10010" s="1" t="s">
        <v>3418</v>
      </c>
      <c r="D10010" s="1" t="s">
        <v>3420</v>
      </c>
    </row>
    <row r="10011">
      <c r="A10011" s="1" t="s">
        <v>18738</v>
      </c>
      <c r="B10011" s="2" t="s">
        <v>18523</v>
      </c>
      <c r="C10011" s="1" t="s">
        <v>3418</v>
      </c>
      <c r="D10011" s="1" t="s">
        <v>3420</v>
      </c>
    </row>
    <row r="10012">
      <c r="A10012" s="1" t="s">
        <v>18739</v>
      </c>
      <c r="B10012" s="2" t="s">
        <v>18525</v>
      </c>
      <c r="C10012" s="1" t="s">
        <v>3418</v>
      </c>
      <c r="D10012" s="1" t="s">
        <v>3420</v>
      </c>
    </row>
    <row r="10013">
      <c r="A10013" s="1" t="s">
        <v>18740</v>
      </c>
      <c r="B10013" s="2" t="s">
        <v>18527</v>
      </c>
      <c r="C10013" s="1" t="s">
        <v>3418</v>
      </c>
      <c r="D10013" s="1" t="s">
        <v>3420</v>
      </c>
    </row>
    <row r="10014">
      <c r="A10014" s="1" t="s">
        <v>18741</v>
      </c>
      <c r="B10014" s="2" t="s">
        <v>18529</v>
      </c>
      <c r="C10014" s="1" t="s">
        <v>3418</v>
      </c>
      <c r="D10014" s="1" t="s">
        <v>3420</v>
      </c>
    </row>
    <row r="10015">
      <c r="A10015" s="1" t="s">
        <v>18742</v>
      </c>
      <c r="B10015" s="2" t="s">
        <v>18531</v>
      </c>
      <c r="C10015" s="1" t="s">
        <v>3418</v>
      </c>
      <c r="D10015" s="1" t="s">
        <v>3420</v>
      </c>
    </row>
    <row r="10016">
      <c r="A10016" s="1" t="s">
        <v>18743</v>
      </c>
      <c r="B10016" s="2" t="s">
        <v>18533</v>
      </c>
      <c r="C10016" s="1" t="s">
        <v>3418</v>
      </c>
      <c r="D10016" s="1" t="s">
        <v>3420</v>
      </c>
    </row>
    <row r="10017">
      <c r="A10017" s="1" t="s">
        <v>18744</v>
      </c>
      <c r="B10017" s="2" t="s">
        <v>18535</v>
      </c>
      <c r="C10017" s="1" t="s">
        <v>3418</v>
      </c>
      <c r="D10017" s="1" t="s">
        <v>3420</v>
      </c>
    </row>
    <row r="10018">
      <c r="A10018" s="1" t="s">
        <v>18745</v>
      </c>
      <c r="B10018" s="2" t="s">
        <v>18537</v>
      </c>
      <c r="C10018" s="1" t="s">
        <v>3418</v>
      </c>
      <c r="D10018" s="1" t="s">
        <v>3420</v>
      </c>
    </row>
    <row r="10019">
      <c r="A10019" s="1" t="s">
        <v>18746</v>
      </c>
      <c r="B10019" s="2" t="s">
        <v>18539</v>
      </c>
      <c r="C10019" s="1" t="s">
        <v>3418</v>
      </c>
      <c r="D10019" s="1" t="s">
        <v>3420</v>
      </c>
    </row>
    <row r="10020">
      <c r="A10020" s="1" t="s">
        <v>18747</v>
      </c>
      <c r="B10020" s="2" t="s">
        <v>18541</v>
      </c>
      <c r="C10020" s="1" t="s">
        <v>3418</v>
      </c>
      <c r="D10020" s="1" t="s">
        <v>3420</v>
      </c>
    </row>
    <row r="10021">
      <c r="A10021" s="1" t="s">
        <v>18748</v>
      </c>
      <c r="B10021" s="2" t="s">
        <v>18543</v>
      </c>
      <c r="C10021" s="1" t="s">
        <v>3418</v>
      </c>
      <c r="D10021" s="1" t="s">
        <v>3420</v>
      </c>
    </row>
    <row r="10022">
      <c r="A10022" s="1" t="s">
        <v>18749</v>
      </c>
      <c r="B10022" s="2" t="s">
        <v>18545</v>
      </c>
      <c r="C10022" s="1" t="s">
        <v>3418</v>
      </c>
      <c r="D10022" s="1" t="s">
        <v>3420</v>
      </c>
    </row>
    <row r="10023">
      <c r="A10023" s="1" t="s">
        <v>18750</v>
      </c>
      <c r="B10023" s="2" t="s">
        <v>18547</v>
      </c>
      <c r="C10023" s="1" t="s">
        <v>3418</v>
      </c>
      <c r="D10023" s="1" t="s">
        <v>3420</v>
      </c>
    </row>
    <row r="10024">
      <c r="A10024" s="1" t="s">
        <v>18751</v>
      </c>
      <c r="B10024" s="2" t="s">
        <v>18549</v>
      </c>
      <c r="C10024" s="1" t="s">
        <v>3418</v>
      </c>
      <c r="D10024" s="1" t="s">
        <v>3420</v>
      </c>
    </row>
    <row r="10025">
      <c r="A10025" s="1" t="s">
        <v>18752</v>
      </c>
      <c r="B10025" s="2" t="s">
        <v>18551</v>
      </c>
      <c r="C10025" s="1" t="s">
        <v>3418</v>
      </c>
      <c r="D10025" s="1" t="s">
        <v>3420</v>
      </c>
    </row>
    <row r="10026">
      <c r="A10026" s="1" t="s">
        <v>18753</v>
      </c>
      <c r="B10026" s="2" t="s">
        <v>18553</v>
      </c>
      <c r="C10026" s="1" t="s">
        <v>3418</v>
      </c>
      <c r="D10026" s="1" t="s">
        <v>3420</v>
      </c>
    </row>
    <row r="10027">
      <c r="A10027" s="1" t="s">
        <v>3425</v>
      </c>
      <c r="B10027" s="2" t="s">
        <v>7</v>
      </c>
      <c r="C10027" s="1" t="s">
        <v>3428</v>
      </c>
      <c r="D10027" s="1" t="s">
        <v>3431</v>
      </c>
    </row>
    <row r="10028">
      <c r="A10028" s="1" t="s">
        <v>18754</v>
      </c>
      <c r="B10028" s="2" t="s">
        <v>13984</v>
      </c>
      <c r="C10028" s="1" t="s">
        <v>3428</v>
      </c>
      <c r="D10028" s="1" t="s">
        <v>3431</v>
      </c>
    </row>
    <row r="10029">
      <c r="A10029" s="1" t="s">
        <v>18755</v>
      </c>
      <c r="B10029" s="2" t="s">
        <v>18478</v>
      </c>
      <c r="C10029" s="1" t="s">
        <v>3428</v>
      </c>
      <c r="D10029" s="1" t="s">
        <v>3431</v>
      </c>
    </row>
    <row r="10030">
      <c r="A10030" s="1" t="s">
        <v>18756</v>
      </c>
      <c r="B10030" s="2" t="s">
        <v>18480</v>
      </c>
      <c r="C10030" s="1" t="s">
        <v>3428</v>
      </c>
      <c r="D10030" s="1" t="s">
        <v>3431</v>
      </c>
    </row>
    <row r="10031">
      <c r="A10031" s="1" t="s">
        <v>18757</v>
      </c>
      <c r="B10031" s="2" t="s">
        <v>18482</v>
      </c>
      <c r="C10031" s="1" t="s">
        <v>3428</v>
      </c>
      <c r="D10031" s="1" t="s">
        <v>3431</v>
      </c>
    </row>
    <row r="10032">
      <c r="A10032" s="1" t="s">
        <v>18758</v>
      </c>
      <c r="B10032" s="2" t="s">
        <v>18484</v>
      </c>
      <c r="C10032" s="1" t="s">
        <v>3428</v>
      </c>
      <c r="D10032" s="1" t="s">
        <v>3431</v>
      </c>
    </row>
    <row r="10033">
      <c r="A10033" s="1" t="s">
        <v>18759</v>
      </c>
      <c r="B10033" s="2" t="s">
        <v>18486</v>
      </c>
      <c r="C10033" s="1" t="s">
        <v>3428</v>
      </c>
      <c r="D10033" s="1" t="s">
        <v>3431</v>
      </c>
    </row>
    <row r="10034">
      <c r="A10034" s="1" t="s">
        <v>18760</v>
      </c>
      <c r="B10034" s="2" t="s">
        <v>18488</v>
      </c>
      <c r="C10034" s="1" t="s">
        <v>3428</v>
      </c>
      <c r="D10034" s="1" t="s">
        <v>3431</v>
      </c>
    </row>
    <row r="10035">
      <c r="A10035" s="1" t="s">
        <v>18761</v>
      </c>
      <c r="B10035" s="2" t="s">
        <v>18490</v>
      </c>
      <c r="C10035" s="1" t="s">
        <v>3428</v>
      </c>
      <c r="D10035" s="1" t="s">
        <v>3431</v>
      </c>
    </row>
    <row r="10036">
      <c r="A10036" s="1" t="s">
        <v>18762</v>
      </c>
      <c r="B10036" s="2" t="s">
        <v>18492</v>
      </c>
      <c r="C10036" s="1" t="s">
        <v>3428</v>
      </c>
      <c r="D10036" s="1" t="s">
        <v>3431</v>
      </c>
    </row>
    <row r="10037">
      <c r="A10037" s="1" t="s">
        <v>18763</v>
      </c>
      <c r="B10037" s="2" t="s">
        <v>18494</v>
      </c>
      <c r="C10037" s="1" t="s">
        <v>3428</v>
      </c>
      <c r="D10037" s="1" t="s">
        <v>3431</v>
      </c>
    </row>
    <row r="10038">
      <c r="A10038" s="1" t="s">
        <v>18764</v>
      </c>
      <c r="B10038" s="2" t="s">
        <v>18496</v>
      </c>
      <c r="C10038" s="1" t="s">
        <v>3428</v>
      </c>
      <c r="D10038" s="1" t="s">
        <v>3431</v>
      </c>
    </row>
    <row r="10039">
      <c r="A10039" s="1" t="s">
        <v>18765</v>
      </c>
      <c r="B10039" s="2" t="s">
        <v>18498</v>
      </c>
      <c r="C10039" s="1" t="s">
        <v>3428</v>
      </c>
      <c r="D10039" s="1" t="s">
        <v>3431</v>
      </c>
    </row>
    <row r="10040">
      <c r="A10040" s="1" t="s">
        <v>18766</v>
      </c>
      <c r="B10040" s="2" t="s">
        <v>18500</v>
      </c>
      <c r="C10040" s="1" t="s">
        <v>3428</v>
      </c>
      <c r="D10040" s="1" t="s">
        <v>3431</v>
      </c>
    </row>
    <row r="10041">
      <c r="A10041" s="1" t="s">
        <v>18767</v>
      </c>
      <c r="B10041" s="2" t="s">
        <v>18502</v>
      </c>
      <c r="C10041" s="1" t="s">
        <v>3428</v>
      </c>
      <c r="D10041" s="1" t="s">
        <v>3431</v>
      </c>
    </row>
    <row r="10042">
      <c r="A10042" s="1" t="s">
        <v>18768</v>
      </c>
      <c r="B10042" s="2" t="s">
        <v>18504</v>
      </c>
      <c r="C10042" s="1" t="s">
        <v>3428</v>
      </c>
      <c r="D10042" s="1" t="s">
        <v>3431</v>
      </c>
    </row>
    <row r="10043">
      <c r="A10043" s="1" t="s">
        <v>18769</v>
      </c>
      <c r="B10043" s="2" t="s">
        <v>18506</v>
      </c>
      <c r="C10043" s="1" t="s">
        <v>3428</v>
      </c>
      <c r="D10043" s="1" t="s">
        <v>3431</v>
      </c>
    </row>
    <row r="10044">
      <c r="A10044" s="1" t="s">
        <v>18770</v>
      </c>
      <c r="B10044" s="2" t="s">
        <v>18508</v>
      </c>
      <c r="C10044" s="1" t="s">
        <v>3428</v>
      </c>
      <c r="D10044" s="1" t="s">
        <v>3431</v>
      </c>
    </row>
    <row r="10045">
      <c r="A10045" s="1" t="s">
        <v>18771</v>
      </c>
      <c r="B10045" s="2" t="s">
        <v>18510</v>
      </c>
      <c r="C10045" s="1" t="s">
        <v>3428</v>
      </c>
      <c r="D10045" s="1" t="s">
        <v>3431</v>
      </c>
    </row>
    <row r="10046">
      <c r="A10046" s="1" t="s">
        <v>18772</v>
      </c>
      <c r="B10046" s="2" t="s">
        <v>18512</v>
      </c>
      <c r="C10046" s="1" t="s">
        <v>3428</v>
      </c>
      <c r="D10046" s="1" t="s">
        <v>3431</v>
      </c>
    </row>
    <row r="10047">
      <c r="A10047" s="1" t="s">
        <v>18773</v>
      </c>
      <c r="B10047" s="2" t="s">
        <v>18514</v>
      </c>
      <c r="C10047" s="1" t="s">
        <v>3428</v>
      </c>
      <c r="D10047" s="1" t="s">
        <v>3431</v>
      </c>
    </row>
    <row r="10048">
      <c r="A10048" s="1" t="s">
        <v>18774</v>
      </c>
      <c r="B10048" s="2" t="s">
        <v>13994</v>
      </c>
      <c r="C10048" s="1" t="s">
        <v>3428</v>
      </c>
      <c r="D10048" s="1" t="s">
        <v>3431</v>
      </c>
    </row>
    <row r="10049">
      <c r="A10049" s="1" t="s">
        <v>18775</v>
      </c>
      <c r="B10049" s="2" t="s">
        <v>18517</v>
      </c>
      <c r="C10049" s="1" t="s">
        <v>3428</v>
      </c>
      <c r="D10049" s="1" t="s">
        <v>3431</v>
      </c>
    </row>
    <row r="10050">
      <c r="A10050" s="1" t="s">
        <v>18776</v>
      </c>
      <c r="B10050" s="2" t="s">
        <v>18519</v>
      </c>
      <c r="C10050" s="1" t="s">
        <v>3428</v>
      </c>
      <c r="D10050" s="1" t="s">
        <v>3431</v>
      </c>
    </row>
    <row r="10051">
      <c r="A10051" s="1" t="s">
        <v>18777</v>
      </c>
      <c r="B10051" s="2" t="s">
        <v>18521</v>
      </c>
      <c r="C10051" s="1" t="s">
        <v>3428</v>
      </c>
      <c r="D10051" s="1" t="s">
        <v>3431</v>
      </c>
    </row>
    <row r="10052">
      <c r="A10052" s="1" t="s">
        <v>18778</v>
      </c>
      <c r="B10052" s="2" t="s">
        <v>18523</v>
      </c>
      <c r="C10052" s="1" t="s">
        <v>3428</v>
      </c>
      <c r="D10052" s="1" t="s">
        <v>3431</v>
      </c>
    </row>
    <row r="10053">
      <c r="A10053" s="1" t="s">
        <v>18779</v>
      </c>
      <c r="B10053" s="2" t="s">
        <v>18525</v>
      </c>
      <c r="C10053" s="1" t="s">
        <v>3428</v>
      </c>
      <c r="D10053" s="1" t="s">
        <v>3431</v>
      </c>
    </row>
    <row r="10054">
      <c r="A10054" s="1" t="s">
        <v>18780</v>
      </c>
      <c r="B10054" s="2" t="s">
        <v>18527</v>
      </c>
      <c r="C10054" s="1" t="s">
        <v>3428</v>
      </c>
      <c r="D10054" s="1" t="s">
        <v>3431</v>
      </c>
    </row>
    <row r="10055">
      <c r="A10055" s="1" t="s">
        <v>18781</v>
      </c>
      <c r="B10055" s="2" t="s">
        <v>18529</v>
      </c>
      <c r="C10055" s="1" t="s">
        <v>3428</v>
      </c>
      <c r="D10055" s="1" t="s">
        <v>3431</v>
      </c>
    </row>
    <row r="10056">
      <c r="A10056" s="1" t="s">
        <v>18782</v>
      </c>
      <c r="B10056" s="2" t="s">
        <v>18531</v>
      </c>
      <c r="C10056" s="1" t="s">
        <v>3428</v>
      </c>
      <c r="D10056" s="1" t="s">
        <v>3431</v>
      </c>
    </row>
    <row r="10057">
      <c r="A10057" s="1" t="s">
        <v>18783</v>
      </c>
      <c r="B10057" s="2" t="s">
        <v>18533</v>
      </c>
      <c r="C10057" s="1" t="s">
        <v>3428</v>
      </c>
      <c r="D10057" s="1" t="s">
        <v>3431</v>
      </c>
    </row>
    <row r="10058">
      <c r="A10058" s="1" t="s">
        <v>18784</v>
      </c>
      <c r="B10058" s="2" t="s">
        <v>18535</v>
      </c>
      <c r="C10058" s="1" t="s">
        <v>3428</v>
      </c>
      <c r="D10058" s="1" t="s">
        <v>3431</v>
      </c>
    </row>
    <row r="10059">
      <c r="A10059" s="1" t="s">
        <v>18785</v>
      </c>
      <c r="B10059" s="2" t="s">
        <v>18537</v>
      </c>
      <c r="C10059" s="1" t="s">
        <v>3428</v>
      </c>
      <c r="D10059" s="1" t="s">
        <v>3431</v>
      </c>
    </row>
    <row r="10060">
      <c r="A10060" s="1" t="s">
        <v>18786</v>
      </c>
      <c r="B10060" s="2" t="s">
        <v>18539</v>
      </c>
      <c r="C10060" s="1" t="s">
        <v>3428</v>
      </c>
      <c r="D10060" s="1" t="s">
        <v>3431</v>
      </c>
    </row>
    <row r="10061">
      <c r="A10061" s="1" t="s">
        <v>18787</v>
      </c>
      <c r="B10061" s="2" t="s">
        <v>18541</v>
      </c>
      <c r="C10061" s="1" t="s">
        <v>3428</v>
      </c>
      <c r="D10061" s="1" t="s">
        <v>3431</v>
      </c>
    </row>
    <row r="10062">
      <c r="A10062" s="1" t="s">
        <v>18788</v>
      </c>
      <c r="B10062" s="2" t="s">
        <v>18543</v>
      </c>
      <c r="C10062" s="1" t="s">
        <v>3428</v>
      </c>
      <c r="D10062" s="1" t="s">
        <v>3431</v>
      </c>
    </row>
    <row r="10063">
      <c r="A10063" s="1" t="s">
        <v>18789</v>
      </c>
      <c r="B10063" s="2" t="s">
        <v>18545</v>
      </c>
      <c r="C10063" s="1" t="s">
        <v>3428</v>
      </c>
      <c r="D10063" s="1" t="s">
        <v>3431</v>
      </c>
    </row>
    <row r="10064">
      <c r="A10064" s="1" t="s">
        <v>18790</v>
      </c>
      <c r="B10064" s="2" t="s">
        <v>18547</v>
      </c>
      <c r="C10064" s="1" t="s">
        <v>3428</v>
      </c>
      <c r="D10064" s="1" t="s">
        <v>3431</v>
      </c>
    </row>
    <row r="10065">
      <c r="A10065" s="1" t="s">
        <v>18791</v>
      </c>
      <c r="B10065" s="2" t="s">
        <v>18549</v>
      </c>
      <c r="C10065" s="1" t="s">
        <v>3428</v>
      </c>
      <c r="D10065" s="1" t="s">
        <v>3431</v>
      </c>
    </row>
    <row r="10066">
      <c r="A10066" s="1" t="s">
        <v>18792</v>
      </c>
      <c r="B10066" s="2" t="s">
        <v>18551</v>
      </c>
      <c r="C10066" s="1" t="s">
        <v>3428</v>
      </c>
      <c r="D10066" s="1" t="s">
        <v>3431</v>
      </c>
    </row>
    <row r="10067">
      <c r="A10067" s="1" t="s">
        <v>18793</v>
      </c>
      <c r="B10067" s="2" t="s">
        <v>18553</v>
      </c>
      <c r="C10067" s="1" t="s">
        <v>3428</v>
      </c>
      <c r="D10067" s="1" t="s">
        <v>3431</v>
      </c>
    </row>
    <row r="10068">
      <c r="A10068" s="1" t="s">
        <v>3436</v>
      </c>
      <c r="B10068" s="2" t="s">
        <v>7</v>
      </c>
      <c r="C10068" s="1" t="s">
        <v>3439</v>
      </c>
      <c r="D10068" s="1" t="s">
        <v>3440</v>
      </c>
    </row>
    <row r="10069">
      <c r="A10069" s="1" t="s">
        <v>18794</v>
      </c>
      <c r="B10069" s="2" t="s">
        <v>13984</v>
      </c>
      <c r="C10069" s="1" t="s">
        <v>3439</v>
      </c>
      <c r="D10069" s="1" t="s">
        <v>3440</v>
      </c>
    </row>
    <row r="10070">
      <c r="A10070" s="1" t="s">
        <v>18795</v>
      </c>
      <c r="B10070" s="2" t="s">
        <v>18478</v>
      </c>
      <c r="C10070" s="1" t="s">
        <v>3439</v>
      </c>
      <c r="D10070" s="1" t="s">
        <v>3440</v>
      </c>
    </row>
    <row r="10071">
      <c r="A10071" s="1" t="s">
        <v>18796</v>
      </c>
      <c r="B10071" s="2" t="s">
        <v>18480</v>
      </c>
      <c r="C10071" s="1" t="s">
        <v>3439</v>
      </c>
      <c r="D10071" s="1" t="s">
        <v>3440</v>
      </c>
    </row>
    <row r="10072">
      <c r="A10072" s="1" t="s">
        <v>18797</v>
      </c>
      <c r="B10072" s="2" t="s">
        <v>18482</v>
      </c>
      <c r="C10072" s="1" t="s">
        <v>3439</v>
      </c>
      <c r="D10072" s="1" t="s">
        <v>3440</v>
      </c>
    </row>
    <row r="10073">
      <c r="A10073" s="1" t="s">
        <v>18798</v>
      </c>
      <c r="B10073" s="2" t="s">
        <v>18484</v>
      </c>
      <c r="C10073" s="1" t="s">
        <v>3439</v>
      </c>
      <c r="D10073" s="1" t="s">
        <v>3440</v>
      </c>
    </row>
    <row r="10074">
      <c r="A10074" s="1" t="s">
        <v>18799</v>
      </c>
      <c r="B10074" s="2" t="s">
        <v>18486</v>
      </c>
      <c r="C10074" s="1" t="s">
        <v>3439</v>
      </c>
      <c r="D10074" s="1" t="s">
        <v>3440</v>
      </c>
    </row>
    <row r="10075">
      <c r="A10075" s="1" t="s">
        <v>18800</v>
      </c>
      <c r="B10075" s="2" t="s">
        <v>18488</v>
      </c>
      <c r="C10075" s="1" t="s">
        <v>3439</v>
      </c>
      <c r="D10075" s="1" t="s">
        <v>3440</v>
      </c>
    </row>
    <row r="10076">
      <c r="A10076" s="1" t="s">
        <v>18801</v>
      </c>
      <c r="B10076" s="2" t="s">
        <v>18490</v>
      </c>
      <c r="C10076" s="1" t="s">
        <v>3439</v>
      </c>
      <c r="D10076" s="1" t="s">
        <v>3440</v>
      </c>
    </row>
    <row r="10077">
      <c r="A10077" s="1" t="s">
        <v>18802</v>
      </c>
      <c r="B10077" s="2" t="s">
        <v>18492</v>
      </c>
      <c r="C10077" s="1" t="s">
        <v>3439</v>
      </c>
      <c r="D10077" s="1" t="s">
        <v>3440</v>
      </c>
    </row>
    <row r="10078">
      <c r="A10078" s="1" t="s">
        <v>18803</v>
      </c>
      <c r="B10078" s="2" t="s">
        <v>18494</v>
      </c>
      <c r="C10078" s="1" t="s">
        <v>3439</v>
      </c>
      <c r="D10078" s="1" t="s">
        <v>3440</v>
      </c>
    </row>
    <row r="10079">
      <c r="A10079" s="1" t="s">
        <v>18804</v>
      </c>
      <c r="B10079" s="2" t="s">
        <v>18496</v>
      </c>
      <c r="C10079" s="1" t="s">
        <v>3439</v>
      </c>
      <c r="D10079" s="1" t="s">
        <v>3440</v>
      </c>
    </row>
    <row r="10080">
      <c r="A10080" s="1" t="s">
        <v>18805</v>
      </c>
      <c r="B10080" s="2" t="s">
        <v>18498</v>
      </c>
      <c r="C10080" s="1" t="s">
        <v>3439</v>
      </c>
      <c r="D10080" s="1" t="s">
        <v>3440</v>
      </c>
    </row>
    <row r="10081">
      <c r="A10081" s="1" t="s">
        <v>18806</v>
      </c>
      <c r="B10081" s="2" t="s">
        <v>18500</v>
      </c>
      <c r="C10081" s="1" t="s">
        <v>3439</v>
      </c>
      <c r="D10081" s="1" t="s">
        <v>3440</v>
      </c>
    </row>
    <row r="10082">
      <c r="A10082" s="1" t="s">
        <v>18807</v>
      </c>
      <c r="B10082" s="2" t="s">
        <v>18502</v>
      </c>
      <c r="C10082" s="1" t="s">
        <v>3439</v>
      </c>
      <c r="D10082" s="1" t="s">
        <v>3440</v>
      </c>
    </row>
    <row r="10083">
      <c r="A10083" s="1" t="s">
        <v>18808</v>
      </c>
      <c r="B10083" s="2" t="s">
        <v>18504</v>
      </c>
      <c r="C10083" s="1" t="s">
        <v>3439</v>
      </c>
      <c r="D10083" s="1" t="s">
        <v>3440</v>
      </c>
    </row>
    <row r="10084">
      <c r="A10084" s="1" t="s">
        <v>18809</v>
      </c>
      <c r="B10084" s="2" t="s">
        <v>18506</v>
      </c>
      <c r="C10084" s="1" t="s">
        <v>3439</v>
      </c>
      <c r="D10084" s="1" t="s">
        <v>3440</v>
      </c>
    </row>
    <row r="10085">
      <c r="A10085" s="1" t="s">
        <v>18810</v>
      </c>
      <c r="B10085" s="2" t="s">
        <v>18508</v>
      </c>
      <c r="C10085" s="1" t="s">
        <v>3439</v>
      </c>
      <c r="D10085" s="1" t="s">
        <v>3440</v>
      </c>
    </row>
    <row r="10086">
      <c r="A10086" s="1" t="s">
        <v>18811</v>
      </c>
      <c r="B10086" s="2" t="s">
        <v>18510</v>
      </c>
      <c r="C10086" s="1" t="s">
        <v>3439</v>
      </c>
      <c r="D10086" s="1" t="s">
        <v>3440</v>
      </c>
    </row>
    <row r="10087">
      <c r="A10087" s="1" t="s">
        <v>18812</v>
      </c>
      <c r="B10087" s="2" t="s">
        <v>18512</v>
      </c>
      <c r="C10087" s="1" t="s">
        <v>3439</v>
      </c>
      <c r="D10087" s="1" t="s">
        <v>3440</v>
      </c>
    </row>
    <row r="10088">
      <c r="A10088" s="1" t="s">
        <v>18813</v>
      </c>
      <c r="B10088" s="2" t="s">
        <v>18514</v>
      </c>
      <c r="C10088" s="1" t="s">
        <v>3439</v>
      </c>
      <c r="D10088" s="1" t="s">
        <v>3440</v>
      </c>
    </row>
    <row r="10089">
      <c r="A10089" s="1" t="s">
        <v>18814</v>
      </c>
      <c r="B10089" s="2" t="s">
        <v>13994</v>
      </c>
      <c r="C10089" s="1" t="s">
        <v>3439</v>
      </c>
      <c r="D10089" s="1" t="s">
        <v>3440</v>
      </c>
    </row>
    <row r="10090">
      <c r="A10090" s="1" t="s">
        <v>18815</v>
      </c>
      <c r="B10090" s="2" t="s">
        <v>18517</v>
      </c>
      <c r="C10090" s="1" t="s">
        <v>3439</v>
      </c>
      <c r="D10090" s="1" t="s">
        <v>3440</v>
      </c>
    </row>
    <row r="10091">
      <c r="A10091" s="1" t="s">
        <v>18816</v>
      </c>
      <c r="B10091" s="2" t="s">
        <v>18519</v>
      </c>
      <c r="C10091" s="1" t="s">
        <v>3439</v>
      </c>
      <c r="D10091" s="1" t="s">
        <v>3440</v>
      </c>
    </row>
    <row r="10092">
      <c r="A10092" s="1" t="s">
        <v>18817</v>
      </c>
      <c r="B10092" s="2" t="s">
        <v>18521</v>
      </c>
      <c r="C10092" s="1" t="s">
        <v>3439</v>
      </c>
      <c r="D10092" s="1" t="s">
        <v>3440</v>
      </c>
    </row>
    <row r="10093">
      <c r="A10093" s="1" t="s">
        <v>18818</v>
      </c>
      <c r="B10093" s="2" t="s">
        <v>18523</v>
      </c>
      <c r="C10093" s="1" t="s">
        <v>3439</v>
      </c>
      <c r="D10093" s="1" t="s">
        <v>3440</v>
      </c>
    </row>
    <row r="10094">
      <c r="A10094" s="1" t="s">
        <v>18819</v>
      </c>
      <c r="B10094" s="2" t="s">
        <v>18525</v>
      </c>
      <c r="C10094" s="1" t="s">
        <v>3439</v>
      </c>
      <c r="D10094" s="1" t="s">
        <v>3440</v>
      </c>
    </row>
    <row r="10095">
      <c r="A10095" s="1" t="s">
        <v>18820</v>
      </c>
      <c r="B10095" s="2" t="s">
        <v>18527</v>
      </c>
      <c r="C10095" s="1" t="s">
        <v>3439</v>
      </c>
      <c r="D10095" s="1" t="s">
        <v>3440</v>
      </c>
    </row>
    <row r="10096">
      <c r="A10096" s="1" t="s">
        <v>18821</v>
      </c>
      <c r="B10096" s="2" t="s">
        <v>18529</v>
      </c>
      <c r="C10096" s="1" t="s">
        <v>3439</v>
      </c>
      <c r="D10096" s="1" t="s">
        <v>3440</v>
      </c>
    </row>
    <row r="10097">
      <c r="A10097" s="1" t="s">
        <v>18822</v>
      </c>
      <c r="B10097" s="2" t="s">
        <v>18531</v>
      </c>
      <c r="C10097" s="1" t="s">
        <v>3439</v>
      </c>
      <c r="D10097" s="1" t="s">
        <v>3440</v>
      </c>
    </row>
    <row r="10098">
      <c r="A10098" s="1" t="s">
        <v>18823</v>
      </c>
      <c r="B10098" s="2" t="s">
        <v>18533</v>
      </c>
      <c r="C10098" s="1" t="s">
        <v>3439</v>
      </c>
      <c r="D10098" s="1" t="s">
        <v>3440</v>
      </c>
    </row>
    <row r="10099">
      <c r="A10099" s="1" t="s">
        <v>18824</v>
      </c>
      <c r="B10099" s="2" t="s">
        <v>18535</v>
      </c>
      <c r="C10099" s="1" t="s">
        <v>3439</v>
      </c>
      <c r="D10099" s="1" t="s">
        <v>3440</v>
      </c>
    </row>
    <row r="10100">
      <c r="A10100" s="1" t="s">
        <v>18825</v>
      </c>
      <c r="B10100" s="2" t="s">
        <v>18537</v>
      </c>
      <c r="C10100" s="1" t="s">
        <v>3439</v>
      </c>
      <c r="D10100" s="1" t="s">
        <v>3440</v>
      </c>
    </row>
    <row r="10101">
      <c r="A10101" s="1" t="s">
        <v>18826</v>
      </c>
      <c r="B10101" s="2" t="s">
        <v>18539</v>
      </c>
      <c r="C10101" s="1" t="s">
        <v>3439</v>
      </c>
      <c r="D10101" s="1" t="s">
        <v>3440</v>
      </c>
    </row>
    <row r="10102">
      <c r="A10102" s="1" t="s">
        <v>18827</v>
      </c>
      <c r="B10102" s="2" t="s">
        <v>18541</v>
      </c>
      <c r="C10102" s="1" t="s">
        <v>3439</v>
      </c>
      <c r="D10102" s="1" t="s">
        <v>3440</v>
      </c>
    </row>
    <row r="10103">
      <c r="A10103" s="1" t="s">
        <v>18828</v>
      </c>
      <c r="B10103" s="2" t="s">
        <v>18543</v>
      </c>
      <c r="C10103" s="1" t="s">
        <v>3439</v>
      </c>
      <c r="D10103" s="1" t="s">
        <v>3440</v>
      </c>
    </row>
    <row r="10104">
      <c r="A10104" s="1" t="s">
        <v>18829</v>
      </c>
      <c r="B10104" s="2" t="s">
        <v>18545</v>
      </c>
      <c r="C10104" s="1" t="s">
        <v>3439</v>
      </c>
      <c r="D10104" s="1" t="s">
        <v>3440</v>
      </c>
    </row>
    <row r="10105">
      <c r="A10105" s="1" t="s">
        <v>18830</v>
      </c>
      <c r="B10105" s="2" t="s">
        <v>18547</v>
      </c>
      <c r="C10105" s="1" t="s">
        <v>3439</v>
      </c>
      <c r="D10105" s="1" t="s">
        <v>3440</v>
      </c>
    </row>
    <row r="10106">
      <c r="A10106" s="1" t="s">
        <v>18831</v>
      </c>
      <c r="B10106" s="2" t="s">
        <v>18549</v>
      </c>
      <c r="C10106" s="1" t="s">
        <v>3439</v>
      </c>
      <c r="D10106" s="1" t="s">
        <v>3440</v>
      </c>
    </row>
    <row r="10107">
      <c r="A10107" s="1" t="s">
        <v>18832</v>
      </c>
      <c r="B10107" s="2" t="s">
        <v>18551</v>
      </c>
      <c r="C10107" s="1" t="s">
        <v>3439</v>
      </c>
      <c r="D10107" s="1" t="s">
        <v>3440</v>
      </c>
    </row>
    <row r="10108">
      <c r="A10108" s="1" t="s">
        <v>18833</v>
      </c>
      <c r="B10108" s="2" t="s">
        <v>18553</v>
      </c>
      <c r="C10108" s="1" t="s">
        <v>3439</v>
      </c>
      <c r="D10108" s="1" t="s">
        <v>3440</v>
      </c>
    </row>
    <row r="10109">
      <c r="A10109" s="1" t="s">
        <v>3447</v>
      </c>
      <c r="B10109" s="2" t="s">
        <v>7</v>
      </c>
      <c r="C10109" s="1" t="s">
        <v>3450</v>
      </c>
      <c r="D10109" s="1" t="s">
        <v>3451</v>
      </c>
    </row>
    <row r="10110">
      <c r="A10110" s="1" t="s">
        <v>18834</v>
      </c>
      <c r="B10110" s="2" t="s">
        <v>13984</v>
      </c>
      <c r="C10110" s="1" t="s">
        <v>3450</v>
      </c>
      <c r="D10110" s="1" t="s">
        <v>3451</v>
      </c>
    </row>
    <row r="10111">
      <c r="A10111" s="1" t="s">
        <v>18835</v>
      </c>
      <c r="B10111" s="2" t="s">
        <v>18478</v>
      </c>
      <c r="C10111" s="1" t="s">
        <v>3450</v>
      </c>
      <c r="D10111" s="1" t="s">
        <v>3451</v>
      </c>
    </row>
    <row r="10112">
      <c r="A10112" s="1" t="s">
        <v>18836</v>
      </c>
      <c r="B10112" s="2" t="s">
        <v>18480</v>
      </c>
      <c r="C10112" s="1" t="s">
        <v>3450</v>
      </c>
      <c r="D10112" s="1" t="s">
        <v>3451</v>
      </c>
    </row>
    <row r="10113">
      <c r="A10113" s="1" t="s">
        <v>18837</v>
      </c>
      <c r="B10113" s="2" t="s">
        <v>18482</v>
      </c>
      <c r="C10113" s="1" t="s">
        <v>3450</v>
      </c>
      <c r="D10113" s="1" t="s">
        <v>3451</v>
      </c>
    </row>
    <row r="10114">
      <c r="A10114" s="1" t="s">
        <v>18838</v>
      </c>
      <c r="B10114" s="2" t="s">
        <v>18484</v>
      </c>
      <c r="C10114" s="1" t="s">
        <v>3450</v>
      </c>
      <c r="D10114" s="1" t="s">
        <v>3451</v>
      </c>
    </row>
    <row r="10115">
      <c r="A10115" s="1" t="s">
        <v>18839</v>
      </c>
      <c r="B10115" s="2" t="s">
        <v>18486</v>
      </c>
      <c r="C10115" s="1" t="s">
        <v>3450</v>
      </c>
      <c r="D10115" s="1" t="s">
        <v>3451</v>
      </c>
    </row>
    <row r="10116">
      <c r="A10116" s="1" t="s">
        <v>18840</v>
      </c>
      <c r="B10116" s="2" t="s">
        <v>18488</v>
      </c>
      <c r="C10116" s="1" t="s">
        <v>3450</v>
      </c>
      <c r="D10116" s="1" t="s">
        <v>3451</v>
      </c>
    </row>
    <row r="10117">
      <c r="A10117" s="1" t="s">
        <v>18841</v>
      </c>
      <c r="B10117" s="2" t="s">
        <v>18490</v>
      </c>
      <c r="C10117" s="1" t="s">
        <v>3450</v>
      </c>
      <c r="D10117" s="1" t="s">
        <v>3451</v>
      </c>
    </row>
    <row r="10118">
      <c r="A10118" s="1" t="s">
        <v>18842</v>
      </c>
      <c r="B10118" s="2" t="s">
        <v>18492</v>
      </c>
      <c r="C10118" s="1" t="s">
        <v>3450</v>
      </c>
      <c r="D10118" s="1" t="s">
        <v>3451</v>
      </c>
    </row>
    <row r="10119">
      <c r="A10119" s="1" t="s">
        <v>18843</v>
      </c>
      <c r="B10119" s="2" t="s">
        <v>18494</v>
      </c>
      <c r="C10119" s="1" t="s">
        <v>3450</v>
      </c>
      <c r="D10119" s="1" t="s">
        <v>3451</v>
      </c>
    </row>
    <row r="10120">
      <c r="A10120" s="1" t="s">
        <v>18844</v>
      </c>
      <c r="B10120" s="2" t="s">
        <v>18496</v>
      </c>
      <c r="C10120" s="1" t="s">
        <v>3450</v>
      </c>
      <c r="D10120" s="1" t="s">
        <v>3451</v>
      </c>
    </row>
    <row r="10121">
      <c r="A10121" s="1" t="s">
        <v>18845</v>
      </c>
      <c r="B10121" s="2" t="s">
        <v>18498</v>
      </c>
      <c r="C10121" s="1" t="s">
        <v>3450</v>
      </c>
      <c r="D10121" s="1" t="s">
        <v>3451</v>
      </c>
    </row>
    <row r="10122">
      <c r="A10122" s="1" t="s">
        <v>18846</v>
      </c>
      <c r="B10122" s="2" t="s">
        <v>18500</v>
      </c>
      <c r="C10122" s="1" t="s">
        <v>3450</v>
      </c>
      <c r="D10122" s="1" t="s">
        <v>3451</v>
      </c>
    </row>
    <row r="10123">
      <c r="A10123" s="1" t="s">
        <v>18847</v>
      </c>
      <c r="B10123" s="2" t="s">
        <v>18502</v>
      </c>
      <c r="C10123" s="1" t="s">
        <v>3450</v>
      </c>
      <c r="D10123" s="1" t="s">
        <v>3451</v>
      </c>
    </row>
    <row r="10124">
      <c r="A10124" s="1" t="s">
        <v>18848</v>
      </c>
      <c r="B10124" s="2" t="s">
        <v>18504</v>
      </c>
      <c r="C10124" s="1" t="s">
        <v>3450</v>
      </c>
      <c r="D10124" s="1" t="s">
        <v>3451</v>
      </c>
    </row>
    <row r="10125">
      <c r="A10125" s="1" t="s">
        <v>18849</v>
      </c>
      <c r="B10125" s="2" t="s">
        <v>18506</v>
      </c>
      <c r="C10125" s="1" t="s">
        <v>3450</v>
      </c>
      <c r="D10125" s="1" t="s">
        <v>3451</v>
      </c>
    </row>
    <row r="10126">
      <c r="A10126" s="1" t="s">
        <v>18850</v>
      </c>
      <c r="B10126" s="2" t="s">
        <v>18508</v>
      </c>
      <c r="C10126" s="1" t="s">
        <v>3450</v>
      </c>
      <c r="D10126" s="1" t="s">
        <v>3451</v>
      </c>
    </row>
    <row r="10127">
      <c r="A10127" s="1" t="s">
        <v>18851</v>
      </c>
      <c r="B10127" s="2" t="s">
        <v>18510</v>
      </c>
      <c r="C10127" s="1" t="s">
        <v>3450</v>
      </c>
      <c r="D10127" s="1" t="s">
        <v>3451</v>
      </c>
    </row>
    <row r="10128">
      <c r="A10128" s="1" t="s">
        <v>18852</v>
      </c>
      <c r="B10128" s="2" t="s">
        <v>18512</v>
      </c>
      <c r="C10128" s="1" t="s">
        <v>3450</v>
      </c>
      <c r="D10128" s="1" t="s">
        <v>3451</v>
      </c>
    </row>
    <row r="10129">
      <c r="A10129" s="1" t="s">
        <v>18853</v>
      </c>
      <c r="B10129" s="2" t="s">
        <v>18514</v>
      </c>
      <c r="C10129" s="1" t="s">
        <v>3450</v>
      </c>
      <c r="D10129" s="1" t="s">
        <v>3451</v>
      </c>
    </row>
    <row r="10130">
      <c r="A10130" s="1" t="s">
        <v>18854</v>
      </c>
      <c r="B10130" s="2" t="s">
        <v>13994</v>
      </c>
      <c r="C10130" s="1" t="s">
        <v>3450</v>
      </c>
      <c r="D10130" s="1" t="s">
        <v>3451</v>
      </c>
    </row>
    <row r="10131">
      <c r="A10131" s="1" t="s">
        <v>18855</v>
      </c>
      <c r="B10131" s="2" t="s">
        <v>18517</v>
      </c>
      <c r="C10131" s="1" t="s">
        <v>3450</v>
      </c>
      <c r="D10131" s="1" t="s">
        <v>3451</v>
      </c>
    </row>
    <row r="10132">
      <c r="A10132" s="1" t="s">
        <v>18856</v>
      </c>
      <c r="B10132" s="2" t="s">
        <v>18519</v>
      </c>
      <c r="C10132" s="1" t="s">
        <v>3450</v>
      </c>
      <c r="D10132" s="1" t="s">
        <v>3451</v>
      </c>
    </row>
    <row r="10133">
      <c r="A10133" s="1" t="s">
        <v>18857</v>
      </c>
      <c r="B10133" s="2" t="s">
        <v>18521</v>
      </c>
      <c r="C10133" s="1" t="s">
        <v>3450</v>
      </c>
      <c r="D10133" s="1" t="s">
        <v>3451</v>
      </c>
    </row>
    <row r="10134">
      <c r="A10134" s="1" t="s">
        <v>18858</v>
      </c>
      <c r="B10134" s="2" t="s">
        <v>18523</v>
      </c>
      <c r="C10134" s="1" t="s">
        <v>3450</v>
      </c>
      <c r="D10134" s="1" t="s">
        <v>3451</v>
      </c>
    </row>
    <row r="10135">
      <c r="A10135" s="1" t="s">
        <v>18859</v>
      </c>
      <c r="B10135" s="2" t="s">
        <v>18525</v>
      </c>
      <c r="C10135" s="1" t="s">
        <v>3450</v>
      </c>
      <c r="D10135" s="1" t="s">
        <v>3451</v>
      </c>
    </row>
    <row r="10136">
      <c r="A10136" s="1" t="s">
        <v>18860</v>
      </c>
      <c r="B10136" s="2" t="s">
        <v>18527</v>
      </c>
      <c r="C10136" s="1" t="s">
        <v>3450</v>
      </c>
      <c r="D10136" s="1" t="s">
        <v>3451</v>
      </c>
    </row>
    <row r="10137">
      <c r="A10137" s="1" t="s">
        <v>18861</v>
      </c>
      <c r="B10137" s="2" t="s">
        <v>18529</v>
      </c>
      <c r="C10137" s="1" t="s">
        <v>3450</v>
      </c>
      <c r="D10137" s="1" t="s">
        <v>3451</v>
      </c>
    </row>
    <row r="10138">
      <c r="A10138" s="1" t="s">
        <v>18862</v>
      </c>
      <c r="B10138" s="2" t="s">
        <v>18531</v>
      </c>
      <c r="C10138" s="1" t="s">
        <v>3450</v>
      </c>
      <c r="D10138" s="1" t="s">
        <v>3451</v>
      </c>
    </row>
    <row r="10139">
      <c r="A10139" s="1" t="s">
        <v>18863</v>
      </c>
      <c r="B10139" s="2" t="s">
        <v>18533</v>
      </c>
      <c r="C10139" s="1" t="s">
        <v>3450</v>
      </c>
      <c r="D10139" s="1" t="s">
        <v>3451</v>
      </c>
    </row>
    <row r="10140">
      <c r="A10140" s="1" t="s">
        <v>18864</v>
      </c>
      <c r="B10140" s="2" t="s">
        <v>18535</v>
      </c>
      <c r="C10140" s="1" t="s">
        <v>3450</v>
      </c>
      <c r="D10140" s="1" t="s">
        <v>3451</v>
      </c>
    </row>
    <row r="10141">
      <c r="A10141" s="1" t="s">
        <v>18865</v>
      </c>
      <c r="B10141" s="2" t="s">
        <v>18537</v>
      </c>
      <c r="C10141" s="1" t="s">
        <v>3450</v>
      </c>
      <c r="D10141" s="1" t="s">
        <v>3451</v>
      </c>
    </row>
    <row r="10142">
      <c r="A10142" s="1" t="s">
        <v>18866</v>
      </c>
      <c r="B10142" s="2" t="s">
        <v>18539</v>
      </c>
      <c r="C10142" s="1" t="s">
        <v>3450</v>
      </c>
      <c r="D10142" s="1" t="s">
        <v>3451</v>
      </c>
    </row>
    <row r="10143">
      <c r="A10143" s="1" t="s">
        <v>18867</v>
      </c>
      <c r="B10143" s="2" t="s">
        <v>18541</v>
      </c>
      <c r="C10143" s="1" t="s">
        <v>3450</v>
      </c>
      <c r="D10143" s="1" t="s">
        <v>3451</v>
      </c>
    </row>
    <row r="10144">
      <c r="A10144" s="1" t="s">
        <v>18868</v>
      </c>
      <c r="B10144" s="2" t="s">
        <v>18543</v>
      </c>
      <c r="C10144" s="1" t="s">
        <v>3450</v>
      </c>
      <c r="D10144" s="1" t="s">
        <v>3451</v>
      </c>
    </row>
    <row r="10145">
      <c r="A10145" s="1" t="s">
        <v>18869</v>
      </c>
      <c r="B10145" s="2" t="s">
        <v>18545</v>
      </c>
      <c r="C10145" s="1" t="s">
        <v>3450</v>
      </c>
      <c r="D10145" s="1" t="s">
        <v>3451</v>
      </c>
    </row>
    <row r="10146">
      <c r="A10146" s="1" t="s">
        <v>18870</v>
      </c>
      <c r="B10146" s="2" t="s">
        <v>18547</v>
      </c>
      <c r="C10146" s="1" t="s">
        <v>3450</v>
      </c>
      <c r="D10146" s="1" t="s">
        <v>3451</v>
      </c>
    </row>
    <row r="10147">
      <c r="A10147" s="1" t="s">
        <v>18871</v>
      </c>
      <c r="B10147" s="2" t="s">
        <v>18549</v>
      </c>
      <c r="C10147" s="1" t="s">
        <v>3450</v>
      </c>
      <c r="D10147" s="1" t="s">
        <v>3451</v>
      </c>
    </row>
    <row r="10148">
      <c r="A10148" s="1" t="s">
        <v>18872</v>
      </c>
      <c r="B10148" s="2" t="s">
        <v>18551</v>
      </c>
      <c r="C10148" s="1" t="s">
        <v>3450</v>
      </c>
      <c r="D10148" s="1" t="s">
        <v>3451</v>
      </c>
    </row>
    <row r="10149">
      <c r="A10149" s="1" t="s">
        <v>18873</v>
      </c>
      <c r="B10149" s="2" t="s">
        <v>18553</v>
      </c>
      <c r="C10149" s="1" t="s">
        <v>3450</v>
      </c>
      <c r="D10149" s="1" t="s">
        <v>3451</v>
      </c>
    </row>
    <row r="10150">
      <c r="A10150" s="1" t="s">
        <v>3366</v>
      </c>
      <c r="B10150" s="2" t="s">
        <v>7</v>
      </c>
      <c r="C10150" s="1" t="s">
        <v>3368</v>
      </c>
      <c r="D10150" s="1" t="s">
        <v>3369</v>
      </c>
    </row>
    <row r="10151">
      <c r="A10151" s="1" t="s">
        <v>18874</v>
      </c>
      <c r="B10151" s="2" t="s">
        <v>13984</v>
      </c>
      <c r="C10151" s="1" t="s">
        <v>3368</v>
      </c>
      <c r="D10151" s="1" t="s">
        <v>3369</v>
      </c>
    </row>
    <row r="10152">
      <c r="A10152" s="1" t="s">
        <v>18875</v>
      </c>
      <c r="B10152" s="2" t="s">
        <v>18478</v>
      </c>
      <c r="C10152" s="1" t="s">
        <v>3368</v>
      </c>
      <c r="D10152" s="1" t="s">
        <v>3369</v>
      </c>
    </row>
    <row r="10153">
      <c r="A10153" s="1" t="s">
        <v>18876</v>
      </c>
      <c r="B10153" s="2" t="s">
        <v>18480</v>
      </c>
      <c r="C10153" s="1" t="s">
        <v>3368</v>
      </c>
      <c r="D10153" s="1" t="s">
        <v>3369</v>
      </c>
    </row>
    <row r="10154">
      <c r="A10154" s="1" t="s">
        <v>18877</v>
      </c>
      <c r="B10154" s="2" t="s">
        <v>18482</v>
      </c>
      <c r="C10154" s="1" t="s">
        <v>3368</v>
      </c>
      <c r="D10154" s="1" t="s">
        <v>3369</v>
      </c>
    </row>
    <row r="10155">
      <c r="A10155" s="1" t="s">
        <v>18878</v>
      </c>
      <c r="B10155" s="2" t="s">
        <v>18484</v>
      </c>
      <c r="C10155" s="1" t="s">
        <v>3368</v>
      </c>
      <c r="D10155" s="1" t="s">
        <v>3369</v>
      </c>
    </row>
    <row r="10156">
      <c r="A10156" s="1" t="s">
        <v>18879</v>
      </c>
      <c r="B10156" s="2" t="s">
        <v>18486</v>
      </c>
      <c r="C10156" s="1" t="s">
        <v>3368</v>
      </c>
      <c r="D10156" s="1" t="s">
        <v>3369</v>
      </c>
    </row>
    <row r="10157">
      <c r="A10157" s="1" t="s">
        <v>18880</v>
      </c>
      <c r="B10157" s="2" t="s">
        <v>18488</v>
      </c>
      <c r="C10157" s="1" t="s">
        <v>3368</v>
      </c>
      <c r="D10157" s="1" t="s">
        <v>3369</v>
      </c>
    </row>
    <row r="10158">
      <c r="A10158" s="1" t="s">
        <v>18881</v>
      </c>
      <c r="B10158" s="2" t="s">
        <v>18490</v>
      </c>
      <c r="C10158" s="1" t="s">
        <v>3368</v>
      </c>
      <c r="D10158" s="1" t="s">
        <v>3369</v>
      </c>
    </row>
    <row r="10159">
      <c r="A10159" s="1" t="s">
        <v>18882</v>
      </c>
      <c r="B10159" s="2" t="s">
        <v>18492</v>
      </c>
      <c r="C10159" s="1" t="s">
        <v>3368</v>
      </c>
      <c r="D10159" s="1" t="s">
        <v>3369</v>
      </c>
    </row>
    <row r="10160">
      <c r="A10160" s="1" t="s">
        <v>18883</v>
      </c>
      <c r="B10160" s="2" t="s">
        <v>18494</v>
      </c>
      <c r="C10160" s="1" t="s">
        <v>3368</v>
      </c>
      <c r="D10160" s="1" t="s">
        <v>3369</v>
      </c>
    </row>
    <row r="10161">
      <c r="A10161" s="1" t="s">
        <v>18884</v>
      </c>
      <c r="B10161" s="2" t="s">
        <v>18496</v>
      </c>
      <c r="C10161" s="1" t="s">
        <v>3368</v>
      </c>
      <c r="D10161" s="1" t="s">
        <v>3369</v>
      </c>
    </row>
    <row r="10162">
      <c r="A10162" s="1" t="s">
        <v>18885</v>
      </c>
      <c r="B10162" s="2" t="s">
        <v>18498</v>
      </c>
      <c r="C10162" s="1" t="s">
        <v>3368</v>
      </c>
      <c r="D10162" s="1" t="s">
        <v>3369</v>
      </c>
    </row>
    <row r="10163">
      <c r="A10163" s="1" t="s">
        <v>18886</v>
      </c>
      <c r="B10163" s="2" t="s">
        <v>18500</v>
      </c>
      <c r="C10163" s="1" t="s">
        <v>3368</v>
      </c>
      <c r="D10163" s="1" t="s">
        <v>3369</v>
      </c>
    </row>
    <row r="10164">
      <c r="A10164" s="1" t="s">
        <v>18887</v>
      </c>
      <c r="B10164" s="2" t="s">
        <v>18502</v>
      </c>
      <c r="C10164" s="1" t="s">
        <v>3368</v>
      </c>
      <c r="D10164" s="1" t="s">
        <v>3369</v>
      </c>
    </row>
    <row r="10165">
      <c r="A10165" s="1" t="s">
        <v>18888</v>
      </c>
      <c r="B10165" s="2" t="s">
        <v>18504</v>
      </c>
      <c r="C10165" s="1" t="s">
        <v>3368</v>
      </c>
      <c r="D10165" s="1" t="s">
        <v>3369</v>
      </c>
    </row>
    <row r="10166">
      <c r="A10166" s="1" t="s">
        <v>18889</v>
      </c>
      <c r="B10166" s="2" t="s">
        <v>18506</v>
      </c>
      <c r="C10166" s="1" t="s">
        <v>3368</v>
      </c>
      <c r="D10166" s="1" t="s">
        <v>3369</v>
      </c>
    </row>
    <row r="10167">
      <c r="A10167" s="1" t="s">
        <v>18890</v>
      </c>
      <c r="B10167" s="2" t="s">
        <v>18508</v>
      </c>
      <c r="C10167" s="1" t="s">
        <v>3368</v>
      </c>
      <c r="D10167" s="1" t="s">
        <v>3369</v>
      </c>
    </row>
    <row r="10168">
      <c r="A10168" s="1" t="s">
        <v>18891</v>
      </c>
      <c r="B10168" s="2" t="s">
        <v>18510</v>
      </c>
      <c r="C10168" s="1" t="s">
        <v>3368</v>
      </c>
      <c r="D10168" s="1" t="s">
        <v>3369</v>
      </c>
    </row>
    <row r="10169">
      <c r="A10169" s="1" t="s">
        <v>18892</v>
      </c>
      <c r="B10169" s="2" t="s">
        <v>18512</v>
      </c>
      <c r="C10169" s="1" t="s">
        <v>3368</v>
      </c>
      <c r="D10169" s="1" t="s">
        <v>3369</v>
      </c>
    </row>
    <row r="10170">
      <c r="A10170" s="1" t="s">
        <v>18893</v>
      </c>
      <c r="B10170" s="2" t="s">
        <v>18514</v>
      </c>
      <c r="C10170" s="1" t="s">
        <v>3368</v>
      </c>
      <c r="D10170" s="1" t="s">
        <v>3369</v>
      </c>
    </row>
    <row r="10171">
      <c r="A10171" s="1" t="s">
        <v>18894</v>
      </c>
      <c r="B10171" s="2" t="s">
        <v>13994</v>
      </c>
      <c r="C10171" s="1" t="s">
        <v>3368</v>
      </c>
      <c r="D10171" s="1" t="s">
        <v>3369</v>
      </c>
    </row>
    <row r="10172">
      <c r="A10172" s="1" t="s">
        <v>18895</v>
      </c>
      <c r="B10172" s="2" t="s">
        <v>18517</v>
      </c>
      <c r="C10172" s="1" t="s">
        <v>3368</v>
      </c>
      <c r="D10172" s="1" t="s">
        <v>3369</v>
      </c>
    </row>
    <row r="10173">
      <c r="A10173" s="1" t="s">
        <v>18896</v>
      </c>
      <c r="B10173" s="2" t="s">
        <v>18519</v>
      </c>
      <c r="C10173" s="1" t="s">
        <v>3368</v>
      </c>
      <c r="D10173" s="1" t="s">
        <v>3369</v>
      </c>
    </row>
    <row r="10174">
      <c r="A10174" s="1" t="s">
        <v>18897</v>
      </c>
      <c r="B10174" s="2" t="s">
        <v>18521</v>
      </c>
      <c r="C10174" s="1" t="s">
        <v>3368</v>
      </c>
      <c r="D10174" s="1" t="s">
        <v>3369</v>
      </c>
    </row>
    <row r="10175">
      <c r="A10175" s="1" t="s">
        <v>18898</v>
      </c>
      <c r="B10175" s="2" t="s">
        <v>18523</v>
      </c>
      <c r="C10175" s="1" t="s">
        <v>3368</v>
      </c>
      <c r="D10175" s="1" t="s">
        <v>3369</v>
      </c>
    </row>
    <row r="10176">
      <c r="A10176" s="1" t="s">
        <v>18899</v>
      </c>
      <c r="B10176" s="2" t="s">
        <v>18525</v>
      </c>
      <c r="C10176" s="1" t="s">
        <v>3368</v>
      </c>
      <c r="D10176" s="1" t="s">
        <v>3369</v>
      </c>
    </row>
    <row r="10177">
      <c r="A10177" s="1" t="s">
        <v>18900</v>
      </c>
      <c r="B10177" s="2" t="s">
        <v>18527</v>
      </c>
      <c r="C10177" s="1" t="s">
        <v>3368</v>
      </c>
      <c r="D10177" s="1" t="s">
        <v>3369</v>
      </c>
    </row>
    <row r="10178">
      <c r="A10178" s="1" t="s">
        <v>18901</v>
      </c>
      <c r="B10178" s="2" t="s">
        <v>18529</v>
      </c>
      <c r="C10178" s="1" t="s">
        <v>3368</v>
      </c>
      <c r="D10178" s="1" t="s">
        <v>3369</v>
      </c>
    </row>
    <row r="10179">
      <c r="A10179" s="1" t="s">
        <v>18902</v>
      </c>
      <c r="B10179" s="2" t="s">
        <v>18531</v>
      </c>
      <c r="C10179" s="1" t="s">
        <v>3368</v>
      </c>
      <c r="D10179" s="1" t="s">
        <v>3369</v>
      </c>
    </row>
    <row r="10180">
      <c r="A10180" s="1" t="s">
        <v>18903</v>
      </c>
      <c r="B10180" s="2" t="s">
        <v>18533</v>
      </c>
      <c r="C10180" s="1" t="s">
        <v>3368</v>
      </c>
      <c r="D10180" s="1" t="s">
        <v>3369</v>
      </c>
    </row>
    <row r="10181">
      <c r="A10181" s="1" t="s">
        <v>18904</v>
      </c>
      <c r="B10181" s="2" t="s">
        <v>18535</v>
      </c>
      <c r="C10181" s="1" t="s">
        <v>3368</v>
      </c>
      <c r="D10181" s="1" t="s">
        <v>3369</v>
      </c>
    </row>
    <row r="10182">
      <c r="A10182" s="1" t="s">
        <v>18905</v>
      </c>
      <c r="B10182" s="2" t="s">
        <v>18537</v>
      </c>
      <c r="C10182" s="1" t="s">
        <v>3368</v>
      </c>
      <c r="D10182" s="1" t="s">
        <v>3369</v>
      </c>
    </row>
    <row r="10183">
      <c r="A10183" s="1" t="s">
        <v>18906</v>
      </c>
      <c r="B10183" s="2" t="s">
        <v>18539</v>
      </c>
      <c r="C10183" s="1" t="s">
        <v>3368</v>
      </c>
      <c r="D10183" s="1" t="s">
        <v>3369</v>
      </c>
    </row>
    <row r="10184">
      <c r="A10184" s="1" t="s">
        <v>18907</v>
      </c>
      <c r="B10184" s="2" t="s">
        <v>18541</v>
      </c>
      <c r="C10184" s="1" t="s">
        <v>3368</v>
      </c>
      <c r="D10184" s="1" t="s">
        <v>3369</v>
      </c>
    </row>
    <row r="10185">
      <c r="A10185" s="1" t="s">
        <v>18908</v>
      </c>
      <c r="B10185" s="2" t="s">
        <v>18543</v>
      </c>
      <c r="C10185" s="1" t="s">
        <v>3368</v>
      </c>
      <c r="D10185" s="1" t="s">
        <v>3369</v>
      </c>
    </row>
    <row r="10186">
      <c r="A10186" s="1" t="s">
        <v>18909</v>
      </c>
      <c r="B10186" s="2" t="s">
        <v>18545</v>
      </c>
      <c r="C10186" s="1" t="s">
        <v>3368</v>
      </c>
      <c r="D10186" s="1" t="s">
        <v>3369</v>
      </c>
    </row>
    <row r="10187">
      <c r="A10187" s="1" t="s">
        <v>18910</v>
      </c>
      <c r="B10187" s="2" t="s">
        <v>18547</v>
      </c>
      <c r="C10187" s="1" t="s">
        <v>3368</v>
      </c>
      <c r="D10187" s="1" t="s">
        <v>3369</v>
      </c>
    </row>
    <row r="10188">
      <c r="A10188" s="1" t="s">
        <v>18911</v>
      </c>
      <c r="B10188" s="2" t="s">
        <v>18549</v>
      </c>
      <c r="C10188" s="1" t="s">
        <v>3368</v>
      </c>
      <c r="D10188" s="1" t="s">
        <v>3369</v>
      </c>
    </row>
    <row r="10189">
      <c r="A10189" s="1" t="s">
        <v>18912</v>
      </c>
      <c r="B10189" s="2" t="s">
        <v>18551</v>
      </c>
      <c r="C10189" s="1" t="s">
        <v>3368</v>
      </c>
      <c r="D10189" s="1" t="s">
        <v>3369</v>
      </c>
    </row>
    <row r="10190">
      <c r="A10190" s="1" t="s">
        <v>18913</v>
      </c>
      <c r="B10190" s="2" t="s">
        <v>18553</v>
      </c>
      <c r="C10190" s="1" t="s">
        <v>3368</v>
      </c>
      <c r="D10190" s="1" t="s">
        <v>3369</v>
      </c>
    </row>
    <row r="10191">
      <c r="A10191" s="1" t="s">
        <v>3458</v>
      </c>
      <c r="B10191" s="2" t="s">
        <v>3460</v>
      </c>
      <c r="C10191" s="1" t="s">
        <v>3462</v>
      </c>
      <c r="D10191" s="1" t="s">
        <v>3464</v>
      </c>
    </row>
    <row r="10192">
      <c r="A10192" s="1" t="s">
        <v>18914</v>
      </c>
      <c r="B10192" s="2" t="s">
        <v>18915</v>
      </c>
      <c r="C10192" s="1" t="s">
        <v>3462</v>
      </c>
      <c r="D10192" s="1" t="s">
        <v>3464</v>
      </c>
    </row>
    <row r="10193">
      <c r="A10193" s="1" t="s">
        <v>18916</v>
      </c>
      <c r="B10193" s="2" t="s">
        <v>18917</v>
      </c>
      <c r="C10193" s="1" t="s">
        <v>3462</v>
      </c>
      <c r="D10193" s="1" t="s">
        <v>3464</v>
      </c>
    </row>
    <row r="10194">
      <c r="A10194" s="1" t="s">
        <v>18918</v>
      </c>
      <c r="B10194" s="2" t="s">
        <v>18919</v>
      </c>
      <c r="C10194" s="1" t="s">
        <v>3462</v>
      </c>
      <c r="D10194" s="1" t="s">
        <v>3464</v>
      </c>
    </row>
    <row r="10195">
      <c r="A10195" s="1" t="s">
        <v>18920</v>
      </c>
      <c r="B10195" s="2" t="s">
        <v>18921</v>
      </c>
      <c r="C10195" s="1" t="s">
        <v>3462</v>
      </c>
      <c r="D10195" s="1" t="s">
        <v>3464</v>
      </c>
    </row>
    <row r="10196">
      <c r="A10196" s="1" t="s">
        <v>3468</v>
      </c>
      <c r="B10196" s="2" t="s">
        <v>7</v>
      </c>
      <c r="C10196" s="1" t="s">
        <v>3470</v>
      </c>
      <c r="D10196" s="1" t="s">
        <v>3471</v>
      </c>
    </row>
    <row r="10197">
      <c r="A10197" s="1" t="s">
        <v>18922</v>
      </c>
      <c r="B10197" s="2" t="s">
        <v>13984</v>
      </c>
      <c r="C10197" s="1" t="s">
        <v>3470</v>
      </c>
      <c r="D10197" s="1" t="s">
        <v>3471</v>
      </c>
    </row>
    <row r="10198">
      <c r="A10198" s="1" t="s">
        <v>18923</v>
      </c>
      <c r="B10198" s="2" t="s">
        <v>18478</v>
      </c>
      <c r="C10198" s="1" t="s">
        <v>3470</v>
      </c>
      <c r="D10198" s="1" t="s">
        <v>3471</v>
      </c>
    </row>
    <row r="10199">
      <c r="A10199" s="1" t="s">
        <v>18924</v>
      </c>
      <c r="B10199" s="2" t="s">
        <v>18925</v>
      </c>
      <c r="C10199" s="1" t="s">
        <v>3470</v>
      </c>
      <c r="D10199" s="1" t="s">
        <v>3471</v>
      </c>
    </row>
    <row r="10200">
      <c r="A10200" s="1" t="s">
        <v>18926</v>
      </c>
      <c r="B10200" s="2" t="s">
        <v>18927</v>
      </c>
      <c r="C10200" s="1" t="s">
        <v>3470</v>
      </c>
      <c r="D10200" s="1" t="s">
        <v>3471</v>
      </c>
    </row>
    <row r="10201">
      <c r="A10201" s="1" t="s">
        <v>18928</v>
      </c>
      <c r="B10201" s="2" t="s">
        <v>18929</v>
      </c>
      <c r="C10201" s="1" t="s">
        <v>3470</v>
      </c>
      <c r="D10201" s="1" t="s">
        <v>3471</v>
      </c>
    </row>
    <row r="10202">
      <c r="A10202" s="1" t="s">
        <v>18930</v>
      </c>
      <c r="B10202" s="2" t="s">
        <v>18931</v>
      </c>
      <c r="C10202" s="1" t="s">
        <v>3470</v>
      </c>
      <c r="D10202" s="1" t="s">
        <v>3471</v>
      </c>
    </row>
    <row r="10203">
      <c r="A10203" s="1" t="s">
        <v>18932</v>
      </c>
      <c r="B10203" s="2" t="s">
        <v>18933</v>
      </c>
      <c r="C10203" s="1" t="s">
        <v>3470</v>
      </c>
      <c r="D10203" s="1" t="s">
        <v>3471</v>
      </c>
    </row>
    <row r="10204">
      <c r="A10204" s="1" t="s">
        <v>18934</v>
      </c>
      <c r="B10204" s="2" t="s">
        <v>18935</v>
      </c>
      <c r="C10204" s="1" t="s">
        <v>3470</v>
      </c>
      <c r="D10204" s="1" t="s">
        <v>3471</v>
      </c>
    </row>
    <row r="10205">
      <c r="A10205" s="1" t="s">
        <v>18936</v>
      </c>
      <c r="B10205" s="2" t="s">
        <v>18937</v>
      </c>
      <c r="C10205" s="1" t="s">
        <v>3470</v>
      </c>
      <c r="D10205" s="1" t="s">
        <v>3471</v>
      </c>
    </row>
    <row r="10206">
      <c r="A10206" s="1" t="s">
        <v>18938</v>
      </c>
      <c r="B10206" s="2" t="s">
        <v>18939</v>
      </c>
      <c r="C10206" s="1" t="s">
        <v>3470</v>
      </c>
      <c r="D10206" s="1" t="s">
        <v>3471</v>
      </c>
    </row>
    <row r="10207">
      <c r="A10207" s="1" t="s">
        <v>18940</v>
      </c>
      <c r="B10207" s="2" t="s">
        <v>18941</v>
      </c>
      <c r="C10207" s="1" t="s">
        <v>3470</v>
      </c>
      <c r="D10207" s="1" t="s">
        <v>3471</v>
      </c>
    </row>
    <row r="10208">
      <c r="A10208" s="1" t="s">
        <v>18942</v>
      </c>
      <c r="B10208" s="2" t="s">
        <v>18943</v>
      </c>
      <c r="C10208" s="1" t="s">
        <v>3470</v>
      </c>
      <c r="D10208" s="1" t="s">
        <v>3471</v>
      </c>
    </row>
    <row r="10209">
      <c r="A10209" s="1" t="s">
        <v>18944</v>
      </c>
      <c r="B10209" s="2" t="s">
        <v>18945</v>
      </c>
      <c r="C10209" s="1" t="s">
        <v>3470</v>
      </c>
      <c r="D10209" s="1" t="s">
        <v>3471</v>
      </c>
    </row>
    <row r="10210">
      <c r="A10210" s="1" t="s">
        <v>18946</v>
      </c>
      <c r="B10210" s="2" t="s">
        <v>18947</v>
      </c>
      <c r="C10210" s="1" t="s">
        <v>3470</v>
      </c>
      <c r="D10210" s="1" t="s">
        <v>3471</v>
      </c>
    </row>
    <row r="10211">
      <c r="A10211" s="1" t="s">
        <v>18948</v>
      </c>
      <c r="B10211" s="2" t="s">
        <v>18949</v>
      </c>
      <c r="C10211" s="1" t="s">
        <v>3470</v>
      </c>
      <c r="D10211" s="1" t="s">
        <v>3471</v>
      </c>
    </row>
    <row r="10212">
      <c r="A10212" s="1" t="s">
        <v>18950</v>
      </c>
      <c r="B10212" s="2" t="s">
        <v>18951</v>
      </c>
      <c r="C10212" s="1" t="s">
        <v>3470</v>
      </c>
      <c r="D10212" s="1" t="s">
        <v>3471</v>
      </c>
    </row>
    <row r="10213">
      <c r="A10213" s="1" t="s">
        <v>18952</v>
      </c>
      <c r="B10213" s="2" t="s">
        <v>18953</v>
      </c>
      <c r="C10213" s="1" t="s">
        <v>3470</v>
      </c>
      <c r="D10213" s="1" t="s">
        <v>3471</v>
      </c>
    </row>
    <row r="10214">
      <c r="A10214" s="1" t="s">
        <v>18954</v>
      </c>
      <c r="B10214" s="2" t="s">
        <v>13994</v>
      </c>
      <c r="C10214" s="1" t="s">
        <v>3470</v>
      </c>
      <c r="D10214" s="1" t="s">
        <v>3471</v>
      </c>
    </row>
    <row r="10215">
      <c r="A10215" s="1" t="s">
        <v>18955</v>
      </c>
      <c r="B10215" s="2" t="s">
        <v>18517</v>
      </c>
      <c r="C10215" s="1" t="s">
        <v>3470</v>
      </c>
      <c r="D10215" s="1" t="s">
        <v>3471</v>
      </c>
    </row>
    <row r="10216">
      <c r="A10216" s="1" t="s">
        <v>18956</v>
      </c>
      <c r="B10216" s="2" t="s">
        <v>18957</v>
      </c>
      <c r="C10216" s="1" t="s">
        <v>3470</v>
      </c>
      <c r="D10216" s="1" t="s">
        <v>3471</v>
      </c>
    </row>
    <row r="10217">
      <c r="A10217" s="1" t="s">
        <v>18958</v>
      </c>
      <c r="B10217" s="2" t="s">
        <v>18959</v>
      </c>
      <c r="C10217" s="1" t="s">
        <v>3470</v>
      </c>
      <c r="D10217" s="1" t="s">
        <v>3471</v>
      </c>
    </row>
    <row r="10218">
      <c r="A10218" s="1" t="s">
        <v>18960</v>
      </c>
      <c r="B10218" s="2" t="s">
        <v>18961</v>
      </c>
      <c r="C10218" s="1" t="s">
        <v>3470</v>
      </c>
      <c r="D10218" s="1" t="s">
        <v>3471</v>
      </c>
    </row>
    <row r="10219">
      <c r="A10219" s="1" t="s">
        <v>18962</v>
      </c>
      <c r="B10219" s="2" t="s">
        <v>18963</v>
      </c>
      <c r="C10219" s="1" t="s">
        <v>3470</v>
      </c>
      <c r="D10219" s="1" t="s">
        <v>3471</v>
      </c>
    </row>
    <row r="10220">
      <c r="A10220" s="1" t="s">
        <v>18964</v>
      </c>
      <c r="B10220" s="2" t="s">
        <v>18965</v>
      </c>
      <c r="C10220" s="1" t="s">
        <v>3470</v>
      </c>
      <c r="D10220" s="1" t="s">
        <v>3471</v>
      </c>
    </row>
    <row r="10221">
      <c r="A10221" s="1" t="s">
        <v>18966</v>
      </c>
      <c r="B10221" s="2" t="s">
        <v>18967</v>
      </c>
      <c r="C10221" s="1" t="s">
        <v>3470</v>
      </c>
      <c r="D10221" s="1" t="s">
        <v>3471</v>
      </c>
    </row>
    <row r="10222">
      <c r="A10222" s="1" t="s">
        <v>18968</v>
      </c>
      <c r="B10222" s="2" t="s">
        <v>18969</v>
      </c>
      <c r="C10222" s="1" t="s">
        <v>3470</v>
      </c>
      <c r="D10222" s="1" t="s">
        <v>3471</v>
      </c>
    </row>
    <row r="10223">
      <c r="A10223" s="1" t="s">
        <v>18970</v>
      </c>
      <c r="B10223" s="2" t="s">
        <v>18971</v>
      </c>
      <c r="C10223" s="1" t="s">
        <v>3470</v>
      </c>
      <c r="D10223" s="1" t="s">
        <v>3471</v>
      </c>
    </row>
    <row r="10224">
      <c r="A10224" s="1" t="s">
        <v>18972</v>
      </c>
      <c r="B10224" s="2" t="s">
        <v>18973</v>
      </c>
      <c r="C10224" s="1" t="s">
        <v>3470</v>
      </c>
      <c r="D10224" s="1" t="s">
        <v>3471</v>
      </c>
    </row>
    <row r="10225">
      <c r="A10225" s="1" t="s">
        <v>18974</v>
      </c>
      <c r="B10225" s="2" t="s">
        <v>18975</v>
      </c>
      <c r="C10225" s="1" t="s">
        <v>3470</v>
      </c>
      <c r="D10225" s="1" t="s">
        <v>3471</v>
      </c>
    </row>
    <row r="10226">
      <c r="A10226" s="1" t="s">
        <v>18976</v>
      </c>
      <c r="B10226" s="2" t="s">
        <v>18977</v>
      </c>
      <c r="C10226" s="1" t="s">
        <v>3470</v>
      </c>
      <c r="D10226" s="1" t="s">
        <v>3471</v>
      </c>
    </row>
    <row r="10227">
      <c r="A10227" s="1" t="s">
        <v>18978</v>
      </c>
      <c r="B10227" s="2" t="s">
        <v>18979</v>
      </c>
      <c r="C10227" s="1" t="s">
        <v>3470</v>
      </c>
      <c r="D10227" s="1" t="s">
        <v>3471</v>
      </c>
    </row>
    <row r="10228">
      <c r="A10228" s="1" t="s">
        <v>18980</v>
      </c>
      <c r="B10228" s="2" t="s">
        <v>18981</v>
      </c>
      <c r="C10228" s="1" t="s">
        <v>3470</v>
      </c>
      <c r="D10228" s="1" t="s">
        <v>3471</v>
      </c>
    </row>
    <row r="10229">
      <c r="A10229" s="1" t="s">
        <v>18982</v>
      </c>
      <c r="B10229" s="2" t="s">
        <v>18983</v>
      </c>
      <c r="C10229" s="1" t="s">
        <v>3470</v>
      </c>
      <c r="D10229" s="1" t="s">
        <v>3471</v>
      </c>
    </row>
    <row r="10230">
      <c r="A10230" s="1" t="s">
        <v>18984</v>
      </c>
      <c r="B10230" s="2" t="s">
        <v>18985</v>
      </c>
      <c r="C10230" s="1" t="s">
        <v>3470</v>
      </c>
      <c r="D10230" s="1" t="s">
        <v>3471</v>
      </c>
    </row>
    <row r="10231">
      <c r="A10231" s="1" t="s">
        <v>3475</v>
      </c>
      <c r="B10231" s="2" t="s">
        <v>7</v>
      </c>
      <c r="C10231" s="1" t="s">
        <v>3477</v>
      </c>
      <c r="D10231" s="1" t="s">
        <v>3479</v>
      </c>
    </row>
    <row r="10232">
      <c r="A10232" s="1" t="s">
        <v>18986</v>
      </c>
      <c r="B10232" s="2" t="s">
        <v>13984</v>
      </c>
      <c r="C10232" s="1" t="s">
        <v>3477</v>
      </c>
      <c r="D10232" s="1" t="s">
        <v>3479</v>
      </c>
    </row>
    <row r="10233">
      <c r="A10233" s="1" t="s">
        <v>18987</v>
      </c>
      <c r="B10233" s="2" t="s">
        <v>18478</v>
      </c>
      <c r="C10233" s="1" t="s">
        <v>3477</v>
      </c>
      <c r="D10233" s="1" t="s">
        <v>3479</v>
      </c>
    </row>
    <row r="10234">
      <c r="A10234" s="1" t="s">
        <v>18988</v>
      </c>
      <c r="B10234" s="2" t="s">
        <v>18989</v>
      </c>
      <c r="C10234" s="1" t="s">
        <v>3477</v>
      </c>
      <c r="D10234" s="1" t="s">
        <v>3479</v>
      </c>
    </row>
    <row r="10235">
      <c r="A10235" s="1" t="s">
        <v>18990</v>
      </c>
      <c r="B10235" s="2" t="s">
        <v>18991</v>
      </c>
      <c r="C10235" s="1" t="s">
        <v>3477</v>
      </c>
      <c r="D10235" s="1" t="s">
        <v>3479</v>
      </c>
    </row>
    <row r="10236">
      <c r="A10236" s="1" t="s">
        <v>18992</v>
      </c>
      <c r="B10236" s="2" t="s">
        <v>18993</v>
      </c>
      <c r="C10236" s="1" t="s">
        <v>3477</v>
      </c>
      <c r="D10236" s="1" t="s">
        <v>3479</v>
      </c>
    </row>
    <row r="10237">
      <c r="A10237" s="1" t="s">
        <v>18994</v>
      </c>
      <c r="B10237" s="2" t="s">
        <v>18995</v>
      </c>
      <c r="C10237" s="1" t="s">
        <v>3477</v>
      </c>
      <c r="D10237" s="1" t="s">
        <v>3479</v>
      </c>
    </row>
    <row r="10238">
      <c r="A10238" s="1" t="s">
        <v>18996</v>
      </c>
      <c r="B10238" s="2" t="s">
        <v>18933</v>
      </c>
      <c r="C10238" s="1" t="s">
        <v>3477</v>
      </c>
      <c r="D10238" s="1" t="s">
        <v>3479</v>
      </c>
    </row>
    <row r="10239">
      <c r="A10239" s="1" t="s">
        <v>18997</v>
      </c>
      <c r="B10239" s="2" t="s">
        <v>18935</v>
      </c>
      <c r="C10239" s="1" t="s">
        <v>3477</v>
      </c>
      <c r="D10239" s="1" t="s">
        <v>3479</v>
      </c>
    </row>
    <row r="10240">
      <c r="A10240" s="1" t="s">
        <v>18998</v>
      </c>
      <c r="B10240" s="2" t="s">
        <v>18999</v>
      </c>
      <c r="C10240" s="1" t="s">
        <v>3477</v>
      </c>
      <c r="D10240" s="1" t="s">
        <v>3479</v>
      </c>
    </row>
    <row r="10241">
      <c r="A10241" s="1" t="s">
        <v>19000</v>
      </c>
      <c r="B10241" s="2" t="s">
        <v>19001</v>
      </c>
      <c r="C10241" s="1" t="s">
        <v>3477</v>
      </c>
      <c r="D10241" s="1" t="s">
        <v>3479</v>
      </c>
    </row>
    <row r="10242">
      <c r="A10242" s="1" t="s">
        <v>19002</v>
      </c>
      <c r="B10242" s="2" t="s">
        <v>19003</v>
      </c>
      <c r="C10242" s="1" t="s">
        <v>3477</v>
      </c>
      <c r="D10242" s="1" t="s">
        <v>3479</v>
      </c>
    </row>
    <row r="10243">
      <c r="A10243" s="1" t="s">
        <v>19004</v>
      </c>
      <c r="B10243" s="2" t="s">
        <v>19005</v>
      </c>
      <c r="C10243" s="1" t="s">
        <v>3477</v>
      </c>
      <c r="D10243" s="1" t="s">
        <v>3479</v>
      </c>
    </row>
    <row r="10244">
      <c r="A10244" s="1" t="s">
        <v>19006</v>
      </c>
      <c r="B10244" s="2" t="s">
        <v>18945</v>
      </c>
      <c r="C10244" s="1" t="s">
        <v>3477</v>
      </c>
      <c r="D10244" s="1" t="s">
        <v>3479</v>
      </c>
    </row>
    <row r="10245">
      <c r="A10245" s="1" t="s">
        <v>19007</v>
      </c>
      <c r="B10245" s="2" t="s">
        <v>19008</v>
      </c>
      <c r="C10245" s="1" t="s">
        <v>3477</v>
      </c>
      <c r="D10245" s="1" t="s">
        <v>3479</v>
      </c>
    </row>
    <row r="10246">
      <c r="A10246" s="1" t="s">
        <v>19009</v>
      </c>
      <c r="B10246" s="2" t="s">
        <v>19010</v>
      </c>
      <c r="C10246" s="1" t="s">
        <v>3477</v>
      </c>
      <c r="D10246" s="1" t="s">
        <v>3479</v>
      </c>
    </row>
    <row r="10247">
      <c r="A10247" s="1" t="s">
        <v>19011</v>
      </c>
      <c r="B10247" s="2" t="s">
        <v>19012</v>
      </c>
      <c r="C10247" s="1" t="s">
        <v>3477</v>
      </c>
      <c r="D10247" s="1" t="s">
        <v>3479</v>
      </c>
    </row>
    <row r="10248">
      <c r="A10248" s="1" t="s">
        <v>19013</v>
      </c>
      <c r="B10248" s="2" t="s">
        <v>19014</v>
      </c>
      <c r="C10248" s="1" t="s">
        <v>3477</v>
      </c>
      <c r="D10248" s="1" t="s">
        <v>3479</v>
      </c>
    </row>
    <row r="10249">
      <c r="A10249" s="1" t="s">
        <v>19015</v>
      </c>
      <c r="B10249" s="2" t="s">
        <v>13994</v>
      </c>
      <c r="C10249" s="1" t="s">
        <v>3477</v>
      </c>
      <c r="D10249" s="1" t="s">
        <v>3479</v>
      </c>
    </row>
    <row r="10250">
      <c r="A10250" s="1" t="s">
        <v>19016</v>
      </c>
      <c r="B10250" s="2" t="s">
        <v>18517</v>
      </c>
      <c r="C10250" s="1" t="s">
        <v>3477</v>
      </c>
      <c r="D10250" s="1" t="s">
        <v>3479</v>
      </c>
    </row>
    <row r="10251">
      <c r="A10251" s="1" t="s">
        <v>19017</v>
      </c>
      <c r="B10251" s="2" t="s">
        <v>19018</v>
      </c>
      <c r="C10251" s="1" t="s">
        <v>3477</v>
      </c>
      <c r="D10251" s="1" t="s">
        <v>3479</v>
      </c>
    </row>
    <row r="10252">
      <c r="A10252" s="1" t="s">
        <v>19019</v>
      </c>
      <c r="B10252" s="2" t="s">
        <v>19020</v>
      </c>
      <c r="C10252" s="1" t="s">
        <v>3477</v>
      </c>
      <c r="D10252" s="1" t="s">
        <v>3479</v>
      </c>
    </row>
    <row r="10253">
      <c r="A10253" s="1" t="s">
        <v>19021</v>
      </c>
      <c r="B10253" s="2" t="s">
        <v>19022</v>
      </c>
      <c r="C10253" s="1" t="s">
        <v>3477</v>
      </c>
      <c r="D10253" s="1" t="s">
        <v>3479</v>
      </c>
    </row>
    <row r="10254">
      <c r="A10254" s="1" t="s">
        <v>19023</v>
      </c>
      <c r="B10254" s="2" t="s">
        <v>19024</v>
      </c>
      <c r="C10254" s="1" t="s">
        <v>3477</v>
      </c>
      <c r="D10254" s="1" t="s">
        <v>3479</v>
      </c>
    </row>
    <row r="10255">
      <c r="A10255" s="1" t="s">
        <v>19025</v>
      </c>
      <c r="B10255" s="2" t="s">
        <v>18965</v>
      </c>
      <c r="C10255" s="1" t="s">
        <v>3477</v>
      </c>
      <c r="D10255" s="1" t="s">
        <v>3479</v>
      </c>
    </row>
    <row r="10256">
      <c r="A10256" s="1" t="s">
        <v>19026</v>
      </c>
      <c r="B10256" s="2" t="s">
        <v>18967</v>
      </c>
      <c r="C10256" s="1" t="s">
        <v>3477</v>
      </c>
      <c r="D10256" s="1" t="s">
        <v>3479</v>
      </c>
    </row>
    <row r="10257">
      <c r="A10257" s="1" t="s">
        <v>19027</v>
      </c>
      <c r="B10257" s="2" t="s">
        <v>19028</v>
      </c>
      <c r="C10257" s="1" t="s">
        <v>3477</v>
      </c>
      <c r="D10257" s="1" t="s">
        <v>3479</v>
      </c>
    </row>
    <row r="10258">
      <c r="A10258" s="1" t="s">
        <v>19029</v>
      </c>
      <c r="B10258" s="2" t="s">
        <v>19030</v>
      </c>
      <c r="C10258" s="1" t="s">
        <v>3477</v>
      </c>
      <c r="D10258" s="1" t="s">
        <v>3479</v>
      </c>
    </row>
    <row r="10259">
      <c r="A10259" s="1" t="s">
        <v>19031</v>
      </c>
      <c r="B10259" s="2" t="s">
        <v>19032</v>
      </c>
      <c r="C10259" s="1" t="s">
        <v>3477</v>
      </c>
      <c r="D10259" s="1" t="s">
        <v>3479</v>
      </c>
    </row>
    <row r="10260">
      <c r="A10260" s="1" t="s">
        <v>19033</v>
      </c>
      <c r="B10260" s="2" t="s">
        <v>19034</v>
      </c>
      <c r="C10260" s="1" t="s">
        <v>3477</v>
      </c>
      <c r="D10260" s="1" t="s">
        <v>3479</v>
      </c>
    </row>
    <row r="10261">
      <c r="A10261" s="1" t="s">
        <v>19035</v>
      </c>
      <c r="B10261" s="2" t="s">
        <v>18977</v>
      </c>
      <c r="C10261" s="1" t="s">
        <v>3477</v>
      </c>
      <c r="D10261" s="1" t="s">
        <v>3479</v>
      </c>
    </row>
    <row r="10262">
      <c r="A10262" s="1" t="s">
        <v>19036</v>
      </c>
      <c r="B10262" s="2" t="s">
        <v>19037</v>
      </c>
      <c r="C10262" s="1" t="s">
        <v>3477</v>
      </c>
      <c r="D10262" s="1" t="s">
        <v>3479</v>
      </c>
    </row>
    <row r="10263">
      <c r="A10263" s="1" t="s">
        <v>19038</v>
      </c>
      <c r="B10263" s="2" t="s">
        <v>19039</v>
      </c>
      <c r="C10263" s="1" t="s">
        <v>3477</v>
      </c>
      <c r="D10263" s="1" t="s">
        <v>3479</v>
      </c>
    </row>
    <row r="10264">
      <c r="A10264" s="1" t="s">
        <v>19040</v>
      </c>
      <c r="B10264" s="2" t="s">
        <v>19041</v>
      </c>
      <c r="C10264" s="1" t="s">
        <v>3477</v>
      </c>
      <c r="D10264" s="1" t="s">
        <v>3479</v>
      </c>
    </row>
    <row r="10265">
      <c r="A10265" s="1" t="s">
        <v>19042</v>
      </c>
      <c r="B10265" s="2" t="s">
        <v>19043</v>
      </c>
      <c r="C10265" s="1" t="s">
        <v>3477</v>
      </c>
      <c r="D10265" s="1" t="s">
        <v>3479</v>
      </c>
    </row>
    <row r="10266">
      <c r="A10266" s="1" t="s">
        <v>3482</v>
      </c>
      <c r="B10266" s="2" t="s">
        <v>7</v>
      </c>
      <c r="C10266" s="1" t="s">
        <v>3484</v>
      </c>
      <c r="D10266" s="1" t="s">
        <v>3486</v>
      </c>
    </row>
    <row r="10267">
      <c r="A10267" s="1" t="s">
        <v>19044</v>
      </c>
      <c r="B10267" s="2" t="s">
        <v>13984</v>
      </c>
      <c r="C10267" s="1" t="s">
        <v>3484</v>
      </c>
      <c r="D10267" s="1" t="s">
        <v>3486</v>
      </c>
    </row>
    <row r="10268">
      <c r="A10268" s="1" t="s">
        <v>19045</v>
      </c>
      <c r="B10268" s="2" t="s">
        <v>18478</v>
      </c>
      <c r="C10268" s="1" t="s">
        <v>3484</v>
      </c>
      <c r="D10268" s="1" t="s">
        <v>3486</v>
      </c>
    </row>
    <row r="10269">
      <c r="A10269" s="1" t="s">
        <v>19046</v>
      </c>
      <c r="B10269" s="2" t="s">
        <v>19047</v>
      </c>
      <c r="C10269" s="1" t="s">
        <v>3484</v>
      </c>
      <c r="D10269" s="1" t="s">
        <v>3486</v>
      </c>
    </row>
    <row r="10270">
      <c r="A10270" s="1" t="s">
        <v>19048</v>
      </c>
      <c r="B10270" s="2" t="s">
        <v>19049</v>
      </c>
      <c r="C10270" s="1" t="s">
        <v>3484</v>
      </c>
      <c r="D10270" s="1" t="s">
        <v>3486</v>
      </c>
    </row>
    <row r="10271">
      <c r="A10271" s="1" t="s">
        <v>19050</v>
      </c>
      <c r="B10271" s="2" t="s">
        <v>19051</v>
      </c>
      <c r="C10271" s="1" t="s">
        <v>3484</v>
      </c>
      <c r="D10271" s="1" t="s">
        <v>3486</v>
      </c>
    </row>
    <row r="10272">
      <c r="A10272" s="1" t="s">
        <v>19052</v>
      </c>
      <c r="B10272" s="2" t="s">
        <v>19053</v>
      </c>
      <c r="C10272" s="1" t="s">
        <v>3484</v>
      </c>
      <c r="D10272" s="1" t="s">
        <v>3486</v>
      </c>
    </row>
    <row r="10273">
      <c r="A10273" s="1" t="s">
        <v>19054</v>
      </c>
      <c r="B10273" s="2" t="s">
        <v>18933</v>
      </c>
      <c r="C10273" s="1" t="s">
        <v>3484</v>
      </c>
      <c r="D10273" s="1" t="s">
        <v>3486</v>
      </c>
    </row>
    <row r="10274">
      <c r="A10274" s="1" t="s">
        <v>19055</v>
      </c>
      <c r="B10274" s="2" t="s">
        <v>18935</v>
      </c>
      <c r="C10274" s="1" t="s">
        <v>3484</v>
      </c>
      <c r="D10274" s="1" t="s">
        <v>3486</v>
      </c>
    </row>
    <row r="10275">
      <c r="A10275" s="1" t="s">
        <v>19056</v>
      </c>
      <c r="B10275" s="2" t="s">
        <v>19057</v>
      </c>
      <c r="C10275" s="1" t="s">
        <v>3484</v>
      </c>
      <c r="D10275" s="1" t="s">
        <v>3486</v>
      </c>
    </row>
    <row r="10276">
      <c r="A10276" s="1" t="s">
        <v>19058</v>
      </c>
      <c r="B10276" s="2" t="s">
        <v>19059</v>
      </c>
      <c r="C10276" s="1" t="s">
        <v>3484</v>
      </c>
      <c r="D10276" s="1" t="s">
        <v>3486</v>
      </c>
    </row>
    <row r="10277">
      <c r="A10277" s="1" t="s">
        <v>19060</v>
      </c>
      <c r="B10277" s="2" t="s">
        <v>19061</v>
      </c>
      <c r="C10277" s="1" t="s">
        <v>3484</v>
      </c>
      <c r="D10277" s="1" t="s">
        <v>3486</v>
      </c>
    </row>
    <row r="10278">
      <c r="A10278" s="1" t="s">
        <v>19062</v>
      </c>
      <c r="B10278" s="2" t="s">
        <v>19063</v>
      </c>
      <c r="C10278" s="1" t="s">
        <v>3484</v>
      </c>
      <c r="D10278" s="1" t="s">
        <v>3486</v>
      </c>
    </row>
    <row r="10279">
      <c r="A10279" s="1" t="s">
        <v>19064</v>
      </c>
      <c r="B10279" s="2" t="s">
        <v>18945</v>
      </c>
      <c r="C10279" s="1" t="s">
        <v>3484</v>
      </c>
      <c r="D10279" s="1" t="s">
        <v>3486</v>
      </c>
    </row>
    <row r="10280">
      <c r="A10280" s="1" t="s">
        <v>19065</v>
      </c>
      <c r="B10280" s="2" t="s">
        <v>19066</v>
      </c>
      <c r="C10280" s="1" t="s">
        <v>3484</v>
      </c>
      <c r="D10280" s="1" t="s">
        <v>3486</v>
      </c>
    </row>
    <row r="10281">
      <c r="A10281" s="1" t="s">
        <v>19067</v>
      </c>
      <c r="B10281" s="2" t="s">
        <v>19068</v>
      </c>
      <c r="C10281" s="1" t="s">
        <v>3484</v>
      </c>
      <c r="D10281" s="1" t="s">
        <v>3486</v>
      </c>
    </row>
    <row r="10282">
      <c r="A10282" s="1" t="s">
        <v>19069</v>
      </c>
      <c r="B10282" s="2" t="s">
        <v>19070</v>
      </c>
      <c r="C10282" s="1" t="s">
        <v>3484</v>
      </c>
      <c r="D10282" s="1" t="s">
        <v>3486</v>
      </c>
    </row>
    <row r="10283">
      <c r="A10283" s="1" t="s">
        <v>19071</v>
      </c>
      <c r="B10283" s="2" t="s">
        <v>19072</v>
      </c>
      <c r="C10283" s="1" t="s">
        <v>3484</v>
      </c>
      <c r="D10283" s="1" t="s">
        <v>3486</v>
      </c>
    </row>
    <row r="10284">
      <c r="A10284" s="1" t="s">
        <v>19073</v>
      </c>
      <c r="B10284" s="2" t="s">
        <v>13994</v>
      </c>
      <c r="C10284" s="1" t="s">
        <v>3484</v>
      </c>
      <c r="D10284" s="1" t="s">
        <v>3486</v>
      </c>
    </row>
    <row r="10285">
      <c r="A10285" s="1" t="s">
        <v>19074</v>
      </c>
      <c r="B10285" s="2" t="s">
        <v>18517</v>
      </c>
      <c r="C10285" s="1" t="s">
        <v>3484</v>
      </c>
      <c r="D10285" s="1" t="s">
        <v>3486</v>
      </c>
    </row>
    <row r="10286">
      <c r="A10286" s="1" t="s">
        <v>19075</v>
      </c>
      <c r="B10286" s="2" t="s">
        <v>19076</v>
      </c>
      <c r="C10286" s="1" t="s">
        <v>3484</v>
      </c>
      <c r="D10286" s="1" t="s">
        <v>3486</v>
      </c>
    </row>
    <row r="10287">
      <c r="A10287" s="1" t="s">
        <v>19077</v>
      </c>
      <c r="B10287" s="2" t="s">
        <v>19078</v>
      </c>
      <c r="C10287" s="1" t="s">
        <v>3484</v>
      </c>
      <c r="D10287" s="1" t="s">
        <v>3486</v>
      </c>
    </row>
    <row r="10288">
      <c r="A10288" s="1" t="s">
        <v>19079</v>
      </c>
      <c r="B10288" s="2" t="s">
        <v>19080</v>
      </c>
      <c r="C10288" s="1" t="s">
        <v>3484</v>
      </c>
      <c r="D10288" s="1" t="s">
        <v>3486</v>
      </c>
    </row>
    <row r="10289">
      <c r="A10289" s="1" t="s">
        <v>19081</v>
      </c>
      <c r="B10289" s="2" t="s">
        <v>19082</v>
      </c>
      <c r="C10289" s="1" t="s">
        <v>3484</v>
      </c>
      <c r="D10289" s="1" t="s">
        <v>3486</v>
      </c>
    </row>
    <row r="10290">
      <c r="A10290" s="1" t="s">
        <v>19083</v>
      </c>
      <c r="B10290" s="2" t="s">
        <v>18965</v>
      </c>
      <c r="C10290" s="1" t="s">
        <v>3484</v>
      </c>
      <c r="D10290" s="1" t="s">
        <v>3486</v>
      </c>
    </row>
    <row r="10291">
      <c r="A10291" s="1" t="s">
        <v>19084</v>
      </c>
      <c r="B10291" s="2" t="s">
        <v>18967</v>
      </c>
      <c r="C10291" s="1" t="s">
        <v>3484</v>
      </c>
      <c r="D10291" s="1" t="s">
        <v>3486</v>
      </c>
    </row>
    <row r="10292">
      <c r="A10292" s="1" t="s">
        <v>19085</v>
      </c>
      <c r="B10292" s="2" t="s">
        <v>19086</v>
      </c>
      <c r="C10292" s="1" t="s">
        <v>3484</v>
      </c>
      <c r="D10292" s="1" t="s">
        <v>3486</v>
      </c>
    </row>
    <row r="10293">
      <c r="A10293" s="1" t="s">
        <v>19087</v>
      </c>
      <c r="B10293" s="2" t="s">
        <v>19088</v>
      </c>
      <c r="C10293" s="1" t="s">
        <v>3484</v>
      </c>
      <c r="D10293" s="1" t="s">
        <v>3486</v>
      </c>
    </row>
    <row r="10294">
      <c r="A10294" s="1" t="s">
        <v>19089</v>
      </c>
      <c r="B10294" s="2" t="s">
        <v>19090</v>
      </c>
      <c r="C10294" s="1" t="s">
        <v>3484</v>
      </c>
      <c r="D10294" s="1" t="s">
        <v>3486</v>
      </c>
    </row>
    <row r="10295">
      <c r="A10295" s="1" t="s">
        <v>19091</v>
      </c>
      <c r="B10295" s="2" t="s">
        <v>19092</v>
      </c>
      <c r="C10295" s="1" t="s">
        <v>3484</v>
      </c>
      <c r="D10295" s="1" t="s">
        <v>3486</v>
      </c>
    </row>
    <row r="10296">
      <c r="A10296" s="1" t="s">
        <v>19093</v>
      </c>
      <c r="B10296" s="2" t="s">
        <v>18977</v>
      </c>
      <c r="C10296" s="1" t="s">
        <v>3484</v>
      </c>
      <c r="D10296" s="1" t="s">
        <v>3486</v>
      </c>
    </row>
    <row r="10297">
      <c r="A10297" s="1" t="s">
        <v>19094</v>
      </c>
      <c r="B10297" s="2" t="s">
        <v>19095</v>
      </c>
      <c r="C10297" s="1" t="s">
        <v>3484</v>
      </c>
      <c r="D10297" s="1" t="s">
        <v>3486</v>
      </c>
    </row>
    <row r="10298">
      <c r="A10298" s="1" t="s">
        <v>19096</v>
      </c>
      <c r="B10298" s="2" t="s">
        <v>19097</v>
      </c>
      <c r="C10298" s="1" t="s">
        <v>3484</v>
      </c>
      <c r="D10298" s="1" t="s">
        <v>3486</v>
      </c>
    </row>
    <row r="10299">
      <c r="A10299" s="1" t="s">
        <v>19098</v>
      </c>
      <c r="B10299" s="2" t="s">
        <v>19099</v>
      </c>
      <c r="C10299" s="1" t="s">
        <v>3484</v>
      </c>
      <c r="D10299" s="1" t="s">
        <v>3486</v>
      </c>
    </row>
    <row r="10300">
      <c r="A10300" s="1" t="s">
        <v>19100</v>
      </c>
      <c r="B10300" s="2" t="s">
        <v>19101</v>
      </c>
      <c r="C10300" s="1" t="s">
        <v>3484</v>
      </c>
      <c r="D10300" s="1" t="s">
        <v>3486</v>
      </c>
    </row>
    <row r="10301">
      <c r="A10301" s="1" t="s">
        <v>3489</v>
      </c>
      <c r="B10301" s="2" t="s">
        <v>7</v>
      </c>
      <c r="C10301" s="1" t="s">
        <v>3491</v>
      </c>
      <c r="D10301" s="1" t="s">
        <v>3493</v>
      </c>
    </row>
    <row r="10302">
      <c r="A10302" s="1" t="s">
        <v>19102</v>
      </c>
      <c r="B10302" s="2" t="s">
        <v>13984</v>
      </c>
      <c r="C10302" s="1" t="s">
        <v>3491</v>
      </c>
      <c r="D10302" s="1" t="s">
        <v>3493</v>
      </c>
    </row>
    <row r="10303">
      <c r="A10303" s="1" t="s">
        <v>19103</v>
      </c>
      <c r="B10303" s="2" t="s">
        <v>18478</v>
      </c>
      <c r="C10303" s="1" t="s">
        <v>3491</v>
      </c>
      <c r="D10303" s="1" t="s">
        <v>3493</v>
      </c>
    </row>
    <row r="10304">
      <c r="A10304" s="1" t="s">
        <v>19104</v>
      </c>
      <c r="B10304" s="2" t="s">
        <v>19105</v>
      </c>
      <c r="C10304" s="1" t="s">
        <v>3491</v>
      </c>
      <c r="D10304" s="1" t="s">
        <v>3493</v>
      </c>
    </row>
    <row r="10305">
      <c r="A10305" s="1" t="s">
        <v>19106</v>
      </c>
      <c r="B10305" s="2" t="s">
        <v>19107</v>
      </c>
      <c r="C10305" s="1" t="s">
        <v>3491</v>
      </c>
      <c r="D10305" s="1" t="s">
        <v>3493</v>
      </c>
    </row>
    <row r="10306">
      <c r="A10306" s="1" t="s">
        <v>19108</v>
      </c>
      <c r="B10306" s="2" t="s">
        <v>19109</v>
      </c>
      <c r="C10306" s="1" t="s">
        <v>3491</v>
      </c>
      <c r="D10306" s="1" t="s">
        <v>3493</v>
      </c>
    </row>
    <row r="10307">
      <c r="A10307" s="1" t="s">
        <v>19110</v>
      </c>
      <c r="B10307" s="2" t="s">
        <v>19111</v>
      </c>
      <c r="C10307" s="1" t="s">
        <v>3491</v>
      </c>
      <c r="D10307" s="1" t="s">
        <v>3493</v>
      </c>
    </row>
    <row r="10308">
      <c r="A10308" s="1" t="s">
        <v>19112</v>
      </c>
      <c r="B10308" s="2" t="s">
        <v>19113</v>
      </c>
      <c r="C10308" s="1" t="s">
        <v>3491</v>
      </c>
      <c r="D10308" s="1" t="s">
        <v>3493</v>
      </c>
    </row>
    <row r="10309">
      <c r="A10309" s="1" t="s">
        <v>19114</v>
      </c>
      <c r="B10309" s="2" t="s">
        <v>19115</v>
      </c>
      <c r="C10309" s="1" t="s">
        <v>3491</v>
      </c>
      <c r="D10309" s="1" t="s">
        <v>3493</v>
      </c>
    </row>
    <row r="10310">
      <c r="A10310" s="1" t="s">
        <v>19116</v>
      </c>
      <c r="B10310" s="2" t="s">
        <v>18490</v>
      </c>
      <c r="C10310" s="1" t="s">
        <v>3491</v>
      </c>
      <c r="D10310" s="1" t="s">
        <v>3493</v>
      </c>
    </row>
    <row r="10311">
      <c r="A10311" s="1" t="s">
        <v>19117</v>
      </c>
      <c r="B10311" s="2" t="s">
        <v>18492</v>
      </c>
      <c r="C10311" s="1" t="s">
        <v>3491</v>
      </c>
      <c r="D10311" s="1" t="s">
        <v>3493</v>
      </c>
    </row>
    <row r="10312">
      <c r="A10312" s="1" t="s">
        <v>19118</v>
      </c>
      <c r="B10312" s="2" t="s">
        <v>19119</v>
      </c>
      <c r="C10312" s="1" t="s">
        <v>3491</v>
      </c>
      <c r="D10312" s="1" t="s">
        <v>3493</v>
      </c>
    </row>
    <row r="10313">
      <c r="A10313" s="1" t="s">
        <v>19120</v>
      </c>
      <c r="B10313" s="2" t="s">
        <v>19121</v>
      </c>
      <c r="C10313" s="1" t="s">
        <v>3491</v>
      </c>
      <c r="D10313" s="1" t="s">
        <v>3493</v>
      </c>
    </row>
    <row r="10314">
      <c r="A10314" s="1" t="s">
        <v>19122</v>
      </c>
      <c r="B10314" s="2" t="s">
        <v>19123</v>
      </c>
      <c r="C10314" s="1" t="s">
        <v>3491</v>
      </c>
      <c r="D10314" s="1" t="s">
        <v>3493</v>
      </c>
    </row>
    <row r="10315">
      <c r="A10315" s="1" t="s">
        <v>19124</v>
      </c>
      <c r="B10315" s="2" t="s">
        <v>19125</v>
      </c>
      <c r="C10315" s="1" t="s">
        <v>3491</v>
      </c>
      <c r="D10315" s="1" t="s">
        <v>3493</v>
      </c>
    </row>
    <row r="10316">
      <c r="A10316" s="1" t="s">
        <v>19126</v>
      </c>
      <c r="B10316" s="2" t="s">
        <v>19127</v>
      </c>
      <c r="C10316" s="1" t="s">
        <v>3491</v>
      </c>
      <c r="D10316" s="1" t="s">
        <v>3493</v>
      </c>
    </row>
    <row r="10317">
      <c r="A10317" s="1" t="s">
        <v>19128</v>
      </c>
      <c r="B10317" s="2" t="s">
        <v>19129</v>
      </c>
      <c r="C10317" s="1" t="s">
        <v>3491</v>
      </c>
      <c r="D10317" s="1" t="s">
        <v>3493</v>
      </c>
    </row>
    <row r="10318">
      <c r="A10318" s="1" t="s">
        <v>19130</v>
      </c>
      <c r="B10318" s="2" t="s">
        <v>18504</v>
      </c>
      <c r="C10318" s="1" t="s">
        <v>3491</v>
      </c>
      <c r="D10318" s="1" t="s">
        <v>3493</v>
      </c>
    </row>
    <row r="10319">
      <c r="A10319" s="1" t="s">
        <v>19131</v>
      </c>
      <c r="B10319" s="2" t="s">
        <v>19132</v>
      </c>
      <c r="C10319" s="1" t="s">
        <v>3491</v>
      </c>
      <c r="D10319" s="1" t="s">
        <v>3493</v>
      </c>
    </row>
    <row r="10320">
      <c r="A10320" s="1" t="s">
        <v>19133</v>
      </c>
      <c r="B10320" s="2" t="s">
        <v>19134</v>
      </c>
      <c r="C10320" s="1" t="s">
        <v>3491</v>
      </c>
      <c r="D10320" s="1" t="s">
        <v>3493</v>
      </c>
    </row>
    <row r="10321">
      <c r="A10321" s="1" t="s">
        <v>19135</v>
      </c>
      <c r="B10321" s="2" t="s">
        <v>19136</v>
      </c>
      <c r="C10321" s="1" t="s">
        <v>3491</v>
      </c>
      <c r="D10321" s="1" t="s">
        <v>3493</v>
      </c>
    </row>
    <row r="10322">
      <c r="A10322" s="1" t="s">
        <v>19137</v>
      </c>
      <c r="B10322" s="2" t="s">
        <v>19138</v>
      </c>
      <c r="C10322" s="1" t="s">
        <v>3491</v>
      </c>
      <c r="D10322" s="1" t="s">
        <v>3493</v>
      </c>
    </row>
    <row r="10323">
      <c r="A10323" s="1" t="s">
        <v>19139</v>
      </c>
      <c r="B10323" s="2" t="s">
        <v>19140</v>
      </c>
      <c r="C10323" s="1" t="s">
        <v>3491</v>
      </c>
      <c r="D10323" s="1" t="s">
        <v>3493</v>
      </c>
    </row>
    <row r="10324">
      <c r="A10324" s="1" t="s">
        <v>19141</v>
      </c>
      <c r="B10324" s="2" t="s">
        <v>19142</v>
      </c>
      <c r="C10324" s="1" t="s">
        <v>3491</v>
      </c>
      <c r="D10324" s="1" t="s">
        <v>3493</v>
      </c>
    </row>
    <row r="10325">
      <c r="A10325" s="1" t="s">
        <v>19143</v>
      </c>
      <c r="B10325" s="2" t="s">
        <v>13994</v>
      </c>
      <c r="C10325" s="1" t="s">
        <v>3491</v>
      </c>
      <c r="D10325" s="1" t="s">
        <v>3493</v>
      </c>
    </row>
    <row r="10326">
      <c r="A10326" s="1" t="s">
        <v>19144</v>
      </c>
      <c r="B10326" s="2" t="s">
        <v>18517</v>
      </c>
      <c r="C10326" s="1" t="s">
        <v>3491</v>
      </c>
      <c r="D10326" s="1" t="s">
        <v>3493</v>
      </c>
    </row>
    <row r="10327">
      <c r="A10327" s="1" t="s">
        <v>19145</v>
      </c>
      <c r="B10327" s="2" t="s">
        <v>19146</v>
      </c>
      <c r="C10327" s="1" t="s">
        <v>3491</v>
      </c>
      <c r="D10327" s="1" t="s">
        <v>3493</v>
      </c>
    </row>
    <row r="10328">
      <c r="A10328" s="1" t="s">
        <v>19147</v>
      </c>
      <c r="B10328" s="2" t="s">
        <v>19148</v>
      </c>
      <c r="C10328" s="1" t="s">
        <v>3491</v>
      </c>
      <c r="D10328" s="1" t="s">
        <v>3493</v>
      </c>
    </row>
    <row r="10329">
      <c r="A10329" s="1" t="s">
        <v>19149</v>
      </c>
      <c r="B10329" s="2" t="s">
        <v>19150</v>
      </c>
      <c r="C10329" s="1" t="s">
        <v>3491</v>
      </c>
      <c r="D10329" s="1" t="s">
        <v>3493</v>
      </c>
    </row>
    <row r="10330">
      <c r="A10330" s="1" t="s">
        <v>19151</v>
      </c>
      <c r="B10330" s="2" t="s">
        <v>19152</v>
      </c>
      <c r="C10330" s="1" t="s">
        <v>3491</v>
      </c>
      <c r="D10330" s="1" t="s">
        <v>3493</v>
      </c>
    </row>
    <row r="10331">
      <c r="A10331" s="1" t="s">
        <v>19153</v>
      </c>
      <c r="B10331" s="2" t="s">
        <v>19154</v>
      </c>
      <c r="C10331" s="1" t="s">
        <v>3491</v>
      </c>
      <c r="D10331" s="1" t="s">
        <v>3493</v>
      </c>
    </row>
    <row r="10332">
      <c r="A10332" s="1" t="s">
        <v>19155</v>
      </c>
      <c r="B10332" s="2" t="s">
        <v>19156</v>
      </c>
      <c r="C10332" s="1" t="s">
        <v>3491</v>
      </c>
      <c r="D10332" s="1" t="s">
        <v>3493</v>
      </c>
    </row>
    <row r="10333">
      <c r="A10333" s="1" t="s">
        <v>19157</v>
      </c>
      <c r="B10333" s="2" t="s">
        <v>18529</v>
      </c>
      <c r="C10333" s="1" t="s">
        <v>3491</v>
      </c>
      <c r="D10333" s="1" t="s">
        <v>3493</v>
      </c>
    </row>
    <row r="10334">
      <c r="A10334" s="1" t="s">
        <v>19158</v>
      </c>
      <c r="B10334" s="2" t="s">
        <v>18531</v>
      </c>
      <c r="C10334" s="1" t="s">
        <v>3491</v>
      </c>
      <c r="D10334" s="1" t="s">
        <v>3493</v>
      </c>
    </row>
    <row r="10335">
      <c r="A10335" s="1" t="s">
        <v>19159</v>
      </c>
      <c r="B10335" s="2" t="s">
        <v>19160</v>
      </c>
      <c r="C10335" s="1" t="s">
        <v>3491</v>
      </c>
      <c r="D10335" s="1" t="s">
        <v>3493</v>
      </c>
    </row>
    <row r="10336">
      <c r="A10336" s="1" t="s">
        <v>19161</v>
      </c>
      <c r="B10336" s="2" t="s">
        <v>19162</v>
      </c>
      <c r="C10336" s="1" t="s">
        <v>3491</v>
      </c>
      <c r="D10336" s="1" t="s">
        <v>3493</v>
      </c>
    </row>
    <row r="10337">
      <c r="A10337" s="1" t="s">
        <v>19163</v>
      </c>
      <c r="B10337" s="2" t="s">
        <v>19164</v>
      </c>
      <c r="C10337" s="1" t="s">
        <v>3491</v>
      </c>
      <c r="D10337" s="1" t="s">
        <v>3493</v>
      </c>
    </row>
    <row r="10338">
      <c r="A10338" s="1" t="s">
        <v>19165</v>
      </c>
      <c r="B10338" s="2" t="s">
        <v>19166</v>
      </c>
      <c r="C10338" s="1" t="s">
        <v>3491</v>
      </c>
      <c r="D10338" s="1" t="s">
        <v>3493</v>
      </c>
    </row>
    <row r="10339">
      <c r="A10339" s="1" t="s">
        <v>19167</v>
      </c>
      <c r="B10339" s="2" t="s">
        <v>19168</v>
      </c>
      <c r="C10339" s="1" t="s">
        <v>3491</v>
      </c>
      <c r="D10339" s="1" t="s">
        <v>3493</v>
      </c>
    </row>
    <row r="10340">
      <c r="A10340" s="1" t="s">
        <v>19169</v>
      </c>
      <c r="B10340" s="2" t="s">
        <v>19170</v>
      </c>
      <c r="C10340" s="1" t="s">
        <v>3491</v>
      </c>
      <c r="D10340" s="1" t="s">
        <v>3493</v>
      </c>
    </row>
    <row r="10341">
      <c r="A10341" s="1" t="s">
        <v>19171</v>
      </c>
      <c r="B10341" s="2" t="s">
        <v>18543</v>
      </c>
      <c r="C10341" s="1" t="s">
        <v>3491</v>
      </c>
      <c r="D10341" s="1" t="s">
        <v>3493</v>
      </c>
    </row>
    <row r="10342">
      <c r="A10342" s="1" t="s">
        <v>19172</v>
      </c>
      <c r="B10342" s="2" t="s">
        <v>19173</v>
      </c>
      <c r="C10342" s="1" t="s">
        <v>3491</v>
      </c>
      <c r="D10342" s="1" t="s">
        <v>3493</v>
      </c>
    </row>
    <row r="10343">
      <c r="A10343" s="1" t="s">
        <v>19174</v>
      </c>
      <c r="B10343" s="2" t="s">
        <v>19175</v>
      </c>
      <c r="C10343" s="1" t="s">
        <v>3491</v>
      </c>
      <c r="D10343" s="1" t="s">
        <v>3493</v>
      </c>
    </row>
    <row r="10344">
      <c r="A10344" s="1" t="s">
        <v>19176</v>
      </c>
      <c r="B10344" s="2" t="s">
        <v>19177</v>
      </c>
      <c r="C10344" s="1" t="s">
        <v>3491</v>
      </c>
      <c r="D10344" s="1" t="s">
        <v>3493</v>
      </c>
    </row>
    <row r="10345">
      <c r="A10345" s="1" t="s">
        <v>19178</v>
      </c>
      <c r="B10345" s="2" t="s">
        <v>19179</v>
      </c>
      <c r="C10345" s="1" t="s">
        <v>3491</v>
      </c>
      <c r="D10345" s="1" t="s">
        <v>3493</v>
      </c>
    </row>
    <row r="10346">
      <c r="A10346" s="1" t="s">
        <v>19180</v>
      </c>
      <c r="B10346" s="2" t="s">
        <v>19181</v>
      </c>
      <c r="C10346" s="1" t="s">
        <v>3491</v>
      </c>
      <c r="D10346" s="1" t="s">
        <v>3493</v>
      </c>
    </row>
    <row r="10347">
      <c r="A10347" s="1" t="s">
        <v>19182</v>
      </c>
      <c r="B10347" s="2" t="s">
        <v>19183</v>
      </c>
      <c r="C10347" s="1" t="s">
        <v>3491</v>
      </c>
      <c r="D10347" s="1" t="s">
        <v>3493</v>
      </c>
    </row>
    <row r="10348">
      <c r="A10348" s="1" t="s">
        <v>3497</v>
      </c>
      <c r="B10348" s="2" t="s">
        <v>7</v>
      </c>
      <c r="C10348" s="1" t="s">
        <v>3499</v>
      </c>
      <c r="D10348" s="1" t="s">
        <v>3501</v>
      </c>
    </row>
    <row r="10349">
      <c r="A10349" s="1" t="s">
        <v>19184</v>
      </c>
      <c r="B10349" s="2" t="s">
        <v>13984</v>
      </c>
      <c r="C10349" s="1" t="s">
        <v>3499</v>
      </c>
      <c r="D10349" s="1" t="s">
        <v>3501</v>
      </c>
    </row>
    <row r="10350">
      <c r="A10350" s="1" t="s">
        <v>19185</v>
      </c>
      <c r="B10350" s="2" t="s">
        <v>18478</v>
      </c>
      <c r="C10350" s="1" t="s">
        <v>3499</v>
      </c>
      <c r="D10350" s="1" t="s">
        <v>3501</v>
      </c>
    </row>
    <row r="10351">
      <c r="A10351" s="1" t="s">
        <v>19186</v>
      </c>
      <c r="B10351" s="2" t="s">
        <v>19187</v>
      </c>
      <c r="C10351" s="1" t="s">
        <v>3499</v>
      </c>
      <c r="D10351" s="1" t="s">
        <v>3501</v>
      </c>
    </row>
    <row r="10352">
      <c r="A10352" s="1" t="s">
        <v>19188</v>
      </c>
      <c r="B10352" s="2" t="s">
        <v>19189</v>
      </c>
      <c r="C10352" s="1" t="s">
        <v>3499</v>
      </c>
      <c r="D10352" s="1" t="s">
        <v>3501</v>
      </c>
    </row>
    <row r="10353">
      <c r="A10353" s="1" t="s">
        <v>19190</v>
      </c>
      <c r="B10353" s="2" t="s">
        <v>19191</v>
      </c>
      <c r="C10353" s="1" t="s">
        <v>3499</v>
      </c>
      <c r="D10353" s="1" t="s">
        <v>3501</v>
      </c>
    </row>
    <row r="10354">
      <c r="A10354" s="1" t="s">
        <v>19192</v>
      </c>
      <c r="B10354" s="2" t="s">
        <v>19193</v>
      </c>
      <c r="C10354" s="1" t="s">
        <v>3499</v>
      </c>
      <c r="D10354" s="1" t="s">
        <v>3501</v>
      </c>
    </row>
    <row r="10355">
      <c r="A10355" s="1" t="s">
        <v>19194</v>
      </c>
      <c r="B10355" s="2" t="s">
        <v>19195</v>
      </c>
      <c r="C10355" s="1" t="s">
        <v>3499</v>
      </c>
      <c r="D10355" s="1" t="s">
        <v>3501</v>
      </c>
    </row>
    <row r="10356">
      <c r="A10356" s="1" t="s">
        <v>19196</v>
      </c>
      <c r="B10356" s="2" t="s">
        <v>19197</v>
      </c>
      <c r="C10356" s="1" t="s">
        <v>3499</v>
      </c>
      <c r="D10356" s="1" t="s">
        <v>3501</v>
      </c>
    </row>
    <row r="10357">
      <c r="A10357" s="1" t="s">
        <v>19198</v>
      </c>
      <c r="B10357" s="2" t="s">
        <v>19199</v>
      </c>
      <c r="C10357" s="1" t="s">
        <v>3499</v>
      </c>
      <c r="D10357" s="1" t="s">
        <v>3501</v>
      </c>
    </row>
    <row r="10358">
      <c r="A10358" s="1" t="s">
        <v>19200</v>
      </c>
      <c r="B10358" s="2" t="s">
        <v>19201</v>
      </c>
      <c r="C10358" s="1" t="s">
        <v>3499</v>
      </c>
      <c r="D10358" s="1" t="s">
        <v>3501</v>
      </c>
    </row>
    <row r="10359">
      <c r="A10359" s="1" t="s">
        <v>19202</v>
      </c>
      <c r="B10359" s="2" t="s">
        <v>19203</v>
      </c>
      <c r="C10359" s="1" t="s">
        <v>3499</v>
      </c>
      <c r="D10359" s="1" t="s">
        <v>3501</v>
      </c>
    </row>
    <row r="10360">
      <c r="A10360" s="1" t="s">
        <v>19204</v>
      </c>
      <c r="B10360" s="2" t="s">
        <v>19205</v>
      </c>
      <c r="C10360" s="1" t="s">
        <v>3499</v>
      </c>
      <c r="D10360" s="1" t="s">
        <v>3501</v>
      </c>
    </row>
    <row r="10361">
      <c r="A10361" s="1" t="s">
        <v>19206</v>
      </c>
      <c r="B10361" s="2" t="s">
        <v>19207</v>
      </c>
      <c r="C10361" s="1" t="s">
        <v>3499</v>
      </c>
      <c r="D10361" s="1" t="s">
        <v>3501</v>
      </c>
    </row>
    <row r="10362">
      <c r="A10362" s="1" t="s">
        <v>19208</v>
      </c>
      <c r="B10362" s="2" t="s">
        <v>19209</v>
      </c>
      <c r="C10362" s="1" t="s">
        <v>3499</v>
      </c>
      <c r="D10362" s="1" t="s">
        <v>3501</v>
      </c>
    </row>
    <row r="10363">
      <c r="A10363" s="1" t="s">
        <v>19210</v>
      </c>
      <c r="B10363" s="2" t="s">
        <v>18490</v>
      </c>
      <c r="C10363" s="1" t="s">
        <v>3499</v>
      </c>
      <c r="D10363" s="1" t="s">
        <v>3501</v>
      </c>
    </row>
    <row r="10364">
      <c r="A10364" s="1" t="s">
        <v>19211</v>
      </c>
      <c r="B10364" s="2" t="s">
        <v>18492</v>
      </c>
      <c r="C10364" s="1" t="s">
        <v>3499</v>
      </c>
      <c r="D10364" s="1" t="s">
        <v>3501</v>
      </c>
    </row>
    <row r="10365">
      <c r="A10365" s="1" t="s">
        <v>19212</v>
      </c>
      <c r="B10365" s="2" t="s">
        <v>19213</v>
      </c>
      <c r="C10365" s="1" t="s">
        <v>3499</v>
      </c>
      <c r="D10365" s="1" t="s">
        <v>3501</v>
      </c>
    </row>
    <row r="10366">
      <c r="A10366" s="1" t="s">
        <v>19214</v>
      </c>
      <c r="B10366" s="2" t="s">
        <v>19215</v>
      </c>
      <c r="C10366" s="1" t="s">
        <v>3499</v>
      </c>
      <c r="D10366" s="1" t="s">
        <v>3501</v>
      </c>
    </row>
    <row r="10367">
      <c r="A10367" s="1" t="s">
        <v>19216</v>
      </c>
      <c r="B10367" s="2" t="s">
        <v>19217</v>
      </c>
      <c r="C10367" s="1" t="s">
        <v>3499</v>
      </c>
      <c r="D10367" s="1" t="s">
        <v>3501</v>
      </c>
    </row>
    <row r="10368">
      <c r="A10368" s="1" t="s">
        <v>19218</v>
      </c>
      <c r="B10368" s="2" t="s">
        <v>18504</v>
      </c>
      <c r="C10368" s="1" t="s">
        <v>3499</v>
      </c>
      <c r="D10368" s="1" t="s">
        <v>3501</v>
      </c>
    </row>
    <row r="10369">
      <c r="A10369" s="1" t="s">
        <v>19219</v>
      </c>
      <c r="B10369" s="2" t="s">
        <v>19220</v>
      </c>
      <c r="C10369" s="1" t="s">
        <v>3499</v>
      </c>
      <c r="D10369" s="1" t="s">
        <v>3501</v>
      </c>
    </row>
    <row r="10370">
      <c r="A10370" s="1" t="s">
        <v>19221</v>
      </c>
      <c r="B10370" s="2" t="s">
        <v>19222</v>
      </c>
      <c r="C10370" s="1" t="s">
        <v>3499</v>
      </c>
      <c r="D10370" s="1" t="s">
        <v>3501</v>
      </c>
    </row>
    <row r="10371">
      <c r="A10371" s="1" t="s">
        <v>19223</v>
      </c>
      <c r="B10371" s="2" t="s">
        <v>19224</v>
      </c>
      <c r="C10371" s="1" t="s">
        <v>3499</v>
      </c>
      <c r="D10371" s="1" t="s">
        <v>3501</v>
      </c>
    </row>
    <row r="10372">
      <c r="A10372" s="1" t="s">
        <v>19225</v>
      </c>
      <c r="B10372" s="2" t="s">
        <v>13994</v>
      </c>
      <c r="C10372" s="1" t="s">
        <v>3499</v>
      </c>
      <c r="D10372" s="1" t="s">
        <v>3501</v>
      </c>
    </row>
    <row r="10373">
      <c r="A10373" s="1" t="s">
        <v>19226</v>
      </c>
      <c r="B10373" s="2" t="s">
        <v>18517</v>
      </c>
      <c r="C10373" s="1" t="s">
        <v>3499</v>
      </c>
      <c r="D10373" s="1" t="s">
        <v>3501</v>
      </c>
    </row>
    <row r="10374">
      <c r="A10374" s="1" t="s">
        <v>19227</v>
      </c>
      <c r="B10374" s="2" t="s">
        <v>19228</v>
      </c>
      <c r="C10374" s="1" t="s">
        <v>3499</v>
      </c>
      <c r="D10374" s="1" t="s">
        <v>3501</v>
      </c>
    </row>
    <row r="10375">
      <c r="A10375" s="1" t="s">
        <v>19229</v>
      </c>
      <c r="B10375" s="2" t="s">
        <v>19230</v>
      </c>
      <c r="C10375" s="1" t="s">
        <v>3499</v>
      </c>
      <c r="D10375" s="1" t="s">
        <v>3501</v>
      </c>
    </row>
    <row r="10376">
      <c r="A10376" s="1" t="s">
        <v>19231</v>
      </c>
      <c r="B10376" s="2" t="s">
        <v>19232</v>
      </c>
      <c r="C10376" s="1" t="s">
        <v>3499</v>
      </c>
      <c r="D10376" s="1" t="s">
        <v>3501</v>
      </c>
    </row>
    <row r="10377">
      <c r="A10377" s="1" t="s">
        <v>19233</v>
      </c>
      <c r="B10377" s="2" t="s">
        <v>19234</v>
      </c>
      <c r="C10377" s="1" t="s">
        <v>3499</v>
      </c>
      <c r="D10377" s="1" t="s">
        <v>3501</v>
      </c>
    </row>
    <row r="10378">
      <c r="A10378" s="1" t="s">
        <v>19235</v>
      </c>
      <c r="B10378" s="2" t="s">
        <v>19236</v>
      </c>
      <c r="C10378" s="1" t="s">
        <v>3499</v>
      </c>
      <c r="D10378" s="1" t="s">
        <v>3501</v>
      </c>
    </row>
    <row r="10379">
      <c r="A10379" s="1" t="s">
        <v>19237</v>
      </c>
      <c r="B10379" s="2" t="s">
        <v>19238</v>
      </c>
      <c r="C10379" s="1" t="s">
        <v>3499</v>
      </c>
      <c r="D10379" s="1" t="s">
        <v>3501</v>
      </c>
    </row>
    <row r="10380">
      <c r="A10380" s="1" t="s">
        <v>19239</v>
      </c>
      <c r="B10380" s="2" t="s">
        <v>19240</v>
      </c>
      <c r="C10380" s="1" t="s">
        <v>3499</v>
      </c>
      <c r="D10380" s="1" t="s">
        <v>3501</v>
      </c>
    </row>
    <row r="10381">
      <c r="A10381" s="1" t="s">
        <v>19241</v>
      </c>
      <c r="B10381" s="2" t="s">
        <v>19242</v>
      </c>
      <c r="C10381" s="1" t="s">
        <v>3499</v>
      </c>
      <c r="D10381" s="1" t="s">
        <v>3501</v>
      </c>
    </row>
    <row r="10382">
      <c r="A10382" s="1" t="s">
        <v>19243</v>
      </c>
      <c r="B10382" s="2" t="s">
        <v>19244</v>
      </c>
      <c r="C10382" s="1" t="s">
        <v>3499</v>
      </c>
      <c r="D10382" s="1" t="s">
        <v>3501</v>
      </c>
    </row>
    <row r="10383">
      <c r="A10383" s="1" t="s">
        <v>19245</v>
      </c>
      <c r="B10383" s="2" t="s">
        <v>19246</v>
      </c>
      <c r="C10383" s="1" t="s">
        <v>3499</v>
      </c>
      <c r="D10383" s="1" t="s">
        <v>3501</v>
      </c>
    </row>
    <row r="10384">
      <c r="A10384" s="1" t="s">
        <v>19247</v>
      </c>
      <c r="B10384" s="2" t="s">
        <v>19248</v>
      </c>
      <c r="C10384" s="1" t="s">
        <v>3499</v>
      </c>
      <c r="D10384" s="1" t="s">
        <v>3501</v>
      </c>
    </row>
    <row r="10385">
      <c r="A10385" s="1" t="s">
        <v>19249</v>
      </c>
      <c r="B10385" s="2" t="s">
        <v>19250</v>
      </c>
      <c r="C10385" s="1" t="s">
        <v>3499</v>
      </c>
      <c r="D10385" s="1" t="s">
        <v>3501</v>
      </c>
    </row>
    <row r="10386">
      <c r="A10386" s="1" t="s">
        <v>19251</v>
      </c>
      <c r="B10386" s="2" t="s">
        <v>18529</v>
      </c>
      <c r="C10386" s="1" t="s">
        <v>3499</v>
      </c>
      <c r="D10386" s="1" t="s">
        <v>3501</v>
      </c>
    </row>
    <row r="10387">
      <c r="A10387" s="1" t="s">
        <v>19252</v>
      </c>
      <c r="B10387" s="2" t="s">
        <v>18531</v>
      </c>
      <c r="C10387" s="1" t="s">
        <v>3499</v>
      </c>
      <c r="D10387" s="1" t="s">
        <v>3501</v>
      </c>
    </row>
    <row r="10388">
      <c r="A10388" s="1" t="s">
        <v>19253</v>
      </c>
      <c r="B10388" s="2" t="s">
        <v>19254</v>
      </c>
      <c r="C10388" s="1" t="s">
        <v>3499</v>
      </c>
      <c r="D10388" s="1" t="s">
        <v>3501</v>
      </c>
    </row>
    <row r="10389">
      <c r="A10389" s="1" t="s">
        <v>19255</v>
      </c>
      <c r="B10389" s="2" t="s">
        <v>19256</v>
      </c>
      <c r="C10389" s="1" t="s">
        <v>3499</v>
      </c>
      <c r="D10389" s="1" t="s">
        <v>3501</v>
      </c>
    </row>
    <row r="10390">
      <c r="A10390" s="1" t="s">
        <v>19257</v>
      </c>
      <c r="B10390" s="2" t="s">
        <v>19258</v>
      </c>
      <c r="C10390" s="1" t="s">
        <v>3499</v>
      </c>
      <c r="D10390" s="1" t="s">
        <v>3501</v>
      </c>
    </row>
    <row r="10391">
      <c r="A10391" s="1" t="s">
        <v>19259</v>
      </c>
      <c r="B10391" s="2" t="s">
        <v>18543</v>
      </c>
      <c r="C10391" s="1" t="s">
        <v>3499</v>
      </c>
      <c r="D10391" s="1" t="s">
        <v>3501</v>
      </c>
    </row>
    <row r="10392">
      <c r="A10392" s="1" t="s">
        <v>19260</v>
      </c>
      <c r="B10392" s="2" t="s">
        <v>19261</v>
      </c>
      <c r="C10392" s="1" t="s">
        <v>3499</v>
      </c>
      <c r="D10392" s="1" t="s">
        <v>3501</v>
      </c>
    </row>
    <row r="10393">
      <c r="A10393" s="1" t="s">
        <v>19262</v>
      </c>
      <c r="B10393" s="2" t="s">
        <v>19263</v>
      </c>
      <c r="C10393" s="1" t="s">
        <v>3499</v>
      </c>
      <c r="D10393" s="1" t="s">
        <v>3501</v>
      </c>
    </row>
    <row r="10394">
      <c r="A10394" s="1" t="s">
        <v>19264</v>
      </c>
      <c r="B10394" s="2" t="s">
        <v>19265</v>
      </c>
      <c r="C10394" s="1" t="s">
        <v>3499</v>
      </c>
      <c r="D10394" s="1" t="s">
        <v>3501</v>
      </c>
    </row>
    <row r="10395">
      <c r="A10395" s="1" t="s">
        <v>3504</v>
      </c>
      <c r="B10395" s="2" t="s">
        <v>7</v>
      </c>
      <c r="C10395" s="1" t="s">
        <v>3506</v>
      </c>
      <c r="D10395" s="1" t="s">
        <v>3508</v>
      </c>
    </row>
    <row r="10396">
      <c r="A10396" s="1" t="s">
        <v>19266</v>
      </c>
      <c r="B10396" s="2" t="s">
        <v>13984</v>
      </c>
      <c r="C10396" s="1" t="s">
        <v>3506</v>
      </c>
      <c r="D10396" s="1" t="s">
        <v>3508</v>
      </c>
    </row>
    <row r="10397">
      <c r="A10397" s="1" t="s">
        <v>19267</v>
      </c>
      <c r="B10397" s="2" t="s">
        <v>19268</v>
      </c>
      <c r="C10397" s="1" t="s">
        <v>3506</v>
      </c>
      <c r="D10397" s="1" t="s">
        <v>3508</v>
      </c>
    </row>
    <row r="10398">
      <c r="A10398" s="1" t="s">
        <v>19269</v>
      </c>
      <c r="B10398" s="2" t="s">
        <v>19270</v>
      </c>
      <c r="C10398" s="1" t="s">
        <v>3506</v>
      </c>
      <c r="D10398" s="1" t="s">
        <v>3508</v>
      </c>
    </row>
    <row r="10399">
      <c r="A10399" s="1" t="s">
        <v>19271</v>
      </c>
      <c r="B10399" s="2" t="s">
        <v>19272</v>
      </c>
      <c r="C10399" s="1" t="s">
        <v>3506</v>
      </c>
      <c r="D10399" s="1" t="s">
        <v>3508</v>
      </c>
    </row>
    <row r="10400">
      <c r="A10400" s="1" t="s">
        <v>19273</v>
      </c>
      <c r="B10400" s="2" t="s">
        <v>19274</v>
      </c>
      <c r="C10400" s="1" t="s">
        <v>3506</v>
      </c>
      <c r="D10400" s="1" t="s">
        <v>3508</v>
      </c>
    </row>
    <row r="10401">
      <c r="A10401" s="1" t="s">
        <v>19275</v>
      </c>
      <c r="B10401" s="2" t="s">
        <v>19276</v>
      </c>
      <c r="C10401" s="1" t="s">
        <v>3506</v>
      </c>
      <c r="D10401" s="1" t="s">
        <v>3508</v>
      </c>
    </row>
    <row r="10402">
      <c r="A10402" s="1" t="s">
        <v>19277</v>
      </c>
      <c r="B10402" s="2" t="s">
        <v>19278</v>
      </c>
      <c r="C10402" s="1" t="s">
        <v>3506</v>
      </c>
      <c r="D10402" s="1" t="s">
        <v>3508</v>
      </c>
    </row>
    <row r="10403">
      <c r="A10403" s="1" t="s">
        <v>19279</v>
      </c>
      <c r="B10403" s="2" t="s">
        <v>19280</v>
      </c>
      <c r="C10403" s="1" t="s">
        <v>3506</v>
      </c>
      <c r="D10403" s="1" t="s">
        <v>3508</v>
      </c>
    </row>
    <row r="10404">
      <c r="A10404" s="1" t="s">
        <v>19281</v>
      </c>
      <c r="B10404" s="2" t="s">
        <v>19282</v>
      </c>
      <c r="C10404" s="1" t="s">
        <v>3506</v>
      </c>
      <c r="D10404" s="1" t="s">
        <v>3508</v>
      </c>
    </row>
    <row r="10405">
      <c r="A10405" s="1" t="s">
        <v>19283</v>
      </c>
      <c r="B10405" s="2" t="s">
        <v>19284</v>
      </c>
      <c r="C10405" s="1" t="s">
        <v>3506</v>
      </c>
      <c r="D10405" s="1" t="s">
        <v>3508</v>
      </c>
    </row>
    <row r="10406">
      <c r="A10406" s="1" t="s">
        <v>19285</v>
      </c>
      <c r="B10406" s="2" t="s">
        <v>19286</v>
      </c>
      <c r="C10406" s="1" t="s">
        <v>3506</v>
      </c>
      <c r="D10406" s="1" t="s">
        <v>3508</v>
      </c>
    </row>
    <row r="10407">
      <c r="A10407" s="1" t="s">
        <v>19287</v>
      </c>
      <c r="B10407" s="2" t="s">
        <v>19288</v>
      </c>
      <c r="C10407" s="1" t="s">
        <v>3506</v>
      </c>
      <c r="D10407" s="1" t="s">
        <v>3508</v>
      </c>
    </row>
    <row r="10408">
      <c r="A10408" s="1" t="s">
        <v>19289</v>
      </c>
      <c r="B10408" s="2" t="s">
        <v>19290</v>
      </c>
      <c r="C10408" s="1" t="s">
        <v>3506</v>
      </c>
      <c r="D10408" s="1" t="s">
        <v>3508</v>
      </c>
    </row>
    <row r="10409">
      <c r="A10409" s="1" t="s">
        <v>19291</v>
      </c>
      <c r="B10409" s="2" t="s">
        <v>19292</v>
      </c>
      <c r="C10409" s="1" t="s">
        <v>3506</v>
      </c>
      <c r="D10409" s="1" t="s">
        <v>3508</v>
      </c>
    </row>
    <row r="10410">
      <c r="A10410" s="1" t="s">
        <v>19293</v>
      </c>
      <c r="B10410" s="2" t="s">
        <v>19294</v>
      </c>
      <c r="C10410" s="1" t="s">
        <v>3506</v>
      </c>
      <c r="D10410" s="1" t="s">
        <v>3508</v>
      </c>
    </row>
    <row r="10411">
      <c r="A10411" s="1" t="s">
        <v>19295</v>
      </c>
      <c r="B10411" s="2" t="s">
        <v>19296</v>
      </c>
      <c r="C10411" s="1" t="s">
        <v>3506</v>
      </c>
      <c r="D10411" s="1" t="s">
        <v>3508</v>
      </c>
    </row>
    <row r="10412">
      <c r="A10412" s="1" t="s">
        <v>19297</v>
      </c>
      <c r="B10412" s="2" t="s">
        <v>19298</v>
      </c>
      <c r="C10412" s="1" t="s">
        <v>3506</v>
      </c>
      <c r="D10412" s="1" t="s">
        <v>3508</v>
      </c>
    </row>
    <row r="10413">
      <c r="A10413" s="1" t="s">
        <v>19299</v>
      </c>
      <c r="B10413" s="2" t="s">
        <v>19300</v>
      </c>
      <c r="C10413" s="1" t="s">
        <v>3506</v>
      </c>
      <c r="D10413" s="1" t="s">
        <v>3508</v>
      </c>
    </row>
    <row r="10414">
      <c r="A10414" s="1" t="s">
        <v>19301</v>
      </c>
      <c r="B10414" s="2" t="s">
        <v>19302</v>
      </c>
      <c r="C10414" s="1" t="s">
        <v>3506</v>
      </c>
      <c r="D10414" s="1" t="s">
        <v>3508</v>
      </c>
    </row>
    <row r="10415">
      <c r="A10415" s="1" t="s">
        <v>19303</v>
      </c>
      <c r="B10415" s="2" t="s">
        <v>19304</v>
      </c>
      <c r="C10415" s="1" t="s">
        <v>3506</v>
      </c>
      <c r="D10415" s="1" t="s">
        <v>3508</v>
      </c>
    </row>
    <row r="10416">
      <c r="A10416" s="1" t="s">
        <v>19305</v>
      </c>
      <c r="B10416" s="2" t="s">
        <v>19306</v>
      </c>
      <c r="C10416" s="1" t="s">
        <v>3506</v>
      </c>
      <c r="D10416" s="1" t="s">
        <v>3508</v>
      </c>
    </row>
    <row r="10417">
      <c r="A10417" s="1" t="s">
        <v>19307</v>
      </c>
      <c r="B10417" s="2" t="s">
        <v>19308</v>
      </c>
      <c r="C10417" s="1" t="s">
        <v>3506</v>
      </c>
      <c r="D10417" s="1" t="s">
        <v>3508</v>
      </c>
    </row>
    <row r="10418">
      <c r="A10418" s="1" t="s">
        <v>19309</v>
      </c>
      <c r="B10418" s="2" t="s">
        <v>19310</v>
      </c>
      <c r="C10418" s="1" t="s">
        <v>3506</v>
      </c>
      <c r="D10418" s="1" t="s">
        <v>3508</v>
      </c>
    </row>
    <row r="10419">
      <c r="A10419" s="1" t="s">
        <v>19311</v>
      </c>
      <c r="B10419" s="2" t="s">
        <v>19312</v>
      </c>
      <c r="C10419" s="1" t="s">
        <v>3506</v>
      </c>
      <c r="D10419" s="1" t="s">
        <v>3508</v>
      </c>
    </row>
    <row r="10420">
      <c r="A10420" s="1" t="s">
        <v>19313</v>
      </c>
      <c r="B10420" s="2" t="s">
        <v>19314</v>
      </c>
      <c r="C10420" s="1" t="s">
        <v>3506</v>
      </c>
      <c r="D10420" s="1" t="s">
        <v>3508</v>
      </c>
    </row>
    <row r="10421">
      <c r="A10421" s="1" t="s">
        <v>19315</v>
      </c>
      <c r="B10421" s="2" t="s">
        <v>19316</v>
      </c>
      <c r="C10421" s="1" t="s">
        <v>3506</v>
      </c>
      <c r="D10421" s="1" t="s">
        <v>3508</v>
      </c>
    </row>
    <row r="10422">
      <c r="A10422" s="1" t="s">
        <v>19317</v>
      </c>
      <c r="B10422" s="2" t="s">
        <v>19318</v>
      </c>
      <c r="C10422" s="1" t="s">
        <v>3506</v>
      </c>
      <c r="D10422" s="1" t="s">
        <v>3508</v>
      </c>
    </row>
    <row r="10423">
      <c r="A10423" s="1" t="s">
        <v>19319</v>
      </c>
      <c r="B10423" s="2" t="s">
        <v>19320</v>
      </c>
      <c r="C10423" s="1" t="s">
        <v>3506</v>
      </c>
      <c r="D10423" s="1" t="s">
        <v>3508</v>
      </c>
    </row>
    <row r="10424">
      <c r="A10424" s="1" t="s">
        <v>19321</v>
      </c>
      <c r="B10424" s="2" t="s">
        <v>19322</v>
      </c>
      <c r="C10424" s="1" t="s">
        <v>3506</v>
      </c>
      <c r="D10424" s="1" t="s">
        <v>3508</v>
      </c>
    </row>
    <row r="10425">
      <c r="A10425" s="1" t="s">
        <v>19323</v>
      </c>
      <c r="B10425" s="2" t="s">
        <v>13994</v>
      </c>
      <c r="C10425" s="1" t="s">
        <v>3506</v>
      </c>
      <c r="D10425" s="1" t="s">
        <v>3508</v>
      </c>
    </row>
    <row r="10426">
      <c r="A10426" s="1" t="s">
        <v>19324</v>
      </c>
      <c r="B10426" s="2" t="s">
        <v>19325</v>
      </c>
      <c r="C10426" s="1" t="s">
        <v>3506</v>
      </c>
      <c r="D10426" s="1" t="s">
        <v>3508</v>
      </c>
    </row>
    <row r="10427">
      <c r="A10427" s="1" t="s">
        <v>19326</v>
      </c>
      <c r="B10427" s="2" t="s">
        <v>19327</v>
      </c>
      <c r="C10427" s="1" t="s">
        <v>3506</v>
      </c>
      <c r="D10427" s="1" t="s">
        <v>3508</v>
      </c>
    </row>
    <row r="10428">
      <c r="A10428" s="1" t="s">
        <v>19328</v>
      </c>
      <c r="B10428" s="2" t="s">
        <v>19329</v>
      </c>
      <c r="C10428" s="1" t="s">
        <v>3506</v>
      </c>
      <c r="D10428" s="1" t="s">
        <v>3508</v>
      </c>
    </row>
    <row r="10429">
      <c r="A10429" s="1" t="s">
        <v>19330</v>
      </c>
      <c r="B10429" s="2" t="s">
        <v>19331</v>
      </c>
      <c r="C10429" s="1" t="s">
        <v>3506</v>
      </c>
      <c r="D10429" s="1" t="s">
        <v>3508</v>
      </c>
    </row>
    <row r="10430">
      <c r="A10430" s="1" t="s">
        <v>19332</v>
      </c>
      <c r="B10430" s="2" t="s">
        <v>19333</v>
      </c>
      <c r="C10430" s="1" t="s">
        <v>3506</v>
      </c>
      <c r="D10430" s="1" t="s">
        <v>3508</v>
      </c>
    </row>
    <row r="10431">
      <c r="A10431" s="1" t="s">
        <v>19334</v>
      </c>
      <c r="B10431" s="2" t="s">
        <v>19335</v>
      </c>
      <c r="C10431" s="1" t="s">
        <v>3506</v>
      </c>
      <c r="D10431" s="1" t="s">
        <v>3508</v>
      </c>
    </row>
    <row r="10432">
      <c r="A10432" s="1" t="s">
        <v>19336</v>
      </c>
      <c r="B10432" s="2" t="s">
        <v>19337</v>
      </c>
      <c r="C10432" s="1" t="s">
        <v>3506</v>
      </c>
      <c r="D10432" s="1" t="s">
        <v>3508</v>
      </c>
    </row>
    <row r="10433">
      <c r="A10433" s="1" t="s">
        <v>19338</v>
      </c>
      <c r="B10433" s="2" t="s">
        <v>19339</v>
      </c>
      <c r="C10433" s="1" t="s">
        <v>3506</v>
      </c>
      <c r="D10433" s="1" t="s">
        <v>3508</v>
      </c>
    </row>
    <row r="10434">
      <c r="A10434" s="1" t="s">
        <v>19340</v>
      </c>
      <c r="B10434" s="2" t="s">
        <v>19341</v>
      </c>
      <c r="C10434" s="1" t="s">
        <v>3506</v>
      </c>
      <c r="D10434" s="1" t="s">
        <v>3508</v>
      </c>
    </row>
    <row r="10435">
      <c r="A10435" s="1" t="s">
        <v>19342</v>
      </c>
      <c r="B10435" s="2" t="s">
        <v>19343</v>
      </c>
      <c r="C10435" s="1" t="s">
        <v>3506</v>
      </c>
      <c r="D10435" s="1" t="s">
        <v>3508</v>
      </c>
    </row>
    <row r="10436">
      <c r="A10436" s="1" t="s">
        <v>19344</v>
      </c>
      <c r="B10436" s="2" t="s">
        <v>19345</v>
      </c>
      <c r="C10436" s="1" t="s">
        <v>3506</v>
      </c>
      <c r="D10436" s="1" t="s">
        <v>3508</v>
      </c>
    </row>
    <row r="10437">
      <c r="A10437" s="1" t="s">
        <v>19346</v>
      </c>
      <c r="B10437" s="2" t="s">
        <v>19347</v>
      </c>
      <c r="C10437" s="1" t="s">
        <v>3506</v>
      </c>
      <c r="D10437" s="1" t="s">
        <v>3508</v>
      </c>
    </row>
    <row r="10438">
      <c r="A10438" s="1" t="s">
        <v>19348</v>
      </c>
      <c r="B10438" s="2" t="s">
        <v>19349</v>
      </c>
      <c r="C10438" s="1" t="s">
        <v>3506</v>
      </c>
      <c r="D10438" s="1" t="s">
        <v>3508</v>
      </c>
    </row>
    <row r="10439">
      <c r="A10439" s="1" t="s">
        <v>19350</v>
      </c>
      <c r="B10439" s="2" t="s">
        <v>19351</v>
      </c>
      <c r="C10439" s="1" t="s">
        <v>3506</v>
      </c>
      <c r="D10439" s="1" t="s">
        <v>3508</v>
      </c>
    </row>
    <row r="10440">
      <c r="A10440" s="1" t="s">
        <v>19352</v>
      </c>
      <c r="B10440" s="2" t="s">
        <v>19353</v>
      </c>
      <c r="C10440" s="1" t="s">
        <v>3506</v>
      </c>
      <c r="D10440" s="1" t="s">
        <v>3508</v>
      </c>
    </row>
    <row r="10441">
      <c r="A10441" s="1" t="s">
        <v>19354</v>
      </c>
      <c r="B10441" s="2" t="s">
        <v>19355</v>
      </c>
      <c r="C10441" s="1" t="s">
        <v>3506</v>
      </c>
      <c r="D10441" s="1" t="s">
        <v>3508</v>
      </c>
    </row>
    <row r="10442">
      <c r="A10442" s="1" t="s">
        <v>19356</v>
      </c>
      <c r="B10442" s="2" t="s">
        <v>19357</v>
      </c>
      <c r="C10442" s="1" t="s">
        <v>3506</v>
      </c>
      <c r="D10442" s="1" t="s">
        <v>3508</v>
      </c>
    </row>
    <row r="10443">
      <c r="A10443" s="1" t="s">
        <v>19358</v>
      </c>
      <c r="B10443" s="2" t="s">
        <v>19359</v>
      </c>
      <c r="C10443" s="1" t="s">
        <v>3506</v>
      </c>
      <c r="D10443" s="1" t="s">
        <v>3508</v>
      </c>
    </row>
    <row r="10444">
      <c r="A10444" s="1" t="s">
        <v>19360</v>
      </c>
      <c r="B10444" s="2" t="s">
        <v>19361</v>
      </c>
      <c r="C10444" s="1" t="s">
        <v>3506</v>
      </c>
      <c r="D10444" s="1" t="s">
        <v>3508</v>
      </c>
    </row>
    <row r="10445">
      <c r="A10445" s="1" t="s">
        <v>19362</v>
      </c>
      <c r="B10445" s="2" t="s">
        <v>19363</v>
      </c>
      <c r="C10445" s="1" t="s">
        <v>3506</v>
      </c>
      <c r="D10445" s="1" t="s">
        <v>3508</v>
      </c>
    </row>
    <row r="10446">
      <c r="A10446" s="1" t="s">
        <v>19364</v>
      </c>
      <c r="B10446" s="2" t="s">
        <v>19365</v>
      </c>
      <c r="C10446" s="1" t="s">
        <v>3506</v>
      </c>
      <c r="D10446" s="1" t="s">
        <v>3508</v>
      </c>
    </row>
    <row r="10447">
      <c r="A10447" s="1" t="s">
        <v>19366</v>
      </c>
      <c r="B10447" s="2" t="s">
        <v>19367</v>
      </c>
      <c r="C10447" s="1" t="s">
        <v>3506</v>
      </c>
      <c r="D10447" s="1" t="s">
        <v>3508</v>
      </c>
    </row>
    <row r="10448">
      <c r="A10448" s="1" t="s">
        <v>19368</v>
      </c>
      <c r="B10448" s="2" t="s">
        <v>19369</v>
      </c>
      <c r="C10448" s="1" t="s">
        <v>3506</v>
      </c>
      <c r="D10448" s="1" t="s">
        <v>3508</v>
      </c>
    </row>
    <row r="10449">
      <c r="A10449" s="1" t="s">
        <v>19370</v>
      </c>
      <c r="B10449" s="2" t="s">
        <v>19371</v>
      </c>
      <c r="C10449" s="1" t="s">
        <v>3506</v>
      </c>
      <c r="D10449" s="1" t="s">
        <v>3508</v>
      </c>
    </row>
    <row r="10450">
      <c r="A10450" s="1" t="s">
        <v>19372</v>
      </c>
      <c r="B10450" s="2" t="s">
        <v>19373</v>
      </c>
      <c r="C10450" s="1" t="s">
        <v>3506</v>
      </c>
      <c r="D10450" s="1" t="s">
        <v>3508</v>
      </c>
    </row>
    <row r="10451">
      <c r="A10451" s="1" t="s">
        <v>19374</v>
      </c>
      <c r="B10451" s="2" t="s">
        <v>19375</v>
      </c>
      <c r="C10451" s="1" t="s">
        <v>3506</v>
      </c>
      <c r="D10451" s="1" t="s">
        <v>3508</v>
      </c>
    </row>
    <row r="10452">
      <c r="A10452" s="1" t="s">
        <v>19376</v>
      </c>
      <c r="B10452" s="2" t="s">
        <v>19377</v>
      </c>
      <c r="C10452" s="1" t="s">
        <v>3506</v>
      </c>
      <c r="D10452" s="1" t="s">
        <v>3508</v>
      </c>
    </row>
    <row r="10453">
      <c r="A10453" s="1" t="s">
        <v>19378</v>
      </c>
      <c r="B10453" s="2" t="s">
        <v>19379</v>
      </c>
      <c r="C10453" s="1" t="s">
        <v>3506</v>
      </c>
      <c r="D10453" s="1" t="s">
        <v>3508</v>
      </c>
    </row>
    <row r="10454">
      <c r="A10454" s="1" t="s">
        <v>3517</v>
      </c>
      <c r="B10454" s="2" t="s">
        <v>7</v>
      </c>
      <c r="C10454" s="1" t="s">
        <v>3520</v>
      </c>
      <c r="D10454" s="1" t="s">
        <v>3521</v>
      </c>
    </row>
    <row r="10455">
      <c r="A10455" s="1" t="s">
        <v>19380</v>
      </c>
      <c r="B10455" s="2" t="s">
        <v>13984</v>
      </c>
      <c r="C10455" s="1" t="s">
        <v>3520</v>
      </c>
      <c r="D10455" s="1" t="s">
        <v>3521</v>
      </c>
    </row>
    <row r="10456">
      <c r="A10456" s="1" t="s">
        <v>19381</v>
      </c>
      <c r="B10456" s="2" t="s">
        <v>18478</v>
      </c>
      <c r="C10456" s="1" t="s">
        <v>3520</v>
      </c>
      <c r="D10456" s="1" t="s">
        <v>3521</v>
      </c>
    </row>
    <row r="10457">
      <c r="A10457" s="1" t="s">
        <v>19382</v>
      </c>
      <c r="B10457" s="2" t="s">
        <v>19383</v>
      </c>
      <c r="C10457" s="1" t="s">
        <v>3520</v>
      </c>
      <c r="D10457" s="1" t="s">
        <v>3521</v>
      </c>
    </row>
    <row r="10458">
      <c r="A10458" s="1" t="s">
        <v>19384</v>
      </c>
      <c r="B10458" s="2" t="s">
        <v>19385</v>
      </c>
      <c r="C10458" s="1" t="s">
        <v>3520</v>
      </c>
      <c r="D10458" s="1" t="s">
        <v>3521</v>
      </c>
    </row>
    <row r="10459">
      <c r="A10459" s="1" t="s">
        <v>19386</v>
      </c>
      <c r="B10459" s="2" t="s">
        <v>19387</v>
      </c>
      <c r="C10459" s="1" t="s">
        <v>3520</v>
      </c>
      <c r="D10459" s="1" t="s">
        <v>3521</v>
      </c>
    </row>
    <row r="10460">
      <c r="A10460" s="1" t="s">
        <v>19388</v>
      </c>
      <c r="B10460" s="2" t="s">
        <v>19389</v>
      </c>
      <c r="C10460" s="1" t="s">
        <v>3520</v>
      </c>
      <c r="D10460" s="1" t="s">
        <v>3521</v>
      </c>
    </row>
    <row r="10461">
      <c r="A10461" s="1" t="s">
        <v>19390</v>
      </c>
      <c r="B10461" s="2" t="s">
        <v>18933</v>
      </c>
      <c r="C10461" s="1" t="s">
        <v>3520</v>
      </c>
      <c r="D10461" s="1" t="s">
        <v>3521</v>
      </c>
    </row>
    <row r="10462">
      <c r="A10462" s="1" t="s">
        <v>19391</v>
      </c>
      <c r="B10462" s="2" t="s">
        <v>18935</v>
      </c>
      <c r="C10462" s="1" t="s">
        <v>3520</v>
      </c>
      <c r="D10462" s="1" t="s">
        <v>3521</v>
      </c>
    </row>
    <row r="10463">
      <c r="A10463" s="1" t="s">
        <v>19392</v>
      </c>
      <c r="B10463" s="2" t="s">
        <v>19393</v>
      </c>
      <c r="C10463" s="1" t="s">
        <v>3520</v>
      </c>
      <c r="D10463" s="1" t="s">
        <v>3521</v>
      </c>
    </row>
    <row r="10464">
      <c r="A10464" s="1" t="s">
        <v>19394</v>
      </c>
      <c r="B10464" s="2" t="s">
        <v>19395</v>
      </c>
      <c r="C10464" s="1" t="s">
        <v>3520</v>
      </c>
      <c r="D10464" s="1" t="s">
        <v>3521</v>
      </c>
    </row>
    <row r="10465">
      <c r="A10465" s="1" t="s">
        <v>19396</v>
      </c>
      <c r="B10465" s="2" t="s">
        <v>19397</v>
      </c>
      <c r="C10465" s="1" t="s">
        <v>3520</v>
      </c>
      <c r="D10465" s="1" t="s">
        <v>3521</v>
      </c>
    </row>
    <row r="10466">
      <c r="A10466" s="1" t="s">
        <v>19398</v>
      </c>
      <c r="B10466" s="2" t="s">
        <v>19399</v>
      </c>
      <c r="C10466" s="1" t="s">
        <v>3520</v>
      </c>
      <c r="D10466" s="1" t="s">
        <v>3521</v>
      </c>
    </row>
    <row r="10467">
      <c r="A10467" s="1" t="s">
        <v>19400</v>
      </c>
      <c r="B10467" s="2" t="s">
        <v>18945</v>
      </c>
      <c r="C10467" s="1" t="s">
        <v>3520</v>
      </c>
      <c r="D10467" s="1" t="s">
        <v>3521</v>
      </c>
    </row>
    <row r="10468">
      <c r="A10468" s="1" t="s">
        <v>19401</v>
      </c>
      <c r="B10468" s="2" t="s">
        <v>19402</v>
      </c>
      <c r="C10468" s="1" t="s">
        <v>3520</v>
      </c>
      <c r="D10468" s="1" t="s">
        <v>3521</v>
      </c>
    </row>
    <row r="10469">
      <c r="A10469" s="1" t="s">
        <v>19403</v>
      </c>
      <c r="B10469" s="2" t="s">
        <v>19404</v>
      </c>
      <c r="C10469" s="1" t="s">
        <v>3520</v>
      </c>
      <c r="D10469" s="1" t="s">
        <v>3521</v>
      </c>
    </row>
    <row r="10470">
      <c r="A10470" s="1" t="s">
        <v>19405</v>
      </c>
      <c r="B10470" s="2" t="s">
        <v>19406</v>
      </c>
      <c r="C10470" s="1" t="s">
        <v>3520</v>
      </c>
      <c r="D10470" s="1" t="s">
        <v>3521</v>
      </c>
    </row>
    <row r="10471">
      <c r="A10471" s="1" t="s">
        <v>19407</v>
      </c>
      <c r="B10471" s="2" t="s">
        <v>19408</v>
      </c>
      <c r="C10471" s="1" t="s">
        <v>3520</v>
      </c>
      <c r="D10471" s="1" t="s">
        <v>3521</v>
      </c>
    </row>
    <row r="10472">
      <c r="A10472" s="1" t="s">
        <v>19409</v>
      </c>
      <c r="B10472" s="2" t="s">
        <v>13994</v>
      </c>
      <c r="C10472" s="1" t="s">
        <v>3520</v>
      </c>
      <c r="D10472" s="1" t="s">
        <v>3521</v>
      </c>
    </row>
    <row r="10473">
      <c r="A10473" s="1" t="s">
        <v>19410</v>
      </c>
      <c r="B10473" s="2" t="s">
        <v>18517</v>
      </c>
      <c r="C10473" s="1" t="s">
        <v>3520</v>
      </c>
      <c r="D10473" s="1" t="s">
        <v>3521</v>
      </c>
    </row>
    <row r="10474">
      <c r="A10474" s="1" t="s">
        <v>19411</v>
      </c>
      <c r="B10474" s="2" t="s">
        <v>19412</v>
      </c>
      <c r="C10474" s="1" t="s">
        <v>3520</v>
      </c>
      <c r="D10474" s="1" t="s">
        <v>3521</v>
      </c>
    </row>
    <row r="10475">
      <c r="A10475" s="1" t="s">
        <v>19413</v>
      </c>
      <c r="B10475" s="2" t="s">
        <v>19414</v>
      </c>
      <c r="C10475" s="1" t="s">
        <v>3520</v>
      </c>
      <c r="D10475" s="1" t="s">
        <v>3521</v>
      </c>
    </row>
    <row r="10476">
      <c r="A10476" s="1" t="s">
        <v>19415</v>
      </c>
      <c r="B10476" s="2" t="s">
        <v>19416</v>
      </c>
      <c r="C10476" s="1" t="s">
        <v>3520</v>
      </c>
      <c r="D10476" s="1" t="s">
        <v>3521</v>
      </c>
    </row>
    <row r="10477">
      <c r="A10477" s="1" t="s">
        <v>19417</v>
      </c>
      <c r="B10477" s="2" t="s">
        <v>19418</v>
      </c>
      <c r="C10477" s="1" t="s">
        <v>3520</v>
      </c>
      <c r="D10477" s="1" t="s">
        <v>3521</v>
      </c>
    </row>
    <row r="10478">
      <c r="A10478" s="1" t="s">
        <v>19419</v>
      </c>
      <c r="B10478" s="2" t="s">
        <v>18965</v>
      </c>
      <c r="C10478" s="1" t="s">
        <v>3520</v>
      </c>
      <c r="D10478" s="1" t="s">
        <v>3521</v>
      </c>
    </row>
    <row r="10479">
      <c r="A10479" s="1" t="s">
        <v>19420</v>
      </c>
      <c r="B10479" s="2" t="s">
        <v>18967</v>
      </c>
      <c r="C10479" s="1" t="s">
        <v>3520</v>
      </c>
      <c r="D10479" s="1" t="s">
        <v>3521</v>
      </c>
    </row>
    <row r="10480">
      <c r="A10480" s="1" t="s">
        <v>19421</v>
      </c>
      <c r="B10480" s="2" t="s">
        <v>19422</v>
      </c>
      <c r="C10480" s="1" t="s">
        <v>3520</v>
      </c>
      <c r="D10480" s="1" t="s">
        <v>3521</v>
      </c>
    </row>
    <row r="10481">
      <c r="A10481" s="1" t="s">
        <v>19423</v>
      </c>
      <c r="B10481" s="2" t="s">
        <v>19424</v>
      </c>
      <c r="C10481" s="1" t="s">
        <v>3520</v>
      </c>
      <c r="D10481" s="1" t="s">
        <v>3521</v>
      </c>
    </row>
    <row r="10482">
      <c r="A10482" s="1" t="s">
        <v>19425</v>
      </c>
      <c r="B10482" s="2" t="s">
        <v>19426</v>
      </c>
      <c r="C10482" s="1" t="s">
        <v>3520</v>
      </c>
      <c r="D10482" s="1" t="s">
        <v>3521</v>
      </c>
    </row>
    <row r="10483">
      <c r="A10483" s="1" t="s">
        <v>19427</v>
      </c>
      <c r="B10483" s="2" t="s">
        <v>19428</v>
      </c>
      <c r="C10483" s="1" t="s">
        <v>3520</v>
      </c>
      <c r="D10483" s="1" t="s">
        <v>3521</v>
      </c>
    </row>
    <row r="10484">
      <c r="A10484" s="1" t="s">
        <v>19429</v>
      </c>
      <c r="B10484" s="2" t="s">
        <v>18977</v>
      </c>
      <c r="C10484" s="1" t="s">
        <v>3520</v>
      </c>
      <c r="D10484" s="1" t="s">
        <v>3521</v>
      </c>
    </row>
    <row r="10485">
      <c r="A10485" s="1" t="s">
        <v>19430</v>
      </c>
      <c r="B10485" s="2" t="s">
        <v>19431</v>
      </c>
      <c r="C10485" s="1" t="s">
        <v>3520</v>
      </c>
      <c r="D10485" s="1" t="s">
        <v>3521</v>
      </c>
    </row>
    <row r="10486">
      <c r="A10486" s="1" t="s">
        <v>19432</v>
      </c>
      <c r="B10486" s="2" t="s">
        <v>19433</v>
      </c>
      <c r="C10486" s="1" t="s">
        <v>3520</v>
      </c>
      <c r="D10486" s="1" t="s">
        <v>3521</v>
      </c>
    </row>
    <row r="10487">
      <c r="A10487" s="1" t="s">
        <v>19434</v>
      </c>
      <c r="B10487" s="2" t="s">
        <v>19435</v>
      </c>
      <c r="C10487" s="1" t="s">
        <v>3520</v>
      </c>
      <c r="D10487" s="1" t="s">
        <v>3521</v>
      </c>
    </row>
    <row r="10488">
      <c r="A10488" s="1" t="s">
        <v>19436</v>
      </c>
      <c r="B10488" s="2" t="s">
        <v>19437</v>
      </c>
      <c r="C10488" s="1" t="s">
        <v>3520</v>
      </c>
      <c r="D10488" s="1" t="s">
        <v>3521</v>
      </c>
    </row>
    <row r="10489">
      <c r="A10489" s="1" t="s">
        <v>3528</v>
      </c>
      <c r="B10489" s="2" t="s">
        <v>7</v>
      </c>
      <c r="C10489" s="1" t="s">
        <v>3529</v>
      </c>
      <c r="D10489" s="1" t="s">
        <v>3530</v>
      </c>
    </row>
    <row r="10490">
      <c r="A10490" s="1" t="s">
        <v>19438</v>
      </c>
      <c r="B10490" s="2" t="s">
        <v>13984</v>
      </c>
      <c r="C10490" s="1" t="s">
        <v>3529</v>
      </c>
      <c r="D10490" s="1" t="s">
        <v>3530</v>
      </c>
    </row>
    <row r="10491">
      <c r="A10491" s="1" t="s">
        <v>19439</v>
      </c>
      <c r="B10491" s="2" t="s">
        <v>18478</v>
      </c>
      <c r="C10491" s="1" t="s">
        <v>3529</v>
      </c>
      <c r="D10491" s="1" t="s">
        <v>3530</v>
      </c>
    </row>
    <row r="10492">
      <c r="A10492" s="1" t="s">
        <v>19440</v>
      </c>
      <c r="B10492" s="2" t="s">
        <v>19441</v>
      </c>
      <c r="C10492" s="1" t="s">
        <v>3529</v>
      </c>
      <c r="D10492" s="1" t="s">
        <v>3530</v>
      </c>
    </row>
    <row r="10493">
      <c r="A10493" s="1" t="s">
        <v>19442</v>
      </c>
      <c r="B10493" s="2" t="s">
        <v>19443</v>
      </c>
      <c r="C10493" s="1" t="s">
        <v>3529</v>
      </c>
      <c r="D10493" s="1" t="s">
        <v>3530</v>
      </c>
    </row>
    <row r="10494">
      <c r="A10494" s="1" t="s">
        <v>19444</v>
      </c>
      <c r="B10494" s="2" t="s">
        <v>18933</v>
      </c>
      <c r="C10494" s="1" t="s">
        <v>3529</v>
      </c>
      <c r="D10494" s="1" t="s">
        <v>3530</v>
      </c>
    </row>
    <row r="10495">
      <c r="A10495" s="1" t="s">
        <v>19445</v>
      </c>
      <c r="B10495" s="2" t="s">
        <v>18935</v>
      </c>
      <c r="C10495" s="1" t="s">
        <v>3529</v>
      </c>
      <c r="D10495" s="1" t="s">
        <v>3530</v>
      </c>
    </row>
    <row r="10496">
      <c r="A10496" s="1" t="s">
        <v>19446</v>
      </c>
      <c r="B10496" s="2" t="s">
        <v>19447</v>
      </c>
      <c r="C10496" s="1" t="s">
        <v>3529</v>
      </c>
      <c r="D10496" s="1" t="s">
        <v>3530</v>
      </c>
    </row>
    <row r="10497">
      <c r="A10497" s="1" t="s">
        <v>19448</v>
      </c>
      <c r="B10497" s="2" t="s">
        <v>19449</v>
      </c>
      <c r="C10497" s="1" t="s">
        <v>3529</v>
      </c>
      <c r="D10497" s="1" t="s">
        <v>3530</v>
      </c>
    </row>
    <row r="10498">
      <c r="A10498" s="1" t="s">
        <v>19450</v>
      </c>
      <c r="B10498" s="2" t="s">
        <v>18945</v>
      </c>
      <c r="C10498" s="1" t="s">
        <v>3529</v>
      </c>
      <c r="D10498" s="1" t="s">
        <v>3530</v>
      </c>
    </row>
    <row r="10499">
      <c r="A10499" s="1" t="s">
        <v>19451</v>
      </c>
      <c r="B10499" s="2" t="s">
        <v>19452</v>
      </c>
      <c r="C10499" s="1" t="s">
        <v>3529</v>
      </c>
      <c r="D10499" s="1" t="s">
        <v>3530</v>
      </c>
    </row>
    <row r="10500">
      <c r="A10500" s="1" t="s">
        <v>19453</v>
      </c>
      <c r="B10500" s="2" t="s">
        <v>19454</v>
      </c>
      <c r="C10500" s="1" t="s">
        <v>3529</v>
      </c>
      <c r="D10500" s="1" t="s">
        <v>3530</v>
      </c>
    </row>
    <row r="10501">
      <c r="A10501" s="1" t="s">
        <v>19455</v>
      </c>
      <c r="B10501" s="2" t="s">
        <v>13994</v>
      </c>
      <c r="C10501" s="1" t="s">
        <v>3529</v>
      </c>
      <c r="D10501" s="1" t="s">
        <v>3530</v>
      </c>
    </row>
    <row r="10502">
      <c r="A10502" s="1" t="s">
        <v>19456</v>
      </c>
      <c r="B10502" s="2" t="s">
        <v>18517</v>
      </c>
      <c r="C10502" s="1" t="s">
        <v>3529</v>
      </c>
      <c r="D10502" s="1" t="s">
        <v>3530</v>
      </c>
    </row>
    <row r="10503">
      <c r="A10503" s="1" t="s">
        <v>19457</v>
      </c>
      <c r="B10503" s="2" t="s">
        <v>19458</v>
      </c>
      <c r="C10503" s="1" t="s">
        <v>3529</v>
      </c>
      <c r="D10503" s="1" t="s">
        <v>3530</v>
      </c>
    </row>
    <row r="10504">
      <c r="A10504" s="1" t="s">
        <v>19459</v>
      </c>
      <c r="B10504" s="2" t="s">
        <v>19460</v>
      </c>
      <c r="C10504" s="1" t="s">
        <v>3529</v>
      </c>
      <c r="D10504" s="1" t="s">
        <v>3530</v>
      </c>
    </row>
    <row r="10505">
      <c r="A10505" s="1" t="s">
        <v>19461</v>
      </c>
      <c r="B10505" s="2" t="s">
        <v>18965</v>
      </c>
      <c r="C10505" s="1" t="s">
        <v>3529</v>
      </c>
      <c r="D10505" s="1" t="s">
        <v>3530</v>
      </c>
    </row>
    <row r="10506">
      <c r="A10506" s="1" t="s">
        <v>19462</v>
      </c>
      <c r="B10506" s="2" t="s">
        <v>18967</v>
      </c>
      <c r="C10506" s="1" t="s">
        <v>3529</v>
      </c>
      <c r="D10506" s="1" t="s">
        <v>3530</v>
      </c>
    </row>
    <row r="10507">
      <c r="A10507" s="1" t="s">
        <v>19463</v>
      </c>
      <c r="B10507" s="2" t="s">
        <v>19464</v>
      </c>
      <c r="C10507" s="1" t="s">
        <v>3529</v>
      </c>
      <c r="D10507" s="1" t="s">
        <v>3530</v>
      </c>
    </row>
    <row r="10508">
      <c r="A10508" s="1" t="s">
        <v>19465</v>
      </c>
      <c r="B10508" s="2" t="s">
        <v>19466</v>
      </c>
      <c r="C10508" s="1" t="s">
        <v>3529</v>
      </c>
      <c r="D10508" s="1" t="s">
        <v>3530</v>
      </c>
    </row>
    <row r="10509">
      <c r="A10509" s="1" t="s">
        <v>19467</v>
      </c>
      <c r="B10509" s="2" t="s">
        <v>18977</v>
      </c>
      <c r="C10509" s="1" t="s">
        <v>3529</v>
      </c>
      <c r="D10509" s="1" t="s">
        <v>3530</v>
      </c>
    </row>
    <row r="10510">
      <c r="A10510" s="1" t="s">
        <v>19468</v>
      </c>
      <c r="B10510" s="2" t="s">
        <v>19469</v>
      </c>
      <c r="C10510" s="1" t="s">
        <v>3529</v>
      </c>
      <c r="D10510" s="1" t="s">
        <v>3530</v>
      </c>
    </row>
    <row r="10511">
      <c r="A10511" s="1" t="s">
        <v>19470</v>
      </c>
      <c r="B10511" s="2" t="s">
        <v>19471</v>
      </c>
      <c r="C10511" s="1" t="s">
        <v>3529</v>
      </c>
      <c r="D10511" s="1" t="s">
        <v>3530</v>
      </c>
    </row>
    <row r="10512">
      <c r="A10512" s="1" t="s">
        <v>3550</v>
      </c>
      <c r="B10512" s="2" t="s">
        <v>7</v>
      </c>
      <c r="C10512" s="1" t="s">
        <v>3553</v>
      </c>
      <c r="D10512" s="1" t="s">
        <v>3554</v>
      </c>
    </row>
    <row r="10513">
      <c r="A10513" s="1" t="s">
        <v>19472</v>
      </c>
      <c r="B10513" s="2" t="s">
        <v>13984</v>
      </c>
      <c r="C10513" s="1" t="s">
        <v>3553</v>
      </c>
      <c r="D10513" s="1" t="s">
        <v>3554</v>
      </c>
    </row>
    <row r="10514">
      <c r="A10514" s="1" t="s">
        <v>19473</v>
      </c>
      <c r="B10514" s="2" t="s">
        <v>19474</v>
      </c>
      <c r="C10514" s="1" t="s">
        <v>3553</v>
      </c>
      <c r="D10514" s="1" t="s">
        <v>3554</v>
      </c>
    </row>
    <row r="10515">
      <c r="A10515" s="1" t="s">
        <v>19475</v>
      </c>
      <c r="B10515" s="2" t="s">
        <v>19476</v>
      </c>
      <c r="C10515" s="1" t="s">
        <v>3553</v>
      </c>
      <c r="D10515" s="1" t="s">
        <v>3554</v>
      </c>
    </row>
    <row r="10516">
      <c r="A10516" s="1" t="s">
        <v>19477</v>
      </c>
      <c r="B10516" s="2" t="s">
        <v>19478</v>
      </c>
      <c r="C10516" s="1" t="s">
        <v>3553</v>
      </c>
      <c r="D10516" s="1" t="s">
        <v>3554</v>
      </c>
    </row>
    <row r="10517">
      <c r="A10517" s="1" t="s">
        <v>19479</v>
      </c>
      <c r="B10517" s="2" t="s">
        <v>19480</v>
      </c>
      <c r="C10517" s="1" t="s">
        <v>3553</v>
      </c>
      <c r="D10517" s="1" t="s">
        <v>3554</v>
      </c>
    </row>
    <row r="10518">
      <c r="A10518" s="1" t="s">
        <v>19481</v>
      </c>
      <c r="B10518" s="2" t="s">
        <v>19482</v>
      </c>
      <c r="C10518" s="1" t="s">
        <v>3553</v>
      </c>
      <c r="D10518" s="1" t="s">
        <v>3554</v>
      </c>
    </row>
    <row r="10519">
      <c r="A10519" s="1" t="s">
        <v>19483</v>
      </c>
      <c r="B10519" s="2" t="s">
        <v>19484</v>
      </c>
      <c r="C10519" s="1" t="s">
        <v>3553</v>
      </c>
      <c r="D10519" s="1" t="s">
        <v>3554</v>
      </c>
    </row>
    <row r="10520">
      <c r="A10520" s="1" t="s">
        <v>19485</v>
      </c>
      <c r="B10520" s="2" t="s">
        <v>19486</v>
      </c>
      <c r="C10520" s="1" t="s">
        <v>3553</v>
      </c>
      <c r="D10520" s="1" t="s">
        <v>3554</v>
      </c>
    </row>
    <row r="10521">
      <c r="A10521" s="1" t="s">
        <v>19487</v>
      </c>
      <c r="B10521" s="2" t="s">
        <v>13994</v>
      </c>
      <c r="C10521" s="1" t="s">
        <v>3553</v>
      </c>
      <c r="D10521" s="1" t="s">
        <v>3554</v>
      </c>
    </row>
    <row r="10522">
      <c r="A10522" s="1" t="s">
        <v>19488</v>
      </c>
      <c r="B10522" s="2" t="s">
        <v>19489</v>
      </c>
      <c r="C10522" s="1" t="s">
        <v>3553</v>
      </c>
      <c r="D10522" s="1" t="s">
        <v>3554</v>
      </c>
    </row>
    <row r="10523">
      <c r="A10523" s="1" t="s">
        <v>19490</v>
      </c>
      <c r="B10523" s="2" t="s">
        <v>19491</v>
      </c>
      <c r="C10523" s="1" t="s">
        <v>3553</v>
      </c>
      <c r="D10523" s="1" t="s">
        <v>3554</v>
      </c>
    </row>
    <row r="10524">
      <c r="A10524" s="1" t="s">
        <v>19492</v>
      </c>
      <c r="B10524" s="2" t="s">
        <v>19493</v>
      </c>
      <c r="C10524" s="1" t="s">
        <v>3553</v>
      </c>
      <c r="D10524" s="1" t="s">
        <v>3554</v>
      </c>
    </row>
    <row r="10525">
      <c r="A10525" s="1" t="s">
        <v>19494</v>
      </c>
      <c r="B10525" s="2" t="s">
        <v>19495</v>
      </c>
      <c r="C10525" s="1" t="s">
        <v>3553</v>
      </c>
      <c r="D10525" s="1" t="s">
        <v>3554</v>
      </c>
    </row>
    <row r="10526">
      <c r="A10526" s="1" t="s">
        <v>19496</v>
      </c>
      <c r="B10526" s="2" t="s">
        <v>19497</v>
      </c>
      <c r="C10526" s="1" t="s">
        <v>3553</v>
      </c>
      <c r="D10526" s="1" t="s">
        <v>3554</v>
      </c>
    </row>
    <row r="10527">
      <c r="A10527" s="1" t="s">
        <v>19498</v>
      </c>
      <c r="B10527" s="2" t="s">
        <v>19499</v>
      </c>
      <c r="C10527" s="1" t="s">
        <v>3553</v>
      </c>
      <c r="D10527" s="1" t="s">
        <v>3554</v>
      </c>
    </row>
    <row r="10528">
      <c r="A10528" s="1" t="s">
        <v>19500</v>
      </c>
      <c r="B10528" s="2" t="s">
        <v>19501</v>
      </c>
      <c r="C10528" s="1" t="s">
        <v>3553</v>
      </c>
      <c r="D10528" s="1" t="s">
        <v>3554</v>
      </c>
    </row>
    <row r="10529">
      <c r="A10529" s="1" t="s">
        <v>3558</v>
      </c>
      <c r="B10529" s="2" t="s">
        <v>7</v>
      </c>
      <c r="C10529" s="1" t="s">
        <v>3561</v>
      </c>
      <c r="D10529" s="1" t="s">
        <v>3562</v>
      </c>
    </row>
    <row r="10530">
      <c r="A10530" s="1" t="s">
        <v>19502</v>
      </c>
      <c r="B10530" s="2" t="s">
        <v>13984</v>
      </c>
      <c r="C10530" s="1" t="s">
        <v>3561</v>
      </c>
      <c r="D10530" s="1" t="s">
        <v>3562</v>
      </c>
    </row>
    <row r="10531">
      <c r="A10531" s="1" t="s">
        <v>19503</v>
      </c>
      <c r="B10531" s="2" t="s">
        <v>19474</v>
      </c>
      <c r="C10531" s="1" t="s">
        <v>3561</v>
      </c>
      <c r="D10531" s="1" t="s">
        <v>3562</v>
      </c>
    </row>
    <row r="10532">
      <c r="A10532" s="1" t="s">
        <v>19504</v>
      </c>
      <c r="B10532" s="2" t="s">
        <v>19476</v>
      </c>
      <c r="C10532" s="1" t="s">
        <v>3561</v>
      </c>
      <c r="D10532" s="1" t="s">
        <v>3562</v>
      </c>
    </row>
    <row r="10533">
      <c r="A10533" s="1" t="s">
        <v>19505</v>
      </c>
      <c r="B10533" s="2" t="s">
        <v>19478</v>
      </c>
      <c r="C10533" s="1" t="s">
        <v>3561</v>
      </c>
      <c r="D10533" s="1" t="s">
        <v>3562</v>
      </c>
    </row>
    <row r="10534">
      <c r="A10534" s="1" t="s">
        <v>19506</v>
      </c>
      <c r="B10534" s="2" t="s">
        <v>19480</v>
      </c>
      <c r="C10534" s="1" t="s">
        <v>3561</v>
      </c>
      <c r="D10534" s="1" t="s">
        <v>3562</v>
      </c>
    </row>
    <row r="10535">
      <c r="A10535" s="1" t="s">
        <v>19507</v>
      </c>
      <c r="B10535" s="2" t="s">
        <v>19482</v>
      </c>
      <c r="C10535" s="1" t="s">
        <v>3561</v>
      </c>
      <c r="D10535" s="1" t="s">
        <v>3562</v>
      </c>
    </row>
    <row r="10536">
      <c r="A10536" s="1" t="s">
        <v>19508</v>
      </c>
      <c r="B10536" s="2" t="s">
        <v>19484</v>
      </c>
      <c r="C10536" s="1" t="s">
        <v>3561</v>
      </c>
      <c r="D10536" s="1" t="s">
        <v>3562</v>
      </c>
    </row>
    <row r="10537">
      <c r="A10537" s="1" t="s">
        <v>19509</v>
      </c>
      <c r="B10537" s="2" t="s">
        <v>19486</v>
      </c>
      <c r="C10537" s="1" t="s">
        <v>3561</v>
      </c>
      <c r="D10537" s="1" t="s">
        <v>3562</v>
      </c>
    </row>
    <row r="10538">
      <c r="A10538" s="1" t="s">
        <v>19510</v>
      </c>
      <c r="B10538" s="2" t="s">
        <v>13994</v>
      </c>
      <c r="C10538" s="1" t="s">
        <v>3561</v>
      </c>
      <c r="D10538" s="1" t="s">
        <v>3562</v>
      </c>
    </row>
    <row r="10539">
      <c r="A10539" s="1" t="s">
        <v>19511</v>
      </c>
      <c r="B10539" s="2" t="s">
        <v>19489</v>
      </c>
      <c r="C10539" s="1" t="s">
        <v>3561</v>
      </c>
      <c r="D10539" s="1" t="s">
        <v>3562</v>
      </c>
    </row>
    <row r="10540">
      <c r="A10540" s="1" t="s">
        <v>19512</v>
      </c>
      <c r="B10540" s="2" t="s">
        <v>19491</v>
      </c>
      <c r="C10540" s="1" t="s">
        <v>3561</v>
      </c>
      <c r="D10540" s="1" t="s">
        <v>3562</v>
      </c>
    </row>
    <row r="10541">
      <c r="A10541" s="1" t="s">
        <v>19513</v>
      </c>
      <c r="B10541" s="2" t="s">
        <v>19493</v>
      </c>
      <c r="C10541" s="1" t="s">
        <v>3561</v>
      </c>
      <c r="D10541" s="1" t="s">
        <v>3562</v>
      </c>
    </row>
    <row r="10542">
      <c r="A10542" s="1" t="s">
        <v>19514</v>
      </c>
      <c r="B10542" s="2" t="s">
        <v>19495</v>
      </c>
      <c r="C10542" s="1" t="s">
        <v>3561</v>
      </c>
      <c r="D10542" s="1" t="s">
        <v>3562</v>
      </c>
    </row>
    <row r="10543">
      <c r="A10543" s="1" t="s">
        <v>19515</v>
      </c>
      <c r="B10543" s="2" t="s">
        <v>19497</v>
      </c>
      <c r="C10543" s="1" t="s">
        <v>3561</v>
      </c>
      <c r="D10543" s="1" t="s">
        <v>3562</v>
      </c>
    </row>
    <row r="10544">
      <c r="A10544" s="1" t="s">
        <v>19516</v>
      </c>
      <c r="B10544" s="2" t="s">
        <v>19499</v>
      </c>
      <c r="C10544" s="1" t="s">
        <v>3561</v>
      </c>
      <c r="D10544" s="1" t="s">
        <v>3562</v>
      </c>
    </row>
    <row r="10545">
      <c r="A10545" s="1" t="s">
        <v>19517</v>
      </c>
      <c r="B10545" s="2" t="s">
        <v>19501</v>
      </c>
      <c r="C10545" s="1" t="s">
        <v>3561</v>
      </c>
      <c r="D10545" s="1" t="s">
        <v>3562</v>
      </c>
    </row>
    <row r="10546">
      <c r="A10546" s="1" t="s">
        <v>3567</v>
      </c>
      <c r="B10546" s="2" t="s">
        <v>7</v>
      </c>
      <c r="C10546" s="1" t="s">
        <v>3568</v>
      </c>
      <c r="D10546" s="1" t="s">
        <v>3570</v>
      </c>
    </row>
    <row r="10547">
      <c r="A10547" s="1" t="s">
        <v>19518</v>
      </c>
      <c r="B10547" s="2" t="s">
        <v>13984</v>
      </c>
      <c r="C10547" s="1" t="s">
        <v>3568</v>
      </c>
      <c r="D10547" s="1" t="s">
        <v>3570</v>
      </c>
    </row>
    <row r="10548">
      <c r="A10548" s="1" t="s">
        <v>19519</v>
      </c>
      <c r="B10548" s="2" t="s">
        <v>19474</v>
      </c>
      <c r="C10548" s="1" t="s">
        <v>3568</v>
      </c>
      <c r="D10548" s="1" t="s">
        <v>3570</v>
      </c>
    </row>
    <row r="10549">
      <c r="A10549" s="1" t="s">
        <v>19520</v>
      </c>
      <c r="B10549" s="2" t="s">
        <v>19476</v>
      </c>
      <c r="C10549" s="1" t="s">
        <v>3568</v>
      </c>
      <c r="D10549" s="1" t="s">
        <v>3570</v>
      </c>
    </row>
    <row r="10550">
      <c r="A10550" s="1" t="s">
        <v>19521</v>
      </c>
      <c r="B10550" s="2" t="s">
        <v>19478</v>
      </c>
      <c r="C10550" s="1" t="s">
        <v>3568</v>
      </c>
      <c r="D10550" s="1" t="s">
        <v>3570</v>
      </c>
    </row>
    <row r="10551">
      <c r="A10551" s="1" t="s">
        <v>19522</v>
      </c>
      <c r="B10551" s="2" t="s">
        <v>19480</v>
      </c>
      <c r="C10551" s="1" t="s">
        <v>3568</v>
      </c>
      <c r="D10551" s="1" t="s">
        <v>3570</v>
      </c>
    </row>
    <row r="10552">
      <c r="A10552" s="1" t="s">
        <v>19523</v>
      </c>
      <c r="B10552" s="2" t="s">
        <v>19482</v>
      </c>
      <c r="C10552" s="1" t="s">
        <v>3568</v>
      </c>
      <c r="D10552" s="1" t="s">
        <v>3570</v>
      </c>
    </row>
    <row r="10553">
      <c r="A10553" s="1" t="s">
        <v>19524</v>
      </c>
      <c r="B10553" s="2" t="s">
        <v>19484</v>
      </c>
      <c r="C10553" s="1" t="s">
        <v>3568</v>
      </c>
      <c r="D10553" s="1" t="s">
        <v>3570</v>
      </c>
    </row>
    <row r="10554">
      <c r="A10554" s="1" t="s">
        <v>19525</v>
      </c>
      <c r="B10554" s="2" t="s">
        <v>19486</v>
      </c>
      <c r="C10554" s="1" t="s">
        <v>3568</v>
      </c>
      <c r="D10554" s="1" t="s">
        <v>3570</v>
      </c>
    </row>
    <row r="10555">
      <c r="A10555" s="1" t="s">
        <v>19526</v>
      </c>
      <c r="B10555" s="2" t="s">
        <v>13994</v>
      </c>
      <c r="C10555" s="1" t="s">
        <v>3568</v>
      </c>
      <c r="D10555" s="1" t="s">
        <v>3570</v>
      </c>
    </row>
    <row r="10556">
      <c r="A10556" s="1" t="s">
        <v>19527</v>
      </c>
      <c r="B10556" s="2" t="s">
        <v>19489</v>
      </c>
      <c r="C10556" s="1" t="s">
        <v>3568</v>
      </c>
      <c r="D10556" s="1" t="s">
        <v>3570</v>
      </c>
    </row>
    <row r="10557">
      <c r="A10557" s="1" t="s">
        <v>19528</v>
      </c>
      <c r="B10557" s="2" t="s">
        <v>19491</v>
      </c>
      <c r="C10557" s="1" t="s">
        <v>3568</v>
      </c>
      <c r="D10557" s="1" t="s">
        <v>3570</v>
      </c>
    </row>
    <row r="10558">
      <c r="A10558" s="1" t="s">
        <v>19529</v>
      </c>
      <c r="B10558" s="2" t="s">
        <v>19493</v>
      </c>
      <c r="C10558" s="1" t="s">
        <v>3568</v>
      </c>
      <c r="D10558" s="1" t="s">
        <v>3570</v>
      </c>
    </row>
    <row r="10559">
      <c r="A10559" s="1" t="s">
        <v>19530</v>
      </c>
      <c r="B10559" s="2" t="s">
        <v>19495</v>
      </c>
      <c r="C10559" s="1" t="s">
        <v>3568</v>
      </c>
      <c r="D10559" s="1" t="s">
        <v>3570</v>
      </c>
    </row>
    <row r="10560">
      <c r="A10560" s="1" t="s">
        <v>19531</v>
      </c>
      <c r="B10560" s="2" t="s">
        <v>19497</v>
      </c>
      <c r="C10560" s="1" t="s">
        <v>3568</v>
      </c>
      <c r="D10560" s="1" t="s">
        <v>3570</v>
      </c>
    </row>
    <row r="10561">
      <c r="A10561" s="1" t="s">
        <v>19532</v>
      </c>
      <c r="B10561" s="2" t="s">
        <v>19499</v>
      </c>
      <c r="C10561" s="1" t="s">
        <v>3568</v>
      </c>
      <c r="D10561" s="1" t="s">
        <v>3570</v>
      </c>
    </row>
    <row r="10562">
      <c r="A10562" s="1" t="s">
        <v>19533</v>
      </c>
      <c r="B10562" s="2" t="s">
        <v>19501</v>
      </c>
      <c r="C10562" s="1" t="s">
        <v>3568</v>
      </c>
      <c r="D10562" s="1" t="s">
        <v>3570</v>
      </c>
    </row>
    <row r="10563">
      <c r="A10563" s="1" t="s">
        <v>3574</v>
      </c>
      <c r="B10563" s="2" t="s">
        <v>7</v>
      </c>
      <c r="C10563" s="1" t="s">
        <v>3577</v>
      </c>
      <c r="D10563" s="1" t="s">
        <v>3578</v>
      </c>
    </row>
    <row r="10564">
      <c r="A10564" s="1" t="s">
        <v>19534</v>
      </c>
      <c r="B10564" s="2" t="s">
        <v>13984</v>
      </c>
      <c r="C10564" s="1" t="s">
        <v>3577</v>
      </c>
      <c r="D10564" s="1" t="s">
        <v>3578</v>
      </c>
    </row>
    <row r="10565">
      <c r="A10565" s="1" t="s">
        <v>19535</v>
      </c>
      <c r="B10565" s="2" t="s">
        <v>19474</v>
      </c>
      <c r="C10565" s="1" t="s">
        <v>3577</v>
      </c>
      <c r="D10565" s="1" t="s">
        <v>3578</v>
      </c>
    </row>
    <row r="10566">
      <c r="A10566" s="1" t="s">
        <v>19536</v>
      </c>
      <c r="B10566" s="2" t="s">
        <v>19476</v>
      </c>
      <c r="C10566" s="1" t="s">
        <v>3577</v>
      </c>
      <c r="D10566" s="1" t="s">
        <v>3578</v>
      </c>
    </row>
    <row r="10567">
      <c r="A10567" s="1" t="s">
        <v>19537</v>
      </c>
      <c r="B10567" s="2" t="s">
        <v>19478</v>
      </c>
      <c r="C10567" s="1" t="s">
        <v>3577</v>
      </c>
      <c r="D10567" s="1" t="s">
        <v>3578</v>
      </c>
    </row>
    <row r="10568">
      <c r="A10568" s="1" t="s">
        <v>19538</v>
      </c>
      <c r="B10568" s="2" t="s">
        <v>19480</v>
      </c>
      <c r="C10568" s="1" t="s">
        <v>3577</v>
      </c>
      <c r="D10568" s="1" t="s">
        <v>3578</v>
      </c>
    </row>
    <row r="10569">
      <c r="A10569" s="1" t="s">
        <v>19539</v>
      </c>
      <c r="B10569" s="2" t="s">
        <v>19482</v>
      </c>
      <c r="C10569" s="1" t="s">
        <v>3577</v>
      </c>
      <c r="D10569" s="1" t="s">
        <v>3578</v>
      </c>
    </row>
    <row r="10570">
      <c r="A10570" s="1" t="s">
        <v>19540</v>
      </c>
      <c r="B10570" s="2" t="s">
        <v>19484</v>
      </c>
      <c r="C10570" s="1" t="s">
        <v>3577</v>
      </c>
      <c r="D10570" s="1" t="s">
        <v>3578</v>
      </c>
    </row>
    <row r="10571">
      <c r="A10571" s="1" t="s">
        <v>19541</v>
      </c>
      <c r="B10571" s="2" t="s">
        <v>19486</v>
      </c>
      <c r="C10571" s="1" t="s">
        <v>3577</v>
      </c>
      <c r="D10571" s="1" t="s">
        <v>3578</v>
      </c>
    </row>
    <row r="10572">
      <c r="A10572" s="1" t="s">
        <v>19542</v>
      </c>
      <c r="B10572" s="2" t="s">
        <v>13994</v>
      </c>
      <c r="C10572" s="1" t="s">
        <v>3577</v>
      </c>
      <c r="D10572" s="1" t="s">
        <v>3578</v>
      </c>
    </row>
    <row r="10573">
      <c r="A10573" s="1" t="s">
        <v>19543</v>
      </c>
      <c r="B10573" s="2" t="s">
        <v>19489</v>
      </c>
      <c r="C10573" s="1" t="s">
        <v>3577</v>
      </c>
      <c r="D10573" s="1" t="s">
        <v>3578</v>
      </c>
    </row>
    <row r="10574">
      <c r="A10574" s="1" t="s">
        <v>19544</v>
      </c>
      <c r="B10574" s="2" t="s">
        <v>19491</v>
      </c>
      <c r="C10574" s="1" t="s">
        <v>3577</v>
      </c>
      <c r="D10574" s="1" t="s">
        <v>3578</v>
      </c>
    </row>
    <row r="10575">
      <c r="A10575" s="1" t="s">
        <v>19545</v>
      </c>
      <c r="B10575" s="2" t="s">
        <v>19493</v>
      </c>
      <c r="C10575" s="1" t="s">
        <v>3577</v>
      </c>
      <c r="D10575" s="1" t="s">
        <v>3578</v>
      </c>
    </row>
    <row r="10576">
      <c r="A10576" s="1" t="s">
        <v>19546</v>
      </c>
      <c r="B10576" s="2" t="s">
        <v>19495</v>
      </c>
      <c r="C10576" s="1" t="s">
        <v>3577</v>
      </c>
      <c r="D10576" s="1" t="s">
        <v>3578</v>
      </c>
    </row>
    <row r="10577">
      <c r="A10577" s="1" t="s">
        <v>19547</v>
      </c>
      <c r="B10577" s="2" t="s">
        <v>19497</v>
      </c>
      <c r="C10577" s="1" t="s">
        <v>3577</v>
      </c>
      <c r="D10577" s="1" t="s">
        <v>3578</v>
      </c>
    </row>
    <row r="10578">
      <c r="A10578" s="1" t="s">
        <v>19548</v>
      </c>
      <c r="B10578" s="2" t="s">
        <v>19499</v>
      </c>
      <c r="C10578" s="1" t="s">
        <v>3577</v>
      </c>
      <c r="D10578" s="1" t="s">
        <v>3578</v>
      </c>
    </row>
    <row r="10579">
      <c r="A10579" s="1" t="s">
        <v>19549</v>
      </c>
      <c r="B10579" s="2" t="s">
        <v>19501</v>
      </c>
      <c r="C10579" s="1" t="s">
        <v>3577</v>
      </c>
      <c r="D10579" s="1" t="s">
        <v>3578</v>
      </c>
    </row>
    <row r="10580">
      <c r="A10580" s="1" t="s">
        <v>3583</v>
      </c>
      <c r="B10580" s="2" t="s">
        <v>7</v>
      </c>
      <c r="C10580" s="1" t="s">
        <v>3585</v>
      </c>
      <c r="D10580" s="1" t="s">
        <v>3587</v>
      </c>
    </row>
    <row r="10581">
      <c r="A10581" s="1" t="s">
        <v>19550</v>
      </c>
      <c r="B10581" s="2" t="s">
        <v>13984</v>
      </c>
      <c r="C10581" s="1" t="s">
        <v>3585</v>
      </c>
      <c r="D10581" s="1" t="s">
        <v>3587</v>
      </c>
    </row>
    <row r="10582">
      <c r="A10582" s="1" t="s">
        <v>19551</v>
      </c>
      <c r="B10582" s="2" t="s">
        <v>19474</v>
      </c>
      <c r="C10582" s="1" t="s">
        <v>3585</v>
      </c>
      <c r="D10582" s="1" t="s">
        <v>3587</v>
      </c>
    </row>
    <row r="10583">
      <c r="A10583" s="1" t="s">
        <v>19552</v>
      </c>
      <c r="B10583" s="2" t="s">
        <v>19476</v>
      </c>
      <c r="C10583" s="1" t="s">
        <v>3585</v>
      </c>
      <c r="D10583" s="1" t="s">
        <v>3587</v>
      </c>
    </row>
    <row r="10584">
      <c r="A10584" s="1" t="s">
        <v>19553</v>
      </c>
      <c r="B10584" s="2" t="s">
        <v>19478</v>
      </c>
      <c r="C10584" s="1" t="s">
        <v>3585</v>
      </c>
      <c r="D10584" s="1" t="s">
        <v>3587</v>
      </c>
    </row>
    <row r="10585">
      <c r="A10585" s="1" t="s">
        <v>19554</v>
      </c>
      <c r="B10585" s="2" t="s">
        <v>19480</v>
      </c>
      <c r="C10585" s="1" t="s">
        <v>3585</v>
      </c>
      <c r="D10585" s="1" t="s">
        <v>3587</v>
      </c>
    </row>
    <row r="10586">
      <c r="A10586" s="1" t="s">
        <v>19555</v>
      </c>
      <c r="B10586" s="2" t="s">
        <v>19482</v>
      </c>
      <c r="C10586" s="1" t="s">
        <v>3585</v>
      </c>
      <c r="D10586" s="1" t="s">
        <v>3587</v>
      </c>
    </row>
    <row r="10587">
      <c r="A10587" s="1" t="s">
        <v>19556</v>
      </c>
      <c r="B10587" s="2" t="s">
        <v>19484</v>
      </c>
      <c r="C10587" s="1" t="s">
        <v>3585</v>
      </c>
      <c r="D10587" s="1" t="s">
        <v>3587</v>
      </c>
    </row>
    <row r="10588">
      <c r="A10588" s="1" t="s">
        <v>19557</v>
      </c>
      <c r="B10588" s="2" t="s">
        <v>19486</v>
      </c>
      <c r="C10588" s="1" t="s">
        <v>3585</v>
      </c>
      <c r="D10588" s="1" t="s">
        <v>3587</v>
      </c>
    </row>
    <row r="10589">
      <c r="A10589" s="1" t="s">
        <v>19558</v>
      </c>
      <c r="B10589" s="2" t="s">
        <v>13994</v>
      </c>
      <c r="C10589" s="1" t="s">
        <v>3585</v>
      </c>
      <c r="D10589" s="1" t="s">
        <v>3587</v>
      </c>
    </row>
    <row r="10590">
      <c r="A10590" s="1" t="s">
        <v>19559</v>
      </c>
      <c r="B10590" s="2" t="s">
        <v>19489</v>
      </c>
      <c r="C10590" s="1" t="s">
        <v>3585</v>
      </c>
      <c r="D10590" s="1" t="s">
        <v>3587</v>
      </c>
    </row>
    <row r="10591">
      <c r="A10591" s="1" t="s">
        <v>19560</v>
      </c>
      <c r="B10591" s="2" t="s">
        <v>19491</v>
      </c>
      <c r="C10591" s="1" t="s">
        <v>3585</v>
      </c>
      <c r="D10591" s="1" t="s">
        <v>3587</v>
      </c>
    </row>
    <row r="10592">
      <c r="A10592" s="1" t="s">
        <v>19561</v>
      </c>
      <c r="B10592" s="2" t="s">
        <v>19493</v>
      </c>
      <c r="C10592" s="1" t="s">
        <v>3585</v>
      </c>
      <c r="D10592" s="1" t="s">
        <v>3587</v>
      </c>
    </row>
    <row r="10593">
      <c r="A10593" s="1" t="s">
        <v>19562</v>
      </c>
      <c r="B10593" s="2" t="s">
        <v>19495</v>
      </c>
      <c r="C10593" s="1" t="s">
        <v>3585</v>
      </c>
      <c r="D10593" s="1" t="s">
        <v>3587</v>
      </c>
    </row>
    <row r="10594">
      <c r="A10594" s="1" t="s">
        <v>19563</v>
      </c>
      <c r="B10594" s="2" t="s">
        <v>19497</v>
      </c>
      <c r="C10594" s="1" t="s">
        <v>3585</v>
      </c>
      <c r="D10594" s="1" t="s">
        <v>3587</v>
      </c>
    </row>
    <row r="10595">
      <c r="A10595" s="1" t="s">
        <v>19564</v>
      </c>
      <c r="B10595" s="2" t="s">
        <v>19499</v>
      </c>
      <c r="C10595" s="1" t="s">
        <v>3585</v>
      </c>
      <c r="D10595" s="1" t="s">
        <v>3587</v>
      </c>
    </row>
    <row r="10596">
      <c r="A10596" s="1" t="s">
        <v>19565</v>
      </c>
      <c r="B10596" s="2" t="s">
        <v>19501</v>
      </c>
      <c r="C10596" s="1" t="s">
        <v>3585</v>
      </c>
      <c r="D10596" s="1" t="s">
        <v>3587</v>
      </c>
    </row>
    <row r="10597">
      <c r="A10597" s="1" t="s">
        <v>3590</v>
      </c>
      <c r="B10597" s="2" t="s">
        <v>7</v>
      </c>
      <c r="C10597" s="1" t="s">
        <v>3593</v>
      </c>
      <c r="D10597" s="1" t="s">
        <v>3594</v>
      </c>
    </row>
    <row r="10598">
      <c r="A10598" s="1" t="s">
        <v>19566</v>
      </c>
      <c r="B10598" s="2" t="s">
        <v>13984</v>
      </c>
      <c r="C10598" s="1" t="s">
        <v>3593</v>
      </c>
      <c r="D10598" s="1" t="s">
        <v>3594</v>
      </c>
    </row>
    <row r="10599">
      <c r="A10599" s="1" t="s">
        <v>19567</v>
      </c>
      <c r="B10599" s="2" t="s">
        <v>19474</v>
      </c>
      <c r="C10599" s="1" t="s">
        <v>3593</v>
      </c>
      <c r="D10599" s="1" t="s">
        <v>3594</v>
      </c>
    </row>
    <row r="10600">
      <c r="A10600" s="1" t="s">
        <v>19568</v>
      </c>
      <c r="B10600" s="2" t="s">
        <v>19476</v>
      </c>
      <c r="C10600" s="1" t="s">
        <v>3593</v>
      </c>
      <c r="D10600" s="1" t="s">
        <v>3594</v>
      </c>
    </row>
    <row r="10601">
      <c r="A10601" s="1" t="s">
        <v>19569</v>
      </c>
      <c r="B10601" s="2" t="s">
        <v>19478</v>
      </c>
      <c r="C10601" s="1" t="s">
        <v>3593</v>
      </c>
      <c r="D10601" s="1" t="s">
        <v>3594</v>
      </c>
    </row>
    <row r="10602">
      <c r="A10602" s="1" t="s">
        <v>19570</v>
      </c>
      <c r="B10602" s="2" t="s">
        <v>19480</v>
      </c>
      <c r="C10602" s="1" t="s">
        <v>3593</v>
      </c>
      <c r="D10602" s="1" t="s">
        <v>3594</v>
      </c>
    </row>
    <row r="10603">
      <c r="A10603" s="1" t="s">
        <v>19571</v>
      </c>
      <c r="B10603" s="2" t="s">
        <v>19482</v>
      </c>
      <c r="C10603" s="1" t="s">
        <v>3593</v>
      </c>
      <c r="D10603" s="1" t="s">
        <v>3594</v>
      </c>
    </row>
    <row r="10604">
      <c r="A10604" s="1" t="s">
        <v>19572</v>
      </c>
      <c r="B10604" s="2" t="s">
        <v>19484</v>
      </c>
      <c r="C10604" s="1" t="s">
        <v>3593</v>
      </c>
      <c r="D10604" s="1" t="s">
        <v>3594</v>
      </c>
    </row>
    <row r="10605">
      <c r="A10605" s="1" t="s">
        <v>19573</v>
      </c>
      <c r="B10605" s="2" t="s">
        <v>19486</v>
      </c>
      <c r="C10605" s="1" t="s">
        <v>3593</v>
      </c>
      <c r="D10605" s="1" t="s">
        <v>3594</v>
      </c>
    </row>
    <row r="10606">
      <c r="A10606" s="1" t="s">
        <v>19574</v>
      </c>
      <c r="B10606" s="2" t="s">
        <v>13994</v>
      </c>
      <c r="C10606" s="1" t="s">
        <v>3593</v>
      </c>
      <c r="D10606" s="1" t="s">
        <v>3594</v>
      </c>
    </row>
    <row r="10607">
      <c r="A10607" s="1" t="s">
        <v>19575</v>
      </c>
      <c r="B10607" s="2" t="s">
        <v>19489</v>
      </c>
      <c r="C10607" s="1" t="s">
        <v>3593</v>
      </c>
      <c r="D10607" s="1" t="s">
        <v>3594</v>
      </c>
    </row>
    <row r="10608">
      <c r="A10608" s="1" t="s">
        <v>19576</v>
      </c>
      <c r="B10608" s="2" t="s">
        <v>19491</v>
      </c>
      <c r="C10608" s="1" t="s">
        <v>3593</v>
      </c>
      <c r="D10608" s="1" t="s">
        <v>3594</v>
      </c>
    </row>
    <row r="10609">
      <c r="A10609" s="1" t="s">
        <v>19577</v>
      </c>
      <c r="B10609" s="2" t="s">
        <v>19493</v>
      </c>
      <c r="C10609" s="1" t="s">
        <v>3593</v>
      </c>
      <c r="D10609" s="1" t="s">
        <v>3594</v>
      </c>
    </row>
    <row r="10610">
      <c r="A10610" s="1" t="s">
        <v>19578</v>
      </c>
      <c r="B10610" s="2" t="s">
        <v>19495</v>
      </c>
      <c r="C10610" s="1" t="s">
        <v>3593</v>
      </c>
      <c r="D10610" s="1" t="s">
        <v>3594</v>
      </c>
    </row>
    <row r="10611">
      <c r="A10611" s="1" t="s">
        <v>19579</v>
      </c>
      <c r="B10611" s="2" t="s">
        <v>19497</v>
      </c>
      <c r="C10611" s="1" t="s">
        <v>3593</v>
      </c>
      <c r="D10611" s="1" t="s">
        <v>3594</v>
      </c>
    </row>
    <row r="10612">
      <c r="A10612" s="1" t="s">
        <v>19580</v>
      </c>
      <c r="B10612" s="2" t="s">
        <v>19499</v>
      </c>
      <c r="C10612" s="1" t="s">
        <v>3593</v>
      </c>
      <c r="D10612" s="1" t="s">
        <v>3594</v>
      </c>
    </row>
    <row r="10613">
      <c r="A10613" s="1" t="s">
        <v>19581</v>
      </c>
      <c r="B10613" s="2" t="s">
        <v>19501</v>
      </c>
      <c r="C10613" s="1" t="s">
        <v>3593</v>
      </c>
      <c r="D10613" s="1" t="s">
        <v>3594</v>
      </c>
    </row>
    <row r="10614">
      <c r="A10614" s="1" t="s">
        <v>3598</v>
      </c>
      <c r="B10614" s="2" t="s">
        <v>7</v>
      </c>
      <c r="C10614" s="1" t="s">
        <v>3600</v>
      </c>
      <c r="D10614" s="1" t="s">
        <v>3601</v>
      </c>
    </row>
    <row r="10615">
      <c r="A10615" s="1" t="s">
        <v>19582</v>
      </c>
      <c r="B10615" s="2" t="s">
        <v>13984</v>
      </c>
      <c r="C10615" s="1" t="s">
        <v>3600</v>
      </c>
      <c r="D10615" s="1" t="s">
        <v>3601</v>
      </c>
    </row>
    <row r="10616">
      <c r="A10616" s="1" t="s">
        <v>19583</v>
      </c>
      <c r="B10616" s="2" t="s">
        <v>19474</v>
      </c>
      <c r="C10616" s="1" t="s">
        <v>3600</v>
      </c>
      <c r="D10616" s="1" t="s">
        <v>3601</v>
      </c>
    </row>
    <row r="10617">
      <c r="A10617" s="1" t="s">
        <v>19584</v>
      </c>
      <c r="B10617" s="2" t="s">
        <v>19476</v>
      </c>
      <c r="C10617" s="1" t="s">
        <v>3600</v>
      </c>
      <c r="D10617" s="1" t="s">
        <v>3601</v>
      </c>
    </row>
    <row r="10618">
      <c r="A10618" s="1" t="s">
        <v>19585</v>
      </c>
      <c r="B10618" s="2" t="s">
        <v>19478</v>
      </c>
      <c r="C10618" s="1" t="s">
        <v>3600</v>
      </c>
      <c r="D10618" s="1" t="s">
        <v>3601</v>
      </c>
    </row>
    <row r="10619">
      <c r="A10619" s="1" t="s">
        <v>19586</v>
      </c>
      <c r="B10619" s="2" t="s">
        <v>19480</v>
      </c>
      <c r="C10619" s="1" t="s">
        <v>3600</v>
      </c>
      <c r="D10619" s="1" t="s">
        <v>3601</v>
      </c>
    </row>
    <row r="10620">
      <c r="A10620" s="1" t="s">
        <v>19587</v>
      </c>
      <c r="B10620" s="2" t="s">
        <v>19482</v>
      </c>
      <c r="C10620" s="1" t="s">
        <v>3600</v>
      </c>
      <c r="D10620" s="1" t="s">
        <v>3601</v>
      </c>
    </row>
    <row r="10621">
      <c r="A10621" s="1" t="s">
        <v>19588</v>
      </c>
      <c r="B10621" s="2" t="s">
        <v>19484</v>
      </c>
      <c r="C10621" s="1" t="s">
        <v>3600</v>
      </c>
      <c r="D10621" s="1" t="s">
        <v>3601</v>
      </c>
    </row>
    <row r="10622">
      <c r="A10622" s="1" t="s">
        <v>19589</v>
      </c>
      <c r="B10622" s="2" t="s">
        <v>19486</v>
      </c>
      <c r="C10622" s="1" t="s">
        <v>3600</v>
      </c>
      <c r="D10622" s="1" t="s">
        <v>3601</v>
      </c>
    </row>
    <row r="10623">
      <c r="A10623" s="1" t="s">
        <v>19590</v>
      </c>
      <c r="B10623" s="2" t="s">
        <v>13994</v>
      </c>
      <c r="C10623" s="1" t="s">
        <v>3600</v>
      </c>
      <c r="D10623" s="1" t="s">
        <v>3601</v>
      </c>
    </row>
    <row r="10624">
      <c r="A10624" s="1" t="s">
        <v>19591</v>
      </c>
      <c r="B10624" s="2" t="s">
        <v>19489</v>
      </c>
      <c r="C10624" s="1" t="s">
        <v>3600</v>
      </c>
      <c r="D10624" s="1" t="s">
        <v>3601</v>
      </c>
    </row>
    <row r="10625">
      <c r="A10625" s="1" t="s">
        <v>19592</v>
      </c>
      <c r="B10625" s="2" t="s">
        <v>19491</v>
      </c>
      <c r="C10625" s="1" t="s">
        <v>3600</v>
      </c>
      <c r="D10625" s="1" t="s">
        <v>3601</v>
      </c>
    </row>
    <row r="10626">
      <c r="A10626" s="1" t="s">
        <v>19593</v>
      </c>
      <c r="B10626" s="2" t="s">
        <v>19493</v>
      </c>
      <c r="C10626" s="1" t="s">
        <v>3600</v>
      </c>
      <c r="D10626" s="1" t="s">
        <v>3601</v>
      </c>
    </row>
    <row r="10627">
      <c r="A10627" s="1" t="s">
        <v>19594</v>
      </c>
      <c r="B10627" s="2" t="s">
        <v>19495</v>
      </c>
      <c r="C10627" s="1" t="s">
        <v>3600</v>
      </c>
      <c r="D10627" s="1" t="s">
        <v>3601</v>
      </c>
    </row>
    <row r="10628">
      <c r="A10628" s="1" t="s">
        <v>19595</v>
      </c>
      <c r="B10628" s="2" t="s">
        <v>19497</v>
      </c>
      <c r="C10628" s="1" t="s">
        <v>3600</v>
      </c>
      <c r="D10628" s="1" t="s">
        <v>3601</v>
      </c>
    </row>
    <row r="10629">
      <c r="A10629" s="1" t="s">
        <v>19596</v>
      </c>
      <c r="B10629" s="2" t="s">
        <v>19499</v>
      </c>
      <c r="C10629" s="1" t="s">
        <v>3600</v>
      </c>
      <c r="D10629" s="1" t="s">
        <v>3601</v>
      </c>
    </row>
    <row r="10630">
      <c r="A10630" s="1" t="s">
        <v>19597</v>
      </c>
      <c r="B10630" s="2" t="s">
        <v>19501</v>
      </c>
      <c r="C10630" s="1" t="s">
        <v>3600</v>
      </c>
      <c r="D10630" s="1" t="s">
        <v>3601</v>
      </c>
    </row>
    <row r="10631">
      <c r="A10631" s="1" t="s">
        <v>3606</v>
      </c>
      <c r="B10631" s="2" t="s">
        <v>7</v>
      </c>
      <c r="C10631" s="1" t="s">
        <v>3608</v>
      </c>
      <c r="D10631" s="1" t="s">
        <v>3610</v>
      </c>
    </row>
    <row r="10632">
      <c r="A10632" s="1" t="s">
        <v>19598</v>
      </c>
      <c r="B10632" s="2" t="s">
        <v>13984</v>
      </c>
      <c r="C10632" s="1" t="s">
        <v>3608</v>
      </c>
      <c r="D10632" s="1" t="s">
        <v>3610</v>
      </c>
    </row>
    <row r="10633">
      <c r="A10633" s="1" t="s">
        <v>19599</v>
      </c>
      <c r="B10633" s="2" t="s">
        <v>19474</v>
      </c>
      <c r="C10633" s="1" t="s">
        <v>3608</v>
      </c>
      <c r="D10633" s="1" t="s">
        <v>3610</v>
      </c>
    </row>
    <row r="10634">
      <c r="A10634" s="1" t="s">
        <v>19600</v>
      </c>
      <c r="B10634" s="2" t="s">
        <v>19476</v>
      </c>
      <c r="C10634" s="1" t="s">
        <v>3608</v>
      </c>
      <c r="D10634" s="1" t="s">
        <v>3610</v>
      </c>
    </row>
    <row r="10635">
      <c r="A10635" s="1" t="s">
        <v>19601</v>
      </c>
      <c r="B10635" s="2" t="s">
        <v>19478</v>
      </c>
      <c r="C10635" s="1" t="s">
        <v>3608</v>
      </c>
      <c r="D10635" s="1" t="s">
        <v>3610</v>
      </c>
    </row>
    <row r="10636">
      <c r="A10636" s="1" t="s">
        <v>19602</v>
      </c>
      <c r="B10636" s="2" t="s">
        <v>19480</v>
      </c>
      <c r="C10636" s="1" t="s">
        <v>3608</v>
      </c>
      <c r="D10636" s="1" t="s">
        <v>3610</v>
      </c>
    </row>
    <row r="10637">
      <c r="A10637" s="1" t="s">
        <v>19603</v>
      </c>
      <c r="B10637" s="2" t="s">
        <v>19482</v>
      </c>
      <c r="C10637" s="1" t="s">
        <v>3608</v>
      </c>
      <c r="D10637" s="1" t="s">
        <v>3610</v>
      </c>
    </row>
    <row r="10638">
      <c r="A10638" s="1" t="s">
        <v>19604</v>
      </c>
      <c r="B10638" s="2" t="s">
        <v>19484</v>
      </c>
      <c r="C10638" s="1" t="s">
        <v>3608</v>
      </c>
      <c r="D10638" s="1" t="s">
        <v>3610</v>
      </c>
    </row>
    <row r="10639">
      <c r="A10639" s="1" t="s">
        <v>19605</v>
      </c>
      <c r="B10639" s="2" t="s">
        <v>19486</v>
      </c>
      <c r="C10639" s="1" t="s">
        <v>3608</v>
      </c>
      <c r="D10639" s="1" t="s">
        <v>3610</v>
      </c>
    </row>
    <row r="10640">
      <c r="A10640" s="1" t="s">
        <v>19606</v>
      </c>
      <c r="B10640" s="2" t="s">
        <v>13994</v>
      </c>
      <c r="C10640" s="1" t="s">
        <v>3608</v>
      </c>
      <c r="D10640" s="1" t="s">
        <v>3610</v>
      </c>
    </row>
    <row r="10641">
      <c r="A10641" s="1" t="s">
        <v>19607</v>
      </c>
      <c r="B10641" s="2" t="s">
        <v>19489</v>
      </c>
      <c r="C10641" s="1" t="s">
        <v>3608</v>
      </c>
      <c r="D10641" s="1" t="s">
        <v>3610</v>
      </c>
    </row>
    <row r="10642">
      <c r="A10642" s="1" t="s">
        <v>19608</v>
      </c>
      <c r="B10642" s="2" t="s">
        <v>19491</v>
      </c>
      <c r="C10642" s="1" t="s">
        <v>3608</v>
      </c>
      <c r="D10642" s="1" t="s">
        <v>3610</v>
      </c>
    </row>
    <row r="10643">
      <c r="A10643" s="1" t="s">
        <v>19609</v>
      </c>
      <c r="B10643" s="2" t="s">
        <v>19493</v>
      </c>
      <c r="C10643" s="1" t="s">
        <v>3608</v>
      </c>
      <c r="D10643" s="1" t="s">
        <v>3610</v>
      </c>
    </row>
    <row r="10644">
      <c r="A10644" s="1" t="s">
        <v>19610</v>
      </c>
      <c r="B10644" s="2" t="s">
        <v>19495</v>
      </c>
      <c r="C10644" s="1" t="s">
        <v>3608</v>
      </c>
      <c r="D10644" s="1" t="s">
        <v>3610</v>
      </c>
    </row>
    <row r="10645">
      <c r="A10645" s="1" t="s">
        <v>19611</v>
      </c>
      <c r="B10645" s="2" t="s">
        <v>19497</v>
      </c>
      <c r="C10645" s="1" t="s">
        <v>3608</v>
      </c>
      <c r="D10645" s="1" t="s">
        <v>3610</v>
      </c>
    </row>
    <row r="10646">
      <c r="A10646" s="1" t="s">
        <v>19612</v>
      </c>
      <c r="B10646" s="2" t="s">
        <v>19499</v>
      </c>
      <c r="C10646" s="1" t="s">
        <v>3608</v>
      </c>
      <c r="D10646" s="1" t="s">
        <v>3610</v>
      </c>
    </row>
    <row r="10647">
      <c r="A10647" s="1" t="s">
        <v>19613</v>
      </c>
      <c r="B10647" s="2" t="s">
        <v>19501</v>
      </c>
      <c r="C10647" s="1" t="s">
        <v>3608</v>
      </c>
      <c r="D10647" s="1" t="s">
        <v>3610</v>
      </c>
    </row>
    <row r="10648">
      <c r="A10648" s="1" t="s">
        <v>3619</v>
      </c>
      <c r="B10648" s="2" t="s">
        <v>7</v>
      </c>
      <c r="C10648" s="1" t="s">
        <v>3622</v>
      </c>
      <c r="D10648" s="1" t="s">
        <v>3623</v>
      </c>
    </row>
    <row r="10649">
      <c r="A10649" s="1" t="s">
        <v>19614</v>
      </c>
      <c r="B10649" s="2" t="s">
        <v>13984</v>
      </c>
      <c r="C10649" s="1" t="s">
        <v>3622</v>
      </c>
      <c r="D10649" s="1" t="s">
        <v>3623</v>
      </c>
    </row>
    <row r="10650">
      <c r="A10650" s="1" t="s">
        <v>19615</v>
      </c>
      <c r="B10650" s="2" t="s">
        <v>19474</v>
      </c>
      <c r="C10650" s="1" t="s">
        <v>3622</v>
      </c>
      <c r="D10650" s="1" t="s">
        <v>3623</v>
      </c>
    </row>
    <row r="10651">
      <c r="A10651" s="1" t="s">
        <v>19616</v>
      </c>
      <c r="B10651" s="2" t="s">
        <v>19476</v>
      </c>
      <c r="C10651" s="1" t="s">
        <v>3622</v>
      </c>
      <c r="D10651" s="1" t="s">
        <v>3623</v>
      </c>
    </row>
    <row r="10652">
      <c r="A10652" s="1" t="s">
        <v>19617</v>
      </c>
      <c r="B10652" s="2" t="s">
        <v>19478</v>
      </c>
      <c r="C10652" s="1" t="s">
        <v>3622</v>
      </c>
      <c r="D10652" s="1" t="s">
        <v>3623</v>
      </c>
    </row>
    <row r="10653">
      <c r="A10653" s="1" t="s">
        <v>19618</v>
      </c>
      <c r="B10653" s="2" t="s">
        <v>19480</v>
      </c>
      <c r="C10653" s="1" t="s">
        <v>3622</v>
      </c>
      <c r="D10653" s="1" t="s">
        <v>3623</v>
      </c>
    </row>
    <row r="10654">
      <c r="A10654" s="1" t="s">
        <v>19619</v>
      </c>
      <c r="B10654" s="2" t="s">
        <v>19482</v>
      </c>
      <c r="C10654" s="1" t="s">
        <v>3622</v>
      </c>
      <c r="D10654" s="1" t="s">
        <v>3623</v>
      </c>
    </row>
    <row r="10655">
      <c r="A10655" s="1" t="s">
        <v>19620</v>
      </c>
      <c r="B10655" s="2" t="s">
        <v>19484</v>
      </c>
      <c r="C10655" s="1" t="s">
        <v>3622</v>
      </c>
      <c r="D10655" s="1" t="s">
        <v>3623</v>
      </c>
    </row>
    <row r="10656">
      <c r="A10656" s="1" t="s">
        <v>19621</v>
      </c>
      <c r="B10656" s="2" t="s">
        <v>19486</v>
      </c>
      <c r="C10656" s="1" t="s">
        <v>3622</v>
      </c>
      <c r="D10656" s="1" t="s">
        <v>3623</v>
      </c>
    </row>
    <row r="10657">
      <c r="A10657" s="1" t="s">
        <v>19622</v>
      </c>
      <c r="B10657" s="2" t="s">
        <v>13994</v>
      </c>
      <c r="C10657" s="1" t="s">
        <v>3622</v>
      </c>
      <c r="D10657" s="1" t="s">
        <v>3623</v>
      </c>
    </row>
    <row r="10658">
      <c r="A10658" s="1" t="s">
        <v>19623</v>
      </c>
      <c r="B10658" s="2" t="s">
        <v>19489</v>
      </c>
      <c r="C10658" s="1" t="s">
        <v>3622</v>
      </c>
      <c r="D10658" s="1" t="s">
        <v>3623</v>
      </c>
    </row>
    <row r="10659">
      <c r="A10659" s="1" t="s">
        <v>19624</v>
      </c>
      <c r="B10659" s="2" t="s">
        <v>19491</v>
      </c>
      <c r="C10659" s="1" t="s">
        <v>3622</v>
      </c>
      <c r="D10659" s="1" t="s">
        <v>3623</v>
      </c>
    </row>
    <row r="10660">
      <c r="A10660" s="1" t="s">
        <v>19625</v>
      </c>
      <c r="B10660" s="2" t="s">
        <v>19493</v>
      </c>
      <c r="C10660" s="1" t="s">
        <v>3622</v>
      </c>
      <c r="D10660" s="1" t="s">
        <v>3623</v>
      </c>
    </row>
    <row r="10661">
      <c r="A10661" s="1" t="s">
        <v>19626</v>
      </c>
      <c r="B10661" s="2" t="s">
        <v>19495</v>
      </c>
      <c r="C10661" s="1" t="s">
        <v>3622</v>
      </c>
      <c r="D10661" s="1" t="s">
        <v>3623</v>
      </c>
    </row>
    <row r="10662">
      <c r="A10662" s="1" t="s">
        <v>19627</v>
      </c>
      <c r="B10662" s="2" t="s">
        <v>19497</v>
      </c>
      <c r="C10662" s="1" t="s">
        <v>3622</v>
      </c>
      <c r="D10662" s="1" t="s">
        <v>3623</v>
      </c>
    </row>
    <row r="10663">
      <c r="A10663" s="1" t="s">
        <v>19628</v>
      </c>
      <c r="B10663" s="2" t="s">
        <v>19499</v>
      </c>
      <c r="C10663" s="1" t="s">
        <v>3622</v>
      </c>
      <c r="D10663" s="1" t="s">
        <v>3623</v>
      </c>
    </row>
    <row r="10664">
      <c r="A10664" s="1" t="s">
        <v>19629</v>
      </c>
      <c r="B10664" s="2" t="s">
        <v>19501</v>
      </c>
      <c r="C10664" s="1" t="s">
        <v>3622</v>
      </c>
      <c r="D10664" s="1" t="s">
        <v>3623</v>
      </c>
    </row>
    <row r="10665">
      <c r="A10665" s="1" t="s">
        <v>3535</v>
      </c>
      <c r="B10665" s="2" t="s">
        <v>7</v>
      </c>
      <c r="C10665" s="1" t="s">
        <v>3541</v>
      </c>
      <c r="D10665" s="1" t="s">
        <v>3543</v>
      </c>
    </row>
    <row r="10666">
      <c r="A10666" s="1" t="s">
        <v>19630</v>
      </c>
      <c r="B10666" s="2" t="s">
        <v>13984</v>
      </c>
      <c r="C10666" s="1" t="s">
        <v>3541</v>
      </c>
      <c r="D10666" s="1" t="s">
        <v>3543</v>
      </c>
    </row>
    <row r="10667">
      <c r="A10667" s="1" t="s">
        <v>19631</v>
      </c>
      <c r="B10667" s="2" t="s">
        <v>19474</v>
      </c>
      <c r="C10667" s="1" t="s">
        <v>3541</v>
      </c>
      <c r="D10667" s="1" t="s">
        <v>3543</v>
      </c>
    </row>
    <row r="10668">
      <c r="A10668" s="1" t="s">
        <v>19632</v>
      </c>
      <c r="B10668" s="2" t="s">
        <v>19476</v>
      </c>
      <c r="C10668" s="1" t="s">
        <v>3541</v>
      </c>
      <c r="D10668" s="1" t="s">
        <v>3543</v>
      </c>
    </row>
    <row r="10669">
      <c r="A10669" s="1" t="s">
        <v>19633</v>
      </c>
      <c r="B10669" s="2" t="s">
        <v>19478</v>
      </c>
      <c r="C10669" s="1" t="s">
        <v>3541</v>
      </c>
      <c r="D10669" s="1" t="s">
        <v>3543</v>
      </c>
    </row>
    <row r="10670">
      <c r="A10670" s="1" t="s">
        <v>19634</v>
      </c>
      <c r="B10670" s="2" t="s">
        <v>19480</v>
      </c>
      <c r="C10670" s="1" t="s">
        <v>3541</v>
      </c>
      <c r="D10670" s="1" t="s">
        <v>3543</v>
      </c>
    </row>
    <row r="10671">
      <c r="A10671" s="1" t="s">
        <v>19635</v>
      </c>
      <c r="B10671" s="2" t="s">
        <v>19482</v>
      </c>
      <c r="C10671" s="1" t="s">
        <v>3541</v>
      </c>
      <c r="D10671" s="1" t="s">
        <v>3543</v>
      </c>
    </row>
    <row r="10672">
      <c r="A10672" s="1" t="s">
        <v>19636</v>
      </c>
      <c r="B10672" s="2" t="s">
        <v>19484</v>
      </c>
      <c r="C10672" s="1" t="s">
        <v>3541</v>
      </c>
      <c r="D10672" s="1" t="s">
        <v>3543</v>
      </c>
    </row>
    <row r="10673">
      <c r="A10673" s="1" t="s">
        <v>19637</v>
      </c>
      <c r="B10673" s="2" t="s">
        <v>19486</v>
      </c>
      <c r="C10673" s="1" t="s">
        <v>3541</v>
      </c>
      <c r="D10673" s="1" t="s">
        <v>3543</v>
      </c>
    </row>
    <row r="10674">
      <c r="A10674" s="1" t="s">
        <v>19638</v>
      </c>
      <c r="B10674" s="2" t="s">
        <v>13994</v>
      </c>
      <c r="C10674" s="1" t="s">
        <v>3541</v>
      </c>
      <c r="D10674" s="1" t="s">
        <v>3543</v>
      </c>
    </row>
    <row r="10675">
      <c r="A10675" s="1" t="s">
        <v>19639</v>
      </c>
      <c r="B10675" s="2" t="s">
        <v>19489</v>
      </c>
      <c r="C10675" s="1" t="s">
        <v>3541</v>
      </c>
      <c r="D10675" s="1" t="s">
        <v>3543</v>
      </c>
    </row>
    <row r="10676">
      <c r="A10676" s="1" t="s">
        <v>19640</v>
      </c>
      <c r="B10676" s="2" t="s">
        <v>19491</v>
      </c>
      <c r="C10676" s="1" t="s">
        <v>3541</v>
      </c>
      <c r="D10676" s="1" t="s">
        <v>3543</v>
      </c>
    </row>
    <row r="10677">
      <c r="A10677" s="1" t="s">
        <v>19641</v>
      </c>
      <c r="B10677" s="2" t="s">
        <v>19493</v>
      </c>
      <c r="C10677" s="1" t="s">
        <v>3541</v>
      </c>
      <c r="D10677" s="1" t="s">
        <v>3543</v>
      </c>
    </row>
    <row r="10678">
      <c r="A10678" s="1" t="s">
        <v>19642</v>
      </c>
      <c r="B10678" s="2" t="s">
        <v>19495</v>
      </c>
      <c r="C10678" s="1" t="s">
        <v>3541</v>
      </c>
      <c r="D10678" s="1" t="s">
        <v>3543</v>
      </c>
    </row>
    <row r="10679">
      <c r="A10679" s="1" t="s">
        <v>19643</v>
      </c>
      <c r="B10679" s="2" t="s">
        <v>19497</v>
      </c>
      <c r="C10679" s="1" t="s">
        <v>3541</v>
      </c>
      <c r="D10679" s="1" t="s">
        <v>3543</v>
      </c>
    </row>
    <row r="10680">
      <c r="A10680" s="1" t="s">
        <v>19644</v>
      </c>
      <c r="B10680" s="2" t="s">
        <v>19499</v>
      </c>
      <c r="C10680" s="1" t="s">
        <v>3541</v>
      </c>
      <c r="D10680" s="1" t="s">
        <v>3543</v>
      </c>
    </row>
    <row r="10681">
      <c r="A10681" s="1" t="s">
        <v>19645</v>
      </c>
      <c r="B10681" s="2" t="s">
        <v>19501</v>
      </c>
      <c r="C10681" s="1" t="s">
        <v>3541</v>
      </c>
      <c r="D10681" s="1" t="s">
        <v>3543</v>
      </c>
    </row>
    <row r="10682">
      <c r="A10682" s="1" t="s">
        <v>3628</v>
      </c>
      <c r="B10682" s="2" t="s">
        <v>7</v>
      </c>
      <c r="C10682" s="1" t="s">
        <v>3629</v>
      </c>
      <c r="D10682" s="1" t="s">
        <v>3631</v>
      </c>
    </row>
    <row r="10683">
      <c r="A10683" s="1" t="s">
        <v>19646</v>
      </c>
      <c r="B10683" s="2" t="s">
        <v>13984</v>
      </c>
      <c r="C10683" s="1" t="s">
        <v>3629</v>
      </c>
      <c r="D10683" s="1" t="s">
        <v>3631</v>
      </c>
    </row>
    <row r="10684">
      <c r="A10684" s="1" t="s">
        <v>19647</v>
      </c>
      <c r="B10684" s="2" t="s">
        <v>19648</v>
      </c>
      <c r="C10684" s="1" t="s">
        <v>3629</v>
      </c>
      <c r="D10684" s="1" t="s">
        <v>3631</v>
      </c>
    </row>
    <row r="10685">
      <c r="A10685" s="1" t="s">
        <v>19649</v>
      </c>
      <c r="B10685" s="2" t="s">
        <v>19650</v>
      </c>
      <c r="C10685" s="1" t="s">
        <v>3629</v>
      </c>
      <c r="D10685" s="1" t="s">
        <v>3631</v>
      </c>
    </row>
    <row r="10686">
      <c r="A10686" s="1" t="s">
        <v>19651</v>
      </c>
      <c r="B10686" s="2" t="s">
        <v>19652</v>
      </c>
      <c r="C10686" s="1" t="s">
        <v>3629</v>
      </c>
      <c r="D10686" s="1" t="s">
        <v>3631</v>
      </c>
    </row>
    <row r="10687">
      <c r="A10687" s="1" t="s">
        <v>19653</v>
      </c>
      <c r="B10687" s="2" t="s">
        <v>19654</v>
      </c>
      <c r="C10687" s="1" t="s">
        <v>3629</v>
      </c>
      <c r="D10687" s="1" t="s">
        <v>3631</v>
      </c>
    </row>
    <row r="10688">
      <c r="A10688" s="1" t="s">
        <v>19655</v>
      </c>
      <c r="B10688" s="2" t="s">
        <v>19656</v>
      </c>
      <c r="C10688" s="1" t="s">
        <v>3629</v>
      </c>
      <c r="D10688" s="1" t="s">
        <v>3631</v>
      </c>
    </row>
    <row r="10689">
      <c r="A10689" s="1" t="s">
        <v>19657</v>
      </c>
      <c r="B10689" s="2" t="s">
        <v>19658</v>
      </c>
      <c r="C10689" s="1" t="s">
        <v>3629</v>
      </c>
      <c r="D10689" s="1" t="s">
        <v>3631</v>
      </c>
    </row>
    <row r="10690">
      <c r="A10690" s="1" t="s">
        <v>19659</v>
      </c>
      <c r="B10690" s="2" t="s">
        <v>19660</v>
      </c>
      <c r="C10690" s="1" t="s">
        <v>3629</v>
      </c>
      <c r="D10690" s="1" t="s">
        <v>3631</v>
      </c>
    </row>
    <row r="10691">
      <c r="A10691" s="1" t="s">
        <v>19661</v>
      </c>
      <c r="B10691" s="2" t="s">
        <v>19662</v>
      </c>
      <c r="C10691" s="1" t="s">
        <v>3629</v>
      </c>
      <c r="D10691" s="1" t="s">
        <v>3631</v>
      </c>
    </row>
    <row r="10692">
      <c r="A10692" s="1" t="s">
        <v>19663</v>
      </c>
      <c r="B10692" s="2" t="s">
        <v>19664</v>
      </c>
      <c r="C10692" s="1" t="s">
        <v>3629</v>
      </c>
      <c r="D10692" s="1" t="s">
        <v>3631</v>
      </c>
    </row>
    <row r="10693">
      <c r="A10693" s="1" t="s">
        <v>19665</v>
      </c>
      <c r="B10693" s="2" t="s">
        <v>19666</v>
      </c>
      <c r="C10693" s="1" t="s">
        <v>3629</v>
      </c>
      <c r="D10693" s="1" t="s">
        <v>3631</v>
      </c>
    </row>
    <row r="10694">
      <c r="A10694" s="1" t="s">
        <v>19667</v>
      </c>
      <c r="B10694" s="2" t="s">
        <v>19668</v>
      </c>
      <c r="C10694" s="1" t="s">
        <v>3629</v>
      </c>
      <c r="D10694" s="1" t="s">
        <v>3631</v>
      </c>
    </row>
    <row r="10695">
      <c r="A10695" s="1" t="s">
        <v>19669</v>
      </c>
      <c r="B10695" s="2" t="s">
        <v>19670</v>
      </c>
      <c r="C10695" s="1" t="s">
        <v>3629</v>
      </c>
      <c r="D10695" s="1" t="s">
        <v>3631</v>
      </c>
    </row>
    <row r="10696">
      <c r="A10696" s="1" t="s">
        <v>19671</v>
      </c>
      <c r="B10696" s="2" t="s">
        <v>19672</v>
      </c>
      <c r="C10696" s="1" t="s">
        <v>3629</v>
      </c>
      <c r="D10696" s="1" t="s">
        <v>3631</v>
      </c>
    </row>
    <row r="10697">
      <c r="A10697" s="1" t="s">
        <v>19673</v>
      </c>
      <c r="B10697" s="2" t="s">
        <v>19674</v>
      </c>
      <c r="C10697" s="1" t="s">
        <v>3629</v>
      </c>
      <c r="D10697" s="1" t="s">
        <v>3631</v>
      </c>
    </row>
    <row r="10698">
      <c r="A10698" s="1" t="s">
        <v>19675</v>
      </c>
      <c r="B10698" s="2" t="s">
        <v>19676</v>
      </c>
      <c r="C10698" s="1" t="s">
        <v>3629</v>
      </c>
      <c r="D10698" s="1" t="s">
        <v>3631</v>
      </c>
    </row>
    <row r="10699">
      <c r="A10699" s="1" t="s">
        <v>19677</v>
      </c>
      <c r="B10699" s="2" t="s">
        <v>19678</v>
      </c>
      <c r="C10699" s="1" t="s">
        <v>3629</v>
      </c>
      <c r="D10699" s="1" t="s">
        <v>3631</v>
      </c>
    </row>
    <row r="10700">
      <c r="A10700" s="1" t="s">
        <v>19679</v>
      </c>
      <c r="B10700" s="2" t="s">
        <v>13994</v>
      </c>
      <c r="C10700" s="1" t="s">
        <v>3629</v>
      </c>
      <c r="D10700" s="1" t="s">
        <v>3631</v>
      </c>
    </row>
    <row r="10701">
      <c r="A10701" s="1" t="s">
        <v>19680</v>
      </c>
      <c r="B10701" s="2" t="s">
        <v>19681</v>
      </c>
      <c r="C10701" s="1" t="s">
        <v>3629</v>
      </c>
      <c r="D10701" s="1" t="s">
        <v>3631</v>
      </c>
    </row>
    <row r="10702">
      <c r="A10702" s="1" t="s">
        <v>19682</v>
      </c>
      <c r="B10702" s="2" t="s">
        <v>19683</v>
      </c>
      <c r="C10702" s="1" t="s">
        <v>3629</v>
      </c>
      <c r="D10702" s="1" t="s">
        <v>3631</v>
      </c>
    </row>
    <row r="10703">
      <c r="A10703" s="1" t="s">
        <v>19684</v>
      </c>
      <c r="B10703" s="2" t="s">
        <v>19685</v>
      </c>
      <c r="C10703" s="1" t="s">
        <v>3629</v>
      </c>
      <c r="D10703" s="1" t="s">
        <v>3631</v>
      </c>
    </row>
    <row r="10704">
      <c r="A10704" s="1" t="s">
        <v>19686</v>
      </c>
      <c r="B10704" s="2" t="s">
        <v>19687</v>
      </c>
      <c r="C10704" s="1" t="s">
        <v>3629</v>
      </c>
      <c r="D10704" s="1" t="s">
        <v>3631</v>
      </c>
    </row>
    <row r="10705">
      <c r="A10705" s="1" t="s">
        <v>19688</v>
      </c>
      <c r="B10705" s="2" t="s">
        <v>19689</v>
      </c>
      <c r="C10705" s="1" t="s">
        <v>3629</v>
      </c>
      <c r="D10705" s="1" t="s">
        <v>3631</v>
      </c>
    </row>
    <row r="10706">
      <c r="A10706" s="1" t="s">
        <v>19690</v>
      </c>
      <c r="B10706" s="2" t="s">
        <v>19691</v>
      </c>
      <c r="C10706" s="1" t="s">
        <v>3629</v>
      </c>
      <c r="D10706" s="1" t="s">
        <v>3631</v>
      </c>
    </row>
    <row r="10707">
      <c r="A10707" s="1" t="s">
        <v>19692</v>
      </c>
      <c r="B10707" s="2" t="s">
        <v>19693</v>
      </c>
      <c r="C10707" s="1" t="s">
        <v>3629</v>
      </c>
      <c r="D10707" s="1" t="s">
        <v>3631</v>
      </c>
    </row>
    <row r="10708">
      <c r="A10708" s="1" t="s">
        <v>19694</v>
      </c>
      <c r="B10708" s="2" t="s">
        <v>19695</v>
      </c>
      <c r="C10708" s="1" t="s">
        <v>3629</v>
      </c>
      <c r="D10708" s="1" t="s">
        <v>3631</v>
      </c>
    </row>
    <row r="10709">
      <c r="A10709" s="1" t="s">
        <v>19696</v>
      </c>
      <c r="B10709" s="2" t="s">
        <v>19697</v>
      </c>
      <c r="C10709" s="1" t="s">
        <v>3629</v>
      </c>
      <c r="D10709" s="1" t="s">
        <v>3631</v>
      </c>
    </row>
    <row r="10710">
      <c r="A10710" s="1" t="s">
        <v>19698</v>
      </c>
      <c r="B10710" s="2" t="s">
        <v>19699</v>
      </c>
      <c r="C10710" s="1" t="s">
        <v>3629</v>
      </c>
      <c r="D10710" s="1" t="s">
        <v>3631</v>
      </c>
    </row>
    <row r="10711">
      <c r="A10711" s="1" t="s">
        <v>19700</v>
      </c>
      <c r="B10711" s="2" t="s">
        <v>19701</v>
      </c>
      <c r="C10711" s="1" t="s">
        <v>3629</v>
      </c>
      <c r="D10711" s="1" t="s">
        <v>3631</v>
      </c>
    </row>
    <row r="10712">
      <c r="A10712" s="1" t="s">
        <v>19702</v>
      </c>
      <c r="B10712" s="2" t="s">
        <v>19703</v>
      </c>
      <c r="C10712" s="1" t="s">
        <v>3629</v>
      </c>
      <c r="D10712" s="1" t="s">
        <v>3631</v>
      </c>
    </row>
    <row r="10713">
      <c r="A10713" s="1" t="s">
        <v>19704</v>
      </c>
      <c r="B10713" s="2" t="s">
        <v>19705</v>
      </c>
      <c r="C10713" s="1" t="s">
        <v>3629</v>
      </c>
      <c r="D10713" s="1" t="s">
        <v>3631</v>
      </c>
    </row>
    <row r="10714">
      <c r="A10714" s="1" t="s">
        <v>19706</v>
      </c>
      <c r="B10714" s="2" t="s">
        <v>19707</v>
      </c>
      <c r="C10714" s="1" t="s">
        <v>3629</v>
      </c>
      <c r="D10714" s="1" t="s">
        <v>3631</v>
      </c>
    </row>
    <row r="10715">
      <c r="A10715" s="1" t="s">
        <v>19708</v>
      </c>
      <c r="B10715" s="2" t="s">
        <v>19709</v>
      </c>
      <c r="C10715" s="1" t="s">
        <v>3629</v>
      </c>
      <c r="D10715" s="1" t="s">
        <v>3631</v>
      </c>
    </row>
    <row r="10716">
      <c r="A10716" s="1" t="s">
        <v>19710</v>
      </c>
      <c r="B10716" s="2" t="s">
        <v>19711</v>
      </c>
      <c r="C10716" s="1" t="s">
        <v>3629</v>
      </c>
      <c r="D10716" s="1" t="s">
        <v>3631</v>
      </c>
    </row>
    <row r="10717">
      <c r="A10717" s="1" t="s">
        <v>3635</v>
      </c>
      <c r="B10717" s="2" t="s">
        <v>7</v>
      </c>
      <c r="C10717" s="1" t="s">
        <v>3638</v>
      </c>
      <c r="D10717" s="1" t="s">
        <v>3639</v>
      </c>
    </row>
    <row r="10718">
      <c r="A10718" s="1" t="s">
        <v>19712</v>
      </c>
      <c r="B10718" s="2" t="s">
        <v>19713</v>
      </c>
      <c r="C10718" s="1" t="s">
        <v>3638</v>
      </c>
      <c r="D10718" s="1" t="s">
        <v>3639</v>
      </c>
    </row>
    <row r="10719">
      <c r="A10719" s="1" t="s">
        <v>19714</v>
      </c>
      <c r="B10719" s="2" t="s">
        <v>19715</v>
      </c>
      <c r="C10719" s="1" t="s">
        <v>3638</v>
      </c>
      <c r="D10719" s="1" t="s">
        <v>3639</v>
      </c>
    </row>
    <row r="10720">
      <c r="A10720" s="1" t="s">
        <v>19716</v>
      </c>
      <c r="B10720" s="2" t="s">
        <v>19717</v>
      </c>
      <c r="C10720" s="1" t="s">
        <v>3638</v>
      </c>
      <c r="D10720" s="1" t="s">
        <v>3639</v>
      </c>
    </row>
    <row r="10721">
      <c r="A10721" s="1" t="s">
        <v>19718</v>
      </c>
      <c r="B10721" s="2" t="s">
        <v>19719</v>
      </c>
      <c r="C10721" s="1" t="s">
        <v>3638</v>
      </c>
      <c r="D10721" s="1" t="s">
        <v>3639</v>
      </c>
    </row>
    <row r="10722">
      <c r="A10722" s="1" t="s">
        <v>19720</v>
      </c>
      <c r="B10722" s="2" t="s">
        <v>19721</v>
      </c>
      <c r="C10722" s="1" t="s">
        <v>3638</v>
      </c>
      <c r="D10722" s="1" t="s">
        <v>3639</v>
      </c>
    </row>
    <row r="10723">
      <c r="A10723" s="1" t="s">
        <v>19722</v>
      </c>
      <c r="B10723" s="2" t="s">
        <v>19723</v>
      </c>
      <c r="C10723" s="1" t="s">
        <v>3638</v>
      </c>
      <c r="D10723" s="1" t="s">
        <v>3639</v>
      </c>
    </row>
    <row r="10724">
      <c r="A10724" s="1" t="s">
        <v>19724</v>
      </c>
      <c r="B10724" s="2" t="s">
        <v>19725</v>
      </c>
      <c r="C10724" s="1" t="s">
        <v>3638</v>
      </c>
      <c r="D10724" s="1" t="s">
        <v>3639</v>
      </c>
    </row>
    <row r="10725">
      <c r="A10725" s="1" t="s">
        <v>19726</v>
      </c>
      <c r="B10725" s="2" t="s">
        <v>19727</v>
      </c>
      <c r="C10725" s="1" t="s">
        <v>3638</v>
      </c>
      <c r="D10725" s="1" t="s">
        <v>3639</v>
      </c>
    </row>
    <row r="10726">
      <c r="A10726" s="1" t="s">
        <v>19728</v>
      </c>
      <c r="B10726" s="2" t="s">
        <v>19729</v>
      </c>
      <c r="C10726" s="1" t="s">
        <v>3638</v>
      </c>
      <c r="D10726" s="1" t="s">
        <v>3639</v>
      </c>
    </row>
    <row r="10727">
      <c r="A10727" s="1" t="s">
        <v>19730</v>
      </c>
      <c r="B10727" s="2" t="s">
        <v>19731</v>
      </c>
      <c r="C10727" s="1" t="s">
        <v>3638</v>
      </c>
      <c r="D10727" s="1" t="s">
        <v>3639</v>
      </c>
    </row>
    <row r="10728">
      <c r="A10728" s="1" t="s">
        <v>19732</v>
      </c>
      <c r="B10728" s="2" t="s">
        <v>19733</v>
      </c>
      <c r="C10728" s="1" t="s">
        <v>3638</v>
      </c>
      <c r="D10728" s="1" t="s">
        <v>3639</v>
      </c>
    </row>
    <row r="10729">
      <c r="A10729" s="1" t="s">
        <v>19734</v>
      </c>
      <c r="B10729" s="2" t="s">
        <v>19735</v>
      </c>
      <c r="C10729" s="1" t="s">
        <v>3638</v>
      </c>
      <c r="D10729" s="1" t="s">
        <v>3639</v>
      </c>
    </row>
    <row r="10730">
      <c r="A10730" s="1" t="s">
        <v>19736</v>
      </c>
      <c r="B10730" s="2" t="s">
        <v>19737</v>
      </c>
      <c r="C10730" s="1" t="s">
        <v>3638</v>
      </c>
      <c r="D10730" s="1" t="s">
        <v>3639</v>
      </c>
    </row>
    <row r="10731">
      <c r="A10731" s="1" t="s">
        <v>19738</v>
      </c>
      <c r="B10731" s="2" t="s">
        <v>19739</v>
      </c>
      <c r="C10731" s="1" t="s">
        <v>3638</v>
      </c>
      <c r="D10731" s="1" t="s">
        <v>3639</v>
      </c>
    </row>
    <row r="10732">
      <c r="A10732" s="1" t="s">
        <v>19740</v>
      </c>
      <c r="B10732" s="2" t="s">
        <v>19741</v>
      </c>
      <c r="C10732" s="1" t="s">
        <v>3638</v>
      </c>
      <c r="D10732" s="1" t="s">
        <v>3639</v>
      </c>
    </row>
    <row r="10733">
      <c r="A10733" s="1" t="s">
        <v>19742</v>
      </c>
      <c r="B10733" s="2" t="s">
        <v>19743</v>
      </c>
      <c r="C10733" s="1" t="s">
        <v>3638</v>
      </c>
      <c r="D10733" s="1" t="s">
        <v>3639</v>
      </c>
    </row>
    <row r="10734">
      <c r="A10734" s="1" t="s">
        <v>19744</v>
      </c>
      <c r="B10734" s="2" t="s">
        <v>19745</v>
      </c>
      <c r="C10734" s="1" t="s">
        <v>3638</v>
      </c>
      <c r="D10734" s="1" t="s">
        <v>3639</v>
      </c>
    </row>
    <row r="10735">
      <c r="A10735" s="1" t="s">
        <v>19746</v>
      </c>
      <c r="B10735" s="2" t="s">
        <v>19747</v>
      </c>
      <c r="C10735" s="1" t="s">
        <v>3638</v>
      </c>
      <c r="D10735" s="1" t="s">
        <v>3639</v>
      </c>
    </row>
    <row r="10736">
      <c r="A10736" s="1" t="s">
        <v>19748</v>
      </c>
      <c r="B10736" s="2" t="s">
        <v>19749</v>
      </c>
      <c r="C10736" s="1" t="s">
        <v>3638</v>
      </c>
      <c r="D10736" s="1" t="s">
        <v>3639</v>
      </c>
    </row>
    <row r="10737">
      <c r="A10737" s="1" t="s">
        <v>19750</v>
      </c>
      <c r="B10737" s="2" t="s">
        <v>19751</v>
      </c>
      <c r="C10737" s="1" t="s">
        <v>3638</v>
      </c>
      <c r="D10737" s="1" t="s">
        <v>3639</v>
      </c>
    </row>
    <row r="10738">
      <c r="A10738" s="1" t="s">
        <v>19752</v>
      </c>
      <c r="B10738" s="2" t="s">
        <v>19753</v>
      </c>
      <c r="C10738" s="1" t="s">
        <v>3638</v>
      </c>
      <c r="D10738" s="1" t="s">
        <v>3639</v>
      </c>
    </row>
    <row r="10739">
      <c r="A10739" s="1" t="s">
        <v>19754</v>
      </c>
      <c r="B10739" s="2" t="s">
        <v>19755</v>
      </c>
      <c r="C10739" s="1" t="s">
        <v>3638</v>
      </c>
      <c r="D10739" s="1" t="s">
        <v>3639</v>
      </c>
    </row>
    <row r="10740">
      <c r="A10740" s="1" t="s">
        <v>19756</v>
      </c>
      <c r="B10740" s="2" t="s">
        <v>19757</v>
      </c>
      <c r="C10740" s="1" t="s">
        <v>3638</v>
      </c>
      <c r="D10740" s="1" t="s">
        <v>3639</v>
      </c>
    </row>
    <row r="10741">
      <c r="A10741" s="1" t="s">
        <v>19758</v>
      </c>
      <c r="B10741" s="2" t="s">
        <v>19759</v>
      </c>
      <c r="C10741" s="1" t="s">
        <v>3638</v>
      </c>
      <c r="D10741" s="1" t="s">
        <v>3639</v>
      </c>
    </row>
    <row r="10742">
      <c r="A10742" s="1" t="s">
        <v>19760</v>
      </c>
      <c r="B10742" s="2" t="s">
        <v>19761</v>
      </c>
      <c r="C10742" s="1" t="s">
        <v>3638</v>
      </c>
      <c r="D10742" s="1" t="s">
        <v>3639</v>
      </c>
    </row>
    <row r="10743">
      <c r="A10743" s="1" t="s">
        <v>19762</v>
      </c>
      <c r="B10743" s="2" t="s">
        <v>19763</v>
      </c>
      <c r="C10743" s="1" t="s">
        <v>3638</v>
      </c>
      <c r="D10743" s="1" t="s">
        <v>3639</v>
      </c>
    </row>
    <row r="10744">
      <c r="A10744" s="1" t="s">
        <v>19764</v>
      </c>
      <c r="B10744" s="2" t="s">
        <v>19765</v>
      </c>
      <c r="C10744" s="1" t="s">
        <v>3638</v>
      </c>
      <c r="D10744" s="1" t="s">
        <v>3639</v>
      </c>
    </row>
    <row r="10745">
      <c r="A10745" s="1" t="s">
        <v>19766</v>
      </c>
      <c r="B10745" s="2" t="s">
        <v>19767</v>
      </c>
      <c r="C10745" s="1" t="s">
        <v>3638</v>
      </c>
      <c r="D10745" s="1" t="s">
        <v>3639</v>
      </c>
    </row>
    <row r="10746">
      <c r="A10746" s="1" t="s">
        <v>19768</v>
      </c>
      <c r="B10746" s="2" t="s">
        <v>19769</v>
      </c>
      <c r="C10746" s="1" t="s">
        <v>3638</v>
      </c>
      <c r="D10746" s="1" t="s">
        <v>3639</v>
      </c>
    </row>
    <row r="10747">
      <c r="A10747" s="1" t="s">
        <v>19770</v>
      </c>
      <c r="B10747" s="2" t="s">
        <v>19771</v>
      </c>
      <c r="C10747" s="1" t="s">
        <v>3638</v>
      </c>
      <c r="D10747" s="1" t="s">
        <v>3639</v>
      </c>
    </row>
    <row r="10748">
      <c r="A10748" s="1" t="s">
        <v>19772</v>
      </c>
      <c r="B10748" s="2" t="s">
        <v>19773</v>
      </c>
      <c r="C10748" s="1" t="s">
        <v>3638</v>
      </c>
      <c r="D10748" s="1" t="s">
        <v>3639</v>
      </c>
    </row>
    <row r="10749">
      <c r="A10749" s="1" t="s">
        <v>19774</v>
      </c>
      <c r="B10749" s="2" t="s">
        <v>19775</v>
      </c>
      <c r="C10749" s="1" t="s">
        <v>3638</v>
      </c>
      <c r="D10749" s="1" t="s">
        <v>3639</v>
      </c>
    </row>
    <row r="10750">
      <c r="A10750" s="1" t="s">
        <v>19776</v>
      </c>
      <c r="B10750" s="2" t="s">
        <v>19777</v>
      </c>
      <c r="C10750" s="1" t="s">
        <v>3638</v>
      </c>
      <c r="D10750" s="1" t="s">
        <v>3639</v>
      </c>
    </row>
    <row r="10751">
      <c r="A10751" s="1" t="s">
        <v>19778</v>
      </c>
      <c r="B10751" s="2" t="s">
        <v>19779</v>
      </c>
      <c r="C10751" s="1" t="s">
        <v>3638</v>
      </c>
      <c r="D10751" s="1" t="s">
        <v>3639</v>
      </c>
    </row>
    <row r="10752">
      <c r="A10752" s="1" t="s">
        <v>19780</v>
      </c>
      <c r="B10752" s="2" t="s">
        <v>19781</v>
      </c>
      <c r="C10752" s="1" t="s">
        <v>3638</v>
      </c>
      <c r="D10752" s="1" t="s">
        <v>3639</v>
      </c>
    </row>
    <row r="10753">
      <c r="A10753" s="1" t="s">
        <v>19782</v>
      </c>
      <c r="B10753" s="2" t="s">
        <v>19783</v>
      </c>
      <c r="C10753" s="1" t="s">
        <v>3638</v>
      </c>
      <c r="D10753" s="1" t="s">
        <v>3639</v>
      </c>
    </row>
    <row r="10754">
      <c r="A10754" s="1" t="s">
        <v>19784</v>
      </c>
      <c r="B10754" s="2" t="s">
        <v>19785</v>
      </c>
      <c r="C10754" s="1" t="s">
        <v>3638</v>
      </c>
      <c r="D10754" s="1" t="s">
        <v>3639</v>
      </c>
    </row>
    <row r="10755">
      <c r="A10755" s="1" t="s">
        <v>19786</v>
      </c>
      <c r="B10755" s="2" t="s">
        <v>19787</v>
      </c>
      <c r="C10755" s="1" t="s">
        <v>3638</v>
      </c>
      <c r="D10755" s="1" t="s">
        <v>3639</v>
      </c>
    </row>
    <row r="10756">
      <c r="A10756" s="1" t="s">
        <v>19788</v>
      </c>
      <c r="B10756" s="2" t="s">
        <v>19789</v>
      </c>
      <c r="C10756" s="1" t="s">
        <v>3638</v>
      </c>
      <c r="D10756" s="1" t="s">
        <v>3639</v>
      </c>
    </row>
    <row r="10757">
      <c r="A10757" s="1" t="s">
        <v>19790</v>
      </c>
      <c r="B10757" s="2" t="s">
        <v>19791</v>
      </c>
      <c r="C10757" s="1" t="s">
        <v>3638</v>
      </c>
      <c r="D10757" s="1" t="s">
        <v>3639</v>
      </c>
    </row>
    <row r="10758">
      <c r="A10758" s="1" t="s">
        <v>19792</v>
      </c>
      <c r="B10758" s="2" t="s">
        <v>19793</v>
      </c>
      <c r="C10758" s="1" t="s">
        <v>3638</v>
      </c>
      <c r="D10758" s="1" t="s">
        <v>3639</v>
      </c>
    </row>
    <row r="10759">
      <c r="A10759" s="1" t="s">
        <v>19794</v>
      </c>
      <c r="B10759" s="2" t="s">
        <v>19795</v>
      </c>
      <c r="C10759" s="1" t="s">
        <v>3638</v>
      </c>
      <c r="D10759" s="1" t="s">
        <v>3639</v>
      </c>
    </row>
    <row r="10760">
      <c r="A10760" s="1" t="s">
        <v>19796</v>
      </c>
      <c r="B10760" s="2" t="s">
        <v>19797</v>
      </c>
      <c r="C10760" s="1" t="s">
        <v>3638</v>
      </c>
      <c r="D10760" s="1" t="s">
        <v>3639</v>
      </c>
    </row>
    <row r="10761">
      <c r="A10761" s="1" t="s">
        <v>19798</v>
      </c>
      <c r="B10761" s="2" t="s">
        <v>19799</v>
      </c>
      <c r="C10761" s="1" t="s">
        <v>3638</v>
      </c>
      <c r="D10761" s="1" t="s">
        <v>3639</v>
      </c>
    </row>
    <row r="10762">
      <c r="A10762" s="1" t="s">
        <v>19800</v>
      </c>
      <c r="B10762" s="2" t="s">
        <v>19801</v>
      </c>
      <c r="C10762" s="1" t="s">
        <v>3638</v>
      </c>
      <c r="D10762" s="1" t="s">
        <v>3639</v>
      </c>
    </row>
    <row r="10763">
      <c r="A10763" s="1" t="s">
        <v>19802</v>
      </c>
      <c r="B10763" s="2" t="s">
        <v>19803</v>
      </c>
      <c r="C10763" s="1" t="s">
        <v>3638</v>
      </c>
      <c r="D10763" s="1" t="s">
        <v>3639</v>
      </c>
    </row>
    <row r="10764">
      <c r="A10764" s="1" t="s">
        <v>19804</v>
      </c>
      <c r="B10764" s="2" t="s">
        <v>19805</v>
      </c>
      <c r="C10764" s="1" t="s">
        <v>3638</v>
      </c>
      <c r="D10764" s="1" t="s">
        <v>3639</v>
      </c>
    </row>
    <row r="10765">
      <c r="A10765" s="1" t="s">
        <v>19806</v>
      </c>
      <c r="B10765" s="2" t="s">
        <v>19807</v>
      </c>
      <c r="C10765" s="1" t="s">
        <v>3638</v>
      </c>
      <c r="D10765" s="1" t="s">
        <v>3639</v>
      </c>
    </row>
    <row r="10766">
      <c r="A10766" s="1" t="s">
        <v>19808</v>
      </c>
      <c r="B10766" s="2" t="s">
        <v>19809</v>
      </c>
      <c r="C10766" s="1" t="s">
        <v>3638</v>
      </c>
      <c r="D10766" s="1" t="s">
        <v>3639</v>
      </c>
    </row>
    <row r="10767">
      <c r="A10767" s="1" t="s">
        <v>19810</v>
      </c>
      <c r="B10767" s="2" t="s">
        <v>19811</v>
      </c>
      <c r="C10767" s="1" t="s">
        <v>3638</v>
      </c>
      <c r="D10767" s="1" t="s">
        <v>3639</v>
      </c>
    </row>
    <row r="10768">
      <c r="A10768" s="1" t="s">
        <v>19812</v>
      </c>
      <c r="B10768" s="2" t="s">
        <v>19813</v>
      </c>
      <c r="C10768" s="1" t="s">
        <v>3638</v>
      </c>
      <c r="D10768" s="1" t="s">
        <v>3639</v>
      </c>
    </row>
    <row r="10769">
      <c r="A10769" s="1" t="s">
        <v>19814</v>
      </c>
      <c r="B10769" s="2" t="s">
        <v>19815</v>
      </c>
      <c r="C10769" s="1" t="s">
        <v>3638</v>
      </c>
      <c r="D10769" s="1" t="s">
        <v>3639</v>
      </c>
    </row>
    <row r="10770">
      <c r="A10770" s="1" t="s">
        <v>19816</v>
      </c>
      <c r="B10770" s="2" t="s">
        <v>19817</v>
      </c>
      <c r="C10770" s="1" t="s">
        <v>3638</v>
      </c>
      <c r="D10770" s="1" t="s">
        <v>3639</v>
      </c>
    </row>
    <row r="10771">
      <c r="A10771" s="1" t="s">
        <v>19818</v>
      </c>
      <c r="B10771" s="2" t="s">
        <v>19819</v>
      </c>
      <c r="C10771" s="1" t="s">
        <v>3638</v>
      </c>
      <c r="D10771" s="1" t="s">
        <v>3639</v>
      </c>
    </row>
    <row r="10772">
      <c r="A10772" s="1" t="s">
        <v>19820</v>
      </c>
      <c r="B10772" s="2" t="s">
        <v>19821</v>
      </c>
      <c r="C10772" s="1" t="s">
        <v>3638</v>
      </c>
      <c r="D10772" s="1" t="s">
        <v>3639</v>
      </c>
    </row>
    <row r="10773">
      <c r="A10773" s="1" t="s">
        <v>19822</v>
      </c>
      <c r="B10773" s="2" t="s">
        <v>19823</v>
      </c>
      <c r="C10773" s="1" t="s">
        <v>3638</v>
      </c>
      <c r="D10773" s="1" t="s">
        <v>3639</v>
      </c>
    </row>
    <row r="10774">
      <c r="A10774" s="1" t="s">
        <v>19824</v>
      </c>
      <c r="B10774" s="2" t="s">
        <v>19825</v>
      </c>
      <c r="C10774" s="1" t="s">
        <v>3638</v>
      </c>
      <c r="D10774" s="1" t="s">
        <v>3639</v>
      </c>
    </row>
    <row r="10775">
      <c r="A10775" s="1" t="s">
        <v>19826</v>
      </c>
      <c r="B10775" s="2" t="s">
        <v>19827</v>
      </c>
      <c r="C10775" s="1" t="s">
        <v>3638</v>
      </c>
      <c r="D10775" s="1" t="s">
        <v>3639</v>
      </c>
    </row>
    <row r="10776">
      <c r="A10776" s="1" t="s">
        <v>19828</v>
      </c>
      <c r="B10776" s="2" t="s">
        <v>19829</v>
      </c>
      <c r="C10776" s="1" t="s">
        <v>3638</v>
      </c>
      <c r="D10776" s="1" t="s">
        <v>3639</v>
      </c>
    </row>
    <row r="10777">
      <c r="A10777" s="1" t="s">
        <v>19830</v>
      </c>
      <c r="B10777" s="2" t="s">
        <v>19831</v>
      </c>
      <c r="C10777" s="1" t="s">
        <v>3638</v>
      </c>
      <c r="D10777" s="1" t="s">
        <v>3639</v>
      </c>
    </row>
    <row r="10778">
      <c r="A10778" s="1" t="s">
        <v>19832</v>
      </c>
      <c r="B10778" s="2" t="s">
        <v>19833</v>
      </c>
      <c r="C10778" s="1" t="s">
        <v>3638</v>
      </c>
      <c r="D10778" s="1" t="s">
        <v>3639</v>
      </c>
    </row>
    <row r="10779">
      <c r="A10779" s="1" t="s">
        <v>19834</v>
      </c>
      <c r="B10779" s="2" t="s">
        <v>19835</v>
      </c>
      <c r="C10779" s="1" t="s">
        <v>3638</v>
      </c>
      <c r="D10779" s="1" t="s">
        <v>3639</v>
      </c>
    </row>
    <row r="10780">
      <c r="A10780" s="1" t="s">
        <v>19836</v>
      </c>
      <c r="B10780" s="2" t="s">
        <v>19837</v>
      </c>
      <c r="C10780" s="1" t="s">
        <v>3638</v>
      </c>
      <c r="D10780" s="1" t="s">
        <v>3639</v>
      </c>
    </row>
    <row r="10781">
      <c r="A10781" s="1" t="s">
        <v>19838</v>
      </c>
      <c r="B10781" s="2" t="s">
        <v>19839</v>
      </c>
      <c r="C10781" s="1" t="s">
        <v>3638</v>
      </c>
      <c r="D10781" s="1" t="s">
        <v>3639</v>
      </c>
    </row>
    <row r="10782">
      <c r="A10782" s="1" t="s">
        <v>19840</v>
      </c>
      <c r="B10782" s="2" t="s">
        <v>19841</v>
      </c>
      <c r="C10782" s="1" t="s">
        <v>3638</v>
      </c>
      <c r="D10782" s="1" t="s">
        <v>3639</v>
      </c>
    </row>
    <row r="10783">
      <c r="A10783" s="1" t="s">
        <v>19842</v>
      </c>
      <c r="B10783" s="2" t="s">
        <v>19843</v>
      </c>
      <c r="C10783" s="1" t="s">
        <v>3638</v>
      </c>
      <c r="D10783" s="1" t="s">
        <v>3639</v>
      </c>
    </row>
    <row r="10784">
      <c r="A10784" s="1" t="s">
        <v>19844</v>
      </c>
      <c r="B10784" s="2" t="s">
        <v>19845</v>
      </c>
      <c r="C10784" s="1" t="s">
        <v>3638</v>
      </c>
      <c r="D10784" s="1" t="s">
        <v>3639</v>
      </c>
    </row>
    <row r="10785">
      <c r="A10785" s="1" t="s">
        <v>19846</v>
      </c>
      <c r="B10785" s="2" t="s">
        <v>19847</v>
      </c>
      <c r="C10785" s="1" t="s">
        <v>3638</v>
      </c>
      <c r="D10785" s="1" t="s">
        <v>3639</v>
      </c>
    </row>
    <row r="10786">
      <c r="A10786" s="1" t="s">
        <v>19848</v>
      </c>
      <c r="B10786" s="2" t="s">
        <v>19849</v>
      </c>
      <c r="C10786" s="1" t="s">
        <v>3638</v>
      </c>
      <c r="D10786" s="1" t="s">
        <v>3639</v>
      </c>
    </row>
    <row r="10787">
      <c r="A10787" s="1" t="s">
        <v>19850</v>
      </c>
      <c r="B10787" s="2" t="s">
        <v>19851</v>
      </c>
      <c r="C10787" s="1" t="s">
        <v>3638</v>
      </c>
      <c r="D10787" s="1" t="s">
        <v>3639</v>
      </c>
    </row>
    <row r="10788">
      <c r="A10788" s="1" t="s">
        <v>19852</v>
      </c>
      <c r="B10788" s="2" t="s">
        <v>19853</v>
      </c>
      <c r="C10788" s="1" t="s">
        <v>3638</v>
      </c>
      <c r="D10788" s="1" t="s">
        <v>3639</v>
      </c>
    </row>
    <row r="10789">
      <c r="A10789" s="1" t="s">
        <v>19854</v>
      </c>
      <c r="B10789" s="2" t="s">
        <v>19855</v>
      </c>
      <c r="C10789" s="1" t="s">
        <v>3638</v>
      </c>
      <c r="D10789" s="1" t="s">
        <v>3639</v>
      </c>
    </row>
    <row r="10790">
      <c r="A10790" s="1" t="s">
        <v>19856</v>
      </c>
      <c r="B10790" s="2" t="s">
        <v>19857</v>
      </c>
      <c r="C10790" s="1" t="s">
        <v>3638</v>
      </c>
      <c r="D10790" s="1" t="s">
        <v>3639</v>
      </c>
    </row>
    <row r="10791">
      <c r="A10791" s="1" t="s">
        <v>19858</v>
      </c>
      <c r="B10791" s="2" t="s">
        <v>19859</v>
      </c>
      <c r="C10791" s="1" t="s">
        <v>3638</v>
      </c>
      <c r="D10791" s="1" t="s">
        <v>3639</v>
      </c>
    </row>
    <row r="10792">
      <c r="A10792" s="1" t="s">
        <v>19860</v>
      </c>
      <c r="B10792" s="2" t="s">
        <v>19861</v>
      </c>
      <c r="C10792" s="1" t="s">
        <v>3638</v>
      </c>
      <c r="D10792" s="1" t="s">
        <v>3639</v>
      </c>
    </row>
    <row r="10793">
      <c r="A10793" s="1" t="s">
        <v>19862</v>
      </c>
      <c r="B10793" s="2" t="s">
        <v>19863</v>
      </c>
      <c r="C10793" s="1" t="s">
        <v>3638</v>
      </c>
      <c r="D10793" s="1" t="s">
        <v>3639</v>
      </c>
    </row>
    <row r="10794">
      <c r="A10794" s="1" t="s">
        <v>19864</v>
      </c>
      <c r="B10794" s="2" t="s">
        <v>19865</v>
      </c>
      <c r="C10794" s="1" t="s">
        <v>3638</v>
      </c>
      <c r="D10794" s="1" t="s">
        <v>3639</v>
      </c>
    </row>
    <row r="10795">
      <c r="A10795" s="1" t="s">
        <v>19866</v>
      </c>
      <c r="B10795" s="2" t="s">
        <v>19867</v>
      </c>
      <c r="C10795" s="1" t="s">
        <v>3638</v>
      </c>
      <c r="D10795" s="1" t="s">
        <v>3639</v>
      </c>
    </row>
    <row r="10796">
      <c r="A10796" s="1" t="s">
        <v>19868</v>
      </c>
      <c r="B10796" s="2" t="s">
        <v>19869</v>
      </c>
      <c r="C10796" s="1" t="s">
        <v>3638</v>
      </c>
      <c r="D10796" s="1" t="s">
        <v>3639</v>
      </c>
    </row>
    <row r="10797">
      <c r="A10797" s="1" t="s">
        <v>19870</v>
      </c>
      <c r="B10797" s="2" t="s">
        <v>19871</v>
      </c>
      <c r="C10797" s="1" t="s">
        <v>3638</v>
      </c>
      <c r="D10797" s="1" t="s">
        <v>3639</v>
      </c>
    </row>
    <row r="10798">
      <c r="A10798" s="1" t="s">
        <v>3641</v>
      </c>
      <c r="B10798" s="2" t="s">
        <v>7</v>
      </c>
      <c r="C10798" s="1" t="s">
        <v>3642</v>
      </c>
      <c r="D10798" s="1" t="s">
        <v>3643</v>
      </c>
    </row>
    <row r="10799">
      <c r="A10799" s="1" t="s">
        <v>19872</v>
      </c>
      <c r="B10799" s="2" t="s">
        <v>13984</v>
      </c>
      <c r="C10799" s="1" t="s">
        <v>3642</v>
      </c>
      <c r="D10799" s="1" t="s">
        <v>3643</v>
      </c>
    </row>
    <row r="10800">
      <c r="A10800" s="1" t="s">
        <v>19873</v>
      </c>
      <c r="B10800" s="2" t="s">
        <v>18478</v>
      </c>
      <c r="C10800" s="1" t="s">
        <v>3642</v>
      </c>
      <c r="D10800" s="1" t="s">
        <v>3643</v>
      </c>
    </row>
    <row r="10801">
      <c r="A10801" s="1" t="s">
        <v>19874</v>
      </c>
      <c r="B10801" s="2" t="s">
        <v>19875</v>
      </c>
      <c r="C10801" s="1" t="s">
        <v>3642</v>
      </c>
      <c r="D10801" s="1" t="s">
        <v>3643</v>
      </c>
    </row>
    <row r="10802">
      <c r="A10802" s="1" t="s">
        <v>19876</v>
      </c>
      <c r="B10802" s="2" t="s">
        <v>19877</v>
      </c>
      <c r="C10802" s="1" t="s">
        <v>3642</v>
      </c>
      <c r="D10802" s="1" t="s">
        <v>3643</v>
      </c>
    </row>
    <row r="10803">
      <c r="A10803" s="1" t="s">
        <v>19878</v>
      </c>
      <c r="B10803" s="2" t="s">
        <v>19879</v>
      </c>
      <c r="C10803" s="1" t="s">
        <v>3642</v>
      </c>
      <c r="D10803" s="1" t="s">
        <v>3643</v>
      </c>
    </row>
    <row r="10804">
      <c r="A10804" s="1" t="s">
        <v>19880</v>
      </c>
      <c r="B10804" s="2" t="s">
        <v>19881</v>
      </c>
      <c r="C10804" s="1" t="s">
        <v>3642</v>
      </c>
      <c r="D10804" s="1" t="s">
        <v>3643</v>
      </c>
    </row>
    <row r="10805">
      <c r="A10805" s="1" t="s">
        <v>19882</v>
      </c>
      <c r="B10805" s="2" t="s">
        <v>18933</v>
      </c>
      <c r="C10805" s="1" t="s">
        <v>3642</v>
      </c>
      <c r="D10805" s="1" t="s">
        <v>3643</v>
      </c>
    </row>
    <row r="10806">
      <c r="A10806" s="1" t="s">
        <v>19883</v>
      </c>
      <c r="B10806" s="2" t="s">
        <v>18935</v>
      </c>
      <c r="C10806" s="1" t="s">
        <v>3642</v>
      </c>
      <c r="D10806" s="1" t="s">
        <v>3643</v>
      </c>
    </row>
    <row r="10807">
      <c r="A10807" s="1" t="s">
        <v>19884</v>
      </c>
      <c r="B10807" s="2" t="s">
        <v>19885</v>
      </c>
      <c r="C10807" s="1" t="s">
        <v>3642</v>
      </c>
      <c r="D10807" s="1" t="s">
        <v>3643</v>
      </c>
    </row>
    <row r="10808">
      <c r="A10808" s="1" t="s">
        <v>19886</v>
      </c>
      <c r="B10808" s="2" t="s">
        <v>19887</v>
      </c>
      <c r="C10808" s="1" t="s">
        <v>3642</v>
      </c>
      <c r="D10808" s="1" t="s">
        <v>3643</v>
      </c>
    </row>
    <row r="10809">
      <c r="A10809" s="1" t="s">
        <v>19888</v>
      </c>
      <c r="B10809" s="2" t="s">
        <v>19889</v>
      </c>
      <c r="C10809" s="1" t="s">
        <v>3642</v>
      </c>
      <c r="D10809" s="1" t="s">
        <v>3643</v>
      </c>
    </row>
    <row r="10810">
      <c r="A10810" s="1" t="s">
        <v>19890</v>
      </c>
      <c r="B10810" s="2" t="s">
        <v>19891</v>
      </c>
      <c r="C10810" s="1" t="s">
        <v>3642</v>
      </c>
      <c r="D10810" s="1" t="s">
        <v>3643</v>
      </c>
    </row>
    <row r="10811">
      <c r="A10811" s="1" t="s">
        <v>19892</v>
      </c>
      <c r="B10811" s="2" t="s">
        <v>18945</v>
      </c>
      <c r="C10811" s="1" t="s">
        <v>3642</v>
      </c>
      <c r="D10811" s="1" t="s">
        <v>3643</v>
      </c>
    </row>
    <row r="10812">
      <c r="A10812" s="1" t="s">
        <v>19893</v>
      </c>
      <c r="B10812" s="2" t="s">
        <v>19894</v>
      </c>
      <c r="C10812" s="1" t="s">
        <v>3642</v>
      </c>
      <c r="D10812" s="1" t="s">
        <v>3643</v>
      </c>
    </row>
    <row r="10813">
      <c r="A10813" s="1" t="s">
        <v>19895</v>
      </c>
      <c r="B10813" s="2" t="s">
        <v>19896</v>
      </c>
      <c r="C10813" s="1" t="s">
        <v>3642</v>
      </c>
      <c r="D10813" s="1" t="s">
        <v>3643</v>
      </c>
    </row>
    <row r="10814">
      <c r="A10814" s="1" t="s">
        <v>19897</v>
      </c>
      <c r="B10814" s="2" t="s">
        <v>19898</v>
      </c>
      <c r="C10814" s="1" t="s">
        <v>3642</v>
      </c>
      <c r="D10814" s="1" t="s">
        <v>3643</v>
      </c>
    </row>
    <row r="10815">
      <c r="A10815" s="1" t="s">
        <v>19899</v>
      </c>
      <c r="B10815" s="2" t="s">
        <v>19900</v>
      </c>
      <c r="C10815" s="1" t="s">
        <v>3642</v>
      </c>
      <c r="D10815" s="1" t="s">
        <v>3643</v>
      </c>
    </row>
    <row r="10816">
      <c r="A10816" s="1" t="s">
        <v>19901</v>
      </c>
      <c r="B10816" s="2" t="s">
        <v>13994</v>
      </c>
      <c r="C10816" s="1" t="s">
        <v>3642</v>
      </c>
      <c r="D10816" s="1" t="s">
        <v>3643</v>
      </c>
    </row>
    <row r="10817">
      <c r="A10817" s="1" t="s">
        <v>19902</v>
      </c>
      <c r="B10817" s="2" t="s">
        <v>18517</v>
      </c>
      <c r="C10817" s="1" t="s">
        <v>3642</v>
      </c>
      <c r="D10817" s="1" t="s">
        <v>3643</v>
      </c>
    </row>
    <row r="10818">
      <c r="A10818" s="1" t="s">
        <v>19903</v>
      </c>
      <c r="B10818" s="2" t="s">
        <v>19904</v>
      </c>
      <c r="C10818" s="1" t="s">
        <v>3642</v>
      </c>
      <c r="D10818" s="1" t="s">
        <v>3643</v>
      </c>
    </row>
    <row r="10819">
      <c r="A10819" s="1" t="s">
        <v>19905</v>
      </c>
      <c r="B10819" s="2" t="s">
        <v>19906</v>
      </c>
      <c r="C10819" s="1" t="s">
        <v>3642</v>
      </c>
      <c r="D10819" s="1" t="s">
        <v>3643</v>
      </c>
    </row>
    <row r="10820">
      <c r="A10820" s="1" t="s">
        <v>19907</v>
      </c>
      <c r="B10820" s="2" t="s">
        <v>19908</v>
      </c>
      <c r="C10820" s="1" t="s">
        <v>3642</v>
      </c>
      <c r="D10820" s="1" t="s">
        <v>3643</v>
      </c>
    </row>
    <row r="10821">
      <c r="A10821" s="1" t="s">
        <v>19909</v>
      </c>
      <c r="B10821" s="2" t="s">
        <v>19910</v>
      </c>
      <c r="C10821" s="1" t="s">
        <v>3642</v>
      </c>
      <c r="D10821" s="1" t="s">
        <v>3643</v>
      </c>
    </row>
    <row r="10822">
      <c r="A10822" s="1" t="s">
        <v>19911</v>
      </c>
      <c r="B10822" s="2" t="s">
        <v>18965</v>
      </c>
      <c r="C10822" s="1" t="s">
        <v>3642</v>
      </c>
      <c r="D10822" s="1" t="s">
        <v>3643</v>
      </c>
    </row>
    <row r="10823">
      <c r="A10823" s="1" t="s">
        <v>19912</v>
      </c>
      <c r="B10823" s="2" t="s">
        <v>18967</v>
      </c>
      <c r="C10823" s="1" t="s">
        <v>3642</v>
      </c>
      <c r="D10823" s="1" t="s">
        <v>3643</v>
      </c>
    </row>
    <row r="10824">
      <c r="A10824" s="1" t="s">
        <v>19913</v>
      </c>
      <c r="B10824" s="2" t="s">
        <v>19914</v>
      </c>
      <c r="C10824" s="1" t="s">
        <v>3642</v>
      </c>
      <c r="D10824" s="1" t="s">
        <v>3643</v>
      </c>
    </row>
    <row r="10825">
      <c r="A10825" s="1" t="s">
        <v>19915</v>
      </c>
      <c r="B10825" s="2" t="s">
        <v>19916</v>
      </c>
      <c r="C10825" s="1" t="s">
        <v>3642</v>
      </c>
      <c r="D10825" s="1" t="s">
        <v>3643</v>
      </c>
    </row>
    <row r="10826">
      <c r="A10826" s="1" t="s">
        <v>19917</v>
      </c>
      <c r="B10826" s="2" t="s">
        <v>19918</v>
      </c>
      <c r="C10826" s="1" t="s">
        <v>3642</v>
      </c>
      <c r="D10826" s="1" t="s">
        <v>3643</v>
      </c>
    </row>
    <row r="10827">
      <c r="A10827" s="1" t="s">
        <v>19919</v>
      </c>
      <c r="B10827" s="2" t="s">
        <v>19920</v>
      </c>
      <c r="C10827" s="1" t="s">
        <v>3642</v>
      </c>
      <c r="D10827" s="1" t="s">
        <v>3643</v>
      </c>
    </row>
    <row r="10828">
      <c r="A10828" s="1" t="s">
        <v>19921</v>
      </c>
      <c r="B10828" s="2" t="s">
        <v>18977</v>
      </c>
      <c r="C10828" s="1" t="s">
        <v>3642</v>
      </c>
      <c r="D10828" s="1" t="s">
        <v>3643</v>
      </c>
    </row>
    <row r="10829">
      <c r="A10829" s="1" t="s">
        <v>19922</v>
      </c>
      <c r="B10829" s="2" t="s">
        <v>19923</v>
      </c>
      <c r="C10829" s="1" t="s">
        <v>3642</v>
      </c>
      <c r="D10829" s="1" t="s">
        <v>3643</v>
      </c>
    </row>
    <row r="10830">
      <c r="A10830" s="1" t="s">
        <v>19924</v>
      </c>
      <c r="B10830" s="2" t="s">
        <v>19925</v>
      </c>
      <c r="C10830" s="1" t="s">
        <v>3642</v>
      </c>
      <c r="D10830" s="1" t="s">
        <v>3643</v>
      </c>
    </row>
    <row r="10831">
      <c r="A10831" s="1" t="s">
        <v>19926</v>
      </c>
      <c r="B10831" s="2" t="s">
        <v>19927</v>
      </c>
      <c r="C10831" s="1" t="s">
        <v>3642</v>
      </c>
      <c r="D10831" s="1" t="s">
        <v>3643</v>
      </c>
    </row>
    <row r="10832">
      <c r="A10832" s="1" t="s">
        <v>19928</v>
      </c>
      <c r="B10832" s="2" t="s">
        <v>19929</v>
      </c>
      <c r="C10832" s="1" t="s">
        <v>3642</v>
      </c>
      <c r="D10832" s="1" t="s">
        <v>3643</v>
      </c>
    </row>
    <row r="10833">
      <c r="A10833" s="1" t="s">
        <v>3646</v>
      </c>
      <c r="B10833" s="2" t="s">
        <v>7</v>
      </c>
      <c r="C10833" s="1" t="s">
        <v>3649</v>
      </c>
      <c r="D10833" s="1" t="s">
        <v>3650</v>
      </c>
    </row>
    <row r="10834">
      <c r="A10834" s="1" t="s">
        <v>19930</v>
      </c>
      <c r="B10834" s="2" t="s">
        <v>4662</v>
      </c>
      <c r="C10834" s="1" t="s">
        <v>3649</v>
      </c>
      <c r="D10834" s="1" t="s">
        <v>3650</v>
      </c>
    </row>
    <row r="10835">
      <c r="A10835" s="1" t="s">
        <v>19931</v>
      </c>
      <c r="B10835" s="2" t="s">
        <v>19932</v>
      </c>
      <c r="C10835" s="1" t="s">
        <v>3649</v>
      </c>
      <c r="D10835" s="1" t="s">
        <v>3650</v>
      </c>
    </row>
    <row r="10836">
      <c r="A10836" s="1" t="s">
        <v>19933</v>
      </c>
      <c r="B10836" s="2" t="s">
        <v>19934</v>
      </c>
      <c r="C10836" s="1" t="s">
        <v>3649</v>
      </c>
      <c r="D10836" s="1" t="s">
        <v>3650</v>
      </c>
    </row>
    <row r="10837">
      <c r="A10837" s="1" t="s">
        <v>19935</v>
      </c>
      <c r="B10837" s="2" t="s">
        <v>19936</v>
      </c>
      <c r="C10837" s="1" t="s">
        <v>3649</v>
      </c>
      <c r="D10837" s="1" t="s">
        <v>3650</v>
      </c>
    </row>
    <row r="10838">
      <c r="A10838" s="1" t="s">
        <v>19937</v>
      </c>
      <c r="B10838" s="2" t="s">
        <v>19938</v>
      </c>
      <c r="C10838" s="1" t="s">
        <v>3649</v>
      </c>
      <c r="D10838" s="1" t="s">
        <v>3650</v>
      </c>
    </row>
    <row r="10839">
      <c r="A10839" s="1" t="s">
        <v>19939</v>
      </c>
      <c r="B10839" s="2" t="s">
        <v>19940</v>
      </c>
      <c r="C10839" s="1" t="s">
        <v>3649</v>
      </c>
      <c r="D10839" s="1" t="s">
        <v>3650</v>
      </c>
    </row>
    <row r="10840">
      <c r="A10840" s="1" t="s">
        <v>19941</v>
      </c>
      <c r="B10840" s="2" t="s">
        <v>19942</v>
      </c>
      <c r="C10840" s="1" t="s">
        <v>3649</v>
      </c>
      <c r="D10840" s="1" t="s">
        <v>3650</v>
      </c>
    </row>
    <row r="10841">
      <c r="A10841" s="1" t="s">
        <v>19943</v>
      </c>
      <c r="B10841" s="2" t="s">
        <v>19944</v>
      </c>
      <c r="C10841" s="1" t="s">
        <v>3649</v>
      </c>
      <c r="D10841" s="1" t="s">
        <v>3650</v>
      </c>
    </row>
    <row r="10842">
      <c r="A10842" s="1" t="s">
        <v>19945</v>
      </c>
      <c r="B10842" s="2" t="s">
        <v>19946</v>
      </c>
      <c r="C10842" s="1" t="s">
        <v>3649</v>
      </c>
      <c r="D10842" s="1" t="s">
        <v>3650</v>
      </c>
    </row>
    <row r="10843">
      <c r="A10843" s="1" t="s">
        <v>19947</v>
      </c>
      <c r="B10843" s="2" t="s">
        <v>19948</v>
      </c>
      <c r="C10843" s="1" t="s">
        <v>3649</v>
      </c>
      <c r="D10843" s="1" t="s">
        <v>3650</v>
      </c>
    </row>
    <row r="10844">
      <c r="A10844" s="1" t="s">
        <v>19949</v>
      </c>
      <c r="B10844" s="2" t="s">
        <v>19950</v>
      </c>
      <c r="C10844" s="1" t="s">
        <v>3649</v>
      </c>
      <c r="D10844" s="1" t="s">
        <v>3650</v>
      </c>
    </row>
    <row r="10845">
      <c r="A10845" s="1" t="s">
        <v>19951</v>
      </c>
      <c r="B10845" s="2" t="s">
        <v>19952</v>
      </c>
      <c r="C10845" s="1" t="s">
        <v>3649</v>
      </c>
      <c r="D10845" s="1" t="s">
        <v>3650</v>
      </c>
    </row>
    <row r="10846">
      <c r="A10846" s="1" t="s">
        <v>19953</v>
      </c>
      <c r="B10846" s="2" t="s">
        <v>19954</v>
      </c>
      <c r="C10846" s="1" t="s">
        <v>3649</v>
      </c>
      <c r="D10846" s="1" t="s">
        <v>3650</v>
      </c>
    </row>
    <row r="10847">
      <c r="A10847" s="1" t="s">
        <v>19955</v>
      </c>
      <c r="B10847" s="2" t="s">
        <v>19956</v>
      </c>
      <c r="C10847" s="1" t="s">
        <v>3649</v>
      </c>
      <c r="D10847" s="1" t="s">
        <v>3650</v>
      </c>
    </row>
    <row r="10848">
      <c r="A10848" s="1" t="s">
        <v>19957</v>
      </c>
      <c r="B10848" s="2" t="s">
        <v>19958</v>
      </c>
      <c r="C10848" s="1" t="s">
        <v>3649</v>
      </c>
      <c r="D10848" s="1" t="s">
        <v>3650</v>
      </c>
    </row>
    <row r="10849">
      <c r="A10849" s="1" t="s">
        <v>19959</v>
      </c>
      <c r="B10849" s="2" t="s">
        <v>19960</v>
      </c>
      <c r="C10849" s="1" t="s">
        <v>3649</v>
      </c>
      <c r="D10849" s="1" t="s">
        <v>3650</v>
      </c>
    </row>
    <row r="10850">
      <c r="A10850" s="1" t="s">
        <v>19961</v>
      </c>
      <c r="B10850" s="2" t="s">
        <v>19962</v>
      </c>
      <c r="C10850" s="1" t="s">
        <v>3649</v>
      </c>
      <c r="D10850" s="1" t="s">
        <v>3650</v>
      </c>
    </row>
    <row r="10851">
      <c r="A10851" s="1" t="s">
        <v>19963</v>
      </c>
      <c r="B10851" s="2" t="s">
        <v>19964</v>
      </c>
      <c r="C10851" s="1" t="s">
        <v>3649</v>
      </c>
      <c r="D10851" s="1" t="s">
        <v>3650</v>
      </c>
    </row>
    <row r="10852">
      <c r="A10852" s="1" t="s">
        <v>19965</v>
      </c>
      <c r="B10852" s="2" t="s">
        <v>19966</v>
      </c>
      <c r="C10852" s="1" t="s">
        <v>3649</v>
      </c>
      <c r="D10852" s="1" t="s">
        <v>3650</v>
      </c>
    </row>
    <row r="10853">
      <c r="A10853" s="1" t="s">
        <v>19967</v>
      </c>
      <c r="B10853" s="2" t="s">
        <v>19968</v>
      </c>
      <c r="C10853" s="1" t="s">
        <v>3649</v>
      </c>
      <c r="D10853" s="1" t="s">
        <v>3650</v>
      </c>
    </row>
    <row r="10854">
      <c r="A10854" s="1" t="s">
        <v>19969</v>
      </c>
      <c r="B10854" s="2" t="s">
        <v>19970</v>
      </c>
      <c r="C10854" s="1" t="s">
        <v>3649</v>
      </c>
      <c r="D10854" s="1" t="s">
        <v>3650</v>
      </c>
    </row>
    <row r="10855">
      <c r="A10855" s="1" t="s">
        <v>19971</v>
      </c>
      <c r="B10855" s="2" t="s">
        <v>19972</v>
      </c>
      <c r="C10855" s="1" t="s">
        <v>3649</v>
      </c>
      <c r="D10855" s="1" t="s">
        <v>3650</v>
      </c>
    </row>
    <row r="10856">
      <c r="A10856" s="1" t="s">
        <v>19973</v>
      </c>
      <c r="B10856" s="2" t="s">
        <v>19974</v>
      </c>
      <c r="C10856" s="1" t="s">
        <v>3649</v>
      </c>
      <c r="D10856" s="1" t="s">
        <v>3650</v>
      </c>
    </row>
    <row r="10857">
      <c r="A10857" s="1" t="s">
        <v>19975</v>
      </c>
      <c r="B10857" s="2" t="s">
        <v>19976</v>
      </c>
      <c r="C10857" s="1" t="s">
        <v>3649</v>
      </c>
      <c r="D10857" s="1" t="s">
        <v>3650</v>
      </c>
    </row>
    <row r="10858">
      <c r="A10858" s="1" t="s">
        <v>19977</v>
      </c>
      <c r="B10858" s="2" t="s">
        <v>19978</v>
      </c>
      <c r="C10858" s="1" t="s">
        <v>3649</v>
      </c>
      <c r="D10858" s="1" t="s">
        <v>3650</v>
      </c>
    </row>
    <row r="10859">
      <c r="A10859" s="1" t="s">
        <v>19979</v>
      </c>
      <c r="B10859" s="2" t="s">
        <v>19980</v>
      </c>
      <c r="C10859" s="1" t="s">
        <v>3649</v>
      </c>
      <c r="D10859" s="1" t="s">
        <v>3650</v>
      </c>
    </row>
    <row r="10860">
      <c r="A10860" s="1" t="s">
        <v>19981</v>
      </c>
      <c r="B10860" s="2" t="s">
        <v>19982</v>
      </c>
      <c r="C10860" s="1" t="s">
        <v>3649</v>
      </c>
      <c r="D10860" s="1" t="s">
        <v>3650</v>
      </c>
    </row>
    <row r="10861">
      <c r="A10861" s="1" t="s">
        <v>19983</v>
      </c>
      <c r="B10861" s="2" t="s">
        <v>19984</v>
      </c>
      <c r="C10861" s="1" t="s">
        <v>3649</v>
      </c>
      <c r="D10861" s="1" t="s">
        <v>3650</v>
      </c>
    </row>
    <row r="10862">
      <c r="A10862" s="1" t="s">
        <v>19985</v>
      </c>
      <c r="B10862" s="2" t="s">
        <v>19986</v>
      </c>
      <c r="C10862" s="1" t="s">
        <v>3649</v>
      </c>
      <c r="D10862" s="1" t="s">
        <v>3650</v>
      </c>
    </row>
    <row r="10863">
      <c r="A10863" s="1" t="s">
        <v>19987</v>
      </c>
      <c r="B10863" s="2" t="s">
        <v>19988</v>
      </c>
      <c r="C10863" s="1" t="s">
        <v>3649</v>
      </c>
      <c r="D10863" s="1" t="s">
        <v>3650</v>
      </c>
    </row>
    <row r="10864">
      <c r="A10864" s="1" t="s">
        <v>19989</v>
      </c>
      <c r="B10864" s="2" t="s">
        <v>19990</v>
      </c>
      <c r="C10864" s="1" t="s">
        <v>3649</v>
      </c>
      <c r="D10864" s="1" t="s">
        <v>3650</v>
      </c>
    </row>
    <row r="10865">
      <c r="A10865" s="1" t="s">
        <v>19991</v>
      </c>
      <c r="B10865" s="2" t="s">
        <v>19992</v>
      </c>
      <c r="C10865" s="1" t="s">
        <v>3649</v>
      </c>
      <c r="D10865" s="1" t="s">
        <v>3650</v>
      </c>
    </row>
    <row r="10866">
      <c r="A10866" s="1" t="s">
        <v>19993</v>
      </c>
      <c r="B10866" s="2" t="s">
        <v>19994</v>
      </c>
      <c r="C10866" s="1" t="s">
        <v>3649</v>
      </c>
      <c r="D10866" s="1" t="s">
        <v>3650</v>
      </c>
    </row>
    <row r="10867">
      <c r="A10867" s="1" t="s">
        <v>19995</v>
      </c>
      <c r="B10867" s="2" t="s">
        <v>19996</v>
      </c>
      <c r="C10867" s="1" t="s">
        <v>3649</v>
      </c>
      <c r="D10867" s="1" t="s">
        <v>3650</v>
      </c>
    </row>
    <row r="10868">
      <c r="A10868" s="1" t="s">
        <v>19997</v>
      </c>
      <c r="B10868" s="2" t="s">
        <v>19998</v>
      </c>
      <c r="C10868" s="1" t="s">
        <v>3649</v>
      </c>
      <c r="D10868" s="1" t="s">
        <v>3650</v>
      </c>
    </row>
    <row r="10869">
      <c r="A10869" s="1" t="s">
        <v>19999</v>
      </c>
      <c r="B10869" s="2" t="s">
        <v>20000</v>
      </c>
      <c r="C10869" s="1" t="s">
        <v>3649</v>
      </c>
      <c r="D10869" s="1" t="s">
        <v>3650</v>
      </c>
    </row>
    <row r="10870">
      <c r="A10870" s="1" t="s">
        <v>20001</v>
      </c>
      <c r="B10870" s="2" t="s">
        <v>20002</v>
      </c>
      <c r="C10870" s="1" t="s">
        <v>3649</v>
      </c>
      <c r="D10870" s="1" t="s">
        <v>3650</v>
      </c>
    </row>
    <row r="10871">
      <c r="A10871" s="1" t="s">
        <v>20003</v>
      </c>
      <c r="B10871" s="2" t="s">
        <v>20004</v>
      </c>
      <c r="C10871" s="1" t="s">
        <v>3649</v>
      </c>
      <c r="D10871" s="1" t="s">
        <v>3650</v>
      </c>
    </row>
    <row r="10872">
      <c r="A10872" s="1" t="s">
        <v>20005</v>
      </c>
      <c r="B10872" s="2" t="s">
        <v>20006</v>
      </c>
      <c r="C10872" s="1" t="s">
        <v>3649</v>
      </c>
      <c r="D10872" s="1" t="s">
        <v>3650</v>
      </c>
    </row>
    <row r="10873">
      <c r="A10873" s="1" t="s">
        <v>20007</v>
      </c>
      <c r="B10873" s="2" t="s">
        <v>20008</v>
      </c>
      <c r="C10873" s="1" t="s">
        <v>3649</v>
      </c>
      <c r="D10873" s="1" t="s">
        <v>3650</v>
      </c>
    </row>
    <row r="10874">
      <c r="A10874" s="1" t="s">
        <v>20009</v>
      </c>
      <c r="B10874" s="2" t="s">
        <v>20010</v>
      </c>
      <c r="C10874" s="1" t="s">
        <v>3649</v>
      </c>
      <c r="D10874" s="1" t="s">
        <v>3650</v>
      </c>
    </row>
    <row r="10875">
      <c r="A10875" s="1" t="s">
        <v>20011</v>
      </c>
      <c r="B10875" s="2" t="s">
        <v>20012</v>
      </c>
      <c r="C10875" s="1" t="s">
        <v>3649</v>
      </c>
      <c r="D10875" s="1" t="s">
        <v>3650</v>
      </c>
    </row>
    <row r="10876">
      <c r="A10876" s="1" t="s">
        <v>20013</v>
      </c>
      <c r="B10876" s="2" t="s">
        <v>20014</v>
      </c>
      <c r="C10876" s="1" t="s">
        <v>3649</v>
      </c>
      <c r="D10876" s="1" t="s">
        <v>3650</v>
      </c>
    </row>
    <row r="10877">
      <c r="A10877" s="1" t="s">
        <v>20015</v>
      </c>
      <c r="B10877" s="2" t="s">
        <v>20016</v>
      </c>
      <c r="C10877" s="1" t="s">
        <v>3649</v>
      </c>
      <c r="D10877" s="1" t="s">
        <v>3650</v>
      </c>
    </row>
    <row r="10878">
      <c r="A10878" s="1" t="s">
        <v>20017</v>
      </c>
      <c r="B10878" s="2" t="s">
        <v>20018</v>
      </c>
      <c r="C10878" s="1" t="s">
        <v>3649</v>
      </c>
      <c r="D10878" s="1" t="s">
        <v>3650</v>
      </c>
    </row>
    <row r="10879">
      <c r="A10879" s="1" t="s">
        <v>20019</v>
      </c>
      <c r="B10879" s="2" t="s">
        <v>20020</v>
      </c>
      <c r="C10879" s="1" t="s">
        <v>3649</v>
      </c>
      <c r="D10879" s="1" t="s">
        <v>3650</v>
      </c>
    </row>
    <row r="10880">
      <c r="A10880" s="1" t="s">
        <v>20021</v>
      </c>
      <c r="B10880" s="2" t="s">
        <v>20022</v>
      </c>
      <c r="C10880" s="1" t="s">
        <v>3649</v>
      </c>
      <c r="D10880" s="1" t="s">
        <v>3650</v>
      </c>
    </row>
    <row r="10881">
      <c r="A10881" s="1" t="s">
        <v>20023</v>
      </c>
      <c r="B10881" s="2" t="s">
        <v>20024</v>
      </c>
      <c r="C10881" s="1" t="s">
        <v>3649</v>
      </c>
      <c r="D10881" s="1" t="s">
        <v>3650</v>
      </c>
    </row>
    <row r="10882">
      <c r="A10882" s="1" t="s">
        <v>20025</v>
      </c>
      <c r="B10882" s="2" t="s">
        <v>20026</v>
      </c>
      <c r="C10882" s="1" t="s">
        <v>3649</v>
      </c>
      <c r="D10882" s="1" t="s">
        <v>3650</v>
      </c>
    </row>
    <row r="10883">
      <c r="A10883" s="1" t="s">
        <v>20027</v>
      </c>
      <c r="B10883" s="2" t="s">
        <v>20028</v>
      </c>
      <c r="C10883" s="1" t="s">
        <v>3649</v>
      </c>
      <c r="D10883" s="1" t="s">
        <v>3650</v>
      </c>
    </row>
    <row r="10884">
      <c r="A10884" s="1" t="s">
        <v>20029</v>
      </c>
      <c r="B10884" s="2" t="s">
        <v>20030</v>
      </c>
      <c r="C10884" s="1" t="s">
        <v>3649</v>
      </c>
      <c r="D10884" s="1" t="s">
        <v>3650</v>
      </c>
    </row>
    <row r="10885">
      <c r="A10885" s="1" t="s">
        <v>20031</v>
      </c>
      <c r="B10885" s="2" t="s">
        <v>20032</v>
      </c>
      <c r="C10885" s="1" t="s">
        <v>3649</v>
      </c>
      <c r="D10885" s="1" t="s">
        <v>3650</v>
      </c>
    </row>
    <row r="10886">
      <c r="A10886" s="1" t="s">
        <v>20033</v>
      </c>
      <c r="B10886" s="2" t="s">
        <v>20034</v>
      </c>
      <c r="C10886" s="1" t="s">
        <v>3649</v>
      </c>
      <c r="D10886" s="1" t="s">
        <v>3650</v>
      </c>
    </row>
    <row r="10887">
      <c r="A10887" s="1" t="s">
        <v>20035</v>
      </c>
      <c r="B10887" s="2" t="s">
        <v>20036</v>
      </c>
      <c r="C10887" s="1" t="s">
        <v>3649</v>
      </c>
      <c r="D10887" s="1" t="s">
        <v>3650</v>
      </c>
    </row>
    <row r="10888">
      <c r="A10888" s="1" t="s">
        <v>20037</v>
      </c>
      <c r="B10888" s="2" t="s">
        <v>20038</v>
      </c>
      <c r="C10888" s="1" t="s">
        <v>3649</v>
      </c>
      <c r="D10888" s="1" t="s">
        <v>3650</v>
      </c>
    </row>
    <row r="10889">
      <c r="A10889" s="1" t="s">
        <v>20039</v>
      </c>
      <c r="B10889" s="2" t="s">
        <v>20040</v>
      </c>
      <c r="C10889" s="1" t="s">
        <v>3649</v>
      </c>
      <c r="D10889" s="1" t="s">
        <v>3650</v>
      </c>
    </row>
    <row r="10890">
      <c r="A10890" s="1" t="s">
        <v>20041</v>
      </c>
      <c r="B10890" s="2" t="s">
        <v>20042</v>
      </c>
      <c r="C10890" s="1" t="s">
        <v>3649</v>
      </c>
      <c r="D10890" s="1" t="s">
        <v>3650</v>
      </c>
    </row>
    <row r="10891">
      <c r="A10891" s="1" t="s">
        <v>20043</v>
      </c>
      <c r="B10891" s="2" t="s">
        <v>20044</v>
      </c>
      <c r="C10891" s="1" t="s">
        <v>3649</v>
      </c>
      <c r="D10891" s="1" t="s">
        <v>3650</v>
      </c>
    </row>
    <row r="10892">
      <c r="A10892" s="1" t="s">
        <v>20045</v>
      </c>
      <c r="B10892" s="2" t="s">
        <v>20046</v>
      </c>
      <c r="C10892" s="1" t="s">
        <v>3649</v>
      </c>
      <c r="D10892" s="1" t="s">
        <v>3650</v>
      </c>
    </row>
    <row r="10893">
      <c r="A10893" s="1" t="s">
        <v>20047</v>
      </c>
      <c r="B10893" s="2" t="s">
        <v>20048</v>
      </c>
      <c r="C10893" s="1" t="s">
        <v>3649</v>
      </c>
      <c r="D10893" s="1" t="s">
        <v>3650</v>
      </c>
    </row>
    <row r="10894">
      <c r="A10894" s="1" t="s">
        <v>20049</v>
      </c>
      <c r="B10894" s="2" t="s">
        <v>20050</v>
      </c>
      <c r="C10894" s="1" t="s">
        <v>3649</v>
      </c>
      <c r="D10894" s="1" t="s">
        <v>3650</v>
      </c>
    </row>
    <row r="10895">
      <c r="A10895" s="1" t="s">
        <v>20051</v>
      </c>
      <c r="B10895" s="2" t="s">
        <v>20052</v>
      </c>
      <c r="C10895" s="1" t="s">
        <v>3649</v>
      </c>
      <c r="D10895" s="1" t="s">
        <v>3650</v>
      </c>
    </row>
    <row r="10896">
      <c r="A10896" s="1" t="s">
        <v>20053</v>
      </c>
      <c r="B10896" s="2" t="s">
        <v>20054</v>
      </c>
      <c r="C10896" s="1" t="s">
        <v>3649</v>
      </c>
      <c r="D10896" s="1" t="s">
        <v>3650</v>
      </c>
    </row>
    <row r="10897">
      <c r="A10897" s="1" t="s">
        <v>20055</v>
      </c>
      <c r="B10897" s="2" t="s">
        <v>20056</v>
      </c>
      <c r="C10897" s="1" t="s">
        <v>3649</v>
      </c>
      <c r="D10897" s="1" t="s">
        <v>3650</v>
      </c>
    </row>
    <row r="10898">
      <c r="A10898" s="1" t="s">
        <v>20057</v>
      </c>
      <c r="B10898" s="2" t="s">
        <v>20058</v>
      </c>
      <c r="C10898" s="1" t="s">
        <v>3649</v>
      </c>
      <c r="D10898" s="1" t="s">
        <v>3650</v>
      </c>
    </row>
    <row r="10899">
      <c r="A10899" s="1" t="s">
        <v>20059</v>
      </c>
      <c r="B10899" s="2" t="s">
        <v>20060</v>
      </c>
      <c r="C10899" s="1" t="s">
        <v>3649</v>
      </c>
      <c r="D10899" s="1" t="s">
        <v>3650</v>
      </c>
    </row>
    <row r="10900">
      <c r="A10900" s="1" t="s">
        <v>20061</v>
      </c>
      <c r="B10900" s="2" t="s">
        <v>20062</v>
      </c>
      <c r="C10900" s="1" t="s">
        <v>3649</v>
      </c>
      <c r="D10900" s="1" t="s">
        <v>3650</v>
      </c>
    </row>
    <row r="10901">
      <c r="A10901" s="1" t="s">
        <v>20063</v>
      </c>
      <c r="B10901" s="2" t="s">
        <v>20064</v>
      </c>
      <c r="C10901" s="1" t="s">
        <v>3649</v>
      </c>
      <c r="D10901" s="1" t="s">
        <v>3650</v>
      </c>
    </row>
    <row r="10902">
      <c r="A10902" s="1" t="s">
        <v>20065</v>
      </c>
      <c r="B10902" s="2" t="s">
        <v>20066</v>
      </c>
      <c r="C10902" s="1" t="s">
        <v>3649</v>
      </c>
      <c r="D10902" s="1" t="s">
        <v>3650</v>
      </c>
    </row>
    <row r="10903">
      <c r="A10903" s="1" t="s">
        <v>20067</v>
      </c>
      <c r="B10903" s="2" t="s">
        <v>20068</v>
      </c>
      <c r="C10903" s="1" t="s">
        <v>3649</v>
      </c>
      <c r="D10903" s="1" t="s">
        <v>3650</v>
      </c>
    </row>
    <row r="10904">
      <c r="A10904" s="1" t="s">
        <v>20069</v>
      </c>
      <c r="B10904" s="2" t="s">
        <v>20070</v>
      </c>
      <c r="C10904" s="1" t="s">
        <v>3649</v>
      </c>
      <c r="D10904" s="1" t="s">
        <v>3650</v>
      </c>
    </row>
    <row r="10905">
      <c r="A10905" s="1" t="s">
        <v>20071</v>
      </c>
      <c r="B10905" s="2" t="s">
        <v>20072</v>
      </c>
      <c r="C10905" s="1" t="s">
        <v>3649</v>
      </c>
      <c r="D10905" s="1" t="s">
        <v>3650</v>
      </c>
    </row>
    <row r="10906">
      <c r="A10906" s="1" t="s">
        <v>20073</v>
      </c>
      <c r="B10906" s="2" t="s">
        <v>20074</v>
      </c>
      <c r="C10906" s="1" t="s">
        <v>3649</v>
      </c>
      <c r="D10906" s="1" t="s">
        <v>3650</v>
      </c>
    </row>
    <row r="10907">
      <c r="A10907" s="1" t="s">
        <v>20075</v>
      </c>
      <c r="B10907" s="2" t="s">
        <v>20076</v>
      </c>
      <c r="C10907" s="1" t="s">
        <v>3649</v>
      </c>
      <c r="D10907" s="1" t="s">
        <v>3650</v>
      </c>
    </row>
    <row r="10908">
      <c r="A10908" s="1" t="s">
        <v>20077</v>
      </c>
      <c r="B10908" s="2" t="s">
        <v>20078</v>
      </c>
      <c r="C10908" s="1" t="s">
        <v>3649</v>
      </c>
      <c r="D10908" s="1" t="s">
        <v>3650</v>
      </c>
    </row>
    <row r="10909">
      <c r="A10909" s="1" t="s">
        <v>20079</v>
      </c>
      <c r="B10909" s="2" t="s">
        <v>20080</v>
      </c>
      <c r="C10909" s="1" t="s">
        <v>3649</v>
      </c>
      <c r="D10909" s="1" t="s">
        <v>3650</v>
      </c>
    </row>
    <row r="10910">
      <c r="A10910" s="1" t="s">
        <v>20081</v>
      </c>
      <c r="B10910" s="2" t="s">
        <v>20082</v>
      </c>
      <c r="C10910" s="1" t="s">
        <v>3649</v>
      </c>
      <c r="D10910" s="1" t="s">
        <v>3650</v>
      </c>
    </row>
    <row r="10911">
      <c r="A10911" s="1" t="s">
        <v>20083</v>
      </c>
      <c r="B10911" s="2" t="s">
        <v>20084</v>
      </c>
      <c r="C10911" s="1" t="s">
        <v>3649</v>
      </c>
      <c r="D10911" s="1" t="s">
        <v>3650</v>
      </c>
    </row>
    <row r="10912">
      <c r="A10912" s="1" t="s">
        <v>20085</v>
      </c>
      <c r="B10912" s="2" t="s">
        <v>20086</v>
      </c>
      <c r="C10912" s="1" t="s">
        <v>3649</v>
      </c>
      <c r="D10912" s="1" t="s">
        <v>3650</v>
      </c>
    </row>
    <row r="10913">
      <c r="A10913" s="1" t="s">
        <v>20087</v>
      </c>
      <c r="B10913" s="2" t="s">
        <v>20088</v>
      </c>
      <c r="C10913" s="1" t="s">
        <v>3649</v>
      </c>
      <c r="D10913" s="1" t="s">
        <v>3650</v>
      </c>
    </row>
    <row r="10914">
      <c r="A10914" s="1" t="s">
        <v>20089</v>
      </c>
      <c r="B10914" s="2" t="s">
        <v>20090</v>
      </c>
      <c r="C10914" s="1" t="s">
        <v>3649</v>
      </c>
      <c r="D10914" s="1" t="s">
        <v>3650</v>
      </c>
    </row>
    <row r="10915">
      <c r="A10915" s="1" t="s">
        <v>20091</v>
      </c>
      <c r="B10915" s="2" t="s">
        <v>20092</v>
      </c>
      <c r="C10915" s="1" t="s">
        <v>3649</v>
      </c>
      <c r="D10915" s="1" t="s">
        <v>3650</v>
      </c>
    </row>
    <row r="10916">
      <c r="A10916" s="1" t="s">
        <v>20093</v>
      </c>
      <c r="B10916" s="2" t="s">
        <v>20094</v>
      </c>
      <c r="C10916" s="1" t="s">
        <v>3649</v>
      </c>
      <c r="D10916" s="1" t="s">
        <v>3650</v>
      </c>
    </row>
    <row r="10917">
      <c r="A10917" s="1" t="s">
        <v>20095</v>
      </c>
      <c r="B10917" s="2" t="s">
        <v>20096</v>
      </c>
      <c r="C10917" s="1" t="s">
        <v>3649</v>
      </c>
      <c r="D10917" s="1" t="s">
        <v>3650</v>
      </c>
    </row>
    <row r="10918">
      <c r="A10918" s="1" t="s">
        <v>20097</v>
      </c>
      <c r="B10918" s="2" t="s">
        <v>20098</v>
      </c>
      <c r="C10918" s="1" t="s">
        <v>3649</v>
      </c>
      <c r="D10918" s="1" t="s">
        <v>3650</v>
      </c>
    </row>
    <row r="10919">
      <c r="A10919" s="1" t="s">
        <v>20099</v>
      </c>
      <c r="B10919" s="2" t="s">
        <v>20100</v>
      </c>
      <c r="C10919" s="1" t="s">
        <v>3649</v>
      </c>
      <c r="D10919" s="1" t="s">
        <v>3650</v>
      </c>
    </row>
    <row r="10920">
      <c r="A10920" s="1" t="s">
        <v>20101</v>
      </c>
      <c r="B10920" s="2" t="s">
        <v>20102</v>
      </c>
      <c r="C10920" s="1" t="s">
        <v>3649</v>
      </c>
      <c r="D10920" s="1" t="s">
        <v>3650</v>
      </c>
    </row>
    <row r="10921">
      <c r="A10921" s="1" t="s">
        <v>20103</v>
      </c>
      <c r="B10921" s="2" t="s">
        <v>20104</v>
      </c>
      <c r="C10921" s="1" t="s">
        <v>3649</v>
      </c>
      <c r="D10921" s="1" t="s">
        <v>3650</v>
      </c>
    </row>
    <row r="10922">
      <c r="A10922" s="1" t="s">
        <v>20105</v>
      </c>
      <c r="B10922" s="2" t="s">
        <v>20106</v>
      </c>
      <c r="C10922" s="1" t="s">
        <v>3649</v>
      </c>
      <c r="D10922" s="1" t="s">
        <v>3650</v>
      </c>
    </row>
    <row r="10923">
      <c r="A10923" s="1" t="s">
        <v>20107</v>
      </c>
      <c r="B10923" s="2" t="s">
        <v>20108</v>
      </c>
      <c r="C10923" s="1" t="s">
        <v>3649</v>
      </c>
      <c r="D10923" s="1" t="s">
        <v>3650</v>
      </c>
    </row>
    <row r="10924">
      <c r="A10924" s="1" t="s">
        <v>20109</v>
      </c>
      <c r="B10924" s="2" t="s">
        <v>20110</v>
      </c>
      <c r="C10924" s="1" t="s">
        <v>3649</v>
      </c>
      <c r="D10924" s="1" t="s">
        <v>3650</v>
      </c>
    </row>
    <row r="10925">
      <c r="A10925" s="1" t="s">
        <v>20111</v>
      </c>
      <c r="B10925" s="2" t="s">
        <v>20112</v>
      </c>
      <c r="C10925" s="1" t="s">
        <v>3649</v>
      </c>
      <c r="D10925" s="1" t="s">
        <v>3650</v>
      </c>
    </row>
    <row r="10926">
      <c r="A10926" s="1" t="s">
        <v>20113</v>
      </c>
      <c r="B10926" s="2" t="s">
        <v>20114</v>
      </c>
      <c r="C10926" s="1" t="s">
        <v>3649</v>
      </c>
      <c r="D10926" s="1" t="s">
        <v>3650</v>
      </c>
    </row>
    <row r="10927">
      <c r="A10927" s="1" t="s">
        <v>20115</v>
      </c>
      <c r="B10927" s="2" t="s">
        <v>20116</v>
      </c>
      <c r="C10927" s="1" t="s">
        <v>3649</v>
      </c>
      <c r="D10927" s="1" t="s">
        <v>3650</v>
      </c>
    </row>
    <row r="10928">
      <c r="A10928" s="1" t="s">
        <v>20117</v>
      </c>
      <c r="B10928" s="2" t="s">
        <v>20118</v>
      </c>
      <c r="C10928" s="1" t="s">
        <v>3649</v>
      </c>
      <c r="D10928" s="1" t="s">
        <v>3650</v>
      </c>
    </row>
    <row r="10929">
      <c r="A10929" s="1" t="s">
        <v>20119</v>
      </c>
      <c r="B10929" s="2" t="s">
        <v>20120</v>
      </c>
      <c r="C10929" s="1" t="s">
        <v>3649</v>
      </c>
      <c r="D10929" s="1" t="s">
        <v>3650</v>
      </c>
    </row>
    <row r="10930">
      <c r="A10930" s="1" t="s">
        <v>20121</v>
      </c>
      <c r="B10930" s="2" t="s">
        <v>20122</v>
      </c>
      <c r="C10930" s="1" t="s">
        <v>3649</v>
      </c>
      <c r="D10930" s="1" t="s">
        <v>3650</v>
      </c>
    </row>
    <row r="10931">
      <c r="A10931" s="1" t="s">
        <v>20123</v>
      </c>
      <c r="B10931" s="2" t="s">
        <v>20124</v>
      </c>
      <c r="C10931" s="1" t="s">
        <v>3649</v>
      </c>
      <c r="D10931" s="1" t="s">
        <v>3650</v>
      </c>
    </row>
    <row r="10932">
      <c r="A10932" s="1" t="s">
        <v>20125</v>
      </c>
      <c r="B10932" s="2" t="s">
        <v>20126</v>
      </c>
      <c r="C10932" s="1" t="s">
        <v>3649</v>
      </c>
      <c r="D10932" s="1" t="s">
        <v>3650</v>
      </c>
    </row>
    <row r="10933">
      <c r="A10933" s="1" t="s">
        <v>20127</v>
      </c>
      <c r="B10933" s="2" t="s">
        <v>20128</v>
      </c>
      <c r="C10933" s="1" t="s">
        <v>3649</v>
      </c>
      <c r="D10933" s="1" t="s">
        <v>3650</v>
      </c>
    </row>
    <row r="10934">
      <c r="A10934" s="1" t="s">
        <v>20129</v>
      </c>
      <c r="B10934" s="2" t="s">
        <v>20130</v>
      </c>
      <c r="C10934" s="1" t="s">
        <v>3649</v>
      </c>
      <c r="D10934" s="1" t="s">
        <v>3650</v>
      </c>
    </row>
    <row r="10935">
      <c r="A10935" s="1" t="s">
        <v>20131</v>
      </c>
      <c r="B10935" s="2" t="s">
        <v>20132</v>
      </c>
      <c r="C10935" s="1" t="s">
        <v>3649</v>
      </c>
      <c r="D10935" s="1" t="s">
        <v>3650</v>
      </c>
    </row>
    <row r="10936">
      <c r="A10936" s="1" t="s">
        <v>20133</v>
      </c>
      <c r="B10936" s="2" t="s">
        <v>20134</v>
      </c>
      <c r="C10936" s="1" t="s">
        <v>3649</v>
      </c>
      <c r="D10936" s="1" t="s">
        <v>3650</v>
      </c>
    </row>
    <row r="10937">
      <c r="A10937" s="1" t="s">
        <v>20135</v>
      </c>
      <c r="B10937" s="2" t="s">
        <v>20136</v>
      </c>
      <c r="C10937" s="1" t="s">
        <v>3649</v>
      </c>
      <c r="D10937" s="1" t="s">
        <v>3650</v>
      </c>
    </row>
    <row r="10938">
      <c r="A10938" s="1" t="s">
        <v>20137</v>
      </c>
      <c r="B10938" s="2" t="s">
        <v>20138</v>
      </c>
      <c r="C10938" s="1" t="s">
        <v>3649</v>
      </c>
      <c r="D10938" s="1" t="s">
        <v>3650</v>
      </c>
    </row>
    <row r="10939">
      <c r="A10939" s="1" t="s">
        <v>20139</v>
      </c>
      <c r="B10939" s="2" t="s">
        <v>20140</v>
      </c>
      <c r="C10939" s="1" t="s">
        <v>3649</v>
      </c>
      <c r="D10939" s="1" t="s">
        <v>3650</v>
      </c>
    </row>
    <row r="10940">
      <c r="A10940" s="1" t="s">
        <v>20141</v>
      </c>
      <c r="B10940" s="2" t="s">
        <v>20142</v>
      </c>
      <c r="C10940" s="1" t="s">
        <v>3649</v>
      </c>
      <c r="D10940" s="1" t="s">
        <v>3650</v>
      </c>
    </row>
    <row r="10941">
      <c r="A10941" s="1" t="s">
        <v>20143</v>
      </c>
      <c r="B10941" s="2" t="s">
        <v>20144</v>
      </c>
      <c r="C10941" s="1" t="s">
        <v>3649</v>
      </c>
      <c r="D10941" s="1" t="s">
        <v>3650</v>
      </c>
    </row>
    <row r="10942">
      <c r="A10942" s="1" t="s">
        <v>20145</v>
      </c>
      <c r="B10942" s="2" t="s">
        <v>20146</v>
      </c>
      <c r="C10942" s="1" t="s">
        <v>3649</v>
      </c>
      <c r="D10942" s="1" t="s">
        <v>3650</v>
      </c>
    </row>
    <row r="10943">
      <c r="A10943" s="1" t="s">
        <v>20147</v>
      </c>
      <c r="B10943" s="2" t="s">
        <v>20148</v>
      </c>
      <c r="C10943" s="1" t="s">
        <v>3649</v>
      </c>
      <c r="D10943" s="1" t="s">
        <v>3650</v>
      </c>
    </row>
    <row r="10944">
      <c r="A10944" s="1" t="s">
        <v>20149</v>
      </c>
      <c r="B10944" s="2" t="s">
        <v>20150</v>
      </c>
      <c r="C10944" s="1" t="s">
        <v>3649</v>
      </c>
      <c r="D10944" s="1" t="s">
        <v>3650</v>
      </c>
    </row>
    <row r="10945">
      <c r="A10945" s="1" t="s">
        <v>20151</v>
      </c>
      <c r="B10945" s="2" t="s">
        <v>20152</v>
      </c>
      <c r="C10945" s="1" t="s">
        <v>3649</v>
      </c>
      <c r="D10945" s="1" t="s">
        <v>3650</v>
      </c>
    </row>
    <row r="10946">
      <c r="A10946" s="1" t="s">
        <v>20153</v>
      </c>
      <c r="B10946" s="2" t="s">
        <v>20154</v>
      </c>
      <c r="C10946" s="1" t="s">
        <v>3649</v>
      </c>
      <c r="D10946" s="1" t="s">
        <v>3650</v>
      </c>
    </row>
    <row r="10947">
      <c r="A10947" s="1" t="s">
        <v>20155</v>
      </c>
      <c r="B10947" s="2" t="s">
        <v>20156</v>
      </c>
      <c r="C10947" s="1" t="s">
        <v>3649</v>
      </c>
      <c r="D10947" s="1" t="s">
        <v>3650</v>
      </c>
    </row>
    <row r="10948">
      <c r="A10948" s="1" t="s">
        <v>20157</v>
      </c>
      <c r="B10948" s="2" t="s">
        <v>20158</v>
      </c>
      <c r="C10948" s="1" t="s">
        <v>3649</v>
      </c>
      <c r="D10948" s="1" t="s">
        <v>3650</v>
      </c>
    </row>
    <row r="10949">
      <c r="A10949" s="1" t="s">
        <v>20159</v>
      </c>
      <c r="B10949" s="2" t="s">
        <v>20160</v>
      </c>
      <c r="C10949" s="1" t="s">
        <v>3649</v>
      </c>
      <c r="D10949" s="1" t="s">
        <v>3650</v>
      </c>
    </row>
    <row r="10950">
      <c r="A10950" s="1" t="s">
        <v>20161</v>
      </c>
      <c r="B10950" s="2" t="s">
        <v>20162</v>
      </c>
      <c r="C10950" s="1" t="s">
        <v>3649</v>
      </c>
      <c r="D10950" s="1" t="s">
        <v>3650</v>
      </c>
    </row>
    <row r="10951">
      <c r="A10951" s="1" t="s">
        <v>20163</v>
      </c>
      <c r="B10951" s="2" t="s">
        <v>20164</v>
      </c>
      <c r="C10951" s="1" t="s">
        <v>3649</v>
      </c>
      <c r="D10951" s="1" t="s">
        <v>3650</v>
      </c>
    </row>
    <row r="10952">
      <c r="A10952" s="1" t="s">
        <v>20165</v>
      </c>
      <c r="B10952" s="2" t="s">
        <v>20166</v>
      </c>
      <c r="C10952" s="1" t="s">
        <v>3649</v>
      </c>
      <c r="D10952" s="1" t="s">
        <v>3650</v>
      </c>
    </row>
    <row r="10953">
      <c r="A10953" s="1" t="s">
        <v>20167</v>
      </c>
      <c r="B10953" s="2" t="s">
        <v>20168</v>
      </c>
      <c r="C10953" s="1" t="s">
        <v>3649</v>
      </c>
      <c r="D10953" s="1" t="s">
        <v>3650</v>
      </c>
    </row>
    <row r="10954">
      <c r="A10954" s="1" t="s">
        <v>20169</v>
      </c>
      <c r="B10954" s="2" t="s">
        <v>20170</v>
      </c>
      <c r="C10954" s="1" t="s">
        <v>3649</v>
      </c>
      <c r="D10954" s="1" t="s">
        <v>3650</v>
      </c>
    </row>
    <row r="10955">
      <c r="A10955" s="1" t="s">
        <v>20171</v>
      </c>
      <c r="B10955" s="2" t="s">
        <v>20172</v>
      </c>
      <c r="C10955" s="1" t="s">
        <v>3649</v>
      </c>
      <c r="D10955" s="1" t="s">
        <v>3650</v>
      </c>
    </row>
    <row r="10956">
      <c r="A10956" s="1" t="s">
        <v>20173</v>
      </c>
      <c r="B10956" s="2" t="s">
        <v>20174</v>
      </c>
      <c r="C10956" s="1" t="s">
        <v>3649</v>
      </c>
      <c r="D10956" s="1" t="s">
        <v>3650</v>
      </c>
    </row>
    <row r="10957">
      <c r="A10957" s="1" t="s">
        <v>20175</v>
      </c>
      <c r="B10957" s="2" t="s">
        <v>20176</v>
      </c>
      <c r="C10957" s="1" t="s">
        <v>3649</v>
      </c>
      <c r="D10957" s="1" t="s">
        <v>3650</v>
      </c>
    </row>
    <row r="10958">
      <c r="A10958" s="1" t="s">
        <v>20177</v>
      </c>
      <c r="B10958" s="2" t="s">
        <v>20178</v>
      </c>
      <c r="C10958" s="1" t="s">
        <v>3649</v>
      </c>
      <c r="D10958" s="1" t="s">
        <v>3650</v>
      </c>
    </row>
    <row r="10959">
      <c r="A10959" s="1" t="s">
        <v>20179</v>
      </c>
      <c r="B10959" s="2" t="s">
        <v>20180</v>
      </c>
      <c r="C10959" s="1" t="s">
        <v>3649</v>
      </c>
      <c r="D10959" s="1" t="s">
        <v>3650</v>
      </c>
    </row>
    <row r="10960">
      <c r="A10960" s="1" t="s">
        <v>20181</v>
      </c>
      <c r="B10960" s="2" t="s">
        <v>20182</v>
      </c>
      <c r="C10960" s="1" t="s">
        <v>3649</v>
      </c>
      <c r="D10960" s="1" t="s">
        <v>3650</v>
      </c>
    </row>
    <row r="10961">
      <c r="A10961" s="1" t="s">
        <v>20183</v>
      </c>
      <c r="B10961" s="2" t="s">
        <v>20184</v>
      </c>
      <c r="C10961" s="1" t="s">
        <v>3649</v>
      </c>
      <c r="D10961" s="1" t="s">
        <v>3650</v>
      </c>
    </row>
    <row r="10962">
      <c r="A10962" s="1" t="s">
        <v>20185</v>
      </c>
      <c r="B10962" s="2" t="s">
        <v>20186</v>
      </c>
      <c r="C10962" s="1" t="s">
        <v>3649</v>
      </c>
      <c r="D10962" s="1" t="s">
        <v>3650</v>
      </c>
    </row>
    <row r="10963">
      <c r="A10963" s="1" t="s">
        <v>20187</v>
      </c>
      <c r="B10963" s="2" t="s">
        <v>20188</v>
      </c>
      <c r="C10963" s="1" t="s">
        <v>3649</v>
      </c>
      <c r="D10963" s="1" t="s">
        <v>3650</v>
      </c>
    </row>
    <row r="10964">
      <c r="A10964" s="1" t="s">
        <v>3654</v>
      </c>
      <c r="B10964" s="2" t="s">
        <v>7</v>
      </c>
      <c r="C10964" s="1" t="s">
        <v>3656</v>
      </c>
      <c r="D10964" s="1" t="s">
        <v>3658</v>
      </c>
    </row>
    <row r="10965">
      <c r="A10965" s="1" t="s">
        <v>20189</v>
      </c>
      <c r="B10965" s="2" t="s">
        <v>13984</v>
      </c>
      <c r="C10965" s="1" t="s">
        <v>3656</v>
      </c>
      <c r="D10965" s="1" t="s">
        <v>3658</v>
      </c>
    </row>
    <row r="10966">
      <c r="A10966" s="1" t="s">
        <v>20190</v>
      </c>
      <c r="B10966" s="2" t="s">
        <v>20191</v>
      </c>
      <c r="C10966" s="1" t="s">
        <v>3656</v>
      </c>
      <c r="D10966" s="1" t="s">
        <v>3658</v>
      </c>
    </row>
    <row r="10967">
      <c r="A10967" s="1" t="s">
        <v>20192</v>
      </c>
      <c r="B10967" s="2" t="s">
        <v>20193</v>
      </c>
      <c r="C10967" s="1" t="s">
        <v>3656</v>
      </c>
      <c r="D10967" s="1" t="s">
        <v>3658</v>
      </c>
    </row>
    <row r="10968">
      <c r="A10968" s="1" t="s">
        <v>20194</v>
      </c>
      <c r="B10968" s="2" t="s">
        <v>20195</v>
      </c>
      <c r="C10968" s="1" t="s">
        <v>3656</v>
      </c>
      <c r="D10968" s="1" t="s">
        <v>3658</v>
      </c>
    </row>
    <row r="10969">
      <c r="A10969" s="1" t="s">
        <v>20196</v>
      </c>
      <c r="B10969" s="2" t="s">
        <v>20197</v>
      </c>
      <c r="C10969" s="1" t="s">
        <v>3656</v>
      </c>
      <c r="D10969" s="1" t="s">
        <v>3658</v>
      </c>
    </row>
    <row r="10970">
      <c r="A10970" s="1" t="s">
        <v>20198</v>
      </c>
      <c r="B10970" s="2" t="s">
        <v>20199</v>
      </c>
      <c r="C10970" s="1" t="s">
        <v>3656</v>
      </c>
      <c r="D10970" s="1" t="s">
        <v>3658</v>
      </c>
    </row>
    <row r="10971">
      <c r="A10971" s="1" t="s">
        <v>20200</v>
      </c>
      <c r="B10971" s="2" t="s">
        <v>20201</v>
      </c>
      <c r="C10971" s="1" t="s">
        <v>3656</v>
      </c>
      <c r="D10971" s="1" t="s">
        <v>3658</v>
      </c>
    </row>
    <row r="10972">
      <c r="A10972" s="1" t="s">
        <v>20202</v>
      </c>
      <c r="B10972" s="2" t="s">
        <v>13994</v>
      </c>
      <c r="C10972" s="1" t="s">
        <v>3656</v>
      </c>
      <c r="D10972" s="1" t="s">
        <v>3658</v>
      </c>
    </row>
    <row r="10973">
      <c r="A10973" s="1" t="s">
        <v>20203</v>
      </c>
      <c r="B10973" s="2" t="s">
        <v>20204</v>
      </c>
      <c r="C10973" s="1" t="s">
        <v>3656</v>
      </c>
      <c r="D10973" s="1" t="s">
        <v>3658</v>
      </c>
    </row>
    <row r="10974">
      <c r="A10974" s="1" t="s">
        <v>20205</v>
      </c>
      <c r="B10974" s="2" t="s">
        <v>20206</v>
      </c>
      <c r="C10974" s="1" t="s">
        <v>3656</v>
      </c>
      <c r="D10974" s="1" t="s">
        <v>3658</v>
      </c>
    </row>
    <row r="10975">
      <c r="A10975" s="1" t="s">
        <v>20207</v>
      </c>
      <c r="B10975" s="2" t="s">
        <v>20208</v>
      </c>
      <c r="C10975" s="1" t="s">
        <v>3656</v>
      </c>
      <c r="D10975" s="1" t="s">
        <v>3658</v>
      </c>
    </row>
    <row r="10976">
      <c r="A10976" s="1" t="s">
        <v>20209</v>
      </c>
      <c r="B10976" s="2" t="s">
        <v>20210</v>
      </c>
      <c r="C10976" s="1" t="s">
        <v>3656</v>
      </c>
      <c r="D10976" s="1" t="s">
        <v>3658</v>
      </c>
    </row>
    <row r="10977">
      <c r="A10977" s="1" t="s">
        <v>20211</v>
      </c>
      <c r="B10977" s="2" t="s">
        <v>20212</v>
      </c>
      <c r="C10977" s="1" t="s">
        <v>3656</v>
      </c>
      <c r="D10977" s="1" t="s">
        <v>3658</v>
      </c>
    </row>
    <row r="10978">
      <c r="A10978" s="1" t="s">
        <v>20213</v>
      </c>
      <c r="B10978" s="2" t="s">
        <v>20214</v>
      </c>
      <c r="C10978" s="1" t="s">
        <v>3656</v>
      </c>
      <c r="D10978" s="1" t="s">
        <v>3658</v>
      </c>
    </row>
    <row r="10979">
      <c r="A10979" s="1" t="s">
        <v>3661</v>
      </c>
      <c r="B10979" s="2" t="s">
        <v>7</v>
      </c>
      <c r="C10979" s="1" t="s">
        <v>3663</v>
      </c>
      <c r="D10979" s="1" t="s">
        <v>3664</v>
      </c>
    </row>
    <row r="10980">
      <c r="A10980" s="1" t="s">
        <v>20215</v>
      </c>
      <c r="B10980" s="2" t="s">
        <v>20216</v>
      </c>
      <c r="C10980" s="1" t="s">
        <v>3663</v>
      </c>
      <c r="D10980" s="1" t="s">
        <v>3664</v>
      </c>
    </row>
    <row r="10981">
      <c r="A10981" s="1" t="s">
        <v>20217</v>
      </c>
      <c r="B10981" s="2" t="s">
        <v>20218</v>
      </c>
      <c r="C10981" s="1" t="s">
        <v>3663</v>
      </c>
      <c r="D10981" s="1" t="s">
        <v>3664</v>
      </c>
    </row>
    <row r="10982">
      <c r="A10982" s="1" t="s">
        <v>20219</v>
      </c>
      <c r="B10982" s="2" t="s">
        <v>20220</v>
      </c>
      <c r="C10982" s="1" t="s">
        <v>3663</v>
      </c>
      <c r="D10982" s="1" t="s">
        <v>3664</v>
      </c>
    </row>
    <row r="10983">
      <c r="A10983" s="1" t="s">
        <v>20221</v>
      </c>
      <c r="B10983" s="2" t="s">
        <v>20222</v>
      </c>
      <c r="C10983" s="1" t="s">
        <v>3663</v>
      </c>
      <c r="D10983" s="1" t="s">
        <v>3664</v>
      </c>
    </row>
    <row r="10984">
      <c r="A10984" s="1" t="s">
        <v>20223</v>
      </c>
      <c r="B10984" s="2" t="s">
        <v>20224</v>
      </c>
      <c r="C10984" s="1" t="s">
        <v>3663</v>
      </c>
      <c r="D10984" s="1" t="s">
        <v>3664</v>
      </c>
    </row>
    <row r="10985">
      <c r="A10985" s="1" t="s">
        <v>20225</v>
      </c>
      <c r="B10985" s="2" t="s">
        <v>20226</v>
      </c>
      <c r="C10985" s="1" t="s">
        <v>3663</v>
      </c>
      <c r="D10985" s="1" t="s">
        <v>3664</v>
      </c>
    </row>
    <row r="10986">
      <c r="A10986" s="1" t="s">
        <v>20227</v>
      </c>
      <c r="B10986" s="2" t="s">
        <v>20228</v>
      </c>
      <c r="C10986" s="1" t="s">
        <v>3663</v>
      </c>
      <c r="D10986" s="1" t="s">
        <v>3664</v>
      </c>
    </row>
    <row r="10987">
      <c r="A10987" s="1" t="s">
        <v>20229</v>
      </c>
      <c r="B10987" s="2" t="s">
        <v>20230</v>
      </c>
      <c r="C10987" s="1" t="s">
        <v>3663</v>
      </c>
      <c r="D10987" s="1" t="s">
        <v>3664</v>
      </c>
    </row>
    <row r="10988">
      <c r="A10988" s="1" t="s">
        <v>20231</v>
      </c>
      <c r="B10988" s="2" t="s">
        <v>20232</v>
      </c>
      <c r="C10988" s="1" t="s">
        <v>3663</v>
      </c>
      <c r="D10988" s="1" t="s">
        <v>3664</v>
      </c>
    </row>
    <row r="10989">
      <c r="A10989" s="1" t="s">
        <v>20233</v>
      </c>
      <c r="B10989" s="2" t="s">
        <v>20234</v>
      </c>
      <c r="C10989" s="1" t="s">
        <v>3663</v>
      </c>
      <c r="D10989" s="1" t="s">
        <v>3664</v>
      </c>
    </row>
    <row r="10990">
      <c r="A10990" s="1" t="s">
        <v>20235</v>
      </c>
      <c r="B10990" s="2" t="s">
        <v>20236</v>
      </c>
      <c r="C10990" s="1" t="s">
        <v>3663</v>
      </c>
      <c r="D10990" s="1" t="s">
        <v>3664</v>
      </c>
    </row>
    <row r="10991">
      <c r="A10991" s="1" t="s">
        <v>20237</v>
      </c>
      <c r="B10991" s="2" t="s">
        <v>20238</v>
      </c>
      <c r="C10991" s="1" t="s">
        <v>3663</v>
      </c>
      <c r="D10991" s="1" t="s">
        <v>3664</v>
      </c>
    </row>
    <row r="10992">
      <c r="A10992" s="1" t="s">
        <v>3670</v>
      </c>
      <c r="B10992" s="2" t="s">
        <v>7</v>
      </c>
      <c r="C10992" s="1" t="s">
        <v>135</v>
      </c>
      <c r="D10992" s="1" t="s">
        <v>3673</v>
      </c>
    </row>
    <row r="10993">
      <c r="A10993" s="1" t="s">
        <v>20239</v>
      </c>
      <c r="B10993" s="2" t="s">
        <v>20240</v>
      </c>
      <c r="C10993" s="1" t="s">
        <v>135</v>
      </c>
      <c r="D10993" s="1" t="s">
        <v>3673</v>
      </c>
    </row>
    <row r="10994">
      <c r="A10994" s="1" t="s">
        <v>20241</v>
      </c>
      <c r="B10994" s="2" t="s">
        <v>20242</v>
      </c>
      <c r="C10994" s="1" t="s">
        <v>135</v>
      </c>
      <c r="D10994" s="1" t="s">
        <v>3673</v>
      </c>
    </row>
    <row r="10995">
      <c r="A10995" s="1" t="s">
        <v>3681</v>
      </c>
      <c r="B10995" s="2" t="s">
        <v>7</v>
      </c>
      <c r="C10995" s="1" t="s">
        <v>3682</v>
      </c>
      <c r="D10995" s="1" t="s">
        <v>3683</v>
      </c>
    </row>
    <row r="10996">
      <c r="A10996" s="1" t="s">
        <v>20243</v>
      </c>
      <c r="B10996" s="2" t="s">
        <v>20244</v>
      </c>
      <c r="C10996" s="1" t="s">
        <v>3682</v>
      </c>
      <c r="D10996" s="1" t="s">
        <v>3683</v>
      </c>
    </row>
    <row r="10997">
      <c r="A10997" s="1" t="s">
        <v>20245</v>
      </c>
      <c r="B10997" s="2" t="s">
        <v>20246</v>
      </c>
      <c r="C10997" s="1" t="s">
        <v>3682</v>
      </c>
      <c r="D10997" s="1" t="s">
        <v>3683</v>
      </c>
    </row>
    <row r="10998">
      <c r="A10998" s="1" t="s">
        <v>20247</v>
      </c>
      <c r="B10998" s="2" t="s">
        <v>20248</v>
      </c>
      <c r="C10998" s="1" t="s">
        <v>3682</v>
      </c>
      <c r="D10998" s="1" t="s">
        <v>3683</v>
      </c>
    </row>
    <row r="10999">
      <c r="A10999" s="1" t="s">
        <v>20249</v>
      </c>
      <c r="B10999" s="2" t="s">
        <v>17038</v>
      </c>
      <c r="C10999" s="1" t="s">
        <v>3682</v>
      </c>
      <c r="D10999" s="1" t="s">
        <v>3683</v>
      </c>
    </row>
    <row r="11000">
      <c r="A11000" s="1" t="s">
        <v>20250</v>
      </c>
      <c r="B11000" s="2" t="s">
        <v>20251</v>
      </c>
      <c r="C11000" s="1" t="s">
        <v>3682</v>
      </c>
      <c r="D11000" s="1" t="s">
        <v>3683</v>
      </c>
    </row>
    <row r="11001">
      <c r="A11001" s="1" t="s">
        <v>20252</v>
      </c>
      <c r="B11001" s="2" t="s">
        <v>20253</v>
      </c>
      <c r="C11001" s="1" t="s">
        <v>3682</v>
      </c>
      <c r="D11001" s="1" t="s">
        <v>3683</v>
      </c>
    </row>
    <row r="11002">
      <c r="A11002" s="1" t="s">
        <v>20254</v>
      </c>
      <c r="B11002" s="2" t="s">
        <v>13730</v>
      </c>
      <c r="C11002" s="1" t="s">
        <v>3682</v>
      </c>
      <c r="D11002" s="1" t="s">
        <v>3683</v>
      </c>
    </row>
    <row r="11003">
      <c r="A11003" s="1" t="s">
        <v>20255</v>
      </c>
      <c r="B11003" s="2" t="s">
        <v>20256</v>
      </c>
      <c r="C11003" s="1" t="s">
        <v>3682</v>
      </c>
      <c r="D11003" s="1" t="s">
        <v>3683</v>
      </c>
    </row>
    <row r="11004">
      <c r="A11004" s="1" t="s">
        <v>20257</v>
      </c>
      <c r="B11004" s="2" t="s">
        <v>20258</v>
      </c>
      <c r="C11004" s="1" t="s">
        <v>3682</v>
      </c>
      <c r="D11004" s="1" t="s">
        <v>3683</v>
      </c>
    </row>
    <row r="11005">
      <c r="A11005" s="1" t="s">
        <v>3686</v>
      </c>
      <c r="B11005" s="2" t="s">
        <v>7</v>
      </c>
      <c r="C11005" s="1" t="s">
        <v>3687</v>
      </c>
      <c r="D11005" s="1" t="s">
        <v>3689</v>
      </c>
    </row>
    <row r="11006">
      <c r="A11006" s="1" t="s">
        <v>20259</v>
      </c>
      <c r="B11006" s="2" t="s">
        <v>20244</v>
      </c>
      <c r="C11006" s="1" t="s">
        <v>3687</v>
      </c>
      <c r="D11006" s="1" t="s">
        <v>3689</v>
      </c>
    </row>
    <row r="11007">
      <c r="A11007" s="1" t="s">
        <v>20260</v>
      </c>
      <c r="B11007" s="2" t="s">
        <v>20246</v>
      </c>
      <c r="C11007" s="1" t="s">
        <v>3687</v>
      </c>
      <c r="D11007" s="1" t="s">
        <v>3689</v>
      </c>
    </row>
    <row r="11008">
      <c r="A11008" s="1" t="s">
        <v>20261</v>
      </c>
      <c r="B11008" s="2" t="s">
        <v>20248</v>
      </c>
      <c r="C11008" s="1" t="s">
        <v>3687</v>
      </c>
      <c r="D11008" s="1" t="s">
        <v>3689</v>
      </c>
    </row>
    <row r="11009">
      <c r="A11009" s="1" t="s">
        <v>20262</v>
      </c>
      <c r="B11009" s="2" t="s">
        <v>17038</v>
      </c>
      <c r="C11009" s="1" t="s">
        <v>3687</v>
      </c>
      <c r="D11009" s="1" t="s">
        <v>3689</v>
      </c>
    </row>
    <row r="11010">
      <c r="A11010" s="1" t="s">
        <v>20263</v>
      </c>
      <c r="B11010" s="2" t="s">
        <v>20251</v>
      </c>
      <c r="C11010" s="1" t="s">
        <v>3687</v>
      </c>
      <c r="D11010" s="1" t="s">
        <v>3689</v>
      </c>
    </row>
    <row r="11011">
      <c r="A11011" s="1" t="s">
        <v>20264</v>
      </c>
      <c r="B11011" s="2" t="s">
        <v>20253</v>
      </c>
      <c r="C11011" s="1" t="s">
        <v>3687</v>
      </c>
      <c r="D11011" s="1" t="s">
        <v>3689</v>
      </c>
    </row>
    <row r="11012">
      <c r="A11012" s="1" t="s">
        <v>20265</v>
      </c>
      <c r="B11012" s="2" t="s">
        <v>13730</v>
      </c>
      <c r="C11012" s="1" t="s">
        <v>3687</v>
      </c>
      <c r="D11012" s="1" t="s">
        <v>3689</v>
      </c>
    </row>
    <row r="11013">
      <c r="A11013" s="1" t="s">
        <v>20266</v>
      </c>
      <c r="B11013" s="2" t="s">
        <v>20256</v>
      </c>
      <c r="C11013" s="1" t="s">
        <v>3687</v>
      </c>
      <c r="D11013" s="1" t="s">
        <v>3689</v>
      </c>
    </row>
    <row r="11014">
      <c r="A11014" s="1" t="s">
        <v>20267</v>
      </c>
      <c r="B11014" s="2" t="s">
        <v>20258</v>
      </c>
      <c r="C11014" s="1" t="s">
        <v>3687</v>
      </c>
      <c r="D11014" s="1" t="s">
        <v>3689</v>
      </c>
    </row>
    <row r="11015">
      <c r="A11015" s="1" t="s">
        <v>3692</v>
      </c>
      <c r="B11015" s="2" t="s">
        <v>7</v>
      </c>
      <c r="C11015" s="1" t="s">
        <v>3694</v>
      </c>
      <c r="D11015" s="1" t="s">
        <v>3695</v>
      </c>
    </row>
    <row r="11016">
      <c r="A11016" s="1" t="s">
        <v>20268</v>
      </c>
      <c r="B11016" s="2" t="s">
        <v>20244</v>
      </c>
      <c r="C11016" s="1" t="s">
        <v>3694</v>
      </c>
      <c r="D11016" s="1" t="s">
        <v>3695</v>
      </c>
    </row>
    <row r="11017">
      <c r="A11017" s="1" t="s">
        <v>20269</v>
      </c>
      <c r="B11017" s="2" t="s">
        <v>20246</v>
      </c>
      <c r="C11017" s="1" t="s">
        <v>3694</v>
      </c>
      <c r="D11017" s="1" t="s">
        <v>3695</v>
      </c>
    </row>
    <row r="11018">
      <c r="A11018" s="1" t="s">
        <v>20270</v>
      </c>
      <c r="B11018" s="2" t="s">
        <v>20248</v>
      </c>
      <c r="C11018" s="1" t="s">
        <v>3694</v>
      </c>
      <c r="D11018" s="1" t="s">
        <v>3695</v>
      </c>
    </row>
    <row r="11019">
      <c r="A11019" s="1" t="s">
        <v>20271</v>
      </c>
      <c r="B11019" s="2" t="s">
        <v>17038</v>
      </c>
      <c r="C11019" s="1" t="s">
        <v>3694</v>
      </c>
      <c r="D11019" s="1" t="s">
        <v>3695</v>
      </c>
    </row>
    <row r="11020">
      <c r="A11020" s="1" t="s">
        <v>20272</v>
      </c>
      <c r="B11020" s="2" t="s">
        <v>20251</v>
      </c>
      <c r="C11020" s="1" t="s">
        <v>3694</v>
      </c>
      <c r="D11020" s="1" t="s">
        <v>3695</v>
      </c>
    </row>
    <row r="11021">
      <c r="A11021" s="1" t="s">
        <v>20273</v>
      </c>
      <c r="B11021" s="2" t="s">
        <v>20253</v>
      </c>
      <c r="C11021" s="1" t="s">
        <v>3694</v>
      </c>
      <c r="D11021" s="1" t="s">
        <v>3695</v>
      </c>
    </row>
    <row r="11022">
      <c r="A11022" s="1" t="s">
        <v>20274</v>
      </c>
      <c r="B11022" s="2" t="s">
        <v>13730</v>
      </c>
      <c r="C11022" s="1" t="s">
        <v>3694</v>
      </c>
      <c r="D11022" s="1" t="s">
        <v>3695</v>
      </c>
    </row>
    <row r="11023">
      <c r="A11023" s="1" t="s">
        <v>20275</v>
      </c>
      <c r="B11023" s="2" t="s">
        <v>20256</v>
      </c>
      <c r="C11023" s="1" t="s">
        <v>3694</v>
      </c>
      <c r="D11023" s="1" t="s">
        <v>3695</v>
      </c>
    </row>
    <row r="11024">
      <c r="A11024" s="1" t="s">
        <v>20276</v>
      </c>
      <c r="B11024" s="2" t="s">
        <v>20258</v>
      </c>
      <c r="C11024" s="1" t="s">
        <v>3694</v>
      </c>
      <c r="D11024" s="1" t="s">
        <v>3695</v>
      </c>
    </row>
    <row r="11025">
      <c r="A11025" s="1" t="s">
        <v>3699</v>
      </c>
      <c r="B11025" s="2" t="s">
        <v>7</v>
      </c>
      <c r="C11025" s="1" t="s">
        <v>3701</v>
      </c>
      <c r="D11025" s="1" t="s">
        <v>3702</v>
      </c>
    </row>
    <row r="11026">
      <c r="A11026" s="1" t="s">
        <v>20277</v>
      </c>
      <c r="B11026" s="2" t="s">
        <v>20244</v>
      </c>
      <c r="C11026" s="1" t="s">
        <v>3701</v>
      </c>
      <c r="D11026" s="1" t="s">
        <v>3702</v>
      </c>
    </row>
    <row r="11027">
      <c r="A11027" s="1" t="s">
        <v>20278</v>
      </c>
      <c r="B11027" s="2" t="s">
        <v>20246</v>
      </c>
      <c r="C11027" s="1" t="s">
        <v>3701</v>
      </c>
      <c r="D11027" s="1" t="s">
        <v>3702</v>
      </c>
    </row>
    <row r="11028">
      <c r="A11028" s="1" t="s">
        <v>20279</v>
      </c>
      <c r="B11028" s="2" t="s">
        <v>20248</v>
      </c>
      <c r="C11028" s="1" t="s">
        <v>3701</v>
      </c>
      <c r="D11028" s="1" t="s">
        <v>3702</v>
      </c>
    </row>
    <row r="11029">
      <c r="A11029" s="1" t="s">
        <v>20280</v>
      </c>
      <c r="B11029" s="2" t="s">
        <v>17038</v>
      </c>
      <c r="C11029" s="1" t="s">
        <v>3701</v>
      </c>
      <c r="D11029" s="1" t="s">
        <v>3702</v>
      </c>
    </row>
    <row r="11030">
      <c r="A11030" s="1" t="s">
        <v>20281</v>
      </c>
      <c r="B11030" s="2" t="s">
        <v>20251</v>
      </c>
      <c r="C11030" s="1" t="s">
        <v>3701</v>
      </c>
      <c r="D11030" s="1" t="s">
        <v>3702</v>
      </c>
    </row>
    <row r="11031">
      <c r="A11031" s="1" t="s">
        <v>20282</v>
      </c>
      <c r="B11031" s="2" t="s">
        <v>20253</v>
      </c>
      <c r="C11031" s="1" t="s">
        <v>3701</v>
      </c>
      <c r="D11031" s="1" t="s">
        <v>3702</v>
      </c>
    </row>
    <row r="11032">
      <c r="A11032" s="1" t="s">
        <v>20283</v>
      </c>
      <c r="B11032" s="2" t="s">
        <v>13730</v>
      </c>
      <c r="C11032" s="1" t="s">
        <v>3701</v>
      </c>
      <c r="D11032" s="1" t="s">
        <v>3702</v>
      </c>
    </row>
    <row r="11033">
      <c r="A11033" s="1" t="s">
        <v>20284</v>
      </c>
      <c r="B11033" s="2" t="s">
        <v>20256</v>
      </c>
      <c r="C11033" s="1" t="s">
        <v>3701</v>
      </c>
      <c r="D11033" s="1" t="s">
        <v>3702</v>
      </c>
    </row>
    <row r="11034">
      <c r="A11034" s="1" t="s">
        <v>20285</v>
      </c>
      <c r="B11034" s="2" t="s">
        <v>20258</v>
      </c>
      <c r="C11034" s="1" t="s">
        <v>3701</v>
      </c>
      <c r="D11034" s="1" t="s">
        <v>3702</v>
      </c>
    </row>
    <row r="11035">
      <c r="A11035" s="1" t="s">
        <v>3707</v>
      </c>
      <c r="B11035" s="2" t="s">
        <v>7</v>
      </c>
      <c r="C11035" s="1" t="s">
        <v>3709</v>
      </c>
      <c r="D11035" s="1" t="s">
        <v>3710</v>
      </c>
    </row>
    <row r="11036">
      <c r="A11036" s="1" t="s">
        <v>20286</v>
      </c>
      <c r="B11036" s="2" t="s">
        <v>20244</v>
      </c>
      <c r="C11036" s="1" t="s">
        <v>3709</v>
      </c>
      <c r="D11036" s="1" t="s">
        <v>3710</v>
      </c>
    </row>
    <row r="11037">
      <c r="A11037" s="1" t="s">
        <v>20287</v>
      </c>
      <c r="B11037" s="2" t="s">
        <v>20246</v>
      </c>
      <c r="C11037" s="1" t="s">
        <v>3709</v>
      </c>
      <c r="D11037" s="1" t="s">
        <v>3710</v>
      </c>
    </row>
    <row r="11038">
      <c r="A11038" s="1" t="s">
        <v>20288</v>
      </c>
      <c r="B11038" s="2" t="s">
        <v>20248</v>
      </c>
      <c r="C11038" s="1" t="s">
        <v>3709</v>
      </c>
      <c r="D11038" s="1" t="s">
        <v>3710</v>
      </c>
    </row>
    <row r="11039">
      <c r="A11039" s="1" t="s">
        <v>20289</v>
      </c>
      <c r="B11039" s="2" t="s">
        <v>17038</v>
      </c>
      <c r="C11039" s="1" t="s">
        <v>3709</v>
      </c>
      <c r="D11039" s="1" t="s">
        <v>3710</v>
      </c>
    </row>
    <row r="11040">
      <c r="A11040" s="1" t="s">
        <v>20290</v>
      </c>
      <c r="B11040" s="2" t="s">
        <v>20251</v>
      </c>
      <c r="C11040" s="1" t="s">
        <v>3709</v>
      </c>
      <c r="D11040" s="1" t="s">
        <v>3710</v>
      </c>
    </row>
    <row r="11041">
      <c r="A11041" s="1" t="s">
        <v>20291</v>
      </c>
      <c r="B11041" s="2" t="s">
        <v>20253</v>
      </c>
      <c r="C11041" s="1" t="s">
        <v>3709</v>
      </c>
      <c r="D11041" s="1" t="s">
        <v>3710</v>
      </c>
    </row>
    <row r="11042">
      <c r="A11042" s="1" t="s">
        <v>20292</v>
      </c>
      <c r="B11042" s="2" t="s">
        <v>13730</v>
      </c>
      <c r="C11042" s="1" t="s">
        <v>3709</v>
      </c>
      <c r="D11042" s="1" t="s">
        <v>3710</v>
      </c>
    </row>
    <row r="11043">
      <c r="A11043" s="1" t="s">
        <v>20293</v>
      </c>
      <c r="B11043" s="2" t="s">
        <v>20256</v>
      </c>
      <c r="C11043" s="1" t="s">
        <v>3709</v>
      </c>
      <c r="D11043" s="1" t="s">
        <v>3710</v>
      </c>
    </row>
    <row r="11044">
      <c r="A11044" s="1" t="s">
        <v>20294</v>
      </c>
      <c r="B11044" s="2" t="s">
        <v>20258</v>
      </c>
      <c r="C11044" s="1" t="s">
        <v>3709</v>
      </c>
      <c r="D11044" s="1" t="s">
        <v>3710</v>
      </c>
    </row>
    <row r="11045">
      <c r="A11045" s="1" t="s">
        <v>3713</v>
      </c>
      <c r="B11045" s="2" t="s">
        <v>7</v>
      </c>
      <c r="C11045" s="1" t="s">
        <v>3716</v>
      </c>
      <c r="D11045" s="1" t="s">
        <v>3717</v>
      </c>
    </row>
    <row r="11046">
      <c r="A11046" s="1" t="s">
        <v>20295</v>
      </c>
      <c r="B11046" s="2" t="s">
        <v>20244</v>
      </c>
      <c r="C11046" s="1" t="s">
        <v>3716</v>
      </c>
      <c r="D11046" s="1" t="s">
        <v>3717</v>
      </c>
    </row>
    <row r="11047">
      <c r="A11047" s="1" t="s">
        <v>20296</v>
      </c>
      <c r="B11047" s="2" t="s">
        <v>20246</v>
      </c>
      <c r="C11047" s="1" t="s">
        <v>3716</v>
      </c>
      <c r="D11047" s="1" t="s">
        <v>3717</v>
      </c>
    </row>
    <row r="11048">
      <c r="A11048" s="1" t="s">
        <v>20297</v>
      </c>
      <c r="B11048" s="2" t="s">
        <v>20248</v>
      </c>
      <c r="C11048" s="1" t="s">
        <v>3716</v>
      </c>
      <c r="D11048" s="1" t="s">
        <v>3717</v>
      </c>
    </row>
    <row r="11049">
      <c r="A11049" s="1" t="s">
        <v>20298</v>
      </c>
      <c r="B11049" s="2" t="s">
        <v>17038</v>
      </c>
      <c r="C11049" s="1" t="s">
        <v>3716</v>
      </c>
      <c r="D11049" s="1" t="s">
        <v>3717</v>
      </c>
    </row>
    <row r="11050">
      <c r="A11050" s="1" t="s">
        <v>20299</v>
      </c>
      <c r="B11050" s="2" t="s">
        <v>20251</v>
      </c>
      <c r="C11050" s="1" t="s">
        <v>3716</v>
      </c>
      <c r="D11050" s="1" t="s">
        <v>3717</v>
      </c>
    </row>
    <row r="11051">
      <c r="A11051" s="1" t="s">
        <v>20300</v>
      </c>
      <c r="B11051" s="2" t="s">
        <v>20253</v>
      </c>
      <c r="C11051" s="1" t="s">
        <v>3716</v>
      </c>
      <c r="D11051" s="1" t="s">
        <v>3717</v>
      </c>
    </row>
    <row r="11052">
      <c r="A11052" s="1" t="s">
        <v>20301</v>
      </c>
      <c r="B11052" s="2" t="s">
        <v>13730</v>
      </c>
      <c r="C11052" s="1" t="s">
        <v>3716</v>
      </c>
      <c r="D11052" s="1" t="s">
        <v>3717</v>
      </c>
    </row>
    <row r="11053">
      <c r="A11053" s="1" t="s">
        <v>20302</v>
      </c>
      <c r="B11053" s="2" t="s">
        <v>20256</v>
      </c>
      <c r="C11053" s="1" t="s">
        <v>3716</v>
      </c>
      <c r="D11053" s="1" t="s">
        <v>3717</v>
      </c>
    </row>
    <row r="11054">
      <c r="A11054" s="1" t="s">
        <v>20303</v>
      </c>
      <c r="B11054" s="2" t="s">
        <v>20258</v>
      </c>
      <c r="C11054" s="1" t="s">
        <v>3716</v>
      </c>
      <c r="D11054" s="1" t="s">
        <v>3717</v>
      </c>
    </row>
    <row r="11055">
      <c r="A11055" s="1" t="s">
        <v>3720</v>
      </c>
      <c r="B11055" s="2" t="s">
        <v>7</v>
      </c>
      <c r="C11055" s="1" t="s">
        <v>3722</v>
      </c>
      <c r="D11055" s="1" t="s">
        <v>3724</v>
      </c>
    </row>
    <row r="11056">
      <c r="A11056" s="1" t="s">
        <v>20304</v>
      </c>
      <c r="B11056" s="2" t="s">
        <v>20244</v>
      </c>
      <c r="C11056" s="1" t="s">
        <v>3722</v>
      </c>
      <c r="D11056" s="1" t="s">
        <v>3724</v>
      </c>
    </row>
    <row r="11057">
      <c r="A11057" s="1" t="s">
        <v>20305</v>
      </c>
      <c r="B11057" s="2" t="s">
        <v>20246</v>
      </c>
      <c r="C11057" s="1" t="s">
        <v>3722</v>
      </c>
      <c r="D11057" s="1" t="s">
        <v>3724</v>
      </c>
    </row>
    <row r="11058">
      <c r="A11058" s="1" t="s">
        <v>20306</v>
      </c>
      <c r="B11058" s="2" t="s">
        <v>20248</v>
      </c>
      <c r="C11058" s="1" t="s">
        <v>3722</v>
      </c>
      <c r="D11058" s="1" t="s">
        <v>3724</v>
      </c>
    </row>
    <row r="11059">
      <c r="A11059" s="1" t="s">
        <v>20307</v>
      </c>
      <c r="B11059" s="2" t="s">
        <v>17038</v>
      </c>
      <c r="C11059" s="1" t="s">
        <v>3722</v>
      </c>
      <c r="D11059" s="1" t="s">
        <v>3724</v>
      </c>
    </row>
    <row r="11060">
      <c r="A11060" s="1" t="s">
        <v>20308</v>
      </c>
      <c r="B11060" s="2" t="s">
        <v>20251</v>
      </c>
      <c r="C11060" s="1" t="s">
        <v>3722</v>
      </c>
      <c r="D11060" s="1" t="s">
        <v>3724</v>
      </c>
    </row>
    <row r="11061">
      <c r="A11061" s="1" t="s">
        <v>20309</v>
      </c>
      <c r="B11061" s="2" t="s">
        <v>20253</v>
      </c>
      <c r="C11061" s="1" t="s">
        <v>3722</v>
      </c>
      <c r="D11061" s="1" t="s">
        <v>3724</v>
      </c>
    </row>
    <row r="11062">
      <c r="A11062" s="1" t="s">
        <v>20310</v>
      </c>
      <c r="B11062" s="2" t="s">
        <v>13730</v>
      </c>
      <c r="C11062" s="1" t="s">
        <v>3722</v>
      </c>
      <c r="D11062" s="1" t="s">
        <v>3724</v>
      </c>
    </row>
    <row r="11063">
      <c r="A11063" s="1" t="s">
        <v>20311</v>
      </c>
      <c r="B11063" s="2" t="s">
        <v>20256</v>
      </c>
      <c r="C11063" s="1" t="s">
        <v>3722</v>
      </c>
      <c r="D11063" s="1" t="s">
        <v>3724</v>
      </c>
    </row>
    <row r="11064">
      <c r="A11064" s="1" t="s">
        <v>20312</v>
      </c>
      <c r="B11064" s="2" t="s">
        <v>20258</v>
      </c>
      <c r="C11064" s="1" t="s">
        <v>3722</v>
      </c>
      <c r="D11064" s="1" t="s">
        <v>3724</v>
      </c>
    </row>
    <row r="11065">
      <c r="A11065" s="1" t="s">
        <v>3726</v>
      </c>
      <c r="B11065" s="2" t="s">
        <v>7</v>
      </c>
      <c r="C11065" s="1" t="s">
        <v>3728</v>
      </c>
      <c r="D11065" s="1" t="s">
        <v>3729</v>
      </c>
    </row>
    <row r="11066">
      <c r="A11066" s="1" t="s">
        <v>20313</v>
      </c>
      <c r="B11066" s="2" t="s">
        <v>20244</v>
      </c>
      <c r="C11066" s="1" t="s">
        <v>3728</v>
      </c>
      <c r="D11066" s="1" t="s">
        <v>3729</v>
      </c>
    </row>
    <row r="11067">
      <c r="A11067" s="1" t="s">
        <v>20314</v>
      </c>
      <c r="B11067" s="2" t="s">
        <v>20246</v>
      </c>
      <c r="C11067" s="1" t="s">
        <v>3728</v>
      </c>
      <c r="D11067" s="1" t="s">
        <v>3729</v>
      </c>
    </row>
    <row r="11068">
      <c r="A11068" s="1" t="s">
        <v>20315</v>
      </c>
      <c r="B11068" s="2" t="s">
        <v>20248</v>
      </c>
      <c r="C11068" s="1" t="s">
        <v>3728</v>
      </c>
      <c r="D11068" s="1" t="s">
        <v>3729</v>
      </c>
    </row>
    <row r="11069">
      <c r="A11069" s="1" t="s">
        <v>20316</v>
      </c>
      <c r="B11069" s="2" t="s">
        <v>17038</v>
      </c>
      <c r="C11069" s="1" t="s">
        <v>3728</v>
      </c>
      <c r="D11069" s="1" t="s">
        <v>3729</v>
      </c>
    </row>
    <row r="11070">
      <c r="A11070" s="1" t="s">
        <v>20317</v>
      </c>
      <c r="B11070" s="2" t="s">
        <v>20251</v>
      </c>
      <c r="C11070" s="1" t="s">
        <v>3728</v>
      </c>
      <c r="D11070" s="1" t="s">
        <v>3729</v>
      </c>
    </row>
    <row r="11071">
      <c r="A11071" s="1" t="s">
        <v>20318</v>
      </c>
      <c r="B11071" s="2" t="s">
        <v>20253</v>
      </c>
      <c r="C11071" s="1" t="s">
        <v>3728</v>
      </c>
      <c r="D11071" s="1" t="s">
        <v>3729</v>
      </c>
    </row>
    <row r="11072">
      <c r="A11072" s="1" t="s">
        <v>20319</v>
      </c>
      <c r="B11072" s="2" t="s">
        <v>13730</v>
      </c>
      <c r="C11072" s="1" t="s">
        <v>3728</v>
      </c>
      <c r="D11072" s="1" t="s">
        <v>3729</v>
      </c>
    </row>
    <row r="11073">
      <c r="A11073" s="1" t="s">
        <v>20320</v>
      </c>
      <c r="B11073" s="2" t="s">
        <v>20256</v>
      </c>
      <c r="C11073" s="1" t="s">
        <v>3728</v>
      </c>
      <c r="D11073" s="1" t="s">
        <v>3729</v>
      </c>
    </row>
    <row r="11074">
      <c r="A11074" s="1" t="s">
        <v>20321</v>
      </c>
      <c r="B11074" s="2" t="s">
        <v>20258</v>
      </c>
      <c r="C11074" s="1" t="s">
        <v>3728</v>
      </c>
      <c r="D11074" s="1" t="s">
        <v>3729</v>
      </c>
    </row>
    <row r="11075">
      <c r="A11075" s="1" t="s">
        <v>3733</v>
      </c>
      <c r="B11075" s="2" t="s">
        <v>7</v>
      </c>
      <c r="C11075" s="1" t="s">
        <v>3735</v>
      </c>
      <c r="D11075" s="1" t="s">
        <v>3736</v>
      </c>
    </row>
    <row r="11076">
      <c r="A11076" s="1" t="s">
        <v>20322</v>
      </c>
      <c r="B11076" s="2" t="s">
        <v>20244</v>
      </c>
      <c r="C11076" s="1" t="s">
        <v>3735</v>
      </c>
      <c r="D11076" s="1" t="s">
        <v>3736</v>
      </c>
    </row>
    <row r="11077">
      <c r="A11077" s="1" t="s">
        <v>20323</v>
      </c>
      <c r="B11077" s="2" t="s">
        <v>20246</v>
      </c>
      <c r="C11077" s="1" t="s">
        <v>3735</v>
      </c>
      <c r="D11077" s="1" t="s">
        <v>3736</v>
      </c>
    </row>
    <row r="11078">
      <c r="A11078" s="1" t="s">
        <v>20324</v>
      </c>
      <c r="B11078" s="2" t="s">
        <v>20248</v>
      </c>
      <c r="C11078" s="1" t="s">
        <v>3735</v>
      </c>
      <c r="D11078" s="1" t="s">
        <v>3736</v>
      </c>
    </row>
    <row r="11079">
      <c r="A11079" s="1" t="s">
        <v>20325</v>
      </c>
      <c r="B11079" s="2" t="s">
        <v>17038</v>
      </c>
      <c r="C11079" s="1" t="s">
        <v>3735</v>
      </c>
      <c r="D11079" s="1" t="s">
        <v>3736</v>
      </c>
    </row>
    <row r="11080">
      <c r="A11080" s="1" t="s">
        <v>20326</v>
      </c>
      <c r="B11080" s="2" t="s">
        <v>20251</v>
      </c>
      <c r="C11080" s="1" t="s">
        <v>3735</v>
      </c>
      <c r="D11080" s="1" t="s">
        <v>3736</v>
      </c>
    </row>
    <row r="11081">
      <c r="A11081" s="1" t="s">
        <v>20327</v>
      </c>
      <c r="B11081" s="2" t="s">
        <v>20253</v>
      </c>
      <c r="C11081" s="1" t="s">
        <v>3735</v>
      </c>
      <c r="D11081" s="1" t="s">
        <v>3736</v>
      </c>
    </row>
    <row r="11082">
      <c r="A11082" s="1" t="s">
        <v>20328</v>
      </c>
      <c r="B11082" s="2" t="s">
        <v>13730</v>
      </c>
      <c r="C11082" s="1" t="s">
        <v>3735</v>
      </c>
      <c r="D11082" s="1" t="s">
        <v>3736</v>
      </c>
    </row>
    <row r="11083">
      <c r="A11083" s="1" t="s">
        <v>20329</v>
      </c>
      <c r="B11083" s="2" t="s">
        <v>20256</v>
      </c>
      <c r="C11083" s="1" t="s">
        <v>3735</v>
      </c>
      <c r="D11083" s="1" t="s">
        <v>3736</v>
      </c>
    </row>
    <row r="11084">
      <c r="A11084" s="1" t="s">
        <v>20330</v>
      </c>
      <c r="B11084" s="2" t="s">
        <v>20258</v>
      </c>
      <c r="C11084" s="1" t="s">
        <v>3735</v>
      </c>
      <c r="D11084" s="1" t="s">
        <v>3736</v>
      </c>
    </row>
    <row r="11085">
      <c r="A11085" s="1" t="s">
        <v>3678</v>
      </c>
      <c r="B11085" s="2" t="s">
        <v>7</v>
      </c>
      <c r="C11085" s="1" t="s">
        <v>108</v>
      </c>
      <c r="D11085" s="1" t="s">
        <v>3679</v>
      </c>
    </row>
    <row r="11086">
      <c r="A11086" s="1" t="s">
        <v>20331</v>
      </c>
      <c r="B11086" s="2" t="s">
        <v>13</v>
      </c>
      <c r="C11086" s="1" t="s">
        <v>108</v>
      </c>
      <c r="D11086" s="1" t="s">
        <v>3679</v>
      </c>
    </row>
    <row r="11087">
      <c r="A11087" s="1" t="s">
        <v>20332</v>
      </c>
      <c r="B11087" s="2" t="s">
        <v>20333</v>
      </c>
      <c r="C11087" s="1" t="s">
        <v>108</v>
      </c>
      <c r="D11087" s="1" t="s">
        <v>3679</v>
      </c>
    </row>
    <row r="11088">
      <c r="A11088" s="1" t="s">
        <v>20334</v>
      </c>
      <c r="B11088" s="2" t="s">
        <v>20335</v>
      </c>
      <c r="C11088" s="1" t="s">
        <v>108</v>
      </c>
      <c r="D11088" s="1" t="s">
        <v>3679</v>
      </c>
    </row>
    <row r="11089">
      <c r="A11089" s="1" t="s">
        <v>20336</v>
      </c>
      <c r="B11089" s="2" t="s">
        <v>20337</v>
      </c>
      <c r="C11089" s="1" t="s">
        <v>108</v>
      </c>
      <c r="D11089" s="1" t="s">
        <v>3679</v>
      </c>
    </row>
    <row r="11090">
      <c r="A11090" s="1" t="s">
        <v>20338</v>
      </c>
      <c r="B11090" s="2" t="s">
        <v>20339</v>
      </c>
      <c r="C11090" s="1" t="s">
        <v>108</v>
      </c>
      <c r="D11090" s="1" t="s">
        <v>3679</v>
      </c>
    </row>
    <row r="11091">
      <c r="A11091" s="1" t="s">
        <v>20340</v>
      </c>
      <c r="B11091" s="2" t="s">
        <v>20341</v>
      </c>
      <c r="C11091" s="1" t="s">
        <v>108</v>
      </c>
      <c r="D11091" s="1" t="s">
        <v>3679</v>
      </c>
    </row>
    <row r="11092">
      <c r="A11092" s="1" t="s">
        <v>20342</v>
      </c>
      <c r="B11092" s="2" t="s">
        <v>20343</v>
      </c>
      <c r="C11092" s="1" t="s">
        <v>108</v>
      </c>
      <c r="D11092" s="1" t="s">
        <v>3679</v>
      </c>
    </row>
    <row r="11093">
      <c r="A11093" s="1" t="s">
        <v>20344</v>
      </c>
      <c r="B11093" s="2" t="s">
        <v>20345</v>
      </c>
      <c r="C11093" s="1" t="s">
        <v>108</v>
      </c>
      <c r="D11093" s="1" t="s">
        <v>3679</v>
      </c>
    </row>
    <row r="11094">
      <c r="A11094" s="1" t="s">
        <v>20346</v>
      </c>
      <c r="B11094" s="2" t="s">
        <v>20347</v>
      </c>
      <c r="C11094" s="1" t="s">
        <v>108</v>
      </c>
      <c r="D11094" s="1" t="s">
        <v>3679</v>
      </c>
    </row>
    <row r="11095">
      <c r="A11095" s="1" t="s">
        <v>20348</v>
      </c>
      <c r="B11095" s="2" t="s">
        <v>20349</v>
      </c>
      <c r="C11095" s="1" t="s">
        <v>108</v>
      </c>
      <c r="D11095" s="1" t="s">
        <v>3679</v>
      </c>
    </row>
    <row r="11096">
      <c r="A11096" s="1" t="s">
        <v>20350</v>
      </c>
      <c r="B11096" s="2" t="s">
        <v>20351</v>
      </c>
      <c r="C11096" s="1" t="s">
        <v>108</v>
      </c>
      <c r="D11096" s="1" t="s">
        <v>3679</v>
      </c>
    </row>
    <row r="11097">
      <c r="A11097" s="1" t="s">
        <v>20352</v>
      </c>
      <c r="B11097" s="2" t="s">
        <v>20353</v>
      </c>
      <c r="C11097" s="1" t="s">
        <v>108</v>
      </c>
      <c r="D11097" s="1" t="s">
        <v>3679</v>
      </c>
    </row>
    <row r="11098">
      <c r="A11098" s="1" t="s">
        <v>20354</v>
      </c>
      <c r="B11098" s="2" t="s">
        <v>20355</v>
      </c>
      <c r="C11098" s="1" t="s">
        <v>108</v>
      </c>
      <c r="D11098" s="1" t="s">
        <v>3679</v>
      </c>
    </row>
    <row r="11099">
      <c r="A11099" s="1" t="s">
        <v>20356</v>
      </c>
      <c r="B11099" s="2" t="s">
        <v>20357</v>
      </c>
      <c r="C11099" s="1" t="s">
        <v>108</v>
      </c>
      <c r="D11099" s="1" t="s">
        <v>3679</v>
      </c>
    </row>
    <row r="11100">
      <c r="A11100" s="1" t="s">
        <v>20358</v>
      </c>
      <c r="B11100" s="2" t="s">
        <v>20359</v>
      </c>
      <c r="C11100" s="1" t="s">
        <v>108</v>
      </c>
      <c r="D11100" s="1" t="s">
        <v>3679</v>
      </c>
    </row>
    <row r="11101">
      <c r="A11101" s="1" t="s">
        <v>20360</v>
      </c>
      <c r="B11101" s="2" t="s">
        <v>20361</v>
      </c>
      <c r="C11101" s="1" t="s">
        <v>108</v>
      </c>
      <c r="D11101" s="1" t="s">
        <v>3679</v>
      </c>
    </row>
    <row r="11102">
      <c r="A11102" s="1" t="s">
        <v>20362</v>
      </c>
      <c r="B11102" s="2" t="s">
        <v>20363</v>
      </c>
      <c r="C11102" s="1" t="s">
        <v>108</v>
      </c>
      <c r="D11102" s="1" t="s">
        <v>3679</v>
      </c>
    </row>
    <row r="11103">
      <c r="A11103" s="1" t="s">
        <v>20364</v>
      </c>
      <c r="B11103" s="2" t="s">
        <v>20365</v>
      </c>
      <c r="C11103" s="1" t="s">
        <v>108</v>
      </c>
      <c r="D11103" s="1" t="s">
        <v>3679</v>
      </c>
    </row>
    <row r="11104">
      <c r="A11104" s="1" t="s">
        <v>20366</v>
      </c>
      <c r="B11104" s="2" t="s">
        <v>20367</v>
      </c>
      <c r="C11104" s="1" t="s">
        <v>108</v>
      </c>
      <c r="D11104" s="1" t="s">
        <v>3679</v>
      </c>
    </row>
    <row r="11105">
      <c r="A11105" s="1" t="s">
        <v>20368</v>
      </c>
      <c r="B11105" s="2" t="s">
        <v>70</v>
      </c>
      <c r="C11105" s="1" t="s">
        <v>108</v>
      </c>
      <c r="D11105" s="1" t="s">
        <v>3679</v>
      </c>
    </row>
    <row r="11106">
      <c r="A11106" s="1" t="s">
        <v>20369</v>
      </c>
      <c r="B11106" s="2" t="s">
        <v>20370</v>
      </c>
      <c r="C11106" s="1" t="s">
        <v>108</v>
      </c>
      <c r="D11106" s="1" t="s">
        <v>3679</v>
      </c>
    </row>
    <row r="11107">
      <c r="A11107" s="1" t="s">
        <v>20371</v>
      </c>
      <c r="B11107" s="2" t="s">
        <v>20372</v>
      </c>
      <c r="C11107" s="1" t="s">
        <v>108</v>
      </c>
      <c r="D11107" s="1" t="s">
        <v>3679</v>
      </c>
    </row>
    <row r="11108">
      <c r="A11108" s="1" t="s">
        <v>20373</v>
      </c>
      <c r="B11108" s="2" t="s">
        <v>20374</v>
      </c>
      <c r="C11108" s="1" t="s">
        <v>108</v>
      </c>
      <c r="D11108" s="1" t="s">
        <v>3679</v>
      </c>
    </row>
    <row r="11109">
      <c r="A11109" s="1" t="s">
        <v>20375</v>
      </c>
      <c r="B11109" s="2" t="s">
        <v>20376</v>
      </c>
      <c r="C11109" s="1" t="s">
        <v>108</v>
      </c>
      <c r="D11109" s="1" t="s">
        <v>3679</v>
      </c>
    </row>
    <row r="11110">
      <c r="A11110" s="1" t="s">
        <v>20377</v>
      </c>
      <c r="B11110" s="2" t="s">
        <v>20378</v>
      </c>
      <c r="C11110" s="1" t="s">
        <v>108</v>
      </c>
      <c r="D11110" s="1" t="s">
        <v>3679</v>
      </c>
    </row>
    <row r="11111">
      <c r="A11111" s="1" t="s">
        <v>20379</v>
      </c>
      <c r="B11111" s="2" t="s">
        <v>20380</v>
      </c>
      <c r="C11111" s="1" t="s">
        <v>108</v>
      </c>
      <c r="D11111" s="1" t="s">
        <v>3679</v>
      </c>
    </row>
    <row r="11112">
      <c r="A11112" s="1" t="s">
        <v>20381</v>
      </c>
      <c r="B11112" s="2" t="s">
        <v>20382</v>
      </c>
      <c r="C11112" s="1" t="s">
        <v>108</v>
      </c>
      <c r="D11112" s="1" t="s">
        <v>3679</v>
      </c>
    </row>
    <row r="11113">
      <c r="A11113" s="1" t="s">
        <v>20383</v>
      </c>
      <c r="B11113" s="2" t="s">
        <v>20384</v>
      </c>
      <c r="C11113" s="1" t="s">
        <v>108</v>
      </c>
      <c r="D11113" s="1" t="s">
        <v>3679</v>
      </c>
    </row>
    <row r="11114">
      <c r="A11114" s="1" t="s">
        <v>20385</v>
      </c>
      <c r="B11114" s="2" t="s">
        <v>20386</v>
      </c>
      <c r="C11114" s="1" t="s">
        <v>108</v>
      </c>
      <c r="D11114" s="1" t="s">
        <v>3679</v>
      </c>
    </row>
    <row r="11115">
      <c r="A11115" s="1" t="s">
        <v>20387</v>
      </c>
      <c r="B11115" s="2" t="s">
        <v>20388</v>
      </c>
      <c r="C11115" s="1" t="s">
        <v>108</v>
      </c>
      <c r="D11115" s="1" t="s">
        <v>3679</v>
      </c>
    </row>
    <row r="11116">
      <c r="A11116" s="1" t="s">
        <v>20389</v>
      </c>
      <c r="B11116" s="2" t="s">
        <v>20390</v>
      </c>
      <c r="C11116" s="1" t="s">
        <v>108</v>
      </c>
      <c r="D11116" s="1" t="s">
        <v>3679</v>
      </c>
    </row>
    <row r="11117">
      <c r="A11117" s="1" t="s">
        <v>20391</v>
      </c>
      <c r="B11117" s="2" t="s">
        <v>20392</v>
      </c>
      <c r="C11117" s="1" t="s">
        <v>108</v>
      </c>
      <c r="D11117" s="1" t="s">
        <v>3679</v>
      </c>
    </row>
    <row r="11118">
      <c r="A11118" s="1" t="s">
        <v>20393</v>
      </c>
      <c r="B11118" s="2" t="s">
        <v>20394</v>
      </c>
      <c r="C11118" s="1" t="s">
        <v>108</v>
      </c>
      <c r="D11118" s="1" t="s">
        <v>3679</v>
      </c>
    </row>
    <row r="11119">
      <c r="A11119" s="1" t="s">
        <v>20395</v>
      </c>
      <c r="B11119" s="2" t="s">
        <v>20396</v>
      </c>
      <c r="C11119" s="1" t="s">
        <v>108</v>
      </c>
      <c r="D11119" s="1" t="s">
        <v>3679</v>
      </c>
    </row>
    <row r="11120">
      <c r="A11120" s="1" t="s">
        <v>20397</v>
      </c>
      <c r="B11120" s="2" t="s">
        <v>20398</v>
      </c>
      <c r="C11120" s="1" t="s">
        <v>108</v>
      </c>
      <c r="D11120" s="1" t="s">
        <v>3679</v>
      </c>
    </row>
    <row r="11121">
      <c r="A11121" s="1" t="s">
        <v>20399</v>
      </c>
      <c r="B11121" s="2" t="s">
        <v>20400</v>
      </c>
      <c r="C11121" s="1" t="s">
        <v>108</v>
      </c>
      <c r="D11121" s="1" t="s">
        <v>3679</v>
      </c>
    </row>
    <row r="11122">
      <c r="A11122" s="1" t="s">
        <v>20401</v>
      </c>
      <c r="B11122" s="2" t="s">
        <v>20402</v>
      </c>
      <c r="C11122" s="1" t="s">
        <v>108</v>
      </c>
      <c r="D11122" s="1" t="s">
        <v>3679</v>
      </c>
    </row>
    <row r="11123">
      <c r="A11123" s="1" t="s">
        <v>20403</v>
      </c>
      <c r="B11123" s="2" t="s">
        <v>20404</v>
      </c>
      <c r="C11123" s="1" t="s">
        <v>108</v>
      </c>
      <c r="D11123" s="1" t="s">
        <v>3679</v>
      </c>
    </row>
    <row r="11124">
      <c r="A11124" s="1" t="s">
        <v>3740</v>
      </c>
      <c r="B11124" s="2" t="s">
        <v>7</v>
      </c>
      <c r="C11124" s="1" t="s">
        <v>3742</v>
      </c>
      <c r="D11124" s="1" t="s">
        <v>3743</v>
      </c>
    </row>
    <row r="11125">
      <c r="A11125" s="1" t="s">
        <v>20405</v>
      </c>
      <c r="B11125" s="2" t="s">
        <v>13</v>
      </c>
      <c r="C11125" s="1" t="s">
        <v>3742</v>
      </c>
      <c r="D11125" s="1" t="s">
        <v>3743</v>
      </c>
    </row>
    <row r="11126">
      <c r="A11126" s="1" t="s">
        <v>20406</v>
      </c>
      <c r="B11126" s="2" t="s">
        <v>20333</v>
      </c>
      <c r="C11126" s="1" t="s">
        <v>3742</v>
      </c>
      <c r="D11126" s="1" t="s">
        <v>3743</v>
      </c>
    </row>
    <row r="11127">
      <c r="A11127" s="1" t="s">
        <v>20407</v>
      </c>
      <c r="B11127" s="2" t="s">
        <v>20408</v>
      </c>
      <c r="C11127" s="1" t="s">
        <v>3742</v>
      </c>
      <c r="D11127" s="1" t="s">
        <v>3743</v>
      </c>
    </row>
    <row r="11128">
      <c r="A11128" s="1" t="s">
        <v>20409</v>
      </c>
      <c r="B11128" s="2" t="s">
        <v>20410</v>
      </c>
      <c r="C11128" s="1" t="s">
        <v>3742</v>
      </c>
      <c r="D11128" s="1" t="s">
        <v>3743</v>
      </c>
    </row>
    <row r="11129">
      <c r="A11129" s="1" t="s">
        <v>20411</v>
      </c>
      <c r="B11129" s="2" t="s">
        <v>20339</v>
      </c>
      <c r="C11129" s="1" t="s">
        <v>3742</v>
      </c>
      <c r="D11129" s="1" t="s">
        <v>3743</v>
      </c>
    </row>
    <row r="11130">
      <c r="A11130" s="1" t="s">
        <v>20412</v>
      </c>
      <c r="B11130" s="2" t="s">
        <v>20413</v>
      </c>
      <c r="C11130" s="1" t="s">
        <v>3742</v>
      </c>
      <c r="D11130" s="1" t="s">
        <v>3743</v>
      </c>
    </row>
    <row r="11131">
      <c r="A11131" s="1" t="s">
        <v>20414</v>
      </c>
      <c r="B11131" s="2" t="s">
        <v>20415</v>
      </c>
      <c r="C11131" s="1" t="s">
        <v>3742</v>
      </c>
      <c r="D11131" s="1" t="s">
        <v>3743</v>
      </c>
    </row>
    <row r="11132">
      <c r="A11132" s="1" t="s">
        <v>20416</v>
      </c>
      <c r="B11132" s="2" t="s">
        <v>20345</v>
      </c>
      <c r="C11132" s="1" t="s">
        <v>3742</v>
      </c>
      <c r="D11132" s="1" t="s">
        <v>3743</v>
      </c>
    </row>
    <row r="11133">
      <c r="A11133" s="1" t="s">
        <v>20417</v>
      </c>
      <c r="B11133" s="2" t="s">
        <v>20418</v>
      </c>
      <c r="C11133" s="1" t="s">
        <v>3742</v>
      </c>
      <c r="D11133" s="1" t="s">
        <v>3743</v>
      </c>
    </row>
    <row r="11134">
      <c r="A11134" s="1" t="s">
        <v>20419</v>
      </c>
      <c r="B11134" s="2" t="s">
        <v>20420</v>
      </c>
      <c r="C11134" s="1" t="s">
        <v>3742</v>
      </c>
      <c r="D11134" s="1" t="s">
        <v>3743</v>
      </c>
    </row>
    <row r="11135">
      <c r="A11135" s="1" t="s">
        <v>20421</v>
      </c>
      <c r="B11135" s="2" t="s">
        <v>20351</v>
      </c>
      <c r="C11135" s="1" t="s">
        <v>3742</v>
      </c>
      <c r="D11135" s="1" t="s">
        <v>3743</v>
      </c>
    </row>
    <row r="11136">
      <c r="A11136" s="1" t="s">
        <v>20422</v>
      </c>
      <c r="B11136" s="2" t="s">
        <v>20423</v>
      </c>
      <c r="C11136" s="1" t="s">
        <v>3742</v>
      </c>
      <c r="D11136" s="1" t="s">
        <v>3743</v>
      </c>
    </row>
    <row r="11137">
      <c r="A11137" s="1" t="s">
        <v>20424</v>
      </c>
      <c r="B11137" s="2" t="s">
        <v>20425</v>
      </c>
      <c r="C11137" s="1" t="s">
        <v>3742</v>
      </c>
      <c r="D11137" s="1" t="s">
        <v>3743</v>
      </c>
    </row>
    <row r="11138">
      <c r="A11138" s="1" t="s">
        <v>20426</v>
      </c>
      <c r="B11138" s="2" t="s">
        <v>20357</v>
      </c>
      <c r="C11138" s="1" t="s">
        <v>3742</v>
      </c>
      <c r="D11138" s="1" t="s">
        <v>3743</v>
      </c>
    </row>
    <row r="11139">
      <c r="A11139" s="1" t="s">
        <v>20427</v>
      </c>
      <c r="B11139" s="2" t="s">
        <v>20428</v>
      </c>
      <c r="C11139" s="1" t="s">
        <v>3742</v>
      </c>
      <c r="D11139" s="1" t="s">
        <v>3743</v>
      </c>
    </row>
    <row r="11140">
      <c r="A11140" s="1" t="s">
        <v>20429</v>
      </c>
      <c r="B11140" s="2" t="s">
        <v>20430</v>
      </c>
      <c r="C11140" s="1" t="s">
        <v>3742</v>
      </c>
      <c r="D11140" s="1" t="s">
        <v>3743</v>
      </c>
    </row>
    <row r="11141">
      <c r="A11141" s="1" t="s">
        <v>20431</v>
      </c>
      <c r="B11141" s="2" t="s">
        <v>20363</v>
      </c>
      <c r="C11141" s="1" t="s">
        <v>3742</v>
      </c>
      <c r="D11141" s="1" t="s">
        <v>3743</v>
      </c>
    </row>
    <row r="11142">
      <c r="A11142" s="1" t="s">
        <v>20432</v>
      </c>
      <c r="B11142" s="2" t="s">
        <v>20433</v>
      </c>
      <c r="C11142" s="1" t="s">
        <v>3742</v>
      </c>
      <c r="D11142" s="1" t="s">
        <v>3743</v>
      </c>
    </row>
    <row r="11143">
      <c r="A11143" s="1" t="s">
        <v>20434</v>
      </c>
      <c r="B11143" s="2" t="s">
        <v>20435</v>
      </c>
      <c r="C11143" s="1" t="s">
        <v>3742</v>
      </c>
      <c r="D11143" s="1" t="s">
        <v>3743</v>
      </c>
    </row>
    <row r="11144">
      <c r="A11144" s="1" t="s">
        <v>20436</v>
      </c>
      <c r="B11144" s="2" t="s">
        <v>70</v>
      </c>
      <c r="C11144" s="1" t="s">
        <v>3742</v>
      </c>
      <c r="D11144" s="1" t="s">
        <v>3743</v>
      </c>
    </row>
    <row r="11145">
      <c r="A11145" s="1" t="s">
        <v>20437</v>
      </c>
      <c r="B11145" s="2" t="s">
        <v>20370</v>
      </c>
      <c r="C11145" s="1" t="s">
        <v>3742</v>
      </c>
      <c r="D11145" s="1" t="s">
        <v>3743</v>
      </c>
    </row>
    <row r="11146">
      <c r="A11146" s="1" t="s">
        <v>20438</v>
      </c>
      <c r="B11146" s="2" t="s">
        <v>20439</v>
      </c>
      <c r="C11146" s="1" t="s">
        <v>3742</v>
      </c>
      <c r="D11146" s="1" t="s">
        <v>3743</v>
      </c>
    </row>
    <row r="11147">
      <c r="A11147" s="1" t="s">
        <v>20440</v>
      </c>
      <c r="B11147" s="2" t="s">
        <v>20441</v>
      </c>
      <c r="C11147" s="1" t="s">
        <v>3742</v>
      </c>
      <c r="D11147" s="1" t="s">
        <v>3743</v>
      </c>
    </row>
    <row r="11148">
      <c r="A11148" s="1" t="s">
        <v>20442</v>
      </c>
      <c r="B11148" s="2" t="s">
        <v>20376</v>
      </c>
      <c r="C11148" s="1" t="s">
        <v>3742</v>
      </c>
      <c r="D11148" s="1" t="s">
        <v>3743</v>
      </c>
    </row>
    <row r="11149">
      <c r="A11149" s="1" t="s">
        <v>20443</v>
      </c>
      <c r="B11149" s="2" t="s">
        <v>20444</v>
      </c>
      <c r="C11149" s="1" t="s">
        <v>3742</v>
      </c>
      <c r="D11149" s="1" t="s">
        <v>3743</v>
      </c>
    </row>
    <row r="11150">
      <c r="A11150" s="1" t="s">
        <v>20445</v>
      </c>
      <c r="B11150" s="2" t="s">
        <v>20446</v>
      </c>
      <c r="C11150" s="1" t="s">
        <v>3742</v>
      </c>
      <c r="D11150" s="1" t="s">
        <v>3743</v>
      </c>
    </row>
    <row r="11151">
      <c r="A11151" s="1" t="s">
        <v>20447</v>
      </c>
      <c r="B11151" s="2" t="s">
        <v>20382</v>
      </c>
      <c r="C11151" s="1" t="s">
        <v>3742</v>
      </c>
      <c r="D11151" s="1" t="s">
        <v>3743</v>
      </c>
    </row>
    <row r="11152">
      <c r="A11152" s="1" t="s">
        <v>20448</v>
      </c>
      <c r="B11152" s="2" t="s">
        <v>20449</v>
      </c>
      <c r="C11152" s="1" t="s">
        <v>3742</v>
      </c>
      <c r="D11152" s="1" t="s">
        <v>3743</v>
      </c>
    </row>
    <row r="11153">
      <c r="A11153" s="1" t="s">
        <v>20450</v>
      </c>
      <c r="B11153" s="2" t="s">
        <v>20451</v>
      </c>
      <c r="C11153" s="1" t="s">
        <v>3742</v>
      </c>
      <c r="D11153" s="1" t="s">
        <v>3743</v>
      </c>
    </row>
    <row r="11154">
      <c r="A11154" s="1" t="s">
        <v>20452</v>
      </c>
      <c r="B11154" s="2" t="s">
        <v>20388</v>
      </c>
      <c r="C11154" s="1" t="s">
        <v>3742</v>
      </c>
      <c r="D11154" s="1" t="s">
        <v>3743</v>
      </c>
    </row>
    <row r="11155">
      <c r="A11155" s="1" t="s">
        <v>20453</v>
      </c>
      <c r="B11155" s="2" t="s">
        <v>20454</v>
      </c>
      <c r="C11155" s="1" t="s">
        <v>3742</v>
      </c>
      <c r="D11155" s="1" t="s">
        <v>3743</v>
      </c>
    </row>
    <row r="11156">
      <c r="A11156" s="1" t="s">
        <v>20455</v>
      </c>
      <c r="B11156" s="2" t="s">
        <v>20456</v>
      </c>
      <c r="C11156" s="1" t="s">
        <v>3742</v>
      </c>
      <c r="D11156" s="1" t="s">
        <v>3743</v>
      </c>
    </row>
    <row r="11157">
      <c r="A11157" s="1" t="s">
        <v>20457</v>
      </c>
      <c r="B11157" s="2" t="s">
        <v>20394</v>
      </c>
      <c r="C11157" s="1" t="s">
        <v>3742</v>
      </c>
      <c r="D11157" s="1" t="s">
        <v>3743</v>
      </c>
    </row>
    <row r="11158">
      <c r="A11158" s="1" t="s">
        <v>20458</v>
      </c>
      <c r="B11158" s="2" t="s">
        <v>20459</v>
      </c>
      <c r="C11158" s="1" t="s">
        <v>3742</v>
      </c>
      <c r="D11158" s="1" t="s">
        <v>3743</v>
      </c>
    </row>
    <row r="11159">
      <c r="A11159" s="1" t="s">
        <v>20460</v>
      </c>
      <c r="B11159" s="2" t="s">
        <v>20461</v>
      </c>
      <c r="C11159" s="1" t="s">
        <v>3742</v>
      </c>
      <c r="D11159" s="1" t="s">
        <v>3743</v>
      </c>
    </row>
    <row r="11160">
      <c r="A11160" s="1" t="s">
        <v>20462</v>
      </c>
      <c r="B11160" s="2" t="s">
        <v>20400</v>
      </c>
      <c r="C11160" s="1" t="s">
        <v>3742</v>
      </c>
      <c r="D11160" s="1" t="s">
        <v>3743</v>
      </c>
    </row>
    <row r="11161">
      <c r="A11161" s="1" t="s">
        <v>20463</v>
      </c>
      <c r="B11161" s="2" t="s">
        <v>20464</v>
      </c>
      <c r="C11161" s="1" t="s">
        <v>3742</v>
      </c>
      <c r="D11161" s="1" t="s">
        <v>3743</v>
      </c>
    </row>
    <row r="11162">
      <c r="A11162" s="1" t="s">
        <v>20465</v>
      </c>
      <c r="B11162" s="2" t="s">
        <v>20466</v>
      </c>
      <c r="C11162" s="1" t="s">
        <v>3742</v>
      </c>
      <c r="D11162" s="1" t="s">
        <v>3743</v>
      </c>
    </row>
    <row r="11163">
      <c r="A11163" s="1" t="s">
        <v>3746</v>
      </c>
      <c r="B11163" s="2" t="s">
        <v>7</v>
      </c>
      <c r="C11163" s="1" t="s">
        <v>3749</v>
      </c>
      <c r="D11163" s="1" t="s">
        <v>3750</v>
      </c>
    </row>
    <row r="11164">
      <c r="A11164" s="1" t="s">
        <v>20467</v>
      </c>
      <c r="B11164" s="2" t="s">
        <v>13</v>
      </c>
      <c r="C11164" s="1" t="s">
        <v>3749</v>
      </c>
      <c r="D11164" s="1" t="s">
        <v>3750</v>
      </c>
    </row>
    <row r="11165">
      <c r="A11165" s="1" t="s">
        <v>20468</v>
      </c>
      <c r="B11165" s="2" t="s">
        <v>20333</v>
      </c>
      <c r="C11165" s="1" t="s">
        <v>3749</v>
      </c>
      <c r="D11165" s="1" t="s">
        <v>3750</v>
      </c>
    </row>
    <row r="11166">
      <c r="A11166" s="1" t="s">
        <v>20469</v>
      </c>
      <c r="B11166" s="2" t="s">
        <v>20470</v>
      </c>
      <c r="C11166" s="1" t="s">
        <v>3749</v>
      </c>
      <c r="D11166" s="1" t="s">
        <v>3750</v>
      </c>
    </row>
    <row r="11167">
      <c r="A11167" s="1" t="s">
        <v>20471</v>
      </c>
      <c r="B11167" s="2" t="s">
        <v>20472</v>
      </c>
      <c r="C11167" s="1" t="s">
        <v>3749</v>
      </c>
      <c r="D11167" s="1" t="s">
        <v>3750</v>
      </c>
    </row>
    <row r="11168">
      <c r="A11168" s="1" t="s">
        <v>20473</v>
      </c>
      <c r="B11168" s="2" t="s">
        <v>20339</v>
      </c>
      <c r="C11168" s="1" t="s">
        <v>3749</v>
      </c>
      <c r="D11168" s="1" t="s">
        <v>3750</v>
      </c>
    </row>
    <row r="11169">
      <c r="A11169" s="1" t="s">
        <v>20474</v>
      </c>
      <c r="B11169" s="2" t="s">
        <v>20475</v>
      </c>
      <c r="C11169" s="1" t="s">
        <v>3749</v>
      </c>
      <c r="D11169" s="1" t="s">
        <v>3750</v>
      </c>
    </row>
    <row r="11170">
      <c r="A11170" s="1" t="s">
        <v>20476</v>
      </c>
      <c r="B11170" s="2" t="s">
        <v>20477</v>
      </c>
      <c r="C11170" s="1" t="s">
        <v>3749</v>
      </c>
      <c r="D11170" s="1" t="s">
        <v>3750</v>
      </c>
    </row>
    <row r="11171">
      <c r="A11171" s="1" t="s">
        <v>20478</v>
      </c>
      <c r="B11171" s="2" t="s">
        <v>20345</v>
      </c>
      <c r="C11171" s="1" t="s">
        <v>3749</v>
      </c>
      <c r="D11171" s="1" t="s">
        <v>3750</v>
      </c>
    </row>
    <row r="11172">
      <c r="A11172" s="1" t="s">
        <v>20479</v>
      </c>
      <c r="B11172" s="2" t="s">
        <v>20480</v>
      </c>
      <c r="C11172" s="1" t="s">
        <v>3749</v>
      </c>
      <c r="D11172" s="1" t="s">
        <v>3750</v>
      </c>
    </row>
    <row r="11173">
      <c r="A11173" s="1" t="s">
        <v>20481</v>
      </c>
      <c r="B11173" s="2" t="s">
        <v>20482</v>
      </c>
      <c r="C11173" s="1" t="s">
        <v>3749</v>
      </c>
      <c r="D11173" s="1" t="s">
        <v>3750</v>
      </c>
    </row>
    <row r="11174">
      <c r="A11174" s="1" t="s">
        <v>20483</v>
      </c>
      <c r="B11174" s="2" t="s">
        <v>20351</v>
      </c>
      <c r="C11174" s="1" t="s">
        <v>3749</v>
      </c>
      <c r="D11174" s="1" t="s">
        <v>3750</v>
      </c>
    </row>
    <row r="11175">
      <c r="A11175" s="1" t="s">
        <v>20484</v>
      </c>
      <c r="B11175" s="2" t="s">
        <v>20485</v>
      </c>
      <c r="C11175" s="1" t="s">
        <v>3749</v>
      </c>
      <c r="D11175" s="1" t="s">
        <v>3750</v>
      </c>
    </row>
    <row r="11176">
      <c r="A11176" s="1" t="s">
        <v>20486</v>
      </c>
      <c r="B11176" s="2" t="s">
        <v>20487</v>
      </c>
      <c r="C11176" s="1" t="s">
        <v>3749</v>
      </c>
      <c r="D11176" s="1" t="s">
        <v>3750</v>
      </c>
    </row>
    <row r="11177">
      <c r="A11177" s="1" t="s">
        <v>20488</v>
      </c>
      <c r="B11177" s="2" t="s">
        <v>20357</v>
      </c>
      <c r="C11177" s="1" t="s">
        <v>3749</v>
      </c>
      <c r="D11177" s="1" t="s">
        <v>3750</v>
      </c>
    </row>
    <row r="11178">
      <c r="A11178" s="1" t="s">
        <v>20489</v>
      </c>
      <c r="B11178" s="2" t="s">
        <v>20490</v>
      </c>
      <c r="C11178" s="1" t="s">
        <v>3749</v>
      </c>
      <c r="D11178" s="1" t="s">
        <v>3750</v>
      </c>
    </row>
    <row r="11179">
      <c r="A11179" s="1" t="s">
        <v>20491</v>
      </c>
      <c r="B11179" s="2" t="s">
        <v>20492</v>
      </c>
      <c r="C11179" s="1" t="s">
        <v>3749</v>
      </c>
      <c r="D11179" s="1" t="s">
        <v>3750</v>
      </c>
    </row>
    <row r="11180">
      <c r="A11180" s="1" t="s">
        <v>20493</v>
      </c>
      <c r="B11180" s="2" t="s">
        <v>20363</v>
      </c>
      <c r="C11180" s="1" t="s">
        <v>3749</v>
      </c>
      <c r="D11180" s="1" t="s">
        <v>3750</v>
      </c>
    </row>
    <row r="11181">
      <c r="A11181" s="1" t="s">
        <v>20494</v>
      </c>
      <c r="B11181" s="2" t="s">
        <v>20495</v>
      </c>
      <c r="C11181" s="1" t="s">
        <v>3749</v>
      </c>
      <c r="D11181" s="1" t="s">
        <v>3750</v>
      </c>
    </row>
    <row r="11182">
      <c r="A11182" s="1" t="s">
        <v>20496</v>
      </c>
      <c r="B11182" s="2" t="s">
        <v>20497</v>
      </c>
      <c r="C11182" s="1" t="s">
        <v>3749</v>
      </c>
      <c r="D11182" s="1" t="s">
        <v>3750</v>
      </c>
    </row>
    <row r="11183">
      <c r="A11183" s="1" t="s">
        <v>20498</v>
      </c>
      <c r="B11183" s="2" t="s">
        <v>70</v>
      </c>
      <c r="C11183" s="1" t="s">
        <v>3749</v>
      </c>
      <c r="D11183" s="1" t="s">
        <v>3750</v>
      </c>
    </row>
    <row r="11184">
      <c r="A11184" s="1" t="s">
        <v>20499</v>
      </c>
      <c r="B11184" s="2" t="s">
        <v>20370</v>
      </c>
      <c r="C11184" s="1" t="s">
        <v>3749</v>
      </c>
      <c r="D11184" s="1" t="s">
        <v>3750</v>
      </c>
    </row>
    <row r="11185">
      <c r="A11185" s="1" t="s">
        <v>20500</v>
      </c>
      <c r="B11185" s="2" t="s">
        <v>20501</v>
      </c>
      <c r="C11185" s="1" t="s">
        <v>3749</v>
      </c>
      <c r="D11185" s="1" t="s">
        <v>3750</v>
      </c>
    </row>
    <row r="11186">
      <c r="A11186" s="1" t="s">
        <v>20502</v>
      </c>
      <c r="B11186" s="2" t="s">
        <v>20503</v>
      </c>
      <c r="C11186" s="1" t="s">
        <v>3749</v>
      </c>
      <c r="D11186" s="1" t="s">
        <v>3750</v>
      </c>
    </row>
    <row r="11187">
      <c r="A11187" s="1" t="s">
        <v>20504</v>
      </c>
      <c r="B11187" s="2" t="s">
        <v>20376</v>
      </c>
      <c r="C11187" s="1" t="s">
        <v>3749</v>
      </c>
      <c r="D11187" s="1" t="s">
        <v>3750</v>
      </c>
    </row>
    <row r="11188">
      <c r="A11188" s="1" t="s">
        <v>20505</v>
      </c>
      <c r="B11188" s="2" t="s">
        <v>20506</v>
      </c>
      <c r="C11188" s="1" t="s">
        <v>3749</v>
      </c>
      <c r="D11188" s="1" t="s">
        <v>3750</v>
      </c>
    </row>
    <row r="11189">
      <c r="A11189" s="1" t="s">
        <v>20507</v>
      </c>
      <c r="B11189" s="2" t="s">
        <v>20508</v>
      </c>
      <c r="C11189" s="1" t="s">
        <v>3749</v>
      </c>
      <c r="D11189" s="1" t="s">
        <v>3750</v>
      </c>
    </row>
    <row r="11190">
      <c r="A11190" s="1" t="s">
        <v>20509</v>
      </c>
      <c r="B11190" s="2" t="s">
        <v>20382</v>
      </c>
      <c r="C11190" s="1" t="s">
        <v>3749</v>
      </c>
      <c r="D11190" s="1" t="s">
        <v>3750</v>
      </c>
    </row>
    <row r="11191">
      <c r="A11191" s="1" t="s">
        <v>20510</v>
      </c>
      <c r="B11191" s="2" t="s">
        <v>20511</v>
      </c>
      <c r="C11191" s="1" t="s">
        <v>3749</v>
      </c>
      <c r="D11191" s="1" t="s">
        <v>3750</v>
      </c>
    </row>
    <row r="11192">
      <c r="A11192" s="1" t="s">
        <v>20512</v>
      </c>
      <c r="B11192" s="2" t="s">
        <v>20513</v>
      </c>
      <c r="C11192" s="1" t="s">
        <v>3749</v>
      </c>
      <c r="D11192" s="1" t="s">
        <v>3750</v>
      </c>
    </row>
    <row r="11193">
      <c r="A11193" s="1" t="s">
        <v>20514</v>
      </c>
      <c r="B11193" s="2" t="s">
        <v>20388</v>
      </c>
      <c r="C11193" s="1" t="s">
        <v>3749</v>
      </c>
      <c r="D11193" s="1" t="s">
        <v>3750</v>
      </c>
    </row>
    <row r="11194">
      <c r="A11194" s="1" t="s">
        <v>20515</v>
      </c>
      <c r="B11194" s="2" t="s">
        <v>20516</v>
      </c>
      <c r="C11194" s="1" t="s">
        <v>3749</v>
      </c>
      <c r="D11194" s="1" t="s">
        <v>3750</v>
      </c>
    </row>
    <row r="11195">
      <c r="A11195" s="1" t="s">
        <v>20517</v>
      </c>
      <c r="B11195" s="2" t="s">
        <v>20518</v>
      </c>
      <c r="C11195" s="1" t="s">
        <v>3749</v>
      </c>
      <c r="D11195" s="1" t="s">
        <v>3750</v>
      </c>
    </row>
    <row r="11196">
      <c r="A11196" s="1" t="s">
        <v>20519</v>
      </c>
      <c r="B11196" s="2" t="s">
        <v>20394</v>
      </c>
      <c r="C11196" s="1" t="s">
        <v>3749</v>
      </c>
      <c r="D11196" s="1" t="s">
        <v>3750</v>
      </c>
    </row>
    <row r="11197">
      <c r="A11197" s="1" t="s">
        <v>20520</v>
      </c>
      <c r="B11197" s="2" t="s">
        <v>20521</v>
      </c>
      <c r="C11197" s="1" t="s">
        <v>3749</v>
      </c>
      <c r="D11197" s="1" t="s">
        <v>3750</v>
      </c>
    </row>
    <row r="11198">
      <c r="A11198" s="1" t="s">
        <v>20522</v>
      </c>
      <c r="B11198" s="2" t="s">
        <v>20523</v>
      </c>
      <c r="C11198" s="1" t="s">
        <v>3749</v>
      </c>
      <c r="D11198" s="1" t="s">
        <v>3750</v>
      </c>
    </row>
    <row r="11199">
      <c r="A11199" s="1" t="s">
        <v>20524</v>
      </c>
      <c r="B11199" s="2" t="s">
        <v>20400</v>
      </c>
      <c r="C11199" s="1" t="s">
        <v>3749</v>
      </c>
      <c r="D11199" s="1" t="s">
        <v>3750</v>
      </c>
    </row>
    <row r="11200">
      <c r="A11200" s="1" t="s">
        <v>20525</v>
      </c>
      <c r="B11200" s="2" t="s">
        <v>20526</v>
      </c>
      <c r="C11200" s="1" t="s">
        <v>3749</v>
      </c>
      <c r="D11200" s="1" t="s">
        <v>3750</v>
      </c>
    </row>
    <row r="11201">
      <c r="A11201" s="1" t="s">
        <v>20527</v>
      </c>
      <c r="B11201" s="2" t="s">
        <v>20528</v>
      </c>
      <c r="C11201" s="1" t="s">
        <v>3749</v>
      </c>
      <c r="D11201" s="1" t="s">
        <v>3750</v>
      </c>
    </row>
    <row r="11202">
      <c r="A11202" s="1" t="s">
        <v>3753</v>
      </c>
      <c r="B11202" s="2" t="s">
        <v>7</v>
      </c>
      <c r="C11202" s="1" t="s">
        <v>3756</v>
      </c>
      <c r="D11202" s="1" t="s">
        <v>3757</v>
      </c>
    </row>
    <row r="11203">
      <c r="A11203" s="1" t="s">
        <v>20529</v>
      </c>
      <c r="B11203" s="2" t="s">
        <v>13</v>
      </c>
      <c r="C11203" s="1" t="s">
        <v>3756</v>
      </c>
      <c r="D11203" s="1" t="s">
        <v>3757</v>
      </c>
    </row>
    <row r="11204">
      <c r="A11204" s="1" t="s">
        <v>20530</v>
      </c>
      <c r="B11204" s="2" t="s">
        <v>20339</v>
      </c>
      <c r="C11204" s="1" t="s">
        <v>3756</v>
      </c>
      <c r="D11204" s="1" t="s">
        <v>3757</v>
      </c>
    </row>
    <row r="11205">
      <c r="A11205" s="1" t="s">
        <v>20531</v>
      </c>
      <c r="B11205" s="2" t="s">
        <v>20532</v>
      </c>
      <c r="C11205" s="1" t="s">
        <v>3756</v>
      </c>
      <c r="D11205" s="1" t="s">
        <v>3757</v>
      </c>
    </row>
    <row r="11206">
      <c r="A11206" s="1" t="s">
        <v>20533</v>
      </c>
      <c r="B11206" s="2" t="s">
        <v>20534</v>
      </c>
      <c r="C11206" s="1" t="s">
        <v>3756</v>
      </c>
      <c r="D11206" s="1" t="s">
        <v>3757</v>
      </c>
    </row>
    <row r="11207">
      <c r="A11207" s="1" t="s">
        <v>20535</v>
      </c>
      <c r="B11207" s="2" t="s">
        <v>20345</v>
      </c>
      <c r="C11207" s="1" t="s">
        <v>3756</v>
      </c>
      <c r="D11207" s="1" t="s">
        <v>3757</v>
      </c>
    </row>
    <row r="11208">
      <c r="A11208" s="1" t="s">
        <v>20536</v>
      </c>
      <c r="B11208" s="2" t="s">
        <v>20537</v>
      </c>
      <c r="C11208" s="1" t="s">
        <v>3756</v>
      </c>
      <c r="D11208" s="1" t="s">
        <v>3757</v>
      </c>
    </row>
    <row r="11209">
      <c r="A11209" s="1" t="s">
        <v>20538</v>
      </c>
      <c r="B11209" s="2" t="s">
        <v>20539</v>
      </c>
      <c r="C11209" s="1" t="s">
        <v>3756</v>
      </c>
      <c r="D11209" s="1" t="s">
        <v>3757</v>
      </c>
    </row>
    <row r="11210">
      <c r="A11210" s="1" t="s">
        <v>20540</v>
      </c>
      <c r="B11210" s="2" t="s">
        <v>20351</v>
      </c>
      <c r="C11210" s="1" t="s">
        <v>3756</v>
      </c>
      <c r="D11210" s="1" t="s">
        <v>3757</v>
      </c>
    </row>
    <row r="11211">
      <c r="A11211" s="1" t="s">
        <v>20541</v>
      </c>
      <c r="B11211" s="2" t="s">
        <v>20542</v>
      </c>
      <c r="C11211" s="1" t="s">
        <v>3756</v>
      </c>
      <c r="D11211" s="1" t="s">
        <v>3757</v>
      </c>
    </row>
    <row r="11212">
      <c r="A11212" s="1" t="s">
        <v>20543</v>
      </c>
      <c r="B11212" s="2" t="s">
        <v>20544</v>
      </c>
      <c r="C11212" s="1" t="s">
        <v>3756</v>
      </c>
      <c r="D11212" s="1" t="s">
        <v>3757</v>
      </c>
    </row>
    <row r="11213">
      <c r="A11213" s="1" t="s">
        <v>20545</v>
      </c>
      <c r="B11213" s="2" t="s">
        <v>20357</v>
      </c>
      <c r="C11213" s="1" t="s">
        <v>3756</v>
      </c>
      <c r="D11213" s="1" t="s">
        <v>3757</v>
      </c>
    </row>
    <row r="11214">
      <c r="A11214" s="1" t="s">
        <v>20546</v>
      </c>
      <c r="B11214" s="2" t="s">
        <v>20547</v>
      </c>
      <c r="C11214" s="1" t="s">
        <v>3756</v>
      </c>
      <c r="D11214" s="1" t="s">
        <v>3757</v>
      </c>
    </row>
    <row r="11215">
      <c r="A11215" s="1" t="s">
        <v>20548</v>
      </c>
      <c r="B11215" s="2" t="s">
        <v>20549</v>
      </c>
      <c r="C11215" s="1" t="s">
        <v>3756</v>
      </c>
      <c r="D11215" s="1" t="s">
        <v>3757</v>
      </c>
    </row>
    <row r="11216">
      <c r="A11216" s="1" t="s">
        <v>20550</v>
      </c>
      <c r="B11216" s="2" t="s">
        <v>20363</v>
      </c>
      <c r="C11216" s="1" t="s">
        <v>3756</v>
      </c>
      <c r="D11216" s="1" t="s">
        <v>3757</v>
      </c>
    </row>
    <row r="11217">
      <c r="A11217" s="1" t="s">
        <v>20551</v>
      </c>
      <c r="B11217" s="2" t="s">
        <v>20552</v>
      </c>
      <c r="C11217" s="1" t="s">
        <v>3756</v>
      </c>
      <c r="D11217" s="1" t="s">
        <v>3757</v>
      </c>
    </row>
    <row r="11218">
      <c r="A11218" s="1" t="s">
        <v>20553</v>
      </c>
      <c r="B11218" s="2" t="s">
        <v>20554</v>
      </c>
      <c r="C11218" s="1" t="s">
        <v>3756</v>
      </c>
      <c r="D11218" s="1" t="s">
        <v>3757</v>
      </c>
    </row>
    <row r="11219">
      <c r="A11219" s="1" t="s">
        <v>20555</v>
      </c>
      <c r="B11219" s="2" t="s">
        <v>70</v>
      </c>
      <c r="C11219" s="1" t="s">
        <v>3756</v>
      </c>
      <c r="D11219" s="1" t="s">
        <v>3757</v>
      </c>
    </row>
    <row r="11220">
      <c r="A11220" s="1" t="s">
        <v>20556</v>
      </c>
      <c r="B11220" s="2" t="s">
        <v>20376</v>
      </c>
      <c r="C11220" s="1" t="s">
        <v>3756</v>
      </c>
      <c r="D11220" s="1" t="s">
        <v>3757</v>
      </c>
    </row>
    <row r="11221">
      <c r="A11221" s="1" t="s">
        <v>20557</v>
      </c>
      <c r="B11221" s="2" t="s">
        <v>20558</v>
      </c>
      <c r="C11221" s="1" t="s">
        <v>3756</v>
      </c>
      <c r="D11221" s="1" t="s">
        <v>3757</v>
      </c>
    </row>
    <row r="11222">
      <c r="A11222" s="1" t="s">
        <v>20559</v>
      </c>
      <c r="B11222" s="2" t="s">
        <v>20560</v>
      </c>
      <c r="C11222" s="1" t="s">
        <v>3756</v>
      </c>
      <c r="D11222" s="1" t="s">
        <v>3757</v>
      </c>
    </row>
    <row r="11223">
      <c r="A11223" s="1" t="s">
        <v>20561</v>
      </c>
      <c r="B11223" s="2" t="s">
        <v>20382</v>
      </c>
      <c r="C11223" s="1" t="s">
        <v>3756</v>
      </c>
      <c r="D11223" s="1" t="s">
        <v>3757</v>
      </c>
    </row>
    <row r="11224">
      <c r="A11224" s="1" t="s">
        <v>20562</v>
      </c>
      <c r="B11224" s="2" t="s">
        <v>20563</v>
      </c>
      <c r="C11224" s="1" t="s">
        <v>3756</v>
      </c>
      <c r="D11224" s="1" t="s">
        <v>3757</v>
      </c>
    </row>
    <row r="11225">
      <c r="A11225" s="1" t="s">
        <v>20564</v>
      </c>
      <c r="B11225" s="2" t="s">
        <v>20565</v>
      </c>
      <c r="C11225" s="1" t="s">
        <v>3756</v>
      </c>
      <c r="D11225" s="1" t="s">
        <v>3757</v>
      </c>
    </row>
    <row r="11226">
      <c r="A11226" s="1" t="s">
        <v>20566</v>
      </c>
      <c r="B11226" s="2" t="s">
        <v>20388</v>
      </c>
      <c r="C11226" s="1" t="s">
        <v>3756</v>
      </c>
      <c r="D11226" s="1" t="s">
        <v>3757</v>
      </c>
    </row>
    <row r="11227">
      <c r="A11227" s="1" t="s">
        <v>20567</v>
      </c>
      <c r="B11227" s="2" t="s">
        <v>20568</v>
      </c>
      <c r="C11227" s="1" t="s">
        <v>3756</v>
      </c>
      <c r="D11227" s="1" t="s">
        <v>3757</v>
      </c>
    </row>
    <row r="11228">
      <c r="A11228" s="1" t="s">
        <v>20569</v>
      </c>
      <c r="B11228" s="2" t="s">
        <v>20570</v>
      </c>
      <c r="C11228" s="1" t="s">
        <v>3756</v>
      </c>
      <c r="D11228" s="1" t="s">
        <v>3757</v>
      </c>
    </row>
    <row r="11229">
      <c r="A11229" s="1" t="s">
        <v>20571</v>
      </c>
      <c r="B11229" s="2" t="s">
        <v>20394</v>
      </c>
      <c r="C11229" s="1" t="s">
        <v>3756</v>
      </c>
      <c r="D11229" s="1" t="s">
        <v>3757</v>
      </c>
    </row>
    <row r="11230">
      <c r="A11230" s="1" t="s">
        <v>20572</v>
      </c>
      <c r="B11230" s="2" t="s">
        <v>20573</v>
      </c>
      <c r="C11230" s="1" t="s">
        <v>3756</v>
      </c>
      <c r="D11230" s="1" t="s">
        <v>3757</v>
      </c>
    </row>
    <row r="11231">
      <c r="A11231" s="1" t="s">
        <v>20574</v>
      </c>
      <c r="B11231" s="2" t="s">
        <v>20575</v>
      </c>
      <c r="C11231" s="1" t="s">
        <v>3756</v>
      </c>
      <c r="D11231" s="1" t="s">
        <v>3757</v>
      </c>
    </row>
    <row r="11232">
      <c r="A11232" s="1" t="s">
        <v>20576</v>
      </c>
      <c r="B11232" s="2" t="s">
        <v>20400</v>
      </c>
      <c r="C11232" s="1" t="s">
        <v>3756</v>
      </c>
      <c r="D11232" s="1" t="s">
        <v>3757</v>
      </c>
    </row>
    <row r="11233">
      <c r="A11233" s="1" t="s">
        <v>20577</v>
      </c>
      <c r="B11233" s="2" t="s">
        <v>20578</v>
      </c>
      <c r="C11233" s="1" t="s">
        <v>3756</v>
      </c>
      <c r="D11233" s="1" t="s">
        <v>3757</v>
      </c>
    </row>
    <row r="11234">
      <c r="A11234" s="1" t="s">
        <v>20579</v>
      </c>
      <c r="B11234" s="2" t="s">
        <v>20580</v>
      </c>
      <c r="C11234" s="1" t="s">
        <v>3756</v>
      </c>
      <c r="D11234" s="1" t="s">
        <v>3757</v>
      </c>
    </row>
    <row r="11235">
      <c r="A11235" s="1" t="s">
        <v>3761</v>
      </c>
      <c r="B11235" s="2" t="s">
        <v>7</v>
      </c>
      <c r="C11235" s="1" t="s">
        <v>3763</v>
      </c>
      <c r="D11235" s="1" t="s">
        <v>3764</v>
      </c>
    </row>
    <row r="11236">
      <c r="A11236" s="1" t="s">
        <v>20581</v>
      </c>
      <c r="B11236" s="2" t="s">
        <v>13</v>
      </c>
      <c r="C11236" s="1" t="s">
        <v>3763</v>
      </c>
      <c r="D11236" s="1" t="s">
        <v>3764</v>
      </c>
    </row>
    <row r="11237">
      <c r="A11237" s="1" t="s">
        <v>20582</v>
      </c>
      <c r="B11237" s="2" t="s">
        <v>20339</v>
      </c>
      <c r="C11237" s="1" t="s">
        <v>3763</v>
      </c>
      <c r="D11237" s="1" t="s">
        <v>3764</v>
      </c>
    </row>
    <row r="11238">
      <c r="A11238" s="1" t="s">
        <v>20583</v>
      </c>
      <c r="B11238" s="2" t="s">
        <v>20584</v>
      </c>
      <c r="C11238" s="1" t="s">
        <v>3763</v>
      </c>
      <c r="D11238" s="1" t="s">
        <v>3764</v>
      </c>
    </row>
    <row r="11239">
      <c r="A11239" s="1" t="s">
        <v>20585</v>
      </c>
      <c r="B11239" s="2" t="s">
        <v>20586</v>
      </c>
      <c r="C11239" s="1" t="s">
        <v>3763</v>
      </c>
      <c r="D11239" s="1" t="s">
        <v>3764</v>
      </c>
    </row>
    <row r="11240">
      <c r="A11240" s="1" t="s">
        <v>20587</v>
      </c>
      <c r="B11240" s="2" t="s">
        <v>20345</v>
      </c>
      <c r="C11240" s="1" t="s">
        <v>3763</v>
      </c>
      <c r="D11240" s="1" t="s">
        <v>3764</v>
      </c>
    </row>
    <row r="11241">
      <c r="A11241" s="1" t="s">
        <v>20588</v>
      </c>
      <c r="B11241" s="2" t="s">
        <v>20589</v>
      </c>
      <c r="C11241" s="1" t="s">
        <v>3763</v>
      </c>
      <c r="D11241" s="1" t="s">
        <v>3764</v>
      </c>
    </row>
    <row r="11242">
      <c r="A11242" s="1" t="s">
        <v>20590</v>
      </c>
      <c r="B11242" s="2" t="s">
        <v>20591</v>
      </c>
      <c r="C11242" s="1" t="s">
        <v>3763</v>
      </c>
      <c r="D11242" s="1" t="s">
        <v>3764</v>
      </c>
    </row>
    <row r="11243">
      <c r="A11243" s="1" t="s">
        <v>20592</v>
      </c>
      <c r="B11243" s="2" t="s">
        <v>20351</v>
      </c>
      <c r="C11243" s="1" t="s">
        <v>3763</v>
      </c>
      <c r="D11243" s="1" t="s">
        <v>3764</v>
      </c>
    </row>
    <row r="11244">
      <c r="A11244" s="1" t="s">
        <v>20593</v>
      </c>
      <c r="B11244" s="2" t="s">
        <v>20594</v>
      </c>
      <c r="C11244" s="1" t="s">
        <v>3763</v>
      </c>
      <c r="D11244" s="1" t="s">
        <v>3764</v>
      </c>
    </row>
    <row r="11245">
      <c r="A11245" s="1" t="s">
        <v>20595</v>
      </c>
      <c r="B11245" s="2" t="s">
        <v>20596</v>
      </c>
      <c r="C11245" s="1" t="s">
        <v>3763</v>
      </c>
      <c r="D11245" s="1" t="s">
        <v>3764</v>
      </c>
    </row>
    <row r="11246">
      <c r="A11246" s="1" t="s">
        <v>20597</v>
      </c>
      <c r="B11246" s="2" t="s">
        <v>20357</v>
      </c>
      <c r="C11246" s="1" t="s">
        <v>3763</v>
      </c>
      <c r="D11246" s="1" t="s">
        <v>3764</v>
      </c>
    </row>
    <row r="11247">
      <c r="A11247" s="1" t="s">
        <v>20598</v>
      </c>
      <c r="B11247" s="2" t="s">
        <v>20599</v>
      </c>
      <c r="C11247" s="1" t="s">
        <v>3763</v>
      </c>
      <c r="D11247" s="1" t="s">
        <v>3764</v>
      </c>
    </row>
    <row r="11248">
      <c r="A11248" s="1" t="s">
        <v>20600</v>
      </c>
      <c r="B11248" s="2" t="s">
        <v>20601</v>
      </c>
      <c r="C11248" s="1" t="s">
        <v>3763</v>
      </c>
      <c r="D11248" s="1" t="s">
        <v>3764</v>
      </c>
    </row>
    <row r="11249">
      <c r="A11249" s="1" t="s">
        <v>20602</v>
      </c>
      <c r="B11249" s="2" t="s">
        <v>20363</v>
      </c>
      <c r="C11249" s="1" t="s">
        <v>3763</v>
      </c>
      <c r="D11249" s="1" t="s">
        <v>3764</v>
      </c>
    </row>
    <row r="11250">
      <c r="A11250" s="1" t="s">
        <v>20603</v>
      </c>
      <c r="B11250" s="2" t="s">
        <v>20604</v>
      </c>
      <c r="C11250" s="1" t="s">
        <v>3763</v>
      </c>
      <c r="D11250" s="1" t="s">
        <v>3764</v>
      </c>
    </row>
    <row r="11251">
      <c r="A11251" s="1" t="s">
        <v>20605</v>
      </c>
      <c r="B11251" s="2" t="s">
        <v>20606</v>
      </c>
      <c r="C11251" s="1" t="s">
        <v>3763</v>
      </c>
      <c r="D11251" s="1" t="s">
        <v>3764</v>
      </c>
    </row>
    <row r="11252">
      <c r="A11252" s="1" t="s">
        <v>20607</v>
      </c>
      <c r="B11252" s="2" t="s">
        <v>70</v>
      </c>
      <c r="C11252" s="1" t="s">
        <v>3763</v>
      </c>
      <c r="D11252" s="1" t="s">
        <v>3764</v>
      </c>
    </row>
    <row r="11253">
      <c r="A11253" s="1" t="s">
        <v>20608</v>
      </c>
      <c r="B11253" s="2" t="s">
        <v>20376</v>
      </c>
      <c r="C11253" s="1" t="s">
        <v>3763</v>
      </c>
      <c r="D11253" s="1" t="s">
        <v>3764</v>
      </c>
    </row>
    <row r="11254">
      <c r="A11254" s="1" t="s">
        <v>20609</v>
      </c>
      <c r="B11254" s="2" t="s">
        <v>20610</v>
      </c>
      <c r="C11254" s="1" t="s">
        <v>3763</v>
      </c>
      <c r="D11254" s="1" t="s">
        <v>3764</v>
      </c>
    </row>
    <row r="11255">
      <c r="A11255" s="1" t="s">
        <v>20611</v>
      </c>
      <c r="B11255" s="2" t="s">
        <v>20612</v>
      </c>
      <c r="C11255" s="1" t="s">
        <v>3763</v>
      </c>
      <c r="D11255" s="1" t="s">
        <v>3764</v>
      </c>
    </row>
    <row r="11256">
      <c r="A11256" s="1" t="s">
        <v>20613</v>
      </c>
      <c r="B11256" s="2" t="s">
        <v>20382</v>
      </c>
      <c r="C11256" s="1" t="s">
        <v>3763</v>
      </c>
      <c r="D11256" s="1" t="s">
        <v>3764</v>
      </c>
    </row>
    <row r="11257">
      <c r="A11257" s="1" t="s">
        <v>20614</v>
      </c>
      <c r="B11257" s="2" t="s">
        <v>20615</v>
      </c>
      <c r="C11257" s="1" t="s">
        <v>3763</v>
      </c>
      <c r="D11257" s="1" t="s">
        <v>3764</v>
      </c>
    </row>
    <row r="11258">
      <c r="A11258" s="1" t="s">
        <v>20616</v>
      </c>
      <c r="B11258" s="2" t="s">
        <v>20617</v>
      </c>
      <c r="C11258" s="1" t="s">
        <v>3763</v>
      </c>
      <c r="D11258" s="1" t="s">
        <v>3764</v>
      </c>
    </row>
    <row r="11259">
      <c r="A11259" s="1" t="s">
        <v>20618</v>
      </c>
      <c r="B11259" s="2" t="s">
        <v>20388</v>
      </c>
      <c r="C11259" s="1" t="s">
        <v>3763</v>
      </c>
      <c r="D11259" s="1" t="s">
        <v>3764</v>
      </c>
    </row>
    <row r="11260">
      <c r="A11260" s="1" t="s">
        <v>20619</v>
      </c>
      <c r="B11260" s="2" t="s">
        <v>20620</v>
      </c>
      <c r="C11260" s="1" t="s">
        <v>3763</v>
      </c>
      <c r="D11260" s="1" t="s">
        <v>3764</v>
      </c>
    </row>
    <row r="11261">
      <c r="A11261" s="1" t="s">
        <v>20621</v>
      </c>
      <c r="B11261" s="2" t="s">
        <v>20622</v>
      </c>
      <c r="C11261" s="1" t="s">
        <v>3763</v>
      </c>
      <c r="D11261" s="1" t="s">
        <v>3764</v>
      </c>
    </row>
    <row r="11262">
      <c r="A11262" s="1" t="s">
        <v>20623</v>
      </c>
      <c r="B11262" s="2" t="s">
        <v>20394</v>
      </c>
      <c r="C11262" s="1" t="s">
        <v>3763</v>
      </c>
      <c r="D11262" s="1" t="s">
        <v>3764</v>
      </c>
    </row>
    <row r="11263">
      <c r="A11263" s="1" t="s">
        <v>20624</v>
      </c>
      <c r="B11263" s="2" t="s">
        <v>20625</v>
      </c>
      <c r="C11263" s="1" t="s">
        <v>3763</v>
      </c>
      <c r="D11263" s="1" t="s">
        <v>3764</v>
      </c>
    </row>
    <row r="11264">
      <c r="A11264" s="1" t="s">
        <v>20626</v>
      </c>
      <c r="B11264" s="2" t="s">
        <v>20627</v>
      </c>
      <c r="C11264" s="1" t="s">
        <v>3763</v>
      </c>
      <c r="D11264" s="1" t="s">
        <v>3764</v>
      </c>
    </row>
    <row r="11265">
      <c r="A11265" s="1" t="s">
        <v>20628</v>
      </c>
      <c r="B11265" s="2" t="s">
        <v>20400</v>
      </c>
      <c r="C11265" s="1" t="s">
        <v>3763</v>
      </c>
      <c r="D11265" s="1" t="s">
        <v>3764</v>
      </c>
    </row>
    <row r="11266">
      <c r="A11266" s="1" t="s">
        <v>20629</v>
      </c>
      <c r="B11266" s="2" t="s">
        <v>20630</v>
      </c>
      <c r="C11266" s="1" t="s">
        <v>3763</v>
      </c>
      <c r="D11266" s="1" t="s">
        <v>3764</v>
      </c>
    </row>
    <row r="11267">
      <c r="A11267" s="1" t="s">
        <v>20631</v>
      </c>
      <c r="B11267" s="2" t="s">
        <v>20632</v>
      </c>
      <c r="C11267" s="1" t="s">
        <v>3763</v>
      </c>
      <c r="D11267" s="1" t="s">
        <v>3764</v>
      </c>
    </row>
    <row r="11268">
      <c r="A11268" s="1" t="s">
        <v>3769</v>
      </c>
      <c r="B11268" s="2" t="s">
        <v>7</v>
      </c>
      <c r="C11268" s="1" t="s">
        <v>3770</v>
      </c>
      <c r="D11268" s="1" t="s">
        <v>3772</v>
      </c>
    </row>
    <row r="11269">
      <c r="A11269" s="1" t="s">
        <v>20633</v>
      </c>
      <c r="B11269" s="2" t="s">
        <v>13</v>
      </c>
      <c r="C11269" s="1" t="s">
        <v>3770</v>
      </c>
      <c r="D11269" s="1" t="s">
        <v>3772</v>
      </c>
    </row>
    <row r="11270">
      <c r="A11270" s="1" t="s">
        <v>20634</v>
      </c>
      <c r="B11270" s="2" t="s">
        <v>20339</v>
      </c>
      <c r="C11270" s="1" t="s">
        <v>3770</v>
      </c>
      <c r="D11270" s="1" t="s">
        <v>3772</v>
      </c>
    </row>
    <row r="11271">
      <c r="A11271" s="1" t="s">
        <v>20635</v>
      </c>
      <c r="B11271" s="2" t="s">
        <v>20636</v>
      </c>
      <c r="C11271" s="1" t="s">
        <v>3770</v>
      </c>
      <c r="D11271" s="1" t="s">
        <v>3772</v>
      </c>
    </row>
    <row r="11272">
      <c r="A11272" s="1" t="s">
        <v>20637</v>
      </c>
      <c r="B11272" s="2" t="s">
        <v>20638</v>
      </c>
      <c r="C11272" s="1" t="s">
        <v>3770</v>
      </c>
      <c r="D11272" s="1" t="s">
        <v>3772</v>
      </c>
    </row>
    <row r="11273">
      <c r="A11273" s="1" t="s">
        <v>20639</v>
      </c>
      <c r="B11273" s="2" t="s">
        <v>20345</v>
      </c>
      <c r="C11273" s="1" t="s">
        <v>3770</v>
      </c>
      <c r="D11273" s="1" t="s">
        <v>3772</v>
      </c>
    </row>
    <row r="11274">
      <c r="A11274" s="1" t="s">
        <v>20640</v>
      </c>
      <c r="B11274" s="2" t="s">
        <v>20641</v>
      </c>
      <c r="C11274" s="1" t="s">
        <v>3770</v>
      </c>
      <c r="D11274" s="1" t="s">
        <v>3772</v>
      </c>
    </row>
    <row r="11275">
      <c r="A11275" s="1" t="s">
        <v>20642</v>
      </c>
      <c r="B11275" s="2" t="s">
        <v>20643</v>
      </c>
      <c r="C11275" s="1" t="s">
        <v>3770</v>
      </c>
      <c r="D11275" s="1" t="s">
        <v>3772</v>
      </c>
    </row>
    <row r="11276">
      <c r="A11276" s="1" t="s">
        <v>20644</v>
      </c>
      <c r="B11276" s="2" t="s">
        <v>20351</v>
      </c>
      <c r="C11276" s="1" t="s">
        <v>3770</v>
      </c>
      <c r="D11276" s="1" t="s">
        <v>3772</v>
      </c>
    </row>
    <row r="11277">
      <c r="A11277" s="1" t="s">
        <v>20645</v>
      </c>
      <c r="B11277" s="2" t="s">
        <v>20646</v>
      </c>
      <c r="C11277" s="1" t="s">
        <v>3770</v>
      </c>
      <c r="D11277" s="1" t="s">
        <v>3772</v>
      </c>
    </row>
    <row r="11278">
      <c r="A11278" s="1" t="s">
        <v>20647</v>
      </c>
      <c r="B11278" s="2" t="s">
        <v>20648</v>
      </c>
      <c r="C11278" s="1" t="s">
        <v>3770</v>
      </c>
      <c r="D11278" s="1" t="s">
        <v>3772</v>
      </c>
    </row>
    <row r="11279">
      <c r="A11279" s="1" t="s">
        <v>20649</v>
      </c>
      <c r="B11279" s="2" t="s">
        <v>20357</v>
      </c>
      <c r="C11279" s="1" t="s">
        <v>3770</v>
      </c>
      <c r="D11279" s="1" t="s">
        <v>3772</v>
      </c>
    </row>
    <row r="11280">
      <c r="A11280" s="1" t="s">
        <v>20650</v>
      </c>
      <c r="B11280" s="2" t="s">
        <v>20651</v>
      </c>
      <c r="C11280" s="1" t="s">
        <v>3770</v>
      </c>
      <c r="D11280" s="1" t="s">
        <v>3772</v>
      </c>
    </row>
    <row r="11281">
      <c r="A11281" s="1" t="s">
        <v>20652</v>
      </c>
      <c r="B11281" s="2" t="s">
        <v>20653</v>
      </c>
      <c r="C11281" s="1" t="s">
        <v>3770</v>
      </c>
      <c r="D11281" s="1" t="s">
        <v>3772</v>
      </c>
    </row>
    <row r="11282">
      <c r="A11282" s="1" t="s">
        <v>20654</v>
      </c>
      <c r="B11282" s="2" t="s">
        <v>20363</v>
      </c>
      <c r="C11282" s="1" t="s">
        <v>3770</v>
      </c>
      <c r="D11282" s="1" t="s">
        <v>3772</v>
      </c>
    </row>
    <row r="11283">
      <c r="A11283" s="1" t="s">
        <v>20655</v>
      </c>
      <c r="B11283" s="2" t="s">
        <v>20656</v>
      </c>
      <c r="C11283" s="1" t="s">
        <v>3770</v>
      </c>
      <c r="D11283" s="1" t="s">
        <v>3772</v>
      </c>
    </row>
    <row r="11284">
      <c r="A11284" s="1" t="s">
        <v>20657</v>
      </c>
      <c r="B11284" s="2" t="s">
        <v>20658</v>
      </c>
      <c r="C11284" s="1" t="s">
        <v>3770</v>
      </c>
      <c r="D11284" s="1" t="s">
        <v>3772</v>
      </c>
    </row>
    <row r="11285">
      <c r="A11285" s="1" t="s">
        <v>20659</v>
      </c>
      <c r="B11285" s="2" t="s">
        <v>70</v>
      </c>
      <c r="C11285" s="1" t="s">
        <v>3770</v>
      </c>
      <c r="D11285" s="1" t="s">
        <v>3772</v>
      </c>
    </row>
    <row r="11286">
      <c r="A11286" s="1" t="s">
        <v>20660</v>
      </c>
      <c r="B11286" s="2" t="s">
        <v>20376</v>
      </c>
      <c r="C11286" s="1" t="s">
        <v>3770</v>
      </c>
      <c r="D11286" s="1" t="s">
        <v>3772</v>
      </c>
    </row>
    <row r="11287">
      <c r="A11287" s="1" t="s">
        <v>20661</v>
      </c>
      <c r="B11287" s="2" t="s">
        <v>20662</v>
      </c>
      <c r="C11287" s="1" t="s">
        <v>3770</v>
      </c>
      <c r="D11287" s="1" t="s">
        <v>3772</v>
      </c>
    </row>
    <row r="11288">
      <c r="A11288" s="1" t="s">
        <v>20663</v>
      </c>
      <c r="B11288" s="2" t="s">
        <v>20664</v>
      </c>
      <c r="C11288" s="1" t="s">
        <v>3770</v>
      </c>
      <c r="D11288" s="1" t="s">
        <v>3772</v>
      </c>
    </row>
    <row r="11289">
      <c r="A11289" s="1" t="s">
        <v>20665</v>
      </c>
      <c r="B11289" s="2" t="s">
        <v>20382</v>
      </c>
      <c r="C11289" s="1" t="s">
        <v>3770</v>
      </c>
      <c r="D11289" s="1" t="s">
        <v>3772</v>
      </c>
    </row>
    <row r="11290">
      <c r="A11290" s="1" t="s">
        <v>20666</v>
      </c>
      <c r="B11290" s="2" t="s">
        <v>20667</v>
      </c>
      <c r="C11290" s="1" t="s">
        <v>3770</v>
      </c>
      <c r="D11290" s="1" t="s">
        <v>3772</v>
      </c>
    </row>
    <row r="11291">
      <c r="A11291" s="1" t="s">
        <v>20668</v>
      </c>
      <c r="B11291" s="2" t="s">
        <v>20669</v>
      </c>
      <c r="C11291" s="1" t="s">
        <v>3770</v>
      </c>
      <c r="D11291" s="1" t="s">
        <v>3772</v>
      </c>
    </row>
    <row r="11292">
      <c r="A11292" s="1" t="s">
        <v>20670</v>
      </c>
      <c r="B11292" s="2" t="s">
        <v>20388</v>
      </c>
      <c r="C11292" s="1" t="s">
        <v>3770</v>
      </c>
      <c r="D11292" s="1" t="s">
        <v>3772</v>
      </c>
    </row>
    <row r="11293">
      <c r="A11293" s="1" t="s">
        <v>20671</v>
      </c>
      <c r="B11293" s="2" t="s">
        <v>20672</v>
      </c>
      <c r="C11293" s="1" t="s">
        <v>3770</v>
      </c>
      <c r="D11293" s="1" t="s">
        <v>3772</v>
      </c>
    </row>
    <row r="11294">
      <c r="A11294" s="1" t="s">
        <v>20673</v>
      </c>
      <c r="B11294" s="2" t="s">
        <v>20674</v>
      </c>
      <c r="C11294" s="1" t="s">
        <v>3770</v>
      </c>
      <c r="D11294" s="1" t="s">
        <v>3772</v>
      </c>
    </row>
    <row r="11295">
      <c r="A11295" s="1" t="s">
        <v>20675</v>
      </c>
      <c r="B11295" s="2" t="s">
        <v>20394</v>
      </c>
      <c r="C11295" s="1" t="s">
        <v>3770</v>
      </c>
      <c r="D11295" s="1" t="s">
        <v>3772</v>
      </c>
    </row>
    <row r="11296">
      <c r="A11296" s="1" t="s">
        <v>20676</v>
      </c>
      <c r="B11296" s="2" t="s">
        <v>20677</v>
      </c>
      <c r="C11296" s="1" t="s">
        <v>3770</v>
      </c>
      <c r="D11296" s="1" t="s">
        <v>3772</v>
      </c>
    </row>
    <row r="11297">
      <c r="A11297" s="1" t="s">
        <v>20678</v>
      </c>
      <c r="B11297" s="2" t="s">
        <v>20679</v>
      </c>
      <c r="C11297" s="1" t="s">
        <v>3770</v>
      </c>
      <c r="D11297" s="1" t="s">
        <v>3772</v>
      </c>
    </row>
    <row r="11298">
      <c r="A11298" s="1" t="s">
        <v>20680</v>
      </c>
      <c r="B11298" s="2" t="s">
        <v>20400</v>
      </c>
      <c r="C11298" s="1" t="s">
        <v>3770</v>
      </c>
      <c r="D11298" s="1" t="s">
        <v>3772</v>
      </c>
    </row>
    <row r="11299">
      <c r="A11299" s="1" t="s">
        <v>20681</v>
      </c>
      <c r="B11299" s="2" t="s">
        <v>20682</v>
      </c>
      <c r="C11299" s="1" t="s">
        <v>3770</v>
      </c>
      <c r="D11299" s="1" t="s">
        <v>3772</v>
      </c>
    </row>
    <row r="11300">
      <c r="A11300" s="1" t="s">
        <v>20683</v>
      </c>
      <c r="B11300" s="2" t="s">
        <v>20684</v>
      </c>
      <c r="C11300" s="1" t="s">
        <v>3770</v>
      </c>
      <c r="D11300" s="1" t="s">
        <v>3772</v>
      </c>
    </row>
    <row r="11301">
      <c r="A11301" s="1" t="s">
        <v>3776</v>
      </c>
      <c r="B11301" s="2" t="s">
        <v>7</v>
      </c>
      <c r="C11301" s="1" t="s">
        <v>3779</v>
      </c>
      <c r="D11301" s="1" t="s">
        <v>3780</v>
      </c>
    </row>
    <row r="11302">
      <c r="A11302" s="1" t="s">
        <v>20685</v>
      </c>
      <c r="B11302" s="2" t="s">
        <v>13</v>
      </c>
      <c r="C11302" s="1" t="s">
        <v>3779</v>
      </c>
      <c r="D11302" s="1" t="s">
        <v>3780</v>
      </c>
    </row>
    <row r="11303">
      <c r="A11303" s="1" t="s">
        <v>20686</v>
      </c>
      <c r="B11303" s="2" t="s">
        <v>20345</v>
      </c>
      <c r="C11303" s="1" t="s">
        <v>3779</v>
      </c>
      <c r="D11303" s="1" t="s">
        <v>3780</v>
      </c>
    </row>
    <row r="11304">
      <c r="A11304" s="1" t="s">
        <v>20687</v>
      </c>
      <c r="B11304" s="2" t="s">
        <v>20688</v>
      </c>
      <c r="C11304" s="1" t="s">
        <v>3779</v>
      </c>
      <c r="D11304" s="1" t="s">
        <v>3780</v>
      </c>
    </row>
    <row r="11305">
      <c r="A11305" s="1" t="s">
        <v>20689</v>
      </c>
      <c r="B11305" s="2" t="s">
        <v>20690</v>
      </c>
      <c r="C11305" s="1" t="s">
        <v>3779</v>
      </c>
      <c r="D11305" s="1" t="s">
        <v>3780</v>
      </c>
    </row>
    <row r="11306">
      <c r="A11306" s="1" t="s">
        <v>20691</v>
      </c>
      <c r="B11306" s="2" t="s">
        <v>20351</v>
      </c>
      <c r="C11306" s="1" t="s">
        <v>3779</v>
      </c>
      <c r="D11306" s="1" t="s">
        <v>3780</v>
      </c>
    </row>
    <row r="11307">
      <c r="A11307" s="1" t="s">
        <v>20692</v>
      </c>
      <c r="B11307" s="2" t="s">
        <v>20693</v>
      </c>
      <c r="C11307" s="1" t="s">
        <v>3779</v>
      </c>
      <c r="D11307" s="1" t="s">
        <v>3780</v>
      </c>
    </row>
    <row r="11308">
      <c r="A11308" s="1" t="s">
        <v>20694</v>
      </c>
      <c r="B11308" s="2" t="s">
        <v>20695</v>
      </c>
      <c r="C11308" s="1" t="s">
        <v>3779</v>
      </c>
      <c r="D11308" s="1" t="s">
        <v>3780</v>
      </c>
    </row>
    <row r="11309">
      <c r="A11309" s="1" t="s">
        <v>20696</v>
      </c>
      <c r="B11309" s="2" t="s">
        <v>20357</v>
      </c>
      <c r="C11309" s="1" t="s">
        <v>3779</v>
      </c>
      <c r="D11309" s="1" t="s">
        <v>3780</v>
      </c>
    </row>
    <row r="11310">
      <c r="A11310" s="1" t="s">
        <v>20697</v>
      </c>
      <c r="B11310" s="2" t="s">
        <v>20698</v>
      </c>
      <c r="C11310" s="1" t="s">
        <v>3779</v>
      </c>
      <c r="D11310" s="1" t="s">
        <v>3780</v>
      </c>
    </row>
    <row r="11311">
      <c r="A11311" s="1" t="s">
        <v>20699</v>
      </c>
      <c r="B11311" s="2" t="s">
        <v>20700</v>
      </c>
      <c r="C11311" s="1" t="s">
        <v>3779</v>
      </c>
      <c r="D11311" s="1" t="s">
        <v>3780</v>
      </c>
    </row>
    <row r="11312">
      <c r="A11312" s="1" t="s">
        <v>20701</v>
      </c>
      <c r="B11312" s="2" t="s">
        <v>20363</v>
      </c>
      <c r="C11312" s="1" t="s">
        <v>3779</v>
      </c>
      <c r="D11312" s="1" t="s">
        <v>3780</v>
      </c>
    </row>
    <row r="11313">
      <c r="A11313" s="1" t="s">
        <v>20702</v>
      </c>
      <c r="B11313" s="2" t="s">
        <v>20703</v>
      </c>
      <c r="C11313" s="1" t="s">
        <v>3779</v>
      </c>
      <c r="D11313" s="1" t="s">
        <v>3780</v>
      </c>
    </row>
    <row r="11314">
      <c r="A11314" s="1" t="s">
        <v>20704</v>
      </c>
      <c r="B11314" s="2" t="s">
        <v>20705</v>
      </c>
      <c r="C11314" s="1" t="s">
        <v>3779</v>
      </c>
      <c r="D11314" s="1" t="s">
        <v>3780</v>
      </c>
    </row>
    <row r="11315">
      <c r="A11315" s="1" t="s">
        <v>20706</v>
      </c>
      <c r="B11315" s="2" t="s">
        <v>70</v>
      </c>
      <c r="C11315" s="1" t="s">
        <v>3779</v>
      </c>
      <c r="D11315" s="1" t="s">
        <v>3780</v>
      </c>
    </row>
    <row r="11316">
      <c r="A11316" s="1" t="s">
        <v>20707</v>
      </c>
      <c r="B11316" s="2" t="s">
        <v>20382</v>
      </c>
      <c r="C11316" s="1" t="s">
        <v>3779</v>
      </c>
      <c r="D11316" s="1" t="s">
        <v>3780</v>
      </c>
    </row>
    <row r="11317">
      <c r="A11317" s="1" t="s">
        <v>20708</v>
      </c>
      <c r="B11317" s="2" t="s">
        <v>20709</v>
      </c>
      <c r="C11317" s="1" t="s">
        <v>3779</v>
      </c>
      <c r="D11317" s="1" t="s">
        <v>3780</v>
      </c>
    </row>
    <row r="11318">
      <c r="A11318" s="1" t="s">
        <v>20710</v>
      </c>
      <c r="B11318" s="2" t="s">
        <v>20711</v>
      </c>
      <c r="C11318" s="1" t="s">
        <v>3779</v>
      </c>
      <c r="D11318" s="1" t="s">
        <v>3780</v>
      </c>
    </row>
    <row r="11319">
      <c r="A11319" s="1" t="s">
        <v>20712</v>
      </c>
      <c r="B11319" s="2" t="s">
        <v>20388</v>
      </c>
      <c r="C11319" s="1" t="s">
        <v>3779</v>
      </c>
      <c r="D11319" s="1" t="s">
        <v>3780</v>
      </c>
    </row>
    <row r="11320">
      <c r="A11320" s="1" t="s">
        <v>20713</v>
      </c>
      <c r="B11320" s="2" t="s">
        <v>20714</v>
      </c>
      <c r="C11320" s="1" t="s">
        <v>3779</v>
      </c>
      <c r="D11320" s="1" t="s">
        <v>3780</v>
      </c>
    </row>
    <row r="11321">
      <c r="A11321" s="1" t="s">
        <v>20715</v>
      </c>
      <c r="B11321" s="2" t="s">
        <v>20716</v>
      </c>
      <c r="C11321" s="1" t="s">
        <v>3779</v>
      </c>
      <c r="D11321" s="1" t="s">
        <v>3780</v>
      </c>
    </row>
    <row r="11322">
      <c r="A11322" s="1" t="s">
        <v>20717</v>
      </c>
      <c r="B11322" s="2" t="s">
        <v>20394</v>
      </c>
      <c r="C11322" s="1" t="s">
        <v>3779</v>
      </c>
      <c r="D11322" s="1" t="s">
        <v>3780</v>
      </c>
    </row>
    <row r="11323">
      <c r="A11323" s="1" t="s">
        <v>20718</v>
      </c>
      <c r="B11323" s="2" t="s">
        <v>20719</v>
      </c>
      <c r="C11323" s="1" t="s">
        <v>3779</v>
      </c>
      <c r="D11323" s="1" t="s">
        <v>3780</v>
      </c>
    </row>
    <row r="11324">
      <c r="A11324" s="1" t="s">
        <v>20720</v>
      </c>
      <c r="B11324" s="2" t="s">
        <v>20721</v>
      </c>
      <c r="C11324" s="1" t="s">
        <v>3779</v>
      </c>
      <c r="D11324" s="1" t="s">
        <v>3780</v>
      </c>
    </row>
    <row r="11325">
      <c r="A11325" s="1" t="s">
        <v>20722</v>
      </c>
      <c r="B11325" s="2" t="s">
        <v>20400</v>
      </c>
      <c r="C11325" s="1" t="s">
        <v>3779</v>
      </c>
      <c r="D11325" s="1" t="s">
        <v>3780</v>
      </c>
    </row>
    <row r="11326">
      <c r="A11326" s="1" t="s">
        <v>20723</v>
      </c>
      <c r="B11326" s="2" t="s">
        <v>20724</v>
      </c>
      <c r="C11326" s="1" t="s">
        <v>3779</v>
      </c>
      <c r="D11326" s="1" t="s">
        <v>3780</v>
      </c>
    </row>
    <row r="11327">
      <c r="A11327" s="1" t="s">
        <v>20725</v>
      </c>
      <c r="B11327" s="2" t="s">
        <v>20726</v>
      </c>
      <c r="C11327" s="1" t="s">
        <v>3779</v>
      </c>
      <c r="D11327" s="1" t="s">
        <v>3780</v>
      </c>
    </row>
    <row r="11328">
      <c r="A11328" s="1" t="s">
        <v>3785</v>
      </c>
      <c r="B11328" s="2" t="s">
        <v>7</v>
      </c>
      <c r="C11328" s="1" t="s">
        <v>3789</v>
      </c>
      <c r="D11328" s="1" t="s">
        <v>3790</v>
      </c>
    </row>
    <row r="11329">
      <c r="A11329" s="1" t="s">
        <v>20727</v>
      </c>
      <c r="B11329" s="2" t="s">
        <v>20728</v>
      </c>
      <c r="C11329" s="1" t="s">
        <v>3789</v>
      </c>
      <c r="D11329" s="1" t="s">
        <v>3790</v>
      </c>
    </row>
    <row r="11330">
      <c r="A11330" s="1" t="s">
        <v>20729</v>
      </c>
      <c r="B11330" s="2" t="s">
        <v>20730</v>
      </c>
      <c r="C11330" s="1" t="s">
        <v>3789</v>
      </c>
      <c r="D11330" s="1" t="s">
        <v>3790</v>
      </c>
    </row>
    <row r="11331">
      <c r="A11331" s="1" t="s">
        <v>20731</v>
      </c>
      <c r="B11331" s="2" t="s">
        <v>20732</v>
      </c>
      <c r="C11331" s="1" t="s">
        <v>3789</v>
      </c>
      <c r="D11331" s="1" t="s">
        <v>3790</v>
      </c>
    </row>
    <row r="11332">
      <c r="A11332" s="1" t="s">
        <v>20733</v>
      </c>
      <c r="B11332" s="2" t="s">
        <v>20734</v>
      </c>
      <c r="C11332" s="1" t="s">
        <v>3789</v>
      </c>
      <c r="D11332" s="1" t="s">
        <v>3790</v>
      </c>
    </row>
    <row r="11333">
      <c r="A11333" s="1" t="s">
        <v>20735</v>
      </c>
      <c r="B11333" s="2" t="s">
        <v>20736</v>
      </c>
      <c r="C11333" s="1" t="s">
        <v>3789</v>
      </c>
      <c r="D11333" s="1" t="s">
        <v>3790</v>
      </c>
    </row>
    <row r="11334">
      <c r="A11334" s="1" t="s">
        <v>20737</v>
      </c>
      <c r="B11334" s="2" t="s">
        <v>20738</v>
      </c>
      <c r="C11334" s="1" t="s">
        <v>3789</v>
      </c>
      <c r="D11334" s="1" t="s">
        <v>3790</v>
      </c>
    </row>
    <row r="11335">
      <c r="A11335" s="1" t="s">
        <v>20739</v>
      </c>
      <c r="B11335" s="2" t="s">
        <v>20740</v>
      </c>
      <c r="C11335" s="1" t="s">
        <v>3789</v>
      </c>
      <c r="D11335" s="1" t="s">
        <v>3790</v>
      </c>
    </row>
    <row r="11336">
      <c r="A11336" s="1" t="s">
        <v>20741</v>
      </c>
      <c r="B11336" s="2" t="s">
        <v>20742</v>
      </c>
      <c r="C11336" s="1" t="s">
        <v>3789</v>
      </c>
      <c r="D11336" s="1" t="s">
        <v>3790</v>
      </c>
    </row>
    <row r="11337">
      <c r="A11337" s="1" t="s">
        <v>20743</v>
      </c>
      <c r="B11337" s="2" t="s">
        <v>20744</v>
      </c>
      <c r="C11337" s="1" t="s">
        <v>3789</v>
      </c>
      <c r="D11337" s="1" t="s">
        <v>3790</v>
      </c>
    </row>
    <row r="11338">
      <c r="A11338" s="1" t="s">
        <v>20745</v>
      </c>
      <c r="B11338" s="2" t="s">
        <v>20746</v>
      </c>
      <c r="C11338" s="1" t="s">
        <v>3789</v>
      </c>
      <c r="D11338" s="1" t="s">
        <v>3790</v>
      </c>
    </row>
    <row r="11339">
      <c r="A11339" s="1" t="s">
        <v>20747</v>
      </c>
      <c r="B11339" s="2" t="s">
        <v>20748</v>
      </c>
      <c r="C11339" s="1" t="s">
        <v>3789</v>
      </c>
      <c r="D11339" s="1" t="s">
        <v>3790</v>
      </c>
    </row>
    <row r="11340">
      <c r="A11340" s="1" t="s">
        <v>20749</v>
      </c>
      <c r="B11340" s="2" t="s">
        <v>20750</v>
      </c>
      <c r="C11340" s="1" t="s">
        <v>3789</v>
      </c>
      <c r="D11340" s="1" t="s">
        <v>3790</v>
      </c>
    </row>
    <row r="11341">
      <c r="A11341" s="1" t="s">
        <v>20751</v>
      </c>
      <c r="B11341" s="2" t="s">
        <v>20752</v>
      </c>
      <c r="C11341" s="1" t="s">
        <v>3789</v>
      </c>
      <c r="D11341" s="1" t="s">
        <v>3790</v>
      </c>
    </row>
    <row r="11342">
      <c r="A11342" s="1" t="s">
        <v>20753</v>
      </c>
      <c r="B11342" s="2" t="s">
        <v>20754</v>
      </c>
      <c r="C11342" s="1" t="s">
        <v>3789</v>
      </c>
      <c r="D11342" s="1" t="s">
        <v>3790</v>
      </c>
    </row>
    <row r="11343">
      <c r="A11343" s="1" t="s">
        <v>20755</v>
      </c>
      <c r="B11343" s="2" t="s">
        <v>20756</v>
      </c>
      <c r="C11343" s="1" t="s">
        <v>3789</v>
      </c>
      <c r="D11343" s="1" t="s">
        <v>3790</v>
      </c>
    </row>
    <row r="11344">
      <c r="A11344" s="1" t="s">
        <v>20757</v>
      </c>
      <c r="B11344" s="2" t="s">
        <v>20758</v>
      </c>
      <c r="C11344" s="1" t="s">
        <v>3789</v>
      </c>
      <c r="D11344" s="1" t="s">
        <v>3790</v>
      </c>
    </row>
    <row r="11345">
      <c r="A11345" s="1" t="s">
        <v>20759</v>
      </c>
      <c r="B11345" s="2" t="s">
        <v>20760</v>
      </c>
      <c r="C11345" s="1" t="s">
        <v>3789</v>
      </c>
      <c r="D11345" s="1" t="s">
        <v>3790</v>
      </c>
    </row>
    <row r="11346">
      <c r="A11346" s="1" t="s">
        <v>20761</v>
      </c>
      <c r="B11346" s="2" t="s">
        <v>20762</v>
      </c>
      <c r="C11346" s="1" t="s">
        <v>3789</v>
      </c>
      <c r="D11346" s="1" t="s">
        <v>3790</v>
      </c>
    </row>
    <row r="11347">
      <c r="A11347" s="1" t="s">
        <v>20763</v>
      </c>
      <c r="B11347" s="2" t="s">
        <v>20764</v>
      </c>
      <c r="C11347" s="1" t="s">
        <v>3789</v>
      </c>
      <c r="D11347" s="1" t="s">
        <v>3790</v>
      </c>
    </row>
    <row r="11348">
      <c r="A11348" s="1" t="s">
        <v>20765</v>
      </c>
      <c r="B11348" s="2" t="s">
        <v>20766</v>
      </c>
      <c r="C11348" s="1" t="s">
        <v>3789</v>
      </c>
      <c r="D11348" s="1" t="s">
        <v>3790</v>
      </c>
    </row>
    <row r="11349">
      <c r="A11349" s="1" t="s">
        <v>20767</v>
      </c>
      <c r="B11349" s="2" t="s">
        <v>20768</v>
      </c>
      <c r="C11349" s="1" t="s">
        <v>3789</v>
      </c>
      <c r="D11349" s="1" t="s">
        <v>3790</v>
      </c>
    </row>
    <row r="11350">
      <c r="A11350" s="1" t="s">
        <v>20769</v>
      </c>
      <c r="B11350" s="2" t="s">
        <v>20770</v>
      </c>
      <c r="C11350" s="1" t="s">
        <v>3789</v>
      </c>
      <c r="D11350" s="1" t="s">
        <v>3790</v>
      </c>
    </row>
    <row r="11351">
      <c r="A11351" s="1" t="s">
        <v>20771</v>
      </c>
      <c r="B11351" s="2" t="s">
        <v>13730</v>
      </c>
      <c r="C11351" s="1" t="s">
        <v>3789</v>
      </c>
      <c r="D11351" s="1" t="s">
        <v>3790</v>
      </c>
    </row>
    <row r="11352">
      <c r="A11352" s="1" t="s">
        <v>20772</v>
      </c>
      <c r="B11352" s="2" t="s">
        <v>20773</v>
      </c>
      <c r="C11352" s="1" t="s">
        <v>3789</v>
      </c>
      <c r="D11352" s="1" t="s">
        <v>3790</v>
      </c>
    </row>
    <row r="11353">
      <c r="A11353" s="1" t="s">
        <v>20774</v>
      </c>
      <c r="B11353" s="2" t="s">
        <v>20775</v>
      </c>
      <c r="C11353" s="1" t="s">
        <v>3789</v>
      </c>
      <c r="D11353" s="1" t="s">
        <v>3790</v>
      </c>
    </row>
    <row r="11354">
      <c r="A11354" s="1" t="s">
        <v>20776</v>
      </c>
      <c r="B11354" s="2" t="s">
        <v>20777</v>
      </c>
      <c r="C11354" s="1" t="s">
        <v>3789</v>
      </c>
      <c r="D11354" s="1" t="s">
        <v>3790</v>
      </c>
    </row>
    <row r="11355">
      <c r="A11355" s="1" t="s">
        <v>20778</v>
      </c>
      <c r="B11355" s="2" t="s">
        <v>20779</v>
      </c>
      <c r="C11355" s="1" t="s">
        <v>3789</v>
      </c>
      <c r="D11355" s="1" t="s">
        <v>3790</v>
      </c>
    </row>
    <row r="11356">
      <c r="A11356" s="1" t="s">
        <v>20780</v>
      </c>
      <c r="B11356" s="2" t="s">
        <v>20781</v>
      </c>
      <c r="C11356" s="1" t="s">
        <v>3789</v>
      </c>
      <c r="D11356" s="1" t="s">
        <v>3790</v>
      </c>
    </row>
    <row r="11357">
      <c r="A11357" s="1" t="s">
        <v>20782</v>
      </c>
      <c r="B11357" s="2" t="s">
        <v>20783</v>
      </c>
      <c r="C11357" s="1" t="s">
        <v>3789</v>
      </c>
      <c r="D11357" s="1" t="s">
        <v>3790</v>
      </c>
    </row>
    <row r="11358">
      <c r="A11358" s="1" t="s">
        <v>20784</v>
      </c>
      <c r="B11358" s="2" t="s">
        <v>20785</v>
      </c>
      <c r="C11358" s="1" t="s">
        <v>3789</v>
      </c>
      <c r="D11358" s="1" t="s">
        <v>3790</v>
      </c>
    </row>
    <row r="11359">
      <c r="A11359" s="1" t="s">
        <v>20786</v>
      </c>
      <c r="B11359" s="2" t="s">
        <v>20787</v>
      </c>
      <c r="C11359" s="1" t="s">
        <v>3789</v>
      </c>
      <c r="D11359" s="1" t="s">
        <v>3790</v>
      </c>
    </row>
    <row r="11360">
      <c r="A11360" s="1" t="s">
        <v>20788</v>
      </c>
      <c r="B11360" s="2" t="s">
        <v>20789</v>
      </c>
      <c r="C11360" s="1" t="s">
        <v>3789</v>
      </c>
      <c r="D11360" s="1" t="s">
        <v>3790</v>
      </c>
    </row>
    <row r="11361">
      <c r="A11361" s="1" t="s">
        <v>20790</v>
      </c>
      <c r="B11361" s="2" t="s">
        <v>20791</v>
      </c>
      <c r="C11361" s="1" t="s">
        <v>3789</v>
      </c>
      <c r="D11361" s="1" t="s">
        <v>3790</v>
      </c>
    </row>
    <row r="11362">
      <c r="A11362" s="1" t="s">
        <v>3793</v>
      </c>
      <c r="B11362" s="2" t="s">
        <v>7</v>
      </c>
      <c r="C11362" s="1" t="s">
        <v>3795</v>
      </c>
      <c r="D11362" s="1" t="s">
        <v>3796</v>
      </c>
    </row>
    <row r="11363">
      <c r="A11363" s="1" t="s">
        <v>20792</v>
      </c>
      <c r="B11363" s="2" t="s">
        <v>20793</v>
      </c>
      <c r="C11363" s="1" t="s">
        <v>3795</v>
      </c>
      <c r="D11363" s="1" t="s">
        <v>3796</v>
      </c>
    </row>
    <row r="11364">
      <c r="A11364" s="1" t="s">
        <v>20794</v>
      </c>
      <c r="B11364" s="2" t="s">
        <v>20795</v>
      </c>
      <c r="C11364" s="1" t="s">
        <v>3795</v>
      </c>
      <c r="D11364" s="1" t="s">
        <v>3796</v>
      </c>
    </row>
    <row r="11365">
      <c r="A11365" s="1" t="s">
        <v>20796</v>
      </c>
      <c r="B11365" s="2" t="s">
        <v>20797</v>
      </c>
      <c r="C11365" s="1" t="s">
        <v>3795</v>
      </c>
      <c r="D11365" s="1" t="s">
        <v>3796</v>
      </c>
    </row>
    <row r="11366">
      <c r="A11366" s="1" t="s">
        <v>20798</v>
      </c>
      <c r="B11366" s="2" t="s">
        <v>13866</v>
      </c>
      <c r="C11366" s="1" t="s">
        <v>3795</v>
      </c>
      <c r="D11366" s="1" t="s">
        <v>3796</v>
      </c>
    </row>
    <row r="11367">
      <c r="A11367" s="1" t="s">
        <v>20799</v>
      </c>
      <c r="B11367" s="2" t="s">
        <v>20800</v>
      </c>
      <c r="C11367" s="1" t="s">
        <v>3795</v>
      </c>
      <c r="D11367" s="1" t="s">
        <v>3796</v>
      </c>
    </row>
    <row r="11368">
      <c r="A11368" s="1" t="s">
        <v>20801</v>
      </c>
      <c r="B11368" s="2" t="s">
        <v>20802</v>
      </c>
      <c r="C11368" s="1" t="s">
        <v>3795</v>
      </c>
      <c r="D11368" s="1" t="s">
        <v>3796</v>
      </c>
    </row>
    <row r="11369">
      <c r="A11369" s="1" t="s">
        <v>3812</v>
      </c>
      <c r="B11369" s="2" t="s">
        <v>7</v>
      </c>
      <c r="C11369" s="1" t="s">
        <v>3814</v>
      </c>
      <c r="D11369" s="1" t="s">
        <v>3816</v>
      </c>
    </row>
    <row r="11370">
      <c r="A11370" s="1" t="s">
        <v>20803</v>
      </c>
      <c r="B11370" s="2" t="s">
        <v>20804</v>
      </c>
      <c r="C11370" s="1" t="s">
        <v>3814</v>
      </c>
      <c r="D11370" s="1" t="s">
        <v>3816</v>
      </c>
    </row>
    <row r="11371">
      <c r="A11371" s="1" t="s">
        <v>20805</v>
      </c>
      <c r="B11371" s="2" t="s">
        <v>11156</v>
      </c>
      <c r="C11371" s="1" t="s">
        <v>3814</v>
      </c>
      <c r="D11371" s="1" t="s">
        <v>3816</v>
      </c>
    </row>
    <row r="11372">
      <c r="A11372" s="1" t="s">
        <v>20806</v>
      </c>
      <c r="B11372" s="2" t="s">
        <v>20807</v>
      </c>
      <c r="C11372" s="1" t="s">
        <v>3814</v>
      </c>
      <c r="D11372" s="1" t="s">
        <v>3816</v>
      </c>
    </row>
    <row r="11373">
      <c r="A11373" s="1" t="s">
        <v>20808</v>
      </c>
      <c r="B11373" s="2" t="s">
        <v>20809</v>
      </c>
      <c r="C11373" s="1" t="s">
        <v>3814</v>
      </c>
      <c r="D11373" s="1" t="s">
        <v>3816</v>
      </c>
    </row>
    <row r="11374">
      <c r="A11374" s="1" t="s">
        <v>20810</v>
      </c>
      <c r="B11374" s="2" t="s">
        <v>20811</v>
      </c>
      <c r="C11374" s="1" t="s">
        <v>3814</v>
      </c>
      <c r="D11374" s="1" t="s">
        <v>3816</v>
      </c>
    </row>
    <row r="11375">
      <c r="A11375" s="1" t="s">
        <v>20812</v>
      </c>
      <c r="B11375" s="2" t="s">
        <v>20813</v>
      </c>
      <c r="C11375" s="1" t="s">
        <v>3814</v>
      </c>
      <c r="D11375" s="1" t="s">
        <v>3816</v>
      </c>
    </row>
    <row r="11376">
      <c r="A11376" s="1" t="s">
        <v>20814</v>
      </c>
      <c r="B11376" s="2" t="s">
        <v>20815</v>
      </c>
      <c r="C11376" s="1" t="s">
        <v>3814</v>
      </c>
      <c r="D11376" s="1" t="s">
        <v>3816</v>
      </c>
    </row>
    <row r="11377">
      <c r="A11377" s="1" t="s">
        <v>20816</v>
      </c>
      <c r="B11377" s="2" t="s">
        <v>20817</v>
      </c>
      <c r="C11377" s="1" t="s">
        <v>3814</v>
      </c>
      <c r="D11377" s="1" t="s">
        <v>3816</v>
      </c>
    </row>
    <row r="11378">
      <c r="A11378" s="1" t="s">
        <v>20818</v>
      </c>
      <c r="B11378" s="2" t="s">
        <v>20819</v>
      </c>
      <c r="C11378" s="1" t="s">
        <v>3814</v>
      </c>
      <c r="D11378" s="1" t="s">
        <v>3816</v>
      </c>
    </row>
    <row r="11379">
      <c r="A11379" s="1" t="s">
        <v>20820</v>
      </c>
      <c r="B11379" s="2" t="s">
        <v>20821</v>
      </c>
      <c r="C11379" s="1" t="s">
        <v>3814</v>
      </c>
      <c r="D11379" s="1" t="s">
        <v>3816</v>
      </c>
    </row>
    <row r="11380">
      <c r="A11380" s="1" t="s">
        <v>20822</v>
      </c>
      <c r="B11380" s="2" t="s">
        <v>20823</v>
      </c>
      <c r="C11380" s="1" t="s">
        <v>3814</v>
      </c>
      <c r="D11380" s="1" t="s">
        <v>3816</v>
      </c>
    </row>
    <row r="11381">
      <c r="A11381" s="1" t="s">
        <v>20824</v>
      </c>
      <c r="B11381" s="2" t="s">
        <v>20825</v>
      </c>
      <c r="C11381" s="1" t="s">
        <v>3814</v>
      </c>
      <c r="D11381" s="1" t="s">
        <v>3816</v>
      </c>
    </row>
    <row r="11382">
      <c r="A11382" s="1" t="s">
        <v>20826</v>
      </c>
      <c r="B11382" s="2" t="s">
        <v>20827</v>
      </c>
      <c r="C11382" s="1" t="s">
        <v>3814</v>
      </c>
      <c r="D11382" s="1" t="s">
        <v>3816</v>
      </c>
    </row>
    <row r="11383">
      <c r="A11383" s="1" t="s">
        <v>20828</v>
      </c>
      <c r="B11383" s="2" t="s">
        <v>20829</v>
      </c>
      <c r="C11383" s="1" t="s">
        <v>3814</v>
      </c>
      <c r="D11383" s="1" t="s">
        <v>3816</v>
      </c>
    </row>
    <row r="11384">
      <c r="A11384" s="1" t="s">
        <v>20830</v>
      </c>
      <c r="B11384" s="2" t="s">
        <v>20831</v>
      </c>
      <c r="C11384" s="1" t="s">
        <v>3814</v>
      </c>
      <c r="D11384" s="1" t="s">
        <v>3816</v>
      </c>
    </row>
    <row r="11385">
      <c r="A11385" s="1" t="s">
        <v>20832</v>
      </c>
      <c r="B11385" s="2" t="s">
        <v>20833</v>
      </c>
      <c r="C11385" s="1" t="s">
        <v>3814</v>
      </c>
      <c r="D11385" s="1" t="s">
        <v>3816</v>
      </c>
    </row>
    <row r="11386">
      <c r="A11386" s="1" t="s">
        <v>3822</v>
      </c>
      <c r="B11386" s="2" t="s">
        <v>7</v>
      </c>
      <c r="C11386" s="1" t="s">
        <v>3825</v>
      </c>
      <c r="D11386" s="1" t="s">
        <v>3826</v>
      </c>
    </row>
    <row r="11387">
      <c r="A11387" s="1" t="s">
        <v>20834</v>
      </c>
      <c r="B11387" s="2" t="s">
        <v>20804</v>
      </c>
      <c r="C11387" s="1" t="s">
        <v>3825</v>
      </c>
      <c r="D11387" s="1" t="s">
        <v>3826</v>
      </c>
    </row>
    <row r="11388">
      <c r="A11388" s="1" t="s">
        <v>20835</v>
      </c>
      <c r="B11388" s="2" t="s">
        <v>11156</v>
      </c>
      <c r="C11388" s="1" t="s">
        <v>3825</v>
      </c>
      <c r="D11388" s="1" t="s">
        <v>3826</v>
      </c>
    </row>
    <row r="11389">
      <c r="A11389" s="1" t="s">
        <v>20836</v>
      </c>
      <c r="B11389" s="2" t="s">
        <v>20807</v>
      </c>
      <c r="C11389" s="1" t="s">
        <v>3825</v>
      </c>
      <c r="D11389" s="1" t="s">
        <v>3826</v>
      </c>
    </row>
    <row r="11390">
      <c r="A11390" s="1" t="s">
        <v>20837</v>
      </c>
      <c r="B11390" s="2" t="s">
        <v>20809</v>
      </c>
      <c r="C11390" s="1" t="s">
        <v>3825</v>
      </c>
      <c r="D11390" s="1" t="s">
        <v>3826</v>
      </c>
    </row>
    <row r="11391">
      <c r="A11391" s="1" t="s">
        <v>20838</v>
      </c>
      <c r="B11391" s="2" t="s">
        <v>20811</v>
      </c>
      <c r="C11391" s="1" t="s">
        <v>3825</v>
      </c>
      <c r="D11391" s="1" t="s">
        <v>3826</v>
      </c>
    </row>
    <row r="11392">
      <c r="A11392" s="1" t="s">
        <v>20839</v>
      </c>
      <c r="B11392" s="2" t="s">
        <v>20813</v>
      </c>
      <c r="C11392" s="1" t="s">
        <v>3825</v>
      </c>
      <c r="D11392" s="1" t="s">
        <v>3826</v>
      </c>
    </row>
    <row r="11393">
      <c r="A11393" s="1" t="s">
        <v>20840</v>
      </c>
      <c r="B11393" s="2" t="s">
        <v>20815</v>
      </c>
      <c r="C11393" s="1" t="s">
        <v>3825</v>
      </c>
      <c r="D11393" s="1" t="s">
        <v>3826</v>
      </c>
    </row>
    <row r="11394">
      <c r="A11394" s="1" t="s">
        <v>20841</v>
      </c>
      <c r="B11394" s="2" t="s">
        <v>20817</v>
      </c>
      <c r="C11394" s="1" t="s">
        <v>3825</v>
      </c>
      <c r="D11394" s="1" t="s">
        <v>3826</v>
      </c>
    </row>
    <row r="11395">
      <c r="A11395" s="1" t="s">
        <v>20842</v>
      </c>
      <c r="B11395" s="2" t="s">
        <v>20819</v>
      </c>
      <c r="C11395" s="1" t="s">
        <v>3825</v>
      </c>
      <c r="D11395" s="1" t="s">
        <v>3826</v>
      </c>
    </row>
    <row r="11396">
      <c r="A11396" s="1" t="s">
        <v>20843</v>
      </c>
      <c r="B11396" s="2" t="s">
        <v>20821</v>
      </c>
      <c r="C11396" s="1" t="s">
        <v>3825</v>
      </c>
      <c r="D11396" s="1" t="s">
        <v>3826</v>
      </c>
    </row>
    <row r="11397">
      <c r="A11397" s="1" t="s">
        <v>20844</v>
      </c>
      <c r="B11397" s="2" t="s">
        <v>20823</v>
      </c>
      <c r="C11397" s="1" t="s">
        <v>3825</v>
      </c>
      <c r="D11397" s="1" t="s">
        <v>3826</v>
      </c>
    </row>
    <row r="11398">
      <c r="A11398" s="1" t="s">
        <v>20845</v>
      </c>
      <c r="B11398" s="2" t="s">
        <v>20825</v>
      </c>
      <c r="C11398" s="1" t="s">
        <v>3825</v>
      </c>
      <c r="D11398" s="1" t="s">
        <v>3826</v>
      </c>
    </row>
    <row r="11399">
      <c r="A11399" s="1" t="s">
        <v>20846</v>
      </c>
      <c r="B11399" s="2" t="s">
        <v>20827</v>
      </c>
      <c r="C11399" s="1" t="s">
        <v>3825</v>
      </c>
      <c r="D11399" s="1" t="s">
        <v>3826</v>
      </c>
    </row>
    <row r="11400">
      <c r="A11400" s="1" t="s">
        <v>20847</v>
      </c>
      <c r="B11400" s="2" t="s">
        <v>20829</v>
      </c>
      <c r="C11400" s="1" t="s">
        <v>3825</v>
      </c>
      <c r="D11400" s="1" t="s">
        <v>3826</v>
      </c>
    </row>
    <row r="11401">
      <c r="A11401" s="1" t="s">
        <v>20848</v>
      </c>
      <c r="B11401" s="2" t="s">
        <v>20831</v>
      </c>
      <c r="C11401" s="1" t="s">
        <v>3825</v>
      </c>
      <c r="D11401" s="1" t="s">
        <v>3826</v>
      </c>
    </row>
    <row r="11402">
      <c r="A11402" s="1" t="s">
        <v>20849</v>
      </c>
      <c r="B11402" s="2" t="s">
        <v>20833</v>
      </c>
      <c r="C11402" s="1" t="s">
        <v>3825</v>
      </c>
      <c r="D11402" s="1" t="s">
        <v>3826</v>
      </c>
    </row>
    <row r="11403">
      <c r="A11403" s="1" t="s">
        <v>3831</v>
      </c>
      <c r="B11403" s="2" t="s">
        <v>7</v>
      </c>
      <c r="C11403" s="1" t="s">
        <v>3832</v>
      </c>
      <c r="D11403" s="1" t="s">
        <v>3834</v>
      </c>
    </row>
    <row r="11404">
      <c r="A11404" s="1" t="s">
        <v>20850</v>
      </c>
      <c r="B11404" s="2" t="s">
        <v>20804</v>
      </c>
      <c r="C11404" s="1" t="s">
        <v>3832</v>
      </c>
      <c r="D11404" s="1" t="s">
        <v>3834</v>
      </c>
    </row>
    <row r="11405">
      <c r="A11405" s="1" t="s">
        <v>20851</v>
      </c>
      <c r="B11405" s="2" t="s">
        <v>11156</v>
      </c>
      <c r="C11405" s="1" t="s">
        <v>3832</v>
      </c>
      <c r="D11405" s="1" t="s">
        <v>3834</v>
      </c>
    </row>
    <row r="11406">
      <c r="A11406" s="1" t="s">
        <v>20852</v>
      </c>
      <c r="B11406" s="2" t="s">
        <v>20807</v>
      </c>
      <c r="C11406" s="1" t="s">
        <v>3832</v>
      </c>
      <c r="D11406" s="1" t="s">
        <v>3834</v>
      </c>
    </row>
    <row r="11407">
      <c r="A11407" s="1" t="s">
        <v>20853</v>
      </c>
      <c r="B11407" s="2" t="s">
        <v>20809</v>
      </c>
      <c r="C11407" s="1" t="s">
        <v>3832</v>
      </c>
      <c r="D11407" s="1" t="s">
        <v>3834</v>
      </c>
    </row>
    <row r="11408">
      <c r="A11408" s="1" t="s">
        <v>20854</v>
      </c>
      <c r="B11408" s="2" t="s">
        <v>20811</v>
      </c>
      <c r="C11408" s="1" t="s">
        <v>3832</v>
      </c>
      <c r="D11408" s="1" t="s">
        <v>3834</v>
      </c>
    </row>
    <row r="11409">
      <c r="A11409" s="1" t="s">
        <v>20855</v>
      </c>
      <c r="B11409" s="2" t="s">
        <v>20813</v>
      </c>
      <c r="C11409" s="1" t="s">
        <v>3832</v>
      </c>
      <c r="D11409" s="1" t="s">
        <v>3834</v>
      </c>
    </row>
    <row r="11410">
      <c r="A11410" s="1" t="s">
        <v>20856</v>
      </c>
      <c r="B11410" s="2" t="s">
        <v>20815</v>
      </c>
      <c r="C11410" s="1" t="s">
        <v>3832</v>
      </c>
      <c r="D11410" s="1" t="s">
        <v>3834</v>
      </c>
    </row>
    <row r="11411">
      <c r="A11411" s="1" t="s">
        <v>20857</v>
      </c>
      <c r="B11411" s="2" t="s">
        <v>20817</v>
      </c>
      <c r="C11411" s="1" t="s">
        <v>3832</v>
      </c>
      <c r="D11411" s="1" t="s">
        <v>3834</v>
      </c>
    </row>
    <row r="11412">
      <c r="A11412" s="1" t="s">
        <v>20858</v>
      </c>
      <c r="B11412" s="2" t="s">
        <v>20819</v>
      </c>
      <c r="C11412" s="1" t="s">
        <v>3832</v>
      </c>
      <c r="D11412" s="1" t="s">
        <v>3834</v>
      </c>
    </row>
    <row r="11413">
      <c r="A11413" s="1" t="s">
        <v>20859</v>
      </c>
      <c r="B11413" s="2" t="s">
        <v>20821</v>
      </c>
      <c r="C11413" s="1" t="s">
        <v>3832</v>
      </c>
      <c r="D11413" s="1" t="s">
        <v>3834</v>
      </c>
    </row>
    <row r="11414">
      <c r="A11414" s="1" t="s">
        <v>20860</v>
      </c>
      <c r="B11414" s="2" t="s">
        <v>20823</v>
      </c>
      <c r="C11414" s="1" t="s">
        <v>3832</v>
      </c>
      <c r="D11414" s="1" t="s">
        <v>3834</v>
      </c>
    </row>
    <row r="11415">
      <c r="A11415" s="1" t="s">
        <v>20861</v>
      </c>
      <c r="B11415" s="2" t="s">
        <v>20825</v>
      </c>
      <c r="C11415" s="1" t="s">
        <v>3832</v>
      </c>
      <c r="D11415" s="1" t="s">
        <v>3834</v>
      </c>
    </row>
    <row r="11416">
      <c r="A11416" s="1" t="s">
        <v>20862</v>
      </c>
      <c r="B11416" s="2" t="s">
        <v>20827</v>
      </c>
      <c r="C11416" s="1" t="s">
        <v>3832</v>
      </c>
      <c r="D11416" s="1" t="s">
        <v>3834</v>
      </c>
    </row>
    <row r="11417">
      <c r="A11417" s="1" t="s">
        <v>20863</v>
      </c>
      <c r="B11417" s="2" t="s">
        <v>20829</v>
      </c>
      <c r="C11417" s="1" t="s">
        <v>3832</v>
      </c>
      <c r="D11417" s="1" t="s">
        <v>3834</v>
      </c>
    </row>
    <row r="11418">
      <c r="A11418" s="1" t="s">
        <v>20864</v>
      </c>
      <c r="B11418" s="2" t="s">
        <v>20831</v>
      </c>
      <c r="C11418" s="1" t="s">
        <v>3832</v>
      </c>
      <c r="D11418" s="1" t="s">
        <v>3834</v>
      </c>
    </row>
    <row r="11419">
      <c r="A11419" s="1" t="s">
        <v>20865</v>
      </c>
      <c r="B11419" s="2" t="s">
        <v>20833</v>
      </c>
      <c r="C11419" s="1" t="s">
        <v>3832</v>
      </c>
      <c r="D11419" s="1" t="s">
        <v>3834</v>
      </c>
    </row>
    <row r="11420">
      <c r="A11420" s="1" t="s">
        <v>3840</v>
      </c>
      <c r="B11420" s="2" t="s">
        <v>7</v>
      </c>
      <c r="C11420" s="1" t="s">
        <v>3842</v>
      </c>
      <c r="D11420" s="1" t="s">
        <v>3844</v>
      </c>
    </row>
    <row r="11421">
      <c r="A11421" s="1" t="s">
        <v>20866</v>
      </c>
      <c r="B11421" s="2" t="s">
        <v>20804</v>
      </c>
      <c r="C11421" s="1" t="s">
        <v>3842</v>
      </c>
      <c r="D11421" s="1" t="s">
        <v>3844</v>
      </c>
    </row>
    <row r="11422">
      <c r="A11422" s="1" t="s">
        <v>20867</v>
      </c>
      <c r="B11422" s="2" t="s">
        <v>11156</v>
      </c>
      <c r="C11422" s="1" t="s">
        <v>3842</v>
      </c>
      <c r="D11422" s="1" t="s">
        <v>3844</v>
      </c>
    </row>
    <row r="11423">
      <c r="A11423" s="1" t="s">
        <v>20868</v>
      </c>
      <c r="B11423" s="2" t="s">
        <v>20807</v>
      </c>
      <c r="C11423" s="1" t="s">
        <v>3842</v>
      </c>
      <c r="D11423" s="1" t="s">
        <v>3844</v>
      </c>
    </row>
    <row r="11424">
      <c r="A11424" s="1" t="s">
        <v>20869</v>
      </c>
      <c r="B11424" s="2" t="s">
        <v>20809</v>
      </c>
      <c r="C11424" s="1" t="s">
        <v>3842</v>
      </c>
      <c r="D11424" s="1" t="s">
        <v>3844</v>
      </c>
    </row>
    <row r="11425">
      <c r="A11425" s="1" t="s">
        <v>20870</v>
      </c>
      <c r="B11425" s="2" t="s">
        <v>20811</v>
      </c>
      <c r="C11425" s="1" t="s">
        <v>3842</v>
      </c>
      <c r="D11425" s="1" t="s">
        <v>3844</v>
      </c>
    </row>
    <row r="11426">
      <c r="A11426" s="1" t="s">
        <v>20871</v>
      </c>
      <c r="B11426" s="2" t="s">
        <v>20813</v>
      </c>
      <c r="C11426" s="1" t="s">
        <v>3842</v>
      </c>
      <c r="D11426" s="1" t="s">
        <v>3844</v>
      </c>
    </row>
    <row r="11427">
      <c r="A11427" s="1" t="s">
        <v>20872</v>
      </c>
      <c r="B11427" s="2" t="s">
        <v>20815</v>
      </c>
      <c r="C11427" s="1" t="s">
        <v>3842</v>
      </c>
      <c r="D11427" s="1" t="s">
        <v>3844</v>
      </c>
    </row>
    <row r="11428">
      <c r="A11428" s="1" t="s">
        <v>20873</v>
      </c>
      <c r="B11428" s="2" t="s">
        <v>20817</v>
      </c>
      <c r="C11428" s="1" t="s">
        <v>3842</v>
      </c>
      <c r="D11428" s="1" t="s">
        <v>3844</v>
      </c>
    </row>
    <row r="11429">
      <c r="A11429" s="1" t="s">
        <v>20874</v>
      </c>
      <c r="B11429" s="2" t="s">
        <v>20819</v>
      </c>
      <c r="C11429" s="1" t="s">
        <v>3842</v>
      </c>
      <c r="D11429" s="1" t="s">
        <v>3844</v>
      </c>
    </row>
    <row r="11430">
      <c r="A11430" s="1" t="s">
        <v>20875</v>
      </c>
      <c r="B11430" s="2" t="s">
        <v>20821</v>
      </c>
      <c r="C11430" s="1" t="s">
        <v>3842</v>
      </c>
      <c r="D11430" s="1" t="s">
        <v>3844</v>
      </c>
    </row>
    <row r="11431">
      <c r="A11431" s="1" t="s">
        <v>20876</v>
      </c>
      <c r="B11431" s="2" t="s">
        <v>20823</v>
      </c>
      <c r="C11431" s="1" t="s">
        <v>3842</v>
      </c>
      <c r="D11431" s="1" t="s">
        <v>3844</v>
      </c>
    </row>
    <row r="11432">
      <c r="A11432" s="1" t="s">
        <v>20877</v>
      </c>
      <c r="B11432" s="2" t="s">
        <v>20825</v>
      </c>
      <c r="C11432" s="1" t="s">
        <v>3842</v>
      </c>
      <c r="D11432" s="1" t="s">
        <v>3844</v>
      </c>
    </row>
    <row r="11433">
      <c r="A11433" s="1" t="s">
        <v>20878</v>
      </c>
      <c r="B11433" s="2" t="s">
        <v>20827</v>
      </c>
      <c r="C11433" s="1" t="s">
        <v>3842</v>
      </c>
      <c r="D11433" s="1" t="s">
        <v>3844</v>
      </c>
    </row>
    <row r="11434">
      <c r="A11434" s="1" t="s">
        <v>20879</v>
      </c>
      <c r="B11434" s="2" t="s">
        <v>20829</v>
      </c>
      <c r="C11434" s="1" t="s">
        <v>3842</v>
      </c>
      <c r="D11434" s="1" t="s">
        <v>3844</v>
      </c>
    </row>
    <row r="11435">
      <c r="A11435" s="1" t="s">
        <v>20880</v>
      </c>
      <c r="B11435" s="2" t="s">
        <v>20831</v>
      </c>
      <c r="C11435" s="1" t="s">
        <v>3842</v>
      </c>
      <c r="D11435" s="1" t="s">
        <v>3844</v>
      </c>
    </row>
    <row r="11436">
      <c r="A11436" s="1" t="s">
        <v>20881</v>
      </c>
      <c r="B11436" s="2" t="s">
        <v>20833</v>
      </c>
      <c r="C11436" s="1" t="s">
        <v>3842</v>
      </c>
      <c r="D11436" s="1" t="s">
        <v>3844</v>
      </c>
    </row>
    <row r="11437">
      <c r="A11437" s="1" t="s">
        <v>3849</v>
      </c>
      <c r="B11437" s="2" t="s">
        <v>7</v>
      </c>
      <c r="C11437" s="1" t="s">
        <v>3852</v>
      </c>
      <c r="D11437" s="1" t="s">
        <v>3853</v>
      </c>
    </row>
    <row r="11438">
      <c r="A11438" s="1" t="s">
        <v>20882</v>
      </c>
      <c r="B11438" s="2" t="s">
        <v>20804</v>
      </c>
      <c r="C11438" s="1" t="s">
        <v>3852</v>
      </c>
      <c r="D11438" s="1" t="s">
        <v>3853</v>
      </c>
    </row>
    <row r="11439">
      <c r="A11439" s="1" t="s">
        <v>20883</v>
      </c>
      <c r="B11439" s="2" t="s">
        <v>11156</v>
      </c>
      <c r="C11439" s="1" t="s">
        <v>3852</v>
      </c>
      <c r="D11439" s="1" t="s">
        <v>3853</v>
      </c>
    </row>
    <row r="11440">
      <c r="A11440" s="1" t="s">
        <v>20884</v>
      </c>
      <c r="B11440" s="2" t="s">
        <v>20807</v>
      </c>
      <c r="C11440" s="1" t="s">
        <v>3852</v>
      </c>
      <c r="D11440" s="1" t="s">
        <v>3853</v>
      </c>
    </row>
    <row r="11441">
      <c r="A11441" s="1" t="s">
        <v>20885</v>
      </c>
      <c r="B11441" s="2" t="s">
        <v>20809</v>
      </c>
      <c r="C11441" s="1" t="s">
        <v>3852</v>
      </c>
      <c r="D11441" s="1" t="s">
        <v>3853</v>
      </c>
    </row>
    <row r="11442">
      <c r="A11442" s="1" t="s">
        <v>20886</v>
      </c>
      <c r="B11442" s="2" t="s">
        <v>20811</v>
      </c>
      <c r="C11442" s="1" t="s">
        <v>3852</v>
      </c>
      <c r="D11442" s="1" t="s">
        <v>3853</v>
      </c>
    </row>
    <row r="11443">
      <c r="A11443" s="1" t="s">
        <v>20887</v>
      </c>
      <c r="B11443" s="2" t="s">
        <v>20813</v>
      </c>
      <c r="C11443" s="1" t="s">
        <v>3852</v>
      </c>
      <c r="D11443" s="1" t="s">
        <v>3853</v>
      </c>
    </row>
    <row r="11444">
      <c r="A11444" s="1" t="s">
        <v>20888</v>
      </c>
      <c r="B11444" s="2" t="s">
        <v>20815</v>
      </c>
      <c r="C11444" s="1" t="s">
        <v>3852</v>
      </c>
      <c r="D11444" s="1" t="s">
        <v>3853</v>
      </c>
    </row>
    <row r="11445">
      <c r="A11445" s="1" t="s">
        <v>20889</v>
      </c>
      <c r="B11445" s="2" t="s">
        <v>20817</v>
      </c>
      <c r="C11445" s="1" t="s">
        <v>3852</v>
      </c>
      <c r="D11445" s="1" t="s">
        <v>3853</v>
      </c>
    </row>
    <row r="11446">
      <c r="A11446" s="1" t="s">
        <v>20890</v>
      </c>
      <c r="B11446" s="2" t="s">
        <v>20819</v>
      </c>
      <c r="C11446" s="1" t="s">
        <v>3852</v>
      </c>
      <c r="D11446" s="1" t="s">
        <v>3853</v>
      </c>
    </row>
    <row r="11447">
      <c r="A11447" s="1" t="s">
        <v>20891</v>
      </c>
      <c r="B11447" s="2" t="s">
        <v>20821</v>
      </c>
      <c r="C11447" s="1" t="s">
        <v>3852</v>
      </c>
      <c r="D11447" s="1" t="s">
        <v>3853</v>
      </c>
    </row>
    <row r="11448">
      <c r="A11448" s="1" t="s">
        <v>20892</v>
      </c>
      <c r="B11448" s="2" t="s">
        <v>20823</v>
      </c>
      <c r="C11448" s="1" t="s">
        <v>3852</v>
      </c>
      <c r="D11448" s="1" t="s">
        <v>3853</v>
      </c>
    </row>
    <row r="11449">
      <c r="A11449" s="1" t="s">
        <v>20893</v>
      </c>
      <c r="B11449" s="2" t="s">
        <v>20825</v>
      </c>
      <c r="C11449" s="1" t="s">
        <v>3852</v>
      </c>
      <c r="D11449" s="1" t="s">
        <v>3853</v>
      </c>
    </row>
    <row r="11450">
      <c r="A11450" s="1" t="s">
        <v>20894</v>
      </c>
      <c r="B11450" s="2" t="s">
        <v>20827</v>
      </c>
      <c r="C11450" s="1" t="s">
        <v>3852</v>
      </c>
      <c r="D11450" s="1" t="s">
        <v>3853</v>
      </c>
    </row>
    <row r="11451">
      <c r="A11451" s="1" t="s">
        <v>20895</v>
      </c>
      <c r="B11451" s="2" t="s">
        <v>20829</v>
      </c>
      <c r="C11451" s="1" t="s">
        <v>3852</v>
      </c>
      <c r="D11451" s="1" t="s">
        <v>3853</v>
      </c>
    </row>
    <row r="11452">
      <c r="A11452" s="1" t="s">
        <v>20896</v>
      </c>
      <c r="B11452" s="2" t="s">
        <v>20831</v>
      </c>
      <c r="C11452" s="1" t="s">
        <v>3852</v>
      </c>
      <c r="D11452" s="1" t="s">
        <v>3853</v>
      </c>
    </row>
    <row r="11453">
      <c r="A11453" s="1" t="s">
        <v>20897</v>
      </c>
      <c r="B11453" s="2" t="s">
        <v>20833</v>
      </c>
      <c r="C11453" s="1" t="s">
        <v>3852</v>
      </c>
      <c r="D11453" s="1" t="s">
        <v>3853</v>
      </c>
    </row>
    <row r="11454">
      <c r="A11454" s="1" t="s">
        <v>3858</v>
      </c>
      <c r="B11454" s="2" t="s">
        <v>7</v>
      </c>
      <c r="C11454" s="1" t="s">
        <v>3861</v>
      </c>
      <c r="D11454" s="1" t="s">
        <v>3862</v>
      </c>
    </row>
    <row r="11455">
      <c r="A11455" s="1" t="s">
        <v>20898</v>
      </c>
      <c r="B11455" s="2" t="s">
        <v>20804</v>
      </c>
      <c r="C11455" s="1" t="s">
        <v>3861</v>
      </c>
      <c r="D11455" s="1" t="s">
        <v>3862</v>
      </c>
    </row>
    <row r="11456">
      <c r="A11456" s="1" t="s">
        <v>20899</v>
      </c>
      <c r="B11456" s="2" t="s">
        <v>11156</v>
      </c>
      <c r="C11456" s="1" t="s">
        <v>3861</v>
      </c>
      <c r="D11456" s="1" t="s">
        <v>3862</v>
      </c>
    </row>
    <row r="11457">
      <c r="A11457" s="1" t="s">
        <v>20900</v>
      </c>
      <c r="B11457" s="2" t="s">
        <v>20807</v>
      </c>
      <c r="C11457" s="1" t="s">
        <v>3861</v>
      </c>
      <c r="D11457" s="1" t="s">
        <v>3862</v>
      </c>
    </row>
    <row r="11458">
      <c r="A11458" s="1" t="s">
        <v>20901</v>
      </c>
      <c r="B11458" s="2" t="s">
        <v>20809</v>
      </c>
      <c r="C11458" s="1" t="s">
        <v>3861</v>
      </c>
      <c r="D11458" s="1" t="s">
        <v>3862</v>
      </c>
    </row>
    <row r="11459">
      <c r="A11459" s="1" t="s">
        <v>20902</v>
      </c>
      <c r="B11459" s="2" t="s">
        <v>20811</v>
      </c>
      <c r="C11459" s="1" t="s">
        <v>3861</v>
      </c>
      <c r="D11459" s="1" t="s">
        <v>3862</v>
      </c>
    </row>
    <row r="11460">
      <c r="A11460" s="1" t="s">
        <v>20903</v>
      </c>
      <c r="B11460" s="2" t="s">
        <v>20813</v>
      </c>
      <c r="C11460" s="1" t="s">
        <v>3861</v>
      </c>
      <c r="D11460" s="1" t="s">
        <v>3862</v>
      </c>
    </row>
    <row r="11461">
      <c r="A11461" s="1" t="s">
        <v>20904</v>
      </c>
      <c r="B11461" s="2" t="s">
        <v>20815</v>
      </c>
      <c r="C11461" s="1" t="s">
        <v>3861</v>
      </c>
      <c r="D11461" s="1" t="s">
        <v>3862</v>
      </c>
    </row>
    <row r="11462">
      <c r="A11462" s="1" t="s">
        <v>20905</v>
      </c>
      <c r="B11462" s="2" t="s">
        <v>20817</v>
      </c>
      <c r="C11462" s="1" t="s">
        <v>3861</v>
      </c>
      <c r="D11462" s="1" t="s">
        <v>3862</v>
      </c>
    </row>
    <row r="11463">
      <c r="A11463" s="1" t="s">
        <v>20906</v>
      </c>
      <c r="B11463" s="2" t="s">
        <v>20819</v>
      </c>
      <c r="C11463" s="1" t="s">
        <v>3861</v>
      </c>
      <c r="D11463" s="1" t="s">
        <v>3862</v>
      </c>
    </row>
    <row r="11464">
      <c r="A11464" s="1" t="s">
        <v>20907</v>
      </c>
      <c r="B11464" s="2" t="s">
        <v>20821</v>
      </c>
      <c r="C11464" s="1" t="s">
        <v>3861</v>
      </c>
      <c r="D11464" s="1" t="s">
        <v>3862</v>
      </c>
    </row>
    <row r="11465">
      <c r="A11465" s="1" t="s">
        <v>20908</v>
      </c>
      <c r="B11465" s="2" t="s">
        <v>20823</v>
      </c>
      <c r="C11465" s="1" t="s">
        <v>3861</v>
      </c>
      <c r="D11465" s="1" t="s">
        <v>3862</v>
      </c>
    </row>
    <row r="11466">
      <c r="A11466" s="1" t="s">
        <v>20909</v>
      </c>
      <c r="B11466" s="2" t="s">
        <v>20825</v>
      </c>
      <c r="C11466" s="1" t="s">
        <v>3861</v>
      </c>
      <c r="D11466" s="1" t="s">
        <v>3862</v>
      </c>
    </row>
    <row r="11467">
      <c r="A11467" s="1" t="s">
        <v>20910</v>
      </c>
      <c r="B11467" s="2" t="s">
        <v>20827</v>
      </c>
      <c r="C11467" s="1" t="s">
        <v>3861</v>
      </c>
      <c r="D11467" s="1" t="s">
        <v>3862</v>
      </c>
    </row>
    <row r="11468">
      <c r="A11468" s="1" t="s">
        <v>20911</v>
      </c>
      <c r="B11468" s="2" t="s">
        <v>20829</v>
      </c>
      <c r="C11468" s="1" t="s">
        <v>3861</v>
      </c>
      <c r="D11468" s="1" t="s">
        <v>3862</v>
      </c>
    </row>
    <row r="11469">
      <c r="A11469" s="1" t="s">
        <v>20912</v>
      </c>
      <c r="B11469" s="2" t="s">
        <v>20831</v>
      </c>
      <c r="C11469" s="1" t="s">
        <v>3861</v>
      </c>
      <c r="D11469" s="1" t="s">
        <v>3862</v>
      </c>
    </row>
    <row r="11470">
      <c r="A11470" s="1" t="s">
        <v>20913</v>
      </c>
      <c r="B11470" s="2" t="s">
        <v>20833</v>
      </c>
      <c r="C11470" s="1" t="s">
        <v>3861</v>
      </c>
      <c r="D11470" s="1" t="s">
        <v>3862</v>
      </c>
    </row>
    <row r="11471">
      <c r="A11471" s="1" t="s">
        <v>3867</v>
      </c>
      <c r="B11471" s="2" t="s">
        <v>7</v>
      </c>
      <c r="C11471" s="1" t="s">
        <v>3870</v>
      </c>
      <c r="D11471" s="1" t="s">
        <v>3871</v>
      </c>
    </row>
    <row r="11472">
      <c r="A11472" s="1" t="s">
        <v>20914</v>
      </c>
      <c r="B11472" s="2" t="s">
        <v>20804</v>
      </c>
      <c r="C11472" s="1" t="s">
        <v>3870</v>
      </c>
      <c r="D11472" s="1" t="s">
        <v>3871</v>
      </c>
    </row>
    <row r="11473">
      <c r="A11473" s="1" t="s">
        <v>20915</v>
      </c>
      <c r="B11473" s="2" t="s">
        <v>11156</v>
      </c>
      <c r="C11473" s="1" t="s">
        <v>3870</v>
      </c>
      <c r="D11473" s="1" t="s">
        <v>3871</v>
      </c>
    </row>
    <row r="11474">
      <c r="A11474" s="1" t="s">
        <v>20916</v>
      </c>
      <c r="B11474" s="2" t="s">
        <v>20807</v>
      </c>
      <c r="C11474" s="1" t="s">
        <v>3870</v>
      </c>
      <c r="D11474" s="1" t="s">
        <v>3871</v>
      </c>
    </row>
    <row r="11475">
      <c r="A11475" s="1" t="s">
        <v>20917</v>
      </c>
      <c r="B11475" s="2" t="s">
        <v>20809</v>
      </c>
      <c r="C11475" s="1" t="s">
        <v>3870</v>
      </c>
      <c r="D11475" s="1" t="s">
        <v>3871</v>
      </c>
    </row>
    <row r="11476">
      <c r="A11476" s="1" t="s">
        <v>20918</v>
      </c>
      <c r="B11476" s="2" t="s">
        <v>20811</v>
      </c>
      <c r="C11476" s="1" t="s">
        <v>3870</v>
      </c>
      <c r="D11476" s="1" t="s">
        <v>3871</v>
      </c>
    </row>
    <row r="11477">
      <c r="A11477" s="1" t="s">
        <v>20919</v>
      </c>
      <c r="B11477" s="2" t="s">
        <v>20813</v>
      </c>
      <c r="C11477" s="1" t="s">
        <v>3870</v>
      </c>
      <c r="D11477" s="1" t="s">
        <v>3871</v>
      </c>
    </row>
    <row r="11478">
      <c r="A11478" s="1" t="s">
        <v>20920</v>
      </c>
      <c r="B11478" s="2" t="s">
        <v>20815</v>
      </c>
      <c r="C11478" s="1" t="s">
        <v>3870</v>
      </c>
      <c r="D11478" s="1" t="s">
        <v>3871</v>
      </c>
    </row>
    <row r="11479">
      <c r="A11479" s="1" t="s">
        <v>20921</v>
      </c>
      <c r="B11479" s="2" t="s">
        <v>20817</v>
      </c>
      <c r="C11479" s="1" t="s">
        <v>3870</v>
      </c>
      <c r="D11479" s="1" t="s">
        <v>3871</v>
      </c>
    </row>
    <row r="11480">
      <c r="A11480" s="1" t="s">
        <v>20922</v>
      </c>
      <c r="B11480" s="2" t="s">
        <v>20819</v>
      </c>
      <c r="C11480" s="1" t="s">
        <v>3870</v>
      </c>
      <c r="D11480" s="1" t="s">
        <v>3871</v>
      </c>
    </row>
    <row r="11481">
      <c r="A11481" s="1" t="s">
        <v>20923</v>
      </c>
      <c r="B11481" s="2" t="s">
        <v>20821</v>
      </c>
      <c r="C11481" s="1" t="s">
        <v>3870</v>
      </c>
      <c r="D11481" s="1" t="s">
        <v>3871</v>
      </c>
    </row>
    <row r="11482">
      <c r="A11482" s="1" t="s">
        <v>20924</v>
      </c>
      <c r="B11482" s="2" t="s">
        <v>20823</v>
      </c>
      <c r="C11482" s="1" t="s">
        <v>3870</v>
      </c>
      <c r="D11482" s="1" t="s">
        <v>3871</v>
      </c>
    </row>
    <row r="11483">
      <c r="A11483" s="1" t="s">
        <v>20925</v>
      </c>
      <c r="B11483" s="2" t="s">
        <v>20825</v>
      </c>
      <c r="C11483" s="1" t="s">
        <v>3870</v>
      </c>
      <c r="D11483" s="1" t="s">
        <v>3871</v>
      </c>
    </row>
    <row r="11484">
      <c r="A11484" s="1" t="s">
        <v>20926</v>
      </c>
      <c r="B11484" s="2" t="s">
        <v>20827</v>
      </c>
      <c r="C11484" s="1" t="s">
        <v>3870</v>
      </c>
      <c r="D11484" s="1" t="s">
        <v>3871</v>
      </c>
    </row>
    <row r="11485">
      <c r="A11485" s="1" t="s">
        <v>20927</v>
      </c>
      <c r="B11485" s="2" t="s">
        <v>20829</v>
      </c>
      <c r="C11485" s="1" t="s">
        <v>3870</v>
      </c>
      <c r="D11485" s="1" t="s">
        <v>3871</v>
      </c>
    </row>
    <row r="11486">
      <c r="A11486" s="1" t="s">
        <v>20928</v>
      </c>
      <c r="B11486" s="2" t="s">
        <v>20831</v>
      </c>
      <c r="C11486" s="1" t="s">
        <v>3870</v>
      </c>
      <c r="D11486" s="1" t="s">
        <v>3871</v>
      </c>
    </row>
    <row r="11487">
      <c r="A11487" s="1" t="s">
        <v>20929</v>
      </c>
      <c r="B11487" s="2" t="s">
        <v>20833</v>
      </c>
      <c r="C11487" s="1" t="s">
        <v>3870</v>
      </c>
      <c r="D11487" s="1" t="s">
        <v>3871</v>
      </c>
    </row>
    <row r="11488">
      <c r="A11488" s="1" t="s">
        <v>3876</v>
      </c>
      <c r="B11488" s="2" t="s">
        <v>7</v>
      </c>
      <c r="C11488" s="1" t="s">
        <v>3879</v>
      </c>
      <c r="D11488" s="1" t="s">
        <v>3880</v>
      </c>
    </row>
    <row r="11489">
      <c r="A11489" s="1" t="s">
        <v>20930</v>
      </c>
      <c r="B11489" s="2" t="s">
        <v>20804</v>
      </c>
      <c r="C11489" s="1" t="s">
        <v>3879</v>
      </c>
      <c r="D11489" s="1" t="s">
        <v>3880</v>
      </c>
    </row>
    <row r="11490">
      <c r="A11490" s="1" t="s">
        <v>20931</v>
      </c>
      <c r="B11490" s="2" t="s">
        <v>11156</v>
      </c>
      <c r="C11490" s="1" t="s">
        <v>3879</v>
      </c>
      <c r="D11490" s="1" t="s">
        <v>3880</v>
      </c>
    </row>
    <row r="11491">
      <c r="A11491" s="1" t="s">
        <v>20932</v>
      </c>
      <c r="B11491" s="2" t="s">
        <v>20807</v>
      </c>
      <c r="C11491" s="1" t="s">
        <v>3879</v>
      </c>
      <c r="D11491" s="1" t="s">
        <v>3880</v>
      </c>
    </row>
    <row r="11492">
      <c r="A11492" s="1" t="s">
        <v>20933</v>
      </c>
      <c r="B11492" s="2" t="s">
        <v>20809</v>
      </c>
      <c r="C11492" s="1" t="s">
        <v>3879</v>
      </c>
      <c r="D11492" s="1" t="s">
        <v>3880</v>
      </c>
    </row>
    <row r="11493">
      <c r="A11493" s="1" t="s">
        <v>20934</v>
      </c>
      <c r="B11493" s="2" t="s">
        <v>20811</v>
      </c>
      <c r="C11493" s="1" t="s">
        <v>3879</v>
      </c>
      <c r="D11493" s="1" t="s">
        <v>3880</v>
      </c>
    </row>
    <row r="11494">
      <c r="A11494" s="1" t="s">
        <v>20935</v>
      </c>
      <c r="B11494" s="2" t="s">
        <v>20813</v>
      </c>
      <c r="C11494" s="1" t="s">
        <v>3879</v>
      </c>
      <c r="D11494" s="1" t="s">
        <v>3880</v>
      </c>
    </row>
    <row r="11495">
      <c r="A11495" s="1" t="s">
        <v>20936</v>
      </c>
      <c r="B11495" s="2" t="s">
        <v>20815</v>
      </c>
      <c r="C11495" s="1" t="s">
        <v>3879</v>
      </c>
      <c r="D11495" s="1" t="s">
        <v>3880</v>
      </c>
    </row>
    <row r="11496">
      <c r="A11496" s="1" t="s">
        <v>20937</v>
      </c>
      <c r="B11496" s="2" t="s">
        <v>20817</v>
      </c>
      <c r="C11496" s="1" t="s">
        <v>3879</v>
      </c>
      <c r="D11496" s="1" t="s">
        <v>3880</v>
      </c>
    </row>
    <row r="11497">
      <c r="A11497" s="1" t="s">
        <v>20938</v>
      </c>
      <c r="B11497" s="2" t="s">
        <v>20819</v>
      </c>
      <c r="C11497" s="1" t="s">
        <v>3879</v>
      </c>
      <c r="D11497" s="1" t="s">
        <v>3880</v>
      </c>
    </row>
    <row r="11498">
      <c r="A11498" s="1" t="s">
        <v>20939</v>
      </c>
      <c r="B11498" s="2" t="s">
        <v>20821</v>
      </c>
      <c r="C11498" s="1" t="s">
        <v>3879</v>
      </c>
      <c r="D11498" s="1" t="s">
        <v>3880</v>
      </c>
    </row>
    <row r="11499">
      <c r="A11499" s="1" t="s">
        <v>20940</v>
      </c>
      <c r="B11499" s="2" t="s">
        <v>20823</v>
      </c>
      <c r="C11499" s="1" t="s">
        <v>3879</v>
      </c>
      <c r="D11499" s="1" t="s">
        <v>3880</v>
      </c>
    </row>
    <row r="11500">
      <c r="A11500" s="1" t="s">
        <v>20941</v>
      </c>
      <c r="B11500" s="2" t="s">
        <v>20825</v>
      </c>
      <c r="C11500" s="1" t="s">
        <v>3879</v>
      </c>
      <c r="D11500" s="1" t="s">
        <v>3880</v>
      </c>
    </row>
    <row r="11501">
      <c r="A11501" s="1" t="s">
        <v>20942</v>
      </c>
      <c r="B11501" s="2" t="s">
        <v>20827</v>
      </c>
      <c r="C11501" s="1" t="s">
        <v>3879</v>
      </c>
      <c r="D11501" s="1" t="s">
        <v>3880</v>
      </c>
    </row>
    <row r="11502">
      <c r="A11502" s="1" t="s">
        <v>20943</v>
      </c>
      <c r="B11502" s="2" t="s">
        <v>20829</v>
      </c>
      <c r="C11502" s="1" t="s">
        <v>3879</v>
      </c>
      <c r="D11502" s="1" t="s">
        <v>3880</v>
      </c>
    </row>
    <row r="11503">
      <c r="A11503" s="1" t="s">
        <v>20944</v>
      </c>
      <c r="B11503" s="2" t="s">
        <v>20831</v>
      </c>
      <c r="C11503" s="1" t="s">
        <v>3879</v>
      </c>
      <c r="D11503" s="1" t="s">
        <v>3880</v>
      </c>
    </row>
    <row r="11504">
      <c r="A11504" s="1" t="s">
        <v>20945</v>
      </c>
      <c r="B11504" s="2" t="s">
        <v>20833</v>
      </c>
      <c r="C11504" s="1" t="s">
        <v>3879</v>
      </c>
      <c r="D11504" s="1" t="s">
        <v>3880</v>
      </c>
    </row>
    <row r="11505">
      <c r="A11505" s="1" t="s">
        <v>3885</v>
      </c>
      <c r="B11505" s="2" t="s">
        <v>7</v>
      </c>
      <c r="C11505" s="1" t="s">
        <v>3888</v>
      </c>
      <c r="D11505" s="1" t="s">
        <v>3889</v>
      </c>
    </row>
    <row r="11506">
      <c r="A11506" s="1" t="s">
        <v>20946</v>
      </c>
      <c r="B11506" s="2" t="s">
        <v>20804</v>
      </c>
      <c r="C11506" s="1" t="s">
        <v>3888</v>
      </c>
      <c r="D11506" s="1" t="s">
        <v>3889</v>
      </c>
    </row>
    <row r="11507">
      <c r="A11507" s="1" t="s">
        <v>20947</v>
      </c>
      <c r="B11507" s="2" t="s">
        <v>11156</v>
      </c>
      <c r="C11507" s="1" t="s">
        <v>3888</v>
      </c>
      <c r="D11507" s="1" t="s">
        <v>3889</v>
      </c>
    </row>
    <row r="11508">
      <c r="A11508" s="1" t="s">
        <v>20948</v>
      </c>
      <c r="B11508" s="2" t="s">
        <v>20807</v>
      </c>
      <c r="C11508" s="1" t="s">
        <v>3888</v>
      </c>
      <c r="D11508" s="1" t="s">
        <v>3889</v>
      </c>
    </row>
    <row r="11509">
      <c r="A11509" s="1" t="s">
        <v>20949</v>
      </c>
      <c r="B11509" s="2" t="s">
        <v>20809</v>
      </c>
      <c r="C11509" s="1" t="s">
        <v>3888</v>
      </c>
      <c r="D11509" s="1" t="s">
        <v>3889</v>
      </c>
    </row>
    <row r="11510">
      <c r="A11510" s="1" t="s">
        <v>20950</v>
      </c>
      <c r="B11510" s="2" t="s">
        <v>20811</v>
      </c>
      <c r="C11510" s="1" t="s">
        <v>3888</v>
      </c>
      <c r="D11510" s="1" t="s">
        <v>3889</v>
      </c>
    </row>
    <row r="11511">
      <c r="A11511" s="1" t="s">
        <v>20951</v>
      </c>
      <c r="B11511" s="2" t="s">
        <v>20813</v>
      </c>
      <c r="C11511" s="1" t="s">
        <v>3888</v>
      </c>
      <c r="D11511" s="1" t="s">
        <v>3889</v>
      </c>
    </row>
    <row r="11512">
      <c r="A11512" s="1" t="s">
        <v>20952</v>
      </c>
      <c r="B11512" s="2" t="s">
        <v>20815</v>
      </c>
      <c r="C11512" s="1" t="s">
        <v>3888</v>
      </c>
      <c r="D11512" s="1" t="s">
        <v>3889</v>
      </c>
    </row>
    <row r="11513">
      <c r="A11513" s="1" t="s">
        <v>20953</v>
      </c>
      <c r="B11513" s="2" t="s">
        <v>20817</v>
      </c>
      <c r="C11513" s="1" t="s">
        <v>3888</v>
      </c>
      <c r="D11513" s="1" t="s">
        <v>3889</v>
      </c>
    </row>
    <row r="11514">
      <c r="A11514" s="1" t="s">
        <v>20954</v>
      </c>
      <c r="B11514" s="2" t="s">
        <v>20819</v>
      </c>
      <c r="C11514" s="1" t="s">
        <v>3888</v>
      </c>
      <c r="D11514" s="1" t="s">
        <v>3889</v>
      </c>
    </row>
    <row r="11515">
      <c r="A11515" s="1" t="s">
        <v>20955</v>
      </c>
      <c r="B11515" s="2" t="s">
        <v>20821</v>
      </c>
      <c r="C11515" s="1" t="s">
        <v>3888</v>
      </c>
      <c r="D11515" s="1" t="s">
        <v>3889</v>
      </c>
    </row>
    <row r="11516">
      <c r="A11516" s="1" t="s">
        <v>20956</v>
      </c>
      <c r="B11516" s="2" t="s">
        <v>20823</v>
      </c>
      <c r="C11516" s="1" t="s">
        <v>3888</v>
      </c>
      <c r="D11516" s="1" t="s">
        <v>3889</v>
      </c>
    </row>
    <row r="11517">
      <c r="A11517" s="1" t="s">
        <v>20957</v>
      </c>
      <c r="B11517" s="2" t="s">
        <v>20825</v>
      </c>
      <c r="C11517" s="1" t="s">
        <v>3888</v>
      </c>
      <c r="D11517" s="1" t="s">
        <v>3889</v>
      </c>
    </row>
    <row r="11518">
      <c r="A11518" s="1" t="s">
        <v>20958</v>
      </c>
      <c r="B11518" s="2" t="s">
        <v>20827</v>
      </c>
      <c r="C11518" s="1" t="s">
        <v>3888</v>
      </c>
      <c r="D11518" s="1" t="s">
        <v>3889</v>
      </c>
    </row>
    <row r="11519">
      <c r="A11519" s="1" t="s">
        <v>20959</v>
      </c>
      <c r="B11519" s="2" t="s">
        <v>20829</v>
      </c>
      <c r="C11519" s="1" t="s">
        <v>3888</v>
      </c>
      <c r="D11519" s="1" t="s">
        <v>3889</v>
      </c>
    </row>
    <row r="11520">
      <c r="A11520" s="1" t="s">
        <v>20960</v>
      </c>
      <c r="B11520" s="2" t="s">
        <v>20831</v>
      </c>
      <c r="C11520" s="1" t="s">
        <v>3888</v>
      </c>
      <c r="D11520" s="1" t="s">
        <v>3889</v>
      </c>
    </row>
    <row r="11521">
      <c r="A11521" s="1" t="s">
        <v>20961</v>
      </c>
      <c r="B11521" s="2" t="s">
        <v>20833</v>
      </c>
      <c r="C11521" s="1" t="s">
        <v>3888</v>
      </c>
      <c r="D11521" s="1" t="s">
        <v>3889</v>
      </c>
    </row>
    <row r="11522">
      <c r="A11522" s="1" t="s">
        <v>3802</v>
      </c>
      <c r="B11522" s="2" t="s">
        <v>7</v>
      </c>
      <c r="C11522" s="1" t="s">
        <v>3803</v>
      </c>
      <c r="D11522" s="1" t="s">
        <v>3806</v>
      </c>
    </row>
    <row r="11523">
      <c r="A11523" s="1" t="s">
        <v>20962</v>
      </c>
      <c r="B11523" s="2" t="s">
        <v>20804</v>
      </c>
      <c r="C11523" s="1" t="s">
        <v>3803</v>
      </c>
      <c r="D11523" s="1" t="s">
        <v>3806</v>
      </c>
    </row>
    <row r="11524">
      <c r="A11524" s="1" t="s">
        <v>20963</v>
      </c>
      <c r="B11524" s="2" t="s">
        <v>11156</v>
      </c>
      <c r="C11524" s="1" t="s">
        <v>3803</v>
      </c>
      <c r="D11524" s="1" t="s">
        <v>3806</v>
      </c>
    </row>
    <row r="11525">
      <c r="A11525" s="1" t="s">
        <v>20964</v>
      </c>
      <c r="B11525" s="2" t="s">
        <v>20807</v>
      </c>
      <c r="C11525" s="1" t="s">
        <v>3803</v>
      </c>
      <c r="D11525" s="1" t="s">
        <v>3806</v>
      </c>
    </row>
    <row r="11526">
      <c r="A11526" s="1" t="s">
        <v>20965</v>
      </c>
      <c r="B11526" s="2" t="s">
        <v>20809</v>
      </c>
      <c r="C11526" s="1" t="s">
        <v>3803</v>
      </c>
      <c r="D11526" s="1" t="s">
        <v>3806</v>
      </c>
    </row>
    <row r="11527">
      <c r="A11527" s="1" t="s">
        <v>20966</v>
      </c>
      <c r="B11527" s="2" t="s">
        <v>20811</v>
      </c>
      <c r="C11527" s="1" t="s">
        <v>3803</v>
      </c>
      <c r="D11527" s="1" t="s">
        <v>3806</v>
      </c>
    </row>
    <row r="11528">
      <c r="A11528" s="1" t="s">
        <v>20967</v>
      </c>
      <c r="B11528" s="2" t="s">
        <v>20813</v>
      </c>
      <c r="C11528" s="1" t="s">
        <v>3803</v>
      </c>
      <c r="D11528" s="1" t="s">
        <v>3806</v>
      </c>
    </row>
    <row r="11529">
      <c r="A11529" s="1" t="s">
        <v>20968</v>
      </c>
      <c r="B11529" s="2" t="s">
        <v>20815</v>
      </c>
      <c r="C11529" s="1" t="s">
        <v>3803</v>
      </c>
      <c r="D11529" s="1" t="s">
        <v>3806</v>
      </c>
    </row>
    <row r="11530">
      <c r="A11530" s="1" t="s">
        <v>20969</v>
      </c>
      <c r="B11530" s="2" t="s">
        <v>20817</v>
      </c>
      <c r="C11530" s="1" t="s">
        <v>3803</v>
      </c>
      <c r="D11530" s="1" t="s">
        <v>3806</v>
      </c>
    </row>
    <row r="11531">
      <c r="A11531" s="1" t="s">
        <v>20970</v>
      </c>
      <c r="B11531" s="2" t="s">
        <v>20819</v>
      </c>
      <c r="C11531" s="1" t="s">
        <v>3803</v>
      </c>
      <c r="D11531" s="1" t="s">
        <v>3806</v>
      </c>
    </row>
    <row r="11532">
      <c r="A11532" s="1" t="s">
        <v>20971</v>
      </c>
      <c r="B11532" s="2" t="s">
        <v>20821</v>
      </c>
      <c r="C11532" s="1" t="s">
        <v>3803</v>
      </c>
      <c r="D11532" s="1" t="s">
        <v>3806</v>
      </c>
    </row>
    <row r="11533">
      <c r="A11533" s="1" t="s">
        <v>20972</v>
      </c>
      <c r="B11533" s="2" t="s">
        <v>20823</v>
      </c>
      <c r="C11533" s="1" t="s">
        <v>3803</v>
      </c>
      <c r="D11533" s="1" t="s">
        <v>3806</v>
      </c>
    </row>
    <row r="11534">
      <c r="A11534" s="1" t="s">
        <v>20973</v>
      </c>
      <c r="B11534" s="2" t="s">
        <v>20825</v>
      </c>
      <c r="C11534" s="1" t="s">
        <v>3803</v>
      </c>
      <c r="D11534" s="1" t="s">
        <v>3806</v>
      </c>
    </row>
    <row r="11535">
      <c r="A11535" s="1" t="s">
        <v>20974</v>
      </c>
      <c r="B11535" s="2" t="s">
        <v>20827</v>
      </c>
      <c r="C11535" s="1" t="s">
        <v>3803</v>
      </c>
      <c r="D11535" s="1" t="s">
        <v>3806</v>
      </c>
    </row>
    <row r="11536">
      <c r="A11536" s="1" t="s">
        <v>20975</v>
      </c>
      <c r="B11536" s="2" t="s">
        <v>20829</v>
      </c>
      <c r="C11536" s="1" t="s">
        <v>3803</v>
      </c>
      <c r="D11536" s="1" t="s">
        <v>3806</v>
      </c>
    </row>
    <row r="11537">
      <c r="A11537" s="1" t="s">
        <v>20976</v>
      </c>
      <c r="B11537" s="2" t="s">
        <v>20831</v>
      </c>
      <c r="C11537" s="1" t="s">
        <v>3803</v>
      </c>
      <c r="D11537" s="1" t="s">
        <v>3806</v>
      </c>
    </row>
    <row r="11538">
      <c r="A11538" s="1" t="s">
        <v>20977</v>
      </c>
      <c r="B11538" s="2" t="s">
        <v>20833</v>
      </c>
      <c r="C11538" s="1" t="s">
        <v>3803</v>
      </c>
      <c r="D11538" s="1" t="s">
        <v>3806</v>
      </c>
    </row>
    <row r="11539">
      <c r="A11539" s="1" t="s">
        <v>3908</v>
      </c>
      <c r="B11539" s="2" t="s">
        <v>3895</v>
      </c>
      <c r="C11539" s="1" t="s">
        <v>3911</v>
      </c>
      <c r="D11539" s="1" t="s">
        <v>3912</v>
      </c>
    </row>
    <row r="11540">
      <c r="A11540" s="1" t="s">
        <v>3919</v>
      </c>
      <c r="B11540" s="2" t="s">
        <v>3895</v>
      </c>
      <c r="C11540" s="1" t="s">
        <v>3922</v>
      </c>
      <c r="D11540" s="1" t="s">
        <v>3924</v>
      </c>
    </row>
    <row r="11541">
      <c r="A11541" s="1" t="s">
        <v>3946</v>
      </c>
      <c r="B11541" s="2" t="s">
        <v>3895</v>
      </c>
      <c r="C11541" s="1" t="s">
        <v>3949</v>
      </c>
      <c r="D11541" s="1" t="s">
        <v>3950</v>
      </c>
    </row>
    <row r="11542">
      <c r="A11542" s="1" t="s">
        <v>3956</v>
      </c>
      <c r="B11542" s="2" t="s">
        <v>3895</v>
      </c>
      <c r="C11542" s="1" t="s">
        <v>3959</v>
      </c>
      <c r="D11542" s="1" t="s">
        <v>3961</v>
      </c>
    </row>
    <row r="11543">
      <c r="A11543" s="1" t="s">
        <v>3966</v>
      </c>
      <c r="B11543" s="2" t="s">
        <v>3895</v>
      </c>
      <c r="C11543" s="1" t="s">
        <v>3969</v>
      </c>
      <c r="D11543" s="1" t="s">
        <v>3970</v>
      </c>
    </row>
    <row r="11544">
      <c r="A11544" s="1" t="s">
        <v>3975</v>
      </c>
      <c r="B11544" s="2" t="s">
        <v>3895</v>
      </c>
      <c r="C11544" s="1" t="s">
        <v>3978</v>
      </c>
      <c r="D11544" s="1" t="s">
        <v>3979</v>
      </c>
    </row>
    <row r="11545">
      <c r="A11545" s="1" t="s">
        <v>3985</v>
      </c>
      <c r="B11545" s="2" t="s">
        <v>3895</v>
      </c>
      <c r="C11545" s="1" t="s">
        <v>3987</v>
      </c>
      <c r="D11545" s="1" t="s">
        <v>3989</v>
      </c>
    </row>
    <row r="11546">
      <c r="A11546" s="1" t="s">
        <v>3994</v>
      </c>
      <c r="B11546" s="2" t="s">
        <v>3895</v>
      </c>
      <c r="C11546" s="1" t="s">
        <v>3996</v>
      </c>
      <c r="D11546" s="1" t="s">
        <v>3998</v>
      </c>
    </row>
    <row r="11547">
      <c r="A11547" s="1" t="s">
        <v>4003</v>
      </c>
      <c r="B11547" s="2" t="s">
        <v>3895</v>
      </c>
      <c r="C11547" s="1" t="s">
        <v>4005</v>
      </c>
      <c r="D11547" s="1" t="s">
        <v>4007</v>
      </c>
    </row>
    <row r="11548">
      <c r="A11548" s="1" t="s">
        <v>3893</v>
      </c>
      <c r="B11548" s="2" t="s">
        <v>3895</v>
      </c>
      <c r="C11548" s="1" t="s">
        <v>3896</v>
      </c>
      <c r="D11548" s="1" t="s">
        <v>3897</v>
      </c>
    </row>
    <row r="11549">
      <c r="A11549" s="1" t="s">
        <v>4012</v>
      </c>
      <c r="B11549" s="2" t="s">
        <v>7</v>
      </c>
      <c r="C11549" s="1" t="s">
        <v>4014</v>
      </c>
      <c r="D11549" s="1" t="s">
        <v>4016</v>
      </c>
    </row>
    <row r="11550">
      <c r="A11550" s="1" t="s">
        <v>20978</v>
      </c>
      <c r="B11550" s="2" t="s">
        <v>20979</v>
      </c>
      <c r="C11550" s="1" t="s">
        <v>4014</v>
      </c>
      <c r="D11550" s="1" t="s">
        <v>4016</v>
      </c>
    </row>
    <row r="11551">
      <c r="A11551" s="1" t="s">
        <v>20980</v>
      </c>
      <c r="B11551" s="2" t="s">
        <v>20981</v>
      </c>
      <c r="C11551" s="1" t="s">
        <v>4014</v>
      </c>
      <c r="D11551" s="1" t="s">
        <v>4016</v>
      </c>
    </row>
    <row r="11552">
      <c r="A11552" s="1" t="s">
        <v>20982</v>
      </c>
      <c r="B11552" s="2" t="s">
        <v>20983</v>
      </c>
      <c r="C11552" s="1" t="s">
        <v>4014</v>
      </c>
      <c r="D11552" s="1" t="s">
        <v>4016</v>
      </c>
    </row>
    <row r="11553">
      <c r="A11553" s="1" t="s">
        <v>20984</v>
      </c>
      <c r="B11553" s="2" t="s">
        <v>20985</v>
      </c>
      <c r="C11553" s="1" t="s">
        <v>4014</v>
      </c>
      <c r="D11553" s="1" t="s">
        <v>4016</v>
      </c>
    </row>
    <row r="11554">
      <c r="A11554" s="1" t="s">
        <v>20986</v>
      </c>
      <c r="B11554" s="2" t="s">
        <v>20987</v>
      </c>
      <c r="C11554" s="1" t="s">
        <v>4014</v>
      </c>
      <c r="D11554" s="1" t="s">
        <v>4016</v>
      </c>
    </row>
    <row r="11555">
      <c r="A11555" s="1" t="s">
        <v>20988</v>
      </c>
      <c r="B11555" s="2" t="s">
        <v>20989</v>
      </c>
      <c r="C11555" s="1" t="s">
        <v>4014</v>
      </c>
      <c r="D11555" s="1" t="s">
        <v>4016</v>
      </c>
    </row>
    <row r="11556">
      <c r="A11556" s="1" t="s">
        <v>20990</v>
      </c>
      <c r="B11556" s="2" t="s">
        <v>20991</v>
      </c>
      <c r="C11556" s="1" t="s">
        <v>4014</v>
      </c>
      <c r="D11556" s="1" t="s">
        <v>4016</v>
      </c>
    </row>
    <row r="11557">
      <c r="A11557" s="1" t="s">
        <v>4030</v>
      </c>
      <c r="B11557" s="2" t="s">
        <v>4023</v>
      </c>
      <c r="C11557" s="1" t="s">
        <v>4033</v>
      </c>
      <c r="D11557" s="1" t="s">
        <v>4034</v>
      </c>
    </row>
    <row r="11558">
      <c r="A11558" s="1" t="s">
        <v>4039</v>
      </c>
      <c r="B11558" s="2" t="s">
        <v>4023</v>
      </c>
      <c r="C11558" s="1" t="s">
        <v>4042</v>
      </c>
      <c r="D11558" s="1" t="s">
        <v>4044</v>
      </c>
    </row>
    <row r="11559">
      <c r="A11559" s="1" t="s">
        <v>4047</v>
      </c>
      <c r="B11559" s="2" t="s">
        <v>4023</v>
      </c>
      <c r="C11559" s="1" t="s">
        <v>4049</v>
      </c>
      <c r="D11559" s="1" t="s">
        <v>4050</v>
      </c>
    </row>
    <row r="11560">
      <c r="A11560" s="1" t="s">
        <v>4054</v>
      </c>
      <c r="B11560" s="2" t="s">
        <v>4023</v>
      </c>
      <c r="C11560" s="1" t="s">
        <v>4057</v>
      </c>
      <c r="D11560" s="1" t="s">
        <v>4058</v>
      </c>
    </row>
    <row r="11561">
      <c r="A11561" s="1" t="s">
        <v>4063</v>
      </c>
      <c r="B11561" s="2" t="s">
        <v>4023</v>
      </c>
      <c r="C11561" s="1" t="s">
        <v>4064</v>
      </c>
      <c r="D11561" s="1" t="s">
        <v>4066</v>
      </c>
    </row>
    <row r="11562">
      <c r="A11562" s="1" t="s">
        <v>4069</v>
      </c>
      <c r="B11562" s="2" t="s">
        <v>4023</v>
      </c>
      <c r="C11562" s="1" t="s">
        <v>4070</v>
      </c>
      <c r="D11562" s="1" t="s">
        <v>4071</v>
      </c>
    </row>
    <row r="11563">
      <c r="A11563" s="1" t="s">
        <v>4072</v>
      </c>
      <c r="B11563" s="2" t="s">
        <v>4023</v>
      </c>
      <c r="C11563" s="1" t="s">
        <v>4075</v>
      </c>
      <c r="D11563" s="1" t="s">
        <v>4076</v>
      </c>
    </row>
    <row r="11564">
      <c r="A11564" s="1" t="s">
        <v>4081</v>
      </c>
      <c r="B11564" s="2" t="s">
        <v>4023</v>
      </c>
      <c r="C11564" s="1" t="s">
        <v>4083</v>
      </c>
      <c r="D11564" s="1" t="s">
        <v>4085</v>
      </c>
    </row>
    <row r="11565">
      <c r="A11565" s="1" t="s">
        <v>4089</v>
      </c>
      <c r="B11565" s="2" t="s">
        <v>4023</v>
      </c>
      <c r="C11565" s="1" t="s">
        <v>4090</v>
      </c>
      <c r="D11565" s="1" t="s">
        <v>4092</v>
      </c>
    </row>
    <row r="11566">
      <c r="A11566" s="1" t="s">
        <v>4020</v>
      </c>
      <c r="B11566" s="2" t="s">
        <v>4023</v>
      </c>
      <c r="C11566" s="1" t="s">
        <v>4024</v>
      </c>
      <c r="D11566" s="1" t="s">
        <v>4025</v>
      </c>
    </row>
    <row r="11567">
      <c r="A11567" s="1" t="s">
        <v>4103</v>
      </c>
      <c r="B11567" s="2" t="s">
        <v>7</v>
      </c>
      <c r="C11567" s="1" t="s">
        <v>4104</v>
      </c>
      <c r="D11567" s="1" t="s">
        <v>4106</v>
      </c>
    </row>
    <row r="11568">
      <c r="A11568" s="1" t="s">
        <v>20992</v>
      </c>
      <c r="B11568" s="2" t="s">
        <v>20993</v>
      </c>
      <c r="C11568" s="1" t="s">
        <v>4104</v>
      </c>
      <c r="D11568" s="1" t="s">
        <v>4106</v>
      </c>
    </row>
    <row r="11569">
      <c r="A11569" s="1" t="s">
        <v>20994</v>
      </c>
      <c r="B11569" s="2" t="s">
        <v>20995</v>
      </c>
      <c r="C11569" s="1" t="s">
        <v>4104</v>
      </c>
      <c r="D11569" s="1" t="s">
        <v>4106</v>
      </c>
    </row>
    <row r="11570">
      <c r="A11570" s="1" t="s">
        <v>20996</v>
      </c>
      <c r="B11570" s="2" t="s">
        <v>20997</v>
      </c>
      <c r="C11570" s="1" t="s">
        <v>4104</v>
      </c>
      <c r="D11570" s="1" t="s">
        <v>4106</v>
      </c>
    </row>
    <row r="11571">
      <c r="A11571" s="1" t="s">
        <v>20998</v>
      </c>
      <c r="B11571" s="2" t="s">
        <v>20999</v>
      </c>
      <c r="C11571" s="1" t="s">
        <v>4104</v>
      </c>
      <c r="D11571" s="1" t="s">
        <v>4106</v>
      </c>
    </row>
    <row r="11572">
      <c r="A11572" s="1" t="s">
        <v>21000</v>
      </c>
      <c r="B11572" s="2" t="s">
        <v>21001</v>
      </c>
      <c r="C11572" s="1" t="s">
        <v>4104</v>
      </c>
      <c r="D11572" s="1" t="s">
        <v>4106</v>
      </c>
    </row>
    <row r="11573">
      <c r="A11573" s="1" t="s">
        <v>21002</v>
      </c>
      <c r="B11573" s="2" t="s">
        <v>21003</v>
      </c>
      <c r="C11573" s="1" t="s">
        <v>4104</v>
      </c>
      <c r="D11573" s="1" t="s">
        <v>4106</v>
      </c>
    </row>
    <row r="11574">
      <c r="A11574" s="1" t="s">
        <v>21004</v>
      </c>
      <c r="B11574" s="2" t="s">
        <v>21005</v>
      </c>
      <c r="C11574" s="1" t="s">
        <v>4104</v>
      </c>
      <c r="D11574" s="1" t="s">
        <v>4106</v>
      </c>
    </row>
    <row r="11575">
      <c r="A11575" s="1" t="s">
        <v>21006</v>
      </c>
      <c r="B11575" s="2" t="s">
        <v>21007</v>
      </c>
      <c r="C11575" s="1" t="s">
        <v>4104</v>
      </c>
      <c r="D11575" s="1" t="s">
        <v>4106</v>
      </c>
    </row>
    <row r="11576">
      <c r="A11576" s="1" t="s">
        <v>21008</v>
      </c>
      <c r="B11576" s="2" t="s">
        <v>21009</v>
      </c>
      <c r="C11576" s="1" t="s">
        <v>4104</v>
      </c>
      <c r="D11576" s="1" t="s">
        <v>4106</v>
      </c>
    </row>
    <row r="11577">
      <c r="A11577" s="1" t="s">
        <v>21010</v>
      </c>
      <c r="B11577" s="2" t="s">
        <v>21011</v>
      </c>
      <c r="C11577" s="1" t="s">
        <v>4104</v>
      </c>
      <c r="D11577" s="1" t="s">
        <v>4106</v>
      </c>
    </row>
    <row r="11578">
      <c r="A11578" s="1" t="s">
        <v>21012</v>
      </c>
      <c r="B11578" s="2" t="s">
        <v>21013</v>
      </c>
      <c r="C11578" s="1" t="s">
        <v>4104</v>
      </c>
      <c r="D11578" s="1" t="s">
        <v>4106</v>
      </c>
    </row>
    <row r="11579">
      <c r="A11579" s="1" t="s">
        <v>21014</v>
      </c>
      <c r="B11579" s="2" t="s">
        <v>21015</v>
      </c>
      <c r="C11579" s="1" t="s">
        <v>4104</v>
      </c>
      <c r="D11579" s="1" t="s">
        <v>4106</v>
      </c>
    </row>
    <row r="11580">
      <c r="A11580" s="1" t="s">
        <v>21016</v>
      </c>
      <c r="B11580" s="2" t="s">
        <v>21017</v>
      </c>
      <c r="C11580" s="1" t="s">
        <v>4104</v>
      </c>
      <c r="D11580" s="1" t="s">
        <v>4106</v>
      </c>
    </row>
    <row r="11581">
      <c r="A11581" s="1" t="s">
        <v>21018</v>
      </c>
      <c r="B11581" s="2" t="s">
        <v>21019</v>
      </c>
      <c r="C11581" s="1" t="s">
        <v>4104</v>
      </c>
      <c r="D11581" s="1" t="s">
        <v>4106</v>
      </c>
    </row>
    <row r="11582">
      <c r="A11582" s="1" t="s">
        <v>21020</v>
      </c>
      <c r="B11582" s="2" t="s">
        <v>21021</v>
      </c>
      <c r="C11582" s="1" t="s">
        <v>4104</v>
      </c>
      <c r="D11582" s="1" t="s">
        <v>4106</v>
      </c>
    </row>
    <row r="11583">
      <c r="A11583" s="1" t="s">
        <v>21022</v>
      </c>
      <c r="B11583" s="2" t="s">
        <v>21023</v>
      </c>
      <c r="C11583" s="1" t="s">
        <v>4104</v>
      </c>
      <c r="D11583" s="1" t="s">
        <v>4106</v>
      </c>
    </row>
    <row r="11584">
      <c r="A11584" s="1" t="s">
        <v>21024</v>
      </c>
      <c r="B11584" s="2" t="s">
        <v>21025</v>
      </c>
      <c r="C11584" s="1" t="s">
        <v>4104</v>
      </c>
      <c r="D11584" s="1" t="s">
        <v>4106</v>
      </c>
    </row>
    <row r="11585">
      <c r="A11585" s="1" t="s">
        <v>21026</v>
      </c>
      <c r="B11585" s="2" t="s">
        <v>21027</v>
      </c>
      <c r="C11585" s="1" t="s">
        <v>4104</v>
      </c>
      <c r="D11585" s="1" t="s">
        <v>4106</v>
      </c>
    </row>
    <row r="11586">
      <c r="A11586" s="1" t="s">
        <v>21028</v>
      </c>
      <c r="B11586" s="2" t="s">
        <v>21029</v>
      </c>
      <c r="C11586" s="1" t="s">
        <v>4104</v>
      </c>
      <c r="D11586" s="1" t="s">
        <v>4106</v>
      </c>
    </row>
    <row r="11587">
      <c r="A11587" s="1" t="s">
        <v>21030</v>
      </c>
      <c r="B11587" s="2" t="s">
        <v>21031</v>
      </c>
      <c r="C11587" s="1" t="s">
        <v>4104</v>
      </c>
      <c r="D11587" s="1" t="s">
        <v>4106</v>
      </c>
    </row>
    <row r="11588">
      <c r="A11588" s="1" t="s">
        <v>21032</v>
      </c>
      <c r="B11588" s="2" t="s">
        <v>21033</v>
      </c>
      <c r="C11588" s="1" t="s">
        <v>4104</v>
      </c>
      <c r="D11588" s="1" t="s">
        <v>4106</v>
      </c>
    </row>
    <row r="11589">
      <c r="A11589" s="1" t="s">
        <v>21034</v>
      </c>
      <c r="B11589" s="2" t="s">
        <v>21035</v>
      </c>
      <c r="C11589" s="1" t="s">
        <v>4104</v>
      </c>
      <c r="D11589" s="1" t="s">
        <v>4106</v>
      </c>
    </row>
    <row r="11590">
      <c r="A11590" s="1" t="s">
        <v>21036</v>
      </c>
      <c r="B11590" s="2" t="s">
        <v>21037</v>
      </c>
      <c r="C11590" s="1" t="s">
        <v>4104</v>
      </c>
      <c r="D11590" s="1" t="s">
        <v>4106</v>
      </c>
    </row>
    <row r="11591">
      <c r="A11591" s="1" t="s">
        <v>21038</v>
      </c>
      <c r="B11591" s="2" t="s">
        <v>21039</v>
      </c>
      <c r="C11591" s="1" t="s">
        <v>4104</v>
      </c>
      <c r="D11591" s="1" t="s">
        <v>4106</v>
      </c>
    </row>
    <row r="11592">
      <c r="A11592" s="1" t="s">
        <v>21040</v>
      </c>
      <c r="B11592" s="2" t="s">
        <v>21041</v>
      </c>
      <c r="C11592" s="1" t="s">
        <v>4104</v>
      </c>
      <c r="D11592" s="1" t="s">
        <v>4106</v>
      </c>
    </row>
    <row r="11593">
      <c r="A11593" s="1" t="s">
        <v>21042</v>
      </c>
      <c r="B11593" s="2" t="s">
        <v>21043</v>
      </c>
      <c r="C11593" s="1" t="s">
        <v>4104</v>
      </c>
      <c r="D11593" s="1" t="s">
        <v>4106</v>
      </c>
    </row>
    <row r="11594">
      <c r="A11594" s="1" t="s">
        <v>21044</v>
      </c>
      <c r="B11594" s="2" t="s">
        <v>21045</v>
      </c>
      <c r="C11594" s="1" t="s">
        <v>4104</v>
      </c>
      <c r="D11594" s="1" t="s">
        <v>4106</v>
      </c>
    </row>
    <row r="11595">
      <c r="A11595" s="1" t="s">
        <v>21046</v>
      </c>
      <c r="B11595" s="2" t="s">
        <v>21047</v>
      </c>
      <c r="C11595" s="1" t="s">
        <v>4104</v>
      </c>
      <c r="D11595" s="1" t="s">
        <v>4106</v>
      </c>
    </row>
    <row r="11596">
      <c r="A11596" s="1" t="s">
        <v>21048</v>
      </c>
      <c r="B11596" s="2" t="s">
        <v>21049</v>
      </c>
      <c r="C11596" s="1" t="s">
        <v>4104</v>
      </c>
      <c r="D11596" s="1" t="s">
        <v>4106</v>
      </c>
    </row>
    <row r="11597">
      <c r="A11597" s="1" t="s">
        <v>21050</v>
      </c>
      <c r="B11597" s="2" t="s">
        <v>21051</v>
      </c>
      <c r="C11597" s="1" t="s">
        <v>4104</v>
      </c>
      <c r="D11597" s="1" t="s">
        <v>4106</v>
      </c>
    </row>
    <row r="11598">
      <c r="A11598" s="1" t="s">
        <v>21052</v>
      </c>
      <c r="B11598" s="2" t="s">
        <v>21053</v>
      </c>
      <c r="C11598" s="1" t="s">
        <v>4104</v>
      </c>
      <c r="D11598" s="1" t="s">
        <v>4106</v>
      </c>
    </row>
    <row r="11599">
      <c r="A11599" s="1" t="s">
        <v>21054</v>
      </c>
      <c r="B11599" s="2" t="s">
        <v>21055</v>
      </c>
      <c r="C11599" s="1" t="s">
        <v>4104</v>
      </c>
      <c r="D11599" s="1" t="s">
        <v>4106</v>
      </c>
    </row>
    <row r="11600">
      <c r="A11600" s="1" t="s">
        <v>21056</v>
      </c>
      <c r="B11600" s="2" t="s">
        <v>21057</v>
      </c>
      <c r="C11600" s="1" t="s">
        <v>4104</v>
      </c>
      <c r="D11600" s="1" t="s">
        <v>4106</v>
      </c>
    </row>
    <row r="11601">
      <c r="A11601" s="1" t="s">
        <v>21058</v>
      </c>
      <c r="B11601" s="2" t="s">
        <v>21059</v>
      </c>
      <c r="C11601" s="1" t="s">
        <v>4104</v>
      </c>
      <c r="D11601" s="1" t="s">
        <v>4106</v>
      </c>
    </row>
    <row r="11602">
      <c r="A11602" s="1" t="s">
        <v>21060</v>
      </c>
      <c r="B11602" s="2" t="s">
        <v>21061</v>
      </c>
      <c r="C11602" s="1" t="s">
        <v>4104</v>
      </c>
      <c r="D11602" s="1" t="s">
        <v>4106</v>
      </c>
    </row>
    <row r="11603">
      <c r="A11603" s="1" t="s">
        <v>21062</v>
      </c>
      <c r="B11603" s="2" t="s">
        <v>21063</v>
      </c>
      <c r="C11603" s="1" t="s">
        <v>4104</v>
      </c>
      <c r="D11603" s="1" t="s">
        <v>4106</v>
      </c>
    </row>
    <row r="11604">
      <c r="A11604" s="1" t="s">
        <v>21064</v>
      </c>
      <c r="B11604" s="2" t="s">
        <v>21065</v>
      </c>
      <c r="C11604" s="1" t="s">
        <v>4104</v>
      </c>
      <c r="D11604" s="1" t="s">
        <v>4106</v>
      </c>
    </row>
    <row r="11605">
      <c r="A11605" s="1" t="s">
        <v>21066</v>
      </c>
      <c r="B11605" s="2" t="s">
        <v>21067</v>
      </c>
      <c r="C11605" s="1" t="s">
        <v>4104</v>
      </c>
      <c r="D11605" s="1" t="s">
        <v>4106</v>
      </c>
    </row>
    <row r="11606">
      <c r="A11606" s="1" t="s">
        <v>21068</v>
      </c>
      <c r="B11606" s="2" t="s">
        <v>21069</v>
      </c>
      <c r="C11606" s="1" t="s">
        <v>4104</v>
      </c>
      <c r="D11606" s="1" t="s">
        <v>4106</v>
      </c>
    </row>
    <row r="11607">
      <c r="A11607" s="1" t="s">
        <v>21070</v>
      </c>
      <c r="B11607" s="2" t="s">
        <v>21071</v>
      </c>
      <c r="C11607" s="1" t="s">
        <v>4104</v>
      </c>
      <c r="D11607" s="1" t="s">
        <v>4106</v>
      </c>
    </row>
    <row r="11608">
      <c r="A11608" s="1" t="s">
        <v>21072</v>
      </c>
      <c r="B11608" s="2" t="s">
        <v>21073</v>
      </c>
      <c r="C11608" s="1" t="s">
        <v>4104</v>
      </c>
      <c r="D11608" s="1" t="s">
        <v>4106</v>
      </c>
    </row>
    <row r="11609">
      <c r="A11609" s="1" t="s">
        <v>21074</v>
      </c>
      <c r="B11609" s="2" t="s">
        <v>21075</v>
      </c>
      <c r="C11609" s="1" t="s">
        <v>4104</v>
      </c>
      <c r="D11609" s="1" t="s">
        <v>4106</v>
      </c>
    </row>
    <row r="11610">
      <c r="A11610" s="1" t="s">
        <v>21076</v>
      </c>
      <c r="B11610" s="2" t="s">
        <v>21077</v>
      </c>
      <c r="C11610" s="1" t="s">
        <v>4104</v>
      </c>
      <c r="D11610" s="1" t="s">
        <v>4106</v>
      </c>
    </row>
    <row r="11611">
      <c r="A11611" s="1" t="s">
        <v>21078</v>
      </c>
      <c r="B11611" s="2" t="s">
        <v>21079</v>
      </c>
      <c r="C11611" s="1" t="s">
        <v>4104</v>
      </c>
      <c r="D11611" s="1" t="s">
        <v>4106</v>
      </c>
    </row>
    <row r="11612">
      <c r="A11612" s="1" t="s">
        <v>21080</v>
      </c>
      <c r="B11612" s="2" t="s">
        <v>21081</v>
      </c>
      <c r="C11612" s="1" t="s">
        <v>4104</v>
      </c>
      <c r="D11612" s="1" t="s">
        <v>4106</v>
      </c>
    </row>
    <row r="11613">
      <c r="A11613" s="1" t="s">
        <v>21082</v>
      </c>
      <c r="B11613" s="2" t="s">
        <v>21083</v>
      </c>
      <c r="C11613" s="1" t="s">
        <v>4104</v>
      </c>
      <c r="D11613" s="1" t="s">
        <v>4106</v>
      </c>
    </row>
    <row r="11614">
      <c r="A11614" s="1" t="s">
        <v>21084</v>
      </c>
      <c r="B11614" s="2" t="s">
        <v>21085</v>
      </c>
      <c r="C11614" s="1" t="s">
        <v>4104</v>
      </c>
      <c r="D11614" s="1" t="s">
        <v>4106</v>
      </c>
    </row>
    <row r="11615">
      <c r="A11615" s="1" t="s">
        <v>21086</v>
      </c>
      <c r="B11615" s="2" t="s">
        <v>21087</v>
      </c>
      <c r="C11615" s="1" t="s">
        <v>4104</v>
      </c>
      <c r="D11615" s="1" t="s">
        <v>4106</v>
      </c>
    </row>
    <row r="11616">
      <c r="A11616" s="1" t="s">
        <v>21088</v>
      </c>
      <c r="B11616" s="2" t="s">
        <v>21089</v>
      </c>
      <c r="C11616" s="1" t="s">
        <v>4104</v>
      </c>
      <c r="D11616" s="1" t="s">
        <v>4106</v>
      </c>
    </row>
    <row r="11617">
      <c r="A11617" s="1" t="s">
        <v>21090</v>
      </c>
      <c r="B11617" s="2" t="s">
        <v>21091</v>
      </c>
      <c r="C11617" s="1" t="s">
        <v>4104</v>
      </c>
      <c r="D11617" s="1" t="s">
        <v>4106</v>
      </c>
    </row>
    <row r="11618">
      <c r="A11618" s="1" t="s">
        <v>21092</v>
      </c>
      <c r="B11618" s="2" t="s">
        <v>21093</v>
      </c>
      <c r="C11618" s="1" t="s">
        <v>4104</v>
      </c>
      <c r="D11618" s="1" t="s">
        <v>4106</v>
      </c>
    </row>
    <row r="11619">
      <c r="A11619" s="1" t="s">
        <v>21094</v>
      </c>
      <c r="B11619" s="2" t="s">
        <v>21095</v>
      </c>
      <c r="C11619" s="1" t="s">
        <v>4104</v>
      </c>
      <c r="D11619" s="1" t="s">
        <v>4106</v>
      </c>
    </row>
    <row r="11620">
      <c r="A11620" s="1" t="s">
        <v>21096</v>
      </c>
      <c r="B11620" s="2" t="s">
        <v>21097</v>
      </c>
      <c r="C11620" s="1" t="s">
        <v>4104</v>
      </c>
      <c r="D11620" s="1" t="s">
        <v>4106</v>
      </c>
    </row>
    <row r="11621">
      <c r="A11621" s="1" t="s">
        <v>21098</v>
      </c>
      <c r="B11621" s="2" t="s">
        <v>21099</v>
      </c>
      <c r="C11621" s="1" t="s">
        <v>4104</v>
      </c>
      <c r="D11621" s="1" t="s">
        <v>4106</v>
      </c>
    </row>
    <row r="11622">
      <c r="A11622" s="1" t="s">
        <v>21100</v>
      </c>
      <c r="B11622" s="2" t="s">
        <v>21101</v>
      </c>
      <c r="C11622" s="1" t="s">
        <v>4104</v>
      </c>
      <c r="D11622" s="1" t="s">
        <v>4106</v>
      </c>
    </row>
    <row r="11623">
      <c r="A11623" s="1" t="s">
        <v>21102</v>
      </c>
      <c r="B11623" s="2" t="s">
        <v>21103</v>
      </c>
      <c r="C11623" s="1" t="s">
        <v>4104</v>
      </c>
      <c r="D11623" s="1" t="s">
        <v>4106</v>
      </c>
    </row>
    <row r="11624">
      <c r="A11624" s="1" t="s">
        <v>21104</v>
      </c>
      <c r="B11624" s="2" t="s">
        <v>21105</v>
      </c>
      <c r="C11624" s="1" t="s">
        <v>4104</v>
      </c>
      <c r="D11624" s="1" t="s">
        <v>4106</v>
      </c>
    </row>
    <row r="11625">
      <c r="A11625" s="1" t="s">
        <v>21106</v>
      </c>
      <c r="B11625" s="2" t="s">
        <v>21107</v>
      </c>
      <c r="C11625" s="1" t="s">
        <v>4104</v>
      </c>
      <c r="D11625" s="1" t="s">
        <v>4106</v>
      </c>
    </row>
    <row r="11626">
      <c r="A11626" s="1" t="s">
        <v>21108</v>
      </c>
      <c r="B11626" s="2" t="s">
        <v>21109</v>
      </c>
      <c r="C11626" s="1" t="s">
        <v>4104</v>
      </c>
      <c r="D11626" s="1" t="s">
        <v>4106</v>
      </c>
    </row>
    <row r="11627">
      <c r="A11627" s="1" t="s">
        <v>21110</v>
      </c>
      <c r="B11627" s="2" t="s">
        <v>21111</v>
      </c>
      <c r="C11627" s="1" t="s">
        <v>4104</v>
      </c>
      <c r="D11627" s="1" t="s">
        <v>4106</v>
      </c>
    </row>
    <row r="11628">
      <c r="A11628" s="1" t="s">
        <v>21112</v>
      </c>
      <c r="B11628" s="2" t="s">
        <v>21113</v>
      </c>
      <c r="C11628" s="1" t="s">
        <v>4104</v>
      </c>
      <c r="D11628" s="1" t="s">
        <v>4106</v>
      </c>
    </row>
    <row r="11629">
      <c r="A11629" s="1" t="s">
        <v>21114</v>
      </c>
      <c r="B11629" s="2" t="s">
        <v>21115</v>
      </c>
      <c r="C11629" s="1" t="s">
        <v>4104</v>
      </c>
      <c r="D11629" s="1" t="s">
        <v>4106</v>
      </c>
    </row>
    <row r="11630">
      <c r="A11630" s="1" t="s">
        <v>21116</v>
      </c>
      <c r="B11630" s="2" t="s">
        <v>21117</v>
      </c>
      <c r="C11630" s="1" t="s">
        <v>4104</v>
      </c>
      <c r="D11630" s="1" t="s">
        <v>4106</v>
      </c>
    </row>
    <row r="11631">
      <c r="A11631" s="1" t="s">
        <v>21118</v>
      </c>
      <c r="B11631" s="2" t="s">
        <v>21119</v>
      </c>
      <c r="C11631" s="1" t="s">
        <v>4104</v>
      </c>
      <c r="D11631" s="1" t="s">
        <v>4106</v>
      </c>
    </row>
    <row r="11632">
      <c r="A11632" s="1" t="s">
        <v>21120</v>
      </c>
      <c r="B11632" s="2" t="s">
        <v>21121</v>
      </c>
      <c r="C11632" s="1" t="s">
        <v>4104</v>
      </c>
      <c r="D11632" s="1" t="s">
        <v>4106</v>
      </c>
    </row>
    <row r="11633">
      <c r="A11633" s="1" t="s">
        <v>21122</v>
      </c>
      <c r="B11633" s="2" t="s">
        <v>21123</v>
      </c>
      <c r="C11633" s="1" t="s">
        <v>4104</v>
      </c>
      <c r="D11633" s="1" t="s">
        <v>4106</v>
      </c>
    </row>
    <row r="11634">
      <c r="A11634" s="1" t="s">
        <v>21124</v>
      </c>
      <c r="B11634" s="2" t="s">
        <v>21125</v>
      </c>
      <c r="C11634" s="1" t="s">
        <v>4104</v>
      </c>
      <c r="D11634" s="1" t="s">
        <v>4106</v>
      </c>
    </row>
    <row r="11635">
      <c r="A11635" s="1" t="s">
        <v>21126</v>
      </c>
      <c r="B11635" s="2" t="s">
        <v>21127</v>
      </c>
      <c r="C11635" s="1" t="s">
        <v>4104</v>
      </c>
      <c r="D11635" s="1" t="s">
        <v>4106</v>
      </c>
    </row>
    <row r="11636">
      <c r="A11636" s="1" t="s">
        <v>4111</v>
      </c>
      <c r="B11636" s="2" t="s">
        <v>7</v>
      </c>
      <c r="C11636" s="1" t="s">
        <v>4112</v>
      </c>
      <c r="D11636" s="1" t="s">
        <v>4114</v>
      </c>
    </row>
    <row r="11637">
      <c r="A11637" s="1" t="s">
        <v>21128</v>
      </c>
      <c r="B11637" s="2" t="s">
        <v>20993</v>
      </c>
      <c r="C11637" s="1" t="s">
        <v>4112</v>
      </c>
      <c r="D11637" s="1" t="s">
        <v>4114</v>
      </c>
    </row>
    <row r="11638">
      <c r="A11638" s="1" t="s">
        <v>21129</v>
      </c>
      <c r="B11638" s="2" t="s">
        <v>20995</v>
      </c>
      <c r="C11638" s="1" t="s">
        <v>4112</v>
      </c>
      <c r="D11638" s="1" t="s">
        <v>4114</v>
      </c>
    </row>
    <row r="11639">
      <c r="A11639" s="1" t="s">
        <v>21130</v>
      </c>
      <c r="B11639" s="2" t="s">
        <v>20997</v>
      </c>
      <c r="C11639" s="1" t="s">
        <v>4112</v>
      </c>
      <c r="D11639" s="1" t="s">
        <v>4114</v>
      </c>
    </row>
    <row r="11640">
      <c r="A11640" s="1" t="s">
        <v>21131</v>
      </c>
      <c r="B11640" s="2" t="s">
        <v>20999</v>
      </c>
      <c r="C11640" s="1" t="s">
        <v>4112</v>
      </c>
      <c r="D11640" s="1" t="s">
        <v>4114</v>
      </c>
    </row>
    <row r="11641">
      <c r="A11641" s="1" t="s">
        <v>21132</v>
      </c>
      <c r="B11641" s="2" t="s">
        <v>21001</v>
      </c>
      <c r="C11641" s="1" t="s">
        <v>4112</v>
      </c>
      <c r="D11641" s="1" t="s">
        <v>4114</v>
      </c>
    </row>
    <row r="11642">
      <c r="A11642" s="1" t="s">
        <v>21133</v>
      </c>
      <c r="B11642" s="2" t="s">
        <v>21003</v>
      </c>
      <c r="C11642" s="1" t="s">
        <v>4112</v>
      </c>
      <c r="D11642" s="1" t="s">
        <v>4114</v>
      </c>
    </row>
    <row r="11643">
      <c r="A11643" s="1" t="s">
        <v>21134</v>
      </c>
      <c r="B11643" s="2" t="s">
        <v>21005</v>
      </c>
      <c r="C11643" s="1" t="s">
        <v>4112</v>
      </c>
      <c r="D11643" s="1" t="s">
        <v>4114</v>
      </c>
    </row>
    <row r="11644">
      <c r="A11644" s="1" t="s">
        <v>21135</v>
      </c>
      <c r="B11644" s="2" t="s">
        <v>21007</v>
      </c>
      <c r="C11644" s="1" t="s">
        <v>4112</v>
      </c>
      <c r="D11644" s="1" t="s">
        <v>4114</v>
      </c>
    </row>
    <row r="11645">
      <c r="A11645" s="1" t="s">
        <v>21136</v>
      </c>
      <c r="B11645" s="2" t="s">
        <v>21009</v>
      </c>
      <c r="C11645" s="1" t="s">
        <v>4112</v>
      </c>
      <c r="D11645" s="1" t="s">
        <v>4114</v>
      </c>
    </row>
    <row r="11646">
      <c r="A11646" s="1" t="s">
        <v>21137</v>
      </c>
      <c r="B11646" s="2" t="s">
        <v>21011</v>
      </c>
      <c r="C11646" s="1" t="s">
        <v>4112</v>
      </c>
      <c r="D11646" s="1" t="s">
        <v>4114</v>
      </c>
    </row>
    <row r="11647">
      <c r="A11647" s="1" t="s">
        <v>21138</v>
      </c>
      <c r="B11647" s="2" t="s">
        <v>21013</v>
      </c>
      <c r="C11647" s="1" t="s">
        <v>4112</v>
      </c>
      <c r="D11647" s="1" t="s">
        <v>4114</v>
      </c>
    </row>
    <row r="11648">
      <c r="A11648" s="1" t="s">
        <v>21139</v>
      </c>
      <c r="B11648" s="2" t="s">
        <v>21015</v>
      </c>
      <c r="C11648" s="1" t="s">
        <v>4112</v>
      </c>
      <c r="D11648" s="1" t="s">
        <v>4114</v>
      </c>
    </row>
    <row r="11649">
      <c r="A11649" s="1" t="s">
        <v>21140</v>
      </c>
      <c r="B11649" s="2" t="s">
        <v>21017</v>
      </c>
      <c r="C11649" s="1" t="s">
        <v>4112</v>
      </c>
      <c r="D11649" s="1" t="s">
        <v>4114</v>
      </c>
    </row>
    <row r="11650">
      <c r="A11650" s="1" t="s">
        <v>21141</v>
      </c>
      <c r="B11650" s="2" t="s">
        <v>21019</v>
      </c>
      <c r="C11650" s="1" t="s">
        <v>4112</v>
      </c>
      <c r="D11650" s="1" t="s">
        <v>4114</v>
      </c>
    </row>
    <row r="11651">
      <c r="A11651" s="1" t="s">
        <v>21142</v>
      </c>
      <c r="B11651" s="2" t="s">
        <v>21021</v>
      </c>
      <c r="C11651" s="1" t="s">
        <v>4112</v>
      </c>
      <c r="D11651" s="1" t="s">
        <v>4114</v>
      </c>
    </row>
    <row r="11652">
      <c r="A11652" s="1" t="s">
        <v>21143</v>
      </c>
      <c r="B11652" s="2" t="s">
        <v>21023</v>
      </c>
      <c r="C11652" s="1" t="s">
        <v>4112</v>
      </c>
      <c r="D11652" s="1" t="s">
        <v>4114</v>
      </c>
    </row>
    <row r="11653">
      <c r="A11653" s="1" t="s">
        <v>21144</v>
      </c>
      <c r="B11653" s="2" t="s">
        <v>21025</v>
      </c>
      <c r="C11653" s="1" t="s">
        <v>4112</v>
      </c>
      <c r="D11653" s="1" t="s">
        <v>4114</v>
      </c>
    </row>
    <row r="11654">
      <c r="A11654" s="1" t="s">
        <v>21145</v>
      </c>
      <c r="B11654" s="2" t="s">
        <v>21027</v>
      </c>
      <c r="C11654" s="1" t="s">
        <v>4112</v>
      </c>
      <c r="D11654" s="1" t="s">
        <v>4114</v>
      </c>
    </row>
    <row r="11655">
      <c r="A11655" s="1" t="s">
        <v>21146</v>
      </c>
      <c r="B11655" s="2" t="s">
        <v>21029</v>
      </c>
      <c r="C11655" s="1" t="s">
        <v>4112</v>
      </c>
      <c r="D11655" s="1" t="s">
        <v>4114</v>
      </c>
    </row>
    <row r="11656">
      <c r="A11656" s="1" t="s">
        <v>21147</v>
      </c>
      <c r="B11656" s="2" t="s">
        <v>21031</v>
      </c>
      <c r="C11656" s="1" t="s">
        <v>4112</v>
      </c>
      <c r="D11656" s="1" t="s">
        <v>4114</v>
      </c>
    </row>
    <row r="11657">
      <c r="A11657" s="1" t="s">
        <v>21148</v>
      </c>
      <c r="B11657" s="2" t="s">
        <v>21033</v>
      </c>
      <c r="C11657" s="1" t="s">
        <v>4112</v>
      </c>
      <c r="D11657" s="1" t="s">
        <v>4114</v>
      </c>
    </row>
    <row r="11658">
      <c r="A11658" s="1" t="s">
        <v>21149</v>
      </c>
      <c r="B11658" s="2" t="s">
        <v>21035</v>
      </c>
      <c r="C11658" s="1" t="s">
        <v>4112</v>
      </c>
      <c r="D11658" s="1" t="s">
        <v>4114</v>
      </c>
    </row>
    <row r="11659">
      <c r="A11659" s="1" t="s">
        <v>21150</v>
      </c>
      <c r="B11659" s="2" t="s">
        <v>21037</v>
      </c>
      <c r="C11659" s="1" t="s">
        <v>4112</v>
      </c>
      <c r="D11659" s="1" t="s">
        <v>4114</v>
      </c>
    </row>
    <row r="11660">
      <c r="A11660" s="1" t="s">
        <v>21151</v>
      </c>
      <c r="B11660" s="2" t="s">
        <v>21039</v>
      </c>
      <c r="C11660" s="1" t="s">
        <v>4112</v>
      </c>
      <c r="D11660" s="1" t="s">
        <v>4114</v>
      </c>
    </row>
    <row r="11661">
      <c r="A11661" s="1" t="s">
        <v>21152</v>
      </c>
      <c r="B11661" s="2" t="s">
        <v>21041</v>
      </c>
      <c r="C11661" s="1" t="s">
        <v>4112</v>
      </c>
      <c r="D11661" s="1" t="s">
        <v>4114</v>
      </c>
    </row>
    <row r="11662">
      <c r="A11662" s="1" t="s">
        <v>21153</v>
      </c>
      <c r="B11662" s="2" t="s">
        <v>21043</v>
      </c>
      <c r="C11662" s="1" t="s">
        <v>4112</v>
      </c>
      <c r="D11662" s="1" t="s">
        <v>4114</v>
      </c>
    </row>
    <row r="11663">
      <c r="A11663" s="1" t="s">
        <v>21154</v>
      </c>
      <c r="B11663" s="2" t="s">
        <v>21045</v>
      </c>
      <c r="C11663" s="1" t="s">
        <v>4112</v>
      </c>
      <c r="D11663" s="1" t="s">
        <v>4114</v>
      </c>
    </row>
    <row r="11664">
      <c r="A11664" s="1" t="s">
        <v>21155</v>
      </c>
      <c r="B11664" s="2" t="s">
        <v>21047</v>
      </c>
      <c r="C11664" s="1" t="s">
        <v>4112</v>
      </c>
      <c r="D11664" s="1" t="s">
        <v>4114</v>
      </c>
    </row>
    <row r="11665">
      <c r="A11665" s="1" t="s">
        <v>21156</v>
      </c>
      <c r="B11665" s="2" t="s">
        <v>21049</v>
      </c>
      <c r="C11665" s="1" t="s">
        <v>4112</v>
      </c>
      <c r="D11665" s="1" t="s">
        <v>4114</v>
      </c>
    </row>
    <row r="11666">
      <c r="A11666" s="1" t="s">
        <v>21157</v>
      </c>
      <c r="B11666" s="2" t="s">
        <v>21051</v>
      </c>
      <c r="C11666" s="1" t="s">
        <v>4112</v>
      </c>
      <c r="D11666" s="1" t="s">
        <v>4114</v>
      </c>
    </row>
    <row r="11667">
      <c r="A11667" s="1" t="s">
        <v>21158</v>
      </c>
      <c r="B11667" s="2" t="s">
        <v>21053</v>
      </c>
      <c r="C11667" s="1" t="s">
        <v>4112</v>
      </c>
      <c r="D11667" s="1" t="s">
        <v>4114</v>
      </c>
    </row>
    <row r="11668">
      <c r="A11668" s="1" t="s">
        <v>21159</v>
      </c>
      <c r="B11668" s="2" t="s">
        <v>21055</v>
      </c>
      <c r="C11668" s="1" t="s">
        <v>4112</v>
      </c>
      <c r="D11668" s="1" t="s">
        <v>4114</v>
      </c>
    </row>
    <row r="11669">
      <c r="A11669" s="1" t="s">
        <v>21160</v>
      </c>
      <c r="B11669" s="2" t="s">
        <v>21057</v>
      </c>
      <c r="C11669" s="1" t="s">
        <v>4112</v>
      </c>
      <c r="D11669" s="1" t="s">
        <v>4114</v>
      </c>
    </row>
    <row r="11670">
      <c r="A11670" s="1" t="s">
        <v>21161</v>
      </c>
      <c r="B11670" s="2" t="s">
        <v>21059</v>
      </c>
      <c r="C11670" s="1" t="s">
        <v>4112</v>
      </c>
      <c r="D11670" s="1" t="s">
        <v>4114</v>
      </c>
    </row>
    <row r="11671">
      <c r="A11671" s="1" t="s">
        <v>21162</v>
      </c>
      <c r="B11671" s="2" t="s">
        <v>21061</v>
      </c>
      <c r="C11671" s="1" t="s">
        <v>4112</v>
      </c>
      <c r="D11671" s="1" t="s">
        <v>4114</v>
      </c>
    </row>
    <row r="11672">
      <c r="A11672" s="1" t="s">
        <v>21163</v>
      </c>
      <c r="B11672" s="2" t="s">
        <v>21063</v>
      </c>
      <c r="C11672" s="1" t="s">
        <v>4112</v>
      </c>
      <c r="D11672" s="1" t="s">
        <v>4114</v>
      </c>
    </row>
    <row r="11673">
      <c r="A11673" s="1" t="s">
        <v>21164</v>
      </c>
      <c r="B11673" s="2" t="s">
        <v>21065</v>
      </c>
      <c r="C11673" s="1" t="s">
        <v>4112</v>
      </c>
      <c r="D11673" s="1" t="s">
        <v>4114</v>
      </c>
    </row>
    <row r="11674">
      <c r="A11674" s="1" t="s">
        <v>21165</v>
      </c>
      <c r="B11674" s="2" t="s">
        <v>21067</v>
      </c>
      <c r="C11674" s="1" t="s">
        <v>4112</v>
      </c>
      <c r="D11674" s="1" t="s">
        <v>4114</v>
      </c>
    </row>
    <row r="11675">
      <c r="A11675" s="1" t="s">
        <v>21166</v>
      </c>
      <c r="B11675" s="2" t="s">
        <v>21069</v>
      </c>
      <c r="C11675" s="1" t="s">
        <v>4112</v>
      </c>
      <c r="D11675" s="1" t="s">
        <v>4114</v>
      </c>
    </row>
    <row r="11676">
      <c r="A11676" s="1" t="s">
        <v>21167</v>
      </c>
      <c r="B11676" s="2" t="s">
        <v>21071</v>
      </c>
      <c r="C11676" s="1" t="s">
        <v>4112</v>
      </c>
      <c r="D11676" s="1" t="s">
        <v>4114</v>
      </c>
    </row>
    <row r="11677">
      <c r="A11677" s="1" t="s">
        <v>21168</v>
      </c>
      <c r="B11677" s="2" t="s">
        <v>21073</v>
      </c>
      <c r="C11677" s="1" t="s">
        <v>4112</v>
      </c>
      <c r="D11677" s="1" t="s">
        <v>4114</v>
      </c>
    </row>
    <row r="11678">
      <c r="A11678" s="1" t="s">
        <v>21169</v>
      </c>
      <c r="B11678" s="2" t="s">
        <v>21075</v>
      </c>
      <c r="C11678" s="1" t="s">
        <v>4112</v>
      </c>
      <c r="D11678" s="1" t="s">
        <v>4114</v>
      </c>
    </row>
    <row r="11679">
      <c r="A11679" s="1" t="s">
        <v>21170</v>
      </c>
      <c r="B11679" s="2" t="s">
        <v>21077</v>
      </c>
      <c r="C11679" s="1" t="s">
        <v>4112</v>
      </c>
      <c r="D11679" s="1" t="s">
        <v>4114</v>
      </c>
    </row>
    <row r="11680">
      <c r="A11680" s="1" t="s">
        <v>21171</v>
      </c>
      <c r="B11680" s="2" t="s">
        <v>21079</v>
      </c>
      <c r="C11680" s="1" t="s">
        <v>4112</v>
      </c>
      <c r="D11680" s="1" t="s">
        <v>4114</v>
      </c>
    </row>
    <row r="11681">
      <c r="A11681" s="1" t="s">
        <v>21172</v>
      </c>
      <c r="B11681" s="2" t="s">
        <v>21081</v>
      </c>
      <c r="C11681" s="1" t="s">
        <v>4112</v>
      </c>
      <c r="D11681" s="1" t="s">
        <v>4114</v>
      </c>
    </row>
    <row r="11682">
      <c r="A11682" s="1" t="s">
        <v>21173</v>
      </c>
      <c r="B11682" s="2" t="s">
        <v>21083</v>
      </c>
      <c r="C11682" s="1" t="s">
        <v>4112</v>
      </c>
      <c r="D11682" s="1" t="s">
        <v>4114</v>
      </c>
    </row>
    <row r="11683">
      <c r="A11683" s="1" t="s">
        <v>21174</v>
      </c>
      <c r="B11683" s="2" t="s">
        <v>21085</v>
      </c>
      <c r="C11683" s="1" t="s">
        <v>4112</v>
      </c>
      <c r="D11683" s="1" t="s">
        <v>4114</v>
      </c>
    </row>
    <row r="11684">
      <c r="A11684" s="1" t="s">
        <v>21175</v>
      </c>
      <c r="B11684" s="2" t="s">
        <v>21087</v>
      </c>
      <c r="C11684" s="1" t="s">
        <v>4112</v>
      </c>
      <c r="D11684" s="1" t="s">
        <v>4114</v>
      </c>
    </row>
    <row r="11685">
      <c r="A11685" s="1" t="s">
        <v>21176</v>
      </c>
      <c r="B11685" s="2" t="s">
        <v>21089</v>
      </c>
      <c r="C11685" s="1" t="s">
        <v>4112</v>
      </c>
      <c r="D11685" s="1" t="s">
        <v>4114</v>
      </c>
    </row>
    <row r="11686">
      <c r="A11686" s="1" t="s">
        <v>21177</v>
      </c>
      <c r="B11686" s="2" t="s">
        <v>21091</v>
      </c>
      <c r="C11686" s="1" t="s">
        <v>4112</v>
      </c>
      <c r="D11686" s="1" t="s">
        <v>4114</v>
      </c>
    </row>
    <row r="11687">
      <c r="A11687" s="1" t="s">
        <v>21178</v>
      </c>
      <c r="B11687" s="2" t="s">
        <v>21093</v>
      </c>
      <c r="C11687" s="1" t="s">
        <v>4112</v>
      </c>
      <c r="D11687" s="1" t="s">
        <v>4114</v>
      </c>
    </row>
    <row r="11688">
      <c r="A11688" s="1" t="s">
        <v>21179</v>
      </c>
      <c r="B11688" s="2" t="s">
        <v>21095</v>
      </c>
      <c r="C11688" s="1" t="s">
        <v>4112</v>
      </c>
      <c r="D11688" s="1" t="s">
        <v>4114</v>
      </c>
    </row>
    <row r="11689">
      <c r="A11689" s="1" t="s">
        <v>21180</v>
      </c>
      <c r="B11689" s="2" t="s">
        <v>21097</v>
      </c>
      <c r="C11689" s="1" t="s">
        <v>4112</v>
      </c>
      <c r="D11689" s="1" t="s">
        <v>4114</v>
      </c>
    </row>
    <row r="11690">
      <c r="A11690" s="1" t="s">
        <v>21181</v>
      </c>
      <c r="B11690" s="2" t="s">
        <v>21099</v>
      </c>
      <c r="C11690" s="1" t="s">
        <v>4112</v>
      </c>
      <c r="D11690" s="1" t="s">
        <v>4114</v>
      </c>
    </row>
    <row r="11691">
      <c r="A11691" s="1" t="s">
        <v>21182</v>
      </c>
      <c r="B11691" s="2" t="s">
        <v>21101</v>
      </c>
      <c r="C11691" s="1" t="s">
        <v>4112</v>
      </c>
      <c r="D11691" s="1" t="s">
        <v>4114</v>
      </c>
    </row>
    <row r="11692">
      <c r="A11692" s="1" t="s">
        <v>21183</v>
      </c>
      <c r="B11692" s="2" t="s">
        <v>21103</v>
      </c>
      <c r="C11692" s="1" t="s">
        <v>4112</v>
      </c>
      <c r="D11692" s="1" t="s">
        <v>4114</v>
      </c>
    </row>
    <row r="11693">
      <c r="A11693" s="1" t="s">
        <v>21184</v>
      </c>
      <c r="B11693" s="2" t="s">
        <v>21105</v>
      </c>
      <c r="C11693" s="1" t="s">
        <v>4112</v>
      </c>
      <c r="D11693" s="1" t="s">
        <v>4114</v>
      </c>
    </row>
    <row r="11694">
      <c r="A11694" s="1" t="s">
        <v>21185</v>
      </c>
      <c r="B11694" s="2" t="s">
        <v>21107</v>
      </c>
      <c r="C11694" s="1" t="s">
        <v>4112</v>
      </c>
      <c r="D11694" s="1" t="s">
        <v>4114</v>
      </c>
    </row>
    <row r="11695">
      <c r="A11695" s="1" t="s">
        <v>21186</v>
      </c>
      <c r="B11695" s="2" t="s">
        <v>21109</v>
      </c>
      <c r="C11695" s="1" t="s">
        <v>4112</v>
      </c>
      <c r="D11695" s="1" t="s">
        <v>4114</v>
      </c>
    </row>
    <row r="11696">
      <c r="A11696" s="1" t="s">
        <v>21187</v>
      </c>
      <c r="B11696" s="2" t="s">
        <v>21111</v>
      </c>
      <c r="C11696" s="1" t="s">
        <v>4112</v>
      </c>
      <c r="D11696" s="1" t="s">
        <v>4114</v>
      </c>
    </row>
    <row r="11697">
      <c r="A11697" s="1" t="s">
        <v>21188</v>
      </c>
      <c r="B11697" s="2" t="s">
        <v>21113</v>
      </c>
      <c r="C11697" s="1" t="s">
        <v>4112</v>
      </c>
      <c r="D11697" s="1" t="s">
        <v>4114</v>
      </c>
    </row>
    <row r="11698">
      <c r="A11698" s="1" t="s">
        <v>21189</v>
      </c>
      <c r="B11698" s="2" t="s">
        <v>21115</v>
      </c>
      <c r="C11698" s="1" t="s">
        <v>4112</v>
      </c>
      <c r="D11698" s="1" t="s">
        <v>4114</v>
      </c>
    </row>
    <row r="11699">
      <c r="A11699" s="1" t="s">
        <v>21190</v>
      </c>
      <c r="B11699" s="2" t="s">
        <v>21117</v>
      </c>
      <c r="C11699" s="1" t="s">
        <v>4112</v>
      </c>
      <c r="D11699" s="1" t="s">
        <v>4114</v>
      </c>
    </row>
    <row r="11700">
      <c r="A11700" s="1" t="s">
        <v>21191</v>
      </c>
      <c r="B11700" s="2" t="s">
        <v>21119</v>
      </c>
      <c r="C11700" s="1" t="s">
        <v>4112</v>
      </c>
      <c r="D11700" s="1" t="s">
        <v>4114</v>
      </c>
    </row>
    <row r="11701">
      <c r="A11701" s="1" t="s">
        <v>21192</v>
      </c>
      <c r="B11701" s="2" t="s">
        <v>21121</v>
      </c>
      <c r="C11701" s="1" t="s">
        <v>4112</v>
      </c>
      <c r="D11701" s="1" t="s">
        <v>4114</v>
      </c>
    </row>
    <row r="11702">
      <c r="A11702" s="1" t="s">
        <v>21193</v>
      </c>
      <c r="B11702" s="2" t="s">
        <v>21123</v>
      </c>
      <c r="C11702" s="1" t="s">
        <v>4112</v>
      </c>
      <c r="D11702" s="1" t="s">
        <v>4114</v>
      </c>
    </row>
    <row r="11703">
      <c r="A11703" s="1" t="s">
        <v>21194</v>
      </c>
      <c r="B11703" s="2" t="s">
        <v>21125</v>
      </c>
      <c r="C11703" s="1" t="s">
        <v>4112</v>
      </c>
      <c r="D11703" s="1" t="s">
        <v>4114</v>
      </c>
    </row>
    <row r="11704">
      <c r="A11704" s="1" t="s">
        <v>21195</v>
      </c>
      <c r="B11704" s="2" t="s">
        <v>21127</v>
      </c>
      <c r="C11704" s="1" t="s">
        <v>4112</v>
      </c>
      <c r="D11704" s="1" t="s">
        <v>4114</v>
      </c>
    </row>
    <row r="11705">
      <c r="A11705" s="1" t="s">
        <v>4118</v>
      </c>
      <c r="B11705" s="2" t="s">
        <v>7</v>
      </c>
      <c r="C11705" s="1" t="s">
        <v>4121</v>
      </c>
      <c r="D11705" s="1" t="s">
        <v>4123</v>
      </c>
    </row>
    <row r="11706">
      <c r="A11706" s="1" t="s">
        <v>21196</v>
      </c>
      <c r="B11706" s="2" t="s">
        <v>20993</v>
      </c>
      <c r="C11706" s="1" t="s">
        <v>4121</v>
      </c>
      <c r="D11706" s="1" t="s">
        <v>4123</v>
      </c>
    </row>
    <row r="11707">
      <c r="A11707" s="1" t="s">
        <v>21197</v>
      </c>
      <c r="B11707" s="2" t="s">
        <v>20995</v>
      </c>
      <c r="C11707" s="1" t="s">
        <v>4121</v>
      </c>
      <c r="D11707" s="1" t="s">
        <v>4123</v>
      </c>
    </row>
    <row r="11708">
      <c r="A11708" s="1" t="s">
        <v>21198</v>
      </c>
      <c r="B11708" s="2" t="s">
        <v>20997</v>
      </c>
      <c r="C11708" s="1" t="s">
        <v>4121</v>
      </c>
      <c r="D11708" s="1" t="s">
        <v>4123</v>
      </c>
    </row>
    <row r="11709">
      <c r="A11709" s="1" t="s">
        <v>21199</v>
      </c>
      <c r="B11709" s="2" t="s">
        <v>20999</v>
      </c>
      <c r="C11709" s="1" t="s">
        <v>4121</v>
      </c>
      <c r="D11709" s="1" t="s">
        <v>4123</v>
      </c>
    </row>
    <row r="11710">
      <c r="A11710" s="1" t="s">
        <v>21200</v>
      </c>
      <c r="B11710" s="2" t="s">
        <v>21001</v>
      </c>
      <c r="C11710" s="1" t="s">
        <v>4121</v>
      </c>
      <c r="D11710" s="1" t="s">
        <v>4123</v>
      </c>
    </row>
    <row r="11711">
      <c r="A11711" s="1" t="s">
        <v>21201</v>
      </c>
      <c r="B11711" s="2" t="s">
        <v>21003</v>
      </c>
      <c r="C11711" s="1" t="s">
        <v>4121</v>
      </c>
      <c r="D11711" s="1" t="s">
        <v>4123</v>
      </c>
    </row>
    <row r="11712">
      <c r="A11712" s="1" t="s">
        <v>21202</v>
      </c>
      <c r="B11712" s="2" t="s">
        <v>21005</v>
      </c>
      <c r="C11712" s="1" t="s">
        <v>4121</v>
      </c>
      <c r="D11712" s="1" t="s">
        <v>4123</v>
      </c>
    </row>
    <row r="11713">
      <c r="A11713" s="1" t="s">
        <v>21203</v>
      </c>
      <c r="B11713" s="2" t="s">
        <v>21007</v>
      </c>
      <c r="C11713" s="1" t="s">
        <v>4121</v>
      </c>
      <c r="D11713" s="1" t="s">
        <v>4123</v>
      </c>
    </row>
    <row r="11714">
      <c r="A11714" s="1" t="s">
        <v>21204</v>
      </c>
      <c r="B11714" s="2" t="s">
        <v>21009</v>
      </c>
      <c r="C11714" s="1" t="s">
        <v>4121</v>
      </c>
      <c r="D11714" s="1" t="s">
        <v>4123</v>
      </c>
    </row>
    <row r="11715">
      <c r="A11715" s="1" t="s">
        <v>21205</v>
      </c>
      <c r="B11715" s="2" t="s">
        <v>21011</v>
      </c>
      <c r="C11715" s="1" t="s">
        <v>4121</v>
      </c>
      <c r="D11715" s="1" t="s">
        <v>4123</v>
      </c>
    </row>
    <row r="11716">
      <c r="A11716" s="1" t="s">
        <v>21206</v>
      </c>
      <c r="B11716" s="2" t="s">
        <v>21013</v>
      </c>
      <c r="C11716" s="1" t="s">
        <v>4121</v>
      </c>
      <c r="D11716" s="1" t="s">
        <v>4123</v>
      </c>
    </row>
    <row r="11717">
      <c r="A11717" s="1" t="s">
        <v>21207</v>
      </c>
      <c r="B11717" s="2" t="s">
        <v>21015</v>
      </c>
      <c r="C11717" s="1" t="s">
        <v>4121</v>
      </c>
      <c r="D11717" s="1" t="s">
        <v>4123</v>
      </c>
    </row>
    <row r="11718">
      <c r="A11718" s="1" t="s">
        <v>21208</v>
      </c>
      <c r="B11718" s="2" t="s">
        <v>21017</v>
      </c>
      <c r="C11718" s="1" t="s">
        <v>4121</v>
      </c>
      <c r="D11718" s="1" t="s">
        <v>4123</v>
      </c>
    </row>
    <row r="11719">
      <c r="A11719" s="1" t="s">
        <v>21209</v>
      </c>
      <c r="B11719" s="2" t="s">
        <v>21019</v>
      </c>
      <c r="C11719" s="1" t="s">
        <v>4121</v>
      </c>
      <c r="D11719" s="1" t="s">
        <v>4123</v>
      </c>
    </row>
    <row r="11720">
      <c r="A11720" s="1" t="s">
        <v>21210</v>
      </c>
      <c r="B11720" s="2" t="s">
        <v>21021</v>
      </c>
      <c r="C11720" s="1" t="s">
        <v>4121</v>
      </c>
      <c r="D11720" s="1" t="s">
        <v>4123</v>
      </c>
    </row>
    <row r="11721">
      <c r="A11721" s="1" t="s">
        <v>21211</v>
      </c>
      <c r="B11721" s="2" t="s">
        <v>21023</v>
      </c>
      <c r="C11721" s="1" t="s">
        <v>4121</v>
      </c>
      <c r="D11721" s="1" t="s">
        <v>4123</v>
      </c>
    </row>
    <row r="11722">
      <c r="A11722" s="1" t="s">
        <v>21212</v>
      </c>
      <c r="B11722" s="2" t="s">
        <v>21025</v>
      </c>
      <c r="C11722" s="1" t="s">
        <v>4121</v>
      </c>
      <c r="D11722" s="1" t="s">
        <v>4123</v>
      </c>
    </row>
    <row r="11723">
      <c r="A11723" s="1" t="s">
        <v>21213</v>
      </c>
      <c r="B11723" s="2" t="s">
        <v>21027</v>
      </c>
      <c r="C11723" s="1" t="s">
        <v>4121</v>
      </c>
      <c r="D11723" s="1" t="s">
        <v>4123</v>
      </c>
    </row>
    <row r="11724">
      <c r="A11724" s="1" t="s">
        <v>21214</v>
      </c>
      <c r="B11724" s="2" t="s">
        <v>21029</v>
      </c>
      <c r="C11724" s="1" t="s">
        <v>4121</v>
      </c>
      <c r="D11724" s="1" t="s">
        <v>4123</v>
      </c>
    </row>
    <row r="11725">
      <c r="A11725" s="1" t="s">
        <v>21215</v>
      </c>
      <c r="B11725" s="2" t="s">
        <v>21031</v>
      </c>
      <c r="C11725" s="1" t="s">
        <v>4121</v>
      </c>
      <c r="D11725" s="1" t="s">
        <v>4123</v>
      </c>
    </row>
    <row r="11726">
      <c r="A11726" s="1" t="s">
        <v>21216</v>
      </c>
      <c r="B11726" s="2" t="s">
        <v>21033</v>
      </c>
      <c r="C11726" s="1" t="s">
        <v>4121</v>
      </c>
      <c r="D11726" s="1" t="s">
        <v>4123</v>
      </c>
    </row>
    <row r="11727">
      <c r="A11727" s="1" t="s">
        <v>21217</v>
      </c>
      <c r="B11727" s="2" t="s">
        <v>21035</v>
      </c>
      <c r="C11727" s="1" t="s">
        <v>4121</v>
      </c>
      <c r="D11727" s="1" t="s">
        <v>4123</v>
      </c>
    </row>
    <row r="11728">
      <c r="A11728" s="1" t="s">
        <v>21218</v>
      </c>
      <c r="B11728" s="2" t="s">
        <v>21037</v>
      </c>
      <c r="C11728" s="1" t="s">
        <v>4121</v>
      </c>
      <c r="D11728" s="1" t="s">
        <v>4123</v>
      </c>
    </row>
    <row r="11729">
      <c r="A11729" s="1" t="s">
        <v>21219</v>
      </c>
      <c r="B11729" s="2" t="s">
        <v>21039</v>
      </c>
      <c r="C11729" s="1" t="s">
        <v>4121</v>
      </c>
      <c r="D11729" s="1" t="s">
        <v>4123</v>
      </c>
    </row>
    <row r="11730">
      <c r="A11730" s="1" t="s">
        <v>21220</v>
      </c>
      <c r="B11730" s="2" t="s">
        <v>21041</v>
      </c>
      <c r="C11730" s="1" t="s">
        <v>4121</v>
      </c>
      <c r="D11730" s="1" t="s">
        <v>4123</v>
      </c>
    </row>
    <row r="11731">
      <c r="A11731" s="1" t="s">
        <v>21221</v>
      </c>
      <c r="B11731" s="2" t="s">
        <v>21043</v>
      </c>
      <c r="C11731" s="1" t="s">
        <v>4121</v>
      </c>
      <c r="D11731" s="1" t="s">
        <v>4123</v>
      </c>
    </row>
    <row r="11732">
      <c r="A11732" s="1" t="s">
        <v>21222</v>
      </c>
      <c r="B11732" s="2" t="s">
        <v>21045</v>
      </c>
      <c r="C11732" s="1" t="s">
        <v>4121</v>
      </c>
      <c r="D11732" s="1" t="s">
        <v>4123</v>
      </c>
    </row>
    <row r="11733">
      <c r="A11733" s="1" t="s">
        <v>21223</v>
      </c>
      <c r="B11733" s="2" t="s">
        <v>21047</v>
      </c>
      <c r="C11733" s="1" t="s">
        <v>4121</v>
      </c>
      <c r="D11733" s="1" t="s">
        <v>4123</v>
      </c>
    </row>
    <row r="11734">
      <c r="A11734" s="1" t="s">
        <v>21224</v>
      </c>
      <c r="B11734" s="2" t="s">
        <v>21049</v>
      </c>
      <c r="C11734" s="1" t="s">
        <v>4121</v>
      </c>
      <c r="D11734" s="1" t="s">
        <v>4123</v>
      </c>
    </row>
    <row r="11735">
      <c r="A11735" s="1" t="s">
        <v>21225</v>
      </c>
      <c r="B11735" s="2" t="s">
        <v>21051</v>
      </c>
      <c r="C11735" s="1" t="s">
        <v>4121</v>
      </c>
      <c r="D11735" s="1" t="s">
        <v>4123</v>
      </c>
    </row>
    <row r="11736">
      <c r="A11736" s="1" t="s">
        <v>21226</v>
      </c>
      <c r="B11736" s="2" t="s">
        <v>21053</v>
      </c>
      <c r="C11736" s="1" t="s">
        <v>4121</v>
      </c>
      <c r="D11736" s="1" t="s">
        <v>4123</v>
      </c>
    </row>
    <row r="11737">
      <c r="A11737" s="1" t="s">
        <v>21227</v>
      </c>
      <c r="B11737" s="2" t="s">
        <v>21055</v>
      </c>
      <c r="C11737" s="1" t="s">
        <v>4121</v>
      </c>
      <c r="D11737" s="1" t="s">
        <v>4123</v>
      </c>
    </row>
    <row r="11738">
      <c r="A11738" s="1" t="s">
        <v>21228</v>
      </c>
      <c r="B11738" s="2" t="s">
        <v>21057</v>
      </c>
      <c r="C11738" s="1" t="s">
        <v>4121</v>
      </c>
      <c r="D11738" s="1" t="s">
        <v>4123</v>
      </c>
    </row>
    <row r="11739">
      <c r="A11739" s="1" t="s">
        <v>21229</v>
      </c>
      <c r="B11739" s="2" t="s">
        <v>21059</v>
      </c>
      <c r="C11739" s="1" t="s">
        <v>4121</v>
      </c>
      <c r="D11739" s="1" t="s">
        <v>4123</v>
      </c>
    </row>
    <row r="11740">
      <c r="A11740" s="1" t="s">
        <v>21230</v>
      </c>
      <c r="B11740" s="2" t="s">
        <v>21061</v>
      </c>
      <c r="C11740" s="1" t="s">
        <v>4121</v>
      </c>
      <c r="D11740" s="1" t="s">
        <v>4123</v>
      </c>
    </row>
    <row r="11741">
      <c r="A11741" s="1" t="s">
        <v>21231</v>
      </c>
      <c r="B11741" s="2" t="s">
        <v>21063</v>
      </c>
      <c r="C11741" s="1" t="s">
        <v>4121</v>
      </c>
      <c r="D11741" s="1" t="s">
        <v>4123</v>
      </c>
    </row>
    <row r="11742">
      <c r="A11742" s="1" t="s">
        <v>21232</v>
      </c>
      <c r="B11742" s="2" t="s">
        <v>21065</v>
      </c>
      <c r="C11742" s="1" t="s">
        <v>4121</v>
      </c>
      <c r="D11742" s="1" t="s">
        <v>4123</v>
      </c>
    </row>
    <row r="11743">
      <c r="A11743" s="1" t="s">
        <v>21233</v>
      </c>
      <c r="B11743" s="2" t="s">
        <v>21067</v>
      </c>
      <c r="C11743" s="1" t="s">
        <v>4121</v>
      </c>
      <c r="D11743" s="1" t="s">
        <v>4123</v>
      </c>
    </row>
    <row r="11744">
      <c r="A11744" s="1" t="s">
        <v>21234</v>
      </c>
      <c r="B11744" s="2" t="s">
        <v>21069</v>
      </c>
      <c r="C11744" s="1" t="s">
        <v>4121</v>
      </c>
      <c r="D11744" s="1" t="s">
        <v>4123</v>
      </c>
    </row>
    <row r="11745">
      <c r="A11745" s="1" t="s">
        <v>21235</v>
      </c>
      <c r="B11745" s="2" t="s">
        <v>21071</v>
      </c>
      <c r="C11745" s="1" t="s">
        <v>4121</v>
      </c>
      <c r="D11745" s="1" t="s">
        <v>4123</v>
      </c>
    </row>
    <row r="11746">
      <c r="A11746" s="1" t="s">
        <v>21236</v>
      </c>
      <c r="B11746" s="2" t="s">
        <v>21073</v>
      </c>
      <c r="C11746" s="1" t="s">
        <v>4121</v>
      </c>
      <c r="D11746" s="1" t="s">
        <v>4123</v>
      </c>
    </row>
    <row r="11747">
      <c r="A11747" s="1" t="s">
        <v>21237</v>
      </c>
      <c r="B11747" s="2" t="s">
        <v>21075</v>
      </c>
      <c r="C11747" s="1" t="s">
        <v>4121</v>
      </c>
      <c r="D11747" s="1" t="s">
        <v>4123</v>
      </c>
    </row>
    <row r="11748">
      <c r="A11748" s="1" t="s">
        <v>21238</v>
      </c>
      <c r="B11748" s="2" t="s">
        <v>21077</v>
      </c>
      <c r="C11748" s="1" t="s">
        <v>4121</v>
      </c>
      <c r="D11748" s="1" t="s">
        <v>4123</v>
      </c>
    </row>
    <row r="11749">
      <c r="A11749" s="1" t="s">
        <v>21239</v>
      </c>
      <c r="B11749" s="2" t="s">
        <v>21079</v>
      </c>
      <c r="C11749" s="1" t="s">
        <v>4121</v>
      </c>
      <c r="D11749" s="1" t="s">
        <v>4123</v>
      </c>
    </row>
    <row r="11750">
      <c r="A11750" s="1" t="s">
        <v>21240</v>
      </c>
      <c r="B11750" s="2" t="s">
        <v>21081</v>
      </c>
      <c r="C11750" s="1" t="s">
        <v>4121</v>
      </c>
      <c r="D11750" s="1" t="s">
        <v>4123</v>
      </c>
    </row>
    <row r="11751">
      <c r="A11751" s="1" t="s">
        <v>21241</v>
      </c>
      <c r="B11751" s="2" t="s">
        <v>21083</v>
      </c>
      <c r="C11751" s="1" t="s">
        <v>4121</v>
      </c>
      <c r="D11751" s="1" t="s">
        <v>4123</v>
      </c>
    </row>
    <row r="11752">
      <c r="A11752" s="1" t="s">
        <v>21242</v>
      </c>
      <c r="B11752" s="2" t="s">
        <v>21085</v>
      </c>
      <c r="C11752" s="1" t="s">
        <v>4121</v>
      </c>
      <c r="D11752" s="1" t="s">
        <v>4123</v>
      </c>
    </row>
    <row r="11753">
      <c r="A11753" s="1" t="s">
        <v>21243</v>
      </c>
      <c r="B11753" s="2" t="s">
        <v>21087</v>
      </c>
      <c r="C11753" s="1" t="s">
        <v>4121</v>
      </c>
      <c r="D11753" s="1" t="s">
        <v>4123</v>
      </c>
    </row>
    <row r="11754">
      <c r="A11754" s="1" t="s">
        <v>21244</v>
      </c>
      <c r="B11754" s="2" t="s">
        <v>21089</v>
      </c>
      <c r="C11754" s="1" t="s">
        <v>4121</v>
      </c>
      <c r="D11754" s="1" t="s">
        <v>4123</v>
      </c>
    </row>
    <row r="11755">
      <c r="A11755" s="1" t="s">
        <v>21245</v>
      </c>
      <c r="B11755" s="2" t="s">
        <v>21091</v>
      </c>
      <c r="C11755" s="1" t="s">
        <v>4121</v>
      </c>
      <c r="D11755" s="1" t="s">
        <v>4123</v>
      </c>
    </row>
    <row r="11756">
      <c r="A11756" s="1" t="s">
        <v>21246</v>
      </c>
      <c r="B11756" s="2" t="s">
        <v>21093</v>
      </c>
      <c r="C11756" s="1" t="s">
        <v>4121</v>
      </c>
      <c r="D11756" s="1" t="s">
        <v>4123</v>
      </c>
    </row>
    <row r="11757">
      <c r="A11757" s="1" t="s">
        <v>21247</v>
      </c>
      <c r="B11757" s="2" t="s">
        <v>21095</v>
      </c>
      <c r="C11757" s="1" t="s">
        <v>4121</v>
      </c>
      <c r="D11757" s="1" t="s">
        <v>4123</v>
      </c>
    </row>
    <row r="11758">
      <c r="A11758" s="1" t="s">
        <v>21248</v>
      </c>
      <c r="B11758" s="2" t="s">
        <v>21097</v>
      </c>
      <c r="C11758" s="1" t="s">
        <v>4121</v>
      </c>
      <c r="D11758" s="1" t="s">
        <v>4123</v>
      </c>
    </row>
    <row r="11759">
      <c r="A11759" s="1" t="s">
        <v>21249</v>
      </c>
      <c r="B11759" s="2" t="s">
        <v>21099</v>
      </c>
      <c r="C11759" s="1" t="s">
        <v>4121</v>
      </c>
      <c r="D11759" s="1" t="s">
        <v>4123</v>
      </c>
    </row>
    <row r="11760">
      <c r="A11760" s="1" t="s">
        <v>21250</v>
      </c>
      <c r="B11760" s="2" t="s">
        <v>21101</v>
      </c>
      <c r="C11760" s="1" t="s">
        <v>4121</v>
      </c>
      <c r="D11760" s="1" t="s">
        <v>4123</v>
      </c>
    </row>
    <row r="11761">
      <c r="A11761" s="1" t="s">
        <v>21251</v>
      </c>
      <c r="B11761" s="2" t="s">
        <v>21103</v>
      </c>
      <c r="C11761" s="1" t="s">
        <v>4121</v>
      </c>
      <c r="D11761" s="1" t="s">
        <v>4123</v>
      </c>
    </row>
    <row r="11762">
      <c r="A11762" s="1" t="s">
        <v>21252</v>
      </c>
      <c r="B11762" s="2" t="s">
        <v>21105</v>
      </c>
      <c r="C11762" s="1" t="s">
        <v>4121</v>
      </c>
      <c r="D11762" s="1" t="s">
        <v>4123</v>
      </c>
    </row>
    <row r="11763">
      <c r="A11763" s="1" t="s">
        <v>21253</v>
      </c>
      <c r="B11763" s="2" t="s">
        <v>21107</v>
      </c>
      <c r="C11763" s="1" t="s">
        <v>4121</v>
      </c>
      <c r="D11763" s="1" t="s">
        <v>4123</v>
      </c>
    </row>
    <row r="11764">
      <c r="A11764" s="1" t="s">
        <v>21254</v>
      </c>
      <c r="B11764" s="2" t="s">
        <v>21109</v>
      </c>
      <c r="C11764" s="1" t="s">
        <v>4121</v>
      </c>
      <c r="D11764" s="1" t="s">
        <v>4123</v>
      </c>
    </row>
    <row r="11765">
      <c r="A11765" s="1" t="s">
        <v>21255</v>
      </c>
      <c r="B11765" s="2" t="s">
        <v>21111</v>
      </c>
      <c r="C11765" s="1" t="s">
        <v>4121</v>
      </c>
      <c r="D11765" s="1" t="s">
        <v>4123</v>
      </c>
    </row>
    <row r="11766">
      <c r="A11766" s="1" t="s">
        <v>21256</v>
      </c>
      <c r="B11766" s="2" t="s">
        <v>21113</v>
      </c>
      <c r="C11766" s="1" t="s">
        <v>4121</v>
      </c>
      <c r="D11766" s="1" t="s">
        <v>4123</v>
      </c>
    </row>
    <row r="11767">
      <c r="A11767" s="1" t="s">
        <v>21257</v>
      </c>
      <c r="B11767" s="2" t="s">
        <v>21115</v>
      </c>
      <c r="C11767" s="1" t="s">
        <v>4121</v>
      </c>
      <c r="D11767" s="1" t="s">
        <v>4123</v>
      </c>
    </row>
    <row r="11768">
      <c r="A11768" s="1" t="s">
        <v>21258</v>
      </c>
      <c r="B11768" s="2" t="s">
        <v>21117</v>
      </c>
      <c r="C11768" s="1" t="s">
        <v>4121</v>
      </c>
      <c r="D11768" s="1" t="s">
        <v>4123</v>
      </c>
    </row>
    <row r="11769">
      <c r="A11769" s="1" t="s">
        <v>21259</v>
      </c>
      <c r="B11769" s="2" t="s">
        <v>21119</v>
      </c>
      <c r="C11769" s="1" t="s">
        <v>4121</v>
      </c>
      <c r="D11769" s="1" t="s">
        <v>4123</v>
      </c>
    </row>
    <row r="11770">
      <c r="A11770" s="1" t="s">
        <v>21260</v>
      </c>
      <c r="B11770" s="2" t="s">
        <v>21121</v>
      </c>
      <c r="C11770" s="1" t="s">
        <v>4121</v>
      </c>
      <c r="D11770" s="1" t="s">
        <v>4123</v>
      </c>
    </row>
    <row r="11771">
      <c r="A11771" s="1" t="s">
        <v>21261</v>
      </c>
      <c r="B11771" s="2" t="s">
        <v>21123</v>
      </c>
      <c r="C11771" s="1" t="s">
        <v>4121</v>
      </c>
      <c r="D11771" s="1" t="s">
        <v>4123</v>
      </c>
    </row>
    <row r="11772">
      <c r="A11772" s="1" t="s">
        <v>21262</v>
      </c>
      <c r="B11772" s="2" t="s">
        <v>21125</v>
      </c>
      <c r="C11772" s="1" t="s">
        <v>4121</v>
      </c>
      <c r="D11772" s="1" t="s">
        <v>4123</v>
      </c>
    </row>
    <row r="11773">
      <c r="A11773" s="1" t="s">
        <v>21263</v>
      </c>
      <c r="B11773" s="2" t="s">
        <v>21127</v>
      </c>
      <c r="C11773" s="1" t="s">
        <v>4121</v>
      </c>
      <c r="D11773" s="1" t="s">
        <v>4123</v>
      </c>
    </row>
    <row r="11774">
      <c r="A11774" s="1" t="s">
        <v>4126</v>
      </c>
      <c r="B11774" s="2" t="s">
        <v>7</v>
      </c>
      <c r="C11774" s="1" t="s">
        <v>4129</v>
      </c>
      <c r="D11774" s="1" t="s">
        <v>4131</v>
      </c>
    </row>
    <row r="11775">
      <c r="A11775" s="1" t="s">
        <v>21264</v>
      </c>
      <c r="B11775" s="2" t="s">
        <v>20993</v>
      </c>
      <c r="C11775" s="1" t="s">
        <v>4129</v>
      </c>
      <c r="D11775" s="1" t="s">
        <v>4131</v>
      </c>
    </row>
    <row r="11776">
      <c r="A11776" s="1" t="s">
        <v>21265</v>
      </c>
      <c r="B11776" s="2" t="s">
        <v>20995</v>
      </c>
      <c r="C11776" s="1" t="s">
        <v>4129</v>
      </c>
      <c r="D11776" s="1" t="s">
        <v>4131</v>
      </c>
    </row>
    <row r="11777">
      <c r="A11777" s="1" t="s">
        <v>21266</v>
      </c>
      <c r="B11777" s="2" t="s">
        <v>20997</v>
      </c>
      <c r="C11777" s="1" t="s">
        <v>4129</v>
      </c>
      <c r="D11777" s="1" t="s">
        <v>4131</v>
      </c>
    </row>
    <row r="11778">
      <c r="A11778" s="1" t="s">
        <v>21267</v>
      </c>
      <c r="B11778" s="2" t="s">
        <v>20999</v>
      </c>
      <c r="C11778" s="1" t="s">
        <v>4129</v>
      </c>
      <c r="D11778" s="1" t="s">
        <v>4131</v>
      </c>
    </row>
    <row r="11779">
      <c r="A11779" s="1" t="s">
        <v>21268</v>
      </c>
      <c r="B11779" s="2" t="s">
        <v>21001</v>
      </c>
      <c r="C11779" s="1" t="s">
        <v>4129</v>
      </c>
      <c r="D11779" s="1" t="s">
        <v>4131</v>
      </c>
    </row>
    <row r="11780">
      <c r="A11780" s="1" t="s">
        <v>21269</v>
      </c>
      <c r="B11780" s="2" t="s">
        <v>21003</v>
      </c>
      <c r="C11780" s="1" t="s">
        <v>4129</v>
      </c>
      <c r="D11780" s="1" t="s">
        <v>4131</v>
      </c>
    </row>
    <row r="11781">
      <c r="A11781" s="1" t="s">
        <v>21270</v>
      </c>
      <c r="B11781" s="2" t="s">
        <v>21005</v>
      </c>
      <c r="C11781" s="1" t="s">
        <v>4129</v>
      </c>
      <c r="D11781" s="1" t="s">
        <v>4131</v>
      </c>
    </row>
    <row r="11782">
      <c r="A11782" s="1" t="s">
        <v>21271</v>
      </c>
      <c r="B11782" s="2" t="s">
        <v>21007</v>
      </c>
      <c r="C11782" s="1" t="s">
        <v>4129</v>
      </c>
      <c r="D11782" s="1" t="s">
        <v>4131</v>
      </c>
    </row>
    <row r="11783">
      <c r="A11783" s="1" t="s">
        <v>21272</v>
      </c>
      <c r="B11783" s="2" t="s">
        <v>21009</v>
      </c>
      <c r="C11783" s="1" t="s">
        <v>4129</v>
      </c>
      <c r="D11783" s="1" t="s">
        <v>4131</v>
      </c>
    </row>
    <row r="11784">
      <c r="A11784" s="1" t="s">
        <v>21273</v>
      </c>
      <c r="B11784" s="2" t="s">
        <v>21011</v>
      </c>
      <c r="C11784" s="1" t="s">
        <v>4129</v>
      </c>
      <c r="D11784" s="1" t="s">
        <v>4131</v>
      </c>
    </row>
    <row r="11785">
      <c r="A11785" s="1" t="s">
        <v>21274</v>
      </c>
      <c r="B11785" s="2" t="s">
        <v>21013</v>
      </c>
      <c r="C11785" s="1" t="s">
        <v>4129</v>
      </c>
      <c r="D11785" s="1" t="s">
        <v>4131</v>
      </c>
    </row>
    <row r="11786">
      <c r="A11786" s="1" t="s">
        <v>21275</v>
      </c>
      <c r="B11786" s="2" t="s">
        <v>21015</v>
      </c>
      <c r="C11786" s="1" t="s">
        <v>4129</v>
      </c>
      <c r="D11786" s="1" t="s">
        <v>4131</v>
      </c>
    </row>
    <row r="11787">
      <c r="A11787" s="1" t="s">
        <v>21276</v>
      </c>
      <c r="B11787" s="2" t="s">
        <v>21017</v>
      </c>
      <c r="C11787" s="1" t="s">
        <v>4129</v>
      </c>
      <c r="D11787" s="1" t="s">
        <v>4131</v>
      </c>
    </row>
    <row r="11788">
      <c r="A11788" s="1" t="s">
        <v>21277</v>
      </c>
      <c r="B11788" s="2" t="s">
        <v>21019</v>
      </c>
      <c r="C11788" s="1" t="s">
        <v>4129</v>
      </c>
      <c r="D11788" s="1" t="s">
        <v>4131</v>
      </c>
    </row>
    <row r="11789">
      <c r="A11789" s="1" t="s">
        <v>21278</v>
      </c>
      <c r="B11789" s="2" t="s">
        <v>21021</v>
      </c>
      <c r="C11789" s="1" t="s">
        <v>4129</v>
      </c>
      <c r="D11789" s="1" t="s">
        <v>4131</v>
      </c>
    </row>
    <row r="11790">
      <c r="A11790" s="1" t="s">
        <v>21279</v>
      </c>
      <c r="B11790" s="2" t="s">
        <v>21023</v>
      </c>
      <c r="C11790" s="1" t="s">
        <v>4129</v>
      </c>
      <c r="D11790" s="1" t="s">
        <v>4131</v>
      </c>
    </row>
    <row r="11791">
      <c r="A11791" s="1" t="s">
        <v>21280</v>
      </c>
      <c r="B11791" s="2" t="s">
        <v>21025</v>
      </c>
      <c r="C11791" s="1" t="s">
        <v>4129</v>
      </c>
      <c r="D11791" s="1" t="s">
        <v>4131</v>
      </c>
    </row>
    <row r="11792">
      <c r="A11792" s="1" t="s">
        <v>21281</v>
      </c>
      <c r="B11792" s="2" t="s">
        <v>21027</v>
      </c>
      <c r="C11792" s="1" t="s">
        <v>4129</v>
      </c>
      <c r="D11792" s="1" t="s">
        <v>4131</v>
      </c>
    </row>
    <row r="11793">
      <c r="A11793" s="1" t="s">
        <v>21282</v>
      </c>
      <c r="B11793" s="2" t="s">
        <v>21029</v>
      </c>
      <c r="C11793" s="1" t="s">
        <v>4129</v>
      </c>
      <c r="D11793" s="1" t="s">
        <v>4131</v>
      </c>
    </row>
    <row r="11794">
      <c r="A11794" s="1" t="s">
        <v>21283</v>
      </c>
      <c r="B11794" s="2" t="s">
        <v>21031</v>
      </c>
      <c r="C11794" s="1" t="s">
        <v>4129</v>
      </c>
      <c r="D11794" s="1" t="s">
        <v>4131</v>
      </c>
    </row>
    <row r="11795">
      <c r="A11795" s="1" t="s">
        <v>21284</v>
      </c>
      <c r="B11795" s="2" t="s">
        <v>21033</v>
      </c>
      <c r="C11795" s="1" t="s">
        <v>4129</v>
      </c>
      <c r="D11795" s="1" t="s">
        <v>4131</v>
      </c>
    </row>
    <row r="11796">
      <c r="A11796" s="1" t="s">
        <v>21285</v>
      </c>
      <c r="B11796" s="2" t="s">
        <v>21035</v>
      </c>
      <c r="C11796" s="1" t="s">
        <v>4129</v>
      </c>
      <c r="D11796" s="1" t="s">
        <v>4131</v>
      </c>
    </row>
    <row r="11797">
      <c r="A11797" s="1" t="s">
        <v>21286</v>
      </c>
      <c r="B11797" s="2" t="s">
        <v>21037</v>
      </c>
      <c r="C11797" s="1" t="s">
        <v>4129</v>
      </c>
      <c r="D11797" s="1" t="s">
        <v>4131</v>
      </c>
    </row>
    <row r="11798">
      <c r="A11798" s="1" t="s">
        <v>21287</v>
      </c>
      <c r="B11798" s="2" t="s">
        <v>21039</v>
      </c>
      <c r="C11798" s="1" t="s">
        <v>4129</v>
      </c>
      <c r="D11798" s="1" t="s">
        <v>4131</v>
      </c>
    </row>
    <row r="11799">
      <c r="A11799" s="1" t="s">
        <v>21288</v>
      </c>
      <c r="B11799" s="2" t="s">
        <v>21041</v>
      </c>
      <c r="C11799" s="1" t="s">
        <v>4129</v>
      </c>
      <c r="D11799" s="1" t="s">
        <v>4131</v>
      </c>
    </row>
    <row r="11800">
      <c r="A11800" s="1" t="s">
        <v>21289</v>
      </c>
      <c r="B11800" s="2" t="s">
        <v>21043</v>
      </c>
      <c r="C11800" s="1" t="s">
        <v>4129</v>
      </c>
      <c r="D11800" s="1" t="s">
        <v>4131</v>
      </c>
    </row>
    <row r="11801">
      <c r="A11801" s="1" t="s">
        <v>21290</v>
      </c>
      <c r="B11801" s="2" t="s">
        <v>21045</v>
      </c>
      <c r="C11801" s="1" t="s">
        <v>4129</v>
      </c>
      <c r="D11801" s="1" t="s">
        <v>4131</v>
      </c>
    </row>
    <row r="11802">
      <c r="A11802" s="1" t="s">
        <v>21291</v>
      </c>
      <c r="B11802" s="2" t="s">
        <v>21047</v>
      </c>
      <c r="C11802" s="1" t="s">
        <v>4129</v>
      </c>
      <c r="D11802" s="1" t="s">
        <v>4131</v>
      </c>
    </row>
    <row r="11803">
      <c r="A11803" s="1" t="s">
        <v>21292</v>
      </c>
      <c r="B11803" s="2" t="s">
        <v>21049</v>
      </c>
      <c r="C11803" s="1" t="s">
        <v>4129</v>
      </c>
      <c r="D11803" s="1" t="s">
        <v>4131</v>
      </c>
    </row>
    <row r="11804">
      <c r="A11804" s="1" t="s">
        <v>21293</v>
      </c>
      <c r="B11804" s="2" t="s">
        <v>21051</v>
      </c>
      <c r="C11804" s="1" t="s">
        <v>4129</v>
      </c>
      <c r="D11804" s="1" t="s">
        <v>4131</v>
      </c>
    </row>
    <row r="11805">
      <c r="A11805" s="1" t="s">
        <v>21294</v>
      </c>
      <c r="B11805" s="2" t="s">
        <v>21053</v>
      </c>
      <c r="C11805" s="1" t="s">
        <v>4129</v>
      </c>
      <c r="D11805" s="1" t="s">
        <v>4131</v>
      </c>
    </row>
    <row r="11806">
      <c r="A11806" s="1" t="s">
        <v>21295</v>
      </c>
      <c r="B11806" s="2" t="s">
        <v>21055</v>
      </c>
      <c r="C11806" s="1" t="s">
        <v>4129</v>
      </c>
      <c r="D11806" s="1" t="s">
        <v>4131</v>
      </c>
    </row>
    <row r="11807">
      <c r="A11807" s="1" t="s">
        <v>21296</v>
      </c>
      <c r="B11807" s="2" t="s">
        <v>21057</v>
      </c>
      <c r="C11807" s="1" t="s">
        <v>4129</v>
      </c>
      <c r="D11807" s="1" t="s">
        <v>4131</v>
      </c>
    </row>
    <row r="11808">
      <c r="A11808" s="1" t="s">
        <v>21297</v>
      </c>
      <c r="B11808" s="2" t="s">
        <v>21059</v>
      </c>
      <c r="C11808" s="1" t="s">
        <v>4129</v>
      </c>
      <c r="D11808" s="1" t="s">
        <v>4131</v>
      </c>
    </row>
    <row r="11809">
      <c r="A11809" s="1" t="s">
        <v>21298</v>
      </c>
      <c r="B11809" s="2" t="s">
        <v>21061</v>
      </c>
      <c r="C11809" s="1" t="s">
        <v>4129</v>
      </c>
      <c r="D11809" s="1" t="s">
        <v>4131</v>
      </c>
    </row>
    <row r="11810">
      <c r="A11810" s="1" t="s">
        <v>21299</v>
      </c>
      <c r="B11810" s="2" t="s">
        <v>21063</v>
      </c>
      <c r="C11810" s="1" t="s">
        <v>4129</v>
      </c>
      <c r="D11810" s="1" t="s">
        <v>4131</v>
      </c>
    </row>
    <row r="11811">
      <c r="A11811" s="1" t="s">
        <v>21300</v>
      </c>
      <c r="B11811" s="2" t="s">
        <v>21065</v>
      </c>
      <c r="C11811" s="1" t="s">
        <v>4129</v>
      </c>
      <c r="D11811" s="1" t="s">
        <v>4131</v>
      </c>
    </row>
    <row r="11812">
      <c r="A11812" s="1" t="s">
        <v>21301</v>
      </c>
      <c r="B11812" s="2" t="s">
        <v>21067</v>
      </c>
      <c r="C11812" s="1" t="s">
        <v>4129</v>
      </c>
      <c r="D11812" s="1" t="s">
        <v>4131</v>
      </c>
    </row>
    <row r="11813">
      <c r="A11813" s="1" t="s">
        <v>21302</v>
      </c>
      <c r="B11813" s="2" t="s">
        <v>21069</v>
      </c>
      <c r="C11813" s="1" t="s">
        <v>4129</v>
      </c>
      <c r="D11813" s="1" t="s">
        <v>4131</v>
      </c>
    </row>
    <row r="11814">
      <c r="A11814" s="1" t="s">
        <v>21303</v>
      </c>
      <c r="B11814" s="2" t="s">
        <v>21071</v>
      </c>
      <c r="C11814" s="1" t="s">
        <v>4129</v>
      </c>
      <c r="D11814" s="1" t="s">
        <v>4131</v>
      </c>
    </row>
    <row r="11815">
      <c r="A11815" s="1" t="s">
        <v>21304</v>
      </c>
      <c r="B11815" s="2" t="s">
        <v>21073</v>
      </c>
      <c r="C11815" s="1" t="s">
        <v>4129</v>
      </c>
      <c r="D11815" s="1" t="s">
        <v>4131</v>
      </c>
    </row>
    <row r="11816">
      <c r="A11816" s="1" t="s">
        <v>21305</v>
      </c>
      <c r="B11816" s="2" t="s">
        <v>21075</v>
      </c>
      <c r="C11816" s="1" t="s">
        <v>4129</v>
      </c>
      <c r="D11816" s="1" t="s">
        <v>4131</v>
      </c>
    </row>
    <row r="11817">
      <c r="A11817" s="1" t="s">
        <v>21306</v>
      </c>
      <c r="B11817" s="2" t="s">
        <v>21077</v>
      </c>
      <c r="C11817" s="1" t="s">
        <v>4129</v>
      </c>
      <c r="D11817" s="1" t="s">
        <v>4131</v>
      </c>
    </row>
    <row r="11818">
      <c r="A11818" s="1" t="s">
        <v>21307</v>
      </c>
      <c r="B11818" s="2" t="s">
        <v>21079</v>
      </c>
      <c r="C11818" s="1" t="s">
        <v>4129</v>
      </c>
      <c r="D11818" s="1" t="s">
        <v>4131</v>
      </c>
    </row>
    <row r="11819">
      <c r="A11819" s="1" t="s">
        <v>21308</v>
      </c>
      <c r="B11819" s="2" t="s">
        <v>21081</v>
      </c>
      <c r="C11819" s="1" t="s">
        <v>4129</v>
      </c>
      <c r="D11819" s="1" t="s">
        <v>4131</v>
      </c>
    </row>
    <row r="11820">
      <c r="A11820" s="1" t="s">
        <v>21309</v>
      </c>
      <c r="B11820" s="2" t="s">
        <v>21083</v>
      </c>
      <c r="C11820" s="1" t="s">
        <v>4129</v>
      </c>
      <c r="D11820" s="1" t="s">
        <v>4131</v>
      </c>
    </row>
    <row r="11821">
      <c r="A11821" s="1" t="s">
        <v>21310</v>
      </c>
      <c r="B11821" s="2" t="s">
        <v>21085</v>
      </c>
      <c r="C11821" s="1" t="s">
        <v>4129</v>
      </c>
      <c r="D11821" s="1" t="s">
        <v>4131</v>
      </c>
    </row>
    <row r="11822">
      <c r="A11822" s="1" t="s">
        <v>21311</v>
      </c>
      <c r="B11822" s="2" t="s">
        <v>21087</v>
      </c>
      <c r="C11822" s="1" t="s">
        <v>4129</v>
      </c>
      <c r="D11822" s="1" t="s">
        <v>4131</v>
      </c>
    </row>
    <row r="11823">
      <c r="A11823" s="1" t="s">
        <v>21312</v>
      </c>
      <c r="B11823" s="2" t="s">
        <v>21089</v>
      </c>
      <c r="C11823" s="1" t="s">
        <v>4129</v>
      </c>
      <c r="D11823" s="1" t="s">
        <v>4131</v>
      </c>
    </row>
    <row r="11824">
      <c r="A11824" s="1" t="s">
        <v>21313</v>
      </c>
      <c r="B11824" s="2" t="s">
        <v>21091</v>
      </c>
      <c r="C11824" s="1" t="s">
        <v>4129</v>
      </c>
      <c r="D11824" s="1" t="s">
        <v>4131</v>
      </c>
    </row>
    <row r="11825">
      <c r="A11825" s="1" t="s">
        <v>21314</v>
      </c>
      <c r="B11825" s="2" t="s">
        <v>21093</v>
      </c>
      <c r="C11825" s="1" t="s">
        <v>4129</v>
      </c>
      <c r="D11825" s="1" t="s">
        <v>4131</v>
      </c>
    </row>
    <row r="11826">
      <c r="A11826" s="1" t="s">
        <v>21315</v>
      </c>
      <c r="B11826" s="2" t="s">
        <v>21095</v>
      </c>
      <c r="C11826" s="1" t="s">
        <v>4129</v>
      </c>
      <c r="D11826" s="1" t="s">
        <v>4131</v>
      </c>
    </row>
    <row r="11827">
      <c r="A11827" s="1" t="s">
        <v>21316</v>
      </c>
      <c r="B11827" s="2" t="s">
        <v>21097</v>
      </c>
      <c r="C11827" s="1" t="s">
        <v>4129</v>
      </c>
      <c r="D11827" s="1" t="s">
        <v>4131</v>
      </c>
    </row>
    <row r="11828">
      <c r="A11828" s="1" t="s">
        <v>21317</v>
      </c>
      <c r="B11828" s="2" t="s">
        <v>21099</v>
      </c>
      <c r="C11828" s="1" t="s">
        <v>4129</v>
      </c>
      <c r="D11828" s="1" t="s">
        <v>4131</v>
      </c>
    </row>
    <row r="11829">
      <c r="A11829" s="1" t="s">
        <v>21318</v>
      </c>
      <c r="B11829" s="2" t="s">
        <v>21101</v>
      </c>
      <c r="C11829" s="1" t="s">
        <v>4129</v>
      </c>
      <c r="D11829" s="1" t="s">
        <v>4131</v>
      </c>
    </row>
    <row r="11830">
      <c r="A11830" s="1" t="s">
        <v>21319</v>
      </c>
      <c r="B11830" s="2" t="s">
        <v>21103</v>
      </c>
      <c r="C11830" s="1" t="s">
        <v>4129</v>
      </c>
      <c r="D11830" s="1" t="s">
        <v>4131</v>
      </c>
    </row>
    <row r="11831">
      <c r="A11831" s="1" t="s">
        <v>21320</v>
      </c>
      <c r="B11831" s="2" t="s">
        <v>21105</v>
      </c>
      <c r="C11831" s="1" t="s">
        <v>4129</v>
      </c>
      <c r="D11831" s="1" t="s">
        <v>4131</v>
      </c>
    </row>
    <row r="11832">
      <c r="A11832" s="1" t="s">
        <v>21321</v>
      </c>
      <c r="B11832" s="2" t="s">
        <v>21107</v>
      </c>
      <c r="C11832" s="1" t="s">
        <v>4129</v>
      </c>
      <c r="D11832" s="1" t="s">
        <v>4131</v>
      </c>
    </row>
    <row r="11833">
      <c r="A11833" s="1" t="s">
        <v>21322</v>
      </c>
      <c r="B11833" s="2" t="s">
        <v>21109</v>
      </c>
      <c r="C11833" s="1" t="s">
        <v>4129</v>
      </c>
      <c r="D11833" s="1" t="s">
        <v>4131</v>
      </c>
    </row>
    <row r="11834">
      <c r="A11834" s="1" t="s">
        <v>21323</v>
      </c>
      <c r="B11834" s="2" t="s">
        <v>21111</v>
      </c>
      <c r="C11834" s="1" t="s">
        <v>4129</v>
      </c>
      <c r="D11834" s="1" t="s">
        <v>4131</v>
      </c>
    </row>
    <row r="11835">
      <c r="A11835" s="1" t="s">
        <v>21324</v>
      </c>
      <c r="B11835" s="2" t="s">
        <v>21113</v>
      </c>
      <c r="C11835" s="1" t="s">
        <v>4129</v>
      </c>
      <c r="D11835" s="1" t="s">
        <v>4131</v>
      </c>
    </row>
    <row r="11836">
      <c r="A11836" s="1" t="s">
        <v>21325</v>
      </c>
      <c r="B11836" s="2" t="s">
        <v>21115</v>
      </c>
      <c r="C11836" s="1" t="s">
        <v>4129</v>
      </c>
      <c r="D11836" s="1" t="s">
        <v>4131</v>
      </c>
    </row>
    <row r="11837">
      <c r="A11837" s="1" t="s">
        <v>21326</v>
      </c>
      <c r="B11837" s="2" t="s">
        <v>21117</v>
      </c>
      <c r="C11837" s="1" t="s">
        <v>4129</v>
      </c>
      <c r="D11837" s="1" t="s">
        <v>4131</v>
      </c>
    </row>
    <row r="11838">
      <c r="A11838" s="1" t="s">
        <v>21327</v>
      </c>
      <c r="B11838" s="2" t="s">
        <v>21119</v>
      </c>
      <c r="C11838" s="1" t="s">
        <v>4129</v>
      </c>
      <c r="D11838" s="1" t="s">
        <v>4131</v>
      </c>
    </row>
    <row r="11839">
      <c r="A11839" s="1" t="s">
        <v>21328</v>
      </c>
      <c r="B11839" s="2" t="s">
        <v>21121</v>
      </c>
      <c r="C11839" s="1" t="s">
        <v>4129</v>
      </c>
      <c r="D11839" s="1" t="s">
        <v>4131</v>
      </c>
    </row>
    <row r="11840">
      <c r="A11840" s="1" t="s">
        <v>21329</v>
      </c>
      <c r="B11840" s="2" t="s">
        <v>21123</v>
      </c>
      <c r="C11840" s="1" t="s">
        <v>4129</v>
      </c>
      <c r="D11840" s="1" t="s">
        <v>4131</v>
      </c>
    </row>
    <row r="11841">
      <c r="A11841" s="1" t="s">
        <v>21330</v>
      </c>
      <c r="B11841" s="2" t="s">
        <v>21125</v>
      </c>
      <c r="C11841" s="1" t="s">
        <v>4129</v>
      </c>
      <c r="D11841" s="1" t="s">
        <v>4131</v>
      </c>
    </row>
    <row r="11842">
      <c r="A11842" s="1" t="s">
        <v>21331</v>
      </c>
      <c r="B11842" s="2" t="s">
        <v>21127</v>
      </c>
      <c r="C11842" s="1" t="s">
        <v>4129</v>
      </c>
      <c r="D11842" s="1" t="s">
        <v>4131</v>
      </c>
    </row>
    <row r="11843">
      <c r="A11843" s="1" t="s">
        <v>4135</v>
      </c>
      <c r="B11843" s="2" t="s">
        <v>7</v>
      </c>
      <c r="C11843" s="1" t="s">
        <v>4137</v>
      </c>
      <c r="D11843" s="1" t="s">
        <v>4139</v>
      </c>
    </row>
    <row r="11844">
      <c r="A11844" s="1" t="s">
        <v>21332</v>
      </c>
      <c r="B11844" s="2" t="s">
        <v>20993</v>
      </c>
      <c r="C11844" s="1" t="s">
        <v>4137</v>
      </c>
      <c r="D11844" s="1" t="s">
        <v>4139</v>
      </c>
    </row>
    <row r="11845">
      <c r="A11845" s="1" t="s">
        <v>21333</v>
      </c>
      <c r="B11845" s="2" t="s">
        <v>20995</v>
      </c>
      <c r="C11845" s="1" t="s">
        <v>4137</v>
      </c>
      <c r="D11845" s="1" t="s">
        <v>4139</v>
      </c>
    </row>
    <row r="11846">
      <c r="A11846" s="1" t="s">
        <v>21334</v>
      </c>
      <c r="B11846" s="2" t="s">
        <v>20997</v>
      </c>
      <c r="C11846" s="1" t="s">
        <v>4137</v>
      </c>
      <c r="D11846" s="1" t="s">
        <v>4139</v>
      </c>
    </row>
    <row r="11847">
      <c r="A11847" s="1" t="s">
        <v>21335</v>
      </c>
      <c r="B11847" s="2" t="s">
        <v>20999</v>
      </c>
      <c r="C11847" s="1" t="s">
        <v>4137</v>
      </c>
      <c r="D11847" s="1" t="s">
        <v>4139</v>
      </c>
    </row>
    <row r="11848">
      <c r="A11848" s="1" t="s">
        <v>21336</v>
      </c>
      <c r="B11848" s="2" t="s">
        <v>21001</v>
      </c>
      <c r="C11848" s="1" t="s">
        <v>4137</v>
      </c>
      <c r="D11848" s="1" t="s">
        <v>4139</v>
      </c>
    </row>
    <row r="11849">
      <c r="A11849" s="1" t="s">
        <v>21337</v>
      </c>
      <c r="B11849" s="2" t="s">
        <v>21003</v>
      </c>
      <c r="C11849" s="1" t="s">
        <v>4137</v>
      </c>
      <c r="D11849" s="1" t="s">
        <v>4139</v>
      </c>
    </row>
    <row r="11850">
      <c r="A11850" s="1" t="s">
        <v>21338</v>
      </c>
      <c r="B11850" s="2" t="s">
        <v>21005</v>
      </c>
      <c r="C11850" s="1" t="s">
        <v>4137</v>
      </c>
      <c r="D11850" s="1" t="s">
        <v>4139</v>
      </c>
    </row>
    <row r="11851">
      <c r="A11851" s="1" t="s">
        <v>21339</v>
      </c>
      <c r="B11851" s="2" t="s">
        <v>21007</v>
      </c>
      <c r="C11851" s="1" t="s">
        <v>4137</v>
      </c>
      <c r="D11851" s="1" t="s">
        <v>4139</v>
      </c>
    </row>
    <row r="11852">
      <c r="A11852" s="1" t="s">
        <v>21340</v>
      </c>
      <c r="B11852" s="2" t="s">
        <v>21009</v>
      </c>
      <c r="C11852" s="1" t="s">
        <v>4137</v>
      </c>
      <c r="D11852" s="1" t="s">
        <v>4139</v>
      </c>
    </row>
    <row r="11853">
      <c r="A11853" s="1" t="s">
        <v>21341</v>
      </c>
      <c r="B11853" s="2" t="s">
        <v>21011</v>
      </c>
      <c r="C11853" s="1" t="s">
        <v>4137</v>
      </c>
      <c r="D11853" s="1" t="s">
        <v>4139</v>
      </c>
    </row>
    <row r="11854">
      <c r="A11854" s="1" t="s">
        <v>21342</v>
      </c>
      <c r="B11854" s="2" t="s">
        <v>21013</v>
      </c>
      <c r="C11854" s="1" t="s">
        <v>4137</v>
      </c>
      <c r="D11854" s="1" t="s">
        <v>4139</v>
      </c>
    </row>
    <row r="11855">
      <c r="A11855" s="1" t="s">
        <v>21343</v>
      </c>
      <c r="B11855" s="2" t="s">
        <v>21015</v>
      </c>
      <c r="C11855" s="1" t="s">
        <v>4137</v>
      </c>
      <c r="D11855" s="1" t="s">
        <v>4139</v>
      </c>
    </row>
    <row r="11856">
      <c r="A11856" s="1" t="s">
        <v>21344</v>
      </c>
      <c r="B11856" s="2" t="s">
        <v>21017</v>
      </c>
      <c r="C11856" s="1" t="s">
        <v>4137</v>
      </c>
      <c r="D11856" s="1" t="s">
        <v>4139</v>
      </c>
    </row>
    <row r="11857">
      <c r="A11857" s="1" t="s">
        <v>21345</v>
      </c>
      <c r="B11857" s="2" t="s">
        <v>21019</v>
      </c>
      <c r="C11857" s="1" t="s">
        <v>4137</v>
      </c>
      <c r="D11857" s="1" t="s">
        <v>4139</v>
      </c>
    </row>
    <row r="11858">
      <c r="A11858" s="1" t="s">
        <v>21346</v>
      </c>
      <c r="B11858" s="2" t="s">
        <v>21021</v>
      </c>
      <c r="C11858" s="1" t="s">
        <v>4137</v>
      </c>
      <c r="D11858" s="1" t="s">
        <v>4139</v>
      </c>
    </row>
    <row r="11859">
      <c r="A11859" s="1" t="s">
        <v>21347</v>
      </c>
      <c r="B11859" s="2" t="s">
        <v>21023</v>
      </c>
      <c r="C11859" s="1" t="s">
        <v>4137</v>
      </c>
      <c r="D11859" s="1" t="s">
        <v>4139</v>
      </c>
    </row>
    <row r="11860">
      <c r="A11860" s="1" t="s">
        <v>21348</v>
      </c>
      <c r="B11860" s="2" t="s">
        <v>21025</v>
      </c>
      <c r="C11860" s="1" t="s">
        <v>4137</v>
      </c>
      <c r="D11860" s="1" t="s">
        <v>4139</v>
      </c>
    </row>
    <row r="11861">
      <c r="A11861" s="1" t="s">
        <v>21349</v>
      </c>
      <c r="B11861" s="2" t="s">
        <v>21027</v>
      </c>
      <c r="C11861" s="1" t="s">
        <v>4137</v>
      </c>
      <c r="D11861" s="1" t="s">
        <v>4139</v>
      </c>
    </row>
    <row r="11862">
      <c r="A11862" s="1" t="s">
        <v>21350</v>
      </c>
      <c r="B11862" s="2" t="s">
        <v>21029</v>
      </c>
      <c r="C11862" s="1" t="s">
        <v>4137</v>
      </c>
      <c r="D11862" s="1" t="s">
        <v>4139</v>
      </c>
    </row>
    <row r="11863">
      <c r="A11863" s="1" t="s">
        <v>21351</v>
      </c>
      <c r="B11863" s="2" t="s">
        <v>21031</v>
      </c>
      <c r="C11863" s="1" t="s">
        <v>4137</v>
      </c>
      <c r="D11863" s="1" t="s">
        <v>4139</v>
      </c>
    </row>
    <row r="11864">
      <c r="A11864" s="1" t="s">
        <v>21352</v>
      </c>
      <c r="B11864" s="2" t="s">
        <v>21033</v>
      </c>
      <c r="C11864" s="1" t="s">
        <v>4137</v>
      </c>
      <c r="D11864" s="1" t="s">
        <v>4139</v>
      </c>
    </row>
    <row r="11865">
      <c r="A11865" s="1" t="s">
        <v>21353</v>
      </c>
      <c r="B11865" s="2" t="s">
        <v>21035</v>
      </c>
      <c r="C11865" s="1" t="s">
        <v>4137</v>
      </c>
      <c r="D11865" s="1" t="s">
        <v>4139</v>
      </c>
    </row>
    <row r="11866">
      <c r="A11866" s="1" t="s">
        <v>21354</v>
      </c>
      <c r="B11866" s="2" t="s">
        <v>21037</v>
      </c>
      <c r="C11866" s="1" t="s">
        <v>4137</v>
      </c>
      <c r="D11866" s="1" t="s">
        <v>4139</v>
      </c>
    </row>
    <row r="11867">
      <c r="A11867" s="1" t="s">
        <v>21355</v>
      </c>
      <c r="B11867" s="2" t="s">
        <v>21039</v>
      </c>
      <c r="C11867" s="1" t="s">
        <v>4137</v>
      </c>
      <c r="D11867" s="1" t="s">
        <v>4139</v>
      </c>
    </row>
    <row r="11868">
      <c r="A11868" s="1" t="s">
        <v>21356</v>
      </c>
      <c r="B11868" s="2" t="s">
        <v>21041</v>
      </c>
      <c r="C11868" s="1" t="s">
        <v>4137</v>
      </c>
      <c r="D11868" s="1" t="s">
        <v>4139</v>
      </c>
    </row>
    <row r="11869">
      <c r="A11869" s="1" t="s">
        <v>21357</v>
      </c>
      <c r="B11869" s="2" t="s">
        <v>21043</v>
      </c>
      <c r="C11869" s="1" t="s">
        <v>4137</v>
      </c>
      <c r="D11869" s="1" t="s">
        <v>4139</v>
      </c>
    </row>
    <row r="11870">
      <c r="A11870" s="1" t="s">
        <v>21358</v>
      </c>
      <c r="B11870" s="2" t="s">
        <v>21045</v>
      </c>
      <c r="C11870" s="1" t="s">
        <v>4137</v>
      </c>
      <c r="D11870" s="1" t="s">
        <v>4139</v>
      </c>
    </row>
    <row r="11871">
      <c r="A11871" s="1" t="s">
        <v>21359</v>
      </c>
      <c r="B11871" s="2" t="s">
        <v>21047</v>
      </c>
      <c r="C11871" s="1" t="s">
        <v>4137</v>
      </c>
      <c r="D11871" s="1" t="s">
        <v>4139</v>
      </c>
    </row>
    <row r="11872">
      <c r="A11872" s="1" t="s">
        <v>21360</v>
      </c>
      <c r="B11872" s="2" t="s">
        <v>21049</v>
      </c>
      <c r="C11872" s="1" t="s">
        <v>4137</v>
      </c>
      <c r="D11872" s="1" t="s">
        <v>4139</v>
      </c>
    </row>
    <row r="11873">
      <c r="A11873" s="1" t="s">
        <v>21361</v>
      </c>
      <c r="B11873" s="2" t="s">
        <v>21051</v>
      </c>
      <c r="C11873" s="1" t="s">
        <v>4137</v>
      </c>
      <c r="D11873" s="1" t="s">
        <v>4139</v>
      </c>
    </row>
    <row r="11874">
      <c r="A11874" s="1" t="s">
        <v>21362</v>
      </c>
      <c r="B11874" s="2" t="s">
        <v>21053</v>
      </c>
      <c r="C11874" s="1" t="s">
        <v>4137</v>
      </c>
      <c r="D11874" s="1" t="s">
        <v>4139</v>
      </c>
    </row>
    <row r="11875">
      <c r="A11875" s="1" t="s">
        <v>21363</v>
      </c>
      <c r="B11875" s="2" t="s">
        <v>21055</v>
      </c>
      <c r="C11875" s="1" t="s">
        <v>4137</v>
      </c>
      <c r="D11875" s="1" t="s">
        <v>4139</v>
      </c>
    </row>
    <row r="11876">
      <c r="A11876" s="1" t="s">
        <v>21364</v>
      </c>
      <c r="B11876" s="2" t="s">
        <v>21057</v>
      </c>
      <c r="C11876" s="1" t="s">
        <v>4137</v>
      </c>
      <c r="D11876" s="1" t="s">
        <v>4139</v>
      </c>
    </row>
    <row r="11877">
      <c r="A11877" s="1" t="s">
        <v>21365</v>
      </c>
      <c r="B11877" s="2" t="s">
        <v>21059</v>
      </c>
      <c r="C11877" s="1" t="s">
        <v>4137</v>
      </c>
      <c r="D11877" s="1" t="s">
        <v>4139</v>
      </c>
    </row>
    <row r="11878">
      <c r="A11878" s="1" t="s">
        <v>21366</v>
      </c>
      <c r="B11878" s="2" t="s">
        <v>21061</v>
      </c>
      <c r="C11878" s="1" t="s">
        <v>4137</v>
      </c>
      <c r="D11878" s="1" t="s">
        <v>4139</v>
      </c>
    </row>
    <row r="11879">
      <c r="A11879" s="1" t="s">
        <v>21367</v>
      </c>
      <c r="B11879" s="2" t="s">
        <v>21063</v>
      </c>
      <c r="C11879" s="1" t="s">
        <v>4137</v>
      </c>
      <c r="D11879" s="1" t="s">
        <v>4139</v>
      </c>
    </row>
    <row r="11880">
      <c r="A11880" s="1" t="s">
        <v>21368</v>
      </c>
      <c r="B11880" s="2" t="s">
        <v>21065</v>
      </c>
      <c r="C11880" s="1" t="s">
        <v>4137</v>
      </c>
      <c r="D11880" s="1" t="s">
        <v>4139</v>
      </c>
    </row>
    <row r="11881">
      <c r="A11881" s="1" t="s">
        <v>21369</v>
      </c>
      <c r="B11881" s="2" t="s">
        <v>21067</v>
      </c>
      <c r="C11881" s="1" t="s">
        <v>4137</v>
      </c>
      <c r="D11881" s="1" t="s">
        <v>4139</v>
      </c>
    </row>
    <row r="11882">
      <c r="A11882" s="1" t="s">
        <v>21370</v>
      </c>
      <c r="B11882" s="2" t="s">
        <v>21069</v>
      </c>
      <c r="C11882" s="1" t="s">
        <v>4137</v>
      </c>
      <c r="D11882" s="1" t="s">
        <v>4139</v>
      </c>
    </row>
    <row r="11883">
      <c r="A11883" s="1" t="s">
        <v>21371</v>
      </c>
      <c r="B11883" s="2" t="s">
        <v>21071</v>
      </c>
      <c r="C11883" s="1" t="s">
        <v>4137</v>
      </c>
      <c r="D11883" s="1" t="s">
        <v>4139</v>
      </c>
    </row>
    <row r="11884">
      <c r="A11884" s="1" t="s">
        <v>21372</v>
      </c>
      <c r="B11884" s="2" t="s">
        <v>21073</v>
      </c>
      <c r="C11884" s="1" t="s">
        <v>4137</v>
      </c>
      <c r="D11884" s="1" t="s">
        <v>4139</v>
      </c>
    </row>
    <row r="11885">
      <c r="A11885" s="1" t="s">
        <v>21373</v>
      </c>
      <c r="B11885" s="2" t="s">
        <v>21075</v>
      </c>
      <c r="C11885" s="1" t="s">
        <v>4137</v>
      </c>
      <c r="D11885" s="1" t="s">
        <v>4139</v>
      </c>
    </row>
    <row r="11886">
      <c r="A11886" s="1" t="s">
        <v>21374</v>
      </c>
      <c r="B11886" s="2" t="s">
        <v>21077</v>
      </c>
      <c r="C11886" s="1" t="s">
        <v>4137</v>
      </c>
      <c r="D11886" s="1" t="s">
        <v>4139</v>
      </c>
    </row>
    <row r="11887">
      <c r="A11887" s="1" t="s">
        <v>21375</v>
      </c>
      <c r="B11887" s="2" t="s">
        <v>21079</v>
      </c>
      <c r="C11887" s="1" t="s">
        <v>4137</v>
      </c>
      <c r="D11887" s="1" t="s">
        <v>4139</v>
      </c>
    </row>
    <row r="11888">
      <c r="A11888" s="1" t="s">
        <v>21376</v>
      </c>
      <c r="B11888" s="2" t="s">
        <v>21081</v>
      </c>
      <c r="C11888" s="1" t="s">
        <v>4137</v>
      </c>
      <c r="D11888" s="1" t="s">
        <v>4139</v>
      </c>
    </row>
    <row r="11889">
      <c r="A11889" s="1" t="s">
        <v>21377</v>
      </c>
      <c r="B11889" s="2" t="s">
        <v>21083</v>
      </c>
      <c r="C11889" s="1" t="s">
        <v>4137</v>
      </c>
      <c r="D11889" s="1" t="s">
        <v>4139</v>
      </c>
    </row>
    <row r="11890">
      <c r="A11890" s="1" t="s">
        <v>21378</v>
      </c>
      <c r="B11890" s="2" t="s">
        <v>21085</v>
      </c>
      <c r="C11890" s="1" t="s">
        <v>4137</v>
      </c>
      <c r="D11890" s="1" t="s">
        <v>4139</v>
      </c>
    </row>
    <row r="11891">
      <c r="A11891" s="1" t="s">
        <v>21379</v>
      </c>
      <c r="B11891" s="2" t="s">
        <v>21087</v>
      </c>
      <c r="C11891" s="1" t="s">
        <v>4137</v>
      </c>
      <c r="D11891" s="1" t="s">
        <v>4139</v>
      </c>
    </row>
    <row r="11892">
      <c r="A11892" s="1" t="s">
        <v>21380</v>
      </c>
      <c r="B11892" s="2" t="s">
        <v>21089</v>
      </c>
      <c r="C11892" s="1" t="s">
        <v>4137</v>
      </c>
      <c r="D11892" s="1" t="s">
        <v>4139</v>
      </c>
    </row>
    <row r="11893">
      <c r="A11893" s="1" t="s">
        <v>21381</v>
      </c>
      <c r="B11893" s="2" t="s">
        <v>21091</v>
      </c>
      <c r="C11893" s="1" t="s">
        <v>4137</v>
      </c>
      <c r="D11893" s="1" t="s">
        <v>4139</v>
      </c>
    </row>
    <row r="11894">
      <c r="A11894" s="1" t="s">
        <v>21382</v>
      </c>
      <c r="B11894" s="2" t="s">
        <v>21093</v>
      </c>
      <c r="C11894" s="1" t="s">
        <v>4137</v>
      </c>
      <c r="D11894" s="1" t="s">
        <v>4139</v>
      </c>
    </row>
    <row r="11895">
      <c r="A11895" s="1" t="s">
        <v>21383</v>
      </c>
      <c r="B11895" s="2" t="s">
        <v>21095</v>
      </c>
      <c r="C11895" s="1" t="s">
        <v>4137</v>
      </c>
      <c r="D11895" s="1" t="s">
        <v>4139</v>
      </c>
    </row>
    <row r="11896">
      <c r="A11896" s="1" t="s">
        <v>21384</v>
      </c>
      <c r="B11896" s="2" t="s">
        <v>21097</v>
      </c>
      <c r="C11896" s="1" t="s">
        <v>4137</v>
      </c>
      <c r="D11896" s="1" t="s">
        <v>4139</v>
      </c>
    </row>
    <row r="11897">
      <c r="A11897" s="1" t="s">
        <v>21385</v>
      </c>
      <c r="B11897" s="2" t="s">
        <v>21099</v>
      </c>
      <c r="C11897" s="1" t="s">
        <v>4137</v>
      </c>
      <c r="D11897" s="1" t="s">
        <v>4139</v>
      </c>
    </row>
    <row r="11898">
      <c r="A11898" s="1" t="s">
        <v>21386</v>
      </c>
      <c r="B11898" s="2" t="s">
        <v>21101</v>
      </c>
      <c r="C11898" s="1" t="s">
        <v>4137</v>
      </c>
      <c r="D11898" s="1" t="s">
        <v>4139</v>
      </c>
    </row>
    <row r="11899">
      <c r="A11899" s="1" t="s">
        <v>21387</v>
      </c>
      <c r="B11899" s="2" t="s">
        <v>21103</v>
      </c>
      <c r="C11899" s="1" t="s">
        <v>4137</v>
      </c>
      <c r="D11899" s="1" t="s">
        <v>4139</v>
      </c>
    </row>
    <row r="11900">
      <c r="A11900" s="1" t="s">
        <v>21388</v>
      </c>
      <c r="B11900" s="2" t="s">
        <v>21105</v>
      </c>
      <c r="C11900" s="1" t="s">
        <v>4137</v>
      </c>
      <c r="D11900" s="1" t="s">
        <v>4139</v>
      </c>
    </row>
    <row r="11901">
      <c r="A11901" s="1" t="s">
        <v>21389</v>
      </c>
      <c r="B11901" s="2" t="s">
        <v>21107</v>
      </c>
      <c r="C11901" s="1" t="s">
        <v>4137</v>
      </c>
      <c r="D11901" s="1" t="s">
        <v>4139</v>
      </c>
    </row>
    <row r="11902">
      <c r="A11902" s="1" t="s">
        <v>21390</v>
      </c>
      <c r="B11902" s="2" t="s">
        <v>21109</v>
      </c>
      <c r="C11902" s="1" t="s">
        <v>4137</v>
      </c>
      <c r="D11902" s="1" t="s">
        <v>4139</v>
      </c>
    </row>
    <row r="11903">
      <c r="A11903" s="1" t="s">
        <v>21391</v>
      </c>
      <c r="B11903" s="2" t="s">
        <v>21111</v>
      </c>
      <c r="C11903" s="1" t="s">
        <v>4137</v>
      </c>
      <c r="D11903" s="1" t="s">
        <v>4139</v>
      </c>
    </row>
    <row r="11904">
      <c r="A11904" s="1" t="s">
        <v>21392</v>
      </c>
      <c r="B11904" s="2" t="s">
        <v>21113</v>
      </c>
      <c r="C11904" s="1" t="s">
        <v>4137</v>
      </c>
      <c r="D11904" s="1" t="s">
        <v>4139</v>
      </c>
    </row>
    <row r="11905">
      <c r="A11905" s="1" t="s">
        <v>21393</v>
      </c>
      <c r="B11905" s="2" t="s">
        <v>21115</v>
      </c>
      <c r="C11905" s="1" t="s">
        <v>4137</v>
      </c>
      <c r="D11905" s="1" t="s">
        <v>4139</v>
      </c>
    </row>
    <row r="11906">
      <c r="A11906" s="1" t="s">
        <v>21394</v>
      </c>
      <c r="B11906" s="2" t="s">
        <v>21117</v>
      </c>
      <c r="C11906" s="1" t="s">
        <v>4137</v>
      </c>
      <c r="D11906" s="1" t="s">
        <v>4139</v>
      </c>
    </row>
    <row r="11907">
      <c r="A11907" s="1" t="s">
        <v>21395</v>
      </c>
      <c r="B11907" s="2" t="s">
        <v>21119</v>
      </c>
      <c r="C11907" s="1" t="s">
        <v>4137</v>
      </c>
      <c r="D11907" s="1" t="s">
        <v>4139</v>
      </c>
    </row>
    <row r="11908">
      <c r="A11908" s="1" t="s">
        <v>21396</v>
      </c>
      <c r="B11908" s="2" t="s">
        <v>21121</v>
      </c>
      <c r="C11908" s="1" t="s">
        <v>4137</v>
      </c>
      <c r="D11908" s="1" t="s">
        <v>4139</v>
      </c>
    </row>
    <row r="11909">
      <c r="A11909" s="1" t="s">
        <v>21397</v>
      </c>
      <c r="B11909" s="2" t="s">
        <v>21123</v>
      </c>
      <c r="C11909" s="1" t="s">
        <v>4137</v>
      </c>
      <c r="D11909" s="1" t="s">
        <v>4139</v>
      </c>
    </row>
    <row r="11910">
      <c r="A11910" s="1" t="s">
        <v>21398</v>
      </c>
      <c r="B11910" s="2" t="s">
        <v>21125</v>
      </c>
      <c r="C11910" s="1" t="s">
        <v>4137</v>
      </c>
      <c r="D11910" s="1" t="s">
        <v>4139</v>
      </c>
    </row>
    <row r="11911">
      <c r="A11911" s="1" t="s">
        <v>21399</v>
      </c>
      <c r="B11911" s="2" t="s">
        <v>21127</v>
      </c>
      <c r="C11911" s="1" t="s">
        <v>4137</v>
      </c>
      <c r="D11911" s="1" t="s">
        <v>4139</v>
      </c>
    </row>
    <row r="11912">
      <c r="A11912" s="1" t="s">
        <v>4145</v>
      </c>
      <c r="B11912" s="2" t="s">
        <v>7</v>
      </c>
      <c r="C11912" s="1" t="s">
        <v>4146</v>
      </c>
      <c r="D11912" s="1" t="s">
        <v>4147</v>
      </c>
    </row>
    <row r="11913">
      <c r="A11913" s="1" t="s">
        <v>21400</v>
      </c>
      <c r="B11913" s="2" t="s">
        <v>20993</v>
      </c>
      <c r="C11913" s="1" t="s">
        <v>4146</v>
      </c>
      <c r="D11913" s="1" t="s">
        <v>4147</v>
      </c>
    </row>
    <row r="11914">
      <c r="A11914" s="1" t="s">
        <v>21401</v>
      </c>
      <c r="B11914" s="2" t="s">
        <v>20995</v>
      </c>
      <c r="C11914" s="1" t="s">
        <v>4146</v>
      </c>
      <c r="D11914" s="1" t="s">
        <v>4147</v>
      </c>
    </row>
    <row r="11915">
      <c r="A11915" s="1" t="s">
        <v>21402</v>
      </c>
      <c r="B11915" s="2" t="s">
        <v>20997</v>
      </c>
      <c r="C11915" s="1" t="s">
        <v>4146</v>
      </c>
      <c r="D11915" s="1" t="s">
        <v>4147</v>
      </c>
    </row>
    <row r="11916">
      <c r="A11916" s="1" t="s">
        <v>21403</v>
      </c>
      <c r="B11916" s="2" t="s">
        <v>20999</v>
      </c>
      <c r="C11916" s="1" t="s">
        <v>4146</v>
      </c>
      <c r="D11916" s="1" t="s">
        <v>4147</v>
      </c>
    </row>
    <row r="11917">
      <c r="A11917" s="1" t="s">
        <v>21404</v>
      </c>
      <c r="B11917" s="2" t="s">
        <v>21001</v>
      </c>
      <c r="C11917" s="1" t="s">
        <v>4146</v>
      </c>
      <c r="D11917" s="1" t="s">
        <v>4147</v>
      </c>
    </row>
    <row r="11918">
      <c r="A11918" s="1" t="s">
        <v>21405</v>
      </c>
      <c r="B11918" s="2" t="s">
        <v>21003</v>
      </c>
      <c r="C11918" s="1" t="s">
        <v>4146</v>
      </c>
      <c r="D11918" s="1" t="s">
        <v>4147</v>
      </c>
    </row>
    <row r="11919">
      <c r="A11919" s="1" t="s">
        <v>21406</v>
      </c>
      <c r="B11919" s="2" t="s">
        <v>21005</v>
      </c>
      <c r="C11919" s="1" t="s">
        <v>4146</v>
      </c>
      <c r="D11919" s="1" t="s">
        <v>4147</v>
      </c>
    </row>
    <row r="11920">
      <c r="A11920" s="1" t="s">
        <v>21407</v>
      </c>
      <c r="B11920" s="2" t="s">
        <v>21007</v>
      </c>
      <c r="C11920" s="1" t="s">
        <v>4146</v>
      </c>
      <c r="D11920" s="1" t="s">
        <v>4147</v>
      </c>
    </row>
    <row r="11921">
      <c r="A11921" s="1" t="s">
        <v>21408</v>
      </c>
      <c r="B11921" s="2" t="s">
        <v>21009</v>
      </c>
      <c r="C11921" s="1" t="s">
        <v>4146</v>
      </c>
      <c r="D11921" s="1" t="s">
        <v>4147</v>
      </c>
    </row>
    <row r="11922">
      <c r="A11922" s="1" t="s">
        <v>21409</v>
      </c>
      <c r="B11922" s="2" t="s">
        <v>21011</v>
      </c>
      <c r="C11922" s="1" t="s">
        <v>4146</v>
      </c>
      <c r="D11922" s="1" t="s">
        <v>4147</v>
      </c>
    </row>
    <row r="11923">
      <c r="A11923" s="1" t="s">
        <v>21410</v>
      </c>
      <c r="B11923" s="2" t="s">
        <v>21013</v>
      </c>
      <c r="C11923" s="1" t="s">
        <v>4146</v>
      </c>
      <c r="D11923" s="1" t="s">
        <v>4147</v>
      </c>
    </row>
    <row r="11924">
      <c r="A11924" s="1" t="s">
        <v>21411</v>
      </c>
      <c r="B11924" s="2" t="s">
        <v>21015</v>
      </c>
      <c r="C11924" s="1" t="s">
        <v>4146</v>
      </c>
      <c r="D11924" s="1" t="s">
        <v>4147</v>
      </c>
    </row>
    <row r="11925">
      <c r="A11925" s="1" t="s">
        <v>21412</v>
      </c>
      <c r="B11925" s="2" t="s">
        <v>21017</v>
      </c>
      <c r="C11925" s="1" t="s">
        <v>4146</v>
      </c>
      <c r="D11925" s="1" t="s">
        <v>4147</v>
      </c>
    </row>
    <row r="11926">
      <c r="A11926" s="1" t="s">
        <v>21413</v>
      </c>
      <c r="B11926" s="2" t="s">
        <v>21019</v>
      </c>
      <c r="C11926" s="1" t="s">
        <v>4146</v>
      </c>
      <c r="D11926" s="1" t="s">
        <v>4147</v>
      </c>
    </row>
    <row r="11927">
      <c r="A11927" s="1" t="s">
        <v>21414</v>
      </c>
      <c r="B11927" s="2" t="s">
        <v>21021</v>
      </c>
      <c r="C11927" s="1" t="s">
        <v>4146</v>
      </c>
      <c r="D11927" s="1" t="s">
        <v>4147</v>
      </c>
    </row>
    <row r="11928">
      <c r="A11928" s="1" t="s">
        <v>21415</v>
      </c>
      <c r="B11928" s="2" t="s">
        <v>21023</v>
      </c>
      <c r="C11928" s="1" t="s">
        <v>4146</v>
      </c>
      <c r="D11928" s="1" t="s">
        <v>4147</v>
      </c>
    </row>
    <row r="11929">
      <c r="A11929" s="1" t="s">
        <v>21416</v>
      </c>
      <c r="B11929" s="2" t="s">
        <v>21025</v>
      </c>
      <c r="C11929" s="1" t="s">
        <v>4146</v>
      </c>
      <c r="D11929" s="1" t="s">
        <v>4147</v>
      </c>
    </row>
    <row r="11930">
      <c r="A11930" s="1" t="s">
        <v>21417</v>
      </c>
      <c r="B11930" s="2" t="s">
        <v>21027</v>
      </c>
      <c r="C11930" s="1" t="s">
        <v>4146</v>
      </c>
      <c r="D11930" s="1" t="s">
        <v>4147</v>
      </c>
    </row>
    <row r="11931">
      <c r="A11931" s="1" t="s">
        <v>21418</v>
      </c>
      <c r="B11931" s="2" t="s">
        <v>21029</v>
      </c>
      <c r="C11931" s="1" t="s">
        <v>4146</v>
      </c>
      <c r="D11931" s="1" t="s">
        <v>4147</v>
      </c>
    </row>
    <row r="11932">
      <c r="A11932" s="1" t="s">
        <v>21419</v>
      </c>
      <c r="B11932" s="2" t="s">
        <v>21031</v>
      </c>
      <c r="C11932" s="1" t="s">
        <v>4146</v>
      </c>
      <c r="D11932" s="1" t="s">
        <v>4147</v>
      </c>
    </row>
    <row r="11933">
      <c r="A11933" s="1" t="s">
        <v>21420</v>
      </c>
      <c r="B11933" s="2" t="s">
        <v>21033</v>
      </c>
      <c r="C11933" s="1" t="s">
        <v>4146</v>
      </c>
      <c r="D11933" s="1" t="s">
        <v>4147</v>
      </c>
    </row>
    <row r="11934">
      <c r="A11934" s="1" t="s">
        <v>21421</v>
      </c>
      <c r="B11934" s="2" t="s">
        <v>21035</v>
      </c>
      <c r="C11934" s="1" t="s">
        <v>4146</v>
      </c>
      <c r="D11934" s="1" t="s">
        <v>4147</v>
      </c>
    </row>
    <row r="11935">
      <c r="A11935" s="1" t="s">
        <v>21422</v>
      </c>
      <c r="B11935" s="2" t="s">
        <v>21037</v>
      </c>
      <c r="C11935" s="1" t="s">
        <v>4146</v>
      </c>
      <c r="D11935" s="1" t="s">
        <v>4147</v>
      </c>
    </row>
    <row r="11936">
      <c r="A11936" s="1" t="s">
        <v>21423</v>
      </c>
      <c r="B11936" s="2" t="s">
        <v>21039</v>
      </c>
      <c r="C11936" s="1" t="s">
        <v>4146</v>
      </c>
      <c r="D11936" s="1" t="s">
        <v>4147</v>
      </c>
    </row>
    <row r="11937">
      <c r="A11937" s="1" t="s">
        <v>21424</v>
      </c>
      <c r="B11937" s="2" t="s">
        <v>21041</v>
      </c>
      <c r="C11937" s="1" t="s">
        <v>4146</v>
      </c>
      <c r="D11937" s="1" t="s">
        <v>4147</v>
      </c>
    </row>
    <row r="11938">
      <c r="A11938" s="1" t="s">
        <v>21425</v>
      </c>
      <c r="B11938" s="2" t="s">
        <v>21043</v>
      </c>
      <c r="C11938" s="1" t="s">
        <v>4146</v>
      </c>
      <c r="D11938" s="1" t="s">
        <v>4147</v>
      </c>
    </row>
    <row r="11939">
      <c r="A11939" s="1" t="s">
        <v>21426</v>
      </c>
      <c r="B11939" s="2" t="s">
        <v>21045</v>
      </c>
      <c r="C11939" s="1" t="s">
        <v>4146</v>
      </c>
      <c r="D11939" s="1" t="s">
        <v>4147</v>
      </c>
    </row>
    <row r="11940">
      <c r="A11940" s="1" t="s">
        <v>21427</v>
      </c>
      <c r="B11940" s="2" t="s">
        <v>21047</v>
      </c>
      <c r="C11940" s="1" t="s">
        <v>4146</v>
      </c>
      <c r="D11940" s="1" t="s">
        <v>4147</v>
      </c>
    </row>
    <row r="11941">
      <c r="A11941" s="1" t="s">
        <v>21428</v>
      </c>
      <c r="B11941" s="2" t="s">
        <v>21049</v>
      </c>
      <c r="C11941" s="1" t="s">
        <v>4146</v>
      </c>
      <c r="D11941" s="1" t="s">
        <v>4147</v>
      </c>
    </row>
    <row r="11942">
      <c r="A11942" s="1" t="s">
        <v>21429</v>
      </c>
      <c r="B11942" s="2" t="s">
        <v>21051</v>
      </c>
      <c r="C11942" s="1" t="s">
        <v>4146</v>
      </c>
      <c r="D11942" s="1" t="s">
        <v>4147</v>
      </c>
    </row>
    <row r="11943">
      <c r="A11943" s="1" t="s">
        <v>21430</v>
      </c>
      <c r="B11943" s="2" t="s">
        <v>21053</v>
      </c>
      <c r="C11943" s="1" t="s">
        <v>4146</v>
      </c>
      <c r="D11943" s="1" t="s">
        <v>4147</v>
      </c>
    </row>
    <row r="11944">
      <c r="A11944" s="1" t="s">
        <v>21431</v>
      </c>
      <c r="B11944" s="2" t="s">
        <v>21055</v>
      </c>
      <c r="C11944" s="1" t="s">
        <v>4146</v>
      </c>
      <c r="D11944" s="1" t="s">
        <v>4147</v>
      </c>
    </row>
    <row r="11945">
      <c r="A11945" s="1" t="s">
        <v>21432</v>
      </c>
      <c r="B11945" s="2" t="s">
        <v>21057</v>
      </c>
      <c r="C11945" s="1" t="s">
        <v>4146</v>
      </c>
      <c r="D11945" s="1" t="s">
        <v>4147</v>
      </c>
    </row>
    <row r="11946">
      <c r="A11946" s="1" t="s">
        <v>21433</v>
      </c>
      <c r="B11946" s="2" t="s">
        <v>21059</v>
      </c>
      <c r="C11946" s="1" t="s">
        <v>4146</v>
      </c>
      <c r="D11946" s="1" t="s">
        <v>4147</v>
      </c>
    </row>
    <row r="11947">
      <c r="A11947" s="1" t="s">
        <v>21434</v>
      </c>
      <c r="B11947" s="2" t="s">
        <v>21061</v>
      </c>
      <c r="C11947" s="1" t="s">
        <v>4146</v>
      </c>
      <c r="D11947" s="1" t="s">
        <v>4147</v>
      </c>
    </row>
    <row r="11948">
      <c r="A11948" s="1" t="s">
        <v>21435</v>
      </c>
      <c r="B11948" s="2" t="s">
        <v>21063</v>
      </c>
      <c r="C11948" s="1" t="s">
        <v>4146</v>
      </c>
      <c r="D11948" s="1" t="s">
        <v>4147</v>
      </c>
    </row>
    <row r="11949">
      <c r="A11949" s="1" t="s">
        <v>21436</v>
      </c>
      <c r="B11949" s="2" t="s">
        <v>21065</v>
      </c>
      <c r="C11949" s="1" t="s">
        <v>4146</v>
      </c>
      <c r="D11949" s="1" t="s">
        <v>4147</v>
      </c>
    </row>
    <row r="11950">
      <c r="A11950" s="1" t="s">
        <v>21437</v>
      </c>
      <c r="B11950" s="2" t="s">
        <v>21067</v>
      </c>
      <c r="C11950" s="1" t="s">
        <v>4146</v>
      </c>
      <c r="D11950" s="1" t="s">
        <v>4147</v>
      </c>
    </row>
    <row r="11951">
      <c r="A11951" s="1" t="s">
        <v>21438</v>
      </c>
      <c r="B11951" s="2" t="s">
        <v>21069</v>
      </c>
      <c r="C11951" s="1" t="s">
        <v>4146</v>
      </c>
      <c r="D11951" s="1" t="s">
        <v>4147</v>
      </c>
    </row>
    <row r="11952">
      <c r="A11952" s="1" t="s">
        <v>21439</v>
      </c>
      <c r="B11952" s="2" t="s">
        <v>21071</v>
      </c>
      <c r="C11952" s="1" t="s">
        <v>4146</v>
      </c>
      <c r="D11952" s="1" t="s">
        <v>4147</v>
      </c>
    </row>
    <row r="11953">
      <c r="A11953" s="1" t="s">
        <v>21440</v>
      </c>
      <c r="B11953" s="2" t="s">
        <v>21073</v>
      </c>
      <c r="C11953" s="1" t="s">
        <v>4146</v>
      </c>
      <c r="D11953" s="1" t="s">
        <v>4147</v>
      </c>
    </row>
    <row r="11954">
      <c r="A11954" s="1" t="s">
        <v>21441</v>
      </c>
      <c r="B11954" s="2" t="s">
        <v>21075</v>
      </c>
      <c r="C11954" s="1" t="s">
        <v>4146</v>
      </c>
      <c r="D11954" s="1" t="s">
        <v>4147</v>
      </c>
    </row>
    <row r="11955">
      <c r="A11955" s="1" t="s">
        <v>21442</v>
      </c>
      <c r="B11955" s="2" t="s">
        <v>21077</v>
      </c>
      <c r="C11955" s="1" t="s">
        <v>4146</v>
      </c>
      <c r="D11955" s="1" t="s">
        <v>4147</v>
      </c>
    </row>
    <row r="11956">
      <c r="A11956" s="1" t="s">
        <v>21443</v>
      </c>
      <c r="B11956" s="2" t="s">
        <v>21079</v>
      </c>
      <c r="C11956" s="1" t="s">
        <v>4146</v>
      </c>
      <c r="D11956" s="1" t="s">
        <v>4147</v>
      </c>
    </row>
    <row r="11957">
      <c r="A11957" s="1" t="s">
        <v>21444</v>
      </c>
      <c r="B11957" s="2" t="s">
        <v>21081</v>
      </c>
      <c r="C11957" s="1" t="s">
        <v>4146</v>
      </c>
      <c r="D11957" s="1" t="s">
        <v>4147</v>
      </c>
    </row>
    <row r="11958">
      <c r="A11958" s="1" t="s">
        <v>21445</v>
      </c>
      <c r="B11958" s="2" t="s">
        <v>21083</v>
      </c>
      <c r="C11958" s="1" t="s">
        <v>4146</v>
      </c>
      <c r="D11958" s="1" t="s">
        <v>4147</v>
      </c>
    </row>
    <row r="11959">
      <c r="A11959" s="1" t="s">
        <v>21446</v>
      </c>
      <c r="B11959" s="2" t="s">
        <v>21085</v>
      </c>
      <c r="C11959" s="1" t="s">
        <v>4146</v>
      </c>
      <c r="D11959" s="1" t="s">
        <v>4147</v>
      </c>
    </row>
    <row r="11960">
      <c r="A11960" s="1" t="s">
        <v>21447</v>
      </c>
      <c r="B11960" s="2" t="s">
        <v>21087</v>
      </c>
      <c r="C11960" s="1" t="s">
        <v>4146</v>
      </c>
      <c r="D11960" s="1" t="s">
        <v>4147</v>
      </c>
    </row>
    <row r="11961">
      <c r="A11961" s="1" t="s">
        <v>21448</v>
      </c>
      <c r="B11961" s="2" t="s">
        <v>21089</v>
      </c>
      <c r="C11961" s="1" t="s">
        <v>4146</v>
      </c>
      <c r="D11961" s="1" t="s">
        <v>4147</v>
      </c>
    </row>
    <row r="11962">
      <c r="A11962" s="1" t="s">
        <v>21449</v>
      </c>
      <c r="B11962" s="2" t="s">
        <v>21091</v>
      </c>
      <c r="C11962" s="1" t="s">
        <v>4146</v>
      </c>
      <c r="D11962" s="1" t="s">
        <v>4147</v>
      </c>
    </row>
    <row r="11963">
      <c r="A11963" s="1" t="s">
        <v>21450</v>
      </c>
      <c r="B11963" s="2" t="s">
        <v>21093</v>
      </c>
      <c r="C11963" s="1" t="s">
        <v>4146</v>
      </c>
      <c r="D11963" s="1" t="s">
        <v>4147</v>
      </c>
    </row>
    <row r="11964">
      <c r="A11964" s="1" t="s">
        <v>21451</v>
      </c>
      <c r="B11964" s="2" t="s">
        <v>21095</v>
      </c>
      <c r="C11964" s="1" t="s">
        <v>4146</v>
      </c>
      <c r="D11964" s="1" t="s">
        <v>4147</v>
      </c>
    </row>
    <row r="11965">
      <c r="A11965" s="1" t="s">
        <v>21452</v>
      </c>
      <c r="B11965" s="2" t="s">
        <v>21097</v>
      </c>
      <c r="C11965" s="1" t="s">
        <v>4146</v>
      </c>
      <c r="D11965" s="1" t="s">
        <v>4147</v>
      </c>
    </row>
    <row r="11966">
      <c r="A11966" s="1" t="s">
        <v>21453</v>
      </c>
      <c r="B11966" s="2" t="s">
        <v>21099</v>
      </c>
      <c r="C11966" s="1" t="s">
        <v>4146</v>
      </c>
      <c r="D11966" s="1" t="s">
        <v>4147</v>
      </c>
    </row>
    <row r="11967">
      <c r="A11967" s="1" t="s">
        <v>21454</v>
      </c>
      <c r="B11967" s="2" t="s">
        <v>21101</v>
      </c>
      <c r="C11967" s="1" t="s">
        <v>4146</v>
      </c>
      <c r="D11967" s="1" t="s">
        <v>4147</v>
      </c>
    </row>
    <row r="11968">
      <c r="A11968" s="1" t="s">
        <v>21455</v>
      </c>
      <c r="B11968" s="2" t="s">
        <v>21103</v>
      </c>
      <c r="C11968" s="1" t="s">
        <v>4146</v>
      </c>
      <c r="D11968" s="1" t="s">
        <v>4147</v>
      </c>
    </row>
    <row r="11969">
      <c r="A11969" s="1" t="s">
        <v>21456</v>
      </c>
      <c r="B11969" s="2" t="s">
        <v>21105</v>
      </c>
      <c r="C11969" s="1" t="s">
        <v>4146</v>
      </c>
      <c r="D11969" s="1" t="s">
        <v>4147</v>
      </c>
    </row>
    <row r="11970">
      <c r="A11970" s="1" t="s">
        <v>21457</v>
      </c>
      <c r="B11970" s="2" t="s">
        <v>21107</v>
      </c>
      <c r="C11970" s="1" t="s">
        <v>4146</v>
      </c>
      <c r="D11970" s="1" t="s">
        <v>4147</v>
      </c>
    </row>
    <row r="11971">
      <c r="A11971" s="1" t="s">
        <v>21458</v>
      </c>
      <c r="B11971" s="2" t="s">
        <v>21109</v>
      </c>
      <c r="C11971" s="1" t="s">
        <v>4146</v>
      </c>
      <c r="D11971" s="1" t="s">
        <v>4147</v>
      </c>
    </row>
    <row r="11972">
      <c r="A11972" s="1" t="s">
        <v>21459</v>
      </c>
      <c r="B11972" s="2" t="s">
        <v>21111</v>
      </c>
      <c r="C11972" s="1" t="s">
        <v>4146</v>
      </c>
      <c r="D11972" s="1" t="s">
        <v>4147</v>
      </c>
    </row>
    <row r="11973">
      <c r="A11973" s="1" t="s">
        <v>21460</v>
      </c>
      <c r="B11973" s="2" t="s">
        <v>21113</v>
      </c>
      <c r="C11973" s="1" t="s">
        <v>4146</v>
      </c>
      <c r="D11973" s="1" t="s">
        <v>4147</v>
      </c>
    </row>
    <row r="11974">
      <c r="A11974" s="1" t="s">
        <v>21461</v>
      </c>
      <c r="B11974" s="2" t="s">
        <v>21115</v>
      </c>
      <c r="C11974" s="1" t="s">
        <v>4146</v>
      </c>
      <c r="D11974" s="1" t="s">
        <v>4147</v>
      </c>
    </row>
    <row r="11975">
      <c r="A11975" s="1" t="s">
        <v>21462</v>
      </c>
      <c r="B11975" s="2" t="s">
        <v>21117</v>
      </c>
      <c r="C11975" s="1" t="s">
        <v>4146</v>
      </c>
      <c r="D11975" s="1" t="s">
        <v>4147</v>
      </c>
    </row>
    <row r="11976">
      <c r="A11976" s="1" t="s">
        <v>21463</v>
      </c>
      <c r="B11976" s="2" t="s">
        <v>21119</v>
      </c>
      <c r="C11976" s="1" t="s">
        <v>4146</v>
      </c>
      <c r="D11976" s="1" t="s">
        <v>4147</v>
      </c>
    </row>
    <row r="11977">
      <c r="A11977" s="1" t="s">
        <v>21464</v>
      </c>
      <c r="B11977" s="2" t="s">
        <v>21121</v>
      </c>
      <c r="C11977" s="1" t="s">
        <v>4146</v>
      </c>
      <c r="D11977" s="1" t="s">
        <v>4147</v>
      </c>
    </row>
    <row r="11978">
      <c r="A11978" s="1" t="s">
        <v>21465</v>
      </c>
      <c r="B11978" s="2" t="s">
        <v>21123</v>
      </c>
      <c r="C11978" s="1" t="s">
        <v>4146</v>
      </c>
      <c r="D11978" s="1" t="s">
        <v>4147</v>
      </c>
    </row>
    <row r="11979">
      <c r="A11979" s="1" t="s">
        <v>21466</v>
      </c>
      <c r="B11979" s="2" t="s">
        <v>21125</v>
      </c>
      <c r="C11979" s="1" t="s">
        <v>4146</v>
      </c>
      <c r="D11979" s="1" t="s">
        <v>4147</v>
      </c>
    </row>
    <row r="11980">
      <c r="A11980" s="1" t="s">
        <v>21467</v>
      </c>
      <c r="B11980" s="2" t="s">
        <v>21127</v>
      </c>
      <c r="C11980" s="1" t="s">
        <v>4146</v>
      </c>
      <c r="D11980" s="1" t="s">
        <v>4147</v>
      </c>
    </row>
    <row r="11981">
      <c r="A11981" s="1" t="s">
        <v>4152</v>
      </c>
      <c r="B11981" s="2" t="s">
        <v>7</v>
      </c>
      <c r="C11981" s="1" t="s">
        <v>4155</v>
      </c>
      <c r="D11981" s="1" t="s">
        <v>4156</v>
      </c>
    </row>
    <row r="11982">
      <c r="A11982" s="1" t="s">
        <v>21468</v>
      </c>
      <c r="B11982" s="2" t="s">
        <v>20993</v>
      </c>
      <c r="C11982" s="1" t="s">
        <v>4155</v>
      </c>
      <c r="D11982" s="1" t="s">
        <v>4156</v>
      </c>
    </row>
    <row r="11983">
      <c r="A11983" s="1" t="s">
        <v>21469</v>
      </c>
      <c r="B11983" s="2" t="s">
        <v>20995</v>
      </c>
      <c r="C11983" s="1" t="s">
        <v>4155</v>
      </c>
      <c r="D11983" s="1" t="s">
        <v>4156</v>
      </c>
    </row>
    <row r="11984">
      <c r="A11984" s="1" t="s">
        <v>21470</v>
      </c>
      <c r="B11984" s="2" t="s">
        <v>20997</v>
      </c>
      <c r="C11984" s="1" t="s">
        <v>4155</v>
      </c>
      <c r="D11984" s="1" t="s">
        <v>4156</v>
      </c>
    </row>
    <row r="11985">
      <c r="A11985" s="1" t="s">
        <v>21471</v>
      </c>
      <c r="B11985" s="2" t="s">
        <v>20999</v>
      </c>
      <c r="C11985" s="1" t="s">
        <v>4155</v>
      </c>
      <c r="D11985" s="1" t="s">
        <v>4156</v>
      </c>
    </row>
    <row r="11986">
      <c r="A11986" s="1" t="s">
        <v>21472</v>
      </c>
      <c r="B11986" s="2" t="s">
        <v>21001</v>
      </c>
      <c r="C11986" s="1" t="s">
        <v>4155</v>
      </c>
      <c r="D11986" s="1" t="s">
        <v>4156</v>
      </c>
    </row>
    <row r="11987">
      <c r="A11987" s="1" t="s">
        <v>21473</v>
      </c>
      <c r="B11987" s="2" t="s">
        <v>21003</v>
      </c>
      <c r="C11987" s="1" t="s">
        <v>4155</v>
      </c>
      <c r="D11987" s="1" t="s">
        <v>4156</v>
      </c>
    </row>
    <row r="11988">
      <c r="A11988" s="1" t="s">
        <v>21474</v>
      </c>
      <c r="B11988" s="2" t="s">
        <v>21005</v>
      </c>
      <c r="C11988" s="1" t="s">
        <v>4155</v>
      </c>
      <c r="D11988" s="1" t="s">
        <v>4156</v>
      </c>
    </row>
    <row r="11989">
      <c r="A11989" s="1" t="s">
        <v>21475</v>
      </c>
      <c r="B11989" s="2" t="s">
        <v>21007</v>
      </c>
      <c r="C11989" s="1" t="s">
        <v>4155</v>
      </c>
      <c r="D11989" s="1" t="s">
        <v>4156</v>
      </c>
    </row>
    <row r="11990">
      <c r="A11990" s="1" t="s">
        <v>21476</v>
      </c>
      <c r="B11990" s="2" t="s">
        <v>21009</v>
      </c>
      <c r="C11990" s="1" t="s">
        <v>4155</v>
      </c>
      <c r="D11990" s="1" t="s">
        <v>4156</v>
      </c>
    </row>
    <row r="11991">
      <c r="A11991" s="1" t="s">
        <v>21477</v>
      </c>
      <c r="B11991" s="2" t="s">
        <v>21011</v>
      </c>
      <c r="C11991" s="1" t="s">
        <v>4155</v>
      </c>
      <c r="D11991" s="1" t="s">
        <v>4156</v>
      </c>
    </row>
    <row r="11992">
      <c r="A11992" s="1" t="s">
        <v>21478</v>
      </c>
      <c r="B11992" s="2" t="s">
        <v>21013</v>
      </c>
      <c r="C11992" s="1" t="s">
        <v>4155</v>
      </c>
      <c r="D11992" s="1" t="s">
        <v>4156</v>
      </c>
    </row>
    <row r="11993">
      <c r="A11993" s="1" t="s">
        <v>21479</v>
      </c>
      <c r="B11993" s="2" t="s">
        <v>21015</v>
      </c>
      <c r="C11993" s="1" t="s">
        <v>4155</v>
      </c>
      <c r="D11993" s="1" t="s">
        <v>4156</v>
      </c>
    </row>
    <row r="11994">
      <c r="A11994" s="1" t="s">
        <v>21480</v>
      </c>
      <c r="B11994" s="2" t="s">
        <v>21017</v>
      </c>
      <c r="C11994" s="1" t="s">
        <v>4155</v>
      </c>
      <c r="D11994" s="1" t="s">
        <v>4156</v>
      </c>
    </row>
    <row r="11995">
      <c r="A11995" s="1" t="s">
        <v>21481</v>
      </c>
      <c r="B11995" s="2" t="s">
        <v>21019</v>
      </c>
      <c r="C11995" s="1" t="s">
        <v>4155</v>
      </c>
      <c r="D11995" s="1" t="s">
        <v>4156</v>
      </c>
    </row>
    <row r="11996">
      <c r="A11996" s="1" t="s">
        <v>21482</v>
      </c>
      <c r="B11996" s="2" t="s">
        <v>21021</v>
      </c>
      <c r="C11996" s="1" t="s">
        <v>4155</v>
      </c>
      <c r="D11996" s="1" t="s">
        <v>4156</v>
      </c>
    </row>
    <row r="11997">
      <c r="A11997" s="1" t="s">
        <v>21483</v>
      </c>
      <c r="B11997" s="2" t="s">
        <v>21023</v>
      </c>
      <c r="C11997" s="1" t="s">
        <v>4155</v>
      </c>
      <c r="D11997" s="1" t="s">
        <v>4156</v>
      </c>
    </row>
    <row r="11998">
      <c r="A11998" s="1" t="s">
        <v>21484</v>
      </c>
      <c r="B11998" s="2" t="s">
        <v>21025</v>
      </c>
      <c r="C11998" s="1" t="s">
        <v>4155</v>
      </c>
      <c r="D11998" s="1" t="s">
        <v>4156</v>
      </c>
    </row>
    <row r="11999">
      <c r="A11999" s="1" t="s">
        <v>21485</v>
      </c>
      <c r="B11999" s="2" t="s">
        <v>21027</v>
      </c>
      <c r="C11999" s="1" t="s">
        <v>4155</v>
      </c>
      <c r="D11999" s="1" t="s">
        <v>4156</v>
      </c>
    </row>
    <row r="12000">
      <c r="A12000" s="1" t="s">
        <v>21486</v>
      </c>
      <c r="B12000" s="2" t="s">
        <v>21029</v>
      </c>
      <c r="C12000" s="1" t="s">
        <v>4155</v>
      </c>
      <c r="D12000" s="1" t="s">
        <v>4156</v>
      </c>
    </row>
    <row r="12001">
      <c r="A12001" s="1" t="s">
        <v>21487</v>
      </c>
      <c r="B12001" s="2" t="s">
        <v>21031</v>
      </c>
      <c r="C12001" s="1" t="s">
        <v>4155</v>
      </c>
      <c r="D12001" s="1" t="s">
        <v>4156</v>
      </c>
    </row>
    <row r="12002">
      <c r="A12002" s="1" t="s">
        <v>21488</v>
      </c>
      <c r="B12002" s="2" t="s">
        <v>21033</v>
      </c>
      <c r="C12002" s="1" t="s">
        <v>4155</v>
      </c>
      <c r="D12002" s="1" t="s">
        <v>4156</v>
      </c>
    </row>
    <row r="12003">
      <c r="A12003" s="1" t="s">
        <v>21489</v>
      </c>
      <c r="B12003" s="2" t="s">
        <v>21035</v>
      </c>
      <c r="C12003" s="1" t="s">
        <v>4155</v>
      </c>
      <c r="D12003" s="1" t="s">
        <v>4156</v>
      </c>
    </row>
    <row r="12004">
      <c r="A12004" s="1" t="s">
        <v>21490</v>
      </c>
      <c r="B12004" s="2" t="s">
        <v>21037</v>
      </c>
      <c r="C12004" s="1" t="s">
        <v>4155</v>
      </c>
      <c r="D12004" s="1" t="s">
        <v>4156</v>
      </c>
    </row>
    <row r="12005">
      <c r="A12005" s="1" t="s">
        <v>21491</v>
      </c>
      <c r="B12005" s="2" t="s">
        <v>21039</v>
      </c>
      <c r="C12005" s="1" t="s">
        <v>4155</v>
      </c>
      <c r="D12005" s="1" t="s">
        <v>4156</v>
      </c>
    </row>
    <row r="12006">
      <c r="A12006" s="1" t="s">
        <v>21492</v>
      </c>
      <c r="B12006" s="2" t="s">
        <v>21041</v>
      </c>
      <c r="C12006" s="1" t="s">
        <v>4155</v>
      </c>
      <c r="D12006" s="1" t="s">
        <v>4156</v>
      </c>
    </row>
    <row r="12007">
      <c r="A12007" s="1" t="s">
        <v>21493</v>
      </c>
      <c r="B12007" s="2" t="s">
        <v>21043</v>
      </c>
      <c r="C12007" s="1" t="s">
        <v>4155</v>
      </c>
      <c r="D12007" s="1" t="s">
        <v>4156</v>
      </c>
    </row>
    <row r="12008">
      <c r="A12008" s="1" t="s">
        <v>21494</v>
      </c>
      <c r="B12008" s="2" t="s">
        <v>21045</v>
      </c>
      <c r="C12008" s="1" t="s">
        <v>4155</v>
      </c>
      <c r="D12008" s="1" t="s">
        <v>4156</v>
      </c>
    </row>
    <row r="12009">
      <c r="A12009" s="1" t="s">
        <v>21495</v>
      </c>
      <c r="B12009" s="2" t="s">
        <v>21047</v>
      </c>
      <c r="C12009" s="1" t="s">
        <v>4155</v>
      </c>
      <c r="D12009" s="1" t="s">
        <v>4156</v>
      </c>
    </row>
    <row r="12010">
      <c r="A12010" s="1" t="s">
        <v>21496</v>
      </c>
      <c r="B12010" s="2" t="s">
        <v>21049</v>
      </c>
      <c r="C12010" s="1" t="s">
        <v>4155</v>
      </c>
      <c r="D12010" s="1" t="s">
        <v>4156</v>
      </c>
    </row>
    <row r="12011">
      <c r="A12011" s="1" t="s">
        <v>21497</v>
      </c>
      <c r="B12011" s="2" t="s">
        <v>21051</v>
      </c>
      <c r="C12011" s="1" t="s">
        <v>4155</v>
      </c>
      <c r="D12011" s="1" t="s">
        <v>4156</v>
      </c>
    </row>
    <row r="12012">
      <c r="A12012" s="1" t="s">
        <v>21498</v>
      </c>
      <c r="B12012" s="2" t="s">
        <v>21053</v>
      </c>
      <c r="C12012" s="1" t="s">
        <v>4155</v>
      </c>
      <c r="D12012" s="1" t="s">
        <v>4156</v>
      </c>
    </row>
    <row r="12013">
      <c r="A12013" s="1" t="s">
        <v>21499</v>
      </c>
      <c r="B12013" s="2" t="s">
        <v>21055</v>
      </c>
      <c r="C12013" s="1" t="s">
        <v>4155</v>
      </c>
      <c r="D12013" s="1" t="s">
        <v>4156</v>
      </c>
    </row>
    <row r="12014">
      <c r="A12014" s="1" t="s">
        <v>21500</v>
      </c>
      <c r="B12014" s="2" t="s">
        <v>21057</v>
      </c>
      <c r="C12014" s="1" t="s">
        <v>4155</v>
      </c>
      <c r="D12014" s="1" t="s">
        <v>4156</v>
      </c>
    </row>
    <row r="12015">
      <c r="A12015" s="1" t="s">
        <v>21501</v>
      </c>
      <c r="B12015" s="2" t="s">
        <v>21059</v>
      </c>
      <c r="C12015" s="1" t="s">
        <v>4155</v>
      </c>
      <c r="D12015" s="1" t="s">
        <v>4156</v>
      </c>
    </row>
    <row r="12016">
      <c r="A12016" s="1" t="s">
        <v>21502</v>
      </c>
      <c r="B12016" s="2" t="s">
        <v>21061</v>
      </c>
      <c r="C12016" s="1" t="s">
        <v>4155</v>
      </c>
      <c r="D12016" s="1" t="s">
        <v>4156</v>
      </c>
    </row>
    <row r="12017">
      <c r="A12017" s="1" t="s">
        <v>21503</v>
      </c>
      <c r="B12017" s="2" t="s">
        <v>21063</v>
      </c>
      <c r="C12017" s="1" t="s">
        <v>4155</v>
      </c>
      <c r="D12017" s="1" t="s">
        <v>4156</v>
      </c>
    </row>
    <row r="12018">
      <c r="A12018" s="1" t="s">
        <v>21504</v>
      </c>
      <c r="B12018" s="2" t="s">
        <v>21065</v>
      </c>
      <c r="C12018" s="1" t="s">
        <v>4155</v>
      </c>
      <c r="D12018" s="1" t="s">
        <v>4156</v>
      </c>
    </row>
    <row r="12019">
      <c r="A12019" s="1" t="s">
        <v>21505</v>
      </c>
      <c r="B12019" s="2" t="s">
        <v>21067</v>
      </c>
      <c r="C12019" s="1" t="s">
        <v>4155</v>
      </c>
      <c r="D12019" s="1" t="s">
        <v>4156</v>
      </c>
    </row>
    <row r="12020">
      <c r="A12020" s="1" t="s">
        <v>21506</v>
      </c>
      <c r="B12020" s="2" t="s">
        <v>21069</v>
      </c>
      <c r="C12020" s="1" t="s">
        <v>4155</v>
      </c>
      <c r="D12020" s="1" t="s">
        <v>4156</v>
      </c>
    </row>
    <row r="12021">
      <c r="A12021" s="1" t="s">
        <v>21507</v>
      </c>
      <c r="B12021" s="2" t="s">
        <v>21071</v>
      </c>
      <c r="C12021" s="1" t="s">
        <v>4155</v>
      </c>
      <c r="D12021" s="1" t="s">
        <v>4156</v>
      </c>
    </row>
    <row r="12022">
      <c r="A12022" s="1" t="s">
        <v>21508</v>
      </c>
      <c r="B12022" s="2" t="s">
        <v>21073</v>
      </c>
      <c r="C12022" s="1" t="s">
        <v>4155</v>
      </c>
      <c r="D12022" s="1" t="s">
        <v>4156</v>
      </c>
    </row>
    <row r="12023">
      <c r="A12023" s="1" t="s">
        <v>21509</v>
      </c>
      <c r="B12023" s="2" t="s">
        <v>21075</v>
      </c>
      <c r="C12023" s="1" t="s">
        <v>4155</v>
      </c>
      <c r="D12023" s="1" t="s">
        <v>4156</v>
      </c>
    </row>
    <row r="12024">
      <c r="A12024" s="1" t="s">
        <v>21510</v>
      </c>
      <c r="B12024" s="2" t="s">
        <v>21077</v>
      </c>
      <c r="C12024" s="1" t="s">
        <v>4155</v>
      </c>
      <c r="D12024" s="1" t="s">
        <v>4156</v>
      </c>
    </row>
    <row r="12025">
      <c r="A12025" s="1" t="s">
        <v>21511</v>
      </c>
      <c r="B12025" s="2" t="s">
        <v>21079</v>
      </c>
      <c r="C12025" s="1" t="s">
        <v>4155</v>
      </c>
      <c r="D12025" s="1" t="s">
        <v>4156</v>
      </c>
    </row>
    <row r="12026">
      <c r="A12026" s="1" t="s">
        <v>21512</v>
      </c>
      <c r="B12026" s="2" t="s">
        <v>21081</v>
      </c>
      <c r="C12026" s="1" t="s">
        <v>4155</v>
      </c>
      <c r="D12026" s="1" t="s">
        <v>4156</v>
      </c>
    </row>
    <row r="12027">
      <c r="A12027" s="1" t="s">
        <v>21513</v>
      </c>
      <c r="B12027" s="2" t="s">
        <v>21083</v>
      </c>
      <c r="C12027" s="1" t="s">
        <v>4155</v>
      </c>
      <c r="D12027" s="1" t="s">
        <v>4156</v>
      </c>
    </row>
    <row r="12028">
      <c r="A12028" s="1" t="s">
        <v>21514</v>
      </c>
      <c r="B12028" s="2" t="s">
        <v>21085</v>
      </c>
      <c r="C12028" s="1" t="s">
        <v>4155</v>
      </c>
      <c r="D12028" s="1" t="s">
        <v>4156</v>
      </c>
    </row>
    <row r="12029">
      <c r="A12029" s="1" t="s">
        <v>21515</v>
      </c>
      <c r="B12029" s="2" t="s">
        <v>21087</v>
      </c>
      <c r="C12029" s="1" t="s">
        <v>4155</v>
      </c>
      <c r="D12029" s="1" t="s">
        <v>4156</v>
      </c>
    </row>
    <row r="12030">
      <c r="A12030" s="1" t="s">
        <v>21516</v>
      </c>
      <c r="B12030" s="2" t="s">
        <v>21089</v>
      </c>
      <c r="C12030" s="1" t="s">
        <v>4155</v>
      </c>
      <c r="D12030" s="1" t="s">
        <v>4156</v>
      </c>
    </row>
    <row r="12031">
      <c r="A12031" s="1" t="s">
        <v>21517</v>
      </c>
      <c r="B12031" s="2" t="s">
        <v>21091</v>
      </c>
      <c r="C12031" s="1" t="s">
        <v>4155</v>
      </c>
      <c r="D12031" s="1" t="s">
        <v>4156</v>
      </c>
    </row>
    <row r="12032">
      <c r="A12032" s="1" t="s">
        <v>21518</v>
      </c>
      <c r="B12032" s="2" t="s">
        <v>21093</v>
      </c>
      <c r="C12032" s="1" t="s">
        <v>4155</v>
      </c>
      <c r="D12032" s="1" t="s">
        <v>4156</v>
      </c>
    </row>
    <row r="12033">
      <c r="A12033" s="1" t="s">
        <v>21519</v>
      </c>
      <c r="B12033" s="2" t="s">
        <v>21095</v>
      </c>
      <c r="C12033" s="1" t="s">
        <v>4155</v>
      </c>
      <c r="D12033" s="1" t="s">
        <v>4156</v>
      </c>
    </row>
    <row r="12034">
      <c r="A12034" s="1" t="s">
        <v>21520</v>
      </c>
      <c r="B12034" s="2" t="s">
        <v>21097</v>
      </c>
      <c r="C12034" s="1" t="s">
        <v>4155</v>
      </c>
      <c r="D12034" s="1" t="s">
        <v>4156</v>
      </c>
    </row>
    <row r="12035">
      <c r="A12035" s="1" t="s">
        <v>21521</v>
      </c>
      <c r="B12035" s="2" t="s">
        <v>21099</v>
      </c>
      <c r="C12035" s="1" t="s">
        <v>4155</v>
      </c>
      <c r="D12035" s="1" t="s">
        <v>4156</v>
      </c>
    </row>
    <row r="12036">
      <c r="A12036" s="1" t="s">
        <v>21522</v>
      </c>
      <c r="B12036" s="2" t="s">
        <v>21101</v>
      </c>
      <c r="C12036" s="1" t="s">
        <v>4155</v>
      </c>
      <c r="D12036" s="1" t="s">
        <v>4156</v>
      </c>
    </row>
    <row r="12037">
      <c r="A12037" s="1" t="s">
        <v>21523</v>
      </c>
      <c r="B12037" s="2" t="s">
        <v>21103</v>
      </c>
      <c r="C12037" s="1" t="s">
        <v>4155</v>
      </c>
      <c r="D12037" s="1" t="s">
        <v>4156</v>
      </c>
    </row>
    <row r="12038">
      <c r="A12038" s="1" t="s">
        <v>21524</v>
      </c>
      <c r="B12038" s="2" t="s">
        <v>21105</v>
      </c>
      <c r="C12038" s="1" t="s">
        <v>4155</v>
      </c>
      <c r="D12038" s="1" t="s">
        <v>4156</v>
      </c>
    </row>
    <row r="12039">
      <c r="A12039" s="1" t="s">
        <v>21525</v>
      </c>
      <c r="B12039" s="2" t="s">
        <v>21107</v>
      </c>
      <c r="C12039" s="1" t="s">
        <v>4155</v>
      </c>
      <c r="D12039" s="1" t="s">
        <v>4156</v>
      </c>
    </row>
    <row r="12040">
      <c r="A12040" s="1" t="s">
        <v>21526</v>
      </c>
      <c r="B12040" s="2" t="s">
        <v>21109</v>
      </c>
      <c r="C12040" s="1" t="s">
        <v>4155</v>
      </c>
      <c r="D12040" s="1" t="s">
        <v>4156</v>
      </c>
    </row>
    <row r="12041">
      <c r="A12041" s="1" t="s">
        <v>21527</v>
      </c>
      <c r="B12041" s="2" t="s">
        <v>21111</v>
      </c>
      <c r="C12041" s="1" t="s">
        <v>4155</v>
      </c>
      <c r="D12041" s="1" t="s">
        <v>4156</v>
      </c>
    </row>
    <row r="12042">
      <c r="A12042" s="1" t="s">
        <v>21528</v>
      </c>
      <c r="B12042" s="2" t="s">
        <v>21113</v>
      </c>
      <c r="C12042" s="1" t="s">
        <v>4155</v>
      </c>
      <c r="D12042" s="1" t="s">
        <v>4156</v>
      </c>
    </row>
    <row r="12043">
      <c r="A12043" s="1" t="s">
        <v>21529</v>
      </c>
      <c r="B12043" s="2" t="s">
        <v>21115</v>
      </c>
      <c r="C12043" s="1" t="s">
        <v>4155</v>
      </c>
      <c r="D12043" s="1" t="s">
        <v>4156</v>
      </c>
    </row>
    <row r="12044">
      <c r="A12044" s="1" t="s">
        <v>21530</v>
      </c>
      <c r="B12044" s="2" t="s">
        <v>21117</v>
      </c>
      <c r="C12044" s="1" t="s">
        <v>4155</v>
      </c>
      <c r="D12044" s="1" t="s">
        <v>4156</v>
      </c>
    </row>
    <row r="12045">
      <c r="A12045" s="1" t="s">
        <v>21531</v>
      </c>
      <c r="B12045" s="2" t="s">
        <v>21119</v>
      </c>
      <c r="C12045" s="1" t="s">
        <v>4155</v>
      </c>
      <c r="D12045" s="1" t="s">
        <v>4156</v>
      </c>
    </row>
    <row r="12046">
      <c r="A12046" s="1" t="s">
        <v>21532</v>
      </c>
      <c r="B12046" s="2" t="s">
        <v>21121</v>
      </c>
      <c r="C12046" s="1" t="s">
        <v>4155</v>
      </c>
      <c r="D12046" s="1" t="s">
        <v>4156</v>
      </c>
    </row>
    <row r="12047">
      <c r="A12047" s="1" t="s">
        <v>21533</v>
      </c>
      <c r="B12047" s="2" t="s">
        <v>21123</v>
      </c>
      <c r="C12047" s="1" t="s">
        <v>4155</v>
      </c>
      <c r="D12047" s="1" t="s">
        <v>4156</v>
      </c>
    </row>
    <row r="12048">
      <c r="A12048" s="1" t="s">
        <v>21534</v>
      </c>
      <c r="B12048" s="2" t="s">
        <v>21125</v>
      </c>
      <c r="C12048" s="1" t="s">
        <v>4155</v>
      </c>
      <c r="D12048" s="1" t="s">
        <v>4156</v>
      </c>
    </row>
    <row r="12049">
      <c r="A12049" s="1" t="s">
        <v>21535</v>
      </c>
      <c r="B12049" s="2" t="s">
        <v>21127</v>
      </c>
      <c r="C12049" s="1" t="s">
        <v>4155</v>
      </c>
      <c r="D12049" s="1" t="s">
        <v>4156</v>
      </c>
    </row>
    <row r="12050">
      <c r="A12050" s="1" t="s">
        <v>4161</v>
      </c>
      <c r="B12050" s="2" t="s">
        <v>7</v>
      </c>
      <c r="C12050" s="1" t="s">
        <v>4163</v>
      </c>
      <c r="D12050" s="1" t="s">
        <v>4164</v>
      </c>
    </row>
    <row r="12051">
      <c r="A12051" s="1" t="s">
        <v>21536</v>
      </c>
      <c r="B12051" s="2" t="s">
        <v>20993</v>
      </c>
      <c r="C12051" s="1" t="s">
        <v>4163</v>
      </c>
      <c r="D12051" s="1" t="s">
        <v>4164</v>
      </c>
    </row>
    <row r="12052">
      <c r="A12052" s="1" t="s">
        <v>21537</v>
      </c>
      <c r="B12052" s="2" t="s">
        <v>20995</v>
      </c>
      <c r="C12052" s="1" t="s">
        <v>4163</v>
      </c>
      <c r="D12052" s="1" t="s">
        <v>4164</v>
      </c>
    </row>
    <row r="12053">
      <c r="A12053" s="1" t="s">
        <v>21538</v>
      </c>
      <c r="B12053" s="2" t="s">
        <v>20997</v>
      </c>
      <c r="C12053" s="1" t="s">
        <v>4163</v>
      </c>
      <c r="D12053" s="1" t="s">
        <v>4164</v>
      </c>
    </row>
    <row r="12054">
      <c r="A12054" s="1" t="s">
        <v>21539</v>
      </c>
      <c r="B12054" s="2" t="s">
        <v>20999</v>
      </c>
      <c r="C12054" s="1" t="s">
        <v>4163</v>
      </c>
      <c r="D12054" s="1" t="s">
        <v>4164</v>
      </c>
    </row>
    <row r="12055">
      <c r="A12055" s="1" t="s">
        <v>21540</v>
      </c>
      <c r="B12055" s="2" t="s">
        <v>21001</v>
      </c>
      <c r="C12055" s="1" t="s">
        <v>4163</v>
      </c>
      <c r="D12055" s="1" t="s">
        <v>4164</v>
      </c>
    </row>
    <row r="12056">
      <c r="A12056" s="1" t="s">
        <v>21541</v>
      </c>
      <c r="B12056" s="2" t="s">
        <v>21003</v>
      </c>
      <c r="C12056" s="1" t="s">
        <v>4163</v>
      </c>
      <c r="D12056" s="1" t="s">
        <v>4164</v>
      </c>
    </row>
    <row r="12057">
      <c r="A12057" s="1" t="s">
        <v>21542</v>
      </c>
      <c r="B12057" s="2" t="s">
        <v>21005</v>
      </c>
      <c r="C12057" s="1" t="s">
        <v>4163</v>
      </c>
      <c r="D12057" s="1" t="s">
        <v>4164</v>
      </c>
    </row>
    <row r="12058">
      <c r="A12058" s="1" t="s">
        <v>21543</v>
      </c>
      <c r="B12058" s="2" t="s">
        <v>21007</v>
      </c>
      <c r="C12058" s="1" t="s">
        <v>4163</v>
      </c>
      <c r="D12058" s="1" t="s">
        <v>4164</v>
      </c>
    </row>
    <row r="12059">
      <c r="A12059" s="1" t="s">
        <v>21544</v>
      </c>
      <c r="B12059" s="2" t="s">
        <v>21009</v>
      </c>
      <c r="C12059" s="1" t="s">
        <v>4163</v>
      </c>
      <c r="D12059" s="1" t="s">
        <v>4164</v>
      </c>
    </row>
    <row r="12060">
      <c r="A12060" s="1" t="s">
        <v>21545</v>
      </c>
      <c r="B12060" s="2" t="s">
        <v>21011</v>
      </c>
      <c r="C12060" s="1" t="s">
        <v>4163</v>
      </c>
      <c r="D12060" s="1" t="s">
        <v>4164</v>
      </c>
    </row>
    <row r="12061">
      <c r="A12061" s="1" t="s">
        <v>21546</v>
      </c>
      <c r="B12061" s="2" t="s">
        <v>21013</v>
      </c>
      <c r="C12061" s="1" t="s">
        <v>4163</v>
      </c>
      <c r="D12061" s="1" t="s">
        <v>4164</v>
      </c>
    </row>
    <row r="12062">
      <c r="A12062" s="1" t="s">
        <v>21547</v>
      </c>
      <c r="B12062" s="2" t="s">
        <v>21015</v>
      </c>
      <c r="C12062" s="1" t="s">
        <v>4163</v>
      </c>
      <c r="D12062" s="1" t="s">
        <v>4164</v>
      </c>
    </row>
    <row r="12063">
      <c r="A12063" s="1" t="s">
        <v>21548</v>
      </c>
      <c r="B12063" s="2" t="s">
        <v>21017</v>
      </c>
      <c r="C12063" s="1" t="s">
        <v>4163</v>
      </c>
      <c r="D12063" s="1" t="s">
        <v>4164</v>
      </c>
    </row>
    <row r="12064">
      <c r="A12064" s="1" t="s">
        <v>21549</v>
      </c>
      <c r="B12064" s="2" t="s">
        <v>21019</v>
      </c>
      <c r="C12064" s="1" t="s">
        <v>4163</v>
      </c>
      <c r="D12064" s="1" t="s">
        <v>4164</v>
      </c>
    </row>
    <row r="12065">
      <c r="A12065" s="1" t="s">
        <v>21550</v>
      </c>
      <c r="B12065" s="2" t="s">
        <v>21021</v>
      </c>
      <c r="C12065" s="1" t="s">
        <v>4163</v>
      </c>
      <c r="D12065" s="1" t="s">
        <v>4164</v>
      </c>
    </row>
    <row r="12066">
      <c r="A12066" s="1" t="s">
        <v>21551</v>
      </c>
      <c r="B12066" s="2" t="s">
        <v>21023</v>
      </c>
      <c r="C12066" s="1" t="s">
        <v>4163</v>
      </c>
      <c r="D12066" s="1" t="s">
        <v>4164</v>
      </c>
    </row>
    <row r="12067">
      <c r="A12067" s="1" t="s">
        <v>21552</v>
      </c>
      <c r="B12067" s="2" t="s">
        <v>21025</v>
      </c>
      <c r="C12067" s="1" t="s">
        <v>4163</v>
      </c>
      <c r="D12067" s="1" t="s">
        <v>4164</v>
      </c>
    </row>
    <row r="12068">
      <c r="A12068" s="1" t="s">
        <v>21553</v>
      </c>
      <c r="B12068" s="2" t="s">
        <v>21027</v>
      </c>
      <c r="C12068" s="1" t="s">
        <v>4163</v>
      </c>
      <c r="D12068" s="1" t="s">
        <v>4164</v>
      </c>
    </row>
    <row r="12069">
      <c r="A12069" s="1" t="s">
        <v>21554</v>
      </c>
      <c r="B12069" s="2" t="s">
        <v>21029</v>
      </c>
      <c r="C12069" s="1" t="s">
        <v>4163</v>
      </c>
      <c r="D12069" s="1" t="s">
        <v>4164</v>
      </c>
    </row>
    <row r="12070">
      <c r="A12070" s="1" t="s">
        <v>21555</v>
      </c>
      <c r="B12070" s="2" t="s">
        <v>21031</v>
      </c>
      <c r="C12070" s="1" t="s">
        <v>4163</v>
      </c>
      <c r="D12070" s="1" t="s">
        <v>4164</v>
      </c>
    </row>
    <row r="12071">
      <c r="A12071" s="1" t="s">
        <v>21556</v>
      </c>
      <c r="B12071" s="2" t="s">
        <v>21033</v>
      </c>
      <c r="C12071" s="1" t="s">
        <v>4163</v>
      </c>
      <c r="D12071" s="1" t="s">
        <v>4164</v>
      </c>
    </row>
    <row r="12072">
      <c r="A12072" s="1" t="s">
        <v>21557</v>
      </c>
      <c r="B12072" s="2" t="s">
        <v>21035</v>
      </c>
      <c r="C12072" s="1" t="s">
        <v>4163</v>
      </c>
      <c r="D12072" s="1" t="s">
        <v>4164</v>
      </c>
    </row>
    <row r="12073">
      <c r="A12073" s="1" t="s">
        <v>21558</v>
      </c>
      <c r="B12073" s="2" t="s">
        <v>21037</v>
      </c>
      <c r="C12073" s="1" t="s">
        <v>4163</v>
      </c>
      <c r="D12073" s="1" t="s">
        <v>4164</v>
      </c>
    </row>
    <row r="12074">
      <c r="A12074" s="1" t="s">
        <v>21559</v>
      </c>
      <c r="B12074" s="2" t="s">
        <v>21039</v>
      </c>
      <c r="C12074" s="1" t="s">
        <v>4163</v>
      </c>
      <c r="D12074" s="1" t="s">
        <v>4164</v>
      </c>
    </row>
    <row r="12075">
      <c r="A12075" s="1" t="s">
        <v>21560</v>
      </c>
      <c r="B12075" s="2" t="s">
        <v>21041</v>
      </c>
      <c r="C12075" s="1" t="s">
        <v>4163</v>
      </c>
      <c r="D12075" s="1" t="s">
        <v>4164</v>
      </c>
    </row>
    <row r="12076">
      <c r="A12076" s="1" t="s">
        <v>21561</v>
      </c>
      <c r="B12076" s="2" t="s">
        <v>21043</v>
      </c>
      <c r="C12076" s="1" t="s">
        <v>4163</v>
      </c>
      <c r="D12076" s="1" t="s">
        <v>4164</v>
      </c>
    </row>
    <row r="12077">
      <c r="A12077" s="1" t="s">
        <v>21562</v>
      </c>
      <c r="B12077" s="2" t="s">
        <v>21045</v>
      </c>
      <c r="C12077" s="1" t="s">
        <v>4163</v>
      </c>
      <c r="D12077" s="1" t="s">
        <v>4164</v>
      </c>
    </row>
    <row r="12078">
      <c r="A12078" s="1" t="s">
        <v>21563</v>
      </c>
      <c r="B12078" s="2" t="s">
        <v>21047</v>
      </c>
      <c r="C12078" s="1" t="s">
        <v>4163</v>
      </c>
      <c r="D12078" s="1" t="s">
        <v>4164</v>
      </c>
    </row>
    <row r="12079">
      <c r="A12079" s="1" t="s">
        <v>21564</v>
      </c>
      <c r="B12079" s="2" t="s">
        <v>21049</v>
      </c>
      <c r="C12079" s="1" t="s">
        <v>4163</v>
      </c>
      <c r="D12079" s="1" t="s">
        <v>4164</v>
      </c>
    </row>
    <row r="12080">
      <c r="A12080" s="1" t="s">
        <v>21565</v>
      </c>
      <c r="B12080" s="2" t="s">
        <v>21051</v>
      </c>
      <c r="C12080" s="1" t="s">
        <v>4163</v>
      </c>
      <c r="D12080" s="1" t="s">
        <v>4164</v>
      </c>
    </row>
    <row r="12081">
      <c r="A12081" s="1" t="s">
        <v>21566</v>
      </c>
      <c r="B12081" s="2" t="s">
        <v>21053</v>
      </c>
      <c r="C12081" s="1" t="s">
        <v>4163</v>
      </c>
      <c r="D12081" s="1" t="s">
        <v>4164</v>
      </c>
    </row>
    <row r="12082">
      <c r="A12082" s="1" t="s">
        <v>21567</v>
      </c>
      <c r="B12082" s="2" t="s">
        <v>21055</v>
      </c>
      <c r="C12082" s="1" t="s">
        <v>4163</v>
      </c>
      <c r="D12082" s="1" t="s">
        <v>4164</v>
      </c>
    </row>
    <row r="12083">
      <c r="A12083" s="1" t="s">
        <v>21568</v>
      </c>
      <c r="B12083" s="2" t="s">
        <v>21057</v>
      </c>
      <c r="C12083" s="1" t="s">
        <v>4163</v>
      </c>
      <c r="D12083" s="1" t="s">
        <v>4164</v>
      </c>
    </row>
    <row r="12084">
      <c r="A12084" s="1" t="s">
        <v>21569</v>
      </c>
      <c r="B12084" s="2" t="s">
        <v>21059</v>
      </c>
      <c r="C12084" s="1" t="s">
        <v>4163</v>
      </c>
      <c r="D12084" s="1" t="s">
        <v>4164</v>
      </c>
    </row>
    <row r="12085">
      <c r="A12085" s="1" t="s">
        <v>21570</v>
      </c>
      <c r="B12085" s="2" t="s">
        <v>21061</v>
      </c>
      <c r="C12085" s="1" t="s">
        <v>4163</v>
      </c>
      <c r="D12085" s="1" t="s">
        <v>4164</v>
      </c>
    </row>
    <row r="12086">
      <c r="A12086" s="1" t="s">
        <v>21571</v>
      </c>
      <c r="B12086" s="2" t="s">
        <v>21063</v>
      </c>
      <c r="C12086" s="1" t="s">
        <v>4163</v>
      </c>
      <c r="D12086" s="1" t="s">
        <v>4164</v>
      </c>
    </row>
    <row r="12087">
      <c r="A12087" s="1" t="s">
        <v>21572</v>
      </c>
      <c r="B12087" s="2" t="s">
        <v>21065</v>
      </c>
      <c r="C12087" s="1" t="s">
        <v>4163</v>
      </c>
      <c r="D12087" s="1" t="s">
        <v>4164</v>
      </c>
    </row>
    <row r="12088">
      <c r="A12088" s="1" t="s">
        <v>21573</v>
      </c>
      <c r="B12088" s="2" t="s">
        <v>21067</v>
      </c>
      <c r="C12088" s="1" t="s">
        <v>4163</v>
      </c>
      <c r="D12088" s="1" t="s">
        <v>4164</v>
      </c>
    </row>
    <row r="12089">
      <c r="A12089" s="1" t="s">
        <v>21574</v>
      </c>
      <c r="B12089" s="2" t="s">
        <v>21069</v>
      </c>
      <c r="C12089" s="1" t="s">
        <v>4163</v>
      </c>
      <c r="D12089" s="1" t="s">
        <v>4164</v>
      </c>
    </row>
    <row r="12090">
      <c r="A12090" s="1" t="s">
        <v>21575</v>
      </c>
      <c r="B12090" s="2" t="s">
        <v>21071</v>
      </c>
      <c r="C12090" s="1" t="s">
        <v>4163</v>
      </c>
      <c r="D12090" s="1" t="s">
        <v>4164</v>
      </c>
    </row>
    <row r="12091">
      <c r="A12091" s="1" t="s">
        <v>21576</v>
      </c>
      <c r="B12091" s="2" t="s">
        <v>21073</v>
      </c>
      <c r="C12091" s="1" t="s">
        <v>4163</v>
      </c>
      <c r="D12091" s="1" t="s">
        <v>4164</v>
      </c>
    </row>
    <row r="12092">
      <c r="A12092" s="1" t="s">
        <v>21577</v>
      </c>
      <c r="B12092" s="2" t="s">
        <v>21075</v>
      </c>
      <c r="C12092" s="1" t="s">
        <v>4163</v>
      </c>
      <c r="D12092" s="1" t="s">
        <v>4164</v>
      </c>
    </row>
    <row r="12093">
      <c r="A12093" s="1" t="s">
        <v>21578</v>
      </c>
      <c r="B12093" s="2" t="s">
        <v>21077</v>
      </c>
      <c r="C12093" s="1" t="s">
        <v>4163</v>
      </c>
      <c r="D12093" s="1" t="s">
        <v>4164</v>
      </c>
    </row>
    <row r="12094">
      <c r="A12094" s="1" t="s">
        <v>21579</v>
      </c>
      <c r="B12094" s="2" t="s">
        <v>21079</v>
      </c>
      <c r="C12094" s="1" t="s">
        <v>4163</v>
      </c>
      <c r="D12094" s="1" t="s">
        <v>4164</v>
      </c>
    </row>
    <row r="12095">
      <c r="A12095" s="1" t="s">
        <v>21580</v>
      </c>
      <c r="B12095" s="2" t="s">
        <v>21081</v>
      </c>
      <c r="C12095" s="1" t="s">
        <v>4163</v>
      </c>
      <c r="D12095" s="1" t="s">
        <v>4164</v>
      </c>
    </row>
    <row r="12096">
      <c r="A12096" s="1" t="s">
        <v>21581</v>
      </c>
      <c r="B12096" s="2" t="s">
        <v>21083</v>
      </c>
      <c r="C12096" s="1" t="s">
        <v>4163</v>
      </c>
      <c r="D12096" s="1" t="s">
        <v>4164</v>
      </c>
    </row>
    <row r="12097">
      <c r="A12097" s="1" t="s">
        <v>21582</v>
      </c>
      <c r="B12097" s="2" t="s">
        <v>21085</v>
      </c>
      <c r="C12097" s="1" t="s">
        <v>4163</v>
      </c>
      <c r="D12097" s="1" t="s">
        <v>4164</v>
      </c>
    </row>
    <row r="12098">
      <c r="A12098" s="1" t="s">
        <v>21583</v>
      </c>
      <c r="B12098" s="2" t="s">
        <v>21087</v>
      </c>
      <c r="C12098" s="1" t="s">
        <v>4163</v>
      </c>
      <c r="D12098" s="1" t="s">
        <v>4164</v>
      </c>
    </row>
    <row r="12099">
      <c r="A12099" s="1" t="s">
        <v>21584</v>
      </c>
      <c r="B12099" s="2" t="s">
        <v>21089</v>
      </c>
      <c r="C12099" s="1" t="s">
        <v>4163</v>
      </c>
      <c r="D12099" s="1" t="s">
        <v>4164</v>
      </c>
    </row>
    <row r="12100">
      <c r="A12100" s="1" t="s">
        <v>21585</v>
      </c>
      <c r="B12100" s="2" t="s">
        <v>21091</v>
      </c>
      <c r="C12100" s="1" t="s">
        <v>4163</v>
      </c>
      <c r="D12100" s="1" t="s">
        <v>4164</v>
      </c>
    </row>
    <row r="12101">
      <c r="A12101" s="1" t="s">
        <v>21586</v>
      </c>
      <c r="B12101" s="2" t="s">
        <v>21093</v>
      </c>
      <c r="C12101" s="1" t="s">
        <v>4163</v>
      </c>
      <c r="D12101" s="1" t="s">
        <v>4164</v>
      </c>
    </row>
    <row r="12102">
      <c r="A12102" s="1" t="s">
        <v>21587</v>
      </c>
      <c r="B12102" s="2" t="s">
        <v>21095</v>
      </c>
      <c r="C12102" s="1" t="s">
        <v>4163</v>
      </c>
      <c r="D12102" s="1" t="s">
        <v>4164</v>
      </c>
    </row>
    <row r="12103">
      <c r="A12103" s="1" t="s">
        <v>21588</v>
      </c>
      <c r="B12103" s="2" t="s">
        <v>21097</v>
      </c>
      <c r="C12103" s="1" t="s">
        <v>4163</v>
      </c>
      <c r="D12103" s="1" t="s">
        <v>4164</v>
      </c>
    </row>
    <row r="12104">
      <c r="A12104" s="1" t="s">
        <v>21589</v>
      </c>
      <c r="B12104" s="2" t="s">
        <v>21099</v>
      </c>
      <c r="C12104" s="1" t="s">
        <v>4163</v>
      </c>
      <c r="D12104" s="1" t="s">
        <v>4164</v>
      </c>
    </row>
    <row r="12105">
      <c r="A12105" s="1" t="s">
        <v>21590</v>
      </c>
      <c r="B12105" s="2" t="s">
        <v>21101</v>
      </c>
      <c r="C12105" s="1" t="s">
        <v>4163</v>
      </c>
      <c r="D12105" s="1" t="s">
        <v>4164</v>
      </c>
    </row>
    <row r="12106">
      <c r="A12106" s="1" t="s">
        <v>21591</v>
      </c>
      <c r="B12106" s="2" t="s">
        <v>21103</v>
      </c>
      <c r="C12106" s="1" t="s">
        <v>4163</v>
      </c>
      <c r="D12106" s="1" t="s">
        <v>4164</v>
      </c>
    </row>
    <row r="12107">
      <c r="A12107" s="1" t="s">
        <v>21592</v>
      </c>
      <c r="B12107" s="2" t="s">
        <v>21105</v>
      </c>
      <c r="C12107" s="1" t="s">
        <v>4163</v>
      </c>
      <c r="D12107" s="1" t="s">
        <v>4164</v>
      </c>
    </row>
    <row r="12108">
      <c r="A12108" s="1" t="s">
        <v>21593</v>
      </c>
      <c r="B12108" s="2" t="s">
        <v>21107</v>
      </c>
      <c r="C12108" s="1" t="s">
        <v>4163</v>
      </c>
      <c r="D12108" s="1" t="s">
        <v>4164</v>
      </c>
    </row>
    <row r="12109">
      <c r="A12109" s="1" t="s">
        <v>21594</v>
      </c>
      <c r="B12109" s="2" t="s">
        <v>21109</v>
      </c>
      <c r="C12109" s="1" t="s">
        <v>4163</v>
      </c>
      <c r="D12109" s="1" t="s">
        <v>4164</v>
      </c>
    </row>
    <row r="12110">
      <c r="A12110" s="1" t="s">
        <v>21595</v>
      </c>
      <c r="B12110" s="2" t="s">
        <v>21111</v>
      </c>
      <c r="C12110" s="1" t="s">
        <v>4163</v>
      </c>
      <c r="D12110" s="1" t="s">
        <v>4164</v>
      </c>
    </row>
    <row r="12111">
      <c r="A12111" s="1" t="s">
        <v>21596</v>
      </c>
      <c r="B12111" s="2" t="s">
        <v>21113</v>
      </c>
      <c r="C12111" s="1" t="s">
        <v>4163</v>
      </c>
      <c r="D12111" s="1" t="s">
        <v>4164</v>
      </c>
    </row>
    <row r="12112">
      <c r="A12112" s="1" t="s">
        <v>21597</v>
      </c>
      <c r="B12112" s="2" t="s">
        <v>21115</v>
      </c>
      <c r="C12112" s="1" t="s">
        <v>4163</v>
      </c>
      <c r="D12112" s="1" t="s">
        <v>4164</v>
      </c>
    </row>
    <row r="12113">
      <c r="A12113" s="1" t="s">
        <v>21598</v>
      </c>
      <c r="B12113" s="2" t="s">
        <v>21117</v>
      </c>
      <c r="C12113" s="1" t="s">
        <v>4163</v>
      </c>
      <c r="D12113" s="1" t="s">
        <v>4164</v>
      </c>
    </row>
    <row r="12114">
      <c r="A12114" s="1" t="s">
        <v>21599</v>
      </c>
      <c r="B12114" s="2" t="s">
        <v>21119</v>
      </c>
      <c r="C12114" s="1" t="s">
        <v>4163</v>
      </c>
      <c r="D12114" s="1" t="s">
        <v>4164</v>
      </c>
    </row>
    <row r="12115">
      <c r="A12115" s="1" t="s">
        <v>21600</v>
      </c>
      <c r="B12115" s="2" t="s">
        <v>21121</v>
      </c>
      <c r="C12115" s="1" t="s">
        <v>4163</v>
      </c>
      <c r="D12115" s="1" t="s">
        <v>4164</v>
      </c>
    </row>
    <row r="12116">
      <c r="A12116" s="1" t="s">
        <v>21601</v>
      </c>
      <c r="B12116" s="2" t="s">
        <v>21123</v>
      </c>
      <c r="C12116" s="1" t="s">
        <v>4163</v>
      </c>
      <c r="D12116" s="1" t="s">
        <v>4164</v>
      </c>
    </row>
    <row r="12117">
      <c r="A12117" s="1" t="s">
        <v>21602</v>
      </c>
      <c r="B12117" s="2" t="s">
        <v>21125</v>
      </c>
      <c r="C12117" s="1" t="s">
        <v>4163</v>
      </c>
      <c r="D12117" s="1" t="s">
        <v>4164</v>
      </c>
    </row>
    <row r="12118">
      <c r="A12118" s="1" t="s">
        <v>21603</v>
      </c>
      <c r="B12118" s="2" t="s">
        <v>21127</v>
      </c>
      <c r="C12118" s="1" t="s">
        <v>4163</v>
      </c>
      <c r="D12118" s="1" t="s">
        <v>4164</v>
      </c>
    </row>
    <row r="12119">
      <c r="A12119" s="1" t="s">
        <v>4170</v>
      </c>
      <c r="B12119" s="2" t="s">
        <v>7</v>
      </c>
      <c r="C12119" s="1" t="s">
        <v>4173</v>
      </c>
      <c r="D12119" s="1" t="s">
        <v>4174</v>
      </c>
    </row>
    <row r="12120">
      <c r="A12120" s="1" t="s">
        <v>21604</v>
      </c>
      <c r="B12120" s="2" t="s">
        <v>20993</v>
      </c>
      <c r="C12120" s="1" t="s">
        <v>4173</v>
      </c>
      <c r="D12120" s="1" t="s">
        <v>4174</v>
      </c>
    </row>
    <row r="12121">
      <c r="A12121" s="1" t="s">
        <v>21605</v>
      </c>
      <c r="B12121" s="2" t="s">
        <v>20995</v>
      </c>
      <c r="C12121" s="1" t="s">
        <v>4173</v>
      </c>
      <c r="D12121" s="1" t="s">
        <v>4174</v>
      </c>
    </row>
    <row r="12122">
      <c r="A12122" s="1" t="s">
        <v>21606</v>
      </c>
      <c r="B12122" s="2" t="s">
        <v>20997</v>
      </c>
      <c r="C12122" s="1" t="s">
        <v>4173</v>
      </c>
      <c r="D12122" s="1" t="s">
        <v>4174</v>
      </c>
    </row>
    <row r="12123">
      <c r="A12123" s="1" t="s">
        <v>21607</v>
      </c>
      <c r="B12123" s="2" t="s">
        <v>20999</v>
      </c>
      <c r="C12123" s="1" t="s">
        <v>4173</v>
      </c>
      <c r="D12123" s="1" t="s">
        <v>4174</v>
      </c>
    </row>
    <row r="12124">
      <c r="A12124" s="1" t="s">
        <v>21608</v>
      </c>
      <c r="B12124" s="2" t="s">
        <v>21001</v>
      </c>
      <c r="C12124" s="1" t="s">
        <v>4173</v>
      </c>
      <c r="D12124" s="1" t="s">
        <v>4174</v>
      </c>
    </row>
    <row r="12125">
      <c r="A12125" s="1" t="s">
        <v>21609</v>
      </c>
      <c r="B12125" s="2" t="s">
        <v>21003</v>
      </c>
      <c r="C12125" s="1" t="s">
        <v>4173</v>
      </c>
      <c r="D12125" s="1" t="s">
        <v>4174</v>
      </c>
    </row>
    <row r="12126">
      <c r="A12126" s="1" t="s">
        <v>21610</v>
      </c>
      <c r="B12126" s="2" t="s">
        <v>21005</v>
      </c>
      <c r="C12126" s="1" t="s">
        <v>4173</v>
      </c>
      <c r="D12126" s="1" t="s">
        <v>4174</v>
      </c>
    </row>
    <row r="12127">
      <c r="A12127" s="1" t="s">
        <v>21611</v>
      </c>
      <c r="B12127" s="2" t="s">
        <v>21007</v>
      </c>
      <c r="C12127" s="1" t="s">
        <v>4173</v>
      </c>
      <c r="D12127" s="1" t="s">
        <v>4174</v>
      </c>
    </row>
    <row r="12128">
      <c r="A12128" s="1" t="s">
        <v>21612</v>
      </c>
      <c r="B12128" s="2" t="s">
        <v>21009</v>
      </c>
      <c r="C12128" s="1" t="s">
        <v>4173</v>
      </c>
      <c r="D12128" s="1" t="s">
        <v>4174</v>
      </c>
    </row>
    <row r="12129">
      <c r="A12129" s="1" t="s">
        <v>21613</v>
      </c>
      <c r="B12129" s="2" t="s">
        <v>21011</v>
      </c>
      <c r="C12129" s="1" t="s">
        <v>4173</v>
      </c>
      <c r="D12129" s="1" t="s">
        <v>4174</v>
      </c>
    </row>
    <row r="12130">
      <c r="A12130" s="1" t="s">
        <v>21614</v>
      </c>
      <c r="B12130" s="2" t="s">
        <v>21013</v>
      </c>
      <c r="C12130" s="1" t="s">
        <v>4173</v>
      </c>
      <c r="D12130" s="1" t="s">
        <v>4174</v>
      </c>
    </row>
    <row r="12131">
      <c r="A12131" s="1" t="s">
        <v>21615</v>
      </c>
      <c r="B12131" s="2" t="s">
        <v>21015</v>
      </c>
      <c r="C12131" s="1" t="s">
        <v>4173</v>
      </c>
      <c r="D12131" s="1" t="s">
        <v>4174</v>
      </c>
    </row>
    <row r="12132">
      <c r="A12132" s="1" t="s">
        <v>21616</v>
      </c>
      <c r="B12132" s="2" t="s">
        <v>21017</v>
      </c>
      <c r="C12132" s="1" t="s">
        <v>4173</v>
      </c>
      <c r="D12132" s="1" t="s">
        <v>4174</v>
      </c>
    </row>
    <row r="12133">
      <c r="A12133" s="1" t="s">
        <v>21617</v>
      </c>
      <c r="B12133" s="2" t="s">
        <v>21019</v>
      </c>
      <c r="C12133" s="1" t="s">
        <v>4173</v>
      </c>
      <c r="D12133" s="1" t="s">
        <v>4174</v>
      </c>
    </row>
    <row r="12134">
      <c r="A12134" s="1" t="s">
        <v>21618</v>
      </c>
      <c r="B12134" s="2" t="s">
        <v>21021</v>
      </c>
      <c r="C12134" s="1" t="s">
        <v>4173</v>
      </c>
      <c r="D12134" s="1" t="s">
        <v>4174</v>
      </c>
    </row>
    <row r="12135">
      <c r="A12135" s="1" t="s">
        <v>21619</v>
      </c>
      <c r="B12135" s="2" t="s">
        <v>21023</v>
      </c>
      <c r="C12135" s="1" t="s">
        <v>4173</v>
      </c>
      <c r="D12135" s="1" t="s">
        <v>4174</v>
      </c>
    </row>
    <row r="12136">
      <c r="A12136" s="1" t="s">
        <v>21620</v>
      </c>
      <c r="B12136" s="2" t="s">
        <v>21025</v>
      </c>
      <c r="C12136" s="1" t="s">
        <v>4173</v>
      </c>
      <c r="D12136" s="1" t="s">
        <v>4174</v>
      </c>
    </row>
    <row r="12137">
      <c r="A12137" s="1" t="s">
        <v>21621</v>
      </c>
      <c r="B12137" s="2" t="s">
        <v>21027</v>
      </c>
      <c r="C12137" s="1" t="s">
        <v>4173</v>
      </c>
      <c r="D12137" s="1" t="s">
        <v>4174</v>
      </c>
    </row>
    <row r="12138">
      <c r="A12138" s="1" t="s">
        <v>21622</v>
      </c>
      <c r="B12138" s="2" t="s">
        <v>21029</v>
      </c>
      <c r="C12138" s="1" t="s">
        <v>4173</v>
      </c>
      <c r="D12138" s="1" t="s">
        <v>4174</v>
      </c>
    </row>
    <row r="12139">
      <c r="A12139" s="1" t="s">
        <v>21623</v>
      </c>
      <c r="B12139" s="2" t="s">
        <v>21031</v>
      </c>
      <c r="C12139" s="1" t="s">
        <v>4173</v>
      </c>
      <c r="D12139" s="1" t="s">
        <v>4174</v>
      </c>
    </row>
    <row r="12140">
      <c r="A12140" s="1" t="s">
        <v>21624</v>
      </c>
      <c r="B12140" s="2" t="s">
        <v>21033</v>
      </c>
      <c r="C12140" s="1" t="s">
        <v>4173</v>
      </c>
      <c r="D12140" s="1" t="s">
        <v>4174</v>
      </c>
    </row>
    <row r="12141">
      <c r="A12141" s="1" t="s">
        <v>21625</v>
      </c>
      <c r="B12141" s="2" t="s">
        <v>21035</v>
      </c>
      <c r="C12141" s="1" t="s">
        <v>4173</v>
      </c>
      <c r="D12141" s="1" t="s">
        <v>4174</v>
      </c>
    </row>
    <row r="12142">
      <c r="A12142" s="1" t="s">
        <v>21626</v>
      </c>
      <c r="B12142" s="2" t="s">
        <v>21037</v>
      </c>
      <c r="C12142" s="1" t="s">
        <v>4173</v>
      </c>
      <c r="D12142" s="1" t="s">
        <v>4174</v>
      </c>
    </row>
    <row r="12143">
      <c r="A12143" s="1" t="s">
        <v>21627</v>
      </c>
      <c r="B12143" s="2" t="s">
        <v>21039</v>
      </c>
      <c r="C12143" s="1" t="s">
        <v>4173</v>
      </c>
      <c r="D12143" s="1" t="s">
        <v>4174</v>
      </c>
    </row>
    <row r="12144">
      <c r="A12144" s="1" t="s">
        <v>21628</v>
      </c>
      <c r="B12144" s="2" t="s">
        <v>21041</v>
      </c>
      <c r="C12144" s="1" t="s">
        <v>4173</v>
      </c>
      <c r="D12144" s="1" t="s">
        <v>4174</v>
      </c>
    </row>
    <row r="12145">
      <c r="A12145" s="1" t="s">
        <v>21629</v>
      </c>
      <c r="B12145" s="2" t="s">
        <v>21043</v>
      </c>
      <c r="C12145" s="1" t="s">
        <v>4173</v>
      </c>
      <c r="D12145" s="1" t="s">
        <v>4174</v>
      </c>
    </row>
    <row r="12146">
      <c r="A12146" s="1" t="s">
        <v>21630</v>
      </c>
      <c r="B12146" s="2" t="s">
        <v>21045</v>
      </c>
      <c r="C12146" s="1" t="s">
        <v>4173</v>
      </c>
      <c r="D12146" s="1" t="s">
        <v>4174</v>
      </c>
    </row>
    <row r="12147">
      <c r="A12147" s="1" t="s">
        <v>21631</v>
      </c>
      <c r="B12147" s="2" t="s">
        <v>21047</v>
      </c>
      <c r="C12147" s="1" t="s">
        <v>4173</v>
      </c>
      <c r="D12147" s="1" t="s">
        <v>4174</v>
      </c>
    </row>
    <row r="12148">
      <c r="A12148" s="1" t="s">
        <v>21632</v>
      </c>
      <c r="B12148" s="2" t="s">
        <v>21049</v>
      </c>
      <c r="C12148" s="1" t="s">
        <v>4173</v>
      </c>
      <c r="D12148" s="1" t="s">
        <v>4174</v>
      </c>
    </row>
    <row r="12149">
      <c r="A12149" s="1" t="s">
        <v>21633</v>
      </c>
      <c r="B12149" s="2" t="s">
        <v>21051</v>
      </c>
      <c r="C12149" s="1" t="s">
        <v>4173</v>
      </c>
      <c r="D12149" s="1" t="s">
        <v>4174</v>
      </c>
    </row>
    <row r="12150">
      <c r="A12150" s="1" t="s">
        <v>21634</v>
      </c>
      <c r="B12150" s="2" t="s">
        <v>21053</v>
      </c>
      <c r="C12150" s="1" t="s">
        <v>4173</v>
      </c>
      <c r="D12150" s="1" t="s">
        <v>4174</v>
      </c>
    </row>
    <row r="12151">
      <c r="A12151" s="1" t="s">
        <v>21635</v>
      </c>
      <c r="B12151" s="2" t="s">
        <v>21055</v>
      </c>
      <c r="C12151" s="1" t="s">
        <v>4173</v>
      </c>
      <c r="D12151" s="1" t="s">
        <v>4174</v>
      </c>
    </row>
    <row r="12152">
      <c r="A12152" s="1" t="s">
        <v>21636</v>
      </c>
      <c r="B12152" s="2" t="s">
        <v>21057</v>
      </c>
      <c r="C12152" s="1" t="s">
        <v>4173</v>
      </c>
      <c r="D12152" s="1" t="s">
        <v>4174</v>
      </c>
    </row>
    <row r="12153">
      <c r="A12153" s="1" t="s">
        <v>21637</v>
      </c>
      <c r="B12153" s="2" t="s">
        <v>21059</v>
      </c>
      <c r="C12153" s="1" t="s">
        <v>4173</v>
      </c>
      <c r="D12153" s="1" t="s">
        <v>4174</v>
      </c>
    </row>
    <row r="12154">
      <c r="A12154" s="1" t="s">
        <v>21638</v>
      </c>
      <c r="B12154" s="2" t="s">
        <v>21061</v>
      </c>
      <c r="C12154" s="1" t="s">
        <v>4173</v>
      </c>
      <c r="D12154" s="1" t="s">
        <v>4174</v>
      </c>
    </row>
    <row r="12155">
      <c r="A12155" s="1" t="s">
        <v>21639</v>
      </c>
      <c r="B12155" s="2" t="s">
        <v>21063</v>
      </c>
      <c r="C12155" s="1" t="s">
        <v>4173</v>
      </c>
      <c r="D12155" s="1" t="s">
        <v>4174</v>
      </c>
    </row>
    <row r="12156">
      <c r="A12156" s="1" t="s">
        <v>21640</v>
      </c>
      <c r="B12156" s="2" t="s">
        <v>21065</v>
      </c>
      <c r="C12156" s="1" t="s">
        <v>4173</v>
      </c>
      <c r="D12156" s="1" t="s">
        <v>4174</v>
      </c>
    </row>
    <row r="12157">
      <c r="A12157" s="1" t="s">
        <v>21641</v>
      </c>
      <c r="B12157" s="2" t="s">
        <v>21067</v>
      </c>
      <c r="C12157" s="1" t="s">
        <v>4173</v>
      </c>
      <c r="D12157" s="1" t="s">
        <v>4174</v>
      </c>
    </row>
    <row r="12158">
      <c r="A12158" s="1" t="s">
        <v>21642</v>
      </c>
      <c r="B12158" s="2" t="s">
        <v>21069</v>
      </c>
      <c r="C12158" s="1" t="s">
        <v>4173</v>
      </c>
      <c r="D12158" s="1" t="s">
        <v>4174</v>
      </c>
    </row>
    <row r="12159">
      <c r="A12159" s="1" t="s">
        <v>21643</v>
      </c>
      <c r="B12159" s="2" t="s">
        <v>21071</v>
      </c>
      <c r="C12159" s="1" t="s">
        <v>4173</v>
      </c>
      <c r="D12159" s="1" t="s">
        <v>4174</v>
      </c>
    </row>
    <row r="12160">
      <c r="A12160" s="1" t="s">
        <v>21644</v>
      </c>
      <c r="B12160" s="2" t="s">
        <v>21073</v>
      </c>
      <c r="C12160" s="1" t="s">
        <v>4173</v>
      </c>
      <c r="D12160" s="1" t="s">
        <v>4174</v>
      </c>
    </row>
    <row r="12161">
      <c r="A12161" s="1" t="s">
        <v>21645</v>
      </c>
      <c r="B12161" s="2" t="s">
        <v>21075</v>
      </c>
      <c r="C12161" s="1" t="s">
        <v>4173</v>
      </c>
      <c r="D12161" s="1" t="s">
        <v>4174</v>
      </c>
    </row>
    <row r="12162">
      <c r="A12162" s="1" t="s">
        <v>21646</v>
      </c>
      <c r="B12162" s="2" t="s">
        <v>21077</v>
      </c>
      <c r="C12162" s="1" t="s">
        <v>4173</v>
      </c>
      <c r="D12162" s="1" t="s">
        <v>4174</v>
      </c>
    </row>
    <row r="12163">
      <c r="A12163" s="1" t="s">
        <v>21647</v>
      </c>
      <c r="B12163" s="2" t="s">
        <v>21079</v>
      </c>
      <c r="C12163" s="1" t="s">
        <v>4173</v>
      </c>
      <c r="D12163" s="1" t="s">
        <v>4174</v>
      </c>
    </row>
    <row r="12164">
      <c r="A12164" s="1" t="s">
        <v>21648</v>
      </c>
      <c r="B12164" s="2" t="s">
        <v>21081</v>
      </c>
      <c r="C12164" s="1" t="s">
        <v>4173</v>
      </c>
      <c r="D12164" s="1" t="s">
        <v>4174</v>
      </c>
    </row>
    <row r="12165">
      <c r="A12165" s="1" t="s">
        <v>21649</v>
      </c>
      <c r="B12165" s="2" t="s">
        <v>21083</v>
      </c>
      <c r="C12165" s="1" t="s">
        <v>4173</v>
      </c>
      <c r="D12165" s="1" t="s">
        <v>4174</v>
      </c>
    </row>
    <row r="12166">
      <c r="A12166" s="1" t="s">
        <v>21650</v>
      </c>
      <c r="B12166" s="2" t="s">
        <v>21085</v>
      </c>
      <c r="C12166" s="1" t="s">
        <v>4173</v>
      </c>
      <c r="D12166" s="1" t="s">
        <v>4174</v>
      </c>
    </row>
    <row r="12167">
      <c r="A12167" s="1" t="s">
        <v>21651</v>
      </c>
      <c r="B12167" s="2" t="s">
        <v>21087</v>
      </c>
      <c r="C12167" s="1" t="s">
        <v>4173</v>
      </c>
      <c r="D12167" s="1" t="s">
        <v>4174</v>
      </c>
    </row>
    <row r="12168">
      <c r="A12168" s="1" t="s">
        <v>21652</v>
      </c>
      <c r="B12168" s="2" t="s">
        <v>21089</v>
      </c>
      <c r="C12168" s="1" t="s">
        <v>4173</v>
      </c>
      <c r="D12168" s="1" t="s">
        <v>4174</v>
      </c>
    </row>
    <row r="12169">
      <c r="A12169" s="1" t="s">
        <v>21653</v>
      </c>
      <c r="B12169" s="2" t="s">
        <v>21091</v>
      </c>
      <c r="C12169" s="1" t="s">
        <v>4173</v>
      </c>
      <c r="D12169" s="1" t="s">
        <v>4174</v>
      </c>
    </row>
    <row r="12170">
      <c r="A12170" s="1" t="s">
        <v>21654</v>
      </c>
      <c r="B12170" s="2" t="s">
        <v>21093</v>
      </c>
      <c r="C12170" s="1" t="s">
        <v>4173</v>
      </c>
      <c r="D12170" s="1" t="s">
        <v>4174</v>
      </c>
    </row>
    <row r="12171">
      <c r="A12171" s="1" t="s">
        <v>21655</v>
      </c>
      <c r="B12171" s="2" t="s">
        <v>21095</v>
      </c>
      <c r="C12171" s="1" t="s">
        <v>4173</v>
      </c>
      <c r="D12171" s="1" t="s">
        <v>4174</v>
      </c>
    </row>
    <row r="12172">
      <c r="A12172" s="1" t="s">
        <v>21656</v>
      </c>
      <c r="B12172" s="2" t="s">
        <v>21097</v>
      </c>
      <c r="C12172" s="1" t="s">
        <v>4173</v>
      </c>
      <c r="D12172" s="1" t="s">
        <v>4174</v>
      </c>
    </row>
    <row r="12173">
      <c r="A12173" s="1" t="s">
        <v>21657</v>
      </c>
      <c r="B12173" s="2" t="s">
        <v>21099</v>
      </c>
      <c r="C12173" s="1" t="s">
        <v>4173</v>
      </c>
      <c r="D12173" s="1" t="s">
        <v>4174</v>
      </c>
    </row>
    <row r="12174">
      <c r="A12174" s="1" t="s">
        <v>21658</v>
      </c>
      <c r="B12174" s="2" t="s">
        <v>21101</v>
      </c>
      <c r="C12174" s="1" t="s">
        <v>4173</v>
      </c>
      <c r="D12174" s="1" t="s">
        <v>4174</v>
      </c>
    </row>
    <row r="12175">
      <c r="A12175" s="1" t="s">
        <v>21659</v>
      </c>
      <c r="B12175" s="2" t="s">
        <v>21103</v>
      </c>
      <c r="C12175" s="1" t="s">
        <v>4173</v>
      </c>
      <c r="D12175" s="1" t="s">
        <v>4174</v>
      </c>
    </row>
    <row r="12176">
      <c r="A12176" s="1" t="s">
        <v>21660</v>
      </c>
      <c r="B12176" s="2" t="s">
        <v>21105</v>
      </c>
      <c r="C12176" s="1" t="s">
        <v>4173</v>
      </c>
      <c r="D12176" s="1" t="s">
        <v>4174</v>
      </c>
    </row>
    <row r="12177">
      <c r="A12177" s="1" t="s">
        <v>21661</v>
      </c>
      <c r="B12177" s="2" t="s">
        <v>21107</v>
      </c>
      <c r="C12177" s="1" t="s">
        <v>4173</v>
      </c>
      <c r="D12177" s="1" t="s">
        <v>4174</v>
      </c>
    </row>
    <row r="12178">
      <c r="A12178" s="1" t="s">
        <v>21662</v>
      </c>
      <c r="B12178" s="2" t="s">
        <v>21109</v>
      </c>
      <c r="C12178" s="1" t="s">
        <v>4173</v>
      </c>
      <c r="D12178" s="1" t="s">
        <v>4174</v>
      </c>
    </row>
    <row r="12179">
      <c r="A12179" s="1" t="s">
        <v>21663</v>
      </c>
      <c r="B12179" s="2" t="s">
        <v>21111</v>
      </c>
      <c r="C12179" s="1" t="s">
        <v>4173</v>
      </c>
      <c r="D12179" s="1" t="s">
        <v>4174</v>
      </c>
    </row>
    <row r="12180">
      <c r="A12180" s="1" t="s">
        <v>21664</v>
      </c>
      <c r="B12180" s="2" t="s">
        <v>21113</v>
      </c>
      <c r="C12180" s="1" t="s">
        <v>4173</v>
      </c>
      <c r="D12180" s="1" t="s">
        <v>4174</v>
      </c>
    </row>
    <row r="12181">
      <c r="A12181" s="1" t="s">
        <v>21665</v>
      </c>
      <c r="B12181" s="2" t="s">
        <v>21115</v>
      </c>
      <c r="C12181" s="1" t="s">
        <v>4173</v>
      </c>
      <c r="D12181" s="1" t="s">
        <v>4174</v>
      </c>
    </row>
    <row r="12182">
      <c r="A12182" s="1" t="s">
        <v>21666</v>
      </c>
      <c r="B12182" s="2" t="s">
        <v>21117</v>
      </c>
      <c r="C12182" s="1" t="s">
        <v>4173</v>
      </c>
      <c r="D12182" s="1" t="s">
        <v>4174</v>
      </c>
    </row>
    <row r="12183">
      <c r="A12183" s="1" t="s">
        <v>21667</v>
      </c>
      <c r="B12183" s="2" t="s">
        <v>21119</v>
      </c>
      <c r="C12183" s="1" t="s">
        <v>4173</v>
      </c>
      <c r="D12183" s="1" t="s">
        <v>4174</v>
      </c>
    </row>
    <row r="12184">
      <c r="A12184" s="1" t="s">
        <v>21668</v>
      </c>
      <c r="B12184" s="2" t="s">
        <v>21121</v>
      </c>
      <c r="C12184" s="1" t="s">
        <v>4173</v>
      </c>
      <c r="D12184" s="1" t="s">
        <v>4174</v>
      </c>
    </row>
    <row r="12185">
      <c r="A12185" s="1" t="s">
        <v>21669</v>
      </c>
      <c r="B12185" s="2" t="s">
        <v>21123</v>
      </c>
      <c r="C12185" s="1" t="s">
        <v>4173</v>
      </c>
      <c r="D12185" s="1" t="s">
        <v>4174</v>
      </c>
    </row>
    <row r="12186">
      <c r="A12186" s="1" t="s">
        <v>21670</v>
      </c>
      <c r="B12186" s="2" t="s">
        <v>21125</v>
      </c>
      <c r="C12186" s="1" t="s">
        <v>4173</v>
      </c>
      <c r="D12186" s="1" t="s">
        <v>4174</v>
      </c>
    </row>
    <row r="12187">
      <c r="A12187" s="1" t="s">
        <v>21671</v>
      </c>
      <c r="B12187" s="2" t="s">
        <v>21127</v>
      </c>
      <c r="C12187" s="1" t="s">
        <v>4173</v>
      </c>
      <c r="D12187" s="1" t="s">
        <v>4174</v>
      </c>
    </row>
    <row r="12188">
      <c r="A12188" s="1" t="s">
        <v>4096</v>
      </c>
      <c r="B12188" s="2" t="s">
        <v>7</v>
      </c>
      <c r="C12188" s="1" t="s">
        <v>4097</v>
      </c>
      <c r="D12188" s="1" t="s">
        <v>4098</v>
      </c>
    </row>
    <row r="12189">
      <c r="A12189" s="1" t="s">
        <v>21672</v>
      </c>
      <c r="B12189" s="2" t="s">
        <v>20993</v>
      </c>
      <c r="C12189" s="1" t="s">
        <v>4097</v>
      </c>
      <c r="D12189" s="1" t="s">
        <v>4098</v>
      </c>
    </row>
    <row r="12190">
      <c r="A12190" s="1" t="s">
        <v>21673</v>
      </c>
      <c r="B12190" s="2" t="s">
        <v>20995</v>
      </c>
      <c r="C12190" s="1" t="s">
        <v>4097</v>
      </c>
      <c r="D12190" s="1" t="s">
        <v>4098</v>
      </c>
    </row>
    <row r="12191">
      <c r="A12191" s="1" t="s">
        <v>21674</v>
      </c>
      <c r="B12191" s="2" t="s">
        <v>20997</v>
      </c>
      <c r="C12191" s="1" t="s">
        <v>4097</v>
      </c>
      <c r="D12191" s="1" t="s">
        <v>4098</v>
      </c>
    </row>
    <row r="12192">
      <c r="A12192" s="1" t="s">
        <v>21675</v>
      </c>
      <c r="B12192" s="2" t="s">
        <v>20999</v>
      </c>
      <c r="C12192" s="1" t="s">
        <v>4097</v>
      </c>
      <c r="D12192" s="1" t="s">
        <v>4098</v>
      </c>
    </row>
    <row r="12193">
      <c r="A12193" s="1" t="s">
        <v>21676</v>
      </c>
      <c r="B12193" s="2" t="s">
        <v>21001</v>
      </c>
      <c r="C12193" s="1" t="s">
        <v>4097</v>
      </c>
      <c r="D12193" s="1" t="s">
        <v>4098</v>
      </c>
    </row>
    <row r="12194">
      <c r="A12194" s="1" t="s">
        <v>21677</v>
      </c>
      <c r="B12194" s="2" t="s">
        <v>21003</v>
      </c>
      <c r="C12194" s="1" t="s">
        <v>4097</v>
      </c>
      <c r="D12194" s="1" t="s">
        <v>4098</v>
      </c>
    </row>
    <row r="12195">
      <c r="A12195" s="1" t="s">
        <v>21678</v>
      </c>
      <c r="B12195" s="2" t="s">
        <v>21005</v>
      </c>
      <c r="C12195" s="1" t="s">
        <v>4097</v>
      </c>
      <c r="D12195" s="1" t="s">
        <v>4098</v>
      </c>
    </row>
    <row r="12196">
      <c r="A12196" s="1" t="s">
        <v>21679</v>
      </c>
      <c r="B12196" s="2" t="s">
        <v>21007</v>
      </c>
      <c r="C12196" s="1" t="s">
        <v>4097</v>
      </c>
      <c r="D12196" s="1" t="s">
        <v>4098</v>
      </c>
    </row>
    <row r="12197">
      <c r="A12197" s="1" t="s">
        <v>21680</v>
      </c>
      <c r="B12197" s="2" t="s">
        <v>21009</v>
      </c>
      <c r="C12197" s="1" t="s">
        <v>4097</v>
      </c>
      <c r="D12197" s="1" t="s">
        <v>4098</v>
      </c>
    </row>
    <row r="12198">
      <c r="A12198" s="1" t="s">
        <v>21681</v>
      </c>
      <c r="B12198" s="2" t="s">
        <v>21011</v>
      </c>
      <c r="C12198" s="1" t="s">
        <v>4097</v>
      </c>
      <c r="D12198" s="1" t="s">
        <v>4098</v>
      </c>
    </row>
    <row r="12199">
      <c r="A12199" s="1" t="s">
        <v>21682</v>
      </c>
      <c r="B12199" s="2" t="s">
        <v>21013</v>
      </c>
      <c r="C12199" s="1" t="s">
        <v>4097</v>
      </c>
      <c r="D12199" s="1" t="s">
        <v>4098</v>
      </c>
    </row>
    <row r="12200">
      <c r="A12200" s="1" t="s">
        <v>21683</v>
      </c>
      <c r="B12200" s="2" t="s">
        <v>21015</v>
      </c>
      <c r="C12200" s="1" t="s">
        <v>4097</v>
      </c>
      <c r="D12200" s="1" t="s">
        <v>4098</v>
      </c>
    </row>
    <row r="12201">
      <c r="A12201" s="1" t="s">
        <v>21684</v>
      </c>
      <c r="B12201" s="2" t="s">
        <v>21017</v>
      </c>
      <c r="C12201" s="1" t="s">
        <v>4097</v>
      </c>
      <c r="D12201" s="1" t="s">
        <v>4098</v>
      </c>
    </row>
    <row r="12202">
      <c r="A12202" s="1" t="s">
        <v>21685</v>
      </c>
      <c r="B12202" s="2" t="s">
        <v>21019</v>
      </c>
      <c r="C12202" s="1" t="s">
        <v>4097</v>
      </c>
      <c r="D12202" s="1" t="s">
        <v>4098</v>
      </c>
    </row>
    <row r="12203">
      <c r="A12203" s="1" t="s">
        <v>21686</v>
      </c>
      <c r="B12203" s="2" t="s">
        <v>21021</v>
      </c>
      <c r="C12203" s="1" t="s">
        <v>4097</v>
      </c>
      <c r="D12203" s="1" t="s">
        <v>4098</v>
      </c>
    </row>
    <row r="12204">
      <c r="A12204" s="1" t="s">
        <v>21687</v>
      </c>
      <c r="B12204" s="2" t="s">
        <v>21023</v>
      </c>
      <c r="C12204" s="1" t="s">
        <v>4097</v>
      </c>
      <c r="D12204" s="1" t="s">
        <v>4098</v>
      </c>
    </row>
    <row r="12205">
      <c r="A12205" s="1" t="s">
        <v>21688</v>
      </c>
      <c r="B12205" s="2" t="s">
        <v>21025</v>
      </c>
      <c r="C12205" s="1" t="s">
        <v>4097</v>
      </c>
      <c r="D12205" s="1" t="s">
        <v>4098</v>
      </c>
    </row>
    <row r="12206">
      <c r="A12206" s="1" t="s">
        <v>21689</v>
      </c>
      <c r="B12206" s="2" t="s">
        <v>21027</v>
      </c>
      <c r="C12206" s="1" t="s">
        <v>4097</v>
      </c>
      <c r="D12206" s="1" t="s">
        <v>4098</v>
      </c>
    </row>
    <row r="12207">
      <c r="A12207" s="1" t="s">
        <v>21690</v>
      </c>
      <c r="B12207" s="2" t="s">
        <v>21029</v>
      </c>
      <c r="C12207" s="1" t="s">
        <v>4097</v>
      </c>
      <c r="D12207" s="1" t="s">
        <v>4098</v>
      </c>
    </row>
    <row r="12208">
      <c r="A12208" s="1" t="s">
        <v>21691</v>
      </c>
      <c r="B12208" s="2" t="s">
        <v>21031</v>
      </c>
      <c r="C12208" s="1" t="s">
        <v>4097</v>
      </c>
      <c r="D12208" s="1" t="s">
        <v>4098</v>
      </c>
    </row>
    <row r="12209">
      <c r="A12209" s="1" t="s">
        <v>21692</v>
      </c>
      <c r="B12209" s="2" t="s">
        <v>21033</v>
      </c>
      <c r="C12209" s="1" t="s">
        <v>4097</v>
      </c>
      <c r="D12209" s="1" t="s">
        <v>4098</v>
      </c>
    </row>
    <row r="12210">
      <c r="A12210" s="1" t="s">
        <v>21693</v>
      </c>
      <c r="B12210" s="2" t="s">
        <v>21035</v>
      </c>
      <c r="C12210" s="1" t="s">
        <v>4097</v>
      </c>
      <c r="D12210" s="1" t="s">
        <v>4098</v>
      </c>
    </row>
    <row r="12211">
      <c r="A12211" s="1" t="s">
        <v>21694</v>
      </c>
      <c r="B12211" s="2" t="s">
        <v>21037</v>
      </c>
      <c r="C12211" s="1" t="s">
        <v>4097</v>
      </c>
      <c r="D12211" s="1" t="s">
        <v>4098</v>
      </c>
    </row>
    <row r="12212">
      <c r="A12212" s="1" t="s">
        <v>21695</v>
      </c>
      <c r="B12212" s="2" t="s">
        <v>21039</v>
      </c>
      <c r="C12212" s="1" t="s">
        <v>4097</v>
      </c>
      <c r="D12212" s="1" t="s">
        <v>4098</v>
      </c>
    </row>
    <row r="12213">
      <c r="A12213" s="1" t="s">
        <v>21696</v>
      </c>
      <c r="B12213" s="2" t="s">
        <v>21041</v>
      </c>
      <c r="C12213" s="1" t="s">
        <v>4097</v>
      </c>
      <c r="D12213" s="1" t="s">
        <v>4098</v>
      </c>
    </row>
    <row r="12214">
      <c r="A12214" s="1" t="s">
        <v>21697</v>
      </c>
      <c r="B12214" s="2" t="s">
        <v>21043</v>
      </c>
      <c r="C12214" s="1" t="s">
        <v>4097</v>
      </c>
      <c r="D12214" s="1" t="s">
        <v>4098</v>
      </c>
    </row>
    <row r="12215">
      <c r="A12215" s="1" t="s">
        <v>21698</v>
      </c>
      <c r="B12215" s="2" t="s">
        <v>21045</v>
      </c>
      <c r="C12215" s="1" t="s">
        <v>4097</v>
      </c>
      <c r="D12215" s="1" t="s">
        <v>4098</v>
      </c>
    </row>
    <row r="12216">
      <c r="A12216" s="1" t="s">
        <v>21699</v>
      </c>
      <c r="B12216" s="2" t="s">
        <v>21047</v>
      </c>
      <c r="C12216" s="1" t="s">
        <v>4097</v>
      </c>
      <c r="D12216" s="1" t="s">
        <v>4098</v>
      </c>
    </row>
    <row r="12217">
      <c r="A12217" s="1" t="s">
        <v>21700</v>
      </c>
      <c r="B12217" s="2" t="s">
        <v>21049</v>
      </c>
      <c r="C12217" s="1" t="s">
        <v>4097</v>
      </c>
      <c r="D12217" s="1" t="s">
        <v>4098</v>
      </c>
    </row>
    <row r="12218">
      <c r="A12218" s="1" t="s">
        <v>21701</v>
      </c>
      <c r="B12218" s="2" t="s">
        <v>21051</v>
      </c>
      <c r="C12218" s="1" t="s">
        <v>4097</v>
      </c>
      <c r="D12218" s="1" t="s">
        <v>4098</v>
      </c>
    </row>
    <row r="12219">
      <c r="A12219" s="1" t="s">
        <v>21702</v>
      </c>
      <c r="B12219" s="2" t="s">
        <v>21053</v>
      </c>
      <c r="C12219" s="1" t="s">
        <v>4097</v>
      </c>
      <c r="D12219" s="1" t="s">
        <v>4098</v>
      </c>
    </row>
    <row r="12220">
      <c r="A12220" s="1" t="s">
        <v>21703</v>
      </c>
      <c r="B12220" s="2" t="s">
        <v>21055</v>
      </c>
      <c r="C12220" s="1" t="s">
        <v>4097</v>
      </c>
      <c r="D12220" s="1" t="s">
        <v>4098</v>
      </c>
    </row>
    <row r="12221">
      <c r="A12221" s="1" t="s">
        <v>21704</v>
      </c>
      <c r="B12221" s="2" t="s">
        <v>21057</v>
      </c>
      <c r="C12221" s="1" t="s">
        <v>4097</v>
      </c>
      <c r="D12221" s="1" t="s">
        <v>4098</v>
      </c>
    </row>
    <row r="12222">
      <c r="A12222" s="1" t="s">
        <v>21705</v>
      </c>
      <c r="B12222" s="2" t="s">
        <v>21059</v>
      </c>
      <c r="C12222" s="1" t="s">
        <v>4097</v>
      </c>
      <c r="D12222" s="1" t="s">
        <v>4098</v>
      </c>
    </row>
    <row r="12223">
      <c r="A12223" s="1" t="s">
        <v>21706</v>
      </c>
      <c r="B12223" s="2" t="s">
        <v>21061</v>
      </c>
      <c r="C12223" s="1" t="s">
        <v>4097</v>
      </c>
      <c r="D12223" s="1" t="s">
        <v>4098</v>
      </c>
    </row>
    <row r="12224">
      <c r="A12224" s="1" t="s">
        <v>21707</v>
      </c>
      <c r="B12224" s="2" t="s">
        <v>21063</v>
      </c>
      <c r="C12224" s="1" t="s">
        <v>4097</v>
      </c>
      <c r="D12224" s="1" t="s">
        <v>4098</v>
      </c>
    </row>
    <row r="12225">
      <c r="A12225" s="1" t="s">
        <v>21708</v>
      </c>
      <c r="B12225" s="2" t="s">
        <v>21065</v>
      </c>
      <c r="C12225" s="1" t="s">
        <v>4097</v>
      </c>
      <c r="D12225" s="1" t="s">
        <v>4098</v>
      </c>
    </row>
    <row r="12226">
      <c r="A12226" s="1" t="s">
        <v>21709</v>
      </c>
      <c r="B12226" s="2" t="s">
        <v>21067</v>
      </c>
      <c r="C12226" s="1" t="s">
        <v>4097</v>
      </c>
      <c r="D12226" s="1" t="s">
        <v>4098</v>
      </c>
    </row>
    <row r="12227">
      <c r="A12227" s="1" t="s">
        <v>21710</v>
      </c>
      <c r="B12227" s="2" t="s">
        <v>21069</v>
      </c>
      <c r="C12227" s="1" t="s">
        <v>4097</v>
      </c>
      <c r="D12227" s="1" t="s">
        <v>4098</v>
      </c>
    </row>
    <row r="12228">
      <c r="A12228" s="1" t="s">
        <v>21711</v>
      </c>
      <c r="B12228" s="2" t="s">
        <v>21071</v>
      </c>
      <c r="C12228" s="1" t="s">
        <v>4097</v>
      </c>
      <c r="D12228" s="1" t="s">
        <v>4098</v>
      </c>
    </row>
    <row r="12229">
      <c r="A12229" s="1" t="s">
        <v>21712</v>
      </c>
      <c r="B12229" s="2" t="s">
        <v>21073</v>
      </c>
      <c r="C12229" s="1" t="s">
        <v>4097</v>
      </c>
      <c r="D12229" s="1" t="s">
        <v>4098</v>
      </c>
    </row>
    <row r="12230">
      <c r="A12230" s="1" t="s">
        <v>21713</v>
      </c>
      <c r="B12230" s="2" t="s">
        <v>21075</v>
      </c>
      <c r="C12230" s="1" t="s">
        <v>4097</v>
      </c>
      <c r="D12230" s="1" t="s">
        <v>4098</v>
      </c>
    </row>
    <row r="12231">
      <c r="A12231" s="1" t="s">
        <v>21714</v>
      </c>
      <c r="B12231" s="2" t="s">
        <v>21077</v>
      </c>
      <c r="C12231" s="1" t="s">
        <v>4097</v>
      </c>
      <c r="D12231" s="1" t="s">
        <v>4098</v>
      </c>
    </row>
    <row r="12232">
      <c r="A12232" s="1" t="s">
        <v>21715</v>
      </c>
      <c r="B12232" s="2" t="s">
        <v>21079</v>
      </c>
      <c r="C12232" s="1" t="s">
        <v>4097</v>
      </c>
      <c r="D12232" s="1" t="s">
        <v>4098</v>
      </c>
    </row>
    <row r="12233">
      <c r="A12233" s="1" t="s">
        <v>21716</v>
      </c>
      <c r="B12233" s="2" t="s">
        <v>21081</v>
      </c>
      <c r="C12233" s="1" t="s">
        <v>4097</v>
      </c>
      <c r="D12233" s="1" t="s">
        <v>4098</v>
      </c>
    </row>
    <row r="12234">
      <c r="A12234" s="1" t="s">
        <v>21717</v>
      </c>
      <c r="B12234" s="2" t="s">
        <v>21083</v>
      </c>
      <c r="C12234" s="1" t="s">
        <v>4097</v>
      </c>
      <c r="D12234" s="1" t="s">
        <v>4098</v>
      </c>
    </row>
    <row r="12235">
      <c r="A12235" s="1" t="s">
        <v>21718</v>
      </c>
      <c r="B12235" s="2" t="s">
        <v>21085</v>
      </c>
      <c r="C12235" s="1" t="s">
        <v>4097</v>
      </c>
      <c r="D12235" s="1" t="s">
        <v>4098</v>
      </c>
    </row>
    <row r="12236">
      <c r="A12236" s="1" t="s">
        <v>21719</v>
      </c>
      <c r="B12236" s="2" t="s">
        <v>21087</v>
      </c>
      <c r="C12236" s="1" t="s">
        <v>4097</v>
      </c>
      <c r="D12236" s="1" t="s">
        <v>4098</v>
      </c>
    </row>
    <row r="12237">
      <c r="A12237" s="1" t="s">
        <v>21720</v>
      </c>
      <c r="B12237" s="2" t="s">
        <v>21089</v>
      </c>
      <c r="C12237" s="1" t="s">
        <v>4097</v>
      </c>
      <c r="D12237" s="1" t="s">
        <v>4098</v>
      </c>
    </row>
    <row r="12238">
      <c r="A12238" s="1" t="s">
        <v>21721</v>
      </c>
      <c r="B12238" s="2" t="s">
        <v>21091</v>
      </c>
      <c r="C12238" s="1" t="s">
        <v>4097</v>
      </c>
      <c r="D12238" s="1" t="s">
        <v>4098</v>
      </c>
    </row>
    <row r="12239">
      <c r="A12239" s="1" t="s">
        <v>21722</v>
      </c>
      <c r="B12239" s="2" t="s">
        <v>21093</v>
      </c>
      <c r="C12239" s="1" t="s">
        <v>4097</v>
      </c>
      <c r="D12239" s="1" t="s">
        <v>4098</v>
      </c>
    </row>
    <row r="12240">
      <c r="A12240" s="1" t="s">
        <v>21723</v>
      </c>
      <c r="B12240" s="2" t="s">
        <v>21095</v>
      </c>
      <c r="C12240" s="1" t="s">
        <v>4097</v>
      </c>
      <c r="D12240" s="1" t="s">
        <v>4098</v>
      </c>
    </row>
    <row r="12241">
      <c r="A12241" s="1" t="s">
        <v>21724</v>
      </c>
      <c r="B12241" s="2" t="s">
        <v>21097</v>
      </c>
      <c r="C12241" s="1" t="s">
        <v>4097</v>
      </c>
      <c r="D12241" s="1" t="s">
        <v>4098</v>
      </c>
    </row>
    <row r="12242">
      <c r="A12242" s="1" t="s">
        <v>21725</v>
      </c>
      <c r="B12242" s="2" t="s">
        <v>21099</v>
      </c>
      <c r="C12242" s="1" t="s">
        <v>4097</v>
      </c>
      <c r="D12242" s="1" t="s">
        <v>4098</v>
      </c>
    </row>
    <row r="12243">
      <c r="A12243" s="1" t="s">
        <v>21726</v>
      </c>
      <c r="B12243" s="2" t="s">
        <v>21101</v>
      </c>
      <c r="C12243" s="1" t="s">
        <v>4097</v>
      </c>
      <c r="D12243" s="1" t="s">
        <v>4098</v>
      </c>
    </row>
    <row r="12244">
      <c r="A12244" s="1" t="s">
        <v>21727</v>
      </c>
      <c r="B12244" s="2" t="s">
        <v>21103</v>
      </c>
      <c r="C12244" s="1" t="s">
        <v>4097</v>
      </c>
      <c r="D12244" s="1" t="s">
        <v>4098</v>
      </c>
    </row>
    <row r="12245">
      <c r="A12245" s="1" t="s">
        <v>21728</v>
      </c>
      <c r="B12245" s="2" t="s">
        <v>21105</v>
      </c>
      <c r="C12245" s="1" t="s">
        <v>4097</v>
      </c>
      <c r="D12245" s="1" t="s">
        <v>4098</v>
      </c>
    </row>
    <row r="12246">
      <c r="A12246" s="1" t="s">
        <v>21729</v>
      </c>
      <c r="B12246" s="2" t="s">
        <v>21107</v>
      </c>
      <c r="C12246" s="1" t="s">
        <v>4097</v>
      </c>
      <c r="D12246" s="1" t="s">
        <v>4098</v>
      </c>
    </row>
    <row r="12247">
      <c r="A12247" s="1" t="s">
        <v>21730</v>
      </c>
      <c r="B12247" s="2" t="s">
        <v>21109</v>
      </c>
      <c r="C12247" s="1" t="s">
        <v>4097</v>
      </c>
      <c r="D12247" s="1" t="s">
        <v>4098</v>
      </c>
    </row>
    <row r="12248">
      <c r="A12248" s="1" t="s">
        <v>21731</v>
      </c>
      <c r="B12248" s="2" t="s">
        <v>21111</v>
      </c>
      <c r="C12248" s="1" t="s">
        <v>4097</v>
      </c>
      <c r="D12248" s="1" t="s">
        <v>4098</v>
      </c>
    </row>
    <row r="12249">
      <c r="A12249" s="1" t="s">
        <v>21732</v>
      </c>
      <c r="B12249" s="2" t="s">
        <v>21113</v>
      </c>
      <c r="C12249" s="1" t="s">
        <v>4097</v>
      </c>
      <c r="D12249" s="1" t="s">
        <v>4098</v>
      </c>
    </row>
    <row r="12250">
      <c r="A12250" s="1" t="s">
        <v>21733</v>
      </c>
      <c r="B12250" s="2" t="s">
        <v>21115</v>
      </c>
      <c r="C12250" s="1" t="s">
        <v>4097</v>
      </c>
      <c r="D12250" s="1" t="s">
        <v>4098</v>
      </c>
    </row>
    <row r="12251">
      <c r="A12251" s="1" t="s">
        <v>21734</v>
      </c>
      <c r="B12251" s="2" t="s">
        <v>21117</v>
      </c>
      <c r="C12251" s="1" t="s">
        <v>4097</v>
      </c>
      <c r="D12251" s="1" t="s">
        <v>4098</v>
      </c>
    </row>
    <row r="12252">
      <c r="A12252" s="1" t="s">
        <v>21735</v>
      </c>
      <c r="B12252" s="2" t="s">
        <v>21119</v>
      </c>
      <c r="C12252" s="1" t="s">
        <v>4097</v>
      </c>
      <c r="D12252" s="1" t="s">
        <v>4098</v>
      </c>
    </row>
    <row r="12253">
      <c r="A12253" s="1" t="s">
        <v>21736</v>
      </c>
      <c r="B12253" s="2" t="s">
        <v>21121</v>
      </c>
      <c r="C12253" s="1" t="s">
        <v>4097</v>
      </c>
      <c r="D12253" s="1" t="s">
        <v>4098</v>
      </c>
    </row>
    <row r="12254">
      <c r="A12254" s="1" t="s">
        <v>21737</v>
      </c>
      <c r="B12254" s="2" t="s">
        <v>21123</v>
      </c>
      <c r="C12254" s="1" t="s">
        <v>4097</v>
      </c>
      <c r="D12254" s="1" t="s">
        <v>4098</v>
      </c>
    </row>
    <row r="12255">
      <c r="A12255" s="1" t="s">
        <v>21738</v>
      </c>
      <c r="B12255" s="2" t="s">
        <v>21125</v>
      </c>
      <c r="C12255" s="1" t="s">
        <v>4097</v>
      </c>
      <c r="D12255" s="1" t="s">
        <v>4098</v>
      </c>
    </row>
    <row r="12256">
      <c r="A12256" s="1" t="s">
        <v>21739</v>
      </c>
      <c r="B12256" s="2" t="s">
        <v>21127</v>
      </c>
      <c r="C12256" s="1" t="s">
        <v>4097</v>
      </c>
      <c r="D12256" s="1" t="s">
        <v>4098</v>
      </c>
    </row>
    <row r="12257">
      <c r="A12257" s="1" t="s">
        <v>4180</v>
      </c>
      <c r="B12257" s="2" t="s">
        <v>4181</v>
      </c>
      <c r="C12257" s="1" t="s">
        <v>4184</v>
      </c>
      <c r="D12257" s="1" t="s">
        <v>4185</v>
      </c>
    </row>
    <row r="12258">
      <c r="A12258" s="1" t="s">
        <v>21740</v>
      </c>
      <c r="B12258" s="2" t="s">
        <v>21741</v>
      </c>
      <c r="C12258" s="1" t="s">
        <v>4184</v>
      </c>
      <c r="D12258" s="1" t="s">
        <v>4185</v>
      </c>
    </row>
    <row r="12259">
      <c r="A12259" s="1" t="s">
        <v>21742</v>
      </c>
      <c r="B12259" s="2" t="s">
        <v>21743</v>
      </c>
      <c r="C12259" s="1" t="s">
        <v>4184</v>
      </c>
      <c r="D12259" s="1" t="s">
        <v>4185</v>
      </c>
    </row>
    <row r="12260">
      <c r="A12260" s="1" t="s">
        <v>21744</v>
      </c>
      <c r="B12260" s="2" t="s">
        <v>21745</v>
      </c>
      <c r="C12260" s="1" t="s">
        <v>4184</v>
      </c>
      <c r="D12260" s="1" t="s">
        <v>4185</v>
      </c>
    </row>
    <row r="12261">
      <c r="A12261" s="1" t="s">
        <v>21746</v>
      </c>
      <c r="B12261" s="2" t="s">
        <v>21747</v>
      </c>
      <c r="C12261" s="1" t="s">
        <v>4184</v>
      </c>
      <c r="D12261" s="1" t="s">
        <v>4185</v>
      </c>
    </row>
    <row r="12262">
      <c r="A12262" s="1" t="s">
        <v>4192</v>
      </c>
      <c r="B12262" s="2" t="s">
        <v>4194</v>
      </c>
      <c r="C12262" s="1" t="s">
        <v>4196</v>
      </c>
      <c r="D12262" s="1" t="s">
        <v>4197</v>
      </c>
    </row>
    <row r="12263">
      <c r="A12263" s="1" t="s">
        <v>21748</v>
      </c>
      <c r="B12263" s="2" t="s">
        <v>21749</v>
      </c>
      <c r="C12263" s="1" t="s">
        <v>4196</v>
      </c>
      <c r="D12263" s="1" t="s">
        <v>4197</v>
      </c>
    </row>
    <row r="12264">
      <c r="A12264" s="1" t="s">
        <v>21750</v>
      </c>
      <c r="B12264" s="2" t="s">
        <v>21751</v>
      </c>
      <c r="C12264" s="1" t="s">
        <v>4196</v>
      </c>
      <c r="D12264" s="1" t="s">
        <v>4197</v>
      </c>
    </row>
    <row r="12265">
      <c r="A12265" s="1" t="s">
        <v>21752</v>
      </c>
      <c r="B12265" s="2" t="s">
        <v>21753</v>
      </c>
      <c r="C12265" s="1" t="s">
        <v>4196</v>
      </c>
      <c r="D12265" s="1" t="s">
        <v>4197</v>
      </c>
    </row>
    <row r="12266">
      <c r="A12266" s="1" t="s">
        <v>21754</v>
      </c>
      <c r="B12266" s="2" t="s">
        <v>21755</v>
      </c>
      <c r="C12266" s="1" t="s">
        <v>4196</v>
      </c>
      <c r="D12266" s="1" t="s">
        <v>4197</v>
      </c>
    </row>
    <row r="12267">
      <c r="A12267" s="1" t="s">
        <v>4210</v>
      </c>
      <c r="B12267" s="2" t="s">
        <v>7</v>
      </c>
      <c r="C12267" s="1" t="s">
        <v>4213</v>
      </c>
      <c r="D12267" s="1" t="s">
        <v>4214</v>
      </c>
    </row>
    <row r="12268">
      <c r="A12268" s="1" t="s">
        <v>21756</v>
      </c>
      <c r="B12268" s="2" t="s">
        <v>21757</v>
      </c>
      <c r="C12268" s="1" t="s">
        <v>4213</v>
      </c>
      <c r="D12268" s="1" t="s">
        <v>4214</v>
      </c>
    </row>
    <row r="12269">
      <c r="A12269" s="1" t="s">
        <v>21758</v>
      </c>
      <c r="B12269" s="2" t="s">
        <v>21759</v>
      </c>
      <c r="C12269" s="1" t="s">
        <v>4213</v>
      </c>
      <c r="D12269" s="1" t="s">
        <v>4214</v>
      </c>
    </row>
    <row r="12270">
      <c r="A12270" s="1" t="s">
        <v>4220</v>
      </c>
      <c r="B12270" s="2" t="s">
        <v>7</v>
      </c>
      <c r="C12270" s="1" t="s">
        <v>122</v>
      </c>
      <c r="D12270" s="1" t="s">
        <v>4224</v>
      </c>
    </row>
    <row r="12271">
      <c r="A12271" s="1" t="s">
        <v>21760</v>
      </c>
      <c r="B12271" s="2" t="s">
        <v>21761</v>
      </c>
      <c r="C12271" s="1" t="s">
        <v>122</v>
      </c>
      <c r="D12271" s="1" t="s">
        <v>4224</v>
      </c>
    </row>
    <row r="12272">
      <c r="A12272" s="1" t="s">
        <v>21762</v>
      </c>
      <c r="B12272" s="2" t="s">
        <v>21763</v>
      </c>
      <c r="C12272" s="1" t="s">
        <v>122</v>
      </c>
      <c r="D12272" s="1" t="s">
        <v>4224</v>
      </c>
    </row>
    <row r="12273">
      <c r="A12273" s="1" t="s">
        <v>4231</v>
      </c>
      <c r="B12273" s="2" t="s">
        <v>7</v>
      </c>
      <c r="C12273" s="1" t="s">
        <v>4234</v>
      </c>
      <c r="D12273" s="1" t="s">
        <v>4236</v>
      </c>
    </row>
    <row r="12274">
      <c r="A12274" s="1" t="s">
        <v>21764</v>
      </c>
      <c r="B12274" s="2" t="s">
        <v>21765</v>
      </c>
      <c r="C12274" s="1" t="s">
        <v>4234</v>
      </c>
      <c r="D12274" s="1" t="s">
        <v>4236</v>
      </c>
    </row>
    <row r="12275">
      <c r="A12275" s="1" t="s">
        <v>21766</v>
      </c>
      <c r="B12275" s="2" t="s">
        <v>21767</v>
      </c>
      <c r="C12275" s="1" t="s">
        <v>4234</v>
      </c>
      <c r="D12275" s="1" t="s">
        <v>4236</v>
      </c>
    </row>
    <row r="12276">
      <c r="A12276" s="1" t="s">
        <v>4242</v>
      </c>
      <c r="B12276" s="2" t="s">
        <v>7</v>
      </c>
      <c r="C12276" s="1" t="s">
        <v>4245</v>
      </c>
      <c r="D12276" s="1" t="s">
        <v>4247</v>
      </c>
    </row>
    <row r="12277">
      <c r="A12277" s="1" t="s">
        <v>21768</v>
      </c>
      <c r="B12277" s="2" t="s">
        <v>21769</v>
      </c>
      <c r="C12277" s="1" t="s">
        <v>4245</v>
      </c>
      <c r="D12277" s="1" t="s">
        <v>4247</v>
      </c>
    </row>
    <row r="12278">
      <c r="A12278" s="1" t="s">
        <v>21770</v>
      </c>
      <c r="B12278" s="2" t="s">
        <v>21771</v>
      </c>
      <c r="C12278" s="1" t="s">
        <v>4245</v>
      </c>
      <c r="D12278" s="1" t="s">
        <v>4247</v>
      </c>
    </row>
    <row r="12279">
      <c r="A12279" s="1" t="s">
        <v>4253</v>
      </c>
      <c r="B12279" s="2" t="s">
        <v>7</v>
      </c>
      <c r="C12279" s="1" t="s">
        <v>4254</v>
      </c>
      <c r="D12279" s="1" t="s">
        <v>4256</v>
      </c>
    </row>
    <row r="12280">
      <c r="A12280" s="1" t="s">
        <v>21772</v>
      </c>
      <c r="B12280" s="2" t="s">
        <v>21773</v>
      </c>
      <c r="C12280" s="1" t="s">
        <v>4254</v>
      </c>
      <c r="D12280" s="1" t="s">
        <v>4256</v>
      </c>
    </row>
    <row r="12281">
      <c r="A12281" s="1" t="s">
        <v>21774</v>
      </c>
      <c r="B12281" s="2" t="s">
        <v>21775</v>
      </c>
      <c r="C12281" s="1" t="s">
        <v>4254</v>
      </c>
      <c r="D12281" s="1" t="s">
        <v>4256</v>
      </c>
    </row>
    <row r="12282">
      <c r="A12282" s="1" t="s">
        <v>4260</v>
      </c>
      <c r="B12282" s="2" t="s">
        <v>7</v>
      </c>
      <c r="C12282" s="1" t="s">
        <v>4263</v>
      </c>
      <c r="D12282" s="1" t="s">
        <v>4264</v>
      </c>
    </row>
    <row r="12283">
      <c r="A12283" s="1" t="s">
        <v>21776</v>
      </c>
      <c r="B12283" s="2" t="s">
        <v>21777</v>
      </c>
      <c r="C12283" s="1" t="s">
        <v>4263</v>
      </c>
      <c r="D12283" s="1" t="s">
        <v>4264</v>
      </c>
    </row>
    <row r="12284">
      <c r="A12284" s="1" t="s">
        <v>21778</v>
      </c>
      <c r="B12284" s="2" t="s">
        <v>21779</v>
      </c>
      <c r="C12284" s="1" t="s">
        <v>4263</v>
      </c>
      <c r="D12284" s="1" t="s">
        <v>4264</v>
      </c>
    </row>
    <row r="12285">
      <c r="A12285" s="1" t="s">
        <v>4269</v>
      </c>
      <c r="B12285" s="2" t="s">
        <v>7</v>
      </c>
      <c r="C12285" s="1" t="s">
        <v>4272</v>
      </c>
      <c r="D12285" s="1" t="s">
        <v>4274</v>
      </c>
    </row>
    <row r="12286">
      <c r="A12286" s="1" t="s">
        <v>21780</v>
      </c>
      <c r="B12286" s="2" t="s">
        <v>21781</v>
      </c>
      <c r="C12286" s="1" t="s">
        <v>4272</v>
      </c>
      <c r="D12286" s="1" t="s">
        <v>4274</v>
      </c>
    </row>
    <row r="12287">
      <c r="A12287" s="1" t="s">
        <v>21782</v>
      </c>
      <c r="B12287" s="2" t="s">
        <v>21783</v>
      </c>
      <c r="C12287" s="1" t="s">
        <v>4272</v>
      </c>
      <c r="D12287" s="1" t="s">
        <v>4274</v>
      </c>
    </row>
    <row r="12288">
      <c r="A12288" s="1" t="s">
        <v>4280</v>
      </c>
      <c r="B12288" s="2" t="s">
        <v>7</v>
      </c>
      <c r="C12288" s="1" t="s">
        <v>4283</v>
      </c>
      <c r="D12288" s="1" t="s">
        <v>4284</v>
      </c>
    </row>
    <row r="12289">
      <c r="A12289" s="1" t="s">
        <v>21784</v>
      </c>
      <c r="B12289" s="2" t="s">
        <v>21785</v>
      </c>
      <c r="C12289" s="1" t="s">
        <v>4283</v>
      </c>
      <c r="D12289" s="1" t="s">
        <v>4284</v>
      </c>
    </row>
    <row r="12290">
      <c r="A12290" s="1" t="s">
        <v>21786</v>
      </c>
      <c r="B12290" s="2" t="s">
        <v>21787</v>
      </c>
      <c r="C12290" s="1" t="s">
        <v>4283</v>
      </c>
      <c r="D12290" s="1" t="s">
        <v>4284</v>
      </c>
    </row>
    <row r="12291">
      <c r="A12291" s="1" t="s">
        <v>4291</v>
      </c>
      <c r="B12291" s="2" t="s">
        <v>7</v>
      </c>
      <c r="C12291" s="1" t="s">
        <v>4294</v>
      </c>
      <c r="D12291" s="1" t="s">
        <v>4296</v>
      </c>
    </row>
    <row r="12292">
      <c r="A12292" s="1" t="s">
        <v>21788</v>
      </c>
      <c r="B12292" s="2" t="s">
        <v>21789</v>
      </c>
      <c r="C12292" s="1" t="s">
        <v>4294</v>
      </c>
      <c r="D12292" s="1" t="s">
        <v>4296</v>
      </c>
    </row>
    <row r="12293">
      <c r="A12293" s="1" t="s">
        <v>21790</v>
      </c>
      <c r="B12293" s="2" t="s">
        <v>21791</v>
      </c>
      <c r="C12293" s="1" t="s">
        <v>4294</v>
      </c>
      <c r="D12293" s="1" t="s">
        <v>4296</v>
      </c>
    </row>
    <row r="12294">
      <c r="A12294" s="1" t="s">
        <v>4302</v>
      </c>
      <c r="B12294" s="2" t="s">
        <v>7</v>
      </c>
      <c r="C12294" s="1" t="s">
        <v>4305</v>
      </c>
      <c r="D12294" s="1" t="s">
        <v>4306</v>
      </c>
    </row>
    <row r="12295">
      <c r="A12295" s="1" t="s">
        <v>21792</v>
      </c>
      <c r="B12295" s="2" t="s">
        <v>21793</v>
      </c>
      <c r="C12295" s="1" t="s">
        <v>4305</v>
      </c>
      <c r="D12295" s="1" t="s">
        <v>4306</v>
      </c>
    </row>
    <row r="12296">
      <c r="A12296" s="1" t="s">
        <v>21794</v>
      </c>
      <c r="B12296" s="2" t="s">
        <v>21795</v>
      </c>
      <c r="C12296" s="1" t="s">
        <v>4305</v>
      </c>
      <c r="D12296" s="1" t="s">
        <v>4306</v>
      </c>
    </row>
    <row r="12297">
      <c r="A12297" s="1" t="s">
        <v>4313</v>
      </c>
      <c r="B12297" s="2" t="s">
        <v>4315</v>
      </c>
      <c r="C12297" s="1" t="s">
        <v>4317</v>
      </c>
      <c r="D12297" s="1" t="s">
        <v>4318</v>
      </c>
    </row>
    <row r="12298">
      <c r="A12298" s="1" t="s">
        <v>4326</v>
      </c>
      <c r="B12298" s="2" t="s">
        <v>4328</v>
      </c>
      <c r="C12298" s="1" t="s">
        <v>4330</v>
      </c>
      <c r="D12298" s="1" t="s">
        <v>4332</v>
      </c>
    </row>
    <row r="12299">
      <c r="A12299" s="1" t="s">
        <v>4338</v>
      </c>
      <c r="B12299" s="2" t="s">
        <v>4340</v>
      </c>
      <c r="C12299" s="1" t="s">
        <v>4342</v>
      </c>
      <c r="D12299" s="1" t="s">
        <v>4343</v>
      </c>
    </row>
    <row r="12300">
      <c r="A12300" s="1" t="s">
        <v>4350</v>
      </c>
      <c r="B12300" s="2" t="s">
        <v>4351</v>
      </c>
      <c r="C12300" s="1" t="s">
        <v>4354</v>
      </c>
      <c r="D12300" s="1" t="s">
        <v>4355</v>
      </c>
    </row>
    <row r="12301">
      <c r="A12301" s="1" t="s">
        <v>4362</v>
      </c>
      <c r="B12301" s="2" t="s">
        <v>4363</v>
      </c>
      <c r="C12301" s="1" t="s">
        <v>4366</v>
      </c>
      <c r="D12301" s="1" t="s">
        <v>4367</v>
      </c>
    </row>
    <row r="12302">
      <c r="A12302" s="1" t="s">
        <v>4380</v>
      </c>
      <c r="B12302" s="2" t="s">
        <v>4383</v>
      </c>
      <c r="C12302" s="1" t="s">
        <v>4384</v>
      </c>
      <c r="D12302" s="1" t="s">
        <v>4387</v>
      </c>
    </row>
    <row r="12303">
      <c r="A12303" s="1" t="s">
        <v>4399</v>
      </c>
      <c r="B12303" s="2" t="s">
        <v>4401</v>
      </c>
      <c r="C12303" s="1" t="s">
        <v>4404</v>
      </c>
      <c r="D12303" s="1" t="s">
        <v>4405</v>
      </c>
    </row>
    <row r="12304">
      <c r="A12304" s="1" t="s">
        <v>4413</v>
      </c>
      <c r="B12304" s="2" t="s">
        <v>4414</v>
      </c>
      <c r="C12304" s="1" t="s">
        <v>4416</v>
      </c>
      <c r="D12304" s="1" t="s">
        <v>4418</v>
      </c>
    </row>
    <row r="12305">
      <c r="A12305" s="1" t="s">
        <v>4423</v>
      </c>
      <c r="B12305" s="2" t="s">
        <v>4424</v>
      </c>
      <c r="C12305" s="1" t="s">
        <v>4426</v>
      </c>
      <c r="D12305" s="1" t="s">
        <v>4428</v>
      </c>
    </row>
    <row r="12306">
      <c r="A12306" s="1" t="s">
        <v>4437</v>
      </c>
      <c r="B12306" s="2" t="s">
        <v>4438</v>
      </c>
      <c r="C12306" s="1" t="s">
        <v>4440</v>
      </c>
      <c r="D12306" s="1" t="s">
        <v>4441</v>
      </c>
    </row>
    <row r="12307">
      <c r="A12307" s="1" t="s">
        <v>21796</v>
      </c>
      <c r="B12307" s="2" t="s">
        <v>21797</v>
      </c>
      <c r="C12307" s="1" t="s">
        <v>4440</v>
      </c>
      <c r="D12307" s="1" t="s">
        <v>4441</v>
      </c>
    </row>
    <row r="12308">
      <c r="A12308" s="1" t="s">
        <v>21798</v>
      </c>
      <c r="B12308" s="2" t="s">
        <v>21799</v>
      </c>
      <c r="C12308" s="1" t="s">
        <v>4440</v>
      </c>
      <c r="D12308" s="1" t="s">
        <v>4441</v>
      </c>
    </row>
    <row r="12309">
      <c r="A12309" s="1" t="s">
        <v>21800</v>
      </c>
      <c r="B12309" s="2" t="s">
        <v>21801</v>
      </c>
      <c r="C12309" s="1" t="s">
        <v>4440</v>
      </c>
      <c r="D12309" s="1" t="s">
        <v>4441</v>
      </c>
    </row>
    <row r="12310">
      <c r="A12310" s="1" t="s">
        <v>21802</v>
      </c>
      <c r="B12310" s="2" t="s">
        <v>21803</v>
      </c>
      <c r="C12310" s="1" t="s">
        <v>4440</v>
      </c>
      <c r="D12310" s="1" t="s">
        <v>4441</v>
      </c>
    </row>
    <row r="12311">
      <c r="A12311" s="1" t="s">
        <v>4447</v>
      </c>
      <c r="B12311" s="2" t="s">
        <v>4449</v>
      </c>
      <c r="C12311" s="1" t="s">
        <v>4451</v>
      </c>
      <c r="D12311" s="1" t="s">
        <v>4452</v>
      </c>
    </row>
    <row r="12312">
      <c r="A12312" s="1" t="s">
        <v>21804</v>
      </c>
      <c r="B12312" s="2" t="s">
        <v>21805</v>
      </c>
      <c r="C12312" s="1" t="s">
        <v>4451</v>
      </c>
      <c r="D12312" s="1" t="s">
        <v>4452</v>
      </c>
    </row>
    <row r="12313">
      <c r="A12313" s="1" t="s">
        <v>21806</v>
      </c>
      <c r="B12313" s="2" t="s">
        <v>21807</v>
      </c>
      <c r="C12313" s="1" t="s">
        <v>4451</v>
      </c>
      <c r="D12313" s="1" t="s">
        <v>4452</v>
      </c>
    </row>
    <row r="12314">
      <c r="A12314" s="1" t="s">
        <v>21808</v>
      </c>
      <c r="B12314" s="2" t="s">
        <v>21809</v>
      </c>
      <c r="C12314" s="1" t="s">
        <v>4451</v>
      </c>
      <c r="D12314" s="1" t="s">
        <v>4452</v>
      </c>
    </row>
    <row r="12315">
      <c r="A12315" s="1" t="s">
        <v>21810</v>
      </c>
      <c r="B12315" s="2" t="s">
        <v>21811</v>
      </c>
      <c r="C12315" s="1" t="s">
        <v>4451</v>
      </c>
      <c r="D12315" s="1" t="s">
        <v>4452</v>
      </c>
    </row>
    <row r="12316">
      <c r="A12316" s="1" t="s">
        <v>21812</v>
      </c>
      <c r="B12316" s="2" t="s">
        <v>21813</v>
      </c>
      <c r="C12316" s="1" t="s">
        <v>4451</v>
      </c>
      <c r="D12316" s="1" t="s">
        <v>4452</v>
      </c>
    </row>
    <row r="12317">
      <c r="A12317" s="1" t="s">
        <v>4458</v>
      </c>
      <c r="B12317" s="2" t="s">
        <v>4460</v>
      </c>
      <c r="C12317" s="1" t="s">
        <v>4461</v>
      </c>
      <c r="D12317" s="1" t="s">
        <v>4463</v>
      </c>
    </row>
    <row r="12318">
      <c r="A12318" s="1" t="s">
        <v>21814</v>
      </c>
      <c r="B12318" s="2" t="s">
        <v>21815</v>
      </c>
      <c r="C12318" s="1" t="s">
        <v>4461</v>
      </c>
      <c r="D12318" s="1" t="s">
        <v>4463</v>
      </c>
    </row>
    <row r="12319">
      <c r="A12319" s="1" t="s">
        <v>21816</v>
      </c>
      <c r="B12319" s="2" t="s">
        <v>21817</v>
      </c>
      <c r="C12319" s="1" t="s">
        <v>4461</v>
      </c>
      <c r="D12319" s="1" t="s">
        <v>4463</v>
      </c>
    </row>
    <row r="12320">
      <c r="A12320" s="1" t="s">
        <v>21818</v>
      </c>
      <c r="B12320" s="2" t="s">
        <v>21819</v>
      </c>
      <c r="C12320" s="1" t="s">
        <v>4461</v>
      </c>
      <c r="D12320" s="1" t="s">
        <v>4463</v>
      </c>
    </row>
    <row r="12321">
      <c r="A12321" s="1" t="s">
        <v>21820</v>
      </c>
      <c r="B12321" s="2" t="s">
        <v>21821</v>
      </c>
      <c r="C12321" s="1" t="s">
        <v>4461</v>
      </c>
      <c r="D12321" s="1" t="s">
        <v>4463</v>
      </c>
    </row>
    <row r="12322">
      <c r="A12322" s="1" t="s">
        <v>21822</v>
      </c>
      <c r="B12322" s="2" t="s">
        <v>21813</v>
      </c>
      <c r="C12322" s="1" t="s">
        <v>4461</v>
      </c>
      <c r="D12322" s="1" t="s">
        <v>4463</v>
      </c>
    </row>
    <row r="12323">
      <c r="A12323" s="1" t="s">
        <v>4468</v>
      </c>
      <c r="B12323" s="2" t="s">
        <v>4470</v>
      </c>
      <c r="C12323" s="1" t="s">
        <v>144</v>
      </c>
      <c r="D12323" s="1" t="s">
        <v>4472</v>
      </c>
    </row>
    <row r="12324">
      <c r="A12324" s="1" t="s">
        <v>4487</v>
      </c>
      <c r="B12324" s="2" t="s">
        <v>7</v>
      </c>
      <c r="C12324" s="1" t="s">
        <v>4489</v>
      </c>
      <c r="D12324" s="1" t="s">
        <v>4491</v>
      </c>
    </row>
    <row r="12325">
      <c r="A12325" s="1" t="s">
        <v>21823</v>
      </c>
      <c r="B12325" s="2" t="s">
        <v>20804</v>
      </c>
      <c r="C12325" s="1" t="s">
        <v>4489</v>
      </c>
      <c r="D12325" s="1" t="s">
        <v>4491</v>
      </c>
    </row>
    <row r="12326">
      <c r="A12326" s="1" t="s">
        <v>21824</v>
      </c>
      <c r="B12326" s="2" t="s">
        <v>11156</v>
      </c>
      <c r="C12326" s="1" t="s">
        <v>4489</v>
      </c>
      <c r="D12326" s="1" t="s">
        <v>4491</v>
      </c>
    </row>
    <row r="12327">
      <c r="A12327" s="1" t="s">
        <v>21825</v>
      </c>
      <c r="B12327" s="2" t="s">
        <v>20807</v>
      </c>
      <c r="C12327" s="1" t="s">
        <v>4489</v>
      </c>
      <c r="D12327" s="1" t="s">
        <v>4491</v>
      </c>
    </row>
    <row r="12328">
      <c r="A12328" s="1" t="s">
        <v>21826</v>
      </c>
      <c r="B12328" s="2" t="s">
        <v>20809</v>
      </c>
      <c r="C12328" s="1" t="s">
        <v>4489</v>
      </c>
      <c r="D12328" s="1" t="s">
        <v>4491</v>
      </c>
    </row>
    <row r="12329">
      <c r="A12329" s="1" t="s">
        <v>21827</v>
      </c>
      <c r="B12329" s="2" t="s">
        <v>20811</v>
      </c>
      <c r="C12329" s="1" t="s">
        <v>4489</v>
      </c>
      <c r="D12329" s="1" t="s">
        <v>4491</v>
      </c>
    </row>
    <row r="12330">
      <c r="A12330" s="1" t="s">
        <v>21828</v>
      </c>
      <c r="B12330" s="2" t="s">
        <v>20813</v>
      </c>
      <c r="C12330" s="1" t="s">
        <v>4489</v>
      </c>
      <c r="D12330" s="1" t="s">
        <v>4491</v>
      </c>
    </row>
    <row r="12331">
      <c r="A12331" s="1" t="s">
        <v>21829</v>
      </c>
      <c r="B12331" s="2" t="s">
        <v>20815</v>
      </c>
      <c r="C12331" s="1" t="s">
        <v>4489</v>
      </c>
      <c r="D12331" s="1" t="s">
        <v>4491</v>
      </c>
    </row>
    <row r="12332">
      <c r="A12332" s="1" t="s">
        <v>21830</v>
      </c>
      <c r="B12332" s="2" t="s">
        <v>20817</v>
      </c>
      <c r="C12332" s="1" t="s">
        <v>4489</v>
      </c>
      <c r="D12332" s="1" t="s">
        <v>4491</v>
      </c>
    </row>
    <row r="12333">
      <c r="A12333" s="1" t="s">
        <v>21831</v>
      </c>
      <c r="B12333" s="2" t="s">
        <v>20819</v>
      </c>
      <c r="C12333" s="1" t="s">
        <v>4489</v>
      </c>
      <c r="D12333" s="1" t="s">
        <v>4491</v>
      </c>
    </row>
    <row r="12334">
      <c r="A12334" s="1" t="s">
        <v>21832</v>
      </c>
      <c r="B12334" s="2" t="s">
        <v>20821</v>
      </c>
      <c r="C12334" s="1" t="s">
        <v>4489</v>
      </c>
      <c r="D12334" s="1" t="s">
        <v>4491</v>
      </c>
    </row>
    <row r="12335">
      <c r="A12335" s="1" t="s">
        <v>21833</v>
      </c>
      <c r="B12335" s="2" t="s">
        <v>20823</v>
      </c>
      <c r="C12335" s="1" t="s">
        <v>4489</v>
      </c>
      <c r="D12335" s="1" t="s">
        <v>4491</v>
      </c>
    </row>
    <row r="12336">
      <c r="A12336" s="1" t="s">
        <v>21834</v>
      </c>
      <c r="B12336" s="2" t="s">
        <v>20825</v>
      </c>
      <c r="C12336" s="1" t="s">
        <v>4489</v>
      </c>
      <c r="D12336" s="1" t="s">
        <v>4491</v>
      </c>
    </row>
    <row r="12337">
      <c r="A12337" s="1" t="s">
        <v>21835</v>
      </c>
      <c r="B12337" s="2" t="s">
        <v>20827</v>
      </c>
      <c r="C12337" s="1" t="s">
        <v>4489</v>
      </c>
      <c r="D12337" s="1" t="s">
        <v>4491</v>
      </c>
    </row>
    <row r="12338">
      <c r="A12338" s="1" t="s">
        <v>21836</v>
      </c>
      <c r="B12338" s="2" t="s">
        <v>20829</v>
      </c>
      <c r="C12338" s="1" t="s">
        <v>4489</v>
      </c>
      <c r="D12338" s="1" t="s">
        <v>4491</v>
      </c>
    </row>
    <row r="12339">
      <c r="A12339" s="1" t="s">
        <v>21837</v>
      </c>
      <c r="B12339" s="2" t="s">
        <v>20831</v>
      </c>
      <c r="C12339" s="1" t="s">
        <v>4489</v>
      </c>
      <c r="D12339" s="1" t="s">
        <v>4491</v>
      </c>
    </row>
    <row r="12340">
      <c r="A12340" s="1" t="s">
        <v>21838</v>
      </c>
      <c r="B12340" s="2" t="s">
        <v>20833</v>
      </c>
      <c r="C12340" s="1" t="s">
        <v>4489</v>
      </c>
      <c r="D12340" s="1" t="s">
        <v>4491</v>
      </c>
    </row>
    <row r="12341">
      <c r="A12341" s="1" t="s">
        <v>4496</v>
      </c>
      <c r="B12341" s="2" t="s">
        <v>7</v>
      </c>
      <c r="C12341" s="1" t="s">
        <v>4499</v>
      </c>
      <c r="D12341" s="1" t="s">
        <v>4500</v>
      </c>
    </row>
    <row r="12342">
      <c r="A12342" s="1" t="s">
        <v>21839</v>
      </c>
      <c r="B12342" s="2" t="s">
        <v>20804</v>
      </c>
      <c r="C12342" s="1" t="s">
        <v>4499</v>
      </c>
      <c r="D12342" s="1" t="s">
        <v>4500</v>
      </c>
    </row>
    <row r="12343">
      <c r="A12343" s="1" t="s">
        <v>21840</v>
      </c>
      <c r="B12343" s="2" t="s">
        <v>11156</v>
      </c>
      <c r="C12343" s="1" t="s">
        <v>4499</v>
      </c>
      <c r="D12343" s="1" t="s">
        <v>4500</v>
      </c>
    </row>
    <row r="12344">
      <c r="A12344" s="1" t="s">
        <v>21841</v>
      </c>
      <c r="B12344" s="2" t="s">
        <v>20807</v>
      </c>
      <c r="C12344" s="1" t="s">
        <v>4499</v>
      </c>
      <c r="D12344" s="1" t="s">
        <v>4500</v>
      </c>
    </row>
    <row r="12345">
      <c r="A12345" s="1" t="s">
        <v>21842</v>
      </c>
      <c r="B12345" s="2" t="s">
        <v>20809</v>
      </c>
      <c r="C12345" s="1" t="s">
        <v>4499</v>
      </c>
      <c r="D12345" s="1" t="s">
        <v>4500</v>
      </c>
    </row>
    <row r="12346">
      <c r="A12346" s="1" t="s">
        <v>21843</v>
      </c>
      <c r="B12346" s="2" t="s">
        <v>20811</v>
      </c>
      <c r="C12346" s="1" t="s">
        <v>4499</v>
      </c>
      <c r="D12346" s="1" t="s">
        <v>4500</v>
      </c>
    </row>
    <row r="12347">
      <c r="A12347" s="1" t="s">
        <v>21844</v>
      </c>
      <c r="B12347" s="2" t="s">
        <v>20813</v>
      </c>
      <c r="C12347" s="1" t="s">
        <v>4499</v>
      </c>
      <c r="D12347" s="1" t="s">
        <v>4500</v>
      </c>
    </row>
    <row r="12348">
      <c r="A12348" s="1" t="s">
        <v>21845</v>
      </c>
      <c r="B12348" s="2" t="s">
        <v>20815</v>
      </c>
      <c r="C12348" s="1" t="s">
        <v>4499</v>
      </c>
      <c r="D12348" s="1" t="s">
        <v>4500</v>
      </c>
    </row>
    <row r="12349">
      <c r="A12349" s="1" t="s">
        <v>21846</v>
      </c>
      <c r="B12349" s="2" t="s">
        <v>20817</v>
      </c>
      <c r="C12349" s="1" t="s">
        <v>4499</v>
      </c>
      <c r="D12349" s="1" t="s">
        <v>4500</v>
      </c>
    </row>
    <row r="12350">
      <c r="A12350" s="1" t="s">
        <v>21847</v>
      </c>
      <c r="B12350" s="2" t="s">
        <v>20819</v>
      </c>
      <c r="C12350" s="1" t="s">
        <v>4499</v>
      </c>
      <c r="D12350" s="1" t="s">
        <v>4500</v>
      </c>
    </row>
    <row r="12351">
      <c r="A12351" s="1" t="s">
        <v>21848</v>
      </c>
      <c r="B12351" s="2" t="s">
        <v>20821</v>
      </c>
      <c r="C12351" s="1" t="s">
        <v>4499</v>
      </c>
      <c r="D12351" s="1" t="s">
        <v>4500</v>
      </c>
    </row>
    <row r="12352">
      <c r="A12352" s="1" t="s">
        <v>21849</v>
      </c>
      <c r="B12352" s="2" t="s">
        <v>20823</v>
      </c>
      <c r="C12352" s="1" t="s">
        <v>4499</v>
      </c>
      <c r="D12352" s="1" t="s">
        <v>4500</v>
      </c>
    </row>
    <row r="12353">
      <c r="A12353" s="1" t="s">
        <v>21850</v>
      </c>
      <c r="B12353" s="2" t="s">
        <v>20825</v>
      </c>
      <c r="C12353" s="1" t="s">
        <v>4499</v>
      </c>
      <c r="D12353" s="1" t="s">
        <v>4500</v>
      </c>
    </row>
    <row r="12354">
      <c r="A12354" s="1" t="s">
        <v>21851</v>
      </c>
      <c r="B12354" s="2" t="s">
        <v>20827</v>
      </c>
      <c r="C12354" s="1" t="s">
        <v>4499</v>
      </c>
      <c r="D12354" s="1" t="s">
        <v>4500</v>
      </c>
    </row>
    <row r="12355">
      <c r="A12355" s="1" t="s">
        <v>21852</v>
      </c>
      <c r="B12355" s="2" t="s">
        <v>20829</v>
      </c>
      <c r="C12355" s="1" t="s">
        <v>4499</v>
      </c>
      <c r="D12355" s="1" t="s">
        <v>4500</v>
      </c>
    </row>
    <row r="12356">
      <c r="A12356" s="1" t="s">
        <v>21853</v>
      </c>
      <c r="B12356" s="2" t="s">
        <v>20831</v>
      </c>
      <c r="C12356" s="1" t="s">
        <v>4499</v>
      </c>
      <c r="D12356" s="1" t="s">
        <v>4500</v>
      </c>
    </row>
    <row r="12357">
      <c r="A12357" s="1" t="s">
        <v>21854</v>
      </c>
      <c r="B12357" s="2" t="s">
        <v>20833</v>
      </c>
      <c r="C12357" s="1" t="s">
        <v>4499</v>
      </c>
      <c r="D12357" s="1" t="s">
        <v>4500</v>
      </c>
    </row>
    <row r="12358">
      <c r="A12358" s="1" t="s">
        <v>4504</v>
      </c>
      <c r="B12358" s="2" t="s">
        <v>7</v>
      </c>
      <c r="C12358" s="1" t="s">
        <v>4506</v>
      </c>
      <c r="D12358" s="1" t="s">
        <v>4507</v>
      </c>
    </row>
    <row r="12359">
      <c r="A12359" s="1" t="s">
        <v>21855</v>
      </c>
      <c r="B12359" s="2" t="s">
        <v>20804</v>
      </c>
      <c r="C12359" s="1" t="s">
        <v>4506</v>
      </c>
      <c r="D12359" s="1" t="s">
        <v>4507</v>
      </c>
    </row>
    <row r="12360">
      <c r="A12360" s="1" t="s">
        <v>21856</v>
      </c>
      <c r="B12360" s="2" t="s">
        <v>11156</v>
      </c>
      <c r="C12360" s="1" t="s">
        <v>4506</v>
      </c>
      <c r="D12360" s="1" t="s">
        <v>4507</v>
      </c>
    </row>
    <row r="12361">
      <c r="A12361" s="1" t="s">
        <v>21857</v>
      </c>
      <c r="B12361" s="2" t="s">
        <v>20807</v>
      </c>
      <c r="C12361" s="1" t="s">
        <v>4506</v>
      </c>
      <c r="D12361" s="1" t="s">
        <v>4507</v>
      </c>
    </row>
    <row r="12362">
      <c r="A12362" s="1" t="s">
        <v>21858</v>
      </c>
      <c r="B12362" s="2" t="s">
        <v>20809</v>
      </c>
      <c r="C12362" s="1" t="s">
        <v>4506</v>
      </c>
      <c r="D12362" s="1" t="s">
        <v>4507</v>
      </c>
    </row>
    <row r="12363">
      <c r="A12363" s="1" t="s">
        <v>21859</v>
      </c>
      <c r="B12363" s="2" t="s">
        <v>20811</v>
      </c>
      <c r="C12363" s="1" t="s">
        <v>4506</v>
      </c>
      <c r="D12363" s="1" t="s">
        <v>4507</v>
      </c>
    </row>
    <row r="12364">
      <c r="A12364" s="1" t="s">
        <v>21860</v>
      </c>
      <c r="B12364" s="2" t="s">
        <v>20813</v>
      </c>
      <c r="C12364" s="1" t="s">
        <v>4506</v>
      </c>
      <c r="D12364" s="1" t="s">
        <v>4507</v>
      </c>
    </row>
    <row r="12365">
      <c r="A12365" s="1" t="s">
        <v>21861</v>
      </c>
      <c r="B12365" s="2" t="s">
        <v>20815</v>
      </c>
      <c r="C12365" s="1" t="s">
        <v>4506</v>
      </c>
      <c r="D12365" s="1" t="s">
        <v>4507</v>
      </c>
    </row>
    <row r="12366">
      <c r="A12366" s="1" t="s">
        <v>21862</v>
      </c>
      <c r="B12366" s="2" t="s">
        <v>20817</v>
      </c>
      <c r="C12366" s="1" t="s">
        <v>4506</v>
      </c>
      <c r="D12366" s="1" t="s">
        <v>4507</v>
      </c>
    </row>
    <row r="12367">
      <c r="A12367" s="1" t="s">
        <v>21863</v>
      </c>
      <c r="B12367" s="2" t="s">
        <v>20819</v>
      </c>
      <c r="C12367" s="1" t="s">
        <v>4506</v>
      </c>
      <c r="D12367" s="1" t="s">
        <v>4507</v>
      </c>
    </row>
    <row r="12368">
      <c r="A12368" s="1" t="s">
        <v>21864</v>
      </c>
      <c r="B12368" s="2" t="s">
        <v>20821</v>
      </c>
      <c r="C12368" s="1" t="s">
        <v>4506</v>
      </c>
      <c r="D12368" s="1" t="s">
        <v>4507</v>
      </c>
    </row>
    <row r="12369">
      <c r="A12369" s="1" t="s">
        <v>21865</v>
      </c>
      <c r="B12369" s="2" t="s">
        <v>20823</v>
      </c>
      <c r="C12369" s="1" t="s">
        <v>4506</v>
      </c>
      <c r="D12369" s="1" t="s">
        <v>4507</v>
      </c>
    </row>
    <row r="12370">
      <c r="A12370" s="1" t="s">
        <v>21866</v>
      </c>
      <c r="B12370" s="2" t="s">
        <v>20825</v>
      </c>
      <c r="C12370" s="1" t="s">
        <v>4506</v>
      </c>
      <c r="D12370" s="1" t="s">
        <v>4507</v>
      </c>
    </row>
    <row r="12371">
      <c r="A12371" s="1" t="s">
        <v>21867</v>
      </c>
      <c r="B12371" s="2" t="s">
        <v>20827</v>
      </c>
      <c r="C12371" s="1" t="s">
        <v>4506</v>
      </c>
      <c r="D12371" s="1" t="s">
        <v>4507</v>
      </c>
    </row>
    <row r="12372">
      <c r="A12372" s="1" t="s">
        <v>21868</v>
      </c>
      <c r="B12372" s="2" t="s">
        <v>20829</v>
      </c>
      <c r="C12372" s="1" t="s">
        <v>4506</v>
      </c>
      <c r="D12372" s="1" t="s">
        <v>4507</v>
      </c>
    </row>
    <row r="12373">
      <c r="A12373" s="1" t="s">
        <v>21869</v>
      </c>
      <c r="B12373" s="2" t="s">
        <v>20831</v>
      </c>
      <c r="C12373" s="1" t="s">
        <v>4506</v>
      </c>
      <c r="D12373" s="1" t="s">
        <v>4507</v>
      </c>
    </row>
    <row r="12374">
      <c r="A12374" s="1" t="s">
        <v>21870</v>
      </c>
      <c r="B12374" s="2" t="s">
        <v>20833</v>
      </c>
      <c r="C12374" s="1" t="s">
        <v>4506</v>
      </c>
      <c r="D12374" s="1" t="s">
        <v>4507</v>
      </c>
    </row>
    <row r="12375">
      <c r="A12375" s="1" t="s">
        <v>4511</v>
      </c>
      <c r="B12375" s="2" t="s">
        <v>7</v>
      </c>
      <c r="C12375" s="1" t="s">
        <v>4513</v>
      </c>
      <c r="D12375" s="1" t="s">
        <v>4514</v>
      </c>
    </row>
    <row r="12376">
      <c r="A12376" s="1" t="s">
        <v>21871</v>
      </c>
      <c r="B12376" s="2" t="s">
        <v>20804</v>
      </c>
      <c r="C12376" s="1" t="s">
        <v>4513</v>
      </c>
      <c r="D12376" s="1" t="s">
        <v>4514</v>
      </c>
    </row>
    <row r="12377">
      <c r="A12377" s="1" t="s">
        <v>21872</v>
      </c>
      <c r="B12377" s="2" t="s">
        <v>11156</v>
      </c>
      <c r="C12377" s="1" t="s">
        <v>4513</v>
      </c>
      <c r="D12377" s="1" t="s">
        <v>4514</v>
      </c>
    </row>
    <row r="12378">
      <c r="A12378" s="1" t="s">
        <v>21873</v>
      </c>
      <c r="B12378" s="2" t="s">
        <v>20807</v>
      </c>
      <c r="C12378" s="1" t="s">
        <v>4513</v>
      </c>
      <c r="D12378" s="1" t="s">
        <v>4514</v>
      </c>
    </row>
    <row r="12379">
      <c r="A12379" s="1" t="s">
        <v>21874</v>
      </c>
      <c r="B12379" s="2" t="s">
        <v>20809</v>
      </c>
      <c r="C12379" s="1" t="s">
        <v>4513</v>
      </c>
      <c r="D12379" s="1" t="s">
        <v>4514</v>
      </c>
    </row>
    <row r="12380">
      <c r="A12380" s="1" t="s">
        <v>21875</v>
      </c>
      <c r="B12380" s="2" t="s">
        <v>20811</v>
      </c>
      <c r="C12380" s="1" t="s">
        <v>4513</v>
      </c>
      <c r="D12380" s="1" t="s">
        <v>4514</v>
      </c>
    </row>
    <row r="12381">
      <c r="A12381" s="1" t="s">
        <v>21876</v>
      </c>
      <c r="B12381" s="2" t="s">
        <v>20813</v>
      </c>
      <c r="C12381" s="1" t="s">
        <v>4513</v>
      </c>
      <c r="D12381" s="1" t="s">
        <v>4514</v>
      </c>
    </row>
    <row r="12382">
      <c r="A12382" s="1" t="s">
        <v>21877</v>
      </c>
      <c r="B12382" s="2" t="s">
        <v>20815</v>
      </c>
      <c r="C12382" s="1" t="s">
        <v>4513</v>
      </c>
      <c r="D12382" s="1" t="s">
        <v>4514</v>
      </c>
    </row>
    <row r="12383">
      <c r="A12383" s="1" t="s">
        <v>21878</v>
      </c>
      <c r="B12383" s="2" t="s">
        <v>20817</v>
      </c>
      <c r="C12383" s="1" t="s">
        <v>4513</v>
      </c>
      <c r="D12383" s="1" t="s">
        <v>4514</v>
      </c>
    </row>
    <row r="12384">
      <c r="A12384" s="1" t="s">
        <v>21879</v>
      </c>
      <c r="B12384" s="2" t="s">
        <v>20819</v>
      </c>
      <c r="C12384" s="1" t="s">
        <v>4513</v>
      </c>
      <c r="D12384" s="1" t="s">
        <v>4514</v>
      </c>
    </row>
    <row r="12385">
      <c r="A12385" s="1" t="s">
        <v>21880</v>
      </c>
      <c r="B12385" s="2" t="s">
        <v>20821</v>
      </c>
      <c r="C12385" s="1" t="s">
        <v>4513</v>
      </c>
      <c r="D12385" s="1" t="s">
        <v>4514</v>
      </c>
    </row>
    <row r="12386">
      <c r="A12386" s="1" t="s">
        <v>21881</v>
      </c>
      <c r="B12386" s="2" t="s">
        <v>20823</v>
      </c>
      <c r="C12386" s="1" t="s">
        <v>4513</v>
      </c>
      <c r="D12386" s="1" t="s">
        <v>4514</v>
      </c>
    </row>
    <row r="12387">
      <c r="A12387" s="1" t="s">
        <v>21882</v>
      </c>
      <c r="B12387" s="2" t="s">
        <v>20825</v>
      </c>
      <c r="C12387" s="1" t="s">
        <v>4513</v>
      </c>
      <c r="D12387" s="1" t="s">
        <v>4514</v>
      </c>
    </row>
    <row r="12388">
      <c r="A12388" s="1" t="s">
        <v>21883</v>
      </c>
      <c r="B12388" s="2" t="s">
        <v>20827</v>
      </c>
      <c r="C12388" s="1" t="s">
        <v>4513</v>
      </c>
      <c r="D12388" s="1" t="s">
        <v>4514</v>
      </c>
    </row>
    <row r="12389">
      <c r="A12389" s="1" t="s">
        <v>21884</v>
      </c>
      <c r="B12389" s="2" t="s">
        <v>20829</v>
      </c>
      <c r="C12389" s="1" t="s">
        <v>4513</v>
      </c>
      <c r="D12389" s="1" t="s">
        <v>4514</v>
      </c>
    </row>
    <row r="12390">
      <c r="A12390" s="1" t="s">
        <v>21885</v>
      </c>
      <c r="B12390" s="2" t="s">
        <v>20831</v>
      </c>
      <c r="C12390" s="1" t="s">
        <v>4513</v>
      </c>
      <c r="D12390" s="1" t="s">
        <v>4514</v>
      </c>
    </row>
    <row r="12391">
      <c r="A12391" s="1" t="s">
        <v>21886</v>
      </c>
      <c r="B12391" s="2" t="s">
        <v>20833</v>
      </c>
      <c r="C12391" s="1" t="s">
        <v>4513</v>
      </c>
      <c r="D12391" s="1" t="s">
        <v>4514</v>
      </c>
    </row>
    <row r="12392">
      <c r="A12392" s="1" t="s">
        <v>4518</v>
      </c>
      <c r="B12392" s="2" t="s">
        <v>7</v>
      </c>
      <c r="C12392" s="1" t="s">
        <v>4520</v>
      </c>
      <c r="D12392" s="1" t="s">
        <v>4521</v>
      </c>
    </row>
    <row r="12393">
      <c r="A12393" s="1" t="s">
        <v>21887</v>
      </c>
      <c r="B12393" s="2" t="s">
        <v>20804</v>
      </c>
      <c r="C12393" s="1" t="s">
        <v>4520</v>
      </c>
      <c r="D12393" s="1" t="s">
        <v>4521</v>
      </c>
    </row>
    <row r="12394">
      <c r="A12394" s="1" t="s">
        <v>21888</v>
      </c>
      <c r="B12394" s="2" t="s">
        <v>11156</v>
      </c>
      <c r="C12394" s="1" t="s">
        <v>4520</v>
      </c>
      <c r="D12394" s="1" t="s">
        <v>4521</v>
      </c>
    </row>
    <row r="12395">
      <c r="A12395" s="1" t="s">
        <v>21889</v>
      </c>
      <c r="B12395" s="2" t="s">
        <v>20807</v>
      </c>
      <c r="C12395" s="1" t="s">
        <v>4520</v>
      </c>
      <c r="D12395" s="1" t="s">
        <v>4521</v>
      </c>
    </row>
    <row r="12396">
      <c r="A12396" s="1" t="s">
        <v>21890</v>
      </c>
      <c r="B12396" s="2" t="s">
        <v>20809</v>
      </c>
      <c r="C12396" s="1" t="s">
        <v>4520</v>
      </c>
      <c r="D12396" s="1" t="s">
        <v>4521</v>
      </c>
    </row>
    <row r="12397">
      <c r="A12397" s="1" t="s">
        <v>21891</v>
      </c>
      <c r="B12397" s="2" t="s">
        <v>20811</v>
      </c>
      <c r="C12397" s="1" t="s">
        <v>4520</v>
      </c>
      <c r="D12397" s="1" t="s">
        <v>4521</v>
      </c>
    </row>
    <row r="12398">
      <c r="A12398" s="1" t="s">
        <v>21892</v>
      </c>
      <c r="B12398" s="2" t="s">
        <v>20813</v>
      </c>
      <c r="C12398" s="1" t="s">
        <v>4520</v>
      </c>
      <c r="D12398" s="1" t="s">
        <v>4521</v>
      </c>
    </row>
    <row r="12399">
      <c r="A12399" s="1" t="s">
        <v>21893</v>
      </c>
      <c r="B12399" s="2" t="s">
        <v>20815</v>
      </c>
      <c r="C12399" s="1" t="s">
        <v>4520</v>
      </c>
      <c r="D12399" s="1" t="s">
        <v>4521</v>
      </c>
    </row>
    <row r="12400">
      <c r="A12400" s="1" t="s">
        <v>21894</v>
      </c>
      <c r="B12400" s="2" t="s">
        <v>20817</v>
      </c>
      <c r="C12400" s="1" t="s">
        <v>4520</v>
      </c>
      <c r="D12400" s="1" t="s">
        <v>4521</v>
      </c>
    </row>
    <row r="12401">
      <c r="A12401" s="1" t="s">
        <v>21895</v>
      </c>
      <c r="B12401" s="2" t="s">
        <v>20819</v>
      </c>
      <c r="C12401" s="1" t="s">
        <v>4520</v>
      </c>
      <c r="D12401" s="1" t="s">
        <v>4521</v>
      </c>
    </row>
    <row r="12402">
      <c r="A12402" s="1" t="s">
        <v>21896</v>
      </c>
      <c r="B12402" s="2" t="s">
        <v>20821</v>
      </c>
      <c r="C12402" s="1" t="s">
        <v>4520</v>
      </c>
      <c r="D12402" s="1" t="s">
        <v>4521</v>
      </c>
    </row>
    <row r="12403">
      <c r="A12403" s="1" t="s">
        <v>21897</v>
      </c>
      <c r="B12403" s="2" t="s">
        <v>20823</v>
      </c>
      <c r="C12403" s="1" t="s">
        <v>4520</v>
      </c>
      <c r="D12403" s="1" t="s">
        <v>4521</v>
      </c>
    </row>
    <row r="12404">
      <c r="A12404" s="1" t="s">
        <v>21898</v>
      </c>
      <c r="B12404" s="2" t="s">
        <v>20825</v>
      </c>
      <c r="C12404" s="1" t="s">
        <v>4520</v>
      </c>
      <c r="D12404" s="1" t="s">
        <v>4521</v>
      </c>
    </row>
    <row r="12405">
      <c r="A12405" s="1" t="s">
        <v>21899</v>
      </c>
      <c r="B12405" s="2" t="s">
        <v>20827</v>
      </c>
      <c r="C12405" s="1" t="s">
        <v>4520</v>
      </c>
      <c r="D12405" s="1" t="s">
        <v>4521</v>
      </c>
    </row>
    <row r="12406">
      <c r="A12406" s="1" t="s">
        <v>21900</v>
      </c>
      <c r="B12406" s="2" t="s">
        <v>20829</v>
      </c>
      <c r="C12406" s="1" t="s">
        <v>4520</v>
      </c>
      <c r="D12406" s="1" t="s">
        <v>4521</v>
      </c>
    </row>
    <row r="12407">
      <c r="A12407" s="1" t="s">
        <v>21901</v>
      </c>
      <c r="B12407" s="2" t="s">
        <v>20831</v>
      </c>
      <c r="C12407" s="1" t="s">
        <v>4520</v>
      </c>
      <c r="D12407" s="1" t="s">
        <v>4521</v>
      </c>
    </row>
    <row r="12408">
      <c r="A12408" s="1" t="s">
        <v>21902</v>
      </c>
      <c r="B12408" s="2" t="s">
        <v>20833</v>
      </c>
      <c r="C12408" s="1" t="s">
        <v>4520</v>
      </c>
      <c r="D12408" s="1" t="s">
        <v>4521</v>
      </c>
    </row>
    <row r="12409">
      <c r="A12409" s="1" t="s">
        <v>4524</v>
      </c>
      <c r="B12409" s="2" t="s">
        <v>7</v>
      </c>
      <c r="C12409" s="1" t="s">
        <v>4525</v>
      </c>
      <c r="D12409" s="1" t="s">
        <v>4526</v>
      </c>
    </row>
    <row r="12410">
      <c r="A12410" s="1" t="s">
        <v>21903</v>
      </c>
      <c r="B12410" s="2" t="s">
        <v>20804</v>
      </c>
      <c r="C12410" s="1" t="s">
        <v>4525</v>
      </c>
      <c r="D12410" s="1" t="s">
        <v>4526</v>
      </c>
    </row>
    <row r="12411">
      <c r="A12411" s="1" t="s">
        <v>21904</v>
      </c>
      <c r="B12411" s="2" t="s">
        <v>11156</v>
      </c>
      <c r="C12411" s="1" t="s">
        <v>4525</v>
      </c>
      <c r="D12411" s="1" t="s">
        <v>4526</v>
      </c>
    </row>
    <row r="12412">
      <c r="A12412" s="1" t="s">
        <v>21905</v>
      </c>
      <c r="B12412" s="2" t="s">
        <v>20807</v>
      </c>
      <c r="C12412" s="1" t="s">
        <v>4525</v>
      </c>
      <c r="D12412" s="1" t="s">
        <v>4526</v>
      </c>
    </row>
    <row r="12413">
      <c r="A12413" s="1" t="s">
        <v>21906</v>
      </c>
      <c r="B12413" s="2" t="s">
        <v>20809</v>
      </c>
      <c r="C12413" s="1" t="s">
        <v>4525</v>
      </c>
      <c r="D12413" s="1" t="s">
        <v>4526</v>
      </c>
    </row>
    <row r="12414">
      <c r="A12414" s="1" t="s">
        <v>21907</v>
      </c>
      <c r="B12414" s="2" t="s">
        <v>20811</v>
      </c>
      <c r="C12414" s="1" t="s">
        <v>4525</v>
      </c>
      <c r="D12414" s="1" t="s">
        <v>4526</v>
      </c>
    </row>
    <row r="12415">
      <c r="A12415" s="1" t="s">
        <v>21908</v>
      </c>
      <c r="B12415" s="2" t="s">
        <v>20813</v>
      </c>
      <c r="C12415" s="1" t="s">
        <v>4525</v>
      </c>
      <c r="D12415" s="1" t="s">
        <v>4526</v>
      </c>
    </row>
    <row r="12416">
      <c r="A12416" s="1" t="s">
        <v>21909</v>
      </c>
      <c r="B12416" s="2" t="s">
        <v>20815</v>
      </c>
      <c r="C12416" s="1" t="s">
        <v>4525</v>
      </c>
      <c r="D12416" s="1" t="s">
        <v>4526</v>
      </c>
    </row>
    <row r="12417">
      <c r="A12417" s="1" t="s">
        <v>21910</v>
      </c>
      <c r="B12417" s="2" t="s">
        <v>20817</v>
      </c>
      <c r="C12417" s="1" t="s">
        <v>4525</v>
      </c>
      <c r="D12417" s="1" t="s">
        <v>4526</v>
      </c>
    </row>
    <row r="12418">
      <c r="A12418" s="1" t="s">
        <v>21911</v>
      </c>
      <c r="B12418" s="2" t="s">
        <v>20819</v>
      </c>
      <c r="C12418" s="1" t="s">
        <v>4525</v>
      </c>
      <c r="D12418" s="1" t="s">
        <v>4526</v>
      </c>
    </row>
    <row r="12419">
      <c r="A12419" s="1" t="s">
        <v>21912</v>
      </c>
      <c r="B12419" s="2" t="s">
        <v>20821</v>
      </c>
      <c r="C12419" s="1" t="s">
        <v>4525</v>
      </c>
      <c r="D12419" s="1" t="s">
        <v>4526</v>
      </c>
    </row>
    <row r="12420">
      <c r="A12420" s="1" t="s">
        <v>21913</v>
      </c>
      <c r="B12420" s="2" t="s">
        <v>20823</v>
      </c>
      <c r="C12420" s="1" t="s">
        <v>4525</v>
      </c>
      <c r="D12420" s="1" t="s">
        <v>4526</v>
      </c>
    </row>
    <row r="12421">
      <c r="A12421" s="1" t="s">
        <v>21914</v>
      </c>
      <c r="B12421" s="2" t="s">
        <v>20825</v>
      </c>
      <c r="C12421" s="1" t="s">
        <v>4525</v>
      </c>
      <c r="D12421" s="1" t="s">
        <v>4526</v>
      </c>
    </row>
    <row r="12422">
      <c r="A12422" s="1" t="s">
        <v>21915</v>
      </c>
      <c r="B12422" s="2" t="s">
        <v>20827</v>
      </c>
      <c r="C12422" s="1" t="s">
        <v>4525</v>
      </c>
      <c r="D12422" s="1" t="s">
        <v>4526</v>
      </c>
    </row>
    <row r="12423">
      <c r="A12423" s="1" t="s">
        <v>21916</v>
      </c>
      <c r="B12423" s="2" t="s">
        <v>20829</v>
      </c>
      <c r="C12423" s="1" t="s">
        <v>4525</v>
      </c>
      <c r="D12423" s="1" t="s">
        <v>4526</v>
      </c>
    </row>
    <row r="12424">
      <c r="A12424" s="1" t="s">
        <v>21917</v>
      </c>
      <c r="B12424" s="2" t="s">
        <v>20831</v>
      </c>
      <c r="C12424" s="1" t="s">
        <v>4525</v>
      </c>
      <c r="D12424" s="1" t="s">
        <v>4526</v>
      </c>
    </row>
    <row r="12425">
      <c r="A12425" s="1" t="s">
        <v>21918</v>
      </c>
      <c r="B12425" s="2" t="s">
        <v>20833</v>
      </c>
      <c r="C12425" s="1" t="s">
        <v>4525</v>
      </c>
      <c r="D12425" s="1" t="s">
        <v>4526</v>
      </c>
    </row>
    <row r="12426">
      <c r="A12426" s="1" t="s">
        <v>4527</v>
      </c>
      <c r="B12426" s="2" t="s">
        <v>7</v>
      </c>
      <c r="C12426" s="1" t="s">
        <v>4528</v>
      </c>
      <c r="D12426" s="1" t="s">
        <v>4529</v>
      </c>
    </row>
    <row r="12427">
      <c r="A12427" s="1" t="s">
        <v>21919</v>
      </c>
      <c r="B12427" s="2" t="s">
        <v>20804</v>
      </c>
      <c r="C12427" s="1" t="s">
        <v>4528</v>
      </c>
      <c r="D12427" s="1" t="s">
        <v>4529</v>
      </c>
    </row>
    <row r="12428">
      <c r="A12428" s="1" t="s">
        <v>21920</v>
      </c>
      <c r="B12428" s="2" t="s">
        <v>11156</v>
      </c>
      <c r="C12428" s="1" t="s">
        <v>4528</v>
      </c>
      <c r="D12428" s="1" t="s">
        <v>4529</v>
      </c>
    </row>
    <row r="12429">
      <c r="A12429" s="1" t="s">
        <v>21921</v>
      </c>
      <c r="B12429" s="2" t="s">
        <v>20807</v>
      </c>
      <c r="C12429" s="1" t="s">
        <v>4528</v>
      </c>
      <c r="D12429" s="1" t="s">
        <v>4529</v>
      </c>
    </row>
    <row r="12430">
      <c r="A12430" s="1" t="s">
        <v>21922</v>
      </c>
      <c r="B12430" s="2" t="s">
        <v>20809</v>
      </c>
      <c r="C12430" s="1" t="s">
        <v>4528</v>
      </c>
      <c r="D12430" s="1" t="s">
        <v>4529</v>
      </c>
    </row>
    <row r="12431">
      <c r="A12431" s="1" t="s">
        <v>21923</v>
      </c>
      <c r="B12431" s="2" t="s">
        <v>20811</v>
      </c>
      <c r="C12431" s="1" t="s">
        <v>4528</v>
      </c>
      <c r="D12431" s="1" t="s">
        <v>4529</v>
      </c>
    </row>
    <row r="12432">
      <c r="A12432" s="1" t="s">
        <v>21924</v>
      </c>
      <c r="B12432" s="2" t="s">
        <v>20813</v>
      </c>
      <c r="C12432" s="1" t="s">
        <v>4528</v>
      </c>
      <c r="D12432" s="1" t="s">
        <v>4529</v>
      </c>
    </row>
    <row r="12433">
      <c r="A12433" s="1" t="s">
        <v>21925</v>
      </c>
      <c r="B12433" s="2" t="s">
        <v>20815</v>
      </c>
      <c r="C12433" s="1" t="s">
        <v>4528</v>
      </c>
      <c r="D12433" s="1" t="s">
        <v>4529</v>
      </c>
    </row>
    <row r="12434">
      <c r="A12434" s="1" t="s">
        <v>21926</v>
      </c>
      <c r="B12434" s="2" t="s">
        <v>20817</v>
      </c>
      <c r="C12434" s="1" t="s">
        <v>4528</v>
      </c>
      <c r="D12434" s="1" t="s">
        <v>4529</v>
      </c>
    </row>
    <row r="12435">
      <c r="A12435" s="1" t="s">
        <v>21927</v>
      </c>
      <c r="B12435" s="2" t="s">
        <v>20819</v>
      </c>
      <c r="C12435" s="1" t="s">
        <v>4528</v>
      </c>
      <c r="D12435" s="1" t="s">
        <v>4529</v>
      </c>
    </row>
    <row r="12436">
      <c r="A12436" s="1" t="s">
        <v>21928</v>
      </c>
      <c r="B12436" s="2" t="s">
        <v>20821</v>
      </c>
      <c r="C12436" s="1" t="s">
        <v>4528</v>
      </c>
      <c r="D12436" s="1" t="s">
        <v>4529</v>
      </c>
    </row>
    <row r="12437">
      <c r="A12437" s="1" t="s">
        <v>21929</v>
      </c>
      <c r="B12437" s="2" t="s">
        <v>20823</v>
      </c>
      <c r="C12437" s="1" t="s">
        <v>4528</v>
      </c>
      <c r="D12437" s="1" t="s">
        <v>4529</v>
      </c>
    </row>
    <row r="12438">
      <c r="A12438" s="1" t="s">
        <v>21930</v>
      </c>
      <c r="B12438" s="2" t="s">
        <v>20825</v>
      </c>
      <c r="C12438" s="1" t="s">
        <v>4528</v>
      </c>
      <c r="D12438" s="1" t="s">
        <v>4529</v>
      </c>
    </row>
    <row r="12439">
      <c r="A12439" s="1" t="s">
        <v>21931</v>
      </c>
      <c r="B12439" s="2" t="s">
        <v>20827</v>
      </c>
      <c r="C12439" s="1" t="s">
        <v>4528</v>
      </c>
      <c r="D12439" s="1" t="s">
        <v>4529</v>
      </c>
    </row>
    <row r="12440">
      <c r="A12440" s="1" t="s">
        <v>21932</v>
      </c>
      <c r="B12440" s="2" t="s">
        <v>20829</v>
      </c>
      <c r="C12440" s="1" t="s">
        <v>4528</v>
      </c>
      <c r="D12440" s="1" t="s">
        <v>4529</v>
      </c>
    </row>
    <row r="12441">
      <c r="A12441" s="1" t="s">
        <v>21933</v>
      </c>
      <c r="B12441" s="2" t="s">
        <v>20831</v>
      </c>
      <c r="C12441" s="1" t="s">
        <v>4528</v>
      </c>
      <c r="D12441" s="1" t="s">
        <v>4529</v>
      </c>
    </row>
    <row r="12442">
      <c r="A12442" s="1" t="s">
        <v>21934</v>
      </c>
      <c r="B12442" s="2" t="s">
        <v>20833</v>
      </c>
      <c r="C12442" s="1" t="s">
        <v>4528</v>
      </c>
      <c r="D12442" s="1" t="s">
        <v>4529</v>
      </c>
    </row>
    <row r="12443">
      <c r="A12443" s="1" t="s">
        <v>4530</v>
      </c>
      <c r="B12443" s="2" t="s">
        <v>7</v>
      </c>
      <c r="C12443" s="1" t="s">
        <v>4531</v>
      </c>
      <c r="D12443" s="1" t="s">
        <v>4532</v>
      </c>
    </row>
    <row r="12444">
      <c r="A12444" s="1" t="s">
        <v>21935</v>
      </c>
      <c r="B12444" s="2" t="s">
        <v>20804</v>
      </c>
      <c r="C12444" s="1" t="s">
        <v>4531</v>
      </c>
      <c r="D12444" s="1" t="s">
        <v>4532</v>
      </c>
    </row>
    <row r="12445">
      <c r="A12445" s="1" t="s">
        <v>21936</v>
      </c>
      <c r="B12445" s="2" t="s">
        <v>11156</v>
      </c>
      <c r="C12445" s="1" t="s">
        <v>4531</v>
      </c>
      <c r="D12445" s="1" t="s">
        <v>4532</v>
      </c>
    </row>
    <row r="12446">
      <c r="A12446" s="1" t="s">
        <v>21937</v>
      </c>
      <c r="B12446" s="2" t="s">
        <v>20807</v>
      </c>
      <c r="C12446" s="1" t="s">
        <v>4531</v>
      </c>
      <c r="D12446" s="1" t="s">
        <v>4532</v>
      </c>
    </row>
    <row r="12447">
      <c r="A12447" s="1" t="s">
        <v>21938</v>
      </c>
      <c r="B12447" s="2" t="s">
        <v>20809</v>
      </c>
      <c r="C12447" s="1" t="s">
        <v>4531</v>
      </c>
      <c r="D12447" s="1" t="s">
        <v>4532</v>
      </c>
    </row>
    <row r="12448">
      <c r="A12448" s="1" t="s">
        <v>21939</v>
      </c>
      <c r="B12448" s="2" t="s">
        <v>20811</v>
      </c>
      <c r="C12448" s="1" t="s">
        <v>4531</v>
      </c>
      <c r="D12448" s="1" t="s">
        <v>4532</v>
      </c>
    </row>
    <row r="12449">
      <c r="A12449" s="1" t="s">
        <v>21940</v>
      </c>
      <c r="B12449" s="2" t="s">
        <v>20813</v>
      </c>
      <c r="C12449" s="1" t="s">
        <v>4531</v>
      </c>
      <c r="D12449" s="1" t="s">
        <v>4532</v>
      </c>
    </row>
    <row r="12450">
      <c r="A12450" s="1" t="s">
        <v>21941</v>
      </c>
      <c r="B12450" s="2" t="s">
        <v>20815</v>
      </c>
      <c r="C12450" s="1" t="s">
        <v>4531</v>
      </c>
      <c r="D12450" s="1" t="s">
        <v>4532</v>
      </c>
    </row>
    <row r="12451">
      <c r="A12451" s="1" t="s">
        <v>21942</v>
      </c>
      <c r="B12451" s="2" t="s">
        <v>20817</v>
      </c>
      <c r="C12451" s="1" t="s">
        <v>4531</v>
      </c>
      <c r="D12451" s="1" t="s">
        <v>4532</v>
      </c>
    </row>
    <row r="12452">
      <c r="A12452" s="1" t="s">
        <v>21943</v>
      </c>
      <c r="B12452" s="2" t="s">
        <v>20819</v>
      </c>
      <c r="C12452" s="1" t="s">
        <v>4531</v>
      </c>
      <c r="D12452" s="1" t="s">
        <v>4532</v>
      </c>
    </row>
    <row r="12453">
      <c r="A12453" s="1" t="s">
        <v>21944</v>
      </c>
      <c r="B12453" s="2" t="s">
        <v>20821</v>
      </c>
      <c r="C12453" s="1" t="s">
        <v>4531</v>
      </c>
      <c r="D12453" s="1" t="s">
        <v>4532</v>
      </c>
    </row>
    <row r="12454">
      <c r="A12454" s="1" t="s">
        <v>21945</v>
      </c>
      <c r="B12454" s="2" t="s">
        <v>20823</v>
      </c>
      <c r="C12454" s="1" t="s">
        <v>4531</v>
      </c>
      <c r="D12454" s="1" t="s">
        <v>4532</v>
      </c>
    </row>
    <row r="12455">
      <c r="A12455" s="1" t="s">
        <v>21946</v>
      </c>
      <c r="B12455" s="2" t="s">
        <v>20825</v>
      </c>
      <c r="C12455" s="1" t="s">
        <v>4531</v>
      </c>
      <c r="D12455" s="1" t="s">
        <v>4532</v>
      </c>
    </row>
    <row r="12456">
      <c r="A12456" s="1" t="s">
        <v>21947</v>
      </c>
      <c r="B12456" s="2" t="s">
        <v>20827</v>
      </c>
      <c r="C12456" s="1" t="s">
        <v>4531</v>
      </c>
      <c r="D12456" s="1" t="s">
        <v>4532</v>
      </c>
    </row>
    <row r="12457">
      <c r="A12457" s="1" t="s">
        <v>21948</v>
      </c>
      <c r="B12457" s="2" t="s">
        <v>20829</v>
      </c>
      <c r="C12457" s="1" t="s">
        <v>4531</v>
      </c>
      <c r="D12457" s="1" t="s">
        <v>4532</v>
      </c>
    </row>
    <row r="12458">
      <c r="A12458" s="1" t="s">
        <v>21949</v>
      </c>
      <c r="B12458" s="2" t="s">
        <v>20831</v>
      </c>
      <c r="C12458" s="1" t="s">
        <v>4531</v>
      </c>
      <c r="D12458" s="1" t="s">
        <v>4532</v>
      </c>
    </row>
    <row r="12459">
      <c r="A12459" s="1" t="s">
        <v>21950</v>
      </c>
      <c r="B12459" s="2" t="s">
        <v>20833</v>
      </c>
      <c r="C12459" s="1" t="s">
        <v>4531</v>
      </c>
      <c r="D12459" s="1" t="s">
        <v>4532</v>
      </c>
    </row>
    <row r="12460">
      <c r="A12460" s="1" t="s">
        <v>4533</v>
      </c>
      <c r="B12460" s="2" t="s">
        <v>7</v>
      </c>
      <c r="C12460" s="1" t="s">
        <v>4534</v>
      </c>
      <c r="D12460" s="1" t="s">
        <v>4535</v>
      </c>
    </row>
    <row r="12461">
      <c r="A12461" s="1" t="s">
        <v>21951</v>
      </c>
      <c r="B12461" s="2" t="s">
        <v>20804</v>
      </c>
      <c r="C12461" s="1" t="s">
        <v>4534</v>
      </c>
      <c r="D12461" s="1" t="s">
        <v>4535</v>
      </c>
    </row>
    <row r="12462">
      <c r="A12462" s="1" t="s">
        <v>21952</v>
      </c>
      <c r="B12462" s="2" t="s">
        <v>11156</v>
      </c>
      <c r="C12462" s="1" t="s">
        <v>4534</v>
      </c>
      <c r="D12462" s="1" t="s">
        <v>4535</v>
      </c>
    </row>
    <row r="12463">
      <c r="A12463" s="1" t="s">
        <v>21953</v>
      </c>
      <c r="B12463" s="2" t="s">
        <v>20807</v>
      </c>
      <c r="C12463" s="1" t="s">
        <v>4534</v>
      </c>
      <c r="D12463" s="1" t="s">
        <v>4535</v>
      </c>
    </row>
    <row r="12464">
      <c r="A12464" s="1" t="s">
        <v>21954</v>
      </c>
      <c r="B12464" s="2" t="s">
        <v>20809</v>
      </c>
      <c r="C12464" s="1" t="s">
        <v>4534</v>
      </c>
      <c r="D12464" s="1" t="s">
        <v>4535</v>
      </c>
    </row>
    <row r="12465">
      <c r="A12465" s="1" t="s">
        <v>21955</v>
      </c>
      <c r="B12465" s="2" t="s">
        <v>20811</v>
      </c>
      <c r="C12465" s="1" t="s">
        <v>4534</v>
      </c>
      <c r="D12465" s="1" t="s">
        <v>4535</v>
      </c>
    </row>
    <row r="12466">
      <c r="A12466" s="1" t="s">
        <v>21956</v>
      </c>
      <c r="B12466" s="2" t="s">
        <v>20813</v>
      </c>
      <c r="C12466" s="1" t="s">
        <v>4534</v>
      </c>
      <c r="D12466" s="1" t="s">
        <v>4535</v>
      </c>
    </row>
    <row r="12467">
      <c r="A12467" s="1" t="s">
        <v>21957</v>
      </c>
      <c r="B12467" s="2" t="s">
        <v>20815</v>
      </c>
      <c r="C12467" s="1" t="s">
        <v>4534</v>
      </c>
      <c r="D12467" s="1" t="s">
        <v>4535</v>
      </c>
    </row>
    <row r="12468">
      <c r="A12468" s="1" t="s">
        <v>21958</v>
      </c>
      <c r="B12468" s="2" t="s">
        <v>20817</v>
      </c>
      <c r="C12468" s="1" t="s">
        <v>4534</v>
      </c>
      <c r="D12468" s="1" t="s">
        <v>4535</v>
      </c>
    </row>
    <row r="12469">
      <c r="A12469" s="1" t="s">
        <v>21959</v>
      </c>
      <c r="B12469" s="2" t="s">
        <v>20819</v>
      </c>
      <c r="C12469" s="1" t="s">
        <v>4534</v>
      </c>
      <c r="D12469" s="1" t="s">
        <v>4535</v>
      </c>
    </row>
    <row r="12470">
      <c r="A12470" s="1" t="s">
        <v>21960</v>
      </c>
      <c r="B12470" s="2" t="s">
        <v>20821</v>
      </c>
      <c r="C12470" s="1" t="s">
        <v>4534</v>
      </c>
      <c r="D12470" s="1" t="s">
        <v>4535</v>
      </c>
    </row>
    <row r="12471">
      <c r="A12471" s="1" t="s">
        <v>21961</v>
      </c>
      <c r="B12471" s="2" t="s">
        <v>20823</v>
      </c>
      <c r="C12471" s="1" t="s">
        <v>4534</v>
      </c>
      <c r="D12471" s="1" t="s">
        <v>4535</v>
      </c>
    </row>
    <row r="12472">
      <c r="A12472" s="1" t="s">
        <v>21962</v>
      </c>
      <c r="B12472" s="2" t="s">
        <v>20825</v>
      </c>
      <c r="C12472" s="1" t="s">
        <v>4534</v>
      </c>
      <c r="D12472" s="1" t="s">
        <v>4535</v>
      </c>
    </row>
    <row r="12473">
      <c r="A12473" s="1" t="s">
        <v>21963</v>
      </c>
      <c r="B12473" s="2" t="s">
        <v>20827</v>
      </c>
      <c r="C12473" s="1" t="s">
        <v>4534</v>
      </c>
      <c r="D12473" s="1" t="s">
        <v>4535</v>
      </c>
    </row>
    <row r="12474">
      <c r="A12474" s="1" t="s">
        <v>21964</v>
      </c>
      <c r="B12474" s="2" t="s">
        <v>20829</v>
      </c>
      <c r="C12474" s="1" t="s">
        <v>4534</v>
      </c>
      <c r="D12474" s="1" t="s">
        <v>4535</v>
      </c>
    </row>
    <row r="12475">
      <c r="A12475" s="1" t="s">
        <v>21965</v>
      </c>
      <c r="B12475" s="2" t="s">
        <v>20831</v>
      </c>
      <c r="C12475" s="1" t="s">
        <v>4534</v>
      </c>
      <c r="D12475" s="1" t="s">
        <v>4535</v>
      </c>
    </row>
    <row r="12476">
      <c r="A12476" s="1" t="s">
        <v>21966</v>
      </c>
      <c r="B12476" s="2" t="s">
        <v>20833</v>
      </c>
      <c r="C12476" s="1" t="s">
        <v>4534</v>
      </c>
      <c r="D12476" s="1" t="s">
        <v>4535</v>
      </c>
    </row>
    <row r="12477">
      <c r="A12477" s="1" t="s">
        <v>4478</v>
      </c>
      <c r="B12477" s="2" t="s">
        <v>7</v>
      </c>
      <c r="C12477" s="1" t="s">
        <v>4480</v>
      </c>
      <c r="D12477" s="1" t="s">
        <v>4482</v>
      </c>
    </row>
    <row r="12478">
      <c r="A12478" s="1" t="s">
        <v>21967</v>
      </c>
      <c r="B12478" s="2" t="s">
        <v>20804</v>
      </c>
      <c r="C12478" s="1" t="s">
        <v>4480</v>
      </c>
      <c r="D12478" s="1" t="s">
        <v>4482</v>
      </c>
    </row>
    <row r="12479">
      <c r="A12479" s="1" t="s">
        <v>21968</v>
      </c>
      <c r="B12479" s="2" t="s">
        <v>11156</v>
      </c>
      <c r="C12479" s="1" t="s">
        <v>4480</v>
      </c>
      <c r="D12479" s="1" t="s">
        <v>4482</v>
      </c>
    </row>
    <row r="12480">
      <c r="A12480" s="1" t="s">
        <v>21969</v>
      </c>
      <c r="B12480" s="2" t="s">
        <v>20807</v>
      </c>
      <c r="C12480" s="1" t="s">
        <v>4480</v>
      </c>
      <c r="D12480" s="1" t="s">
        <v>4482</v>
      </c>
    </row>
    <row r="12481">
      <c r="A12481" s="1" t="s">
        <v>21970</v>
      </c>
      <c r="B12481" s="2" t="s">
        <v>20809</v>
      </c>
      <c r="C12481" s="1" t="s">
        <v>4480</v>
      </c>
      <c r="D12481" s="1" t="s">
        <v>4482</v>
      </c>
    </row>
    <row r="12482">
      <c r="A12482" s="1" t="s">
        <v>21971</v>
      </c>
      <c r="B12482" s="2" t="s">
        <v>20811</v>
      </c>
      <c r="C12482" s="1" t="s">
        <v>4480</v>
      </c>
      <c r="D12482" s="1" t="s">
        <v>4482</v>
      </c>
    </row>
    <row r="12483">
      <c r="A12483" s="1" t="s">
        <v>21972</v>
      </c>
      <c r="B12483" s="2" t="s">
        <v>20813</v>
      </c>
      <c r="C12483" s="1" t="s">
        <v>4480</v>
      </c>
      <c r="D12483" s="1" t="s">
        <v>4482</v>
      </c>
    </row>
    <row r="12484">
      <c r="A12484" s="1" t="s">
        <v>21973</v>
      </c>
      <c r="B12484" s="2" t="s">
        <v>20815</v>
      </c>
      <c r="C12484" s="1" t="s">
        <v>4480</v>
      </c>
      <c r="D12484" s="1" t="s">
        <v>4482</v>
      </c>
    </row>
    <row r="12485">
      <c r="A12485" s="1" t="s">
        <v>21974</v>
      </c>
      <c r="B12485" s="2" t="s">
        <v>20817</v>
      </c>
      <c r="C12485" s="1" t="s">
        <v>4480</v>
      </c>
      <c r="D12485" s="1" t="s">
        <v>4482</v>
      </c>
    </row>
    <row r="12486">
      <c r="A12486" s="1" t="s">
        <v>21975</v>
      </c>
      <c r="B12486" s="2" t="s">
        <v>20819</v>
      </c>
      <c r="C12486" s="1" t="s">
        <v>4480</v>
      </c>
      <c r="D12486" s="1" t="s">
        <v>4482</v>
      </c>
    </row>
    <row r="12487">
      <c r="A12487" s="1" t="s">
        <v>21976</v>
      </c>
      <c r="B12487" s="2" t="s">
        <v>20821</v>
      </c>
      <c r="C12487" s="1" t="s">
        <v>4480</v>
      </c>
      <c r="D12487" s="1" t="s">
        <v>4482</v>
      </c>
    </row>
    <row r="12488">
      <c r="A12488" s="1" t="s">
        <v>21977</v>
      </c>
      <c r="B12488" s="2" t="s">
        <v>20823</v>
      </c>
      <c r="C12488" s="1" t="s">
        <v>4480</v>
      </c>
      <c r="D12488" s="1" t="s">
        <v>4482</v>
      </c>
    </row>
    <row r="12489">
      <c r="A12489" s="1" t="s">
        <v>21978</v>
      </c>
      <c r="B12489" s="2" t="s">
        <v>20825</v>
      </c>
      <c r="C12489" s="1" t="s">
        <v>4480</v>
      </c>
      <c r="D12489" s="1" t="s">
        <v>4482</v>
      </c>
    </row>
    <row r="12490">
      <c r="A12490" s="1" t="s">
        <v>21979</v>
      </c>
      <c r="B12490" s="2" t="s">
        <v>20827</v>
      </c>
      <c r="C12490" s="1" t="s">
        <v>4480</v>
      </c>
      <c r="D12490" s="1" t="s">
        <v>4482</v>
      </c>
    </row>
    <row r="12491">
      <c r="A12491" s="1" t="s">
        <v>21980</v>
      </c>
      <c r="B12491" s="2" t="s">
        <v>20829</v>
      </c>
      <c r="C12491" s="1" t="s">
        <v>4480</v>
      </c>
      <c r="D12491" s="1" t="s">
        <v>4482</v>
      </c>
    </row>
    <row r="12492">
      <c r="A12492" s="1" t="s">
        <v>21981</v>
      </c>
      <c r="B12492" s="2" t="s">
        <v>20831</v>
      </c>
      <c r="C12492" s="1" t="s">
        <v>4480</v>
      </c>
      <c r="D12492" s="1" t="s">
        <v>4482</v>
      </c>
    </row>
    <row r="12493">
      <c r="A12493" s="1" t="s">
        <v>21982</v>
      </c>
      <c r="B12493" s="2" t="s">
        <v>20833</v>
      </c>
      <c r="C12493" s="1" t="s">
        <v>4480</v>
      </c>
      <c r="D12493" s="1" t="s">
        <v>4482</v>
      </c>
    </row>
    <row r="12494">
      <c r="A12494" s="1" t="s">
        <v>4545</v>
      </c>
      <c r="B12494" s="2" t="s">
        <v>4537</v>
      </c>
      <c r="C12494" s="1" t="s">
        <v>4547</v>
      </c>
      <c r="D12494" s="1" t="s">
        <v>4549</v>
      </c>
    </row>
    <row r="12495">
      <c r="A12495" s="1" t="s">
        <v>4553</v>
      </c>
      <c r="B12495" s="2" t="s">
        <v>4537</v>
      </c>
      <c r="C12495" s="1" t="s">
        <v>4556</v>
      </c>
      <c r="D12495" s="1" t="s">
        <v>4557</v>
      </c>
    </row>
    <row r="12496">
      <c r="A12496" s="1" t="s">
        <v>4561</v>
      </c>
      <c r="B12496" s="2" t="s">
        <v>4537</v>
      </c>
      <c r="C12496" s="1" t="s">
        <v>4564</v>
      </c>
      <c r="D12496" s="1" t="s">
        <v>4565</v>
      </c>
    </row>
    <row r="12497">
      <c r="A12497" s="1" t="s">
        <v>4570</v>
      </c>
      <c r="B12497" s="2" t="s">
        <v>4537</v>
      </c>
      <c r="C12497" s="1" t="s">
        <v>4573</v>
      </c>
      <c r="D12497" s="1" t="s">
        <v>4574</v>
      </c>
    </row>
    <row r="12498">
      <c r="A12498" s="1" t="s">
        <v>4579</v>
      </c>
      <c r="B12498" s="2" t="s">
        <v>4537</v>
      </c>
      <c r="C12498" s="1" t="s">
        <v>4582</v>
      </c>
      <c r="D12498" s="1" t="s">
        <v>4583</v>
      </c>
    </row>
    <row r="12499">
      <c r="A12499" s="1" t="s">
        <v>4588</v>
      </c>
      <c r="B12499" s="2" t="s">
        <v>4537</v>
      </c>
      <c r="C12499" s="1" t="s">
        <v>4590</v>
      </c>
      <c r="D12499" s="1" t="s">
        <v>4592</v>
      </c>
    </row>
    <row r="12500">
      <c r="A12500" s="1" t="s">
        <v>4596</v>
      </c>
      <c r="B12500" s="2" t="s">
        <v>4537</v>
      </c>
      <c r="C12500" s="1" t="s">
        <v>4598</v>
      </c>
      <c r="D12500" s="1" t="s">
        <v>4600</v>
      </c>
    </row>
    <row r="12501">
      <c r="A12501" s="1" t="s">
        <v>4605</v>
      </c>
      <c r="B12501" s="2" t="s">
        <v>4537</v>
      </c>
      <c r="C12501" s="1" t="s">
        <v>4607</v>
      </c>
      <c r="D12501" s="1" t="s">
        <v>4609</v>
      </c>
    </row>
    <row r="12502">
      <c r="A12502" s="1" t="s">
        <v>4619</v>
      </c>
      <c r="B12502" s="2" t="s">
        <v>4537</v>
      </c>
      <c r="C12502" s="1" t="s">
        <v>4621</v>
      </c>
      <c r="D12502" s="1" t="s">
        <v>4623</v>
      </c>
    </row>
    <row r="12503">
      <c r="A12503" s="1" t="s">
        <v>4536</v>
      </c>
      <c r="B12503" s="2" t="s">
        <v>4537</v>
      </c>
      <c r="C12503" s="1" t="s">
        <v>4539</v>
      </c>
      <c r="D12503" s="1" t="s">
        <v>4541</v>
      </c>
    </row>
    <row r="12504">
      <c r="A12504" s="1" t="s">
        <v>4628</v>
      </c>
      <c r="B12504" s="2" t="s">
        <v>7</v>
      </c>
      <c r="C12504" s="1" t="s">
        <v>4630</v>
      </c>
      <c r="D12504" s="1" t="s">
        <v>4632</v>
      </c>
    </row>
    <row r="12505">
      <c r="A12505" s="1" t="s">
        <v>21983</v>
      </c>
      <c r="B12505" s="2" t="s">
        <v>21984</v>
      </c>
      <c r="C12505" s="1" t="s">
        <v>4630</v>
      </c>
      <c r="D12505" s="1" t="s">
        <v>4632</v>
      </c>
    </row>
    <row r="12506">
      <c r="A12506" s="1" t="s">
        <v>21985</v>
      </c>
      <c r="B12506" s="2" t="s">
        <v>21986</v>
      </c>
      <c r="C12506" s="1" t="s">
        <v>4630</v>
      </c>
      <c r="D12506" s="1" t="s">
        <v>4632</v>
      </c>
    </row>
    <row r="12507">
      <c r="A12507" s="1" t="s">
        <v>21987</v>
      </c>
      <c r="B12507" s="2" t="s">
        <v>21988</v>
      </c>
      <c r="C12507" s="1" t="s">
        <v>4630</v>
      </c>
      <c r="D12507" s="1" t="s">
        <v>4632</v>
      </c>
    </row>
    <row r="12508">
      <c r="A12508" s="1" t="s">
        <v>21989</v>
      </c>
      <c r="B12508" s="2" t="s">
        <v>21990</v>
      </c>
      <c r="C12508" s="1" t="s">
        <v>4630</v>
      </c>
      <c r="D12508" s="1" t="s">
        <v>4632</v>
      </c>
    </row>
    <row r="12509">
      <c r="A12509" s="1" t="s">
        <v>21991</v>
      </c>
      <c r="B12509" s="2" t="s">
        <v>21992</v>
      </c>
      <c r="C12509" s="1" t="s">
        <v>4630</v>
      </c>
      <c r="D12509" s="1" t="s">
        <v>4632</v>
      </c>
    </row>
    <row r="12510">
      <c r="A12510" s="1" t="s">
        <v>21993</v>
      </c>
      <c r="B12510" s="2" t="s">
        <v>21994</v>
      </c>
      <c r="C12510" s="1" t="s">
        <v>4630</v>
      </c>
      <c r="D12510" s="1" t="s">
        <v>4632</v>
      </c>
    </row>
    <row r="12511">
      <c r="A12511" s="1" t="s">
        <v>4637</v>
      </c>
      <c r="B12511" s="2" t="s">
        <v>7</v>
      </c>
      <c r="C12511" s="1" t="s">
        <v>4639</v>
      </c>
      <c r="D12511" s="1" t="s">
        <v>4641</v>
      </c>
    </row>
    <row r="12512">
      <c r="A12512" s="1" t="s">
        <v>21995</v>
      </c>
      <c r="B12512" s="2" t="s">
        <v>21996</v>
      </c>
      <c r="C12512" s="1" t="s">
        <v>4639</v>
      </c>
      <c r="D12512" s="1" t="s">
        <v>4641</v>
      </c>
    </row>
    <row r="12513">
      <c r="A12513" s="1" t="s">
        <v>21997</v>
      </c>
      <c r="B12513" s="2" t="s">
        <v>21998</v>
      </c>
      <c r="C12513" s="1" t="s">
        <v>4639</v>
      </c>
      <c r="D12513" s="1" t="s">
        <v>4641</v>
      </c>
    </row>
    <row r="12514">
      <c r="A12514" s="1" t="s">
        <v>21999</v>
      </c>
      <c r="B12514" s="2" t="s">
        <v>22000</v>
      </c>
      <c r="C12514" s="1" t="s">
        <v>4639</v>
      </c>
      <c r="D12514" s="1" t="s">
        <v>4641</v>
      </c>
    </row>
    <row r="12515">
      <c r="A12515" s="1" t="s">
        <v>22001</v>
      </c>
      <c r="B12515" s="2" t="s">
        <v>22002</v>
      </c>
      <c r="C12515" s="1" t="s">
        <v>4639</v>
      </c>
      <c r="D12515" s="1" t="s">
        <v>4641</v>
      </c>
    </row>
    <row r="12516">
      <c r="A12516" s="1" t="s">
        <v>4645</v>
      </c>
      <c r="B12516" s="2" t="s">
        <v>7</v>
      </c>
      <c r="C12516" s="1" t="s">
        <v>4647</v>
      </c>
      <c r="D12516" s="1" t="s">
        <v>4649</v>
      </c>
    </row>
    <row r="12517">
      <c r="A12517" s="1" t="s">
        <v>22003</v>
      </c>
      <c r="B12517" s="2" t="s">
        <v>22004</v>
      </c>
      <c r="C12517" s="1" t="s">
        <v>4647</v>
      </c>
      <c r="D12517" s="1" t="s">
        <v>4649</v>
      </c>
    </row>
    <row r="12518">
      <c r="A12518" s="1" t="s">
        <v>22005</v>
      </c>
      <c r="B12518" s="2" t="s">
        <v>22006</v>
      </c>
      <c r="C12518" s="1" t="s">
        <v>4647</v>
      </c>
      <c r="D12518" s="1" t="s">
        <v>4649</v>
      </c>
    </row>
    <row r="12519">
      <c r="A12519" s="1" t="s">
        <v>22007</v>
      </c>
      <c r="B12519" s="2" t="s">
        <v>22008</v>
      </c>
      <c r="C12519" s="1" t="s">
        <v>4647</v>
      </c>
      <c r="D12519" s="1" t="s">
        <v>4649</v>
      </c>
    </row>
    <row r="12520">
      <c r="A12520" s="1" t="s">
        <v>22009</v>
      </c>
      <c r="B12520" s="2" t="s">
        <v>22010</v>
      </c>
      <c r="C12520" s="1" t="s">
        <v>4647</v>
      </c>
      <c r="D12520" s="1" t="s">
        <v>4649</v>
      </c>
    </row>
    <row r="12521">
      <c r="A12521" s="1" t="s">
        <v>4653</v>
      </c>
      <c r="B12521" s="2" t="s">
        <v>7</v>
      </c>
      <c r="C12521" s="1" t="s">
        <v>4656</v>
      </c>
      <c r="D12521" s="1" t="s">
        <v>4657</v>
      </c>
    </row>
    <row r="12522">
      <c r="A12522" s="1" t="s">
        <v>22011</v>
      </c>
      <c r="B12522" s="2" t="s">
        <v>22012</v>
      </c>
      <c r="C12522" s="1" t="s">
        <v>4656</v>
      </c>
      <c r="D12522" s="1" t="s">
        <v>4657</v>
      </c>
    </row>
    <row r="12523">
      <c r="A12523" s="1" t="s">
        <v>22013</v>
      </c>
      <c r="B12523" s="2" t="s">
        <v>22014</v>
      </c>
      <c r="C12523" s="1" t="s">
        <v>4656</v>
      </c>
      <c r="D12523" s="1" t="s">
        <v>4657</v>
      </c>
    </row>
    <row r="12524">
      <c r="A12524" s="1" t="s">
        <v>22015</v>
      </c>
      <c r="B12524" s="2" t="s">
        <v>22016</v>
      </c>
      <c r="C12524" s="1" t="s">
        <v>4656</v>
      </c>
      <c r="D12524" s="1" t="s">
        <v>4657</v>
      </c>
    </row>
    <row r="12525">
      <c r="A12525" s="1" t="s">
        <v>22017</v>
      </c>
      <c r="B12525" s="2" t="s">
        <v>22018</v>
      </c>
      <c r="C12525" s="1" t="s">
        <v>4656</v>
      </c>
      <c r="D12525" s="1" t="s">
        <v>4657</v>
      </c>
    </row>
    <row r="12526">
      <c r="A12526" s="1" t="s">
        <v>22019</v>
      </c>
      <c r="B12526" s="2" t="s">
        <v>22020</v>
      </c>
      <c r="C12526" s="1" t="s">
        <v>4656</v>
      </c>
      <c r="D12526" s="1" t="s">
        <v>4657</v>
      </c>
    </row>
    <row r="12527">
      <c r="A12527" s="1" t="s">
        <v>22021</v>
      </c>
      <c r="B12527" s="2" t="s">
        <v>22022</v>
      </c>
      <c r="C12527" s="1" t="s">
        <v>4656</v>
      </c>
      <c r="D12527" s="1" t="s">
        <v>4657</v>
      </c>
    </row>
    <row r="12528">
      <c r="A12528" s="1" t="s">
        <v>22023</v>
      </c>
      <c r="B12528" s="2" t="s">
        <v>22024</v>
      </c>
      <c r="C12528" s="1" t="s">
        <v>4656</v>
      </c>
      <c r="D12528" s="1" t="s">
        <v>4657</v>
      </c>
    </row>
    <row r="12529">
      <c r="A12529" s="1" t="s">
        <v>22025</v>
      </c>
      <c r="B12529" s="2" t="s">
        <v>22026</v>
      </c>
      <c r="C12529" s="1" t="s">
        <v>4656</v>
      </c>
      <c r="D12529" s="1" t="s">
        <v>4657</v>
      </c>
    </row>
    <row r="12530">
      <c r="A12530" s="1" t="s">
        <v>22027</v>
      </c>
      <c r="B12530" s="2" t="s">
        <v>22028</v>
      </c>
      <c r="C12530" s="1" t="s">
        <v>4656</v>
      </c>
      <c r="D12530" s="1" t="s">
        <v>4657</v>
      </c>
    </row>
    <row r="12531">
      <c r="A12531" s="1" t="s">
        <v>22029</v>
      </c>
      <c r="B12531" s="2" t="s">
        <v>22030</v>
      </c>
      <c r="C12531" s="1" t="s">
        <v>4656</v>
      </c>
      <c r="D12531" s="1" t="s">
        <v>4657</v>
      </c>
    </row>
    <row r="12532">
      <c r="A12532" s="1" t="s">
        <v>22031</v>
      </c>
      <c r="B12532" s="2" t="s">
        <v>22032</v>
      </c>
      <c r="C12532" s="1" t="s">
        <v>4656</v>
      </c>
      <c r="D12532" s="1" t="s">
        <v>4657</v>
      </c>
    </row>
    <row r="12533">
      <c r="A12533" s="1" t="s">
        <v>22033</v>
      </c>
      <c r="B12533" s="2" t="s">
        <v>22034</v>
      </c>
      <c r="C12533" s="1" t="s">
        <v>4656</v>
      </c>
      <c r="D12533" s="1" t="s">
        <v>4657</v>
      </c>
    </row>
    <row r="12534">
      <c r="A12534" s="1" t="s">
        <v>22035</v>
      </c>
      <c r="B12534" s="2" t="s">
        <v>22036</v>
      </c>
      <c r="C12534" s="1" t="s">
        <v>4656</v>
      </c>
      <c r="D12534" s="1" t="s">
        <v>4657</v>
      </c>
    </row>
    <row r="12535">
      <c r="A12535" s="1" t="s">
        <v>22037</v>
      </c>
      <c r="B12535" s="2" t="s">
        <v>22038</v>
      </c>
      <c r="C12535" s="1" t="s">
        <v>4656</v>
      </c>
      <c r="D12535" s="1" t="s">
        <v>4657</v>
      </c>
    </row>
    <row r="12536">
      <c r="A12536" s="1" t="s">
        <v>22039</v>
      </c>
      <c r="B12536" s="2" t="s">
        <v>22040</v>
      </c>
      <c r="C12536" s="1" t="s">
        <v>4656</v>
      </c>
      <c r="D12536" s="1" t="s">
        <v>4657</v>
      </c>
    </row>
    <row r="12537">
      <c r="A12537" s="1" t="s">
        <v>22041</v>
      </c>
      <c r="B12537" s="2" t="s">
        <v>22042</v>
      </c>
      <c r="C12537" s="1" t="s">
        <v>4656</v>
      </c>
      <c r="D12537" s="1" t="s">
        <v>4657</v>
      </c>
    </row>
    <row r="12538">
      <c r="A12538" s="1" t="s">
        <v>22043</v>
      </c>
      <c r="B12538" s="2" t="s">
        <v>22044</v>
      </c>
      <c r="C12538" s="1" t="s">
        <v>4656</v>
      </c>
      <c r="D12538" s="1" t="s">
        <v>4657</v>
      </c>
    </row>
    <row r="12539">
      <c r="A12539" s="1" t="s">
        <v>22045</v>
      </c>
      <c r="B12539" s="2" t="s">
        <v>22046</v>
      </c>
      <c r="C12539" s="1" t="s">
        <v>4656</v>
      </c>
      <c r="D12539" s="1" t="s">
        <v>4657</v>
      </c>
    </row>
    <row r="12540">
      <c r="A12540" s="1" t="s">
        <v>22047</v>
      </c>
      <c r="B12540" s="2" t="s">
        <v>22048</v>
      </c>
      <c r="C12540" s="1" t="s">
        <v>4656</v>
      </c>
      <c r="D12540" s="1" t="s">
        <v>4657</v>
      </c>
    </row>
    <row r="12541">
      <c r="A12541" s="1" t="s">
        <v>22049</v>
      </c>
      <c r="B12541" s="2" t="s">
        <v>22050</v>
      </c>
      <c r="C12541" s="1" t="s">
        <v>4656</v>
      </c>
      <c r="D12541" s="1" t="s">
        <v>4657</v>
      </c>
    </row>
    <row r="12542">
      <c r="A12542" s="1" t="s">
        <v>4660</v>
      </c>
      <c r="B12542" s="2" t="s">
        <v>7</v>
      </c>
      <c r="C12542" s="1" t="s">
        <v>4663</v>
      </c>
      <c r="D12542" s="1" t="s">
        <v>4664</v>
      </c>
    </row>
    <row r="12543">
      <c r="A12543" s="1" t="s">
        <v>22051</v>
      </c>
      <c r="B12543" s="2" t="s">
        <v>22052</v>
      </c>
      <c r="C12543" s="1" t="s">
        <v>4663</v>
      </c>
      <c r="D12543" s="1" t="s">
        <v>4664</v>
      </c>
    </row>
    <row r="12544">
      <c r="A12544" s="1" t="s">
        <v>22053</v>
      </c>
      <c r="B12544" s="2" t="s">
        <v>22054</v>
      </c>
      <c r="C12544" s="1" t="s">
        <v>4663</v>
      </c>
      <c r="D12544" s="1" t="s">
        <v>4664</v>
      </c>
    </row>
    <row r="12545">
      <c r="A12545" s="1" t="s">
        <v>4669</v>
      </c>
      <c r="B12545" s="2" t="s">
        <v>4670</v>
      </c>
      <c r="C12545" s="1" t="s">
        <v>4672</v>
      </c>
      <c r="D12545" s="1" t="s">
        <v>4674</v>
      </c>
    </row>
    <row r="12546">
      <c r="A12546" s="1" t="s">
        <v>22055</v>
      </c>
      <c r="B12546" s="2" t="s">
        <v>22056</v>
      </c>
      <c r="C12546" s="1" t="s">
        <v>4672</v>
      </c>
      <c r="D12546" s="1" t="s">
        <v>4674</v>
      </c>
    </row>
    <row r="12547">
      <c r="A12547" s="1" t="s">
        <v>22057</v>
      </c>
      <c r="B12547" s="2" t="s">
        <v>22058</v>
      </c>
      <c r="C12547" s="1" t="s">
        <v>4672</v>
      </c>
      <c r="D12547" s="1" t="s">
        <v>4674</v>
      </c>
    </row>
    <row r="12548">
      <c r="A12548" s="1" t="s">
        <v>22059</v>
      </c>
      <c r="B12548" s="2" t="s">
        <v>22060</v>
      </c>
      <c r="C12548" s="1" t="s">
        <v>4672</v>
      </c>
      <c r="D12548" s="1" t="s">
        <v>4674</v>
      </c>
    </row>
    <row r="12549">
      <c r="A12549" s="1" t="s">
        <v>22061</v>
      </c>
      <c r="B12549" s="2" t="s">
        <v>22062</v>
      </c>
      <c r="C12549" s="1" t="s">
        <v>4672</v>
      </c>
      <c r="D12549" s="1" t="s">
        <v>4674</v>
      </c>
    </row>
    <row r="12550">
      <c r="A12550" s="1" t="s">
        <v>22063</v>
      </c>
      <c r="B12550" s="2" t="s">
        <v>22064</v>
      </c>
      <c r="C12550" s="1" t="s">
        <v>4672</v>
      </c>
      <c r="D12550" s="1" t="s">
        <v>4674</v>
      </c>
    </row>
    <row r="12551">
      <c r="A12551" s="1" t="s">
        <v>22065</v>
      </c>
      <c r="B12551" s="2" t="s">
        <v>22066</v>
      </c>
      <c r="C12551" s="1" t="s">
        <v>4672</v>
      </c>
      <c r="D12551" s="1" t="s">
        <v>4674</v>
      </c>
    </row>
    <row r="12552">
      <c r="A12552" s="1" t="s">
        <v>22067</v>
      </c>
      <c r="B12552" s="2" t="s">
        <v>22068</v>
      </c>
      <c r="C12552" s="1" t="s">
        <v>4672</v>
      </c>
      <c r="D12552" s="1" t="s">
        <v>4674</v>
      </c>
    </row>
    <row r="12553">
      <c r="A12553" s="1" t="s">
        <v>22069</v>
      </c>
      <c r="B12553" s="2" t="s">
        <v>22070</v>
      </c>
      <c r="C12553" s="1" t="s">
        <v>4672</v>
      </c>
      <c r="D12553" s="1" t="s">
        <v>4674</v>
      </c>
    </row>
    <row r="12554">
      <c r="A12554" s="1" t="s">
        <v>22071</v>
      </c>
      <c r="B12554" s="2" t="s">
        <v>22072</v>
      </c>
      <c r="C12554" s="1" t="s">
        <v>4672</v>
      </c>
      <c r="D12554" s="1" t="s">
        <v>4674</v>
      </c>
    </row>
    <row r="12555">
      <c r="A12555" s="1" t="s">
        <v>22073</v>
      </c>
      <c r="B12555" s="2" t="s">
        <v>22074</v>
      </c>
      <c r="C12555" s="1" t="s">
        <v>4672</v>
      </c>
      <c r="D12555" s="1" t="s">
        <v>4674</v>
      </c>
    </row>
    <row r="12556">
      <c r="A12556" s="1" t="s">
        <v>4679</v>
      </c>
      <c r="B12556" s="2" t="s">
        <v>4681</v>
      </c>
      <c r="C12556" s="1" t="s">
        <v>4683</v>
      </c>
      <c r="D12556" s="1" t="s">
        <v>4684</v>
      </c>
    </row>
    <row r="12557">
      <c r="A12557" s="1" t="s">
        <v>4689</v>
      </c>
      <c r="B12557" s="2" t="s">
        <v>4691</v>
      </c>
      <c r="C12557" s="1" t="s">
        <v>4693</v>
      </c>
      <c r="D12557" s="1" t="s">
        <v>4696</v>
      </c>
    </row>
    <row r="12558">
      <c r="A12558" s="1" t="s">
        <v>22075</v>
      </c>
      <c r="B12558" s="2" t="s">
        <v>22076</v>
      </c>
      <c r="C12558" s="1" t="s">
        <v>4693</v>
      </c>
      <c r="D12558" s="1" t="s">
        <v>4696</v>
      </c>
    </row>
    <row r="12559">
      <c r="A12559" s="1" t="s">
        <v>22077</v>
      </c>
      <c r="B12559" s="2" t="s">
        <v>22078</v>
      </c>
      <c r="C12559" s="1" t="s">
        <v>4693</v>
      </c>
      <c r="D12559" s="1" t="s">
        <v>4696</v>
      </c>
    </row>
    <row r="12560">
      <c r="A12560" s="1" t="s">
        <v>22079</v>
      </c>
      <c r="B12560" s="2" t="s">
        <v>22080</v>
      </c>
      <c r="C12560" s="1" t="s">
        <v>4693</v>
      </c>
      <c r="D12560" s="1" t="s">
        <v>4696</v>
      </c>
    </row>
    <row r="12561">
      <c r="A12561" s="1" t="s">
        <v>22081</v>
      </c>
      <c r="B12561" s="2" t="s">
        <v>22082</v>
      </c>
      <c r="C12561" s="1" t="s">
        <v>4693</v>
      </c>
      <c r="D12561" s="1" t="s">
        <v>4696</v>
      </c>
    </row>
    <row r="12562">
      <c r="A12562" s="1" t="s">
        <v>22083</v>
      </c>
      <c r="B12562" s="2" t="s">
        <v>22084</v>
      </c>
      <c r="C12562" s="1" t="s">
        <v>4693</v>
      </c>
      <c r="D12562" s="1" t="s">
        <v>4696</v>
      </c>
    </row>
    <row r="12563">
      <c r="A12563" s="1" t="s">
        <v>22085</v>
      </c>
      <c r="B12563" s="2" t="s">
        <v>22086</v>
      </c>
      <c r="C12563" s="1" t="s">
        <v>4693</v>
      </c>
      <c r="D12563" s="1" t="s">
        <v>4696</v>
      </c>
    </row>
    <row r="12564">
      <c r="A12564" s="1" t="s">
        <v>22087</v>
      </c>
      <c r="B12564" s="2" t="s">
        <v>22088</v>
      </c>
      <c r="C12564" s="1" t="s">
        <v>4693</v>
      </c>
      <c r="D12564" s="1" t="s">
        <v>4696</v>
      </c>
    </row>
    <row r="12565">
      <c r="A12565" s="1" t="s">
        <v>22089</v>
      </c>
      <c r="B12565" s="2" t="s">
        <v>22090</v>
      </c>
      <c r="C12565" s="1" t="s">
        <v>4693</v>
      </c>
      <c r="D12565" s="1" t="s">
        <v>4696</v>
      </c>
    </row>
    <row r="12566">
      <c r="A12566" s="1" t="s">
        <v>22091</v>
      </c>
      <c r="B12566" s="2" t="s">
        <v>22092</v>
      </c>
      <c r="C12566" s="1" t="s">
        <v>4693</v>
      </c>
      <c r="D12566" s="1" t="s">
        <v>4696</v>
      </c>
    </row>
    <row r="12567">
      <c r="A12567" s="1" t="s">
        <v>22093</v>
      </c>
      <c r="B12567" s="2" t="s">
        <v>22094</v>
      </c>
      <c r="C12567" s="1" t="s">
        <v>4693</v>
      </c>
      <c r="D12567" s="1" t="s">
        <v>4696</v>
      </c>
    </row>
    <row r="12568">
      <c r="A12568" s="1" t="s">
        <v>4701</v>
      </c>
      <c r="B12568" s="2" t="s">
        <v>4691</v>
      </c>
      <c r="C12568" s="1" t="s">
        <v>4704</v>
      </c>
      <c r="D12568" s="1" t="s">
        <v>4706</v>
      </c>
    </row>
    <row r="12569">
      <c r="A12569" s="1" t="s">
        <v>22095</v>
      </c>
      <c r="B12569" s="2" t="s">
        <v>22096</v>
      </c>
      <c r="C12569" s="1" t="s">
        <v>4704</v>
      </c>
      <c r="D12569" s="1" t="s">
        <v>4706</v>
      </c>
    </row>
    <row r="12570">
      <c r="A12570" s="1" t="s">
        <v>22097</v>
      </c>
      <c r="B12570" s="2" t="s">
        <v>22098</v>
      </c>
      <c r="C12570" s="1" t="s">
        <v>4704</v>
      </c>
      <c r="D12570" s="1" t="s">
        <v>4706</v>
      </c>
    </row>
    <row r="12571">
      <c r="A12571" s="1" t="s">
        <v>22099</v>
      </c>
      <c r="B12571" s="2" t="s">
        <v>22100</v>
      </c>
      <c r="C12571" s="1" t="s">
        <v>4704</v>
      </c>
      <c r="D12571" s="1" t="s">
        <v>4706</v>
      </c>
    </row>
    <row r="12572">
      <c r="A12572" s="1" t="s">
        <v>22101</v>
      </c>
      <c r="B12572" s="2" t="s">
        <v>22102</v>
      </c>
      <c r="C12572" s="1" t="s">
        <v>4704</v>
      </c>
      <c r="D12572" s="1" t="s">
        <v>4706</v>
      </c>
    </row>
    <row r="12573">
      <c r="A12573" s="1" t="s">
        <v>22103</v>
      </c>
      <c r="B12573" s="2" t="s">
        <v>22104</v>
      </c>
      <c r="C12573" s="1" t="s">
        <v>4704</v>
      </c>
      <c r="D12573" s="1" t="s">
        <v>4706</v>
      </c>
    </row>
    <row r="12574">
      <c r="A12574" s="1" t="s">
        <v>22105</v>
      </c>
      <c r="B12574" s="2" t="s">
        <v>22106</v>
      </c>
      <c r="C12574" s="1" t="s">
        <v>4704</v>
      </c>
      <c r="D12574" s="1" t="s">
        <v>4706</v>
      </c>
    </row>
    <row r="12575">
      <c r="A12575" s="1" t="s">
        <v>4710</v>
      </c>
      <c r="B12575" s="2" t="s">
        <v>4691</v>
      </c>
      <c r="C12575" s="1" t="s">
        <v>4713</v>
      </c>
      <c r="D12575" s="1" t="s">
        <v>4714</v>
      </c>
    </row>
    <row r="12576">
      <c r="A12576" s="1" t="s">
        <v>22107</v>
      </c>
      <c r="B12576" s="2" t="s">
        <v>22108</v>
      </c>
      <c r="C12576" s="1" t="s">
        <v>4713</v>
      </c>
      <c r="D12576" s="1" t="s">
        <v>4714</v>
      </c>
    </row>
    <row r="12577">
      <c r="A12577" s="1" t="s">
        <v>22109</v>
      </c>
      <c r="B12577" s="2" t="s">
        <v>22110</v>
      </c>
      <c r="C12577" s="1" t="s">
        <v>4713</v>
      </c>
      <c r="D12577" s="1" t="s">
        <v>4714</v>
      </c>
    </row>
    <row r="12578">
      <c r="A12578" s="1" t="s">
        <v>22111</v>
      </c>
      <c r="B12578" s="2" t="s">
        <v>22112</v>
      </c>
      <c r="C12578" s="1" t="s">
        <v>4713</v>
      </c>
      <c r="D12578" s="1" t="s">
        <v>4714</v>
      </c>
    </row>
    <row r="12579">
      <c r="A12579" s="1" t="s">
        <v>22113</v>
      </c>
      <c r="B12579" s="2" t="s">
        <v>22114</v>
      </c>
      <c r="C12579" s="1" t="s">
        <v>4713</v>
      </c>
      <c r="D12579" s="1" t="s">
        <v>4714</v>
      </c>
    </row>
    <row r="12580">
      <c r="A12580" s="1" t="s">
        <v>22115</v>
      </c>
      <c r="B12580" s="2" t="s">
        <v>22116</v>
      </c>
      <c r="C12580" s="1" t="s">
        <v>4713</v>
      </c>
      <c r="D12580" s="1" t="s">
        <v>4714</v>
      </c>
    </row>
    <row r="12581">
      <c r="A12581" s="1" t="s">
        <v>22117</v>
      </c>
      <c r="B12581" s="2" t="s">
        <v>22118</v>
      </c>
      <c r="C12581" s="1" t="s">
        <v>4713</v>
      </c>
      <c r="D12581" s="1" t="s">
        <v>4714</v>
      </c>
    </row>
    <row r="12582">
      <c r="A12582" s="1" t="s">
        <v>22119</v>
      </c>
      <c r="B12582" s="2" t="s">
        <v>22120</v>
      </c>
      <c r="C12582" s="1" t="s">
        <v>4713</v>
      </c>
      <c r="D12582" s="1" t="s">
        <v>4714</v>
      </c>
    </row>
    <row r="12583">
      <c r="A12583" s="1" t="s">
        <v>22121</v>
      </c>
      <c r="B12583" s="2" t="s">
        <v>22122</v>
      </c>
      <c r="C12583" s="1" t="s">
        <v>4713</v>
      </c>
      <c r="D12583" s="1" t="s">
        <v>4714</v>
      </c>
    </row>
    <row r="12584">
      <c r="A12584" s="1" t="s">
        <v>22123</v>
      </c>
      <c r="B12584" s="2" t="s">
        <v>22124</v>
      </c>
      <c r="C12584" s="1" t="s">
        <v>4713</v>
      </c>
      <c r="D12584" s="1" t="s">
        <v>4714</v>
      </c>
    </row>
    <row r="12585">
      <c r="A12585" s="1" t="s">
        <v>22125</v>
      </c>
      <c r="B12585" s="2" t="s">
        <v>22126</v>
      </c>
      <c r="C12585" s="1" t="s">
        <v>4713</v>
      </c>
      <c r="D12585" s="1" t="s">
        <v>4714</v>
      </c>
    </row>
    <row r="12586">
      <c r="A12586" s="1" t="s">
        <v>22127</v>
      </c>
      <c r="B12586" s="2" t="s">
        <v>22128</v>
      </c>
      <c r="C12586" s="1" t="s">
        <v>4713</v>
      </c>
      <c r="D12586" s="1" t="s">
        <v>4714</v>
      </c>
    </row>
    <row r="12587">
      <c r="A12587" s="1" t="s">
        <v>22129</v>
      </c>
      <c r="B12587" s="2" t="s">
        <v>22130</v>
      </c>
      <c r="C12587" s="1" t="s">
        <v>4713</v>
      </c>
      <c r="D12587" s="1" t="s">
        <v>4714</v>
      </c>
    </row>
    <row r="12588">
      <c r="A12588" s="1" t="s">
        <v>22131</v>
      </c>
      <c r="B12588" s="2" t="s">
        <v>22132</v>
      </c>
      <c r="C12588" s="1" t="s">
        <v>4713</v>
      </c>
      <c r="D12588" s="1" t="s">
        <v>4714</v>
      </c>
    </row>
    <row r="12589">
      <c r="A12589" s="1" t="s">
        <v>22133</v>
      </c>
      <c r="B12589" s="2" t="s">
        <v>22134</v>
      </c>
      <c r="C12589" s="1" t="s">
        <v>4713</v>
      </c>
      <c r="D12589" s="1" t="s">
        <v>4714</v>
      </c>
    </row>
    <row r="12590">
      <c r="A12590" s="1" t="s">
        <v>22135</v>
      </c>
      <c r="B12590" s="2" t="s">
        <v>22136</v>
      </c>
      <c r="C12590" s="1" t="s">
        <v>4713</v>
      </c>
      <c r="D12590" s="1" t="s">
        <v>4714</v>
      </c>
    </row>
    <row r="12591">
      <c r="A12591" s="1" t="s">
        <v>22137</v>
      </c>
      <c r="B12591" s="2" t="s">
        <v>22138</v>
      </c>
      <c r="C12591" s="1" t="s">
        <v>4713</v>
      </c>
      <c r="D12591" s="1" t="s">
        <v>4714</v>
      </c>
    </row>
    <row r="12592">
      <c r="A12592" s="1" t="s">
        <v>22139</v>
      </c>
      <c r="B12592" s="2" t="s">
        <v>22140</v>
      </c>
      <c r="C12592" s="1" t="s">
        <v>4713</v>
      </c>
      <c r="D12592" s="1" t="s">
        <v>4714</v>
      </c>
    </row>
    <row r="12593">
      <c r="A12593" s="1" t="s">
        <v>22141</v>
      </c>
      <c r="B12593" s="2" t="s">
        <v>22142</v>
      </c>
      <c r="C12593" s="1" t="s">
        <v>4713</v>
      </c>
      <c r="D12593" s="1" t="s">
        <v>4714</v>
      </c>
    </row>
    <row r="12594">
      <c r="A12594" s="1" t="s">
        <v>22143</v>
      </c>
      <c r="B12594" s="2" t="s">
        <v>22144</v>
      </c>
      <c r="C12594" s="1" t="s">
        <v>4713</v>
      </c>
      <c r="D12594" s="1" t="s">
        <v>4714</v>
      </c>
    </row>
    <row r="12595">
      <c r="A12595" s="1" t="s">
        <v>22145</v>
      </c>
      <c r="B12595" s="2" t="s">
        <v>22146</v>
      </c>
      <c r="C12595" s="1" t="s">
        <v>4713</v>
      </c>
      <c r="D12595" s="1" t="s">
        <v>4714</v>
      </c>
    </row>
    <row r="12596">
      <c r="A12596" s="1" t="s">
        <v>22147</v>
      </c>
      <c r="B12596" s="2" t="s">
        <v>22148</v>
      </c>
      <c r="C12596" s="1" t="s">
        <v>4713</v>
      </c>
      <c r="D12596" s="1" t="s">
        <v>4714</v>
      </c>
    </row>
    <row r="12597">
      <c r="A12597" s="1" t="s">
        <v>22149</v>
      </c>
      <c r="B12597" s="2" t="s">
        <v>22150</v>
      </c>
      <c r="C12597" s="1" t="s">
        <v>4713</v>
      </c>
      <c r="D12597" s="1" t="s">
        <v>4714</v>
      </c>
    </row>
    <row r="12598">
      <c r="A12598" s="1" t="s">
        <v>22151</v>
      </c>
      <c r="B12598" s="2" t="s">
        <v>22152</v>
      </c>
      <c r="C12598" s="1" t="s">
        <v>4713</v>
      </c>
      <c r="D12598" s="1" t="s">
        <v>4714</v>
      </c>
    </row>
    <row r="12599">
      <c r="A12599" s="1" t="s">
        <v>22153</v>
      </c>
      <c r="B12599" s="2" t="s">
        <v>22154</v>
      </c>
      <c r="C12599" s="1" t="s">
        <v>4713</v>
      </c>
      <c r="D12599" s="1" t="s">
        <v>4714</v>
      </c>
    </row>
    <row r="12600">
      <c r="A12600" s="1" t="s">
        <v>22155</v>
      </c>
      <c r="B12600" s="2" t="s">
        <v>22156</v>
      </c>
      <c r="C12600" s="1" t="s">
        <v>4713</v>
      </c>
      <c r="D12600" s="1" t="s">
        <v>4714</v>
      </c>
    </row>
    <row r="12601">
      <c r="A12601" s="1" t="s">
        <v>22157</v>
      </c>
      <c r="B12601" s="2" t="s">
        <v>22158</v>
      </c>
      <c r="C12601" s="1" t="s">
        <v>4713</v>
      </c>
      <c r="D12601" s="1" t="s">
        <v>4714</v>
      </c>
    </row>
    <row r="12602">
      <c r="A12602" s="1" t="s">
        <v>22159</v>
      </c>
      <c r="B12602" s="2" t="s">
        <v>22160</v>
      </c>
      <c r="C12602" s="1" t="s">
        <v>4713</v>
      </c>
      <c r="D12602" s="1" t="s">
        <v>4714</v>
      </c>
    </row>
    <row r="12603">
      <c r="A12603" s="1" t="s">
        <v>22161</v>
      </c>
      <c r="B12603" s="2" t="s">
        <v>22162</v>
      </c>
      <c r="C12603" s="1" t="s">
        <v>4713</v>
      </c>
      <c r="D12603" s="1" t="s">
        <v>4714</v>
      </c>
    </row>
    <row r="12604">
      <c r="A12604" s="1" t="s">
        <v>4722</v>
      </c>
      <c r="B12604" s="2" t="s">
        <v>7</v>
      </c>
      <c r="C12604" s="1" t="s">
        <v>4725</v>
      </c>
      <c r="D12604" s="1" t="s">
        <v>4726</v>
      </c>
    </row>
    <row r="12605">
      <c r="A12605" s="1" t="s">
        <v>22163</v>
      </c>
      <c r="B12605" s="2" t="s">
        <v>14225</v>
      </c>
      <c r="C12605" s="1" t="s">
        <v>4725</v>
      </c>
      <c r="D12605" s="1" t="s">
        <v>4726</v>
      </c>
    </row>
    <row r="12606">
      <c r="A12606" s="1" t="s">
        <v>22164</v>
      </c>
      <c r="B12606" s="2" t="s">
        <v>14227</v>
      </c>
      <c r="C12606" s="1" t="s">
        <v>4725</v>
      </c>
      <c r="D12606" s="1" t="s">
        <v>4726</v>
      </c>
    </row>
    <row r="12607">
      <c r="A12607" s="1" t="s">
        <v>22165</v>
      </c>
      <c r="B12607" s="2" t="s">
        <v>22166</v>
      </c>
      <c r="C12607" s="1" t="s">
        <v>4725</v>
      </c>
      <c r="D12607" s="1" t="s">
        <v>4726</v>
      </c>
    </row>
    <row r="12608">
      <c r="A12608" s="1" t="s">
        <v>22167</v>
      </c>
      <c r="B12608" s="2" t="s">
        <v>22168</v>
      </c>
      <c r="C12608" s="1" t="s">
        <v>4725</v>
      </c>
      <c r="D12608" s="1" t="s">
        <v>4726</v>
      </c>
    </row>
    <row r="12609">
      <c r="A12609" s="1" t="s">
        <v>22169</v>
      </c>
      <c r="B12609" s="2" t="s">
        <v>22170</v>
      </c>
      <c r="C12609" s="1" t="s">
        <v>4725</v>
      </c>
      <c r="D12609" s="1" t="s">
        <v>4726</v>
      </c>
    </row>
    <row r="12610">
      <c r="A12610" s="1" t="s">
        <v>22171</v>
      </c>
      <c r="B12610" s="2" t="s">
        <v>22172</v>
      </c>
      <c r="C12610" s="1" t="s">
        <v>4725</v>
      </c>
      <c r="D12610" s="1" t="s">
        <v>4726</v>
      </c>
    </row>
    <row r="12611">
      <c r="A12611" s="1" t="s">
        <v>22173</v>
      </c>
      <c r="B12611" s="2" t="s">
        <v>22174</v>
      </c>
      <c r="C12611" s="1" t="s">
        <v>4725</v>
      </c>
      <c r="D12611" s="1" t="s">
        <v>4726</v>
      </c>
    </row>
    <row r="12612">
      <c r="A12612" s="1" t="s">
        <v>22175</v>
      </c>
      <c r="B12612" s="2" t="s">
        <v>22176</v>
      </c>
      <c r="C12612" s="1" t="s">
        <v>4725</v>
      </c>
      <c r="D12612" s="1" t="s">
        <v>4726</v>
      </c>
    </row>
    <row r="12613">
      <c r="A12613" s="1" t="s">
        <v>22177</v>
      </c>
      <c r="B12613" s="2" t="s">
        <v>22178</v>
      </c>
      <c r="C12613" s="1" t="s">
        <v>4725</v>
      </c>
      <c r="D12613" s="1" t="s">
        <v>4726</v>
      </c>
    </row>
    <row r="12614">
      <c r="A12614" s="1" t="s">
        <v>22179</v>
      </c>
      <c r="B12614" s="2" t="s">
        <v>22180</v>
      </c>
      <c r="C12614" s="1" t="s">
        <v>4725</v>
      </c>
      <c r="D12614" s="1" t="s">
        <v>4726</v>
      </c>
    </row>
    <row r="12615">
      <c r="A12615" s="1" t="s">
        <v>22181</v>
      </c>
      <c r="B12615" s="2" t="s">
        <v>22182</v>
      </c>
      <c r="C12615" s="1" t="s">
        <v>4725</v>
      </c>
      <c r="D12615" s="1" t="s">
        <v>4726</v>
      </c>
    </row>
    <row r="12616">
      <c r="A12616" s="1" t="s">
        <v>22183</v>
      </c>
      <c r="B12616" s="2" t="s">
        <v>22184</v>
      </c>
      <c r="C12616" s="1" t="s">
        <v>4725</v>
      </c>
      <c r="D12616" s="1" t="s">
        <v>4726</v>
      </c>
    </row>
    <row r="12617">
      <c r="A12617" s="1" t="s">
        <v>22185</v>
      </c>
      <c r="B12617" s="2" t="s">
        <v>22186</v>
      </c>
      <c r="C12617" s="1" t="s">
        <v>4725</v>
      </c>
      <c r="D12617" s="1" t="s">
        <v>4726</v>
      </c>
    </row>
    <row r="12618">
      <c r="A12618" s="1" t="s">
        <v>22187</v>
      </c>
      <c r="B12618" s="2" t="s">
        <v>22188</v>
      </c>
      <c r="C12618" s="1" t="s">
        <v>4725</v>
      </c>
      <c r="D12618" s="1" t="s">
        <v>4726</v>
      </c>
    </row>
    <row r="12619">
      <c r="A12619" s="1" t="s">
        <v>22189</v>
      </c>
      <c r="B12619" s="2" t="s">
        <v>22190</v>
      </c>
      <c r="C12619" s="1" t="s">
        <v>4725</v>
      </c>
      <c r="D12619" s="1" t="s">
        <v>4726</v>
      </c>
    </row>
    <row r="12620">
      <c r="A12620" s="1" t="s">
        <v>22191</v>
      </c>
      <c r="B12620" s="2" t="s">
        <v>22192</v>
      </c>
      <c r="C12620" s="1" t="s">
        <v>4725</v>
      </c>
      <c r="D12620" s="1" t="s">
        <v>4726</v>
      </c>
    </row>
    <row r="12621">
      <c r="A12621" s="1" t="s">
        <v>22193</v>
      </c>
      <c r="B12621" s="2" t="s">
        <v>22194</v>
      </c>
      <c r="C12621" s="1" t="s">
        <v>4725</v>
      </c>
      <c r="D12621" s="1" t="s">
        <v>4726</v>
      </c>
    </row>
    <row r="12622">
      <c r="A12622" s="1" t="s">
        <v>22195</v>
      </c>
      <c r="B12622" s="2" t="s">
        <v>22196</v>
      </c>
      <c r="C12622" s="1" t="s">
        <v>4725</v>
      </c>
      <c r="D12622" s="1" t="s">
        <v>4726</v>
      </c>
    </row>
    <row r="12623">
      <c r="A12623" s="1" t="s">
        <v>22197</v>
      </c>
      <c r="B12623" s="2" t="s">
        <v>22198</v>
      </c>
      <c r="C12623" s="1" t="s">
        <v>4725</v>
      </c>
      <c r="D12623" s="1" t="s">
        <v>4726</v>
      </c>
    </row>
    <row r="12624">
      <c r="A12624" s="1" t="s">
        <v>22199</v>
      </c>
      <c r="B12624" s="2" t="s">
        <v>22200</v>
      </c>
      <c r="C12624" s="1" t="s">
        <v>4725</v>
      </c>
      <c r="D12624" s="1" t="s">
        <v>4726</v>
      </c>
    </row>
    <row r="12625">
      <c r="A12625" s="1" t="s">
        <v>22201</v>
      </c>
      <c r="B12625" s="2" t="s">
        <v>22202</v>
      </c>
      <c r="C12625" s="1" t="s">
        <v>4725</v>
      </c>
      <c r="D12625" s="1" t="s">
        <v>4726</v>
      </c>
    </row>
    <row r="12626">
      <c r="A12626" s="1" t="s">
        <v>22203</v>
      </c>
      <c r="B12626" s="2" t="s">
        <v>22204</v>
      </c>
      <c r="C12626" s="1" t="s">
        <v>4725</v>
      </c>
      <c r="D12626" s="1" t="s">
        <v>4726</v>
      </c>
    </row>
    <row r="12627">
      <c r="A12627" s="1" t="s">
        <v>22205</v>
      </c>
      <c r="B12627" s="2" t="s">
        <v>22206</v>
      </c>
      <c r="C12627" s="1" t="s">
        <v>4725</v>
      </c>
      <c r="D12627" s="1" t="s">
        <v>4726</v>
      </c>
    </row>
    <row r="12628">
      <c r="A12628" s="1" t="s">
        <v>22207</v>
      </c>
      <c r="B12628" s="2" t="s">
        <v>22208</v>
      </c>
      <c r="C12628" s="1" t="s">
        <v>4725</v>
      </c>
      <c r="D12628" s="1" t="s">
        <v>4726</v>
      </c>
    </row>
    <row r="12629">
      <c r="A12629" s="1" t="s">
        <v>22209</v>
      </c>
      <c r="B12629" s="2" t="s">
        <v>22210</v>
      </c>
      <c r="C12629" s="1" t="s">
        <v>4725</v>
      </c>
      <c r="D12629" s="1" t="s">
        <v>4726</v>
      </c>
    </row>
    <row r="12630">
      <c r="A12630" s="1" t="s">
        <v>22211</v>
      </c>
      <c r="B12630" s="2" t="s">
        <v>22212</v>
      </c>
      <c r="C12630" s="1" t="s">
        <v>4725</v>
      </c>
      <c r="D12630" s="1" t="s">
        <v>4726</v>
      </c>
    </row>
    <row r="12631">
      <c r="A12631" s="1" t="s">
        <v>22213</v>
      </c>
      <c r="B12631" s="2" t="s">
        <v>22214</v>
      </c>
      <c r="C12631" s="1" t="s">
        <v>4725</v>
      </c>
      <c r="D12631" s="1" t="s">
        <v>4726</v>
      </c>
    </row>
    <row r="12632">
      <c r="A12632" s="1" t="s">
        <v>22215</v>
      </c>
      <c r="B12632" s="2" t="s">
        <v>22216</v>
      </c>
      <c r="C12632" s="1" t="s">
        <v>4725</v>
      </c>
      <c r="D12632" s="1" t="s">
        <v>4726</v>
      </c>
    </row>
    <row r="12633">
      <c r="A12633" s="1" t="s">
        <v>22217</v>
      </c>
      <c r="B12633" s="2" t="s">
        <v>22218</v>
      </c>
      <c r="C12633" s="1" t="s">
        <v>4725</v>
      </c>
      <c r="D12633" s="1" t="s">
        <v>4726</v>
      </c>
    </row>
    <row r="12634">
      <c r="A12634" s="1" t="s">
        <v>22219</v>
      </c>
      <c r="B12634" s="2" t="s">
        <v>22220</v>
      </c>
      <c r="C12634" s="1" t="s">
        <v>4725</v>
      </c>
      <c r="D12634" s="1" t="s">
        <v>4726</v>
      </c>
    </row>
    <row r="12635">
      <c r="A12635" s="1" t="s">
        <v>22221</v>
      </c>
      <c r="B12635" s="2" t="s">
        <v>22222</v>
      </c>
      <c r="C12635" s="1" t="s">
        <v>4725</v>
      </c>
      <c r="D12635" s="1" t="s">
        <v>4726</v>
      </c>
    </row>
    <row r="12636">
      <c r="A12636" s="1" t="s">
        <v>22223</v>
      </c>
      <c r="B12636" s="2" t="s">
        <v>22224</v>
      </c>
      <c r="C12636" s="1" t="s">
        <v>4725</v>
      </c>
      <c r="D12636" s="1" t="s">
        <v>4726</v>
      </c>
    </row>
    <row r="12637">
      <c r="A12637" s="1" t="s">
        <v>22225</v>
      </c>
      <c r="B12637" s="2" t="s">
        <v>22226</v>
      </c>
      <c r="C12637" s="1" t="s">
        <v>4725</v>
      </c>
      <c r="D12637" s="1" t="s">
        <v>4726</v>
      </c>
    </row>
    <row r="12638">
      <c r="A12638" s="1" t="s">
        <v>22227</v>
      </c>
      <c r="B12638" s="2" t="s">
        <v>22228</v>
      </c>
      <c r="C12638" s="1" t="s">
        <v>4725</v>
      </c>
      <c r="D12638" s="1" t="s">
        <v>4726</v>
      </c>
    </row>
    <row r="12639">
      <c r="A12639" s="1" t="s">
        <v>22229</v>
      </c>
      <c r="B12639" s="2" t="s">
        <v>22230</v>
      </c>
      <c r="C12639" s="1" t="s">
        <v>4725</v>
      </c>
      <c r="D12639" s="1" t="s">
        <v>4726</v>
      </c>
    </row>
    <row r="12640">
      <c r="A12640" s="1" t="s">
        <v>22231</v>
      </c>
      <c r="B12640" s="2" t="s">
        <v>14237</v>
      </c>
      <c r="C12640" s="1" t="s">
        <v>4725</v>
      </c>
      <c r="D12640" s="1" t="s">
        <v>4726</v>
      </c>
    </row>
    <row r="12641">
      <c r="A12641" s="1" t="s">
        <v>22232</v>
      </c>
      <c r="B12641" s="2" t="s">
        <v>14239</v>
      </c>
      <c r="C12641" s="1" t="s">
        <v>4725</v>
      </c>
      <c r="D12641" s="1" t="s">
        <v>4726</v>
      </c>
    </row>
    <row r="12642">
      <c r="A12642" s="1" t="s">
        <v>22233</v>
      </c>
      <c r="B12642" s="2" t="s">
        <v>14241</v>
      </c>
      <c r="C12642" s="1" t="s">
        <v>4725</v>
      </c>
      <c r="D12642" s="1" t="s">
        <v>4726</v>
      </c>
    </row>
    <row r="12643">
      <c r="A12643" s="1" t="s">
        <v>22234</v>
      </c>
      <c r="B12643" s="2" t="s">
        <v>22235</v>
      </c>
      <c r="C12643" s="1" t="s">
        <v>4725</v>
      </c>
      <c r="D12643" s="1" t="s">
        <v>4726</v>
      </c>
    </row>
    <row r="12644">
      <c r="A12644" s="1" t="s">
        <v>22236</v>
      </c>
      <c r="B12644" s="2" t="s">
        <v>22237</v>
      </c>
      <c r="C12644" s="1" t="s">
        <v>4725</v>
      </c>
      <c r="D12644" s="1" t="s">
        <v>4726</v>
      </c>
    </row>
    <row r="12645">
      <c r="A12645" s="1" t="s">
        <v>22238</v>
      </c>
      <c r="B12645" s="2" t="s">
        <v>22239</v>
      </c>
      <c r="C12645" s="1" t="s">
        <v>4725</v>
      </c>
      <c r="D12645" s="1" t="s">
        <v>4726</v>
      </c>
    </row>
    <row r="12646">
      <c r="A12646" s="1" t="s">
        <v>22240</v>
      </c>
      <c r="B12646" s="2" t="s">
        <v>22241</v>
      </c>
      <c r="C12646" s="1" t="s">
        <v>4725</v>
      </c>
      <c r="D12646" s="1" t="s">
        <v>4726</v>
      </c>
    </row>
    <row r="12647">
      <c r="A12647" s="1" t="s">
        <v>22242</v>
      </c>
      <c r="B12647" s="2" t="s">
        <v>22243</v>
      </c>
      <c r="C12647" s="1" t="s">
        <v>4725</v>
      </c>
      <c r="D12647" s="1" t="s">
        <v>4726</v>
      </c>
    </row>
    <row r="12648">
      <c r="A12648" s="1" t="s">
        <v>22244</v>
      </c>
      <c r="B12648" s="2" t="s">
        <v>22245</v>
      </c>
      <c r="C12648" s="1" t="s">
        <v>4725</v>
      </c>
      <c r="D12648" s="1" t="s">
        <v>4726</v>
      </c>
    </row>
    <row r="12649">
      <c r="A12649" s="1" t="s">
        <v>22246</v>
      </c>
      <c r="B12649" s="2" t="s">
        <v>22247</v>
      </c>
      <c r="C12649" s="1" t="s">
        <v>4725</v>
      </c>
      <c r="D12649" s="1" t="s">
        <v>4726</v>
      </c>
    </row>
    <row r="12650">
      <c r="A12650" s="1" t="s">
        <v>22248</v>
      </c>
      <c r="B12650" s="2" t="s">
        <v>22249</v>
      </c>
      <c r="C12650" s="1" t="s">
        <v>4725</v>
      </c>
      <c r="D12650" s="1" t="s">
        <v>4726</v>
      </c>
    </row>
    <row r="12651">
      <c r="A12651" s="1" t="s">
        <v>22250</v>
      </c>
      <c r="B12651" s="2" t="s">
        <v>22251</v>
      </c>
      <c r="C12651" s="1" t="s">
        <v>4725</v>
      </c>
      <c r="D12651" s="1" t="s">
        <v>4726</v>
      </c>
    </row>
    <row r="12652">
      <c r="A12652" s="1" t="s">
        <v>22252</v>
      </c>
      <c r="B12652" s="2" t="s">
        <v>22253</v>
      </c>
      <c r="C12652" s="1" t="s">
        <v>4725</v>
      </c>
      <c r="D12652" s="1" t="s">
        <v>4726</v>
      </c>
    </row>
    <row r="12653">
      <c r="A12653" s="1" t="s">
        <v>22254</v>
      </c>
      <c r="B12653" s="2" t="s">
        <v>22255</v>
      </c>
      <c r="C12653" s="1" t="s">
        <v>4725</v>
      </c>
      <c r="D12653" s="1" t="s">
        <v>4726</v>
      </c>
    </row>
    <row r="12654">
      <c r="A12654" s="1" t="s">
        <v>22256</v>
      </c>
      <c r="B12654" s="2" t="s">
        <v>22257</v>
      </c>
      <c r="C12654" s="1" t="s">
        <v>4725</v>
      </c>
      <c r="D12654" s="1" t="s">
        <v>4726</v>
      </c>
    </row>
    <row r="12655">
      <c r="A12655" s="1" t="s">
        <v>22258</v>
      </c>
      <c r="B12655" s="2" t="s">
        <v>22259</v>
      </c>
      <c r="C12655" s="1" t="s">
        <v>4725</v>
      </c>
      <c r="D12655" s="1" t="s">
        <v>4726</v>
      </c>
    </row>
    <row r="12656">
      <c r="A12656" s="1" t="s">
        <v>22260</v>
      </c>
      <c r="B12656" s="2" t="s">
        <v>22261</v>
      </c>
      <c r="C12656" s="1" t="s">
        <v>4725</v>
      </c>
      <c r="D12656" s="1" t="s">
        <v>4726</v>
      </c>
    </row>
    <row r="12657">
      <c r="A12657" s="1" t="s">
        <v>22262</v>
      </c>
      <c r="B12657" s="2" t="s">
        <v>22263</v>
      </c>
      <c r="C12657" s="1" t="s">
        <v>4725</v>
      </c>
      <c r="D12657" s="1" t="s">
        <v>4726</v>
      </c>
    </row>
    <row r="12658">
      <c r="A12658" s="1" t="s">
        <v>22264</v>
      </c>
      <c r="B12658" s="2" t="s">
        <v>22265</v>
      </c>
      <c r="C12658" s="1" t="s">
        <v>4725</v>
      </c>
      <c r="D12658" s="1" t="s">
        <v>4726</v>
      </c>
    </row>
    <row r="12659">
      <c r="A12659" s="1" t="s">
        <v>22266</v>
      </c>
      <c r="B12659" s="2" t="s">
        <v>22267</v>
      </c>
      <c r="C12659" s="1" t="s">
        <v>4725</v>
      </c>
      <c r="D12659" s="1" t="s">
        <v>4726</v>
      </c>
    </row>
    <row r="12660">
      <c r="A12660" s="1" t="s">
        <v>22268</v>
      </c>
      <c r="B12660" s="2" t="s">
        <v>22269</v>
      </c>
      <c r="C12660" s="1" t="s">
        <v>4725</v>
      </c>
      <c r="D12660" s="1" t="s">
        <v>4726</v>
      </c>
    </row>
    <row r="12661">
      <c r="A12661" s="1" t="s">
        <v>22270</v>
      </c>
      <c r="B12661" s="2" t="s">
        <v>22271</v>
      </c>
      <c r="C12661" s="1" t="s">
        <v>4725</v>
      </c>
      <c r="D12661" s="1" t="s">
        <v>4726</v>
      </c>
    </row>
    <row r="12662">
      <c r="A12662" s="1" t="s">
        <v>22272</v>
      </c>
      <c r="B12662" s="2" t="s">
        <v>22273</v>
      </c>
      <c r="C12662" s="1" t="s">
        <v>4725</v>
      </c>
      <c r="D12662" s="1" t="s">
        <v>4726</v>
      </c>
    </row>
    <row r="12663">
      <c r="A12663" s="1" t="s">
        <v>22274</v>
      </c>
      <c r="B12663" s="2" t="s">
        <v>22275</v>
      </c>
      <c r="C12663" s="1" t="s">
        <v>4725</v>
      </c>
      <c r="D12663" s="1" t="s">
        <v>4726</v>
      </c>
    </row>
    <row r="12664">
      <c r="A12664" s="1" t="s">
        <v>22276</v>
      </c>
      <c r="B12664" s="2" t="s">
        <v>22277</v>
      </c>
      <c r="C12664" s="1" t="s">
        <v>4725</v>
      </c>
      <c r="D12664" s="1" t="s">
        <v>4726</v>
      </c>
    </row>
    <row r="12665">
      <c r="A12665" s="1" t="s">
        <v>22278</v>
      </c>
      <c r="B12665" s="2" t="s">
        <v>22279</v>
      </c>
      <c r="C12665" s="1" t="s">
        <v>4725</v>
      </c>
      <c r="D12665" s="1" t="s">
        <v>4726</v>
      </c>
    </row>
    <row r="12666">
      <c r="A12666" s="1" t="s">
        <v>22280</v>
      </c>
      <c r="B12666" s="2" t="s">
        <v>22281</v>
      </c>
      <c r="C12666" s="1" t="s">
        <v>4725</v>
      </c>
      <c r="D12666" s="1" t="s">
        <v>4726</v>
      </c>
    </row>
    <row r="12667">
      <c r="A12667" s="1" t="s">
        <v>22282</v>
      </c>
      <c r="B12667" s="2" t="s">
        <v>22283</v>
      </c>
      <c r="C12667" s="1" t="s">
        <v>4725</v>
      </c>
      <c r="D12667" s="1" t="s">
        <v>4726</v>
      </c>
    </row>
    <row r="12668">
      <c r="A12668" s="1" t="s">
        <v>22284</v>
      </c>
      <c r="B12668" s="2" t="s">
        <v>22285</v>
      </c>
      <c r="C12668" s="1" t="s">
        <v>4725</v>
      </c>
      <c r="D12668" s="1" t="s">
        <v>4726</v>
      </c>
    </row>
    <row r="12669">
      <c r="A12669" s="1" t="s">
        <v>22286</v>
      </c>
      <c r="B12669" s="2" t="s">
        <v>22287</v>
      </c>
      <c r="C12669" s="1" t="s">
        <v>4725</v>
      </c>
      <c r="D12669" s="1" t="s">
        <v>4726</v>
      </c>
    </row>
    <row r="12670">
      <c r="A12670" s="1" t="s">
        <v>22288</v>
      </c>
      <c r="B12670" s="2" t="s">
        <v>22289</v>
      </c>
      <c r="C12670" s="1" t="s">
        <v>4725</v>
      </c>
      <c r="D12670" s="1" t="s">
        <v>4726</v>
      </c>
    </row>
    <row r="12671">
      <c r="A12671" s="1" t="s">
        <v>22290</v>
      </c>
      <c r="B12671" s="2" t="s">
        <v>22291</v>
      </c>
      <c r="C12671" s="1" t="s">
        <v>4725</v>
      </c>
      <c r="D12671" s="1" t="s">
        <v>4726</v>
      </c>
    </row>
    <row r="12672">
      <c r="A12672" s="1" t="s">
        <v>22292</v>
      </c>
      <c r="B12672" s="2" t="s">
        <v>22293</v>
      </c>
      <c r="C12672" s="1" t="s">
        <v>4725</v>
      </c>
      <c r="D12672" s="1" t="s">
        <v>4726</v>
      </c>
    </row>
    <row r="12673">
      <c r="A12673" s="1" t="s">
        <v>22294</v>
      </c>
      <c r="B12673" s="2" t="s">
        <v>22295</v>
      </c>
      <c r="C12673" s="1" t="s">
        <v>4725</v>
      </c>
      <c r="D12673" s="1" t="s">
        <v>4726</v>
      </c>
    </row>
    <row r="12674">
      <c r="A12674" s="1" t="s">
        <v>22296</v>
      </c>
      <c r="B12674" s="2" t="s">
        <v>22297</v>
      </c>
      <c r="C12674" s="1" t="s">
        <v>4725</v>
      </c>
      <c r="D12674" s="1" t="s">
        <v>4726</v>
      </c>
    </row>
    <row r="12675">
      <c r="A12675" s="1" t="s">
        <v>22298</v>
      </c>
      <c r="B12675" s="2" t="s">
        <v>22299</v>
      </c>
      <c r="C12675" s="1" t="s">
        <v>4725</v>
      </c>
      <c r="D12675" s="1" t="s">
        <v>4726</v>
      </c>
    </row>
    <row r="12676">
      <c r="A12676" s="1" t="s">
        <v>22300</v>
      </c>
      <c r="B12676" s="2" t="s">
        <v>14251</v>
      </c>
      <c r="C12676" s="1" t="s">
        <v>4725</v>
      </c>
      <c r="D12676" s="1" t="s">
        <v>4726</v>
      </c>
    </row>
    <row r="12677">
      <c r="A12677" s="1" t="s">
        <v>22301</v>
      </c>
      <c r="B12677" s="2" t="s">
        <v>14253</v>
      </c>
      <c r="C12677" s="1" t="s">
        <v>4725</v>
      </c>
      <c r="D12677" s="1" t="s">
        <v>4726</v>
      </c>
    </row>
    <row r="12678">
      <c r="A12678" s="1" t="s">
        <v>22302</v>
      </c>
      <c r="B12678" s="2" t="s">
        <v>22303</v>
      </c>
      <c r="C12678" s="1" t="s">
        <v>4725</v>
      </c>
      <c r="D12678" s="1" t="s">
        <v>4726</v>
      </c>
    </row>
    <row r="12679">
      <c r="A12679" s="1" t="s">
        <v>22304</v>
      </c>
      <c r="B12679" s="2" t="s">
        <v>22305</v>
      </c>
      <c r="C12679" s="1" t="s">
        <v>4725</v>
      </c>
      <c r="D12679" s="1" t="s">
        <v>4726</v>
      </c>
    </row>
    <row r="12680">
      <c r="A12680" s="1" t="s">
        <v>22306</v>
      </c>
      <c r="B12680" s="2" t="s">
        <v>22307</v>
      </c>
      <c r="C12680" s="1" t="s">
        <v>4725</v>
      </c>
      <c r="D12680" s="1" t="s">
        <v>4726</v>
      </c>
    </row>
    <row r="12681">
      <c r="A12681" s="1" t="s">
        <v>22308</v>
      </c>
      <c r="B12681" s="2" t="s">
        <v>22309</v>
      </c>
      <c r="C12681" s="1" t="s">
        <v>4725</v>
      </c>
      <c r="D12681" s="1" t="s">
        <v>4726</v>
      </c>
    </row>
    <row r="12682">
      <c r="A12682" s="1" t="s">
        <v>22310</v>
      </c>
      <c r="B12682" s="2" t="s">
        <v>22311</v>
      </c>
      <c r="C12682" s="1" t="s">
        <v>4725</v>
      </c>
      <c r="D12682" s="1" t="s">
        <v>4726</v>
      </c>
    </row>
    <row r="12683">
      <c r="A12683" s="1" t="s">
        <v>22312</v>
      </c>
      <c r="B12683" s="2" t="s">
        <v>22313</v>
      </c>
      <c r="C12683" s="1" t="s">
        <v>4725</v>
      </c>
      <c r="D12683" s="1" t="s">
        <v>4726</v>
      </c>
    </row>
    <row r="12684">
      <c r="A12684" s="1" t="s">
        <v>22314</v>
      </c>
      <c r="B12684" s="2" t="s">
        <v>22315</v>
      </c>
      <c r="C12684" s="1" t="s">
        <v>4725</v>
      </c>
      <c r="D12684" s="1" t="s">
        <v>4726</v>
      </c>
    </row>
    <row r="12685">
      <c r="A12685" s="1" t="s">
        <v>22316</v>
      </c>
      <c r="B12685" s="2" t="s">
        <v>22317</v>
      </c>
      <c r="C12685" s="1" t="s">
        <v>4725</v>
      </c>
      <c r="D12685" s="1" t="s">
        <v>4726</v>
      </c>
    </row>
    <row r="12686">
      <c r="A12686" s="1" t="s">
        <v>22318</v>
      </c>
      <c r="B12686" s="2" t="s">
        <v>22319</v>
      </c>
      <c r="C12686" s="1" t="s">
        <v>4725</v>
      </c>
      <c r="D12686" s="1" t="s">
        <v>4726</v>
      </c>
    </row>
    <row r="12687">
      <c r="A12687" s="1" t="s">
        <v>22320</v>
      </c>
      <c r="B12687" s="2" t="s">
        <v>22321</v>
      </c>
      <c r="C12687" s="1" t="s">
        <v>4725</v>
      </c>
      <c r="D12687" s="1" t="s">
        <v>4726</v>
      </c>
    </row>
    <row r="12688">
      <c r="A12688" s="1" t="s">
        <v>22322</v>
      </c>
      <c r="B12688" s="2" t="s">
        <v>22323</v>
      </c>
      <c r="C12688" s="1" t="s">
        <v>4725</v>
      </c>
      <c r="D12688" s="1" t="s">
        <v>4726</v>
      </c>
    </row>
    <row r="12689">
      <c r="A12689" s="1" t="s">
        <v>22324</v>
      </c>
      <c r="B12689" s="2" t="s">
        <v>22325</v>
      </c>
      <c r="C12689" s="1" t="s">
        <v>4725</v>
      </c>
      <c r="D12689" s="1" t="s">
        <v>4726</v>
      </c>
    </row>
    <row r="12690">
      <c r="A12690" s="1" t="s">
        <v>22326</v>
      </c>
      <c r="B12690" s="2" t="s">
        <v>22327</v>
      </c>
      <c r="C12690" s="1" t="s">
        <v>4725</v>
      </c>
      <c r="D12690" s="1" t="s">
        <v>4726</v>
      </c>
    </row>
    <row r="12691">
      <c r="A12691" s="1" t="s">
        <v>22328</v>
      </c>
      <c r="B12691" s="2" t="s">
        <v>22329</v>
      </c>
      <c r="C12691" s="1" t="s">
        <v>4725</v>
      </c>
      <c r="D12691" s="1" t="s">
        <v>4726</v>
      </c>
    </row>
    <row r="12692">
      <c r="A12692" s="1" t="s">
        <v>22330</v>
      </c>
      <c r="B12692" s="2" t="s">
        <v>22331</v>
      </c>
      <c r="C12692" s="1" t="s">
        <v>4725</v>
      </c>
      <c r="D12692" s="1" t="s">
        <v>4726</v>
      </c>
    </row>
    <row r="12693">
      <c r="A12693" s="1" t="s">
        <v>22332</v>
      </c>
      <c r="B12693" s="2" t="s">
        <v>22333</v>
      </c>
      <c r="C12693" s="1" t="s">
        <v>4725</v>
      </c>
      <c r="D12693" s="1" t="s">
        <v>4726</v>
      </c>
    </row>
    <row r="12694">
      <c r="A12694" s="1" t="s">
        <v>22334</v>
      </c>
      <c r="B12694" s="2" t="s">
        <v>22335</v>
      </c>
      <c r="C12694" s="1" t="s">
        <v>4725</v>
      </c>
      <c r="D12694" s="1" t="s">
        <v>4726</v>
      </c>
    </row>
    <row r="12695">
      <c r="A12695" s="1" t="s">
        <v>22336</v>
      </c>
      <c r="B12695" s="2" t="s">
        <v>22337</v>
      </c>
      <c r="C12695" s="1" t="s">
        <v>4725</v>
      </c>
      <c r="D12695" s="1" t="s">
        <v>4726</v>
      </c>
    </row>
    <row r="12696">
      <c r="A12696" s="1" t="s">
        <v>22338</v>
      </c>
      <c r="B12696" s="2" t="s">
        <v>22339</v>
      </c>
      <c r="C12696" s="1" t="s">
        <v>4725</v>
      </c>
      <c r="D12696" s="1" t="s">
        <v>4726</v>
      </c>
    </row>
    <row r="12697">
      <c r="A12697" s="1" t="s">
        <v>22340</v>
      </c>
      <c r="B12697" s="2" t="s">
        <v>22341</v>
      </c>
      <c r="C12697" s="1" t="s">
        <v>4725</v>
      </c>
      <c r="D12697" s="1" t="s">
        <v>4726</v>
      </c>
    </row>
    <row r="12698">
      <c r="A12698" s="1" t="s">
        <v>22342</v>
      </c>
      <c r="B12698" s="2" t="s">
        <v>22343</v>
      </c>
      <c r="C12698" s="1" t="s">
        <v>4725</v>
      </c>
      <c r="D12698" s="1" t="s">
        <v>4726</v>
      </c>
    </row>
    <row r="12699">
      <c r="A12699" s="1" t="s">
        <v>22344</v>
      </c>
      <c r="B12699" s="2" t="s">
        <v>22345</v>
      </c>
      <c r="C12699" s="1" t="s">
        <v>4725</v>
      </c>
      <c r="D12699" s="1" t="s">
        <v>4726</v>
      </c>
    </row>
    <row r="12700">
      <c r="A12700" s="1" t="s">
        <v>22346</v>
      </c>
      <c r="B12700" s="2" t="s">
        <v>22347</v>
      </c>
      <c r="C12700" s="1" t="s">
        <v>4725</v>
      </c>
      <c r="D12700" s="1" t="s">
        <v>4726</v>
      </c>
    </row>
    <row r="12701">
      <c r="A12701" s="1" t="s">
        <v>22348</v>
      </c>
      <c r="B12701" s="2" t="s">
        <v>22349</v>
      </c>
      <c r="C12701" s="1" t="s">
        <v>4725</v>
      </c>
      <c r="D12701" s="1" t="s">
        <v>4726</v>
      </c>
    </row>
    <row r="12702">
      <c r="A12702" s="1" t="s">
        <v>22350</v>
      </c>
      <c r="B12702" s="2" t="s">
        <v>22351</v>
      </c>
      <c r="C12702" s="1" t="s">
        <v>4725</v>
      </c>
      <c r="D12702" s="1" t="s">
        <v>4726</v>
      </c>
    </row>
    <row r="12703">
      <c r="A12703" s="1" t="s">
        <v>22352</v>
      </c>
      <c r="B12703" s="2" t="s">
        <v>22353</v>
      </c>
      <c r="C12703" s="1" t="s">
        <v>4725</v>
      </c>
      <c r="D12703" s="1" t="s">
        <v>4726</v>
      </c>
    </row>
    <row r="12704">
      <c r="A12704" s="1" t="s">
        <v>22354</v>
      </c>
      <c r="B12704" s="2" t="s">
        <v>22355</v>
      </c>
      <c r="C12704" s="1" t="s">
        <v>4725</v>
      </c>
      <c r="D12704" s="1" t="s">
        <v>4726</v>
      </c>
    </row>
    <row r="12705">
      <c r="A12705" s="1" t="s">
        <v>22356</v>
      </c>
      <c r="B12705" s="2" t="s">
        <v>22357</v>
      </c>
      <c r="C12705" s="1" t="s">
        <v>4725</v>
      </c>
      <c r="D12705" s="1" t="s">
        <v>4726</v>
      </c>
    </row>
    <row r="12706">
      <c r="A12706" s="1" t="s">
        <v>22358</v>
      </c>
      <c r="B12706" s="2" t="s">
        <v>22359</v>
      </c>
      <c r="C12706" s="1" t="s">
        <v>4725</v>
      </c>
      <c r="D12706" s="1" t="s">
        <v>4726</v>
      </c>
    </row>
    <row r="12707">
      <c r="A12707" s="1" t="s">
        <v>22360</v>
      </c>
      <c r="B12707" s="2" t="s">
        <v>22361</v>
      </c>
      <c r="C12707" s="1" t="s">
        <v>4725</v>
      </c>
      <c r="D12707" s="1" t="s">
        <v>4726</v>
      </c>
    </row>
    <row r="12708">
      <c r="A12708" s="1" t="s">
        <v>22362</v>
      </c>
      <c r="B12708" s="2" t="s">
        <v>22363</v>
      </c>
      <c r="C12708" s="1" t="s">
        <v>4725</v>
      </c>
      <c r="D12708" s="1" t="s">
        <v>4726</v>
      </c>
    </row>
    <row r="12709">
      <c r="A12709" s="1" t="s">
        <v>22364</v>
      </c>
      <c r="B12709" s="2" t="s">
        <v>22365</v>
      </c>
      <c r="C12709" s="1" t="s">
        <v>4725</v>
      </c>
      <c r="D12709" s="1" t="s">
        <v>4726</v>
      </c>
    </row>
    <row r="12710">
      <c r="A12710" s="1" t="s">
        <v>22366</v>
      </c>
      <c r="B12710" s="2" t="s">
        <v>22367</v>
      </c>
      <c r="C12710" s="1" t="s">
        <v>4725</v>
      </c>
      <c r="D12710" s="1" t="s">
        <v>4726</v>
      </c>
    </row>
    <row r="12711">
      <c r="A12711" s="1" t="s">
        <v>4731</v>
      </c>
      <c r="B12711" s="2" t="s">
        <v>7</v>
      </c>
      <c r="C12711" s="1" t="s">
        <v>4734</v>
      </c>
      <c r="D12711" s="1" t="s">
        <v>4735</v>
      </c>
    </row>
    <row r="12712">
      <c r="A12712" s="1" t="s">
        <v>22368</v>
      </c>
      <c r="B12712" s="2" t="s">
        <v>20804</v>
      </c>
      <c r="C12712" s="1" t="s">
        <v>4734</v>
      </c>
      <c r="D12712" s="1" t="s">
        <v>4735</v>
      </c>
    </row>
    <row r="12713">
      <c r="A12713" s="1" t="s">
        <v>22369</v>
      </c>
      <c r="B12713" s="2" t="s">
        <v>11156</v>
      </c>
      <c r="C12713" s="1" t="s">
        <v>4734</v>
      </c>
      <c r="D12713" s="1" t="s">
        <v>4735</v>
      </c>
    </row>
    <row r="12714">
      <c r="A12714" s="1" t="s">
        <v>22370</v>
      </c>
      <c r="B12714" s="2" t="s">
        <v>20807</v>
      </c>
      <c r="C12714" s="1" t="s">
        <v>4734</v>
      </c>
      <c r="D12714" s="1" t="s">
        <v>4735</v>
      </c>
    </row>
    <row r="12715">
      <c r="A12715" s="1" t="s">
        <v>22371</v>
      </c>
      <c r="B12715" s="2" t="s">
        <v>20809</v>
      </c>
      <c r="C12715" s="1" t="s">
        <v>4734</v>
      </c>
      <c r="D12715" s="1" t="s">
        <v>4735</v>
      </c>
    </row>
    <row r="12716">
      <c r="A12716" s="1" t="s">
        <v>22372</v>
      </c>
      <c r="B12716" s="2" t="s">
        <v>20811</v>
      </c>
      <c r="C12716" s="1" t="s">
        <v>4734</v>
      </c>
      <c r="D12716" s="1" t="s">
        <v>4735</v>
      </c>
    </row>
    <row r="12717">
      <c r="A12717" s="1" t="s">
        <v>22373</v>
      </c>
      <c r="B12717" s="2" t="s">
        <v>20813</v>
      </c>
      <c r="C12717" s="1" t="s">
        <v>4734</v>
      </c>
      <c r="D12717" s="1" t="s">
        <v>4735</v>
      </c>
    </row>
    <row r="12718">
      <c r="A12718" s="1" t="s">
        <v>22374</v>
      </c>
      <c r="B12718" s="2" t="s">
        <v>20815</v>
      </c>
      <c r="C12718" s="1" t="s">
        <v>4734</v>
      </c>
      <c r="D12718" s="1" t="s">
        <v>4735</v>
      </c>
    </row>
    <row r="12719">
      <c r="A12719" s="1" t="s">
        <v>22375</v>
      </c>
      <c r="B12719" s="2" t="s">
        <v>20817</v>
      </c>
      <c r="C12719" s="1" t="s">
        <v>4734</v>
      </c>
      <c r="D12719" s="1" t="s">
        <v>4735</v>
      </c>
    </row>
    <row r="12720">
      <c r="A12720" s="1" t="s">
        <v>22376</v>
      </c>
      <c r="B12720" s="2" t="s">
        <v>20819</v>
      </c>
      <c r="C12720" s="1" t="s">
        <v>4734</v>
      </c>
      <c r="D12720" s="1" t="s">
        <v>4735</v>
      </c>
    </row>
    <row r="12721">
      <c r="A12721" s="1" t="s">
        <v>22377</v>
      </c>
      <c r="B12721" s="2" t="s">
        <v>20821</v>
      </c>
      <c r="C12721" s="1" t="s">
        <v>4734</v>
      </c>
      <c r="D12721" s="1" t="s">
        <v>4735</v>
      </c>
    </row>
    <row r="12722">
      <c r="A12722" s="1" t="s">
        <v>22378</v>
      </c>
      <c r="B12722" s="2" t="s">
        <v>20823</v>
      </c>
      <c r="C12722" s="1" t="s">
        <v>4734</v>
      </c>
      <c r="D12722" s="1" t="s">
        <v>4735</v>
      </c>
    </row>
    <row r="12723">
      <c r="A12723" s="1" t="s">
        <v>22379</v>
      </c>
      <c r="B12723" s="2" t="s">
        <v>20825</v>
      </c>
      <c r="C12723" s="1" t="s">
        <v>4734</v>
      </c>
      <c r="D12723" s="1" t="s">
        <v>4735</v>
      </c>
    </row>
    <row r="12724">
      <c r="A12724" s="1" t="s">
        <v>22380</v>
      </c>
      <c r="B12724" s="2" t="s">
        <v>20827</v>
      </c>
      <c r="C12724" s="1" t="s">
        <v>4734</v>
      </c>
      <c r="D12724" s="1" t="s">
        <v>4735</v>
      </c>
    </row>
    <row r="12725">
      <c r="A12725" s="1" t="s">
        <v>22381</v>
      </c>
      <c r="B12725" s="2" t="s">
        <v>20829</v>
      </c>
      <c r="C12725" s="1" t="s">
        <v>4734</v>
      </c>
      <c r="D12725" s="1" t="s">
        <v>4735</v>
      </c>
    </row>
    <row r="12726">
      <c r="A12726" s="1" t="s">
        <v>22382</v>
      </c>
      <c r="B12726" s="2" t="s">
        <v>20831</v>
      </c>
      <c r="C12726" s="1" t="s">
        <v>4734</v>
      </c>
      <c r="D12726" s="1" t="s">
        <v>4735</v>
      </c>
    </row>
    <row r="12727">
      <c r="A12727" s="1" t="s">
        <v>22383</v>
      </c>
      <c r="B12727" s="2" t="s">
        <v>20833</v>
      </c>
      <c r="C12727" s="1" t="s">
        <v>4734</v>
      </c>
      <c r="D12727" s="1" t="s">
        <v>4735</v>
      </c>
    </row>
    <row r="12728">
      <c r="A12728" s="1" t="s">
        <v>4752</v>
      </c>
      <c r="B12728" s="2" t="s">
        <v>4743</v>
      </c>
      <c r="C12728" s="1" t="s">
        <v>4755</v>
      </c>
      <c r="D12728" s="1" t="s">
        <v>4757</v>
      </c>
    </row>
    <row r="12729">
      <c r="A12729" s="1" t="s">
        <v>4763</v>
      </c>
      <c r="B12729" s="2" t="s">
        <v>4743</v>
      </c>
      <c r="C12729" s="1" t="s">
        <v>4767</v>
      </c>
      <c r="D12729" s="1" t="s">
        <v>4769</v>
      </c>
    </row>
    <row r="12730">
      <c r="A12730" s="1" t="s">
        <v>4771</v>
      </c>
      <c r="B12730" s="2" t="s">
        <v>4743</v>
      </c>
      <c r="C12730" s="1" t="s">
        <v>4773</v>
      </c>
      <c r="D12730" s="1" t="s">
        <v>4775</v>
      </c>
    </row>
    <row r="12731">
      <c r="A12731" s="1" t="s">
        <v>4779</v>
      </c>
      <c r="B12731" s="2" t="s">
        <v>4743</v>
      </c>
      <c r="C12731" s="1" t="s">
        <v>4782</v>
      </c>
      <c r="D12731" s="1" t="s">
        <v>4783</v>
      </c>
    </row>
    <row r="12732">
      <c r="A12732" s="1" t="s">
        <v>4788</v>
      </c>
      <c r="B12732" s="2" t="s">
        <v>4743</v>
      </c>
      <c r="C12732" s="1" t="s">
        <v>4791</v>
      </c>
      <c r="D12732" s="1" t="s">
        <v>4792</v>
      </c>
    </row>
    <row r="12733">
      <c r="A12733" s="1" t="s">
        <v>4797</v>
      </c>
      <c r="B12733" s="2" t="s">
        <v>4743</v>
      </c>
      <c r="C12733" s="1" t="s">
        <v>4799</v>
      </c>
      <c r="D12733" s="1" t="s">
        <v>4801</v>
      </c>
    </row>
    <row r="12734">
      <c r="A12734" s="1" t="s">
        <v>4805</v>
      </c>
      <c r="B12734" s="2" t="s">
        <v>4743</v>
      </c>
      <c r="C12734" s="1" t="s">
        <v>4807</v>
      </c>
      <c r="D12734" s="1" t="s">
        <v>4810</v>
      </c>
    </row>
    <row r="12735">
      <c r="A12735" s="1" t="s">
        <v>4815</v>
      </c>
      <c r="B12735" s="2" t="s">
        <v>4743</v>
      </c>
      <c r="C12735" s="1" t="s">
        <v>4818</v>
      </c>
      <c r="D12735" s="1" t="s">
        <v>4820</v>
      </c>
    </row>
    <row r="12736">
      <c r="A12736" s="1" t="s">
        <v>4822</v>
      </c>
      <c r="B12736" s="2" t="s">
        <v>4743</v>
      </c>
      <c r="C12736" s="1" t="s">
        <v>4825</v>
      </c>
      <c r="D12736" s="1" t="s">
        <v>4826</v>
      </c>
    </row>
    <row r="12737">
      <c r="A12737" s="1" t="s">
        <v>4741</v>
      </c>
      <c r="B12737" s="2" t="s">
        <v>4743</v>
      </c>
      <c r="C12737" s="1" t="s">
        <v>4744</v>
      </c>
      <c r="D12737" s="1" t="s">
        <v>4747</v>
      </c>
    </row>
    <row r="12738">
      <c r="A12738" s="1" t="s">
        <v>4832</v>
      </c>
      <c r="B12738" s="2" t="s">
        <v>4834</v>
      </c>
      <c r="C12738" s="1" t="s">
        <v>4835</v>
      </c>
      <c r="D12738" s="1" t="s">
        <v>4838</v>
      </c>
    </row>
    <row r="12739">
      <c r="A12739" s="1" t="s">
        <v>4843</v>
      </c>
      <c r="B12739" s="2" t="s">
        <v>4844</v>
      </c>
      <c r="C12739" s="1" t="s">
        <v>4845</v>
      </c>
      <c r="D12739" s="1" t="s">
        <v>4846</v>
      </c>
    </row>
    <row r="12740">
      <c r="A12740" s="1" t="s">
        <v>22384</v>
      </c>
      <c r="B12740" s="2" t="s">
        <v>22385</v>
      </c>
      <c r="C12740" s="1" t="s">
        <v>4845</v>
      </c>
      <c r="D12740" s="1" t="s">
        <v>4846</v>
      </c>
    </row>
    <row r="12741">
      <c r="A12741" s="1" t="s">
        <v>22386</v>
      </c>
      <c r="B12741" s="2" t="s">
        <v>22387</v>
      </c>
      <c r="C12741" s="1" t="s">
        <v>4845</v>
      </c>
      <c r="D12741" s="1" t="s">
        <v>4846</v>
      </c>
    </row>
    <row r="12742">
      <c r="A12742" s="1" t="s">
        <v>22388</v>
      </c>
      <c r="B12742" s="2" t="s">
        <v>22389</v>
      </c>
      <c r="C12742" s="1" t="s">
        <v>4845</v>
      </c>
      <c r="D12742" s="1" t="s">
        <v>4846</v>
      </c>
    </row>
    <row r="12743">
      <c r="A12743" s="1" t="s">
        <v>22390</v>
      </c>
      <c r="B12743" s="2" t="s">
        <v>22391</v>
      </c>
      <c r="C12743" s="1" t="s">
        <v>4845</v>
      </c>
      <c r="D12743" s="1" t="s">
        <v>4846</v>
      </c>
    </row>
    <row r="12744">
      <c r="A12744" s="1" t="s">
        <v>22392</v>
      </c>
      <c r="B12744" s="2" t="s">
        <v>22393</v>
      </c>
      <c r="C12744" s="1" t="s">
        <v>4845</v>
      </c>
      <c r="D12744" s="1" t="s">
        <v>4846</v>
      </c>
    </row>
    <row r="12745">
      <c r="A12745" s="1" t="s">
        <v>22394</v>
      </c>
      <c r="B12745" s="2" t="s">
        <v>22395</v>
      </c>
      <c r="C12745" s="1" t="s">
        <v>4845</v>
      </c>
      <c r="D12745" s="1" t="s">
        <v>4846</v>
      </c>
    </row>
    <row r="12746">
      <c r="A12746" s="1" t="s">
        <v>22396</v>
      </c>
      <c r="B12746" s="2" t="s">
        <v>22397</v>
      </c>
      <c r="C12746" s="1" t="s">
        <v>4845</v>
      </c>
      <c r="D12746" s="1" t="s">
        <v>4846</v>
      </c>
    </row>
    <row r="12747">
      <c r="A12747" s="1" t="s">
        <v>22398</v>
      </c>
      <c r="B12747" s="2" t="s">
        <v>22399</v>
      </c>
      <c r="C12747" s="1" t="s">
        <v>4845</v>
      </c>
      <c r="D12747" s="1" t="s">
        <v>4846</v>
      </c>
    </row>
    <row r="12748">
      <c r="A12748" s="1" t="s">
        <v>22400</v>
      </c>
      <c r="B12748" s="2" t="s">
        <v>22401</v>
      </c>
      <c r="C12748" s="1" t="s">
        <v>4845</v>
      </c>
      <c r="D12748" s="1" t="s">
        <v>4846</v>
      </c>
    </row>
    <row r="12749">
      <c r="A12749" s="1" t="s">
        <v>22402</v>
      </c>
      <c r="B12749" s="2" t="s">
        <v>22403</v>
      </c>
      <c r="C12749" s="1" t="s">
        <v>4845</v>
      </c>
      <c r="D12749" s="1" t="s">
        <v>4846</v>
      </c>
    </row>
    <row r="12750">
      <c r="A12750" s="1" t="s">
        <v>22404</v>
      </c>
      <c r="B12750" s="2" t="s">
        <v>22405</v>
      </c>
      <c r="C12750" s="1" t="s">
        <v>4845</v>
      </c>
      <c r="D12750" s="1" t="s">
        <v>4846</v>
      </c>
    </row>
    <row r="12751">
      <c r="A12751" s="1" t="s">
        <v>22406</v>
      </c>
      <c r="B12751" s="2" t="s">
        <v>22407</v>
      </c>
      <c r="C12751" s="1" t="s">
        <v>4845</v>
      </c>
      <c r="D12751" s="1" t="s">
        <v>4846</v>
      </c>
    </row>
    <row r="12752">
      <c r="A12752" s="1" t="s">
        <v>22408</v>
      </c>
      <c r="B12752" s="2" t="s">
        <v>22409</v>
      </c>
      <c r="C12752" s="1" t="s">
        <v>4845</v>
      </c>
      <c r="D12752" s="1" t="s">
        <v>4846</v>
      </c>
    </row>
    <row r="12753">
      <c r="A12753" s="1" t="s">
        <v>22410</v>
      </c>
      <c r="B12753" s="2" t="s">
        <v>22411</v>
      </c>
      <c r="C12753" s="1" t="s">
        <v>4845</v>
      </c>
      <c r="D12753" s="1" t="s">
        <v>4846</v>
      </c>
    </row>
    <row r="12754">
      <c r="A12754" s="1" t="s">
        <v>4850</v>
      </c>
      <c r="B12754" s="2" t="s">
        <v>4853</v>
      </c>
      <c r="C12754" s="1" t="s">
        <v>4854</v>
      </c>
      <c r="D12754" s="1" t="s">
        <v>4856</v>
      </c>
    </row>
    <row r="12755">
      <c r="A12755" s="1" t="s">
        <v>22412</v>
      </c>
      <c r="B12755" s="2" t="s">
        <v>22413</v>
      </c>
      <c r="C12755" s="1" t="s">
        <v>4854</v>
      </c>
      <c r="D12755" s="1" t="s">
        <v>4856</v>
      </c>
    </row>
    <row r="12756">
      <c r="A12756" s="1" t="s">
        <v>22414</v>
      </c>
      <c r="B12756" s="2" t="s">
        <v>22415</v>
      </c>
      <c r="C12756" s="1" t="s">
        <v>4854</v>
      </c>
      <c r="D12756" s="1" t="s">
        <v>4856</v>
      </c>
    </row>
    <row r="12757">
      <c r="A12757" s="1" t="s">
        <v>22416</v>
      </c>
      <c r="B12757" s="2" t="s">
        <v>22417</v>
      </c>
      <c r="C12757" s="1" t="s">
        <v>4854</v>
      </c>
      <c r="D12757" s="1" t="s">
        <v>4856</v>
      </c>
    </row>
    <row r="12758">
      <c r="A12758" s="1" t="s">
        <v>22418</v>
      </c>
      <c r="B12758" s="2" t="s">
        <v>22419</v>
      </c>
      <c r="C12758" s="1" t="s">
        <v>4854</v>
      </c>
      <c r="D12758" s="1" t="s">
        <v>4856</v>
      </c>
    </row>
    <row r="12759">
      <c r="A12759" s="1" t="s">
        <v>22420</v>
      </c>
      <c r="B12759" s="2" t="s">
        <v>22421</v>
      </c>
      <c r="C12759" s="1" t="s">
        <v>4854</v>
      </c>
      <c r="D12759" s="1" t="s">
        <v>4856</v>
      </c>
    </row>
    <row r="12760">
      <c r="A12760" s="1" t="s">
        <v>22422</v>
      </c>
      <c r="B12760" s="2" t="s">
        <v>22423</v>
      </c>
      <c r="C12760" s="1" t="s">
        <v>4854</v>
      </c>
      <c r="D12760" s="1" t="s">
        <v>4856</v>
      </c>
    </row>
    <row r="12761">
      <c r="A12761" s="1" t="s">
        <v>22424</v>
      </c>
      <c r="B12761" s="2" t="s">
        <v>22425</v>
      </c>
      <c r="C12761" s="1" t="s">
        <v>4854</v>
      </c>
      <c r="D12761" s="1" t="s">
        <v>4856</v>
      </c>
    </row>
    <row r="12762">
      <c r="A12762" s="1" t="s">
        <v>22426</v>
      </c>
      <c r="B12762" s="2" t="s">
        <v>22427</v>
      </c>
      <c r="C12762" s="1" t="s">
        <v>4854</v>
      </c>
      <c r="D12762" s="1" t="s">
        <v>4856</v>
      </c>
    </row>
    <row r="12763">
      <c r="A12763" s="1" t="s">
        <v>22428</v>
      </c>
      <c r="B12763" s="2" t="s">
        <v>22429</v>
      </c>
      <c r="C12763" s="1" t="s">
        <v>4854</v>
      </c>
      <c r="D12763" s="1" t="s">
        <v>4856</v>
      </c>
    </row>
    <row r="12764">
      <c r="A12764" s="1" t="s">
        <v>22430</v>
      </c>
      <c r="B12764" s="2" t="s">
        <v>22431</v>
      </c>
      <c r="C12764" s="1" t="s">
        <v>4854</v>
      </c>
      <c r="D12764" s="1" t="s">
        <v>4856</v>
      </c>
    </row>
    <row r="12765">
      <c r="A12765" s="1" t="s">
        <v>22432</v>
      </c>
      <c r="B12765" s="2" t="s">
        <v>22433</v>
      </c>
      <c r="C12765" s="1" t="s">
        <v>4854</v>
      </c>
      <c r="D12765" s="1" t="s">
        <v>4856</v>
      </c>
    </row>
    <row r="12766">
      <c r="A12766" s="1" t="s">
        <v>22434</v>
      </c>
      <c r="B12766" s="2" t="s">
        <v>22435</v>
      </c>
      <c r="C12766" s="1" t="s">
        <v>4854</v>
      </c>
      <c r="D12766" s="1" t="s">
        <v>4856</v>
      </c>
    </row>
    <row r="12767">
      <c r="A12767" s="1" t="s">
        <v>22436</v>
      </c>
      <c r="B12767" s="2" t="s">
        <v>22437</v>
      </c>
      <c r="C12767" s="1" t="s">
        <v>4854</v>
      </c>
      <c r="D12767" s="1" t="s">
        <v>4856</v>
      </c>
    </row>
    <row r="12768">
      <c r="A12768" s="1" t="s">
        <v>22438</v>
      </c>
      <c r="B12768" s="2" t="s">
        <v>22439</v>
      </c>
      <c r="C12768" s="1" t="s">
        <v>4854</v>
      </c>
      <c r="D12768" s="1" t="s">
        <v>4856</v>
      </c>
    </row>
    <row r="12769">
      <c r="A12769" s="1" t="s">
        <v>4872</v>
      </c>
      <c r="B12769" s="2" t="s">
        <v>4864</v>
      </c>
      <c r="C12769" s="1" t="s">
        <v>4873</v>
      </c>
      <c r="D12769" s="1" t="s">
        <v>4875</v>
      </c>
    </row>
    <row r="12770">
      <c r="A12770" s="1" t="s">
        <v>4880</v>
      </c>
      <c r="B12770" s="2" t="s">
        <v>4864</v>
      </c>
      <c r="C12770" s="1" t="s">
        <v>4881</v>
      </c>
      <c r="D12770" s="1" t="s">
        <v>4883</v>
      </c>
    </row>
    <row r="12771">
      <c r="A12771" s="1" t="s">
        <v>4885</v>
      </c>
      <c r="B12771" s="2" t="s">
        <v>4864</v>
      </c>
      <c r="C12771" s="1" t="s">
        <v>4886</v>
      </c>
      <c r="D12771" s="1" t="s">
        <v>4887</v>
      </c>
    </row>
    <row r="12772">
      <c r="A12772" s="1" t="s">
        <v>4890</v>
      </c>
      <c r="B12772" s="2" t="s">
        <v>4864</v>
      </c>
      <c r="C12772" s="1" t="s">
        <v>4892</v>
      </c>
      <c r="D12772" s="1" t="s">
        <v>4893</v>
      </c>
    </row>
    <row r="12773">
      <c r="A12773" s="1" t="s">
        <v>4896</v>
      </c>
      <c r="B12773" s="2" t="s">
        <v>4864</v>
      </c>
      <c r="C12773" s="1" t="s">
        <v>4898</v>
      </c>
      <c r="D12773" s="1" t="s">
        <v>4899</v>
      </c>
    </row>
    <row r="12774">
      <c r="A12774" s="1" t="s">
        <v>4902</v>
      </c>
      <c r="B12774" s="2" t="s">
        <v>4864</v>
      </c>
      <c r="C12774" s="1" t="s">
        <v>4903</v>
      </c>
      <c r="D12774" s="1" t="s">
        <v>4904</v>
      </c>
    </row>
    <row r="12775">
      <c r="A12775" s="1" t="s">
        <v>4907</v>
      </c>
      <c r="B12775" s="2" t="s">
        <v>4864</v>
      </c>
      <c r="C12775" s="1" t="s">
        <v>4909</v>
      </c>
      <c r="D12775" s="1" t="s">
        <v>4910</v>
      </c>
    </row>
    <row r="12776">
      <c r="A12776" s="1" t="s">
        <v>4913</v>
      </c>
      <c r="B12776" s="2" t="s">
        <v>4864</v>
      </c>
      <c r="C12776" s="1" t="s">
        <v>4915</v>
      </c>
      <c r="D12776" s="1" t="s">
        <v>4916</v>
      </c>
    </row>
    <row r="12777">
      <c r="A12777" s="1" t="s">
        <v>4920</v>
      </c>
      <c r="B12777" s="2" t="s">
        <v>4864</v>
      </c>
      <c r="C12777" s="1" t="s">
        <v>4922</v>
      </c>
      <c r="D12777" s="1" t="s">
        <v>4924</v>
      </c>
    </row>
    <row r="12778">
      <c r="A12778" s="1" t="s">
        <v>4862</v>
      </c>
      <c r="B12778" s="2" t="s">
        <v>4864</v>
      </c>
      <c r="C12778" s="1" t="s">
        <v>151</v>
      </c>
      <c r="D12778" s="1" t="s">
        <v>4867</v>
      </c>
    </row>
    <row r="12779">
      <c r="A12779" s="1" t="s">
        <v>4933</v>
      </c>
      <c r="B12779" s="2" t="s">
        <v>4928</v>
      </c>
      <c r="C12779" s="1" t="s">
        <v>4935</v>
      </c>
      <c r="D12779" s="1" t="s">
        <v>4936</v>
      </c>
    </row>
    <row r="12780">
      <c r="A12780" s="1" t="s">
        <v>4939</v>
      </c>
      <c r="B12780" s="2" t="s">
        <v>4928</v>
      </c>
      <c r="C12780" s="1" t="s">
        <v>4941</v>
      </c>
      <c r="D12780" s="1" t="s">
        <v>4943</v>
      </c>
    </row>
    <row r="12781">
      <c r="A12781" s="1" t="s">
        <v>4946</v>
      </c>
      <c r="B12781" s="2" t="s">
        <v>4928</v>
      </c>
      <c r="C12781" s="1" t="s">
        <v>4947</v>
      </c>
      <c r="D12781" s="1" t="s">
        <v>4949</v>
      </c>
    </row>
    <row r="12782">
      <c r="A12782" s="1" t="s">
        <v>4952</v>
      </c>
      <c r="B12782" s="2" t="s">
        <v>4928</v>
      </c>
      <c r="C12782" s="1" t="s">
        <v>4954</v>
      </c>
      <c r="D12782" s="1" t="s">
        <v>4955</v>
      </c>
    </row>
    <row r="12783">
      <c r="A12783" s="1" t="s">
        <v>4958</v>
      </c>
      <c r="B12783" s="2" t="s">
        <v>4928</v>
      </c>
      <c r="C12783" s="1" t="s">
        <v>4959</v>
      </c>
      <c r="D12783" s="1" t="s">
        <v>4960</v>
      </c>
    </row>
    <row r="12784">
      <c r="A12784" s="1" t="s">
        <v>4961</v>
      </c>
      <c r="B12784" s="2" t="s">
        <v>4928</v>
      </c>
      <c r="C12784" s="1" t="s">
        <v>4962</v>
      </c>
      <c r="D12784" s="1" t="s">
        <v>4963</v>
      </c>
    </row>
    <row r="12785">
      <c r="A12785" s="1" t="s">
        <v>4965</v>
      </c>
      <c r="B12785" s="2" t="s">
        <v>4928</v>
      </c>
      <c r="C12785" s="1" t="s">
        <v>4968</v>
      </c>
      <c r="D12785" s="1" t="s">
        <v>4970</v>
      </c>
    </row>
    <row r="12786">
      <c r="A12786" s="1" t="s">
        <v>4973</v>
      </c>
      <c r="B12786" s="2" t="s">
        <v>4928</v>
      </c>
      <c r="C12786" s="1" t="s">
        <v>4974</v>
      </c>
      <c r="D12786" s="1" t="s">
        <v>4975</v>
      </c>
    </row>
    <row r="12787">
      <c r="A12787" s="1" t="s">
        <v>4978</v>
      </c>
      <c r="B12787" s="2" t="s">
        <v>4928</v>
      </c>
      <c r="C12787" s="1" t="s">
        <v>4981</v>
      </c>
      <c r="D12787" s="1" t="s">
        <v>4983</v>
      </c>
    </row>
    <row r="12788">
      <c r="A12788" s="1" t="s">
        <v>4926</v>
      </c>
      <c r="B12788" s="2" t="s">
        <v>4928</v>
      </c>
      <c r="C12788" s="1" t="s">
        <v>4929</v>
      </c>
      <c r="D12788" s="1" t="s">
        <v>4930</v>
      </c>
    </row>
    <row r="12789">
      <c r="A12789" s="1" t="s">
        <v>4988</v>
      </c>
      <c r="B12789" s="2" t="s">
        <v>7</v>
      </c>
      <c r="C12789" s="1" t="s">
        <v>4991</v>
      </c>
      <c r="D12789" s="1" t="s">
        <v>4992</v>
      </c>
    </row>
    <row r="12790">
      <c r="A12790" s="1" t="s">
        <v>22440</v>
      </c>
      <c r="B12790" s="2" t="s">
        <v>13</v>
      </c>
      <c r="C12790" s="1" t="s">
        <v>4991</v>
      </c>
      <c r="D12790" s="1" t="s">
        <v>4992</v>
      </c>
    </row>
    <row r="12791">
      <c r="A12791" s="1" t="s">
        <v>22441</v>
      </c>
      <c r="B12791" s="2" t="s">
        <v>22442</v>
      </c>
      <c r="C12791" s="1" t="s">
        <v>4991</v>
      </c>
      <c r="D12791" s="1" t="s">
        <v>4992</v>
      </c>
    </row>
    <row r="12792">
      <c r="A12792" s="1" t="s">
        <v>22443</v>
      </c>
      <c r="B12792" s="2" t="s">
        <v>22444</v>
      </c>
      <c r="C12792" s="1" t="s">
        <v>4991</v>
      </c>
      <c r="D12792" s="1" t="s">
        <v>4992</v>
      </c>
    </row>
    <row r="12793">
      <c r="A12793" s="1" t="s">
        <v>22445</v>
      </c>
      <c r="B12793" s="2" t="s">
        <v>22446</v>
      </c>
      <c r="C12793" s="1" t="s">
        <v>4991</v>
      </c>
      <c r="D12793" s="1" t="s">
        <v>4992</v>
      </c>
    </row>
    <row r="12794">
      <c r="A12794" s="1" t="s">
        <v>22447</v>
      </c>
      <c r="B12794" s="2" t="s">
        <v>22448</v>
      </c>
      <c r="C12794" s="1" t="s">
        <v>4991</v>
      </c>
      <c r="D12794" s="1" t="s">
        <v>4992</v>
      </c>
    </row>
    <row r="12795">
      <c r="A12795" s="1" t="s">
        <v>22449</v>
      </c>
      <c r="B12795" s="2" t="s">
        <v>22450</v>
      </c>
      <c r="C12795" s="1" t="s">
        <v>4991</v>
      </c>
      <c r="D12795" s="1" t="s">
        <v>4992</v>
      </c>
    </row>
    <row r="12796">
      <c r="A12796" s="1" t="s">
        <v>22451</v>
      </c>
      <c r="B12796" s="2" t="s">
        <v>22452</v>
      </c>
      <c r="C12796" s="1" t="s">
        <v>4991</v>
      </c>
      <c r="D12796" s="1" t="s">
        <v>4992</v>
      </c>
    </row>
    <row r="12797">
      <c r="A12797" s="1" t="s">
        <v>22453</v>
      </c>
      <c r="B12797" s="2" t="s">
        <v>22454</v>
      </c>
      <c r="C12797" s="1" t="s">
        <v>4991</v>
      </c>
      <c r="D12797" s="1" t="s">
        <v>4992</v>
      </c>
    </row>
    <row r="12798">
      <c r="A12798" s="1" t="s">
        <v>22455</v>
      </c>
      <c r="B12798" s="2" t="s">
        <v>22456</v>
      </c>
      <c r="C12798" s="1" t="s">
        <v>4991</v>
      </c>
      <c r="D12798" s="1" t="s">
        <v>4992</v>
      </c>
    </row>
    <row r="12799">
      <c r="A12799" s="1" t="s">
        <v>22457</v>
      </c>
      <c r="B12799" s="2" t="s">
        <v>22458</v>
      </c>
      <c r="C12799" s="1" t="s">
        <v>4991</v>
      </c>
      <c r="D12799" s="1" t="s">
        <v>4992</v>
      </c>
    </row>
    <row r="12800">
      <c r="A12800" s="1" t="s">
        <v>22459</v>
      </c>
      <c r="B12800" s="2" t="s">
        <v>22460</v>
      </c>
      <c r="C12800" s="1" t="s">
        <v>4991</v>
      </c>
      <c r="D12800" s="1" t="s">
        <v>4992</v>
      </c>
    </row>
    <row r="12801">
      <c r="A12801" s="1" t="s">
        <v>22461</v>
      </c>
      <c r="B12801" s="2" t="s">
        <v>22462</v>
      </c>
      <c r="C12801" s="1" t="s">
        <v>4991</v>
      </c>
      <c r="D12801" s="1" t="s">
        <v>4992</v>
      </c>
    </row>
    <row r="12802">
      <c r="A12802" s="1" t="s">
        <v>22463</v>
      </c>
      <c r="B12802" s="2" t="s">
        <v>22464</v>
      </c>
      <c r="C12802" s="1" t="s">
        <v>4991</v>
      </c>
      <c r="D12802" s="1" t="s">
        <v>4992</v>
      </c>
    </row>
    <row r="12803">
      <c r="A12803" s="1" t="s">
        <v>22465</v>
      </c>
      <c r="B12803" s="2" t="s">
        <v>22466</v>
      </c>
      <c r="C12803" s="1" t="s">
        <v>4991</v>
      </c>
      <c r="D12803" s="1" t="s">
        <v>4992</v>
      </c>
    </row>
    <row r="12804">
      <c r="A12804" s="1" t="s">
        <v>22467</v>
      </c>
      <c r="B12804" s="2" t="s">
        <v>22468</v>
      </c>
      <c r="C12804" s="1" t="s">
        <v>4991</v>
      </c>
      <c r="D12804" s="1" t="s">
        <v>4992</v>
      </c>
    </row>
    <row r="12805">
      <c r="A12805" s="1" t="s">
        <v>22469</v>
      </c>
      <c r="B12805" s="2" t="s">
        <v>22470</v>
      </c>
      <c r="C12805" s="1" t="s">
        <v>4991</v>
      </c>
      <c r="D12805" s="1" t="s">
        <v>4992</v>
      </c>
    </row>
    <row r="12806">
      <c r="A12806" s="1" t="s">
        <v>22471</v>
      </c>
      <c r="B12806" s="2" t="s">
        <v>22472</v>
      </c>
      <c r="C12806" s="1" t="s">
        <v>4991</v>
      </c>
      <c r="D12806" s="1" t="s">
        <v>4992</v>
      </c>
    </row>
    <row r="12807">
      <c r="A12807" s="1" t="s">
        <v>22473</v>
      </c>
      <c r="B12807" s="2" t="s">
        <v>22474</v>
      </c>
      <c r="C12807" s="1" t="s">
        <v>4991</v>
      </c>
      <c r="D12807" s="1" t="s">
        <v>4992</v>
      </c>
    </row>
    <row r="12808">
      <c r="A12808" s="1" t="s">
        <v>22475</v>
      </c>
      <c r="B12808" s="2" t="s">
        <v>22476</v>
      </c>
      <c r="C12808" s="1" t="s">
        <v>4991</v>
      </c>
      <c r="D12808" s="1" t="s">
        <v>4992</v>
      </c>
    </row>
    <row r="12809">
      <c r="A12809" s="1" t="s">
        <v>22477</v>
      </c>
      <c r="B12809" s="2" t="s">
        <v>22478</v>
      </c>
      <c r="C12809" s="1" t="s">
        <v>4991</v>
      </c>
      <c r="D12809" s="1" t="s">
        <v>4992</v>
      </c>
    </row>
    <row r="12810">
      <c r="A12810" s="1" t="s">
        <v>22479</v>
      </c>
      <c r="B12810" s="2" t="s">
        <v>22480</v>
      </c>
      <c r="C12810" s="1" t="s">
        <v>4991</v>
      </c>
      <c r="D12810" s="1" t="s">
        <v>4992</v>
      </c>
    </row>
    <row r="12811">
      <c r="A12811" s="1" t="s">
        <v>22481</v>
      </c>
      <c r="B12811" s="2" t="s">
        <v>22482</v>
      </c>
      <c r="C12811" s="1" t="s">
        <v>4991</v>
      </c>
      <c r="D12811" s="1" t="s">
        <v>4992</v>
      </c>
    </row>
    <row r="12812">
      <c r="A12812" s="1" t="s">
        <v>22483</v>
      </c>
      <c r="B12812" s="2" t="s">
        <v>22484</v>
      </c>
      <c r="C12812" s="1" t="s">
        <v>4991</v>
      </c>
      <c r="D12812" s="1" t="s">
        <v>4992</v>
      </c>
    </row>
    <row r="12813">
      <c r="A12813" s="1" t="s">
        <v>22485</v>
      </c>
      <c r="B12813" s="2" t="s">
        <v>22486</v>
      </c>
      <c r="C12813" s="1" t="s">
        <v>4991</v>
      </c>
      <c r="D12813" s="1" t="s">
        <v>4992</v>
      </c>
    </row>
    <row r="12814">
      <c r="A12814" s="1" t="s">
        <v>22487</v>
      </c>
      <c r="B12814" s="2" t="s">
        <v>22488</v>
      </c>
      <c r="C12814" s="1" t="s">
        <v>4991</v>
      </c>
      <c r="D12814" s="1" t="s">
        <v>4992</v>
      </c>
    </row>
    <row r="12815">
      <c r="A12815" s="1" t="s">
        <v>22489</v>
      </c>
      <c r="B12815" s="2" t="s">
        <v>22490</v>
      </c>
      <c r="C12815" s="1" t="s">
        <v>4991</v>
      </c>
      <c r="D12815" s="1" t="s">
        <v>4992</v>
      </c>
    </row>
    <row r="12816">
      <c r="A12816" s="1" t="s">
        <v>22491</v>
      </c>
      <c r="B12816" s="2" t="s">
        <v>22492</v>
      </c>
      <c r="C12816" s="1" t="s">
        <v>4991</v>
      </c>
      <c r="D12816" s="1" t="s">
        <v>4992</v>
      </c>
    </row>
    <row r="12817">
      <c r="A12817" s="1" t="s">
        <v>22493</v>
      </c>
      <c r="B12817" s="2" t="s">
        <v>22494</v>
      </c>
      <c r="C12817" s="1" t="s">
        <v>4991</v>
      </c>
      <c r="D12817" s="1" t="s">
        <v>4992</v>
      </c>
    </row>
    <row r="12818">
      <c r="A12818" s="1" t="s">
        <v>22495</v>
      </c>
      <c r="B12818" s="2" t="s">
        <v>22496</v>
      </c>
      <c r="C12818" s="1" t="s">
        <v>4991</v>
      </c>
      <c r="D12818" s="1" t="s">
        <v>4992</v>
      </c>
    </row>
    <row r="12819">
      <c r="A12819" s="1" t="s">
        <v>22497</v>
      </c>
      <c r="B12819" s="2" t="s">
        <v>22498</v>
      </c>
      <c r="C12819" s="1" t="s">
        <v>4991</v>
      </c>
      <c r="D12819" s="1" t="s">
        <v>4992</v>
      </c>
    </row>
    <row r="12820">
      <c r="A12820" s="1" t="s">
        <v>22499</v>
      </c>
      <c r="B12820" s="2" t="s">
        <v>22500</v>
      </c>
      <c r="C12820" s="1" t="s">
        <v>4991</v>
      </c>
      <c r="D12820" s="1" t="s">
        <v>4992</v>
      </c>
    </row>
    <row r="12821">
      <c r="A12821" s="1" t="s">
        <v>22501</v>
      </c>
      <c r="B12821" s="2" t="s">
        <v>22502</v>
      </c>
      <c r="C12821" s="1" t="s">
        <v>4991</v>
      </c>
      <c r="D12821" s="1" t="s">
        <v>4992</v>
      </c>
    </row>
    <row r="12822">
      <c r="A12822" s="1" t="s">
        <v>22503</v>
      </c>
      <c r="B12822" s="2" t="s">
        <v>22504</v>
      </c>
      <c r="C12822" s="1" t="s">
        <v>4991</v>
      </c>
      <c r="D12822" s="1" t="s">
        <v>4992</v>
      </c>
    </row>
    <row r="12823">
      <c r="A12823" s="1" t="s">
        <v>22505</v>
      </c>
      <c r="B12823" s="2" t="s">
        <v>22506</v>
      </c>
      <c r="C12823" s="1" t="s">
        <v>4991</v>
      </c>
      <c r="D12823" s="1" t="s">
        <v>4992</v>
      </c>
    </row>
    <row r="12824">
      <c r="A12824" s="1" t="s">
        <v>22507</v>
      </c>
      <c r="B12824" s="2" t="s">
        <v>22508</v>
      </c>
      <c r="C12824" s="1" t="s">
        <v>4991</v>
      </c>
      <c r="D12824" s="1" t="s">
        <v>4992</v>
      </c>
    </row>
    <row r="12825">
      <c r="A12825" s="1" t="s">
        <v>22509</v>
      </c>
      <c r="B12825" s="2" t="s">
        <v>22510</v>
      </c>
      <c r="C12825" s="1" t="s">
        <v>4991</v>
      </c>
      <c r="D12825" s="1" t="s">
        <v>4992</v>
      </c>
    </row>
    <row r="12826">
      <c r="A12826" s="1" t="s">
        <v>22511</v>
      </c>
      <c r="B12826" s="2" t="s">
        <v>22512</v>
      </c>
      <c r="C12826" s="1" t="s">
        <v>4991</v>
      </c>
      <c r="D12826" s="1" t="s">
        <v>4992</v>
      </c>
    </row>
    <row r="12827">
      <c r="A12827" s="1" t="s">
        <v>22513</v>
      </c>
      <c r="B12827" s="2" t="s">
        <v>22514</v>
      </c>
      <c r="C12827" s="1" t="s">
        <v>4991</v>
      </c>
      <c r="D12827" s="1" t="s">
        <v>4992</v>
      </c>
    </row>
    <row r="12828">
      <c r="A12828" s="1" t="s">
        <v>22515</v>
      </c>
      <c r="B12828" s="2" t="s">
        <v>22516</v>
      </c>
      <c r="C12828" s="1" t="s">
        <v>4991</v>
      </c>
      <c r="D12828" s="1" t="s">
        <v>4992</v>
      </c>
    </row>
    <row r="12829">
      <c r="A12829" s="1" t="s">
        <v>22517</v>
      </c>
      <c r="B12829" s="2" t="s">
        <v>22518</v>
      </c>
      <c r="C12829" s="1" t="s">
        <v>4991</v>
      </c>
      <c r="D12829" s="1" t="s">
        <v>4992</v>
      </c>
    </row>
    <row r="12830">
      <c r="A12830" s="1" t="s">
        <v>22519</v>
      </c>
      <c r="B12830" s="2" t="s">
        <v>22520</v>
      </c>
      <c r="C12830" s="1" t="s">
        <v>4991</v>
      </c>
      <c r="D12830" s="1" t="s">
        <v>4992</v>
      </c>
    </row>
    <row r="12831">
      <c r="A12831" s="1" t="s">
        <v>22521</v>
      </c>
      <c r="B12831" s="2" t="s">
        <v>22522</v>
      </c>
      <c r="C12831" s="1" t="s">
        <v>4991</v>
      </c>
      <c r="D12831" s="1" t="s">
        <v>4992</v>
      </c>
    </row>
    <row r="12832">
      <c r="A12832" s="1" t="s">
        <v>22523</v>
      </c>
      <c r="B12832" s="2" t="s">
        <v>22524</v>
      </c>
      <c r="C12832" s="1" t="s">
        <v>4991</v>
      </c>
      <c r="D12832" s="1" t="s">
        <v>4992</v>
      </c>
    </row>
    <row r="12833">
      <c r="A12833" s="1" t="s">
        <v>22525</v>
      </c>
      <c r="B12833" s="2" t="s">
        <v>22526</v>
      </c>
      <c r="C12833" s="1" t="s">
        <v>4991</v>
      </c>
      <c r="D12833" s="1" t="s">
        <v>4992</v>
      </c>
    </row>
    <row r="12834">
      <c r="A12834" s="1" t="s">
        <v>22527</v>
      </c>
      <c r="B12834" s="2" t="s">
        <v>22528</v>
      </c>
      <c r="C12834" s="1" t="s">
        <v>4991</v>
      </c>
      <c r="D12834" s="1" t="s">
        <v>4992</v>
      </c>
    </row>
    <row r="12835">
      <c r="A12835" s="1" t="s">
        <v>22529</v>
      </c>
      <c r="B12835" s="2" t="s">
        <v>22530</v>
      </c>
      <c r="C12835" s="1" t="s">
        <v>4991</v>
      </c>
      <c r="D12835" s="1" t="s">
        <v>4992</v>
      </c>
    </row>
    <row r="12836">
      <c r="A12836" s="1" t="s">
        <v>22531</v>
      </c>
      <c r="B12836" s="2" t="s">
        <v>22532</v>
      </c>
      <c r="C12836" s="1" t="s">
        <v>4991</v>
      </c>
      <c r="D12836" s="1" t="s">
        <v>4992</v>
      </c>
    </row>
    <row r="12837">
      <c r="A12837" s="1" t="s">
        <v>22533</v>
      </c>
      <c r="B12837" s="2" t="s">
        <v>70</v>
      </c>
      <c r="C12837" s="1" t="s">
        <v>4991</v>
      </c>
      <c r="D12837" s="1" t="s">
        <v>4992</v>
      </c>
    </row>
    <row r="12838">
      <c r="A12838" s="1" t="s">
        <v>22534</v>
      </c>
      <c r="B12838" s="2" t="s">
        <v>22535</v>
      </c>
      <c r="C12838" s="1" t="s">
        <v>4991</v>
      </c>
      <c r="D12838" s="1" t="s">
        <v>4992</v>
      </c>
    </row>
    <row r="12839">
      <c r="A12839" s="1" t="s">
        <v>22536</v>
      </c>
      <c r="B12839" s="2" t="s">
        <v>22537</v>
      </c>
      <c r="C12839" s="1" t="s">
        <v>4991</v>
      </c>
      <c r="D12839" s="1" t="s">
        <v>4992</v>
      </c>
    </row>
    <row r="12840">
      <c r="A12840" s="1" t="s">
        <v>22538</v>
      </c>
      <c r="B12840" s="2" t="s">
        <v>22539</v>
      </c>
      <c r="C12840" s="1" t="s">
        <v>4991</v>
      </c>
      <c r="D12840" s="1" t="s">
        <v>4992</v>
      </c>
    </row>
    <row r="12841">
      <c r="A12841" s="1" t="s">
        <v>22540</v>
      </c>
      <c r="B12841" s="2" t="s">
        <v>22541</v>
      </c>
      <c r="C12841" s="1" t="s">
        <v>4991</v>
      </c>
      <c r="D12841" s="1" t="s">
        <v>4992</v>
      </c>
    </row>
    <row r="12842">
      <c r="A12842" s="1" t="s">
        <v>22542</v>
      </c>
      <c r="B12842" s="2" t="s">
        <v>22543</v>
      </c>
      <c r="C12842" s="1" t="s">
        <v>4991</v>
      </c>
      <c r="D12842" s="1" t="s">
        <v>4992</v>
      </c>
    </row>
    <row r="12843">
      <c r="A12843" s="1" t="s">
        <v>22544</v>
      </c>
      <c r="B12843" s="2" t="s">
        <v>22545</v>
      </c>
      <c r="C12843" s="1" t="s">
        <v>4991</v>
      </c>
      <c r="D12843" s="1" t="s">
        <v>4992</v>
      </c>
    </row>
    <row r="12844">
      <c r="A12844" s="1" t="s">
        <v>22546</v>
      </c>
      <c r="B12844" s="2" t="s">
        <v>22547</v>
      </c>
      <c r="C12844" s="1" t="s">
        <v>4991</v>
      </c>
      <c r="D12844" s="1" t="s">
        <v>4992</v>
      </c>
    </row>
    <row r="12845">
      <c r="A12845" s="1" t="s">
        <v>22548</v>
      </c>
      <c r="B12845" s="2" t="s">
        <v>22549</v>
      </c>
      <c r="C12845" s="1" t="s">
        <v>4991</v>
      </c>
      <c r="D12845" s="1" t="s">
        <v>4992</v>
      </c>
    </row>
    <row r="12846">
      <c r="A12846" s="1" t="s">
        <v>22550</v>
      </c>
      <c r="B12846" s="2" t="s">
        <v>22551</v>
      </c>
      <c r="C12846" s="1" t="s">
        <v>4991</v>
      </c>
      <c r="D12846" s="1" t="s">
        <v>4992</v>
      </c>
    </row>
    <row r="12847">
      <c r="A12847" s="1" t="s">
        <v>22552</v>
      </c>
      <c r="B12847" s="2" t="s">
        <v>22553</v>
      </c>
      <c r="C12847" s="1" t="s">
        <v>4991</v>
      </c>
      <c r="D12847" s="1" t="s">
        <v>4992</v>
      </c>
    </row>
    <row r="12848">
      <c r="A12848" s="1" t="s">
        <v>22554</v>
      </c>
      <c r="B12848" s="2" t="s">
        <v>22555</v>
      </c>
      <c r="C12848" s="1" t="s">
        <v>4991</v>
      </c>
      <c r="D12848" s="1" t="s">
        <v>4992</v>
      </c>
    </row>
    <row r="12849">
      <c r="A12849" s="1" t="s">
        <v>22556</v>
      </c>
      <c r="B12849" s="2" t="s">
        <v>22557</v>
      </c>
      <c r="C12849" s="1" t="s">
        <v>4991</v>
      </c>
      <c r="D12849" s="1" t="s">
        <v>4992</v>
      </c>
    </row>
    <row r="12850">
      <c r="A12850" s="1" t="s">
        <v>22558</v>
      </c>
      <c r="B12850" s="2" t="s">
        <v>22559</v>
      </c>
      <c r="C12850" s="1" t="s">
        <v>4991</v>
      </c>
      <c r="D12850" s="1" t="s">
        <v>4992</v>
      </c>
    </row>
    <row r="12851">
      <c r="A12851" s="1" t="s">
        <v>22560</v>
      </c>
      <c r="B12851" s="2" t="s">
        <v>22561</v>
      </c>
      <c r="C12851" s="1" t="s">
        <v>4991</v>
      </c>
      <c r="D12851" s="1" t="s">
        <v>4992</v>
      </c>
    </row>
    <row r="12852">
      <c r="A12852" s="1" t="s">
        <v>22562</v>
      </c>
      <c r="B12852" s="2" t="s">
        <v>22563</v>
      </c>
      <c r="C12852" s="1" t="s">
        <v>4991</v>
      </c>
      <c r="D12852" s="1" t="s">
        <v>4992</v>
      </c>
    </row>
    <row r="12853">
      <c r="A12853" s="1" t="s">
        <v>22564</v>
      </c>
      <c r="B12853" s="2" t="s">
        <v>22565</v>
      </c>
      <c r="C12853" s="1" t="s">
        <v>4991</v>
      </c>
      <c r="D12853" s="1" t="s">
        <v>4992</v>
      </c>
    </row>
    <row r="12854">
      <c r="A12854" s="1" t="s">
        <v>22566</v>
      </c>
      <c r="B12854" s="2" t="s">
        <v>22567</v>
      </c>
      <c r="C12854" s="1" t="s">
        <v>4991</v>
      </c>
      <c r="D12854" s="1" t="s">
        <v>4992</v>
      </c>
    </row>
    <row r="12855">
      <c r="A12855" s="1" t="s">
        <v>22568</v>
      </c>
      <c r="B12855" s="2" t="s">
        <v>22569</v>
      </c>
      <c r="C12855" s="1" t="s">
        <v>4991</v>
      </c>
      <c r="D12855" s="1" t="s">
        <v>4992</v>
      </c>
    </row>
    <row r="12856">
      <c r="A12856" s="1" t="s">
        <v>22570</v>
      </c>
      <c r="B12856" s="2" t="s">
        <v>22571</v>
      </c>
      <c r="C12856" s="1" t="s">
        <v>4991</v>
      </c>
      <c r="D12856" s="1" t="s">
        <v>4992</v>
      </c>
    </row>
    <row r="12857">
      <c r="A12857" s="1" t="s">
        <v>22572</v>
      </c>
      <c r="B12857" s="2" t="s">
        <v>22573</v>
      </c>
      <c r="C12857" s="1" t="s">
        <v>4991</v>
      </c>
      <c r="D12857" s="1" t="s">
        <v>4992</v>
      </c>
    </row>
    <row r="12858">
      <c r="A12858" s="1" t="s">
        <v>22574</v>
      </c>
      <c r="B12858" s="2" t="s">
        <v>22575</v>
      </c>
      <c r="C12858" s="1" t="s">
        <v>4991</v>
      </c>
      <c r="D12858" s="1" t="s">
        <v>4992</v>
      </c>
    </row>
    <row r="12859">
      <c r="A12859" s="1" t="s">
        <v>22576</v>
      </c>
      <c r="B12859" s="2" t="s">
        <v>22577</v>
      </c>
      <c r="C12859" s="1" t="s">
        <v>4991</v>
      </c>
      <c r="D12859" s="1" t="s">
        <v>4992</v>
      </c>
    </row>
    <row r="12860">
      <c r="A12860" s="1" t="s">
        <v>22578</v>
      </c>
      <c r="B12860" s="2" t="s">
        <v>22579</v>
      </c>
      <c r="C12860" s="1" t="s">
        <v>4991</v>
      </c>
      <c r="D12860" s="1" t="s">
        <v>4992</v>
      </c>
    </row>
    <row r="12861">
      <c r="A12861" s="1" t="s">
        <v>22580</v>
      </c>
      <c r="B12861" s="2" t="s">
        <v>22581</v>
      </c>
      <c r="C12861" s="1" t="s">
        <v>4991</v>
      </c>
      <c r="D12861" s="1" t="s">
        <v>4992</v>
      </c>
    </row>
    <row r="12862">
      <c r="A12862" s="1" t="s">
        <v>22582</v>
      </c>
      <c r="B12862" s="2" t="s">
        <v>22583</v>
      </c>
      <c r="C12862" s="1" t="s">
        <v>4991</v>
      </c>
      <c r="D12862" s="1" t="s">
        <v>4992</v>
      </c>
    </row>
    <row r="12863">
      <c r="A12863" s="1" t="s">
        <v>22584</v>
      </c>
      <c r="B12863" s="2" t="s">
        <v>22585</v>
      </c>
      <c r="C12863" s="1" t="s">
        <v>4991</v>
      </c>
      <c r="D12863" s="1" t="s">
        <v>4992</v>
      </c>
    </row>
    <row r="12864">
      <c r="A12864" s="1" t="s">
        <v>22586</v>
      </c>
      <c r="B12864" s="2" t="s">
        <v>22587</v>
      </c>
      <c r="C12864" s="1" t="s">
        <v>4991</v>
      </c>
      <c r="D12864" s="1" t="s">
        <v>4992</v>
      </c>
    </row>
    <row r="12865">
      <c r="A12865" s="1" t="s">
        <v>22588</v>
      </c>
      <c r="B12865" s="2" t="s">
        <v>22589</v>
      </c>
      <c r="C12865" s="1" t="s">
        <v>4991</v>
      </c>
      <c r="D12865" s="1" t="s">
        <v>4992</v>
      </c>
    </row>
    <row r="12866">
      <c r="A12866" s="1" t="s">
        <v>22590</v>
      </c>
      <c r="B12866" s="2" t="s">
        <v>22591</v>
      </c>
      <c r="C12866" s="1" t="s">
        <v>4991</v>
      </c>
      <c r="D12866" s="1" t="s">
        <v>4992</v>
      </c>
    </row>
    <row r="12867">
      <c r="A12867" s="1" t="s">
        <v>22592</v>
      </c>
      <c r="B12867" s="2" t="s">
        <v>22593</v>
      </c>
      <c r="C12867" s="1" t="s">
        <v>4991</v>
      </c>
      <c r="D12867" s="1" t="s">
        <v>4992</v>
      </c>
    </row>
    <row r="12868">
      <c r="A12868" s="1" t="s">
        <v>22594</v>
      </c>
      <c r="B12868" s="2" t="s">
        <v>22595</v>
      </c>
      <c r="C12868" s="1" t="s">
        <v>4991</v>
      </c>
      <c r="D12868" s="1" t="s">
        <v>4992</v>
      </c>
    </row>
    <row r="12869">
      <c r="A12869" s="1" t="s">
        <v>22596</v>
      </c>
      <c r="B12869" s="2" t="s">
        <v>22597</v>
      </c>
      <c r="C12869" s="1" t="s">
        <v>4991</v>
      </c>
      <c r="D12869" s="1" t="s">
        <v>4992</v>
      </c>
    </row>
    <row r="12870">
      <c r="A12870" s="1" t="s">
        <v>22598</v>
      </c>
      <c r="B12870" s="2" t="s">
        <v>22599</v>
      </c>
      <c r="C12870" s="1" t="s">
        <v>4991</v>
      </c>
      <c r="D12870" s="1" t="s">
        <v>4992</v>
      </c>
    </row>
    <row r="12871">
      <c r="A12871" s="1" t="s">
        <v>22600</v>
      </c>
      <c r="B12871" s="2" t="s">
        <v>22601</v>
      </c>
      <c r="C12871" s="1" t="s">
        <v>4991</v>
      </c>
      <c r="D12871" s="1" t="s">
        <v>4992</v>
      </c>
    </row>
    <row r="12872">
      <c r="A12872" s="1" t="s">
        <v>22602</v>
      </c>
      <c r="B12872" s="2" t="s">
        <v>22603</v>
      </c>
      <c r="C12872" s="1" t="s">
        <v>4991</v>
      </c>
      <c r="D12872" s="1" t="s">
        <v>4992</v>
      </c>
    </row>
    <row r="12873">
      <c r="A12873" s="1" t="s">
        <v>22604</v>
      </c>
      <c r="B12873" s="2" t="s">
        <v>22605</v>
      </c>
      <c r="C12873" s="1" t="s">
        <v>4991</v>
      </c>
      <c r="D12873" s="1" t="s">
        <v>4992</v>
      </c>
    </row>
    <row r="12874">
      <c r="A12874" s="1" t="s">
        <v>22606</v>
      </c>
      <c r="B12874" s="2" t="s">
        <v>22607</v>
      </c>
      <c r="C12874" s="1" t="s">
        <v>4991</v>
      </c>
      <c r="D12874" s="1" t="s">
        <v>4992</v>
      </c>
    </row>
    <row r="12875">
      <c r="A12875" s="1" t="s">
        <v>22608</v>
      </c>
      <c r="B12875" s="2" t="s">
        <v>22609</v>
      </c>
      <c r="C12875" s="1" t="s">
        <v>4991</v>
      </c>
      <c r="D12875" s="1" t="s">
        <v>4992</v>
      </c>
    </row>
    <row r="12876">
      <c r="A12876" s="1" t="s">
        <v>22610</v>
      </c>
      <c r="B12876" s="2" t="s">
        <v>22611</v>
      </c>
      <c r="C12876" s="1" t="s">
        <v>4991</v>
      </c>
      <c r="D12876" s="1" t="s">
        <v>4992</v>
      </c>
    </row>
    <row r="12877">
      <c r="A12877" s="1" t="s">
        <v>22612</v>
      </c>
      <c r="B12877" s="2" t="s">
        <v>22613</v>
      </c>
      <c r="C12877" s="1" t="s">
        <v>4991</v>
      </c>
      <c r="D12877" s="1" t="s">
        <v>4992</v>
      </c>
    </row>
    <row r="12878">
      <c r="A12878" s="1" t="s">
        <v>22614</v>
      </c>
      <c r="B12878" s="2" t="s">
        <v>22615</v>
      </c>
      <c r="C12878" s="1" t="s">
        <v>4991</v>
      </c>
      <c r="D12878" s="1" t="s">
        <v>4992</v>
      </c>
    </row>
    <row r="12879">
      <c r="A12879" s="1" t="s">
        <v>22616</v>
      </c>
      <c r="B12879" s="2" t="s">
        <v>22617</v>
      </c>
      <c r="C12879" s="1" t="s">
        <v>4991</v>
      </c>
      <c r="D12879" s="1" t="s">
        <v>4992</v>
      </c>
    </row>
    <row r="12880">
      <c r="A12880" s="1" t="s">
        <v>22618</v>
      </c>
      <c r="B12880" s="2" t="s">
        <v>22619</v>
      </c>
      <c r="C12880" s="1" t="s">
        <v>4991</v>
      </c>
      <c r="D12880" s="1" t="s">
        <v>4992</v>
      </c>
    </row>
    <row r="12881">
      <c r="A12881" s="1" t="s">
        <v>22620</v>
      </c>
      <c r="B12881" s="2" t="s">
        <v>22621</v>
      </c>
      <c r="C12881" s="1" t="s">
        <v>4991</v>
      </c>
      <c r="D12881" s="1" t="s">
        <v>4992</v>
      </c>
    </row>
    <row r="12882">
      <c r="A12882" s="1" t="s">
        <v>22622</v>
      </c>
      <c r="B12882" s="2" t="s">
        <v>22623</v>
      </c>
      <c r="C12882" s="1" t="s">
        <v>4991</v>
      </c>
      <c r="D12882" s="1" t="s">
        <v>4992</v>
      </c>
    </row>
    <row r="12883">
      <c r="A12883" s="1" t="s">
        <v>22624</v>
      </c>
      <c r="B12883" s="2" t="s">
        <v>22625</v>
      </c>
      <c r="C12883" s="1" t="s">
        <v>4991</v>
      </c>
      <c r="D12883" s="1" t="s">
        <v>4992</v>
      </c>
    </row>
    <row r="12884">
      <c r="A12884" s="1" t="s">
        <v>4997</v>
      </c>
      <c r="B12884" s="2" t="s">
        <v>5000</v>
      </c>
      <c r="C12884" s="1" t="s">
        <v>5001</v>
      </c>
      <c r="D12884" s="1" t="s">
        <v>5004</v>
      </c>
    </row>
    <row r="12885">
      <c r="A12885" s="1" t="s">
        <v>22626</v>
      </c>
      <c r="B12885" s="2" t="s">
        <v>22627</v>
      </c>
      <c r="C12885" s="1" t="s">
        <v>5001</v>
      </c>
      <c r="D12885" s="1" t="s">
        <v>5004</v>
      </c>
    </row>
    <row r="12886">
      <c r="A12886" s="1" t="s">
        <v>22628</v>
      </c>
      <c r="B12886" s="2" t="s">
        <v>22629</v>
      </c>
      <c r="C12886" s="1" t="s">
        <v>5001</v>
      </c>
      <c r="D12886" s="1" t="s">
        <v>5004</v>
      </c>
    </row>
    <row r="12887">
      <c r="A12887" s="1" t="s">
        <v>22630</v>
      </c>
      <c r="B12887" s="2" t="s">
        <v>22631</v>
      </c>
      <c r="C12887" s="1" t="s">
        <v>5001</v>
      </c>
      <c r="D12887" s="1" t="s">
        <v>5004</v>
      </c>
    </row>
    <row r="12888">
      <c r="A12888" s="1" t="s">
        <v>22632</v>
      </c>
      <c r="B12888" s="2" t="s">
        <v>22633</v>
      </c>
      <c r="C12888" s="1" t="s">
        <v>5001</v>
      </c>
      <c r="D12888" s="1" t="s">
        <v>5004</v>
      </c>
    </row>
    <row r="12889">
      <c r="A12889" s="1" t="s">
        <v>22634</v>
      </c>
      <c r="B12889" s="2" t="s">
        <v>22635</v>
      </c>
      <c r="C12889" s="1" t="s">
        <v>5001</v>
      </c>
      <c r="D12889" s="1" t="s">
        <v>5004</v>
      </c>
    </row>
    <row r="12890">
      <c r="A12890" s="1" t="s">
        <v>22636</v>
      </c>
      <c r="B12890" s="2" t="s">
        <v>22637</v>
      </c>
      <c r="C12890" s="1" t="s">
        <v>5001</v>
      </c>
      <c r="D12890" s="1" t="s">
        <v>5004</v>
      </c>
    </row>
    <row r="12891">
      <c r="A12891" s="1" t="s">
        <v>5008</v>
      </c>
      <c r="B12891" s="2" t="s">
        <v>7</v>
      </c>
      <c r="C12891" s="1" t="s">
        <v>5011</v>
      </c>
      <c r="D12891" s="1" t="s">
        <v>5014</v>
      </c>
    </row>
    <row r="12892">
      <c r="A12892" s="1" t="s">
        <v>22638</v>
      </c>
      <c r="B12892" s="2" t="s">
        <v>13</v>
      </c>
      <c r="C12892" s="1" t="s">
        <v>5011</v>
      </c>
      <c r="D12892" s="1" t="s">
        <v>5014</v>
      </c>
    </row>
    <row r="12893">
      <c r="A12893" s="1" t="s">
        <v>22639</v>
      </c>
      <c r="B12893" s="2" t="s">
        <v>22640</v>
      </c>
      <c r="C12893" s="1" t="s">
        <v>5011</v>
      </c>
      <c r="D12893" s="1" t="s">
        <v>5014</v>
      </c>
    </row>
    <row r="12894">
      <c r="A12894" s="1" t="s">
        <v>22641</v>
      </c>
      <c r="B12894" s="2" t="s">
        <v>22642</v>
      </c>
      <c r="C12894" s="1" t="s">
        <v>5011</v>
      </c>
      <c r="D12894" s="1" t="s">
        <v>5014</v>
      </c>
    </row>
    <row r="12895">
      <c r="A12895" s="1" t="s">
        <v>22643</v>
      </c>
      <c r="B12895" s="2" t="s">
        <v>22644</v>
      </c>
      <c r="C12895" s="1" t="s">
        <v>5011</v>
      </c>
      <c r="D12895" s="1" t="s">
        <v>5014</v>
      </c>
    </row>
    <row r="12896">
      <c r="A12896" s="1" t="s">
        <v>22645</v>
      </c>
      <c r="B12896" s="2" t="s">
        <v>22646</v>
      </c>
      <c r="C12896" s="1" t="s">
        <v>5011</v>
      </c>
      <c r="D12896" s="1" t="s">
        <v>5014</v>
      </c>
    </row>
    <row r="12897">
      <c r="A12897" s="1" t="s">
        <v>22647</v>
      </c>
      <c r="B12897" s="2" t="s">
        <v>22648</v>
      </c>
      <c r="C12897" s="1" t="s">
        <v>5011</v>
      </c>
      <c r="D12897" s="1" t="s">
        <v>5014</v>
      </c>
    </row>
    <row r="12898">
      <c r="A12898" s="1" t="s">
        <v>22649</v>
      </c>
      <c r="B12898" s="2" t="s">
        <v>22650</v>
      </c>
      <c r="C12898" s="1" t="s">
        <v>5011</v>
      </c>
      <c r="D12898" s="1" t="s">
        <v>5014</v>
      </c>
    </row>
    <row r="12899">
      <c r="A12899" s="1" t="s">
        <v>22651</v>
      </c>
      <c r="B12899" s="2" t="s">
        <v>22652</v>
      </c>
      <c r="C12899" s="1" t="s">
        <v>5011</v>
      </c>
      <c r="D12899" s="1" t="s">
        <v>5014</v>
      </c>
    </row>
    <row r="12900">
      <c r="A12900" s="1" t="s">
        <v>22653</v>
      </c>
      <c r="B12900" s="2" t="s">
        <v>22654</v>
      </c>
      <c r="C12900" s="1" t="s">
        <v>5011</v>
      </c>
      <c r="D12900" s="1" t="s">
        <v>5014</v>
      </c>
    </row>
    <row r="12901">
      <c r="A12901" s="1" t="s">
        <v>22655</v>
      </c>
      <c r="B12901" s="2" t="s">
        <v>22656</v>
      </c>
      <c r="C12901" s="1" t="s">
        <v>5011</v>
      </c>
      <c r="D12901" s="1" t="s">
        <v>5014</v>
      </c>
    </row>
    <row r="12902">
      <c r="A12902" s="1" t="s">
        <v>22657</v>
      </c>
      <c r="B12902" s="2" t="s">
        <v>22658</v>
      </c>
      <c r="C12902" s="1" t="s">
        <v>5011</v>
      </c>
      <c r="D12902" s="1" t="s">
        <v>5014</v>
      </c>
    </row>
    <row r="12903">
      <c r="A12903" s="1" t="s">
        <v>22659</v>
      </c>
      <c r="B12903" s="2" t="s">
        <v>22660</v>
      </c>
      <c r="C12903" s="1" t="s">
        <v>5011</v>
      </c>
      <c r="D12903" s="1" t="s">
        <v>5014</v>
      </c>
    </row>
    <row r="12904">
      <c r="A12904" s="1" t="s">
        <v>22661</v>
      </c>
      <c r="B12904" s="2" t="s">
        <v>22662</v>
      </c>
      <c r="C12904" s="1" t="s">
        <v>5011</v>
      </c>
      <c r="D12904" s="1" t="s">
        <v>5014</v>
      </c>
    </row>
    <row r="12905">
      <c r="A12905" s="1" t="s">
        <v>22663</v>
      </c>
      <c r="B12905" s="2" t="s">
        <v>22664</v>
      </c>
      <c r="C12905" s="1" t="s">
        <v>5011</v>
      </c>
      <c r="D12905" s="1" t="s">
        <v>5014</v>
      </c>
    </row>
    <row r="12906">
      <c r="A12906" s="1" t="s">
        <v>22665</v>
      </c>
      <c r="B12906" s="2" t="s">
        <v>22666</v>
      </c>
      <c r="C12906" s="1" t="s">
        <v>5011</v>
      </c>
      <c r="D12906" s="1" t="s">
        <v>5014</v>
      </c>
    </row>
    <row r="12907">
      <c r="A12907" s="1" t="s">
        <v>22667</v>
      </c>
      <c r="B12907" s="2" t="s">
        <v>22668</v>
      </c>
      <c r="C12907" s="1" t="s">
        <v>5011</v>
      </c>
      <c r="D12907" s="1" t="s">
        <v>5014</v>
      </c>
    </row>
    <row r="12908">
      <c r="A12908" s="1" t="s">
        <v>22669</v>
      </c>
      <c r="B12908" s="2" t="s">
        <v>22670</v>
      </c>
      <c r="C12908" s="1" t="s">
        <v>5011</v>
      </c>
      <c r="D12908" s="1" t="s">
        <v>5014</v>
      </c>
    </row>
    <row r="12909">
      <c r="A12909" s="1" t="s">
        <v>22671</v>
      </c>
      <c r="B12909" s="2" t="s">
        <v>22672</v>
      </c>
      <c r="C12909" s="1" t="s">
        <v>5011</v>
      </c>
      <c r="D12909" s="1" t="s">
        <v>5014</v>
      </c>
    </row>
    <row r="12910">
      <c r="A12910" s="1" t="s">
        <v>22673</v>
      </c>
      <c r="B12910" s="2" t="s">
        <v>22674</v>
      </c>
      <c r="C12910" s="1" t="s">
        <v>5011</v>
      </c>
      <c r="D12910" s="1" t="s">
        <v>5014</v>
      </c>
    </row>
    <row r="12911">
      <c r="A12911" s="1" t="s">
        <v>22675</v>
      </c>
      <c r="B12911" s="2" t="s">
        <v>22676</v>
      </c>
      <c r="C12911" s="1" t="s">
        <v>5011</v>
      </c>
      <c r="D12911" s="1" t="s">
        <v>5014</v>
      </c>
    </row>
    <row r="12912">
      <c r="A12912" s="1" t="s">
        <v>22677</v>
      </c>
      <c r="B12912" s="2" t="s">
        <v>22678</v>
      </c>
      <c r="C12912" s="1" t="s">
        <v>5011</v>
      </c>
      <c r="D12912" s="1" t="s">
        <v>5014</v>
      </c>
    </row>
    <row r="12913">
      <c r="A12913" s="1" t="s">
        <v>22679</v>
      </c>
      <c r="B12913" s="2" t="s">
        <v>70</v>
      </c>
      <c r="C12913" s="1" t="s">
        <v>5011</v>
      </c>
      <c r="D12913" s="1" t="s">
        <v>5014</v>
      </c>
    </row>
    <row r="12914">
      <c r="A12914" s="1" t="s">
        <v>22680</v>
      </c>
      <c r="B12914" s="2" t="s">
        <v>22681</v>
      </c>
      <c r="C12914" s="1" t="s">
        <v>5011</v>
      </c>
      <c r="D12914" s="1" t="s">
        <v>5014</v>
      </c>
    </row>
    <row r="12915">
      <c r="A12915" s="1" t="s">
        <v>22682</v>
      </c>
      <c r="B12915" s="2" t="s">
        <v>22683</v>
      </c>
      <c r="C12915" s="1" t="s">
        <v>5011</v>
      </c>
      <c r="D12915" s="1" t="s">
        <v>5014</v>
      </c>
    </row>
    <row r="12916">
      <c r="A12916" s="1" t="s">
        <v>22684</v>
      </c>
      <c r="B12916" s="2" t="s">
        <v>22685</v>
      </c>
      <c r="C12916" s="1" t="s">
        <v>5011</v>
      </c>
      <c r="D12916" s="1" t="s">
        <v>5014</v>
      </c>
    </row>
    <row r="12917">
      <c r="A12917" s="1" t="s">
        <v>22686</v>
      </c>
      <c r="B12917" s="2" t="s">
        <v>22687</v>
      </c>
      <c r="C12917" s="1" t="s">
        <v>5011</v>
      </c>
      <c r="D12917" s="1" t="s">
        <v>5014</v>
      </c>
    </row>
    <row r="12918">
      <c r="A12918" s="1" t="s">
        <v>22688</v>
      </c>
      <c r="B12918" s="2" t="s">
        <v>22689</v>
      </c>
      <c r="C12918" s="1" t="s">
        <v>5011</v>
      </c>
      <c r="D12918" s="1" t="s">
        <v>5014</v>
      </c>
    </row>
    <row r="12919">
      <c r="A12919" s="1" t="s">
        <v>22690</v>
      </c>
      <c r="B12919" s="2" t="s">
        <v>22691</v>
      </c>
      <c r="C12919" s="1" t="s">
        <v>5011</v>
      </c>
      <c r="D12919" s="1" t="s">
        <v>5014</v>
      </c>
    </row>
    <row r="12920">
      <c r="A12920" s="1" t="s">
        <v>22692</v>
      </c>
      <c r="B12920" s="2" t="s">
        <v>22693</v>
      </c>
      <c r="C12920" s="1" t="s">
        <v>5011</v>
      </c>
      <c r="D12920" s="1" t="s">
        <v>5014</v>
      </c>
    </row>
    <row r="12921">
      <c r="A12921" s="1" t="s">
        <v>22694</v>
      </c>
      <c r="B12921" s="2" t="s">
        <v>22695</v>
      </c>
      <c r="C12921" s="1" t="s">
        <v>5011</v>
      </c>
      <c r="D12921" s="1" t="s">
        <v>5014</v>
      </c>
    </row>
    <row r="12922">
      <c r="A12922" s="1" t="s">
        <v>22696</v>
      </c>
      <c r="B12922" s="2" t="s">
        <v>22697</v>
      </c>
      <c r="C12922" s="1" t="s">
        <v>5011</v>
      </c>
      <c r="D12922" s="1" t="s">
        <v>5014</v>
      </c>
    </row>
    <row r="12923">
      <c r="A12923" s="1" t="s">
        <v>22698</v>
      </c>
      <c r="B12923" s="2" t="s">
        <v>22699</v>
      </c>
      <c r="C12923" s="1" t="s">
        <v>5011</v>
      </c>
      <c r="D12923" s="1" t="s">
        <v>5014</v>
      </c>
    </row>
    <row r="12924">
      <c r="A12924" s="1" t="s">
        <v>22700</v>
      </c>
      <c r="B12924" s="2" t="s">
        <v>22701</v>
      </c>
      <c r="C12924" s="1" t="s">
        <v>5011</v>
      </c>
      <c r="D12924" s="1" t="s">
        <v>5014</v>
      </c>
    </row>
    <row r="12925">
      <c r="A12925" s="1" t="s">
        <v>22702</v>
      </c>
      <c r="B12925" s="2" t="s">
        <v>22703</v>
      </c>
      <c r="C12925" s="1" t="s">
        <v>5011</v>
      </c>
      <c r="D12925" s="1" t="s">
        <v>5014</v>
      </c>
    </row>
    <row r="12926">
      <c r="A12926" s="1" t="s">
        <v>22704</v>
      </c>
      <c r="B12926" s="2" t="s">
        <v>22705</v>
      </c>
      <c r="C12926" s="1" t="s">
        <v>5011</v>
      </c>
      <c r="D12926" s="1" t="s">
        <v>5014</v>
      </c>
    </row>
    <row r="12927">
      <c r="A12927" s="1" t="s">
        <v>22706</v>
      </c>
      <c r="B12927" s="2" t="s">
        <v>22707</v>
      </c>
      <c r="C12927" s="1" t="s">
        <v>5011</v>
      </c>
      <c r="D12927" s="1" t="s">
        <v>5014</v>
      </c>
    </row>
    <row r="12928">
      <c r="A12928" s="1" t="s">
        <v>22708</v>
      </c>
      <c r="B12928" s="2" t="s">
        <v>22709</v>
      </c>
      <c r="C12928" s="1" t="s">
        <v>5011</v>
      </c>
      <c r="D12928" s="1" t="s">
        <v>5014</v>
      </c>
    </row>
    <row r="12929">
      <c r="A12929" s="1" t="s">
        <v>22710</v>
      </c>
      <c r="B12929" s="2" t="s">
        <v>22711</v>
      </c>
      <c r="C12929" s="1" t="s">
        <v>5011</v>
      </c>
      <c r="D12929" s="1" t="s">
        <v>5014</v>
      </c>
    </row>
    <row r="12930">
      <c r="A12930" s="1" t="s">
        <v>22712</v>
      </c>
      <c r="B12930" s="2" t="s">
        <v>22713</v>
      </c>
      <c r="C12930" s="1" t="s">
        <v>5011</v>
      </c>
      <c r="D12930" s="1" t="s">
        <v>5014</v>
      </c>
    </row>
    <row r="12931">
      <c r="A12931" s="1" t="s">
        <v>22714</v>
      </c>
      <c r="B12931" s="2" t="s">
        <v>22715</v>
      </c>
      <c r="C12931" s="1" t="s">
        <v>5011</v>
      </c>
      <c r="D12931" s="1" t="s">
        <v>5014</v>
      </c>
    </row>
    <row r="12932">
      <c r="A12932" s="1" t="s">
        <v>22716</v>
      </c>
      <c r="B12932" s="2" t="s">
        <v>22717</v>
      </c>
      <c r="C12932" s="1" t="s">
        <v>5011</v>
      </c>
      <c r="D12932" s="1" t="s">
        <v>5014</v>
      </c>
    </row>
    <row r="12933">
      <c r="A12933" s="1" t="s">
        <v>22718</v>
      </c>
      <c r="B12933" s="2" t="s">
        <v>22719</v>
      </c>
      <c r="C12933" s="1" t="s">
        <v>5011</v>
      </c>
      <c r="D12933" s="1" t="s">
        <v>5014</v>
      </c>
    </row>
    <row r="12934">
      <c r="A12934" s="1" t="s">
        <v>5019</v>
      </c>
      <c r="B12934" s="2" t="s">
        <v>5022</v>
      </c>
      <c r="C12934" s="1" t="s">
        <v>5024</v>
      </c>
      <c r="D12934" s="1" t="s">
        <v>5026</v>
      </c>
    </row>
    <row r="12935">
      <c r="A12935" s="1" t="s">
        <v>22720</v>
      </c>
      <c r="B12935" s="2" t="s">
        <v>22721</v>
      </c>
      <c r="C12935" s="1" t="s">
        <v>5024</v>
      </c>
      <c r="D12935" s="1" t="s">
        <v>5026</v>
      </c>
    </row>
    <row r="12936">
      <c r="A12936" s="1" t="s">
        <v>22722</v>
      </c>
      <c r="B12936" s="2" t="s">
        <v>22723</v>
      </c>
      <c r="C12936" s="1" t="s">
        <v>5024</v>
      </c>
      <c r="D12936" s="1" t="s">
        <v>5026</v>
      </c>
    </row>
    <row r="12937">
      <c r="A12937" s="1" t="s">
        <v>5029</v>
      </c>
      <c r="B12937" s="2" t="s">
        <v>5030</v>
      </c>
      <c r="C12937" s="1" t="s">
        <v>5033</v>
      </c>
      <c r="D12937" s="1" t="s">
        <v>5034</v>
      </c>
    </row>
    <row r="12938">
      <c r="A12938" s="1" t="s">
        <v>22724</v>
      </c>
      <c r="B12938" s="2" t="s">
        <v>22725</v>
      </c>
      <c r="C12938" s="1" t="s">
        <v>5033</v>
      </c>
      <c r="D12938" s="1" t="s">
        <v>5034</v>
      </c>
    </row>
    <row r="12939">
      <c r="A12939" s="1" t="s">
        <v>22726</v>
      </c>
      <c r="B12939" s="2" t="s">
        <v>22727</v>
      </c>
      <c r="C12939" s="1" t="s">
        <v>5033</v>
      </c>
      <c r="D12939" s="1" t="s">
        <v>5034</v>
      </c>
    </row>
    <row r="12940">
      <c r="A12940" s="1" t="s">
        <v>22728</v>
      </c>
      <c r="B12940" s="2" t="s">
        <v>22729</v>
      </c>
      <c r="C12940" s="1" t="s">
        <v>5033</v>
      </c>
      <c r="D12940" s="1" t="s">
        <v>5034</v>
      </c>
    </row>
    <row r="12941">
      <c r="A12941" s="1" t="s">
        <v>22730</v>
      </c>
      <c r="B12941" s="2" t="s">
        <v>22731</v>
      </c>
      <c r="C12941" s="1" t="s">
        <v>5033</v>
      </c>
      <c r="D12941" s="1" t="s">
        <v>5034</v>
      </c>
    </row>
    <row r="12942">
      <c r="A12942" s="1" t="s">
        <v>22732</v>
      </c>
      <c r="B12942" s="2" t="s">
        <v>22733</v>
      </c>
      <c r="C12942" s="1" t="s">
        <v>5033</v>
      </c>
      <c r="D12942" s="1" t="s">
        <v>5034</v>
      </c>
    </row>
    <row r="12943">
      <c r="A12943" s="1" t="s">
        <v>22734</v>
      </c>
      <c r="B12943" s="2" t="s">
        <v>22735</v>
      </c>
      <c r="C12943" s="1" t="s">
        <v>5033</v>
      </c>
      <c r="D12943" s="1" t="s">
        <v>5034</v>
      </c>
    </row>
    <row r="12944">
      <c r="A12944" s="1" t="s">
        <v>5039</v>
      </c>
      <c r="B12944" s="2" t="s">
        <v>7</v>
      </c>
      <c r="C12944" s="1" t="s">
        <v>5041</v>
      </c>
      <c r="D12944" s="1" t="s">
        <v>5043</v>
      </c>
    </row>
    <row r="12945">
      <c r="A12945" s="1" t="s">
        <v>22736</v>
      </c>
      <c r="B12945" s="2" t="s">
        <v>6064</v>
      </c>
      <c r="C12945" s="1" t="s">
        <v>5041</v>
      </c>
      <c r="D12945" s="1" t="s">
        <v>5043</v>
      </c>
    </row>
    <row r="12946">
      <c r="A12946" s="1" t="s">
        <v>22737</v>
      </c>
      <c r="B12946" s="2" t="s">
        <v>6066</v>
      </c>
      <c r="C12946" s="1" t="s">
        <v>5041</v>
      </c>
      <c r="D12946" s="1" t="s">
        <v>5043</v>
      </c>
    </row>
    <row r="12947">
      <c r="A12947" s="1" t="s">
        <v>22738</v>
      </c>
      <c r="B12947" s="2" t="s">
        <v>6069</v>
      </c>
      <c r="C12947" s="1" t="s">
        <v>5041</v>
      </c>
      <c r="D12947" s="1" t="s">
        <v>5043</v>
      </c>
    </row>
    <row r="12948">
      <c r="A12948" s="1" t="s">
        <v>22739</v>
      </c>
      <c r="B12948" s="2" t="s">
        <v>6072</v>
      </c>
      <c r="C12948" s="1" t="s">
        <v>5041</v>
      </c>
      <c r="D12948" s="1" t="s">
        <v>5043</v>
      </c>
    </row>
    <row r="12949">
      <c r="A12949" s="1" t="s">
        <v>22740</v>
      </c>
      <c r="B12949" s="2" t="s">
        <v>6076</v>
      </c>
      <c r="C12949" s="1" t="s">
        <v>5041</v>
      </c>
      <c r="D12949" s="1" t="s">
        <v>5043</v>
      </c>
    </row>
    <row r="12950">
      <c r="A12950" s="1" t="s">
        <v>22741</v>
      </c>
      <c r="B12950" s="2" t="s">
        <v>13</v>
      </c>
      <c r="C12950" s="1" t="s">
        <v>5041</v>
      </c>
      <c r="D12950" s="1" t="s">
        <v>5043</v>
      </c>
    </row>
    <row r="12951">
      <c r="A12951" s="1" t="s">
        <v>22742</v>
      </c>
      <c r="B12951" s="2" t="s">
        <v>22743</v>
      </c>
      <c r="C12951" s="1" t="s">
        <v>5041</v>
      </c>
      <c r="D12951" s="1" t="s">
        <v>5043</v>
      </c>
    </row>
    <row r="12952">
      <c r="A12952" s="1" t="s">
        <v>22744</v>
      </c>
      <c r="B12952" s="2" t="s">
        <v>16316</v>
      </c>
      <c r="C12952" s="1" t="s">
        <v>5041</v>
      </c>
      <c r="D12952" s="1" t="s">
        <v>5043</v>
      </c>
    </row>
    <row r="12953">
      <c r="A12953" s="1" t="s">
        <v>22745</v>
      </c>
      <c r="B12953" s="2" t="s">
        <v>22746</v>
      </c>
      <c r="C12953" s="1" t="s">
        <v>5041</v>
      </c>
      <c r="D12953" s="1" t="s">
        <v>5043</v>
      </c>
    </row>
    <row r="12954">
      <c r="A12954" s="1" t="s">
        <v>22747</v>
      </c>
      <c r="B12954" s="2" t="s">
        <v>16324</v>
      </c>
      <c r="C12954" s="1" t="s">
        <v>5041</v>
      </c>
      <c r="D12954" s="1" t="s">
        <v>5043</v>
      </c>
    </row>
    <row r="12955">
      <c r="A12955" s="1" t="s">
        <v>22748</v>
      </c>
      <c r="B12955" s="2" t="s">
        <v>22749</v>
      </c>
      <c r="C12955" s="1" t="s">
        <v>5041</v>
      </c>
      <c r="D12955" s="1" t="s">
        <v>5043</v>
      </c>
    </row>
    <row r="12956">
      <c r="A12956" s="1" t="s">
        <v>22750</v>
      </c>
      <c r="B12956" s="2" t="s">
        <v>70</v>
      </c>
      <c r="C12956" s="1" t="s">
        <v>5041</v>
      </c>
      <c r="D12956" s="1" t="s">
        <v>5043</v>
      </c>
    </row>
    <row r="12957">
      <c r="A12957" s="1" t="s">
        <v>22751</v>
      </c>
      <c r="B12957" s="2" t="s">
        <v>22752</v>
      </c>
      <c r="C12957" s="1" t="s">
        <v>5041</v>
      </c>
      <c r="D12957" s="1" t="s">
        <v>5043</v>
      </c>
    </row>
    <row r="12958">
      <c r="A12958" s="1" t="s">
        <v>22753</v>
      </c>
      <c r="B12958" s="2" t="s">
        <v>16349</v>
      </c>
      <c r="C12958" s="1" t="s">
        <v>5041</v>
      </c>
      <c r="D12958" s="1" t="s">
        <v>5043</v>
      </c>
    </row>
    <row r="12959">
      <c r="A12959" s="1" t="s">
        <v>22754</v>
      </c>
      <c r="B12959" s="2" t="s">
        <v>22755</v>
      </c>
      <c r="C12959" s="1" t="s">
        <v>5041</v>
      </c>
      <c r="D12959" s="1" t="s">
        <v>5043</v>
      </c>
    </row>
    <row r="12960">
      <c r="A12960" s="1" t="s">
        <v>22756</v>
      </c>
      <c r="B12960" s="2" t="s">
        <v>16357</v>
      </c>
      <c r="C12960" s="1" t="s">
        <v>5041</v>
      </c>
      <c r="D12960" s="1" t="s">
        <v>5043</v>
      </c>
    </row>
    <row r="12961">
      <c r="A12961" s="1" t="s">
        <v>22757</v>
      </c>
      <c r="B12961" s="2" t="s">
        <v>22758</v>
      </c>
      <c r="C12961" s="1" t="s">
        <v>5041</v>
      </c>
      <c r="D12961" s="1" t="s">
        <v>5043</v>
      </c>
    </row>
    <row r="12962">
      <c r="A12962" s="1" t="s">
        <v>5057</v>
      </c>
      <c r="B12962" s="2" t="s">
        <v>7</v>
      </c>
      <c r="C12962" s="1" t="s">
        <v>5060</v>
      </c>
      <c r="D12962" s="1" t="s">
        <v>5061</v>
      </c>
    </row>
    <row r="12963">
      <c r="A12963" s="1" t="s">
        <v>22759</v>
      </c>
      <c r="B12963" s="2" t="s">
        <v>13</v>
      </c>
      <c r="C12963" s="1" t="s">
        <v>5060</v>
      </c>
      <c r="D12963" s="1" t="s">
        <v>5061</v>
      </c>
    </row>
    <row r="12964">
      <c r="A12964" s="1" t="s">
        <v>22760</v>
      </c>
      <c r="B12964" s="2" t="s">
        <v>22442</v>
      </c>
      <c r="C12964" s="1" t="s">
        <v>5060</v>
      </c>
      <c r="D12964" s="1" t="s">
        <v>5061</v>
      </c>
    </row>
    <row r="12965">
      <c r="A12965" s="1" t="s">
        <v>22761</v>
      </c>
      <c r="B12965" s="2" t="s">
        <v>22762</v>
      </c>
      <c r="C12965" s="1" t="s">
        <v>5060</v>
      </c>
      <c r="D12965" s="1" t="s">
        <v>5061</v>
      </c>
    </row>
    <row r="12966">
      <c r="A12966" s="1" t="s">
        <v>22763</v>
      </c>
      <c r="B12966" s="2" t="s">
        <v>22764</v>
      </c>
      <c r="C12966" s="1" t="s">
        <v>5060</v>
      </c>
      <c r="D12966" s="1" t="s">
        <v>5061</v>
      </c>
    </row>
    <row r="12967">
      <c r="A12967" s="1" t="s">
        <v>22765</v>
      </c>
      <c r="B12967" s="2" t="s">
        <v>22766</v>
      </c>
      <c r="C12967" s="1" t="s">
        <v>5060</v>
      </c>
      <c r="D12967" s="1" t="s">
        <v>5061</v>
      </c>
    </row>
    <row r="12968">
      <c r="A12968" s="1" t="s">
        <v>22767</v>
      </c>
      <c r="B12968" s="2" t="s">
        <v>22768</v>
      </c>
      <c r="C12968" s="1" t="s">
        <v>5060</v>
      </c>
      <c r="D12968" s="1" t="s">
        <v>5061</v>
      </c>
    </row>
    <row r="12969">
      <c r="A12969" s="1" t="s">
        <v>22769</v>
      </c>
      <c r="B12969" s="2" t="s">
        <v>22770</v>
      </c>
      <c r="C12969" s="1" t="s">
        <v>5060</v>
      </c>
      <c r="D12969" s="1" t="s">
        <v>5061</v>
      </c>
    </row>
    <row r="12970">
      <c r="A12970" s="1" t="s">
        <v>22771</v>
      </c>
      <c r="B12970" s="2" t="s">
        <v>22772</v>
      </c>
      <c r="C12970" s="1" t="s">
        <v>5060</v>
      </c>
      <c r="D12970" s="1" t="s">
        <v>5061</v>
      </c>
    </row>
    <row r="12971">
      <c r="A12971" s="1" t="s">
        <v>22773</v>
      </c>
      <c r="B12971" s="2" t="s">
        <v>22774</v>
      </c>
      <c r="C12971" s="1" t="s">
        <v>5060</v>
      </c>
      <c r="D12971" s="1" t="s">
        <v>5061</v>
      </c>
    </row>
    <row r="12972">
      <c r="A12972" s="1" t="s">
        <v>22775</v>
      </c>
      <c r="B12972" s="2" t="s">
        <v>22776</v>
      </c>
      <c r="C12972" s="1" t="s">
        <v>5060</v>
      </c>
      <c r="D12972" s="1" t="s">
        <v>5061</v>
      </c>
    </row>
    <row r="12973">
      <c r="A12973" s="1" t="s">
        <v>22777</v>
      </c>
      <c r="B12973" s="2" t="s">
        <v>22778</v>
      </c>
      <c r="C12973" s="1" t="s">
        <v>5060</v>
      </c>
      <c r="D12973" s="1" t="s">
        <v>5061</v>
      </c>
    </row>
    <row r="12974">
      <c r="A12974" s="1" t="s">
        <v>22779</v>
      </c>
      <c r="B12974" s="2" t="s">
        <v>22780</v>
      </c>
      <c r="C12974" s="1" t="s">
        <v>5060</v>
      </c>
      <c r="D12974" s="1" t="s">
        <v>5061</v>
      </c>
    </row>
    <row r="12975">
      <c r="A12975" s="1" t="s">
        <v>22781</v>
      </c>
      <c r="B12975" s="2" t="s">
        <v>22782</v>
      </c>
      <c r="C12975" s="1" t="s">
        <v>5060</v>
      </c>
      <c r="D12975" s="1" t="s">
        <v>5061</v>
      </c>
    </row>
    <row r="12976">
      <c r="A12976" s="1" t="s">
        <v>22783</v>
      </c>
      <c r="B12976" s="2" t="s">
        <v>22784</v>
      </c>
      <c r="C12976" s="1" t="s">
        <v>5060</v>
      </c>
      <c r="D12976" s="1" t="s">
        <v>5061</v>
      </c>
    </row>
    <row r="12977">
      <c r="A12977" s="1" t="s">
        <v>22785</v>
      </c>
      <c r="B12977" s="2" t="s">
        <v>22786</v>
      </c>
      <c r="C12977" s="1" t="s">
        <v>5060</v>
      </c>
      <c r="D12977" s="1" t="s">
        <v>5061</v>
      </c>
    </row>
    <row r="12978">
      <c r="A12978" s="1" t="s">
        <v>22787</v>
      </c>
      <c r="B12978" s="2" t="s">
        <v>22788</v>
      </c>
      <c r="C12978" s="1" t="s">
        <v>5060</v>
      </c>
      <c r="D12978" s="1" t="s">
        <v>5061</v>
      </c>
    </row>
    <row r="12979">
      <c r="A12979" s="1" t="s">
        <v>22789</v>
      </c>
      <c r="B12979" s="2" t="s">
        <v>22790</v>
      </c>
      <c r="C12979" s="1" t="s">
        <v>5060</v>
      </c>
      <c r="D12979" s="1" t="s">
        <v>5061</v>
      </c>
    </row>
    <row r="12980">
      <c r="A12980" s="1" t="s">
        <v>22791</v>
      </c>
      <c r="B12980" s="2" t="s">
        <v>22792</v>
      </c>
      <c r="C12980" s="1" t="s">
        <v>5060</v>
      </c>
      <c r="D12980" s="1" t="s">
        <v>5061</v>
      </c>
    </row>
    <row r="12981">
      <c r="A12981" s="1" t="s">
        <v>22793</v>
      </c>
      <c r="B12981" s="2" t="s">
        <v>22794</v>
      </c>
      <c r="C12981" s="1" t="s">
        <v>5060</v>
      </c>
      <c r="D12981" s="1" t="s">
        <v>5061</v>
      </c>
    </row>
    <row r="12982">
      <c r="A12982" s="1" t="s">
        <v>22795</v>
      </c>
      <c r="B12982" s="2" t="s">
        <v>22796</v>
      </c>
      <c r="C12982" s="1" t="s">
        <v>5060</v>
      </c>
      <c r="D12982" s="1" t="s">
        <v>5061</v>
      </c>
    </row>
    <row r="12983">
      <c r="A12983" s="1" t="s">
        <v>22797</v>
      </c>
      <c r="B12983" s="2" t="s">
        <v>22798</v>
      </c>
      <c r="C12983" s="1" t="s">
        <v>5060</v>
      </c>
      <c r="D12983" s="1" t="s">
        <v>5061</v>
      </c>
    </row>
    <row r="12984">
      <c r="A12984" s="1" t="s">
        <v>22799</v>
      </c>
      <c r="B12984" s="2" t="s">
        <v>22800</v>
      </c>
      <c r="C12984" s="1" t="s">
        <v>5060</v>
      </c>
      <c r="D12984" s="1" t="s">
        <v>5061</v>
      </c>
    </row>
    <row r="12985">
      <c r="A12985" s="1" t="s">
        <v>22801</v>
      </c>
      <c r="B12985" s="2" t="s">
        <v>22802</v>
      </c>
      <c r="C12985" s="1" t="s">
        <v>5060</v>
      </c>
      <c r="D12985" s="1" t="s">
        <v>5061</v>
      </c>
    </row>
    <row r="12986">
      <c r="A12986" s="1" t="s">
        <v>22803</v>
      </c>
      <c r="B12986" s="2" t="s">
        <v>22804</v>
      </c>
      <c r="C12986" s="1" t="s">
        <v>5060</v>
      </c>
      <c r="D12986" s="1" t="s">
        <v>5061</v>
      </c>
    </row>
    <row r="12987">
      <c r="A12987" s="1" t="s">
        <v>22805</v>
      </c>
      <c r="B12987" s="2" t="s">
        <v>22488</v>
      </c>
      <c r="C12987" s="1" t="s">
        <v>5060</v>
      </c>
      <c r="D12987" s="1" t="s">
        <v>5061</v>
      </c>
    </row>
    <row r="12988">
      <c r="A12988" s="1" t="s">
        <v>22806</v>
      </c>
      <c r="B12988" s="2" t="s">
        <v>22807</v>
      </c>
      <c r="C12988" s="1" t="s">
        <v>5060</v>
      </c>
      <c r="D12988" s="1" t="s">
        <v>5061</v>
      </c>
    </row>
    <row r="12989">
      <c r="A12989" s="1" t="s">
        <v>22808</v>
      </c>
      <c r="B12989" s="2" t="s">
        <v>22809</v>
      </c>
      <c r="C12989" s="1" t="s">
        <v>5060</v>
      </c>
      <c r="D12989" s="1" t="s">
        <v>5061</v>
      </c>
    </row>
    <row r="12990">
      <c r="A12990" s="1" t="s">
        <v>22810</v>
      </c>
      <c r="B12990" s="2" t="s">
        <v>22811</v>
      </c>
      <c r="C12990" s="1" t="s">
        <v>5060</v>
      </c>
      <c r="D12990" s="1" t="s">
        <v>5061</v>
      </c>
    </row>
    <row r="12991">
      <c r="A12991" s="1" t="s">
        <v>22812</v>
      </c>
      <c r="B12991" s="2" t="s">
        <v>22813</v>
      </c>
      <c r="C12991" s="1" t="s">
        <v>5060</v>
      </c>
      <c r="D12991" s="1" t="s">
        <v>5061</v>
      </c>
    </row>
    <row r="12992">
      <c r="A12992" s="1" t="s">
        <v>22814</v>
      </c>
      <c r="B12992" s="2" t="s">
        <v>22815</v>
      </c>
      <c r="C12992" s="1" t="s">
        <v>5060</v>
      </c>
      <c r="D12992" s="1" t="s">
        <v>5061</v>
      </c>
    </row>
    <row r="12993">
      <c r="A12993" s="1" t="s">
        <v>22816</v>
      </c>
      <c r="B12993" s="2" t="s">
        <v>22817</v>
      </c>
      <c r="C12993" s="1" t="s">
        <v>5060</v>
      </c>
      <c r="D12993" s="1" t="s">
        <v>5061</v>
      </c>
    </row>
    <row r="12994">
      <c r="A12994" s="1" t="s">
        <v>22818</v>
      </c>
      <c r="B12994" s="2" t="s">
        <v>22819</v>
      </c>
      <c r="C12994" s="1" t="s">
        <v>5060</v>
      </c>
      <c r="D12994" s="1" t="s">
        <v>5061</v>
      </c>
    </row>
    <row r="12995">
      <c r="A12995" s="1" t="s">
        <v>22820</v>
      </c>
      <c r="B12995" s="2" t="s">
        <v>22821</v>
      </c>
      <c r="C12995" s="1" t="s">
        <v>5060</v>
      </c>
      <c r="D12995" s="1" t="s">
        <v>5061</v>
      </c>
    </row>
    <row r="12996">
      <c r="A12996" s="1" t="s">
        <v>22822</v>
      </c>
      <c r="B12996" s="2" t="s">
        <v>22823</v>
      </c>
      <c r="C12996" s="1" t="s">
        <v>5060</v>
      </c>
      <c r="D12996" s="1" t="s">
        <v>5061</v>
      </c>
    </row>
    <row r="12997">
      <c r="A12997" s="1" t="s">
        <v>22824</v>
      </c>
      <c r="B12997" s="2" t="s">
        <v>22825</v>
      </c>
      <c r="C12997" s="1" t="s">
        <v>5060</v>
      </c>
      <c r="D12997" s="1" t="s">
        <v>5061</v>
      </c>
    </row>
    <row r="12998">
      <c r="A12998" s="1" t="s">
        <v>22826</v>
      </c>
      <c r="B12998" s="2" t="s">
        <v>22827</v>
      </c>
      <c r="C12998" s="1" t="s">
        <v>5060</v>
      </c>
      <c r="D12998" s="1" t="s">
        <v>5061</v>
      </c>
    </row>
    <row r="12999">
      <c r="A12999" s="1" t="s">
        <v>22828</v>
      </c>
      <c r="B12999" s="2" t="s">
        <v>22829</v>
      </c>
      <c r="C12999" s="1" t="s">
        <v>5060</v>
      </c>
      <c r="D12999" s="1" t="s">
        <v>5061</v>
      </c>
    </row>
    <row r="13000">
      <c r="A13000" s="1" t="s">
        <v>22830</v>
      </c>
      <c r="B13000" s="2" t="s">
        <v>22831</v>
      </c>
      <c r="C13000" s="1" t="s">
        <v>5060</v>
      </c>
      <c r="D13000" s="1" t="s">
        <v>5061</v>
      </c>
    </row>
    <row r="13001">
      <c r="A13001" s="1" t="s">
        <v>22832</v>
      </c>
      <c r="B13001" s="2" t="s">
        <v>22833</v>
      </c>
      <c r="C13001" s="1" t="s">
        <v>5060</v>
      </c>
      <c r="D13001" s="1" t="s">
        <v>5061</v>
      </c>
    </row>
    <row r="13002">
      <c r="A13002" s="1" t="s">
        <v>22834</v>
      </c>
      <c r="B13002" s="2" t="s">
        <v>22835</v>
      </c>
      <c r="C13002" s="1" t="s">
        <v>5060</v>
      </c>
      <c r="D13002" s="1" t="s">
        <v>5061</v>
      </c>
    </row>
    <row r="13003">
      <c r="A13003" s="1" t="s">
        <v>22836</v>
      </c>
      <c r="B13003" s="2" t="s">
        <v>22837</v>
      </c>
      <c r="C13003" s="1" t="s">
        <v>5060</v>
      </c>
      <c r="D13003" s="1" t="s">
        <v>5061</v>
      </c>
    </row>
    <row r="13004">
      <c r="A13004" s="1" t="s">
        <v>22838</v>
      </c>
      <c r="B13004" s="2" t="s">
        <v>22839</v>
      </c>
      <c r="C13004" s="1" t="s">
        <v>5060</v>
      </c>
      <c r="D13004" s="1" t="s">
        <v>5061</v>
      </c>
    </row>
    <row r="13005">
      <c r="A13005" s="1" t="s">
        <v>22840</v>
      </c>
      <c r="B13005" s="2" t="s">
        <v>22841</v>
      </c>
      <c r="C13005" s="1" t="s">
        <v>5060</v>
      </c>
      <c r="D13005" s="1" t="s">
        <v>5061</v>
      </c>
    </row>
    <row r="13006">
      <c r="A13006" s="1" t="s">
        <v>22842</v>
      </c>
      <c r="B13006" s="2" t="s">
        <v>22843</v>
      </c>
      <c r="C13006" s="1" t="s">
        <v>5060</v>
      </c>
      <c r="D13006" s="1" t="s">
        <v>5061</v>
      </c>
    </row>
    <row r="13007">
      <c r="A13007" s="1" t="s">
        <v>22844</v>
      </c>
      <c r="B13007" s="2" t="s">
        <v>22845</v>
      </c>
      <c r="C13007" s="1" t="s">
        <v>5060</v>
      </c>
      <c r="D13007" s="1" t="s">
        <v>5061</v>
      </c>
    </row>
    <row r="13008">
      <c r="A13008" s="1" t="s">
        <v>22846</v>
      </c>
      <c r="B13008" s="2" t="s">
        <v>22847</v>
      </c>
      <c r="C13008" s="1" t="s">
        <v>5060</v>
      </c>
      <c r="D13008" s="1" t="s">
        <v>5061</v>
      </c>
    </row>
    <row r="13009">
      <c r="A13009" s="1" t="s">
        <v>22848</v>
      </c>
      <c r="B13009" s="2" t="s">
        <v>22849</v>
      </c>
      <c r="C13009" s="1" t="s">
        <v>5060</v>
      </c>
      <c r="D13009" s="1" t="s">
        <v>5061</v>
      </c>
    </row>
    <row r="13010">
      <c r="A13010" s="1" t="s">
        <v>22850</v>
      </c>
      <c r="B13010" s="2" t="s">
        <v>70</v>
      </c>
      <c r="C13010" s="1" t="s">
        <v>5060</v>
      </c>
      <c r="D13010" s="1" t="s">
        <v>5061</v>
      </c>
    </row>
    <row r="13011">
      <c r="A13011" s="1" t="s">
        <v>22851</v>
      </c>
      <c r="B13011" s="2" t="s">
        <v>22535</v>
      </c>
      <c r="C13011" s="1" t="s">
        <v>5060</v>
      </c>
      <c r="D13011" s="1" t="s">
        <v>5061</v>
      </c>
    </row>
    <row r="13012">
      <c r="A13012" s="1" t="s">
        <v>22852</v>
      </c>
      <c r="B13012" s="2" t="s">
        <v>22853</v>
      </c>
      <c r="C13012" s="1" t="s">
        <v>5060</v>
      </c>
      <c r="D13012" s="1" t="s">
        <v>5061</v>
      </c>
    </row>
    <row r="13013">
      <c r="A13013" s="1" t="s">
        <v>22854</v>
      </c>
      <c r="B13013" s="2" t="s">
        <v>22855</v>
      </c>
      <c r="C13013" s="1" t="s">
        <v>5060</v>
      </c>
      <c r="D13013" s="1" t="s">
        <v>5061</v>
      </c>
    </row>
    <row r="13014">
      <c r="A13014" s="1" t="s">
        <v>22856</v>
      </c>
      <c r="B13014" s="2" t="s">
        <v>22857</v>
      </c>
      <c r="C13014" s="1" t="s">
        <v>5060</v>
      </c>
      <c r="D13014" s="1" t="s">
        <v>5061</v>
      </c>
    </row>
    <row r="13015">
      <c r="A13015" s="1" t="s">
        <v>22858</v>
      </c>
      <c r="B13015" s="2" t="s">
        <v>22859</v>
      </c>
      <c r="C13015" s="1" t="s">
        <v>5060</v>
      </c>
      <c r="D13015" s="1" t="s">
        <v>5061</v>
      </c>
    </row>
    <row r="13016">
      <c r="A13016" s="1" t="s">
        <v>22860</v>
      </c>
      <c r="B13016" s="2" t="s">
        <v>22861</v>
      </c>
      <c r="C13016" s="1" t="s">
        <v>5060</v>
      </c>
      <c r="D13016" s="1" t="s">
        <v>5061</v>
      </c>
    </row>
    <row r="13017">
      <c r="A13017" s="1" t="s">
        <v>22862</v>
      </c>
      <c r="B13017" s="2" t="s">
        <v>22863</v>
      </c>
      <c r="C13017" s="1" t="s">
        <v>5060</v>
      </c>
      <c r="D13017" s="1" t="s">
        <v>5061</v>
      </c>
    </row>
    <row r="13018">
      <c r="A13018" s="1" t="s">
        <v>22864</v>
      </c>
      <c r="B13018" s="2" t="s">
        <v>22865</v>
      </c>
      <c r="C13018" s="1" t="s">
        <v>5060</v>
      </c>
      <c r="D13018" s="1" t="s">
        <v>5061</v>
      </c>
    </row>
    <row r="13019">
      <c r="A13019" s="1" t="s">
        <v>22866</v>
      </c>
      <c r="B13019" s="2" t="s">
        <v>22867</v>
      </c>
      <c r="C13019" s="1" t="s">
        <v>5060</v>
      </c>
      <c r="D13019" s="1" t="s">
        <v>5061</v>
      </c>
    </row>
    <row r="13020">
      <c r="A13020" s="1" t="s">
        <v>22868</v>
      </c>
      <c r="B13020" s="2" t="s">
        <v>22869</v>
      </c>
      <c r="C13020" s="1" t="s">
        <v>5060</v>
      </c>
      <c r="D13020" s="1" t="s">
        <v>5061</v>
      </c>
    </row>
    <row r="13021">
      <c r="A13021" s="1" t="s">
        <v>22870</v>
      </c>
      <c r="B13021" s="2" t="s">
        <v>22871</v>
      </c>
      <c r="C13021" s="1" t="s">
        <v>5060</v>
      </c>
      <c r="D13021" s="1" t="s">
        <v>5061</v>
      </c>
    </row>
    <row r="13022">
      <c r="A13022" s="1" t="s">
        <v>22872</v>
      </c>
      <c r="B13022" s="2" t="s">
        <v>22873</v>
      </c>
      <c r="C13022" s="1" t="s">
        <v>5060</v>
      </c>
      <c r="D13022" s="1" t="s">
        <v>5061</v>
      </c>
    </row>
    <row r="13023">
      <c r="A13023" s="1" t="s">
        <v>22874</v>
      </c>
      <c r="B13023" s="2" t="s">
        <v>22875</v>
      </c>
      <c r="C13023" s="1" t="s">
        <v>5060</v>
      </c>
      <c r="D13023" s="1" t="s">
        <v>5061</v>
      </c>
    </row>
    <row r="13024">
      <c r="A13024" s="1" t="s">
        <v>22876</v>
      </c>
      <c r="B13024" s="2" t="s">
        <v>22877</v>
      </c>
      <c r="C13024" s="1" t="s">
        <v>5060</v>
      </c>
      <c r="D13024" s="1" t="s">
        <v>5061</v>
      </c>
    </row>
    <row r="13025">
      <c r="A13025" s="1" t="s">
        <v>22878</v>
      </c>
      <c r="B13025" s="2" t="s">
        <v>22879</v>
      </c>
      <c r="C13025" s="1" t="s">
        <v>5060</v>
      </c>
      <c r="D13025" s="1" t="s">
        <v>5061</v>
      </c>
    </row>
    <row r="13026">
      <c r="A13026" s="1" t="s">
        <v>22880</v>
      </c>
      <c r="B13026" s="2" t="s">
        <v>22881</v>
      </c>
      <c r="C13026" s="1" t="s">
        <v>5060</v>
      </c>
      <c r="D13026" s="1" t="s">
        <v>5061</v>
      </c>
    </row>
    <row r="13027">
      <c r="A13027" s="1" t="s">
        <v>22882</v>
      </c>
      <c r="B13027" s="2" t="s">
        <v>22883</v>
      </c>
      <c r="C13027" s="1" t="s">
        <v>5060</v>
      </c>
      <c r="D13027" s="1" t="s">
        <v>5061</v>
      </c>
    </row>
    <row r="13028">
      <c r="A13028" s="1" t="s">
        <v>22884</v>
      </c>
      <c r="B13028" s="2" t="s">
        <v>22885</v>
      </c>
      <c r="C13028" s="1" t="s">
        <v>5060</v>
      </c>
      <c r="D13028" s="1" t="s">
        <v>5061</v>
      </c>
    </row>
    <row r="13029">
      <c r="A13029" s="1" t="s">
        <v>22886</v>
      </c>
      <c r="B13029" s="2" t="s">
        <v>22887</v>
      </c>
      <c r="C13029" s="1" t="s">
        <v>5060</v>
      </c>
      <c r="D13029" s="1" t="s">
        <v>5061</v>
      </c>
    </row>
    <row r="13030">
      <c r="A13030" s="1" t="s">
        <v>22888</v>
      </c>
      <c r="B13030" s="2" t="s">
        <v>22889</v>
      </c>
      <c r="C13030" s="1" t="s">
        <v>5060</v>
      </c>
      <c r="D13030" s="1" t="s">
        <v>5061</v>
      </c>
    </row>
    <row r="13031">
      <c r="A13031" s="1" t="s">
        <v>22890</v>
      </c>
      <c r="B13031" s="2" t="s">
        <v>22891</v>
      </c>
      <c r="C13031" s="1" t="s">
        <v>5060</v>
      </c>
      <c r="D13031" s="1" t="s">
        <v>5061</v>
      </c>
    </row>
    <row r="13032">
      <c r="A13032" s="1" t="s">
        <v>22892</v>
      </c>
      <c r="B13032" s="2" t="s">
        <v>22893</v>
      </c>
      <c r="C13032" s="1" t="s">
        <v>5060</v>
      </c>
      <c r="D13032" s="1" t="s">
        <v>5061</v>
      </c>
    </row>
    <row r="13033">
      <c r="A13033" s="1" t="s">
        <v>22894</v>
      </c>
      <c r="B13033" s="2" t="s">
        <v>22895</v>
      </c>
      <c r="C13033" s="1" t="s">
        <v>5060</v>
      </c>
      <c r="D13033" s="1" t="s">
        <v>5061</v>
      </c>
    </row>
    <row r="13034">
      <c r="A13034" s="1" t="s">
        <v>22896</v>
      </c>
      <c r="B13034" s="2" t="s">
        <v>22581</v>
      </c>
      <c r="C13034" s="1" t="s">
        <v>5060</v>
      </c>
      <c r="D13034" s="1" t="s">
        <v>5061</v>
      </c>
    </row>
    <row r="13035">
      <c r="A13035" s="1" t="s">
        <v>22897</v>
      </c>
      <c r="B13035" s="2" t="s">
        <v>22898</v>
      </c>
      <c r="C13035" s="1" t="s">
        <v>5060</v>
      </c>
      <c r="D13035" s="1" t="s">
        <v>5061</v>
      </c>
    </row>
    <row r="13036">
      <c r="A13036" s="1" t="s">
        <v>22899</v>
      </c>
      <c r="B13036" s="2" t="s">
        <v>22900</v>
      </c>
      <c r="C13036" s="1" t="s">
        <v>5060</v>
      </c>
      <c r="D13036" s="1" t="s">
        <v>5061</v>
      </c>
    </row>
    <row r="13037">
      <c r="A13037" s="1" t="s">
        <v>22901</v>
      </c>
      <c r="B13037" s="2" t="s">
        <v>22902</v>
      </c>
      <c r="C13037" s="1" t="s">
        <v>5060</v>
      </c>
      <c r="D13037" s="1" t="s">
        <v>5061</v>
      </c>
    </row>
    <row r="13038">
      <c r="A13038" s="1" t="s">
        <v>22903</v>
      </c>
      <c r="B13038" s="2" t="s">
        <v>22904</v>
      </c>
      <c r="C13038" s="1" t="s">
        <v>5060</v>
      </c>
      <c r="D13038" s="1" t="s">
        <v>5061</v>
      </c>
    </row>
    <row r="13039">
      <c r="A13039" s="1" t="s">
        <v>22905</v>
      </c>
      <c r="B13039" s="2" t="s">
        <v>22906</v>
      </c>
      <c r="C13039" s="1" t="s">
        <v>5060</v>
      </c>
      <c r="D13039" s="1" t="s">
        <v>5061</v>
      </c>
    </row>
    <row r="13040">
      <c r="A13040" s="1" t="s">
        <v>22907</v>
      </c>
      <c r="B13040" s="2" t="s">
        <v>22908</v>
      </c>
      <c r="C13040" s="1" t="s">
        <v>5060</v>
      </c>
      <c r="D13040" s="1" t="s">
        <v>5061</v>
      </c>
    </row>
    <row r="13041">
      <c r="A13041" s="1" t="s">
        <v>22909</v>
      </c>
      <c r="B13041" s="2" t="s">
        <v>22910</v>
      </c>
      <c r="C13041" s="1" t="s">
        <v>5060</v>
      </c>
      <c r="D13041" s="1" t="s">
        <v>5061</v>
      </c>
    </row>
    <row r="13042">
      <c r="A13042" s="1" t="s">
        <v>22911</v>
      </c>
      <c r="B13042" s="2" t="s">
        <v>22912</v>
      </c>
      <c r="C13042" s="1" t="s">
        <v>5060</v>
      </c>
      <c r="D13042" s="1" t="s">
        <v>5061</v>
      </c>
    </row>
    <row r="13043">
      <c r="A13043" s="1" t="s">
        <v>22913</v>
      </c>
      <c r="B13043" s="2" t="s">
        <v>22914</v>
      </c>
      <c r="C13043" s="1" t="s">
        <v>5060</v>
      </c>
      <c r="D13043" s="1" t="s">
        <v>5061</v>
      </c>
    </row>
    <row r="13044">
      <c r="A13044" s="1" t="s">
        <v>22915</v>
      </c>
      <c r="B13044" s="2" t="s">
        <v>22916</v>
      </c>
      <c r="C13044" s="1" t="s">
        <v>5060</v>
      </c>
      <c r="D13044" s="1" t="s">
        <v>5061</v>
      </c>
    </row>
    <row r="13045">
      <c r="A13045" s="1" t="s">
        <v>22917</v>
      </c>
      <c r="B13045" s="2" t="s">
        <v>22918</v>
      </c>
      <c r="C13045" s="1" t="s">
        <v>5060</v>
      </c>
      <c r="D13045" s="1" t="s">
        <v>5061</v>
      </c>
    </row>
    <row r="13046">
      <c r="A13046" s="1" t="s">
        <v>22919</v>
      </c>
      <c r="B13046" s="2" t="s">
        <v>22920</v>
      </c>
      <c r="C13046" s="1" t="s">
        <v>5060</v>
      </c>
      <c r="D13046" s="1" t="s">
        <v>5061</v>
      </c>
    </row>
    <row r="13047">
      <c r="A13047" s="1" t="s">
        <v>22921</v>
      </c>
      <c r="B13047" s="2" t="s">
        <v>22922</v>
      </c>
      <c r="C13047" s="1" t="s">
        <v>5060</v>
      </c>
      <c r="D13047" s="1" t="s">
        <v>5061</v>
      </c>
    </row>
    <row r="13048">
      <c r="A13048" s="1" t="s">
        <v>22923</v>
      </c>
      <c r="B13048" s="2" t="s">
        <v>22924</v>
      </c>
      <c r="C13048" s="1" t="s">
        <v>5060</v>
      </c>
      <c r="D13048" s="1" t="s">
        <v>5061</v>
      </c>
    </row>
    <row r="13049">
      <c r="A13049" s="1" t="s">
        <v>22925</v>
      </c>
      <c r="B13049" s="2" t="s">
        <v>22926</v>
      </c>
      <c r="C13049" s="1" t="s">
        <v>5060</v>
      </c>
      <c r="D13049" s="1" t="s">
        <v>5061</v>
      </c>
    </row>
    <row r="13050">
      <c r="A13050" s="1" t="s">
        <v>22927</v>
      </c>
      <c r="B13050" s="2" t="s">
        <v>22928</v>
      </c>
      <c r="C13050" s="1" t="s">
        <v>5060</v>
      </c>
      <c r="D13050" s="1" t="s">
        <v>5061</v>
      </c>
    </row>
    <row r="13051">
      <c r="A13051" s="1" t="s">
        <v>22929</v>
      </c>
      <c r="B13051" s="2" t="s">
        <v>22930</v>
      </c>
      <c r="C13051" s="1" t="s">
        <v>5060</v>
      </c>
      <c r="D13051" s="1" t="s">
        <v>5061</v>
      </c>
    </row>
    <row r="13052">
      <c r="A13052" s="1" t="s">
        <v>22931</v>
      </c>
      <c r="B13052" s="2" t="s">
        <v>22932</v>
      </c>
      <c r="C13052" s="1" t="s">
        <v>5060</v>
      </c>
      <c r="D13052" s="1" t="s">
        <v>5061</v>
      </c>
    </row>
    <row r="13053">
      <c r="A13053" s="1" t="s">
        <v>22933</v>
      </c>
      <c r="B13053" s="2" t="s">
        <v>22934</v>
      </c>
      <c r="C13053" s="1" t="s">
        <v>5060</v>
      </c>
      <c r="D13053" s="1" t="s">
        <v>5061</v>
      </c>
    </row>
    <row r="13054">
      <c r="A13054" s="1" t="s">
        <v>22935</v>
      </c>
      <c r="B13054" s="2" t="s">
        <v>22936</v>
      </c>
      <c r="C13054" s="1" t="s">
        <v>5060</v>
      </c>
      <c r="D13054" s="1" t="s">
        <v>5061</v>
      </c>
    </row>
    <row r="13055">
      <c r="A13055" s="1" t="s">
        <v>22937</v>
      </c>
      <c r="B13055" s="2" t="s">
        <v>22938</v>
      </c>
      <c r="C13055" s="1" t="s">
        <v>5060</v>
      </c>
      <c r="D13055" s="1" t="s">
        <v>5061</v>
      </c>
    </row>
    <row r="13056">
      <c r="A13056" s="1" t="s">
        <v>22939</v>
      </c>
      <c r="B13056" s="2" t="s">
        <v>22940</v>
      </c>
      <c r="C13056" s="1" t="s">
        <v>5060</v>
      </c>
      <c r="D13056" s="1" t="s">
        <v>5061</v>
      </c>
    </row>
    <row r="13057">
      <c r="A13057" s="1" t="s">
        <v>5066</v>
      </c>
      <c r="B13057" s="2" t="s">
        <v>7</v>
      </c>
      <c r="C13057" s="1" t="s">
        <v>5069</v>
      </c>
      <c r="D13057" s="1" t="s">
        <v>5070</v>
      </c>
    </row>
    <row r="13058">
      <c r="A13058" s="1" t="s">
        <v>22941</v>
      </c>
      <c r="B13058" s="2" t="s">
        <v>13</v>
      </c>
      <c r="C13058" s="1" t="s">
        <v>5069</v>
      </c>
      <c r="D13058" s="1" t="s">
        <v>5070</v>
      </c>
    </row>
    <row r="13059">
      <c r="A13059" s="1" t="s">
        <v>22942</v>
      </c>
      <c r="B13059" s="2" t="s">
        <v>22442</v>
      </c>
      <c r="C13059" s="1" t="s">
        <v>5069</v>
      </c>
      <c r="D13059" s="1" t="s">
        <v>5070</v>
      </c>
    </row>
    <row r="13060">
      <c r="A13060" s="1" t="s">
        <v>22943</v>
      </c>
      <c r="B13060" s="2" t="s">
        <v>22762</v>
      </c>
      <c r="C13060" s="1" t="s">
        <v>5069</v>
      </c>
      <c r="D13060" s="1" t="s">
        <v>5070</v>
      </c>
    </row>
    <row r="13061">
      <c r="A13061" s="1" t="s">
        <v>22944</v>
      </c>
      <c r="B13061" s="2" t="s">
        <v>22764</v>
      </c>
      <c r="C13061" s="1" t="s">
        <v>5069</v>
      </c>
      <c r="D13061" s="1" t="s">
        <v>5070</v>
      </c>
    </row>
    <row r="13062">
      <c r="A13062" s="1" t="s">
        <v>22945</v>
      </c>
      <c r="B13062" s="2" t="s">
        <v>22766</v>
      </c>
      <c r="C13062" s="1" t="s">
        <v>5069</v>
      </c>
      <c r="D13062" s="1" t="s">
        <v>5070</v>
      </c>
    </row>
    <row r="13063">
      <c r="A13063" s="1" t="s">
        <v>22946</v>
      </c>
      <c r="B13063" s="2" t="s">
        <v>22768</v>
      </c>
      <c r="C13063" s="1" t="s">
        <v>5069</v>
      </c>
      <c r="D13063" s="1" t="s">
        <v>5070</v>
      </c>
    </row>
    <row r="13064">
      <c r="A13064" s="1" t="s">
        <v>22947</v>
      </c>
      <c r="B13064" s="2" t="s">
        <v>22770</v>
      </c>
      <c r="C13064" s="1" t="s">
        <v>5069</v>
      </c>
      <c r="D13064" s="1" t="s">
        <v>5070</v>
      </c>
    </row>
    <row r="13065">
      <c r="A13065" s="1" t="s">
        <v>22948</v>
      </c>
      <c r="B13065" s="2" t="s">
        <v>22772</v>
      </c>
      <c r="C13065" s="1" t="s">
        <v>5069</v>
      </c>
      <c r="D13065" s="1" t="s">
        <v>5070</v>
      </c>
    </row>
    <row r="13066">
      <c r="A13066" s="1" t="s">
        <v>22949</v>
      </c>
      <c r="B13066" s="2" t="s">
        <v>22774</v>
      </c>
      <c r="C13066" s="1" t="s">
        <v>5069</v>
      </c>
      <c r="D13066" s="1" t="s">
        <v>5070</v>
      </c>
    </row>
    <row r="13067">
      <c r="A13067" s="1" t="s">
        <v>22950</v>
      </c>
      <c r="B13067" s="2" t="s">
        <v>22776</v>
      </c>
      <c r="C13067" s="1" t="s">
        <v>5069</v>
      </c>
      <c r="D13067" s="1" t="s">
        <v>5070</v>
      </c>
    </row>
    <row r="13068">
      <c r="A13068" s="1" t="s">
        <v>22951</v>
      </c>
      <c r="B13068" s="2" t="s">
        <v>22778</v>
      </c>
      <c r="C13068" s="1" t="s">
        <v>5069</v>
      </c>
      <c r="D13068" s="1" t="s">
        <v>5070</v>
      </c>
    </row>
    <row r="13069">
      <c r="A13069" s="1" t="s">
        <v>22952</v>
      </c>
      <c r="B13069" s="2" t="s">
        <v>22780</v>
      </c>
      <c r="C13069" s="1" t="s">
        <v>5069</v>
      </c>
      <c r="D13069" s="1" t="s">
        <v>5070</v>
      </c>
    </row>
    <row r="13070">
      <c r="A13070" s="1" t="s">
        <v>22953</v>
      </c>
      <c r="B13070" s="2" t="s">
        <v>22782</v>
      </c>
      <c r="C13070" s="1" t="s">
        <v>5069</v>
      </c>
      <c r="D13070" s="1" t="s">
        <v>5070</v>
      </c>
    </row>
    <row r="13071">
      <c r="A13071" s="1" t="s">
        <v>22954</v>
      </c>
      <c r="B13071" s="2" t="s">
        <v>22784</v>
      </c>
      <c r="C13071" s="1" t="s">
        <v>5069</v>
      </c>
      <c r="D13071" s="1" t="s">
        <v>5070</v>
      </c>
    </row>
    <row r="13072">
      <c r="A13072" s="1" t="s">
        <v>22955</v>
      </c>
      <c r="B13072" s="2" t="s">
        <v>22786</v>
      </c>
      <c r="C13072" s="1" t="s">
        <v>5069</v>
      </c>
      <c r="D13072" s="1" t="s">
        <v>5070</v>
      </c>
    </row>
    <row r="13073">
      <c r="A13073" s="1" t="s">
        <v>22956</v>
      </c>
      <c r="B13073" s="2" t="s">
        <v>22788</v>
      </c>
      <c r="C13073" s="1" t="s">
        <v>5069</v>
      </c>
      <c r="D13073" s="1" t="s">
        <v>5070</v>
      </c>
    </row>
    <row r="13074">
      <c r="A13074" s="1" t="s">
        <v>22957</v>
      </c>
      <c r="B13074" s="2" t="s">
        <v>22790</v>
      </c>
      <c r="C13074" s="1" t="s">
        <v>5069</v>
      </c>
      <c r="D13074" s="1" t="s">
        <v>5070</v>
      </c>
    </row>
    <row r="13075">
      <c r="A13075" s="1" t="s">
        <v>22958</v>
      </c>
      <c r="B13075" s="2" t="s">
        <v>22792</v>
      </c>
      <c r="C13075" s="1" t="s">
        <v>5069</v>
      </c>
      <c r="D13075" s="1" t="s">
        <v>5070</v>
      </c>
    </row>
    <row r="13076">
      <c r="A13076" s="1" t="s">
        <v>22959</v>
      </c>
      <c r="B13076" s="2" t="s">
        <v>22794</v>
      </c>
      <c r="C13076" s="1" t="s">
        <v>5069</v>
      </c>
      <c r="D13076" s="1" t="s">
        <v>5070</v>
      </c>
    </row>
    <row r="13077">
      <c r="A13077" s="1" t="s">
        <v>22960</v>
      </c>
      <c r="B13077" s="2" t="s">
        <v>22796</v>
      </c>
      <c r="C13077" s="1" t="s">
        <v>5069</v>
      </c>
      <c r="D13077" s="1" t="s">
        <v>5070</v>
      </c>
    </row>
    <row r="13078">
      <c r="A13078" s="1" t="s">
        <v>22961</v>
      </c>
      <c r="B13078" s="2" t="s">
        <v>22798</v>
      </c>
      <c r="C13078" s="1" t="s">
        <v>5069</v>
      </c>
      <c r="D13078" s="1" t="s">
        <v>5070</v>
      </c>
    </row>
    <row r="13079">
      <c r="A13079" s="1" t="s">
        <v>22962</v>
      </c>
      <c r="B13079" s="2" t="s">
        <v>22800</v>
      </c>
      <c r="C13079" s="1" t="s">
        <v>5069</v>
      </c>
      <c r="D13079" s="1" t="s">
        <v>5070</v>
      </c>
    </row>
    <row r="13080">
      <c r="A13080" s="1" t="s">
        <v>22963</v>
      </c>
      <c r="B13080" s="2" t="s">
        <v>22802</v>
      </c>
      <c r="C13080" s="1" t="s">
        <v>5069</v>
      </c>
      <c r="D13080" s="1" t="s">
        <v>5070</v>
      </c>
    </row>
    <row r="13081">
      <c r="A13081" s="1" t="s">
        <v>22964</v>
      </c>
      <c r="B13081" s="2" t="s">
        <v>22804</v>
      </c>
      <c r="C13081" s="1" t="s">
        <v>5069</v>
      </c>
      <c r="D13081" s="1" t="s">
        <v>5070</v>
      </c>
    </row>
    <row r="13082">
      <c r="A13082" s="1" t="s">
        <v>22965</v>
      </c>
      <c r="B13082" s="2" t="s">
        <v>22488</v>
      </c>
      <c r="C13082" s="1" t="s">
        <v>5069</v>
      </c>
      <c r="D13082" s="1" t="s">
        <v>5070</v>
      </c>
    </row>
    <row r="13083">
      <c r="A13083" s="1" t="s">
        <v>22966</v>
      </c>
      <c r="B13083" s="2" t="s">
        <v>22807</v>
      </c>
      <c r="C13083" s="1" t="s">
        <v>5069</v>
      </c>
      <c r="D13083" s="1" t="s">
        <v>5070</v>
      </c>
    </row>
    <row r="13084">
      <c r="A13084" s="1" t="s">
        <v>22967</v>
      </c>
      <c r="B13084" s="2" t="s">
        <v>22809</v>
      </c>
      <c r="C13084" s="1" t="s">
        <v>5069</v>
      </c>
      <c r="D13084" s="1" t="s">
        <v>5070</v>
      </c>
    </row>
    <row r="13085">
      <c r="A13085" s="1" t="s">
        <v>22968</v>
      </c>
      <c r="B13085" s="2" t="s">
        <v>22811</v>
      </c>
      <c r="C13085" s="1" t="s">
        <v>5069</v>
      </c>
      <c r="D13085" s="1" t="s">
        <v>5070</v>
      </c>
    </row>
    <row r="13086">
      <c r="A13086" s="1" t="s">
        <v>22969</v>
      </c>
      <c r="B13086" s="2" t="s">
        <v>22813</v>
      </c>
      <c r="C13086" s="1" t="s">
        <v>5069</v>
      </c>
      <c r="D13086" s="1" t="s">
        <v>5070</v>
      </c>
    </row>
    <row r="13087">
      <c r="A13087" s="1" t="s">
        <v>22970</v>
      </c>
      <c r="B13087" s="2" t="s">
        <v>22815</v>
      </c>
      <c r="C13087" s="1" t="s">
        <v>5069</v>
      </c>
      <c r="D13087" s="1" t="s">
        <v>5070</v>
      </c>
    </row>
    <row r="13088">
      <c r="A13088" s="1" t="s">
        <v>22971</v>
      </c>
      <c r="B13088" s="2" t="s">
        <v>22817</v>
      </c>
      <c r="C13088" s="1" t="s">
        <v>5069</v>
      </c>
      <c r="D13088" s="1" t="s">
        <v>5070</v>
      </c>
    </row>
    <row r="13089">
      <c r="A13089" s="1" t="s">
        <v>22972</v>
      </c>
      <c r="B13089" s="2" t="s">
        <v>22819</v>
      </c>
      <c r="C13089" s="1" t="s">
        <v>5069</v>
      </c>
      <c r="D13089" s="1" t="s">
        <v>5070</v>
      </c>
    </row>
    <row r="13090">
      <c r="A13090" s="1" t="s">
        <v>22973</v>
      </c>
      <c r="B13090" s="2" t="s">
        <v>22821</v>
      </c>
      <c r="C13090" s="1" t="s">
        <v>5069</v>
      </c>
      <c r="D13090" s="1" t="s">
        <v>5070</v>
      </c>
    </row>
    <row r="13091">
      <c r="A13091" s="1" t="s">
        <v>22974</v>
      </c>
      <c r="B13091" s="2" t="s">
        <v>22823</v>
      </c>
      <c r="C13091" s="1" t="s">
        <v>5069</v>
      </c>
      <c r="D13091" s="1" t="s">
        <v>5070</v>
      </c>
    </row>
    <row r="13092">
      <c r="A13092" s="1" t="s">
        <v>22975</v>
      </c>
      <c r="B13092" s="2" t="s">
        <v>22825</v>
      </c>
      <c r="C13092" s="1" t="s">
        <v>5069</v>
      </c>
      <c r="D13092" s="1" t="s">
        <v>5070</v>
      </c>
    </row>
    <row r="13093">
      <c r="A13093" s="1" t="s">
        <v>22976</v>
      </c>
      <c r="B13093" s="2" t="s">
        <v>22827</v>
      </c>
      <c r="C13093" s="1" t="s">
        <v>5069</v>
      </c>
      <c r="D13093" s="1" t="s">
        <v>5070</v>
      </c>
    </row>
    <row r="13094">
      <c r="A13094" s="1" t="s">
        <v>22977</v>
      </c>
      <c r="B13094" s="2" t="s">
        <v>22829</v>
      </c>
      <c r="C13094" s="1" t="s">
        <v>5069</v>
      </c>
      <c r="D13094" s="1" t="s">
        <v>5070</v>
      </c>
    </row>
    <row r="13095">
      <c r="A13095" s="1" t="s">
        <v>22978</v>
      </c>
      <c r="B13095" s="2" t="s">
        <v>22831</v>
      </c>
      <c r="C13095" s="1" t="s">
        <v>5069</v>
      </c>
      <c r="D13095" s="1" t="s">
        <v>5070</v>
      </c>
    </row>
    <row r="13096">
      <c r="A13096" s="1" t="s">
        <v>22979</v>
      </c>
      <c r="B13096" s="2" t="s">
        <v>22833</v>
      </c>
      <c r="C13096" s="1" t="s">
        <v>5069</v>
      </c>
      <c r="D13096" s="1" t="s">
        <v>5070</v>
      </c>
    </row>
    <row r="13097">
      <c r="A13097" s="1" t="s">
        <v>22980</v>
      </c>
      <c r="B13097" s="2" t="s">
        <v>22835</v>
      </c>
      <c r="C13097" s="1" t="s">
        <v>5069</v>
      </c>
      <c r="D13097" s="1" t="s">
        <v>5070</v>
      </c>
    </row>
    <row r="13098">
      <c r="A13098" s="1" t="s">
        <v>22981</v>
      </c>
      <c r="B13098" s="2" t="s">
        <v>22837</v>
      </c>
      <c r="C13098" s="1" t="s">
        <v>5069</v>
      </c>
      <c r="D13098" s="1" t="s">
        <v>5070</v>
      </c>
    </row>
    <row r="13099">
      <c r="A13099" s="1" t="s">
        <v>22982</v>
      </c>
      <c r="B13099" s="2" t="s">
        <v>22839</v>
      </c>
      <c r="C13099" s="1" t="s">
        <v>5069</v>
      </c>
      <c r="D13099" s="1" t="s">
        <v>5070</v>
      </c>
    </row>
    <row r="13100">
      <c r="A13100" s="1" t="s">
        <v>22983</v>
      </c>
      <c r="B13100" s="2" t="s">
        <v>22841</v>
      </c>
      <c r="C13100" s="1" t="s">
        <v>5069</v>
      </c>
      <c r="D13100" s="1" t="s">
        <v>5070</v>
      </c>
    </row>
    <row r="13101">
      <c r="A13101" s="1" t="s">
        <v>22984</v>
      </c>
      <c r="B13101" s="2" t="s">
        <v>22843</v>
      </c>
      <c r="C13101" s="1" t="s">
        <v>5069</v>
      </c>
      <c r="D13101" s="1" t="s">
        <v>5070</v>
      </c>
    </row>
    <row r="13102">
      <c r="A13102" s="1" t="s">
        <v>22985</v>
      </c>
      <c r="B13102" s="2" t="s">
        <v>22845</v>
      </c>
      <c r="C13102" s="1" t="s">
        <v>5069</v>
      </c>
      <c r="D13102" s="1" t="s">
        <v>5070</v>
      </c>
    </row>
    <row r="13103">
      <c r="A13103" s="1" t="s">
        <v>22986</v>
      </c>
      <c r="B13103" s="2" t="s">
        <v>22847</v>
      </c>
      <c r="C13103" s="1" t="s">
        <v>5069</v>
      </c>
      <c r="D13103" s="1" t="s">
        <v>5070</v>
      </c>
    </row>
    <row r="13104">
      <c r="A13104" s="1" t="s">
        <v>22987</v>
      </c>
      <c r="B13104" s="2" t="s">
        <v>22849</v>
      </c>
      <c r="C13104" s="1" t="s">
        <v>5069</v>
      </c>
      <c r="D13104" s="1" t="s">
        <v>5070</v>
      </c>
    </row>
    <row r="13105">
      <c r="A13105" s="1" t="s">
        <v>22988</v>
      </c>
      <c r="B13105" s="2" t="s">
        <v>70</v>
      </c>
      <c r="C13105" s="1" t="s">
        <v>5069</v>
      </c>
      <c r="D13105" s="1" t="s">
        <v>5070</v>
      </c>
    </row>
    <row r="13106">
      <c r="A13106" s="1" t="s">
        <v>22989</v>
      </c>
      <c r="B13106" s="2" t="s">
        <v>22535</v>
      </c>
      <c r="C13106" s="1" t="s">
        <v>5069</v>
      </c>
      <c r="D13106" s="1" t="s">
        <v>5070</v>
      </c>
    </row>
    <row r="13107">
      <c r="A13107" s="1" t="s">
        <v>22990</v>
      </c>
      <c r="B13107" s="2" t="s">
        <v>22853</v>
      </c>
      <c r="C13107" s="1" t="s">
        <v>5069</v>
      </c>
      <c r="D13107" s="1" t="s">
        <v>5070</v>
      </c>
    </row>
    <row r="13108">
      <c r="A13108" s="1" t="s">
        <v>22991</v>
      </c>
      <c r="B13108" s="2" t="s">
        <v>22855</v>
      </c>
      <c r="C13108" s="1" t="s">
        <v>5069</v>
      </c>
      <c r="D13108" s="1" t="s">
        <v>5070</v>
      </c>
    </row>
    <row r="13109">
      <c r="A13109" s="1" t="s">
        <v>22992</v>
      </c>
      <c r="B13109" s="2" t="s">
        <v>22857</v>
      </c>
      <c r="C13109" s="1" t="s">
        <v>5069</v>
      </c>
      <c r="D13109" s="1" t="s">
        <v>5070</v>
      </c>
    </row>
    <row r="13110">
      <c r="A13110" s="1" t="s">
        <v>22993</v>
      </c>
      <c r="B13110" s="2" t="s">
        <v>22859</v>
      </c>
      <c r="C13110" s="1" t="s">
        <v>5069</v>
      </c>
      <c r="D13110" s="1" t="s">
        <v>5070</v>
      </c>
    </row>
    <row r="13111">
      <c r="A13111" s="1" t="s">
        <v>22994</v>
      </c>
      <c r="B13111" s="2" t="s">
        <v>22861</v>
      </c>
      <c r="C13111" s="1" t="s">
        <v>5069</v>
      </c>
      <c r="D13111" s="1" t="s">
        <v>5070</v>
      </c>
    </row>
    <row r="13112">
      <c r="A13112" s="1" t="s">
        <v>22995</v>
      </c>
      <c r="B13112" s="2" t="s">
        <v>22863</v>
      </c>
      <c r="C13112" s="1" t="s">
        <v>5069</v>
      </c>
      <c r="D13112" s="1" t="s">
        <v>5070</v>
      </c>
    </row>
    <row r="13113">
      <c r="A13113" s="1" t="s">
        <v>22996</v>
      </c>
      <c r="B13113" s="2" t="s">
        <v>22865</v>
      </c>
      <c r="C13113" s="1" t="s">
        <v>5069</v>
      </c>
      <c r="D13113" s="1" t="s">
        <v>5070</v>
      </c>
    </row>
    <row r="13114">
      <c r="A13114" s="1" t="s">
        <v>22997</v>
      </c>
      <c r="B13114" s="2" t="s">
        <v>22867</v>
      </c>
      <c r="C13114" s="1" t="s">
        <v>5069</v>
      </c>
      <c r="D13114" s="1" t="s">
        <v>5070</v>
      </c>
    </row>
    <row r="13115">
      <c r="A13115" s="1" t="s">
        <v>22998</v>
      </c>
      <c r="B13115" s="2" t="s">
        <v>22869</v>
      </c>
      <c r="C13115" s="1" t="s">
        <v>5069</v>
      </c>
      <c r="D13115" s="1" t="s">
        <v>5070</v>
      </c>
    </row>
    <row r="13116">
      <c r="A13116" s="1" t="s">
        <v>22999</v>
      </c>
      <c r="B13116" s="2" t="s">
        <v>22871</v>
      </c>
      <c r="C13116" s="1" t="s">
        <v>5069</v>
      </c>
      <c r="D13116" s="1" t="s">
        <v>5070</v>
      </c>
    </row>
    <row r="13117">
      <c r="A13117" s="1" t="s">
        <v>23000</v>
      </c>
      <c r="B13117" s="2" t="s">
        <v>22873</v>
      </c>
      <c r="C13117" s="1" t="s">
        <v>5069</v>
      </c>
      <c r="D13117" s="1" t="s">
        <v>5070</v>
      </c>
    </row>
    <row r="13118">
      <c r="A13118" s="1" t="s">
        <v>23001</v>
      </c>
      <c r="B13118" s="2" t="s">
        <v>22875</v>
      </c>
      <c r="C13118" s="1" t="s">
        <v>5069</v>
      </c>
      <c r="D13118" s="1" t="s">
        <v>5070</v>
      </c>
    </row>
    <row r="13119">
      <c r="A13119" s="1" t="s">
        <v>23002</v>
      </c>
      <c r="B13119" s="2" t="s">
        <v>22877</v>
      </c>
      <c r="C13119" s="1" t="s">
        <v>5069</v>
      </c>
      <c r="D13119" s="1" t="s">
        <v>5070</v>
      </c>
    </row>
    <row r="13120">
      <c r="A13120" s="1" t="s">
        <v>23003</v>
      </c>
      <c r="B13120" s="2" t="s">
        <v>22879</v>
      </c>
      <c r="C13120" s="1" t="s">
        <v>5069</v>
      </c>
      <c r="D13120" s="1" t="s">
        <v>5070</v>
      </c>
    </row>
    <row r="13121">
      <c r="A13121" s="1" t="s">
        <v>23004</v>
      </c>
      <c r="B13121" s="2" t="s">
        <v>22881</v>
      </c>
      <c r="C13121" s="1" t="s">
        <v>5069</v>
      </c>
      <c r="D13121" s="1" t="s">
        <v>5070</v>
      </c>
    </row>
    <row r="13122">
      <c r="A13122" s="1" t="s">
        <v>23005</v>
      </c>
      <c r="B13122" s="2" t="s">
        <v>22883</v>
      </c>
      <c r="C13122" s="1" t="s">
        <v>5069</v>
      </c>
      <c r="D13122" s="1" t="s">
        <v>5070</v>
      </c>
    </row>
    <row r="13123">
      <c r="A13123" s="1" t="s">
        <v>23006</v>
      </c>
      <c r="B13123" s="2" t="s">
        <v>22885</v>
      </c>
      <c r="C13123" s="1" t="s">
        <v>5069</v>
      </c>
      <c r="D13123" s="1" t="s">
        <v>5070</v>
      </c>
    </row>
    <row r="13124">
      <c r="A13124" s="1" t="s">
        <v>23007</v>
      </c>
      <c r="B13124" s="2" t="s">
        <v>22887</v>
      </c>
      <c r="C13124" s="1" t="s">
        <v>5069</v>
      </c>
      <c r="D13124" s="1" t="s">
        <v>5070</v>
      </c>
    </row>
    <row r="13125">
      <c r="A13125" s="1" t="s">
        <v>23008</v>
      </c>
      <c r="B13125" s="2" t="s">
        <v>22889</v>
      </c>
      <c r="C13125" s="1" t="s">
        <v>5069</v>
      </c>
      <c r="D13125" s="1" t="s">
        <v>5070</v>
      </c>
    </row>
    <row r="13126">
      <c r="A13126" s="1" t="s">
        <v>23009</v>
      </c>
      <c r="B13126" s="2" t="s">
        <v>22891</v>
      </c>
      <c r="C13126" s="1" t="s">
        <v>5069</v>
      </c>
      <c r="D13126" s="1" t="s">
        <v>5070</v>
      </c>
    </row>
    <row r="13127">
      <c r="A13127" s="1" t="s">
        <v>23010</v>
      </c>
      <c r="B13127" s="2" t="s">
        <v>22893</v>
      </c>
      <c r="C13127" s="1" t="s">
        <v>5069</v>
      </c>
      <c r="D13127" s="1" t="s">
        <v>5070</v>
      </c>
    </row>
    <row r="13128">
      <c r="A13128" s="1" t="s">
        <v>23011</v>
      </c>
      <c r="B13128" s="2" t="s">
        <v>22895</v>
      </c>
      <c r="C13128" s="1" t="s">
        <v>5069</v>
      </c>
      <c r="D13128" s="1" t="s">
        <v>5070</v>
      </c>
    </row>
    <row r="13129">
      <c r="A13129" s="1" t="s">
        <v>23012</v>
      </c>
      <c r="B13129" s="2" t="s">
        <v>22581</v>
      </c>
      <c r="C13129" s="1" t="s">
        <v>5069</v>
      </c>
      <c r="D13129" s="1" t="s">
        <v>5070</v>
      </c>
    </row>
    <row r="13130">
      <c r="A13130" s="1" t="s">
        <v>23013</v>
      </c>
      <c r="B13130" s="2" t="s">
        <v>22898</v>
      </c>
      <c r="C13130" s="1" t="s">
        <v>5069</v>
      </c>
      <c r="D13130" s="1" t="s">
        <v>5070</v>
      </c>
    </row>
    <row r="13131">
      <c r="A13131" s="1" t="s">
        <v>23014</v>
      </c>
      <c r="B13131" s="2" t="s">
        <v>22900</v>
      </c>
      <c r="C13131" s="1" t="s">
        <v>5069</v>
      </c>
      <c r="D13131" s="1" t="s">
        <v>5070</v>
      </c>
    </row>
    <row r="13132">
      <c r="A13132" s="1" t="s">
        <v>23015</v>
      </c>
      <c r="B13132" s="2" t="s">
        <v>22902</v>
      </c>
      <c r="C13132" s="1" t="s">
        <v>5069</v>
      </c>
      <c r="D13132" s="1" t="s">
        <v>5070</v>
      </c>
    </row>
    <row r="13133">
      <c r="A13133" s="1" t="s">
        <v>23016</v>
      </c>
      <c r="B13133" s="2" t="s">
        <v>22904</v>
      </c>
      <c r="C13133" s="1" t="s">
        <v>5069</v>
      </c>
      <c r="D13133" s="1" t="s">
        <v>5070</v>
      </c>
    </row>
    <row r="13134">
      <c r="A13134" s="1" t="s">
        <v>23017</v>
      </c>
      <c r="B13134" s="2" t="s">
        <v>22906</v>
      </c>
      <c r="C13134" s="1" t="s">
        <v>5069</v>
      </c>
      <c r="D13134" s="1" t="s">
        <v>5070</v>
      </c>
    </row>
    <row r="13135">
      <c r="A13135" s="1" t="s">
        <v>23018</v>
      </c>
      <c r="B13135" s="2" t="s">
        <v>22908</v>
      </c>
      <c r="C13135" s="1" t="s">
        <v>5069</v>
      </c>
      <c r="D13135" s="1" t="s">
        <v>5070</v>
      </c>
    </row>
    <row r="13136">
      <c r="A13136" s="1" t="s">
        <v>23019</v>
      </c>
      <c r="B13136" s="2" t="s">
        <v>22910</v>
      </c>
      <c r="C13136" s="1" t="s">
        <v>5069</v>
      </c>
      <c r="D13136" s="1" t="s">
        <v>5070</v>
      </c>
    </row>
    <row r="13137">
      <c r="A13137" s="1" t="s">
        <v>23020</v>
      </c>
      <c r="B13137" s="2" t="s">
        <v>22912</v>
      </c>
      <c r="C13137" s="1" t="s">
        <v>5069</v>
      </c>
      <c r="D13137" s="1" t="s">
        <v>5070</v>
      </c>
    </row>
    <row r="13138">
      <c r="A13138" s="1" t="s">
        <v>23021</v>
      </c>
      <c r="B13138" s="2" t="s">
        <v>22914</v>
      </c>
      <c r="C13138" s="1" t="s">
        <v>5069</v>
      </c>
      <c r="D13138" s="1" t="s">
        <v>5070</v>
      </c>
    </row>
    <row r="13139">
      <c r="A13139" s="1" t="s">
        <v>23022</v>
      </c>
      <c r="B13139" s="2" t="s">
        <v>22916</v>
      </c>
      <c r="C13139" s="1" t="s">
        <v>5069</v>
      </c>
      <c r="D13139" s="1" t="s">
        <v>5070</v>
      </c>
    </row>
    <row r="13140">
      <c r="A13140" s="1" t="s">
        <v>23023</v>
      </c>
      <c r="B13140" s="2" t="s">
        <v>22918</v>
      </c>
      <c r="C13140" s="1" t="s">
        <v>5069</v>
      </c>
      <c r="D13140" s="1" t="s">
        <v>5070</v>
      </c>
    </row>
    <row r="13141">
      <c r="A13141" s="1" t="s">
        <v>23024</v>
      </c>
      <c r="B13141" s="2" t="s">
        <v>22920</v>
      </c>
      <c r="C13141" s="1" t="s">
        <v>5069</v>
      </c>
      <c r="D13141" s="1" t="s">
        <v>5070</v>
      </c>
    </row>
    <row r="13142">
      <c r="A13142" s="1" t="s">
        <v>23025</v>
      </c>
      <c r="B13142" s="2" t="s">
        <v>22922</v>
      </c>
      <c r="C13142" s="1" t="s">
        <v>5069</v>
      </c>
      <c r="D13142" s="1" t="s">
        <v>5070</v>
      </c>
    </row>
    <row r="13143">
      <c r="A13143" s="1" t="s">
        <v>23026</v>
      </c>
      <c r="B13143" s="2" t="s">
        <v>22924</v>
      </c>
      <c r="C13143" s="1" t="s">
        <v>5069</v>
      </c>
      <c r="D13143" s="1" t="s">
        <v>5070</v>
      </c>
    </row>
    <row r="13144">
      <c r="A13144" s="1" t="s">
        <v>23027</v>
      </c>
      <c r="B13144" s="2" t="s">
        <v>22926</v>
      </c>
      <c r="C13144" s="1" t="s">
        <v>5069</v>
      </c>
      <c r="D13144" s="1" t="s">
        <v>5070</v>
      </c>
    </row>
    <row r="13145">
      <c r="A13145" s="1" t="s">
        <v>23028</v>
      </c>
      <c r="B13145" s="2" t="s">
        <v>22928</v>
      </c>
      <c r="C13145" s="1" t="s">
        <v>5069</v>
      </c>
      <c r="D13145" s="1" t="s">
        <v>5070</v>
      </c>
    </row>
    <row r="13146">
      <c r="A13146" s="1" t="s">
        <v>23029</v>
      </c>
      <c r="B13146" s="2" t="s">
        <v>22930</v>
      </c>
      <c r="C13146" s="1" t="s">
        <v>5069</v>
      </c>
      <c r="D13146" s="1" t="s">
        <v>5070</v>
      </c>
    </row>
    <row r="13147">
      <c r="A13147" s="1" t="s">
        <v>23030</v>
      </c>
      <c r="B13147" s="2" t="s">
        <v>22932</v>
      </c>
      <c r="C13147" s="1" t="s">
        <v>5069</v>
      </c>
      <c r="D13147" s="1" t="s">
        <v>5070</v>
      </c>
    </row>
    <row r="13148">
      <c r="A13148" s="1" t="s">
        <v>23031</v>
      </c>
      <c r="B13148" s="2" t="s">
        <v>22934</v>
      </c>
      <c r="C13148" s="1" t="s">
        <v>5069</v>
      </c>
      <c r="D13148" s="1" t="s">
        <v>5070</v>
      </c>
    </row>
    <row r="13149">
      <c r="A13149" s="1" t="s">
        <v>23032</v>
      </c>
      <c r="B13149" s="2" t="s">
        <v>22936</v>
      </c>
      <c r="C13149" s="1" t="s">
        <v>5069</v>
      </c>
      <c r="D13149" s="1" t="s">
        <v>5070</v>
      </c>
    </row>
    <row r="13150">
      <c r="A13150" s="1" t="s">
        <v>23033</v>
      </c>
      <c r="B13150" s="2" t="s">
        <v>22938</v>
      </c>
      <c r="C13150" s="1" t="s">
        <v>5069</v>
      </c>
      <c r="D13150" s="1" t="s">
        <v>5070</v>
      </c>
    </row>
    <row r="13151">
      <c r="A13151" s="1" t="s">
        <v>23034</v>
      </c>
      <c r="B13151" s="2" t="s">
        <v>22940</v>
      </c>
      <c r="C13151" s="1" t="s">
        <v>5069</v>
      </c>
      <c r="D13151" s="1" t="s">
        <v>5070</v>
      </c>
    </row>
    <row r="13152">
      <c r="A13152" s="1" t="s">
        <v>5076</v>
      </c>
      <c r="B13152" s="2" t="s">
        <v>7</v>
      </c>
      <c r="C13152" s="1" t="s">
        <v>5079</v>
      </c>
      <c r="D13152" s="1" t="s">
        <v>5081</v>
      </c>
    </row>
    <row r="13153">
      <c r="A13153" s="1" t="s">
        <v>23035</v>
      </c>
      <c r="B13153" s="2" t="s">
        <v>13</v>
      </c>
      <c r="C13153" s="1" t="s">
        <v>5079</v>
      </c>
      <c r="D13153" s="1" t="s">
        <v>5081</v>
      </c>
    </row>
    <row r="13154">
      <c r="A13154" s="1" t="s">
        <v>23036</v>
      </c>
      <c r="B13154" s="2" t="s">
        <v>22442</v>
      </c>
      <c r="C13154" s="1" t="s">
        <v>5079</v>
      </c>
      <c r="D13154" s="1" t="s">
        <v>5081</v>
      </c>
    </row>
    <row r="13155">
      <c r="A13155" s="1" t="s">
        <v>23037</v>
      </c>
      <c r="B13155" s="2" t="s">
        <v>22762</v>
      </c>
      <c r="C13155" s="1" t="s">
        <v>5079</v>
      </c>
      <c r="D13155" s="1" t="s">
        <v>5081</v>
      </c>
    </row>
    <row r="13156">
      <c r="A13156" s="1" t="s">
        <v>23038</v>
      </c>
      <c r="B13156" s="2" t="s">
        <v>22764</v>
      </c>
      <c r="C13156" s="1" t="s">
        <v>5079</v>
      </c>
      <c r="D13156" s="1" t="s">
        <v>5081</v>
      </c>
    </row>
    <row r="13157">
      <c r="A13157" s="1" t="s">
        <v>23039</v>
      </c>
      <c r="B13157" s="2" t="s">
        <v>22766</v>
      </c>
      <c r="C13157" s="1" t="s">
        <v>5079</v>
      </c>
      <c r="D13157" s="1" t="s">
        <v>5081</v>
      </c>
    </row>
    <row r="13158">
      <c r="A13158" s="1" t="s">
        <v>23040</v>
      </c>
      <c r="B13158" s="2" t="s">
        <v>22768</v>
      </c>
      <c r="C13158" s="1" t="s">
        <v>5079</v>
      </c>
      <c r="D13158" s="1" t="s">
        <v>5081</v>
      </c>
    </row>
    <row r="13159">
      <c r="A13159" s="1" t="s">
        <v>23041</v>
      </c>
      <c r="B13159" s="2" t="s">
        <v>22770</v>
      </c>
      <c r="C13159" s="1" t="s">
        <v>5079</v>
      </c>
      <c r="D13159" s="1" t="s">
        <v>5081</v>
      </c>
    </row>
    <row r="13160">
      <c r="A13160" s="1" t="s">
        <v>23042</v>
      </c>
      <c r="B13160" s="2" t="s">
        <v>22772</v>
      </c>
      <c r="C13160" s="1" t="s">
        <v>5079</v>
      </c>
      <c r="D13160" s="1" t="s">
        <v>5081</v>
      </c>
    </row>
    <row r="13161">
      <c r="A13161" s="1" t="s">
        <v>23043</v>
      </c>
      <c r="B13161" s="2" t="s">
        <v>22774</v>
      </c>
      <c r="C13161" s="1" t="s">
        <v>5079</v>
      </c>
      <c r="D13161" s="1" t="s">
        <v>5081</v>
      </c>
    </row>
    <row r="13162">
      <c r="A13162" s="1" t="s">
        <v>23044</v>
      </c>
      <c r="B13162" s="2" t="s">
        <v>22776</v>
      </c>
      <c r="C13162" s="1" t="s">
        <v>5079</v>
      </c>
      <c r="D13162" s="1" t="s">
        <v>5081</v>
      </c>
    </row>
    <row r="13163">
      <c r="A13163" s="1" t="s">
        <v>23045</v>
      </c>
      <c r="B13163" s="2" t="s">
        <v>22778</v>
      </c>
      <c r="C13163" s="1" t="s">
        <v>5079</v>
      </c>
      <c r="D13163" s="1" t="s">
        <v>5081</v>
      </c>
    </row>
    <row r="13164">
      <c r="A13164" s="1" t="s">
        <v>23046</v>
      </c>
      <c r="B13164" s="2" t="s">
        <v>22780</v>
      </c>
      <c r="C13164" s="1" t="s">
        <v>5079</v>
      </c>
      <c r="D13164" s="1" t="s">
        <v>5081</v>
      </c>
    </row>
    <row r="13165">
      <c r="A13165" s="1" t="s">
        <v>23047</v>
      </c>
      <c r="B13165" s="2" t="s">
        <v>22782</v>
      </c>
      <c r="C13165" s="1" t="s">
        <v>5079</v>
      </c>
      <c r="D13165" s="1" t="s">
        <v>5081</v>
      </c>
    </row>
    <row r="13166">
      <c r="A13166" s="1" t="s">
        <v>23048</v>
      </c>
      <c r="B13166" s="2" t="s">
        <v>22784</v>
      </c>
      <c r="C13166" s="1" t="s">
        <v>5079</v>
      </c>
      <c r="D13166" s="1" t="s">
        <v>5081</v>
      </c>
    </row>
    <row r="13167">
      <c r="A13167" s="1" t="s">
        <v>23049</v>
      </c>
      <c r="B13167" s="2" t="s">
        <v>22786</v>
      </c>
      <c r="C13167" s="1" t="s">
        <v>5079</v>
      </c>
      <c r="D13167" s="1" t="s">
        <v>5081</v>
      </c>
    </row>
    <row r="13168">
      <c r="A13168" s="1" t="s">
        <v>23050</v>
      </c>
      <c r="B13168" s="2" t="s">
        <v>22788</v>
      </c>
      <c r="C13168" s="1" t="s">
        <v>5079</v>
      </c>
      <c r="D13168" s="1" t="s">
        <v>5081</v>
      </c>
    </row>
    <row r="13169">
      <c r="A13169" s="1" t="s">
        <v>23051</v>
      </c>
      <c r="B13169" s="2" t="s">
        <v>22790</v>
      </c>
      <c r="C13169" s="1" t="s">
        <v>5079</v>
      </c>
      <c r="D13169" s="1" t="s">
        <v>5081</v>
      </c>
    </row>
    <row r="13170">
      <c r="A13170" s="1" t="s">
        <v>23052</v>
      </c>
      <c r="B13170" s="2" t="s">
        <v>22792</v>
      </c>
      <c r="C13170" s="1" t="s">
        <v>5079</v>
      </c>
      <c r="D13170" s="1" t="s">
        <v>5081</v>
      </c>
    </row>
    <row r="13171">
      <c r="A13171" s="1" t="s">
        <v>23053</v>
      </c>
      <c r="B13171" s="2" t="s">
        <v>22794</v>
      </c>
      <c r="C13171" s="1" t="s">
        <v>5079</v>
      </c>
      <c r="D13171" s="1" t="s">
        <v>5081</v>
      </c>
    </row>
    <row r="13172">
      <c r="A13172" s="1" t="s">
        <v>23054</v>
      </c>
      <c r="B13172" s="2" t="s">
        <v>22796</v>
      </c>
      <c r="C13172" s="1" t="s">
        <v>5079</v>
      </c>
      <c r="D13172" s="1" t="s">
        <v>5081</v>
      </c>
    </row>
    <row r="13173">
      <c r="A13173" s="1" t="s">
        <v>23055</v>
      </c>
      <c r="B13173" s="2" t="s">
        <v>22798</v>
      </c>
      <c r="C13173" s="1" t="s">
        <v>5079</v>
      </c>
      <c r="D13173" s="1" t="s">
        <v>5081</v>
      </c>
    </row>
    <row r="13174">
      <c r="A13174" s="1" t="s">
        <v>23056</v>
      </c>
      <c r="B13174" s="2" t="s">
        <v>22800</v>
      </c>
      <c r="C13174" s="1" t="s">
        <v>5079</v>
      </c>
      <c r="D13174" s="1" t="s">
        <v>5081</v>
      </c>
    </row>
    <row r="13175">
      <c r="A13175" s="1" t="s">
        <v>23057</v>
      </c>
      <c r="B13175" s="2" t="s">
        <v>22802</v>
      </c>
      <c r="C13175" s="1" t="s">
        <v>5079</v>
      </c>
      <c r="D13175" s="1" t="s">
        <v>5081</v>
      </c>
    </row>
    <row r="13176">
      <c r="A13176" s="1" t="s">
        <v>23058</v>
      </c>
      <c r="B13176" s="2" t="s">
        <v>22804</v>
      </c>
      <c r="C13176" s="1" t="s">
        <v>5079</v>
      </c>
      <c r="D13176" s="1" t="s">
        <v>5081</v>
      </c>
    </row>
    <row r="13177">
      <c r="A13177" s="1" t="s">
        <v>23059</v>
      </c>
      <c r="B13177" s="2" t="s">
        <v>22488</v>
      </c>
      <c r="C13177" s="1" t="s">
        <v>5079</v>
      </c>
      <c r="D13177" s="1" t="s">
        <v>5081</v>
      </c>
    </row>
    <row r="13178">
      <c r="A13178" s="1" t="s">
        <v>23060</v>
      </c>
      <c r="B13178" s="2" t="s">
        <v>22807</v>
      </c>
      <c r="C13178" s="1" t="s">
        <v>5079</v>
      </c>
      <c r="D13178" s="1" t="s">
        <v>5081</v>
      </c>
    </row>
    <row r="13179">
      <c r="A13179" s="1" t="s">
        <v>23061</v>
      </c>
      <c r="B13179" s="2" t="s">
        <v>22809</v>
      </c>
      <c r="C13179" s="1" t="s">
        <v>5079</v>
      </c>
      <c r="D13179" s="1" t="s">
        <v>5081</v>
      </c>
    </row>
    <row r="13180">
      <c r="A13180" s="1" t="s">
        <v>23062</v>
      </c>
      <c r="B13180" s="2" t="s">
        <v>22811</v>
      </c>
      <c r="C13180" s="1" t="s">
        <v>5079</v>
      </c>
      <c r="D13180" s="1" t="s">
        <v>5081</v>
      </c>
    </row>
    <row r="13181">
      <c r="A13181" s="1" t="s">
        <v>23063</v>
      </c>
      <c r="B13181" s="2" t="s">
        <v>22813</v>
      </c>
      <c r="C13181" s="1" t="s">
        <v>5079</v>
      </c>
      <c r="D13181" s="1" t="s">
        <v>5081</v>
      </c>
    </row>
    <row r="13182">
      <c r="A13182" s="1" t="s">
        <v>23064</v>
      </c>
      <c r="B13182" s="2" t="s">
        <v>22815</v>
      </c>
      <c r="C13182" s="1" t="s">
        <v>5079</v>
      </c>
      <c r="D13182" s="1" t="s">
        <v>5081</v>
      </c>
    </row>
    <row r="13183">
      <c r="A13183" s="1" t="s">
        <v>23065</v>
      </c>
      <c r="B13183" s="2" t="s">
        <v>22817</v>
      </c>
      <c r="C13183" s="1" t="s">
        <v>5079</v>
      </c>
      <c r="D13183" s="1" t="s">
        <v>5081</v>
      </c>
    </row>
    <row r="13184">
      <c r="A13184" s="1" t="s">
        <v>23066</v>
      </c>
      <c r="B13184" s="2" t="s">
        <v>22819</v>
      </c>
      <c r="C13184" s="1" t="s">
        <v>5079</v>
      </c>
      <c r="D13184" s="1" t="s">
        <v>5081</v>
      </c>
    </row>
    <row r="13185">
      <c r="A13185" s="1" t="s">
        <v>23067</v>
      </c>
      <c r="B13185" s="2" t="s">
        <v>22821</v>
      </c>
      <c r="C13185" s="1" t="s">
        <v>5079</v>
      </c>
      <c r="D13185" s="1" t="s">
        <v>5081</v>
      </c>
    </row>
    <row r="13186">
      <c r="A13186" s="1" t="s">
        <v>23068</v>
      </c>
      <c r="B13186" s="2" t="s">
        <v>22823</v>
      </c>
      <c r="C13186" s="1" t="s">
        <v>5079</v>
      </c>
      <c r="D13186" s="1" t="s">
        <v>5081</v>
      </c>
    </row>
    <row r="13187">
      <c r="A13187" s="1" t="s">
        <v>23069</v>
      </c>
      <c r="B13187" s="2" t="s">
        <v>22825</v>
      </c>
      <c r="C13187" s="1" t="s">
        <v>5079</v>
      </c>
      <c r="D13187" s="1" t="s">
        <v>5081</v>
      </c>
    </row>
    <row r="13188">
      <c r="A13188" s="1" t="s">
        <v>23070</v>
      </c>
      <c r="B13188" s="2" t="s">
        <v>22827</v>
      </c>
      <c r="C13188" s="1" t="s">
        <v>5079</v>
      </c>
      <c r="D13188" s="1" t="s">
        <v>5081</v>
      </c>
    </row>
    <row r="13189">
      <c r="A13189" s="1" t="s">
        <v>23071</v>
      </c>
      <c r="B13189" s="2" t="s">
        <v>22829</v>
      </c>
      <c r="C13189" s="1" t="s">
        <v>5079</v>
      </c>
      <c r="D13189" s="1" t="s">
        <v>5081</v>
      </c>
    </row>
    <row r="13190">
      <c r="A13190" s="1" t="s">
        <v>23072</v>
      </c>
      <c r="B13190" s="2" t="s">
        <v>22831</v>
      </c>
      <c r="C13190" s="1" t="s">
        <v>5079</v>
      </c>
      <c r="D13190" s="1" t="s">
        <v>5081</v>
      </c>
    </row>
    <row r="13191">
      <c r="A13191" s="1" t="s">
        <v>23073</v>
      </c>
      <c r="B13191" s="2" t="s">
        <v>22833</v>
      </c>
      <c r="C13191" s="1" t="s">
        <v>5079</v>
      </c>
      <c r="D13191" s="1" t="s">
        <v>5081</v>
      </c>
    </row>
    <row r="13192">
      <c r="A13192" s="1" t="s">
        <v>23074</v>
      </c>
      <c r="B13192" s="2" t="s">
        <v>22835</v>
      </c>
      <c r="C13192" s="1" t="s">
        <v>5079</v>
      </c>
      <c r="D13192" s="1" t="s">
        <v>5081</v>
      </c>
    </row>
    <row r="13193">
      <c r="A13193" s="1" t="s">
        <v>23075</v>
      </c>
      <c r="B13193" s="2" t="s">
        <v>22837</v>
      </c>
      <c r="C13193" s="1" t="s">
        <v>5079</v>
      </c>
      <c r="D13193" s="1" t="s">
        <v>5081</v>
      </c>
    </row>
    <row r="13194">
      <c r="A13194" s="1" t="s">
        <v>23076</v>
      </c>
      <c r="B13194" s="2" t="s">
        <v>22839</v>
      </c>
      <c r="C13194" s="1" t="s">
        <v>5079</v>
      </c>
      <c r="D13194" s="1" t="s">
        <v>5081</v>
      </c>
    </row>
    <row r="13195">
      <c r="A13195" s="1" t="s">
        <v>23077</v>
      </c>
      <c r="B13195" s="2" t="s">
        <v>22841</v>
      </c>
      <c r="C13195" s="1" t="s">
        <v>5079</v>
      </c>
      <c r="D13195" s="1" t="s">
        <v>5081</v>
      </c>
    </row>
    <row r="13196">
      <c r="A13196" s="1" t="s">
        <v>23078</v>
      </c>
      <c r="B13196" s="2" t="s">
        <v>22843</v>
      </c>
      <c r="C13196" s="1" t="s">
        <v>5079</v>
      </c>
      <c r="D13196" s="1" t="s">
        <v>5081</v>
      </c>
    </row>
    <row r="13197">
      <c r="A13197" s="1" t="s">
        <v>23079</v>
      </c>
      <c r="B13197" s="2" t="s">
        <v>22845</v>
      </c>
      <c r="C13197" s="1" t="s">
        <v>5079</v>
      </c>
      <c r="D13197" s="1" t="s">
        <v>5081</v>
      </c>
    </row>
    <row r="13198">
      <c r="A13198" s="1" t="s">
        <v>23080</v>
      </c>
      <c r="B13198" s="2" t="s">
        <v>22847</v>
      </c>
      <c r="C13198" s="1" t="s">
        <v>5079</v>
      </c>
      <c r="D13198" s="1" t="s">
        <v>5081</v>
      </c>
    </row>
    <row r="13199">
      <c r="A13199" s="1" t="s">
        <v>23081</v>
      </c>
      <c r="B13199" s="2" t="s">
        <v>22849</v>
      </c>
      <c r="C13199" s="1" t="s">
        <v>5079</v>
      </c>
      <c r="D13199" s="1" t="s">
        <v>5081</v>
      </c>
    </row>
    <row r="13200">
      <c r="A13200" s="1" t="s">
        <v>23082</v>
      </c>
      <c r="B13200" s="2" t="s">
        <v>70</v>
      </c>
      <c r="C13200" s="1" t="s">
        <v>5079</v>
      </c>
      <c r="D13200" s="1" t="s">
        <v>5081</v>
      </c>
    </row>
    <row r="13201">
      <c r="A13201" s="1" t="s">
        <v>23083</v>
      </c>
      <c r="B13201" s="2" t="s">
        <v>22535</v>
      </c>
      <c r="C13201" s="1" t="s">
        <v>5079</v>
      </c>
      <c r="D13201" s="1" t="s">
        <v>5081</v>
      </c>
    </row>
    <row r="13202">
      <c r="A13202" s="1" t="s">
        <v>23084</v>
      </c>
      <c r="B13202" s="2" t="s">
        <v>22853</v>
      </c>
      <c r="C13202" s="1" t="s">
        <v>5079</v>
      </c>
      <c r="D13202" s="1" t="s">
        <v>5081</v>
      </c>
    </row>
    <row r="13203">
      <c r="A13203" s="1" t="s">
        <v>23085</v>
      </c>
      <c r="B13203" s="2" t="s">
        <v>22855</v>
      </c>
      <c r="C13203" s="1" t="s">
        <v>5079</v>
      </c>
      <c r="D13203" s="1" t="s">
        <v>5081</v>
      </c>
    </row>
    <row r="13204">
      <c r="A13204" s="1" t="s">
        <v>23086</v>
      </c>
      <c r="B13204" s="2" t="s">
        <v>22857</v>
      </c>
      <c r="C13204" s="1" t="s">
        <v>5079</v>
      </c>
      <c r="D13204" s="1" t="s">
        <v>5081</v>
      </c>
    </row>
    <row r="13205">
      <c r="A13205" s="1" t="s">
        <v>23087</v>
      </c>
      <c r="B13205" s="2" t="s">
        <v>22859</v>
      </c>
      <c r="C13205" s="1" t="s">
        <v>5079</v>
      </c>
      <c r="D13205" s="1" t="s">
        <v>5081</v>
      </c>
    </row>
    <row r="13206">
      <c r="A13206" s="1" t="s">
        <v>23088</v>
      </c>
      <c r="B13206" s="2" t="s">
        <v>22861</v>
      </c>
      <c r="C13206" s="1" t="s">
        <v>5079</v>
      </c>
      <c r="D13206" s="1" t="s">
        <v>5081</v>
      </c>
    </row>
    <row r="13207">
      <c r="A13207" s="1" t="s">
        <v>23089</v>
      </c>
      <c r="B13207" s="2" t="s">
        <v>22863</v>
      </c>
      <c r="C13207" s="1" t="s">
        <v>5079</v>
      </c>
      <c r="D13207" s="1" t="s">
        <v>5081</v>
      </c>
    </row>
    <row r="13208">
      <c r="A13208" s="1" t="s">
        <v>23090</v>
      </c>
      <c r="B13208" s="2" t="s">
        <v>22865</v>
      </c>
      <c r="C13208" s="1" t="s">
        <v>5079</v>
      </c>
      <c r="D13208" s="1" t="s">
        <v>5081</v>
      </c>
    </row>
    <row r="13209">
      <c r="A13209" s="1" t="s">
        <v>23091</v>
      </c>
      <c r="B13209" s="2" t="s">
        <v>22867</v>
      </c>
      <c r="C13209" s="1" t="s">
        <v>5079</v>
      </c>
      <c r="D13209" s="1" t="s">
        <v>5081</v>
      </c>
    </row>
    <row r="13210">
      <c r="A13210" s="1" t="s">
        <v>23092</v>
      </c>
      <c r="B13210" s="2" t="s">
        <v>22869</v>
      </c>
      <c r="C13210" s="1" t="s">
        <v>5079</v>
      </c>
      <c r="D13210" s="1" t="s">
        <v>5081</v>
      </c>
    </row>
    <row r="13211">
      <c r="A13211" s="1" t="s">
        <v>23093</v>
      </c>
      <c r="B13211" s="2" t="s">
        <v>22871</v>
      </c>
      <c r="C13211" s="1" t="s">
        <v>5079</v>
      </c>
      <c r="D13211" s="1" t="s">
        <v>5081</v>
      </c>
    </row>
    <row r="13212">
      <c r="A13212" s="1" t="s">
        <v>23094</v>
      </c>
      <c r="B13212" s="2" t="s">
        <v>22873</v>
      </c>
      <c r="C13212" s="1" t="s">
        <v>5079</v>
      </c>
      <c r="D13212" s="1" t="s">
        <v>5081</v>
      </c>
    </row>
    <row r="13213">
      <c r="A13213" s="1" t="s">
        <v>23095</v>
      </c>
      <c r="B13213" s="2" t="s">
        <v>22875</v>
      </c>
      <c r="C13213" s="1" t="s">
        <v>5079</v>
      </c>
      <c r="D13213" s="1" t="s">
        <v>5081</v>
      </c>
    </row>
    <row r="13214">
      <c r="A13214" s="1" t="s">
        <v>23096</v>
      </c>
      <c r="B13214" s="2" t="s">
        <v>22877</v>
      </c>
      <c r="C13214" s="1" t="s">
        <v>5079</v>
      </c>
      <c r="D13214" s="1" t="s">
        <v>5081</v>
      </c>
    </row>
    <row r="13215">
      <c r="A13215" s="1" t="s">
        <v>23097</v>
      </c>
      <c r="B13215" s="2" t="s">
        <v>22879</v>
      </c>
      <c r="C13215" s="1" t="s">
        <v>5079</v>
      </c>
      <c r="D13215" s="1" t="s">
        <v>5081</v>
      </c>
    </row>
    <row r="13216">
      <c r="A13216" s="1" t="s">
        <v>23098</v>
      </c>
      <c r="B13216" s="2" t="s">
        <v>22881</v>
      </c>
      <c r="C13216" s="1" t="s">
        <v>5079</v>
      </c>
      <c r="D13216" s="1" t="s">
        <v>5081</v>
      </c>
    </row>
    <row r="13217">
      <c r="A13217" s="1" t="s">
        <v>23099</v>
      </c>
      <c r="B13217" s="2" t="s">
        <v>22883</v>
      </c>
      <c r="C13217" s="1" t="s">
        <v>5079</v>
      </c>
      <c r="D13217" s="1" t="s">
        <v>5081</v>
      </c>
    </row>
    <row r="13218">
      <c r="A13218" s="1" t="s">
        <v>23100</v>
      </c>
      <c r="B13218" s="2" t="s">
        <v>22885</v>
      </c>
      <c r="C13218" s="1" t="s">
        <v>5079</v>
      </c>
      <c r="D13218" s="1" t="s">
        <v>5081</v>
      </c>
    </row>
    <row r="13219">
      <c r="A13219" s="1" t="s">
        <v>23101</v>
      </c>
      <c r="B13219" s="2" t="s">
        <v>22887</v>
      </c>
      <c r="C13219" s="1" t="s">
        <v>5079</v>
      </c>
      <c r="D13219" s="1" t="s">
        <v>5081</v>
      </c>
    </row>
    <row r="13220">
      <c r="A13220" s="1" t="s">
        <v>23102</v>
      </c>
      <c r="B13220" s="2" t="s">
        <v>22889</v>
      </c>
      <c r="C13220" s="1" t="s">
        <v>5079</v>
      </c>
      <c r="D13220" s="1" t="s">
        <v>5081</v>
      </c>
    </row>
    <row r="13221">
      <c r="A13221" s="1" t="s">
        <v>23103</v>
      </c>
      <c r="B13221" s="2" t="s">
        <v>22891</v>
      </c>
      <c r="C13221" s="1" t="s">
        <v>5079</v>
      </c>
      <c r="D13221" s="1" t="s">
        <v>5081</v>
      </c>
    </row>
    <row r="13222">
      <c r="A13222" s="1" t="s">
        <v>23104</v>
      </c>
      <c r="B13222" s="2" t="s">
        <v>22893</v>
      </c>
      <c r="C13222" s="1" t="s">
        <v>5079</v>
      </c>
      <c r="D13222" s="1" t="s">
        <v>5081</v>
      </c>
    </row>
    <row r="13223">
      <c r="A13223" s="1" t="s">
        <v>23105</v>
      </c>
      <c r="B13223" s="2" t="s">
        <v>22895</v>
      </c>
      <c r="C13223" s="1" t="s">
        <v>5079</v>
      </c>
      <c r="D13223" s="1" t="s">
        <v>5081</v>
      </c>
    </row>
    <row r="13224">
      <c r="A13224" s="1" t="s">
        <v>23106</v>
      </c>
      <c r="B13224" s="2" t="s">
        <v>22581</v>
      </c>
      <c r="C13224" s="1" t="s">
        <v>5079</v>
      </c>
      <c r="D13224" s="1" t="s">
        <v>5081</v>
      </c>
    </row>
    <row r="13225">
      <c r="A13225" s="1" t="s">
        <v>23107</v>
      </c>
      <c r="B13225" s="2" t="s">
        <v>22898</v>
      </c>
      <c r="C13225" s="1" t="s">
        <v>5079</v>
      </c>
      <c r="D13225" s="1" t="s">
        <v>5081</v>
      </c>
    </row>
    <row r="13226">
      <c r="A13226" s="1" t="s">
        <v>23108</v>
      </c>
      <c r="B13226" s="2" t="s">
        <v>22900</v>
      </c>
      <c r="C13226" s="1" t="s">
        <v>5079</v>
      </c>
      <c r="D13226" s="1" t="s">
        <v>5081</v>
      </c>
    </row>
    <row r="13227">
      <c r="A13227" s="1" t="s">
        <v>23109</v>
      </c>
      <c r="B13227" s="2" t="s">
        <v>22902</v>
      </c>
      <c r="C13227" s="1" t="s">
        <v>5079</v>
      </c>
      <c r="D13227" s="1" t="s">
        <v>5081</v>
      </c>
    </row>
    <row r="13228">
      <c r="A13228" s="1" t="s">
        <v>23110</v>
      </c>
      <c r="B13228" s="2" t="s">
        <v>22904</v>
      </c>
      <c r="C13228" s="1" t="s">
        <v>5079</v>
      </c>
      <c r="D13228" s="1" t="s">
        <v>5081</v>
      </c>
    </row>
    <row r="13229">
      <c r="A13229" s="1" t="s">
        <v>23111</v>
      </c>
      <c r="B13229" s="2" t="s">
        <v>22906</v>
      </c>
      <c r="C13229" s="1" t="s">
        <v>5079</v>
      </c>
      <c r="D13229" s="1" t="s">
        <v>5081</v>
      </c>
    </row>
    <row r="13230">
      <c r="A13230" s="1" t="s">
        <v>23112</v>
      </c>
      <c r="B13230" s="2" t="s">
        <v>22908</v>
      </c>
      <c r="C13230" s="1" t="s">
        <v>5079</v>
      </c>
      <c r="D13230" s="1" t="s">
        <v>5081</v>
      </c>
    </row>
    <row r="13231">
      <c r="A13231" s="1" t="s">
        <v>23113</v>
      </c>
      <c r="B13231" s="2" t="s">
        <v>22910</v>
      </c>
      <c r="C13231" s="1" t="s">
        <v>5079</v>
      </c>
      <c r="D13231" s="1" t="s">
        <v>5081</v>
      </c>
    </row>
    <row r="13232">
      <c r="A13232" s="1" t="s">
        <v>23114</v>
      </c>
      <c r="B13232" s="2" t="s">
        <v>22912</v>
      </c>
      <c r="C13232" s="1" t="s">
        <v>5079</v>
      </c>
      <c r="D13232" s="1" t="s">
        <v>5081</v>
      </c>
    </row>
    <row r="13233">
      <c r="A13233" s="1" t="s">
        <v>23115</v>
      </c>
      <c r="B13233" s="2" t="s">
        <v>22914</v>
      </c>
      <c r="C13233" s="1" t="s">
        <v>5079</v>
      </c>
      <c r="D13233" s="1" t="s">
        <v>5081</v>
      </c>
    </row>
    <row r="13234">
      <c r="A13234" s="1" t="s">
        <v>23116</v>
      </c>
      <c r="B13234" s="2" t="s">
        <v>22916</v>
      </c>
      <c r="C13234" s="1" t="s">
        <v>5079</v>
      </c>
      <c r="D13234" s="1" t="s">
        <v>5081</v>
      </c>
    </row>
    <row r="13235">
      <c r="A13235" s="1" t="s">
        <v>23117</v>
      </c>
      <c r="B13235" s="2" t="s">
        <v>22918</v>
      </c>
      <c r="C13235" s="1" t="s">
        <v>5079</v>
      </c>
      <c r="D13235" s="1" t="s">
        <v>5081</v>
      </c>
    </row>
    <row r="13236">
      <c r="A13236" s="1" t="s">
        <v>23118</v>
      </c>
      <c r="B13236" s="2" t="s">
        <v>22920</v>
      </c>
      <c r="C13236" s="1" t="s">
        <v>5079</v>
      </c>
      <c r="D13236" s="1" t="s">
        <v>5081</v>
      </c>
    </row>
    <row r="13237">
      <c r="A13237" s="1" t="s">
        <v>23119</v>
      </c>
      <c r="B13237" s="2" t="s">
        <v>22922</v>
      </c>
      <c r="C13237" s="1" t="s">
        <v>5079</v>
      </c>
      <c r="D13237" s="1" t="s">
        <v>5081</v>
      </c>
    </row>
    <row r="13238">
      <c r="A13238" s="1" t="s">
        <v>23120</v>
      </c>
      <c r="B13238" s="2" t="s">
        <v>22924</v>
      </c>
      <c r="C13238" s="1" t="s">
        <v>5079</v>
      </c>
      <c r="D13238" s="1" t="s">
        <v>5081</v>
      </c>
    </row>
    <row r="13239">
      <c r="A13239" s="1" t="s">
        <v>23121</v>
      </c>
      <c r="B13239" s="2" t="s">
        <v>22926</v>
      </c>
      <c r="C13239" s="1" t="s">
        <v>5079</v>
      </c>
      <c r="D13239" s="1" t="s">
        <v>5081</v>
      </c>
    </row>
    <row r="13240">
      <c r="A13240" s="1" t="s">
        <v>23122</v>
      </c>
      <c r="B13240" s="2" t="s">
        <v>22928</v>
      </c>
      <c r="C13240" s="1" t="s">
        <v>5079</v>
      </c>
      <c r="D13240" s="1" t="s">
        <v>5081</v>
      </c>
    </row>
    <row r="13241">
      <c r="A13241" s="1" t="s">
        <v>23123</v>
      </c>
      <c r="B13241" s="2" t="s">
        <v>22930</v>
      </c>
      <c r="C13241" s="1" t="s">
        <v>5079</v>
      </c>
      <c r="D13241" s="1" t="s">
        <v>5081</v>
      </c>
    </row>
    <row r="13242">
      <c r="A13242" s="1" t="s">
        <v>23124</v>
      </c>
      <c r="B13242" s="2" t="s">
        <v>22932</v>
      </c>
      <c r="C13242" s="1" t="s">
        <v>5079</v>
      </c>
      <c r="D13242" s="1" t="s">
        <v>5081</v>
      </c>
    </row>
    <row r="13243">
      <c r="A13243" s="1" t="s">
        <v>23125</v>
      </c>
      <c r="B13243" s="2" t="s">
        <v>22934</v>
      </c>
      <c r="C13243" s="1" t="s">
        <v>5079</v>
      </c>
      <c r="D13243" s="1" t="s">
        <v>5081</v>
      </c>
    </row>
    <row r="13244">
      <c r="A13244" s="1" t="s">
        <v>23126</v>
      </c>
      <c r="B13244" s="2" t="s">
        <v>22936</v>
      </c>
      <c r="C13244" s="1" t="s">
        <v>5079</v>
      </c>
      <c r="D13244" s="1" t="s">
        <v>5081</v>
      </c>
    </row>
    <row r="13245">
      <c r="A13245" s="1" t="s">
        <v>23127</v>
      </c>
      <c r="B13245" s="2" t="s">
        <v>22938</v>
      </c>
      <c r="C13245" s="1" t="s">
        <v>5079</v>
      </c>
      <c r="D13245" s="1" t="s">
        <v>5081</v>
      </c>
    </row>
    <row r="13246">
      <c r="A13246" s="1" t="s">
        <v>23128</v>
      </c>
      <c r="B13246" s="2" t="s">
        <v>22940</v>
      </c>
      <c r="C13246" s="1" t="s">
        <v>5079</v>
      </c>
      <c r="D13246" s="1" t="s">
        <v>5081</v>
      </c>
    </row>
    <row r="13247">
      <c r="A13247" s="1" t="s">
        <v>5086</v>
      </c>
      <c r="B13247" s="2" t="s">
        <v>7</v>
      </c>
      <c r="C13247" s="1" t="s">
        <v>5088</v>
      </c>
      <c r="D13247" s="1" t="s">
        <v>5090</v>
      </c>
    </row>
    <row r="13248">
      <c r="A13248" s="1" t="s">
        <v>23129</v>
      </c>
      <c r="B13248" s="2" t="s">
        <v>13</v>
      </c>
      <c r="C13248" s="1" t="s">
        <v>5088</v>
      </c>
      <c r="D13248" s="1" t="s">
        <v>5090</v>
      </c>
    </row>
    <row r="13249">
      <c r="A13249" s="1" t="s">
        <v>23130</v>
      </c>
      <c r="B13249" s="2" t="s">
        <v>22442</v>
      </c>
      <c r="C13249" s="1" t="s">
        <v>5088</v>
      </c>
      <c r="D13249" s="1" t="s">
        <v>5090</v>
      </c>
    </row>
    <row r="13250">
      <c r="A13250" s="1" t="s">
        <v>23131</v>
      </c>
      <c r="B13250" s="2" t="s">
        <v>22762</v>
      </c>
      <c r="C13250" s="1" t="s">
        <v>5088</v>
      </c>
      <c r="D13250" s="1" t="s">
        <v>5090</v>
      </c>
    </row>
    <row r="13251">
      <c r="A13251" s="1" t="s">
        <v>23132</v>
      </c>
      <c r="B13251" s="2" t="s">
        <v>22764</v>
      </c>
      <c r="C13251" s="1" t="s">
        <v>5088</v>
      </c>
      <c r="D13251" s="1" t="s">
        <v>5090</v>
      </c>
    </row>
    <row r="13252">
      <c r="A13252" s="1" t="s">
        <v>23133</v>
      </c>
      <c r="B13252" s="2" t="s">
        <v>22766</v>
      </c>
      <c r="C13252" s="1" t="s">
        <v>5088</v>
      </c>
      <c r="D13252" s="1" t="s">
        <v>5090</v>
      </c>
    </row>
    <row r="13253">
      <c r="A13253" s="1" t="s">
        <v>23134</v>
      </c>
      <c r="B13253" s="2" t="s">
        <v>22768</v>
      </c>
      <c r="C13253" s="1" t="s">
        <v>5088</v>
      </c>
      <c r="D13253" s="1" t="s">
        <v>5090</v>
      </c>
    </row>
    <row r="13254">
      <c r="A13254" s="1" t="s">
        <v>23135</v>
      </c>
      <c r="B13254" s="2" t="s">
        <v>22770</v>
      </c>
      <c r="C13254" s="1" t="s">
        <v>5088</v>
      </c>
      <c r="D13254" s="1" t="s">
        <v>5090</v>
      </c>
    </row>
    <row r="13255">
      <c r="A13255" s="1" t="s">
        <v>23136</v>
      </c>
      <c r="B13255" s="2" t="s">
        <v>22772</v>
      </c>
      <c r="C13255" s="1" t="s">
        <v>5088</v>
      </c>
      <c r="D13255" s="1" t="s">
        <v>5090</v>
      </c>
    </row>
    <row r="13256">
      <c r="A13256" s="1" t="s">
        <v>23137</v>
      </c>
      <c r="B13256" s="2" t="s">
        <v>22774</v>
      </c>
      <c r="C13256" s="1" t="s">
        <v>5088</v>
      </c>
      <c r="D13256" s="1" t="s">
        <v>5090</v>
      </c>
    </row>
    <row r="13257">
      <c r="A13257" s="1" t="s">
        <v>23138</v>
      </c>
      <c r="B13257" s="2" t="s">
        <v>22776</v>
      </c>
      <c r="C13257" s="1" t="s">
        <v>5088</v>
      </c>
      <c r="D13257" s="1" t="s">
        <v>5090</v>
      </c>
    </row>
    <row r="13258">
      <c r="A13258" s="1" t="s">
        <v>23139</v>
      </c>
      <c r="B13258" s="2" t="s">
        <v>22778</v>
      </c>
      <c r="C13258" s="1" t="s">
        <v>5088</v>
      </c>
      <c r="D13258" s="1" t="s">
        <v>5090</v>
      </c>
    </row>
    <row r="13259">
      <c r="A13259" s="1" t="s">
        <v>23140</v>
      </c>
      <c r="B13259" s="2" t="s">
        <v>22780</v>
      </c>
      <c r="C13259" s="1" t="s">
        <v>5088</v>
      </c>
      <c r="D13259" s="1" t="s">
        <v>5090</v>
      </c>
    </row>
    <row r="13260">
      <c r="A13260" s="1" t="s">
        <v>23141</v>
      </c>
      <c r="B13260" s="2" t="s">
        <v>22782</v>
      </c>
      <c r="C13260" s="1" t="s">
        <v>5088</v>
      </c>
      <c r="D13260" s="1" t="s">
        <v>5090</v>
      </c>
    </row>
    <row r="13261">
      <c r="A13261" s="1" t="s">
        <v>23142</v>
      </c>
      <c r="B13261" s="2" t="s">
        <v>22784</v>
      </c>
      <c r="C13261" s="1" t="s">
        <v>5088</v>
      </c>
      <c r="D13261" s="1" t="s">
        <v>5090</v>
      </c>
    </row>
    <row r="13262">
      <c r="A13262" s="1" t="s">
        <v>23143</v>
      </c>
      <c r="B13262" s="2" t="s">
        <v>22786</v>
      </c>
      <c r="C13262" s="1" t="s">
        <v>5088</v>
      </c>
      <c r="D13262" s="1" t="s">
        <v>5090</v>
      </c>
    </row>
    <row r="13263">
      <c r="A13263" s="1" t="s">
        <v>23144</v>
      </c>
      <c r="B13263" s="2" t="s">
        <v>22788</v>
      </c>
      <c r="C13263" s="1" t="s">
        <v>5088</v>
      </c>
      <c r="D13263" s="1" t="s">
        <v>5090</v>
      </c>
    </row>
    <row r="13264">
      <c r="A13264" s="1" t="s">
        <v>23145</v>
      </c>
      <c r="B13264" s="2" t="s">
        <v>22790</v>
      </c>
      <c r="C13264" s="1" t="s">
        <v>5088</v>
      </c>
      <c r="D13264" s="1" t="s">
        <v>5090</v>
      </c>
    </row>
    <row r="13265">
      <c r="A13265" s="1" t="s">
        <v>23146</v>
      </c>
      <c r="B13265" s="2" t="s">
        <v>22792</v>
      </c>
      <c r="C13265" s="1" t="s">
        <v>5088</v>
      </c>
      <c r="D13265" s="1" t="s">
        <v>5090</v>
      </c>
    </row>
    <row r="13266">
      <c r="A13266" s="1" t="s">
        <v>23147</v>
      </c>
      <c r="B13266" s="2" t="s">
        <v>22794</v>
      </c>
      <c r="C13266" s="1" t="s">
        <v>5088</v>
      </c>
      <c r="D13266" s="1" t="s">
        <v>5090</v>
      </c>
    </row>
    <row r="13267">
      <c r="A13267" s="1" t="s">
        <v>23148</v>
      </c>
      <c r="B13267" s="2" t="s">
        <v>22796</v>
      </c>
      <c r="C13267" s="1" t="s">
        <v>5088</v>
      </c>
      <c r="D13267" s="1" t="s">
        <v>5090</v>
      </c>
    </row>
    <row r="13268">
      <c r="A13268" s="1" t="s">
        <v>23149</v>
      </c>
      <c r="B13268" s="2" t="s">
        <v>22798</v>
      </c>
      <c r="C13268" s="1" t="s">
        <v>5088</v>
      </c>
      <c r="D13268" s="1" t="s">
        <v>5090</v>
      </c>
    </row>
    <row r="13269">
      <c r="A13269" s="1" t="s">
        <v>23150</v>
      </c>
      <c r="B13269" s="2" t="s">
        <v>22800</v>
      </c>
      <c r="C13269" s="1" t="s">
        <v>5088</v>
      </c>
      <c r="D13269" s="1" t="s">
        <v>5090</v>
      </c>
    </row>
    <row r="13270">
      <c r="A13270" s="1" t="s">
        <v>23151</v>
      </c>
      <c r="B13270" s="2" t="s">
        <v>22802</v>
      </c>
      <c r="C13270" s="1" t="s">
        <v>5088</v>
      </c>
      <c r="D13270" s="1" t="s">
        <v>5090</v>
      </c>
    </row>
    <row r="13271">
      <c r="A13271" s="1" t="s">
        <v>23152</v>
      </c>
      <c r="B13271" s="2" t="s">
        <v>22804</v>
      </c>
      <c r="C13271" s="1" t="s">
        <v>5088</v>
      </c>
      <c r="D13271" s="1" t="s">
        <v>5090</v>
      </c>
    </row>
    <row r="13272">
      <c r="A13272" s="1" t="s">
        <v>23153</v>
      </c>
      <c r="B13272" s="2" t="s">
        <v>22488</v>
      </c>
      <c r="C13272" s="1" t="s">
        <v>5088</v>
      </c>
      <c r="D13272" s="1" t="s">
        <v>5090</v>
      </c>
    </row>
    <row r="13273">
      <c r="A13273" s="1" t="s">
        <v>23154</v>
      </c>
      <c r="B13273" s="2" t="s">
        <v>22807</v>
      </c>
      <c r="C13273" s="1" t="s">
        <v>5088</v>
      </c>
      <c r="D13273" s="1" t="s">
        <v>5090</v>
      </c>
    </row>
    <row r="13274">
      <c r="A13274" s="1" t="s">
        <v>23155</v>
      </c>
      <c r="B13274" s="2" t="s">
        <v>22809</v>
      </c>
      <c r="C13274" s="1" t="s">
        <v>5088</v>
      </c>
      <c r="D13274" s="1" t="s">
        <v>5090</v>
      </c>
    </row>
    <row r="13275">
      <c r="A13275" s="1" t="s">
        <v>23156</v>
      </c>
      <c r="B13275" s="2" t="s">
        <v>22811</v>
      </c>
      <c r="C13275" s="1" t="s">
        <v>5088</v>
      </c>
      <c r="D13275" s="1" t="s">
        <v>5090</v>
      </c>
    </row>
    <row r="13276">
      <c r="A13276" s="1" t="s">
        <v>23157</v>
      </c>
      <c r="B13276" s="2" t="s">
        <v>22813</v>
      </c>
      <c r="C13276" s="1" t="s">
        <v>5088</v>
      </c>
      <c r="D13276" s="1" t="s">
        <v>5090</v>
      </c>
    </row>
    <row r="13277">
      <c r="A13277" s="1" t="s">
        <v>23158</v>
      </c>
      <c r="B13277" s="2" t="s">
        <v>22815</v>
      </c>
      <c r="C13277" s="1" t="s">
        <v>5088</v>
      </c>
      <c r="D13277" s="1" t="s">
        <v>5090</v>
      </c>
    </row>
    <row r="13278">
      <c r="A13278" s="1" t="s">
        <v>23159</v>
      </c>
      <c r="B13278" s="2" t="s">
        <v>22817</v>
      </c>
      <c r="C13278" s="1" t="s">
        <v>5088</v>
      </c>
      <c r="D13278" s="1" t="s">
        <v>5090</v>
      </c>
    </row>
    <row r="13279">
      <c r="A13279" s="1" t="s">
        <v>23160</v>
      </c>
      <c r="B13279" s="2" t="s">
        <v>22819</v>
      </c>
      <c r="C13279" s="1" t="s">
        <v>5088</v>
      </c>
      <c r="D13279" s="1" t="s">
        <v>5090</v>
      </c>
    </row>
    <row r="13280">
      <c r="A13280" s="1" t="s">
        <v>23161</v>
      </c>
      <c r="B13280" s="2" t="s">
        <v>22821</v>
      </c>
      <c r="C13280" s="1" t="s">
        <v>5088</v>
      </c>
      <c r="D13280" s="1" t="s">
        <v>5090</v>
      </c>
    </row>
    <row r="13281">
      <c r="A13281" s="1" t="s">
        <v>23162</v>
      </c>
      <c r="B13281" s="2" t="s">
        <v>22823</v>
      </c>
      <c r="C13281" s="1" t="s">
        <v>5088</v>
      </c>
      <c r="D13281" s="1" t="s">
        <v>5090</v>
      </c>
    </row>
    <row r="13282">
      <c r="A13282" s="1" t="s">
        <v>23163</v>
      </c>
      <c r="B13282" s="2" t="s">
        <v>22825</v>
      </c>
      <c r="C13282" s="1" t="s">
        <v>5088</v>
      </c>
      <c r="D13282" s="1" t="s">
        <v>5090</v>
      </c>
    </row>
    <row r="13283">
      <c r="A13283" s="1" t="s">
        <v>23164</v>
      </c>
      <c r="B13283" s="2" t="s">
        <v>22827</v>
      </c>
      <c r="C13283" s="1" t="s">
        <v>5088</v>
      </c>
      <c r="D13283" s="1" t="s">
        <v>5090</v>
      </c>
    </row>
    <row r="13284">
      <c r="A13284" s="1" t="s">
        <v>23165</v>
      </c>
      <c r="B13284" s="2" t="s">
        <v>22829</v>
      </c>
      <c r="C13284" s="1" t="s">
        <v>5088</v>
      </c>
      <c r="D13284" s="1" t="s">
        <v>5090</v>
      </c>
    </row>
    <row r="13285">
      <c r="A13285" s="1" t="s">
        <v>23166</v>
      </c>
      <c r="B13285" s="2" t="s">
        <v>22831</v>
      </c>
      <c r="C13285" s="1" t="s">
        <v>5088</v>
      </c>
      <c r="D13285" s="1" t="s">
        <v>5090</v>
      </c>
    </row>
    <row r="13286">
      <c r="A13286" s="1" t="s">
        <v>23167</v>
      </c>
      <c r="B13286" s="2" t="s">
        <v>22833</v>
      </c>
      <c r="C13286" s="1" t="s">
        <v>5088</v>
      </c>
      <c r="D13286" s="1" t="s">
        <v>5090</v>
      </c>
    </row>
    <row r="13287">
      <c r="A13287" s="1" t="s">
        <v>23168</v>
      </c>
      <c r="B13287" s="2" t="s">
        <v>22835</v>
      </c>
      <c r="C13287" s="1" t="s">
        <v>5088</v>
      </c>
      <c r="D13287" s="1" t="s">
        <v>5090</v>
      </c>
    </row>
    <row r="13288">
      <c r="A13288" s="1" t="s">
        <v>23169</v>
      </c>
      <c r="B13288" s="2" t="s">
        <v>22837</v>
      </c>
      <c r="C13288" s="1" t="s">
        <v>5088</v>
      </c>
      <c r="D13288" s="1" t="s">
        <v>5090</v>
      </c>
    </row>
    <row r="13289">
      <c r="A13289" s="1" t="s">
        <v>23170</v>
      </c>
      <c r="B13289" s="2" t="s">
        <v>22839</v>
      </c>
      <c r="C13289" s="1" t="s">
        <v>5088</v>
      </c>
      <c r="D13289" s="1" t="s">
        <v>5090</v>
      </c>
    </row>
    <row r="13290">
      <c r="A13290" s="1" t="s">
        <v>23171</v>
      </c>
      <c r="B13290" s="2" t="s">
        <v>22841</v>
      </c>
      <c r="C13290" s="1" t="s">
        <v>5088</v>
      </c>
      <c r="D13290" s="1" t="s">
        <v>5090</v>
      </c>
    </row>
    <row r="13291">
      <c r="A13291" s="1" t="s">
        <v>23172</v>
      </c>
      <c r="B13291" s="2" t="s">
        <v>22843</v>
      </c>
      <c r="C13291" s="1" t="s">
        <v>5088</v>
      </c>
      <c r="D13291" s="1" t="s">
        <v>5090</v>
      </c>
    </row>
    <row r="13292">
      <c r="A13292" s="1" t="s">
        <v>23173</v>
      </c>
      <c r="B13292" s="2" t="s">
        <v>22845</v>
      </c>
      <c r="C13292" s="1" t="s">
        <v>5088</v>
      </c>
      <c r="D13292" s="1" t="s">
        <v>5090</v>
      </c>
    </row>
    <row r="13293">
      <c r="A13293" s="1" t="s">
        <v>23174</v>
      </c>
      <c r="B13293" s="2" t="s">
        <v>22847</v>
      </c>
      <c r="C13293" s="1" t="s">
        <v>5088</v>
      </c>
      <c r="D13293" s="1" t="s">
        <v>5090</v>
      </c>
    </row>
    <row r="13294">
      <c r="A13294" s="1" t="s">
        <v>23175</v>
      </c>
      <c r="B13294" s="2" t="s">
        <v>22849</v>
      </c>
      <c r="C13294" s="1" t="s">
        <v>5088</v>
      </c>
      <c r="D13294" s="1" t="s">
        <v>5090</v>
      </c>
    </row>
    <row r="13295">
      <c r="A13295" s="1" t="s">
        <v>23176</v>
      </c>
      <c r="B13295" s="2" t="s">
        <v>70</v>
      </c>
      <c r="C13295" s="1" t="s">
        <v>5088</v>
      </c>
      <c r="D13295" s="1" t="s">
        <v>5090</v>
      </c>
    </row>
    <row r="13296">
      <c r="A13296" s="1" t="s">
        <v>23177</v>
      </c>
      <c r="B13296" s="2" t="s">
        <v>22535</v>
      </c>
      <c r="C13296" s="1" t="s">
        <v>5088</v>
      </c>
      <c r="D13296" s="1" t="s">
        <v>5090</v>
      </c>
    </row>
    <row r="13297">
      <c r="A13297" s="1" t="s">
        <v>23178</v>
      </c>
      <c r="B13297" s="2" t="s">
        <v>22853</v>
      </c>
      <c r="C13297" s="1" t="s">
        <v>5088</v>
      </c>
      <c r="D13297" s="1" t="s">
        <v>5090</v>
      </c>
    </row>
    <row r="13298">
      <c r="A13298" s="1" t="s">
        <v>23179</v>
      </c>
      <c r="B13298" s="2" t="s">
        <v>22855</v>
      </c>
      <c r="C13298" s="1" t="s">
        <v>5088</v>
      </c>
      <c r="D13298" s="1" t="s">
        <v>5090</v>
      </c>
    </row>
    <row r="13299">
      <c r="A13299" s="1" t="s">
        <v>23180</v>
      </c>
      <c r="B13299" s="2" t="s">
        <v>22857</v>
      </c>
      <c r="C13299" s="1" t="s">
        <v>5088</v>
      </c>
      <c r="D13299" s="1" t="s">
        <v>5090</v>
      </c>
    </row>
    <row r="13300">
      <c r="A13300" s="1" t="s">
        <v>23181</v>
      </c>
      <c r="B13300" s="2" t="s">
        <v>22859</v>
      </c>
      <c r="C13300" s="1" t="s">
        <v>5088</v>
      </c>
      <c r="D13300" s="1" t="s">
        <v>5090</v>
      </c>
    </row>
    <row r="13301">
      <c r="A13301" s="1" t="s">
        <v>23182</v>
      </c>
      <c r="B13301" s="2" t="s">
        <v>22861</v>
      </c>
      <c r="C13301" s="1" t="s">
        <v>5088</v>
      </c>
      <c r="D13301" s="1" t="s">
        <v>5090</v>
      </c>
    </row>
    <row r="13302">
      <c r="A13302" s="1" t="s">
        <v>23183</v>
      </c>
      <c r="B13302" s="2" t="s">
        <v>22863</v>
      </c>
      <c r="C13302" s="1" t="s">
        <v>5088</v>
      </c>
      <c r="D13302" s="1" t="s">
        <v>5090</v>
      </c>
    </row>
    <row r="13303">
      <c r="A13303" s="1" t="s">
        <v>23184</v>
      </c>
      <c r="B13303" s="2" t="s">
        <v>22865</v>
      </c>
      <c r="C13303" s="1" t="s">
        <v>5088</v>
      </c>
      <c r="D13303" s="1" t="s">
        <v>5090</v>
      </c>
    </row>
    <row r="13304">
      <c r="A13304" s="1" t="s">
        <v>23185</v>
      </c>
      <c r="B13304" s="2" t="s">
        <v>22867</v>
      </c>
      <c r="C13304" s="1" t="s">
        <v>5088</v>
      </c>
      <c r="D13304" s="1" t="s">
        <v>5090</v>
      </c>
    </row>
    <row r="13305">
      <c r="A13305" s="1" t="s">
        <v>23186</v>
      </c>
      <c r="B13305" s="2" t="s">
        <v>22869</v>
      </c>
      <c r="C13305" s="1" t="s">
        <v>5088</v>
      </c>
      <c r="D13305" s="1" t="s">
        <v>5090</v>
      </c>
    </row>
    <row r="13306">
      <c r="A13306" s="1" t="s">
        <v>23187</v>
      </c>
      <c r="B13306" s="2" t="s">
        <v>22871</v>
      </c>
      <c r="C13306" s="1" t="s">
        <v>5088</v>
      </c>
      <c r="D13306" s="1" t="s">
        <v>5090</v>
      </c>
    </row>
    <row r="13307">
      <c r="A13307" s="1" t="s">
        <v>23188</v>
      </c>
      <c r="B13307" s="2" t="s">
        <v>22873</v>
      </c>
      <c r="C13307" s="1" t="s">
        <v>5088</v>
      </c>
      <c r="D13307" s="1" t="s">
        <v>5090</v>
      </c>
    </row>
    <row r="13308">
      <c r="A13308" s="1" t="s">
        <v>23189</v>
      </c>
      <c r="B13308" s="2" t="s">
        <v>22875</v>
      </c>
      <c r="C13308" s="1" t="s">
        <v>5088</v>
      </c>
      <c r="D13308" s="1" t="s">
        <v>5090</v>
      </c>
    </row>
    <row r="13309">
      <c r="A13309" s="1" t="s">
        <v>23190</v>
      </c>
      <c r="B13309" s="2" t="s">
        <v>22877</v>
      </c>
      <c r="C13309" s="1" t="s">
        <v>5088</v>
      </c>
      <c r="D13309" s="1" t="s">
        <v>5090</v>
      </c>
    </row>
    <row r="13310">
      <c r="A13310" s="1" t="s">
        <v>23191</v>
      </c>
      <c r="B13310" s="2" t="s">
        <v>22879</v>
      </c>
      <c r="C13310" s="1" t="s">
        <v>5088</v>
      </c>
      <c r="D13310" s="1" t="s">
        <v>5090</v>
      </c>
    </row>
    <row r="13311">
      <c r="A13311" s="1" t="s">
        <v>23192</v>
      </c>
      <c r="B13311" s="2" t="s">
        <v>22881</v>
      </c>
      <c r="C13311" s="1" t="s">
        <v>5088</v>
      </c>
      <c r="D13311" s="1" t="s">
        <v>5090</v>
      </c>
    </row>
    <row r="13312">
      <c r="A13312" s="1" t="s">
        <v>23193</v>
      </c>
      <c r="B13312" s="2" t="s">
        <v>22883</v>
      </c>
      <c r="C13312" s="1" t="s">
        <v>5088</v>
      </c>
      <c r="D13312" s="1" t="s">
        <v>5090</v>
      </c>
    </row>
    <row r="13313">
      <c r="A13313" s="1" t="s">
        <v>23194</v>
      </c>
      <c r="B13313" s="2" t="s">
        <v>22885</v>
      </c>
      <c r="C13313" s="1" t="s">
        <v>5088</v>
      </c>
      <c r="D13313" s="1" t="s">
        <v>5090</v>
      </c>
    </row>
    <row r="13314">
      <c r="A13314" s="1" t="s">
        <v>23195</v>
      </c>
      <c r="B13314" s="2" t="s">
        <v>22887</v>
      </c>
      <c r="C13314" s="1" t="s">
        <v>5088</v>
      </c>
      <c r="D13314" s="1" t="s">
        <v>5090</v>
      </c>
    </row>
    <row r="13315">
      <c r="A13315" s="1" t="s">
        <v>23196</v>
      </c>
      <c r="B13315" s="2" t="s">
        <v>22889</v>
      </c>
      <c r="C13315" s="1" t="s">
        <v>5088</v>
      </c>
      <c r="D13315" s="1" t="s">
        <v>5090</v>
      </c>
    </row>
    <row r="13316">
      <c r="A13316" s="1" t="s">
        <v>23197</v>
      </c>
      <c r="B13316" s="2" t="s">
        <v>22891</v>
      </c>
      <c r="C13316" s="1" t="s">
        <v>5088</v>
      </c>
      <c r="D13316" s="1" t="s">
        <v>5090</v>
      </c>
    </row>
    <row r="13317">
      <c r="A13317" s="1" t="s">
        <v>23198</v>
      </c>
      <c r="B13317" s="2" t="s">
        <v>22893</v>
      </c>
      <c r="C13317" s="1" t="s">
        <v>5088</v>
      </c>
      <c r="D13317" s="1" t="s">
        <v>5090</v>
      </c>
    </row>
    <row r="13318">
      <c r="A13318" s="1" t="s">
        <v>23199</v>
      </c>
      <c r="B13318" s="2" t="s">
        <v>22895</v>
      </c>
      <c r="C13318" s="1" t="s">
        <v>5088</v>
      </c>
      <c r="D13318" s="1" t="s">
        <v>5090</v>
      </c>
    </row>
    <row r="13319">
      <c r="A13319" s="1" t="s">
        <v>23200</v>
      </c>
      <c r="B13319" s="2" t="s">
        <v>22581</v>
      </c>
      <c r="C13319" s="1" t="s">
        <v>5088</v>
      </c>
      <c r="D13319" s="1" t="s">
        <v>5090</v>
      </c>
    </row>
    <row r="13320">
      <c r="A13320" s="1" t="s">
        <v>23201</v>
      </c>
      <c r="B13320" s="2" t="s">
        <v>22898</v>
      </c>
      <c r="C13320" s="1" t="s">
        <v>5088</v>
      </c>
      <c r="D13320" s="1" t="s">
        <v>5090</v>
      </c>
    </row>
    <row r="13321">
      <c r="A13321" s="1" t="s">
        <v>23202</v>
      </c>
      <c r="B13321" s="2" t="s">
        <v>22900</v>
      </c>
      <c r="C13321" s="1" t="s">
        <v>5088</v>
      </c>
      <c r="D13321" s="1" t="s">
        <v>5090</v>
      </c>
    </row>
    <row r="13322">
      <c r="A13322" s="1" t="s">
        <v>23203</v>
      </c>
      <c r="B13322" s="2" t="s">
        <v>22902</v>
      </c>
      <c r="C13322" s="1" t="s">
        <v>5088</v>
      </c>
      <c r="D13322" s="1" t="s">
        <v>5090</v>
      </c>
    </row>
    <row r="13323">
      <c r="A13323" s="1" t="s">
        <v>23204</v>
      </c>
      <c r="B13323" s="2" t="s">
        <v>22904</v>
      </c>
      <c r="C13323" s="1" t="s">
        <v>5088</v>
      </c>
      <c r="D13323" s="1" t="s">
        <v>5090</v>
      </c>
    </row>
    <row r="13324">
      <c r="A13324" s="1" t="s">
        <v>23205</v>
      </c>
      <c r="B13324" s="2" t="s">
        <v>22906</v>
      </c>
      <c r="C13324" s="1" t="s">
        <v>5088</v>
      </c>
      <c r="D13324" s="1" t="s">
        <v>5090</v>
      </c>
    </row>
    <row r="13325">
      <c r="A13325" s="1" t="s">
        <v>23206</v>
      </c>
      <c r="B13325" s="2" t="s">
        <v>22908</v>
      </c>
      <c r="C13325" s="1" t="s">
        <v>5088</v>
      </c>
      <c r="D13325" s="1" t="s">
        <v>5090</v>
      </c>
    </row>
    <row r="13326">
      <c r="A13326" s="1" t="s">
        <v>23207</v>
      </c>
      <c r="B13326" s="2" t="s">
        <v>22910</v>
      </c>
      <c r="C13326" s="1" t="s">
        <v>5088</v>
      </c>
      <c r="D13326" s="1" t="s">
        <v>5090</v>
      </c>
    </row>
    <row r="13327">
      <c r="A13327" s="1" t="s">
        <v>23208</v>
      </c>
      <c r="B13327" s="2" t="s">
        <v>22912</v>
      </c>
      <c r="C13327" s="1" t="s">
        <v>5088</v>
      </c>
      <c r="D13327" s="1" t="s">
        <v>5090</v>
      </c>
    </row>
    <row r="13328">
      <c r="A13328" s="1" t="s">
        <v>23209</v>
      </c>
      <c r="B13328" s="2" t="s">
        <v>22914</v>
      </c>
      <c r="C13328" s="1" t="s">
        <v>5088</v>
      </c>
      <c r="D13328" s="1" t="s">
        <v>5090</v>
      </c>
    </row>
    <row r="13329">
      <c r="A13329" s="1" t="s">
        <v>23210</v>
      </c>
      <c r="B13329" s="2" t="s">
        <v>22916</v>
      </c>
      <c r="C13329" s="1" t="s">
        <v>5088</v>
      </c>
      <c r="D13329" s="1" t="s">
        <v>5090</v>
      </c>
    </row>
    <row r="13330">
      <c r="A13330" s="1" t="s">
        <v>23211</v>
      </c>
      <c r="B13330" s="2" t="s">
        <v>22918</v>
      </c>
      <c r="C13330" s="1" t="s">
        <v>5088</v>
      </c>
      <c r="D13330" s="1" t="s">
        <v>5090</v>
      </c>
    </row>
    <row r="13331">
      <c r="A13331" s="1" t="s">
        <v>23212</v>
      </c>
      <c r="B13331" s="2" t="s">
        <v>22920</v>
      </c>
      <c r="C13331" s="1" t="s">
        <v>5088</v>
      </c>
      <c r="D13331" s="1" t="s">
        <v>5090</v>
      </c>
    </row>
    <row r="13332">
      <c r="A13332" s="1" t="s">
        <v>23213</v>
      </c>
      <c r="B13332" s="2" t="s">
        <v>22922</v>
      </c>
      <c r="C13332" s="1" t="s">
        <v>5088</v>
      </c>
      <c r="D13332" s="1" t="s">
        <v>5090</v>
      </c>
    </row>
    <row r="13333">
      <c r="A13333" s="1" t="s">
        <v>23214</v>
      </c>
      <c r="B13333" s="2" t="s">
        <v>22924</v>
      </c>
      <c r="C13333" s="1" t="s">
        <v>5088</v>
      </c>
      <c r="D13333" s="1" t="s">
        <v>5090</v>
      </c>
    </row>
    <row r="13334">
      <c r="A13334" s="1" t="s">
        <v>23215</v>
      </c>
      <c r="B13334" s="2" t="s">
        <v>22926</v>
      </c>
      <c r="C13334" s="1" t="s">
        <v>5088</v>
      </c>
      <c r="D13334" s="1" t="s">
        <v>5090</v>
      </c>
    </row>
    <row r="13335">
      <c r="A13335" s="1" t="s">
        <v>23216</v>
      </c>
      <c r="B13335" s="2" t="s">
        <v>22928</v>
      </c>
      <c r="C13335" s="1" t="s">
        <v>5088</v>
      </c>
      <c r="D13335" s="1" t="s">
        <v>5090</v>
      </c>
    </row>
    <row r="13336">
      <c r="A13336" s="1" t="s">
        <v>23217</v>
      </c>
      <c r="B13336" s="2" t="s">
        <v>22930</v>
      </c>
      <c r="C13336" s="1" t="s">
        <v>5088</v>
      </c>
      <c r="D13336" s="1" t="s">
        <v>5090</v>
      </c>
    </row>
    <row r="13337">
      <c r="A13337" s="1" t="s">
        <v>23218</v>
      </c>
      <c r="B13337" s="2" t="s">
        <v>22932</v>
      </c>
      <c r="C13337" s="1" t="s">
        <v>5088</v>
      </c>
      <c r="D13337" s="1" t="s">
        <v>5090</v>
      </c>
    </row>
    <row r="13338">
      <c r="A13338" s="1" t="s">
        <v>23219</v>
      </c>
      <c r="B13338" s="2" t="s">
        <v>22934</v>
      </c>
      <c r="C13338" s="1" t="s">
        <v>5088</v>
      </c>
      <c r="D13338" s="1" t="s">
        <v>5090</v>
      </c>
    </row>
    <row r="13339">
      <c r="A13339" s="1" t="s">
        <v>23220</v>
      </c>
      <c r="B13339" s="2" t="s">
        <v>22936</v>
      </c>
      <c r="C13339" s="1" t="s">
        <v>5088</v>
      </c>
      <c r="D13339" s="1" t="s">
        <v>5090</v>
      </c>
    </row>
    <row r="13340">
      <c r="A13340" s="1" t="s">
        <v>23221</v>
      </c>
      <c r="B13340" s="2" t="s">
        <v>22938</v>
      </c>
      <c r="C13340" s="1" t="s">
        <v>5088</v>
      </c>
      <c r="D13340" s="1" t="s">
        <v>5090</v>
      </c>
    </row>
    <row r="13341">
      <c r="A13341" s="1" t="s">
        <v>23222</v>
      </c>
      <c r="B13341" s="2" t="s">
        <v>22940</v>
      </c>
      <c r="C13341" s="1" t="s">
        <v>5088</v>
      </c>
      <c r="D13341" s="1" t="s">
        <v>5090</v>
      </c>
    </row>
    <row r="13342">
      <c r="A13342" s="1" t="s">
        <v>5095</v>
      </c>
      <c r="B13342" s="2" t="s">
        <v>7</v>
      </c>
      <c r="C13342" s="1" t="s">
        <v>5097</v>
      </c>
      <c r="D13342" s="1" t="s">
        <v>5099</v>
      </c>
    </row>
    <row r="13343">
      <c r="A13343" s="1" t="s">
        <v>23223</v>
      </c>
      <c r="B13343" s="2" t="s">
        <v>13</v>
      </c>
      <c r="C13343" s="1" t="s">
        <v>5097</v>
      </c>
      <c r="D13343" s="1" t="s">
        <v>5099</v>
      </c>
    </row>
    <row r="13344">
      <c r="A13344" s="1" t="s">
        <v>23224</v>
      </c>
      <c r="B13344" s="2" t="s">
        <v>22442</v>
      </c>
      <c r="C13344" s="1" t="s">
        <v>5097</v>
      </c>
      <c r="D13344" s="1" t="s">
        <v>5099</v>
      </c>
    </row>
    <row r="13345">
      <c r="A13345" s="1" t="s">
        <v>23225</v>
      </c>
      <c r="B13345" s="2" t="s">
        <v>22762</v>
      </c>
      <c r="C13345" s="1" t="s">
        <v>5097</v>
      </c>
      <c r="D13345" s="1" t="s">
        <v>5099</v>
      </c>
    </row>
    <row r="13346">
      <c r="A13346" s="1" t="s">
        <v>23226</v>
      </c>
      <c r="B13346" s="2" t="s">
        <v>22764</v>
      </c>
      <c r="C13346" s="1" t="s">
        <v>5097</v>
      </c>
      <c r="D13346" s="1" t="s">
        <v>5099</v>
      </c>
    </row>
    <row r="13347">
      <c r="A13347" s="1" t="s">
        <v>23227</v>
      </c>
      <c r="B13347" s="2" t="s">
        <v>22766</v>
      </c>
      <c r="C13347" s="1" t="s">
        <v>5097</v>
      </c>
      <c r="D13347" s="1" t="s">
        <v>5099</v>
      </c>
    </row>
    <row r="13348">
      <c r="A13348" s="1" t="s">
        <v>23228</v>
      </c>
      <c r="B13348" s="2" t="s">
        <v>22768</v>
      </c>
      <c r="C13348" s="1" t="s">
        <v>5097</v>
      </c>
      <c r="D13348" s="1" t="s">
        <v>5099</v>
      </c>
    </row>
    <row r="13349">
      <c r="A13349" s="1" t="s">
        <v>23229</v>
      </c>
      <c r="B13349" s="2" t="s">
        <v>22770</v>
      </c>
      <c r="C13349" s="1" t="s">
        <v>5097</v>
      </c>
      <c r="D13349" s="1" t="s">
        <v>5099</v>
      </c>
    </row>
    <row r="13350">
      <c r="A13350" s="1" t="s">
        <v>23230</v>
      </c>
      <c r="B13350" s="2" t="s">
        <v>22772</v>
      </c>
      <c r="C13350" s="1" t="s">
        <v>5097</v>
      </c>
      <c r="D13350" s="1" t="s">
        <v>5099</v>
      </c>
    </row>
    <row r="13351">
      <c r="A13351" s="1" t="s">
        <v>23231</v>
      </c>
      <c r="B13351" s="2" t="s">
        <v>22774</v>
      </c>
      <c r="C13351" s="1" t="s">
        <v>5097</v>
      </c>
      <c r="D13351" s="1" t="s">
        <v>5099</v>
      </c>
    </row>
    <row r="13352">
      <c r="A13352" s="1" t="s">
        <v>23232</v>
      </c>
      <c r="B13352" s="2" t="s">
        <v>22776</v>
      </c>
      <c r="C13352" s="1" t="s">
        <v>5097</v>
      </c>
      <c r="D13352" s="1" t="s">
        <v>5099</v>
      </c>
    </row>
    <row r="13353">
      <c r="A13353" s="1" t="s">
        <v>23233</v>
      </c>
      <c r="B13353" s="2" t="s">
        <v>22778</v>
      </c>
      <c r="C13353" s="1" t="s">
        <v>5097</v>
      </c>
      <c r="D13353" s="1" t="s">
        <v>5099</v>
      </c>
    </row>
    <row r="13354">
      <c r="A13354" s="1" t="s">
        <v>23234</v>
      </c>
      <c r="B13354" s="2" t="s">
        <v>22780</v>
      </c>
      <c r="C13354" s="1" t="s">
        <v>5097</v>
      </c>
      <c r="D13354" s="1" t="s">
        <v>5099</v>
      </c>
    </row>
    <row r="13355">
      <c r="A13355" s="1" t="s">
        <v>23235</v>
      </c>
      <c r="B13355" s="2" t="s">
        <v>22782</v>
      </c>
      <c r="C13355" s="1" t="s">
        <v>5097</v>
      </c>
      <c r="D13355" s="1" t="s">
        <v>5099</v>
      </c>
    </row>
    <row r="13356">
      <c r="A13356" s="1" t="s">
        <v>23236</v>
      </c>
      <c r="B13356" s="2" t="s">
        <v>22784</v>
      </c>
      <c r="C13356" s="1" t="s">
        <v>5097</v>
      </c>
      <c r="D13356" s="1" t="s">
        <v>5099</v>
      </c>
    </row>
    <row r="13357">
      <c r="A13357" s="1" t="s">
        <v>23237</v>
      </c>
      <c r="B13357" s="2" t="s">
        <v>22786</v>
      </c>
      <c r="C13357" s="1" t="s">
        <v>5097</v>
      </c>
      <c r="D13357" s="1" t="s">
        <v>5099</v>
      </c>
    </row>
    <row r="13358">
      <c r="A13358" s="1" t="s">
        <v>23238</v>
      </c>
      <c r="B13358" s="2" t="s">
        <v>22788</v>
      </c>
      <c r="C13358" s="1" t="s">
        <v>5097</v>
      </c>
      <c r="D13358" s="1" t="s">
        <v>5099</v>
      </c>
    </row>
    <row r="13359">
      <c r="A13359" s="1" t="s">
        <v>23239</v>
      </c>
      <c r="B13359" s="2" t="s">
        <v>22790</v>
      </c>
      <c r="C13359" s="1" t="s">
        <v>5097</v>
      </c>
      <c r="D13359" s="1" t="s">
        <v>5099</v>
      </c>
    </row>
    <row r="13360">
      <c r="A13360" s="1" t="s">
        <v>23240</v>
      </c>
      <c r="B13360" s="2" t="s">
        <v>22792</v>
      </c>
      <c r="C13360" s="1" t="s">
        <v>5097</v>
      </c>
      <c r="D13360" s="1" t="s">
        <v>5099</v>
      </c>
    </row>
    <row r="13361">
      <c r="A13361" s="1" t="s">
        <v>23241</v>
      </c>
      <c r="B13361" s="2" t="s">
        <v>22794</v>
      </c>
      <c r="C13361" s="1" t="s">
        <v>5097</v>
      </c>
      <c r="D13361" s="1" t="s">
        <v>5099</v>
      </c>
    </row>
    <row r="13362">
      <c r="A13362" s="1" t="s">
        <v>23242</v>
      </c>
      <c r="B13362" s="2" t="s">
        <v>22796</v>
      </c>
      <c r="C13362" s="1" t="s">
        <v>5097</v>
      </c>
      <c r="D13362" s="1" t="s">
        <v>5099</v>
      </c>
    </row>
    <row r="13363">
      <c r="A13363" s="1" t="s">
        <v>23243</v>
      </c>
      <c r="B13363" s="2" t="s">
        <v>22798</v>
      </c>
      <c r="C13363" s="1" t="s">
        <v>5097</v>
      </c>
      <c r="D13363" s="1" t="s">
        <v>5099</v>
      </c>
    </row>
    <row r="13364">
      <c r="A13364" s="1" t="s">
        <v>23244</v>
      </c>
      <c r="B13364" s="2" t="s">
        <v>22800</v>
      </c>
      <c r="C13364" s="1" t="s">
        <v>5097</v>
      </c>
      <c r="D13364" s="1" t="s">
        <v>5099</v>
      </c>
    </row>
    <row r="13365">
      <c r="A13365" s="1" t="s">
        <v>23245</v>
      </c>
      <c r="B13365" s="2" t="s">
        <v>22802</v>
      </c>
      <c r="C13365" s="1" t="s">
        <v>5097</v>
      </c>
      <c r="D13365" s="1" t="s">
        <v>5099</v>
      </c>
    </row>
    <row r="13366">
      <c r="A13366" s="1" t="s">
        <v>23246</v>
      </c>
      <c r="B13366" s="2" t="s">
        <v>22804</v>
      </c>
      <c r="C13366" s="1" t="s">
        <v>5097</v>
      </c>
      <c r="D13366" s="1" t="s">
        <v>5099</v>
      </c>
    </row>
    <row r="13367">
      <c r="A13367" s="1" t="s">
        <v>23247</v>
      </c>
      <c r="B13367" s="2" t="s">
        <v>22488</v>
      </c>
      <c r="C13367" s="1" t="s">
        <v>5097</v>
      </c>
      <c r="D13367" s="1" t="s">
        <v>5099</v>
      </c>
    </row>
    <row r="13368">
      <c r="A13368" s="1" t="s">
        <v>23248</v>
      </c>
      <c r="B13368" s="2" t="s">
        <v>22807</v>
      </c>
      <c r="C13368" s="1" t="s">
        <v>5097</v>
      </c>
      <c r="D13368" s="1" t="s">
        <v>5099</v>
      </c>
    </row>
    <row r="13369">
      <c r="A13369" s="1" t="s">
        <v>23249</v>
      </c>
      <c r="B13369" s="2" t="s">
        <v>22809</v>
      </c>
      <c r="C13369" s="1" t="s">
        <v>5097</v>
      </c>
      <c r="D13369" s="1" t="s">
        <v>5099</v>
      </c>
    </row>
    <row r="13370">
      <c r="A13370" s="1" t="s">
        <v>23250</v>
      </c>
      <c r="B13370" s="2" t="s">
        <v>22811</v>
      </c>
      <c r="C13370" s="1" t="s">
        <v>5097</v>
      </c>
      <c r="D13370" s="1" t="s">
        <v>5099</v>
      </c>
    </row>
    <row r="13371">
      <c r="A13371" s="1" t="s">
        <v>23251</v>
      </c>
      <c r="B13371" s="2" t="s">
        <v>22813</v>
      </c>
      <c r="C13371" s="1" t="s">
        <v>5097</v>
      </c>
      <c r="D13371" s="1" t="s">
        <v>5099</v>
      </c>
    </row>
    <row r="13372">
      <c r="A13372" s="1" t="s">
        <v>23252</v>
      </c>
      <c r="B13372" s="2" t="s">
        <v>22815</v>
      </c>
      <c r="C13372" s="1" t="s">
        <v>5097</v>
      </c>
      <c r="D13372" s="1" t="s">
        <v>5099</v>
      </c>
    </row>
    <row r="13373">
      <c r="A13373" s="1" t="s">
        <v>23253</v>
      </c>
      <c r="B13373" s="2" t="s">
        <v>22817</v>
      </c>
      <c r="C13373" s="1" t="s">
        <v>5097</v>
      </c>
      <c r="D13373" s="1" t="s">
        <v>5099</v>
      </c>
    </row>
    <row r="13374">
      <c r="A13374" s="1" t="s">
        <v>23254</v>
      </c>
      <c r="B13374" s="2" t="s">
        <v>22819</v>
      </c>
      <c r="C13374" s="1" t="s">
        <v>5097</v>
      </c>
      <c r="D13374" s="1" t="s">
        <v>5099</v>
      </c>
    </row>
    <row r="13375">
      <c r="A13375" s="1" t="s">
        <v>23255</v>
      </c>
      <c r="B13375" s="2" t="s">
        <v>22821</v>
      </c>
      <c r="C13375" s="1" t="s">
        <v>5097</v>
      </c>
      <c r="D13375" s="1" t="s">
        <v>5099</v>
      </c>
    </row>
    <row r="13376">
      <c r="A13376" s="1" t="s">
        <v>23256</v>
      </c>
      <c r="B13376" s="2" t="s">
        <v>22823</v>
      </c>
      <c r="C13376" s="1" t="s">
        <v>5097</v>
      </c>
      <c r="D13376" s="1" t="s">
        <v>5099</v>
      </c>
    </row>
    <row r="13377">
      <c r="A13377" s="1" t="s">
        <v>23257</v>
      </c>
      <c r="B13377" s="2" t="s">
        <v>22825</v>
      </c>
      <c r="C13377" s="1" t="s">
        <v>5097</v>
      </c>
      <c r="D13377" s="1" t="s">
        <v>5099</v>
      </c>
    </row>
    <row r="13378">
      <c r="A13378" s="1" t="s">
        <v>23258</v>
      </c>
      <c r="B13378" s="2" t="s">
        <v>22827</v>
      </c>
      <c r="C13378" s="1" t="s">
        <v>5097</v>
      </c>
      <c r="D13378" s="1" t="s">
        <v>5099</v>
      </c>
    </row>
    <row r="13379">
      <c r="A13379" s="1" t="s">
        <v>23259</v>
      </c>
      <c r="B13379" s="2" t="s">
        <v>22829</v>
      </c>
      <c r="C13379" s="1" t="s">
        <v>5097</v>
      </c>
      <c r="D13379" s="1" t="s">
        <v>5099</v>
      </c>
    </row>
    <row r="13380">
      <c r="A13380" s="1" t="s">
        <v>23260</v>
      </c>
      <c r="B13380" s="2" t="s">
        <v>22831</v>
      </c>
      <c r="C13380" s="1" t="s">
        <v>5097</v>
      </c>
      <c r="D13380" s="1" t="s">
        <v>5099</v>
      </c>
    </row>
    <row r="13381">
      <c r="A13381" s="1" t="s">
        <v>23261</v>
      </c>
      <c r="B13381" s="2" t="s">
        <v>22833</v>
      </c>
      <c r="C13381" s="1" t="s">
        <v>5097</v>
      </c>
      <c r="D13381" s="1" t="s">
        <v>5099</v>
      </c>
    </row>
    <row r="13382">
      <c r="A13382" s="1" t="s">
        <v>23262</v>
      </c>
      <c r="B13382" s="2" t="s">
        <v>22835</v>
      </c>
      <c r="C13382" s="1" t="s">
        <v>5097</v>
      </c>
      <c r="D13382" s="1" t="s">
        <v>5099</v>
      </c>
    </row>
    <row r="13383">
      <c r="A13383" s="1" t="s">
        <v>23263</v>
      </c>
      <c r="B13383" s="2" t="s">
        <v>22837</v>
      </c>
      <c r="C13383" s="1" t="s">
        <v>5097</v>
      </c>
      <c r="D13383" s="1" t="s">
        <v>5099</v>
      </c>
    </row>
    <row r="13384">
      <c r="A13384" s="1" t="s">
        <v>23264</v>
      </c>
      <c r="B13384" s="2" t="s">
        <v>22839</v>
      </c>
      <c r="C13384" s="1" t="s">
        <v>5097</v>
      </c>
      <c r="D13384" s="1" t="s">
        <v>5099</v>
      </c>
    </row>
    <row r="13385">
      <c r="A13385" s="1" t="s">
        <v>23265</v>
      </c>
      <c r="B13385" s="2" t="s">
        <v>22841</v>
      </c>
      <c r="C13385" s="1" t="s">
        <v>5097</v>
      </c>
      <c r="D13385" s="1" t="s">
        <v>5099</v>
      </c>
    </row>
    <row r="13386">
      <c r="A13386" s="1" t="s">
        <v>23266</v>
      </c>
      <c r="B13386" s="2" t="s">
        <v>22843</v>
      </c>
      <c r="C13386" s="1" t="s">
        <v>5097</v>
      </c>
      <c r="D13386" s="1" t="s">
        <v>5099</v>
      </c>
    </row>
    <row r="13387">
      <c r="A13387" s="1" t="s">
        <v>23267</v>
      </c>
      <c r="B13387" s="2" t="s">
        <v>22845</v>
      </c>
      <c r="C13387" s="1" t="s">
        <v>5097</v>
      </c>
      <c r="D13387" s="1" t="s">
        <v>5099</v>
      </c>
    </row>
    <row r="13388">
      <c r="A13388" s="1" t="s">
        <v>23268</v>
      </c>
      <c r="B13388" s="2" t="s">
        <v>22847</v>
      </c>
      <c r="C13388" s="1" t="s">
        <v>5097</v>
      </c>
      <c r="D13388" s="1" t="s">
        <v>5099</v>
      </c>
    </row>
    <row r="13389">
      <c r="A13389" s="1" t="s">
        <v>23269</v>
      </c>
      <c r="B13389" s="2" t="s">
        <v>22849</v>
      </c>
      <c r="C13389" s="1" t="s">
        <v>5097</v>
      </c>
      <c r="D13389" s="1" t="s">
        <v>5099</v>
      </c>
    </row>
    <row r="13390">
      <c r="A13390" s="1" t="s">
        <v>23270</v>
      </c>
      <c r="B13390" s="2" t="s">
        <v>70</v>
      </c>
      <c r="C13390" s="1" t="s">
        <v>5097</v>
      </c>
      <c r="D13390" s="1" t="s">
        <v>5099</v>
      </c>
    </row>
    <row r="13391">
      <c r="A13391" s="1" t="s">
        <v>23271</v>
      </c>
      <c r="B13391" s="2" t="s">
        <v>22535</v>
      </c>
      <c r="C13391" s="1" t="s">
        <v>5097</v>
      </c>
      <c r="D13391" s="1" t="s">
        <v>5099</v>
      </c>
    </row>
    <row r="13392">
      <c r="A13392" s="1" t="s">
        <v>23272</v>
      </c>
      <c r="B13392" s="2" t="s">
        <v>22853</v>
      </c>
      <c r="C13392" s="1" t="s">
        <v>5097</v>
      </c>
      <c r="D13392" s="1" t="s">
        <v>5099</v>
      </c>
    </row>
    <row r="13393">
      <c r="A13393" s="1" t="s">
        <v>23273</v>
      </c>
      <c r="B13393" s="2" t="s">
        <v>22855</v>
      </c>
      <c r="C13393" s="1" t="s">
        <v>5097</v>
      </c>
      <c r="D13393" s="1" t="s">
        <v>5099</v>
      </c>
    </row>
    <row r="13394">
      <c r="A13394" s="1" t="s">
        <v>23274</v>
      </c>
      <c r="B13394" s="2" t="s">
        <v>22857</v>
      </c>
      <c r="C13394" s="1" t="s">
        <v>5097</v>
      </c>
      <c r="D13394" s="1" t="s">
        <v>5099</v>
      </c>
    </row>
    <row r="13395">
      <c r="A13395" s="1" t="s">
        <v>23275</v>
      </c>
      <c r="B13395" s="2" t="s">
        <v>22859</v>
      </c>
      <c r="C13395" s="1" t="s">
        <v>5097</v>
      </c>
      <c r="D13395" s="1" t="s">
        <v>5099</v>
      </c>
    </row>
    <row r="13396">
      <c r="A13396" s="1" t="s">
        <v>23276</v>
      </c>
      <c r="B13396" s="2" t="s">
        <v>22861</v>
      </c>
      <c r="C13396" s="1" t="s">
        <v>5097</v>
      </c>
      <c r="D13396" s="1" t="s">
        <v>5099</v>
      </c>
    </row>
    <row r="13397">
      <c r="A13397" s="1" t="s">
        <v>23277</v>
      </c>
      <c r="B13397" s="2" t="s">
        <v>22863</v>
      </c>
      <c r="C13397" s="1" t="s">
        <v>5097</v>
      </c>
      <c r="D13397" s="1" t="s">
        <v>5099</v>
      </c>
    </row>
    <row r="13398">
      <c r="A13398" s="1" t="s">
        <v>23278</v>
      </c>
      <c r="B13398" s="2" t="s">
        <v>22865</v>
      </c>
      <c r="C13398" s="1" t="s">
        <v>5097</v>
      </c>
      <c r="D13398" s="1" t="s">
        <v>5099</v>
      </c>
    </row>
    <row r="13399">
      <c r="A13399" s="1" t="s">
        <v>23279</v>
      </c>
      <c r="B13399" s="2" t="s">
        <v>22867</v>
      </c>
      <c r="C13399" s="1" t="s">
        <v>5097</v>
      </c>
      <c r="D13399" s="1" t="s">
        <v>5099</v>
      </c>
    </row>
    <row r="13400">
      <c r="A13400" s="1" t="s">
        <v>23280</v>
      </c>
      <c r="B13400" s="2" t="s">
        <v>22869</v>
      </c>
      <c r="C13400" s="1" t="s">
        <v>5097</v>
      </c>
      <c r="D13400" s="1" t="s">
        <v>5099</v>
      </c>
    </row>
    <row r="13401">
      <c r="A13401" s="1" t="s">
        <v>23281</v>
      </c>
      <c r="B13401" s="2" t="s">
        <v>22871</v>
      </c>
      <c r="C13401" s="1" t="s">
        <v>5097</v>
      </c>
      <c r="D13401" s="1" t="s">
        <v>5099</v>
      </c>
    </row>
    <row r="13402">
      <c r="A13402" s="1" t="s">
        <v>23282</v>
      </c>
      <c r="B13402" s="2" t="s">
        <v>22873</v>
      </c>
      <c r="C13402" s="1" t="s">
        <v>5097</v>
      </c>
      <c r="D13402" s="1" t="s">
        <v>5099</v>
      </c>
    </row>
    <row r="13403">
      <c r="A13403" s="1" t="s">
        <v>23283</v>
      </c>
      <c r="B13403" s="2" t="s">
        <v>22875</v>
      </c>
      <c r="C13403" s="1" t="s">
        <v>5097</v>
      </c>
      <c r="D13403" s="1" t="s">
        <v>5099</v>
      </c>
    </row>
    <row r="13404">
      <c r="A13404" s="1" t="s">
        <v>23284</v>
      </c>
      <c r="B13404" s="2" t="s">
        <v>22877</v>
      </c>
      <c r="C13404" s="1" t="s">
        <v>5097</v>
      </c>
      <c r="D13404" s="1" t="s">
        <v>5099</v>
      </c>
    </row>
    <row r="13405">
      <c r="A13405" s="1" t="s">
        <v>23285</v>
      </c>
      <c r="B13405" s="2" t="s">
        <v>22879</v>
      </c>
      <c r="C13405" s="1" t="s">
        <v>5097</v>
      </c>
      <c r="D13405" s="1" t="s">
        <v>5099</v>
      </c>
    </row>
    <row r="13406">
      <c r="A13406" s="1" t="s">
        <v>23286</v>
      </c>
      <c r="B13406" s="2" t="s">
        <v>22881</v>
      </c>
      <c r="C13406" s="1" t="s">
        <v>5097</v>
      </c>
      <c r="D13406" s="1" t="s">
        <v>5099</v>
      </c>
    </row>
    <row r="13407">
      <c r="A13407" s="1" t="s">
        <v>23287</v>
      </c>
      <c r="B13407" s="2" t="s">
        <v>22883</v>
      </c>
      <c r="C13407" s="1" t="s">
        <v>5097</v>
      </c>
      <c r="D13407" s="1" t="s">
        <v>5099</v>
      </c>
    </row>
    <row r="13408">
      <c r="A13408" s="1" t="s">
        <v>23288</v>
      </c>
      <c r="B13408" s="2" t="s">
        <v>22885</v>
      </c>
      <c r="C13408" s="1" t="s">
        <v>5097</v>
      </c>
      <c r="D13408" s="1" t="s">
        <v>5099</v>
      </c>
    </row>
    <row r="13409">
      <c r="A13409" s="1" t="s">
        <v>23289</v>
      </c>
      <c r="B13409" s="2" t="s">
        <v>22887</v>
      </c>
      <c r="C13409" s="1" t="s">
        <v>5097</v>
      </c>
      <c r="D13409" s="1" t="s">
        <v>5099</v>
      </c>
    </row>
    <row r="13410">
      <c r="A13410" s="1" t="s">
        <v>23290</v>
      </c>
      <c r="B13410" s="2" t="s">
        <v>22889</v>
      </c>
      <c r="C13410" s="1" t="s">
        <v>5097</v>
      </c>
      <c r="D13410" s="1" t="s">
        <v>5099</v>
      </c>
    </row>
    <row r="13411">
      <c r="A13411" s="1" t="s">
        <v>23291</v>
      </c>
      <c r="B13411" s="2" t="s">
        <v>22891</v>
      </c>
      <c r="C13411" s="1" t="s">
        <v>5097</v>
      </c>
      <c r="D13411" s="1" t="s">
        <v>5099</v>
      </c>
    </row>
    <row r="13412">
      <c r="A13412" s="1" t="s">
        <v>23292</v>
      </c>
      <c r="B13412" s="2" t="s">
        <v>22893</v>
      </c>
      <c r="C13412" s="1" t="s">
        <v>5097</v>
      </c>
      <c r="D13412" s="1" t="s">
        <v>5099</v>
      </c>
    </row>
    <row r="13413">
      <c r="A13413" s="1" t="s">
        <v>23293</v>
      </c>
      <c r="B13413" s="2" t="s">
        <v>22895</v>
      </c>
      <c r="C13413" s="1" t="s">
        <v>5097</v>
      </c>
      <c r="D13413" s="1" t="s">
        <v>5099</v>
      </c>
    </row>
    <row r="13414">
      <c r="A13414" s="1" t="s">
        <v>23294</v>
      </c>
      <c r="B13414" s="2" t="s">
        <v>22581</v>
      </c>
      <c r="C13414" s="1" t="s">
        <v>5097</v>
      </c>
      <c r="D13414" s="1" t="s">
        <v>5099</v>
      </c>
    </row>
    <row r="13415">
      <c r="A13415" s="1" t="s">
        <v>23295</v>
      </c>
      <c r="B13415" s="2" t="s">
        <v>22898</v>
      </c>
      <c r="C13415" s="1" t="s">
        <v>5097</v>
      </c>
      <c r="D13415" s="1" t="s">
        <v>5099</v>
      </c>
    </row>
    <row r="13416">
      <c r="A13416" s="1" t="s">
        <v>23296</v>
      </c>
      <c r="B13416" s="2" t="s">
        <v>22900</v>
      </c>
      <c r="C13416" s="1" t="s">
        <v>5097</v>
      </c>
      <c r="D13416" s="1" t="s">
        <v>5099</v>
      </c>
    </row>
    <row r="13417">
      <c r="A13417" s="1" t="s">
        <v>23297</v>
      </c>
      <c r="B13417" s="2" t="s">
        <v>22902</v>
      </c>
      <c r="C13417" s="1" t="s">
        <v>5097</v>
      </c>
      <c r="D13417" s="1" t="s">
        <v>5099</v>
      </c>
    </row>
    <row r="13418">
      <c r="A13418" s="1" t="s">
        <v>23298</v>
      </c>
      <c r="B13418" s="2" t="s">
        <v>22904</v>
      </c>
      <c r="C13418" s="1" t="s">
        <v>5097</v>
      </c>
      <c r="D13418" s="1" t="s">
        <v>5099</v>
      </c>
    </row>
    <row r="13419">
      <c r="A13419" s="1" t="s">
        <v>23299</v>
      </c>
      <c r="B13419" s="2" t="s">
        <v>22906</v>
      </c>
      <c r="C13419" s="1" t="s">
        <v>5097</v>
      </c>
      <c r="D13419" s="1" t="s">
        <v>5099</v>
      </c>
    </row>
    <row r="13420">
      <c r="A13420" s="1" t="s">
        <v>23300</v>
      </c>
      <c r="B13420" s="2" t="s">
        <v>22908</v>
      </c>
      <c r="C13420" s="1" t="s">
        <v>5097</v>
      </c>
      <c r="D13420" s="1" t="s">
        <v>5099</v>
      </c>
    </row>
    <row r="13421">
      <c r="A13421" s="1" t="s">
        <v>23301</v>
      </c>
      <c r="B13421" s="2" t="s">
        <v>22910</v>
      </c>
      <c r="C13421" s="1" t="s">
        <v>5097</v>
      </c>
      <c r="D13421" s="1" t="s">
        <v>5099</v>
      </c>
    </row>
    <row r="13422">
      <c r="A13422" s="1" t="s">
        <v>23302</v>
      </c>
      <c r="B13422" s="2" t="s">
        <v>22912</v>
      </c>
      <c r="C13422" s="1" t="s">
        <v>5097</v>
      </c>
      <c r="D13422" s="1" t="s">
        <v>5099</v>
      </c>
    </row>
    <row r="13423">
      <c r="A13423" s="1" t="s">
        <v>23303</v>
      </c>
      <c r="B13423" s="2" t="s">
        <v>22914</v>
      </c>
      <c r="C13423" s="1" t="s">
        <v>5097</v>
      </c>
      <c r="D13423" s="1" t="s">
        <v>5099</v>
      </c>
    </row>
    <row r="13424">
      <c r="A13424" s="1" t="s">
        <v>23304</v>
      </c>
      <c r="B13424" s="2" t="s">
        <v>22916</v>
      </c>
      <c r="C13424" s="1" t="s">
        <v>5097</v>
      </c>
      <c r="D13424" s="1" t="s">
        <v>5099</v>
      </c>
    </row>
    <row r="13425">
      <c r="A13425" s="1" t="s">
        <v>23305</v>
      </c>
      <c r="B13425" s="2" t="s">
        <v>22918</v>
      </c>
      <c r="C13425" s="1" t="s">
        <v>5097</v>
      </c>
      <c r="D13425" s="1" t="s">
        <v>5099</v>
      </c>
    </row>
    <row r="13426">
      <c r="A13426" s="1" t="s">
        <v>23306</v>
      </c>
      <c r="B13426" s="2" t="s">
        <v>22920</v>
      </c>
      <c r="C13426" s="1" t="s">
        <v>5097</v>
      </c>
      <c r="D13426" s="1" t="s">
        <v>5099</v>
      </c>
    </row>
    <row r="13427">
      <c r="A13427" s="1" t="s">
        <v>23307</v>
      </c>
      <c r="B13427" s="2" t="s">
        <v>22922</v>
      </c>
      <c r="C13427" s="1" t="s">
        <v>5097</v>
      </c>
      <c r="D13427" s="1" t="s">
        <v>5099</v>
      </c>
    </row>
    <row r="13428">
      <c r="A13428" s="1" t="s">
        <v>23308</v>
      </c>
      <c r="B13428" s="2" t="s">
        <v>22924</v>
      </c>
      <c r="C13428" s="1" t="s">
        <v>5097</v>
      </c>
      <c r="D13428" s="1" t="s">
        <v>5099</v>
      </c>
    </row>
    <row r="13429">
      <c r="A13429" s="1" t="s">
        <v>23309</v>
      </c>
      <c r="B13429" s="2" t="s">
        <v>22926</v>
      </c>
      <c r="C13429" s="1" t="s">
        <v>5097</v>
      </c>
      <c r="D13429" s="1" t="s">
        <v>5099</v>
      </c>
    </row>
    <row r="13430">
      <c r="A13430" s="1" t="s">
        <v>23310</v>
      </c>
      <c r="B13430" s="2" t="s">
        <v>22928</v>
      </c>
      <c r="C13430" s="1" t="s">
        <v>5097</v>
      </c>
      <c r="D13430" s="1" t="s">
        <v>5099</v>
      </c>
    </row>
    <row r="13431">
      <c r="A13431" s="1" t="s">
        <v>23311</v>
      </c>
      <c r="B13431" s="2" t="s">
        <v>22930</v>
      </c>
      <c r="C13431" s="1" t="s">
        <v>5097</v>
      </c>
      <c r="D13431" s="1" t="s">
        <v>5099</v>
      </c>
    </row>
    <row r="13432">
      <c r="A13432" s="1" t="s">
        <v>23312</v>
      </c>
      <c r="B13432" s="2" t="s">
        <v>22932</v>
      </c>
      <c r="C13432" s="1" t="s">
        <v>5097</v>
      </c>
      <c r="D13432" s="1" t="s">
        <v>5099</v>
      </c>
    </row>
    <row r="13433">
      <c r="A13433" s="1" t="s">
        <v>23313</v>
      </c>
      <c r="B13433" s="2" t="s">
        <v>22934</v>
      </c>
      <c r="C13433" s="1" t="s">
        <v>5097</v>
      </c>
      <c r="D13433" s="1" t="s">
        <v>5099</v>
      </c>
    </row>
    <row r="13434">
      <c r="A13434" s="1" t="s">
        <v>23314</v>
      </c>
      <c r="B13434" s="2" t="s">
        <v>22936</v>
      </c>
      <c r="C13434" s="1" t="s">
        <v>5097</v>
      </c>
      <c r="D13434" s="1" t="s">
        <v>5099</v>
      </c>
    </row>
    <row r="13435">
      <c r="A13435" s="1" t="s">
        <v>23315</v>
      </c>
      <c r="B13435" s="2" t="s">
        <v>22938</v>
      </c>
      <c r="C13435" s="1" t="s">
        <v>5097</v>
      </c>
      <c r="D13435" s="1" t="s">
        <v>5099</v>
      </c>
    </row>
    <row r="13436">
      <c r="A13436" s="1" t="s">
        <v>23316</v>
      </c>
      <c r="B13436" s="2" t="s">
        <v>22940</v>
      </c>
      <c r="C13436" s="1" t="s">
        <v>5097</v>
      </c>
      <c r="D13436" s="1" t="s">
        <v>5099</v>
      </c>
    </row>
    <row r="13437">
      <c r="A13437" s="1" t="s">
        <v>5100</v>
      </c>
      <c r="B13437" s="2" t="s">
        <v>7</v>
      </c>
      <c r="C13437" s="1" t="s">
        <v>5103</v>
      </c>
      <c r="D13437" s="1" t="s">
        <v>5104</v>
      </c>
    </row>
    <row r="13438">
      <c r="A13438" s="1" t="s">
        <v>23317</v>
      </c>
      <c r="B13438" s="2" t="s">
        <v>13</v>
      </c>
      <c r="C13438" s="1" t="s">
        <v>5103</v>
      </c>
      <c r="D13438" s="1" t="s">
        <v>5104</v>
      </c>
    </row>
    <row r="13439">
      <c r="A13439" s="1" t="s">
        <v>23318</v>
      </c>
      <c r="B13439" s="2" t="s">
        <v>22442</v>
      </c>
      <c r="C13439" s="1" t="s">
        <v>5103</v>
      </c>
      <c r="D13439" s="1" t="s">
        <v>5104</v>
      </c>
    </row>
    <row r="13440">
      <c r="A13440" s="1" t="s">
        <v>23319</v>
      </c>
      <c r="B13440" s="2" t="s">
        <v>22762</v>
      </c>
      <c r="C13440" s="1" t="s">
        <v>5103</v>
      </c>
      <c r="D13440" s="1" t="s">
        <v>5104</v>
      </c>
    </row>
    <row r="13441">
      <c r="A13441" s="1" t="s">
        <v>23320</v>
      </c>
      <c r="B13441" s="2" t="s">
        <v>22764</v>
      </c>
      <c r="C13441" s="1" t="s">
        <v>5103</v>
      </c>
      <c r="D13441" s="1" t="s">
        <v>5104</v>
      </c>
    </row>
    <row r="13442">
      <c r="A13442" s="1" t="s">
        <v>23321</v>
      </c>
      <c r="B13442" s="2" t="s">
        <v>22766</v>
      </c>
      <c r="C13442" s="1" t="s">
        <v>5103</v>
      </c>
      <c r="D13442" s="1" t="s">
        <v>5104</v>
      </c>
    </row>
    <row r="13443">
      <c r="A13443" s="1" t="s">
        <v>23322</v>
      </c>
      <c r="B13443" s="2" t="s">
        <v>22768</v>
      </c>
      <c r="C13443" s="1" t="s">
        <v>5103</v>
      </c>
      <c r="D13443" s="1" t="s">
        <v>5104</v>
      </c>
    </row>
    <row r="13444">
      <c r="A13444" s="1" t="s">
        <v>23323</v>
      </c>
      <c r="B13444" s="2" t="s">
        <v>22770</v>
      </c>
      <c r="C13444" s="1" t="s">
        <v>5103</v>
      </c>
      <c r="D13444" s="1" t="s">
        <v>5104</v>
      </c>
    </row>
    <row r="13445">
      <c r="A13445" s="1" t="s">
        <v>23324</v>
      </c>
      <c r="B13445" s="2" t="s">
        <v>22772</v>
      </c>
      <c r="C13445" s="1" t="s">
        <v>5103</v>
      </c>
      <c r="D13445" s="1" t="s">
        <v>5104</v>
      </c>
    </row>
    <row r="13446">
      <c r="A13446" s="1" t="s">
        <v>23325</v>
      </c>
      <c r="B13446" s="2" t="s">
        <v>22774</v>
      </c>
      <c r="C13446" s="1" t="s">
        <v>5103</v>
      </c>
      <c r="D13446" s="1" t="s">
        <v>5104</v>
      </c>
    </row>
    <row r="13447">
      <c r="A13447" s="1" t="s">
        <v>23326</v>
      </c>
      <c r="B13447" s="2" t="s">
        <v>22776</v>
      </c>
      <c r="C13447" s="1" t="s">
        <v>5103</v>
      </c>
      <c r="D13447" s="1" t="s">
        <v>5104</v>
      </c>
    </row>
    <row r="13448">
      <c r="A13448" s="1" t="s">
        <v>23327</v>
      </c>
      <c r="B13448" s="2" t="s">
        <v>22778</v>
      </c>
      <c r="C13448" s="1" t="s">
        <v>5103</v>
      </c>
      <c r="D13448" s="1" t="s">
        <v>5104</v>
      </c>
    </row>
    <row r="13449">
      <c r="A13449" s="1" t="s">
        <v>23328</v>
      </c>
      <c r="B13449" s="2" t="s">
        <v>22780</v>
      </c>
      <c r="C13449" s="1" t="s">
        <v>5103</v>
      </c>
      <c r="D13449" s="1" t="s">
        <v>5104</v>
      </c>
    </row>
    <row r="13450">
      <c r="A13450" s="1" t="s">
        <v>23329</v>
      </c>
      <c r="B13450" s="2" t="s">
        <v>22782</v>
      </c>
      <c r="C13450" s="1" t="s">
        <v>5103</v>
      </c>
      <c r="D13450" s="1" t="s">
        <v>5104</v>
      </c>
    </row>
    <row r="13451">
      <c r="A13451" s="1" t="s">
        <v>23330</v>
      </c>
      <c r="B13451" s="2" t="s">
        <v>22784</v>
      </c>
      <c r="C13451" s="1" t="s">
        <v>5103</v>
      </c>
      <c r="D13451" s="1" t="s">
        <v>5104</v>
      </c>
    </row>
    <row r="13452">
      <c r="A13452" s="1" t="s">
        <v>23331</v>
      </c>
      <c r="B13452" s="2" t="s">
        <v>22786</v>
      </c>
      <c r="C13452" s="1" t="s">
        <v>5103</v>
      </c>
      <c r="D13452" s="1" t="s">
        <v>5104</v>
      </c>
    </row>
    <row r="13453">
      <c r="A13453" s="1" t="s">
        <v>23332</v>
      </c>
      <c r="B13453" s="2" t="s">
        <v>22788</v>
      </c>
      <c r="C13453" s="1" t="s">
        <v>5103</v>
      </c>
      <c r="D13453" s="1" t="s">
        <v>5104</v>
      </c>
    </row>
    <row r="13454">
      <c r="A13454" s="1" t="s">
        <v>23333</v>
      </c>
      <c r="B13454" s="2" t="s">
        <v>22790</v>
      </c>
      <c r="C13454" s="1" t="s">
        <v>5103</v>
      </c>
      <c r="D13454" s="1" t="s">
        <v>5104</v>
      </c>
    </row>
    <row r="13455">
      <c r="A13455" s="1" t="s">
        <v>23334</v>
      </c>
      <c r="B13455" s="2" t="s">
        <v>22792</v>
      </c>
      <c r="C13455" s="1" t="s">
        <v>5103</v>
      </c>
      <c r="D13455" s="1" t="s">
        <v>5104</v>
      </c>
    </row>
    <row r="13456">
      <c r="A13456" s="1" t="s">
        <v>23335</v>
      </c>
      <c r="B13456" s="2" t="s">
        <v>22794</v>
      </c>
      <c r="C13456" s="1" t="s">
        <v>5103</v>
      </c>
      <c r="D13456" s="1" t="s">
        <v>5104</v>
      </c>
    </row>
    <row r="13457">
      <c r="A13457" s="1" t="s">
        <v>23336</v>
      </c>
      <c r="B13457" s="2" t="s">
        <v>22796</v>
      </c>
      <c r="C13457" s="1" t="s">
        <v>5103</v>
      </c>
      <c r="D13457" s="1" t="s">
        <v>5104</v>
      </c>
    </row>
    <row r="13458">
      <c r="A13458" s="1" t="s">
        <v>23337</v>
      </c>
      <c r="B13458" s="2" t="s">
        <v>22798</v>
      </c>
      <c r="C13458" s="1" t="s">
        <v>5103</v>
      </c>
      <c r="D13458" s="1" t="s">
        <v>5104</v>
      </c>
    </row>
    <row r="13459">
      <c r="A13459" s="1" t="s">
        <v>23338</v>
      </c>
      <c r="B13459" s="2" t="s">
        <v>22800</v>
      </c>
      <c r="C13459" s="1" t="s">
        <v>5103</v>
      </c>
      <c r="D13459" s="1" t="s">
        <v>5104</v>
      </c>
    </row>
    <row r="13460">
      <c r="A13460" s="1" t="s">
        <v>23339</v>
      </c>
      <c r="B13460" s="2" t="s">
        <v>22802</v>
      </c>
      <c r="C13460" s="1" t="s">
        <v>5103</v>
      </c>
      <c r="D13460" s="1" t="s">
        <v>5104</v>
      </c>
    </row>
    <row r="13461">
      <c r="A13461" s="1" t="s">
        <v>23340</v>
      </c>
      <c r="B13461" s="2" t="s">
        <v>22804</v>
      </c>
      <c r="C13461" s="1" t="s">
        <v>5103</v>
      </c>
      <c r="D13461" s="1" t="s">
        <v>5104</v>
      </c>
    </row>
    <row r="13462">
      <c r="A13462" s="1" t="s">
        <v>23341</v>
      </c>
      <c r="B13462" s="2" t="s">
        <v>22488</v>
      </c>
      <c r="C13462" s="1" t="s">
        <v>5103</v>
      </c>
      <c r="D13462" s="1" t="s">
        <v>5104</v>
      </c>
    </row>
    <row r="13463">
      <c r="A13463" s="1" t="s">
        <v>23342</v>
      </c>
      <c r="B13463" s="2" t="s">
        <v>22807</v>
      </c>
      <c r="C13463" s="1" t="s">
        <v>5103</v>
      </c>
      <c r="D13463" s="1" t="s">
        <v>5104</v>
      </c>
    </row>
    <row r="13464">
      <c r="A13464" s="1" t="s">
        <v>23343</v>
      </c>
      <c r="B13464" s="2" t="s">
        <v>22809</v>
      </c>
      <c r="C13464" s="1" t="s">
        <v>5103</v>
      </c>
      <c r="D13464" s="1" t="s">
        <v>5104</v>
      </c>
    </row>
    <row r="13465">
      <c r="A13465" s="1" t="s">
        <v>23344</v>
      </c>
      <c r="B13465" s="2" t="s">
        <v>22811</v>
      </c>
      <c r="C13465" s="1" t="s">
        <v>5103</v>
      </c>
      <c r="D13465" s="1" t="s">
        <v>5104</v>
      </c>
    </row>
    <row r="13466">
      <c r="A13466" s="1" t="s">
        <v>23345</v>
      </c>
      <c r="B13466" s="2" t="s">
        <v>22813</v>
      </c>
      <c r="C13466" s="1" t="s">
        <v>5103</v>
      </c>
      <c r="D13466" s="1" t="s">
        <v>5104</v>
      </c>
    </row>
    <row r="13467">
      <c r="A13467" s="1" t="s">
        <v>23346</v>
      </c>
      <c r="B13467" s="2" t="s">
        <v>22815</v>
      </c>
      <c r="C13467" s="1" t="s">
        <v>5103</v>
      </c>
      <c r="D13467" s="1" t="s">
        <v>5104</v>
      </c>
    </row>
    <row r="13468">
      <c r="A13468" s="1" t="s">
        <v>23347</v>
      </c>
      <c r="B13468" s="2" t="s">
        <v>22817</v>
      </c>
      <c r="C13468" s="1" t="s">
        <v>5103</v>
      </c>
      <c r="D13468" s="1" t="s">
        <v>5104</v>
      </c>
    </row>
    <row r="13469">
      <c r="A13469" s="1" t="s">
        <v>23348</v>
      </c>
      <c r="B13469" s="2" t="s">
        <v>22819</v>
      </c>
      <c r="C13469" s="1" t="s">
        <v>5103</v>
      </c>
      <c r="D13469" s="1" t="s">
        <v>5104</v>
      </c>
    </row>
    <row r="13470">
      <c r="A13470" s="1" t="s">
        <v>23349</v>
      </c>
      <c r="B13470" s="2" t="s">
        <v>22821</v>
      </c>
      <c r="C13470" s="1" t="s">
        <v>5103</v>
      </c>
      <c r="D13470" s="1" t="s">
        <v>5104</v>
      </c>
    </row>
    <row r="13471">
      <c r="A13471" s="1" t="s">
        <v>23350</v>
      </c>
      <c r="B13471" s="2" t="s">
        <v>22823</v>
      </c>
      <c r="C13471" s="1" t="s">
        <v>5103</v>
      </c>
      <c r="D13471" s="1" t="s">
        <v>5104</v>
      </c>
    </row>
    <row r="13472">
      <c r="A13472" s="1" t="s">
        <v>23351</v>
      </c>
      <c r="B13472" s="2" t="s">
        <v>22825</v>
      </c>
      <c r="C13472" s="1" t="s">
        <v>5103</v>
      </c>
      <c r="D13472" s="1" t="s">
        <v>5104</v>
      </c>
    </row>
    <row r="13473">
      <c r="A13473" s="1" t="s">
        <v>23352</v>
      </c>
      <c r="B13473" s="2" t="s">
        <v>22827</v>
      </c>
      <c r="C13473" s="1" t="s">
        <v>5103</v>
      </c>
      <c r="D13473" s="1" t="s">
        <v>5104</v>
      </c>
    </row>
    <row r="13474">
      <c r="A13474" s="1" t="s">
        <v>23353</v>
      </c>
      <c r="B13474" s="2" t="s">
        <v>22829</v>
      </c>
      <c r="C13474" s="1" t="s">
        <v>5103</v>
      </c>
      <c r="D13474" s="1" t="s">
        <v>5104</v>
      </c>
    </row>
    <row r="13475">
      <c r="A13475" s="1" t="s">
        <v>23354</v>
      </c>
      <c r="B13475" s="2" t="s">
        <v>22831</v>
      </c>
      <c r="C13475" s="1" t="s">
        <v>5103</v>
      </c>
      <c r="D13475" s="1" t="s">
        <v>5104</v>
      </c>
    </row>
    <row r="13476">
      <c r="A13476" s="1" t="s">
        <v>23355</v>
      </c>
      <c r="B13476" s="2" t="s">
        <v>22833</v>
      </c>
      <c r="C13476" s="1" t="s">
        <v>5103</v>
      </c>
      <c r="D13476" s="1" t="s">
        <v>5104</v>
      </c>
    </row>
    <row r="13477">
      <c r="A13477" s="1" t="s">
        <v>23356</v>
      </c>
      <c r="B13477" s="2" t="s">
        <v>22835</v>
      </c>
      <c r="C13477" s="1" t="s">
        <v>5103</v>
      </c>
      <c r="D13477" s="1" t="s">
        <v>5104</v>
      </c>
    </row>
    <row r="13478">
      <c r="A13478" s="1" t="s">
        <v>23357</v>
      </c>
      <c r="B13478" s="2" t="s">
        <v>22837</v>
      </c>
      <c r="C13478" s="1" t="s">
        <v>5103</v>
      </c>
      <c r="D13478" s="1" t="s">
        <v>5104</v>
      </c>
    </row>
    <row r="13479">
      <c r="A13479" s="1" t="s">
        <v>23358</v>
      </c>
      <c r="B13479" s="2" t="s">
        <v>22839</v>
      </c>
      <c r="C13479" s="1" t="s">
        <v>5103</v>
      </c>
      <c r="D13479" s="1" t="s">
        <v>5104</v>
      </c>
    </row>
    <row r="13480">
      <c r="A13480" s="1" t="s">
        <v>23359</v>
      </c>
      <c r="B13480" s="2" t="s">
        <v>22841</v>
      </c>
      <c r="C13480" s="1" t="s">
        <v>5103</v>
      </c>
      <c r="D13480" s="1" t="s">
        <v>5104</v>
      </c>
    </row>
    <row r="13481">
      <c r="A13481" s="1" t="s">
        <v>23360</v>
      </c>
      <c r="B13481" s="2" t="s">
        <v>22843</v>
      </c>
      <c r="C13481" s="1" t="s">
        <v>5103</v>
      </c>
      <c r="D13481" s="1" t="s">
        <v>5104</v>
      </c>
    </row>
    <row r="13482">
      <c r="A13482" s="1" t="s">
        <v>23361</v>
      </c>
      <c r="B13482" s="2" t="s">
        <v>22845</v>
      </c>
      <c r="C13482" s="1" t="s">
        <v>5103</v>
      </c>
      <c r="D13482" s="1" t="s">
        <v>5104</v>
      </c>
    </row>
    <row r="13483">
      <c r="A13483" s="1" t="s">
        <v>23362</v>
      </c>
      <c r="B13483" s="2" t="s">
        <v>22847</v>
      </c>
      <c r="C13483" s="1" t="s">
        <v>5103</v>
      </c>
      <c r="D13483" s="1" t="s">
        <v>5104</v>
      </c>
    </row>
    <row r="13484">
      <c r="A13484" s="1" t="s">
        <v>23363</v>
      </c>
      <c r="B13484" s="2" t="s">
        <v>22849</v>
      </c>
      <c r="C13484" s="1" t="s">
        <v>5103</v>
      </c>
      <c r="D13484" s="1" t="s">
        <v>5104</v>
      </c>
    </row>
    <row r="13485">
      <c r="A13485" s="1" t="s">
        <v>23364</v>
      </c>
      <c r="B13485" s="2" t="s">
        <v>70</v>
      </c>
      <c r="C13485" s="1" t="s">
        <v>5103</v>
      </c>
      <c r="D13485" s="1" t="s">
        <v>5104</v>
      </c>
    </row>
    <row r="13486">
      <c r="A13486" s="1" t="s">
        <v>23365</v>
      </c>
      <c r="B13486" s="2" t="s">
        <v>22535</v>
      </c>
      <c r="C13486" s="1" t="s">
        <v>5103</v>
      </c>
      <c r="D13486" s="1" t="s">
        <v>5104</v>
      </c>
    </row>
    <row r="13487">
      <c r="A13487" s="1" t="s">
        <v>23366</v>
      </c>
      <c r="B13487" s="2" t="s">
        <v>22853</v>
      </c>
      <c r="C13487" s="1" t="s">
        <v>5103</v>
      </c>
      <c r="D13487" s="1" t="s">
        <v>5104</v>
      </c>
    </row>
    <row r="13488">
      <c r="A13488" s="1" t="s">
        <v>23367</v>
      </c>
      <c r="B13488" s="2" t="s">
        <v>22855</v>
      </c>
      <c r="C13488" s="1" t="s">
        <v>5103</v>
      </c>
      <c r="D13488" s="1" t="s">
        <v>5104</v>
      </c>
    </row>
    <row r="13489">
      <c r="A13489" s="1" t="s">
        <v>23368</v>
      </c>
      <c r="B13489" s="2" t="s">
        <v>22857</v>
      </c>
      <c r="C13489" s="1" t="s">
        <v>5103</v>
      </c>
      <c r="D13489" s="1" t="s">
        <v>5104</v>
      </c>
    </row>
    <row r="13490">
      <c r="A13490" s="1" t="s">
        <v>23369</v>
      </c>
      <c r="B13490" s="2" t="s">
        <v>22859</v>
      </c>
      <c r="C13490" s="1" t="s">
        <v>5103</v>
      </c>
      <c r="D13490" s="1" t="s">
        <v>5104</v>
      </c>
    </row>
    <row r="13491">
      <c r="A13491" s="1" t="s">
        <v>23370</v>
      </c>
      <c r="B13491" s="2" t="s">
        <v>22861</v>
      </c>
      <c r="C13491" s="1" t="s">
        <v>5103</v>
      </c>
      <c r="D13491" s="1" t="s">
        <v>5104</v>
      </c>
    </row>
    <row r="13492">
      <c r="A13492" s="1" t="s">
        <v>23371</v>
      </c>
      <c r="B13492" s="2" t="s">
        <v>22863</v>
      </c>
      <c r="C13492" s="1" t="s">
        <v>5103</v>
      </c>
      <c r="D13492" s="1" t="s">
        <v>5104</v>
      </c>
    </row>
    <row r="13493">
      <c r="A13493" s="1" t="s">
        <v>23372</v>
      </c>
      <c r="B13493" s="2" t="s">
        <v>22865</v>
      </c>
      <c r="C13493" s="1" t="s">
        <v>5103</v>
      </c>
      <c r="D13493" s="1" t="s">
        <v>5104</v>
      </c>
    </row>
    <row r="13494">
      <c r="A13494" s="1" t="s">
        <v>23373</v>
      </c>
      <c r="B13494" s="2" t="s">
        <v>22867</v>
      </c>
      <c r="C13494" s="1" t="s">
        <v>5103</v>
      </c>
      <c r="D13494" s="1" t="s">
        <v>5104</v>
      </c>
    </row>
    <row r="13495">
      <c r="A13495" s="1" t="s">
        <v>23374</v>
      </c>
      <c r="B13495" s="2" t="s">
        <v>22869</v>
      </c>
      <c r="C13495" s="1" t="s">
        <v>5103</v>
      </c>
      <c r="D13495" s="1" t="s">
        <v>5104</v>
      </c>
    </row>
    <row r="13496">
      <c r="A13496" s="1" t="s">
        <v>23375</v>
      </c>
      <c r="B13496" s="2" t="s">
        <v>22871</v>
      </c>
      <c r="C13496" s="1" t="s">
        <v>5103</v>
      </c>
      <c r="D13496" s="1" t="s">
        <v>5104</v>
      </c>
    </row>
    <row r="13497">
      <c r="A13497" s="1" t="s">
        <v>23376</v>
      </c>
      <c r="B13497" s="2" t="s">
        <v>22873</v>
      </c>
      <c r="C13497" s="1" t="s">
        <v>5103</v>
      </c>
      <c r="D13497" s="1" t="s">
        <v>5104</v>
      </c>
    </row>
    <row r="13498">
      <c r="A13498" s="1" t="s">
        <v>23377</v>
      </c>
      <c r="B13498" s="2" t="s">
        <v>22875</v>
      </c>
      <c r="C13498" s="1" t="s">
        <v>5103</v>
      </c>
      <c r="D13498" s="1" t="s">
        <v>5104</v>
      </c>
    </row>
    <row r="13499">
      <c r="A13499" s="1" t="s">
        <v>23378</v>
      </c>
      <c r="B13499" s="2" t="s">
        <v>22877</v>
      </c>
      <c r="C13499" s="1" t="s">
        <v>5103</v>
      </c>
      <c r="D13499" s="1" t="s">
        <v>5104</v>
      </c>
    </row>
    <row r="13500">
      <c r="A13500" s="1" t="s">
        <v>23379</v>
      </c>
      <c r="B13500" s="2" t="s">
        <v>22879</v>
      </c>
      <c r="C13500" s="1" t="s">
        <v>5103</v>
      </c>
      <c r="D13500" s="1" t="s">
        <v>5104</v>
      </c>
    </row>
    <row r="13501">
      <c r="A13501" s="1" t="s">
        <v>23380</v>
      </c>
      <c r="B13501" s="2" t="s">
        <v>22881</v>
      </c>
      <c r="C13501" s="1" t="s">
        <v>5103</v>
      </c>
      <c r="D13501" s="1" t="s">
        <v>5104</v>
      </c>
    </row>
    <row r="13502">
      <c r="A13502" s="1" t="s">
        <v>23381</v>
      </c>
      <c r="B13502" s="2" t="s">
        <v>22883</v>
      </c>
      <c r="C13502" s="1" t="s">
        <v>5103</v>
      </c>
      <c r="D13502" s="1" t="s">
        <v>5104</v>
      </c>
    </row>
    <row r="13503">
      <c r="A13503" s="1" t="s">
        <v>23382</v>
      </c>
      <c r="B13503" s="2" t="s">
        <v>22885</v>
      </c>
      <c r="C13503" s="1" t="s">
        <v>5103</v>
      </c>
      <c r="D13503" s="1" t="s">
        <v>5104</v>
      </c>
    </row>
    <row r="13504">
      <c r="A13504" s="1" t="s">
        <v>23383</v>
      </c>
      <c r="B13504" s="2" t="s">
        <v>22887</v>
      </c>
      <c r="C13504" s="1" t="s">
        <v>5103</v>
      </c>
      <c r="D13504" s="1" t="s">
        <v>5104</v>
      </c>
    </row>
    <row r="13505">
      <c r="A13505" s="1" t="s">
        <v>23384</v>
      </c>
      <c r="B13505" s="2" t="s">
        <v>22889</v>
      </c>
      <c r="C13505" s="1" t="s">
        <v>5103</v>
      </c>
      <c r="D13505" s="1" t="s">
        <v>5104</v>
      </c>
    </row>
    <row r="13506">
      <c r="A13506" s="1" t="s">
        <v>23385</v>
      </c>
      <c r="B13506" s="2" t="s">
        <v>22891</v>
      </c>
      <c r="C13506" s="1" t="s">
        <v>5103</v>
      </c>
      <c r="D13506" s="1" t="s">
        <v>5104</v>
      </c>
    </row>
    <row r="13507">
      <c r="A13507" s="1" t="s">
        <v>23386</v>
      </c>
      <c r="B13507" s="2" t="s">
        <v>22893</v>
      </c>
      <c r="C13507" s="1" t="s">
        <v>5103</v>
      </c>
      <c r="D13507" s="1" t="s">
        <v>5104</v>
      </c>
    </row>
    <row r="13508">
      <c r="A13508" s="1" t="s">
        <v>23387</v>
      </c>
      <c r="B13508" s="2" t="s">
        <v>22895</v>
      </c>
      <c r="C13508" s="1" t="s">
        <v>5103</v>
      </c>
      <c r="D13508" s="1" t="s">
        <v>5104</v>
      </c>
    </row>
    <row r="13509">
      <c r="A13509" s="1" t="s">
        <v>23388</v>
      </c>
      <c r="B13509" s="2" t="s">
        <v>22581</v>
      </c>
      <c r="C13509" s="1" t="s">
        <v>5103</v>
      </c>
      <c r="D13509" s="1" t="s">
        <v>5104</v>
      </c>
    </row>
    <row r="13510">
      <c r="A13510" s="1" t="s">
        <v>23389</v>
      </c>
      <c r="B13510" s="2" t="s">
        <v>22898</v>
      </c>
      <c r="C13510" s="1" t="s">
        <v>5103</v>
      </c>
      <c r="D13510" s="1" t="s">
        <v>5104</v>
      </c>
    </row>
    <row r="13511">
      <c r="A13511" s="1" t="s">
        <v>23390</v>
      </c>
      <c r="B13511" s="2" t="s">
        <v>22900</v>
      </c>
      <c r="C13511" s="1" t="s">
        <v>5103</v>
      </c>
      <c r="D13511" s="1" t="s">
        <v>5104</v>
      </c>
    </row>
    <row r="13512">
      <c r="A13512" s="1" t="s">
        <v>23391</v>
      </c>
      <c r="B13512" s="2" t="s">
        <v>22902</v>
      </c>
      <c r="C13512" s="1" t="s">
        <v>5103</v>
      </c>
      <c r="D13512" s="1" t="s">
        <v>5104</v>
      </c>
    </row>
    <row r="13513">
      <c r="A13513" s="1" t="s">
        <v>23392</v>
      </c>
      <c r="B13513" s="2" t="s">
        <v>22904</v>
      </c>
      <c r="C13513" s="1" t="s">
        <v>5103</v>
      </c>
      <c r="D13513" s="1" t="s">
        <v>5104</v>
      </c>
    </row>
    <row r="13514">
      <c r="A13514" s="1" t="s">
        <v>23393</v>
      </c>
      <c r="B13514" s="2" t="s">
        <v>22906</v>
      </c>
      <c r="C13514" s="1" t="s">
        <v>5103</v>
      </c>
      <c r="D13514" s="1" t="s">
        <v>5104</v>
      </c>
    </row>
    <row r="13515">
      <c r="A13515" s="1" t="s">
        <v>23394</v>
      </c>
      <c r="B13515" s="2" t="s">
        <v>22908</v>
      </c>
      <c r="C13515" s="1" t="s">
        <v>5103</v>
      </c>
      <c r="D13515" s="1" t="s">
        <v>5104</v>
      </c>
    </row>
    <row r="13516">
      <c r="A13516" s="1" t="s">
        <v>23395</v>
      </c>
      <c r="B13516" s="2" t="s">
        <v>22910</v>
      </c>
      <c r="C13516" s="1" t="s">
        <v>5103</v>
      </c>
      <c r="D13516" s="1" t="s">
        <v>5104</v>
      </c>
    </row>
    <row r="13517">
      <c r="A13517" s="1" t="s">
        <v>23396</v>
      </c>
      <c r="B13517" s="2" t="s">
        <v>22912</v>
      </c>
      <c r="C13517" s="1" t="s">
        <v>5103</v>
      </c>
      <c r="D13517" s="1" t="s">
        <v>5104</v>
      </c>
    </row>
    <row r="13518">
      <c r="A13518" s="1" t="s">
        <v>23397</v>
      </c>
      <c r="B13518" s="2" t="s">
        <v>22914</v>
      </c>
      <c r="C13518" s="1" t="s">
        <v>5103</v>
      </c>
      <c r="D13518" s="1" t="s">
        <v>5104</v>
      </c>
    </row>
    <row r="13519">
      <c r="A13519" s="1" t="s">
        <v>23398</v>
      </c>
      <c r="B13519" s="2" t="s">
        <v>22916</v>
      </c>
      <c r="C13519" s="1" t="s">
        <v>5103</v>
      </c>
      <c r="D13519" s="1" t="s">
        <v>5104</v>
      </c>
    </row>
    <row r="13520">
      <c r="A13520" s="1" t="s">
        <v>23399</v>
      </c>
      <c r="B13520" s="2" t="s">
        <v>22918</v>
      </c>
      <c r="C13520" s="1" t="s">
        <v>5103</v>
      </c>
      <c r="D13520" s="1" t="s">
        <v>5104</v>
      </c>
    </row>
    <row r="13521">
      <c r="A13521" s="1" t="s">
        <v>23400</v>
      </c>
      <c r="B13521" s="2" t="s">
        <v>22920</v>
      </c>
      <c r="C13521" s="1" t="s">
        <v>5103</v>
      </c>
      <c r="D13521" s="1" t="s">
        <v>5104</v>
      </c>
    </row>
    <row r="13522">
      <c r="A13522" s="1" t="s">
        <v>23401</v>
      </c>
      <c r="B13522" s="2" t="s">
        <v>22922</v>
      </c>
      <c r="C13522" s="1" t="s">
        <v>5103</v>
      </c>
      <c r="D13522" s="1" t="s">
        <v>5104</v>
      </c>
    </row>
    <row r="13523">
      <c r="A13523" s="1" t="s">
        <v>23402</v>
      </c>
      <c r="B13523" s="2" t="s">
        <v>22924</v>
      </c>
      <c r="C13523" s="1" t="s">
        <v>5103</v>
      </c>
      <c r="D13523" s="1" t="s">
        <v>5104</v>
      </c>
    </row>
    <row r="13524">
      <c r="A13524" s="1" t="s">
        <v>23403</v>
      </c>
      <c r="B13524" s="2" t="s">
        <v>22926</v>
      </c>
      <c r="C13524" s="1" t="s">
        <v>5103</v>
      </c>
      <c r="D13524" s="1" t="s">
        <v>5104</v>
      </c>
    </row>
    <row r="13525">
      <c r="A13525" s="1" t="s">
        <v>23404</v>
      </c>
      <c r="B13525" s="2" t="s">
        <v>22928</v>
      </c>
      <c r="C13525" s="1" t="s">
        <v>5103</v>
      </c>
      <c r="D13525" s="1" t="s">
        <v>5104</v>
      </c>
    </row>
    <row r="13526">
      <c r="A13526" s="1" t="s">
        <v>23405</v>
      </c>
      <c r="B13526" s="2" t="s">
        <v>22930</v>
      </c>
      <c r="C13526" s="1" t="s">
        <v>5103</v>
      </c>
      <c r="D13526" s="1" t="s">
        <v>5104</v>
      </c>
    </row>
    <row r="13527">
      <c r="A13527" s="1" t="s">
        <v>23406</v>
      </c>
      <c r="B13527" s="2" t="s">
        <v>22932</v>
      </c>
      <c r="C13527" s="1" t="s">
        <v>5103</v>
      </c>
      <c r="D13527" s="1" t="s">
        <v>5104</v>
      </c>
    </row>
    <row r="13528">
      <c r="A13528" s="1" t="s">
        <v>23407</v>
      </c>
      <c r="B13528" s="2" t="s">
        <v>22934</v>
      </c>
      <c r="C13528" s="1" t="s">
        <v>5103</v>
      </c>
      <c r="D13528" s="1" t="s">
        <v>5104</v>
      </c>
    </row>
    <row r="13529">
      <c r="A13529" s="1" t="s">
        <v>23408</v>
      </c>
      <c r="B13529" s="2" t="s">
        <v>22936</v>
      </c>
      <c r="C13529" s="1" t="s">
        <v>5103</v>
      </c>
      <c r="D13529" s="1" t="s">
        <v>5104</v>
      </c>
    </row>
    <row r="13530">
      <c r="A13530" s="1" t="s">
        <v>23409</v>
      </c>
      <c r="B13530" s="2" t="s">
        <v>22938</v>
      </c>
      <c r="C13530" s="1" t="s">
        <v>5103</v>
      </c>
      <c r="D13530" s="1" t="s">
        <v>5104</v>
      </c>
    </row>
    <row r="13531">
      <c r="A13531" s="1" t="s">
        <v>23410</v>
      </c>
      <c r="B13531" s="2" t="s">
        <v>22940</v>
      </c>
      <c r="C13531" s="1" t="s">
        <v>5103</v>
      </c>
      <c r="D13531" s="1" t="s">
        <v>5104</v>
      </c>
    </row>
    <row r="13532">
      <c r="A13532" s="1" t="s">
        <v>5109</v>
      </c>
      <c r="B13532" s="2" t="s">
        <v>7</v>
      </c>
      <c r="C13532" s="1" t="s">
        <v>5112</v>
      </c>
      <c r="D13532" s="1" t="s">
        <v>5113</v>
      </c>
    </row>
    <row r="13533">
      <c r="A13533" s="1" t="s">
        <v>23411</v>
      </c>
      <c r="B13533" s="2" t="s">
        <v>13</v>
      </c>
      <c r="C13533" s="1" t="s">
        <v>5112</v>
      </c>
      <c r="D13533" s="1" t="s">
        <v>5113</v>
      </c>
    </row>
    <row r="13534">
      <c r="A13534" s="1" t="s">
        <v>23412</v>
      </c>
      <c r="B13534" s="2" t="s">
        <v>22442</v>
      </c>
      <c r="C13534" s="1" t="s">
        <v>5112</v>
      </c>
      <c r="D13534" s="1" t="s">
        <v>5113</v>
      </c>
    </row>
    <row r="13535">
      <c r="A13535" s="1" t="s">
        <v>23413</v>
      </c>
      <c r="B13535" s="2" t="s">
        <v>22762</v>
      </c>
      <c r="C13535" s="1" t="s">
        <v>5112</v>
      </c>
      <c r="D13535" s="1" t="s">
        <v>5113</v>
      </c>
    </row>
    <row r="13536">
      <c r="A13536" s="1" t="s">
        <v>23414</v>
      </c>
      <c r="B13536" s="2" t="s">
        <v>22764</v>
      </c>
      <c r="C13536" s="1" t="s">
        <v>5112</v>
      </c>
      <c r="D13536" s="1" t="s">
        <v>5113</v>
      </c>
    </row>
    <row r="13537">
      <c r="A13537" s="1" t="s">
        <v>23415</v>
      </c>
      <c r="B13537" s="2" t="s">
        <v>22766</v>
      </c>
      <c r="C13537" s="1" t="s">
        <v>5112</v>
      </c>
      <c r="D13537" s="1" t="s">
        <v>5113</v>
      </c>
    </row>
    <row r="13538">
      <c r="A13538" s="1" t="s">
        <v>23416</v>
      </c>
      <c r="B13538" s="2" t="s">
        <v>22768</v>
      </c>
      <c r="C13538" s="1" t="s">
        <v>5112</v>
      </c>
      <c r="D13538" s="1" t="s">
        <v>5113</v>
      </c>
    </row>
    <row r="13539">
      <c r="A13539" s="1" t="s">
        <v>23417</v>
      </c>
      <c r="B13539" s="2" t="s">
        <v>22770</v>
      </c>
      <c r="C13539" s="1" t="s">
        <v>5112</v>
      </c>
      <c r="D13539" s="1" t="s">
        <v>5113</v>
      </c>
    </row>
    <row r="13540">
      <c r="A13540" s="1" t="s">
        <v>23418</v>
      </c>
      <c r="B13540" s="2" t="s">
        <v>22772</v>
      </c>
      <c r="C13540" s="1" t="s">
        <v>5112</v>
      </c>
      <c r="D13540" s="1" t="s">
        <v>5113</v>
      </c>
    </row>
    <row r="13541">
      <c r="A13541" s="1" t="s">
        <v>23419</v>
      </c>
      <c r="B13541" s="2" t="s">
        <v>22774</v>
      </c>
      <c r="C13541" s="1" t="s">
        <v>5112</v>
      </c>
      <c r="D13541" s="1" t="s">
        <v>5113</v>
      </c>
    </row>
    <row r="13542">
      <c r="A13542" s="1" t="s">
        <v>23420</v>
      </c>
      <c r="B13542" s="2" t="s">
        <v>22776</v>
      </c>
      <c r="C13542" s="1" t="s">
        <v>5112</v>
      </c>
      <c r="D13542" s="1" t="s">
        <v>5113</v>
      </c>
    </row>
    <row r="13543">
      <c r="A13543" s="1" t="s">
        <v>23421</v>
      </c>
      <c r="B13543" s="2" t="s">
        <v>22778</v>
      </c>
      <c r="C13543" s="1" t="s">
        <v>5112</v>
      </c>
      <c r="D13543" s="1" t="s">
        <v>5113</v>
      </c>
    </row>
    <row r="13544">
      <c r="A13544" s="1" t="s">
        <v>23422</v>
      </c>
      <c r="B13544" s="2" t="s">
        <v>22780</v>
      </c>
      <c r="C13544" s="1" t="s">
        <v>5112</v>
      </c>
      <c r="D13544" s="1" t="s">
        <v>5113</v>
      </c>
    </row>
    <row r="13545">
      <c r="A13545" s="1" t="s">
        <v>23423</v>
      </c>
      <c r="B13545" s="2" t="s">
        <v>22782</v>
      </c>
      <c r="C13545" s="1" t="s">
        <v>5112</v>
      </c>
      <c r="D13545" s="1" t="s">
        <v>5113</v>
      </c>
    </row>
    <row r="13546">
      <c r="A13546" s="1" t="s">
        <v>23424</v>
      </c>
      <c r="B13546" s="2" t="s">
        <v>22784</v>
      </c>
      <c r="C13546" s="1" t="s">
        <v>5112</v>
      </c>
      <c r="D13546" s="1" t="s">
        <v>5113</v>
      </c>
    </row>
    <row r="13547">
      <c r="A13547" s="1" t="s">
        <v>23425</v>
      </c>
      <c r="B13547" s="2" t="s">
        <v>22786</v>
      </c>
      <c r="C13547" s="1" t="s">
        <v>5112</v>
      </c>
      <c r="D13547" s="1" t="s">
        <v>5113</v>
      </c>
    </row>
    <row r="13548">
      <c r="A13548" s="1" t="s">
        <v>23426</v>
      </c>
      <c r="B13548" s="2" t="s">
        <v>22788</v>
      </c>
      <c r="C13548" s="1" t="s">
        <v>5112</v>
      </c>
      <c r="D13548" s="1" t="s">
        <v>5113</v>
      </c>
    </row>
    <row r="13549">
      <c r="A13549" s="1" t="s">
        <v>23427</v>
      </c>
      <c r="B13549" s="2" t="s">
        <v>22790</v>
      </c>
      <c r="C13549" s="1" t="s">
        <v>5112</v>
      </c>
      <c r="D13549" s="1" t="s">
        <v>5113</v>
      </c>
    </row>
    <row r="13550">
      <c r="A13550" s="1" t="s">
        <v>23428</v>
      </c>
      <c r="B13550" s="2" t="s">
        <v>22792</v>
      </c>
      <c r="C13550" s="1" t="s">
        <v>5112</v>
      </c>
      <c r="D13550" s="1" t="s">
        <v>5113</v>
      </c>
    </row>
    <row r="13551">
      <c r="A13551" s="1" t="s">
        <v>23429</v>
      </c>
      <c r="B13551" s="2" t="s">
        <v>22794</v>
      </c>
      <c r="C13551" s="1" t="s">
        <v>5112</v>
      </c>
      <c r="D13551" s="1" t="s">
        <v>5113</v>
      </c>
    </row>
    <row r="13552">
      <c r="A13552" s="1" t="s">
        <v>23430</v>
      </c>
      <c r="B13552" s="2" t="s">
        <v>22796</v>
      </c>
      <c r="C13552" s="1" t="s">
        <v>5112</v>
      </c>
      <c r="D13552" s="1" t="s">
        <v>5113</v>
      </c>
    </row>
    <row r="13553">
      <c r="A13553" s="1" t="s">
        <v>23431</v>
      </c>
      <c r="B13553" s="2" t="s">
        <v>22798</v>
      </c>
      <c r="C13553" s="1" t="s">
        <v>5112</v>
      </c>
      <c r="D13553" s="1" t="s">
        <v>5113</v>
      </c>
    </row>
    <row r="13554">
      <c r="A13554" s="1" t="s">
        <v>23432</v>
      </c>
      <c r="B13554" s="2" t="s">
        <v>22800</v>
      </c>
      <c r="C13554" s="1" t="s">
        <v>5112</v>
      </c>
      <c r="D13554" s="1" t="s">
        <v>5113</v>
      </c>
    </row>
    <row r="13555">
      <c r="A13555" s="1" t="s">
        <v>23433</v>
      </c>
      <c r="B13555" s="2" t="s">
        <v>22802</v>
      </c>
      <c r="C13555" s="1" t="s">
        <v>5112</v>
      </c>
      <c r="D13555" s="1" t="s">
        <v>5113</v>
      </c>
    </row>
    <row r="13556">
      <c r="A13556" s="1" t="s">
        <v>23434</v>
      </c>
      <c r="B13556" s="2" t="s">
        <v>22804</v>
      </c>
      <c r="C13556" s="1" t="s">
        <v>5112</v>
      </c>
      <c r="D13556" s="1" t="s">
        <v>5113</v>
      </c>
    </row>
    <row r="13557">
      <c r="A13557" s="1" t="s">
        <v>23435</v>
      </c>
      <c r="B13557" s="2" t="s">
        <v>22488</v>
      </c>
      <c r="C13557" s="1" t="s">
        <v>5112</v>
      </c>
      <c r="D13557" s="1" t="s">
        <v>5113</v>
      </c>
    </row>
    <row r="13558">
      <c r="A13558" s="1" t="s">
        <v>23436</v>
      </c>
      <c r="B13558" s="2" t="s">
        <v>22807</v>
      </c>
      <c r="C13558" s="1" t="s">
        <v>5112</v>
      </c>
      <c r="D13558" s="1" t="s">
        <v>5113</v>
      </c>
    </row>
    <row r="13559">
      <c r="A13559" s="1" t="s">
        <v>23437</v>
      </c>
      <c r="B13559" s="2" t="s">
        <v>22809</v>
      </c>
      <c r="C13559" s="1" t="s">
        <v>5112</v>
      </c>
      <c r="D13559" s="1" t="s">
        <v>5113</v>
      </c>
    </row>
    <row r="13560">
      <c r="A13560" s="1" t="s">
        <v>23438</v>
      </c>
      <c r="B13560" s="2" t="s">
        <v>22811</v>
      </c>
      <c r="C13560" s="1" t="s">
        <v>5112</v>
      </c>
      <c r="D13560" s="1" t="s">
        <v>5113</v>
      </c>
    </row>
    <row r="13561">
      <c r="A13561" s="1" t="s">
        <v>23439</v>
      </c>
      <c r="B13561" s="2" t="s">
        <v>22813</v>
      </c>
      <c r="C13561" s="1" t="s">
        <v>5112</v>
      </c>
      <c r="D13561" s="1" t="s">
        <v>5113</v>
      </c>
    </row>
    <row r="13562">
      <c r="A13562" s="1" t="s">
        <v>23440</v>
      </c>
      <c r="B13562" s="2" t="s">
        <v>22815</v>
      </c>
      <c r="C13562" s="1" t="s">
        <v>5112</v>
      </c>
      <c r="D13562" s="1" t="s">
        <v>5113</v>
      </c>
    </row>
    <row r="13563">
      <c r="A13563" s="1" t="s">
        <v>23441</v>
      </c>
      <c r="B13563" s="2" t="s">
        <v>22817</v>
      </c>
      <c r="C13563" s="1" t="s">
        <v>5112</v>
      </c>
      <c r="D13563" s="1" t="s">
        <v>5113</v>
      </c>
    </row>
    <row r="13564">
      <c r="A13564" s="1" t="s">
        <v>23442</v>
      </c>
      <c r="B13564" s="2" t="s">
        <v>22819</v>
      </c>
      <c r="C13564" s="1" t="s">
        <v>5112</v>
      </c>
      <c r="D13564" s="1" t="s">
        <v>5113</v>
      </c>
    </row>
    <row r="13565">
      <c r="A13565" s="1" t="s">
        <v>23443</v>
      </c>
      <c r="B13565" s="2" t="s">
        <v>22821</v>
      </c>
      <c r="C13565" s="1" t="s">
        <v>5112</v>
      </c>
      <c r="D13565" s="1" t="s">
        <v>5113</v>
      </c>
    </row>
    <row r="13566">
      <c r="A13566" s="1" t="s">
        <v>23444</v>
      </c>
      <c r="B13566" s="2" t="s">
        <v>22823</v>
      </c>
      <c r="C13566" s="1" t="s">
        <v>5112</v>
      </c>
      <c r="D13566" s="1" t="s">
        <v>5113</v>
      </c>
    </row>
    <row r="13567">
      <c r="A13567" s="1" t="s">
        <v>23445</v>
      </c>
      <c r="B13567" s="2" t="s">
        <v>22825</v>
      </c>
      <c r="C13567" s="1" t="s">
        <v>5112</v>
      </c>
      <c r="D13567" s="1" t="s">
        <v>5113</v>
      </c>
    </row>
    <row r="13568">
      <c r="A13568" s="1" t="s">
        <v>23446</v>
      </c>
      <c r="B13568" s="2" t="s">
        <v>22827</v>
      </c>
      <c r="C13568" s="1" t="s">
        <v>5112</v>
      </c>
      <c r="D13568" s="1" t="s">
        <v>5113</v>
      </c>
    </row>
    <row r="13569">
      <c r="A13569" s="1" t="s">
        <v>23447</v>
      </c>
      <c r="B13569" s="2" t="s">
        <v>22829</v>
      </c>
      <c r="C13569" s="1" t="s">
        <v>5112</v>
      </c>
      <c r="D13569" s="1" t="s">
        <v>5113</v>
      </c>
    </row>
    <row r="13570">
      <c r="A13570" s="1" t="s">
        <v>23448</v>
      </c>
      <c r="B13570" s="2" t="s">
        <v>22831</v>
      </c>
      <c r="C13570" s="1" t="s">
        <v>5112</v>
      </c>
      <c r="D13570" s="1" t="s">
        <v>5113</v>
      </c>
    </row>
    <row r="13571">
      <c r="A13571" s="1" t="s">
        <v>23449</v>
      </c>
      <c r="B13571" s="2" t="s">
        <v>22833</v>
      </c>
      <c r="C13571" s="1" t="s">
        <v>5112</v>
      </c>
      <c r="D13571" s="1" t="s">
        <v>5113</v>
      </c>
    </row>
    <row r="13572">
      <c r="A13572" s="1" t="s">
        <v>23450</v>
      </c>
      <c r="B13572" s="2" t="s">
        <v>22835</v>
      </c>
      <c r="C13572" s="1" t="s">
        <v>5112</v>
      </c>
      <c r="D13572" s="1" t="s">
        <v>5113</v>
      </c>
    </row>
    <row r="13573">
      <c r="A13573" s="1" t="s">
        <v>23451</v>
      </c>
      <c r="B13573" s="2" t="s">
        <v>22837</v>
      </c>
      <c r="C13573" s="1" t="s">
        <v>5112</v>
      </c>
      <c r="D13573" s="1" t="s">
        <v>5113</v>
      </c>
    </row>
    <row r="13574">
      <c r="A13574" s="1" t="s">
        <v>23452</v>
      </c>
      <c r="B13574" s="2" t="s">
        <v>22839</v>
      </c>
      <c r="C13574" s="1" t="s">
        <v>5112</v>
      </c>
      <c r="D13574" s="1" t="s">
        <v>5113</v>
      </c>
    </row>
    <row r="13575">
      <c r="A13575" s="1" t="s">
        <v>23453</v>
      </c>
      <c r="B13575" s="2" t="s">
        <v>22841</v>
      </c>
      <c r="C13575" s="1" t="s">
        <v>5112</v>
      </c>
      <c r="D13575" s="1" t="s">
        <v>5113</v>
      </c>
    </row>
    <row r="13576">
      <c r="A13576" s="1" t="s">
        <v>23454</v>
      </c>
      <c r="B13576" s="2" t="s">
        <v>22843</v>
      </c>
      <c r="C13576" s="1" t="s">
        <v>5112</v>
      </c>
      <c r="D13576" s="1" t="s">
        <v>5113</v>
      </c>
    </row>
    <row r="13577">
      <c r="A13577" s="1" t="s">
        <v>23455</v>
      </c>
      <c r="B13577" s="2" t="s">
        <v>22845</v>
      </c>
      <c r="C13577" s="1" t="s">
        <v>5112</v>
      </c>
      <c r="D13577" s="1" t="s">
        <v>5113</v>
      </c>
    </row>
    <row r="13578">
      <c r="A13578" s="1" t="s">
        <v>23456</v>
      </c>
      <c r="B13578" s="2" t="s">
        <v>22847</v>
      </c>
      <c r="C13578" s="1" t="s">
        <v>5112</v>
      </c>
      <c r="D13578" s="1" t="s">
        <v>5113</v>
      </c>
    </row>
    <row r="13579">
      <c r="A13579" s="1" t="s">
        <v>23457</v>
      </c>
      <c r="B13579" s="2" t="s">
        <v>22849</v>
      </c>
      <c r="C13579" s="1" t="s">
        <v>5112</v>
      </c>
      <c r="D13579" s="1" t="s">
        <v>5113</v>
      </c>
    </row>
    <row r="13580">
      <c r="A13580" s="1" t="s">
        <v>23458</v>
      </c>
      <c r="B13580" s="2" t="s">
        <v>70</v>
      </c>
      <c r="C13580" s="1" t="s">
        <v>5112</v>
      </c>
      <c r="D13580" s="1" t="s">
        <v>5113</v>
      </c>
    </row>
    <row r="13581">
      <c r="A13581" s="1" t="s">
        <v>23459</v>
      </c>
      <c r="B13581" s="2" t="s">
        <v>22535</v>
      </c>
      <c r="C13581" s="1" t="s">
        <v>5112</v>
      </c>
      <c r="D13581" s="1" t="s">
        <v>5113</v>
      </c>
    </row>
    <row r="13582">
      <c r="A13582" s="1" t="s">
        <v>23460</v>
      </c>
      <c r="B13582" s="2" t="s">
        <v>22853</v>
      </c>
      <c r="C13582" s="1" t="s">
        <v>5112</v>
      </c>
      <c r="D13582" s="1" t="s">
        <v>5113</v>
      </c>
    </row>
    <row r="13583">
      <c r="A13583" s="1" t="s">
        <v>23461</v>
      </c>
      <c r="B13583" s="2" t="s">
        <v>22855</v>
      </c>
      <c r="C13583" s="1" t="s">
        <v>5112</v>
      </c>
      <c r="D13583" s="1" t="s">
        <v>5113</v>
      </c>
    </row>
    <row r="13584">
      <c r="A13584" s="1" t="s">
        <v>23462</v>
      </c>
      <c r="B13584" s="2" t="s">
        <v>22857</v>
      </c>
      <c r="C13584" s="1" t="s">
        <v>5112</v>
      </c>
      <c r="D13584" s="1" t="s">
        <v>5113</v>
      </c>
    </row>
    <row r="13585">
      <c r="A13585" s="1" t="s">
        <v>23463</v>
      </c>
      <c r="B13585" s="2" t="s">
        <v>22859</v>
      </c>
      <c r="C13585" s="1" t="s">
        <v>5112</v>
      </c>
      <c r="D13585" s="1" t="s">
        <v>5113</v>
      </c>
    </row>
    <row r="13586">
      <c r="A13586" s="1" t="s">
        <v>23464</v>
      </c>
      <c r="B13586" s="2" t="s">
        <v>22861</v>
      </c>
      <c r="C13586" s="1" t="s">
        <v>5112</v>
      </c>
      <c r="D13586" s="1" t="s">
        <v>5113</v>
      </c>
    </row>
    <row r="13587">
      <c r="A13587" s="1" t="s">
        <v>23465</v>
      </c>
      <c r="B13587" s="2" t="s">
        <v>22863</v>
      </c>
      <c r="C13587" s="1" t="s">
        <v>5112</v>
      </c>
      <c r="D13587" s="1" t="s">
        <v>5113</v>
      </c>
    </row>
    <row r="13588">
      <c r="A13588" s="1" t="s">
        <v>23466</v>
      </c>
      <c r="B13588" s="2" t="s">
        <v>22865</v>
      </c>
      <c r="C13588" s="1" t="s">
        <v>5112</v>
      </c>
      <c r="D13588" s="1" t="s">
        <v>5113</v>
      </c>
    </row>
    <row r="13589">
      <c r="A13589" s="1" t="s">
        <v>23467</v>
      </c>
      <c r="B13589" s="2" t="s">
        <v>22867</v>
      </c>
      <c r="C13589" s="1" t="s">
        <v>5112</v>
      </c>
      <c r="D13589" s="1" t="s">
        <v>5113</v>
      </c>
    </row>
    <row r="13590">
      <c r="A13590" s="1" t="s">
        <v>23468</v>
      </c>
      <c r="B13590" s="2" t="s">
        <v>22869</v>
      </c>
      <c r="C13590" s="1" t="s">
        <v>5112</v>
      </c>
      <c r="D13590" s="1" t="s">
        <v>5113</v>
      </c>
    </row>
    <row r="13591">
      <c r="A13591" s="1" t="s">
        <v>23469</v>
      </c>
      <c r="B13591" s="2" t="s">
        <v>22871</v>
      </c>
      <c r="C13591" s="1" t="s">
        <v>5112</v>
      </c>
      <c r="D13591" s="1" t="s">
        <v>5113</v>
      </c>
    </row>
    <row r="13592">
      <c r="A13592" s="1" t="s">
        <v>23470</v>
      </c>
      <c r="B13592" s="2" t="s">
        <v>22873</v>
      </c>
      <c r="C13592" s="1" t="s">
        <v>5112</v>
      </c>
      <c r="D13592" s="1" t="s">
        <v>5113</v>
      </c>
    </row>
    <row r="13593">
      <c r="A13593" s="1" t="s">
        <v>23471</v>
      </c>
      <c r="B13593" s="2" t="s">
        <v>22875</v>
      </c>
      <c r="C13593" s="1" t="s">
        <v>5112</v>
      </c>
      <c r="D13593" s="1" t="s">
        <v>5113</v>
      </c>
    </row>
    <row r="13594">
      <c r="A13594" s="1" t="s">
        <v>23472</v>
      </c>
      <c r="B13594" s="2" t="s">
        <v>22877</v>
      </c>
      <c r="C13594" s="1" t="s">
        <v>5112</v>
      </c>
      <c r="D13594" s="1" t="s">
        <v>5113</v>
      </c>
    </row>
    <row r="13595">
      <c r="A13595" s="1" t="s">
        <v>23473</v>
      </c>
      <c r="B13595" s="2" t="s">
        <v>22879</v>
      </c>
      <c r="C13595" s="1" t="s">
        <v>5112</v>
      </c>
      <c r="D13595" s="1" t="s">
        <v>5113</v>
      </c>
    </row>
    <row r="13596">
      <c r="A13596" s="1" t="s">
        <v>23474</v>
      </c>
      <c r="B13596" s="2" t="s">
        <v>22881</v>
      </c>
      <c r="C13596" s="1" t="s">
        <v>5112</v>
      </c>
      <c r="D13596" s="1" t="s">
        <v>5113</v>
      </c>
    </row>
    <row r="13597">
      <c r="A13597" s="1" t="s">
        <v>23475</v>
      </c>
      <c r="B13597" s="2" t="s">
        <v>22883</v>
      </c>
      <c r="C13597" s="1" t="s">
        <v>5112</v>
      </c>
      <c r="D13597" s="1" t="s">
        <v>5113</v>
      </c>
    </row>
    <row r="13598">
      <c r="A13598" s="1" t="s">
        <v>23476</v>
      </c>
      <c r="B13598" s="2" t="s">
        <v>22885</v>
      </c>
      <c r="C13598" s="1" t="s">
        <v>5112</v>
      </c>
      <c r="D13598" s="1" t="s">
        <v>5113</v>
      </c>
    </row>
    <row r="13599">
      <c r="A13599" s="1" t="s">
        <v>23477</v>
      </c>
      <c r="B13599" s="2" t="s">
        <v>22887</v>
      </c>
      <c r="C13599" s="1" t="s">
        <v>5112</v>
      </c>
      <c r="D13599" s="1" t="s">
        <v>5113</v>
      </c>
    </row>
    <row r="13600">
      <c r="A13600" s="1" t="s">
        <v>23478</v>
      </c>
      <c r="B13600" s="2" t="s">
        <v>22889</v>
      </c>
      <c r="C13600" s="1" t="s">
        <v>5112</v>
      </c>
      <c r="D13600" s="1" t="s">
        <v>5113</v>
      </c>
    </row>
    <row r="13601">
      <c r="A13601" s="1" t="s">
        <v>23479</v>
      </c>
      <c r="B13601" s="2" t="s">
        <v>22891</v>
      </c>
      <c r="C13601" s="1" t="s">
        <v>5112</v>
      </c>
      <c r="D13601" s="1" t="s">
        <v>5113</v>
      </c>
    </row>
    <row r="13602">
      <c r="A13602" s="1" t="s">
        <v>23480</v>
      </c>
      <c r="B13602" s="2" t="s">
        <v>22893</v>
      </c>
      <c r="C13602" s="1" t="s">
        <v>5112</v>
      </c>
      <c r="D13602" s="1" t="s">
        <v>5113</v>
      </c>
    </row>
    <row r="13603">
      <c r="A13603" s="1" t="s">
        <v>23481</v>
      </c>
      <c r="B13603" s="2" t="s">
        <v>22895</v>
      </c>
      <c r="C13603" s="1" t="s">
        <v>5112</v>
      </c>
      <c r="D13603" s="1" t="s">
        <v>5113</v>
      </c>
    </row>
    <row r="13604">
      <c r="A13604" s="1" t="s">
        <v>23482</v>
      </c>
      <c r="B13604" s="2" t="s">
        <v>22581</v>
      </c>
      <c r="C13604" s="1" t="s">
        <v>5112</v>
      </c>
      <c r="D13604" s="1" t="s">
        <v>5113</v>
      </c>
    </row>
    <row r="13605">
      <c r="A13605" s="1" t="s">
        <v>23483</v>
      </c>
      <c r="B13605" s="2" t="s">
        <v>22898</v>
      </c>
      <c r="C13605" s="1" t="s">
        <v>5112</v>
      </c>
      <c r="D13605" s="1" t="s">
        <v>5113</v>
      </c>
    </row>
    <row r="13606">
      <c r="A13606" s="1" t="s">
        <v>23484</v>
      </c>
      <c r="B13606" s="2" t="s">
        <v>22900</v>
      </c>
      <c r="C13606" s="1" t="s">
        <v>5112</v>
      </c>
      <c r="D13606" s="1" t="s">
        <v>5113</v>
      </c>
    </row>
    <row r="13607">
      <c r="A13607" s="1" t="s">
        <v>23485</v>
      </c>
      <c r="B13607" s="2" t="s">
        <v>22902</v>
      </c>
      <c r="C13607" s="1" t="s">
        <v>5112</v>
      </c>
      <c r="D13607" s="1" t="s">
        <v>5113</v>
      </c>
    </row>
    <row r="13608">
      <c r="A13608" s="1" t="s">
        <v>23486</v>
      </c>
      <c r="B13608" s="2" t="s">
        <v>22904</v>
      </c>
      <c r="C13608" s="1" t="s">
        <v>5112</v>
      </c>
      <c r="D13608" s="1" t="s">
        <v>5113</v>
      </c>
    </row>
    <row r="13609">
      <c r="A13609" s="1" t="s">
        <v>23487</v>
      </c>
      <c r="B13609" s="2" t="s">
        <v>22906</v>
      </c>
      <c r="C13609" s="1" t="s">
        <v>5112</v>
      </c>
      <c r="D13609" s="1" t="s">
        <v>5113</v>
      </c>
    </row>
    <row r="13610">
      <c r="A13610" s="1" t="s">
        <v>23488</v>
      </c>
      <c r="B13610" s="2" t="s">
        <v>22908</v>
      </c>
      <c r="C13610" s="1" t="s">
        <v>5112</v>
      </c>
      <c r="D13610" s="1" t="s">
        <v>5113</v>
      </c>
    </row>
    <row r="13611">
      <c r="A13611" s="1" t="s">
        <v>23489</v>
      </c>
      <c r="B13611" s="2" t="s">
        <v>22910</v>
      </c>
      <c r="C13611" s="1" t="s">
        <v>5112</v>
      </c>
      <c r="D13611" s="1" t="s">
        <v>5113</v>
      </c>
    </row>
    <row r="13612">
      <c r="A13612" s="1" t="s">
        <v>23490</v>
      </c>
      <c r="B13612" s="2" t="s">
        <v>22912</v>
      </c>
      <c r="C13612" s="1" t="s">
        <v>5112</v>
      </c>
      <c r="D13612" s="1" t="s">
        <v>5113</v>
      </c>
    </row>
    <row r="13613">
      <c r="A13613" s="1" t="s">
        <v>23491</v>
      </c>
      <c r="B13613" s="2" t="s">
        <v>22914</v>
      </c>
      <c r="C13613" s="1" t="s">
        <v>5112</v>
      </c>
      <c r="D13613" s="1" t="s">
        <v>5113</v>
      </c>
    </row>
    <row r="13614">
      <c r="A13614" s="1" t="s">
        <v>23492</v>
      </c>
      <c r="B13614" s="2" t="s">
        <v>22916</v>
      </c>
      <c r="C13614" s="1" t="s">
        <v>5112</v>
      </c>
      <c r="D13614" s="1" t="s">
        <v>5113</v>
      </c>
    </row>
    <row r="13615">
      <c r="A13615" s="1" t="s">
        <v>23493</v>
      </c>
      <c r="B13615" s="2" t="s">
        <v>22918</v>
      </c>
      <c r="C13615" s="1" t="s">
        <v>5112</v>
      </c>
      <c r="D13615" s="1" t="s">
        <v>5113</v>
      </c>
    </row>
    <row r="13616">
      <c r="A13616" s="1" t="s">
        <v>23494</v>
      </c>
      <c r="B13616" s="2" t="s">
        <v>22920</v>
      </c>
      <c r="C13616" s="1" t="s">
        <v>5112</v>
      </c>
      <c r="D13616" s="1" t="s">
        <v>5113</v>
      </c>
    </row>
    <row r="13617">
      <c r="A13617" s="1" t="s">
        <v>23495</v>
      </c>
      <c r="B13617" s="2" t="s">
        <v>22922</v>
      </c>
      <c r="C13617" s="1" t="s">
        <v>5112</v>
      </c>
      <c r="D13617" s="1" t="s">
        <v>5113</v>
      </c>
    </row>
    <row r="13618">
      <c r="A13618" s="1" t="s">
        <v>23496</v>
      </c>
      <c r="B13618" s="2" t="s">
        <v>22924</v>
      </c>
      <c r="C13618" s="1" t="s">
        <v>5112</v>
      </c>
      <c r="D13618" s="1" t="s">
        <v>5113</v>
      </c>
    </row>
    <row r="13619">
      <c r="A13619" s="1" t="s">
        <v>23497</v>
      </c>
      <c r="B13619" s="2" t="s">
        <v>22926</v>
      </c>
      <c r="C13619" s="1" t="s">
        <v>5112</v>
      </c>
      <c r="D13619" s="1" t="s">
        <v>5113</v>
      </c>
    </row>
    <row r="13620">
      <c r="A13620" s="1" t="s">
        <v>23498</v>
      </c>
      <c r="B13620" s="2" t="s">
        <v>22928</v>
      </c>
      <c r="C13620" s="1" t="s">
        <v>5112</v>
      </c>
      <c r="D13620" s="1" t="s">
        <v>5113</v>
      </c>
    </row>
    <row r="13621">
      <c r="A13621" s="1" t="s">
        <v>23499</v>
      </c>
      <c r="B13621" s="2" t="s">
        <v>22930</v>
      </c>
      <c r="C13621" s="1" t="s">
        <v>5112</v>
      </c>
      <c r="D13621" s="1" t="s">
        <v>5113</v>
      </c>
    </row>
    <row r="13622">
      <c r="A13622" s="1" t="s">
        <v>23500</v>
      </c>
      <c r="B13622" s="2" t="s">
        <v>22932</v>
      </c>
      <c r="C13622" s="1" t="s">
        <v>5112</v>
      </c>
      <c r="D13622" s="1" t="s">
        <v>5113</v>
      </c>
    </row>
    <row r="13623">
      <c r="A13623" s="1" t="s">
        <v>23501</v>
      </c>
      <c r="B13623" s="2" t="s">
        <v>22934</v>
      </c>
      <c r="C13623" s="1" t="s">
        <v>5112</v>
      </c>
      <c r="D13623" s="1" t="s">
        <v>5113</v>
      </c>
    </row>
    <row r="13624">
      <c r="A13624" s="1" t="s">
        <v>23502</v>
      </c>
      <c r="B13624" s="2" t="s">
        <v>22936</v>
      </c>
      <c r="C13624" s="1" t="s">
        <v>5112</v>
      </c>
      <c r="D13624" s="1" t="s">
        <v>5113</v>
      </c>
    </row>
    <row r="13625">
      <c r="A13625" s="1" t="s">
        <v>23503</v>
      </c>
      <c r="B13625" s="2" t="s">
        <v>22938</v>
      </c>
      <c r="C13625" s="1" t="s">
        <v>5112</v>
      </c>
      <c r="D13625" s="1" t="s">
        <v>5113</v>
      </c>
    </row>
    <row r="13626">
      <c r="A13626" s="1" t="s">
        <v>23504</v>
      </c>
      <c r="B13626" s="2" t="s">
        <v>22940</v>
      </c>
      <c r="C13626" s="1" t="s">
        <v>5112</v>
      </c>
      <c r="D13626" s="1" t="s">
        <v>5113</v>
      </c>
    </row>
    <row r="13627">
      <c r="A13627" s="1" t="s">
        <v>5118</v>
      </c>
      <c r="B13627" s="2" t="s">
        <v>7</v>
      </c>
      <c r="C13627" s="1" t="s">
        <v>5121</v>
      </c>
      <c r="D13627" s="1" t="s">
        <v>5122</v>
      </c>
    </row>
    <row r="13628">
      <c r="A13628" s="1" t="s">
        <v>23505</v>
      </c>
      <c r="B13628" s="2" t="s">
        <v>13</v>
      </c>
      <c r="C13628" s="1" t="s">
        <v>5121</v>
      </c>
      <c r="D13628" s="1" t="s">
        <v>5122</v>
      </c>
    </row>
    <row r="13629">
      <c r="A13629" s="1" t="s">
        <v>23506</v>
      </c>
      <c r="B13629" s="2" t="s">
        <v>22442</v>
      </c>
      <c r="C13629" s="1" t="s">
        <v>5121</v>
      </c>
      <c r="D13629" s="1" t="s">
        <v>5122</v>
      </c>
    </row>
    <row r="13630">
      <c r="A13630" s="1" t="s">
        <v>23507</v>
      </c>
      <c r="B13630" s="2" t="s">
        <v>22762</v>
      </c>
      <c r="C13630" s="1" t="s">
        <v>5121</v>
      </c>
      <c r="D13630" s="1" t="s">
        <v>5122</v>
      </c>
    </row>
    <row r="13631">
      <c r="A13631" s="1" t="s">
        <v>23508</v>
      </c>
      <c r="B13631" s="2" t="s">
        <v>22764</v>
      </c>
      <c r="C13631" s="1" t="s">
        <v>5121</v>
      </c>
      <c r="D13631" s="1" t="s">
        <v>5122</v>
      </c>
    </row>
    <row r="13632">
      <c r="A13632" s="1" t="s">
        <v>23509</v>
      </c>
      <c r="B13632" s="2" t="s">
        <v>22766</v>
      </c>
      <c r="C13632" s="1" t="s">
        <v>5121</v>
      </c>
      <c r="D13632" s="1" t="s">
        <v>5122</v>
      </c>
    </row>
    <row r="13633">
      <c r="A13633" s="1" t="s">
        <v>23510</v>
      </c>
      <c r="B13633" s="2" t="s">
        <v>22768</v>
      </c>
      <c r="C13633" s="1" t="s">
        <v>5121</v>
      </c>
      <c r="D13633" s="1" t="s">
        <v>5122</v>
      </c>
    </row>
    <row r="13634">
      <c r="A13634" s="1" t="s">
        <v>23511</v>
      </c>
      <c r="B13634" s="2" t="s">
        <v>22770</v>
      </c>
      <c r="C13634" s="1" t="s">
        <v>5121</v>
      </c>
      <c r="D13634" s="1" t="s">
        <v>5122</v>
      </c>
    </row>
    <row r="13635">
      <c r="A13635" s="1" t="s">
        <v>23512</v>
      </c>
      <c r="B13635" s="2" t="s">
        <v>22772</v>
      </c>
      <c r="C13635" s="1" t="s">
        <v>5121</v>
      </c>
      <c r="D13635" s="1" t="s">
        <v>5122</v>
      </c>
    </row>
    <row r="13636">
      <c r="A13636" s="1" t="s">
        <v>23513</v>
      </c>
      <c r="B13636" s="2" t="s">
        <v>22774</v>
      </c>
      <c r="C13636" s="1" t="s">
        <v>5121</v>
      </c>
      <c r="D13636" s="1" t="s">
        <v>5122</v>
      </c>
    </row>
    <row r="13637">
      <c r="A13637" s="1" t="s">
        <v>23514</v>
      </c>
      <c r="B13637" s="2" t="s">
        <v>22776</v>
      </c>
      <c r="C13637" s="1" t="s">
        <v>5121</v>
      </c>
      <c r="D13637" s="1" t="s">
        <v>5122</v>
      </c>
    </row>
    <row r="13638">
      <c r="A13638" s="1" t="s">
        <v>23515</v>
      </c>
      <c r="B13638" s="2" t="s">
        <v>22778</v>
      </c>
      <c r="C13638" s="1" t="s">
        <v>5121</v>
      </c>
      <c r="D13638" s="1" t="s">
        <v>5122</v>
      </c>
    </row>
    <row r="13639">
      <c r="A13639" s="1" t="s">
        <v>23516</v>
      </c>
      <c r="B13639" s="2" t="s">
        <v>22780</v>
      </c>
      <c r="C13639" s="1" t="s">
        <v>5121</v>
      </c>
      <c r="D13639" s="1" t="s">
        <v>5122</v>
      </c>
    </row>
    <row r="13640">
      <c r="A13640" s="1" t="s">
        <v>23517</v>
      </c>
      <c r="B13640" s="2" t="s">
        <v>22782</v>
      </c>
      <c r="C13640" s="1" t="s">
        <v>5121</v>
      </c>
      <c r="D13640" s="1" t="s">
        <v>5122</v>
      </c>
    </row>
    <row r="13641">
      <c r="A13641" s="1" t="s">
        <v>23518</v>
      </c>
      <c r="B13641" s="2" t="s">
        <v>22784</v>
      </c>
      <c r="C13641" s="1" t="s">
        <v>5121</v>
      </c>
      <c r="D13641" s="1" t="s">
        <v>5122</v>
      </c>
    </row>
    <row r="13642">
      <c r="A13642" s="1" t="s">
        <v>23519</v>
      </c>
      <c r="B13642" s="2" t="s">
        <v>22786</v>
      </c>
      <c r="C13642" s="1" t="s">
        <v>5121</v>
      </c>
      <c r="D13642" s="1" t="s">
        <v>5122</v>
      </c>
    </row>
    <row r="13643">
      <c r="A13643" s="1" t="s">
        <v>23520</v>
      </c>
      <c r="B13643" s="2" t="s">
        <v>22788</v>
      </c>
      <c r="C13643" s="1" t="s">
        <v>5121</v>
      </c>
      <c r="D13643" s="1" t="s">
        <v>5122</v>
      </c>
    </row>
    <row r="13644">
      <c r="A13644" s="1" t="s">
        <v>23521</v>
      </c>
      <c r="B13644" s="2" t="s">
        <v>22790</v>
      </c>
      <c r="C13644" s="1" t="s">
        <v>5121</v>
      </c>
      <c r="D13644" s="1" t="s">
        <v>5122</v>
      </c>
    </row>
    <row r="13645">
      <c r="A13645" s="1" t="s">
        <v>23522</v>
      </c>
      <c r="B13645" s="2" t="s">
        <v>22792</v>
      </c>
      <c r="C13645" s="1" t="s">
        <v>5121</v>
      </c>
      <c r="D13645" s="1" t="s">
        <v>5122</v>
      </c>
    </row>
    <row r="13646">
      <c r="A13646" s="1" t="s">
        <v>23523</v>
      </c>
      <c r="B13646" s="2" t="s">
        <v>22794</v>
      </c>
      <c r="C13646" s="1" t="s">
        <v>5121</v>
      </c>
      <c r="D13646" s="1" t="s">
        <v>5122</v>
      </c>
    </row>
    <row r="13647">
      <c r="A13647" s="1" t="s">
        <v>23524</v>
      </c>
      <c r="B13647" s="2" t="s">
        <v>22796</v>
      </c>
      <c r="C13647" s="1" t="s">
        <v>5121</v>
      </c>
      <c r="D13647" s="1" t="s">
        <v>5122</v>
      </c>
    </row>
    <row r="13648">
      <c r="A13648" s="1" t="s">
        <v>23525</v>
      </c>
      <c r="B13648" s="2" t="s">
        <v>22798</v>
      </c>
      <c r="C13648" s="1" t="s">
        <v>5121</v>
      </c>
      <c r="D13648" s="1" t="s">
        <v>5122</v>
      </c>
    </row>
    <row r="13649">
      <c r="A13649" s="1" t="s">
        <v>23526</v>
      </c>
      <c r="B13649" s="2" t="s">
        <v>22800</v>
      </c>
      <c r="C13649" s="1" t="s">
        <v>5121</v>
      </c>
      <c r="D13649" s="1" t="s">
        <v>5122</v>
      </c>
    </row>
    <row r="13650">
      <c r="A13650" s="1" t="s">
        <v>23527</v>
      </c>
      <c r="B13650" s="2" t="s">
        <v>22802</v>
      </c>
      <c r="C13650" s="1" t="s">
        <v>5121</v>
      </c>
      <c r="D13650" s="1" t="s">
        <v>5122</v>
      </c>
    </row>
    <row r="13651">
      <c r="A13651" s="1" t="s">
        <v>23528</v>
      </c>
      <c r="B13651" s="2" t="s">
        <v>22804</v>
      </c>
      <c r="C13651" s="1" t="s">
        <v>5121</v>
      </c>
      <c r="D13651" s="1" t="s">
        <v>5122</v>
      </c>
    </row>
    <row r="13652">
      <c r="A13652" s="1" t="s">
        <v>23529</v>
      </c>
      <c r="B13652" s="2" t="s">
        <v>22488</v>
      </c>
      <c r="C13652" s="1" t="s">
        <v>5121</v>
      </c>
      <c r="D13652" s="1" t="s">
        <v>5122</v>
      </c>
    </row>
    <row r="13653">
      <c r="A13653" s="1" t="s">
        <v>23530</v>
      </c>
      <c r="B13653" s="2" t="s">
        <v>22807</v>
      </c>
      <c r="C13653" s="1" t="s">
        <v>5121</v>
      </c>
      <c r="D13653" s="1" t="s">
        <v>5122</v>
      </c>
    </row>
    <row r="13654">
      <c r="A13654" s="1" t="s">
        <v>23531</v>
      </c>
      <c r="B13654" s="2" t="s">
        <v>22809</v>
      </c>
      <c r="C13654" s="1" t="s">
        <v>5121</v>
      </c>
      <c r="D13654" s="1" t="s">
        <v>5122</v>
      </c>
    </row>
    <row r="13655">
      <c r="A13655" s="1" t="s">
        <v>23532</v>
      </c>
      <c r="B13655" s="2" t="s">
        <v>22811</v>
      </c>
      <c r="C13655" s="1" t="s">
        <v>5121</v>
      </c>
      <c r="D13655" s="1" t="s">
        <v>5122</v>
      </c>
    </row>
    <row r="13656">
      <c r="A13656" s="1" t="s">
        <v>23533</v>
      </c>
      <c r="B13656" s="2" t="s">
        <v>22813</v>
      </c>
      <c r="C13656" s="1" t="s">
        <v>5121</v>
      </c>
      <c r="D13656" s="1" t="s">
        <v>5122</v>
      </c>
    </row>
    <row r="13657">
      <c r="A13657" s="1" t="s">
        <v>23534</v>
      </c>
      <c r="B13657" s="2" t="s">
        <v>22815</v>
      </c>
      <c r="C13657" s="1" t="s">
        <v>5121</v>
      </c>
      <c r="D13657" s="1" t="s">
        <v>5122</v>
      </c>
    </row>
    <row r="13658">
      <c r="A13658" s="1" t="s">
        <v>23535</v>
      </c>
      <c r="B13658" s="2" t="s">
        <v>22817</v>
      </c>
      <c r="C13658" s="1" t="s">
        <v>5121</v>
      </c>
      <c r="D13658" s="1" t="s">
        <v>5122</v>
      </c>
    </row>
    <row r="13659">
      <c r="A13659" s="1" t="s">
        <v>23536</v>
      </c>
      <c r="B13659" s="2" t="s">
        <v>22819</v>
      </c>
      <c r="C13659" s="1" t="s">
        <v>5121</v>
      </c>
      <c r="D13659" s="1" t="s">
        <v>5122</v>
      </c>
    </row>
    <row r="13660">
      <c r="A13660" s="1" t="s">
        <v>23537</v>
      </c>
      <c r="B13660" s="2" t="s">
        <v>22821</v>
      </c>
      <c r="C13660" s="1" t="s">
        <v>5121</v>
      </c>
      <c r="D13660" s="1" t="s">
        <v>5122</v>
      </c>
    </row>
    <row r="13661">
      <c r="A13661" s="1" t="s">
        <v>23538</v>
      </c>
      <c r="B13661" s="2" t="s">
        <v>22823</v>
      </c>
      <c r="C13661" s="1" t="s">
        <v>5121</v>
      </c>
      <c r="D13661" s="1" t="s">
        <v>5122</v>
      </c>
    </row>
    <row r="13662">
      <c r="A13662" s="1" t="s">
        <v>23539</v>
      </c>
      <c r="B13662" s="2" t="s">
        <v>22825</v>
      </c>
      <c r="C13662" s="1" t="s">
        <v>5121</v>
      </c>
      <c r="D13662" s="1" t="s">
        <v>5122</v>
      </c>
    </row>
    <row r="13663">
      <c r="A13663" s="1" t="s">
        <v>23540</v>
      </c>
      <c r="B13663" s="2" t="s">
        <v>22827</v>
      </c>
      <c r="C13663" s="1" t="s">
        <v>5121</v>
      </c>
      <c r="D13663" s="1" t="s">
        <v>5122</v>
      </c>
    </row>
    <row r="13664">
      <c r="A13664" s="1" t="s">
        <v>23541</v>
      </c>
      <c r="B13664" s="2" t="s">
        <v>22829</v>
      </c>
      <c r="C13664" s="1" t="s">
        <v>5121</v>
      </c>
      <c r="D13664" s="1" t="s">
        <v>5122</v>
      </c>
    </row>
    <row r="13665">
      <c r="A13665" s="1" t="s">
        <v>23542</v>
      </c>
      <c r="B13665" s="2" t="s">
        <v>22831</v>
      </c>
      <c r="C13665" s="1" t="s">
        <v>5121</v>
      </c>
      <c r="D13665" s="1" t="s">
        <v>5122</v>
      </c>
    </row>
    <row r="13666">
      <c r="A13666" s="1" t="s">
        <v>23543</v>
      </c>
      <c r="B13666" s="2" t="s">
        <v>22833</v>
      </c>
      <c r="C13666" s="1" t="s">
        <v>5121</v>
      </c>
      <c r="D13666" s="1" t="s">
        <v>5122</v>
      </c>
    </row>
    <row r="13667">
      <c r="A13667" s="1" t="s">
        <v>23544</v>
      </c>
      <c r="B13667" s="2" t="s">
        <v>22835</v>
      </c>
      <c r="C13667" s="1" t="s">
        <v>5121</v>
      </c>
      <c r="D13667" s="1" t="s">
        <v>5122</v>
      </c>
    </row>
    <row r="13668">
      <c r="A13668" s="1" t="s">
        <v>23545</v>
      </c>
      <c r="B13668" s="2" t="s">
        <v>22837</v>
      </c>
      <c r="C13668" s="1" t="s">
        <v>5121</v>
      </c>
      <c r="D13668" s="1" t="s">
        <v>5122</v>
      </c>
    </row>
    <row r="13669">
      <c r="A13669" s="1" t="s">
        <v>23546</v>
      </c>
      <c r="B13669" s="2" t="s">
        <v>22839</v>
      </c>
      <c r="C13669" s="1" t="s">
        <v>5121</v>
      </c>
      <c r="D13669" s="1" t="s">
        <v>5122</v>
      </c>
    </row>
    <row r="13670">
      <c r="A13670" s="1" t="s">
        <v>23547</v>
      </c>
      <c r="B13670" s="2" t="s">
        <v>22841</v>
      </c>
      <c r="C13670" s="1" t="s">
        <v>5121</v>
      </c>
      <c r="D13670" s="1" t="s">
        <v>5122</v>
      </c>
    </row>
    <row r="13671">
      <c r="A13671" s="1" t="s">
        <v>23548</v>
      </c>
      <c r="B13671" s="2" t="s">
        <v>22843</v>
      </c>
      <c r="C13671" s="1" t="s">
        <v>5121</v>
      </c>
      <c r="D13671" s="1" t="s">
        <v>5122</v>
      </c>
    </row>
    <row r="13672">
      <c r="A13672" s="1" t="s">
        <v>23549</v>
      </c>
      <c r="B13672" s="2" t="s">
        <v>22845</v>
      </c>
      <c r="C13672" s="1" t="s">
        <v>5121</v>
      </c>
      <c r="D13672" s="1" t="s">
        <v>5122</v>
      </c>
    </row>
    <row r="13673">
      <c r="A13673" s="1" t="s">
        <v>23550</v>
      </c>
      <c r="B13673" s="2" t="s">
        <v>22847</v>
      </c>
      <c r="C13673" s="1" t="s">
        <v>5121</v>
      </c>
      <c r="D13673" s="1" t="s">
        <v>5122</v>
      </c>
    </row>
    <row r="13674">
      <c r="A13674" s="1" t="s">
        <v>23551</v>
      </c>
      <c r="B13674" s="2" t="s">
        <v>22849</v>
      </c>
      <c r="C13674" s="1" t="s">
        <v>5121</v>
      </c>
      <c r="D13674" s="1" t="s">
        <v>5122</v>
      </c>
    </row>
    <row r="13675">
      <c r="A13675" s="1" t="s">
        <v>23552</v>
      </c>
      <c r="B13675" s="2" t="s">
        <v>70</v>
      </c>
      <c r="C13675" s="1" t="s">
        <v>5121</v>
      </c>
      <c r="D13675" s="1" t="s">
        <v>5122</v>
      </c>
    </row>
    <row r="13676">
      <c r="A13676" s="1" t="s">
        <v>23553</v>
      </c>
      <c r="B13676" s="2" t="s">
        <v>22535</v>
      </c>
      <c r="C13676" s="1" t="s">
        <v>5121</v>
      </c>
      <c r="D13676" s="1" t="s">
        <v>5122</v>
      </c>
    </row>
    <row r="13677">
      <c r="A13677" s="1" t="s">
        <v>23554</v>
      </c>
      <c r="B13677" s="2" t="s">
        <v>22853</v>
      </c>
      <c r="C13677" s="1" t="s">
        <v>5121</v>
      </c>
      <c r="D13677" s="1" t="s">
        <v>5122</v>
      </c>
    </row>
    <row r="13678">
      <c r="A13678" s="1" t="s">
        <v>23555</v>
      </c>
      <c r="B13678" s="2" t="s">
        <v>22855</v>
      </c>
      <c r="C13678" s="1" t="s">
        <v>5121</v>
      </c>
      <c r="D13678" s="1" t="s">
        <v>5122</v>
      </c>
    </row>
    <row r="13679">
      <c r="A13679" s="1" t="s">
        <v>23556</v>
      </c>
      <c r="B13679" s="2" t="s">
        <v>22857</v>
      </c>
      <c r="C13679" s="1" t="s">
        <v>5121</v>
      </c>
      <c r="D13679" s="1" t="s">
        <v>5122</v>
      </c>
    </row>
    <row r="13680">
      <c r="A13680" s="1" t="s">
        <v>23557</v>
      </c>
      <c r="B13680" s="2" t="s">
        <v>22859</v>
      </c>
      <c r="C13680" s="1" t="s">
        <v>5121</v>
      </c>
      <c r="D13680" s="1" t="s">
        <v>5122</v>
      </c>
    </row>
    <row r="13681">
      <c r="A13681" s="1" t="s">
        <v>23558</v>
      </c>
      <c r="B13681" s="2" t="s">
        <v>22861</v>
      </c>
      <c r="C13681" s="1" t="s">
        <v>5121</v>
      </c>
      <c r="D13681" s="1" t="s">
        <v>5122</v>
      </c>
    </row>
    <row r="13682">
      <c r="A13682" s="1" t="s">
        <v>23559</v>
      </c>
      <c r="B13682" s="2" t="s">
        <v>22863</v>
      </c>
      <c r="C13682" s="1" t="s">
        <v>5121</v>
      </c>
      <c r="D13682" s="1" t="s">
        <v>5122</v>
      </c>
    </row>
    <row r="13683">
      <c r="A13683" s="1" t="s">
        <v>23560</v>
      </c>
      <c r="B13683" s="2" t="s">
        <v>22865</v>
      </c>
      <c r="C13683" s="1" t="s">
        <v>5121</v>
      </c>
      <c r="D13683" s="1" t="s">
        <v>5122</v>
      </c>
    </row>
    <row r="13684">
      <c r="A13684" s="1" t="s">
        <v>23561</v>
      </c>
      <c r="B13684" s="2" t="s">
        <v>22867</v>
      </c>
      <c r="C13684" s="1" t="s">
        <v>5121</v>
      </c>
      <c r="D13684" s="1" t="s">
        <v>5122</v>
      </c>
    </row>
    <row r="13685">
      <c r="A13685" s="1" t="s">
        <v>23562</v>
      </c>
      <c r="B13685" s="2" t="s">
        <v>22869</v>
      </c>
      <c r="C13685" s="1" t="s">
        <v>5121</v>
      </c>
      <c r="D13685" s="1" t="s">
        <v>5122</v>
      </c>
    </row>
    <row r="13686">
      <c r="A13686" s="1" t="s">
        <v>23563</v>
      </c>
      <c r="B13686" s="2" t="s">
        <v>22871</v>
      </c>
      <c r="C13686" s="1" t="s">
        <v>5121</v>
      </c>
      <c r="D13686" s="1" t="s">
        <v>5122</v>
      </c>
    </row>
    <row r="13687">
      <c r="A13687" s="1" t="s">
        <v>23564</v>
      </c>
      <c r="B13687" s="2" t="s">
        <v>22873</v>
      </c>
      <c r="C13687" s="1" t="s">
        <v>5121</v>
      </c>
      <c r="D13687" s="1" t="s">
        <v>5122</v>
      </c>
    </row>
    <row r="13688">
      <c r="A13688" s="1" t="s">
        <v>23565</v>
      </c>
      <c r="B13688" s="2" t="s">
        <v>22875</v>
      </c>
      <c r="C13688" s="1" t="s">
        <v>5121</v>
      </c>
      <c r="D13688" s="1" t="s">
        <v>5122</v>
      </c>
    </row>
    <row r="13689">
      <c r="A13689" s="1" t="s">
        <v>23566</v>
      </c>
      <c r="B13689" s="2" t="s">
        <v>22877</v>
      </c>
      <c r="C13689" s="1" t="s">
        <v>5121</v>
      </c>
      <c r="D13689" s="1" t="s">
        <v>5122</v>
      </c>
    </row>
    <row r="13690">
      <c r="A13690" s="1" t="s">
        <v>23567</v>
      </c>
      <c r="B13690" s="2" t="s">
        <v>22879</v>
      </c>
      <c r="C13690" s="1" t="s">
        <v>5121</v>
      </c>
      <c r="D13690" s="1" t="s">
        <v>5122</v>
      </c>
    </row>
    <row r="13691">
      <c r="A13691" s="1" t="s">
        <v>23568</v>
      </c>
      <c r="B13691" s="2" t="s">
        <v>22881</v>
      </c>
      <c r="C13691" s="1" t="s">
        <v>5121</v>
      </c>
      <c r="D13691" s="1" t="s">
        <v>5122</v>
      </c>
    </row>
    <row r="13692">
      <c r="A13692" s="1" t="s">
        <v>23569</v>
      </c>
      <c r="B13692" s="2" t="s">
        <v>22883</v>
      </c>
      <c r="C13692" s="1" t="s">
        <v>5121</v>
      </c>
      <c r="D13692" s="1" t="s">
        <v>5122</v>
      </c>
    </row>
    <row r="13693">
      <c r="A13693" s="1" t="s">
        <v>23570</v>
      </c>
      <c r="B13693" s="2" t="s">
        <v>22885</v>
      </c>
      <c r="C13693" s="1" t="s">
        <v>5121</v>
      </c>
      <c r="D13693" s="1" t="s">
        <v>5122</v>
      </c>
    </row>
    <row r="13694">
      <c r="A13694" s="1" t="s">
        <v>23571</v>
      </c>
      <c r="B13694" s="2" t="s">
        <v>22887</v>
      </c>
      <c r="C13694" s="1" t="s">
        <v>5121</v>
      </c>
      <c r="D13694" s="1" t="s">
        <v>5122</v>
      </c>
    </row>
    <row r="13695">
      <c r="A13695" s="1" t="s">
        <v>23572</v>
      </c>
      <c r="B13695" s="2" t="s">
        <v>22889</v>
      </c>
      <c r="C13695" s="1" t="s">
        <v>5121</v>
      </c>
      <c r="D13695" s="1" t="s">
        <v>5122</v>
      </c>
    </row>
    <row r="13696">
      <c r="A13696" s="1" t="s">
        <v>23573</v>
      </c>
      <c r="B13696" s="2" t="s">
        <v>22891</v>
      </c>
      <c r="C13696" s="1" t="s">
        <v>5121</v>
      </c>
      <c r="D13696" s="1" t="s">
        <v>5122</v>
      </c>
    </row>
    <row r="13697">
      <c r="A13697" s="1" t="s">
        <v>23574</v>
      </c>
      <c r="B13697" s="2" t="s">
        <v>22893</v>
      </c>
      <c r="C13697" s="1" t="s">
        <v>5121</v>
      </c>
      <c r="D13697" s="1" t="s">
        <v>5122</v>
      </c>
    </row>
    <row r="13698">
      <c r="A13698" s="1" t="s">
        <v>23575</v>
      </c>
      <c r="B13698" s="2" t="s">
        <v>22895</v>
      </c>
      <c r="C13698" s="1" t="s">
        <v>5121</v>
      </c>
      <c r="D13698" s="1" t="s">
        <v>5122</v>
      </c>
    </row>
    <row r="13699">
      <c r="A13699" s="1" t="s">
        <v>23576</v>
      </c>
      <c r="B13699" s="2" t="s">
        <v>22581</v>
      </c>
      <c r="C13699" s="1" t="s">
        <v>5121</v>
      </c>
      <c r="D13699" s="1" t="s">
        <v>5122</v>
      </c>
    </row>
    <row r="13700">
      <c r="A13700" s="1" t="s">
        <v>23577</v>
      </c>
      <c r="B13700" s="2" t="s">
        <v>22898</v>
      </c>
      <c r="C13700" s="1" t="s">
        <v>5121</v>
      </c>
      <c r="D13700" s="1" t="s">
        <v>5122</v>
      </c>
    </row>
    <row r="13701">
      <c r="A13701" s="1" t="s">
        <v>23578</v>
      </c>
      <c r="B13701" s="2" t="s">
        <v>22900</v>
      </c>
      <c r="C13701" s="1" t="s">
        <v>5121</v>
      </c>
      <c r="D13701" s="1" t="s">
        <v>5122</v>
      </c>
    </row>
    <row r="13702">
      <c r="A13702" s="1" t="s">
        <v>23579</v>
      </c>
      <c r="B13702" s="2" t="s">
        <v>22902</v>
      </c>
      <c r="C13702" s="1" t="s">
        <v>5121</v>
      </c>
      <c r="D13702" s="1" t="s">
        <v>5122</v>
      </c>
    </row>
    <row r="13703">
      <c r="A13703" s="1" t="s">
        <v>23580</v>
      </c>
      <c r="B13703" s="2" t="s">
        <v>22904</v>
      </c>
      <c r="C13703" s="1" t="s">
        <v>5121</v>
      </c>
      <c r="D13703" s="1" t="s">
        <v>5122</v>
      </c>
    </row>
    <row r="13704">
      <c r="A13704" s="1" t="s">
        <v>23581</v>
      </c>
      <c r="B13704" s="2" t="s">
        <v>22906</v>
      </c>
      <c r="C13704" s="1" t="s">
        <v>5121</v>
      </c>
      <c r="D13704" s="1" t="s">
        <v>5122</v>
      </c>
    </row>
    <row r="13705">
      <c r="A13705" s="1" t="s">
        <v>23582</v>
      </c>
      <c r="B13705" s="2" t="s">
        <v>22908</v>
      </c>
      <c r="C13705" s="1" t="s">
        <v>5121</v>
      </c>
      <c r="D13705" s="1" t="s">
        <v>5122</v>
      </c>
    </row>
    <row r="13706">
      <c r="A13706" s="1" t="s">
        <v>23583</v>
      </c>
      <c r="B13706" s="2" t="s">
        <v>22910</v>
      </c>
      <c r="C13706" s="1" t="s">
        <v>5121</v>
      </c>
      <c r="D13706" s="1" t="s">
        <v>5122</v>
      </c>
    </row>
    <row r="13707">
      <c r="A13707" s="1" t="s">
        <v>23584</v>
      </c>
      <c r="B13707" s="2" t="s">
        <v>22912</v>
      </c>
      <c r="C13707" s="1" t="s">
        <v>5121</v>
      </c>
      <c r="D13707" s="1" t="s">
        <v>5122</v>
      </c>
    </row>
    <row r="13708">
      <c r="A13708" s="1" t="s">
        <v>23585</v>
      </c>
      <c r="B13708" s="2" t="s">
        <v>22914</v>
      </c>
      <c r="C13708" s="1" t="s">
        <v>5121</v>
      </c>
      <c r="D13708" s="1" t="s">
        <v>5122</v>
      </c>
    </row>
    <row r="13709">
      <c r="A13709" s="1" t="s">
        <v>23586</v>
      </c>
      <c r="B13709" s="2" t="s">
        <v>22916</v>
      </c>
      <c r="C13709" s="1" t="s">
        <v>5121</v>
      </c>
      <c r="D13709" s="1" t="s">
        <v>5122</v>
      </c>
    </row>
    <row r="13710">
      <c r="A13710" s="1" t="s">
        <v>23587</v>
      </c>
      <c r="B13710" s="2" t="s">
        <v>22918</v>
      </c>
      <c r="C13710" s="1" t="s">
        <v>5121</v>
      </c>
      <c r="D13710" s="1" t="s">
        <v>5122</v>
      </c>
    </row>
    <row r="13711">
      <c r="A13711" s="1" t="s">
        <v>23588</v>
      </c>
      <c r="B13711" s="2" t="s">
        <v>22920</v>
      </c>
      <c r="C13711" s="1" t="s">
        <v>5121</v>
      </c>
      <c r="D13711" s="1" t="s">
        <v>5122</v>
      </c>
    </row>
    <row r="13712">
      <c r="A13712" s="1" t="s">
        <v>23589</v>
      </c>
      <c r="B13712" s="2" t="s">
        <v>22922</v>
      </c>
      <c r="C13712" s="1" t="s">
        <v>5121</v>
      </c>
      <c r="D13712" s="1" t="s">
        <v>5122</v>
      </c>
    </row>
    <row r="13713">
      <c r="A13713" s="1" t="s">
        <v>23590</v>
      </c>
      <c r="B13713" s="2" t="s">
        <v>22924</v>
      </c>
      <c r="C13713" s="1" t="s">
        <v>5121</v>
      </c>
      <c r="D13713" s="1" t="s">
        <v>5122</v>
      </c>
    </row>
    <row r="13714">
      <c r="A13714" s="1" t="s">
        <v>23591</v>
      </c>
      <c r="B13714" s="2" t="s">
        <v>22926</v>
      </c>
      <c r="C13714" s="1" t="s">
        <v>5121</v>
      </c>
      <c r="D13714" s="1" t="s">
        <v>5122</v>
      </c>
    </row>
    <row r="13715">
      <c r="A13715" s="1" t="s">
        <v>23592</v>
      </c>
      <c r="B13715" s="2" t="s">
        <v>22928</v>
      </c>
      <c r="C13715" s="1" t="s">
        <v>5121</v>
      </c>
      <c r="D13715" s="1" t="s">
        <v>5122</v>
      </c>
    </row>
    <row r="13716">
      <c r="A13716" s="1" t="s">
        <v>23593</v>
      </c>
      <c r="B13716" s="2" t="s">
        <v>22930</v>
      </c>
      <c r="C13716" s="1" t="s">
        <v>5121</v>
      </c>
      <c r="D13716" s="1" t="s">
        <v>5122</v>
      </c>
    </row>
    <row r="13717">
      <c r="A13717" s="1" t="s">
        <v>23594</v>
      </c>
      <c r="B13717" s="2" t="s">
        <v>22932</v>
      </c>
      <c r="C13717" s="1" t="s">
        <v>5121</v>
      </c>
      <c r="D13717" s="1" t="s">
        <v>5122</v>
      </c>
    </row>
    <row r="13718">
      <c r="A13718" s="1" t="s">
        <v>23595</v>
      </c>
      <c r="B13718" s="2" t="s">
        <v>22934</v>
      </c>
      <c r="C13718" s="1" t="s">
        <v>5121</v>
      </c>
      <c r="D13718" s="1" t="s">
        <v>5122</v>
      </c>
    </row>
    <row r="13719">
      <c r="A13719" s="1" t="s">
        <v>23596</v>
      </c>
      <c r="B13719" s="2" t="s">
        <v>22936</v>
      </c>
      <c r="C13719" s="1" t="s">
        <v>5121</v>
      </c>
      <c r="D13719" s="1" t="s">
        <v>5122</v>
      </c>
    </row>
    <row r="13720">
      <c r="A13720" s="1" t="s">
        <v>23597</v>
      </c>
      <c r="B13720" s="2" t="s">
        <v>22938</v>
      </c>
      <c r="C13720" s="1" t="s">
        <v>5121</v>
      </c>
      <c r="D13720" s="1" t="s">
        <v>5122</v>
      </c>
    </row>
    <row r="13721">
      <c r="A13721" s="1" t="s">
        <v>23598</v>
      </c>
      <c r="B13721" s="2" t="s">
        <v>22940</v>
      </c>
      <c r="C13721" s="1" t="s">
        <v>5121</v>
      </c>
      <c r="D13721" s="1" t="s">
        <v>5122</v>
      </c>
    </row>
    <row r="13722">
      <c r="A13722" s="1" t="s">
        <v>5125</v>
      </c>
      <c r="B13722" s="2" t="s">
        <v>7</v>
      </c>
      <c r="C13722" s="1" t="s">
        <v>5128</v>
      </c>
      <c r="D13722" s="1" t="s">
        <v>5129</v>
      </c>
    </row>
    <row r="13723">
      <c r="A13723" s="1" t="s">
        <v>23599</v>
      </c>
      <c r="B13723" s="2" t="s">
        <v>13</v>
      </c>
      <c r="C13723" s="1" t="s">
        <v>5128</v>
      </c>
      <c r="D13723" s="1" t="s">
        <v>5129</v>
      </c>
    </row>
    <row r="13724">
      <c r="A13724" s="1" t="s">
        <v>23600</v>
      </c>
      <c r="B13724" s="2" t="s">
        <v>22442</v>
      </c>
      <c r="C13724" s="1" t="s">
        <v>5128</v>
      </c>
      <c r="D13724" s="1" t="s">
        <v>5129</v>
      </c>
    </row>
    <row r="13725">
      <c r="A13725" s="1" t="s">
        <v>23601</v>
      </c>
      <c r="B13725" s="2" t="s">
        <v>22762</v>
      </c>
      <c r="C13725" s="1" t="s">
        <v>5128</v>
      </c>
      <c r="D13725" s="1" t="s">
        <v>5129</v>
      </c>
    </row>
    <row r="13726">
      <c r="A13726" s="1" t="s">
        <v>23602</v>
      </c>
      <c r="B13726" s="2" t="s">
        <v>22764</v>
      </c>
      <c r="C13726" s="1" t="s">
        <v>5128</v>
      </c>
      <c r="D13726" s="1" t="s">
        <v>5129</v>
      </c>
    </row>
    <row r="13727">
      <c r="A13727" s="1" t="s">
        <v>23603</v>
      </c>
      <c r="B13727" s="2" t="s">
        <v>22766</v>
      </c>
      <c r="C13727" s="1" t="s">
        <v>5128</v>
      </c>
      <c r="D13727" s="1" t="s">
        <v>5129</v>
      </c>
    </row>
    <row r="13728">
      <c r="A13728" s="1" t="s">
        <v>23604</v>
      </c>
      <c r="B13728" s="2" t="s">
        <v>22768</v>
      </c>
      <c r="C13728" s="1" t="s">
        <v>5128</v>
      </c>
      <c r="D13728" s="1" t="s">
        <v>5129</v>
      </c>
    </row>
    <row r="13729">
      <c r="A13729" s="1" t="s">
        <v>23605</v>
      </c>
      <c r="B13729" s="2" t="s">
        <v>22770</v>
      </c>
      <c r="C13729" s="1" t="s">
        <v>5128</v>
      </c>
      <c r="D13729" s="1" t="s">
        <v>5129</v>
      </c>
    </row>
    <row r="13730">
      <c r="A13730" s="1" t="s">
        <v>23606</v>
      </c>
      <c r="B13730" s="2" t="s">
        <v>22772</v>
      </c>
      <c r="C13730" s="1" t="s">
        <v>5128</v>
      </c>
      <c r="D13730" s="1" t="s">
        <v>5129</v>
      </c>
    </row>
    <row r="13731">
      <c r="A13731" s="1" t="s">
        <v>23607</v>
      </c>
      <c r="B13731" s="2" t="s">
        <v>22774</v>
      </c>
      <c r="C13731" s="1" t="s">
        <v>5128</v>
      </c>
      <c r="D13731" s="1" t="s">
        <v>5129</v>
      </c>
    </row>
    <row r="13732">
      <c r="A13732" s="1" t="s">
        <v>23608</v>
      </c>
      <c r="B13732" s="2" t="s">
        <v>22776</v>
      </c>
      <c r="C13732" s="1" t="s">
        <v>5128</v>
      </c>
      <c r="D13732" s="1" t="s">
        <v>5129</v>
      </c>
    </row>
    <row r="13733">
      <c r="A13733" s="1" t="s">
        <v>23609</v>
      </c>
      <c r="B13733" s="2" t="s">
        <v>22778</v>
      </c>
      <c r="C13733" s="1" t="s">
        <v>5128</v>
      </c>
      <c r="D13733" s="1" t="s">
        <v>5129</v>
      </c>
    </row>
    <row r="13734">
      <c r="A13734" s="1" t="s">
        <v>23610</v>
      </c>
      <c r="B13734" s="2" t="s">
        <v>22780</v>
      </c>
      <c r="C13734" s="1" t="s">
        <v>5128</v>
      </c>
      <c r="D13734" s="1" t="s">
        <v>5129</v>
      </c>
    </row>
    <row r="13735">
      <c r="A13735" s="1" t="s">
        <v>23611</v>
      </c>
      <c r="B13735" s="2" t="s">
        <v>22782</v>
      </c>
      <c r="C13735" s="1" t="s">
        <v>5128</v>
      </c>
      <c r="D13735" s="1" t="s">
        <v>5129</v>
      </c>
    </row>
    <row r="13736">
      <c r="A13736" s="1" t="s">
        <v>23612</v>
      </c>
      <c r="B13736" s="2" t="s">
        <v>22784</v>
      </c>
      <c r="C13736" s="1" t="s">
        <v>5128</v>
      </c>
      <c r="D13736" s="1" t="s">
        <v>5129</v>
      </c>
    </row>
    <row r="13737">
      <c r="A13737" s="1" t="s">
        <v>23613</v>
      </c>
      <c r="B13737" s="2" t="s">
        <v>22786</v>
      </c>
      <c r="C13737" s="1" t="s">
        <v>5128</v>
      </c>
      <c r="D13737" s="1" t="s">
        <v>5129</v>
      </c>
    </row>
    <row r="13738">
      <c r="A13738" s="1" t="s">
        <v>23614</v>
      </c>
      <c r="B13738" s="2" t="s">
        <v>22788</v>
      </c>
      <c r="C13738" s="1" t="s">
        <v>5128</v>
      </c>
      <c r="D13738" s="1" t="s">
        <v>5129</v>
      </c>
    </row>
    <row r="13739">
      <c r="A13739" s="1" t="s">
        <v>23615</v>
      </c>
      <c r="B13739" s="2" t="s">
        <v>22790</v>
      </c>
      <c r="C13739" s="1" t="s">
        <v>5128</v>
      </c>
      <c r="D13739" s="1" t="s">
        <v>5129</v>
      </c>
    </row>
    <row r="13740">
      <c r="A13740" s="1" t="s">
        <v>23616</v>
      </c>
      <c r="B13740" s="2" t="s">
        <v>22792</v>
      </c>
      <c r="C13740" s="1" t="s">
        <v>5128</v>
      </c>
      <c r="D13740" s="1" t="s">
        <v>5129</v>
      </c>
    </row>
    <row r="13741">
      <c r="A13741" s="1" t="s">
        <v>23617</v>
      </c>
      <c r="B13741" s="2" t="s">
        <v>22794</v>
      </c>
      <c r="C13741" s="1" t="s">
        <v>5128</v>
      </c>
      <c r="D13741" s="1" t="s">
        <v>5129</v>
      </c>
    </row>
    <row r="13742">
      <c r="A13742" s="1" t="s">
        <v>23618</v>
      </c>
      <c r="B13742" s="2" t="s">
        <v>22796</v>
      </c>
      <c r="C13742" s="1" t="s">
        <v>5128</v>
      </c>
      <c r="D13742" s="1" t="s">
        <v>5129</v>
      </c>
    </row>
    <row r="13743">
      <c r="A13743" s="1" t="s">
        <v>23619</v>
      </c>
      <c r="B13743" s="2" t="s">
        <v>22798</v>
      </c>
      <c r="C13743" s="1" t="s">
        <v>5128</v>
      </c>
      <c r="D13743" s="1" t="s">
        <v>5129</v>
      </c>
    </row>
    <row r="13744">
      <c r="A13744" s="1" t="s">
        <v>23620</v>
      </c>
      <c r="B13744" s="2" t="s">
        <v>22800</v>
      </c>
      <c r="C13744" s="1" t="s">
        <v>5128</v>
      </c>
      <c r="D13744" s="1" t="s">
        <v>5129</v>
      </c>
    </row>
    <row r="13745">
      <c r="A13745" s="1" t="s">
        <v>23621</v>
      </c>
      <c r="B13745" s="2" t="s">
        <v>22802</v>
      </c>
      <c r="C13745" s="1" t="s">
        <v>5128</v>
      </c>
      <c r="D13745" s="1" t="s">
        <v>5129</v>
      </c>
    </row>
    <row r="13746">
      <c r="A13746" s="1" t="s">
        <v>23622</v>
      </c>
      <c r="B13746" s="2" t="s">
        <v>22804</v>
      </c>
      <c r="C13746" s="1" t="s">
        <v>5128</v>
      </c>
      <c r="D13746" s="1" t="s">
        <v>5129</v>
      </c>
    </row>
    <row r="13747">
      <c r="A13747" s="1" t="s">
        <v>23623</v>
      </c>
      <c r="B13747" s="2" t="s">
        <v>22488</v>
      </c>
      <c r="C13747" s="1" t="s">
        <v>5128</v>
      </c>
      <c r="D13747" s="1" t="s">
        <v>5129</v>
      </c>
    </row>
    <row r="13748">
      <c r="A13748" s="1" t="s">
        <v>23624</v>
      </c>
      <c r="B13748" s="2" t="s">
        <v>22807</v>
      </c>
      <c r="C13748" s="1" t="s">
        <v>5128</v>
      </c>
      <c r="D13748" s="1" t="s">
        <v>5129</v>
      </c>
    </row>
    <row r="13749">
      <c r="A13749" s="1" t="s">
        <v>23625</v>
      </c>
      <c r="B13749" s="2" t="s">
        <v>22809</v>
      </c>
      <c r="C13749" s="1" t="s">
        <v>5128</v>
      </c>
      <c r="D13749" s="1" t="s">
        <v>5129</v>
      </c>
    </row>
    <row r="13750">
      <c r="A13750" s="1" t="s">
        <v>23626</v>
      </c>
      <c r="B13750" s="2" t="s">
        <v>22811</v>
      </c>
      <c r="C13750" s="1" t="s">
        <v>5128</v>
      </c>
      <c r="D13750" s="1" t="s">
        <v>5129</v>
      </c>
    </row>
    <row r="13751">
      <c r="A13751" s="1" t="s">
        <v>23627</v>
      </c>
      <c r="B13751" s="2" t="s">
        <v>22813</v>
      </c>
      <c r="C13751" s="1" t="s">
        <v>5128</v>
      </c>
      <c r="D13751" s="1" t="s">
        <v>5129</v>
      </c>
    </row>
    <row r="13752">
      <c r="A13752" s="1" t="s">
        <v>23628</v>
      </c>
      <c r="B13752" s="2" t="s">
        <v>22815</v>
      </c>
      <c r="C13752" s="1" t="s">
        <v>5128</v>
      </c>
      <c r="D13752" s="1" t="s">
        <v>5129</v>
      </c>
    </row>
    <row r="13753">
      <c r="A13753" s="1" t="s">
        <v>23629</v>
      </c>
      <c r="B13753" s="2" t="s">
        <v>22817</v>
      </c>
      <c r="C13753" s="1" t="s">
        <v>5128</v>
      </c>
      <c r="D13753" s="1" t="s">
        <v>5129</v>
      </c>
    </row>
    <row r="13754">
      <c r="A13754" s="1" t="s">
        <v>23630</v>
      </c>
      <c r="B13754" s="2" t="s">
        <v>22819</v>
      </c>
      <c r="C13754" s="1" t="s">
        <v>5128</v>
      </c>
      <c r="D13754" s="1" t="s">
        <v>5129</v>
      </c>
    </row>
    <row r="13755">
      <c r="A13755" s="1" t="s">
        <v>23631</v>
      </c>
      <c r="B13755" s="2" t="s">
        <v>22821</v>
      </c>
      <c r="C13755" s="1" t="s">
        <v>5128</v>
      </c>
      <c r="D13755" s="1" t="s">
        <v>5129</v>
      </c>
    </row>
    <row r="13756">
      <c r="A13756" s="1" t="s">
        <v>23632</v>
      </c>
      <c r="B13756" s="2" t="s">
        <v>22823</v>
      </c>
      <c r="C13756" s="1" t="s">
        <v>5128</v>
      </c>
      <c r="D13756" s="1" t="s">
        <v>5129</v>
      </c>
    </row>
    <row r="13757">
      <c r="A13757" s="1" t="s">
        <v>23633</v>
      </c>
      <c r="B13757" s="2" t="s">
        <v>22825</v>
      </c>
      <c r="C13757" s="1" t="s">
        <v>5128</v>
      </c>
      <c r="D13757" s="1" t="s">
        <v>5129</v>
      </c>
    </row>
    <row r="13758">
      <c r="A13758" s="1" t="s">
        <v>23634</v>
      </c>
      <c r="B13758" s="2" t="s">
        <v>22827</v>
      </c>
      <c r="C13758" s="1" t="s">
        <v>5128</v>
      </c>
      <c r="D13758" s="1" t="s">
        <v>5129</v>
      </c>
    </row>
    <row r="13759">
      <c r="A13759" s="1" t="s">
        <v>23635</v>
      </c>
      <c r="B13759" s="2" t="s">
        <v>22829</v>
      </c>
      <c r="C13759" s="1" t="s">
        <v>5128</v>
      </c>
      <c r="D13759" s="1" t="s">
        <v>5129</v>
      </c>
    </row>
    <row r="13760">
      <c r="A13760" s="1" t="s">
        <v>23636</v>
      </c>
      <c r="B13760" s="2" t="s">
        <v>22831</v>
      </c>
      <c r="C13760" s="1" t="s">
        <v>5128</v>
      </c>
      <c r="D13760" s="1" t="s">
        <v>5129</v>
      </c>
    </row>
    <row r="13761">
      <c r="A13761" s="1" t="s">
        <v>23637</v>
      </c>
      <c r="B13761" s="2" t="s">
        <v>22833</v>
      </c>
      <c r="C13761" s="1" t="s">
        <v>5128</v>
      </c>
      <c r="D13761" s="1" t="s">
        <v>5129</v>
      </c>
    </row>
    <row r="13762">
      <c r="A13762" s="1" t="s">
        <v>23638</v>
      </c>
      <c r="B13762" s="2" t="s">
        <v>22835</v>
      </c>
      <c r="C13762" s="1" t="s">
        <v>5128</v>
      </c>
      <c r="D13762" s="1" t="s">
        <v>5129</v>
      </c>
    </row>
    <row r="13763">
      <c r="A13763" s="1" t="s">
        <v>23639</v>
      </c>
      <c r="B13763" s="2" t="s">
        <v>22837</v>
      </c>
      <c r="C13763" s="1" t="s">
        <v>5128</v>
      </c>
      <c r="D13763" s="1" t="s">
        <v>5129</v>
      </c>
    </row>
    <row r="13764">
      <c r="A13764" s="1" t="s">
        <v>23640</v>
      </c>
      <c r="B13764" s="2" t="s">
        <v>22839</v>
      </c>
      <c r="C13764" s="1" t="s">
        <v>5128</v>
      </c>
      <c r="D13764" s="1" t="s">
        <v>5129</v>
      </c>
    </row>
    <row r="13765">
      <c r="A13765" s="1" t="s">
        <v>23641</v>
      </c>
      <c r="B13765" s="2" t="s">
        <v>22841</v>
      </c>
      <c r="C13765" s="1" t="s">
        <v>5128</v>
      </c>
      <c r="D13765" s="1" t="s">
        <v>5129</v>
      </c>
    </row>
    <row r="13766">
      <c r="A13766" s="1" t="s">
        <v>23642</v>
      </c>
      <c r="B13766" s="2" t="s">
        <v>22843</v>
      </c>
      <c r="C13766" s="1" t="s">
        <v>5128</v>
      </c>
      <c r="D13766" s="1" t="s">
        <v>5129</v>
      </c>
    </row>
    <row r="13767">
      <c r="A13767" s="1" t="s">
        <v>23643</v>
      </c>
      <c r="B13767" s="2" t="s">
        <v>22845</v>
      </c>
      <c r="C13767" s="1" t="s">
        <v>5128</v>
      </c>
      <c r="D13767" s="1" t="s">
        <v>5129</v>
      </c>
    </row>
    <row r="13768">
      <c r="A13768" s="1" t="s">
        <v>23644</v>
      </c>
      <c r="B13768" s="2" t="s">
        <v>22847</v>
      </c>
      <c r="C13768" s="1" t="s">
        <v>5128</v>
      </c>
      <c r="D13768" s="1" t="s">
        <v>5129</v>
      </c>
    </row>
    <row r="13769">
      <c r="A13769" s="1" t="s">
        <v>23645</v>
      </c>
      <c r="B13769" s="2" t="s">
        <v>22849</v>
      </c>
      <c r="C13769" s="1" t="s">
        <v>5128</v>
      </c>
      <c r="D13769" s="1" t="s">
        <v>5129</v>
      </c>
    </row>
    <row r="13770">
      <c r="A13770" s="1" t="s">
        <v>23646</v>
      </c>
      <c r="B13770" s="2" t="s">
        <v>70</v>
      </c>
      <c r="C13770" s="1" t="s">
        <v>5128</v>
      </c>
      <c r="D13770" s="1" t="s">
        <v>5129</v>
      </c>
    </row>
    <row r="13771">
      <c r="A13771" s="1" t="s">
        <v>23647</v>
      </c>
      <c r="B13771" s="2" t="s">
        <v>22535</v>
      </c>
      <c r="C13771" s="1" t="s">
        <v>5128</v>
      </c>
      <c r="D13771" s="1" t="s">
        <v>5129</v>
      </c>
    </row>
    <row r="13772">
      <c r="A13772" s="1" t="s">
        <v>23648</v>
      </c>
      <c r="B13772" s="2" t="s">
        <v>22853</v>
      </c>
      <c r="C13772" s="1" t="s">
        <v>5128</v>
      </c>
      <c r="D13772" s="1" t="s">
        <v>5129</v>
      </c>
    </row>
    <row r="13773">
      <c r="A13773" s="1" t="s">
        <v>23649</v>
      </c>
      <c r="B13773" s="2" t="s">
        <v>22855</v>
      </c>
      <c r="C13773" s="1" t="s">
        <v>5128</v>
      </c>
      <c r="D13773" s="1" t="s">
        <v>5129</v>
      </c>
    </row>
    <row r="13774">
      <c r="A13774" s="1" t="s">
        <v>23650</v>
      </c>
      <c r="B13774" s="2" t="s">
        <v>22857</v>
      </c>
      <c r="C13774" s="1" t="s">
        <v>5128</v>
      </c>
      <c r="D13774" s="1" t="s">
        <v>5129</v>
      </c>
    </row>
    <row r="13775">
      <c r="A13775" s="1" t="s">
        <v>23651</v>
      </c>
      <c r="B13775" s="2" t="s">
        <v>22859</v>
      </c>
      <c r="C13775" s="1" t="s">
        <v>5128</v>
      </c>
      <c r="D13775" s="1" t="s">
        <v>5129</v>
      </c>
    </row>
    <row r="13776">
      <c r="A13776" s="1" t="s">
        <v>23652</v>
      </c>
      <c r="B13776" s="2" t="s">
        <v>22861</v>
      </c>
      <c r="C13776" s="1" t="s">
        <v>5128</v>
      </c>
      <c r="D13776" s="1" t="s">
        <v>5129</v>
      </c>
    </row>
    <row r="13777">
      <c r="A13777" s="1" t="s">
        <v>23653</v>
      </c>
      <c r="B13777" s="2" t="s">
        <v>22863</v>
      </c>
      <c r="C13777" s="1" t="s">
        <v>5128</v>
      </c>
      <c r="D13777" s="1" t="s">
        <v>5129</v>
      </c>
    </row>
    <row r="13778">
      <c r="A13778" s="1" t="s">
        <v>23654</v>
      </c>
      <c r="B13778" s="2" t="s">
        <v>22865</v>
      </c>
      <c r="C13778" s="1" t="s">
        <v>5128</v>
      </c>
      <c r="D13778" s="1" t="s">
        <v>5129</v>
      </c>
    </row>
    <row r="13779">
      <c r="A13779" s="1" t="s">
        <v>23655</v>
      </c>
      <c r="B13779" s="2" t="s">
        <v>22867</v>
      </c>
      <c r="C13779" s="1" t="s">
        <v>5128</v>
      </c>
      <c r="D13779" s="1" t="s">
        <v>5129</v>
      </c>
    </row>
    <row r="13780">
      <c r="A13780" s="1" t="s">
        <v>23656</v>
      </c>
      <c r="B13780" s="2" t="s">
        <v>22869</v>
      </c>
      <c r="C13780" s="1" t="s">
        <v>5128</v>
      </c>
      <c r="D13780" s="1" t="s">
        <v>5129</v>
      </c>
    </row>
    <row r="13781">
      <c r="A13781" s="1" t="s">
        <v>23657</v>
      </c>
      <c r="B13781" s="2" t="s">
        <v>22871</v>
      </c>
      <c r="C13781" s="1" t="s">
        <v>5128</v>
      </c>
      <c r="D13781" s="1" t="s">
        <v>5129</v>
      </c>
    </row>
    <row r="13782">
      <c r="A13782" s="1" t="s">
        <v>23658</v>
      </c>
      <c r="B13782" s="2" t="s">
        <v>22873</v>
      </c>
      <c r="C13782" s="1" t="s">
        <v>5128</v>
      </c>
      <c r="D13782" s="1" t="s">
        <v>5129</v>
      </c>
    </row>
    <row r="13783">
      <c r="A13783" s="1" t="s">
        <v>23659</v>
      </c>
      <c r="B13783" s="2" t="s">
        <v>22875</v>
      </c>
      <c r="C13783" s="1" t="s">
        <v>5128</v>
      </c>
      <c r="D13783" s="1" t="s">
        <v>5129</v>
      </c>
    </row>
    <row r="13784">
      <c r="A13784" s="1" t="s">
        <v>23660</v>
      </c>
      <c r="B13784" s="2" t="s">
        <v>22877</v>
      </c>
      <c r="C13784" s="1" t="s">
        <v>5128</v>
      </c>
      <c r="D13784" s="1" t="s">
        <v>5129</v>
      </c>
    </row>
    <row r="13785">
      <c r="A13785" s="1" t="s">
        <v>23661</v>
      </c>
      <c r="B13785" s="2" t="s">
        <v>22879</v>
      </c>
      <c r="C13785" s="1" t="s">
        <v>5128</v>
      </c>
      <c r="D13785" s="1" t="s">
        <v>5129</v>
      </c>
    </row>
    <row r="13786">
      <c r="A13786" s="1" t="s">
        <v>23662</v>
      </c>
      <c r="B13786" s="2" t="s">
        <v>22881</v>
      </c>
      <c r="C13786" s="1" t="s">
        <v>5128</v>
      </c>
      <c r="D13786" s="1" t="s">
        <v>5129</v>
      </c>
    </row>
    <row r="13787">
      <c r="A13787" s="1" t="s">
        <v>23663</v>
      </c>
      <c r="B13787" s="2" t="s">
        <v>22883</v>
      </c>
      <c r="C13787" s="1" t="s">
        <v>5128</v>
      </c>
      <c r="D13787" s="1" t="s">
        <v>5129</v>
      </c>
    </row>
    <row r="13788">
      <c r="A13788" s="1" t="s">
        <v>23664</v>
      </c>
      <c r="B13788" s="2" t="s">
        <v>22885</v>
      </c>
      <c r="C13788" s="1" t="s">
        <v>5128</v>
      </c>
      <c r="D13788" s="1" t="s">
        <v>5129</v>
      </c>
    </row>
    <row r="13789">
      <c r="A13789" s="1" t="s">
        <v>23665</v>
      </c>
      <c r="B13789" s="2" t="s">
        <v>22887</v>
      </c>
      <c r="C13789" s="1" t="s">
        <v>5128</v>
      </c>
      <c r="D13789" s="1" t="s">
        <v>5129</v>
      </c>
    </row>
    <row r="13790">
      <c r="A13790" s="1" t="s">
        <v>23666</v>
      </c>
      <c r="B13790" s="2" t="s">
        <v>22889</v>
      </c>
      <c r="C13790" s="1" t="s">
        <v>5128</v>
      </c>
      <c r="D13790" s="1" t="s">
        <v>5129</v>
      </c>
    </row>
    <row r="13791">
      <c r="A13791" s="1" t="s">
        <v>23667</v>
      </c>
      <c r="B13791" s="2" t="s">
        <v>22891</v>
      </c>
      <c r="C13791" s="1" t="s">
        <v>5128</v>
      </c>
      <c r="D13791" s="1" t="s">
        <v>5129</v>
      </c>
    </row>
    <row r="13792">
      <c r="A13792" s="1" t="s">
        <v>23668</v>
      </c>
      <c r="B13792" s="2" t="s">
        <v>22893</v>
      </c>
      <c r="C13792" s="1" t="s">
        <v>5128</v>
      </c>
      <c r="D13792" s="1" t="s">
        <v>5129</v>
      </c>
    </row>
    <row r="13793">
      <c r="A13793" s="1" t="s">
        <v>23669</v>
      </c>
      <c r="B13793" s="2" t="s">
        <v>22895</v>
      </c>
      <c r="C13793" s="1" t="s">
        <v>5128</v>
      </c>
      <c r="D13793" s="1" t="s">
        <v>5129</v>
      </c>
    </row>
    <row r="13794">
      <c r="A13794" s="1" t="s">
        <v>23670</v>
      </c>
      <c r="B13794" s="2" t="s">
        <v>22581</v>
      </c>
      <c r="C13794" s="1" t="s">
        <v>5128</v>
      </c>
      <c r="D13794" s="1" t="s">
        <v>5129</v>
      </c>
    </row>
    <row r="13795">
      <c r="A13795" s="1" t="s">
        <v>23671</v>
      </c>
      <c r="B13795" s="2" t="s">
        <v>22898</v>
      </c>
      <c r="C13795" s="1" t="s">
        <v>5128</v>
      </c>
      <c r="D13795" s="1" t="s">
        <v>5129</v>
      </c>
    </row>
    <row r="13796">
      <c r="A13796" s="1" t="s">
        <v>23672</v>
      </c>
      <c r="B13796" s="2" t="s">
        <v>22900</v>
      </c>
      <c r="C13796" s="1" t="s">
        <v>5128</v>
      </c>
      <c r="D13796" s="1" t="s">
        <v>5129</v>
      </c>
    </row>
    <row r="13797">
      <c r="A13797" s="1" t="s">
        <v>23673</v>
      </c>
      <c r="B13797" s="2" t="s">
        <v>22902</v>
      </c>
      <c r="C13797" s="1" t="s">
        <v>5128</v>
      </c>
      <c r="D13797" s="1" t="s">
        <v>5129</v>
      </c>
    </row>
    <row r="13798">
      <c r="A13798" s="1" t="s">
        <v>23674</v>
      </c>
      <c r="B13798" s="2" t="s">
        <v>22904</v>
      </c>
      <c r="C13798" s="1" t="s">
        <v>5128</v>
      </c>
      <c r="D13798" s="1" t="s">
        <v>5129</v>
      </c>
    </row>
    <row r="13799">
      <c r="A13799" s="1" t="s">
        <v>23675</v>
      </c>
      <c r="B13799" s="2" t="s">
        <v>22906</v>
      </c>
      <c r="C13799" s="1" t="s">
        <v>5128</v>
      </c>
      <c r="D13799" s="1" t="s">
        <v>5129</v>
      </c>
    </row>
    <row r="13800">
      <c r="A13800" s="1" t="s">
        <v>23676</v>
      </c>
      <c r="B13800" s="2" t="s">
        <v>22908</v>
      </c>
      <c r="C13800" s="1" t="s">
        <v>5128</v>
      </c>
      <c r="D13800" s="1" t="s">
        <v>5129</v>
      </c>
    </row>
    <row r="13801">
      <c r="A13801" s="1" t="s">
        <v>23677</v>
      </c>
      <c r="B13801" s="2" t="s">
        <v>22910</v>
      </c>
      <c r="C13801" s="1" t="s">
        <v>5128</v>
      </c>
      <c r="D13801" s="1" t="s">
        <v>5129</v>
      </c>
    </row>
    <row r="13802">
      <c r="A13802" s="1" t="s">
        <v>23678</v>
      </c>
      <c r="B13802" s="2" t="s">
        <v>22912</v>
      </c>
      <c r="C13802" s="1" t="s">
        <v>5128</v>
      </c>
      <c r="D13802" s="1" t="s">
        <v>5129</v>
      </c>
    </row>
    <row r="13803">
      <c r="A13803" s="1" t="s">
        <v>23679</v>
      </c>
      <c r="B13803" s="2" t="s">
        <v>22914</v>
      </c>
      <c r="C13803" s="1" t="s">
        <v>5128</v>
      </c>
      <c r="D13803" s="1" t="s">
        <v>5129</v>
      </c>
    </row>
    <row r="13804">
      <c r="A13804" s="1" t="s">
        <v>23680</v>
      </c>
      <c r="B13804" s="2" t="s">
        <v>22916</v>
      </c>
      <c r="C13804" s="1" t="s">
        <v>5128</v>
      </c>
      <c r="D13804" s="1" t="s">
        <v>5129</v>
      </c>
    </row>
    <row r="13805">
      <c r="A13805" s="1" t="s">
        <v>23681</v>
      </c>
      <c r="B13805" s="2" t="s">
        <v>22918</v>
      </c>
      <c r="C13805" s="1" t="s">
        <v>5128</v>
      </c>
      <c r="D13805" s="1" t="s">
        <v>5129</v>
      </c>
    </row>
    <row r="13806">
      <c r="A13806" s="1" t="s">
        <v>23682</v>
      </c>
      <c r="B13806" s="2" t="s">
        <v>22920</v>
      </c>
      <c r="C13806" s="1" t="s">
        <v>5128</v>
      </c>
      <c r="D13806" s="1" t="s">
        <v>5129</v>
      </c>
    </row>
    <row r="13807">
      <c r="A13807" s="1" t="s">
        <v>23683</v>
      </c>
      <c r="B13807" s="2" t="s">
        <v>22922</v>
      </c>
      <c r="C13807" s="1" t="s">
        <v>5128</v>
      </c>
      <c r="D13807" s="1" t="s">
        <v>5129</v>
      </c>
    </row>
    <row r="13808">
      <c r="A13808" s="1" t="s">
        <v>23684</v>
      </c>
      <c r="B13808" s="2" t="s">
        <v>22924</v>
      </c>
      <c r="C13808" s="1" t="s">
        <v>5128</v>
      </c>
      <c r="D13808" s="1" t="s">
        <v>5129</v>
      </c>
    </row>
    <row r="13809">
      <c r="A13809" s="1" t="s">
        <v>23685</v>
      </c>
      <c r="B13809" s="2" t="s">
        <v>22926</v>
      </c>
      <c r="C13809" s="1" t="s">
        <v>5128</v>
      </c>
      <c r="D13809" s="1" t="s">
        <v>5129</v>
      </c>
    </row>
    <row r="13810">
      <c r="A13810" s="1" t="s">
        <v>23686</v>
      </c>
      <c r="B13810" s="2" t="s">
        <v>22928</v>
      </c>
      <c r="C13810" s="1" t="s">
        <v>5128</v>
      </c>
      <c r="D13810" s="1" t="s">
        <v>5129</v>
      </c>
    </row>
    <row r="13811">
      <c r="A13811" s="1" t="s">
        <v>23687</v>
      </c>
      <c r="B13811" s="2" t="s">
        <v>22930</v>
      </c>
      <c r="C13811" s="1" t="s">
        <v>5128</v>
      </c>
      <c r="D13811" s="1" t="s">
        <v>5129</v>
      </c>
    </row>
    <row r="13812">
      <c r="A13812" s="1" t="s">
        <v>23688</v>
      </c>
      <c r="B13812" s="2" t="s">
        <v>22932</v>
      </c>
      <c r="C13812" s="1" t="s">
        <v>5128</v>
      </c>
      <c r="D13812" s="1" t="s">
        <v>5129</v>
      </c>
    </row>
    <row r="13813">
      <c r="A13813" s="1" t="s">
        <v>23689</v>
      </c>
      <c r="B13813" s="2" t="s">
        <v>22934</v>
      </c>
      <c r="C13813" s="1" t="s">
        <v>5128</v>
      </c>
      <c r="D13813" s="1" t="s">
        <v>5129</v>
      </c>
    </row>
    <row r="13814">
      <c r="A13814" s="1" t="s">
        <v>23690</v>
      </c>
      <c r="B13814" s="2" t="s">
        <v>22936</v>
      </c>
      <c r="C13814" s="1" t="s">
        <v>5128</v>
      </c>
      <c r="D13814" s="1" t="s">
        <v>5129</v>
      </c>
    </row>
    <row r="13815">
      <c r="A13815" s="1" t="s">
        <v>23691</v>
      </c>
      <c r="B13815" s="2" t="s">
        <v>22938</v>
      </c>
      <c r="C13815" s="1" t="s">
        <v>5128</v>
      </c>
      <c r="D13815" s="1" t="s">
        <v>5129</v>
      </c>
    </row>
    <row r="13816">
      <c r="A13816" s="1" t="s">
        <v>23692</v>
      </c>
      <c r="B13816" s="2" t="s">
        <v>22940</v>
      </c>
      <c r="C13816" s="1" t="s">
        <v>5128</v>
      </c>
      <c r="D13816" s="1" t="s">
        <v>5129</v>
      </c>
    </row>
    <row r="13817">
      <c r="A13817" s="1" t="s">
        <v>5049</v>
      </c>
      <c r="B13817" s="2" t="s">
        <v>7</v>
      </c>
      <c r="C13817" s="1" t="s">
        <v>5051</v>
      </c>
      <c r="D13817" s="1" t="s">
        <v>5053</v>
      </c>
    </row>
    <row r="13818">
      <c r="A13818" s="1" t="s">
        <v>23693</v>
      </c>
      <c r="B13818" s="2" t="s">
        <v>13</v>
      </c>
      <c r="C13818" s="1" t="s">
        <v>5051</v>
      </c>
      <c r="D13818" s="1" t="s">
        <v>5053</v>
      </c>
    </row>
    <row r="13819">
      <c r="A13819" s="1" t="s">
        <v>23694</v>
      </c>
      <c r="B13819" s="2" t="s">
        <v>22442</v>
      </c>
      <c r="C13819" s="1" t="s">
        <v>5051</v>
      </c>
      <c r="D13819" s="1" t="s">
        <v>5053</v>
      </c>
    </row>
    <row r="13820">
      <c r="A13820" s="1" t="s">
        <v>23695</v>
      </c>
      <c r="B13820" s="2" t="s">
        <v>22762</v>
      </c>
      <c r="C13820" s="1" t="s">
        <v>5051</v>
      </c>
      <c r="D13820" s="1" t="s">
        <v>5053</v>
      </c>
    </row>
    <row r="13821">
      <c r="A13821" s="1" t="s">
        <v>23696</v>
      </c>
      <c r="B13821" s="2" t="s">
        <v>22764</v>
      </c>
      <c r="C13821" s="1" t="s">
        <v>5051</v>
      </c>
      <c r="D13821" s="1" t="s">
        <v>5053</v>
      </c>
    </row>
    <row r="13822">
      <c r="A13822" s="1" t="s">
        <v>23697</v>
      </c>
      <c r="B13822" s="2" t="s">
        <v>22766</v>
      </c>
      <c r="C13822" s="1" t="s">
        <v>5051</v>
      </c>
      <c r="D13822" s="1" t="s">
        <v>5053</v>
      </c>
    </row>
    <row r="13823">
      <c r="A13823" s="1" t="s">
        <v>23698</v>
      </c>
      <c r="B13823" s="2" t="s">
        <v>22768</v>
      </c>
      <c r="C13823" s="1" t="s">
        <v>5051</v>
      </c>
      <c r="D13823" s="1" t="s">
        <v>5053</v>
      </c>
    </row>
    <row r="13824">
      <c r="A13824" s="1" t="s">
        <v>23699</v>
      </c>
      <c r="B13824" s="2" t="s">
        <v>22770</v>
      </c>
      <c r="C13824" s="1" t="s">
        <v>5051</v>
      </c>
      <c r="D13824" s="1" t="s">
        <v>5053</v>
      </c>
    </row>
    <row r="13825">
      <c r="A13825" s="1" t="s">
        <v>23700</v>
      </c>
      <c r="B13825" s="2" t="s">
        <v>22772</v>
      </c>
      <c r="C13825" s="1" t="s">
        <v>5051</v>
      </c>
      <c r="D13825" s="1" t="s">
        <v>5053</v>
      </c>
    </row>
    <row r="13826">
      <c r="A13826" s="1" t="s">
        <v>23701</v>
      </c>
      <c r="B13826" s="2" t="s">
        <v>22774</v>
      </c>
      <c r="C13826" s="1" t="s">
        <v>5051</v>
      </c>
      <c r="D13826" s="1" t="s">
        <v>5053</v>
      </c>
    </row>
    <row r="13827">
      <c r="A13827" s="1" t="s">
        <v>23702</v>
      </c>
      <c r="B13827" s="2" t="s">
        <v>22776</v>
      </c>
      <c r="C13827" s="1" t="s">
        <v>5051</v>
      </c>
      <c r="D13827" s="1" t="s">
        <v>5053</v>
      </c>
    </row>
    <row r="13828">
      <c r="A13828" s="1" t="s">
        <v>23703</v>
      </c>
      <c r="B13828" s="2" t="s">
        <v>22778</v>
      </c>
      <c r="C13828" s="1" t="s">
        <v>5051</v>
      </c>
      <c r="D13828" s="1" t="s">
        <v>5053</v>
      </c>
    </row>
    <row r="13829">
      <c r="A13829" s="1" t="s">
        <v>23704</v>
      </c>
      <c r="B13829" s="2" t="s">
        <v>22780</v>
      </c>
      <c r="C13829" s="1" t="s">
        <v>5051</v>
      </c>
      <c r="D13829" s="1" t="s">
        <v>5053</v>
      </c>
    </row>
    <row r="13830">
      <c r="A13830" s="1" t="s">
        <v>23705</v>
      </c>
      <c r="B13830" s="2" t="s">
        <v>22782</v>
      </c>
      <c r="C13830" s="1" t="s">
        <v>5051</v>
      </c>
      <c r="D13830" s="1" t="s">
        <v>5053</v>
      </c>
    </row>
    <row r="13831">
      <c r="A13831" s="1" t="s">
        <v>23706</v>
      </c>
      <c r="B13831" s="2" t="s">
        <v>22784</v>
      </c>
      <c r="C13831" s="1" t="s">
        <v>5051</v>
      </c>
      <c r="D13831" s="1" t="s">
        <v>5053</v>
      </c>
    </row>
    <row r="13832">
      <c r="A13832" s="1" t="s">
        <v>23707</v>
      </c>
      <c r="B13832" s="2" t="s">
        <v>22786</v>
      </c>
      <c r="C13832" s="1" t="s">
        <v>5051</v>
      </c>
      <c r="D13832" s="1" t="s">
        <v>5053</v>
      </c>
    </row>
    <row r="13833">
      <c r="A13833" s="1" t="s">
        <v>23708</v>
      </c>
      <c r="B13833" s="2" t="s">
        <v>22788</v>
      </c>
      <c r="C13833" s="1" t="s">
        <v>5051</v>
      </c>
      <c r="D13833" s="1" t="s">
        <v>5053</v>
      </c>
    </row>
    <row r="13834">
      <c r="A13834" s="1" t="s">
        <v>23709</v>
      </c>
      <c r="B13834" s="2" t="s">
        <v>22790</v>
      </c>
      <c r="C13834" s="1" t="s">
        <v>5051</v>
      </c>
      <c r="D13834" s="1" t="s">
        <v>5053</v>
      </c>
    </row>
    <row r="13835">
      <c r="A13835" s="1" t="s">
        <v>23710</v>
      </c>
      <c r="B13835" s="2" t="s">
        <v>22792</v>
      </c>
      <c r="C13835" s="1" t="s">
        <v>5051</v>
      </c>
      <c r="D13835" s="1" t="s">
        <v>5053</v>
      </c>
    </row>
    <row r="13836">
      <c r="A13836" s="1" t="s">
        <v>23711</v>
      </c>
      <c r="B13836" s="2" t="s">
        <v>22794</v>
      </c>
      <c r="C13836" s="1" t="s">
        <v>5051</v>
      </c>
      <c r="D13836" s="1" t="s">
        <v>5053</v>
      </c>
    </row>
    <row r="13837">
      <c r="A13837" s="1" t="s">
        <v>23712</v>
      </c>
      <c r="B13837" s="2" t="s">
        <v>22796</v>
      </c>
      <c r="C13837" s="1" t="s">
        <v>5051</v>
      </c>
      <c r="D13837" s="1" t="s">
        <v>5053</v>
      </c>
    </row>
    <row r="13838">
      <c r="A13838" s="1" t="s">
        <v>23713</v>
      </c>
      <c r="B13838" s="2" t="s">
        <v>22798</v>
      </c>
      <c r="C13838" s="1" t="s">
        <v>5051</v>
      </c>
      <c r="D13838" s="1" t="s">
        <v>5053</v>
      </c>
    </row>
    <row r="13839">
      <c r="A13839" s="1" t="s">
        <v>23714</v>
      </c>
      <c r="B13839" s="2" t="s">
        <v>22800</v>
      </c>
      <c r="C13839" s="1" t="s">
        <v>5051</v>
      </c>
      <c r="D13839" s="1" t="s">
        <v>5053</v>
      </c>
    </row>
    <row r="13840">
      <c r="A13840" s="1" t="s">
        <v>23715</v>
      </c>
      <c r="B13840" s="2" t="s">
        <v>22802</v>
      </c>
      <c r="C13840" s="1" t="s">
        <v>5051</v>
      </c>
      <c r="D13840" s="1" t="s">
        <v>5053</v>
      </c>
    </row>
    <row r="13841">
      <c r="A13841" s="1" t="s">
        <v>23716</v>
      </c>
      <c r="B13841" s="2" t="s">
        <v>22804</v>
      </c>
      <c r="C13841" s="1" t="s">
        <v>5051</v>
      </c>
      <c r="D13841" s="1" t="s">
        <v>5053</v>
      </c>
    </row>
    <row r="13842">
      <c r="A13842" s="1" t="s">
        <v>23717</v>
      </c>
      <c r="B13842" s="2" t="s">
        <v>22488</v>
      </c>
      <c r="C13842" s="1" t="s">
        <v>5051</v>
      </c>
      <c r="D13842" s="1" t="s">
        <v>5053</v>
      </c>
    </row>
    <row r="13843">
      <c r="A13843" s="1" t="s">
        <v>23718</v>
      </c>
      <c r="B13843" s="2" t="s">
        <v>22807</v>
      </c>
      <c r="C13843" s="1" t="s">
        <v>5051</v>
      </c>
      <c r="D13843" s="1" t="s">
        <v>5053</v>
      </c>
    </row>
    <row r="13844">
      <c r="A13844" s="1" t="s">
        <v>23719</v>
      </c>
      <c r="B13844" s="2" t="s">
        <v>22809</v>
      </c>
      <c r="C13844" s="1" t="s">
        <v>5051</v>
      </c>
      <c r="D13844" s="1" t="s">
        <v>5053</v>
      </c>
    </row>
    <row r="13845">
      <c r="A13845" s="1" t="s">
        <v>23720</v>
      </c>
      <c r="B13845" s="2" t="s">
        <v>22811</v>
      </c>
      <c r="C13845" s="1" t="s">
        <v>5051</v>
      </c>
      <c r="D13845" s="1" t="s">
        <v>5053</v>
      </c>
    </row>
    <row r="13846">
      <c r="A13846" s="1" t="s">
        <v>23721</v>
      </c>
      <c r="B13846" s="2" t="s">
        <v>22813</v>
      </c>
      <c r="C13846" s="1" t="s">
        <v>5051</v>
      </c>
      <c r="D13846" s="1" t="s">
        <v>5053</v>
      </c>
    </row>
    <row r="13847">
      <c r="A13847" s="1" t="s">
        <v>23722</v>
      </c>
      <c r="B13847" s="2" t="s">
        <v>22815</v>
      </c>
      <c r="C13847" s="1" t="s">
        <v>5051</v>
      </c>
      <c r="D13847" s="1" t="s">
        <v>5053</v>
      </c>
    </row>
    <row r="13848">
      <c r="A13848" s="1" t="s">
        <v>23723</v>
      </c>
      <c r="B13848" s="2" t="s">
        <v>22817</v>
      </c>
      <c r="C13848" s="1" t="s">
        <v>5051</v>
      </c>
      <c r="D13848" s="1" t="s">
        <v>5053</v>
      </c>
    </row>
    <row r="13849">
      <c r="A13849" s="1" t="s">
        <v>23724</v>
      </c>
      <c r="B13849" s="2" t="s">
        <v>22819</v>
      </c>
      <c r="C13849" s="1" t="s">
        <v>5051</v>
      </c>
      <c r="D13849" s="1" t="s">
        <v>5053</v>
      </c>
    </row>
    <row r="13850">
      <c r="A13850" s="1" t="s">
        <v>23725</v>
      </c>
      <c r="B13850" s="2" t="s">
        <v>22821</v>
      </c>
      <c r="C13850" s="1" t="s">
        <v>5051</v>
      </c>
      <c r="D13850" s="1" t="s">
        <v>5053</v>
      </c>
    </row>
    <row r="13851">
      <c r="A13851" s="1" t="s">
        <v>23726</v>
      </c>
      <c r="B13851" s="2" t="s">
        <v>22823</v>
      </c>
      <c r="C13851" s="1" t="s">
        <v>5051</v>
      </c>
      <c r="D13851" s="1" t="s">
        <v>5053</v>
      </c>
    </row>
    <row r="13852">
      <c r="A13852" s="1" t="s">
        <v>23727</v>
      </c>
      <c r="B13852" s="2" t="s">
        <v>22825</v>
      </c>
      <c r="C13852" s="1" t="s">
        <v>5051</v>
      </c>
      <c r="D13852" s="1" t="s">
        <v>5053</v>
      </c>
    </row>
    <row r="13853">
      <c r="A13853" s="1" t="s">
        <v>23728</v>
      </c>
      <c r="B13853" s="2" t="s">
        <v>22827</v>
      </c>
      <c r="C13853" s="1" t="s">
        <v>5051</v>
      </c>
      <c r="D13853" s="1" t="s">
        <v>5053</v>
      </c>
    </row>
    <row r="13854">
      <c r="A13854" s="1" t="s">
        <v>23729</v>
      </c>
      <c r="B13854" s="2" t="s">
        <v>22829</v>
      </c>
      <c r="C13854" s="1" t="s">
        <v>5051</v>
      </c>
      <c r="D13854" s="1" t="s">
        <v>5053</v>
      </c>
    </row>
    <row r="13855">
      <c r="A13855" s="1" t="s">
        <v>23730</v>
      </c>
      <c r="B13855" s="2" t="s">
        <v>22831</v>
      </c>
      <c r="C13855" s="1" t="s">
        <v>5051</v>
      </c>
      <c r="D13855" s="1" t="s">
        <v>5053</v>
      </c>
    </row>
    <row r="13856">
      <c r="A13856" s="1" t="s">
        <v>23731</v>
      </c>
      <c r="B13856" s="2" t="s">
        <v>22833</v>
      </c>
      <c r="C13856" s="1" t="s">
        <v>5051</v>
      </c>
      <c r="D13856" s="1" t="s">
        <v>5053</v>
      </c>
    </row>
    <row r="13857">
      <c r="A13857" s="1" t="s">
        <v>23732</v>
      </c>
      <c r="B13857" s="2" t="s">
        <v>22835</v>
      </c>
      <c r="C13857" s="1" t="s">
        <v>5051</v>
      </c>
      <c r="D13857" s="1" t="s">
        <v>5053</v>
      </c>
    </row>
    <row r="13858">
      <c r="A13858" s="1" t="s">
        <v>23733</v>
      </c>
      <c r="B13858" s="2" t="s">
        <v>22837</v>
      </c>
      <c r="C13858" s="1" t="s">
        <v>5051</v>
      </c>
      <c r="D13858" s="1" t="s">
        <v>5053</v>
      </c>
    </row>
    <row r="13859">
      <c r="A13859" s="1" t="s">
        <v>23734</v>
      </c>
      <c r="B13859" s="2" t="s">
        <v>22839</v>
      </c>
      <c r="C13859" s="1" t="s">
        <v>5051</v>
      </c>
      <c r="D13859" s="1" t="s">
        <v>5053</v>
      </c>
    </row>
    <row r="13860">
      <c r="A13860" s="1" t="s">
        <v>23735</v>
      </c>
      <c r="B13860" s="2" t="s">
        <v>22841</v>
      </c>
      <c r="C13860" s="1" t="s">
        <v>5051</v>
      </c>
      <c r="D13860" s="1" t="s">
        <v>5053</v>
      </c>
    </row>
    <row r="13861">
      <c r="A13861" s="1" t="s">
        <v>23736</v>
      </c>
      <c r="B13861" s="2" t="s">
        <v>22843</v>
      </c>
      <c r="C13861" s="1" t="s">
        <v>5051</v>
      </c>
      <c r="D13861" s="1" t="s">
        <v>5053</v>
      </c>
    </row>
    <row r="13862">
      <c r="A13862" s="1" t="s">
        <v>23737</v>
      </c>
      <c r="B13862" s="2" t="s">
        <v>22845</v>
      </c>
      <c r="C13862" s="1" t="s">
        <v>5051</v>
      </c>
      <c r="D13862" s="1" t="s">
        <v>5053</v>
      </c>
    </row>
    <row r="13863">
      <c r="A13863" s="1" t="s">
        <v>23738</v>
      </c>
      <c r="B13863" s="2" t="s">
        <v>22847</v>
      </c>
      <c r="C13863" s="1" t="s">
        <v>5051</v>
      </c>
      <c r="D13863" s="1" t="s">
        <v>5053</v>
      </c>
    </row>
    <row r="13864">
      <c r="A13864" s="1" t="s">
        <v>23739</v>
      </c>
      <c r="B13864" s="2" t="s">
        <v>22849</v>
      </c>
      <c r="C13864" s="1" t="s">
        <v>5051</v>
      </c>
      <c r="D13864" s="1" t="s">
        <v>5053</v>
      </c>
    </row>
    <row r="13865">
      <c r="A13865" s="1" t="s">
        <v>23740</v>
      </c>
      <c r="B13865" s="2" t="s">
        <v>70</v>
      </c>
      <c r="C13865" s="1" t="s">
        <v>5051</v>
      </c>
      <c r="D13865" s="1" t="s">
        <v>5053</v>
      </c>
    </row>
    <row r="13866">
      <c r="A13866" s="1" t="s">
        <v>23741</v>
      </c>
      <c r="B13866" s="2" t="s">
        <v>22535</v>
      </c>
      <c r="C13866" s="1" t="s">
        <v>5051</v>
      </c>
      <c r="D13866" s="1" t="s">
        <v>5053</v>
      </c>
    </row>
    <row r="13867">
      <c r="A13867" s="1" t="s">
        <v>23742</v>
      </c>
      <c r="B13867" s="2" t="s">
        <v>22853</v>
      </c>
      <c r="C13867" s="1" t="s">
        <v>5051</v>
      </c>
      <c r="D13867" s="1" t="s">
        <v>5053</v>
      </c>
    </row>
    <row r="13868">
      <c r="A13868" s="1" t="s">
        <v>23743</v>
      </c>
      <c r="B13868" s="2" t="s">
        <v>22855</v>
      </c>
      <c r="C13868" s="1" t="s">
        <v>5051</v>
      </c>
      <c r="D13868" s="1" t="s">
        <v>5053</v>
      </c>
    </row>
    <row r="13869">
      <c r="A13869" s="1" t="s">
        <v>23744</v>
      </c>
      <c r="B13869" s="2" t="s">
        <v>22857</v>
      </c>
      <c r="C13869" s="1" t="s">
        <v>5051</v>
      </c>
      <c r="D13869" s="1" t="s">
        <v>5053</v>
      </c>
    </row>
    <row r="13870">
      <c r="A13870" s="1" t="s">
        <v>23745</v>
      </c>
      <c r="B13870" s="2" t="s">
        <v>22859</v>
      </c>
      <c r="C13870" s="1" t="s">
        <v>5051</v>
      </c>
      <c r="D13870" s="1" t="s">
        <v>5053</v>
      </c>
    </row>
    <row r="13871">
      <c r="A13871" s="1" t="s">
        <v>23746</v>
      </c>
      <c r="B13871" s="2" t="s">
        <v>22861</v>
      </c>
      <c r="C13871" s="1" t="s">
        <v>5051</v>
      </c>
      <c r="D13871" s="1" t="s">
        <v>5053</v>
      </c>
    </row>
    <row r="13872">
      <c r="A13872" s="1" t="s">
        <v>23747</v>
      </c>
      <c r="B13872" s="2" t="s">
        <v>22863</v>
      </c>
      <c r="C13872" s="1" t="s">
        <v>5051</v>
      </c>
      <c r="D13872" s="1" t="s">
        <v>5053</v>
      </c>
    </row>
    <row r="13873">
      <c r="A13873" s="1" t="s">
        <v>23748</v>
      </c>
      <c r="B13873" s="2" t="s">
        <v>22865</v>
      </c>
      <c r="C13873" s="1" t="s">
        <v>5051</v>
      </c>
      <c r="D13873" s="1" t="s">
        <v>5053</v>
      </c>
    </row>
    <row r="13874">
      <c r="A13874" s="1" t="s">
        <v>23749</v>
      </c>
      <c r="B13874" s="2" t="s">
        <v>22867</v>
      </c>
      <c r="C13874" s="1" t="s">
        <v>5051</v>
      </c>
      <c r="D13874" s="1" t="s">
        <v>5053</v>
      </c>
    </row>
    <row r="13875">
      <c r="A13875" s="1" t="s">
        <v>23750</v>
      </c>
      <c r="B13875" s="2" t="s">
        <v>22869</v>
      </c>
      <c r="C13875" s="1" t="s">
        <v>5051</v>
      </c>
      <c r="D13875" s="1" t="s">
        <v>5053</v>
      </c>
    </row>
    <row r="13876">
      <c r="A13876" s="1" t="s">
        <v>23751</v>
      </c>
      <c r="B13876" s="2" t="s">
        <v>22871</v>
      </c>
      <c r="C13876" s="1" t="s">
        <v>5051</v>
      </c>
      <c r="D13876" s="1" t="s">
        <v>5053</v>
      </c>
    </row>
    <row r="13877">
      <c r="A13877" s="1" t="s">
        <v>23752</v>
      </c>
      <c r="B13877" s="2" t="s">
        <v>22873</v>
      </c>
      <c r="C13877" s="1" t="s">
        <v>5051</v>
      </c>
      <c r="D13877" s="1" t="s">
        <v>5053</v>
      </c>
    </row>
    <row r="13878">
      <c r="A13878" s="1" t="s">
        <v>23753</v>
      </c>
      <c r="B13878" s="2" t="s">
        <v>22875</v>
      </c>
      <c r="C13878" s="1" t="s">
        <v>5051</v>
      </c>
      <c r="D13878" s="1" t="s">
        <v>5053</v>
      </c>
    </row>
    <row r="13879">
      <c r="A13879" s="1" t="s">
        <v>23754</v>
      </c>
      <c r="B13879" s="2" t="s">
        <v>22877</v>
      </c>
      <c r="C13879" s="1" t="s">
        <v>5051</v>
      </c>
      <c r="D13879" s="1" t="s">
        <v>5053</v>
      </c>
    </row>
    <row r="13880">
      <c r="A13880" s="1" t="s">
        <v>23755</v>
      </c>
      <c r="B13880" s="2" t="s">
        <v>22879</v>
      </c>
      <c r="C13880" s="1" t="s">
        <v>5051</v>
      </c>
      <c r="D13880" s="1" t="s">
        <v>5053</v>
      </c>
    </row>
    <row r="13881">
      <c r="A13881" s="1" t="s">
        <v>23756</v>
      </c>
      <c r="B13881" s="2" t="s">
        <v>22881</v>
      </c>
      <c r="C13881" s="1" t="s">
        <v>5051</v>
      </c>
      <c r="D13881" s="1" t="s">
        <v>5053</v>
      </c>
    </row>
    <row r="13882">
      <c r="A13882" s="1" t="s">
        <v>23757</v>
      </c>
      <c r="B13882" s="2" t="s">
        <v>22883</v>
      </c>
      <c r="C13882" s="1" t="s">
        <v>5051</v>
      </c>
      <c r="D13882" s="1" t="s">
        <v>5053</v>
      </c>
    </row>
    <row r="13883">
      <c r="A13883" s="1" t="s">
        <v>23758</v>
      </c>
      <c r="B13883" s="2" t="s">
        <v>22885</v>
      </c>
      <c r="C13883" s="1" t="s">
        <v>5051</v>
      </c>
      <c r="D13883" s="1" t="s">
        <v>5053</v>
      </c>
    </row>
    <row r="13884">
      <c r="A13884" s="1" t="s">
        <v>23759</v>
      </c>
      <c r="B13884" s="2" t="s">
        <v>22887</v>
      </c>
      <c r="C13884" s="1" t="s">
        <v>5051</v>
      </c>
      <c r="D13884" s="1" t="s">
        <v>5053</v>
      </c>
    </row>
    <row r="13885">
      <c r="A13885" s="1" t="s">
        <v>23760</v>
      </c>
      <c r="B13885" s="2" t="s">
        <v>22889</v>
      </c>
      <c r="C13885" s="1" t="s">
        <v>5051</v>
      </c>
      <c r="D13885" s="1" t="s">
        <v>5053</v>
      </c>
    </row>
    <row r="13886">
      <c r="A13886" s="1" t="s">
        <v>23761</v>
      </c>
      <c r="B13886" s="2" t="s">
        <v>22891</v>
      </c>
      <c r="C13886" s="1" t="s">
        <v>5051</v>
      </c>
      <c r="D13886" s="1" t="s">
        <v>5053</v>
      </c>
    </row>
    <row r="13887">
      <c r="A13887" s="1" t="s">
        <v>23762</v>
      </c>
      <c r="B13887" s="2" t="s">
        <v>22893</v>
      </c>
      <c r="C13887" s="1" t="s">
        <v>5051</v>
      </c>
      <c r="D13887" s="1" t="s">
        <v>5053</v>
      </c>
    </row>
    <row r="13888">
      <c r="A13888" s="1" t="s">
        <v>23763</v>
      </c>
      <c r="B13888" s="2" t="s">
        <v>22895</v>
      </c>
      <c r="C13888" s="1" t="s">
        <v>5051</v>
      </c>
      <c r="D13888" s="1" t="s">
        <v>5053</v>
      </c>
    </row>
    <row r="13889">
      <c r="A13889" s="1" t="s">
        <v>23764</v>
      </c>
      <c r="B13889" s="2" t="s">
        <v>22581</v>
      </c>
      <c r="C13889" s="1" t="s">
        <v>5051</v>
      </c>
      <c r="D13889" s="1" t="s">
        <v>5053</v>
      </c>
    </row>
    <row r="13890">
      <c r="A13890" s="1" t="s">
        <v>23765</v>
      </c>
      <c r="B13890" s="2" t="s">
        <v>22898</v>
      </c>
      <c r="C13890" s="1" t="s">
        <v>5051</v>
      </c>
      <c r="D13890" s="1" t="s">
        <v>5053</v>
      </c>
    </row>
    <row r="13891">
      <c r="A13891" s="1" t="s">
        <v>23766</v>
      </c>
      <c r="B13891" s="2" t="s">
        <v>22900</v>
      </c>
      <c r="C13891" s="1" t="s">
        <v>5051</v>
      </c>
      <c r="D13891" s="1" t="s">
        <v>5053</v>
      </c>
    </row>
    <row r="13892">
      <c r="A13892" s="1" t="s">
        <v>23767</v>
      </c>
      <c r="B13892" s="2" t="s">
        <v>22902</v>
      </c>
      <c r="C13892" s="1" t="s">
        <v>5051</v>
      </c>
      <c r="D13892" s="1" t="s">
        <v>5053</v>
      </c>
    </row>
    <row r="13893">
      <c r="A13893" s="1" t="s">
        <v>23768</v>
      </c>
      <c r="B13893" s="2" t="s">
        <v>22904</v>
      </c>
      <c r="C13893" s="1" t="s">
        <v>5051</v>
      </c>
      <c r="D13893" s="1" t="s">
        <v>5053</v>
      </c>
    </row>
    <row r="13894">
      <c r="A13894" s="1" t="s">
        <v>23769</v>
      </c>
      <c r="B13894" s="2" t="s">
        <v>22906</v>
      </c>
      <c r="C13894" s="1" t="s">
        <v>5051</v>
      </c>
      <c r="D13894" s="1" t="s">
        <v>5053</v>
      </c>
    </row>
    <row r="13895">
      <c r="A13895" s="1" t="s">
        <v>23770</v>
      </c>
      <c r="B13895" s="2" t="s">
        <v>22908</v>
      </c>
      <c r="C13895" s="1" t="s">
        <v>5051</v>
      </c>
      <c r="D13895" s="1" t="s">
        <v>5053</v>
      </c>
    </row>
    <row r="13896">
      <c r="A13896" s="1" t="s">
        <v>23771</v>
      </c>
      <c r="B13896" s="2" t="s">
        <v>22910</v>
      </c>
      <c r="C13896" s="1" t="s">
        <v>5051</v>
      </c>
      <c r="D13896" s="1" t="s">
        <v>5053</v>
      </c>
    </row>
    <row r="13897">
      <c r="A13897" s="1" t="s">
        <v>23772</v>
      </c>
      <c r="B13897" s="2" t="s">
        <v>22912</v>
      </c>
      <c r="C13897" s="1" t="s">
        <v>5051</v>
      </c>
      <c r="D13897" s="1" t="s">
        <v>5053</v>
      </c>
    </row>
    <row r="13898">
      <c r="A13898" s="1" t="s">
        <v>23773</v>
      </c>
      <c r="B13898" s="2" t="s">
        <v>22914</v>
      </c>
      <c r="C13898" s="1" t="s">
        <v>5051</v>
      </c>
      <c r="D13898" s="1" t="s">
        <v>5053</v>
      </c>
    </row>
    <row r="13899">
      <c r="A13899" s="1" t="s">
        <v>23774</v>
      </c>
      <c r="B13899" s="2" t="s">
        <v>22916</v>
      </c>
      <c r="C13899" s="1" t="s">
        <v>5051</v>
      </c>
      <c r="D13899" s="1" t="s">
        <v>5053</v>
      </c>
    </row>
    <row r="13900">
      <c r="A13900" s="1" t="s">
        <v>23775</v>
      </c>
      <c r="B13900" s="2" t="s">
        <v>22918</v>
      </c>
      <c r="C13900" s="1" t="s">
        <v>5051</v>
      </c>
      <c r="D13900" s="1" t="s">
        <v>5053</v>
      </c>
    </row>
    <row r="13901">
      <c r="A13901" s="1" t="s">
        <v>23776</v>
      </c>
      <c r="B13901" s="2" t="s">
        <v>22920</v>
      </c>
      <c r="C13901" s="1" t="s">
        <v>5051</v>
      </c>
      <c r="D13901" s="1" t="s">
        <v>5053</v>
      </c>
    </row>
    <row r="13902">
      <c r="A13902" s="1" t="s">
        <v>23777</v>
      </c>
      <c r="B13902" s="2" t="s">
        <v>22922</v>
      </c>
      <c r="C13902" s="1" t="s">
        <v>5051</v>
      </c>
      <c r="D13902" s="1" t="s">
        <v>5053</v>
      </c>
    </row>
    <row r="13903">
      <c r="A13903" s="1" t="s">
        <v>23778</v>
      </c>
      <c r="B13903" s="2" t="s">
        <v>22924</v>
      </c>
      <c r="C13903" s="1" t="s">
        <v>5051</v>
      </c>
      <c r="D13903" s="1" t="s">
        <v>5053</v>
      </c>
    </row>
    <row r="13904">
      <c r="A13904" s="1" t="s">
        <v>23779</v>
      </c>
      <c r="B13904" s="2" t="s">
        <v>22926</v>
      </c>
      <c r="C13904" s="1" t="s">
        <v>5051</v>
      </c>
      <c r="D13904" s="1" t="s">
        <v>5053</v>
      </c>
    </row>
    <row r="13905">
      <c r="A13905" s="1" t="s">
        <v>23780</v>
      </c>
      <c r="B13905" s="2" t="s">
        <v>22928</v>
      </c>
      <c r="C13905" s="1" t="s">
        <v>5051</v>
      </c>
      <c r="D13905" s="1" t="s">
        <v>5053</v>
      </c>
    </row>
    <row r="13906">
      <c r="A13906" s="1" t="s">
        <v>23781</v>
      </c>
      <c r="B13906" s="2" t="s">
        <v>22930</v>
      </c>
      <c r="C13906" s="1" t="s">
        <v>5051</v>
      </c>
      <c r="D13906" s="1" t="s">
        <v>5053</v>
      </c>
    </row>
    <row r="13907">
      <c r="A13907" s="1" t="s">
        <v>23782</v>
      </c>
      <c r="B13907" s="2" t="s">
        <v>22932</v>
      </c>
      <c r="C13907" s="1" t="s">
        <v>5051</v>
      </c>
      <c r="D13907" s="1" t="s">
        <v>5053</v>
      </c>
    </row>
    <row r="13908">
      <c r="A13908" s="1" t="s">
        <v>23783</v>
      </c>
      <c r="B13908" s="2" t="s">
        <v>22934</v>
      </c>
      <c r="C13908" s="1" t="s">
        <v>5051</v>
      </c>
      <c r="D13908" s="1" t="s">
        <v>5053</v>
      </c>
    </row>
    <row r="13909">
      <c r="A13909" s="1" t="s">
        <v>23784</v>
      </c>
      <c r="B13909" s="2" t="s">
        <v>22936</v>
      </c>
      <c r="C13909" s="1" t="s">
        <v>5051</v>
      </c>
      <c r="D13909" s="1" t="s">
        <v>5053</v>
      </c>
    </row>
    <row r="13910">
      <c r="A13910" s="1" t="s">
        <v>23785</v>
      </c>
      <c r="B13910" s="2" t="s">
        <v>22938</v>
      </c>
      <c r="C13910" s="1" t="s">
        <v>5051</v>
      </c>
      <c r="D13910" s="1" t="s">
        <v>5053</v>
      </c>
    </row>
    <row r="13911">
      <c r="A13911" s="1" t="s">
        <v>23786</v>
      </c>
      <c r="B13911" s="2" t="s">
        <v>22940</v>
      </c>
      <c r="C13911" s="1" t="s">
        <v>5051</v>
      </c>
      <c r="D13911" s="1" t="s">
        <v>5053</v>
      </c>
    </row>
    <row r="13912">
      <c r="A13912" s="1" t="s">
        <v>5142</v>
      </c>
      <c r="B13912" s="2" t="s">
        <v>5022</v>
      </c>
      <c r="C13912" s="1" t="s">
        <v>5143</v>
      </c>
      <c r="D13912" s="1" t="s">
        <v>5144</v>
      </c>
    </row>
    <row r="13913">
      <c r="A13913" s="1" t="s">
        <v>23787</v>
      </c>
      <c r="B13913" s="2" t="s">
        <v>23788</v>
      </c>
      <c r="C13913" s="1" t="s">
        <v>5143</v>
      </c>
      <c r="D13913" s="1" t="s">
        <v>5144</v>
      </c>
    </row>
    <row r="13914">
      <c r="A13914" s="1" t="s">
        <v>23789</v>
      </c>
      <c r="B13914" s="2" t="s">
        <v>23790</v>
      </c>
      <c r="C13914" s="1" t="s">
        <v>5143</v>
      </c>
      <c r="D13914" s="1" t="s">
        <v>5144</v>
      </c>
    </row>
    <row r="13915">
      <c r="A13915" s="1" t="s">
        <v>23791</v>
      </c>
      <c r="B13915" s="2" t="s">
        <v>23792</v>
      </c>
      <c r="C13915" s="1" t="s">
        <v>5143</v>
      </c>
      <c r="D13915" s="1" t="s">
        <v>5144</v>
      </c>
    </row>
    <row r="13916">
      <c r="A13916" s="1" t="s">
        <v>23793</v>
      </c>
      <c r="B13916" s="2" t="s">
        <v>23794</v>
      </c>
      <c r="C13916" s="1" t="s">
        <v>5143</v>
      </c>
      <c r="D13916" s="1" t="s">
        <v>5144</v>
      </c>
    </row>
    <row r="13917">
      <c r="A13917" s="1" t="s">
        <v>23795</v>
      </c>
      <c r="B13917" s="2" t="s">
        <v>23796</v>
      </c>
      <c r="C13917" s="1" t="s">
        <v>5143</v>
      </c>
      <c r="D13917" s="1" t="s">
        <v>5144</v>
      </c>
    </row>
    <row r="13918">
      <c r="A13918" s="1" t="s">
        <v>23797</v>
      </c>
      <c r="B13918" s="2" t="s">
        <v>23798</v>
      </c>
      <c r="C13918" s="1" t="s">
        <v>5143</v>
      </c>
      <c r="D13918" s="1" t="s">
        <v>5144</v>
      </c>
    </row>
    <row r="13919">
      <c r="A13919" s="1" t="s">
        <v>5149</v>
      </c>
      <c r="B13919" s="2" t="s">
        <v>5022</v>
      </c>
      <c r="C13919" s="1" t="s">
        <v>5152</v>
      </c>
      <c r="D13919" s="1" t="s">
        <v>5153</v>
      </c>
    </row>
    <row r="13920">
      <c r="A13920" s="1" t="s">
        <v>23799</v>
      </c>
      <c r="B13920" s="2" t="s">
        <v>23788</v>
      </c>
      <c r="C13920" s="1" t="s">
        <v>5152</v>
      </c>
      <c r="D13920" s="1" t="s">
        <v>5153</v>
      </c>
    </row>
    <row r="13921">
      <c r="A13921" s="1" t="s">
        <v>23800</v>
      </c>
      <c r="B13921" s="2" t="s">
        <v>23790</v>
      </c>
      <c r="C13921" s="1" t="s">
        <v>5152</v>
      </c>
      <c r="D13921" s="1" t="s">
        <v>5153</v>
      </c>
    </row>
    <row r="13922">
      <c r="A13922" s="1" t="s">
        <v>23801</v>
      </c>
      <c r="B13922" s="2" t="s">
        <v>23792</v>
      </c>
      <c r="C13922" s="1" t="s">
        <v>5152</v>
      </c>
      <c r="D13922" s="1" t="s">
        <v>5153</v>
      </c>
    </row>
    <row r="13923">
      <c r="A13923" s="1" t="s">
        <v>23802</v>
      </c>
      <c r="B13923" s="2" t="s">
        <v>23794</v>
      </c>
      <c r="C13923" s="1" t="s">
        <v>5152</v>
      </c>
      <c r="D13923" s="1" t="s">
        <v>5153</v>
      </c>
    </row>
    <row r="13924">
      <c r="A13924" s="1" t="s">
        <v>23803</v>
      </c>
      <c r="B13924" s="2" t="s">
        <v>23796</v>
      </c>
      <c r="C13924" s="1" t="s">
        <v>5152</v>
      </c>
      <c r="D13924" s="1" t="s">
        <v>5153</v>
      </c>
    </row>
    <row r="13925">
      <c r="A13925" s="1" t="s">
        <v>23804</v>
      </c>
      <c r="B13925" s="2" t="s">
        <v>23798</v>
      </c>
      <c r="C13925" s="1" t="s">
        <v>5152</v>
      </c>
      <c r="D13925" s="1" t="s">
        <v>5153</v>
      </c>
    </row>
    <row r="13926">
      <c r="A13926" s="1" t="s">
        <v>5158</v>
      </c>
      <c r="B13926" s="2" t="s">
        <v>5022</v>
      </c>
      <c r="C13926" s="1" t="s">
        <v>5160</v>
      </c>
      <c r="D13926" s="1" t="s">
        <v>5162</v>
      </c>
    </row>
    <row r="13927">
      <c r="A13927" s="1" t="s">
        <v>23805</v>
      </c>
      <c r="B13927" s="2" t="s">
        <v>23788</v>
      </c>
      <c r="C13927" s="1" t="s">
        <v>5160</v>
      </c>
      <c r="D13927" s="1" t="s">
        <v>5162</v>
      </c>
    </row>
    <row r="13928">
      <c r="A13928" s="1" t="s">
        <v>23806</v>
      </c>
      <c r="B13928" s="2" t="s">
        <v>23790</v>
      </c>
      <c r="C13928" s="1" t="s">
        <v>5160</v>
      </c>
      <c r="D13928" s="1" t="s">
        <v>5162</v>
      </c>
    </row>
    <row r="13929">
      <c r="A13929" s="1" t="s">
        <v>23807</v>
      </c>
      <c r="B13929" s="2" t="s">
        <v>23792</v>
      </c>
      <c r="C13929" s="1" t="s">
        <v>5160</v>
      </c>
      <c r="D13929" s="1" t="s">
        <v>5162</v>
      </c>
    </row>
    <row r="13930">
      <c r="A13930" s="1" t="s">
        <v>23808</v>
      </c>
      <c r="B13930" s="2" t="s">
        <v>23794</v>
      </c>
      <c r="C13930" s="1" t="s">
        <v>5160</v>
      </c>
      <c r="D13930" s="1" t="s">
        <v>5162</v>
      </c>
    </row>
    <row r="13931">
      <c r="A13931" s="1" t="s">
        <v>23809</v>
      </c>
      <c r="B13931" s="2" t="s">
        <v>23796</v>
      </c>
      <c r="C13931" s="1" t="s">
        <v>5160</v>
      </c>
      <c r="D13931" s="1" t="s">
        <v>5162</v>
      </c>
    </row>
    <row r="13932">
      <c r="A13932" s="1" t="s">
        <v>23810</v>
      </c>
      <c r="B13932" s="2" t="s">
        <v>23798</v>
      </c>
      <c r="C13932" s="1" t="s">
        <v>5160</v>
      </c>
      <c r="D13932" s="1" t="s">
        <v>5162</v>
      </c>
    </row>
    <row r="13933">
      <c r="A13933" s="1" t="s">
        <v>5167</v>
      </c>
      <c r="B13933" s="2" t="s">
        <v>5022</v>
      </c>
      <c r="C13933" s="1" t="s">
        <v>5169</v>
      </c>
      <c r="D13933" s="1" t="s">
        <v>5171</v>
      </c>
    </row>
    <row r="13934">
      <c r="A13934" s="1" t="s">
        <v>23811</v>
      </c>
      <c r="B13934" s="2" t="s">
        <v>23788</v>
      </c>
      <c r="C13934" s="1" t="s">
        <v>5169</v>
      </c>
      <c r="D13934" s="1" t="s">
        <v>5171</v>
      </c>
    </row>
    <row r="13935">
      <c r="A13935" s="1" t="s">
        <v>23812</v>
      </c>
      <c r="B13935" s="2" t="s">
        <v>23790</v>
      </c>
      <c r="C13935" s="1" t="s">
        <v>5169</v>
      </c>
      <c r="D13935" s="1" t="s">
        <v>5171</v>
      </c>
    </row>
    <row r="13936">
      <c r="A13936" s="1" t="s">
        <v>23813</v>
      </c>
      <c r="B13936" s="2" t="s">
        <v>23792</v>
      </c>
      <c r="C13936" s="1" t="s">
        <v>5169</v>
      </c>
      <c r="D13936" s="1" t="s">
        <v>5171</v>
      </c>
    </row>
    <row r="13937">
      <c r="A13937" s="1" t="s">
        <v>23814</v>
      </c>
      <c r="B13937" s="2" t="s">
        <v>23794</v>
      </c>
      <c r="C13937" s="1" t="s">
        <v>5169</v>
      </c>
      <c r="D13937" s="1" t="s">
        <v>5171</v>
      </c>
    </row>
    <row r="13938">
      <c r="A13938" s="1" t="s">
        <v>23815</v>
      </c>
      <c r="B13938" s="2" t="s">
        <v>23796</v>
      </c>
      <c r="C13938" s="1" t="s">
        <v>5169</v>
      </c>
      <c r="D13938" s="1" t="s">
        <v>5171</v>
      </c>
    </row>
    <row r="13939">
      <c r="A13939" s="1" t="s">
        <v>23816</v>
      </c>
      <c r="B13939" s="2" t="s">
        <v>23798</v>
      </c>
      <c r="C13939" s="1" t="s">
        <v>5169</v>
      </c>
      <c r="D13939" s="1" t="s">
        <v>5171</v>
      </c>
    </row>
    <row r="13940">
      <c r="A13940" s="1" t="s">
        <v>5176</v>
      </c>
      <c r="B13940" s="2" t="s">
        <v>5022</v>
      </c>
      <c r="C13940" s="1" t="s">
        <v>5179</v>
      </c>
      <c r="D13940" s="1" t="s">
        <v>5180</v>
      </c>
    </row>
    <row r="13941">
      <c r="A13941" s="1" t="s">
        <v>23817</v>
      </c>
      <c r="B13941" s="2" t="s">
        <v>23788</v>
      </c>
      <c r="C13941" s="1" t="s">
        <v>5179</v>
      </c>
      <c r="D13941" s="1" t="s">
        <v>5180</v>
      </c>
    </row>
    <row r="13942">
      <c r="A13942" s="1" t="s">
        <v>23818</v>
      </c>
      <c r="B13942" s="2" t="s">
        <v>23790</v>
      </c>
      <c r="C13942" s="1" t="s">
        <v>5179</v>
      </c>
      <c r="D13942" s="1" t="s">
        <v>5180</v>
      </c>
    </row>
    <row r="13943">
      <c r="A13943" s="1" t="s">
        <v>23819</v>
      </c>
      <c r="B13943" s="2" t="s">
        <v>23792</v>
      </c>
      <c r="C13943" s="1" t="s">
        <v>5179</v>
      </c>
      <c r="D13943" s="1" t="s">
        <v>5180</v>
      </c>
    </row>
    <row r="13944">
      <c r="A13944" s="1" t="s">
        <v>23820</v>
      </c>
      <c r="B13944" s="2" t="s">
        <v>23794</v>
      </c>
      <c r="C13944" s="1" t="s">
        <v>5179</v>
      </c>
      <c r="D13944" s="1" t="s">
        <v>5180</v>
      </c>
    </row>
    <row r="13945">
      <c r="A13945" s="1" t="s">
        <v>23821</v>
      </c>
      <c r="B13945" s="2" t="s">
        <v>23796</v>
      </c>
      <c r="C13945" s="1" t="s">
        <v>5179</v>
      </c>
      <c r="D13945" s="1" t="s">
        <v>5180</v>
      </c>
    </row>
    <row r="13946">
      <c r="A13946" s="1" t="s">
        <v>23822</v>
      </c>
      <c r="B13946" s="2" t="s">
        <v>23798</v>
      </c>
      <c r="C13946" s="1" t="s">
        <v>5179</v>
      </c>
      <c r="D13946" s="1" t="s">
        <v>5180</v>
      </c>
    </row>
    <row r="13947">
      <c r="A13947" s="1" t="s">
        <v>5184</v>
      </c>
      <c r="B13947" s="2" t="s">
        <v>5022</v>
      </c>
      <c r="C13947" s="1" t="s">
        <v>5186</v>
      </c>
      <c r="D13947" s="1" t="s">
        <v>5188</v>
      </c>
    </row>
    <row r="13948">
      <c r="A13948" s="1" t="s">
        <v>23823</v>
      </c>
      <c r="B13948" s="2" t="s">
        <v>23788</v>
      </c>
      <c r="C13948" s="1" t="s">
        <v>5186</v>
      </c>
      <c r="D13948" s="1" t="s">
        <v>5188</v>
      </c>
    </row>
    <row r="13949">
      <c r="A13949" s="1" t="s">
        <v>23824</v>
      </c>
      <c r="B13949" s="2" t="s">
        <v>23790</v>
      </c>
      <c r="C13949" s="1" t="s">
        <v>5186</v>
      </c>
      <c r="D13949" s="1" t="s">
        <v>5188</v>
      </c>
    </row>
    <row r="13950">
      <c r="A13950" s="1" t="s">
        <v>23825</v>
      </c>
      <c r="B13950" s="2" t="s">
        <v>23792</v>
      </c>
      <c r="C13950" s="1" t="s">
        <v>5186</v>
      </c>
      <c r="D13950" s="1" t="s">
        <v>5188</v>
      </c>
    </row>
    <row r="13951">
      <c r="A13951" s="1" t="s">
        <v>23826</v>
      </c>
      <c r="B13951" s="2" t="s">
        <v>23794</v>
      </c>
      <c r="C13951" s="1" t="s">
        <v>5186</v>
      </c>
      <c r="D13951" s="1" t="s">
        <v>5188</v>
      </c>
    </row>
    <row r="13952">
      <c r="A13952" s="1" t="s">
        <v>23827</v>
      </c>
      <c r="B13952" s="2" t="s">
        <v>23796</v>
      </c>
      <c r="C13952" s="1" t="s">
        <v>5186</v>
      </c>
      <c r="D13952" s="1" t="s">
        <v>5188</v>
      </c>
    </row>
    <row r="13953">
      <c r="A13953" s="1" t="s">
        <v>23828</v>
      </c>
      <c r="B13953" s="2" t="s">
        <v>23798</v>
      </c>
      <c r="C13953" s="1" t="s">
        <v>5186</v>
      </c>
      <c r="D13953" s="1" t="s">
        <v>5188</v>
      </c>
    </row>
    <row r="13954">
      <c r="A13954" s="1" t="s">
        <v>5193</v>
      </c>
      <c r="B13954" s="2" t="s">
        <v>5022</v>
      </c>
      <c r="C13954" s="1" t="s">
        <v>5195</v>
      </c>
      <c r="D13954" s="1" t="s">
        <v>5197</v>
      </c>
    </row>
    <row r="13955">
      <c r="A13955" s="1" t="s">
        <v>23829</v>
      </c>
      <c r="B13955" s="2" t="s">
        <v>23788</v>
      </c>
      <c r="C13955" s="1" t="s">
        <v>5195</v>
      </c>
      <c r="D13955" s="1" t="s">
        <v>5197</v>
      </c>
    </row>
    <row r="13956">
      <c r="A13956" s="1" t="s">
        <v>23830</v>
      </c>
      <c r="B13956" s="2" t="s">
        <v>23790</v>
      </c>
      <c r="C13956" s="1" t="s">
        <v>5195</v>
      </c>
      <c r="D13956" s="1" t="s">
        <v>5197</v>
      </c>
    </row>
    <row r="13957">
      <c r="A13957" s="1" t="s">
        <v>23831</v>
      </c>
      <c r="B13957" s="2" t="s">
        <v>23792</v>
      </c>
      <c r="C13957" s="1" t="s">
        <v>5195</v>
      </c>
      <c r="D13957" s="1" t="s">
        <v>5197</v>
      </c>
    </row>
    <row r="13958">
      <c r="A13958" s="1" t="s">
        <v>23832</v>
      </c>
      <c r="B13958" s="2" t="s">
        <v>23794</v>
      </c>
      <c r="C13958" s="1" t="s">
        <v>5195</v>
      </c>
      <c r="D13958" s="1" t="s">
        <v>5197</v>
      </c>
    </row>
    <row r="13959">
      <c r="A13959" s="1" t="s">
        <v>23833</v>
      </c>
      <c r="B13959" s="2" t="s">
        <v>23796</v>
      </c>
      <c r="C13959" s="1" t="s">
        <v>5195</v>
      </c>
      <c r="D13959" s="1" t="s">
        <v>5197</v>
      </c>
    </row>
    <row r="13960">
      <c r="A13960" s="1" t="s">
        <v>23834</v>
      </c>
      <c r="B13960" s="2" t="s">
        <v>23798</v>
      </c>
      <c r="C13960" s="1" t="s">
        <v>5195</v>
      </c>
      <c r="D13960" s="1" t="s">
        <v>5197</v>
      </c>
    </row>
    <row r="13961">
      <c r="A13961" s="1" t="s">
        <v>5203</v>
      </c>
      <c r="B13961" s="2" t="s">
        <v>5022</v>
      </c>
      <c r="C13961" s="1" t="s">
        <v>5205</v>
      </c>
      <c r="D13961" s="1" t="s">
        <v>5207</v>
      </c>
    </row>
    <row r="13962">
      <c r="A13962" s="1" t="s">
        <v>23835</v>
      </c>
      <c r="B13962" s="2" t="s">
        <v>23788</v>
      </c>
      <c r="C13962" s="1" t="s">
        <v>5205</v>
      </c>
      <c r="D13962" s="1" t="s">
        <v>5207</v>
      </c>
    </row>
    <row r="13963">
      <c r="A13963" s="1" t="s">
        <v>23836</v>
      </c>
      <c r="B13963" s="2" t="s">
        <v>23790</v>
      </c>
      <c r="C13963" s="1" t="s">
        <v>5205</v>
      </c>
      <c r="D13963" s="1" t="s">
        <v>5207</v>
      </c>
    </row>
    <row r="13964">
      <c r="A13964" s="1" t="s">
        <v>23837</v>
      </c>
      <c r="B13964" s="2" t="s">
        <v>23792</v>
      </c>
      <c r="C13964" s="1" t="s">
        <v>5205</v>
      </c>
      <c r="D13964" s="1" t="s">
        <v>5207</v>
      </c>
    </row>
    <row r="13965">
      <c r="A13965" s="1" t="s">
        <v>23838</v>
      </c>
      <c r="B13965" s="2" t="s">
        <v>23794</v>
      </c>
      <c r="C13965" s="1" t="s">
        <v>5205</v>
      </c>
      <c r="D13965" s="1" t="s">
        <v>5207</v>
      </c>
    </row>
    <row r="13966">
      <c r="A13966" s="1" t="s">
        <v>23839</v>
      </c>
      <c r="B13966" s="2" t="s">
        <v>23796</v>
      </c>
      <c r="C13966" s="1" t="s">
        <v>5205</v>
      </c>
      <c r="D13966" s="1" t="s">
        <v>5207</v>
      </c>
    </row>
    <row r="13967">
      <c r="A13967" s="1" t="s">
        <v>23840</v>
      </c>
      <c r="B13967" s="2" t="s">
        <v>23798</v>
      </c>
      <c r="C13967" s="1" t="s">
        <v>5205</v>
      </c>
      <c r="D13967" s="1" t="s">
        <v>5207</v>
      </c>
    </row>
    <row r="13968">
      <c r="A13968" s="1" t="s">
        <v>5211</v>
      </c>
      <c r="B13968" s="2" t="s">
        <v>5022</v>
      </c>
      <c r="C13968" s="1" t="s">
        <v>5213</v>
      </c>
      <c r="D13968" s="1" t="s">
        <v>5215</v>
      </c>
    </row>
    <row r="13969">
      <c r="A13969" s="1" t="s">
        <v>23841</v>
      </c>
      <c r="B13969" s="2" t="s">
        <v>23788</v>
      </c>
      <c r="C13969" s="1" t="s">
        <v>5213</v>
      </c>
      <c r="D13969" s="1" t="s">
        <v>5215</v>
      </c>
    </row>
    <row r="13970">
      <c r="A13970" s="1" t="s">
        <v>23842</v>
      </c>
      <c r="B13970" s="2" t="s">
        <v>23790</v>
      </c>
      <c r="C13970" s="1" t="s">
        <v>5213</v>
      </c>
      <c r="D13970" s="1" t="s">
        <v>5215</v>
      </c>
    </row>
    <row r="13971">
      <c r="A13971" s="1" t="s">
        <v>23843</v>
      </c>
      <c r="B13971" s="2" t="s">
        <v>23792</v>
      </c>
      <c r="C13971" s="1" t="s">
        <v>5213</v>
      </c>
      <c r="D13971" s="1" t="s">
        <v>5215</v>
      </c>
    </row>
    <row r="13972">
      <c r="A13972" s="1" t="s">
        <v>23844</v>
      </c>
      <c r="B13972" s="2" t="s">
        <v>23794</v>
      </c>
      <c r="C13972" s="1" t="s">
        <v>5213</v>
      </c>
      <c r="D13972" s="1" t="s">
        <v>5215</v>
      </c>
    </row>
    <row r="13973">
      <c r="A13973" s="1" t="s">
        <v>23845</v>
      </c>
      <c r="B13973" s="2" t="s">
        <v>23796</v>
      </c>
      <c r="C13973" s="1" t="s">
        <v>5213</v>
      </c>
      <c r="D13973" s="1" t="s">
        <v>5215</v>
      </c>
    </row>
    <row r="13974">
      <c r="A13974" s="1" t="s">
        <v>23846</v>
      </c>
      <c r="B13974" s="2" t="s">
        <v>23798</v>
      </c>
      <c r="C13974" s="1" t="s">
        <v>5213</v>
      </c>
      <c r="D13974" s="1" t="s">
        <v>5215</v>
      </c>
    </row>
    <row r="13975">
      <c r="A13975" s="1" t="s">
        <v>5134</v>
      </c>
      <c r="B13975" s="2" t="s">
        <v>5135</v>
      </c>
      <c r="C13975" s="1" t="s">
        <v>5138</v>
      </c>
      <c r="D13975" s="1" t="s">
        <v>5139</v>
      </c>
    </row>
    <row r="13976">
      <c r="A13976" s="1" t="s">
        <v>23847</v>
      </c>
      <c r="B13976" s="2" t="s">
        <v>23848</v>
      </c>
      <c r="C13976" s="1" t="s">
        <v>5138</v>
      </c>
      <c r="D13976" s="1" t="s">
        <v>5139</v>
      </c>
    </row>
    <row r="13977">
      <c r="A13977" s="1" t="s">
        <v>23849</v>
      </c>
      <c r="B13977" s="2" t="s">
        <v>23850</v>
      </c>
      <c r="C13977" s="1" t="s">
        <v>5138</v>
      </c>
      <c r="D13977" s="1" t="s">
        <v>5139</v>
      </c>
    </row>
    <row r="13978">
      <c r="A13978" s="1" t="s">
        <v>23851</v>
      </c>
      <c r="B13978" s="2" t="s">
        <v>23852</v>
      </c>
      <c r="C13978" s="1" t="s">
        <v>5138</v>
      </c>
      <c r="D13978" s="1" t="s">
        <v>5139</v>
      </c>
    </row>
    <row r="13979">
      <c r="A13979" s="1" t="s">
        <v>23853</v>
      </c>
      <c r="B13979" s="2" t="s">
        <v>23854</v>
      </c>
      <c r="C13979" s="1" t="s">
        <v>5138</v>
      </c>
      <c r="D13979" s="1" t="s">
        <v>5139</v>
      </c>
    </row>
    <row r="13980">
      <c r="A13980" s="1" t="s">
        <v>23855</v>
      </c>
      <c r="B13980" s="2" t="s">
        <v>23856</v>
      </c>
      <c r="C13980" s="1" t="s">
        <v>5138</v>
      </c>
      <c r="D13980" s="1" t="s">
        <v>5139</v>
      </c>
    </row>
    <row r="13981">
      <c r="A13981" s="1" t="s">
        <v>23857</v>
      </c>
      <c r="B13981" s="2" t="s">
        <v>23858</v>
      </c>
      <c r="C13981" s="1" t="s">
        <v>5138</v>
      </c>
      <c r="D13981" s="1" t="s">
        <v>5139</v>
      </c>
    </row>
    <row r="13982">
      <c r="A13982" s="1" t="s">
        <v>5219</v>
      </c>
      <c r="B13982" s="2" t="s">
        <v>5221</v>
      </c>
      <c r="C13982" s="1" t="s">
        <v>5223</v>
      </c>
      <c r="D13982" s="1" t="s">
        <v>5224</v>
      </c>
    </row>
    <row r="13983">
      <c r="A13983" s="1" t="s">
        <v>5229</v>
      </c>
      <c r="B13983" s="2" t="s">
        <v>7</v>
      </c>
      <c r="C13983" s="1" t="s">
        <v>138</v>
      </c>
      <c r="D13983" s="1" t="s">
        <v>5232</v>
      </c>
    </row>
    <row r="13984">
      <c r="A13984" s="1" t="s">
        <v>23859</v>
      </c>
      <c r="B13984" s="2" t="s">
        <v>23860</v>
      </c>
      <c r="C13984" s="1" t="s">
        <v>138</v>
      </c>
      <c r="D13984" s="1" t="s">
        <v>5232</v>
      </c>
    </row>
    <row r="13985">
      <c r="A13985" s="1" t="s">
        <v>23861</v>
      </c>
      <c r="B13985" s="2" t="s">
        <v>23862</v>
      </c>
      <c r="C13985" s="1" t="s">
        <v>138</v>
      </c>
      <c r="D13985" s="1" t="s">
        <v>5232</v>
      </c>
    </row>
    <row r="13986">
      <c r="A13986" s="1" t="s">
        <v>23863</v>
      </c>
      <c r="B13986" s="2" t="s">
        <v>13</v>
      </c>
      <c r="C13986" s="1" t="s">
        <v>138</v>
      </c>
      <c r="D13986" s="1" t="s">
        <v>5232</v>
      </c>
    </row>
    <row r="13987">
      <c r="A13987" s="1" t="s">
        <v>23864</v>
      </c>
      <c r="B13987" s="2" t="s">
        <v>23865</v>
      </c>
      <c r="C13987" s="1" t="s">
        <v>138</v>
      </c>
      <c r="D13987" s="1" t="s">
        <v>5232</v>
      </c>
    </row>
    <row r="13988">
      <c r="A13988" s="1" t="s">
        <v>23866</v>
      </c>
      <c r="B13988" s="2" t="s">
        <v>23867</v>
      </c>
      <c r="C13988" s="1" t="s">
        <v>138</v>
      </c>
      <c r="D13988" s="1" t="s">
        <v>5232</v>
      </c>
    </row>
    <row r="13989">
      <c r="A13989" s="1" t="s">
        <v>23868</v>
      </c>
      <c r="B13989" s="2" t="s">
        <v>20345</v>
      </c>
      <c r="C13989" s="1" t="s">
        <v>138</v>
      </c>
      <c r="D13989" s="1" t="s">
        <v>5232</v>
      </c>
    </row>
    <row r="13990">
      <c r="A13990" s="1" t="s">
        <v>23869</v>
      </c>
      <c r="B13990" s="2" t="s">
        <v>23870</v>
      </c>
      <c r="C13990" s="1" t="s">
        <v>138</v>
      </c>
      <c r="D13990" s="1" t="s">
        <v>5232</v>
      </c>
    </row>
    <row r="13991">
      <c r="A13991" s="1" t="s">
        <v>23871</v>
      </c>
      <c r="B13991" s="2" t="s">
        <v>23872</v>
      </c>
      <c r="C13991" s="1" t="s">
        <v>138</v>
      </c>
      <c r="D13991" s="1" t="s">
        <v>5232</v>
      </c>
    </row>
    <row r="13992">
      <c r="A13992" s="1" t="s">
        <v>23873</v>
      </c>
      <c r="B13992" s="2" t="s">
        <v>23874</v>
      </c>
      <c r="C13992" s="1" t="s">
        <v>138</v>
      </c>
      <c r="D13992" s="1" t="s">
        <v>5232</v>
      </c>
    </row>
    <row r="13993">
      <c r="A13993" s="1" t="s">
        <v>23875</v>
      </c>
      <c r="B13993" s="2" t="s">
        <v>23876</v>
      </c>
      <c r="C13993" s="1" t="s">
        <v>138</v>
      </c>
      <c r="D13993" s="1" t="s">
        <v>5232</v>
      </c>
    </row>
    <row r="13994">
      <c r="A13994" s="1" t="s">
        <v>23877</v>
      </c>
      <c r="B13994" s="2" t="s">
        <v>23878</v>
      </c>
      <c r="C13994" s="1" t="s">
        <v>138</v>
      </c>
      <c r="D13994" s="1" t="s">
        <v>5232</v>
      </c>
    </row>
    <row r="13995">
      <c r="A13995" s="1" t="s">
        <v>23879</v>
      </c>
      <c r="B13995" s="2" t="s">
        <v>23880</v>
      </c>
      <c r="C13995" s="1" t="s">
        <v>138</v>
      </c>
      <c r="D13995" s="1" t="s">
        <v>5232</v>
      </c>
    </row>
    <row r="13996">
      <c r="A13996" s="1" t="s">
        <v>23881</v>
      </c>
      <c r="B13996" s="2" t="s">
        <v>23882</v>
      </c>
      <c r="C13996" s="1" t="s">
        <v>138</v>
      </c>
      <c r="D13996" s="1" t="s">
        <v>5232</v>
      </c>
    </row>
    <row r="13997">
      <c r="A13997" s="1" t="s">
        <v>23883</v>
      </c>
      <c r="B13997" s="2" t="s">
        <v>23884</v>
      </c>
      <c r="C13997" s="1" t="s">
        <v>138</v>
      </c>
      <c r="D13997" s="1" t="s">
        <v>5232</v>
      </c>
    </row>
    <row r="13998">
      <c r="A13998" s="1" t="s">
        <v>23885</v>
      </c>
      <c r="B13998" s="2" t="s">
        <v>20357</v>
      </c>
      <c r="C13998" s="1" t="s">
        <v>138</v>
      </c>
      <c r="D13998" s="1" t="s">
        <v>5232</v>
      </c>
    </row>
    <row r="13999">
      <c r="A13999" s="1" t="s">
        <v>23886</v>
      </c>
      <c r="B13999" s="2" t="s">
        <v>23887</v>
      </c>
      <c r="C13999" s="1" t="s">
        <v>138</v>
      </c>
      <c r="D13999" s="1" t="s">
        <v>5232</v>
      </c>
    </row>
    <row r="14000">
      <c r="A14000" s="1" t="s">
        <v>23888</v>
      </c>
      <c r="B14000" s="2" t="s">
        <v>23889</v>
      </c>
      <c r="C14000" s="1" t="s">
        <v>138</v>
      </c>
      <c r="D14000" s="1" t="s">
        <v>5232</v>
      </c>
    </row>
    <row r="14001">
      <c r="A14001" s="1" t="s">
        <v>23890</v>
      </c>
      <c r="B14001" s="2" t="s">
        <v>20363</v>
      </c>
      <c r="C14001" s="1" t="s">
        <v>138</v>
      </c>
      <c r="D14001" s="1" t="s">
        <v>5232</v>
      </c>
    </row>
    <row r="14002">
      <c r="A14002" s="1" t="s">
        <v>23891</v>
      </c>
      <c r="B14002" s="2" t="s">
        <v>23892</v>
      </c>
      <c r="C14002" s="1" t="s">
        <v>138</v>
      </c>
      <c r="D14002" s="1" t="s">
        <v>5232</v>
      </c>
    </row>
    <row r="14003">
      <c r="A14003" s="1" t="s">
        <v>23893</v>
      </c>
      <c r="B14003" s="2" t="s">
        <v>23894</v>
      </c>
      <c r="C14003" s="1" t="s">
        <v>138</v>
      </c>
      <c r="D14003" s="1" t="s">
        <v>5232</v>
      </c>
    </row>
    <row r="14004">
      <c r="A14004" s="1" t="s">
        <v>23895</v>
      </c>
      <c r="B14004" s="2" t="s">
        <v>70</v>
      </c>
      <c r="C14004" s="1" t="s">
        <v>138</v>
      </c>
      <c r="D14004" s="1" t="s">
        <v>5232</v>
      </c>
    </row>
    <row r="14005">
      <c r="A14005" s="1" t="s">
        <v>23896</v>
      </c>
      <c r="B14005" s="2" t="s">
        <v>23897</v>
      </c>
      <c r="C14005" s="1" t="s">
        <v>138</v>
      </c>
      <c r="D14005" s="1" t="s">
        <v>5232</v>
      </c>
    </row>
    <row r="14006">
      <c r="A14006" s="1" t="s">
        <v>23898</v>
      </c>
      <c r="B14006" s="2" t="s">
        <v>23899</v>
      </c>
      <c r="C14006" s="1" t="s">
        <v>138</v>
      </c>
      <c r="D14006" s="1" t="s">
        <v>5232</v>
      </c>
    </row>
    <row r="14007">
      <c r="A14007" s="1" t="s">
        <v>23900</v>
      </c>
      <c r="B14007" s="2" t="s">
        <v>20382</v>
      </c>
      <c r="C14007" s="1" t="s">
        <v>138</v>
      </c>
      <c r="D14007" s="1" t="s">
        <v>5232</v>
      </c>
    </row>
    <row r="14008">
      <c r="A14008" s="1" t="s">
        <v>23901</v>
      </c>
      <c r="B14008" s="2" t="s">
        <v>23902</v>
      </c>
      <c r="C14008" s="1" t="s">
        <v>138</v>
      </c>
      <c r="D14008" s="1" t="s">
        <v>5232</v>
      </c>
    </row>
    <row r="14009">
      <c r="A14009" s="1" t="s">
        <v>23903</v>
      </c>
      <c r="B14009" s="2" t="s">
        <v>23904</v>
      </c>
      <c r="C14009" s="1" t="s">
        <v>138</v>
      </c>
      <c r="D14009" s="1" t="s">
        <v>5232</v>
      </c>
    </row>
    <row r="14010">
      <c r="A14010" s="1" t="s">
        <v>23905</v>
      </c>
      <c r="B14010" s="2" t="s">
        <v>23906</v>
      </c>
      <c r="C14010" s="1" t="s">
        <v>138</v>
      </c>
      <c r="D14010" s="1" t="s">
        <v>5232</v>
      </c>
    </row>
    <row r="14011">
      <c r="A14011" s="1" t="s">
        <v>23907</v>
      </c>
      <c r="B14011" s="2" t="s">
        <v>23908</v>
      </c>
      <c r="C14011" s="1" t="s">
        <v>138</v>
      </c>
      <c r="D14011" s="1" t="s">
        <v>5232</v>
      </c>
    </row>
    <row r="14012">
      <c r="A14012" s="1" t="s">
        <v>23909</v>
      </c>
      <c r="B14012" s="2" t="s">
        <v>23910</v>
      </c>
      <c r="C14012" s="1" t="s">
        <v>138</v>
      </c>
      <c r="D14012" s="1" t="s">
        <v>5232</v>
      </c>
    </row>
    <row r="14013">
      <c r="A14013" s="1" t="s">
        <v>23911</v>
      </c>
      <c r="B14013" s="2" t="s">
        <v>23912</v>
      </c>
      <c r="C14013" s="1" t="s">
        <v>138</v>
      </c>
      <c r="D14013" s="1" t="s">
        <v>5232</v>
      </c>
    </row>
    <row r="14014">
      <c r="A14014" s="1" t="s">
        <v>23913</v>
      </c>
      <c r="B14014" s="2" t="s">
        <v>23914</v>
      </c>
      <c r="C14014" s="1" t="s">
        <v>138</v>
      </c>
      <c r="D14014" s="1" t="s">
        <v>5232</v>
      </c>
    </row>
    <row r="14015">
      <c r="A14015" s="1" t="s">
        <v>23915</v>
      </c>
      <c r="B14015" s="2" t="s">
        <v>23916</v>
      </c>
      <c r="C14015" s="1" t="s">
        <v>138</v>
      </c>
      <c r="D14015" s="1" t="s">
        <v>5232</v>
      </c>
    </row>
    <row r="14016">
      <c r="A14016" s="1" t="s">
        <v>23917</v>
      </c>
      <c r="B14016" s="2" t="s">
        <v>20394</v>
      </c>
      <c r="C14016" s="1" t="s">
        <v>138</v>
      </c>
      <c r="D14016" s="1" t="s">
        <v>5232</v>
      </c>
    </row>
    <row r="14017">
      <c r="A14017" s="1" t="s">
        <v>23918</v>
      </c>
      <c r="B14017" s="2" t="s">
        <v>23919</v>
      </c>
      <c r="C14017" s="1" t="s">
        <v>138</v>
      </c>
      <c r="D14017" s="1" t="s">
        <v>5232</v>
      </c>
    </row>
    <row r="14018">
      <c r="A14018" s="1" t="s">
        <v>23920</v>
      </c>
      <c r="B14018" s="2" t="s">
        <v>23921</v>
      </c>
      <c r="C14018" s="1" t="s">
        <v>138</v>
      </c>
      <c r="D14018" s="1" t="s">
        <v>5232</v>
      </c>
    </row>
    <row r="14019">
      <c r="A14019" s="1" t="s">
        <v>23922</v>
      </c>
      <c r="B14019" s="2" t="s">
        <v>20400</v>
      </c>
      <c r="C14019" s="1" t="s">
        <v>138</v>
      </c>
      <c r="D14019" s="1" t="s">
        <v>5232</v>
      </c>
    </row>
    <row r="14020">
      <c r="A14020" s="1" t="s">
        <v>23923</v>
      </c>
      <c r="B14020" s="2" t="s">
        <v>23924</v>
      </c>
      <c r="C14020" s="1" t="s">
        <v>138</v>
      </c>
      <c r="D14020" s="1" t="s">
        <v>5232</v>
      </c>
    </row>
    <row r="14021">
      <c r="A14021" s="1" t="s">
        <v>23925</v>
      </c>
      <c r="B14021" s="2" t="s">
        <v>23926</v>
      </c>
      <c r="C14021" s="1" t="s">
        <v>138</v>
      </c>
      <c r="D14021" s="1" t="s">
        <v>5232</v>
      </c>
    </row>
    <row r="14022">
      <c r="A14022" s="1" t="s">
        <v>5237</v>
      </c>
      <c r="B14022" s="2" t="s">
        <v>7</v>
      </c>
      <c r="C14022" s="1" t="s">
        <v>5240</v>
      </c>
      <c r="D14022" s="1" t="s">
        <v>5241</v>
      </c>
    </row>
    <row r="14023">
      <c r="A14023" s="1" t="s">
        <v>23927</v>
      </c>
      <c r="B14023" s="2" t="s">
        <v>23928</v>
      </c>
      <c r="C14023" s="1" t="s">
        <v>5240</v>
      </c>
      <c r="D14023" s="1" t="s">
        <v>5241</v>
      </c>
    </row>
    <row r="14024">
      <c r="A14024" s="1" t="s">
        <v>23929</v>
      </c>
      <c r="B14024" s="2" t="s">
        <v>23930</v>
      </c>
      <c r="C14024" s="1" t="s">
        <v>5240</v>
      </c>
      <c r="D14024" s="1" t="s">
        <v>5241</v>
      </c>
    </row>
    <row r="14025">
      <c r="A14025" s="1" t="s">
        <v>23931</v>
      </c>
      <c r="B14025" s="2" t="s">
        <v>23932</v>
      </c>
      <c r="C14025" s="1" t="s">
        <v>5240</v>
      </c>
      <c r="D14025" s="1" t="s">
        <v>5241</v>
      </c>
    </row>
    <row r="14026">
      <c r="A14026" s="1" t="s">
        <v>23933</v>
      </c>
      <c r="B14026" s="2" t="s">
        <v>23934</v>
      </c>
      <c r="C14026" s="1" t="s">
        <v>5240</v>
      </c>
      <c r="D14026" s="1" t="s">
        <v>5241</v>
      </c>
    </row>
    <row r="14027">
      <c r="A14027" s="1" t="s">
        <v>23935</v>
      </c>
      <c r="B14027" s="2" t="s">
        <v>23936</v>
      </c>
      <c r="C14027" s="1" t="s">
        <v>5240</v>
      </c>
      <c r="D14027" s="1" t="s">
        <v>5241</v>
      </c>
    </row>
    <row r="14028">
      <c r="A14028" s="1" t="s">
        <v>23937</v>
      </c>
      <c r="B14028" s="2" t="s">
        <v>23938</v>
      </c>
      <c r="C14028" s="1" t="s">
        <v>5240</v>
      </c>
      <c r="D14028" s="1" t="s">
        <v>5241</v>
      </c>
    </row>
    <row r="14029">
      <c r="A14029" s="1" t="s">
        <v>23939</v>
      </c>
      <c r="B14029" s="2" t="s">
        <v>23940</v>
      </c>
      <c r="C14029" s="1" t="s">
        <v>5240</v>
      </c>
      <c r="D14029" s="1" t="s">
        <v>5241</v>
      </c>
    </row>
    <row r="14030">
      <c r="A14030" s="1" t="s">
        <v>23941</v>
      </c>
      <c r="B14030" s="2" t="s">
        <v>23942</v>
      </c>
      <c r="C14030" s="1" t="s">
        <v>5240</v>
      </c>
      <c r="D14030" s="1" t="s">
        <v>5241</v>
      </c>
    </row>
    <row r="14031">
      <c r="A14031" s="1" t="s">
        <v>23943</v>
      </c>
      <c r="B14031" s="2" t="s">
        <v>23944</v>
      </c>
      <c r="C14031" s="1" t="s">
        <v>5240</v>
      </c>
      <c r="D14031" s="1" t="s">
        <v>5241</v>
      </c>
    </row>
    <row r="14032">
      <c r="A14032" s="1" t="s">
        <v>23945</v>
      </c>
      <c r="B14032" s="2" t="s">
        <v>23946</v>
      </c>
      <c r="C14032" s="1" t="s">
        <v>5240</v>
      </c>
      <c r="D14032" s="1" t="s">
        <v>5241</v>
      </c>
    </row>
    <row r="14033">
      <c r="A14033" s="1" t="s">
        <v>23947</v>
      </c>
      <c r="B14033" s="2" t="s">
        <v>23948</v>
      </c>
      <c r="C14033" s="1" t="s">
        <v>5240</v>
      </c>
      <c r="D14033" s="1" t="s">
        <v>5241</v>
      </c>
    </row>
    <row r="14034">
      <c r="A14034" s="1" t="s">
        <v>23949</v>
      </c>
      <c r="B14034" s="2" t="s">
        <v>23950</v>
      </c>
      <c r="C14034" s="1" t="s">
        <v>5240</v>
      </c>
      <c r="D14034" s="1" t="s">
        <v>5241</v>
      </c>
    </row>
    <row r="14035">
      <c r="A14035" s="1" t="s">
        <v>23951</v>
      </c>
      <c r="B14035" s="2" t="s">
        <v>23952</v>
      </c>
      <c r="C14035" s="1" t="s">
        <v>5240</v>
      </c>
      <c r="D14035" s="1" t="s">
        <v>5241</v>
      </c>
    </row>
    <row r="14036">
      <c r="A14036" s="1" t="s">
        <v>23953</v>
      </c>
      <c r="B14036" s="2" t="s">
        <v>23954</v>
      </c>
      <c r="C14036" s="1" t="s">
        <v>5240</v>
      </c>
      <c r="D14036" s="1" t="s">
        <v>5241</v>
      </c>
    </row>
    <row r="14037">
      <c r="A14037" s="1" t="s">
        <v>23955</v>
      </c>
      <c r="B14037" s="2" t="s">
        <v>23956</v>
      </c>
      <c r="C14037" s="1" t="s">
        <v>5240</v>
      </c>
      <c r="D14037" s="1" t="s">
        <v>5241</v>
      </c>
    </row>
    <row r="14038">
      <c r="A14038" s="1" t="s">
        <v>5246</v>
      </c>
      <c r="B14038" s="2" t="s">
        <v>7</v>
      </c>
      <c r="C14038" s="1" t="s">
        <v>5249</v>
      </c>
      <c r="D14038" s="1" t="s">
        <v>5257</v>
      </c>
    </row>
    <row r="14039">
      <c r="A14039" s="1" t="s">
        <v>23957</v>
      </c>
      <c r="B14039" s="2" t="s">
        <v>23958</v>
      </c>
      <c r="C14039" s="1" t="s">
        <v>5249</v>
      </c>
      <c r="D14039" s="1" t="s">
        <v>5257</v>
      </c>
    </row>
    <row r="14040">
      <c r="A14040" s="1" t="s">
        <v>23959</v>
      </c>
      <c r="B14040" s="2" t="s">
        <v>23960</v>
      </c>
      <c r="C14040" s="1" t="s">
        <v>5249</v>
      </c>
      <c r="D14040" s="1" t="s">
        <v>5257</v>
      </c>
    </row>
    <row r="14041">
      <c r="A14041" s="1" t="s">
        <v>23961</v>
      </c>
      <c r="B14041" s="2" t="s">
        <v>23962</v>
      </c>
      <c r="C14041" s="1" t="s">
        <v>5249</v>
      </c>
      <c r="D14041" s="1" t="s">
        <v>5257</v>
      </c>
    </row>
    <row r="14042">
      <c r="A14042" s="1" t="s">
        <v>23963</v>
      </c>
      <c r="B14042" s="2" t="s">
        <v>23964</v>
      </c>
      <c r="C14042" s="1" t="s">
        <v>5249</v>
      </c>
      <c r="D14042" s="1" t="s">
        <v>5257</v>
      </c>
    </row>
    <row r="14043">
      <c r="A14043" s="1" t="s">
        <v>23965</v>
      </c>
      <c r="B14043" s="2" t="s">
        <v>23966</v>
      </c>
      <c r="C14043" s="1" t="s">
        <v>5249</v>
      </c>
      <c r="D14043" s="1" t="s">
        <v>5257</v>
      </c>
    </row>
    <row r="14044">
      <c r="A14044" s="1" t="s">
        <v>23967</v>
      </c>
      <c r="B14044" s="2" t="s">
        <v>23968</v>
      </c>
      <c r="C14044" s="1" t="s">
        <v>5249</v>
      </c>
      <c r="D14044" s="1" t="s">
        <v>5257</v>
      </c>
    </row>
    <row r="14045">
      <c r="A14045" s="1" t="s">
        <v>23969</v>
      </c>
      <c r="B14045" s="2" t="s">
        <v>23970</v>
      </c>
      <c r="C14045" s="1" t="s">
        <v>5249</v>
      </c>
      <c r="D14045" s="1" t="s">
        <v>5257</v>
      </c>
    </row>
    <row r="14046">
      <c r="A14046" s="1" t="s">
        <v>23971</v>
      </c>
      <c r="B14046" s="2" t="s">
        <v>23972</v>
      </c>
      <c r="C14046" s="1" t="s">
        <v>5249</v>
      </c>
      <c r="D14046" s="1" t="s">
        <v>5257</v>
      </c>
    </row>
    <row r="14047">
      <c r="A14047" s="1" t="s">
        <v>23973</v>
      </c>
      <c r="B14047" s="2" t="s">
        <v>23974</v>
      </c>
      <c r="C14047" s="1" t="s">
        <v>5249</v>
      </c>
      <c r="D14047" s="1" t="s">
        <v>5257</v>
      </c>
    </row>
    <row r="14048">
      <c r="A14048" s="1" t="s">
        <v>23975</v>
      </c>
      <c r="B14048" s="2" t="s">
        <v>23976</v>
      </c>
      <c r="C14048" s="1" t="s">
        <v>5249</v>
      </c>
      <c r="D14048" s="1" t="s">
        <v>5257</v>
      </c>
    </row>
    <row r="14049">
      <c r="A14049" s="1" t="s">
        <v>5262</v>
      </c>
      <c r="B14049" s="2" t="s">
        <v>5264</v>
      </c>
      <c r="C14049" s="1" t="s">
        <v>5266</v>
      </c>
      <c r="D14049" s="1" t="s">
        <v>5268</v>
      </c>
    </row>
    <row r="14050">
      <c r="A14050" s="1" t="s">
        <v>23977</v>
      </c>
      <c r="B14050" s="2" t="s">
        <v>23978</v>
      </c>
      <c r="C14050" s="1" t="s">
        <v>5266</v>
      </c>
      <c r="D14050" s="1" t="s">
        <v>5268</v>
      </c>
    </row>
    <row r="14051">
      <c r="A14051" s="1" t="s">
        <v>23979</v>
      </c>
      <c r="B14051" s="2" t="s">
        <v>23980</v>
      </c>
      <c r="C14051" s="1" t="s">
        <v>5266</v>
      </c>
      <c r="D14051" s="1" t="s">
        <v>5268</v>
      </c>
    </row>
    <row r="14052">
      <c r="A14052" s="1" t="s">
        <v>23981</v>
      </c>
      <c r="B14052" s="2" t="s">
        <v>23982</v>
      </c>
      <c r="C14052" s="1" t="s">
        <v>5266</v>
      </c>
      <c r="D14052" s="1" t="s">
        <v>5268</v>
      </c>
    </row>
    <row r="14053">
      <c r="A14053" s="1" t="s">
        <v>23983</v>
      </c>
      <c r="B14053" s="2" t="s">
        <v>23984</v>
      </c>
      <c r="C14053" s="1" t="s">
        <v>5266</v>
      </c>
      <c r="D14053" s="1" t="s">
        <v>5268</v>
      </c>
    </row>
    <row r="14054">
      <c r="A14054" s="1" t="s">
        <v>23985</v>
      </c>
      <c r="B14054" s="2" t="s">
        <v>23986</v>
      </c>
      <c r="C14054" s="1" t="s">
        <v>5266</v>
      </c>
      <c r="D14054" s="1" t="s">
        <v>5268</v>
      </c>
    </row>
    <row r="14055">
      <c r="A14055" s="1" t="s">
        <v>23987</v>
      </c>
      <c r="B14055" s="2" t="s">
        <v>23988</v>
      </c>
      <c r="C14055" s="1" t="s">
        <v>5266</v>
      </c>
      <c r="D14055" s="1" t="s">
        <v>5268</v>
      </c>
    </row>
    <row r="14056">
      <c r="A14056" s="1" t="s">
        <v>5273</v>
      </c>
      <c r="B14056" s="2" t="s">
        <v>7</v>
      </c>
      <c r="C14056" s="1" t="s">
        <v>5276</v>
      </c>
      <c r="D14056" s="1" t="s">
        <v>5277</v>
      </c>
    </row>
    <row r="14057">
      <c r="A14057" s="1" t="s">
        <v>23989</v>
      </c>
      <c r="B14057" s="2" t="s">
        <v>13702</v>
      </c>
      <c r="C14057" s="1" t="s">
        <v>5276</v>
      </c>
      <c r="D14057" s="1" t="s">
        <v>5277</v>
      </c>
    </row>
    <row r="14058">
      <c r="A14058" s="1" t="s">
        <v>23990</v>
      </c>
      <c r="B14058" s="2" t="s">
        <v>23991</v>
      </c>
      <c r="C14058" s="1" t="s">
        <v>5276</v>
      </c>
      <c r="D14058" s="1" t="s">
        <v>5277</v>
      </c>
    </row>
    <row r="14059">
      <c r="A14059" s="1" t="s">
        <v>23992</v>
      </c>
      <c r="B14059" s="2" t="s">
        <v>23993</v>
      </c>
      <c r="C14059" s="1" t="s">
        <v>5276</v>
      </c>
      <c r="D14059" s="1" t="s">
        <v>5277</v>
      </c>
    </row>
    <row r="14060">
      <c r="A14060" s="1" t="s">
        <v>23994</v>
      </c>
      <c r="B14060" s="2" t="s">
        <v>23995</v>
      </c>
      <c r="C14060" s="1" t="s">
        <v>5276</v>
      </c>
      <c r="D14060" s="1" t="s">
        <v>5277</v>
      </c>
    </row>
    <row r="14061">
      <c r="A14061" s="1" t="s">
        <v>23996</v>
      </c>
      <c r="B14061" s="2" t="s">
        <v>23997</v>
      </c>
      <c r="C14061" s="1" t="s">
        <v>5276</v>
      </c>
      <c r="D14061" s="1" t="s">
        <v>5277</v>
      </c>
    </row>
    <row r="14062">
      <c r="A14062" s="1" t="s">
        <v>23998</v>
      </c>
      <c r="B14062" s="2" t="s">
        <v>23999</v>
      </c>
      <c r="C14062" s="1" t="s">
        <v>5276</v>
      </c>
      <c r="D14062" s="1" t="s">
        <v>5277</v>
      </c>
    </row>
    <row r="14063">
      <c r="A14063" s="1" t="s">
        <v>24000</v>
      </c>
      <c r="B14063" s="2" t="s">
        <v>24001</v>
      </c>
      <c r="C14063" s="1" t="s">
        <v>5276</v>
      </c>
      <c r="D14063" s="1" t="s">
        <v>5277</v>
      </c>
    </row>
    <row r="14064">
      <c r="A14064" s="1" t="s">
        <v>24002</v>
      </c>
      <c r="B14064" s="2" t="s">
        <v>24003</v>
      </c>
      <c r="C14064" s="1" t="s">
        <v>5276</v>
      </c>
      <c r="D14064" s="1" t="s">
        <v>5277</v>
      </c>
    </row>
    <row r="14065">
      <c r="A14065" s="1" t="s">
        <v>24004</v>
      </c>
      <c r="B14065" s="2" t="s">
        <v>24005</v>
      </c>
      <c r="C14065" s="1" t="s">
        <v>5276</v>
      </c>
      <c r="D14065" s="1" t="s">
        <v>5277</v>
      </c>
    </row>
    <row r="14066">
      <c r="A14066" s="1" t="s">
        <v>24006</v>
      </c>
      <c r="B14066" s="2" t="s">
        <v>24007</v>
      </c>
      <c r="C14066" s="1" t="s">
        <v>5276</v>
      </c>
      <c r="D14066" s="1" t="s">
        <v>5277</v>
      </c>
    </row>
    <row r="14067">
      <c r="A14067" s="1" t="s">
        <v>24008</v>
      </c>
      <c r="B14067" s="2" t="s">
        <v>24009</v>
      </c>
      <c r="C14067" s="1" t="s">
        <v>5276</v>
      </c>
      <c r="D14067" s="1" t="s">
        <v>5277</v>
      </c>
    </row>
    <row r="14068">
      <c r="A14068" s="1" t="s">
        <v>24010</v>
      </c>
      <c r="B14068" s="2" t="s">
        <v>24011</v>
      </c>
      <c r="C14068" s="1" t="s">
        <v>5276</v>
      </c>
      <c r="D14068" s="1" t="s">
        <v>5277</v>
      </c>
    </row>
    <row r="14069">
      <c r="A14069" s="1" t="s">
        <v>24012</v>
      </c>
      <c r="B14069" s="2" t="s">
        <v>24013</v>
      </c>
      <c r="C14069" s="1" t="s">
        <v>5276</v>
      </c>
      <c r="D14069" s="1" t="s">
        <v>5277</v>
      </c>
    </row>
    <row r="14070">
      <c r="A14070" s="1" t="s">
        <v>24014</v>
      </c>
      <c r="B14070" s="2" t="s">
        <v>24015</v>
      </c>
      <c r="C14070" s="1" t="s">
        <v>5276</v>
      </c>
      <c r="D14070" s="1" t="s">
        <v>5277</v>
      </c>
    </row>
    <row r="14071">
      <c r="A14071" s="1" t="s">
        <v>24016</v>
      </c>
      <c r="B14071" s="2" t="s">
        <v>24017</v>
      </c>
      <c r="C14071" s="1" t="s">
        <v>5276</v>
      </c>
      <c r="D14071" s="1" t="s">
        <v>5277</v>
      </c>
    </row>
    <row r="14072">
      <c r="A14072" s="1" t="s">
        <v>24018</v>
      </c>
      <c r="B14072" s="2" t="s">
        <v>24019</v>
      </c>
      <c r="C14072" s="1" t="s">
        <v>5276</v>
      </c>
      <c r="D14072" s="1" t="s">
        <v>5277</v>
      </c>
    </row>
    <row r="14073">
      <c r="A14073" s="1" t="s">
        <v>24020</v>
      </c>
      <c r="B14073" s="2" t="s">
        <v>24021</v>
      </c>
      <c r="C14073" s="1" t="s">
        <v>5276</v>
      </c>
      <c r="D14073" s="1" t="s">
        <v>5277</v>
      </c>
    </row>
    <row r="14074">
      <c r="A14074" s="1" t="s">
        <v>24022</v>
      </c>
      <c r="B14074" s="2" t="s">
        <v>24023</v>
      </c>
      <c r="C14074" s="1" t="s">
        <v>5276</v>
      </c>
      <c r="D14074" s="1" t="s">
        <v>5277</v>
      </c>
    </row>
    <row r="14075">
      <c r="A14075" s="1" t="s">
        <v>24024</v>
      </c>
      <c r="B14075" s="2" t="s">
        <v>24025</v>
      </c>
      <c r="C14075" s="1" t="s">
        <v>5276</v>
      </c>
      <c r="D14075" s="1" t="s">
        <v>5277</v>
      </c>
    </row>
    <row r="14076">
      <c r="A14076" s="1" t="s">
        <v>24026</v>
      </c>
      <c r="B14076" s="2" t="s">
        <v>24027</v>
      </c>
      <c r="C14076" s="1" t="s">
        <v>5276</v>
      </c>
      <c r="D14076" s="1" t="s">
        <v>5277</v>
      </c>
    </row>
    <row r="14077">
      <c r="A14077" s="1" t="s">
        <v>24028</v>
      </c>
      <c r="B14077" s="2" t="s">
        <v>24029</v>
      </c>
      <c r="C14077" s="1" t="s">
        <v>5276</v>
      </c>
      <c r="D14077" s="1" t="s">
        <v>5277</v>
      </c>
    </row>
    <row r="14078">
      <c r="A14078" s="1" t="s">
        <v>24030</v>
      </c>
      <c r="B14078" s="2" t="s">
        <v>24031</v>
      </c>
      <c r="C14078" s="1" t="s">
        <v>5276</v>
      </c>
      <c r="D14078" s="1" t="s">
        <v>5277</v>
      </c>
    </row>
    <row r="14079">
      <c r="A14079" s="1" t="s">
        <v>24032</v>
      </c>
      <c r="B14079" s="2" t="s">
        <v>20112</v>
      </c>
      <c r="C14079" s="1" t="s">
        <v>5276</v>
      </c>
      <c r="D14079" s="1" t="s">
        <v>5277</v>
      </c>
    </row>
    <row r="14080">
      <c r="A14080" s="1" t="s">
        <v>24033</v>
      </c>
      <c r="B14080" s="2" t="s">
        <v>24034</v>
      </c>
      <c r="C14080" s="1" t="s">
        <v>5276</v>
      </c>
      <c r="D14080" s="1" t="s">
        <v>5277</v>
      </c>
    </row>
    <row r="14081">
      <c r="A14081" s="1" t="s">
        <v>24035</v>
      </c>
      <c r="B14081" s="2" t="s">
        <v>24036</v>
      </c>
      <c r="C14081" s="1" t="s">
        <v>5276</v>
      </c>
      <c r="D14081" s="1" t="s">
        <v>5277</v>
      </c>
    </row>
    <row r="14082">
      <c r="A14082" s="1" t="s">
        <v>24037</v>
      </c>
      <c r="B14082" s="2" t="s">
        <v>24038</v>
      </c>
      <c r="C14082" s="1" t="s">
        <v>5276</v>
      </c>
      <c r="D14082" s="1" t="s">
        <v>5277</v>
      </c>
    </row>
    <row r="14083">
      <c r="A14083" s="1" t="s">
        <v>24039</v>
      </c>
      <c r="B14083" s="2" t="s">
        <v>24040</v>
      </c>
      <c r="C14083" s="1" t="s">
        <v>5276</v>
      </c>
      <c r="D14083" s="1" t="s">
        <v>5277</v>
      </c>
    </row>
    <row r="14084">
      <c r="A14084" s="1" t="s">
        <v>24041</v>
      </c>
      <c r="B14084" s="2" t="s">
        <v>24042</v>
      </c>
      <c r="C14084" s="1" t="s">
        <v>5276</v>
      </c>
      <c r="D14084" s="1" t="s">
        <v>5277</v>
      </c>
    </row>
    <row r="14085">
      <c r="A14085" s="1" t="s">
        <v>24043</v>
      </c>
      <c r="B14085" s="2" t="s">
        <v>24044</v>
      </c>
      <c r="C14085" s="1" t="s">
        <v>5276</v>
      </c>
      <c r="D14085" s="1" t="s">
        <v>5277</v>
      </c>
    </row>
    <row r="14086">
      <c r="A14086" s="1" t="s">
        <v>24045</v>
      </c>
      <c r="B14086" s="2" t="s">
        <v>24046</v>
      </c>
      <c r="C14086" s="1" t="s">
        <v>5276</v>
      </c>
      <c r="D14086" s="1" t="s">
        <v>5277</v>
      </c>
    </row>
    <row r="14087">
      <c r="A14087" s="1" t="s">
        <v>24047</v>
      </c>
      <c r="B14087" s="2" t="s">
        <v>24048</v>
      </c>
      <c r="C14087" s="1" t="s">
        <v>5276</v>
      </c>
      <c r="D14087" s="1" t="s">
        <v>5277</v>
      </c>
    </row>
    <row r="14088">
      <c r="A14088" s="1" t="s">
        <v>24049</v>
      </c>
      <c r="B14088" s="2" t="s">
        <v>24050</v>
      </c>
      <c r="C14088" s="1" t="s">
        <v>5276</v>
      </c>
      <c r="D14088" s="1" t="s">
        <v>5277</v>
      </c>
    </row>
    <row r="14089">
      <c r="A14089" s="1" t="s">
        <v>24051</v>
      </c>
      <c r="B14089" s="2" t="s">
        <v>24052</v>
      </c>
      <c r="C14089" s="1" t="s">
        <v>5276</v>
      </c>
      <c r="D14089" s="1" t="s">
        <v>5277</v>
      </c>
    </row>
    <row r="14090">
      <c r="A14090" s="1" t="s">
        <v>5282</v>
      </c>
      <c r="B14090" s="2" t="s">
        <v>7</v>
      </c>
      <c r="C14090" s="1" t="s">
        <v>5284</v>
      </c>
      <c r="D14090" s="1" t="s">
        <v>5286</v>
      </c>
    </row>
    <row r="14091">
      <c r="A14091" s="1" t="s">
        <v>24053</v>
      </c>
      <c r="B14091" s="2" t="s">
        <v>24054</v>
      </c>
      <c r="C14091" s="1" t="s">
        <v>5284</v>
      </c>
      <c r="D14091" s="1" t="s">
        <v>5286</v>
      </c>
    </row>
    <row r="14092">
      <c r="A14092" s="1" t="s">
        <v>24055</v>
      </c>
      <c r="B14092" s="2" t="s">
        <v>24056</v>
      </c>
      <c r="C14092" s="1" t="s">
        <v>5284</v>
      </c>
      <c r="D14092" s="1" t="s">
        <v>5286</v>
      </c>
    </row>
    <row r="14093">
      <c r="A14093" s="1" t="s">
        <v>24057</v>
      </c>
      <c r="B14093" s="2" t="s">
        <v>24058</v>
      </c>
      <c r="C14093" s="1" t="s">
        <v>5284</v>
      </c>
      <c r="D14093" s="1" t="s">
        <v>5286</v>
      </c>
    </row>
    <row r="14094">
      <c r="A14094" s="1" t="s">
        <v>24059</v>
      </c>
      <c r="B14094" s="2" t="s">
        <v>24060</v>
      </c>
      <c r="C14094" s="1" t="s">
        <v>5284</v>
      </c>
      <c r="D14094" s="1" t="s">
        <v>5286</v>
      </c>
    </row>
    <row r="14095">
      <c r="A14095" s="1" t="s">
        <v>24061</v>
      </c>
      <c r="B14095" s="2" t="s">
        <v>24062</v>
      </c>
      <c r="C14095" s="1" t="s">
        <v>5284</v>
      </c>
      <c r="D14095" s="1" t="s">
        <v>5286</v>
      </c>
    </row>
    <row r="14096">
      <c r="A14096" s="1" t="s">
        <v>24063</v>
      </c>
      <c r="B14096" s="2" t="s">
        <v>24064</v>
      </c>
      <c r="C14096" s="1" t="s">
        <v>5284</v>
      </c>
      <c r="D14096" s="1" t="s">
        <v>5286</v>
      </c>
    </row>
    <row r="14097">
      <c r="A14097" s="1" t="s">
        <v>24065</v>
      </c>
      <c r="B14097" s="2" t="s">
        <v>24066</v>
      </c>
      <c r="C14097" s="1" t="s">
        <v>5284</v>
      </c>
      <c r="D14097" s="1" t="s">
        <v>5286</v>
      </c>
    </row>
    <row r="14098">
      <c r="A14098" s="1" t="s">
        <v>24067</v>
      </c>
      <c r="B14098" s="2" t="s">
        <v>24068</v>
      </c>
      <c r="C14098" s="1" t="s">
        <v>5284</v>
      </c>
      <c r="D14098" s="1" t="s">
        <v>5286</v>
      </c>
    </row>
    <row r="14099">
      <c r="A14099" s="1" t="s">
        <v>5290</v>
      </c>
      <c r="B14099" s="2" t="s">
        <v>7</v>
      </c>
      <c r="C14099" s="1" t="s">
        <v>5292</v>
      </c>
      <c r="D14099" s="1" t="s">
        <v>5293</v>
      </c>
    </row>
    <row r="14100">
      <c r="A14100" s="1" t="s">
        <v>24069</v>
      </c>
      <c r="B14100" s="2" t="s">
        <v>24070</v>
      </c>
      <c r="C14100" s="1" t="s">
        <v>5292</v>
      </c>
      <c r="D14100" s="1" t="s">
        <v>5293</v>
      </c>
    </row>
    <row r="14101">
      <c r="A14101" s="1" t="s">
        <v>24071</v>
      </c>
      <c r="B14101" s="2" t="s">
        <v>24072</v>
      </c>
      <c r="C14101" s="1" t="s">
        <v>5292</v>
      </c>
      <c r="D14101" s="1" t="s">
        <v>5293</v>
      </c>
    </row>
    <row r="14102">
      <c r="A14102" s="1" t="s">
        <v>24073</v>
      </c>
      <c r="B14102" s="2" t="s">
        <v>24074</v>
      </c>
      <c r="C14102" s="1" t="s">
        <v>5292</v>
      </c>
      <c r="D14102" s="1" t="s">
        <v>5293</v>
      </c>
    </row>
    <row r="14103">
      <c r="A14103" s="1" t="s">
        <v>24075</v>
      </c>
      <c r="B14103" s="2" t="s">
        <v>24076</v>
      </c>
      <c r="C14103" s="1" t="s">
        <v>5292</v>
      </c>
      <c r="D14103" s="1" t="s">
        <v>5293</v>
      </c>
    </row>
    <row r="14104">
      <c r="A14104" s="1" t="s">
        <v>24077</v>
      </c>
      <c r="B14104" s="2" t="s">
        <v>24078</v>
      </c>
      <c r="C14104" s="1" t="s">
        <v>5292</v>
      </c>
      <c r="D14104" s="1" t="s">
        <v>5293</v>
      </c>
    </row>
    <row r="14105">
      <c r="A14105" s="1" t="s">
        <v>24079</v>
      </c>
      <c r="B14105" s="2" t="s">
        <v>24080</v>
      </c>
      <c r="C14105" s="1" t="s">
        <v>5292</v>
      </c>
      <c r="D14105" s="1" t="s">
        <v>5293</v>
      </c>
    </row>
    <row r="14106">
      <c r="A14106" s="1" t="s">
        <v>5298</v>
      </c>
      <c r="B14106" s="2" t="s">
        <v>7</v>
      </c>
      <c r="C14106" s="1" t="s">
        <v>5300</v>
      </c>
      <c r="D14106" s="1" t="s">
        <v>5302</v>
      </c>
    </row>
    <row r="14107">
      <c r="A14107" s="1" t="s">
        <v>24081</v>
      </c>
      <c r="B14107" s="2" t="s">
        <v>24070</v>
      </c>
      <c r="C14107" s="1" t="s">
        <v>5300</v>
      </c>
      <c r="D14107" s="1" t="s">
        <v>5302</v>
      </c>
    </row>
    <row r="14108">
      <c r="A14108" s="1" t="s">
        <v>24082</v>
      </c>
      <c r="B14108" s="2" t="s">
        <v>24083</v>
      </c>
      <c r="C14108" s="1" t="s">
        <v>5300</v>
      </c>
      <c r="D14108" s="1" t="s">
        <v>5302</v>
      </c>
    </row>
    <row r="14109">
      <c r="A14109" s="1" t="s">
        <v>24084</v>
      </c>
      <c r="B14109" s="2" t="s">
        <v>24085</v>
      </c>
      <c r="C14109" s="1" t="s">
        <v>5300</v>
      </c>
      <c r="D14109" s="1" t="s">
        <v>5302</v>
      </c>
    </row>
    <row r="14110">
      <c r="A14110" s="1" t="s">
        <v>24086</v>
      </c>
      <c r="B14110" s="2" t="s">
        <v>24087</v>
      </c>
      <c r="C14110" s="1" t="s">
        <v>5300</v>
      </c>
      <c r="D14110" s="1" t="s">
        <v>5302</v>
      </c>
    </row>
    <row r="14111">
      <c r="A14111" s="1" t="s">
        <v>24088</v>
      </c>
      <c r="B14111" s="2" t="s">
        <v>24089</v>
      </c>
      <c r="C14111" s="1" t="s">
        <v>5300</v>
      </c>
      <c r="D14111" s="1" t="s">
        <v>5302</v>
      </c>
    </row>
    <row r="14112">
      <c r="A14112" s="1" t="s">
        <v>24090</v>
      </c>
      <c r="B14112" s="2" t="s">
        <v>24091</v>
      </c>
      <c r="C14112" s="1" t="s">
        <v>5300</v>
      </c>
      <c r="D14112" s="1" t="s">
        <v>5302</v>
      </c>
    </row>
    <row r="14113">
      <c r="A14113" s="1" t="s">
        <v>24092</v>
      </c>
      <c r="B14113" s="2" t="s">
        <v>24093</v>
      </c>
      <c r="C14113" s="1" t="s">
        <v>5300</v>
      </c>
      <c r="D14113" s="1" t="s">
        <v>5302</v>
      </c>
    </row>
    <row r="14114">
      <c r="A14114" s="1" t="s">
        <v>24094</v>
      </c>
      <c r="B14114" s="2" t="s">
        <v>24095</v>
      </c>
      <c r="C14114" s="1" t="s">
        <v>5300</v>
      </c>
      <c r="D14114" s="1" t="s">
        <v>5302</v>
      </c>
    </row>
    <row r="14115">
      <c r="A14115" s="1" t="s">
        <v>24096</v>
      </c>
      <c r="B14115" s="2" t="s">
        <v>24097</v>
      </c>
      <c r="C14115" s="1" t="s">
        <v>5300</v>
      </c>
      <c r="D14115" s="1" t="s">
        <v>5302</v>
      </c>
    </row>
    <row r="14116">
      <c r="A14116" s="1" t="s">
        <v>24098</v>
      </c>
      <c r="B14116" s="2" t="s">
        <v>24099</v>
      </c>
      <c r="C14116" s="1" t="s">
        <v>5300</v>
      </c>
      <c r="D14116" s="1" t="s">
        <v>5302</v>
      </c>
    </row>
    <row r="14117">
      <c r="A14117" s="1" t="s">
        <v>24100</v>
      </c>
      <c r="B14117" s="2" t="s">
        <v>24101</v>
      </c>
      <c r="C14117" s="1" t="s">
        <v>5300</v>
      </c>
      <c r="D14117" s="1" t="s">
        <v>5302</v>
      </c>
    </row>
    <row r="14118">
      <c r="A14118" s="1" t="s">
        <v>24102</v>
      </c>
      <c r="B14118" s="2" t="s">
        <v>24103</v>
      </c>
      <c r="C14118" s="1" t="s">
        <v>5300</v>
      </c>
      <c r="D14118" s="1" t="s">
        <v>5302</v>
      </c>
    </row>
    <row r="14119">
      <c r="A14119" s="1" t="s">
        <v>24104</v>
      </c>
      <c r="B14119" s="2" t="s">
        <v>24105</v>
      </c>
      <c r="C14119" s="1" t="s">
        <v>5300</v>
      </c>
      <c r="D14119" s="1" t="s">
        <v>5302</v>
      </c>
    </row>
    <row r="14120">
      <c r="A14120" s="1" t="s">
        <v>24106</v>
      </c>
      <c r="B14120" s="2" t="s">
        <v>24076</v>
      </c>
      <c r="C14120" s="1" t="s">
        <v>5300</v>
      </c>
      <c r="D14120" s="1" t="s">
        <v>5302</v>
      </c>
    </row>
    <row r="14121">
      <c r="A14121" s="1" t="s">
        <v>24107</v>
      </c>
      <c r="B14121" s="2" t="s">
        <v>24108</v>
      </c>
      <c r="C14121" s="1" t="s">
        <v>5300</v>
      </c>
      <c r="D14121" s="1" t="s">
        <v>5302</v>
      </c>
    </row>
    <row r="14122">
      <c r="A14122" s="1" t="s">
        <v>24109</v>
      </c>
      <c r="B14122" s="2" t="s">
        <v>24110</v>
      </c>
      <c r="C14122" s="1" t="s">
        <v>5300</v>
      </c>
      <c r="D14122" s="1" t="s">
        <v>5302</v>
      </c>
    </row>
    <row r="14123">
      <c r="A14123" s="1" t="s">
        <v>24111</v>
      </c>
      <c r="B14123" s="2" t="s">
        <v>24112</v>
      </c>
      <c r="C14123" s="1" t="s">
        <v>5300</v>
      </c>
      <c r="D14123" s="1" t="s">
        <v>5302</v>
      </c>
    </row>
    <row r="14124">
      <c r="A14124" s="1" t="s">
        <v>24113</v>
      </c>
      <c r="B14124" s="2" t="s">
        <v>24114</v>
      </c>
      <c r="C14124" s="1" t="s">
        <v>5300</v>
      </c>
      <c r="D14124" s="1" t="s">
        <v>5302</v>
      </c>
    </row>
    <row r="14125">
      <c r="A14125" s="1" t="s">
        <v>24115</v>
      </c>
      <c r="B14125" s="2" t="s">
        <v>24116</v>
      </c>
      <c r="C14125" s="1" t="s">
        <v>5300</v>
      </c>
      <c r="D14125" s="1" t="s">
        <v>5302</v>
      </c>
    </row>
    <row r="14126">
      <c r="A14126" s="1" t="s">
        <v>24117</v>
      </c>
      <c r="B14126" s="2" t="s">
        <v>24118</v>
      </c>
      <c r="C14126" s="1" t="s">
        <v>5300</v>
      </c>
      <c r="D14126" s="1" t="s">
        <v>5302</v>
      </c>
    </row>
    <row r="14127">
      <c r="A14127" s="1" t="s">
        <v>24119</v>
      </c>
      <c r="B14127" s="2" t="s">
        <v>24120</v>
      </c>
      <c r="C14127" s="1" t="s">
        <v>5300</v>
      </c>
      <c r="D14127" s="1" t="s">
        <v>5302</v>
      </c>
    </row>
    <row r="14128">
      <c r="A14128" s="1" t="s">
        <v>24121</v>
      </c>
      <c r="B14128" s="2" t="s">
        <v>24122</v>
      </c>
      <c r="C14128" s="1" t="s">
        <v>5300</v>
      </c>
      <c r="D14128" s="1" t="s">
        <v>5302</v>
      </c>
    </row>
    <row r="14129">
      <c r="A14129" s="1" t="s">
        <v>24123</v>
      </c>
      <c r="B14129" s="2" t="s">
        <v>24124</v>
      </c>
      <c r="C14129" s="1" t="s">
        <v>5300</v>
      </c>
      <c r="D14129" s="1" t="s">
        <v>5302</v>
      </c>
    </row>
    <row r="14130">
      <c r="A14130" s="1" t="s">
        <v>24125</v>
      </c>
      <c r="B14130" s="2" t="s">
        <v>24126</v>
      </c>
      <c r="C14130" s="1" t="s">
        <v>5300</v>
      </c>
      <c r="D14130" s="1" t="s">
        <v>5302</v>
      </c>
    </row>
    <row r="14131">
      <c r="A14131" s="1" t="s">
        <v>24127</v>
      </c>
      <c r="B14131" s="2" t="s">
        <v>24128</v>
      </c>
      <c r="C14131" s="1" t="s">
        <v>5300</v>
      </c>
      <c r="D14131" s="1" t="s">
        <v>5302</v>
      </c>
    </row>
    <row r="14132">
      <c r="A14132" s="1" t="s">
        <v>24129</v>
      </c>
      <c r="B14132" s="2" t="s">
        <v>24130</v>
      </c>
      <c r="C14132" s="1" t="s">
        <v>5300</v>
      </c>
      <c r="D14132" s="1" t="s">
        <v>5302</v>
      </c>
    </row>
    <row r="14133">
      <c r="A14133" s="1" t="s">
        <v>5305</v>
      </c>
      <c r="B14133" s="2" t="s">
        <v>7</v>
      </c>
      <c r="C14133" s="1" t="s">
        <v>5306</v>
      </c>
      <c r="D14133" s="1" t="s">
        <v>5307</v>
      </c>
    </row>
    <row r="14134">
      <c r="A14134" s="1" t="s">
        <v>24131</v>
      </c>
      <c r="B14134" s="2" t="s">
        <v>24070</v>
      </c>
      <c r="C14134" s="1" t="s">
        <v>5306</v>
      </c>
      <c r="D14134" s="1" t="s">
        <v>5307</v>
      </c>
    </row>
    <row r="14135">
      <c r="A14135" s="1" t="s">
        <v>24132</v>
      </c>
      <c r="B14135" s="2" t="s">
        <v>24133</v>
      </c>
      <c r="C14135" s="1" t="s">
        <v>5306</v>
      </c>
      <c r="D14135" s="1" t="s">
        <v>5307</v>
      </c>
    </row>
    <row r="14136">
      <c r="A14136" s="1" t="s">
        <v>24134</v>
      </c>
      <c r="B14136" s="2" t="s">
        <v>24135</v>
      </c>
      <c r="C14136" s="1" t="s">
        <v>5306</v>
      </c>
      <c r="D14136" s="1" t="s">
        <v>5307</v>
      </c>
    </row>
    <row r="14137">
      <c r="A14137" s="1" t="s">
        <v>24136</v>
      </c>
      <c r="B14137" s="2" t="s">
        <v>24076</v>
      </c>
      <c r="C14137" s="1" t="s">
        <v>5306</v>
      </c>
      <c r="D14137" s="1" t="s">
        <v>5307</v>
      </c>
    </row>
    <row r="14138">
      <c r="A14138" s="1" t="s">
        <v>24137</v>
      </c>
      <c r="B14138" s="2" t="s">
        <v>24138</v>
      </c>
      <c r="C14138" s="1" t="s">
        <v>5306</v>
      </c>
      <c r="D14138" s="1" t="s">
        <v>5307</v>
      </c>
    </row>
    <row r="14139">
      <c r="A14139" s="1" t="s">
        <v>24139</v>
      </c>
      <c r="B14139" s="2" t="s">
        <v>24140</v>
      </c>
      <c r="C14139" s="1" t="s">
        <v>5306</v>
      </c>
      <c r="D14139" s="1" t="s">
        <v>5307</v>
      </c>
    </row>
    <row r="14140">
      <c r="A14140" s="1" t="s">
        <v>5310</v>
      </c>
      <c r="B14140" s="2" t="s">
        <v>7</v>
      </c>
      <c r="C14140" s="1" t="s">
        <v>5312</v>
      </c>
      <c r="D14140" s="1" t="s">
        <v>5313</v>
      </c>
    </row>
    <row r="14141">
      <c r="A14141" s="1" t="s">
        <v>24141</v>
      </c>
      <c r="B14141" s="2" t="s">
        <v>24142</v>
      </c>
      <c r="C14141" s="1" t="s">
        <v>5312</v>
      </c>
      <c r="D14141" s="1" t="s">
        <v>5313</v>
      </c>
    </row>
    <row r="14142">
      <c r="A14142" s="1" t="s">
        <v>24143</v>
      </c>
      <c r="B14142" s="2" t="s">
        <v>24144</v>
      </c>
      <c r="C14142" s="1" t="s">
        <v>5312</v>
      </c>
      <c r="D14142" s="1" t="s">
        <v>5313</v>
      </c>
    </row>
    <row r="14143">
      <c r="A14143" s="1" t="s">
        <v>5316</v>
      </c>
      <c r="B14143" s="2" t="s">
        <v>7</v>
      </c>
      <c r="C14143" s="1" t="s">
        <v>5318</v>
      </c>
      <c r="D14143" s="1" t="s">
        <v>5319</v>
      </c>
    </row>
    <row r="14144">
      <c r="A14144" s="1" t="s">
        <v>24145</v>
      </c>
      <c r="B14144" s="2" t="s">
        <v>24142</v>
      </c>
      <c r="C14144" s="1" t="s">
        <v>5318</v>
      </c>
      <c r="D14144" s="1" t="s">
        <v>5319</v>
      </c>
    </row>
    <row r="14145">
      <c r="A14145" s="1" t="s">
        <v>24146</v>
      </c>
      <c r="B14145" s="2" t="s">
        <v>24144</v>
      </c>
      <c r="C14145" s="1" t="s">
        <v>5318</v>
      </c>
      <c r="D14145" s="1" t="s">
        <v>5319</v>
      </c>
    </row>
    <row r="14146">
      <c r="A14146" s="1" t="s">
        <v>5322</v>
      </c>
      <c r="B14146" s="2" t="s">
        <v>7</v>
      </c>
      <c r="C14146" s="1" t="s">
        <v>5323</v>
      </c>
      <c r="D14146" s="1" t="s">
        <v>5324</v>
      </c>
    </row>
    <row r="14147">
      <c r="A14147" s="1" t="s">
        <v>24147</v>
      </c>
      <c r="B14147" s="2" t="s">
        <v>24142</v>
      </c>
      <c r="C14147" s="1" t="s">
        <v>5323</v>
      </c>
      <c r="D14147" s="1" t="s">
        <v>5324</v>
      </c>
    </row>
    <row r="14148">
      <c r="A14148" s="1" t="s">
        <v>24148</v>
      </c>
      <c r="B14148" s="2" t="s">
        <v>24144</v>
      </c>
      <c r="C14148" s="1" t="s">
        <v>5323</v>
      </c>
      <c r="D14148" s="1" t="s">
        <v>5324</v>
      </c>
    </row>
    <row r="14149">
      <c r="A14149" s="1" t="s">
        <v>5327</v>
      </c>
      <c r="B14149" s="2" t="s">
        <v>7</v>
      </c>
      <c r="C14149" s="1" t="s">
        <v>5328</v>
      </c>
      <c r="D14149" s="1" t="s">
        <v>5329</v>
      </c>
    </row>
    <row r="14150">
      <c r="A14150" s="1" t="s">
        <v>24149</v>
      </c>
      <c r="B14150" s="2" t="s">
        <v>24142</v>
      </c>
      <c r="C14150" s="1" t="s">
        <v>5328</v>
      </c>
      <c r="D14150" s="1" t="s">
        <v>5329</v>
      </c>
    </row>
    <row r="14151">
      <c r="A14151" s="1" t="s">
        <v>24150</v>
      </c>
      <c r="B14151" s="2" t="s">
        <v>24144</v>
      </c>
      <c r="C14151" s="1" t="s">
        <v>5328</v>
      </c>
      <c r="D14151" s="1" t="s">
        <v>5329</v>
      </c>
    </row>
    <row r="14152">
      <c r="A14152" s="1" t="s">
        <v>5331</v>
      </c>
      <c r="B14152" s="2" t="s">
        <v>7</v>
      </c>
      <c r="C14152" s="1" t="s">
        <v>5333</v>
      </c>
      <c r="D14152" s="1" t="s">
        <v>5334</v>
      </c>
    </row>
    <row r="14153">
      <c r="A14153" s="1" t="s">
        <v>24151</v>
      </c>
      <c r="B14153" s="2" t="s">
        <v>24142</v>
      </c>
      <c r="C14153" s="1" t="s">
        <v>5333</v>
      </c>
      <c r="D14153" s="1" t="s">
        <v>5334</v>
      </c>
    </row>
    <row r="14154">
      <c r="A14154" s="1" t="s">
        <v>24152</v>
      </c>
      <c r="B14154" s="2" t="s">
        <v>24144</v>
      </c>
      <c r="C14154" s="1" t="s">
        <v>5333</v>
      </c>
      <c r="D14154" s="1" t="s">
        <v>5334</v>
      </c>
    </row>
    <row r="14155">
      <c r="A14155" s="1" t="s">
        <v>5337</v>
      </c>
      <c r="B14155" s="2" t="s">
        <v>7</v>
      </c>
      <c r="C14155" s="1" t="s">
        <v>5340</v>
      </c>
      <c r="D14155" s="1" t="s">
        <v>5341</v>
      </c>
    </row>
    <row r="14156">
      <c r="A14156" s="1" t="s">
        <v>24153</v>
      </c>
      <c r="B14156" s="2" t="s">
        <v>24142</v>
      </c>
      <c r="C14156" s="1" t="s">
        <v>5340</v>
      </c>
      <c r="D14156" s="1" t="s">
        <v>5341</v>
      </c>
    </row>
    <row r="14157">
      <c r="A14157" s="1" t="s">
        <v>24154</v>
      </c>
      <c r="B14157" s="2" t="s">
        <v>24144</v>
      </c>
      <c r="C14157" s="1" t="s">
        <v>5340</v>
      </c>
      <c r="D14157" s="1" t="s">
        <v>5341</v>
      </c>
    </row>
    <row r="14158">
      <c r="A14158" s="1" t="s">
        <v>5345</v>
      </c>
      <c r="B14158" s="2" t="s">
        <v>7</v>
      </c>
      <c r="C14158" s="1" t="s">
        <v>5347</v>
      </c>
      <c r="D14158" s="1" t="s">
        <v>5348</v>
      </c>
    </row>
    <row r="14159">
      <c r="A14159" s="1" t="s">
        <v>24155</v>
      </c>
      <c r="B14159" s="2" t="s">
        <v>24142</v>
      </c>
      <c r="C14159" s="1" t="s">
        <v>5347</v>
      </c>
      <c r="D14159" s="1" t="s">
        <v>5348</v>
      </c>
    </row>
    <row r="14160">
      <c r="A14160" s="1" t="s">
        <v>24156</v>
      </c>
      <c r="B14160" s="2" t="s">
        <v>24144</v>
      </c>
      <c r="C14160" s="1" t="s">
        <v>5347</v>
      </c>
      <c r="D14160" s="1" t="s">
        <v>5348</v>
      </c>
    </row>
    <row r="14161">
      <c r="A14161" s="1" t="s">
        <v>5353</v>
      </c>
      <c r="B14161" s="2" t="s">
        <v>7</v>
      </c>
      <c r="C14161" s="1" t="s">
        <v>5355</v>
      </c>
      <c r="D14161" s="1" t="s">
        <v>5357</v>
      </c>
    </row>
    <row r="14162">
      <c r="A14162" s="1" t="s">
        <v>24157</v>
      </c>
      <c r="B14162" s="2" t="s">
        <v>24142</v>
      </c>
      <c r="C14162" s="1" t="s">
        <v>5355</v>
      </c>
      <c r="D14162" s="1" t="s">
        <v>5357</v>
      </c>
    </row>
    <row r="14163">
      <c r="A14163" s="1" t="s">
        <v>24158</v>
      </c>
      <c r="B14163" s="2" t="s">
        <v>24144</v>
      </c>
      <c r="C14163" s="1" t="s">
        <v>5355</v>
      </c>
      <c r="D14163" s="1" t="s">
        <v>5357</v>
      </c>
    </row>
    <row r="14164">
      <c r="A14164" s="1" t="s">
        <v>5360</v>
      </c>
      <c r="B14164" s="2" t="s">
        <v>7</v>
      </c>
      <c r="C14164" s="1" t="s">
        <v>5363</v>
      </c>
      <c r="D14164" s="1" t="s">
        <v>5364</v>
      </c>
    </row>
    <row r="14165">
      <c r="A14165" s="1" t="s">
        <v>24159</v>
      </c>
      <c r="B14165" s="2" t="s">
        <v>24142</v>
      </c>
      <c r="C14165" s="1" t="s">
        <v>5363</v>
      </c>
      <c r="D14165" s="1" t="s">
        <v>5364</v>
      </c>
    </row>
    <row r="14166">
      <c r="A14166" s="1" t="s">
        <v>24160</v>
      </c>
      <c r="B14166" s="2" t="s">
        <v>24144</v>
      </c>
      <c r="C14166" s="1" t="s">
        <v>5363</v>
      </c>
      <c r="D14166" s="1" t="s">
        <v>5364</v>
      </c>
    </row>
    <row r="14167">
      <c r="A14167" s="1" t="s">
        <v>5369</v>
      </c>
      <c r="B14167" s="2" t="s">
        <v>7</v>
      </c>
      <c r="C14167" s="1" t="s">
        <v>5370</v>
      </c>
      <c r="D14167" s="1" t="s">
        <v>5372</v>
      </c>
    </row>
    <row r="14168">
      <c r="A14168" s="1" t="s">
        <v>24161</v>
      </c>
      <c r="B14168" s="2" t="s">
        <v>24070</v>
      </c>
      <c r="C14168" s="1" t="s">
        <v>5370</v>
      </c>
      <c r="D14168" s="1" t="s">
        <v>5372</v>
      </c>
    </row>
    <row r="14169">
      <c r="A14169" s="1" t="s">
        <v>24162</v>
      </c>
      <c r="B14169" s="2" t="s">
        <v>24163</v>
      </c>
      <c r="C14169" s="1" t="s">
        <v>5370</v>
      </c>
      <c r="D14169" s="1" t="s">
        <v>5372</v>
      </c>
    </row>
    <row r="14170">
      <c r="A14170" s="1" t="s">
        <v>24164</v>
      </c>
      <c r="B14170" s="2" t="s">
        <v>24165</v>
      </c>
      <c r="C14170" s="1" t="s">
        <v>5370</v>
      </c>
      <c r="D14170" s="1" t="s">
        <v>5372</v>
      </c>
    </row>
    <row r="14171">
      <c r="A14171" s="1" t="s">
        <v>24166</v>
      </c>
      <c r="B14171" s="2" t="s">
        <v>24167</v>
      </c>
      <c r="C14171" s="1" t="s">
        <v>5370</v>
      </c>
      <c r="D14171" s="1" t="s">
        <v>5372</v>
      </c>
    </row>
    <row r="14172">
      <c r="A14172" s="1" t="s">
        <v>24168</v>
      </c>
      <c r="B14172" s="2" t="s">
        <v>24169</v>
      </c>
      <c r="C14172" s="1" t="s">
        <v>5370</v>
      </c>
      <c r="D14172" s="1" t="s">
        <v>5372</v>
      </c>
    </row>
    <row r="14173">
      <c r="A14173" s="1" t="s">
        <v>24170</v>
      </c>
      <c r="B14173" s="2" t="s">
        <v>24171</v>
      </c>
      <c r="C14173" s="1" t="s">
        <v>5370</v>
      </c>
      <c r="D14173" s="1" t="s">
        <v>5372</v>
      </c>
    </row>
    <row r="14174">
      <c r="A14174" s="1" t="s">
        <v>24172</v>
      </c>
      <c r="B14174" s="2" t="s">
        <v>24173</v>
      </c>
      <c r="C14174" s="1" t="s">
        <v>5370</v>
      </c>
      <c r="D14174" s="1" t="s">
        <v>5372</v>
      </c>
    </row>
    <row r="14175">
      <c r="A14175" s="1" t="s">
        <v>24174</v>
      </c>
      <c r="B14175" s="2" t="s">
        <v>24175</v>
      </c>
      <c r="C14175" s="1" t="s">
        <v>5370</v>
      </c>
      <c r="D14175" s="1" t="s">
        <v>5372</v>
      </c>
    </row>
    <row r="14176">
      <c r="A14176" s="1" t="s">
        <v>24176</v>
      </c>
      <c r="B14176" s="2" t="s">
        <v>24177</v>
      </c>
      <c r="C14176" s="1" t="s">
        <v>5370</v>
      </c>
      <c r="D14176" s="1" t="s">
        <v>5372</v>
      </c>
    </row>
    <row r="14177">
      <c r="A14177" s="1" t="s">
        <v>24178</v>
      </c>
      <c r="B14177" s="2" t="s">
        <v>24179</v>
      </c>
      <c r="C14177" s="1" t="s">
        <v>5370</v>
      </c>
      <c r="D14177" s="1" t="s">
        <v>5372</v>
      </c>
    </row>
    <row r="14178">
      <c r="A14178" s="1" t="s">
        <v>24180</v>
      </c>
      <c r="B14178" s="2" t="s">
        <v>24181</v>
      </c>
      <c r="C14178" s="1" t="s">
        <v>5370</v>
      </c>
      <c r="D14178" s="1" t="s">
        <v>5372</v>
      </c>
    </row>
    <row r="14179">
      <c r="A14179" s="1" t="s">
        <v>24182</v>
      </c>
      <c r="B14179" s="2" t="s">
        <v>24183</v>
      </c>
      <c r="C14179" s="1" t="s">
        <v>5370</v>
      </c>
      <c r="D14179" s="1" t="s">
        <v>5372</v>
      </c>
    </row>
    <row r="14180">
      <c r="A14180" s="1" t="s">
        <v>24184</v>
      </c>
      <c r="B14180" s="2" t="s">
        <v>24185</v>
      </c>
      <c r="C14180" s="1" t="s">
        <v>5370</v>
      </c>
      <c r="D14180" s="1" t="s">
        <v>5372</v>
      </c>
    </row>
    <row r="14181">
      <c r="A14181" s="1" t="s">
        <v>24186</v>
      </c>
      <c r="B14181" s="2" t="s">
        <v>24187</v>
      </c>
      <c r="C14181" s="1" t="s">
        <v>5370</v>
      </c>
      <c r="D14181" s="1" t="s">
        <v>5372</v>
      </c>
    </row>
    <row r="14182">
      <c r="A14182" s="1" t="s">
        <v>24188</v>
      </c>
      <c r="B14182" s="2" t="s">
        <v>24189</v>
      </c>
      <c r="C14182" s="1" t="s">
        <v>5370</v>
      </c>
      <c r="D14182" s="1" t="s">
        <v>5372</v>
      </c>
    </row>
    <row r="14183">
      <c r="A14183" s="1" t="s">
        <v>24190</v>
      </c>
      <c r="B14183" s="2" t="s">
        <v>24191</v>
      </c>
      <c r="C14183" s="1" t="s">
        <v>5370</v>
      </c>
      <c r="D14183" s="1" t="s">
        <v>5372</v>
      </c>
    </row>
    <row r="14184">
      <c r="A14184" s="1" t="s">
        <v>24192</v>
      </c>
      <c r="B14184" s="2" t="s">
        <v>24193</v>
      </c>
      <c r="C14184" s="1" t="s">
        <v>5370</v>
      </c>
      <c r="D14184" s="1" t="s">
        <v>5372</v>
      </c>
    </row>
    <row r="14185">
      <c r="A14185" s="1" t="s">
        <v>24194</v>
      </c>
      <c r="B14185" s="2" t="s">
        <v>24195</v>
      </c>
      <c r="C14185" s="1" t="s">
        <v>5370</v>
      </c>
      <c r="D14185" s="1" t="s">
        <v>5372</v>
      </c>
    </row>
    <row r="14186">
      <c r="A14186" s="1" t="s">
        <v>24196</v>
      </c>
      <c r="B14186" s="2" t="s">
        <v>24197</v>
      </c>
      <c r="C14186" s="1" t="s">
        <v>5370</v>
      </c>
      <c r="D14186" s="1" t="s">
        <v>5372</v>
      </c>
    </row>
    <row r="14187">
      <c r="A14187" s="1" t="s">
        <v>24198</v>
      </c>
      <c r="B14187" s="2" t="s">
        <v>24199</v>
      </c>
      <c r="C14187" s="1" t="s">
        <v>5370</v>
      </c>
      <c r="D14187" s="1" t="s">
        <v>5372</v>
      </c>
    </row>
    <row r="14188">
      <c r="A14188" s="1" t="s">
        <v>24200</v>
      </c>
      <c r="B14188" s="2" t="s">
        <v>24201</v>
      </c>
      <c r="C14188" s="1" t="s">
        <v>5370</v>
      </c>
      <c r="D14188" s="1" t="s">
        <v>5372</v>
      </c>
    </row>
    <row r="14189">
      <c r="A14189" s="1" t="s">
        <v>24202</v>
      </c>
      <c r="B14189" s="2" t="s">
        <v>24076</v>
      </c>
      <c r="C14189" s="1" t="s">
        <v>5370</v>
      </c>
      <c r="D14189" s="1" t="s">
        <v>5372</v>
      </c>
    </row>
    <row r="14190">
      <c r="A14190" s="1" t="s">
        <v>24203</v>
      </c>
      <c r="B14190" s="2" t="s">
        <v>24204</v>
      </c>
      <c r="C14190" s="1" t="s">
        <v>5370</v>
      </c>
      <c r="D14190" s="1" t="s">
        <v>5372</v>
      </c>
    </row>
    <row r="14191">
      <c r="A14191" s="1" t="s">
        <v>24205</v>
      </c>
      <c r="B14191" s="2" t="s">
        <v>24206</v>
      </c>
      <c r="C14191" s="1" t="s">
        <v>5370</v>
      </c>
      <c r="D14191" s="1" t="s">
        <v>5372</v>
      </c>
    </row>
    <row r="14192">
      <c r="A14192" s="1" t="s">
        <v>24207</v>
      </c>
      <c r="B14192" s="2" t="s">
        <v>24208</v>
      </c>
      <c r="C14192" s="1" t="s">
        <v>5370</v>
      </c>
      <c r="D14192" s="1" t="s">
        <v>5372</v>
      </c>
    </row>
    <row r="14193">
      <c r="A14193" s="1" t="s">
        <v>24209</v>
      </c>
      <c r="B14193" s="2" t="s">
        <v>24210</v>
      </c>
      <c r="C14193" s="1" t="s">
        <v>5370</v>
      </c>
      <c r="D14193" s="1" t="s">
        <v>5372</v>
      </c>
    </row>
    <row r="14194">
      <c r="A14194" s="1" t="s">
        <v>24211</v>
      </c>
      <c r="B14194" s="2" t="s">
        <v>24212</v>
      </c>
      <c r="C14194" s="1" t="s">
        <v>5370</v>
      </c>
      <c r="D14194" s="1" t="s">
        <v>5372</v>
      </c>
    </row>
    <row r="14195">
      <c r="A14195" s="1" t="s">
        <v>24213</v>
      </c>
      <c r="B14195" s="2" t="s">
        <v>24214</v>
      </c>
      <c r="C14195" s="1" t="s">
        <v>5370</v>
      </c>
      <c r="D14195" s="1" t="s">
        <v>5372</v>
      </c>
    </row>
    <row r="14196">
      <c r="A14196" s="1" t="s">
        <v>24215</v>
      </c>
      <c r="B14196" s="2" t="s">
        <v>24216</v>
      </c>
      <c r="C14196" s="1" t="s">
        <v>5370</v>
      </c>
      <c r="D14196" s="1" t="s">
        <v>5372</v>
      </c>
    </row>
    <row r="14197">
      <c r="A14197" s="1" t="s">
        <v>24217</v>
      </c>
      <c r="B14197" s="2" t="s">
        <v>24218</v>
      </c>
      <c r="C14197" s="1" t="s">
        <v>5370</v>
      </c>
      <c r="D14197" s="1" t="s">
        <v>5372</v>
      </c>
    </row>
    <row r="14198">
      <c r="A14198" s="1" t="s">
        <v>24219</v>
      </c>
      <c r="B14198" s="2" t="s">
        <v>24220</v>
      </c>
      <c r="C14198" s="1" t="s">
        <v>5370</v>
      </c>
      <c r="D14198" s="1" t="s">
        <v>5372</v>
      </c>
    </row>
    <row r="14199">
      <c r="A14199" s="1" t="s">
        <v>24221</v>
      </c>
      <c r="B14199" s="2" t="s">
        <v>24222</v>
      </c>
      <c r="C14199" s="1" t="s">
        <v>5370</v>
      </c>
      <c r="D14199" s="1" t="s">
        <v>5372</v>
      </c>
    </row>
    <row r="14200">
      <c r="A14200" s="1" t="s">
        <v>24223</v>
      </c>
      <c r="B14200" s="2" t="s">
        <v>24224</v>
      </c>
      <c r="C14200" s="1" t="s">
        <v>5370</v>
      </c>
      <c r="D14200" s="1" t="s">
        <v>5372</v>
      </c>
    </row>
    <row r="14201">
      <c r="A14201" s="1" t="s">
        <v>24225</v>
      </c>
      <c r="B14201" s="2" t="s">
        <v>24226</v>
      </c>
      <c r="C14201" s="1" t="s">
        <v>5370</v>
      </c>
      <c r="D14201" s="1" t="s">
        <v>5372</v>
      </c>
    </row>
    <row r="14202">
      <c r="A14202" s="1" t="s">
        <v>24227</v>
      </c>
      <c r="B14202" s="2" t="s">
        <v>24228</v>
      </c>
      <c r="C14202" s="1" t="s">
        <v>5370</v>
      </c>
      <c r="D14202" s="1" t="s">
        <v>5372</v>
      </c>
    </row>
    <row r="14203">
      <c r="A14203" s="1" t="s">
        <v>24229</v>
      </c>
      <c r="B14203" s="2" t="s">
        <v>24230</v>
      </c>
      <c r="C14203" s="1" t="s">
        <v>5370</v>
      </c>
      <c r="D14203" s="1" t="s">
        <v>5372</v>
      </c>
    </row>
    <row r="14204">
      <c r="A14204" s="1" t="s">
        <v>24231</v>
      </c>
      <c r="B14204" s="2" t="s">
        <v>24232</v>
      </c>
      <c r="C14204" s="1" t="s">
        <v>5370</v>
      </c>
      <c r="D14204" s="1" t="s">
        <v>5372</v>
      </c>
    </row>
    <row r="14205">
      <c r="A14205" s="1" t="s">
        <v>24233</v>
      </c>
      <c r="B14205" s="2" t="s">
        <v>24234</v>
      </c>
      <c r="C14205" s="1" t="s">
        <v>5370</v>
      </c>
      <c r="D14205" s="1" t="s">
        <v>5372</v>
      </c>
    </row>
    <row r="14206">
      <c r="A14206" s="1" t="s">
        <v>24235</v>
      </c>
      <c r="B14206" s="2" t="s">
        <v>24236</v>
      </c>
      <c r="C14206" s="1" t="s">
        <v>5370</v>
      </c>
      <c r="D14206" s="1" t="s">
        <v>5372</v>
      </c>
    </row>
    <row r="14207">
      <c r="A14207" s="1" t="s">
        <v>24237</v>
      </c>
      <c r="B14207" s="2" t="s">
        <v>24238</v>
      </c>
      <c r="C14207" s="1" t="s">
        <v>5370</v>
      </c>
      <c r="D14207" s="1" t="s">
        <v>5372</v>
      </c>
    </row>
    <row r="14208">
      <c r="A14208" s="1" t="s">
        <v>24239</v>
      </c>
      <c r="B14208" s="2" t="s">
        <v>24240</v>
      </c>
      <c r="C14208" s="1" t="s">
        <v>5370</v>
      </c>
      <c r="D14208" s="1" t="s">
        <v>5372</v>
      </c>
    </row>
    <row r="14209">
      <c r="A14209" s="1" t="s">
        <v>24241</v>
      </c>
      <c r="B14209" s="2" t="s">
        <v>24242</v>
      </c>
      <c r="C14209" s="1" t="s">
        <v>5370</v>
      </c>
      <c r="D14209" s="1" t="s">
        <v>5372</v>
      </c>
    </row>
    <row r="14210">
      <c r="A14210" s="1" t="s">
        <v>5376</v>
      </c>
      <c r="B14210" s="2" t="s">
        <v>5377</v>
      </c>
      <c r="C14210" s="1" t="s">
        <v>5379</v>
      </c>
      <c r="D14210" s="1" t="s">
        <v>5380</v>
      </c>
    </row>
    <row r="14211">
      <c r="A14211" s="1" t="s">
        <v>24243</v>
      </c>
      <c r="B14211" s="2" t="s">
        <v>24244</v>
      </c>
      <c r="C14211" s="1" t="s">
        <v>5379</v>
      </c>
      <c r="D14211" s="1" t="s">
        <v>5380</v>
      </c>
    </row>
    <row r="14212">
      <c r="A14212" s="1" t="s">
        <v>24245</v>
      </c>
      <c r="B14212" s="2" t="s">
        <v>24246</v>
      </c>
      <c r="C14212" s="1" t="s">
        <v>5379</v>
      </c>
      <c r="D14212" s="1" t="s">
        <v>5380</v>
      </c>
    </row>
    <row r="14213">
      <c r="A14213" s="1" t="s">
        <v>5384</v>
      </c>
      <c r="B14213" s="2" t="s">
        <v>7</v>
      </c>
      <c r="C14213" s="1" t="s">
        <v>5386</v>
      </c>
      <c r="D14213" s="1" t="s">
        <v>5387</v>
      </c>
    </row>
    <row r="14214">
      <c r="A14214" s="1" t="s">
        <v>24247</v>
      </c>
      <c r="B14214" s="2" t="s">
        <v>24070</v>
      </c>
      <c r="C14214" s="1" t="s">
        <v>5386</v>
      </c>
      <c r="D14214" s="1" t="s">
        <v>5387</v>
      </c>
    </row>
    <row r="14215">
      <c r="A14215" s="1" t="s">
        <v>24248</v>
      </c>
      <c r="B14215" s="2" t="s">
        <v>24249</v>
      </c>
      <c r="C14215" s="1" t="s">
        <v>5386</v>
      </c>
      <c r="D14215" s="1" t="s">
        <v>5387</v>
      </c>
    </row>
    <row r="14216">
      <c r="A14216" s="1" t="s">
        <v>24250</v>
      </c>
      <c r="B14216" s="2" t="s">
        <v>24251</v>
      </c>
      <c r="C14216" s="1" t="s">
        <v>5386</v>
      </c>
      <c r="D14216" s="1" t="s">
        <v>5387</v>
      </c>
    </row>
    <row r="14217">
      <c r="A14217" s="1" t="s">
        <v>24252</v>
      </c>
      <c r="B14217" s="2" t="s">
        <v>24076</v>
      </c>
      <c r="C14217" s="1" t="s">
        <v>5386</v>
      </c>
      <c r="D14217" s="1" t="s">
        <v>5387</v>
      </c>
    </row>
    <row r="14218">
      <c r="A14218" s="1" t="s">
        <v>24253</v>
      </c>
      <c r="B14218" s="2" t="s">
        <v>24254</v>
      </c>
      <c r="C14218" s="1" t="s">
        <v>5386</v>
      </c>
      <c r="D14218" s="1" t="s">
        <v>5387</v>
      </c>
    </row>
    <row r="14219">
      <c r="A14219" s="1" t="s">
        <v>24255</v>
      </c>
      <c r="B14219" s="2" t="s">
        <v>24256</v>
      </c>
      <c r="C14219" s="1" t="s">
        <v>5386</v>
      </c>
      <c r="D14219" s="1" t="s">
        <v>5387</v>
      </c>
    </row>
    <row r="14220">
      <c r="A14220" s="1" t="s">
        <v>5391</v>
      </c>
      <c r="B14220" s="2" t="s">
        <v>7</v>
      </c>
      <c r="C14220" s="1" t="s">
        <v>5393</v>
      </c>
      <c r="D14220" s="1" t="s">
        <v>5395</v>
      </c>
    </row>
    <row r="14221">
      <c r="A14221" s="1" t="s">
        <v>24257</v>
      </c>
      <c r="B14221" s="2" t="s">
        <v>13</v>
      </c>
      <c r="C14221" s="1" t="s">
        <v>5393</v>
      </c>
      <c r="D14221" s="1" t="s">
        <v>5395</v>
      </c>
    </row>
    <row r="14222">
      <c r="A14222" s="1" t="s">
        <v>24258</v>
      </c>
      <c r="B14222" s="2" t="s">
        <v>24259</v>
      </c>
      <c r="C14222" s="1" t="s">
        <v>5393</v>
      </c>
      <c r="D14222" s="1" t="s">
        <v>5395</v>
      </c>
    </row>
    <row r="14223">
      <c r="A14223" s="1" t="s">
        <v>24260</v>
      </c>
      <c r="B14223" s="2" t="s">
        <v>24261</v>
      </c>
      <c r="C14223" s="1" t="s">
        <v>5393</v>
      </c>
      <c r="D14223" s="1" t="s">
        <v>5395</v>
      </c>
    </row>
    <row r="14224">
      <c r="A14224" s="1" t="s">
        <v>24262</v>
      </c>
      <c r="B14224" s="2" t="s">
        <v>24263</v>
      </c>
      <c r="C14224" s="1" t="s">
        <v>5393</v>
      </c>
      <c r="D14224" s="1" t="s">
        <v>5395</v>
      </c>
    </row>
    <row r="14225">
      <c r="A14225" s="1" t="s">
        <v>24264</v>
      </c>
      <c r="B14225" s="2" t="s">
        <v>24265</v>
      </c>
      <c r="C14225" s="1" t="s">
        <v>5393</v>
      </c>
      <c r="D14225" s="1" t="s">
        <v>5395</v>
      </c>
    </row>
    <row r="14226">
      <c r="A14226" s="1" t="s">
        <v>24266</v>
      </c>
      <c r="B14226" s="2" t="s">
        <v>24267</v>
      </c>
      <c r="C14226" s="1" t="s">
        <v>5393</v>
      </c>
      <c r="D14226" s="1" t="s">
        <v>5395</v>
      </c>
    </row>
    <row r="14227">
      <c r="A14227" s="1" t="s">
        <v>24268</v>
      </c>
      <c r="B14227" s="2" t="s">
        <v>24269</v>
      </c>
      <c r="C14227" s="1" t="s">
        <v>5393</v>
      </c>
      <c r="D14227" s="1" t="s">
        <v>5395</v>
      </c>
    </row>
    <row r="14228">
      <c r="A14228" s="1" t="s">
        <v>24270</v>
      </c>
      <c r="B14228" s="2" t="s">
        <v>24271</v>
      </c>
      <c r="C14228" s="1" t="s">
        <v>5393</v>
      </c>
      <c r="D14228" s="1" t="s">
        <v>5395</v>
      </c>
    </row>
    <row r="14229">
      <c r="A14229" s="1" t="s">
        <v>24272</v>
      </c>
      <c r="B14229" s="2" t="s">
        <v>24273</v>
      </c>
      <c r="C14229" s="1" t="s">
        <v>5393</v>
      </c>
      <c r="D14229" s="1" t="s">
        <v>5395</v>
      </c>
    </row>
    <row r="14230">
      <c r="A14230" s="1" t="s">
        <v>24274</v>
      </c>
      <c r="B14230" s="2" t="s">
        <v>24275</v>
      </c>
      <c r="C14230" s="1" t="s">
        <v>5393</v>
      </c>
      <c r="D14230" s="1" t="s">
        <v>5395</v>
      </c>
    </row>
    <row r="14231">
      <c r="A14231" s="1" t="s">
        <v>24276</v>
      </c>
      <c r="B14231" s="2" t="s">
        <v>24277</v>
      </c>
      <c r="C14231" s="1" t="s">
        <v>5393</v>
      </c>
      <c r="D14231" s="1" t="s">
        <v>5395</v>
      </c>
    </row>
    <row r="14232">
      <c r="A14232" s="1" t="s">
        <v>24278</v>
      </c>
      <c r="B14232" s="2" t="s">
        <v>24279</v>
      </c>
      <c r="C14232" s="1" t="s">
        <v>5393</v>
      </c>
      <c r="D14232" s="1" t="s">
        <v>5395</v>
      </c>
    </row>
    <row r="14233">
      <c r="A14233" s="1" t="s">
        <v>24280</v>
      </c>
      <c r="B14233" s="2" t="s">
        <v>24281</v>
      </c>
      <c r="C14233" s="1" t="s">
        <v>5393</v>
      </c>
      <c r="D14233" s="1" t="s">
        <v>5395</v>
      </c>
    </row>
    <row r="14234">
      <c r="A14234" s="1" t="s">
        <v>24282</v>
      </c>
      <c r="B14234" s="2" t="s">
        <v>24283</v>
      </c>
      <c r="C14234" s="1" t="s">
        <v>5393</v>
      </c>
      <c r="D14234" s="1" t="s">
        <v>5395</v>
      </c>
    </row>
    <row r="14235">
      <c r="A14235" s="1" t="s">
        <v>24284</v>
      </c>
      <c r="B14235" s="2" t="s">
        <v>24285</v>
      </c>
      <c r="C14235" s="1" t="s">
        <v>5393</v>
      </c>
      <c r="D14235" s="1" t="s">
        <v>5395</v>
      </c>
    </row>
    <row r="14236">
      <c r="A14236" s="1" t="s">
        <v>24286</v>
      </c>
      <c r="B14236" s="2" t="s">
        <v>24287</v>
      </c>
      <c r="C14236" s="1" t="s">
        <v>5393</v>
      </c>
      <c r="D14236" s="1" t="s">
        <v>5395</v>
      </c>
    </row>
    <row r="14237">
      <c r="A14237" s="1" t="s">
        <v>24288</v>
      </c>
      <c r="B14237" s="2" t="s">
        <v>24289</v>
      </c>
      <c r="C14237" s="1" t="s">
        <v>5393</v>
      </c>
      <c r="D14237" s="1" t="s">
        <v>5395</v>
      </c>
    </row>
    <row r="14238">
      <c r="A14238" s="1" t="s">
        <v>24290</v>
      </c>
      <c r="B14238" s="2" t="s">
        <v>24291</v>
      </c>
      <c r="C14238" s="1" t="s">
        <v>5393</v>
      </c>
      <c r="D14238" s="1" t="s">
        <v>5395</v>
      </c>
    </row>
    <row r="14239">
      <c r="A14239" s="1" t="s">
        <v>24292</v>
      </c>
      <c r="B14239" s="2" t="s">
        <v>24293</v>
      </c>
      <c r="C14239" s="1" t="s">
        <v>5393</v>
      </c>
      <c r="D14239" s="1" t="s">
        <v>5395</v>
      </c>
    </row>
    <row r="14240">
      <c r="A14240" s="1" t="s">
        <v>24294</v>
      </c>
      <c r="B14240" s="2" t="s">
        <v>24295</v>
      </c>
      <c r="C14240" s="1" t="s">
        <v>5393</v>
      </c>
      <c r="D14240" s="1" t="s">
        <v>5395</v>
      </c>
    </row>
    <row r="14241">
      <c r="A14241" s="1" t="s">
        <v>24296</v>
      </c>
      <c r="B14241" s="2" t="s">
        <v>24297</v>
      </c>
      <c r="C14241" s="1" t="s">
        <v>5393</v>
      </c>
      <c r="D14241" s="1" t="s">
        <v>5395</v>
      </c>
    </row>
    <row r="14242">
      <c r="A14242" s="1" t="s">
        <v>24298</v>
      </c>
      <c r="B14242" s="2" t="s">
        <v>24299</v>
      </c>
      <c r="C14242" s="1" t="s">
        <v>5393</v>
      </c>
      <c r="D14242" s="1" t="s">
        <v>5395</v>
      </c>
    </row>
    <row r="14243">
      <c r="A14243" s="1" t="s">
        <v>24300</v>
      </c>
      <c r="B14243" s="2" t="s">
        <v>24301</v>
      </c>
      <c r="C14243" s="1" t="s">
        <v>5393</v>
      </c>
      <c r="D14243" s="1" t="s">
        <v>5395</v>
      </c>
    </row>
    <row r="14244">
      <c r="A14244" s="1" t="s">
        <v>24302</v>
      </c>
      <c r="B14244" s="2" t="s">
        <v>24303</v>
      </c>
      <c r="C14244" s="1" t="s">
        <v>5393</v>
      </c>
      <c r="D14244" s="1" t="s">
        <v>5395</v>
      </c>
    </row>
    <row r="14245">
      <c r="A14245" s="1" t="s">
        <v>24304</v>
      </c>
      <c r="B14245" s="2" t="s">
        <v>24305</v>
      </c>
      <c r="C14245" s="1" t="s">
        <v>5393</v>
      </c>
      <c r="D14245" s="1" t="s">
        <v>5395</v>
      </c>
    </row>
    <row r="14246">
      <c r="A14246" s="1" t="s">
        <v>24306</v>
      </c>
      <c r="B14246" s="2" t="s">
        <v>24307</v>
      </c>
      <c r="C14246" s="1" t="s">
        <v>5393</v>
      </c>
      <c r="D14246" s="1" t="s">
        <v>5395</v>
      </c>
    </row>
    <row r="14247">
      <c r="A14247" s="1" t="s">
        <v>24308</v>
      </c>
      <c r="B14247" s="2" t="s">
        <v>24309</v>
      </c>
      <c r="C14247" s="1" t="s">
        <v>5393</v>
      </c>
      <c r="D14247" s="1" t="s">
        <v>5395</v>
      </c>
    </row>
    <row r="14248">
      <c r="A14248" s="1" t="s">
        <v>24310</v>
      </c>
      <c r="B14248" s="2" t="s">
        <v>24311</v>
      </c>
      <c r="C14248" s="1" t="s">
        <v>5393</v>
      </c>
      <c r="D14248" s="1" t="s">
        <v>5395</v>
      </c>
    </row>
    <row r="14249">
      <c r="A14249" s="1" t="s">
        <v>24312</v>
      </c>
      <c r="B14249" s="2" t="s">
        <v>24313</v>
      </c>
      <c r="C14249" s="1" t="s">
        <v>5393</v>
      </c>
      <c r="D14249" s="1" t="s">
        <v>5395</v>
      </c>
    </row>
    <row r="14250">
      <c r="A14250" s="1" t="s">
        <v>24314</v>
      </c>
      <c r="B14250" s="2" t="s">
        <v>24315</v>
      </c>
      <c r="C14250" s="1" t="s">
        <v>5393</v>
      </c>
      <c r="D14250" s="1" t="s">
        <v>5395</v>
      </c>
    </row>
    <row r="14251">
      <c r="A14251" s="1" t="s">
        <v>24316</v>
      </c>
      <c r="B14251" s="2" t="s">
        <v>24317</v>
      </c>
      <c r="C14251" s="1" t="s">
        <v>5393</v>
      </c>
      <c r="D14251" s="1" t="s">
        <v>5395</v>
      </c>
    </row>
    <row r="14252">
      <c r="A14252" s="1" t="s">
        <v>24318</v>
      </c>
      <c r="B14252" s="2" t="s">
        <v>24319</v>
      </c>
      <c r="C14252" s="1" t="s">
        <v>5393</v>
      </c>
      <c r="D14252" s="1" t="s">
        <v>5395</v>
      </c>
    </row>
    <row r="14253">
      <c r="A14253" s="1" t="s">
        <v>24320</v>
      </c>
      <c r="B14253" s="2" t="s">
        <v>24321</v>
      </c>
      <c r="C14253" s="1" t="s">
        <v>5393</v>
      </c>
      <c r="D14253" s="1" t="s">
        <v>5395</v>
      </c>
    </row>
    <row r="14254">
      <c r="A14254" s="1" t="s">
        <v>24322</v>
      </c>
      <c r="B14254" s="2" t="s">
        <v>24323</v>
      </c>
      <c r="C14254" s="1" t="s">
        <v>5393</v>
      </c>
      <c r="D14254" s="1" t="s">
        <v>5395</v>
      </c>
    </row>
    <row r="14255">
      <c r="A14255" s="1" t="s">
        <v>24324</v>
      </c>
      <c r="B14255" s="2" t="s">
        <v>24325</v>
      </c>
      <c r="C14255" s="1" t="s">
        <v>5393</v>
      </c>
      <c r="D14255" s="1" t="s">
        <v>5395</v>
      </c>
    </row>
    <row r="14256">
      <c r="A14256" s="1" t="s">
        <v>24326</v>
      </c>
      <c r="B14256" s="2" t="s">
        <v>24327</v>
      </c>
      <c r="C14256" s="1" t="s">
        <v>5393</v>
      </c>
      <c r="D14256" s="1" t="s">
        <v>5395</v>
      </c>
    </row>
    <row r="14257">
      <c r="A14257" s="1" t="s">
        <v>24328</v>
      </c>
      <c r="B14257" s="2" t="s">
        <v>16170</v>
      </c>
      <c r="C14257" s="1" t="s">
        <v>5393</v>
      </c>
      <c r="D14257" s="1" t="s">
        <v>5395</v>
      </c>
    </row>
    <row r="14258">
      <c r="A14258" s="1" t="s">
        <v>24329</v>
      </c>
      <c r="B14258" s="2" t="s">
        <v>24330</v>
      </c>
      <c r="C14258" s="1" t="s">
        <v>5393</v>
      </c>
      <c r="D14258" s="1" t="s">
        <v>5395</v>
      </c>
    </row>
    <row r="14259">
      <c r="A14259" s="1" t="s">
        <v>24331</v>
      </c>
      <c r="B14259" s="2" t="s">
        <v>24332</v>
      </c>
      <c r="C14259" s="1" t="s">
        <v>5393</v>
      </c>
      <c r="D14259" s="1" t="s">
        <v>5395</v>
      </c>
    </row>
    <row r="14260">
      <c r="A14260" s="1" t="s">
        <v>24333</v>
      </c>
      <c r="B14260" s="2" t="s">
        <v>24334</v>
      </c>
      <c r="C14260" s="1" t="s">
        <v>5393</v>
      </c>
      <c r="D14260" s="1" t="s">
        <v>5395</v>
      </c>
    </row>
    <row r="14261">
      <c r="A14261" s="1" t="s">
        <v>24335</v>
      </c>
      <c r="B14261" s="2" t="s">
        <v>24336</v>
      </c>
      <c r="C14261" s="1" t="s">
        <v>5393</v>
      </c>
      <c r="D14261" s="1" t="s">
        <v>5395</v>
      </c>
    </row>
    <row r="14262">
      <c r="A14262" s="1" t="s">
        <v>24337</v>
      </c>
      <c r="B14262" s="2" t="s">
        <v>24338</v>
      </c>
      <c r="C14262" s="1" t="s">
        <v>5393</v>
      </c>
      <c r="D14262" s="1" t="s">
        <v>5395</v>
      </c>
    </row>
    <row r="14263">
      <c r="A14263" s="1" t="s">
        <v>24339</v>
      </c>
      <c r="B14263" s="2" t="s">
        <v>24340</v>
      </c>
      <c r="C14263" s="1" t="s">
        <v>5393</v>
      </c>
      <c r="D14263" s="1" t="s">
        <v>5395</v>
      </c>
    </row>
    <row r="14264">
      <c r="A14264" s="1" t="s">
        <v>24341</v>
      </c>
      <c r="B14264" s="2" t="s">
        <v>24342</v>
      </c>
      <c r="C14264" s="1" t="s">
        <v>5393</v>
      </c>
      <c r="D14264" s="1" t="s">
        <v>5395</v>
      </c>
    </row>
    <row r="14265">
      <c r="A14265" s="1" t="s">
        <v>24343</v>
      </c>
      <c r="B14265" s="2" t="s">
        <v>24344</v>
      </c>
      <c r="C14265" s="1" t="s">
        <v>5393</v>
      </c>
      <c r="D14265" s="1" t="s">
        <v>5395</v>
      </c>
    </row>
    <row r="14266">
      <c r="A14266" s="1" t="s">
        <v>24345</v>
      </c>
      <c r="B14266" s="2" t="s">
        <v>24346</v>
      </c>
      <c r="C14266" s="1" t="s">
        <v>5393</v>
      </c>
      <c r="D14266" s="1" t="s">
        <v>5395</v>
      </c>
    </row>
    <row r="14267">
      <c r="A14267" s="1" t="s">
        <v>24347</v>
      </c>
      <c r="B14267" s="2" t="s">
        <v>24348</v>
      </c>
      <c r="C14267" s="1" t="s">
        <v>5393</v>
      </c>
      <c r="D14267" s="1" t="s">
        <v>5395</v>
      </c>
    </row>
    <row r="14268">
      <c r="A14268" s="1" t="s">
        <v>24349</v>
      </c>
      <c r="B14268" s="2" t="s">
        <v>24350</v>
      </c>
      <c r="C14268" s="1" t="s">
        <v>5393</v>
      </c>
      <c r="D14268" s="1" t="s">
        <v>5395</v>
      </c>
    </row>
    <row r="14269">
      <c r="A14269" s="1" t="s">
        <v>24351</v>
      </c>
      <c r="B14269" s="2" t="s">
        <v>24352</v>
      </c>
      <c r="C14269" s="1" t="s">
        <v>5393</v>
      </c>
      <c r="D14269" s="1" t="s">
        <v>5395</v>
      </c>
    </row>
    <row r="14270">
      <c r="A14270" s="1" t="s">
        <v>24353</v>
      </c>
      <c r="B14270" s="2" t="s">
        <v>24354</v>
      </c>
      <c r="C14270" s="1" t="s">
        <v>5393</v>
      </c>
      <c r="D14270" s="1" t="s">
        <v>5395</v>
      </c>
    </row>
    <row r="14271">
      <c r="A14271" s="1" t="s">
        <v>24355</v>
      </c>
      <c r="B14271" s="2" t="s">
        <v>24356</v>
      </c>
      <c r="C14271" s="1" t="s">
        <v>5393</v>
      </c>
      <c r="D14271" s="1" t="s">
        <v>5395</v>
      </c>
    </row>
    <row r="14272">
      <c r="A14272" s="1" t="s">
        <v>24357</v>
      </c>
      <c r="B14272" s="2" t="s">
        <v>24358</v>
      </c>
      <c r="C14272" s="1" t="s">
        <v>5393</v>
      </c>
      <c r="D14272" s="1" t="s">
        <v>5395</v>
      </c>
    </row>
    <row r="14273">
      <c r="A14273" s="1" t="s">
        <v>24359</v>
      </c>
      <c r="B14273" s="2" t="s">
        <v>24360</v>
      </c>
      <c r="C14273" s="1" t="s">
        <v>5393</v>
      </c>
      <c r="D14273" s="1" t="s">
        <v>5395</v>
      </c>
    </row>
    <row r="14274">
      <c r="A14274" s="1" t="s">
        <v>24361</v>
      </c>
      <c r="B14274" s="2" t="s">
        <v>24362</v>
      </c>
      <c r="C14274" s="1" t="s">
        <v>5393</v>
      </c>
      <c r="D14274" s="1" t="s">
        <v>5395</v>
      </c>
    </row>
    <row r="14275">
      <c r="A14275" s="1" t="s">
        <v>24363</v>
      </c>
      <c r="B14275" s="2" t="s">
        <v>24364</v>
      </c>
      <c r="C14275" s="1" t="s">
        <v>5393</v>
      </c>
      <c r="D14275" s="1" t="s">
        <v>5395</v>
      </c>
    </row>
    <row r="14276">
      <c r="A14276" s="1" t="s">
        <v>24365</v>
      </c>
      <c r="B14276" s="2" t="s">
        <v>24366</v>
      </c>
      <c r="C14276" s="1" t="s">
        <v>5393</v>
      </c>
      <c r="D14276" s="1" t="s">
        <v>5395</v>
      </c>
    </row>
    <row r="14277">
      <c r="A14277" s="1" t="s">
        <v>24367</v>
      </c>
      <c r="B14277" s="2" t="s">
        <v>24368</v>
      </c>
      <c r="C14277" s="1" t="s">
        <v>5393</v>
      </c>
      <c r="D14277" s="1" t="s">
        <v>5395</v>
      </c>
    </row>
    <row r="14278">
      <c r="A14278" s="1" t="s">
        <v>24369</v>
      </c>
      <c r="B14278" s="2" t="s">
        <v>24370</v>
      </c>
      <c r="C14278" s="1" t="s">
        <v>5393</v>
      </c>
      <c r="D14278" s="1" t="s">
        <v>5395</v>
      </c>
    </row>
    <row r="14279">
      <c r="A14279" s="1" t="s">
        <v>24371</v>
      </c>
      <c r="B14279" s="2" t="s">
        <v>24372</v>
      </c>
      <c r="C14279" s="1" t="s">
        <v>5393</v>
      </c>
      <c r="D14279" s="1" t="s">
        <v>5395</v>
      </c>
    </row>
    <row r="14280">
      <c r="A14280" s="1" t="s">
        <v>24373</v>
      </c>
      <c r="B14280" s="2" t="s">
        <v>24374</v>
      </c>
      <c r="C14280" s="1" t="s">
        <v>5393</v>
      </c>
      <c r="D14280" s="1" t="s">
        <v>5395</v>
      </c>
    </row>
    <row r="14281">
      <c r="A14281" s="1" t="s">
        <v>24375</v>
      </c>
      <c r="B14281" s="2" t="s">
        <v>24376</v>
      </c>
      <c r="C14281" s="1" t="s">
        <v>5393</v>
      </c>
      <c r="D14281" s="1" t="s">
        <v>5395</v>
      </c>
    </row>
    <row r="14282">
      <c r="A14282" s="1" t="s">
        <v>24377</v>
      </c>
      <c r="B14282" s="2" t="s">
        <v>24378</v>
      </c>
      <c r="C14282" s="1" t="s">
        <v>5393</v>
      </c>
      <c r="D14282" s="1" t="s">
        <v>5395</v>
      </c>
    </row>
    <row r="14283">
      <c r="A14283" s="1" t="s">
        <v>24379</v>
      </c>
      <c r="B14283" s="2" t="s">
        <v>24380</v>
      </c>
      <c r="C14283" s="1" t="s">
        <v>5393</v>
      </c>
      <c r="D14283" s="1" t="s">
        <v>5395</v>
      </c>
    </row>
    <row r="14284">
      <c r="A14284" s="1" t="s">
        <v>24381</v>
      </c>
      <c r="B14284" s="2" t="s">
        <v>24382</v>
      </c>
      <c r="C14284" s="1" t="s">
        <v>5393</v>
      </c>
      <c r="D14284" s="1" t="s">
        <v>5395</v>
      </c>
    </row>
    <row r="14285">
      <c r="A14285" s="1" t="s">
        <v>24383</v>
      </c>
      <c r="B14285" s="2" t="s">
        <v>24384</v>
      </c>
      <c r="C14285" s="1" t="s">
        <v>5393</v>
      </c>
      <c r="D14285" s="1" t="s">
        <v>5395</v>
      </c>
    </row>
    <row r="14286">
      <c r="A14286" s="1" t="s">
        <v>24385</v>
      </c>
      <c r="B14286" s="2" t="s">
        <v>24386</v>
      </c>
      <c r="C14286" s="1" t="s">
        <v>5393</v>
      </c>
      <c r="D14286" s="1" t="s">
        <v>5395</v>
      </c>
    </row>
    <row r="14287">
      <c r="A14287" s="1" t="s">
        <v>24387</v>
      </c>
      <c r="B14287" s="2" t="s">
        <v>24388</v>
      </c>
      <c r="C14287" s="1" t="s">
        <v>5393</v>
      </c>
      <c r="D14287" s="1" t="s">
        <v>5395</v>
      </c>
    </row>
    <row r="14288">
      <c r="A14288" s="1" t="s">
        <v>24389</v>
      </c>
      <c r="B14288" s="2" t="s">
        <v>24390</v>
      </c>
      <c r="C14288" s="1" t="s">
        <v>5393</v>
      </c>
      <c r="D14288" s="1" t="s">
        <v>5395</v>
      </c>
    </row>
    <row r="14289">
      <c r="A14289" s="1" t="s">
        <v>24391</v>
      </c>
      <c r="B14289" s="2" t="s">
        <v>24392</v>
      </c>
      <c r="C14289" s="1" t="s">
        <v>5393</v>
      </c>
      <c r="D14289" s="1" t="s">
        <v>5395</v>
      </c>
    </row>
    <row r="14290">
      <c r="A14290" s="1" t="s">
        <v>24393</v>
      </c>
      <c r="B14290" s="2" t="s">
        <v>24394</v>
      </c>
      <c r="C14290" s="1" t="s">
        <v>5393</v>
      </c>
      <c r="D14290" s="1" t="s">
        <v>5395</v>
      </c>
    </row>
    <row r="14291">
      <c r="A14291" s="1" t="s">
        <v>24395</v>
      </c>
      <c r="B14291" s="2" t="s">
        <v>24396</v>
      </c>
      <c r="C14291" s="1" t="s">
        <v>5393</v>
      </c>
      <c r="D14291" s="1" t="s">
        <v>5395</v>
      </c>
    </row>
    <row r="14292">
      <c r="A14292" s="1" t="s">
        <v>24397</v>
      </c>
      <c r="B14292" s="2" t="s">
        <v>24398</v>
      </c>
      <c r="C14292" s="1" t="s">
        <v>5393</v>
      </c>
      <c r="D14292" s="1" t="s">
        <v>5395</v>
      </c>
    </row>
    <row r="14293">
      <c r="A14293" s="1" t="s">
        <v>24399</v>
      </c>
      <c r="B14293" s="2" t="s">
        <v>24400</v>
      </c>
      <c r="C14293" s="1" t="s">
        <v>5393</v>
      </c>
      <c r="D14293" s="1" t="s">
        <v>5395</v>
      </c>
    </row>
    <row r="14294">
      <c r="A14294" s="1" t="s">
        <v>24401</v>
      </c>
      <c r="B14294" s="2" t="s">
        <v>24402</v>
      </c>
      <c r="C14294" s="1" t="s">
        <v>5393</v>
      </c>
      <c r="D14294" s="1" t="s">
        <v>5395</v>
      </c>
    </row>
    <row r="14295">
      <c r="A14295" s="1" t="s">
        <v>24403</v>
      </c>
      <c r="B14295" s="2" t="s">
        <v>24404</v>
      </c>
      <c r="C14295" s="1" t="s">
        <v>5393</v>
      </c>
      <c r="D14295" s="1" t="s">
        <v>5395</v>
      </c>
    </row>
    <row r="14296">
      <c r="A14296" s="1" t="s">
        <v>24405</v>
      </c>
      <c r="B14296" s="2" t="s">
        <v>24406</v>
      </c>
      <c r="C14296" s="1" t="s">
        <v>5393</v>
      </c>
      <c r="D14296" s="1" t="s">
        <v>5395</v>
      </c>
    </row>
    <row r="14297">
      <c r="A14297" s="1" t="s">
        <v>24407</v>
      </c>
      <c r="B14297" s="2" t="s">
        <v>24408</v>
      </c>
      <c r="C14297" s="1" t="s">
        <v>5393</v>
      </c>
      <c r="D14297" s="1" t="s">
        <v>5395</v>
      </c>
    </row>
    <row r="14298">
      <c r="A14298" s="1" t="s">
        <v>24409</v>
      </c>
      <c r="B14298" s="2" t="s">
        <v>24410</v>
      </c>
      <c r="C14298" s="1" t="s">
        <v>5393</v>
      </c>
      <c r="D14298" s="1" t="s">
        <v>5395</v>
      </c>
    </row>
    <row r="14299">
      <c r="A14299" s="1" t="s">
        <v>24411</v>
      </c>
      <c r="B14299" s="2" t="s">
        <v>24412</v>
      </c>
      <c r="C14299" s="1" t="s">
        <v>5393</v>
      </c>
      <c r="D14299" s="1" t="s">
        <v>5395</v>
      </c>
    </row>
    <row r="14300">
      <c r="A14300" s="1" t="s">
        <v>24413</v>
      </c>
      <c r="B14300" s="2" t="s">
        <v>24414</v>
      </c>
      <c r="C14300" s="1" t="s">
        <v>5393</v>
      </c>
      <c r="D14300" s="1" t="s">
        <v>5395</v>
      </c>
    </row>
    <row r="14301">
      <c r="A14301" s="1" t="s">
        <v>24415</v>
      </c>
      <c r="B14301" s="2" t="s">
        <v>24416</v>
      </c>
      <c r="C14301" s="1" t="s">
        <v>5393</v>
      </c>
      <c r="D14301" s="1" t="s">
        <v>5395</v>
      </c>
    </row>
    <row r="14302">
      <c r="A14302" s="1" t="s">
        <v>24417</v>
      </c>
      <c r="B14302" s="2" t="s">
        <v>20363</v>
      </c>
      <c r="C14302" s="1" t="s">
        <v>5393</v>
      </c>
      <c r="D14302" s="1" t="s">
        <v>5395</v>
      </c>
    </row>
    <row r="14303">
      <c r="A14303" s="1" t="s">
        <v>24418</v>
      </c>
      <c r="B14303" s="2" t="s">
        <v>24419</v>
      </c>
      <c r="C14303" s="1" t="s">
        <v>5393</v>
      </c>
      <c r="D14303" s="1" t="s">
        <v>5395</v>
      </c>
    </row>
    <row r="14304">
      <c r="A14304" s="1" t="s">
        <v>24420</v>
      </c>
      <c r="B14304" s="2" t="s">
        <v>24421</v>
      </c>
      <c r="C14304" s="1" t="s">
        <v>5393</v>
      </c>
      <c r="D14304" s="1" t="s">
        <v>5395</v>
      </c>
    </row>
    <row r="14305">
      <c r="A14305" s="1" t="s">
        <v>24422</v>
      </c>
      <c r="B14305" s="2" t="s">
        <v>24423</v>
      </c>
      <c r="C14305" s="1" t="s">
        <v>5393</v>
      </c>
      <c r="D14305" s="1" t="s">
        <v>5395</v>
      </c>
    </row>
    <row r="14306">
      <c r="A14306" s="1" t="s">
        <v>24424</v>
      </c>
      <c r="B14306" s="2" t="s">
        <v>24425</v>
      </c>
      <c r="C14306" s="1" t="s">
        <v>5393</v>
      </c>
      <c r="D14306" s="1" t="s">
        <v>5395</v>
      </c>
    </row>
    <row r="14307">
      <c r="A14307" s="1" t="s">
        <v>24426</v>
      </c>
      <c r="B14307" s="2" t="s">
        <v>70</v>
      </c>
      <c r="C14307" s="1" t="s">
        <v>5393</v>
      </c>
      <c r="D14307" s="1" t="s">
        <v>5395</v>
      </c>
    </row>
    <row r="14308">
      <c r="A14308" s="1" t="s">
        <v>24427</v>
      </c>
      <c r="B14308" s="2" t="s">
        <v>24428</v>
      </c>
      <c r="C14308" s="1" t="s">
        <v>5393</v>
      </c>
      <c r="D14308" s="1" t="s">
        <v>5395</v>
      </c>
    </row>
    <row r="14309">
      <c r="A14309" s="1" t="s">
        <v>24429</v>
      </c>
      <c r="B14309" s="2" t="s">
        <v>24430</v>
      </c>
      <c r="C14309" s="1" t="s">
        <v>5393</v>
      </c>
      <c r="D14309" s="1" t="s">
        <v>5395</v>
      </c>
    </row>
    <row r="14310">
      <c r="A14310" s="1" t="s">
        <v>24431</v>
      </c>
      <c r="B14310" s="2" t="s">
        <v>24432</v>
      </c>
      <c r="C14310" s="1" t="s">
        <v>5393</v>
      </c>
      <c r="D14310" s="1" t="s">
        <v>5395</v>
      </c>
    </row>
    <row r="14311">
      <c r="A14311" s="1" t="s">
        <v>24433</v>
      </c>
      <c r="B14311" s="2" t="s">
        <v>24434</v>
      </c>
      <c r="C14311" s="1" t="s">
        <v>5393</v>
      </c>
      <c r="D14311" s="1" t="s">
        <v>5395</v>
      </c>
    </row>
    <row r="14312">
      <c r="A14312" s="1" t="s">
        <v>24435</v>
      </c>
      <c r="B14312" s="2" t="s">
        <v>24436</v>
      </c>
      <c r="C14312" s="1" t="s">
        <v>5393</v>
      </c>
      <c r="D14312" s="1" t="s">
        <v>5395</v>
      </c>
    </row>
    <row r="14313">
      <c r="A14313" s="1" t="s">
        <v>24437</v>
      </c>
      <c r="B14313" s="2" t="s">
        <v>24438</v>
      </c>
      <c r="C14313" s="1" t="s">
        <v>5393</v>
      </c>
      <c r="D14313" s="1" t="s">
        <v>5395</v>
      </c>
    </row>
    <row r="14314">
      <c r="A14314" s="1" t="s">
        <v>24439</v>
      </c>
      <c r="B14314" s="2" t="s">
        <v>24440</v>
      </c>
      <c r="C14314" s="1" t="s">
        <v>5393</v>
      </c>
      <c r="D14314" s="1" t="s">
        <v>5395</v>
      </c>
    </row>
    <row r="14315">
      <c r="A14315" s="1" t="s">
        <v>24441</v>
      </c>
      <c r="B14315" s="2" t="s">
        <v>24442</v>
      </c>
      <c r="C14315" s="1" t="s">
        <v>5393</v>
      </c>
      <c r="D14315" s="1" t="s">
        <v>5395</v>
      </c>
    </row>
    <row r="14316">
      <c r="A14316" s="1" t="s">
        <v>24443</v>
      </c>
      <c r="B14316" s="2" t="s">
        <v>24444</v>
      </c>
      <c r="C14316" s="1" t="s">
        <v>5393</v>
      </c>
      <c r="D14316" s="1" t="s">
        <v>5395</v>
      </c>
    </row>
    <row r="14317">
      <c r="A14317" s="1" t="s">
        <v>24445</v>
      </c>
      <c r="B14317" s="2" t="s">
        <v>24446</v>
      </c>
      <c r="C14317" s="1" t="s">
        <v>5393</v>
      </c>
      <c r="D14317" s="1" t="s">
        <v>5395</v>
      </c>
    </row>
    <row r="14318">
      <c r="A14318" s="1" t="s">
        <v>24447</v>
      </c>
      <c r="B14318" s="2" t="s">
        <v>24448</v>
      </c>
      <c r="C14318" s="1" t="s">
        <v>5393</v>
      </c>
      <c r="D14318" s="1" t="s">
        <v>5395</v>
      </c>
    </row>
    <row r="14319">
      <c r="A14319" s="1" t="s">
        <v>24449</v>
      </c>
      <c r="B14319" s="2" t="s">
        <v>24450</v>
      </c>
      <c r="C14319" s="1" t="s">
        <v>5393</v>
      </c>
      <c r="D14319" s="1" t="s">
        <v>5395</v>
      </c>
    </row>
    <row r="14320">
      <c r="A14320" s="1" t="s">
        <v>24451</v>
      </c>
      <c r="B14320" s="2" t="s">
        <v>24452</v>
      </c>
      <c r="C14320" s="1" t="s">
        <v>5393</v>
      </c>
      <c r="D14320" s="1" t="s">
        <v>5395</v>
      </c>
    </row>
    <row r="14321">
      <c r="A14321" s="1" t="s">
        <v>24453</v>
      </c>
      <c r="B14321" s="2" t="s">
        <v>24454</v>
      </c>
      <c r="C14321" s="1" t="s">
        <v>5393</v>
      </c>
      <c r="D14321" s="1" t="s">
        <v>5395</v>
      </c>
    </row>
    <row r="14322">
      <c r="A14322" s="1" t="s">
        <v>24455</v>
      </c>
      <c r="B14322" s="2" t="s">
        <v>24456</v>
      </c>
      <c r="C14322" s="1" t="s">
        <v>5393</v>
      </c>
      <c r="D14322" s="1" t="s">
        <v>5395</v>
      </c>
    </row>
    <row r="14323">
      <c r="A14323" s="1" t="s">
        <v>24457</v>
      </c>
      <c r="B14323" s="2" t="s">
        <v>24458</v>
      </c>
      <c r="C14323" s="1" t="s">
        <v>5393</v>
      </c>
      <c r="D14323" s="1" t="s">
        <v>5395</v>
      </c>
    </row>
    <row r="14324">
      <c r="A14324" s="1" t="s">
        <v>24459</v>
      </c>
      <c r="B14324" s="2" t="s">
        <v>24460</v>
      </c>
      <c r="C14324" s="1" t="s">
        <v>5393</v>
      </c>
      <c r="D14324" s="1" t="s">
        <v>5395</v>
      </c>
    </row>
    <row r="14325">
      <c r="A14325" s="1" t="s">
        <v>24461</v>
      </c>
      <c r="B14325" s="2" t="s">
        <v>24462</v>
      </c>
      <c r="C14325" s="1" t="s">
        <v>5393</v>
      </c>
      <c r="D14325" s="1" t="s">
        <v>5395</v>
      </c>
    </row>
    <row r="14326">
      <c r="A14326" s="1" t="s">
        <v>24463</v>
      </c>
      <c r="B14326" s="2" t="s">
        <v>24464</v>
      </c>
      <c r="C14326" s="1" t="s">
        <v>5393</v>
      </c>
      <c r="D14326" s="1" t="s">
        <v>5395</v>
      </c>
    </row>
    <row r="14327">
      <c r="A14327" s="1" t="s">
        <v>24465</v>
      </c>
      <c r="B14327" s="2" t="s">
        <v>24466</v>
      </c>
      <c r="C14327" s="1" t="s">
        <v>5393</v>
      </c>
      <c r="D14327" s="1" t="s">
        <v>5395</v>
      </c>
    </row>
    <row r="14328">
      <c r="A14328" s="1" t="s">
        <v>24467</v>
      </c>
      <c r="B14328" s="2" t="s">
        <v>24468</v>
      </c>
      <c r="C14328" s="1" t="s">
        <v>5393</v>
      </c>
      <c r="D14328" s="1" t="s">
        <v>5395</v>
      </c>
    </row>
    <row r="14329">
      <c r="A14329" s="1" t="s">
        <v>24469</v>
      </c>
      <c r="B14329" s="2" t="s">
        <v>24470</v>
      </c>
      <c r="C14329" s="1" t="s">
        <v>5393</v>
      </c>
      <c r="D14329" s="1" t="s">
        <v>5395</v>
      </c>
    </row>
    <row r="14330">
      <c r="A14330" s="1" t="s">
        <v>24471</v>
      </c>
      <c r="B14330" s="2" t="s">
        <v>24472</v>
      </c>
      <c r="C14330" s="1" t="s">
        <v>5393</v>
      </c>
      <c r="D14330" s="1" t="s">
        <v>5395</v>
      </c>
    </row>
    <row r="14331">
      <c r="A14331" s="1" t="s">
        <v>24473</v>
      </c>
      <c r="B14331" s="2" t="s">
        <v>24474</v>
      </c>
      <c r="C14331" s="1" t="s">
        <v>5393</v>
      </c>
      <c r="D14331" s="1" t="s">
        <v>5395</v>
      </c>
    </row>
    <row r="14332">
      <c r="A14332" s="1" t="s">
        <v>24475</v>
      </c>
      <c r="B14332" s="2" t="s">
        <v>24476</v>
      </c>
      <c r="C14332" s="1" t="s">
        <v>5393</v>
      </c>
      <c r="D14332" s="1" t="s">
        <v>5395</v>
      </c>
    </row>
    <row r="14333">
      <c r="A14333" s="1" t="s">
        <v>24477</v>
      </c>
      <c r="B14333" s="2" t="s">
        <v>24478</v>
      </c>
      <c r="C14333" s="1" t="s">
        <v>5393</v>
      </c>
      <c r="D14333" s="1" t="s">
        <v>5395</v>
      </c>
    </row>
    <row r="14334">
      <c r="A14334" s="1" t="s">
        <v>24479</v>
      </c>
      <c r="B14334" s="2" t="s">
        <v>24480</v>
      </c>
      <c r="C14334" s="1" t="s">
        <v>5393</v>
      </c>
      <c r="D14334" s="1" t="s">
        <v>5395</v>
      </c>
    </row>
    <row r="14335">
      <c r="A14335" s="1" t="s">
        <v>24481</v>
      </c>
      <c r="B14335" s="2" t="s">
        <v>24482</v>
      </c>
      <c r="C14335" s="1" t="s">
        <v>5393</v>
      </c>
      <c r="D14335" s="1" t="s">
        <v>5395</v>
      </c>
    </row>
    <row r="14336">
      <c r="A14336" s="1" t="s">
        <v>24483</v>
      </c>
      <c r="B14336" s="2" t="s">
        <v>24484</v>
      </c>
      <c r="C14336" s="1" t="s">
        <v>5393</v>
      </c>
      <c r="D14336" s="1" t="s">
        <v>5395</v>
      </c>
    </row>
    <row r="14337">
      <c r="A14337" s="1" t="s">
        <v>24485</v>
      </c>
      <c r="B14337" s="2" t="s">
        <v>24486</v>
      </c>
      <c r="C14337" s="1" t="s">
        <v>5393</v>
      </c>
      <c r="D14337" s="1" t="s">
        <v>5395</v>
      </c>
    </row>
    <row r="14338">
      <c r="A14338" s="1" t="s">
        <v>24487</v>
      </c>
      <c r="B14338" s="2" t="s">
        <v>24488</v>
      </c>
      <c r="C14338" s="1" t="s">
        <v>5393</v>
      </c>
      <c r="D14338" s="1" t="s">
        <v>5395</v>
      </c>
    </row>
    <row r="14339">
      <c r="A14339" s="1" t="s">
        <v>24489</v>
      </c>
      <c r="B14339" s="2" t="s">
        <v>24490</v>
      </c>
      <c r="C14339" s="1" t="s">
        <v>5393</v>
      </c>
      <c r="D14339" s="1" t="s">
        <v>5395</v>
      </c>
    </row>
    <row r="14340">
      <c r="A14340" s="1" t="s">
        <v>24491</v>
      </c>
      <c r="B14340" s="2" t="s">
        <v>24492</v>
      </c>
      <c r="C14340" s="1" t="s">
        <v>5393</v>
      </c>
      <c r="D14340" s="1" t="s">
        <v>5395</v>
      </c>
    </row>
    <row r="14341">
      <c r="A14341" s="1" t="s">
        <v>24493</v>
      </c>
      <c r="B14341" s="2" t="s">
        <v>24494</v>
      </c>
      <c r="C14341" s="1" t="s">
        <v>5393</v>
      </c>
      <c r="D14341" s="1" t="s">
        <v>5395</v>
      </c>
    </row>
    <row r="14342">
      <c r="A14342" s="1" t="s">
        <v>24495</v>
      </c>
      <c r="B14342" s="2" t="s">
        <v>24496</v>
      </c>
      <c r="C14342" s="1" t="s">
        <v>5393</v>
      </c>
      <c r="D14342" s="1" t="s">
        <v>5395</v>
      </c>
    </row>
    <row r="14343">
      <c r="A14343" s="1" t="s">
        <v>24497</v>
      </c>
      <c r="B14343" s="2" t="s">
        <v>16251</v>
      </c>
      <c r="C14343" s="1" t="s">
        <v>5393</v>
      </c>
      <c r="D14343" s="1" t="s">
        <v>5395</v>
      </c>
    </row>
    <row r="14344">
      <c r="A14344" s="1" t="s">
        <v>24498</v>
      </c>
      <c r="B14344" s="2" t="s">
        <v>24499</v>
      </c>
      <c r="C14344" s="1" t="s">
        <v>5393</v>
      </c>
      <c r="D14344" s="1" t="s">
        <v>5395</v>
      </c>
    </row>
    <row r="14345">
      <c r="A14345" s="1" t="s">
        <v>24500</v>
      </c>
      <c r="B14345" s="2" t="s">
        <v>24501</v>
      </c>
      <c r="C14345" s="1" t="s">
        <v>5393</v>
      </c>
      <c r="D14345" s="1" t="s">
        <v>5395</v>
      </c>
    </row>
    <row r="14346">
      <c r="A14346" s="1" t="s">
        <v>24502</v>
      </c>
      <c r="B14346" s="2" t="s">
        <v>24503</v>
      </c>
      <c r="C14346" s="1" t="s">
        <v>5393</v>
      </c>
      <c r="D14346" s="1" t="s">
        <v>5395</v>
      </c>
    </row>
    <row r="14347">
      <c r="A14347" s="1" t="s">
        <v>24504</v>
      </c>
      <c r="B14347" s="2" t="s">
        <v>24505</v>
      </c>
      <c r="C14347" s="1" t="s">
        <v>5393</v>
      </c>
      <c r="D14347" s="1" t="s">
        <v>5395</v>
      </c>
    </row>
    <row r="14348">
      <c r="A14348" s="1" t="s">
        <v>24506</v>
      </c>
      <c r="B14348" s="2" t="s">
        <v>24507</v>
      </c>
      <c r="C14348" s="1" t="s">
        <v>5393</v>
      </c>
      <c r="D14348" s="1" t="s">
        <v>5395</v>
      </c>
    </row>
    <row r="14349">
      <c r="A14349" s="1" t="s">
        <v>24508</v>
      </c>
      <c r="B14349" s="2" t="s">
        <v>24509</v>
      </c>
      <c r="C14349" s="1" t="s">
        <v>5393</v>
      </c>
      <c r="D14349" s="1" t="s">
        <v>5395</v>
      </c>
    </row>
    <row r="14350">
      <c r="A14350" s="1" t="s">
        <v>24510</v>
      </c>
      <c r="B14350" s="2" t="s">
        <v>24511</v>
      </c>
      <c r="C14350" s="1" t="s">
        <v>5393</v>
      </c>
      <c r="D14350" s="1" t="s">
        <v>5395</v>
      </c>
    </row>
    <row r="14351">
      <c r="A14351" s="1" t="s">
        <v>24512</v>
      </c>
      <c r="B14351" s="2" t="s">
        <v>24513</v>
      </c>
      <c r="C14351" s="1" t="s">
        <v>5393</v>
      </c>
      <c r="D14351" s="1" t="s">
        <v>5395</v>
      </c>
    </row>
    <row r="14352">
      <c r="A14352" s="1" t="s">
        <v>24514</v>
      </c>
      <c r="B14352" s="2" t="s">
        <v>24515</v>
      </c>
      <c r="C14352" s="1" t="s">
        <v>5393</v>
      </c>
      <c r="D14352" s="1" t="s">
        <v>5395</v>
      </c>
    </row>
    <row r="14353">
      <c r="A14353" s="1" t="s">
        <v>24516</v>
      </c>
      <c r="B14353" s="2" t="s">
        <v>24517</v>
      </c>
      <c r="C14353" s="1" t="s">
        <v>5393</v>
      </c>
      <c r="D14353" s="1" t="s">
        <v>5395</v>
      </c>
    </row>
    <row r="14354">
      <c r="A14354" s="1" t="s">
        <v>24518</v>
      </c>
      <c r="B14354" s="2" t="s">
        <v>24519</v>
      </c>
      <c r="C14354" s="1" t="s">
        <v>5393</v>
      </c>
      <c r="D14354" s="1" t="s">
        <v>5395</v>
      </c>
    </row>
    <row r="14355">
      <c r="A14355" s="1" t="s">
        <v>24520</v>
      </c>
      <c r="B14355" s="2" t="s">
        <v>24521</v>
      </c>
      <c r="C14355" s="1" t="s">
        <v>5393</v>
      </c>
      <c r="D14355" s="1" t="s">
        <v>5395</v>
      </c>
    </row>
    <row r="14356">
      <c r="A14356" s="1" t="s">
        <v>24522</v>
      </c>
      <c r="B14356" s="2" t="s">
        <v>24523</v>
      </c>
      <c r="C14356" s="1" t="s">
        <v>5393</v>
      </c>
      <c r="D14356" s="1" t="s">
        <v>5395</v>
      </c>
    </row>
    <row r="14357">
      <c r="A14357" s="1" t="s">
        <v>24524</v>
      </c>
      <c r="B14357" s="2" t="s">
        <v>24525</v>
      </c>
      <c r="C14357" s="1" t="s">
        <v>5393</v>
      </c>
      <c r="D14357" s="1" t="s">
        <v>5395</v>
      </c>
    </row>
    <row r="14358">
      <c r="A14358" s="1" t="s">
        <v>24526</v>
      </c>
      <c r="B14358" s="2" t="s">
        <v>24527</v>
      </c>
      <c r="C14358" s="1" t="s">
        <v>5393</v>
      </c>
      <c r="D14358" s="1" t="s">
        <v>5395</v>
      </c>
    </row>
    <row r="14359">
      <c r="A14359" s="1" t="s">
        <v>24528</v>
      </c>
      <c r="B14359" s="2" t="s">
        <v>24529</v>
      </c>
      <c r="C14359" s="1" t="s">
        <v>5393</v>
      </c>
      <c r="D14359" s="1" t="s">
        <v>5395</v>
      </c>
    </row>
    <row r="14360">
      <c r="A14360" s="1" t="s">
        <v>24530</v>
      </c>
      <c r="B14360" s="2" t="s">
        <v>24531</v>
      </c>
      <c r="C14360" s="1" t="s">
        <v>5393</v>
      </c>
      <c r="D14360" s="1" t="s">
        <v>5395</v>
      </c>
    </row>
    <row r="14361">
      <c r="A14361" s="1" t="s">
        <v>24532</v>
      </c>
      <c r="B14361" s="2" t="s">
        <v>24533</v>
      </c>
      <c r="C14361" s="1" t="s">
        <v>5393</v>
      </c>
      <c r="D14361" s="1" t="s">
        <v>5395</v>
      </c>
    </row>
    <row r="14362">
      <c r="A14362" s="1" t="s">
        <v>24534</v>
      </c>
      <c r="B14362" s="2" t="s">
        <v>24535</v>
      </c>
      <c r="C14362" s="1" t="s">
        <v>5393</v>
      </c>
      <c r="D14362" s="1" t="s">
        <v>5395</v>
      </c>
    </row>
    <row r="14363">
      <c r="A14363" s="1" t="s">
        <v>24536</v>
      </c>
      <c r="B14363" s="2" t="s">
        <v>24537</v>
      </c>
      <c r="C14363" s="1" t="s">
        <v>5393</v>
      </c>
      <c r="D14363" s="1" t="s">
        <v>5395</v>
      </c>
    </row>
    <row r="14364">
      <c r="A14364" s="1" t="s">
        <v>24538</v>
      </c>
      <c r="B14364" s="2" t="s">
        <v>24539</v>
      </c>
      <c r="C14364" s="1" t="s">
        <v>5393</v>
      </c>
      <c r="D14364" s="1" t="s">
        <v>5395</v>
      </c>
    </row>
    <row r="14365">
      <c r="A14365" s="1" t="s">
        <v>24540</v>
      </c>
      <c r="B14365" s="2" t="s">
        <v>24541</v>
      </c>
      <c r="C14365" s="1" t="s">
        <v>5393</v>
      </c>
      <c r="D14365" s="1" t="s">
        <v>5395</v>
      </c>
    </row>
    <row r="14366">
      <c r="A14366" s="1" t="s">
        <v>24542</v>
      </c>
      <c r="B14366" s="2" t="s">
        <v>24543</v>
      </c>
      <c r="C14366" s="1" t="s">
        <v>5393</v>
      </c>
      <c r="D14366" s="1" t="s">
        <v>5395</v>
      </c>
    </row>
    <row r="14367">
      <c r="A14367" s="1" t="s">
        <v>24544</v>
      </c>
      <c r="B14367" s="2" t="s">
        <v>24545</v>
      </c>
      <c r="C14367" s="1" t="s">
        <v>5393</v>
      </c>
      <c r="D14367" s="1" t="s">
        <v>5395</v>
      </c>
    </row>
    <row r="14368">
      <c r="A14368" s="1" t="s">
        <v>24546</v>
      </c>
      <c r="B14368" s="2" t="s">
        <v>24547</v>
      </c>
      <c r="C14368" s="1" t="s">
        <v>5393</v>
      </c>
      <c r="D14368" s="1" t="s">
        <v>5395</v>
      </c>
    </row>
    <row r="14369">
      <c r="A14369" s="1" t="s">
        <v>24548</v>
      </c>
      <c r="B14369" s="2" t="s">
        <v>24549</v>
      </c>
      <c r="C14369" s="1" t="s">
        <v>5393</v>
      </c>
      <c r="D14369" s="1" t="s">
        <v>5395</v>
      </c>
    </row>
    <row r="14370">
      <c r="A14370" s="1" t="s">
        <v>24550</v>
      </c>
      <c r="B14370" s="2" t="s">
        <v>24551</v>
      </c>
      <c r="C14370" s="1" t="s">
        <v>5393</v>
      </c>
      <c r="D14370" s="1" t="s">
        <v>5395</v>
      </c>
    </row>
    <row r="14371">
      <c r="A14371" s="1" t="s">
        <v>24552</v>
      </c>
      <c r="B14371" s="2" t="s">
        <v>24553</v>
      </c>
      <c r="C14371" s="1" t="s">
        <v>5393</v>
      </c>
      <c r="D14371" s="1" t="s">
        <v>5395</v>
      </c>
    </row>
    <row r="14372">
      <c r="A14372" s="1" t="s">
        <v>24554</v>
      </c>
      <c r="B14372" s="2" t="s">
        <v>24555</v>
      </c>
      <c r="C14372" s="1" t="s">
        <v>5393</v>
      </c>
      <c r="D14372" s="1" t="s">
        <v>5395</v>
      </c>
    </row>
    <row r="14373">
      <c r="A14373" s="1" t="s">
        <v>24556</v>
      </c>
      <c r="B14373" s="2" t="s">
        <v>24557</v>
      </c>
      <c r="C14373" s="1" t="s">
        <v>5393</v>
      </c>
      <c r="D14373" s="1" t="s">
        <v>5395</v>
      </c>
    </row>
    <row r="14374">
      <c r="A14374" s="1" t="s">
        <v>24558</v>
      </c>
      <c r="B14374" s="2" t="s">
        <v>24559</v>
      </c>
      <c r="C14374" s="1" t="s">
        <v>5393</v>
      </c>
      <c r="D14374" s="1" t="s">
        <v>5395</v>
      </c>
    </row>
    <row r="14375">
      <c r="A14375" s="1" t="s">
        <v>24560</v>
      </c>
      <c r="B14375" s="2" t="s">
        <v>24561</v>
      </c>
      <c r="C14375" s="1" t="s">
        <v>5393</v>
      </c>
      <c r="D14375" s="1" t="s">
        <v>5395</v>
      </c>
    </row>
    <row r="14376">
      <c r="A14376" s="1" t="s">
        <v>24562</v>
      </c>
      <c r="B14376" s="2" t="s">
        <v>24563</v>
      </c>
      <c r="C14376" s="1" t="s">
        <v>5393</v>
      </c>
      <c r="D14376" s="1" t="s">
        <v>5395</v>
      </c>
    </row>
    <row r="14377">
      <c r="A14377" s="1" t="s">
        <v>24564</v>
      </c>
      <c r="B14377" s="2" t="s">
        <v>24565</v>
      </c>
      <c r="C14377" s="1" t="s">
        <v>5393</v>
      </c>
      <c r="D14377" s="1" t="s">
        <v>5395</v>
      </c>
    </row>
    <row r="14378">
      <c r="A14378" s="1" t="s">
        <v>24566</v>
      </c>
      <c r="B14378" s="2" t="s">
        <v>24567</v>
      </c>
      <c r="C14378" s="1" t="s">
        <v>5393</v>
      </c>
      <c r="D14378" s="1" t="s">
        <v>5395</v>
      </c>
    </row>
    <row r="14379">
      <c r="A14379" s="1" t="s">
        <v>24568</v>
      </c>
      <c r="B14379" s="2" t="s">
        <v>24569</v>
      </c>
      <c r="C14379" s="1" t="s">
        <v>5393</v>
      </c>
      <c r="D14379" s="1" t="s">
        <v>5395</v>
      </c>
    </row>
    <row r="14380">
      <c r="A14380" s="1" t="s">
        <v>24570</v>
      </c>
      <c r="B14380" s="2" t="s">
        <v>24571</v>
      </c>
      <c r="C14380" s="1" t="s">
        <v>5393</v>
      </c>
      <c r="D14380" s="1" t="s">
        <v>5395</v>
      </c>
    </row>
    <row r="14381">
      <c r="A14381" s="1" t="s">
        <v>24572</v>
      </c>
      <c r="B14381" s="2" t="s">
        <v>24573</v>
      </c>
      <c r="C14381" s="1" t="s">
        <v>5393</v>
      </c>
      <c r="D14381" s="1" t="s">
        <v>5395</v>
      </c>
    </row>
    <row r="14382">
      <c r="A14382" s="1" t="s">
        <v>24574</v>
      </c>
      <c r="B14382" s="2" t="s">
        <v>24575</v>
      </c>
      <c r="C14382" s="1" t="s">
        <v>5393</v>
      </c>
      <c r="D14382" s="1" t="s">
        <v>5395</v>
      </c>
    </row>
    <row r="14383">
      <c r="A14383" s="1" t="s">
        <v>24576</v>
      </c>
      <c r="B14383" s="2" t="s">
        <v>24577</v>
      </c>
      <c r="C14383" s="1" t="s">
        <v>5393</v>
      </c>
      <c r="D14383" s="1" t="s">
        <v>5395</v>
      </c>
    </row>
    <row r="14384">
      <c r="A14384" s="1" t="s">
        <v>24578</v>
      </c>
      <c r="B14384" s="2" t="s">
        <v>24579</v>
      </c>
      <c r="C14384" s="1" t="s">
        <v>5393</v>
      </c>
      <c r="D14384" s="1" t="s">
        <v>5395</v>
      </c>
    </row>
    <row r="14385">
      <c r="A14385" s="1" t="s">
        <v>24580</v>
      </c>
      <c r="B14385" s="2" t="s">
        <v>24581</v>
      </c>
      <c r="C14385" s="1" t="s">
        <v>5393</v>
      </c>
      <c r="D14385" s="1" t="s">
        <v>5395</v>
      </c>
    </row>
    <row r="14386">
      <c r="A14386" s="1" t="s">
        <v>24582</v>
      </c>
      <c r="B14386" s="2" t="s">
        <v>24583</v>
      </c>
      <c r="C14386" s="1" t="s">
        <v>5393</v>
      </c>
      <c r="D14386" s="1" t="s">
        <v>5395</v>
      </c>
    </row>
    <row r="14387">
      <c r="A14387" s="1" t="s">
        <v>24584</v>
      </c>
      <c r="B14387" s="2" t="s">
        <v>24585</v>
      </c>
      <c r="C14387" s="1" t="s">
        <v>5393</v>
      </c>
      <c r="D14387" s="1" t="s">
        <v>5395</v>
      </c>
    </row>
    <row r="14388">
      <c r="A14388" s="1" t="s">
        <v>24586</v>
      </c>
      <c r="B14388" s="2" t="s">
        <v>20400</v>
      </c>
      <c r="C14388" s="1" t="s">
        <v>5393</v>
      </c>
      <c r="D14388" s="1" t="s">
        <v>5395</v>
      </c>
    </row>
    <row r="14389">
      <c r="A14389" s="1" t="s">
        <v>24587</v>
      </c>
      <c r="B14389" s="2" t="s">
        <v>24588</v>
      </c>
      <c r="C14389" s="1" t="s">
        <v>5393</v>
      </c>
      <c r="D14389" s="1" t="s">
        <v>5395</v>
      </c>
    </row>
    <row r="14390">
      <c r="A14390" s="1" t="s">
        <v>24589</v>
      </c>
      <c r="B14390" s="2" t="s">
        <v>24590</v>
      </c>
      <c r="C14390" s="1" t="s">
        <v>5393</v>
      </c>
      <c r="D14390" s="1" t="s">
        <v>5395</v>
      </c>
    </row>
    <row r="14391">
      <c r="A14391" s="1" t="s">
        <v>24591</v>
      </c>
      <c r="B14391" s="2" t="s">
        <v>24592</v>
      </c>
      <c r="C14391" s="1" t="s">
        <v>5393</v>
      </c>
      <c r="D14391" s="1" t="s">
        <v>5395</v>
      </c>
    </row>
    <row r="14392">
      <c r="A14392" s="1" t="s">
        <v>24593</v>
      </c>
      <c r="B14392" s="2" t="s">
        <v>24594</v>
      </c>
      <c r="C14392" s="1" t="s">
        <v>5393</v>
      </c>
      <c r="D14392" s="1" t="s">
        <v>5395</v>
      </c>
    </row>
    <row r="14393">
      <c r="A14393" s="1" t="s">
        <v>5399</v>
      </c>
      <c r="B14393" s="2" t="s">
        <v>7</v>
      </c>
      <c r="C14393" s="1" t="s">
        <v>5401</v>
      </c>
      <c r="D14393" s="1" t="s">
        <v>5403</v>
      </c>
    </row>
    <row r="14394">
      <c r="A14394" s="1" t="s">
        <v>24595</v>
      </c>
      <c r="B14394" s="2" t="s">
        <v>24596</v>
      </c>
      <c r="C14394" s="1" t="s">
        <v>5401</v>
      </c>
      <c r="D14394" s="1" t="s">
        <v>5403</v>
      </c>
    </row>
    <row r="14395">
      <c r="A14395" s="1" t="s">
        <v>24597</v>
      </c>
      <c r="B14395" s="2" t="s">
        <v>24598</v>
      </c>
      <c r="C14395" s="1" t="s">
        <v>5401</v>
      </c>
      <c r="D14395" s="1" t="s">
        <v>5403</v>
      </c>
    </row>
    <row r="14396">
      <c r="A14396" s="1" t="s">
        <v>24599</v>
      </c>
      <c r="B14396" s="2" t="s">
        <v>24600</v>
      </c>
      <c r="C14396" s="1" t="s">
        <v>5401</v>
      </c>
      <c r="D14396" s="1" t="s">
        <v>5403</v>
      </c>
    </row>
    <row r="14397">
      <c r="A14397" s="1" t="s">
        <v>24601</v>
      </c>
      <c r="B14397" s="2" t="s">
        <v>24602</v>
      </c>
      <c r="C14397" s="1" t="s">
        <v>5401</v>
      </c>
      <c r="D14397" s="1" t="s">
        <v>5403</v>
      </c>
    </row>
    <row r="14398">
      <c r="A14398" s="1" t="s">
        <v>24603</v>
      </c>
      <c r="B14398" s="2" t="s">
        <v>24604</v>
      </c>
      <c r="C14398" s="1" t="s">
        <v>5401</v>
      </c>
      <c r="D14398" s="1" t="s">
        <v>5403</v>
      </c>
    </row>
    <row r="14399">
      <c r="A14399" s="1" t="s">
        <v>24605</v>
      </c>
      <c r="B14399" s="2" t="s">
        <v>24606</v>
      </c>
      <c r="C14399" s="1" t="s">
        <v>5401</v>
      </c>
      <c r="D14399" s="1" t="s">
        <v>5403</v>
      </c>
    </row>
    <row r="14400">
      <c r="A14400" s="1" t="s">
        <v>24607</v>
      </c>
      <c r="B14400" s="2" t="s">
        <v>24608</v>
      </c>
      <c r="C14400" s="1" t="s">
        <v>5401</v>
      </c>
      <c r="D14400" s="1" t="s">
        <v>5403</v>
      </c>
    </row>
    <row r="14401">
      <c r="A14401" s="1" t="s">
        <v>24609</v>
      </c>
      <c r="B14401" s="2" t="s">
        <v>24610</v>
      </c>
      <c r="C14401" s="1" t="s">
        <v>5401</v>
      </c>
      <c r="D14401" s="1" t="s">
        <v>5403</v>
      </c>
    </row>
    <row r="14402">
      <c r="A14402" s="1" t="s">
        <v>24611</v>
      </c>
      <c r="B14402" s="2" t="s">
        <v>24612</v>
      </c>
      <c r="C14402" s="1" t="s">
        <v>5401</v>
      </c>
      <c r="D14402" s="1" t="s">
        <v>5403</v>
      </c>
    </row>
    <row r="14403">
      <c r="A14403" s="1" t="s">
        <v>24613</v>
      </c>
      <c r="B14403" s="2" t="s">
        <v>24614</v>
      </c>
      <c r="C14403" s="1" t="s">
        <v>5401</v>
      </c>
      <c r="D14403" s="1" t="s">
        <v>5403</v>
      </c>
    </row>
    <row r="14404">
      <c r="A14404" s="1" t="s">
        <v>24615</v>
      </c>
      <c r="B14404" s="2" t="s">
        <v>24616</v>
      </c>
      <c r="C14404" s="1" t="s">
        <v>5401</v>
      </c>
      <c r="D14404" s="1" t="s">
        <v>5403</v>
      </c>
    </row>
    <row r="14405">
      <c r="A14405" s="1" t="s">
        <v>24617</v>
      </c>
      <c r="B14405" s="2" t="s">
        <v>24618</v>
      </c>
      <c r="C14405" s="1" t="s">
        <v>5401</v>
      </c>
      <c r="D14405" s="1" t="s">
        <v>5403</v>
      </c>
    </row>
    <row r="14406">
      <c r="A14406" s="1" t="s">
        <v>24619</v>
      </c>
      <c r="B14406" s="2" t="s">
        <v>24620</v>
      </c>
      <c r="C14406" s="1" t="s">
        <v>5401</v>
      </c>
      <c r="D14406" s="1" t="s">
        <v>5403</v>
      </c>
    </row>
    <row r="14407">
      <c r="A14407" s="1" t="s">
        <v>24621</v>
      </c>
      <c r="B14407" s="2" t="s">
        <v>24622</v>
      </c>
      <c r="C14407" s="1" t="s">
        <v>5401</v>
      </c>
      <c r="D14407" s="1" t="s">
        <v>5403</v>
      </c>
    </row>
    <row r="14408">
      <c r="A14408" s="1" t="s">
        <v>24623</v>
      </c>
      <c r="B14408" s="2" t="s">
        <v>24624</v>
      </c>
      <c r="C14408" s="1" t="s">
        <v>5401</v>
      </c>
      <c r="D14408" s="1" t="s">
        <v>5403</v>
      </c>
    </row>
    <row r="14409">
      <c r="A14409" s="1" t="s">
        <v>24625</v>
      </c>
      <c r="B14409" s="2" t="s">
        <v>24626</v>
      </c>
      <c r="C14409" s="1" t="s">
        <v>5401</v>
      </c>
      <c r="D14409" s="1" t="s">
        <v>5403</v>
      </c>
    </row>
    <row r="14410">
      <c r="A14410" s="1" t="s">
        <v>24627</v>
      </c>
      <c r="B14410" s="2" t="s">
        <v>24628</v>
      </c>
      <c r="C14410" s="1" t="s">
        <v>5401</v>
      </c>
      <c r="D14410" s="1" t="s">
        <v>5403</v>
      </c>
    </row>
    <row r="14411">
      <c r="A14411" s="1" t="s">
        <v>24629</v>
      </c>
      <c r="B14411" s="2" t="s">
        <v>24630</v>
      </c>
      <c r="C14411" s="1" t="s">
        <v>5401</v>
      </c>
      <c r="D14411" s="1" t="s">
        <v>5403</v>
      </c>
    </row>
    <row r="14412">
      <c r="A14412" s="1" t="s">
        <v>24631</v>
      </c>
      <c r="B14412" s="2" t="s">
        <v>24632</v>
      </c>
      <c r="C14412" s="1" t="s">
        <v>5401</v>
      </c>
      <c r="D14412" s="1" t="s">
        <v>5403</v>
      </c>
    </row>
    <row r="14413">
      <c r="A14413" s="1" t="s">
        <v>24633</v>
      </c>
      <c r="B14413" s="2" t="s">
        <v>24634</v>
      </c>
      <c r="C14413" s="1" t="s">
        <v>5401</v>
      </c>
      <c r="D14413" s="1" t="s">
        <v>5403</v>
      </c>
    </row>
    <row r="14414">
      <c r="A14414" s="1" t="s">
        <v>24635</v>
      </c>
      <c r="B14414" s="2" t="s">
        <v>24636</v>
      </c>
      <c r="C14414" s="1" t="s">
        <v>5401</v>
      </c>
      <c r="D14414" s="1" t="s">
        <v>5403</v>
      </c>
    </row>
    <row r="14415">
      <c r="A14415" s="1" t="s">
        <v>24637</v>
      </c>
      <c r="B14415" s="2" t="s">
        <v>24638</v>
      </c>
      <c r="C14415" s="1" t="s">
        <v>5401</v>
      </c>
      <c r="D14415" s="1" t="s">
        <v>5403</v>
      </c>
    </row>
    <row r="14416">
      <c r="A14416" s="1" t="s">
        <v>24639</v>
      </c>
      <c r="B14416" s="2" t="s">
        <v>24640</v>
      </c>
      <c r="C14416" s="1" t="s">
        <v>5401</v>
      </c>
      <c r="D14416" s="1" t="s">
        <v>5403</v>
      </c>
    </row>
    <row r="14417">
      <c r="A14417" s="1" t="s">
        <v>24641</v>
      </c>
      <c r="B14417" s="2" t="s">
        <v>24642</v>
      </c>
      <c r="C14417" s="1" t="s">
        <v>5401</v>
      </c>
      <c r="D14417" s="1" t="s">
        <v>5403</v>
      </c>
    </row>
    <row r="14418">
      <c r="A14418" s="1" t="s">
        <v>24643</v>
      </c>
      <c r="B14418" s="2" t="s">
        <v>24644</v>
      </c>
      <c r="C14418" s="1" t="s">
        <v>5401</v>
      </c>
      <c r="D14418" s="1" t="s">
        <v>5403</v>
      </c>
    </row>
    <row r="14419">
      <c r="A14419" s="1" t="s">
        <v>24645</v>
      </c>
      <c r="B14419" s="2" t="s">
        <v>24646</v>
      </c>
      <c r="C14419" s="1" t="s">
        <v>5401</v>
      </c>
      <c r="D14419" s="1" t="s">
        <v>5403</v>
      </c>
    </row>
    <row r="14420">
      <c r="A14420" s="1" t="s">
        <v>24647</v>
      </c>
      <c r="B14420" s="2" t="s">
        <v>24648</v>
      </c>
      <c r="C14420" s="1" t="s">
        <v>5401</v>
      </c>
      <c r="D14420" s="1" t="s">
        <v>5403</v>
      </c>
    </row>
    <row r="14421">
      <c r="A14421" s="1" t="s">
        <v>24649</v>
      </c>
      <c r="B14421" s="2" t="s">
        <v>24650</v>
      </c>
      <c r="C14421" s="1" t="s">
        <v>5401</v>
      </c>
      <c r="D14421" s="1" t="s">
        <v>5403</v>
      </c>
    </row>
    <row r="14422">
      <c r="A14422" s="1" t="s">
        <v>24651</v>
      </c>
      <c r="B14422" s="2" t="s">
        <v>24652</v>
      </c>
      <c r="C14422" s="1" t="s">
        <v>5401</v>
      </c>
      <c r="D14422" s="1" t="s">
        <v>5403</v>
      </c>
    </row>
    <row r="14423">
      <c r="A14423" s="1" t="s">
        <v>5408</v>
      </c>
      <c r="B14423" s="2" t="s">
        <v>7</v>
      </c>
      <c r="C14423" s="1" t="s">
        <v>5410</v>
      </c>
      <c r="D14423" s="1" t="s">
        <v>5412</v>
      </c>
    </row>
    <row r="14424">
      <c r="A14424" s="1" t="s">
        <v>24653</v>
      </c>
      <c r="B14424" s="2" t="s">
        <v>17493</v>
      </c>
      <c r="C14424" s="1" t="s">
        <v>5410</v>
      </c>
      <c r="D14424" s="1" t="s">
        <v>5412</v>
      </c>
    </row>
    <row r="14425">
      <c r="A14425" s="1" t="s">
        <v>24654</v>
      </c>
      <c r="B14425" s="2" t="s">
        <v>17495</v>
      </c>
      <c r="C14425" s="1" t="s">
        <v>5410</v>
      </c>
      <c r="D14425" s="1" t="s">
        <v>5412</v>
      </c>
    </row>
    <row r="14426">
      <c r="A14426" s="1" t="s">
        <v>24655</v>
      </c>
      <c r="B14426" s="2" t="s">
        <v>24656</v>
      </c>
      <c r="C14426" s="1" t="s">
        <v>5410</v>
      </c>
      <c r="D14426" s="1" t="s">
        <v>5412</v>
      </c>
    </row>
    <row r="14427">
      <c r="A14427" s="1" t="s">
        <v>24657</v>
      </c>
      <c r="B14427" s="2" t="s">
        <v>24658</v>
      </c>
      <c r="C14427" s="1" t="s">
        <v>5410</v>
      </c>
      <c r="D14427" s="1" t="s">
        <v>5412</v>
      </c>
    </row>
    <row r="14428">
      <c r="A14428" s="1" t="s">
        <v>24659</v>
      </c>
      <c r="B14428" s="2" t="s">
        <v>24660</v>
      </c>
      <c r="C14428" s="1" t="s">
        <v>5410</v>
      </c>
      <c r="D14428" s="1" t="s">
        <v>5412</v>
      </c>
    </row>
    <row r="14429">
      <c r="A14429" s="1" t="s">
        <v>24661</v>
      </c>
      <c r="B14429" s="2" t="s">
        <v>24662</v>
      </c>
      <c r="C14429" s="1" t="s">
        <v>5410</v>
      </c>
      <c r="D14429" s="1" t="s">
        <v>5412</v>
      </c>
    </row>
    <row r="14430">
      <c r="A14430" s="1" t="s">
        <v>24663</v>
      </c>
      <c r="B14430" s="2" t="s">
        <v>24664</v>
      </c>
      <c r="C14430" s="1" t="s">
        <v>5410</v>
      </c>
      <c r="D14430" s="1" t="s">
        <v>5412</v>
      </c>
    </row>
    <row r="14431">
      <c r="A14431" s="1" t="s">
        <v>24665</v>
      </c>
      <c r="B14431" s="2" t="s">
        <v>17519</v>
      </c>
      <c r="C14431" s="1" t="s">
        <v>5410</v>
      </c>
      <c r="D14431" s="1" t="s">
        <v>5412</v>
      </c>
    </row>
    <row r="14432">
      <c r="A14432" s="1" t="s">
        <v>24666</v>
      </c>
      <c r="B14432" s="2" t="s">
        <v>17521</v>
      </c>
      <c r="C14432" s="1" t="s">
        <v>5410</v>
      </c>
      <c r="D14432" s="1" t="s">
        <v>5412</v>
      </c>
    </row>
    <row r="14433">
      <c r="A14433" s="1" t="s">
        <v>24667</v>
      </c>
      <c r="B14433" s="2" t="s">
        <v>24668</v>
      </c>
      <c r="C14433" s="1" t="s">
        <v>5410</v>
      </c>
      <c r="D14433" s="1" t="s">
        <v>5412</v>
      </c>
    </row>
    <row r="14434">
      <c r="A14434" s="1" t="s">
        <v>24669</v>
      </c>
      <c r="B14434" s="2" t="s">
        <v>24670</v>
      </c>
      <c r="C14434" s="1" t="s">
        <v>5410</v>
      </c>
      <c r="D14434" s="1" t="s">
        <v>5412</v>
      </c>
    </row>
    <row r="14435">
      <c r="A14435" s="1" t="s">
        <v>24671</v>
      </c>
      <c r="B14435" s="2" t="s">
        <v>24672</v>
      </c>
      <c r="C14435" s="1" t="s">
        <v>5410</v>
      </c>
      <c r="D14435" s="1" t="s">
        <v>5412</v>
      </c>
    </row>
    <row r="14436">
      <c r="A14436" s="1" t="s">
        <v>24673</v>
      </c>
      <c r="B14436" s="2" t="s">
        <v>24674</v>
      </c>
      <c r="C14436" s="1" t="s">
        <v>5410</v>
      </c>
      <c r="D14436" s="1" t="s">
        <v>5412</v>
      </c>
    </row>
    <row r="14437">
      <c r="A14437" s="1" t="s">
        <v>24675</v>
      </c>
      <c r="B14437" s="2" t="s">
        <v>24676</v>
      </c>
      <c r="C14437" s="1" t="s">
        <v>5410</v>
      </c>
      <c r="D14437" s="1" t="s">
        <v>5412</v>
      </c>
    </row>
    <row r="14438">
      <c r="A14438" s="1" t="s">
        <v>24677</v>
      </c>
      <c r="B14438" s="2" t="s">
        <v>17545</v>
      </c>
      <c r="C14438" s="1" t="s">
        <v>5410</v>
      </c>
      <c r="D14438" s="1" t="s">
        <v>5412</v>
      </c>
    </row>
    <row r="14439">
      <c r="A14439" s="1" t="s">
        <v>24678</v>
      </c>
      <c r="B14439" s="2" t="s">
        <v>17547</v>
      </c>
      <c r="C14439" s="1" t="s">
        <v>5410</v>
      </c>
      <c r="D14439" s="1" t="s">
        <v>5412</v>
      </c>
    </row>
    <row r="14440">
      <c r="A14440" s="1" t="s">
        <v>24679</v>
      </c>
      <c r="B14440" s="2" t="s">
        <v>24680</v>
      </c>
      <c r="C14440" s="1" t="s">
        <v>5410</v>
      </c>
      <c r="D14440" s="1" t="s">
        <v>5412</v>
      </c>
    </row>
    <row r="14441">
      <c r="A14441" s="1" t="s">
        <v>24681</v>
      </c>
      <c r="B14441" s="2" t="s">
        <v>24682</v>
      </c>
      <c r="C14441" s="1" t="s">
        <v>5410</v>
      </c>
      <c r="D14441" s="1" t="s">
        <v>5412</v>
      </c>
    </row>
    <row r="14442">
      <c r="A14442" s="1" t="s">
        <v>24683</v>
      </c>
      <c r="B14442" s="2" t="s">
        <v>24684</v>
      </c>
      <c r="C14442" s="1" t="s">
        <v>5410</v>
      </c>
      <c r="D14442" s="1" t="s">
        <v>5412</v>
      </c>
    </row>
    <row r="14443">
      <c r="A14443" s="1" t="s">
        <v>24685</v>
      </c>
      <c r="B14443" s="2" t="s">
        <v>24686</v>
      </c>
      <c r="C14443" s="1" t="s">
        <v>5410</v>
      </c>
      <c r="D14443" s="1" t="s">
        <v>5412</v>
      </c>
    </row>
    <row r="14444">
      <c r="A14444" s="1" t="s">
        <v>24687</v>
      </c>
      <c r="B14444" s="2" t="s">
        <v>24688</v>
      </c>
      <c r="C14444" s="1" t="s">
        <v>5410</v>
      </c>
      <c r="D14444" s="1" t="s">
        <v>5412</v>
      </c>
    </row>
    <row r="14445">
      <c r="A14445" s="1" t="s">
        <v>24689</v>
      </c>
      <c r="B14445" s="2" t="s">
        <v>17571</v>
      </c>
      <c r="C14445" s="1" t="s">
        <v>5410</v>
      </c>
      <c r="D14445" s="1" t="s">
        <v>5412</v>
      </c>
    </row>
    <row r="14446">
      <c r="A14446" s="1" t="s">
        <v>24690</v>
      </c>
      <c r="B14446" s="2" t="s">
        <v>17573</v>
      </c>
      <c r="C14446" s="1" t="s">
        <v>5410</v>
      </c>
      <c r="D14446" s="1" t="s">
        <v>5412</v>
      </c>
    </row>
    <row r="14447">
      <c r="A14447" s="1" t="s">
        <v>24691</v>
      </c>
      <c r="B14447" s="2" t="s">
        <v>24692</v>
      </c>
      <c r="C14447" s="1" t="s">
        <v>5410</v>
      </c>
      <c r="D14447" s="1" t="s">
        <v>5412</v>
      </c>
    </row>
    <row r="14448">
      <c r="A14448" s="1" t="s">
        <v>24693</v>
      </c>
      <c r="B14448" s="2" t="s">
        <v>24694</v>
      </c>
      <c r="C14448" s="1" t="s">
        <v>5410</v>
      </c>
      <c r="D14448" s="1" t="s">
        <v>5412</v>
      </c>
    </row>
    <row r="14449">
      <c r="A14449" s="1" t="s">
        <v>24695</v>
      </c>
      <c r="B14449" s="2" t="s">
        <v>24696</v>
      </c>
      <c r="C14449" s="1" t="s">
        <v>5410</v>
      </c>
      <c r="D14449" s="1" t="s">
        <v>5412</v>
      </c>
    </row>
    <row r="14450">
      <c r="A14450" s="1" t="s">
        <v>24697</v>
      </c>
      <c r="B14450" s="2" t="s">
        <v>24698</v>
      </c>
      <c r="C14450" s="1" t="s">
        <v>5410</v>
      </c>
      <c r="D14450" s="1" t="s">
        <v>5412</v>
      </c>
    </row>
    <row r="14451">
      <c r="A14451" s="1" t="s">
        <v>24699</v>
      </c>
      <c r="B14451" s="2" t="s">
        <v>24700</v>
      </c>
      <c r="C14451" s="1" t="s">
        <v>5410</v>
      </c>
      <c r="D14451" s="1" t="s">
        <v>5412</v>
      </c>
    </row>
    <row r="14452">
      <c r="A14452" s="1" t="s">
        <v>5418</v>
      </c>
      <c r="B14452" s="2" t="s">
        <v>7</v>
      </c>
      <c r="C14452" s="1" t="s">
        <v>5420</v>
      </c>
      <c r="D14452" s="1" t="s">
        <v>5422</v>
      </c>
    </row>
    <row r="14453">
      <c r="A14453" s="1" t="s">
        <v>24701</v>
      </c>
      <c r="B14453" s="2" t="s">
        <v>24702</v>
      </c>
      <c r="C14453" s="1" t="s">
        <v>5420</v>
      </c>
      <c r="D14453" s="1" t="s">
        <v>5422</v>
      </c>
    </row>
    <row r="14454">
      <c r="A14454" s="1" t="s">
        <v>24703</v>
      </c>
      <c r="B14454" s="2" t="s">
        <v>24704</v>
      </c>
      <c r="C14454" s="1" t="s">
        <v>5420</v>
      </c>
      <c r="D14454" s="1" t="s">
        <v>5422</v>
      </c>
    </row>
    <row r="14455">
      <c r="A14455" s="1" t="s">
        <v>24705</v>
      </c>
      <c r="B14455" s="2" t="s">
        <v>24706</v>
      </c>
      <c r="C14455" s="1" t="s">
        <v>5420</v>
      </c>
      <c r="D14455" s="1" t="s">
        <v>5422</v>
      </c>
    </row>
    <row r="14456">
      <c r="A14456" s="1" t="s">
        <v>24707</v>
      </c>
      <c r="B14456" s="2" t="s">
        <v>24708</v>
      </c>
      <c r="C14456" s="1" t="s">
        <v>5420</v>
      </c>
      <c r="D14456" s="1" t="s">
        <v>5422</v>
      </c>
    </row>
    <row r="14457">
      <c r="A14457" s="1" t="s">
        <v>24709</v>
      </c>
      <c r="B14457" s="2" t="s">
        <v>24710</v>
      </c>
      <c r="C14457" s="1" t="s">
        <v>5420</v>
      </c>
      <c r="D14457" s="1" t="s">
        <v>5422</v>
      </c>
    </row>
    <row r="14458">
      <c r="A14458" s="1" t="s">
        <v>24711</v>
      </c>
      <c r="B14458" s="2" t="s">
        <v>24712</v>
      </c>
      <c r="C14458" s="1" t="s">
        <v>5420</v>
      </c>
      <c r="D14458" s="1" t="s">
        <v>5422</v>
      </c>
    </row>
    <row r="14459">
      <c r="A14459" s="1" t="s">
        <v>24713</v>
      </c>
      <c r="B14459" s="2" t="s">
        <v>24714</v>
      </c>
      <c r="C14459" s="1" t="s">
        <v>5420</v>
      </c>
      <c r="D14459" s="1" t="s">
        <v>5422</v>
      </c>
    </row>
    <row r="14460">
      <c r="A14460" s="1" t="s">
        <v>24715</v>
      </c>
      <c r="B14460" s="2" t="s">
        <v>24716</v>
      </c>
      <c r="C14460" s="1" t="s">
        <v>5420</v>
      </c>
      <c r="D14460" s="1" t="s">
        <v>5422</v>
      </c>
    </row>
    <row r="14461">
      <c r="A14461" s="1" t="s">
        <v>24717</v>
      </c>
      <c r="B14461" s="2" t="s">
        <v>24718</v>
      </c>
      <c r="C14461" s="1" t="s">
        <v>5420</v>
      </c>
      <c r="D14461" s="1" t="s">
        <v>5422</v>
      </c>
    </row>
    <row r="14462">
      <c r="A14462" s="1" t="s">
        <v>24719</v>
      </c>
      <c r="B14462" s="2" t="s">
        <v>24720</v>
      </c>
      <c r="C14462" s="1" t="s">
        <v>5420</v>
      </c>
      <c r="D14462" s="1" t="s">
        <v>5422</v>
      </c>
    </row>
    <row r="14463">
      <c r="A14463" s="1" t="s">
        <v>24721</v>
      </c>
      <c r="B14463" s="2" t="s">
        <v>24722</v>
      </c>
      <c r="C14463" s="1" t="s">
        <v>5420</v>
      </c>
      <c r="D14463" s="1" t="s">
        <v>5422</v>
      </c>
    </row>
    <row r="14464">
      <c r="A14464" s="1" t="s">
        <v>24723</v>
      </c>
      <c r="B14464" s="2" t="s">
        <v>24724</v>
      </c>
      <c r="C14464" s="1" t="s">
        <v>5420</v>
      </c>
      <c r="D14464" s="1" t="s">
        <v>5422</v>
      </c>
    </row>
    <row r="14465">
      <c r="A14465" s="1" t="s">
        <v>24725</v>
      </c>
      <c r="B14465" s="2" t="s">
        <v>24726</v>
      </c>
      <c r="C14465" s="1" t="s">
        <v>5420</v>
      </c>
      <c r="D14465" s="1" t="s">
        <v>5422</v>
      </c>
    </row>
    <row r="14466">
      <c r="A14466" s="1" t="s">
        <v>24727</v>
      </c>
      <c r="B14466" s="2" t="s">
        <v>24728</v>
      </c>
      <c r="C14466" s="1" t="s">
        <v>5420</v>
      </c>
      <c r="D14466" s="1" t="s">
        <v>5422</v>
      </c>
    </row>
    <row r="14467">
      <c r="A14467" s="1" t="s">
        <v>24729</v>
      </c>
      <c r="B14467" s="2" t="s">
        <v>24730</v>
      </c>
      <c r="C14467" s="1" t="s">
        <v>5420</v>
      </c>
      <c r="D14467" s="1" t="s">
        <v>5422</v>
      </c>
    </row>
    <row r="14468">
      <c r="A14468" s="1" t="s">
        <v>24731</v>
      </c>
      <c r="B14468" s="2" t="s">
        <v>24732</v>
      </c>
      <c r="C14468" s="1" t="s">
        <v>5420</v>
      </c>
      <c r="D14468" s="1" t="s">
        <v>5422</v>
      </c>
    </row>
    <row r="14469">
      <c r="A14469" s="1" t="s">
        <v>24733</v>
      </c>
      <c r="B14469" s="2" t="s">
        <v>24734</v>
      </c>
      <c r="C14469" s="1" t="s">
        <v>5420</v>
      </c>
      <c r="D14469" s="1" t="s">
        <v>5422</v>
      </c>
    </row>
    <row r="14470">
      <c r="A14470" s="1" t="s">
        <v>24735</v>
      </c>
      <c r="B14470" s="2" t="s">
        <v>24736</v>
      </c>
      <c r="C14470" s="1" t="s">
        <v>5420</v>
      </c>
      <c r="D14470" s="1" t="s">
        <v>5422</v>
      </c>
    </row>
    <row r="14471">
      <c r="A14471" s="1" t="s">
        <v>24737</v>
      </c>
      <c r="B14471" s="2" t="s">
        <v>24738</v>
      </c>
      <c r="C14471" s="1" t="s">
        <v>5420</v>
      </c>
      <c r="D14471" s="1" t="s">
        <v>5422</v>
      </c>
    </row>
    <row r="14472">
      <c r="A14472" s="1" t="s">
        <v>24739</v>
      </c>
      <c r="B14472" s="2" t="s">
        <v>24740</v>
      </c>
      <c r="C14472" s="1" t="s">
        <v>5420</v>
      </c>
      <c r="D14472" s="1" t="s">
        <v>5422</v>
      </c>
    </row>
    <row r="14473">
      <c r="A14473" s="1" t="s">
        <v>24741</v>
      </c>
      <c r="B14473" s="2" t="s">
        <v>24742</v>
      </c>
      <c r="C14473" s="1" t="s">
        <v>5420</v>
      </c>
      <c r="D14473" s="1" t="s">
        <v>5422</v>
      </c>
    </row>
    <row r="14474">
      <c r="A14474" s="1" t="s">
        <v>24743</v>
      </c>
      <c r="B14474" s="2" t="s">
        <v>24744</v>
      </c>
      <c r="C14474" s="1" t="s">
        <v>5420</v>
      </c>
      <c r="D14474" s="1" t="s">
        <v>5422</v>
      </c>
    </row>
    <row r="14475">
      <c r="A14475" s="1" t="s">
        <v>24745</v>
      </c>
      <c r="B14475" s="2" t="s">
        <v>24746</v>
      </c>
      <c r="C14475" s="1" t="s">
        <v>5420</v>
      </c>
      <c r="D14475" s="1" t="s">
        <v>5422</v>
      </c>
    </row>
    <row r="14476">
      <c r="A14476" s="1" t="s">
        <v>24747</v>
      </c>
      <c r="B14476" s="2" t="s">
        <v>24748</v>
      </c>
      <c r="C14476" s="1" t="s">
        <v>5420</v>
      </c>
      <c r="D14476" s="1" t="s">
        <v>5422</v>
      </c>
    </row>
    <row r="14477">
      <c r="A14477" s="1" t="s">
        <v>24749</v>
      </c>
      <c r="B14477" s="2" t="s">
        <v>24750</v>
      </c>
      <c r="C14477" s="1" t="s">
        <v>5420</v>
      </c>
      <c r="D14477" s="1" t="s">
        <v>5422</v>
      </c>
    </row>
    <row r="14478">
      <c r="A14478" s="1" t="s">
        <v>24751</v>
      </c>
      <c r="B14478" s="2" t="s">
        <v>24752</v>
      </c>
      <c r="C14478" s="1" t="s">
        <v>5420</v>
      </c>
      <c r="D14478" s="1" t="s">
        <v>5422</v>
      </c>
    </row>
    <row r="14479">
      <c r="A14479" s="1" t="s">
        <v>24753</v>
      </c>
      <c r="B14479" s="2" t="s">
        <v>24754</v>
      </c>
      <c r="C14479" s="1" t="s">
        <v>5420</v>
      </c>
      <c r="D14479" s="1" t="s">
        <v>5422</v>
      </c>
    </row>
    <row r="14480">
      <c r="A14480" s="1" t="s">
        <v>24755</v>
      </c>
      <c r="B14480" s="2" t="s">
        <v>24756</v>
      </c>
      <c r="C14480" s="1" t="s">
        <v>5420</v>
      </c>
      <c r="D14480" s="1" t="s">
        <v>5422</v>
      </c>
    </row>
    <row r="14481">
      <c r="A14481" s="1" t="s">
        <v>24757</v>
      </c>
      <c r="B14481" s="2" t="s">
        <v>24758</v>
      </c>
      <c r="C14481" s="1" t="s">
        <v>5420</v>
      </c>
      <c r="D14481" s="1" t="s">
        <v>5422</v>
      </c>
    </row>
    <row r="14482">
      <c r="A14482" s="1" t="s">
        <v>24759</v>
      </c>
      <c r="B14482" s="2" t="s">
        <v>24760</v>
      </c>
      <c r="C14482" s="1" t="s">
        <v>5420</v>
      </c>
      <c r="D14482" s="1" t="s">
        <v>5422</v>
      </c>
    </row>
    <row r="14483">
      <c r="A14483" s="1" t="s">
        <v>24761</v>
      </c>
      <c r="B14483" s="2" t="s">
        <v>24762</v>
      </c>
      <c r="C14483" s="1" t="s">
        <v>5420</v>
      </c>
      <c r="D14483" s="1" t="s">
        <v>5422</v>
      </c>
    </row>
    <row r="14484">
      <c r="A14484" s="1" t="s">
        <v>24763</v>
      </c>
      <c r="B14484" s="2" t="s">
        <v>24764</v>
      </c>
      <c r="C14484" s="1" t="s">
        <v>5420</v>
      </c>
      <c r="D14484" s="1" t="s">
        <v>5422</v>
      </c>
    </row>
    <row r="14485">
      <c r="A14485" s="1" t="s">
        <v>24765</v>
      </c>
      <c r="B14485" s="2" t="s">
        <v>24766</v>
      </c>
      <c r="C14485" s="1" t="s">
        <v>5420</v>
      </c>
      <c r="D14485" s="1" t="s">
        <v>5422</v>
      </c>
    </row>
    <row r="14486">
      <c r="A14486" s="1" t="s">
        <v>24767</v>
      </c>
      <c r="B14486" s="2" t="s">
        <v>24768</v>
      </c>
      <c r="C14486" s="1" t="s">
        <v>5420</v>
      </c>
      <c r="D14486" s="1" t="s">
        <v>5422</v>
      </c>
    </row>
    <row r="14487">
      <c r="A14487" s="1" t="s">
        <v>24769</v>
      </c>
      <c r="B14487" s="2" t="s">
        <v>24770</v>
      </c>
      <c r="C14487" s="1" t="s">
        <v>5420</v>
      </c>
      <c r="D14487" s="1" t="s">
        <v>5422</v>
      </c>
    </row>
    <row r="14488">
      <c r="A14488" s="1" t="s">
        <v>24771</v>
      </c>
      <c r="B14488" s="2" t="s">
        <v>24772</v>
      </c>
      <c r="C14488" s="1" t="s">
        <v>5420</v>
      </c>
      <c r="D14488" s="1" t="s">
        <v>5422</v>
      </c>
    </row>
    <row r="14489">
      <c r="A14489" s="1" t="s">
        <v>24773</v>
      </c>
      <c r="B14489" s="2" t="s">
        <v>24774</v>
      </c>
      <c r="C14489" s="1" t="s">
        <v>5420</v>
      </c>
      <c r="D14489" s="1" t="s">
        <v>5422</v>
      </c>
    </row>
    <row r="14490">
      <c r="A14490" s="1" t="s">
        <v>24775</v>
      </c>
      <c r="B14490" s="2" t="s">
        <v>24776</v>
      </c>
      <c r="C14490" s="1" t="s">
        <v>5420</v>
      </c>
      <c r="D14490" s="1" t="s">
        <v>5422</v>
      </c>
    </row>
    <row r="14491">
      <c r="A14491" s="1" t="s">
        <v>24777</v>
      </c>
      <c r="B14491" s="2" t="s">
        <v>24778</v>
      </c>
      <c r="C14491" s="1" t="s">
        <v>5420</v>
      </c>
      <c r="D14491" s="1" t="s">
        <v>5422</v>
      </c>
    </row>
    <row r="14492">
      <c r="A14492" s="1" t="s">
        <v>24779</v>
      </c>
      <c r="B14492" s="2" t="s">
        <v>24780</v>
      </c>
      <c r="C14492" s="1" t="s">
        <v>5420</v>
      </c>
      <c r="D14492" s="1" t="s">
        <v>5422</v>
      </c>
    </row>
    <row r="14493">
      <c r="A14493" s="1" t="s">
        <v>24781</v>
      </c>
      <c r="B14493" s="2" t="s">
        <v>24782</v>
      </c>
      <c r="C14493" s="1" t="s">
        <v>5420</v>
      </c>
      <c r="D14493" s="1" t="s">
        <v>5422</v>
      </c>
    </row>
    <row r="14494">
      <c r="A14494" s="1" t="s">
        <v>24783</v>
      </c>
      <c r="B14494" s="2" t="s">
        <v>24784</v>
      </c>
      <c r="C14494" s="1" t="s">
        <v>5420</v>
      </c>
      <c r="D14494" s="1" t="s">
        <v>5422</v>
      </c>
    </row>
    <row r="14495">
      <c r="A14495" s="1" t="s">
        <v>24785</v>
      </c>
      <c r="B14495" s="2" t="s">
        <v>24786</v>
      </c>
      <c r="C14495" s="1" t="s">
        <v>5420</v>
      </c>
      <c r="D14495" s="1" t="s">
        <v>5422</v>
      </c>
    </row>
    <row r="14496">
      <c r="A14496" s="1" t="s">
        <v>24787</v>
      </c>
      <c r="B14496" s="2" t="s">
        <v>24788</v>
      </c>
      <c r="C14496" s="1" t="s">
        <v>5420</v>
      </c>
      <c r="D14496" s="1" t="s">
        <v>5422</v>
      </c>
    </row>
    <row r="14497">
      <c r="A14497" s="1" t="s">
        <v>24789</v>
      </c>
      <c r="B14497" s="2" t="s">
        <v>24790</v>
      </c>
      <c r="C14497" s="1" t="s">
        <v>5420</v>
      </c>
      <c r="D14497" s="1" t="s">
        <v>5422</v>
      </c>
    </row>
    <row r="14498">
      <c r="A14498" s="1" t="s">
        <v>24791</v>
      </c>
      <c r="B14498" s="2" t="s">
        <v>24792</v>
      </c>
      <c r="C14498" s="1" t="s">
        <v>5420</v>
      </c>
      <c r="D14498" s="1" t="s">
        <v>5422</v>
      </c>
    </row>
    <row r="14499">
      <c r="A14499" s="1" t="s">
        <v>24793</v>
      </c>
      <c r="B14499" s="2" t="s">
        <v>24794</v>
      </c>
      <c r="C14499" s="1" t="s">
        <v>5420</v>
      </c>
      <c r="D14499" s="1" t="s">
        <v>5422</v>
      </c>
    </row>
    <row r="14500">
      <c r="A14500" s="1" t="s">
        <v>24795</v>
      </c>
      <c r="B14500" s="2" t="s">
        <v>24796</v>
      </c>
      <c r="C14500" s="1" t="s">
        <v>5420</v>
      </c>
      <c r="D14500" s="1" t="s">
        <v>5422</v>
      </c>
    </row>
    <row r="14501">
      <c r="A14501" s="1" t="s">
        <v>24797</v>
      </c>
      <c r="B14501" s="2" t="s">
        <v>24798</v>
      </c>
      <c r="C14501" s="1" t="s">
        <v>5420</v>
      </c>
      <c r="D14501" s="1" t="s">
        <v>5422</v>
      </c>
    </row>
    <row r="14502">
      <c r="A14502" s="1" t="s">
        <v>24799</v>
      </c>
      <c r="B14502" s="2" t="s">
        <v>24800</v>
      </c>
      <c r="C14502" s="1" t="s">
        <v>5420</v>
      </c>
      <c r="D14502" s="1" t="s">
        <v>5422</v>
      </c>
    </row>
    <row r="14503">
      <c r="A14503" s="1" t="s">
        <v>24801</v>
      </c>
      <c r="B14503" s="2" t="s">
        <v>24802</v>
      </c>
      <c r="C14503" s="1" t="s">
        <v>5420</v>
      </c>
      <c r="D14503" s="1" t="s">
        <v>5422</v>
      </c>
    </row>
    <row r="14504">
      <c r="A14504" s="1" t="s">
        <v>24803</v>
      </c>
      <c r="B14504" s="2" t="s">
        <v>24804</v>
      </c>
      <c r="C14504" s="1" t="s">
        <v>5420</v>
      </c>
      <c r="D14504" s="1" t="s">
        <v>5422</v>
      </c>
    </row>
    <row r="14505">
      <c r="A14505" s="1" t="s">
        <v>24805</v>
      </c>
      <c r="B14505" s="2" t="s">
        <v>24806</v>
      </c>
      <c r="C14505" s="1" t="s">
        <v>5420</v>
      </c>
      <c r="D14505" s="1" t="s">
        <v>5422</v>
      </c>
    </row>
    <row r="14506">
      <c r="A14506" s="1" t="s">
        <v>24807</v>
      </c>
      <c r="B14506" s="2" t="s">
        <v>24808</v>
      </c>
      <c r="C14506" s="1" t="s">
        <v>5420</v>
      </c>
      <c r="D14506" s="1" t="s">
        <v>5422</v>
      </c>
    </row>
    <row r="14507">
      <c r="A14507" s="1" t="s">
        <v>24809</v>
      </c>
      <c r="B14507" s="2" t="s">
        <v>24810</v>
      </c>
      <c r="C14507" s="1" t="s">
        <v>5420</v>
      </c>
      <c r="D14507" s="1" t="s">
        <v>5422</v>
      </c>
    </row>
    <row r="14508">
      <c r="A14508" s="1" t="s">
        <v>24811</v>
      </c>
      <c r="B14508" s="2" t="s">
        <v>24812</v>
      </c>
      <c r="C14508" s="1" t="s">
        <v>5420</v>
      </c>
      <c r="D14508" s="1" t="s">
        <v>5422</v>
      </c>
    </row>
    <row r="14509">
      <c r="A14509" s="1" t="s">
        <v>24813</v>
      </c>
      <c r="B14509" s="2" t="s">
        <v>24814</v>
      </c>
      <c r="C14509" s="1" t="s">
        <v>5420</v>
      </c>
      <c r="D14509" s="1" t="s">
        <v>5422</v>
      </c>
    </row>
    <row r="14510">
      <c r="A14510" s="1" t="s">
        <v>24815</v>
      </c>
      <c r="B14510" s="2" t="s">
        <v>24816</v>
      </c>
      <c r="C14510" s="1" t="s">
        <v>5420</v>
      </c>
      <c r="D14510" s="1" t="s">
        <v>5422</v>
      </c>
    </row>
    <row r="14511">
      <c r="A14511" s="1" t="s">
        <v>5427</v>
      </c>
      <c r="B14511" s="2" t="s">
        <v>7</v>
      </c>
      <c r="C14511" s="1" t="s">
        <v>5430</v>
      </c>
      <c r="D14511" s="1" t="s">
        <v>5432</v>
      </c>
    </row>
    <row r="14512">
      <c r="A14512" s="1" t="s">
        <v>24817</v>
      </c>
      <c r="B14512" s="2" t="s">
        <v>4662</v>
      </c>
      <c r="C14512" s="1" t="s">
        <v>5430</v>
      </c>
      <c r="D14512" s="1" t="s">
        <v>5432</v>
      </c>
    </row>
    <row r="14513">
      <c r="A14513" s="1" t="s">
        <v>24818</v>
      </c>
      <c r="B14513" s="2" t="s">
        <v>4666</v>
      </c>
      <c r="C14513" s="1" t="s">
        <v>5430</v>
      </c>
      <c r="D14513" s="1" t="s">
        <v>5432</v>
      </c>
    </row>
    <row r="14514">
      <c r="A14514" s="1" t="s">
        <v>24819</v>
      </c>
      <c r="B14514" s="2" t="s">
        <v>24820</v>
      </c>
      <c r="C14514" s="1" t="s">
        <v>5430</v>
      </c>
      <c r="D14514" s="1" t="s">
        <v>5432</v>
      </c>
    </row>
    <row r="14515">
      <c r="A14515" s="1" t="s">
        <v>24821</v>
      </c>
      <c r="B14515" s="2" t="s">
        <v>24822</v>
      </c>
      <c r="C14515" s="1" t="s">
        <v>5430</v>
      </c>
      <c r="D14515" s="1" t="s">
        <v>5432</v>
      </c>
    </row>
    <row r="14516">
      <c r="A14516" s="1" t="s">
        <v>24823</v>
      </c>
      <c r="B14516" s="2" t="s">
        <v>24824</v>
      </c>
      <c r="C14516" s="1" t="s">
        <v>5430</v>
      </c>
      <c r="D14516" s="1" t="s">
        <v>5432</v>
      </c>
    </row>
    <row r="14517">
      <c r="A14517" s="1" t="s">
        <v>24825</v>
      </c>
      <c r="B14517" s="2" t="s">
        <v>24826</v>
      </c>
      <c r="C14517" s="1" t="s">
        <v>5430</v>
      </c>
      <c r="D14517" s="1" t="s">
        <v>5432</v>
      </c>
    </row>
    <row r="14518">
      <c r="A14518" s="1" t="s">
        <v>24827</v>
      </c>
      <c r="B14518" s="2" t="s">
        <v>4698</v>
      </c>
      <c r="C14518" s="1" t="s">
        <v>5430</v>
      </c>
      <c r="D14518" s="1" t="s">
        <v>5432</v>
      </c>
    </row>
    <row r="14519">
      <c r="A14519" s="1" t="s">
        <v>24828</v>
      </c>
      <c r="B14519" s="2" t="s">
        <v>24829</v>
      </c>
      <c r="C14519" s="1" t="s">
        <v>5430</v>
      </c>
      <c r="D14519" s="1" t="s">
        <v>5432</v>
      </c>
    </row>
    <row r="14520">
      <c r="A14520" s="1" t="s">
        <v>24830</v>
      </c>
      <c r="B14520" s="2" t="s">
        <v>24831</v>
      </c>
      <c r="C14520" s="1" t="s">
        <v>5430</v>
      </c>
      <c r="D14520" s="1" t="s">
        <v>5432</v>
      </c>
    </row>
    <row r="14521">
      <c r="A14521" s="1" t="s">
        <v>24832</v>
      </c>
      <c r="B14521" s="2" t="s">
        <v>24833</v>
      </c>
      <c r="C14521" s="1" t="s">
        <v>5430</v>
      </c>
      <c r="D14521" s="1" t="s">
        <v>5432</v>
      </c>
    </row>
    <row r="14522">
      <c r="A14522" s="1" t="s">
        <v>24834</v>
      </c>
      <c r="B14522" s="2" t="s">
        <v>24835</v>
      </c>
      <c r="C14522" s="1" t="s">
        <v>5430</v>
      </c>
      <c r="D14522" s="1" t="s">
        <v>5432</v>
      </c>
    </row>
    <row r="14523">
      <c r="A14523" s="1" t="s">
        <v>24836</v>
      </c>
      <c r="B14523" s="2" t="s">
        <v>24837</v>
      </c>
      <c r="C14523" s="1" t="s">
        <v>5430</v>
      </c>
      <c r="D14523" s="1" t="s">
        <v>5432</v>
      </c>
    </row>
    <row r="14524">
      <c r="A14524" s="1" t="s">
        <v>24838</v>
      </c>
      <c r="B14524" s="2" t="s">
        <v>24839</v>
      </c>
      <c r="C14524" s="1" t="s">
        <v>5430</v>
      </c>
      <c r="D14524" s="1" t="s">
        <v>5432</v>
      </c>
    </row>
    <row r="14525">
      <c r="A14525" s="1" t="s">
        <v>24840</v>
      </c>
      <c r="B14525" s="2" t="s">
        <v>4719</v>
      </c>
      <c r="C14525" s="1" t="s">
        <v>5430</v>
      </c>
      <c r="D14525" s="1" t="s">
        <v>5432</v>
      </c>
    </row>
    <row r="14526">
      <c r="A14526" s="1" t="s">
        <v>24841</v>
      </c>
      <c r="B14526" s="2" t="s">
        <v>4721</v>
      </c>
      <c r="C14526" s="1" t="s">
        <v>5430</v>
      </c>
      <c r="D14526" s="1" t="s">
        <v>5432</v>
      </c>
    </row>
    <row r="14527">
      <c r="A14527" s="1" t="s">
        <v>24842</v>
      </c>
      <c r="B14527" s="2" t="s">
        <v>24843</v>
      </c>
      <c r="C14527" s="1" t="s">
        <v>5430</v>
      </c>
      <c r="D14527" s="1" t="s">
        <v>5432</v>
      </c>
    </row>
    <row r="14528">
      <c r="A14528" s="1" t="s">
        <v>24844</v>
      </c>
      <c r="B14528" s="2" t="s">
        <v>24845</v>
      </c>
      <c r="C14528" s="1" t="s">
        <v>5430</v>
      </c>
      <c r="D14528" s="1" t="s">
        <v>5432</v>
      </c>
    </row>
    <row r="14529">
      <c r="A14529" s="1" t="s">
        <v>24846</v>
      </c>
      <c r="B14529" s="2" t="s">
        <v>24847</v>
      </c>
      <c r="C14529" s="1" t="s">
        <v>5430</v>
      </c>
      <c r="D14529" s="1" t="s">
        <v>5432</v>
      </c>
    </row>
    <row r="14530">
      <c r="A14530" s="1" t="s">
        <v>24848</v>
      </c>
      <c r="B14530" s="2" t="s">
        <v>24849</v>
      </c>
      <c r="C14530" s="1" t="s">
        <v>5430</v>
      </c>
      <c r="D14530" s="1" t="s">
        <v>5432</v>
      </c>
    </row>
    <row r="14531">
      <c r="A14531" s="1" t="s">
        <v>24850</v>
      </c>
      <c r="B14531" s="2" t="s">
        <v>4751</v>
      </c>
      <c r="C14531" s="1" t="s">
        <v>5430</v>
      </c>
      <c r="D14531" s="1" t="s">
        <v>5432</v>
      </c>
    </row>
    <row r="14532">
      <c r="A14532" s="1" t="s">
        <v>24851</v>
      </c>
      <c r="B14532" s="2" t="s">
        <v>24852</v>
      </c>
      <c r="C14532" s="1" t="s">
        <v>5430</v>
      </c>
      <c r="D14532" s="1" t="s">
        <v>5432</v>
      </c>
    </row>
    <row r="14533">
      <c r="A14533" s="1" t="s">
        <v>24853</v>
      </c>
      <c r="B14533" s="2" t="s">
        <v>24854</v>
      </c>
      <c r="C14533" s="1" t="s">
        <v>5430</v>
      </c>
      <c r="D14533" s="1" t="s">
        <v>5432</v>
      </c>
    </row>
    <row r="14534">
      <c r="A14534" s="1" t="s">
        <v>24855</v>
      </c>
      <c r="B14534" s="2" t="s">
        <v>24856</v>
      </c>
      <c r="C14534" s="1" t="s">
        <v>5430</v>
      </c>
      <c r="D14534" s="1" t="s">
        <v>5432</v>
      </c>
    </row>
    <row r="14535">
      <c r="A14535" s="1" t="s">
        <v>24857</v>
      </c>
      <c r="B14535" s="2" t="s">
        <v>24858</v>
      </c>
      <c r="C14535" s="1" t="s">
        <v>5430</v>
      </c>
      <c r="D14535" s="1" t="s">
        <v>5432</v>
      </c>
    </row>
    <row r="14536">
      <c r="A14536" s="1" t="s">
        <v>24859</v>
      </c>
      <c r="B14536" s="2" t="s">
        <v>24860</v>
      </c>
      <c r="C14536" s="1" t="s">
        <v>5430</v>
      </c>
      <c r="D14536" s="1" t="s">
        <v>5432</v>
      </c>
    </row>
    <row r="14537">
      <c r="A14537" s="1" t="s">
        <v>24861</v>
      </c>
      <c r="B14537" s="2" t="s">
        <v>24862</v>
      </c>
      <c r="C14537" s="1" t="s">
        <v>5430</v>
      </c>
      <c r="D14537" s="1" t="s">
        <v>5432</v>
      </c>
    </row>
    <row r="14538">
      <c r="A14538" s="1" t="s">
        <v>5439</v>
      </c>
      <c r="B14538" s="2" t="s">
        <v>7</v>
      </c>
      <c r="C14538" s="1" t="s">
        <v>5442</v>
      </c>
      <c r="D14538" s="1" t="s">
        <v>5444</v>
      </c>
    </row>
    <row r="14539">
      <c r="A14539" s="1" t="s">
        <v>24863</v>
      </c>
      <c r="B14539" s="2" t="s">
        <v>24596</v>
      </c>
      <c r="C14539" s="1" t="s">
        <v>5442</v>
      </c>
      <c r="D14539" s="1" t="s">
        <v>5444</v>
      </c>
    </row>
    <row r="14540">
      <c r="A14540" s="1" t="s">
        <v>24864</v>
      </c>
      <c r="B14540" s="2" t="s">
        <v>24865</v>
      </c>
      <c r="C14540" s="1" t="s">
        <v>5442</v>
      </c>
      <c r="D14540" s="1" t="s">
        <v>5444</v>
      </c>
    </row>
    <row r="14541">
      <c r="A14541" s="1" t="s">
        <v>24866</v>
      </c>
      <c r="B14541" s="2" t="s">
        <v>24867</v>
      </c>
      <c r="C14541" s="1" t="s">
        <v>5442</v>
      </c>
      <c r="D14541" s="1" t="s">
        <v>5444</v>
      </c>
    </row>
    <row r="14542">
      <c r="A14542" s="1" t="s">
        <v>24868</v>
      </c>
      <c r="B14542" s="2" t="s">
        <v>24869</v>
      </c>
      <c r="C14542" s="1" t="s">
        <v>5442</v>
      </c>
      <c r="D14542" s="1" t="s">
        <v>5444</v>
      </c>
    </row>
    <row r="14543">
      <c r="A14543" s="1" t="s">
        <v>24870</v>
      </c>
      <c r="B14543" s="2" t="s">
        <v>24871</v>
      </c>
      <c r="C14543" s="1" t="s">
        <v>5442</v>
      </c>
      <c r="D14543" s="1" t="s">
        <v>5444</v>
      </c>
    </row>
    <row r="14544">
      <c r="A14544" s="1" t="s">
        <v>24872</v>
      </c>
      <c r="B14544" s="2" t="s">
        <v>24873</v>
      </c>
      <c r="C14544" s="1" t="s">
        <v>5442</v>
      </c>
      <c r="D14544" s="1" t="s">
        <v>5444</v>
      </c>
    </row>
    <row r="14545">
      <c r="A14545" s="1" t="s">
        <v>24874</v>
      </c>
      <c r="B14545" s="2" t="s">
        <v>24875</v>
      </c>
      <c r="C14545" s="1" t="s">
        <v>5442</v>
      </c>
      <c r="D14545" s="1" t="s">
        <v>5444</v>
      </c>
    </row>
    <row r="14546">
      <c r="A14546" s="1" t="s">
        <v>24876</v>
      </c>
      <c r="B14546" s="2" t="s">
        <v>24877</v>
      </c>
      <c r="C14546" s="1" t="s">
        <v>5442</v>
      </c>
      <c r="D14546" s="1" t="s">
        <v>5444</v>
      </c>
    </row>
    <row r="14547">
      <c r="A14547" s="1" t="s">
        <v>24878</v>
      </c>
      <c r="B14547" s="2" t="s">
        <v>24879</v>
      </c>
      <c r="C14547" s="1" t="s">
        <v>5442</v>
      </c>
      <c r="D14547" s="1" t="s">
        <v>5444</v>
      </c>
    </row>
    <row r="14548">
      <c r="A14548" s="1" t="s">
        <v>24880</v>
      </c>
      <c r="B14548" s="2" t="s">
        <v>24881</v>
      </c>
      <c r="C14548" s="1" t="s">
        <v>5442</v>
      </c>
      <c r="D14548" s="1" t="s">
        <v>5444</v>
      </c>
    </row>
    <row r="14549">
      <c r="A14549" s="1" t="s">
        <v>24882</v>
      </c>
      <c r="B14549" s="2" t="s">
        <v>24883</v>
      </c>
      <c r="C14549" s="1" t="s">
        <v>5442</v>
      </c>
      <c r="D14549" s="1" t="s">
        <v>5444</v>
      </c>
    </row>
    <row r="14550">
      <c r="A14550" s="1" t="s">
        <v>24884</v>
      </c>
      <c r="B14550" s="2" t="s">
        <v>24885</v>
      </c>
      <c r="C14550" s="1" t="s">
        <v>5442</v>
      </c>
      <c r="D14550" s="1" t="s">
        <v>5444</v>
      </c>
    </row>
    <row r="14551">
      <c r="A14551" s="1" t="s">
        <v>24886</v>
      </c>
      <c r="B14551" s="2" t="s">
        <v>24887</v>
      </c>
      <c r="C14551" s="1" t="s">
        <v>5442</v>
      </c>
      <c r="D14551" s="1" t="s">
        <v>5444</v>
      </c>
    </row>
    <row r="14552">
      <c r="A14552" s="1" t="s">
        <v>24888</v>
      </c>
      <c r="B14552" s="2" t="s">
        <v>24889</v>
      </c>
      <c r="C14552" s="1" t="s">
        <v>5442</v>
      </c>
      <c r="D14552" s="1" t="s">
        <v>5444</v>
      </c>
    </row>
    <row r="14553">
      <c r="A14553" s="1" t="s">
        <v>24890</v>
      </c>
      <c r="B14553" s="2" t="s">
        <v>24891</v>
      </c>
      <c r="C14553" s="1" t="s">
        <v>5442</v>
      </c>
      <c r="D14553" s="1" t="s">
        <v>5444</v>
      </c>
    </row>
    <row r="14554">
      <c r="A14554" s="1" t="s">
        <v>24892</v>
      </c>
      <c r="B14554" s="2" t="s">
        <v>24893</v>
      </c>
      <c r="C14554" s="1" t="s">
        <v>5442</v>
      </c>
      <c r="D14554" s="1" t="s">
        <v>5444</v>
      </c>
    </row>
    <row r="14555">
      <c r="A14555" s="1" t="s">
        <v>24894</v>
      </c>
      <c r="B14555" s="2" t="s">
        <v>24895</v>
      </c>
      <c r="C14555" s="1" t="s">
        <v>5442</v>
      </c>
      <c r="D14555" s="1" t="s">
        <v>5444</v>
      </c>
    </row>
    <row r="14556">
      <c r="A14556" s="1" t="s">
        <v>24896</v>
      </c>
      <c r="B14556" s="2" t="s">
        <v>24897</v>
      </c>
      <c r="C14556" s="1" t="s">
        <v>5442</v>
      </c>
      <c r="D14556" s="1" t="s">
        <v>5444</v>
      </c>
    </row>
    <row r="14557">
      <c r="A14557" s="1" t="s">
        <v>24898</v>
      </c>
      <c r="B14557" s="2" t="s">
        <v>24899</v>
      </c>
      <c r="C14557" s="1" t="s">
        <v>5442</v>
      </c>
      <c r="D14557" s="1" t="s">
        <v>5444</v>
      </c>
    </row>
    <row r="14558">
      <c r="A14558" s="1" t="s">
        <v>24900</v>
      </c>
      <c r="B14558" s="2" t="s">
        <v>24901</v>
      </c>
      <c r="C14558" s="1" t="s">
        <v>5442</v>
      </c>
      <c r="D14558" s="1" t="s">
        <v>5444</v>
      </c>
    </row>
    <row r="14559">
      <c r="A14559" s="1" t="s">
        <v>24902</v>
      </c>
      <c r="B14559" s="2" t="s">
        <v>24903</v>
      </c>
      <c r="C14559" s="1" t="s">
        <v>5442</v>
      </c>
      <c r="D14559" s="1" t="s">
        <v>5444</v>
      </c>
    </row>
    <row r="14560">
      <c r="A14560" s="1" t="s">
        <v>24904</v>
      </c>
      <c r="B14560" s="2" t="s">
        <v>24640</v>
      </c>
      <c r="C14560" s="1" t="s">
        <v>5442</v>
      </c>
      <c r="D14560" s="1" t="s">
        <v>5444</v>
      </c>
    </row>
    <row r="14561">
      <c r="A14561" s="1" t="s">
        <v>24905</v>
      </c>
      <c r="B14561" s="2" t="s">
        <v>24906</v>
      </c>
      <c r="C14561" s="1" t="s">
        <v>5442</v>
      </c>
      <c r="D14561" s="1" t="s">
        <v>5444</v>
      </c>
    </row>
    <row r="14562">
      <c r="A14562" s="1" t="s">
        <v>24907</v>
      </c>
      <c r="B14562" s="2" t="s">
        <v>24908</v>
      </c>
      <c r="C14562" s="1" t="s">
        <v>5442</v>
      </c>
      <c r="D14562" s="1" t="s">
        <v>5444</v>
      </c>
    </row>
    <row r="14563">
      <c r="A14563" s="1" t="s">
        <v>24909</v>
      </c>
      <c r="B14563" s="2" t="s">
        <v>24910</v>
      </c>
      <c r="C14563" s="1" t="s">
        <v>5442</v>
      </c>
      <c r="D14563" s="1" t="s">
        <v>5444</v>
      </c>
    </row>
    <row r="14564">
      <c r="A14564" s="1" t="s">
        <v>24911</v>
      </c>
      <c r="B14564" s="2" t="s">
        <v>24912</v>
      </c>
      <c r="C14564" s="1" t="s">
        <v>5442</v>
      </c>
      <c r="D14564" s="1" t="s">
        <v>5444</v>
      </c>
    </row>
    <row r="14565">
      <c r="A14565" s="1" t="s">
        <v>24913</v>
      </c>
      <c r="B14565" s="2" t="s">
        <v>24914</v>
      </c>
      <c r="C14565" s="1" t="s">
        <v>5442</v>
      </c>
      <c r="D14565" s="1" t="s">
        <v>5444</v>
      </c>
    </row>
    <row r="14566">
      <c r="A14566" s="1" t="s">
        <v>24915</v>
      </c>
      <c r="B14566" s="2" t="s">
        <v>24916</v>
      </c>
      <c r="C14566" s="1" t="s">
        <v>5442</v>
      </c>
      <c r="D14566" s="1" t="s">
        <v>5444</v>
      </c>
    </row>
    <row r="14567">
      <c r="A14567" s="1" t="s">
        <v>24917</v>
      </c>
      <c r="B14567" s="2" t="s">
        <v>24918</v>
      </c>
      <c r="C14567" s="1" t="s">
        <v>5442</v>
      </c>
      <c r="D14567" s="1" t="s">
        <v>5444</v>
      </c>
    </row>
    <row r="14568">
      <c r="A14568" s="1" t="s">
        <v>24919</v>
      </c>
      <c r="B14568" s="2" t="s">
        <v>24920</v>
      </c>
      <c r="C14568" s="1" t="s">
        <v>5442</v>
      </c>
      <c r="D14568" s="1" t="s">
        <v>5444</v>
      </c>
    </row>
    <row r="14569">
      <c r="A14569" s="1" t="s">
        <v>24921</v>
      </c>
      <c r="B14569" s="2" t="s">
        <v>24922</v>
      </c>
      <c r="C14569" s="1" t="s">
        <v>5442</v>
      </c>
      <c r="D14569" s="1" t="s">
        <v>5444</v>
      </c>
    </row>
    <row r="14570">
      <c r="A14570" s="1" t="s">
        <v>24923</v>
      </c>
      <c r="B14570" s="2" t="s">
        <v>24924</v>
      </c>
      <c r="C14570" s="1" t="s">
        <v>5442</v>
      </c>
      <c r="D14570" s="1" t="s">
        <v>5444</v>
      </c>
    </row>
    <row r="14571">
      <c r="A14571" s="1" t="s">
        <v>24925</v>
      </c>
      <c r="B14571" s="2" t="s">
        <v>24926</v>
      </c>
      <c r="C14571" s="1" t="s">
        <v>5442</v>
      </c>
      <c r="D14571" s="1" t="s">
        <v>5444</v>
      </c>
    </row>
    <row r="14572">
      <c r="A14572" s="1" t="s">
        <v>24927</v>
      </c>
      <c r="B14572" s="2" t="s">
        <v>24928</v>
      </c>
      <c r="C14572" s="1" t="s">
        <v>5442</v>
      </c>
      <c r="D14572" s="1" t="s">
        <v>5444</v>
      </c>
    </row>
    <row r="14573">
      <c r="A14573" s="1" t="s">
        <v>24929</v>
      </c>
      <c r="B14573" s="2" t="s">
        <v>24930</v>
      </c>
      <c r="C14573" s="1" t="s">
        <v>5442</v>
      </c>
      <c r="D14573" s="1" t="s">
        <v>5444</v>
      </c>
    </row>
    <row r="14574">
      <c r="A14574" s="1" t="s">
        <v>24931</v>
      </c>
      <c r="B14574" s="2" t="s">
        <v>24932</v>
      </c>
      <c r="C14574" s="1" t="s">
        <v>5442</v>
      </c>
      <c r="D14574" s="1" t="s">
        <v>5444</v>
      </c>
    </row>
    <row r="14575">
      <c r="A14575" s="1" t="s">
        <v>24933</v>
      </c>
      <c r="B14575" s="2" t="s">
        <v>24934</v>
      </c>
      <c r="C14575" s="1" t="s">
        <v>5442</v>
      </c>
      <c r="D14575" s="1" t="s">
        <v>5444</v>
      </c>
    </row>
    <row r="14576">
      <c r="A14576" s="1" t="s">
        <v>24935</v>
      </c>
      <c r="B14576" s="2" t="s">
        <v>24936</v>
      </c>
      <c r="C14576" s="1" t="s">
        <v>5442</v>
      </c>
      <c r="D14576" s="1" t="s">
        <v>5444</v>
      </c>
    </row>
    <row r="14577">
      <c r="A14577" s="1" t="s">
        <v>24937</v>
      </c>
      <c r="B14577" s="2" t="s">
        <v>24938</v>
      </c>
      <c r="C14577" s="1" t="s">
        <v>5442</v>
      </c>
      <c r="D14577" s="1" t="s">
        <v>5444</v>
      </c>
    </row>
    <row r="14578">
      <c r="A14578" s="1" t="s">
        <v>24939</v>
      </c>
      <c r="B14578" s="2" t="s">
        <v>24940</v>
      </c>
      <c r="C14578" s="1" t="s">
        <v>5442</v>
      </c>
      <c r="D14578" s="1" t="s">
        <v>5444</v>
      </c>
    </row>
    <row r="14579">
      <c r="A14579" s="1" t="s">
        <v>24941</v>
      </c>
      <c r="B14579" s="2" t="s">
        <v>24942</v>
      </c>
      <c r="C14579" s="1" t="s">
        <v>5442</v>
      </c>
      <c r="D14579" s="1" t="s">
        <v>5444</v>
      </c>
    </row>
    <row r="14580">
      <c r="A14580" s="1" t="s">
        <v>24943</v>
      </c>
      <c r="B14580" s="2" t="s">
        <v>24944</v>
      </c>
      <c r="C14580" s="1" t="s">
        <v>5442</v>
      </c>
      <c r="D14580" s="1" t="s">
        <v>5444</v>
      </c>
    </row>
    <row r="14581">
      <c r="A14581" s="1" t="s">
        <v>5449</v>
      </c>
      <c r="B14581" s="2" t="s">
        <v>7</v>
      </c>
      <c r="C14581" s="1" t="s">
        <v>5451</v>
      </c>
      <c r="D14581" s="1" t="s">
        <v>5452</v>
      </c>
    </row>
    <row r="14582">
      <c r="A14582" s="1" t="s">
        <v>24945</v>
      </c>
      <c r="B14582" s="2" t="s">
        <v>24596</v>
      </c>
      <c r="C14582" s="1" t="s">
        <v>5451</v>
      </c>
      <c r="D14582" s="1" t="s">
        <v>5452</v>
      </c>
    </row>
    <row r="14583">
      <c r="A14583" s="1" t="s">
        <v>24946</v>
      </c>
      <c r="B14583" s="2" t="s">
        <v>24947</v>
      </c>
      <c r="C14583" s="1" t="s">
        <v>5451</v>
      </c>
      <c r="D14583" s="1" t="s">
        <v>5452</v>
      </c>
    </row>
    <row r="14584">
      <c r="A14584" s="1" t="s">
        <v>24948</v>
      </c>
      <c r="B14584" s="2" t="s">
        <v>24949</v>
      </c>
      <c r="C14584" s="1" t="s">
        <v>5451</v>
      </c>
      <c r="D14584" s="1" t="s">
        <v>5452</v>
      </c>
    </row>
    <row r="14585">
      <c r="A14585" s="1" t="s">
        <v>24950</v>
      </c>
      <c r="B14585" s="2" t="s">
        <v>24951</v>
      </c>
      <c r="C14585" s="1" t="s">
        <v>5451</v>
      </c>
      <c r="D14585" s="1" t="s">
        <v>5452</v>
      </c>
    </row>
    <row r="14586">
      <c r="A14586" s="1" t="s">
        <v>24952</v>
      </c>
      <c r="B14586" s="2" t="s">
        <v>24953</v>
      </c>
      <c r="C14586" s="1" t="s">
        <v>5451</v>
      </c>
      <c r="D14586" s="1" t="s">
        <v>5452</v>
      </c>
    </row>
    <row r="14587">
      <c r="A14587" s="1" t="s">
        <v>24954</v>
      </c>
      <c r="B14587" s="2" t="s">
        <v>24955</v>
      </c>
      <c r="C14587" s="1" t="s">
        <v>5451</v>
      </c>
      <c r="D14587" s="1" t="s">
        <v>5452</v>
      </c>
    </row>
    <row r="14588">
      <c r="A14588" s="1" t="s">
        <v>24956</v>
      </c>
      <c r="B14588" s="2" t="s">
        <v>24957</v>
      </c>
      <c r="C14588" s="1" t="s">
        <v>5451</v>
      </c>
      <c r="D14588" s="1" t="s">
        <v>5452</v>
      </c>
    </row>
    <row r="14589">
      <c r="A14589" s="1" t="s">
        <v>24958</v>
      </c>
      <c r="B14589" s="2" t="s">
        <v>24959</v>
      </c>
      <c r="C14589" s="1" t="s">
        <v>5451</v>
      </c>
      <c r="D14589" s="1" t="s">
        <v>5452</v>
      </c>
    </row>
    <row r="14590">
      <c r="A14590" s="1" t="s">
        <v>24960</v>
      </c>
      <c r="B14590" s="2" t="s">
        <v>24961</v>
      </c>
      <c r="C14590" s="1" t="s">
        <v>5451</v>
      </c>
      <c r="D14590" s="1" t="s">
        <v>5452</v>
      </c>
    </row>
    <row r="14591">
      <c r="A14591" s="1" t="s">
        <v>24962</v>
      </c>
      <c r="B14591" s="2" t="s">
        <v>24963</v>
      </c>
      <c r="C14591" s="1" t="s">
        <v>5451</v>
      </c>
      <c r="D14591" s="1" t="s">
        <v>5452</v>
      </c>
    </row>
    <row r="14592">
      <c r="A14592" s="1" t="s">
        <v>24964</v>
      </c>
      <c r="B14592" s="2" t="s">
        <v>24965</v>
      </c>
      <c r="C14592" s="1" t="s">
        <v>5451</v>
      </c>
      <c r="D14592" s="1" t="s">
        <v>5452</v>
      </c>
    </row>
    <row r="14593">
      <c r="A14593" s="1" t="s">
        <v>24966</v>
      </c>
      <c r="B14593" s="2" t="s">
        <v>24967</v>
      </c>
      <c r="C14593" s="1" t="s">
        <v>5451</v>
      </c>
      <c r="D14593" s="1" t="s">
        <v>5452</v>
      </c>
    </row>
    <row r="14594">
      <c r="A14594" s="1" t="s">
        <v>24968</v>
      </c>
      <c r="B14594" s="2" t="s">
        <v>24969</v>
      </c>
      <c r="C14594" s="1" t="s">
        <v>5451</v>
      </c>
      <c r="D14594" s="1" t="s">
        <v>5452</v>
      </c>
    </row>
    <row r="14595">
      <c r="A14595" s="1" t="s">
        <v>24970</v>
      </c>
      <c r="B14595" s="2" t="s">
        <v>24640</v>
      </c>
      <c r="C14595" s="1" t="s">
        <v>5451</v>
      </c>
      <c r="D14595" s="1" t="s">
        <v>5452</v>
      </c>
    </row>
    <row r="14596">
      <c r="A14596" s="1" t="s">
        <v>24971</v>
      </c>
      <c r="B14596" s="2" t="s">
        <v>24972</v>
      </c>
      <c r="C14596" s="1" t="s">
        <v>5451</v>
      </c>
      <c r="D14596" s="1" t="s">
        <v>5452</v>
      </c>
    </row>
    <row r="14597">
      <c r="A14597" s="1" t="s">
        <v>24973</v>
      </c>
      <c r="B14597" s="2" t="s">
        <v>24974</v>
      </c>
      <c r="C14597" s="1" t="s">
        <v>5451</v>
      </c>
      <c r="D14597" s="1" t="s">
        <v>5452</v>
      </c>
    </row>
    <row r="14598">
      <c r="A14598" s="1" t="s">
        <v>24975</v>
      </c>
      <c r="B14598" s="2" t="s">
        <v>24976</v>
      </c>
      <c r="C14598" s="1" t="s">
        <v>5451</v>
      </c>
      <c r="D14598" s="1" t="s">
        <v>5452</v>
      </c>
    </row>
    <row r="14599">
      <c r="A14599" s="1" t="s">
        <v>24977</v>
      </c>
      <c r="B14599" s="2" t="s">
        <v>24978</v>
      </c>
      <c r="C14599" s="1" t="s">
        <v>5451</v>
      </c>
      <c r="D14599" s="1" t="s">
        <v>5452</v>
      </c>
    </row>
    <row r="14600">
      <c r="A14600" s="1" t="s">
        <v>24979</v>
      </c>
      <c r="B14600" s="2" t="s">
        <v>24980</v>
      </c>
      <c r="C14600" s="1" t="s">
        <v>5451</v>
      </c>
      <c r="D14600" s="1" t="s">
        <v>5452</v>
      </c>
    </row>
    <row r="14601">
      <c r="A14601" s="1" t="s">
        <v>24981</v>
      </c>
      <c r="B14601" s="2" t="s">
        <v>24982</v>
      </c>
      <c r="C14601" s="1" t="s">
        <v>5451</v>
      </c>
      <c r="D14601" s="1" t="s">
        <v>5452</v>
      </c>
    </row>
    <row r="14602">
      <c r="A14602" s="1" t="s">
        <v>24983</v>
      </c>
      <c r="B14602" s="2" t="s">
        <v>24984</v>
      </c>
      <c r="C14602" s="1" t="s">
        <v>5451</v>
      </c>
      <c r="D14602" s="1" t="s">
        <v>5452</v>
      </c>
    </row>
    <row r="14603">
      <c r="A14603" s="1" t="s">
        <v>24985</v>
      </c>
      <c r="B14603" s="2" t="s">
        <v>24986</v>
      </c>
      <c r="C14603" s="1" t="s">
        <v>5451</v>
      </c>
      <c r="D14603" s="1" t="s">
        <v>5452</v>
      </c>
    </row>
    <row r="14604">
      <c r="A14604" s="1" t="s">
        <v>24987</v>
      </c>
      <c r="B14604" s="2" t="s">
        <v>24988</v>
      </c>
      <c r="C14604" s="1" t="s">
        <v>5451</v>
      </c>
      <c r="D14604" s="1" t="s">
        <v>5452</v>
      </c>
    </row>
    <row r="14605">
      <c r="A14605" s="1" t="s">
        <v>24989</v>
      </c>
      <c r="B14605" s="2" t="s">
        <v>24990</v>
      </c>
      <c r="C14605" s="1" t="s">
        <v>5451</v>
      </c>
      <c r="D14605" s="1" t="s">
        <v>5452</v>
      </c>
    </row>
    <row r="14606">
      <c r="A14606" s="1" t="s">
        <v>24991</v>
      </c>
      <c r="B14606" s="2" t="s">
        <v>24992</v>
      </c>
      <c r="C14606" s="1" t="s">
        <v>5451</v>
      </c>
      <c r="D14606" s="1" t="s">
        <v>5452</v>
      </c>
    </row>
    <row r="14607">
      <c r="A14607" s="1" t="s">
        <v>24993</v>
      </c>
      <c r="B14607" s="2" t="s">
        <v>24994</v>
      </c>
      <c r="C14607" s="1" t="s">
        <v>5451</v>
      </c>
      <c r="D14607" s="1" t="s">
        <v>5452</v>
      </c>
    </row>
    <row r="14608">
      <c r="A14608" s="1" t="s">
        <v>5455</v>
      </c>
      <c r="B14608" s="2" t="s">
        <v>5457</v>
      </c>
      <c r="C14608" s="1" t="s">
        <v>5458</v>
      </c>
      <c r="D14608" s="1" t="s">
        <v>5460</v>
      </c>
    </row>
    <row r="14609">
      <c r="A14609" s="1" t="s">
        <v>24995</v>
      </c>
      <c r="B14609" s="2" t="s">
        <v>24996</v>
      </c>
      <c r="C14609" s="1" t="s">
        <v>5458</v>
      </c>
      <c r="D14609" s="1" t="s">
        <v>5460</v>
      </c>
    </row>
    <row r="14610">
      <c r="A14610" s="1" t="s">
        <v>24997</v>
      </c>
      <c r="B14610" s="2" t="s">
        <v>24998</v>
      </c>
      <c r="C14610" s="1" t="s">
        <v>5458</v>
      </c>
      <c r="D14610" s="1" t="s">
        <v>5460</v>
      </c>
    </row>
    <row r="14611">
      <c r="A14611" s="1" t="s">
        <v>5463</v>
      </c>
      <c r="B14611" s="2" t="s">
        <v>5464</v>
      </c>
      <c r="C14611" s="1" t="s">
        <v>5466</v>
      </c>
      <c r="D14611" s="1" t="s">
        <v>5467</v>
      </c>
    </row>
    <row r="14612">
      <c r="A14612" s="1" t="s">
        <v>24999</v>
      </c>
      <c r="B14612" s="2" t="s">
        <v>25000</v>
      </c>
      <c r="C14612" s="1" t="s">
        <v>5466</v>
      </c>
      <c r="D14612" s="1" t="s">
        <v>5467</v>
      </c>
    </row>
    <row r="14613">
      <c r="A14613" s="1" t="s">
        <v>25001</v>
      </c>
      <c r="B14613" s="2" t="s">
        <v>25002</v>
      </c>
      <c r="C14613" s="1" t="s">
        <v>5466</v>
      </c>
      <c r="D14613" s="1" t="s">
        <v>5467</v>
      </c>
    </row>
    <row r="14614">
      <c r="A14614" s="1" t="s">
        <v>5470</v>
      </c>
      <c r="B14614" s="2" t="s">
        <v>5472</v>
      </c>
      <c r="C14614" s="1" t="s">
        <v>5473</v>
      </c>
      <c r="D14614" s="1" t="s">
        <v>5475</v>
      </c>
    </row>
    <row r="14615">
      <c r="A14615" s="1" t="s">
        <v>25003</v>
      </c>
      <c r="B14615" s="2" t="s">
        <v>25004</v>
      </c>
      <c r="C14615" s="1" t="s">
        <v>5473</v>
      </c>
      <c r="D14615" s="1" t="s">
        <v>5475</v>
      </c>
    </row>
    <row r="14616">
      <c r="A14616" s="1" t="s">
        <v>25005</v>
      </c>
      <c r="B14616" s="2" t="s">
        <v>25006</v>
      </c>
      <c r="C14616" s="1" t="s">
        <v>5473</v>
      </c>
      <c r="D14616" s="1" t="s">
        <v>5475</v>
      </c>
    </row>
    <row r="14617">
      <c r="A14617" s="1" t="s">
        <v>5477</v>
      </c>
      <c r="B14617" s="2" t="s">
        <v>7</v>
      </c>
      <c r="C14617" s="1" t="s">
        <v>5480</v>
      </c>
      <c r="D14617" s="1" t="s">
        <v>5482</v>
      </c>
    </row>
    <row r="14618">
      <c r="A14618" s="1" t="s">
        <v>25007</v>
      </c>
      <c r="B14618" s="2" t="s">
        <v>13</v>
      </c>
      <c r="C14618" s="1" t="s">
        <v>5480</v>
      </c>
      <c r="D14618" s="1" t="s">
        <v>5482</v>
      </c>
    </row>
    <row r="14619">
      <c r="A14619" s="1" t="s">
        <v>25008</v>
      </c>
      <c r="B14619" s="2" t="s">
        <v>25009</v>
      </c>
      <c r="C14619" s="1" t="s">
        <v>5480</v>
      </c>
      <c r="D14619" s="1" t="s">
        <v>5482</v>
      </c>
    </row>
    <row r="14620">
      <c r="A14620" s="1" t="s">
        <v>25010</v>
      </c>
      <c r="B14620" s="2" t="s">
        <v>25011</v>
      </c>
      <c r="C14620" s="1" t="s">
        <v>5480</v>
      </c>
      <c r="D14620" s="1" t="s">
        <v>5482</v>
      </c>
    </row>
    <row r="14621">
      <c r="A14621" s="1" t="s">
        <v>25012</v>
      </c>
      <c r="B14621" s="2" t="s">
        <v>25013</v>
      </c>
      <c r="C14621" s="1" t="s">
        <v>5480</v>
      </c>
      <c r="D14621" s="1" t="s">
        <v>5482</v>
      </c>
    </row>
    <row r="14622">
      <c r="A14622" s="1" t="s">
        <v>25014</v>
      </c>
      <c r="B14622" s="2" t="s">
        <v>25015</v>
      </c>
      <c r="C14622" s="1" t="s">
        <v>5480</v>
      </c>
      <c r="D14622" s="1" t="s">
        <v>5482</v>
      </c>
    </row>
    <row r="14623">
      <c r="A14623" s="1" t="s">
        <v>25016</v>
      </c>
      <c r="B14623" s="2" t="s">
        <v>25017</v>
      </c>
      <c r="C14623" s="1" t="s">
        <v>5480</v>
      </c>
      <c r="D14623" s="1" t="s">
        <v>5482</v>
      </c>
    </row>
    <row r="14624">
      <c r="A14624" s="1" t="s">
        <v>25018</v>
      </c>
      <c r="B14624" s="2" t="s">
        <v>25019</v>
      </c>
      <c r="C14624" s="1" t="s">
        <v>5480</v>
      </c>
      <c r="D14624" s="1" t="s">
        <v>5482</v>
      </c>
    </row>
    <row r="14625">
      <c r="A14625" s="1" t="s">
        <v>25020</v>
      </c>
      <c r="B14625" s="2" t="s">
        <v>25021</v>
      </c>
      <c r="C14625" s="1" t="s">
        <v>5480</v>
      </c>
      <c r="D14625" s="1" t="s">
        <v>5482</v>
      </c>
    </row>
    <row r="14626">
      <c r="A14626" s="1" t="s">
        <v>25022</v>
      </c>
      <c r="B14626" s="2" t="s">
        <v>25023</v>
      </c>
      <c r="C14626" s="1" t="s">
        <v>5480</v>
      </c>
      <c r="D14626" s="1" t="s">
        <v>5482</v>
      </c>
    </row>
    <row r="14627">
      <c r="A14627" s="1" t="s">
        <v>25024</v>
      </c>
      <c r="B14627" s="2" t="s">
        <v>25025</v>
      </c>
      <c r="C14627" s="1" t="s">
        <v>5480</v>
      </c>
      <c r="D14627" s="1" t="s">
        <v>5482</v>
      </c>
    </row>
    <row r="14628">
      <c r="A14628" s="1" t="s">
        <v>25026</v>
      </c>
      <c r="B14628" s="2" t="s">
        <v>25027</v>
      </c>
      <c r="C14628" s="1" t="s">
        <v>5480</v>
      </c>
      <c r="D14628" s="1" t="s">
        <v>5482</v>
      </c>
    </row>
    <row r="14629">
      <c r="A14629" s="1" t="s">
        <v>25028</v>
      </c>
      <c r="B14629" s="2" t="s">
        <v>25029</v>
      </c>
      <c r="C14629" s="1" t="s">
        <v>5480</v>
      </c>
      <c r="D14629" s="1" t="s">
        <v>5482</v>
      </c>
    </row>
    <row r="14630">
      <c r="A14630" s="1" t="s">
        <v>25030</v>
      </c>
      <c r="B14630" s="2" t="s">
        <v>25031</v>
      </c>
      <c r="C14630" s="1" t="s">
        <v>5480</v>
      </c>
      <c r="D14630" s="1" t="s">
        <v>5482</v>
      </c>
    </row>
    <row r="14631">
      <c r="A14631" s="1" t="s">
        <v>25032</v>
      </c>
      <c r="B14631" s="2" t="s">
        <v>25033</v>
      </c>
      <c r="C14631" s="1" t="s">
        <v>5480</v>
      </c>
      <c r="D14631" s="1" t="s">
        <v>5482</v>
      </c>
    </row>
    <row r="14632">
      <c r="A14632" s="1" t="s">
        <v>25034</v>
      </c>
      <c r="B14632" s="2" t="s">
        <v>25035</v>
      </c>
      <c r="C14632" s="1" t="s">
        <v>5480</v>
      </c>
      <c r="D14632" s="1" t="s">
        <v>5482</v>
      </c>
    </row>
    <row r="14633">
      <c r="A14633" s="1" t="s">
        <v>25036</v>
      </c>
      <c r="B14633" s="2" t="s">
        <v>25037</v>
      </c>
      <c r="C14633" s="1" t="s">
        <v>5480</v>
      </c>
      <c r="D14633" s="1" t="s">
        <v>5482</v>
      </c>
    </row>
    <row r="14634">
      <c r="A14634" s="1" t="s">
        <v>25038</v>
      </c>
      <c r="B14634" s="2" t="s">
        <v>25039</v>
      </c>
      <c r="C14634" s="1" t="s">
        <v>5480</v>
      </c>
      <c r="D14634" s="1" t="s">
        <v>5482</v>
      </c>
    </row>
    <row r="14635">
      <c r="A14635" s="1" t="s">
        <v>25040</v>
      </c>
      <c r="B14635" s="2" t="s">
        <v>25041</v>
      </c>
      <c r="C14635" s="1" t="s">
        <v>5480</v>
      </c>
      <c r="D14635" s="1" t="s">
        <v>5482</v>
      </c>
    </row>
    <row r="14636">
      <c r="A14636" s="1" t="s">
        <v>25042</v>
      </c>
      <c r="B14636" s="2" t="s">
        <v>25043</v>
      </c>
      <c r="C14636" s="1" t="s">
        <v>5480</v>
      </c>
      <c r="D14636" s="1" t="s">
        <v>5482</v>
      </c>
    </row>
    <row r="14637">
      <c r="A14637" s="1" t="s">
        <v>25044</v>
      </c>
      <c r="B14637" s="2" t="s">
        <v>25045</v>
      </c>
      <c r="C14637" s="1" t="s">
        <v>5480</v>
      </c>
      <c r="D14637" s="1" t="s">
        <v>5482</v>
      </c>
    </row>
    <row r="14638">
      <c r="A14638" s="1" t="s">
        <v>25046</v>
      </c>
      <c r="B14638" s="2" t="s">
        <v>25047</v>
      </c>
      <c r="C14638" s="1" t="s">
        <v>5480</v>
      </c>
      <c r="D14638" s="1" t="s">
        <v>5482</v>
      </c>
    </row>
    <row r="14639">
      <c r="A14639" s="1" t="s">
        <v>25048</v>
      </c>
      <c r="B14639" s="2" t="s">
        <v>25049</v>
      </c>
      <c r="C14639" s="1" t="s">
        <v>5480</v>
      </c>
      <c r="D14639" s="1" t="s">
        <v>5482</v>
      </c>
    </row>
    <row r="14640">
      <c r="A14640" s="1" t="s">
        <v>25050</v>
      </c>
      <c r="B14640" s="2" t="s">
        <v>25051</v>
      </c>
      <c r="C14640" s="1" t="s">
        <v>5480</v>
      </c>
      <c r="D14640" s="1" t="s">
        <v>5482</v>
      </c>
    </row>
    <row r="14641">
      <c r="A14641" s="1" t="s">
        <v>25052</v>
      </c>
      <c r="B14641" s="2" t="s">
        <v>25053</v>
      </c>
      <c r="C14641" s="1" t="s">
        <v>5480</v>
      </c>
      <c r="D14641" s="1" t="s">
        <v>5482</v>
      </c>
    </row>
    <row r="14642">
      <c r="A14642" s="1" t="s">
        <v>25054</v>
      </c>
      <c r="B14642" s="2" t="s">
        <v>70</v>
      </c>
      <c r="C14642" s="1" t="s">
        <v>5480</v>
      </c>
      <c r="D14642" s="1" t="s">
        <v>5482</v>
      </c>
    </row>
    <row r="14643">
      <c r="A14643" s="1" t="s">
        <v>25055</v>
      </c>
      <c r="B14643" s="2" t="s">
        <v>25056</v>
      </c>
      <c r="C14643" s="1" t="s">
        <v>5480</v>
      </c>
      <c r="D14643" s="1" t="s">
        <v>5482</v>
      </c>
    </row>
    <row r="14644">
      <c r="A14644" s="1" t="s">
        <v>25057</v>
      </c>
      <c r="B14644" s="2" t="s">
        <v>25058</v>
      </c>
      <c r="C14644" s="1" t="s">
        <v>5480</v>
      </c>
      <c r="D14644" s="1" t="s">
        <v>5482</v>
      </c>
    </row>
    <row r="14645">
      <c r="A14645" s="1" t="s">
        <v>25059</v>
      </c>
      <c r="B14645" s="2" t="s">
        <v>25060</v>
      </c>
      <c r="C14645" s="1" t="s">
        <v>5480</v>
      </c>
      <c r="D14645" s="1" t="s">
        <v>5482</v>
      </c>
    </row>
    <row r="14646">
      <c r="A14646" s="1" t="s">
        <v>25061</v>
      </c>
      <c r="B14646" s="2" t="s">
        <v>25062</v>
      </c>
      <c r="C14646" s="1" t="s">
        <v>5480</v>
      </c>
      <c r="D14646" s="1" t="s">
        <v>5482</v>
      </c>
    </row>
    <row r="14647">
      <c r="A14647" s="1" t="s">
        <v>25063</v>
      </c>
      <c r="B14647" s="2" t="s">
        <v>25064</v>
      </c>
      <c r="C14647" s="1" t="s">
        <v>5480</v>
      </c>
      <c r="D14647" s="1" t="s">
        <v>5482</v>
      </c>
    </row>
    <row r="14648">
      <c r="A14648" s="1" t="s">
        <v>25065</v>
      </c>
      <c r="B14648" s="2" t="s">
        <v>25066</v>
      </c>
      <c r="C14648" s="1" t="s">
        <v>5480</v>
      </c>
      <c r="D14648" s="1" t="s">
        <v>5482</v>
      </c>
    </row>
    <row r="14649">
      <c r="A14649" s="1" t="s">
        <v>25067</v>
      </c>
      <c r="B14649" s="2" t="s">
        <v>25068</v>
      </c>
      <c r="C14649" s="1" t="s">
        <v>5480</v>
      </c>
      <c r="D14649" s="1" t="s">
        <v>5482</v>
      </c>
    </row>
    <row r="14650">
      <c r="A14650" s="1" t="s">
        <v>25069</v>
      </c>
      <c r="B14650" s="2" t="s">
        <v>25070</v>
      </c>
      <c r="C14650" s="1" t="s">
        <v>5480</v>
      </c>
      <c r="D14650" s="1" t="s">
        <v>5482</v>
      </c>
    </row>
    <row r="14651">
      <c r="A14651" s="1" t="s">
        <v>25071</v>
      </c>
      <c r="B14651" s="2" t="s">
        <v>25072</v>
      </c>
      <c r="C14651" s="1" t="s">
        <v>5480</v>
      </c>
      <c r="D14651" s="1" t="s">
        <v>5482</v>
      </c>
    </row>
    <row r="14652">
      <c r="A14652" s="1" t="s">
        <v>25073</v>
      </c>
      <c r="B14652" s="2" t="s">
        <v>25074</v>
      </c>
      <c r="C14652" s="1" t="s">
        <v>5480</v>
      </c>
      <c r="D14652" s="1" t="s">
        <v>5482</v>
      </c>
    </row>
    <row r="14653">
      <c r="A14653" s="1" t="s">
        <v>25075</v>
      </c>
      <c r="B14653" s="2" t="s">
        <v>25076</v>
      </c>
      <c r="C14653" s="1" t="s">
        <v>5480</v>
      </c>
      <c r="D14653" s="1" t="s">
        <v>5482</v>
      </c>
    </row>
    <row r="14654">
      <c r="A14654" s="1" t="s">
        <v>25077</v>
      </c>
      <c r="B14654" s="2" t="s">
        <v>25078</v>
      </c>
      <c r="C14654" s="1" t="s">
        <v>5480</v>
      </c>
      <c r="D14654" s="1" t="s">
        <v>5482</v>
      </c>
    </row>
    <row r="14655">
      <c r="A14655" s="1" t="s">
        <v>25079</v>
      </c>
      <c r="B14655" s="2" t="s">
        <v>25080</v>
      </c>
      <c r="C14655" s="1" t="s">
        <v>5480</v>
      </c>
      <c r="D14655" s="1" t="s">
        <v>5482</v>
      </c>
    </row>
    <row r="14656">
      <c r="A14656" s="1" t="s">
        <v>25081</v>
      </c>
      <c r="B14656" s="2" t="s">
        <v>25082</v>
      </c>
      <c r="C14656" s="1" t="s">
        <v>5480</v>
      </c>
      <c r="D14656" s="1" t="s">
        <v>5482</v>
      </c>
    </row>
    <row r="14657">
      <c r="A14657" s="1" t="s">
        <v>25083</v>
      </c>
      <c r="B14657" s="2" t="s">
        <v>25084</v>
      </c>
      <c r="C14657" s="1" t="s">
        <v>5480</v>
      </c>
      <c r="D14657" s="1" t="s">
        <v>5482</v>
      </c>
    </row>
    <row r="14658">
      <c r="A14658" s="1" t="s">
        <v>25085</v>
      </c>
      <c r="B14658" s="2" t="s">
        <v>25086</v>
      </c>
      <c r="C14658" s="1" t="s">
        <v>5480</v>
      </c>
      <c r="D14658" s="1" t="s">
        <v>5482</v>
      </c>
    </row>
    <row r="14659">
      <c r="A14659" s="1" t="s">
        <v>25087</v>
      </c>
      <c r="B14659" s="2" t="s">
        <v>25088</v>
      </c>
      <c r="C14659" s="1" t="s">
        <v>5480</v>
      </c>
      <c r="D14659" s="1" t="s">
        <v>5482</v>
      </c>
    </row>
    <row r="14660">
      <c r="A14660" s="1" t="s">
        <v>25089</v>
      </c>
      <c r="B14660" s="2" t="s">
        <v>25090</v>
      </c>
      <c r="C14660" s="1" t="s">
        <v>5480</v>
      </c>
      <c r="D14660" s="1" t="s">
        <v>5482</v>
      </c>
    </row>
    <row r="14661">
      <c r="A14661" s="1" t="s">
        <v>25091</v>
      </c>
      <c r="B14661" s="2" t="s">
        <v>25092</v>
      </c>
      <c r="C14661" s="1" t="s">
        <v>5480</v>
      </c>
      <c r="D14661" s="1" t="s">
        <v>5482</v>
      </c>
    </row>
    <row r="14662">
      <c r="A14662" s="1" t="s">
        <v>25093</v>
      </c>
      <c r="B14662" s="2" t="s">
        <v>25094</v>
      </c>
      <c r="C14662" s="1" t="s">
        <v>5480</v>
      </c>
      <c r="D14662" s="1" t="s">
        <v>5482</v>
      </c>
    </row>
    <row r="14663">
      <c r="A14663" s="1" t="s">
        <v>25095</v>
      </c>
      <c r="B14663" s="2" t="s">
        <v>25096</v>
      </c>
      <c r="C14663" s="1" t="s">
        <v>5480</v>
      </c>
      <c r="D14663" s="1" t="s">
        <v>5482</v>
      </c>
    </row>
    <row r="14664">
      <c r="A14664" s="1" t="s">
        <v>25097</v>
      </c>
      <c r="B14664" s="2" t="s">
        <v>25098</v>
      </c>
      <c r="C14664" s="1" t="s">
        <v>5480</v>
      </c>
      <c r="D14664" s="1" t="s">
        <v>5482</v>
      </c>
    </row>
    <row r="14665">
      <c r="A14665" s="1" t="s">
        <v>25099</v>
      </c>
      <c r="B14665" s="2" t="s">
        <v>25100</v>
      </c>
      <c r="C14665" s="1" t="s">
        <v>5480</v>
      </c>
      <c r="D14665" s="1" t="s">
        <v>5482</v>
      </c>
    </row>
    <row r="14666">
      <c r="A14666" s="1" t="s">
        <v>5487</v>
      </c>
      <c r="B14666" s="2" t="s">
        <v>7</v>
      </c>
      <c r="C14666" s="1" t="s">
        <v>5488</v>
      </c>
      <c r="D14666" s="1" t="s">
        <v>5489</v>
      </c>
    </row>
    <row r="14667">
      <c r="A14667" s="1" t="s">
        <v>25101</v>
      </c>
      <c r="B14667" s="2" t="s">
        <v>13984</v>
      </c>
      <c r="C14667" s="1" t="s">
        <v>5488</v>
      </c>
      <c r="D14667" s="1" t="s">
        <v>5489</v>
      </c>
    </row>
    <row r="14668">
      <c r="A14668" s="1" t="s">
        <v>25102</v>
      </c>
      <c r="B14668" s="2" t="s">
        <v>25103</v>
      </c>
      <c r="C14668" s="1" t="s">
        <v>5488</v>
      </c>
      <c r="D14668" s="1" t="s">
        <v>5489</v>
      </c>
    </row>
    <row r="14669">
      <c r="A14669" s="1" t="s">
        <v>25104</v>
      </c>
      <c r="B14669" s="2" t="s">
        <v>25105</v>
      </c>
      <c r="C14669" s="1" t="s">
        <v>5488</v>
      </c>
      <c r="D14669" s="1" t="s">
        <v>5489</v>
      </c>
    </row>
    <row r="14670">
      <c r="A14670" s="1" t="s">
        <v>25106</v>
      </c>
      <c r="B14670" s="2" t="s">
        <v>25107</v>
      </c>
      <c r="C14670" s="1" t="s">
        <v>5488</v>
      </c>
      <c r="D14670" s="1" t="s">
        <v>5489</v>
      </c>
    </row>
    <row r="14671">
      <c r="A14671" s="1" t="s">
        <v>25108</v>
      </c>
      <c r="B14671" s="2" t="s">
        <v>25109</v>
      </c>
      <c r="C14671" s="1" t="s">
        <v>5488</v>
      </c>
      <c r="D14671" s="1" t="s">
        <v>5489</v>
      </c>
    </row>
    <row r="14672">
      <c r="A14672" s="1" t="s">
        <v>25110</v>
      </c>
      <c r="B14672" s="2" t="s">
        <v>25111</v>
      </c>
      <c r="C14672" s="1" t="s">
        <v>5488</v>
      </c>
      <c r="D14672" s="1" t="s">
        <v>5489</v>
      </c>
    </row>
    <row r="14673">
      <c r="A14673" s="1" t="s">
        <v>25112</v>
      </c>
      <c r="B14673" s="2" t="s">
        <v>25113</v>
      </c>
      <c r="C14673" s="1" t="s">
        <v>5488</v>
      </c>
      <c r="D14673" s="1" t="s">
        <v>5489</v>
      </c>
    </row>
    <row r="14674">
      <c r="A14674" s="1" t="s">
        <v>25114</v>
      </c>
      <c r="B14674" s="2" t="s">
        <v>25115</v>
      </c>
      <c r="C14674" s="1" t="s">
        <v>5488</v>
      </c>
      <c r="D14674" s="1" t="s">
        <v>5489</v>
      </c>
    </row>
    <row r="14675">
      <c r="A14675" s="1" t="s">
        <v>25116</v>
      </c>
      <c r="B14675" s="2" t="s">
        <v>25117</v>
      </c>
      <c r="C14675" s="1" t="s">
        <v>5488</v>
      </c>
      <c r="D14675" s="1" t="s">
        <v>5489</v>
      </c>
    </row>
    <row r="14676">
      <c r="A14676" s="1" t="s">
        <v>25118</v>
      </c>
      <c r="B14676" s="2" t="s">
        <v>25119</v>
      </c>
      <c r="C14676" s="1" t="s">
        <v>5488</v>
      </c>
      <c r="D14676" s="1" t="s">
        <v>5489</v>
      </c>
    </row>
    <row r="14677">
      <c r="A14677" s="1" t="s">
        <v>25120</v>
      </c>
      <c r="B14677" s="2" t="s">
        <v>25121</v>
      </c>
      <c r="C14677" s="1" t="s">
        <v>5488</v>
      </c>
      <c r="D14677" s="1" t="s">
        <v>5489</v>
      </c>
    </row>
    <row r="14678">
      <c r="A14678" s="1" t="s">
        <v>25122</v>
      </c>
      <c r="B14678" s="2" t="s">
        <v>25123</v>
      </c>
      <c r="C14678" s="1" t="s">
        <v>5488</v>
      </c>
      <c r="D14678" s="1" t="s">
        <v>5489</v>
      </c>
    </row>
    <row r="14679">
      <c r="A14679" s="1" t="s">
        <v>25124</v>
      </c>
      <c r="B14679" s="2" t="s">
        <v>25125</v>
      </c>
      <c r="C14679" s="1" t="s">
        <v>5488</v>
      </c>
      <c r="D14679" s="1" t="s">
        <v>5489</v>
      </c>
    </row>
    <row r="14680">
      <c r="A14680" s="1" t="s">
        <v>25126</v>
      </c>
      <c r="B14680" s="2" t="s">
        <v>25127</v>
      </c>
      <c r="C14680" s="1" t="s">
        <v>5488</v>
      </c>
      <c r="D14680" s="1" t="s">
        <v>5489</v>
      </c>
    </row>
    <row r="14681">
      <c r="A14681" s="1" t="s">
        <v>25128</v>
      </c>
      <c r="B14681" s="2" t="s">
        <v>25129</v>
      </c>
      <c r="C14681" s="1" t="s">
        <v>5488</v>
      </c>
      <c r="D14681" s="1" t="s">
        <v>5489</v>
      </c>
    </row>
    <row r="14682">
      <c r="A14682" s="1" t="s">
        <v>25130</v>
      </c>
      <c r="B14682" s="2" t="s">
        <v>13994</v>
      </c>
      <c r="C14682" s="1" t="s">
        <v>5488</v>
      </c>
      <c r="D14682" s="1" t="s">
        <v>5489</v>
      </c>
    </row>
    <row r="14683">
      <c r="A14683" s="1" t="s">
        <v>25131</v>
      </c>
      <c r="B14683" s="2" t="s">
        <v>25132</v>
      </c>
      <c r="C14683" s="1" t="s">
        <v>5488</v>
      </c>
      <c r="D14683" s="1" t="s">
        <v>5489</v>
      </c>
    </row>
    <row r="14684">
      <c r="A14684" s="1" t="s">
        <v>25133</v>
      </c>
      <c r="B14684" s="2" t="s">
        <v>25134</v>
      </c>
      <c r="C14684" s="1" t="s">
        <v>5488</v>
      </c>
      <c r="D14684" s="1" t="s">
        <v>5489</v>
      </c>
    </row>
    <row r="14685">
      <c r="A14685" s="1" t="s">
        <v>25135</v>
      </c>
      <c r="B14685" s="2" t="s">
        <v>25136</v>
      </c>
      <c r="C14685" s="1" t="s">
        <v>5488</v>
      </c>
      <c r="D14685" s="1" t="s">
        <v>5489</v>
      </c>
    </row>
    <row r="14686">
      <c r="A14686" s="1" t="s">
        <v>25137</v>
      </c>
      <c r="B14686" s="2" t="s">
        <v>25138</v>
      </c>
      <c r="C14686" s="1" t="s">
        <v>5488</v>
      </c>
      <c r="D14686" s="1" t="s">
        <v>5489</v>
      </c>
    </row>
    <row r="14687">
      <c r="A14687" s="1" t="s">
        <v>25139</v>
      </c>
      <c r="B14687" s="2" t="s">
        <v>25140</v>
      </c>
      <c r="C14687" s="1" t="s">
        <v>5488</v>
      </c>
      <c r="D14687" s="1" t="s">
        <v>5489</v>
      </c>
    </row>
    <row r="14688">
      <c r="A14688" s="1" t="s">
        <v>25141</v>
      </c>
      <c r="B14688" s="2" t="s">
        <v>25142</v>
      </c>
      <c r="C14688" s="1" t="s">
        <v>5488</v>
      </c>
      <c r="D14688" s="1" t="s">
        <v>5489</v>
      </c>
    </row>
    <row r="14689">
      <c r="A14689" s="1" t="s">
        <v>25143</v>
      </c>
      <c r="B14689" s="2" t="s">
        <v>25144</v>
      </c>
      <c r="C14689" s="1" t="s">
        <v>5488</v>
      </c>
      <c r="D14689" s="1" t="s">
        <v>5489</v>
      </c>
    </row>
    <row r="14690">
      <c r="A14690" s="1" t="s">
        <v>25145</v>
      </c>
      <c r="B14690" s="2" t="s">
        <v>25146</v>
      </c>
      <c r="C14690" s="1" t="s">
        <v>5488</v>
      </c>
      <c r="D14690" s="1" t="s">
        <v>5489</v>
      </c>
    </row>
    <row r="14691">
      <c r="A14691" s="1" t="s">
        <v>25147</v>
      </c>
      <c r="B14691" s="2" t="s">
        <v>25148</v>
      </c>
      <c r="C14691" s="1" t="s">
        <v>5488</v>
      </c>
      <c r="D14691" s="1" t="s">
        <v>5489</v>
      </c>
    </row>
    <row r="14692">
      <c r="A14692" s="1" t="s">
        <v>25149</v>
      </c>
      <c r="B14692" s="2" t="s">
        <v>25150</v>
      </c>
      <c r="C14692" s="1" t="s">
        <v>5488</v>
      </c>
      <c r="D14692" s="1" t="s">
        <v>5489</v>
      </c>
    </row>
    <row r="14693">
      <c r="A14693" s="1" t="s">
        <v>25151</v>
      </c>
      <c r="B14693" s="2" t="s">
        <v>25152</v>
      </c>
      <c r="C14693" s="1" t="s">
        <v>5488</v>
      </c>
      <c r="D14693" s="1" t="s">
        <v>5489</v>
      </c>
    </row>
    <row r="14694">
      <c r="A14694" s="1" t="s">
        <v>25153</v>
      </c>
      <c r="B14694" s="2" t="s">
        <v>25154</v>
      </c>
      <c r="C14694" s="1" t="s">
        <v>5488</v>
      </c>
      <c r="D14694" s="1" t="s">
        <v>5489</v>
      </c>
    </row>
    <row r="14695">
      <c r="A14695" s="1" t="s">
        <v>25155</v>
      </c>
      <c r="B14695" s="2" t="s">
        <v>25156</v>
      </c>
      <c r="C14695" s="1" t="s">
        <v>5488</v>
      </c>
      <c r="D14695" s="1" t="s">
        <v>5489</v>
      </c>
    </row>
    <row r="14696">
      <c r="A14696" s="1" t="s">
        <v>25157</v>
      </c>
      <c r="B14696" s="2" t="s">
        <v>25158</v>
      </c>
      <c r="C14696" s="1" t="s">
        <v>5488</v>
      </c>
      <c r="D14696" s="1" t="s">
        <v>5489</v>
      </c>
    </row>
    <row r="14697">
      <c r="A14697" s="1" t="s">
        <v>5496</v>
      </c>
      <c r="B14697" s="2" t="s">
        <v>7</v>
      </c>
      <c r="C14697" s="1" t="s">
        <v>155</v>
      </c>
      <c r="D14697" s="1" t="s">
        <v>5498</v>
      </c>
    </row>
    <row r="14698">
      <c r="A14698" s="1" t="s">
        <v>25159</v>
      </c>
      <c r="B14698" s="2" t="s">
        <v>13964</v>
      </c>
      <c r="C14698" s="1" t="s">
        <v>155</v>
      </c>
      <c r="D14698" s="1" t="s">
        <v>5498</v>
      </c>
    </row>
    <row r="14699">
      <c r="A14699" s="1" t="s">
        <v>25160</v>
      </c>
      <c r="B14699" s="2" t="s">
        <v>25161</v>
      </c>
      <c r="C14699" s="1" t="s">
        <v>155</v>
      </c>
      <c r="D14699" s="1" t="s">
        <v>5498</v>
      </c>
    </row>
    <row r="14700">
      <c r="A14700" s="1" t="s">
        <v>25162</v>
      </c>
      <c r="B14700" s="2" t="s">
        <v>25163</v>
      </c>
      <c r="C14700" s="1" t="s">
        <v>155</v>
      </c>
      <c r="D14700" s="1" t="s">
        <v>5498</v>
      </c>
    </row>
    <row r="14701">
      <c r="A14701" s="1" t="s">
        <v>25164</v>
      </c>
      <c r="B14701" s="2" t="s">
        <v>25165</v>
      </c>
      <c r="C14701" s="1" t="s">
        <v>155</v>
      </c>
      <c r="D14701" s="1" t="s">
        <v>5498</v>
      </c>
    </row>
    <row r="14702">
      <c r="A14702" s="1" t="s">
        <v>25166</v>
      </c>
      <c r="B14702" s="2" t="s">
        <v>25167</v>
      </c>
      <c r="C14702" s="1" t="s">
        <v>155</v>
      </c>
      <c r="D14702" s="1" t="s">
        <v>5498</v>
      </c>
    </row>
    <row r="14703">
      <c r="A14703" s="1" t="s">
        <v>25168</v>
      </c>
      <c r="B14703" s="2" t="s">
        <v>25169</v>
      </c>
      <c r="C14703" s="1" t="s">
        <v>155</v>
      </c>
      <c r="D14703" s="1" t="s">
        <v>5498</v>
      </c>
    </row>
    <row r="14704">
      <c r="A14704" s="1" t="s">
        <v>5502</v>
      </c>
      <c r="B14704" s="2" t="s">
        <v>7</v>
      </c>
      <c r="C14704" s="1" t="s">
        <v>5503</v>
      </c>
      <c r="D14704" s="1" t="s">
        <v>5505</v>
      </c>
    </row>
    <row r="14705">
      <c r="A14705" s="1" t="s">
        <v>25170</v>
      </c>
      <c r="B14705" s="2" t="s">
        <v>13</v>
      </c>
      <c r="C14705" s="1" t="s">
        <v>5503</v>
      </c>
      <c r="D14705" s="1" t="s">
        <v>5505</v>
      </c>
    </row>
    <row r="14706">
      <c r="A14706" s="1" t="s">
        <v>25171</v>
      </c>
      <c r="B14706" s="2" t="s">
        <v>25009</v>
      </c>
      <c r="C14706" s="1" t="s">
        <v>5503</v>
      </c>
      <c r="D14706" s="1" t="s">
        <v>5505</v>
      </c>
    </row>
    <row r="14707">
      <c r="A14707" s="1" t="s">
        <v>25172</v>
      </c>
      <c r="B14707" s="2" t="s">
        <v>25011</v>
      </c>
      <c r="C14707" s="1" t="s">
        <v>5503</v>
      </c>
      <c r="D14707" s="1" t="s">
        <v>5505</v>
      </c>
    </row>
    <row r="14708">
      <c r="A14708" s="1" t="s">
        <v>25173</v>
      </c>
      <c r="B14708" s="2" t="s">
        <v>25013</v>
      </c>
      <c r="C14708" s="1" t="s">
        <v>5503</v>
      </c>
      <c r="D14708" s="1" t="s">
        <v>5505</v>
      </c>
    </row>
    <row r="14709">
      <c r="A14709" s="1" t="s">
        <v>25174</v>
      </c>
      <c r="B14709" s="2" t="s">
        <v>25015</v>
      </c>
      <c r="C14709" s="1" t="s">
        <v>5503</v>
      </c>
      <c r="D14709" s="1" t="s">
        <v>5505</v>
      </c>
    </row>
    <row r="14710">
      <c r="A14710" s="1" t="s">
        <v>25175</v>
      </c>
      <c r="B14710" s="2" t="s">
        <v>25017</v>
      </c>
      <c r="C14710" s="1" t="s">
        <v>5503</v>
      </c>
      <c r="D14710" s="1" t="s">
        <v>5505</v>
      </c>
    </row>
    <row r="14711">
      <c r="A14711" s="1" t="s">
        <v>25176</v>
      </c>
      <c r="B14711" s="2" t="s">
        <v>25019</v>
      </c>
      <c r="C14711" s="1" t="s">
        <v>5503</v>
      </c>
      <c r="D14711" s="1" t="s">
        <v>5505</v>
      </c>
    </row>
    <row r="14712">
      <c r="A14712" s="1" t="s">
        <v>25177</v>
      </c>
      <c r="B14712" s="2" t="s">
        <v>25021</v>
      </c>
      <c r="C14712" s="1" t="s">
        <v>5503</v>
      </c>
      <c r="D14712" s="1" t="s">
        <v>5505</v>
      </c>
    </row>
    <row r="14713">
      <c r="A14713" s="1" t="s">
        <v>25178</v>
      </c>
      <c r="B14713" s="2" t="s">
        <v>25023</v>
      </c>
      <c r="C14713" s="1" t="s">
        <v>5503</v>
      </c>
      <c r="D14713" s="1" t="s">
        <v>5505</v>
      </c>
    </row>
    <row r="14714">
      <c r="A14714" s="1" t="s">
        <v>25179</v>
      </c>
      <c r="B14714" s="2" t="s">
        <v>25025</v>
      </c>
      <c r="C14714" s="1" t="s">
        <v>5503</v>
      </c>
      <c r="D14714" s="1" t="s">
        <v>5505</v>
      </c>
    </row>
    <row r="14715">
      <c r="A14715" s="1" t="s">
        <v>25180</v>
      </c>
      <c r="B14715" s="2" t="s">
        <v>25027</v>
      </c>
      <c r="C14715" s="1" t="s">
        <v>5503</v>
      </c>
      <c r="D14715" s="1" t="s">
        <v>5505</v>
      </c>
    </row>
    <row r="14716">
      <c r="A14716" s="1" t="s">
        <v>25181</v>
      </c>
      <c r="B14716" s="2" t="s">
        <v>25029</v>
      </c>
      <c r="C14716" s="1" t="s">
        <v>5503</v>
      </c>
      <c r="D14716" s="1" t="s">
        <v>5505</v>
      </c>
    </row>
    <row r="14717">
      <c r="A14717" s="1" t="s">
        <v>25182</v>
      </c>
      <c r="B14717" s="2" t="s">
        <v>25031</v>
      </c>
      <c r="C14717" s="1" t="s">
        <v>5503</v>
      </c>
      <c r="D14717" s="1" t="s">
        <v>5505</v>
      </c>
    </row>
    <row r="14718">
      <c r="A14718" s="1" t="s">
        <v>25183</v>
      </c>
      <c r="B14718" s="2" t="s">
        <v>25033</v>
      </c>
      <c r="C14718" s="1" t="s">
        <v>5503</v>
      </c>
      <c r="D14718" s="1" t="s">
        <v>5505</v>
      </c>
    </row>
    <row r="14719">
      <c r="A14719" s="1" t="s">
        <v>25184</v>
      </c>
      <c r="B14719" s="2" t="s">
        <v>25035</v>
      </c>
      <c r="C14719" s="1" t="s">
        <v>5503</v>
      </c>
      <c r="D14719" s="1" t="s">
        <v>5505</v>
      </c>
    </row>
    <row r="14720">
      <c r="A14720" s="1" t="s">
        <v>25185</v>
      </c>
      <c r="B14720" s="2" t="s">
        <v>25037</v>
      </c>
      <c r="C14720" s="1" t="s">
        <v>5503</v>
      </c>
      <c r="D14720" s="1" t="s">
        <v>5505</v>
      </c>
    </row>
    <row r="14721">
      <c r="A14721" s="1" t="s">
        <v>25186</v>
      </c>
      <c r="B14721" s="2" t="s">
        <v>25039</v>
      </c>
      <c r="C14721" s="1" t="s">
        <v>5503</v>
      </c>
      <c r="D14721" s="1" t="s">
        <v>5505</v>
      </c>
    </row>
    <row r="14722">
      <c r="A14722" s="1" t="s">
        <v>25187</v>
      </c>
      <c r="B14722" s="2" t="s">
        <v>25041</v>
      </c>
      <c r="C14722" s="1" t="s">
        <v>5503</v>
      </c>
      <c r="D14722" s="1" t="s">
        <v>5505</v>
      </c>
    </row>
    <row r="14723">
      <c r="A14723" s="1" t="s">
        <v>25188</v>
      </c>
      <c r="B14723" s="2" t="s">
        <v>25043</v>
      </c>
      <c r="C14723" s="1" t="s">
        <v>5503</v>
      </c>
      <c r="D14723" s="1" t="s">
        <v>5505</v>
      </c>
    </row>
    <row r="14724">
      <c r="A14724" s="1" t="s">
        <v>25189</v>
      </c>
      <c r="B14724" s="2" t="s">
        <v>25045</v>
      </c>
      <c r="C14724" s="1" t="s">
        <v>5503</v>
      </c>
      <c r="D14724" s="1" t="s">
        <v>5505</v>
      </c>
    </row>
    <row r="14725">
      <c r="A14725" s="1" t="s">
        <v>25190</v>
      </c>
      <c r="B14725" s="2" t="s">
        <v>25047</v>
      </c>
      <c r="C14725" s="1" t="s">
        <v>5503</v>
      </c>
      <c r="D14725" s="1" t="s">
        <v>5505</v>
      </c>
    </row>
    <row r="14726">
      <c r="A14726" s="1" t="s">
        <v>25191</v>
      </c>
      <c r="B14726" s="2" t="s">
        <v>25049</v>
      </c>
      <c r="C14726" s="1" t="s">
        <v>5503</v>
      </c>
      <c r="D14726" s="1" t="s">
        <v>5505</v>
      </c>
    </row>
    <row r="14727">
      <c r="A14727" s="1" t="s">
        <v>25192</v>
      </c>
      <c r="B14727" s="2" t="s">
        <v>25051</v>
      </c>
      <c r="C14727" s="1" t="s">
        <v>5503</v>
      </c>
      <c r="D14727" s="1" t="s">
        <v>5505</v>
      </c>
    </row>
    <row r="14728">
      <c r="A14728" s="1" t="s">
        <v>25193</v>
      </c>
      <c r="B14728" s="2" t="s">
        <v>25053</v>
      </c>
      <c r="C14728" s="1" t="s">
        <v>5503</v>
      </c>
      <c r="D14728" s="1" t="s">
        <v>5505</v>
      </c>
    </row>
    <row r="14729">
      <c r="A14729" s="1" t="s">
        <v>25194</v>
      </c>
      <c r="B14729" s="2" t="s">
        <v>70</v>
      </c>
      <c r="C14729" s="1" t="s">
        <v>5503</v>
      </c>
      <c r="D14729" s="1" t="s">
        <v>5505</v>
      </c>
    </row>
    <row r="14730">
      <c r="A14730" s="1" t="s">
        <v>25195</v>
      </c>
      <c r="B14730" s="2" t="s">
        <v>25056</v>
      </c>
      <c r="C14730" s="1" t="s">
        <v>5503</v>
      </c>
      <c r="D14730" s="1" t="s">
        <v>5505</v>
      </c>
    </row>
    <row r="14731">
      <c r="A14731" s="1" t="s">
        <v>25196</v>
      </c>
      <c r="B14731" s="2" t="s">
        <v>25058</v>
      </c>
      <c r="C14731" s="1" t="s">
        <v>5503</v>
      </c>
      <c r="D14731" s="1" t="s">
        <v>5505</v>
      </c>
    </row>
    <row r="14732">
      <c r="A14732" s="1" t="s">
        <v>25197</v>
      </c>
      <c r="B14732" s="2" t="s">
        <v>25060</v>
      </c>
      <c r="C14732" s="1" t="s">
        <v>5503</v>
      </c>
      <c r="D14732" s="1" t="s">
        <v>5505</v>
      </c>
    </row>
    <row r="14733">
      <c r="A14733" s="1" t="s">
        <v>25198</v>
      </c>
      <c r="B14733" s="2" t="s">
        <v>25062</v>
      </c>
      <c r="C14733" s="1" t="s">
        <v>5503</v>
      </c>
      <c r="D14733" s="1" t="s">
        <v>5505</v>
      </c>
    </row>
    <row r="14734">
      <c r="A14734" s="1" t="s">
        <v>25199</v>
      </c>
      <c r="B14734" s="2" t="s">
        <v>25064</v>
      </c>
      <c r="C14734" s="1" t="s">
        <v>5503</v>
      </c>
      <c r="D14734" s="1" t="s">
        <v>5505</v>
      </c>
    </row>
    <row r="14735">
      <c r="A14735" s="1" t="s">
        <v>25200</v>
      </c>
      <c r="B14735" s="2" t="s">
        <v>25066</v>
      </c>
      <c r="C14735" s="1" t="s">
        <v>5503</v>
      </c>
      <c r="D14735" s="1" t="s">
        <v>5505</v>
      </c>
    </row>
    <row r="14736">
      <c r="A14736" s="1" t="s">
        <v>25201</v>
      </c>
      <c r="B14736" s="2" t="s">
        <v>25068</v>
      </c>
      <c r="C14736" s="1" t="s">
        <v>5503</v>
      </c>
      <c r="D14736" s="1" t="s">
        <v>5505</v>
      </c>
    </row>
    <row r="14737">
      <c r="A14737" s="1" t="s">
        <v>25202</v>
      </c>
      <c r="B14737" s="2" t="s">
        <v>25070</v>
      </c>
      <c r="C14737" s="1" t="s">
        <v>5503</v>
      </c>
      <c r="D14737" s="1" t="s">
        <v>5505</v>
      </c>
    </row>
    <row r="14738">
      <c r="A14738" s="1" t="s">
        <v>25203</v>
      </c>
      <c r="B14738" s="2" t="s">
        <v>25072</v>
      </c>
      <c r="C14738" s="1" t="s">
        <v>5503</v>
      </c>
      <c r="D14738" s="1" t="s">
        <v>5505</v>
      </c>
    </row>
    <row r="14739">
      <c r="A14739" s="1" t="s">
        <v>25204</v>
      </c>
      <c r="B14739" s="2" t="s">
        <v>25074</v>
      </c>
      <c r="C14739" s="1" t="s">
        <v>5503</v>
      </c>
      <c r="D14739" s="1" t="s">
        <v>5505</v>
      </c>
    </row>
    <row r="14740">
      <c r="A14740" s="1" t="s">
        <v>25205</v>
      </c>
      <c r="B14740" s="2" t="s">
        <v>25076</v>
      </c>
      <c r="C14740" s="1" t="s">
        <v>5503</v>
      </c>
      <c r="D14740" s="1" t="s">
        <v>5505</v>
      </c>
    </row>
    <row r="14741">
      <c r="A14741" s="1" t="s">
        <v>25206</v>
      </c>
      <c r="B14741" s="2" t="s">
        <v>25078</v>
      </c>
      <c r="C14741" s="1" t="s">
        <v>5503</v>
      </c>
      <c r="D14741" s="1" t="s">
        <v>5505</v>
      </c>
    </row>
    <row r="14742">
      <c r="A14742" s="1" t="s">
        <v>25207</v>
      </c>
      <c r="B14742" s="2" t="s">
        <v>25080</v>
      </c>
      <c r="C14742" s="1" t="s">
        <v>5503</v>
      </c>
      <c r="D14742" s="1" t="s">
        <v>5505</v>
      </c>
    </row>
    <row r="14743">
      <c r="A14743" s="1" t="s">
        <v>25208</v>
      </c>
      <c r="B14743" s="2" t="s">
        <v>25082</v>
      </c>
      <c r="C14743" s="1" t="s">
        <v>5503</v>
      </c>
      <c r="D14743" s="1" t="s">
        <v>5505</v>
      </c>
    </row>
    <row r="14744">
      <c r="A14744" s="1" t="s">
        <v>25209</v>
      </c>
      <c r="B14744" s="2" t="s">
        <v>25084</v>
      </c>
      <c r="C14744" s="1" t="s">
        <v>5503</v>
      </c>
      <c r="D14744" s="1" t="s">
        <v>5505</v>
      </c>
    </row>
    <row r="14745">
      <c r="A14745" s="1" t="s">
        <v>25210</v>
      </c>
      <c r="B14745" s="2" t="s">
        <v>25086</v>
      </c>
      <c r="C14745" s="1" t="s">
        <v>5503</v>
      </c>
      <c r="D14745" s="1" t="s">
        <v>5505</v>
      </c>
    </row>
    <row r="14746">
      <c r="A14746" s="1" t="s">
        <v>25211</v>
      </c>
      <c r="B14746" s="2" t="s">
        <v>25088</v>
      </c>
      <c r="C14746" s="1" t="s">
        <v>5503</v>
      </c>
      <c r="D14746" s="1" t="s">
        <v>5505</v>
      </c>
    </row>
    <row r="14747">
      <c r="A14747" s="1" t="s">
        <v>25212</v>
      </c>
      <c r="B14747" s="2" t="s">
        <v>25090</v>
      </c>
      <c r="C14747" s="1" t="s">
        <v>5503</v>
      </c>
      <c r="D14747" s="1" t="s">
        <v>5505</v>
      </c>
    </row>
    <row r="14748">
      <c r="A14748" s="1" t="s">
        <v>25213</v>
      </c>
      <c r="B14748" s="2" t="s">
        <v>25092</v>
      </c>
      <c r="C14748" s="1" t="s">
        <v>5503</v>
      </c>
      <c r="D14748" s="1" t="s">
        <v>5505</v>
      </c>
    </row>
    <row r="14749">
      <c r="A14749" s="1" t="s">
        <v>25214</v>
      </c>
      <c r="B14749" s="2" t="s">
        <v>25094</v>
      </c>
      <c r="C14749" s="1" t="s">
        <v>5503</v>
      </c>
      <c r="D14749" s="1" t="s">
        <v>5505</v>
      </c>
    </row>
    <row r="14750">
      <c r="A14750" s="1" t="s">
        <v>25215</v>
      </c>
      <c r="B14750" s="2" t="s">
        <v>25096</v>
      </c>
      <c r="C14750" s="1" t="s">
        <v>5503</v>
      </c>
      <c r="D14750" s="1" t="s">
        <v>5505</v>
      </c>
    </row>
    <row r="14751">
      <c r="A14751" s="1" t="s">
        <v>25216</v>
      </c>
      <c r="B14751" s="2" t="s">
        <v>25098</v>
      </c>
      <c r="C14751" s="1" t="s">
        <v>5503</v>
      </c>
      <c r="D14751" s="1" t="s">
        <v>5505</v>
      </c>
    </row>
    <row r="14752">
      <c r="A14752" s="1" t="s">
        <v>25217</v>
      </c>
      <c r="B14752" s="2" t="s">
        <v>25100</v>
      </c>
      <c r="C14752" s="1" t="s">
        <v>5503</v>
      </c>
      <c r="D14752" s="1" t="s">
        <v>5505</v>
      </c>
    </row>
    <row r="14753">
      <c r="A14753" s="1" t="s">
        <v>5509</v>
      </c>
      <c r="B14753" s="2" t="s">
        <v>7</v>
      </c>
      <c r="C14753" s="1" t="s">
        <v>5512</v>
      </c>
      <c r="D14753" s="1" t="s">
        <v>5513</v>
      </c>
    </row>
    <row r="14754">
      <c r="A14754" s="1" t="s">
        <v>25218</v>
      </c>
      <c r="B14754" s="2" t="s">
        <v>25219</v>
      </c>
      <c r="C14754" s="1" t="s">
        <v>5512</v>
      </c>
      <c r="D14754" s="1" t="s">
        <v>5513</v>
      </c>
    </row>
    <row r="14755">
      <c r="A14755" s="1" t="s">
        <v>25220</v>
      </c>
      <c r="B14755" s="2" t="s">
        <v>25221</v>
      </c>
      <c r="C14755" s="1" t="s">
        <v>5512</v>
      </c>
      <c r="D14755" s="1" t="s">
        <v>5513</v>
      </c>
    </row>
    <row r="14756">
      <c r="A14756" s="1" t="s">
        <v>25222</v>
      </c>
      <c r="B14756" s="2" t="s">
        <v>25223</v>
      </c>
      <c r="C14756" s="1" t="s">
        <v>5512</v>
      </c>
      <c r="D14756" s="1" t="s">
        <v>5513</v>
      </c>
    </row>
    <row r="14757">
      <c r="A14757" s="1" t="s">
        <v>25224</v>
      </c>
      <c r="B14757" s="2" t="s">
        <v>25225</v>
      </c>
      <c r="C14757" s="1" t="s">
        <v>5512</v>
      </c>
      <c r="D14757" s="1" t="s">
        <v>5513</v>
      </c>
    </row>
    <row r="14758">
      <c r="A14758" s="1" t="s">
        <v>25226</v>
      </c>
      <c r="B14758" s="2" t="s">
        <v>25227</v>
      </c>
      <c r="C14758" s="1" t="s">
        <v>5512</v>
      </c>
      <c r="D14758" s="1" t="s">
        <v>5513</v>
      </c>
    </row>
    <row r="14759">
      <c r="A14759" s="1" t="s">
        <v>25228</v>
      </c>
      <c r="B14759" s="2" t="s">
        <v>25229</v>
      </c>
      <c r="C14759" s="1" t="s">
        <v>5512</v>
      </c>
      <c r="D14759" s="1" t="s">
        <v>5513</v>
      </c>
    </row>
    <row r="14760">
      <c r="A14760" s="1" t="s">
        <v>25230</v>
      </c>
      <c r="B14760" s="2" t="s">
        <v>25231</v>
      </c>
      <c r="C14760" s="1" t="s">
        <v>5512</v>
      </c>
      <c r="D14760" s="1" t="s">
        <v>5513</v>
      </c>
    </row>
    <row r="14761">
      <c r="A14761" s="1" t="s">
        <v>25232</v>
      </c>
      <c r="B14761" s="2" t="s">
        <v>25233</v>
      </c>
      <c r="C14761" s="1" t="s">
        <v>5512</v>
      </c>
      <c r="D14761" s="1" t="s">
        <v>5513</v>
      </c>
    </row>
    <row r="14762">
      <c r="A14762" s="1" t="s">
        <v>25234</v>
      </c>
      <c r="B14762" s="2" t="s">
        <v>25235</v>
      </c>
      <c r="C14762" s="1" t="s">
        <v>5512</v>
      </c>
      <c r="D14762" s="1" t="s">
        <v>5513</v>
      </c>
    </row>
    <row r="14763">
      <c r="A14763" s="1" t="s">
        <v>25236</v>
      </c>
      <c r="B14763" s="2" t="s">
        <v>25237</v>
      </c>
      <c r="C14763" s="1" t="s">
        <v>5512</v>
      </c>
      <c r="D14763" s="1" t="s">
        <v>5513</v>
      </c>
    </row>
    <row r="14764">
      <c r="A14764" s="1" t="s">
        <v>25238</v>
      </c>
      <c r="B14764" s="2" t="s">
        <v>25239</v>
      </c>
      <c r="C14764" s="1" t="s">
        <v>5512</v>
      </c>
      <c r="D14764" s="1" t="s">
        <v>5513</v>
      </c>
    </row>
    <row r="14765">
      <c r="A14765" s="1" t="s">
        <v>25240</v>
      </c>
      <c r="B14765" s="2" t="s">
        <v>25241</v>
      </c>
      <c r="C14765" s="1" t="s">
        <v>5512</v>
      </c>
      <c r="D14765" s="1" t="s">
        <v>5513</v>
      </c>
    </row>
    <row r="14766">
      <c r="A14766" s="1" t="s">
        <v>25242</v>
      </c>
      <c r="B14766" s="2" t="s">
        <v>25243</v>
      </c>
      <c r="C14766" s="1" t="s">
        <v>5512</v>
      </c>
      <c r="D14766" s="1" t="s">
        <v>5513</v>
      </c>
    </row>
    <row r="14767">
      <c r="A14767" s="1" t="s">
        <v>25244</v>
      </c>
      <c r="B14767" s="2" t="s">
        <v>25245</v>
      </c>
      <c r="C14767" s="1" t="s">
        <v>5512</v>
      </c>
      <c r="D14767" s="1" t="s">
        <v>5513</v>
      </c>
    </row>
    <row r="14768">
      <c r="A14768" s="1" t="s">
        <v>25246</v>
      </c>
      <c r="B14768" s="2" t="s">
        <v>25247</v>
      </c>
      <c r="C14768" s="1" t="s">
        <v>5512</v>
      </c>
      <c r="D14768" s="1" t="s">
        <v>5513</v>
      </c>
    </row>
    <row r="14769">
      <c r="A14769" s="1" t="s">
        <v>25248</v>
      </c>
      <c r="B14769" s="2" t="s">
        <v>20086</v>
      </c>
      <c r="C14769" s="1" t="s">
        <v>5512</v>
      </c>
      <c r="D14769" s="1" t="s">
        <v>5513</v>
      </c>
    </row>
    <row r="14770">
      <c r="A14770" s="1" t="s">
        <v>25249</v>
      </c>
      <c r="B14770" s="2" t="s">
        <v>25250</v>
      </c>
      <c r="C14770" s="1" t="s">
        <v>5512</v>
      </c>
      <c r="D14770" s="1" t="s">
        <v>5513</v>
      </c>
    </row>
    <row r="14771">
      <c r="A14771" s="1" t="s">
        <v>25251</v>
      </c>
      <c r="B14771" s="2" t="s">
        <v>25252</v>
      </c>
      <c r="C14771" s="1" t="s">
        <v>5512</v>
      </c>
      <c r="D14771" s="1" t="s">
        <v>5513</v>
      </c>
    </row>
    <row r="14772">
      <c r="A14772" s="1" t="s">
        <v>25253</v>
      </c>
      <c r="B14772" s="2" t="s">
        <v>25254</v>
      </c>
      <c r="C14772" s="1" t="s">
        <v>5512</v>
      </c>
      <c r="D14772" s="1" t="s">
        <v>5513</v>
      </c>
    </row>
    <row r="14773">
      <c r="A14773" s="1" t="s">
        <v>25255</v>
      </c>
      <c r="B14773" s="2" t="s">
        <v>25256</v>
      </c>
      <c r="C14773" s="1" t="s">
        <v>5512</v>
      </c>
      <c r="D14773" s="1" t="s">
        <v>5513</v>
      </c>
    </row>
    <row r="14774">
      <c r="A14774" s="1" t="s">
        <v>25257</v>
      </c>
      <c r="B14774" s="2" t="s">
        <v>20112</v>
      </c>
      <c r="C14774" s="1" t="s">
        <v>5512</v>
      </c>
      <c r="D14774" s="1" t="s">
        <v>5513</v>
      </c>
    </row>
    <row r="14775">
      <c r="A14775" s="1" t="s">
        <v>25258</v>
      </c>
      <c r="B14775" s="2" t="s">
        <v>25259</v>
      </c>
      <c r="C14775" s="1" t="s">
        <v>5512</v>
      </c>
      <c r="D14775" s="1" t="s">
        <v>5513</v>
      </c>
    </row>
    <row r="14776">
      <c r="A14776" s="1" t="s">
        <v>25260</v>
      </c>
      <c r="B14776" s="2" t="s">
        <v>25261</v>
      </c>
      <c r="C14776" s="1" t="s">
        <v>5512</v>
      </c>
      <c r="D14776" s="1" t="s">
        <v>5513</v>
      </c>
    </row>
    <row r="14777">
      <c r="A14777" s="1" t="s">
        <v>25262</v>
      </c>
      <c r="B14777" s="2" t="s">
        <v>25263</v>
      </c>
      <c r="C14777" s="1" t="s">
        <v>5512</v>
      </c>
      <c r="D14777" s="1" t="s">
        <v>5513</v>
      </c>
    </row>
    <row r="14778">
      <c r="A14778" s="1" t="s">
        <v>25264</v>
      </c>
      <c r="B14778" s="2" t="s">
        <v>25265</v>
      </c>
      <c r="C14778" s="1" t="s">
        <v>5512</v>
      </c>
      <c r="D14778" s="1" t="s">
        <v>5513</v>
      </c>
    </row>
    <row r="14779">
      <c r="A14779" s="1" t="s">
        <v>25266</v>
      </c>
      <c r="B14779" s="2" t="s">
        <v>25267</v>
      </c>
      <c r="C14779" s="1" t="s">
        <v>5512</v>
      </c>
      <c r="D14779" s="1" t="s">
        <v>5513</v>
      </c>
    </row>
    <row r="14780">
      <c r="A14780" s="1" t="s">
        <v>25268</v>
      </c>
      <c r="B14780" s="2" t="s">
        <v>25269</v>
      </c>
      <c r="C14780" s="1" t="s">
        <v>5512</v>
      </c>
      <c r="D14780" s="1" t="s">
        <v>5513</v>
      </c>
    </row>
    <row r="14781">
      <c r="A14781" s="1" t="s">
        <v>25270</v>
      </c>
      <c r="B14781" s="2" t="s">
        <v>25271</v>
      </c>
      <c r="C14781" s="1" t="s">
        <v>5512</v>
      </c>
      <c r="D14781" s="1" t="s">
        <v>5513</v>
      </c>
    </row>
    <row r="14782">
      <c r="A14782" s="1" t="s">
        <v>25272</v>
      </c>
      <c r="B14782" s="2" t="s">
        <v>25273</v>
      </c>
      <c r="C14782" s="1" t="s">
        <v>5512</v>
      </c>
      <c r="D14782" s="1" t="s">
        <v>5513</v>
      </c>
    </row>
    <row r="14783">
      <c r="A14783" s="1" t="s">
        <v>25274</v>
      </c>
      <c r="B14783" s="2" t="s">
        <v>25275</v>
      </c>
      <c r="C14783" s="1" t="s">
        <v>5512</v>
      </c>
      <c r="D14783" s="1" t="s">
        <v>5513</v>
      </c>
    </row>
    <row r="14784">
      <c r="A14784" s="1" t="s">
        <v>25276</v>
      </c>
      <c r="B14784" s="2" t="s">
        <v>25277</v>
      </c>
      <c r="C14784" s="1" t="s">
        <v>5512</v>
      </c>
      <c r="D14784" s="1" t="s">
        <v>5513</v>
      </c>
    </row>
    <row r="14785">
      <c r="A14785" s="1" t="s">
        <v>25278</v>
      </c>
      <c r="B14785" s="2" t="s">
        <v>25279</v>
      </c>
      <c r="C14785" s="1" t="s">
        <v>5512</v>
      </c>
      <c r="D14785" s="1" t="s">
        <v>5513</v>
      </c>
    </row>
    <row r="14786">
      <c r="A14786" s="1" t="s">
        <v>25280</v>
      </c>
      <c r="B14786" s="2" t="s">
        <v>25281</v>
      </c>
      <c r="C14786" s="1" t="s">
        <v>5512</v>
      </c>
      <c r="D14786" s="1" t="s">
        <v>5513</v>
      </c>
    </row>
    <row r="14787">
      <c r="A14787" s="1" t="s">
        <v>25282</v>
      </c>
      <c r="B14787" s="2" t="s">
        <v>25283</v>
      </c>
      <c r="C14787" s="1" t="s">
        <v>5512</v>
      </c>
      <c r="D14787" s="1" t="s">
        <v>5513</v>
      </c>
    </row>
    <row r="14788">
      <c r="A14788" s="1" t="s">
        <v>25284</v>
      </c>
      <c r="B14788" s="2" t="s">
        <v>25285</v>
      </c>
      <c r="C14788" s="1" t="s">
        <v>5512</v>
      </c>
      <c r="D14788" s="1" t="s">
        <v>5513</v>
      </c>
    </row>
    <row r="14789">
      <c r="A14789" s="1" t="s">
        <v>5520</v>
      </c>
      <c r="B14789" s="2" t="s">
        <v>7</v>
      </c>
      <c r="C14789" s="1" t="s">
        <v>5522</v>
      </c>
      <c r="D14789" s="1" t="s">
        <v>5524</v>
      </c>
    </row>
    <row r="14790">
      <c r="A14790" s="1" t="s">
        <v>25286</v>
      </c>
      <c r="B14790" s="2" t="s">
        <v>25287</v>
      </c>
      <c r="C14790" s="1" t="s">
        <v>5522</v>
      </c>
      <c r="D14790" s="1" t="s">
        <v>5524</v>
      </c>
    </row>
    <row r="14791">
      <c r="A14791" s="1" t="s">
        <v>25288</v>
      </c>
      <c r="B14791" s="2" t="s">
        <v>25289</v>
      </c>
      <c r="C14791" s="1" t="s">
        <v>5522</v>
      </c>
      <c r="D14791" s="1" t="s">
        <v>5524</v>
      </c>
    </row>
    <row r="14792">
      <c r="A14792" s="1" t="s">
        <v>25290</v>
      </c>
      <c r="B14792" s="2" t="s">
        <v>25291</v>
      </c>
      <c r="C14792" s="1" t="s">
        <v>5522</v>
      </c>
      <c r="D14792" s="1" t="s">
        <v>5524</v>
      </c>
    </row>
    <row r="14793">
      <c r="A14793" s="1" t="s">
        <v>25292</v>
      </c>
      <c r="B14793" s="2" t="s">
        <v>25293</v>
      </c>
      <c r="C14793" s="1" t="s">
        <v>5522</v>
      </c>
      <c r="D14793" s="1" t="s">
        <v>5524</v>
      </c>
    </row>
    <row r="14794">
      <c r="A14794" s="1" t="s">
        <v>25294</v>
      </c>
      <c r="B14794" s="2" t="s">
        <v>25295</v>
      </c>
      <c r="C14794" s="1" t="s">
        <v>5522</v>
      </c>
      <c r="D14794" s="1" t="s">
        <v>5524</v>
      </c>
    </row>
    <row r="14795">
      <c r="A14795" s="1" t="s">
        <v>25296</v>
      </c>
      <c r="B14795" s="2" t="s">
        <v>25297</v>
      </c>
      <c r="C14795" s="1" t="s">
        <v>5522</v>
      </c>
      <c r="D14795" s="1" t="s">
        <v>5524</v>
      </c>
    </row>
    <row r="14796">
      <c r="A14796" s="1" t="s">
        <v>25298</v>
      </c>
      <c r="B14796" s="2" t="s">
        <v>25299</v>
      </c>
      <c r="C14796" s="1" t="s">
        <v>5522</v>
      </c>
      <c r="D14796" s="1" t="s">
        <v>5524</v>
      </c>
    </row>
    <row r="14797">
      <c r="A14797" s="1" t="s">
        <v>25300</v>
      </c>
      <c r="B14797" s="2" t="s">
        <v>25301</v>
      </c>
      <c r="C14797" s="1" t="s">
        <v>5522</v>
      </c>
      <c r="D14797" s="1" t="s">
        <v>5524</v>
      </c>
    </row>
    <row r="14798">
      <c r="A14798" s="1" t="s">
        <v>25302</v>
      </c>
      <c r="B14798" s="2" t="s">
        <v>25303</v>
      </c>
      <c r="C14798" s="1" t="s">
        <v>5522</v>
      </c>
      <c r="D14798" s="1" t="s">
        <v>5524</v>
      </c>
    </row>
    <row r="14799">
      <c r="A14799" s="1" t="s">
        <v>25304</v>
      </c>
      <c r="B14799" s="2" t="s">
        <v>25305</v>
      </c>
      <c r="C14799" s="1" t="s">
        <v>5522</v>
      </c>
      <c r="D14799" s="1" t="s">
        <v>5524</v>
      </c>
    </row>
    <row r="14800">
      <c r="A14800" s="1" t="s">
        <v>25306</v>
      </c>
      <c r="B14800" s="2" t="s">
        <v>25307</v>
      </c>
      <c r="C14800" s="1" t="s">
        <v>5522</v>
      </c>
      <c r="D14800" s="1" t="s">
        <v>5524</v>
      </c>
    </row>
    <row r="14801">
      <c r="A14801" s="1" t="s">
        <v>25308</v>
      </c>
      <c r="B14801" s="2" t="s">
        <v>25309</v>
      </c>
      <c r="C14801" s="1" t="s">
        <v>5522</v>
      </c>
      <c r="D14801" s="1" t="s">
        <v>5524</v>
      </c>
    </row>
    <row r="14802">
      <c r="A14802" s="1" t="s">
        <v>25310</v>
      </c>
      <c r="B14802" s="2" t="s">
        <v>25311</v>
      </c>
      <c r="C14802" s="1" t="s">
        <v>5522</v>
      </c>
      <c r="D14802" s="1" t="s">
        <v>5524</v>
      </c>
    </row>
    <row r="14803">
      <c r="A14803" s="1" t="s">
        <v>25312</v>
      </c>
      <c r="B14803" s="2" t="s">
        <v>25313</v>
      </c>
      <c r="C14803" s="1" t="s">
        <v>5522</v>
      </c>
      <c r="D14803" s="1" t="s">
        <v>5524</v>
      </c>
    </row>
    <row r="14804">
      <c r="A14804" s="1" t="s">
        <v>25314</v>
      </c>
      <c r="B14804" s="2" t="s">
        <v>25315</v>
      </c>
      <c r="C14804" s="1" t="s">
        <v>5522</v>
      </c>
      <c r="D14804" s="1" t="s">
        <v>5524</v>
      </c>
    </row>
    <row r="14805">
      <c r="A14805" s="1" t="s">
        <v>25316</v>
      </c>
      <c r="B14805" s="2" t="s">
        <v>25317</v>
      </c>
      <c r="C14805" s="1" t="s">
        <v>5522</v>
      </c>
      <c r="D14805" s="1" t="s">
        <v>5524</v>
      </c>
    </row>
    <row r="14806">
      <c r="A14806" s="1" t="s">
        <v>25318</v>
      </c>
      <c r="B14806" s="2" t="s">
        <v>25319</v>
      </c>
      <c r="C14806" s="1" t="s">
        <v>5522</v>
      </c>
      <c r="D14806" s="1" t="s">
        <v>5524</v>
      </c>
    </row>
    <row r="14807">
      <c r="A14807" s="1" t="s">
        <v>25320</v>
      </c>
      <c r="B14807" s="2" t="s">
        <v>25321</v>
      </c>
      <c r="C14807" s="1" t="s">
        <v>5522</v>
      </c>
      <c r="D14807" s="1" t="s">
        <v>5524</v>
      </c>
    </row>
    <row r="14808">
      <c r="A14808" s="1" t="s">
        <v>25322</v>
      </c>
      <c r="B14808" s="2" t="s">
        <v>25323</v>
      </c>
      <c r="C14808" s="1" t="s">
        <v>5522</v>
      </c>
      <c r="D14808" s="1" t="s">
        <v>5524</v>
      </c>
    </row>
    <row r="14809">
      <c r="A14809" s="1" t="s">
        <v>25324</v>
      </c>
      <c r="B14809" s="2" t="s">
        <v>25325</v>
      </c>
      <c r="C14809" s="1" t="s">
        <v>5522</v>
      </c>
      <c r="D14809" s="1" t="s">
        <v>5524</v>
      </c>
    </row>
    <row r="14810">
      <c r="A14810" s="1" t="s">
        <v>25326</v>
      </c>
      <c r="B14810" s="2" t="s">
        <v>25327</v>
      </c>
      <c r="C14810" s="1" t="s">
        <v>5522</v>
      </c>
      <c r="D14810" s="1" t="s">
        <v>5524</v>
      </c>
    </row>
    <row r="14811">
      <c r="A14811" s="1" t="s">
        <v>25328</v>
      </c>
      <c r="B14811" s="2" t="s">
        <v>25329</v>
      </c>
      <c r="C14811" s="1" t="s">
        <v>5522</v>
      </c>
      <c r="D14811" s="1" t="s">
        <v>5524</v>
      </c>
    </row>
    <row r="14812">
      <c r="A14812" s="1" t="s">
        <v>25330</v>
      </c>
      <c r="B14812" s="2" t="s">
        <v>25331</v>
      </c>
      <c r="C14812" s="1" t="s">
        <v>5522</v>
      </c>
      <c r="D14812" s="1" t="s">
        <v>5524</v>
      </c>
    </row>
    <row r="14813">
      <c r="A14813" s="1" t="s">
        <v>25332</v>
      </c>
      <c r="B14813" s="2" t="s">
        <v>25333</v>
      </c>
      <c r="C14813" s="1" t="s">
        <v>5522</v>
      </c>
      <c r="D14813" s="1" t="s">
        <v>5524</v>
      </c>
    </row>
    <row r="14814">
      <c r="A14814" s="1" t="s">
        <v>25334</v>
      </c>
      <c r="B14814" s="2" t="s">
        <v>25335</v>
      </c>
      <c r="C14814" s="1" t="s">
        <v>5522</v>
      </c>
      <c r="D14814" s="1" t="s">
        <v>5524</v>
      </c>
    </row>
    <row r="14815">
      <c r="A14815" s="1" t="s">
        <v>25336</v>
      </c>
      <c r="B14815" s="2" t="s">
        <v>25337</v>
      </c>
      <c r="C14815" s="1" t="s">
        <v>5522</v>
      </c>
      <c r="D14815" s="1" t="s">
        <v>5524</v>
      </c>
    </row>
    <row r="14816">
      <c r="A14816" s="1" t="s">
        <v>25338</v>
      </c>
      <c r="B14816" s="2" t="s">
        <v>25339</v>
      </c>
      <c r="C14816" s="1" t="s">
        <v>5522</v>
      </c>
      <c r="D14816" s="1" t="s">
        <v>5524</v>
      </c>
    </row>
    <row r="14817">
      <c r="A14817" s="1" t="s">
        <v>25340</v>
      </c>
      <c r="B14817" s="2" t="s">
        <v>25341</v>
      </c>
      <c r="C14817" s="1" t="s">
        <v>5522</v>
      </c>
      <c r="D14817" s="1" t="s">
        <v>5524</v>
      </c>
    </row>
    <row r="14818">
      <c r="A14818" s="1" t="s">
        <v>25342</v>
      </c>
      <c r="B14818" s="2" t="s">
        <v>25343</v>
      </c>
      <c r="C14818" s="1" t="s">
        <v>5522</v>
      </c>
      <c r="D14818" s="1" t="s">
        <v>5524</v>
      </c>
    </row>
    <row r="14819">
      <c r="A14819" s="1" t="s">
        <v>25344</v>
      </c>
      <c r="B14819" s="2" t="s">
        <v>25345</v>
      </c>
      <c r="C14819" s="1" t="s">
        <v>5522</v>
      </c>
      <c r="D14819" s="1" t="s">
        <v>5524</v>
      </c>
    </row>
    <row r="14820">
      <c r="A14820" s="1" t="s">
        <v>25346</v>
      </c>
      <c r="B14820" s="2" t="s">
        <v>25347</v>
      </c>
      <c r="C14820" s="1" t="s">
        <v>5522</v>
      </c>
      <c r="D14820" s="1" t="s">
        <v>5524</v>
      </c>
    </row>
    <row r="14821">
      <c r="A14821" s="1" t="s">
        <v>25348</v>
      </c>
      <c r="B14821" s="2" t="s">
        <v>25349</v>
      </c>
      <c r="C14821" s="1" t="s">
        <v>5522</v>
      </c>
      <c r="D14821" s="1" t="s">
        <v>5524</v>
      </c>
    </row>
    <row r="14822">
      <c r="A14822" s="1" t="s">
        <v>25350</v>
      </c>
      <c r="B14822" s="2" t="s">
        <v>25351</v>
      </c>
      <c r="C14822" s="1" t="s">
        <v>5522</v>
      </c>
      <c r="D14822" s="1" t="s">
        <v>5524</v>
      </c>
    </row>
    <row r="14823">
      <c r="A14823" s="1" t="s">
        <v>25352</v>
      </c>
      <c r="B14823" s="2" t="s">
        <v>25353</v>
      </c>
      <c r="C14823" s="1" t="s">
        <v>5522</v>
      </c>
      <c r="D14823" s="1" t="s">
        <v>5524</v>
      </c>
    </row>
    <row r="14824">
      <c r="A14824" s="1" t="s">
        <v>25354</v>
      </c>
      <c r="B14824" s="2" t="s">
        <v>25355</v>
      </c>
      <c r="C14824" s="1" t="s">
        <v>5522</v>
      </c>
      <c r="D14824" s="1" t="s">
        <v>5524</v>
      </c>
    </row>
    <row r="14825">
      <c r="A14825" s="1" t="s">
        <v>5529</v>
      </c>
      <c r="B14825" s="2" t="s">
        <v>7</v>
      </c>
      <c r="C14825" s="1" t="s">
        <v>5531</v>
      </c>
      <c r="D14825" s="1" t="s">
        <v>5533</v>
      </c>
    </row>
    <row r="14826">
      <c r="A14826" s="1" t="s">
        <v>25356</v>
      </c>
      <c r="B14826" s="2" t="s">
        <v>13</v>
      </c>
      <c r="C14826" s="1" t="s">
        <v>5531</v>
      </c>
      <c r="D14826" s="1" t="s">
        <v>5533</v>
      </c>
    </row>
    <row r="14827">
      <c r="A14827" s="1" t="s">
        <v>25357</v>
      </c>
      <c r="B14827" s="2" t="s">
        <v>25358</v>
      </c>
      <c r="C14827" s="1" t="s">
        <v>5531</v>
      </c>
      <c r="D14827" s="1" t="s">
        <v>5533</v>
      </c>
    </row>
    <row r="14828">
      <c r="A14828" s="1" t="s">
        <v>25359</v>
      </c>
      <c r="B14828" s="2" t="s">
        <v>25360</v>
      </c>
      <c r="C14828" s="1" t="s">
        <v>5531</v>
      </c>
      <c r="D14828" s="1" t="s">
        <v>5533</v>
      </c>
    </row>
    <row r="14829">
      <c r="A14829" s="1" t="s">
        <v>25361</v>
      </c>
      <c r="B14829" s="2" t="s">
        <v>25362</v>
      </c>
      <c r="C14829" s="1" t="s">
        <v>5531</v>
      </c>
      <c r="D14829" s="1" t="s">
        <v>5533</v>
      </c>
    </row>
    <row r="14830">
      <c r="A14830" s="1" t="s">
        <v>25363</v>
      </c>
      <c r="B14830" s="2" t="s">
        <v>25364</v>
      </c>
      <c r="C14830" s="1" t="s">
        <v>5531</v>
      </c>
      <c r="D14830" s="1" t="s">
        <v>5533</v>
      </c>
    </row>
    <row r="14831">
      <c r="A14831" s="1" t="s">
        <v>25365</v>
      </c>
      <c r="B14831" s="2" t="s">
        <v>25366</v>
      </c>
      <c r="C14831" s="1" t="s">
        <v>5531</v>
      </c>
      <c r="D14831" s="1" t="s">
        <v>5533</v>
      </c>
    </row>
    <row r="14832">
      <c r="A14832" s="1" t="s">
        <v>25367</v>
      </c>
      <c r="B14832" s="2" t="s">
        <v>25368</v>
      </c>
      <c r="C14832" s="1" t="s">
        <v>5531</v>
      </c>
      <c r="D14832" s="1" t="s">
        <v>5533</v>
      </c>
    </row>
    <row r="14833">
      <c r="A14833" s="1" t="s">
        <v>25369</v>
      </c>
      <c r="B14833" s="2" t="s">
        <v>25370</v>
      </c>
      <c r="C14833" s="1" t="s">
        <v>5531</v>
      </c>
      <c r="D14833" s="1" t="s">
        <v>5533</v>
      </c>
    </row>
    <row r="14834">
      <c r="A14834" s="1" t="s">
        <v>25371</v>
      </c>
      <c r="B14834" s="2" t="s">
        <v>25372</v>
      </c>
      <c r="C14834" s="1" t="s">
        <v>5531</v>
      </c>
      <c r="D14834" s="1" t="s">
        <v>5533</v>
      </c>
    </row>
    <row r="14835">
      <c r="A14835" s="1" t="s">
        <v>25373</v>
      </c>
      <c r="B14835" s="2" t="s">
        <v>25374</v>
      </c>
      <c r="C14835" s="1" t="s">
        <v>5531</v>
      </c>
      <c r="D14835" s="1" t="s">
        <v>5533</v>
      </c>
    </row>
    <row r="14836">
      <c r="A14836" s="1" t="s">
        <v>25375</v>
      </c>
      <c r="B14836" s="2" t="s">
        <v>25376</v>
      </c>
      <c r="C14836" s="1" t="s">
        <v>5531</v>
      </c>
      <c r="D14836" s="1" t="s">
        <v>5533</v>
      </c>
    </row>
    <row r="14837">
      <c r="A14837" s="1" t="s">
        <v>25377</v>
      </c>
      <c r="B14837" s="2" t="s">
        <v>25378</v>
      </c>
      <c r="C14837" s="1" t="s">
        <v>5531</v>
      </c>
      <c r="D14837" s="1" t="s">
        <v>5533</v>
      </c>
    </row>
    <row r="14838">
      <c r="A14838" s="1" t="s">
        <v>25379</v>
      </c>
      <c r="B14838" s="2" t="s">
        <v>25380</v>
      </c>
      <c r="C14838" s="1" t="s">
        <v>5531</v>
      </c>
      <c r="D14838" s="1" t="s">
        <v>5533</v>
      </c>
    </row>
    <row r="14839">
      <c r="A14839" s="1" t="s">
        <v>25381</v>
      </c>
      <c r="B14839" s="2" t="s">
        <v>25382</v>
      </c>
      <c r="C14839" s="1" t="s">
        <v>5531</v>
      </c>
      <c r="D14839" s="1" t="s">
        <v>5533</v>
      </c>
    </row>
    <row r="14840">
      <c r="A14840" s="1" t="s">
        <v>25383</v>
      </c>
      <c r="B14840" s="2" t="s">
        <v>25384</v>
      </c>
      <c r="C14840" s="1" t="s">
        <v>5531</v>
      </c>
      <c r="D14840" s="1" t="s">
        <v>5533</v>
      </c>
    </row>
    <row r="14841">
      <c r="A14841" s="1" t="s">
        <v>25385</v>
      </c>
      <c r="B14841" s="2" t="s">
        <v>25386</v>
      </c>
      <c r="C14841" s="1" t="s">
        <v>5531</v>
      </c>
      <c r="D14841" s="1" t="s">
        <v>5533</v>
      </c>
    </row>
    <row r="14842">
      <c r="A14842" s="1" t="s">
        <v>25387</v>
      </c>
      <c r="B14842" s="2" t="s">
        <v>25388</v>
      </c>
      <c r="C14842" s="1" t="s">
        <v>5531</v>
      </c>
      <c r="D14842" s="1" t="s">
        <v>5533</v>
      </c>
    </row>
    <row r="14843">
      <c r="A14843" s="1" t="s">
        <v>25389</v>
      </c>
      <c r="B14843" s="2" t="s">
        <v>25390</v>
      </c>
      <c r="C14843" s="1" t="s">
        <v>5531</v>
      </c>
      <c r="D14843" s="1" t="s">
        <v>5533</v>
      </c>
    </row>
    <row r="14844">
      <c r="A14844" s="1" t="s">
        <v>25391</v>
      </c>
      <c r="B14844" s="2" t="s">
        <v>25392</v>
      </c>
      <c r="C14844" s="1" t="s">
        <v>5531</v>
      </c>
      <c r="D14844" s="1" t="s">
        <v>5533</v>
      </c>
    </row>
    <row r="14845">
      <c r="A14845" s="1" t="s">
        <v>25393</v>
      </c>
      <c r="B14845" s="2" t="s">
        <v>25394</v>
      </c>
      <c r="C14845" s="1" t="s">
        <v>5531</v>
      </c>
      <c r="D14845" s="1" t="s">
        <v>5533</v>
      </c>
    </row>
    <row r="14846">
      <c r="A14846" s="1" t="s">
        <v>25395</v>
      </c>
      <c r="B14846" s="2" t="s">
        <v>25396</v>
      </c>
      <c r="C14846" s="1" t="s">
        <v>5531</v>
      </c>
      <c r="D14846" s="1" t="s">
        <v>5533</v>
      </c>
    </row>
    <row r="14847">
      <c r="A14847" s="1" t="s">
        <v>25397</v>
      </c>
      <c r="B14847" s="2" t="s">
        <v>25398</v>
      </c>
      <c r="C14847" s="1" t="s">
        <v>5531</v>
      </c>
      <c r="D14847" s="1" t="s">
        <v>5533</v>
      </c>
    </row>
    <row r="14848">
      <c r="A14848" s="1" t="s">
        <v>25399</v>
      </c>
      <c r="B14848" s="2" t="s">
        <v>25400</v>
      </c>
      <c r="C14848" s="1" t="s">
        <v>5531</v>
      </c>
      <c r="D14848" s="1" t="s">
        <v>5533</v>
      </c>
    </row>
    <row r="14849">
      <c r="A14849" s="1" t="s">
        <v>25401</v>
      </c>
      <c r="B14849" s="2" t="s">
        <v>25402</v>
      </c>
      <c r="C14849" s="1" t="s">
        <v>5531</v>
      </c>
      <c r="D14849" s="1" t="s">
        <v>5533</v>
      </c>
    </row>
    <row r="14850">
      <c r="A14850" s="1" t="s">
        <v>25403</v>
      </c>
      <c r="B14850" s="2" t="s">
        <v>25404</v>
      </c>
      <c r="C14850" s="1" t="s">
        <v>5531</v>
      </c>
      <c r="D14850" s="1" t="s">
        <v>5533</v>
      </c>
    </row>
    <row r="14851">
      <c r="A14851" s="1" t="s">
        <v>25405</v>
      </c>
      <c r="B14851" s="2" t="s">
        <v>25406</v>
      </c>
      <c r="C14851" s="1" t="s">
        <v>5531</v>
      </c>
      <c r="D14851" s="1" t="s">
        <v>5533</v>
      </c>
    </row>
    <row r="14852">
      <c r="A14852" s="1" t="s">
        <v>25407</v>
      </c>
      <c r="B14852" s="2" t="s">
        <v>25408</v>
      </c>
      <c r="C14852" s="1" t="s">
        <v>5531</v>
      </c>
      <c r="D14852" s="1" t="s">
        <v>5533</v>
      </c>
    </row>
    <row r="14853">
      <c r="A14853" s="1" t="s">
        <v>25409</v>
      </c>
      <c r="B14853" s="2" t="s">
        <v>25410</v>
      </c>
      <c r="C14853" s="1" t="s">
        <v>5531</v>
      </c>
      <c r="D14853" s="1" t="s">
        <v>5533</v>
      </c>
    </row>
    <row r="14854">
      <c r="A14854" s="1" t="s">
        <v>25411</v>
      </c>
      <c r="B14854" s="2" t="s">
        <v>25412</v>
      </c>
      <c r="C14854" s="1" t="s">
        <v>5531</v>
      </c>
      <c r="D14854" s="1" t="s">
        <v>5533</v>
      </c>
    </row>
    <row r="14855">
      <c r="A14855" s="1" t="s">
        <v>25413</v>
      </c>
      <c r="B14855" s="2" t="s">
        <v>25414</v>
      </c>
      <c r="C14855" s="1" t="s">
        <v>5531</v>
      </c>
      <c r="D14855" s="1" t="s">
        <v>5533</v>
      </c>
    </row>
    <row r="14856">
      <c r="A14856" s="1" t="s">
        <v>25415</v>
      </c>
      <c r="B14856" s="2" t="s">
        <v>25416</v>
      </c>
      <c r="C14856" s="1" t="s">
        <v>5531</v>
      </c>
      <c r="D14856" s="1" t="s">
        <v>5533</v>
      </c>
    </row>
    <row r="14857">
      <c r="A14857" s="1" t="s">
        <v>25417</v>
      </c>
      <c r="B14857" s="2" t="s">
        <v>25418</v>
      </c>
      <c r="C14857" s="1" t="s">
        <v>5531</v>
      </c>
      <c r="D14857" s="1" t="s">
        <v>5533</v>
      </c>
    </row>
    <row r="14858">
      <c r="A14858" s="1" t="s">
        <v>25419</v>
      </c>
      <c r="B14858" s="2" t="s">
        <v>25420</v>
      </c>
      <c r="C14858" s="1" t="s">
        <v>5531</v>
      </c>
      <c r="D14858" s="1" t="s">
        <v>5533</v>
      </c>
    </row>
    <row r="14859">
      <c r="A14859" s="1" t="s">
        <v>25421</v>
      </c>
      <c r="B14859" s="2" t="s">
        <v>25422</v>
      </c>
      <c r="C14859" s="1" t="s">
        <v>5531</v>
      </c>
      <c r="D14859" s="1" t="s">
        <v>5533</v>
      </c>
    </row>
    <row r="14860">
      <c r="A14860" s="1" t="s">
        <v>25423</v>
      </c>
      <c r="B14860" s="2" t="s">
        <v>25424</v>
      </c>
      <c r="C14860" s="1" t="s">
        <v>5531</v>
      </c>
      <c r="D14860" s="1" t="s">
        <v>5533</v>
      </c>
    </row>
    <row r="14861">
      <c r="A14861" s="1" t="s">
        <v>25425</v>
      </c>
      <c r="B14861" s="2" t="s">
        <v>25426</v>
      </c>
      <c r="C14861" s="1" t="s">
        <v>5531</v>
      </c>
      <c r="D14861" s="1" t="s">
        <v>5533</v>
      </c>
    </row>
    <row r="14862">
      <c r="A14862" s="1" t="s">
        <v>25427</v>
      </c>
      <c r="B14862" s="2" t="s">
        <v>70</v>
      </c>
      <c r="C14862" s="1" t="s">
        <v>5531</v>
      </c>
      <c r="D14862" s="1" t="s">
        <v>5533</v>
      </c>
    </row>
    <row r="14863">
      <c r="A14863" s="1" t="s">
        <v>25428</v>
      </c>
      <c r="B14863" s="2" t="s">
        <v>25429</v>
      </c>
      <c r="C14863" s="1" t="s">
        <v>5531</v>
      </c>
      <c r="D14863" s="1" t="s">
        <v>5533</v>
      </c>
    </row>
    <row r="14864">
      <c r="A14864" s="1" t="s">
        <v>25430</v>
      </c>
      <c r="B14864" s="2" t="s">
        <v>25431</v>
      </c>
      <c r="C14864" s="1" t="s">
        <v>5531</v>
      </c>
      <c r="D14864" s="1" t="s">
        <v>5533</v>
      </c>
    </row>
    <row r="14865">
      <c r="A14865" s="1" t="s">
        <v>25432</v>
      </c>
      <c r="B14865" s="2" t="s">
        <v>25433</v>
      </c>
      <c r="C14865" s="1" t="s">
        <v>5531</v>
      </c>
      <c r="D14865" s="1" t="s">
        <v>5533</v>
      </c>
    </row>
    <row r="14866">
      <c r="A14866" s="1" t="s">
        <v>25434</v>
      </c>
      <c r="B14866" s="2" t="s">
        <v>25435</v>
      </c>
      <c r="C14866" s="1" t="s">
        <v>5531</v>
      </c>
      <c r="D14866" s="1" t="s">
        <v>5533</v>
      </c>
    </row>
    <row r="14867">
      <c r="A14867" s="1" t="s">
        <v>25436</v>
      </c>
      <c r="B14867" s="2" t="s">
        <v>25437</v>
      </c>
      <c r="C14867" s="1" t="s">
        <v>5531</v>
      </c>
      <c r="D14867" s="1" t="s">
        <v>5533</v>
      </c>
    </row>
    <row r="14868">
      <c r="A14868" s="1" t="s">
        <v>25438</v>
      </c>
      <c r="B14868" s="2" t="s">
        <v>25439</v>
      </c>
      <c r="C14868" s="1" t="s">
        <v>5531</v>
      </c>
      <c r="D14868" s="1" t="s">
        <v>5533</v>
      </c>
    </row>
    <row r="14869">
      <c r="A14869" s="1" t="s">
        <v>25440</v>
      </c>
      <c r="B14869" s="2" t="s">
        <v>25441</v>
      </c>
      <c r="C14869" s="1" t="s">
        <v>5531</v>
      </c>
      <c r="D14869" s="1" t="s">
        <v>5533</v>
      </c>
    </row>
    <row r="14870">
      <c r="A14870" s="1" t="s">
        <v>25442</v>
      </c>
      <c r="B14870" s="2" t="s">
        <v>25443</v>
      </c>
      <c r="C14870" s="1" t="s">
        <v>5531</v>
      </c>
      <c r="D14870" s="1" t="s">
        <v>5533</v>
      </c>
    </row>
    <row r="14871">
      <c r="A14871" s="1" t="s">
        <v>25444</v>
      </c>
      <c r="B14871" s="2" t="s">
        <v>25445</v>
      </c>
      <c r="C14871" s="1" t="s">
        <v>5531</v>
      </c>
      <c r="D14871" s="1" t="s">
        <v>5533</v>
      </c>
    </row>
    <row r="14872">
      <c r="A14872" s="1" t="s">
        <v>25446</v>
      </c>
      <c r="B14872" s="2" t="s">
        <v>25447</v>
      </c>
      <c r="C14872" s="1" t="s">
        <v>5531</v>
      </c>
      <c r="D14872" s="1" t="s">
        <v>5533</v>
      </c>
    </row>
    <row r="14873">
      <c r="A14873" s="1" t="s">
        <v>25448</v>
      </c>
      <c r="B14873" s="2" t="s">
        <v>25449</v>
      </c>
      <c r="C14873" s="1" t="s">
        <v>5531</v>
      </c>
      <c r="D14873" s="1" t="s">
        <v>5533</v>
      </c>
    </row>
    <row r="14874">
      <c r="A14874" s="1" t="s">
        <v>25450</v>
      </c>
      <c r="B14874" s="2" t="s">
        <v>25451</v>
      </c>
      <c r="C14874" s="1" t="s">
        <v>5531</v>
      </c>
      <c r="D14874" s="1" t="s">
        <v>5533</v>
      </c>
    </row>
    <row r="14875">
      <c r="A14875" s="1" t="s">
        <v>25452</v>
      </c>
      <c r="B14875" s="2" t="s">
        <v>25453</v>
      </c>
      <c r="C14875" s="1" t="s">
        <v>5531</v>
      </c>
      <c r="D14875" s="1" t="s">
        <v>5533</v>
      </c>
    </row>
    <row r="14876">
      <c r="A14876" s="1" t="s">
        <v>25454</v>
      </c>
      <c r="B14876" s="2" t="s">
        <v>25455</v>
      </c>
      <c r="C14876" s="1" t="s">
        <v>5531</v>
      </c>
      <c r="D14876" s="1" t="s">
        <v>5533</v>
      </c>
    </row>
    <row r="14877">
      <c r="A14877" s="1" t="s">
        <v>25456</v>
      </c>
      <c r="B14877" s="2" t="s">
        <v>25457</v>
      </c>
      <c r="C14877" s="1" t="s">
        <v>5531</v>
      </c>
      <c r="D14877" s="1" t="s">
        <v>5533</v>
      </c>
    </row>
    <row r="14878">
      <c r="A14878" s="1" t="s">
        <v>25458</v>
      </c>
      <c r="B14878" s="2" t="s">
        <v>25459</v>
      </c>
      <c r="C14878" s="1" t="s">
        <v>5531</v>
      </c>
      <c r="D14878" s="1" t="s">
        <v>5533</v>
      </c>
    </row>
    <row r="14879">
      <c r="A14879" s="1" t="s">
        <v>25460</v>
      </c>
      <c r="B14879" s="2" t="s">
        <v>25461</v>
      </c>
      <c r="C14879" s="1" t="s">
        <v>5531</v>
      </c>
      <c r="D14879" s="1" t="s">
        <v>5533</v>
      </c>
    </row>
    <row r="14880">
      <c r="A14880" s="1" t="s">
        <v>25462</v>
      </c>
      <c r="B14880" s="2" t="s">
        <v>25463</v>
      </c>
      <c r="C14880" s="1" t="s">
        <v>5531</v>
      </c>
      <c r="D14880" s="1" t="s">
        <v>5533</v>
      </c>
    </row>
    <row r="14881">
      <c r="A14881" s="1" t="s">
        <v>25464</v>
      </c>
      <c r="B14881" s="2" t="s">
        <v>25465</v>
      </c>
      <c r="C14881" s="1" t="s">
        <v>5531</v>
      </c>
      <c r="D14881" s="1" t="s">
        <v>5533</v>
      </c>
    </row>
    <row r="14882">
      <c r="A14882" s="1" t="s">
        <v>25466</v>
      </c>
      <c r="B14882" s="2" t="s">
        <v>25467</v>
      </c>
      <c r="C14882" s="1" t="s">
        <v>5531</v>
      </c>
      <c r="D14882" s="1" t="s">
        <v>5533</v>
      </c>
    </row>
    <row r="14883">
      <c r="A14883" s="1" t="s">
        <v>25468</v>
      </c>
      <c r="B14883" s="2" t="s">
        <v>25469</v>
      </c>
      <c r="C14883" s="1" t="s">
        <v>5531</v>
      </c>
      <c r="D14883" s="1" t="s">
        <v>5533</v>
      </c>
    </row>
    <row r="14884">
      <c r="A14884" s="1" t="s">
        <v>25470</v>
      </c>
      <c r="B14884" s="2" t="s">
        <v>25471</v>
      </c>
      <c r="C14884" s="1" t="s">
        <v>5531</v>
      </c>
      <c r="D14884" s="1" t="s">
        <v>5533</v>
      </c>
    </row>
    <row r="14885">
      <c r="A14885" s="1" t="s">
        <v>25472</v>
      </c>
      <c r="B14885" s="2" t="s">
        <v>25473</v>
      </c>
      <c r="C14885" s="1" t="s">
        <v>5531</v>
      </c>
      <c r="D14885" s="1" t="s">
        <v>5533</v>
      </c>
    </row>
    <row r="14886">
      <c r="A14886" s="1" t="s">
        <v>25474</v>
      </c>
      <c r="B14886" s="2" t="s">
        <v>25475</v>
      </c>
      <c r="C14886" s="1" t="s">
        <v>5531</v>
      </c>
      <c r="D14886" s="1" t="s">
        <v>5533</v>
      </c>
    </row>
    <row r="14887">
      <c r="A14887" s="1" t="s">
        <v>25476</v>
      </c>
      <c r="B14887" s="2" t="s">
        <v>25477</v>
      </c>
      <c r="C14887" s="1" t="s">
        <v>5531</v>
      </c>
      <c r="D14887" s="1" t="s">
        <v>5533</v>
      </c>
    </row>
    <row r="14888">
      <c r="A14888" s="1" t="s">
        <v>25478</v>
      </c>
      <c r="B14888" s="2" t="s">
        <v>25479</v>
      </c>
      <c r="C14888" s="1" t="s">
        <v>5531</v>
      </c>
      <c r="D14888" s="1" t="s">
        <v>5533</v>
      </c>
    </row>
    <row r="14889">
      <c r="A14889" s="1" t="s">
        <v>25480</v>
      </c>
      <c r="B14889" s="2" t="s">
        <v>25481</v>
      </c>
      <c r="C14889" s="1" t="s">
        <v>5531</v>
      </c>
      <c r="D14889" s="1" t="s">
        <v>5533</v>
      </c>
    </row>
    <row r="14890">
      <c r="A14890" s="1" t="s">
        <v>25482</v>
      </c>
      <c r="B14890" s="2" t="s">
        <v>25483</v>
      </c>
      <c r="C14890" s="1" t="s">
        <v>5531</v>
      </c>
      <c r="D14890" s="1" t="s">
        <v>5533</v>
      </c>
    </row>
    <row r="14891">
      <c r="A14891" s="1" t="s">
        <v>25484</v>
      </c>
      <c r="B14891" s="2" t="s">
        <v>25485</v>
      </c>
      <c r="C14891" s="1" t="s">
        <v>5531</v>
      </c>
      <c r="D14891" s="1" t="s">
        <v>5533</v>
      </c>
    </row>
    <row r="14892">
      <c r="A14892" s="1" t="s">
        <v>25486</v>
      </c>
      <c r="B14892" s="2" t="s">
        <v>25487</v>
      </c>
      <c r="C14892" s="1" t="s">
        <v>5531</v>
      </c>
      <c r="D14892" s="1" t="s">
        <v>5533</v>
      </c>
    </row>
    <row r="14893">
      <c r="A14893" s="1" t="s">
        <v>25488</v>
      </c>
      <c r="B14893" s="2" t="s">
        <v>25489</v>
      </c>
      <c r="C14893" s="1" t="s">
        <v>5531</v>
      </c>
      <c r="D14893" s="1" t="s">
        <v>5533</v>
      </c>
    </row>
    <row r="14894">
      <c r="A14894" s="1" t="s">
        <v>25490</v>
      </c>
      <c r="B14894" s="2" t="s">
        <v>25491</v>
      </c>
      <c r="C14894" s="1" t="s">
        <v>5531</v>
      </c>
      <c r="D14894" s="1" t="s">
        <v>5533</v>
      </c>
    </row>
    <row r="14895">
      <c r="A14895" s="1" t="s">
        <v>25492</v>
      </c>
      <c r="B14895" s="2" t="s">
        <v>25493</v>
      </c>
      <c r="C14895" s="1" t="s">
        <v>5531</v>
      </c>
      <c r="D14895" s="1" t="s">
        <v>5533</v>
      </c>
    </row>
    <row r="14896">
      <c r="A14896" s="1" t="s">
        <v>25494</v>
      </c>
      <c r="B14896" s="2" t="s">
        <v>25495</v>
      </c>
      <c r="C14896" s="1" t="s">
        <v>5531</v>
      </c>
      <c r="D14896" s="1" t="s">
        <v>5533</v>
      </c>
    </row>
    <row r="14897">
      <c r="A14897" s="1" t="s">
        <v>25496</v>
      </c>
      <c r="B14897" s="2" t="s">
        <v>25497</v>
      </c>
      <c r="C14897" s="1" t="s">
        <v>5531</v>
      </c>
      <c r="D14897" s="1" t="s">
        <v>5533</v>
      </c>
    </row>
    <row r="14898">
      <c r="A14898" s="1" t="s">
        <v>5535</v>
      </c>
      <c r="B14898" s="2" t="s">
        <v>7</v>
      </c>
      <c r="C14898" s="1" t="s">
        <v>5537</v>
      </c>
      <c r="D14898" s="1" t="s">
        <v>5539</v>
      </c>
    </row>
    <row r="14899">
      <c r="A14899" s="1" t="s">
        <v>25498</v>
      </c>
      <c r="B14899" s="2" t="s">
        <v>25287</v>
      </c>
      <c r="C14899" s="1" t="s">
        <v>5537</v>
      </c>
      <c r="D14899" s="1" t="s">
        <v>5539</v>
      </c>
    </row>
    <row r="14900">
      <c r="A14900" s="1" t="s">
        <v>25499</v>
      </c>
      <c r="B14900" s="2" t="s">
        <v>25289</v>
      </c>
      <c r="C14900" s="1" t="s">
        <v>5537</v>
      </c>
      <c r="D14900" s="1" t="s">
        <v>5539</v>
      </c>
    </row>
    <row r="14901">
      <c r="A14901" s="1" t="s">
        <v>25500</v>
      </c>
      <c r="B14901" s="2" t="s">
        <v>25291</v>
      </c>
      <c r="C14901" s="1" t="s">
        <v>5537</v>
      </c>
      <c r="D14901" s="1" t="s">
        <v>5539</v>
      </c>
    </row>
    <row r="14902">
      <c r="A14902" s="1" t="s">
        <v>25501</v>
      </c>
      <c r="B14902" s="2" t="s">
        <v>25293</v>
      </c>
      <c r="C14902" s="1" t="s">
        <v>5537</v>
      </c>
      <c r="D14902" s="1" t="s">
        <v>5539</v>
      </c>
    </row>
    <row r="14903">
      <c r="A14903" s="1" t="s">
        <v>25502</v>
      </c>
      <c r="B14903" s="2" t="s">
        <v>25295</v>
      </c>
      <c r="C14903" s="1" t="s">
        <v>5537</v>
      </c>
      <c r="D14903" s="1" t="s">
        <v>5539</v>
      </c>
    </row>
    <row r="14904">
      <c r="A14904" s="1" t="s">
        <v>25503</v>
      </c>
      <c r="B14904" s="2" t="s">
        <v>25297</v>
      </c>
      <c r="C14904" s="1" t="s">
        <v>5537</v>
      </c>
      <c r="D14904" s="1" t="s">
        <v>5539</v>
      </c>
    </row>
    <row r="14905">
      <c r="A14905" s="1" t="s">
        <v>25504</v>
      </c>
      <c r="B14905" s="2" t="s">
        <v>25299</v>
      </c>
      <c r="C14905" s="1" t="s">
        <v>5537</v>
      </c>
      <c r="D14905" s="1" t="s">
        <v>5539</v>
      </c>
    </row>
    <row r="14906">
      <c r="A14906" s="1" t="s">
        <v>25505</v>
      </c>
      <c r="B14906" s="2" t="s">
        <v>25301</v>
      </c>
      <c r="C14906" s="1" t="s">
        <v>5537</v>
      </c>
      <c r="D14906" s="1" t="s">
        <v>5539</v>
      </c>
    </row>
    <row r="14907">
      <c r="A14907" s="1" t="s">
        <v>25506</v>
      </c>
      <c r="B14907" s="2" t="s">
        <v>25303</v>
      </c>
      <c r="C14907" s="1" t="s">
        <v>5537</v>
      </c>
      <c r="D14907" s="1" t="s">
        <v>5539</v>
      </c>
    </row>
    <row r="14908">
      <c r="A14908" s="1" t="s">
        <v>25507</v>
      </c>
      <c r="B14908" s="2" t="s">
        <v>25305</v>
      </c>
      <c r="C14908" s="1" t="s">
        <v>5537</v>
      </c>
      <c r="D14908" s="1" t="s">
        <v>5539</v>
      </c>
    </row>
    <row r="14909">
      <c r="A14909" s="1" t="s">
        <v>25508</v>
      </c>
      <c r="B14909" s="2" t="s">
        <v>25307</v>
      </c>
      <c r="C14909" s="1" t="s">
        <v>5537</v>
      </c>
      <c r="D14909" s="1" t="s">
        <v>5539</v>
      </c>
    </row>
    <row r="14910">
      <c r="A14910" s="1" t="s">
        <v>25509</v>
      </c>
      <c r="B14910" s="2" t="s">
        <v>25309</v>
      </c>
      <c r="C14910" s="1" t="s">
        <v>5537</v>
      </c>
      <c r="D14910" s="1" t="s">
        <v>5539</v>
      </c>
    </row>
    <row r="14911">
      <c r="A14911" s="1" t="s">
        <v>25510</v>
      </c>
      <c r="B14911" s="2" t="s">
        <v>25311</v>
      </c>
      <c r="C14911" s="1" t="s">
        <v>5537</v>
      </c>
      <c r="D14911" s="1" t="s">
        <v>5539</v>
      </c>
    </row>
    <row r="14912">
      <c r="A14912" s="1" t="s">
        <v>25511</v>
      </c>
      <c r="B14912" s="2" t="s">
        <v>25313</v>
      </c>
      <c r="C14912" s="1" t="s">
        <v>5537</v>
      </c>
      <c r="D14912" s="1" t="s">
        <v>5539</v>
      </c>
    </row>
    <row r="14913">
      <c r="A14913" s="1" t="s">
        <v>25512</v>
      </c>
      <c r="B14913" s="2" t="s">
        <v>25315</v>
      </c>
      <c r="C14913" s="1" t="s">
        <v>5537</v>
      </c>
      <c r="D14913" s="1" t="s">
        <v>5539</v>
      </c>
    </row>
    <row r="14914">
      <c r="A14914" s="1" t="s">
        <v>25513</v>
      </c>
      <c r="B14914" s="2" t="s">
        <v>25317</v>
      </c>
      <c r="C14914" s="1" t="s">
        <v>5537</v>
      </c>
      <c r="D14914" s="1" t="s">
        <v>5539</v>
      </c>
    </row>
    <row r="14915">
      <c r="A14915" s="1" t="s">
        <v>25514</v>
      </c>
      <c r="B14915" s="2" t="s">
        <v>25319</v>
      </c>
      <c r="C14915" s="1" t="s">
        <v>5537</v>
      </c>
      <c r="D14915" s="1" t="s">
        <v>5539</v>
      </c>
    </row>
    <row r="14916">
      <c r="A14916" s="1" t="s">
        <v>25515</v>
      </c>
      <c r="B14916" s="2" t="s">
        <v>25321</v>
      </c>
      <c r="C14916" s="1" t="s">
        <v>5537</v>
      </c>
      <c r="D14916" s="1" t="s">
        <v>5539</v>
      </c>
    </row>
    <row r="14917">
      <c r="A14917" s="1" t="s">
        <v>25516</v>
      </c>
      <c r="B14917" s="2" t="s">
        <v>25323</v>
      </c>
      <c r="C14917" s="1" t="s">
        <v>5537</v>
      </c>
      <c r="D14917" s="1" t="s">
        <v>5539</v>
      </c>
    </row>
    <row r="14918">
      <c r="A14918" s="1" t="s">
        <v>25517</v>
      </c>
      <c r="B14918" s="2" t="s">
        <v>25325</v>
      </c>
      <c r="C14918" s="1" t="s">
        <v>5537</v>
      </c>
      <c r="D14918" s="1" t="s">
        <v>5539</v>
      </c>
    </row>
    <row r="14919">
      <c r="A14919" s="1" t="s">
        <v>25518</v>
      </c>
      <c r="B14919" s="2" t="s">
        <v>25327</v>
      </c>
      <c r="C14919" s="1" t="s">
        <v>5537</v>
      </c>
      <c r="D14919" s="1" t="s">
        <v>5539</v>
      </c>
    </row>
    <row r="14920">
      <c r="A14920" s="1" t="s">
        <v>25519</v>
      </c>
      <c r="B14920" s="2" t="s">
        <v>25329</v>
      </c>
      <c r="C14920" s="1" t="s">
        <v>5537</v>
      </c>
      <c r="D14920" s="1" t="s">
        <v>5539</v>
      </c>
    </row>
    <row r="14921">
      <c r="A14921" s="1" t="s">
        <v>25520</v>
      </c>
      <c r="B14921" s="2" t="s">
        <v>25331</v>
      </c>
      <c r="C14921" s="1" t="s">
        <v>5537</v>
      </c>
      <c r="D14921" s="1" t="s">
        <v>5539</v>
      </c>
    </row>
    <row r="14922">
      <c r="A14922" s="1" t="s">
        <v>25521</v>
      </c>
      <c r="B14922" s="2" t="s">
        <v>25333</v>
      </c>
      <c r="C14922" s="1" t="s">
        <v>5537</v>
      </c>
      <c r="D14922" s="1" t="s">
        <v>5539</v>
      </c>
    </row>
    <row r="14923">
      <c r="A14923" s="1" t="s">
        <v>25522</v>
      </c>
      <c r="B14923" s="2" t="s">
        <v>25335</v>
      </c>
      <c r="C14923" s="1" t="s">
        <v>5537</v>
      </c>
      <c r="D14923" s="1" t="s">
        <v>5539</v>
      </c>
    </row>
    <row r="14924">
      <c r="A14924" s="1" t="s">
        <v>25523</v>
      </c>
      <c r="B14924" s="2" t="s">
        <v>25337</v>
      </c>
      <c r="C14924" s="1" t="s">
        <v>5537</v>
      </c>
      <c r="D14924" s="1" t="s">
        <v>5539</v>
      </c>
    </row>
    <row r="14925">
      <c r="A14925" s="1" t="s">
        <v>25524</v>
      </c>
      <c r="B14925" s="2" t="s">
        <v>25339</v>
      </c>
      <c r="C14925" s="1" t="s">
        <v>5537</v>
      </c>
      <c r="D14925" s="1" t="s">
        <v>5539</v>
      </c>
    </row>
    <row r="14926">
      <c r="A14926" s="1" t="s">
        <v>25525</v>
      </c>
      <c r="B14926" s="2" t="s">
        <v>25341</v>
      </c>
      <c r="C14926" s="1" t="s">
        <v>5537</v>
      </c>
      <c r="D14926" s="1" t="s">
        <v>5539</v>
      </c>
    </row>
    <row r="14927">
      <c r="A14927" s="1" t="s">
        <v>25526</v>
      </c>
      <c r="B14927" s="2" t="s">
        <v>25343</v>
      </c>
      <c r="C14927" s="1" t="s">
        <v>5537</v>
      </c>
      <c r="D14927" s="1" t="s">
        <v>5539</v>
      </c>
    </row>
    <row r="14928">
      <c r="A14928" s="1" t="s">
        <v>25527</v>
      </c>
      <c r="B14928" s="2" t="s">
        <v>25345</v>
      </c>
      <c r="C14928" s="1" t="s">
        <v>5537</v>
      </c>
      <c r="D14928" s="1" t="s">
        <v>5539</v>
      </c>
    </row>
    <row r="14929">
      <c r="A14929" s="1" t="s">
        <v>25528</v>
      </c>
      <c r="B14929" s="2" t="s">
        <v>25347</v>
      </c>
      <c r="C14929" s="1" t="s">
        <v>5537</v>
      </c>
      <c r="D14929" s="1" t="s">
        <v>5539</v>
      </c>
    </row>
    <row r="14930">
      <c r="A14930" s="1" t="s">
        <v>25529</v>
      </c>
      <c r="B14930" s="2" t="s">
        <v>25349</v>
      </c>
      <c r="C14930" s="1" t="s">
        <v>5537</v>
      </c>
      <c r="D14930" s="1" t="s">
        <v>5539</v>
      </c>
    </row>
    <row r="14931">
      <c r="A14931" s="1" t="s">
        <v>25530</v>
      </c>
      <c r="B14931" s="2" t="s">
        <v>25351</v>
      </c>
      <c r="C14931" s="1" t="s">
        <v>5537</v>
      </c>
      <c r="D14931" s="1" t="s">
        <v>5539</v>
      </c>
    </row>
    <row r="14932">
      <c r="A14932" s="1" t="s">
        <v>25531</v>
      </c>
      <c r="B14932" s="2" t="s">
        <v>25353</v>
      </c>
      <c r="C14932" s="1" t="s">
        <v>5537</v>
      </c>
      <c r="D14932" s="1" t="s">
        <v>5539</v>
      </c>
    </row>
    <row r="14933">
      <c r="A14933" s="1" t="s">
        <v>25532</v>
      </c>
      <c r="B14933" s="2" t="s">
        <v>25355</v>
      </c>
      <c r="C14933" s="1" t="s">
        <v>5537</v>
      </c>
      <c r="D14933" s="1" t="s">
        <v>5539</v>
      </c>
    </row>
    <row r="14934">
      <c r="A14934" s="1" t="s">
        <v>5543</v>
      </c>
      <c r="B14934" s="2" t="s">
        <v>7</v>
      </c>
      <c r="C14934" s="1" t="s">
        <v>5546</v>
      </c>
      <c r="D14934" s="1" t="s">
        <v>5547</v>
      </c>
    </row>
    <row r="14935">
      <c r="A14935" s="1" t="s">
        <v>25533</v>
      </c>
      <c r="B14935" s="2" t="s">
        <v>13</v>
      </c>
      <c r="C14935" s="1" t="s">
        <v>5546</v>
      </c>
      <c r="D14935" s="1" t="s">
        <v>5547</v>
      </c>
    </row>
    <row r="14936">
      <c r="A14936" s="1" t="s">
        <v>25534</v>
      </c>
      <c r="B14936" s="2" t="s">
        <v>25358</v>
      </c>
      <c r="C14936" s="1" t="s">
        <v>5546</v>
      </c>
      <c r="D14936" s="1" t="s">
        <v>5547</v>
      </c>
    </row>
    <row r="14937">
      <c r="A14937" s="1" t="s">
        <v>25535</v>
      </c>
      <c r="B14937" s="2" t="s">
        <v>25360</v>
      </c>
      <c r="C14937" s="1" t="s">
        <v>5546</v>
      </c>
      <c r="D14937" s="1" t="s">
        <v>5547</v>
      </c>
    </row>
    <row r="14938">
      <c r="A14938" s="1" t="s">
        <v>25536</v>
      </c>
      <c r="B14938" s="2" t="s">
        <v>25362</v>
      </c>
      <c r="C14938" s="1" t="s">
        <v>5546</v>
      </c>
      <c r="D14938" s="1" t="s">
        <v>5547</v>
      </c>
    </row>
    <row r="14939">
      <c r="A14939" s="1" t="s">
        <v>25537</v>
      </c>
      <c r="B14939" s="2" t="s">
        <v>25364</v>
      </c>
      <c r="C14939" s="1" t="s">
        <v>5546</v>
      </c>
      <c r="D14939" s="1" t="s">
        <v>5547</v>
      </c>
    </row>
    <row r="14940">
      <c r="A14940" s="1" t="s">
        <v>25538</v>
      </c>
      <c r="B14940" s="2" t="s">
        <v>25366</v>
      </c>
      <c r="C14940" s="1" t="s">
        <v>5546</v>
      </c>
      <c r="D14940" s="1" t="s">
        <v>5547</v>
      </c>
    </row>
    <row r="14941">
      <c r="A14941" s="1" t="s">
        <v>25539</v>
      </c>
      <c r="B14941" s="2" t="s">
        <v>25368</v>
      </c>
      <c r="C14941" s="1" t="s">
        <v>5546</v>
      </c>
      <c r="D14941" s="1" t="s">
        <v>5547</v>
      </c>
    </row>
    <row r="14942">
      <c r="A14942" s="1" t="s">
        <v>25540</v>
      </c>
      <c r="B14942" s="2" t="s">
        <v>25370</v>
      </c>
      <c r="C14942" s="1" t="s">
        <v>5546</v>
      </c>
      <c r="D14942" s="1" t="s">
        <v>5547</v>
      </c>
    </row>
    <row r="14943">
      <c r="A14943" s="1" t="s">
        <v>25541</v>
      </c>
      <c r="B14943" s="2" t="s">
        <v>25372</v>
      </c>
      <c r="C14943" s="1" t="s">
        <v>5546</v>
      </c>
      <c r="D14943" s="1" t="s">
        <v>5547</v>
      </c>
    </row>
    <row r="14944">
      <c r="A14944" s="1" t="s">
        <v>25542</v>
      </c>
      <c r="B14944" s="2" t="s">
        <v>25374</v>
      </c>
      <c r="C14944" s="1" t="s">
        <v>5546</v>
      </c>
      <c r="D14944" s="1" t="s">
        <v>5547</v>
      </c>
    </row>
    <row r="14945">
      <c r="A14945" s="1" t="s">
        <v>25543</v>
      </c>
      <c r="B14945" s="2" t="s">
        <v>25376</v>
      </c>
      <c r="C14945" s="1" t="s">
        <v>5546</v>
      </c>
      <c r="D14945" s="1" t="s">
        <v>5547</v>
      </c>
    </row>
    <row r="14946">
      <c r="A14946" s="1" t="s">
        <v>25544</v>
      </c>
      <c r="B14946" s="2" t="s">
        <v>25378</v>
      </c>
      <c r="C14946" s="1" t="s">
        <v>5546</v>
      </c>
      <c r="D14946" s="1" t="s">
        <v>5547</v>
      </c>
    </row>
    <row r="14947">
      <c r="A14947" s="1" t="s">
        <v>25545</v>
      </c>
      <c r="B14947" s="2" t="s">
        <v>25380</v>
      </c>
      <c r="C14947" s="1" t="s">
        <v>5546</v>
      </c>
      <c r="D14947" s="1" t="s">
        <v>5547</v>
      </c>
    </row>
    <row r="14948">
      <c r="A14948" s="1" t="s">
        <v>25546</v>
      </c>
      <c r="B14948" s="2" t="s">
        <v>25382</v>
      </c>
      <c r="C14948" s="1" t="s">
        <v>5546</v>
      </c>
      <c r="D14948" s="1" t="s">
        <v>5547</v>
      </c>
    </row>
    <row r="14949">
      <c r="A14949" s="1" t="s">
        <v>25547</v>
      </c>
      <c r="B14949" s="2" t="s">
        <v>25384</v>
      </c>
      <c r="C14949" s="1" t="s">
        <v>5546</v>
      </c>
      <c r="D14949" s="1" t="s">
        <v>5547</v>
      </c>
    </row>
    <row r="14950">
      <c r="A14950" s="1" t="s">
        <v>25548</v>
      </c>
      <c r="B14950" s="2" t="s">
        <v>25386</v>
      </c>
      <c r="C14950" s="1" t="s">
        <v>5546</v>
      </c>
      <c r="D14950" s="1" t="s">
        <v>5547</v>
      </c>
    </row>
    <row r="14951">
      <c r="A14951" s="1" t="s">
        <v>25549</v>
      </c>
      <c r="B14951" s="2" t="s">
        <v>25388</v>
      </c>
      <c r="C14951" s="1" t="s">
        <v>5546</v>
      </c>
      <c r="D14951" s="1" t="s">
        <v>5547</v>
      </c>
    </row>
    <row r="14952">
      <c r="A14952" s="1" t="s">
        <v>25550</v>
      </c>
      <c r="B14952" s="2" t="s">
        <v>25390</v>
      </c>
      <c r="C14952" s="1" t="s">
        <v>5546</v>
      </c>
      <c r="D14952" s="1" t="s">
        <v>5547</v>
      </c>
    </row>
    <row r="14953">
      <c r="A14953" s="1" t="s">
        <v>25551</v>
      </c>
      <c r="B14953" s="2" t="s">
        <v>25392</v>
      </c>
      <c r="C14953" s="1" t="s">
        <v>5546</v>
      </c>
      <c r="D14953" s="1" t="s">
        <v>5547</v>
      </c>
    </row>
    <row r="14954">
      <c r="A14954" s="1" t="s">
        <v>25552</v>
      </c>
      <c r="B14954" s="2" t="s">
        <v>25394</v>
      </c>
      <c r="C14954" s="1" t="s">
        <v>5546</v>
      </c>
      <c r="D14954" s="1" t="s">
        <v>5547</v>
      </c>
    </row>
    <row r="14955">
      <c r="A14955" s="1" t="s">
        <v>25553</v>
      </c>
      <c r="B14955" s="2" t="s">
        <v>25396</v>
      </c>
      <c r="C14955" s="1" t="s">
        <v>5546</v>
      </c>
      <c r="D14955" s="1" t="s">
        <v>5547</v>
      </c>
    </row>
    <row r="14956">
      <c r="A14956" s="1" t="s">
        <v>25554</v>
      </c>
      <c r="B14956" s="2" t="s">
        <v>25398</v>
      </c>
      <c r="C14956" s="1" t="s">
        <v>5546</v>
      </c>
      <c r="D14956" s="1" t="s">
        <v>5547</v>
      </c>
    </row>
    <row r="14957">
      <c r="A14957" s="1" t="s">
        <v>25555</v>
      </c>
      <c r="B14957" s="2" t="s">
        <v>25400</v>
      </c>
      <c r="C14957" s="1" t="s">
        <v>5546</v>
      </c>
      <c r="D14957" s="1" t="s">
        <v>5547</v>
      </c>
    </row>
    <row r="14958">
      <c r="A14958" s="1" t="s">
        <v>25556</v>
      </c>
      <c r="B14958" s="2" t="s">
        <v>25402</v>
      </c>
      <c r="C14958" s="1" t="s">
        <v>5546</v>
      </c>
      <c r="D14958" s="1" t="s">
        <v>5547</v>
      </c>
    </row>
    <row r="14959">
      <c r="A14959" s="1" t="s">
        <v>25557</v>
      </c>
      <c r="B14959" s="2" t="s">
        <v>25404</v>
      </c>
      <c r="C14959" s="1" t="s">
        <v>5546</v>
      </c>
      <c r="D14959" s="1" t="s">
        <v>5547</v>
      </c>
    </row>
    <row r="14960">
      <c r="A14960" s="1" t="s">
        <v>25558</v>
      </c>
      <c r="B14960" s="2" t="s">
        <v>25406</v>
      </c>
      <c r="C14960" s="1" t="s">
        <v>5546</v>
      </c>
      <c r="D14960" s="1" t="s">
        <v>5547</v>
      </c>
    </row>
    <row r="14961">
      <c r="A14961" s="1" t="s">
        <v>25559</v>
      </c>
      <c r="B14961" s="2" t="s">
        <v>25408</v>
      </c>
      <c r="C14961" s="1" t="s">
        <v>5546</v>
      </c>
      <c r="D14961" s="1" t="s">
        <v>5547</v>
      </c>
    </row>
    <row r="14962">
      <c r="A14962" s="1" t="s">
        <v>25560</v>
      </c>
      <c r="B14962" s="2" t="s">
        <v>25410</v>
      </c>
      <c r="C14962" s="1" t="s">
        <v>5546</v>
      </c>
      <c r="D14962" s="1" t="s">
        <v>5547</v>
      </c>
    </row>
    <row r="14963">
      <c r="A14963" s="1" t="s">
        <v>25561</v>
      </c>
      <c r="B14963" s="2" t="s">
        <v>25412</v>
      </c>
      <c r="C14963" s="1" t="s">
        <v>5546</v>
      </c>
      <c r="D14963" s="1" t="s">
        <v>5547</v>
      </c>
    </row>
    <row r="14964">
      <c r="A14964" s="1" t="s">
        <v>25562</v>
      </c>
      <c r="B14964" s="2" t="s">
        <v>25414</v>
      </c>
      <c r="C14964" s="1" t="s">
        <v>5546</v>
      </c>
      <c r="D14964" s="1" t="s">
        <v>5547</v>
      </c>
    </row>
    <row r="14965">
      <c r="A14965" s="1" t="s">
        <v>25563</v>
      </c>
      <c r="B14965" s="2" t="s">
        <v>25416</v>
      </c>
      <c r="C14965" s="1" t="s">
        <v>5546</v>
      </c>
      <c r="D14965" s="1" t="s">
        <v>5547</v>
      </c>
    </row>
    <row r="14966">
      <c r="A14966" s="1" t="s">
        <v>25564</v>
      </c>
      <c r="B14966" s="2" t="s">
        <v>25418</v>
      </c>
      <c r="C14966" s="1" t="s">
        <v>5546</v>
      </c>
      <c r="D14966" s="1" t="s">
        <v>5547</v>
      </c>
    </row>
    <row r="14967">
      <c r="A14967" s="1" t="s">
        <v>25565</v>
      </c>
      <c r="B14967" s="2" t="s">
        <v>25420</v>
      </c>
      <c r="C14967" s="1" t="s">
        <v>5546</v>
      </c>
      <c r="D14967" s="1" t="s">
        <v>5547</v>
      </c>
    </row>
    <row r="14968">
      <c r="A14968" s="1" t="s">
        <v>25566</v>
      </c>
      <c r="B14968" s="2" t="s">
        <v>25422</v>
      </c>
      <c r="C14968" s="1" t="s">
        <v>5546</v>
      </c>
      <c r="D14968" s="1" t="s">
        <v>5547</v>
      </c>
    </row>
    <row r="14969">
      <c r="A14969" s="1" t="s">
        <v>25567</v>
      </c>
      <c r="B14969" s="2" t="s">
        <v>25424</v>
      </c>
      <c r="C14969" s="1" t="s">
        <v>5546</v>
      </c>
      <c r="D14969" s="1" t="s">
        <v>5547</v>
      </c>
    </row>
    <row r="14970">
      <c r="A14970" s="1" t="s">
        <v>25568</v>
      </c>
      <c r="B14970" s="2" t="s">
        <v>25426</v>
      </c>
      <c r="C14970" s="1" t="s">
        <v>5546</v>
      </c>
      <c r="D14970" s="1" t="s">
        <v>5547</v>
      </c>
    </row>
    <row r="14971">
      <c r="A14971" s="1" t="s">
        <v>25569</v>
      </c>
      <c r="B14971" s="2" t="s">
        <v>70</v>
      </c>
      <c r="C14971" s="1" t="s">
        <v>5546</v>
      </c>
      <c r="D14971" s="1" t="s">
        <v>5547</v>
      </c>
    </row>
    <row r="14972">
      <c r="A14972" s="1" t="s">
        <v>25570</v>
      </c>
      <c r="B14972" s="2" t="s">
        <v>25429</v>
      </c>
      <c r="C14972" s="1" t="s">
        <v>5546</v>
      </c>
      <c r="D14972" s="1" t="s">
        <v>5547</v>
      </c>
    </row>
    <row r="14973">
      <c r="A14973" s="1" t="s">
        <v>25571</v>
      </c>
      <c r="B14973" s="2" t="s">
        <v>25431</v>
      </c>
      <c r="C14973" s="1" t="s">
        <v>5546</v>
      </c>
      <c r="D14973" s="1" t="s">
        <v>5547</v>
      </c>
    </row>
    <row r="14974">
      <c r="A14974" s="1" t="s">
        <v>25572</v>
      </c>
      <c r="B14974" s="2" t="s">
        <v>25433</v>
      </c>
      <c r="C14974" s="1" t="s">
        <v>5546</v>
      </c>
      <c r="D14974" s="1" t="s">
        <v>5547</v>
      </c>
    </row>
    <row r="14975">
      <c r="A14975" s="1" t="s">
        <v>25573</v>
      </c>
      <c r="B14975" s="2" t="s">
        <v>25435</v>
      </c>
      <c r="C14975" s="1" t="s">
        <v>5546</v>
      </c>
      <c r="D14975" s="1" t="s">
        <v>5547</v>
      </c>
    </row>
    <row r="14976">
      <c r="A14976" s="1" t="s">
        <v>25574</v>
      </c>
      <c r="B14976" s="2" t="s">
        <v>25437</v>
      </c>
      <c r="C14976" s="1" t="s">
        <v>5546</v>
      </c>
      <c r="D14976" s="1" t="s">
        <v>5547</v>
      </c>
    </row>
    <row r="14977">
      <c r="A14977" s="1" t="s">
        <v>25575</v>
      </c>
      <c r="B14977" s="2" t="s">
        <v>25439</v>
      </c>
      <c r="C14977" s="1" t="s">
        <v>5546</v>
      </c>
      <c r="D14977" s="1" t="s">
        <v>5547</v>
      </c>
    </row>
    <row r="14978">
      <c r="A14978" s="1" t="s">
        <v>25576</v>
      </c>
      <c r="B14978" s="2" t="s">
        <v>25441</v>
      </c>
      <c r="C14978" s="1" t="s">
        <v>5546</v>
      </c>
      <c r="D14978" s="1" t="s">
        <v>5547</v>
      </c>
    </row>
    <row r="14979">
      <c r="A14979" s="1" t="s">
        <v>25577</v>
      </c>
      <c r="B14979" s="2" t="s">
        <v>25443</v>
      </c>
      <c r="C14979" s="1" t="s">
        <v>5546</v>
      </c>
      <c r="D14979" s="1" t="s">
        <v>5547</v>
      </c>
    </row>
    <row r="14980">
      <c r="A14980" s="1" t="s">
        <v>25578</v>
      </c>
      <c r="B14980" s="2" t="s">
        <v>25445</v>
      </c>
      <c r="C14980" s="1" t="s">
        <v>5546</v>
      </c>
      <c r="D14980" s="1" t="s">
        <v>5547</v>
      </c>
    </row>
    <row r="14981">
      <c r="A14981" s="1" t="s">
        <v>25579</v>
      </c>
      <c r="B14981" s="2" t="s">
        <v>25447</v>
      </c>
      <c r="C14981" s="1" t="s">
        <v>5546</v>
      </c>
      <c r="D14981" s="1" t="s">
        <v>5547</v>
      </c>
    </row>
    <row r="14982">
      <c r="A14982" s="1" t="s">
        <v>25580</v>
      </c>
      <c r="B14982" s="2" t="s">
        <v>25449</v>
      </c>
      <c r="C14982" s="1" t="s">
        <v>5546</v>
      </c>
      <c r="D14982" s="1" t="s">
        <v>5547</v>
      </c>
    </row>
    <row r="14983">
      <c r="A14983" s="1" t="s">
        <v>25581</v>
      </c>
      <c r="B14983" s="2" t="s">
        <v>25451</v>
      </c>
      <c r="C14983" s="1" t="s">
        <v>5546</v>
      </c>
      <c r="D14983" s="1" t="s">
        <v>5547</v>
      </c>
    </row>
    <row r="14984">
      <c r="A14984" s="1" t="s">
        <v>25582</v>
      </c>
      <c r="B14984" s="2" t="s">
        <v>25453</v>
      </c>
      <c r="C14984" s="1" t="s">
        <v>5546</v>
      </c>
      <c r="D14984" s="1" t="s">
        <v>5547</v>
      </c>
    </row>
    <row r="14985">
      <c r="A14985" s="1" t="s">
        <v>25583</v>
      </c>
      <c r="B14985" s="2" t="s">
        <v>25455</v>
      </c>
      <c r="C14985" s="1" t="s">
        <v>5546</v>
      </c>
      <c r="D14985" s="1" t="s">
        <v>5547</v>
      </c>
    </row>
    <row r="14986">
      <c r="A14986" s="1" t="s">
        <v>25584</v>
      </c>
      <c r="B14986" s="2" t="s">
        <v>25457</v>
      </c>
      <c r="C14986" s="1" t="s">
        <v>5546</v>
      </c>
      <c r="D14986" s="1" t="s">
        <v>5547</v>
      </c>
    </row>
    <row r="14987">
      <c r="A14987" s="1" t="s">
        <v>25585</v>
      </c>
      <c r="B14987" s="2" t="s">
        <v>25459</v>
      </c>
      <c r="C14987" s="1" t="s">
        <v>5546</v>
      </c>
      <c r="D14987" s="1" t="s">
        <v>5547</v>
      </c>
    </row>
    <row r="14988">
      <c r="A14988" s="1" t="s">
        <v>25586</v>
      </c>
      <c r="B14988" s="2" t="s">
        <v>25461</v>
      </c>
      <c r="C14988" s="1" t="s">
        <v>5546</v>
      </c>
      <c r="D14988" s="1" t="s">
        <v>5547</v>
      </c>
    </row>
    <row r="14989">
      <c r="A14989" s="1" t="s">
        <v>25587</v>
      </c>
      <c r="B14989" s="2" t="s">
        <v>25463</v>
      </c>
      <c r="C14989" s="1" t="s">
        <v>5546</v>
      </c>
      <c r="D14989" s="1" t="s">
        <v>5547</v>
      </c>
    </row>
    <row r="14990">
      <c r="A14990" s="1" t="s">
        <v>25588</v>
      </c>
      <c r="B14990" s="2" t="s">
        <v>25465</v>
      </c>
      <c r="C14990" s="1" t="s">
        <v>5546</v>
      </c>
      <c r="D14990" s="1" t="s">
        <v>5547</v>
      </c>
    </row>
    <row r="14991">
      <c r="A14991" s="1" t="s">
        <v>25589</v>
      </c>
      <c r="B14991" s="2" t="s">
        <v>25467</v>
      </c>
      <c r="C14991" s="1" t="s">
        <v>5546</v>
      </c>
      <c r="D14991" s="1" t="s">
        <v>5547</v>
      </c>
    </row>
    <row r="14992">
      <c r="A14992" s="1" t="s">
        <v>25590</v>
      </c>
      <c r="B14992" s="2" t="s">
        <v>25469</v>
      </c>
      <c r="C14992" s="1" t="s">
        <v>5546</v>
      </c>
      <c r="D14992" s="1" t="s">
        <v>5547</v>
      </c>
    </row>
    <row r="14993">
      <c r="A14993" s="1" t="s">
        <v>25591</v>
      </c>
      <c r="B14993" s="2" t="s">
        <v>25471</v>
      </c>
      <c r="C14993" s="1" t="s">
        <v>5546</v>
      </c>
      <c r="D14993" s="1" t="s">
        <v>5547</v>
      </c>
    </row>
    <row r="14994">
      <c r="A14994" s="1" t="s">
        <v>25592</v>
      </c>
      <c r="B14994" s="2" t="s">
        <v>25473</v>
      </c>
      <c r="C14994" s="1" t="s">
        <v>5546</v>
      </c>
      <c r="D14994" s="1" t="s">
        <v>5547</v>
      </c>
    </row>
    <row r="14995">
      <c r="A14995" s="1" t="s">
        <v>25593</v>
      </c>
      <c r="B14995" s="2" t="s">
        <v>25475</v>
      </c>
      <c r="C14995" s="1" t="s">
        <v>5546</v>
      </c>
      <c r="D14995" s="1" t="s">
        <v>5547</v>
      </c>
    </row>
    <row r="14996">
      <c r="A14996" s="1" t="s">
        <v>25594</v>
      </c>
      <c r="B14996" s="2" t="s">
        <v>25477</v>
      </c>
      <c r="C14996" s="1" t="s">
        <v>5546</v>
      </c>
      <c r="D14996" s="1" t="s">
        <v>5547</v>
      </c>
    </row>
    <row r="14997">
      <c r="A14997" s="1" t="s">
        <v>25595</v>
      </c>
      <c r="B14997" s="2" t="s">
        <v>25479</v>
      </c>
      <c r="C14997" s="1" t="s">
        <v>5546</v>
      </c>
      <c r="D14997" s="1" t="s">
        <v>5547</v>
      </c>
    </row>
    <row r="14998">
      <c r="A14998" s="1" t="s">
        <v>25596</v>
      </c>
      <c r="B14998" s="2" t="s">
        <v>25481</v>
      </c>
      <c r="C14998" s="1" t="s">
        <v>5546</v>
      </c>
      <c r="D14998" s="1" t="s">
        <v>5547</v>
      </c>
    </row>
    <row r="14999">
      <c r="A14999" s="1" t="s">
        <v>25597</v>
      </c>
      <c r="B14999" s="2" t="s">
        <v>25483</v>
      </c>
      <c r="C14999" s="1" t="s">
        <v>5546</v>
      </c>
      <c r="D14999" s="1" t="s">
        <v>5547</v>
      </c>
    </row>
    <row r="15000">
      <c r="A15000" s="1" t="s">
        <v>25598</v>
      </c>
      <c r="B15000" s="2" t="s">
        <v>25485</v>
      </c>
      <c r="C15000" s="1" t="s">
        <v>5546</v>
      </c>
      <c r="D15000" s="1" t="s">
        <v>5547</v>
      </c>
    </row>
    <row r="15001">
      <c r="A15001" s="1" t="s">
        <v>25599</v>
      </c>
      <c r="B15001" s="2" t="s">
        <v>25487</v>
      </c>
      <c r="C15001" s="1" t="s">
        <v>5546</v>
      </c>
      <c r="D15001" s="1" t="s">
        <v>5547</v>
      </c>
    </row>
    <row r="15002">
      <c r="A15002" s="1" t="s">
        <v>25600</v>
      </c>
      <c r="B15002" s="2" t="s">
        <v>25489</v>
      </c>
      <c r="C15002" s="1" t="s">
        <v>5546</v>
      </c>
      <c r="D15002" s="1" t="s">
        <v>5547</v>
      </c>
    </row>
    <row r="15003">
      <c r="A15003" s="1" t="s">
        <v>25601</v>
      </c>
      <c r="B15003" s="2" t="s">
        <v>25491</v>
      </c>
      <c r="C15003" s="1" t="s">
        <v>5546</v>
      </c>
      <c r="D15003" s="1" t="s">
        <v>5547</v>
      </c>
    </row>
    <row r="15004">
      <c r="A15004" s="1" t="s">
        <v>25602</v>
      </c>
      <c r="B15004" s="2" t="s">
        <v>25493</v>
      </c>
      <c r="C15004" s="1" t="s">
        <v>5546</v>
      </c>
      <c r="D15004" s="1" t="s">
        <v>5547</v>
      </c>
    </row>
    <row r="15005">
      <c r="A15005" s="1" t="s">
        <v>25603</v>
      </c>
      <c r="B15005" s="2" t="s">
        <v>25495</v>
      </c>
      <c r="C15005" s="1" t="s">
        <v>5546</v>
      </c>
      <c r="D15005" s="1" t="s">
        <v>5547</v>
      </c>
    </row>
    <row r="15006">
      <c r="A15006" s="1" t="s">
        <v>25604</v>
      </c>
      <c r="B15006" s="2" t="s">
        <v>25497</v>
      </c>
      <c r="C15006" s="1" t="s">
        <v>5546</v>
      </c>
      <c r="D15006" s="1" t="s">
        <v>5547</v>
      </c>
    </row>
    <row r="15007">
      <c r="A15007" s="1" t="s">
        <v>5553</v>
      </c>
      <c r="B15007" s="2" t="s">
        <v>7</v>
      </c>
      <c r="C15007" s="1" t="s">
        <v>5556</v>
      </c>
      <c r="D15007" s="1" t="s">
        <v>5557</v>
      </c>
    </row>
    <row r="15008">
      <c r="A15008" s="1" t="s">
        <v>25605</v>
      </c>
      <c r="B15008" s="2" t="s">
        <v>25606</v>
      </c>
      <c r="C15008" s="1" t="s">
        <v>5556</v>
      </c>
      <c r="D15008" s="1" t="s">
        <v>5557</v>
      </c>
    </row>
    <row r="15009">
      <c r="A15009" s="1" t="s">
        <v>25607</v>
      </c>
      <c r="B15009" s="2" t="s">
        <v>25608</v>
      </c>
      <c r="C15009" s="1" t="s">
        <v>5556</v>
      </c>
      <c r="D15009" s="1" t="s">
        <v>5557</v>
      </c>
    </row>
    <row r="15010">
      <c r="A15010" s="1" t="s">
        <v>25609</v>
      </c>
      <c r="B15010" s="2" t="s">
        <v>25610</v>
      </c>
      <c r="C15010" s="1" t="s">
        <v>5556</v>
      </c>
      <c r="D15010" s="1" t="s">
        <v>5557</v>
      </c>
    </row>
    <row r="15011">
      <c r="A15011" s="1" t="s">
        <v>25611</v>
      </c>
      <c r="B15011" s="2" t="s">
        <v>11421</v>
      </c>
      <c r="C15011" s="1" t="s">
        <v>5556</v>
      </c>
      <c r="D15011" s="1" t="s">
        <v>5557</v>
      </c>
    </row>
    <row r="15012">
      <c r="A15012" s="1" t="s">
        <v>25612</v>
      </c>
      <c r="B15012" s="2" t="s">
        <v>11423</v>
      </c>
      <c r="C15012" s="1" t="s">
        <v>5556</v>
      </c>
      <c r="D15012" s="1" t="s">
        <v>5557</v>
      </c>
    </row>
    <row r="15013">
      <c r="A15013" s="1" t="s">
        <v>25613</v>
      </c>
      <c r="B15013" s="2" t="s">
        <v>11425</v>
      </c>
      <c r="C15013" s="1" t="s">
        <v>5556</v>
      </c>
      <c r="D15013" s="1" t="s">
        <v>5557</v>
      </c>
    </row>
    <row r="15014">
      <c r="A15014" s="1" t="s">
        <v>25614</v>
      </c>
      <c r="B15014" s="2" t="s">
        <v>11427</v>
      </c>
      <c r="C15014" s="1" t="s">
        <v>5556</v>
      </c>
      <c r="D15014" s="1" t="s">
        <v>5557</v>
      </c>
    </row>
    <row r="15015">
      <c r="A15015" s="1" t="s">
        <v>25615</v>
      </c>
      <c r="B15015" s="2" t="s">
        <v>25616</v>
      </c>
      <c r="C15015" s="1" t="s">
        <v>5556</v>
      </c>
      <c r="D15015" s="1" t="s">
        <v>5557</v>
      </c>
    </row>
    <row r="15016">
      <c r="A15016" s="1" t="s">
        <v>25617</v>
      </c>
      <c r="B15016" s="2" t="s">
        <v>25618</v>
      </c>
      <c r="C15016" s="1" t="s">
        <v>5556</v>
      </c>
      <c r="D15016" s="1" t="s">
        <v>5557</v>
      </c>
    </row>
    <row r="15017">
      <c r="A15017" s="1" t="s">
        <v>25619</v>
      </c>
      <c r="B15017" s="2" t="s">
        <v>25620</v>
      </c>
      <c r="C15017" s="1" t="s">
        <v>5556</v>
      </c>
      <c r="D15017" s="1" t="s">
        <v>5557</v>
      </c>
    </row>
    <row r="15018">
      <c r="A15018" s="1" t="s">
        <v>25621</v>
      </c>
      <c r="B15018" s="2" t="s">
        <v>11431</v>
      </c>
      <c r="C15018" s="1" t="s">
        <v>5556</v>
      </c>
      <c r="D15018" s="1" t="s">
        <v>5557</v>
      </c>
    </row>
    <row r="15019">
      <c r="A15019" s="1" t="s">
        <v>25622</v>
      </c>
      <c r="B15019" s="2" t="s">
        <v>25623</v>
      </c>
      <c r="C15019" s="1" t="s">
        <v>5556</v>
      </c>
      <c r="D15019" s="1" t="s">
        <v>5557</v>
      </c>
    </row>
    <row r="15020">
      <c r="A15020" s="1" t="s">
        <v>25624</v>
      </c>
      <c r="B15020" s="2" t="s">
        <v>25625</v>
      </c>
      <c r="C15020" s="1" t="s">
        <v>5556</v>
      </c>
      <c r="D15020" s="1" t="s">
        <v>5557</v>
      </c>
    </row>
    <row r="15021">
      <c r="A15021" s="1" t="s">
        <v>25626</v>
      </c>
      <c r="B15021" s="2" t="s">
        <v>25627</v>
      </c>
      <c r="C15021" s="1" t="s">
        <v>5556</v>
      </c>
      <c r="D15021" s="1" t="s">
        <v>5557</v>
      </c>
    </row>
    <row r="15022">
      <c r="A15022" s="1" t="s">
        <v>25628</v>
      </c>
      <c r="B15022" s="2" t="s">
        <v>25629</v>
      </c>
      <c r="C15022" s="1" t="s">
        <v>5556</v>
      </c>
      <c r="D15022" s="1" t="s">
        <v>5557</v>
      </c>
    </row>
    <row r="15023">
      <c r="A15023" s="1" t="s">
        <v>25630</v>
      </c>
      <c r="B15023" s="2" t="s">
        <v>25631</v>
      </c>
      <c r="C15023" s="1" t="s">
        <v>5556</v>
      </c>
      <c r="D15023" s="1" t="s">
        <v>5557</v>
      </c>
    </row>
    <row r="15024">
      <c r="A15024" s="1" t="s">
        <v>25632</v>
      </c>
      <c r="B15024" s="2" t="s">
        <v>25633</v>
      </c>
      <c r="C15024" s="1" t="s">
        <v>5556</v>
      </c>
      <c r="D15024" s="1" t="s">
        <v>5557</v>
      </c>
    </row>
    <row r="15025">
      <c r="A15025" s="1" t="s">
        <v>25634</v>
      </c>
      <c r="B15025" s="2" t="s">
        <v>25635</v>
      </c>
      <c r="C15025" s="1" t="s">
        <v>5556</v>
      </c>
      <c r="D15025" s="1" t="s">
        <v>5557</v>
      </c>
    </row>
    <row r="15026">
      <c r="A15026" s="1" t="s">
        <v>25636</v>
      </c>
      <c r="B15026" s="2" t="s">
        <v>25637</v>
      </c>
      <c r="C15026" s="1" t="s">
        <v>5556</v>
      </c>
      <c r="D15026" s="1" t="s">
        <v>5557</v>
      </c>
    </row>
    <row r="15027">
      <c r="A15027" s="1" t="s">
        <v>25638</v>
      </c>
      <c r="B15027" s="2" t="s">
        <v>25639</v>
      </c>
      <c r="C15027" s="1" t="s">
        <v>5556</v>
      </c>
      <c r="D15027" s="1" t="s">
        <v>5557</v>
      </c>
    </row>
    <row r="15028">
      <c r="A15028" s="1" t="s">
        <v>25640</v>
      </c>
      <c r="B15028" s="2" t="s">
        <v>25641</v>
      </c>
      <c r="C15028" s="1" t="s">
        <v>5556</v>
      </c>
      <c r="D15028" s="1" t="s">
        <v>5557</v>
      </c>
    </row>
    <row r="15029">
      <c r="A15029" s="1" t="s">
        <v>25642</v>
      </c>
      <c r="B15029" s="2" t="s">
        <v>25643</v>
      </c>
      <c r="C15029" s="1" t="s">
        <v>5556</v>
      </c>
      <c r="D15029" s="1" t="s">
        <v>5557</v>
      </c>
    </row>
    <row r="15030">
      <c r="A15030" s="1" t="s">
        <v>25644</v>
      </c>
      <c r="B15030" s="2" t="s">
        <v>25645</v>
      </c>
      <c r="C15030" s="1" t="s">
        <v>5556</v>
      </c>
      <c r="D15030" s="1" t="s">
        <v>5557</v>
      </c>
    </row>
    <row r="15031">
      <c r="A15031" s="1" t="s">
        <v>25646</v>
      </c>
      <c r="B15031" s="2" t="s">
        <v>25647</v>
      </c>
      <c r="C15031" s="1" t="s">
        <v>5556</v>
      </c>
      <c r="D15031" s="1" t="s">
        <v>5557</v>
      </c>
    </row>
    <row r="15032">
      <c r="A15032" s="1" t="s">
        <v>25648</v>
      </c>
      <c r="B15032" s="2" t="s">
        <v>25649</v>
      </c>
      <c r="C15032" s="1" t="s">
        <v>5556</v>
      </c>
      <c r="D15032" s="1" t="s">
        <v>5557</v>
      </c>
    </row>
    <row r="15033">
      <c r="A15033" s="1" t="s">
        <v>25650</v>
      </c>
      <c r="B15033" s="2" t="s">
        <v>11443</v>
      </c>
      <c r="C15033" s="1" t="s">
        <v>5556</v>
      </c>
      <c r="D15033" s="1" t="s">
        <v>5557</v>
      </c>
    </row>
    <row r="15034">
      <c r="A15034" s="1" t="s">
        <v>5561</v>
      </c>
      <c r="B15034" s="2" t="s">
        <v>5563</v>
      </c>
      <c r="C15034" s="1" t="s">
        <v>5564</v>
      </c>
      <c r="D15034" s="1" t="s">
        <v>5566</v>
      </c>
    </row>
    <row r="15035">
      <c r="A15035" s="1" t="s">
        <v>25651</v>
      </c>
      <c r="B15035" s="2" t="s">
        <v>25652</v>
      </c>
      <c r="C15035" s="1" t="s">
        <v>5564</v>
      </c>
      <c r="D15035" s="1" t="s">
        <v>5566</v>
      </c>
    </row>
    <row r="15036">
      <c r="A15036" s="1" t="s">
        <v>25653</v>
      </c>
      <c r="B15036" s="2" t="s">
        <v>25654</v>
      </c>
      <c r="C15036" s="1" t="s">
        <v>5564</v>
      </c>
      <c r="D15036" s="1" t="s">
        <v>5566</v>
      </c>
    </row>
    <row r="15037">
      <c r="A15037" s="1" t="s">
        <v>25655</v>
      </c>
      <c r="B15037" s="2" t="s">
        <v>25656</v>
      </c>
      <c r="C15037" s="1" t="s">
        <v>5564</v>
      </c>
      <c r="D15037" s="1" t="s">
        <v>5566</v>
      </c>
    </row>
    <row r="15038">
      <c r="A15038" s="1" t="s">
        <v>25657</v>
      </c>
      <c r="B15038" s="2" t="s">
        <v>25658</v>
      </c>
      <c r="C15038" s="1" t="s">
        <v>5564</v>
      </c>
      <c r="D15038" s="1" t="s">
        <v>5566</v>
      </c>
    </row>
    <row r="15039">
      <c r="A15039" s="1" t="s">
        <v>25659</v>
      </c>
      <c r="B15039" s="2" t="s">
        <v>25660</v>
      </c>
      <c r="C15039" s="1" t="s">
        <v>5564</v>
      </c>
      <c r="D15039" s="1" t="s">
        <v>5566</v>
      </c>
    </row>
    <row r="15040">
      <c r="A15040" s="1" t="s">
        <v>25661</v>
      </c>
      <c r="B15040" s="2" t="s">
        <v>25662</v>
      </c>
      <c r="C15040" s="1" t="s">
        <v>5564</v>
      </c>
      <c r="D15040" s="1" t="s">
        <v>5566</v>
      </c>
    </row>
    <row r="15041">
      <c r="A15041" s="1" t="s">
        <v>25663</v>
      </c>
      <c r="B15041" s="2" t="s">
        <v>25664</v>
      </c>
      <c r="C15041" s="1" t="s">
        <v>5564</v>
      </c>
      <c r="D15041" s="1" t="s">
        <v>5566</v>
      </c>
    </row>
    <row r="15042">
      <c r="A15042" s="1" t="s">
        <v>25665</v>
      </c>
      <c r="B15042" s="2" t="s">
        <v>25666</v>
      </c>
      <c r="C15042" s="1" t="s">
        <v>5564</v>
      </c>
      <c r="D15042" s="1" t="s">
        <v>5566</v>
      </c>
    </row>
    <row r="15043">
      <c r="A15043" s="1" t="s">
        <v>25667</v>
      </c>
      <c r="B15043" s="2" t="s">
        <v>25668</v>
      </c>
      <c r="C15043" s="1" t="s">
        <v>5564</v>
      </c>
      <c r="D15043" s="1" t="s">
        <v>5566</v>
      </c>
    </row>
    <row r="15044">
      <c r="A15044" s="1" t="s">
        <v>25669</v>
      </c>
      <c r="B15044" s="2" t="s">
        <v>25670</v>
      </c>
      <c r="C15044" s="1" t="s">
        <v>5564</v>
      </c>
      <c r="D15044" s="1" t="s">
        <v>5566</v>
      </c>
    </row>
    <row r="15045">
      <c r="A15045" s="1" t="s">
        <v>25671</v>
      </c>
      <c r="B15045" s="2" t="s">
        <v>25672</v>
      </c>
      <c r="C15045" s="1" t="s">
        <v>5564</v>
      </c>
      <c r="D15045" s="1" t="s">
        <v>5566</v>
      </c>
    </row>
    <row r="15046">
      <c r="A15046" s="1" t="s">
        <v>25673</v>
      </c>
      <c r="B15046" s="2" t="s">
        <v>25674</v>
      </c>
      <c r="C15046" s="1" t="s">
        <v>5564</v>
      </c>
      <c r="D15046" s="1" t="s">
        <v>5566</v>
      </c>
    </row>
    <row r="15047">
      <c r="A15047" s="1" t="s">
        <v>25675</v>
      </c>
      <c r="B15047" s="2" t="s">
        <v>25676</v>
      </c>
      <c r="C15047" s="1" t="s">
        <v>5564</v>
      </c>
      <c r="D15047" s="1" t="s">
        <v>5566</v>
      </c>
    </row>
    <row r="15048">
      <c r="A15048" s="1" t="s">
        <v>25677</v>
      </c>
      <c r="B15048" s="2" t="s">
        <v>25678</v>
      </c>
      <c r="C15048" s="1" t="s">
        <v>5564</v>
      </c>
      <c r="D15048" s="1" t="s">
        <v>5566</v>
      </c>
    </row>
    <row r="15049">
      <c r="A15049" s="1" t="s">
        <v>25679</v>
      </c>
      <c r="B15049" s="2" t="s">
        <v>25680</v>
      </c>
      <c r="C15049" s="1" t="s">
        <v>5564</v>
      </c>
      <c r="D15049" s="1" t="s">
        <v>5566</v>
      </c>
    </row>
    <row r="15050">
      <c r="A15050" s="1" t="s">
        <v>25681</v>
      </c>
      <c r="B15050" s="2" t="s">
        <v>25682</v>
      </c>
      <c r="C15050" s="1" t="s">
        <v>5564</v>
      </c>
      <c r="D15050" s="1" t="s">
        <v>5566</v>
      </c>
    </row>
    <row r="15051">
      <c r="A15051" s="1" t="s">
        <v>25683</v>
      </c>
      <c r="B15051" s="2" t="s">
        <v>25684</v>
      </c>
      <c r="C15051" s="1" t="s">
        <v>5564</v>
      </c>
      <c r="D15051" s="1" t="s">
        <v>5566</v>
      </c>
    </row>
    <row r="15052">
      <c r="A15052" s="1" t="s">
        <v>25685</v>
      </c>
      <c r="B15052" s="2" t="s">
        <v>25686</v>
      </c>
      <c r="C15052" s="1" t="s">
        <v>5564</v>
      </c>
      <c r="D15052" s="1" t="s">
        <v>5566</v>
      </c>
    </row>
    <row r="15053">
      <c r="A15053" s="1" t="s">
        <v>25687</v>
      </c>
      <c r="B15053" s="2" t="s">
        <v>25688</v>
      </c>
      <c r="C15053" s="1" t="s">
        <v>5564</v>
      </c>
      <c r="D15053" s="1" t="s">
        <v>5566</v>
      </c>
    </row>
    <row r="15054">
      <c r="A15054" s="1" t="s">
        <v>25689</v>
      </c>
      <c r="B15054" s="2" t="s">
        <v>25690</v>
      </c>
      <c r="C15054" s="1" t="s">
        <v>5564</v>
      </c>
      <c r="D15054" s="1" t="s">
        <v>5566</v>
      </c>
    </row>
    <row r="15055">
      <c r="A15055" s="1" t="s">
        <v>25691</v>
      </c>
      <c r="B15055" s="2" t="s">
        <v>25692</v>
      </c>
      <c r="C15055" s="1" t="s">
        <v>5564</v>
      </c>
      <c r="D15055" s="1" t="s">
        <v>5566</v>
      </c>
    </row>
    <row r="15056">
      <c r="A15056" s="1" t="s">
        <v>25693</v>
      </c>
      <c r="B15056" s="2" t="s">
        <v>25694</v>
      </c>
      <c r="C15056" s="1" t="s">
        <v>5564</v>
      </c>
      <c r="D15056" s="1" t="s">
        <v>5566</v>
      </c>
    </row>
    <row r="15057">
      <c r="A15057" s="1" t="s">
        <v>25695</v>
      </c>
      <c r="B15057" s="2" t="s">
        <v>25696</v>
      </c>
      <c r="C15057" s="1" t="s">
        <v>5564</v>
      </c>
      <c r="D15057" s="1" t="s">
        <v>5566</v>
      </c>
    </row>
    <row r="15058">
      <c r="A15058" s="1" t="s">
        <v>25697</v>
      </c>
      <c r="B15058" s="2" t="s">
        <v>25698</v>
      </c>
      <c r="C15058" s="1" t="s">
        <v>5564</v>
      </c>
      <c r="D15058" s="1" t="s">
        <v>5566</v>
      </c>
    </row>
    <row r="15059">
      <c r="A15059" s="1" t="s">
        <v>25699</v>
      </c>
      <c r="B15059" s="2" t="s">
        <v>25700</v>
      </c>
      <c r="C15059" s="1" t="s">
        <v>5564</v>
      </c>
      <c r="D15059" s="1" t="s">
        <v>5566</v>
      </c>
    </row>
    <row r="15060">
      <c r="A15060" s="1" t="s">
        <v>25701</v>
      </c>
      <c r="B15060" s="2" t="s">
        <v>25702</v>
      </c>
      <c r="C15060" s="1" t="s">
        <v>5564</v>
      </c>
      <c r="D15060" s="1" t="s">
        <v>5566</v>
      </c>
    </row>
    <row r="15061">
      <c r="A15061" s="1" t="s">
        <v>25703</v>
      </c>
      <c r="B15061" s="2" t="s">
        <v>25704</v>
      </c>
      <c r="C15061" s="1" t="s">
        <v>5564</v>
      </c>
      <c r="D15061" s="1" t="s">
        <v>5566</v>
      </c>
    </row>
    <row r="15062">
      <c r="A15062" s="1" t="s">
        <v>25705</v>
      </c>
      <c r="B15062" s="2" t="s">
        <v>25706</v>
      </c>
      <c r="C15062" s="1" t="s">
        <v>5564</v>
      </c>
      <c r="D15062" s="1" t="s">
        <v>5566</v>
      </c>
    </row>
    <row r="15063">
      <c r="A15063" s="1" t="s">
        <v>25707</v>
      </c>
      <c r="B15063" s="2" t="s">
        <v>25708</v>
      </c>
      <c r="C15063" s="1" t="s">
        <v>5564</v>
      </c>
      <c r="D15063" s="1" t="s">
        <v>5566</v>
      </c>
    </row>
    <row r="15064">
      <c r="A15064" s="1" t="s">
        <v>25709</v>
      </c>
      <c r="B15064" s="2" t="s">
        <v>25710</v>
      </c>
      <c r="C15064" s="1" t="s">
        <v>5564</v>
      </c>
      <c r="D15064" s="1" t="s">
        <v>5566</v>
      </c>
    </row>
    <row r="15065">
      <c r="A15065" s="1" t="s">
        <v>25711</v>
      </c>
      <c r="B15065" s="2" t="s">
        <v>25712</v>
      </c>
      <c r="C15065" s="1" t="s">
        <v>5564</v>
      </c>
      <c r="D15065" s="1" t="s">
        <v>5566</v>
      </c>
    </row>
    <row r="15066">
      <c r="A15066" s="1" t="s">
        <v>25713</v>
      </c>
      <c r="B15066" s="2" t="s">
        <v>25714</v>
      </c>
      <c r="C15066" s="1" t="s">
        <v>5564</v>
      </c>
      <c r="D15066" s="1" t="s">
        <v>5566</v>
      </c>
    </row>
    <row r="15067">
      <c r="A15067" s="1" t="s">
        <v>25715</v>
      </c>
      <c r="B15067" s="2" t="s">
        <v>25716</v>
      </c>
      <c r="C15067" s="1" t="s">
        <v>5564</v>
      </c>
      <c r="D15067" s="1" t="s">
        <v>5566</v>
      </c>
    </row>
    <row r="15068">
      <c r="A15068" s="1" t="s">
        <v>25717</v>
      </c>
      <c r="B15068" s="2" t="s">
        <v>25718</v>
      </c>
      <c r="C15068" s="1" t="s">
        <v>5564</v>
      </c>
      <c r="D15068" s="1" t="s">
        <v>5566</v>
      </c>
    </row>
    <row r="15069">
      <c r="A15069" s="1" t="s">
        <v>25719</v>
      </c>
      <c r="B15069" s="2" t="s">
        <v>25720</v>
      </c>
      <c r="C15069" s="1" t="s">
        <v>5564</v>
      </c>
      <c r="D15069" s="1" t="s">
        <v>5566</v>
      </c>
    </row>
    <row r="15070">
      <c r="A15070" s="1" t="s">
        <v>25721</v>
      </c>
      <c r="B15070" s="2" t="s">
        <v>25722</v>
      </c>
      <c r="C15070" s="1" t="s">
        <v>5564</v>
      </c>
      <c r="D15070" s="1" t="s">
        <v>5566</v>
      </c>
    </row>
    <row r="15071">
      <c r="A15071" s="1" t="s">
        <v>25723</v>
      </c>
      <c r="B15071" s="2" t="s">
        <v>25724</v>
      </c>
      <c r="C15071" s="1" t="s">
        <v>5564</v>
      </c>
      <c r="D15071" s="1" t="s">
        <v>5566</v>
      </c>
    </row>
    <row r="15072">
      <c r="A15072" s="1" t="s">
        <v>25725</v>
      </c>
      <c r="B15072" s="2" t="s">
        <v>25726</v>
      </c>
      <c r="C15072" s="1" t="s">
        <v>5564</v>
      </c>
      <c r="D15072" s="1" t="s">
        <v>5566</v>
      </c>
    </row>
    <row r="15073">
      <c r="A15073" s="1" t="s">
        <v>25727</v>
      </c>
      <c r="B15073" s="2" t="s">
        <v>25728</v>
      </c>
      <c r="C15073" s="1" t="s">
        <v>5564</v>
      </c>
      <c r="D15073" s="1" t="s">
        <v>5566</v>
      </c>
    </row>
    <row r="15074">
      <c r="A15074" s="1" t="s">
        <v>25729</v>
      </c>
      <c r="B15074" s="2" t="s">
        <v>25730</v>
      </c>
      <c r="C15074" s="1" t="s">
        <v>5564</v>
      </c>
      <c r="D15074" s="1" t="s">
        <v>5566</v>
      </c>
    </row>
    <row r="15075">
      <c r="A15075" s="1" t="s">
        <v>25731</v>
      </c>
      <c r="B15075" s="2" t="s">
        <v>25732</v>
      </c>
      <c r="C15075" s="1" t="s">
        <v>5564</v>
      </c>
      <c r="D15075" s="1" t="s">
        <v>5566</v>
      </c>
    </row>
    <row r="15076">
      <c r="A15076" s="1" t="s">
        <v>25733</v>
      </c>
      <c r="B15076" s="2" t="s">
        <v>25734</v>
      </c>
      <c r="C15076" s="1" t="s">
        <v>5564</v>
      </c>
      <c r="D15076" s="1" t="s">
        <v>5566</v>
      </c>
    </row>
    <row r="15077">
      <c r="A15077" s="1" t="s">
        <v>25735</v>
      </c>
      <c r="B15077" s="2" t="s">
        <v>25736</v>
      </c>
      <c r="C15077" s="1" t="s">
        <v>5564</v>
      </c>
      <c r="D15077" s="1" t="s">
        <v>5566</v>
      </c>
    </row>
    <row r="15078">
      <c r="A15078" s="1" t="s">
        <v>25737</v>
      </c>
      <c r="B15078" s="2" t="s">
        <v>25738</v>
      </c>
      <c r="C15078" s="1" t="s">
        <v>5564</v>
      </c>
      <c r="D15078" s="1" t="s">
        <v>5566</v>
      </c>
    </row>
    <row r="15079">
      <c r="A15079" s="1" t="s">
        <v>25739</v>
      </c>
      <c r="B15079" s="2" t="s">
        <v>25740</v>
      </c>
      <c r="C15079" s="1" t="s">
        <v>5564</v>
      </c>
      <c r="D15079" s="1" t="s">
        <v>5566</v>
      </c>
    </row>
    <row r="15080">
      <c r="A15080" s="1" t="s">
        <v>25741</v>
      </c>
      <c r="B15080" s="2" t="s">
        <v>25742</v>
      </c>
      <c r="C15080" s="1" t="s">
        <v>5564</v>
      </c>
      <c r="D15080" s="1" t="s">
        <v>5566</v>
      </c>
    </row>
    <row r="15081">
      <c r="A15081" s="1" t="s">
        <v>25743</v>
      </c>
      <c r="B15081" s="2" t="s">
        <v>25744</v>
      </c>
      <c r="C15081" s="1" t="s">
        <v>5564</v>
      </c>
      <c r="D15081" s="1" t="s">
        <v>5566</v>
      </c>
    </row>
    <row r="15082">
      <c r="A15082" s="1" t="s">
        <v>25745</v>
      </c>
      <c r="B15082" s="2" t="s">
        <v>25746</v>
      </c>
      <c r="C15082" s="1" t="s">
        <v>5564</v>
      </c>
      <c r="D15082" s="1" t="s">
        <v>5566</v>
      </c>
    </row>
    <row r="15083">
      <c r="A15083" s="1" t="s">
        <v>25747</v>
      </c>
      <c r="B15083" s="2" t="s">
        <v>25748</v>
      </c>
      <c r="C15083" s="1" t="s">
        <v>5564</v>
      </c>
      <c r="D15083" s="1" t="s">
        <v>5566</v>
      </c>
    </row>
    <row r="15084">
      <c r="A15084" s="1" t="s">
        <v>25749</v>
      </c>
      <c r="B15084" s="2" t="s">
        <v>25750</v>
      </c>
      <c r="C15084" s="1" t="s">
        <v>5564</v>
      </c>
      <c r="D15084" s="1" t="s">
        <v>5566</v>
      </c>
    </row>
    <row r="15085">
      <c r="A15085" s="1" t="s">
        <v>25751</v>
      </c>
      <c r="B15085" s="2" t="s">
        <v>25752</v>
      </c>
      <c r="C15085" s="1" t="s">
        <v>5564</v>
      </c>
      <c r="D15085" s="1" t="s">
        <v>5566</v>
      </c>
    </row>
    <row r="15086">
      <c r="A15086" s="1" t="s">
        <v>25753</v>
      </c>
      <c r="B15086" s="2" t="s">
        <v>25754</v>
      </c>
      <c r="C15086" s="1" t="s">
        <v>5564</v>
      </c>
      <c r="D15086" s="1" t="s">
        <v>5566</v>
      </c>
    </row>
    <row r="15087">
      <c r="A15087" s="1" t="s">
        <v>25755</v>
      </c>
      <c r="B15087" s="2" t="s">
        <v>25756</v>
      </c>
      <c r="C15087" s="1" t="s">
        <v>5564</v>
      </c>
      <c r="D15087" s="1" t="s">
        <v>5566</v>
      </c>
    </row>
    <row r="15088">
      <c r="A15088" s="1" t="s">
        <v>5568</v>
      </c>
      <c r="B15088" s="2" t="s">
        <v>7</v>
      </c>
      <c r="C15088" s="1" t="s">
        <v>5570</v>
      </c>
      <c r="D15088" s="1" t="s">
        <v>5572</v>
      </c>
    </row>
    <row r="15089">
      <c r="A15089" s="1" t="s">
        <v>25757</v>
      </c>
      <c r="B15089" s="2" t="s">
        <v>25606</v>
      </c>
      <c r="C15089" s="1" t="s">
        <v>5570</v>
      </c>
      <c r="D15089" s="1" t="s">
        <v>5572</v>
      </c>
    </row>
    <row r="15090">
      <c r="A15090" s="1" t="s">
        <v>25758</v>
      </c>
      <c r="B15090" s="2" t="s">
        <v>25608</v>
      </c>
      <c r="C15090" s="1" t="s">
        <v>5570</v>
      </c>
      <c r="D15090" s="1" t="s">
        <v>5572</v>
      </c>
    </row>
    <row r="15091">
      <c r="A15091" s="1" t="s">
        <v>25759</v>
      </c>
      <c r="B15091" s="2" t="s">
        <v>25610</v>
      </c>
      <c r="C15091" s="1" t="s">
        <v>5570</v>
      </c>
      <c r="D15091" s="1" t="s">
        <v>5572</v>
      </c>
    </row>
    <row r="15092">
      <c r="A15092" s="1" t="s">
        <v>25760</v>
      </c>
      <c r="B15092" s="2" t="s">
        <v>11421</v>
      </c>
      <c r="C15092" s="1" t="s">
        <v>5570</v>
      </c>
      <c r="D15092" s="1" t="s">
        <v>5572</v>
      </c>
    </row>
    <row r="15093">
      <c r="A15093" s="1" t="s">
        <v>25761</v>
      </c>
      <c r="B15093" s="2" t="s">
        <v>11423</v>
      </c>
      <c r="C15093" s="1" t="s">
        <v>5570</v>
      </c>
      <c r="D15093" s="1" t="s">
        <v>5572</v>
      </c>
    </row>
    <row r="15094">
      <c r="A15094" s="1" t="s">
        <v>25762</v>
      </c>
      <c r="B15094" s="2" t="s">
        <v>11425</v>
      </c>
      <c r="C15094" s="1" t="s">
        <v>5570</v>
      </c>
      <c r="D15094" s="1" t="s">
        <v>5572</v>
      </c>
    </row>
    <row r="15095">
      <c r="A15095" s="1" t="s">
        <v>25763</v>
      </c>
      <c r="B15095" s="2" t="s">
        <v>11427</v>
      </c>
      <c r="C15095" s="1" t="s">
        <v>5570</v>
      </c>
      <c r="D15095" s="1" t="s">
        <v>5572</v>
      </c>
    </row>
    <row r="15096">
      <c r="A15096" s="1" t="s">
        <v>25764</v>
      </c>
      <c r="B15096" s="2" t="s">
        <v>25616</v>
      </c>
      <c r="C15096" s="1" t="s">
        <v>5570</v>
      </c>
      <c r="D15096" s="1" t="s">
        <v>5572</v>
      </c>
    </row>
    <row r="15097">
      <c r="A15097" s="1" t="s">
        <v>25765</v>
      </c>
      <c r="B15097" s="2" t="s">
        <v>25618</v>
      </c>
      <c r="C15097" s="1" t="s">
        <v>5570</v>
      </c>
      <c r="D15097" s="1" t="s">
        <v>5572</v>
      </c>
    </row>
    <row r="15098">
      <c r="A15098" s="1" t="s">
        <v>25766</v>
      </c>
      <c r="B15098" s="2" t="s">
        <v>25620</v>
      </c>
      <c r="C15098" s="1" t="s">
        <v>5570</v>
      </c>
      <c r="D15098" s="1" t="s">
        <v>5572</v>
      </c>
    </row>
    <row r="15099">
      <c r="A15099" s="1" t="s">
        <v>25767</v>
      </c>
      <c r="B15099" s="2" t="s">
        <v>11431</v>
      </c>
      <c r="C15099" s="1" t="s">
        <v>5570</v>
      </c>
      <c r="D15099" s="1" t="s">
        <v>5572</v>
      </c>
    </row>
    <row r="15100">
      <c r="A15100" s="1" t="s">
        <v>25768</v>
      </c>
      <c r="B15100" s="2" t="s">
        <v>25623</v>
      </c>
      <c r="C15100" s="1" t="s">
        <v>5570</v>
      </c>
      <c r="D15100" s="1" t="s">
        <v>5572</v>
      </c>
    </row>
    <row r="15101">
      <c r="A15101" s="1" t="s">
        <v>25769</v>
      </c>
      <c r="B15101" s="2" t="s">
        <v>25625</v>
      </c>
      <c r="C15101" s="1" t="s">
        <v>5570</v>
      </c>
      <c r="D15101" s="1" t="s">
        <v>5572</v>
      </c>
    </row>
    <row r="15102">
      <c r="A15102" s="1" t="s">
        <v>25770</v>
      </c>
      <c r="B15102" s="2" t="s">
        <v>25627</v>
      </c>
      <c r="C15102" s="1" t="s">
        <v>5570</v>
      </c>
      <c r="D15102" s="1" t="s">
        <v>5572</v>
      </c>
    </row>
    <row r="15103">
      <c r="A15103" s="1" t="s">
        <v>25771</v>
      </c>
      <c r="B15103" s="2" t="s">
        <v>25629</v>
      </c>
      <c r="C15103" s="1" t="s">
        <v>5570</v>
      </c>
      <c r="D15103" s="1" t="s">
        <v>5572</v>
      </c>
    </row>
    <row r="15104">
      <c r="A15104" s="1" t="s">
        <v>25772</v>
      </c>
      <c r="B15104" s="2" t="s">
        <v>25631</v>
      </c>
      <c r="C15104" s="1" t="s">
        <v>5570</v>
      </c>
      <c r="D15104" s="1" t="s">
        <v>5572</v>
      </c>
    </row>
    <row r="15105">
      <c r="A15105" s="1" t="s">
        <v>25773</v>
      </c>
      <c r="B15105" s="2" t="s">
        <v>25633</v>
      </c>
      <c r="C15105" s="1" t="s">
        <v>5570</v>
      </c>
      <c r="D15105" s="1" t="s">
        <v>5572</v>
      </c>
    </row>
    <row r="15106">
      <c r="A15106" s="1" t="s">
        <v>25774</v>
      </c>
      <c r="B15106" s="2" t="s">
        <v>25635</v>
      </c>
      <c r="C15106" s="1" t="s">
        <v>5570</v>
      </c>
      <c r="D15106" s="1" t="s">
        <v>5572</v>
      </c>
    </row>
    <row r="15107">
      <c r="A15107" s="1" t="s">
        <v>25775</v>
      </c>
      <c r="B15107" s="2" t="s">
        <v>25637</v>
      </c>
      <c r="C15107" s="1" t="s">
        <v>5570</v>
      </c>
      <c r="D15107" s="1" t="s">
        <v>5572</v>
      </c>
    </row>
    <row r="15108">
      <c r="A15108" s="1" t="s">
        <v>25776</v>
      </c>
      <c r="B15108" s="2" t="s">
        <v>25639</v>
      </c>
      <c r="C15108" s="1" t="s">
        <v>5570</v>
      </c>
      <c r="D15108" s="1" t="s">
        <v>5572</v>
      </c>
    </row>
    <row r="15109">
      <c r="A15109" s="1" t="s">
        <v>25777</v>
      </c>
      <c r="B15109" s="2" t="s">
        <v>25641</v>
      </c>
      <c r="C15109" s="1" t="s">
        <v>5570</v>
      </c>
      <c r="D15109" s="1" t="s">
        <v>5572</v>
      </c>
    </row>
    <row r="15110">
      <c r="A15110" s="1" t="s">
        <v>25778</v>
      </c>
      <c r="B15110" s="2" t="s">
        <v>25643</v>
      </c>
      <c r="C15110" s="1" t="s">
        <v>5570</v>
      </c>
      <c r="D15110" s="1" t="s">
        <v>5572</v>
      </c>
    </row>
    <row r="15111">
      <c r="A15111" s="1" t="s">
        <v>25779</v>
      </c>
      <c r="B15111" s="2" t="s">
        <v>25645</v>
      </c>
      <c r="C15111" s="1" t="s">
        <v>5570</v>
      </c>
      <c r="D15111" s="1" t="s">
        <v>5572</v>
      </c>
    </row>
    <row r="15112">
      <c r="A15112" s="1" t="s">
        <v>25780</v>
      </c>
      <c r="B15112" s="2" t="s">
        <v>25647</v>
      </c>
      <c r="C15112" s="1" t="s">
        <v>5570</v>
      </c>
      <c r="D15112" s="1" t="s">
        <v>5572</v>
      </c>
    </row>
    <row r="15113">
      <c r="A15113" s="1" t="s">
        <v>25781</v>
      </c>
      <c r="B15113" s="2" t="s">
        <v>25649</v>
      </c>
      <c r="C15113" s="1" t="s">
        <v>5570</v>
      </c>
      <c r="D15113" s="1" t="s">
        <v>5572</v>
      </c>
    </row>
    <row r="15114">
      <c r="A15114" s="1" t="s">
        <v>25782</v>
      </c>
      <c r="B15114" s="2" t="s">
        <v>11443</v>
      </c>
      <c r="C15114" s="1" t="s">
        <v>5570</v>
      </c>
      <c r="D15114" s="1" t="s">
        <v>5572</v>
      </c>
    </row>
    <row r="15115">
      <c r="A15115" s="1" t="s">
        <v>5578</v>
      </c>
      <c r="B15115" s="2" t="s">
        <v>5563</v>
      </c>
      <c r="C15115" s="1" t="s">
        <v>5586</v>
      </c>
      <c r="D15115" s="1" t="s">
        <v>5587</v>
      </c>
    </row>
    <row r="15116">
      <c r="A15116" s="1" t="s">
        <v>25783</v>
      </c>
      <c r="B15116" s="2" t="s">
        <v>25652</v>
      </c>
      <c r="C15116" s="1" t="s">
        <v>5586</v>
      </c>
      <c r="D15116" s="1" t="s">
        <v>5587</v>
      </c>
    </row>
    <row r="15117">
      <c r="A15117" s="1" t="s">
        <v>25784</v>
      </c>
      <c r="B15117" s="2" t="s">
        <v>25654</v>
      </c>
      <c r="C15117" s="1" t="s">
        <v>5586</v>
      </c>
      <c r="D15117" s="1" t="s">
        <v>5587</v>
      </c>
    </row>
    <row r="15118">
      <c r="A15118" s="1" t="s">
        <v>25785</v>
      </c>
      <c r="B15118" s="2" t="s">
        <v>25656</v>
      </c>
      <c r="C15118" s="1" t="s">
        <v>5586</v>
      </c>
      <c r="D15118" s="1" t="s">
        <v>5587</v>
      </c>
    </row>
    <row r="15119">
      <c r="A15119" s="1" t="s">
        <v>25786</v>
      </c>
      <c r="B15119" s="2" t="s">
        <v>25658</v>
      </c>
      <c r="C15119" s="1" t="s">
        <v>5586</v>
      </c>
      <c r="D15119" s="1" t="s">
        <v>5587</v>
      </c>
    </row>
    <row r="15120">
      <c r="A15120" s="1" t="s">
        <v>25787</v>
      </c>
      <c r="B15120" s="2" t="s">
        <v>25660</v>
      </c>
      <c r="C15120" s="1" t="s">
        <v>5586</v>
      </c>
      <c r="D15120" s="1" t="s">
        <v>5587</v>
      </c>
    </row>
    <row r="15121">
      <c r="A15121" s="1" t="s">
        <v>25788</v>
      </c>
      <c r="B15121" s="2" t="s">
        <v>25662</v>
      </c>
      <c r="C15121" s="1" t="s">
        <v>5586</v>
      </c>
      <c r="D15121" s="1" t="s">
        <v>5587</v>
      </c>
    </row>
    <row r="15122">
      <c r="A15122" s="1" t="s">
        <v>25789</v>
      </c>
      <c r="B15122" s="2" t="s">
        <v>25664</v>
      </c>
      <c r="C15122" s="1" t="s">
        <v>5586</v>
      </c>
      <c r="D15122" s="1" t="s">
        <v>5587</v>
      </c>
    </row>
    <row r="15123">
      <c r="A15123" s="1" t="s">
        <v>25790</v>
      </c>
      <c r="B15123" s="2" t="s">
        <v>25666</v>
      </c>
      <c r="C15123" s="1" t="s">
        <v>5586</v>
      </c>
      <c r="D15123" s="1" t="s">
        <v>5587</v>
      </c>
    </row>
    <row r="15124">
      <c r="A15124" s="1" t="s">
        <v>25791</v>
      </c>
      <c r="B15124" s="2" t="s">
        <v>25668</v>
      </c>
      <c r="C15124" s="1" t="s">
        <v>5586</v>
      </c>
      <c r="D15124" s="1" t="s">
        <v>5587</v>
      </c>
    </row>
    <row r="15125">
      <c r="A15125" s="1" t="s">
        <v>25792</v>
      </c>
      <c r="B15125" s="2" t="s">
        <v>25670</v>
      </c>
      <c r="C15125" s="1" t="s">
        <v>5586</v>
      </c>
      <c r="D15125" s="1" t="s">
        <v>5587</v>
      </c>
    </row>
    <row r="15126">
      <c r="A15126" s="1" t="s">
        <v>25793</v>
      </c>
      <c r="B15126" s="2" t="s">
        <v>25672</v>
      </c>
      <c r="C15126" s="1" t="s">
        <v>5586</v>
      </c>
      <c r="D15126" s="1" t="s">
        <v>5587</v>
      </c>
    </row>
    <row r="15127">
      <c r="A15127" s="1" t="s">
        <v>25794</v>
      </c>
      <c r="B15127" s="2" t="s">
        <v>25674</v>
      </c>
      <c r="C15127" s="1" t="s">
        <v>5586</v>
      </c>
      <c r="D15127" s="1" t="s">
        <v>5587</v>
      </c>
    </row>
    <row r="15128">
      <c r="A15128" s="1" t="s">
        <v>25795</v>
      </c>
      <c r="B15128" s="2" t="s">
        <v>25676</v>
      </c>
      <c r="C15128" s="1" t="s">
        <v>5586</v>
      </c>
      <c r="D15128" s="1" t="s">
        <v>5587</v>
      </c>
    </row>
    <row r="15129">
      <c r="A15129" s="1" t="s">
        <v>25796</v>
      </c>
      <c r="B15129" s="2" t="s">
        <v>25678</v>
      </c>
      <c r="C15129" s="1" t="s">
        <v>5586</v>
      </c>
      <c r="D15129" s="1" t="s">
        <v>5587</v>
      </c>
    </row>
    <row r="15130">
      <c r="A15130" s="1" t="s">
        <v>25797</v>
      </c>
      <c r="B15130" s="2" t="s">
        <v>25680</v>
      </c>
      <c r="C15130" s="1" t="s">
        <v>5586</v>
      </c>
      <c r="D15130" s="1" t="s">
        <v>5587</v>
      </c>
    </row>
    <row r="15131">
      <c r="A15131" s="1" t="s">
        <v>25798</v>
      </c>
      <c r="B15131" s="2" t="s">
        <v>25682</v>
      </c>
      <c r="C15131" s="1" t="s">
        <v>5586</v>
      </c>
      <c r="D15131" s="1" t="s">
        <v>5587</v>
      </c>
    </row>
    <row r="15132">
      <c r="A15132" s="1" t="s">
        <v>25799</v>
      </c>
      <c r="B15132" s="2" t="s">
        <v>25684</v>
      </c>
      <c r="C15132" s="1" t="s">
        <v>5586</v>
      </c>
      <c r="D15132" s="1" t="s">
        <v>5587</v>
      </c>
    </row>
    <row r="15133">
      <c r="A15133" s="1" t="s">
        <v>25800</v>
      </c>
      <c r="B15133" s="2" t="s">
        <v>25686</v>
      </c>
      <c r="C15133" s="1" t="s">
        <v>5586</v>
      </c>
      <c r="D15133" s="1" t="s">
        <v>5587</v>
      </c>
    </row>
    <row r="15134">
      <c r="A15134" s="1" t="s">
        <v>25801</v>
      </c>
      <c r="B15134" s="2" t="s">
        <v>25688</v>
      </c>
      <c r="C15134" s="1" t="s">
        <v>5586</v>
      </c>
      <c r="D15134" s="1" t="s">
        <v>5587</v>
      </c>
    </row>
    <row r="15135">
      <c r="A15135" s="1" t="s">
        <v>25802</v>
      </c>
      <c r="B15135" s="2" t="s">
        <v>25690</v>
      </c>
      <c r="C15135" s="1" t="s">
        <v>5586</v>
      </c>
      <c r="D15135" s="1" t="s">
        <v>5587</v>
      </c>
    </row>
    <row r="15136">
      <c r="A15136" s="1" t="s">
        <v>25803</v>
      </c>
      <c r="B15136" s="2" t="s">
        <v>25692</v>
      </c>
      <c r="C15136" s="1" t="s">
        <v>5586</v>
      </c>
      <c r="D15136" s="1" t="s">
        <v>5587</v>
      </c>
    </row>
    <row r="15137">
      <c r="A15137" s="1" t="s">
        <v>25804</v>
      </c>
      <c r="B15137" s="2" t="s">
        <v>25694</v>
      </c>
      <c r="C15137" s="1" t="s">
        <v>5586</v>
      </c>
      <c r="D15137" s="1" t="s">
        <v>5587</v>
      </c>
    </row>
    <row r="15138">
      <c r="A15138" s="1" t="s">
        <v>25805</v>
      </c>
      <c r="B15138" s="2" t="s">
        <v>25696</v>
      </c>
      <c r="C15138" s="1" t="s">
        <v>5586</v>
      </c>
      <c r="D15138" s="1" t="s">
        <v>5587</v>
      </c>
    </row>
    <row r="15139">
      <c r="A15139" s="1" t="s">
        <v>25806</v>
      </c>
      <c r="B15139" s="2" t="s">
        <v>25698</v>
      </c>
      <c r="C15139" s="1" t="s">
        <v>5586</v>
      </c>
      <c r="D15139" s="1" t="s">
        <v>5587</v>
      </c>
    </row>
    <row r="15140">
      <c r="A15140" s="1" t="s">
        <v>25807</v>
      </c>
      <c r="B15140" s="2" t="s">
        <v>25700</v>
      </c>
      <c r="C15140" s="1" t="s">
        <v>5586</v>
      </c>
      <c r="D15140" s="1" t="s">
        <v>5587</v>
      </c>
    </row>
    <row r="15141">
      <c r="A15141" s="1" t="s">
        <v>25808</v>
      </c>
      <c r="B15141" s="2" t="s">
        <v>25702</v>
      </c>
      <c r="C15141" s="1" t="s">
        <v>5586</v>
      </c>
      <c r="D15141" s="1" t="s">
        <v>5587</v>
      </c>
    </row>
    <row r="15142">
      <c r="A15142" s="1" t="s">
        <v>25809</v>
      </c>
      <c r="B15142" s="2" t="s">
        <v>25704</v>
      </c>
      <c r="C15142" s="1" t="s">
        <v>5586</v>
      </c>
      <c r="D15142" s="1" t="s">
        <v>5587</v>
      </c>
    </row>
    <row r="15143">
      <c r="A15143" s="1" t="s">
        <v>25810</v>
      </c>
      <c r="B15143" s="2" t="s">
        <v>25706</v>
      </c>
      <c r="C15143" s="1" t="s">
        <v>5586</v>
      </c>
      <c r="D15143" s="1" t="s">
        <v>5587</v>
      </c>
    </row>
    <row r="15144">
      <c r="A15144" s="1" t="s">
        <v>25811</v>
      </c>
      <c r="B15144" s="2" t="s">
        <v>25708</v>
      </c>
      <c r="C15144" s="1" t="s">
        <v>5586</v>
      </c>
      <c r="D15144" s="1" t="s">
        <v>5587</v>
      </c>
    </row>
    <row r="15145">
      <c r="A15145" s="1" t="s">
        <v>25812</v>
      </c>
      <c r="B15145" s="2" t="s">
        <v>25710</v>
      </c>
      <c r="C15145" s="1" t="s">
        <v>5586</v>
      </c>
      <c r="D15145" s="1" t="s">
        <v>5587</v>
      </c>
    </row>
    <row r="15146">
      <c r="A15146" s="1" t="s">
        <v>25813</v>
      </c>
      <c r="B15146" s="2" t="s">
        <v>25712</v>
      </c>
      <c r="C15146" s="1" t="s">
        <v>5586</v>
      </c>
      <c r="D15146" s="1" t="s">
        <v>5587</v>
      </c>
    </row>
    <row r="15147">
      <c r="A15147" s="1" t="s">
        <v>25814</v>
      </c>
      <c r="B15147" s="2" t="s">
        <v>25714</v>
      </c>
      <c r="C15147" s="1" t="s">
        <v>5586</v>
      </c>
      <c r="D15147" s="1" t="s">
        <v>5587</v>
      </c>
    </row>
    <row r="15148">
      <c r="A15148" s="1" t="s">
        <v>25815</v>
      </c>
      <c r="B15148" s="2" t="s">
        <v>25716</v>
      </c>
      <c r="C15148" s="1" t="s">
        <v>5586</v>
      </c>
      <c r="D15148" s="1" t="s">
        <v>5587</v>
      </c>
    </row>
    <row r="15149">
      <c r="A15149" s="1" t="s">
        <v>25816</v>
      </c>
      <c r="B15149" s="2" t="s">
        <v>25718</v>
      </c>
      <c r="C15149" s="1" t="s">
        <v>5586</v>
      </c>
      <c r="D15149" s="1" t="s">
        <v>5587</v>
      </c>
    </row>
    <row r="15150">
      <c r="A15150" s="1" t="s">
        <v>25817</v>
      </c>
      <c r="B15150" s="2" t="s">
        <v>25720</v>
      </c>
      <c r="C15150" s="1" t="s">
        <v>5586</v>
      </c>
      <c r="D15150" s="1" t="s">
        <v>5587</v>
      </c>
    </row>
    <row r="15151">
      <c r="A15151" s="1" t="s">
        <v>25818</v>
      </c>
      <c r="B15151" s="2" t="s">
        <v>25722</v>
      </c>
      <c r="C15151" s="1" t="s">
        <v>5586</v>
      </c>
      <c r="D15151" s="1" t="s">
        <v>5587</v>
      </c>
    </row>
    <row r="15152">
      <c r="A15152" s="1" t="s">
        <v>25819</v>
      </c>
      <c r="B15152" s="2" t="s">
        <v>25724</v>
      </c>
      <c r="C15152" s="1" t="s">
        <v>5586</v>
      </c>
      <c r="D15152" s="1" t="s">
        <v>5587</v>
      </c>
    </row>
    <row r="15153">
      <c r="A15153" s="1" t="s">
        <v>25820</v>
      </c>
      <c r="B15153" s="2" t="s">
        <v>25726</v>
      </c>
      <c r="C15153" s="1" t="s">
        <v>5586</v>
      </c>
      <c r="D15153" s="1" t="s">
        <v>5587</v>
      </c>
    </row>
    <row r="15154">
      <c r="A15154" s="1" t="s">
        <v>25821</v>
      </c>
      <c r="B15154" s="2" t="s">
        <v>25728</v>
      </c>
      <c r="C15154" s="1" t="s">
        <v>5586</v>
      </c>
      <c r="D15154" s="1" t="s">
        <v>5587</v>
      </c>
    </row>
    <row r="15155">
      <c r="A15155" s="1" t="s">
        <v>25822</v>
      </c>
      <c r="B15155" s="2" t="s">
        <v>25730</v>
      </c>
      <c r="C15155" s="1" t="s">
        <v>5586</v>
      </c>
      <c r="D15155" s="1" t="s">
        <v>5587</v>
      </c>
    </row>
    <row r="15156">
      <c r="A15156" s="1" t="s">
        <v>25823</v>
      </c>
      <c r="B15156" s="2" t="s">
        <v>25732</v>
      </c>
      <c r="C15156" s="1" t="s">
        <v>5586</v>
      </c>
      <c r="D15156" s="1" t="s">
        <v>5587</v>
      </c>
    </row>
    <row r="15157">
      <c r="A15157" s="1" t="s">
        <v>25824</v>
      </c>
      <c r="B15157" s="2" t="s">
        <v>25734</v>
      </c>
      <c r="C15157" s="1" t="s">
        <v>5586</v>
      </c>
      <c r="D15157" s="1" t="s">
        <v>5587</v>
      </c>
    </row>
    <row r="15158">
      <c r="A15158" s="1" t="s">
        <v>25825</v>
      </c>
      <c r="B15158" s="2" t="s">
        <v>25736</v>
      </c>
      <c r="C15158" s="1" t="s">
        <v>5586</v>
      </c>
      <c r="D15158" s="1" t="s">
        <v>5587</v>
      </c>
    </row>
    <row r="15159">
      <c r="A15159" s="1" t="s">
        <v>25826</v>
      </c>
      <c r="B15159" s="2" t="s">
        <v>25738</v>
      </c>
      <c r="C15159" s="1" t="s">
        <v>5586</v>
      </c>
      <c r="D15159" s="1" t="s">
        <v>5587</v>
      </c>
    </row>
    <row r="15160">
      <c r="A15160" s="1" t="s">
        <v>25827</v>
      </c>
      <c r="B15160" s="2" t="s">
        <v>25740</v>
      </c>
      <c r="C15160" s="1" t="s">
        <v>5586</v>
      </c>
      <c r="D15160" s="1" t="s">
        <v>5587</v>
      </c>
    </row>
    <row r="15161">
      <c r="A15161" s="1" t="s">
        <v>25828</v>
      </c>
      <c r="B15161" s="2" t="s">
        <v>25742</v>
      </c>
      <c r="C15161" s="1" t="s">
        <v>5586</v>
      </c>
      <c r="D15161" s="1" t="s">
        <v>5587</v>
      </c>
    </row>
    <row r="15162">
      <c r="A15162" s="1" t="s">
        <v>25829</v>
      </c>
      <c r="B15162" s="2" t="s">
        <v>25744</v>
      </c>
      <c r="C15162" s="1" t="s">
        <v>5586</v>
      </c>
      <c r="D15162" s="1" t="s">
        <v>5587</v>
      </c>
    </row>
    <row r="15163">
      <c r="A15163" s="1" t="s">
        <v>25830</v>
      </c>
      <c r="B15163" s="2" t="s">
        <v>25746</v>
      </c>
      <c r="C15163" s="1" t="s">
        <v>5586</v>
      </c>
      <c r="D15163" s="1" t="s">
        <v>5587</v>
      </c>
    </row>
    <row r="15164">
      <c r="A15164" s="1" t="s">
        <v>25831</v>
      </c>
      <c r="B15164" s="2" t="s">
        <v>25748</v>
      </c>
      <c r="C15164" s="1" t="s">
        <v>5586</v>
      </c>
      <c r="D15164" s="1" t="s">
        <v>5587</v>
      </c>
    </row>
    <row r="15165">
      <c r="A15165" s="1" t="s">
        <v>25832</v>
      </c>
      <c r="B15165" s="2" t="s">
        <v>25750</v>
      </c>
      <c r="C15165" s="1" t="s">
        <v>5586</v>
      </c>
      <c r="D15165" s="1" t="s">
        <v>5587</v>
      </c>
    </row>
    <row r="15166">
      <c r="A15166" s="1" t="s">
        <v>25833</v>
      </c>
      <c r="B15166" s="2" t="s">
        <v>25752</v>
      </c>
      <c r="C15166" s="1" t="s">
        <v>5586</v>
      </c>
      <c r="D15166" s="1" t="s">
        <v>5587</v>
      </c>
    </row>
    <row r="15167">
      <c r="A15167" s="1" t="s">
        <v>25834</v>
      </c>
      <c r="B15167" s="2" t="s">
        <v>25754</v>
      </c>
      <c r="C15167" s="1" t="s">
        <v>5586</v>
      </c>
      <c r="D15167" s="1" t="s">
        <v>5587</v>
      </c>
    </row>
    <row r="15168">
      <c r="A15168" s="1" t="s">
        <v>25835</v>
      </c>
      <c r="B15168" s="2" t="s">
        <v>25756</v>
      </c>
      <c r="C15168" s="1" t="s">
        <v>5586</v>
      </c>
      <c r="D15168" s="1" t="s">
        <v>5587</v>
      </c>
    </row>
    <row r="15169">
      <c r="A15169" s="1" t="s">
        <v>5588</v>
      </c>
      <c r="B15169" s="2" t="s">
        <v>7</v>
      </c>
      <c r="C15169" s="1" t="s">
        <v>5590</v>
      </c>
      <c r="D15169" s="1" t="s">
        <v>5591</v>
      </c>
    </row>
    <row r="15170">
      <c r="A15170" s="1" t="s">
        <v>25836</v>
      </c>
      <c r="B15170" s="2" t="s">
        <v>13</v>
      </c>
      <c r="C15170" s="1" t="s">
        <v>5590</v>
      </c>
      <c r="D15170" s="1" t="s">
        <v>5591</v>
      </c>
    </row>
    <row r="15171">
      <c r="A15171" s="1" t="s">
        <v>25837</v>
      </c>
      <c r="B15171" s="2" t="s">
        <v>25838</v>
      </c>
      <c r="C15171" s="1" t="s">
        <v>5590</v>
      </c>
      <c r="D15171" s="1" t="s">
        <v>5591</v>
      </c>
    </row>
    <row r="15172">
      <c r="A15172" s="1" t="s">
        <v>25839</v>
      </c>
      <c r="B15172" s="2" t="s">
        <v>25840</v>
      </c>
      <c r="C15172" s="1" t="s">
        <v>5590</v>
      </c>
      <c r="D15172" s="1" t="s">
        <v>5591</v>
      </c>
    </row>
    <row r="15173">
      <c r="A15173" s="1" t="s">
        <v>25841</v>
      </c>
      <c r="B15173" s="2" t="s">
        <v>25842</v>
      </c>
      <c r="C15173" s="1" t="s">
        <v>5590</v>
      </c>
      <c r="D15173" s="1" t="s">
        <v>5591</v>
      </c>
    </row>
    <row r="15174">
      <c r="A15174" s="1" t="s">
        <v>25843</v>
      </c>
      <c r="B15174" s="2" t="s">
        <v>25844</v>
      </c>
      <c r="C15174" s="1" t="s">
        <v>5590</v>
      </c>
      <c r="D15174" s="1" t="s">
        <v>5591</v>
      </c>
    </row>
    <row r="15175">
      <c r="A15175" s="1" t="s">
        <v>25845</v>
      </c>
      <c r="B15175" s="2" t="s">
        <v>25846</v>
      </c>
      <c r="C15175" s="1" t="s">
        <v>5590</v>
      </c>
      <c r="D15175" s="1" t="s">
        <v>5591</v>
      </c>
    </row>
    <row r="15176">
      <c r="A15176" s="1" t="s">
        <v>25847</v>
      </c>
      <c r="B15176" s="2" t="s">
        <v>25848</v>
      </c>
      <c r="C15176" s="1" t="s">
        <v>5590</v>
      </c>
      <c r="D15176" s="1" t="s">
        <v>5591</v>
      </c>
    </row>
    <row r="15177">
      <c r="A15177" s="1" t="s">
        <v>25849</v>
      </c>
      <c r="B15177" s="2" t="s">
        <v>25850</v>
      </c>
      <c r="C15177" s="1" t="s">
        <v>5590</v>
      </c>
      <c r="D15177" s="1" t="s">
        <v>5591</v>
      </c>
    </row>
    <row r="15178">
      <c r="A15178" s="1" t="s">
        <v>25851</v>
      </c>
      <c r="B15178" s="2" t="s">
        <v>25852</v>
      </c>
      <c r="C15178" s="1" t="s">
        <v>5590</v>
      </c>
      <c r="D15178" s="1" t="s">
        <v>5591</v>
      </c>
    </row>
    <row r="15179">
      <c r="A15179" s="1" t="s">
        <v>25853</v>
      </c>
      <c r="B15179" s="2" t="s">
        <v>25854</v>
      </c>
      <c r="C15179" s="1" t="s">
        <v>5590</v>
      </c>
      <c r="D15179" s="1" t="s">
        <v>5591</v>
      </c>
    </row>
    <row r="15180">
      <c r="A15180" s="1" t="s">
        <v>25855</v>
      </c>
      <c r="B15180" s="2" t="s">
        <v>70</v>
      </c>
      <c r="C15180" s="1" t="s">
        <v>5590</v>
      </c>
      <c r="D15180" s="1" t="s">
        <v>5591</v>
      </c>
    </row>
    <row r="15181">
      <c r="A15181" s="1" t="s">
        <v>25856</v>
      </c>
      <c r="B15181" s="2" t="s">
        <v>25857</v>
      </c>
      <c r="C15181" s="1" t="s">
        <v>5590</v>
      </c>
      <c r="D15181" s="1" t="s">
        <v>5591</v>
      </c>
    </row>
    <row r="15182">
      <c r="A15182" s="1" t="s">
        <v>25858</v>
      </c>
      <c r="B15182" s="2" t="s">
        <v>25859</v>
      </c>
      <c r="C15182" s="1" t="s">
        <v>5590</v>
      </c>
      <c r="D15182" s="1" t="s">
        <v>5591</v>
      </c>
    </row>
    <row r="15183">
      <c r="A15183" s="1" t="s">
        <v>25860</v>
      </c>
      <c r="B15183" s="2" t="s">
        <v>25861</v>
      </c>
      <c r="C15183" s="1" t="s">
        <v>5590</v>
      </c>
      <c r="D15183" s="1" t="s">
        <v>5591</v>
      </c>
    </row>
    <row r="15184">
      <c r="A15184" s="1" t="s">
        <v>25862</v>
      </c>
      <c r="B15184" s="2" t="s">
        <v>25863</v>
      </c>
      <c r="C15184" s="1" t="s">
        <v>5590</v>
      </c>
      <c r="D15184" s="1" t="s">
        <v>5591</v>
      </c>
    </row>
    <row r="15185">
      <c r="A15185" s="1" t="s">
        <v>25864</v>
      </c>
      <c r="B15185" s="2" t="s">
        <v>25865</v>
      </c>
      <c r="C15185" s="1" t="s">
        <v>5590</v>
      </c>
      <c r="D15185" s="1" t="s">
        <v>5591</v>
      </c>
    </row>
    <row r="15186">
      <c r="A15186" s="1" t="s">
        <v>25866</v>
      </c>
      <c r="B15186" s="2" t="s">
        <v>25867</v>
      </c>
      <c r="C15186" s="1" t="s">
        <v>5590</v>
      </c>
      <c r="D15186" s="1" t="s">
        <v>5591</v>
      </c>
    </row>
    <row r="15187">
      <c r="A15187" s="1" t="s">
        <v>25868</v>
      </c>
      <c r="B15187" s="2" t="s">
        <v>25869</v>
      </c>
      <c r="C15187" s="1" t="s">
        <v>5590</v>
      </c>
      <c r="D15187" s="1" t="s">
        <v>5591</v>
      </c>
    </row>
    <row r="15188">
      <c r="A15188" s="1" t="s">
        <v>25870</v>
      </c>
      <c r="B15188" s="2" t="s">
        <v>25871</v>
      </c>
      <c r="C15188" s="1" t="s">
        <v>5590</v>
      </c>
      <c r="D15188" s="1" t="s">
        <v>5591</v>
      </c>
    </row>
    <row r="15189">
      <c r="A15189" s="1" t="s">
        <v>25872</v>
      </c>
      <c r="B15189" s="2" t="s">
        <v>25873</v>
      </c>
      <c r="C15189" s="1" t="s">
        <v>5590</v>
      </c>
      <c r="D15189" s="1" t="s">
        <v>5591</v>
      </c>
    </row>
    <row r="15190">
      <c r="A15190" s="1" t="s">
        <v>5595</v>
      </c>
      <c r="B15190" s="2" t="s">
        <v>7</v>
      </c>
      <c r="C15190" s="1" t="s">
        <v>5596</v>
      </c>
      <c r="D15190" s="1" t="s">
        <v>5597</v>
      </c>
    </row>
    <row r="15191">
      <c r="A15191" s="1" t="s">
        <v>25874</v>
      </c>
      <c r="B15191" s="2" t="s">
        <v>11621</v>
      </c>
      <c r="C15191" s="1" t="s">
        <v>5596</v>
      </c>
      <c r="D15191" s="1" t="s">
        <v>5597</v>
      </c>
    </row>
    <row r="15192">
      <c r="A15192" s="1" t="s">
        <v>25875</v>
      </c>
      <c r="B15192" s="2" t="s">
        <v>11623</v>
      </c>
      <c r="C15192" s="1" t="s">
        <v>5596</v>
      </c>
      <c r="D15192" s="1" t="s">
        <v>5597</v>
      </c>
    </row>
    <row r="15193">
      <c r="A15193" s="1" t="s">
        <v>25876</v>
      </c>
      <c r="B15193" s="2" t="s">
        <v>11625</v>
      </c>
      <c r="C15193" s="1" t="s">
        <v>5596</v>
      </c>
      <c r="D15193" s="1" t="s">
        <v>5597</v>
      </c>
    </row>
    <row r="15194">
      <c r="A15194" s="1" t="s">
        <v>25877</v>
      </c>
      <c r="B15194" s="2" t="s">
        <v>11627</v>
      </c>
      <c r="C15194" s="1" t="s">
        <v>5596</v>
      </c>
      <c r="D15194" s="1" t="s">
        <v>5597</v>
      </c>
    </row>
    <row r="15195">
      <c r="A15195" s="1" t="s">
        <v>25878</v>
      </c>
      <c r="B15195" s="2" t="s">
        <v>11629</v>
      </c>
      <c r="C15195" s="1" t="s">
        <v>5596</v>
      </c>
      <c r="D15195" s="1" t="s">
        <v>5597</v>
      </c>
    </row>
    <row r="15196">
      <c r="A15196" s="1" t="s">
        <v>25879</v>
      </c>
      <c r="B15196" s="2" t="s">
        <v>11631</v>
      </c>
      <c r="C15196" s="1" t="s">
        <v>5596</v>
      </c>
      <c r="D15196" s="1" t="s">
        <v>5597</v>
      </c>
    </row>
    <row r="15197">
      <c r="A15197" s="1" t="s">
        <v>25880</v>
      </c>
      <c r="B15197" s="2" t="s">
        <v>11633</v>
      </c>
      <c r="C15197" s="1" t="s">
        <v>5596</v>
      </c>
      <c r="D15197" s="1" t="s">
        <v>5597</v>
      </c>
    </row>
    <row r="15198">
      <c r="A15198" s="1" t="s">
        <v>25881</v>
      </c>
      <c r="B15198" s="2" t="s">
        <v>25882</v>
      </c>
      <c r="C15198" s="1" t="s">
        <v>5596</v>
      </c>
      <c r="D15198" s="1" t="s">
        <v>5597</v>
      </c>
    </row>
    <row r="15199">
      <c r="A15199" s="1" t="s">
        <v>5601</v>
      </c>
      <c r="B15199" s="2" t="s">
        <v>5563</v>
      </c>
      <c r="C15199" s="1" t="s">
        <v>5603</v>
      </c>
      <c r="D15199" s="1" t="s">
        <v>5604</v>
      </c>
    </row>
    <row r="15200">
      <c r="A15200" s="1" t="s">
        <v>25883</v>
      </c>
      <c r="B15200" s="2" t="s">
        <v>25884</v>
      </c>
      <c r="C15200" s="1" t="s">
        <v>5603</v>
      </c>
      <c r="D15200" s="1" t="s">
        <v>5604</v>
      </c>
    </row>
    <row r="15201">
      <c r="A15201" s="1" t="s">
        <v>25885</v>
      </c>
      <c r="B15201" s="2" t="s">
        <v>25886</v>
      </c>
      <c r="C15201" s="1" t="s">
        <v>5603</v>
      </c>
      <c r="D15201" s="1" t="s">
        <v>5604</v>
      </c>
    </row>
    <row r="15202">
      <c r="A15202" s="1" t="s">
        <v>25887</v>
      </c>
      <c r="B15202" s="2" t="s">
        <v>25888</v>
      </c>
      <c r="C15202" s="1" t="s">
        <v>5603</v>
      </c>
      <c r="D15202" s="1" t="s">
        <v>5604</v>
      </c>
    </row>
    <row r="15203">
      <c r="A15203" s="1" t="s">
        <v>25889</v>
      </c>
      <c r="B15203" s="2" t="s">
        <v>25890</v>
      </c>
      <c r="C15203" s="1" t="s">
        <v>5603</v>
      </c>
      <c r="D15203" s="1" t="s">
        <v>5604</v>
      </c>
    </row>
    <row r="15204">
      <c r="A15204" s="1" t="s">
        <v>25891</v>
      </c>
      <c r="B15204" s="2" t="s">
        <v>25892</v>
      </c>
      <c r="C15204" s="1" t="s">
        <v>5603</v>
      </c>
      <c r="D15204" s="1" t="s">
        <v>5604</v>
      </c>
    </row>
    <row r="15205">
      <c r="A15205" s="1" t="s">
        <v>25893</v>
      </c>
      <c r="B15205" s="2" t="s">
        <v>25894</v>
      </c>
      <c r="C15205" s="1" t="s">
        <v>5603</v>
      </c>
      <c r="D15205" s="1" t="s">
        <v>5604</v>
      </c>
    </row>
    <row r="15206">
      <c r="A15206" s="1" t="s">
        <v>25895</v>
      </c>
      <c r="B15206" s="2" t="s">
        <v>25896</v>
      </c>
      <c r="C15206" s="1" t="s">
        <v>5603</v>
      </c>
      <c r="D15206" s="1" t="s">
        <v>5604</v>
      </c>
    </row>
    <row r="15207">
      <c r="A15207" s="1" t="s">
        <v>25897</v>
      </c>
      <c r="B15207" s="2" t="s">
        <v>25898</v>
      </c>
      <c r="C15207" s="1" t="s">
        <v>5603</v>
      </c>
      <c r="D15207" s="1" t="s">
        <v>5604</v>
      </c>
    </row>
    <row r="15208">
      <c r="A15208" s="1" t="s">
        <v>25899</v>
      </c>
      <c r="B15208" s="2" t="s">
        <v>25704</v>
      </c>
      <c r="C15208" s="1" t="s">
        <v>5603</v>
      </c>
      <c r="D15208" s="1" t="s">
        <v>5604</v>
      </c>
    </row>
    <row r="15209">
      <c r="A15209" s="1" t="s">
        <v>25900</v>
      </c>
      <c r="B15209" s="2" t="s">
        <v>25901</v>
      </c>
      <c r="C15209" s="1" t="s">
        <v>5603</v>
      </c>
      <c r="D15209" s="1" t="s">
        <v>5604</v>
      </c>
    </row>
    <row r="15210">
      <c r="A15210" s="1" t="s">
        <v>25902</v>
      </c>
      <c r="B15210" s="2" t="s">
        <v>25903</v>
      </c>
      <c r="C15210" s="1" t="s">
        <v>5603</v>
      </c>
      <c r="D15210" s="1" t="s">
        <v>5604</v>
      </c>
    </row>
    <row r="15211">
      <c r="A15211" s="1" t="s">
        <v>25904</v>
      </c>
      <c r="B15211" s="2" t="s">
        <v>25905</v>
      </c>
      <c r="C15211" s="1" t="s">
        <v>5603</v>
      </c>
      <c r="D15211" s="1" t="s">
        <v>5604</v>
      </c>
    </row>
    <row r="15212">
      <c r="A15212" s="1" t="s">
        <v>25906</v>
      </c>
      <c r="B15212" s="2" t="s">
        <v>25907</v>
      </c>
      <c r="C15212" s="1" t="s">
        <v>5603</v>
      </c>
      <c r="D15212" s="1" t="s">
        <v>5604</v>
      </c>
    </row>
    <row r="15213">
      <c r="A15213" s="1" t="s">
        <v>25908</v>
      </c>
      <c r="B15213" s="2" t="s">
        <v>25909</v>
      </c>
      <c r="C15213" s="1" t="s">
        <v>5603</v>
      </c>
      <c r="D15213" s="1" t="s">
        <v>5604</v>
      </c>
    </row>
    <row r="15214">
      <c r="A15214" s="1" t="s">
        <v>25910</v>
      </c>
      <c r="B15214" s="2" t="s">
        <v>25911</v>
      </c>
      <c r="C15214" s="1" t="s">
        <v>5603</v>
      </c>
      <c r="D15214" s="1" t="s">
        <v>5604</v>
      </c>
    </row>
    <row r="15215">
      <c r="A15215" s="1" t="s">
        <v>25912</v>
      </c>
      <c r="B15215" s="2" t="s">
        <v>25913</v>
      </c>
      <c r="C15215" s="1" t="s">
        <v>5603</v>
      </c>
      <c r="D15215" s="1" t="s">
        <v>5604</v>
      </c>
    </row>
    <row r="15216">
      <c r="A15216" s="1" t="s">
        <v>25914</v>
      </c>
      <c r="B15216" s="2" t="s">
        <v>25915</v>
      </c>
      <c r="C15216" s="1" t="s">
        <v>5603</v>
      </c>
      <c r="D15216" s="1" t="s">
        <v>5604</v>
      </c>
    </row>
    <row r="15217">
      <c r="A15217" s="1" t="s">
        <v>5607</v>
      </c>
      <c r="B15217" s="2" t="s">
        <v>7</v>
      </c>
      <c r="C15217" s="1" t="s">
        <v>5609</v>
      </c>
      <c r="D15217" s="1" t="s">
        <v>5610</v>
      </c>
    </row>
    <row r="15218">
      <c r="A15218" s="1" t="s">
        <v>25916</v>
      </c>
      <c r="B15218" s="2" t="s">
        <v>13</v>
      </c>
      <c r="C15218" s="1" t="s">
        <v>5609</v>
      </c>
      <c r="D15218" s="1" t="s">
        <v>5610</v>
      </c>
    </row>
    <row r="15219">
      <c r="A15219" s="1" t="s">
        <v>25917</v>
      </c>
      <c r="B15219" s="2" t="s">
        <v>25838</v>
      </c>
      <c r="C15219" s="1" t="s">
        <v>5609</v>
      </c>
      <c r="D15219" s="1" t="s">
        <v>5610</v>
      </c>
    </row>
    <row r="15220">
      <c r="A15220" s="1" t="s">
        <v>25918</v>
      </c>
      <c r="B15220" s="2" t="s">
        <v>25840</v>
      </c>
      <c r="C15220" s="1" t="s">
        <v>5609</v>
      </c>
      <c r="D15220" s="1" t="s">
        <v>5610</v>
      </c>
    </row>
    <row r="15221">
      <c r="A15221" s="1" t="s">
        <v>25919</v>
      </c>
      <c r="B15221" s="2" t="s">
        <v>25842</v>
      </c>
      <c r="C15221" s="1" t="s">
        <v>5609</v>
      </c>
      <c r="D15221" s="1" t="s">
        <v>5610</v>
      </c>
    </row>
    <row r="15222">
      <c r="A15222" s="1" t="s">
        <v>25920</v>
      </c>
      <c r="B15222" s="2" t="s">
        <v>25844</v>
      </c>
      <c r="C15222" s="1" t="s">
        <v>5609</v>
      </c>
      <c r="D15222" s="1" t="s">
        <v>5610</v>
      </c>
    </row>
    <row r="15223">
      <c r="A15223" s="1" t="s">
        <v>25921</v>
      </c>
      <c r="B15223" s="2" t="s">
        <v>25846</v>
      </c>
      <c r="C15223" s="1" t="s">
        <v>5609</v>
      </c>
      <c r="D15223" s="1" t="s">
        <v>5610</v>
      </c>
    </row>
    <row r="15224">
      <c r="A15224" s="1" t="s">
        <v>25922</v>
      </c>
      <c r="B15224" s="2" t="s">
        <v>25848</v>
      </c>
      <c r="C15224" s="1" t="s">
        <v>5609</v>
      </c>
      <c r="D15224" s="1" t="s">
        <v>5610</v>
      </c>
    </row>
    <row r="15225">
      <c r="A15225" s="1" t="s">
        <v>25923</v>
      </c>
      <c r="B15225" s="2" t="s">
        <v>25850</v>
      </c>
      <c r="C15225" s="1" t="s">
        <v>5609</v>
      </c>
      <c r="D15225" s="1" t="s">
        <v>5610</v>
      </c>
    </row>
    <row r="15226">
      <c r="A15226" s="1" t="s">
        <v>25924</v>
      </c>
      <c r="B15226" s="2" t="s">
        <v>25852</v>
      </c>
      <c r="C15226" s="1" t="s">
        <v>5609</v>
      </c>
      <c r="D15226" s="1" t="s">
        <v>5610</v>
      </c>
    </row>
    <row r="15227">
      <c r="A15227" s="1" t="s">
        <v>25925</v>
      </c>
      <c r="B15227" s="2" t="s">
        <v>25854</v>
      </c>
      <c r="C15227" s="1" t="s">
        <v>5609</v>
      </c>
      <c r="D15227" s="1" t="s">
        <v>5610</v>
      </c>
    </row>
    <row r="15228">
      <c r="A15228" s="1" t="s">
        <v>25926</v>
      </c>
      <c r="B15228" s="2" t="s">
        <v>70</v>
      </c>
      <c r="C15228" s="1" t="s">
        <v>5609</v>
      </c>
      <c r="D15228" s="1" t="s">
        <v>5610</v>
      </c>
    </row>
    <row r="15229">
      <c r="A15229" s="1" t="s">
        <v>25927</v>
      </c>
      <c r="B15229" s="2" t="s">
        <v>25857</v>
      </c>
      <c r="C15229" s="1" t="s">
        <v>5609</v>
      </c>
      <c r="D15229" s="1" t="s">
        <v>5610</v>
      </c>
    </row>
    <row r="15230">
      <c r="A15230" s="1" t="s">
        <v>25928</v>
      </c>
      <c r="B15230" s="2" t="s">
        <v>25859</v>
      </c>
      <c r="C15230" s="1" t="s">
        <v>5609</v>
      </c>
      <c r="D15230" s="1" t="s">
        <v>5610</v>
      </c>
    </row>
    <row r="15231">
      <c r="A15231" s="1" t="s">
        <v>25929</v>
      </c>
      <c r="B15231" s="2" t="s">
        <v>25861</v>
      </c>
      <c r="C15231" s="1" t="s">
        <v>5609</v>
      </c>
      <c r="D15231" s="1" t="s">
        <v>5610</v>
      </c>
    </row>
    <row r="15232">
      <c r="A15232" s="1" t="s">
        <v>25930</v>
      </c>
      <c r="B15232" s="2" t="s">
        <v>25863</v>
      </c>
      <c r="C15232" s="1" t="s">
        <v>5609</v>
      </c>
      <c r="D15232" s="1" t="s">
        <v>5610</v>
      </c>
    </row>
    <row r="15233">
      <c r="A15233" s="1" t="s">
        <v>25931</v>
      </c>
      <c r="B15233" s="2" t="s">
        <v>25865</v>
      </c>
      <c r="C15233" s="1" t="s">
        <v>5609</v>
      </c>
      <c r="D15233" s="1" t="s">
        <v>5610</v>
      </c>
    </row>
    <row r="15234">
      <c r="A15234" s="1" t="s">
        <v>25932</v>
      </c>
      <c r="B15234" s="2" t="s">
        <v>25867</v>
      </c>
      <c r="C15234" s="1" t="s">
        <v>5609</v>
      </c>
      <c r="D15234" s="1" t="s">
        <v>5610</v>
      </c>
    </row>
    <row r="15235">
      <c r="A15235" s="1" t="s">
        <v>25933</v>
      </c>
      <c r="B15235" s="2" t="s">
        <v>25869</v>
      </c>
      <c r="C15235" s="1" t="s">
        <v>5609</v>
      </c>
      <c r="D15235" s="1" t="s">
        <v>5610</v>
      </c>
    </row>
    <row r="15236">
      <c r="A15236" s="1" t="s">
        <v>25934</v>
      </c>
      <c r="B15236" s="2" t="s">
        <v>25871</v>
      </c>
      <c r="C15236" s="1" t="s">
        <v>5609</v>
      </c>
      <c r="D15236" s="1" t="s">
        <v>5610</v>
      </c>
    </row>
    <row r="15237">
      <c r="A15237" s="1" t="s">
        <v>25935</v>
      </c>
      <c r="B15237" s="2" t="s">
        <v>25873</v>
      </c>
      <c r="C15237" s="1" t="s">
        <v>5609</v>
      </c>
      <c r="D15237" s="1" t="s">
        <v>5610</v>
      </c>
    </row>
    <row r="15238">
      <c r="A15238" s="1" t="s">
        <v>5613</v>
      </c>
      <c r="B15238" s="2" t="s">
        <v>7</v>
      </c>
      <c r="C15238" s="1" t="s">
        <v>5615</v>
      </c>
      <c r="D15238" s="1" t="s">
        <v>5616</v>
      </c>
    </row>
    <row r="15239">
      <c r="A15239" s="1" t="s">
        <v>25936</v>
      </c>
      <c r="B15239" s="2" t="s">
        <v>11621</v>
      </c>
      <c r="C15239" s="1" t="s">
        <v>5615</v>
      </c>
      <c r="D15239" s="1" t="s">
        <v>5616</v>
      </c>
    </row>
    <row r="15240">
      <c r="A15240" s="1" t="s">
        <v>25937</v>
      </c>
      <c r="B15240" s="2" t="s">
        <v>11623</v>
      </c>
      <c r="C15240" s="1" t="s">
        <v>5615</v>
      </c>
      <c r="D15240" s="1" t="s">
        <v>5616</v>
      </c>
    </row>
    <row r="15241">
      <c r="A15241" s="1" t="s">
        <v>25938</v>
      </c>
      <c r="B15241" s="2" t="s">
        <v>11625</v>
      </c>
      <c r="C15241" s="1" t="s">
        <v>5615</v>
      </c>
      <c r="D15241" s="1" t="s">
        <v>5616</v>
      </c>
    </row>
    <row r="15242">
      <c r="A15242" s="1" t="s">
        <v>25939</v>
      </c>
      <c r="B15242" s="2" t="s">
        <v>11627</v>
      </c>
      <c r="C15242" s="1" t="s">
        <v>5615</v>
      </c>
      <c r="D15242" s="1" t="s">
        <v>5616</v>
      </c>
    </row>
    <row r="15243">
      <c r="A15243" s="1" t="s">
        <v>25940</v>
      </c>
      <c r="B15243" s="2" t="s">
        <v>11629</v>
      </c>
      <c r="C15243" s="1" t="s">
        <v>5615</v>
      </c>
      <c r="D15243" s="1" t="s">
        <v>5616</v>
      </c>
    </row>
    <row r="15244">
      <c r="A15244" s="1" t="s">
        <v>25941</v>
      </c>
      <c r="B15244" s="2" t="s">
        <v>11631</v>
      </c>
      <c r="C15244" s="1" t="s">
        <v>5615</v>
      </c>
      <c r="D15244" s="1" t="s">
        <v>5616</v>
      </c>
    </row>
    <row r="15245">
      <c r="A15245" s="1" t="s">
        <v>25942</v>
      </c>
      <c r="B15245" s="2" t="s">
        <v>11633</v>
      </c>
      <c r="C15245" s="1" t="s">
        <v>5615</v>
      </c>
      <c r="D15245" s="1" t="s">
        <v>5616</v>
      </c>
    </row>
    <row r="15246">
      <c r="A15246" s="1" t="s">
        <v>25943</v>
      </c>
      <c r="B15246" s="2" t="s">
        <v>25882</v>
      </c>
      <c r="C15246" s="1" t="s">
        <v>5615</v>
      </c>
      <c r="D15246" s="1" t="s">
        <v>5616</v>
      </c>
    </row>
    <row r="15247">
      <c r="A15247" s="1" t="s">
        <v>5620</v>
      </c>
      <c r="B15247" s="2" t="s">
        <v>5563</v>
      </c>
      <c r="C15247" s="1" t="s">
        <v>5621</v>
      </c>
      <c r="D15247" s="1" t="s">
        <v>5622</v>
      </c>
    </row>
    <row r="15248">
      <c r="A15248" s="1" t="s">
        <v>25944</v>
      </c>
      <c r="B15248" s="2" t="s">
        <v>25884</v>
      </c>
      <c r="C15248" s="1" t="s">
        <v>5621</v>
      </c>
      <c r="D15248" s="1" t="s">
        <v>5622</v>
      </c>
    </row>
    <row r="15249">
      <c r="A15249" s="1" t="s">
        <v>25945</v>
      </c>
      <c r="B15249" s="2" t="s">
        <v>25886</v>
      </c>
      <c r="C15249" s="1" t="s">
        <v>5621</v>
      </c>
      <c r="D15249" s="1" t="s">
        <v>5622</v>
      </c>
    </row>
    <row r="15250">
      <c r="A15250" s="1" t="s">
        <v>25946</v>
      </c>
      <c r="B15250" s="2" t="s">
        <v>25888</v>
      </c>
      <c r="C15250" s="1" t="s">
        <v>5621</v>
      </c>
      <c r="D15250" s="1" t="s">
        <v>5622</v>
      </c>
    </row>
    <row r="15251">
      <c r="A15251" s="1" t="s">
        <v>25947</v>
      </c>
      <c r="B15251" s="2" t="s">
        <v>25890</v>
      </c>
      <c r="C15251" s="1" t="s">
        <v>5621</v>
      </c>
      <c r="D15251" s="1" t="s">
        <v>5622</v>
      </c>
    </row>
    <row r="15252">
      <c r="A15252" s="1" t="s">
        <v>25948</v>
      </c>
      <c r="B15252" s="2" t="s">
        <v>25892</v>
      </c>
      <c r="C15252" s="1" t="s">
        <v>5621</v>
      </c>
      <c r="D15252" s="1" t="s">
        <v>5622</v>
      </c>
    </row>
    <row r="15253">
      <c r="A15253" s="1" t="s">
        <v>25949</v>
      </c>
      <c r="B15253" s="2" t="s">
        <v>25894</v>
      </c>
      <c r="C15253" s="1" t="s">
        <v>5621</v>
      </c>
      <c r="D15253" s="1" t="s">
        <v>5622</v>
      </c>
    </row>
    <row r="15254">
      <c r="A15254" s="1" t="s">
        <v>25950</v>
      </c>
      <c r="B15254" s="2" t="s">
        <v>25896</v>
      </c>
      <c r="C15254" s="1" t="s">
        <v>5621</v>
      </c>
      <c r="D15254" s="1" t="s">
        <v>5622</v>
      </c>
    </row>
    <row r="15255">
      <c r="A15255" s="1" t="s">
        <v>25951</v>
      </c>
      <c r="B15255" s="2" t="s">
        <v>25898</v>
      </c>
      <c r="C15255" s="1" t="s">
        <v>5621</v>
      </c>
      <c r="D15255" s="1" t="s">
        <v>5622</v>
      </c>
    </row>
    <row r="15256">
      <c r="A15256" s="1" t="s">
        <v>25952</v>
      </c>
      <c r="B15256" s="2" t="s">
        <v>25704</v>
      </c>
      <c r="C15256" s="1" t="s">
        <v>5621</v>
      </c>
      <c r="D15256" s="1" t="s">
        <v>5622</v>
      </c>
    </row>
    <row r="15257">
      <c r="A15257" s="1" t="s">
        <v>25953</v>
      </c>
      <c r="B15257" s="2" t="s">
        <v>25901</v>
      </c>
      <c r="C15257" s="1" t="s">
        <v>5621</v>
      </c>
      <c r="D15257" s="1" t="s">
        <v>5622</v>
      </c>
    </row>
    <row r="15258">
      <c r="A15258" s="1" t="s">
        <v>25954</v>
      </c>
      <c r="B15258" s="2" t="s">
        <v>25903</v>
      </c>
      <c r="C15258" s="1" t="s">
        <v>5621</v>
      </c>
      <c r="D15258" s="1" t="s">
        <v>5622</v>
      </c>
    </row>
    <row r="15259">
      <c r="A15259" s="1" t="s">
        <v>25955</v>
      </c>
      <c r="B15259" s="2" t="s">
        <v>25905</v>
      </c>
      <c r="C15259" s="1" t="s">
        <v>5621</v>
      </c>
      <c r="D15259" s="1" t="s">
        <v>5622</v>
      </c>
    </row>
    <row r="15260">
      <c r="A15260" s="1" t="s">
        <v>25956</v>
      </c>
      <c r="B15260" s="2" t="s">
        <v>25907</v>
      </c>
      <c r="C15260" s="1" t="s">
        <v>5621</v>
      </c>
      <c r="D15260" s="1" t="s">
        <v>5622</v>
      </c>
    </row>
    <row r="15261">
      <c r="A15261" s="1" t="s">
        <v>25957</v>
      </c>
      <c r="B15261" s="2" t="s">
        <v>25909</v>
      </c>
      <c r="C15261" s="1" t="s">
        <v>5621</v>
      </c>
      <c r="D15261" s="1" t="s">
        <v>5622</v>
      </c>
    </row>
    <row r="15262">
      <c r="A15262" s="1" t="s">
        <v>25958</v>
      </c>
      <c r="B15262" s="2" t="s">
        <v>25911</v>
      </c>
      <c r="C15262" s="1" t="s">
        <v>5621</v>
      </c>
      <c r="D15262" s="1" t="s">
        <v>5622</v>
      </c>
    </row>
    <row r="15263">
      <c r="A15263" s="1" t="s">
        <v>25959</v>
      </c>
      <c r="B15263" s="2" t="s">
        <v>25913</v>
      </c>
      <c r="C15263" s="1" t="s">
        <v>5621</v>
      </c>
      <c r="D15263" s="1" t="s">
        <v>5622</v>
      </c>
    </row>
    <row r="15264">
      <c r="A15264" s="1" t="s">
        <v>25960</v>
      </c>
      <c r="B15264" s="2" t="s">
        <v>25915</v>
      </c>
      <c r="C15264" s="1" t="s">
        <v>5621</v>
      </c>
      <c r="D15264" s="1" t="s">
        <v>5622</v>
      </c>
    </row>
    <row r="15265">
      <c r="A15265" s="1" t="s">
        <v>5626</v>
      </c>
      <c r="B15265" s="2" t="s">
        <v>7</v>
      </c>
      <c r="C15265" s="1" t="s">
        <v>5628</v>
      </c>
      <c r="D15265" s="1" t="s">
        <v>5629</v>
      </c>
    </row>
    <row r="15266">
      <c r="A15266" s="1" t="s">
        <v>25961</v>
      </c>
      <c r="B15266" s="2" t="s">
        <v>25962</v>
      </c>
      <c r="C15266" s="1" t="s">
        <v>5628</v>
      </c>
      <c r="D15266" s="1" t="s">
        <v>5629</v>
      </c>
    </row>
    <row r="15267">
      <c r="A15267" s="1" t="s">
        <v>25963</v>
      </c>
      <c r="B15267" s="2" t="s">
        <v>25964</v>
      </c>
      <c r="C15267" s="1" t="s">
        <v>5628</v>
      </c>
      <c r="D15267" s="1" t="s">
        <v>5629</v>
      </c>
    </row>
    <row r="15268">
      <c r="A15268" s="1" t="s">
        <v>25965</v>
      </c>
      <c r="B15268" s="2" t="s">
        <v>25966</v>
      </c>
      <c r="C15268" s="1" t="s">
        <v>5628</v>
      </c>
      <c r="D15268" s="1" t="s">
        <v>5629</v>
      </c>
    </row>
    <row r="15269">
      <c r="A15269" s="1" t="s">
        <v>25967</v>
      </c>
      <c r="B15269" s="2" t="s">
        <v>25968</v>
      </c>
      <c r="C15269" s="1" t="s">
        <v>5628</v>
      </c>
      <c r="D15269" s="1" t="s">
        <v>5629</v>
      </c>
    </row>
    <row r="15270">
      <c r="A15270" s="1" t="s">
        <v>25969</v>
      </c>
      <c r="B15270" s="2" t="s">
        <v>25970</v>
      </c>
      <c r="C15270" s="1" t="s">
        <v>5628</v>
      </c>
      <c r="D15270" s="1" t="s">
        <v>5629</v>
      </c>
    </row>
    <row r="15271">
      <c r="A15271" s="1" t="s">
        <v>25971</v>
      </c>
      <c r="B15271" s="2" t="s">
        <v>25972</v>
      </c>
      <c r="C15271" s="1" t="s">
        <v>5628</v>
      </c>
      <c r="D15271" s="1" t="s">
        <v>5629</v>
      </c>
    </row>
    <row r="15272">
      <c r="A15272" s="1" t="s">
        <v>25973</v>
      </c>
      <c r="B15272" s="2" t="s">
        <v>25974</v>
      </c>
      <c r="C15272" s="1" t="s">
        <v>5628</v>
      </c>
      <c r="D15272" s="1" t="s">
        <v>5629</v>
      </c>
    </row>
    <row r="15273">
      <c r="A15273" s="1" t="s">
        <v>25975</v>
      </c>
      <c r="B15273" s="2" t="s">
        <v>25976</v>
      </c>
      <c r="C15273" s="1" t="s">
        <v>5628</v>
      </c>
      <c r="D15273" s="1" t="s">
        <v>5629</v>
      </c>
    </row>
    <row r="15274">
      <c r="A15274" s="1" t="s">
        <v>25977</v>
      </c>
      <c r="B15274" s="2" t="s">
        <v>25978</v>
      </c>
      <c r="C15274" s="1" t="s">
        <v>5628</v>
      </c>
      <c r="D15274" s="1" t="s">
        <v>5629</v>
      </c>
    </row>
    <row r="15275">
      <c r="A15275" s="1" t="s">
        <v>25979</v>
      </c>
      <c r="B15275" s="2" t="s">
        <v>25980</v>
      </c>
      <c r="C15275" s="1" t="s">
        <v>5628</v>
      </c>
      <c r="D15275" s="1" t="s">
        <v>5629</v>
      </c>
    </row>
    <row r="15276">
      <c r="A15276" s="1" t="s">
        <v>25981</v>
      </c>
      <c r="B15276" s="2" t="s">
        <v>25982</v>
      </c>
      <c r="C15276" s="1" t="s">
        <v>5628</v>
      </c>
      <c r="D15276" s="1" t="s">
        <v>5629</v>
      </c>
    </row>
    <row r="15277">
      <c r="A15277" s="1" t="s">
        <v>25983</v>
      </c>
      <c r="B15277" s="2" t="s">
        <v>25984</v>
      </c>
      <c r="C15277" s="1" t="s">
        <v>5628</v>
      </c>
      <c r="D15277" s="1" t="s">
        <v>5629</v>
      </c>
    </row>
    <row r="15278">
      <c r="A15278" s="1" t="s">
        <v>25985</v>
      </c>
      <c r="B15278" s="2" t="s">
        <v>25986</v>
      </c>
      <c r="C15278" s="1" t="s">
        <v>5628</v>
      </c>
      <c r="D15278" s="1" t="s">
        <v>5629</v>
      </c>
    </row>
    <row r="15279">
      <c r="A15279" s="1" t="s">
        <v>25987</v>
      </c>
      <c r="B15279" s="2" t="s">
        <v>25988</v>
      </c>
      <c r="C15279" s="1" t="s">
        <v>5628</v>
      </c>
      <c r="D15279" s="1" t="s">
        <v>5629</v>
      </c>
    </row>
    <row r="15280">
      <c r="A15280" s="1" t="s">
        <v>25989</v>
      </c>
      <c r="B15280" s="2" t="s">
        <v>25990</v>
      </c>
      <c r="C15280" s="1" t="s">
        <v>5628</v>
      </c>
      <c r="D15280" s="1" t="s">
        <v>5629</v>
      </c>
    </row>
    <row r="15281">
      <c r="A15281" s="1" t="s">
        <v>25991</v>
      </c>
      <c r="B15281" s="2" t="s">
        <v>25992</v>
      </c>
      <c r="C15281" s="1" t="s">
        <v>5628</v>
      </c>
      <c r="D15281" s="1" t="s">
        <v>5629</v>
      </c>
    </row>
    <row r="15282">
      <c r="A15282" s="1" t="s">
        <v>25993</v>
      </c>
      <c r="B15282" s="2" t="s">
        <v>25994</v>
      </c>
      <c r="C15282" s="1" t="s">
        <v>5628</v>
      </c>
      <c r="D15282" s="1" t="s">
        <v>5629</v>
      </c>
    </row>
    <row r="15283">
      <c r="A15283" s="1" t="s">
        <v>25995</v>
      </c>
      <c r="B15283" s="2" t="s">
        <v>25996</v>
      </c>
      <c r="C15283" s="1" t="s">
        <v>5628</v>
      </c>
      <c r="D15283" s="1" t="s">
        <v>5629</v>
      </c>
    </row>
    <row r="15284">
      <c r="A15284" s="1" t="s">
        <v>25997</v>
      </c>
      <c r="B15284" s="2" t="s">
        <v>25998</v>
      </c>
      <c r="C15284" s="1" t="s">
        <v>5628</v>
      </c>
      <c r="D15284" s="1" t="s">
        <v>5629</v>
      </c>
    </row>
    <row r="15285">
      <c r="A15285" s="1" t="s">
        <v>25999</v>
      </c>
      <c r="B15285" s="2" t="s">
        <v>26000</v>
      </c>
      <c r="C15285" s="1" t="s">
        <v>5628</v>
      </c>
      <c r="D15285" s="1" t="s">
        <v>5629</v>
      </c>
    </row>
    <row r="15286">
      <c r="A15286" s="1" t="s">
        <v>26001</v>
      </c>
      <c r="B15286" s="2" t="s">
        <v>26002</v>
      </c>
      <c r="C15286" s="1" t="s">
        <v>5628</v>
      </c>
      <c r="D15286" s="1" t="s">
        <v>5629</v>
      </c>
    </row>
    <row r="15287">
      <c r="A15287" s="1" t="s">
        <v>26003</v>
      </c>
      <c r="B15287" s="2" t="s">
        <v>26004</v>
      </c>
      <c r="C15287" s="1" t="s">
        <v>5628</v>
      </c>
      <c r="D15287" s="1" t="s">
        <v>5629</v>
      </c>
    </row>
    <row r="15288">
      <c r="A15288" s="1" t="s">
        <v>26005</v>
      </c>
      <c r="B15288" s="2" t="s">
        <v>26006</v>
      </c>
      <c r="C15288" s="1" t="s">
        <v>5628</v>
      </c>
      <c r="D15288" s="1" t="s">
        <v>5629</v>
      </c>
    </row>
    <row r="15289">
      <c r="A15289" s="1" t="s">
        <v>26007</v>
      </c>
      <c r="B15289" s="2" t="s">
        <v>26008</v>
      </c>
      <c r="C15289" s="1" t="s">
        <v>5628</v>
      </c>
      <c r="D15289" s="1" t="s">
        <v>5629</v>
      </c>
    </row>
    <row r="15290">
      <c r="A15290" s="1" t="s">
        <v>26009</v>
      </c>
      <c r="B15290" s="2" t="s">
        <v>26010</v>
      </c>
      <c r="C15290" s="1" t="s">
        <v>5628</v>
      </c>
      <c r="D15290" s="1" t="s">
        <v>5629</v>
      </c>
    </row>
    <row r="15291">
      <c r="A15291" s="1" t="s">
        <v>26011</v>
      </c>
      <c r="B15291" s="2" t="s">
        <v>26012</v>
      </c>
      <c r="C15291" s="1" t="s">
        <v>5628</v>
      </c>
      <c r="D15291" s="1" t="s">
        <v>5629</v>
      </c>
    </row>
    <row r="15292">
      <c r="A15292" s="1" t="s">
        <v>26013</v>
      </c>
      <c r="B15292" s="2" t="s">
        <v>26014</v>
      </c>
      <c r="C15292" s="1" t="s">
        <v>5628</v>
      </c>
      <c r="D15292" s="1" t="s">
        <v>5629</v>
      </c>
    </row>
    <row r="15293">
      <c r="A15293" s="1" t="s">
        <v>26015</v>
      </c>
      <c r="B15293" s="2" t="s">
        <v>26016</v>
      </c>
      <c r="C15293" s="1" t="s">
        <v>5628</v>
      </c>
      <c r="D15293" s="1" t="s">
        <v>5629</v>
      </c>
    </row>
    <row r="15294">
      <c r="A15294" s="1" t="s">
        <v>26017</v>
      </c>
      <c r="B15294" s="2" t="s">
        <v>26018</v>
      </c>
      <c r="C15294" s="1" t="s">
        <v>5628</v>
      </c>
      <c r="D15294" s="1" t="s">
        <v>5629</v>
      </c>
    </row>
    <row r="15295">
      <c r="A15295" s="1" t="s">
        <v>26019</v>
      </c>
      <c r="B15295" s="2" t="s">
        <v>26020</v>
      </c>
      <c r="C15295" s="1" t="s">
        <v>5628</v>
      </c>
      <c r="D15295" s="1" t="s">
        <v>5629</v>
      </c>
    </row>
    <row r="15296">
      <c r="A15296" s="1" t="s">
        <v>26021</v>
      </c>
      <c r="B15296" s="2" t="s">
        <v>26022</v>
      </c>
      <c r="C15296" s="1" t="s">
        <v>5628</v>
      </c>
      <c r="D15296" s="1" t="s">
        <v>5629</v>
      </c>
    </row>
    <row r="15297">
      <c r="A15297" s="1" t="s">
        <v>26023</v>
      </c>
      <c r="B15297" s="2" t="s">
        <v>26024</v>
      </c>
      <c r="C15297" s="1" t="s">
        <v>5628</v>
      </c>
      <c r="D15297" s="1" t="s">
        <v>5629</v>
      </c>
    </row>
    <row r="15298">
      <c r="A15298" s="1" t="s">
        <v>26025</v>
      </c>
      <c r="B15298" s="2" t="s">
        <v>26026</v>
      </c>
      <c r="C15298" s="1" t="s">
        <v>5628</v>
      </c>
      <c r="D15298" s="1" t="s">
        <v>5629</v>
      </c>
    </row>
    <row r="15299">
      <c r="A15299" s="1" t="s">
        <v>26027</v>
      </c>
      <c r="B15299" s="2" t="s">
        <v>26028</v>
      </c>
      <c r="C15299" s="1" t="s">
        <v>5628</v>
      </c>
      <c r="D15299" s="1" t="s">
        <v>5629</v>
      </c>
    </row>
    <row r="15300">
      <c r="A15300" s="1" t="s">
        <v>26029</v>
      </c>
      <c r="B15300" s="2" t="s">
        <v>26030</v>
      </c>
      <c r="C15300" s="1" t="s">
        <v>5628</v>
      </c>
      <c r="D15300" s="1" t="s">
        <v>5629</v>
      </c>
    </row>
    <row r="15301">
      <c r="A15301" s="1" t="s">
        <v>26031</v>
      </c>
      <c r="B15301" s="2" t="s">
        <v>26032</v>
      </c>
      <c r="C15301" s="1" t="s">
        <v>5628</v>
      </c>
      <c r="D15301" s="1" t="s">
        <v>5629</v>
      </c>
    </row>
    <row r="15302">
      <c r="A15302" s="1" t="s">
        <v>26033</v>
      </c>
      <c r="B15302" s="2" t="s">
        <v>26034</v>
      </c>
      <c r="C15302" s="1" t="s">
        <v>5628</v>
      </c>
      <c r="D15302" s="1" t="s">
        <v>5629</v>
      </c>
    </row>
    <row r="15303">
      <c r="A15303" s="1" t="s">
        <v>26035</v>
      </c>
      <c r="B15303" s="2" t="s">
        <v>26036</v>
      </c>
      <c r="C15303" s="1" t="s">
        <v>5628</v>
      </c>
      <c r="D15303" s="1" t="s">
        <v>5629</v>
      </c>
    </row>
    <row r="15304">
      <c r="A15304" s="1" t="s">
        <v>26037</v>
      </c>
      <c r="B15304" s="2" t="s">
        <v>26038</v>
      </c>
      <c r="C15304" s="1" t="s">
        <v>5628</v>
      </c>
      <c r="D15304" s="1" t="s">
        <v>5629</v>
      </c>
    </row>
    <row r="15305">
      <c r="A15305" s="1" t="s">
        <v>26039</v>
      </c>
      <c r="B15305" s="2" t="s">
        <v>26040</v>
      </c>
      <c r="C15305" s="1" t="s">
        <v>5628</v>
      </c>
      <c r="D15305" s="1" t="s">
        <v>5629</v>
      </c>
    </row>
    <row r="15306">
      <c r="A15306" s="1" t="s">
        <v>26041</v>
      </c>
      <c r="B15306" s="2" t="s">
        <v>26042</v>
      </c>
      <c r="C15306" s="1" t="s">
        <v>5628</v>
      </c>
      <c r="D15306" s="1" t="s">
        <v>5629</v>
      </c>
    </row>
    <row r="15307">
      <c r="A15307" s="1" t="s">
        <v>26043</v>
      </c>
      <c r="B15307" s="2" t="s">
        <v>26044</v>
      </c>
      <c r="C15307" s="1" t="s">
        <v>5628</v>
      </c>
      <c r="D15307" s="1" t="s">
        <v>5629</v>
      </c>
    </row>
    <row r="15308">
      <c r="A15308" s="1" t="s">
        <v>26045</v>
      </c>
      <c r="B15308" s="2" t="s">
        <v>26046</v>
      </c>
      <c r="C15308" s="1" t="s">
        <v>5628</v>
      </c>
      <c r="D15308" s="1" t="s">
        <v>5629</v>
      </c>
    </row>
    <row r="15309">
      <c r="A15309" s="1" t="s">
        <v>26047</v>
      </c>
      <c r="B15309" s="2" t="s">
        <v>26048</v>
      </c>
      <c r="C15309" s="1" t="s">
        <v>5628</v>
      </c>
      <c r="D15309" s="1" t="s">
        <v>5629</v>
      </c>
    </row>
    <row r="15310">
      <c r="A15310" s="1" t="s">
        <v>26049</v>
      </c>
      <c r="B15310" s="2" t="s">
        <v>26050</v>
      </c>
      <c r="C15310" s="1" t="s">
        <v>5628</v>
      </c>
      <c r="D15310" s="1" t="s">
        <v>5629</v>
      </c>
    </row>
    <row r="15311">
      <c r="A15311" s="1" t="s">
        <v>26051</v>
      </c>
      <c r="B15311" s="2" t="s">
        <v>26052</v>
      </c>
      <c r="C15311" s="1" t="s">
        <v>5628</v>
      </c>
      <c r="D15311" s="1" t="s">
        <v>5629</v>
      </c>
    </row>
    <row r="15312">
      <c r="A15312" s="1" t="s">
        <v>26053</v>
      </c>
      <c r="B15312" s="2" t="s">
        <v>26054</v>
      </c>
      <c r="C15312" s="1" t="s">
        <v>5628</v>
      </c>
      <c r="D15312" s="1" t="s">
        <v>5629</v>
      </c>
    </row>
    <row r="15313">
      <c r="A15313" s="1" t="s">
        <v>26055</v>
      </c>
      <c r="B15313" s="2" t="s">
        <v>26056</v>
      </c>
      <c r="C15313" s="1" t="s">
        <v>5628</v>
      </c>
      <c r="D15313" s="1" t="s">
        <v>5629</v>
      </c>
    </row>
    <row r="15314">
      <c r="A15314" s="1" t="s">
        <v>26057</v>
      </c>
      <c r="B15314" s="2" t="s">
        <v>26058</v>
      </c>
      <c r="C15314" s="1" t="s">
        <v>5628</v>
      </c>
      <c r="D15314" s="1" t="s">
        <v>5629</v>
      </c>
    </row>
    <row r="15315">
      <c r="A15315" s="1" t="s">
        <v>26059</v>
      </c>
      <c r="B15315" s="2" t="s">
        <v>26060</v>
      </c>
      <c r="C15315" s="1" t="s">
        <v>5628</v>
      </c>
      <c r="D15315" s="1" t="s">
        <v>5629</v>
      </c>
    </row>
    <row r="15316">
      <c r="A15316" s="1" t="s">
        <v>26061</v>
      </c>
      <c r="B15316" s="2" t="s">
        <v>26062</v>
      </c>
      <c r="C15316" s="1" t="s">
        <v>5628</v>
      </c>
      <c r="D15316" s="1" t="s">
        <v>5629</v>
      </c>
    </row>
    <row r="15317">
      <c r="A15317" s="1" t="s">
        <v>26063</v>
      </c>
      <c r="B15317" s="2" t="s">
        <v>26064</v>
      </c>
      <c r="C15317" s="1" t="s">
        <v>5628</v>
      </c>
      <c r="D15317" s="1" t="s">
        <v>5629</v>
      </c>
    </row>
    <row r="15318">
      <c r="A15318" s="1" t="s">
        <v>26065</v>
      </c>
      <c r="B15318" s="2" t="s">
        <v>26066</v>
      </c>
      <c r="C15318" s="1" t="s">
        <v>5628</v>
      </c>
      <c r="D15318" s="1" t="s">
        <v>5629</v>
      </c>
    </row>
    <row r="15319">
      <c r="A15319" s="1" t="s">
        <v>26067</v>
      </c>
      <c r="B15319" s="2" t="s">
        <v>26068</v>
      </c>
      <c r="C15319" s="1" t="s">
        <v>5628</v>
      </c>
      <c r="D15319" s="1" t="s">
        <v>5629</v>
      </c>
    </row>
    <row r="15320">
      <c r="A15320" s="1" t="s">
        <v>26069</v>
      </c>
      <c r="B15320" s="2" t="s">
        <v>26070</v>
      </c>
      <c r="C15320" s="1" t="s">
        <v>5628</v>
      </c>
      <c r="D15320" s="1" t="s">
        <v>5629</v>
      </c>
    </row>
    <row r="15321">
      <c r="A15321" s="1" t="s">
        <v>26071</v>
      </c>
      <c r="B15321" s="2" t="s">
        <v>26072</v>
      </c>
      <c r="C15321" s="1" t="s">
        <v>5628</v>
      </c>
      <c r="D15321" s="1" t="s">
        <v>5629</v>
      </c>
    </row>
    <row r="15322">
      <c r="A15322" s="1" t="s">
        <v>26073</v>
      </c>
      <c r="B15322" s="2" t="s">
        <v>26074</v>
      </c>
      <c r="C15322" s="1" t="s">
        <v>5628</v>
      </c>
      <c r="D15322" s="1" t="s">
        <v>5629</v>
      </c>
    </row>
    <row r="15323">
      <c r="A15323" s="1" t="s">
        <v>26075</v>
      </c>
      <c r="B15323" s="2" t="s">
        <v>26076</v>
      </c>
      <c r="C15323" s="1" t="s">
        <v>5628</v>
      </c>
      <c r="D15323" s="1" t="s">
        <v>5629</v>
      </c>
    </row>
    <row r="15324">
      <c r="A15324" s="1" t="s">
        <v>26077</v>
      </c>
      <c r="B15324" s="2" t="s">
        <v>26078</v>
      </c>
      <c r="C15324" s="1" t="s">
        <v>5628</v>
      </c>
      <c r="D15324" s="1" t="s">
        <v>5629</v>
      </c>
    </row>
    <row r="15325">
      <c r="A15325" s="1" t="s">
        <v>26079</v>
      </c>
      <c r="B15325" s="2" t="s">
        <v>26080</v>
      </c>
      <c r="C15325" s="1" t="s">
        <v>5628</v>
      </c>
      <c r="D15325" s="1" t="s">
        <v>5629</v>
      </c>
    </row>
    <row r="15326">
      <c r="A15326" s="1" t="s">
        <v>26081</v>
      </c>
      <c r="B15326" s="2" t="s">
        <v>26082</v>
      </c>
      <c r="C15326" s="1" t="s">
        <v>5628</v>
      </c>
      <c r="D15326" s="1" t="s">
        <v>5629</v>
      </c>
    </row>
    <row r="15327">
      <c r="A15327" s="1" t="s">
        <v>26083</v>
      </c>
      <c r="B15327" s="2" t="s">
        <v>26084</v>
      </c>
      <c r="C15327" s="1" t="s">
        <v>5628</v>
      </c>
      <c r="D15327" s="1" t="s">
        <v>5629</v>
      </c>
    </row>
    <row r="15328">
      <c r="A15328" s="1" t="s">
        <v>26085</v>
      </c>
      <c r="B15328" s="2" t="s">
        <v>26086</v>
      </c>
      <c r="C15328" s="1" t="s">
        <v>5628</v>
      </c>
      <c r="D15328" s="1" t="s">
        <v>5629</v>
      </c>
    </row>
    <row r="15329">
      <c r="A15329" s="1" t="s">
        <v>26087</v>
      </c>
      <c r="B15329" s="2" t="s">
        <v>26088</v>
      </c>
      <c r="C15329" s="1" t="s">
        <v>5628</v>
      </c>
      <c r="D15329" s="1" t="s">
        <v>5629</v>
      </c>
    </row>
    <row r="15330">
      <c r="A15330" s="1" t="s">
        <v>26089</v>
      </c>
      <c r="B15330" s="2" t="s">
        <v>26090</v>
      </c>
      <c r="C15330" s="1" t="s">
        <v>5628</v>
      </c>
      <c r="D15330" s="1" t="s">
        <v>5629</v>
      </c>
    </row>
    <row r="15331">
      <c r="A15331" s="1" t="s">
        <v>26091</v>
      </c>
      <c r="B15331" s="2" t="s">
        <v>26092</v>
      </c>
      <c r="C15331" s="1" t="s">
        <v>5628</v>
      </c>
      <c r="D15331" s="1" t="s">
        <v>5629</v>
      </c>
    </row>
    <row r="15332">
      <c r="A15332" s="1" t="s">
        <v>26093</v>
      </c>
      <c r="B15332" s="2" t="s">
        <v>26094</v>
      </c>
      <c r="C15332" s="1" t="s">
        <v>5628</v>
      </c>
      <c r="D15332" s="1" t="s">
        <v>5629</v>
      </c>
    </row>
    <row r="15333">
      <c r="A15333" s="1" t="s">
        <v>26095</v>
      </c>
      <c r="B15333" s="2" t="s">
        <v>26096</v>
      </c>
      <c r="C15333" s="1" t="s">
        <v>5628</v>
      </c>
      <c r="D15333" s="1" t="s">
        <v>5629</v>
      </c>
    </row>
    <row r="15334">
      <c r="A15334" s="1" t="s">
        <v>26097</v>
      </c>
      <c r="B15334" s="2" t="s">
        <v>26098</v>
      </c>
      <c r="C15334" s="1" t="s">
        <v>5628</v>
      </c>
      <c r="D15334" s="1" t="s">
        <v>5629</v>
      </c>
    </row>
    <row r="15335">
      <c r="A15335" s="1" t="s">
        <v>26099</v>
      </c>
      <c r="B15335" s="2" t="s">
        <v>26100</v>
      </c>
      <c r="C15335" s="1" t="s">
        <v>5628</v>
      </c>
      <c r="D15335" s="1" t="s">
        <v>5629</v>
      </c>
    </row>
    <row r="15336">
      <c r="A15336" s="1" t="s">
        <v>26101</v>
      </c>
      <c r="B15336" s="2" t="s">
        <v>26102</v>
      </c>
      <c r="C15336" s="1" t="s">
        <v>5628</v>
      </c>
      <c r="D15336" s="1" t="s">
        <v>5629</v>
      </c>
    </row>
    <row r="15337">
      <c r="A15337" s="1" t="s">
        <v>26103</v>
      </c>
      <c r="B15337" s="2" t="s">
        <v>26104</v>
      </c>
      <c r="C15337" s="1" t="s">
        <v>5628</v>
      </c>
      <c r="D15337" s="1" t="s">
        <v>5629</v>
      </c>
    </row>
    <row r="15338">
      <c r="A15338" s="1" t="s">
        <v>26105</v>
      </c>
      <c r="B15338" s="2" t="s">
        <v>26106</v>
      </c>
      <c r="C15338" s="1" t="s">
        <v>5628</v>
      </c>
      <c r="D15338" s="1" t="s">
        <v>5629</v>
      </c>
    </row>
    <row r="15339">
      <c r="A15339" s="1" t="s">
        <v>26107</v>
      </c>
      <c r="B15339" s="2" t="s">
        <v>26108</v>
      </c>
      <c r="C15339" s="1" t="s">
        <v>5628</v>
      </c>
      <c r="D15339" s="1" t="s">
        <v>5629</v>
      </c>
    </row>
    <row r="15340">
      <c r="A15340" s="1" t="s">
        <v>26109</v>
      </c>
      <c r="B15340" s="2" t="s">
        <v>26110</v>
      </c>
      <c r="C15340" s="1" t="s">
        <v>5628</v>
      </c>
      <c r="D15340" s="1" t="s">
        <v>5629</v>
      </c>
    </row>
    <row r="15341">
      <c r="A15341" s="1" t="s">
        <v>26111</v>
      </c>
      <c r="B15341" s="2" t="s">
        <v>26112</v>
      </c>
      <c r="C15341" s="1" t="s">
        <v>5628</v>
      </c>
      <c r="D15341" s="1" t="s">
        <v>5629</v>
      </c>
    </row>
    <row r="15342">
      <c r="A15342" s="1" t="s">
        <v>26113</v>
      </c>
      <c r="B15342" s="2" t="s">
        <v>26114</v>
      </c>
      <c r="C15342" s="1" t="s">
        <v>5628</v>
      </c>
      <c r="D15342" s="1" t="s">
        <v>5629</v>
      </c>
    </row>
    <row r="15343">
      <c r="A15343" s="1" t="s">
        <v>26115</v>
      </c>
      <c r="B15343" s="2" t="s">
        <v>26116</v>
      </c>
      <c r="C15343" s="1" t="s">
        <v>5628</v>
      </c>
      <c r="D15343" s="1" t="s">
        <v>5629</v>
      </c>
    </row>
    <row r="15344">
      <c r="A15344" s="1" t="s">
        <v>26117</v>
      </c>
      <c r="B15344" s="2" t="s">
        <v>26118</v>
      </c>
      <c r="C15344" s="1" t="s">
        <v>5628</v>
      </c>
      <c r="D15344" s="1" t="s">
        <v>5629</v>
      </c>
    </row>
    <row r="15345">
      <c r="A15345" s="1" t="s">
        <v>26119</v>
      </c>
      <c r="B15345" s="2" t="s">
        <v>26120</v>
      </c>
      <c r="C15345" s="1" t="s">
        <v>5628</v>
      </c>
      <c r="D15345" s="1" t="s">
        <v>5629</v>
      </c>
    </row>
    <row r="15346">
      <c r="A15346" s="1" t="s">
        <v>26121</v>
      </c>
      <c r="B15346" s="2" t="s">
        <v>26122</v>
      </c>
      <c r="C15346" s="1" t="s">
        <v>5628</v>
      </c>
      <c r="D15346" s="1" t="s">
        <v>5629</v>
      </c>
    </row>
    <row r="15347">
      <c r="A15347" s="1" t="s">
        <v>26123</v>
      </c>
      <c r="B15347" s="2" t="s">
        <v>26124</v>
      </c>
      <c r="C15347" s="1" t="s">
        <v>5628</v>
      </c>
      <c r="D15347" s="1" t="s">
        <v>5629</v>
      </c>
    </row>
    <row r="15348">
      <c r="A15348" s="1" t="s">
        <v>26125</v>
      </c>
      <c r="B15348" s="2" t="s">
        <v>26126</v>
      </c>
      <c r="C15348" s="1" t="s">
        <v>5628</v>
      </c>
      <c r="D15348" s="1" t="s">
        <v>5629</v>
      </c>
    </row>
    <row r="15349">
      <c r="A15349" s="1" t="s">
        <v>26127</v>
      </c>
      <c r="B15349" s="2" t="s">
        <v>26128</v>
      </c>
      <c r="C15349" s="1" t="s">
        <v>5628</v>
      </c>
      <c r="D15349" s="1" t="s">
        <v>5629</v>
      </c>
    </row>
    <row r="15350">
      <c r="A15350" s="1" t="s">
        <v>26129</v>
      </c>
      <c r="B15350" s="2" t="s">
        <v>26130</v>
      </c>
      <c r="C15350" s="1" t="s">
        <v>5628</v>
      </c>
      <c r="D15350" s="1" t="s">
        <v>5629</v>
      </c>
    </row>
    <row r="15351">
      <c r="A15351" s="1" t="s">
        <v>26131</v>
      </c>
      <c r="B15351" s="2" t="s">
        <v>26132</v>
      </c>
      <c r="C15351" s="1" t="s">
        <v>5628</v>
      </c>
      <c r="D15351" s="1" t="s">
        <v>5629</v>
      </c>
    </row>
    <row r="15352">
      <c r="A15352" s="1" t="s">
        <v>26133</v>
      </c>
      <c r="B15352" s="2" t="s">
        <v>26134</v>
      </c>
      <c r="C15352" s="1" t="s">
        <v>5628</v>
      </c>
      <c r="D15352" s="1" t="s">
        <v>5629</v>
      </c>
    </row>
    <row r="15353">
      <c r="A15353" s="1" t="s">
        <v>26135</v>
      </c>
      <c r="B15353" s="2" t="s">
        <v>26136</v>
      </c>
      <c r="C15353" s="1" t="s">
        <v>5628</v>
      </c>
      <c r="D15353" s="1" t="s">
        <v>5629</v>
      </c>
    </row>
    <row r="15354">
      <c r="A15354" s="1" t="s">
        <v>26137</v>
      </c>
      <c r="B15354" s="2" t="s">
        <v>26138</v>
      </c>
      <c r="C15354" s="1" t="s">
        <v>5628</v>
      </c>
      <c r="D15354" s="1" t="s">
        <v>5629</v>
      </c>
    </row>
    <row r="15355">
      <c r="A15355" s="1" t="s">
        <v>26139</v>
      </c>
      <c r="B15355" s="2" t="s">
        <v>26140</v>
      </c>
      <c r="C15355" s="1" t="s">
        <v>5628</v>
      </c>
      <c r="D15355" s="1" t="s">
        <v>5629</v>
      </c>
    </row>
    <row r="15356">
      <c r="A15356" s="1" t="s">
        <v>26141</v>
      </c>
      <c r="B15356" s="2" t="s">
        <v>26142</v>
      </c>
      <c r="C15356" s="1" t="s">
        <v>5628</v>
      </c>
      <c r="D15356" s="1" t="s">
        <v>5629</v>
      </c>
    </row>
    <row r="15357">
      <c r="A15357" s="1" t="s">
        <v>26143</v>
      </c>
      <c r="B15357" s="2" t="s">
        <v>26144</v>
      </c>
      <c r="C15357" s="1" t="s">
        <v>5628</v>
      </c>
      <c r="D15357" s="1" t="s">
        <v>5629</v>
      </c>
    </row>
    <row r="15358">
      <c r="A15358" s="1" t="s">
        <v>26145</v>
      </c>
      <c r="B15358" s="2" t="s">
        <v>26146</v>
      </c>
      <c r="C15358" s="1" t="s">
        <v>5628</v>
      </c>
      <c r="D15358" s="1" t="s">
        <v>5629</v>
      </c>
    </row>
    <row r="15359">
      <c r="A15359" s="1" t="s">
        <v>26147</v>
      </c>
      <c r="B15359" s="2" t="s">
        <v>26148</v>
      </c>
      <c r="C15359" s="1" t="s">
        <v>5628</v>
      </c>
      <c r="D15359" s="1" t="s">
        <v>5629</v>
      </c>
    </row>
    <row r="15360">
      <c r="A15360" s="1" t="s">
        <v>26149</v>
      </c>
      <c r="B15360" s="2" t="s">
        <v>26150</v>
      </c>
      <c r="C15360" s="1" t="s">
        <v>5628</v>
      </c>
      <c r="D15360" s="1" t="s">
        <v>5629</v>
      </c>
    </row>
    <row r="15361">
      <c r="A15361" s="1" t="s">
        <v>26151</v>
      </c>
      <c r="B15361" s="2" t="s">
        <v>26152</v>
      </c>
      <c r="C15361" s="1" t="s">
        <v>5628</v>
      </c>
      <c r="D15361" s="1" t="s">
        <v>5629</v>
      </c>
    </row>
    <row r="15362">
      <c r="A15362" s="1" t="s">
        <v>26153</v>
      </c>
      <c r="B15362" s="2" t="s">
        <v>26154</v>
      </c>
      <c r="C15362" s="1" t="s">
        <v>5628</v>
      </c>
      <c r="D15362" s="1" t="s">
        <v>5629</v>
      </c>
    </row>
    <row r="15363">
      <c r="A15363" s="1" t="s">
        <v>26155</v>
      </c>
      <c r="B15363" s="2" t="s">
        <v>26156</v>
      </c>
      <c r="C15363" s="1" t="s">
        <v>5628</v>
      </c>
      <c r="D15363" s="1" t="s">
        <v>5629</v>
      </c>
    </row>
    <row r="15364">
      <c r="A15364" s="1" t="s">
        <v>26157</v>
      </c>
      <c r="B15364" s="2" t="s">
        <v>26158</v>
      </c>
      <c r="C15364" s="1" t="s">
        <v>5628</v>
      </c>
      <c r="D15364" s="1" t="s">
        <v>5629</v>
      </c>
    </row>
    <row r="15365">
      <c r="A15365" s="1" t="s">
        <v>26159</v>
      </c>
      <c r="B15365" s="2" t="s">
        <v>26160</v>
      </c>
      <c r="C15365" s="1" t="s">
        <v>5628</v>
      </c>
      <c r="D15365" s="1" t="s">
        <v>5629</v>
      </c>
    </row>
    <row r="15366">
      <c r="A15366" s="1" t="s">
        <v>26161</v>
      </c>
      <c r="B15366" s="2" t="s">
        <v>26162</v>
      </c>
      <c r="C15366" s="1" t="s">
        <v>5628</v>
      </c>
      <c r="D15366" s="1" t="s">
        <v>5629</v>
      </c>
    </row>
    <row r="15367">
      <c r="A15367" s="1" t="s">
        <v>26163</v>
      </c>
      <c r="B15367" s="2" t="s">
        <v>26164</v>
      </c>
      <c r="C15367" s="1" t="s">
        <v>5628</v>
      </c>
      <c r="D15367" s="1" t="s">
        <v>5629</v>
      </c>
    </row>
    <row r="15368">
      <c r="A15368" s="1" t="s">
        <v>26165</v>
      </c>
      <c r="B15368" s="2" t="s">
        <v>26166</v>
      </c>
      <c r="C15368" s="1" t="s">
        <v>5628</v>
      </c>
      <c r="D15368" s="1" t="s">
        <v>5629</v>
      </c>
    </row>
    <row r="15369">
      <c r="A15369" s="1" t="s">
        <v>26167</v>
      </c>
      <c r="B15369" s="2" t="s">
        <v>26168</v>
      </c>
      <c r="C15369" s="1" t="s">
        <v>5628</v>
      </c>
      <c r="D15369" s="1" t="s">
        <v>5629</v>
      </c>
    </row>
    <row r="15370">
      <c r="A15370" s="1" t="s">
        <v>26169</v>
      </c>
      <c r="B15370" s="2" t="s">
        <v>26170</v>
      </c>
      <c r="C15370" s="1" t="s">
        <v>5628</v>
      </c>
      <c r="D15370" s="1" t="s">
        <v>5629</v>
      </c>
    </row>
    <row r="15371">
      <c r="A15371" s="1" t="s">
        <v>26171</v>
      </c>
      <c r="B15371" s="2" t="s">
        <v>26172</v>
      </c>
      <c r="C15371" s="1" t="s">
        <v>5628</v>
      </c>
      <c r="D15371" s="1" t="s">
        <v>5629</v>
      </c>
    </row>
    <row r="15372">
      <c r="A15372" s="1" t="s">
        <v>26173</v>
      </c>
      <c r="B15372" s="2" t="s">
        <v>26174</v>
      </c>
      <c r="C15372" s="1" t="s">
        <v>5628</v>
      </c>
      <c r="D15372" s="1" t="s">
        <v>5629</v>
      </c>
    </row>
    <row r="15373">
      <c r="A15373" s="1" t="s">
        <v>26175</v>
      </c>
      <c r="B15373" s="2" t="s">
        <v>26176</v>
      </c>
      <c r="C15373" s="1" t="s">
        <v>5628</v>
      </c>
      <c r="D15373" s="1" t="s">
        <v>5629</v>
      </c>
    </row>
    <row r="15374">
      <c r="A15374" s="1" t="s">
        <v>26177</v>
      </c>
      <c r="B15374" s="2" t="s">
        <v>26178</v>
      </c>
      <c r="C15374" s="1" t="s">
        <v>5628</v>
      </c>
      <c r="D15374" s="1" t="s">
        <v>5629</v>
      </c>
    </row>
    <row r="15375">
      <c r="A15375" s="1" t="s">
        <v>26179</v>
      </c>
      <c r="B15375" s="2" t="s">
        <v>26180</v>
      </c>
      <c r="C15375" s="1" t="s">
        <v>5628</v>
      </c>
      <c r="D15375" s="1" t="s">
        <v>5629</v>
      </c>
    </row>
    <row r="15376">
      <c r="A15376" s="1" t="s">
        <v>26181</v>
      </c>
      <c r="B15376" s="2" t="s">
        <v>26182</v>
      </c>
      <c r="C15376" s="1" t="s">
        <v>5628</v>
      </c>
      <c r="D15376" s="1" t="s">
        <v>5629</v>
      </c>
    </row>
    <row r="15377">
      <c r="A15377" s="1" t="s">
        <v>26183</v>
      </c>
      <c r="B15377" s="2" t="s">
        <v>26184</v>
      </c>
      <c r="C15377" s="1" t="s">
        <v>5628</v>
      </c>
      <c r="D15377" s="1" t="s">
        <v>5629</v>
      </c>
    </row>
    <row r="15378">
      <c r="A15378" s="1" t="s">
        <v>26185</v>
      </c>
      <c r="B15378" s="2" t="s">
        <v>26186</v>
      </c>
      <c r="C15378" s="1" t="s">
        <v>5628</v>
      </c>
      <c r="D15378" s="1" t="s">
        <v>5629</v>
      </c>
    </row>
    <row r="15379">
      <c r="A15379" s="1" t="s">
        <v>26187</v>
      </c>
      <c r="B15379" s="2" t="s">
        <v>26188</v>
      </c>
      <c r="C15379" s="1" t="s">
        <v>5628</v>
      </c>
      <c r="D15379" s="1" t="s">
        <v>5629</v>
      </c>
    </row>
    <row r="15380">
      <c r="A15380" s="1" t="s">
        <v>26189</v>
      </c>
      <c r="B15380" s="2" t="s">
        <v>26190</v>
      </c>
      <c r="C15380" s="1" t="s">
        <v>5628</v>
      </c>
      <c r="D15380" s="1" t="s">
        <v>5629</v>
      </c>
    </row>
    <row r="15381">
      <c r="A15381" s="1" t="s">
        <v>26191</v>
      </c>
      <c r="B15381" s="2" t="s">
        <v>26192</v>
      </c>
      <c r="C15381" s="1" t="s">
        <v>5628</v>
      </c>
      <c r="D15381" s="1" t="s">
        <v>5629</v>
      </c>
    </row>
    <row r="15382">
      <c r="A15382" s="1" t="s">
        <v>26193</v>
      </c>
      <c r="B15382" s="2" t="s">
        <v>26194</v>
      </c>
      <c r="C15382" s="1" t="s">
        <v>5628</v>
      </c>
      <c r="D15382" s="1" t="s">
        <v>5629</v>
      </c>
    </row>
    <row r="15383">
      <c r="A15383" s="1" t="s">
        <v>26195</v>
      </c>
      <c r="B15383" s="2" t="s">
        <v>26196</v>
      </c>
      <c r="C15383" s="1" t="s">
        <v>5628</v>
      </c>
      <c r="D15383" s="1" t="s">
        <v>5629</v>
      </c>
    </row>
    <row r="15384">
      <c r="A15384" s="1" t="s">
        <v>26197</v>
      </c>
      <c r="B15384" s="2" t="s">
        <v>26198</v>
      </c>
      <c r="C15384" s="1" t="s">
        <v>5628</v>
      </c>
      <c r="D15384" s="1" t="s">
        <v>5629</v>
      </c>
    </row>
    <row r="15385">
      <c r="A15385" s="1" t="s">
        <v>26199</v>
      </c>
      <c r="B15385" s="2" t="s">
        <v>26200</v>
      </c>
      <c r="C15385" s="1" t="s">
        <v>5628</v>
      </c>
      <c r="D15385" s="1" t="s">
        <v>5629</v>
      </c>
    </row>
    <row r="15386">
      <c r="A15386" s="1" t="s">
        <v>26201</v>
      </c>
      <c r="B15386" s="2" t="s">
        <v>26202</v>
      </c>
      <c r="C15386" s="1" t="s">
        <v>5628</v>
      </c>
      <c r="D15386" s="1" t="s">
        <v>5629</v>
      </c>
    </row>
    <row r="15387">
      <c r="A15387" s="1" t="s">
        <v>26203</v>
      </c>
      <c r="B15387" s="2" t="s">
        <v>26204</v>
      </c>
      <c r="C15387" s="1" t="s">
        <v>5628</v>
      </c>
      <c r="D15387" s="1" t="s">
        <v>5629</v>
      </c>
    </row>
    <row r="15388">
      <c r="A15388" s="1" t="s">
        <v>26205</v>
      </c>
      <c r="B15388" s="2" t="s">
        <v>26206</v>
      </c>
      <c r="C15388" s="1" t="s">
        <v>5628</v>
      </c>
      <c r="D15388" s="1" t="s">
        <v>5629</v>
      </c>
    </row>
    <row r="15389">
      <c r="A15389" s="1" t="s">
        <v>26207</v>
      </c>
      <c r="B15389" s="2" t="s">
        <v>26208</v>
      </c>
      <c r="C15389" s="1" t="s">
        <v>5628</v>
      </c>
      <c r="D15389" s="1" t="s">
        <v>5629</v>
      </c>
    </row>
    <row r="15390">
      <c r="A15390" s="1" t="s">
        <v>26209</v>
      </c>
      <c r="B15390" s="2" t="s">
        <v>26210</v>
      </c>
      <c r="C15390" s="1" t="s">
        <v>5628</v>
      </c>
      <c r="D15390" s="1" t="s">
        <v>5629</v>
      </c>
    </row>
    <row r="15391">
      <c r="A15391" s="1" t="s">
        <v>26211</v>
      </c>
      <c r="B15391" s="2" t="s">
        <v>26212</v>
      </c>
      <c r="C15391" s="1" t="s">
        <v>5628</v>
      </c>
      <c r="D15391" s="1" t="s">
        <v>5629</v>
      </c>
    </row>
    <row r="15392">
      <c r="A15392" s="1" t="s">
        <v>26213</v>
      </c>
      <c r="B15392" s="2" t="s">
        <v>26214</v>
      </c>
      <c r="C15392" s="1" t="s">
        <v>5628</v>
      </c>
      <c r="D15392" s="1" t="s">
        <v>5629</v>
      </c>
    </row>
    <row r="15393">
      <c r="A15393" s="1" t="s">
        <v>26215</v>
      </c>
      <c r="B15393" s="2" t="s">
        <v>26216</v>
      </c>
      <c r="C15393" s="1" t="s">
        <v>5628</v>
      </c>
      <c r="D15393" s="1" t="s">
        <v>5629</v>
      </c>
    </row>
    <row r="15394">
      <c r="A15394" s="1" t="s">
        <v>26217</v>
      </c>
      <c r="B15394" s="2" t="s">
        <v>26218</v>
      </c>
      <c r="C15394" s="1" t="s">
        <v>5628</v>
      </c>
      <c r="D15394" s="1" t="s">
        <v>5629</v>
      </c>
    </row>
    <row r="15395">
      <c r="A15395" s="1" t="s">
        <v>26219</v>
      </c>
      <c r="B15395" s="2" t="s">
        <v>26220</v>
      </c>
      <c r="C15395" s="1" t="s">
        <v>5628</v>
      </c>
      <c r="D15395" s="1" t="s">
        <v>5629</v>
      </c>
    </row>
    <row r="15396">
      <c r="A15396" s="1" t="s">
        <v>26221</v>
      </c>
      <c r="B15396" s="2" t="s">
        <v>26222</v>
      </c>
      <c r="C15396" s="1" t="s">
        <v>5628</v>
      </c>
      <c r="D15396" s="1" t="s">
        <v>5629</v>
      </c>
    </row>
    <row r="15397">
      <c r="A15397" s="1" t="s">
        <v>26223</v>
      </c>
      <c r="B15397" s="2" t="s">
        <v>26224</v>
      </c>
      <c r="C15397" s="1" t="s">
        <v>5628</v>
      </c>
      <c r="D15397" s="1" t="s">
        <v>5629</v>
      </c>
    </row>
    <row r="15398">
      <c r="A15398" s="1" t="s">
        <v>26225</v>
      </c>
      <c r="B15398" s="2" t="s">
        <v>26226</v>
      </c>
      <c r="C15398" s="1" t="s">
        <v>5628</v>
      </c>
      <c r="D15398" s="1" t="s">
        <v>5629</v>
      </c>
    </row>
    <row r="15399">
      <c r="A15399" s="1" t="s">
        <v>26227</v>
      </c>
      <c r="B15399" s="2" t="s">
        <v>26228</v>
      </c>
      <c r="C15399" s="1" t="s">
        <v>5628</v>
      </c>
      <c r="D15399" s="1" t="s">
        <v>5629</v>
      </c>
    </row>
    <row r="15400">
      <c r="A15400" s="1" t="s">
        <v>26229</v>
      </c>
      <c r="B15400" s="2" t="s">
        <v>26230</v>
      </c>
      <c r="C15400" s="1" t="s">
        <v>5628</v>
      </c>
      <c r="D15400" s="1" t="s">
        <v>5629</v>
      </c>
    </row>
    <row r="15401">
      <c r="A15401" s="1" t="s">
        <v>26231</v>
      </c>
      <c r="B15401" s="2" t="s">
        <v>26232</v>
      </c>
      <c r="C15401" s="1" t="s">
        <v>5628</v>
      </c>
      <c r="D15401" s="1" t="s">
        <v>5629</v>
      </c>
    </row>
    <row r="15402">
      <c r="A15402" s="1" t="s">
        <v>26233</v>
      </c>
      <c r="B15402" s="2" t="s">
        <v>26234</v>
      </c>
      <c r="C15402" s="1" t="s">
        <v>5628</v>
      </c>
      <c r="D15402" s="1" t="s">
        <v>5629</v>
      </c>
    </row>
    <row r="15403">
      <c r="A15403" s="1" t="s">
        <v>26235</v>
      </c>
      <c r="B15403" s="2" t="s">
        <v>26236</v>
      </c>
      <c r="C15403" s="1" t="s">
        <v>5628</v>
      </c>
      <c r="D15403" s="1" t="s">
        <v>5629</v>
      </c>
    </row>
    <row r="15404">
      <c r="A15404" s="1" t="s">
        <v>26237</v>
      </c>
      <c r="B15404" s="2" t="s">
        <v>26238</v>
      </c>
      <c r="C15404" s="1" t="s">
        <v>5628</v>
      </c>
      <c r="D15404" s="1" t="s">
        <v>5629</v>
      </c>
    </row>
    <row r="15405">
      <c r="A15405" s="1" t="s">
        <v>26239</v>
      </c>
      <c r="B15405" s="2" t="s">
        <v>26240</v>
      </c>
      <c r="C15405" s="1" t="s">
        <v>5628</v>
      </c>
      <c r="D15405" s="1" t="s">
        <v>5629</v>
      </c>
    </row>
    <row r="15406">
      <c r="A15406" s="1" t="s">
        <v>26241</v>
      </c>
      <c r="B15406" s="2" t="s">
        <v>26242</v>
      </c>
      <c r="C15406" s="1" t="s">
        <v>5628</v>
      </c>
      <c r="D15406" s="1" t="s">
        <v>5629</v>
      </c>
    </row>
    <row r="15407">
      <c r="A15407" s="1" t="s">
        <v>26243</v>
      </c>
      <c r="B15407" s="2" t="s">
        <v>26244</v>
      </c>
      <c r="C15407" s="1" t="s">
        <v>5628</v>
      </c>
      <c r="D15407" s="1" t="s">
        <v>5629</v>
      </c>
    </row>
    <row r="15408">
      <c r="A15408" s="1" t="s">
        <v>26245</v>
      </c>
      <c r="B15408" s="2" t="s">
        <v>26246</v>
      </c>
      <c r="C15408" s="1" t="s">
        <v>5628</v>
      </c>
      <c r="D15408" s="1" t="s">
        <v>5629</v>
      </c>
    </row>
    <row r="15409">
      <c r="A15409" s="1" t="s">
        <v>26247</v>
      </c>
      <c r="B15409" s="2" t="s">
        <v>26248</v>
      </c>
      <c r="C15409" s="1" t="s">
        <v>5628</v>
      </c>
      <c r="D15409" s="1" t="s">
        <v>5629</v>
      </c>
    </row>
    <row r="15410">
      <c r="A15410" s="1" t="s">
        <v>26249</v>
      </c>
      <c r="B15410" s="2" t="s">
        <v>26250</v>
      </c>
      <c r="C15410" s="1" t="s">
        <v>5628</v>
      </c>
      <c r="D15410" s="1" t="s">
        <v>5629</v>
      </c>
    </row>
    <row r="15411">
      <c r="A15411" s="1" t="s">
        <v>26251</v>
      </c>
      <c r="B15411" s="2" t="s">
        <v>26252</v>
      </c>
      <c r="C15411" s="1" t="s">
        <v>5628</v>
      </c>
      <c r="D15411" s="1" t="s">
        <v>5629</v>
      </c>
    </row>
    <row r="15412">
      <c r="A15412" s="1" t="s">
        <v>26253</v>
      </c>
      <c r="B15412" s="2" t="s">
        <v>26254</v>
      </c>
      <c r="C15412" s="1" t="s">
        <v>5628</v>
      </c>
      <c r="D15412" s="1" t="s">
        <v>5629</v>
      </c>
    </row>
    <row r="15413">
      <c r="A15413" s="1" t="s">
        <v>26255</v>
      </c>
      <c r="B15413" s="2" t="s">
        <v>26256</v>
      </c>
      <c r="C15413" s="1" t="s">
        <v>5628</v>
      </c>
      <c r="D15413" s="1" t="s">
        <v>5629</v>
      </c>
    </row>
    <row r="15414">
      <c r="A15414" s="1" t="s">
        <v>26257</v>
      </c>
      <c r="B15414" s="2" t="s">
        <v>26258</v>
      </c>
      <c r="C15414" s="1" t="s">
        <v>5628</v>
      </c>
      <c r="D15414" s="1" t="s">
        <v>5629</v>
      </c>
    </row>
    <row r="15415">
      <c r="A15415" s="1" t="s">
        <v>26259</v>
      </c>
      <c r="B15415" s="2" t="s">
        <v>26260</v>
      </c>
      <c r="C15415" s="1" t="s">
        <v>5628</v>
      </c>
      <c r="D15415" s="1" t="s">
        <v>5629</v>
      </c>
    </row>
    <row r="15416">
      <c r="A15416" s="1" t="s">
        <v>26261</v>
      </c>
      <c r="B15416" s="2" t="s">
        <v>26262</v>
      </c>
      <c r="C15416" s="1" t="s">
        <v>5628</v>
      </c>
      <c r="D15416" s="1" t="s">
        <v>5629</v>
      </c>
    </row>
    <row r="15417">
      <c r="A15417" s="1" t="s">
        <v>26263</v>
      </c>
      <c r="B15417" s="2" t="s">
        <v>26264</v>
      </c>
      <c r="C15417" s="1" t="s">
        <v>5628</v>
      </c>
      <c r="D15417" s="1" t="s">
        <v>5629</v>
      </c>
    </row>
    <row r="15418">
      <c r="A15418" s="1" t="s">
        <v>26265</v>
      </c>
      <c r="B15418" s="2" t="s">
        <v>26266</v>
      </c>
      <c r="C15418" s="1" t="s">
        <v>5628</v>
      </c>
      <c r="D15418" s="1" t="s">
        <v>5629</v>
      </c>
    </row>
    <row r="15419">
      <c r="A15419" s="1" t="s">
        <v>26267</v>
      </c>
      <c r="B15419" s="2" t="s">
        <v>26268</v>
      </c>
      <c r="C15419" s="1" t="s">
        <v>5628</v>
      </c>
      <c r="D15419" s="1" t="s">
        <v>5629</v>
      </c>
    </row>
    <row r="15420">
      <c r="A15420" s="1" t="s">
        <v>26269</v>
      </c>
      <c r="B15420" s="2" t="s">
        <v>26270</v>
      </c>
      <c r="C15420" s="1" t="s">
        <v>5628</v>
      </c>
      <c r="D15420" s="1" t="s">
        <v>5629</v>
      </c>
    </row>
    <row r="15421">
      <c r="A15421" s="1" t="s">
        <v>26271</v>
      </c>
      <c r="B15421" s="2" t="s">
        <v>26272</v>
      </c>
      <c r="C15421" s="1" t="s">
        <v>5628</v>
      </c>
      <c r="D15421" s="1" t="s">
        <v>5629</v>
      </c>
    </row>
    <row r="15422">
      <c r="A15422" s="1" t="s">
        <v>26273</v>
      </c>
      <c r="B15422" s="2" t="s">
        <v>26274</v>
      </c>
      <c r="C15422" s="1" t="s">
        <v>5628</v>
      </c>
      <c r="D15422" s="1" t="s">
        <v>5629</v>
      </c>
    </row>
    <row r="15423">
      <c r="A15423" s="1" t="s">
        <v>26275</v>
      </c>
      <c r="B15423" s="2" t="s">
        <v>26276</v>
      </c>
      <c r="C15423" s="1" t="s">
        <v>5628</v>
      </c>
      <c r="D15423" s="1" t="s">
        <v>5629</v>
      </c>
    </row>
    <row r="15424">
      <c r="A15424" s="1" t="s">
        <v>26277</v>
      </c>
      <c r="B15424" s="2" t="s">
        <v>26278</v>
      </c>
      <c r="C15424" s="1" t="s">
        <v>5628</v>
      </c>
      <c r="D15424" s="1" t="s">
        <v>5629</v>
      </c>
    </row>
    <row r="15425">
      <c r="A15425" s="1" t="s">
        <v>26279</v>
      </c>
      <c r="B15425" s="2" t="s">
        <v>26280</v>
      </c>
      <c r="C15425" s="1" t="s">
        <v>5628</v>
      </c>
      <c r="D15425" s="1" t="s">
        <v>5629</v>
      </c>
    </row>
    <row r="15426">
      <c r="A15426" s="1" t="s">
        <v>26281</v>
      </c>
      <c r="B15426" s="2" t="s">
        <v>26282</v>
      </c>
      <c r="C15426" s="1" t="s">
        <v>5628</v>
      </c>
      <c r="D15426" s="1" t="s">
        <v>5629</v>
      </c>
    </row>
    <row r="15427">
      <c r="A15427" s="1" t="s">
        <v>26283</v>
      </c>
      <c r="B15427" s="2" t="s">
        <v>26284</v>
      </c>
      <c r="C15427" s="1" t="s">
        <v>5628</v>
      </c>
      <c r="D15427" s="1" t="s">
        <v>5629</v>
      </c>
    </row>
    <row r="15428">
      <c r="A15428" s="1" t="s">
        <v>26285</v>
      </c>
      <c r="B15428" s="2" t="s">
        <v>26286</v>
      </c>
      <c r="C15428" s="1" t="s">
        <v>5628</v>
      </c>
      <c r="D15428" s="1" t="s">
        <v>5629</v>
      </c>
    </row>
    <row r="15429">
      <c r="A15429" s="1" t="s">
        <v>26287</v>
      </c>
      <c r="B15429" s="2" t="s">
        <v>26288</v>
      </c>
      <c r="C15429" s="1" t="s">
        <v>5628</v>
      </c>
      <c r="D15429" s="1" t="s">
        <v>5629</v>
      </c>
    </row>
    <row r="15430">
      <c r="A15430" s="1" t="s">
        <v>26289</v>
      </c>
      <c r="B15430" s="2" t="s">
        <v>26290</v>
      </c>
      <c r="C15430" s="1" t="s">
        <v>5628</v>
      </c>
      <c r="D15430" s="1" t="s">
        <v>5629</v>
      </c>
    </row>
    <row r="15431">
      <c r="A15431" s="1" t="s">
        <v>26291</v>
      </c>
      <c r="B15431" s="2" t="s">
        <v>26292</v>
      </c>
      <c r="C15431" s="1" t="s">
        <v>5628</v>
      </c>
      <c r="D15431" s="1" t="s">
        <v>5629</v>
      </c>
    </row>
    <row r="15432">
      <c r="A15432" s="1" t="s">
        <v>26293</v>
      </c>
      <c r="B15432" s="2" t="s">
        <v>26294</v>
      </c>
      <c r="C15432" s="1" t="s">
        <v>5628</v>
      </c>
      <c r="D15432" s="1" t="s">
        <v>5629</v>
      </c>
    </row>
    <row r="15433">
      <c r="A15433" s="1" t="s">
        <v>26295</v>
      </c>
      <c r="B15433" s="2" t="s">
        <v>26296</v>
      </c>
      <c r="C15433" s="1" t="s">
        <v>5628</v>
      </c>
      <c r="D15433" s="1" t="s">
        <v>5629</v>
      </c>
    </row>
    <row r="15434">
      <c r="A15434" s="1" t="s">
        <v>26297</v>
      </c>
      <c r="B15434" s="2" t="s">
        <v>26298</v>
      </c>
      <c r="C15434" s="1" t="s">
        <v>5628</v>
      </c>
      <c r="D15434" s="1" t="s">
        <v>5629</v>
      </c>
    </row>
    <row r="15435">
      <c r="A15435" s="1" t="s">
        <v>26299</v>
      </c>
      <c r="B15435" s="2" t="s">
        <v>26300</v>
      </c>
      <c r="C15435" s="1" t="s">
        <v>5628</v>
      </c>
      <c r="D15435" s="1" t="s">
        <v>5629</v>
      </c>
    </row>
    <row r="15436">
      <c r="A15436" s="1" t="s">
        <v>26301</v>
      </c>
      <c r="B15436" s="2" t="s">
        <v>26302</v>
      </c>
      <c r="C15436" s="1" t="s">
        <v>5628</v>
      </c>
      <c r="D15436" s="1" t="s">
        <v>5629</v>
      </c>
    </row>
    <row r="15437">
      <c r="A15437" s="1" t="s">
        <v>26303</v>
      </c>
      <c r="B15437" s="2" t="s">
        <v>26304</v>
      </c>
      <c r="C15437" s="1" t="s">
        <v>5628</v>
      </c>
      <c r="D15437" s="1" t="s">
        <v>5629</v>
      </c>
    </row>
    <row r="15438">
      <c r="A15438" s="1" t="s">
        <v>26305</v>
      </c>
      <c r="B15438" s="2" t="s">
        <v>26306</v>
      </c>
      <c r="C15438" s="1" t="s">
        <v>5628</v>
      </c>
      <c r="D15438" s="1" t="s">
        <v>5629</v>
      </c>
    </row>
    <row r="15439">
      <c r="A15439" s="1" t="s">
        <v>26307</v>
      </c>
      <c r="B15439" s="2" t="s">
        <v>26308</v>
      </c>
      <c r="C15439" s="1" t="s">
        <v>5628</v>
      </c>
      <c r="D15439" s="1" t="s">
        <v>5629</v>
      </c>
    </row>
    <row r="15440">
      <c r="A15440" s="1" t="s">
        <v>26309</v>
      </c>
      <c r="B15440" s="2" t="s">
        <v>26310</v>
      </c>
      <c r="C15440" s="1" t="s">
        <v>5628</v>
      </c>
      <c r="D15440" s="1" t="s">
        <v>5629</v>
      </c>
    </row>
    <row r="15441">
      <c r="A15441" s="1" t="s">
        <v>26311</v>
      </c>
      <c r="B15441" s="2" t="s">
        <v>26312</v>
      </c>
      <c r="C15441" s="1" t="s">
        <v>5628</v>
      </c>
      <c r="D15441" s="1" t="s">
        <v>5629</v>
      </c>
    </row>
    <row r="15442">
      <c r="A15442" s="1" t="s">
        <v>26313</v>
      </c>
      <c r="B15442" s="2" t="s">
        <v>26314</v>
      </c>
      <c r="C15442" s="1" t="s">
        <v>5628</v>
      </c>
      <c r="D15442" s="1" t="s">
        <v>5629</v>
      </c>
    </row>
    <row r="15443">
      <c r="A15443" s="1" t="s">
        <v>26315</v>
      </c>
      <c r="B15443" s="2" t="s">
        <v>26316</v>
      </c>
      <c r="C15443" s="1" t="s">
        <v>5628</v>
      </c>
      <c r="D15443" s="1" t="s">
        <v>5629</v>
      </c>
    </row>
    <row r="15444">
      <c r="A15444" s="1" t="s">
        <v>26317</v>
      </c>
      <c r="B15444" s="2" t="s">
        <v>26318</v>
      </c>
      <c r="C15444" s="1" t="s">
        <v>5628</v>
      </c>
      <c r="D15444" s="1" t="s">
        <v>5629</v>
      </c>
    </row>
    <row r="15445">
      <c r="A15445" s="1" t="s">
        <v>26319</v>
      </c>
      <c r="B15445" s="2" t="s">
        <v>26320</v>
      </c>
      <c r="C15445" s="1" t="s">
        <v>5628</v>
      </c>
      <c r="D15445" s="1" t="s">
        <v>5629</v>
      </c>
    </row>
    <row r="15446">
      <c r="A15446" s="1" t="s">
        <v>26321</v>
      </c>
      <c r="B15446" s="2" t="s">
        <v>26322</v>
      </c>
      <c r="C15446" s="1" t="s">
        <v>5628</v>
      </c>
      <c r="D15446" s="1" t="s">
        <v>5629</v>
      </c>
    </row>
    <row r="15447">
      <c r="A15447" s="1" t="s">
        <v>26323</v>
      </c>
      <c r="B15447" s="2" t="s">
        <v>26324</v>
      </c>
      <c r="C15447" s="1" t="s">
        <v>5628</v>
      </c>
      <c r="D15447" s="1" t="s">
        <v>5629</v>
      </c>
    </row>
    <row r="15448">
      <c r="A15448" s="1" t="s">
        <v>26325</v>
      </c>
      <c r="B15448" s="2" t="s">
        <v>26326</v>
      </c>
      <c r="C15448" s="1" t="s">
        <v>5628</v>
      </c>
      <c r="D15448" s="1" t="s">
        <v>5629</v>
      </c>
    </row>
    <row r="15449">
      <c r="A15449" s="1" t="s">
        <v>26327</v>
      </c>
      <c r="B15449" s="2" t="s">
        <v>26328</v>
      </c>
      <c r="C15449" s="1" t="s">
        <v>5628</v>
      </c>
      <c r="D15449" s="1" t="s">
        <v>5629</v>
      </c>
    </row>
    <row r="15450">
      <c r="A15450" s="1" t="s">
        <v>26329</v>
      </c>
      <c r="B15450" s="2" t="s">
        <v>26330</v>
      </c>
      <c r="C15450" s="1" t="s">
        <v>5628</v>
      </c>
      <c r="D15450" s="1" t="s">
        <v>5629</v>
      </c>
    </row>
    <row r="15451">
      <c r="A15451" s="1" t="s">
        <v>26331</v>
      </c>
      <c r="B15451" s="2" t="s">
        <v>26332</v>
      </c>
      <c r="C15451" s="1" t="s">
        <v>5628</v>
      </c>
      <c r="D15451" s="1" t="s">
        <v>5629</v>
      </c>
    </row>
    <row r="15452">
      <c r="A15452" s="1" t="s">
        <v>26333</v>
      </c>
      <c r="B15452" s="2" t="s">
        <v>26334</v>
      </c>
      <c r="C15452" s="1" t="s">
        <v>5628</v>
      </c>
      <c r="D15452" s="1" t="s">
        <v>5629</v>
      </c>
    </row>
    <row r="15453">
      <c r="A15453" s="1" t="s">
        <v>26335</v>
      </c>
      <c r="B15453" s="2" t="s">
        <v>26336</v>
      </c>
      <c r="C15453" s="1" t="s">
        <v>5628</v>
      </c>
      <c r="D15453" s="1" t="s">
        <v>5629</v>
      </c>
    </row>
    <row r="15454">
      <c r="A15454" s="1" t="s">
        <v>26337</v>
      </c>
      <c r="B15454" s="2" t="s">
        <v>26338</v>
      </c>
      <c r="C15454" s="1" t="s">
        <v>5628</v>
      </c>
      <c r="D15454" s="1" t="s">
        <v>5629</v>
      </c>
    </row>
    <row r="15455">
      <c r="A15455" s="1" t="s">
        <v>26339</v>
      </c>
      <c r="B15455" s="2" t="s">
        <v>26340</v>
      </c>
      <c r="C15455" s="1" t="s">
        <v>5628</v>
      </c>
      <c r="D15455" s="1" t="s">
        <v>5629</v>
      </c>
    </row>
    <row r="15456">
      <c r="A15456" s="1" t="s">
        <v>26341</v>
      </c>
      <c r="B15456" s="2" t="s">
        <v>26342</v>
      </c>
      <c r="C15456" s="1" t="s">
        <v>5628</v>
      </c>
      <c r="D15456" s="1" t="s">
        <v>5629</v>
      </c>
    </row>
    <row r="15457">
      <c r="A15457" s="1" t="s">
        <v>26343</v>
      </c>
      <c r="B15457" s="2" t="s">
        <v>26344</v>
      </c>
      <c r="C15457" s="1" t="s">
        <v>5628</v>
      </c>
      <c r="D15457" s="1" t="s">
        <v>5629</v>
      </c>
    </row>
    <row r="15458">
      <c r="A15458" s="1" t="s">
        <v>26345</v>
      </c>
      <c r="B15458" s="2" t="s">
        <v>26346</v>
      </c>
      <c r="C15458" s="1" t="s">
        <v>5628</v>
      </c>
      <c r="D15458" s="1" t="s">
        <v>5629</v>
      </c>
    </row>
    <row r="15459">
      <c r="A15459" s="1" t="s">
        <v>26347</v>
      </c>
      <c r="B15459" s="2" t="s">
        <v>26348</v>
      </c>
      <c r="C15459" s="1" t="s">
        <v>5628</v>
      </c>
      <c r="D15459" s="1" t="s">
        <v>5629</v>
      </c>
    </row>
    <row r="15460">
      <c r="A15460" s="1" t="s">
        <v>26349</v>
      </c>
      <c r="B15460" s="2" t="s">
        <v>26350</v>
      </c>
      <c r="C15460" s="1" t="s">
        <v>5628</v>
      </c>
      <c r="D15460" s="1" t="s">
        <v>5629</v>
      </c>
    </row>
    <row r="15461">
      <c r="A15461" s="1" t="s">
        <v>26351</v>
      </c>
      <c r="B15461" s="2" t="s">
        <v>26352</v>
      </c>
      <c r="C15461" s="1" t="s">
        <v>5628</v>
      </c>
      <c r="D15461" s="1" t="s">
        <v>5629</v>
      </c>
    </row>
    <row r="15462">
      <c r="A15462" s="1" t="s">
        <v>26353</v>
      </c>
      <c r="B15462" s="2" t="s">
        <v>26354</v>
      </c>
      <c r="C15462" s="1" t="s">
        <v>5628</v>
      </c>
      <c r="D15462" s="1" t="s">
        <v>5629</v>
      </c>
    </row>
    <row r="15463">
      <c r="A15463" s="1" t="s">
        <v>26355</v>
      </c>
      <c r="B15463" s="2" t="s">
        <v>26356</v>
      </c>
      <c r="C15463" s="1" t="s">
        <v>5628</v>
      </c>
      <c r="D15463" s="1" t="s">
        <v>5629</v>
      </c>
    </row>
    <row r="15464">
      <c r="A15464" s="1" t="s">
        <v>26357</v>
      </c>
      <c r="B15464" s="2" t="s">
        <v>26358</v>
      </c>
      <c r="C15464" s="1" t="s">
        <v>5628</v>
      </c>
      <c r="D15464" s="1" t="s">
        <v>5629</v>
      </c>
    </row>
    <row r="15465">
      <c r="A15465" s="1" t="s">
        <v>26359</v>
      </c>
      <c r="B15465" s="2" t="s">
        <v>26360</v>
      </c>
      <c r="C15465" s="1" t="s">
        <v>5628</v>
      </c>
      <c r="D15465" s="1" t="s">
        <v>5629</v>
      </c>
    </row>
    <row r="15466">
      <c r="A15466" s="1" t="s">
        <v>26361</v>
      </c>
      <c r="B15466" s="2" t="s">
        <v>26362</v>
      </c>
      <c r="C15466" s="1" t="s">
        <v>5628</v>
      </c>
      <c r="D15466" s="1" t="s">
        <v>5629</v>
      </c>
    </row>
    <row r="15467">
      <c r="A15467" s="1" t="s">
        <v>26363</v>
      </c>
      <c r="B15467" s="2" t="s">
        <v>26364</v>
      </c>
      <c r="C15467" s="1" t="s">
        <v>5628</v>
      </c>
      <c r="D15467" s="1" t="s">
        <v>5629</v>
      </c>
    </row>
    <row r="15468">
      <c r="A15468" s="1" t="s">
        <v>26365</v>
      </c>
      <c r="B15468" s="2" t="s">
        <v>26366</v>
      </c>
      <c r="C15468" s="1" t="s">
        <v>5628</v>
      </c>
      <c r="D15468" s="1" t="s">
        <v>5629</v>
      </c>
    </row>
    <row r="15469">
      <c r="A15469" s="1" t="s">
        <v>26367</v>
      </c>
      <c r="B15469" s="2" t="s">
        <v>26368</v>
      </c>
      <c r="C15469" s="1" t="s">
        <v>5628</v>
      </c>
      <c r="D15469" s="1" t="s">
        <v>5629</v>
      </c>
    </row>
    <row r="15470">
      <c r="A15470" s="1" t="s">
        <v>26369</v>
      </c>
      <c r="B15470" s="2" t="s">
        <v>26370</v>
      </c>
      <c r="C15470" s="1" t="s">
        <v>5628</v>
      </c>
      <c r="D15470" s="1" t="s">
        <v>5629</v>
      </c>
    </row>
    <row r="15471">
      <c r="A15471" s="1" t="s">
        <v>26371</v>
      </c>
      <c r="B15471" s="2" t="s">
        <v>26372</v>
      </c>
      <c r="C15471" s="1" t="s">
        <v>5628</v>
      </c>
      <c r="D15471" s="1" t="s">
        <v>5629</v>
      </c>
    </row>
    <row r="15472">
      <c r="A15472" s="1" t="s">
        <v>26373</v>
      </c>
      <c r="B15472" s="2" t="s">
        <v>26374</v>
      </c>
      <c r="C15472" s="1" t="s">
        <v>5628</v>
      </c>
      <c r="D15472" s="1" t="s">
        <v>5629</v>
      </c>
    </row>
    <row r="15473">
      <c r="A15473" s="1" t="s">
        <v>26375</v>
      </c>
      <c r="B15473" s="2" t="s">
        <v>26376</v>
      </c>
      <c r="C15473" s="1" t="s">
        <v>5628</v>
      </c>
      <c r="D15473" s="1" t="s">
        <v>5629</v>
      </c>
    </row>
    <row r="15474">
      <c r="A15474" s="1" t="s">
        <v>26377</v>
      </c>
      <c r="B15474" s="2" t="s">
        <v>26378</v>
      </c>
      <c r="C15474" s="1" t="s">
        <v>5628</v>
      </c>
      <c r="D15474" s="1" t="s">
        <v>5629</v>
      </c>
    </row>
    <row r="15475">
      <c r="A15475" s="1" t="s">
        <v>26379</v>
      </c>
      <c r="B15475" s="2" t="s">
        <v>26380</v>
      </c>
      <c r="C15475" s="1" t="s">
        <v>5628</v>
      </c>
      <c r="D15475" s="1" t="s">
        <v>5629</v>
      </c>
    </row>
    <row r="15476">
      <c r="A15476" s="1" t="s">
        <v>26381</v>
      </c>
      <c r="B15476" s="2" t="s">
        <v>26382</v>
      </c>
      <c r="C15476" s="1" t="s">
        <v>5628</v>
      </c>
      <c r="D15476" s="1" t="s">
        <v>5629</v>
      </c>
    </row>
    <row r="15477">
      <c r="A15477" s="1" t="s">
        <v>26383</v>
      </c>
      <c r="B15477" s="2" t="s">
        <v>26384</v>
      </c>
      <c r="C15477" s="1" t="s">
        <v>5628</v>
      </c>
      <c r="D15477" s="1" t="s">
        <v>5629</v>
      </c>
    </row>
    <row r="15478">
      <c r="A15478" s="1" t="s">
        <v>26385</v>
      </c>
      <c r="B15478" s="2" t="s">
        <v>26386</v>
      </c>
      <c r="C15478" s="1" t="s">
        <v>5628</v>
      </c>
      <c r="D15478" s="1" t="s">
        <v>5629</v>
      </c>
    </row>
    <row r="15479">
      <c r="A15479" s="1" t="s">
        <v>26387</v>
      </c>
      <c r="B15479" s="2" t="s">
        <v>26388</v>
      </c>
      <c r="C15479" s="1" t="s">
        <v>5628</v>
      </c>
      <c r="D15479" s="1" t="s">
        <v>5629</v>
      </c>
    </row>
    <row r="15480">
      <c r="A15480" s="1" t="s">
        <v>26389</v>
      </c>
      <c r="B15480" s="2" t="s">
        <v>26390</v>
      </c>
      <c r="C15480" s="1" t="s">
        <v>5628</v>
      </c>
      <c r="D15480" s="1" t="s">
        <v>5629</v>
      </c>
    </row>
    <row r="15481">
      <c r="A15481" s="1" t="s">
        <v>26391</v>
      </c>
      <c r="B15481" s="2" t="s">
        <v>26392</v>
      </c>
      <c r="C15481" s="1" t="s">
        <v>5628</v>
      </c>
      <c r="D15481" s="1" t="s">
        <v>5629</v>
      </c>
    </row>
    <row r="15482">
      <c r="A15482" s="1" t="s">
        <v>26393</v>
      </c>
      <c r="B15482" s="2" t="s">
        <v>26394</v>
      </c>
      <c r="C15482" s="1" t="s">
        <v>5628</v>
      </c>
      <c r="D15482" s="1" t="s">
        <v>5629</v>
      </c>
    </row>
    <row r="15483">
      <c r="A15483" s="1" t="s">
        <v>26395</v>
      </c>
      <c r="B15483" s="2" t="s">
        <v>26396</v>
      </c>
      <c r="C15483" s="1" t="s">
        <v>5628</v>
      </c>
      <c r="D15483" s="1" t="s">
        <v>5629</v>
      </c>
    </row>
    <row r="15484">
      <c r="A15484" s="1" t="s">
        <v>26397</v>
      </c>
      <c r="B15484" s="2" t="s">
        <v>26398</v>
      </c>
      <c r="C15484" s="1" t="s">
        <v>5628</v>
      </c>
      <c r="D15484" s="1" t="s">
        <v>5629</v>
      </c>
    </row>
    <row r="15485">
      <c r="A15485" s="1" t="s">
        <v>26399</v>
      </c>
      <c r="B15485" s="2" t="s">
        <v>26400</v>
      </c>
      <c r="C15485" s="1" t="s">
        <v>5628</v>
      </c>
      <c r="D15485" s="1" t="s">
        <v>5629</v>
      </c>
    </row>
    <row r="15486">
      <c r="A15486" s="1" t="s">
        <v>26401</v>
      </c>
      <c r="B15486" s="2" t="s">
        <v>26402</v>
      </c>
      <c r="C15486" s="1" t="s">
        <v>5628</v>
      </c>
      <c r="D15486" s="1" t="s">
        <v>5629</v>
      </c>
    </row>
    <row r="15487">
      <c r="A15487" s="1" t="s">
        <v>26403</v>
      </c>
      <c r="B15487" s="2" t="s">
        <v>26404</v>
      </c>
      <c r="C15487" s="1" t="s">
        <v>5628</v>
      </c>
      <c r="D15487" s="1" t="s">
        <v>5629</v>
      </c>
    </row>
    <row r="15488">
      <c r="A15488" s="1" t="s">
        <v>26405</v>
      </c>
      <c r="B15488" s="2" t="s">
        <v>26406</v>
      </c>
      <c r="C15488" s="1" t="s">
        <v>5628</v>
      </c>
      <c r="D15488" s="1" t="s">
        <v>5629</v>
      </c>
    </row>
    <row r="15489">
      <c r="A15489" s="1" t="s">
        <v>26407</v>
      </c>
      <c r="B15489" s="2" t="s">
        <v>26408</v>
      </c>
      <c r="C15489" s="1" t="s">
        <v>5628</v>
      </c>
      <c r="D15489" s="1" t="s">
        <v>5629</v>
      </c>
    </row>
    <row r="15490">
      <c r="A15490" s="1" t="s">
        <v>26409</v>
      </c>
      <c r="B15490" s="2" t="s">
        <v>26410</v>
      </c>
      <c r="C15490" s="1" t="s">
        <v>5628</v>
      </c>
      <c r="D15490" s="1" t="s">
        <v>5629</v>
      </c>
    </row>
    <row r="15491">
      <c r="A15491" s="1" t="s">
        <v>26411</v>
      </c>
      <c r="B15491" s="2" t="s">
        <v>26412</v>
      </c>
      <c r="C15491" s="1" t="s">
        <v>5628</v>
      </c>
      <c r="D15491" s="1" t="s">
        <v>5629</v>
      </c>
    </row>
    <row r="15492">
      <c r="A15492" s="1" t="s">
        <v>26413</v>
      </c>
      <c r="B15492" s="2" t="s">
        <v>26414</v>
      </c>
      <c r="C15492" s="1" t="s">
        <v>5628</v>
      </c>
      <c r="D15492" s="1" t="s">
        <v>5629</v>
      </c>
    </row>
    <row r="15493">
      <c r="A15493" s="1" t="s">
        <v>26415</v>
      </c>
      <c r="B15493" s="2" t="s">
        <v>26416</v>
      </c>
      <c r="C15493" s="1" t="s">
        <v>5628</v>
      </c>
      <c r="D15493" s="1" t="s">
        <v>5629</v>
      </c>
    </row>
    <row r="15494">
      <c r="A15494" s="1" t="s">
        <v>26417</v>
      </c>
      <c r="B15494" s="2" t="s">
        <v>26418</v>
      </c>
      <c r="C15494" s="1" t="s">
        <v>5628</v>
      </c>
      <c r="D15494" s="1" t="s">
        <v>5629</v>
      </c>
    </row>
    <row r="15495">
      <c r="A15495" s="1" t="s">
        <v>26419</v>
      </c>
      <c r="B15495" s="2" t="s">
        <v>26420</v>
      </c>
      <c r="C15495" s="1" t="s">
        <v>5628</v>
      </c>
      <c r="D15495" s="1" t="s">
        <v>5629</v>
      </c>
    </row>
    <row r="15496">
      <c r="A15496" s="1" t="s">
        <v>26421</v>
      </c>
      <c r="B15496" s="2" t="s">
        <v>26422</v>
      </c>
      <c r="C15496" s="1" t="s">
        <v>5628</v>
      </c>
      <c r="D15496" s="1" t="s">
        <v>5629</v>
      </c>
    </row>
    <row r="15497">
      <c r="A15497" s="1" t="s">
        <v>26423</v>
      </c>
      <c r="B15497" s="2" t="s">
        <v>26424</v>
      </c>
      <c r="C15497" s="1" t="s">
        <v>5628</v>
      </c>
      <c r="D15497" s="1" t="s">
        <v>5629</v>
      </c>
    </row>
    <row r="15498">
      <c r="A15498" s="1" t="s">
        <v>26425</v>
      </c>
      <c r="B15498" s="2" t="s">
        <v>26426</v>
      </c>
      <c r="C15498" s="1" t="s">
        <v>5628</v>
      </c>
      <c r="D15498" s="1" t="s">
        <v>5629</v>
      </c>
    </row>
    <row r="15499">
      <c r="A15499" s="1" t="s">
        <v>26427</v>
      </c>
      <c r="B15499" s="2" t="s">
        <v>26428</v>
      </c>
      <c r="C15499" s="1" t="s">
        <v>5628</v>
      </c>
      <c r="D15499" s="1" t="s">
        <v>5629</v>
      </c>
    </row>
    <row r="15500">
      <c r="A15500" s="1" t="s">
        <v>26429</v>
      </c>
      <c r="B15500" s="2" t="s">
        <v>26430</v>
      </c>
      <c r="C15500" s="1" t="s">
        <v>5628</v>
      </c>
      <c r="D15500" s="1" t="s">
        <v>5629</v>
      </c>
    </row>
    <row r="15501">
      <c r="A15501" s="1" t="s">
        <v>26431</v>
      </c>
      <c r="B15501" s="2" t="s">
        <v>26432</v>
      </c>
      <c r="C15501" s="1" t="s">
        <v>5628</v>
      </c>
      <c r="D15501" s="1" t="s">
        <v>5629</v>
      </c>
    </row>
    <row r="15502">
      <c r="A15502" s="1" t="s">
        <v>26433</v>
      </c>
      <c r="B15502" s="2" t="s">
        <v>26434</v>
      </c>
      <c r="C15502" s="1" t="s">
        <v>5628</v>
      </c>
      <c r="D15502" s="1" t="s">
        <v>5629</v>
      </c>
    </row>
    <row r="15503">
      <c r="A15503" s="1" t="s">
        <v>26435</v>
      </c>
      <c r="B15503" s="2" t="s">
        <v>26436</v>
      </c>
      <c r="C15503" s="1" t="s">
        <v>5628</v>
      </c>
      <c r="D15503" s="1" t="s">
        <v>5629</v>
      </c>
    </row>
    <row r="15504">
      <c r="A15504" s="1" t="s">
        <v>26437</v>
      </c>
      <c r="B15504" s="2" t="s">
        <v>26438</v>
      </c>
      <c r="C15504" s="1" t="s">
        <v>5628</v>
      </c>
      <c r="D15504" s="1" t="s">
        <v>5629</v>
      </c>
    </row>
    <row r="15505">
      <c r="A15505" s="1" t="s">
        <v>26439</v>
      </c>
      <c r="B15505" s="2" t="s">
        <v>26440</v>
      </c>
      <c r="C15505" s="1" t="s">
        <v>5628</v>
      </c>
      <c r="D15505" s="1" t="s">
        <v>5629</v>
      </c>
    </row>
    <row r="15506">
      <c r="A15506" s="1" t="s">
        <v>26441</v>
      </c>
      <c r="B15506" s="2" t="s">
        <v>26442</v>
      </c>
      <c r="C15506" s="1" t="s">
        <v>5628</v>
      </c>
      <c r="D15506" s="1" t="s">
        <v>5629</v>
      </c>
    </row>
    <row r="15507">
      <c r="A15507" s="1" t="s">
        <v>26443</v>
      </c>
      <c r="B15507" s="2" t="s">
        <v>26444</v>
      </c>
      <c r="C15507" s="1" t="s">
        <v>5628</v>
      </c>
      <c r="D15507" s="1" t="s">
        <v>5629</v>
      </c>
    </row>
    <row r="15508">
      <c r="A15508" s="1" t="s">
        <v>26445</v>
      </c>
      <c r="B15508" s="2" t="s">
        <v>26446</v>
      </c>
      <c r="C15508" s="1" t="s">
        <v>5628</v>
      </c>
      <c r="D15508" s="1" t="s">
        <v>5629</v>
      </c>
    </row>
    <row r="15509">
      <c r="A15509" s="1" t="s">
        <v>26447</v>
      </c>
      <c r="B15509" s="2" t="s">
        <v>26448</v>
      </c>
      <c r="C15509" s="1" t="s">
        <v>5628</v>
      </c>
      <c r="D15509" s="1" t="s">
        <v>5629</v>
      </c>
    </row>
    <row r="15510">
      <c r="A15510" s="1" t="s">
        <v>26449</v>
      </c>
      <c r="B15510" s="2" t="s">
        <v>26450</v>
      </c>
      <c r="C15510" s="1" t="s">
        <v>5628</v>
      </c>
      <c r="D15510" s="1" t="s">
        <v>5629</v>
      </c>
    </row>
    <row r="15511">
      <c r="A15511" s="1" t="s">
        <v>26451</v>
      </c>
      <c r="B15511" s="2" t="s">
        <v>26452</v>
      </c>
      <c r="C15511" s="1" t="s">
        <v>5628</v>
      </c>
      <c r="D15511" s="1" t="s">
        <v>5629</v>
      </c>
    </row>
    <row r="15512">
      <c r="A15512" s="1" t="s">
        <v>26453</v>
      </c>
      <c r="B15512" s="2" t="s">
        <v>26454</v>
      </c>
      <c r="C15512" s="1" t="s">
        <v>5628</v>
      </c>
      <c r="D15512" s="1" t="s">
        <v>5629</v>
      </c>
    </row>
    <row r="15513">
      <c r="A15513" s="1" t="s">
        <v>26455</v>
      </c>
      <c r="B15513" s="2" t="s">
        <v>26456</v>
      </c>
      <c r="C15513" s="1" t="s">
        <v>5628</v>
      </c>
      <c r="D15513" s="1" t="s">
        <v>5629</v>
      </c>
    </row>
    <row r="15514">
      <c r="A15514" s="1" t="s">
        <v>26457</v>
      </c>
      <c r="B15514" s="2" t="s">
        <v>26458</v>
      </c>
      <c r="C15514" s="1" t="s">
        <v>5628</v>
      </c>
      <c r="D15514" s="1" t="s">
        <v>5629</v>
      </c>
    </row>
    <row r="15515">
      <c r="A15515" s="1" t="s">
        <v>26459</v>
      </c>
      <c r="B15515" s="2" t="s">
        <v>26460</v>
      </c>
      <c r="C15515" s="1" t="s">
        <v>5628</v>
      </c>
      <c r="D15515" s="1" t="s">
        <v>5629</v>
      </c>
    </row>
    <row r="15516">
      <c r="A15516" s="1" t="s">
        <v>26461</v>
      </c>
      <c r="B15516" s="2" t="s">
        <v>26462</v>
      </c>
      <c r="C15516" s="1" t="s">
        <v>5628</v>
      </c>
      <c r="D15516" s="1" t="s">
        <v>5629</v>
      </c>
    </row>
    <row r="15517">
      <c r="A15517" s="1" t="s">
        <v>26463</v>
      </c>
      <c r="B15517" s="2" t="s">
        <v>26464</v>
      </c>
      <c r="C15517" s="1" t="s">
        <v>5628</v>
      </c>
      <c r="D15517" s="1" t="s">
        <v>5629</v>
      </c>
    </row>
    <row r="15518">
      <c r="A15518" s="1" t="s">
        <v>26465</v>
      </c>
      <c r="B15518" s="2" t="s">
        <v>26466</v>
      </c>
      <c r="C15518" s="1" t="s">
        <v>5628</v>
      </c>
      <c r="D15518" s="1" t="s">
        <v>5629</v>
      </c>
    </row>
    <row r="15519">
      <c r="A15519" s="1" t="s">
        <v>26467</v>
      </c>
      <c r="B15519" s="2" t="s">
        <v>26468</v>
      </c>
      <c r="C15519" s="1" t="s">
        <v>5628</v>
      </c>
      <c r="D15519" s="1" t="s">
        <v>5629</v>
      </c>
    </row>
    <row r="15520">
      <c r="A15520" s="1" t="s">
        <v>26469</v>
      </c>
      <c r="B15520" s="2" t="s">
        <v>26470</v>
      </c>
      <c r="C15520" s="1" t="s">
        <v>5628</v>
      </c>
      <c r="D15520" s="1" t="s">
        <v>5629</v>
      </c>
    </row>
    <row r="15521">
      <c r="A15521" s="1" t="s">
        <v>26471</v>
      </c>
      <c r="B15521" s="2" t="s">
        <v>26472</v>
      </c>
      <c r="C15521" s="1" t="s">
        <v>5628</v>
      </c>
      <c r="D15521" s="1" t="s">
        <v>5629</v>
      </c>
    </row>
    <row r="15522">
      <c r="A15522" s="1" t="s">
        <v>26473</v>
      </c>
      <c r="B15522" s="2" t="s">
        <v>26474</v>
      </c>
      <c r="C15522" s="1" t="s">
        <v>5628</v>
      </c>
      <c r="D15522" s="1" t="s">
        <v>5629</v>
      </c>
    </row>
    <row r="15523">
      <c r="A15523" s="1" t="s">
        <v>26475</v>
      </c>
      <c r="B15523" s="2" t="s">
        <v>26476</v>
      </c>
      <c r="C15523" s="1" t="s">
        <v>5628</v>
      </c>
      <c r="D15523" s="1" t="s">
        <v>5629</v>
      </c>
    </row>
    <row r="15524">
      <c r="A15524" s="1" t="s">
        <v>26477</v>
      </c>
      <c r="B15524" s="2" t="s">
        <v>26478</v>
      </c>
      <c r="C15524" s="1" t="s">
        <v>5628</v>
      </c>
      <c r="D15524" s="1" t="s">
        <v>5629</v>
      </c>
    </row>
    <row r="15525">
      <c r="A15525" s="1" t="s">
        <v>26479</v>
      </c>
      <c r="B15525" s="2" t="s">
        <v>26480</v>
      </c>
      <c r="C15525" s="1" t="s">
        <v>5628</v>
      </c>
      <c r="D15525" s="1" t="s">
        <v>5629</v>
      </c>
    </row>
    <row r="15526">
      <c r="A15526" s="1" t="s">
        <v>26481</v>
      </c>
      <c r="B15526" s="2" t="s">
        <v>26482</v>
      </c>
      <c r="C15526" s="1" t="s">
        <v>5628</v>
      </c>
      <c r="D15526" s="1" t="s">
        <v>5629</v>
      </c>
    </row>
    <row r="15527">
      <c r="A15527" s="1" t="s">
        <v>26483</v>
      </c>
      <c r="B15527" s="2" t="s">
        <v>26484</v>
      </c>
      <c r="C15527" s="1" t="s">
        <v>5628</v>
      </c>
      <c r="D15527" s="1" t="s">
        <v>5629</v>
      </c>
    </row>
    <row r="15528">
      <c r="A15528" s="1" t="s">
        <v>26485</v>
      </c>
      <c r="B15528" s="2" t="s">
        <v>26486</v>
      </c>
      <c r="C15528" s="1" t="s">
        <v>5628</v>
      </c>
      <c r="D15528" s="1" t="s">
        <v>5629</v>
      </c>
    </row>
    <row r="15529">
      <c r="A15529" s="1" t="s">
        <v>26487</v>
      </c>
      <c r="B15529" s="2" t="s">
        <v>26488</v>
      </c>
      <c r="C15529" s="1" t="s">
        <v>5628</v>
      </c>
      <c r="D15529" s="1" t="s">
        <v>5629</v>
      </c>
    </row>
    <row r="15530">
      <c r="A15530" s="1" t="s">
        <v>26489</v>
      </c>
      <c r="B15530" s="2" t="s">
        <v>26490</v>
      </c>
      <c r="C15530" s="1" t="s">
        <v>5628</v>
      </c>
      <c r="D15530" s="1" t="s">
        <v>5629</v>
      </c>
    </row>
    <row r="15531">
      <c r="A15531" s="1" t="s">
        <v>26491</v>
      </c>
      <c r="B15531" s="2" t="s">
        <v>26492</v>
      </c>
      <c r="C15531" s="1" t="s">
        <v>5628</v>
      </c>
      <c r="D15531" s="1" t="s">
        <v>5629</v>
      </c>
    </row>
    <row r="15532">
      <c r="A15532" s="1" t="s">
        <v>26493</v>
      </c>
      <c r="B15532" s="2" t="s">
        <v>26494</v>
      </c>
      <c r="C15532" s="1" t="s">
        <v>5628</v>
      </c>
      <c r="D15532" s="1" t="s">
        <v>5629</v>
      </c>
    </row>
    <row r="15533">
      <c r="A15533" s="1" t="s">
        <v>26495</v>
      </c>
      <c r="B15533" s="2" t="s">
        <v>26496</v>
      </c>
      <c r="C15533" s="1" t="s">
        <v>5628</v>
      </c>
      <c r="D15533" s="1" t="s">
        <v>5629</v>
      </c>
    </row>
    <row r="15534">
      <c r="A15534" s="1" t="s">
        <v>26497</v>
      </c>
      <c r="B15534" s="2" t="s">
        <v>26498</v>
      </c>
      <c r="C15534" s="1" t="s">
        <v>5628</v>
      </c>
      <c r="D15534" s="1" t="s">
        <v>5629</v>
      </c>
    </row>
    <row r="15535">
      <c r="A15535" s="1" t="s">
        <v>26499</v>
      </c>
      <c r="B15535" s="2" t="s">
        <v>26500</v>
      </c>
      <c r="C15535" s="1" t="s">
        <v>5628</v>
      </c>
      <c r="D15535" s="1" t="s">
        <v>5629</v>
      </c>
    </row>
    <row r="15536">
      <c r="A15536" s="1" t="s">
        <v>26501</v>
      </c>
      <c r="B15536" s="2" t="s">
        <v>26502</v>
      </c>
      <c r="C15536" s="1" t="s">
        <v>5628</v>
      </c>
      <c r="D15536" s="1" t="s">
        <v>5629</v>
      </c>
    </row>
    <row r="15537">
      <c r="A15537" s="1" t="s">
        <v>26503</v>
      </c>
      <c r="B15537" s="2" t="s">
        <v>26504</v>
      </c>
      <c r="C15537" s="1" t="s">
        <v>5628</v>
      </c>
      <c r="D15537" s="1" t="s">
        <v>5629</v>
      </c>
    </row>
    <row r="15538">
      <c r="A15538" s="1" t="s">
        <v>26505</v>
      </c>
      <c r="B15538" s="2" t="s">
        <v>26506</v>
      </c>
      <c r="C15538" s="1" t="s">
        <v>5628</v>
      </c>
      <c r="D15538" s="1" t="s">
        <v>5629</v>
      </c>
    </row>
    <row r="15539">
      <c r="A15539" s="1" t="s">
        <v>26507</v>
      </c>
      <c r="B15539" s="2" t="s">
        <v>26508</v>
      </c>
      <c r="C15539" s="1" t="s">
        <v>5628</v>
      </c>
      <c r="D15539" s="1" t="s">
        <v>5629</v>
      </c>
    </row>
    <row r="15540">
      <c r="A15540" s="1" t="s">
        <v>26509</v>
      </c>
      <c r="B15540" s="2" t="s">
        <v>26510</v>
      </c>
      <c r="C15540" s="1" t="s">
        <v>5628</v>
      </c>
      <c r="D15540" s="1" t="s">
        <v>5629</v>
      </c>
    </row>
    <row r="15541">
      <c r="A15541" s="1" t="s">
        <v>26511</v>
      </c>
      <c r="B15541" s="2" t="s">
        <v>26512</v>
      </c>
      <c r="C15541" s="1" t="s">
        <v>5628</v>
      </c>
      <c r="D15541" s="1" t="s">
        <v>5629</v>
      </c>
    </row>
    <row r="15542">
      <c r="A15542" s="1" t="s">
        <v>26513</v>
      </c>
      <c r="B15542" s="2" t="s">
        <v>26514</v>
      </c>
      <c r="C15542" s="1" t="s">
        <v>5628</v>
      </c>
      <c r="D15542" s="1" t="s">
        <v>5629</v>
      </c>
    </row>
    <row r="15543">
      <c r="A15543" s="1" t="s">
        <v>26515</v>
      </c>
      <c r="B15543" s="2" t="s">
        <v>26516</v>
      </c>
      <c r="C15543" s="1" t="s">
        <v>5628</v>
      </c>
      <c r="D15543" s="1" t="s">
        <v>5629</v>
      </c>
    </row>
    <row r="15544">
      <c r="A15544" s="1" t="s">
        <v>26517</v>
      </c>
      <c r="B15544" s="2" t="s">
        <v>26518</v>
      </c>
      <c r="C15544" s="1" t="s">
        <v>5628</v>
      </c>
      <c r="D15544" s="1" t="s">
        <v>5629</v>
      </c>
    </row>
    <row r="15545">
      <c r="A15545" s="1" t="s">
        <v>26519</v>
      </c>
      <c r="B15545" s="2" t="s">
        <v>26520</v>
      </c>
      <c r="C15545" s="1" t="s">
        <v>5628</v>
      </c>
      <c r="D15545" s="1" t="s">
        <v>5629</v>
      </c>
    </row>
    <row r="15546">
      <c r="A15546" s="1" t="s">
        <v>26521</v>
      </c>
      <c r="B15546" s="2" t="s">
        <v>26522</v>
      </c>
      <c r="C15546" s="1" t="s">
        <v>5628</v>
      </c>
      <c r="D15546" s="1" t="s">
        <v>5629</v>
      </c>
    </row>
    <row r="15547">
      <c r="A15547" s="1" t="s">
        <v>26523</v>
      </c>
      <c r="B15547" s="2" t="s">
        <v>26524</v>
      </c>
      <c r="C15547" s="1" t="s">
        <v>5628</v>
      </c>
      <c r="D15547" s="1" t="s">
        <v>5629</v>
      </c>
    </row>
    <row r="15548">
      <c r="A15548" s="1" t="s">
        <v>26525</v>
      </c>
      <c r="B15548" s="2" t="s">
        <v>26526</v>
      </c>
      <c r="C15548" s="1" t="s">
        <v>5628</v>
      </c>
      <c r="D15548" s="1" t="s">
        <v>5629</v>
      </c>
    </row>
    <row r="15549">
      <c r="A15549" s="1" t="s">
        <v>26527</v>
      </c>
      <c r="B15549" s="2" t="s">
        <v>26528</v>
      </c>
      <c r="C15549" s="1" t="s">
        <v>5628</v>
      </c>
      <c r="D15549" s="1" t="s">
        <v>5629</v>
      </c>
    </row>
    <row r="15550">
      <c r="A15550" s="1" t="s">
        <v>26529</v>
      </c>
      <c r="B15550" s="2" t="s">
        <v>26530</v>
      </c>
      <c r="C15550" s="1" t="s">
        <v>5628</v>
      </c>
      <c r="D15550" s="1" t="s">
        <v>5629</v>
      </c>
    </row>
    <row r="15551">
      <c r="A15551" s="1" t="s">
        <v>26531</v>
      </c>
      <c r="B15551" s="2" t="s">
        <v>26532</v>
      </c>
      <c r="C15551" s="1" t="s">
        <v>5628</v>
      </c>
      <c r="D15551" s="1" t="s">
        <v>5629</v>
      </c>
    </row>
    <row r="15552">
      <c r="A15552" s="1" t="s">
        <v>26533</v>
      </c>
      <c r="B15552" s="2" t="s">
        <v>26534</v>
      </c>
      <c r="C15552" s="1" t="s">
        <v>5628</v>
      </c>
      <c r="D15552" s="1" t="s">
        <v>5629</v>
      </c>
    </row>
    <row r="15553">
      <c r="A15553" s="1" t="s">
        <v>26535</v>
      </c>
      <c r="B15553" s="2" t="s">
        <v>26536</v>
      </c>
      <c r="C15553" s="1" t="s">
        <v>5628</v>
      </c>
      <c r="D15553" s="1" t="s">
        <v>5629</v>
      </c>
    </row>
    <row r="15554">
      <c r="A15554" s="1" t="s">
        <v>26537</v>
      </c>
      <c r="B15554" s="2" t="s">
        <v>26538</v>
      </c>
      <c r="C15554" s="1" t="s">
        <v>5628</v>
      </c>
      <c r="D15554" s="1" t="s">
        <v>5629</v>
      </c>
    </row>
    <row r="15555">
      <c r="A15555" s="1" t="s">
        <v>26539</v>
      </c>
      <c r="B15555" s="2" t="s">
        <v>26540</v>
      </c>
      <c r="C15555" s="1" t="s">
        <v>5628</v>
      </c>
      <c r="D15555" s="1" t="s">
        <v>5629</v>
      </c>
    </row>
    <row r="15556">
      <c r="A15556" s="1" t="s">
        <v>26541</v>
      </c>
      <c r="B15556" s="2" t="s">
        <v>26542</v>
      </c>
      <c r="C15556" s="1" t="s">
        <v>5628</v>
      </c>
      <c r="D15556" s="1" t="s">
        <v>5629</v>
      </c>
    </row>
    <row r="15557">
      <c r="A15557" s="1" t="s">
        <v>26543</v>
      </c>
      <c r="B15557" s="2" t="s">
        <v>26544</v>
      </c>
      <c r="C15557" s="1" t="s">
        <v>5628</v>
      </c>
      <c r="D15557" s="1" t="s">
        <v>5629</v>
      </c>
    </row>
    <row r="15558">
      <c r="A15558" s="1" t="s">
        <v>26545</v>
      </c>
      <c r="B15558" s="2" t="s">
        <v>26546</v>
      </c>
      <c r="C15558" s="1" t="s">
        <v>5628</v>
      </c>
      <c r="D15558" s="1" t="s">
        <v>5629</v>
      </c>
    </row>
    <row r="15559">
      <c r="A15559" s="1" t="s">
        <v>26547</v>
      </c>
      <c r="B15559" s="2" t="s">
        <v>26548</v>
      </c>
      <c r="C15559" s="1" t="s">
        <v>5628</v>
      </c>
      <c r="D15559" s="1" t="s">
        <v>5629</v>
      </c>
    </row>
    <row r="15560">
      <c r="A15560" s="1" t="s">
        <v>26549</v>
      </c>
      <c r="B15560" s="2" t="s">
        <v>26550</v>
      </c>
      <c r="C15560" s="1" t="s">
        <v>5628</v>
      </c>
      <c r="D15560" s="1" t="s">
        <v>5629</v>
      </c>
    </row>
    <row r="15561">
      <c r="A15561" s="1" t="s">
        <v>26551</v>
      </c>
      <c r="B15561" s="2" t="s">
        <v>26552</v>
      </c>
      <c r="C15561" s="1" t="s">
        <v>5628</v>
      </c>
      <c r="D15561" s="1" t="s">
        <v>5629</v>
      </c>
    </row>
    <row r="15562">
      <c r="A15562" s="1" t="s">
        <v>26553</v>
      </c>
      <c r="B15562" s="2" t="s">
        <v>26554</v>
      </c>
      <c r="C15562" s="1" t="s">
        <v>5628</v>
      </c>
      <c r="D15562" s="1" t="s">
        <v>5629</v>
      </c>
    </row>
    <row r="15563">
      <c r="A15563" s="1" t="s">
        <v>26555</v>
      </c>
      <c r="B15563" s="2" t="s">
        <v>26556</v>
      </c>
      <c r="C15563" s="1" t="s">
        <v>5628</v>
      </c>
      <c r="D15563" s="1" t="s">
        <v>5629</v>
      </c>
    </row>
    <row r="15564">
      <c r="A15564" s="1" t="s">
        <v>26557</v>
      </c>
      <c r="B15564" s="2" t="s">
        <v>26558</v>
      </c>
      <c r="C15564" s="1" t="s">
        <v>5628</v>
      </c>
      <c r="D15564" s="1" t="s">
        <v>5629</v>
      </c>
    </row>
    <row r="15565">
      <c r="A15565" s="1" t="s">
        <v>26559</v>
      </c>
      <c r="B15565" s="2" t="s">
        <v>26560</v>
      </c>
      <c r="C15565" s="1" t="s">
        <v>5628</v>
      </c>
      <c r="D15565" s="1" t="s">
        <v>5629</v>
      </c>
    </row>
    <row r="15566">
      <c r="A15566" s="1" t="s">
        <v>26561</v>
      </c>
      <c r="B15566" s="2" t="s">
        <v>26562</v>
      </c>
      <c r="C15566" s="1" t="s">
        <v>5628</v>
      </c>
      <c r="D15566" s="1" t="s">
        <v>5629</v>
      </c>
    </row>
    <row r="15567">
      <c r="A15567" s="1" t="s">
        <v>26563</v>
      </c>
      <c r="B15567" s="2" t="s">
        <v>26564</v>
      </c>
      <c r="C15567" s="1" t="s">
        <v>5628</v>
      </c>
      <c r="D15567" s="1" t="s">
        <v>5629</v>
      </c>
    </row>
    <row r="15568">
      <c r="A15568" s="1" t="s">
        <v>26565</v>
      </c>
      <c r="B15568" s="2" t="s">
        <v>26566</v>
      </c>
      <c r="C15568" s="1" t="s">
        <v>5628</v>
      </c>
      <c r="D15568" s="1" t="s">
        <v>5629</v>
      </c>
    </row>
    <row r="15569">
      <c r="A15569" s="1" t="s">
        <v>26567</v>
      </c>
      <c r="B15569" s="2" t="s">
        <v>26568</v>
      </c>
      <c r="C15569" s="1" t="s">
        <v>5628</v>
      </c>
      <c r="D15569" s="1" t="s">
        <v>5629</v>
      </c>
    </row>
    <row r="15570">
      <c r="A15570" s="1" t="s">
        <v>26569</v>
      </c>
      <c r="B15570" s="2" t="s">
        <v>26570</v>
      </c>
      <c r="C15570" s="1" t="s">
        <v>5628</v>
      </c>
      <c r="D15570" s="1" t="s">
        <v>5629</v>
      </c>
    </row>
    <row r="15571">
      <c r="A15571" s="1" t="s">
        <v>26571</v>
      </c>
      <c r="B15571" s="2" t="s">
        <v>26572</v>
      </c>
      <c r="C15571" s="1" t="s">
        <v>5628</v>
      </c>
      <c r="D15571" s="1" t="s">
        <v>5629</v>
      </c>
    </row>
    <row r="15572">
      <c r="A15572" s="1" t="s">
        <v>26573</v>
      </c>
      <c r="B15572" s="2" t="s">
        <v>26574</v>
      </c>
      <c r="C15572" s="1" t="s">
        <v>5628</v>
      </c>
      <c r="D15572" s="1" t="s">
        <v>5629</v>
      </c>
    </row>
    <row r="15573">
      <c r="A15573" s="1" t="s">
        <v>26575</v>
      </c>
      <c r="B15573" s="2" t="s">
        <v>26576</v>
      </c>
      <c r="C15573" s="1" t="s">
        <v>5628</v>
      </c>
      <c r="D15573" s="1" t="s">
        <v>5629</v>
      </c>
    </row>
    <row r="15574">
      <c r="A15574" s="1" t="s">
        <v>26577</v>
      </c>
      <c r="B15574" s="2" t="s">
        <v>26578</v>
      </c>
      <c r="C15574" s="1" t="s">
        <v>5628</v>
      </c>
      <c r="D15574" s="1" t="s">
        <v>5629</v>
      </c>
    </row>
    <row r="15575">
      <c r="A15575" s="1" t="s">
        <v>26579</v>
      </c>
      <c r="B15575" s="2" t="s">
        <v>26580</v>
      </c>
      <c r="C15575" s="1" t="s">
        <v>5628</v>
      </c>
      <c r="D15575" s="1" t="s">
        <v>5629</v>
      </c>
    </row>
    <row r="15576">
      <c r="A15576" s="1" t="s">
        <v>26581</v>
      </c>
      <c r="B15576" s="2" t="s">
        <v>26582</v>
      </c>
      <c r="C15576" s="1" t="s">
        <v>5628</v>
      </c>
      <c r="D15576" s="1" t="s">
        <v>5629</v>
      </c>
    </row>
    <row r="15577">
      <c r="A15577" s="1" t="s">
        <v>26583</v>
      </c>
      <c r="B15577" s="2" t="s">
        <v>26584</v>
      </c>
      <c r="C15577" s="1" t="s">
        <v>5628</v>
      </c>
      <c r="D15577" s="1" t="s">
        <v>5629</v>
      </c>
    </row>
    <row r="15578">
      <c r="A15578" s="1" t="s">
        <v>26585</v>
      </c>
      <c r="B15578" s="2" t="s">
        <v>26586</v>
      </c>
      <c r="C15578" s="1" t="s">
        <v>5628</v>
      </c>
      <c r="D15578" s="1" t="s">
        <v>5629</v>
      </c>
    </row>
    <row r="15579">
      <c r="A15579" s="1" t="s">
        <v>26587</v>
      </c>
      <c r="B15579" s="2" t="s">
        <v>26588</v>
      </c>
      <c r="C15579" s="1" t="s">
        <v>5628</v>
      </c>
      <c r="D15579" s="1" t="s">
        <v>5629</v>
      </c>
    </row>
    <row r="15580">
      <c r="A15580" s="1" t="s">
        <v>26589</v>
      </c>
      <c r="B15580" s="2" t="s">
        <v>26590</v>
      </c>
      <c r="C15580" s="1" t="s">
        <v>5628</v>
      </c>
      <c r="D15580" s="1" t="s">
        <v>5629</v>
      </c>
    </row>
    <row r="15581">
      <c r="A15581" s="1" t="s">
        <v>26591</v>
      </c>
      <c r="B15581" s="2" t="s">
        <v>26592</v>
      </c>
      <c r="C15581" s="1" t="s">
        <v>5628</v>
      </c>
      <c r="D15581" s="1" t="s">
        <v>5629</v>
      </c>
    </row>
    <row r="15582">
      <c r="A15582" s="1" t="s">
        <v>26593</v>
      </c>
      <c r="B15582" s="2" t="s">
        <v>26594</v>
      </c>
      <c r="C15582" s="1" t="s">
        <v>5628</v>
      </c>
      <c r="D15582" s="1" t="s">
        <v>5629</v>
      </c>
    </row>
    <row r="15583">
      <c r="A15583" s="1" t="s">
        <v>26595</v>
      </c>
      <c r="B15583" s="2" t="s">
        <v>26596</v>
      </c>
      <c r="C15583" s="1" t="s">
        <v>5628</v>
      </c>
      <c r="D15583" s="1" t="s">
        <v>5629</v>
      </c>
    </row>
    <row r="15584">
      <c r="A15584" s="1" t="s">
        <v>26597</v>
      </c>
      <c r="B15584" s="2" t="s">
        <v>26598</v>
      </c>
      <c r="C15584" s="1" t="s">
        <v>5628</v>
      </c>
      <c r="D15584" s="1" t="s">
        <v>5629</v>
      </c>
    </row>
    <row r="15585">
      <c r="A15585" s="1" t="s">
        <v>26599</v>
      </c>
      <c r="B15585" s="2" t="s">
        <v>26600</v>
      </c>
      <c r="C15585" s="1" t="s">
        <v>5628</v>
      </c>
      <c r="D15585" s="1" t="s">
        <v>5629</v>
      </c>
    </row>
    <row r="15586">
      <c r="A15586" s="1" t="s">
        <v>26601</v>
      </c>
      <c r="B15586" s="2" t="s">
        <v>26602</v>
      </c>
      <c r="C15586" s="1" t="s">
        <v>5628</v>
      </c>
      <c r="D15586" s="1" t="s">
        <v>5629</v>
      </c>
    </row>
    <row r="15587">
      <c r="A15587" s="1" t="s">
        <v>26603</v>
      </c>
      <c r="B15587" s="2" t="s">
        <v>26604</v>
      </c>
      <c r="C15587" s="1" t="s">
        <v>5628</v>
      </c>
      <c r="D15587" s="1" t="s">
        <v>5629</v>
      </c>
    </row>
    <row r="15588">
      <c r="A15588" s="1" t="s">
        <v>26605</v>
      </c>
      <c r="B15588" s="2" t="s">
        <v>26606</v>
      </c>
      <c r="C15588" s="1" t="s">
        <v>5628</v>
      </c>
      <c r="D15588" s="1" t="s">
        <v>5629</v>
      </c>
    </row>
    <row r="15589">
      <c r="A15589" s="1" t="s">
        <v>26607</v>
      </c>
      <c r="B15589" s="2" t="s">
        <v>26608</v>
      </c>
      <c r="C15589" s="1" t="s">
        <v>5628</v>
      </c>
      <c r="D15589" s="1" t="s">
        <v>5629</v>
      </c>
    </row>
    <row r="15590">
      <c r="A15590" s="1" t="s">
        <v>26609</v>
      </c>
      <c r="B15590" s="2" t="s">
        <v>26610</v>
      </c>
      <c r="C15590" s="1" t="s">
        <v>5628</v>
      </c>
      <c r="D15590" s="1" t="s">
        <v>5629</v>
      </c>
    </row>
    <row r="15591">
      <c r="A15591" s="1" t="s">
        <v>26611</v>
      </c>
      <c r="B15591" s="2" t="s">
        <v>26612</v>
      </c>
      <c r="C15591" s="1" t="s">
        <v>5628</v>
      </c>
      <c r="D15591" s="1" t="s">
        <v>5629</v>
      </c>
    </row>
    <row r="15592">
      <c r="A15592" s="1" t="s">
        <v>26613</v>
      </c>
      <c r="B15592" s="2" t="s">
        <v>26614</v>
      </c>
      <c r="C15592" s="1" t="s">
        <v>5628</v>
      </c>
      <c r="D15592" s="1" t="s">
        <v>5629</v>
      </c>
    </row>
    <row r="15593">
      <c r="A15593" s="1" t="s">
        <v>26615</v>
      </c>
      <c r="B15593" s="2" t="s">
        <v>26616</v>
      </c>
      <c r="C15593" s="1" t="s">
        <v>5628</v>
      </c>
      <c r="D15593" s="1" t="s">
        <v>5629</v>
      </c>
    </row>
    <row r="15594">
      <c r="A15594" s="1" t="s">
        <v>26617</v>
      </c>
      <c r="B15594" s="2" t="s">
        <v>26618</v>
      </c>
      <c r="C15594" s="1" t="s">
        <v>5628</v>
      </c>
      <c r="D15594" s="1" t="s">
        <v>5629</v>
      </c>
    </row>
    <row r="15595">
      <c r="A15595" s="1" t="s">
        <v>26619</v>
      </c>
      <c r="B15595" s="2" t="s">
        <v>26620</v>
      </c>
      <c r="C15595" s="1" t="s">
        <v>5628</v>
      </c>
      <c r="D15595" s="1" t="s">
        <v>5629</v>
      </c>
    </row>
    <row r="15596">
      <c r="A15596" s="1" t="s">
        <v>26621</v>
      </c>
      <c r="B15596" s="2" t="s">
        <v>26622</v>
      </c>
      <c r="C15596" s="1" t="s">
        <v>5628</v>
      </c>
      <c r="D15596" s="1" t="s">
        <v>5629</v>
      </c>
    </row>
    <row r="15597">
      <c r="A15597" s="1" t="s">
        <v>26623</v>
      </c>
      <c r="B15597" s="2" t="s">
        <v>26624</v>
      </c>
      <c r="C15597" s="1" t="s">
        <v>5628</v>
      </c>
      <c r="D15597" s="1" t="s">
        <v>5629</v>
      </c>
    </row>
    <row r="15598">
      <c r="A15598" s="1" t="s">
        <v>26625</v>
      </c>
      <c r="B15598" s="2" t="s">
        <v>26626</v>
      </c>
      <c r="C15598" s="1" t="s">
        <v>5628</v>
      </c>
      <c r="D15598" s="1" t="s">
        <v>5629</v>
      </c>
    </row>
    <row r="15599">
      <c r="A15599" s="1" t="s">
        <v>26627</v>
      </c>
      <c r="B15599" s="2" t="s">
        <v>26628</v>
      </c>
      <c r="C15599" s="1" t="s">
        <v>5628</v>
      </c>
      <c r="D15599" s="1" t="s">
        <v>5629</v>
      </c>
    </row>
    <row r="15600">
      <c r="A15600" s="1" t="s">
        <v>26629</v>
      </c>
      <c r="B15600" s="2" t="s">
        <v>26630</v>
      </c>
      <c r="C15600" s="1" t="s">
        <v>5628</v>
      </c>
      <c r="D15600" s="1" t="s">
        <v>5629</v>
      </c>
    </row>
    <row r="15601">
      <c r="A15601" s="1" t="s">
        <v>26631</v>
      </c>
      <c r="B15601" s="2" t="s">
        <v>26632</v>
      </c>
      <c r="C15601" s="1" t="s">
        <v>5628</v>
      </c>
      <c r="D15601" s="1" t="s">
        <v>5629</v>
      </c>
    </row>
    <row r="15602">
      <c r="A15602" s="1" t="s">
        <v>26633</v>
      </c>
      <c r="B15602" s="2" t="s">
        <v>26634</v>
      </c>
      <c r="C15602" s="1" t="s">
        <v>5628</v>
      </c>
      <c r="D15602" s="1" t="s">
        <v>5629</v>
      </c>
    </row>
    <row r="15603">
      <c r="A15603" s="1" t="s">
        <v>26635</v>
      </c>
      <c r="B15603" s="2" t="s">
        <v>26636</v>
      </c>
      <c r="C15603" s="1" t="s">
        <v>5628</v>
      </c>
      <c r="D15603" s="1" t="s">
        <v>5629</v>
      </c>
    </row>
    <row r="15604">
      <c r="A15604" s="1" t="s">
        <v>26637</v>
      </c>
      <c r="B15604" s="2" t="s">
        <v>26638</v>
      </c>
      <c r="C15604" s="1" t="s">
        <v>5628</v>
      </c>
      <c r="D15604" s="1" t="s">
        <v>5629</v>
      </c>
    </row>
    <row r="15605">
      <c r="A15605" s="1" t="s">
        <v>26639</v>
      </c>
      <c r="B15605" s="2" t="s">
        <v>26640</v>
      </c>
      <c r="C15605" s="1" t="s">
        <v>5628</v>
      </c>
      <c r="D15605" s="1" t="s">
        <v>5629</v>
      </c>
    </row>
    <row r="15606">
      <c r="A15606" s="1" t="s">
        <v>26641</v>
      </c>
      <c r="B15606" s="2" t="s">
        <v>26642</v>
      </c>
      <c r="C15606" s="1" t="s">
        <v>5628</v>
      </c>
      <c r="D15606" s="1" t="s">
        <v>5629</v>
      </c>
    </row>
    <row r="15607">
      <c r="A15607" s="1" t="s">
        <v>26643</v>
      </c>
      <c r="B15607" s="2" t="s">
        <v>26644</v>
      </c>
      <c r="C15607" s="1" t="s">
        <v>5628</v>
      </c>
      <c r="D15607" s="1" t="s">
        <v>5629</v>
      </c>
    </row>
    <row r="15608">
      <c r="A15608" s="1" t="s">
        <v>26645</v>
      </c>
      <c r="B15608" s="2" t="s">
        <v>26646</v>
      </c>
      <c r="C15608" s="1" t="s">
        <v>5628</v>
      </c>
      <c r="D15608" s="1" t="s">
        <v>5629</v>
      </c>
    </row>
    <row r="15609">
      <c r="A15609" s="1" t="s">
        <v>26647</v>
      </c>
      <c r="B15609" s="2" t="s">
        <v>26648</v>
      </c>
      <c r="C15609" s="1" t="s">
        <v>5628</v>
      </c>
      <c r="D15609" s="1" t="s">
        <v>5629</v>
      </c>
    </row>
    <row r="15610">
      <c r="A15610" s="1" t="s">
        <v>26649</v>
      </c>
      <c r="B15610" s="2" t="s">
        <v>26650</v>
      </c>
      <c r="C15610" s="1" t="s">
        <v>5628</v>
      </c>
      <c r="D15610" s="1" t="s">
        <v>5629</v>
      </c>
    </row>
    <row r="15611">
      <c r="A15611" s="1" t="s">
        <v>26651</v>
      </c>
      <c r="B15611" s="2" t="s">
        <v>26652</v>
      </c>
      <c r="C15611" s="1" t="s">
        <v>5628</v>
      </c>
      <c r="D15611" s="1" t="s">
        <v>5629</v>
      </c>
    </row>
    <row r="15612">
      <c r="A15612" s="1" t="s">
        <v>26653</v>
      </c>
      <c r="B15612" s="2" t="s">
        <v>26654</v>
      </c>
      <c r="C15612" s="1" t="s">
        <v>5628</v>
      </c>
      <c r="D15612" s="1" t="s">
        <v>5629</v>
      </c>
    </row>
    <row r="15613">
      <c r="A15613" s="1" t="s">
        <v>26655</v>
      </c>
      <c r="B15613" s="2" t="s">
        <v>26656</v>
      </c>
      <c r="C15613" s="1" t="s">
        <v>5628</v>
      </c>
      <c r="D15613" s="1" t="s">
        <v>5629</v>
      </c>
    </row>
    <row r="15614">
      <c r="A15614" s="1" t="s">
        <v>26657</v>
      </c>
      <c r="B15614" s="2" t="s">
        <v>26658</v>
      </c>
      <c r="C15614" s="1" t="s">
        <v>5628</v>
      </c>
      <c r="D15614" s="1" t="s">
        <v>5629</v>
      </c>
    </row>
    <row r="15615">
      <c r="A15615" s="1" t="s">
        <v>26659</v>
      </c>
      <c r="B15615" s="2" t="s">
        <v>26660</v>
      </c>
      <c r="C15615" s="1" t="s">
        <v>5628</v>
      </c>
      <c r="D15615" s="1" t="s">
        <v>5629</v>
      </c>
    </row>
    <row r="15616">
      <c r="A15616" s="1" t="s">
        <v>26661</v>
      </c>
      <c r="B15616" s="2" t="s">
        <v>26662</v>
      </c>
      <c r="C15616" s="1" t="s">
        <v>5628</v>
      </c>
      <c r="D15616" s="1" t="s">
        <v>5629</v>
      </c>
    </row>
    <row r="15617">
      <c r="A15617" s="1" t="s">
        <v>26663</v>
      </c>
      <c r="B15617" s="2" t="s">
        <v>26664</v>
      </c>
      <c r="C15617" s="1" t="s">
        <v>5628</v>
      </c>
      <c r="D15617" s="1" t="s">
        <v>5629</v>
      </c>
    </row>
    <row r="15618">
      <c r="A15618" s="1" t="s">
        <v>26665</v>
      </c>
      <c r="B15618" s="2" t="s">
        <v>26666</v>
      </c>
      <c r="C15618" s="1" t="s">
        <v>5628</v>
      </c>
      <c r="D15618" s="1" t="s">
        <v>5629</v>
      </c>
    </row>
    <row r="15619">
      <c r="A15619" s="1" t="s">
        <v>26667</v>
      </c>
      <c r="B15619" s="2" t="s">
        <v>26668</v>
      </c>
      <c r="C15619" s="1" t="s">
        <v>5628</v>
      </c>
      <c r="D15619" s="1" t="s">
        <v>5629</v>
      </c>
    </row>
    <row r="15620">
      <c r="A15620" s="1" t="s">
        <v>26669</v>
      </c>
      <c r="B15620" s="2" t="s">
        <v>26670</v>
      </c>
      <c r="C15620" s="1" t="s">
        <v>5628</v>
      </c>
      <c r="D15620" s="1" t="s">
        <v>5629</v>
      </c>
    </row>
    <row r="15621">
      <c r="A15621" s="1" t="s">
        <v>26671</v>
      </c>
      <c r="B15621" s="2" t="s">
        <v>26672</v>
      </c>
      <c r="C15621" s="1" t="s">
        <v>5628</v>
      </c>
      <c r="D15621" s="1" t="s">
        <v>5629</v>
      </c>
    </row>
    <row r="15622">
      <c r="A15622" s="1" t="s">
        <v>26673</v>
      </c>
      <c r="B15622" s="2" t="s">
        <v>26674</v>
      </c>
      <c r="C15622" s="1" t="s">
        <v>5628</v>
      </c>
      <c r="D15622" s="1" t="s">
        <v>5629</v>
      </c>
    </row>
    <row r="15623">
      <c r="A15623" s="1" t="s">
        <v>26675</v>
      </c>
      <c r="B15623" s="2" t="s">
        <v>26676</v>
      </c>
      <c r="C15623" s="1" t="s">
        <v>5628</v>
      </c>
      <c r="D15623" s="1" t="s">
        <v>5629</v>
      </c>
    </row>
    <row r="15624">
      <c r="A15624" s="1" t="s">
        <v>26677</v>
      </c>
      <c r="B15624" s="2" t="s">
        <v>26678</v>
      </c>
      <c r="C15624" s="1" t="s">
        <v>5628</v>
      </c>
      <c r="D15624" s="1" t="s">
        <v>5629</v>
      </c>
    </row>
    <row r="15625">
      <c r="A15625" s="1" t="s">
        <v>26679</v>
      </c>
      <c r="B15625" s="2" t="s">
        <v>26680</v>
      </c>
      <c r="C15625" s="1" t="s">
        <v>5628</v>
      </c>
      <c r="D15625" s="1" t="s">
        <v>5629</v>
      </c>
    </row>
    <row r="15626">
      <c r="A15626" s="1" t="s">
        <v>26681</v>
      </c>
      <c r="B15626" s="2" t="s">
        <v>26682</v>
      </c>
      <c r="C15626" s="1" t="s">
        <v>5628</v>
      </c>
      <c r="D15626" s="1" t="s">
        <v>5629</v>
      </c>
    </row>
    <row r="15627">
      <c r="A15627" s="1" t="s">
        <v>26683</v>
      </c>
      <c r="B15627" s="2" t="s">
        <v>26684</v>
      </c>
      <c r="C15627" s="1" t="s">
        <v>5628</v>
      </c>
      <c r="D15627" s="1" t="s">
        <v>5629</v>
      </c>
    </row>
    <row r="15628">
      <c r="A15628" s="1" t="s">
        <v>26685</v>
      </c>
      <c r="B15628" s="2" t="s">
        <v>26686</v>
      </c>
      <c r="C15628" s="1" t="s">
        <v>5628</v>
      </c>
      <c r="D15628" s="1" t="s">
        <v>5629</v>
      </c>
    </row>
    <row r="15629">
      <c r="A15629" s="1" t="s">
        <v>26687</v>
      </c>
      <c r="B15629" s="2" t="s">
        <v>26688</v>
      </c>
      <c r="C15629" s="1" t="s">
        <v>5628</v>
      </c>
      <c r="D15629" s="1" t="s">
        <v>5629</v>
      </c>
    </row>
    <row r="15630">
      <c r="A15630" s="1" t="s">
        <v>26689</v>
      </c>
      <c r="B15630" s="2" t="s">
        <v>26690</v>
      </c>
      <c r="C15630" s="1" t="s">
        <v>5628</v>
      </c>
      <c r="D15630" s="1" t="s">
        <v>5629</v>
      </c>
    </row>
    <row r="15631">
      <c r="A15631" s="1" t="s">
        <v>26691</v>
      </c>
      <c r="B15631" s="2" t="s">
        <v>26692</v>
      </c>
      <c r="C15631" s="1" t="s">
        <v>5628</v>
      </c>
      <c r="D15631" s="1" t="s">
        <v>5629</v>
      </c>
    </row>
    <row r="15632">
      <c r="A15632" s="1" t="s">
        <v>26693</v>
      </c>
      <c r="B15632" s="2" t="s">
        <v>26694</v>
      </c>
      <c r="C15632" s="1" t="s">
        <v>5628</v>
      </c>
      <c r="D15632" s="1" t="s">
        <v>5629</v>
      </c>
    </row>
    <row r="15633">
      <c r="A15633" s="1" t="s">
        <v>26695</v>
      </c>
      <c r="B15633" s="2" t="s">
        <v>26696</v>
      </c>
      <c r="C15633" s="1" t="s">
        <v>5628</v>
      </c>
      <c r="D15633" s="1" t="s">
        <v>5629</v>
      </c>
    </row>
    <row r="15634">
      <c r="A15634" s="1" t="s">
        <v>26697</v>
      </c>
      <c r="B15634" s="2" t="s">
        <v>26698</v>
      </c>
      <c r="C15634" s="1" t="s">
        <v>5628</v>
      </c>
      <c r="D15634" s="1" t="s">
        <v>5629</v>
      </c>
    </row>
    <row r="15635">
      <c r="A15635" s="1" t="s">
        <v>26699</v>
      </c>
      <c r="B15635" s="2" t="s">
        <v>26700</v>
      </c>
      <c r="C15635" s="1" t="s">
        <v>5628</v>
      </c>
      <c r="D15635" s="1" t="s">
        <v>5629</v>
      </c>
    </row>
    <row r="15636">
      <c r="A15636" s="1" t="s">
        <v>26701</v>
      </c>
      <c r="B15636" s="2" t="s">
        <v>26702</v>
      </c>
      <c r="C15636" s="1" t="s">
        <v>5628</v>
      </c>
      <c r="D15636" s="1" t="s">
        <v>5629</v>
      </c>
    </row>
    <row r="15637">
      <c r="A15637" s="1" t="s">
        <v>26703</v>
      </c>
      <c r="B15637" s="2" t="s">
        <v>26704</v>
      </c>
      <c r="C15637" s="1" t="s">
        <v>5628</v>
      </c>
      <c r="D15637" s="1" t="s">
        <v>5629</v>
      </c>
    </row>
    <row r="15638">
      <c r="A15638" s="1" t="s">
        <v>26705</v>
      </c>
      <c r="B15638" s="2" t="s">
        <v>26706</v>
      </c>
      <c r="C15638" s="1" t="s">
        <v>5628</v>
      </c>
      <c r="D15638" s="1" t="s">
        <v>5629</v>
      </c>
    </row>
    <row r="15639">
      <c r="A15639" s="1" t="s">
        <v>26707</v>
      </c>
      <c r="B15639" s="2" t="s">
        <v>26708</v>
      </c>
      <c r="C15639" s="1" t="s">
        <v>5628</v>
      </c>
      <c r="D15639" s="1" t="s">
        <v>5629</v>
      </c>
    </row>
    <row r="15640">
      <c r="A15640" s="1" t="s">
        <v>26709</v>
      </c>
      <c r="B15640" s="2" t="s">
        <v>26710</v>
      </c>
      <c r="C15640" s="1" t="s">
        <v>5628</v>
      </c>
      <c r="D15640" s="1" t="s">
        <v>5629</v>
      </c>
    </row>
    <row r="15641">
      <c r="A15641" s="1" t="s">
        <v>26711</v>
      </c>
      <c r="B15641" s="2" t="s">
        <v>26712</v>
      </c>
      <c r="C15641" s="1" t="s">
        <v>5628</v>
      </c>
      <c r="D15641" s="1" t="s">
        <v>5629</v>
      </c>
    </row>
    <row r="15642">
      <c r="A15642" s="1" t="s">
        <v>26713</v>
      </c>
      <c r="B15642" s="2" t="s">
        <v>26714</v>
      </c>
      <c r="C15642" s="1" t="s">
        <v>5628</v>
      </c>
      <c r="D15642" s="1" t="s">
        <v>5629</v>
      </c>
    </row>
    <row r="15643">
      <c r="A15643" s="1" t="s">
        <v>26715</v>
      </c>
      <c r="B15643" s="2" t="s">
        <v>26716</v>
      </c>
      <c r="C15643" s="1" t="s">
        <v>5628</v>
      </c>
      <c r="D15643" s="1" t="s">
        <v>5629</v>
      </c>
    </row>
    <row r="15644">
      <c r="A15644" s="1" t="s">
        <v>26717</v>
      </c>
      <c r="B15644" s="2" t="s">
        <v>26718</v>
      </c>
      <c r="C15644" s="1" t="s">
        <v>5628</v>
      </c>
      <c r="D15644" s="1" t="s">
        <v>5629</v>
      </c>
    </row>
    <row r="15645">
      <c r="A15645" s="1" t="s">
        <v>26719</v>
      </c>
      <c r="B15645" s="2" t="s">
        <v>26720</v>
      </c>
      <c r="C15645" s="1" t="s">
        <v>5628</v>
      </c>
      <c r="D15645" s="1" t="s">
        <v>5629</v>
      </c>
    </row>
    <row r="15646">
      <c r="A15646" s="1" t="s">
        <v>26721</v>
      </c>
      <c r="B15646" s="2" t="s">
        <v>26722</v>
      </c>
      <c r="C15646" s="1" t="s">
        <v>5628</v>
      </c>
      <c r="D15646" s="1" t="s">
        <v>5629</v>
      </c>
    </row>
    <row r="15647">
      <c r="A15647" s="1" t="s">
        <v>26723</v>
      </c>
      <c r="B15647" s="2" t="s">
        <v>26724</v>
      </c>
      <c r="C15647" s="1" t="s">
        <v>5628</v>
      </c>
      <c r="D15647" s="1" t="s">
        <v>5629</v>
      </c>
    </row>
    <row r="15648">
      <c r="A15648" s="1" t="s">
        <v>26725</v>
      </c>
      <c r="B15648" s="2" t="s">
        <v>26726</v>
      </c>
      <c r="C15648" s="1" t="s">
        <v>5628</v>
      </c>
      <c r="D15648" s="1" t="s">
        <v>5629</v>
      </c>
    </row>
    <row r="15649">
      <c r="A15649" s="1" t="s">
        <v>26727</v>
      </c>
      <c r="B15649" s="2" t="s">
        <v>26728</v>
      </c>
      <c r="C15649" s="1" t="s">
        <v>5628</v>
      </c>
      <c r="D15649" s="1" t="s">
        <v>5629</v>
      </c>
    </row>
    <row r="15650">
      <c r="A15650" s="1" t="s">
        <v>26729</v>
      </c>
      <c r="B15650" s="2" t="s">
        <v>26730</v>
      </c>
      <c r="C15650" s="1" t="s">
        <v>5628</v>
      </c>
      <c r="D15650" s="1" t="s">
        <v>5629</v>
      </c>
    </row>
    <row r="15651">
      <c r="A15651" s="1" t="s">
        <v>26731</v>
      </c>
      <c r="B15651" s="2" t="s">
        <v>26732</v>
      </c>
      <c r="C15651" s="1" t="s">
        <v>5628</v>
      </c>
      <c r="D15651" s="1" t="s">
        <v>5629</v>
      </c>
    </row>
    <row r="15652">
      <c r="A15652" s="1" t="s">
        <v>26733</v>
      </c>
      <c r="B15652" s="2" t="s">
        <v>26734</v>
      </c>
      <c r="C15652" s="1" t="s">
        <v>5628</v>
      </c>
      <c r="D15652" s="1" t="s">
        <v>5629</v>
      </c>
    </row>
    <row r="15653">
      <c r="A15653" s="1" t="s">
        <v>26735</v>
      </c>
      <c r="B15653" s="2" t="s">
        <v>26736</v>
      </c>
      <c r="C15653" s="1" t="s">
        <v>5628</v>
      </c>
      <c r="D15653" s="1" t="s">
        <v>5629</v>
      </c>
    </row>
    <row r="15654">
      <c r="A15654" s="1" t="s">
        <v>26737</v>
      </c>
      <c r="B15654" s="2" t="s">
        <v>26738</v>
      </c>
      <c r="C15654" s="1" t="s">
        <v>5628</v>
      </c>
      <c r="D15654" s="1" t="s">
        <v>5629</v>
      </c>
    </row>
    <row r="15655">
      <c r="A15655" s="1" t="s">
        <v>26739</v>
      </c>
      <c r="B15655" s="2" t="s">
        <v>26740</v>
      </c>
      <c r="C15655" s="1" t="s">
        <v>5628</v>
      </c>
      <c r="D15655" s="1" t="s">
        <v>5629</v>
      </c>
    </row>
    <row r="15656">
      <c r="A15656" s="1" t="s">
        <v>26741</v>
      </c>
      <c r="B15656" s="2" t="s">
        <v>26742</v>
      </c>
      <c r="C15656" s="1" t="s">
        <v>5628</v>
      </c>
      <c r="D15656" s="1" t="s">
        <v>5629</v>
      </c>
    </row>
    <row r="15657">
      <c r="A15657" s="1" t="s">
        <v>26743</v>
      </c>
      <c r="B15657" s="2" t="s">
        <v>26744</v>
      </c>
      <c r="C15657" s="1" t="s">
        <v>5628</v>
      </c>
      <c r="D15657" s="1" t="s">
        <v>5629</v>
      </c>
    </row>
    <row r="15658">
      <c r="A15658" s="1" t="s">
        <v>26745</v>
      </c>
      <c r="B15658" s="2" t="s">
        <v>26746</v>
      </c>
      <c r="C15658" s="1" t="s">
        <v>5628</v>
      </c>
      <c r="D15658" s="1" t="s">
        <v>5629</v>
      </c>
    </row>
    <row r="15659">
      <c r="A15659" s="1" t="s">
        <v>26747</v>
      </c>
      <c r="B15659" s="2" t="s">
        <v>26748</v>
      </c>
      <c r="C15659" s="1" t="s">
        <v>5628</v>
      </c>
      <c r="D15659" s="1" t="s">
        <v>5629</v>
      </c>
    </row>
    <row r="15660">
      <c r="A15660" s="1" t="s">
        <v>26749</v>
      </c>
      <c r="B15660" s="2" t="s">
        <v>26750</v>
      </c>
      <c r="C15660" s="1" t="s">
        <v>5628</v>
      </c>
      <c r="D15660" s="1" t="s">
        <v>5629</v>
      </c>
    </row>
    <row r="15661">
      <c r="A15661" s="1" t="s">
        <v>26751</v>
      </c>
      <c r="B15661" s="2" t="s">
        <v>26752</v>
      </c>
      <c r="C15661" s="1" t="s">
        <v>5628</v>
      </c>
      <c r="D15661" s="1" t="s">
        <v>5629</v>
      </c>
    </row>
    <row r="15662">
      <c r="A15662" s="1" t="s">
        <v>26753</v>
      </c>
      <c r="B15662" s="2" t="s">
        <v>26754</v>
      </c>
      <c r="C15662" s="1" t="s">
        <v>5628</v>
      </c>
      <c r="D15662" s="1" t="s">
        <v>5629</v>
      </c>
    </row>
    <row r="15663">
      <c r="A15663" s="1" t="s">
        <v>26755</v>
      </c>
      <c r="B15663" s="2" t="s">
        <v>26756</v>
      </c>
      <c r="C15663" s="1" t="s">
        <v>5628</v>
      </c>
      <c r="D15663" s="1" t="s">
        <v>5629</v>
      </c>
    </row>
    <row r="15664">
      <c r="A15664" s="1" t="s">
        <v>26757</v>
      </c>
      <c r="B15664" s="2" t="s">
        <v>26758</v>
      </c>
      <c r="C15664" s="1" t="s">
        <v>5628</v>
      </c>
      <c r="D15664" s="1" t="s">
        <v>5629</v>
      </c>
    </row>
    <row r="15665">
      <c r="A15665" s="1" t="s">
        <v>26759</v>
      </c>
      <c r="B15665" s="2" t="s">
        <v>26760</v>
      </c>
      <c r="C15665" s="1" t="s">
        <v>5628</v>
      </c>
      <c r="D15665" s="1" t="s">
        <v>5629</v>
      </c>
    </row>
    <row r="15666">
      <c r="A15666" s="1" t="s">
        <v>26761</v>
      </c>
      <c r="B15666" s="2" t="s">
        <v>26762</v>
      </c>
      <c r="C15666" s="1" t="s">
        <v>5628</v>
      </c>
      <c r="D15666" s="1" t="s">
        <v>5629</v>
      </c>
    </row>
    <row r="15667">
      <c r="A15667" s="1" t="s">
        <v>26763</v>
      </c>
      <c r="B15667" s="2" t="s">
        <v>26764</v>
      </c>
      <c r="C15667" s="1" t="s">
        <v>5628</v>
      </c>
      <c r="D15667" s="1" t="s">
        <v>5629</v>
      </c>
    </row>
    <row r="15668">
      <c r="A15668" s="1" t="s">
        <v>26765</v>
      </c>
      <c r="B15668" s="2" t="s">
        <v>26766</v>
      </c>
      <c r="C15668" s="1" t="s">
        <v>5628</v>
      </c>
      <c r="D15668" s="1" t="s">
        <v>5629</v>
      </c>
    </row>
    <row r="15669">
      <c r="A15669" s="1" t="s">
        <v>26767</v>
      </c>
      <c r="B15669" s="2" t="s">
        <v>26768</v>
      </c>
      <c r="C15669" s="1" t="s">
        <v>5628</v>
      </c>
      <c r="D15669" s="1" t="s">
        <v>5629</v>
      </c>
    </row>
    <row r="15670">
      <c r="A15670" s="1" t="s">
        <v>26769</v>
      </c>
      <c r="B15670" s="2" t="s">
        <v>26770</v>
      </c>
      <c r="C15670" s="1" t="s">
        <v>5628</v>
      </c>
      <c r="D15670" s="1" t="s">
        <v>5629</v>
      </c>
    </row>
    <row r="15671">
      <c r="A15671" s="1" t="s">
        <v>26771</v>
      </c>
      <c r="B15671" s="2" t="s">
        <v>26772</v>
      </c>
      <c r="C15671" s="1" t="s">
        <v>5628</v>
      </c>
      <c r="D15671" s="1" t="s">
        <v>5629</v>
      </c>
    </row>
    <row r="15672">
      <c r="A15672" s="1" t="s">
        <v>26773</v>
      </c>
      <c r="B15672" s="2" t="s">
        <v>26774</v>
      </c>
      <c r="C15672" s="1" t="s">
        <v>5628</v>
      </c>
      <c r="D15672" s="1" t="s">
        <v>5629</v>
      </c>
    </row>
    <row r="15673">
      <c r="A15673" s="1" t="s">
        <v>26775</v>
      </c>
      <c r="B15673" s="2" t="s">
        <v>26776</v>
      </c>
      <c r="C15673" s="1" t="s">
        <v>5628</v>
      </c>
      <c r="D15673" s="1" t="s">
        <v>5629</v>
      </c>
    </row>
    <row r="15674">
      <c r="A15674" s="1" t="s">
        <v>26777</v>
      </c>
      <c r="B15674" s="2" t="s">
        <v>26778</v>
      </c>
      <c r="C15674" s="1" t="s">
        <v>5628</v>
      </c>
      <c r="D15674" s="1" t="s">
        <v>5629</v>
      </c>
    </row>
    <row r="15675">
      <c r="A15675" s="1" t="s">
        <v>26779</v>
      </c>
      <c r="B15675" s="2" t="s">
        <v>26780</v>
      </c>
      <c r="C15675" s="1" t="s">
        <v>5628</v>
      </c>
      <c r="D15675" s="1" t="s">
        <v>5629</v>
      </c>
    </row>
    <row r="15676">
      <c r="A15676" s="1" t="s">
        <v>26781</v>
      </c>
      <c r="B15676" s="2" t="s">
        <v>26782</v>
      </c>
      <c r="C15676" s="1" t="s">
        <v>5628</v>
      </c>
      <c r="D15676" s="1" t="s">
        <v>5629</v>
      </c>
    </row>
    <row r="15677">
      <c r="A15677" s="1" t="s">
        <v>26783</v>
      </c>
      <c r="B15677" s="2" t="s">
        <v>26784</v>
      </c>
      <c r="C15677" s="1" t="s">
        <v>5628</v>
      </c>
      <c r="D15677" s="1" t="s">
        <v>5629</v>
      </c>
    </row>
    <row r="15678">
      <c r="A15678" s="1" t="s">
        <v>26785</v>
      </c>
      <c r="B15678" s="2" t="s">
        <v>26786</v>
      </c>
      <c r="C15678" s="1" t="s">
        <v>5628</v>
      </c>
      <c r="D15678" s="1" t="s">
        <v>5629</v>
      </c>
    </row>
    <row r="15679">
      <c r="A15679" s="1" t="s">
        <v>26787</v>
      </c>
      <c r="B15679" s="2" t="s">
        <v>26788</v>
      </c>
      <c r="C15679" s="1" t="s">
        <v>5628</v>
      </c>
      <c r="D15679" s="1" t="s">
        <v>5629</v>
      </c>
    </row>
    <row r="15680">
      <c r="A15680" s="1" t="s">
        <v>26789</v>
      </c>
      <c r="B15680" s="2" t="s">
        <v>26790</v>
      </c>
      <c r="C15680" s="1" t="s">
        <v>5628</v>
      </c>
      <c r="D15680" s="1" t="s">
        <v>5629</v>
      </c>
    </row>
    <row r="15681">
      <c r="A15681" s="1" t="s">
        <v>26791</v>
      </c>
      <c r="B15681" s="2" t="s">
        <v>26792</v>
      </c>
      <c r="C15681" s="1" t="s">
        <v>5628</v>
      </c>
      <c r="D15681" s="1" t="s">
        <v>5629</v>
      </c>
    </row>
    <row r="15682">
      <c r="A15682" s="1" t="s">
        <v>26793</v>
      </c>
      <c r="B15682" s="2" t="s">
        <v>26794</v>
      </c>
      <c r="C15682" s="1" t="s">
        <v>5628</v>
      </c>
      <c r="D15682" s="1" t="s">
        <v>5629</v>
      </c>
    </row>
    <row r="15683">
      <c r="A15683" s="1" t="s">
        <v>26795</v>
      </c>
      <c r="B15683" s="2" t="s">
        <v>26796</v>
      </c>
      <c r="C15683" s="1" t="s">
        <v>5628</v>
      </c>
      <c r="D15683" s="1" t="s">
        <v>5629</v>
      </c>
    </row>
    <row r="15684">
      <c r="A15684" s="1" t="s">
        <v>26797</v>
      </c>
      <c r="B15684" s="2" t="s">
        <v>26798</v>
      </c>
      <c r="C15684" s="1" t="s">
        <v>5628</v>
      </c>
      <c r="D15684" s="1" t="s">
        <v>5629</v>
      </c>
    </row>
    <row r="15685">
      <c r="A15685" s="1" t="s">
        <v>26799</v>
      </c>
      <c r="B15685" s="2" t="s">
        <v>26800</v>
      </c>
      <c r="C15685" s="1" t="s">
        <v>5628</v>
      </c>
      <c r="D15685" s="1" t="s">
        <v>5629</v>
      </c>
    </row>
    <row r="15686">
      <c r="A15686" s="1" t="s">
        <v>26801</v>
      </c>
      <c r="B15686" s="2" t="s">
        <v>26802</v>
      </c>
      <c r="C15686" s="1" t="s">
        <v>5628</v>
      </c>
      <c r="D15686" s="1" t="s">
        <v>5629</v>
      </c>
    </row>
    <row r="15687">
      <c r="A15687" s="1" t="s">
        <v>26803</v>
      </c>
      <c r="B15687" s="2" t="s">
        <v>26804</v>
      </c>
      <c r="C15687" s="1" t="s">
        <v>5628</v>
      </c>
      <c r="D15687" s="1" t="s">
        <v>5629</v>
      </c>
    </row>
    <row r="15688">
      <c r="A15688" s="1" t="s">
        <v>26805</v>
      </c>
      <c r="B15688" s="2" t="s">
        <v>26806</v>
      </c>
      <c r="C15688" s="1" t="s">
        <v>5628</v>
      </c>
      <c r="D15688" s="1" t="s">
        <v>5629</v>
      </c>
    </row>
    <row r="15689">
      <c r="A15689" s="1" t="s">
        <v>26807</v>
      </c>
      <c r="B15689" s="2" t="s">
        <v>26808</v>
      </c>
      <c r="C15689" s="1" t="s">
        <v>5628</v>
      </c>
      <c r="D15689" s="1" t="s">
        <v>5629</v>
      </c>
    </row>
    <row r="15690">
      <c r="A15690" s="1" t="s">
        <v>26809</v>
      </c>
      <c r="B15690" s="2" t="s">
        <v>26810</v>
      </c>
      <c r="C15690" s="1" t="s">
        <v>5628</v>
      </c>
      <c r="D15690" s="1" t="s">
        <v>5629</v>
      </c>
    </row>
    <row r="15691">
      <c r="A15691" s="1" t="s">
        <v>26811</v>
      </c>
      <c r="B15691" s="2" t="s">
        <v>26812</v>
      </c>
      <c r="C15691" s="1" t="s">
        <v>5628</v>
      </c>
      <c r="D15691" s="1" t="s">
        <v>5629</v>
      </c>
    </row>
    <row r="15692">
      <c r="A15692" s="1" t="s">
        <v>26813</v>
      </c>
      <c r="B15692" s="2" t="s">
        <v>26814</v>
      </c>
      <c r="C15692" s="1" t="s">
        <v>5628</v>
      </c>
      <c r="D15692" s="1" t="s">
        <v>5629</v>
      </c>
    </row>
    <row r="15693">
      <c r="A15693" s="1" t="s">
        <v>26815</v>
      </c>
      <c r="B15693" s="2" t="s">
        <v>26816</v>
      </c>
      <c r="C15693" s="1" t="s">
        <v>5628</v>
      </c>
      <c r="D15693" s="1" t="s">
        <v>5629</v>
      </c>
    </row>
    <row r="15694">
      <c r="A15694" s="1" t="s">
        <v>26817</v>
      </c>
      <c r="B15694" s="2" t="s">
        <v>26818</v>
      </c>
      <c r="C15694" s="1" t="s">
        <v>5628</v>
      </c>
      <c r="D15694" s="1" t="s">
        <v>5629</v>
      </c>
    </row>
    <row r="15695">
      <c r="A15695" s="1" t="s">
        <v>26819</v>
      </c>
      <c r="B15695" s="2" t="s">
        <v>26820</v>
      </c>
      <c r="C15695" s="1" t="s">
        <v>5628</v>
      </c>
      <c r="D15695" s="1" t="s">
        <v>5629</v>
      </c>
    </row>
    <row r="15696">
      <c r="A15696" s="1" t="s">
        <v>26821</v>
      </c>
      <c r="B15696" s="2" t="s">
        <v>26822</v>
      </c>
      <c r="C15696" s="1" t="s">
        <v>5628</v>
      </c>
      <c r="D15696" s="1" t="s">
        <v>5629</v>
      </c>
    </row>
    <row r="15697">
      <c r="A15697" s="1" t="s">
        <v>26823</v>
      </c>
      <c r="B15697" s="2" t="s">
        <v>26824</v>
      </c>
      <c r="C15697" s="1" t="s">
        <v>5628</v>
      </c>
      <c r="D15697" s="1" t="s">
        <v>5629</v>
      </c>
    </row>
    <row r="15698">
      <c r="A15698" s="1" t="s">
        <v>26825</v>
      </c>
      <c r="B15698" s="2" t="s">
        <v>26826</v>
      </c>
      <c r="C15698" s="1" t="s">
        <v>5628</v>
      </c>
      <c r="D15698" s="1" t="s">
        <v>5629</v>
      </c>
    </row>
    <row r="15699">
      <c r="A15699" s="1" t="s">
        <v>26827</v>
      </c>
      <c r="B15699" s="2" t="s">
        <v>26828</v>
      </c>
      <c r="C15699" s="1" t="s">
        <v>5628</v>
      </c>
      <c r="D15699" s="1" t="s">
        <v>5629</v>
      </c>
    </row>
    <row r="15700">
      <c r="A15700" s="1" t="s">
        <v>26829</v>
      </c>
      <c r="B15700" s="2" t="s">
        <v>26830</v>
      </c>
      <c r="C15700" s="1" t="s">
        <v>5628</v>
      </c>
      <c r="D15700" s="1" t="s">
        <v>5629</v>
      </c>
    </row>
    <row r="15701">
      <c r="A15701" s="1" t="s">
        <v>26831</v>
      </c>
      <c r="B15701" s="2" t="s">
        <v>26832</v>
      </c>
      <c r="C15701" s="1" t="s">
        <v>5628</v>
      </c>
      <c r="D15701" s="1" t="s">
        <v>5629</v>
      </c>
    </row>
    <row r="15702">
      <c r="A15702" s="1" t="s">
        <v>26833</v>
      </c>
      <c r="B15702" s="2" t="s">
        <v>26834</v>
      </c>
      <c r="C15702" s="1" t="s">
        <v>5628</v>
      </c>
      <c r="D15702" s="1" t="s">
        <v>5629</v>
      </c>
    </row>
    <row r="15703">
      <c r="A15703" s="1" t="s">
        <v>26835</v>
      </c>
      <c r="B15703" s="2" t="s">
        <v>26836</v>
      </c>
      <c r="C15703" s="1" t="s">
        <v>5628</v>
      </c>
      <c r="D15703" s="1" t="s">
        <v>5629</v>
      </c>
    </row>
    <row r="15704">
      <c r="A15704" s="1" t="s">
        <v>26837</v>
      </c>
      <c r="B15704" s="2" t="s">
        <v>26838</v>
      </c>
      <c r="C15704" s="1" t="s">
        <v>5628</v>
      </c>
      <c r="D15704" s="1" t="s">
        <v>5629</v>
      </c>
    </row>
    <row r="15705">
      <c r="A15705" s="1" t="s">
        <v>26839</v>
      </c>
      <c r="B15705" s="2" t="s">
        <v>26840</v>
      </c>
      <c r="C15705" s="1" t="s">
        <v>5628</v>
      </c>
      <c r="D15705" s="1" t="s">
        <v>5629</v>
      </c>
    </row>
    <row r="15706">
      <c r="A15706" s="1" t="s">
        <v>26841</v>
      </c>
      <c r="B15706" s="2" t="s">
        <v>26842</v>
      </c>
      <c r="C15706" s="1" t="s">
        <v>5628</v>
      </c>
      <c r="D15706" s="1" t="s">
        <v>5629</v>
      </c>
    </row>
    <row r="15707">
      <c r="A15707" s="1" t="s">
        <v>26843</v>
      </c>
      <c r="B15707" s="2" t="s">
        <v>26844</v>
      </c>
      <c r="C15707" s="1" t="s">
        <v>5628</v>
      </c>
      <c r="D15707" s="1" t="s">
        <v>5629</v>
      </c>
    </row>
    <row r="15708">
      <c r="A15708" s="1" t="s">
        <v>26845</v>
      </c>
      <c r="B15708" s="2" t="s">
        <v>26846</v>
      </c>
      <c r="C15708" s="1" t="s">
        <v>5628</v>
      </c>
      <c r="D15708" s="1" t="s">
        <v>5629</v>
      </c>
    </row>
    <row r="15709">
      <c r="A15709" s="1" t="s">
        <v>26847</v>
      </c>
      <c r="B15709" s="2" t="s">
        <v>26848</v>
      </c>
      <c r="C15709" s="1" t="s">
        <v>5628</v>
      </c>
      <c r="D15709" s="1" t="s">
        <v>5629</v>
      </c>
    </row>
    <row r="15710">
      <c r="A15710" s="1" t="s">
        <v>26849</v>
      </c>
      <c r="B15710" s="2" t="s">
        <v>26850</v>
      </c>
      <c r="C15710" s="1" t="s">
        <v>5628</v>
      </c>
      <c r="D15710" s="1" t="s">
        <v>5629</v>
      </c>
    </row>
    <row r="15711">
      <c r="A15711" s="1" t="s">
        <v>26851</v>
      </c>
      <c r="B15711" s="2" t="s">
        <v>26852</v>
      </c>
      <c r="C15711" s="1" t="s">
        <v>5628</v>
      </c>
      <c r="D15711" s="1" t="s">
        <v>5629</v>
      </c>
    </row>
    <row r="15712">
      <c r="A15712" s="1" t="s">
        <v>26853</v>
      </c>
      <c r="B15712" s="2" t="s">
        <v>26854</v>
      </c>
      <c r="C15712" s="1" t="s">
        <v>5628</v>
      </c>
      <c r="D15712" s="1" t="s">
        <v>5629</v>
      </c>
    </row>
    <row r="15713">
      <c r="A15713" s="1" t="s">
        <v>26855</v>
      </c>
      <c r="B15713" s="2" t="s">
        <v>26856</v>
      </c>
      <c r="C15713" s="1" t="s">
        <v>5628</v>
      </c>
      <c r="D15713" s="1" t="s">
        <v>5629</v>
      </c>
    </row>
    <row r="15714">
      <c r="A15714" s="1" t="s">
        <v>26857</v>
      </c>
      <c r="B15714" s="2" t="s">
        <v>26858</v>
      </c>
      <c r="C15714" s="1" t="s">
        <v>5628</v>
      </c>
      <c r="D15714" s="1" t="s">
        <v>5629</v>
      </c>
    </row>
    <row r="15715">
      <c r="A15715" s="1" t="s">
        <v>26859</v>
      </c>
      <c r="B15715" s="2" t="s">
        <v>26860</v>
      </c>
      <c r="C15715" s="1" t="s">
        <v>5628</v>
      </c>
      <c r="D15715" s="1" t="s">
        <v>5629</v>
      </c>
    </row>
    <row r="15716">
      <c r="A15716" s="1" t="s">
        <v>26861</v>
      </c>
      <c r="B15716" s="2" t="s">
        <v>26862</v>
      </c>
      <c r="C15716" s="1" t="s">
        <v>5628</v>
      </c>
      <c r="D15716" s="1" t="s">
        <v>5629</v>
      </c>
    </row>
    <row r="15717">
      <c r="A15717" s="1" t="s">
        <v>26863</v>
      </c>
      <c r="B15717" s="2" t="s">
        <v>26864</v>
      </c>
      <c r="C15717" s="1" t="s">
        <v>5628</v>
      </c>
      <c r="D15717" s="1" t="s">
        <v>5629</v>
      </c>
    </row>
    <row r="15718">
      <c r="A15718" s="1" t="s">
        <v>26865</v>
      </c>
      <c r="B15718" s="2" t="s">
        <v>26866</v>
      </c>
      <c r="C15718" s="1" t="s">
        <v>5628</v>
      </c>
      <c r="D15718" s="1" t="s">
        <v>5629</v>
      </c>
    </row>
    <row r="15719">
      <c r="A15719" s="1" t="s">
        <v>26867</v>
      </c>
      <c r="B15719" s="2" t="s">
        <v>26868</v>
      </c>
      <c r="C15719" s="1" t="s">
        <v>5628</v>
      </c>
      <c r="D15719" s="1" t="s">
        <v>5629</v>
      </c>
    </row>
    <row r="15720">
      <c r="A15720" s="1" t="s">
        <v>26869</v>
      </c>
      <c r="B15720" s="2" t="s">
        <v>26870</v>
      </c>
      <c r="C15720" s="1" t="s">
        <v>5628</v>
      </c>
      <c r="D15720" s="1" t="s">
        <v>5629</v>
      </c>
    </row>
    <row r="15721">
      <c r="A15721" s="1" t="s">
        <v>26871</v>
      </c>
      <c r="B15721" s="2" t="s">
        <v>26872</v>
      </c>
      <c r="C15721" s="1" t="s">
        <v>5628</v>
      </c>
      <c r="D15721" s="1" t="s">
        <v>5629</v>
      </c>
    </row>
    <row r="15722">
      <c r="A15722" s="1" t="s">
        <v>26873</v>
      </c>
      <c r="B15722" s="2" t="s">
        <v>26874</v>
      </c>
      <c r="C15722" s="1" t="s">
        <v>5628</v>
      </c>
      <c r="D15722" s="1" t="s">
        <v>5629</v>
      </c>
    </row>
    <row r="15723">
      <c r="A15723" s="1" t="s">
        <v>26875</v>
      </c>
      <c r="B15723" s="2" t="s">
        <v>26876</v>
      </c>
      <c r="C15723" s="1" t="s">
        <v>5628</v>
      </c>
      <c r="D15723" s="1" t="s">
        <v>5629</v>
      </c>
    </row>
    <row r="15724">
      <c r="A15724" s="1" t="s">
        <v>26877</v>
      </c>
      <c r="B15724" s="2" t="s">
        <v>26878</v>
      </c>
      <c r="C15724" s="1" t="s">
        <v>5628</v>
      </c>
      <c r="D15724" s="1" t="s">
        <v>5629</v>
      </c>
    </row>
    <row r="15725">
      <c r="A15725" s="1" t="s">
        <v>26879</v>
      </c>
      <c r="B15725" s="2" t="s">
        <v>26880</v>
      </c>
      <c r="C15725" s="1" t="s">
        <v>5628</v>
      </c>
      <c r="D15725" s="1" t="s">
        <v>5629</v>
      </c>
    </row>
    <row r="15726">
      <c r="A15726" s="1" t="s">
        <v>26881</v>
      </c>
      <c r="B15726" s="2" t="s">
        <v>26882</v>
      </c>
      <c r="C15726" s="1" t="s">
        <v>5628</v>
      </c>
      <c r="D15726" s="1" t="s">
        <v>5629</v>
      </c>
    </row>
    <row r="15727">
      <c r="A15727" s="1" t="s">
        <v>26883</v>
      </c>
      <c r="B15727" s="2" t="s">
        <v>26884</v>
      </c>
      <c r="C15727" s="1" t="s">
        <v>5628</v>
      </c>
      <c r="D15727" s="1" t="s">
        <v>5629</v>
      </c>
    </row>
    <row r="15728">
      <c r="A15728" s="1" t="s">
        <v>26885</v>
      </c>
      <c r="B15728" s="2" t="s">
        <v>26886</v>
      </c>
      <c r="C15728" s="1" t="s">
        <v>5628</v>
      </c>
      <c r="D15728" s="1" t="s">
        <v>5629</v>
      </c>
    </row>
    <row r="15729">
      <c r="A15729" s="1" t="s">
        <v>26887</v>
      </c>
      <c r="B15729" s="2" t="s">
        <v>26888</v>
      </c>
      <c r="C15729" s="1" t="s">
        <v>5628</v>
      </c>
      <c r="D15729" s="1" t="s">
        <v>5629</v>
      </c>
    </row>
    <row r="15730">
      <c r="A15730" s="1" t="s">
        <v>26889</v>
      </c>
      <c r="B15730" s="2" t="s">
        <v>26890</v>
      </c>
      <c r="C15730" s="1" t="s">
        <v>5628</v>
      </c>
      <c r="D15730" s="1" t="s">
        <v>5629</v>
      </c>
    </row>
    <row r="15731">
      <c r="A15731" s="1" t="s">
        <v>26891</v>
      </c>
      <c r="B15731" s="2" t="s">
        <v>26892</v>
      </c>
      <c r="C15731" s="1" t="s">
        <v>5628</v>
      </c>
      <c r="D15731" s="1" t="s">
        <v>5629</v>
      </c>
    </row>
    <row r="15732">
      <c r="A15732" s="1" t="s">
        <v>26893</v>
      </c>
      <c r="B15732" s="2" t="s">
        <v>26894</v>
      </c>
      <c r="C15732" s="1" t="s">
        <v>5628</v>
      </c>
      <c r="D15732" s="1" t="s">
        <v>5629</v>
      </c>
    </row>
    <row r="15733">
      <c r="A15733" s="1" t="s">
        <v>26895</v>
      </c>
      <c r="B15733" s="2" t="s">
        <v>26896</v>
      </c>
      <c r="C15733" s="1" t="s">
        <v>5628</v>
      </c>
      <c r="D15733" s="1" t="s">
        <v>5629</v>
      </c>
    </row>
    <row r="15734">
      <c r="A15734" s="1" t="s">
        <v>26897</v>
      </c>
      <c r="B15734" s="2" t="s">
        <v>26898</v>
      </c>
      <c r="C15734" s="1" t="s">
        <v>5628</v>
      </c>
      <c r="D15734" s="1" t="s">
        <v>5629</v>
      </c>
    </row>
    <row r="15735">
      <c r="A15735" s="1" t="s">
        <v>26899</v>
      </c>
      <c r="B15735" s="2" t="s">
        <v>26900</v>
      </c>
      <c r="C15735" s="1" t="s">
        <v>5628</v>
      </c>
      <c r="D15735" s="1" t="s">
        <v>5629</v>
      </c>
    </row>
    <row r="15736">
      <c r="A15736" s="1" t="s">
        <v>26901</v>
      </c>
      <c r="B15736" s="2" t="s">
        <v>26902</v>
      </c>
      <c r="C15736" s="1" t="s">
        <v>5628</v>
      </c>
      <c r="D15736" s="1" t="s">
        <v>5629</v>
      </c>
    </row>
    <row r="15737">
      <c r="A15737" s="1" t="s">
        <v>26903</v>
      </c>
      <c r="B15737" s="2" t="s">
        <v>26904</v>
      </c>
      <c r="C15737" s="1" t="s">
        <v>5628</v>
      </c>
      <c r="D15737" s="1" t="s">
        <v>5629</v>
      </c>
    </row>
    <row r="15738">
      <c r="A15738" s="1" t="s">
        <v>26905</v>
      </c>
      <c r="B15738" s="2" t="s">
        <v>26906</v>
      </c>
      <c r="C15738" s="1" t="s">
        <v>5628</v>
      </c>
      <c r="D15738" s="1" t="s">
        <v>5629</v>
      </c>
    </row>
    <row r="15739">
      <c r="A15739" s="1" t="s">
        <v>26907</v>
      </c>
      <c r="B15739" s="2" t="s">
        <v>26908</v>
      </c>
      <c r="C15739" s="1" t="s">
        <v>5628</v>
      </c>
      <c r="D15739" s="1" t="s">
        <v>5629</v>
      </c>
    </row>
    <row r="15740">
      <c r="A15740" s="1" t="s">
        <v>26909</v>
      </c>
      <c r="B15740" s="2" t="s">
        <v>26910</v>
      </c>
      <c r="C15740" s="1" t="s">
        <v>5628</v>
      </c>
      <c r="D15740" s="1" t="s">
        <v>5629</v>
      </c>
    </row>
    <row r="15741">
      <c r="A15741" s="1" t="s">
        <v>26911</v>
      </c>
      <c r="B15741" s="2" t="s">
        <v>26912</v>
      </c>
      <c r="C15741" s="1" t="s">
        <v>5628</v>
      </c>
      <c r="D15741" s="1" t="s">
        <v>5629</v>
      </c>
    </row>
    <row r="15742">
      <c r="A15742" s="1" t="s">
        <v>26913</v>
      </c>
      <c r="B15742" s="2" t="s">
        <v>26914</v>
      </c>
      <c r="C15742" s="1" t="s">
        <v>5628</v>
      </c>
      <c r="D15742" s="1" t="s">
        <v>5629</v>
      </c>
    </row>
    <row r="15743">
      <c r="A15743" s="1" t="s">
        <v>26915</v>
      </c>
      <c r="B15743" s="2" t="s">
        <v>26916</v>
      </c>
      <c r="C15743" s="1" t="s">
        <v>5628</v>
      </c>
      <c r="D15743" s="1" t="s">
        <v>5629</v>
      </c>
    </row>
    <row r="15744">
      <c r="A15744" s="1" t="s">
        <v>26917</v>
      </c>
      <c r="B15744" s="2" t="s">
        <v>26918</v>
      </c>
      <c r="C15744" s="1" t="s">
        <v>5628</v>
      </c>
      <c r="D15744" s="1" t="s">
        <v>5629</v>
      </c>
    </row>
    <row r="15745">
      <c r="A15745" s="1" t="s">
        <v>26919</v>
      </c>
      <c r="B15745" s="2" t="s">
        <v>26920</v>
      </c>
      <c r="C15745" s="1" t="s">
        <v>5628</v>
      </c>
      <c r="D15745" s="1" t="s">
        <v>5629</v>
      </c>
    </row>
    <row r="15746">
      <c r="A15746" s="1" t="s">
        <v>26921</v>
      </c>
      <c r="B15746" s="2" t="s">
        <v>26922</v>
      </c>
      <c r="C15746" s="1" t="s">
        <v>5628</v>
      </c>
      <c r="D15746" s="1" t="s">
        <v>5629</v>
      </c>
    </row>
    <row r="15747">
      <c r="A15747" s="1" t="s">
        <v>26923</v>
      </c>
      <c r="B15747" s="2" t="s">
        <v>26924</v>
      </c>
      <c r="C15747" s="1" t="s">
        <v>5628</v>
      </c>
      <c r="D15747" s="1" t="s">
        <v>5629</v>
      </c>
    </row>
    <row r="15748">
      <c r="A15748" s="1" t="s">
        <v>26925</v>
      </c>
      <c r="B15748" s="2" t="s">
        <v>26926</v>
      </c>
      <c r="C15748" s="1" t="s">
        <v>5628</v>
      </c>
      <c r="D15748" s="1" t="s">
        <v>5629</v>
      </c>
    </row>
    <row r="15749">
      <c r="A15749" s="1" t="s">
        <v>26927</v>
      </c>
      <c r="B15749" s="2" t="s">
        <v>26928</v>
      </c>
      <c r="C15749" s="1" t="s">
        <v>5628</v>
      </c>
      <c r="D15749" s="1" t="s">
        <v>5629</v>
      </c>
    </row>
    <row r="15750">
      <c r="A15750" s="1" t="s">
        <v>26929</v>
      </c>
      <c r="B15750" s="2" t="s">
        <v>26930</v>
      </c>
      <c r="C15750" s="1" t="s">
        <v>5628</v>
      </c>
      <c r="D15750" s="1" t="s">
        <v>5629</v>
      </c>
    </row>
    <row r="15751">
      <c r="A15751" s="1" t="s">
        <v>26931</v>
      </c>
      <c r="B15751" s="2" t="s">
        <v>26932</v>
      </c>
      <c r="C15751" s="1" t="s">
        <v>5628</v>
      </c>
      <c r="D15751" s="1" t="s">
        <v>5629</v>
      </c>
    </row>
    <row r="15752">
      <c r="A15752" s="1" t="s">
        <v>26933</v>
      </c>
      <c r="B15752" s="2" t="s">
        <v>26934</v>
      </c>
      <c r="C15752" s="1" t="s">
        <v>5628</v>
      </c>
      <c r="D15752" s="1" t="s">
        <v>5629</v>
      </c>
    </row>
    <row r="15753">
      <c r="A15753" s="1" t="s">
        <v>26935</v>
      </c>
      <c r="B15753" s="2" t="s">
        <v>26936</v>
      </c>
      <c r="C15753" s="1" t="s">
        <v>5628</v>
      </c>
      <c r="D15753" s="1" t="s">
        <v>5629</v>
      </c>
    </row>
    <row r="15754">
      <c r="A15754" s="1" t="s">
        <v>26937</v>
      </c>
      <c r="B15754" s="2" t="s">
        <v>26938</v>
      </c>
      <c r="C15754" s="1" t="s">
        <v>5628</v>
      </c>
      <c r="D15754" s="1" t="s">
        <v>5629</v>
      </c>
    </row>
    <row r="15755">
      <c r="A15755" s="1" t="s">
        <v>26939</v>
      </c>
      <c r="B15755" s="2" t="s">
        <v>26940</v>
      </c>
      <c r="C15755" s="1" t="s">
        <v>5628</v>
      </c>
      <c r="D15755" s="1" t="s">
        <v>5629</v>
      </c>
    </row>
    <row r="15756">
      <c r="A15756" s="1" t="s">
        <v>26941</v>
      </c>
      <c r="B15756" s="2" t="s">
        <v>26942</v>
      </c>
      <c r="C15756" s="1" t="s">
        <v>5628</v>
      </c>
      <c r="D15756" s="1" t="s">
        <v>5629</v>
      </c>
    </row>
    <row r="15757">
      <c r="A15757" s="1" t="s">
        <v>26943</v>
      </c>
      <c r="B15757" s="2" t="s">
        <v>26944</v>
      </c>
      <c r="C15757" s="1" t="s">
        <v>5628</v>
      </c>
      <c r="D15757" s="1" t="s">
        <v>5629</v>
      </c>
    </row>
    <row r="15758">
      <c r="A15758" s="1" t="s">
        <v>26945</v>
      </c>
      <c r="B15758" s="2" t="s">
        <v>26946</v>
      </c>
      <c r="C15758" s="1" t="s">
        <v>5628</v>
      </c>
      <c r="D15758" s="1" t="s">
        <v>5629</v>
      </c>
    </row>
    <row r="15759">
      <c r="A15759" s="1" t="s">
        <v>26947</v>
      </c>
      <c r="B15759" s="2" t="s">
        <v>26948</v>
      </c>
      <c r="C15759" s="1" t="s">
        <v>5628</v>
      </c>
      <c r="D15759" s="1" t="s">
        <v>5629</v>
      </c>
    </row>
    <row r="15760">
      <c r="A15760" s="1" t="s">
        <v>26949</v>
      </c>
      <c r="B15760" s="2" t="s">
        <v>26950</v>
      </c>
      <c r="C15760" s="1" t="s">
        <v>5628</v>
      </c>
      <c r="D15760" s="1" t="s">
        <v>5629</v>
      </c>
    </row>
    <row r="15761">
      <c r="A15761" s="1" t="s">
        <v>26951</v>
      </c>
      <c r="B15761" s="2" t="s">
        <v>26952</v>
      </c>
      <c r="C15761" s="1" t="s">
        <v>5628</v>
      </c>
      <c r="D15761" s="1" t="s">
        <v>5629</v>
      </c>
    </row>
    <row r="15762">
      <c r="A15762" s="1" t="s">
        <v>26953</v>
      </c>
      <c r="B15762" s="2" t="s">
        <v>26954</v>
      </c>
      <c r="C15762" s="1" t="s">
        <v>5628</v>
      </c>
      <c r="D15762" s="1" t="s">
        <v>5629</v>
      </c>
    </row>
    <row r="15763">
      <c r="A15763" s="1" t="s">
        <v>26955</v>
      </c>
      <c r="B15763" s="2" t="s">
        <v>26956</v>
      </c>
      <c r="C15763" s="1" t="s">
        <v>5628</v>
      </c>
      <c r="D15763" s="1" t="s">
        <v>5629</v>
      </c>
    </row>
    <row r="15764">
      <c r="A15764" s="1" t="s">
        <v>26957</v>
      </c>
      <c r="B15764" s="2" t="s">
        <v>26958</v>
      </c>
      <c r="C15764" s="1" t="s">
        <v>5628</v>
      </c>
      <c r="D15764" s="1" t="s">
        <v>5629</v>
      </c>
    </row>
    <row r="15765">
      <c r="A15765" s="1" t="s">
        <v>26959</v>
      </c>
      <c r="B15765" s="2" t="s">
        <v>26960</v>
      </c>
      <c r="C15765" s="1" t="s">
        <v>5628</v>
      </c>
      <c r="D15765" s="1" t="s">
        <v>5629</v>
      </c>
    </row>
    <row r="15766">
      <c r="A15766" s="1" t="s">
        <v>26961</v>
      </c>
      <c r="B15766" s="2" t="s">
        <v>26962</v>
      </c>
      <c r="C15766" s="1" t="s">
        <v>5628</v>
      </c>
      <c r="D15766" s="1" t="s">
        <v>5629</v>
      </c>
    </row>
    <row r="15767">
      <c r="A15767" s="1" t="s">
        <v>26963</v>
      </c>
      <c r="B15767" s="2" t="s">
        <v>26964</v>
      </c>
      <c r="C15767" s="1" t="s">
        <v>5628</v>
      </c>
      <c r="D15767" s="1" t="s">
        <v>5629</v>
      </c>
    </row>
    <row r="15768">
      <c r="A15768" s="1" t="s">
        <v>26965</v>
      </c>
      <c r="B15768" s="2" t="s">
        <v>26966</v>
      </c>
      <c r="C15768" s="1" t="s">
        <v>5628</v>
      </c>
      <c r="D15768" s="1" t="s">
        <v>5629</v>
      </c>
    </row>
    <row r="15769">
      <c r="A15769" s="1" t="s">
        <v>26967</v>
      </c>
      <c r="B15769" s="2" t="s">
        <v>26968</v>
      </c>
      <c r="C15769" s="1" t="s">
        <v>5628</v>
      </c>
      <c r="D15769" s="1" t="s">
        <v>5629</v>
      </c>
    </row>
    <row r="15770">
      <c r="A15770" s="1" t="s">
        <v>26969</v>
      </c>
      <c r="B15770" s="2" t="s">
        <v>26970</v>
      </c>
      <c r="C15770" s="1" t="s">
        <v>5628</v>
      </c>
      <c r="D15770" s="1" t="s">
        <v>5629</v>
      </c>
    </row>
    <row r="15771">
      <c r="A15771" s="1" t="s">
        <v>26971</v>
      </c>
      <c r="B15771" s="2" t="s">
        <v>26972</v>
      </c>
      <c r="C15771" s="1" t="s">
        <v>5628</v>
      </c>
      <c r="D15771" s="1" t="s">
        <v>5629</v>
      </c>
    </row>
    <row r="15772">
      <c r="A15772" s="1" t="s">
        <v>26973</v>
      </c>
      <c r="B15772" s="2" t="s">
        <v>26974</v>
      </c>
      <c r="C15772" s="1" t="s">
        <v>5628</v>
      </c>
      <c r="D15772" s="1" t="s">
        <v>5629</v>
      </c>
    </row>
    <row r="15773">
      <c r="A15773" s="1" t="s">
        <v>26975</v>
      </c>
      <c r="B15773" s="2" t="s">
        <v>26976</v>
      </c>
      <c r="C15773" s="1" t="s">
        <v>5628</v>
      </c>
      <c r="D15773" s="1" t="s">
        <v>5629</v>
      </c>
    </row>
    <row r="15774">
      <c r="A15774" s="1" t="s">
        <v>26977</v>
      </c>
      <c r="B15774" s="2" t="s">
        <v>26978</v>
      </c>
      <c r="C15774" s="1" t="s">
        <v>5628</v>
      </c>
      <c r="D15774" s="1" t="s">
        <v>5629</v>
      </c>
    </row>
    <row r="15775">
      <c r="A15775" s="1" t="s">
        <v>26979</v>
      </c>
      <c r="B15775" s="2" t="s">
        <v>26980</v>
      </c>
      <c r="C15775" s="1" t="s">
        <v>5628</v>
      </c>
      <c r="D15775" s="1" t="s">
        <v>5629</v>
      </c>
    </row>
    <row r="15776">
      <c r="A15776" s="1" t="s">
        <v>26981</v>
      </c>
      <c r="B15776" s="2" t="s">
        <v>26982</v>
      </c>
      <c r="C15776" s="1" t="s">
        <v>5628</v>
      </c>
      <c r="D15776" s="1" t="s">
        <v>5629</v>
      </c>
    </row>
    <row r="15777">
      <c r="A15777" s="1" t="s">
        <v>26983</v>
      </c>
      <c r="B15777" s="2" t="s">
        <v>26984</v>
      </c>
      <c r="C15777" s="1" t="s">
        <v>5628</v>
      </c>
      <c r="D15777" s="1" t="s">
        <v>5629</v>
      </c>
    </row>
    <row r="15778">
      <c r="A15778" s="1" t="s">
        <v>26985</v>
      </c>
      <c r="B15778" s="2" t="s">
        <v>26986</v>
      </c>
      <c r="C15778" s="1" t="s">
        <v>5628</v>
      </c>
      <c r="D15778" s="1" t="s">
        <v>5629</v>
      </c>
    </row>
    <row r="15779">
      <c r="A15779" s="1" t="s">
        <v>26987</v>
      </c>
      <c r="B15779" s="2" t="s">
        <v>26988</v>
      </c>
      <c r="C15779" s="1" t="s">
        <v>5628</v>
      </c>
      <c r="D15779" s="1" t="s">
        <v>5629</v>
      </c>
    </row>
    <row r="15780">
      <c r="A15780" s="1" t="s">
        <v>26989</v>
      </c>
      <c r="B15780" s="2" t="s">
        <v>26990</v>
      </c>
      <c r="C15780" s="1" t="s">
        <v>5628</v>
      </c>
      <c r="D15780" s="1" t="s">
        <v>5629</v>
      </c>
    </row>
    <row r="15781">
      <c r="A15781" s="1" t="s">
        <v>26991</v>
      </c>
      <c r="B15781" s="2" t="s">
        <v>26992</v>
      </c>
      <c r="C15781" s="1" t="s">
        <v>5628</v>
      </c>
      <c r="D15781" s="1" t="s">
        <v>5629</v>
      </c>
    </row>
    <row r="15782">
      <c r="A15782" s="1" t="s">
        <v>26993</v>
      </c>
      <c r="B15782" s="2" t="s">
        <v>26994</v>
      </c>
      <c r="C15782" s="1" t="s">
        <v>5628</v>
      </c>
      <c r="D15782" s="1" t="s">
        <v>5629</v>
      </c>
    </row>
    <row r="15783">
      <c r="A15783" s="1" t="s">
        <v>26995</v>
      </c>
      <c r="B15783" s="2" t="s">
        <v>26996</v>
      </c>
      <c r="C15783" s="1" t="s">
        <v>5628</v>
      </c>
      <c r="D15783" s="1" t="s">
        <v>5629</v>
      </c>
    </row>
    <row r="15784">
      <c r="A15784" s="1" t="s">
        <v>26997</v>
      </c>
      <c r="B15784" s="2" t="s">
        <v>26998</v>
      </c>
      <c r="C15784" s="1" t="s">
        <v>5628</v>
      </c>
      <c r="D15784" s="1" t="s">
        <v>5629</v>
      </c>
    </row>
    <row r="15785">
      <c r="A15785" s="1" t="s">
        <v>26999</v>
      </c>
      <c r="B15785" s="2" t="s">
        <v>27000</v>
      </c>
      <c r="C15785" s="1" t="s">
        <v>5628</v>
      </c>
      <c r="D15785" s="1" t="s">
        <v>5629</v>
      </c>
    </row>
    <row r="15786">
      <c r="A15786" s="1" t="s">
        <v>27001</v>
      </c>
      <c r="B15786" s="2" t="s">
        <v>27002</v>
      </c>
      <c r="C15786" s="1" t="s">
        <v>5628</v>
      </c>
      <c r="D15786" s="1" t="s">
        <v>5629</v>
      </c>
    </row>
    <row r="15787">
      <c r="A15787" s="1" t="s">
        <v>27003</v>
      </c>
      <c r="B15787" s="2" t="s">
        <v>27004</v>
      </c>
      <c r="C15787" s="1" t="s">
        <v>5628</v>
      </c>
      <c r="D15787" s="1" t="s">
        <v>5629</v>
      </c>
    </row>
    <row r="15788">
      <c r="A15788" s="1" t="s">
        <v>27005</v>
      </c>
      <c r="B15788" s="2" t="s">
        <v>27006</v>
      </c>
      <c r="C15788" s="1" t="s">
        <v>5628</v>
      </c>
      <c r="D15788" s="1" t="s">
        <v>5629</v>
      </c>
    </row>
    <row r="15789">
      <c r="A15789" s="1" t="s">
        <v>27007</v>
      </c>
      <c r="B15789" s="2" t="s">
        <v>27008</v>
      </c>
      <c r="C15789" s="1" t="s">
        <v>5628</v>
      </c>
      <c r="D15789" s="1" t="s">
        <v>5629</v>
      </c>
    </row>
    <row r="15790">
      <c r="A15790" s="1" t="s">
        <v>27009</v>
      </c>
      <c r="B15790" s="2" t="s">
        <v>27010</v>
      </c>
      <c r="C15790" s="1" t="s">
        <v>5628</v>
      </c>
      <c r="D15790" s="1" t="s">
        <v>5629</v>
      </c>
    </row>
    <row r="15791">
      <c r="A15791" s="1" t="s">
        <v>27011</v>
      </c>
      <c r="B15791" s="2" t="s">
        <v>27012</v>
      </c>
      <c r="C15791" s="1" t="s">
        <v>5628</v>
      </c>
      <c r="D15791" s="1" t="s">
        <v>5629</v>
      </c>
    </row>
    <row r="15792">
      <c r="A15792" s="1" t="s">
        <v>27013</v>
      </c>
      <c r="B15792" s="2" t="s">
        <v>27014</v>
      </c>
      <c r="C15792" s="1" t="s">
        <v>5628</v>
      </c>
      <c r="D15792" s="1" t="s">
        <v>5629</v>
      </c>
    </row>
    <row r="15793">
      <c r="A15793" s="1" t="s">
        <v>27015</v>
      </c>
      <c r="B15793" s="2" t="s">
        <v>27016</v>
      </c>
      <c r="C15793" s="1" t="s">
        <v>5628</v>
      </c>
      <c r="D15793" s="1" t="s">
        <v>5629</v>
      </c>
    </row>
    <row r="15794">
      <c r="A15794" s="1" t="s">
        <v>27017</v>
      </c>
      <c r="B15794" s="2" t="s">
        <v>27018</v>
      </c>
      <c r="C15794" s="1" t="s">
        <v>5628</v>
      </c>
      <c r="D15794" s="1" t="s">
        <v>5629</v>
      </c>
    </row>
    <row r="15795">
      <c r="A15795" s="1" t="s">
        <v>27019</v>
      </c>
      <c r="B15795" s="2" t="s">
        <v>27020</v>
      </c>
      <c r="C15795" s="1" t="s">
        <v>5628</v>
      </c>
      <c r="D15795" s="1" t="s">
        <v>5629</v>
      </c>
    </row>
    <row r="15796">
      <c r="A15796" s="1" t="s">
        <v>27021</v>
      </c>
      <c r="B15796" s="2" t="s">
        <v>27022</v>
      </c>
      <c r="C15796" s="1" t="s">
        <v>5628</v>
      </c>
      <c r="D15796" s="1" t="s">
        <v>5629</v>
      </c>
    </row>
    <row r="15797">
      <c r="A15797" s="1" t="s">
        <v>27023</v>
      </c>
      <c r="B15797" s="2" t="s">
        <v>27024</v>
      </c>
      <c r="C15797" s="1" t="s">
        <v>5628</v>
      </c>
      <c r="D15797" s="1" t="s">
        <v>5629</v>
      </c>
    </row>
    <row r="15798">
      <c r="A15798" s="1" t="s">
        <v>27025</v>
      </c>
      <c r="B15798" s="2" t="s">
        <v>27026</v>
      </c>
      <c r="C15798" s="1" t="s">
        <v>5628</v>
      </c>
      <c r="D15798" s="1" t="s">
        <v>5629</v>
      </c>
    </row>
    <row r="15799">
      <c r="A15799" s="1" t="s">
        <v>27027</v>
      </c>
      <c r="B15799" s="2" t="s">
        <v>27028</v>
      </c>
      <c r="C15799" s="1" t="s">
        <v>5628</v>
      </c>
      <c r="D15799" s="1" t="s">
        <v>5629</v>
      </c>
    </row>
    <row r="15800">
      <c r="A15800" s="1" t="s">
        <v>27029</v>
      </c>
      <c r="B15800" s="2" t="s">
        <v>27030</v>
      </c>
      <c r="C15800" s="1" t="s">
        <v>5628</v>
      </c>
      <c r="D15800" s="1" t="s">
        <v>5629</v>
      </c>
    </row>
    <row r="15801">
      <c r="A15801" s="1" t="s">
        <v>27031</v>
      </c>
      <c r="B15801" s="2" t="s">
        <v>27032</v>
      </c>
      <c r="C15801" s="1" t="s">
        <v>5628</v>
      </c>
      <c r="D15801" s="1" t="s">
        <v>5629</v>
      </c>
    </row>
    <row r="15802">
      <c r="A15802" s="1" t="s">
        <v>27033</v>
      </c>
      <c r="B15802" s="2" t="s">
        <v>27034</v>
      </c>
      <c r="C15802" s="1" t="s">
        <v>5628</v>
      </c>
      <c r="D15802" s="1" t="s">
        <v>5629</v>
      </c>
    </row>
    <row r="15803">
      <c r="A15803" s="1" t="s">
        <v>27035</v>
      </c>
      <c r="B15803" s="2" t="s">
        <v>27036</v>
      </c>
      <c r="C15803" s="1" t="s">
        <v>5628</v>
      </c>
      <c r="D15803" s="1" t="s">
        <v>5629</v>
      </c>
    </row>
    <row r="15804">
      <c r="A15804" s="1" t="s">
        <v>27037</v>
      </c>
      <c r="B15804" s="2" t="s">
        <v>27038</v>
      </c>
      <c r="C15804" s="1" t="s">
        <v>5628</v>
      </c>
      <c r="D15804" s="1" t="s">
        <v>5629</v>
      </c>
    </row>
    <row r="15805">
      <c r="A15805" s="1" t="s">
        <v>27039</v>
      </c>
      <c r="B15805" s="2" t="s">
        <v>27040</v>
      </c>
      <c r="C15805" s="1" t="s">
        <v>5628</v>
      </c>
      <c r="D15805" s="1" t="s">
        <v>5629</v>
      </c>
    </row>
    <row r="15806">
      <c r="A15806" s="1" t="s">
        <v>27041</v>
      </c>
      <c r="B15806" s="2" t="s">
        <v>27042</v>
      </c>
      <c r="C15806" s="1" t="s">
        <v>5628</v>
      </c>
      <c r="D15806" s="1" t="s">
        <v>5629</v>
      </c>
    </row>
    <row r="15807">
      <c r="A15807" s="1" t="s">
        <v>27043</v>
      </c>
      <c r="B15807" s="2" t="s">
        <v>27044</v>
      </c>
      <c r="C15807" s="1" t="s">
        <v>5628</v>
      </c>
      <c r="D15807" s="1" t="s">
        <v>5629</v>
      </c>
    </row>
    <row r="15808">
      <c r="A15808" s="1" t="s">
        <v>27045</v>
      </c>
      <c r="B15808" s="2" t="s">
        <v>27046</v>
      </c>
      <c r="C15808" s="1" t="s">
        <v>5628</v>
      </c>
      <c r="D15808" s="1" t="s">
        <v>5629</v>
      </c>
    </row>
    <row r="15809">
      <c r="A15809" s="1" t="s">
        <v>27047</v>
      </c>
      <c r="B15809" s="2" t="s">
        <v>27048</v>
      </c>
      <c r="C15809" s="1" t="s">
        <v>5628</v>
      </c>
      <c r="D15809" s="1" t="s">
        <v>5629</v>
      </c>
    </row>
    <row r="15810">
      <c r="A15810" s="1" t="s">
        <v>27049</v>
      </c>
      <c r="B15810" s="2" t="s">
        <v>27050</v>
      </c>
      <c r="C15810" s="1" t="s">
        <v>5628</v>
      </c>
      <c r="D15810" s="1" t="s">
        <v>5629</v>
      </c>
    </row>
    <row r="15811">
      <c r="A15811" s="1" t="s">
        <v>27051</v>
      </c>
      <c r="B15811" s="2" t="s">
        <v>27052</v>
      </c>
      <c r="C15811" s="1" t="s">
        <v>5628</v>
      </c>
      <c r="D15811" s="1" t="s">
        <v>5629</v>
      </c>
    </row>
    <row r="15812">
      <c r="A15812" s="1" t="s">
        <v>27053</v>
      </c>
      <c r="B15812" s="2" t="s">
        <v>27054</v>
      </c>
      <c r="C15812" s="1" t="s">
        <v>5628</v>
      </c>
      <c r="D15812" s="1" t="s">
        <v>5629</v>
      </c>
    </row>
    <row r="15813">
      <c r="A15813" s="1" t="s">
        <v>27055</v>
      </c>
      <c r="B15813" s="2" t="s">
        <v>27056</v>
      </c>
      <c r="C15813" s="1" t="s">
        <v>5628</v>
      </c>
      <c r="D15813" s="1" t="s">
        <v>5629</v>
      </c>
    </row>
    <row r="15814">
      <c r="A15814" s="1" t="s">
        <v>27057</v>
      </c>
      <c r="B15814" s="2" t="s">
        <v>27058</v>
      </c>
      <c r="C15814" s="1" t="s">
        <v>5628</v>
      </c>
      <c r="D15814" s="1" t="s">
        <v>5629</v>
      </c>
    </row>
    <row r="15815">
      <c r="A15815" s="1" t="s">
        <v>27059</v>
      </c>
      <c r="B15815" s="2" t="s">
        <v>27060</v>
      </c>
      <c r="C15815" s="1" t="s">
        <v>5628</v>
      </c>
      <c r="D15815" s="1" t="s">
        <v>5629</v>
      </c>
    </row>
    <row r="15816">
      <c r="A15816" s="1" t="s">
        <v>27061</v>
      </c>
      <c r="B15816" s="2" t="s">
        <v>27062</v>
      </c>
      <c r="C15816" s="1" t="s">
        <v>5628</v>
      </c>
      <c r="D15816" s="1" t="s">
        <v>5629</v>
      </c>
    </row>
    <row r="15817">
      <c r="A15817" s="1" t="s">
        <v>27063</v>
      </c>
      <c r="B15817" s="2" t="s">
        <v>27064</v>
      </c>
      <c r="C15817" s="1" t="s">
        <v>5628</v>
      </c>
      <c r="D15817" s="1" t="s">
        <v>5629</v>
      </c>
    </row>
    <row r="15818">
      <c r="A15818" s="1" t="s">
        <v>27065</v>
      </c>
      <c r="B15818" s="2" t="s">
        <v>27066</v>
      </c>
      <c r="C15818" s="1" t="s">
        <v>5628</v>
      </c>
      <c r="D15818" s="1" t="s">
        <v>5629</v>
      </c>
    </row>
    <row r="15819">
      <c r="A15819" s="1" t="s">
        <v>27067</v>
      </c>
      <c r="B15819" s="2" t="s">
        <v>27068</v>
      </c>
      <c r="C15819" s="1" t="s">
        <v>5628</v>
      </c>
      <c r="D15819" s="1" t="s">
        <v>5629</v>
      </c>
    </row>
    <row r="15820">
      <c r="A15820" s="1" t="s">
        <v>27069</v>
      </c>
      <c r="B15820" s="2" t="s">
        <v>27070</v>
      </c>
      <c r="C15820" s="1" t="s">
        <v>5628</v>
      </c>
      <c r="D15820" s="1" t="s">
        <v>5629</v>
      </c>
    </row>
    <row r="15821">
      <c r="A15821" s="1" t="s">
        <v>27071</v>
      </c>
      <c r="B15821" s="2" t="s">
        <v>27072</v>
      </c>
      <c r="C15821" s="1" t="s">
        <v>5628</v>
      </c>
      <c r="D15821" s="1" t="s">
        <v>5629</v>
      </c>
    </row>
    <row r="15822">
      <c r="A15822" s="1" t="s">
        <v>27073</v>
      </c>
      <c r="B15822" s="2" t="s">
        <v>27074</v>
      </c>
      <c r="C15822" s="1" t="s">
        <v>5628</v>
      </c>
      <c r="D15822" s="1" t="s">
        <v>5629</v>
      </c>
    </row>
    <row r="15823">
      <c r="A15823" s="1" t="s">
        <v>27075</v>
      </c>
      <c r="B15823" s="2" t="s">
        <v>27076</v>
      </c>
      <c r="C15823" s="1" t="s">
        <v>5628</v>
      </c>
      <c r="D15823" s="1" t="s">
        <v>5629</v>
      </c>
    </row>
    <row r="15824">
      <c r="A15824" s="1" t="s">
        <v>27077</v>
      </c>
      <c r="B15824" s="2" t="s">
        <v>27078</v>
      </c>
      <c r="C15824" s="1" t="s">
        <v>5628</v>
      </c>
      <c r="D15824" s="1" t="s">
        <v>5629</v>
      </c>
    </row>
    <row r="15825">
      <c r="A15825" s="1" t="s">
        <v>27079</v>
      </c>
      <c r="B15825" s="2" t="s">
        <v>27080</v>
      </c>
      <c r="C15825" s="1" t="s">
        <v>5628</v>
      </c>
      <c r="D15825" s="1" t="s">
        <v>5629</v>
      </c>
    </row>
    <row r="15826">
      <c r="A15826" s="1" t="s">
        <v>27081</v>
      </c>
      <c r="B15826" s="2" t="s">
        <v>27082</v>
      </c>
      <c r="C15826" s="1" t="s">
        <v>5628</v>
      </c>
      <c r="D15826" s="1" t="s">
        <v>5629</v>
      </c>
    </row>
    <row r="15827">
      <c r="A15827" s="1" t="s">
        <v>27083</v>
      </c>
      <c r="B15827" s="2" t="s">
        <v>27084</v>
      </c>
      <c r="C15827" s="1" t="s">
        <v>5628</v>
      </c>
      <c r="D15827" s="1" t="s">
        <v>5629</v>
      </c>
    </row>
    <row r="15828">
      <c r="A15828" s="1" t="s">
        <v>27085</v>
      </c>
      <c r="B15828" s="2" t="s">
        <v>27086</v>
      </c>
      <c r="C15828" s="1" t="s">
        <v>5628</v>
      </c>
      <c r="D15828" s="1" t="s">
        <v>5629</v>
      </c>
    </row>
    <row r="15829">
      <c r="A15829" s="1" t="s">
        <v>27087</v>
      </c>
      <c r="B15829" s="2" t="s">
        <v>27088</v>
      </c>
      <c r="C15829" s="1" t="s">
        <v>5628</v>
      </c>
      <c r="D15829" s="1" t="s">
        <v>5629</v>
      </c>
    </row>
    <row r="15830">
      <c r="A15830" s="1" t="s">
        <v>27089</v>
      </c>
      <c r="B15830" s="2" t="s">
        <v>27090</v>
      </c>
      <c r="C15830" s="1" t="s">
        <v>5628</v>
      </c>
      <c r="D15830" s="1" t="s">
        <v>5629</v>
      </c>
    </row>
    <row r="15831">
      <c r="A15831" s="1" t="s">
        <v>5632</v>
      </c>
      <c r="B15831" s="2" t="s">
        <v>7</v>
      </c>
      <c r="C15831" s="1" t="s">
        <v>5634</v>
      </c>
      <c r="D15831" s="1" t="s">
        <v>5635</v>
      </c>
    </row>
    <row r="15832">
      <c r="A15832" s="1" t="s">
        <v>27091</v>
      </c>
      <c r="B15832" s="2" t="s">
        <v>25962</v>
      </c>
      <c r="C15832" s="1" t="s">
        <v>5634</v>
      </c>
      <c r="D15832" s="1" t="s">
        <v>5635</v>
      </c>
    </row>
    <row r="15833">
      <c r="A15833" s="1" t="s">
        <v>27092</v>
      </c>
      <c r="B15833" s="2" t="s">
        <v>25964</v>
      </c>
      <c r="C15833" s="1" t="s">
        <v>5634</v>
      </c>
      <c r="D15833" s="1" t="s">
        <v>5635</v>
      </c>
    </row>
    <row r="15834">
      <c r="A15834" s="1" t="s">
        <v>27093</v>
      </c>
      <c r="B15834" s="2" t="s">
        <v>25966</v>
      </c>
      <c r="C15834" s="1" t="s">
        <v>5634</v>
      </c>
      <c r="D15834" s="1" t="s">
        <v>5635</v>
      </c>
    </row>
    <row r="15835">
      <c r="A15835" s="1" t="s">
        <v>27094</v>
      </c>
      <c r="B15835" s="2" t="s">
        <v>25968</v>
      </c>
      <c r="C15835" s="1" t="s">
        <v>5634</v>
      </c>
      <c r="D15835" s="1" t="s">
        <v>5635</v>
      </c>
    </row>
    <row r="15836">
      <c r="A15836" s="1" t="s">
        <v>27095</v>
      </c>
      <c r="B15836" s="2" t="s">
        <v>25970</v>
      </c>
      <c r="C15836" s="1" t="s">
        <v>5634</v>
      </c>
      <c r="D15836" s="1" t="s">
        <v>5635</v>
      </c>
    </row>
    <row r="15837">
      <c r="A15837" s="1" t="s">
        <v>27096</v>
      </c>
      <c r="B15837" s="2" t="s">
        <v>25972</v>
      </c>
      <c r="C15837" s="1" t="s">
        <v>5634</v>
      </c>
      <c r="D15837" s="1" t="s">
        <v>5635</v>
      </c>
    </row>
    <row r="15838">
      <c r="A15838" s="1" t="s">
        <v>27097</v>
      </c>
      <c r="B15838" s="2" t="s">
        <v>25974</v>
      </c>
      <c r="C15838" s="1" t="s">
        <v>5634</v>
      </c>
      <c r="D15838" s="1" t="s">
        <v>5635</v>
      </c>
    </row>
    <row r="15839">
      <c r="A15839" s="1" t="s">
        <v>27098</v>
      </c>
      <c r="B15839" s="2" t="s">
        <v>25976</v>
      </c>
      <c r="C15839" s="1" t="s">
        <v>5634</v>
      </c>
      <c r="D15839" s="1" t="s">
        <v>5635</v>
      </c>
    </row>
    <row r="15840">
      <c r="A15840" s="1" t="s">
        <v>27099</v>
      </c>
      <c r="B15840" s="2" t="s">
        <v>25978</v>
      </c>
      <c r="C15840" s="1" t="s">
        <v>5634</v>
      </c>
      <c r="D15840" s="1" t="s">
        <v>5635</v>
      </c>
    </row>
    <row r="15841">
      <c r="A15841" s="1" t="s">
        <v>27100</v>
      </c>
      <c r="B15841" s="2" t="s">
        <v>25980</v>
      </c>
      <c r="C15841" s="1" t="s">
        <v>5634</v>
      </c>
      <c r="D15841" s="1" t="s">
        <v>5635</v>
      </c>
    </row>
    <row r="15842">
      <c r="A15842" s="1" t="s">
        <v>27101</v>
      </c>
      <c r="B15842" s="2" t="s">
        <v>25982</v>
      </c>
      <c r="C15842" s="1" t="s">
        <v>5634</v>
      </c>
      <c r="D15842" s="1" t="s">
        <v>5635</v>
      </c>
    </row>
    <row r="15843">
      <c r="A15843" s="1" t="s">
        <v>27102</v>
      </c>
      <c r="B15843" s="2" t="s">
        <v>25984</v>
      </c>
      <c r="C15843" s="1" t="s">
        <v>5634</v>
      </c>
      <c r="D15843" s="1" t="s">
        <v>5635</v>
      </c>
    </row>
    <row r="15844">
      <c r="A15844" s="1" t="s">
        <v>27103</v>
      </c>
      <c r="B15844" s="2" t="s">
        <v>25986</v>
      </c>
      <c r="C15844" s="1" t="s">
        <v>5634</v>
      </c>
      <c r="D15844" s="1" t="s">
        <v>5635</v>
      </c>
    </row>
    <row r="15845">
      <c r="A15845" s="1" t="s">
        <v>27104</v>
      </c>
      <c r="B15845" s="2" t="s">
        <v>25988</v>
      </c>
      <c r="C15845" s="1" t="s">
        <v>5634</v>
      </c>
      <c r="D15845" s="1" t="s">
        <v>5635</v>
      </c>
    </row>
    <row r="15846">
      <c r="A15846" s="1" t="s">
        <v>27105</v>
      </c>
      <c r="B15846" s="2" t="s">
        <v>25990</v>
      </c>
      <c r="C15846" s="1" t="s">
        <v>5634</v>
      </c>
      <c r="D15846" s="1" t="s">
        <v>5635</v>
      </c>
    </row>
    <row r="15847">
      <c r="A15847" s="1" t="s">
        <v>27106</v>
      </c>
      <c r="B15847" s="2" t="s">
        <v>25992</v>
      </c>
      <c r="C15847" s="1" t="s">
        <v>5634</v>
      </c>
      <c r="D15847" s="1" t="s">
        <v>5635</v>
      </c>
    </row>
    <row r="15848">
      <c r="A15848" s="1" t="s">
        <v>27107</v>
      </c>
      <c r="B15848" s="2" t="s">
        <v>25994</v>
      </c>
      <c r="C15848" s="1" t="s">
        <v>5634</v>
      </c>
      <c r="D15848" s="1" t="s">
        <v>5635</v>
      </c>
    </row>
    <row r="15849">
      <c r="A15849" s="1" t="s">
        <v>27108</v>
      </c>
      <c r="B15849" s="2" t="s">
        <v>25996</v>
      </c>
      <c r="C15849" s="1" t="s">
        <v>5634</v>
      </c>
      <c r="D15849" s="1" t="s">
        <v>5635</v>
      </c>
    </row>
    <row r="15850">
      <c r="A15850" s="1" t="s">
        <v>27109</v>
      </c>
      <c r="B15850" s="2" t="s">
        <v>25998</v>
      </c>
      <c r="C15850" s="1" t="s">
        <v>5634</v>
      </c>
      <c r="D15850" s="1" t="s">
        <v>5635</v>
      </c>
    </row>
    <row r="15851">
      <c r="A15851" s="1" t="s">
        <v>27110</v>
      </c>
      <c r="B15851" s="2" t="s">
        <v>26000</v>
      </c>
      <c r="C15851" s="1" t="s">
        <v>5634</v>
      </c>
      <c r="D15851" s="1" t="s">
        <v>5635</v>
      </c>
    </row>
    <row r="15852">
      <c r="A15852" s="1" t="s">
        <v>27111</v>
      </c>
      <c r="B15852" s="2" t="s">
        <v>26002</v>
      </c>
      <c r="C15852" s="1" t="s">
        <v>5634</v>
      </c>
      <c r="D15852" s="1" t="s">
        <v>5635</v>
      </c>
    </row>
    <row r="15853">
      <c r="A15853" s="1" t="s">
        <v>27112</v>
      </c>
      <c r="B15853" s="2" t="s">
        <v>26004</v>
      </c>
      <c r="C15853" s="1" t="s">
        <v>5634</v>
      </c>
      <c r="D15853" s="1" t="s">
        <v>5635</v>
      </c>
    </row>
    <row r="15854">
      <c r="A15854" s="1" t="s">
        <v>27113</v>
      </c>
      <c r="B15854" s="2" t="s">
        <v>26006</v>
      </c>
      <c r="C15854" s="1" t="s">
        <v>5634</v>
      </c>
      <c r="D15854" s="1" t="s">
        <v>5635</v>
      </c>
    </row>
    <row r="15855">
      <c r="A15855" s="1" t="s">
        <v>27114</v>
      </c>
      <c r="B15855" s="2" t="s">
        <v>26008</v>
      </c>
      <c r="C15855" s="1" t="s">
        <v>5634</v>
      </c>
      <c r="D15855" s="1" t="s">
        <v>5635</v>
      </c>
    </row>
    <row r="15856">
      <c r="A15856" s="1" t="s">
        <v>27115</v>
      </c>
      <c r="B15856" s="2" t="s">
        <v>26010</v>
      </c>
      <c r="C15856" s="1" t="s">
        <v>5634</v>
      </c>
      <c r="D15856" s="1" t="s">
        <v>5635</v>
      </c>
    </row>
    <row r="15857">
      <c r="A15857" s="1" t="s">
        <v>27116</v>
      </c>
      <c r="B15857" s="2" t="s">
        <v>26012</v>
      </c>
      <c r="C15857" s="1" t="s">
        <v>5634</v>
      </c>
      <c r="D15857" s="1" t="s">
        <v>5635</v>
      </c>
    </row>
    <row r="15858">
      <c r="A15858" s="1" t="s">
        <v>27117</v>
      </c>
      <c r="B15858" s="2" t="s">
        <v>26014</v>
      </c>
      <c r="C15858" s="1" t="s">
        <v>5634</v>
      </c>
      <c r="D15858" s="1" t="s">
        <v>5635</v>
      </c>
    </row>
    <row r="15859">
      <c r="A15859" s="1" t="s">
        <v>27118</v>
      </c>
      <c r="B15859" s="2" t="s">
        <v>26016</v>
      </c>
      <c r="C15859" s="1" t="s">
        <v>5634</v>
      </c>
      <c r="D15859" s="1" t="s">
        <v>5635</v>
      </c>
    </row>
    <row r="15860">
      <c r="A15860" s="1" t="s">
        <v>27119</v>
      </c>
      <c r="B15860" s="2" t="s">
        <v>26018</v>
      </c>
      <c r="C15860" s="1" t="s">
        <v>5634</v>
      </c>
      <c r="D15860" s="1" t="s">
        <v>5635</v>
      </c>
    </row>
    <row r="15861">
      <c r="A15861" s="1" t="s">
        <v>27120</v>
      </c>
      <c r="B15861" s="2" t="s">
        <v>26020</v>
      </c>
      <c r="C15861" s="1" t="s">
        <v>5634</v>
      </c>
      <c r="D15861" s="1" t="s">
        <v>5635</v>
      </c>
    </row>
    <row r="15862">
      <c r="A15862" s="1" t="s">
        <v>27121</v>
      </c>
      <c r="B15862" s="2" t="s">
        <v>26022</v>
      </c>
      <c r="C15862" s="1" t="s">
        <v>5634</v>
      </c>
      <c r="D15862" s="1" t="s">
        <v>5635</v>
      </c>
    </row>
    <row r="15863">
      <c r="A15863" s="1" t="s">
        <v>27122</v>
      </c>
      <c r="B15863" s="2" t="s">
        <v>26024</v>
      </c>
      <c r="C15863" s="1" t="s">
        <v>5634</v>
      </c>
      <c r="D15863" s="1" t="s">
        <v>5635</v>
      </c>
    </row>
    <row r="15864">
      <c r="A15864" s="1" t="s">
        <v>27123</v>
      </c>
      <c r="B15864" s="2" t="s">
        <v>26026</v>
      </c>
      <c r="C15864" s="1" t="s">
        <v>5634</v>
      </c>
      <c r="D15864" s="1" t="s">
        <v>5635</v>
      </c>
    </row>
    <row r="15865">
      <c r="A15865" s="1" t="s">
        <v>27124</v>
      </c>
      <c r="B15865" s="2" t="s">
        <v>26028</v>
      </c>
      <c r="C15865" s="1" t="s">
        <v>5634</v>
      </c>
      <c r="D15865" s="1" t="s">
        <v>5635</v>
      </c>
    </row>
    <row r="15866">
      <c r="A15866" s="1" t="s">
        <v>27125</v>
      </c>
      <c r="B15866" s="2" t="s">
        <v>26030</v>
      </c>
      <c r="C15866" s="1" t="s">
        <v>5634</v>
      </c>
      <c r="D15866" s="1" t="s">
        <v>5635</v>
      </c>
    </row>
    <row r="15867">
      <c r="A15867" s="1" t="s">
        <v>27126</v>
      </c>
      <c r="B15867" s="2" t="s">
        <v>26032</v>
      </c>
      <c r="C15867" s="1" t="s">
        <v>5634</v>
      </c>
      <c r="D15867" s="1" t="s">
        <v>5635</v>
      </c>
    </row>
    <row r="15868">
      <c r="A15868" s="1" t="s">
        <v>27127</v>
      </c>
      <c r="B15868" s="2" t="s">
        <v>26034</v>
      </c>
      <c r="C15868" s="1" t="s">
        <v>5634</v>
      </c>
      <c r="D15868" s="1" t="s">
        <v>5635</v>
      </c>
    </row>
    <row r="15869">
      <c r="A15869" s="1" t="s">
        <v>27128</v>
      </c>
      <c r="B15869" s="2" t="s">
        <v>26036</v>
      </c>
      <c r="C15869" s="1" t="s">
        <v>5634</v>
      </c>
      <c r="D15869" s="1" t="s">
        <v>5635</v>
      </c>
    </row>
    <row r="15870">
      <c r="A15870" s="1" t="s">
        <v>27129</v>
      </c>
      <c r="B15870" s="2" t="s">
        <v>26038</v>
      </c>
      <c r="C15870" s="1" t="s">
        <v>5634</v>
      </c>
      <c r="D15870" s="1" t="s">
        <v>5635</v>
      </c>
    </row>
    <row r="15871">
      <c r="A15871" s="1" t="s">
        <v>27130</v>
      </c>
      <c r="B15871" s="2" t="s">
        <v>26040</v>
      </c>
      <c r="C15871" s="1" t="s">
        <v>5634</v>
      </c>
      <c r="D15871" s="1" t="s">
        <v>5635</v>
      </c>
    </row>
    <row r="15872">
      <c r="A15872" s="1" t="s">
        <v>27131</v>
      </c>
      <c r="B15872" s="2" t="s">
        <v>26042</v>
      </c>
      <c r="C15872" s="1" t="s">
        <v>5634</v>
      </c>
      <c r="D15872" s="1" t="s">
        <v>5635</v>
      </c>
    </row>
    <row r="15873">
      <c r="A15873" s="1" t="s">
        <v>27132</v>
      </c>
      <c r="B15873" s="2" t="s">
        <v>26044</v>
      </c>
      <c r="C15873" s="1" t="s">
        <v>5634</v>
      </c>
      <c r="D15873" s="1" t="s">
        <v>5635</v>
      </c>
    </row>
    <row r="15874">
      <c r="A15874" s="1" t="s">
        <v>27133</v>
      </c>
      <c r="B15874" s="2" t="s">
        <v>26046</v>
      </c>
      <c r="C15874" s="1" t="s">
        <v>5634</v>
      </c>
      <c r="D15874" s="1" t="s">
        <v>5635</v>
      </c>
    </row>
    <row r="15875">
      <c r="A15875" s="1" t="s">
        <v>27134</v>
      </c>
      <c r="B15875" s="2" t="s">
        <v>26048</v>
      </c>
      <c r="C15875" s="1" t="s">
        <v>5634</v>
      </c>
      <c r="D15875" s="1" t="s">
        <v>5635</v>
      </c>
    </row>
    <row r="15876">
      <c r="A15876" s="1" t="s">
        <v>27135</v>
      </c>
      <c r="B15876" s="2" t="s">
        <v>26050</v>
      </c>
      <c r="C15876" s="1" t="s">
        <v>5634</v>
      </c>
      <c r="D15876" s="1" t="s">
        <v>5635</v>
      </c>
    </row>
    <row r="15877">
      <c r="A15877" s="1" t="s">
        <v>27136</v>
      </c>
      <c r="B15877" s="2" t="s">
        <v>26052</v>
      </c>
      <c r="C15877" s="1" t="s">
        <v>5634</v>
      </c>
      <c r="D15877" s="1" t="s">
        <v>5635</v>
      </c>
    </row>
    <row r="15878">
      <c r="A15878" s="1" t="s">
        <v>27137</v>
      </c>
      <c r="B15878" s="2" t="s">
        <v>26054</v>
      </c>
      <c r="C15878" s="1" t="s">
        <v>5634</v>
      </c>
      <c r="D15878" s="1" t="s">
        <v>5635</v>
      </c>
    </row>
    <row r="15879">
      <c r="A15879" s="1" t="s">
        <v>27138</v>
      </c>
      <c r="B15879" s="2" t="s">
        <v>26056</v>
      </c>
      <c r="C15879" s="1" t="s">
        <v>5634</v>
      </c>
      <c r="D15879" s="1" t="s">
        <v>5635</v>
      </c>
    </row>
    <row r="15880">
      <c r="A15880" s="1" t="s">
        <v>27139</v>
      </c>
      <c r="B15880" s="2" t="s">
        <v>26058</v>
      </c>
      <c r="C15880" s="1" t="s">
        <v>5634</v>
      </c>
      <c r="D15880" s="1" t="s">
        <v>5635</v>
      </c>
    </row>
    <row r="15881">
      <c r="A15881" s="1" t="s">
        <v>27140</v>
      </c>
      <c r="B15881" s="2" t="s">
        <v>26060</v>
      </c>
      <c r="C15881" s="1" t="s">
        <v>5634</v>
      </c>
      <c r="D15881" s="1" t="s">
        <v>5635</v>
      </c>
    </row>
    <row r="15882">
      <c r="A15882" s="1" t="s">
        <v>27141</v>
      </c>
      <c r="B15882" s="2" t="s">
        <v>26062</v>
      </c>
      <c r="C15882" s="1" t="s">
        <v>5634</v>
      </c>
      <c r="D15882" s="1" t="s">
        <v>5635</v>
      </c>
    </row>
    <row r="15883">
      <c r="A15883" s="1" t="s">
        <v>27142</v>
      </c>
      <c r="B15883" s="2" t="s">
        <v>26064</v>
      </c>
      <c r="C15883" s="1" t="s">
        <v>5634</v>
      </c>
      <c r="D15883" s="1" t="s">
        <v>5635</v>
      </c>
    </row>
    <row r="15884">
      <c r="A15884" s="1" t="s">
        <v>27143</v>
      </c>
      <c r="B15884" s="2" t="s">
        <v>26066</v>
      </c>
      <c r="C15884" s="1" t="s">
        <v>5634</v>
      </c>
      <c r="D15884" s="1" t="s">
        <v>5635</v>
      </c>
    </row>
    <row r="15885">
      <c r="A15885" s="1" t="s">
        <v>27144</v>
      </c>
      <c r="B15885" s="2" t="s">
        <v>26068</v>
      </c>
      <c r="C15885" s="1" t="s">
        <v>5634</v>
      </c>
      <c r="D15885" s="1" t="s">
        <v>5635</v>
      </c>
    </row>
    <row r="15886">
      <c r="A15886" s="1" t="s">
        <v>27145</v>
      </c>
      <c r="B15886" s="2" t="s">
        <v>26070</v>
      </c>
      <c r="C15886" s="1" t="s">
        <v>5634</v>
      </c>
      <c r="D15886" s="1" t="s">
        <v>5635</v>
      </c>
    </row>
    <row r="15887">
      <c r="A15887" s="1" t="s">
        <v>27146</v>
      </c>
      <c r="B15887" s="2" t="s">
        <v>26072</v>
      </c>
      <c r="C15887" s="1" t="s">
        <v>5634</v>
      </c>
      <c r="D15887" s="1" t="s">
        <v>5635</v>
      </c>
    </row>
    <row r="15888">
      <c r="A15888" s="1" t="s">
        <v>27147</v>
      </c>
      <c r="B15888" s="2" t="s">
        <v>26074</v>
      </c>
      <c r="C15888" s="1" t="s">
        <v>5634</v>
      </c>
      <c r="D15888" s="1" t="s">
        <v>5635</v>
      </c>
    </row>
    <row r="15889">
      <c r="A15889" s="1" t="s">
        <v>27148</v>
      </c>
      <c r="B15889" s="2" t="s">
        <v>26076</v>
      </c>
      <c r="C15889" s="1" t="s">
        <v>5634</v>
      </c>
      <c r="D15889" s="1" t="s">
        <v>5635</v>
      </c>
    </row>
    <row r="15890">
      <c r="A15890" s="1" t="s">
        <v>27149</v>
      </c>
      <c r="B15890" s="2" t="s">
        <v>26078</v>
      </c>
      <c r="C15890" s="1" t="s">
        <v>5634</v>
      </c>
      <c r="D15890" s="1" t="s">
        <v>5635</v>
      </c>
    </row>
    <row r="15891">
      <c r="A15891" s="1" t="s">
        <v>27150</v>
      </c>
      <c r="B15891" s="2" t="s">
        <v>26080</v>
      </c>
      <c r="C15891" s="1" t="s">
        <v>5634</v>
      </c>
      <c r="D15891" s="1" t="s">
        <v>5635</v>
      </c>
    </row>
    <row r="15892">
      <c r="A15892" s="1" t="s">
        <v>27151</v>
      </c>
      <c r="B15892" s="2" t="s">
        <v>26082</v>
      </c>
      <c r="C15892" s="1" t="s">
        <v>5634</v>
      </c>
      <c r="D15892" s="1" t="s">
        <v>5635</v>
      </c>
    </row>
    <row r="15893">
      <c r="A15893" s="1" t="s">
        <v>27152</v>
      </c>
      <c r="B15893" s="2" t="s">
        <v>26084</v>
      </c>
      <c r="C15893" s="1" t="s">
        <v>5634</v>
      </c>
      <c r="D15893" s="1" t="s">
        <v>5635</v>
      </c>
    </row>
    <row r="15894">
      <c r="A15894" s="1" t="s">
        <v>27153</v>
      </c>
      <c r="B15894" s="2" t="s">
        <v>26086</v>
      </c>
      <c r="C15894" s="1" t="s">
        <v>5634</v>
      </c>
      <c r="D15894" s="1" t="s">
        <v>5635</v>
      </c>
    </row>
    <row r="15895">
      <c r="A15895" s="1" t="s">
        <v>27154</v>
      </c>
      <c r="B15895" s="2" t="s">
        <v>26088</v>
      </c>
      <c r="C15895" s="1" t="s">
        <v>5634</v>
      </c>
      <c r="D15895" s="1" t="s">
        <v>5635</v>
      </c>
    </row>
    <row r="15896">
      <c r="A15896" s="1" t="s">
        <v>27155</v>
      </c>
      <c r="B15896" s="2" t="s">
        <v>26090</v>
      </c>
      <c r="C15896" s="1" t="s">
        <v>5634</v>
      </c>
      <c r="D15896" s="1" t="s">
        <v>5635</v>
      </c>
    </row>
    <row r="15897">
      <c r="A15897" s="1" t="s">
        <v>27156</v>
      </c>
      <c r="B15897" s="2" t="s">
        <v>26092</v>
      </c>
      <c r="C15897" s="1" t="s">
        <v>5634</v>
      </c>
      <c r="D15897" s="1" t="s">
        <v>5635</v>
      </c>
    </row>
    <row r="15898">
      <c r="A15898" s="1" t="s">
        <v>27157</v>
      </c>
      <c r="B15898" s="2" t="s">
        <v>26094</v>
      </c>
      <c r="C15898" s="1" t="s">
        <v>5634</v>
      </c>
      <c r="D15898" s="1" t="s">
        <v>5635</v>
      </c>
    </row>
    <row r="15899">
      <c r="A15899" s="1" t="s">
        <v>27158</v>
      </c>
      <c r="B15899" s="2" t="s">
        <v>26096</v>
      </c>
      <c r="C15899" s="1" t="s">
        <v>5634</v>
      </c>
      <c r="D15899" s="1" t="s">
        <v>5635</v>
      </c>
    </row>
    <row r="15900">
      <c r="A15900" s="1" t="s">
        <v>27159</v>
      </c>
      <c r="B15900" s="2" t="s">
        <v>26098</v>
      </c>
      <c r="C15900" s="1" t="s">
        <v>5634</v>
      </c>
      <c r="D15900" s="1" t="s">
        <v>5635</v>
      </c>
    </row>
    <row r="15901">
      <c r="A15901" s="1" t="s">
        <v>27160</v>
      </c>
      <c r="B15901" s="2" t="s">
        <v>26100</v>
      </c>
      <c r="C15901" s="1" t="s">
        <v>5634</v>
      </c>
      <c r="D15901" s="1" t="s">
        <v>5635</v>
      </c>
    </row>
    <row r="15902">
      <c r="A15902" s="1" t="s">
        <v>27161</v>
      </c>
      <c r="B15902" s="2" t="s">
        <v>26102</v>
      </c>
      <c r="C15902" s="1" t="s">
        <v>5634</v>
      </c>
      <c r="D15902" s="1" t="s">
        <v>5635</v>
      </c>
    </row>
    <row r="15903">
      <c r="A15903" s="1" t="s">
        <v>27162</v>
      </c>
      <c r="B15903" s="2" t="s">
        <v>26104</v>
      </c>
      <c r="C15903" s="1" t="s">
        <v>5634</v>
      </c>
      <c r="D15903" s="1" t="s">
        <v>5635</v>
      </c>
    </row>
    <row r="15904">
      <c r="A15904" s="1" t="s">
        <v>27163</v>
      </c>
      <c r="B15904" s="2" t="s">
        <v>26106</v>
      </c>
      <c r="C15904" s="1" t="s">
        <v>5634</v>
      </c>
      <c r="D15904" s="1" t="s">
        <v>5635</v>
      </c>
    </row>
    <row r="15905">
      <c r="A15905" s="1" t="s">
        <v>27164</v>
      </c>
      <c r="B15905" s="2" t="s">
        <v>26108</v>
      </c>
      <c r="C15905" s="1" t="s">
        <v>5634</v>
      </c>
      <c r="D15905" s="1" t="s">
        <v>5635</v>
      </c>
    </row>
    <row r="15906">
      <c r="A15906" s="1" t="s">
        <v>27165</v>
      </c>
      <c r="B15906" s="2" t="s">
        <v>26110</v>
      </c>
      <c r="C15906" s="1" t="s">
        <v>5634</v>
      </c>
      <c r="D15906" s="1" t="s">
        <v>5635</v>
      </c>
    </row>
    <row r="15907">
      <c r="A15907" s="1" t="s">
        <v>27166</v>
      </c>
      <c r="B15907" s="2" t="s">
        <v>26112</v>
      </c>
      <c r="C15907" s="1" t="s">
        <v>5634</v>
      </c>
      <c r="D15907" s="1" t="s">
        <v>5635</v>
      </c>
    </row>
    <row r="15908">
      <c r="A15908" s="1" t="s">
        <v>27167</v>
      </c>
      <c r="B15908" s="2" t="s">
        <v>26114</v>
      </c>
      <c r="C15908" s="1" t="s">
        <v>5634</v>
      </c>
      <c r="D15908" s="1" t="s">
        <v>5635</v>
      </c>
    </row>
    <row r="15909">
      <c r="A15909" s="1" t="s">
        <v>27168</v>
      </c>
      <c r="B15909" s="2" t="s">
        <v>26116</v>
      </c>
      <c r="C15909" s="1" t="s">
        <v>5634</v>
      </c>
      <c r="D15909" s="1" t="s">
        <v>5635</v>
      </c>
    </row>
    <row r="15910">
      <c r="A15910" s="1" t="s">
        <v>27169</v>
      </c>
      <c r="B15910" s="2" t="s">
        <v>26118</v>
      </c>
      <c r="C15910" s="1" t="s">
        <v>5634</v>
      </c>
      <c r="D15910" s="1" t="s">
        <v>5635</v>
      </c>
    </row>
    <row r="15911">
      <c r="A15911" s="1" t="s">
        <v>27170</v>
      </c>
      <c r="B15911" s="2" t="s">
        <v>26120</v>
      </c>
      <c r="C15911" s="1" t="s">
        <v>5634</v>
      </c>
      <c r="D15911" s="1" t="s">
        <v>5635</v>
      </c>
    </row>
    <row r="15912">
      <c r="A15912" s="1" t="s">
        <v>27171</v>
      </c>
      <c r="B15912" s="2" t="s">
        <v>26122</v>
      </c>
      <c r="C15912" s="1" t="s">
        <v>5634</v>
      </c>
      <c r="D15912" s="1" t="s">
        <v>5635</v>
      </c>
    </row>
    <row r="15913">
      <c r="A15913" s="1" t="s">
        <v>27172</v>
      </c>
      <c r="B15913" s="2" t="s">
        <v>26124</v>
      </c>
      <c r="C15913" s="1" t="s">
        <v>5634</v>
      </c>
      <c r="D15913" s="1" t="s">
        <v>5635</v>
      </c>
    </row>
    <row r="15914">
      <c r="A15914" s="1" t="s">
        <v>27173</v>
      </c>
      <c r="B15914" s="2" t="s">
        <v>26126</v>
      </c>
      <c r="C15914" s="1" t="s">
        <v>5634</v>
      </c>
      <c r="D15914" s="1" t="s">
        <v>5635</v>
      </c>
    </row>
    <row r="15915">
      <c r="A15915" s="1" t="s">
        <v>27174</v>
      </c>
      <c r="B15915" s="2" t="s">
        <v>26128</v>
      </c>
      <c r="C15915" s="1" t="s">
        <v>5634</v>
      </c>
      <c r="D15915" s="1" t="s">
        <v>5635</v>
      </c>
    </row>
    <row r="15916">
      <c r="A15916" s="1" t="s">
        <v>27175</v>
      </c>
      <c r="B15916" s="2" t="s">
        <v>26130</v>
      </c>
      <c r="C15916" s="1" t="s">
        <v>5634</v>
      </c>
      <c r="D15916" s="1" t="s">
        <v>5635</v>
      </c>
    </row>
    <row r="15917">
      <c r="A15917" s="1" t="s">
        <v>27176</v>
      </c>
      <c r="B15917" s="2" t="s">
        <v>26132</v>
      </c>
      <c r="C15917" s="1" t="s">
        <v>5634</v>
      </c>
      <c r="D15917" s="1" t="s">
        <v>5635</v>
      </c>
    </row>
    <row r="15918">
      <c r="A15918" s="1" t="s">
        <v>27177</v>
      </c>
      <c r="B15918" s="2" t="s">
        <v>26134</v>
      </c>
      <c r="C15918" s="1" t="s">
        <v>5634</v>
      </c>
      <c r="D15918" s="1" t="s">
        <v>5635</v>
      </c>
    </row>
    <row r="15919">
      <c r="A15919" s="1" t="s">
        <v>27178</v>
      </c>
      <c r="B15919" s="2" t="s">
        <v>26136</v>
      </c>
      <c r="C15919" s="1" t="s">
        <v>5634</v>
      </c>
      <c r="D15919" s="1" t="s">
        <v>5635</v>
      </c>
    </row>
    <row r="15920">
      <c r="A15920" s="1" t="s">
        <v>27179</v>
      </c>
      <c r="B15920" s="2" t="s">
        <v>26138</v>
      </c>
      <c r="C15920" s="1" t="s">
        <v>5634</v>
      </c>
      <c r="D15920" s="1" t="s">
        <v>5635</v>
      </c>
    </row>
    <row r="15921">
      <c r="A15921" s="1" t="s">
        <v>27180</v>
      </c>
      <c r="B15921" s="2" t="s">
        <v>26140</v>
      </c>
      <c r="C15921" s="1" t="s">
        <v>5634</v>
      </c>
      <c r="D15921" s="1" t="s">
        <v>5635</v>
      </c>
    </row>
    <row r="15922">
      <c r="A15922" s="1" t="s">
        <v>27181</v>
      </c>
      <c r="B15922" s="2" t="s">
        <v>26142</v>
      </c>
      <c r="C15922" s="1" t="s">
        <v>5634</v>
      </c>
      <c r="D15922" s="1" t="s">
        <v>5635</v>
      </c>
    </row>
    <row r="15923">
      <c r="A15923" s="1" t="s">
        <v>27182</v>
      </c>
      <c r="B15923" s="2" t="s">
        <v>26144</v>
      </c>
      <c r="C15923" s="1" t="s">
        <v>5634</v>
      </c>
      <c r="D15923" s="1" t="s">
        <v>5635</v>
      </c>
    </row>
    <row r="15924">
      <c r="A15924" s="1" t="s">
        <v>27183</v>
      </c>
      <c r="B15924" s="2" t="s">
        <v>26146</v>
      </c>
      <c r="C15924" s="1" t="s">
        <v>5634</v>
      </c>
      <c r="D15924" s="1" t="s">
        <v>5635</v>
      </c>
    </row>
    <row r="15925">
      <c r="A15925" s="1" t="s">
        <v>27184</v>
      </c>
      <c r="B15925" s="2" t="s">
        <v>26148</v>
      </c>
      <c r="C15925" s="1" t="s">
        <v>5634</v>
      </c>
      <c r="D15925" s="1" t="s">
        <v>5635</v>
      </c>
    </row>
    <row r="15926">
      <c r="A15926" s="1" t="s">
        <v>27185</v>
      </c>
      <c r="B15926" s="2" t="s">
        <v>26150</v>
      </c>
      <c r="C15926" s="1" t="s">
        <v>5634</v>
      </c>
      <c r="D15926" s="1" t="s">
        <v>5635</v>
      </c>
    </row>
    <row r="15927">
      <c r="A15927" s="1" t="s">
        <v>27186</v>
      </c>
      <c r="B15927" s="2" t="s">
        <v>26152</v>
      </c>
      <c r="C15927" s="1" t="s">
        <v>5634</v>
      </c>
      <c r="D15927" s="1" t="s">
        <v>5635</v>
      </c>
    </row>
    <row r="15928">
      <c r="A15928" s="1" t="s">
        <v>27187</v>
      </c>
      <c r="B15928" s="2" t="s">
        <v>26154</v>
      </c>
      <c r="C15928" s="1" t="s">
        <v>5634</v>
      </c>
      <c r="D15928" s="1" t="s">
        <v>5635</v>
      </c>
    </row>
    <row r="15929">
      <c r="A15929" s="1" t="s">
        <v>27188</v>
      </c>
      <c r="B15929" s="2" t="s">
        <v>26156</v>
      </c>
      <c r="C15929" s="1" t="s">
        <v>5634</v>
      </c>
      <c r="D15929" s="1" t="s">
        <v>5635</v>
      </c>
    </row>
    <row r="15930">
      <c r="A15930" s="1" t="s">
        <v>27189</v>
      </c>
      <c r="B15930" s="2" t="s">
        <v>26158</v>
      </c>
      <c r="C15930" s="1" t="s">
        <v>5634</v>
      </c>
      <c r="D15930" s="1" t="s">
        <v>5635</v>
      </c>
    </row>
    <row r="15931">
      <c r="A15931" s="1" t="s">
        <v>27190</v>
      </c>
      <c r="B15931" s="2" t="s">
        <v>26160</v>
      </c>
      <c r="C15931" s="1" t="s">
        <v>5634</v>
      </c>
      <c r="D15931" s="1" t="s">
        <v>5635</v>
      </c>
    </row>
    <row r="15932">
      <c r="A15932" s="1" t="s">
        <v>27191</v>
      </c>
      <c r="B15932" s="2" t="s">
        <v>26162</v>
      </c>
      <c r="C15932" s="1" t="s">
        <v>5634</v>
      </c>
      <c r="D15932" s="1" t="s">
        <v>5635</v>
      </c>
    </row>
    <row r="15933">
      <c r="A15933" s="1" t="s">
        <v>27192</v>
      </c>
      <c r="B15933" s="2" t="s">
        <v>26164</v>
      </c>
      <c r="C15933" s="1" t="s">
        <v>5634</v>
      </c>
      <c r="D15933" s="1" t="s">
        <v>5635</v>
      </c>
    </row>
    <row r="15934">
      <c r="A15934" s="1" t="s">
        <v>27193</v>
      </c>
      <c r="B15934" s="2" t="s">
        <v>26166</v>
      </c>
      <c r="C15934" s="1" t="s">
        <v>5634</v>
      </c>
      <c r="D15934" s="1" t="s">
        <v>5635</v>
      </c>
    </row>
    <row r="15935">
      <c r="A15935" s="1" t="s">
        <v>27194</v>
      </c>
      <c r="B15935" s="2" t="s">
        <v>26168</v>
      </c>
      <c r="C15935" s="1" t="s">
        <v>5634</v>
      </c>
      <c r="D15935" s="1" t="s">
        <v>5635</v>
      </c>
    </row>
    <row r="15936">
      <c r="A15936" s="1" t="s">
        <v>27195</v>
      </c>
      <c r="B15936" s="2" t="s">
        <v>26170</v>
      </c>
      <c r="C15936" s="1" t="s">
        <v>5634</v>
      </c>
      <c r="D15936" s="1" t="s">
        <v>5635</v>
      </c>
    </row>
    <row r="15937">
      <c r="A15937" s="1" t="s">
        <v>27196</v>
      </c>
      <c r="B15937" s="2" t="s">
        <v>26172</v>
      </c>
      <c r="C15937" s="1" t="s">
        <v>5634</v>
      </c>
      <c r="D15937" s="1" t="s">
        <v>5635</v>
      </c>
    </row>
    <row r="15938">
      <c r="A15938" s="1" t="s">
        <v>27197</v>
      </c>
      <c r="B15938" s="2" t="s">
        <v>26174</v>
      </c>
      <c r="C15938" s="1" t="s">
        <v>5634</v>
      </c>
      <c r="D15938" s="1" t="s">
        <v>5635</v>
      </c>
    </row>
    <row r="15939">
      <c r="A15939" s="1" t="s">
        <v>27198</v>
      </c>
      <c r="B15939" s="2" t="s">
        <v>26176</v>
      </c>
      <c r="C15939" s="1" t="s">
        <v>5634</v>
      </c>
      <c r="D15939" s="1" t="s">
        <v>5635</v>
      </c>
    </row>
    <row r="15940">
      <c r="A15940" s="1" t="s">
        <v>27199</v>
      </c>
      <c r="B15940" s="2" t="s">
        <v>26178</v>
      </c>
      <c r="C15940" s="1" t="s">
        <v>5634</v>
      </c>
      <c r="D15940" s="1" t="s">
        <v>5635</v>
      </c>
    </row>
    <row r="15941">
      <c r="A15941" s="1" t="s">
        <v>27200</v>
      </c>
      <c r="B15941" s="2" t="s">
        <v>26180</v>
      </c>
      <c r="C15941" s="1" t="s">
        <v>5634</v>
      </c>
      <c r="D15941" s="1" t="s">
        <v>5635</v>
      </c>
    </row>
    <row r="15942">
      <c r="A15942" s="1" t="s">
        <v>27201</v>
      </c>
      <c r="B15942" s="2" t="s">
        <v>26182</v>
      </c>
      <c r="C15942" s="1" t="s">
        <v>5634</v>
      </c>
      <c r="D15942" s="1" t="s">
        <v>5635</v>
      </c>
    </row>
    <row r="15943">
      <c r="A15943" s="1" t="s">
        <v>27202</v>
      </c>
      <c r="B15943" s="2" t="s">
        <v>26184</v>
      </c>
      <c r="C15943" s="1" t="s">
        <v>5634</v>
      </c>
      <c r="D15943" s="1" t="s">
        <v>5635</v>
      </c>
    </row>
    <row r="15944">
      <c r="A15944" s="1" t="s">
        <v>27203</v>
      </c>
      <c r="B15944" s="2" t="s">
        <v>26186</v>
      </c>
      <c r="C15944" s="1" t="s">
        <v>5634</v>
      </c>
      <c r="D15944" s="1" t="s">
        <v>5635</v>
      </c>
    </row>
    <row r="15945">
      <c r="A15945" s="1" t="s">
        <v>27204</v>
      </c>
      <c r="B15945" s="2" t="s">
        <v>26188</v>
      </c>
      <c r="C15945" s="1" t="s">
        <v>5634</v>
      </c>
      <c r="D15945" s="1" t="s">
        <v>5635</v>
      </c>
    </row>
    <row r="15946">
      <c r="A15946" s="1" t="s">
        <v>27205</v>
      </c>
      <c r="B15946" s="2" t="s">
        <v>26190</v>
      </c>
      <c r="C15946" s="1" t="s">
        <v>5634</v>
      </c>
      <c r="D15946" s="1" t="s">
        <v>5635</v>
      </c>
    </row>
    <row r="15947">
      <c r="A15947" s="1" t="s">
        <v>27206</v>
      </c>
      <c r="B15947" s="2" t="s">
        <v>26192</v>
      </c>
      <c r="C15947" s="1" t="s">
        <v>5634</v>
      </c>
      <c r="D15947" s="1" t="s">
        <v>5635</v>
      </c>
    </row>
    <row r="15948">
      <c r="A15948" s="1" t="s">
        <v>27207</v>
      </c>
      <c r="B15948" s="2" t="s">
        <v>26194</v>
      </c>
      <c r="C15948" s="1" t="s">
        <v>5634</v>
      </c>
      <c r="D15948" s="1" t="s">
        <v>5635</v>
      </c>
    </row>
    <row r="15949">
      <c r="A15949" s="1" t="s">
        <v>27208</v>
      </c>
      <c r="B15949" s="2" t="s">
        <v>26196</v>
      </c>
      <c r="C15949" s="1" t="s">
        <v>5634</v>
      </c>
      <c r="D15949" s="1" t="s">
        <v>5635</v>
      </c>
    </row>
    <row r="15950">
      <c r="A15950" s="1" t="s">
        <v>27209</v>
      </c>
      <c r="B15950" s="2" t="s">
        <v>26198</v>
      </c>
      <c r="C15950" s="1" t="s">
        <v>5634</v>
      </c>
      <c r="D15950" s="1" t="s">
        <v>5635</v>
      </c>
    </row>
    <row r="15951">
      <c r="A15951" s="1" t="s">
        <v>27210</v>
      </c>
      <c r="B15951" s="2" t="s">
        <v>26200</v>
      </c>
      <c r="C15951" s="1" t="s">
        <v>5634</v>
      </c>
      <c r="D15951" s="1" t="s">
        <v>5635</v>
      </c>
    </row>
    <row r="15952">
      <c r="A15952" s="1" t="s">
        <v>27211</v>
      </c>
      <c r="B15952" s="2" t="s">
        <v>26202</v>
      </c>
      <c r="C15952" s="1" t="s">
        <v>5634</v>
      </c>
      <c r="D15952" s="1" t="s">
        <v>5635</v>
      </c>
    </row>
    <row r="15953">
      <c r="A15953" s="1" t="s">
        <v>27212</v>
      </c>
      <c r="B15953" s="2" t="s">
        <v>26204</v>
      </c>
      <c r="C15953" s="1" t="s">
        <v>5634</v>
      </c>
      <c r="D15953" s="1" t="s">
        <v>5635</v>
      </c>
    </row>
    <row r="15954">
      <c r="A15954" s="1" t="s">
        <v>27213</v>
      </c>
      <c r="B15954" s="2" t="s">
        <v>26206</v>
      </c>
      <c r="C15954" s="1" t="s">
        <v>5634</v>
      </c>
      <c r="D15954" s="1" t="s">
        <v>5635</v>
      </c>
    </row>
    <row r="15955">
      <c r="A15955" s="1" t="s">
        <v>27214</v>
      </c>
      <c r="B15955" s="2" t="s">
        <v>26208</v>
      </c>
      <c r="C15955" s="1" t="s">
        <v>5634</v>
      </c>
      <c r="D15955" s="1" t="s">
        <v>5635</v>
      </c>
    </row>
    <row r="15956">
      <c r="A15956" s="1" t="s">
        <v>27215</v>
      </c>
      <c r="B15956" s="2" t="s">
        <v>26210</v>
      </c>
      <c r="C15956" s="1" t="s">
        <v>5634</v>
      </c>
      <c r="D15956" s="1" t="s">
        <v>5635</v>
      </c>
    </row>
    <row r="15957">
      <c r="A15957" s="1" t="s">
        <v>27216</v>
      </c>
      <c r="B15957" s="2" t="s">
        <v>26212</v>
      </c>
      <c r="C15957" s="1" t="s">
        <v>5634</v>
      </c>
      <c r="D15957" s="1" t="s">
        <v>5635</v>
      </c>
    </row>
    <row r="15958">
      <c r="A15958" s="1" t="s">
        <v>27217</v>
      </c>
      <c r="B15958" s="2" t="s">
        <v>26214</v>
      </c>
      <c r="C15958" s="1" t="s">
        <v>5634</v>
      </c>
      <c r="D15958" s="1" t="s">
        <v>5635</v>
      </c>
    </row>
    <row r="15959">
      <c r="A15959" s="1" t="s">
        <v>27218</v>
      </c>
      <c r="B15959" s="2" t="s">
        <v>26216</v>
      </c>
      <c r="C15959" s="1" t="s">
        <v>5634</v>
      </c>
      <c r="D15959" s="1" t="s">
        <v>5635</v>
      </c>
    </row>
    <row r="15960">
      <c r="A15960" s="1" t="s">
        <v>27219</v>
      </c>
      <c r="B15960" s="2" t="s">
        <v>26218</v>
      </c>
      <c r="C15960" s="1" t="s">
        <v>5634</v>
      </c>
      <c r="D15960" s="1" t="s">
        <v>5635</v>
      </c>
    </row>
    <row r="15961">
      <c r="A15961" s="1" t="s">
        <v>27220</v>
      </c>
      <c r="B15961" s="2" t="s">
        <v>26220</v>
      </c>
      <c r="C15961" s="1" t="s">
        <v>5634</v>
      </c>
      <c r="D15961" s="1" t="s">
        <v>5635</v>
      </c>
    </row>
    <row r="15962">
      <c r="A15962" s="1" t="s">
        <v>27221</v>
      </c>
      <c r="B15962" s="2" t="s">
        <v>26222</v>
      </c>
      <c r="C15962" s="1" t="s">
        <v>5634</v>
      </c>
      <c r="D15962" s="1" t="s">
        <v>5635</v>
      </c>
    </row>
    <row r="15963">
      <c r="A15963" s="1" t="s">
        <v>27222</v>
      </c>
      <c r="B15963" s="2" t="s">
        <v>26224</v>
      </c>
      <c r="C15963" s="1" t="s">
        <v>5634</v>
      </c>
      <c r="D15963" s="1" t="s">
        <v>5635</v>
      </c>
    </row>
    <row r="15964">
      <c r="A15964" s="1" t="s">
        <v>27223</v>
      </c>
      <c r="B15964" s="2" t="s">
        <v>26226</v>
      </c>
      <c r="C15964" s="1" t="s">
        <v>5634</v>
      </c>
      <c r="D15964" s="1" t="s">
        <v>5635</v>
      </c>
    </row>
    <row r="15965">
      <c r="A15965" s="1" t="s">
        <v>27224</v>
      </c>
      <c r="B15965" s="2" t="s">
        <v>26228</v>
      </c>
      <c r="C15965" s="1" t="s">
        <v>5634</v>
      </c>
      <c r="D15965" s="1" t="s">
        <v>5635</v>
      </c>
    </row>
    <row r="15966">
      <c r="A15966" s="1" t="s">
        <v>27225</v>
      </c>
      <c r="B15966" s="2" t="s">
        <v>26230</v>
      </c>
      <c r="C15966" s="1" t="s">
        <v>5634</v>
      </c>
      <c r="D15966" s="1" t="s">
        <v>5635</v>
      </c>
    </row>
    <row r="15967">
      <c r="A15967" s="1" t="s">
        <v>27226</v>
      </c>
      <c r="B15967" s="2" t="s">
        <v>26232</v>
      </c>
      <c r="C15967" s="1" t="s">
        <v>5634</v>
      </c>
      <c r="D15967" s="1" t="s">
        <v>5635</v>
      </c>
    </row>
    <row r="15968">
      <c r="A15968" s="1" t="s">
        <v>27227</v>
      </c>
      <c r="B15968" s="2" t="s">
        <v>26234</v>
      </c>
      <c r="C15968" s="1" t="s">
        <v>5634</v>
      </c>
      <c r="D15968" s="1" t="s">
        <v>5635</v>
      </c>
    </row>
    <row r="15969">
      <c r="A15969" s="1" t="s">
        <v>27228</v>
      </c>
      <c r="B15969" s="2" t="s">
        <v>26236</v>
      </c>
      <c r="C15969" s="1" t="s">
        <v>5634</v>
      </c>
      <c r="D15969" s="1" t="s">
        <v>5635</v>
      </c>
    </row>
    <row r="15970">
      <c r="A15970" s="1" t="s">
        <v>27229</v>
      </c>
      <c r="B15970" s="2" t="s">
        <v>26238</v>
      </c>
      <c r="C15970" s="1" t="s">
        <v>5634</v>
      </c>
      <c r="D15970" s="1" t="s">
        <v>5635</v>
      </c>
    </row>
    <row r="15971">
      <c r="A15971" s="1" t="s">
        <v>27230</v>
      </c>
      <c r="B15971" s="2" t="s">
        <v>26240</v>
      </c>
      <c r="C15971" s="1" t="s">
        <v>5634</v>
      </c>
      <c r="D15971" s="1" t="s">
        <v>5635</v>
      </c>
    </row>
    <row r="15972">
      <c r="A15972" s="1" t="s">
        <v>27231</v>
      </c>
      <c r="B15972" s="2" t="s">
        <v>26242</v>
      </c>
      <c r="C15972" s="1" t="s">
        <v>5634</v>
      </c>
      <c r="D15972" s="1" t="s">
        <v>5635</v>
      </c>
    </row>
    <row r="15973">
      <c r="A15973" s="1" t="s">
        <v>27232</v>
      </c>
      <c r="B15973" s="2" t="s">
        <v>26244</v>
      </c>
      <c r="C15973" s="1" t="s">
        <v>5634</v>
      </c>
      <c r="D15973" s="1" t="s">
        <v>5635</v>
      </c>
    </row>
    <row r="15974">
      <c r="A15974" s="1" t="s">
        <v>27233</v>
      </c>
      <c r="B15974" s="2" t="s">
        <v>26246</v>
      </c>
      <c r="C15974" s="1" t="s">
        <v>5634</v>
      </c>
      <c r="D15974" s="1" t="s">
        <v>5635</v>
      </c>
    </row>
    <row r="15975">
      <c r="A15975" s="1" t="s">
        <v>27234</v>
      </c>
      <c r="B15975" s="2" t="s">
        <v>26248</v>
      </c>
      <c r="C15975" s="1" t="s">
        <v>5634</v>
      </c>
      <c r="D15975" s="1" t="s">
        <v>5635</v>
      </c>
    </row>
    <row r="15976">
      <c r="A15976" s="1" t="s">
        <v>27235</v>
      </c>
      <c r="B15976" s="2" t="s">
        <v>26250</v>
      </c>
      <c r="C15976" s="1" t="s">
        <v>5634</v>
      </c>
      <c r="D15976" s="1" t="s">
        <v>5635</v>
      </c>
    </row>
    <row r="15977">
      <c r="A15977" s="1" t="s">
        <v>27236</v>
      </c>
      <c r="B15977" s="2" t="s">
        <v>26252</v>
      </c>
      <c r="C15977" s="1" t="s">
        <v>5634</v>
      </c>
      <c r="D15977" s="1" t="s">
        <v>5635</v>
      </c>
    </row>
    <row r="15978">
      <c r="A15978" s="1" t="s">
        <v>27237</v>
      </c>
      <c r="B15978" s="2" t="s">
        <v>26254</v>
      </c>
      <c r="C15978" s="1" t="s">
        <v>5634</v>
      </c>
      <c r="D15978" s="1" t="s">
        <v>5635</v>
      </c>
    </row>
    <row r="15979">
      <c r="A15979" s="1" t="s">
        <v>27238</v>
      </c>
      <c r="B15979" s="2" t="s">
        <v>26256</v>
      </c>
      <c r="C15979" s="1" t="s">
        <v>5634</v>
      </c>
      <c r="D15979" s="1" t="s">
        <v>5635</v>
      </c>
    </row>
    <row r="15980">
      <c r="A15980" s="1" t="s">
        <v>27239</v>
      </c>
      <c r="B15980" s="2" t="s">
        <v>26258</v>
      </c>
      <c r="C15980" s="1" t="s">
        <v>5634</v>
      </c>
      <c r="D15980" s="1" t="s">
        <v>5635</v>
      </c>
    </row>
    <row r="15981">
      <c r="A15981" s="1" t="s">
        <v>27240</v>
      </c>
      <c r="B15981" s="2" t="s">
        <v>26260</v>
      </c>
      <c r="C15981" s="1" t="s">
        <v>5634</v>
      </c>
      <c r="D15981" s="1" t="s">
        <v>5635</v>
      </c>
    </row>
    <row r="15982">
      <c r="A15982" s="1" t="s">
        <v>27241</v>
      </c>
      <c r="B15982" s="2" t="s">
        <v>26262</v>
      </c>
      <c r="C15982" s="1" t="s">
        <v>5634</v>
      </c>
      <c r="D15982" s="1" t="s">
        <v>5635</v>
      </c>
    </row>
    <row r="15983">
      <c r="A15983" s="1" t="s">
        <v>27242</v>
      </c>
      <c r="B15983" s="2" t="s">
        <v>26264</v>
      </c>
      <c r="C15983" s="1" t="s">
        <v>5634</v>
      </c>
      <c r="D15983" s="1" t="s">
        <v>5635</v>
      </c>
    </row>
    <row r="15984">
      <c r="A15984" s="1" t="s">
        <v>27243</v>
      </c>
      <c r="B15984" s="2" t="s">
        <v>26266</v>
      </c>
      <c r="C15984" s="1" t="s">
        <v>5634</v>
      </c>
      <c r="D15984" s="1" t="s">
        <v>5635</v>
      </c>
    </row>
    <row r="15985">
      <c r="A15985" s="1" t="s">
        <v>27244</v>
      </c>
      <c r="B15985" s="2" t="s">
        <v>26268</v>
      </c>
      <c r="C15985" s="1" t="s">
        <v>5634</v>
      </c>
      <c r="D15985" s="1" t="s">
        <v>5635</v>
      </c>
    </row>
    <row r="15986">
      <c r="A15986" s="1" t="s">
        <v>27245</v>
      </c>
      <c r="B15986" s="2" t="s">
        <v>26270</v>
      </c>
      <c r="C15986" s="1" t="s">
        <v>5634</v>
      </c>
      <c r="D15986" s="1" t="s">
        <v>5635</v>
      </c>
    </row>
    <row r="15987">
      <c r="A15987" s="1" t="s">
        <v>27246</v>
      </c>
      <c r="B15987" s="2" t="s">
        <v>26272</v>
      </c>
      <c r="C15987" s="1" t="s">
        <v>5634</v>
      </c>
      <c r="D15987" s="1" t="s">
        <v>5635</v>
      </c>
    </row>
    <row r="15988">
      <c r="A15988" s="1" t="s">
        <v>27247</v>
      </c>
      <c r="B15988" s="2" t="s">
        <v>26274</v>
      </c>
      <c r="C15988" s="1" t="s">
        <v>5634</v>
      </c>
      <c r="D15988" s="1" t="s">
        <v>5635</v>
      </c>
    </row>
    <row r="15989">
      <c r="A15989" s="1" t="s">
        <v>27248</v>
      </c>
      <c r="B15989" s="2" t="s">
        <v>26276</v>
      </c>
      <c r="C15989" s="1" t="s">
        <v>5634</v>
      </c>
      <c r="D15989" s="1" t="s">
        <v>5635</v>
      </c>
    </row>
    <row r="15990">
      <c r="A15990" s="1" t="s">
        <v>27249</v>
      </c>
      <c r="B15990" s="2" t="s">
        <v>26278</v>
      </c>
      <c r="C15990" s="1" t="s">
        <v>5634</v>
      </c>
      <c r="D15990" s="1" t="s">
        <v>5635</v>
      </c>
    </row>
    <row r="15991">
      <c r="A15991" s="1" t="s">
        <v>27250</v>
      </c>
      <c r="B15991" s="2" t="s">
        <v>26280</v>
      </c>
      <c r="C15991" s="1" t="s">
        <v>5634</v>
      </c>
      <c r="D15991" s="1" t="s">
        <v>5635</v>
      </c>
    </row>
    <row r="15992">
      <c r="A15992" s="1" t="s">
        <v>27251</v>
      </c>
      <c r="B15992" s="2" t="s">
        <v>26282</v>
      </c>
      <c r="C15992" s="1" t="s">
        <v>5634</v>
      </c>
      <c r="D15992" s="1" t="s">
        <v>5635</v>
      </c>
    </row>
    <row r="15993">
      <c r="A15993" s="1" t="s">
        <v>27252</v>
      </c>
      <c r="B15993" s="2" t="s">
        <v>26284</v>
      </c>
      <c r="C15993" s="1" t="s">
        <v>5634</v>
      </c>
      <c r="D15993" s="1" t="s">
        <v>5635</v>
      </c>
    </row>
    <row r="15994">
      <c r="A15994" s="1" t="s">
        <v>27253</v>
      </c>
      <c r="B15994" s="2" t="s">
        <v>26286</v>
      </c>
      <c r="C15994" s="1" t="s">
        <v>5634</v>
      </c>
      <c r="D15994" s="1" t="s">
        <v>5635</v>
      </c>
    </row>
    <row r="15995">
      <c r="A15995" s="1" t="s">
        <v>27254</v>
      </c>
      <c r="B15995" s="2" t="s">
        <v>26288</v>
      </c>
      <c r="C15995" s="1" t="s">
        <v>5634</v>
      </c>
      <c r="D15995" s="1" t="s">
        <v>5635</v>
      </c>
    </row>
    <row r="15996">
      <c r="A15996" s="1" t="s">
        <v>27255</v>
      </c>
      <c r="B15996" s="2" t="s">
        <v>26290</v>
      </c>
      <c r="C15996" s="1" t="s">
        <v>5634</v>
      </c>
      <c r="D15996" s="1" t="s">
        <v>5635</v>
      </c>
    </row>
    <row r="15997">
      <c r="A15997" s="1" t="s">
        <v>27256</v>
      </c>
      <c r="B15997" s="2" t="s">
        <v>26292</v>
      </c>
      <c r="C15997" s="1" t="s">
        <v>5634</v>
      </c>
      <c r="D15997" s="1" t="s">
        <v>5635</v>
      </c>
    </row>
    <row r="15998">
      <c r="A15998" s="1" t="s">
        <v>27257</v>
      </c>
      <c r="B15998" s="2" t="s">
        <v>26294</v>
      </c>
      <c r="C15998" s="1" t="s">
        <v>5634</v>
      </c>
      <c r="D15998" s="1" t="s">
        <v>5635</v>
      </c>
    </row>
    <row r="15999">
      <c r="A15999" s="1" t="s">
        <v>27258</v>
      </c>
      <c r="B15999" s="2" t="s">
        <v>26296</v>
      </c>
      <c r="C15999" s="1" t="s">
        <v>5634</v>
      </c>
      <c r="D15999" s="1" t="s">
        <v>5635</v>
      </c>
    </row>
    <row r="16000">
      <c r="A16000" s="1" t="s">
        <v>27259</v>
      </c>
      <c r="B16000" s="2" t="s">
        <v>26298</v>
      </c>
      <c r="C16000" s="1" t="s">
        <v>5634</v>
      </c>
      <c r="D16000" s="1" t="s">
        <v>5635</v>
      </c>
    </row>
    <row r="16001">
      <c r="A16001" s="1" t="s">
        <v>27260</v>
      </c>
      <c r="B16001" s="2" t="s">
        <v>26300</v>
      </c>
      <c r="C16001" s="1" t="s">
        <v>5634</v>
      </c>
      <c r="D16001" s="1" t="s">
        <v>5635</v>
      </c>
    </row>
    <row r="16002">
      <c r="A16002" s="1" t="s">
        <v>27261</v>
      </c>
      <c r="B16002" s="2" t="s">
        <v>26302</v>
      </c>
      <c r="C16002" s="1" t="s">
        <v>5634</v>
      </c>
      <c r="D16002" s="1" t="s">
        <v>5635</v>
      </c>
    </row>
    <row r="16003">
      <c r="A16003" s="1" t="s">
        <v>27262</v>
      </c>
      <c r="B16003" s="2" t="s">
        <v>26304</v>
      </c>
      <c r="C16003" s="1" t="s">
        <v>5634</v>
      </c>
      <c r="D16003" s="1" t="s">
        <v>5635</v>
      </c>
    </row>
    <row r="16004">
      <c r="A16004" s="1" t="s">
        <v>27263</v>
      </c>
      <c r="B16004" s="2" t="s">
        <v>26306</v>
      </c>
      <c r="C16004" s="1" t="s">
        <v>5634</v>
      </c>
      <c r="D16004" s="1" t="s">
        <v>5635</v>
      </c>
    </row>
    <row r="16005">
      <c r="A16005" s="1" t="s">
        <v>27264</v>
      </c>
      <c r="B16005" s="2" t="s">
        <v>26308</v>
      </c>
      <c r="C16005" s="1" t="s">
        <v>5634</v>
      </c>
      <c r="D16005" s="1" t="s">
        <v>5635</v>
      </c>
    </row>
    <row r="16006">
      <c r="A16006" s="1" t="s">
        <v>27265</v>
      </c>
      <c r="B16006" s="2" t="s">
        <v>26310</v>
      </c>
      <c r="C16006" s="1" t="s">
        <v>5634</v>
      </c>
      <c r="D16006" s="1" t="s">
        <v>5635</v>
      </c>
    </row>
    <row r="16007">
      <c r="A16007" s="1" t="s">
        <v>27266</v>
      </c>
      <c r="B16007" s="2" t="s">
        <v>26312</v>
      </c>
      <c r="C16007" s="1" t="s">
        <v>5634</v>
      </c>
      <c r="D16007" s="1" t="s">
        <v>5635</v>
      </c>
    </row>
    <row r="16008">
      <c r="A16008" s="1" t="s">
        <v>27267</v>
      </c>
      <c r="B16008" s="2" t="s">
        <v>26314</v>
      </c>
      <c r="C16008" s="1" t="s">
        <v>5634</v>
      </c>
      <c r="D16008" s="1" t="s">
        <v>5635</v>
      </c>
    </row>
    <row r="16009">
      <c r="A16009" s="1" t="s">
        <v>27268</v>
      </c>
      <c r="B16009" s="2" t="s">
        <v>26316</v>
      </c>
      <c r="C16009" s="1" t="s">
        <v>5634</v>
      </c>
      <c r="D16009" s="1" t="s">
        <v>5635</v>
      </c>
    </row>
    <row r="16010">
      <c r="A16010" s="1" t="s">
        <v>27269</v>
      </c>
      <c r="B16010" s="2" t="s">
        <v>26318</v>
      </c>
      <c r="C16010" s="1" t="s">
        <v>5634</v>
      </c>
      <c r="D16010" s="1" t="s">
        <v>5635</v>
      </c>
    </row>
    <row r="16011">
      <c r="A16011" s="1" t="s">
        <v>27270</v>
      </c>
      <c r="B16011" s="2" t="s">
        <v>26320</v>
      </c>
      <c r="C16011" s="1" t="s">
        <v>5634</v>
      </c>
      <c r="D16011" s="1" t="s">
        <v>5635</v>
      </c>
    </row>
    <row r="16012">
      <c r="A16012" s="1" t="s">
        <v>27271</v>
      </c>
      <c r="B16012" s="2" t="s">
        <v>26322</v>
      </c>
      <c r="C16012" s="1" t="s">
        <v>5634</v>
      </c>
      <c r="D16012" s="1" t="s">
        <v>5635</v>
      </c>
    </row>
    <row r="16013">
      <c r="A16013" s="1" t="s">
        <v>27272</v>
      </c>
      <c r="B16013" s="2" t="s">
        <v>26324</v>
      </c>
      <c r="C16013" s="1" t="s">
        <v>5634</v>
      </c>
      <c r="D16013" s="1" t="s">
        <v>5635</v>
      </c>
    </row>
    <row r="16014">
      <c r="A16014" s="1" t="s">
        <v>27273</v>
      </c>
      <c r="B16014" s="2" t="s">
        <v>26326</v>
      </c>
      <c r="C16014" s="1" t="s">
        <v>5634</v>
      </c>
      <c r="D16014" s="1" t="s">
        <v>5635</v>
      </c>
    </row>
    <row r="16015">
      <c r="A16015" s="1" t="s">
        <v>27274</v>
      </c>
      <c r="B16015" s="2" t="s">
        <v>26328</v>
      </c>
      <c r="C16015" s="1" t="s">
        <v>5634</v>
      </c>
      <c r="D16015" s="1" t="s">
        <v>5635</v>
      </c>
    </row>
    <row r="16016">
      <c r="A16016" s="1" t="s">
        <v>27275</v>
      </c>
      <c r="B16016" s="2" t="s">
        <v>26330</v>
      </c>
      <c r="C16016" s="1" t="s">
        <v>5634</v>
      </c>
      <c r="D16016" s="1" t="s">
        <v>5635</v>
      </c>
    </row>
    <row r="16017">
      <c r="A16017" s="1" t="s">
        <v>27276</v>
      </c>
      <c r="B16017" s="2" t="s">
        <v>26332</v>
      </c>
      <c r="C16017" s="1" t="s">
        <v>5634</v>
      </c>
      <c r="D16017" s="1" t="s">
        <v>5635</v>
      </c>
    </row>
    <row r="16018">
      <c r="A16018" s="1" t="s">
        <v>27277</v>
      </c>
      <c r="B16018" s="2" t="s">
        <v>26334</v>
      </c>
      <c r="C16018" s="1" t="s">
        <v>5634</v>
      </c>
      <c r="D16018" s="1" t="s">
        <v>5635</v>
      </c>
    </row>
    <row r="16019">
      <c r="A16019" s="1" t="s">
        <v>27278</v>
      </c>
      <c r="B16019" s="2" t="s">
        <v>26336</v>
      </c>
      <c r="C16019" s="1" t="s">
        <v>5634</v>
      </c>
      <c r="D16019" s="1" t="s">
        <v>5635</v>
      </c>
    </row>
    <row r="16020">
      <c r="A16020" s="1" t="s">
        <v>27279</v>
      </c>
      <c r="B16020" s="2" t="s">
        <v>26338</v>
      </c>
      <c r="C16020" s="1" t="s">
        <v>5634</v>
      </c>
      <c r="D16020" s="1" t="s">
        <v>5635</v>
      </c>
    </row>
    <row r="16021">
      <c r="A16021" s="1" t="s">
        <v>27280</v>
      </c>
      <c r="B16021" s="2" t="s">
        <v>26340</v>
      </c>
      <c r="C16021" s="1" t="s">
        <v>5634</v>
      </c>
      <c r="D16021" s="1" t="s">
        <v>5635</v>
      </c>
    </row>
    <row r="16022">
      <c r="A16022" s="1" t="s">
        <v>27281</v>
      </c>
      <c r="B16022" s="2" t="s">
        <v>26342</v>
      </c>
      <c r="C16022" s="1" t="s">
        <v>5634</v>
      </c>
      <c r="D16022" s="1" t="s">
        <v>5635</v>
      </c>
    </row>
    <row r="16023">
      <c r="A16023" s="1" t="s">
        <v>27282</v>
      </c>
      <c r="B16023" s="2" t="s">
        <v>26344</v>
      </c>
      <c r="C16023" s="1" t="s">
        <v>5634</v>
      </c>
      <c r="D16023" s="1" t="s">
        <v>5635</v>
      </c>
    </row>
    <row r="16024">
      <c r="A16024" s="1" t="s">
        <v>27283</v>
      </c>
      <c r="B16024" s="2" t="s">
        <v>26346</v>
      </c>
      <c r="C16024" s="1" t="s">
        <v>5634</v>
      </c>
      <c r="D16024" s="1" t="s">
        <v>5635</v>
      </c>
    </row>
    <row r="16025">
      <c r="A16025" s="1" t="s">
        <v>27284</v>
      </c>
      <c r="B16025" s="2" t="s">
        <v>26348</v>
      </c>
      <c r="C16025" s="1" t="s">
        <v>5634</v>
      </c>
      <c r="D16025" s="1" t="s">
        <v>5635</v>
      </c>
    </row>
    <row r="16026">
      <c r="A16026" s="1" t="s">
        <v>27285</v>
      </c>
      <c r="B16026" s="2" t="s">
        <v>26350</v>
      </c>
      <c r="C16026" s="1" t="s">
        <v>5634</v>
      </c>
      <c r="D16026" s="1" t="s">
        <v>5635</v>
      </c>
    </row>
    <row r="16027">
      <c r="A16027" s="1" t="s">
        <v>27286</v>
      </c>
      <c r="B16027" s="2" t="s">
        <v>26352</v>
      </c>
      <c r="C16027" s="1" t="s">
        <v>5634</v>
      </c>
      <c r="D16027" s="1" t="s">
        <v>5635</v>
      </c>
    </row>
    <row r="16028">
      <c r="A16028" s="1" t="s">
        <v>27287</v>
      </c>
      <c r="B16028" s="2" t="s">
        <v>26354</v>
      </c>
      <c r="C16028" s="1" t="s">
        <v>5634</v>
      </c>
      <c r="D16028" s="1" t="s">
        <v>5635</v>
      </c>
    </row>
    <row r="16029">
      <c r="A16029" s="1" t="s">
        <v>27288</v>
      </c>
      <c r="B16029" s="2" t="s">
        <v>26356</v>
      </c>
      <c r="C16029" s="1" t="s">
        <v>5634</v>
      </c>
      <c r="D16029" s="1" t="s">
        <v>5635</v>
      </c>
    </row>
    <row r="16030">
      <c r="A16030" s="1" t="s">
        <v>27289</v>
      </c>
      <c r="B16030" s="2" t="s">
        <v>26358</v>
      </c>
      <c r="C16030" s="1" t="s">
        <v>5634</v>
      </c>
      <c r="D16030" s="1" t="s">
        <v>5635</v>
      </c>
    </row>
    <row r="16031">
      <c r="A16031" s="1" t="s">
        <v>27290</v>
      </c>
      <c r="B16031" s="2" t="s">
        <v>26360</v>
      </c>
      <c r="C16031" s="1" t="s">
        <v>5634</v>
      </c>
      <c r="D16031" s="1" t="s">
        <v>5635</v>
      </c>
    </row>
    <row r="16032">
      <c r="A16032" s="1" t="s">
        <v>27291</v>
      </c>
      <c r="B16032" s="2" t="s">
        <v>26362</v>
      </c>
      <c r="C16032" s="1" t="s">
        <v>5634</v>
      </c>
      <c r="D16032" s="1" t="s">
        <v>5635</v>
      </c>
    </row>
    <row r="16033">
      <c r="A16033" s="1" t="s">
        <v>27292</v>
      </c>
      <c r="B16033" s="2" t="s">
        <v>26364</v>
      </c>
      <c r="C16033" s="1" t="s">
        <v>5634</v>
      </c>
      <c r="D16033" s="1" t="s">
        <v>5635</v>
      </c>
    </row>
    <row r="16034">
      <c r="A16034" s="1" t="s">
        <v>27293</v>
      </c>
      <c r="B16034" s="2" t="s">
        <v>26366</v>
      </c>
      <c r="C16034" s="1" t="s">
        <v>5634</v>
      </c>
      <c r="D16034" s="1" t="s">
        <v>5635</v>
      </c>
    </row>
    <row r="16035">
      <c r="A16035" s="1" t="s">
        <v>27294</v>
      </c>
      <c r="B16035" s="2" t="s">
        <v>26368</v>
      </c>
      <c r="C16035" s="1" t="s">
        <v>5634</v>
      </c>
      <c r="D16035" s="1" t="s">
        <v>5635</v>
      </c>
    </row>
    <row r="16036">
      <c r="A16036" s="1" t="s">
        <v>27295</v>
      </c>
      <c r="B16036" s="2" t="s">
        <v>26370</v>
      </c>
      <c r="C16036" s="1" t="s">
        <v>5634</v>
      </c>
      <c r="D16036" s="1" t="s">
        <v>5635</v>
      </c>
    </row>
    <row r="16037">
      <c r="A16037" s="1" t="s">
        <v>27296</v>
      </c>
      <c r="B16037" s="2" t="s">
        <v>26372</v>
      </c>
      <c r="C16037" s="1" t="s">
        <v>5634</v>
      </c>
      <c r="D16037" s="1" t="s">
        <v>5635</v>
      </c>
    </row>
    <row r="16038">
      <c r="A16038" s="1" t="s">
        <v>27297</v>
      </c>
      <c r="B16038" s="2" t="s">
        <v>26374</v>
      </c>
      <c r="C16038" s="1" t="s">
        <v>5634</v>
      </c>
      <c r="D16038" s="1" t="s">
        <v>5635</v>
      </c>
    </row>
    <row r="16039">
      <c r="A16039" s="1" t="s">
        <v>27298</v>
      </c>
      <c r="B16039" s="2" t="s">
        <v>26376</v>
      </c>
      <c r="C16039" s="1" t="s">
        <v>5634</v>
      </c>
      <c r="D16039" s="1" t="s">
        <v>5635</v>
      </c>
    </row>
    <row r="16040">
      <c r="A16040" s="1" t="s">
        <v>27299</v>
      </c>
      <c r="B16040" s="2" t="s">
        <v>26378</v>
      </c>
      <c r="C16040" s="1" t="s">
        <v>5634</v>
      </c>
      <c r="D16040" s="1" t="s">
        <v>5635</v>
      </c>
    </row>
    <row r="16041">
      <c r="A16041" s="1" t="s">
        <v>27300</v>
      </c>
      <c r="B16041" s="2" t="s">
        <v>26380</v>
      </c>
      <c r="C16041" s="1" t="s">
        <v>5634</v>
      </c>
      <c r="D16041" s="1" t="s">
        <v>5635</v>
      </c>
    </row>
    <row r="16042">
      <c r="A16042" s="1" t="s">
        <v>27301</v>
      </c>
      <c r="B16042" s="2" t="s">
        <v>26382</v>
      </c>
      <c r="C16042" s="1" t="s">
        <v>5634</v>
      </c>
      <c r="D16042" s="1" t="s">
        <v>5635</v>
      </c>
    </row>
    <row r="16043">
      <c r="A16043" s="1" t="s">
        <v>27302</v>
      </c>
      <c r="B16043" s="2" t="s">
        <v>26384</v>
      </c>
      <c r="C16043" s="1" t="s">
        <v>5634</v>
      </c>
      <c r="D16043" s="1" t="s">
        <v>5635</v>
      </c>
    </row>
    <row r="16044">
      <c r="A16044" s="1" t="s">
        <v>27303</v>
      </c>
      <c r="B16044" s="2" t="s">
        <v>26386</v>
      </c>
      <c r="C16044" s="1" t="s">
        <v>5634</v>
      </c>
      <c r="D16044" s="1" t="s">
        <v>5635</v>
      </c>
    </row>
    <row r="16045">
      <c r="A16045" s="1" t="s">
        <v>27304</v>
      </c>
      <c r="B16045" s="2" t="s">
        <v>26388</v>
      </c>
      <c r="C16045" s="1" t="s">
        <v>5634</v>
      </c>
      <c r="D16045" s="1" t="s">
        <v>5635</v>
      </c>
    </row>
    <row r="16046">
      <c r="A16046" s="1" t="s">
        <v>27305</v>
      </c>
      <c r="B16046" s="2" t="s">
        <v>26390</v>
      </c>
      <c r="C16046" s="1" t="s">
        <v>5634</v>
      </c>
      <c r="D16046" s="1" t="s">
        <v>5635</v>
      </c>
    </row>
    <row r="16047">
      <c r="A16047" s="1" t="s">
        <v>27306</v>
      </c>
      <c r="B16047" s="2" t="s">
        <v>26392</v>
      </c>
      <c r="C16047" s="1" t="s">
        <v>5634</v>
      </c>
      <c r="D16047" s="1" t="s">
        <v>5635</v>
      </c>
    </row>
    <row r="16048">
      <c r="A16048" s="1" t="s">
        <v>27307</v>
      </c>
      <c r="B16048" s="2" t="s">
        <v>26394</v>
      </c>
      <c r="C16048" s="1" t="s">
        <v>5634</v>
      </c>
      <c r="D16048" s="1" t="s">
        <v>5635</v>
      </c>
    </row>
    <row r="16049">
      <c r="A16049" s="1" t="s">
        <v>27308</v>
      </c>
      <c r="B16049" s="2" t="s">
        <v>26396</v>
      </c>
      <c r="C16049" s="1" t="s">
        <v>5634</v>
      </c>
      <c r="D16049" s="1" t="s">
        <v>5635</v>
      </c>
    </row>
    <row r="16050">
      <c r="A16050" s="1" t="s">
        <v>27309</v>
      </c>
      <c r="B16050" s="2" t="s">
        <v>26398</v>
      </c>
      <c r="C16050" s="1" t="s">
        <v>5634</v>
      </c>
      <c r="D16050" s="1" t="s">
        <v>5635</v>
      </c>
    </row>
    <row r="16051">
      <c r="A16051" s="1" t="s">
        <v>27310</v>
      </c>
      <c r="B16051" s="2" t="s">
        <v>26400</v>
      </c>
      <c r="C16051" s="1" t="s">
        <v>5634</v>
      </c>
      <c r="D16051" s="1" t="s">
        <v>5635</v>
      </c>
    </row>
    <row r="16052">
      <c r="A16052" s="1" t="s">
        <v>27311</v>
      </c>
      <c r="B16052" s="2" t="s">
        <v>26402</v>
      </c>
      <c r="C16052" s="1" t="s">
        <v>5634</v>
      </c>
      <c r="D16052" s="1" t="s">
        <v>5635</v>
      </c>
    </row>
    <row r="16053">
      <c r="A16053" s="1" t="s">
        <v>27312</v>
      </c>
      <c r="B16053" s="2" t="s">
        <v>26404</v>
      </c>
      <c r="C16053" s="1" t="s">
        <v>5634</v>
      </c>
      <c r="D16053" s="1" t="s">
        <v>5635</v>
      </c>
    </row>
    <row r="16054">
      <c r="A16054" s="1" t="s">
        <v>27313</v>
      </c>
      <c r="B16054" s="2" t="s">
        <v>26406</v>
      </c>
      <c r="C16054" s="1" t="s">
        <v>5634</v>
      </c>
      <c r="D16054" s="1" t="s">
        <v>5635</v>
      </c>
    </row>
    <row r="16055">
      <c r="A16055" s="1" t="s">
        <v>27314</v>
      </c>
      <c r="B16055" s="2" t="s">
        <v>26408</v>
      </c>
      <c r="C16055" s="1" t="s">
        <v>5634</v>
      </c>
      <c r="D16055" s="1" t="s">
        <v>5635</v>
      </c>
    </row>
    <row r="16056">
      <c r="A16056" s="1" t="s">
        <v>27315</v>
      </c>
      <c r="B16056" s="2" t="s">
        <v>26410</v>
      </c>
      <c r="C16056" s="1" t="s">
        <v>5634</v>
      </c>
      <c r="D16056" s="1" t="s">
        <v>5635</v>
      </c>
    </row>
    <row r="16057">
      <c r="A16057" s="1" t="s">
        <v>27316</v>
      </c>
      <c r="B16057" s="2" t="s">
        <v>26412</v>
      </c>
      <c r="C16057" s="1" t="s">
        <v>5634</v>
      </c>
      <c r="D16057" s="1" t="s">
        <v>5635</v>
      </c>
    </row>
    <row r="16058">
      <c r="A16058" s="1" t="s">
        <v>27317</v>
      </c>
      <c r="B16058" s="2" t="s">
        <v>26414</v>
      </c>
      <c r="C16058" s="1" t="s">
        <v>5634</v>
      </c>
      <c r="D16058" s="1" t="s">
        <v>5635</v>
      </c>
    </row>
    <row r="16059">
      <c r="A16059" s="1" t="s">
        <v>27318</v>
      </c>
      <c r="B16059" s="2" t="s">
        <v>26416</v>
      </c>
      <c r="C16059" s="1" t="s">
        <v>5634</v>
      </c>
      <c r="D16059" s="1" t="s">
        <v>5635</v>
      </c>
    </row>
    <row r="16060">
      <c r="A16060" s="1" t="s">
        <v>27319</v>
      </c>
      <c r="B16060" s="2" t="s">
        <v>26418</v>
      </c>
      <c r="C16060" s="1" t="s">
        <v>5634</v>
      </c>
      <c r="D16060" s="1" t="s">
        <v>5635</v>
      </c>
    </row>
    <row r="16061">
      <c r="A16061" s="1" t="s">
        <v>27320</v>
      </c>
      <c r="B16061" s="2" t="s">
        <v>26420</v>
      </c>
      <c r="C16061" s="1" t="s">
        <v>5634</v>
      </c>
      <c r="D16061" s="1" t="s">
        <v>5635</v>
      </c>
    </row>
    <row r="16062">
      <c r="A16062" s="1" t="s">
        <v>27321</v>
      </c>
      <c r="B16062" s="2" t="s">
        <v>26422</v>
      </c>
      <c r="C16062" s="1" t="s">
        <v>5634</v>
      </c>
      <c r="D16062" s="1" t="s">
        <v>5635</v>
      </c>
    </row>
    <row r="16063">
      <c r="A16063" s="1" t="s">
        <v>27322</v>
      </c>
      <c r="B16063" s="2" t="s">
        <v>26424</v>
      </c>
      <c r="C16063" s="1" t="s">
        <v>5634</v>
      </c>
      <c r="D16063" s="1" t="s">
        <v>5635</v>
      </c>
    </row>
    <row r="16064">
      <c r="A16064" s="1" t="s">
        <v>27323</v>
      </c>
      <c r="B16064" s="2" t="s">
        <v>26426</v>
      </c>
      <c r="C16064" s="1" t="s">
        <v>5634</v>
      </c>
      <c r="D16064" s="1" t="s">
        <v>5635</v>
      </c>
    </row>
    <row r="16065">
      <c r="A16065" s="1" t="s">
        <v>27324</v>
      </c>
      <c r="B16065" s="2" t="s">
        <v>26428</v>
      </c>
      <c r="C16065" s="1" t="s">
        <v>5634</v>
      </c>
      <c r="D16065" s="1" t="s">
        <v>5635</v>
      </c>
    </row>
    <row r="16066">
      <c r="A16066" s="1" t="s">
        <v>27325</v>
      </c>
      <c r="B16066" s="2" t="s">
        <v>26430</v>
      </c>
      <c r="C16066" s="1" t="s">
        <v>5634</v>
      </c>
      <c r="D16066" s="1" t="s">
        <v>5635</v>
      </c>
    </row>
    <row r="16067">
      <c r="A16067" s="1" t="s">
        <v>27326</v>
      </c>
      <c r="B16067" s="2" t="s">
        <v>26432</v>
      </c>
      <c r="C16067" s="1" t="s">
        <v>5634</v>
      </c>
      <c r="D16067" s="1" t="s">
        <v>5635</v>
      </c>
    </row>
    <row r="16068">
      <c r="A16068" s="1" t="s">
        <v>27327</v>
      </c>
      <c r="B16068" s="2" t="s">
        <v>26434</v>
      </c>
      <c r="C16068" s="1" t="s">
        <v>5634</v>
      </c>
      <c r="D16068" s="1" t="s">
        <v>5635</v>
      </c>
    </row>
    <row r="16069">
      <c r="A16069" s="1" t="s">
        <v>27328</v>
      </c>
      <c r="B16069" s="2" t="s">
        <v>26436</v>
      </c>
      <c r="C16069" s="1" t="s">
        <v>5634</v>
      </c>
      <c r="D16069" s="1" t="s">
        <v>5635</v>
      </c>
    </row>
    <row r="16070">
      <c r="A16070" s="1" t="s">
        <v>27329</v>
      </c>
      <c r="B16070" s="2" t="s">
        <v>26438</v>
      </c>
      <c r="C16070" s="1" t="s">
        <v>5634</v>
      </c>
      <c r="D16070" s="1" t="s">
        <v>5635</v>
      </c>
    </row>
    <row r="16071">
      <c r="A16071" s="1" t="s">
        <v>27330</v>
      </c>
      <c r="B16071" s="2" t="s">
        <v>26440</v>
      </c>
      <c r="C16071" s="1" t="s">
        <v>5634</v>
      </c>
      <c r="D16071" s="1" t="s">
        <v>5635</v>
      </c>
    </row>
    <row r="16072">
      <c r="A16072" s="1" t="s">
        <v>27331</v>
      </c>
      <c r="B16072" s="2" t="s">
        <v>26442</v>
      </c>
      <c r="C16072" s="1" t="s">
        <v>5634</v>
      </c>
      <c r="D16072" s="1" t="s">
        <v>5635</v>
      </c>
    </row>
    <row r="16073">
      <c r="A16073" s="1" t="s">
        <v>27332</v>
      </c>
      <c r="B16073" s="2" t="s">
        <v>26444</v>
      </c>
      <c r="C16073" s="1" t="s">
        <v>5634</v>
      </c>
      <c r="D16073" s="1" t="s">
        <v>5635</v>
      </c>
    </row>
    <row r="16074">
      <c r="A16074" s="1" t="s">
        <v>27333</v>
      </c>
      <c r="B16074" s="2" t="s">
        <v>26446</v>
      </c>
      <c r="C16074" s="1" t="s">
        <v>5634</v>
      </c>
      <c r="D16074" s="1" t="s">
        <v>5635</v>
      </c>
    </row>
    <row r="16075">
      <c r="A16075" s="1" t="s">
        <v>27334</v>
      </c>
      <c r="B16075" s="2" t="s">
        <v>26448</v>
      </c>
      <c r="C16075" s="1" t="s">
        <v>5634</v>
      </c>
      <c r="D16075" s="1" t="s">
        <v>5635</v>
      </c>
    </row>
    <row r="16076">
      <c r="A16076" s="1" t="s">
        <v>27335</v>
      </c>
      <c r="B16076" s="2" t="s">
        <v>26450</v>
      </c>
      <c r="C16076" s="1" t="s">
        <v>5634</v>
      </c>
      <c r="D16076" s="1" t="s">
        <v>5635</v>
      </c>
    </row>
    <row r="16077">
      <c r="A16077" s="1" t="s">
        <v>27336</v>
      </c>
      <c r="B16077" s="2" t="s">
        <v>26452</v>
      </c>
      <c r="C16077" s="1" t="s">
        <v>5634</v>
      </c>
      <c r="D16077" s="1" t="s">
        <v>5635</v>
      </c>
    </row>
    <row r="16078">
      <c r="A16078" s="1" t="s">
        <v>27337</v>
      </c>
      <c r="B16078" s="2" t="s">
        <v>26454</v>
      </c>
      <c r="C16078" s="1" t="s">
        <v>5634</v>
      </c>
      <c r="D16078" s="1" t="s">
        <v>5635</v>
      </c>
    </row>
    <row r="16079">
      <c r="A16079" s="1" t="s">
        <v>27338</v>
      </c>
      <c r="B16079" s="2" t="s">
        <v>26456</v>
      </c>
      <c r="C16079" s="1" t="s">
        <v>5634</v>
      </c>
      <c r="D16079" s="1" t="s">
        <v>5635</v>
      </c>
    </row>
    <row r="16080">
      <c r="A16080" s="1" t="s">
        <v>27339</v>
      </c>
      <c r="B16080" s="2" t="s">
        <v>26458</v>
      </c>
      <c r="C16080" s="1" t="s">
        <v>5634</v>
      </c>
      <c r="D16080" s="1" t="s">
        <v>5635</v>
      </c>
    </row>
    <row r="16081">
      <c r="A16081" s="1" t="s">
        <v>27340</v>
      </c>
      <c r="B16081" s="2" t="s">
        <v>26460</v>
      </c>
      <c r="C16081" s="1" t="s">
        <v>5634</v>
      </c>
      <c r="D16081" s="1" t="s">
        <v>5635</v>
      </c>
    </row>
    <row r="16082">
      <c r="A16082" s="1" t="s">
        <v>27341</v>
      </c>
      <c r="B16082" s="2" t="s">
        <v>26462</v>
      </c>
      <c r="C16082" s="1" t="s">
        <v>5634</v>
      </c>
      <c r="D16082" s="1" t="s">
        <v>5635</v>
      </c>
    </row>
    <row r="16083">
      <c r="A16083" s="1" t="s">
        <v>27342</v>
      </c>
      <c r="B16083" s="2" t="s">
        <v>26464</v>
      </c>
      <c r="C16083" s="1" t="s">
        <v>5634</v>
      </c>
      <c r="D16083" s="1" t="s">
        <v>5635</v>
      </c>
    </row>
    <row r="16084">
      <c r="A16084" s="1" t="s">
        <v>27343</v>
      </c>
      <c r="B16084" s="2" t="s">
        <v>26466</v>
      </c>
      <c r="C16084" s="1" t="s">
        <v>5634</v>
      </c>
      <c r="D16084" s="1" t="s">
        <v>5635</v>
      </c>
    </row>
    <row r="16085">
      <c r="A16085" s="1" t="s">
        <v>27344</v>
      </c>
      <c r="B16085" s="2" t="s">
        <v>26468</v>
      </c>
      <c r="C16085" s="1" t="s">
        <v>5634</v>
      </c>
      <c r="D16085" s="1" t="s">
        <v>5635</v>
      </c>
    </row>
    <row r="16086">
      <c r="A16086" s="1" t="s">
        <v>27345</v>
      </c>
      <c r="B16086" s="2" t="s">
        <v>26470</v>
      </c>
      <c r="C16086" s="1" t="s">
        <v>5634</v>
      </c>
      <c r="D16086" s="1" t="s">
        <v>5635</v>
      </c>
    </row>
    <row r="16087">
      <c r="A16087" s="1" t="s">
        <v>27346</v>
      </c>
      <c r="B16087" s="2" t="s">
        <v>26472</v>
      </c>
      <c r="C16087" s="1" t="s">
        <v>5634</v>
      </c>
      <c r="D16087" s="1" t="s">
        <v>5635</v>
      </c>
    </row>
    <row r="16088">
      <c r="A16088" s="1" t="s">
        <v>27347</v>
      </c>
      <c r="B16088" s="2" t="s">
        <v>26474</v>
      </c>
      <c r="C16088" s="1" t="s">
        <v>5634</v>
      </c>
      <c r="D16088" s="1" t="s">
        <v>5635</v>
      </c>
    </row>
    <row r="16089">
      <c r="A16089" s="1" t="s">
        <v>27348</v>
      </c>
      <c r="B16089" s="2" t="s">
        <v>26476</v>
      </c>
      <c r="C16089" s="1" t="s">
        <v>5634</v>
      </c>
      <c r="D16089" s="1" t="s">
        <v>5635</v>
      </c>
    </row>
    <row r="16090">
      <c r="A16090" s="1" t="s">
        <v>27349</v>
      </c>
      <c r="B16090" s="2" t="s">
        <v>26478</v>
      </c>
      <c r="C16090" s="1" t="s">
        <v>5634</v>
      </c>
      <c r="D16090" s="1" t="s">
        <v>5635</v>
      </c>
    </row>
    <row r="16091">
      <c r="A16091" s="1" t="s">
        <v>27350</v>
      </c>
      <c r="B16091" s="2" t="s">
        <v>26480</v>
      </c>
      <c r="C16091" s="1" t="s">
        <v>5634</v>
      </c>
      <c r="D16091" s="1" t="s">
        <v>5635</v>
      </c>
    </row>
    <row r="16092">
      <c r="A16092" s="1" t="s">
        <v>27351</v>
      </c>
      <c r="B16092" s="2" t="s">
        <v>26482</v>
      </c>
      <c r="C16092" s="1" t="s">
        <v>5634</v>
      </c>
      <c r="D16092" s="1" t="s">
        <v>5635</v>
      </c>
    </row>
    <row r="16093">
      <c r="A16093" s="1" t="s">
        <v>27352</v>
      </c>
      <c r="B16093" s="2" t="s">
        <v>26484</v>
      </c>
      <c r="C16093" s="1" t="s">
        <v>5634</v>
      </c>
      <c r="D16093" s="1" t="s">
        <v>5635</v>
      </c>
    </row>
    <row r="16094">
      <c r="A16094" s="1" t="s">
        <v>27353</v>
      </c>
      <c r="B16094" s="2" t="s">
        <v>26486</v>
      </c>
      <c r="C16094" s="1" t="s">
        <v>5634</v>
      </c>
      <c r="D16094" s="1" t="s">
        <v>5635</v>
      </c>
    </row>
    <row r="16095">
      <c r="A16095" s="1" t="s">
        <v>27354</v>
      </c>
      <c r="B16095" s="2" t="s">
        <v>26488</v>
      </c>
      <c r="C16095" s="1" t="s">
        <v>5634</v>
      </c>
      <c r="D16095" s="1" t="s">
        <v>5635</v>
      </c>
    </row>
    <row r="16096">
      <c r="A16096" s="1" t="s">
        <v>27355</v>
      </c>
      <c r="B16096" s="2" t="s">
        <v>26490</v>
      </c>
      <c r="C16096" s="1" t="s">
        <v>5634</v>
      </c>
      <c r="D16096" s="1" t="s">
        <v>5635</v>
      </c>
    </row>
    <row r="16097">
      <c r="A16097" s="1" t="s">
        <v>27356</v>
      </c>
      <c r="B16097" s="2" t="s">
        <v>26492</v>
      </c>
      <c r="C16097" s="1" t="s">
        <v>5634</v>
      </c>
      <c r="D16097" s="1" t="s">
        <v>5635</v>
      </c>
    </row>
    <row r="16098">
      <c r="A16098" s="1" t="s">
        <v>27357</v>
      </c>
      <c r="B16098" s="2" t="s">
        <v>26494</v>
      </c>
      <c r="C16098" s="1" t="s">
        <v>5634</v>
      </c>
      <c r="D16098" s="1" t="s">
        <v>5635</v>
      </c>
    </row>
    <row r="16099">
      <c r="A16099" s="1" t="s">
        <v>27358</v>
      </c>
      <c r="B16099" s="2" t="s">
        <v>26496</v>
      </c>
      <c r="C16099" s="1" t="s">
        <v>5634</v>
      </c>
      <c r="D16099" s="1" t="s">
        <v>5635</v>
      </c>
    </row>
    <row r="16100">
      <c r="A16100" s="1" t="s">
        <v>27359</v>
      </c>
      <c r="B16100" s="2" t="s">
        <v>26498</v>
      </c>
      <c r="C16100" s="1" t="s">
        <v>5634</v>
      </c>
      <c r="D16100" s="1" t="s">
        <v>5635</v>
      </c>
    </row>
    <row r="16101">
      <c r="A16101" s="1" t="s">
        <v>27360</v>
      </c>
      <c r="B16101" s="2" t="s">
        <v>26500</v>
      </c>
      <c r="C16101" s="1" t="s">
        <v>5634</v>
      </c>
      <c r="D16101" s="1" t="s">
        <v>5635</v>
      </c>
    </row>
    <row r="16102">
      <c r="A16102" s="1" t="s">
        <v>27361</v>
      </c>
      <c r="B16102" s="2" t="s">
        <v>26502</v>
      </c>
      <c r="C16102" s="1" t="s">
        <v>5634</v>
      </c>
      <c r="D16102" s="1" t="s">
        <v>5635</v>
      </c>
    </row>
    <row r="16103">
      <c r="A16103" s="1" t="s">
        <v>27362</v>
      </c>
      <c r="B16103" s="2" t="s">
        <v>26504</v>
      </c>
      <c r="C16103" s="1" t="s">
        <v>5634</v>
      </c>
      <c r="D16103" s="1" t="s">
        <v>5635</v>
      </c>
    </row>
    <row r="16104">
      <c r="A16104" s="1" t="s">
        <v>27363</v>
      </c>
      <c r="B16104" s="2" t="s">
        <v>26506</v>
      </c>
      <c r="C16104" s="1" t="s">
        <v>5634</v>
      </c>
      <c r="D16104" s="1" t="s">
        <v>5635</v>
      </c>
    </row>
    <row r="16105">
      <c r="A16105" s="1" t="s">
        <v>27364</v>
      </c>
      <c r="B16105" s="2" t="s">
        <v>26508</v>
      </c>
      <c r="C16105" s="1" t="s">
        <v>5634</v>
      </c>
      <c r="D16105" s="1" t="s">
        <v>5635</v>
      </c>
    </row>
    <row r="16106">
      <c r="A16106" s="1" t="s">
        <v>27365</v>
      </c>
      <c r="B16106" s="2" t="s">
        <v>26510</v>
      </c>
      <c r="C16106" s="1" t="s">
        <v>5634</v>
      </c>
      <c r="D16106" s="1" t="s">
        <v>5635</v>
      </c>
    </row>
    <row r="16107">
      <c r="A16107" s="1" t="s">
        <v>27366</v>
      </c>
      <c r="B16107" s="2" t="s">
        <v>26512</v>
      </c>
      <c r="C16107" s="1" t="s">
        <v>5634</v>
      </c>
      <c r="D16107" s="1" t="s">
        <v>5635</v>
      </c>
    </row>
    <row r="16108">
      <c r="A16108" s="1" t="s">
        <v>27367</v>
      </c>
      <c r="B16108" s="2" t="s">
        <v>26514</v>
      </c>
      <c r="C16108" s="1" t="s">
        <v>5634</v>
      </c>
      <c r="D16108" s="1" t="s">
        <v>5635</v>
      </c>
    </row>
    <row r="16109">
      <c r="A16109" s="1" t="s">
        <v>27368</v>
      </c>
      <c r="B16109" s="2" t="s">
        <v>26516</v>
      </c>
      <c r="C16109" s="1" t="s">
        <v>5634</v>
      </c>
      <c r="D16109" s="1" t="s">
        <v>5635</v>
      </c>
    </row>
    <row r="16110">
      <c r="A16110" s="1" t="s">
        <v>27369</v>
      </c>
      <c r="B16110" s="2" t="s">
        <v>26518</v>
      </c>
      <c r="C16110" s="1" t="s">
        <v>5634</v>
      </c>
      <c r="D16110" s="1" t="s">
        <v>5635</v>
      </c>
    </row>
    <row r="16111">
      <c r="A16111" s="1" t="s">
        <v>27370</v>
      </c>
      <c r="B16111" s="2" t="s">
        <v>26520</v>
      </c>
      <c r="C16111" s="1" t="s">
        <v>5634</v>
      </c>
      <c r="D16111" s="1" t="s">
        <v>5635</v>
      </c>
    </row>
    <row r="16112">
      <c r="A16112" s="1" t="s">
        <v>27371</v>
      </c>
      <c r="B16112" s="2" t="s">
        <v>26522</v>
      </c>
      <c r="C16112" s="1" t="s">
        <v>5634</v>
      </c>
      <c r="D16112" s="1" t="s">
        <v>5635</v>
      </c>
    </row>
    <row r="16113">
      <c r="A16113" s="1" t="s">
        <v>27372</v>
      </c>
      <c r="B16113" s="2" t="s">
        <v>26524</v>
      </c>
      <c r="C16113" s="1" t="s">
        <v>5634</v>
      </c>
      <c r="D16113" s="1" t="s">
        <v>5635</v>
      </c>
    </row>
    <row r="16114">
      <c r="A16114" s="1" t="s">
        <v>27373</v>
      </c>
      <c r="B16114" s="2" t="s">
        <v>26526</v>
      </c>
      <c r="C16114" s="1" t="s">
        <v>5634</v>
      </c>
      <c r="D16114" s="1" t="s">
        <v>5635</v>
      </c>
    </row>
    <row r="16115">
      <c r="A16115" s="1" t="s">
        <v>27374</v>
      </c>
      <c r="B16115" s="2" t="s">
        <v>26528</v>
      </c>
      <c r="C16115" s="1" t="s">
        <v>5634</v>
      </c>
      <c r="D16115" s="1" t="s">
        <v>5635</v>
      </c>
    </row>
    <row r="16116">
      <c r="A16116" s="1" t="s">
        <v>27375</v>
      </c>
      <c r="B16116" s="2" t="s">
        <v>26530</v>
      </c>
      <c r="C16116" s="1" t="s">
        <v>5634</v>
      </c>
      <c r="D16116" s="1" t="s">
        <v>5635</v>
      </c>
    </row>
    <row r="16117">
      <c r="A16117" s="1" t="s">
        <v>27376</v>
      </c>
      <c r="B16117" s="2" t="s">
        <v>26532</v>
      </c>
      <c r="C16117" s="1" t="s">
        <v>5634</v>
      </c>
      <c r="D16117" s="1" t="s">
        <v>5635</v>
      </c>
    </row>
    <row r="16118">
      <c r="A16118" s="1" t="s">
        <v>27377</v>
      </c>
      <c r="B16118" s="2" t="s">
        <v>26534</v>
      </c>
      <c r="C16118" s="1" t="s">
        <v>5634</v>
      </c>
      <c r="D16118" s="1" t="s">
        <v>5635</v>
      </c>
    </row>
    <row r="16119">
      <c r="A16119" s="1" t="s">
        <v>27378</v>
      </c>
      <c r="B16119" s="2" t="s">
        <v>26536</v>
      </c>
      <c r="C16119" s="1" t="s">
        <v>5634</v>
      </c>
      <c r="D16119" s="1" t="s">
        <v>5635</v>
      </c>
    </row>
    <row r="16120">
      <c r="A16120" s="1" t="s">
        <v>27379</v>
      </c>
      <c r="B16120" s="2" t="s">
        <v>26538</v>
      </c>
      <c r="C16120" s="1" t="s">
        <v>5634</v>
      </c>
      <c r="D16120" s="1" t="s">
        <v>5635</v>
      </c>
    </row>
    <row r="16121">
      <c r="A16121" s="1" t="s">
        <v>27380</v>
      </c>
      <c r="B16121" s="2" t="s">
        <v>26540</v>
      </c>
      <c r="C16121" s="1" t="s">
        <v>5634</v>
      </c>
      <c r="D16121" s="1" t="s">
        <v>5635</v>
      </c>
    </row>
    <row r="16122">
      <c r="A16122" s="1" t="s">
        <v>27381</v>
      </c>
      <c r="B16122" s="2" t="s">
        <v>26542</v>
      </c>
      <c r="C16122" s="1" t="s">
        <v>5634</v>
      </c>
      <c r="D16122" s="1" t="s">
        <v>5635</v>
      </c>
    </row>
    <row r="16123">
      <c r="A16123" s="1" t="s">
        <v>27382</v>
      </c>
      <c r="B16123" s="2" t="s">
        <v>26544</v>
      </c>
      <c r="C16123" s="1" t="s">
        <v>5634</v>
      </c>
      <c r="D16123" s="1" t="s">
        <v>5635</v>
      </c>
    </row>
    <row r="16124">
      <c r="A16124" s="1" t="s">
        <v>27383</v>
      </c>
      <c r="B16124" s="2" t="s">
        <v>26546</v>
      </c>
      <c r="C16124" s="1" t="s">
        <v>5634</v>
      </c>
      <c r="D16124" s="1" t="s">
        <v>5635</v>
      </c>
    </row>
    <row r="16125">
      <c r="A16125" s="1" t="s">
        <v>27384</v>
      </c>
      <c r="B16125" s="2" t="s">
        <v>26548</v>
      </c>
      <c r="C16125" s="1" t="s">
        <v>5634</v>
      </c>
      <c r="D16125" s="1" t="s">
        <v>5635</v>
      </c>
    </row>
    <row r="16126">
      <c r="A16126" s="1" t="s">
        <v>27385</v>
      </c>
      <c r="B16126" s="2" t="s">
        <v>26550</v>
      </c>
      <c r="C16126" s="1" t="s">
        <v>5634</v>
      </c>
      <c r="D16126" s="1" t="s">
        <v>5635</v>
      </c>
    </row>
    <row r="16127">
      <c r="A16127" s="1" t="s">
        <v>27386</v>
      </c>
      <c r="B16127" s="2" t="s">
        <v>26552</v>
      </c>
      <c r="C16127" s="1" t="s">
        <v>5634</v>
      </c>
      <c r="D16127" s="1" t="s">
        <v>5635</v>
      </c>
    </row>
    <row r="16128">
      <c r="A16128" s="1" t="s">
        <v>27387</v>
      </c>
      <c r="B16128" s="2" t="s">
        <v>26554</v>
      </c>
      <c r="C16128" s="1" t="s">
        <v>5634</v>
      </c>
      <c r="D16128" s="1" t="s">
        <v>5635</v>
      </c>
    </row>
    <row r="16129">
      <c r="A16129" s="1" t="s">
        <v>27388</v>
      </c>
      <c r="B16129" s="2" t="s">
        <v>26556</v>
      </c>
      <c r="C16129" s="1" t="s">
        <v>5634</v>
      </c>
      <c r="D16129" s="1" t="s">
        <v>5635</v>
      </c>
    </row>
    <row r="16130">
      <c r="A16130" s="1" t="s">
        <v>27389</v>
      </c>
      <c r="B16130" s="2" t="s">
        <v>26558</v>
      </c>
      <c r="C16130" s="1" t="s">
        <v>5634</v>
      </c>
      <c r="D16130" s="1" t="s">
        <v>5635</v>
      </c>
    </row>
    <row r="16131">
      <c r="A16131" s="1" t="s">
        <v>27390</v>
      </c>
      <c r="B16131" s="2" t="s">
        <v>26560</v>
      </c>
      <c r="C16131" s="1" t="s">
        <v>5634</v>
      </c>
      <c r="D16131" s="1" t="s">
        <v>5635</v>
      </c>
    </row>
    <row r="16132">
      <c r="A16132" s="1" t="s">
        <v>27391</v>
      </c>
      <c r="B16132" s="2" t="s">
        <v>26562</v>
      </c>
      <c r="C16132" s="1" t="s">
        <v>5634</v>
      </c>
      <c r="D16132" s="1" t="s">
        <v>5635</v>
      </c>
    </row>
    <row r="16133">
      <c r="A16133" s="1" t="s">
        <v>27392</v>
      </c>
      <c r="B16133" s="2" t="s">
        <v>26564</v>
      </c>
      <c r="C16133" s="1" t="s">
        <v>5634</v>
      </c>
      <c r="D16133" s="1" t="s">
        <v>5635</v>
      </c>
    </row>
    <row r="16134">
      <c r="A16134" s="1" t="s">
        <v>27393</v>
      </c>
      <c r="B16134" s="2" t="s">
        <v>26566</v>
      </c>
      <c r="C16134" s="1" t="s">
        <v>5634</v>
      </c>
      <c r="D16134" s="1" t="s">
        <v>5635</v>
      </c>
    </row>
    <row r="16135">
      <c r="A16135" s="1" t="s">
        <v>27394</v>
      </c>
      <c r="B16135" s="2" t="s">
        <v>26568</v>
      </c>
      <c r="C16135" s="1" t="s">
        <v>5634</v>
      </c>
      <c r="D16135" s="1" t="s">
        <v>5635</v>
      </c>
    </row>
    <row r="16136">
      <c r="A16136" s="1" t="s">
        <v>27395</v>
      </c>
      <c r="B16136" s="2" t="s">
        <v>26570</v>
      </c>
      <c r="C16136" s="1" t="s">
        <v>5634</v>
      </c>
      <c r="D16136" s="1" t="s">
        <v>5635</v>
      </c>
    </row>
    <row r="16137">
      <c r="A16137" s="1" t="s">
        <v>27396</v>
      </c>
      <c r="B16137" s="2" t="s">
        <v>26572</v>
      </c>
      <c r="C16137" s="1" t="s">
        <v>5634</v>
      </c>
      <c r="D16137" s="1" t="s">
        <v>5635</v>
      </c>
    </row>
    <row r="16138">
      <c r="A16138" s="1" t="s">
        <v>27397</v>
      </c>
      <c r="B16138" s="2" t="s">
        <v>26574</v>
      </c>
      <c r="C16138" s="1" t="s">
        <v>5634</v>
      </c>
      <c r="D16138" s="1" t="s">
        <v>5635</v>
      </c>
    </row>
    <row r="16139">
      <c r="A16139" s="1" t="s">
        <v>27398</v>
      </c>
      <c r="B16139" s="2" t="s">
        <v>26576</v>
      </c>
      <c r="C16139" s="1" t="s">
        <v>5634</v>
      </c>
      <c r="D16139" s="1" t="s">
        <v>5635</v>
      </c>
    </row>
    <row r="16140">
      <c r="A16140" s="1" t="s">
        <v>27399</v>
      </c>
      <c r="B16140" s="2" t="s">
        <v>26578</v>
      </c>
      <c r="C16140" s="1" t="s">
        <v>5634</v>
      </c>
      <c r="D16140" s="1" t="s">
        <v>5635</v>
      </c>
    </row>
    <row r="16141">
      <c r="A16141" s="1" t="s">
        <v>27400</v>
      </c>
      <c r="B16141" s="2" t="s">
        <v>26580</v>
      </c>
      <c r="C16141" s="1" t="s">
        <v>5634</v>
      </c>
      <c r="D16141" s="1" t="s">
        <v>5635</v>
      </c>
    </row>
    <row r="16142">
      <c r="A16142" s="1" t="s">
        <v>27401</v>
      </c>
      <c r="B16142" s="2" t="s">
        <v>26582</v>
      </c>
      <c r="C16142" s="1" t="s">
        <v>5634</v>
      </c>
      <c r="D16142" s="1" t="s">
        <v>5635</v>
      </c>
    </row>
    <row r="16143">
      <c r="A16143" s="1" t="s">
        <v>27402</v>
      </c>
      <c r="B16143" s="2" t="s">
        <v>26584</v>
      </c>
      <c r="C16143" s="1" t="s">
        <v>5634</v>
      </c>
      <c r="D16143" s="1" t="s">
        <v>5635</v>
      </c>
    </row>
    <row r="16144">
      <c r="A16144" s="1" t="s">
        <v>27403</v>
      </c>
      <c r="B16144" s="2" t="s">
        <v>26586</v>
      </c>
      <c r="C16144" s="1" t="s">
        <v>5634</v>
      </c>
      <c r="D16144" s="1" t="s">
        <v>5635</v>
      </c>
    </row>
    <row r="16145">
      <c r="A16145" s="1" t="s">
        <v>27404</v>
      </c>
      <c r="B16145" s="2" t="s">
        <v>26588</v>
      </c>
      <c r="C16145" s="1" t="s">
        <v>5634</v>
      </c>
      <c r="D16145" s="1" t="s">
        <v>5635</v>
      </c>
    </row>
    <row r="16146">
      <c r="A16146" s="1" t="s">
        <v>27405</v>
      </c>
      <c r="B16146" s="2" t="s">
        <v>26590</v>
      </c>
      <c r="C16146" s="1" t="s">
        <v>5634</v>
      </c>
      <c r="D16146" s="1" t="s">
        <v>5635</v>
      </c>
    </row>
    <row r="16147">
      <c r="A16147" s="1" t="s">
        <v>27406</v>
      </c>
      <c r="B16147" s="2" t="s">
        <v>26592</v>
      </c>
      <c r="C16147" s="1" t="s">
        <v>5634</v>
      </c>
      <c r="D16147" s="1" t="s">
        <v>5635</v>
      </c>
    </row>
    <row r="16148">
      <c r="A16148" s="1" t="s">
        <v>27407</v>
      </c>
      <c r="B16148" s="2" t="s">
        <v>26594</v>
      </c>
      <c r="C16148" s="1" t="s">
        <v>5634</v>
      </c>
      <c r="D16148" s="1" t="s">
        <v>5635</v>
      </c>
    </row>
    <row r="16149">
      <c r="A16149" s="1" t="s">
        <v>27408</v>
      </c>
      <c r="B16149" s="2" t="s">
        <v>26596</v>
      </c>
      <c r="C16149" s="1" t="s">
        <v>5634</v>
      </c>
      <c r="D16149" s="1" t="s">
        <v>5635</v>
      </c>
    </row>
    <row r="16150">
      <c r="A16150" s="1" t="s">
        <v>27409</v>
      </c>
      <c r="B16150" s="2" t="s">
        <v>26598</v>
      </c>
      <c r="C16150" s="1" t="s">
        <v>5634</v>
      </c>
      <c r="D16150" s="1" t="s">
        <v>5635</v>
      </c>
    </row>
    <row r="16151">
      <c r="A16151" s="1" t="s">
        <v>27410</v>
      </c>
      <c r="B16151" s="2" t="s">
        <v>26600</v>
      </c>
      <c r="C16151" s="1" t="s">
        <v>5634</v>
      </c>
      <c r="D16151" s="1" t="s">
        <v>5635</v>
      </c>
    </row>
    <row r="16152">
      <c r="A16152" s="1" t="s">
        <v>27411</v>
      </c>
      <c r="B16152" s="2" t="s">
        <v>26602</v>
      </c>
      <c r="C16152" s="1" t="s">
        <v>5634</v>
      </c>
      <c r="D16152" s="1" t="s">
        <v>5635</v>
      </c>
    </row>
    <row r="16153">
      <c r="A16153" s="1" t="s">
        <v>27412</v>
      </c>
      <c r="B16153" s="2" t="s">
        <v>26604</v>
      </c>
      <c r="C16153" s="1" t="s">
        <v>5634</v>
      </c>
      <c r="D16153" s="1" t="s">
        <v>5635</v>
      </c>
    </row>
    <row r="16154">
      <c r="A16154" s="1" t="s">
        <v>27413</v>
      </c>
      <c r="B16154" s="2" t="s">
        <v>26606</v>
      </c>
      <c r="C16154" s="1" t="s">
        <v>5634</v>
      </c>
      <c r="D16154" s="1" t="s">
        <v>5635</v>
      </c>
    </row>
    <row r="16155">
      <c r="A16155" s="1" t="s">
        <v>27414</v>
      </c>
      <c r="B16155" s="2" t="s">
        <v>26608</v>
      </c>
      <c r="C16155" s="1" t="s">
        <v>5634</v>
      </c>
      <c r="D16155" s="1" t="s">
        <v>5635</v>
      </c>
    </row>
    <row r="16156">
      <c r="A16156" s="1" t="s">
        <v>27415</v>
      </c>
      <c r="B16156" s="2" t="s">
        <v>26610</v>
      </c>
      <c r="C16156" s="1" t="s">
        <v>5634</v>
      </c>
      <c r="D16156" s="1" t="s">
        <v>5635</v>
      </c>
    </row>
    <row r="16157">
      <c r="A16157" s="1" t="s">
        <v>27416</v>
      </c>
      <c r="B16157" s="2" t="s">
        <v>26612</v>
      </c>
      <c r="C16157" s="1" t="s">
        <v>5634</v>
      </c>
      <c r="D16157" s="1" t="s">
        <v>5635</v>
      </c>
    </row>
    <row r="16158">
      <c r="A16158" s="1" t="s">
        <v>27417</v>
      </c>
      <c r="B16158" s="2" t="s">
        <v>26614</v>
      </c>
      <c r="C16158" s="1" t="s">
        <v>5634</v>
      </c>
      <c r="D16158" s="1" t="s">
        <v>5635</v>
      </c>
    </row>
    <row r="16159">
      <c r="A16159" s="1" t="s">
        <v>27418</v>
      </c>
      <c r="B16159" s="2" t="s">
        <v>26616</v>
      </c>
      <c r="C16159" s="1" t="s">
        <v>5634</v>
      </c>
      <c r="D16159" s="1" t="s">
        <v>5635</v>
      </c>
    </row>
    <row r="16160">
      <c r="A16160" s="1" t="s">
        <v>27419</v>
      </c>
      <c r="B16160" s="2" t="s">
        <v>26618</v>
      </c>
      <c r="C16160" s="1" t="s">
        <v>5634</v>
      </c>
      <c r="D16160" s="1" t="s">
        <v>5635</v>
      </c>
    </row>
    <row r="16161">
      <c r="A16161" s="1" t="s">
        <v>27420</v>
      </c>
      <c r="B16161" s="2" t="s">
        <v>26620</v>
      </c>
      <c r="C16161" s="1" t="s">
        <v>5634</v>
      </c>
      <c r="D16161" s="1" t="s">
        <v>5635</v>
      </c>
    </row>
    <row r="16162">
      <c r="A16162" s="1" t="s">
        <v>27421</v>
      </c>
      <c r="B16162" s="2" t="s">
        <v>26622</v>
      </c>
      <c r="C16162" s="1" t="s">
        <v>5634</v>
      </c>
      <c r="D16162" s="1" t="s">
        <v>5635</v>
      </c>
    </row>
    <row r="16163">
      <c r="A16163" s="1" t="s">
        <v>27422</v>
      </c>
      <c r="B16163" s="2" t="s">
        <v>26624</v>
      </c>
      <c r="C16163" s="1" t="s">
        <v>5634</v>
      </c>
      <c r="D16163" s="1" t="s">
        <v>5635</v>
      </c>
    </row>
    <row r="16164">
      <c r="A16164" s="1" t="s">
        <v>27423</v>
      </c>
      <c r="B16164" s="2" t="s">
        <v>26626</v>
      </c>
      <c r="C16164" s="1" t="s">
        <v>5634</v>
      </c>
      <c r="D16164" s="1" t="s">
        <v>5635</v>
      </c>
    </row>
    <row r="16165">
      <c r="A16165" s="1" t="s">
        <v>27424</v>
      </c>
      <c r="B16165" s="2" t="s">
        <v>26628</v>
      </c>
      <c r="C16165" s="1" t="s">
        <v>5634</v>
      </c>
      <c r="D16165" s="1" t="s">
        <v>5635</v>
      </c>
    </row>
    <row r="16166">
      <c r="A16166" s="1" t="s">
        <v>27425</v>
      </c>
      <c r="B16166" s="2" t="s">
        <v>26630</v>
      </c>
      <c r="C16166" s="1" t="s">
        <v>5634</v>
      </c>
      <c r="D16166" s="1" t="s">
        <v>5635</v>
      </c>
    </row>
    <row r="16167">
      <c r="A16167" s="1" t="s">
        <v>27426</v>
      </c>
      <c r="B16167" s="2" t="s">
        <v>26632</v>
      </c>
      <c r="C16167" s="1" t="s">
        <v>5634</v>
      </c>
      <c r="D16167" s="1" t="s">
        <v>5635</v>
      </c>
    </row>
    <row r="16168">
      <c r="A16168" s="1" t="s">
        <v>27427</v>
      </c>
      <c r="B16168" s="2" t="s">
        <v>26634</v>
      </c>
      <c r="C16168" s="1" t="s">
        <v>5634</v>
      </c>
      <c r="D16168" s="1" t="s">
        <v>5635</v>
      </c>
    </row>
    <row r="16169">
      <c r="A16169" s="1" t="s">
        <v>27428</v>
      </c>
      <c r="B16169" s="2" t="s">
        <v>26636</v>
      </c>
      <c r="C16169" s="1" t="s">
        <v>5634</v>
      </c>
      <c r="D16169" s="1" t="s">
        <v>5635</v>
      </c>
    </row>
    <row r="16170">
      <c r="A16170" s="1" t="s">
        <v>27429</v>
      </c>
      <c r="B16170" s="2" t="s">
        <v>26638</v>
      </c>
      <c r="C16170" s="1" t="s">
        <v>5634</v>
      </c>
      <c r="D16170" s="1" t="s">
        <v>5635</v>
      </c>
    </row>
    <row r="16171">
      <c r="A16171" s="1" t="s">
        <v>27430</v>
      </c>
      <c r="B16171" s="2" t="s">
        <v>26640</v>
      </c>
      <c r="C16171" s="1" t="s">
        <v>5634</v>
      </c>
      <c r="D16171" s="1" t="s">
        <v>5635</v>
      </c>
    </row>
    <row r="16172">
      <c r="A16172" s="1" t="s">
        <v>27431</v>
      </c>
      <c r="B16172" s="2" t="s">
        <v>26642</v>
      </c>
      <c r="C16172" s="1" t="s">
        <v>5634</v>
      </c>
      <c r="D16172" s="1" t="s">
        <v>5635</v>
      </c>
    </row>
    <row r="16173">
      <c r="A16173" s="1" t="s">
        <v>27432</v>
      </c>
      <c r="B16173" s="2" t="s">
        <v>26644</v>
      </c>
      <c r="C16173" s="1" t="s">
        <v>5634</v>
      </c>
      <c r="D16173" s="1" t="s">
        <v>5635</v>
      </c>
    </row>
    <row r="16174">
      <c r="A16174" s="1" t="s">
        <v>27433</v>
      </c>
      <c r="B16174" s="2" t="s">
        <v>26646</v>
      </c>
      <c r="C16174" s="1" t="s">
        <v>5634</v>
      </c>
      <c r="D16174" s="1" t="s">
        <v>5635</v>
      </c>
    </row>
    <row r="16175">
      <c r="A16175" s="1" t="s">
        <v>27434</v>
      </c>
      <c r="B16175" s="2" t="s">
        <v>26648</v>
      </c>
      <c r="C16175" s="1" t="s">
        <v>5634</v>
      </c>
      <c r="D16175" s="1" t="s">
        <v>5635</v>
      </c>
    </row>
    <row r="16176">
      <c r="A16176" s="1" t="s">
        <v>27435</v>
      </c>
      <c r="B16176" s="2" t="s">
        <v>26650</v>
      </c>
      <c r="C16176" s="1" t="s">
        <v>5634</v>
      </c>
      <c r="D16176" s="1" t="s">
        <v>5635</v>
      </c>
    </row>
    <row r="16177">
      <c r="A16177" s="1" t="s">
        <v>27436</v>
      </c>
      <c r="B16177" s="2" t="s">
        <v>26652</v>
      </c>
      <c r="C16177" s="1" t="s">
        <v>5634</v>
      </c>
      <c r="D16177" s="1" t="s">
        <v>5635</v>
      </c>
    </row>
    <row r="16178">
      <c r="A16178" s="1" t="s">
        <v>27437</v>
      </c>
      <c r="B16178" s="2" t="s">
        <v>26654</v>
      </c>
      <c r="C16178" s="1" t="s">
        <v>5634</v>
      </c>
      <c r="D16178" s="1" t="s">
        <v>5635</v>
      </c>
    </row>
    <row r="16179">
      <c r="A16179" s="1" t="s">
        <v>27438</v>
      </c>
      <c r="B16179" s="2" t="s">
        <v>26656</v>
      </c>
      <c r="C16179" s="1" t="s">
        <v>5634</v>
      </c>
      <c r="D16179" s="1" t="s">
        <v>5635</v>
      </c>
    </row>
    <row r="16180">
      <c r="A16180" s="1" t="s">
        <v>27439</v>
      </c>
      <c r="B16180" s="2" t="s">
        <v>26658</v>
      </c>
      <c r="C16180" s="1" t="s">
        <v>5634</v>
      </c>
      <c r="D16180" s="1" t="s">
        <v>5635</v>
      </c>
    </row>
    <row r="16181">
      <c r="A16181" s="1" t="s">
        <v>27440</v>
      </c>
      <c r="B16181" s="2" t="s">
        <v>26660</v>
      </c>
      <c r="C16181" s="1" t="s">
        <v>5634</v>
      </c>
      <c r="D16181" s="1" t="s">
        <v>5635</v>
      </c>
    </row>
    <row r="16182">
      <c r="A16182" s="1" t="s">
        <v>27441</v>
      </c>
      <c r="B16182" s="2" t="s">
        <v>26662</v>
      </c>
      <c r="C16182" s="1" t="s">
        <v>5634</v>
      </c>
      <c r="D16182" s="1" t="s">
        <v>5635</v>
      </c>
    </row>
    <row r="16183">
      <c r="A16183" s="1" t="s">
        <v>27442</v>
      </c>
      <c r="B16183" s="2" t="s">
        <v>26664</v>
      </c>
      <c r="C16183" s="1" t="s">
        <v>5634</v>
      </c>
      <c r="D16183" s="1" t="s">
        <v>5635</v>
      </c>
    </row>
    <row r="16184">
      <c r="A16184" s="1" t="s">
        <v>27443</v>
      </c>
      <c r="B16184" s="2" t="s">
        <v>26666</v>
      </c>
      <c r="C16184" s="1" t="s">
        <v>5634</v>
      </c>
      <c r="D16184" s="1" t="s">
        <v>5635</v>
      </c>
    </row>
    <row r="16185">
      <c r="A16185" s="1" t="s">
        <v>27444</v>
      </c>
      <c r="B16185" s="2" t="s">
        <v>26668</v>
      </c>
      <c r="C16185" s="1" t="s">
        <v>5634</v>
      </c>
      <c r="D16185" s="1" t="s">
        <v>5635</v>
      </c>
    </row>
    <row r="16186">
      <c r="A16186" s="1" t="s">
        <v>27445</v>
      </c>
      <c r="B16186" s="2" t="s">
        <v>26670</v>
      </c>
      <c r="C16186" s="1" t="s">
        <v>5634</v>
      </c>
      <c r="D16186" s="1" t="s">
        <v>5635</v>
      </c>
    </row>
    <row r="16187">
      <c r="A16187" s="1" t="s">
        <v>27446</v>
      </c>
      <c r="B16187" s="2" t="s">
        <v>26672</v>
      </c>
      <c r="C16187" s="1" t="s">
        <v>5634</v>
      </c>
      <c r="D16187" s="1" t="s">
        <v>5635</v>
      </c>
    </row>
    <row r="16188">
      <c r="A16188" s="1" t="s">
        <v>27447</v>
      </c>
      <c r="B16188" s="2" t="s">
        <v>26674</v>
      </c>
      <c r="C16188" s="1" t="s">
        <v>5634</v>
      </c>
      <c r="D16188" s="1" t="s">
        <v>5635</v>
      </c>
    </row>
    <row r="16189">
      <c r="A16189" s="1" t="s">
        <v>27448</v>
      </c>
      <c r="B16189" s="2" t="s">
        <v>26676</v>
      </c>
      <c r="C16189" s="1" t="s">
        <v>5634</v>
      </c>
      <c r="D16189" s="1" t="s">
        <v>5635</v>
      </c>
    </row>
    <row r="16190">
      <c r="A16190" s="1" t="s">
        <v>27449</v>
      </c>
      <c r="B16190" s="2" t="s">
        <v>26678</v>
      </c>
      <c r="C16190" s="1" t="s">
        <v>5634</v>
      </c>
      <c r="D16190" s="1" t="s">
        <v>5635</v>
      </c>
    </row>
    <row r="16191">
      <c r="A16191" s="1" t="s">
        <v>27450</v>
      </c>
      <c r="B16191" s="2" t="s">
        <v>26680</v>
      </c>
      <c r="C16191" s="1" t="s">
        <v>5634</v>
      </c>
      <c r="D16191" s="1" t="s">
        <v>5635</v>
      </c>
    </row>
    <row r="16192">
      <c r="A16192" s="1" t="s">
        <v>27451</v>
      </c>
      <c r="B16192" s="2" t="s">
        <v>26682</v>
      </c>
      <c r="C16192" s="1" t="s">
        <v>5634</v>
      </c>
      <c r="D16192" s="1" t="s">
        <v>5635</v>
      </c>
    </row>
    <row r="16193">
      <c r="A16193" s="1" t="s">
        <v>27452</v>
      </c>
      <c r="B16193" s="2" t="s">
        <v>26684</v>
      </c>
      <c r="C16193" s="1" t="s">
        <v>5634</v>
      </c>
      <c r="D16193" s="1" t="s">
        <v>5635</v>
      </c>
    </row>
    <row r="16194">
      <c r="A16194" s="1" t="s">
        <v>27453</v>
      </c>
      <c r="B16194" s="2" t="s">
        <v>26686</v>
      </c>
      <c r="C16194" s="1" t="s">
        <v>5634</v>
      </c>
      <c r="D16194" s="1" t="s">
        <v>5635</v>
      </c>
    </row>
    <row r="16195">
      <c r="A16195" s="1" t="s">
        <v>27454</v>
      </c>
      <c r="B16195" s="2" t="s">
        <v>26688</v>
      </c>
      <c r="C16195" s="1" t="s">
        <v>5634</v>
      </c>
      <c r="D16195" s="1" t="s">
        <v>5635</v>
      </c>
    </row>
    <row r="16196">
      <c r="A16196" s="1" t="s">
        <v>27455</v>
      </c>
      <c r="B16196" s="2" t="s">
        <v>26690</v>
      </c>
      <c r="C16196" s="1" t="s">
        <v>5634</v>
      </c>
      <c r="D16196" s="1" t="s">
        <v>5635</v>
      </c>
    </row>
    <row r="16197">
      <c r="A16197" s="1" t="s">
        <v>27456</v>
      </c>
      <c r="B16197" s="2" t="s">
        <v>26692</v>
      </c>
      <c r="C16197" s="1" t="s">
        <v>5634</v>
      </c>
      <c r="D16197" s="1" t="s">
        <v>5635</v>
      </c>
    </row>
    <row r="16198">
      <c r="A16198" s="1" t="s">
        <v>27457</v>
      </c>
      <c r="B16198" s="2" t="s">
        <v>26694</v>
      </c>
      <c r="C16198" s="1" t="s">
        <v>5634</v>
      </c>
      <c r="D16198" s="1" t="s">
        <v>5635</v>
      </c>
    </row>
    <row r="16199">
      <c r="A16199" s="1" t="s">
        <v>27458</v>
      </c>
      <c r="B16199" s="2" t="s">
        <v>26696</v>
      </c>
      <c r="C16199" s="1" t="s">
        <v>5634</v>
      </c>
      <c r="D16199" s="1" t="s">
        <v>5635</v>
      </c>
    </row>
    <row r="16200">
      <c r="A16200" s="1" t="s">
        <v>27459</v>
      </c>
      <c r="B16200" s="2" t="s">
        <v>26698</v>
      </c>
      <c r="C16200" s="1" t="s">
        <v>5634</v>
      </c>
      <c r="D16200" s="1" t="s">
        <v>5635</v>
      </c>
    </row>
    <row r="16201">
      <c r="A16201" s="1" t="s">
        <v>27460</v>
      </c>
      <c r="B16201" s="2" t="s">
        <v>26700</v>
      </c>
      <c r="C16201" s="1" t="s">
        <v>5634</v>
      </c>
      <c r="D16201" s="1" t="s">
        <v>5635</v>
      </c>
    </row>
    <row r="16202">
      <c r="A16202" s="1" t="s">
        <v>27461</v>
      </c>
      <c r="B16202" s="2" t="s">
        <v>26702</v>
      </c>
      <c r="C16202" s="1" t="s">
        <v>5634</v>
      </c>
      <c r="D16202" s="1" t="s">
        <v>5635</v>
      </c>
    </row>
    <row r="16203">
      <c r="A16203" s="1" t="s">
        <v>27462</v>
      </c>
      <c r="B16203" s="2" t="s">
        <v>26704</v>
      </c>
      <c r="C16203" s="1" t="s">
        <v>5634</v>
      </c>
      <c r="D16203" s="1" t="s">
        <v>5635</v>
      </c>
    </row>
    <row r="16204">
      <c r="A16204" s="1" t="s">
        <v>27463</v>
      </c>
      <c r="B16204" s="2" t="s">
        <v>26706</v>
      </c>
      <c r="C16204" s="1" t="s">
        <v>5634</v>
      </c>
      <c r="D16204" s="1" t="s">
        <v>5635</v>
      </c>
    </row>
    <row r="16205">
      <c r="A16205" s="1" t="s">
        <v>27464</v>
      </c>
      <c r="B16205" s="2" t="s">
        <v>26708</v>
      </c>
      <c r="C16205" s="1" t="s">
        <v>5634</v>
      </c>
      <c r="D16205" s="1" t="s">
        <v>5635</v>
      </c>
    </row>
    <row r="16206">
      <c r="A16206" s="1" t="s">
        <v>27465</v>
      </c>
      <c r="B16206" s="2" t="s">
        <v>26710</v>
      </c>
      <c r="C16206" s="1" t="s">
        <v>5634</v>
      </c>
      <c r="D16206" s="1" t="s">
        <v>5635</v>
      </c>
    </row>
    <row r="16207">
      <c r="A16207" s="1" t="s">
        <v>27466</v>
      </c>
      <c r="B16207" s="2" t="s">
        <v>26712</v>
      </c>
      <c r="C16207" s="1" t="s">
        <v>5634</v>
      </c>
      <c r="D16207" s="1" t="s">
        <v>5635</v>
      </c>
    </row>
    <row r="16208">
      <c r="A16208" s="1" t="s">
        <v>27467</v>
      </c>
      <c r="B16208" s="2" t="s">
        <v>26714</v>
      </c>
      <c r="C16208" s="1" t="s">
        <v>5634</v>
      </c>
      <c r="D16208" s="1" t="s">
        <v>5635</v>
      </c>
    </row>
    <row r="16209">
      <c r="A16209" s="1" t="s">
        <v>27468</v>
      </c>
      <c r="B16209" s="2" t="s">
        <v>26716</v>
      </c>
      <c r="C16209" s="1" t="s">
        <v>5634</v>
      </c>
      <c r="D16209" s="1" t="s">
        <v>5635</v>
      </c>
    </row>
    <row r="16210">
      <c r="A16210" s="1" t="s">
        <v>27469</v>
      </c>
      <c r="B16210" s="2" t="s">
        <v>26718</v>
      </c>
      <c r="C16210" s="1" t="s">
        <v>5634</v>
      </c>
      <c r="D16210" s="1" t="s">
        <v>5635</v>
      </c>
    </row>
    <row r="16211">
      <c r="A16211" s="1" t="s">
        <v>27470</v>
      </c>
      <c r="B16211" s="2" t="s">
        <v>26720</v>
      </c>
      <c r="C16211" s="1" t="s">
        <v>5634</v>
      </c>
      <c r="D16211" s="1" t="s">
        <v>5635</v>
      </c>
    </row>
    <row r="16212">
      <c r="A16212" s="1" t="s">
        <v>27471</v>
      </c>
      <c r="B16212" s="2" t="s">
        <v>26722</v>
      </c>
      <c r="C16212" s="1" t="s">
        <v>5634</v>
      </c>
      <c r="D16212" s="1" t="s">
        <v>5635</v>
      </c>
    </row>
    <row r="16213">
      <c r="A16213" s="1" t="s">
        <v>27472</v>
      </c>
      <c r="B16213" s="2" t="s">
        <v>26724</v>
      </c>
      <c r="C16213" s="1" t="s">
        <v>5634</v>
      </c>
      <c r="D16213" s="1" t="s">
        <v>5635</v>
      </c>
    </row>
    <row r="16214">
      <c r="A16214" s="1" t="s">
        <v>27473</v>
      </c>
      <c r="B16214" s="2" t="s">
        <v>26726</v>
      </c>
      <c r="C16214" s="1" t="s">
        <v>5634</v>
      </c>
      <c r="D16214" s="1" t="s">
        <v>5635</v>
      </c>
    </row>
    <row r="16215">
      <c r="A16215" s="1" t="s">
        <v>27474</v>
      </c>
      <c r="B16215" s="2" t="s">
        <v>26728</v>
      </c>
      <c r="C16215" s="1" t="s">
        <v>5634</v>
      </c>
      <c r="D16215" s="1" t="s">
        <v>5635</v>
      </c>
    </row>
    <row r="16216">
      <c r="A16216" s="1" t="s">
        <v>27475</v>
      </c>
      <c r="B16216" s="2" t="s">
        <v>26730</v>
      </c>
      <c r="C16216" s="1" t="s">
        <v>5634</v>
      </c>
      <c r="D16216" s="1" t="s">
        <v>5635</v>
      </c>
    </row>
    <row r="16217">
      <c r="A16217" s="1" t="s">
        <v>27476</v>
      </c>
      <c r="B16217" s="2" t="s">
        <v>26732</v>
      </c>
      <c r="C16217" s="1" t="s">
        <v>5634</v>
      </c>
      <c r="D16217" s="1" t="s">
        <v>5635</v>
      </c>
    </row>
    <row r="16218">
      <c r="A16218" s="1" t="s">
        <v>27477</v>
      </c>
      <c r="B16218" s="2" t="s">
        <v>26734</v>
      </c>
      <c r="C16218" s="1" t="s">
        <v>5634</v>
      </c>
      <c r="D16218" s="1" t="s">
        <v>5635</v>
      </c>
    </row>
    <row r="16219">
      <c r="A16219" s="1" t="s">
        <v>27478</v>
      </c>
      <c r="B16219" s="2" t="s">
        <v>26736</v>
      </c>
      <c r="C16219" s="1" t="s">
        <v>5634</v>
      </c>
      <c r="D16219" s="1" t="s">
        <v>5635</v>
      </c>
    </row>
    <row r="16220">
      <c r="A16220" s="1" t="s">
        <v>27479</v>
      </c>
      <c r="B16220" s="2" t="s">
        <v>26738</v>
      </c>
      <c r="C16220" s="1" t="s">
        <v>5634</v>
      </c>
      <c r="D16220" s="1" t="s">
        <v>5635</v>
      </c>
    </row>
    <row r="16221">
      <c r="A16221" s="1" t="s">
        <v>27480</v>
      </c>
      <c r="B16221" s="2" t="s">
        <v>26740</v>
      </c>
      <c r="C16221" s="1" t="s">
        <v>5634</v>
      </c>
      <c r="D16221" s="1" t="s">
        <v>5635</v>
      </c>
    </row>
    <row r="16222">
      <c r="A16222" s="1" t="s">
        <v>27481</v>
      </c>
      <c r="B16222" s="2" t="s">
        <v>26742</v>
      </c>
      <c r="C16222" s="1" t="s">
        <v>5634</v>
      </c>
      <c r="D16222" s="1" t="s">
        <v>5635</v>
      </c>
    </row>
    <row r="16223">
      <c r="A16223" s="1" t="s">
        <v>27482</v>
      </c>
      <c r="B16223" s="2" t="s">
        <v>26744</v>
      </c>
      <c r="C16223" s="1" t="s">
        <v>5634</v>
      </c>
      <c r="D16223" s="1" t="s">
        <v>5635</v>
      </c>
    </row>
    <row r="16224">
      <c r="A16224" s="1" t="s">
        <v>27483</v>
      </c>
      <c r="B16224" s="2" t="s">
        <v>26746</v>
      </c>
      <c r="C16224" s="1" t="s">
        <v>5634</v>
      </c>
      <c r="D16224" s="1" t="s">
        <v>5635</v>
      </c>
    </row>
    <row r="16225">
      <c r="A16225" s="1" t="s">
        <v>27484</v>
      </c>
      <c r="B16225" s="2" t="s">
        <v>26748</v>
      </c>
      <c r="C16225" s="1" t="s">
        <v>5634</v>
      </c>
      <c r="D16225" s="1" t="s">
        <v>5635</v>
      </c>
    </row>
    <row r="16226">
      <c r="A16226" s="1" t="s">
        <v>27485</v>
      </c>
      <c r="B16226" s="2" t="s">
        <v>26750</v>
      </c>
      <c r="C16226" s="1" t="s">
        <v>5634</v>
      </c>
      <c r="D16226" s="1" t="s">
        <v>5635</v>
      </c>
    </row>
    <row r="16227">
      <c r="A16227" s="1" t="s">
        <v>27486</v>
      </c>
      <c r="B16227" s="2" t="s">
        <v>26752</v>
      </c>
      <c r="C16227" s="1" t="s">
        <v>5634</v>
      </c>
      <c r="D16227" s="1" t="s">
        <v>5635</v>
      </c>
    </row>
    <row r="16228">
      <c r="A16228" s="1" t="s">
        <v>27487</v>
      </c>
      <c r="B16228" s="2" t="s">
        <v>26754</v>
      </c>
      <c r="C16228" s="1" t="s">
        <v>5634</v>
      </c>
      <c r="D16228" s="1" t="s">
        <v>5635</v>
      </c>
    </row>
    <row r="16229">
      <c r="A16229" s="1" t="s">
        <v>27488</v>
      </c>
      <c r="B16229" s="2" t="s">
        <v>26756</v>
      </c>
      <c r="C16229" s="1" t="s">
        <v>5634</v>
      </c>
      <c r="D16229" s="1" t="s">
        <v>5635</v>
      </c>
    </row>
    <row r="16230">
      <c r="A16230" s="1" t="s">
        <v>27489</v>
      </c>
      <c r="B16230" s="2" t="s">
        <v>26758</v>
      </c>
      <c r="C16230" s="1" t="s">
        <v>5634</v>
      </c>
      <c r="D16230" s="1" t="s">
        <v>5635</v>
      </c>
    </row>
    <row r="16231">
      <c r="A16231" s="1" t="s">
        <v>27490</v>
      </c>
      <c r="B16231" s="2" t="s">
        <v>26760</v>
      </c>
      <c r="C16231" s="1" t="s">
        <v>5634</v>
      </c>
      <c r="D16231" s="1" t="s">
        <v>5635</v>
      </c>
    </row>
    <row r="16232">
      <c r="A16232" s="1" t="s">
        <v>27491</v>
      </c>
      <c r="B16232" s="2" t="s">
        <v>26762</v>
      </c>
      <c r="C16232" s="1" t="s">
        <v>5634</v>
      </c>
      <c r="D16232" s="1" t="s">
        <v>5635</v>
      </c>
    </row>
    <row r="16233">
      <c r="A16233" s="1" t="s">
        <v>27492</v>
      </c>
      <c r="B16233" s="2" t="s">
        <v>26764</v>
      </c>
      <c r="C16233" s="1" t="s">
        <v>5634</v>
      </c>
      <c r="D16233" s="1" t="s">
        <v>5635</v>
      </c>
    </row>
    <row r="16234">
      <c r="A16234" s="1" t="s">
        <v>27493</v>
      </c>
      <c r="B16234" s="2" t="s">
        <v>26766</v>
      </c>
      <c r="C16234" s="1" t="s">
        <v>5634</v>
      </c>
      <c r="D16234" s="1" t="s">
        <v>5635</v>
      </c>
    </row>
    <row r="16235">
      <c r="A16235" s="1" t="s">
        <v>27494</v>
      </c>
      <c r="B16235" s="2" t="s">
        <v>26768</v>
      </c>
      <c r="C16235" s="1" t="s">
        <v>5634</v>
      </c>
      <c r="D16235" s="1" t="s">
        <v>5635</v>
      </c>
    </row>
    <row r="16236">
      <c r="A16236" s="1" t="s">
        <v>27495</v>
      </c>
      <c r="B16236" s="2" t="s">
        <v>26770</v>
      </c>
      <c r="C16236" s="1" t="s">
        <v>5634</v>
      </c>
      <c r="D16236" s="1" t="s">
        <v>5635</v>
      </c>
    </row>
    <row r="16237">
      <c r="A16237" s="1" t="s">
        <v>27496</v>
      </c>
      <c r="B16237" s="2" t="s">
        <v>26772</v>
      </c>
      <c r="C16237" s="1" t="s">
        <v>5634</v>
      </c>
      <c r="D16237" s="1" t="s">
        <v>5635</v>
      </c>
    </row>
    <row r="16238">
      <c r="A16238" s="1" t="s">
        <v>27497</v>
      </c>
      <c r="B16238" s="2" t="s">
        <v>26774</v>
      </c>
      <c r="C16238" s="1" t="s">
        <v>5634</v>
      </c>
      <c r="D16238" s="1" t="s">
        <v>5635</v>
      </c>
    </row>
    <row r="16239">
      <c r="A16239" s="1" t="s">
        <v>27498</v>
      </c>
      <c r="B16239" s="2" t="s">
        <v>26776</v>
      </c>
      <c r="C16239" s="1" t="s">
        <v>5634</v>
      </c>
      <c r="D16239" s="1" t="s">
        <v>5635</v>
      </c>
    </row>
    <row r="16240">
      <c r="A16240" s="1" t="s">
        <v>27499</v>
      </c>
      <c r="B16240" s="2" t="s">
        <v>26778</v>
      </c>
      <c r="C16240" s="1" t="s">
        <v>5634</v>
      </c>
      <c r="D16240" s="1" t="s">
        <v>5635</v>
      </c>
    </row>
    <row r="16241">
      <c r="A16241" s="1" t="s">
        <v>27500</v>
      </c>
      <c r="B16241" s="2" t="s">
        <v>26780</v>
      </c>
      <c r="C16241" s="1" t="s">
        <v>5634</v>
      </c>
      <c r="D16241" s="1" t="s">
        <v>5635</v>
      </c>
    </row>
    <row r="16242">
      <c r="A16242" s="1" t="s">
        <v>27501</v>
      </c>
      <c r="B16242" s="2" t="s">
        <v>26782</v>
      </c>
      <c r="C16242" s="1" t="s">
        <v>5634</v>
      </c>
      <c r="D16242" s="1" t="s">
        <v>5635</v>
      </c>
    </row>
    <row r="16243">
      <c r="A16243" s="1" t="s">
        <v>27502</v>
      </c>
      <c r="B16243" s="2" t="s">
        <v>26784</v>
      </c>
      <c r="C16243" s="1" t="s">
        <v>5634</v>
      </c>
      <c r="D16243" s="1" t="s">
        <v>5635</v>
      </c>
    </row>
    <row r="16244">
      <c r="A16244" s="1" t="s">
        <v>27503</v>
      </c>
      <c r="B16244" s="2" t="s">
        <v>26786</v>
      </c>
      <c r="C16244" s="1" t="s">
        <v>5634</v>
      </c>
      <c r="D16244" s="1" t="s">
        <v>5635</v>
      </c>
    </row>
    <row r="16245">
      <c r="A16245" s="1" t="s">
        <v>27504</v>
      </c>
      <c r="B16245" s="2" t="s">
        <v>26788</v>
      </c>
      <c r="C16245" s="1" t="s">
        <v>5634</v>
      </c>
      <c r="D16245" s="1" t="s">
        <v>5635</v>
      </c>
    </row>
    <row r="16246">
      <c r="A16246" s="1" t="s">
        <v>27505</v>
      </c>
      <c r="B16246" s="2" t="s">
        <v>26790</v>
      </c>
      <c r="C16246" s="1" t="s">
        <v>5634</v>
      </c>
      <c r="D16246" s="1" t="s">
        <v>5635</v>
      </c>
    </row>
    <row r="16247">
      <c r="A16247" s="1" t="s">
        <v>27506</v>
      </c>
      <c r="B16247" s="2" t="s">
        <v>26792</v>
      </c>
      <c r="C16247" s="1" t="s">
        <v>5634</v>
      </c>
      <c r="D16247" s="1" t="s">
        <v>5635</v>
      </c>
    </row>
    <row r="16248">
      <c r="A16248" s="1" t="s">
        <v>27507</v>
      </c>
      <c r="B16248" s="2" t="s">
        <v>26794</v>
      </c>
      <c r="C16248" s="1" t="s">
        <v>5634</v>
      </c>
      <c r="D16248" s="1" t="s">
        <v>5635</v>
      </c>
    </row>
    <row r="16249">
      <c r="A16249" s="1" t="s">
        <v>27508</v>
      </c>
      <c r="B16249" s="2" t="s">
        <v>26796</v>
      </c>
      <c r="C16249" s="1" t="s">
        <v>5634</v>
      </c>
      <c r="D16249" s="1" t="s">
        <v>5635</v>
      </c>
    </row>
    <row r="16250">
      <c r="A16250" s="1" t="s">
        <v>27509</v>
      </c>
      <c r="B16250" s="2" t="s">
        <v>26798</v>
      </c>
      <c r="C16250" s="1" t="s">
        <v>5634</v>
      </c>
      <c r="D16250" s="1" t="s">
        <v>5635</v>
      </c>
    </row>
    <row r="16251">
      <c r="A16251" s="1" t="s">
        <v>27510</v>
      </c>
      <c r="B16251" s="2" t="s">
        <v>26800</v>
      </c>
      <c r="C16251" s="1" t="s">
        <v>5634</v>
      </c>
      <c r="D16251" s="1" t="s">
        <v>5635</v>
      </c>
    </row>
    <row r="16252">
      <c r="A16252" s="1" t="s">
        <v>27511</v>
      </c>
      <c r="B16252" s="2" t="s">
        <v>26802</v>
      </c>
      <c r="C16252" s="1" t="s">
        <v>5634</v>
      </c>
      <c r="D16252" s="1" t="s">
        <v>5635</v>
      </c>
    </row>
    <row r="16253">
      <c r="A16253" s="1" t="s">
        <v>27512</v>
      </c>
      <c r="B16253" s="2" t="s">
        <v>26804</v>
      </c>
      <c r="C16253" s="1" t="s">
        <v>5634</v>
      </c>
      <c r="D16253" s="1" t="s">
        <v>5635</v>
      </c>
    </row>
    <row r="16254">
      <c r="A16254" s="1" t="s">
        <v>27513</v>
      </c>
      <c r="B16254" s="2" t="s">
        <v>26806</v>
      </c>
      <c r="C16254" s="1" t="s">
        <v>5634</v>
      </c>
      <c r="D16254" s="1" t="s">
        <v>5635</v>
      </c>
    </row>
    <row r="16255">
      <c r="A16255" s="1" t="s">
        <v>27514</v>
      </c>
      <c r="B16255" s="2" t="s">
        <v>26808</v>
      </c>
      <c r="C16255" s="1" t="s">
        <v>5634</v>
      </c>
      <c r="D16255" s="1" t="s">
        <v>5635</v>
      </c>
    </row>
    <row r="16256">
      <c r="A16256" s="1" t="s">
        <v>27515</v>
      </c>
      <c r="B16256" s="2" t="s">
        <v>26810</v>
      </c>
      <c r="C16256" s="1" t="s">
        <v>5634</v>
      </c>
      <c r="D16256" s="1" t="s">
        <v>5635</v>
      </c>
    </row>
    <row r="16257">
      <c r="A16257" s="1" t="s">
        <v>27516</v>
      </c>
      <c r="B16257" s="2" t="s">
        <v>26812</v>
      </c>
      <c r="C16257" s="1" t="s">
        <v>5634</v>
      </c>
      <c r="D16257" s="1" t="s">
        <v>5635</v>
      </c>
    </row>
    <row r="16258">
      <c r="A16258" s="1" t="s">
        <v>27517</v>
      </c>
      <c r="B16258" s="2" t="s">
        <v>26814</v>
      </c>
      <c r="C16258" s="1" t="s">
        <v>5634</v>
      </c>
      <c r="D16258" s="1" t="s">
        <v>5635</v>
      </c>
    </row>
    <row r="16259">
      <c r="A16259" s="1" t="s">
        <v>27518</v>
      </c>
      <c r="B16259" s="2" t="s">
        <v>26816</v>
      </c>
      <c r="C16259" s="1" t="s">
        <v>5634</v>
      </c>
      <c r="D16259" s="1" t="s">
        <v>5635</v>
      </c>
    </row>
    <row r="16260">
      <c r="A16260" s="1" t="s">
        <v>27519</v>
      </c>
      <c r="B16260" s="2" t="s">
        <v>26818</v>
      </c>
      <c r="C16260" s="1" t="s">
        <v>5634</v>
      </c>
      <c r="D16260" s="1" t="s">
        <v>5635</v>
      </c>
    </row>
    <row r="16261">
      <c r="A16261" s="1" t="s">
        <v>27520</v>
      </c>
      <c r="B16261" s="2" t="s">
        <v>26820</v>
      </c>
      <c r="C16261" s="1" t="s">
        <v>5634</v>
      </c>
      <c r="D16261" s="1" t="s">
        <v>5635</v>
      </c>
    </row>
    <row r="16262">
      <c r="A16262" s="1" t="s">
        <v>27521</v>
      </c>
      <c r="B16262" s="2" t="s">
        <v>26822</v>
      </c>
      <c r="C16262" s="1" t="s">
        <v>5634</v>
      </c>
      <c r="D16262" s="1" t="s">
        <v>5635</v>
      </c>
    </row>
    <row r="16263">
      <c r="A16263" s="1" t="s">
        <v>27522</v>
      </c>
      <c r="B16263" s="2" t="s">
        <v>26824</v>
      </c>
      <c r="C16263" s="1" t="s">
        <v>5634</v>
      </c>
      <c r="D16263" s="1" t="s">
        <v>5635</v>
      </c>
    </row>
    <row r="16264">
      <c r="A16264" s="1" t="s">
        <v>27523</v>
      </c>
      <c r="B16264" s="2" t="s">
        <v>26826</v>
      </c>
      <c r="C16264" s="1" t="s">
        <v>5634</v>
      </c>
      <c r="D16264" s="1" t="s">
        <v>5635</v>
      </c>
    </row>
    <row r="16265">
      <c r="A16265" s="1" t="s">
        <v>27524</v>
      </c>
      <c r="B16265" s="2" t="s">
        <v>26828</v>
      </c>
      <c r="C16265" s="1" t="s">
        <v>5634</v>
      </c>
      <c r="D16265" s="1" t="s">
        <v>5635</v>
      </c>
    </row>
    <row r="16266">
      <c r="A16266" s="1" t="s">
        <v>27525</v>
      </c>
      <c r="B16266" s="2" t="s">
        <v>26830</v>
      </c>
      <c r="C16266" s="1" t="s">
        <v>5634</v>
      </c>
      <c r="D16266" s="1" t="s">
        <v>5635</v>
      </c>
    </row>
    <row r="16267">
      <c r="A16267" s="1" t="s">
        <v>27526</v>
      </c>
      <c r="B16267" s="2" t="s">
        <v>26832</v>
      </c>
      <c r="C16267" s="1" t="s">
        <v>5634</v>
      </c>
      <c r="D16267" s="1" t="s">
        <v>5635</v>
      </c>
    </row>
    <row r="16268">
      <c r="A16268" s="1" t="s">
        <v>27527</v>
      </c>
      <c r="B16268" s="2" t="s">
        <v>26834</v>
      </c>
      <c r="C16268" s="1" t="s">
        <v>5634</v>
      </c>
      <c r="D16268" s="1" t="s">
        <v>5635</v>
      </c>
    </row>
    <row r="16269">
      <c r="A16269" s="1" t="s">
        <v>27528</v>
      </c>
      <c r="B16269" s="2" t="s">
        <v>26836</v>
      </c>
      <c r="C16269" s="1" t="s">
        <v>5634</v>
      </c>
      <c r="D16269" s="1" t="s">
        <v>5635</v>
      </c>
    </row>
    <row r="16270">
      <c r="A16270" s="1" t="s">
        <v>27529</v>
      </c>
      <c r="B16270" s="2" t="s">
        <v>26838</v>
      </c>
      <c r="C16270" s="1" t="s">
        <v>5634</v>
      </c>
      <c r="D16270" s="1" t="s">
        <v>5635</v>
      </c>
    </row>
    <row r="16271">
      <c r="A16271" s="1" t="s">
        <v>27530</v>
      </c>
      <c r="B16271" s="2" t="s">
        <v>26840</v>
      </c>
      <c r="C16271" s="1" t="s">
        <v>5634</v>
      </c>
      <c r="D16271" s="1" t="s">
        <v>5635</v>
      </c>
    </row>
    <row r="16272">
      <c r="A16272" s="1" t="s">
        <v>27531</v>
      </c>
      <c r="B16272" s="2" t="s">
        <v>26842</v>
      </c>
      <c r="C16272" s="1" t="s">
        <v>5634</v>
      </c>
      <c r="D16272" s="1" t="s">
        <v>5635</v>
      </c>
    </row>
    <row r="16273">
      <c r="A16273" s="1" t="s">
        <v>27532</v>
      </c>
      <c r="B16273" s="2" t="s">
        <v>26844</v>
      </c>
      <c r="C16273" s="1" t="s">
        <v>5634</v>
      </c>
      <c r="D16273" s="1" t="s">
        <v>5635</v>
      </c>
    </row>
    <row r="16274">
      <c r="A16274" s="1" t="s">
        <v>27533</v>
      </c>
      <c r="B16274" s="2" t="s">
        <v>26846</v>
      </c>
      <c r="C16274" s="1" t="s">
        <v>5634</v>
      </c>
      <c r="D16274" s="1" t="s">
        <v>5635</v>
      </c>
    </row>
    <row r="16275">
      <c r="A16275" s="1" t="s">
        <v>27534</v>
      </c>
      <c r="B16275" s="2" t="s">
        <v>26848</v>
      </c>
      <c r="C16275" s="1" t="s">
        <v>5634</v>
      </c>
      <c r="D16275" s="1" t="s">
        <v>5635</v>
      </c>
    </row>
    <row r="16276">
      <c r="A16276" s="1" t="s">
        <v>27535</v>
      </c>
      <c r="B16276" s="2" t="s">
        <v>26850</v>
      </c>
      <c r="C16276" s="1" t="s">
        <v>5634</v>
      </c>
      <c r="D16276" s="1" t="s">
        <v>5635</v>
      </c>
    </row>
    <row r="16277">
      <c r="A16277" s="1" t="s">
        <v>27536</v>
      </c>
      <c r="B16277" s="2" t="s">
        <v>26852</v>
      </c>
      <c r="C16277" s="1" t="s">
        <v>5634</v>
      </c>
      <c r="D16277" s="1" t="s">
        <v>5635</v>
      </c>
    </row>
    <row r="16278">
      <c r="A16278" s="1" t="s">
        <v>27537</v>
      </c>
      <c r="B16278" s="2" t="s">
        <v>26854</v>
      </c>
      <c r="C16278" s="1" t="s">
        <v>5634</v>
      </c>
      <c r="D16278" s="1" t="s">
        <v>5635</v>
      </c>
    </row>
    <row r="16279">
      <c r="A16279" s="1" t="s">
        <v>27538</v>
      </c>
      <c r="B16279" s="2" t="s">
        <v>26856</v>
      </c>
      <c r="C16279" s="1" t="s">
        <v>5634</v>
      </c>
      <c r="D16279" s="1" t="s">
        <v>5635</v>
      </c>
    </row>
    <row r="16280">
      <c r="A16280" s="1" t="s">
        <v>27539</v>
      </c>
      <c r="B16280" s="2" t="s">
        <v>26858</v>
      </c>
      <c r="C16280" s="1" t="s">
        <v>5634</v>
      </c>
      <c r="D16280" s="1" t="s">
        <v>5635</v>
      </c>
    </row>
    <row r="16281">
      <c r="A16281" s="1" t="s">
        <v>27540</v>
      </c>
      <c r="B16281" s="2" t="s">
        <v>26860</v>
      </c>
      <c r="C16281" s="1" t="s">
        <v>5634</v>
      </c>
      <c r="D16281" s="1" t="s">
        <v>5635</v>
      </c>
    </row>
    <row r="16282">
      <c r="A16282" s="1" t="s">
        <v>27541</v>
      </c>
      <c r="B16282" s="2" t="s">
        <v>26862</v>
      </c>
      <c r="C16282" s="1" t="s">
        <v>5634</v>
      </c>
      <c r="D16282" s="1" t="s">
        <v>5635</v>
      </c>
    </row>
    <row r="16283">
      <c r="A16283" s="1" t="s">
        <v>27542</v>
      </c>
      <c r="B16283" s="2" t="s">
        <v>26864</v>
      </c>
      <c r="C16283" s="1" t="s">
        <v>5634</v>
      </c>
      <c r="D16283" s="1" t="s">
        <v>5635</v>
      </c>
    </row>
    <row r="16284">
      <c r="A16284" s="1" t="s">
        <v>27543</v>
      </c>
      <c r="B16284" s="2" t="s">
        <v>26866</v>
      </c>
      <c r="C16284" s="1" t="s">
        <v>5634</v>
      </c>
      <c r="D16284" s="1" t="s">
        <v>5635</v>
      </c>
    </row>
    <row r="16285">
      <c r="A16285" s="1" t="s">
        <v>27544</v>
      </c>
      <c r="B16285" s="2" t="s">
        <v>26868</v>
      </c>
      <c r="C16285" s="1" t="s">
        <v>5634</v>
      </c>
      <c r="D16285" s="1" t="s">
        <v>5635</v>
      </c>
    </row>
    <row r="16286">
      <c r="A16286" s="1" t="s">
        <v>27545</v>
      </c>
      <c r="B16286" s="2" t="s">
        <v>26870</v>
      </c>
      <c r="C16286" s="1" t="s">
        <v>5634</v>
      </c>
      <c r="D16286" s="1" t="s">
        <v>5635</v>
      </c>
    </row>
    <row r="16287">
      <c r="A16287" s="1" t="s">
        <v>27546</v>
      </c>
      <c r="B16287" s="2" t="s">
        <v>26872</v>
      </c>
      <c r="C16287" s="1" t="s">
        <v>5634</v>
      </c>
      <c r="D16287" s="1" t="s">
        <v>5635</v>
      </c>
    </row>
    <row r="16288">
      <c r="A16288" s="1" t="s">
        <v>27547</v>
      </c>
      <c r="B16288" s="2" t="s">
        <v>26874</v>
      </c>
      <c r="C16288" s="1" t="s">
        <v>5634</v>
      </c>
      <c r="D16288" s="1" t="s">
        <v>5635</v>
      </c>
    </row>
    <row r="16289">
      <c r="A16289" s="1" t="s">
        <v>27548</v>
      </c>
      <c r="B16289" s="2" t="s">
        <v>26876</v>
      </c>
      <c r="C16289" s="1" t="s">
        <v>5634</v>
      </c>
      <c r="D16289" s="1" t="s">
        <v>5635</v>
      </c>
    </row>
    <row r="16290">
      <c r="A16290" s="1" t="s">
        <v>27549</v>
      </c>
      <c r="B16290" s="2" t="s">
        <v>26878</v>
      </c>
      <c r="C16290" s="1" t="s">
        <v>5634</v>
      </c>
      <c r="D16290" s="1" t="s">
        <v>5635</v>
      </c>
    </row>
    <row r="16291">
      <c r="A16291" s="1" t="s">
        <v>27550</v>
      </c>
      <c r="B16291" s="2" t="s">
        <v>26880</v>
      </c>
      <c r="C16291" s="1" t="s">
        <v>5634</v>
      </c>
      <c r="D16291" s="1" t="s">
        <v>5635</v>
      </c>
    </row>
    <row r="16292">
      <c r="A16292" s="1" t="s">
        <v>27551</v>
      </c>
      <c r="B16292" s="2" t="s">
        <v>26882</v>
      </c>
      <c r="C16292" s="1" t="s">
        <v>5634</v>
      </c>
      <c r="D16292" s="1" t="s">
        <v>5635</v>
      </c>
    </row>
    <row r="16293">
      <c r="A16293" s="1" t="s">
        <v>27552</v>
      </c>
      <c r="B16293" s="2" t="s">
        <v>26884</v>
      </c>
      <c r="C16293" s="1" t="s">
        <v>5634</v>
      </c>
      <c r="D16293" s="1" t="s">
        <v>5635</v>
      </c>
    </row>
    <row r="16294">
      <c r="A16294" s="1" t="s">
        <v>27553</v>
      </c>
      <c r="B16294" s="2" t="s">
        <v>26886</v>
      </c>
      <c r="C16294" s="1" t="s">
        <v>5634</v>
      </c>
      <c r="D16294" s="1" t="s">
        <v>5635</v>
      </c>
    </row>
    <row r="16295">
      <c r="A16295" s="1" t="s">
        <v>27554</v>
      </c>
      <c r="B16295" s="2" t="s">
        <v>26888</v>
      </c>
      <c r="C16295" s="1" t="s">
        <v>5634</v>
      </c>
      <c r="D16295" s="1" t="s">
        <v>5635</v>
      </c>
    </row>
    <row r="16296">
      <c r="A16296" s="1" t="s">
        <v>27555</v>
      </c>
      <c r="B16296" s="2" t="s">
        <v>26890</v>
      </c>
      <c r="C16296" s="1" t="s">
        <v>5634</v>
      </c>
      <c r="D16296" s="1" t="s">
        <v>5635</v>
      </c>
    </row>
    <row r="16297">
      <c r="A16297" s="1" t="s">
        <v>27556</v>
      </c>
      <c r="B16297" s="2" t="s">
        <v>26892</v>
      </c>
      <c r="C16297" s="1" t="s">
        <v>5634</v>
      </c>
      <c r="D16297" s="1" t="s">
        <v>5635</v>
      </c>
    </row>
    <row r="16298">
      <c r="A16298" s="1" t="s">
        <v>27557</v>
      </c>
      <c r="B16298" s="2" t="s">
        <v>26894</v>
      </c>
      <c r="C16298" s="1" t="s">
        <v>5634</v>
      </c>
      <c r="D16298" s="1" t="s">
        <v>5635</v>
      </c>
    </row>
    <row r="16299">
      <c r="A16299" s="1" t="s">
        <v>27558</v>
      </c>
      <c r="B16299" s="2" t="s">
        <v>26896</v>
      </c>
      <c r="C16299" s="1" t="s">
        <v>5634</v>
      </c>
      <c r="D16299" s="1" t="s">
        <v>5635</v>
      </c>
    </row>
    <row r="16300">
      <c r="A16300" s="1" t="s">
        <v>27559</v>
      </c>
      <c r="B16300" s="2" t="s">
        <v>26898</v>
      </c>
      <c r="C16300" s="1" t="s">
        <v>5634</v>
      </c>
      <c r="D16300" s="1" t="s">
        <v>5635</v>
      </c>
    </row>
    <row r="16301">
      <c r="A16301" s="1" t="s">
        <v>27560</v>
      </c>
      <c r="B16301" s="2" t="s">
        <v>26900</v>
      </c>
      <c r="C16301" s="1" t="s">
        <v>5634</v>
      </c>
      <c r="D16301" s="1" t="s">
        <v>5635</v>
      </c>
    </row>
    <row r="16302">
      <c r="A16302" s="1" t="s">
        <v>27561</v>
      </c>
      <c r="B16302" s="2" t="s">
        <v>26902</v>
      </c>
      <c r="C16302" s="1" t="s">
        <v>5634</v>
      </c>
      <c r="D16302" s="1" t="s">
        <v>5635</v>
      </c>
    </row>
    <row r="16303">
      <c r="A16303" s="1" t="s">
        <v>27562</v>
      </c>
      <c r="B16303" s="2" t="s">
        <v>26904</v>
      </c>
      <c r="C16303" s="1" t="s">
        <v>5634</v>
      </c>
      <c r="D16303" s="1" t="s">
        <v>5635</v>
      </c>
    </row>
    <row r="16304">
      <c r="A16304" s="1" t="s">
        <v>27563</v>
      </c>
      <c r="B16304" s="2" t="s">
        <v>26906</v>
      </c>
      <c r="C16304" s="1" t="s">
        <v>5634</v>
      </c>
      <c r="D16304" s="1" t="s">
        <v>5635</v>
      </c>
    </row>
    <row r="16305">
      <c r="A16305" s="1" t="s">
        <v>27564</v>
      </c>
      <c r="B16305" s="2" t="s">
        <v>26908</v>
      </c>
      <c r="C16305" s="1" t="s">
        <v>5634</v>
      </c>
      <c r="D16305" s="1" t="s">
        <v>5635</v>
      </c>
    </row>
    <row r="16306">
      <c r="A16306" s="1" t="s">
        <v>27565</v>
      </c>
      <c r="B16306" s="2" t="s">
        <v>26910</v>
      </c>
      <c r="C16306" s="1" t="s">
        <v>5634</v>
      </c>
      <c r="D16306" s="1" t="s">
        <v>5635</v>
      </c>
    </row>
    <row r="16307">
      <c r="A16307" s="1" t="s">
        <v>27566</v>
      </c>
      <c r="B16307" s="2" t="s">
        <v>26912</v>
      </c>
      <c r="C16307" s="1" t="s">
        <v>5634</v>
      </c>
      <c r="D16307" s="1" t="s">
        <v>5635</v>
      </c>
    </row>
    <row r="16308">
      <c r="A16308" s="1" t="s">
        <v>27567</v>
      </c>
      <c r="B16308" s="2" t="s">
        <v>26914</v>
      </c>
      <c r="C16308" s="1" t="s">
        <v>5634</v>
      </c>
      <c r="D16308" s="1" t="s">
        <v>5635</v>
      </c>
    </row>
    <row r="16309">
      <c r="A16309" s="1" t="s">
        <v>27568</v>
      </c>
      <c r="B16309" s="2" t="s">
        <v>26916</v>
      </c>
      <c r="C16309" s="1" t="s">
        <v>5634</v>
      </c>
      <c r="D16309" s="1" t="s">
        <v>5635</v>
      </c>
    </row>
    <row r="16310">
      <c r="A16310" s="1" t="s">
        <v>27569</v>
      </c>
      <c r="B16310" s="2" t="s">
        <v>26918</v>
      </c>
      <c r="C16310" s="1" t="s">
        <v>5634</v>
      </c>
      <c r="D16310" s="1" t="s">
        <v>5635</v>
      </c>
    </row>
    <row r="16311">
      <c r="A16311" s="1" t="s">
        <v>27570</v>
      </c>
      <c r="B16311" s="2" t="s">
        <v>26920</v>
      </c>
      <c r="C16311" s="1" t="s">
        <v>5634</v>
      </c>
      <c r="D16311" s="1" t="s">
        <v>5635</v>
      </c>
    </row>
    <row r="16312">
      <c r="A16312" s="1" t="s">
        <v>27571</v>
      </c>
      <c r="B16312" s="2" t="s">
        <v>26922</v>
      </c>
      <c r="C16312" s="1" t="s">
        <v>5634</v>
      </c>
      <c r="D16312" s="1" t="s">
        <v>5635</v>
      </c>
    </row>
    <row r="16313">
      <c r="A16313" s="1" t="s">
        <v>27572</v>
      </c>
      <c r="B16313" s="2" t="s">
        <v>26924</v>
      </c>
      <c r="C16313" s="1" t="s">
        <v>5634</v>
      </c>
      <c r="D16313" s="1" t="s">
        <v>5635</v>
      </c>
    </row>
    <row r="16314">
      <c r="A16314" s="1" t="s">
        <v>27573</v>
      </c>
      <c r="B16314" s="2" t="s">
        <v>26926</v>
      </c>
      <c r="C16314" s="1" t="s">
        <v>5634</v>
      </c>
      <c r="D16314" s="1" t="s">
        <v>5635</v>
      </c>
    </row>
    <row r="16315">
      <c r="A16315" s="1" t="s">
        <v>27574</v>
      </c>
      <c r="B16315" s="2" t="s">
        <v>26928</v>
      </c>
      <c r="C16315" s="1" t="s">
        <v>5634</v>
      </c>
      <c r="D16315" s="1" t="s">
        <v>5635</v>
      </c>
    </row>
    <row r="16316">
      <c r="A16316" s="1" t="s">
        <v>27575</v>
      </c>
      <c r="B16316" s="2" t="s">
        <v>26930</v>
      </c>
      <c r="C16316" s="1" t="s">
        <v>5634</v>
      </c>
      <c r="D16316" s="1" t="s">
        <v>5635</v>
      </c>
    </row>
    <row r="16317">
      <c r="A16317" s="1" t="s">
        <v>27576</v>
      </c>
      <c r="B16317" s="2" t="s">
        <v>26932</v>
      </c>
      <c r="C16317" s="1" t="s">
        <v>5634</v>
      </c>
      <c r="D16317" s="1" t="s">
        <v>5635</v>
      </c>
    </row>
    <row r="16318">
      <c r="A16318" s="1" t="s">
        <v>27577</v>
      </c>
      <c r="B16318" s="2" t="s">
        <v>26934</v>
      </c>
      <c r="C16318" s="1" t="s">
        <v>5634</v>
      </c>
      <c r="D16318" s="1" t="s">
        <v>5635</v>
      </c>
    </row>
    <row r="16319">
      <c r="A16319" s="1" t="s">
        <v>27578</v>
      </c>
      <c r="B16319" s="2" t="s">
        <v>26936</v>
      </c>
      <c r="C16319" s="1" t="s">
        <v>5634</v>
      </c>
      <c r="D16319" s="1" t="s">
        <v>5635</v>
      </c>
    </row>
    <row r="16320">
      <c r="A16320" s="1" t="s">
        <v>27579</v>
      </c>
      <c r="B16320" s="2" t="s">
        <v>26938</v>
      </c>
      <c r="C16320" s="1" t="s">
        <v>5634</v>
      </c>
      <c r="D16320" s="1" t="s">
        <v>5635</v>
      </c>
    </row>
    <row r="16321">
      <c r="A16321" s="1" t="s">
        <v>27580</v>
      </c>
      <c r="B16321" s="2" t="s">
        <v>26940</v>
      </c>
      <c r="C16321" s="1" t="s">
        <v>5634</v>
      </c>
      <c r="D16321" s="1" t="s">
        <v>5635</v>
      </c>
    </row>
    <row r="16322">
      <c r="A16322" s="1" t="s">
        <v>27581</v>
      </c>
      <c r="B16322" s="2" t="s">
        <v>26942</v>
      </c>
      <c r="C16322" s="1" t="s">
        <v>5634</v>
      </c>
      <c r="D16322" s="1" t="s">
        <v>5635</v>
      </c>
    </row>
    <row r="16323">
      <c r="A16323" s="1" t="s">
        <v>27582</v>
      </c>
      <c r="B16323" s="2" t="s">
        <v>26944</v>
      </c>
      <c r="C16323" s="1" t="s">
        <v>5634</v>
      </c>
      <c r="D16323" s="1" t="s">
        <v>5635</v>
      </c>
    </row>
    <row r="16324">
      <c r="A16324" s="1" t="s">
        <v>27583</v>
      </c>
      <c r="B16324" s="2" t="s">
        <v>26946</v>
      </c>
      <c r="C16324" s="1" t="s">
        <v>5634</v>
      </c>
      <c r="D16324" s="1" t="s">
        <v>5635</v>
      </c>
    </row>
    <row r="16325">
      <c r="A16325" s="1" t="s">
        <v>27584</v>
      </c>
      <c r="B16325" s="2" t="s">
        <v>26948</v>
      </c>
      <c r="C16325" s="1" t="s">
        <v>5634</v>
      </c>
      <c r="D16325" s="1" t="s">
        <v>5635</v>
      </c>
    </row>
    <row r="16326">
      <c r="A16326" s="1" t="s">
        <v>27585</v>
      </c>
      <c r="B16326" s="2" t="s">
        <v>26950</v>
      </c>
      <c r="C16326" s="1" t="s">
        <v>5634</v>
      </c>
      <c r="D16326" s="1" t="s">
        <v>5635</v>
      </c>
    </row>
    <row r="16327">
      <c r="A16327" s="1" t="s">
        <v>27586</v>
      </c>
      <c r="B16327" s="2" t="s">
        <v>26952</v>
      </c>
      <c r="C16327" s="1" t="s">
        <v>5634</v>
      </c>
      <c r="D16327" s="1" t="s">
        <v>5635</v>
      </c>
    </row>
    <row r="16328">
      <c r="A16328" s="1" t="s">
        <v>27587</v>
      </c>
      <c r="B16328" s="2" t="s">
        <v>26954</v>
      </c>
      <c r="C16328" s="1" t="s">
        <v>5634</v>
      </c>
      <c r="D16328" s="1" t="s">
        <v>5635</v>
      </c>
    </row>
    <row r="16329">
      <c r="A16329" s="1" t="s">
        <v>27588</v>
      </c>
      <c r="B16329" s="2" t="s">
        <v>26956</v>
      </c>
      <c r="C16329" s="1" t="s">
        <v>5634</v>
      </c>
      <c r="D16329" s="1" t="s">
        <v>5635</v>
      </c>
    </row>
    <row r="16330">
      <c r="A16330" s="1" t="s">
        <v>27589</v>
      </c>
      <c r="B16330" s="2" t="s">
        <v>26958</v>
      </c>
      <c r="C16330" s="1" t="s">
        <v>5634</v>
      </c>
      <c r="D16330" s="1" t="s">
        <v>5635</v>
      </c>
    </row>
    <row r="16331">
      <c r="A16331" s="1" t="s">
        <v>27590</v>
      </c>
      <c r="B16331" s="2" t="s">
        <v>26960</v>
      </c>
      <c r="C16331" s="1" t="s">
        <v>5634</v>
      </c>
      <c r="D16331" s="1" t="s">
        <v>5635</v>
      </c>
    </row>
    <row r="16332">
      <c r="A16332" s="1" t="s">
        <v>27591</v>
      </c>
      <c r="B16332" s="2" t="s">
        <v>26962</v>
      </c>
      <c r="C16332" s="1" t="s">
        <v>5634</v>
      </c>
      <c r="D16332" s="1" t="s">
        <v>5635</v>
      </c>
    </row>
    <row r="16333">
      <c r="A16333" s="1" t="s">
        <v>27592</v>
      </c>
      <c r="B16333" s="2" t="s">
        <v>26964</v>
      </c>
      <c r="C16333" s="1" t="s">
        <v>5634</v>
      </c>
      <c r="D16333" s="1" t="s">
        <v>5635</v>
      </c>
    </row>
    <row r="16334">
      <c r="A16334" s="1" t="s">
        <v>27593</v>
      </c>
      <c r="B16334" s="2" t="s">
        <v>26966</v>
      </c>
      <c r="C16334" s="1" t="s">
        <v>5634</v>
      </c>
      <c r="D16334" s="1" t="s">
        <v>5635</v>
      </c>
    </row>
    <row r="16335">
      <c r="A16335" s="1" t="s">
        <v>27594</v>
      </c>
      <c r="B16335" s="2" t="s">
        <v>26968</v>
      </c>
      <c r="C16335" s="1" t="s">
        <v>5634</v>
      </c>
      <c r="D16335" s="1" t="s">
        <v>5635</v>
      </c>
    </row>
    <row r="16336">
      <c r="A16336" s="1" t="s">
        <v>27595</v>
      </c>
      <c r="B16336" s="2" t="s">
        <v>26970</v>
      </c>
      <c r="C16336" s="1" t="s">
        <v>5634</v>
      </c>
      <c r="D16336" s="1" t="s">
        <v>5635</v>
      </c>
    </row>
    <row r="16337">
      <c r="A16337" s="1" t="s">
        <v>27596</v>
      </c>
      <c r="B16337" s="2" t="s">
        <v>26972</v>
      </c>
      <c r="C16337" s="1" t="s">
        <v>5634</v>
      </c>
      <c r="D16337" s="1" t="s">
        <v>5635</v>
      </c>
    </row>
    <row r="16338">
      <c r="A16338" s="1" t="s">
        <v>27597</v>
      </c>
      <c r="B16338" s="2" t="s">
        <v>26974</v>
      </c>
      <c r="C16338" s="1" t="s">
        <v>5634</v>
      </c>
      <c r="D16338" s="1" t="s">
        <v>5635</v>
      </c>
    </row>
    <row r="16339">
      <c r="A16339" s="1" t="s">
        <v>27598</v>
      </c>
      <c r="B16339" s="2" t="s">
        <v>26976</v>
      </c>
      <c r="C16339" s="1" t="s">
        <v>5634</v>
      </c>
      <c r="D16339" s="1" t="s">
        <v>5635</v>
      </c>
    </row>
    <row r="16340">
      <c r="A16340" s="1" t="s">
        <v>27599</v>
      </c>
      <c r="B16340" s="2" t="s">
        <v>26978</v>
      </c>
      <c r="C16340" s="1" t="s">
        <v>5634</v>
      </c>
      <c r="D16340" s="1" t="s">
        <v>5635</v>
      </c>
    </row>
    <row r="16341">
      <c r="A16341" s="1" t="s">
        <v>27600</v>
      </c>
      <c r="B16341" s="2" t="s">
        <v>26980</v>
      </c>
      <c r="C16341" s="1" t="s">
        <v>5634</v>
      </c>
      <c r="D16341" s="1" t="s">
        <v>5635</v>
      </c>
    </row>
    <row r="16342">
      <c r="A16342" s="1" t="s">
        <v>27601</v>
      </c>
      <c r="B16342" s="2" t="s">
        <v>26982</v>
      </c>
      <c r="C16342" s="1" t="s">
        <v>5634</v>
      </c>
      <c r="D16342" s="1" t="s">
        <v>5635</v>
      </c>
    </row>
    <row r="16343">
      <c r="A16343" s="1" t="s">
        <v>27602</v>
      </c>
      <c r="B16343" s="2" t="s">
        <v>26984</v>
      </c>
      <c r="C16343" s="1" t="s">
        <v>5634</v>
      </c>
      <c r="D16343" s="1" t="s">
        <v>5635</v>
      </c>
    </row>
    <row r="16344">
      <c r="A16344" s="1" t="s">
        <v>27603</v>
      </c>
      <c r="B16344" s="2" t="s">
        <v>26986</v>
      </c>
      <c r="C16344" s="1" t="s">
        <v>5634</v>
      </c>
      <c r="D16344" s="1" t="s">
        <v>5635</v>
      </c>
    </row>
    <row r="16345">
      <c r="A16345" s="1" t="s">
        <v>27604</v>
      </c>
      <c r="B16345" s="2" t="s">
        <v>26988</v>
      </c>
      <c r="C16345" s="1" t="s">
        <v>5634</v>
      </c>
      <c r="D16345" s="1" t="s">
        <v>5635</v>
      </c>
    </row>
    <row r="16346">
      <c r="A16346" s="1" t="s">
        <v>27605</v>
      </c>
      <c r="B16346" s="2" t="s">
        <v>26990</v>
      </c>
      <c r="C16346" s="1" t="s">
        <v>5634</v>
      </c>
      <c r="D16346" s="1" t="s">
        <v>5635</v>
      </c>
    </row>
    <row r="16347">
      <c r="A16347" s="1" t="s">
        <v>27606</v>
      </c>
      <c r="B16347" s="2" t="s">
        <v>26992</v>
      </c>
      <c r="C16347" s="1" t="s">
        <v>5634</v>
      </c>
      <c r="D16347" s="1" t="s">
        <v>5635</v>
      </c>
    </row>
    <row r="16348">
      <c r="A16348" s="1" t="s">
        <v>27607</v>
      </c>
      <c r="B16348" s="2" t="s">
        <v>26994</v>
      </c>
      <c r="C16348" s="1" t="s">
        <v>5634</v>
      </c>
      <c r="D16348" s="1" t="s">
        <v>5635</v>
      </c>
    </row>
    <row r="16349">
      <c r="A16349" s="1" t="s">
        <v>27608</v>
      </c>
      <c r="B16349" s="2" t="s">
        <v>26996</v>
      </c>
      <c r="C16349" s="1" t="s">
        <v>5634</v>
      </c>
      <c r="D16349" s="1" t="s">
        <v>5635</v>
      </c>
    </row>
    <row r="16350">
      <c r="A16350" s="1" t="s">
        <v>27609</v>
      </c>
      <c r="B16350" s="2" t="s">
        <v>26998</v>
      </c>
      <c r="C16350" s="1" t="s">
        <v>5634</v>
      </c>
      <c r="D16350" s="1" t="s">
        <v>5635</v>
      </c>
    </row>
    <row r="16351">
      <c r="A16351" s="1" t="s">
        <v>27610</v>
      </c>
      <c r="B16351" s="2" t="s">
        <v>27000</v>
      </c>
      <c r="C16351" s="1" t="s">
        <v>5634</v>
      </c>
      <c r="D16351" s="1" t="s">
        <v>5635</v>
      </c>
    </row>
    <row r="16352">
      <c r="A16352" s="1" t="s">
        <v>27611</v>
      </c>
      <c r="B16352" s="2" t="s">
        <v>27002</v>
      </c>
      <c r="C16352" s="1" t="s">
        <v>5634</v>
      </c>
      <c r="D16352" s="1" t="s">
        <v>5635</v>
      </c>
    </row>
    <row r="16353">
      <c r="A16353" s="1" t="s">
        <v>27612</v>
      </c>
      <c r="B16353" s="2" t="s">
        <v>27004</v>
      </c>
      <c r="C16353" s="1" t="s">
        <v>5634</v>
      </c>
      <c r="D16353" s="1" t="s">
        <v>5635</v>
      </c>
    </row>
    <row r="16354">
      <c r="A16354" s="1" t="s">
        <v>27613</v>
      </c>
      <c r="B16354" s="2" t="s">
        <v>27006</v>
      </c>
      <c r="C16354" s="1" t="s">
        <v>5634</v>
      </c>
      <c r="D16354" s="1" t="s">
        <v>5635</v>
      </c>
    </row>
    <row r="16355">
      <c r="A16355" s="1" t="s">
        <v>27614</v>
      </c>
      <c r="B16355" s="2" t="s">
        <v>27008</v>
      </c>
      <c r="C16355" s="1" t="s">
        <v>5634</v>
      </c>
      <c r="D16355" s="1" t="s">
        <v>5635</v>
      </c>
    </row>
    <row r="16356">
      <c r="A16356" s="1" t="s">
        <v>27615</v>
      </c>
      <c r="B16356" s="2" t="s">
        <v>27010</v>
      </c>
      <c r="C16356" s="1" t="s">
        <v>5634</v>
      </c>
      <c r="D16356" s="1" t="s">
        <v>5635</v>
      </c>
    </row>
    <row r="16357">
      <c r="A16357" s="1" t="s">
        <v>27616</v>
      </c>
      <c r="B16357" s="2" t="s">
        <v>27012</v>
      </c>
      <c r="C16357" s="1" t="s">
        <v>5634</v>
      </c>
      <c r="D16357" s="1" t="s">
        <v>5635</v>
      </c>
    </row>
    <row r="16358">
      <c r="A16358" s="1" t="s">
        <v>27617</v>
      </c>
      <c r="B16358" s="2" t="s">
        <v>27014</v>
      </c>
      <c r="C16358" s="1" t="s">
        <v>5634</v>
      </c>
      <c r="D16358" s="1" t="s">
        <v>5635</v>
      </c>
    </row>
    <row r="16359">
      <c r="A16359" s="1" t="s">
        <v>27618</v>
      </c>
      <c r="B16359" s="2" t="s">
        <v>27016</v>
      </c>
      <c r="C16359" s="1" t="s">
        <v>5634</v>
      </c>
      <c r="D16359" s="1" t="s">
        <v>5635</v>
      </c>
    </row>
    <row r="16360">
      <c r="A16360" s="1" t="s">
        <v>27619</v>
      </c>
      <c r="B16360" s="2" t="s">
        <v>27018</v>
      </c>
      <c r="C16360" s="1" t="s">
        <v>5634</v>
      </c>
      <c r="D16360" s="1" t="s">
        <v>5635</v>
      </c>
    </row>
    <row r="16361">
      <c r="A16361" s="1" t="s">
        <v>27620</v>
      </c>
      <c r="B16361" s="2" t="s">
        <v>27020</v>
      </c>
      <c r="C16361" s="1" t="s">
        <v>5634</v>
      </c>
      <c r="D16361" s="1" t="s">
        <v>5635</v>
      </c>
    </row>
    <row r="16362">
      <c r="A16362" s="1" t="s">
        <v>27621</v>
      </c>
      <c r="B16362" s="2" t="s">
        <v>27022</v>
      </c>
      <c r="C16362" s="1" t="s">
        <v>5634</v>
      </c>
      <c r="D16362" s="1" t="s">
        <v>5635</v>
      </c>
    </row>
    <row r="16363">
      <c r="A16363" s="1" t="s">
        <v>27622</v>
      </c>
      <c r="B16363" s="2" t="s">
        <v>27024</v>
      </c>
      <c r="C16363" s="1" t="s">
        <v>5634</v>
      </c>
      <c r="D16363" s="1" t="s">
        <v>5635</v>
      </c>
    </row>
    <row r="16364">
      <c r="A16364" s="1" t="s">
        <v>27623</v>
      </c>
      <c r="B16364" s="2" t="s">
        <v>27026</v>
      </c>
      <c r="C16364" s="1" t="s">
        <v>5634</v>
      </c>
      <c r="D16364" s="1" t="s">
        <v>5635</v>
      </c>
    </row>
    <row r="16365">
      <c r="A16365" s="1" t="s">
        <v>27624</v>
      </c>
      <c r="B16365" s="2" t="s">
        <v>27028</v>
      </c>
      <c r="C16365" s="1" t="s">
        <v>5634</v>
      </c>
      <c r="D16365" s="1" t="s">
        <v>5635</v>
      </c>
    </row>
    <row r="16366">
      <c r="A16366" s="1" t="s">
        <v>27625</v>
      </c>
      <c r="B16366" s="2" t="s">
        <v>27030</v>
      </c>
      <c r="C16366" s="1" t="s">
        <v>5634</v>
      </c>
      <c r="D16366" s="1" t="s">
        <v>5635</v>
      </c>
    </row>
    <row r="16367">
      <c r="A16367" s="1" t="s">
        <v>27626</v>
      </c>
      <c r="B16367" s="2" t="s">
        <v>27032</v>
      </c>
      <c r="C16367" s="1" t="s">
        <v>5634</v>
      </c>
      <c r="D16367" s="1" t="s">
        <v>5635</v>
      </c>
    </row>
    <row r="16368">
      <c r="A16368" s="1" t="s">
        <v>27627</v>
      </c>
      <c r="B16368" s="2" t="s">
        <v>27034</v>
      </c>
      <c r="C16368" s="1" t="s">
        <v>5634</v>
      </c>
      <c r="D16368" s="1" t="s">
        <v>5635</v>
      </c>
    </row>
    <row r="16369">
      <c r="A16369" s="1" t="s">
        <v>27628</v>
      </c>
      <c r="B16369" s="2" t="s">
        <v>27036</v>
      </c>
      <c r="C16369" s="1" t="s">
        <v>5634</v>
      </c>
      <c r="D16369" s="1" t="s">
        <v>5635</v>
      </c>
    </row>
    <row r="16370">
      <c r="A16370" s="1" t="s">
        <v>27629</v>
      </c>
      <c r="B16370" s="2" t="s">
        <v>27038</v>
      </c>
      <c r="C16370" s="1" t="s">
        <v>5634</v>
      </c>
      <c r="D16370" s="1" t="s">
        <v>5635</v>
      </c>
    </row>
    <row r="16371">
      <c r="A16371" s="1" t="s">
        <v>27630</v>
      </c>
      <c r="B16371" s="2" t="s">
        <v>27040</v>
      </c>
      <c r="C16371" s="1" t="s">
        <v>5634</v>
      </c>
      <c r="D16371" s="1" t="s">
        <v>5635</v>
      </c>
    </row>
    <row r="16372">
      <c r="A16372" s="1" t="s">
        <v>27631</v>
      </c>
      <c r="B16372" s="2" t="s">
        <v>27042</v>
      </c>
      <c r="C16372" s="1" t="s">
        <v>5634</v>
      </c>
      <c r="D16372" s="1" t="s">
        <v>5635</v>
      </c>
    </row>
    <row r="16373">
      <c r="A16373" s="1" t="s">
        <v>27632</v>
      </c>
      <c r="B16373" s="2" t="s">
        <v>27044</v>
      </c>
      <c r="C16373" s="1" t="s">
        <v>5634</v>
      </c>
      <c r="D16373" s="1" t="s">
        <v>5635</v>
      </c>
    </row>
    <row r="16374">
      <c r="A16374" s="1" t="s">
        <v>27633</v>
      </c>
      <c r="B16374" s="2" t="s">
        <v>27046</v>
      </c>
      <c r="C16374" s="1" t="s">
        <v>5634</v>
      </c>
      <c r="D16374" s="1" t="s">
        <v>5635</v>
      </c>
    </row>
    <row r="16375">
      <c r="A16375" s="1" t="s">
        <v>27634</v>
      </c>
      <c r="B16375" s="2" t="s">
        <v>27048</v>
      </c>
      <c r="C16375" s="1" t="s">
        <v>5634</v>
      </c>
      <c r="D16375" s="1" t="s">
        <v>5635</v>
      </c>
    </row>
    <row r="16376">
      <c r="A16376" s="1" t="s">
        <v>27635</v>
      </c>
      <c r="B16376" s="2" t="s">
        <v>27050</v>
      </c>
      <c r="C16376" s="1" t="s">
        <v>5634</v>
      </c>
      <c r="D16376" s="1" t="s">
        <v>5635</v>
      </c>
    </row>
    <row r="16377">
      <c r="A16377" s="1" t="s">
        <v>27636</v>
      </c>
      <c r="B16377" s="2" t="s">
        <v>27052</v>
      </c>
      <c r="C16377" s="1" t="s">
        <v>5634</v>
      </c>
      <c r="D16377" s="1" t="s">
        <v>5635</v>
      </c>
    </row>
    <row r="16378">
      <c r="A16378" s="1" t="s">
        <v>27637</v>
      </c>
      <c r="B16378" s="2" t="s">
        <v>27054</v>
      </c>
      <c r="C16378" s="1" t="s">
        <v>5634</v>
      </c>
      <c r="D16378" s="1" t="s">
        <v>5635</v>
      </c>
    </row>
    <row r="16379">
      <c r="A16379" s="1" t="s">
        <v>27638</v>
      </c>
      <c r="B16379" s="2" t="s">
        <v>27056</v>
      </c>
      <c r="C16379" s="1" t="s">
        <v>5634</v>
      </c>
      <c r="D16379" s="1" t="s">
        <v>5635</v>
      </c>
    </row>
    <row r="16380">
      <c r="A16380" s="1" t="s">
        <v>27639</v>
      </c>
      <c r="B16380" s="2" t="s">
        <v>27058</v>
      </c>
      <c r="C16380" s="1" t="s">
        <v>5634</v>
      </c>
      <c r="D16380" s="1" t="s">
        <v>5635</v>
      </c>
    </row>
    <row r="16381">
      <c r="A16381" s="1" t="s">
        <v>27640</v>
      </c>
      <c r="B16381" s="2" t="s">
        <v>27060</v>
      </c>
      <c r="C16381" s="1" t="s">
        <v>5634</v>
      </c>
      <c r="D16381" s="1" t="s">
        <v>5635</v>
      </c>
    </row>
    <row r="16382">
      <c r="A16382" s="1" t="s">
        <v>27641</v>
      </c>
      <c r="B16382" s="2" t="s">
        <v>27062</v>
      </c>
      <c r="C16382" s="1" t="s">
        <v>5634</v>
      </c>
      <c r="D16382" s="1" t="s">
        <v>5635</v>
      </c>
    </row>
    <row r="16383">
      <c r="A16383" s="1" t="s">
        <v>27642</v>
      </c>
      <c r="B16383" s="2" t="s">
        <v>27064</v>
      </c>
      <c r="C16383" s="1" t="s">
        <v>5634</v>
      </c>
      <c r="D16383" s="1" t="s">
        <v>5635</v>
      </c>
    </row>
    <row r="16384">
      <c r="A16384" s="1" t="s">
        <v>27643</v>
      </c>
      <c r="B16384" s="2" t="s">
        <v>27066</v>
      </c>
      <c r="C16384" s="1" t="s">
        <v>5634</v>
      </c>
      <c r="D16384" s="1" t="s">
        <v>5635</v>
      </c>
    </row>
    <row r="16385">
      <c r="A16385" s="1" t="s">
        <v>27644</v>
      </c>
      <c r="B16385" s="2" t="s">
        <v>27068</v>
      </c>
      <c r="C16385" s="1" t="s">
        <v>5634</v>
      </c>
      <c r="D16385" s="1" t="s">
        <v>5635</v>
      </c>
    </row>
    <row r="16386">
      <c r="A16386" s="1" t="s">
        <v>27645</v>
      </c>
      <c r="B16386" s="2" t="s">
        <v>27070</v>
      </c>
      <c r="C16386" s="1" t="s">
        <v>5634</v>
      </c>
      <c r="D16386" s="1" t="s">
        <v>5635</v>
      </c>
    </row>
    <row r="16387">
      <c r="A16387" s="1" t="s">
        <v>27646</v>
      </c>
      <c r="B16387" s="2" t="s">
        <v>27072</v>
      </c>
      <c r="C16387" s="1" t="s">
        <v>5634</v>
      </c>
      <c r="D16387" s="1" t="s">
        <v>5635</v>
      </c>
    </row>
    <row r="16388">
      <c r="A16388" s="1" t="s">
        <v>27647</v>
      </c>
      <c r="B16388" s="2" t="s">
        <v>27074</v>
      </c>
      <c r="C16388" s="1" t="s">
        <v>5634</v>
      </c>
      <c r="D16388" s="1" t="s">
        <v>5635</v>
      </c>
    </row>
    <row r="16389">
      <c r="A16389" s="1" t="s">
        <v>27648</v>
      </c>
      <c r="B16389" s="2" t="s">
        <v>27076</v>
      </c>
      <c r="C16389" s="1" t="s">
        <v>5634</v>
      </c>
      <c r="D16389" s="1" t="s">
        <v>5635</v>
      </c>
    </row>
    <row r="16390">
      <c r="A16390" s="1" t="s">
        <v>27649</v>
      </c>
      <c r="B16390" s="2" t="s">
        <v>27078</v>
      </c>
      <c r="C16390" s="1" t="s">
        <v>5634</v>
      </c>
      <c r="D16390" s="1" t="s">
        <v>5635</v>
      </c>
    </row>
    <row r="16391">
      <c r="A16391" s="1" t="s">
        <v>27650</v>
      </c>
      <c r="B16391" s="2" t="s">
        <v>27080</v>
      </c>
      <c r="C16391" s="1" t="s">
        <v>5634</v>
      </c>
      <c r="D16391" s="1" t="s">
        <v>5635</v>
      </c>
    </row>
    <row r="16392">
      <c r="A16392" s="1" t="s">
        <v>27651</v>
      </c>
      <c r="B16392" s="2" t="s">
        <v>27082</v>
      </c>
      <c r="C16392" s="1" t="s">
        <v>5634</v>
      </c>
      <c r="D16392" s="1" t="s">
        <v>5635</v>
      </c>
    </row>
    <row r="16393">
      <c r="A16393" s="1" t="s">
        <v>27652</v>
      </c>
      <c r="B16393" s="2" t="s">
        <v>27084</v>
      </c>
      <c r="C16393" s="1" t="s">
        <v>5634</v>
      </c>
      <c r="D16393" s="1" t="s">
        <v>5635</v>
      </c>
    </row>
    <row r="16394">
      <c r="A16394" s="1" t="s">
        <v>27653</v>
      </c>
      <c r="B16394" s="2" t="s">
        <v>27086</v>
      </c>
      <c r="C16394" s="1" t="s">
        <v>5634</v>
      </c>
      <c r="D16394" s="1" t="s">
        <v>5635</v>
      </c>
    </row>
    <row r="16395">
      <c r="A16395" s="1" t="s">
        <v>27654</v>
      </c>
      <c r="B16395" s="2" t="s">
        <v>27088</v>
      </c>
      <c r="C16395" s="1" t="s">
        <v>5634</v>
      </c>
      <c r="D16395" s="1" t="s">
        <v>5635</v>
      </c>
    </row>
    <row r="16396">
      <c r="A16396" s="1" t="s">
        <v>27655</v>
      </c>
      <c r="B16396" s="2" t="s">
        <v>27090</v>
      </c>
      <c r="C16396" s="1" t="s">
        <v>5634</v>
      </c>
      <c r="D16396" s="1" t="s">
        <v>5635</v>
      </c>
    </row>
    <row r="16397">
      <c r="A16397" s="1" t="s">
        <v>5638</v>
      </c>
      <c r="B16397" s="2" t="s">
        <v>7</v>
      </c>
      <c r="C16397" s="1" t="s">
        <v>5640</v>
      </c>
      <c r="D16397" s="1" t="s">
        <v>5641</v>
      </c>
    </row>
    <row r="16398">
      <c r="A16398" s="1" t="s">
        <v>27656</v>
      </c>
      <c r="B16398" s="2" t="s">
        <v>25962</v>
      </c>
      <c r="C16398" s="1" t="s">
        <v>5640</v>
      </c>
      <c r="D16398" s="1" t="s">
        <v>5641</v>
      </c>
    </row>
    <row r="16399">
      <c r="A16399" s="1" t="s">
        <v>27657</v>
      </c>
      <c r="B16399" s="2" t="s">
        <v>25964</v>
      </c>
      <c r="C16399" s="1" t="s">
        <v>5640</v>
      </c>
      <c r="D16399" s="1" t="s">
        <v>5641</v>
      </c>
    </row>
    <row r="16400">
      <c r="A16400" s="1" t="s">
        <v>27658</v>
      </c>
      <c r="B16400" s="2" t="s">
        <v>25966</v>
      </c>
      <c r="C16400" s="1" t="s">
        <v>5640</v>
      </c>
      <c r="D16400" s="1" t="s">
        <v>5641</v>
      </c>
    </row>
    <row r="16401">
      <c r="A16401" s="1" t="s">
        <v>27659</v>
      </c>
      <c r="B16401" s="2" t="s">
        <v>25968</v>
      </c>
      <c r="C16401" s="1" t="s">
        <v>5640</v>
      </c>
      <c r="D16401" s="1" t="s">
        <v>5641</v>
      </c>
    </row>
    <row r="16402">
      <c r="A16402" s="1" t="s">
        <v>27660</v>
      </c>
      <c r="B16402" s="2" t="s">
        <v>25970</v>
      </c>
      <c r="C16402" s="1" t="s">
        <v>5640</v>
      </c>
      <c r="D16402" s="1" t="s">
        <v>5641</v>
      </c>
    </row>
    <row r="16403">
      <c r="A16403" s="1" t="s">
        <v>27661</v>
      </c>
      <c r="B16403" s="2" t="s">
        <v>25972</v>
      </c>
      <c r="C16403" s="1" t="s">
        <v>5640</v>
      </c>
      <c r="D16403" s="1" t="s">
        <v>5641</v>
      </c>
    </row>
    <row r="16404">
      <c r="A16404" s="1" t="s">
        <v>27662</v>
      </c>
      <c r="B16404" s="2" t="s">
        <v>25974</v>
      </c>
      <c r="C16404" s="1" t="s">
        <v>5640</v>
      </c>
      <c r="D16404" s="1" t="s">
        <v>5641</v>
      </c>
    </row>
    <row r="16405">
      <c r="A16405" s="1" t="s">
        <v>27663</v>
      </c>
      <c r="B16405" s="2" t="s">
        <v>25976</v>
      </c>
      <c r="C16405" s="1" t="s">
        <v>5640</v>
      </c>
      <c r="D16405" s="1" t="s">
        <v>5641</v>
      </c>
    </row>
    <row r="16406">
      <c r="A16406" s="1" t="s">
        <v>27664</v>
      </c>
      <c r="B16406" s="2" t="s">
        <v>25978</v>
      </c>
      <c r="C16406" s="1" t="s">
        <v>5640</v>
      </c>
      <c r="D16406" s="1" t="s">
        <v>5641</v>
      </c>
    </row>
    <row r="16407">
      <c r="A16407" s="1" t="s">
        <v>27665</v>
      </c>
      <c r="B16407" s="2" t="s">
        <v>25980</v>
      </c>
      <c r="C16407" s="1" t="s">
        <v>5640</v>
      </c>
      <c r="D16407" s="1" t="s">
        <v>5641</v>
      </c>
    </row>
    <row r="16408">
      <c r="A16408" s="1" t="s">
        <v>27666</v>
      </c>
      <c r="B16408" s="2" t="s">
        <v>25982</v>
      </c>
      <c r="C16408" s="1" t="s">
        <v>5640</v>
      </c>
      <c r="D16408" s="1" t="s">
        <v>5641</v>
      </c>
    </row>
    <row r="16409">
      <c r="A16409" s="1" t="s">
        <v>27667</v>
      </c>
      <c r="B16409" s="2" t="s">
        <v>25984</v>
      </c>
      <c r="C16409" s="1" t="s">
        <v>5640</v>
      </c>
      <c r="D16409" s="1" t="s">
        <v>5641</v>
      </c>
    </row>
    <row r="16410">
      <c r="A16410" s="1" t="s">
        <v>27668</v>
      </c>
      <c r="B16410" s="2" t="s">
        <v>25986</v>
      </c>
      <c r="C16410" s="1" t="s">
        <v>5640</v>
      </c>
      <c r="D16410" s="1" t="s">
        <v>5641</v>
      </c>
    </row>
    <row r="16411">
      <c r="A16411" s="1" t="s">
        <v>27669</v>
      </c>
      <c r="B16411" s="2" t="s">
        <v>25988</v>
      </c>
      <c r="C16411" s="1" t="s">
        <v>5640</v>
      </c>
      <c r="D16411" s="1" t="s">
        <v>5641</v>
      </c>
    </row>
    <row r="16412">
      <c r="A16412" s="1" t="s">
        <v>27670</v>
      </c>
      <c r="B16412" s="2" t="s">
        <v>25990</v>
      </c>
      <c r="C16412" s="1" t="s">
        <v>5640</v>
      </c>
      <c r="D16412" s="1" t="s">
        <v>5641</v>
      </c>
    </row>
    <row r="16413">
      <c r="A16413" s="1" t="s">
        <v>27671</v>
      </c>
      <c r="B16413" s="2" t="s">
        <v>25992</v>
      </c>
      <c r="C16413" s="1" t="s">
        <v>5640</v>
      </c>
      <c r="D16413" s="1" t="s">
        <v>5641</v>
      </c>
    </row>
    <row r="16414">
      <c r="A16414" s="1" t="s">
        <v>27672</v>
      </c>
      <c r="B16414" s="2" t="s">
        <v>25994</v>
      </c>
      <c r="C16414" s="1" t="s">
        <v>5640</v>
      </c>
      <c r="D16414" s="1" t="s">
        <v>5641</v>
      </c>
    </row>
    <row r="16415">
      <c r="A16415" s="1" t="s">
        <v>27673</v>
      </c>
      <c r="B16415" s="2" t="s">
        <v>25996</v>
      </c>
      <c r="C16415" s="1" t="s">
        <v>5640</v>
      </c>
      <c r="D16415" s="1" t="s">
        <v>5641</v>
      </c>
    </row>
    <row r="16416">
      <c r="A16416" s="1" t="s">
        <v>27674</v>
      </c>
      <c r="B16416" s="2" t="s">
        <v>25998</v>
      </c>
      <c r="C16416" s="1" t="s">
        <v>5640</v>
      </c>
      <c r="D16416" s="1" t="s">
        <v>5641</v>
      </c>
    </row>
    <row r="16417">
      <c r="A16417" s="1" t="s">
        <v>27675</v>
      </c>
      <c r="B16417" s="2" t="s">
        <v>26000</v>
      </c>
      <c r="C16417" s="1" t="s">
        <v>5640</v>
      </c>
      <c r="D16417" s="1" t="s">
        <v>5641</v>
      </c>
    </row>
    <row r="16418">
      <c r="A16418" s="1" t="s">
        <v>27676</v>
      </c>
      <c r="B16418" s="2" t="s">
        <v>26002</v>
      </c>
      <c r="C16418" s="1" t="s">
        <v>5640</v>
      </c>
      <c r="D16418" s="1" t="s">
        <v>5641</v>
      </c>
    </row>
    <row r="16419">
      <c r="A16419" s="1" t="s">
        <v>27677</v>
      </c>
      <c r="B16419" s="2" t="s">
        <v>26004</v>
      </c>
      <c r="C16419" s="1" t="s">
        <v>5640</v>
      </c>
      <c r="D16419" s="1" t="s">
        <v>5641</v>
      </c>
    </row>
    <row r="16420">
      <c r="A16420" s="1" t="s">
        <v>27678</v>
      </c>
      <c r="B16420" s="2" t="s">
        <v>26006</v>
      </c>
      <c r="C16420" s="1" t="s">
        <v>5640</v>
      </c>
      <c r="D16420" s="1" t="s">
        <v>5641</v>
      </c>
    </row>
    <row r="16421">
      <c r="A16421" s="1" t="s">
        <v>27679</v>
      </c>
      <c r="B16421" s="2" t="s">
        <v>26008</v>
      </c>
      <c r="C16421" s="1" t="s">
        <v>5640</v>
      </c>
      <c r="D16421" s="1" t="s">
        <v>5641</v>
      </c>
    </row>
    <row r="16422">
      <c r="A16422" s="1" t="s">
        <v>27680</v>
      </c>
      <c r="B16422" s="2" t="s">
        <v>26010</v>
      </c>
      <c r="C16422" s="1" t="s">
        <v>5640</v>
      </c>
      <c r="D16422" s="1" t="s">
        <v>5641</v>
      </c>
    </row>
    <row r="16423">
      <c r="A16423" s="1" t="s">
        <v>27681</v>
      </c>
      <c r="B16423" s="2" t="s">
        <v>26012</v>
      </c>
      <c r="C16423" s="1" t="s">
        <v>5640</v>
      </c>
      <c r="D16423" s="1" t="s">
        <v>5641</v>
      </c>
    </row>
    <row r="16424">
      <c r="A16424" s="1" t="s">
        <v>27682</v>
      </c>
      <c r="B16424" s="2" t="s">
        <v>26014</v>
      </c>
      <c r="C16424" s="1" t="s">
        <v>5640</v>
      </c>
      <c r="D16424" s="1" t="s">
        <v>5641</v>
      </c>
    </row>
    <row r="16425">
      <c r="A16425" s="1" t="s">
        <v>27683</v>
      </c>
      <c r="B16425" s="2" t="s">
        <v>26016</v>
      </c>
      <c r="C16425" s="1" t="s">
        <v>5640</v>
      </c>
      <c r="D16425" s="1" t="s">
        <v>5641</v>
      </c>
    </row>
    <row r="16426">
      <c r="A16426" s="1" t="s">
        <v>27684</v>
      </c>
      <c r="B16426" s="2" t="s">
        <v>26018</v>
      </c>
      <c r="C16426" s="1" t="s">
        <v>5640</v>
      </c>
      <c r="D16426" s="1" t="s">
        <v>5641</v>
      </c>
    </row>
    <row r="16427">
      <c r="A16427" s="1" t="s">
        <v>27685</v>
      </c>
      <c r="B16427" s="2" t="s">
        <v>26020</v>
      </c>
      <c r="C16427" s="1" t="s">
        <v>5640</v>
      </c>
      <c r="D16427" s="1" t="s">
        <v>5641</v>
      </c>
    </row>
    <row r="16428">
      <c r="A16428" s="1" t="s">
        <v>27686</v>
      </c>
      <c r="B16428" s="2" t="s">
        <v>26022</v>
      </c>
      <c r="C16428" s="1" t="s">
        <v>5640</v>
      </c>
      <c r="D16428" s="1" t="s">
        <v>5641</v>
      </c>
    </row>
    <row r="16429">
      <c r="A16429" s="1" t="s">
        <v>27687</v>
      </c>
      <c r="B16429" s="2" t="s">
        <v>26024</v>
      </c>
      <c r="C16429" s="1" t="s">
        <v>5640</v>
      </c>
      <c r="D16429" s="1" t="s">
        <v>5641</v>
      </c>
    </row>
    <row r="16430">
      <c r="A16430" s="1" t="s">
        <v>27688</v>
      </c>
      <c r="B16430" s="2" t="s">
        <v>26026</v>
      </c>
      <c r="C16430" s="1" t="s">
        <v>5640</v>
      </c>
      <c r="D16430" s="1" t="s">
        <v>5641</v>
      </c>
    </row>
    <row r="16431">
      <c r="A16431" s="1" t="s">
        <v>27689</v>
      </c>
      <c r="B16431" s="2" t="s">
        <v>26028</v>
      </c>
      <c r="C16431" s="1" t="s">
        <v>5640</v>
      </c>
      <c r="D16431" s="1" t="s">
        <v>5641</v>
      </c>
    </row>
    <row r="16432">
      <c r="A16432" s="1" t="s">
        <v>27690</v>
      </c>
      <c r="B16432" s="2" t="s">
        <v>26030</v>
      </c>
      <c r="C16432" s="1" t="s">
        <v>5640</v>
      </c>
      <c r="D16432" s="1" t="s">
        <v>5641</v>
      </c>
    </row>
    <row r="16433">
      <c r="A16433" s="1" t="s">
        <v>27691</v>
      </c>
      <c r="B16433" s="2" t="s">
        <v>26032</v>
      </c>
      <c r="C16433" s="1" t="s">
        <v>5640</v>
      </c>
      <c r="D16433" s="1" t="s">
        <v>5641</v>
      </c>
    </row>
    <row r="16434">
      <c r="A16434" s="1" t="s">
        <v>27692</v>
      </c>
      <c r="B16434" s="2" t="s">
        <v>26034</v>
      </c>
      <c r="C16434" s="1" t="s">
        <v>5640</v>
      </c>
      <c r="D16434" s="1" t="s">
        <v>5641</v>
      </c>
    </row>
    <row r="16435">
      <c r="A16435" s="1" t="s">
        <v>27693</v>
      </c>
      <c r="B16435" s="2" t="s">
        <v>26036</v>
      </c>
      <c r="C16435" s="1" t="s">
        <v>5640</v>
      </c>
      <c r="D16435" s="1" t="s">
        <v>5641</v>
      </c>
    </row>
    <row r="16436">
      <c r="A16436" s="1" t="s">
        <v>27694</v>
      </c>
      <c r="B16436" s="2" t="s">
        <v>26038</v>
      </c>
      <c r="C16436" s="1" t="s">
        <v>5640</v>
      </c>
      <c r="D16436" s="1" t="s">
        <v>5641</v>
      </c>
    </row>
    <row r="16437">
      <c r="A16437" s="1" t="s">
        <v>27695</v>
      </c>
      <c r="B16437" s="2" t="s">
        <v>26040</v>
      </c>
      <c r="C16437" s="1" t="s">
        <v>5640</v>
      </c>
      <c r="D16437" s="1" t="s">
        <v>5641</v>
      </c>
    </row>
    <row r="16438">
      <c r="A16438" s="1" t="s">
        <v>27696</v>
      </c>
      <c r="B16438" s="2" t="s">
        <v>26042</v>
      </c>
      <c r="C16438" s="1" t="s">
        <v>5640</v>
      </c>
      <c r="D16438" s="1" t="s">
        <v>5641</v>
      </c>
    </row>
    <row r="16439">
      <c r="A16439" s="1" t="s">
        <v>27697</v>
      </c>
      <c r="B16439" s="2" t="s">
        <v>26044</v>
      </c>
      <c r="C16439" s="1" t="s">
        <v>5640</v>
      </c>
      <c r="D16439" s="1" t="s">
        <v>5641</v>
      </c>
    </row>
    <row r="16440">
      <c r="A16440" s="1" t="s">
        <v>27698</v>
      </c>
      <c r="B16440" s="2" t="s">
        <v>26046</v>
      </c>
      <c r="C16440" s="1" t="s">
        <v>5640</v>
      </c>
      <c r="D16440" s="1" t="s">
        <v>5641</v>
      </c>
    </row>
    <row r="16441">
      <c r="A16441" s="1" t="s">
        <v>27699</v>
      </c>
      <c r="B16441" s="2" t="s">
        <v>26048</v>
      </c>
      <c r="C16441" s="1" t="s">
        <v>5640</v>
      </c>
      <c r="D16441" s="1" t="s">
        <v>5641</v>
      </c>
    </row>
    <row r="16442">
      <c r="A16442" s="1" t="s">
        <v>27700</v>
      </c>
      <c r="B16442" s="2" t="s">
        <v>26050</v>
      </c>
      <c r="C16442" s="1" t="s">
        <v>5640</v>
      </c>
      <c r="D16442" s="1" t="s">
        <v>5641</v>
      </c>
    </row>
    <row r="16443">
      <c r="A16443" s="1" t="s">
        <v>27701</v>
      </c>
      <c r="B16443" s="2" t="s">
        <v>26052</v>
      </c>
      <c r="C16443" s="1" t="s">
        <v>5640</v>
      </c>
      <c r="D16443" s="1" t="s">
        <v>5641</v>
      </c>
    </row>
    <row r="16444">
      <c r="A16444" s="1" t="s">
        <v>27702</v>
      </c>
      <c r="B16444" s="2" t="s">
        <v>26054</v>
      </c>
      <c r="C16444" s="1" t="s">
        <v>5640</v>
      </c>
      <c r="D16444" s="1" t="s">
        <v>5641</v>
      </c>
    </row>
    <row r="16445">
      <c r="A16445" s="1" t="s">
        <v>27703</v>
      </c>
      <c r="B16445" s="2" t="s">
        <v>26056</v>
      </c>
      <c r="C16445" s="1" t="s">
        <v>5640</v>
      </c>
      <c r="D16445" s="1" t="s">
        <v>5641</v>
      </c>
    </row>
    <row r="16446">
      <c r="A16446" s="1" t="s">
        <v>27704</v>
      </c>
      <c r="B16446" s="2" t="s">
        <v>26058</v>
      </c>
      <c r="C16446" s="1" t="s">
        <v>5640</v>
      </c>
      <c r="D16446" s="1" t="s">
        <v>5641</v>
      </c>
    </row>
    <row r="16447">
      <c r="A16447" s="1" t="s">
        <v>27705</v>
      </c>
      <c r="B16447" s="2" t="s">
        <v>26060</v>
      </c>
      <c r="C16447" s="1" t="s">
        <v>5640</v>
      </c>
      <c r="D16447" s="1" t="s">
        <v>5641</v>
      </c>
    </row>
    <row r="16448">
      <c r="A16448" s="1" t="s">
        <v>27706</v>
      </c>
      <c r="B16448" s="2" t="s">
        <v>26062</v>
      </c>
      <c r="C16448" s="1" t="s">
        <v>5640</v>
      </c>
      <c r="D16448" s="1" t="s">
        <v>5641</v>
      </c>
    </row>
    <row r="16449">
      <c r="A16449" s="1" t="s">
        <v>27707</v>
      </c>
      <c r="B16449" s="2" t="s">
        <v>26064</v>
      </c>
      <c r="C16449" s="1" t="s">
        <v>5640</v>
      </c>
      <c r="D16449" s="1" t="s">
        <v>5641</v>
      </c>
    </row>
    <row r="16450">
      <c r="A16450" s="1" t="s">
        <v>27708</v>
      </c>
      <c r="B16450" s="2" t="s">
        <v>26066</v>
      </c>
      <c r="C16450" s="1" t="s">
        <v>5640</v>
      </c>
      <c r="D16450" s="1" t="s">
        <v>5641</v>
      </c>
    </row>
    <row r="16451">
      <c r="A16451" s="1" t="s">
        <v>27709</v>
      </c>
      <c r="B16451" s="2" t="s">
        <v>26068</v>
      </c>
      <c r="C16451" s="1" t="s">
        <v>5640</v>
      </c>
      <c r="D16451" s="1" t="s">
        <v>5641</v>
      </c>
    </row>
    <row r="16452">
      <c r="A16452" s="1" t="s">
        <v>27710</v>
      </c>
      <c r="B16452" s="2" t="s">
        <v>26070</v>
      </c>
      <c r="C16452" s="1" t="s">
        <v>5640</v>
      </c>
      <c r="D16452" s="1" t="s">
        <v>5641</v>
      </c>
    </row>
    <row r="16453">
      <c r="A16453" s="1" t="s">
        <v>27711</v>
      </c>
      <c r="B16453" s="2" t="s">
        <v>26072</v>
      </c>
      <c r="C16453" s="1" t="s">
        <v>5640</v>
      </c>
      <c r="D16453" s="1" t="s">
        <v>5641</v>
      </c>
    </row>
    <row r="16454">
      <c r="A16454" s="1" t="s">
        <v>27712</v>
      </c>
      <c r="B16454" s="2" t="s">
        <v>26074</v>
      </c>
      <c r="C16454" s="1" t="s">
        <v>5640</v>
      </c>
      <c r="D16454" s="1" t="s">
        <v>5641</v>
      </c>
    </row>
    <row r="16455">
      <c r="A16455" s="1" t="s">
        <v>27713</v>
      </c>
      <c r="B16455" s="2" t="s">
        <v>26076</v>
      </c>
      <c r="C16455" s="1" t="s">
        <v>5640</v>
      </c>
      <c r="D16455" s="1" t="s">
        <v>5641</v>
      </c>
    </row>
    <row r="16456">
      <c r="A16456" s="1" t="s">
        <v>27714</v>
      </c>
      <c r="B16456" s="2" t="s">
        <v>26078</v>
      </c>
      <c r="C16456" s="1" t="s">
        <v>5640</v>
      </c>
      <c r="D16456" s="1" t="s">
        <v>5641</v>
      </c>
    </row>
    <row r="16457">
      <c r="A16457" s="1" t="s">
        <v>27715</v>
      </c>
      <c r="B16457" s="2" t="s">
        <v>26080</v>
      </c>
      <c r="C16457" s="1" t="s">
        <v>5640</v>
      </c>
      <c r="D16457" s="1" t="s">
        <v>5641</v>
      </c>
    </row>
    <row r="16458">
      <c r="A16458" s="1" t="s">
        <v>27716</v>
      </c>
      <c r="B16458" s="2" t="s">
        <v>26082</v>
      </c>
      <c r="C16458" s="1" t="s">
        <v>5640</v>
      </c>
      <c r="D16458" s="1" t="s">
        <v>5641</v>
      </c>
    </row>
    <row r="16459">
      <c r="A16459" s="1" t="s">
        <v>27717</v>
      </c>
      <c r="B16459" s="2" t="s">
        <v>26084</v>
      </c>
      <c r="C16459" s="1" t="s">
        <v>5640</v>
      </c>
      <c r="D16459" s="1" t="s">
        <v>5641</v>
      </c>
    </row>
    <row r="16460">
      <c r="A16460" s="1" t="s">
        <v>27718</v>
      </c>
      <c r="B16460" s="2" t="s">
        <v>26086</v>
      </c>
      <c r="C16460" s="1" t="s">
        <v>5640</v>
      </c>
      <c r="D16460" s="1" t="s">
        <v>5641</v>
      </c>
    </row>
    <row r="16461">
      <c r="A16461" s="1" t="s">
        <v>27719</v>
      </c>
      <c r="B16461" s="2" t="s">
        <v>26088</v>
      </c>
      <c r="C16461" s="1" t="s">
        <v>5640</v>
      </c>
      <c r="D16461" s="1" t="s">
        <v>5641</v>
      </c>
    </row>
    <row r="16462">
      <c r="A16462" s="1" t="s">
        <v>27720</v>
      </c>
      <c r="B16462" s="2" t="s">
        <v>26090</v>
      </c>
      <c r="C16462" s="1" t="s">
        <v>5640</v>
      </c>
      <c r="D16462" s="1" t="s">
        <v>5641</v>
      </c>
    </row>
    <row r="16463">
      <c r="A16463" s="1" t="s">
        <v>27721</v>
      </c>
      <c r="B16463" s="2" t="s">
        <v>26092</v>
      </c>
      <c r="C16463" s="1" t="s">
        <v>5640</v>
      </c>
      <c r="D16463" s="1" t="s">
        <v>5641</v>
      </c>
    </row>
    <row r="16464">
      <c r="A16464" s="1" t="s">
        <v>27722</v>
      </c>
      <c r="B16464" s="2" t="s">
        <v>26094</v>
      </c>
      <c r="C16464" s="1" t="s">
        <v>5640</v>
      </c>
      <c r="D16464" s="1" t="s">
        <v>5641</v>
      </c>
    </row>
    <row r="16465">
      <c r="A16465" s="1" t="s">
        <v>27723</v>
      </c>
      <c r="B16465" s="2" t="s">
        <v>26096</v>
      </c>
      <c r="C16465" s="1" t="s">
        <v>5640</v>
      </c>
      <c r="D16465" s="1" t="s">
        <v>5641</v>
      </c>
    </row>
    <row r="16466">
      <c r="A16466" s="1" t="s">
        <v>27724</v>
      </c>
      <c r="B16466" s="2" t="s">
        <v>26098</v>
      </c>
      <c r="C16466" s="1" t="s">
        <v>5640</v>
      </c>
      <c r="D16466" s="1" t="s">
        <v>5641</v>
      </c>
    </row>
    <row r="16467">
      <c r="A16467" s="1" t="s">
        <v>27725</v>
      </c>
      <c r="B16467" s="2" t="s">
        <v>26100</v>
      </c>
      <c r="C16467" s="1" t="s">
        <v>5640</v>
      </c>
      <c r="D16467" s="1" t="s">
        <v>5641</v>
      </c>
    </row>
    <row r="16468">
      <c r="A16468" s="1" t="s">
        <v>27726</v>
      </c>
      <c r="B16468" s="2" t="s">
        <v>26102</v>
      </c>
      <c r="C16468" s="1" t="s">
        <v>5640</v>
      </c>
      <c r="D16468" s="1" t="s">
        <v>5641</v>
      </c>
    </row>
    <row r="16469">
      <c r="A16469" s="1" t="s">
        <v>27727</v>
      </c>
      <c r="B16469" s="2" t="s">
        <v>26104</v>
      </c>
      <c r="C16469" s="1" t="s">
        <v>5640</v>
      </c>
      <c r="D16469" s="1" t="s">
        <v>5641</v>
      </c>
    </row>
    <row r="16470">
      <c r="A16470" s="1" t="s">
        <v>27728</v>
      </c>
      <c r="B16470" s="2" t="s">
        <v>26106</v>
      </c>
      <c r="C16470" s="1" t="s">
        <v>5640</v>
      </c>
      <c r="D16470" s="1" t="s">
        <v>5641</v>
      </c>
    </row>
    <row r="16471">
      <c r="A16471" s="1" t="s">
        <v>27729</v>
      </c>
      <c r="B16471" s="2" t="s">
        <v>26108</v>
      </c>
      <c r="C16471" s="1" t="s">
        <v>5640</v>
      </c>
      <c r="D16471" s="1" t="s">
        <v>5641</v>
      </c>
    </row>
    <row r="16472">
      <c r="A16472" s="1" t="s">
        <v>27730</v>
      </c>
      <c r="B16472" s="2" t="s">
        <v>26110</v>
      </c>
      <c r="C16472" s="1" t="s">
        <v>5640</v>
      </c>
      <c r="D16472" s="1" t="s">
        <v>5641</v>
      </c>
    </row>
    <row r="16473">
      <c r="A16473" s="1" t="s">
        <v>27731</v>
      </c>
      <c r="B16473" s="2" t="s">
        <v>26112</v>
      </c>
      <c r="C16473" s="1" t="s">
        <v>5640</v>
      </c>
      <c r="D16473" s="1" t="s">
        <v>5641</v>
      </c>
    </row>
    <row r="16474">
      <c r="A16474" s="1" t="s">
        <v>27732</v>
      </c>
      <c r="B16474" s="2" t="s">
        <v>26114</v>
      </c>
      <c r="C16474" s="1" t="s">
        <v>5640</v>
      </c>
      <c r="D16474" s="1" t="s">
        <v>5641</v>
      </c>
    </row>
    <row r="16475">
      <c r="A16475" s="1" t="s">
        <v>27733</v>
      </c>
      <c r="B16475" s="2" t="s">
        <v>26116</v>
      </c>
      <c r="C16475" s="1" t="s">
        <v>5640</v>
      </c>
      <c r="D16475" s="1" t="s">
        <v>5641</v>
      </c>
    </row>
    <row r="16476">
      <c r="A16476" s="1" t="s">
        <v>27734</v>
      </c>
      <c r="B16476" s="2" t="s">
        <v>26118</v>
      </c>
      <c r="C16476" s="1" t="s">
        <v>5640</v>
      </c>
      <c r="D16476" s="1" t="s">
        <v>5641</v>
      </c>
    </row>
    <row r="16477">
      <c r="A16477" s="1" t="s">
        <v>27735</v>
      </c>
      <c r="B16477" s="2" t="s">
        <v>26120</v>
      </c>
      <c r="C16477" s="1" t="s">
        <v>5640</v>
      </c>
      <c r="D16477" s="1" t="s">
        <v>5641</v>
      </c>
    </row>
    <row r="16478">
      <c r="A16478" s="1" t="s">
        <v>27736</v>
      </c>
      <c r="B16478" s="2" t="s">
        <v>26122</v>
      </c>
      <c r="C16478" s="1" t="s">
        <v>5640</v>
      </c>
      <c r="D16478" s="1" t="s">
        <v>5641</v>
      </c>
    </row>
    <row r="16479">
      <c r="A16479" s="1" t="s">
        <v>27737</v>
      </c>
      <c r="B16479" s="2" t="s">
        <v>26124</v>
      </c>
      <c r="C16479" s="1" t="s">
        <v>5640</v>
      </c>
      <c r="D16479" s="1" t="s">
        <v>5641</v>
      </c>
    </row>
    <row r="16480">
      <c r="A16480" s="1" t="s">
        <v>27738</v>
      </c>
      <c r="B16480" s="2" t="s">
        <v>26126</v>
      </c>
      <c r="C16480" s="1" t="s">
        <v>5640</v>
      </c>
      <c r="D16480" s="1" t="s">
        <v>5641</v>
      </c>
    </row>
    <row r="16481">
      <c r="A16481" s="1" t="s">
        <v>27739</v>
      </c>
      <c r="B16481" s="2" t="s">
        <v>26128</v>
      </c>
      <c r="C16481" s="1" t="s">
        <v>5640</v>
      </c>
      <c r="D16481" s="1" t="s">
        <v>5641</v>
      </c>
    </row>
    <row r="16482">
      <c r="A16482" s="1" t="s">
        <v>27740</v>
      </c>
      <c r="B16482" s="2" t="s">
        <v>26130</v>
      </c>
      <c r="C16482" s="1" t="s">
        <v>5640</v>
      </c>
      <c r="D16482" s="1" t="s">
        <v>5641</v>
      </c>
    </row>
    <row r="16483">
      <c r="A16483" s="1" t="s">
        <v>27741</v>
      </c>
      <c r="B16483" s="2" t="s">
        <v>26132</v>
      </c>
      <c r="C16483" s="1" t="s">
        <v>5640</v>
      </c>
      <c r="D16483" s="1" t="s">
        <v>5641</v>
      </c>
    </row>
    <row r="16484">
      <c r="A16484" s="1" t="s">
        <v>27742</v>
      </c>
      <c r="B16484" s="2" t="s">
        <v>26134</v>
      </c>
      <c r="C16484" s="1" t="s">
        <v>5640</v>
      </c>
      <c r="D16484" s="1" t="s">
        <v>5641</v>
      </c>
    </row>
    <row r="16485">
      <c r="A16485" s="1" t="s">
        <v>27743</v>
      </c>
      <c r="B16485" s="2" t="s">
        <v>26136</v>
      </c>
      <c r="C16485" s="1" t="s">
        <v>5640</v>
      </c>
      <c r="D16485" s="1" t="s">
        <v>5641</v>
      </c>
    </row>
    <row r="16486">
      <c r="A16486" s="1" t="s">
        <v>27744</v>
      </c>
      <c r="B16486" s="2" t="s">
        <v>26138</v>
      </c>
      <c r="C16486" s="1" t="s">
        <v>5640</v>
      </c>
      <c r="D16486" s="1" t="s">
        <v>5641</v>
      </c>
    </row>
    <row r="16487">
      <c r="A16487" s="1" t="s">
        <v>27745</v>
      </c>
      <c r="B16487" s="2" t="s">
        <v>26140</v>
      </c>
      <c r="C16487" s="1" t="s">
        <v>5640</v>
      </c>
      <c r="D16487" s="1" t="s">
        <v>5641</v>
      </c>
    </row>
    <row r="16488">
      <c r="A16488" s="1" t="s">
        <v>27746</v>
      </c>
      <c r="B16488" s="2" t="s">
        <v>26142</v>
      </c>
      <c r="C16488" s="1" t="s">
        <v>5640</v>
      </c>
      <c r="D16488" s="1" t="s">
        <v>5641</v>
      </c>
    </row>
    <row r="16489">
      <c r="A16489" s="1" t="s">
        <v>27747</v>
      </c>
      <c r="B16489" s="2" t="s">
        <v>26144</v>
      </c>
      <c r="C16489" s="1" t="s">
        <v>5640</v>
      </c>
      <c r="D16489" s="1" t="s">
        <v>5641</v>
      </c>
    </row>
    <row r="16490">
      <c r="A16490" s="1" t="s">
        <v>27748</v>
      </c>
      <c r="B16490" s="2" t="s">
        <v>26146</v>
      </c>
      <c r="C16490" s="1" t="s">
        <v>5640</v>
      </c>
      <c r="D16490" s="1" t="s">
        <v>5641</v>
      </c>
    </row>
    <row r="16491">
      <c r="A16491" s="1" t="s">
        <v>27749</v>
      </c>
      <c r="B16491" s="2" t="s">
        <v>26148</v>
      </c>
      <c r="C16491" s="1" t="s">
        <v>5640</v>
      </c>
      <c r="D16491" s="1" t="s">
        <v>5641</v>
      </c>
    </row>
    <row r="16492">
      <c r="A16492" s="1" t="s">
        <v>27750</v>
      </c>
      <c r="B16492" s="2" t="s">
        <v>26150</v>
      </c>
      <c r="C16492" s="1" t="s">
        <v>5640</v>
      </c>
      <c r="D16492" s="1" t="s">
        <v>5641</v>
      </c>
    </row>
    <row r="16493">
      <c r="A16493" s="1" t="s">
        <v>27751</v>
      </c>
      <c r="B16493" s="2" t="s">
        <v>26152</v>
      </c>
      <c r="C16493" s="1" t="s">
        <v>5640</v>
      </c>
      <c r="D16493" s="1" t="s">
        <v>5641</v>
      </c>
    </row>
    <row r="16494">
      <c r="A16494" s="1" t="s">
        <v>27752</v>
      </c>
      <c r="B16494" s="2" t="s">
        <v>26154</v>
      </c>
      <c r="C16494" s="1" t="s">
        <v>5640</v>
      </c>
      <c r="D16494" s="1" t="s">
        <v>5641</v>
      </c>
    </row>
    <row r="16495">
      <c r="A16495" s="1" t="s">
        <v>27753</v>
      </c>
      <c r="B16495" s="2" t="s">
        <v>26156</v>
      </c>
      <c r="C16495" s="1" t="s">
        <v>5640</v>
      </c>
      <c r="D16495" s="1" t="s">
        <v>5641</v>
      </c>
    </row>
    <row r="16496">
      <c r="A16496" s="1" t="s">
        <v>27754</v>
      </c>
      <c r="B16496" s="2" t="s">
        <v>26158</v>
      </c>
      <c r="C16496" s="1" t="s">
        <v>5640</v>
      </c>
      <c r="D16496" s="1" t="s">
        <v>5641</v>
      </c>
    </row>
    <row r="16497">
      <c r="A16497" s="1" t="s">
        <v>27755</v>
      </c>
      <c r="B16497" s="2" t="s">
        <v>26160</v>
      </c>
      <c r="C16497" s="1" t="s">
        <v>5640</v>
      </c>
      <c r="D16497" s="1" t="s">
        <v>5641</v>
      </c>
    </row>
    <row r="16498">
      <c r="A16498" s="1" t="s">
        <v>27756</v>
      </c>
      <c r="B16498" s="2" t="s">
        <v>26162</v>
      </c>
      <c r="C16498" s="1" t="s">
        <v>5640</v>
      </c>
      <c r="D16498" s="1" t="s">
        <v>5641</v>
      </c>
    </row>
    <row r="16499">
      <c r="A16499" s="1" t="s">
        <v>27757</v>
      </c>
      <c r="B16499" s="2" t="s">
        <v>26164</v>
      </c>
      <c r="C16499" s="1" t="s">
        <v>5640</v>
      </c>
      <c r="D16499" s="1" t="s">
        <v>5641</v>
      </c>
    </row>
    <row r="16500">
      <c r="A16500" s="1" t="s">
        <v>27758</v>
      </c>
      <c r="B16500" s="2" t="s">
        <v>26166</v>
      </c>
      <c r="C16500" s="1" t="s">
        <v>5640</v>
      </c>
      <c r="D16500" s="1" t="s">
        <v>5641</v>
      </c>
    </row>
    <row r="16501">
      <c r="A16501" s="1" t="s">
        <v>27759</v>
      </c>
      <c r="B16501" s="2" t="s">
        <v>26168</v>
      </c>
      <c r="C16501" s="1" t="s">
        <v>5640</v>
      </c>
      <c r="D16501" s="1" t="s">
        <v>5641</v>
      </c>
    </row>
    <row r="16502">
      <c r="A16502" s="1" t="s">
        <v>27760</v>
      </c>
      <c r="B16502" s="2" t="s">
        <v>26170</v>
      </c>
      <c r="C16502" s="1" t="s">
        <v>5640</v>
      </c>
      <c r="D16502" s="1" t="s">
        <v>5641</v>
      </c>
    </row>
    <row r="16503">
      <c r="A16503" s="1" t="s">
        <v>27761</v>
      </c>
      <c r="B16503" s="2" t="s">
        <v>26172</v>
      </c>
      <c r="C16503" s="1" t="s">
        <v>5640</v>
      </c>
      <c r="D16503" s="1" t="s">
        <v>5641</v>
      </c>
    </row>
    <row r="16504">
      <c r="A16504" s="1" t="s">
        <v>27762</v>
      </c>
      <c r="B16504" s="2" t="s">
        <v>26174</v>
      </c>
      <c r="C16504" s="1" t="s">
        <v>5640</v>
      </c>
      <c r="D16504" s="1" t="s">
        <v>5641</v>
      </c>
    </row>
    <row r="16505">
      <c r="A16505" s="1" t="s">
        <v>27763</v>
      </c>
      <c r="B16505" s="2" t="s">
        <v>26176</v>
      </c>
      <c r="C16505" s="1" t="s">
        <v>5640</v>
      </c>
      <c r="D16505" s="1" t="s">
        <v>5641</v>
      </c>
    </row>
    <row r="16506">
      <c r="A16506" s="1" t="s">
        <v>27764</v>
      </c>
      <c r="B16506" s="2" t="s">
        <v>26178</v>
      </c>
      <c r="C16506" s="1" t="s">
        <v>5640</v>
      </c>
      <c r="D16506" s="1" t="s">
        <v>5641</v>
      </c>
    </row>
    <row r="16507">
      <c r="A16507" s="1" t="s">
        <v>27765</v>
      </c>
      <c r="B16507" s="2" t="s">
        <v>26180</v>
      </c>
      <c r="C16507" s="1" t="s">
        <v>5640</v>
      </c>
      <c r="D16507" s="1" t="s">
        <v>5641</v>
      </c>
    </row>
    <row r="16508">
      <c r="A16508" s="1" t="s">
        <v>27766</v>
      </c>
      <c r="B16508" s="2" t="s">
        <v>26182</v>
      </c>
      <c r="C16508" s="1" t="s">
        <v>5640</v>
      </c>
      <c r="D16508" s="1" t="s">
        <v>5641</v>
      </c>
    </row>
    <row r="16509">
      <c r="A16509" s="1" t="s">
        <v>27767</v>
      </c>
      <c r="B16509" s="2" t="s">
        <v>26184</v>
      </c>
      <c r="C16509" s="1" t="s">
        <v>5640</v>
      </c>
      <c r="D16509" s="1" t="s">
        <v>5641</v>
      </c>
    </row>
    <row r="16510">
      <c r="A16510" s="1" t="s">
        <v>27768</v>
      </c>
      <c r="B16510" s="2" t="s">
        <v>26186</v>
      </c>
      <c r="C16510" s="1" t="s">
        <v>5640</v>
      </c>
      <c r="D16510" s="1" t="s">
        <v>5641</v>
      </c>
    </row>
    <row r="16511">
      <c r="A16511" s="1" t="s">
        <v>27769</v>
      </c>
      <c r="B16511" s="2" t="s">
        <v>26188</v>
      </c>
      <c r="C16511" s="1" t="s">
        <v>5640</v>
      </c>
      <c r="D16511" s="1" t="s">
        <v>5641</v>
      </c>
    </row>
    <row r="16512">
      <c r="A16512" s="1" t="s">
        <v>27770</v>
      </c>
      <c r="B16512" s="2" t="s">
        <v>26190</v>
      </c>
      <c r="C16512" s="1" t="s">
        <v>5640</v>
      </c>
      <c r="D16512" s="1" t="s">
        <v>5641</v>
      </c>
    </row>
    <row r="16513">
      <c r="A16513" s="1" t="s">
        <v>27771</v>
      </c>
      <c r="B16513" s="2" t="s">
        <v>26192</v>
      </c>
      <c r="C16513" s="1" t="s">
        <v>5640</v>
      </c>
      <c r="D16513" s="1" t="s">
        <v>5641</v>
      </c>
    </row>
    <row r="16514">
      <c r="A16514" s="1" t="s">
        <v>27772</v>
      </c>
      <c r="B16514" s="2" t="s">
        <v>26194</v>
      </c>
      <c r="C16514" s="1" t="s">
        <v>5640</v>
      </c>
      <c r="D16514" s="1" t="s">
        <v>5641</v>
      </c>
    </row>
    <row r="16515">
      <c r="A16515" s="1" t="s">
        <v>27773</v>
      </c>
      <c r="B16515" s="2" t="s">
        <v>26196</v>
      </c>
      <c r="C16515" s="1" t="s">
        <v>5640</v>
      </c>
      <c r="D16515" s="1" t="s">
        <v>5641</v>
      </c>
    </row>
    <row r="16516">
      <c r="A16516" s="1" t="s">
        <v>27774</v>
      </c>
      <c r="B16516" s="2" t="s">
        <v>26198</v>
      </c>
      <c r="C16516" s="1" t="s">
        <v>5640</v>
      </c>
      <c r="D16516" s="1" t="s">
        <v>5641</v>
      </c>
    </row>
    <row r="16517">
      <c r="A16517" s="1" t="s">
        <v>27775</v>
      </c>
      <c r="B16517" s="2" t="s">
        <v>26200</v>
      </c>
      <c r="C16517" s="1" t="s">
        <v>5640</v>
      </c>
      <c r="D16517" s="1" t="s">
        <v>5641</v>
      </c>
    </row>
    <row r="16518">
      <c r="A16518" s="1" t="s">
        <v>27776</v>
      </c>
      <c r="B16518" s="2" t="s">
        <v>26202</v>
      </c>
      <c r="C16518" s="1" t="s">
        <v>5640</v>
      </c>
      <c r="D16518" s="1" t="s">
        <v>5641</v>
      </c>
    </row>
    <row r="16519">
      <c r="A16519" s="1" t="s">
        <v>27777</v>
      </c>
      <c r="B16519" s="2" t="s">
        <v>26204</v>
      </c>
      <c r="C16519" s="1" t="s">
        <v>5640</v>
      </c>
      <c r="D16519" s="1" t="s">
        <v>5641</v>
      </c>
    </row>
    <row r="16520">
      <c r="A16520" s="1" t="s">
        <v>27778</v>
      </c>
      <c r="B16520" s="2" t="s">
        <v>26206</v>
      </c>
      <c r="C16520" s="1" t="s">
        <v>5640</v>
      </c>
      <c r="D16520" s="1" t="s">
        <v>5641</v>
      </c>
    </row>
    <row r="16521">
      <c r="A16521" s="1" t="s">
        <v>27779</v>
      </c>
      <c r="B16521" s="2" t="s">
        <v>26208</v>
      </c>
      <c r="C16521" s="1" t="s">
        <v>5640</v>
      </c>
      <c r="D16521" s="1" t="s">
        <v>5641</v>
      </c>
    </row>
    <row r="16522">
      <c r="A16522" s="1" t="s">
        <v>27780</v>
      </c>
      <c r="B16522" s="2" t="s">
        <v>26210</v>
      </c>
      <c r="C16522" s="1" t="s">
        <v>5640</v>
      </c>
      <c r="D16522" s="1" t="s">
        <v>5641</v>
      </c>
    </row>
    <row r="16523">
      <c r="A16523" s="1" t="s">
        <v>27781</v>
      </c>
      <c r="B16523" s="2" t="s">
        <v>26212</v>
      </c>
      <c r="C16523" s="1" t="s">
        <v>5640</v>
      </c>
      <c r="D16523" s="1" t="s">
        <v>5641</v>
      </c>
    </row>
    <row r="16524">
      <c r="A16524" s="1" t="s">
        <v>27782</v>
      </c>
      <c r="B16524" s="2" t="s">
        <v>26214</v>
      </c>
      <c r="C16524" s="1" t="s">
        <v>5640</v>
      </c>
      <c r="D16524" s="1" t="s">
        <v>5641</v>
      </c>
    </row>
    <row r="16525">
      <c r="A16525" s="1" t="s">
        <v>27783</v>
      </c>
      <c r="B16525" s="2" t="s">
        <v>26216</v>
      </c>
      <c r="C16525" s="1" t="s">
        <v>5640</v>
      </c>
      <c r="D16525" s="1" t="s">
        <v>5641</v>
      </c>
    </row>
    <row r="16526">
      <c r="A16526" s="1" t="s">
        <v>27784</v>
      </c>
      <c r="B16526" s="2" t="s">
        <v>26218</v>
      </c>
      <c r="C16526" s="1" t="s">
        <v>5640</v>
      </c>
      <c r="D16526" s="1" t="s">
        <v>5641</v>
      </c>
    </row>
    <row r="16527">
      <c r="A16527" s="1" t="s">
        <v>27785</v>
      </c>
      <c r="B16527" s="2" t="s">
        <v>26220</v>
      </c>
      <c r="C16527" s="1" t="s">
        <v>5640</v>
      </c>
      <c r="D16527" s="1" t="s">
        <v>5641</v>
      </c>
    </row>
    <row r="16528">
      <c r="A16528" s="1" t="s">
        <v>27786</v>
      </c>
      <c r="B16528" s="2" t="s">
        <v>26222</v>
      </c>
      <c r="C16528" s="1" t="s">
        <v>5640</v>
      </c>
      <c r="D16528" s="1" t="s">
        <v>5641</v>
      </c>
    </row>
    <row r="16529">
      <c r="A16529" s="1" t="s">
        <v>27787</v>
      </c>
      <c r="B16529" s="2" t="s">
        <v>26224</v>
      </c>
      <c r="C16529" s="1" t="s">
        <v>5640</v>
      </c>
      <c r="D16529" s="1" t="s">
        <v>5641</v>
      </c>
    </row>
    <row r="16530">
      <c r="A16530" s="1" t="s">
        <v>27788</v>
      </c>
      <c r="B16530" s="2" t="s">
        <v>26226</v>
      </c>
      <c r="C16530" s="1" t="s">
        <v>5640</v>
      </c>
      <c r="D16530" s="1" t="s">
        <v>5641</v>
      </c>
    </row>
    <row r="16531">
      <c r="A16531" s="1" t="s">
        <v>27789</v>
      </c>
      <c r="B16531" s="2" t="s">
        <v>26228</v>
      </c>
      <c r="C16531" s="1" t="s">
        <v>5640</v>
      </c>
      <c r="D16531" s="1" t="s">
        <v>5641</v>
      </c>
    </row>
    <row r="16532">
      <c r="A16532" s="1" t="s">
        <v>27790</v>
      </c>
      <c r="B16532" s="2" t="s">
        <v>26230</v>
      </c>
      <c r="C16532" s="1" t="s">
        <v>5640</v>
      </c>
      <c r="D16532" s="1" t="s">
        <v>5641</v>
      </c>
    </row>
    <row r="16533">
      <c r="A16533" s="1" t="s">
        <v>27791</v>
      </c>
      <c r="B16533" s="2" t="s">
        <v>26232</v>
      </c>
      <c r="C16533" s="1" t="s">
        <v>5640</v>
      </c>
      <c r="D16533" s="1" t="s">
        <v>5641</v>
      </c>
    </row>
    <row r="16534">
      <c r="A16534" s="1" t="s">
        <v>27792</v>
      </c>
      <c r="B16534" s="2" t="s">
        <v>26234</v>
      </c>
      <c r="C16534" s="1" t="s">
        <v>5640</v>
      </c>
      <c r="D16534" s="1" t="s">
        <v>5641</v>
      </c>
    </row>
    <row r="16535">
      <c r="A16535" s="1" t="s">
        <v>27793</v>
      </c>
      <c r="B16535" s="2" t="s">
        <v>26236</v>
      </c>
      <c r="C16535" s="1" t="s">
        <v>5640</v>
      </c>
      <c r="D16535" s="1" t="s">
        <v>5641</v>
      </c>
    </row>
    <row r="16536">
      <c r="A16536" s="1" t="s">
        <v>27794</v>
      </c>
      <c r="B16536" s="2" t="s">
        <v>26238</v>
      </c>
      <c r="C16536" s="1" t="s">
        <v>5640</v>
      </c>
      <c r="D16536" s="1" t="s">
        <v>5641</v>
      </c>
    </row>
    <row r="16537">
      <c r="A16537" s="1" t="s">
        <v>27795</v>
      </c>
      <c r="B16537" s="2" t="s">
        <v>26240</v>
      </c>
      <c r="C16537" s="1" t="s">
        <v>5640</v>
      </c>
      <c r="D16537" s="1" t="s">
        <v>5641</v>
      </c>
    </row>
    <row r="16538">
      <c r="A16538" s="1" t="s">
        <v>27796</v>
      </c>
      <c r="B16538" s="2" t="s">
        <v>26242</v>
      </c>
      <c r="C16538" s="1" t="s">
        <v>5640</v>
      </c>
      <c r="D16538" s="1" t="s">
        <v>5641</v>
      </c>
    </row>
    <row r="16539">
      <c r="A16539" s="1" t="s">
        <v>27797</v>
      </c>
      <c r="B16539" s="2" t="s">
        <v>26244</v>
      </c>
      <c r="C16539" s="1" t="s">
        <v>5640</v>
      </c>
      <c r="D16539" s="1" t="s">
        <v>5641</v>
      </c>
    </row>
    <row r="16540">
      <c r="A16540" s="1" t="s">
        <v>27798</v>
      </c>
      <c r="B16540" s="2" t="s">
        <v>26246</v>
      </c>
      <c r="C16540" s="1" t="s">
        <v>5640</v>
      </c>
      <c r="D16540" s="1" t="s">
        <v>5641</v>
      </c>
    </row>
    <row r="16541">
      <c r="A16541" s="1" t="s">
        <v>27799</v>
      </c>
      <c r="B16541" s="2" t="s">
        <v>26248</v>
      </c>
      <c r="C16541" s="1" t="s">
        <v>5640</v>
      </c>
      <c r="D16541" s="1" t="s">
        <v>5641</v>
      </c>
    </row>
    <row r="16542">
      <c r="A16542" s="1" t="s">
        <v>27800</v>
      </c>
      <c r="B16542" s="2" t="s">
        <v>26250</v>
      </c>
      <c r="C16542" s="1" t="s">
        <v>5640</v>
      </c>
      <c r="D16542" s="1" t="s">
        <v>5641</v>
      </c>
    </row>
    <row r="16543">
      <c r="A16543" s="1" t="s">
        <v>27801</v>
      </c>
      <c r="B16543" s="2" t="s">
        <v>26252</v>
      </c>
      <c r="C16543" s="1" t="s">
        <v>5640</v>
      </c>
      <c r="D16543" s="1" t="s">
        <v>5641</v>
      </c>
    </row>
    <row r="16544">
      <c r="A16544" s="1" t="s">
        <v>27802</v>
      </c>
      <c r="B16544" s="2" t="s">
        <v>26254</v>
      </c>
      <c r="C16544" s="1" t="s">
        <v>5640</v>
      </c>
      <c r="D16544" s="1" t="s">
        <v>5641</v>
      </c>
    </row>
    <row r="16545">
      <c r="A16545" s="1" t="s">
        <v>27803</v>
      </c>
      <c r="B16545" s="2" t="s">
        <v>26256</v>
      </c>
      <c r="C16545" s="1" t="s">
        <v>5640</v>
      </c>
      <c r="D16545" s="1" t="s">
        <v>5641</v>
      </c>
    </row>
    <row r="16546">
      <c r="A16546" s="1" t="s">
        <v>27804</v>
      </c>
      <c r="B16546" s="2" t="s">
        <v>26258</v>
      </c>
      <c r="C16546" s="1" t="s">
        <v>5640</v>
      </c>
      <c r="D16546" s="1" t="s">
        <v>5641</v>
      </c>
    </row>
    <row r="16547">
      <c r="A16547" s="1" t="s">
        <v>27805</v>
      </c>
      <c r="B16547" s="2" t="s">
        <v>26260</v>
      </c>
      <c r="C16547" s="1" t="s">
        <v>5640</v>
      </c>
      <c r="D16547" s="1" t="s">
        <v>5641</v>
      </c>
    </row>
    <row r="16548">
      <c r="A16548" s="1" t="s">
        <v>27806</v>
      </c>
      <c r="B16548" s="2" t="s">
        <v>26262</v>
      </c>
      <c r="C16548" s="1" t="s">
        <v>5640</v>
      </c>
      <c r="D16548" s="1" t="s">
        <v>5641</v>
      </c>
    </row>
    <row r="16549">
      <c r="A16549" s="1" t="s">
        <v>27807</v>
      </c>
      <c r="B16549" s="2" t="s">
        <v>26264</v>
      </c>
      <c r="C16549" s="1" t="s">
        <v>5640</v>
      </c>
      <c r="D16549" s="1" t="s">
        <v>5641</v>
      </c>
    </row>
    <row r="16550">
      <c r="A16550" s="1" t="s">
        <v>27808</v>
      </c>
      <c r="B16550" s="2" t="s">
        <v>26266</v>
      </c>
      <c r="C16550" s="1" t="s">
        <v>5640</v>
      </c>
      <c r="D16550" s="1" t="s">
        <v>5641</v>
      </c>
    </row>
    <row r="16551">
      <c r="A16551" s="1" t="s">
        <v>27809</v>
      </c>
      <c r="B16551" s="2" t="s">
        <v>26268</v>
      </c>
      <c r="C16551" s="1" t="s">
        <v>5640</v>
      </c>
      <c r="D16551" s="1" t="s">
        <v>5641</v>
      </c>
    </row>
    <row r="16552">
      <c r="A16552" s="1" t="s">
        <v>27810</v>
      </c>
      <c r="B16552" s="2" t="s">
        <v>26270</v>
      </c>
      <c r="C16552" s="1" t="s">
        <v>5640</v>
      </c>
      <c r="D16552" s="1" t="s">
        <v>5641</v>
      </c>
    </row>
    <row r="16553">
      <c r="A16553" s="1" t="s">
        <v>27811</v>
      </c>
      <c r="B16553" s="2" t="s">
        <v>26272</v>
      </c>
      <c r="C16553" s="1" t="s">
        <v>5640</v>
      </c>
      <c r="D16553" s="1" t="s">
        <v>5641</v>
      </c>
    </row>
    <row r="16554">
      <c r="A16554" s="1" t="s">
        <v>27812</v>
      </c>
      <c r="B16554" s="2" t="s">
        <v>26274</v>
      </c>
      <c r="C16554" s="1" t="s">
        <v>5640</v>
      </c>
      <c r="D16554" s="1" t="s">
        <v>5641</v>
      </c>
    </row>
    <row r="16555">
      <c r="A16555" s="1" t="s">
        <v>27813</v>
      </c>
      <c r="B16555" s="2" t="s">
        <v>26276</v>
      </c>
      <c r="C16555" s="1" t="s">
        <v>5640</v>
      </c>
      <c r="D16555" s="1" t="s">
        <v>5641</v>
      </c>
    </row>
    <row r="16556">
      <c r="A16556" s="1" t="s">
        <v>27814</v>
      </c>
      <c r="B16556" s="2" t="s">
        <v>26278</v>
      </c>
      <c r="C16556" s="1" t="s">
        <v>5640</v>
      </c>
      <c r="D16556" s="1" t="s">
        <v>5641</v>
      </c>
    </row>
    <row r="16557">
      <c r="A16557" s="1" t="s">
        <v>27815</v>
      </c>
      <c r="B16557" s="2" t="s">
        <v>26280</v>
      </c>
      <c r="C16557" s="1" t="s">
        <v>5640</v>
      </c>
      <c r="D16557" s="1" t="s">
        <v>5641</v>
      </c>
    </row>
    <row r="16558">
      <c r="A16558" s="1" t="s">
        <v>27816</v>
      </c>
      <c r="B16558" s="2" t="s">
        <v>26282</v>
      </c>
      <c r="C16558" s="1" t="s">
        <v>5640</v>
      </c>
      <c r="D16558" s="1" t="s">
        <v>5641</v>
      </c>
    </row>
    <row r="16559">
      <c r="A16559" s="1" t="s">
        <v>27817</v>
      </c>
      <c r="B16559" s="2" t="s">
        <v>26284</v>
      </c>
      <c r="C16559" s="1" t="s">
        <v>5640</v>
      </c>
      <c r="D16559" s="1" t="s">
        <v>5641</v>
      </c>
    </row>
    <row r="16560">
      <c r="A16560" s="1" t="s">
        <v>27818</v>
      </c>
      <c r="B16560" s="2" t="s">
        <v>26286</v>
      </c>
      <c r="C16560" s="1" t="s">
        <v>5640</v>
      </c>
      <c r="D16560" s="1" t="s">
        <v>5641</v>
      </c>
    </row>
    <row r="16561">
      <c r="A16561" s="1" t="s">
        <v>27819</v>
      </c>
      <c r="B16561" s="2" t="s">
        <v>26288</v>
      </c>
      <c r="C16561" s="1" t="s">
        <v>5640</v>
      </c>
      <c r="D16561" s="1" t="s">
        <v>5641</v>
      </c>
    </row>
    <row r="16562">
      <c r="A16562" s="1" t="s">
        <v>27820</v>
      </c>
      <c r="B16562" s="2" t="s">
        <v>26290</v>
      </c>
      <c r="C16562" s="1" t="s">
        <v>5640</v>
      </c>
      <c r="D16562" s="1" t="s">
        <v>5641</v>
      </c>
    </row>
    <row r="16563">
      <c r="A16563" s="1" t="s">
        <v>27821</v>
      </c>
      <c r="B16563" s="2" t="s">
        <v>26292</v>
      </c>
      <c r="C16563" s="1" t="s">
        <v>5640</v>
      </c>
      <c r="D16563" s="1" t="s">
        <v>5641</v>
      </c>
    </row>
    <row r="16564">
      <c r="A16564" s="1" t="s">
        <v>27822</v>
      </c>
      <c r="B16564" s="2" t="s">
        <v>26294</v>
      </c>
      <c r="C16564" s="1" t="s">
        <v>5640</v>
      </c>
      <c r="D16564" s="1" t="s">
        <v>5641</v>
      </c>
    </row>
    <row r="16565">
      <c r="A16565" s="1" t="s">
        <v>27823</v>
      </c>
      <c r="B16565" s="2" t="s">
        <v>26296</v>
      </c>
      <c r="C16565" s="1" t="s">
        <v>5640</v>
      </c>
      <c r="D16565" s="1" t="s">
        <v>5641</v>
      </c>
    </row>
    <row r="16566">
      <c r="A16566" s="1" t="s">
        <v>27824</v>
      </c>
      <c r="B16566" s="2" t="s">
        <v>26298</v>
      </c>
      <c r="C16566" s="1" t="s">
        <v>5640</v>
      </c>
      <c r="D16566" s="1" t="s">
        <v>5641</v>
      </c>
    </row>
    <row r="16567">
      <c r="A16567" s="1" t="s">
        <v>27825</v>
      </c>
      <c r="B16567" s="2" t="s">
        <v>26300</v>
      </c>
      <c r="C16567" s="1" t="s">
        <v>5640</v>
      </c>
      <c r="D16567" s="1" t="s">
        <v>5641</v>
      </c>
    </row>
    <row r="16568">
      <c r="A16568" s="1" t="s">
        <v>27826</v>
      </c>
      <c r="B16568" s="2" t="s">
        <v>26302</v>
      </c>
      <c r="C16568" s="1" t="s">
        <v>5640</v>
      </c>
      <c r="D16568" s="1" t="s">
        <v>5641</v>
      </c>
    </row>
    <row r="16569">
      <c r="A16569" s="1" t="s">
        <v>27827</v>
      </c>
      <c r="B16569" s="2" t="s">
        <v>26304</v>
      </c>
      <c r="C16569" s="1" t="s">
        <v>5640</v>
      </c>
      <c r="D16569" s="1" t="s">
        <v>5641</v>
      </c>
    </row>
    <row r="16570">
      <c r="A16570" s="1" t="s">
        <v>27828</v>
      </c>
      <c r="B16570" s="2" t="s">
        <v>26306</v>
      </c>
      <c r="C16570" s="1" t="s">
        <v>5640</v>
      </c>
      <c r="D16570" s="1" t="s">
        <v>5641</v>
      </c>
    </row>
    <row r="16571">
      <c r="A16571" s="1" t="s">
        <v>27829</v>
      </c>
      <c r="B16571" s="2" t="s">
        <v>26308</v>
      </c>
      <c r="C16571" s="1" t="s">
        <v>5640</v>
      </c>
      <c r="D16571" s="1" t="s">
        <v>5641</v>
      </c>
    </row>
    <row r="16572">
      <c r="A16572" s="1" t="s">
        <v>27830</v>
      </c>
      <c r="B16572" s="2" t="s">
        <v>26310</v>
      </c>
      <c r="C16572" s="1" t="s">
        <v>5640</v>
      </c>
      <c r="D16572" s="1" t="s">
        <v>5641</v>
      </c>
    </row>
    <row r="16573">
      <c r="A16573" s="1" t="s">
        <v>27831</v>
      </c>
      <c r="B16573" s="2" t="s">
        <v>26312</v>
      </c>
      <c r="C16573" s="1" t="s">
        <v>5640</v>
      </c>
      <c r="D16573" s="1" t="s">
        <v>5641</v>
      </c>
    </row>
    <row r="16574">
      <c r="A16574" s="1" t="s">
        <v>27832</v>
      </c>
      <c r="B16574" s="2" t="s">
        <v>26314</v>
      </c>
      <c r="C16574" s="1" t="s">
        <v>5640</v>
      </c>
      <c r="D16574" s="1" t="s">
        <v>5641</v>
      </c>
    </row>
    <row r="16575">
      <c r="A16575" s="1" t="s">
        <v>27833</v>
      </c>
      <c r="B16575" s="2" t="s">
        <v>26316</v>
      </c>
      <c r="C16575" s="1" t="s">
        <v>5640</v>
      </c>
      <c r="D16575" s="1" t="s">
        <v>5641</v>
      </c>
    </row>
    <row r="16576">
      <c r="A16576" s="1" t="s">
        <v>27834</v>
      </c>
      <c r="B16576" s="2" t="s">
        <v>26318</v>
      </c>
      <c r="C16576" s="1" t="s">
        <v>5640</v>
      </c>
      <c r="D16576" s="1" t="s">
        <v>5641</v>
      </c>
    </row>
    <row r="16577">
      <c r="A16577" s="1" t="s">
        <v>27835</v>
      </c>
      <c r="B16577" s="2" t="s">
        <v>26320</v>
      </c>
      <c r="C16577" s="1" t="s">
        <v>5640</v>
      </c>
      <c r="D16577" s="1" t="s">
        <v>5641</v>
      </c>
    </row>
    <row r="16578">
      <c r="A16578" s="1" t="s">
        <v>27836</v>
      </c>
      <c r="B16578" s="2" t="s">
        <v>26322</v>
      </c>
      <c r="C16578" s="1" t="s">
        <v>5640</v>
      </c>
      <c r="D16578" s="1" t="s">
        <v>5641</v>
      </c>
    </row>
    <row r="16579">
      <c r="A16579" s="1" t="s">
        <v>27837</v>
      </c>
      <c r="B16579" s="2" t="s">
        <v>26324</v>
      </c>
      <c r="C16579" s="1" t="s">
        <v>5640</v>
      </c>
      <c r="D16579" s="1" t="s">
        <v>5641</v>
      </c>
    </row>
    <row r="16580">
      <c r="A16580" s="1" t="s">
        <v>27838</v>
      </c>
      <c r="B16580" s="2" t="s">
        <v>26326</v>
      </c>
      <c r="C16580" s="1" t="s">
        <v>5640</v>
      </c>
      <c r="D16580" s="1" t="s">
        <v>5641</v>
      </c>
    </row>
    <row r="16581">
      <c r="A16581" s="1" t="s">
        <v>27839</v>
      </c>
      <c r="B16581" s="2" t="s">
        <v>26328</v>
      </c>
      <c r="C16581" s="1" t="s">
        <v>5640</v>
      </c>
      <c r="D16581" s="1" t="s">
        <v>5641</v>
      </c>
    </row>
    <row r="16582">
      <c r="A16582" s="1" t="s">
        <v>27840</v>
      </c>
      <c r="B16582" s="2" t="s">
        <v>26330</v>
      </c>
      <c r="C16582" s="1" t="s">
        <v>5640</v>
      </c>
      <c r="D16582" s="1" t="s">
        <v>5641</v>
      </c>
    </row>
    <row r="16583">
      <c r="A16583" s="1" t="s">
        <v>27841</v>
      </c>
      <c r="B16583" s="2" t="s">
        <v>26332</v>
      </c>
      <c r="C16583" s="1" t="s">
        <v>5640</v>
      </c>
      <c r="D16583" s="1" t="s">
        <v>5641</v>
      </c>
    </row>
    <row r="16584">
      <c r="A16584" s="1" t="s">
        <v>27842</v>
      </c>
      <c r="B16584" s="2" t="s">
        <v>26334</v>
      </c>
      <c r="C16584" s="1" t="s">
        <v>5640</v>
      </c>
      <c r="D16584" s="1" t="s">
        <v>5641</v>
      </c>
    </row>
    <row r="16585">
      <c r="A16585" s="1" t="s">
        <v>27843</v>
      </c>
      <c r="B16585" s="2" t="s">
        <v>26336</v>
      </c>
      <c r="C16585" s="1" t="s">
        <v>5640</v>
      </c>
      <c r="D16585" s="1" t="s">
        <v>5641</v>
      </c>
    </row>
    <row r="16586">
      <c r="A16586" s="1" t="s">
        <v>27844</v>
      </c>
      <c r="B16586" s="2" t="s">
        <v>26338</v>
      </c>
      <c r="C16586" s="1" t="s">
        <v>5640</v>
      </c>
      <c r="D16586" s="1" t="s">
        <v>5641</v>
      </c>
    </row>
    <row r="16587">
      <c r="A16587" s="1" t="s">
        <v>27845</v>
      </c>
      <c r="B16587" s="2" t="s">
        <v>26340</v>
      </c>
      <c r="C16587" s="1" t="s">
        <v>5640</v>
      </c>
      <c r="D16587" s="1" t="s">
        <v>5641</v>
      </c>
    </row>
    <row r="16588">
      <c r="A16588" s="1" t="s">
        <v>27846</v>
      </c>
      <c r="B16588" s="2" t="s">
        <v>26342</v>
      </c>
      <c r="C16588" s="1" t="s">
        <v>5640</v>
      </c>
      <c r="D16588" s="1" t="s">
        <v>5641</v>
      </c>
    </row>
    <row r="16589">
      <c r="A16589" s="1" t="s">
        <v>27847</v>
      </c>
      <c r="B16589" s="2" t="s">
        <v>26344</v>
      </c>
      <c r="C16589" s="1" t="s">
        <v>5640</v>
      </c>
      <c r="D16589" s="1" t="s">
        <v>5641</v>
      </c>
    </row>
    <row r="16590">
      <c r="A16590" s="1" t="s">
        <v>27848</v>
      </c>
      <c r="B16590" s="2" t="s">
        <v>26346</v>
      </c>
      <c r="C16590" s="1" t="s">
        <v>5640</v>
      </c>
      <c r="D16590" s="1" t="s">
        <v>5641</v>
      </c>
    </row>
    <row r="16591">
      <c r="A16591" s="1" t="s">
        <v>27849</v>
      </c>
      <c r="B16591" s="2" t="s">
        <v>26348</v>
      </c>
      <c r="C16591" s="1" t="s">
        <v>5640</v>
      </c>
      <c r="D16591" s="1" t="s">
        <v>5641</v>
      </c>
    </row>
    <row r="16592">
      <c r="A16592" s="1" t="s">
        <v>27850</v>
      </c>
      <c r="B16592" s="2" t="s">
        <v>26350</v>
      </c>
      <c r="C16592" s="1" t="s">
        <v>5640</v>
      </c>
      <c r="D16592" s="1" t="s">
        <v>5641</v>
      </c>
    </row>
    <row r="16593">
      <c r="A16593" s="1" t="s">
        <v>27851</v>
      </c>
      <c r="B16593" s="2" t="s">
        <v>26352</v>
      </c>
      <c r="C16593" s="1" t="s">
        <v>5640</v>
      </c>
      <c r="D16593" s="1" t="s">
        <v>5641</v>
      </c>
    </row>
    <row r="16594">
      <c r="A16594" s="1" t="s">
        <v>27852</v>
      </c>
      <c r="B16594" s="2" t="s">
        <v>26354</v>
      </c>
      <c r="C16594" s="1" t="s">
        <v>5640</v>
      </c>
      <c r="D16594" s="1" t="s">
        <v>5641</v>
      </c>
    </row>
    <row r="16595">
      <c r="A16595" s="1" t="s">
        <v>27853</v>
      </c>
      <c r="B16595" s="2" t="s">
        <v>26356</v>
      </c>
      <c r="C16595" s="1" t="s">
        <v>5640</v>
      </c>
      <c r="D16595" s="1" t="s">
        <v>5641</v>
      </c>
    </row>
    <row r="16596">
      <c r="A16596" s="1" t="s">
        <v>27854</v>
      </c>
      <c r="B16596" s="2" t="s">
        <v>26358</v>
      </c>
      <c r="C16596" s="1" t="s">
        <v>5640</v>
      </c>
      <c r="D16596" s="1" t="s">
        <v>5641</v>
      </c>
    </row>
    <row r="16597">
      <c r="A16597" s="1" t="s">
        <v>27855</v>
      </c>
      <c r="B16597" s="2" t="s">
        <v>26360</v>
      </c>
      <c r="C16597" s="1" t="s">
        <v>5640</v>
      </c>
      <c r="D16597" s="1" t="s">
        <v>5641</v>
      </c>
    </row>
    <row r="16598">
      <c r="A16598" s="1" t="s">
        <v>27856</v>
      </c>
      <c r="B16598" s="2" t="s">
        <v>26362</v>
      </c>
      <c r="C16598" s="1" t="s">
        <v>5640</v>
      </c>
      <c r="D16598" s="1" t="s">
        <v>5641</v>
      </c>
    </row>
    <row r="16599">
      <c r="A16599" s="1" t="s">
        <v>27857</v>
      </c>
      <c r="B16599" s="2" t="s">
        <v>26364</v>
      </c>
      <c r="C16599" s="1" t="s">
        <v>5640</v>
      </c>
      <c r="D16599" s="1" t="s">
        <v>5641</v>
      </c>
    </row>
    <row r="16600">
      <c r="A16600" s="1" t="s">
        <v>27858</v>
      </c>
      <c r="B16600" s="2" t="s">
        <v>26366</v>
      </c>
      <c r="C16600" s="1" t="s">
        <v>5640</v>
      </c>
      <c r="D16600" s="1" t="s">
        <v>5641</v>
      </c>
    </row>
    <row r="16601">
      <c r="A16601" s="1" t="s">
        <v>27859</v>
      </c>
      <c r="B16601" s="2" t="s">
        <v>26368</v>
      </c>
      <c r="C16601" s="1" t="s">
        <v>5640</v>
      </c>
      <c r="D16601" s="1" t="s">
        <v>5641</v>
      </c>
    </row>
    <row r="16602">
      <c r="A16602" s="1" t="s">
        <v>27860</v>
      </c>
      <c r="B16602" s="2" t="s">
        <v>26370</v>
      </c>
      <c r="C16602" s="1" t="s">
        <v>5640</v>
      </c>
      <c r="D16602" s="1" t="s">
        <v>5641</v>
      </c>
    </row>
    <row r="16603">
      <c r="A16603" s="1" t="s">
        <v>27861</v>
      </c>
      <c r="B16603" s="2" t="s">
        <v>26372</v>
      </c>
      <c r="C16603" s="1" t="s">
        <v>5640</v>
      </c>
      <c r="D16603" s="1" t="s">
        <v>5641</v>
      </c>
    </row>
    <row r="16604">
      <c r="A16604" s="1" t="s">
        <v>27862</v>
      </c>
      <c r="B16604" s="2" t="s">
        <v>26374</v>
      </c>
      <c r="C16604" s="1" t="s">
        <v>5640</v>
      </c>
      <c r="D16604" s="1" t="s">
        <v>5641</v>
      </c>
    </row>
    <row r="16605">
      <c r="A16605" s="1" t="s">
        <v>27863</v>
      </c>
      <c r="B16605" s="2" t="s">
        <v>26376</v>
      </c>
      <c r="C16605" s="1" t="s">
        <v>5640</v>
      </c>
      <c r="D16605" s="1" t="s">
        <v>5641</v>
      </c>
    </row>
    <row r="16606">
      <c r="A16606" s="1" t="s">
        <v>27864</v>
      </c>
      <c r="B16606" s="2" t="s">
        <v>26378</v>
      </c>
      <c r="C16606" s="1" t="s">
        <v>5640</v>
      </c>
      <c r="D16606" s="1" t="s">
        <v>5641</v>
      </c>
    </row>
    <row r="16607">
      <c r="A16607" s="1" t="s">
        <v>27865</v>
      </c>
      <c r="B16607" s="2" t="s">
        <v>26380</v>
      </c>
      <c r="C16607" s="1" t="s">
        <v>5640</v>
      </c>
      <c r="D16607" s="1" t="s">
        <v>5641</v>
      </c>
    </row>
    <row r="16608">
      <c r="A16608" s="1" t="s">
        <v>27866</v>
      </c>
      <c r="B16608" s="2" t="s">
        <v>26382</v>
      </c>
      <c r="C16608" s="1" t="s">
        <v>5640</v>
      </c>
      <c r="D16608" s="1" t="s">
        <v>5641</v>
      </c>
    </row>
    <row r="16609">
      <c r="A16609" s="1" t="s">
        <v>27867</v>
      </c>
      <c r="B16609" s="2" t="s">
        <v>26384</v>
      </c>
      <c r="C16609" s="1" t="s">
        <v>5640</v>
      </c>
      <c r="D16609" s="1" t="s">
        <v>5641</v>
      </c>
    </row>
    <row r="16610">
      <c r="A16610" s="1" t="s">
        <v>27868</v>
      </c>
      <c r="B16610" s="2" t="s">
        <v>26386</v>
      </c>
      <c r="C16610" s="1" t="s">
        <v>5640</v>
      </c>
      <c r="D16610" s="1" t="s">
        <v>5641</v>
      </c>
    </row>
    <row r="16611">
      <c r="A16611" s="1" t="s">
        <v>27869</v>
      </c>
      <c r="B16611" s="2" t="s">
        <v>26388</v>
      </c>
      <c r="C16611" s="1" t="s">
        <v>5640</v>
      </c>
      <c r="D16611" s="1" t="s">
        <v>5641</v>
      </c>
    </row>
    <row r="16612">
      <c r="A16612" s="1" t="s">
        <v>27870</v>
      </c>
      <c r="B16612" s="2" t="s">
        <v>26390</v>
      </c>
      <c r="C16612" s="1" t="s">
        <v>5640</v>
      </c>
      <c r="D16612" s="1" t="s">
        <v>5641</v>
      </c>
    </row>
    <row r="16613">
      <c r="A16613" s="1" t="s">
        <v>27871</v>
      </c>
      <c r="B16613" s="2" t="s">
        <v>26392</v>
      </c>
      <c r="C16613" s="1" t="s">
        <v>5640</v>
      </c>
      <c r="D16613" s="1" t="s">
        <v>5641</v>
      </c>
    </row>
    <row r="16614">
      <c r="A16614" s="1" t="s">
        <v>27872</v>
      </c>
      <c r="B16614" s="2" t="s">
        <v>26394</v>
      </c>
      <c r="C16614" s="1" t="s">
        <v>5640</v>
      </c>
      <c r="D16614" s="1" t="s">
        <v>5641</v>
      </c>
    </row>
    <row r="16615">
      <c r="A16615" s="1" t="s">
        <v>27873</v>
      </c>
      <c r="B16615" s="2" t="s">
        <v>26396</v>
      </c>
      <c r="C16615" s="1" t="s">
        <v>5640</v>
      </c>
      <c r="D16615" s="1" t="s">
        <v>5641</v>
      </c>
    </row>
    <row r="16616">
      <c r="A16616" s="1" t="s">
        <v>27874</v>
      </c>
      <c r="B16616" s="2" t="s">
        <v>26398</v>
      </c>
      <c r="C16616" s="1" t="s">
        <v>5640</v>
      </c>
      <c r="D16616" s="1" t="s">
        <v>5641</v>
      </c>
    </row>
    <row r="16617">
      <c r="A16617" s="1" t="s">
        <v>27875</v>
      </c>
      <c r="B16617" s="2" t="s">
        <v>26400</v>
      </c>
      <c r="C16617" s="1" t="s">
        <v>5640</v>
      </c>
      <c r="D16617" s="1" t="s">
        <v>5641</v>
      </c>
    </row>
    <row r="16618">
      <c r="A16618" s="1" t="s">
        <v>27876</v>
      </c>
      <c r="B16618" s="2" t="s">
        <v>26402</v>
      </c>
      <c r="C16618" s="1" t="s">
        <v>5640</v>
      </c>
      <c r="D16618" s="1" t="s">
        <v>5641</v>
      </c>
    </row>
    <row r="16619">
      <c r="A16619" s="1" t="s">
        <v>27877</v>
      </c>
      <c r="B16619" s="2" t="s">
        <v>26404</v>
      </c>
      <c r="C16619" s="1" t="s">
        <v>5640</v>
      </c>
      <c r="D16619" s="1" t="s">
        <v>5641</v>
      </c>
    </row>
    <row r="16620">
      <c r="A16620" s="1" t="s">
        <v>27878</v>
      </c>
      <c r="B16620" s="2" t="s">
        <v>26406</v>
      </c>
      <c r="C16620" s="1" t="s">
        <v>5640</v>
      </c>
      <c r="D16620" s="1" t="s">
        <v>5641</v>
      </c>
    </row>
    <row r="16621">
      <c r="A16621" s="1" t="s">
        <v>27879</v>
      </c>
      <c r="B16621" s="2" t="s">
        <v>26408</v>
      </c>
      <c r="C16621" s="1" t="s">
        <v>5640</v>
      </c>
      <c r="D16621" s="1" t="s">
        <v>5641</v>
      </c>
    </row>
    <row r="16622">
      <c r="A16622" s="1" t="s">
        <v>27880</v>
      </c>
      <c r="B16622" s="2" t="s">
        <v>26410</v>
      </c>
      <c r="C16622" s="1" t="s">
        <v>5640</v>
      </c>
      <c r="D16622" s="1" t="s">
        <v>5641</v>
      </c>
    </row>
    <row r="16623">
      <c r="A16623" s="1" t="s">
        <v>27881</v>
      </c>
      <c r="B16623" s="2" t="s">
        <v>26412</v>
      </c>
      <c r="C16623" s="1" t="s">
        <v>5640</v>
      </c>
      <c r="D16623" s="1" t="s">
        <v>5641</v>
      </c>
    </row>
    <row r="16624">
      <c r="A16624" s="1" t="s">
        <v>27882</v>
      </c>
      <c r="B16624" s="2" t="s">
        <v>26414</v>
      </c>
      <c r="C16624" s="1" t="s">
        <v>5640</v>
      </c>
      <c r="D16624" s="1" t="s">
        <v>5641</v>
      </c>
    </row>
    <row r="16625">
      <c r="A16625" s="1" t="s">
        <v>27883</v>
      </c>
      <c r="B16625" s="2" t="s">
        <v>26416</v>
      </c>
      <c r="C16625" s="1" t="s">
        <v>5640</v>
      </c>
      <c r="D16625" s="1" t="s">
        <v>5641</v>
      </c>
    </row>
    <row r="16626">
      <c r="A16626" s="1" t="s">
        <v>27884</v>
      </c>
      <c r="B16626" s="2" t="s">
        <v>26418</v>
      </c>
      <c r="C16626" s="1" t="s">
        <v>5640</v>
      </c>
      <c r="D16626" s="1" t="s">
        <v>5641</v>
      </c>
    </row>
    <row r="16627">
      <c r="A16627" s="1" t="s">
        <v>27885</v>
      </c>
      <c r="B16627" s="2" t="s">
        <v>26420</v>
      </c>
      <c r="C16627" s="1" t="s">
        <v>5640</v>
      </c>
      <c r="D16627" s="1" t="s">
        <v>5641</v>
      </c>
    </row>
    <row r="16628">
      <c r="A16628" s="1" t="s">
        <v>27886</v>
      </c>
      <c r="B16628" s="2" t="s">
        <v>26422</v>
      </c>
      <c r="C16628" s="1" t="s">
        <v>5640</v>
      </c>
      <c r="D16628" s="1" t="s">
        <v>5641</v>
      </c>
    </row>
    <row r="16629">
      <c r="A16629" s="1" t="s">
        <v>27887</v>
      </c>
      <c r="B16629" s="2" t="s">
        <v>26424</v>
      </c>
      <c r="C16629" s="1" t="s">
        <v>5640</v>
      </c>
      <c r="D16629" s="1" t="s">
        <v>5641</v>
      </c>
    </row>
    <row r="16630">
      <c r="A16630" s="1" t="s">
        <v>27888</v>
      </c>
      <c r="B16630" s="2" t="s">
        <v>26426</v>
      </c>
      <c r="C16630" s="1" t="s">
        <v>5640</v>
      </c>
      <c r="D16630" s="1" t="s">
        <v>5641</v>
      </c>
    </row>
    <row r="16631">
      <c r="A16631" s="1" t="s">
        <v>27889</v>
      </c>
      <c r="B16631" s="2" t="s">
        <v>26428</v>
      </c>
      <c r="C16631" s="1" t="s">
        <v>5640</v>
      </c>
      <c r="D16631" s="1" t="s">
        <v>5641</v>
      </c>
    </row>
    <row r="16632">
      <c r="A16632" s="1" t="s">
        <v>27890</v>
      </c>
      <c r="B16632" s="2" t="s">
        <v>26430</v>
      </c>
      <c r="C16632" s="1" t="s">
        <v>5640</v>
      </c>
      <c r="D16632" s="1" t="s">
        <v>5641</v>
      </c>
    </row>
    <row r="16633">
      <c r="A16633" s="1" t="s">
        <v>27891</v>
      </c>
      <c r="B16633" s="2" t="s">
        <v>26432</v>
      </c>
      <c r="C16633" s="1" t="s">
        <v>5640</v>
      </c>
      <c r="D16633" s="1" t="s">
        <v>5641</v>
      </c>
    </row>
    <row r="16634">
      <c r="A16634" s="1" t="s">
        <v>27892</v>
      </c>
      <c r="B16634" s="2" t="s">
        <v>26434</v>
      </c>
      <c r="C16634" s="1" t="s">
        <v>5640</v>
      </c>
      <c r="D16634" s="1" t="s">
        <v>5641</v>
      </c>
    </row>
    <row r="16635">
      <c r="A16635" s="1" t="s">
        <v>27893</v>
      </c>
      <c r="B16635" s="2" t="s">
        <v>26436</v>
      </c>
      <c r="C16635" s="1" t="s">
        <v>5640</v>
      </c>
      <c r="D16635" s="1" t="s">
        <v>5641</v>
      </c>
    </row>
    <row r="16636">
      <c r="A16636" s="1" t="s">
        <v>27894</v>
      </c>
      <c r="B16636" s="2" t="s">
        <v>26438</v>
      </c>
      <c r="C16636" s="1" t="s">
        <v>5640</v>
      </c>
      <c r="D16636" s="1" t="s">
        <v>5641</v>
      </c>
    </row>
    <row r="16637">
      <c r="A16637" s="1" t="s">
        <v>27895</v>
      </c>
      <c r="B16637" s="2" t="s">
        <v>26440</v>
      </c>
      <c r="C16637" s="1" t="s">
        <v>5640</v>
      </c>
      <c r="D16637" s="1" t="s">
        <v>5641</v>
      </c>
    </row>
    <row r="16638">
      <c r="A16638" s="1" t="s">
        <v>27896</v>
      </c>
      <c r="B16638" s="2" t="s">
        <v>26442</v>
      </c>
      <c r="C16638" s="1" t="s">
        <v>5640</v>
      </c>
      <c r="D16638" s="1" t="s">
        <v>5641</v>
      </c>
    </row>
    <row r="16639">
      <c r="A16639" s="1" t="s">
        <v>27897</v>
      </c>
      <c r="B16639" s="2" t="s">
        <v>26444</v>
      </c>
      <c r="C16639" s="1" t="s">
        <v>5640</v>
      </c>
      <c r="D16639" s="1" t="s">
        <v>5641</v>
      </c>
    </row>
    <row r="16640">
      <c r="A16640" s="1" t="s">
        <v>27898</v>
      </c>
      <c r="B16640" s="2" t="s">
        <v>26446</v>
      </c>
      <c r="C16640" s="1" t="s">
        <v>5640</v>
      </c>
      <c r="D16640" s="1" t="s">
        <v>5641</v>
      </c>
    </row>
    <row r="16641">
      <c r="A16641" s="1" t="s">
        <v>27899</v>
      </c>
      <c r="B16641" s="2" t="s">
        <v>26448</v>
      </c>
      <c r="C16641" s="1" t="s">
        <v>5640</v>
      </c>
      <c r="D16641" s="1" t="s">
        <v>5641</v>
      </c>
    </row>
    <row r="16642">
      <c r="A16642" s="1" t="s">
        <v>27900</v>
      </c>
      <c r="B16642" s="2" t="s">
        <v>26450</v>
      </c>
      <c r="C16642" s="1" t="s">
        <v>5640</v>
      </c>
      <c r="D16642" s="1" t="s">
        <v>5641</v>
      </c>
    </row>
    <row r="16643">
      <c r="A16643" s="1" t="s">
        <v>27901</v>
      </c>
      <c r="B16643" s="2" t="s">
        <v>26452</v>
      </c>
      <c r="C16643" s="1" t="s">
        <v>5640</v>
      </c>
      <c r="D16643" s="1" t="s">
        <v>5641</v>
      </c>
    </row>
    <row r="16644">
      <c r="A16644" s="1" t="s">
        <v>27902</v>
      </c>
      <c r="B16644" s="2" t="s">
        <v>26454</v>
      </c>
      <c r="C16644" s="1" t="s">
        <v>5640</v>
      </c>
      <c r="D16644" s="1" t="s">
        <v>5641</v>
      </c>
    </row>
    <row r="16645">
      <c r="A16645" s="1" t="s">
        <v>27903</v>
      </c>
      <c r="B16645" s="2" t="s">
        <v>26456</v>
      </c>
      <c r="C16645" s="1" t="s">
        <v>5640</v>
      </c>
      <c r="D16645" s="1" t="s">
        <v>5641</v>
      </c>
    </row>
    <row r="16646">
      <c r="A16646" s="1" t="s">
        <v>27904</v>
      </c>
      <c r="B16646" s="2" t="s">
        <v>26458</v>
      </c>
      <c r="C16646" s="1" t="s">
        <v>5640</v>
      </c>
      <c r="D16646" s="1" t="s">
        <v>5641</v>
      </c>
    </row>
    <row r="16647">
      <c r="A16647" s="1" t="s">
        <v>27905</v>
      </c>
      <c r="B16647" s="2" t="s">
        <v>26460</v>
      </c>
      <c r="C16647" s="1" t="s">
        <v>5640</v>
      </c>
      <c r="D16647" s="1" t="s">
        <v>5641</v>
      </c>
    </row>
    <row r="16648">
      <c r="A16648" s="1" t="s">
        <v>27906</v>
      </c>
      <c r="B16648" s="2" t="s">
        <v>26462</v>
      </c>
      <c r="C16648" s="1" t="s">
        <v>5640</v>
      </c>
      <c r="D16648" s="1" t="s">
        <v>5641</v>
      </c>
    </row>
    <row r="16649">
      <c r="A16649" s="1" t="s">
        <v>27907</v>
      </c>
      <c r="B16649" s="2" t="s">
        <v>26464</v>
      </c>
      <c r="C16649" s="1" t="s">
        <v>5640</v>
      </c>
      <c r="D16649" s="1" t="s">
        <v>5641</v>
      </c>
    </row>
    <row r="16650">
      <c r="A16650" s="1" t="s">
        <v>27908</v>
      </c>
      <c r="B16650" s="2" t="s">
        <v>26466</v>
      </c>
      <c r="C16650" s="1" t="s">
        <v>5640</v>
      </c>
      <c r="D16650" s="1" t="s">
        <v>5641</v>
      </c>
    </row>
    <row r="16651">
      <c r="A16651" s="1" t="s">
        <v>27909</v>
      </c>
      <c r="B16651" s="2" t="s">
        <v>26468</v>
      </c>
      <c r="C16651" s="1" t="s">
        <v>5640</v>
      </c>
      <c r="D16651" s="1" t="s">
        <v>5641</v>
      </c>
    </row>
    <row r="16652">
      <c r="A16652" s="1" t="s">
        <v>27910</v>
      </c>
      <c r="B16652" s="2" t="s">
        <v>26470</v>
      </c>
      <c r="C16652" s="1" t="s">
        <v>5640</v>
      </c>
      <c r="D16652" s="1" t="s">
        <v>5641</v>
      </c>
    </row>
    <row r="16653">
      <c r="A16653" s="1" t="s">
        <v>27911</v>
      </c>
      <c r="B16653" s="2" t="s">
        <v>26472</v>
      </c>
      <c r="C16653" s="1" t="s">
        <v>5640</v>
      </c>
      <c r="D16653" s="1" t="s">
        <v>5641</v>
      </c>
    </row>
    <row r="16654">
      <c r="A16654" s="1" t="s">
        <v>27912</v>
      </c>
      <c r="B16654" s="2" t="s">
        <v>26474</v>
      </c>
      <c r="C16654" s="1" t="s">
        <v>5640</v>
      </c>
      <c r="D16654" s="1" t="s">
        <v>5641</v>
      </c>
    </row>
    <row r="16655">
      <c r="A16655" s="1" t="s">
        <v>27913</v>
      </c>
      <c r="B16655" s="2" t="s">
        <v>26476</v>
      </c>
      <c r="C16655" s="1" t="s">
        <v>5640</v>
      </c>
      <c r="D16655" s="1" t="s">
        <v>5641</v>
      </c>
    </row>
    <row r="16656">
      <c r="A16656" s="1" t="s">
        <v>27914</v>
      </c>
      <c r="B16656" s="2" t="s">
        <v>26478</v>
      </c>
      <c r="C16656" s="1" t="s">
        <v>5640</v>
      </c>
      <c r="D16656" s="1" t="s">
        <v>5641</v>
      </c>
    </row>
    <row r="16657">
      <c r="A16657" s="1" t="s">
        <v>27915</v>
      </c>
      <c r="B16657" s="2" t="s">
        <v>26480</v>
      </c>
      <c r="C16657" s="1" t="s">
        <v>5640</v>
      </c>
      <c r="D16657" s="1" t="s">
        <v>5641</v>
      </c>
    </row>
    <row r="16658">
      <c r="A16658" s="1" t="s">
        <v>27916</v>
      </c>
      <c r="B16658" s="2" t="s">
        <v>26482</v>
      </c>
      <c r="C16658" s="1" t="s">
        <v>5640</v>
      </c>
      <c r="D16658" s="1" t="s">
        <v>5641</v>
      </c>
    </row>
    <row r="16659">
      <c r="A16659" s="1" t="s">
        <v>27917</v>
      </c>
      <c r="B16659" s="2" t="s">
        <v>26484</v>
      </c>
      <c r="C16659" s="1" t="s">
        <v>5640</v>
      </c>
      <c r="D16659" s="1" t="s">
        <v>5641</v>
      </c>
    </row>
    <row r="16660">
      <c r="A16660" s="1" t="s">
        <v>27918</v>
      </c>
      <c r="B16660" s="2" t="s">
        <v>26486</v>
      </c>
      <c r="C16660" s="1" t="s">
        <v>5640</v>
      </c>
      <c r="D16660" s="1" t="s">
        <v>5641</v>
      </c>
    </row>
    <row r="16661">
      <c r="A16661" s="1" t="s">
        <v>27919</v>
      </c>
      <c r="B16661" s="2" t="s">
        <v>26488</v>
      </c>
      <c r="C16661" s="1" t="s">
        <v>5640</v>
      </c>
      <c r="D16661" s="1" t="s">
        <v>5641</v>
      </c>
    </row>
    <row r="16662">
      <c r="A16662" s="1" t="s">
        <v>27920</v>
      </c>
      <c r="B16662" s="2" t="s">
        <v>26490</v>
      </c>
      <c r="C16662" s="1" t="s">
        <v>5640</v>
      </c>
      <c r="D16662" s="1" t="s">
        <v>5641</v>
      </c>
    </row>
    <row r="16663">
      <c r="A16663" s="1" t="s">
        <v>27921</v>
      </c>
      <c r="B16663" s="2" t="s">
        <v>26492</v>
      </c>
      <c r="C16663" s="1" t="s">
        <v>5640</v>
      </c>
      <c r="D16663" s="1" t="s">
        <v>5641</v>
      </c>
    </row>
    <row r="16664">
      <c r="A16664" s="1" t="s">
        <v>27922</v>
      </c>
      <c r="B16664" s="2" t="s">
        <v>26494</v>
      </c>
      <c r="C16664" s="1" t="s">
        <v>5640</v>
      </c>
      <c r="D16664" s="1" t="s">
        <v>5641</v>
      </c>
    </row>
    <row r="16665">
      <c r="A16665" s="1" t="s">
        <v>27923</v>
      </c>
      <c r="B16665" s="2" t="s">
        <v>26496</v>
      </c>
      <c r="C16665" s="1" t="s">
        <v>5640</v>
      </c>
      <c r="D16665" s="1" t="s">
        <v>5641</v>
      </c>
    </row>
    <row r="16666">
      <c r="A16666" s="1" t="s">
        <v>27924</v>
      </c>
      <c r="B16666" s="2" t="s">
        <v>26498</v>
      </c>
      <c r="C16666" s="1" t="s">
        <v>5640</v>
      </c>
      <c r="D16666" s="1" t="s">
        <v>5641</v>
      </c>
    </row>
    <row r="16667">
      <c r="A16667" s="1" t="s">
        <v>27925</v>
      </c>
      <c r="B16667" s="2" t="s">
        <v>26500</v>
      </c>
      <c r="C16667" s="1" t="s">
        <v>5640</v>
      </c>
      <c r="D16667" s="1" t="s">
        <v>5641</v>
      </c>
    </row>
    <row r="16668">
      <c r="A16668" s="1" t="s">
        <v>27926</v>
      </c>
      <c r="B16668" s="2" t="s">
        <v>26502</v>
      </c>
      <c r="C16668" s="1" t="s">
        <v>5640</v>
      </c>
      <c r="D16668" s="1" t="s">
        <v>5641</v>
      </c>
    </row>
    <row r="16669">
      <c r="A16669" s="1" t="s">
        <v>27927</v>
      </c>
      <c r="B16669" s="2" t="s">
        <v>26504</v>
      </c>
      <c r="C16669" s="1" t="s">
        <v>5640</v>
      </c>
      <c r="D16669" s="1" t="s">
        <v>5641</v>
      </c>
    </row>
    <row r="16670">
      <c r="A16670" s="1" t="s">
        <v>27928</v>
      </c>
      <c r="B16670" s="2" t="s">
        <v>26506</v>
      </c>
      <c r="C16670" s="1" t="s">
        <v>5640</v>
      </c>
      <c r="D16670" s="1" t="s">
        <v>5641</v>
      </c>
    </row>
    <row r="16671">
      <c r="A16671" s="1" t="s">
        <v>27929</v>
      </c>
      <c r="B16671" s="2" t="s">
        <v>26508</v>
      </c>
      <c r="C16671" s="1" t="s">
        <v>5640</v>
      </c>
      <c r="D16671" s="1" t="s">
        <v>5641</v>
      </c>
    </row>
    <row r="16672">
      <c r="A16672" s="1" t="s">
        <v>27930</v>
      </c>
      <c r="B16672" s="2" t="s">
        <v>26510</v>
      </c>
      <c r="C16672" s="1" t="s">
        <v>5640</v>
      </c>
      <c r="D16672" s="1" t="s">
        <v>5641</v>
      </c>
    </row>
    <row r="16673">
      <c r="A16673" s="1" t="s">
        <v>27931</v>
      </c>
      <c r="B16673" s="2" t="s">
        <v>26512</v>
      </c>
      <c r="C16673" s="1" t="s">
        <v>5640</v>
      </c>
      <c r="D16673" s="1" t="s">
        <v>5641</v>
      </c>
    </row>
    <row r="16674">
      <c r="A16674" s="1" t="s">
        <v>27932</v>
      </c>
      <c r="B16674" s="2" t="s">
        <v>26514</v>
      </c>
      <c r="C16674" s="1" t="s">
        <v>5640</v>
      </c>
      <c r="D16674" s="1" t="s">
        <v>5641</v>
      </c>
    </row>
    <row r="16675">
      <c r="A16675" s="1" t="s">
        <v>27933</v>
      </c>
      <c r="B16675" s="2" t="s">
        <v>26516</v>
      </c>
      <c r="C16675" s="1" t="s">
        <v>5640</v>
      </c>
      <c r="D16675" s="1" t="s">
        <v>5641</v>
      </c>
    </row>
    <row r="16676">
      <c r="A16676" s="1" t="s">
        <v>27934</v>
      </c>
      <c r="B16676" s="2" t="s">
        <v>26518</v>
      </c>
      <c r="C16676" s="1" t="s">
        <v>5640</v>
      </c>
      <c r="D16676" s="1" t="s">
        <v>5641</v>
      </c>
    </row>
    <row r="16677">
      <c r="A16677" s="1" t="s">
        <v>27935</v>
      </c>
      <c r="B16677" s="2" t="s">
        <v>26520</v>
      </c>
      <c r="C16677" s="1" t="s">
        <v>5640</v>
      </c>
      <c r="D16677" s="1" t="s">
        <v>5641</v>
      </c>
    </row>
    <row r="16678">
      <c r="A16678" s="1" t="s">
        <v>27936</v>
      </c>
      <c r="B16678" s="2" t="s">
        <v>26522</v>
      </c>
      <c r="C16678" s="1" t="s">
        <v>5640</v>
      </c>
      <c r="D16678" s="1" t="s">
        <v>5641</v>
      </c>
    </row>
    <row r="16679">
      <c r="A16679" s="1" t="s">
        <v>27937</v>
      </c>
      <c r="B16679" s="2" t="s">
        <v>26524</v>
      </c>
      <c r="C16679" s="1" t="s">
        <v>5640</v>
      </c>
      <c r="D16679" s="1" t="s">
        <v>5641</v>
      </c>
    </row>
    <row r="16680">
      <c r="A16680" s="1" t="s">
        <v>27938</v>
      </c>
      <c r="B16680" s="2" t="s">
        <v>26526</v>
      </c>
      <c r="C16680" s="1" t="s">
        <v>5640</v>
      </c>
      <c r="D16680" s="1" t="s">
        <v>5641</v>
      </c>
    </row>
    <row r="16681">
      <c r="A16681" s="1" t="s">
        <v>27939</v>
      </c>
      <c r="B16681" s="2" t="s">
        <v>26528</v>
      </c>
      <c r="C16681" s="1" t="s">
        <v>5640</v>
      </c>
      <c r="D16681" s="1" t="s">
        <v>5641</v>
      </c>
    </row>
    <row r="16682">
      <c r="A16682" s="1" t="s">
        <v>27940</v>
      </c>
      <c r="B16682" s="2" t="s">
        <v>26530</v>
      </c>
      <c r="C16682" s="1" t="s">
        <v>5640</v>
      </c>
      <c r="D16682" s="1" t="s">
        <v>5641</v>
      </c>
    </row>
    <row r="16683">
      <c r="A16683" s="1" t="s">
        <v>27941</v>
      </c>
      <c r="B16683" s="2" t="s">
        <v>26532</v>
      </c>
      <c r="C16683" s="1" t="s">
        <v>5640</v>
      </c>
      <c r="D16683" s="1" t="s">
        <v>5641</v>
      </c>
    </row>
    <row r="16684">
      <c r="A16684" s="1" t="s">
        <v>27942</v>
      </c>
      <c r="B16684" s="2" t="s">
        <v>26534</v>
      </c>
      <c r="C16684" s="1" t="s">
        <v>5640</v>
      </c>
      <c r="D16684" s="1" t="s">
        <v>5641</v>
      </c>
    </row>
    <row r="16685">
      <c r="A16685" s="1" t="s">
        <v>27943</v>
      </c>
      <c r="B16685" s="2" t="s">
        <v>26536</v>
      </c>
      <c r="C16685" s="1" t="s">
        <v>5640</v>
      </c>
      <c r="D16685" s="1" t="s">
        <v>5641</v>
      </c>
    </row>
    <row r="16686">
      <c r="A16686" s="1" t="s">
        <v>27944</v>
      </c>
      <c r="B16686" s="2" t="s">
        <v>26538</v>
      </c>
      <c r="C16686" s="1" t="s">
        <v>5640</v>
      </c>
      <c r="D16686" s="1" t="s">
        <v>5641</v>
      </c>
    </row>
    <row r="16687">
      <c r="A16687" s="1" t="s">
        <v>27945</v>
      </c>
      <c r="B16687" s="2" t="s">
        <v>26540</v>
      </c>
      <c r="C16687" s="1" t="s">
        <v>5640</v>
      </c>
      <c r="D16687" s="1" t="s">
        <v>5641</v>
      </c>
    </row>
    <row r="16688">
      <c r="A16688" s="1" t="s">
        <v>27946</v>
      </c>
      <c r="B16688" s="2" t="s">
        <v>26542</v>
      </c>
      <c r="C16688" s="1" t="s">
        <v>5640</v>
      </c>
      <c r="D16688" s="1" t="s">
        <v>5641</v>
      </c>
    </row>
    <row r="16689">
      <c r="A16689" s="1" t="s">
        <v>27947</v>
      </c>
      <c r="B16689" s="2" t="s">
        <v>26544</v>
      </c>
      <c r="C16689" s="1" t="s">
        <v>5640</v>
      </c>
      <c r="D16689" s="1" t="s">
        <v>5641</v>
      </c>
    </row>
    <row r="16690">
      <c r="A16690" s="1" t="s">
        <v>27948</v>
      </c>
      <c r="B16690" s="2" t="s">
        <v>26546</v>
      </c>
      <c r="C16690" s="1" t="s">
        <v>5640</v>
      </c>
      <c r="D16690" s="1" t="s">
        <v>5641</v>
      </c>
    </row>
    <row r="16691">
      <c r="A16691" s="1" t="s">
        <v>27949</v>
      </c>
      <c r="B16691" s="2" t="s">
        <v>26548</v>
      </c>
      <c r="C16691" s="1" t="s">
        <v>5640</v>
      </c>
      <c r="D16691" s="1" t="s">
        <v>5641</v>
      </c>
    </row>
    <row r="16692">
      <c r="A16692" s="1" t="s">
        <v>27950</v>
      </c>
      <c r="B16692" s="2" t="s">
        <v>26550</v>
      </c>
      <c r="C16692" s="1" t="s">
        <v>5640</v>
      </c>
      <c r="D16692" s="1" t="s">
        <v>5641</v>
      </c>
    </row>
    <row r="16693">
      <c r="A16693" s="1" t="s">
        <v>27951</v>
      </c>
      <c r="B16693" s="2" t="s">
        <v>26552</v>
      </c>
      <c r="C16693" s="1" t="s">
        <v>5640</v>
      </c>
      <c r="D16693" s="1" t="s">
        <v>5641</v>
      </c>
    </row>
    <row r="16694">
      <c r="A16694" s="1" t="s">
        <v>27952</v>
      </c>
      <c r="B16694" s="2" t="s">
        <v>26554</v>
      </c>
      <c r="C16694" s="1" t="s">
        <v>5640</v>
      </c>
      <c r="D16694" s="1" t="s">
        <v>5641</v>
      </c>
    </row>
    <row r="16695">
      <c r="A16695" s="1" t="s">
        <v>27953</v>
      </c>
      <c r="B16695" s="2" t="s">
        <v>26556</v>
      </c>
      <c r="C16695" s="1" t="s">
        <v>5640</v>
      </c>
      <c r="D16695" s="1" t="s">
        <v>5641</v>
      </c>
    </row>
    <row r="16696">
      <c r="A16696" s="1" t="s">
        <v>27954</v>
      </c>
      <c r="B16696" s="2" t="s">
        <v>26558</v>
      </c>
      <c r="C16696" s="1" t="s">
        <v>5640</v>
      </c>
      <c r="D16696" s="1" t="s">
        <v>5641</v>
      </c>
    </row>
    <row r="16697">
      <c r="A16697" s="1" t="s">
        <v>27955</v>
      </c>
      <c r="B16697" s="2" t="s">
        <v>26560</v>
      </c>
      <c r="C16697" s="1" t="s">
        <v>5640</v>
      </c>
      <c r="D16697" s="1" t="s">
        <v>5641</v>
      </c>
    </row>
    <row r="16698">
      <c r="A16698" s="1" t="s">
        <v>27956</v>
      </c>
      <c r="B16698" s="2" t="s">
        <v>26562</v>
      </c>
      <c r="C16698" s="1" t="s">
        <v>5640</v>
      </c>
      <c r="D16698" s="1" t="s">
        <v>5641</v>
      </c>
    </row>
    <row r="16699">
      <c r="A16699" s="1" t="s">
        <v>27957</v>
      </c>
      <c r="B16699" s="2" t="s">
        <v>26564</v>
      </c>
      <c r="C16699" s="1" t="s">
        <v>5640</v>
      </c>
      <c r="D16699" s="1" t="s">
        <v>5641</v>
      </c>
    </row>
    <row r="16700">
      <c r="A16700" s="1" t="s">
        <v>27958</v>
      </c>
      <c r="B16700" s="2" t="s">
        <v>26566</v>
      </c>
      <c r="C16700" s="1" t="s">
        <v>5640</v>
      </c>
      <c r="D16700" s="1" t="s">
        <v>5641</v>
      </c>
    </row>
    <row r="16701">
      <c r="A16701" s="1" t="s">
        <v>27959</v>
      </c>
      <c r="B16701" s="2" t="s">
        <v>26568</v>
      </c>
      <c r="C16701" s="1" t="s">
        <v>5640</v>
      </c>
      <c r="D16701" s="1" t="s">
        <v>5641</v>
      </c>
    </row>
    <row r="16702">
      <c r="A16702" s="1" t="s">
        <v>27960</v>
      </c>
      <c r="B16702" s="2" t="s">
        <v>26570</v>
      </c>
      <c r="C16702" s="1" t="s">
        <v>5640</v>
      </c>
      <c r="D16702" s="1" t="s">
        <v>5641</v>
      </c>
    </row>
    <row r="16703">
      <c r="A16703" s="1" t="s">
        <v>27961</v>
      </c>
      <c r="B16703" s="2" t="s">
        <v>26572</v>
      </c>
      <c r="C16703" s="1" t="s">
        <v>5640</v>
      </c>
      <c r="D16703" s="1" t="s">
        <v>5641</v>
      </c>
    </row>
    <row r="16704">
      <c r="A16704" s="1" t="s">
        <v>27962</v>
      </c>
      <c r="B16704" s="2" t="s">
        <v>26574</v>
      </c>
      <c r="C16704" s="1" t="s">
        <v>5640</v>
      </c>
      <c r="D16704" s="1" t="s">
        <v>5641</v>
      </c>
    </row>
    <row r="16705">
      <c r="A16705" s="1" t="s">
        <v>27963</v>
      </c>
      <c r="B16705" s="2" t="s">
        <v>26576</v>
      </c>
      <c r="C16705" s="1" t="s">
        <v>5640</v>
      </c>
      <c r="D16705" s="1" t="s">
        <v>5641</v>
      </c>
    </row>
    <row r="16706">
      <c r="A16706" s="1" t="s">
        <v>27964</v>
      </c>
      <c r="B16706" s="2" t="s">
        <v>26578</v>
      </c>
      <c r="C16706" s="1" t="s">
        <v>5640</v>
      </c>
      <c r="D16706" s="1" t="s">
        <v>5641</v>
      </c>
    </row>
    <row r="16707">
      <c r="A16707" s="1" t="s">
        <v>27965</v>
      </c>
      <c r="B16707" s="2" t="s">
        <v>26580</v>
      </c>
      <c r="C16707" s="1" t="s">
        <v>5640</v>
      </c>
      <c r="D16707" s="1" t="s">
        <v>5641</v>
      </c>
    </row>
    <row r="16708">
      <c r="A16708" s="1" t="s">
        <v>27966</v>
      </c>
      <c r="B16708" s="2" t="s">
        <v>26582</v>
      </c>
      <c r="C16708" s="1" t="s">
        <v>5640</v>
      </c>
      <c r="D16708" s="1" t="s">
        <v>5641</v>
      </c>
    </row>
    <row r="16709">
      <c r="A16709" s="1" t="s">
        <v>27967</v>
      </c>
      <c r="B16709" s="2" t="s">
        <v>26584</v>
      </c>
      <c r="C16709" s="1" t="s">
        <v>5640</v>
      </c>
      <c r="D16709" s="1" t="s">
        <v>5641</v>
      </c>
    </row>
    <row r="16710">
      <c r="A16710" s="1" t="s">
        <v>27968</v>
      </c>
      <c r="B16710" s="2" t="s">
        <v>26586</v>
      </c>
      <c r="C16710" s="1" t="s">
        <v>5640</v>
      </c>
      <c r="D16710" s="1" t="s">
        <v>5641</v>
      </c>
    </row>
    <row r="16711">
      <c r="A16711" s="1" t="s">
        <v>27969</v>
      </c>
      <c r="B16711" s="2" t="s">
        <v>26588</v>
      </c>
      <c r="C16711" s="1" t="s">
        <v>5640</v>
      </c>
      <c r="D16711" s="1" t="s">
        <v>5641</v>
      </c>
    </row>
    <row r="16712">
      <c r="A16712" s="1" t="s">
        <v>27970</v>
      </c>
      <c r="B16712" s="2" t="s">
        <v>26590</v>
      </c>
      <c r="C16712" s="1" t="s">
        <v>5640</v>
      </c>
      <c r="D16712" s="1" t="s">
        <v>5641</v>
      </c>
    </row>
    <row r="16713">
      <c r="A16713" s="1" t="s">
        <v>27971</v>
      </c>
      <c r="B16713" s="2" t="s">
        <v>26592</v>
      </c>
      <c r="C16713" s="1" t="s">
        <v>5640</v>
      </c>
      <c r="D16713" s="1" t="s">
        <v>5641</v>
      </c>
    </row>
    <row r="16714">
      <c r="A16714" s="1" t="s">
        <v>27972</v>
      </c>
      <c r="B16714" s="2" t="s">
        <v>26594</v>
      </c>
      <c r="C16714" s="1" t="s">
        <v>5640</v>
      </c>
      <c r="D16714" s="1" t="s">
        <v>5641</v>
      </c>
    </row>
    <row r="16715">
      <c r="A16715" s="1" t="s">
        <v>27973</v>
      </c>
      <c r="B16715" s="2" t="s">
        <v>26596</v>
      </c>
      <c r="C16715" s="1" t="s">
        <v>5640</v>
      </c>
      <c r="D16715" s="1" t="s">
        <v>5641</v>
      </c>
    </row>
    <row r="16716">
      <c r="A16716" s="1" t="s">
        <v>27974</v>
      </c>
      <c r="B16716" s="2" t="s">
        <v>26598</v>
      </c>
      <c r="C16716" s="1" t="s">
        <v>5640</v>
      </c>
      <c r="D16716" s="1" t="s">
        <v>5641</v>
      </c>
    </row>
    <row r="16717">
      <c r="A16717" s="1" t="s">
        <v>27975</v>
      </c>
      <c r="B16717" s="2" t="s">
        <v>26600</v>
      </c>
      <c r="C16717" s="1" t="s">
        <v>5640</v>
      </c>
      <c r="D16717" s="1" t="s">
        <v>5641</v>
      </c>
    </row>
    <row r="16718">
      <c r="A16718" s="1" t="s">
        <v>27976</v>
      </c>
      <c r="B16718" s="2" t="s">
        <v>26602</v>
      </c>
      <c r="C16718" s="1" t="s">
        <v>5640</v>
      </c>
      <c r="D16718" s="1" t="s">
        <v>5641</v>
      </c>
    </row>
    <row r="16719">
      <c r="A16719" s="1" t="s">
        <v>27977</v>
      </c>
      <c r="B16719" s="2" t="s">
        <v>26604</v>
      </c>
      <c r="C16719" s="1" t="s">
        <v>5640</v>
      </c>
      <c r="D16719" s="1" t="s">
        <v>5641</v>
      </c>
    </row>
    <row r="16720">
      <c r="A16720" s="1" t="s">
        <v>27978</v>
      </c>
      <c r="B16720" s="2" t="s">
        <v>26606</v>
      </c>
      <c r="C16720" s="1" t="s">
        <v>5640</v>
      </c>
      <c r="D16720" s="1" t="s">
        <v>5641</v>
      </c>
    </row>
    <row r="16721">
      <c r="A16721" s="1" t="s">
        <v>27979</v>
      </c>
      <c r="B16721" s="2" t="s">
        <v>26608</v>
      </c>
      <c r="C16721" s="1" t="s">
        <v>5640</v>
      </c>
      <c r="D16721" s="1" t="s">
        <v>5641</v>
      </c>
    </row>
    <row r="16722">
      <c r="A16722" s="1" t="s">
        <v>27980</v>
      </c>
      <c r="B16722" s="2" t="s">
        <v>26610</v>
      </c>
      <c r="C16722" s="1" t="s">
        <v>5640</v>
      </c>
      <c r="D16722" s="1" t="s">
        <v>5641</v>
      </c>
    </row>
    <row r="16723">
      <c r="A16723" s="1" t="s">
        <v>27981</v>
      </c>
      <c r="B16723" s="2" t="s">
        <v>26612</v>
      </c>
      <c r="C16723" s="1" t="s">
        <v>5640</v>
      </c>
      <c r="D16723" s="1" t="s">
        <v>5641</v>
      </c>
    </row>
    <row r="16724">
      <c r="A16724" s="1" t="s">
        <v>27982</v>
      </c>
      <c r="B16724" s="2" t="s">
        <v>26614</v>
      </c>
      <c r="C16724" s="1" t="s">
        <v>5640</v>
      </c>
      <c r="D16724" s="1" t="s">
        <v>5641</v>
      </c>
    </row>
    <row r="16725">
      <c r="A16725" s="1" t="s">
        <v>27983</v>
      </c>
      <c r="B16725" s="2" t="s">
        <v>26616</v>
      </c>
      <c r="C16725" s="1" t="s">
        <v>5640</v>
      </c>
      <c r="D16725" s="1" t="s">
        <v>5641</v>
      </c>
    </row>
    <row r="16726">
      <c r="A16726" s="1" t="s">
        <v>27984</v>
      </c>
      <c r="B16726" s="2" t="s">
        <v>26618</v>
      </c>
      <c r="C16726" s="1" t="s">
        <v>5640</v>
      </c>
      <c r="D16726" s="1" t="s">
        <v>5641</v>
      </c>
    </row>
    <row r="16727">
      <c r="A16727" s="1" t="s">
        <v>27985</v>
      </c>
      <c r="B16727" s="2" t="s">
        <v>26620</v>
      </c>
      <c r="C16727" s="1" t="s">
        <v>5640</v>
      </c>
      <c r="D16727" s="1" t="s">
        <v>5641</v>
      </c>
    </row>
    <row r="16728">
      <c r="A16728" s="1" t="s">
        <v>27986</v>
      </c>
      <c r="B16728" s="2" t="s">
        <v>26622</v>
      </c>
      <c r="C16728" s="1" t="s">
        <v>5640</v>
      </c>
      <c r="D16728" s="1" t="s">
        <v>5641</v>
      </c>
    </row>
    <row r="16729">
      <c r="A16729" s="1" t="s">
        <v>27987</v>
      </c>
      <c r="B16729" s="2" t="s">
        <v>26624</v>
      </c>
      <c r="C16729" s="1" t="s">
        <v>5640</v>
      </c>
      <c r="D16729" s="1" t="s">
        <v>5641</v>
      </c>
    </row>
    <row r="16730">
      <c r="A16730" s="1" t="s">
        <v>27988</v>
      </c>
      <c r="B16730" s="2" t="s">
        <v>26626</v>
      </c>
      <c r="C16730" s="1" t="s">
        <v>5640</v>
      </c>
      <c r="D16730" s="1" t="s">
        <v>5641</v>
      </c>
    </row>
    <row r="16731">
      <c r="A16731" s="1" t="s">
        <v>27989</v>
      </c>
      <c r="B16731" s="2" t="s">
        <v>26628</v>
      </c>
      <c r="C16731" s="1" t="s">
        <v>5640</v>
      </c>
      <c r="D16731" s="1" t="s">
        <v>5641</v>
      </c>
    </row>
    <row r="16732">
      <c r="A16732" s="1" t="s">
        <v>27990</v>
      </c>
      <c r="B16732" s="2" t="s">
        <v>26630</v>
      </c>
      <c r="C16732" s="1" t="s">
        <v>5640</v>
      </c>
      <c r="D16732" s="1" t="s">
        <v>5641</v>
      </c>
    </row>
    <row r="16733">
      <c r="A16733" s="1" t="s">
        <v>27991</v>
      </c>
      <c r="B16733" s="2" t="s">
        <v>26632</v>
      </c>
      <c r="C16733" s="1" t="s">
        <v>5640</v>
      </c>
      <c r="D16733" s="1" t="s">
        <v>5641</v>
      </c>
    </row>
    <row r="16734">
      <c r="A16734" s="1" t="s">
        <v>27992</v>
      </c>
      <c r="B16734" s="2" t="s">
        <v>26634</v>
      </c>
      <c r="C16734" s="1" t="s">
        <v>5640</v>
      </c>
      <c r="D16734" s="1" t="s">
        <v>5641</v>
      </c>
    </row>
    <row r="16735">
      <c r="A16735" s="1" t="s">
        <v>27993</v>
      </c>
      <c r="B16735" s="2" t="s">
        <v>26636</v>
      </c>
      <c r="C16735" s="1" t="s">
        <v>5640</v>
      </c>
      <c r="D16735" s="1" t="s">
        <v>5641</v>
      </c>
    </row>
    <row r="16736">
      <c r="A16736" s="1" t="s">
        <v>27994</v>
      </c>
      <c r="B16736" s="2" t="s">
        <v>26638</v>
      </c>
      <c r="C16736" s="1" t="s">
        <v>5640</v>
      </c>
      <c r="D16736" s="1" t="s">
        <v>5641</v>
      </c>
    </row>
    <row r="16737">
      <c r="A16737" s="1" t="s">
        <v>27995</v>
      </c>
      <c r="B16737" s="2" t="s">
        <v>26640</v>
      </c>
      <c r="C16737" s="1" t="s">
        <v>5640</v>
      </c>
      <c r="D16737" s="1" t="s">
        <v>5641</v>
      </c>
    </row>
    <row r="16738">
      <c r="A16738" s="1" t="s">
        <v>27996</v>
      </c>
      <c r="B16738" s="2" t="s">
        <v>26642</v>
      </c>
      <c r="C16738" s="1" t="s">
        <v>5640</v>
      </c>
      <c r="D16738" s="1" t="s">
        <v>5641</v>
      </c>
    </row>
    <row r="16739">
      <c r="A16739" s="1" t="s">
        <v>27997</v>
      </c>
      <c r="B16739" s="2" t="s">
        <v>26644</v>
      </c>
      <c r="C16739" s="1" t="s">
        <v>5640</v>
      </c>
      <c r="D16739" s="1" t="s">
        <v>5641</v>
      </c>
    </row>
    <row r="16740">
      <c r="A16740" s="1" t="s">
        <v>27998</v>
      </c>
      <c r="B16740" s="2" t="s">
        <v>26646</v>
      </c>
      <c r="C16740" s="1" t="s">
        <v>5640</v>
      </c>
      <c r="D16740" s="1" t="s">
        <v>5641</v>
      </c>
    </row>
    <row r="16741">
      <c r="A16741" s="1" t="s">
        <v>27999</v>
      </c>
      <c r="B16741" s="2" t="s">
        <v>26648</v>
      </c>
      <c r="C16741" s="1" t="s">
        <v>5640</v>
      </c>
      <c r="D16741" s="1" t="s">
        <v>5641</v>
      </c>
    </row>
    <row r="16742">
      <c r="A16742" s="1" t="s">
        <v>28000</v>
      </c>
      <c r="B16742" s="2" t="s">
        <v>26650</v>
      </c>
      <c r="C16742" s="1" t="s">
        <v>5640</v>
      </c>
      <c r="D16742" s="1" t="s">
        <v>5641</v>
      </c>
    </row>
    <row r="16743">
      <c r="A16743" s="1" t="s">
        <v>28001</v>
      </c>
      <c r="B16743" s="2" t="s">
        <v>26652</v>
      </c>
      <c r="C16743" s="1" t="s">
        <v>5640</v>
      </c>
      <c r="D16743" s="1" t="s">
        <v>5641</v>
      </c>
    </row>
    <row r="16744">
      <c r="A16744" s="1" t="s">
        <v>28002</v>
      </c>
      <c r="B16744" s="2" t="s">
        <v>26654</v>
      </c>
      <c r="C16744" s="1" t="s">
        <v>5640</v>
      </c>
      <c r="D16744" s="1" t="s">
        <v>5641</v>
      </c>
    </row>
    <row r="16745">
      <c r="A16745" s="1" t="s">
        <v>28003</v>
      </c>
      <c r="B16745" s="2" t="s">
        <v>26656</v>
      </c>
      <c r="C16745" s="1" t="s">
        <v>5640</v>
      </c>
      <c r="D16745" s="1" t="s">
        <v>5641</v>
      </c>
    </row>
    <row r="16746">
      <c r="A16746" s="1" t="s">
        <v>28004</v>
      </c>
      <c r="B16746" s="2" t="s">
        <v>26658</v>
      </c>
      <c r="C16746" s="1" t="s">
        <v>5640</v>
      </c>
      <c r="D16746" s="1" t="s">
        <v>5641</v>
      </c>
    </row>
    <row r="16747">
      <c r="A16747" s="1" t="s">
        <v>28005</v>
      </c>
      <c r="B16747" s="2" t="s">
        <v>26660</v>
      </c>
      <c r="C16747" s="1" t="s">
        <v>5640</v>
      </c>
      <c r="D16747" s="1" t="s">
        <v>5641</v>
      </c>
    </row>
    <row r="16748">
      <c r="A16748" s="1" t="s">
        <v>28006</v>
      </c>
      <c r="B16748" s="2" t="s">
        <v>26662</v>
      </c>
      <c r="C16748" s="1" t="s">
        <v>5640</v>
      </c>
      <c r="D16748" s="1" t="s">
        <v>5641</v>
      </c>
    </row>
    <row r="16749">
      <c r="A16749" s="1" t="s">
        <v>28007</v>
      </c>
      <c r="B16749" s="2" t="s">
        <v>26664</v>
      </c>
      <c r="C16749" s="1" t="s">
        <v>5640</v>
      </c>
      <c r="D16749" s="1" t="s">
        <v>5641</v>
      </c>
    </row>
    <row r="16750">
      <c r="A16750" s="1" t="s">
        <v>28008</v>
      </c>
      <c r="B16750" s="2" t="s">
        <v>26666</v>
      </c>
      <c r="C16750" s="1" t="s">
        <v>5640</v>
      </c>
      <c r="D16750" s="1" t="s">
        <v>5641</v>
      </c>
    </row>
    <row r="16751">
      <c r="A16751" s="1" t="s">
        <v>28009</v>
      </c>
      <c r="B16751" s="2" t="s">
        <v>26668</v>
      </c>
      <c r="C16751" s="1" t="s">
        <v>5640</v>
      </c>
      <c r="D16751" s="1" t="s">
        <v>5641</v>
      </c>
    </row>
    <row r="16752">
      <c r="A16752" s="1" t="s">
        <v>28010</v>
      </c>
      <c r="B16752" s="2" t="s">
        <v>26670</v>
      </c>
      <c r="C16752" s="1" t="s">
        <v>5640</v>
      </c>
      <c r="D16752" s="1" t="s">
        <v>5641</v>
      </c>
    </row>
    <row r="16753">
      <c r="A16753" s="1" t="s">
        <v>28011</v>
      </c>
      <c r="B16753" s="2" t="s">
        <v>26672</v>
      </c>
      <c r="C16753" s="1" t="s">
        <v>5640</v>
      </c>
      <c r="D16753" s="1" t="s">
        <v>5641</v>
      </c>
    </row>
    <row r="16754">
      <c r="A16754" s="1" t="s">
        <v>28012</v>
      </c>
      <c r="B16754" s="2" t="s">
        <v>26674</v>
      </c>
      <c r="C16754" s="1" t="s">
        <v>5640</v>
      </c>
      <c r="D16754" s="1" t="s">
        <v>5641</v>
      </c>
    </row>
    <row r="16755">
      <c r="A16755" s="1" t="s">
        <v>28013</v>
      </c>
      <c r="B16755" s="2" t="s">
        <v>26676</v>
      </c>
      <c r="C16755" s="1" t="s">
        <v>5640</v>
      </c>
      <c r="D16755" s="1" t="s">
        <v>5641</v>
      </c>
    </row>
    <row r="16756">
      <c r="A16756" s="1" t="s">
        <v>28014</v>
      </c>
      <c r="B16756" s="2" t="s">
        <v>26678</v>
      </c>
      <c r="C16756" s="1" t="s">
        <v>5640</v>
      </c>
      <c r="D16756" s="1" t="s">
        <v>5641</v>
      </c>
    </row>
    <row r="16757">
      <c r="A16757" s="1" t="s">
        <v>28015</v>
      </c>
      <c r="B16757" s="2" t="s">
        <v>26680</v>
      </c>
      <c r="C16757" s="1" t="s">
        <v>5640</v>
      </c>
      <c r="D16757" s="1" t="s">
        <v>5641</v>
      </c>
    </row>
    <row r="16758">
      <c r="A16758" s="1" t="s">
        <v>28016</v>
      </c>
      <c r="B16758" s="2" t="s">
        <v>26682</v>
      </c>
      <c r="C16758" s="1" t="s">
        <v>5640</v>
      </c>
      <c r="D16758" s="1" t="s">
        <v>5641</v>
      </c>
    </row>
    <row r="16759">
      <c r="A16759" s="1" t="s">
        <v>28017</v>
      </c>
      <c r="B16759" s="2" t="s">
        <v>26684</v>
      </c>
      <c r="C16759" s="1" t="s">
        <v>5640</v>
      </c>
      <c r="D16759" s="1" t="s">
        <v>5641</v>
      </c>
    </row>
    <row r="16760">
      <c r="A16760" s="1" t="s">
        <v>28018</v>
      </c>
      <c r="B16760" s="2" t="s">
        <v>26686</v>
      </c>
      <c r="C16760" s="1" t="s">
        <v>5640</v>
      </c>
      <c r="D16760" s="1" t="s">
        <v>5641</v>
      </c>
    </row>
    <row r="16761">
      <c r="A16761" s="1" t="s">
        <v>28019</v>
      </c>
      <c r="B16761" s="2" t="s">
        <v>26688</v>
      </c>
      <c r="C16761" s="1" t="s">
        <v>5640</v>
      </c>
      <c r="D16761" s="1" t="s">
        <v>5641</v>
      </c>
    </row>
    <row r="16762">
      <c r="A16762" s="1" t="s">
        <v>28020</v>
      </c>
      <c r="B16762" s="2" t="s">
        <v>26690</v>
      </c>
      <c r="C16762" s="1" t="s">
        <v>5640</v>
      </c>
      <c r="D16762" s="1" t="s">
        <v>5641</v>
      </c>
    </row>
    <row r="16763">
      <c r="A16763" s="1" t="s">
        <v>28021</v>
      </c>
      <c r="B16763" s="2" t="s">
        <v>26692</v>
      </c>
      <c r="C16763" s="1" t="s">
        <v>5640</v>
      </c>
      <c r="D16763" s="1" t="s">
        <v>5641</v>
      </c>
    </row>
    <row r="16764">
      <c r="A16764" s="1" t="s">
        <v>28022</v>
      </c>
      <c r="B16764" s="2" t="s">
        <v>26694</v>
      </c>
      <c r="C16764" s="1" t="s">
        <v>5640</v>
      </c>
      <c r="D16764" s="1" t="s">
        <v>5641</v>
      </c>
    </row>
    <row r="16765">
      <c r="A16765" s="1" t="s">
        <v>28023</v>
      </c>
      <c r="B16765" s="2" t="s">
        <v>26696</v>
      </c>
      <c r="C16765" s="1" t="s">
        <v>5640</v>
      </c>
      <c r="D16765" s="1" t="s">
        <v>5641</v>
      </c>
    </row>
    <row r="16766">
      <c r="A16766" s="1" t="s">
        <v>28024</v>
      </c>
      <c r="B16766" s="2" t="s">
        <v>26698</v>
      </c>
      <c r="C16766" s="1" t="s">
        <v>5640</v>
      </c>
      <c r="D16766" s="1" t="s">
        <v>5641</v>
      </c>
    </row>
    <row r="16767">
      <c r="A16767" s="1" t="s">
        <v>28025</v>
      </c>
      <c r="B16767" s="2" t="s">
        <v>26700</v>
      </c>
      <c r="C16767" s="1" t="s">
        <v>5640</v>
      </c>
      <c r="D16767" s="1" t="s">
        <v>5641</v>
      </c>
    </row>
    <row r="16768">
      <c r="A16768" s="1" t="s">
        <v>28026</v>
      </c>
      <c r="B16768" s="2" t="s">
        <v>26702</v>
      </c>
      <c r="C16768" s="1" t="s">
        <v>5640</v>
      </c>
      <c r="D16768" s="1" t="s">
        <v>5641</v>
      </c>
    </row>
    <row r="16769">
      <c r="A16769" s="1" t="s">
        <v>28027</v>
      </c>
      <c r="B16769" s="2" t="s">
        <v>26704</v>
      </c>
      <c r="C16769" s="1" t="s">
        <v>5640</v>
      </c>
      <c r="D16769" s="1" t="s">
        <v>5641</v>
      </c>
    </row>
    <row r="16770">
      <c r="A16770" s="1" t="s">
        <v>28028</v>
      </c>
      <c r="B16770" s="2" t="s">
        <v>26706</v>
      </c>
      <c r="C16770" s="1" t="s">
        <v>5640</v>
      </c>
      <c r="D16770" s="1" t="s">
        <v>5641</v>
      </c>
    </row>
    <row r="16771">
      <c r="A16771" s="1" t="s">
        <v>28029</v>
      </c>
      <c r="B16771" s="2" t="s">
        <v>26708</v>
      </c>
      <c r="C16771" s="1" t="s">
        <v>5640</v>
      </c>
      <c r="D16771" s="1" t="s">
        <v>5641</v>
      </c>
    </row>
    <row r="16772">
      <c r="A16772" s="1" t="s">
        <v>28030</v>
      </c>
      <c r="B16772" s="2" t="s">
        <v>26710</v>
      </c>
      <c r="C16772" s="1" t="s">
        <v>5640</v>
      </c>
      <c r="D16772" s="1" t="s">
        <v>5641</v>
      </c>
    </row>
    <row r="16773">
      <c r="A16773" s="1" t="s">
        <v>28031</v>
      </c>
      <c r="B16773" s="2" t="s">
        <v>26712</v>
      </c>
      <c r="C16773" s="1" t="s">
        <v>5640</v>
      </c>
      <c r="D16773" s="1" t="s">
        <v>5641</v>
      </c>
    </row>
    <row r="16774">
      <c r="A16774" s="1" t="s">
        <v>28032</v>
      </c>
      <c r="B16774" s="2" t="s">
        <v>26714</v>
      </c>
      <c r="C16774" s="1" t="s">
        <v>5640</v>
      </c>
      <c r="D16774" s="1" t="s">
        <v>5641</v>
      </c>
    </row>
    <row r="16775">
      <c r="A16775" s="1" t="s">
        <v>28033</v>
      </c>
      <c r="B16775" s="2" t="s">
        <v>26716</v>
      </c>
      <c r="C16775" s="1" t="s">
        <v>5640</v>
      </c>
      <c r="D16775" s="1" t="s">
        <v>5641</v>
      </c>
    </row>
    <row r="16776">
      <c r="A16776" s="1" t="s">
        <v>28034</v>
      </c>
      <c r="B16776" s="2" t="s">
        <v>26718</v>
      </c>
      <c r="C16776" s="1" t="s">
        <v>5640</v>
      </c>
      <c r="D16776" s="1" t="s">
        <v>5641</v>
      </c>
    </row>
    <row r="16777">
      <c r="A16777" s="1" t="s">
        <v>28035</v>
      </c>
      <c r="B16777" s="2" t="s">
        <v>26720</v>
      </c>
      <c r="C16777" s="1" t="s">
        <v>5640</v>
      </c>
      <c r="D16777" s="1" t="s">
        <v>5641</v>
      </c>
    </row>
    <row r="16778">
      <c r="A16778" s="1" t="s">
        <v>28036</v>
      </c>
      <c r="B16778" s="2" t="s">
        <v>26722</v>
      </c>
      <c r="C16778" s="1" t="s">
        <v>5640</v>
      </c>
      <c r="D16778" s="1" t="s">
        <v>5641</v>
      </c>
    </row>
    <row r="16779">
      <c r="A16779" s="1" t="s">
        <v>28037</v>
      </c>
      <c r="B16779" s="2" t="s">
        <v>26724</v>
      </c>
      <c r="C16779" s="1" t="s">
        <v>5640</v>
      </c>
      <c r="D16779" s="1" t="s">
        <v>5641</v>
      </c>
    </row>
    <row r="16780">
      <c r="A16780" s="1" t="s">
        <v>28038</v>
      </c>
      <c r="B16780" s="2" t="s">
        <v>26726</v>
      </c>
      <c r="C16780" s="1" t="s">
        <v>5640</v>
      </c>
      <c r="D16780" s="1" t="s">
        <v>5641</v>
      </c>
    </row>
    <row r="16781">
      <c r="A16781" s="1" t="s">
        <v>28039</v>
      </c>
      <c r="B16781" s="2" t="s">
        <v>26728</v>
      </c>
      <c r="C16781" s="1" t="s">
        <v>5640</v>
      </c>
      <c r="D16781" s="1" t="s">
        <v>5641</v>
      </c>
    </row>
    <row r="16782">
      <c r="A16782" s="1" t="s">
        <v>28040</v>
      </c>
      <c r="B16782" s="2" t="s">
        <v>26730</v>
      </c>
      <c r="C16782" s="1" t="s">
        <v>5640</v>
      </c>
      <c r="D16782" s="1" t="s">
        <v>5641</v>
      </c>
    </row>
    <row r="16783">
      <c r="A16783" s="1" t="s">
        <v>28041</v>
      </c>
      <c r="B16783" s="2" t="s">
        <v>26732</v>
      </c>
      <c r="C16783" s="1" t="s">
        <v>5640</v>
      </c>
      <c r="D16783" s="1" t="s">
        <v>5641</v>
      </c>
    </row>
    <row r="16784">
      <c r="A16784" s="1" t="s">
        <v>28042</v>
      </c>
      <c r="B16784" s="2" t="s">
        <v>26734</v>
      </c>
      <c r="C16784" s="1" t="s">
        <v>5640</v>
      </c>
      <c r="D16784" s="1" t="s">
        <v>5641</v>
      </c>
    </row>
    <row r="16785">
      <c r="A16785" s="1" t="s">
        <v>28043</v>
      </c>
      <c r="B16785" s="2" t="s">
        <v>26736</v>
      </c>
      <c r="C16785" s="1" t="s">
        <v>5640</v>
      </c>
      <c r="D16785" s="1" t="s">
        <v>5641</v>
      </c>
    </row>
    <row r="16786">
      <c r="A16786" s="1" t="s">
        <v>28044</v>
      </c>
      <c r="B16786" s="2" t="s">
        <v>26738</v>
      </c>
      <c r="C16786" s="1" t="s">
        <v>5640</v>
      </c>
      <c r="D16786" s="1" t="s">
        <v>5641</v>
      </c>
    </row>
    <row r="16787">
      <c r="A16787" s="1" t="s">
        <v>28045</v>
      </c>
      <c r="B16787" s="2" t="s">
        <v>26740</v>
      </c>
      <c r="C16787" s="1" t="s">
        <v>5640</v>
      </c>
      <c r="D16787" s="1" t="s">
        <v>5641</v>
      </c>
    </row>
    <row r="16788">
      <c r="A16788" s="1" t="s">
        <v>28046</v>
      </c>
      <c r="B16788" s="2" t="s">
        <v>26742</v>
      </c>
      <c r="C16788" s="1" t="s">
        <v>5640</v>
      </c>
      <c r="D16788" s="1" t="s">
        <v>5641</v>
      </c>
    </row>
    <row r="16789">
      <c r="A16789" s="1" t="s">
        <v>28047</v>
      </c>
      <c r="B16789" s="2" t="s">
        <v>26744</v>
      </c>
      <c r="C16789" s="1" t="s">
        <v>5640</v>
      </c>
      <c r="D16789" s="1" t="s">
        <v>5641</v>
      </c>
    </row>
    <row r="16790">
      <c r="A16790" s="1" t="s">
        <v>28048</v>
      </c>
      <c r="B16790" s="2" t="s">
        <v>26746</v>
      </c>
      <c r="C16790" s="1" t="s">
        <v>5640</v>
      </c>
      <c r="D16790" s="1" t="s">
        <v>5641</v>
      </c>
    </row>
    <row r="16791">
      <c r="A16791" s="1" t="s">
        <v>28049</v>
      </c>
      <c r="B16791" s="2" t="s">
        <v>26748</v>
      </c>
      <c r="C16791" s="1" t="s">
        <v>5640</v>
      </c>
      <c r="D16791" s="1" t="s">
        <v>5641</v>
      </c>
    </row>
    <row r="16792">
      <c r="A16792" s="1" t="s">
        <v>28050</v>
      </c>
      <c r="B16792" s="2" t="s">
        <v>26750</v>
      </c>
      <c r="C16792" s="1" t="s">
        <v>5640</v>
      </c>
      <c r="D16792" s="1" t="s">
        <v>5641</v>
      </c>
    </row>
    <row r="16793">
      <c r="A16793" s="1" t="s">
        <v>28051</v>
      </c>
      <c r="B16793" s="2" t="s">
        <v>26752</v>
      </c>
      <c r="C16793" s="1" t="s">
        <v>5640</v>
      </c>
      <c r="D16793" s="1" t="s">
        <v>5641</v>
      </c>
    </row>
    <row r="16794">
      <c r="A16794" s="1" t="s">
        <v>28052</v>
      </c>
      <c r="B16794" s="2" t="s">
        <v>26754</v>
      </c>
      <c r="C16794" s="1" t="s">
        <v>5640</v>
      </c>
      <c r="D16794" s="1" t="s">
        <v>5641</v>
      </c>
    </row>
    <row r="16795">
      <c r="A16795" s="1" t="s">
        <v>28053</v>
      </c>
      <c r="B16795" s="2" t="s">
        <v>26756</v>
      </c>
      <c r="C16795" s="1" t="s">
        <v>5640</v>
      </c>
      <c r="D16795" s="1" t="s">
        <v>5641</v>
      </c>
    </row>
    <row r="16796">
      <c r="A16796" s="1" t="s">
        <v>28054</v>
      </c>
      <c r="B16796" s="2" t="s">
        <v>26758</v>
      </c>
      <c r="C16796" s="1" t="s">
        <v>5640</v>
      </c>
      <c r="D16796" s="1" t="s">
        <v>5641</v>
      </c>
    </row>
    <row r="16797">
      <c r="A16797" s="1" t="s">
        <v>28055</v>
      </c>
      <c r="B16797" s="2" t="s">
        <v>26760</v>
      </c>
      <c r="C16797" s="1" t="s">
        <v>5640</v>
      </c>
      <c r="D16797" s="1" t="s">
        <v>5641</v>
      </c>
    </row>
    <row r="16798">
      <c r="A16798" s="1" t="s">
        <v>28056</v>
      </c>
      <c r="B16798" s="2" t="s">
        <v>26762</v>
      </c>
      <c r="C16798" s="1" t="s">
        <v>5640</v>
      </c>
      <c r="D16798" s="1" t="s">
        <v>5641</v>
      </c>
    </row>
    <row r="16799">
      <c r="A16799" s="1" t="s">
        <v>28057</v>
      </c>
      <c r="B16799" s="2" t="s">
        <v>26764</v>
      </c>
      <c r="C16799" s="1" t="s">
        <v>5640</v>
      </c>
      <c r="D16799" s="1" t="s">
        <v>5641</v>
      </c>
    </row>
    <row r="16800">
      <c r="A16800" s="1" t="s">
        <v>28058</v>
      </c>
      <c r="B16800" s="2" t="s">
        <v>26766</v>
      </c>
      <c r="C16800" s="1" t="s">
        <v>5640</v>
      </c>
      <c r="D16800" s="1" t="s">
        <v>5641</v>
      </c>
    </row>
    <row r="16801">
      <c r="A16801" s="1" t="s">
        <v>28059</v>
      </c>
      <c r="B16801" s="2" t="s">
        <v>26768</v>
      </c>
      <c r="C16801" s="1" t="s">
        <v>5640</v>
      </c>
      <c r="D16801" s="1" t="s">
        <v>5641</v>
      </c>
    </row>
    <row r="16802">
      <c r="A16802" s="1" t="s">
        <v>28060</v>
      </c>
      <c r="B16802" s="2" t="s">
        <v>26770</v>
      </c>
      <c r="C16802" s="1" t="s">
        <v>5640</v>
      </c>
      <c r="D16802" s="1" t="s">
        <v>5641</v>
      </c>
    </row>
    <row r="16803">
      <c r="A16803" s="1" t="s">
        <v>28061</v>
      </c>
      <c r="B16803" s="2" t="s">
        <v>26772</v>
      </c>
      <c r="C16803" s="1" t="s">
        <v>5640</v>
      </c>
      <c r="D16803" s="1" t="s">
        <v>5641</v>
      </c>
    </row>
    <row r="16804">
      <c r="A16804" s="1" t="s">
        <v>28062</v>
      </c>
      <c r="B16804" s="2" t="s">
        <v>26774</v>
      </c>
      <c r="C16804" s="1" t="s">
        <v>5640</v>
      </c>
      <c r="D16804" s="1" t="s">
        <v>5641</v>
      </c>
    </row>
    <row r="16805">
      <c r="A16805" s="1" t="s">
        <v>28063</v>
      </c>
      <c r="B16805" s="2" t="s">
        <v>26776</v>
      </c>
      <c r="C16805" s="1" t="s">
        <v>5640</v>
      </c>
      <c r="D16805" s="1" t="s">
        <v>5641</v>
      </c>
    </row>
    <row r="16806">
      <c r="A16806" s="1" t="s">
        <v>28064</v>
      </c>
      <c r="B16806" s="2" t="s">
        <v>26778</v>
      </c>
      <c r="C16806" s="1" t="s">
        <v>5640</v>
      </c>
      <c r="D16806" s="1" t="s">
        <v>5641</v>
      </c>
    </row>
    <row r="16807">
      <c r="A16807" s="1" t="s">
        <v>28065</v>
      </c>
      <c r="B16807" s="2" t="s">
        <v>26780</v>
      </c>
      <c r="C16807" s="1" t="s">
        <v>5640</v>
      </c>
      <c r="D16807" s="1" t="s">
        <v>5641</v>
      </c>
    </row>
    <row r="16808">
      <c r="A16808" s="1" t="s">
        <v>28066</v>
      </c>
      <c r="B16808" s="2" t="s">
        <v>26782</v>
      </c>
      <c r="C16808" s="1" t="s">
        <v>5640</v>
      </c>
      <c r="D16808" s="1" t="s">
        <v>5641</v>
      </c>
    </row>
    <row r="16809">
      <c r="A16809" s="1" t="s">
        <v>28067</v>
      </c>
      <c r="B16809" s="2" t="s">
        <v>26784</v>
      </c>
      <c r="C16809" s="1" t="s">
        <v>5640</v>
      </c>
      <c r="D16809" s="1" t="s">
        <v>5641</v>
      </c>
    </row>
    <row r="16810">
      <c r="A16810" s="1" t="s">
        <v>28068</v>
      </c>
      <c r="B16810" s="2" t="s">
        <v>26786</v>
      </c>
      <c r="C16810" s="1" t="s">
        <v>5640</v>
      </c>
      <c r="D16810" s="1" t="s">
        <v>5641</v>
      </c>
    </row>
    <row r="16811">
      <c r="A16811" s="1" t="s">
        <v>28069</v>
      </c>
      <c r="B16811" s="2" t="s">
        <v>26788</v>
      </c>
      <c r="C16811" s="1" t="s">
        <v>5640</v>
      </c>
      <c r="D16811" s="1" t="s">
        <v>5641</v>
      </c>
    </row>
    <row r="16812">
      <c r="A16812" s="1" t="s">
        <v>28070</v>
      </c>
      <c r="B16812" s="2" t="s">
        <v>26790</v>
      </c>
      <c r="C16812" s="1" t="s">
        <v>5640</v>
      </c>
      <c r="D16812" s="1" t="s">
        <v>5641</v>
      </c>
    </row>
    <row r="16813">
      <c r="A16813" s="1" t="s">
        <v>28071</v>
      </c>
      <c r="B16813" s="2" t="s">
        <v>26792</v>
      </c>
      <c r="C16813" s="1" t="s">
        <v>5640</v>
      </c>
      <c r="D16813" s="1" t="s">
        <v>5641</v>
      </c>
    </row>
    <row r="16814">
      <c r="A16814" s="1" t="s">
        <v>28072</v>
      </c>
      <c r="B16814" s="2" t="s">
        <v>26794</v>
      </c>
      <c r="C16814" s="1" t="s">
        <v>5640</v>
      </c>
      <c r="D16814" s="1" t="s">
        <v>5641</v>
      </c>
    </row>
    <row r="16815">
      <c r="A16815" s="1" t="s">
        <v>28073</v>
      </c>
      <c r="B16815" s="2" t="s">
        <v>26796</v>
      </c>
      <c r="C16815" s="1" t="s">
        <v>5640</v>
      </c>
      <c r="D16815" s="1" t="s">
        <v>5641</v>
      </c>
    </row>
    <row r="16816">
      <c r="A16816" s="1" t="s">
        <v>28074</v>
      </c>
      <c r="B16816" s="2" t="s">
        <v>26798</v>
      </c>
      <c r="C16816" s="1" t="s">
        <v>5640</v>
      </c>
      <c r="D16816" s="1" t="s">
        <v>5641</v>
      </c>
    </row>
    <row r="16817">
      <c r="A16817" s="1" t="s">
        <v>28075</v>
      </c>
      <c r="B16817" s="2" t="s">
        <v>26800</v>
      </c>
      <c r="C16817" s="1" t="s">
        <v>5640</v>
      </c>
      <c r="D16817" s="1" t="s">
        <v>5641</v>
      </c>
    </row>
    <row r="16818">
      <c r="A16818" s="1" t="s">
        <v>28076</v>
      </c>
      <c r="B16818" s="2" t="s">
        <v>26802</v>
      </c>
      <c r="C16818" s="1" t="s">
        <v>5640</v>
      </c>
      <c r="D16818" s="1" t="s">
        <v>5641</v>
      </c>
    </row>
    <row r="16819">
      <c r="A16819" s="1" t="s">
        <v>28077</v>
      </c>
      <c r="B16819" s="2" t="s">
        <v>26804</v>
      </c>
      <c r="C16819" s="1" t="s">
        <v>5640</v>
      </c>
      <c r="D16819" s="1" t="s">
        <v>5641</v>
      </c>
    </row>
    <row r="16820">
      <c r="A16820" s="1" t="s">
        <v>28078</v>
      </c>
      <c r="B16820" s="2" t="s">
        <v>26806</v>
      </c>
      <c r="C16820" s="1" t="s">
        <v>5640</v>
      </c>
      <c r="D16820" s="1" t="s">
        <v>5641</v>
      </c>
    </row>
    <row r="16821">
      <c r="A16821" s="1" t="s">
        <v>28079</v>
      </c>
      <c r="B16821" s="2" t="s">
        <v>26808</v>
      </c>
      <c r="C16821" s="1" t="s">
        <v>5640</v>
      </c>
      <c r="D16821" s="1" t="s">
        <v>5641</v>
      </c>
    </row>
    <row r="16822">
      <c r="A16822" s="1" t="s">
        <v>28080</v>
      </c>
      <c r="B16822" s="2" t="s">
        <v>26810</v>
      </c>
      <c r="C16822" s="1" t="s">
        <v>5640</v>
      </c>
      <c r="D16822" s="1" t="s">
        <v>5641</v>
      </c>
    </row>
    <row r="16823">
      <c r="A16823" s="1" t="s">
        <v>28081</v>
      </c>
      <c r="B16823" s="2" t="s">
        <v>26812</v>
      </c>
      <c r="C16823" s="1" t="s">
        <v>5640</v>
      </c>
      <c r="D16823" s="1" t="s">
        <v>5641</v>
      </c>
    </row>
    <row r="16824">
      <c r="A16824" s="1" t="s">
        <v>28082</v>
      </c>
      <c r="B16824" s="2" t="s">
        <v>26814</v>
      </c>
      <c r="C16824" s="1" t="s">
        <v>5640</v>
      </c>
      <c r="D16824" s="1" t="s">
        <v>5641</v>
      </c>
    </row>
    <row r="16825">
      <c r="A16825" s="1" t="s">
        <v>28083</v>
      </c>
      <c r="B16825" s="2" t="s">
        <v>26816</v>
      </c>
      <c r="C16825" s="1" t="s">
        <v>5640</v>
      </c>
      <c r="D16825" s="1" t="s">
        <v>5641</v>
      </c>
    </row>
    <row r="16826">
      <c r="A16826" s="1" t="s">
        <v>28084</v>
      </c>
      <c r="B16826" s="2" t="s">
        <v>26818</v>
      </c>
      <c r="C16826" s="1" t="s">
        <v>5640</v>
      </c>
      <c r="D16826" s="1" t="s">
        <v>5641</v>
      </c>
    </row>
    <row r="16827">
      <c r="A16827" s="1" t="s">
        <v>28085</v>
      </c>
      <c r="B16827" s="2" t="s">
        <v>26820</v>
      </c>
      <c r="C16827" s="1" t="s">
        <v>5640</v>
      </c>
      <c r="D16827" s="1" t="s">
        <v>5641</v>
      </c>
    </row>
    <row r="16828">
      <c r="A16828" s="1" t="s">
        <v>28086</v>
      </c>
      <c r="B16828" s="2" t="s">
        <v>26822</v>
      </c>
      <c r="C16828" s="1" t="s">
        <v>5640</v>
      </c>
      <c r="D16828" s="1" t="s">
        <v>5641</v>
      </c>
    </row>
    <row r="16829">
      <c r="A16829" s="1" t="s">
        <v>28087</v>
      </c>
      <c r="B16829" s="2" t="s">
        <v>26824</v>
      </c>
      <c r="C16829" s="1" t="s">
        <v>5640</v>
      </c>
      <c r="D16829" s="1" t="s">
        <v>5641</v>
      </c>
    </row>
    <row r="16830">
      <c r="A16830" s="1" t="s">
        <v>28088</v>
      </c>
      <c r="B16830" s="2" t="s">
        <v>26826</v>
      </c>
      <c r="C16830" s="1" t="s">
        <v>5640</v>
      </c>
      <c r="D16830" s="1" t="s">
        <v>5641</v>
      </c>
    </row>
    <row r="16831">
      <c r="A16831" s="1" t="s">
        <v>28089</v>
      </c>
      <c r="B16831" s="2" t="s">
        <v>26828</v>
      </c>
      <c r="C16831" s="1" t="s">
        <v>5640</v>
      </c>
      <c r="D16831" s="1" t="s">
        <v>5641</v>
      </c>
    </row>
    <row r="16832">
      <c r="A16832" s="1" t="s">
        <v>28090</v>
      </c>
      <c r="B16832" s="2" t="s">
        <v>26830</v>
      </c>
      <c r="C16832" s="1" t="s">
        <v>5640</v>
      </c>
      <c r="D16832" s="1" t="s">
        <v>5641</v>
      </c>
    </row>
    <row r="16833">
      <c r="A16833" s="1" t="s">
        <v>28091</v>
      </c>
      <c r="B16833" s="2" t="s">
        <v>26832</v>
      </c>
      <c r="C16833" s="1" t="s">
        <v>5640</v>
      </c>
      <c r="D16833" s="1" t="s">
        <v>5641</v>
      </c>
    </row>
    <row r="16834">
      <c r="A16834" s="1" t="s">
        <v>28092</v>
      </c>
      <c r="B16834" s="2" t="s">
        <v>26834</v>
      </c>
      <c r="C16834" s="1" t="s">
        <v>5640</v>
      </c>
      <c r="D16834" s="1" t="s">
        <v>5641</v>
      </c>
    </row>
    <row r="16835">
      <c r="A16835" s="1" t="s">
        <v>28093</v>
      </c>
      <c r="B16835" s="2" t="s">
        <v>26836</v>
      </c>
      <c r="C16835" s="1" t="s">
        <v>5640</v>
      </c>
      <c r="D16835" s="1" t="s">
        <v>5641</v>
      </c>
    </row>
    <row r="16836">
      <c r="A16836" s="1" t="s">
        <v>28094</v>
      </c>
      <c r="B16836" s="2" t="s">
        <v>26838</v>
      </c>
      <c r="C16836" s="1" t="s">
        <v>5640</v>
      </c>
      <c r="D16836" s="1" t="s">
        <v>5641</v>
      </c>
    </row>
    <row r="16837">
      <c r="A16837" s="1" t="s">
        <v>28095</v>
      </c>
      <c r="B16837" s="2" t="s">
        <v>26840</v>
      </c>
      <c r="C16837" s="1" t="s">
        <v>5640</v>
      </c>
      <c r="D16837" s="1" t="s">
        <v>5641</v>
      </c>
    </row>
    <row r="16838">
      <c r="A16838" s="1" t="s">
        <v>28096</v>
      </c>
      <c r="B16838" s="2" t="s">
        <v>26842</v>
      </c>
      <c r="C16838" s="1" t="s">
        <v>5640</v>
      </c>
      <c r="D16838" s="1" t="s">
        <v>5641</v>
      </c>
    </row>
    <row r="16839">
      <c r="A16839" s="1" t="s">
        <v>28097</v>
      </c>
      <c r="B16839" s="2" t="s">
        <v>26844</v>
      </c>
      <c r="C16839" s="1" t="s">
        <v>5640</v>
      </c>
      <c r="D16839" s="1" t="s">
        <v>5641</v>
      </c>
    </row>
    <row r="16840">
      <c r="A16840" s="1" t="s">
        <v>28098</v>
      </c>
      <c r="B16840" s="2" t="s">
        <v>26846</v>
      </c>
      <c r="C16840" s="1" t="s">
        <v>5640</v>
      </c>
      <c r="D16840" s="1" t="s">
        <v>5641</v>
      </c>
    </row>
    <row r="16841">
      <c r="A16841" s="1" t="s">
        <v>28099</v>
      </c>
      <c r="B16841" s="2" t="s">
        <v>26848</v>
      </c>
      <c r="C16841" s="1" t="s">
        <v>5640</v>
      </c>
      <c r="D16841" s="1" t="s">
        <v>5641</v>
      </c>
    </row>
    <row r="16842">
      <c r="A16842" s="1" t="s">
        <v>28100</v>
      </c>
      <c r="B16842" s="2" t="s">
        <v>26850</v>
      </c>
      <c r="C16842" s="1" t="s">
        <v>5640</v>
      </c>
      <c r="D16842" s="1" t="s">
        <v>5641</v>
      </c>
    </row>
    <row r="16843">
      <c r="A16843" s="1" t="s">
        <v>28101</v>
      </c>
      <c r="B16843" s="2" t="s">
        <v>26852</v>
      </c>
      <c r="C16843" s="1" t="s">
        <v>5640</v>
      </c>
      <c r="D16843" s="1" t="s">
        <v>5641</v>
      </c>
    </row>
    <row r="16844">
      <c r="A16844" s="1" t="s">
        <v>28102</v>
      </c>
      <c r="B16844" s="2" t="s">
        <v>26854</v>
      </c>
      <c r="C16844" s="1" t="s">
        <v>5640</v>
      </c>
      <c r="D16844" s="1" t="s">
        <v>5641</v>
      </c>
    </row>
    <row r="16845">
      <c r="A16845" s="1" t="s">
        <v>28103</v>
      </c>
      <c r="B16845" s="2" t="s">
        <v>26856</v>
      </c>
      <c r="C16845" s="1" t="s">
        <v>5640</v>
      </c>
      <c r="D16845" s="1" t="s">
        <v>5641</v>
      </c>
    </row>
    <row r="16846">
      <c r="A16846" s="1" t="s">
        <v>28104</v>
      </c>
      <c r="B16846" s="2" t="s">
        <v>26858</v>
      </c>
      <c r="C16846" s="1" t="s">
        <v>5640</v>
      </c>
      <c r="D16846" s="1" t="s">
        <v>5641</v>
      </c>
    </row>
    <row r="16847">
      <c r="A16847" s="1" t="s">
        <v>28105</v>
      </c>
      <c r="B16847" s="2" t="s">
        <v>26860</v>
      </c>
      <c r="C16847" s="1" t="s">
        <v>5640</v>
      </c>
      <c r="D16847" s="1" t="s">
        <v>5641</v>
      </c>
    </row>
    <row r="16848">
      <c r="A16848" s="1" t="s">
        <v>28106</v>
      </c>
      <c r="B16848" s="2" t="s">
        <v>26862</v>
      </c>
      <c r="C16848" s="1" t="s">
        <v>5640</v>
      </c>
      <c r="D16848" s="1" t="s">
        <v>5641</v>
      </c>
    </row>
    <row r="16849">
      <c r="A16849" s="1" t="s">
        <v>28107</v>
      </c>
      <c r="B16849" s="2" t="s">
        <v>26864</v>
      </c>
      <c r="C16849" s="1" t="s">
        <v>5640</v>
      </c>
      <c r="D16849" s="1" t="s">
        <v>5641</v>
      </c>
    </row>
    <row r="16850">
      <c r="A16850" s="1" t="s">
        <v>28108</v>
      </c>
      <c r="B16850" s="2" t="s">
        <v>26866</v>
      </c>
      <c r="C16850" s="1" t="s">
        <v>5640</v>
      </c>
      <c r="D16850" s="1" t="s">
        <v>5641</v>
      </c>
    </row>
    <row r="16851">
      <c r="A16851" s="1" t="s">
        <v>28109</v>
      </c>
      <c r="B16851" s="2" t="s">
        <v>26868</v>
      </c>
      <c r="C16851" s="1" t="s">
        <v>5640</v>
      </c>
      <c r="D16851" s="1" t="s">
        <v>5641</v>
      </c>
    </row>
    <row r="16852">
      <c r="A16852" s="1" t="s">
        <v>28110</v>
      </c>
      <c r="B16852" s="2" t="s">
        <v>26870</v>
      </c>
      <c r="C16852" s="1" t="s">
        <v>5640</v>
      </c>
      <c r="D16852" s="1" t="s">
        <v>5641</v>
      </c>
    </row>
    <row r="16853">
      <c r="A16853" s="1" t="s">
        <v>28111</v>
      </c>
      <c r="B16853" s="2" t="s">
        <v>26872</v>
      </c>
      <c r="C16853" s="1" t="s">
        <v>5640</v>
      </c>
      <c r="D16853" s="1" t="s">
        <v>5641</v>
      </c>
    </row>
    <row r="16854">
      <c r="A16854" s="1" t="s">
        <v>28112</v>
      </c>
      <c r="B16854" s="2" t="s">
        <v>26874</v>
      </c>
      <c r="C16854" s="1" t="s">
        <v>5640</v>
      </c>
      <c r="D16854" s="1" t="s">
        <v>5641</v>
      </c>
    </row>
    <row r="16855">
      <c r="A16855" s="1" t="s">
        <v>28113</v>
      </c>
      <c r="B16855" s="2" t="s">
        <v>26876</v>
      </c>
      <c r="C16855" s="1" t="s">
        <v>5640</v>
      </c>
      <c r="D16855" s="1" t="s">
        <v>5641</v>
      </c>
    </row>
    <row r="16856">
      <c r="A16856" s="1" t="s">
        <v>28114</v>
      </c>
      <c r="B16856" s="2" t="s">
        <v>26878</v>
      </c>
      <c r="C16856" s="1" t="s">
        <v>5640</v>
      </c>
      <c r="D16856" s="1" t="s">
        <v>5641</v>
      </c>
    </row>
    <row r="16857">
      <c r="A16857" s="1" t="s">
        <v>28115</v>
      </c>
      <c r="B16857" s="2" t="s">
        <v>26880</v>
      </c>
      <c r="C16857" s="1" t="s">
        <v>5640</v>
      </c>
      <c r="D16857" s="1" t="s">
        <v>5641</v>
      </c>
    </row>
    <row r="16858">
      <c r="A16858" s="1" t="s">
        <v>28116</v>
      </c>
      <c r="B16858" s="2" t="s">
        <v>26882</v>
      </c>
      <c r="C16858" s="1" t="s">
        <v>5640</v>
      </c>
      <c r="D16858" s="1" t="s">
        <v>5641</v>
      </c>
    </row>
    <row r="16859">
      <c r="A16859" s="1" t="s">
        <v>28117</v>
      </c>
      <c r="B16859" s="2" t="s">
        <v>26884</v>
      </c>
      <c r="C16859" s="1" t="s">
        <v>5640</v>
      </c>
      <c r="D16859" s="1" t="s">
        <v>5641</v>
      </c>
    </row>
    <row r="16860">
      <c r="A16860" s="1" t="s">
        <v>28118</v>
      </c>
      <c r="B16860" s="2" t="s">
        <v>26886</v>
      </c>
      <c r="C16860" s="1" t="s">
        <v>5640</v>
      </c>
      <c r="D16860" s="1" t="s">
        <v>5641</v>
      </c>
    </row>
    <row r="16861">
      <c r="A16861" s="1" t="s">
        <v>28119</v>
      </c>
      <c r="B16861" s="2" t="s">
        <v>26888</v>
      </c>
      <c r="C16861" s="1" t="s">
        <v>5640</v>
      </c>
      <c r="D16861" s="1" t="s">
        <v>5641</v>
      </c>
    </row>
    <row r="16862">
      <c r="A16862" s="1" t="s">
        <v>28120</v>
      </c>
      <c r="B16862" s="2" t="s">
        <v>26890</v>
      </c>
      <c r="C16862" s="1" t="s">
        <v>5640</v>
      </c>
      <c r="D16862" s="1" t="s">
        <v>5641</v>
      </c>
    </row>
    <row r="16863">
      <c r="A16863" s="1" t="s">
        <v>28121</v>
      </c>
      <c r="B16863" s="2" t="s">
        <v>26892</v>
      </c>
      <c r="C16863" s="1" t="s">
        <v>5640</v>
      </c>
      <c r="D16863" s="1" t="s">
        <v>5641</v>
      </c>
    </row>
    <row r="16864">
      <c r="A16864" s="1" t="s">
        <v>28122</v>
      </c>
      <c r="B16864" s="2" t="s">
        <v>26894</v>
      </c>
      <c r="C16864" s="1" t="s">
        <v>5640</v>
      </c>
      <c r="D16864" s="1" t="s">
        <v>5641</v>
      </c>
    </row>
    <row r="16865">
      <c r="A16865" s="1" t="s">
        <v>28123</v>
      </c>
      <c r="B16865" s="2" t="s">
        <v>26896</v>
      </c>
      <c r="C16865" s="1" t="s">
        <v>5640</v>
      </c>
      <c r="D16865" s="1" t="s">
        <v>5641</v>
      </c>
    </row>
    <row r="16866">
      <c r="A16866" s="1" t="s">
        <v>28124</v>
      </c>
      <c r="B16866" s="2" t="s">
        <v>26898</v>
      </c>
      <c r="C16866" s="1" t="s">
        <v>5640</v>
      </c>
      <c r="D16866" s="1" t="s">
        <v>5641</v>
      </c>
    </row>
    <row r="16867">
      <c r="A16867" s="1" t="s">
        <v>28125</v>
      </c>
      <c r="B16867" s="2" t="s">
        <v>26900</v>
      </c>
      <c r="C16867" s="1" t="s">
        <v>5640</v>
      </c>
      <c r="D16867" s="1" t="s">
        <v>5641</v>
      </c>
    </row>
    <row r="16868">
      <c r="A16868" s="1" t="s">
        <v>28126</v>
      </c>
      <c r="B16868" s="2" t="s">
        <v>26902</v>
      </c>
      <c r="C16868" s="1" t="s">
        <v>5640</v>
      </c>
      <c r="D16868" s="1" t="s">
        <v>5641</v>
      </c>
    </row>
    <row r="16869">
      <c r="A16869" s="1" t="s">
        <v>28127</v>
      </c>
      <c r="B16869" s="2" t="s">
        <v>26904</v>
      </c>
      <c r="C16869" s="1" t="s">
        <v>5640</v>
      </c>
      <c r="D16869" s="1" t="s">
        <v>5641</v>
      </c>
    </row>
    <row r="16870">
      <c r="A16870" s="1" t="s">
        <v>28128</v>
      </c>
      <c r="B16870" s="2" t="s">
        <v>26906</v>
      </c>
      <c r="C16870" s="1" t="s">
        <v>5640</v>
      </c>
      <c r="D16870" s="1" t="s">
        <v>5641</v>
      </c>
    </row>
    <row r="16871">
      <c r="A16871" s="1" t="s">
        <v>28129</v>
      </c>
      <c r="B16871" s="2" t="s">
        <v>26908</v>
      </c>
      <c r="C16871" s="1" t="s">
        <v>5640</v>
      </c>
      <c r="D16871" s="1" t="s">
        <v>5641</v>
      </c>
    </row>
    <row r="16872">
      <c r="A16872" s="1" t="s">
        <v>28130</v>
      </c>
      <c r="B16872" s="2" t="s">
        <v>26910</v>
      </c>
      <c r="C16872" s="1" t="s">
        <v>5640</v>
      </c>
      <c r="D16872" s="1" t="s">
        <v>5641</v>
      </c>
    </row>
    <row r="16873">
      <c r="A16873" s="1" t="s">
        <v>28131</v>
      </c>
      <c r="B16873" s="2" t="s">
        <v>26912</v>
      </c>
      <c r="C16873" s="1" t="s">
        <v>5640</v>
      </c>
      <c r="D16873" s="1" t="s">
        <v>5641</v>
      </c>
    </row>
    <row r="16874">
      <c r="A16874" s="1" t="s">
        <v>28132</v>
      </c>
      <c r="B16874" s="2" t="s">
        <v>26914</v>
      </c>
      <c r="C16874" s="1" t="s">
        <v>5640</v>
      </c>
      <c r="D16874" s="1" t="s">
        <v>5641</v>
      </c>
    </row>
    <row r="16875">
      <c r="A16875" s="1" t="s">
        <v>28133</v>
      </c>
      <c r="B16875" s="2" t="s">
        <v>26916</v>
      </c>
      <c r="C16875" s="1" t="s">
        <v>5640</v>
      </c>
      <c r="D16875" s="1" t="s">
        <v>5641</v>
      </c>
    </row>
    <row r="16876">
      <c r="A16876" s="1" t="s">
        <v>28134</v>
      </c>
      <c r="B16876" s="2" t="s">
        <v>26918</v>
      </c>
      <c r="C16876" s="1" t="s">
        <v>5640</v>
      </c>
      <c r="D16876" s="1" t="s">
        <v>5641</v>
      </c>
    </row>
    <row r="16877">
      <c r="A16877" s="1" t="s">
        <v>28135</v>
      </c>
      <c r="B16877" s="2" t="s">
        <v>26920</v>
      </c>
      <c r="C16877" s="1" t="s">
        <v>5640</v>
      </c>
      <c r="D16877" s="1" t="s">
        <v>5641</v>
      </c>
    </row>
    <row r="16878">
      <c r="A16878" s="1" t="s">
        <v>28136</v>
      </c>
      <c r="B16878" s="2" t="s">
        <v>26922</v>
      </c>
      <c r="C16878" s="1" t="s">
        <v>5640</v>
      </c>
      <c r="D16878" s="1" t="s">
        <v>5641</v>
      </c>
    </row>
    <row r="16879">
      <c r="A16879" s="1" t="s">
        <v>28137</v>
      </c>
      <c r="B16879" s="2" t="s">
        <v>26924</v>
      </c>
      <c r="C16879" s="1" t="s">
        <v>5640</v>
      </c>
      <c r="D16879" s="1" t="s">
        <v>5641</v>
      </c>
    </row>
    <row r="16880">
      <c r="A16880" s="1" t="s">
        <v>28138</v>
      </c>
      <c r="B16880" s="2" t="s">
        <v>26926</v>
      </c>
      <c r="C16880" s="1" t="s">
        <v>5640</v>
      </c>
      <c r="D16880" s="1" t="s">
        <v>5641</v>
      </c>
    </row>
    <row r="16881">
      <c r="A16881" s="1" t="s">
        <v>28139</v>
      </c>
      <c r="B16881" s="2" t="s">
        <v>26928</v>
      </c>
      <c r="C16881" s="1" t="s">
        <v>5640</v>
      </c>
      <c r="D16881" s="1" t="s">
        <v>5641</v>
      </c>
    </row>
    <row r="16882">
      <c r="A16882" s="1" t="s">
        <v>28140</v>
      </c>
      <c r="B16882" s="2" t="s">
        <v>26930</v>
      </c>
      <c r="C16882" s="1" t="s">
        <v>5640</v>
      </c>
      <c r="D16882" s="1" t="s">
        <v>5641</v>
      </c>
    </row>
    <row r="16883">
      <c r="A16883" s="1" t="s">
        <v>28141</v>
      </c>
      <c r="B16883" s="2" t="s">
        <v>26932</v>
      </c>
      <c r="C16883" s="1" t="s">
        <v>5640</v>
      </c>
      <c r="D16883" s="1" t="s">
        <v>5641</v>
      </c>
    </row>
    <row r="16884">
      <c r="A16884" s="1" t="s">
        <v>28142</v>
      </c>
      <c r="B16884" s="2" t="s">
        <v>26934</v>
      </c>
      <c r="C16884" s="1" t="s">
        <v>5640</v>
      </c>
      <c r="D16884" s="1" t="s">
        <v>5641</v>
      </c>
    </row>
    <row r="16885">
      <c r="A16885" s="1" t="s">
        <v>28143</v>
      </c>
      <c r="B16885" s="2" t="s">
        <v>26936</v>
      </c>
      <c r="C16885" s="1" t="s">
        <v>5640</v>
      </c>
      <c r="D16885" s="1" t="s">
        <v>5641</v>
      </c>
    </row>
    <row r="16886">
      <c r="A16886" s="1" t="s">
        <v>28144</v>
      </c>
      <c r="B16886" s="2" t="s">
        <v>26938</v>
      </c>
      <c r="C16886" s="1" t="s">
        <v>5640</v>
      </c>
      <c r="D16886" s="1" t="s">
        <v>5641</v>
      </c>
    </row>
    <row r="16887">
      <c r="A16887" s="1" t="s">
        <v>28145</v>
      </c>
      <c r="B16887" s="2" t="s">
        <v>26940</v>
      </c>
      <c r="C16887" s="1" t="s">
        <v>5640</v>
      </c>
      <c r="D16887" s="1" t="s">
        <v>5641</v>
      </c>
    </row>
    <row r="16888">
      <c r="A16888" s="1" t="s">
        <v>28146</v>
      </c>
      <c r="B16888" s="2" t="s">
        <v>26942</v>
      </c>
      <c r="C16888" s="1" t="s">
        <v>5640</v>
      </c>
      <c r="D16888" s="1" t="s">
        <v>5641</v>
      </c>
    </row>
    <row r="16889">
      <c r="A16889" s="1" t="s">
        <v>28147</v>
      </c>
      <c r="B16889" s="2" t="s">
        <v>26944</v>
      </c>
      <c r="C16889" s="1" t="s">
        <v>5640</v>
      </c>
      <c r="D16889" s="1" t="s">
        <v>5641</v>
      </c>
    </row>
    <row r="16890">
      <c r="A16890" s="1" t="s">
        <v>28148</v>
      </c>
      <c r="B16890" s="2" t="s">
        <v>26946</v>
      </c>
      <c r="C16890" s="1" t="s">
        <v>5640</v>
      </c>
      <c r="D16890" s="1" t="s">
        <v>5641</v>
      </c>
    </row>
    <row r="16891">
      <c r="A16891" s="1" t="s">
        <v>28149</v>
      </c>
      <c r="B16891" s="2" t="s">
        <v>26948</v>
      </c>
      <c r="C16891" s="1" t="s">
        <v>5640</v>
      </c>
      <c r="D16891" s="1" t="s">
        <v>5641</v>
      </c>
    </row>
    <row r="16892">
      <c r="A16892" s="1" t="s">
        <v>28150</v>
      </c>
      <c r="B16892" s="2" t="s">
        <v>26950</v>
      </c>
      <c r="C16892" s="1" t="s">
        <v>5640</v>
      </c>
      <c r="D16892" s="1" t="s">
        <v>5641</v>
      </c>
    </row>
    <row r="16893">
      <c r="A16893" s="1" t="s">
        <v>28151</v>
      </c>
      <c r="B16893" s="2" t="s">
        <v>26952</v>
      </c>
      <c r="C16893" s="1" t="s">
        <v>5640</v>
      </c>
      <c r="D16893" s="1" t="s">
        <v>5641</v>
      </c>
    </row>
    <row r="16894">
      <c r="A16894" s="1" t="s">
        <v>28152</v>
      </c>
      <c r="B16894" s="2" t="s">
        <v>26954</v>
      </c>
      <c r="C16894" s="1" t="s">
        <v>5640</v>
      </c>
      <c r="D16894" s="1" t="s">
        <v>5641</v>
      </c>
    </row>
    <row r="16895">
      <c r="A16895" s="1" t="s">
        <v>28153</v>
      </c>
      <c r="B16895" s="2" t="s">
        <v>26956</v>
      </c>
      <c r="C16895" s="1" t="s">
        <v>5640</v>
      </c>
      <c r="D16895" s="1" t="s">
        <v>5641</v>
      </c>
    </row>
    <row r="16896">
      <c r="A16896" s="1" t="s">
        <v>28154</v>
      </c>
      <c r="B16896" s="2" t="s">
        <v>26958</v>
      </c>
      <c r="C16896" s="1" t="s">
        <v>5640</v>
      </c>
      <c r="D16896" s="1" t="s">
        <v>5641</v>
      </c>
    </row>
    <row r="16897">
      <c r="A16897" s="1" t="s">
        <v>28155</v>
      </c>
      <c r="B16897" s="2" t="s">
        <v>26960</v>
      </c>
      <c r="C16897" s="1" t="s">
        <v>5640</v>
      </c>
      <c r="D16897" s="1" t="s">
        <v>5641</v>
      </c>
    </row>
    <row r="16898">
      <c r="A16898" s="1" t="s">
        <v>28156</v>
      </c>
      <c r="B16898" s="2" t="s">
        <v>26962</v>
      </c>
      <c r="C16898" s="1" t="s">
        <v>5640</v>
      </c>
      <c r="D16898" s="1" t="s">
        <v>5641</v>
      </c>
    </row>
    <row r="16899">
      <c r="A16899" s="1" t="s">
        <v>28157</v>
      </c>
      <c r="B16899" s="2" t="s">
        <v>26964</v>
      </c>
      <c r="C16899" s="1" t="s">
        <v>5640</v>
      </c>
      <c r="D16899" s="1" t="s">
        <v>5641</v>
      </c>
    </row>
    <row r="16900">
      <c r="A16900" s="1" t="s">
        <v>28158</v>
      </c>
      <c r="B16900" s="2" t="s">
        <v>26966</v>
      </c>
      <c r="C16900" s="1" t="s">
        <v>5640</v>
      </c>
      <c r="D16900" s="1" t="s">
        <v>5641</v>
      </c>
    </row>
    <row r="16901">
      <c r="A16901" s="1" t="s">
        <v>28159</v>
      </c>
      <c r="B16901" s="2" t="s">
        <v>26968</v>
      </c>
      <c r="C16901" s="1" t="s">
        <v>5640</v>
      </c>
      <c r="D16901" s="1" t="s">
        <v>5641</v>
      </c>
    </row>
    <row r="16902">
      <c r="A16902" s="1" t="s">
        <v>28160</v>
      </c>
      <c r="B16902" s="2" t="s">
        <v>26970</v>
      </c>
      <c r="C16902" s="1" t="s">
        <v>5640</v>
      </c>
      <c r="D16902" s="1" t="s">
        <v>5641</v>
      </c>
    </row>
    <row r="16903">
      <c r="A16903" s="1" t="s">
        <v>28161</v>
      </c>
      <c r="B16903" s="2" t="s">
        <v>26972</v>
      </c>
      <c r="C16903" s="1" t="s">
        <v>5640</v>
      </c>
      <c r="D16903" s="1" t="s">
        <v>5641</v>
      </c>
    </row>
    <row r="16904">
      <c r="A16904" s="1" t="s">
        <v>28162</v>
      </c>
      <c r="B16904" s="2" t="s">
        <v>26974</v>
      </c>
      <c r="C16904" s="1" t="s">
        <v>5640</v>
      </c>
      <c r="D16904" s="1" t="s">
        <v>5641</v>
      </c>
    </row>
    <row r="16905">
      <c r="A16905" s="1" t="s">
        <v>28163</v>
      </c>
      <c r="B16905" s="2" t="s">
        <v>26976</v>
      </c>
      <c r="C16905" s="1" t="s">
        <v>5640</v>
      </c>
      <c r="D16905" s="1" t="s">
        <v>5641</v>
      </c>
    </row>
    <row r="16906">
      <c r="A16906" s="1" t="s">
        <v>28164</v>
      </c>
      <c r="B16906" s="2" t="s">
        <v>26978</v>
      </c>
      <c r="C16906" s="1" t="s">
        <v>5640</v>
      </c>
      <c r="D16906" s="1" t="s">
        <v>5641</v>
      </c>
    </row>
    <row r="16907">
      <c r="A16907" s="1" t="s">
        <v>28165</v>
      </c>
      <c r="B16907" s="2" t="s">
        <v>26980</v>
      </c>
      <c r="C16907" s="1" t="s">
        <v>5640</v>
      </c>
      <c r="D16907" s="1" t="s">
        <v>5641</v>
      </c>
    </row>
    <row r="16908">
      <c r="A16908" s="1" t="s">
        <v>28166</v>
      </c>
      <c r="B16908" s="2" t="s">
        <v>26982</v>
      </c>
      <c r="C16908" s="1" t="s">
        <v>5640</v>
      </c>
      <c r="D16908" s="1" t="s">
        <v>5641</v>
      </c>
    </row>
    <row r="16909">
      <c r="A16909" s="1" t="s">
        <v>28167</v>
      </c>
      <c r="B16909" s="2" t="s">
        <v>26984</v>
      </c>
      <c r="C16909" s="1" t="s">
        <v>5640</v>
      </c>
      <c r="D16909" s="1" t="s">
        <v>5641</v>
      </c>
    </row>
    <row r="16910">
      <c r="A16910" s="1" t="s">
        <v>28168</v>
      </c>
      <c r="B16910" s="2" t="s">
        <v>26986</v>
      </c>
      <c r="C16910" s="1" t="s">
        <v>5640</v>
      </c>
      <c r="D16910" s="1" t="s">
        <v>5641</v>
      </c>
    </row>
    <row r="16911">
      <c r="A16911" s="1" t="s">
        <v>28169</v>
      </c>
      <c r="B16911" s="2" t="s">
        <v>26988</v>
      </c>
      <c r="C16911" s="1" t="s">
        <v>5640</v>
      </c>
      <c r="D16911" s="1" t="s">
        <v>5641</v>
      </c>
    </row>
    <row r="16912">
      <c r="A16912" s="1" t="s">
        <v>28170</v>
      </c>
      <c r="B16912" s="2" t="s">
        <v>26990</v>
      </c>
      <c r="C16912" s="1" t="s">
        <v>5640</v>
      </c>
      <c r="D16912" s="1" t="s">
        <v>5641</v>
      </c>
    </row>
    <row r="16913">
      <c r="A16913" s="1" t="s">
        <v>28171</v>
      </c>
      <c r="B16913" s="2" t="s">
        <v>26992</v>
      </c>
      <c r="C16913" s="1" t="s">
        <v>5640</v>
      </c>
      <c r="D16913" s="1" t="s">
        <v>5641</v>
      </c>
    </row>
    <row r="16914">
      <c r="A16914" s="1" t="s">
        <v>28172</v>
      </c>
      <c r="B16914" s="2" t="s">
        <v>26994</v>
      </c>
      <c r="C16914" s="1" t="s">
        <v>5640</v>
      </c>
      <c r="D16914" s="1" t="s">
        <v>5641</v>
      </c>
    </row>
    <row r="16915">
      <c r="A16915" s="1" t="s">
        <v>28173</v>
      </c>
      <c r="B16915" s="2" t="s">
        <v>26996</v>
      </c>
      <c r="C16915" s="1" t="s">
        <v>5640</v>
      </c>
      <c r="D16915" s="1" t="s">
        <v>5641</v>
      </c>
    </row>
    <row r="16916">
      <c r="A16916" s="1" t="s">
        <v>28174</v>
      </c>
      <c r="B16916" s="2" t="s">
        <v>26998</v>
      </c>
      <c r="C16916" s="1" t="s">
        <v>5640</v>
      </c>
      <c r="D16916" s="1" t="s">
        <v>5641</v>
      </c>
    </row>
    <row r="16917">
      <c r="A16917" s="1" t="s">
        <v>28175</v>
      </c>
      <c r="B16917" s="2" t="s">
        <v>27000</v>
      </c>
      <c r="C16917" s="1" t="s">
        <v>5640</v>
      </c>
      <c r="D16917" s="1" t="s">
        <v>5641</v>
      </c>
    </row>
    <row r="16918">
      <c r="A16918" s="1" t="s">
        <v>28176</v>
      </c>
      <c r="B16918" s="2" t="s">
        <v>27002</v>
      </c>
      <c r="C16918" s="1" t="s">
        <v>5640</v>
      </c>
      <c r="D16918" s="1" t="s">
        <v>5641</v>
      </c>
    </row>
    <row r="16919">
      <c r="A16919" s="1" t="s">
        <v>28177</v>
      </c>
      <c r="B16919" s="2" t="s">
        <v>27004</v>
      </c>
      <c r="C16919" s="1" t="s">
        <v>5640</v>
      </c>
      <c r="D16919" s="1" t="s">
        <v>5641</v>
      </c>
    </row>
    <row r="16920">
      <c r="A16920" s="1" t="s">
        <v>28178</v>
      </c>
      <c r="B16920" s="2" t="s">
        <v>27006</v>
      </c>
      <c r="C16920" s="1" t="s">
        <v>5640</v>
      </c>
      <c r="D16920" s="1" t="s">
        <v>5641</v>
      </c>
    </row>
    <row r="16921">
      <c r="A16921" s="1" t="s">
        <v>28179</v>
      </c>
      <c r="B16921" s="2" t="s">
        <v>27008</v>
      </c>
      <c r="C16921" s="1" t="s">
        <v>5640</v>
      </c>
      <c r="D16921" s="1" t="s">
        <v>5641</v>
      </c>
    </row>
    <row r="16922">
      <c r="A16922" s="1" t="s">
        <v>28180</v>
      </c>
      <c r="B16922" s="2" t="s">
        <v>27010</v>
      </c>
      <c r="C16922" s="1" t="s">
        <v>5640</v>
      </c>
      <c r="D16922" s="1" t="s">
        <v>5641</v>
      </c>
    </row>
    <row r="16923">
      <c r="A16923" s="1" t="s">
        <v>28181</v>
      </c>
      <c r="B16923" s="2" t="s">
        <v>27012</v>
      </c>
      <c r="C16923" s="1" t="s">
        <v>5640</v>
      </c>
      <c r="D16923" s="1" t="s">
        <v>5641</v>
      </c>
    </row>
    <row r="16924">
      <c r="A16924" s="1" t="s">
        <v>28182</v>
      </c>
      <c r="B16924" s="2" t="s">
        <v>27014</v>
      </c>
      <c r="C16924" s="1" t="s">
        <v>5640</v>
      </c>
      <c r="D16924" s="1" t="s">
        <v>5641</v>
      </c>
    </row>
    <row r="16925">
      <c r="A16925" s="1" t="s">
        <v>28183</v>
      </c>
      <c r="B16925" s="2" t="s">
        <v>27016</v>
      </c>
      <c r="C16925" s="1" t="s">
        <v>5640</v>
      </c>
      <c r="D16925" s="1" t="s">
        <v>5641</v>
      </c>
    </row>
    <row r="16926">
      <c r="A16926" s="1" t="s">
        <v>28184</v>
      </c>
      <c r="B16926" s="2" t="s">
        <v>27018</v>
      </c>
      <c r="C16926" s="1" t="s">
        <v>5640</v>
      </c>
      <c r="D16926" s="1" t="s">
        <v>5641</v>
      </c>
    </row>
    <row r="16927">
      <c r="A16927" s="1" t="s">
        <v>28185</v>
      </c>
      <c r="B16927" s="2" t="s">
        <v>27020</v>
      </c>
      <c r="C16927" s="1" t="s">
        <v>5640</v>
      </c>
      <c r="D16927" s="1" t="s">
        <v>5641</v>
      </c>
    </row>
    <row r="16928">
      <c r="A16928" s="1" t="s">
        <v>28186</v>
      </c>
      <c r="B16928" s="2" t="s">
        <v>27022</v>
      </c>
      <c r="C16928" s="1" t="s">
        <v>5640</v>
      </c>
      <c r="D16928" s="1" t="s">
        <v>5641</v>
      </c>
    </row>
    <row r="16929">
      <c r="A16929" s="1" t="s">
        <v>28187</v>
      </c>
      <c r="B16929" s="2" t="s">
        <v>27024</v>
      </c>
      <c r="C16929" s="1" t="s">
        <v>5640</v>
      </c>
      <c r="D16929" s="1" t="s">
        <v>5641</v>
      </c>
    </row>
    <row r="16930">
      <c r="A16930" s="1" t="s">
        <v>28188</v>
      </c>
      <c r="B16930" s="2" t="s">
        <v>27026</v>
      </c>
      <c r="C16930" s="1" t="s">
        <v>5640</v>
      </c>
      <c r="D16930" s="1" t="s">
        <v>5641</v>
      </c>
    </row>
    <row r="16931">
      <c r="A16931" s="1" t="s">
        <v>28189</v>
      </c>
      <c r="B16931" s="2" t="s">
        <v>27028</v>
      </c>
      <c r="C16931" s="1" t="s">
        <v>5640</v>
      </c>
      <c r="D16931" s="1" t="s">
        <v>5641</v>
      </c>
    </row>
    <row r="16932">
      <c r="A16932" s="1" t="s">
        <v>28190</v>
      </c>
      <c r="B16932" s="2" t="s">
        <v>27030</v>
      </c>
      <c r="C16932" s="1" t="s">
        <v>5640</v>
      </c>
      <c r="D16932" s="1" t="s">
        <v>5641</v>
      </c>
    </row>
    <row r="16933">
      <c r="A16933" s="1" t="s">
        <v>28191</v>
      </c>
      <c r="B16933" s="2" t="s">
        <v>27032</v>
      </c>
      <c r="C16933" s="1" t="s">
        <v>5640</v>
      </c>
      <c r="D16933" s="1" t="s">
        <v>5641</v>
      </c>
    </row>
    <row r="16934">
      <c r="A16934" s="1" t="s">
        <v>28192</v>
      </c>
      <c r="B16934" s="2" t="s">
        <v>27034</v>
      </c>
      <c r="C16934" s="1" t="s">
        <v>5640</v>
      </c>
      <c r="D16934" s="1" t="s">
        <v>5641</v>
      </c>
    </row>
    <row r="16935">
      <c r="A16935" s="1" t="s">
        <v>28193</v>
      </c>
      <c r="B16935" s="2" t="s">
        <v>27036</v>
      </c>
      <c r="C16935" s="1" t="s">
        <v>5640</v>
      </c>
      <c r="D16935" s="1" t="s">
        <v>5641</v>
      </c>
    </row>
    <row r="16936">
      <c r="A16936" s="1" t="s">
        <v>28194</v>
      </c>
      <c r="B16936" s="2" t="s">
        <v>27038</v>
      </c>
      <c r="C16936" s="1" t="s">
        <v>5640</v>
      </c>
      <c r="D16936" s="1" t="s">
        <v>5641</v>
      </c>
    </row>
    <row r="16937">
      <c r="A16937" s="1" t="s">
        <v>28195</v>
      </c>
      <c r="B16937" s="2" t="s">
        <v>27040</v>
      </c>
      <c r="C16937" s="1" t="s">
        <v>5640</v>
      </c>
      <c r="D16937" s="1" t="s">
        <v>5641</v>
      </c>
    </row>
    <row r="16938">
      <c r="A16938" s="1" t="s">
        <v>28196</v>
      </c>
      <c r="B16938" s="2" t="s">
        <v>27042</v>
      </c>
      <c r="C16938" s="1" t="s">
        <v>5640</v>
      </c>
      <c r="D16938" s="1" t="s">
        <v>5641</v>
      </c>
    </row>
    <row r="16939">
      <c r="A16939" s="1" t="s">
        <v>28197</v>
      </c>
      <c r="B16939" s="2" t="s">
        <v>27044</v>
      </c>
      <c r="C16939" s="1" t="s">
        <v>5640</v>
      </c>
      <c r="D16939" s="1" t="s">
        <v>5641</v>
      </c>
    </row>
    <row r="16940">
      <c r="A16940" s="1" t="s">
        <v>28198</v>
      </c>
      <c r="B16940" s="2" t="s">
        <v>27046</v>
      </c>
      <c r="C16940" s="1" t="s">
        <v>5640</v>
      </c>
      <c r="D16940" s="1" t="s">
        <v>5641</v>
      </c>
    </row>
    <row r="16941">
      <c r="A16941" s="1" t="s">
        <v>28199</v>
      </c>
      <c r="B16941" s="2" t="s">
        <v>27048</v>
      </c>
      <c r="C16941" s="1" t="s">
        <v>5640</v>
      </c>
      <c r="D16941" s="1" t="s">
        <v>5641</v>
      </c>
    </row>
    <row r="16942">
      <c r="A16942" s="1" t="s">
        <v>28200</v>
      </c>
      <c r="B16942" s="2" t="s">
        <v>27050</v>
      </c>
      <c r="C16942" s="1" t="s">
        <v>5640</v>
      </c>
      <c r="D16942" s="1" t="s">
        <v>5641</v>
      </c>
    </row>
    <row r="16943">
      <c r="A16943" s="1" t="s">
        <v>28201</v>
      </c>
      <c r="B16943" s="2" t="s">
        <v>27052</v>
      </c>
      <c r="C16943" s="1" t="s">
        <v>5640</v>
      </c>
      <c r="D16943" s="1" t="s">
        <v>5641</v>
      </c>
    </row>
    <row r="16944">
      <c r="A16944" s="1" t="s">
        <v>28202</v>
      </c>
      <c r="B16944" s="2" t="s">
        <v>27054</v>
      </c>
      <c r="C16944" s="1" t="s">
        <v>5640</v>
      </c>
      <c r="D16944" s="1" t="s">
        <v>5641</v>
      </c>
    </row>
    <row r="16945">
      <c r="A16945" s="1" t="s">
        <v>28203</v>
      </c>
      <c r="B16945" s="2" t="s">
        <v>27056</v>
      </c>
      <c r="C16945" s="1" t="s">
        <v>5640</v>
      </c>
      <c r="D16945" s="1" t="s">
        <v>5641</v>
      </c>
    </row>
    <row r="16946">
      <c r="A16946" s="1" t="s">
        <v>28204</v>
      </c>
      <c r="B16946" s="2" t="s">
        <v>27058</v>
      </c>
      <c r="C16946" s="1" t="s">
        <v>5640</v>
      </c>
      <c r="D16946" s="1" t="s">
        <v>5641</v>
      </c>
    </row>
    <row r="16947">
      <c r="A16947" s="1" t="s">
        <v>28205</v>
      </c>
      <c r="B16947" s="2" t="s">
        <v>27060</v>
      </c>
      <c r="C16947" s="1" t="s">
        <v>5640</v>
      </c>
      <c r="D16947" s="1" t="s">
        <v>5641</v>
      </c>
    </row>
    <row r="16948">
      <c r="A16948" s="1" t="s">
        <v>28206</v>
      </c>
      <c r="B16948" s="2" t="s">
        <v>27062</v>
      </c>
      <c r="C16948" s="1" t="s">
        <v>5640</v>
      </c>
      <c r="D16948" s="1" t="s">
        <v>5641</v>
      </c>
    </row>
    <row r="16949">
      <c r="A16949" s="1" t="s">
        <v>28207</v>
      </c>
      <c r="B16949" s="2" t="s">
        <v>27064</v>
      </c>
      <c r="C16949" s="1" t="s">
        <v>5640</v>
      </c>
      <c r="D16949" s="1" t="s">
        <v>5641</v>
      </c>
    </row>
    <row r="16950">
      <c r="A16950" s="1" t="s">
        <v>28208</v>
      </c>
      <c r="B16950" s="2" t="s">
        <v>27066</v>
      </c>
      <c r="C16950" s="1" t="s">
        <v>5640</v>
      </c>
      <c r="D16950" s="1" t="s">
        <v>5641</v>
      </c>
    </row>
    <row r="16951">
      <c r="A16951" s="1" t="s">
        <v>28209</v>
      </c>
      <c r="B16951" s="2" t="s">
        <v>27068</v>
      </c>
      <c r="C16951" s="1" t="s">
        <v>5640</v>
      </c>
      <c r="D16951" s="1" t="s">
        <v>5641</v>
      </c>
    </row>
    <row r="16952">
      <c r="A16952" s="1" t="s">
        <v>28210</v>
      </c>
      <c r="B16952" s="2" t="s">
        <v>27070</v>
      </c>
      <c r="C16952" s="1" t="s">
        <v>5640</v>
      </c>
      <c r="D16952" s="1" t="s">
        <v>5641</v>
      </c>
    </row>
    <row r="16953">
      <c r="A16953" s="1" t="s">
        <v>28211</v>
      </c>
      <c r="B16953" s="2" t="s">
        <v>27072</v>
      </c>
      <c r="C16953" s="1" t="s">
        <v>5640</v>
      </c>
      <c r="D16953" s="1" t="s">
        <v>5641</v>
      </c>
    </row>
    <row r="16954">
      <c r="A16954" s="1" t="s">
        <v>28212</v>
      </c>
      <c r="B16954" s="2" t="s">
        <v>27074</v>
      </c>
      <c r="C16954" s="1" t="s">
        <v>5640</v>
      </c>
      <c r="D16954" s="1" t="s">
        <v>5641</v>
      </c>
    </row>
    <row r="16955">
      <c r="A16955" s="1" t="s">
        <v>28213</v>
      </c>
      <c r="B16955" s="2" t="s">
        <v>27076</v>
      </c>
      <c r="C16955" s="1" t="s">
        <v>5640</v>
      </c>
      <c r="D16955" s="1" t="s">
        <v>5641</v>
      </c>
    </row>
    <row r="16956">
      <c r="A16956" s="1" t="s">
        <v>28214</v>
      </c>
      <c r="B16956" s="2" t="s">
        <v>27078</v>
      </c>
      <c r="C16956" s="1" t="s">
        <v>5640</v>
      </c>
      <c r="D16956" s="1" t="s">
        <v>5641</v>
      </c>
    </row>
    <row r="16957">
      <c r="A16957" s="1" t="s">
        <v>28215</v>
      </c>
      <c r="B16957" s="2" t="s">
        <v>27080</v>
      </c>
      <c r="C16957" s="1" t="s">
        <v>5640</v>
      </c>
      <c r="D16957" s="1" t="s">
        <v>5641</v>
      </c>
    </row>
    <row r="16958">
      <c r="A16958" s="1" t="s">
        <v>28216</v>
      </c>
      <c r="B16958" s="2" t="s">
        <v>27082</v>
      </c>
      <c r="C16958" s="1" t="s">
        <v>5640</v>
      </c>
      <c r="D16958" s="1" t="s">
        <v>5641</v>
      </c>
    </row>
    <row r="16959">
      <c r="A16959" s="1" t="s">
        <v>28217</v>
      </c>
      <c r="B16959" s="2" t="s">
        <v>27084</v>
      </c>
      <c r="C16959" s="1" t="s">
        <v>5640</v>
      </c>
      <c r="D16959" s="1" t="s">
        <v>5641</v>
      </c>
    </row>
    <row r="16960">
      <c r="A16960" s="1" t="s">
        <v>28218</v>
      </c>
      <c r="B16960" s="2" t="s">
        <v>27086</v>
      </c>
      <c r="C16960" s="1" t="s">
        <v>5640</v>
      </c>
      <c r="D16960" s="1" t="s">
        <v>5641</v>
      </c>
    </row>
    <row r="16961">
      <c r="A16961" s="1" t="s">
        <v>28219</v>
      </c>
      <c r="B16961" s="2" t="s">
        <v>27088</v>
      </c>
      <c r="C16961" s="1" t="s">
        <v>5640</v>
      </c>
      <c r="D16961" s="1" t="s">
        <v>5641</v>
      </c>
    </row>
    <row r="16962">
      <c r="A16962" s="1" t="s">
        <v>28220</v>
      </c>
      <c r="B16962" s="2" t="s">
        <v>27090</v>
      </c>
      <c r="C16962" s="1" t="s">
        <v>5640</v>
      </c>
      <c r="D16962" s="1" t="s">
        <v>5641</v>
      </c>
    </row>
    <row r="16963">
      <c r="A16963" s="1" t="s">
        <v>5644</v>
      </c>
      <c r="B16963" s="2" t="s">
        <v>7</v>
      </c>
      <c r="C16963" s="1" t="s">
        <v>5646</v>
      </c>
      <c r="D16963" s="1" t="s">
        <v>5647</v>
      </c>
    </row>
    <row r="16964">
      <c r="A16964" s="1" t="s">
        <v>28221</v>
      </c>
      <c r="B16964" s="2" t="s">
        <v>25962</v>
      </c>
      <c r="C16964" s="1" t="s">
        <v>5646</v>
      </c>
      <c r="D16964" s="1" t="s">
        <v>5647</v>
      </c>
    </row>
    <row r="16965">
      <c r="A16965" s="1" t="s">
        <v>28222</v>
      </c>
      <c r="B16965" s="2" t="s">
        <v>25964</v>
      </c>
      <c r="C16965" s="1" t="s">
        <v>5646</v>
      </c>
      <c r="D16965" s="1" t="s">
        <v>5647</v>
      </c>
    </row>
    <row r="16966">
      <c r="A16966" s="1" t="s">
        <v>28223</v>
      </c>
      <c r="B16966" s="2" t="s">
        <v>25966</v>
      </c>
      <c r="C16966" s="1" t="s">
        <v>5646</v>
      </c>
      <c r="D16966" s="1" t="s">
        <v>5647</v>
      </c>
    </row>
    <row r="16967">
      <c r="A16967" s="1" t="s">
        <v>28224</v>
      </c>
      <c r="B16967" s="2" t="s">
        <v>25968</v>
      </c>
      <c r="C16967" s="1" t="s">
        <v>5646</v>
      </c>
      <c r="D16967" s="1" t="s">
        <v>5647</v>
      </c>
    </row>
    <row r="16968">
      <c r="A16968" s="1" t="s">
        <v>28225</v>
      </c>
      <c r="B16968" s="2" t="s">
        <v>25970</v>
      </c>
      <c r="C16968" s="1" t="s">
        <v>5646</v>
      </c>
      <c r="D16968" s="1" t="s">
        <v>5647</v>
      </c>
    </row>
    <row r="16969">
      <c r="A16969" s="1" t="s">
        <v>28226</v>
      </c>
      <c r="B16969" s="2" t="s">
        <v>25972</v>
      </c>
      <c r="C16969" s="1" t="s">
        <v>5646</v>
      </c>
      <c r="D16969" s="1" t="s">
        <v>5647</v>
      </c>
    </row>
    <row r="16970">
      <c r="A16970" s="1" t="s">
        <v>28227</v>
      </c>
      <c r="B16970" s="2" t="s">
        <v>25974</v>
      </c>
      <c r="C16970" s="1" t="s">
        <v>5646</v>
      </c>
      <c r="D16970" s="1" t="s">
        <v>5647</v>
      </c>
    </row>
    <row r="16971">
      <c r="A16971" s="1" t="s">
        <v>28228</v>
      </c>
      <c r="B16971" s="2" t="s">
        <v>25976</v>
      </c>
      <c r="C16971" s="1" t="s">
        <v>5646</v>
      </c>
      <c r="D16971" s="1" t="s">
        <v>5647</v>
      </c>
    </row>
    <row r="16972">
      <c r="A16972" s="1" t="s">
        <v>28229</v>
      </c>
      <c r="B16972" s="2" t="s">
        <v>25978</v>
      </c>
      <c r="C16972" s="1" t="s">
        <v>5646</v>
      </c>
      <c r="D16972" s="1" t="s">
        <v>5647</v>
      </c>
    </row>
    <row r="16973">
      <c r="A16973" s="1" t="s">
        <v>28230</v>
      </c>
      <c r="B16973" s="2" t="s">
        <v>25980</v>
      </c>
      <c r="C16973" s="1" t="s">
        <v>5646</v>
      </c>
      <c r="D16973" s="1" t="s">
        <v>5647</v>
      </c>
    </row>
    <row r="16974">
      <c r="A16974" s="1" t="s">
        <v>28231</v>
      </c>
      <c r="B16974" s="2" t="s">
        <v>25982</v>
      </c>
      <c r="C16974" s="1" t="s">
        <v>5646</v>
      </c>
      <c r="D16974" s="1" t="s">
        <v>5647</v>
      </c>
    </row>
    <row r="16975">
      <c r="A16975" s="1" t="s">
        <v>28232</v>
      </c>
      <c r="B16975" s="2" t="s">
        <v>25984</v>
      </c>
      <c r="C16975" s="1" t="s">
        <v>5646</v>
      </c>
      <c r="D16975" s="1" t="s">
        <v>5647</v>
      </c>
    </row>
    <row r="16976">
      <c r="A16976" s="1" t="s">
        <v>28233</v>
      </c>
      <c r="B16976" s="2" t="s">
        <v>25986</v>
      </c>
      <c r="C16976" s="1" t="s">
        <v>5646</v>
      </c>
      <c r="D16976" s="1" t="s">
        <v>5647</v>
      </c>
    </row>
    <row r="16977">
      <c r="A16977" s="1" t="s">
        <v>28234</v>
      </c>
      <c r="B16977" s="2" t="s">
        <v>25988</v>
      </c>
      <c r="C16977" s="1" t="s">
        <v>5646</v>
      </c>
      <c r="D16977" s="1" t="s">
        <v>5647</v>
      </c>
    </row>
    <row r="16978">
      <c r="A16978" s="1" t="s">
        <v>28235</v>
      </c>
      <c r="B16978" s="2" t="s">
        <v>25990</v>
      </c>
      <c r="C16978" s="1" t="s">
        <v>5646</v>
      </c>
      <c r="D16978" s="1" t="s">
        <v>5647</v>
      </c>
    </row>
    <row r="16979">
      <c r="A16979" s="1" t="s">
        <v>28236</v>
      </c>
      <c r="B16979" s="2" t="s">
        <v>25992</v>
      </c>
      <c r="C16979" s="1" t="s">
        <v>5646</v>
      </c>
      <c r="D16979" s="1" t="s">
        <v>5647</v>
      </c>
    </row>
    <row r="16980">
      <c r="A16980" s="1" t="s">
        <v>28237</v>
      </c>
      <c r="B16980" s="2" t="s">
        <v>25994</v>
      </c>
      <c r="C16980" s="1" t="s">
        <v>5646</v>
      </c>
      <c r="D16980" s="1" t="s">
        <v>5647</v>
      </c>
    </row>
    <row r="16981">
      <c r="A16981" s="1" t="s">
        <v>28238</v>
      </c>
      <c r="B16981" s="2" t="s">
        <v>25996</v>
      </c>
      <c r="C16981" s="1" t="s">
        <v>5646</v>
      </c>
      <c r="D16981" s="1" t="s">
        <v>5647</v>
      </c>
    </row>
    <row r="16982">
      <c r="A16982" s="1" t="s">
        <v>28239</v>
      </c>
      <c r="B16982" s="2" t="s">
        <v>25998</v>
      </c>
      <c r="C16982" s="1" t="s">
        <v>5646</v>
      </c>
      <c r="D16982" s="1" t="s">
        <v>5647</v>
      </c>
    </row>
    <row r="16983">
      <c r="A16983" s="1" t="s">
        <v>28240</v>
      </c>
      <c r="B16983" s="2" t="s">
        <v>26000</v>
      </c>
      <c r="C16983" s="1" t="s">
        <v>5646</v>
      </c>
      <c r="D16983" s="1" t="s">
        <v>5647</v>
      </c>
    </row>
    <row r="16984">
      <c r="A16984" s="1" t="s">
        <v>28241</v>
      </c>
      <c r="B16984" s="2" t="s">
        <v>26002</v>
      </c>
      <c r="C16984" s="1" t="s">
        <v>5646</v>
      </c>
      <c r="D16984" s="1" t="s">
        <v>5647</v>
      </c>
    </row>
    <row r="16985">
      <c r="A16985" s="1" t="s">
        <v>28242</v>
      </c>
      <c r="B16985" s="2" t="s">
        <v>26004</v>
      </c>
      <c r="C16985" s="1" t="s">
        <v>5646</v>
      </c>
      <c r="D16985" s="1" t="s">
        <v>5647</v>
      </c>
    </row>
    <row r="16986">
      <c r="A16986" s="1" t="s">
        <v>28243</v>
      </c>
      <c r="B16986" s="2" t="s">
        <v>26006</v>
      </c>
      <c r="C16986" s="1" t="s">
        <v>5646</v>
      </c>
      <c r="D16986" s="1" t="s">
        <v>5647</v>
      </c>
    </row>
    <row r="16987">
      <c r="A16987" s="1" t="s">
        <v>28244</v>
      </c>
      <c r="B16987" s="2" t="s">
        <v>26008</v>
      </c>
      <c r="C16987" s="1" t="s">
        <v>5646</v>
      </c>
      <c r="D16987" s="1" t="s">
        <v>5647</v>
      </c>
    </row>
    <row r="16988">
      <c r="A16988" s="1" t="s">
        <v>28245</v>
      </c>
      <c r="B16988" s="2" t="s">
        <v>26010</v>
      </c>
      <c r="C16988" s="1" t="s">
        <v>5646</v>
      </c>
      <c r="D16988" s="1" t="s">
        <v>5647</v>
      </c>
    </row>
    <row r="16989">
      <c r="A16989" s="1" t="s">
        <v>28246</v>
      </c>
      <c r="B16989" s="2" t="s">
        <v>26012</v>
      </c>
      <c r="C16989" s="1" t="s">
        <v>5646</v>
      </c>
      <c r="D16989" s="1" t="s">
        <v>5647</v>
      </c>
    </row>
    <row r="16990">
      <c r="A16990" s="1" t="s">
        <v>28247</v>
      </c>
      <c r="B16990" s="2" t="s">
        <v>26014</v>
      </c>
      <c r="C16990" s="1" t="s">
        <v>5646</v>
      </c>
      <c r="D16990" s="1" t="s">
        <v>5647</v>
      </c>
    </row>
    <row r="16991">
      <c r="A16991" s="1" t="s">
        <v>28248</v>
      </c>
      <c r="B16991" s="2" t="s">
        <v>26016</v>
      </c>
      <c r="C16991" s="1" t="s">
        <v>5646</v>
      </c>
      <c r="D16991" s="1" t="s">
        <v>5647</v>
      </c>
    </row>
    <row r="16992">
      <c r="A16992" s="1" t="s">
        <v>28249</v>
      </c>
      <c r="B16992" s="2" t="s">
        <v>26018</v>
      </c>
      <c r="C16992" s="1" t="s">
        <v>5646</v>
      </c>
      <c r="D16992" s="1" t="s">
        <v>5647</v>
      </c>
    </row>
    <row r="16993">
      <c r="A16993" s="1" t="s">
        <v>28250</v>
      </c>
      <c r="B16993" s="2" t="s">
        <v>26020</v>
      </c>
      <c r="C16993" s="1" t="s">
        <v>5646</v>
      </c>
      <c r="D16993" s="1" t="s">
        <v>5647</v>
      </c>
    </row>
    <row r="16994">
      <c r="A16994" s="1" t="s">
        <v>28251</v>
      </c>
      <c r="B16994" s="2" t="s">
        <v>26022</v>
      </c>
      <c r="C16994" s="1" t="s">
        <v>5646</v>
      </c>
      <c r="D16994" s="1" t="s">
        <v>5647</v>
      </c>
    </row>
    <row r="16995">
      <c r="A16995" s="1" t="s">
        <v>28252</v>
      </c>
      <c r="B16995" s="2" t="s">
        <v>26024</v>
      </c>
      <c r="C16995" s="1" t="s">
        <v>5646</v>
      </c>
      <c r="D16995" s="1" t="s">
        <v>5647</v>
      </c>
    </row>
    <row r="16996">
      <c r="A16996" s="1" t="s">
        <v>28253</v>
      </c>
      <c r="B16996" s="2" t="s">
        <v>26026</v>
      </c>
      <c r="C16996" s="1" t="s">
        <v>5646</v>
      </c>
      <c r="D16996" s="1" t="s">
        <v>5647</v>
      </c>
    </row>
    <row r="16997">
      <c r="A16997" s="1" t="s">
        <v>28254</v>
      </c>
      <c r="B16997" s="2" t="s">
        <v>26028</v>
      </c>
      <c r="C16997" s="1" t="s">
        <v>5646</v>
      </c>
      <c r="D16997" s="1" t="s">
        <v>5647</v>
      </c>
    </row>
    <row r="16998">
      <c r="A16998" s="1" t="s">
        <v>28255</v>
      </c>
      <c r="B16998" s="2" t="s">
        <v>26030</v>
      </c>
      <c r="C16998" s="1" t="s">
        <v>5646</v>
      </c>
      <c r="D16998" s="1" t="s">
        <v>5647</v>
      </c>
    </row>
    <row r="16999">
      <c r="A16999" s="1" t="s">
        <v>28256</v>
      </c>
      <c r="B16999" s="2" t="s">
        <v>26032</v>
      </c>
      <c r="C16999" s="1" t="s">
        <v>5646</v>
      </c>
      <c r="D16999" s="1" t="s">
        <v>5647</v>
      </c>
    </row>
    <row r="17000">
      <c r="A17000" s="1" t="s">
        <v>28257</v>
      </c>
      <c r="B17000" s="2" t="s">
        <v>26034</v>
      </c>
      <c r="C17000" s="1" t="s">
        <v>5646</v>
      </c>
      <c r="D17000" s="1" t="s">
        <v>5647</v>
      </c>
    </row>
    <row r="17001">
      <c r="A17001" s="1" t="s">
        <v>28258</v>
      </c>
      <c r="B17001" s="2" t="s">
        <v>26036</v>
      </c>
      <c r="C17001" s="1" t="s">
        <v>5646</v>
      </c>
      <c r="D17001" s="1" t="s">
        <v>5647</v>
      </c>
    </row>
    <row r="17002">
      <c r="A17002" s="1" t="s">
        <v>28259</v>
      </c>
      <c r="B17002" s="2" t="s">
        <v>26038</v>
      </c>
      <c r="C17002" s="1" t="s">
        <v>5646</v>
      </c>
      <c r="D17002" s="1" t="s">
        <v>5647</v>
      </c>
    </row>
    <row r="17003">
      <c r="A17003" s="1" t="s">
        <v>28260</v>
      </c>
      <c r="B17003" s="2" t="s">
        <v>26040</v>
      </c>
      <c r="C17003" s="1" t="s">
        <v>5646</v>
      </c>
      <c r="D17003" s="1" t="s">
        <v>5647</v>
      </c>
    </row>
    <row r="17004">
      <c r="A17004" s="1" t="s">
        <v>28261</v>
      </c>
      <c r="B17004" s="2" t="s">
        <v>26042</v>
      </c>
      <c r="C17004" s="1" t="s">
        <v>5646</v>
      </c>
      <c r="D17004" s="1" t="s">
        <v>5647</v>
      </c>
    </row>
    <row r="17005">
      <c r="A17005" s="1" t="s">
        <v>28262</v>
      </c>
      <c r="B17005" s="2" t="s">
        <v>26044</v>
      </c>
      <c r="C17005" s="1" t="s">
        <v>5646</v>
      </c>
      <c r="D17005" s="1" t="s">
        <v>5647</v>
      </c>
    </row>
    <row r="17006">
      <c r="A17006" s="1" t="s">
        <v>28263</v>
      </c>
      <c r="B17006" s="2" t="s">
        <v>26046</v>
      </c>
      <c r="C17006" s="1" t="s">
        <v>5646</v>
      </c>
      <c r="D17006" s="1" t="s">
        <v>5647</v>
      </c>
    </row>
    <row r="17007">
      <c r="A17007" s="1" t="s">
        <v>28264</v>
      </c>
      <c r="B17007" s="2" t="s">
        <v>26048</v>
      </c>
      <c r="C17007" s="1" t="s">
        <v>5646</v>
      </c>
      <c r="D17007" s="1" t="s">
        <v>5647</v>
      </c>
    </row>
    <row r="17008">
      <c r="A17008" s="1" t="s">
        <v>28265</v>
      </c>
      <c r="B17008" s="2" t="s">
        <v>26050</v>
      </c>
      <c r="C17008" s="1" t="s">
        <v>5646</v>
      </c>
      <c r="D17008" s="1" t="s">
        <v>5647</v>
      </c>
    </row>
    <row r="17009">
      <c r="A17009" s="1" t="s">
        <v>28266</v>
      </c>
      <c r="B17009" s="2" t="s">
        <v>26052</v>
      </c>
      <c r="C17009" s="1" t="s">
        <v>5646</v>
      </c>
      <c r="D17009" s="1" t="s">
        <v>5647</v>
      </c>
    </row>
    <row r="17010">
      <c r="A17010" s="1" t="s">
        <v>28267</v>
      </c>
      <c r="B17010" s="2" t="s">
        <v>26054</v>
      </c>
      <c r="C17010" s="1" t="s">
        <v>5646</v>
      </c>
      <c r="D17010" s="1" t="s">
        <v>5647</v>
      </c>
    </row>
    <row r="17011">
      <c r="A17011" s="1" t="s">
        <v>28268</v>
      </c>
      <c r="B17011" s="2" t="s">
        <v>26056</v>
      </c>
      <c r="C17011" s="1" t="s">
        <v>5646</v>
      </c>
      <c r="D17011" s="1" t="s">
        <v>5647</v>
      </c>
    </row>
    <row r="17012">
      <c r="A17012" s="1" t="s">
        <v>28269</v>
      </c>
      <c r="B17012" s="2" t="s">
        <v>26058</v>
      </c>
      <c r="C17012" s="1" t="s">
        <v>5646</v>
      </c>
      <c r="D17012" s="1" t="s">
        <v>5647</v>
      </c>
    </row>
    <row r="17013">
      <c r="A17013" s="1" t="s">
        <v>28270</v>
      </c>
      <c r="B17013" s="2" t="s">
        <v>26060</v>
      </c>
      <c r="C17013" s="1" t="s">
        <v>5646</v>
      </c>
      <c r="D17013" s="1" t="s">
        <v>5647</v>
      </c>
    </row>
    <row r="17014">
      <c r="A17014" s="1" t="s">
        <v>28271</v>
      </c>
      <c r="B17014" s="2" t="s">
        <v>26062</v>
      </c>
      <c r="C17014" s="1" t="s">
        <v>5646</v>
      </c>
      <c r="D17014" s="1" t="s">
        <v>5647</v>
      </c>
    </row>
    <row r="17015">
      <c r="A17015" s="1" t="s">
        <v>28272</v>
      </c>
      <c r="B17015" s="2" t="s">
        <v>26064</v>
      </c>
      <c r="C17015" s="1" t="s">
        <v>5646</v>
      </c>
      <c r="D17015" s="1" t="s">
        <v>5647</v>
      </c>
    </row>
    <row r="17016">
      <c r="A17016" s="1" t="s">
        <v>28273</v>
      </c>
      <c r="B17016" s="2" t="s">
        <v>26066</v>
      </c>
      <c r="C17016" s="1" t="s">
        <v>5646</v>
      </c>
      <c r="D17016" s="1" t="s">
        <v>5647</v>
      </c>
    </row>
    <row r="17017">
      <c r="A17017" s="1" t="s">
        <v>28274</v>
      </c>
      <c r="B17017" s="2" t="s">
        <v>26068</v>
      </c>
      <c r="C17017" s="1" t="s">
        <v>5646</v>
      </c>
      <c r="D17017" s="1" t="s">
        <v>5647</v>
      </c>
    </row>
    <row r="17018">
      <c r="A17018" s="1" t="s">
        <v>28275</v>
      </c>
      <c r="B17018" s="2" t="s">
        <v>26070</v>
      </c>
      <c r="C17018" s="1" t="s">
        <v>5646</v>
      </c>
      <c r="D17018" s="1" t="s">
        <v>5647</v>
      </c>
    </row>
    <row r="17019">
      <c r="A17019" s="1" t="s">
        <v>28276</v>
      </c>
      <c r="B17019" s="2" t="s">
        <v>26072</v>
      </c>
      <c r="C17019" s="1" t="s">
        <v>5646</v>
      </c>
      <c r="D17019" s="1" t="s">
        <v>5647</v>
      </c>
    </row>
    <row r="17020">
      <c r="A17020" s="1" t="s">
        <v>28277</v>
      </c>
      <c r="B17020" s="2" t="s">
        <v>26074</v>
      </c>
      <c r="C17020" s="1" t="s">
        <v>5646</v>
      </c>
      <c r="D17020" s="1" t="s">
        <v>5647</v>
      </c>
    </row>
    <row r="17021">
      <c r="A17021" s="1" t="s">
        <v>28278</v>
      </c>
      <c r="B17021" s="2" t="s">
        <v>26076</v>
      </c>
      <c r="C17021" s="1" t="s">
        <v>5646</v>
      </c>
      <c r="D17021" s="1" t="s">
        <v>5647</v>
      </c>
    </row>
    <row r="17022">
      <c r="A17022" s="1" t="s">
        <v>28279</v>
      </c>
      <c r="B17022" s="2" t="s">
        <v>26078</v>
      </c>
      <c r="C17022" s="1" t="s">
        <v>5646</v>
      </c>
      <c r="D17022" s="1" t="s">
        <v>5647</v>
      </c>
    </row>
    <row r="17023">
      <c r="A17023" s="1" t="s">
        <v>28280</v>
      </c>
      <c r="B17023" s="2" t="s">
        <v>26080</v>
      </c>
      <c r="C17023" s="1" t="s">
        <v>5646</v>
      </c>
      <c r="D17023" s="1" t="s">
        <v>5647</v>
      </c>
    </row>
    <row r="17024">
      <c r="A17024" s="1" t="s">
        <v>28281</v>
      </c>
      <c r="B17024" s="2" t="s">
        <v>26082</v>
      </c>
      <c r="C17024" s="1" t="s">
        <v>5646</v>
      </c>
      <c r="D17024" s="1" t="s">
        <v>5647</v>
      </c>
    </row>
    <row r="17025">
      <c r="A17025" s="1" t="s">
        <v>28282</v>
      </c>
      <c r="B17025" s="2" t="s">
        <v>26084</v>
      </c>
      <c r="C17025" s="1" t="s">
        <v>5646</v>
      </c>
      <c r="D17025" s="1" t="s">
        <v>5647</v>
      </c>
    </row>
    <row r="17026">
      <c r="A17026" s="1" t="s">
        <v>28283</v>
      </c>
      <c r="B17026" s="2" t="s">
        <v>26086</v>
      </c>
      <c r="C17026" s="1" t="s">
        <v>5646</v>
      </c>
      <c r="D17026" s="1" t="s">
        <v>5647</v>
      </c>
    </row>
    <row r="17027">
      <c r="A17027" s="1" t="s">
        <v>28284</v>
      </c>
      <c r="B17027" s="2" t="s">
        <v>26088</v>
      </c>
      <c r="C17027" s="1" t="s">
        <v>5646</v>
      </c>
      <c r="D17027" s="1" t="s">
        <v>5647</v>
      </c>
    </row>
    <row r="17028">
      <c r="A17028" s="1" t="s">
        <v>28285</v>
      </c>
      <c r="B17028" s="2" t="s">
        <v>26090</v>
      </c>
      <c r="C17028" s="1" t="s">
        <v>5646</v>
      </c>
      <c r="D17028" s="1" t="s">
        <v>5647</v>
      </c>
    </row>
    <row r="17029">
      <c r="A17029" s="1" t="s">
        <v>28286</v>
      </c>
      <c r="B17029" s="2" t="s">
        <v>26092</v>
      </c>
      <c r="C17029" s="1" t="s">
        <v>5646</v>
      </c>
      <c r="D17029" s="1" t="s">
        <v>5647</v>
      </c>
    </row>
    <row r="17030">
      <c r="A17030" s="1" t="s">
        <v>28287</v>
      </c>
      <c r="B17030" s="2" t="s">
        <v>26094</v>
      </c>
      <c r="C17030" s="1" t="s">
        <v>5646</v>
      </c>
      <c r="D17030" s="1" t="s">
        <v>5647</v>
      </c>
    </row>
    <row r="17031">
      <c r="A17031" s="1" t="s">
        <v>28288</v>
      </c>
      <c r="B17031" s="2" t="s">
        <v>26096</v>
      </c>
      <c r="C17031" s="1" t="s">
        <v>5646</v>
      </c>
      <c r="D17031" s="1" t="s">
        <v>5647</v>
      </c>
    </row>
    <row r="17032">
      <c r="A17032" s="1" t="s">
        <v>28289</v>
      </c>
      <c r="B17032" s="2" t="s">
        <v>26098</v>
      </c>
      <c r="C17032" s="1" t="s">
        <v>5646</v>
      </c>
      <c r="D17032" s="1" t="s">
        <v>5647</v>
      </c>
    </row>
    <row r="17033">
      <c r="A17033" s="1" t="s">
        <v>28290</v>
      </c>
      <c r="B17033" s="2" t="s">
        <v>26100</v>
      </c>
      <c r="C17033" s="1" t="s">
        <v>5646</v>
      </c>
      <c r="D17033" s="1" t="s">
        <v>5647</v>
      </c>
    </row>
    <row r="17034">
      <c r="A17034" s="1" t="s">
        <v>28291</v>
      </c>
      <c r="B17034" s="2" t="s">
        <v>26102</v>
      </c>
      <c r="C17034" s="1" t="s">
        <v>5646</v>
      </c>
      <c r="D17034" s="1" t="s">
        <v>5647</v>
      </c>
    </row>
    <row r="17035">
      <c r="A17035" s="1" t="s">
        <v>28292</v>
      </c>
      <c r="B17035" s="2" t="s">
        <v>26104</v>
      </c>
      <c r="C17035" s="1" t="s">
        <v>5646</v>
      </c>
      <c r="D17035" s="1" t="s">
        <v>5647</v>
      </c>
    </row>
    <row r="17036">
      <c r="A17036" s="1" t="s">
        <v>28293</v>
      </c>
      <c r="B17036" s="2" t="s">
        <v>26106</v>
      </c>
      <c r="C17036" s="1" t="s">
        <v>5646</v>
      </c>
      <c r="D17036" s="1" t="s">
        <v>5647</v>
      </c>
    </row>
    <row r="17037">
      <c r="A17037" s="1" t="s">
        <v>28294</v>
      </c>
      <c r="B17037" s="2" t="s">
        <v>26108</v>
      </c>
      <c r="C17037" s="1" t="s">
        <v>5646</v>
      </c>
      <c r="D17037" s="1" t="s">
        <v>5647</v>
      </c>
    </row>
    <row r="17038">
      <c r="A17038" s="1" t="s">
        <v>28295</v>
      </c>
      <c r="B17038" s="2" t="s">
        <v>26110</v>
      </c>
      <c r="C17038" s="1" t="s">
        <v>5646</v>
      </c>
      <c r="D17038" s="1" t="s">
        <v>5647</v>
      </c>
    </row>
    <row r="17039">
      <c r="A17039" s="1" t="s">
        <v>28296</v>
      </c>
      <c r="B17039" s="2" t="s">
        <v>26112</v>
      </c>
      <c r="C17039" s="1" t="s">
        <v>5646</v>
      </c>
      <c r="D17039" s="1" t="s">
        <v>5647</v>
      </c>
    </row>
    <row r="17040">
      <c r="A17040" s="1" t="s">
        <v>28297</v>
      </c>
      <c r="B17040" s="2" t="s">
        <v>26114</v>
      </c>
      <c r="C17040" s="1" t="s">
        <v>5646</v>
      </c>
      <c r="D17040" s="1" t="s">
        <v>5647</v>
      </c>
    </row>
    <row r="17041">
      <c r="A17041" s="1" t="s">
        <v>28298</v>
      </c>
      <c r="B17041" s="2" t="s">
        <v>26116</v>
      </c>
      <c r="C17041" s="1" t="s">
        <v>5646</v>
      </c>
      <c r="D17041" s="1" t="s">
        <v>5647</v>
      </c>
    </row>
    <row r="17042">
      <c r="A17042" s="1" t="s">
        <v>28299</v>
      </c>
      <c r="B17042" s="2" t="s">
        <v>26118</v>
      </c>
      <c r="C17042" s="1" t="s">
        <v>5646</v>
      </c>
      <c r="D17042" s="1" t="s">
        <v>5647</v>
      </c>
    </row>
    <row r="17043">
      <c r="A17043" s="1" t="s">
        <v>28300</v>
      </c>
      <c r="B17043" s="2" t="s">
        <v>26120</v>
      </c>
      <c r="C17043" s="1" t="s">
        <v>5646</v>
      </c>
      <c r="D17043" s="1" t="s">
        <v>5647</v>
      </c>
    </row>
    <row r="17044">
      <c r="A17044" s="1" t="s">
        <v>28301</v>
      </c>
      <c r="B17044" s="2" t="s">
        <v>26122</v>
      </c>
      <c r="C17044" s="1" t="s">
        <v>5646</v>
      </c>
      <c r="D17044" s="1" t="s">
        <v>5647</v>
      </c>
    </row>
    <row r="17045">
      <c r="A17045" s="1" t="s">
        <v>28302</v>
      </c>
      <c r="B17045" s="2" t="s">
        <v>26124</v>
      </c>
      <c r="C17045" s="1" t="s">
        <v>5646</v>
      </c>
      <c r="D17045" s="1" t="s">
        <v>5647</v>
      </c>
    </row>
    <row r="17046">
      <c r="A17046" s="1" t="s">
        <v>28303</v>
      </c>
      <c r="B17046" s="2" t="s">
        <v>26126</v>
      </c>
      <c r="C17046" s="1" t="s">
        <v>5646</v>
      </c>
      <c r="D17046" s="1" t="s">
        <v>5647</v>
      </c>
    </row>
    <row r="17047">
      <c r="A17047" s="1" t="s">
        <v>28304</v>
      </c>
      <c r="B17047" s="2" t="s">
        <v>26128</v>
      </c>
      <c r="C17047" s="1" t="s">
        <v>5646</v>
      </c>
      <c r="D17047" s="1" t="s">
        <v>5647</v>
      </c>
    </row>
    <row r="17048">
      <c r="A17048" s="1" t="s">
        <v>28305</v>
      </c>
      <c r="B17048" s="2" t="s">
        <v>26130</v>
      </c>
      <c r="C17048" s="1" t="s">
        <v>5646</v>
      </c>
      <c r="D17048" s="1" t="s">
        <v>5647</v>
      </c>
    </row>
    <row r="17049">
      <c r="A17049" s="1" t="s">
        <v>28306</v>
      </c>
      <c r="B17049" s="2" t="s">
        <v>26132</v>
      </c>
      <c r="C17049" s="1" t="s">
        <v>5646</v>
      </c>
      <c r="D17049" s="1" t="s">
        <v>5647</v>
      </c>
    </row>
    <row r="17050">
      <c r="A17050" s="1" t="s">
        <v>28307</v>
      </c>
      <c r="B17050" s="2" t="s">
        <v>26134</v>
      </c>
      <c r="C17050" s="1" t="s">
        <v>5646</v>
      </c>
      <c r="D17050" s="1" t="s">
        <v>5647</v>
      </c>
    </row>
    <row r="17051">
      <c r="A17051" s="1" t="s">
        <v>28308</v>
      </c>
      <c r="B17051" s="2" t="s">
        <v>26136</v>
      </c>
      <c r="C17051" s="1" t="s">
        <v>5646</v>
      </c>
      <c r="D17051" s="1" t="s">
        <v>5647</v>
      </c>
    </row>
    <row r="17052">
      <c r="A17052" s="1" t="s">
        <v>28309</v>
      </c>
      <c r="B17052" s="2" t="s">
        <v>26138</v>
      </c>
      <c r="C17052" s="1" t="s">
        <v>5646</v>
      </c>
      <c r="D17052" s="1" t="s">
        <v>5647</v>
      </c>
    </row>
    <row r="17053">
      <c r="A17053" s="1" t="s">
        <v>28310</v>
      </c>
      <c r="B17053" s="2" t="s">
        <v>26140</v>
      </c>
      <c r="C17053" s="1" t="s">
        <v>5646</v>
      </c>
      <c r="D17053" s="1" t="s">
        <v>5647</v>
      </c>
    </row>
    <row r="17054">
      <c r="A17054" s="1" t="s">
        <v>28311</v>
      </c>
      <c r="B17054" s="2" t="s">
        <v>26142</v>
      </c>
      <c r="C17054" s="1" t="s">
        <v>5646</v>
      </c>
      <c r="D17054" s="1" t="s">
        <v>5647</v>
      </c>
    </row>
    <row r="17055">
      <c r="A17055" s="1" t="s">
        <v>28312</v>
      </c>
      <c r="B17055" s="2" t="s">
        <v>26144</v>
      </c>
      <c r="C17055" s="1" t="s">
        <v>5646</v>
      </c>
      <c r="D17055" s="1" t="s">
        <v>5647</v>
      </c>
    </row>
    <row r="17056">
      <c r="A17056" s="1" t="s">
        <v>28313</v>
      </c>
      <c r="B17056" s="2" t="s">
        <v>26146</v>
      </c>
      <c r="C17056" s="1" t="s">
        <v>5646</v>
      </c>
      <c r="D17056" s="1" t="s">
        <v>5647</v>
      </c>
    </row>
    <row r="17057">
      <c r="A17057" s="1" t="s">
        <v>28314</v>
      </c>
      <c r="B17057" s="2" t="s">
        <v>26148</v>
      </c>
      <c r="C17057" s="1" t="s">
        <v>5646</v>
      </c>
      <c r="D17057" s="1" t="s">
        <v>5647</v>
      </c>
    </row>
    <row r="17058">
      <c r="A17058" s="1" t="s">
        <v>28315</v>
      </c>
      <c r="B17058" s="2" t="s">
        <v>26150</v>
      </c>
      <c r="C17058" s="1" t="s">
        <v>5646</v>
      </c>
      <c r="D17058" s="1" t="s">
        <v>5647</v>
      </c>
    </row>
    <row r="17059">
      <c r="A17059" s="1" t="s">
        <v>28316</v>
      </c>
      <c r="B17059" s="2" t="s">
        <v>26152</v>
      </c>
      <c r="C17059" s="1" t="s">
        <v>5646</v>
      </c>
      <c r="D17059" s="1" t="s">
        <v>5647</v>
      </c>
    </row>
    <row r="17060">
      <c r="A17060" s="1" t="s">
        <v>28317</v>
      </c>
      <c r="B17060" s="2" t="s">
        <v>26154</v>
      </c>
      <c r="C17060" s="1" t="s">
        <v>5646</v>
      </c>
      <c r="D17060" s="1" t="s">
        <v>5647</v>
      </c>
    </row>
    <row r="17061">
      <c r="A17061" s="1" t="s">
        <v>28318</v>
      </c>
      <c r="B17061" s="2" t="s">
        <v>26156</v>
      </c>
      <c r="C17061" s="1" t="s">
        <v>5646</v>
      </c>
      <c r="D17061" s="1" t="s">
        <v>5647</v>
      </c>
    </row>
    <row r="17062">
      <c r="A17062" s="1" t="s">
        <v>28319</v>
      </c>
      <c r="B17062" s="2" t="s">
        <v>26158</v>
      </c>
      <c r="C17062" s="1" t="s">
        <v>5646</v>
      </c>
      <c r="D17062" s="1" t="s">
        <v>5647</v>
      </c>
    </row>
    <row r="17063">
      <c r="A17063" s="1" t="s">
        <v>28320</v>
      </c>
      <c r="B17063" s="2" t="s">
        <v>26160</v>
      </c>
      <c r="C17063" s="1" t="s">
        <v>5646</v>
      </c>
      <c r="D17063" s="1" t="s">
        <v>5647</v>
      </c>
    </row>
    <row r="17064">
      <c r="A17064" s="1" t="s">
        <v>28321</v>
      </c>
      <c r="B17064" s="2" t="s">
        <v>26162</v>
      </c>
      <c r="C17064" s="1" t="s">
        <v>5646</v>
      </c>
      <c r="D17064" s="1" t="s">
        <v>5647</v>
      </c>
    </row>
    <row r="17065">
      <c r="A17065" s="1" t="s">
        <v>28322</v>
      </c>
      <c r="B17065" s="2" t="s">
        <v>26164</v>
      </c>
      <c r="C17065" s="1" t="s">
        <v>5646</v>
      </c>
      <c r="D17065" s="1" t="s">
        <v>5647</v>
      </c>
    </row>
    <row r="17066">
      <c r="A17066" s="1" t="s">
        <v>28323</v>
      </c>
      <c r="B17066" s="2" t="s">
        <v>26166</v>
      </c>
      <c r="C17066" s="1" t="s">
        <v>5646</v>
      </c>
      <c r="D17066" s="1" t="s">
        <v>5647</v>
      </c>
    </row>
    <row r="17067">
      <c r="A17067" s="1" t="s">
        <v>28324</v>
      </c>
      <c r="B17067" s="2" t="s">
        <v>26168</v>
      </c>
      <c r="C17067" s="1" t="s">
        <v>5646</v>
      </c>
      <c r="D17067" s="1" t="s">
        <v>5647</v>
      </c>
    </row>
    <row r="17068">
      <c r="A17068" s="1" t="s">
        <v>28325</v>
      </c>
      <c r="B17068" s="2" t="s">
        <v>26170</v>
      </c>
      <c r="C17068" s="1" t="s">
        <v>5646</v>
      </c>
      <c r="D17068" s="1" t="s">
        <v>5647</v>
      </c>
    </row>
    <row r="17069">
      <c r="A17069" s="1" t="s">
        <v>28326</v>
      </c>
      <c r="B17069" s="2" t="s">
        <v>26172</v>
      </c>
      <c r="C17069" s="1" t="s">
        <v>5646</v>
      </c>
      <c r="D17069" s="1" t="s">
        <v>5647</v>
      </c>
    </row>
    <row r="17070">
      <c r="A17070" s="1" t="s">
        <v>28327</v>
      </c>
      <c r="B17070" s="2" t="s">
        <v>26174</v>
      </c>
      <c r="C17070" s="1" t="s">
        <v>5646</v>
      </c>
      <c r="D17070" s="1" t="s">
        <v>5647</v>
      </c>
    </row>
    <row r="17071">
      <c r="A17071" s="1" t="s">
        <v>28328</v>
      </c>
      <c r="B17071" s="2" t="s">
        <v>26176</v>
      </c>
      <c r="C17071" s="1" t="s">
        <v>5646</v>
      </c>
      <c r="D17071" s="1" t="s">
        <v>5647</v>
      </c>
    </row>
    <row r="17072">
      <c r="A17072" s="1" t="s">
        <v>28329</v>
      </c>
      <c r="B17072" s="2" t="s">
        <v>26178</v>
      </c>
      <c r="C17072" s="1" t="s">
        <v>5646</v>
      </c>
      <c r="D17072" s="1" t="s">
        <v>5647</v>
      </c>
    </row>
    <row r="17073">
      <c r="A17073" s="1" t="s">
        <v>28330</v>
      </c>
      <c r="B17073" s="2" t="s">
        <v>26180</v>
      </c>
      <c r="C17073" s="1" t="s">
        <v>5646</v>
      </c>
      <c r="D17073" s="1" t="s">
        <v>5647</v>
      </c>
    </row>
    <row r="17074">
      <c r="A17074" s="1" t="s">
        <v>28331</v>
      </c>
      <c r="B17074" s="2" t="s">
        <v>26182</v>
      </c>
      <c r="C17074" s="1" t="s">
        <v>5646</v>
      </c>
      <c r="D17074" s="1" t="s">
        <v>5647</v>
      </c>
    </row>
    <row r="17075">
      <c r="A17075" s="1" t="s">
        <v>28332</v>
      </c>
      <c r="B17075" s="2" t="s">
        <v>26184</v>
      </c>
      <c r="C17075" s="1" t="s">
        <v>5646</v>
      </c>
      <c r="D17075" s="1" t="s">
        <v>5647</v>
      </c>
    </row>
    <row r="17076">
      <c r="A17076" s="1" t="s">
        <v>28333</v>
      </c>
      <c r="B17076" s="2" t="s">
        <v>26186</v>
      </c>
      <c r="C17076" s="1" t="s">
        <v>5646</v>
      </c>
      <c r="D17076" s="1" t="s">
        <v>5647</v>
      </c>
    </row>
    <row r="17077">
      <c r="A17077" s="1" t="s">
        <v>28334</v>
      </c>
      <c r="B17077" s="2" t="s">
        <v>26188</v>
      </c>
      <c r="C17077" s="1" t="s">
        <v>5646</v>
      </c>
      <c r="D17077" s="1" t="s">
        <v>5647</v>
      </c>
    </row>
    <row r="17078">
      <c r="A17078" s="1" t="s">
        <v>28335</v>
      </c>
      <c r="B17078" s="2" t="s">
        <v>26190</v>
      </c>
      <c r="C17078" s="1" t="s">
        <v>5646</v>
      </c>
      <c r="D17078" s="1" t="s">
        <v>5647</v>
      </c>
    </row>
    <row r="17079">
      <c r="A17079" s="1" t="s">
        <v>28336</v>
      </c>
      <c r="B17079" s="2" t="s">
        <v>26192</v>
      </c>
      <c r="C17079" s="1" t="s">
        <v>5646</v>
      </c>
      <c r="D17079" s="1" t="s">
        <v>5647</v>
      </c>
    </row>
    <row r="17080">
      <c r="A17080" s="1" t="s">
        <v>28337</v>
      </c>
      <c r="B17080" s="2" t="s">
        <v>26194</v>
      </c>
      <c r="C17080" s="1" t="s">
        <v>5646</v>
      </c>
      <c r="D17080" s="1" t="s">
        <v>5647</v>
      </c>
    </row>
    <row r="17081">
      <c r="A17081" s="1" t="s">
        <v>28338</v>
      </c>
      <c r="B17081" s="2" t="s">
        <v>26196</v>
      </c>
      <c r="C17081" s="1" t="s">
        <v>5646</v>
      </c>
      <c r="D17081" s="1" t="s">
        <v>5647</v>
      </c>
    </row>
    <row r="17082">
      <c r="A17082" s="1" t="s">
        <v>28339</v>
      </c>
      <c r="B17082" s="2" t="s">
        <v>26198</v>
      </c>
      <c r="C17082" s="1" t="s">
        <v>5646</v>
      </c>
      <c r="D17082" s="1" t="s">
        <v>5647</v>
      </c>
    </row>
    <row r="17083">
      <c r="A17083" s="1" t="s">
        <v>28340</v>
      </c>
      <c r="B17083" s="2" t="s">
        <v>26200</v>
      </c>
      <c r="C17083" s="1" t="s">
        <v>5646</v>
      </c>
      <c r="D17083" s="1" t="s">
        <v>5647</v>
      </c>
    </row>
    <row r="17084">
      <c r="A17084" s="1" t="s">
        <v>28341</v>
      </c>
      <c r="B17084" s="2" t="s">
        <v>26202</v>
      </c>
      <c r="C17084" s="1" t="s">
        <v>5646</v>
      </c>
      <c r="D17084" s="1" t="s">
        <v>5647</v>
      </c>
    </row>
    <row r="17085">
      <c r="A17085" s="1" t="s">
        <v>28342</v>
      </c>
      <c r="B17085" s="2" t="s">
        <v>26204</v>
      </c>
      <c r="C17085" s="1" t="s">
        <v>5646</v>
      </c>
      <c r="D17085" s="1" t="s">
        <v>5647</v>
      </c>
    </row>
    <row r="17086">
      <c r="A17086" s="1" t="s">
        <v>28343</v>
      </c>
      <c r="B17086" s="2" t="s">
        <v>26206</v>
      </c>
      <c r="C17086" s="1" t="s">
        <v>5646</v>
      </c>
      <c r="D17086" s="1" t="s">
        <v>5647</v>
      </c>
    </row>
    <row r="17087">
      <c r="A17087" s="1" t="s">
        <v>28344</v>
      </c>
      <c r="B17087" s="2" t="s">
        <v>26208</v>
      </c>
      <c r="C17087" s="1" t="s">
        <v>5646</v>
      </c>
      <c r="D17087" s="1" t="s">
        <v>5647</v>
      </c>
    </row>
    <row r="17088">
      <c r="A17088" s="1" t="s">
        <v>28345</v>
      </c>
      <c r="B17088" s="2" t="s">
        <v>26210</v>
      </c>
      <c r="C17088" s="1" t="s">
        <v>5646</v>
      </c>
      <c r="D17088" s="1" t="s">
        <v>5647</v>
      </c>
    </row>
    <row r="17089">
      <c r="A17089" s="1" t="s">
        <v>28346</v>
      </c>
      <c r="B17089" s="2" t="s">
        <v>26212</v>
      </c>
      <c r="C17089" s="1" t="s">
        <v>5646</v>
      </c>
      <c r="D17089" s="1" t="s">
        <v>5647</v>
      </c>
    </row>
    <row r="17090">
      <c r="A17090" s="1" t="s">
        <v>28347</v>
      </c>
      <c r="B17090" s="2" t="s">
        <v>26214</v>
      </c>
      <c r="C17090" s="1" t="s">
        <v>5646</v>
      </c>
      <c r="D17090" s="1" t="s">
        <v>5647</v>
      </c>
    </row>
    <row r="17091">
      <c r="A17091" s="1" t="s">
        <v>28348</v>
      </c>
      <c r="B17091" s="2" t="s">
        <v>26216</v>
      </c>
      <c r="C17091" s="1" t="s">
        <v>5646</v>
      </c>
      <c r="D17091" s="1" t="s">
        <v>5647</v>
      </c>
    </row>
    <row r="17092">
      <c r="A17092" s="1" t="s">
        <v>28349</v>
      </c>
      <c r="B17092" s="2" t="s">
        <v>26218</v>
      </c>
      <c r="C17092" s="1" t="s">
        <v>5646</v>
      </c>
      <c r="D17092" s="1" t="s">
        <v>5647</v>
      </c>
    </row>
    <row r="17093">
      <c r="A17093" s="1" t="s">
        <v>28350</v>
      </c>
      <c r="B17093" s="2" t="s">
        <v>26220</v>
      </c>
      <c r="C17093" s="1" t="s">
        <v>5646</v>
      </c>
      <c r="D17093" s="1" t="s">
        <v>5647</v>
      </c>
    </row>
    <row r="17094">
      <c r="A17094" s="1" t="s">
        <v>28351</v>
      </c>
      <c r="B17094" s="2" t="s">
        <v>26222</v>
      </c>
      <c r="C17094" s="1" t="s">
        <v>5646</v>
      </c>
      <c r="D17094" s="1" t="s">
        <v>5647</v>
      </c>
    </row>
    <row r="17095">
      <c r="A17095" s="1" t="s">
        <v>28352</v>
      </c>
      <c r="B17095" s="2" t="s">
        <v>26224</v>
      </c>
      <c r="C17095" s="1" t="s">
        <v>5646</v>
      </c>
      <c r="D17095" s="1" t="s">
        <v>5647</v>
      </c>
    </row>
    <row r="17096">
      <c r="A17096" s="1" t="s">
        <v>28353</v>
      </c>
      <c r="B17096" s="2" t="s">
        <v>26226</v>
      </c>
      <c r="C17096" s="1" t="s">
        <v>5646</v>
      </c>
      <c r="D17096" s="1" t="s">
        <v>5647</v>
      </c>
    </row>
    <row r="17097">
      <c r="A17097" s="1" t="s">
        <v>28354</v>
      </c>
      <c r="B17097" s="2" t="s">
        <v>26228</v>
      </c>
      <c r="C17097" s="1" t="s">
        <v>5646</v>
      </c>
      <c r="D17097" s="1" t="s">
        <v>5647</v>
      </c>
    </row>
    <row r="17098">
      <c r="A17098" s="1" t="s">
        <v>28355</v>
      </c>
      <c r="B17098" s="2" t="s">
        <v>26230</v>
      </c>
      <c r="C17098" s="1" t="s">
        <v>5646</v>
      </c>
      <c r="D17098" s="1" t="s">
        <v>5647</v>
      </c>
    </row>
    <row r="17099">
      <c r="A17099" s="1" t="s">
        <v>28356</v>
      </c>
      <c r="B17099" s="2" t="s">
        <v>26232</v>
      </c>
      <c r="C17099" s="1" t="s">
        <v>5646</v>
      </c>
      <c r="D17099" s="1" t="s">
        <v>5647</v>
      </c>
    </row>
    <row r="17100">
      <c r="A17100" s="1" t="s">
        <v>28357</v>
      </c>
      <c r="B17100" s="2" t="s">
        <v>26234</v>
      </c>
      <c r="C17100" s="1" t="s">
        <v>5646</v>
      </c>
      <c r="D17100" s="1" t="s">
        <v>5647</v>
      </c>
    </row>
    <row r="17101">
      <c r="A17101" s="1" t="s">
        <v>28358</v>
      </c>
      <c r="B17101" s="2" t="s">
        <v>26236</v>
      </c>
      <c r="C17101" s="1" t="s">
        <v>5646</v>
      </c>
      <c r="D17101" s="1" t="s">
        <v>5647</v>
      </c>
    </row>
    <row r="17102">
      <c r="A17102" s="1" t="s">
        <v>28359</v>
      </c>
      <c r="B17102" s="2" t="s">
        <v>26238</v>
      </c>
      <c r="C17102" s="1" t="s">
        <v>5646</v>
      </c>
      <c r="D17102" s="1" t="s">
        <v>5647</v>
      </c>
    </row>
    <row r="17103">
      <c r="A17103" s="1" t="s">
        <v>28360</v>
      </c>
      <c r="B17103" s="2" t="s">
        <v>26240</v>
      </c>
      <c r="C17103" s="1" t="s">
        <v>5646</v>
      </c>
      <c r="D17103" s="1" t="s">
        <v>5647</v>
      </c>
    </row>
    <row r="17104">
      <c r="A17104" s="1" t="s">
        <v>28361</v>
      </c>
      <c r="B17104" s="2" t="s">
        <v>26242</v>
      </c>
      <c r="C17104" s="1" t="s">
        <v>5646</v>
      </c>
      <c r="D17104" s="1" t="s">
        <v>5647</v>
      </c>
    </row>
    <row r="17105">
      <c r="A17105" s="1" t="s">
        <v>28362</v>
      </c>
      <c r="B17105" s="2" t="s">
        <v>26244</v>
      </c>
      <c r="C17105" s="1" t="s">
        <v>5646</v>
      </c>
      <c r="D17105" s="1" t="s">
        <v>5647</v>
      </c>
    </row>
    <row r="17106">
      <c r="A17106" s="1" t="s">
        <v>28363</v>
      </c>
      <c r="B17106" s="2" t="s">
        <v>26246</v>
      </c>
      <c r="C17106" s="1" t="s">
        <v>5646</v>
      </c>
      <c r="D17106" s="1" t="s">
        <v>5647</v>
      </c>
    </row>
    <row r="17107">
      <c r="A17107" s="1" t="s">
        <v>28364</v>
      </c>
      <c r="B17107" s="2" t="s">
        <v>26248</v>
      </c>
      <c r="C17107" s="1" t="s">
        <v>5646</v>
      </c>
      <c r="D17107" s="1" t="s">
        <v>5647</v>
      </c>
    </row>
    <row r="17108">
      <c r="A17108" s="1" t="s">
        <v>28365</v>
      </c>
      <c r="B17108" s="2" t="s">
        <v>26250</v>
      </c>
      <c r="C17108" s="1" t="s">
        <v>5646</v>
      </c>
      <c r="D17108" s="1" t="s">
        <v>5647</v>
      </c>
    </row>
    <row r="17109">
      <c r="A17109" s="1" t="s">
        <v>28366</v>
      </c>
      <c r="B17109" s="2" t="s">
        <v>26252</v>
      </c>
      <c r="C17109" s="1" t="s">
        <v>5646</v>
      </c>
      <c r="D17109" s="1" t="s">
        <v>5647</v>
      </c>
    </row>
    <row r="17110">
      <c r="A17110" s="1" t="s">
        <v>28367</v>
      </c>
      <c r="B17110" s="2" t="s">
        <v>26254</v>
      </c>
      <c r="C17110" s="1" t="s">
        <v>5646</v>
      </c>
      <c r="D17110" s="1" t="s">
        <v>5647</v>
      </c>
    </row>
    <row r="17111">
      <c r="A17111" s="1" t="s">
        <v>28368</v>
      </c>
      <c r="B17111" s="2" t="s">
        <v>26256</v>
      </c>
      <c r="C17111" s="1" t="s">
        <v>5646</v>
      </c>
      <c r="D17111" s="1" t="s">
        <v>5647</v>
      </c>
    </row>
    <row r="17112">
      <c r="A17112" s="1" t="s">
        <v>28369</v>
      </c>
      <c r="B17112" s="2" t="s">
        <v>26258</v>
      </c>
      <c r="C17112" s="1" t="s">
        <v>5646</v>
      </c>
      <c r="D17112" s="1" t="s">
        <v>5647</v>
      </c>
    </row>
    <row r="17113">
      <c r="A17113" s="1" t="s">
        <v>28370</v>
      </c>
      <c r="B17113" s="2" t="s">
        <v>26260</v>
      </c>
      <c r="C17113" s="1" t="s">
        <v>5646</v>
      </c>
      <c r="D17113" s="1" t="s">
        <v>5647</v>
      </c>
    </row>
    <row r="17114">
      <c r="A17114" s="1" t="s">
        <v>28371</v>
      </c>
      <c r="B17114" s="2" t="s">
        <v>26262</v>
      </c>
      <c r="C17114" s="1" t="s">
        <v>5646</v>
      </c>
      <c r="D17114" s="1" t="s">
        <v>5647</v>
      </c>
    </row>
    <row r="17115">
      <c r="A17115" s="1" t="s">
        <v>28372</v>
      </c>
      <c r="B17115" s="2" t="s">
        <v>26264</v>
      </c>
      <c r="C17115" s="1" t="s">
        <v>5646</v>
      </c>
      <c r="D17115" s="1" t="s">
        <v>5647</v>
      </c>
    </row>
    <row r="17116">
      <c r="A17116" s="1" t="s">
        <v>28373</v>
      </c>
      <c r="B17116" s="2" t="s">
        <v>26266</v>
      </c>
      <c r="C17116" s="1" t="s">
        <v>5646</v>
      </c>
      <c r="D17116" s="1" t="s">
        <v>5647</v>
      </c>
    </row>
    <row r="17117">
      <c r="A17117" s="1" t="s">
        <v>28374</v>
      </c>
      <c r="B17117" s="2" t="s">
        <v>26268</v>
      </c>
      <c r="C17117" s="1" t="s">
        <v>5646</v>
      </c>
      <c r="D17117" s="1" t="s">
        <v>5647</v>
      </c>
    </row>
    <row r="17118">
      <c r="A17118" s="1" t="s">
        <v>28375</v>
      </c>
      <c r="B17118" s="2" t="s">
        <v>26270</v>
      </c>
      <c r="C17118" s="1" t="s">
        <v>5646</v>
      </c>
      <c r="D17118" s="1" t="s">
        <v>5647</v>
      </c>
    </row>
    <row r="17119">
      <c r="A17119" s="1" t="s">
        <v>28376</v>
      </c>
      <c r="B17119" s="2" t="s">
        <v>26272</v>
      </c>
      <c r="C17119" s="1" t="s">
        <v>5646</v>
      </c>
      <c r="D17119" s="1" t="s">
        <v>5647</v>
      </c>
    </row>
    <row r="17120">
      <c r="A17120" s="1" t="s">
        <v>28377</v>
      </c>
      <c r="B17120" s="2" t="s">
        <v>26274</v>
      </c>
      <c r="C17120" s="1" t="s">
        <v>5646</v>
      </c>
      <c r="D17120" s="1" t="s">
        <v>5647</v>
      </c>
    </row>
    <row r="17121">
      <c r="A17121" s="1" t="s">
        <v>28378</v>
      </c>
      <c r="B17121" s="2" t="s">
        <v>26276</v>
      </c>
      <c r="C17121" s="1" t="s">
        <v>5646</v>
      </c>
      <c r="D17121" s="1" t="s">
        <v>5647</v>
      </c>
    </row>
    <row r="17122">
      <c r="A17122" s="1" t="s">
        <v>28379</v>
      </c>
      <c r="B17122" s="2" t="s">
        <v>26278</v>
      </c>
      <c r="C17122" s="1" t="s">
        <v>5646</v>
      </c>
      <c r="D17122" s="1" t="s">
        <v>5647</v>
      </c>
    </row>
    <row r="17123">
      <c r="A17123" s="1" t="s">
        <v>28380</v>
      </c>
      <c r="B17123" s="2" t="s">
        <v>26280</v>
      </c>
      <c r="C17123" s="1" t="s">
        <v>5646</v>
      </c>
      <c r="D17123" s="1" t="s">
        <v>5647</v>
      </c>
    </row>
    <row r="17124">
      <c r="A17124" s="1" t="s">
        <v>28381</v>
      </c>
      <c r="B17124" s="2" t="s">
        <v>26282</v>
      </c>
      <c r="C17124" s="1" t="s">
        <v>5646</v>
      </c>
      <c r="D17124" s="1" t="s">
        <v>5647</v>
      </c>
    </row>
    <row r="17125">
      <c r="A17125" s="1" t="s">
        <v>28382</v>
      </c>
      <c r="B17125" s="2" t="s">
        <v>26284</v>
      </c>
      <c r="C17125" s="1" t="s">
        <v>5646</v>
      </c>
      <c r="D17125" s="1" t="s">
        <v>5647</v>
      </c>
    </row>
    <row r="17126">
      <c r="A17126" s="1" t="s">
        <v>28383</v>
      </c>
      <c r="B17126" s="2" t="s">
        <v>26286</v>
      </c>
      <c r="C17126" s="1" t="s">
        <v>5646</v>
      </c>
      <c r="D17126" s="1" t="s">
        <v>5647</v>
      </c>
    </row>
    <row r="17127">
      <c r="A17127" s="1" t="s">
        <v>28384</v>
      </c>
      <c r="B17127" s="2" t="s">
        <v>26288</v>
      </c>
      <c r="C17127" s="1" t="s">
        <v>5646</v>
      </c>
      <c r="D17127" s="1" t="s">
        <v>5647</v>
      </c>
    </row>
    <row r="17128">
      <c r="A17128" s="1" t="s">
        <v>28385</v>
      </c>
      <c r="B17128" s="2" t="s">
        <v>26290</v>
      </c>
      <c r="C17128" s="1" t="s">
        <v>5646</v>
      </c>
      <c r="D17128" s="1" t="s">
        <v>5647</v>
      </c>
    </row>
    <row r="17129">
      <c r="A17129" s="1" t="s">
        <v>28386</v>
      </c>
      <c r="B17129" s="2" t="s">
        <v>26292</v>
      </c>
      <c r="C17129" s="1" t="s">
        <v>5646</v>
      </c>
      <c r="D17129" s="1" t="s">
        <v>5647</v>
      </c>
    </row>
    <row r="17130">
      <c r="A17130" s="1" t="s">
        <v>28387</v>
      </c>
      <c r="B17130" s="2" t="s">
        <v>26294</v>
      </c>
      <c r="C17130" s="1" t="s">
        <v>5646</v>
      </c>
      <c r="D17130" s="1" t="s">
        <v>5647</v>
      </c>
    </row>
    <row r="17131">
      <c r="A17131" s="1" t="s">
        <v>28388</v>
      </c>
      <c r="B17131" s="2" t="s">
        <v>26296</v>
      </c>
      <c r="C17131" s="1" t="s">
        <v>5646</v>
      </c>
      <c r="D17131" s="1" t="s">
        <v>5647</v>
      </c>
    </row>
    <row r="17132">
      <c r="A17132" s="1" t="s">
        <v>28389</v>
      </c>
      <c r="B17132" s="2" t="s">
        <v>26298</v>
      </c>
      <c r="C17132" s="1" t="s">
        <v>5646</v>
      </c>
      <c r="D17132" s="1" t="s">
        <v>5647</v>
      </c>
    </row>
    <row r="17133">
      <c r="A17133" s="1" t="s">
        <v>28390</v>
      </c>
      <c r="B17133" s="2" t="s">
        <v>26300</v>
      </c>
      <c r="C17133" s="1" t="s">
        <v>5646</v>
      </c>
      <c r="D17133" s="1" t="s">
        <v>5647</v>
      </c>
    </row>
    <row r="17134">
      <c r="A17134" s="1" t="s">
        <v>28391</v>
      </c>
      <c r="B17134" s="2" t="s">
        <v>26302</v>
      </c>
      <c r="C17134" s="1" t="s">
        <v>5646</v>
      </c>
      <c r="D17134" s="1" t="s">
        <v>5647</v>
      </c>
    </row>
    <row r="17135">
      <c r="A17135" s="1" t="s">
        <v>28392</v>
      </c>
      <c r="B17135" s="2" t="s">
        <v>26304</v>
      </c>
      <c r="C17135" s="1" t="s">
        <v>5646</v>
      </c>
      <c r="D17135" s="1" t="s">
        <v>5647</v>
      </c>
    </row>
    <row r="17136">
      <c r="A17136" s="1" t="s">
        <v>28393</v>
      </c>
      <c r="B17136" s="2" t="s">
        <v>26306</v>
      </c>
      <c r="C17136" s="1" t="s">
        <v>5646</v>
      </c>
      <c r="D17136" s="1" t="s">
        <v>5647</v>
      </c>
    </row>
    <row r="17137">
      <c r="A17137" s="1" t="s">
        <v>28394</v>
      </c>
      <c r="B17137" s="2" t="s">
        <v>26308</v>
      </c>
      <c r="C17137" s="1" t="s">
        <v>5646</v>
      </c>
      <c r="D17137" s="1" t="s">
        <v>5647</v>
      </c>
    </row>
    <row r="17138">
      <c r="A17138" s="1" t="s">
        <v>28395</v>
      </c>
      <c r="B17138" s="2" t="s">
        <v>26310</v>
      </c>
      <c r="C17138" s="1" t="s">
        <v>5646</v>
      </c>
      <c r="D17138" s="1" t="s">
        <v>5647</v>
      </c>
    </row>
    <row r="17139">
      <c r="A17139" s="1" t="s">
        <v>28396</v>
      </c>
      <c r="B17139" s="2" t="s">
        <v>26312</v>
      </c>
      <c r="C17139" s="1" t="s">
        <v>5646</v>
      </c>
      <c r="D17139" s="1" t="s">
        <v>5647</v>
      </c>
    </row>
    <row r="17140">
      <c r="A17140" s="1" t="s">
        <v>28397</v>
      </c>
      <c r="B17140" s="2" t="s">
        <v>26314</v>
      </c>
      <c r="C17140" s="1" t="s">
        <v>5646</v>
      </c>
      <c r="D17140" s="1" t="s">
        <v>5647</v>
      </c>
    </row>
    <row r="17141">
      <c r="A17141" s="1" t="s">
        <v>28398</v>
      </c>
      <c r="B17141" s="2" t="s">
        <v>26316</v>
      </c>
      <c r="C17141" s="1" t="s">
        <v>5646</v>
      </c>
      <c r="D17141" s="1" t="s">
        <v>5647</v>
      </c>
    </row>
    <row r="17142">
      <c r="A17142" s="1" t="s">
        <v>28399</v>
      </c>
      <c r="B17142" s="2" t="s">
        <v>26318</v>
      </c>
      <c r="C17142" s="1" t="s">
        <v>5646</v>
      </c>
      <c r="D17142" s="1" t="s">
        <v>5647</v>
      </c>
    </row>
    <row r="17143">
      <c r="A17143" s="1" t="s">
        <v>28400</v>
      </c>
      <c r="B17143" s="2" t="s">
        <v>26320</v>
      </c>
      <c r="C17143" s="1" t="s">
        <v>5646</v>
      </c>
      <c r="D17143" s="1" t="s">
        <v>5647</v>
      </c>
    </row>
    <row r="17144">
      <c r="A17144" s="1" t="s">
        <v>28401</v>
      </c>
      <c r="B17144" s="2" t="s">
        <v>26322</v>
      </c>
      <c r="C17144" s="1" t="s">
        <v>5646</v>
      </c>
      <c r="D17144" s="1" t="s">
        <v>5647</v>
      </c>
    </row>
    <row r="17145">
      <c r="A17145" s="1" t="s">
        <v>28402</v>
      </c>
      <c r="B17145" s="2" t="s">
        <v>26324</v>
      </c>
      <c r="C17145" s="1" t="s">
        <v>5646</v>
      </c>
      <c r="D17145" s="1" t="s">
        <v>5647</v>
      </c>
    </row>
    <row r="17146">
      <c r="A17146" s="1" t="s">
        <v>28403</v>
      </c>
      <c r="B17146" s="2" t="s">
        <v>26326</v>
      </c>
      <c r="C17146" s="1" t="s">
        <v>5646</v>
      </c>
      <c r="D17146" s="1" t="s">
        <v>5647</v>
      </c>
    </row>
    <row r="17147">
      <c r="A17147" s="1" t="s">
        <v>28404</v>
      </c>
      <c r="B17147" s="2" t="s">
        <v>26328</v>
      </c>
      <c r="C17147" s="1" t="s">
        <v>5646</v>
      </c>
      <c r="D17147" s="1" t="s">
        <v>5647</v>
      </c>
    </row>
    <row r="17148">
      <c r="A17148" s="1" t="s">
        <v>28405</v>
      </c>
      <c r="B17148" s="2" t="s">
        <v>26330</v>
      </c>
      <c r="C17148" s="1" t="s">
        <v>5646</v>
      </c>
      <c r="D17148" s="1" t="s">
        <v>5647</v>
      </c>
    </row>
    <row r="17149">
      <c r="A17149" s="1" t="s">
        <v>28406</v>
      </c>
      <c r="B17149" s="2" t="s">
        <v>26332</v>
      </c>
      <c r="C17149" s="1" t="s">
        <v>5646</v>
      </c>
      <c r="D17149" s="1" t="s">
        <v>5647</v>
      </c>
    </row>
    <row r="17150">
      <c r="A17150" s="1" t="s">
        <v>28407</v>
      </c>
      <c r="B17150" s="2" t="s">
        <v>26334</v>
      </c>
      <c r="C17150" s="1" t="s">
        <v>5646</v>
      </c>
      <c r="D17150" s="1" t="s">
        <v>5647</v>
      </c>
    </row>
    <row r="17151">
      <c r="A17151" s="1" t="s">
        <v>28408</v>
      </c>
      <c r="B17151" s="2" t="s">
        <v>26336</v>
      </c>
      <c r="C17151" s="1" t="s">
        <v>5646</v>
      </c>
      <c r="D17151" s="1" t="s">
        <v>5647</v>
      </c>
    </row>
    <row r="17152">
      <c r="A17152" s="1" t="s">
        <v>28409</v>
      </c>
      <c r="B17152" s="2" t="s">
        <v>26338</v>
      </c>
      <c r="C17152" s="1" t="s">
        <v>5646</v>
      </c>
      <c r="D17152" s="1" t="s">
        <v>5647</v>
      </c>
    </row>
    <row r="17153">
      <c r="A17153" s="1" t="s">
        <v>28410</v>
      </c>
      <c r="B17153" s="2" t="s">
        <v>26340</v>
      </c>
      <c r="C17153" s="1" t="s">
        <v>5646</v>
      </c>
      <c r="D17153" s="1" t="s">
        <v>5647</v>
      </c>
    </row>
    <row r="17154">
      <c r="A17154" s="1" t="s">
        <v>28411</v>
      </c>
      <c r="B17154" s="2" t="s">
        <v>26342</v>
      </c>
      <c r="C17154" s="1" t="s">
        <v>5646</v>
      </c>
      <c r="D17154" s="1" t="s">
        <v>5647</v>
      </c>
    </row>
    <row r="17155">
      <c r="A17155" s="1" t="s">
        <v>28412</v>
      </c>
      <c r="B17155" s="2" t="s">
        <v>26344</v>
      </c>
      <c r="C17155" s="1" t="s">
        <v>5646</v>
      </c>
      <c r="D17155" s="1" t="s">
        <v>5647</v>
      </c>
    </row>
    <row r="17156">
      <c r="A17156" s="1" t="s">
        <v>28413</v>
      </c>
      <c r="B17156" s="2" t="s">
        <v>26346</v>
      </c>
      <c r="C17156" s="1" t="s">
        <v>5646</v>
      </c>
      <c r="D17156" s="1" t="s">
        <v>5647</v>
      </c>
    </row>
    <row r="17157">
      <c r="A17157" s="1" t="s">
        <v>28414</v>
      </c>
      <c r="B17157" s="2" t="s">
        <v>26348</v>
      </c>
      <c r="C17157" s="1" t="s">
        <v>5646</v>
      </c>
      <c r="D17157" s="1" t="s">
        <v>5647</v>
      </c>
    </row>
    <row r="17158">
      <c r="A17158" s="1" t="s">
        <v>28415</v>
      </c>
      <c r="B17158" s="2" t="s">
        <v>26350</v>
      </c>
      <c r="C17158" s="1" t="s">
        <v>5646</v>
      </c>
      <c r="D17158" s="1" t="s">
        <v>5647</v>
      </c>
    </row>
    <row r="17159">
      <c r="A17159" s="1" t="s">
        <v>28416</v>
      </c>
      <c r="B17159" s="2" t="s">
        <v>26352</v>
      </c>
      <c r="C17159" s="1" t="s">
        <v>5646</v>
      </c>
      <c r="D17159" s="1" t="s">
        <v>5647</v>
      </c>
    </row>
    <row r="17160">
      <c r="A17160" s="1" t="s">
        <v>28417</v>
      </c>
      <c r="B17160" s="2" t="s">
        <v>26354</v>
      </c>
      <c r="C17160" s="1" t="s">
        <v>5646</v>
      </c>
      <c r="D17160" s="1" t="s">
        <v>5647</v>
      </c>
    </row>
    <row r="17161">
      <c r="A17161" s="1" t="s">
        <v>28418</v>
      </c>
      <c r="B17161" s="2" t="s">
        <v>26356</v>
      </c>
      <c r="C17161" s="1" t="s">
        <v>5646</v>
      </c>
      <c r="D17161" s="1" t="s">
        <v>5647</v>
      </c>
    </row>
    <row r="17162">
      <c r="A17162" s="1" t="s">
        <v>28419</v>
      </c>
      <c r="B17162" s="2" t="s">
        <v>26358</v>
      </c>
      <c r="C17162" s="1" t="s">
        <v>5646</v>
      </c>
      <c r="D17162" s="1" t="s">
        <v>5647</v>
      </c>
    </row>
    <row r="17163">
      <c r="A17163" s="1" t="s">
        <v>28420</v>
      </c>
      <c r="B17163" s="2" t="s">
        <v>26360</v>
      </c>
      <c r="C17163" s="1" t="s">
        <v>5646</v>
      </c>
      <c r="D17163" s="1" t="s">
        <v>5647</v>
      </c>
    </row>
    <row r="17164">
      <c r="A17164" s="1" t="s">
        <v>28421</v>
      </c>
      <c r="B17164" s="2" t="s">
        <v>26362</v>
      </c>
      <c r="C17164" s="1" t="s">
        <v>5646</v>
      </c>
      <c r="D17164" s="1" t="s">
        <v>5647</v>
      </c>
    </row>
    <row r="17165">
      <c r="A17165" s="1" t="s">
        <v>28422</v>
      </c>
      <c r="B17165" s="2" t="s">
        <v>26364</v>
      </c>
      <c r="C17165" s="1" t="s">
        <v>5646</v>
      </c>
      <c r="D17165" s="1" t="s">
        <v>5647</v>
      </c>
    </row>
    <row r="17166">
      <c r="A17166" s="1" t="s">
        <v>28423</v>
      </c>
      <c r="B17166" s="2" t="s">
        <v>26366</v>
      </c>
      <c r="C17166" s="1" t="s">
        <v>5646</v>
      </c>
      <c r="D17166" s="1" t="s">
        <v>5647</v>
      </c>
    </row>
    <row r="17167">
      <c r="A17167" s="1" t="s">
        <v>28424</v>
      </c>
      <c r="B17167" s="2" t="s">
        <v>26368</v>
      </c>
      <c r="C17167" s="1" t="s">
        <v>5646</v>
      </c>
      <c r="D17167" s="1" t="s">
        <v>5647</v>
      </c>
    </row>
    <row r="17168">
      <c r="A17168" s="1" t="s">
        <v>28425</v>
      </c>
      <c r="B17168" s="2" t="s">
        <v>26370</v>
      </c>
      <c r="C17168" s="1" t="s">
        <v>5646</v>
      </c>
      <c r="D17168" s="1" t="s">
        <v>5647</v>
      </c>
    </row>
    <row r="17169">
      <c r="A17169" s="1" t="s">
        <v>28426</v>
      </c>
      <c r="B17169" s="2" t="s">
        <v>26372</v>
      </c>
      <c r="C17169" s="1" t="s">
        <v>5646</v>
      </c>
      <c r="D17169" s="1" t="s">
        <v>5647</v>
      </c>
    </row>
    <row r="17170">
      <c r="A17170" s="1" t="s">
        <v>28427</v>
      </c>
      <c r="B17170" s="2" t="s">
        <v>26374</v>
      </c>
      <c r="C17170" s="1" t="s">
        <v>5646</v>
      </c>
      <c r="D17170" s="1" t="s">
        <v>5647</v>
      </c>
    </row>
    <row r="17171">
      <c r="A17171" s="1" t="s">
        <v>28428</v>
      </c>
      <c r="B17171" s="2" t="s">
        <v>26376</v>
      </c>
      <c r="C17171" s="1" t="s">
        <v>5646</v>
      </c>
      <c r="D17171" s="1" t="s">
        <v>5647</v>
      </c>
    </row>
    <row r="17172">
      <c r="A17172" s="1" t="s">
        <v>28429</v>
      </c>
      <c r="B17172" s="2" t="s">
        <v>26378</v>
      </c>
      <c r="C17172" s="1" t="s">
        <v>5646</v>
      </c>
      <c r="D17172" s="1" t="s">
        <v>5647</v>
      </c>
    </row>
    <row r="17173">
      <c r="A17173" s="1" t="s">
        <v>28430</v>
      </c>
      <c r="B17173" s="2" t="s">
        <v>26380</v>
      </c>
      <c r="C17173" s="1" t="s">
        <v>5646</v>
      </c>
      <c r="D17173" s="1" t="s">
        <v>5647</v>
      </c>
    </row>
    <row r="17174">
      <c r="A17174" s="1" t="s">
        <v>28431</v>
      </c>
      <c r="B17174" s="2" t="s">
        <v>26382</v>
      </c>
      <c r="C17174" s="1" t="s">
        <v>5646</v>
      </c>
      <c r="D17174" s="1" t="s">
        <v>5647</v>
      </c>
    </row>
    <row r="17175">
      <c r="A17175" s="1" t="s">
        <v>28432</v>
      </c>
      <c r="B17175" s="2" t="s">
        <v>26384</v>
      </c>
      <c r="C17175" s="1" t="s">
        <v>5646</v>
      </c>
      <c r="D17175" s="1" t="s">
        <v>5647</v>
      </c>
    </row>
    <row r="17176">
      <c r="A17176" s="1" t="s">
        <v>28433</v>
      </c>
      <c r="B17176" s="2" t="s">
        <v>26386</v>
      </c>
      <c r="C17176" s="1" t="s">
        <v>5646</v>
      </c>
      <c r="D17176" s="1" t="s">
        <v>5647</v>
      </c>
    </row>
    <row r="17177">
      <c r="A17177" s="1" t="s">
        <v>28434</v>
      </c>
      <c r="B17177" s="2" t="s">
        <v>26388</v>
      </c>
      <c r="C17177" s="1" t="s">
        <v>5646</v>
      </c>
      <c r="D17177" s="1" t="s">
        <v>5647</v>
      </c>
    </row>
    <row r="17178">
      <c r="A17178" s="1" t="s">
        <v>28435</v>
      </c>
      <c r="B17178" s="2" t="s">
        <v>26390</v>
      </c>
      <c r="C17178" s="1" t="s">
        <v>5646</v>
      </c>
      <c r="D17178" s="1" t="s">
        <v>5647</v>
      </c>
    </row>
    <row r="17179">
      <c r="A17179" s="1" t="s">
        <v>28436</v>
      </c>
      <c r="B17179" s="2" t="s">
        <v>26392</v>
      </c>
      <c r="C17179" s="1" t="s">
        <v>5646</v>
      </c>
      <c r="D17179" s="1" t="s">
        <v>5647</v>
      </c>
    </row>
    <row r="17180">
      <c r="A17180" s="1" t="s">
        <v>28437</v>
      </c>
      <c r="B17180" s="2" t="s">
        <v>26394</v>
      </c>
      <c r="C17180" s="1" t="s">
        <v>5646</v>
      </c>
      <c r="D17180" s="1" t="s">
        <v>5647</v>
      </c>
    </row>
    <row r="17181">
      <c r="A17181" s="1" t="s">
        <v>28438</v>
      </c>
      <c r="B17181" s="2" t="s">
        <v>26396</v>
      </c>
      <c r="C17181" s="1" t="s">
        <v>5646</v>
      </c>
      <c r="D17181" s="1" t="s">
        <v>5647</v>
      </c>
    </row>
    <row r="17182">
      <c r="A17182" s="1" t="s">
        <v>28439</v>
      </c>
      <c r="B17182" s="2" t="s">
        <v>26398</v>
      </c>
      <c r="C17182" s="1" t="s">
        <v>5646</v>
      </c>
      <c r="D17182" s="1" t="s">
        <v>5647</v>
      </c>
    </row>
    <row r="17183">
      <c r="A17183" s="1" t="s">
        <v>28440</v>
      </c>
      <c r="B17183" s="2" t="s">
        <v>26400</v>
      </c>
      <c r="C17183" s="1" t="s">
        <v>5646</v>
      </c>
      <c r="D17183" s="1" t="s">
        <v>5647</v>
      </c>
    </row>
    <row r="17184">
      <c r="A17184" s="1" t="s">
        <v>28441</v>
      </c>
      <c r="B17184" s="2" t="s">
        <v>26402</v>
      </c>
      <c r="C17184" s="1" t="s">
        <v>5646</v>
      </c>
      <c r="D17184" s="1" t="s">
        <v>5647</v>
      </c>
    </row>
    <row r="17185">
      <c r="A17185" s="1" t="s">
        <v>28442</v>
      </c>
      <c r="B17185" s="2" t="s">
        <v>26404</v>
      </c>
      <c r="C17185" s="1" t="s">
        <v>5646</v>
      </c>
      <c r="D17185" s="1" t="s">
        <v>5647</v>
      </c>
    </row>
    <row r="17186">
      <c r="A17186" s="1" t="s">
        <v>28443</v>
      </c>
      <c r="B17186" s="2" t="s">
        <v>26406</v>
      </c>
      <c r="C17186" s="1" t="s">
        <v>5646</v>
      </c>
      <c r="D17186" s="1" t="s">
        <v>5647</v>
      </c>
    </row>
    <row r="17187">
      <c r="A17187" s="1" t="s">
        <v>28444</v>
      </c>
      <c r="B17187" s="2" t="s">
        <v>26408</v>
      </c>
      <c r="C17187" s="1" t="s">
        <v>5646</v>
      </c>
      <c r="D17187" s="1" t="s">
        <v>5647</v>
      </c>
    </row>
    <row r="17188">
      <c r="A17188" s="1" t="s">
        <v>28445</v>
      </c>
      <c r="B17188" s="2" t="s">
        <v>26410</v>
      </c>
      <c r="C17188" s="1" t="s">
        <v>5646</v>
      </c>
      <c r="D17188" s="1" t="s">
        <v>5647</v>
      </c>
    </row>
    <row r="17189">
      <c r="A17189" s="1" t="s">
        <v>28446</v>
      </c>
      <c r="B17189" s="2" t="s">
        <v>26412</v>
      </c>
      <c r="C17189" s="1" t="s">
        <v>5646</v>
      </c>
      <c r="D17189" s="1" t="s">
        <v>5647</v>
      </c>
    </row>
    <row r="17190">
      <c r="A17190" s="1" t="s">
        <v>28447</v>
      </c>
      <c r="B17190" s="2" t="s">
        <v>26414</v>
      </c>
      <c r="C17190" s="1" t="s">
        <v>5646</v>
      </c>
      <c r="D17190" s="1" t="s">
        <v>5647</v>
      </c>
    </row>
    <row r="17191">
      <c r="A17191" s="1" t="s">
        <v>28448</v>
      </c>
      <c r="B17191" s="2" t="s">
        <v>26416</v>
      </c>
      <c r="C17191" s="1" t="s">
        <v>5646</v>
      </c>
      <c r="D17191" s="1" t="s">
        <v>5647</v>
      </c>
    </row>
    <row r="17192">
      <c r="A17192" s="1" t="s">
        <v>28449</v>
      </c>
      <c r="B17192" s="2" t="s">
        <v>26418</v>
      </c>
      <c r="C17192" s="1" t="s">
        <v>5646</v>
      </c>
      <c r="D17192" s="1" t="s">
        <v>5647</v>
      </c>
    </row>
    <row r="17193">
      <c r="A17193" s="1" t="s">
        <v>28450</v>
      </c>
      <c r="B17193" s="2" t="s">
        <v>26420</v>
      </c>
      <c r="C17193" s="1" t="s">
        <v>5646</v>
      </c>
      <c r="D17193" s="1" t="s">
        <v>5647</v>
      </c>
    </row>
    <row r="17194">
      <c r="A17194" s="1" t="s">
        <v>28451</v>
      </c>
      <c r="B17194" s="2" t="s">
        <v>26422</v>
      </c>
      <c r="C17194" s="1" t="s">
        <v>5646</v>
      </c>
      <c r="D17194" s="1" t="s">
        <v>5647</v>
      </c>
    </row>
    <row r="17195">
      <c r="A17195" s="1" t="s">
        <v>28452</v>
      </c>
      <c r="B17195" s="2" t="s">
        <v>26424</v>
      </c>
      <c r="C17195" s="1" t="s">
        <v>5646</v>
      </c>
      <c r="D17195" s="1" t="s">
        <v>5647</v>
      </c>
    </row>
    <row r="17196">
      <c r="A17196" s="1" t="s">
        <v>28453</v>
      </c>
      <c r="B17196" s="2" t="s">
        <v>26426</v>
      </c>
      <c r="C17196" s="1" t="s">
        <v>5646</v>
      </c>
      <c r="D17196" s="1" t="s">
        <v>5647</v>
      </c>
    </row>
    <row r="17197">
      <c r="A17197" s="1" t="s">
        <v>28454</v>
      </c>
      <c r="B17197" s="2" t="s">
        <v>26428</v>
      </c>
      <c r="C17197" s="1" t="s">
        <v>5646</v>
      </c>
      <c r="D17197" s="1" t="s">
        <v>5647</v>
      </c>
    </row>
    <row r="17198">
      <c r="A17198" s="1" t="s">
        <v>28455</v>
      </c>
      <c r="B17198" s="2" t="s">
        <v>26430</v>
      </c>
      <c r="C17198" s="1" t="s">
        <v>5646</v>
      </c>
      <c r="D17198" s="1" t="s">
        <v>5647</v>
      </c>
    </row>
    <row r="17199">
      <c r="A17199" s="1" t="s">
        <v>28456</v>
      </c>
      <c r="B17199" s="2" t="s">
        <v>26432</v>
      </c>
      <c r="C17199" s="1" t="s">
        <v>5646</v>
      </c>
      <c r="D17199" s="1" t="s">
        <v>5647</v>
      </c>
    </row>
    <row r="17200">
      <c r="A17200" s="1" t="s">
        <v>28457</v>
      </c>
      <c r="B17200" s="2" t="s">
        <v>26434</v>
      </c>
      <c r="C17200" s="1" t="s">
        <v>5646</v>
      </c>
      <c r="D17200" s="1" t="s">
        <v>5647</v>
      </c>
    </row>
    <row r="17201">
      <c r="A17201" s="1" t="s">
        <v>28458</v>
      </c>
      <c r="B17201" s="2" t="s">
        <v>26436</v>
      </c>
      <c r="C17201" s="1" t="s">
        <v>5646</v>
      </c>
      <c r="D17201" s="1" t="s">
        <v>5647</v>
      </c>
    </row>
    <row r="17202">
      <c r="A17202" s="1" t="s">
        <v>28459</v>
      </c>
      <c r="B17202" s="2" t="s">
        <v>26438</v>
      </c>
      <c r="C17202" s="1" t="s">
        <v>5646</v>
      </c>
      <c r="D17202" s="1" t="s">
        <v>5647</v>
      </c>
    </row>
    <row r="17203">
      <c r="A17203" s="1" t="s">
        <v>28460</v>
      </c>
      <c r="B17203" s="2" t="s">
        <v>26440</v>
      </c>
      <c r="C17203" s="1" t="s">
        <v>5646</v>
      </c>
      <c r="D17203" s="1" t="s">
        <v>5647</v>
      </c>
    </row>
    <row r="17204">
      <c r="A17204" s="1" t="s">
        <v>28461</v>
      </c>
      <c r="B17204" s="2" t="s">
        <v>26442</v>
      </c>
      <c r="C17204" s="1" t="s">
        <v>5646</v>
      </c>
      <c r="D17204" s="1" t="s">
        <v>5647</v>
      </c>
    </row>
    <row r="17205">
      <c r="A17205" s="1" t="s">
        <v>28462</v>
      </c>
      <c r="B17205" s="2" t="s">
        <v>26444</v>
      </c>
      <c r="C17205" s="1" t="s">
        <v>5646</v>
      </c>
      <c r="D17205" s="1" t="s">
        <v>5647</v>
      </c>
    </row>
    <row r="17206">
      <c r="A17206" s="1" t="s">
        <v>28463</v>
      </c>
      <c r="B17206" s="2" t="s">
        <v>26446</v>
      </c>
      <c r="C17206" s="1" t="s">
        <v>5646</v>
      </c>
      <c r="D17206" s="1" t="s">
        <v>5647</v>
      </c>
    </row>
    <row r="17207">
      <c r="A17207" s="1" t="s">
        <v>28464</v>
      </c>
      <c r="B17207" s="2" t="s">
        <v>26448</v>
      </c>
      <c r="C17207" s="1" t="s">
        <v>5646</v>
      </c>
      <c r="D17207" s="1" t="s">
        <v>5647</v>
      </c>
    </row>
    <row r="17208">
      <c r="A17208" s="1" t="s">
        <v>28465</v>
      </c>
      <c r="B17208" s="2" t="s">
        <v>26450</v>
      </c>
      <c r="C17208" s="1" t="s">
        <v>5646</v>
      </c>
      <c r="D17208" s="1" t="s">
        <v>5647</v>
      </c>
    </row>
    <row r="17209">
      <c r="A17209" s="1" t="s">
        <v>28466</v>
      </c>
      <c r="B17209" s="2" t="s">
        <v>26452</v>
      </c>
      <c r="C17209" s="1" t="s">
        <v>5646</v>
      </c>
      <c r="D17209" s="1" t="s">
        <v>5647</v>
      </c>
    </row>
    <row r="17210">
      <c r="A17210" s="1" t="s">
        <v>28467</v>
      </c>
      <c r="B17210" s="2" t="s">
        <v>26454</v>
      </c>
      <c r="C17210" s="1" t="s">
        <v>5646</v>
      </c>
      <c r="D17210" s="1" t="s">
        <v>5647</v>
      </c>
    </row>
    <row r="17211">
      <c r="A17211" s="1" t="s">
        <v>28468</v>
      </c>
      <c r="B17211" s="2" t="s">
        <v>26456</v>
      </c>
      <c r="C17211" s="1" t="s">
        <v>5646</v>
      </c>
      <c r="D17211" s="1" t="s">
        <v>5647</v>
      </c>
    </row>
    <row r="17212">
      <c r="A17212" s="1" t="s">
        <v>28469</v>
      </c>
      <c r="B17212" s="2" t="s">
        <v>26458</v>
      </c>
      <c r="C17212" s="1" t="s">
        <v>5646</v>
      </c>
      <c r="D17212" s="1" t="s">
        <v>5647</v>
      </c>
    </row>
    <row r="17213">
      <c r="A17213" s="1" t="s">
        <v>28470</v>
      </c>
      <c r="B17213" s="2" t="s">
        <v>26460</v>
      </c>
      <c r="C17213" s="1" t="s">
        <v>5646</v>
      </c>
      <c r="D17213" s="1" t="s">
        <v>5647</v>
      </c>
    </row>
    <row r="17214">
      <c r="A17214" s="1" t="s">
        <v>28471</v>
      </c>
      <c r="B17214" s="2" t="s">
        <v>26462</v>
      </c>
      <c r="C17214" s="1" t="s">
        <v>5646</v>
      </c>
      <c r="D17214" s="1" t="s">
        <v>5647</v>
      </c>
    </row>
    <row r="17215">
      <c r="A17215" s="1" t="s">
        <v>28472</v>
      </c>
      <c r="B17215" s="2" t="s">
        <v>26464</v>
      </c>
      <c r="C17215" s="1" t="s">
        <v>5646</v>
      </c>
      <c r="D17215" s="1" t="s">
        <v>5647</v>
      </c>
    </row>
    <row r="17216">
      <c r="A17216" s="1" t="s">
        <v>28473</v>
      </c>
      <c r="B17216" s="2" t="s">
        <v>26466</v>
      </c>
      <c r="C17216" s="1" t="s">
        <v>5646</v>
      </c>
      <c r="D17216" s="1" t="s">
        <v>5647</v>
      </c>
    </row>
    <row r="17217">
      <c r="A17217" s="1" t="s">
        <v>28474</v>
      </c>
      <c r="B17217" s="2" t="s">
        <v>26468</v>
      </c>
      <c r="C17217" s="1" t="s">
        <v>5646</v>
      </c>
      <c r="D17217" s="1" t="s">
        <v>5647</v>
      </c>
    </row>
    <row r="17218">
      <c r="A17218" s="1" t="s">
        <v>28475</v>
      </c>
      <c r="B17218" s="2" t="s">
        <v>26470</v>
      </c>
      <c r="C17218" s="1" t="s">
        <v>5646</v>
      </c>
      <c r="D17218" s="1" t="s">
        <v>5647</v>
      </c>
    </row>
    <row r="17219">
      <c r="A17219" s="1" t="s">
        <v>28476</v>
      </c>
      <c r="B17219" s="2" t="s">
        <v>26472</v>
      </c>
      <c r="C17219" s="1" t="s">
        <v>5646</v>
      </c>
      <c r="D17219" s="1" t="s">
        <v>5647</v>
      </c>
    </row>
    <row r="17220">
      <c r="A17220" s="1" t="s">
        <v>28477</v>
      </c>
      <c r="B17220" s="2" t="s">
        <v>26474</v>
      </c>
      <c r="C17220" s="1" t="s">
        <v>5646</v>
      </c>
      <c r="D17220" s="1" t="s">
        <v>5647</v>
      </c>
    </row>
    <row r="17221">
      <c r="A17221" s="1" t="s">
        <v>28478</v>
      </c>
      <c r="B17221" s="2" t="s">
        <v>26476</v>
      </c>
      <c r="C17221" s="1" t="s">
        <v>5646</v>
      </c>
      <c r="D17221" s="1" t="s">
        <v>5647</v>
      </c>
    </row>
    <row r="17222">
      <c r="A17222" s="1" t="s">
        <v>28479</v>
      </c>
      <c r="B17222" s="2" t="s">
        <v>26478</v>
      </c>
      <c r="C17222" s="1" t="s">
        <v>5646</v>
      </c>
      <c r="D17222" s="1" t="s">
        <v>5647</v>
      </c>
    </row>
    <row r="17223">
      <c r="A17223" s="1" t="s">
        <v>28480</v>
      </c>
      <c r="B17223" s="2" t="s">
        <v>26480</v>
      </c>
      <c r="C17223" s="1" t="s">
        <v>5646</v>
      </c>
      <c r="D17223" s="1" t="s">
        <v>5647</v>
      </c>
    </row>
    <row r="17224">
      <c r="A17224" s="1" t="s">
        <v>28481</v>
      </c>
      <c r="B17224" s="2" t="s">
        <v>26482</v>
      </c>
      <c r="C17224" s="1" t="s">
        <v>5646</v>
      </c>
      <c r="D17224" s="1" t="s">
        <v>5647</v>
      </c>
    </row>
    <row r="17225">
      <c r="A17225" s="1" t="s">
        <v>28482</v>
      </c>
      <c r="B17225" s="2" t="s">
        <v>26484</v>
      </c>
      <c r="C17225" s="1" t="s">
        <v>5646</v>
      </c>
      <c r="D17225" s="1" t="s">
        <v>5647</v>
      </c>
    </row>
    <row r="17226">
      <c r="A17226" s="1" t="s">
        <v>28483</v>
      </c>
      <c r="B17226" s="2" t="s">
        <v>26486</v>
      </c>
      <c r="C17226" s="1" t="s">
        <v>5646</v>
      </c>
      <c r="D17226" s="1" t="s">
        <v>5647</v>
      </c>
    </row>
    <row r="17227">
      <c r="A17227" s="1" t="s">
        <v>28484</v>
      </c>
      <c r="B17227" s="2" t="s">
        <v>26488</v>
      </c>
      <c r="C17227" s="1" t="s">
        <v>5646</v>
      </c>
      <c r="D17227" s="1" t="s">
        <v>5647</v>
      </c>
    </row>
    <row r="17228">
      <c r="A17228" s="1" t="s">
        <v>28485</v>
      </c>
      <c r="B17228" s="2" t="s">
        <v>26490</v>
      </c>
      <c r="C17228" s="1" t="s">
        <v>5646</v>
      </c>
      <c r="D17228" s="1" t="s">
        <v>5647</v>
      </c>
    </row>
    <row r="17229">
      <c r="A17229" s="1" t="s">
        <v>28486</v>
      </c>
      <c r="B17229" s="2" t="s">
        <v>26492</v>
      </c>
      <c r="C17229" s="1" t="s">
        <v>5646</v>
      </c>
      <c r="D17229" s="1" t="s">
        <v>5647</v>
      </c>
    </row>
    <row r="17230">
      <c r="A17230" s="1" t="s">
        <v>28487</v>
      </c>
      <c r="B17230" s="2" t="s">
        <v>26494</v>
      </c>
      <c r="C17230" s="1" t="s">
        <v>5646</v>
      </c>
      <c r="D17230" s="1" t="s">
        <v>5647</v>
      </c>
    </row>
    <row r="17231">
      <c r="A17231" s="1" t="s">
        <v>28488</v>
      </c>
      <c r="B17231" s="2" t="s">
        <v>26496</v>
      </c>
      <c r="C17231" s="1" t="s">
        <v>5646</v>
      </c>
      <c r="D17231" s="1" t="s">
        <v>5647</v>
      </c>
    </row>
    <row r="17232">
      <c r="A17232" s="1" t="s">
        <v>28489</v>
      </c>
      <c r="B17232" s="2" t="s">
        <v>26498</v>
      </c>
      <c r="C17232" s="1" t="s">
        <v>5646</v>
      </c>
      <c r="D17232" s="1" t="s">
        <v>5647</v>
      </c>
    </row>
    <row r="17233">
      <c r="A17233" s="1" t="s">
        <v>28490</v>
      </c>
      <c r="B17233" s="2" t="s">
        <v>26500</v>
      </c>
      <c r="C17233" s="1" t="s">
        <v>5646</v>
      </c>
      <c r="D17233" s="1" t="s">
        <v>5647</v>
      </c>
    </row>
    <row r="17234">
      <c r="A17234" s="1" t="s">
        <v>28491</v>
      </c>
      <c r="B17234" s="2" t="s">
        <v>26502</v>
      </c>
      <c r="C17234" s="1" t="s">
        <v>5646</v>
      </c>
      <c r="D17234" s="1" t="s">
        <v>5647</v>
      </c>
    </row>
    <row r="17235">
      <c r="A17235" s="1" t="s">
        <v>28492</v>
      </c>
      <c r="B17235" s="2" t="s">
        <v>26504</v>
      </c>
      <c r="C17235" s="1" t="s">
        <v>5646</v>
      </c>
      <c r="D17235" s="1" t="s">
        <v>5647</v>
      </c>
    </row>
    <row r="17236">
      <c r="A17236" s="1" t="s">
        <v>28493</v>
      </c>
      <c r="B17236" s="2" t="s">
        <v>26506</v>
      </c>
      <c r="C17236" s="1" t="s">
        <v>5646</v>
      </c>
      <c r="D17236" s="1" t="s">
        <v>5647</v>
      </c>
    </row>
    <row r="17237">
      <c r="A17237" s="1" t="s">
        <v>28494</v>
      </c>
      <c r="B17237" s="2" t="s">
        <v>26508</v>
      </c>
      <c r="C17237" s="1" t="s">
        <v>5646</v>
      </c>
      <c r="D17237" s="1" t="s">
        <v>5647</v>
      </c>
    </row>
    <row r="17238">
      <c r="A17238" s="1" t="s">
        <v>28495</v>
      </c>
      <c r="B17238" s="2" t="s">
        <v>26510</v>
      </c>
      <c r="C17238" s="1" t="s">
        <v>5646</v>
      </c>
      <c r="D17238" s="1" t="s">
        <v>5647</v>
      </c>
    </row>
    <row r="17239">
      <c r="A17239" s="1" t="s">
        <v>28496</v>
      </c>
      <c r="B17239" s="2" t="s">
        <v>26512</v>
      </c>
      <c r="C17239" s="1" t="s">
        <v>5646</v>
      </c>
      <c r="D17239" s="1" t="s">
        <v>5647</v>
      </c>
    </row>
    <row r="17240">
      <c r="A17240" s="1" t="s">
        <v>28497</v>
      </c>
      <c r="B17240" s="2" t="s">
        <v>26514</v>
      </c>
      <c r="C17240" s="1" t="s">
        <v>5646</v>
      </c>
      <c r="D17240" s="1" t="s">
        <v>5647</v>
      </c>
    </row>
    <row r="17241">
      <c r="A17241" s="1" t="s">
        <v>28498</v>
      </c>
      <c r="B17241" s="2" t="s">
        <v>26516</v>
      </c>
      <c r="C17241" s="1" t="s">
        <v>5646</v>
      </c>
      <c r="D17241" s="1" t="s">
        <v>5647</v>
      </c>
    </row>
    <row r="17242">
      <c r="A17242" s="1" t="s">
        <v>28499</v>
      </c>
      <c r="B17242" s="2" t="s">
        <v>26518</v>
      </c>
      <c r="C17242" s="1" t="s">
        <v>5646</v>
      </c>
      <c r="D17242" s="1" t="s">
        <v>5647</v>
      </c>
    </row>
    <row r="17243">
      <c r="A17243" s="1" t="s">
        <v>28500</v>
      </c>
      <c r="B17243" s="2" t="s">
        <v>26520</v>
      </c>
      <c r="C17243" s="1" t="s">
        <v>5646</v>
      </c>
      <c r="D17243" s="1" t="s">
        <v>5647</v>
      </c>
    </row>
    <row r="17244">
      <c r="A17244" s="1" t="s">
        <v>28501</v>
      </c>
      <c r="B17244" s="2" t="s">
        <v>26522</v>
      </c>
      <c r="C17244" s="1" t="s">
        <v>5646</v>
      </c>
      <c r="D17244" s="1" t="s">
        <v>5647</v>
      </c>
    </row>
    <row r="17245">
      <c r="A17245" s="1" t="s">
        <v>28502</v>
      </c>
      <c r="B17245" s="2" t="s">
        <v>26524</v>
      </c>
      <c r="C17245" s="1" t="s">
        <v>5646</v>
      </c>
      <c r="D17245" s="1" t="s">
        <v>5647</v>
      </c>
    </row>
    <row r="17246">
      <c r="A17246" s="1" t="s">
        <v>28503</v>
      </c>
      <c r="B17246" s="2" t="s">
        <v>26526</v>
      </c>
      <c r="C17246" s="1" t="s">
        <v>5646</v>
      </c>
      <c r="D17246" s="1" t="s">
        <v>5647</v>
      </c>
    </row>
    <row r="17247">
      <c r="A17247" s="1" t="s">
        <v>28504</v>
      </c>
      <c r="B17247" s="2" t="s">
        <v>26528</v>
      </c>
      <c r="C17247" s="1" t="s">
        <v>5646</v>
      </c>
      <c r="D17247" s="1" t="s">
        <v>5647</v>
      </c>
    </row>
    <row r="17248">
      <c r="A17248" s="1" t="s">
        <v>28505</v>
      </c>
      <c r="B17248" s="2" t="s">
        <v>26530</v>
      </c>
      <c r="C17248" s="1" t="s">
        <v>5646</v>
      </c>
      <c r="D17248" s="1" t="s">
        <v>5647</v>
      </c>
    </row>
    <row r="17249">
      <c r="A17249" s="1" t="s">
        <v>28506</v>
      </c>
      <c r="B17249" s="2" t="s">
        <v>26532</v>
      </c>
      <c r="C17249" s="1" t="s">
        <v>5646</v>
      </c>
      <c r="D17249" s="1" t="s">
        <v>5647</v>
      </c>
    </row>
    <row r="17250">
      <c r="A17250" s="1" t="s">
        <v>28507</v>
      </c>
      <c r="B17250" s="2" t="s">
        <v>26534</v>
      </c>
      <c r="C17250" s="1" t="s">
        <v>5646</v>
      </c>
      <c r="D17250" s="1" t="s">
        <v>5647</v>
      </c>
    </row>
    <row r="17251">
      <c r="A17251" s="1" t="s">
        <v>28508</v>
      </c>
      <c r="B17251" s="2" t="s">
        <v>26536</v>
      </c>
      <c r="C17251" s="1" t="s">
        <v>5646</v>
      </c>
      <c r="D17251" s="1" t="s">
        <v>5647</v>
      </c>
    </row>
    <row r="17252">
      <c r="A17252" s="1" t="s">
        <v>28509</v>
      </c>
      <c r="B17252" s="2" t="s">
        <v>26538</v>
      </c>
      <c r="C17252" s="1" t="s">
        <v>5646</v>
      </c>
      <c r="D17252" s="1" t="s">
        <v>5647</v>
      </c>
    </row>
    <row r="17253">
      <c r="A17253" s="1" t="s">
        <v>28510</v>
      </c>
      <c r="B17253" s="2" t="s">
        <v>26540</v>
      </c>
      <c r="C17253" s="1" t="s">
        <v>5646</v>
      </c>
      <c r="D17253" s="1" t="s">
        <v>5647</v>
      </c>
    </row>
    <row r="17254">
      <c r="A17254" s="1" t="s">
        <v>28511</v>
      </c>
      <c r="B17254" s="2" t="s">
        <v>26542</v>
      </c>
      <c r="C17254" s="1" t="s">
        <v>5646</v>
      </c>
      <c r="D17254" s="1" t="s">
        <v>5647</v>
      </c>
    </row>
    <row r="17255">
      <c r="A17255" s="1" t="s">
        <v>28512</v>
      </c>
      <c r="B17255" s="2" t="s">
        <v>26544</v>
      </c>
      <c r="C17255" s="1" t="s">
        <v>5646</v>
      </c>
      <c r="D17255" s="1" t="s">
        <v>5647</v>
      </c>
    </row>
    <row r="17256">
      <c r="A17256" s="1" t="s">
        <v>28513</v>
      </c>
      <c r="B17256" s="2" t="s">
        <v>26546</v>
      </c>
      <c r="C17256" s="1" t="s">
        <v>5646</v>
      </c>
      <c r="D17256" s="1" t="s">
        <v>5647</v>
      </c>
    </row>
    <row r="17257">
      <c r="A17257" s="1" t="s">
        <v>28514</v>
      </c>
      <c r="B17257" s="2" t="s">
        <v>26548</v>
      </c>
      <c r="C17257" s="1" t="s">
        <v>5646</v>
      </c>
      <c r="D17257" s="1" t="s">
        <v>5647</v>
      </c>
    </row>
    <row r="17258">
      <c r="A17258" s="1" t="s">
        <v>28515</v>
      </c>
      <c r="B17258" s="2" t="s">
        <v>26550</v>
      </c>
      <c r="C17258" s="1" t="s">
        <v>5646</v>
      </c>
      <c r="D17258" s="1" t="s">
        <v>5647</v>
      </c>
    </row>
    <row r="17259">
      <c r="A17259" s="1" t="s">
        <v>28516</v>
      </c>
      <c r="B17259" s="2" t="s">
        <v>26552</v>
      </c>
      <c r="C17259" s="1" t="s">
        <v>5646</v>
      </c>
      <c r="D17259" s="1" t="s">
        <v>5647</v>
      </c>
    </row>
    <row r="17260">
      <c r="A17260" s="1" t="s">
        <v>28517</v>
      </c>
      <c r="B17260" s="2" t="s">
        <v>26554</v>
      </c>
      <c r="C17260" s="1" t="s">
        <v>5646</v>
      </c>
      <c r="D17260" s="1" t="s">
        <v>5647</v>
      </c>
    </row>
    <row r="17261">
      <c r="A17261" s="1" t="s">
        <v>28518</v>
      </c>
      <c r="B17261" s="2" t="s">
        <v>26556</v>
      </c>
      <c r="C17261" s="1" t="s">
        <v>5646</v>
      </c>
      <c r="D17261" s="1" t="s">
        <v>5647</v>
      </c>
    </row>
    <row r="17262">
      <c r="A17262" s="1" t="s">
        <v>28519</v>
      </c>
      <c r="B17262" s="2" t="s">
        <v>26558</v>
      </c>
      <c r="C17262" s="1" t="s">
        <v>5646</v>
      </c>
      <c r="D17262" s="1" t="s">
        <v>5647</v>
      </c>
    </row>
    <row r="17263">
      <c r="A17263" s="1" t="s">
        <v>28520</v>
      </c>
      <c r="B17263" s="2" t="s">
        <v>26560</v>
      </c>
      <c r="C17263" s="1" t="s">
        <v>5646</v>
      </c>
      <c r="D17263" s="1" t="s">
        <v>5647</v>
      </c>
    </row>
    <row r="17264">
      <c r="A17264" s="1" t="s">
        <v>28521</v>
      </c>
      <c r="B17264" s="2" t="s">
        <v>26562</v>
      </c>
      <c r="C17264" s="1" t="s">
        <v>5646</v>
      </c>
      <c r="D17264" s="1" t="s">
        <v>5647</v>
      </c>
    </row>
    <row r="17265">
      <c r="A17265" s="1" t="s">
        <v>28522</v>
      </c>
      <c r="B17265" s="2" t="s">
        <v>26564</v>
      </c>
      <c r="C17265" s="1" t="s">
        <v>5646</v>
      </c>
      <c r="D17265" s="1" t="s">
        <v>5647</v>
      </c>
    </row>
    <row r="17266">
      <c r="A17266" s="1" t="s">
        <v>28523</v>
      </c>
      <c r="B17266" s="2" t="s">
        <v>26566</v>
      </c>
      <c r="C17266" s="1" t="s">
        <v>5646</v>
      </c>
      <c r="D17266" s="1" t="s">
        <v>5647</v>
      </c>
    </row>
    <row r="17267">
      <c r="A17267" s="1" t="s">
        <v>28524</v>
      </c>
      <c r="B17267" s="2" t="s">
        <v>26568</v>
      </c>
      <c r="C17267" s="1" t="s">
        <v>5646</v>
      </c>
      <c r="D17267" s="1" t="s">
        <v>5647</v>
      </c>
    </row>
    <row r="17268">
      <c r="A17268" s="1" t="s">
        <v>28525</v>
      </c>
      <c r="B17268" s="2" t="s">
        <v>26570</v>
      </c>
      <c r="C17268" s="1" t="s">
        <v>5646</v>
      </c>
      <c r="D17268" s="1" t="s">
        <v>5647</v>
      </c>
    </row>
    <row r="17269">
      <c r="A17269" s="1" t="s">
        <v>28526</v>
      </c>
      <c r="B17269" s="2" t="s">
        <v>26572</v>
      </c>
      <c r="C17269" s="1" t="s">
        <v>5646</v>
      </c>
      <c r="D17269" s="1" t="s">
        <v>5647</v>
      </c>
    </row>
    <row r="17270">
      <c r="A17270" s="1" t="s">
        <v>28527</v>
      </c>
      <c r="B17270" s="2" t="s">
        <v>26574</v>
      </c>
      <c r="C17270" s="1" t="s">
        <v>5646</v>
      </c>
      <c r="D17270" s="1" t="s">
        <v>5647</v>
      </c>
    </row>
    <row r="17271">
      <c r="A17271" s="1" t="s">
        <v>28528</v>
      </c>
      <c r="B17271" s="2" t="s">
        <v>26576</v>
      </c>
      <c r="C17271" s="1" t="s">
        <v>5646</v>
      </c>
      <c r="D17271" s="1" t="s">
        <v>5647</v>
      </c>
    </row>
    <row r="17272">
      <c r="A17272" s="1" t="s">
        <v>28529</v>
      </c>
      <c r="B17272" s="2" t="s">
        <v>26578</v>
      </c>
      <c r="C17272" s="1" t="s">
        <v>5646</v>
      </c>
      <c r="D17272" s="1" t="s">
        <v>5647</v>
      </c>
    </row>
    <row r="17273">
      <c r="A17273" s="1" t="s">
        <v>28530</v>
      </c>
      <c r="B17273" s="2" t="s">
        <v>26580</v>
      </c>
      <c r="C17273" s="1" t="s">
        <v>5646</v>
      </c>
      <c r="D17273" s="1" t="s">
        <v>5647</v>
      </c>
    </row>
    <row r="17274">
      <c r="A17274" s="1" t="s">
        <v>28531</v>
      </c>
      <c r="B17274" s="2" t="s">
        <v>26582</v>
      </c>
      <c r="C17274" s="1" t="s">
        <v>5646</v>
      </c>
      <c r="D17274" s="1" t="s">
        <v>5647</v>
      </c>
    </row>
    <row r="17275">
      <c r="A17275" s="1" t="s">
        <v>28532</v>
      </c>
      <c r="B17275" s="2" t="s">
        <v>26584</v>
      </c>
      <c r="C17275" s="1" t="s">
        <v>5646</v>
      </c>
      <c r="D17275" s="1" t="s">
        <v>5647</v>
      </c>
    </row>
    <row r="17276">
      <c r="A17276" s="1" t="s">
        <v>28533</v>
      </c>
      <c r="B17276" s="2" t="s">
        <v>26586</v>
      </c>
      <c r="C17276" s="1" t="s">
        <v>5646</v>
      </c>
      <c r="D17276" s="1" t="s">
        <v>5647</v>
      </c>
    </row>
    <row r="17277">
      <c r="A17277" s="1" t="s">
        <v>28534</v>
      </c>
      <c r="B17277" s="2" t="s">
        <v>26588</v>
      </c>
      <c r="C17277" s="1" t="s">
        <v>5646</v>
      </c>
      <c r="D17277" s="1" t="s">
        <v>5647</v>
      </c>
    </row>
    <row r="17278">
      <c r="A17278" s="1" t="s">
        <v>28535</v>
      </c>
      <c r="B17278" s="2" t="s">
        <v>26590</v>
      </c>
      <c r="C17278" s="1" t="s">
        <v>5646</v>
      </c>
      <c r="D17278" s="1" t="s">
        <v>5647</v>
      </c>
    </row>
    <row r="17279">
      <c r="A17279" s="1" t="s">
        <v>28536</v>
      </c>
      <c r="B17279" s="2" t="s">
        <v>26592</v>
      </c>
      <c r="C17279" s="1" t="s">
        <v>5646</v>
      </c>
      <c r="D17279" s="1" t="s">
        <v>5647</v>
      </c>
    </row>
    <row r="17280">
      <c r="A17280" s="1" t="s">
        <v>28537</v>
      </c>
      <c r="B17280" s="2" t="s">
        <v>26594</v>
      </c>
      <c r="C17280" s="1" t="s">
        <v>5646</v>
      </c>
      <c r="D17280" s="1" t="s">
        <v>5647</v>
      </c>
    </row>
    <row r="17281">
      <c r="A17281" s="1" t="s">
        <v>28538</v>
      </c>
      <c r="B17281" s="2" t="s">
        <v>26596</v>
      </c>
      <c r="C17281" s="1" t="s">
        <v>5646</v>
      </c>
      <c r="D17281" s="1" t="s">
        <v>5647</v>
      </c>
    </row>
    <row r="17282">
      <c r="A17282" s="1" t="s">
        <v>28539</v>
      </c>
      <c r="B17282" s="2" t="s">
        <v>26598</v>
      </c>
      <c r="C17282" s="1" t="s">
        <v>5646</v>
      </c>
      <c r="D17282" s="1" t="s">
        <v>5647</v>
      </c>
    </row>
    <row r="17283">
      <c r="A17283" s="1" t="s">
        <v>28540</v>
      </c>
      <c r="B17283" s="2" t="s">
        <v>26600</v>
      </c>
      <c r="C17283" s="1" t="s">
        <v>5646</v>
      </c>
      <c r="D17283" s="1" t="s">
        <v>5647</v>
      </c>
    </row>
    <row r="17284">
      <c r="A17284" s="1" t="s">
        <v>28541</v>
      </c>
      <c r="B17284" s="2" t="s">
        <v>26602</v>
      </c>
      <c r="C17284" s="1" t="s">
        <v>5646</v>
      </c>
      <c r="D17284" s="1" t="s">
        <v>5647</v>
      </c>
    </row>
    <row r="17285">
      <c r="A17285" s="1" t="s">
        <v>28542</v>
      </c>
      <c r="B17285" s="2" t="s">
        <v>26604</v>
      </c>
      <c r="C17285" s="1" t="s">
        <v>5646</v>
      </c>
      <c r="D17285" s="1" t="s">
        <v>5647</v>
      </c>
    </row>
    <row r="17286">
      <c r="A17286" s="1" t="s">
        <v>28543</v>
      </c>
      <c r="B17286" s="2" t="s">
        <v>26606</v>
      </c>
      <c r="C17286" s="1" t="s">
        <v>5646</v>
      </c>
      <c r="D17286" s="1" t="s">
        <v>5647</v>
      </c>
    </row>
    <row r="17287">
      <c r="A17287" s="1" t="s">
        <v>28544</v>
      </c>
      <c r="B17287" s="2" t="s">
        <v>26608</v>
      </c>
      <c r="C17287" s="1" t="s">
        <v>5646</v>
      </c>
      <c r="D17287" s="1" t="s">
        <v>5647</v>
      </c>
    </row>
    <row r="17288">
      <c r="A17288" s="1" t="s">
        <v>28545</v>
      </c>
      <c r="B17288" s="2" t="s">
        <v>26610</v>
      </c>
      <c r="C17288" s="1" t="s">
        <v>5646</v>
      </c>
      <c r="D17288" s="1" t="s">
        <v>5647</v>
      </c>
    </row>
    <row r="17289">
      <c r="A17289" s="1" t="s">
        <v>28546</v>
      </c>
      <c r="B17289" s="2" t="s">
        <v>26612</v>
      </c>
      <c r="C17289" s="1" t="s">
        <v>5646</v>
      </c>
      <c r="D17289" s="1" t="s">
        <v>5647</v>
      </c>
    </row>
    <row r="17290">
      <c r="A17290" s="1" t="s">
        <v>28547</v>
      </c>
      <c r="B17290" s="2" t="s">
        <v>26614</v>
      </c>
      <c r="C17290" s="1" t="s">
        <v>5646</v>
      </c>
      <c r="D17290" s="1" t="s">
        <v>5647</v>
      </c>
    </row>
    <row r="17291">
      <c r="A17291" s="1" t="s">
        <v>28548</v>
      </c>
      <c r="B17291" s="2" t="s">
        <v>26616</v>
      </c>
      <c r="C17291" s="1" t="s">
        <v>5646</v>
      </c>
      <c r="D17291" s="1" t="s">
        <v>5647</v>
      </c>
    </row>
    <row r="17292">
      <c r="A17292" s="1" t="s">
        <v>28549</v>
      </c>
      <c r="B17292" s="2" t="s">
        <v>26618</v>
      </c>
      <c r="C17292" s="1" t="s">
        <v>5646</v>
      </c>
      <c r="D17292" s="1" t="s">
        <v>5647</v>
      </c>
    </row>
    <row r="17293">
      <c r="A17293" s="1" t="s">
        <v>28550</v>
      </c>
      <c r="B17293" s="2" t="s">
        <v>26620</v>
      </c>
      <c r="C17293" s="1" t="s">
        <v>5646</v>
      </c>
      <c r="D17293" s="1" t="s">
        <v>5647</v>
      </c>
    </row>
    <row r="17294">
      <c r="A17294" s="1" t="s">
        <v>28551</v>
      </c>
      <c r="B17294" s="2" t="s">
        <v>26622</v>
      </c>
      <c r="C17294" s="1" t="s">
        <v>5646</v>
      </c>
      <c r="D17294" s="1" t="s">
        <v>5647</v>
      </c>
    </row>
    <row r="17295">
      <c r="A17295" s="1" t="s">
        <v>28552</v>
      </c>
      <c r="B17295" s="2" t="s">
        <v>26624</v>
      </c>
      <c r="C17295" s="1" t="s">
        <v>5646</v>
      </c>
      <c r="D17295" s="1" t="s">
        <v>5647</v>
      </c>
    </row>
    <row r="17296">
      <c r="A17296" s="1" t="s">
        <v>28553</v>
      </c>
      <c r="B17296" s="2" t="s">
        <v>26626</v>
      </c>
      <c r="C17296" s="1" t="s">
        <v>5646</v>
      </c>
      <c r="D17296" s="1" t="s">
        <v>5647</v>
      </c>
    </row>
    <row r="17297">
      <c r="A17297" s="1" t="s">
        <v>28554</v>
      </c>
      <c r="B17297" s="2" t="s">
        <v>26628</v>
      </c>
      <c r="C17297" s="1" t="s">
        <v>5646</v>
      </c>
      <c r="D17297" s="1" t="s">
        <v>5647</v>
      </c>
    </row>
    <row r="17298">
      <c r="A17298" s="1" t="s">
        <v>28555</v>
      </c>
      <c r="B17298" s="2" t="s">
        <v>26630</v>
      </c>
      <c r="C17298" s="1" t="s">
        <v>5646</v>
      </c>
      <c r="D17298" s="1" t="s">
        <v>5647</v>
      </c>
    </row>
    <row r="17299">
      <c r="A17299" s="1" t="s">
        <v>28556</v>
      </c>
      <c r="B17299" s="2" t="s">
        <v>26632</v>
      </c>
      <c r="C17299" s="1" t="s">
        <v>5646</v>
      </c>
      <c r="D17299" s="1" t="s">
        <v>5647</v>
      </c>
    </row>
    <row r="17300">
      <c r="A17300" s="1" t="s">
        <v>28557</v>
      </c>
      <c r="B17300" s="2" t="s">
        <v>26634</v>
      </c>
      <c r="C17300" s="1" t="s">
        <v>5646</v>
      </c>
      <c r="D17300" s="1" t="s">
        <v>5647</v>
      </c>
    </row>
    <row r="17301">
      <c r="A17301" s="1" t="s">
        <v>28558</v>
      </c>
      <c r="B17301" s="2" t="s">
        <v>26636</v>
      </c>
      <c r="C17301" s="1" t="s">
        <v>5646</v>
      </c>
      <c r="D17301" s="1" t="s">
        <v>5647</v>
      </c>
    </row>
    <row r="17302">
      <c r="A17302" s="1" t="s">
        <v>28559</v>
      </c>
      <c r="B17302" s="2" t="s">
        <v>26638</v>
      </c>
      <c r="C17302" s="1" t="s">
        <v>5646</v>
      </c>
      <c r="D17302" s="1" t="s">
        <v>5647</v>
      </c>
    </row>
    <row r="17303">
      <c r="A17303" s="1" t="s">
        <v>28560</v>
      </c>
      <c r="B17303" s="2" t="s">
        <v>26640</v>
      </c>
      <c r="C17303" s="1" t="s">
        <v>5646</v>
      </c>
      <c r="D17303" s="1" t="s">
        <v>5647</v>
      </c>
    </row>
    <row r="17304">
      <c r="A17304" s="1" t="s">
        <v>28561</v>
      </c>
      <c r="B17304" s="2" t="s">
        <v>26642</v>
      </c>
      <c r="C17304" s="1" t="s">
        <v>5646</v>
      </c>
      <c r="D17304" s="1" t="s">
        <v>5647</v>
      </c>
    </row>
    <row r="17305">
      <c r="A17305" s="1" t="s">
        <v>28562</v>
      </c>
      <c r="B17305" s="2" t="s">
        <v>26644</v>
      </c>
      <c r="C17305" s="1" t="s">
        <v>5646</v>
      </c>
      <c r="D17305" s="1" t="s">
        <v>5647</v>
      </c>
    </row>
    <row r="17306">
      <c r="A17306" s="1" t="s">
        <v>28563</v>
      </c>
      <c r="B17306" s="2" t="s">
        <v>26646</v>
      </c>
      <c r="C17306" s="1" t="s">
        <v>5646</v>
      </c>
      <c r="D17306" s="1" t="s">
        <v>5647</v>
      </c>
    </row>
    <row r="17307">
      <c r="A17307" s="1" t="s">
        <v>28564</v>
      </c>
      <c r="B17307" s="2" t="s">
        <v>26648</v>
      </c>
      <c r="C17307" s="1" t="s">
        <v>5646</v>
      </c>
      <c r="D17307" s="1" t="s">
        <v>5647</v>
      </c>
    </row>
    <row r="17308">
      <c r="A17308" s="1" t="s">
        <v>28565</v>
      </c>
      <c r="B17308" s="2" t="s">
        <v>26650</v>
      </c>
      <c r="C17308" s="1" t="s">
        <v>5646</v>
      </c>
      <c r="D17308" s="1" t="s">
        <v>5647</v>
      </c>
    </row>
    <row r="17309">
      <c r="A17309" s="1" t="s">
        <v>28566</v>
      </c>
      <c r="B17309" s="2" t="s">
        <v>26652</v>
      </c>
      <c r="C17309" s="1" t="s">
        <v>5646</v>
      </c>
      <c r="D17309" s="1" t="s">
        <v>5647</v>
      </c>
    </row>
    <row r="17310">
      <c r="A17310" s="1" t="s">
        <v>28567</v>
      </c>
      <c r="B17310" s="2" t="s">
        <v>26654</v>
      </c>
      <c r="C17310" s="1" t="s">
        <v>5646</v>
      </c>
      <c r="D17310" s="1" t="s">
        <v>5647</v>
      </c>
    </row>
    <row r="17311">
      <c r="A17311" s="1" t="s">
        <v>28568</v>
      </c>
      <c r="B17311" s="2" t="s">
        <v>26656</v>
      </c>
      <c r="C17311" s="1" t="s">
        <v>5646</v>
      </c>
      <c r="D17311" s="1" t="s">
        <v>5647</v>
      </c>
    </row>
    <row r="17312">
      <c r="A17312" s="1" t="s">
        <v>28569</v>
      </c>
      <c r="B17312" s="2" t="s">
        <v>26658</v>
      </c>
      <c r="C17312" s="1" t="s">
        <v>5646</v>
      </c>
      <c r="D17312" s="1" t="s">
        <v>5647</v>
      </c>
    </row>
    <row r="17313">
      <c r="A17313" s="1" t="s">
        <v>28570</v>
      </c>
      <c r="B17313" s="2" t="s">
        <v>26660</v>
      </c>
      <c r="C17313" s="1" t="s">
        <v>5646</v>
      </c>
      <c r="D17313" s="1" t="s">
        <v>5647</v>
      </c>
    </row>
    <row r="17314">
      <c r="A17314" s="1" t="s">
        <v>28571</v>
      </c>
      <c r="B17314" s="2" t="s">
        <v>26662</v>
      </c>
      <c r="C17314" s="1" t="s">
        <v>5646</v>
      </c>
      <c r="D17314" s="1" t="s">
        <v>5647</v>
      </c>
    </row>
    <row r="17315">
      <c r="A17315" s="1" t="s">
        <v>28572</v>
      </c>
      <c r="B17315" s="2" t="s">
        <v>26664</v>
      </c>
      <c r="C17315" s="1" t="s">
        <v>5646</v>
      </c>
      <c r="D17315" s="1" t="s">
        <v>5647</v>
      </c>
    </row>
    <row r="17316">
      <c r="A17316" s="1" t="s">
        <v>28573</v>
      </c>
      <c r="B17316" s="2" t="s">
        <v>26666</v>
      </c>
      <c r="C17316" s="1" t="s">
        <v>5646</v>
      </c>
      <c r="D17316" s="1" t="s">
        <v>5647</v>
      </c>
    </row>
    <row r="17317">
      <c r="A17317" s="1" t="s">
        <v>28574</v>
      </c>
      <c r="B17317" s="2" t="s">
        <v>26668</v>
      </c>
      <c r="C17317" s="1" t="s">
        <v>5646</v>
      </c>
      <c r="D17317" s="1" t="s">
        <v>5647</v>
      </c>
    </row>
    <row r="17318">
      <c r="A17318" s="1" t="s">
        <v>28575</v>
      </c>
      <c r="B17318" s="2" t="s">
        <v>26670</v>
      </c>
      <c r="C17318" s="1" t="s">
        <v>5646</v>
      </c>
      <c r="D17318" s="1" t="s">
        <v>5647</v>
      </c>
    </row>
    <row r="17319">
      <c r="A17319" s="1" t="s">
        <v>28576</v>
      </c>
      <c r="B17319" s="2" t="s">
        <v>26672</v>
      </c>
      <c r="C17319" s="1" t="s">
        <v>5646</v>
      </c>
      <c r="D17319" s="1" t="s">
        <v>5647</v>
      </c>
    </row>
    <row r="17320">
      <c r="A17320" s="1" t="s">
        <v>28577</v>
      </c>
      <c r="B17320" s="2" t="s">
        <v>26674</v>
      </c>
      <c r="C17320" s="1" t="s">
        <v>5646</v>
      </c>
      <c r="D17320" s="1" t="s">
        <v>5647</v>
      </c>
    </row>
    <row r="17321">
      <c r="A17321" s="1" t="s">
        <v>28578</v>
      </c>
      <c r="B17321" s="2" t="s">
        <v>26676</v>
      </c>
      <c r="C17321" s="1" t="s">
        <v>5646</v>
      </c>
      <c r="D17321" s="1" t="s">
        <v>5647</v>
      </c>
    </row>
    <row r="17322">
      <c r="A17322" s="1" t="s">
        <v>28579</v>
      </c>
      <c r="B17322" s="2" t="s">
        <v>26678</v>
      </c>
      <c r="C17322" s="1" t="s">
        <v>5646</v>
      </c>
      <c r="D17322" s="1" t="s">
        <v>5647</v>
      </c>
    </row>
    <row r="17323">
      <c r="A17323" s="1" t="s">
        <v>28580</v>
      </c>
      <c r="B17323" s="2" t="s">
        <v>26680</v>
      </c>
      <c r="C17323" s="1" t="s">
        <v>5646</v>
      </c>
      <c r="D17323" s="1" t="s">
        <v>5647</v>
      </c>
    </row>
    <row r="17324">
      <c r="A17324" s="1" t="s">
        <v>28581</v>
      </c>
      <c r="B17324" s="2" t="s">
        <v>26682</v>
      </c>
      <c r="C17324" s="1" t="s">
        <v>5646</v>
      </c>
      <c r="D17324" s="1" t="s">
        <v>5647</v>
      </c>
    </row>
    <row r="17325">
      <c r="A17325" s="1" t="s">
        <v>28582</v>
      </c>
      <c r="B17325" s="2" t="s">
        <v>26684</v>
      </c>
      <c r="C17325" s="1" t="s">
        <v>5646</v>
      </c>
      <c r="D17325" s="1" t="s">
        <v>5647</v>
      </c>
    </row>
    <row r="17326">
      <c r="A17326" s="1" t="s">
        <v>28583</v>
      </c>
      <c r="B17326" s="2" t="s">
        <v>26686</v>
      </c>
      <c r="C17326" s="1" t="s">
        <v>5646</v>
      </c>
      <c r="D17326" s="1" t="s">
        <v>5647</v>
      </c>
    </row>
    <row r="17327">
      <c r="A17327" s="1" t="s">
        <v>28584</v>
      </c>
      <c r="B17327" s="2" t="s">
        <v>26688</v>
      </c>
      <c r="C17327" s="1" t="s">
        <v>5646</v>
      </c>
      <c r="D17327" s="1" t="s">
        <v>5647</v>
      </c>
    </row>
    <row r="17328">
      <c r="A17328" s="1" t="s">
        <v>28585</v>
      </c>
      <c r="B17328" s="2" t="s">
        <v>26690</v>
      </c>
      <c r="C17328" s="1" t="s">
        <v>5646</v>
      </c>
      <c r="D17328" s="1" t="s">
        <v>5647</v>
      </c>
    </row>
    <row r="17329">
      <c r="A17329" s="1" t="s">
        <v>28586</v>
      </c>
      <c r="B17329" s="2" t="s">
        <v>26692</v>
      </c>
      <c r="C17329" s="1" t="s">
        <v>5646</v>
      </c>
      <c r="D17329" s="1" t="s">
        <v>5647</v>
      </c>
    </row>
    <row r="17330">
      <c r="A17330" s="1" t="s">
        <v>28587</v>
      </c>
      <c r="B17330" s="2" t="s">
        <v>26694</v>
      </c>
      <c r="C17330" s="1" t="s">
        <v>5646</v>
      </c>
      <c r="D17330" s="1" t="s">
        <v>5647</v>
      </c>
    </row>
    <row r="17331">
      <c r="A17331" s="1" t="s">
        <v>28588</v>
      </c>
      <c r="B17331" s="2" t="s">
        <v>26696</v>
      </c>
      <c r="C17331" s="1" t="s">
        <v>5646</v>
      </c>
      <c r="D17331" s="1" t="s">
        <v>5647</v>
      </c>
    </row>
    <row r="17332">
      <c r="A17332" s="1" t="s">
        <v>28589</v>
      </c>
      <c r="B17332" s="2" t="s">
        <v>26698</v>
      </c>
      <c r="C17332" s="1" t="s">
        <v>5646</v>
      </c>
      <c r="D17332" s="1" t="s">
        <v>5647</v>
      </c>
    </row>
    <row r="17333">
      <c r="A17333" s="1" t="s">
        <v>28590</v>
      </c>
      <c r="B17333" s="2" t="s">
        <v>26700</v>
      </c>
      <c r="C17333" s="1" t="s">
        <v>5646</v>
      </c>
      <c r="D17333" s="1" t="s">
        <v>5647</v>
      </c>
    </row>
    <row r="17334">
      <c r="A17334" s="1" t="s">
        <v>28591</v>
      </c>
      <c r="B17334" s="2" t="s">
        <v>26702</v>
      </c>
      <c r="C17334" s="1" t="s">
        <v>5646</v>
      </c>
      <c r="D17334" s="1" t="s">
        <v>5647</v>
      </c>
    </row>
    <row r="17335">
      <c r="A17335" s="1" t="s">
        <v>28592</v>
      </c>
      <c r="B17335" s="2" t="s">
        <v>26704</v>
      </c>
      <c r="C17335" s="1" t="s">
        <v>5646</v>
      </c>
      <c r="D17335" s="1" t="s">
        <v>5647</v>
      </c>
    </row>
    <row r="17336">
      <c r="A17336" s="1" t="s">
        <v>28593</v>
      </c>
      <c r="B17336" s="2" t="s">
        <v>26706</v>
      </c>
      <c r="C17336" s="1" t="s">
        <v>5646</v>
      </c>
      <c r="D17336" s="1" t="s">
        <v>5647</v>
      </c>
    </row>
    <row r="17337">
      <c r="A17337" s="1" t="s">
        <v>28594</v>
      </c>
      <c r="B17337" s="2" t="s">
        <v>26708</v>
      </c>
      <c r="C17337" s="1" t="s">
        <v>5646</v>
      </c>
      <c r="D17337" s="1" t="s">
        <v>5647</v>
      </c>
    </row>
    <row r="17338">
      <c r="A17338" s="1" t="s">
        <v>28595</v>
      </c>
      <c r="B17338" s="2" t="s">
        <v>26710</v>
      </c>
      <c r="C17338" s="1" t="s">
        <v>5646</v>
      </c>
      <c r="D17338" s="1" t="s">
        <v>5647</v>
      </c>
    </row>
    <row r="17339">
      <c r="A17339" s="1" t="s">
        <v>28596</v>
      </c>
      <c r="B17339" s="2" t="s">
        <v>26712</v>
      </c>
      <c r="C17339" s="1" t="s">
        <v>5646</v>
      </c>
      <c r="D17339" s="1" t="s">
        <v>5647</v>
      </c>
    </row>
    <row r="17340">
      <c r="A17340" s="1" t="s">
        <v>28597</v>
      </c>
      <c r="B17340" s="2" t="s">
        <v>26714</v>
      </c>
      <c r="C17340" s="1" t="s">
        <v>5646</v>
      </c>
      <c r="D17340" s="1" t="s">
        <v>5647</v>
      </c>
    </row>
    <row r="17341">
      <c r="A17341" s="1" t="s">
        <v>28598</v>
      </c>
      <c r="B17341" s="2" t="s">
        <v>26716</v>
      </c>
      <c r="C17341" s="1" t="s">
        <v>5646</v>
      </c>
      <c r="D17341" s="1" t="s">
        <v>5647</v>
      </c>
    </row>
    <row r="17342">
      <c r="A17342" s="1" t="s">
        <v>28599</v>
      </c>
      <c r="B17342" s="2" t="s">
        <v>26718</v>
      </c>
      <c r="C17342" s="1" t="s">
        <v>5646</v>
      </c>
      <c r="D17342" s="1" t="s">
        <v>5647</v>
      </c>
    </row>
    <row r="17343">
      <c r="A17343" s="1" t="s">
        <v>28600</v>
      </c>
      <c r="B17343" s="2" t="s">
        <v>26720</v>
      </c>
      <c r="C17343" s="1" t="s">
        <v>5646</v>
      </c>
      <c r="D17343" s="1" t="s">
        <v>5647</v>
      </c>
    </row>
    <row r="17344">
      <c r="A17344" s="1" t="s">
        <v>28601</v>
      </c>
      <c r="B17344" s="2" t="s">
        <v>26722</v>
      </c>
      <c r="C17344" s="1" t="s">
        <v>5646</v>
      </c>
      <c r="D17344" s="1" t="s">
        <v>5647</v>
      </c>
    </row>
    <row r="17345">
      <c r="A17345" s="1" t="s">
        <v>28602</v>
      </c>
      <c r="B17345" s="2" t="s">
        <v>26724</v>
      </c>
      <c r="C17345" s="1" t="s">
        <v>5646</v>
      </c>
      <c r="D17345" s="1" t="s">
        <v>5647</v>
      </c>
    </row>
    <row r="17346">
      <c r="A17346" s="1" t="s">
        <v>28603</v>
      </c>
      <c r="B17346" s="2" t="s">
        <v>26726</v>
      </c>
      <c r="C17346" s="1" t="s">
        <v>5646</v>
      </c>
      <c r="D17346" s="1" t="s">
        <v>5647</v>
      </c>
    </row>
    <row r="17347">
      <c r="A17347" s="1" t="s">
        <v>28604</v>
      </c>
      <c r="B17347" s="2" t="s">
        <v>26728</v>
      </c>
      <c r="C17347" s="1" t="s">
        <v>5646</v>
      </c>
      <c r="D17347" s="1" t="s">
        <v>5647</v>
      </c>
    </row>
    <row r="17348">
      <c r="A17348" s="1" t="s">
        <v>28605</v>
      </c>
      <c r="B17348" s="2" t="s">
        <v>26730</v>
      </c>
      <c r="C17348" s="1" t="s">
        <v>5646</v>
      </c>
      <c r="D17348" s="1" t="s">
        <v>5647</v>
      </c>
    </row>
    <row r="17349">
      <c r="A17349" s="1" t="s">
        <v>28606</v>
      </c>
      <c r="B17349" s="2" t="s">
        <v>26732</v>
      </c>
      <c r="C17349" s="1" t="s">
        <v>5646</v>
      </c>
      <c r="D17349" s="1" t="s">
        <v>5647</v>
      </c>
    </row>
    <row r="17350">
      <c r="A17350" s="1" t="s">
        <v>28607</v>
      </c>
      <c r="B17350" s="2" t="s">
        <v>26734</v>
      </c>
      <c r="C17350" s="1" t="s">
        <v>5646</v>
      </c>
      <c r="D17350" s="1" t="s">
        <v>5647</v>
      </c>
    </row>
    <row r="17351">
      <c r="A17351" s="1" t="s">
        <v>28608</v>
      </c>
      <c r="B17351" s="2" t="s">
        <v>26736</v>
      </c>
      <c r="C17351" s="1" t="s">
        <v>5646</v>
      </c>
      <c r="D17351" s="1" t="s">
        <v>5647</v>
      </c>
    </row>
    <row r="17352">
      <c r="A17352" s="1" t="s">
        <v>28609</v>
      </c>
      <c r="B17352" s="2" t="s">
        <v>26738</v>
      </c>
      <c r="C17352" s="1" t="s">
        <v>5646</v>
      </c>
      <c r="D17352" s="1" t="s">
        <v>5647</v>
      </c>
    </row>
    <row r="17353">
      <c r="A17353" s="1" t="s">
        <v>28610</v>
      </c>
      <c r="B17353" s="2" t="s">
        <v>26740</v>
      </c>
      <c r="C17353" s="1" t="s">
        <v>5646</v>
      </c>
      <c r="D17353" s="1" t="s">
        <v>5647</v>
      </c>
    </row>
    <row r="17354">
      <c r="A17354" s="1" t="s">
        <v>28611</v>
      </c>
      <c r="B17354" s="2" t="s">
        <v>26742</v>
      </c>
      <c r="C17354" s="1" t="s">
        <v>5646</v>
      </c>
      <c r="D17354" s="1" t="s">
        <v>5647</v>
      </c>
    </row>
    <row r="17355">
      <c r="A17355" s="1" t="s">
        <v>28612</v>
      </c>
      <c r="B17355" s="2" t="s">
        <v>26744</v>
      </c>
      <c r="C17355" s="1" t="s">
        <v>5646</v>
      </c>
      <c r="D17355" s="1" t="s">
        <v>5647</v>
      </c>
    </row>
    <row r="17356">
      <c r="A17356" s="1" t="s">
        <v>28613</v>
      </c>
      <c r="B17356" s="2" t="s">
        <v>26746</v>
      </c>
      <c r="C17356" s="1" t="s">
        <v>5646</v>
      </c>
      <c r="D17356" s="1" t="s">
        <v>5647</v>
      </c>
    </row>
    <row r="17357">
      <c r="A17357" s="1" t="s">
        <v>28614</v>
      </c>
      <c r="B17357" s="2" t="s">
        <v>26748</v>
      </c>
      <c r="C17357" s="1" t="s">
        <v>5646</v>
      </c>
      <c r="D17357" s="1" t="s">
        <v>5647</v>
      </c>
    </row>
    <row r="17358">
      <c r="A17358" s="1" t="s">
        <v>28615</v>
      </c>
      <c r="B17358" s="2" t="s">
        <v>26750</v>
      </c>
      <c r="C17358" s="1" t="s">
        <v>5646</v>
      </c>
      <c r="D17358" s="1" t="s">
        <v>5647</v>
      </c>
    </row>
    <row r="17359">
      <c r="A17359" s="1" t="s">
        <v>28616</v>
      </c>
      <c r="B17359" s="2" t="s">
        <v>26752</v>
      </c>
      <c r="C17359" s="1" t="s">
        <v>5646</v>
      </c>
      <c r="D17359" s="1" t="s">
        <v>5647</v>
      </c>
    </row>
    <row r="17360">
      <c r="A17360" s="1" t="s">
        <v>28617</v>
      </c>
      <c r="B17360" s="2" t="s">
        <v>26754</v>
      </c>
      <c r="C17360" s="1" t="s">
        <v>5646</v>
      </c>
      <c r="D17360" s="1" t="s">
        <v>5647</v>
      </c>
    </row>
    <row r="17361">
      <c r="A17361" s="1" t="s">
        <v>28618</v>
      </c>
      <c r="B17361" s="2" t="s">
        <v>26756</v>
      </c>
      <c r="C17361" s="1" t="s">
        <v>5646</v>
      </c>
      <c r="D17361" s="1" t="s">
        <v>5647</v>
      </c>
    </row>
    <row r="17362">
      <c r="A17362" s="1" t="s">
        <v>28619</v>
      </c>
      <c r="B17362" s="2" t="s">
        <v>26758</v>
      </c>
      <c r="C17362" s="1" t="s">
        <v>5646</v>
      </c>
      <c r="D17362" s="1" t="s">
        <v>5647</v>
      </c>
    </row>
    <row r="17363">
      <c r="A17363" s="1" t="s">
        <v>28620</v>
      </c>
      <c r="B17363" s="2" t="s">
        <v>26760</v>
      </c>
      <c r="C17363" s="1" t="s">
        <v>5646</v>
      </c>
      <c r="D17363" s="1" t="s">
        <v>5647</v>
      </c>
    </row>
    <row r="17364">
      <c r="A17364" s="1" t="s">
        <v>28621</v>
      </c>
      <c r="B17364" s="2" t="s">
        <v>26762</v>
      </c>
      <c r="C17364" s="1" t="s">
        <v>5646</v>
      </c>
      <c r="D17364" s="1" t="s">
        <v>5647</v>
      </c>
    </row>
    <row r="17365">
      <c r="A17365" s="1" t="s">
        <v>28622</v>
      </c>
      <c r="B17365" s="2" t="s">
        <v>26764</v>
      </c>
      <c r="C17365" s="1" t="s">
        <v>5646</v>
      </c>
      <c r="D17365" s="1" t="s">
        <v>5647</v>
      </c>
    </row>
    <row r="17366">
      <c r="A17366" s="1" t="s">
        <v>28623</v>
      </c>
      <c r="B17366" s="2" t="s">
        <v>26766</v>
      </c>
      <c r="C17366" s="1" t="s">
        <v>5646</v>
      </c>
      <c r="D17366" s="1" t="s">
        <v>5647</v>
      </c>
    </row>
    <row r="17367">
      <c r="A17367" s="1" t="s">
        <v>28624</v>
      </c>
      <c r="B17367" s="2" t="s">
        <v>26768</v>
      </c>
      <c r="C17367" s="1" t="s">
        <v>5646</v>
      </c>
      <c r="D17367" s="1" t="s">
        <v>5647</v>
      </c>
    </row>
    <row r="17368">
      <c r="A17368" s="1" t="s">
        <v>28625</v>
      </c>
      <c r="B17368" s="2" t="s">
        <v>26770</v>
      </c>
      <c r="C17368" s="1" t="s">
        <v>5646</v>
      </c>
      <c r="D17368" s="1" t="s">
        <v>5647</v>
      </c>
    </row>
    <row r="17369">
      <c r="A17369" s="1" t="s">
        <v>28626</v>
      </c>
      <c r="B17369" s="2" t="s">
        <v>26772</v>
      </c>
      <c r="C17369" s="1" t="s">
        <v>5646</v>
      </c>
      <c r="D17369" s="1" t="s">
        <v>5647</v>
      </c>
    </row>
    <row r="17370">
      <c r="A17370" s="1" t="s">
        <v>28627</v>
      </c>
      <c r="B17370" s="2" t="s">
        <v>26774</v>
      </c>
      <c r="C17370" s="1" t="s">
        <v>5646</v>
      </c>
      <c r="D17370" s="1" t="s">
        <v>5647</v>
      </c>
    </row>
    <row r="17371">
      <c r="A17371" s="1" t="s">
        <v>28628</v>
      </c>
      <c r="B17371" s="2" t="s">
        <v>26776</v>
      </c>
      <c r="C17371" s="1" t="s">
        <v>5646</v>
      </c>
      <c r="D17371" s="1" t="s">
        <v>5647</v>
      </c>
    </row>
    <row r="17372">
      <c r="A17372" s="1" t="s">
        <v>28629</v>
      </c>
      <c r="B17372" s="2" t="s">
        <v>26778</v>
      </c>
      <c r="C17372" s="1" t="s">
        <v>5646</v>
      </c>
      <c r="D17372" s="1" t="s">
        <v>5647</v>
      </c>
    </row>
    <row r="17373">
      <c r="A17373" s="1" t="s">
        <v>28630</v>
      </c>
      <c r="B17373" s="2" t="s">
        <v>26780</v>
      </c>
      <c r="C17373" s="1" t="s">
        <v>5646</v>
      </c>
      <c r="D17373" s="1" t="s">
        <v>5647</v>
      </c>
    </row>
    <row r="17374">
      <c r="A17374" s="1" t="s">
        <v>28631</v>
      </c>
      <c r="B17374" s="2" t="s">
        <v>26782</v>
      </c>
      <c r="C17374" s="1" t="s">
        <v>5646</v>
      </c>
      <c r="D17374" s="1" t="s">
        <v>5647</v>
      </c>
    </row>
    <row r="17375">
      <c r="A17375" s="1" t="s">
        <v>28632</v>
      </c>
      <c r="B17375" s="2" t="s">
        <v>26784</v>
      </c>
      <c r="C17375" s="1" t="s">
        <v>5646</v>
      </c>
      <c r="D17375" s="1" t="s">
        <v>5647</v>
      </c>
    </row>
    <row r="17376">
      <c r="A17376" s="1" t="s">
        <v>28633</v>
      </c>
      <c r="B17376" s="2" t="s">
        <v>26786</v>
      </c>
      <c r="C17376" s="1" t="s">
        <v>5646</v>
      </c>
      <c r="D17376" s="1" t="s">
        <v>5647</v>
      </c>
    </row>
    <row r="17377">
      <c r="A17377" s="1" t="s">
        <v>28634</v>
      </c>
      <c r="B17377" s="2" t="s">
        <v>26788</v>
      </c>
      <c r="C17377" s="1" t="s">
        <v>5646</v>
      </c>
      <c r="D17377" s="1" t="s">
        <v>5647</v>
      </c>
    </row>
    <row r="17378">
      <c r="A17378" s="1" t="s">
        <v>28635</v>
      </c>
      <c r="B17378" s="2" t="s">
        <v>26790</v>
      </c>
      <c r="C17378" s="1" t="s">
        <v>5646</v>
      </c>
      <c r="D17378" s="1" t="s">
        <v>5647</v>
      </c>
    </row>
    <row r="17379">
      <c r="A17379" s="1" t="s">
        <v>28636</v>
      </c>
      <c r="B17379" s="2" t="s">
        <v>26792</v>
      </c>
      <c r="C17379" s="1" t="s">
        <v>5646</v>
      </c>
      <c r="D17379" s="1" t="s">
        <v>5647</v>
      </c>
    </row>
    <row r="17380">
      <c r="A17380" s="1" t="s">
        <v>28637</v>
      </c>
      <c r="B17380" s="2" t="s">
        <v>26794</v>
      </c>
      <c r="C17380" s="1" t="s">
        <v>5646</v>
      </c>
      <c r="D17380" s="1" t="s">
        <v>5647</v>
      </c>
    </row>
    <row r="17381">
      <c r="A17381" s="1" t="s">
        <v>28638</v>
      </c>
      <c r="B17381" s="2" t="s">
        <v>26796</v>
      </c>
      <c r="C17381" s="1" t="s">
        <v>5646</v>
      </c>
      <c r="D17381" s="1" t="s">
        <v>5647</v>
      </c>
    </row>
    <row r="17382">
      <c r="A17382" s="1" t="s">
        <v>28639</v>
      </c>
      <c r="B17382" s="2" t="s">
        <v>26798</v>
      </c>
      <c r="C17382" s="1" t="s">
        <v>5646</v>
      </c>
      <c r="D17382" s="1" t="s">
        <v>5647</v>
      </c>
    </row>
    <row r="17383">
      <c r="A17383" s="1" t="s">
        <v>28640</v>
      </c>
      <c r="B17383" s="2" t="s">
        <v>26800</v>
      </c>
      <c r="C17383" s="1" t="s">
        <v>5646</v>
      </c>
      <c r="D17383" s="1" t="s">
        <v>5647</v>
      </c>
    </row>
    <row r="17384">
      <c r="A17384" s="1" t="s">
        <v>28641</v>
      </c>
      <c r="B17384" s="2" t="s">
        <v>26802</v>
      </c>
      <c r="C17384" s="1" t="s">
        <v>5646</v>
      </c>
      <c r="D17384" s="1" t="s">
        <v>5647</v>
      </c>
    </row>
    <row r="17385">
      <c r="A17385" s="1" t="s">
        <v>28642</v>
      </c>
      <c r="B17385" s="2" t="s">
        <v>26804</v>
      </c>
      <c r="C17385" s="1" t="s">
        <v>5646</v>
      </c>
      <c r="D17385" s="1" t="s">
        <v>5647</v>
      </c>
    </row>
    <row r="17386">
      <c r="A17386" s="1" t="s">
        <v>28643</v>
      </c>
      <c r="B17386" s="2" t="s">
        <v>26806</v>
      </c>
      <c r="C17386" s="1" t="s">
        <v>5646</v>
      </c>
      <c r="D17386" s="1" t="s">
        <v>5647</v>
      </c>
    </row>
    <row r="17387">
      <c r="A17387" s="1" t="s">
        <v>28644</v>
      </c>
      <c r="B17387" s="2" t="s">
        <v>26808</v>
      </c>
      <c r="C17387" s="1" t="s">
        <v>5646</v>
      </c>
      <c r="D17387" s="1" t="s">
        <v>5647</v>
      </c>
    </row>
    <row r="17388">
      <c r="A17388" s="1" t="s">
        <v>28645</v>
      </c>
      <c r="B17388" s="2" t="s">
        <v>26810</v>
      </c>
      <c r="C17388" s="1" t="s">
        <v>5646</v>
      </c>
      <c r="D17388" s="1" t="s">
        <v>5647</v>
      </c>
    </row>
    <row r="17389">
      <c r="A17389" s="1" t="s">
        <v>28646</v>
      </c>
      <c r="B17389" s="2" t="s">
        <v>26812</v>
      </c>
      <c r="C17389" s="1" t="s">
        <v>5646</v>
      </c>
      <c r="D17389" s="1" t="s">
        <v>5647</v>
      </c>
    </row>
    <row r="17390">
      <c r="A17390" s="1" t="s">
        <v>28647</v>
      </c>
      <c r="B17390" s="2" t="s">
        <v>26814</v>
      </c>
      <c r="C17390" s="1" t="s">
        <v>5646</v>
      </c>
      <c r="D17390" s="1" t="s">
        <v>5647</v>
      </c>
    </row>
    <row r="17391">
      <c r="A17391" s="1" t="s">
        <v>28648</v>
      </c>
      <c r="B17391" s="2" t="s">
        <v>26816</v>
      </c>
      <c r="C17391" s="1" t="s">
        <v>5646</v>
      </c>
      <c r="D17391" s="1" t="s">
        <v>5647</v>
      </c>
    </row>
    <row r="17392">
      <c r="A17392" s="1" t="s">
        <v>28649</v>
      </c>
      <c r="B17392" s="2" t="s">
        <v>26818</v>
      </c>
      <c r="C17392" s="1" t="s">
        <v>5646</v>
      </c>
      <c r="D17392" s="1" t="s">
        <v>5647</v>
      </c>
    </row>
    <row r="17393">
      <c r="A17393" s="1" t="s">
        <v>28650</v>
      </c>
      <c r="B17393" s="2" t="s">
        <v>26820</v>
      </c>
      <c r="C17393" s="1" t="s">
        <v>5646</v>
      </c>
      <c r="D17393" s="1" t="s">
        <v>5647</v>
      </c>
    </row>
    <row r="17394">
      <c r="A17394" s="1" t="s">
        <v>28651</v>
      </c>
      <c r="B17394" s="2" t="s">
        <v>26822</v>
      </c>
      <c r="C17394" s="1" t="s">
        <v>5646</v>
      </c>
      <c r="D17394" s="1" t="s">
        <v>5647</v>
      </c>
    </row>
    <row r="17395">
      <c r="A17395" s="1" t="s">
        <v>28652</v>
      </c>
      <c r="B17395" s="2" t="s">
        <v>26824</v>
      </c>
      <c r="C17395" s="1" t="s">
        <v>5646</v>
      </c>
      <c r="D17395" s="1" t="s">
        <v>5647</v>
      </c>
    </row>
    <row r="17396">
      <c r="A17396" s="1" t="s">
        <v>28653</v>
      </c>
      <c r="B17396" s="2" t="s">
        <v>26826</v>
      </c>
      <c r="C17396" s="1" t="s">
        <v>5646</v>
      </c>
      <c r="D17396" s="1" t="s">
        <v>5647</v>
      </c>
    </row>
    <row r="17397">
      <c r="A17397" s="1" t="s">
        <v>28654</v>
      </c>
      <c r="B17397" s="2" t="s">
        <v>26828</v>
      </c>
      <c r="C17397" s="1" t="s">
        <v>5646</v>
      </c>
      <c r="D17397" s="1" t="s">
        <v>5647</v>
      </c>
    </row>
    <row r="17398">
      <c r="A17398" s="1" t="s">
        <v>28655</v>
      </c>
      <c r="B17398" s="2" t="s">
        <v>26830</v>
      </c>
      <c r="C17398" s="1" t="s">
        <v>5646</v>
      </c>
      <c r="D17398" s="1" t="s">
        <v>5647</v>
      </c>
    </row>
    <row r="17399">
      <c r="A17399" s="1" t="s">
        <v>28656</v>
      </c>
      <c r="B17399" s="2" t="s">
        <v>26832</v>
      </c>
      <c r="C17399" s="1" t="s">
        <v>5646</v>
      </c>
      <c r="D17399" s="1" t="s">
        <v>5647</v>
      </c>
    </row>
    <row r="17400">
      <c r="A17400" s="1" t="s">
        <v>28657</v>
      </c>
      <c r="B17400" s="2" t="s">
        <v>26834</v>
      </c>
      <c r="C17400" s="1" t="s">
        <v>5646</v>
      </c>
      <c r="D17400" s="1" t="s">
        <v>5647</v>
      </c>
    </row>
    <row r="17401">
      <c r="A17401" s="1" t="s">
        <v>28658</v>
      </c>
      <c r="B17401" s="2" t="s">
        <v>26836</v>
      </c>
      <c r="C17401" s="1" t="s">
        <v>5646</v>
      </c>
      <c r="D17401" s="1" t="s">
        <v>5647</v>
      </c>
    </row>
    <row r="17402">
      <c r="A17402" s="1" t="s">
        <v>28659</v>
      </c>
      <c r="B17402" s="2" t="s">
        <v>26838</v>
      </c>
      <c r="C17402" s="1" t="s">
        <v>5646</v>
      </c>
      <c r="D17402" s="1" t="s">
        <v>5647</v>
      </c>
    </row>
    <row r="17403">
      <c r="A17403" s="1" t="s">
        <v>28660</v>
      </c>
      <c r="B17403" s="2" t="s">
        <v>26840</v>
      </c>
      <c r="C17403" s="1" t="s">
        <v>5646</v>
      </c>
      <c r="D17403" s="1" t="s">
        <v>5647</v>
      </c>
    </row>
    <row r="17404">
      <c r="A17404" s="1" t="s">
        <v>28661</v>
      </c>
      <c r="B17404" s="2" t="s">
        <v>26842</v>
      </c>
      <c r="C17404" s="1" t="s">
        <v>5646</v>
      </c>
      <c r="D17404" s="1" t="s">
        <v>5647</v>
      </c>
    </row>
    <row r="17405">
      <c r="A17405" s="1" t="s">
        <v>28662</v>
      </c>
      <c r="B17405" s="2" t="s">
        <v>26844</v>
      </c>
      <c r="C17405" s="1" t="s">
        <v>5646</v>
      </c>
      <c r="D17405" s="1" t="s">
        <v>5647</v>
      </c>
    </row>
    <row r="17406">
      <c r="A17406" s="1" t="s">
        <v>28663</v>
      </c>
      <c r="B17406" s="2" t="s">
        <v>26846</v>
      </c>
      <c r="C17406" s="1" t="s">
        <v>5646</v>
      </c>
      <c r="D17406" s="1" t="s">
        <v>5647</v>
      </c>
    </row>
    <row r="17407">
      <c r="A17407" s="1" t="s">
        <v>28664</v>
      </c>
      <c r="B17407" s="2" t="s">
        <v>26848</v>
      </c>
      <c r="C17407" s="1" t="s">
        <v>5646</v>
      </c>
      <c r="D17407" s="1" t="s">
        <v>5647</v>
      </c>
    </row>
    <row r="17408">
      <c r="A17408" s="1" t="s">
        <v>28665</v>
      </c>
      <c r="B17408" s="2" t="s">
        <v>26850</v>
      </c>
      <c r="C17408" s="1" t="s">
        <v>5646</v>
      </c>
      <c r="D17408" s="1" t="s">
        <v>5647</v>
      </c>
    </row>
    <row r="17409">
      <c r="A17409" s="1" t="s">
        <v>28666</v>
      </c>
      <c r="B17409" s="2" t="s">
        <v>26852</v>
      </c>
      <c r="C17409" s="1" t="s">
        <v>5646</v>
      </c>
      <c r="D17409" s="1" t="s">
        <v>5647</v>
      </c>
    </row>
    <row r="17410">
      <c r="A17410" s="1" t="s">
        <v>28667</v>
      </c>
      <c r="B17410" s="2" t="s">
        <v>26854</v>
      </c>
      <c r="C17410" s="1" t="s">
        <v>5646</v>
      </c>
      <c r="D17410" s="1" t="s">
        <v>5647</v>
      </c>
    </row>
    <row r="17411">
      <c r="A17411" s="1" t="s">
        <v>28668</v>
      </c>
      <c r="B17411" s="2" t="s">
        <v>26856</v>
      </c>
      <c r="C17411" s="1" t="s">
        <v>5646</v>
      </c>
      <c r="D17411" s="1" t="s">
        <v>5647</v>
      </c>
    </row>
    <row r="17412">
      <c r="A17412" s="1" t="s">
        <v>28669</v>
      </c>
      <c r="B17412" s="2" t="s">
        <v>26858</v>
      </c>
      <c r="C17412" s="1" t="s">
        <v>5646</v>
      </c>
      <c r="D17412" s="1" t="s">
        <v>5647</v>
      </c>
    </row>
    <row r="17413">
      <c r="A17413" s="1" t="s">
        <v>28670</v>
      </c>
      <c r="B17413" s="2" t="s">
        <v>26860</v>
      </c>
      <c r="C17413" s="1" t="s">
        <v>5646</v>
      </c>
      <c r="D17413" s="1" t="s">
        <v>5647</v>
      </c>
    </row>
    <row r="17414">
      <c r="A17414" s="1" t="s">
        <v>28671</v>
      </c>
      <c r="B17414" s="2" t="s">
        <v>26862</v>
      </c>
      <c r="C17414" s="1" t="s">
        <v>5646</v>
      </c>
      <c r="D17414" s="1" t="s">
        <v>5647</v>
      </c>
    </row>
    <row r="17415">
      <c r="A17415" s="1" t="s">
        <v>28672</v>
      </c>
      <c r="B17415" s="2" t="s">
        <v>26864</v>
      </c>
      <c r="C17415" s="1" t="s">
        <v>5646</v>
      </c>
      <c r="D17415" s="1" t="s">
        <v>5647</v>
      </c>
    </row>
    <row r="17416">
      <c r="A17416" s="1" t="s">
        <v>28673</v>
      </c>
      <c r="B17416" s="2" t="s">
        <v>26866</v>
      </c>
      <c r="C17416" s="1" t="s">
        <v>5646</v>
      </c>
      <c r="D17416" s="1" t="s">
        <v>5647</v>
      </c>
    </row>
    <row r="17417">
      <c r="A17417" s="1" t="s">
        <v>28674</v>
      </c>
      <c r="B17417" s="2" t="s">
        <v>26868</v>
      </c>
      <c r="C17417" s="1" t="s">
        <v>5646</v>
      </c>
      <c r="D17417" s="1" t="s">
        <v>5647</v>
      </c>
    </row>
    <row r="17418">
      <c r="A17418" s="1" t="s">
        <v>28675</v>
      </c>
      <c r="B17418" s="2" t="s">
        <v>26870</v>
      </c>
      <c r="C17418" s="1" t="s">
        <v>5646</v>
      </c>
      <c r="D17418" s="1" t="s">
        <v>5647</v>
      </c>
    </row>
    <row r="17419">
      <c r="A17419" s="1" t="s">
        <v>28676</v>
      </c>
      <c r="B17419" s="2" t="s">
        <v>26872</v>
      </c>
      <c r="C17419" s="1" t="s">
        <v>5646</v>
      </c>
      <c r="D17419" s="1" t="s">
        <v>5647</v>
      </c>
    </row>
    <row r="17420">
      <c r="A17420" s="1" t="s">
        <v>28677</v>
      </c>
      <c r="B17420" s="2" t="s">
        <v>26874</v>
      </c>
      <c r="C17420" s="1" t="s">
        <v>5646</v>
      </c>
      <c r="D17420" s="1" t="s">
        <v>5647</v>
      </c>
    </row>
    <row r="17421">
      <c r="A17421" s="1" t="s">
        <v>28678</v>
      </c>
      <c r="B17421" s="2" t="s">
        <v>26876</v>
      </c>
      <c r="C17421" s="1" t="s">
        <v>5646</v>
      </c>
      <c r="D17421" s="1" t="s">
        <v>5647</v>
      </c>
    </row>
    <row r="17422">
      <c r="A17422" s="1" t="s">
        <v>28679</v>
      </c>
      <c r="B17422" s="2" t="s">
        <v>26878</v>
      </c>
      <c r="C17422" s="1" t="s">
        <v>5646</v>
      </c>
      <c r="D17422" s="1" t="s">
        <v>5647</v>
      </c>
    </row>
    <row r="17423">
      <c r="A17423" s="1" t="s">
        <v>28680</v>
      </c>
      <c r="B17423" s="2" t="s">
        <v>26880</v>
      </c>
      <c r="C17423" s="1" t="s">
        <v>5646</v>
      </c>
      <c r="D17423" s="1" t="s">
        <v>5647</v>
      </c>
    </row>
    <row r="17424">
      <c r="A17424" s="1" t="s">
        <v>28681</v>
      </c>
      <c r="B17424" s="2" t="s">
        <v>26882</v>
      </c>
      <c r="C17424" s="1" t="s">
        <v>5646</v>
      </c>
      <c r="D17424" s="1" t="s">
        <v>5647</v>
      </c>
    </row>
    <row r="17425">
      <c r="A17425" s="1" t="s">
        <v>28682</v>
      </c>
      <c r="B17425" s="2" t="s">
        <v>26884</v>
      </c>
      <c r="C17425" s="1" t="s">
        <v>5646</v>
      </c>
      <c r="D17425" s="1" t="s">
        <v>5647</v>
      </c>
    </row>
    <row r="17426">
      <c r="A17426" s="1" t="s">
        <v>28683</v>
      </c>
      <c r="B17426" s="2" t="s">
        <v>26886</v>
      </c>
      <c r="C17426" s="1" t="s">
        <v>5646</v>
      </c>
      <c r="D17426" s="1" t="s">
        <v>5647</v>
      </c>
    </row>
    <row r="17427">
      <c r="A17427" s="1" t="s">
        <v>28684</v>
      </c>
      <c r="B17427" s="2" t="s">
        <v>26888</v>
      </c>
      <c r="C17427" s="1" t="s">
        <v>5646</v>
      </c>
      <c r="D17427" s="1" t="s">
        <v>5647</v>
      </c>
    </row>
    <row r="17428">
      <c r="A17428" s="1" t="s">
        <v>28685</v>
      </c>
      <c r="B17428" s="2" t="s">
        <v>26890</v>
      </c>
      <c r="C17428" s="1" t="s">
        <v>5646</v>
      </c>
      <c r="D17428" s="1" t="s">
        <v>5647</v>
      </c>
    </row>
    <row r="17429">
      <c r="A17429" s="1" t="s">
        <v>28686</v>
      </c>
      <c r="B17429" s="2" t="s">
        <v>26892</v>
      </c>
      <c r="C17429" s="1" t="s">
        <v>5646</v>
      </c>
      <c r="D17429" s="1" t="s">
        <v>5647</v>
      </c>
    </row>
    <row r="17430">
      <c r="A17430" s="1" t="s">
        <v>28687</v>
      </c>
      <c r="B17430" s="2" t="s">
        <v>26894</v>
      </c>
      <c r="C17430" s="1" t="s">
        <v>5646</v>
      </c>
      <c r="D17430" s="1" t="s">
        <v>5647</v>
      </c>
    </row>
    <row r="17431">
      <c r="A17431" s="1" t="s">
        <v>28688</v>
      </c>
      <c r="B17431" s="2" t="s">
        <v>26896</v>
      </c>
      <c r="C17431" s="1" t="s">
        <v>5646</v>
      </c>
      <c r="D17431" s="1" t="s">
        <v>5647</v>
      </c>
    </row>
    <row r="17432">
      <c r="A17432" s="1" t="s">
        <v>28689</v>
      </c>
      <c r="B17432" s="2" t="s">
        <v>26898</v>
      </c>
      <c r="C17432" s="1" t="s">
        <v>5646</v>
      </c>
      <c r="D17432" s="1" t="s">
        <v>5647</v>
      </c>
    </row>
    <row r="17433">
      <c r="A17433" s="1" t="s">
        <v>28690</v>
      </c>
      <c r="B17433" s="2" t="s">
        <v>26900</v>
      </c>
      <c r="C17433" s="1" t="s">
        <v>5646</v>
      </c>
      <c r="D17433" s="1" t="s">
        <v>5647</v>
      </c>
    </row>
    <row r="17434">
      <c r="A17434" s="1" t="s">
        <v>28691</v>
      </c>
      <c r="B17434" s="2" t="s">
        <v>26902</v>
      </c>
      <c r="C17434" s="1" t="s">
        <v>5646</v>
      </c>
      <c r="D17434" s="1" t="s">
        <v>5647</v>
      </c>
    </row>
    <row r="17435">
      <c r="A17435" s="1" t="s">
        <v>28692</v>
      </c>
      <c r="B17435" s="2" t="s">
        <v>26904</v>
      </c>
      <c r="C17435" s="1" t="s">
        <v>5646</v>
      </c>
      <c r="D17435" s="1" t="s">
        <v>5647</v>
      </c>
    </row>
    <row r="17436">
      <c r="A17436" s="1" t="s">
        <v>28693</v>
      </c>
      <c r="B17436" s="2" t="s">
        <v>26906</v>
      </c>
      <c r="C17436" s="1" t="s">
        <v>5646</v>
      </c>
      <c r="D17436" s="1" t="s">
        <v>5647</v>
      </c>
    </row>
    <row r="17437">
      <c r="A17437" s="1" t="s">
        <v>28694</v>
      </c>
      <c r="B17437" s="2" t="s">
        <v>26908</v>
      </c>
      <c r="C17437" s="1" t="s">
        <v>5646</v>
      </c>
      <c r="D17437" s="1" t="s">
        <v>5647</v>
      </c>
    </row>
    <row r="17438">
      <c r="A17438" s="1" t="s">
        <v>28695</v>
      </c>
      <c r="B17438" s="2" t="s">
        <v>26910</v>
      </c>
      <c r="C17438" s="1" t="s">
        <v>5646</v>
      </c>
      <c r="D17438" s="1" t="s">
        <v>5647</v>
      </c>
    </row>
    <row r="17439">
      <c r="A17439" s="1" t="s">
        <v>28696</v>
      </c>
      <c r="B17439" s="2" t="s">
        <v>26912</v>
      </c>
      <c r="C17439" s="1" t="s">
        <v>5646</v>
      </c>
      <c r="D17439" s="1" t="s">
        <v>5647</v>
      </c>
    </row>
    <row r="17440">
      <c r="A17440" s="1" t="s">
        <v>28697</v>
      </c>
      <c r="B17440" s="2" t="s">
        <v>26914</v>
      </c>
      <c r="C17440" s="1" t="s">
        <v>5646</v>
      </c>
      <c r="D17440" s="1" t="s">
        <v>5647</v>
      </c>
    </row>
    <row r="17441">
      <c r="A17441" s="1" t="s">
        <v>28698</v>
      </c>
      <c r="B17441" s="2" t="s">
        <v>26916</v>
      </c>
      <c r="C17441" s="1" t="s">
        <v>5646</v>
      </c>
      <c r="D17441" s="1" t="s">
        <v>5647</v>
      </c>
    </row>
    <row r="17442">
      <c r="A17442" s="1" t="s">
        <v>28699</v>
      </c>
      <c r="B17442" s="2" t="s">
        <v>26918</v>
      </c>
      <c r="C17442" s="1" t="s">
        <v>5646</v>
      </c>
      <c r="D17442" s="1" t="s">
        <v>5647</v>
      </c>
    </row>
    <row r="17443">
      <c r="A17443" s="1" t="s">
        <v>28700</v>
      </c>
      <c r="B17443" s="2" t="s">
        <v>26920</v>
      </c>
      <c r="C17443" s="1" t="s">
        <v>5646</v>
      </c>
      <c r="D17443" s="1" t="s">
        <v>5647</v>
      </c>
    </row>
    <row r="17444">
      <c r="A17444" s="1" t="s">
        <v>28701</v>
      </c>
      <c r="B17444" s="2" t="s">
        <v>26922</v>
      </c>
      <c r="C17444" s="1" t="s">
        <v>5646</v>
      </c>
      <c r="D17444" s="1" t="s">
        <v>5647</v>
      </c>
    </row>
    <row r="17445">
      <c r="A17445" s="1" t="s">
        <v>28702</v>
      </c>
      <c r="B17445" s="2" t="s">
        <v>26924</v>
      </c>
      <c r="C17445" s="1" t="s">
        <v>5646</v>
      </c>
      <c r="D17445" s="1" t="s">
        <v>5647</v>
      </c>
    </row>
    <row r="17446">
      <c r="A17446" s="1" t="s">
        <v>28703</v>
      </c>
      <c r="B17446" s="2" t="s">
        <v>26926</v>
      </c>
      <c r="C17446" s="1" t="s">
        <v>5646</v>
      </c>
      <c r="D17446" s="1" t="s">
        <v>5647</v>
      </c>
    </row>
    <row r="17447">
      <c r="A17447" s="1" t="s">
        <v>28704</v>
      </c>
      <c r="B17447" s="2" t="s">
        <v>26928</v>
      </c>
      <c r="C17447" s="1" t="s">
        <v>5646</v>
      </c>
      <c r="D17447" s="1" t="s">
        <v>5647</v>
      </c>
    </row>
    <row r="17448">
      <c r="A17448" s="1" t="s">
        <v>28705</v>
      </c>
      <c r="B17448" s="2" t="s">
        <v>26930</v>
      </c>
      <c r="C17448" s="1" t="s">
        <v>5646</v>
      </c>
      <c r="D17448" s="1" t="s">
        <v>5647</v>
      </c>
    </row>
    <row r="17449">
      <c r="A17449" s="1" t="s">
        <v>28706</v>
      </c>
      <c r="B17449" s="2" t="s">
        <v>26932</v>
      </c>
      <c r="C17449" s="1" t="s">
        <v>5646</v>
      </c>
      <c r="D17449" s="1" t="s">
        <v>5647</v>
      </c>
    </row>
    <row r="17450">
      <c r="A17450" s="1" t="s">
        <v>28707</v>
      </c>
      <c r="B17450" s="2" t="s">
        <v>26934</v>
      </c>
      <c r="C17450" s="1" t="s">
        <v>5646</v>
      </c>
      <c r="D17450" s="1" t="s">
        <v>5647</v>
      </c>
    </row>
    <row r="17451">
      <c r="A17451" s="1" t="s">
        <v>28708</v>
      </c>
      <c r="B17451" s="2" t="s">
        <v>26936</v>
      </c>
      <c r="C17451" s="1" t="s">
        <v>5646</v>
      </c>
      <c r="D17451" s="1" t="s">
        <v>5647</v>
      </c>
    </row>
    <row r="17452">
      <c r="A17452" s="1" t="s">
        <v>28709</v>
      </c>
      <c r="B17452" s="2" t="s">
        <v>26938</v>
      </c>
      <c r="C17452" s="1" t="s">
        <v>5646</v>
      </c>
      <c r="D17452" s="1" t="s">
        <v>5647</v>
      </c>
    </row>
    <row r="17453">
      <c r="A17453" s="1" t="s">
        <v>28710</v>
      </c>
      <c r="B17453" s="2" t="s">
        <v>26940</v>
      </c>
      <c r="C17453" s="1" t="s">
        <v>5646</v>
      </c>
      <c r="D17453" s="1" t="s">
        <v>5647</v>
      </c>
    </row>
    <row r="17454">
      <c r="A17454" s="1" t="s">
        <v>28711</v>
      </c>
      <c r="B17454" s="2" t="s">
        <v>26942</v>
      </c>
      <c r="C17454" s="1" t="s">
        <v>5646</v>
      </c>
      <c r="D17454" s="1" t="s">
        <v>5647</v>
      </c>
    </row>
    <row r="17455">
      <c r="A17455" s="1" t="s">
        <v>28712</v>
      </c>
      <c r="B17455" s="2" t="s">
        <v>26944</v>
      </c>
      <c r="C17455" s="1" t="s">
        <v>5646</v>
      </c>
      <c r="D17455" s="1" t="s">
        <v>5647</v>
      </c>
    </row>
    <row r="17456">
      <c r="A17456" s="1" t="s">
        <v>28713</v>
      </c>
      <c r="B17456" s="2" t="s">
        <v>26946</v>
      </c>
      <c r="C17456" s="1" t="s">
        <v>5646</v>
      </c>
      <c r="D17456" s="1" t="s">
        <v>5647</v>
      </c>
    </row>
    <row r="17457">
      <c r="A17457" s="1" t="s">
        <v>28714</v>
      </c>
      <c r="B17457" s="2" t="s">
        <v>26948</v>
      </c>
      <c r="C17457" s="1" t="s">
        <v>5646</v>
      </c>
      <c r="D17457" s="1" t="s">
        <v>5647</v>
      </c>
    </row>
    <row r="17458">
      <c r="A17458" s="1" t="s">
        <v>28715</v>
      </c>
      <c r="B17458" s="2" t="s">
        <v>26950</v>
      </c>
      <c r="C17458" s="1" t="s">
        <v>5646</v>
      </c>
      <c r="D17458" s="1" t="s">
        <v>5647</v>
      </c>
    </row>
    <row r="17459">
      <c r="A17459" s="1" t="s">
        <v>28716</v>
      </c>
      <c r="B17459" s="2" t="s">
        <v>26952</v>
      </c>
      <c r="C17459" s="1" t="s">
        <v>5646</v>
      </c>
      <c r="D17459" s="1" t="s">
        <v>5647</v>
      </c>
    </row>
    <row r="17460">
      <c r="A17460" s="1" t="s">
        <v>28717</v>
      </c>
      <c r="B17460" s="2" t="s">
        <v>26954</v>
      </c>
      <c r="C17460" s="1" t="s">
        <v>5646</v>
      </c>
      <c r="D17460" s="1" t="s">
        <v>5647</v>
      </c>
    </row>
    <row r="17461">
      <c r="A17461" s="1" t="s">
        <v>28718</v>
      </c>
      <c r="B17461" s="2" t="s">
        <v>26956</v>
      </c>
      <c r="C17461" s="1" t="s">
        <v>5646</v>
      </c>
      <c r="D17461" s="1" t="s">
        <v>5647</v>
      </c>
    </row>
    <row r="17462">
      <c r="A17462" s="1" t="s">
        <v>28719</v>
      </c>
      <c r="B17462" s="2" t="s">
        <v>26958</v>
      </c>
      <c r="C17462" s="1" t="s">
        <v>5646</v>
      </c>
      <c r="D17462" s="1" t="s">
        <v>5647</v>
      </c>
    </row>
    <row r="17463">
      <c r="A17463" s="1" t="s">
        <v>28720</v>
      </c>
      <c r="B17463" s="2" t="s">
        <v>26960</v>
      </c>
      <c r="C17463" s="1" t="s">
        <v>5646</v>
      </c>
      <c r="D17463" s="1" t="s">
        <v>5647</v>
      </c>
    </row>
    <row r="17464">
      <c r="A17464" s="1" t="s">
        <v>28721</v>
      </c>
      <c r="B17464" s="2" t="s">
        <v>26962</v>
      </c>
      <c r="C17464" s="1" t="s">
        <v>5646</v>
      </c>
      <c r="D17464" s="1" t="s">
        <v>5647</v>
      </c>
    </row>
    <row r="17465">
      <c r="A17465" s="1" t="s">
        <v>28722</v>
      </c>
      <c r="B17465" s="2" t="s">
        <v>26964</v>
      </c>
      <c r="C17465" s="1" t="s">
        <v>5646</v>
      </c>
      <c r="D17465" s="1" t="s">
        <v>5647</v>
      </c>
    </row>
    <row r="17466">
      <c r="A17466" s="1" t="s">
        <v>28723</v>
      </c>
      <c r="B17466" s="2" t="s">
        <v>26966</v>
      </c>
      <c r="C17466" s="1" t="s">
        <v>5646</v>
      </c>
      <c r="D17466" s="1" t="s">
        <v>5647</v>
      </c>
    </row>
    <row r="17467">
      <c r="A17467" s="1" t="s">
        <v>28724</v>
      </c>
      <c r="B17467" s="2" t="s">
        <v>26968</v>
      </c>
      <c r="C17467" s="1" t="s">
        <v>5646</v>
      </c>
      <c r="D17467" s="1" t="s">
        <v>5647</v>
      </c>
    </row>
    <row r="17468">
      <c r="A17468" s="1" t="s">
        <v>28725</v>
      </c>
      <c r="B17468" s="2" t="s">
        <v>26970</v>
      </c>
      <c r="C17468" s="1" t="s">
        <v>5646</v>
      </c>
      <c r="D17468" s="1" t="s">
        <v>5647</v>
      </c>
    </row>
    <row r="17469">
      <c r="A17469" s="1" t="s">
        <v>28726</v>
      </c>
      <c r="B17469" s="2" t="s">
        <v>26972</v>
      </c>
      <c r="C17469" s="1" t="s">
        <v>5646</v>
      </c>
      <c r="D17469" s="1" t="s">
        <v>5647</v>
      </c>
    </row>
    <row r="17470">
      <c r="A17470" s="1" t="s">
        <v>28727</v>
      </c>
      <c r="B17470" s="2" t="s">
        <v>26974</v>
      </c>
      <c r="C17470" s="1" t="s">
        <v>5646</v>
      </c>
      <c r="D17470" s="1" t="s">
        <v>5647</v>
      </c>
    </row>
    <row r="17471">
      <c r="A17471" s="1" t="s">
        <v>28728</v>
      </c>
      <c r="B17471" s="2" t="s">
        <v>26976</v>
      </c>
      <c r="C17471" s="1" t="s">
        <v>5646</v>
      </c>
      <c r="D17471" s="1" t="s">
        <v>5647</v>
      </c>
    </row>
    <row r="17472">
      <c r="A17472" s="1" t="s">
        <v>28729</v>
      </c>
      <c r="B17472" s="2" t="s">
        <v>26978</v>
      </c>
      <c r="C17472" s="1" t="s">
        <v>5646</v>
      </c>
      <c r="D17472" s="1" t="s">
        <v>5647</v>
      </c>
    </row>
    <row r="17473">
      <c r="A17473" s="1" t="s">
        <v>28730</v>
      </c>
      <c r="B17473" s="2" t="s">
        <v>26980</v>
      </c>
      <c r="C17473" s="1" t="s">
        <v>5646</v>
      </c>
      <c r="D17473" s="1" t="s">
        <v>5647</v>
      </c>
    </row>
    <row r="17474">
      <c r="A17474" s="1" t="s">
        <v>28731</v>
      </c>
      <c r="B17474" s="2" t="s">
        <v>26982</v>
      </c>
      <c r="C17474" s="1" t="s">
        <v>5646</v>
      </c>
      <c r="D17474" s="1" t="s">
        <v>5647</v>
      </c>
    </row>
    <row r="17475">
      <c r="A17475" s="1" t="s">
        <v>28732</v>
      </c>
      <c r="B17475" s="2" t="s">
        <v>26984</v>
      </c>
      <c r="C17475" s="1" t="s">
        <v>5646</v>
      </c>
      <c r="D17475" s="1" t="s">
        <v>5647</v>
      </c>
    </row>
    <row r="17476">
      <c r="A17476" s="1" t="s">
        <v>28733</v>
      </c>
      <c r="B17476" s="2" t="s">
        <v>26986</v>
      </c>
      <c r="C17476" s="1" t="s">
        <v>5646</v>
      </c>
      <c r="D17476" s="1" t="s">
        <v>5647</v>
      </c>
    </row>
    <row r="17477">
      <c r="A17477" s="1" t="s">
        <v>28734</v>
      </c>
      <c r="B17477" s="2" t="s">
        <v>26988</v>
      </c>
      <c r="C17477" s="1" t="s">
        <v>5646</v>
      </c>
      <c r="D17477" s="1" t="s">
        <v>5647</v>
      </c>
    </row>
    <row r="17478">
      <c r="A17478" s="1" t="s">
        <v>28735</v>
      </c>
      <c r="B17478" s="2" t="s">
        <v>26990</v>
      </c>
      <c r="C17478" s="1" t="s">
        <v>5646</v>
      </c>
      <c r="D17478" s="1" t="s">
        <v>5647</v>
      </c>
    </row>
    <row r="17479">
      <c r="A17479" s="1" t="s">
        <v>28736</v>
      </c>
      <c r="B17479" s="2" t="s">
        <v>26992</v>
      </c>
      <c r="C17479" s="1" t="s">
        <v>5646</v>
      </c>
      <c r="D17479" s="1" t="s">
        <v>5647</v>
      </c>
    </row>
    <row r="17480">
      <c r="A17480" s="1" t="s">
        <v>28737</v>
      </c>
      <c r="B17480" s="2" t="s">
        <v>26994</v>
      </c>
      <c r="C17480" s="1" t="s">
        <v>5646</v>
      </c>
      <c r="D17480" s="1" t="s">
        <v>5647</v>
      </c>
    </row>
    <row r="17481">
      <c r="A17481" s="1" t="s">
        <v>28738</v>
      </c>
      <c r="B17481" s="2" t="s">
        <v>26996</v>
      </c>
      <c r="C17481" s="1" t="s">
        <v>5646</v>
      </c>
      <c r="D17481" s="1" t="s">
        <v>5647</v>
      </c>
    </row>
    <row r="17482">
      <c r="A17482" s="1" t="s">
        <v>28739</v>
      </c>
      <c r="B17482" s="2" t="s">
        <v>26998</v>
      </c>
      <c r="C17482" s="1" t="s">
        <v>5646</v>
      </c>
      <c r="D17482" s="1" t="s">
        <v>5647</v>
      </c>
    </row>
    <row r="17483">
      <c r="A17483" s="1" t="s">
        <v>28740</v>
      </c>
      <c r="B17483" s="2" t="s">
        <v>27000</v>
      </c>
      <c r="C17483" s="1" t="s">
        <v>5646</v>
      </c>
      <c r="D17483" s="1" t="s">
        <v>5647</v>
      </c>
    </row>
    <row r="17484">
      <c r="A17484" s="1" t="s">
        <v>28741</v>
      </c>
      <c r="B17484" s="2" t="s">
        <v>27002</v>
      </c>
      <c r="C17484" s="1" t="s">
        <v>5646</v>
      </c>
      <c r="D17484" s="1" t="s">
        <v>5647</v>
      </c>
    </row>
    <row r="17485">
      <c r="A17485" s="1" t="s">
        <v>28742</v>
      </c>
      <c r="B17485" s="2" t="s">
        <v>27004</v>
      </c>
      <c r="C17485" s="1" t="s">
        <v>5646</v>
      </c>
      <c r="D17485" s="1" t="s">
        <v>5647</v>
      </c>
    </row>
    <row r="17486">
      <c r="A17486" s="1" t="s">
        <v>28743</v>
      </c>
      <c r="B17486" s="2" t="s">
        <v>27006</v>
      </c>
      <c r="C17486" s="1" t="s">
        <v>5646</v>
      </c>
      <c r="D17486" s="1" t="s">
        <v>5647</v>
      </c>
    </row>
    <row r="17487">
      <c r="A17487" s="1" t="s">
        <v>28744</v>
      </c>
      <c r="B17487" s="2" t="s">
        <v>27008</v>
      </c>
      <c r="C17487" s="1" t="s">
        <v>5646</v>
      </c>
      <c r="D17487" s="1" t="s">
        <v>5647</v>
      </c>
    </row>
    <row r="17488">
      <c r="A17488" s="1" t="s">
        <v>28745</v>
      </c>
      <c r="B17488" s="2" t="s">
        <v>27010</v>
      </c>
      <c r="C17488" s="1" t="s">
        <v>5646</v>
      </c>
      <c r="D17488" s="1" t="s">
        <v>5647</v>
      </c>
    </row>
    <row r="17489">
      <c r="A17489" s="1" t="s">
        <v>28746</v>
      </c>
      <c r="B17489" s="2" t="s">
        <v>27012</v>
      </c>
      <c r="C17489" s="1" t="s">
        <v>5646</v>
      </c>
      <c r="D17489" s="1" t="s">
        <v>5647</v>
      </c>
    </row>
    <row r="17490">
      <c r="A17490" s="1" t="s">
        <v>28747</v>
      </c>
      <c r="B17490" s="2" t="s">
        <v>27014</v>
      </c>
      <c r="C17490" s="1" t="s">
        <v>5646</v>
      </c>
      <c r="D17490" s="1" t="s">
        <v>5647</v>
      </c>
    </row>
    <row r="17491">
      <c r="A17491" s="1" t="s">
        <v>28748</v>
      </c>
      <c r="B17491" s="2" t="s">
        <v>27016</v>
      </c>
      <c r="C17491" s="1" t="s">
        <v>5646</v>
      </c>
      <c r="D17491" s="1" t="s">
        <v>5647</v>
      </c>
    </row>
    <row r="17492">
      <c r="A17492" s="1" t="s">
        <v>28749</v>
      </c>
      <c r="B17492" s="2" t="s">
        <v>27018</v>
      </c>
      <c r="C17492" s="1" t="s">
        <v>5646</v>
      </c>
      <c r="D17492" s="1" t="s">
        <v>5647</v>
      </c>
    </row>
    <row r="17493">
      <c r="A17493" s="1" t="s">
        <v>28750</v>
      </c>
      <c r="B17493" s="2" t="s">
        <v>27020</v>
      </c>
      <c r="C17493" s="1" t="s">
        <v>5646</v>
      </c>
      <c r="D17493" s="1" t="s">
        <v>5647</v>
      </c>
    </row>
    <row r="17494">
      <c r="A17494" s="1" t="s">
        <v>28751</v>
      </c>
      <c r="B17494" s="2" t="s">
        <v>27022</v>
      </c>
      <c r="C17494" s="1" t="s">
        <v>5646</v>
      </c>
      <c r="D17494" s="1" t="s">
        <v>5647</v>
      </c>
    </row>
    <row r="17495">
      <c r="A17495" s="1" t="s">
        <v>28752</v>
      </c>
      <c r="B17495" s="2" t="s">
        <v>27024</v>
      </c>
      <c r="C17495" s="1" t="s">
        <v>5646</v>
      </c>
      <c r="D17495" s="1" t="s">
        <v>5647</v>
      </c>
    </row>
    <row r="17496">
      <c r="A17496" s="1" t="s">
        <v>28753</v>
      </c>
      <c r="B17496" s="2" t="s">
        <v>27026</v>
      </c>
      <c r="C17496" s="1" t="s">
        <v>5646</v>
      </c>
      <c r="D17496" s="1" t="s">
        <v>5647</v>
      </c>
    </row>
    <row r="17497">
      <c r="A17497" s="1" t="s">
        <v>28754</v>
      </c>
      <c r="B17497" s="2" t="s">
        <v>27028</v>
      </c>
      <c r="C17497" s="1" t="s">
        <v>5646</v>
      </c>
      <c r="D17497" s="1" t="s">
        <v>5647</v>
      </c>
    </row>
    <row r="17498">
      <c r="A17498" s="1" t="s">
        <v>28755</v>
      </c>
      <c r="B17498" s="2" t="s">
        <v>27030</v>
      </c>
      <c r="C17498" s="1" t="s">
        <v>5646</v>
      </c>
      <c r="D17498" s="1" t="s">
        <v>5647</v>
      </c>
    </row>
    <row r="17499">
      <c r="A17499" s="1" t="s">
        <v>28756</v>
      </c>
      <c r="B17499" s="2" t="s">
        <v>27032</v>
      </c>
      <c r="C17499" s="1" t="s">
        <v>5646</v>
      </c>
      <c r="D17499" s="1" t="s">
        <v>5647</v>
      </c>
    </row>
    <row r="17500">
      <c r="A17500" s="1" t="s">
        <v>28757</v>
      </c>
      <c r="B17500" s="2" t="s">
        <v>27034</v>
      </c>
      <c r="C17500" s="1" t="s">
        <v>5646</v>
      </c>
      <c r="D17500" s="1" t="s">
        <v>5647</v>
      </c>
    </row>
    <row r="17501">
      <c r="A17501" s="1" t="s">
        <v>28758</v>
      </c>
      <c r="B17501" s="2" t="s">
        <v>27036</v>
      </c>
      <c r="C17501" s="1" t="s">
        <v>5646</v>
      </c>
      <c r="D17501" s="1" t="s">
        <v>5647</v>
      </c>
    </row>
    <row r="17502">
      <c r="A17502" s="1" t="s">
        <v>28759</v>
      </c>
      <c r="B17502" s="2" t="s">
        <v>27038</v>
      </c>
      <c r="C17502" s="1" t="s">
        <v>5646</v>
      </c>
      <c r="D17502" s="1" t="s">
        <v>5647</v>
      </c>
    </row>
    <row r="17503">
      <c r="A17503" s="1" t="s">
        <v>28760</v>
      </c>
      <c r="B17503" s="2" t="s">
        <v>27040</v>
      </c>
      <c r="C17503" s="1" t="s">
        <v>5646</v>
      </c>
      <c r="D17503" s="1" t="s">
        <v>5647</v>
      </c>
    </row>
    <row r="17504">
      <c r="A17504" s="1" t="s">
        <v>28761</v>
      </c>
      <c r="B17504" s="2" t="s">
        <v>27042</v>
      </c>
      <c r="C17504" s="1" t="s">
        <v>5646</v>
      </c>
      <c r="D17504" s="1" t="s">
        <v>5647</v>
      </c>
    </row>
    <row r="17505">
      <c r="A17505" s="1" t="s">
        <v>28762</v>
      </c>
      <c r="B17505" s="2" t="s">
        <v>27044</v>
      </c>
      <c r="C17505" s="1" t="s">
        <v>5646</v>
      </c>
      <c r="D17505" s="1" t="s">
        <v>5647</v>
      </c>
    </row>
    <row r="17506">
      <c r="A17506" s="1" t="s">
        <v>28763</v>
      </c>
      <c r="B17506" s="2" t="s">
        <v>27046</v>
      </c>
      <c r="C17506" s="1" t="s">
        <v>5646</v>
      </c>
      <c r="D17506" s="1" t="s">
        <v>5647</v>
      </c>
    </row>
    <row r="17507">
      <c r="A17507" s="1" t="s">
        <v>28764</v>
      </c>
      <c r="B17507" s="2" t="s">
        <v>27048</v>
      </c>
      <c r="C17507" s="1" t="s">
        <v>5646</v>
      </c>
      <c r="D17507" s="1" t="s">
        <v>5647</v>
      </c>
    </row>
    <row r="17508">
      <c r="A17508" s="1" t="s">
        <v>28765</v>
      </c>
      <c r="B17508" s="2" t="s">
        <v>27050</v>
      </c>
      <c r="C17508" s="1" t="s">
        <v>5646</v>
      </c>
      <c r="D17508" s="1" t="s">
        <v>5647</v>
      </c>
    </row>
    <row r="17509">
      <c r="A17509" s="1" t="s">
        <v>28766</v>
      </c>
      <c r="B17509" s="2" t="s">
        <v>27052</v>
      </c>
      <c r="C17509" s="1" t="s">
        <v>5646</v>
      </c>
      <c r="D17509" s="1" t="s">
        <v>5647</v>
      </c>
    </row>
    <row r="17510">
      <c r="A17510" s="1" t="s">
        <v>28767</v>
      </c>
      <c r="B17510" s="2" t="s">
        <v>27054</v>
      </c>
      <c r="C17510" s="1" t="s">
        <v>5646</v>
      </c>
      <c r="D17510" s="1" t="s">
        <v>5647</v>
      </c>
    </row>
    <row r="17511">
      <c r="A17511" s="1" t="s">
        <v>28768</v>
      </c>
      <c r="B17511" s="2" t="s">
        <v>27056</v>
      </c>
      <c r="C17511" s="1" t="s">
        <v>5646</v>
      </c>
      <c r="D17511" s="1" t="s">
        <v>5647</v>
      </c>
    </row>
    <row r="17512">
      <c r="A17512" s="1" t="s">
        <v>28769</v>
      </c>
      <c r="B17512" s="2" t="s">
        <v>27058</v>
      </c>
      <c r="C17512" s="1" t="s">
        <v>5646</v>
      </c>
      <c r="D17512" s="1" t="s">
        <v>5647</v>
      </c>
    </row>
    <row r="17513">
      <c r="A17513" s="1" t="s">
        <v>28770</v>
      </c>
      <c r="B17513" s="2" t="s">
        <v>27060</v>
      </c>
      <c r="C17513" s="1" t="s">
        <v>5646</v>
      </c>
      <c r="D17513" s="1" t="s">
        <v>5647</v>
      </c>
    </row>
    <row r="17514">
      <c r="A17514" s="1" t="s">
        <v>28771</v>
      </c>
      <c r="B17514" s="2" t="s">
        <v>27062</v>
      </c>
      <c r="C17514" s="1" t="s">
        <v>5646</v>
      </c>
      <c r="D17514" s="1" t="s">
        <v>5647</v>
      </c>
    </row>
    <row r="17515">
      <c r="A17515" s="1" t="s">
        <v>28772</v>
      </c>
      <c r="B17515" s="2" t="s">
        <v>27064</v>
      </c>
      <c r="C17515" s="1" t="s">
        <v>5646</v>
      </c>
      <c r="D17515" s="1" t="s">
        <v>5647</v>
      </c>
    </row>
    <row r="17516">
      <c r="A17516" s="1" t="s">
        <v>28773</v>
      </c>
      <c r="B17516" s="2" t="s">
        <v>27066</v>
      </c>
      <c r="C17516" s="1" t="s">
        <v>5646</v>
      </c>
      <c r="D17516" s="1" t="s">
        <v>5647</v>
      </c>
    </row>
    <row r="17517">
      <c r="A17517" s="1" t="s">
        <v>28774</v>
      </c>
      <c r="B17517" s="2" t="s">
        <v>27068</v>
      </c>
      <c r="C17517" s="1" t="s">
        <v>5646</v>
      </c>
      <c r="D17517" s="1" t="s">
        <v>5647</v>
      </c>
    </row>
    <row r="17518">
      <c r="A17518" s="1" t="s">
        <v>28775</v>
      </c>
      <c r="B17518" s="2" t="s">
        <v>27070</v>
      </c>
      <c r="C17518" s="1" t="s">
        <v>5646</v>
      </c>
      <c r="D17518" s="1" t="s">
        <v>5647</v>
      </c>
    </row>
    <row r="17519">
      <c r="A17519" s="1" t="s">
        <v>28776</v>
      </c>
      <c r="B17519" s="2" t="s">
        <v>27072</v>
      </c>
      <c r="C17519" s="1" t="s">
        <v>5646</v>
      </c>
      <c r="D17519" s="1" t="s">
        <v>5647</v>
      </c>
    </row>
    <row r="17520">
      <c r="A17520" s="1" t="s">
        <v>28777</v>
      </c>
      <c r="B17520" s="2" t="s">
        <v>27074</v>
      </c>
      <c r="C17520" s="1" t="s">
        <v>5646</v>
      </c>
      <c r="D17520" s="1" t="s">
        <v>5647</v>
      </c>
    </row>
    <row r="17521">
      <c r="A17521" s="1" t="s">
        <v>28778</v>
      </c>
      <c r="B17521" s="2" t="s">
        <v>27076</v>
      </c>
      <c r="C17521" s="1" t="s">
        <v>5646</v>
      </c>
      <c r="D17521" s="1" t="s">
        <v>5647</v>
      </c>
    </row>
    <row r="17522">
      <c r="A17522" s="1" t="s">
        <v>28779</v>
      </c>
      <c r="B17522" s="2" t="s">
        <v>27078</v>
      </c>
      <c r="C17522" s="1" t="s">
        <v>5646</v>
      </c>
      <c r="D17522" s="1" t="s">
        <v>5647</v>
      </c>
    </row>
    <row r="17523">
      <c r="A17523" s="1" t="s">
        <v>28780</v>
      </c>
      <c r="B17523" s="2" t="s">
        <v>27080</v>
      </c>
      <c r="C17523" s="1" t="s">
        <v>5646</v>
      </c>
      <c r="D17523" s="1" t="s">
        <v>5647</v>
      </c>
    </row>
    <row r="17524">
      <c r="A17524" s="1" t="s">
        <v>28781</v>
      </c>
      <c r="B17524" s="2" t="s">
        <v>27082</v>
      </c>
      <c r="C17524" s="1" t="s">
        <v>5646</v>
      </c>
      <c r="D17524" s="1" t="s">
        <v>5647</v>
      </c>
    </row>
    <row r="17525">
      <c r="A17525" s="1" t="s">
        <v>28782</v>
      </c>
      <c r="B17525" s="2" t="s">
        <v>27084</v>
      </c>
      <c r="C17525" s="1" t="s">
        <v>5646</v>
      </c>
      <c r="D17525" s="1" t="s">
        <v>5647</v>
      </c>
    </row>
    <row r="17526">
      <c r="A17526" s="1" t="s">
        <v>28783</v>
      </c>
      <c r="B17526" s="2" t="s">
        <v>27086</v>
      </c>
      <c r="C17526" s="1" t="s">
        <v>5646</v>
      </c>
      <c r="D17526" s="1" t="s">
        <v>5647</v>
      </c>
    </row>
    <row r="17527">
      <c r="A17527" s="1" t="s">
        <v>28784</v>
      </c>
      <c r="B17527" s="2" t="s">
        <v>27088</v>
      </c>
      <c r="C17527" s="1" t="s">
        <v>5646</v>
      </c>
      <c r="D17527" s="1" t="s">
        <v>5647</v>
      </c>
    </row>
    <row r="17528">
      <c r="A17528" s="1" t="s">
        <v>28785</v>
      </c>
      <c r="B17528" s="2" t="s">
        <v>27090</v>
      </c>
      <c r="C17528" s="1" t="s">
        <v>5646</v>
      </c>
      <c r="D17528" s="1" t="s">
        <v>5647</v>
      </c>
    </row>
    <row r="17529">
      <c r="A17529" s="1" t="s">
        <v>5651</v>
      </c>
      <c r="B17529" s="2" t="s">
        <v>7</v>
      </c>
      <c r="C17529" s="1" t="s">
        <v>5652</v>
      </c>
      <c r="D17529" s="1" t="s">
        <v>5653</v>
      </c>
    </row>
    <row r="17530">
      <c r="A17530" s="1" t="s">
        <v>28786</v>
      </c>
      <c r="B17530" s="2" t="s">
        <v>25962</v>
      </c>
      <c r="C17530" s="1" t="s">
        <v>5652</v>
      </c>
      <c r="D17530" s="1" t="s">
        <v>5653</v>
      </c>
    </row>
    <row r="17531">
      <c r="A17531" s="1" t="s">
        <v>28787</v>
      </c>
      <c r="B17531" s="2" t="s">
        <v>25964</v>
      </c>
      <c r="C17531" s="1" t="s">
        <v>5652</v>
      </c>
      <c r="D17531" s="1" t="s">
        <v>5653</v>
      </c>
    </row>
    <row r="17532">
      <c r="A17532" s="1" t="s">
        <v>28788</v>
      </c>
      <c r="B17532" s="2" t="s">
        <v>25966</v>
      </c>
      <c r="C17532" s="1" t="s">
        <v>5652</v>
      </c>
      <c r="D17532" s="1" t="s">
        <v>5653</v>
      </c>
    </row>
    <row r="17533">
      <c r="A17533" s="1" t="s">
        <v>28789</v>
      </c>
      <c r="B17533" s="2" t="s">
        <v>25968</v>
      </c>
      <c r="C17533" s="1" t="s">
        <v>5652</v>
      </c>
      <c r="D17533" s="1" t="s">
        <v>5653</v>
      </c>
    </row>
    <row r="17534">
      <c r="A17534" s="1" t="s">
        <v>28790</v>
      </c>
      <c r="B17534" s="2" t="s">
        <v>25970</v>
      </c>
      <c r="C17534" s="1" t="s">
        <v>5652</v>
      </c>
      <c r="D17534" s="1" t="s">
        <v>5653</v>
      </c>
    </row>
    <row r="17535">
      <c r="A17535" s="1" t="s">
        <v>28791</v>
      </c>
      <c r="B17535" s="2" t="s">
        <v>25972</v>
      </c>
      <c r="C17535" s="1" t="s">
        <v>5652</v>
      </c>
      <c r="D17535" s="1" t="s">
        <v>5653</v>
      </c>
    </row>
    <row r="17536">
      <c r="A17536" s="1" t="s">
        <v>28792</v>
      </c>
      <c r="B17536" s="2" t="s">
        <v>25974</v>
      </c>
      <c r="C17536" s="1" t="s">
        <v>5652</v>
      </c>
      <c r="D17536" s="1" t="s">
        <v>5653</v>
      </c>
    </row>
    <row r="17537">
      <c r="A17537" s="1" t="s">
        <v>28793</v>
      </c>
      <c r="B17537" s="2" t="s">
        <v>25976</v>
      </c>
      <c r="C17537" s="1" t="s">
        <v>5652</v>
      </c>
      <c r="D17537" s="1" t="s">
        <v>5653</v>
      </c>
    </row>
    <row r="17538">
      <c r="A17538" s="1" t="s">
        <v>28794</v>
      </c>
      <c r="B17538" s="2" t="s">
        <v>25978</v>
      </c>
      <c r="C17538" s="1" t="s">
        <v>5652</v>
      </c>
      <c r="D17538" s="1" t="s">
        <v>5653</v>
      </c>
    </row>
    <row r="17539">
      <c r="A17539" s="1" t="s">
        <v>28795</v>
      </c>
      <c r="B17539" s="2" t="s">
        <v>25980</v>
      </c>
      <c r="C17539" s="1" t="s">
        <v>5652</v>
      </c>
      <c r="D17539" s="1" t="s">
        <v>5653</v>
      </c>
    </row>
    <row r="17540">
      <c r="A17540" s="1" t="s">
        <v>28796</v>
      </c>
      <c r="B17540" s="2" t="s">
        <v>25982</v>
      </c>
      <c r="C17540" s="1" t="s">
        <v>5652</v>
      </c>
      <c r="D17540" s="1" t="s">
        <v>5653</v>
      </c>
    </row>
    <row r="17541">
      <c r="A17541" s="1" t="s">
        <v>28797</v>
      </c>
      <c r="B17541" s="2" t="s">
        <v>25984</v>
      </c>
      <c r="C17541" s="1" t="s">
        <v>5652</v>
      </c>
      <c r="D17541" s="1" t="s">
        <v>5653</v>
      </c>
    </row>
    <row r="17542">
      <c r="A17542" s="1" t="s">
        <v>28798</v>
      </c>
      <c r="B17542" s="2" t="s">
        <v>25986</v>
      </c>
      <c r="C17542" s="1" t="s">
        <v>5652</v>
      </c>
      <c r="D17542" s="1" t="s">
        <v>5653</v>
      </c>
    </row>
    <row r="17543">
      <c r="A17543" s="1" t="s">
        <v>28799</v>
      </c>
      <c r="B17543" s="2" t="s">
        <v>25988</v>
      </c>
      <c r="C17543" s="1" t="s">
        <v>5652</v>
      </c>
      <c r="D17543" s="1" t="s">
        <v>5653</v>
      </c>
    </row>
    <row r="17544">
      <c r="A17544" s="1" t="s">
        <v>28800</v>
      </c>
      <c r="B17544" s="2" t="s">
        <v>25990</v>
      </c>
      <c r="C17544" s="1" t="s">
        <v>5652</v>
      </c>
      <c r="D17544" s="1" t="s">
        <v>5653</v>
      </c>
    </row>
    <row r="17545">
      <c r="A17545" s="1" t="s">
        <v>28801</v>
      </c>
      <c r="B17545" s="2" t="s">
        <v>25992</v>
      </c>
      <c r="C17545" s="1" t="s">
        <v>5652</v>
      </c>
      <c r="D17545" s="1" t="s">
        <v>5653</v>
      </c>
    </row>
    <row r="17546">
      <c r="A17546" s="1" t="s">
        <v>28802</v>
      </c>
      <c r="B17546" s="2" t="s">
        <v>25994</v>
      </c>
      <c r="C17546" s="1" t="s">
        <v>5652</v>
      </c>
      <c r="D17546" s="1" t="s">
        <v>5653</v>
      </c>
    </row>
    <row r="17547">
      <c r="A17547" s="1" t="s">
        <v>28803</v>
      </c>
      <c r="B17547" s="2" t="s">
        <v>25996</v>
      </c>
      <c r="C17547" s="1" t="s">
        <v>5652</v>
      </c>
      <c r="D17547" s="1" t="s">
        <v>5653</v>
      </c>
    </row>
    <row r="17548">
      <c r="A17548" s="1" t="s">
        <v>28804</v>
      </c>
      <c r="B17548" s="2" t="s">
        <v>25998</v>
      </c>
      <c r="C17548" s="1" t="s">
        <v>5652</v>
      </c>
      <c r="D17548" s="1" t="s">
        <v>5653</v>
      </c>
    </row>
    <row r="17549">
      <c r="A17549" s="1" t="s">
        <v>28805</v>
      </c>
      <c r="B17549" s="2" t="s">
        <v>26000</v>
      </c>
      <c r="C17549" s="1" t="s">
        <v>5652</v>
      </c>
      <c r="D17549" s="1" t="s">
        <v>5653</v>
      </c>
    </row>
    <row r="17550">
      <c r="A17550" s="1" t="s">
        <v>28806</v>
      </c>
      <c r="B17550" s="2" t="s">
        <v>26002</v>
      </c>
      <c r="C17550" s="1" t="s">
        <v>5652</v>
      </c>
      <c r="D17550" s="1" t="s">
        <v>5653</v>
      </c>
    </row>
    <row r="17551">
      <c r="A17551" s="1" t="s">
        <v>28807</v>
      </c>
      <c r="B17551" s="2" t="s">
        <v>26004</v>
      </c>
      <c r="C17551" s="1" t="s">
        <v>5652</v>
      </c>
      <c r="D17551" s="1" t="s">
        <v>5653</v>
      </c>
    </row>
    <row r="17552">
      <c r="A17552" s="1" t="s">
        <v>28808</v>
      </c>
      <c r="B17552" s="2" t="s">
        <v>26006</v>
      </c>
      <c r="C17552" s="1" t="s">
        <v>5652</v>
      </c>
      <c r="D17552" s="1" t="s">
        <v>5653</v>
      </c>
    </row>
    <row r="17553">
      <c r="A17553" s="1" t="s">
        <v>28809</v>
      </c>
      <c r="B17553" s="2" t="s">
        <v>26008</v>
      </c>
      <c r="C17553" s="1" t="s">
        <v>5652</v>
      </c>
      <c r="D17553" s="1" t="s">
        <v>5653</v>
      </c>
    </row>
    <row r="17554">
      <c r="A17554" s="1" t="s">
        <v>28810</v>
      </c>
      <c r="B17554" s="2" t="s">
        <v>26010</v>
      </c>
      <c r="C17554" s="1" t="s">
        <v>5652</v>
      </c>
      <c r="D17554" s="1" t="s">
        <v>5653</v>
      </c>
    </row>
    <row r="17555">
      <c r="A17555" s="1" t="s">
        <v>28811</v>
      </c>
      <c r="B17555" s="2" t="s">
        <v>26012</v>
      </c>
      <c r="C17555" s="1" t="s">
        <v>5652</v>
      </c>
      <c r="D17555" s="1" t="s">
        <v>5653</v>
      </c>
    </row>
    <row r="17556">
      <c r="A17556" s="1" t="s">
        <v>28812</v>
      </c>
      <c r="B17556" s="2" t="s">
        <v>26014</v>
      </c>
      <c r="C17556" s="1" t="s">
        <v>5652</v>
      </c>
      <c r="D17556" s="1" t="s">
        <v>5653</v>
      </c>
    </row>
    <row r="17557">
      <c r="A17557" s="1" t="s">
        <v>28813</v>
      </c>
      <c r="B17557" s="2" t="s">
        <v>26016</v>
      </c>
      <c r="C17557" s="1" t="s">
        <v>5652</v>
      </c>
      <c r="D17557" s="1" t="s">
        <v>5653</v>
      </c>
    </row>
    <row r="17558">
      <c r="A17558" s="1" t="s">
        <v>28814</v>
      </c>
      <c r="B17558" s="2" t="s">
        <v>26018</v>
      </c>
      <c r="C17558" s="1" t="s">
        <v>5652</v>
      </c>
      <c r="D17558" s="1" t="s">
        <v>5653</v>
      </c>
    </row>
    <row r="17559">
      <c r="A17559" s="1" t="s">
        <v>28815</v>
      </c>
      <c r="B17559" s="2" t="s">
        <v>26020</v>
      </c>
      <c r="C17559" s="1" t="s">
        <v>5652</v>
      </c>
      <c r="D17559" s="1" t="s">
        <v>5653</v>
      </c>
    </row>
    <row r="17560">
      <c r="A17560" s="1" t="s">
        <v>28816</v>
      </c>
      <c r="B17560" s="2" t="s">
        <v>26022</v>
      </c>
      <c r="C17560" s="1" t="s">
        <v>5652</v>
      </c>
      <c r="D17560" s="1" t="s">
        <v>5653</v>
      </c>
    </row>
    <row r="17561">
      <c r="A17561" s="1" t="s">
        <v>28817</v>
      </c>
      <c r="B17561" s="2" t="s">
        <v>26024</v>
      </c>
      <c r="C17561" s="1" t="s">
        <v>5652</v>
      </c>
      <c r="D17561" s="1" t="s">
        <v>5653</v>
      </c>
    </row>
    <row r="17562">
      <c r="A17562" s="1" t="s">
        <v>28818</v>
      </c>
      <c r="B17562" s="2" t="s">
        <v>26026</v>
      </c>
      <c r="C17562" s="1" t="s">
        <v>5652</v>
      </c>
      <c r="D17562" s="1" t="s">
        <v>5653</v>
      </c>
    </row>
    <row r="17563">
      <c r="A17563" s="1" t="s">
        <v>28819</v>
      </c>
      <c r="B17563" s="2" t="s">
        <v>26028</v>
      </c>
      <c r="C17563" s="1" t="s">
        <v>5652</v>
      </c>
      <c r="D17563" s="1" t="s">
        <v>5653</v>
      </c>
    </row>
    <row r="17564">
      <c r="A17564" s="1" t="s">
        <v>28820</v>
      </c>
      <c r="B17564" s="2" t="s">
        <v>26030</v>
      </c>
      <c r="C17564" s="1" t="s">
        <v>5652</v>
      </c>
      <c r="D17564" s="1" t="s">
        <v>5653</v>
      </c>
    </row>
    <row r="17565">
      <c r="A17565" s="1" t="s">
        <v>28821</v>
      </c>
      <c r="B17565" s="2" t="s">
        <v>26032</v>
      </c>
      <c r="C17565" s="1" t="s">
        <v>5652</v>
      </c>
      <c r="D17565" s="1" t="s">
        <v>5653</v>
      </c>
    </row>
    <row r="17566">
      <c r="A17566" s="1" t="s">
        <v>28822</v>
      </c>
      <c r="B17566" s="2" t="s">
        <v>26034</v>
      </c>
      <c r="C17566" s="1" t="s">
        <v>5652</v>
      </c>
      <c r="D17566" s="1" t="s">
        <v>5653</v>
      </c>
    </row>
    <row r="17567">
      <c r="A17567" s="1" t="s">
        <v>28823</v>
      </c>
      <c r="B17567" s="2" t="s">
        <v>26036</v>
      </c>
      <c r="C17567" s="1" t="s">
        <v>5652</v>
      </c>
      <c r="D17567" s="1" t="s">
        <v>5653</v>
      </c>
    </row>
    <row r="17568">
      <c r="A17568" s="1" t="s">
        <v>28824</v>
      </c>
      <c r="B17568" s="2" t="s">
        <v>26038</v>
      </c>
      <c r="C17568" s="1" t="s">
        <v>5652</v>
      </c>
      <c r="D17568" s="1" t="s">
        <v>5653</v>
      </c>
    </row>
    <row r="17569">
      <c r="A17569" s="1" t="s">
        <v>28825</v>
      </c>
      <c r="B17569" s="2" t="s">
        <v>26040</v>
      </c>
      <c r="C17569" s="1" t="s">
        <v>5652</v>
      </c>
      <c r="D17569" s="1" t="s">
        <v>5653</v>
      </c>
    </row>
    <row r="17570">
      <c r="A17570" s="1" t="s">
        <v>28826</v>
      </c>
      <c r="B17570" s="2" t="s">
        <v>26042</v>
      </c>
      <c r="C17570" s="1" t="s">
        <v>5652</v>
      </c>
      <c r="D17570" s="1" t="s">
        <v>5653</v>
      </c>
    </row>
    <row r="17571">
      <c r="A17571" s="1" t="s">
        <v>28827</v>
      </c>
      <c r="B17571" s="2" t="s">
        <v>26044</v>
      </c>
      <c r="C17571" s="1" t="s">
        <v>5652</v>
      </c>
      <c r="D17571" s="1" t="s">
        <v>5653</v>
      </c>
    </row>
    <row r="17572">
      <c r="A17572" s="1" t="s">
        <v>28828</v>
      </c>
      <c r="B17572" s="2" t="s">
        <v>26046</v>
      </c>
      <c r="C17572" s="1" t="s">
        <v>5652</v>
      </c>
      <c r="D17572" s="1" t="s">
        <v>5653</v>
      </c>
    </row>
    <row r="17573">
      <c r="A17573" s="1" t="s">
        <v>28829</v>
      </c>
      <c r="B17573" s="2" t="s">
        <v>26048</v>
      </c>
      <c r="C17573" s="1" t="s">
        <v>5652</v>
      </c>
      <c r="D17573" s="1" t="s">
        <v>5653</v>
      </c>
    </row>
    <row r="17574">
      <c r="A17574" s="1" t="s">
        <v>28830</v>
      </c>
      <c r="B17574" s="2" t="s">
        <v>26050</v>
      </c>
      <c r="C17574" s="1" t="s">
        <v>5652</v>
      </c>
      <c r="D17574" s="1" t="s">
        <v>5653</v>
      </c>
    </row>
    <row r="17575">
      <c r="A17575" s="1" t="s">
        <v>28831</v>
      </c>
      <c r="B17575" s="2" t="s">
        <v>26052</v>
      </c>
      <c r="C17575" s="1" t="s">
        <v>5652</v>
      </c>
      <c r="D17575" s="1" t="s">
        <v>5653</v>
      </c>
    </row>
    <row r="17576">
      <c r="A17576" s="1" t="s">
        <v>28832</v>
      </c>
      <c r="B17576" s="2" t="s">
        <v>26054</v>
      </c>
      <c r="C17576" s="1" t="s">
        <v>5652</v>
      </c>
      <c r="D17576" s="1" t="s">
        <v>5653</v>
      </c>
    </row>
    <row r="17577">
      <c r="A17577" s="1" t="s">
        <v>28833</v>
      </c>
      <c r="B17577" s="2" t="s">
        <v>26056</v>
      </c>
      <c r="C17577" s="1" t="s">
        <v>5652</v>
      </c>
      <c r="D17577" s="1" t="s">
        <v>5653</v>
      </c>
    </row>
    <row r="17578">
      <c r="A17578" s="1" t="s">
        <v>28834</v>
      </c>
      <c r="B17578" s="2" t="s">
        <v>26058</v>
      </c>
      <c r="C17578" s="1" t="s">
        <v>5652</v>
      </c>
      <c r="D17578" s="1" t="s">
        <v>5653</v>
      </c>
    </row>
    <row r="17579">
      <c r="A17579" s="1" t="s">
        <v>28835</v>
      </c>
      <c r="B17579" s="2" t="s">
        <v>26060</v>
      </c>
      <c r="C17579" s="1" t="s">
        <v>5652</v>
      </c>
      <c r="D17579" s="1" t="s">
        <v>5653</v>
      </c>
    </row>
    <row r="17580">
      <c r="A17580" s="1" t="s">
        <v>28836</v>
      </c>
      <c r="B17580" s="2" t="s">
        <v>26062</v>
      </c>
      <c r="C17580" s="1" t="s">
        <v>5652</v>
      </c>
      <c r="D17580" s="1" t="s">
        <v>5653</v>
      </c>
    </row>
    <row r="17581">
      <c r="A17581" s="1" t="s">
        <v>28837</v>
      </c>
      <c r="B17581" s="2" t="s">
        <v>26064</v>
      </c>
      <c r="C17581" s="1" t="s">
        <v>5652</v>
      </c>
      <c r="D17581" s="1" t="s">
        <v>5653</v>
      </c>
    </row>
    <row r="17582">
      <c r="A17582" s="1" t="s">
        <v>28838</v>
      </c>
      <c r="B17582" s="2" t="s">
        <v>26066</v>
      </c>
      <c r="C17582" s="1" t="s">
        <v>5652</v>
      </c>
      <c r="D17582" s="1" t="s">
        <v>5653</v>
      </c>
    </row>
    <row r="17583">
      <c r="A17583" s="1" t="s">
        <v>28839</v>
      </c>
      <c r="B17583" s="2" t="s">
        <v>26068</v>
      </c>
      <c r="C17583" s="1" t="s">
        <v>5652</v>
      </c>
      <c r="D17583" s="1" t="s">
        <v>5653</v>
      </c>
    </row>
    <row r="17584">
      <c r="A17584" s="1" t="s">
        <v>28840</v>
      </c>
      <c r="B17584" s="2" t="s">
        <v>26070</v>
      </c>
      <c r="C17584" s="1" t="s">
        <v>5652</v>
      </c>
      <c r="D17584" s="1" t="s">
        <v>5653</v>
      </c>
    </row>
    <row r="17585">
      <c r="A17585" s="1" t="s">
        <v>28841</v>
      </c>
      <c r="B17585" s="2" t="s">
        <v>26072</v>
      </c>
      <c r="C17585" s="1" t="s">
        <v>5652</v>
      </c>
      <c r="D17585" s="1" t="s">
        <v>5653</v>
      </c>
    </row>
    <row r="17586">
      <c r="A17586" s="1" t="s">
        <v>28842</v>
      </c>
      <c r="B17586" s="2" t="s">
        <v>26074</v>
      </c>
      <c r="C17586" s="1" t="s">
        <v>5652</v>
      </c>
      <c r="D17586" s="1" t="s">
        <v>5653</v>
      </c>
    </row>
    <row r="17587">
      <c r="A17587" s="1" t="s">
        <v>28843</v>
      </c>
      <c r="B17587" s="2" t="s">
        <v>26076</v>
      </c>
      <c r="C17587" s="1" t="s">
        <v>5652</v>
      </c>
      <c r="D17587" s="1" t="s">
        <v>5653</v>
      </c>
    </row>
    <row r="17588">
      <c r="A17588" s="1" t="s">
        <v>28844</v>
      </c>
      <c r="B17588" s="2" t="s">
        <v>26078</v>
      </c>
      <c r="C17588" s="1" t="s">
        <v>5652</v>
      </c>
      <c r="D17588" s="1" t="s">
        <v>5653</v>
      </c>
    </row>
    <row r="17589">
      <c r="A17589" s="1" t="s">
        <v>28845</v>
      </c>
      <c r="B17589" s="2" t="s">
        <v>26080</v>
      </c>
      <c r="C17589" s="1" t="s">
        <v>5652</v>
      </c>
      <c r="D17589" s="1" t="s">
        <v>5653</v>
      </c>
    </row>
    <row r="17590">
      <c r="A17590" s="1" t="s">
        <v>28846</v>
      </c>
      <c r="B17590" s="2" t="s">
        <v>26082</v>
      </c>
      <c r="C17590" s="1" t="s">
        <v>5652</v>
      </c>
      <c r="D17590" s="1" t="s">
        <v>5653</v>
      </c>
    </row>
    <row r="17591">
      <c r="A17591" s="1" t="s">
        <v>28847</v>
      </c>
      <c r="B17591" s="2" t="s">
        <v>26084</v>
      </c>
      <c r="C17591" s="1" t="s">
        <v>5652</v>
      </c>
      <c r="D17591" s="1" t="s">
        <v>5653</v>
      </c>
    </row>
    <row r="17592">
      <c r="A17592" s="1" t="s">
        <v>28848</v>
      </c>
      <c r="B17592" s="2" t="s">
        <v>26086</v>
      </c>
      <c r="C17592" s="1" t="s">
        <v>5652</v>
      </c>
      <c r="D17592" s="1" t="s">
        <v>5653</v>
      </c>
    </row>
    <row r="17593">
      <c r="A17593" s="1" t="s">
        <v>28849</v>
      </c>
      <c r="B17593" s="2" t="s">
        <v>26088</v>
      </c>
      <c r="C17593" s="1" t="s">
        <v>5652</v>
      </c>
      <c r="D17593" s="1" t="s">
        <v>5653</v>
      </c>
    </row>
    <row r="17594">
      <c r="A17594" s="1" t="s">
        <v>28850</v>
      </c>
      <c r="B17594" s="2" t="s">
        <v>26090</v>
      </c>
      <c r="C17594" s="1" t="s">
        <v>5652</v>
      </c>
      <c r="D17594" s="1" t="s">
        <v>5653</v>
      </c>
    </row>
    <row r="17595">
      <c r="A17595" s="1" t="s">
        <v>28851</v>
      </c>
      <c r="B17595" s="2" t="s">
        <v>26092</v>
      </c>
      <c r="C17595" s="1" t="s">
        <v>5652</v>
      </c>
      <c r="D17595" s="1" t="s">
        <v>5653</v>
      </c>
    </row>
    <row r="17596">
      <c r="A17596" s="1" t="s">
        <v>28852</v>
      </c>
      <c r="B17596" s="2" t="s">
        <v>26094</v>
      </c>
      <c r="C17596" s="1" t="s">
        <v>5652</v>
      </c>
      <c r="D17596" s="1" t="s">
        <v>5653</v>
      </c>
    </row>
    <row r="17597">
      <c r="A17597" s="1" t="s">
        <v>28853</v>
      </c>
      <c r="B17597" s="2" t="s">
        <v>26096</v>
      </c>
      <c r="C17597" s="1" t="s">
        <v>5652</v>
      </c>
      <c r="D17597" s="1" t="s">
        <v>5653</v>
      </c>
    </row>
    <row r="17598">
      <c r="A17598" s="1" t="s">
        <v>28854</v>
      </c>
      <c r="B17598" s="2" t="s">
        <v>26098</v>
      </c>
      <c r="C17598" s="1" t="s">
        <v>5652</v>
      </c>
      <c r="D17598" s="1" t="s">
        <v>5653</v>
      </c>
    </row>
    <row r="17599">
      <c r="A17599" s="1" t="s">
        <v>28855</v>
      </c>
      <c r="B17599" s="2" t="s">
        <v>26100</v>
      </c>
      <c r="C17599" s="1" t="s">
        <v>5652</v>
      </c>
      <c r="D17599" s="1" t="s">
        <v>5653</v>
      </c>
    </row>
    <row r="17600">
      <c r="A17600" s="1" t="s">
        <v>28856</v>
      </c>
      <c r="B17600" s="2" t="s">
        <v>26102</v>
      </c>
      <c r="C17600" s="1" t="s">
        <v>5652</v>
      </c>
      <c r="D17600" s="1" t="s">
        <v>5653</v>
      </c>
    </row>
    <row r="17601">
      <c r="A17601" s="1" t="s">
        <v>28857</v>
      </c>
      <c r="B17601" s="2" t="s">
        <v>26104</v>
      </c>
      <c r="C17601" s="1" t="s">
        <v>5652</v>
      </c>
      <c r="D17601" s="1" t="s">
        <v>5653</v>
      </c>
    </row>
    <row r="17602">
      <c r="A17602" s="1" t="s">
        <v>28858</v>
      </c>
      <c r="B17602" s="2" t="s">
        <v>26106</v>
      </c>
      <c r="C17602" s="1" t="s">
        <v>5652</v>
      </c>
      <c r="D17602" s="1" t="s">
        <v>5653</v>
      </c>
    </row>
    <row r="17603">
      <c r="A17603" s="1" t="s">
        <v>28859</v>
      </c>
      <c r="B17603" s="2" t="s">
        <v>26108</v>
      </c>
      <c r="C17603" s="1" t="s">
        <v>5652</v>
      </c>
      <c r="D17603" s="1" t="s">
        <v>5653</v>
      </c>
    </row>
    <row r="17604">
      <c r="A17604" s="1" t="s">
        <v>28860</v>
      </c>
      <c r="B17604" s="2" t="s">
        <v>26110</v>
      </c>
      <c r="C17604" s="1" t="s">
        <v>5652</v>
      </c>
      <c r="D17604" s="1" t="s">
        <v>5653</v>
      </c>
    </row>
    <row r="17605">
      <c r="A17605" s="1" t="s">
        <v>28861</v>
      </c>
      <c r="B17605" s="2" t="s">
        <v>26112</v>
      </c>
      <c r="C17605" s="1" t="s">
        <v>5652</v>
      </c>
      <c r="D17605" s="1" t="s">
        <v>5653</v>
      </c>
    </row>
    <row r="17606">
      <c r="A17606" s="1" t="s">
        <v>28862</v>
      </c>
      <c r="B17606" s="2" t="s">
        <v>26114</v>
      </c>
      <c r="C17606" s="1" t="s">
        <v>5652</v>
      </c>
      <c r="D17606" s="1" t="s">
        <v>5653</v>
      </c>
    </row>
    <row r="17607">
      <c r="A17607" s="1" t="s">
        <v>28863</v>
      </c>
      <c r="B17607" s="2" t="s">
        <v>26116</v>
      </c>
      <c r="C17607" s="1" t="s">
        <v>5652</v>
      </c>
      <c r="D17607" s="1" t="s">
        <v>5653</v>
      </c>
    </row>
    <row r="17608">
      <c r="A17608" s="1" t="s">
        <v>28864</v>
      </c>
      <c r="B17608" s="2" t="s">
        <v>26118</v>
      </c>
      <c r="C17608" s="1" t="s">
        <v>5652</v>
      </c>
      <c r="D17608" s="1" t="s">
        <v>5653</v>
      </c>
    </row>
    <row r="17609">
      <c r="A17609" s="1" t="s">
        <v>28865</v>
      </c>
      <c r="B17609" s="2" t="s">
        <v>26120</v>
      </c>
      <c r="C17609" s="1" t="s">
        <v>5652</v>
      </c>
      <c r="D17609" s="1" t="s">
        <v>5653</v>
      </c>
    </row>
    <row r="17610">
      <c r="A17610" s="1" t="s">
        <v>28866</v>
      </c>
      <c r="B17610" s="2" t="s">
        <v>26122</v>
      </c>
      <c r="C17610" s="1" t="s">
        <v>5652</v>
      </c>
      <c r="D17610" s="1" t="s">
        <v>5653</v>
      </c>
    </row>
    <row r="17611">
      <c r="A17611" s="1" t="s">
        <v>28867</v>
      </c>
      <c r="B17611" s="2" t="s">
        <v>26124</v>
      </c>
      <c r="C17611" s="1" t="s">
        <v>5652</v>
      </c>
      <c r="D17611" s="1" t="s">
        <v>5653</v>
      </c>
    </row>
    <row r="17612">
      <c r="A17612" s="1" t="s">
        <v>28868</v>
      </c>
      <c r="B17612" s="2" t="s">
        <v>26126</v>
      </c>
      <c r="C17612" s="1" t="s">
        <v>5652</v>
      </c>
      <c r="D17612" s="1" t="s">
        <v>5653</v>
      </c>
    </row>
    <row r="17613">
      <c r="A17613" s="1" t="s">
        <v>28869</v>
      </c>
      <c r="B17613" s="2" t="s">
        <v>26128</v>
      </c>
      <c r="C17613" s="1" t="s">
        <v>5652</v>
      </c>
      <c r="D17613" s="1" t="s">
        <v>5653</v>
      </c>
    </row>
    <row r="17614">
      <c r="A17614" s="1" t="s">
        <v>28870</v>
      </c>
      <c r="B17614" s="2" t="s">
        <v>26130</v>
      </c>
      <c r="C17614" s="1" t="s">
        <v>5652</v>
      </c>
      <c r="D17614" s="1" t="s">
        <v>5653</v>
      </c>
    </row>
    <row r="17615">
      <c r="A17615" s="1" t="s">
        <v>28871</v>
      </c>
      <c r="B17615" s="2" t="s">
        <v>26132</v>
      </c>
      <c r="C17615" s="1" t="s">
        <v>5652</v>
      </c>
      <c r="D17615" s="1" t="s">
        <v>5653</v>
      </c>
    </row>
    <row r="17616">
      <c r="A17616" s="1" t="s">
        <v>28872</v>
      </c>
      <c r="B17616" s="2" t="s">
        <v>26134</v>
      </c>
      <c r="C17616" s="1" t="s">
        <v>5652</v>
      </c>
      <c r="D17616" s="1" t="s">
        <v>5653</v>
      </c>
    </row>
    <row r="17617">
      <c r="A17617" s="1" t="s">
        <v>28873</v>
      </c>
      <c r="B17617" s="2" t="s">
        <v>26136</v>
      </c>
      <c r="C17617" s="1" t="s">
        <v>5652</v>
      </c>
      <c r="D17617" s="1" t="s">
        <v>5653</v>
      </c>
    </row>
    <row r="17618">
      <c r="A17618" s="1" t="s">
        <v>28874</v>
      </c>
      <c r="B17618" s="2" t="s">
        <v>26138</v>
      </c>
      <c r="C17618" s="1" t="s">
        <v>5652</v>
      </c>
      <c r="D17618" s="1" t="s">
        <v>5653</v>
      </c>
    </row>
    <row r="17619">
      <c r="A17619" s="1" t="s">
        <v>28875</v>
      </c>
      <c r="B17619" s="2" t="s">
        <v>26140</v>
      </c>
      <c r="C17619" s="1" t="s">
        <v>5652</v>
      </c>
      <c r="D17619" s="1" t="s">
        <v>5653</v>
      </c>
    </row>
    <row r="17620">
      <c r="A17620" s="1" t="s">
        <v>28876</v>
      </c>
      <c r="B17620" s="2" t="s">
        <v>26142</v>
      </c>
      <c r="C17620" s="1" t="s">
        <v>5652</v>
      </c>
      <c r="D17620" s="1" t="s">
        <v>5653</v>
      </c>
    </row>
    <row r="17621">
      <c r="A17621" s="1" t="s">
        <v>28877</v>
      </c>
      <c r="B17621" s="2" t="s">
        <v>26144</v>
      </c>
      <c r="C17621" s="1" t="s">
        <v>5652</v>
      </c>
      <c r="D17621" s="1" t="s">
        <v>5653</v>
      </c>
    </row>
    <row r="17622">
      <c r="A17622" s="1" t="s">
        <v>28878</v>
      </c>
      <c r="B17622" s="2" t="s">
        <v>26146</v>
      </c>
      <c r="C17622" s="1" t="s">
        <v>5652</v>
      </c>
      <c r="D17622" s="1" t="s">
        <v>5653</v>
      </c>
    </row>
    <row r="17623">
      <c r="A17623" s="1" t="s">
        <v>28879</v>
      </c>
      <c r="B17623" s="2" t="s">
        <v>26148</v>
      </c>
      <c r="C17623" s="1" t="s">
        <v>5652</v>
      </c>
      <c r="D17623" s="1" t="s">
        <v>5653</v>
      </c>
    </row>
    <row r="17624">
      <c r="A17624" s="1" t="s">
        <v>28880</v>
      </c>
      <c r="B17624" s="2" t="s">
        <v>26150</v>
      </c>
      <c r="C17624" s="1" t="s">
        <v>5652</v>
      </c>
      <c r="D17624" s="1" t="s">
        <v>5653</v>
      </c>
    </row>
    <row r="17625">
      <c r="A17625" s="1" t="s">
        <v>28881</v>
      </c>
      <c r="B17625" s="2" t="s">
        <v>26152</v>
      </c>
      <c r="C17625" s="1" t="s">
        <v>5652</v>
      </c>
      <c r="D17625" s="1" t="s">
        <v>5653</v>
      </c>
    </row>
    <row r="17626">
      <c r="A17626" s="1" t="s">
        <v>28882</v>
      </c>
      <c r="B17626" s="2" t="s">
        <v>26154</v>
      </c>
      <c r="C17626" s="1" t="s">
        <v>5652</v>
      </c>
      <c r="D17626" s="1" t="s">
        <v>5653</v>
      </c>
    </row>
    <row r="17627">
      <c r="A17627" s="1" t="s">
        <v>28883</v>
      </c>
      <c r="B17627" s="2" t="s">
        <v>26156</v>
      </c>
      <c r="C17627" s="1" t="s">
        <v>5652</v>
      </c>
      <c r="D17627" s="1" t="s">
        <v>5653</v>
      </c>
    </row>
    <row r="17628">
      <c r="A17628" s="1" t="s">
        <v>28884</v>
      </c>
      <c r="B17628" s="2" t="s">
        <v>26158</v>
      </c>
      <c r="C17628" s="1" t="s">
        <v>5652</v>
      </c>
      <c r="D17628" s="1" t="s">
        <v>5653</v>
      </c>
    </row>
    <row r="17629">
      <c r="A17629" s="1" t="s">
        <v>28885</v>
      </c>
      <c r="B17629" s="2" t="s">
        <v>26160</v>
      </c>
      <c r="C17629" s="1" t="s">
        <v>5652</v>
      </c>
      <c r="D17629" s="1" t="s">
        <v>5653</v>
      </c>
    </row>
    <row r="17630">
      <c r="A17630" s="1" t="s">
        <v>28886</v>
      </c>
      <c r="B17630" s="2" t="s">
        <v>26162</v>
      </c>
      <c r="C17630" s="1" t="s">
        <v>5652</v>
      </c>
      <c r="D17630" s="1" t="s">
        <v>5653</v>
      </c>
    </row>
    <row r="17631">
      <c r="A17631" s="1" t="s">
        <v>28887</v>
      </c>
      <c r="B17631" s="2" t="s">
        <v>26164</v>
      </c>
      <c r="C17631" s="1" t="s">
        <v>5652</v>
      </c>
      <c r="D17631" s="1" t="s">
        <v>5653</v>
      </c>
    </row>
    <row r="17632">
      <c r="A17632" s="1" t="s">
        <v>28888</v>
      </c>
      <c r="B17632" s="2" t="s">
        <v>26166</v>
      </c>
      <c r="C17632" s="1" t="s">
        <v>5652</v>
      </c>
      <c r="D17632" s="1" t="s">
        <v>5653</v>
      </c>
    </row>
    <row r="17633">
      <c r="A17633" s="1" t="s">
        <v>28889</v>
      </c>
      <c r="B17633" s="2" t="s">
        <v>26168</v>
      </c>
      <c r="C17633" s="1" t="s">
        <v>5652</v>
      </c>
      <c r="D17633" s="1" t="s">
        <v>5653</v>
      </c>
    </row>
    <row r="17634">
      <c r="A17634" s="1" t="s">
        <v>28890</v>
      </c>
      <c r="B17634" s="2" t="s">
        <v>26170</v>
      </c>
      <c r="C17634" s="1" t="s">
        <v>5652</v>
      </c>
      <c r="D17634" s="1" t="s">
        <v>5653</v>
      </c>
    </row>
    <row r="17635">
      <c r="A17635" s="1" t="s">
        <v>28891</v>
      </c>
      <c r="B17635" s="2" t="s">
        <v>26172</v>
      </c>
      <c r="C17635" s="1" t="s">
        <v>5652</v>
      </c>
      <c r="D17635" s="1" t="s">
        <v>5653</v>
      </c>
    </row>
    <row r="17636">
      <c r="A17636" s="1" t="s">
        <v>28892</v>
      </c>
      <c r="B17636" s="2" t="s">
        <v>26174</v>
      </c>
      <c r="C17636" s="1" t="s">
        <v>5652</v>
      </c>
      <c r="D17636" s="1" t="s">
        <v>5653</v>
      </c>
    </row>
    <row r="17637">
      <c r="A17637" s="1" t="s">
        <v>28893</v>
      </c>
      <c r="B17637" s="2" t="s">
        <v>26176</v>
      </c>
      <c r="C17637" s="1" t="s">
        <v>5652</v>
      </c>
      <c r="D17637" s="1" t="s">
        <v>5653</v>
      </c>
    </row>
    <row r="17638">
      <c r="A17638" s="1" t="s">
        <v>28894</v>
      </c>
      <c r="B17638" s="2" t="s">
        <v>26178</v>
      </c>
      <c r="C17638" s="1" t="s">
        <v>5652</v>
      </c>
      <c r="D17638" s="1" t="s">
        <v>5653</v>
      </c>
    </row>
    <row r="17639">
      <c r="A17639" s="1" t="s">
        <v>28895</v>
      </c>
      <c r="B17639" s="2" t="s">
        <v>26180</v>
      </c>
      <c r="C17639" s="1" t="s">
        <v>5652</v>
      </c>
      <c r="D17639" s="1" t="s">
        <v>5653</v>
      </c>
    </row>
    <row r="17640">
      <c r="A17640" s="1" t="s">
        <v>28896</v>
      </c>
      <c r="B17640" s="2" t="s">
        <v>26182</v>
      </c>
      <c r="C17640" s="1" t="s">
        <v>5652</v>
      </c>
      <c r="D17640" s="1" t="s">
        <v>5653</v>
      </c>
    </row>
    <row r="17641">
      <c r="A17641" s="1" t="s">
        <v>28897</v>
      </c>
      <c r="B17641" s="2" t="s">
        <v>26184</v>
      </c>
      <c r="C17641" s="1" t="s">
        <v>5652</v>
      </c>
      <c r="D17641" s="1" t="s">
        <v>5653</v>
      </c>
    </row>
    <row r="17642">
      <c r="A17642" s="1" t="s">
        <v>28898</v>
      </c>
      <c r="B17642" s="2" t="s">
        <v>26186</v>
      </c>
      <c r="C17642" s="1" t="s">
        <v>5652</v>
      </c>
      <c r="D17642" s="1" t="s">
        <v>5653</v>
      </c>
    </row>
    <row r="17643">
      <c r="A17643" s="1" t="s">
        <v>28899</v>
      </c>
      <c r="B17643" s="2" t="s">
        <v>26188</v>
      </c>
      <c r="C17643" s="1" t="s">
        <v>5652</v>
      </c>
      <c r="D17643" s="1" t="s">
        <v>5653</v>
      </c>
    </row>
    <row r="17644">
      <c r="A17644" s="1" t="s">
        <v>28900</v>
      </c>
      <c r="B17644" s="2" t="s">
        <v>26190</v>
      </c>
      <c r="C17644" s="1" t="s">
        <v>5652</v>
      </c>
      <c r="D17644" s="1" t="s">
        <v>5653</v>
      </c>
    </row>
    <row r="17645">
      <c r="A17645" s="1" t="s">
        <v>28901</v>
      </c>
      <c r="B17645" s="2" t="s">
        <v>26192</v>
      </c>
      <c r="C17645" s="1" t="s">
        <v>5652</v>
      </c>
      <c r="D17645" s="1" t="s">
        <v>5653</v>
      </c>
    </row>
    <row r="17646">
      <c r="A17646" s="1" t="s">
        <v>28902</v>
      </c>
      <c r="B17646" s="2" t="s">
        <v>26194</v>
      </c>
      <c r="C17646" s="1" t="s">
        <v>5652</v>
      </c>
      <c r="D17646" s="1" t="s">
        <v>5653</v>
      </c>
    </row>
    <row r="17647">
      <c r="A17647" s="1" t="s">
        <v>28903</v>
      </c>
      <c r="B17647" s="2" t="s">
        <v>26196</v>
      </c>
      <c r="C17647" s="1" t="s">
        <v>5652</v>
      </c>
      <c r="D17647" s="1" t="s">
        <v>5653</v>
      </c>
    </row>
    <row r="17648">
      <c r="A17648" s="1" t="s">
        <v>28904</v>
      </c>
      <c r="B17648" s="2" t="s">
        <v>26198</v>
      </c>
      <c r="C17648" s="1" t="s">
        <v>5652</v>
      </c>
      <c r="D17648" s="1" t="s">
        <v>5653</v>
      </c>
    </row>
    <row r="17649">
      <c r="A17649" s="1" t="s">
        <v>28905</v>
      </c>
      <c r="B17649" s="2" t="s">
        <v>26200</v>
      </c>
      <c r="C17649" s="1" t="s">
        <v>5652</v>
      </c>
      <c r="D17649" s="1" t="s">
        <v>5653</v>
      </c>
    </row>
    <row r="17650">
      <c r="A17650" s="1" t="s">
        <v>28906</v>
      </c>
      <c r="B17650" s="2" t="s">
        <v>26202</v>
      </c>
      <c r="C17650" s="1" t="s">
        <v>5652</v>
      </c>
      <c r="D17650" s="1" t="s">
        <v>5653</v>
      </c>
    </row>
    <row r="17651">
      <c r="A17651" s="1" t="s">
        <v>28907</v>
      </c>
      <c r="B17651" s="2" t="s">
        <v>26204</v>
      </c>
      <c r="C17651" s="1" t="s">
        <v>5652</v>
      </c>
      <c r="D17651" s="1" t="s">
        <v>5653</v>
      </c>
    </row>
    <row r="17652">
      <c r="A17652" s="1" t="s">
        <v>28908</v>
      </c>
      <c r="B17652" s="2" t="s">
        <v>26206</v>
      </c>
      <c r="C17652" s="1" t="s">
        <v>5652</v>
      </c>
      <c r="D17652" s="1" t="s">
        <v>5653</v>
      </c>
    </row>
    <row r="17653">
      <c r="A17653" s="1" t="s">
        <v>28909</v>
      </c>
      <c r="B17653" s="2" t="s">
        <v>26208</v>
      </c>
      <c r="C17653" s="1" t="s">
        <v>5652</v>
      </c>
      <c r="D17653" s="1" t="s">
        <v>5653</v>
      </c>
    </row>
    <row r="17654">
      <c r="A17654" s="1" t="s">
        <v>28910</v>
      </c>
      <c r="B17654" s="2" t="s">
        <v>26210</v>
      </c>
      <c r="C17654" s="1" t="s">
        <v>5652</v>
      </c>
      <c r="D17654" s="1" t="s">
        <v>5653</v>
      </c>
    </row>
    <row r="17655">
      <c r="A17655" s="1" t="s">
        <v>28911</v>
      </c>
      <c r="B17655" s="2" t="s">
        <v>26212</v>
      </c>
      <c r="C17655" s="1" t="s">
        <v>5652</v>
      </c>
      <c r="D17655" s="1" t="s">
        <v>5653</v>
      </c>
    </row>
    <row r="17656">
      <c r="A17656" s="1" t="s">
        <v>28912</v>
      </c>
      <c r="B17656" s="2" t="s">
        <v>26214</v>
      </c>
      <c r="C17656" s="1" t="s">
        <v>5652</v>
      </c>
      <c r="D17656" s="1" t="s">
        <v>5653</v>
      </c>
    </row>
    <row r="17657">
      <c r="A17657" s="1" t="s">
        <v>28913</v>
      </c>
      <c r="B17657" s="2" t="s">
        <v>26216</v>
      </c>
      <c r="C17657" s="1" t="s">
        <v>5652</v>
      </c>
      <c r="D17657" s="1" t="s">
        <v>5653</v>
      </c>
    </row>
    <row r="17658">
      <c r="A17658" s="1" t="s">
        <v>28914</v>
      </c>
      <c r="B17658" s="2" t="s">
        <v>26218</v>
      </c>
      <c r="C17658" s="1" t="s">
        <v>5652</v>
      </c>
      <c r="D17658" s="1" t="s">
        <v>5653</v>
      </c>
    </row>
    <row r="17659">
      <c r="A17659" s="1" t="s">
        <v>28915</v>
      </c>
      <c r="B17659" s="2" t="s">
        <v>26220</v>
      </c>
      <c r="C17659" s="1" t="s">
        <v>5652</v>
      </c>
      <c r="D17659" s="1" t="s">
        <v>5653</v>
      </c>
    </row>
    <row r="17660">
      <c r="A17660" s="1" t="s">
        <v>28916</v>
      </c>
      <c r="B17660" s="2" t="s">
        <v>26222</v>
      </c>
      <c r="C17660" s="1" t="s">
        <v>5652</v>
      </c>
      <c r="D17660" s="1" t="s">
        <v>5653</v>
      </c>
    </row>
    <row r="17661">
      <c r="A17661" s="1" t="s">
        <v>28917</v>
      </c>
      <c r="B17661" s="2" t="s">
        <v>26224</v>
      </c>
      <c r="C17661" s="1" t="s">
        <v>5652</v>
      </c>
      <c r="D17661" s="1" t="s">
        <v>5653</v>
      </c>
    </row>
    <row r="17662">
      <c r="A17662" s="1" t="s">
        <v>28918</v>
      </c>
      <c r="B17662" s="2" t="s">
        <v>26226</v>
      </c>
      <c r="C17662" s="1" t="s">
        <v>5652</v>
      </c>
      <c r="D17662" s="1" t="s">
        <v>5653</v>
      </c>
    </row>
    <row r="17663">
      <c r="A17663" s="1" t="s">
        <v>28919</v>
      </c>
      <c r="B17663" s="2" t="s">
        <v>26228</v>
      </c>
      <c r="C17663" s="1" t="s">
        <v>5652</v>
      </c>
      <c r="D17663" s="1" t="s">
        <v>5653</v>
      </c>
    </row>
    <row r="17664">
      <c r="A17664" s="1" t="s">
        <v>28920</v>
      </c>
      <c r="B17664" s="2" t="s">
        <v>26230</v>
      </c>
      <c r="C17664" s="1" t="s">
        <v>5652</v>
      </c>
      <c r="D17664" s="1" t="s">
        <v>5653</v>
      </c>
    </row>
    <row r="17665">
      <c r="A17665" s="1" t="s">
        <v>28921</v>
      </c>
      <c r="B17665" s="2" t="s">
        <v>26232</v>
      </c>
      <c r="C17665" s="1" t="s">
        <v>5652</v>
      </c>
      <c r="D17665" s="1" t="s">
        <v>5653</v>
      </c>
    </row>
    <row r="17666">
      <c r="A17666" s="1" t="s">
        <v>28922</v>
      </c>
      <c r="B17666" s="2" t="s">
        <v>26234</v>
      </c>
      <c r="C17666" s="1" t="s">
        <v>5652</v>
      </c>
      <c r="D17666" s="1" t="s">
        <v>5653</v>
      </c>
    </row>
    <row r="17667">
      <c r="A17667" s="1" t="s">
        <v>28923</v>
      </c>
      <c r="B17667" s="2" t="s">
        <v>26236</v>
      </c>
      <c r="C17667" s="1" t="s">
        <v>5652</v>
      </c>
      <c r="D17667" s="1" t="s">
        <v>5653</v>
      </c>
    </row>
    <row r="17668">
      <c r="A17668" s="1" t="s">
        <v>28924</v>
      </c>
      <c r="B17668" s="2" t="s">
        <v>26238</v>
      </c>
      <c r="C17668" s="1" t="s">
        <v>5652</v>
      </c>
      <c r="D17668" s="1" t="s">
        <v>5653</v>
      </c>
    </row>
    <row r="17669">
      <c r="A17669" s="1" t="s">
        <v>28925</v>
      </c>
      <c r="B17669" s="2" t="s">
        <v>26240</v>
      </c>
      <c r="C17669" s="1" t="s">
        <v>5652</v>
      </c>
      <c r="D17669" s="1" t="s">
        <v>5653</v>
      </c>
    </row>
    <row r="17670">
      <c r="A17670" s="1" t="s">
        <v>28926</v>
      </c>
      <c r="B17670" s="2" t="s">
        <v>26242</v>
      </c>
      <c r="C17670" s="1" t="s">
        <v>5652</v>
      </c>
      <c r="D17670" s="1" t="s">
        <v>5653</v>
      </c>
    </row>
    <row r="17671">
      <c r="A17671" s="1" t="s">
        <v>28927</v>
      </c>
      <c r="B17671" s="2" t="s">
        <v>26244</v>
      </c>
      <c r="C17671" s="1" t="s">
        <v>5652</v>
      </c>
      <c r="D17671" s="1" t="s">
        <v>5653</v>
      </c>
    </row>
    <row r="17672">
      <c r="A17672" s="1" t="s">
        <v>28928</v>
      </c>
      <c r="B17672" s="2" t="s">
        <v>26246</v>
      </c>
      <c r="C17672" s="1" t="s">
        <v>5652</v>
      </c>
      <c r="D17672" s="1" t="s">
        <v>5653</v>
      </c>
    </row>
    <row r="17673">
      <c r="A17673" s="1" t="s">
        <v>28929</v>
      </c>
      <c r="B17673" s="2" t="s">
        <v>26248</v>
      </c>
      <c r="C17673" s="1" t="s">
        <v>5652</v>
      </c>
      <c r="D17673" s="1" t="s">
        <v>5653</v>
      </c>
    </row>
    <row r="17674">
      <c r="A17674" s="1" t="s">
        <v>28930</v>
      </c>
      <c r="B17674" s="2" t="s">
        <v>26250</v>
      </c>
      <c r="C17674" s="1" t="s">
        <v>5652</v>
      </c>
      <c r="D17674" s="1" t="s">
        <v>5653</v>
      </c>
    </row>
    <row r="17675">
      <c r="A17675" s="1" t="s">
        <v>28931</v>
      </c>
      <c r="B17675" s="2" t="s">
        <v>26252</v>
      </c>
      <c r="C17675" s="1" t="s">
        <v>5652</v>
      </c>
      <c r="D17675" s="1" t="s">
        <v>5653</v>
      </c>
    </row>
    <row r="17676">
      <c r="A17676" s="1" t="s">
        <v>28932</v>
      </c>
      <c r="B17676" s="2" t="s">
        <v>26254</v>
      </c>
      <c r="C17676" s="1" t="s">
        <v>5652</v>
      </c>
      <c r="D17676" s="1" t="s">
        <v>5653</v>
      </c>
    </row>
    <row r="17677">
      <c r="A17677" s="1" t="s">
        <v>28933</v>
      </c>
      <c r="B17677" s="2" t="s">
        <v>26256</v>
      </c>
      <c r="C17677" s="1" t="s">
        <v>5652</v>
      </c>
      <c r="D17677" s="1" t="s">
        <v>5653</v>
      </c>
    </row>
    <row r="17678">
      <c r="A17678" s="1" t="s">
        <v>28934</v>
      </c>
      <c r="B17678" s="2" t="s">
        <v>26258</v>
      </c>
      <c r="C17678" s="1" t="s">
        <v>5652</v>
      </c>
      <c r="D17678" s="1" t="s">
        <v>5653</v>
      </c>
    </row>
    <row r="17679">
      <c r="A17679" s="1" t="s">
        <v>28935</v>
      </c>
      <c r="B17679" s="2" t="s">
        <v>26260</v>
      </c>
      <c r="C17679" s="1" t="s">
        <v>5652</v>
      </c>
      <c r="D17679" s="1" t="s">
        <v>5653</v>
      </c>
    </row>
    <row r="17680">
      <c r="A17680" s="1" t="s">
        <v>28936</v>
      </c>
      <c r="B17680" s="2" t="s">
        <v>26262</v>
      </c>
      <c r="C17680" s="1" t="s">
        <v>5652</v>
      </c>
      <c r="D17680" s="1" t="s">
        <v>5653</v>
      </c>
    </row>
    <row r="17681">
      <c r="A17681" s="1" t="s">
        <v>28937</v>
      </c>
      <c r="B17681" s="2" t="s">
        <v>26264</v>
      </c>
      <c r="C17681" s="1" t="s">
        <v>5652</v>
      </c>
      <c r="D17681" s="1" t="s">
        <v>5653</v>
      </c>
    </row>
    <row r="17682">
      <c r="A17682" s="1" t="s">
        <v>28938</v>
      </c>
      <c r="B17682" s="2" t="s">
        <v>26266</v>
      </c>
      <c r="C17682" s="1" t="s">
        <v>5652</v>
      </c>
      <c r="D17682" s="1" t="s">
        <v>5653</v>
      </c>
    </row>
    <row r="17683">
      <c r="A17683" s="1" t="s">
        <v>28939</v>
      </c>
      <c r="B17683" s="2" t="s">
        <v>26268</v>
      </c>
      <c r="C17683" s="1" t="s">
        <v>5652</v>
      </c>
      <c r="D17683" s="1" t="s">
        <v>5653</v>
      </c>
    </row>
    <row r="17684">
      <c r="A17684" s="1" t="s">
        <v>28940</v>
      </c>
      <c r="B17684" s="2" t="s">
        <v>26270</v>
      </c>
      <c r="C17684" s="1" t="s">
        <v>5652</v>
      </c>
      <c r="D17684" s="1" t="s">
        <v>5653</v>
      </c>
    </row>
    <row r="17685">
      <c r="A17685" s="1" t="s">
        <v>28941</v>
      </c>
      <c r="B17685" s="2" t="s">
        <v>26272</v>
      </c>
      <c r="C17685" s="1" t="s">
        <v>5652</v>
      </c>
      <c r="D17685" s="1" t="s">
        <v>5653</v>
      </c>
    </row>
    <row r="17686">
      <c r="A17686" s="1" t="s">
        <v>28942</v>
      </c>
      <c r="B17686" s="2" t="s">
        <v>26274</v>
      </c>
      <c r="C17686" s="1" t="s">
        <v>5652</v>
      </c>
      <c r="D17686" s="1" t="s">
        <v>5653</v>
      </c>
    </row>
    <row r="17687">
      <c r="A17687" s="1" t="s">
        <v>28943</v>
      </c>
      <c r="B17687" s="2" t="s">
        <v>26276</v>
      </c>
      <c r="C17687" s="1" t="s">
        <v>5652</v>
      </c>
      <c r="D17687" s="1" t="s">
        <v>5653</v>
      </c>
    </row>
    <row r="17688">
      <c r="A17688" s="1" t="s">
        <v>28944</v>
      </c>
      <c r="B17688" s="2" t="s">
        <v>26278</v>
      </c>
      <c r="C17688" s="1" t="s">
        <v>5652</v>
      </c>
      <c r="D17688" s="1" t="s">
        <v>5653</v>
      </c>
    </row>
    <row r="17689">
      <c r="A17689" s="1" t="s">
        <v>28945</v>
      </c>
      <c r="B17689" s="2" t="s">
        <v>26280</v>
      </c>
      <c r="C17689" s="1" t="s">
        <v>5652</v>
      </c>
      <c r="D17689" s="1" t="s">
        <v>5653</v>
      </c>
    </row>
    <row r="17690">
      <c r="A17690" s="1" t="s">
        <v>28946</v>
      </c>
      <c r="B17690" s="2" t="s">
        <v>26282</v>
      </c>
      <c r="C17690" s="1" t="s">
        <v>5652</v>
      </c>
      <c r="D17690" s="1" t="s">
        <v>5653</v>
      </c>
    </row>
    <row r="17691">
      <c r="A17691" s="1" t="s">
        <v>28947</v>
      </c>
      <c r="B17691" s="2" t="s">
        <v>26284</v>
      </c>
      <c r="C17691" s="1" t="s">
        <v>5652</v>
      </c>
      <c r="D17691" s="1" t="s">
        <v>5653</v>
      </c>
    </row>
    <row r="17692">
      <c r="A17692" s="1" t="s">
        <v>28948</v>
      </c>
      <c r="B17692" s="2" t="s">
        <v>26286</v>
      </c>
      <c r="C17692" s="1" t="s">
        <v>5652</v>
      </c>
      <c r="D17692" s="1" t="s">
        <v>5653</v>
      </c>
    </row>
    <row r="17693">
      <c r="A17693" s="1" t="s">
        <v>28949</v>
      </c>
      <c r="B17693" s="2" t="s">
        <v>26288</v>
      </c>
      <c r="C17693" s="1" t="s">
        <v>5652</v>
      </c>
      <c r="D17693" s="1" t="s">
        <v>5653</v>
      </c>
    </row>
    <row r="17694">
      <c r="A17694" s="1" t="s">
        <v>28950</v>
      </c>
      <c r="B17694" s="2" t="s">
        <v>26290</v>
      </c>
      <c r="C17694" s="1" t="s">
        <v>5652</v>
      </c>
      <c r="D17694" s="1" t="s">
        <v>5653</v>
      </c>
    </row>
    <row r="17695">
      <c r="A17695" s="1" t="s">
        <v>28951</v>
      </c>
      <c r="B17695" s="2" t="s">
        <v>26292</v>
      </c>
      <c r="C17695" s="1" t="s">
        <v>5652</v>
      </c>
      <c r="D17695" s="1" t="s">
        <v>5653</v>
      </c>
    </row>
    <row r="17696">
      <c r="A17696" s="1" t="s">
        <v>28952</v>
      </c>
      <c r="B17696" s="2" t="s">
        <v>26294</v>
      </c>
      <c r="C17696" s="1" t="s">
        <v>5652</v>
      </c>
      <c r="D17696" s="1" t="s">
        <v>5653</v>
      </c>
    </row>
    <row r="17697">
      <c r="A17697" s="1" t="s">
        <v>28953</v>
      </c>
      <c r="B17697" s="2" t="s">
        <v>26296</v>
      </c>
      <c r="C17697" s="1" t="s">
        <v>5652</v>
      </c>
      <c r="D17697" s="1" t="s">
        <v>5653</v>
      </c>
    </row>
    <row r="17698">
      <c r="A17698" s="1" t="s">
        <v>28954</v>
      </c>
      <c r="B17698" s="2" t="s">
        <v>26298</v>
      </c>
      <c r="C17698" s="1" t="s">
        <v>5652</v>
      </c>
      <c r="D17698" s="1" t="s">
        <v>5653</v>
      </c>
    </row>
    <row r="17699">
      <c r="A17699" s="1" t="s">
        <v>28955</v>
      </c>
      <c r="B17699" s="2" t="s">
        <v>26300</v>
      </c>
      <c r="C17699" s="1" t="s">
        <v>5652</v>
      </c>
      <c r="D17699" s="1" t="s">
        <v>5653</v>
      </c>
    </row>
    <row r="17700">
      <c r="A17700" s="1" t="s">
        <v>28956</v>
      </c>
      <c r="B17700" s="2" t="s">
        <v>26302</v>
      </c>
      <c r="C17700" s="1" t="s">
        <v>5652</v>
      </c>
      <c r="D17700" s="1" t="s">
        <v>5653</v>
      </c>
    </row>
    <row r="17701">
      <c r="A17701" s="1" t="s">
        <v>28957</v>
      </c>
      <c r="B17701" s="2" t="s">
        <v>26304</v>
      </c>
      <c r="C17701" s="1" t="s">
        <v>5652</v>
      </c>
      <c r="D17701" s="1" t="s">
        <v>5653</v>
      </c>
    </row>
    <row r="17702">
      <c r="A17702" s="1" t="s">
        <v>28958</v>
      </c>
      <c r="B17702" s="2" t="s">
        <v>26306</v>
      </c>
      <c r="C17702" s="1" t="s">
        <v>5652</v>
      </c>
      <c r="D17702" s="1" t="s">
        <v>5653</v>
      </c>
    </row>
    <row r="17703">
      <c r="A17703" s="1" t="s">
        <v>28959</v>
      </c>
      <c r="B17703" s="2" t="s">
        <v>26308</v>
      </c>
      <c r="C17703" s="1" t="s">
        <v>5652</v>
      </c>
      <c r="D17703" s="1" t="s">
        <v>5653</v>
      </c>
    </row>
    <row r="17704">
      <c r="A17704" s="1" t="s">
        <v>28960</v>
      </c>
      <c r="B17704" s="2" t="s">
        <v>26310</v>
      </c>
      <c r="C17704" s="1" t="s">
        <v>5652</v>
      </c>
      <c r="D17704" s="1" t="s">
        <v>5653</v>
      </c>
    </row>
    <row r="17705">
      <c r="A17705" s="1" t="s">
        <v>28961</v>
      </c>
      <c r="B17705" s="2" t="s">
        <v>26312</v>
      </c>
      <c r="C17705" s="1" t="s">
        <v>5652</v>
      </c>
      <c r="D17705" s="1" t="s">
        <v>5653</v>
      </c>
    </row>
    <row r="17706">
      <c r="A17706" s="1" t="s">
        <v>28962</v>
      </c>
      <c r="B17706" s="2" t="s">
        <v>26314</v>
      </c>
      <c r="C17706" s="1" t="s">
        <v>5652</v>
      </c>
      <c r="D17706" s="1" t="s">
        <v>5653</v>
      </c>
    </row>
    <row r="17707">
      <c r="A17707" s="1" t="s">
        <v>28963</v>
      </c>
      <c r="B17707" s="2" t="s">
        <v>26316</v>
      </c>
      <c r="C17707" s="1" t="s">
        <v>5652</v>
      </c>
      <c r="D17707" s="1" t="s">
        <v>5653</v>
      </c>
    </row>
    <row r="17708">
      <c r="A17708" s="1" t="s">
        <v>28964</v>
      </c>
      <c r="B17708" s="2" t="s">
        <v>26318</v>
      </c>
      <c r="C17708" s="1" t="s">
        <v>5652</v>
      </c>
      <c r="D17708" s="1" t="s">
        <v>5653</v>
      </c>
    </row>
    <row r="17709">
      <c r="A17709" s="1" t="s">
        <v>28965</v>
      </c>
      <c r="B17709" s="2" t="s">
        <v>26320</v>
      </c>
      <c r="C17709" s="1" t="s">
        <v>5652</v>
      </c>
      <c r="D17709" s="1" t="s">
        <v>5653</v>
      </c>
    </row>
    <row r="17710">
      <c r="A17710" s="1" t="s">
        <v>28966</v>
      </c>
      <c r="B17710" s="2" t="s">
        <v>26322</v>
      </c>
      <c r="C17710" s="1" t="s">
        <v>5652</v>
      </c>
      <c r="D17710" s="1" t="s">
        <v>5653</v>
      </c>
    </row>
    <row r="17711">
      <c r="A17711" s="1" t="s">
        <v>28967</v>
      </c>
      <c r="B17711" s="2" t="s">
        <v>26324</v>
      </c>
      <c r="C17711" s="1" t="s">
        <v>5652</v>
      </c>
      <c r="D17711" s="1" t="s">
        <v>5653</v>
      </c>
    </row>
    <row r="17712">
      <c r="A17712" s="1" t="s">
        <v>28968</v>
      </c>
      <c r="B17712" s="2" t="s">
        <v>26326</v>
      </c>
      <c r="C17712" s="1" t="s">
        <v>5652</v>
      </c>
      <c r="D17712" s="1" t="s">
        <v>5653</v>
      </c>
    </row>
    <row r="17713">
      <c r="A17713" s="1" t="s">
        <v>28969</v>
      </c>
      <c r="B17713" s="2" t="s">
        <v>26328</v>
      </c>
      <c r="C17713" s="1" t="s">
        <v>5652</v>
      </c>
      <c r="D17713" s="1" t="s">
        <v>5653</v>
      </c>
    </row>
    <row r="17714">
      <c r="A17714" s="1" t="s">
        <v>28970</v>
      </c>
      <c r="B17714" s="2" t="s">
        <v>26330</v>
      </c>
      <c r="C17714" s="1" t="s">
        <v>5652</v>
      </c>
      <c r="D17714" s="1" t="s">
        <v>5653</v>
      </c>
    </row>
    <row r="17715">
      <c r="A17715" s="1" t="s">
        <v>28971</v>
      </c>
      <c r="B17715" s="2" t="s">
        <v>26332</v>
      </c>
      <c r="C17715" s="1" t="s">
        <v>5652</v>
      </c>
      <c r="D17715" s="1" t="s">
        <v>5653</v>
      </c>
    </row>
    <row r="17716">
      <c r="A17716" s="1" t="s">
        <v>28972</v>
      </c>
      <c r="B17716" s="2" t="s">
        <v>26334</v>
      </c>
      <c r="C17716" s="1" t="s">
        <v>5652</v>
      </c>
      <c r="D17716" s="1" t="s">
        <v>5653</v>
      </c>
    </row>
    <row r="17717">
      <c r="A17717" s="1" t="s">
        <v>28973</v>
      </c>
      <c r="B17717" s="2" t="s">
        <v>26336</v>
      </c>
      <c r="C17717" s="1" t="s">
        <v>5652</v>
      </c>
      <c r="D17717" s="1" t="s">
        <v>5653</v>
      </c>
    </row>
    <row r="17718">
      <c r="A17718" s="1" t="s">
        <v>28974</v>
      </c>
      <c r="B17718" s="2" t="s">
        <v>26338</v>
      </c>
      <c r="C17718" s="1" t="s">
        <v>5652</v>
      </c>
      <c r="D17718" s="1" t="s">
        <v>5653</v>
      </c>
    </row>
    <row r="17719">
      <c r="A17719" s="1" t="s">
        <v>28975</v>
      </c>
      <c r="B17719" s="2" t="s">
        <v>26340</v>
      </c>
      <c r="C17719" s="1" t="s">
        <v>5652</v>
      </c>
      <c r="D17719" s="1" t="s">
        <v>5653</v>
      </c>
    </row>
    <row r="17720">
      <c r="A17720" s="1" t="s">
        <v>28976</v>
      </c>
      <c r="B17720" s="2" t="s">
        <v>26342</v>
      </c>
      <c r="C17720" s="1" t="s">
        <v>5652</v>
      </c>
      <c r="D17720" s="1" t="s">
        <v>5653</v>
      </c>
    </row>
    <row r="17721">
      <c r="A17721" s="1" t="s">
        <v>28977</v>
      </c>
      <c r="B17721" s="2" t="s">
        <v>26344</v>
      </c>
      <c r="C17721" s="1" t="s">
        <v>5652</v>
      </c>
      <c r="D17721" s="1" t="s">
        <v>5653</v>
      </c>
    </row>
    <row r="17722">
      <c r="A17722" s="1" t="s">
        <v>28978</v>
      </c>
      <c r="B17722" s="2" t="s">
        <v>26346</v>
      </c>
      <c r="C17722" s="1" t="s">
        <v>5652</v>
      </c>
      <c r="D17722" s="1" t="s">
        <v>5653</v>
      </c>
    </row>
    <row r="17723">
      <c r="A17723" s="1" t="s">
        <v>28979</v>
      </c>
      <c r="B17723" s="2" t="s">
        <v>26348</v>
      </c>
      <c r="C17723" s="1" t="s">
        <v>5652</v>
      </c>
      <c r="D17723" s="1" t="s">
        <v>5653</v>
      </c>
    </row>
    <row r="17724">
      <c r="A17724" s="1" t="s">
        <v>28980</v>
      </c>
      <c r="B17724" s="2" t="s">
        <v>26350</v>
      </c>
      <c r="C17724" s="1" t="s">
        <v>5652</v>
      </c>
      <c r="D17724" s="1" t="s">
        <v>5653</v>
      </c>
    </row>
    <row r="17725">
      <c r="A17725" s="1" t="s">
        <v>28981</v>
      </c>
      <c r="B17725" s="2" t="s">
        <v>26352</v>
      </c>
      <c r="C17725" s="1" t="s">
        <v>5652</v>
      </c>
      <c r="D17725" s="1" t="s">
        <v>5653</v>
      </c>
    </row>
    <row r="17726">
      <c r="A17726" s="1" t="s">
        <v>28982</v>
      </c>
      <c r="B17726" s="2" t="s">
        <v>26354</v>
      </c>
      <c r="C17726" s="1" t="s">
        <v>5652</v>
      </c>
      <c r="D17726" s="1" t="s">
        <v>5653</v>
      </c>
    </row>
    <row r="17727">
      <c r="A17727" s="1" t="s">
        <v>28983</v>
      </c>
      <c r="B17727" s="2" t="s">
        <v>26356</v>
      </c>
      <c r="C17727" s="1" t="s">
        <v>5652</v>
      </c>
      <c r="D17727" s="1" t="s">
        <v>5653</v>
      </c>
    </row>
    <row r="17728">
      <c r="A17728" s="1" t="s">
        <v>28984</v>
      </c>
      <c r="B17728" s="2" t="s">
        <v>26358</v>
      </c>
      <c r="C17728" s="1" t="s">
        <v>5652</v>
      </c>
      <c r="D17728" s="1" t="s">
        <v>5653</v>
      </c>
    </row>
    <row r="17729">
      <c r="A17729" s="1" t="s">
        <v>28985</v>
      </c>
      <c r="B17729" s="2" t="s">
        <v>26360</v>
      </c>
      <c r="C17729" s="1" t="s">
        <v>5652</v>
      </c>
      <c r="D17729" s="1" t="s">
        <v>5653</v>
      </c>
    </row>
    <row r="17730">
      <c r="A17730" s="1" t="s">
        <v>28986</v>
      </c>
      <c r="B17730" s="2" t="s">
        <v>26362</v>
      </c>
      <c r="C17730" s="1" t="s">
        <v>5652</v>
      </c>
      <c r="D17730" s="1" t="s">
        <v>5653</v>
      </c>
    </row>
    <row r="17731">
      <c r="A17731" s="1" t="s">
        <v>28987</v>
      </c>
      <c r="B17731" s="2" t="s">
        <v>26364</v>
      </c>
      <c r="C17731" s="1" t="s">
        <v>5652</v>
      </c>
      <c r="D17731" s="1" t="s">
        <v>5653</v>
      </c>
    </row>
    <row r="17732">
      <c r="A17732" s="1" t="s">
        <v>28988</v>
      </c>
      <c r="B17732" s="2" t="s">
        <v>26366</v>
      </c>
      <c r="C17732" s="1" t="s">
        <v>5652</v>
      </c>
      <c r="D17732" s="1" t="s">
        <v>5653</v>
      </c>
    </row>
    <row r="17733">
      <c r="A17733" s="1" t="s">
        <v>28989</v>
      </c>
      <c r="B17733" s="2" t="s">
        <v>26368</v>
      </c>
      <c r="C17733" s="1" t="s">
        <v>5652</v>
      </c>
      <c r="D17733" s="1" t="s">
        <v>5653</v>
      </c>
    </row>
    <row r="17734">
      <c r="A17734" s="1" t="s">
        <v>28990</v>
      </c>
      <c r="B17734" s="2" t="s">
        <v>26370</v>
      </c>
      <c r="C17734" s="1" t="s">
        <v>5652</v>
      </c>
      <c r="D17734" s="1" t="s">
        <v>5653</v>
      </c>
    </row>
    <row r="17735">
      <c r="A17735" s="1" t="s">
        <v>28991</v>
      </c>
      <c r="B17735" s="2" t="s">
        <v>26372</v>
      </c>
      <c r="C17735" s="1" t="s">
        <v>5652</v>
      </c>
      <c r="D17735" s="1" t="s">
        <v>5653</v>
      </c>
    </row>
    <row r="17736">
      <c r="A17736" s="1" t="s">
        <v>28992</v>
      </c>
      <c r="B17736" s="2" t="s">
        <v>26374</v>
      </c>
      <c r="C17736" s="1" t="s">
        <v>5652</v>
      </c>
      <c r="D17736" s="1" t="s">
        <v>5653</v>
      </c>
    </row>
    <row r="17737">
      <c r="A17737" s="1" t="s">
        <v>28993</v>
      </c>
      <c r="B17737" s="2" t="s">
        <v>26376</v>
      </c>
      <c r="C17737" s="1" t="s">
        <v>5652</v>
      </c>
      <c r="D17737" s="1" t="s">
        <v>5653</v>
      </c>
    </row>
    <row r="17738">
      <c r="A17738" s="1" t="s">
        <v>28994</v>
      </c>
      <c r="B17738" s="2" t="s">
        <v>26378</v>
      </c>
      <c r="C17738" s="1" t="s">
        <v>5652</v>
      </c>
      <c r="D17738" s="1" t="s">
        <v>5653</v>
      </c>
    </row>
    <row r="17739">
      <c r="A17739" s="1" t="s">
        <v>28995</v>
      </c>
      <c r="B17739" s="2" t="s">
        <v>26380</v>
      </c>
      <c r="C17739" s="1" t="s">
        <v>5652</v>
      </c>
      <c r="D17739" s="1" t="s">
        <v>5653</v>
      </c>
    </row>
    <row r="17740">
      <c r="A17740" s="1" t="s">
        <v>28996</v>
      </c>
      <c r="B17740" s="2" t="s">
        <v>26382</v>
      </c>
      <c r="C17740" s="1" t="s">
        <v>5652</v>
      </c>
      <c r="D17740" s="1" t="s">
        <v>5653</v>
      </c>
    </row>
    <row r="17741">
      <c r="A17741" s="1" t="s">
        <v>28997</v>
      </c>
      <c r="B17741" s="2" t="s">
        <v>26384</v>
      </c>
      <c r="C17741" s="1" t="s">
        <v>5652</v>
      </c>
      <c r="D17741" s="1" t="s">
        <v>5653</v>
      </c>
    </row>
    <row r="17742">
      <c r="A17742" s="1" t="s">
        <v>28998</v>
      </c>
      <c r="B17742" s="2" t="s">
        <v>26386</v>
      </c>
      <c r="C17742" s="1" t="s">
        <v>5652</v>
      </c>
      <c r="D17742" s="1" t="s">
        <v>5653</v>
      </c>
    </row>
    <row r="17743">
      <c r="A17743" s="1" t="s">
        <v>28999</v>
      </c>
      <c r="B17743" s="2" t="s">
        <v>26388</v>
      </c>
      <c r="C17743" s="1" t="s">
        <v>5652</v>
      </c>
      <c r="D17743" s="1" t="s">
        <v>5653</v>
      </c>
    </row>
    <row r="17744">
      <c r="A17744" s="1" t="s">
        <v>29000</v>
      </c>
      <c r="B17744" s="2" t="s">
        <v>26390</v>
      </c>
      <c r="C17744" s="1" t="s">
        <v>5652</v>
      </c>
      <c r="D17744" s="1" t="s">
        <v>5653</v>
      </c>
    </row>
    <row r="17745">
      <c r="A17745" s="1" t="s">
        <v>29001</v>
      </c>
      <c r="B17745" s="2" t="s">
        <v>26392</v>
      </c>
      <c r="C17745" s="1" t="s">
        <v>5652</v>
      </c>
      <c r="D17745" s="1" t="s">
        <v>5653</v>
      </c>
    </row>
    <row r="17746">
      <c r="A17746" s="1" t="s">
        <v>29002</v>
      </c>
      <c r="B17746" s="2" t="s">
        <v>26394</v>
      </c>
      <c r="C17746" s="1" t="s">
        <v>5652</v>
      </c>
      <c r="D17746" s="1" t="s">
        <v>5653</v>
      </c>
    </row>
    <row r="17747">
      <c r="A17747" s="1" t="s">
        <v>29003</v>
      </c>
      <c r="B17747" s="2" t="s">
        <v>26396</v>
      </c>
      <c r="C17747" s="1" t="s">
        <v>5652</v>
      </c>
      <c r="D17747" s="1" t="s">
        <v>5653</v>
      </c>
    </row>
    <row r="17748">
      <c r="A17748" s="1" t="s">
        <v>29004</v>
      </c>
      <c r="B17748" s="2" t="s">
        <v>26398</v>
      </c>
      <c r="C17748" s="1" t="s">
        <v>5652</v>
      </c>
      <c r="D17748" s="1" t="s">
        <v>5653</v>
      </c>
    </row>
    <row r="17749">
      <c r="A17749" s="1" t="s">
        <v>29005</v>
      </c>
      <c r="B17749" s="2" t="s">
        <v>26400</v>
      </c>
      <c r="C17749" s="1" t="s">
        <v>5652</v>
      </c>
      <c r="D17749" s="1" t="s">
        <v>5653</v>
      </c>
    </row>
    <row r="17750">
      <c r="A17750" s="1" t="s">
        <v>29006</v>
      </c>
      <c r="B17750" s="2" t="s">
        <v>26402</v>
      </c>
      <c r="C17750" s="1" t="s">
        <v>5652</v>
      </c>
      <c r="D17750" s="1" t="s">
        <v>5653</v>
      </c>
    </row>
    <row r="17751">
      <c r="A17751" s="1" t="s">
        <v>29007</v>
      </c>
      <c r="B17751" s="2" t="s">
        <v>26404</v>
      </c>
      <c r="C17751" s="1" t="s">
        <v>5652</v>
      </c>
      <c r="D17751" s="1" t="s">
        <v>5653</v>
      </c>
    </row>
    <row r="17752">
      <c r="A17752" s="1" t="s">
        <v>29008</v>
      </c>
      <c r="B17752" s="2" t="s">
        <v>26406</v>
      </c>
      <c r="C17752" s="1" t="s">
        <v>5652</v>
      </c>
      <c r="D17752" s="1" t="s">
        <v>5653</v>
      </c>
    </row>
    <row r="17753">
      <c r="A17753" s="1" t="s">
        <v>29009</v>
      </c>
      <c r="B17753" s="2" t="s">
        <v>26408</v>
      </c>
      <c r="C17753" s="1" t="s">
        <v>5652</v>
      </c>
      <c r="D17753" s="1" t="s">
        <v>5653</v>
      </c>
    </row>
    <row r="17754">
      <c r="A17754" s="1" t="s">
        <v>29010</v>
      </c>
      <c r="B17754" s="2" t="s">
        <v>26410</v>
      </c>
      <c r="C17754" s="1" t="s">
        <v>5652</v>
      </c>
      <c r="D17754" s="1" t="s">
        <v>5653</v>
      </c>
    </row>
    <row r="17755">
      <c r="A17755" s="1" t="s">
        <v>29011</v>
      </c>
      <c r="B17755" s="2" t="s">
        <v>26412</v>
      </c>
      <c r="C17755" s="1" t="s">
        <v>5652</v>
      </c>
      <c r="D17755" s="1" t="s">
        <v>5653</v>
      </c>
    </row>
    <row r="17756">
      <c r="A17756" s="1" t="s">
        <v>29012</v>
      </c>
      <c r="B17756" s="2" t="s">
        <v>26414</v>
      </c>
      <c r="C17756" s="1" t="s">
        <v>5652</v>
      </c>
      <c r="D17756" s="1" t="s">
        <v>5653</v>
      </c>
    </row>
    <row r="17757">
      <c r="A17757" s="1" t="s">
        <v>29013</v>
      </c>
      <c r="B17757" s="2" t="s">
        <v>26416</v>
      </c>
      <c r="C17757" s="1" t="s">
        <v>5652</v>
      </c>
      <c r="D17757" s="1" t="s">
        <v>5653</v>
      </c>
    </row>
    <row r="17758">
      <c r="A17758" s="1" t="s">
        <v>29014</v>
      </c>
      <c r="B17758" s="2" t="s">
        <v>26418</v>
      </c>
      <c r="C17758" s="1" t="s">
        <v>5652</v>
      </c>
      <c r="D17758" s="1" t="s">
        <v>5653</v>
      </c>
    </row>
    <row r="17759">
      <c r="A17759" s="1" t="s">
        <v>29015</v>
      </c>
      <c r="B17759" s="2" t="s">
        <v>26420</v>
      </c>
      <c r="C17759" s="1" t="s">
        <v>5652</v>
      </c>
      <c r="D17759" s="1" t="s">
        <v>5653</v>
      </c>
    </row>
    <row r="17760">
      <c r="A17760" s="1" t="s">
        <v>29016</v>
      </c>
      <c r="B17760" s="2" t="s">
        <v>26422</v>
      </c>
      <c r="C17760" s="1" t="s">
        <v>5652</v>
      </c>
      <c r="D17760" s="1" t="s">
        <v>5653</v>
      </c>
    </row>
    <row r="17761">
      <c r="A17761" s="1" t="s">
        <v>29017</v>
      </c>
      <c r="B17761" s="2" t="s">
        <v>26424</v>
      </c>
      <c r="C17761" s="1" t="s">
        <v>5652</v>
      </c>
      <c r="D17761" s="1" t="s">
        <v>5653</v>
      </c>
    </row>
    <row r="17762">
      <c r="A17762" s="1" t="s">
        <v>29018</v>
      </c>
      <c r="B17762" s="2" t="s">
        <v>26426</v>
      </c>
      <c r="C17762" s="1" t="s">
        <v>5652</v>
      </c>
      <c r="D17762" s="1" t="s">
        <v>5653</v>
      </c>
    </row>
    <row r="17763">
      <c r="A17763" s="1" t="s">
        <v>29019</v>
      </c>
      <c r="B17763" s="2" t="s">
        <v>26428</v>
      </c>
      <c r="C17763" s="1" t="s">
        <v>5652</v>
      </c>
      <c r="D17763" s="1" t="s">
        <v>5653</v>
      </c>
    </row>
    <row r="17764">
      <c r="A17764" s="1" t="s">
        <v>29020</v>
      </c>
      <c r="B17764" s="2" t="s">
        <v>26430</v>
      </c>
      <c r="C17764" s="1" t="s">
        <v>5652</v>
      </c>
      <c r="D17764" s="1" t="s">
        <v>5653</v>
      </c>
    </row>
    <row r="17765">
      <c r="A17765" s="1" t="s">
        <v>29021</v>
      </c>
      <c r="B17765" s="2" t="s">
        <v>26432</v>
      </c>
      <c r="C17765" s="1" t="s">
        <v>5652</v>
      </c>
      <c r="D17765" s="1" t="s">
        <v>5653</v>
      </c>
    </row>
    <row r="17766">
      <c r="A17766" s="1" t="s">
        <v>29022</v>
      </c>
      <c r="B17766" s="2" t="s">
        <v>26434</v>
      </c>
      <c r="C17766" s="1" t="s">
        <v>5652</v>
      </c>
      <c r="D17766" s="1" t="s">
        <v>5653</v>
      </c>
    </row>
    <row r="17767">
      <c r="A17767" s="1" t="s">
        <v>29023</v>
      </c>
      <c r="B17767" s="2" t="s">
        <v>26436</v>
      </c>
      <c r="C17767" s="1" t="s">
        <v>5652</v>
      </c>
      <c r="D17767" s="1" t="s">
        <v>5653</v>
      </c>
    </row>
    <row r="17768">
      <c r="A17768" s="1" t="s">
        <v>29024</v>
      </c>
      <c r="B17768" s="2" t="s">
        <v>26438</v>
      </c>
      <c r="C17768" s="1" t="s">
        <v>5652</v>
      </c>
      <c r="D17768" s="1" t="s">
        <v>5653</v>
      </c>
    </row>
    <row r="17769">
      <c r="A17769" s="1" t="s">
        <v>29025</v>
      </c>
      <c r="B17769" s="2" t="s">
        <v>26440</v>
      </c>
      <c r="C17769" s="1" t="s">
        <v>5652</v>
      </c>
      <c r="D17769" s="1" t="s">
        <v>5653</v>
      </c>
    </row>
    <row r="17770">
      <c r="A17770" s="1" t="s">
        <v>29026</v>
      </c>
      <c r="B17770" s="2" t="s">
        <v>26442</v>
      </c>
      <c r="C17770" s="1" t="s">
        <v>5652</v>
      </c>
      <c r="D17770" s="1" t="s">
        <v>5653</v>
      </c>
    </row>
    <row r="17771">
      <c r="A17771" s="1" t="s">
        <v>29027</v>
      </c>
      <c r="B17771" s="2" t="s">
        <v>26444</v>
      </c>
      <c r="C17771" s="1" t="s">
        <v>5652</v>
      </c>
      <c r="D17771" s="1" t="s">
        <v>5653</v>
      </c>
    </row>
    <row r="17772">
      <c r="A17772" s="1" t="s">
        <v>29028</v>
      </c>
      <c r="B17772" s="2" t="s">
        <v>26446</v>
      </c>
      <c r="C17772" s="1" t="s">
        <v>5652</v>
      </c>
      <c r="D17772" s="1" t="s">
        <v>5653</v>
      </c>
    </row>
    <row r="17773">
      <c r="A17773" s="1" t="s">
        <v>29029</v>
      </c>
      <c r="B17773" s="2" t="s">
        <v>26448</v>
      </c>
      <c r="C17773" s="1" t="s">
        <v>5652</v>
      </c>
      <c r="D17773" s="1" t="s">
        <v>5653</v>
      </c>
    </row>
    <row r="17774">
      <c r="A17774" s="1" t="s">
        <v>29030</v>
      </c>
      <c r="B17774" s="2" t="s">
        <v>26450</v>
      </c>
      <c r="C17774" s="1" t="s">
        <v>5652</v>
      </c>
      <c r="D17774" s="1" t="s">
        <v>5653</v>
      </c>
    </row>
    <row r="17775">
      <c r="A17775" s="1" t="s">
        <v>29031</v>
      </c>
      <c r="B17775" s="2" t="s">
        <v>26452</v>
      </c>
      <c r="C17775" s="1" t="s">
        <v>5652</v>
      </c>
      <c r="D17775" s="1" t="s">
        <v>5653</v>
      </c>
    </row>
    <row r="17776">
      <c r="A17776" s="1" t="s">
        <v>29032</v>
      </c>
      <c r="B17776" s="2" t="s">
        <v>26454</v>
      </c>
      <c r="C17776" s="1" t="s">
        <v>5652</v>
      </c>
      <c r="D17776" s="1" t="s">
        <v>5653</v>
      </c>
    </row>
    <row r="17777">
      <c r="A17777" s="1" t="s">
        <v>29033</v>
      </c>
      <c r="B17777" s="2" t="s">
        <v>26456</v>
      </c>
      <c r="C17777" s="1" t="s">
        <v>5652</v>
      </c>
      <c r="D17777" s="1" t="s">
        <v>5653</v>
      </c>
    </row>
    <row r="17778">
      <c r="A17778" s="1" t="s">
        <v>29034</v>
      </c>
      <c r="B17778" s="2" t="s">
        <v>26458</v>
      </c>
      <c r="C17778" s="1" t="s">
        <v>5652</v>
      </c>
      <c r="D17778" s="1" t="s">
        <v>5653</v>
      </c>
    </row>
    <row r="17779">
      <c r="A17779" s="1" t="s">
        <v>29035</v>
      </c>
      <c r="B17779" s="2" t="s">
        <v>26460</v>
      </c>
      <c r="C17779" s="1" t="s">
        <v>5652</v>
      </c>
      <c r="D17779" s="1" t="s">
        <v>5653</v>
      </c>
    </row>
    <row r="17780">
      <c r="A17780" s="1" t="s">
        <v>29036</v>
      </c>
      <c r="B17780" s="2" t="s">
        <v>26462</v>
      </c>
      <c r="C17780" s="1" t="s">
        <v>5652</v>
      </c>
      <c r="D17780" s="1" t="s">
        <v>5653</v>
      </c>
    </row>
    <row r="17781">
      <c r="A17781" s="1" t="s">
        <v>29037</v>
      </c>
      <c r="B17781" s="2" t="s">
        <v>26464</v>
      </c>
      <c r="C17781" s="1" t="s">
        <v>5652</v>
      </c>
      <c r="D17781" s="1" t="s">
        <v>5653</v>
      </c>
    </row>
    <row r="17782">
      <c r="A17782" s="1" t="s">
        <v>29038</v>
      </c>
      <c r="B17782" s="2" t="s">
        <v>26466</v>
      </c>
      <c r="C17782" s="1" t="s">
        <v>5652</v>
      </c>
      <c r="D17782" s="1" t="s">
        <v>5653</v>
      </c>
    </row>
    <row r="17783">
      <c r="A17783" s="1" t="s">
        <v>29039</v>
      </c>
      <c r="B17783" s="2" t="s">
        <v>26468</v>
      </c>
      <c r="C17783" s="1" t="s">
        <v>5652</v>
      </c>
      <c r="D17783" s="1" t="s">
        <v>5653</v>
      </c>
    </row>
    <row r="17784">
      <c r="A17784" s="1" t="s">
        <v>29040</v>
      </c>
      <c r="B17784" s="2" t="s">
        <v>26470</v>
      </c>
      <c r="C17784" s="1" t="s">
        <v>5652</v>
      </c>
      <c r="D17784" s="1" t="s">
        <v>5653</v>
      </c>
    </row>
    <row r="17785">
      <c r="A17785" s="1" t="s">
        <v>29041</v>
      </c>
      <c r="B17785" s="2" t="s">
        <v>26472</v>
      </c>
      <c r="C17785" s="1" t="s">
        <v>5652</v>
      </c>
      <c r="D17785" s="1" t="s">
        <v>5653</v>
      </c>
    </row>
    <row r="17786">
      <c r="A17786" s="1" t="s">
        <v>29042</v>
      </c>
      <c r="B17786" s="2" t="s">
        <v>26474</v>
      </c>
      <c r="C17786" s="1" t="s">
        <v>5652</v>
      </c>
      <c r="D17786" s="1" t="s">
        <v>5653</v>
      </c>
    </row>
    <row r="17787">
      <c r="A17787" s="1" t="s">
        <v>29043</v>
      </c>
      <c r="B17787" s="2" t="s">
        <v>26476</v>
      </c>
      <c r="C17787" s="1" t="s">
        <v>5652</v>
      </c>
      <c r="D17787" s="1" t="s">
        <v>5653</v>
      </c>
    </row>
    <row r="17788">
      <c r="A17788" s="1" t="s">
        <v>29044</v>
      </c>
      <c r="B17788" s="2" t="s">
        <v>26478</v>
      </c>
      <c r="C17788" s="1" t="s">
        <v>5652</v>
      </c>
      <c r="D17788" s="1" t="s">
        <v>5653</v>
      </c>
    </row>
    <row r="17789">
      <c r="A17789" s="1" t="s">
        <v>29045</v>
      </c>
      <c r="B17789" s="2" t="s">
        <v>26480</v>
      </c>
      <c r="C17789" s="1" t="s">
        <v>5652</v>
      </c>
      <c r="D17789" s="1" t="s">
        <v>5653</v>
      </c>
    </row>
    <row r="17790">
      <c r="A17790" s="1" t="s">
        <v>29046</v>
      </c>
      <c r="B17790" s="2" t="s">
        <v>26482</v>
      </c>
      <c r="C17790" s="1" t="s">
        <v>5652</v>
      </c>
      <c r="D17790" s="1" t="s">
        <v>5653</v>
      </c>
    </row>
    <row r="17791">
      <c r="A17791" s="1" t="s">
        <v>29047</v>
      </c>
      <c r="B17791" s="2" t="s">
        <v>26484</v>
      </c>
      <c r="C17791" s="1" t="s">
        <v>5652</v>
      </c>
      <c r="D17791" s="1" t="s">
        <v>5653</v>
      </c>
    </row>
    <row r="17792">
      <c r="A17792" s="1" t="s">
        <v>29048</v>
      </c>
      <c r="B17792" s="2" t="s">
        <v>26486</v>
      </c>
      <c r="C17792" s="1" t="s">
        <v>5652</v>
      </c>
      <c r="D17792" s="1" t="s">
        <v>5653</v>
      </c>
    </row>
    <row r="17793">
      <c r="A17793" s="1" t="s">
        <v>29049</v>
      </c>
      <c r="B17793" s="2" t="s">
        <v>26488</v>
      </c>
      <c r="C17793" s="1" t="s">
        <v>5652</v>
      </c>
      <c r="D17793" s="1" t="s">
        <v>5653</v>
      </c>
    </row>
    <row r="17794">
      <c r="A17794" s="1" t="s">
        <v>29050</v>
      </c>
      <c r="B17794" s="2" t="s">
        <v>26490</v>
      </c>
      <c r="C17794" s="1" t="s">
        <v>5652</v>
      </c>
      <c r="D17794" s="1" t="s">
        <v>5653</v>
      </c>
    </row>
    <row r="17795">
      <c r="A17795" s="1" t="s">
        <v>29051</v>
      </c>
      <c r="B17795" s="2" t="s">
        <v>26492</v>
      </c>
      <c r="C17795" s="1" t="s">
        <v>5652</v>
      </c>
      <c r="D17795" s="1" t="s">
        <v>5653</v>
      </c>
    </row>
    <row r="17796">
      <c r="A17796" s="1" t="s">
        <v>29052</v>
      </c>
      <c r="B17796" s="2" t="s">
        <v>26494</v>
      </c>
      <c r="C17796" s="1" t="s">
        <v>5652</v>
      </c>
      <c r="D17796" s="1" t="s">
        <v>5653</v>
      </c>
    </row>
    <row r="17797">
      <c r="A17797" s="1" t="s">
        <v>29053</v>
      </c>
      <c r="B17797" s="2" t="s">
        <v>26496</v>
      </c>
      <c r="C17797" s="1" t="s">
        <v>5652</v>
      </c>
      <c r="D17797" s="1" t="s">
        <v>5653</v>
      </c>
    </row>
    <row r="17798">
      <c r="A17798" s="1" t="s">
        <v>29054</v>
      </c>
      <c r="B17798" s="2" t="s">
        <v>26498</v>
      </c>
      <c r="C17798" s="1" t="s">
        <v>5652</v>
      </c>
      <c r="D17798" s="1" t="s">
        <v>5653</v>
      </c>
    </row>
    <row r="17799">
      <c r="A17799" s="1" t="s">
        <v>29055</v>
      </c>
      <c r="B17799" s="2" t="s">
        <v>26500</v>
      </c>
      <c r="C17799" s="1" t="s">
        <v>5652</v>
      </c>
      <c r="D17799" s="1" t="s">
        <v>5653</v>
      </c>
    </row>
    <row r="17800">
      <c r="A17800" s="1" t="s">
        <v>29056</v>
      </c>
      <c r="B17800" s="2" t="s">
        <v>26502</v>
      </c>
      <c r="C17800" s="1" t="s">
        <v>5652</v>
      </c>
      <c r="D17800" s="1" t="s">
        <v>5653</v>
      </c>
    </row>
    <row r="17801">
      <c r="A17801" s="1" t="s">
        <v>29057</v>
      </c>
      <c r="B17801" s="2" t="s">
        <v>26504</v>
      </c>
      <c r="C17801" s="1" t="s">
        <v>5652</v>
      </c>
      <c r="D17801" s="1" t="s">
        <v>5653</v>
      </c>
    </row>
    <row r="17802">
      <c r="A17802" s="1" t="s">
        <v>29058</v>
      </c>
      <c r="B17802" s="2" t="s">
        <v>26506</v>
      </c>
      <c r="C17802" s="1" t="s">
        <v>5652</v>
      </c>
      <c r="D17802" s="1" t="s">
        <v>5653</v>
      </c>
    </row>
    <row r="17803">
      <c r="A17803" s="1" t="s">
        <v>29059</v>
      </c>
      <c r="B17803" s="2" t="s">
        <v>26508</v>
      </c>
      <c r="C17803" s="1" t="s">
        <v>5652</v>
      </c>
      <c r="D17803" s="1" t="s">
        <v>5653</v>
      </c>
    </row>
    <row r="17804">
      <c r="A17804" s="1" t="s">
        <v>29060</v>
      </c>
      <c r="B17804" s="2" t="s">
        <v>26510</v>
      </c>
      <c r="C17804" s="1" t="s">
        <v>5652</v>
      </c>
      <c r="D17804" s="1" t="s">
        <v>5653</v>
      </c>
    </row>
    <row r="17805">
      <c r="A17805" s="1" t="s">
        <v>29061</v>
      </c>
      <c r="B17805" s="2" t="s">
        <v>26512</v>
      </c>
      <c r="C17805" s="1" t="s">
        <v>5652</v>
      </c>
      <c r="D17805" s="1" t="s">
        <v>5653</v>
      </c>
    </row>
    <row r="17806">
      <c r="A17806" s="1" t="s">
        <v>29062</v>
      </c>
      <c r="B17806" s="2" t="s">
        <v>26514</v>
      </c>
      <c r="C17806" s="1" t="s">
        <v>5652</v>
      </c>
      <c r="D17806" s="1" t="s">
        <v>5653</v>
      </c>
    </row>
    <row r="17807">
      <c r="A17807" s="1" t="s">
        <v>29063</v>
      </c>
      <c r="B17807" s="2" t="s">
        <v>26516</v>
      </c>
      <c r="C17807" s="1" t="s">
        <v>5652</v>
      </c>
      <c r="D17807" s="1" t="s">
        <v>5653</v>
      </c>
    </row>
    <row r="17808">
      <c r="A17808" s="1" t="s">
        <v>29064</v>
      </c>
      <c r="B17808" s="2" t="s">
        <v>26518</v>
      </c>
      <c r="C17808" s="1" t="s">
        <v>5652</v>
      </c>
      <c r="D17808" s="1" t="s">
        <v>5653</v>
      </c>
    </row>
    <row r="17809">
      <c r="A17809" s="1" t="s">
        <v>29065</v>
      </c>
      <c r="B17809" s="2" t="s">
        <v>26520</v>
      </c>
      <c r="C17809" s="1" t="s">
        <v>5652</v>
      </c>
      <c r="D17809" s="1" t="s">
        <v>5653</v>
      </c>
    </row>
    <row r="17810">
      <c r="A17810" s="1" t="s">
        <v>29066</v>
      </c>
      <c r="B17810" s="2" t="s">
        <v>26522</v>
      </c>
      <c r="C17810" s="1" t="s">
        <v>5652</v>
      </c>
      <c r="D17810" s="1" t="s">
        <v>5653</v>
      </c>
    </row>
    <row r="17811">
      <c r="A17811" s="1" t="s">
        <v>29067</v>
      </c>
      <c r="B17811" s="2" t="s">
        <v>26524</v>
      </c>
      <c r="C17811" s="1" t="s">
        <v>5652</v>
      </c>
      <c r="D17811" s="1" t="s">
        <v>5653</v>
      </c>
    </row>
    <row r="17812">
      <c r="A17812" s="1" t="s">
        <v>29068</v>
      </c>
      <c r="B17812" s="2" t="s">
        <v>26526</v>
      </c>
      <c r="C17812" s="1" t="s">
        <v>5652</v>
      </c>
      <c r="D17812" s="1" t="s">
        <v>5653</v>
      </c>
    </row>
    <row r="17813">
      <c r="A17813" s="1" t="s">
        <v>29069</v>
      </c>
      <c r="B17813" s="2" t="s">
        <v>26528</v>
      </c>
      <c r="C17813" s="1" t="s">
        <v>5652</v>
      </c>
      <c r="D17813" s="1" t="s">
        <v>5653</v>
      </c>
    </row>
    <row r="17814">
      <c r="A17814" s="1" t="s">
        <v>29070</v>
      </c>
      <c r="B17814" s="2" t="s">
        <v>26530</v>
      </c>
      <c r="C17814" s="1" t="s">
        <v>5652</v>
      </c>
      <c r="D17814" s="1" t="s">
        <v>5653</v>
      </c>
    </row>
    <row r="17815">
      <c r="A17815" s="1" t="s">
        <v>29071</v>
      </c>
      <c r="B17815" s="2" t="s">
        <v>26532</v>
      </c>
      <c r="C17815" s="1" t="s">
        <v>5652</v>
      </c>
      <c r="D17815" s="1" t="s">
        <v>5653</v>
      </c>
    </row>
    <row r="17816">
      <c r="A17816" s="1" t="s">
        <v>29072</v>
      </c>
      <c r="B17816" s="2" t="s">
        <v>26534</v>
      </c>
      <c r="C17816" s="1" t="s">
        <v>5652</v>
      </c>
      <c r="D17816" s="1" t="s">
        <v>5653</v>
      </c>
    </row>
    <row r="17817">
      <c r="A17817" s="1" t="s">
        <v>29073</v>
      </c>
      <c r="B17817" s="2" t="s">
        <v>26536</v>
      </c>
      <c r="C17817" s="1" t="s">
        <v>5652</v>
      </c>
      <c r="D17817" s="1" t="s">
        <v>5653</v>
      </c>
    </row>
    <row r="17818">
      <c r="A17818" s="1" t="s">
        <v>29074</v>
      </c>
      <c r="B17818" s="2" t="s">
        <v>26538</v>
      </c>
      <c r="C17818" s="1" t="s">
        <v>5652</v>
      </c>
      <c r="D17818" s="1" t="s">
        <v>5653</v>
      </c>
    </row>
    <row r="17819">
      <c r="A17819" s="1" t="s">
        <v>29075</v>
      </c>
      <c r="B17819" s="2" t="s">
        <v>26540</v>
      </c>
      <c r="C17819" s="1" t="s">
        <v>5652</v>
      </c>
      <c r="D17819" s="1" t="s">
        <v>5653</v>
      </c>
    </row>
    <row r="17820">
      <c r="A17820" s="1" t="s">
        <v>29076</v>
      </c>
      <c r="B17820" s="2" t="s">
        <v>26542</v>
      </c>
      <c r="C17820" s="1" t="s">
        <v>5652</v>
      </c>
      <c r="D17820" s="1" t="s">
        <v>5653</v>
      </c>
    </row>
    <row r="17821">
      <c r="A17821" s="1" t="s">
        <v>29077</v>
      </c>
      <c r="B17821" s="2" t="s">
        <v>26544</v>
      </c>
      <c r="C17821" s="1" t="s">
        <v>5652</v>
      </c>
      <c r="D17821" s="1" t="s">
        <v>5653</v>
      </c>
    </row>
    <row r="17822">
      <c r="A17822" s="1" t="s">
        <v>29078</v>
      </c>
      <c r="B17822" s="2" t="s">
        <v>26546</v>
      </c>
      <c r="C17822" s="1" t="s">
        <v>5652</v>
      </c>
      <c r="D17822" s="1" t="s">
        <v>5653</v>
      </c>
    </row>
    <row r="17823">
      <c r="A17823" s="1" t="s">
        <v>29079</v>
      </c>
      <c r="B17823" s="2" t="s">
        <v>26548</v>
      </c>
      <c r="C17823" s="1" t="s">
        <v>5652</v>
      </c>
      <c r="D17823" s="1" t="s">
        <v>5653</v>
      </c>
    </row>
    <row r="17824">
      <c r="A17824" s="1" t="s">
        <v>29080</v>
      </c>
      <c r="B17824" s="2" t="s">
        <v>26550</v>
      </c>
      <c r="C17824" s="1" t="s">
        <v>5652</v>
      </c>
      <c r="D17824" s="1" t="s">
        <v>5653</v>
      </c>
    </row>
    <row r="17825">
      <c r="A17825" s="1" t="s">
        <v>29081</v>
      </c>
      <c r="B17825" s="2" t="s">
        <v>26552</v>
      </c>
      <c r="C17825" s="1" t="s">
        <v>5652</v>
      </c>
      <c r="D17825" s="1" t="s">
        <v>5653</v>
      </c>
    </row>
    <row r="17826">
      <c r="A17826" s="1" t="s">
        <v>29082</v>
      </c>
      <c r="B17826" s="2" t="s">
        <v>26554</v>
      </c>
      <c r="C17826" s="1" t="s">
        <v>5652</v>
      </c>
      <c r="D17826" s="1" t="s">
        <v>5653</v>
      </c>
    </row>
    <row r="17827">
      <c r="A17827" s="1" t="s">
        <v>29083</v>
      </c>
      <c r="B17827" s="2" t="s">
        <v>26556</v>
      </c>
      <c r="C17827" s="1" t="s">
        <v>5652</v>
      </c>
      <c r="D17827" s="1" t="s">
        <v>5653</v>
      </c>
    </row>
    <row r="17828">
      <c r="A17828" s="1" t="s">
        <v>29084</v>
      </c>
      <c r="B17828" s="2" t="s">
        <v>26558</v>
      </c>
      <c r="C17828" s="1" t="s">
        <v>5652</v>
      </c>
      <c r="D17828" s="1" t="s">
        <v>5653</v>
      </c>
    </row>
    <row r="17829">
      <c r="A17829" s="1" t="s">
        <v>29085</v>
      </c>
      <c r="B17829" s="2" t="s">
        <v>26560</v>
      </c>
      <c r="C17829" s="1" t="s">
        <v>5652</v>
      </c>
      <c r="D17829" s="1" t="s">
        <v>5653</v>
      </c>
    </row>
    <row r="17830">
      <c r="A17830" s="1" t="s">
        <v>29086</v>
      </c>
      <c r="B17830" s="2" t="s">
        <v>26562</v>
      </c>
      <c r="C17830" s="1" t="s">
        <v>5652</v>
      </c>
      <c r="D17830" s="1" t="s">
        <v>5653</v>
      </c>
    </row>
    <row r="17831">
      <c r="A17831" s="1" t="s">
        <v>29087</v>
      </c>
      <c r="B17831" s="2" t="s">
        <v>26564</v>
      </c>
      <c r="C17831" s="1" t="s">
        <v>5652</v>
      </c>
      <c r="D17831" s="1" t="s">
        <v>5653</v>
      </c>
    </row>
    <row r="17832">
      <c r="A17832" s="1" t="s">
        <v>29088</v>
      </c>
      <c r="B17832" s="2" t="s">
        <v>26566</v>
      </c>
      <c r="C17832" s="1" t="s">
        <v>5652</v>
      </c>
      <c r="D17832" s="1" t="s">
        <v>5653</v>
      </c>
    </row>
    <row r="17833">
      <c r="A17833" s="1" t="s">
        <v>29089</v>
      </c>
      <c r="B17833" s="2" t="s">
        <v>26568</v>
      </c>
      <c r="C17833" s="1" t="s">
        <v>5652</v>
      </c>
      <c r="D17833" s="1" t="s">
        <v>5653</v>
      </c>
    </row>
    <row r="17834">
      <c r="A17834" s="1" t="s">
        <v>29090</v>
      </c>
      <c r="B17834" s="2" t="s">
        <v>26570</v>
      </c>
      <c r="C17834" s="1" t="s">
        <v>5652</v>
      </c>
      <c r="D17834" s="1" t="s">
        <v>5653</v>
      </c>
    </row>
    <row r="17835">
      <c r="A17835" s="1" t="s">
        <v>29091</v>
      </c>
      <c r="B17835" s="2" t="s">
        <v>26572</v>
      </c>
      <c r="C17835" s="1" t="s">
        <v>5652</v>
      </c>
      <c r="D17835" s="1" t="s">
        <v>5653</v>
      </c>
    </row>
    <row r="17836">
      <c r="A17836" s="1" t="s">
        <v>29092</v>
      </c>
      <c r="B17836" s="2" t="s">
        <v>26574</v>
      </c>
      <c r="C17836" s="1" t="s">
        <v>5652</v>
      </c>
      <c r="D17836" s="1" t="s">
        <v>5653</v>
      </c>
    </row>
    <row r="17837">
      <c r="A17837" s="1" t="s">
        <v>29093</v>
      </c>
      <c r="B17837" s="2" t="s">
        <v>26576</v>
      </c>
      <c r="C17837" s="1" t="s">
        <v>5652</v>
      </c>
      <c r="D17837" s="1" t="s">
        <v>5653</v>
      </c>
    </row>
    <row r="17838">
      <c r="A17838" s="1" t="s">
        <v>29094</v>
      </c>
      <c r="B17838" s="2" t="s">
        <v>26578</v>
      </c>
      <c r="C17838" s="1" t="s">
        <v>5652</v>
      </c>
      <c r="D17838" s="1" t="s">
        <v>5653</v>
      </c>
    </row>
    <row r="17839">
      <c r="A17839" s="1" t="s">
        <v>29095</v>
      </c>
      <c r="B17839" s="2" t="s">
        <v>26580</v>
      </c>
      <c r="C17839" s="1" t="s">
        <v>5652</v>
      </c>
      <c r="D17839" s="1" t="s">
        <v>5653</v>
      </c>
    </row>
    <row r="17840">
      <c r="A17840" s="1" t="s">
        <v>29096</v>
      </c>
      <c r="B17840" s="2" t="s">
        <v>26582</v>
      </c>
      <c r="C17840" s="1" t="s">
        <v>5652</v>
      </c>
      <c r="D17840" s="1" t="s">
        <v>5653</v>
      </c>
    </row>
    <row r="17841">
      <c r="A17841" s="1" t="s">
        <v>29097</v>
      </c>
      <c r="B17841" s="2" t="s">
        <v>26584</v>
      </c>
      <c r="C17841" s="1" t="s">
        <v>5652</v>
      </c>
      <c r="D17841" s="1" t="s">
        <v>5653</v>
      </c>
    </row>
    <row r="17842">
      <c r="A17842" s="1" t="s">
        <v>29098</v>
      </c>
      <c r="B17842" s="2" t="s">
        <v>26586</v>
      </c>
      <c r="C17842" s="1" t="s">
        <v>5652</v>
      </c>
      <c r="D17842" s="1" t="s">
        <v>5653</v>
      </c>
    </row>
    <row r="17843">
      <c r="A17843" s="1" t="s">
        <v>29099</v>
      </c>
      <c r="B17843" s="2" t="s">
        <v>26588</v>
      </c>
      <c r="C17843" s="1" t="s">
        <v>5652</v>
      </c>
      <c r="D17843" s="1" t="s">
        <v>5653</v>
      </c>
    </row>
    <row r="17844">
      <c r="A17844" s="1" t="s">
        <v>29100</v>
      </c>
      <c r="B17844" s="2" t="s">
        <v>26590</v>
      </c>
      <c r="C17844" s="1" t="s">
        <v>5652</v>
      </c>
      <c r="D17844" s="1" t="s">
        <v>5653</v>
      </c>
    </row>
    <row r="17845">
      <c r="A17845" s="1" t="s">
        <v>29101</v>
      </c>
      <c r="B17845" s="2" t="s">
        <v>26592</v>
      </c>
      <c r="C17845" s="1" t="s">
        <v>5652</v>
      </c>
      <c r="D17845" s="1" t="s">
        <v>5653</v>
      </c>
    </row>
    <row r="17846">
      <c r="A17846" s="1" t="s">
        <v>29102</v>
      </c>
      <c r="B17846" s="2" t="s">
        <v>26594</v>
      </c>
      <c r="C17846" s="1" t="s">
        <v>5652</v>
      </c>
      <c r="D17846" s="1" t="s">
        <v>5653</v>
      </c>
    </row>
    <row r="17847">
      <c r="A17847" s="1" t="s">
        <v>29103</v>
      </c>
      <c r="B17847" s="2" t="s">
        <v>26596</v>
      </c>
      <c r="C17847" s="1" t="s">
        <v>5652</v>
      </c>
      <c r="D17847" s="1" t="s">
        <v>5653</v>
      </c>
    </row>
    <row r="17848">
      <c r="A17848" s="1" t="s">
        <v>29104</v>
      </c>
      <c r="B17848" s="2" t="s">
        <v>26598</v>
      </c>
      <c r="C17848" s="1" t="s">
        <v>5652</v>
      </c>
      <c r="D17848" s="1" t="s">
        <v>5653</v>
      </c>
    </row>
    <row r="17849">
      <c r="A17849" s="1" t="s">
        <v>29105</v>
      </c>
      <c r="B17849" s="2" t="s">
        <v>26600</v>
      </c>
      <c r="C17849" s="1" t="s">
        <v>5652</v>
      </c>
      <c r="D17849" s="1" t="s">
        <v>5653</v>
      </c>
    </row>
    <row r="17850">
      <c r="A17850" s="1" t="s">
        <v>29106</v>
      </c>
      <c r="B17850" s="2" t="s">
        <v>26602</v>
      </c>
      <c r="C17850" s="1" t="s">
        <v>5652</v>
      </c>
      <c r="D17850" s="1" t="s">
        <v>5653</v>
      </c>
    </row>
    <row r="17851">
      <c r="A17851" s="1" t="s">
        <v>29107</v>
      </c>
      <c r="B17851" s="2" t="s">
        <v>26604</v>
      </c>
      <c r="C17851" s="1" t="s">
        <v>5652</v>
      </c>
      <c r="D17851" s="1" t="s">
        <v>5653</v>
      </c>
    </row>
    <row r="17852">
      <c r="A17852" s="1" t="s">
        <v>29108</v>
      </c>
      <c r="B17852" s="2" t="s">
        <v>26606</v>
      </c>
      <c r="C17852" s="1" t="s">
        <v>5652</v>
      </c>
      <c r="D17852" s="1" t="s">
        <v>5653</v>
      </c>
    </row>
    <row r="17853">
      <c r="A17853" s="1" t="s">
        <v>29109</v>
      </c>
      <c r="B17853" s="2" t="s">
        <v>26608</v>
      </c>
      <c r="C17853" s="1" t="s">
        <v>5652</v>
      </c>
      <c r="D17853" s="1" t="s">
        <v>5653</v>
      </c>
    </row>
    <row r="17854">
      <c r="A17854" s="1" t="s">
        <v>29110</v>
      </c>
      <c r="B17854" s="2" t="s">
        <v>26610</v>
      </c>
      <c r="C17854" s="1" t="s">
        <v>5652</v>
      </c>
      <c r="D17854" s="1" t="s">
        <v>5653</v>
      </c>
    </row>
    <row r="17855">
      <c r="A17855" s="1" t="s">
        <v>29111</v>
      </c>
      <c r="B17855" s="2" t="s">
        <v>26612</v>
      </c>
      <c r="C17855" s="1" t="s">
        <v>5652</v>
      </c>
      <c r="D17855" s="1" t="s">
        <v>5653</v>
      </c>
    </row>
    <row r="17856">
      <c r="A17856" s="1" t="s">
        <v>29112</v>
      </c>
      <c r="B17856" s="2" t="s">
        <v>26614</v>
      </c>
      <c r="C17856" s="1" t="s">
        <v>5652</v>
      </c>
      <c r="D17856" s="1" t="s">
        <v>5653</v>
      </c>
    </row>
    <row r="17857">
      <c r="A17857" s="1" t="s">
        <v>29113</v>
      </c>
      <c r="B17857" s="2" t="s">
        <v>26616</v>
      </c>
      <c r="C17857" s="1" t="s">
        <v>5652</v>
      </c>
      <c r="D17857" s="1" t="s">
        <v>5653</v>
      </c>
    </row>
    <row r="17858">
      <c r="A17858" s="1" t="s">
        <v>29114</v>
      </c>
      <c r="B17858" s="2" t="s">
        <v>26618</v>
      </c>
      <c r="C17858" s="1" t="s">
        <v>5652</v>
      </c>
      <c r="D17858" s="1" t="s">
        <v>5653</v>
      </c>
    </row>
    <row r="17859">
      <c r="A17859" s="1" t="s">
        <v>29115</v>
      </c>
      <c r="B17859" s="2" t="s">
        <v>26620</v>
      </c>
      <c r="C17859" s="1" t="s">
        <v>5652</v>
      </c>
      <c r="D17859" s="1" t="s">
        <v>5653</v>
      </c>
    </row>
    <row r="17860">
      <c r="A17860" s="1" t="s">
        <v>29116</v>
      </c>
      <c r="B17860" s="2" t="s">
        <v>26622</v>
      </c>
      <c r="C17860" s="1" t="s">
        <v>5652</v>
      </c>
      <c r="D17860" s="1" t="s">
        <v>5653</v>
      </c>
    </row>
    <row r="17861">
      <c r="A17861" s="1" t="s">
        <v>29117</v>
      </c>
      <c r="B17861" s="2" t="s">
        <v>26624</v>
      </c>
      <c r="C17861" s="1" t="s">
        <v>5652</v>
      </c>
      <c r="D17861" s="1" t="s">
        <v>5653</v>
      </c>
    </row>
    <row r="17862">
      <c r="A17862" s="1" t="s">
        <v>29118</v>
      </c>
      <c r="B17862" s="2" t="s">
        <v>26626</v>
      </c>
      <c r="C17862" s="1" t="s">
        <v>5652</v>
      </c>
      <c r="D17862" s="1" t="s">
        <v>5653</v>
      </c>
    </row>
    <row r="17863">
      <c r="A17863" s="1" t="s">
        <v>29119</v>
      </c>
      <c r="B17863" s="2" t="s">
        <v>26628</v>
      </c>
      <c r="C17863" s="1" t="s">
        <v>5652</v>
      </c>
      <c r="D17863" s="1" t="s">
        <v>5653</v>
      </c>
    </row>
    <row r="17864">
      <c r="A17864" s="1" t="s">
        <v>29120</v>
      </c>
      <c r="B17864" s="2" t="s">
        <v>26630</v>
      </c>
      <c r="C17864" s="1" t="s">
        <v>5652</v>
      </c>
      <c r="D17864" s="1" t="s">
        <v>5653</v>
      </c>
    </row>
    <row r="17865">
      <c r="A17865" s="1" t="s">
        <v>29121</v>
      </c>
      <c r="B17865" s="2" t="s">
        <v>26632</v>
      </c>
      <c r="C17865" s="1" t="s">
        <v>5652</v>
      </c>
      <c r="D17865" s="1" t="s">
        <v>5653</v>
      </c>
    </row>
    <row r="17866">
      <c r="A17866" s="1" t="s">
        <v>29122</v>
      </c>
      <c r="B17866" s="2" t="s">
        <v>26634</v>
      </c>
      <c r="C17866" s="1" t="s">
        <v>5652</v>
      </c>
      <c r="D17866" s="1" t="s">
        <v>5653</v>
      </c>
    </row>
    <row r="17867">
      <c r="A17867" s="1" t="s">
        <v>29123</v>
      </c>
      <c r="B17867" s="2" t="s">
        <v>26636</v>
      </c>
      <c r="C17867" s="1" t="s">
        <v>5652</v>
      </c>
      <c r="D17867" s="1" t="s">
        <v>5653</v>
      </c>
    </row>
    <row r="17868">
      <c r="A17868" s="1" t="s">
        <v>29124</v>
      </c>
      <c r="B17868" s="2" t="s">
        <v>26638</v>
      </c>
      <c r="C17868" s="1" t="s">
        <v>5652</v>
      </c>
      <c r="D17868" s="1" t="s">
        <v>5653</v>
      </c>
    </row>
    <row r="17869">
      <c r="A17869" s="1" t="s">
        <v>29125</v>
      </c>
      <c r="B17869" s="2" t="s">
        <v>26640</v>
      </c>
      <c r="C17869" s="1" t="s">
        <v>5652</v>
      </c>
      <c r="D17869" s="1" t="s">
        <v>5653</v>
      </c>
    </row>
    <row r="17870">
      <c r="A17870" s="1" t="s">
        <v>29126</v>
      </c>
      <c r="B17870" s="2" t="s">
        <v>26642</v>
      </c>
      <c r="C17870" s="1" t="s">
        <v>5652</v>
      </c>
      <c r="D17870" s="1" t="s">
        <v>5653</v>
      </c>
    </row>
    <row r="17871">
      <c r="A17871" s="1" t="s">
        <v>29127</v>
      </c>
      <c r="B17871" s="2" t="s">
        <v>26644</v>
      </c>
      <c r="C17871" s="1" t="s">
        <v>5652</v>
      </c>
      <c r="D17871" s="1" t="s">
        <v>5653</v>
      </c>
    </row>
    <row r="17872">
      <c r="A17872" s="1" t="s">
        <v>29128</v>
      </c>
      <c r="B17872" s="2" t="s">
        <v>26646</v>
      </c>
      <c r="C17872" s="1" t="s">
        <v>5652</v>
      </c>
      <c r="D17872" s="1" t="s">
        <v>5653</v>
      </c>
    </row>
    <row r="17873">
      <c r="A17873" s="1" t="s">
        <v>29129</v>
      </c>
      <c r="B17873" s="2" t="s">
        <v>26648</v>
      </c>
      <c r="C17873" s="1" t="s">
        <v>5652</v>
      </c>
      <c r="D17873" s="1" t="s">
        <v>5653</v>
      </c>
    </row>
    <row r="17874">
      <c r="A17874" s="1" t="s">
        <v>29130</v>
      </c>
      <c r="B17874" s="2" t="s">
        <v>26650</v>
      </c>
      <c r="C17874" s="1" t="s">
        <v>5652</v>
      </c>
      <c r="D17874" s="1" t="s">
        <v>5653</v>
      </c>
    </row>
    <row r="17875">
      <c r="A17875" s="1" t="s">
        <v>29131</v>
      </c>
      <c r="B17875" s="2" t="s">
        <v>26652</v>
      </c>
      <c r="C17875" s="1" t="s">
        <v>5652</v>
      </c>
      <c r="D17875" s="1" t="s">
        <v>5653</v>
      </c>
    </row>
    <row r="17876">
      <c r="A17876" s="1" t="s">
        <v>29132</v>
      </c>
      <c r="B17876" s="2" t="s">
        <v>26654</v>
      </c>
      <c r="C17876" s="1" t="s">
        <v>5652</v>
      </c>
      <c r="D17876" s="1" t="s">
        <v>5653</v>
      </c>
    </row>
    <row r="17877">
      <c r="A17877" s="1" t="s">
        <v>29133</v>
      </c>
      <c r="B17877" s="2" t="s">
        <v>26656</v>
      </c>
      <c r="C17877" s="1" t="s">
        <v>5652</v>
      </c>
      <c r="D17877" s="1" t="s">
        <v>5653</v>
      </c>
    </row>
    <row r="17878">
      <c r="A17878" s="1" t="s">
        <v>29134</v>
      </c>
      <c r="B17878" s="2" t="s">
        <v>26658</v>
      </c>
      <c r="C17878" s="1" t="s">
        <v>5652</v>
      </c>
      <c r="D17878" s="1" t="s">
        <v>5653</v>
      </c>
    </row>
    <row r="17879">
      <c r="A17879" s="1" t="s">
        <v>29135</v>
      </c>
      <c r="B17879" s="2" t="s">
        <v>26660</v>
      </c>
      <c r="C17879" s="1" t="s">
        <v>5652</v>
      </c>
      <c r="D17879" s="1" t="s">
        <v>5653</v>
      </c>
    </row>
    <row r="17880">
      <c r="A17880" s="1" t="s">
        <v>29136</v>
      </c>
      <c r="B17880" s="2" t="s">
        <v>26662</v>
      </c>
      <c r="C17880" s="1" t="s">
        <v>5652</v>
      </c>
      <c r="D17880" s="1" t="s">
        <v>5653</v>
      </c>
    </row>
    <row r="17881">
      <c r="A17881" s="1" t="s">
        <v>29137</v>
      </c>
      <c r="B17881" s="2" t="s">
        <v>26664</v>
      </c>
      <c r="C17881" s="1" t="s">
        <v>5652</v>
      </c>
      <c r="D17881" s="1" t="s">
        <v>5653</v>
      </c>
    </row>
    <row r="17882">
      <c r="A17882" s="1" t="s">
        <v>29138</v>
      </c>
      <c r="B17882" s="2" t="s">
        <v>26666</v>
      </c>
      <c r="C17882" s="1" t="s">
        <v>5652</v>
      </c>
      <c r="D17882" s="1" t="s">
        <v>5653</v>
      </c>
    </row>
    <row r="17883">
      <c r="A17883" s="1" t="s">
        <v>29139</v>
      </c>
      <c r="B17883" s="2" t="s">
        <v>26668</v>
      </c>
      <c r="C17883" s="1" t="s">
        <v>5652</v>
      </c>
      <c r="D17883" s="1" t="s">
        <v>5653</v>
      </c>
    </row>
    <row r="17884">
      <c r="A17884" s="1" t="s">
        <v>29140</v>
      </c>
      <c r="B17884" s="2" t="s">
        <v>26670</v>
      </c>
      <c r="C17884" s="1" t="s">
        <v>5652</v>
      </c>
      <c r="D17884" s="1" t="s">
        <v>5653</v>
      </c>
    </row>
    <row r="17885">
      <c r="A17885" s="1" t="s">
        <v>29141</v>
      </c>
      <c r="B17885" s="2" t="s">
        <v>26672</v>
      </c>
      <c r="C17885" s="1" t="s">
        <v>5652</v>
      </c>
      <c r="D17885" s="1" t="s">
        <v>5653</v>
      </c>
    </row>
    <row r="17886">
      <c r="A17886" s="1" t="s">
        <v>29142</v>
      </c>
      <c r="B17886" s="2" t="s">
        <v>26674</v>
      </c>
      <c r="C17886" s="1" t="s">
        <v>5652</v>
      </c>
      <c r="D17886" s="1" t="s">
        <v>5653</v>
      </c>
    </row>
    <row r="17887">
      <c r="A17887" s="1" t="s">
        <v>29143</v>
      </c>
      <c r="B17887" s="2" t="s">
        <v>26676</v>
      </c>
      <c r="C17887" s="1" t="s">
        <v>5652</v>
      </c>
      <c r="D17887" s="1" t="s">
        <v>5653</v>
      </c>
    </row>
    <row r="17888">
      <c r="A17888" s="1" t="s">
        <v>29144</v>
      </c>
      <c r="B17888" s="2" t="s">
        <v>26678</v>
      </c>
      <c r="C17888" s="1" t="s">
        <v>5652</v>
      </c>
      <c r="D17888" s="1" t="s">
        <v>5653</v>
      </c>
    </row>
    <row r="17889">
      <c r="A17889" s="1" t="s">
        <v>29145</v>
      </c>
      <c r="B17889" s="2" t="s">
        <v>26680</v>
      </c>
      <c r="C17889" s="1" t="s">
        <v>5652</v>
      </c>
      <c r="D17889" s="1" t="s">
        <v>5653</v>
      </c>
    </row>
    <row r="17890">
      <c r="A17890" s="1" t="s">
        <v>29146</v>
      </c>
      <c r="B17890" s="2" t="s">
        <v>26682</v>
      </c>
      <c r="C17890" s="1" t="s">
        <v>5652</v>
      </c>
      <c r="D17890" s="1" t="s">
        <v>5653</v>
      </c>
    </row>
    <row r="17891">
      <c r="A17891" s="1" t="s">
        <v>29147</v>
      </c>
      <c r="B17891" s="2" t="s">
        <v>26684</v>
      </c>
      <c r="C17891" s="1" t="s">
        <v>5652</v>
      </c>
      <c r="D17891" s="1" t="s">
        <v>5653</v>
      </c>
    </row>
    <row r="17892">
      <c r="A17892" s="1" t="s">
        <v>29148</v>
      </c>
      <c r="B17892" s="2" t="s">
        <v>26686</v>
      </c>
      <c r="C17892" s="1" t="s">
        <v>5652</v>
      </c>
      <c r="D17892" s="1" t="s">
        <v>5653</v>
      </c>
    </row>
    <row r="17893">
      <c r="A17893" s="1" t="s">
        <v>29149</v>
      </c>
      <c r="B17893" s="2" t="s">
        <v>26688</v>
      </c>
      <c r="C17893" s="1" t="s">
        <v>5652</v>
      </c>
      <c r="D17893" s="1" t="s">
        <v>5653</v>
      </c>
    </row>
    <row r="17894">
      <c r="A17894" s="1" t="s">
        <v>29150</v>
      </c>
      <c r="B17894" s="2" t="s">
        <v>26690</v>
      </c>
      <c r="C17894" s="1" t="s">
        <v>5652</v>
      </c>
      <c r="D17894" s="1" t="s">
        <v>5653</v>
      </c>
    </row>
    <row r="17895">
      <c r="A17895" s="1" t="s">
        <v>29151</v>
      </c>
      <c r="B17895" s="2" t="s">
        <v>26692</v>
      </c>
      <c r="C17895" s="1" t="s">
        <v>5652</v>
      </c>
      <c r="D17895" s="1" t="s">
        <v>5653</v>
      </c>
    </row>
    <row r="17896">
      <c r="A17896" s="1" t="s">
        <v>29152</v>
      </c>
      <c r="B17896" s="2" t="s">
        <v>26694</v>
      </c>
      <c r="C17896" s="1" t="s">
        <v>5652</v>
      </c>
      <c r="D17896" s="1" t="s">
        <v>5653</v>
      </c>
    </row>
    <row r="17897">
      <c r="A17897" s="1" t="s">
        <v>29153</v>
      </c>
      <c r="B17897" s="2" t="s">
        <v>26696</v>
      </c>
      <c r="C17897" s="1" t="s">
        <v>5652</v>
      </c>
      <c r="D17897" s="1" t="s">
        <v>5653</v>
      </c>
    </row>
    <row r="17898">
      <c r="A17898" s="1" t="s">
        <v>29154</v>
      </c>
      <c r="B17898" s="2" t="s">
        <v>26698</v>
      </c>
      <c r="C17898" s="1" t="s">
        <v>5652</v>
      </c>
      <c r="D17898" s="1" t="s">
        <v>5653</v>
      </c>
    </row>
    <row r="17899">
      <c r="A17899" s="1" t="s">
        <v>29155</v>
      </c>
      <c r="B17899" s="2" t="s">
        <v>26700</v>
      </c>
      <c r="C17899" s="1" t="s">
        <v>5652</v>
      </c>
      <c r="D17899" s="1" t="s">
        <v>5653</v>
      </c>
    </row>
    <row r="17900">
      <c r="A17900" s="1" t="s">
        <v>29156</v>
      </c>
      <c r="B17900" s="2" t="s">
        <v>26702</v>
      </c>
      <c r="C17900" s="1" t="s">
        <v>5652</v>
      </c>
      <c r="D17900" s="1" t="s">
        <v>5653</v>
      </c>
    </row>
    <row r="17901">
      <c r="A17901" s="1" t="s">
        <v>29157</v>
      </c>
      <c r="B17901" s="2" t="s">
        <v>26704</v>
      </c>
      <c r="C17901" s="1" t="s">
        <v>5652</v>
      </c>
      <c r="D17901" s="1" t="s">
        <v>5653</v>
      </c>
    </row>
    <row r="17902">
      <c r="A17902" s="1" t="s">
        <v>29158</v>
      </c>
      <c r="B17902" s="2" t="s">
        <v>26706</v>
      </c>
      <c r="C17902" s="1" t="s">
        <v>5652</v>
      </c>
      <c r="D17902" s="1" t="s">
        <v>5653</v>
      </c>
    </row>
    <row r="17903">
      <c r="A17903" s="1" t="s">
        <v>29159</v>
      </c>
      <c r="B17903" s="2" t="s">
        <v>26708</v>
      </c>
      <c r="C17903" s="1" t="s">
        <v>5652</v>
      </c>
      <c r="D17903" s="1" t="s">
        <v>5653</v>
      </c>
    </row>
    <row r="17904">
      <c r="A17904" s="1" t="s">
        <v>29160</v>
      </c>
      <c r="B17904" s="2" t="s">
        <v>26710</v>
      </c>
      <c r="C17904" s="1" t="s">
        <v>5652</v>
      </c>
      <c r="D17904" s="1" t="s">
        <v>5653</v>
      </c>
    </row>
    <row r="17905">
      <c r="A17905" s="1" t="s">
        <v>29161</v>
      </c>
      <c r="B17905" s="2" t="s">
        <v>26712</v>
      </c>
      <c r="C17905" s="1" t="s">
        <v>5652</v>
      </c>
      <c r="D17905" s="1" t="s">
        <v>5653</v>
      </c>
    </row>
    <row r="17906">
      <c r="A17906" s="1" t="s">
        <v>29162</v>
      </c>
      <c r="B17906" s="2" t="s">
        <v>26714</v>
      </c>
      <c r="C17906" s="1" t="s">
        <v>5652</v>
      </c>
      <c r="D17906" s="1" t="s">
        <v>5653</v>
      </c>
    </row>
    <row r="17907">
      <c r="A17907" s="1" t="s">
        <v>29163</v>
      </c>
      <c r="B17907" s="2" t="s">
        <v>26716</v>
      </c>
      <c r="C17907" s="1" t="s">
        <v>5652</v>
      </c>
      <c r="D17907" s="1" t="s">
        <v>5653</v>
      </c>
    </row>
    <row r="17908">
      <c r="A17908" s="1" t="s">
        <v>29164</v>
      </c>
      <c r="B17908" s="2" t="s">
        <v>26718</v>
      </c>
      <c r="C17908" s="1" t="s">
        <v>5652</v>
      </c>
      <c r="D17908" s="1" t="s">
        <v>5653</v>
      </c>
    </row>
    <row r="17909">
      <c r="A17909" s="1" t="s">
        <v>29165</v>
      </c>
      <c r="B17909" s="2" t="s">
        <v>26720</v>
      </c>
      <c r="C17909" s="1" t="s">
        <v>5652</v>
      </c>
      <c r="D17909" s="1" t="s">
        <v>5653</v>
      </c>
    </row>
    <row r="17910">
      <c r="A17910" s="1" t="s">
        <v>29166</v>
      </c>
      <c r="B17910" s="2" t="s">
        <v>26722</v>
      </c>
      <c r="C17910" s="1" t="s">
        <v>5652</v>
      </c>
      <c r="D17910" s="1" t="s">
        <v>5653</v>
      </c>
    </row>
    <row r="17911">
      <c r="A17911" s="1" t="s">
        <v>29167</v>
      </c>
      <c r="B17911" s="2" t="s">
        <v>26724</v>
      </c>
      <c r="C17911" s="1" t="s">
        <v>5652</v>
      </c>
      <c r="D17911" s="1" t="s">
        <v>5653</v>
      </c>
    </row>
    <row r="17912">
      <c r="A17912" s="1" t="s">
        <v>29168</v>
      </c>
      <c r="B17912" s="2" t="s">
        <v>26726</v>
      </c>
      <c r="C17912" s="1" t="s">
        <v>5652</v>
      </c>
      <c r="D17912" s="1" t="s">
        <v>5653</v>
      </c>
    </row>
    <row r="17913">
      <c r="A17913" s="1" t="s">
        <v>29169</v>
      </c>
      <c r="B17913" s="2" t="s">
        <v>26728</v>
      </c>
      <c r="C17913" s="1" t="s">
        <v>5652</v>
      </c>
      <c r="D17913" s="1" t="s">
        <v>5653</v>
      </c>
    </row>
    <row r="17914">
      <c r="A17914" s="1" t="s">
        <v>29170</v>
      </c>
      <c r="B17914" s="2" t="s">
        <v>26730</v>
      </c>
      <c r="C17914" s="1" t="s">
        <v>5652</v>
      </c>
      <c r="D17914" s="1" t="s">
        <v>5653</v>
      </c>
    </row>
    <row r="17915">
      <c r="A17915" s="1" t="s">
        <v>29171</v>
      </c>
      <c r="B17915" s="2" t="s">
        <v>26732</v>
      </c>
      <c r="C17915" s="1" t="s">
        <v>5652</v>
      </c>
      <c r="D17915" s="1" t="s">
        <v>5653</v>
      </c>
    </row>
    <row r="17916">
      <c r="A17916" s="1" t="s">
        <v>29172</v>
      </c>
      <c r="B17916" s="2" t="s">
        <v>26734</v>
      </c>
      <c r="C17916" s="1" t="s">
        <v>5652</v>
      </c>
      <c r="D17916" s="1" t="s">
        <v>5653</v>
      </c>
    </row>
    <row r="17917">
      <c r="A17917" s="1" t="s">
        <v>29173</v>
      </c>
      <c r="B17917" s="2" t="s">
        <v>26736</v>
      </c>
      <c r="C17917" s="1" t="s">
        <v>5652</v>
      </c>
      <c r="D17917" s="1" t="s">
        <v>5653</v>
      </c>
    </row>
    <row r="17918">
      <c r="A17918" s="1" t="s">
        <v>29174</v>
      </c>
      <c r="B17918" s="2" t="s">
        <v>26738</v>
      </c>
      <c r="C17918" s="1" t="s">
        <v>5652</v>
      </c>
      <c r="D17918" s="1" t="s">
        <v>5653</v>
      </c>
    </row>
    <row r="17919">
      <c r="A17919" s="1" t="s">
        <v>29175</v>
      </c>
      <c r="B17919" s="2" t="s">
        <v>26740</v>
      </c>
      <c r="C17919" s="1" t="s">
        <v>5652</v>
      </c>
      <c r="D17919" s="1" t="s">
        <v>5653</v>
      </c>
    </row>
    <row r="17920">
      <c r="A17920" s="1" t="s">
        <v>29176</v>
      </c>
      <c r="B17920" s="2" t="s">
        <v>26742</v>
      </c>
      <c r="C17920" s="1" t="s">
        <v>5652</v>
      </c>
      <c r="D17920" s="1" t="s">
        <v>5653</v>
      </c>
    </row>
    <row r="17921">
      <c r="A17921" s="1" t="s">
        <v>29177</v>
      </c>
      <c r="B17921" s="2" t="s">
        <v>26744</v>
      </c>
      <c r="C17921" s="1" t="s">
        <v>5652</v>
      </c>
      <c r="D17921" s="1" t="s">
        <v>5653</v>
      </c>
    </row>
    <row r="17922">
      <c r="A17922" s="1" t="s">
        <v>29178</v>
      </c>
      <c r="B17922" s="2" t="s">
        <v>26746</v>
      </c>
      <c r="C17922" s="1" t="s">
        <v>5652</v>
      </c>
      <c r="D17922" s="1" t="s">
        <v>5653</v>
      </c>
    </row>
    <row r="17923">
      <c r="A17923" s="1" t="s">
        <v>29179</v>
      </c>
      <c r="B17923" s="2" t="s">
        <v>26748</v>
      </c>
      <c r="C17923" s="1" t="s">
        <v>5652</v>
      </c>
      <c r="D17923" s="1" t="s">
        <v>5653</v>
      </c>
    </row>
    <row r="17924">
      <c r="A17924" s="1" t="s">
        <v>29180</v>
      </c>
      <c r="B17924" s="2" t="s">
        <v>26750</v>
      </c>
      <c r="C17924" s="1" t="s">
        <v>5652</v>
      </c>
      <c r="D17924" s="1" t="s">
        <v>5653</v>
      </c>
    </row>
    <row r="17925">
      <c r="A17925" s="1" t="s">
        <v>29181</v>
      </c>
      <c r="B17925" s="2" t="s">
        <v>26752</v>
      </c>
      <c r="C17925" s="1" t="s">
        <v>5652</v>
      </c>
      <c r="D17925" s="1" t="s">
        <v>5653</v>
      </c>
    </row>
    <row r="17926">
      <c r="A17926" s="1" t="s">
        <v>29182</v>
      </c>
      <c r="B17926" s="2" t="s">
        <v>26754</v>
      </c>
      <c r="C17926" s="1" t="s">
        <v>5652</v>
      </c>
      <c r="D17926" s="1" t="s">
        <v>5653</v>
      </c>
    </row>
    <row r="17927">
      <c r="A17927" s="1" t="s">
        <v>29183</v>
      </c>
      <c r="B17927" s="2" t="s">
        <v>26756</v>
      </c>
      <c r="C17927" s="1" t="s">
        <v>5652</v>
      </c>
      <c r="D17927" s="1" t="s">
        <v>5653</v>
      </c>
    </row>
    <row r="17928">
      <c r="A17928" s="1" t="s">
        <v>29184</v>
      </c>
      <c r="B17928" s="2" t="s">
        <v>26758</v>
      </c>
      <c r="C17928" s="1" t="s">
        <v>5652</v>
      </c>
      <c r="D17928" s="1" t="s">
        <v>5653</v>
      </c>
    </row>
    <row r="17929">
      <c r="A17929" s="1" t="s">
        <v>29185</v>
      </c>
      <c r="B17929" s="2" t="s">
        <v>26760</v>
      </c>
      <c r="C17929" s="1" t="s">
        <v>5652</v>
      </c>
      <c r="D17929" s="1" t="s">
        <v>5653</v>
      </c>
    </row>
    <row r="17930">
      <c r="A17930" s="1" t="s">
        <v>29186</v>
      </c>
      <c r="B17930" s="2" t="s">
        <v>26762</v>
      </c>
      <c r="C17930" s="1" t="s">
        <v>5652</v>
      </c>
      <c r="D17930" s="1" t="s">
        <v>5653</v>
      </c>
    </row>
    <row r="17931">
      <c r="A17931" s="1" t="s">
        <v>29187</v>
      </c>
      <c r="B17931" s="2" t="s">
        <v>26764</v>
      </c>
      <c r="C17931" s="1" t="s">
        <v>5652</v>
      </c>
      <c r="D17931" s="1" t="s">
        <v>5653</v>
      </c>
    </row>
    <row r="17932">
      <c r="A17932" s="1" t="s">
        <v>29188</v>
      </c>
      <c r="B17932" s="2" t="s">
        <v>26766</v>
      </c>
      <c r="C17932" s="1" t="s">
        <v>5652</v>
      </c>
      <c r="D17932" s="1" t="s">
        <v>5653</v>
      </c>
    </row>
    <row r="17933">
      <c r="A17933" s="1" t="s">
        <v>29189</v>
      </c>
      <c r="B17933" s="2" t="s">
        <v>26768</v>
      </c>
      <c r="C17933" s="1" t="s">
        <v>5652</v>
      </c>
      <c r="D17933" s="1" t="s">
        <v>5653</v>
      </c>
    </row>
    <row r="17934">
      <c r="A17934" s="1" t="s">
        <v>29190</v>
      </c>
      <c r="B17934" s="2" t="s">
        <v>26770</v>
      </c>
      <c r="C17934" s="1" t="s">
        <v>5652</v>
      </c>
      <c r="D17934" s="1" t="s">
        <v>5653</v>
      </c>
    </row>
    <row r="17935">
      <c r="A17935" s="1" t="s">
        <v>29191</v>
      </c>
      <c r="B17935" s="2" t="s">
        <v>26772</v>
      </c>
      <c r="C17935" s="1" t="s">
        <v>5652</v>
      </c>
      <c r="D17935" s="1" t="s">
        <v>5653</v>
      </c>
    </row>
    <row r="17936">
      <c r="A17936" s="1" t="s">
        <v>29192</v>
      </c>
      <c r="B17936" s="2" t="s">
        <v>26774</v>
      </c>
      <c r="C17936" s="1" t="s">
        <v>5652</v>
      </c>
      <c r="D17936" s="1" t="s">
        <v>5653</v>
      </c>
    </row>
    <row r="17937">
      <c r="A17937" s="1" t="s">
        <v>29193</v>
      </c>
      <c r="B17937" s="2" t="s">
        <v>26776</v>
      </c>
      <c r="C17937" s="1" t="s">
        <v>5652</v>
      </c>
      <c r="D17937" s="1" t="s">
        <v>5653</v>
      </c>
    </row>
    <row r="17938">
      <c r="A17938" s="1" t="s">
        <v>29194</v>
      </c>
      <c r="B17938" s="2" t="s">
        <v>26778</v>
      </c>
      <c r="C17938" s="1" t="s">
        <v>5652</v>
      </c>
      <c r="D17938" s="1" t="s">
        <v>5653</v>
      </c>
    </row>
    <row r="17939">
      <c r="A17939" s="1" t="s">
        <v>29195</v>
      </c>
      <c r="B17939" s="2" t="s">
        <v>26780</v>
      </c>
      <c r="C17939" s="1" t="s">
        <v>5652</v>
      </c>
      <c r="D17939" s="1" t="s">
        <v>5653</v>
      </c>
    </row>
    <row r="17940">
      <c r="A17940" s="1" t="s">
        <v>29196</v>
      </c>
      <c r="B17940" s="2" t="s">
        <v>26782</v>
      </c>
      <c r="C17940" s="1" t="s">
        <v>5652</v>
      </c>
      <c r="D17940" s="1" t="s">
        <v>5653</v>
      </c>
    </row>
    <row r="17941">
      <c r="A17941" s="1" t="s">
        <v>29197</v>
      </c>
      <c r="B17941" s="2" t="s">
        <v>26784</v>
      </c>
      <c r="C17941" s="1" t="s">
        <v>5652</v>
      </c>
      <c r="D17941" s="1" t="s">
        <v>5653</v>
      </c>
    </row>
    <row r="17942">
      <c r="A17942" s="1" t="s">
        <v>29198</v>
      </c>
      <c r="B17942" s="2" t="s">
        <v>26786</v>
      </c>
      <c r="C17942" s="1" t="s">
        <v>5652</v>
      </c>
      <c r="D17942" s="1" t="s">
        <v>5653</v>
      </c>
    </row>
    <row r="17943">
      <c r="A17943" s="1" t="s">
        <v>29199</v>
      </c>
      <c r="B17943" s="2" t="s">
        <v>26788</v>
      </c>
      <c r="C17943" s="1" t="s">
        <v>5652</v>
      </c>
      <c r="D17943" s="1" t="s">
        <v>5653</v>
      </c>
    </row>
    <row r="17944">
      <c r="A17944" s="1" t="s">
        <v>29200</v>
      </c>
      <c r="B17944" s="2" t="s">
        <v>26790</v>
      </c>
      <c r="C17944" s="1" t="s">
        <v>5652</v>
      </c>
      <c r="D17944" s="1" t="s">
        <v>5653</v>
      </c>
    </row>
    <row r="17945">
      <c r="A17945" s="1" t="s">
        <v>29201</v>
      </c>
      <c r="B17945" s="2" t="s">
        <v>26792</v>
      </c>
      <c r="C17945" s="1" t="s">
        <v>5652</v>
      </c>
      <c r="D17945" s="1" t="s">
        <v>5653</v>
      </c>
    </row>
    <row r="17946">
      <c r="A17946" s="1" t="s">
        <v>29202</v>
      </c>
      <c r="B17946" s="2" t="s">
        <v>26794</v>
      </c>
      <c r="C17946" s="1" t="s">
        <v>5652</v>
      </c>
      <c r="D17946" s="1" t="s">
        <v>5653</v>
      </c>
    </row>
    <row r="17947">
      <c r="A17947" s="1" t="s">
        <v>29203</v>
      </c>
      <c r="B17947" s="2" t="s">
        <v>26796</v>
      </c>
      <c r="C17947" s="1" t="s">
        <v>5652</v>
      </c>
      <c r="D17947" s="1" t="s">
        <v>5653</v>
      </c>
    </row>
    <row r="17948">
      <c r="A17948" s="1" t="s">
        <v>29204</v>
      </c>
      <c r="B17948" s="2" t="s">
        <v>26798</v>
      </c>
      <c r="C17948" s="1" t="s">
        <v>5652</v>
      </c>
      <c r="D17948" s="1" t="s">
        <v>5653</v>
      </c>
    </row>
    <row r="17949">
      <c r="A17949" s="1" t="s">
        <v>29205</v>
      </c>
      <c r="B17949" s="2" t="s">
        <v>26800</v>
      </c>
      <c r="C17949" s="1" t="s">
        <v>5652</v>
      </c>
      <c r="D17949" s="1" t="s">
        <v>5653</v>
      </c>
    </row>
    <row r="17950">
      <c r="A17950" s="1" t="s">
        <v>29206</v>
      </c>
      <c r="B17950" s="2" t="s">
        <v>26802</v>
      </c>
      <c r="C17950" s="1" t="s">
        <v>5652</v>
      </c>
      <c r="D17950" s="1" t="s">
        <v>5653</v>
      </c>
    </row>
    <row r="17951">
      <c r="A17951" s="1" t="s">
        <v>29207</v>
      </c>
      <c r="B17951" s="2" t="s">
        <v>26804</v>
      </c>
      <c r="C17951" s="1" t="s">
        <v>5652</v>
      </c>
      <c r="D17951" s="1" t="s">
        <v>5653</v>
      </c>
    </row>
    <row r="17952">
      <c r="A17952" s="1" t="s">
        <v>29208</v>
      </c>
      <c r="B17952" s="2" t="s">
        <v>26806</v>
      </c>
      <c r="C17952" s="1" t="s">
        <v>5652</v>
      </c>
      <c r="D17952" s="1" t="s">
        <v>5653</v>
      </c>
    </row>
    <row r="17953">
      <c r="A17953" s="1" t="s">
        <v>29209</v>
      </c>
      <c r="B17953" s="2" t="s">
        <v>26808</v>
      </c>
      <c r="C17953" s="1" t="s">
        <v>5652</v>
      </c>
      <c r="D17953" s="1" t="s">
        <v>5653</v>
      </c>
    </row>
    <row r="17954">
      <c r="A17954" s="1" t="s">
        <v>29210</v>
      </c>
      <c r="B17954" s="2" t="s">
        <v>26810</v>
      </c>
      <c r="C17954" s="1" t="s">
        <v>5652</v>
      </c>
      <c r="D17954" s="1" t="s">
        <v>5653</v>
      </c>
    </row>
    <row r="17955">
      <c r="A17955" s="1" t="s">
        <v>29211</v>
      </c>
      <c r="B17955" s="2" t="s">
        <v>26812</v>
      </c>
      <c r="C17955" s="1" t="s">
        <v>5652</v>
      </c>
      <c r="D17955" s="1" t="s">
        <v>5653</v>
      </c>
    </row>
    <row r="17956">
      <c r="A17956" s="1" t="s">
        <v>29212</v>
      </c>
      <c r="B17956" s="2" t="s">
        <v>26814</v>
      </c>
      <c r="C17956" s="1" t="s">
        <v>5652</v>
      </c>
      <c r="D17956" s="1" t="s">
        <v>5653</v>
      </c>
    </row>
    <row r="17957">
      <c r="A17957" s="1" t="s">
        <v>29213</v>
      </c>
      <c r="B17957" s="2" t="s">
        <v>26816</v>
      </c>
      <c r="C17957" s="1" t="s">
        <v>5652</v>
      </c>
      <c r="D17957" s="1" t="s">
        <v>5653</v>
      </c>
    </row>
    <row r="17958">
      <c r="A17958" s="1" t="s">
        <v>29214</v>
      </c>
      <c r="B17958" s="2" t="s">
        <v>26818</v>
      </c>
      <c r="C17958" s="1" t="s">
        <v>5652</v>
      </c>
      <c r="D17958" s="1" t="s">
        <v>5653</v>
      </c>
    </row>
    <row r="17959">
      <c r="A17959" s="1" t="s">
        <v>29215</v>
      </c>
      <c r="B17959" s="2" t="s">
        <v>26820</v>
      </c>
      <c r="C17959" s="1" t="s">
        <v>5652</v>
      </c>
      <c r="D17959" s="1" t="s">
        <v>5653</v>
      </c>
    </row>
    <row r="17960">
      <c r="A17960" s="1" t="s">
        <v>29216</v>
      </c>
      <c r="B17960" s="2" t="s">
        <v>26822</v>
      </c>
      <c r="C17960" s="1" t="s">
        <v>5652</v>
      </c>
      <c r="D17960" s="1" t="s">
        <v>5653</v>
      </c>
    </row>
    <row r="17961">
      <c r="A17961" s="1" t="s">
        <v>29217</v>
      </c>
      <c r="B17961" s="2" t="s">
        <v>26824</v>
      </c>
      <c r="C17961" s="1" t="s">
        <v>5652</v>
      </c>
      <c r="D17961" s="1" t="s">
        <v>5653</v>
      </c>
    </row>
    <row r="17962">
      <c r="A17962" s="1" t="s">
        <v>29218</v>
      </c>
      <c r="B17962" s="2" t="s">
        <v>26826</v>
      </c>
      <c r="C17962" s="1" t="s">
        <v>5652</v>
      </c>
      <c r="D17962" s="1" t="s">
        <v>5653</v>
      </c>
    </row>
    <row r="17963">
      <c r="A17963" s="1" t="s">
        <v>29219</v>
      </c>
      <c r="B17963" s="2" t="s">
        <v>26828</v>
      </c>
      <c r="C17963" s="1" t="s">
        <v>5652</v>
      </c>
      <c r="D17963" s="1" t="s">
        <v>5653</v>
      </c>
    </row>
    <row r="17964">
      <c r="A17964" s="1" t="s">
        <v>29220</v>
      </c>
      <c r="B17964" s="2" t="s">
        <v>26830</v>
      </c>
      <c r="C17964" s="1" t="s">
        <v>5652</v>
      </c>
      <c r="D17964" s="1" t="s">
        <v>5653</v>
      </c>
    </row>
    <row r="17965">
      <c r="A17965" s="1" t="s">
        <v>29221</v>
      </c>
      <c r="B17965" s="2" t="s">
        <v>26832</v>
      </c>
      <c r="C17965" s="1" t="s">
        <v>5652</v>
      </c>
      <c r="D17965" s="1" t="s">
        <v>5653</v>
      </c>
    </row>
    <row r="17966">
      <c r="A17966" s="1" t="s">
        <v>29222</v>
      </c>
      <c r="B17966" s="2" t="s">
        <v>26834</v>
      </c>
      <c r="C17966" s="1" t="s">
        <v>5652</v>
      </c>
      <c r="D17966" s="1" t="s">
        <v>5653</v>
      </c>
    </row>
    <row r="17967">
      <c r="A17967" s="1" t="s">
        <v>29223</v>
      </c>
      <c r="B17967" s="2" t="s">
        <v>26836</v>
      </c>
      <c r="C17967" s="1" t="s">
        <v>5652</v>
      </c>
      <c r="D17967" s="1" t="s">
        <v>5653</v>
      </c>
    </row>
    <row r="17968">
      <c r="A17968" s="1" t="s">
        <v>29224</v>
      </c>
      <c r="B17968" s="2" t="s">
        <v>26838</v>
      </c>
      <c r="C17968" s="1" t="s">
        <v>5652</v>
      </c>
      <c r="D17968" s="1" t="s">
        <v>5653</v>
      </c>
    </row>
    <row r="17969">
      <c r="A17969" s="1" t="s">
        <v>29225</v>
      </c>
      <c r="B17969" s="2" t="s">
        <v>26840</v>
      </c>
      <c r="C17969" s="1" t="s">
        <v>5652</v>
      </c>
      <c r="D17969" s="1" t="s">
        <v>5653</v>
      </c>
    </row>
    <row r="17970">
      <c r="A17970" s="1" t="s">
        <v>29226</v>
      </c>
      <c r="B17970" s="2" t="s">
        <v>26842</v>
      </c>
      <c r="C17970" s="1" t="s">
        <v>5652</v>
      </c>
      <c r="D17970" s="1" t="s">
        <v>5653</v>
      </c>
    </row>
    <row r="17971">
      <c r="A17971" s="1" t="s">
        <v>29227</v>
      </c>
      <c r="B17971" s="2" t="s">
        <v>26844</v>
      </c>
      <c r="C17971" s="1" t="s">
        <v>5652</v>
      </c>
      <c r="D17971" s="1" t="s">
        <v>5653</v>
      </c>
    </row>
    <row r="17972">
      <c r="A17972" s="1" t="s">
        <v>29228</v>
      </c>
      <c r="B17972" s="2" t="s">
        <v>26846</v>
      </c>
      <c r="C17972" s="1" t="s">
        <v>5652</v>
      </c>
      <c r="D17972" s="1" t="s">
        <v>5653</v>
      </c>
    </row>
    <row r="17973">
      <c r="A17973" s="1" t="s">
        <v>29229</v>
      </c>
      <c r="B17973" s="2" t="s">
        <v>26848</v>
      </c>
      <c r="C17973" s="1" t="s">
        <v>5652</v>
      </c>
      <c r="D17973" s="1" t="s">
        <v>5653</v>
      </c>
    </row>
    <row r="17974">
      <c r="A17974" s="1" t="s">
        <v>29230</v>
      </c>
      <c r="B17974" s="2" t="s">
        <v>26850</v>
      </c>
      <c r="C17974" s="1" t="s">
        <v>5652</v>
      </c>
      <c r="D17974" s="1" t="s">
        <v>5653</v>
      </c>
    </row>
    <row r="17975">
      <c r="A17975" s="1" t="s">
        <v>29231</v>
      </c>
      <c r="B17975" s="2" t="s">
        <v>26852</v>
      </c>
      <c r="C17975" s="1" t="s">
        <v>5652</v>
      </c>
      <c r="D17975" s="1" t="s">
        <v>5653</v>
      </c>
    </row>
    <row r="17976">
      <c r="A17976" s="1" t="s">
        <v>29232</v>
      </c>
      <c r="B17976" s="2" t="s">
        <v>26854</v>
      </c>
      <c r="C17976" s="1" t="s">
        <v>5652</v>
      </c>
      <c r="D17976" s="1" t="s">
        <v>5653</v>
      </c>
    </row>
    <row r="17977">
      <c r="A17977" s="1" t="s">
        <v>29233</v>
      </c>
      <c r="B17977" s="2" t="s">
        <v>26856</v>
      </c>
      <c r="C17977" s="1" t="s">
        <v>5652</v>
      </c>
      <c r="D17977" s="1" t="s">
        <v>5653</v>
      </c>
    </row>
    <row r="17978">
      <c r="A17978" s="1" t="s">
        <v>29234</v>
      </c>
      <c r="B17978" s="2" t="s">
        <v>26858</v>
      </c>
      <c r="C17978" s="1" t="s">
        <v>5652</v>
      </c>
      <c r="D17978" s="1" t="s">
        <v>5653</v>
      </c>
    </row>
    <row r="17979">
      <c r="A17979" s="1" t="s">
        <v>29235</v>
      </c>
      <c r="B17979" s="2" t="s">
        <v>26860</v>
      </c>
      <c r="C17979" s="1" t="s">
        <v>5652</v>
      </c>
      <c r="D17979" s="1" t="s">
        <v>5653</v>
      </c>
    </row>
    <row r="17980">
      <c r="A17980" s="1" t="s">
        <v>29236</v>
      </c>
      <c r="B17980" s="2" t="s">
        <v>26862</v>
      </c>
      <c r="C17980" s="1" t="s">
        <v>5652</v>
      </c>
      <c r="D17980" s="1" t="s">
        <v>5653</v>
      </c>
    </row>
    <row r="17981">
      <c r="A17981" s="1" t="s">
        <v>29237</v>
      </c>
      <c r="B17981" s="2" t="s">
        <v>26864</v>
      </c>
      <c r="C17981" s="1" t="s">
        <v>5652</v>
      </c>
      <c r="D17981" s="1" t="s">
        <v>5653</v>
      </c>
    </row>
    <row r="17982">
      <c r="A17982" s="1" t="s">
        <v>29238</v>
      </c>
      <c r="B17982" s="2" t="s">
        <v>26866</v>
      </c>
      <c r="C17982" s="1" t="s">
        <v>5652</v>
      </c>
      <c r="D17982" s="1" t="s">
        <v>5653</v>
      </c>
    </row>
    <row r="17983">
      <c r="A17983" s="1" t="s">
        <v>29239</v>
      </c>
      <c r="B17983" s="2" t="s">
        <v>26868</v>
      </c>
      <c r="C17983" s="1" t="s">
        <v>5652</v>
      </c>
      <c r="D17983" s="1" t="s">
        <v>5653</v>
      </c>
    </row>
    <row r="17984">
      <c r="A17984" s="1" t="s">
        <v>29240</v>
      </c>
      <c r="B17984" s="2" t="s">
        <v>26870</v>
      </c>
      <c r="C17984" s="1" t="s">
        <v>5652</v>
      </c>
      <c r="D17984" s="1" t="s">
        <v>5653</v>
      </c>
    </row>
    <row r="17985">
      <c r="A17985" s="1" t="s">
        <v>29241</v>
      </c>
      <c r="B17985" s="2" t="s">
        <v>26872</v>
      </c>
      <c r="C17985" s="1" t="s">
        <v>5652</v>
      </c>
      <c r="D17985" s="1" t="s">
        <v>5653</v>
      </c>
    </row>
    <row r="17986">
      <c r="A17986" s="1" t="s">
        <v>29242</v>
      </c>
      <c r="B17986" s="2" t="s">
        <v>26874</v>
      </c>
      <c r="C17986" s="1" t="s">
        <v>5652</v>
      </c>
      <c r="D17986" s="1" t="s">
        <v>5653</v>
      </c>
    </row>
    <row r="17987">
      <c r="A17987" s="1" t="s">
        <v>29243</v>
      </c>
      <c r="B17987" s="2" t="s">
        <v>26876</v>
      </c>
      <c r="C17987" s="1" t="s">
        <v>5652</v>
      </c>
      <c r="D17987" s="1" t="s">
        <v>5653</v>
      </c>
    </row>
    <row r="17988">
      <c r="A17988" s="1" t="s">
        <v>29244</v>
      </c>
      <c r="B17988" s="2" t="s">
        <v>26878</v>
      </c>
      <c r="C17988" s="1" t="s">
        <v>5652</v>
      </c>
      <c r="D17988" s="1" t="s">
        <v>5653</v>
      </c>
    </row>
    <row r="17989">
      <c r="A17989" s="1" t="s">
        <v>29245</v>
      </c>
      <c r="B17989" s="2" t="s">
        <v>26880</v>
      </c>
      <c r="C17989" s="1" t="s">
        <v>5652</v>
      </c>
      <c r="D17989" s="1" t="s">
        <v>5653</v>
      </c>
    </row>
    <row r="17990">
      <c r="A17990" s="1" t="s">
        <v>29246</v>
      </c>
      <c r="B17990" s="2" t="s">
        <v>26882</v>
      </c>
      <c r="C17990" s="1" t="s">
        <v>5652</v>
      </c>
      <c r="D17990" s="1" t="s">
        <v>5653</v>
      </c>
    </row>
    <row r="17991">
      <c r="A17991" s="1" t="s">
        <v>29247</v>
      </c>
      <c r="B17991" s="2" t="s">
        <v>26884</v>
      </c>
      <c r="C17991" s="1" t="s">
        <v>5652</v>
      </c>
      <c r="D17991" s="1" t="s">
        <v>5653</v>
      </c>
    </row>
    <row r="17992">
      <c r="A17992" s="1" t="s">
        <v>29248</v>
      </c>
      <c r="B17992" s="2" t="s">
        <v>26886</v>
      </c>
      <c r="C17992" s="1" t="s">
        <v>5652</v>
      </c>
      <c r="D17992" s="1" t="s">
        <v>5653</v>
      </c>
    </row>
    <row r="17993">
      <c r="A17993" s="1" t="s">
        <v>29249</v>
      </c>
      <c r="B17993" s="2" t="s">
        <v>26888</v>
      </c>
      <c r="C17993" s="1" t="s">
        <v>5652</v>
      </c>
      <c r="D17993" s="1" t="s">
        <v>5653</v>
      </c>
    </row>
    <row r="17994">
      <c r="A17994" s="1" t="s">
        <v>29250</v>
      </c>
      <c r="B17994" s="2" t="s">
        <v>26890</v>
      </c>
      <c r="C17994" s="1" t="s">
        <v>5652</v>
      </c>
      <c r="D17994" s="1" t="s">
        <v>5653</v>
      </c>
    </row>
    <row r="17995">
      <c r="A17995" s="1" t="s">
        <v>29251</v>
      </c>
      <c r="B17995" s="2" t="s">
        <v>26892</v>
      </c>
      <c r="C17995" s="1" t="s">
        <v>5652</v>
      </c>
      <c r="D17995" s="1" t="s">
        <v>5653</v>
      </c>
    </row>
    <row r="17996">
      <c r="A17996" s="1" t="s">
        <v>29252</v>
      </c>
      <c r="B17996" s="2" t="s">
        <v>26894</v>
      </c>
      <c r="C17996" s="1" t="s">
        <v>5652</v>
      </c>
      <c r="D17996" s="1" t="s">
        <v>5653</v>
      </c>
    </row>
    <row r="17997">
      <c r="A17997" s="1" t="s">
        <v>29253</v>
      </c>
      <c r="B17997" s="2" t="s">
        <v>26896</v>
      </c>
      <c r="C17997" s="1" t="s">
        <v>5652</v>
      </c>
      <c r="D17997" s="1" t="s">
        <v>5653</v>
      </c>
    </row>
    <row r="17998">
      <c r="A17998" s="1" t="s">
        <v>29254</v>
      </c>
      <c r="B17998" s="2" t="s">
        <v>26898</v>
      </c>
      <c r="C17998" s="1" t="s">
        <v>5652</v>
      </c>
      <c r="D17998" s="1" t="s">
        <v>5653</v>
      </c>
    </row>
    <row r="17999">
      <c r="A17999" s="1" t="s">
        <v>29255</v>
      </c>
      <c r="B17999" s="2" t="s">
        <v>26900</v>
      </c>
      <c r="C17999" s="1" t="s">
        <v>5652</v>
      </c>
      <c r="D17999" s="1" t="s">
        <v>5653</v>
      </c>
    </row>
    <row r="18000">
      <c r="A18000" s="1" t="s">
        <v>29256</v>
      </c>
      <c r="B18000" s="2" t="s">
        <v>26902</v>
      </c>
      <c r="C18000" s="1" t="s">
        <v>5652</v>
      </c>
      <c r="D18000" s="1" t="s">
        <v>5653</v>
      </c>
    </row>
    <row r="18001">
      <c r="A18001" s="1" t="s">
        <v>29257</v>
      </c>
      <c r="B18001" s="2" t="s">
        <v>26904</v>
      </c>
      <c r="C18001" s="1" t="s">
        <v>5652</v>
      </c>
      <c r="D18001" s="1" t="s">
        <v>5653</v>
      </c>
    </row>
    <row r="18002">
      <c r="A18002" s="1" t="s">
        <v>29258</v>
      </c>
      <c r="B18002" s="2" t="s">
        <v>26906</v>
      </c>
      <c r="C18002" s="1" t="s">
        <v>5652</v>
      </c>
      <c r="D18002" s="1" t="s">
        <v>5653</v>
      </c>
    </row>
    <row r="18003">
      <c r="A18003" s="1" t="s">
        <v>29259</v>
      </c>
      <c r="B18003" s="2" t="s">
        <v>26908</v>
      </c>
      <c r="C18003" s="1" t="s">
        <v>5652</v>
      </c>
      <c r="D18003" s="1" t="s">
        <v>5653</v>
      </c>
    </row>
    <row r="18004">
      <c r="A18004" s="1" t="s">
        <v>29260</v>
      </c>
      <c r="B18004" s="2" t="s">
        <v>26910</v>
      </c>
      <c r="C18004" s="1" t="s">
        <v>5652</v>
      </c>
      <c r="D18004" s="1" t="s">
        <v>5653</v>
      </c>
    </row>
    <row r="18005">
      <c r="A18005" s="1" t="s">
        <v>29261</v>
      </c>
      <c r="B18005" s="2" t="s">
        <v>26912</v>
      </c>
      <c r="C18005" s="1" t="s">
        <v>5652</v>
      </c>
      <c r="D18005" s="1" t="s">
        <v>5653</v>
      </c>
    </row>
    <row r="18006">
      <c r="A18006" s="1" t="s">
        <v>29262</v>
      </c>
      <c r="B18006" s="2" t="s">
        <v>26914</v>
      </c>
      <c r="C18006" s="1" t="s">
        <v>5652</v>
      </c>
      <c r="D18006" s="1" t="s">
        <v>5653</v>
      </c>
    </row>
    <row r="18007">
      <c r="A18007" s="1" t="s">
        <v>29263</v>
      </c>
      <c r="B18007" s="2" t="s">
        <v>26916</v>
      </c>
      <c r="C18007" s="1" t="s">
        <v>5652</v>
      </c>
      <c r="D18007" s="1" t="s">
        <v>5653</v>
      </c>
    </row>
    <row r="18008">
      <c r="A18008" s="1" t="s">
        <v>29264</v>
      </c>
      <c r="B18008" s="2" t="s">
        <v>26918</v>
      </c>
      <c r="C18008" s="1" t="s">
        <v>5652</v>
      </c>
      <c r="D18008" s="1" t="s">
        <v>5653</v>
      </c>
    </row>
    <row r="18009">
      <c r="A18009" s="1" t="s">
        <v>29265</v>
      </c>
      <c r="B18009" s="2" t="s">
        <v>26920</v>
      </c>
      <c r="C18009" s="1" t="s">
        <v>5652</v>
      </c>
      <c r="D18009" s="1" t="s">
        <v>5653</v>
      </c>
    </row>
    <row r="18010">
      <c r="A18010" s="1" t="s">
        <v>29266</v>
      </c>
      <c r="B18010" s="2" t="s">
        <v>26922</v>
      </c>
      <c r="C18010" s="1" t="s">
        <v>5652</v>
      </c>
      <c r="D18010" s="1" t="s">
        <v>5653</v>
      </c>
    </row>
    <row r="18011">
      <c r="A18011" s="1" t="s">
        <v>29267</v>
      </c>
      <c r="B18011" s="2" t="s">
        <v>26924</v>
      </c>
      <c r="C18011" s="1" t="s">
        <v>5652</v>
      </c>
      <c r="D18011" s="1" t="s">
        <v>5653</v>
      </c>
    </row>
    <row r="18012">
      <c r="A18012" s="1" t="s">
        <v>29268</v>
      </c>
      <c r="B18012" s="2" t="s">
        <v>26926</v>
      </c>
      <c r="C18012" s="1" t="s">
        <v>5652</v>
      </c>
      <c r="D18012" s="1" t="s">
        <v>5653</v>
      </c>
    </row>
    <row r="18013">
      <c r="A18013" s="1" t="s">
        <v>29269</v>
      </c>
      <c r="B18013" s="2" t="s">
        <v>26928</v>
      </c>
      <c r="C18013" s="1" t="s">
        <v>5652</v>
      </c>
      <c r="D18013" s="1" t="s">
        <v>5653</v>
      </c>
    </row>
    <row r="18014">
      <c r="A18014" s="1" t="s">
        <v>29270</v>
      </c>
      <c r="B18014" s="2" t="s">
        <v>26930</v>
      </c>
      <c r="C18014" s="1" t="s">
        <v>5652</v>
      </c>
      <c r="D18014" s="1" t="s">
        <v>5653</v>
      </c>
    </row>
    <row r="18015">
      <c r="A18015" s="1" t="s">
        <v>29271</v>
      </c>
      <c r="B18015" s="2" t="s">
        <v>26932</v>
      </c>
      <c r="C18015" s="1" t="s">
        <v>5652</v>
      </c>
      <c r="D18015" s="1" t="s">
        <v>5653</v>
      </c>
    </row>
    <row r="18016">
      <c r="A18016" s="1" t="s">
        <v>29272</v>
      </c>
      <c r="B18016" s="2" t="s">
        <v>26934</v>
      </c>
      <c r="C18016" s="1" t="s">
        <v>5652</v>
      </c>
      <c r="D18016" s="1" t="s">
        <v>5653</v>
      </c>
    </row>
    <row r="18017">
      <c r="A18017" s="1" t="s">
        <v>29273</v>
      </c>
      <c r="B18017" s="2" t="s">
        <v>26936</v>
      </c>
      <c r="C18017" s="1" t="s">
        <v>5652</v>
      </c>
      <c r="D18017" s="1" t="s">
        <v>5653</v>
      </c>
    </row>
    <row r="18018">
      <c r="A18018" s="1" t="s">
        <v>29274</v>
      </c>
      <c r="B18018" s="2" t="s">
        <v>26938</v>
      </c>
      <c r="C18018" s="1" t="s">
        <v>5652</v>
      </c>
      <c r="D18018" s="1" t="s">
        <v>5653</v>
      </c>
    </row>
    <row r="18019">
      <c r="A18019" s="1" t="s">
        <v>29275</v>
      </c>
      <c r="B18019" s="2" t="s">
        <v>26940</v>
      </c>
      <c r="C18019" s="1" t="s">
        <v>5652</v>
      </c>
      <c r="D18019" s="1" t="s">
        <v>5653</v>
      </c>
    </row>
    <row r="18020">
      <c r="A18020" s="1" t="s">
        <v>29276</v>
      </c>
      <c r="B18020" s="2" t="s">
        <v>26942</v>
      </c>
      <c r="C18020" s="1" t="s">
        <v>5652</v>
      </c>
      <c r="D18020" s="1" t="s">
        <v>5653</v>
      </c>
    </row>
    <row r="18021">
      <c r="A18021" s="1" t="s">
        <v>29277</v>
      </c>
      <c r="B18021" s="2" t="s">
        <v>26944</v>
      </c>
      <c r="C18021" s="1" t="s">
        <v>5652</v>
      </c>
      <c r="D18021" s="1" t="s">
        <v>5653</v>
      </c>
    </row>
    <row r="18022">
      <c r="A18022" s="1" t="s">
        <v>29278</v>
      </c>
      <c r="B18022" s="2" t="s">
        <v>26946</v>
      </c>
      <c r="C18022" s="1" t="s">
        <v>5652</v>
      </c>
      <c r="D18022" s="1" t="s">
        <v>5653</v>
      </c>
    </row>
    <row r="18023">
      <c r="A18023" s="1" t="s">
        <v>29279</v>
      </c>
      <c r="B18023" s="2" t="s">
        <v>26948</v>
      </c>
      <c r="C18023" s="1" t="s">
        <v>5652</v>
      </c>
      <c r="D18023" s="1" t="s">
        <v>5653</v>
      </c>
    </row>
    <row r="18024">
      <c r="A18024" s="1" t="s">
        <v>29280</v>
      </c>
      <c r="B18024" s="2" t="s">
        <v>26950</v>
      </c>
      <c r="C18024" s="1" t="s">
        <v>5652</v>
      </c>
      <c r="D18024" s="1" t="s">
        <v>5653</v>
      </c>
    </row>
    <row r="18025">
      <c r="A18025" s="1" t="s">
        <v>29281</v>
      </c>
      <c r="B18025" s="2" t="s">
        <v>26952</v>
      </c>
      <c r="C18025" s="1" t="s">
        <v>5652</v>
      </c>
      <c r="D18025" s="1" t="s">
        <v>5653</v>
      </c>
    </row>
    <row r="18026">
      <c r="A18026" s="1" t="s">
        <v>29282</v>
      </c>
      <c r="B18026" s="2" t="s">
        <v>26954</v>
      </c>
      <c r="C18026" s="1" t="s">
        <v>5652</v>
      </c>
      <c r="D18026" s="1" t="s">
        <v>5653</v>
      </c>
    </row>
    <row r="18027">
      <c r="A18027" s="1" t="s">
        <v>29283</v>
      </c>
      <c r="B18027" s="2" t="s">
        <v>26956</v>
      </c>
      <c r="C18027" s="1" t="s">
        <v>5652</v>
      </c>
      <c r="D18027" s="1" t="s">
        <v>5653</v>
      </c>
    </row>
    <row r="18028">
      <c r="A18028" s="1" t="s">
        <v>29284</v>
      </c>
      <c r="B18028" s="2" t="s">
        <v>26958</v>
      </c>
      <c r="C18028" s="1" t="s">
        <v>5652</v>
      </c>
      <c r="D18028" s="1" t="s">
        <v>5653</v>
      </c>
    </row>
    <row r="18029">
      <c r="A18029" s="1" t="s">
        <v>29285</v>
      </c>
      <c r="B18029" s="2" t="s">
        <v>26960</v>
      </c>
      <c r="C18029" s="1" t="s">
        <v>5652</v>
      </c>
      <c r="D18029" s="1" t="s">
        <v>5653</v>
      </c>
    </row>
    <row r="18030">
      <c r="A18030" s="1" t="s">
        <v>29286</v>
      </c>
      <c r="B18030" s="2" t="s">
        <v>26962</v>
      </c>
      <c r="C18030" s="1" t="s">
        <v>5652</v>
      </c>
      <c r="D18030" s="1" t="s">
        <v>5653</v>
      </c>
    </row>
    <row r="18031">
      <c r="A18031" s="1" t="s">
        <v>29287</v>
      </c>
      <c r="B18031" s="2" t="s">
        <v>26964</v>
      </c>
      <c r="C18031" s="1" t="s">
        <v>5652</v>
      </c>
      <c r="D18031" s="1" t="s">
        <v>5653</v>
      </c>
    </row>
    <row r="18032">
      <c r="A18032" s="1" t="s">
        <v>29288</v>
      </c>
      <c r="B18032" s="2" t="s">
        <v>26966</v>
      </c>
      <c r="C18032" s="1" t="s">
        <v>5652</v>
      </c>
      <c r="D18032" s="1" t="s">
        <v>5653</v>
      </c>
    </row>
    <row r="18033">
      <c r="A18033" s="1" t="s">
        <v>29289</v>
      </c>
      <c r="B18033" s="2" t="s">
        <v>26968</v>
      </c>
      <c r="C18033" s="1" t="s">
        <v>5652</v>
      </c>
      <c r="D18033" s="1" t="s">
        <v>5653</v>
      </c>
    </row>
    <row r="18034">
      <c r="A18034" s="1" t="s">
        <v>29290</v>
      </c>
      <c r="B18034" s="2" t="s">
        <v>26970</v>
      </c>
      <c r="C18034" s="1" t="s">
        <v>5652</v>
      </c>
      <c r="D18034" s="1" t="s">
        <v>5653</v>
      </c>
    </row>
    <row r="18035">
      <c r="A18035" s="1" t="s">
        <v>29291</v>
      </c>
      <c r="B18035" s="2" t="s">
        <v>26972</v>
      </c>
      <c r="C18035" s="1" t="s">
        <v>5652</v>
      </c>
      <c r="D18035" s="1" t="s">
        <v>5653</v>
      </c>
    </row>
    <row r="18036">
      <c r="A18036" s="1" t="s">
        <v>29292</v>
      </c>
      <c r="B18036" s="2" t="s">
        <v>26974</v>
      </c>
      <c r="C18036" s="1" t="s">
        <v>5652</v>
      </c>
      <c r="D18036" s="1" t="s">
        <v>5653</v>
      </c>
    </row>
    <row r="18037">
      <c r="A18037" s="1" t="s">
        <v>29293</v>
      </c>
      <c r="B18037" s="2" t="s">
        <v>26976</v>
      </c>
      <c r="C18037" s="1" t="s">
        <v>5652</v>
      </c>
      <c r="D18037" s="1" t="s">
        <v>5653</v>
      </c>
    </row>
    <row r="18038">
      <c r="A18038" s="1" t="s">
        <v>29294</v>
      </c>
      <c r="B18038" s="2" t="s">
        <v>26978</v>
      </c>
      <c r="C18038" s="1" t="s">
        <v>5652</v>
      </c>
      <c r="D18038" s="1" t="s">
        <v>5653</v>
      </c>
    </row>
    <row r="18039">
      <c r="A18039" s="1" t="s">
        <v>29295</v>
      </c>
      <c r="B18039" s="2" t="s">
        <v>26980</v>
      </c>
      <c r="C18039" s="1" t="s">
        <v>5652</v>
      </c>
      <c r="D18039" s="1" t="s">
        <v>5653</v>
      </c>
    </row>
    <row r="18040">
      <c r="A18040" s="1" t="s">
        <v>29296</v>
      </c>
      <c r="B18040" s="2" t="s">
        <v>26982</v>
      </c>
      <c r="C18040" s="1" t="s">
        <v>5652</v>
      </c>
      <c r="D18040" s="1" t="s">
        <v>5653</v>
      </c>
    </row>
    <row r="18041">
      <c r="A18041" s="1" t="s">
        <v>29297</v>
      </c>
      <c r="B18041" s="2" t="s">
        <v>26984</v>
      </c>
      <c r="C18041" s="1" t="s">
        <v>5652</v>
      </c>
      <c r="D18041" s="1" t="s">
        <v>5653</v>
      </c>
    </row>
    <row r="18042">
      <c r="A18042" s="1" t="s">
        <v>29298</v>
      </c>
      <c r="B18042" s="2" t="s">
        <v>26986</v>
      </c>
      <c r="C18042" s="1" t="s">
        <v>5652</v>
      </c>
      <c r="D18042" s="1" t="s">
        <v>5653</v>
      </c>
    </row>
    <row r="18043">
      <c r="A18043" s="1" t="s">
        <v>29299</v>
      </c>
      <c r="B18043" s="2" t="s">
        <v>26988</v>
      </c>
      <c r="C18043" s="1" t="s">
        <v>5652</v>
      </c>
      <c r="D18043" s="1" t="s">
        <v>5653</v>
      </c>
    </row>
    <row r="18044">
      <c r="A18044" s="1" t="s">
        <v>29300</v>
      </c>
      <c r="B18044" s="2" t="s">
        <v>26990</v>
      </c>
      <c r="C18044" s="1" t="s">
        <v>5652</v>
      </c>
      <c r="D18044" s="1" t="s">
        <v>5653</v>
      </c>
    </row>
    <row r="18045">
      <c r="A18045" s="1" t="s">
        <v>29301</v>
      </c>
      <c r="B18045" s="2" t="s">
        <v>26992</v>
      </c>
      <c r="C18045" s="1" t="s">
        <v>5652</v>
      </c>
      <c r="D18045" s="1" t="s">
        <v>5653</v>
      </c>
    </row>
    <row r="18046">
      <c r="A18046" s="1" t="s">
        <v>29302</v>
      </c>
      <c r="B18046" s="2" t="s">
        <v>26994</v>
      </c>
      <c r="C18046" s="1" t="s">
        <v>5652</v>
      </c>
      <c r="D18046" s="1" t="s">
        <v>5653</v>
      </c>
    </row>
    <row r="18047">
      <c r="A18047" s="1" t="s">
        <v>29303</v>
      </c>
      <c r="B18047" s="2" t="s">
        <v>26996</v>
      </c>
      <c r="C18047" s="1" t="s">
        <v>5652</v>
      </c>
      <c r="D18047" s="1" t="s">
        <v>5653</v>
      </c>
    </row>
    <row r="18048">
      <c r="A18048" s="1" t="s">
        <v>29304</v>
      </c>
      <c r="B18048" s="2" t="s">
        <v>26998</v>
      </c>
      <c r="C18048" s="1" t="s">
        <v>5652</v>
      </c>
      <c r="D18048" s="1" t="s">
        <v>5653</v>
      </c>
    </row>
    <row r="18049">
      <c r="A18049" s="1" t="s">
        <v>29305</v>
      </c>
      <c r="B18049" s="2" t="s">
        <v>27000</v>
      </c>
      <c r="C18049" s="1" t="s">
        <v>5652</v>
      </c>
      <c r="D18049" s="1" t="s">
        <v>5653</v>
      </c>
    </row>
    <row r="18050">
      <c r="A18050" s="1" t="s">
        <v>29306</v>
      </c>
      <c r="B18050" s="2" t="s">
        <v>27002</v>
      </c>
      <c r="C18050" s="1" t="s">
        <v>5652</v>
      </c>
      <c r="D18050" s="1" t="s">
        <v>5653</v>
      </c>
    </row>
    <row r="18051">
      <c r="A18051" s="1" t="s">
        <v>29307</v>
      </c>
      <c r="B18051" s="2" t="s">
        <v>27004</v>
      </c>
      <c r="C18051" s="1" t="s">
        <v>5652</v>
      </c>
      <c r="D18051" s="1" t="s">
        <v>5653</v>
      </c>
    </row>
    <row r="18052">
      <c r="A18052" s="1" t="s">
        <v>29308</v>
      </c>
      <c r="B18052" s="2" t="s">
        <v>27006</v>
      </c>
      <c r="C18052" s="1" t="s">
        <v>5652</v>
      </c>
      <c r="D18052" s="1" t="s">
        <v>5653</v>
      </c>
    </row>
    <row r="18053">
      <c r="A18053" s="1" t="s">
        <v>29309</v>
      </c>
      <c r="B18053" s="2" t="s">
        <v>27008</v>
      </c>
      <c r="C18053" s="1" t="s">
        <v>5652</v>
      </c>
      <c r="D18053" s="1" t="s">
        <v>5653</v>
      </c>
    </row>
    <row r="18054">
      <c r="A18054" s="1" t="s">
        <v>29310</v>
      </c>
      <c r="B18054" s="2" t="s">
        <v>27010</v>
      </c>
      <c r="C18054" s="1" t="s">
        <v>5652</v>
      </c>
      <c r="D18054" s="1" t="s">
        <v>5653</v>
      </c>
    </row>
    <row r="18055">
      <c r="A18055" s="1" t="s">
        <v>29311</v>
      </c>
      <c r="B18055" s="2" t="s">
        <v>27012</v>
      </c>
      <c r="C18055" s="1" t="s">
        <v>5652</v>
      </c>
      <c r="D18055" s="1" t="s">
        <v>5653</v>
      </c>
    </row>
    <row r="18056">
      <c r="A18056" s="1" t="s">
        <v>29312</v>
      </c>
      <c r="B18056" s="2" t="s">
        <v>27014</v>
      </c>
      <c r="C18056" s="1" t="s">
        <v>5652</v>
      </c>
      <c r="D18056" s="1" t="s">
        <v>5653</v>
      </c>
    </row>
    <row r="18057">
      <c r="A18057" s="1" t="s">
        <v>29313</v>
      </c>
      <c r="B18057" s="2" t="s">
        <v>27016</v>
      </c>
      <c r="C18057" s="1" t="s">
        <v>5652</v>
      </c>
      <c r="D18057" s="1" t="s">
        <v>5653</v>
      </c>
    </row>
    <row r="18058">
      <c r="A18058" s="1" t="s">
        <v>29314</v>
      </c>
      <c r="B18058" s="2" t="s">
        <v>27018</v>
      </c>
      <c r="C18058" s="1" t="s">
        <v>5652</v>
      </c>
      <c r="D18058" s="1" t="s">
        <v>5653</v>
      </c>
    </row>
    <row r="18059">
      <c r="A18059" s="1" t="s">
        <v>29315</v>
      </c>
      <c r="B18059" s="2" t="s">
        <v>27020</v>
      </c>
      <c r="C18059" s="1" t="s">
        <v>5652</v>
      </c>
      <c r="D18059" s="1" t="s">
        <v>5653</v>
      </c>
    </row>
    <row r="18060">
      <c r="A18060" s="1" t="s">
        <v>29316</v>
      </c>
      <c r="B18060" s="2" t="s">
        <v>27022</v>
      </c>
      <c r="C18060" s="1" t="s">
        <v>5652</v>
      </c>
      <c r="D18060" s="1" t="s">
        <v>5653</v>
      </c>
    </row>
    <row r="18061">
      <c r="A18061" s="1" t="s">
        <v>29317</v>
      </c>
      <c r="B18061" s="2" t="s">
        <v>27024</v>
      </c>
      <c r="C18061" s="1" t="s">
        <v>5652</v>
      </c>
      <c r="D18061" s="1" t="s">
        <v>5653</v>
      </c>
    </row>
    <row r="18062">
      <c r="A18062" s="1" t="s">
        <v>29318</v>
      </c>
      <c r="B18062" s="2" t="s">
        <v>27026</v>
      </c>
      <c r="C18062" s="1" t="s">
        <v>5652</v>
      </c>
      <c r="D18062" s="1" t="s">
        <v>5653</v>
      </c>
    </row>
    <row r="18063">
      <c r="A18063" s="1" t="s">
        <v>29319</v>
      </c>
      <c r="B18063" s="2" t="s">
        <v>27028</v>
      </c>
      <c r="C18063" s="1" t="s">
        <v>5652</v>
      </c>
      <c r="D18063" s="1" t="s">
        <v>5653</v>
      </c>
    </row>
    <row r="18064">
      <c r="A18064" s="1" t="s">
        <v>29320</v>
      </c>
      <c r="B18064" s="2" t="s">
        <v>27030</v>
      </c>
      <c r="C18064" s="1" t="s">
        <v>5652</v>
      </c>
      <c r="D18064" s="1" t="s">
        <v>5653</v>
      </c>
    </row>
    <row r="18065">
      <c r="A18065" s="1" t="s">
        <v>29321</v>
      </c>
      <c r="B18065" s="2" t="s">
        <v>27032</v>
      </c>
      <c r="C18065" s="1" t="s">
        <v>5652</v>
      </c>
      <c r="D18065" s="1" t="s">
        <v>5653</v>
      </c>
    </row>
    <row r="18066">
      <c r="A18066" s="1" t="s">
        <v>29322</v>
      </c>
      <c r="B18066" s="2" t="s">
        <v>27034</v>
      </c>
      <c r="C18066" s="1" t="s">
        <v>5652</v>
      </c>
      <c r="D18066" s="1" t="s">
        <v>5653</v>
      </c>
    </row>
    <row r="18067">
      <c r="A18067" s="1" t="s">
        <v>29323</v>
      </c>
      <c r="B18067" s="2" t="s">
        <v>27036</v>
      </c>
      <c r="C18067" s="1" t="s">
        <v>5652</v>
      </c>
      <c r="D18067" s="1" t="s">
        <v>5653</v>
      </c>
    </row>
    <row r="18068">
      <c r="A18068" s="1" t="s">
        <v>29324</v>
      </c>
      <c r="B18068" s="2" t="s">
        <v>27038</v>
      </c>
      <c r="C18068" s="1" t="s">
        <v>5652</v>
      </c>
      <c r="D18068" s="1" t="s">
        <v>5653</v>
      </c>
    </row>
    <row r="18069">
      <c r="A18069" s="1" t="s">
        <v>29325</v>
      </c>
      <c r="B18069" s="2" t="s">
        <v>27040</v>
      </c>
      <c r="C18069" s="1" t="s">
        <v>5652</v>
      </c>
      <c r="D18069" s="1" t="s">
        <v>5653</v>
      </c>
    </row>
    <row r="18070">
      <c r="A18070" s="1" t="s">
        <v>29326</v>
      </c>
      <c r="B18070" s="2" t="s">
        <v>27042</v>
      </c>
      <c r="C18070" s="1" t="s">
        <v>5652</v>
      </c>
      <c r="D18070" s="1" t="s">
        <v>5653</v>
      </c>
    </row>
    <row r="18071">
      <c r="A18071" s="1" t="s">
        <v>29327</v>
      </c>
      <c r="B18071" s="2" t="s">
        <v>27044</v>
      </c>
      <c r="C18071" s="1" t="s">
        <v>5652</v>
      </c>
      <c r="D18071" s="1" t="s">
        <v>5653</v>
      </c>
    </row>
    <row r="18072">
      <c r="A18072" s="1" t="s">
        <v>29328</v>
      </c>
      <c r="B18072" s="2" t="s">
        <v>27046</v>
      </c>
      <c r="C18072" s="1" t="s">
        <v>5652</v>
      </c>
      <c r="D18072" s="1" t="s">
        <v>5653</v>
      </c>
    </row>
    <row r="18073">
      <c r="A18073" s="1" t="s">
        <v>29329</v>
      </c>
      <c r="B18073" s="2" t="s">
        <v>27048</v>
      </c>
      <c r="C18073" s="1" t="s">
        <v>5652</v>
      </c>
      <c r="D18073" s="1" t="s">
        <v>5653</v>
      </c>
    </row>
    <row r="18074">
      <c r="A18074" s="1" t="s">
        <v>29330</v>
      </c>
      <c r="B18074" s="2" t="s">
        <v>27050</v>
      </c>
      <c r="C18074" s="1" t="s">
        <v>5652</v>
      </c>
      <c r="D18074" s="1" t="s">
        <v>5653</v>
      </c>
    </row>
    <row r="18075">
      <c r="A18075" s="1" t="s">
        <v>29331</v>
      </c>
      <c r="B18075" s="2" t="s">
        <v>27052</v>
      </c>
      <c r="C18075" s="1" t="s">
        <v>5652</v>
      </c>
      <c r="D18075" s="1" t="s">
        <v>5653</v>
      </c>
    </row>
    <row r="18076">
      <c r="A18076" s="1" t="s">
        <v>29332</v>
      </c>
      <c r="B18076" s="2" t="s">
        <v>27054</v>
      </c>
      <c r="C18076" s="1" t="s">
        <v>5652</v>
      </c>
      <c r="D18076" s="1" t="s">
        <v>5653</v>
      </c>
    </row>
    <row r="18077">
      <c r="A18077" s="1" t="s">
        <v>29333</v>
      </c>
      <c r="B18077" s="2" t="s">
        <v>27056</v>
      </c>
      <c r="C18077" s="1" t="s">
        <v>5652</v>
      </c>
      <c r="D18077" s="1" t="s">
        <v>5653</v>
      </c>
    </row>
    <row r="18078">
      <c r="A18078" s="1" t="s">
        <v>29334</v>
      </c>
      <c r="B18078" s="2" t="s">
        <v>27058</v>
      </c>
      <c r="C18078" s="1" t="s">
        <v>5652</v>
      </c>
      <c r="D18078" s="1" t="s">
        <v>5653</v>
      </c>
    </row>
    <row r="18079">
      <c r="A18079" s="1" t="s">
        <v>29335</v>
      </c>
      <c r="B18079" s="2" t="s">
        <v>27060</v>
      </c>
      <c r="C18079" s="1" t="s">
        <v>5652</v>
      </c>
      <c r="D18079" s="1" t="s">
        <v>5653</v>
      </c>
    </row>
    <row r="18080">
      <c r="A18080" s="1" t="s">
        <v>29336</v>
      </c>
      <c r="B18080" s="2" t="s">
        <v>27062</v>
      </c>
      <c r="C18080" s="1" t="s">
        <v>5652</v>
      </c>
      <c r="D18080" s="1" t="s">
        <v>5653</v>
      </c>
    </row>
    <row r="18081">
      <c r="A18081" s="1" t="s">
        <v>29337</v>
      </c>
      <c r="B18081" s="2" t="s">
        <v>27064</v>
      </c>
      <c r="C18081" s="1" t="s">
        <v>5652</v>
      </c>
      <c r="D18081" s="1" t="s">
        <v>5653</v>
      </c>
    </row>
    <row r="18082">
      <c r="A18082" s="1" t="s">
        <v>29338</v>
      </c>
      <c r="B18082" s="2" t="s">
        <v>27066</v>
      </c>
      <c r="C18082" s="1" t="s">
        <v>5652</v>
      </c>
      <c r="D18082" s="1" t="s">
        <v>5653</v>
      </c>
    </row>
    <row r="18083">
      <c r="A18083" s="1" t="s">
        <v>29339</v>
      </c>
      <c r="B18083" s="2" t="s">
        <v>27068</v>
      </c>
      <c r="C18083" s="1" t="s">
        <v>5652</v>
      </c>
      <c r="D18083" s="1" t="s">
        <v>5653</v>
      </c>
    </row>
    <row r="18084">
      <c r="A18084" s="1" t="s">
        <v>29340</v>
      </c>
      <c r="B18084" s="2" t="s">
        <v>27070</v>
      </c>
      <c r="C18084" s="1" t="s">
        <v>5652</v>
      </c>
      <c r="D18084" s="1" t="s">
        <v>5653</v>
      </c>
    </row>
    <row r="18085">
      <c r="A18085" s="1" t="s">
        <v>29341</v>
      </c>
      <c r="B18085" s="2" t="s">
        <v>27072</v>
      </c>
      <c r="C18085" s="1" t="s">
        <v>5652</v>
      </c>
      <c r="D18085" s="1" t="s">
        <v>5653</v>
      </c>
    </row>
    <row r="18086">
      <c r="A18086" s="1" t="s">
        <v>29342</v>
      </c>
      <c r="B18086" s="2" t="s">
        <v>27074</v>
      </c>
      <c r="C18086" s="1" t="s">
        <v>5652</v>
      </c>
      <c r="D18086" s="1" t="s">
        <v>5653</v>
      </c>
    </row>
    <row r="18087">
      <c r="A18087" s="1" t="s">
        <v>29343</v>
      </c>
      <c r="B18087" s="2" t="s">
        <v>27076</v>
      </c>
      <c r="C18087" s="1" t="s">
        <v>5652</v>
      </c>
      <c r="D18087" s="1" t="s">
        <v>5653</v>
      </c>
    </row>
    <row r="18088">
      <c r="A18088" s="1" t="s">
        <v>29344</v>
      </c>
      <c r="B18088" s="2" t="s">
        <v>27078</v>
      </c>
      <c r="C18088" s="1" t="s">
        <v>5652</v>
      </c>
      <c r="D18088" s="1" t="s">
        <v>5653</v>
      </c>
    </row>
    <row r="18089">
      <c r="A18089" s="1" t="s">
        <v>29345</v>
      </c>
      <c r="B18089" s="2" t="s">
        <v>27080</v>
      </c>
      <c r="C18089" s="1" t="s">
        <v>5652</v>
      </c>
      <c r="D18089" s="1" t="s">
        <v>5653</v>
      </c>
    </row>
    <row r="18090">
      <c r="A18090" s="1" t="s">
        <v>29346</v>
      </c>
      <c r="B18090" s="2" t="s">
        <v>27082</v>
      </c>
      <c r="C18090" s="1" t="s">
        <v>5652</v>
      </c>
      <c r="D18090" s="1" t="s">
        <v>5653</v>
      </c>
    </row>
    <row r="18091">
      <c r="A18091" s="1" t="s">
        <v>29347</v>
      </c>
      <c r="B18091" s="2" t="s">
        <v>27084</v>
      </c>
      <c r="C18091" s="1" t="s">
        <v>5652</v>
      </c>
      <c r="D18091" s="1" t="s">
        <v>5653</v>
      </c>
    </row>
    <row r="18092">
      <c r="A18092" s="1" t="s">
        <v>29348</v>
      </c>
      <c r="B18092" s="2" t="s">
        <v>27086</v>
      </c>
      <c r="C18092" s="1" t="s">
        <v>5652</v>
      </c>
      <c r="D18092" s="1" t="s">
        <v>5653</v>
      </c>
    </row>
    <row r="18093">
      <c r="A18093" s="1" t="s">
        <v>29349</v>
      </c>
      <c r="B18093" s="2" t="s">
        <v>27088</v>
      </c>
      <c r="C18093" s="1" t="s">
        <v>5652</v>
      </c>
      <c r="D18093" s="1" t="s">
        <v>5653</v>
      </c>
    </row>
    <row r="18094">
      <c r="A18094" s="1" t="s">
        <v>29350</v>
      </c>
      <c r="B18094" s="2" t="s">
        <v>27090</v>
      </c>
      <c r="C18094" s="1" t="s">
        <v>5652</v>
      </c>
      <c r="D18094" s="1" t="s">
        <v>5653</v>
      </c>
    </row>
    <row r="18095">
      <c r="A18095" s="1" t="s">
        <v>5656</v>
      </c>
      <c r="B18095" s="2" t="s">
        <v>7</v>
      </c>
      <c r="C18095" s="1" t="s">
        <v>5658</v>
      </c>
      <c r="D18095" s="1" t="s">
        <v>5659</v>
      </c>
    </row>
    <row r="18096">
      <c r="A18096" s="1" t="s">
        <v>29351</v>
      </c>
      <c r="B18096" s="2" t="s">
        <v>25962</v>
      </c>
      <c r="C18096" s="1" t="s">
        <v>5658</v>
      </c>
      <c r="D18096" s="1" t="s">
        <v>5659</v>
      </c>
    </row>
    <row r="18097">
      <c r="A18097" s="1" t="s">
        <v>29352</v>
      </c>
      <c r="B18097" s="2" t="s">
        <v>25964</v>
      </c>
      <c r="C18097" s="1" t="s">
        <v>5658</v>
      </c>
      <c r="D18097" s="1" t="s">
        <v>5659</v>
      </c>
    </row>
    <row r="18098">
      <c r="A18098" s="1" t="s">
        <v>29353</v>
      </c>
      <c r="B18098" s="2" t="s">
        <v>25966</v>
      </c>
      <c r="C18098" s="1" t="s">
        <v>5658</v>
      </c>
      <c r="D18098" s="1" t="s">
        <v>5659</v>
      </c>
    </row>
    <row r="18099">
      <c r="A18099" s="1" t="s">
        <v>29354</v>
      </c>
      <c r="B18099" s="2" t="s">
        <v>25968</v>
      </c>
      <c r="C18099" s="1" t="s">
        <v>5658</v>
      </c>
      <c r="D18099" s="1" t="s">
        <v>5659</v>
      </c>
    </row>
    <row r="18100">
      <c r="A18100" s="1" t="s">
        <v>29355</v>
      </c>
      <c r="B18100" s="2" t="s">
        <v>25970</v>
      </c>
      <c r="C18100" s="1" t="s">
        <v>5658</v>
      </c>
      <c r="D18100" s="1" t="s">
        <v>5659</v>
      </c>
    </row>
    <row r="18101">
      <c r="A18101" s="1" t="s">
        <v>29356</v>
      </c>
      <c r="B18101" s="2" t="s">
        <v>25972</v>
      </c>
      <c r="C18101" s="1" t="s">
        <v>5658</v>
      </c>
      <c r="D18101" s="1" t="s">
        <v>5659</v>
      </c>
    </row>
    <row r="18102">
      <c r="A18102" s="1" t="s">
        <v>29357</v>
      </c>
      <c r="B18102" s="2" t="s">
        <v>25974</v>
      </c>
      <c r="C18102" s="1" t="s">
        <v>5658</v>
      </c>
      <c r="D18102" s="1" t="s">
        <v>5659</v>
      </c>
    </row>
    <row r="18103">
      <c r="A18103" s="1" t="s">
        <v>29358</v>
      </c>
      <c r="B18103" s="2" t="s">
        <v>25976</v>
      </c>
      <c r="C18103" s="1" t="s">
        <v>5658</v>
      </c>
      <c r="D18103" s="1" t="s">
        <v>5659</v>
      </c>
    </row>
    <row r="18104">
      <c r="A18104" s="1" t="s">
        <v>29359</v>
      </c>
      <c r="B18104" s="2" t="s">
        <v>25978</v>
      </c>
      <c r="C18104" s="1" t="s">
        <v>5658</v>
      </c>
      <c r="D18104" s="1" t="s">
        <v>5659</v>
      </c>
    </row>
    <row r="18105">
      <c r="A18105" s="1" t="s">
        <v>29360</v>
      </c>
      <c r="B18105" s="2" t="s">
        <v>25980</v>
      </c>
      <c r="C18105" s="1" t="s">
        <v>5658</v>
      </c>
      <c r="D18105" s="1" t="s">
        <v>5659</v>
      </c>
    </row>
    <row r="18106">
      <c r="A18106" s="1" t="s">
        <v>29361</v>
      </c>
      <c r="B18106" s="2" t="s">
        <v>25982</v>
      </c>
      <c r="C18106" s="1" t="s">
        <v>5658</v>
      </c>
      <c r="D18106" s="1" t="s">
        <v>5659</v>
      </c>
    </row>
    <row r="18107">
      <c r="A18107" s="1" t="s">
        <v>29362</v>
      </c>
      <c r="B18107" s="2" t="s">
        <v>25984</v>
      </c>
      <c r="C18107" s="1" t="s">
        <v>5658</v>
      </c>
      <c r="D18107" s="1" t="s">
        <v>5659</v>
      </c>
    </row>
    <row r="18108">
      <c r="A18108" s="1" t="s">
        <v>29363</v>
      </c>
      <c r="B18108" s="2" t="s">
        <v>25986</v>
      </c>
      <c r="C18108" s="1" t="s">
        <v>5658</v>
      </c>
      <c r="D18108" s="1" t="s">
        <v>5659</v>
      </c>
    </row>
    <row r="18109">
      <c r="A18109" s="1" t="s">
        <v>29364</v>
      </c>
      <c r="B18109" s="2" t="s">
        <v>25988</v>
      </c>
      <c r="C18109" s="1" t="s">
        <v>5658</v>
      </c>
      <c r="D18109" s="1" t="s">
        <v>5659</v>
      </c>
    </row>
    <row r="18110">
      <c r="A18110" s="1" t="s">
        <v>29365</v>
      </c>
      <c r="B18110" s="2" t="s">
        <v>25990</v>
      </c>
      <c r="C18110" s="1" t="s">
        <v>5658</v>
      </c>
      <c r="D18110" s="1" t="s">
        <v>5659</v>
      </c>
    </row>
    <row r="18111">
      <c r="A18111" s="1" t="s">
        <v>29366</v>
      </c>
      <c r="B18111" s="2" t="s">
        <v>25992</v>
      </c>
      <c r="C18111" s="1" t="s">
        <v>5658</v>
      </c>
      <c r="D18111" s="1" t="s">
        <v>5659</v>
      </c>
    </row>
    <row r="18112">
      <c r="A18112" s="1" t="s">
        <v>29367</v>
      </c>
      <c r="B18112" s="2" t="s">
        <v>25994</v>
      </c>
      <c r="C18112" s="1" t="s">
        <v>5658</v>
      </c>
      <c r="D18112" s="1" t="s">
        <v>5659</v>
      </c>
    </row>
    <row r="18113">
      <c r="A18113" s="1" t="s">
        <v>29368</v>
      </c>
      <c r="B18113" s="2" t="s">
        <v>25996</v>
      </c>
      <c r="C18113" s="1" t="s">
        <v>5658</v>
      </c>
      <c r="D18113" s="1" t="s">
        <v>5659</v>
      </c>
    </row>
    <row r="18114">
      <c r="A18114" s="1" t="s">
        <v>29369</v>
      </c>
      <c r="B18114" s="2" t="s">
        <v>25998</v>
      </c>
      <c r="C18114" s="1" t="s">
        <v>5658</v>
      </c>
      <c r="D18114" s="1" t="s">
        <v>5659</v>
      </c>
    </row>
    <row r="18115">
      <c r="A18115" s="1" t="s">
        <v>29370</v>
      </c>
      <c r="B18115" s="2" t="s">
        <v>26000</v>
      </c>
      <c r="C18115" s="1" t="s">
        <v>5658</v>
      </c>
      <c r="D18115" s="1" t="s">
        <v>5659</v>
      </c>
    </row>
    <row r="18116">
      <c r="A18116" s="1" t="s">
        <v>29371</v>
      </c>
      <c r="B18116" s="2" t="s">
        <v>26002</v>
      </c>
      <c r="C18116" s="1" t="s">
        <v>5658</v>
      </c>
      <c r="D18116" s="1" t="s">
        <v>5659</v>
      </c>
    </row>
    <row r="18117">
      <c r="A18117" s="1" t="s">
        <v>29372</v>
      </c>
      <c r="B18117" s="2" t="s">
        <v>26004</v>
      </c>
      <c r="C18117" s="1" t="s">
        <v>5658</v>
      </c>
      <c r="D18117" s="1" t="s">
        <v>5659</v>
      </c>
    </row>
    <row r="18118">
      <c r="A18118" s="1" t="s">
        <v>29373</v>
      </c>
      <c r="B18118" s="2" t="s">
        <v>26006</v>
      </c>
      <c r="C18118" s="1" t="s">
        <v>5658</v>
      </c>
      <c r="D18118" s="1" t="s">
        <v>5659</v>
      </c>
    </row>
    <row r="18119">
      <c r="A18119" s="1" t="s">
        <v>29374</v>
      </c>
      <c r="B18119" s="2" t="s">
        <v>26008</v>
      </c>
      <c r="C18119" s="1" t="s">
        <v>5658</v>
      </c>
      <c r="D18119" s="1" t="s">
        <v>5659</v>
      </c>
    </row>
    <row r="18120">
      <c r="A18120" s="1" t="s">
        <v>29375</v>
      </c>
      <c r="B18120" s="2" t="s">
        <v>26010</v>
      </c>
      <c r="C18120" s="1" t="s">
        <v>5658</v>
      </c>
      <c r="D18120" s="1" t="s">
        <v>5659</v>
      </c>
    </row>
    <row r="18121">
      <c r="A18121" s="1" t="s">
        <v>29376</v>
      </c>
      <c r="B18121" s="2" t="s">
        <v>26012</v>
      </c>
      <c r="C18121" s="1" t="s">
        <v>5658</v>
      </c>
      <c r="D18121" s="1" t="s">
        <v>5659</v>
      </c>
    </row>
    <row r="18122">
      <c r="A18122" s="1" t="s">
        <v>29377</v>
      </c>
      <c r="B18122" s="2" t="s">
        <v>26014</v>
      </c>
      <c r="C18122" s="1" t="s">
        <v>5658</v>
      </c>
      <c r="D18122" s="1" t="s">
        <v>5659</v>
      </c>
    </row>
    <row r="18123">
      <c r="A18123" s="1" t="s">
        <v>29378</v>
      </c>
      <c r="B18123" s="2" t="s">
        <v>26016</v>
      </c>
      <c r="C18123" s="1" t="s">
        <v>5658</v>
      </c>
      <c r="D18123" s="1" t="s">
        <v>5659</v>
      </c>
    </row>
    <row r="18124">
      <c r="A18124" s="1" t="s">
        <v>29379</v>
      </c>
      <c r="B18124" s="2" t="s">
        <v>26018</v>
      </c>
      <c r="C18124" s="1" t="s">
        <v>5658</v>
      </c>
      <c r="D18124" s="1" t="s">
        <v>5659</v>
      </c>
    </row>
    <row r="18125">
      <c r="A18125" s="1" t="s">
        <v>29380</v>
      </c>
      <c r="B18125" s="2" t="s">
        <v>26020</v>
      </c>
      <c r="C18125" s="1" t="s">
        <v>5658</v>
      </c>
      <c r="D18125" s="1" t="s">
        <v>5659</v>
      </c>
    </row>
    <row r="18126">
      <c r="A18126" s="1" t="s">
        <v>29381</v>
      </c>
      <c r="B18126" s="2" t="s">
        <v>26022</v>
      </c>
      <c r="C18126" s="1" t="s">
        <v>5658</v>
      </c>
      <c r="D18126" s="1" t="s">
        <v>5659</v>
      </c>
    </row>
    <row r="18127">
      <c r="A18127" s="1" t="s">
        <v>29382</v>
      </c>
      <c r="B18127" s="2" t="s">
        <v>26024</v>
      </c>
      <c r="C18127" s="1" t="s">
        <v>5658</v>
      </c>
      <c r="D18127" s="1" t="s">
        <v>5659</v>
      </c>
    </row>
    <row r="18128">
      <c r="A18128" s="1" t="s">
        <v>29383</v>
      </c>
      <c r="B18128" s="2" t="s">
        <v>26026</v>
      </c>
      <c r="C18128" s="1" t="s">
        <v>5658</v>
      </c>
      <c r="D18128" s="1" t="s">
        <v>5659</v>
      </c>
    </row>
    <row r="18129">
      <c r="A18129" s="1" t="s">
        <v>29384</v>
      </c>
      <c r="B18129" s="2" t="s">
        <v>26028</v>
      </c>
      <c r="C18129" s="1" t="s">
        <v>5658</v>
      </c>
      <c r="D18129" s="1" t="s">
        <v>5659</v>
      </c>
    </row>
    <row r="18130">
      <c r="A18130" s="1" t="s">
        <v>29385</v>
      </c>
      <c r="B18130" s="2" t="s">
        <v>26030</v>
      </c>
      <c r="C18130" s="1" t="s">
        <v>5658</v>
      </c>
      <c r="D18130" s="1" t="s">
        <v>5659</v>
      </c>
    </row>
    <row r="18131">
      <c r="A18131" s="1" t="s">
        <v>29386</v>
      </c>
      <c r="B18131" s="2" t="s">
        <v>26032</v>
      </c>
      <c r="C18131" s="1" t="s">
        <v>5658</v>
      </c>
      <c r="D18131" s="1" t="s">
        <v>5659</v>
      </c>
    </row>
    <row r="18132">
      <c r="A18132" s="1" t="s">
        <v>29387</v>
      </c>
      <c r="B18132" s="2" t="s">
        <v>26034</v>
      </c>
      <c r="C18132" s="1" t="s">
        <v>5658</v>
      </c>
      <c r="D18132" s="1" t="s">
        <v>5659</v>
      </c>
    </row>
    <row r="18133">
      <c r="A18133" s="1" t="s">
        <v>29388</v>
      </c>
      <c r="B18133" s="2" t="s">
        <v>26036</v>
      </c>
      <c r="C18133" s="1" t="s">
        <v>5658</v>
      </c>
      <c r="D18133" s="1" t="s">
        <v>5659</v>
      </c>
    </row>
    <row r="18134">
      <c r="A18134" s="1" t="s">
        <v>29389</v>
      </c>
      <c r="B18134" s="2" t="s">
        <v>26038</v>
      </c>
      <c r="C18134" s="1" t="s">
        <v>5658</v>
      </c>
      <c r="D18134" s="1" t="s">
        <v>5659</v>
      </c>
    </row>
    <row r="18135">
      <c r="A18135" s="1" t="s">
        <v>29390</v>
      </c>
      <c r="B18135" s="2" t="s">
        <v>26040</v>
      </c>
      <c r="C18135" s="1" t="s">
        <v>5658</v>
      </c>
      <c r="D18135" s="1" t="s">
        <v>5659</v>
      </c>
    </row>
    <row r="18136">
      <c r="A18136" s="1" t="s">
        <v>29391</v>
      </c>
      <c r="B18136" s="2" t="s">
        <v>26042</v>
      </c>
      <c r="C18136" s="1" t="s">
        <v>5658</v>
      </c>
      <c r="D18136" s="1" t="s">
        <v>5659</v>
      </c>
    </row>
    <row r="18137">
      <c r="A18137" s="1" t="s">
        <v>29392</v>
      </c>
      <c r="B18137" s="2" t="s">
        <v>26044</v>
      </c>
      <c r="C18137" s="1" t="s">
        <v>5658</v>
      </c>
      <c r="D18137" s="1" t="s">
        <v>5659</v>
      </c>
    </row>
    <row r="18138">
      <c r="A18138" s="1" t="s">
        <v>29393</v>
      </c>
      <c r="B18138" s="2" t="s">
        <v>26046</v>
      </c>
      <c r="C18138" s="1" t="s">
        <v>5658</v>
      </c>
      <c r="D18138" s="1" t="s">
        <v>5659</v>
      </c>
    </row>
    <row r="18139">
      <c r="A18139" s="1" t="s">
        <v>29394</v>
      </c>
      <c r="B18139" s="2" t="s">
        <v>26048</v>
      </c>
      <c r="C18139" s="1" t="s">
        <v>5658</v>
      </c>
      <c r="D18139" s="1" t="s">
        <v>5659</v>
      </c>
    </row>
    <row r="18140">
      <c r="A18140" s="1" t="s">
        <v>29395</v>
      </c>
      <c r="B18140" s="2" t="s">
        <v>26050</v>
      </c>
      <c r="C18140" s="1" t="s">
        <v>5658</v>
      </c>
      <c r="D18140" s="1" t="s">
        <v>5659</v>
      </c>
    </row>
    <row r="18141">
      <c r="A18141" s="1" t="s">
        <v>29396</v>
      </c>
      <c r="B18141" s="2" t="s">
        <v>26052</v>
      </c>
      <c r="C18141" s="1" t="s">
        <v>5658</v>
      </c>
      <c r="D18141" s="1" t="s">
        <v>5659</v>
      </c>
    </row>
    <row r="18142">
      <c r="A18142" s="1" t="s">
        <v>29397</v>
      </c>
      <c r="B18142" s="2" t="s">
        <v>26054</v>
      </c>
      <c r="C18142" s="1" t="s">
        <v>5658</v>
      </c>
      <c r="D18142" s="1" t="s">
        <v>5659</v>
      </c>
    </row>
    <row r="18143">
      <c r="A18143" s="1" t="s">
        <v>29398</v>
      </c>
      <c r="B18143" s="2" t="s">
        <v>26056</v>
      </c>
      <c r="C18143" s="1" t="s">
        <v>5658</v>
      </c>
      <c r="D18143" s="1" t="s">
        <v>5659</v>
      </c>
    </row>
    <row r="18144">
      <c r="A18144" s="1" t="s">
        <v>29399</v>
      </c>
      <c r="B18144" s="2" t="s">
        <v>26058</v>
      </c>
      <c r="C18144" s="1" t="s">
        <v>5658</v>
      </c>
      <c r="D18144" s="1" t="s">
        <v>5659</v>
      </c>
    </row>
    <row r="18145">
      <c r="A18145" s="1" t="s">
        <v>29400</v>
      </c>
      <c r="B18145" s="2" t="s">
        <v>26060</v>
      </c>
      <c r="C18145" s="1" t="s">
        <v>5658</v>
      </c>
      <c r="D18145" s="1" t="s">
        <v>5659</v>
      </c>
    </row>
    <row r="18146">
      <c r="A18146" s="1" t="s">
        <v>29401</v>
      </c>
      <c r="B18146" s="2" t="s">
        <v>26062</v>
      </c>
      <c r="C18146" s="1" t="s">
        <v>5658</v>
      </c>
      <c r="D18146" s="1" t="s">
        <v>5659</v>
      </c>
    </row>
    <row r="18147">
      <c r="A18147" s="1" t="s">
        <v>29402</v>
      </c>
      <c r="B18147" s="2" t="s">
        <v>26064</v>
      </c>
      <c r="C18147" s="1" t="s">
        <v>5658</v>
      </c>
      <c r="D18147" s="1" t="s">
        <v>5659</v>
      </c>
    </row>
    <row r="18148">
      <c r="A18148" s="1" t="s">
        <v>29403</v>
      </c>
      <c r="B18148" s="2" t="s">
        <v>26066</v>
      </c>
      <c r="C18148" s="1" t="s">
        <v>5658</v>
      </c>
      <c r="D18148" s="1" t="s">
        <v>5659</v>
      </c>
    </row>
    <row r="18149">
      <c r="A18149" s="1" t="s">
        <v>29404</v>
      </c>
      <c r="B18149" s="2" t="s">
        <v>26068</v>
      </c>
      <c r="C18149" s="1" t="s">
        <v>5658</v>
      </c>
      <c r="D18149" s="1" t="s">
        <v>5659</v>
      </c>
    </row>
    <row r="18150">
      <c r="A18150" s="1" t="s">
        <v>29405</v>
      </c>
      <c r="B18150" s="2" t="s">
        <v>26070</v>
      </c>
      <c r="C18150" s="1" t="s">
        <v>5658</v>
      </c>
      <c r="D18150" s="1" t="s">
        <v>5659</v>
      </c>
    </row>
    <row r="18151">
      <c r="A18151" s="1" t="s">
        <v>29406</v>
      </c>
      <c r="B18151" s="2" t="s">
        <v>26072</v>
      </c>
      <c r="C18151" s="1" t="s">
        <v>5658</v>
      </c>
      <c r="D18151" s="1" t="s">
        <v>5659</v>
      </c>
    </row>
    <row r="18152">
      <c r="A18152" s="1" t="s">
        <v>29407</v>
      </c>
      <c r="B18152" s="2" t="s">
        <v>26074</v>
      </c>
      <c r="C18152" s="1" t="s">
        <v>5658</v>
      </c>
      <c r="D18152" s="1" t="s">
        <v>5659</v>
      </c>
    </row>
    <row r="18153">
      <c r="A18153" s="1" t="s">
        <v>29408</v>
      </c>
      <c r="B18153" s="2" t="s">
        <v>26076</v>
      </c>
      <c r="C18153" s="1" t="s">
        <v>5658</v>
      </c>
      <c r="D18153" s="1" t="s">
        <v>5659</v>
      </c>
    </row>
    <row r="18154">
      <c r="A18154" s="1" t="s">
        <v>29409</v>
      </c>
      <c r="B18154" s="2" t="s">
        <v>26078</v>
      </c>
      <c r="C18154" s="1" t="s">
        <v>5658</v>
      </c>
      <c r="D18154" s="1" t="s">
        <v>5659</v>
      </c>
    </row>
    <row r="18155">
      <c r="A18155" s="1" t="s">
        <v>29410</v>
      </c>
      <c r="B18155" s="2" t="s">
        <v>26080</v>
      </c>
      <c r="C18155" s="1" t="s">
        <v>5658</v>
      </c>
      <c r="D18155" s="1" t="s">
        <v>5659</v>
      </c>
    </row>
    <row r="18156">
      <c r="A18156" s="1" t="s">
        <v>29411</v>
      </c>
      <c r="B18156" s="2" t="s">
        <v>26082</v>
      </c>
      <c r="C18156" s="1" t="s">
        <v>5658</v>
      </c>
      <c r="D18156" s="1" t="s">
        <v>5659</v>
      </c>
    </row>
    <row r="18157">
      <c r="A18157" s="1" t="s">
        <v>29412</v>
      </c>
      <c r="B18157" s="2" t="s">
        <v>26084</v>
      </c>
      <c r="C18157" s="1" t="s">
        <v>5658</v>
      </c>
      <c r="D18157" s="1" t="s">
        <v>5659</v>
      </c>
    </row>
    <row r="18158">
      <c r="A18158" s="1" t="s">
        <v>29413</v>
      </c>
      <c r="B18158" s="2" t="s">
        <v>26086</v>
      </c>
      <c r="C18158" s="1" t="s">
        <v>5658</v>
      </c>
      <c r="D18158" s="1" t="s">
        <v>5659</v>
      </c>
    </row>
    <row r="18159">
      <c r="A18159" s="1" t="s">
        <v>29414</v>
      </c>
      <c r="B18159" s="2" t="s">
        <v>26088</v>
      </c>
      <c r="C18159" s="1" t="s">
        <v>5658</v>
      </c>
      <c r="D18159" s="1" t="s">
        <v>5659</v>
      </c>
    </row>
    <row r="18160">
      <c r="A18160" s="1" t="s">
        <v>29415</v>
      </c>
      <c r="B18160" s="2" t="s">
        <v>26090</v>
      </c>
      <c r="C18160" s="1" t="s">
        <v>5658</v>
      </c>
      <c r="D18160" s="1" t="s">
        <v>5659</v>
      </c>
    </row>
    <row r="18161">
      <c r="A18161" s="1" t="s">
        <v>29416</v>
      </c>
      <c r="B18161" s="2" t="s">
        <v>26092</v>
      </c>
      <c r="C18161" s="1" t="s">
        <v>5658</v>
      </c>
      <c r="D18161" s="1" t="s">
        <v>5659</v>
      </c>
    </row>
    <row r="18162">
      <c r="A18162" s="1" t="s">
        <v>29417</v>
      </c>
      <c r="B18162" s="2" t="s">
        <v>26094</v>
      </c>
      <c r="C18162" s="1" t="s">
        <v>5658</v>
      </c>
      <c r="D18162" s="1" t="s">
        <v>5659</v>
      </c>
    </row>
    <row r="18163">
      <c r="A18163" s="1" t="s">
        <v>29418</v>
      </c>
      <c r="B18163" s="2" t="s">
        <v>26096</v>
      </c>
      <c r="C18163" s="1" t="s">
        <v>5658</v>
      </c>
      <c r="D18163" s="1" t="s">
        <v>5659</v>
      </c>
    </row>
    <row r="18164">
      <c r="A18164" s="1" t="s">
        <v>29419</v>
      </c>
      <c r="B18164" s="2" t="s">
        <v>26098</v>
      </c>
      <c r="C18164" s="1" t="s">
        <v>5658</v>
      </c>
      <c r="D18164" s="1" t="s">
        <v>5659</v>
      </c>
    </row>
    <row r="18165">
      <c r="A18165" s="1" t="s">
        <v>29420</v>
      </c>
      <c r="B18165" s="2" t="s">
        <v>26100</v>
      </c>
      <c r="C18165" s="1" t="s">
        <v>5658</v>
      </c>
      <c r="D18165" s="1" t="s">
        <v>5659</v>
      </c>
    </row>
    <row r="18166">
      <c r="A18166" s="1" t="s">
        <v>29421</v>
      </c>
      <c r="B18166" s="2" t="s">
        <v>26102</v>
      </c>
      <c r="C18166" s="1" t="s">
        <v>5658</v>
      </c>
      <c r="D18166" s="1" t="s">
        <v>5659</v>
      </c>
    </row>
    <row r="18167">
      <c r="A18167" s="1" t="s">
        <v>29422</v>
      </c>
      <c r="B18167" s="2" t="s">
        <v>26104</v>
      </c>
      <c r="C18167" s="1" t="s">
        <v>5658</v>
      </c>
      <c r="D18167" s="1" t="s">
        <v>5659</v>
      </c>
    </row>
    <row r="18168">
      <c r="A18168" s="1" t="s">
        <v>29423</v>
      </c>
      <c r="B18168" s="2" t="s">
        <v>26106</v>
      </c>
      <c r="C18168" s="1" t="s">
        <v>5658</v>
      </c>
      <c r="D18168" s="1" t="s">
        <v>5659</v>
      </c>
    </row>
    <row r="18169">
      <c r="A18169" s="1" t="s">
        <v>29424</v>
      </c>
      <c r="B18169" s="2" t="s">
        <v>26108</v>
      </c>
      <c r="C18169" s="1" t="s">
        <v>5658</v>
      </c>
      <c r="D18169" s="1" t="s">
        <v>5659</v>
      </c>
    </row>
    <row r="18170">
      <c r="A18170" s="1" t="s">
        <v>29425</v>
      </c>
      <c r="B18170" s="2" t="s">
        <v>26110</v>
      </c>
      <c r="C18170" s="1" t="s">
        <v>5658</v>
      </c>
      <c r="D18170" s="1" t="s">
        <v>5659</v>
      </c>
    </row>
    <row r="18171">
      <c r="A18171" s="1" t="s">
        <v>29426</v>
      </c>
      <c r="B18171" s="2" t="s">
        <v>26112</v>
      </c>
      <c r="C18171" s="1" t="s">
        <v>5658</v>
      </c>
      <c r="D18171" s="1" t="s">
        <v>5659</v>
      </c>
    </row>
    <row r="18172">
      <c r="A18172" s="1" t="s">
        <v>29427</v>
      </c>
      <c r="B18172" s="2" t="s">
        <v>26114</v>
      </c>
      <c r="C18172" s="1" t="s">
        <v>5658</v>
      </c>
      <c r="D18172" s="1" t="s">
        <v>5659</v>
      </c>
    </row>
    <row r="18173">
      <c r="A18173" s="1" t="s">
        <v>29428</v>
      </c>
      <c r="B18173" s="2" t="s">
        <v>26116</v>
      </c>
      <c r="C18173" s="1" t="s">
        <v>5658</v>
      </c>
      <c r="D18173" s="1" t="s">
        <v>5659</v>
      </c>
    </row>
    <row r="18174">
      <c r="A18174" s="1" t="s">
        <v>29429</v>
      </c>
      <c r="B18174" s="2" t="s">
        <v>26118</v>
      </c>
      <c r="C18174" s="1" t="s">
        <v>5658</v>
      </c>
      <c r="D18174" s="1" t="s">
        <v>5659</v>
      </c>
    </row>
    <row r="18175">
      <c r="A18175" s="1" t="s">
        <v>29430</v>
      </c>
      <c r="B18175" s="2" t="s">
        <v>26120</v>
      </c>
      <c r="C18175" s="1" t="s">
        <v>5658</v>
      </c>
      <c r="D18175" s="1" t="s">
        <v>5659</v>
      </c>
    </row>
    <row r="18176">
      <c r="A18176" s="1" t="s">
        <v>29431</v>
      </c>
      <c r="B18176" s="2" t="s">
        <v>26122</v>
      </c>
      <c r="C18176" s="1" t="s">
        <v>5658</v>
      </c>
      <c r="D18176" s="1" t="s">
        <v>5659</v>
      </c>
    </row>
    <row r="18177">
      <c r="A18177" s="1" t="s">
        <v>29432</v>
      </c>
      <c r="B18177" s="2" t="s">
        <v>26124</v>
      </c>
      <c r="C18177" s="1" t="s">
        <v>5658</v>
      </c>
      <c r="D18177" s="1" t="s">
        <v>5659</v>
      </c>
    </row>
    <row r="18178">
      <c r="A18178" s="1" t="s">
        <v>29433</v>
      </c>
      <c r="B18178" s="2" t="s">
        <v>26126</v>
      </c>
      <c r="C18178" s="1" t="s">
        <v>5658</v>
      </c>
      <c r="D18178" s="1" t="s">
        <v>5659</v>
      </c>
    </row>
    <row r="18179">
      <c r="A18179" s="1" t="s">
        <v>29434</v>
      </c>
      <c r="B18179" s="2" t="s">
        <v>26128</v>
      </c>
      <c r="C18179" s="1" t="s">
        <v>5658</v>
      </c>
      <c r="D18179" s="1" t="s">
        <v>5659</v>
      </c>
    </row>
    <row r="18180">
      <c r="A18180" s="1" t="s">
        <v>29435</v>
      </c>
      <c r="B18180" s="2" t="s">
        <v>26130</v>
      </c>
      <c r="C18180" s="1" t="s">
        <v>5658</v>
      </c>
      <c r="D18180" s="1" t="s">
        <v>5659</v>
      </c>
    </row>
    <row r="18181">
      <c r="A18181" s="1" t="s">
        <v>29436</v>
      </c>
      <c r="B18181" s="2" t="s">
        <v>26132</v>
      </c>
      <c r="C18181" s="1" t="s">
        <v>5658</v>
      </c>
      <c r="D18181" s="1" t="s">
        <v>5659</v>
      </c>
    </row>
    <row r="18182">
      <c r="A18182" s="1" t="s">
        <v>29437</v>
      </c>
      <c r="B18182" s="2" t="s">
        <v>26134</v>
      </c>
      <c r="C18182" s="1" t="s">
        <v>5658</v>
      </c>
      <c r="D18182" s="1" t="s">
        <v>5659</v>
      </c>
    </row>
    <row r="18183">
      <c r="A18183" s="1" t="s">
        <v>29438</v>
      </c>
      <c r="B18183" s="2" t="s">
        <v>26136</v>
      </c>
      <c r="C18183" s="1" t="s">
        <v>5658</v>
      </c>
      <c r="D18183" s="1" t="s">
        <v>5659</v>
      </c>
    </row>
    <row r="18184">
      <c r="A18184" s="1" t="s">
        <v>29439</v>
      </c>
      <c r="B18184" s="2" t="s">
        <v>26138</v>
      </c>
      <c r="C18184" s="1" t="s">
        <v>5658</v>
      </c>
      <c r="D18184" s="1" t="s">
        <v>5659</v>
      </c>
    </row>
    <row r="18185">
      <c r="A18185" s="1" t="s">
        <v>29440</v>
      </c>
      <c r="B18185" s="2" t="s">
        <v>26140</v>
      </c>
      <c r="C18185" s="1" t="s">
        <v>5658</v>
      </c>
      <c r="D18185" s="1" t="s">
        <v>5659</v>
      </c>
    </row>
    <row r="18186">
      <c r="A18186" s="1" t="s">
        <v>29441</v>
      </c>
      <c r="B18186" s="2" t="s">
        <v>26142</v>
      </c>
      <c r="C18186" s="1" t="s">
        <v>5658</v>
      </c>
      <c r="D18186" s="1" t="s">
        <v>5659</v>
      </c>
    </row>
    <row r="18187">
      <c r="A18187" s="1" t="s">
        <v>29442</v>
      </c>
      <c r="B18187" s="2" t="s">
        <v>26144</v>
      </c>
      <c r="C18187" s="1" t="s">
        <v>5658</v>
      </c>
      <c r="D18187" s="1" t="s">
        <v>5659</v>
      </c>
    </row>
    <row r="18188">
      <c r="A18188" s="1" t="s">
        <v>29443</v>
      </c>
      <c r="B18188" s="2" t="s">
        <v>26146</v>
      </c>
      <c r="C18188" s="1" t="s">
        <v>5658</v>
      </c>
      <c r="D18188" s="1" t="s">
        <v>5659</v>
      </c>
    </row>
    <row r="18189">
      <c r="A18189" s="1" t="s">
        <v>29444</v>
      </c>
      <c r="B18189" s="2" t="s">
        <v>26148</v>
      </c>
      <c r="C18189" s="1" t="s">
        <v>5658</v>
      </c>
      <c r="D18189" s="1" t="s">
        <v>5659</v>
      </c>
    </row>
    <row r="18190">
      <c r="A18190" s="1" t="s">
        <v>29445</v>
      </c>
      <c r="B18190" s="2" t="s">
        <v>26150</v>
      </c>
      <c r="C18190" s="1" t="s">
        <v>5658</v>
      </c>
      <c r="D18190" s="1" t="s">
        <v>5659</v>
      </c>
    </row>
    <row r="18191">
      <c r="A18191" s="1" t="s">
        <v>29446</v>
      </c>
      <c r="B18191" s="2" t="s">
        <v>26152</v>
      </c>
      <c r="C18191" s="1" t="s">
        <v>5658</v>
      </c>
      <c r="D18191" s="1" t="s">
        <v>5659</v>
      </c>
    </row>
    <row r="18192">
      <c r="A18192" s="1" t="s">
        <v>29447</v>
      </c>
      <c r="B18192" s="2" t="s">
        <v>26154</v>
      </c>
      <c r="C18192" s="1" t="s">
        <v>5658</v>
      </c>
      <c r="D18192" s="1" t="s">
        <v>5659</v>
      </c>
    </row>
    <row r="18193">
      <c r="A18193" s="1" t="s">
        <v>29448</v>
      </c>
      <c r="B18193" s="2" t="s">
        <v>26156</v>
      </c>
      <c r="C18193" s="1" t="s">
        <v>5658</v>
      </c>
      <c r="D18193" s="1" t="s">
        <v>5659</v>
      </c>
    </row>
    <row r="18194">
      <c r="A18194" s="1" t="s">
        <v>29449</v>
      </c>
      <c r="B18194" s="2" t="s">
        <v>26158</v>
      </c>
      <c r="C18194" s="1" t="s">
        <v>5658</v>
      </c>
      <c r="D18194" s="1" t="s">
        <v>5659</v>
      </c>
    </row>
    <row r="18195">
      <c r="A18195" s="1" t="s">
        <v>29450</v>
      </c>
      <c r="B18195" s="2" t="s">
        <v>26160</v>
      </c>
      <c r="C18195" s="1" t="s">
        <v>5658</v>
      </c>
      <c r="D18195" s="1" t="s">
        <v>5659</v>
      </c>
    </row>
    <row r="18196">
      <c r="A18196" s="1" t="s">
        <v>29451</v>
      </c>
      <c r="B18196" s="2" t="s">
        <v>26162</v>
      </c>
      <c r="C18196" s="1" t="s">
        <v>5658</v>
      </c>
      <c r="D18196" s="1" t="s">
        <v>5659</v>
      </c>
    </row>
    <row r="18197">
      <c r="A18197" s="1" t="s">
        <v>29452</v>
      </c>
      <c r="B18197" s="2" t="s">
        <v>26164</v>
      </c>
      <c r="C18197" s="1" t="s">
        <v>5658</v>
      </c>
      <c r="D18197" s="1" t="s">
        <v>5659</v>
      </c>
    </row>
    <row r="18198">
      <c r="A18198" s="1" t="s">
        <v>29453</v>
      </c>
      <c r="B18198" s="2" t="s">
        <v>26166</v>
      </c>
      <c r="C18198" s="1" t="s">
        <v>5658</v>
      </c>
      <c r="D18198" s="1" t="s">
        <v>5659</v>
      </c>
    </row>
    <row r="18199">
      <c r="A18199" s="1" t="s">
        <v>29454</v>
      </c>
      <c r="B18199" s="2" t="s">
        <v>26168</v>
      </c>
      <c r="C18199" s="1" t="s">
        <v>5658</v>
      </c>
      <c r="D18199" s="1" t="s">
        <v>5659</v>
      </c>
    </row>
    <row r="18200">
      <c r="A18200" s="1" t="s">
        <v>29455</v>
      </c>
      <c r="B18200" s="2" t="s">
        <v>26170</v>
      </c>
      <c r="C18200" s="1" t="s">
        <v>5658</v>
      </c>
      <c r="D18200" s="1" t="s">
        <v>5659</v>
      </c>
    </row>
    <row r="18201">
      <c r="A18201" s="1" t="s">
        <v>29456</v>
      </c>
      <c r="B18201" s="2" t="s">
        <v>26172</v>
      </c>
      <c r="C18201" s="1" t="s">
        <v>5658</v>
      </c>
      <c r="D18201" s="1" t="s">
        <v>5659</v>
      </c>
    </row>
    <row r="18202">
      <c r="A18202" s="1" t="s">
        <v>29457</v>
      </c>
      <c r="B18202" s="2" t="s">
        <v>26174</v>
      </c>
      <c r="C18202" s="1" t="s">
        <v>5658</v>
      </c>
      <c r="D18202" s="1" t="s">
        <v>5659</v>
      </c>
    </row>
    <row r="18203">
      <c r="A18203" s="1" t="s">
        <v>29458</v>
      </c>
      <c r="B18203" s="2" t="s">
        <v>26176</v>
      </c>
      <c r="C18203" s="1" t="s">
        <v>5658</v>
      </c>
      <c r="D18203" s="1" t="s">
        <v>5659</v>
      </c>
    </row>
    <row r="18204">
      <c r="A18204" s="1" t="s">
        <v>29459</v>
      </c>
      <c r="B18204" s="2" t="s">
        <v>26178</v>
      </c>
      <c r="C18204" s="1" t="s">
        <v>5658</v>
      </c>
      <c r="D18204" s="1" t="s">
        <v>5659</v>
      </c>
    </row>
    <row r="18205">
      <c r="A18205" s="1" t="s">
        <v>29460</v>
      </c>
      <c r="B18205" s="2" t="s">
        <v>26180</v>
      </c>
      <c r="C18205" s="1" t="s">
        <v>5658</v>
      </c>
      <c r="D18205" s="1" t="s">
        <v>5659</v>
      </c>
    </row>
    <row r="18206">
      <c r="A18206" s="1" t="s">
        <v>29461</v>
      </c>
      <c r="B18206" s="2" t="s">
        <v>26182</v>
      </c>
      <c r="C18206" s="1" t="s">
        <v>5658</v>
      </c>
      <c r="D18206" s="1" t="s">
        <v>5659</v>
      </c>
    </row>
    <row r="18207">
      <c r="A18207" s="1" t="s">
        <v>29462</v>
      </c>
      <c r="B18207" s="2" t="s">
        <v>26184</v>
      </c>
      <c r="C18207" s="1" t="s">
        <v>5658</v>
      </c>
      <c r="D18207" s="1" t="s">
        <v>5659</v>
      </c>
    </row>
    <row r="18208">
      <c r="A18208" s="1" t="s">
        <v>29463</v>
      </c>
      <c r="B18208" s="2" t="s">
        <v>26186</v>
      </c>
      <c r="C18208" s="1" t="s">
        <v>5658</v>
      </c>
      <c r="D18208" s="1" t="s">
        <v>5659</v>
      </c>
    </row>
    <row r="18209">
      <c r="A18209" s="1" t="s">
        <v>29464</v>
      </c>
      <c r="B18209" s="2" t="s">
        <v>26188</v>
      </c>
      <c r="C18209" s="1" t="s">
        <v>5658</v>
      </c>
      <c r="D18209" s="1" t="s">
        <v>5659</v>
      </c>
    </row>
    <row r="18210">
      <c r="A18210" s="1" t="s">
        <v>29465</v>
      </c>
      <c r="B18210" s="2" t="s">
        <v>26190</v>
      </c>
      <c r="C18210" s="1" t="s">
        <v>5658</v>
      </c>
      <c r="D18210" s="1" t="s">
        <v>5659</v>
      </c>
    </row>
    <row r="18211">
      <c r="A18211" s="1" t="s">
        <v>29466</v>
      </c>
      <c r="B18211" s="2" t="s">
        <v>26192</v>
      </c>
      <c r="C18211" s="1" t="s">
        <v>5658</v>
      </c>
      <c r="D18211" s="1" t="s">
        <v>5659</v>
      </c>
    </row>
    <row r="18212">
      <c r="A18212" s="1" t="s">
        <v>29467</v>
      </c>
      <c r="B18212" s="2" t="s">
        <v>26194</v>
      </c>
      <c r="C18212" s="1" t="s">
        <v>5658</v>
      </c>
      <c r="D18212" s="1" t="s">
        <v>5659</v>
      </c>
    </row>
    <row r="18213">
      <c r="A18213" s="1" t="s">
        <v>29468</v>
      </c>
      <c r="B18213" s="2" t="s">
        <v>26196</v>
      </c>
      <c r="C18213" s="1" t="s">
        <v>5658</v>
      </c>
      <c r="D18213" s="1" t="s">
        <v>5659</v>
      </c>
    </row>
    <row r="18214">
      <c r="A18214" s="1" t="s">
        <v>29469</v>
      </c>
      <c r="B18214" s="2" t="s">
        <v>26198</v>
      </c>
      <c r="C18214" s="1" t="s">
        <v>5658</v>
      </c>
      <c r="D18214" s="1" t="s">
        <v>5659</v>
      </c>
    </row>
    <row r="18215">
      <c r="A18215" s="1" t="s">
        <v>29470</v>
      </c>
      <c r="B18215" s="2" t="s">
        <v>26200</v>
      </c>
      <c r="C18215" s="1" t="s">
        <v>5658</v>
      </c>
      <c r="D18215" s="1" t="s">
        <v>5659</v>
      </c>
    </row>
    <row r="18216">
      <c r="A18216" s="1" t="s">
        <v>29471</v>
      </c>
      <c r="B18216" s="2" t="s">
        <v>26202</v>
      </c>
      <c r="C18216" s="1" t="s">
        <v>5658</v>
      </c>
      <c r="D18216" s="1" t="s">
        <v>5659</v>
      </c>
    </row>
    <row r="18217">
      <c r="A18217" s="1" t="s">
        <v>29472</v>
      </c>
      <c r="B18217" s="2" t="s">
        <v>26204</v>
      </c>
      <c r="C18217" s="1" t="s">
        <v>5658</v>
      </c>
      <c r="D18217" s="1" t="s">
        <v>5659</v>
      </c>
    </row>
    <row r="18218">
      <c r="A18218" s="1" t="s">
        <v>29473</v>
      </c>
      <c r="B18218" s="2" t="s">
        <v>26206</v>
      </c>
      <c r="C18218" s="1" t="s">
        <v>5658</v>
      </c>
      <c r="D18218" s="1" t="s">
        <v>5659</v>
      </c>
    </row>
    <row r="18219">
      <c r="A18219" s="1" t="s">
        <v>29474</v>
      </c>
      <c r="B18219" s="2" t="s">
        <v>26208</v>
      </c>
      <c r="C18219" s="1" t="s">
        <v>5658</v>
      </c>
      <c r="D18219" s="1" t="s">
        <v>5659</v>
      </c>
    </row>
    <row r="18220">
      <c r="A18220" s="1" t="s">
        <v>29475</v>
      </c>
      <c r="B18220" s="2" t="s">
        <v>26210</v>
      </c>
      <c r="C18220" s="1" t="s">
        <v>5658</v>
      </c>
      <c r="D18220" s="1" t="s">
        <v>5659</v>
      </c>
    </row>
    <row r="18221">
      <c r="A18221" s="1" t="s">
        <v>29476</v>
      </c>
      <c r="B18221" s="2" t="s">
        <v>26212</v>
      </c>
      <c r="C18221" s="1" t="s">
        <v>5658</v>
      </c>
      <c r="D18221" s="1" t="s">
        <v>5659</v>
      </c>
    </row>
    <row r="18222">
      <c r="A18222" s="1" t="s">
        <v>29477</v>
      </c>
      <c r="B18222" s="2" t="s">
        <v>26214</v>
      </c>
      <c r="C18222" s="1" t="s">
        <v>5658</v>
      </c>
      <c r="D18222" s="1" t="s">
        <v>5659</v>
      </c>
    </row>
    <row r="18223">
      <c r="A18223" s="1" t="s">
        <v>29478</v>
      </c>
      <c r="B18223" s="2" t="s">
        <v>26216</v>
      </c>
      <c r="C18223" s="1" t="s">
        <v>5658</v>
      </c>
      <c r="D18223" s="1" t="s">
        <v>5659</v>
      </c>
    </row>
    <row r="18224">
      <c r="A18224" s="1" t="s">
        <v>29479</v>
      </c>
      <c r="B18224" s="2" t="s">
        <v>26218</v>
      </c>
      <c r="C18224" s="1" t="s">
        <v>5658</v>
      </c>
      <c r="D18224" s="1" t="s">
        <v>5659</v>
      </c>
    </row>
    <row r="18225">
      <c r="A18225" s="1" t="s">
        <v>29480</v>
      </c>
      <c r="B18225" s="2" t="s">
        <v>26220</v>
      </c>
      <c r="C18225" s="1" t="s">
        <v>5658</v>
      </c>
      <c r="D18225" s="1" t="s">
        <v>5659</v>
      </c>
    </row>
    <row r="18226">
      <c r="A18226" s="1" t="s">
        <v>29481</v>
      </c>
      <c r="B18226" s="2" t="s">
        <v>26222</v>
      </c>
      <c r="C18226" s="1" t="s">
        <v>5658</v>
      </c>
      <c r="D18226" s="1" t="s">
        <v>5659</v>
      </c>
    </row>
    <row r="18227">
      <c r="A18227" s="1" t="s">
        <v>29482</v>
      </c>
      <c r="B18227" s="2" t="s">
        <v>26224</v>
      </c>
      <c r="C18227" s="1" t="s">
        <v>5658</v>
      </c>
      <c r="D18227" s="1" t="s">
        <v>5659</v>
      </c>
    </row>
    <row r="18228">
      <c r="A18228" s="1" t="s">
        <v>29483</v>
      </c>
      <c r="B18228" s="2" t="s">
        <v>26226</v>
      </c>
      <c r="C18228" s="1" t="s">
        <v>5658</v>
      </c>
      <c r="D18228" s="1" t="s">
        <v>5659</v>
      </c>
    </row>
    <row r="18229">
      <c r="A18229" s="1" t="s">
        <v>29484</v>
      </c>
      <c r="B18229" s="2" t="s">
        <v>26228</v>
      </c>
      <c r="C18229" s="1" t="s">
        <v>5658</v>
      </c>
      <c r="D18229" s="1" t="s">
        <v>5659</v>
      </c>
    </row>
    <row r="18230">
      <c r="A18230" s="1" t="s">
        <v>29485</v>
      </c>
      <c r="B18230" s="2" t="s">
        <v>26230</v>
      </c>
      <c r="C18230" s="1" t="s">
        <v>5658</v>
      </c>
      <c r="D18230" s="1" t="s">
        <v>5659</v>
      </c>
    </row>
    <row r="18231">
      <c r="A18231" s="1" t="s">
        <v>29486</v>
      </c>
      <c r="B18231" s="2" t="s">
        <v>26232</v>
      </c>
      <c r="C18231" s="1" t="s">
        <v>5658</v>
      </c>
      <c r="D18231" s="1" t="s">
        <v>5659</v>
      </c>
    </row>
    <row r="18232">
      <c r="A18232" s="1" t="s">
        <v>29487</v>
      </c>
      <c r="B18232" s="2" t="s">
        <v>26234</v>
      </c>
      <c r="C18232" s="1" t="s">
        <v>5658</v>
      </c>
      <c r="D18232" s="1" t="s">
        <v>5659</v>
      </c>
    </row>
    <row r="18233">
      <c r="A18233" s="1" t="s">
        <v>29488</v>
      </c>
      <c r="B18233" s="2" t="s">
        <v>26236</v>
      </c>
      <c r="C18233" s="1" t="s">
        <v>5658</v>
      </c>
      <c r="D18233" s="1" t="s">
        <v>5659</v>
      </c>
    </row>
    <row r="18234">
      <c r="A18234" s="1" t="s">
        <v>29489</v>
      </c>
      <c r="B18234" s="2" t="s">
        <v>26238</v>
      </c>
      <c r="C18234" s="1" t="s">
        <v>5658</v>
      </c>
      <c r="D18234" s="1" t="s">
        <v>5659</v>
      </c>
    </row>
    <row r="18235">
      <c r="A18235" s="1" t="s">
        <v>29490</v>
      </c>
      <c r="B18235" s="2" t="s">
        <v>26240</v>
      </c>
      <c r="C18235" s="1" t="s">
        <v>5658</v>
      </c>
      <c r="D18235" s="1" t="s">
        <v>5659</v>
      </c>
    </row>
    <row r="18236">
      <c r="A18236" s="1" t="s">
        <v>29491</v>
      </c>
      <c r="B18236" s="2" t="s">
        <v>26242</v>
      </c>
      <c r="C18236" s="1" t="s">
        <v>5658</v>
      </c>
      <c r="D18236" s="1" t="s">
        <v>5659</v>
      </c>
    </row>
    <row r="18237">
      <c r="A18237" s="1" t="s">
        <v>29492</v>
      </c>
      <c r="B18237" s="2" t="s">
        <v>26244</v>
      </c>
      <c r="C18237" s="1" t="s">
        <v>5658</v>
      </c>
      <c r="D18237" s="1" t="s">
        <v>5659</v>
      </c>
    </row>
    <row r="18238">
      <c r="A18238" s="1" t="s">
        <v>29493</v>
      </c>
      <c r="B18238" s="2" t="s">
        <v>26246</v>
      </c>
      <c r="C18238" s="1" t="s">
        <v>5658</v>
      </c>
      <c r="D18238" s="1" t="s">
        <v>5659</v>
      </c>
    </row>
    <row r="18239">
      <c r="A18239" s="1" t="s">
        <v>29494</v>
      </c>
      <c r="B18239" s="2" t="s">
        <v>26248</v>
      </c>
      <c r="C18239" s="1" t="s">
        <v>5658</v>
      </c>
      <c r="D18239" s="1" t="s">
        <v>5659</v>
      </c>
    </row>
    <row r="18240">
      <c r="A18240" s="1" t="s">
        <v>29495</v>
      </c>
      <c r="B18240" s="2" t="s">
        <v>26250</v>
      </c>
      <c r="C18240" s="1" t="s">
        <v>5658</v>
      </c>
      <c r="D18240" s="1" t="s">
        <v>5659</v>
      </c>
    </row>
    <row r="18241">
      <c r="A18241" s="1" t="s">
        <v>29496</v>
      </c>
      <c r="B18241" s="2" t="s">
        <v>26252</v>
      </c>
      <c r="C18241" s="1" t="s">
        <v>5658</v>
      </c>
      <c r="D18241" s="1" t="s">
        <v>5659</v>
      </c>
    </row>
    <row r="18242">
      <c r="A18242" s="1" t="s">
        <v>29497</v>
      </c>
      <c r="B18242" s="2" t="s">
        <v>26254</v>
      </c>
      <c r="C18242" s="1" t="s">
        <v>5658</v>
      </c>
      <c r="D18242" s="1" t="s">
        <v>5659</v>
      </c>
    </row>
    <row r="18243">
      <c r="A18243" s="1" t="s">
        <v>29498</v>
      </c>
      <c r="B18243" s="2" t="s">
        <v>26256</v>
      </c>
      <c r="C18243" s="1" t="s">
        <v>5658</v>
      </c>
      <c r="D18243" s="1" t="s">
        <v>5659</v>
      </c>
    </row>
    <row r="18244">
      <c r="A18244" s="1" t="s">
        <v>29499</v>
      </c>
      <c r="B18244" s="2" t="s">
        <v>26258</v>
      </c>
      <c r="C18244" s="1" t="s">
        <v>5658</v>
      </c>
      <c r="D18244" s="1" t="s">
        <v>5659</v>
      </c>
    </row>
    <row r="18245">
      <c r="A18245" s="1" t="s">
        <v>29500</v>
      </c>
      <c r="B18245" s="2" t="s">
        <v>26260</v>
      </c>
      <c r="C18245" s="1" t="s">
        <v>5658</v>
      </c>
      <c r="D18245" s="1" t="s">
        <v>5659</v>
      </c>
    </row>
    <row r="18246">
      <c r="A18246" s="1" t="s">
        <v>29501</v>
      </c>
      <c r="B18246" s="2" t="s">
        <v>26262</v>
      </c>
      <c r="C18246" s="1" t="s">
        <v>5658</v>
      </c>
      <c r="D18246" s="1" t="s">
        <v>5659</v>
      </c>
    </row>
    <row r="18247">
      <c r="A18247" s="1" t="s">
        <v>29502</v>
      </c>
      <c r="B18247" s="2" t="s">
        <v>26264</v>
      </c>
      <c r="C18247" s="1" t="s">
        <v>5658</v>
      </c>
      <c r="D18247" s="1" t="s">
        <v>5659</v>
      </c>
    </row>
    <row r="18248">
      <c r="A18248" s="1" t="s">
        <v>29503</v>
      </c>
      <c r="B18248" s="2" t="s">
        <v>26266</v>
      </c>
      <c r="C18248" s="1" t="s">
        <v>5658</v>
      </c>
      <c r="D18248" s="1" t="s">
        <v>5659</v>
      </c>
    </row>
    <row r="18249">
      <c r="A18249" s="1" t="s">
        <v>29504</v>
      </c>
      <c r="B18249" s="2" t="s">
        <v>26268</v>
      </c>
      <c r="C18249" s="1" t="s">
        <v>5658</v>
      </c>
      <c r="D18249" s="1" t="s">
        <v>5659</v>
      </c>
    </row>
    <row r="18250">
      <c r="A18250" s="1" t="s">
        <v>29505</v>
      </c>
      <c r="B18250" s="2" t="s">
        <v>26270</v>
      </c>
      <c r="C18250" s="1" t="s">
        <v>5658</v>
      </c>
      <c r="D18250" s="1" t="s">
        <v>5659</v>
      </c>
    </row>
    <row r="18251">
      <c r="A18251" s="1" t="s">
        <v>29506</v>
      </c>
      <c r="B18251" s="2" t="s">
        <v>26272</v>
      </c>
      <c r="C18251" s="1" t="s">
        <v>5658</v>
      </c>
      <c r="D18251" s="1" t="s">
        <v>5659</v>
      </c>
    </row>
    <row r="18252">
      <c r="A18252" s="1" t="s">
        <v>29507</v>
      </c>
      <c r="B18252" s="2" t="s">
        <v>26274</v>
      </c>
      <c r="C18252" s="1" t="s">
        <v>5658</v>
      </c>
      <c r="D18252" s="1" t="s">
        <v>5659</v>
      </c>
    </row>
    <row r="18253">
      <c r="A18253" s="1" t="s">
        <v>29508</v>
      </c>
      <c r="B18253" s="2" t="s">
        <v>26276</v>
      </c>
      <c r="C18253" s="1" t="s">
        <v>5658</v>
      </c>
      <c r="D18253" s="1" t="s">
        <v>5659</v>
      </c>
    </row>
    <row r="18254">
      <c r="A18254" s="1" t="s">
        <v>29509</v>
      </c>
      <c r="B18254" s="2" t="s">
        <v>26278</v>
      </c>
      <c r="C18254" s="1" t="s">
        <v>5658</v>
      </c>
      <c r="D18254" s="1" t="s">
        <v>5659</v>
      </c>
    </row>
    <row r="18255">
      <c r="A18255" s="1" t="s">
        <v>29510</v>
      </c>
      <c r="B18255" s="2" t="s">
        <v>26280</v>
      </c>
      <c r="C18255" s="1" t="s">
        <v>5658</v>
      </c>
      <c r="D18255" s="1" t="s">
        <v>5659</v>
      </c>
    </row>
    <row r="18256">
      <c r="A18256" s="1" t="s">
        <v>29511</v>
      </c>
      <c r="B18256" s="2" t="s">
        <v>26282</v>
      </c>
      <c r="C18256" s="1" t="s">
        <v>5658</v>
      </c>
      <c r="D18256" s="1" t="s">
        <v>5659</v>
      </c>
    </row>
    <row r="18257">
      <c r="A18257" s="1" t="s">
        <v>29512</v>
      </c>
      <c r="B18257" s="2" t="s">
        <v>26284</v>
      </c>
      <c r="C18257" s="1" t="s">
        <v>5658</v>
      </c>
      <c r="D18257" s="1" t="s">
        <v>5659</v>
      </c>
    </row>
    <row r="18258">
      <c r="A18258" s="1" t="s">
        <v>29513</v>
      </c>
      <c r="B18258" s="2" t="s">
        <v>26286</v>
      </c>
      <c r="C18258" s="1" t="s">
        <v>5658</v>
      </c>
      <c r="D18258" s="1" t="s">
        <v>5659</v>
      </c>
    </row>
    <row r="18259">
      <c r="A18259" s="1" t="s">
        <v>29514</v>
      </c>
      <c r="B18259" s="2" t="s">
        <v>26288</v>
      </c>
      <c r="C18259" s="1" t="s">
        <v>5658</v>
      </c>
      <c r="D18259" s="1" t="s">
        <v>5659</v>
      </c>
    </row>
    <row r="18260">
      <c r="A18260" s="1" t="s">
        <v>29515</v>
      </c>
      <c r="B18260" s="2" t="s">
        <v>26290</v>
      </c>
      <c r="C18260" s="1" t="s">
        <v>5658</v>
      </c>
      <c r="D18260" s="1" t="s">
        <v>5659</v>
      </c>
    </row>
    <row r="18261">
      <c r="A18261" s="1" t="s">
        <v>29516</v>
      </c>
      <c r="B18261" s="2" t="s">
        <v>26292</v>
      </c>
      <c r="C18261" s="1" t="s">
        <v>5658</v>
      </c>
      <c r="D18261" s="1" t="s">
        <v>5659</v>
      </c>
    </row>
    <row r="18262">
      <c r="A18262" s="1" t="s">
        <v>29517</v>
      </c>
      <c r="B18262" s="2" t="s">
        <v>26294</v>
      </c>
      <c r="C18262" s="1" t="s">
        <v>5658</v>
      </c>
      <c r="D18262" s="1" t="s">
        <v>5659</v>
      </c>
    </row>
    <row r="18263">
      <c r="A18263" s="1" t="s">
        <v>29518</v>
      </c>
      <c r="B18263" s="2" t="s">
        <v>26296</v>
      </c>
      <c r="C18263" s="1" t="s">
        <v>5658</v>
      </c>
      <c r="D18263" s="1" t="s">
        <v>5659</v>
      </c>
    </row>
    <row r="18264">
      <c r="A18264" s="1" t="s">
        <v>29519</v>
      </c>
      <c r="B18264" s="2" t="s">
        <v>26298</v>
      </c>
      <c r="C18264" s="1" t="s">
        <v>5658</v>
      </c>
      <c r="D18264" s="1" t="s">
        <v>5659</v>
      </c>
    </row>
    <row r="18265">
      <c r="A18265" s="1" t="s">
        <v>29520</v>
      </c>
      <c r="B18265" s="2" t="s">
        <v>26300</v>
      </c>
      <c r="C18265" s="1" t="s">
        <v>5658</v>
      </c>
      <c r="D18265" s="1" t="s">
        <v>5659</v>
      </c>
    </row>
    <row r="18266">
      <c r="A18266" s="1" t="s">
        <v>29521</v>
      </c>
      <c r="B18266" s="2" t="s">
        <v>26302</v>
      </c>
      <c r="C18266" s="1" t="s">
        <v>5658</v>
      </c>
      <c r="D18266" s="1" t="s">
        <v>5659</v>
      </c>
    </row>
    <row r="18267">
      <c r="A18267" s="1" t="s">
        <v>29522</v>
      </c>
      <c r="B18267" s="2" t="s">
        <v>26304</v>
      </c>
      <c r="C18267" s="1" t="s">
        <v>5658</v>
      </c>
      <c r="D18267" s="1" t="s">
        <v>5659</v>
      </c>
    </row>
    <row r="18268">
      <c r="A18268" s="1" t="s">
        <v>29523</v>
      </c>
      <c r="B18268" s="2" t="s">
        <v>26306</v>
      </c>
      <c r="C18268" s="1" t="s">
        <v>5658</v>
      </c>
      <c r="D18268" s="1" t="s">
        <v>5659</v>
      </c>
    </row>
    <row r="18269">
      <c r="A18269" s="1" t="s">
        <v>29524</v>
      </c>
      <c r="B18269" s="2" t="s">
        <v>26308</v>
      </c>
      <c r="C18269" s="1" t="s">
        <v>5658</v>
      </c>
      <c r="D18269" s="1" t="s">
        <v>5659</v>
      </c>
    </row>
    <row r="18270">
      <c r="A18270" s="1" t="s">
        <v>29525</v>
      </c>
      <c r="B18270" s="2" t="s">
        <v>26310</v>
      </c>
      <c r="C18270" s="1" t="s">
        <v>5658</v>
      </c>
      <c r="D18270" s="1" t="s">
        <v>5659</v>
      </c>
    </row>
    <row r="18271">
      <c r="A18271" s="1" t="s">
        <v>29526</v>
      </c>
      <c r="B18271" s="2" t="s">
        <v>26312</v>
      </c>
      <c r="C18271" s="1" t="s">
        <v>5658</v>
      </c>
      <c r="D18271" s="1" t="s">
        <v>5659</v>
      </c>
    </row>
    <row r="18272">
      <c r="A18272" s="1" t="s">
        <v>29527</v>
      </c>
      <c r="B18272" s="2" t="s">
        <v>26314</v>
      </c>
      <c r="C18272" s="1" t="s">
        <v>5658</v>
      </c>
      <c r="D18272" s="1" t="s">
        <v>5659</v>
      </c>
    </row>
    <row r="18273">
      <c r="A18273" s="1" t="s">
        <v>29528</v>
      </c>
      <c r="B18273" s="2" t="s">
        <v>26316</v>
      </c>
      <c r="C18273" s="1" t="s">
        <v>5658</v>
      </c>
      <c r="D18273" s="1" t="s">
        <v>5659</v>
      </c>
    </row>
    <row r="18274">
      <c r="A18274" s="1" t="s">
        <v>29529</v>
      </c>
      <c r="B18274" s="2" t="s">
        <v>26318</v>
      </c>
      <c r="C18274" s="1" t="s">
        <v>5658</v>
      </c>
      <c r="D18274" s="1" t="s">
        <v>5659</v>
      </c>
    </row>
    <row r="18275">
      <c r="A18275" s="1" t="s">
        <v>29530</v>
      </c>
      <c r="B18275" s="2" t="s">
        <v>26320</v>
      </c>
      <c r="C18275" s="1" t="s">
        <v>5658</v>
      </c>
      <c r="D18275" s="1" t="s">
        <v>5659</v>
      </c>
    </row>
    <row r="18276">
      <c r="A18276" s="1" t="s">
        <v>29531</v>
      </c>
      <c r="B18276" s="2" t="s">
        <v>26322</v>
      </c>
      <c r="C18276" s="1" t="s">
        <v>5658</v>
      </c>
      <c r="D18276" s="1" t="s">
        <v>5659</v>
      </c>
    </row>
    <row r="18277">
      <c r="A18277" s="1" t="s">
        <v>29532</v>
      </c>
      <c r="B18277" s="2" t="s">
        <v>26324</v>
      </c>
      <c r="C18277" s="1" t="s">
        <v>5658</v>
      </c>
      <c r="D18277" s="1" t="s">
        <v>5659</v>
      </c>
    </row>
    <row r="18278">
      <c r="A18278" s="1" t="s">
        <v>29533</v>
      </c>
      <c r="B18278" s="2" t="s">
        <v>26326</v>
      </c>
      <c r="C18278" s="1" t="s">
        <v>5658</v>
      </c>
      <c r="D18278" s="1" t="s">
        <v>5659</v>
      </c>
    </row>
    <row r="18279">
      <c r="A18279" s="1" t="s">
        <v>29534</v>
      </c>
      <c r="B18279" s="2" t="s">
        <v>26328</v>
      </c>
      <c r="C18279" s="1" t="s">
        <v>5658</v>
      </c>
      <c r="D18279" s="1" t="s">
        <v>5659</v>
      </c>
    </row>
    <row r="18280">
      <c r="A18280" s="1" t="s">
        <v>29535</v>
      </c>
      <c r="B18280" s="2" t="s">
        <v>26330</v>
      </c>
      <c r="C18280" s="1" t="s">
        <v>5658</v>
      </c>
      <c r="D18280" s="1" t="s">
        <v>5659</v>
      </c>
    </row>
    <row r="18281">
      <c r="A18281" s="1" t="s">
        <v>29536</v>
      </c>
      <c r="B18281" s="2" t="s">
        <v>26332</v>
      </c>
      <c r="C18281" s="1" t="s">
        <v>5658</v>
      </c>
      <c r="D18281" s="1" t="s">
        <v>5659</v>
      </c>
    </row>
    <row r="18282">
      <c r="A18282" s="1" t="s">
        <v>29537</v>
      </c>
      <c r="B18282" s="2" t="s">
        <v>26334</v>
      </c>
      <c r="C18282" s="1" t="s">
        <v>5658</v>
      </c>
      <c r="D18282" s="1" t="s">
        <v>5659</v>
      </c>
    </row>
    <row r="18283">
      <c r="A18283" s="1" t="s">
        <v>29538</v>
      </c>
      <c r="B18283" s="2" t="s">
        <v>26336</v>
      </c>
      <c r="C18283" s="1" t="s">
        <v>5658</v>
      </c>
      <c r="D18283" s="1" t="s">
        <v>5659</v>
      </c>
    </row>
    <row r="18284">
      <c r="A18284" s="1" t="s">
        <v>29539</v>
      </c>
      <c r="B18284" s="2" t="s">
        <v>26338</v>
      </c>
      <c r="C18284" s="1" t="s">
        <v>5658</v>
      </c>
      <c r="D18284" s="1" t="s">
        <v>5659</v>
      </c>
    </row>
    <row r="18285">
      <c r="A18285" s="1" t="s">
        <v>29540</v>
      </c>
      <c r="B18285" s="2" t="s">
        <v>26340</v>
      </c>
      <c r="C18285" s="1" t="s">
        <v>5658</v>
      </c>
      <c r="D18285" s="1" t="s">
        <v>5659</v>
      </c>
    </row>
    <row r="18286">
      <c r="A18286" s="1" t="s">
        <v>29541</v>
      </c>
      <c r="B18286" s="2" t="s">
        <v>26342</v>
      </c>
      <c r="C18286" s="1" t="s">
        <v>5658</v>
      </c>
      <c r="D18286" s="1" t="s">
        <v>5659</v>
      </c>
    </row>
    <row r="18287">
      <c r="A18287" s="1" t="s">
        <v>29542</v>
      </c>
      <c r="B18287" s="2" t="s">
        <v>26344</v>
      </c>
      <c r="C18287" s="1" t="s">
        <v>5658</v>
      </c>
      <c r="D18287" s="1" t="s">
        <v>5659</v>
      </c>
    </row>
    <row r="18288">
      <c r="A18288" s="1" t="s">
        <v>29543</v>
      </c>
      <c r="B18288" s="2" t="s">
        <v>26346</v>
      </c>
      <c r="C18288" s="1" t="s">
        <v>5658</v>
      </c>
      <c r="D18288" s="1" t="s">
        <v>5659</v>
      </c>
    </row>
    <row r="18289">
      <c r="A18289" s="1" t="s">
        <v>29544</v>
      </c>
      <c r="B18289" s="2" t="s">
        <v>26348</v>
      </c>
      <c r="C18289" s="1" t="s">
        <v>5658</v>
      </c>
      <c r="D18289" s="1" t="s">
        <v>5659</v>
      </c>
    </row>
    <row r="18290">
      <c r="A18290" s="1" t="s">
        <v>29545</v>
      </c>
      <c r="B18290" s="2" t="s">
        <v>26350</v>
      </c>
      <c r="C18290" s="1" t="s">
        <v>5658</v>
      </c>
      <c r="D18290" s="1" t="s">
        <v>5659</v>
      </c>
    </row>
    <row r="18291">
      <c r="A18291" s="1" t="s">
        <v>29546</v>
      </c>
      <c r="B18291" s="2" t="s">
        <v>26352</v>
      </c>
      <c r="C18291" s="1" t="s">
        <v>5658</v>
      </c>
      <c r="D18291" s="1" t="s">
        <v>5659</v>
      </c>
    </row>
    <row r="18292">
      <c r="A18292" s="1" t="s">
        <v>29547</v>
      </c>
      <c r="B18292" s="2" t="s">
        <v>26354</v>
      </c>
      <c r="C18292" s="1" t="s">
        <v>5658</v>
      </c>
      <c r="D18292" s="1" t="s">
        <v>5659</v>
      </c>
    </row>
    <row r="18293">
      <c r="A18293" s="1" t="s">
        <v>29548</v>
      </c>
      <c r="B18293" s="2" t="s">
        <v>26356</v>
      </c>
      <c r="C18293" s="1" t="s">
        <v>5658</v>
      </c>
      <c r="D18293" s="1" t="s">
        <v>5659</v>
      </c>
    </row>
    <row r="18294">
      <c r="A18294" s="1" t="s">
        <v>29549</v>
      </c>
      <c r="B18294" s="2" t="s">
        <v>26358</v>
      </c>
      <c r="C18294" s="1" t="s">
        <v>5658</v>
      </c>
      <c r="D18294" s="1" t="s">
        <v>5659</v>
      </c>
    </row>
    <row r="18295">
      <c r="A18295" s="1" t="s">
        <v>29550</v>
      </c>
      <c r="B18295" s="2" t="s">
        <v>26360</v>
      </c>
      <c r="C18295" s="1" t="s">
        <v>5658</v>
      </c>
      <c r="D18295" s="1" t="s">
        <v>5659</v>
      </c>
    </row>
    <row r="18296">
      <c r="A18296" s="1" t="s">
        <v>29551</v>
      </c>
      <c r="B18296" s="2" t="s">
        <v>26362</v>
      </c>
      <c r="C18296" s="1" t="s">
        <v>5658</v>
      </c>
      <c r="D18296" s="1" t="s">
        <v>5659</v>
      </c>
    </row>
    <row r="18297">
      <c r="A18297" s="1" t="s">
        <v>29552</v>
      </c>
      <c r="B18297" s="2" t="s">
        <v>26364</v>
      </c>
      <c r="C18297" s="1" t="s">
        <v>5658</v>
      </c>
      <c r="D18297" s="1" t="s">
        <v>5659</v>
      </c>
    </row>
    <row r="18298">
      <c r="A18298" s="1" t="s">
        <v>29553</v>
      </c>
      <c r="B18298" s="2" t="s">
        <v>26366</v>
      </c>
      <c r="C18298" s="1" t="s">
        <v>5658</v>
      </c>
      <c r="D18298" s="1" t="s">
        <v>5659</v>
      </c>
    </row>
    <row r="18299">
      <c r="A18299" s="1" t="s">
        <v>29554</v>
      </c>
      <c r="B18299" s="2" t="s">
        <v>26368</v>
      </c>
      <c r="C18299" s="1" t="s">
        <v>5658</v>
      </c>
      <c r="D18299" s="1" t="s">
        <v>5659</v>
      </c>
    </row>
    <row r="18300">
      <c r="A18300" s="1" t="s">
        <v>29555</v>
      </c>
      <c r="B18300" s="2" t="s">
        <v>26370</v>
      </c>
      <c r="C18300" s="1" t="s">
        <v>5658</v>
      </c>
      <c r="D18300" s="1" t="s">
        <v>5659</v>
      </c>
    </row>
    <row r="18301">
      <c r="A18301" s="1" t="s">
        <v>29556</v>
      </c>
      <c r="B18301" s="2" t="s">
        <v>26372</v>
      </c>
      <c r="C18301" s="1" t="s">
        <v>5658</v>
      </c>
      <c r="D18301" s="1" t="s">
        <v>5659</v>
      </c>
    </row>
    <row r="18302">
      <c r="A18302" s="1" t="s">
        <v>29557</v>
      </c>
      <c r="B18302" s="2" t="s">
        <v>26374</v>
      </c>
      <c r="C18302" s="1" t="s">
        <v>5658</v>
      </c>
      <c r="D18302" s="1" t="s">
        <v>5659</v>
      </c>
    </row>
    <row r="18303">
      <c r="A18303" s="1" t="s">
        <v>29558</v>
      </c>
      <c r="B18303" s="2" t="s">
        <v>26376</v>
      </c>
      <c r="C18303" s="1" t="s">
        <v>5658</v>
      </c>
      <c r="D18303" s="1" t="s">
        <v>5659</v>
      </c>
    </row>
    <row r="18304">
      <c r="A18304" s="1" t="s">
        <v>29559</v>
      </c>
      <c r="B18304" s="2" t="s">
        <v>26378</v>
      </c>
      <c r="C18304" s="1" t="s">
        <v>5658</v>
      </c>
      <c r="D18304" s="1" t="s">
        <v>5659</v>
      </c>
    </row>
    <row r="18305">
      <c r="A18305" s="1" t="s">
        <v>29560</v>
      </c>
      <c r="B18305" s="2" t="s">
        <v>26380</v>
      </c>
      <c r="C18305" s="1" t="s">
        <v>5658</v>
      </c>
      <c r="D18305" s="1" t="s">
        <v>5659</v>
      </c>
    </row>
    <row r="18306">
      <c r="A18306" s="1" t="s">
        <v>29561</v>
      </c>
      <c r="B18306" s="2" t="s">
        <v>26382</v>
      </c>
      <c r="C18306" s="1" t="s">
        <v>5658</v>
      </c>
      <c r="D18306" s="1" t="s">
        <v>5659</v>
      </c>
    </row>
    <row r="18307">
      <c r="A18307" s="1" t="s">
        <v>29562</v>
      </c>
      <c r="B18307" s="2" t="s">
        <v>26384</v>
      </c>
      <c r="C18307" s="1" t="s">
        <v>5658</v>
      </c>
      <c r="D18307" s="1" t="s">
        <v>5659</v>
      </c>
    </row>
    <row r="18308">
      <c r="A18308" s="1" t="s">
        <v>29563</v>
      </c>
      <c r="B18308" s="2" t="s">
        <v>26386</v>
      </c>
      <c r="C18308" s="1" t="s">
        <v>5658</v>
      </c>
      <c r="D18308" s="1" t="s">
        <v>5659</v>
      </c>
    </row>
    <row r="18309">
      <c r="A18309" s="1" t="s">
        <v>29564</v>
      </c>
      <c r="B18309" s="2" t="s">
        <v>26388</v>
      </c>
      <c r="C18309" s="1" t="s">
        <v>5658</v>
      </c>
      <c r="D18309" s="1" t="s">
        <v>5659</v>
      </c>
    </row>
    <row r="18310">
      <c r="A18310" s="1" t="s">
        <v>29565</v>
      </c>
      <c r="B18310" s="2" t="s">
        <v>26390</v>
      </c>
      <c r="C18310" s="1" t="s">
        <v>5658</v>
      </c>
      <c r="D18310" s="1" t="s">
        <v>5659</v>
      </c>
    </row>
    <row r="18311">
      <c r="A18311" s="1" t="s">
        <v>29566</v>
      </c>
      <c r="B18311" s="2" t="s">
        <v>26392</v>
      </c>
      <c r="C18311" s="1" t="s">
        <v>5658</v>
      </c>
      <c r="D18311" s="1" t="s">
        <v>5659</v>
      </c>
    </row>
    <row r="18312">
      <c r="A18312" s="1" t="s">
        <v>29567</v>
      </c>
      <c r="B18312" s="2" t="s">
        <v>26394</v>
      </c>
      <c r="C18312" s="1" t="s">
        <v>5658</v>
      </c>
      <c r="D18312" s="1" t="s">
        <v>5659</v>
      </c>
    </row>
    <row r="18313">
      <c r="A18313" s="1" t="s">
        <v>29568</v>
      </c>
      <c r="B18313" s="2" t="s">
        <v>26396</v>
      </c>
      <c r="C18313" s="1" t="s">
        <v>5658</v>
      </c>
      <c r="D18313" s="1" t="s">
        <v>5659</v>
      </c>
    </row>
    <row r="18314">
      <c r="A18314" s="1" t="s">
        <v>29569</v>
      </c>
      <c r="B18314" s="2" t="s">
        <v>26398</v>
      </c>
      <c r="C18314" s="1" t="s">
        <v>5658</v>
      </c>
      <c r="D18314" s="1" t="s">
        <v>5659</v>
      </c>
    </row>
    <row r="18315">
      <c r="A18315" s="1" t="s">
        <v>29570</v>
      </c>
      <c r="B18315" s="2" t="s">
        <v>26400</v>
      </c>
      <c r="C18315" s="1" t="s">
        <v>5658</v>
      </c>
      <c r="D18315" s="1" t="s">
        <v>5659</v>
      </c>
    </row>
    <row r="18316">
      <c r="A18316" s="1" t="s">
        <v>29571</v>
      </c>
      <c r="B18316" s="2" t="s">
        <v>26402</v>
      </c>
      <c r="C18316" s="1" t="s">
        <v>5658</v>
      </c>
      <c r="D18316" s="1" t="s">
        <v>5659</v>
      </c>
    </row>
    <row r="18317">
      <c r="A18317" s="1" t="s">
        <v>29572</v>
      </c>
      <c r="B18317" s="2" t="s">
        <v>26404</v>
      </c>
      <c r="C18317" s="1" t="s">
        <v>5658</v>
      </c>
      <c r="D18317" s="1" t="s">
        <v>5659</v>
      </c>
    </row>
    <row r="18318">
      <c r="A18318" s="1" t="s">
        <v>29573</v>
      </c>
      <c r="B18318" s="2" t="s">
        <v>26406</v>
      </c>
      <c r="C18318" s="1" t="s">
        <v>5658</v>
      </c>
      <c r="D18318" s="1" t="s">
        <v>5659</v>
      </c>
    </row>
    <row r="18319">
      <c r="A18319" s="1" t="s">
        <v>29574</v>
      </c>
      <c r="B18319" s="2" t="s">
        <v>26408</v>
      </c>
      <c r="C18319" s="1" t="s">
        <v>5658</v>
      </c>
      <c r="D18319" s="1" t="s">
        <v>5659</v>
      </c>
    </row>
    <row r="18320">
      <c r="A18320" s="1" t="s">
        <v>29575</v>
      </c>
      <c r="B18320" s="2" t="s">
        <v>26410</v>
      </c>
      <c r="C18320" s="1" t="s">
        <v>5658</v>
      </c>
      <c r="D18320" s="1" t="s">
        <v>5659</v>
      </c>
    </row>
    <row r="18321">
      <c r="A18321" s="1" t="s">
        <v>29576</v>
      </c>
      <c r="B18321" s="2" t="s">
        <v>26412</v>
      </c>
      <c r="C18321" s="1" t="s">
        <v>5658</v>
      </c>
      <c r="D18321" s="1" t="s">
        <v>5659</v>
      </c>
    </row>
    <row r="18322">
      <c r="A18322" s="1" t="s">
        <v>29577</v>
      </c>
      <c r="B18322" s="2" t="s">
        <v>26414</v>
      </c>
      <c r="C18322" s="1" t="s">
        <v>5658</v>
      </c>
      <c r="D18322" s="1" t="s">
        <v>5659</v>
      </c>
    </row>
    <row r="18323">
      <c r="A18323" s="1" t="s">
        <v>29578</v>
      </c>
      <c r="B18323" s="2" t="s">
        <v>26416</v>
      </c>
      <c r="C18323" s="1" t="s">
        <v>5658</v>
      </c>
      <c r="D18323" s="1" t="s">
        <v>5659</v>
      </c>
    </row>
    <row r="18324">
      <c r="A18324" s="1" t="s">
        <v>29579</v>
      </c>
      <c r="B18324" s="2" t="s">
        <v>26418</v>
      </c>
      <c r="C18324" s="1" t="s">
        <v>5658</v>
      </c>
      <c r="D18324" s="1" t="s">
        <v>5659</v>
      </c>
    </row>
    <row r="18325">
      <c r="A18325" s="1" t="s">
        <v>29580</v>
      </c>
      <c r="B18325" s="2" t="s">
        <v>26420</v>
      </c>
      <c r="C18325" s="1" t="s">
        <v>5658</v>
      </c>
      <c r="D18325" s="1" t="s">
        <v>5659</v>
      </c>
    </row>
    <row r="18326">
      <c r="A18326" s="1" t="s">
        <v>29581</v>
      </c>
      <c r="B18326" s="2" t="s">
        <v>26422</v>
      </c>
      <c r="C18326" s="1" t="s">
        <v>5658</v>
      </c>
      <c r="D18326" s="1" t="s">
        <v>5659</v>
      </c>
    </row>
    <row r="18327">
      <c r="A18327" s="1" t="s">
        <v>29582</v>
      </c>
      <c r="B18327" s="2" t="s">
        <v>26424</v>
      </c>
      <c r="C18327" s="1" t="s">
        <v>5658</v>
      </c>
      <c r="D18327" s="1" t="s">
        <v>5659</v>
      </c>
    </row>
    <row r="18328">
      <c r="A18328" s="1" t="s">
        <v>29583</v>
      </c>
      <c r="B18328" s="2" t="s">
        <v>26426</v>
      </c>
      <c r="C18328" s="1" t="s">
        <v>5658</v>
      </c>
      <c r="D18328" s="1" t="s">
        <v>5659</v>
      </c>
    </row>
    <row r="18329">
      <c r="A18329" s="1" t="s">
        <v>29584</v>
      </c>
      <c r="B18329" s="2" t="s">
        <v>26428</v>
      </c>
      <c r="C18329" s="1" t="s">
        <v>5658</v>
      </c>
      <c r="D18329" s="1" t="s">
        <v>5659</v>
      </c>
    </row>
    <row r="18330">
      <c r="A18330" s="1" t="s">
        <v>29585</v>
      </c>
      <c r="B18330" s="2" t="s">
        <v>26430</v>
      </c>
      <c r="C18330" s="1" t="s">
        <v>5658</v>
      </c>
      <c r="D18330" s="1" t="s">
        <v>5659</v>
      </c>
    </row>
    <row r="18331">
      <c r="A18331" s="1" t="s">
        <v>29586</v>
      </c>
      <c r="B18331" s="2" t="s">
        <v>26432</v>
      </c>
      <c r="C18331" s="1" t="s">
        <v>5658</v>
      </c>
      <c r="D18331" s="1" t="s">
        <v>5659</v>
      </c>
    </row>
    <row r="18332">
      <c r="A18332" s="1" t="s">
        <v>29587</v>
      </c>
      <c r="B18332" s="2" t="s">
        <v>26434</v>
      </c>
      <c r="C18332" s="1" t="s">
        <v>5658</v>
      </c>
      <c r="D18332" s="1" t="s">
        <v>5659</v>
      </c>
    </row>
    <row r="18333">
      <c r="A18333" s="1" t="s">
        <v>29588</v>
      </c>
      <c r="B18333" s="2" t="s">
        <v>26436</v>
      </c>
      <c r="C18333" s="1" t="s">
        <v>5658</v>
      </c>
      <c r="D18333" s="1" t="s">
        <v>5659</v>
      </c>
    </row>
    <row r="18334">
      <c r="A18334" s="1" t="s">
        <v>29589</v>
      </c>
      <c r="B18334" s="2" t="s">
        <v>26438</v>
      </c>
      <c r="C18334" s="1" t="s">
        <v>5658</v>
      </c>
      <c r="D18334" s="1" t="s">
        <v>5659</v>
      </c>
    </row>
    <row r="18335">
      <c r="A18335" s="1" t="s">
        <v>29590</v>
      </c>
      <c r="B18335" s="2" t="s">
        <v>26440</v>
      </c>
      <c r="C18335" s="1" t="s">
        <v>5658</v>
      </c>
      <c r="D18335" s="1" t="s">
        <v>5659</v>
      </c>
    </row>
    <row r="18336">
      <c r="A18336" s="1" t="s">
        <v>29591</v>
      </c>
      <c r="B18336" s="2" t="s">
        <v>26442</v>
      </c>
      <c r="C18336" s="1" t="s">
        <v>5658</v>
      </c>
      <c r="D18336" s="1" t="s">
        <v>5659</v>
      </c>
    </row>
    <row r="18337">
      <c r="A18337" s="1" t="s">
        <v>29592</v>
      </c>
      <c r="B18337" s="2" t="s">
        <v>26444</v>
      </c>
      <c r="C18337" s="1" t="s">
        <v>5658</v>
      </c>
      <c r="D18337" s="1" t="s">
        <v>5659</v>
      </c>
    </row>
    <row r="18338">
      <c r="A18338" s="1" t="s">
        <v>29593</v>
      </c>
      <c r="B18338" s="2" t="s">
        <v>26446</v>
      </c>
      <c r="C18338" s="1" t="s">
        <v>5658</v>
      </c>
      <c r="D18338" s="1" t="s">
        <v>5659</v>
      </c>
    </row>
    <row r="18339">
      <c r="A18339" s="1" t="s">
        <v>29594</v>
      </c>
      <c r="B18339" s="2" t="s">
        <v>26448</v>
      </c>
      <c r="C18339" s="1" t="s">
        <v>5658</v>
      </c>
      <c r="D18339" s="1" t="s">
        <v>5659</v>
      </c>
    </row>
    <row r="18340">
      <c r="A18340" s="1" t="s">
        <v>29595</v>
      </c>
      <c r="B18340" s="2" t="s">
        <v>26450</v>
      </c>
      <c r="C18340" s="1" t="s">
        <v>5658</v>
      </c>
      <c r="D18340" s="1" t="s">
        <v>5659</v>
      </c>
    </row>
    <row r="18341">
      <c r="A18341" s="1" t="s">
        <v>29596</v>
      </c>
      <c r="B18341" s="2" t="s">
        <v>26452</v>
      </c>
      <c r="C18341" s="1" t="s">
        <v>5658</v>
      </c>
      <c r="D18341" s="1" t="s">
        <v>5659</v>
      </c>
    </row>
    <row r="18342">
      <c r="A18342" s="1" t="s">
        <v>29597</v>
      </c>
      <c r="B18342" s="2" t="s">
        <v>26454</v>
      </c>
      <c r="C18342" s="1" t="s">
        <v>5658</v>
      </c>
      <c r="D18342" s="1" t="s">
        <v>5659</v>
      </c>
    </row>
    <row r="18343">
      <c r="A18343" s="1" t="s">
        <v>29598</v>
      </c>
      <c r="B18343" s="2" t="s">
        <v>26456</v>
      </c>
      <c r="C18343" s="1" t="s">
        <v>5658</v>
      </c>
      <c r="D18343" s="1" t="s">
        <v>5659</v>
      </c>
    </row>
    <row r="18344">
      <c r="A18344" s="1" t="s">
        <v>29599</v>
      </c>
      <c r="B18344" s="2" t="s">
        <v>26458</v>
      </c>
      <c r="C18344" s="1" t="s">
        <v>5658</v>
      </c>
      <c r="D18344" s="1" t="s">
        <v>5659</v>
      </c>
    </row>
    <row r="18345">
      <c r="A18345" s="1" t="s">
        <v>29600</v>
      </c>
      <c r="B18345" s="2" t="s">
        <v>26460</v>
      </c>
      <c r="C18345" s="1" t="s">
        <v>5658</v>
      </c>
      <c r="D18345" s="1" t="s">
        <v>5659</v>
      </c>
    </row>
    <row r="18346">
      <c r="A18346" s="1" t="s">
        <v>29601</v>
      </c>
      <c r="B18346" s="2" t="s">
        <v>26462</v>
      </c>
      <c r="C18346" s="1" t="s">
        <v>5658</v>
      </c>
      <c r="D18346" s="1" t="s">
        <v>5659</v>
      </c>
    </row>
    <row r="18347">
      <c r="A18347" s="1" t="s">
        <v>29602</v>
      </c>
      <c r="B18347" s="2" t="s">
        <v>26464</v>
      </c>
      <c r="C18347" s="1" t="s">
        <v>5658</v>
      </c>
      <c r="D18347" s="1" t="s">
        <v>5659</v>
      </c>
    </row>
    <row r="18348">
      <c r="A18348" s="1" t="s">
        <v>29603</v>
      </c>
      <c r="B18348" s="2" t="s">
        <v>26466</v>
      </c>
      <c r="C18348" s="1" t="s">
        <v>5658</v>
      </c>
      <c r="D18348" s="1" t="s">
        <v>5659</v>
      </c>
    </row>
    <row r="18349">
      <c r="A18349" s="1" t="s">
        <v>29604</v>
      </c>
      <c r="B18349" s="2" t="s">
        <v>26468</v>
      </c>
      <c r="C18349" s="1" t="s">
        <v>5658</v>
      </c>
      <c r="D18349" s="1" t="s">
        <v>5659</v>
      </c>
    </row>
    <row r="18350">
      <c r="A18350" s="1" t="s">
        <v>29605</v>
      </c>
      <c r="B18350" s="2" t="s">
        <v>26470</v>
      </c>
      <c r="C18350" s="1" t="s">
        <v>5658</v>
      </c>
      <c r="D18350" s="1" t="s">
        <v>5659</v>
      </c>
    </row>
    <row r="18351">
      <c r="A18351" s="1" t="s">
        <v>29606</v>
      </c>
      <c r="B18351" s="2" t="s">
        <v>26472</v>
      </c>
      <c r="C18351" s="1" t="s">
        <v>5658</v>
      </c>
      <c r="D18351" s="1" t="s">
        <v>5659</v>
      </c>
    </row>
    <row r="18352">
      <c r="A18352" s="1" t="s">
        <v>29607</v>
      </c>
      <c r="B18352" s="2" t="s">
        <v>26474</v>
      </c>
      <c r="C18352" s="1" t="s">
        <v>5658</v>
      </c>
      <c r="D18352" s="1" t="s">
        <v>5659</v>
      </c>
    </row>
    <row r="18353">
      <c r="A18353" s="1" t="s">
        <v>29608</v>
      </c>
      <c r="B18353" s="2" t="s">
        <v>26476</v>
      </c>
      <c r="C18353" s="1" t="s">
        <v>5658</v>
      </c>
      <c r="D18353" s="1" t="s">
        <v>5659</v>
      </c>
    </row>
    <row r="18354">
      <c r="A18354" s="1" t="s">
        <v>29609</v>
      </c>
      <c r="B18354" s="2" t="s">
        <v>26478</v>
      </c>
      <c r="C18354" s="1" t="s">
        <v>5658</v>
      </c>
      <c r="D18354" s="1" t="s">
        <v>5659</v>
      </c>
    </row>
    <row r="18355">
      <c r="A18355" s="1" t="s">
        <v>29610</v>
      </c>
      <c r="B18355" s="2" t="s">
        <v>26480</v>
      </c>
      <c r="C18355" s="1" t="s">
        <v>5658</v>
      </c>
      <c r="D18355" s="1" t="s">
        <v>5659</v>
      </c>
    </row>
    <row r="18356">
      <c r="A18356" s="1" t="s">
        <v>29611</v>
      </c>
      <c r="B18356" s="2" t="s">
        <v>26482</v>
      </c>
      <c r="C18356" s="1" t="s">
        <v>5658</v>
      </c>
      <c r="D18356" s="1" t="s">
        <v>5659</v>
      </c>
    </row>
    <row r="18357">
      <c r="A18357" s="1" t="s">
        <v>29612</v>
      </c>
      <c r="B18357" s="2" t="s">
        <v>26484</v>
      </c>
      <c r="C18357" s="1" t="s">
        <v>5658</v>
      </c>
      <c r="D18357" s="1" t="s">
        <v>5659</v>
      </c>
    </row>
    <row r="18358">
      <c r="A18358" s="1" t="s">
        <v>29613</v>
      </c>
      <c r="B18358" s="2" t="s">
        <v>26486</v>
      </c>
      <c r="C18358" s="1" t="s">
        <v>5658</v>
      </c>
      <c r="D18358" s="1" t="s">
        <v>5659</v>
      </c>
    </row>
    <row r="18359">
      <c r="A18359" s="1" t="s">
        <v>29614</v>
      </c>
      <c r="B18359" s="2" t="s">
        <v>26488</v>
      </c>
      <c r="C18359" s="1" t="s">
        <v>5658</v>
      </c>
      <c r="D18359" s="1" t="s">
        <v>5659</v>
      </c>
    </row>
    <row r="18360">
      <c r="A18360" s="1" t="s">
        <v>29615</v>
      </c>
      <c r="B18360" s="2" t="s">
        <v>26490</v>
      </c>
      <c r="C18360" s="1" t="s">
        <v>5658</v>
      </c>
      <c r="D18360" s="1" t="s">
        <v>5659</v>
      </c>
    </row>
    <row r="18361">
      <c r="A18361" s="1" t="s">
        <v>29616</v>
      </c>
      <c r="B18361" s="2" t="s">
        <v>26492</v>
      </c>
      <c r="C18361" s="1" t="s">
        <v>5658</v>
      </c>
      <c r="D18361" s="1" t="s">
        <v>5659</v>
      </c>
    </row>
    <row r="18362">
      <c r="A18362" s="1" t="s">
        <v>29617</v>
      </c>
      <c r="B18362" s="2" t="s">
        <v>26494</v>
      </c>
      <c r="C18362" s="1" t="s">
        <v>5658</v>
      </c>
      <c r="D18362" s="1" t="s">
        <v>5659</v>
      </c>
    </row>
    <row r="18363">
      <c r="A18363" s="1" t="s">
        <v>29618</v>
      </c>
      <c r="B18363" s="2" t="s">
        <v>26496</v>
      </c>
      <c r="C18363" s="1" t="s">
        <v>5658</v>
      </c>
      <c r="D18363" s="1" t="s">
        <v>5659</v>
      </c>
    </row>
    <row r="18364">
      <c r="A18364" s="1" t="s">
        <v>29619</v>
      </c>
      <c r="B18364" s="2" t="s">
        <v>26498</v>
      </c>
      <c r="C18364" s="1" t="s">
        <v>5658</v>
      </c>
      <c r="D18364" s="1" t="s">
        <v>5659</v>
      </c>
    </row>
    <row r="18365">
      <c r="A18365" s="1" t="s">
        <v>29620</v>
      </c>
      <c r="B18365" s="2" t="s">
        <v>26500</v>
      </c>
      <c r="C18365" s="1" t="s">
        <v>5658</v>
      </c>
      <c r="D18365" s="1" t="s">
        <v>5659</v>
      </c>
    </row>
    <row r="18366">
      <c r="A18366" s="1" t="s">
        <v>29621</v>
      </c>
      <c r="B18366" s="2" t="s">
        <v>26502</v>
      </c>
      <c r="C18366" s="1" t="s">
        <v>5658</v>
      </c>
      <c r="D18366" s="1" t="s">
        <v>5659</v>
      </c>
    </row>
    <row r="18367">
      <c r="A18367" s="1" t="s">
        <v>29622</v>
      </c>
      <c r="B18367" s="2" t="s">
        <v>26504</v>
      </c>
      <c r="C18367" s="1" t="s">
        <v>5658</v>
      </c>
      <c r="D18367" s="1" t="s">
        <v>5659</v>
      </c>
    </row>
    <row r="18368">
      <c r="A18368" s="1" t="s">
        <v>29623</v>
      </c>
      <c r="B18368" s="2" t="s">
        <v>26506</v>
      </c>
      <c r="C18368" s="1" t="s">
        <v>5658</v>
      </c>
      <c r="D18368" s="1" t="s">
        <v>5659</v>
      </c>
    </row>
    <row r="18369">
      <c r="A18369" s="1" t="s">
        <v>29624</v>
      </c>
      <c r="B18369" s="2" t="s">
        <v>26508</v>
      </c>
      <c r="C18369" s="1" t="s">
        <v>5658</v>
      </c>
      <c r="D18369" s="1" t="s">
        <v>5659</v>
      </c>
    </row>
    <row r="18370">
      <c r="A18370" s="1" t="s">
        <v>29625</v>
      </c>
      <c r="B18370" s="2" t="s">
        <v>26510</v>
      </c>
      <c r="C18370" s="1" t="s">
        <v>5658</v>
      </c>
      <c r="D18370" s="1" t="s">
        <v>5659</v>
      </c>
    </row>
    <row r="18371">
      <c r="A18371" s="1" t="s">
        <v>29626</v>
      </c>
      <c r="B18371" s="2" t="s">
        <v>26512</v>
      </c>
      <c r="C18371" s="1" t="s">
        <v>5658</v>
      </c>
      <c r="D18371" s="1" t="s">
        <v>5659</v>
      </c>
    </row>
    <row r="18372">
      <c r="A18372" s="1" t="s">
        <v>29627</v>
      </c>
      <c r="B18372" s="2" t="s">
        <v>26514</v>
      </c>
      <c r="C18372" s="1" t="s">
        <v>5658</v>
      </c>
      <c r="D18372" s="1" t="s">
        <v>5659</v>
      </c>
    </row>
    <row r="18373">
      <c r="A18373" s="1" t="s">
        <v>29628</v>
      </c>
      <c r="B18373" s="2" t="s">
        <v>26516</v>
      </c>
      <c r="C18373" s="1" t="s">
        <v>5658</v>
      </c>
      <c r="D18373" s="1" t="s">
        <v>5659</v>
      </c>
    </row>
    <row r="18374">
      <c r="A18374" s="1" t="s">
        <v>29629</v>
      </c>
      <c r="B18374" s="2" t="s">
        <v>26518</v>
      </c>
      <c r="C18374" s="1" t="s">
        <v>5658</v>
      </c>
      <c r="D18374" s="1" t="s">
        <v>5659</v>
      </c>
    </row>
    <row r="18375">
      <c r="A18375" s="1" t="s">
        <v>29630</v>
      </c>
      <c r="B18375" s="2" t="s">
        <v>26520</v>
      </c>
      <c r="C18375" s="1" t="s">
        <v>5658</v>
      </c>
      <c r="D18375" s="1" t="s">
        <v>5659</v>
      </c>
    </row>
    <row r="18376">
      <c r="A18376" s="1" t="s">
        <v>29631</v>
      </c>
      <c r="B18376" s="2" t="s">
        <v>26522</v>
      </c>
      <c r="C18376" s="1" t="s">
        <v>5658</v>
      </c>
      <c r="D18376" s="1" t="s">
        <v>5659</v>
      </c>
    </row>
    <row r="18377">
      <c r="A18377" s="1" t="s">
        <v>29632</v>
      </c>
      <c r="B18377" s="2" t="s">
        <v>26524</v>
      </c>
      <c r="C18377" s="1" t="s">
        <v>5658</v>
      </c>
      <c r="D18377" s="1" t="s">
        <v>5659</v>
      </c>
    </row>
    <row r="18378">
      <c r="A18378" s="1" t="s">
        <v>29633</v>
      </c>
      <c r="B18378" s="2" t="s">
        <v>26526</v>
      </c>
      <c r="C18378" s="1" t="s">
        <v>5658</v>
      </c>
      <c r="D18378" s="1" t="s">
        <v>5659</v>
      </c>
    </row>
    <row r="18379">
      <c r="A18379" s="1" t="s">
        <v>29634</v>
      </c>
      <c r="B18379" s="2" t="s">
        <v>26528</v>
      </c>
      <c r="C18379" s="1" t="s">
        <v>5658</v>
      </c>
      <c r="D18379" s="1" t="s">
        <v>5659</v>
      </c>
    </row>
    <row r="18380">
      <c r="A18380" s="1" t="s">
        <v>29635</v>
      </c>
      <c r="B18380" s="2" t="s">
        <v>26530</v>
      </c>
      <c r="C18380" s="1" t="s">
        <v>5658</v>
      </c>
      <c r="D18380" s="1" t="s">
        <v>5659</v>
      </c>
    </row>
    <row r="18381">
      <c r="A18381" s="1" t="s">
        <v>29636</v>
      </c>
      <c r="B18381" s="2" t="s">
        <v>26532</v>
      </c>
      <c r="C18381" s="1" t="s">
        <v>5658</v>
      </c>
      <c r="D18381" s="1" t="s">
        <v>5659</v>
      </c>
    </row>
    <row r="18382">
      <c r="A18382" s="1" t="s">
        <v>29637</v>
      </c>
      <c r="B18382" s="2" t="s">
        <v>26534</v>
      </c>
      <c r="C18382" s="1" t="s">
        <v>5658</v>
      </c>
      <c r="D18382" s="1" t="s">
        <v>5659</v>
      </c>
    </row>
    <row r="18383">
      <c r="A18383" s="1" t="s">
        <v>29638</v>
      </c>
      <c r="B18383" s="2" t="s">
        <v>26536</v>
      </c>
      <c r="C18383" s="1" t="s">
        <v>5658</v>
      </c>
      <c r="D18383" s="1" t="s">
        <v>5659</v>
      </c>
    </row>
    <row r="18384">
      <c r="A18384" s="1" t="s">
        <v>29639</v>
      </c>
      <c r="B18384" s="2" t="s">
        <v>26538</v>
      </c>
      <c r="C18384" s="1" t="s">
        <v>5658</v>
      </c>
      <c r="D18384" s="1" t="s">
        <v>5659</v>
      </c>
    </row>
    <row r="18385">
      <c r="A18385" s="1" t="s">
        <v>29640</v>
      </c>
      <c r="B18385" s="2" t="s">
        <v>26540</v>
      </c>
      <c r="C18385" s="1" t="s">
        <v>5658</v>
      </c>
      <c r="D18385" s="1" t="s">
        <v>5659</v>
      </c>
    </row>
    <row r="18386">
      <c r="A18386" s="1" t="s">
        <v>29641</v>
      </c>
      <c r="B18386" s="2" t="s">
        <v>26542</v>
      </c>
      <c r="C18386" s="1" t="s">
        <v>5658</v>
      </c>
      <c r="D18386" s="1" t="s">
        <v>5659</v>
      </c>
    </row>
    <row r="18387">
      <c r="A18387" s="1" t="s">
        <v>29642</v>
      </c>
      <c r="B18387" s="2" t="s">
        <v>26544</v>
      </c>
      <c r="C18387" s="1" t="s">
        <v>5658</v>
      </c>
      <c r="D18387" s="1" t="s">
        <v>5659</v>
      </c>
    </row>
    <row r="18388">
      <c r="A18388" s="1" t="s">
        <v>29643</v>
      </c>
      <c r="B18388" s="2" t="s">
        <v>26546</v>
      </c>
      <c r="C18388" s="1" t="s">
        <v>5658</v>
      </c>
      <c r="D18388" s="1" t="s">
        <v>5659</v>
      </c>
    </row>
    <row r="18389">
      <c r="A18389" s="1" t="s">
        <v>29644</v>
      </c>
      <c r="B18389" s="2" t="s">
        <v>26548</v>
      </c>
      <c r="C18389" s="1" t="s">
        <v>5658</v>
      </c>
      <c r="D18389" s="1" t="s">
        <v>5659</v>
      </c>
    </row>
    <row r="18390">
      <c r="A18390" s="1" t="s">
        <v>29645</v>
      </c>
      <c r="B18390" s="2" t="s">
        <v>26550</v>
      </c>
      <c r="C18390" s="1" t="s">
        <v>5658</v>
      </c>
      <c r="D18390" s="1" t="s">
        <v>5659</v>
      </c>
    </row>
    <row r="18391">
      <c r="A18391" s="1" t="s">
        <v>29646</v>
      </c>
      <c r="B18391" s="2" t="s">
        <v>26552</v>
      </c>
      <c r="C18391" s="1" t="s">
        <v>5658</v>
      </c>
      <c r="D18391" s="1" t="s">
        <v>5659</v>
      </c>
    </row>
    <row r="18392">
      <c r="A18392" s="1" t="s">
        <v>29647</v>
      </c>
      <c r="B18392" s="2" t="s">
        <v>26554</v>
      </c>
      <c r="C18392" s="1" t="s">
        <v>5658</v>
      </c>
      <c r="D18392" s="1" t="s">
        <v>5659</v>
      </c>
    </row>
    <row r="18393">
      <c r="A18393" s="1" t="s">
        <v>29648</v>
      </c>
      <c r="B18393" s="2" t="s">
        <v>26556</v>
      </c>
      <c r="C18393" s="1" t="s">
        <v>5658</v>
      </c>
      <c r="D18393" s="1" t="s">
        <v>5659</v>
      </c>
    </row>
    <row r="18394">
      <c r="A18394" s="1" t="s">
        <v>29649</v>
      </c>
      <c r="B18394" s="2" t="s">
        <v>26558</v>
      </c>
      <c r="C18394" s="1" t="s">
        <v>5658</v>
      </c>
      <c r="D18394" s="1" t="s">
        <v>5659</v>
      </c>
    </row>
    <row r="18395">
      <c r="A18395" s="1" t="s">
        <v>29650</v>
      </c>
      <c r="B18395" s="2" t="s">
        <v>26560</v>
      </c>
      <c r="C18395" s="1" t="s">
        <v>5658</v>
      </c>
      <c r="D18395" s="1" t="s">
        <v>5659</v>
      </c>
    </row>
    <row r="18396">
      <c r="A18396" s="1" t="s">
        <v>29651</v>
      </c>
      <c r="B18396" s="2" t="s">
        <v>26562</v>
      </c>
      <c r="C18396" s="1" t="s">
        <v>5658</v>
      </c>
      <c r="D18396" s="1" t="s">
        <v>5659</v>
      </c>
    </row>
    <row r="18397">
      <c r="A18397" s="1" t="s">
        <v>29652</v>
      </c>
      <c r="B18397" s="2" t="s">
        <v>26564</v>
      </c>
      <c r="C18397" s="1" t="s">
        <v>5658</v>
      </c>
      <c r="D18397" s="1" t="s">
        <v>5659</v>
      </c>
    </row>
    <row r="18398">
      <c r="A18398" s="1" t="s">
        <v>29653</v>
      </c>
      <c r="B18398" s="2" t="s">
        <v>26566</v>
      </c>
      <c r="C18398" s="1" t="s">
        <v>5658</v>
      </c>
      <c r="D18398" s="1" t="s">
        <v>5659</v>
      </c>
    </row>
    <row r="18399">
      <c r="A18399" s="1" t="s">
        <v>29654</v>
      </c>
      <c r="B18399" s="2" t="s">
        <v>26568</v>
      </c>
      <c r="C18399" s="1" t="s">
        <v>5658</v>
      </c>
      <c r="D18399" s="1" t="s">
        <v>5659</v>
      </c>
    </row>
    <row r="18400">
      <c r="A18400" s="1" t="s">
        <v>29655</v>
      </c>
      <c r="B18400" s="2" t="s">
        <v>26570</v>
      </c>
      <c r="C18400" s="1" t="s">
        <v>5658</v>
      </c>
      <c r="D18400" s="1" t="s">
        <v>5659</v>
      </c>
    </row>
    <row r="18401">
      <c r="A18401" s="1" t="s">
        <v>29656</v>
      </c>
      <c r="B18401" s="2" t="s">
        <v>26572</v>
      </c>
      <c r="C18401" s="1" t="s">
        <v>5658</v>
      </c>
      <c r="D18401" s="1" t="s">
        <v>5659</v>
      </c>
    </row>
    <row r="18402">
      <c r="A18402" s="1" t="s">
        <v>29657</v>
      </c>
      <c r="B18402" s="2" t="s">
        <v>26574</v>
      </c>
      <c r="C18402" s="1" t="s">
        <v>5658</v>
      </c>
      <c r="D18402" s="1" t="s">
        <v>5659</v>
      </c>
    </row>
    <row r="18403">
      <c r="A18403" s="1" t="s">
        <v>29658</v>
      </c>
      <c r="B18403" s="2" t="s">
        <v>26576</v>
      </c>
      <c r="C18403" s="1" t="s">
        <v>5658</v>
      </c>
      <c r="D18403" s="1" t="s">
        <v>5659</v>
      </c>
    </row>
    <row r="18404">
      <c r="A18404" s="1" t="s">
        <v>29659</v>
      </c>
      <c r="B18404" s="2" t="s">
        <v>26578</v>
      </c>
      <c r="C18404" s="1" t="s">
        <v>5658</v>
      </c>
      <c r="D18404" s="1" t="s">
        <v>5659</v>
      </c>
    </row>
    <row r="18405">
      <c r="A18405" s="1" t="s">
        <v>29660</v>
      </c>
      <c r="B18405" s="2" t="s">
        <v>26580</v>
      </c>
      <c r="C18405" s="1" t="s">
        <v>5658</v>
      </c>
      <c r="D18405" s="1" t="s">
        <v>5659</v>
      </c>
    </row>
    <row r="18406">
      <c r="A18406" s="1" t="s">
        <v>29661</v>
      </c>
      <c r="B18406" s="2" t="s">
        <v>26582</v>
      </c>
      <c r="C18406" s="1" t="s">
        <v>5658</v>
      </c>
      <c r="D18406" s="1" t="s">
        <v>5659</v>
      </c>
    </row>
    <row r="18407">
      <c r="A18407" s="1" t="s">
        <v>29662</v>
      </c>
      <c r="B18407" s="2" t="s">
        <v>26584</v>
      </c>
      <c r="C18407" s="1" t="s">
        <v>5658</v>
      </c>
      <c r="D18407" s="1" t="s">
        <v>5659</v>
      </c>
    </row>
    <row r="18408">
      <c r="A18408" s="1" t="s">
        <v>29663</v>
      </c>
      <c r="B18408" s="2" t="s">
        <v>26586</v>
      </c>
      <c r="C18408" s="1" t="s">
        <v>5658</v>
      </c>
      <c r="D18408" s="1" t="s">
        <v>5659</v>
      </c>
    </row>
    <row r="18409">
      <c r="A18409" s="1" t="s">
        <v>29664</v>
      </c>
      <c r="B18409" s="2" t="s">
        <v>26588</v>
      </c>
      <c r="C18409" s="1" t="s">
        <v>5658</v>
      </c>
      <c r="D18409" s="1" t="s">
        <v>5659</v>
      </c>
    </row>
    <row r="18410">
      <c r="A18410" s="1" t="s">
        <v>29665</v>
      </c>
      <c r="B18410" s="2" t="s">
        <v>26590</v>
      </c>
      <c r="C18410" s="1" t="s">
        <v>5658</v>
      </c>
      <c r="D18410" s="1" t="s">
        <v>5659</v>
      </c>
    </row>
    <row r="18411">
      <c r="A18411" s="1" t="s">
        <v>29666</v>
      </c>
      <c r="B18411" s="2" t="s">
        <v>26592</v>
      </c>
      <c r="C18411" s="1" t="s">
        <v>5658</v>
      </c>
      <c r="D18411" s="1" t="s">
        <v>5659</v>
      </c>
    </row>
    <row r="18412">
      <c r="A18412" s="1" t="s">
        <v>29667</v>
      </c>
      <c r="B18412" s="2" t="s">
        <v>26594</v>
      </c>
      <c r="C18412" s="1" t="s">
        <v>5658</v>
      </c>
      <c r="D18412" s="1" t="s">
        <v>5659</v>
      </c>
    </row>
    <row r="18413">
      <c r="A18413" s="1" t="s">
        <v>29668</v>
      </c>
      <c r="B18413" s="2" t="s">
        <v>26596</v>
      </c>
      <c r="C18413" s="1" t="s">
        <v>5658</v>
      </c>
      <c r="D18413" s="1" t="s">
        <v>5659</v>
      </c>
    </row>
    <row r="18414">
      <c r="A18414" s="1" t="s">
        <v>29669</v>
      </c>
      <c r="B18414" s="2" t="s">
        <v>26598</v>
      </c>
      <c r="C18414" s="1" t="s">
        <v>5658</v>
      </c>
      <c r="D18414" s="1" t="s">
        <v>5659</v>
      </c>
    </row>
    <row r="18415">
      <c r="A18415" s="1" t="s">
        <v>29670</v>
      </c>
      <c r="B18415" s="2" t="s">
        <v>26600</v>
      </c>
      <c r="C18415" s="1" t="s">
        <v>5658</v>
      </c>
      <c r="D18415" s="1" t="s">
        <v>5659</v>
      </c>
    </row>
    <row r="18416">
      <c r="A18416" s="1" t="s">
        <v>29671</v>
      </c>
      <c r="B18416" s="2" t="s">
        <v>26602</v>
      </c>
      <c r="C18416" s="1" t="s">
        <v>5658</v>
      </c>
      <c r="D18416" s="1" t="s">
        <v>5659</v>
      </c>
    </row>
    <row r="18417">
      <c r="A18417" s="1" t="s">
        <v>29672</v>
      </c>
      <c r="B18417" s="2" t="s">
        <v>26604</v>
      </c>
      <c r="C18417" s="1" t="s">
        <v>5658</v>
      </c>
      <c r="D18417" s="1" t="s">
        <v>5659</v>
      </c>
    </row>
    <row r="18418">
      <c r="A18418" s="1" t="s">
        <v>29673</v>
      </c>
      <c r="B18418" s="2" t="s">
        <v>26606</v>
      </c>
      <c r="C18418" s="1" t="s">
        <v>5658</v>
      </c>
      <c r="D18418" s="1" t="s">
        <v>5659</v>
      </c>
    </row>
    <row r="18419">
      <c r="A18419" s="1" t="s">
        <v>29674</v>
      </c>
      <c r="B18419" s="2" t="s">
        <v>26608</v>
      </c>
      <c r="C18419" s="1" t="s">
        <v>5658</v>
      </c>
      <c r="D18419" s="1" t="s">
        <v>5659</v>
      </c>
    </row>
    <row r="18420">
      <c r="A18420" s="1" t="s">
        <v>29675</v>
      </c>
      <c r="B18420" s="2" t="s">
        <v>26610</v>
      </c>
      <c r="C18420" s="1" t="s">
        <v>5658</v>
      </c>
      <c r="D18420" s="1" t="s">
        <v>5659</v>
      </c>
    </row>
    <row r="18421">
      <c r="A18421" s="1" t="s">
        <v>29676</v>
      </c>
      <c r="B18421" s="2" t="s">
        <v>26612</v>
      </c>
      <c r="C18421" s="1" t="s">
        <v>5658</v>
      </c>
      <c r="D18421" s="1" t="s">
        <v>5659</v>
      </c>
    </row>
    <row r="18422">
      <c r="A18422" s="1" t="s">
        <v>29677</v>
      </c>
      <c r="B18422" s="2" t="s">
        <v>26614</v>
      </c>
      <c r="C18422" s="1" t="s">
        <v>5658</v>
      </c>
      <c r="D18422" s="1" t="s">
        <v>5659</v>
      </c>
    </row>
    <row r="18423">
      <c r="A18423" s="1" t="s">
        <v>29678</v>
      </c>
      <c r="B18423" s="2" t="s">
        <v>26616</v>
      </c>
      <c r="C18423" s="1" t="s">
        <v>5658</v>
      </c>
      <c r="D18423" s="1" t="s">
        <v>5659</v>
      </c>
    </row>
    <row r="18424">
      <c r="A18424" s="1" t="s">
        <v>29679</v>
      </c>
      <c r="B18424" s="2" t="s">
        <v>26618</v>
      </c>
      <c r="C18424" s="1" t="s">
        <v>5658</v>
      </c>
      <c r="D18424" s="1" t="s">
        <v>5659</v>
      </c>
    </row>
    <row r="18425">
      <c r="A18425" s="1" t="s">
        <v>29680</v>
      </c>
      <c r="B18425" s="2" t="s">
        <v>26620</v>
      </c>
      <c r="C18425" s="1" t="s">
        <v>5658</v>
      </c>
      <c r="D18425" s="1" t="s">
        <v>5659</v>
      </c>
    </row>
    <row r="18426">
      <c r="A18426" s="1" t="s">
        <v>29681</v>
      </c>
      <c r="B18426" s="2" t="s">
        <v>26622</v>
      </c>
      <c r="C18426" s="1" t="s">
        <v>5658</v>
      </c>
      <c r="D18426" s="1" t="s">
        <v>5659</v>
      </c>
    </row>
    <row r="18427">
      <c r="A18427" s="1" t="s">
        <v>29682</v>
      </c>
      <c r="B18427" s="2" t="s">
        <v>26624</v>
      </c>
      <c r="C18427" s="1" t="s">
        <v>5658</v>
      </c>
      <c r="D18427" s="1" t="s">
        <v>5659</v>
      </c>
    </row>
    <row r="18428">
      <c r="A18428" s="1" t="s">
        <v>29683</v>
      </c>
      <c r="B18428" s="2" t="s">
        <v>26626</v>
      </c>
      <c r="C18428" s="1" t="s">
        <v>5658</v>
      </c>
      <c r="D18428" s="1" t="s">
        <v>5659</v>
      </c>
    </row>
    <row r="18429">
      <c r="A18429" s="1" t="s">
        <v>29684</v>
      </c>
      <c r="B18429" s="2" t="s">
        <v>26628</v>
      </c>
      <c r="C18429" s="1" t="s">
        <v>5658</v>
      </c>
      <c r="D18429" s="1" t="s">
        <v>5659</v>
      </c>
    </row>
    <row r="18430">
      <c r="A18430" s="1" t="s">
        <v>29685</v>
      </c>
      <c r="B18430" s="2" t="s">
        <v>26630</v>
      </c>
      <c r="C18430" s="1" t="s">
        <v>5658</v>
      </c>
      <c r="D18430" s="1" t="s">
        <v>5659</v>
      </c>
    </row>
    <row r="18431">
      <c r="A18431" s="1" t="s">
        <v>29686</v>
      </c>
      <c r="B18431" s="2" t="s">
        <v>26632</v>
      </c>
      <c r="C18431" s="1" t="s">
        <v>5658</v>
      </c>
      <c r="D18431" s="1" t="s">
        <v>5659</v>
      </c>
    </row>
    <row r="18432">
      <c r="A18432" s="1" t="s">
        <v>29687</v>
      </c>
      <c r="B18432" s="2" t="s">
        <v>26634</v>
      </c>
      <c r="C18432" s="1" t="s">
        <v>5658</v>
      </c>
      <c r="D18432" s="1" t="s">
        <v>5659</v>
      </c>
    </row>
    <row r="18433">
      <c r="A18433" s="1" t="s">
        <v>29688</v>
      </c>
      <c r="B18433" s="2" t="s">
        <v>26636</v>
      </c>
      <c r="C18433" s="1" t="s">
        <v>5658</v>
      </c>
      <c r="D18433" s="1" t="s">
        <v>5659</v>
      </c>
    </row>
    <row r="18434">
      <c r="A18434" s="1" t="s">
        <v>29689</v>
      </c>
      <c r="B18434" s="2" t="s">
        <v>26638</v>
      </c>
      <c r="C18434" s="1" t="s">
        <v>5658</v>
      </c>
      <c r="D18434" s="1" t="s">
        <v>5659</v>
      </c>
    </row>
    <row r="18435">
      <c r="A18435" s="1" t="s">
        <v>29690</v>
      </c>
      <c r="B18435" s="2" t="s">
        <v>26640</v>
      </c>
      <c r="C18435" s="1" t="s">
        <v>5658</v>
      </c>
      <c r="D18435" s="1" t="s">
        <v>5659</v>
      </c>
    </row>
    <row r="18436">
      <c r="A18436" s="1" t="s">
        <v>29691</v>
      </c>
      <c r="B18436" s="2" t="s">
        <v>26642</v>
      </c>
      <c r="C18436" s="1" t="s">
        <v>5658</v>
      </c>
      <c r="D18436" s="1" t="s">
        <v>5659</v>
      </c>
    </row>
    <row r="18437">
      <c r="A18437" s="1" t="s">
        <v>29692</v>
      </c>
      <c r="B18437" s="2" t="s">
        <v>26644</v>
      </c>
      <c r="C18437" s="1" t="s">
        <v>5658</v>
      </c>
      <c r="D18437" s="1" t="s">
        <v>5659</v>
      </c>
    </row>
    <row r="18438">
      <c r="A18438" s="1" t="s">
        <v>29693</v>
      </c>
      <c r="B18438" s="2" t="s">
        <v>26646</v>
      </c>
      <c r="C18438" s="1" t="s">
        <v>5658</v>
      </c>
      <c r="D18438" s="1" t="s">
        <v>5659</v>
      </c>
    </row>
    <row r="18439">
      <c r="A18439" s="1" t="s">
        <v>29694</v>
      </c>
      <c r="B18439" s="2" t="s">
        <v>26648</v>
      </c>
      <c r="C18439" s="1" t="s">
        <v>5658</v>
      </c>
      <c r="D18439" s="1" t="s">
        <v>5659</v>
      </c>
    </row>
    <row r="18440">
      <c r="A18440" s="1" t="s">
        <v>29695</v>
      </c>
      <c r="B18440" s="2" t="s">
        <v>26650</v>
      </c>
      <c r="C18440" s="1" t="s">
        <v>5658</v>
      </c>
      <c r="D18440" s="1" t="s">
        <v>5659</v>
      </c>
    </row>
    <row r="18441">
      <c r="A18441" s="1" t="s">
        <v>29696</v>
      </c>
      <c r="B18441" s="2" t="s">
        <v>26652</v>
      </c>
      <c r="C18441" s="1" t="s">
        <v>5658</v>
      </c>
      <c r="D18441" s="1" t="s">
        <v>5659</v>
      </c>
    </row>
    <row r="18442">
      <c r="A18442" s="1" t="s">
        <v>29697</v>
      </c>
      <c r="B18442" s="2" t="s">
        <v>26654</v>
      </c>
      <c r="C18442" s="1" t="s">
        <v>5658</v>
      </c>
      <c r="D18442" s="1" t="s">
        <v>5659</v>
      </c>
    </row>
    <row r="18443">
      <c r="A18443" s="1" t="s">
        <v>29698</v>
      </c>
      <c r="B18443" s="2" t="s">
        <v>26656</v>
      </c>
      <c r="C18443" s="1" t="s">
        <v>5658</v>
      </c>
      <c r="D18443" s="1" t="s">
        <v>5659</v>
      </c>
    </row>
    <row r="18444">
      <c r="A18444" s="1" t="s">
        <v>29699</v>
      </c>
      <c r="B18444" s="2" t="s">
        <v>26658</v>
      </c>
      <c r="C18444" s="1" t="s">
        <v>5658</v>
      </c>
      <c r="D18444" s="1" t="s">
        <v>5659</v>
      </c>
    </row>
    <row r="18445">
      <c r="A18445" s="1" t="s">
        <v>29700</v>
      </c>
      <c r="B18445" s="2" t="s">
        <v>26660</v>
      </c>
      <c r="C18445" s="1" t="s">
        <v>5658</v>
      </c>
      <c r="D18445" s="1" t="s">
        <v>5659</v>
      </c>
    </row>
    <row r="18446">
      <c r="A18446" s="1" t="s">
        <v>29701</v>
      </c>
      <c r="B18446" s="2" t="s">
        <v>26662</v>
      </c>
      <c r="C18446" s="1" t="s">
        <v>5658</v>
      </c>
      <c r="D18446" s="1" t="s">
        <v>5659</v>
      </c>
    </row>
    <row r="18447">
      <c r="A18447" s="1" t="s">
        <v>29702</v>
      </c>
      <c r="B18447" s="2" t="s">
        <v>26664</v>
      </c>
      <c r="C18447" s="1" t="s">
        <v>5658</v>
      </c>
      <c r="D18447" s="1" t="s">
        <v>5659</v>
      </c>
    </row>
    <row r="18448">
      <c r="A18448" s="1" t="s">
        <v>29703</v>
      </c>
      <c r="B18448" s="2" t="s">
        <v>26666</v>
      </c>
      <c r="C18448" s="1" t="s">
        <v>5658</v>
      </c>
      <c r="D18448" s="1" t="s">
        <v>5659</v>
      </c>
    </row>
    <row r="18449">
      <c r="A18449" s="1" t="s">
        <v>29704</v>
      </c>
      <c r="B18449" s="2" t="s">
        <v>26668</v>
      </c>
      <c r="C18449" s="1" t="s">
        <v>5658</v>
      </c>
      <c r="D18449" s="1" t="s">
        <v>5659</v>
      </c>
    </row>
    <row r="18450">
      <c r="A18450" s="1" t="s">
        <v>29705</v>
      </c>
      <c r="B18450" s="2" t="s">
        <v>26670</v>
      </c>
      <c r="C18450" s="1" t="s">
        <v>5658</v>
      </c>
      <c r="D18450" s="1" t="s">
        <v>5659</v>
      </c>
    </row>
    <row r="18451">
      <c r="A18451" s="1" t="s">
        <v>29706</v>
      </c>
      <c r="B18451" s="2" t="s">
        <v>26672</v>
      </c>
      <c r="C18451" s="1" t="s">
        <v>5658</v>
      </c>
      <c r="D18451" s="1" t="s">
        <v>5659</v>
      </c>
    </row>
    <row r="18452">
      <c r="A18452" s="1" t="s">
        <v>29707</v>
      </c>
      <c r="B18452" s="2" t="s">
        <v>26674</v>
      </c>
      <c r="C18452" s="1" t="s">
        <v>5658</v>
      </c>
      <c r="D18452" s="1" t="s">
        <v>5659</v>
      </c>
    </row>
    <row r="18453">
      <c r="A18453" s="1" t="s">
        <v>29708</v>
      </c>
      <c r="B18453" s="2" t="s">
        <v>26676</v>
      </c>
      <c r="C18453" s="1" t="s">
        <v>5658</v>
      </c>
      <c r="D18453" s="1" t="s">
        <v>5659</v>
      </c>
    </row>
    <row r="18454">
      <c r="A18454" s="1" t="s">
        <v>29709</v>
      </c>
      <c r="B18454" s="2" t="s">
        <v>26678</v>
      </c>
      <c r="C18454" s="1" t="s">
        <v>5658</v>
      </c>
      <c r="D18454" s="1" t="s">
        <v>5659</v>
      </c>
    </row>
    <row r="18455">
      <c r="A18455" s="1" t="s">
        <v>29710</v>
      </c>
      <c r="B18455" s="2" t="s">
        <v>26680</v>
      </c>
      <c r="C18455" s="1" t="s">
        <v>5658</v>
      </c>
      <c r="D18455" s="1" t="s">
        <v>5659</v>
      </c>
    </row>
    <row r="18456">
      <c r="A18456" s="1" t="s">
        <v>29711</v>
      </c>
      <c r="B18456" s="2" t="s">
        <v>26682</v>
      </c>
      <c r="C18456" s="1" t="s">
        <v>5658</v>
      </c>
      <c r="D18456" s="1" t="s">
        <v>5659</v>
      </c>
    </row>
    <row r="18457">
      <c r="A18457" s="1" t="s">
        <v>29712</v>
      </c>
      <c r="B18457" s="2" t="s">
        <v>26684</v>
      </c>
      <c r="C18457" s="1" t="s">
        <v>5658</v>
      </c>
      <c r="D18457" s="1" t="s">
        <v>5659</v>
      </c>
    </row>
    <row r="18458">
      <c r="A18458" s="1" t="s">
        <v>29713</v>
      </c>
      <c r="B18458" s="2" t="s">
        <v>26686</v>
      </c>
      <c r="C18458" s="1" t="s">
        <v>5658</v>
      </c>
      <c r="D18458" s="1" t="s">
        <v>5659</v>
      </c>
    </row>
    <row r="18459">
      <c r="A18459" s="1" t="s">
        <v>29714</v>
      </c>
      <c r="B18459" s="2" t="s">
        <v>26688</v>
      </c>
      <c r="C18459" s="1" t="s">
        <v>5658</v>
      </c>
      <c r="D18459" s="1" t="s">
        <v>5659</v>
      </c>
    </row>
    <row r="18460">
      <c r="A18460" s="1" t="s">
        <v>29715</v>
      </c>
      <c r="B18460" s="2" t="s">
        <v>26690</v>
      </c>
      <c r="C18460" s="1" t="s">
        <v>5658</v>
      </c>
      <c r="D18460" s="1" t="s">
        <v>5659</v>
      </c>
    </row>
    <row r="18461">
      <c r="A18461" s="1" t="s">
        <v>29716</v>
      </c>
      <c r="B18461" s="2" t="s">
        <v>26692</v>
      </c>
      <c r="C18461" s="1" t="s">
        <v>5658</v>
      </c>
      <c r="D18461" s="1" t="s">
        <v>5659</v>
      </c>
    </row>
    <row r="18462">
      <c r="A18462" s="1" t="s">
        <v>29717</v>
      </c>
      <c r="B18462" s="2" t="s">
        <v>26694</v>
      </c>
      <c r="C18462" s="1" t="s">
        <v>5658</v>
      </c>
      <c r="D18462" s="1" t="s">
        <v>5659</v>
      </c>
    </row>
    <row r="18463">
      <c r="A18463" s="1" t="s">
        <v>29718</v>
      </c>
      <c r="B18463" s="2" t="s">
        <v>26696</v>
      </c>
      <c r="C18463" s="1" t="s">
        <v>5658</v>
      </c>
      <c r="D18463" s="1" t="s">
        <v>5659</v>
      </c>
    </row>
    <row r="18464">
      <c r="A18464" s="1" t="s">
        <v>29719</v>
      </c>
      <c r="B18464" s="2" t="s">
        <v>26698</v>
      </c>
      <c r="C18464" s="1" t="s">
        <v>5658</v>
      </c>
      <c r="D18464" s="1" t="s">
        <v>5659</v>
      </c>
    </row>
    <row r="18465">
      <c r="A18465" s="1" t="s">
        <v>29720</v>
      </c>
      <c r="B18465" s="2" t="s">
        <v>26700</v>
      </c>
      <c r="C18465" s="1" t="s">
        <v>5658</v>
      </c>
      <c r="D18465" s="1" t="s">
        <v>5659</v>
      </c>
    </row>
    <row r="18466">
      <c r="A18466" s="1" t="s">
        <v>29721</v>
      </c>
      <c r="B18466" s="2" t="s">
        <v>26702</v>
      </c>
      <c r="C18466" s="1" t="s">
        <v>5658</v>
      </c>
      <c r="D18466" s="1" t="s">
        <v>5659</v>
      </c>
    </row>
    <row r="18467">
      <c r="A18467" s="1" t="s">
        <v>29722</v>
      </c>
      <c r="B18467" s="2" t="s">
        <v>26704</v>
      </c>
      <c r="C18467" s="1" t="s">
        <v>5658</v>
      </c>
      <c r="D18467" s="1" t="s">
        <v>5659</v>
      </c>
    </row>
    <row r="18468">
      <c r="A18468" s="1" t="s">
        <v>29723</v>
      </c>
      <c r="B18468" s="2" t="s">
        <v>26706</v>
      </c>
      <c r="C18468" s="1" t="s">
        <v>5658</v>
      </c>
      <c r="D18468" s="1" t="s">
        <v>5659</v>
      </c>
    </row>
    <row r="18469">
      <c r="A18469" s="1" t="s">
        <v>29724</v>
      </c>
      <c r="B18469" s="2" t="s">
        <v>26708</v>
      </c>
      <c r="C18469" s="1" t="s">
        <v>5658</v>
      </c>
      <c r="D18469" s="1" t="s">
        <v>5659</v>
      </c>
    </row>
    <row r="18470">
      <c r="A18470" s="1" t="s">
        <v>29725</v>
      </c>
      <c r="B18470" s="2" t="s">
        <v>26710</v>
      </c>
      <c r="C18470" s="1" t="s">
        <v>5658</v>
      </c>
      <c r="D18470" s="1" t="s">
        <v>5659</v>
      </c>
    </row>
    <row r="18471">
      <c r="A18471" s="1" t="s">
        <v>29726</v>
      </c>
      <c r="B18471" s="2" t="s">
        <v>26712</v>
      </c>
      <c r="C18471" s="1" t="s">
        <v>5658</v>
      </c>
      <c r="D18471" s="1" t="s">
        <v>5659</v>
      </c>
    </row>
    <row r="18472">
      <c r="A18472" s="1" t="s">
        <v>29727</v>
      </c>
      <c r="B18472" s="2" t="s">
        <v>26714</v>
      </c>
      <c r="C18472" s="1" t="s">
        <v>5658</v>
      </c>
      <c r="D18472" s="1" t="s">
        <v>5659</v>
      </c>
    </row>
    <row r="18473">
      <c r="A18473" s="1" t="s">
        <v>29728</v>
      </c>
      <c r="B18473" s="2" t="s">
        <v>26716</v>
      </c>
      <c r="C18473" s="1" t="s">
        <v>5658</v>
      </c>
      <c r="D18473" s="1" t="s">
        <v>5659</v>
      </c>
    </row>
    <row r="18474">
      <c r="A18474" s="1" t="s">
        <v>29729</v>
      </c>
      <c r="B18474" s="2" t="s">
        <v>26718</v>
      </c>
      <c r="C18474" s="1" t="s">
        <v>5658</v>
      </c>
      <c r="D18474" s="1" t="s">
        <v>5659</v>
      </c>
    </row>
    <row r="18475">
      <c r="A18475" s="1" t="s">
        <v>29730</v>
      </c>
      <c r="B18475" s="2" t="s">
        <v>26720</v>
      </c>
      <c r="C18475" s="1" t="s">
        <v>5658</v>
      </c>
      <c r="D18475" s="1" t="s">
        <v>5659</v>
      </c>
    </row>
    <row r="18476">
      <c r="A18476" s="1" t="s">
        <v>29731</v>
      </c>
      <c r="B18476" s="2" t="s">
        <v>26722</v>
      </c>
      <c r="C18476" s="1" t="s">
        <v>5658</v>
      </c>
      <c r="D18476" s="1" t="s">
        <v>5659</v>
      </c>
    </row>
    <row r="18477">
      <c r="A18477" s="1" t="s">
        <v>29732</v>
      </c>
      <c r="B18477" s="2" t="s">
        <v>26724</v>
      </c>
      <c r="C18477" s="1" t="s">
        <v>5658</v>
      </c>
      <c r="D18477" s="1" t="s">
        <v>5659</v>
      </c>
    </row>
    <row r="18478">
      <c r="A18478" s="1" t="s">
        <v>29733</v>
      </c>
      <c r="B18478" s="2" t="s">
        <v>26726</v>
      </c>
      <c r="C18478" s="1" t="s">
        <v>5658</v>
      </c>
      <c r="D18478" s="1" t="s">
        <v>5659</v>
      </c>
    </row>
    <row r="18479">
      <c r="A18479" s="1" t="s">
        <v>29734</v>
      </c>
      <c r="B18479" s="2" t="s">
        <v>26728</v>
      </c>
      <c r="C18479" s="1" t="s">
        <v>5658</v>
      </c>
      <c r="D18479" s="1" t="s">
        <v>5659</v>
      </c>
    </row>
    <row r="18480">
      <c r="A18480" s="1" t="s">
        <v>29735</v>
      </c>
      <c r="B18480" s="2" t="s">
        <v>26730</v>
      </c>
      <c r="C18480" s="1" t="s">
        <v>5658</v>
      </c>
      <c r="D18480" s="1" t="s">
        <v>5659</v>
      </c>
    </row>
    <row r="18481">
      <c r="A18481" s="1" t="s">
        <v>29736</v>
      </c>
      <c r="B18481" s="2" t="s">
        <v>26732</v>
      </c>
      <c r="C18481" s="1" t="s">
        <v>5658</v>
      </c>
      <c r="D18481" s="1" t="s">
        <v>5659</v>
      </c>
    </row>
    <row r="18482">
      <c r="A18482" s="1" t="s">
        <v>29737</v>
      </c>
      <c r="B18482" s="2" t="s">
        <v>26734</v>
      </c>
      <c r="C18482" s="1" t="s">
        <v>5658</v>
      </c>
      <c r="D18482" s="1" t="s">
        <v>5659</v>
      </c>
    </row>
    <row r="18483">
      <c r="A18483" s="1" t="s">
        <v>29738</v>
      </c>
      <c r="B18483" s="2" t="s">
        <v>26736</v>
      </c>
      <c r="C18483" s="1" t="s">
        <v>5658</v>
      </c>
      <c r="D18483" s="1" t="s">
        <v>5659</v>
      </c>
    </row>
    <row r="18484">
      <c r="A18484" s="1" t="s">
        <v>29739</v>
      </c>
      <c r="B18484" s="2" t="s">
        <v>26738</v>
      </c>
      <c r="C18484" s="1" t="s">
        <v>5658</v>
      </c>
      <c r="D18484" s="1" t="s">
        <v>5659</v>
      </c>
    </row>
    <row r="18485">
      <c r="A18485" s="1" t="s">
        <v>29740</v>
      </c>
      <c r="B18485" s="2" t="s">
        <v>26740</v>
      </c>
      <c r="C18485" s="1" t="s">
        <v>5658</v>
      </c>
      <c r="D18485" s="1" t="s">
        <v>5659</v>
      </c>
    </row>
    <row r="18486">
      <c r="A18486" s="1" t="s">
        <v>29741</v>
      </c>
      <c r="B18486" s="2" t="s">
        <v>26742</v>
      </c>
      <c r="C18486" s="1" t="s">
        <v>5658</v>
      </c>
      <c r="D18486" s="1" t="s">
        <v>5659</v>
      </c>
    </row>
    <row r="18487">
      <c r="A18487" s="1" t="s">
        <v>29742</v>
      </c>
      <c r="B18487" s="2" t="s">
        <v>26744</v>
      </c>
      <c r="C18487" s="1" t="s">
        <v>5658</v>
      </c>
      <c r="D18487" s="1" t="s">
        <v>5659</v>
      </c>
    </row>
    <row r="18488">
      <c r="A18488" s="1" t="s">
        <v>29743</v>
      </c>
      <c r="B18488" s="2" t="s">
        <v>26746</v>
      </c>
      <c r="C18488" s="1" t="s">
        <v>5658</v>
      </c>
      <c r="D18488" s="1" t="s">
        <v>5659</v>
      </c>
    </row>
    <row r="18489">
      <c r="A18489" s="1" t="s">
        <v>29744</v>
      </c>
      <c r="B18489" s="2" t="s">
        <v>26748</v>
      </c>
      <c r="C18489" s="1" t="s">
        <v>5658</v>
      </c>
      <c r="D18489" s="1" t="s">
        <v>5659</v>
      </c>
    </row>
    <row r="18490">
      <c r="A18490" s="1" t="s">
        <v>29745</v>
      </c>
      <c r="B18490" s="2" t="s">
        <v>26750</v>
      </c>
      <c r="C18490" s="1" t="s">
        <v>5658</v>
      </c>
      <c r="D18490" s="1" t="s">
        <v>5659</v>
      </c>
    </row>
    <row r="18491">
      <c r="A18491" s="1" t="s">
        <v>29746</v>
      </c>
      <c r="B18491" s="2" t="s">
        <v>26752</v>
      </c>
      <c r="C18491" s="1" t="s">
        <v>5658</v>
      </c>
      <c r="D18491" s="1" t="s">
        <v>5659</v>
      </c>
    </row>
    <row r="18492">
      <c r="A18492" s="1" t="s">
        <v>29747</v>
      </c>
      <c r="B18492" s="2" t="s">
        <v>26754</v>
      </c>
      <c r="C18492" s="1" t="s">
        <v>5658</v>
      </c>
      <c r="D18492" s="1" t="s">
        <v>5659</v>
      </c>
    </row>
    <row r="18493">
      <c r="A18493" s="1" t="s">
        <v>29748</v>
      </c>
      <c r="B18493" s="2" t="s">
        <v>26756</v>
      </c>
      <c r="C18493" s="1" t="s">
        <v>5658</v>
      </c>
      <c r="D18493" s="1" t="s">
        <v>5659</v>
      </c>
    </row>
    <row r="18494">
      <c r="A18494" s="1" t="s">
        <v>29749</v>
      </c>
      <c r="B18494" s="2" t="s">
        <v>26758</v>
      </c>
      <c r="C18494" s="1" t="s">
        <v>5658</v>
      </c>
      <c r="D18494" s="1" t="s">
        <v>5659</v>
      </c>
    </row>
    <row r="18495">
      <c r="A18495" s="1" t="s">
        <v>29750</v>
      </c>
      <c r="B18495" s="2" t="s">
        <v>26760</v>
      </c>
      <c r="C18495" s="1" t="s">
        <v>5658</v>
      </c>
      <c r="D18495" s="1" t="s">
        <v>5659</v>
      </c>
    </row>
    <row r="18496">
      <c r="A18496" s="1" t="s">
        <v>29751</v>
      </c>
      <c r="B18496" s="2" t="s">
        <v>26762</v>
      </c>
      <c r="C18496" s="1" t="s">
        <v>5658</v>
      </c>
      <c r="D18496" s="1" t="s">
        <v>5659</v>
      </c>
    </row>
    <row r="18497">
      <c r="A18497" s="1" t="s">
        <v>29752</v>
      </c>
      <c r="B18497" s="2" t="s">
        <v>26764</v>
      </c>
      <c r="C18497" s="1" t="s">
        <v>5658</v>
      </c>
      <c r="D18497" s="1" t="s">
        <v>5659</v>
      </c>
    </row>
    <row r="18498">
      <c r="A18498" s="1" t="s">
        <v>29753</v>
      </c>
      <c r="B18498" s="2" t="s">
        <v>26766</v>
      </c>
      <c r="C18498" s="1" t="s">
        <v>5658</v>
      </c>
      <c r="D18498" s="1" t="s">
        <v>5659</v>
      </c>
    </row>
    <row r="18499">
      <c r="A18499" s="1" t="s">
        <v>29754</v>
      </c>
      <c r="B18499" s="2" t="s">
        <v>26768</v>
      </c>
      <c r="C18499" s="1" t="s">
        <v>5658</v>
      </c>
      <c r="D18499" s="1" t="s">
        <v>5659</v>
      </c>
    </row>
    <row r="18500">
      <c r="A18500" s="1" t="s">
        <v>29755</v>
      </c>
      <c r="B18500" s="2" t="s">
        <v>26770</v>
      </c>
      <c r="C18500" s="1" t="s">
        <v>5658</v>
      </c>
      <c r="D18500" s="1" t="s">
        <v>5659</v>
      </c>
    </row>
    <row r="18501">
      <c r="A18501" s="1" t="s">
        <v>29756</v>
      </c>
      <c r="B18501" s="2" t="s">
        <v>26772</v>
      </c>
      <c r="C18501" s="1" t="s">
        <v>5658</v>
      </c>
      <c r="D18501" s="1" t="s">
        <v>5659</v>
      </c>
    </row>
    <row r="18502">
      <c r="A18502" s="1" t="s">
        <v>29757</v>
      </c>
      <c r="B18502" s="2" t="s">
        <v>26774</v>
      </c>
      <c r="C18502" s="1" t="s">
        <v>5658</v>
      </c>
      <c r="D18502" s="1" t="s">
        <v>5659</v>
      </c>
    </row>
    <row r="18503">
      <c r="A18503" s="1" t="s">
        <v>29758</v>
      </c>
      <c r="B18503" s="2" t="s">
        <v>26776</v>
      </c>
      <c r="C18503" s="1" t="s">
        <v>5658</v>
      </c>
      <c r="D18503" s="1" t="s">
        <v>5659</v>
      </c>
    </row>
    <row r="18504">
      <c r="A18504" s="1" t="s">
        <v>29759</v>
      </c>
      <c r="B18504" s="2" t="s">
        <v>26778</v>
      </c>
      <c r="C18504" s="1" t="s">
        <v>5658</v>
      </c>
      <c r="D18504" s="1" t="s">
        <v>5659</v>
      </c>
    </row>
    <row r="18505">
      <c r="A18505" s="1" t="s">
        <v>29760</v>
      </c>
      <c r="B18505" s="2" t="s">
        <v>26780</v>
      </c>
      <c r="C18505" s="1" t="s">
        <v>5658</v>
      </c>
      <c r="D18505" s="1" t="s">
        <v>5659</v>
      </c>
    </row>
    <row r="18506">
      <c r="A18506" s="1" t="s">
        <v>29761</v>
      </c>
      <c r="B18506" s="2" t="s">
        <v>26782</v>
      </c>
      <c r="C18506" s="1" t="s">
        <v>5658</v>
      </c>
      <c r="D18506" s="1" t="s">
        <v>5659</v>
      </c>
    </row>
    <row r="18507">
      <c r="A18507" s="1" t="s">
        <v>29762</v>
      </c>
      <c r="B18507" s="2" t="s">
        <v>26784</v>
      </c>
      <c r="C18507" s="1" t="s">
        <v>5658</v>
      </c>
      <c r="D18507" s="1" t="s">
        <v>5659</v>
      </c>
    </row>
    <row r="18508">
      <c r="A18508" s="1" t="s">
        <v>29763</v>
      </c>
      <c r="B18508" s="2" t="s">
        <v>26786</v>
      </c>
      <c r="C18508" s="1" t="s">
        <v>5658</v>
      </c>
      <c r="D18508" s="1" t="s">
        <v>5659</v>
      </c>
    </row>
    <row r="18509">
      <c r="A18509" s="1" t="s">
        <v>29764</v>
      </c>
      <c r="B18509" s="2" t="s">
        <v>26788</v>
      </c>
      <c r="C18509" s="1" t="s">
        <v>5658</v>
      </c>
      <c r="D18509" s="1" t="s">
        <v>5659</v>
      </c>
    </row>
    <row r="18510">
      <c r="A18510" s="1" t="s">
        <v>29765</v>
      </c>
      <c r="B18510" s="2" t="s">
        <v>26790</v>
      </c>
      <c r="C18510" s="1" t="s">
        <v>5658</v>
      </c>
      <c r="D18510" s="1" t="s">
        <v>5659</v>
      </c>
    </row>
    <row r="18511">
      <c r="A18511" s="1" t="s">
        <v>29766</v>
      </c>
      <c r="B18511" s="2" t="s">
        <v>26792</v>
      </c>
      <c r="C18511" s="1" t="s">
        <v>5658</v>
      </c>
      <c r="D18511" s="1" t="s">
        <v>5659</v>
      </c>
    </row>
    <row r="18512">
      <c r="A18512" s="1" t="s">
        <v>29767</v>
      </c>
      <c r="B18512" s="2" t="s">
        <v>26794</v>
      </c>
      <c r="C18512" s="1" t="s">
        <v>5658</v>
      </c>
      <c r="D18512" s="1" t="s">
        <v>5659</v>
      </c>
    </row>
    <row r="18513">
      <c r="A18513" s="1" t="s">
        <v>29768</v>
      </c>
      <c r="B18513" s="2" t="s">
        <v>26796</v>
      </c>
      <c r="C18513" s="1" t="s">
        <v>5658</v>
      </c>
      <c r="D18513" s="1" t="s">
        <v>5659</v>
      </c>
    </row>
    <row r="18514">
      <c r="A18514" s="1" t="s">
        <v>29769</v>
      </c>
      <c r="B18514" s="2" t="s">
        <v>26798</v>
      </c>
      <c r="C18514" s="1" t="s">
        <v>5658</v>
      </c>
      <c r="D18514" s="1" t="s">
        <v>5659</v>
      </c>
    </row>
    <row r="18515">
      <c r="A18515" s="1" t="s">
        <v>29770</v>
      </c>
      <c r="B18515" s="2" t="s">
        <v>26800</v>
      </c>
      <c r="C18515" s="1" t="s">
        <v>5658</v>
      </c>
      <c r="D18515" s="1" t="s">
        <v>5659</v>
      </c>
    </row>
    <row r="18516">
      <c r="A18516" s="1" t="s">
        <v>29771</v>
      </c>
      <c r="B18516" s="2" t="s">
        <v>26802</v>
      </c>
      <c r="C18516" s="1" t="s">
        <v>5658</v>
      </c>
      <c r="D18516" s="1" t="s">
        <v>5659</v>
      </c>
    </row>
    <row r="18517">
      <c r="A18517" s="1" t="s">
        <v>29772</v>
      </c>
      <c r="B18517" s="2" t="s">
        <v>26804</v>
      </c>
      <c r="C18517" s="1" t="s">
        <v>5658</v>
      </c>
      <c r="D18517" s="1" t="s">
        <v>5659</v>
      </c>
    </row>
    <row r="18518">
      <c r="A18518" s="1" t="s">
        <v>29773</v>
      </c>
      <c r="B18518" s="2" t="s">
        <v>26806</v>
      </c>
      <c r="C18518" s="1" t="s">
        <v>5658</v>
      </c>
      <c r="D18518" s="1" t="s">
        <v>5659</v>
      </c>
    </row>
    <row r="18519">
      <c r="A18519" s="1" t="s">
        <v>29774</v>
      </c>
      <c r="B18519" s="2" t="s">
        <v>26808</v>
      </c>
      <c r="C18519" s="1" t="s">
        <v>5658</v>
      </c>
      <c r="D18519" s="1" t="s">
        <v>5659</v>
      </c>
    </row>
    <row r="18520">
      <c r="A18520" s="1" t="s">
        <v>29775</v>
      </c>
      <c r="B18520" s="2" t="s">
        <v>26810</v>
      </c>
      <c r="C18520" s="1" t="s">
        <v>5658</v>
      </c>
      <c r="D18520" s="1" t="s">
        <v>5659</v>
      </c>
    </row>
    <row r="18521">
      <c r="A18521" s="1" t="s">
        <v>29776</v>
      </c>
      <c r="B18521" s="2" t="s">
        <v>26812</v>
      </c>
      <c r="C18521" s="1" t="s">
        <v>5658</v>
      </c>
      <c r="D18521" s="1" t="s">
        <v>5659</v>
      </c>
    </row>
    <row r="18522">
      <c r="A18522" s="1" t="s">
        <v>29777</v>
      </c>
      <c r="B18522" s="2" t="s">
        <v>26814</v>
      </c>
      <c r="C18522" s="1" t="s">
        <v>5658</v>
      </c>
      <c r="D18522" s="1" t="s">
        <v>5659</v>
      </c>
    </row>
    <row r="18523">
      <c r="A18523" s="1" t="s">
        <v>29778</v>
      </c>
      <c r="B18523" s="2" t="s">
        <v>26816</v>
      </c>
      <c r="C18523" s="1" t="s">
        <v>5658</v>
      </c>
      <c r="D18523" s="1" t="s">
        <v>5659</v>
      </c>
    </row>
    <row r="18524">
      <c r="A18524" s="1" t="s">
        <v>29779</v>
      </c>
      <c r="B18524" s="2" t="s">
        <v>26818</v>
      </c>
      <c r="C18524" s="1" t="s">
        <v>5658</v>
      </c>
      <c r="D18524" s="1" t="s">
        <v>5659</v>
      </c>
    </row>
    <row r="18525">
      <c r="A18525" s="1" t="s">
        <v>29780</v>
      </c>
      <c r="B18525" s="2" t="s">
        <v>26820</v>
      </c>
      <c r="C18525" s="1" t="s">
        <v>5658</v>
      </c>
      <c r="D18525" s="1" t="s">
        <v>5659</v>
      </c>
    </row>
    <row r="18526">
      <c r="A18526" s="1" t="s">
        <v>29781</v>
      </c>
      <c r="B18526" s="2" t="s">
        <v>26822</v>
      </c>
      <c r="C18526" s="1" t="s">
        <v>5658</v>
      </c>
      <c r="D18526" s="1" t="s">
        <v>5659</v>
      </c>
    </row>
    <row r="18527">
      <c r="A18527" s="1" t="s">
        <v>29782</v>
      </c>
      <c r="B18527" s="2" t="s">
        <v>26824</v>
      </c>
      <c r="C18527" s="1" t="s">
        <v>5658</v>
      </c>
      <c r="D18527" s="1" t="s">
        <v>5659</v>
      </c>
    </row>
    <row r="18528">
      <c r="A18528" s="1" t="s">
        <v>29783</v>
      </c>
      <c r="B18528" s="2" t="s">
        <v>26826</v>
      </c>
      <c r="C18528" s="1" t="s">
        <v>5658</v>
      </c>
      <c r="D18528" s="1" t="s">
        <v>5659</v>
      </c>
    </row>
    <row r="18529">
      <c r="A18529" s="1" t="s">
        <v>29784</v>
      </c>
      <c r="B18529" s="2" t="s">
        <v>26828</v>
      </c>
      <c r="C18529" s="1" t="s">
        <v>5658</v>
      </c>
      <c r="D18529" s="1" t="s">
        <v>5659</v>
      </c>
    </row>
    <row r="18530">
      <c r="A18530" s="1" t="s">
        <v>29785</v>
      </c>
      <c r="B18530" s="2" t="s">
        <v>26830</v>
      </c>
      <c r="C18530" s="1" t="s">
        <v>5658</v>
      </c>
      <c r="D18530" s="1" t="s">
        <v>5659</v>
      </c>
    </row>
    <row r="18531">
      <c r="A18531" s="1" t="s">
        <v>29786</v>
      </c>
      <c r="B18531" s="2" t="s">
        <v>26832</v>
      </c>
      <c r="C18531" s="1" t="s">
        <v>5658</v>
      </c>
      <c r="D18531" s="1" t="s">
        <v>5659</v>
      </c>
    </row>
    <row r="18532">
      <c r="A18532" s="1" t="s">
        <v>29787</v>
      </c>
      <c r="B18532" s="2" t="s">
        <v>26834</v>
      </c>
      <c r="C18532" s="1" t="s">
        <v>5658</v>
      </c>
      <c r="D18532" s="1" t="s">
        <v>5659</v>
      </c>
    </row>
    <row r="18533">
      <c r="A18533" s="1" t="s">
        <v>29788</v>
      </c>
      <c r="B18533" s="2" t="s">
        <v>26836</v>
      </c>
      <c r="C18533" s="1" t="s">
        <v>5658</v>
      </c>
      <c r="D18533" s="1" t="s">
        <v>5659</v>
      </c>
    </row>
    <row r="18534">
      <c r="A18534" s="1" t="s">
        <v>29789</v>
      </c>
      <c r="B18534" s="2" t="s">
        <v>26838</v>
      </c>
      <c r="C18534" s="1" t="s">
        <v>5658</v>
      </c>
      <c r="D18534" s="1" t="s">
        <v>5659</v>
      </c>
    </row>
    <row r="18535">
      <c r="A18535" s="1" t="s">
        <v>29790</v>
      </c>
      <c r="B18535" s="2" t="s">
        <v>26840</v>
      </c>
      <c r="C18535" s="1" t="s">
        <v>5658</v>
      </c>
      <c r="D18535" s="1" t="s">
        <v>5659</v>
      </c>
    </row>
    <row r="18536">
      <c r="A18536" s="1" t="s">
        <v>29791</v>
      </c>
      <c r="B18536" s="2" t="s">
        <v>26842</v>
      </c>
      <c r="C18536" s="1" t="s">
        <v>5658</v>
      </c>
      <c r="D18536" s="1" t="s">
        <v>5659</v>
      </c>
    </row>
    <row r="18537">
      <c r="A18537" s="1" t="s">
        <v>29792</v>
      </c>
      <c r="B18537" s="2" t="s">
        <v>26844</v>
      </c>
      <c r="C18537" s="1" t="s">
        <v>5658</v>
      </c>
      <c r="D18537" s="1" t="s">
        <v>5659</v>
      </c>
    </row>
    <row r="18538">
      <c r="A18538" s="1" t="s">
        <v>29793</v>
      </c>
      <c r="B18538" s="2" t="s">
        <v>26846</v>
      </c>
      <c r="C18538" s="1" t="s">
        <v>5658</v>
      </c>
      <c r="D18538" s="1" t="s">
        <v>5659</v>
      </c>
    </row>
    <row r="18539">
      <c r="A18539" s="1" t="s">
        <v>29794</v>
      </c>
      <c r="B18539" s="2" t="s">
        <v>26848</v>
      </c>
      <c r="C18539" s="1" t="s">
        <v>5658</v>
      </c>
      <c r="D18539" s="1" t="s">
        <v>5659</v>
      </c>
    </row>
    <row r="18540">
      <c r="A18540" s="1" t="s">
        <v>29795</v>
      </c>
      <c r="B18540" s="2" t="s">
        <v>26850</v>
      </c>
      <c r="C18540" s="1" t="s">
        <v>5658</v>
      </c>
      <c r="D18540" s="1" t="s">
        <v>5659</v>
      </c>
    </row>
    <row r="18541">
      <c r="A18541" s="1" t="s">
        <v>29796</v>
      </c>
      <c r="B18541" s="2" t="s">
        <v>26852</v>
      </c>
      <c r="C18541" s="1" t="s">
        <v>5658</v>
      </c>
      <c r="D18541" s="1" t="s">
        <v>5659</v>
      </c>
    </row>
    <row r="18542">
      <c r="A18542" s="1" t="s">
        <v>29797</v>
      </c>
      <c r="B18542" s="2" t="s">
        <v>26854</v>
      </c>
      <c r="C18542" s="1" t="s">
        <v>5658</v>
      </c>
      <c r="D18542" s="1" t="s">
        <v>5659</v>
      </c>
    </row>
    <row r="18543">
      <c r="A18543" s="1" t="s">
        <v>29798</v>
      </c>
      <c r="B18543" s="2" t="s">
        <v>26856</v>
      </c>
      <c r="C18543" s="1" t="s">
        <v>5658</v>
      </c>
      <c r="D18543" s="1" t="s">
        <v>5659</v>
      </c>
    </row>
    <row r="18544">
      <c r="A18544" s="1" t="s">
        <v>29799</v>
      </c>
      <c r="B18544" s="2" t="s">
        <v>26858</v>
      </c>
      <c r="C18544" s="1" t="s">
        <v>5658</v>
      </c>
      <c r="D18544" s="1" t="s">
        <v>5659</v>
      </c>
    </row>
    <row r="18545">
      <c r="A18545" s="1" t="s">
        <v>29800</v>
      </c>
      <c r="B18545" s="2" t="s">
        <v>26860</v>
      </c>
      <c r="C18545" s="1" t="s">
        <v>5658</v>
      </c>
      <c r="D18545" s="1" t="s">
        <v>5659</v>
      </c>
    </row>
    <row r="18546">
      <c r="A18546" s="1" t="s">
        <v>29801</v>
      </c>
      <c r="B18546" s="2" t="s">
        <v>26862</v>
      </c>
      <c r="C18546" s="1" t="s">
        <v>5658</v>
      </c>
      <c r="D18546" s="1" t="s">
        <v>5659</v>
      </c>
    </row>
    <row r="18547">
      <c r="A18547" s="1" t="s">
        <v>29802</v>
      </c>
      <c r="B18547" s="2" t="s">
        <v>26864</v>
      </c>
      <c r="C18547" s="1" t="s">
        <v>5658</v>
      </c>
      <c r="D18547" s="1" t="s">
        <v>5659</v>
      </c>
    </row>
    <row r="18548">
      <c r="A18548" s="1" t="s">
        <v>29803</v>
      </c>
      <c r="B18548" s="2" t="s">
        <v>26866</v>
      </c>
      <c r="C18548" s="1" t="s">
        <v>5658</v>
      </c>
      <c r="D18548" s="1" t="s">
        <v>5659</v>
      </c>
    </row>
    <row r="18549">
      <c r="A18549" s="1" t="s">
        <v>29804</v>
      </c>
      <c r="B18549" s="2" t="s">
        <v>26868</v>
      </c>
      <c r="C18549" s="1" t="s">
        <v>5658</v>
      </c>
      <c r="D18549" s="1" t="s">
        <v>5659</v>
      </c>
    </row>
    <row r="18550">
      <c r="A18550" s="1" t="s">
        <v>29805</v>
      </c>
      <c r="B18550" s="2" t="s">
        <v>26870</v>
      </c>
      <c r="C18550" s="1" t="s">
        <v>5658</v>
      </c>
      <c r="D18550" s="1" t="s">
        <v>5659</v>
      </c>
    </row>
    <row r="18551">
      <c r="A18551" s="1" t="s">
        <v>29806</v>
      </c>
      <c r="B18551" s="2" t="s">
        <v>26872</v>
      </c>
      <c r="C18551" s="1" t="s">
        <v>5658</v>
      </c>
      <c r="D18551" s="1" t="s">
        <v>5659</v>
      </c>
    </row>
    <row r="18552">
      <c r="A18552" s="1" t="s">
        <v>29807</v>
      </c>
      <c r="B18552" s="2" t="s">
        <v>26874</v>
      </c>
      <c r="C18552" s="1" t="s">
        <v>5658</v>
      </c>
      <c r="D18552" s="1" t="s">
        <v>5659</v>
      </c>
    </row>
    <row r="18553">
      <c r="A18553" s="1" t="s">
        <v>29808</v>
      </c>
      <c r="B18553" s="2" t="s">
        <v>26876</v>
      </c>
      <c r="C18553" s="1" t="s">
        <v>5658</v>
      </c>
      <c r="D18553" s="1" t="s">
        <v>5659</v>
      </c>
    </row>
    <row r="18554">
      <c r="A18554" s="1" t="s">
        <v>29809</v>
      </c>
      <c r="B18554" s="2" t="s">
        <v>26878</v>
      </c>
      <c r="C18554" s="1" t="s">
        <v>5658</v>
      </c>
      <c r="D18554" s="1" t="s">
        <v>5659</v>
      </c>
    </row>
    <row r="18555">
      <c r="A18555" s="1" t="s">
        <v>29810</v>
      </c>
      <c r="B18555" s="2" t="s">
        <v>26880</v>
      </c>
      <c r="C18555" s="1" t="s">
        <v>5658</v>
      </c>
      <c r="D18555" s="1" t="s">
        <v>5659</v>
      </c>
    </row>
    <row r="18556">
      <c r="A18556" s="1" t="s">
        <v>29811</v>
      </c>
      <c r="B18556" s="2" t="s">
        <v>26882</v>
      </c>
      <c r="C18556" s="1" t="s">
        <v>5658</v>
      </c>
      <c r="D18556" s="1" t="s">
        <v>5659</v>
      </c>
    </row>
    <row r="18557">
      <c r="A18557" s="1" t="s">
        <v>29812</v>
      </c>
      <c r="B18557" s="2" t="s">
        <v>26884</v>
      </c>
      <c r="C18557" s="1" t="s">
        <v>5658</v>
      </c>
      <c r="D18557" s="1" t="s">
        <v>5659</v>
      </c>
    </row>
    <row r="18558">
      <c r="A18558" s="1" t="s">
        <v>29813</v>
      </c>
      <c r="B18558" s="2" t="s">
        <v>26886</v>
      </c>
      <c r="C18558" s="1" t="s">
        <v>5658</v>
      </c>
      <c r="D18558" s="1" t="s">
        <v>5659</v>
      </c>
    </row>
    <row r="18559">
      <c r="A18559" s="1" t="s">
        <v>29814</v>
      </c>
      <c r="B18559" s="2" t="s">
        <v>26888</v>
      </c>
      <c r="C18559" s="1" t="s">
        <v>5658</v>
      </c>
      <c r="D18559" s="1" t="s">
        <v>5659</v>
      </c>
    </row>
    <row r="18560">
      <c r="A18560" s="1" t="s">
        <v>29815</v>
      </c>
      <c r="B18560" s="2" t="s">
        <v>26890</v>
      </c>
      <c r="C18560" s="1" t="s">
        <v>5658</v>
      </c>
      <c r="D18560" s="1" t="s">
        <v>5659</v>
      </c>
    </row>
    <row r="18561">
      <c r="A18561" s="1" t="s">
        <v>29816</v>
      </c>
      <c r="B18561" s="2" t="s">
        <v>26892</v>
      </c>
      <c r="C18561" s="1" t="s">
        <v>5658</v>
      </c>
      <c r="D18561" s="1" t="s">
        <v>5659</v>
      </c>
    </row>
    <row r="18562">
      <c r="A18562" s="1" t="s">
        <v>29817</v>
      </c>
      <c r="B18562" s="2" t="s">
        <v>26894</v>
      </c>
      <c r="C18562" s="1" t="s">
        <v>5658</v>
      </c>
      <c r="D18562" s="1" t="s">
        <v>5659</v>
      </c>
    </row>
    <row r="18563">
      <c r="A18563" s="1" t="s">
        <v>29818</v>
      </c>
      <c r="B18563" s="2" t="s">
        <v>26896</v>
      </c>
      <c r="C18563" s="1" t="s">
        <v>5658</v>
      </c>
      <c r="D18563" s="1" t="s">
        <v>5659</v>
      </c>
    </row>
    <row r="18564">
      <c r="A18564" s="1" t="s">
        <v>29819</v>
      </c>
      <c r="B18564" s="2" t="s">
        <v>26898</v>
      </c>
      <c r="C18564" s="1" t="s">
        <v>5658</v>
      </c>
      <c r="D18564" s="1" t="s">
        <v>5659</v>
      </c>
    </row>
    <row r="18565">
      <c r="A18565" s="1" t="s">
        <v>29820</v>
      </c>
      <c r="B18565" s="2" t="s">
        <v>26900</v>
      </c>
      <c r="C18565" s="1" t="s">
        <v>5658</v>
      </c>
      <c r="D18565" s="1" t="s">
        <v>5659</v>
      </c>
    </row>
    <row r="18566">
      <c r="A18566" s="1" t="s">
        <v>29821</v>
      </c>
      <c r="B18566" s="2" t="s">
        <v>26902</v>
      </c>
      <c r="C18566" s="1" t="s">
        <v>5658</v>
      </c>
      <c r="D18566" s="1" t="s">
        <v>5659</v>
      </c>
    </row>
    <row r="18567">
      <c r="A18567" s="1" t="s">
        <v>29822</v>
      </c>
      <c r="B18567" s="2" t="s">
        <v>26904</v>
      </c>
      <c r="C18567" s="1" t="s">
        <v>5658</v>
      </c>
      <c r="D18567" s="1" t="s">
        <v>5659</v>
      </c>
    </row>
    <row r="18568">
      <c r="A18568" s="1" t="s">
        <v>29823</v>
      </c>
      <c r="B18568" s="2" t="s">
        <v>26906</v>
      </c>
      <c r="C18568" s="1" t="s">
        <v>5658</v>
      </c>
      <c r="D18568" s="1" t="s">
        <v>5659</v>
      </c>
    </row>
    <row r="18569">
      <c r="A18569" s="1" t="s">
        <v>29824</v>
      </c>
      <c r="B18569" s="2" t="s">
        <v>26908</v>
      </c>
      <c r="C18569" s="1" t="s">
        <v>5658</v>
      </c>
      <c r="D18569" s="1" t="s">
        <v>5659</v>
      </c>
    </row>
    <row r="18570">
      <c r="A18570" s="1" t="s">
        <v>29825</v>
      </c>
      <c r="B18570" s="2" t="s">
        <v>26910</v>
      </c>
      <c r="C18570" s="1" t="s">
        <v>5658</v>
      </c>
      <c r="D18570" s="1" t="s">
        <v>5659</v>
      </c>
    </row>
    <row r="18571">
      <c r="A18571" s="1" t="s">
        <v>29826</v>
      </c>
      <c r="B18571" s="2" t="s">
        <v>26912</v>
      </c>
      <c r="C18571" s="1" t="s">
        <v>5658</v>
      </c>
      <c r="D18571" s="1" t="s">
        <v>5659</v>
      </c>
    </row>
    <row r="18572">
      <c r="A18572" s="1" t="s">
        <v>29827</v>
      </c>
      <c r="B18572" s="2" t="s">
        <v>26914</v>
      </c>
      <c r="C18572" s="1" t="s">
        <v>5658</v>
      </c>
      <c r="D18572" s="1" t="s">
        <v>5659</v>
      </c>
    </row>
    <row r="18573">
      <c r="A18573" s="1" t="s">
        <v>29828</v>
      </c>
      <c r="B18573" s="2" t="s">
        <v>26916</v>
      </c>
      <c r="C18573" s="1" t="s">
        <v>5658</v>
      </c>
      <c r="D18573" s="1" t="s">
        <v>5659</v>
      </c>
    </row>
    <row r="18574">
      <c r="A18574" s="1" t="s">
        <v>29829</v>
      </c>
      <c r="B18574" s="2" t="s">
        <v>26918</v>
      </c>
      <c r="C18574" s="1" t="s">
        <v>5658</v>
      </c>
      <c r="D18574" s="1" t="s">
        <v>5659</v>
      </c>
    </row>
    <row r="18575">
      <c r="A18575" s="1" t="s">
        <v>29830</v>
      </c>
      <c r="B18575" s="2" t="s">
        <v>26920</v>
      </c>
      <c r="C18575" s="1" t="s">
        <v>5658</v>
      </c>
      <c r="D18575" s="1" t="s">
        <v>5659</v>
      </c>
    </row>
    <row r="18576">
      <c r="A18576" s="1" t="s">
        <v>29831</v>
      </c>
      <c r="B18576" s="2" t="s">
        <v>26922</v>
      </c>
      <c r="C18576" s="1" t="s">
        <v>5658</v>
      </c>
      <c r="D18576" s="1" t="s">
        <v>5659</v>
      </c>
    </row>
    <row r="18577">
      <c r="A18577" s="1" t="s">
        <v>29832</v>
      </c>
      <c r="B18577" s="2" t="s">
        <v>26924</v>
      </c>
      <c r="C18577" s="1" t="s">
        <v>5658</v>
      </c>
      <c r="D18577" s="1" t="s">
        <v>5659</v>
      </c>
    </row>
    <row r="18578">
      <c r="A18578" s="1" t="s">
        <v>29833</v>
      </c>
      <c r="B18578" s="2" t="s">
        <v>26926</v>
      </c>
      <c r="C18578" s="1" t="s">
        <v>5658</v>
      </c>
      <c r="D18578" s="1" t="s">
        <v>5659</v>
      </c>
    </row>
    <row r="18579">
      <c r="A18579" s="1" t="s">
        <v>29834</v>
      </c>
      <c r="B18579" s="2" t="s">
        <v>26928</v>
      </c>
      <c r="C18579" s="1" t="s">
        <v>5658</v>
      </c>
      <c r="D18579" s="1" t="s">
        <v>5659</v>
      </c>
    </row>
    <row r="18580">
      <c r="A18580" s="1" t="s">
        <v>29835</v>
      </c>
      <c r="B18580" s="2" t="s">
        <v>26930</v>
      </c>
      <c r="C18580" s="1" t="s">
        <v>5658</v>
      </c>
      <c r="D18580" s="1" t="s">
        <v>5659</v>
      </c>
    </row>
    <row r="18581">
      <c r="A18581" s="1" t="s">
        <v>29836</v>
      </c>
      <c r="B18581" s="2" t="s">
        <v>26932</v>
      </c>
      <c r="C18581" s="1" t="s">
        <v>5658</v>
      </c>
      <c r="D18581" s="1" t="s">
        <v>5659</v>
      </c>
    </row>
    <row r="18582">
      <c r="A18582" s="1" t="s">
        <v>29837</v>
      </c>
      <c r="B18582" s="2" t="s">
        <v>26934</v>
      </c>
      <c r="C18582" s="1" t="s">
        <v>5658</v>
      </c>
      <c r="D18582" s="1" t="s">
        <v>5659</v>
      </c>
    </row>
    <row r="18583">
      <c r="A18583" s="1" t="s">
        <v>29838</v>
      </c>
      <c r="B18583" s="2" t="s">
        <v>26936</v>
      </c>
      <c r="C18583" s="1" t="s">
        <v>5658</v>
      </c>
      <c r="D18583" s="1" t="s">
        <v>5659</v>
      </c>
    </row>
    <row r="18584">
      <c r="A18584" s="1" t="s">
        <v>29839</v>
      </c>
      <c r="B18584" s="2" t="s">
        <v>26938</v>
      </c>
      <c r="C18584" s="1" t="s">
        <v>5658</v>
      </c>
      <c r="D18584" s="1" t="s">
        <v>5659</v>
      </c>
    </row>
    <row r="18585">
      <c r="A18585" s="1" t="s">
        <v>29840</v>
      </c>
      <c r="B18585" s="2" t="s">
        <v>26940</v>
      </c>
      <c r="C18585" s="1" t="s">
        <v>5658</v>
      </c>
      <c r="D18585" s="1" t="s">
        <v>5659</v>
      </c>
    </row>
    <row r="18586">
      <c r="A18586" s="1" t="s">
        <v>29841</v>
      </c>
      <c r="B18586" s="2" t="s">
        <v>26942</v>
      </c>
      <c r="C18586" s="1" t="s">
        <v>5658</v>
      </c>
      <c r="D18586" s="1" t="s">
        <v>5659</v>
      </c>
    </row>
    <row r="18587">
      <c r="A18587" s="1" t="s">
        <v>29842</v>
      </c>
      <c r="B18587" s="2" t="s">
        <v>26944</v>
      </c>
      <c r="C18587" s="1" t="s">
        <v>5658</v>
      </c>
      <c r="D18587" s="1" t="s">
        <v>5659</v>
      </c>
    </row>
    <row r="18588">
      <c r="A18588" s="1" t="s">
        <v>29843</v>
      </c>
      <c r="B18588" s="2" t="s">
        <v>26946</v>
      </c>
      <c r="C18588" s="1" t="s">
        <v>5658</v>
      </c>
      <c r="D18588" s="1" t="s">
        <v>5659</v>
      </c>
    </row>
    <row r="18589">
      <c r="A18589" s="1" t="s">
        <v>29844</v>
      </c>
      <c r="B18589" s="2" t="s">
        <v>26948</v>
      </c>
      <c r="C18589" s="1" t="s">
        <v>5658</v>
      </c>
      <c r="D18589" s="1" t="s">
        <v>5659</v>
      </c>
    </row>
    <row r="18590">
      <c r="A18590" s="1" t="s">
        <v>29845</v>
      </c>
      <c r="B18590" s="2" t="s">
        <v>26950</v>
      </c>
      <c r="C18590" s="1" t="s">
        <v>5658</v>
      </c>
      <c r="D18590" s="1" t="s">
        <v>5659</v>
      </c>
    </row>
    <row r="18591">
      <c r="A18591" s="1" t="s">
        <v>29846</v>
      </c>
      <c r="B18591" s="2" t="s">
        <v>26952</v>
      </c>
      <c r="C18591" s="1" t="s">
        <v>5658</v>
      </c>
      <c r="D18591" s="1" t="s">
        <v>5659</v>
      </c>
    </row>
    <row r="18592">
      <c r="A18592" s="1" t="s">
        <v>29847</v>
      </c>
      <c r="B18592" s="2" t="s">
        <v>26954</v>
      </c>
      <c r="C18592" s="1" t="s">
        <v>5658</v>
      </c>
      <c r="D18592" s="1" t="s">
        <v>5659</v>
      </c>
    </row>
    <row r="18593">
      <c r="A18593" s="1" t="s">
        <v>29848</v>
      </c>
      <c r="B18593" s="2" t="s">
        <v>26956</v>
      </c>
      <c r="C18593" s="1" t="s">
        <v>5658</v>
      </c>
      <c r="D18593" s="1" t="s">
        <v>5659</v>
      </c>
    </row>
    <row r="18594">
      <c r="A18594" s="1" t="s">
        <v>29849</v>
      </c>
      <c r="B18594" s="2" t="s">
        <v>26958</v>
      </c>
      <c r="C18594" s="1" t="s">
        <v>5658</v>
      </c>
      <c r="D18594" s="1" t="s">
        <v>5659</v>
      </c>
    </row>
    <row r="18595">
      <c r="A18595" s="1" t="s">
        <v>29850</v>
      </c>
      <c r="B18595" s="2" t="s">
        <v>26960</v>
      </c>
      <c r="C18595" s="1" t="s">
        <v>5658</v>
      </c>
      <c r="D18595" s="1" t="s">
        <v>5659</v>
      </c>
    </row>
    <row r="18596">
      <c r="A18596" s="1" t="s">
        <v>29851</v>
      </c>
      <c r="B18596" s="2" t="s">
        <v>26962</v>
      </c>
      <c r="C18596" s="1" t="s">
        <v>5658</v>
      </c>
      <c r="D18596" s="1" t="s">
        <v>5659</v>
      </c>
    </row>
    <row r="18597">
      <c r="A18597" s="1" t="s">
        <v>29852</v>
      </c>
      <c r="B18597" s="2" t="s">
        <v>26964</v>
      </c>
      <c r="C18597" s="1" t="s">
        <v>5658</v>
      </c>
      <c r="D18597" s="1" t="s">
        <v>5659</v>
      </c>
    </row>
    <row r="18598">
      <c r="A18598" s="1" t="s">
        <v>29853</v>
      </c>
      <c r="B18598" s="2" t="s">
        <v>26966</v>
      </c>
      <c r="C18598" s="1" t="s">
        <v>5658</v>
      </c>
      <c r="D18598" s="1" t="s">
        <v>5659</v>
      </c>
    </row>
    <row r="18599">
      <c r="A18599" s="1" t="s">
        <v>29854</v>
      </c>
      <c r="B18599" s="2" t="s">
        <v>26968</v>
      </c>
      <c r="C18599" s="1" t="s">
        <v>5658</v>
      </c>
      <c r="D18599" s="1" t="s">
        <v>5659</v>
      </c>
    </row>
    <row r="18600">
      <c r="A18600" s="1" t="s">
        <v>29855</v>
      </c>
      <c r="B18600" s="2" t="s">
        <v>26970</v>
      </c>
      <c r="C18600" s="1" t="s">
        <v>5658</v>
      </c>
      <c r="D18600" s="1" t="s">
        <v>5659</v>
      </c>
    </row>
    <row r="18601">
      <c r="A18601" s="1" t="s">
        <v>29856</v>
      </c>
      <c r="B18601" s="2" t="s">
        <v>26972</v>
      </c>
      <c r="C18601" s="1" t="s">
        <v>5658</v>
      </c>
      <c r="D18601" s="1" t="s">
        <v>5659</v>
      </c>
    </row>
    <row r="18602">
      <c r="A18602" s="1" t="s">
        <v>29857</v>
      </c>
      <c r="B18602" s="2" t="s">
        <v>26974</v>
      </c>
      <c r="C18602" s="1" t="s">
        <v>5658</v>
      </c>
      <c r="D18602" s="1" t="s">
        <v>5659</v>
      </c>
    </row>
    <row r="18603">
      <c r="A18603" s="1" t="s">
        <v>29858</v>
      </c>
      <c r="B18603" s="2" t="s">
        <v>26976</v>
      </c>
      <c r="C18603" s="1" t="s">
        <v>5658</v>
      </c>
      <c r="D18603" s="1" t="s">
        <v>5659</v>
      </c>
    </row>
    <row r="18604">
      <c r="A18604" s="1" t="s">
        <v>29859</v>
      </c>
      <c r="B18604" s="2" t="s">
        <v>26978</v>
      </c>
      <c r="C18604" s="1" t="s">
        <v>5658</v>
      </c>
      <c r="D18604" s="1" t="s">
        <v>5659</v>
      </c>
    </row>
    <row r="18605">
      <c r="A18605" s="1" t="s">
        <v>29860</v>
      </c>
      <c r="B18605" s="2" t="s">
        <v>26980</v>
      </c>
      <c r="C18605" s="1" t="s">
        <v>5658</v>
      </c>
      <c r="D18605" s="1" t="s">
        <v>5659</v>
      </c>
    </row>
    <row r="18606">
      <c r="A18606" s="1" t="s">
        <v>29861</v>
      </c>
      <c r="B18606" s="2" t="s">
        <v>26982</v>
      </c>
      <c r="C18606" s="1" t="s">
        <v>5658</v>
      </c>
      <c r="D18606" s="1" t="s">
        <v>5659</v>
      </c>
    </row>
    <row r="18607">
      <c r="A18607" s="1" t="s">
        <v>29862</v>
      </c>
      <c r="B18607" s="2" t="s">
        <v>26984</v>
      </c>
      <c r="C18607" s="1" t="s">
        <v>5658</v>
      </c>
      <c r="D18607" s="1" t="s">
        <v>5659</v>
      </c>
    </row>
    <row r="18608">
      <c r="A18608" s="1" t="s">
        <v>29863</v>
      </c>
      <c r="B18608" s="2" t="s">
        <v>26986</v>
      </c>
      <c r="C18608" s="1" t="s">
        <v>5658</v>
      </c>
      <c r="D18608" s="1" t="s">
        <v>5659</v>
      </c>
    </row>
    <row r="18609">
      <c r="A18609" s="1" t="s">
        <v>29864</v>
      </c>
      <c r="B18609" s="2" t="s">
        <v>26988</v>
      </c>
      <c r="C18609" s="1" t="s">
        <v>5658</v>
      </c>
      <c r="D18609" s="1" t="s">
        <v>5659</v>
      </c>
    </row>
    <row r="18610">
      <c r="A18610" s="1" t="s">
        <v>29865</v>
      </c>
      <c r="B18610" s="2" t="s">
        <v>26990</v>
      </c>
      <c r="C18610" s="1" t="s">
        <v>5658</v>
      </c>
      <c r="D18610" s="1" t="s">
        <v>5659</v>
      </c>
    </row>
    <row r="18611">
      <c r="A18611" s="1" t="s">
        <v>29866</v>
      </c>
      <c r="B18611" s="2" t="s">
        <v>26992</v>
      </c>
      <c r="C18611" s="1" t="s">
        <v>5658</v>
      </c>
      <c r="D18611" s="1" t="s">
        <v>5659</v>
      </c>
    </row>
    <row r="18612">
      <c r="A18612" s="1" t="s">
        <v>29867</v>
      </c>
      <c r="B18612" s="2" t="s">
        <v>26994</v>
      </c>
      <c r="C18612" s="1" t="s">
        <v>5658</v>
      </c>
      <c r="D18612" s="1" t="s">
        <v>5659</v>
      </c>
    </row>
    <row r="18613">
      <c r="A18613" s="1" t="s">
        <v>29868</v>
      </c>
      <c r="B18613" s="2" t="s">
        <v>26996</v>
      </c>
      <c r="C18613" s="1" t="s">
        <v>5658</v>
      </c>
      <c r="D18613" s="1" t="s">
        <v>5659</v>
      </c>
    </row>
    <row r="18614">
      <c r="A18614" s="1" t="s">
        <v>29869</v>
      </c>
      <c r="B18614" s="2" t="s">
        <v>26998</v>
      </c>
      <c r="C18614" s="1" t="s">
        <v>5658</v>
      </c>
      <c r="D18614" s="1" t="s">
        <v>5659</v>
      </c>
    </row>
    <row r="18615">
      <c r="A18615" s="1" t="s">
        <v>29870</v>
      </c>
      <c r="B18615" s="2" t="s">
        <v>27000</v>
      </c>
      <c r="C18615" s="1" t="s">
        <v>5658</v>
      </c>
      <c r="D18615" s="1" t="s">
        <v>5659</v>
      </c>
    </row>
    <row r="18616">
      <c r="A18616" s="1" t="s">
        <v>29871</v>
      </c>
      <c r="B18616" s="2" t="s">
        <v>27002</v>
      </c>
      <c r="C18616" s="1" t="s">
        <v>5658</v>
      </c>
      <c r="D18616" s="1" t="s">
        <v>5659</v>
      </c>
    </row>
    <row r="18617">
      <c r="A18617" s="1" t="s">
        <v>29872</v>
      </c>
      <c r="B18617" s="2" t="s">
        <v>27004</v>
      </c>
      <c r="C18617" s="1" t="s">
        <v>5658</v>
      </c>
      <c r="D18617" s="1" t="s">
        <v>5659</v>
      </c>
    </row>
    <row r="18618">
      <c r="A18618" s="1" t="s">
        <v>29873</v>
      </c>
      <c r="B18618" s="2" t="s">
        <v>27006</v>
      </c>
      <c r="C18618" s="1" t="s">
        <v>5658</v>
      </c>
      <c r="D18618" s="1" t="s">
        <v>5659</v>
      </c>
    </row>
    <row r="18619">
      <c r="A18619" s="1" t="s">
        <v>29874</v>
      </c>
      <c r="B18619" s="2" t="s">
        <v>27008</v>
      </c>
      <c r="C18619" s="1" t="s">
        <v>5658</v>
      </c>
      <c r="D18619" s="1" t="s">
        <v>5659</v>
      </c>
    </row>
    <row r="18620">
      <c r="A18620" s="1" t="s">
        <v>29875</v>
      </c>
      <c r="B18620" s="2" t="s">
        <v>27010</v>
      </c>
      <c r="C18620" s="1" t="s">
        <v>5658</v>
      </c>
      <c r="D18620" s="1" t="s">
        <v>5659</v>
      </c>
    </row>
    <row r="18621">
      <c r="A18621" s="1" t="s">
        <v>29876</v>
      </c>
      <c r="B18621" s="2" t="s">
        <v>27012</v>
      </c>
      <c r="C18621" s="1" t="s">
        <v>5658</v>
      </c>
      <c r="D18621" s="1" t="s">
        <v>5659</v>
      </c>
    </row>
    <row r="18622">
      <c r="A18622" s="1" t="s">
        <v>29877</v>
      </c>
      <c r="B18622" s="2" t="s">
        <v>27014</v>
      </c>
      <c r="C18622" s="1" t="s">
        <v>5658</v>
      </c>
      <c r="D18622" s="1" t="s">
        <v>5659</v>
      </c>
    </row>
    <row r="18623">
      <c r="A18623" s="1" t="s">
        <v>29878</v>
      </c>
      <c r="B18623" s="2" t="s">
        <v>27016</v>
      </c>
      <c r="C18623" s="1" t="s">
        <v>5658</v>
      </c>
      <c r="D18623" s="1" t="s">
        <v>5659</v>
      </c>
    </row>
    <row r="18624">
      <c r="A18624" s="1" t="s">
        <v>29879</v>
      </c>
      <c r="B18624" s="2" t="s">
        <v>27018</v>
      </c>
      <c r="C18624" s="1" t="s">
        <v>5658</v>
      </c>
      <c r="D18624" s="1" t="s">
        <v>5659</v>
      </c>
    </row>
    <row r="18625">
      <c r="A18625" s="1" t="s">
        <v>29880</v>
      </c>
      <c r="B18625" s="2" t="s">
        <v>27020</v>
      </c>
      <c r="C18625" s="1" t="s">
        <v>5658</v>
      </c>
      <c r="D18625" s="1" t="s">
        <v>5659</v>
      </c>
    </row>
    <row r="18626">
      <c r="A18626" s="1" t="s">
        <v>29881</v>
      </c>
      <c r="B18626" s="2" t="s">
        <v>27022</v>
      </c>
      <c r="C18626" s="1" t="s">
        <v>5658</v>
      </c>
      <c r="D18626" s="1" t="s">
        <v>5659</v>
      </c>
    </row>
    <row r="18627">
      <c r="A18627" s="1" t="s">
        <v>29882</v>
      </c>
      <c r="B18627" s="2" t="s">
        <v>27024</v>
      </c>
      <c r="C18627" s="1" t="s">
        <v>5658</v>
      </c>
      <c r="D18627" s="1" t="s">
        <v>5659</v>
      </c>
    </row>
    <row r="18628">
      <c r="A18628" s="1" t="s">
        <v>29883</v>
      </c>
      <c r="B18628" s="2" t="s">
        <v>27026</v>
      </c>
      <c r="C18628" s="1" t="s">
        <v>5658</v>
      </c>
      <c r="D18628" s="1" t="s">
        <v>5659</v>
      </c>
    </row>
    <row r="18629">
      <c r="A18629" s="1" t="s">
        <v>29884</v>
      </c>
      <c r="B18629" s="2" t="s">
        <v>27028</v>
      </c>
      <c r="C18629" s="1" t="s">
        <v>5658</v>
      </c>
      <c r="D18629" s="1" t="s">
        <v>5659</v>
      </c>
    </row>
    <row r="18630">
      <c r="A18630" s="1" t="s">
        <v>29885</v>
      </c>
      <c r="B18630" s="2" t="s">
        <v>27030</v>
      </c>
      <c r="C18630" s="1" t="s">
        <v>5658</v>
      </c>
      <c r="D18630" s="1" t="s">
        <v>5659</v>
      </c>
    </row>
    <row r="18631">
      <c r="A18631" s="1" t="s">
        <v>29886</v>
      </c>
      <c r="B18631" s="2" t="s">
        <v>27032</v>
      </c>
      <c r="C18631" s="1" t="s">
        <v>5658</v>
      </c>
      <c r="D18631" s="1" t="s">
        <v>5659</v>
      </c>
    </row>
    <row r="18632">
      <c r="A18632" s="1" t="s">
        <v>29887</v>
      </c>
      <c r="B18632" s="2" t="s">
        <v>27034</v>
      </c>
      <c r="C18632" s="1" t="s">
        <v>5658</v>
      </c>
      <c r="D18632" s="1" t="s">
        <v>5659</v>
      </c>
    </row>
    <row r="18633">
      <c r="A18633" s="1" t="s">
        <v>29888</v>
      </c>
      <c r="B18633" s="2" t="s">
        <v>27036</v>
      </c>
      <c r="C18633" s="1" t="s">
        <v>5658</v>
      </c>
      <c r="D18633" s="1" t="s">
        <v>5659</v>
      </c>
    </row>
    <row r="18634">
      <c r="A18634" s="1" t="s">
        <v>29889</v>
      </c>
      <c r="B18634" s="2" t="s">
        <v>27038</v>
      </c>
      <c r="C18634" s="1" t="s">
        <v>5658</v>
      </c>
      <c r="D18634" s="1" t="s">
        <v>5659</v>
      </c>
    </row>
    <row r="18635">
      <c r="A18635" s="1" t="s">
        <v>29890</v>
      </c>
      <c r="B18635" s="2" t="s">
        <v>27040</v>
      </c>
      <c r="C18635" s="1" t="s">
        <v>5658</v>
      </c>
      <c r="D18635" s="1" t="s">
        <v>5659</v>
      </c>
    </row>
    <row r="18636">
      <c r="A18636" s="1" t="s">
        <v>29891</v>
      </c>
      <c r="B18636" s="2" t="s">
        <v>27042</v>
      </c>
      <c r="C18636" s="1" t="s">
        <v>5658</v>
      </c>
      <c r="D18636" s="1" t="s">
        <v>5659</v>
      </c>
    </row>
    <row r="18637">
      <c r="A18637" s="1" t="s">
        <v>29892</v>
      </c>
      <c r="B18637" s="2" t="s">
        <v>27044</v>
      </c>
      <c r="C18637" s="1" t="s">
        <v>5658</v>
      </c>
      <c r="D18637" s="1" t="s">
        <v>5659</v>
      </c>
    </row>
    <row r="18638">
      <c r="A18638" s="1" t="s">
        <v>29893</v>
      </c>
      <c r="B18638" s="2" t="s">
        <v>27046</v>
      </c>
      <c r="C18638" s="1" t="s">
        <v>5658</v>
      </c>
      <c r="D18638" s="1" t="s">
        <v>5659</v>
      </c>
    </row>
    <row r="18639">
      <c r="A18639" s="1" t="s">
        <v>29894</v>
      </c>
      <c r="B18639" s="2" t="s">
        <v>27048</v>
      </c>
      <c r="C18639" s="1" t="s">
        <v>5658</v>
      </c>
      <c r="D18639" s="1" t="s">
        <v>5659</v>
      </c>
    </row>
    <row r="18640">
      <c r="A18640" s="1" t="s">
        <v>29895</v>
      </c>
      <c r="B18640" s="2" t="s">
        <v>27050</v>
      </c>
      <c r="C18640" s="1" t="s">
        <v>5658</v>
      </c>
      <c r="D18640" s="1" t="s">
        <v>5659</v>
      </c>
    </row>
    <row r="18641">
      <c r="A18641" s="1" t="s">
        <v>29896</v>
      </c>
      <c r="B18641" s="2" t="s">
        <v>27052</v>
      </c>
      <c r="C18641" s="1" t="s">
        <v>5658</v>
      </c>
      <c r="D18641" s="1" t="s">
        <v>5659</v>
      </c>
    </row>
    <row r="18642">
      <c r="A18642" s="1" t="s">
        <v>29897</v>
      </c>
      <c r="B18642" s="2" t="s">
        <v>27054</v>
      </c>
      <c r="C18642" s="1" t="s">
        <v>5658</v>
      </c>
      <c r="D18642" s="1" t="s">
        <v>5659</v>
      </c>
    </row>
    <row r="18643">
      <c r="A18643" s="1" t="s">
        <v>29898</v>
      </c>
      <c r="B18643" s="2" t="s">
        <v>27056</v>
      </c>
      <c r="C18643" s="1" t="s">
        <v>5658</v>
      </c>
      <c r="D18643" s="1" t="s">
        <v>5659</v>
      </c>
    </row>
    <row r="18644">
      <c r="A18644" s="1" t="s">
        <v>29899</v>
      </c>
      <c r="B18644" s="2" t="s">
        <v>27058</v>
      </c>
      <c r="C18644" s="1" t="s">
        <v>5658</v>
      </c>
      <c r="D18644" s="1" t="s">
        <v>5659</v>
      </c>
    </row>
    <row r="18645">
      <c r="A18645" s="1" t="s">
        <v>29900</v>
      </c>
      <c r="B18645" s="2" t="s">
        <v>27060</v>
      </c>
      <c r="C18645" s="1" t="s">
        <v>5658</v>
      </c>
      <c r="D18645" s="1" t="s">
        <v>5659</v>
      </c>
    </row>
    <row r="18646">
      <c r="A18646" s="1" t="s">
        <v>29901</v>
      </c>
      <c r="B18646" s="2" t="s">
        <v>27062</v>
      </c>
      <c r="C18646" s="1" t="s">
        <v>5658</v>
      </c>
      <c r="D18646" s="1" t="s">
        <v>5659</v>
      </c>
    </row>
    <row r="18647">
      <c r="A18647" s="1" t="s">
        <v>29902</v>
      </c>
      <c r="B18647" s="2" t="s">
        <v>27064</v>
      </c>
      <c r="C18647" s="1" t="s">
        <v>5658</v>
      </c>
      <c r="D18647" s="1" t="s">
        <v>5659</v>
      </c>
    </row>
    <row r="18648">
      <c r="A18648" s="1" t="s">
        <v>29903</v>
      </c>
      <c r="B18648" s="2" t="s">
        <v>27066</v>
      </c>
      <c r="C18648" s="1" t="s">
        <v>5658</v>
      </c>
      <c r="D18648" s="1" t="s">
        <v>5659</v>
      </c>
    </row>
    <row r="18649">
      <c r="A18649" s="1" t="s">
        <v>29904</v>
      </c>
      <c r="B18649" s="2" t="s">
        <v>27068</v>
      </c>
      <c r="C18649" s="1" t="s">
        <v>5658</v>
      </c>
      <c r="D18649" s="1" t="s">
        <v>5659</v>
      </c>
    </row>
    <row r="18650">
      <c r="A18650" s="1" t="s">
        <v>29905</v>
      </c>
      <c r="B18650" s="2" t="s">
        <v>27070</v>
      </c>
      <c r="C18650" s="1" t="s">
        <v>5658</v>
      </c>
      <c r="D18650" s="1" t="s">
        <v>5659</v>
      </c>
    </row>
    <row r="18651">
      <c r="A18651" s="1" t="s">
        <v>29906</v>
      </c>
      <c r="B18651" s="2" t="s">
        <v>27072</v>
      </c>
      <c r="C18651" s="1" t="s">
        <v>5658</v>
      </c>
      <c r="D18651" s="1" t="s">
        <v>5659</v>
      </c>
    </row>
    <row r="18652">
      <c r="A18652" s="1" t="s">
        <v>29907</v>
      </c>
      <c r="B18652" s="2" t="s">
        <v>27074</v>
      </c>
      <c r="C18652" s="1" t="s">
        <v>5658</v>
      </c>
      <c r="D18652" s="1" t="s">
        <v>5659</v>
      </c>
    </row>
    <row r="18653">
      <c r="A18653" s="1" t="s">
        <v>29908</v>
      </c>
      <c r="B18653" s="2" t="s">
        <v>27076</v>
      </c>
      <c r="C18653" s="1" t="s">
        <v>5658</v>
      </c>
      <c r="D18653" s="1" t="s">
        <v>5659</v>
      </c>
    </row>
    <row r="18654">
      <c r="A18654" s="1" t="s">
        <v>29909</v>
      </c>
      <c r="B18654" s="2" t="s">
        <v>27078</v>
      </c>
      <c r="C18654" s="1" t="s">
        <v>5658</v>
      </c>
      <c r="D18654" s="1" t="s">
        <v>5659</v>
      </c>
    </row>
    <row r="18655">
      <c r="A18655" s="1" t="s">
        <v>29910</v>
      </c>
      <c r="B18655" s="2" t="s">
        <v>27080</v>
      </c>
      <c r="C18655" s="1" t="s">
        <v>5658</v>
      </c>
      <c r="D18655" s="1" t="s">
        <v>5659</v>
      </c>
    </row>
    <row r="18656">
      <c r="A18656" s="1" t="s">
        <v>29911</v>
      </c>
      <c r="B18656" s="2" t="s">
        <v>27082</v>
      </c>
      <c r="C18656" s="1" t="s">
        <v>5658</v>
      </c>
      <c r="D18656" s="1" t="s">
        <v>5659</v>
      </c>
    </row>
    <row r="18657">
      <c r="A18657" s="1" t="s">
        <v>29912</v>
      </c>
      <c r="B18657" s="2" t="s">
        <v>27084</v>
      </c>
      <c r="C18657" s="1" t="s">
        <v>5658</v>
      </c>
      <c r="D18657" s="1" t="s">
        <v>5659</v>
      </c>
    </row>
    <row r="18658">
      <c r="A18658" s="1" t="s">
        <v>29913</v>
      </c>
      <c r="B18658" s="2" t="s">
        <v>27086</v>
      </c>
      <c r="C18658" s="1" t="s">
        <v>5658</v>
      </c>
      <c r="D18658" s="1" t="s">
        <v>5659</v>
      </c>
    </row>
    <row r="18659">
      <c r="A18659" s="1" t="s">
        <v>29914</v>
      </c>
      <c r="B18659" s="2" t="s">
        <v>27088</v>
      </c>
      <c r="C18659" s="1" t="s">
        <v>5658</v>
      </c>
      <c r="D18659" s="1" t="s">
        <v>5659</v>
      </c>
    </row>
    <row r="18660">
      <c r="A18660" s="1" t="s">
        <v>29915</v>
      </c>
      <c r="B18660" s="2" t="s">
        <v>27090</v>
      </c>
      <c r="C18660" s="1" t="s">
        <v>5658</v>
      </c>
      <c r="D18660" s="1" t="s">
        <v>5659</v>
      </c>
    </row>
    <row r="18661">
      <c r="A18661" s="1" t="s">
        <v>5661</v>
      </c>
      <c r="B18661" s="2" t="s">
        <v>7</v>
      </c>
      <c r="C18661" s="1" t="s">
        <v>5662</v>
      </c>
      <c r="D18661" s="1" t="s">
        <v>5664</v>
      </c>
    </row>
    <row r="18662">
      <c r="A18662" s="1" t="s">
        <v>29916</v>
      </c>
      <c r="B18662" s="2" t="s">
        <v>25962</v>
      </c>
      <c r="C18662" s="1" t="s">
        <v>5662</v>
      </c>
      <c r="D18662" s="1" t="s">
        <v>5664</v>
      </c>
    </row>
    <row r="18663">
      <c r="A18663" s="1" t="s">
        <v>29917</v>
      </c>
      <c r="B18663" s="2" t="s">
        <v>25964</v>
      </c>
      <c r="C18663" s="1" t="s">
        <v>5662</v>
      </c>
      <c r="D18663" s="1" t="s">
        <v>5664</v>
      </c>
    </row>
    <row r="18664">
      <c r="A18664" s="1" t="s">
        <v>29918</v>
      </c>
      <c r="B18664" s="2" t="s">
        <v>25966</v>
      </c>
      <c r="C18664" s="1" t="s">
        <v>5662</v>
      </c>
      <c r="D18664" s="1" t="s">
        <v>5664</v>
      </c>
    </row>
    <row r="18665">
      <c r="A18665" s="1" t="s">
        <v>29919</v>
      </c>
      <c r="B18665" s="2" t="s">
        <v>25968</v>
      </c>
      <c r="C18665" s="1" t="s">
        <v>5662</v>
      </c>
      <c r="D18665" s="1" t="s">
        <v>5664</v>
      </c>
    </row>
    <row r="18666">
      <c r="A18666" s="1" t="s">
        <v>29920</v>
      </c>
      <c r="B18666" s="2" t="s">
        <v>25970</v>
      </c>
      <c r="C18666" s="1" t="s">
        <v>5662</v>
      </c>
      <c r="D18666" s="1" t="s">
        <v>5664</v>
      </c>
    </row>
    <row r="18667">
      <c r="A18667" s="1" t="s">
        <v>29921</v>
      </c>
      <c r="B18667" s="2" t="s">
        <v>25972</v>
      </c>
      <c r="C18667" s="1" t="s">
        <v>5662</v>
      </c>
      <c r="D18667" s="1" t="s">
        <v>5664</v>
      </c>
    </row>
    <row r="18668">
      <c r="A18668" s="1" t="s">
        <v>29922</v>
      </c>
      <c r="B18668" s="2" t="s">
        <v>25974</v>
      </c>
      <c r="C18668" s="1" t="s">
        <v>5662</v>
      </c>
      <c r="D18668" s="1" t="s">
        <v>5664</v>
      </c>
    </row>
    <row r="18669">
      <c r="A18669" s="1" t="s">
        <v>29923</v>
      </c>
      <c r="B18669" s="2" t="s">
        <v>25976</v>
      </c>
      <c r="C18669" s="1" t="s">
        <v>5662</v>
      </c>
      <c r="D18669" s="1" t="s">
        <v>5664</v>
      </c>
    </row>
    <row r="18670">
      <c r="A18670" s="1" t="s">
        <v>29924</v>
      </c>
      <c r="B18670" s="2" t="s">
        <v>25978</v>
      </c>
      <c r="C18670" s="1" t="s">
        <v>5662</v>
      </c>
      <c r="D18670" s="1" t="s">
        <v>5664</v>
      </c>
    </row>
    <row r="18671">
      <c r="A18671" s="1" t="s">
        <v>29925</v>
      </c>
      <c r="B18671" s="2" t="s">
        <v>25980</v>
      </c>
      <c r="C18671" s="1" t="s">
        <v>5662</v>
      </c>
      <c r="D18671" s="1" t="s">
        <v>5664</v>
      </c>
    </row>
    <row r="18672">
      <c r="A18672" s="1" t="s">
        <v>29926</v>
      </c>
      <c r="B18672" s="2" t="s">
        <v>25982</v>
      </c>
      <c r="C18672" s="1" t="s">
        <v>5662</v>
      </c>
      <c r="D18672" s="1" t="s">
        <v>5664</v>
      </c>
    </row>
    <row r="18673">
      <c r="A18673" s="1" t="s">
        <v>29927</v>
      </c>
      <c r="B18673" s="2" t="s">
        <v>25984</v>
      </c>
      <c r="C18673" s="1" t="s">
        <v>5662</v>
      </c>
      <c r="D18673" s="1" t="s">
        <v>5664</v>
      </c>
    </row>
    <row r="18674">
      <c r="A18674" s="1" t="s">
        <v>29928</v>
      </c>
      <c r="B18674" s="2" t="s">
        <v>25986</v>
      </c>
      <c r="C18674" s="1" t="s">
        <v>5662</v>
      </c>
      <c r="D18674" s="1" t="s">
        <v>5664</v>
      </c>
    </row>
    <row r="18675">
      <c r="A18675" s="1" t="s">
        <v>29929</v>
      </c>
      <c r="B18675" s="2" t="s">
        <v>25988</v>
      </c>
      <c r="C18675" s="1" t="s">
        <v>5662</v>
      </c>
      <c r="D18675" s="1" t="s">
        <v>5664</v>
      </c>
    </row>
    <row r="18676">
      <c r="A18676" s="1" t="s">
        <v>29930</v>
      </c>
      <c r="B18676" s="2" t="s">
        <v>25990</v>
      </c>
      <c r="C18676" s="1" t="s">
        <v>5662</v>
      </c>
      <c r="D18676" s="1" t="s">
        <v>5664</v>
      </c>
    </row>
    <row r="18677">
      <c r="A18677" s="1" t="s">
        <v>29931</v>
      </c>
      <c r="B18677" s="2" t="s">
        <v>25992</v>
      </c>
      <c r="C18677" s="1" t="s">
        <v>5662</v>
      </c>
      <c r="D18677" s="1" t="s">
        <v>5664</v>
      </c>
    </row>
    <row r="18678">
      <c r="A18678" s="1" t="s">
        <v>29932</v>
      </c>
      <c r="B18678" s="2" t="s">
        <v>25994</v>
      </c>
      <c r="C18678" s="1" t="s">
        <v>5662</v>
      </c>
      <c r="D18678" s="1" t="s">
        <v>5664</v>
      </c>
    </row>
    <row r="18679">
      <c r="A18679" s="1" t="s">
        <v>29933</v>
      </c>
      <c r="B18679" s="2" t="s">
        <v>25996</v>
      </c>
      <c r="C18679" s="1" t="s">
        <v>5662</v>
      </c>
      <c r="D18679" s="1" t="s">
        <v>5664</v>
      </c>
    </row>
    <row r="18680">
      <c r="A18680" s="1" t="s">
        <v>29934</v>
      </c>
      <c r="B18680" s="2" t="s">
        <v>25998</v>
      </c>
      <c r="C18680" s="1" t="s">
        <v>5662</v>
      </c>
      <c r="D18680" s="1" t="s">
        <v>5664</v>
      </c>
    </row>
    <row r="18681">
      <c r="A18681" s="1" t="s">
        <v>29935</v>
      </c>
      <c r="B18681" s="2" t="s">
        <v>26000</v>
      </c>
      <c r="C18681" s="1" t="s">
        <v>5662</v>
      </c>
      <c r="D18681" s="1" t="s">
        <v>5664</v>
      </c>
    </row>
    <row r="18682">
      <c r="A18682" s="1" t="s">
        <v>29936</v>
      </c>
      <c r="B18682" s="2" t="s">
        <v>26002</v>
      </c>
      <c r="C18682" s="1" t="s">
        <v>5662</v>
      </c>
      <c r="D18682" s="1" t="s">
        <v>5664</v>
      </c>
    </row>
    <row r="18683">
      <c r="A18683" s="1" t="s">
        <v>29937</v>
      </c>
      <c r="B18683" s="2" t="s">
        <v>26004</v>
      </c>
      <c r="C18683" s="1" t="s">
        <v>5662</v>
      </c>
      <c r="D18683" s="1" t="s">
        <v>5664</v>
      </c>
    </row>
    <row r="18684">
      <c r="A18684" s="1" t="s">
        <v>29938</v>
      </c>
      <c r="B18684" s="2" t="s">
        <v>26006</v>
      </c>
      <c r="C18684" s="1" t="s">
        <v>5662</v>
      </c>
      <c r="D18684" s="1" t="s">
        <v>5664</v>
      </c>
    </row>
    <row r="18685">
      <c r="A18685" s="1" t="s">
        <v>29939</v>
      </c>
      <c r="B18685" s="2" t="s">
        <v>26008</v>
      </c>
      <c r="C18685" s="1" t="s">
        <v>5662</v>
      </c>
      <c r="D18685" s="1" t="s">
        <v>5664</v>
      </c>
    </row>
    <row r="18686">
      <c r="A18686" s="1" t="s">
        <v>29940</v>
      </c>
      <c r="B18686" s="2" t="s">
        <v>26010</v>
      </c>
      <c r="C18686" s="1" t="s">
        <v>5662</v>
      </c>
      <c r="D18686" s="1" t="s">
        <v>5664</v>
      </c>
    </row>
    <row r="18687">
      <c r="A18687" s="1" t="s">
        <v>29941</v>
      </c>
      <c r="B18687" s="2" t="s">
        <v>26012</v>
      </c>
      <c r="C18687" s="1" t="s">
        <v>5662</v>
      </c>
      <c r="D18687" s="1" t="s">
        <v>5664</v>
      </c>
    </row>
    <row r="18688">
      <c r="A18688" s="1" t="s">
        <v>29942</v>
      </c>
      <c r="B18688" s="2" t="s">
        <v>26014</v>
      </c>
      <c r="C18688" s="1" t="s">
        <v>5662</v>
      </c>
      <c r="D18688" s="1" t="s">
        <v>5664</v>
      </c>
    </row>
    <row r="18689">
      <c r="A18689" s="1" t="s">
        <v>29943</v>
      </c>
      <c r="B18689" s="2" t="s">
        <v>26016</v>
      </c>
      <c r="C18689" s="1" t="s">
        <v>5662</v>
      </c>
      <c r="D18689" s="1" t="s">
        <v>5664</v>
      </c>
    </row>
    <row r="18690">
      <c r="A18690" s="1" t="s">
        <v>29944</v>
      </c>
      <c r="B18690" s="2" t="s">
        <v>26018</v>
      </c>
      <c r="C18690" s="1" t="s">
        <v>5662</v>
      </c>
      <c r="D18690" s="1" t="s">
        <v>5664</v>
      </c>
    </row>
    <row r="18691">
      <c r="A18691" s="1" t="s">
        <v>29945</v>
      </c>
      <c r="B18691" s="2" t="s">
        <v>26020</v>
      </c>
      <c r="C18691" s="1" t="s">
        <v>5662</v>
      </c>
      <c r="D18691" s="1" t="s">
        <v>5664</v>
      </c>
    </row>
    <row r="18692">
      <c r="A18692" s="1" t="s">
        <v>29946</v>
      </c>
      <c r="B18692" s="2" t="s">
        <v>26022</v>
      </c>
      <c r="C18692" s="1" t="s">
        <v>5662</v>
      </c>
      <c r="D18692" s="1" t="s">
        <v>5664</v>
      </c>
    </row>
    <row r="18693">
      <c r="A18693" s="1" t="s">
        <v>29947</v>
      </c>
      <c r="B18693" s="2" t="s">
        <v>26024</v>
      </c>
      <c r="C18693" s="1" t="s">
        <v>5662</v>
      </c>
      <c r="D18693" s="1" t="s">
        <v>5664</v>
      </c>
    </row>
    <row r="18694">
      <c r="A18694" s="1" t="s">
        <v>29948</v>
      </c>
      <c r="B18694" s="2" t="s">
        <v>26026</v>
      </c>
      <c r="C18694" s="1" t="s">
        <v>5662</v>
      </c>
      <c r="D18694" s="1" t="s">
        <v>5664</v>
      </c>
    </row>
    <row r="18695">
      <c r="A18695" s="1" t="s">
        <v>29949</v>
      </c>
      <c r="B18695" s="2" t="s">
        <v>26028</v>
      </c>
      <c r="C18695" s="1" t="s">
        <v>5662</v>
      </c>
      <c r="D18695" s="1" t="s">
        <v>5664</v>
      </c>
    </row>
    <row r="18696">
      <c r="A18696" s="1" t="s">
        <v>29950</v>
      </c>
      <c r="B18696" s="2" t="s">
        <v>26030</v>
      </c>
      <c r="C18696" s="1" t="s">
        <v>5662</v>
      </c>
      <c r="D18696" s="1" t="s">
        <v>5664</v>
      </c>
    </row>
    <row r="18697">
      <c r="A18697" s="1" t="s">
        <v>29951</v>
      </c>
      <c r="B18697" s="2" t="s">
        <v>26032</v>
      </c>
      <c r="C18697" s="1" t="s">
        <v>5662</v>
      </c>
      <c r="D18697" s="1" t="s">
        <v>5664</v>
      </c>
    </row>
    <row r="18698">
      <c r="A18698" s="1" t="s">
        <v>29952</v>
      </c>
      <c r="B18698" s="2" t="s">
        <v>26034</v>
      </c>
      <c r="C18698" s="1" t="s">
        <v>5662</v>
      </c>
      <c r="D18698" s="1" t="s">
        <v>5664</v>
      </c>
    </row>
    <row r="18699">
      <c r="A18699" s="1" t="s">
        <v>29953</v>
      </c>
      <c r="B18699" s="2" t="s">
        <v>26036</v>
      </c>
      <c r="C18699" s="1" t="s">
        <v>5662</v>
      </c>
      <c r="D18699" s="1" t="s">
        <v>5664</v>
      </c>
    </row>
    <row r="18700">
      <c r="A18700" s="1" t="s">
        <v>29954</v>
      </c>
      <c r="B18700" s="2" t="s">
        <v>26038</v>
      </c>
      <c r="C18700" s="1" t="s">
        <v>5662</v>
      </c>
      <c r="D18700" s="1" t="s">
        <v>5664</v>
      </c>
    </row>
    <row r="18701">
      <c r="A18701" s="1" t="s">
        <v>29955</v>
      </c>
      <c r="B18701" s="2" t="s">
        <v>26040</v>
      </c>
      <c r="C18701" s="1" t="s">
        <v>5662</v>
      </c>
      <c r="D18701" s="1" t="s">
        <v>5664</v>
      </c>
    </row>
    <row r="18702">
      <c r="A18702" s="1" t="s">
        <v>29956</v>
      </c>
      <c r="B18702" s="2" t="s">
        <v>26042</v>
      </c>
      <c r="C18702" s="1" t="s">
        <v>5662</v>
      </c>
      <c r="D18702" s="1" t="s">
        <v>5664</v>
      </c>
    </row>
    <row r="18703">
      <c r="A18703" s="1" t="s">
        <v>29957</v>
      </c>
      <c r="B18703" s="2" t="s">
        <v>26044</v>
      </c>
      <c r="C18703" s="1" t="s">
        <v>5662</v>
      </c>
      <c r="D18703" s="1" t="s">
        <v>5664</v>
      </c>
    </row>
    <row r="18704">
      <c r="A18704" s="1" t="s">
        <v>29958</v>
      </c>
      <c r="B18704" s="2" t="s">
        <v>26046</v>
      </c>
      <c r="C18704" s="1" t="s">
        <v>5662</v>
      </c>
      <c r="D18704" s="1" t="s">
        <v>5664</v>
      </c>
    </row>
    <row r="18705">
      <c r="A18705" s="1" t="s">
        <v>29959</v>
      </c>
      <c r="B18705" s="2" t="s">
        <v>26048</v>
      </c>
      <c r="C18705" s="1" t="s">
        <v>5662</v>
      </c>
      <c r="D18705" s="1" t="s">
        <v>5664</v>
      </c>
    </row>
    <row r="18706">
      <c r="A18706" s="1" t="s">
        <v>29960</v>
      </c>
      <c r="B18706" s="2" t="s">
        <v>26050</v>
      </c>
      <c r="C18706" s="1" t="s">
        <v>5662</v>
      </c>
      <c r="D18706" s="1" t="s">
        <v>5664</v>
      </c>
    </row>
    <row r="18707">
      <c r="A18707" s="1" t="s">
        <v>29961</v>
      </c>
      <c r="B18707" s="2" t="s">
        <v>26052</v>
      </c>
      <c r="C18707" s="1" t="s">
        <v>5662</v>
      </c>
      <c r="D18707" s="1" t="s">
        <v>5664</v>
      </c>
    </row>
    <row r="18708">
      <c r="A18708" s="1" t="s">
        <v>29962</v>
      </c>
      <c r="B18708" s="2" t="s">
        <v>26054</v>
      </c>
      <c r="C18708" s="1" t="s">
        <v>5662</v>
      </c>
      <c r="D18708" s="1" t="s">
        <v>5664</v>
      </c>
    </row>
    <row r="18709">
      <c r="A18709" s="1" t="s">
        <v>29963</v>
      </c>
      <c r="B18709" s="2" t="s">
        <v>26056</v>
      </c>
      <c r="C18709" s="1" t="s">
        <v>5662</v>
      </c>
      <c r="D18709" s="1" t="s">
        <v>5664</v>
      </c>
    </row>
    <row r="18710">
      <c r="A18710" s="1" t="s">
        <v>29964</v>
      </c>
      <c r="B18710" s="2" t="s">
        <v>26058</v>
      </c>
      <c r="C18710" s="1" t="s">
        <v>5662</v>
      </c>
      <c r="D18710" s="1" t="s">
        <v>5664</v>
      </c>
    </row>
    <row r="18711">
      <c r="A18711" s="1" t="s">
        <v>29965</v>
      </c>
      <c r="B18711" s="2" t="s">
        <v>26060</v>
      </c>
      <c r="C18711" s="1" t="s">
        <v>5662</v>
      </c>
      <c r="D18711" s="1" t="s">
        <v>5664</v>
      </c>
    </row>
    <row r="18712">
      <c r="A18712" s="1" t="s">
        <v>29966</v>
      </c>
      <c r="B18712" s="2" t="s">
        <v>26062</v>
      </c>
      <c r="C18712" s="1" t="s">
        <v>5662</v>
      </c>
      <c r="D18712" s="1" t="s">
        <v>5664</v>
      </c>
    </row>
    <row r="18713">
      <c r="A18713" s="1" t="s">
        <v>29967</v>
      </c>
      <c r="B18713" s="2" t="s">
        <v>26064</v>
      </c>
      <c r="C18713" s="1" t="s">
        <v>5662</v>
      </c>
      <c r="D18713" s="1" t="s">
        <v>5664</v>
      </c>
    </row>
    <row r="18714">
      <c r="A18714" s="1" t="s">
        <v>29968</v>
      </c>
      <c r="B18714" s="2" t="s">
        <v>26066</v>
      </c>
      <c r="C18714" s="1" t="s">
        <v>5662</v>
      </c>
      <c r="D18714" s="1" t="s">
        <v>5664</v>
      </c>
    </row>
    <row r="18715">
      <c r="A18715" s="1" t="s">
        <v>29969</v>
      </c>
      <c r="B18715" s="2" t="s">
        <v>26068</v>
      </c>
      <c r="C18715" s="1" t="s">
        <v>5662</v>
      </c>
      <c r="D18715" s="1" t="s">
        <v>5664</v>
      </c>
    </row>
    <row r="18716">
      <c r="A18716" s="1" t="s">
        <v>29970</v>
      </c>
      <c r="B18716" s="2" t="s">
        <v>26070</v>
      </c>
      <c r="C18716" s="1" t="s">
        <v>5662</v>
      </c>
      <c r="D18716" s="1" t="s">
        <v>5664</v>
      </c>
    </row>
    <row r="18717">
      <c r="A18717" s="1" t="s">
        <v>29971</v>
      </c>
      <c r="B18717" s="2" t="s">
        <v>26072</v>
      </c>
      <c r="C18717" s="1" t="s">
        <v>5662</v>
      </c>
      <c r="D18717" s="1" t="s">
        <v>5664</v>
      </c>
    </row>
    <row r="18718">
      <c r="A18718" s="1" t="s">
        <v>29972</v>
      </c>
      <c r="B18718" s="2" t="s">
        <v>26074</v>
      </c>
      <c r="C18718" s="1" t="s">
        <v>5662</v>
      </c>
      <c r="D18718" s="1" t="s">
        <v>5664</v>
      </c>
    </row>
    <row r="18719">
      <c r="A18719" s="1" t="s">
        <v>29973</v>
      </c>
      <c r="B18719" s="2" t="s">
        <v>26076</v>
      </c>
      <c r="C18719" s="1" t="s">
        <v>5662</v>
      </c>
      <c r="D18719" s="1" t="s">
        <v>5664</v>
      </c>
    </row>
    <row r="18720">
      <c r="A18720" s="1" t="s">
        <v>29974</v>
      </c>
      <c r="B18720" s="2" t="s">
        <v>26078</v>
      </c>
      <c r="C18720" s="1" t="s">
        <v>5662</v>
      </c>
      <c r="D18720" s="1" t="s">
        <v>5664</v>
      </c>
    </row>
    <row r="18721">
      <c r="A18721" s="1" t="s">
        <v>29975</v>
      </c>
      <c r="B18721" s="2" t="s">
        <v>26080</v>
      </c>
      <c r="C18721" s="1" t="s">
        <v>5662</v>
      </c>
      <c r="D18721" s="1" t="s">
        <v>5664</v>
      </c>
    </row>
    <row r="18722">
      <c r="A18722" s="1" t="s">
        <v>29976</v>
      </c>
      <c r="B18722" s="2" t="s">
        <v>26082</v>
      </c>
      <c r="C18722" s="1" t="s">
        <v>5662</v>
      </c>
      <c r="D18722" s="1" t="s">
        <v>5664</v>
      </c>
    </row>
    <row r="18723">
      <c r="A18723" s="1" t="s">
        <v>29977</v>
      </c>
      <c r="B18723" s="2" t="s">
        <v>26084</v>
      </c>
      <c r="C18723" s="1" t="s">
        <v>5662</v>
      </c>
      <c r="D18723" s="1" t="s">
        <v>5664</v>
      </c>
    </row>
    <row r="18724">
      <c r="A18724" s="1" t="s">
        <v>29978</v>
      </c>
      <c r="B18724" s="2" t="s">
        <v>26086</v>
      </c>
      <c r="C18724" s="1" t="s">
        <v>5662</v>
      </c>
      <c r="D18724" s="1" t="s">
        <v>5664</v>
      </c>
    </row>
    <row r="18725">
      <c r="A18725" s="1" t="s">
        <v>29979</v>
      </c>
      <c r="B18725" s="2" t="s">
        <v>26088</v>
      </c>
      <c r="C18725" s="1" t="s">
        <v>5662</v>
      </c>
      <c r="D18725" s="1" t="s">
        <v>5664</v>
      </c>
    </row>
    <row r="18726">
      <c r="A18726" s="1" t="s">
        <v>29980</v>
      </c>
      <c r="B18726" s="2" t="s">
        <v>26090</v>
      </c>
      <c r="C18726" s="1" t="s">
        <v>5662</v>
      </c>
      <c r="D18726" s="1" t="s">
        <v>5664</v>
      </c>
    </row>
    <row r="18727">
      <c r="A18727" s="1" t="s">
        <v>29981</v>
      </c>
      <c r="B18727" s="2" t="s">
        <v>26092</v>
      </c>
      <c r="C18727" s="1" t="s">
        <v>5662</v>
      </c>
      <c r="D18727" s="1" t="s">
        <v>5664</v>
      </c>
    </row>
    <row r="18728">
      <c r="A18728" s="1" t="s">
        <v>29982</v>
      </c>
      <c r="B18728" s="2" t="s">
        <v>26094</v>
      </c>
      <c r="C18728" s="1" t="s">
        <v>5662</v>
      </c>
      <c r="D18728" s="1" t="s">
        <v>5664</v>
      </c>
    </row>
    <row r="18729">
      <c r="A18729" s="1" t="s">
        <v>29983</v>
      </c>
      <c r="B18729" s="2" t="s">
        <v>26096</v>
      </c>
      <c r="C18729" s="1" t="s">
        <v>5662</v>
      </c>
      <c r="D18729" s="1" t="s">
        <v>5664</v>
      </c>
    </row>
    <row r="18730">
      <c r="A18730" s="1" t="s">
        <v>29984</v>
      </c>
      <c r="B18730" s="2" t="s">
        <v>26098</v>
      </c>
      <c r="C18730" s="1" t="s">
        <v>5662</v>
      </c>
      <c r="D18730" s="1" t="s">
        <v>5664</v>
      </c>
    </row>
    <row r="18731">
      <c r="A18731" s="1" t="s">
        <v>29985</v>
      </c>
      <c r="B18731" s="2" t="s">
        <v>26100</v>
      </c>
      <c r="C18731" s="1" t="s">
        <v>5662</v>
      </c>
      <c r="D18731" s="1" t="s">
        <v>5664</v>
      </c>
    </row>
    <row r="18732">
      <c r="A18732" s="1" t="s">
        <v>29986</v>
      </c>
      <c r="B18732" s="2" t="s">
        <v>26102</v>
      </c>
      <c r="C18732" s="1" t="s">
        <v>5662</v>
      </c>
      <c r="D18732" s="1" t="s">
        <v>5664</v>
      </c>
    </row>
    <row r="18733">
      <c r="A18733" s="1" t="s">
        <v>29987</v>
      </c>
      <c r="B18733" s="2" t="s">
        <v>26104</v>
      </c>
      <c r="C18733" s="1" t="s">
        <v>5662</v>
      </c>
      <c r="D18733" s="1" t="s">
        <v>5664</v>
      </c>
    </row>
    <row r="18734">
      <c r="A18734" s="1" t="s">
        <v>29988</v>
      </c>
      <c r="B18734" s="2" t="s">
        <v>26106</v>
      </c>
      <c r="C18734" s="1" t="s">
        <v>5662</v>
      </c>
      <c r="D18734" s="1" t="s">
        <v>5664</v>
      </c>
    </row>
    <row r="18735">
      <c r="A18735" s="1" t="s">
        <v>29989</v>
      </c>
      <c r="B18735" s="2" t="s">
        <v>26108</v>
      </c>
      <c r="C18735" s="1" t="s">
        <v>5662</v>
      </c>
      <c r="D18735" s="1" t="s">
        <v>5664</v>
      </c>
    </row>
    <row r="18736">
      <c r="A18736" s="1" t="s">
        <v>29990</v>
      </c>
      <c r="B18736" s="2" t="s">
        <v>26110</v>
      </c>
      <c r="C18736" s="1" t="s">
        <v>5662</v>
      </c>
      <c r="D18736" s="1" t="s">
        <v>5664</v>
      </c>
    </row>
    <row r="18737">
      <c r="A18737" s="1" t="s">
        <v>29991</v>
      </c>
      <c r="B18737" s="2" t="s">
        <v>26112</v>
      </c>
      <c r="C18737" s="1" t="s">
        <v>5662</v>
      </c>
      <c r="D18737" s="1" t="s">
        <v>5664</v>
      </c>
    </row>
    <row r="18738">
      <c r="A18738" s="1" t="s">
        <v>29992</v>
      </c>
      <c r="B18738" s="2" t="s">
        <v>26114</v>
      </c>
      <c r="C18738" s="1" t="s">
        <v>5662</v>
      </c>
      <c r="D18738" s="1" t="s">
        <v>5664</v>
      </c>
    </row>
    <row r="18739">
      <c r="A18739" s="1" t="s">
        <v>29993</v>
      </c>
      <c r="B18739" s="2" t="s">
        <v>26116</v>
      </c>
      <c r="C18739" s="1" t="s">
        <v>5662</v>
      </c>
      <c r="D18739" s="1" t="s">
        <v>5664</v>
      </c>
    </row>
    <row r="18740">
      <c r="A18740" s="1" t="s">
        <v>29994</v>
      </c>
      <c r="B18740" s="2" t="s">
        <v>26118</v>
      </c>
      <c r="C18740" s="1" t="s">
        <v>5662</v>
      </c>
      <c r="D18740" s="1" t="s">
        <v>5664</v>
      </c>
    </row>
    <row r="18741">
      <c r="A18741" s="1" t="s">
        <v>29995</v>
      </c>
      <c r="B18741" s="2" t="s">
        <v>26120</v>
      </c>
      <c r="C18741" s="1" t="s">
        <v>5662</v>
      </c>
      <c r="D18741" s="1" t="s">
        <v>5664</v>
      </c>
    </row>
    <row r="18742">
      <c r="A18742" s="1" t="s">
        <v>29996</v>
      </c>
      <c r="B18742" s="2" t="s">
        <v>26122</v>
      </c>
      <c r="C18742" s="1" t="s">
        <v>5662</v>
      </c>
      <c r="D18742" s="1" t="s">
        <v>5664</v>
      </c>
    </row>
    <row r="18743">
      <c r="A18743" s="1" t="s">
        <v>29997</v>
      </c>
      <c r="B18743" s="2" t="s">
        <v>26124</v>
      </c>
      <c r="C18743" s="1" t="s">
        <v>5662</v>
      </c>
      <c r="D18743" s="1" t="s">
        <v>5664</v>
      </c>
    </row>
    <row r="18744">
      <c r="A18744" s="1" t="s">
        <v>29998</v>
      </c>
      <c r="B18744" s="2" t="s">
        <v>26126</v>
      </c>
      <c r="C18744" s="1" t="s">
        <v>5662</v>
      </c>
      <c r="D18744" s="1" t="s">
        <v>5664</v>
      </c>
    </row>
    <row r="18745">
      <c r="A18745" s="1" t="s">
        <v>29999</v>
      </c>
      <c r="B18745" s="2" t="s">
        <v>26128</v>
      </c>
      <c r="C18745" s="1" t="s">
        <v>5662</v>
      </c>
      <c r="D18745" s="1" t="s">
        <v>5664</v>
      </c>
    </row>
    <row r="18746">
      <c r="A18746" s="1" t="s">
        <v>30000</v>
      </c>
      <c r="B18746" s="2" t="s">
        <v>26130</v>
      </c>
      <c r="C18746" s="1" t="s">
        <v>5662</v>
      </c>
      <c r="D18746" s="1" t="s">
        <v>5664</v>
      </c>
    </row>
    <row r="18747">
      <c r="A18747" s="1" t="s">
        <v>30001</v>
      </c>
      <c r="B18747" s="2" t="s">
        <v>26132</v>
      </c>
      <c r="C18747" s="1" t="s">
        <v>5662</v>
      </c>
      <c r="D18747" s="1" t="s">
        <v>5664</v>
      </c>
    </row>
    <row r="18748">
      <c r="A18748" s="1" t="s">
        <v>30002</v>
      </c>
      <c r="B18748" s="2" t="s">
        <v>26134</v>
      </c>
      <c r="C18748" s="1" t="s">
        <v>5662</v>
      </c>
      <c r="D18748" s="1" t="s">
        <v>5664</v>
      </c>
    </row>
    <row r="18749">
      <c r="A18749" s="1" t="s">
        <v>30003</v>
      </c>
      <c r="B18749" s="2" t="s">
        <v>26136</v>
      </c>
      <c r="C18749" s="1" t="s">
        <v>5662</v>
      </c>
      <c r="D18749" s="1" t="s">
        <v>5664</v>
      </c>
    </row>
    <row r="18750">
      <c r="A18750" s="1" t="s">
        <v>30004</v>
      </c>
      <c r="B18750" s="2" t="s">
        <v>26138</v>
      </c>
      <c r="C18750" s="1" t="s">
        <v>5662</v>
      </c>
      <c r="D18750" s="1" t="s">
        <v>5664</v>
      </c>
    </row>
    <row r="18751">
      <c r="A18751" s="1" t="s">
        <v>30005</v>
      </c>
      <c r="B18751" s="2" t="s">
        <v>26140</v>
      </c>
      <c r="C18751" s="1" t="s">
        <v>5662</v>
      </c>
      <c r="D18751" s="1" t="s">
        <v>5664</v>
      </c>
    </row>
    <row r="18752">
      <c r="A18752" s="1" t="s">
        <v>30006</v>
      </c>
      <c r="B18752" s="2" t="s">
        <v>26142</v>
      </c>
      <c r="C18752" s="1" t="s">
        <v>5662</v>
      </c>
      <c r="D18752" s="1" t="s">
        <v>5664</v>
      </c>
    </row>
    <row r="18753">
      <c r="A18753" s="1" t="s">
        <v>30007</v>
      </c>
      <c r="B18753" s="2" t="s">
        <v>26144</v>
      </c>
      <c r="C18753" s="1" t="s">
        <v>5662</v>
      </c>
      <c r="D18753" s="1" t="s">
        <v>5664</v>
      </c>
    </row>
    <row r="18754">
      <c r="A18754" s="1" t="s">
        <v>30008</v>
      </c>
      <c r="B18754" s="2" t="s">
        <v>26146</v>
      </c>
      <c r="C18754" s="1" t="s">
        <v>5662</v>
      </c>
      <c r="D18754" s="1" t="s">
        <v>5664</v>
      </c>
    </row>
    <row r="18755">
      <c r="A18755" s="1" t="s">
        <v>30009</v>
      </c>
      <c r="B18755" s="2" t="s">
        <v>26148</v>
      </c>
      <c r="C18755" s="1" t="s">
        <v>5662</v>
      </c>
      <c r="D18755" s="1" t="s">
        <v>5664</v>
      </c>
    </row>
    <row r="18756">
      <c r="A18756" s="1" t="s">
        <v>30010</v>
      </c>
      <c r="B18756" s="2" t="s">
        <v>26150</v>
      </c>
      <c r="C18756" s="1" t="s">
        <v>5662</v>
      </c>
      <c r="D18756" s="1" t="s">
        <v>5664</v>
      </c>
    </row>
    <row r="18757">
      <c r="A18757" s="1" t="s">
        <v>30011</v>
      </c>
      <c r="B18757" s="2" t="s">
        <v>26152</v>
      </c>
      <c r="C18757" s="1" t="s">
        <v>5662</v>
      </c>
      <c r="D18757" s="1" t="s">
        <v>5664</v>
      </c>
    </row>
    <row r="18758">
      <c r="A18758" s="1" t="s">
        <v>30012</v>
      </c>
      <c r="B18758" s="2" t="s">
        <v>26154</v>
      </c>
      <c r="C18758" s="1" t="s">
        <v>5662</v>
      </c>
      <c r="D18758" s="1" t="s">
        <v>5664</v>
      </c>
    </row>
    <row r="18759">
      <c r="A18759" s="1" t="s">
        <v>30013</v>
      </c>
      <c r="B18759" s="2" t="s">
        <v>26156</v>
      </c>
      <c r="C18759" s="1" t="s">
        <v>5662</v>
      </c>
      <c r="D18759" s="1" t="s">
        <v>5664</v>
      </c>
    </row>
    <row r="18760">
      <c r="A18760" s="1" t="s">
        <v>30014</v>
      </c>
      <c r="B18760" s="2" t="s">
        <v>26158</v>
      </c>
      <c r="C18760" s="1" t="s">
        <v>5662</v>
      </c>
      <c r="D18760" s="1" t="s">
        <v>5664</v>
      </c>
    </row>
    <row r="18761">
      <c r="A18761" s="1" t="s">
        <v>30015</v>
      </c>
      <c r="B18761" s="2" t="s">
        <v>26160</v>
      </c>
      <c r="C18761" s="1" t="s">
        <v>5662</v>
      </c>
      <c r="D18761" s="1" t="s">
        <v>5664</v>
      </c>
    </row>
    <row r="18762">
      <c r="A18762" s="1" t="s">
        <v>30016</v>
      </c>
      <c r="B18762" s="2" t="s">
        <v>26162</v>
      </c>
      <c r="C18762" s="1" t="s">
        <v>5662</v>
      </c>
      <c r="D18762" s="1" t="s">
        <v>5664</v>
      </c>
    </row>
    <row r="18763">
      <c r="A18763" s="1" t="s">
        <v>30017</v>
      </c>
      <c r="B18763" s="2" t="s">
        <v>26164</v>
      </c>
      <c r="C18763" s="1" t="s">
        <v>5662</v>
      </c>
      <c r="D18763" s="1" t="s">
        <v>5664</v>
      </c>
    </row>
    <row r="18764">
      <c r="A18764" s="1" t="s">
        <v>30018</v>
      </c>
      <c r="B18764" s="2" t="s">
        <v>26166</v>
      </c>
      <c r="C18764" s="1" t="s">
        <v>5662</v>
      </c>
      <c r="D18764" s="1" t="s">
        <v>5664</v>
      </c>
    </row>
    <row r="18765">
      <c r="A18765" s="1" t="s">
        <v>30019</v>
      </c>
      <c r="B18765" s="2" t="s">
        <v>26168</v>
      </c>
      <c r="C18765" s="1" t="s">
        <v>5662</v>
      </c>
      <c r="D18765" s="1" t="s">
        <v>5664</v>
      </c>
    </row>
    <row r="18766">
      <c r="A18766" s="1" t="s">
        <v>30020</v>
      </c>
      <c r="B18766" s="2" t="s">
        <v>26170</v>
      </c>
      <c r="C18766" s="1" t="s">
        <v>5662</v>
      </c>
      <c r="D18766" s="1" t="s">
        <v>5664</v>
      </c>
    </row>
    <row r="18767">
      <c r="A18767" s="1" t="s">
        <v>30021</v>
      </c>
      <c r="B18767" s="2" t="s">
        <v>26172</v>
      </c>
      <c r="C18767" s="1" t="s">
        <v>5662</v>
      </c>
      <c r="D18767" s="1" t="s">
        <v>5664</v>
      </c>
    </row>
    <row r="18768">
      <c r="A18768" s="1" t="s">
        <v>30022</v>
      </c>
      <c r="B18768" s="2" t="s">
        <v>26174</v>
      </c>
      <c r="C18768" s="1" t="s">
        <v>5662</v>
      </c>
      <c r="D18768" s="1" t="s">
        <v>5664</v>
      </c>
    </row>
    <row r="18769">
      <c r="A18769" s="1" t="s">
        <v>30023</v>
      </c>
      <c r="B18769" s="2" t="s">
        <v>26176</v>
      </c>
      <c r="C18769" s="1" t="s">
        <v>5662</v>
      </c>
      <c r="D18769" s="1" t="s">
        <v>5664</v>
      </c>
    </row>
    <row r="18770">
      <c r="A18770" s="1" t="s">
        <v>30024</v>
      </c>
      <c r="B18770" s="2" t="s">
        <v>26178</v>
      </c>
      <c r="C18770" s="1" t="s">
        <v>5662</v>
      </c>
      <c r="D18770" s="1" t="s">
        <v>5664</v>
      </c>
    </row>
    <row r="18771">
      <c r="A18771" s="1" t="s">
        <v>30025</v>
      </c>
      <c r="B18771" s="2" t="s">
        <v>26180</v>
      </c>
      <c r="C18771" s="1" t="s">
        <v>5662</v>
      </c>
      <c r="D18771" s="1" t="s">
        <v>5664</v>
      </c>
    </row>
    <row r="18772">
      <c r="A18772" s="1" t="s">
        <v>30026</v>
      </c>
      <c r="B18772" s="2" t="s">
        <v>26182</v>
      </c>
      <c r="C18772" s="1" t="s">
        <v>5662</v>
      </c>
      <c r="D18772" s="1" t="s">
        <v>5664</v>
      </c>
    </row>
    <row r="18773">
      <c r="A18773" s="1" t="s">
        <v>30027</v>
      </c>
      <c r="B18773" s="2" t="s">
        <v>26184</v>
      </c>
      <c r="C18773" s="1" t="s">
        <v>5662</v>
      </c>
      <c r="D18773" s="1" t="s">
        <v>5664</v>
      </c>
    </row>
    <row r="18774">
      <c r="A18774" s="1" t="s">
        <v>30028</v>
      </c>
      <c r="B18774" s="2" t="s">
        <v>26186</v>
      </c>
      <c r="C18774" s="1" t="s">
        <v>5662</v>
      </c>
      <c r="D18774" s="1" t="s">
        <v>5664</v>
      </c>
    </row>
    <row r="18775">
      <c r="A18775" s="1" t="s">
        <v>30029</v>
      </c>
      <c r="B18775" s="2" t="s">
        <v>26188</v>
      </c>
      <c r="C18775" s="1" t="s">
        <v>5662</v>
      </c>
      <c r="D18775" s="1" t="s">
        <v>5664</v>
      </c>
    </row>
    <row r="18776">
      <c r="A18776" s="1" t="s">
        <v>30030</v>
      </c>
      <c r="B18776" s="2" t="s">
        <v>26190</v>
      </c>
      <c r="C18776" s="1" t="s">
        <v>5662</v>
      </c>
      <c r="D18776" s="1" t="s">
        <v>5664</v>
      </c>
    </row>
    <row r="18777">
      <c r="A18777" s="1" t="s">
        <v>30031</v>
      </c>
      <c r="B18777" s="2" t="s">
        <v>26192</v>
      </c>
      <c r="C18777" s="1" t="s">
        <v>5662</v>
      </c>
      <c r="D18777" s="1" t="s">
        <v>5664</v>
      </c>
    </row>
    <row r="18778">
      <c r="A18778" s="1" t="s">
        <v>30032</v>
      </c>
      <c r="B18778" s="2" t="s">
        <v>26194</v>
      </c>
      <c r="C18778" s="1" t="s">
        <v>5662</v>
      </c>
      <c r="D18778" s="1" t="s">
        <v>5664</v>
      </c>
    </row>
    <row r="18779">
      <c r="A18779" s="1" t="s">
        <v>30033</v>
      </c>
      <c r="B18779" s="2" t="s">
        <v>26196</v>
      </c>
      <c r="C18779" s="1" t="s">
        <v>5662</v>
      </c>
      <c r="D18779" s="1" t="s">
        <v>5664</v>
      </c>
    </row>
    <row r="18780">
      <c r="A18780" s="1" t="s">
        <v>30034</v>
      </c>
      <c r="B18780" s="2" t="s">
        <v>26198</v>
      </c>
      <c r="C18780" s="1" t="s">
        <v>5662</v>
      </c>
      <c r="D18780" s="1" t="s">
        <v>5664</v>
      </c>
    </row>
    <row r="18781">
      <c r="A18781" s="1" t="s">
        <v>30035</v>
      </c>
      <c r="B18781" s="2" t="s">
        <v>26200</v>
      </c>
      <c r="C18781" s="1" t="s">
        <v>5662</v>
      </c>
      <c r="D18781" s="1" t="s">
        <v>5664</v>
      </c>
    </row>
    <row r="18782">
      <c r="A18782" s="1" t="s">
        <v>30036</v>
      </c>
      <c r="B18782" s="2" t="s">
        <v>26202</v>
      </c>
      <c r="C18782" s="1" t="s">
        <v>5662</v>
      </c>
      <c r="D18782" s="1" t="s">
        <v>5664</v>
      </c>
    </row>
    <row r="18783">
      <c r="A18783" s="1" t="s">
        <v>30037</v>
      </c>
      <c r="B18783" s="2" t="s">
        <v>26204</v>
      </c>
      <c r="C18783" s="1" t="s">
        <v>5662</v>
      </c>
      <c r="D18783" s="1" t="s">
        <v>5664</v>
      </c>
    </row>
    <row r="18784">
      <c r="A18784" s="1" t="s">
        <v>30038</v>
      </c>
      <c r="B18784" s="2" t="s">
        <v>26206</v>
      </c>
      <c r="C18784" s="1" t="s">
        <v>5662</v>
      </c>
      <c r="D18784" s="1" t="s">
        <v>5664</v>
      </c>
    </row>
    <row r="18785">
      <c r="A18785" s="1" t="s">
        <v>30039</v>
      </c>
      <c r="B18785" s="2" t="s">
        <v>26208</v>
      </c>
      <c r="C18785" s="1" t="s">
        <v>5662</v>
      </c>
      <c r="D18785" s="1" t="s">
        <v>5664</v>
      </c>
    </row>
    <row r="18786">
      <c r="A18786" s="1" t="s">
        <v>30040</v>
      </c>
      <c r="B18786" s="2" t="s">
        <v>26210</v>
      </c>
      <c r="C18786" s="1" t="s">
        <v>5662</v>
      </c>
      <c r="D18786" s="1" t="s">
        <v>5664</v>
      </c>
    </row>
    <row r="18787">
      <c r="A18787" s="1" t="s">
        <v>30041</v>
      </c>
      <c r="B18787" s="2" t="s">
        <v>26212</v>
      </c>
      <c r="C18787" s="1" t="s">
        <v>5662</v>
      </c>
      <c r="D18787" s="1" t="s">
        <v>5664</v>
      </c>
    </row>
    <row r="18788">
      <c r="A18788" s="1" t="s">
        <v>30042</v>
      </c>
      <c r="B18788" s="2" t="s">
        <v>26214</v>
      </c>
      <c r="C18788" s="1" t="s">
        <v>5662</v>
      </c>
      <c r="D18788" s="1" t="s">
        <v>5664</v>
      </c>
    </row>
    <row r="18789">
      <c r="A18789" s="1" t="s">
        <v>30043</v>
      </c>
      <c r="B18789" s="2" t="s">
        <v>26216</v>
      </c>
      <c r="C18789" s="1" t="s">
        <v>5662</v>
      </c>
      <c r="D18789" s="1" t="s">
        <v>5664</v>
      </c>
    </row>
    <row r="18790">
      <c r="A18790" s="1" t="s">
        <v>30044</v>
      </c>
      <c r="B18790" s="2" t="s">
        <v>26218</v>
      </c>
      <c r="C18790" s="1" t="s">
        <v>5662</v>
      </c>
      <c r="D18790" s="1" t="s">
        <v>5664</v>
      </c>
    </row>
    <row r="18791">
      <c r="A18791" s="1" t="s">
        <v>30045</v>
      </c>
      <c r="B18791" s="2" t="s">
        <v>26220</v>
      </c>
      <c r="C18791" s="1" t="s">
        <v>5662</v>
      </c>
      <c r="D18791" s="1" t="s">
        <v>5664</v>
      </c>
    </row>
    <row r="18792">
      <c r="A18792" s="1" t="s">
        <v>30046</v>
      </c>
      <c r="B18792" s="2" t="s">
        <v>26222</v>
      </c>
      <c r="C18792" s="1" t="s">
        <v>5662</v>
      </c>
      <c r="D18792" s="1" t="s">
        <v>5664</v>
      </c>
    </row>
    <row r="18793">
      <c r="A18793" s="1" t="s">
        <v>30047</v>
      </c>
      <c r="B18793" s="2" t="s">
        <v>26224</v>
      </c>
      <c r="C18793" s="1" t="s">
        <v>5662</v>
      </c>
      <c r="D18793" s="1" t="s">
        <v>5664</v>
      </c>
    </row>
    <row r="18794">
      <c r="A18794" s="1" t="s">
        <v>30048</v>
      </c>
      <c r="B18794" s="2" t="s">
        <v>26226</v>
      </c>
      <c r="C18794" s="1" t="s">
        <v>5662</v>
      </c>
      <c r="D18794" s="1" t="s">
        <v>5664</v>
      </c>
    </row>
    <row r="18795">
      <c r="A18795" s="1" t="s">
        <v>30049</v>
      </c>
      <c r="B18795" s="2" t="s">
        <v>26228</v>
      </c>
      <c r="C18795" s="1" t="s">
        <v>5662</v>
      </c>
      <c r="D18795" s="1" t="s">
        <v>5664</v>
      </c>
    </row>
    <row r="18796">
      <c r="A18796" s="1" t="s">
        <v>30050</v>
      </c>
      <c r="B18796" s="2" t="s">
        <v>26230</v>
      </c>
      <c r="C18796" s="1" t="s">
        <v>5662</v>
      </c>
      <c r="D18796" s="1" t="s">
        <v>5664</v>
      </c>
    </row>
    <row r="18797">
      <c r="A18797" s="1" t="s">
        <v>30051</v>
      </c>
      <c r="B18797" s="2" t="s">
        <v>26232</v>
      </c>
      <c r="C18797" s="1" t="s">
        <v>5662</v>
      </c>
      <c r="D18797" s="1" t="s">
        <v>5664</v>
      </c>
    </row>
    <row r="18798">
      <c r="A18798" s="1" t="s">
        <v>30052</v>
      </c>
      <c r="B18798" s="2" t="s">
        <v>26234</v>
      </c>
      <c r="C18798" s="1" t="s">
        <v>5662</v>
      </c>
      <c r="D18798" s="1" t="s">
        <v>5664</v>
      </c>
    </row>
    <row r="18799">
      <c r="A18799" s="1" t="s">
        <v>30053</v>
      </c>
      <c r="B18799" s="2" t="s">
        <v>26236</v>
      </c>
      <c r="C18799" s="1" t="s">
        <v>5662</v>
      </c>
      <c r="D18799" s="1" t="s">
        <v>5664</v>
      </c>
    </row>
    <row r="18800">
      <c r="A18800" s="1" t="s">
        <v>30054</v>
      </c>
      <c r="B18800" s="2" t="s">
        <v>26238</v>
      </c>
      <c r="C18800" s="1" t="s">
        <v>5662</v>
      </c>
      <c r="D18800" s="1" t="s">
        <v>5664</v>
      </c>
    </row>
    <row r="18801">
      <c r="A18801" s="1" t="s">
        <v>30055</v>
      </c>
      <c r="B18801" s="2" t="s">
        <v>26240</v>
      </c>
      <c r="C18801" s="1" t="s">
        <v>5662</v>
      </c>
      <c r="D18801" s="1" t="s">
        <v>5664</v>
      </c>
    </row>
    <row r="18802">
      <c r="A18802" s="1" t="s">
        <v>30056</v>
      </c>
      <c r="B18802" s="2" t="s">
        <v>26242</v>
      </c>
      <c r="C18802" s="1" t="s">
        <v>5662</v>
      </c>
      <c r="D18802" s="1" t="s">
        <v>5664</v>
      </c>
    </row>
    <row r="18803">
      <c r="A18803" s="1" t="s">
        <v>30057</v>
      </c>
      <c r="B18803" s="2" t="s">
        <v>26244</v>
      </c>
      <c r="C18803" s="1" t="s">
        <v>5662</v>
      </c>
      <c r="D18803" s="1" t="s">
        <v>5664</v>
      </c>
    </row>
    <row r="18804">
      <c r="A18804" s="1" t="s">
        <v>30058</v>
      </c>
      <c r="B18804" s="2" t="s">
        <v>26246</v>
      </c>
      <c r="C18804" s="1" t="s">
        <v>5662</v>
      </c>
      <c r="D18804" s="1" t="s">
        <v>5664</v>
      </c>
    </row>
    <row r="18805">
      <c r="A18805" s="1" t="s">
        <v>30059</v>
      </c>
      <c r="B18805" s="2" t="s">
        <v>26248</v>
      </c>
      <c r="C18805" s="1" t="s">
        <v>5662</v>
      </c>
      <c r="D18805" s="1" t="s">
        <v>5664</v>
      </c>
    </row>
    <row r="18806">
      <c r="A18806" s="1" t="s">
        <v>30060</v>
      </c>
      <c r="B18806" s="2" t="s">
        <v>26250</v>
      </c>
      <c r="C18806" s="1" t="s">
        <v>5662</v>
      </c>
      <c r="D18806" s="1" t="s">
        <v>5664</v>
      </c>
    </row>
    <row r="18807">
      <c r="A18807" s="1" t="s">
        <v>30061</v>
      </c>
      <c r="B18807" s="2" t="s">
        <v>26252</v>
      </c>
      <c r="C18807" s="1" t="s">
        <v>5662</v>
      </c>
      <c r="D18807" s="1" t="s">
        <v>5664</v>
      </c>
    </row>
    <row r="18808">
      <c r="A18808" s="1" t="s">
        <v>30062</v>
      </c>
      <c r="B18808" s="2" t="s">
        <v>26254</v>
      </c>
      <c r="C18808" s="1" t="s">
        <v>5662</v>
      </c>
      <c r="D18808" s="1" t="s">
        <v>5664</v>
      </c>
    </row>
    <row r="18809">
      <c r="A18809" s="1" t="s">
        <v>30063</v>
      </c>
      <c r="B18809" s="2" t="s">
        <v>26256</v>
      </c>
      <c r="C18809" s="1" t="s">
        <v>5662</v>
      </c>
      <c r="D18809" s="1" t="s">
        <v>5664</v>
      </c>
    </row>
    <row r="18810">
      <c r="A18810" s="1" t="s">
        <v>30064</v>
      </c>
      <c r="B18810" s="2" t="s">
        <v>26258</v>
      </c>
      <c r="C18810" s="1" t="s">
        <v>5662</v>
      </c>
      <c r="D18810" s="1" t="s">
        <v>5664</v>
      </c>
    </row>
    <row r="18811">
      <c r="A18811" s="1" t="s">
        <v>30065</v>
      </c>
      <c r="B18811" s="2" t="s">
        <v>26260</v>
      </c>
      <c r="C18811" s="1" t="s">
        <v>5662</v>
      </c>
      <c r="D18811" s="1" t="s">
        <v>5664</v>
      </c>
    </row>
    <row r="18812">
      <c r="A18812" s="1" t="s">
        <v>30066</v>
      </c>
      <c r="B18812" s="2" t="s">
        <v>26262</v>
      </c>
      <c r="C18812" s="1" t="s">
        <v>5662</v>
      </c>
      <c r="D18812" s="1" t="s">
        <v>5664</v>
      </c>
    </row>
    <row r="18813">
      <c r="A18813" s="1" t="s">
        <v>30067</v>
      </c>
      <c r="B18813" s="2" t="s">
        <v>26264</v>
      </c>
      <c r="C18813" s="1" t="s">
        <v>5662</v>
      </c>
      <c r="D18813" s="1" t="s">
        <v>5664</v>
      </c>
    </row>
    <row r="18814">
      <c r="A18814" s="1" t="s">
        <v>30068</v>
      </c>
      <c r="B18814" s="2" t="s">
        <v>26266</v>
      </c>
      <c r="C18814" s="1" t="s">
        <v>5662</v>
      </c>
      <c r="D18814" s="1" t="s">
        <v>5664</v>
      </c>
    </row>
    <row r="18815">
      <c r="A18815" s="1" t="s">
        <v>30069</v>
      </c>
      <c r="B18815" s="2" t="s">
        <v>26268</v>
      </c>
      <c r="C18815" s="1" t="s">
        <v>5662</v>
      </c>
      <c r="D18815" s="1" t="s">
        <v>5664</v>
      </c>
    </row>
    <row r="18816">
      <c r="A18816" s="1" t="s">
        <v>30070</v>
      </c>
      <c r="B18816" s="2" t="s">
        <v>26270</v>
      </c>
      <c r="C18816" s="1" t="s">
        <v>5662</v>
      </c>
      <c r="D18816" s="1" t="s">
        <v>5664</v>
      </c>
    </row>
    <row r="18817">
      <c r="A18817" s="1" t="s">
        <v>30071</v>
      </c>
      <c r="B18817" s="2" t="s">
        <v>26272</v>
      </c>
      <c r="C18817" s="1" t="s">
        <v>5662</v>
      </c>
      <c r="D18817" s="1" t="s">
        <v>5664</v>
      </c>
    </row>
    <row r="18818">
      <c r="A18818" s="1" t="s">
        <v>30072</v>
      </c>
      <c r="B18818" s="2" t="s">
        <v>26274</v>
      </c>
      <c r="C18818" s="1" t="s">
        <v>5662</v>
      </c>
      <c r="D18818" s="1" t="s">
        <v>5664</v>
      </c>
    </row>
    <row r="18819">
      <c r="A18819" s="1" t="s">
        <v>30073</v>
      </c>
      <c r="B18819" s="2" t="s">
        <v>26276</v>
      </c>
      <c r="C18819" s="1" t="s">
        <v>5662</v>
      </c>
      <c r="D18819" s="1" t="s">
        <v>5664</v>
      </c>
    </row>
    <row r="18820">
      <c r="A18820" s="1" t="s">
        <v>30074</v>
      </c>
      <c r="B18820" s="2" t="s">
        <v>26278</v>
      </c>
      <c r="C18820" s="1" t="s">
        <v>5662</v>
      </c>
      <c r="D18820" s="1" t="s">
        <v>5664</v>
      </c>
    </row>
    <row r="18821">
      <c r="A18821" s="1" t="s">
        <v>30075</v>
      </c>
      <c r="B18821" s="2" t="s">
        <v>26280</v>
      </c>
      <c r="C18821" s="1" t="s">
        <v>5662</v>
      </c>
      <c r="D18821" s="1" t="s">
        <v>5664</v>
      </c>
    </row>
    <row r="18822">
      <c r="A18822" s="1" t="s">
        <v>30076</v>
      </c>
      <c r="B18822" s="2" t="s">
        <v>26282</v>
      </c>
      <c r="C18822" s="1" t="s">
        <v>5662</v>
      </c>
      <c r="D18822" s="1" t="s">
        <v>5664</v>
      </c>
    </row>
    <row r="18823">
      <c r="A18823" s="1" t="s">
        <v>30077</v>
      </c>
      <c r="B18823" s="2" t="s">
        <v>26284</v>
      </c>
      <c r="C18823" s="1" t="s">
        <v>5662</v>
      </c>
      <c r="D18823" s="1" t="s">
        <v>5664</v>
      </c>
    </row>
    <row r="18824">
      <c r="A18824" s="1" t="s">
        <v>30078</v>
      </c>
      <c r="B18824" s="2" t="s">
        <v>26286</v>
      </c>
      <c r="C18824" s="1" t="s">
        <v>5662</v>
      </c>
      <c r="D18824" s="1" t="s">
        <v>5664</v>
      </c>
    </row>
    <row r="18825">
      <c r="A18825" s="1" t="s">
        <v>30079</v>
      </c>
      <c r="B18825" s="2" t="s">
        <v>26288</v>
      </c>
      <c r="C18825" s="1" t="s">
        <v>5662</v>
      </c>
      <c r="D18825" s="1" t="s">
        <v>5664</v>
      </c>
    </row>
    <row r="18826">
      <c r="A18826" s="1" t="s">
        <v>30080</v>
      </c>
      <c r="B18826" s="2" t="s">
        <v>26290</v>
      </c>
      <c r="C18826" s="1" t="s">
        <v>5662</v>
      </c>
      <c r="D18826" s="1" t="s">
        <v>5664</v>
      </c>
    </row>
    <row r="18827">
      <c r="A18827" s="1" t="s">
        <v>30081</v>
      </c>
      <c r="B18827" s="2" t="s">
        <v>26292</v>
      </c>
      <c r="C18827" s="1" t="s">
        <v>5662</v>
      </c>
      <c r="D18827" s="1" t="s">
        <v>5664</v>
      </c>
    </row>
    <row r="18828">
      <c r="A18828" s="1" t="s">
        <v>30082</v>
      </c>
      <c r="B18828" s="2" t="s">
        <v>26294</v>
      </c>
      <c r="C18828" s="1" t="s">
        <v>5662</v>
      </c>
      <c r="D18828" s="1" t="s">
        <v>5664</v>
      </c>
    </row>
    <row r="18829">
      <c r="A18829" s="1" t="s">
        <v>30083</v>
      </c>
      <c r="B18829" s="2" t="s">
        <v>26296</v>
      </c>
      <c r="C18829" s="1" t="s">
        <v>5662</v>
      </c>
      <c r="D18829" s="1" t="s">
        <v>5664</v>
      </c>
    </row>
    <row r="18830">
      <c r="A18830" s="1" t="s">
        <v>30084</v>
      </c>
      <c r="B18830" s="2" t="s">
        <v>26298</v>
      </c>
      <c r="C18830" s="1" t="s">
        <v>5662</v>
      </c>
      <c r="D18830" s="1" t="s">
        <v>5664</v>
      </c>
    </row>
    <row r="18831">
      <c r="A18831" s="1" t="s">
        <v>30085</v>
      </c>
      <c r="B18831" s="2" t="s">
        <v>26300</v>
      </c>
      <c r="C18831" s="1" t="s">
        <v>5662</v>
      </c>
      <c r="D18831" s="1" t="s">
        <v>5664</v>
      </c>
    </row>
    <row r="18832">
      <c r="A18832" s="1" t="s">
        <v>30086</v>
      </c>
      <c r="B18832" s="2" t="s">
        <v>26302</v>
      </c>
      <c r="C18832" s="1" t="s">
        <v>5662</v>
      </c>
      <c r="D18832" s="1" t="s">
        <v>5664</v>
      </c>
    </row>
    <row r="18833">
      <c r="A18833" s="1" t="s">
        <v>30087</v>
      </c>
      <c r="B18833" s="2" t="s">
        <v>26304</v>
      </c>
      <c r="C18833" s="1" t="s">
        <v>5662</v>
      </c>
      <c r="D18833" s="1" t="s">
        <v>5664</v>
      </c>
    </row>
    <row r="18834">
      <c r="A18834" s="1" t="s">
        <v>30088</v>
      </c>
      <c r="B18834" s="2" t="s">
        <v>26306</v>
      </c>
      <c r="C18834" s="1" t="s">
        <v>5662</v>
      </c>
      <c r="D18834" s="1" t="s">
        <v>5664</v>
      </c>
    </row>
    <row r="18835">
      <c r="A18835" s="1" t="s">
        <v>30089</v>
      </c>
      <c r="B18835" s="2" t="s">
        <v>26308</v>
      </c>
      <c r="C18835" s="1" t="s">
        <v>5662</v>
      </c>
      <c r="D18835" s="1" t="s">
        <v>5664</v>
      </c>
    </row>
    <row r="18836">
      <c r="A18836" s="1" t="s">
        <v>30090</v>
      </c>
      <c r="B18836" s="2" t="s">
        <v>26310</v>
      </c>
      <c r="C18836" s="1" t="s">
        <v>5662</v>
      </c>
      <c r="D18836" s="1" t="s">
        <v>5664</v>
      </c>
    </row>
    <row r="18837">
      <c r="A18837" s="1" t="s">
        <v>30091</v>
      </c>
      <c r="B18837" s="2" t="s">
        <v>26312</v>
      </c>
      <c r="C18837" s="1" t="s">
        <v>5662</v>
      </c>
      <c r="D18837" s="1" t="s">
        <v>5664</v>
      </c>
    </row>
    <row r="18838">
      <c r="A18838" s="1" t="s">
        <v>30092</v>
      </c>
      <c r="B18838" s="2" t="s">
        <v>26314</v>
      </c>
      <c r="C18838" s="1" t="s">
        <v>5662</v>
      </c>
      <c r="D18838" s="1" t="s">
        <v>5664</v>
      </c>
    </row>
    <row r="18839">
      <c r="A18839" s="1" t="s">
        <v>30093</v>
      </c>
      <c r="B18839" s="2" t="s">
        <v>26316</v>
      </c>
      <c r="C18839" s="1" t="s">
        <v>5662</v>
      </c>
      <c r="D18839" s="1" t="s">
        <v>5664</v>
      </c>
    </row>
    <row r="18840">
      <c r="A18840" s="1" t="s">
        <v>30094</v>
      </c>
      <c r="B18840" s="2" t="s">
        <v>26318</v>
      </c>
      <c r="C18840" s="1" t="s">
        <v>5662</v>
      </c>
      <c r="D18840" s="1" t="s">
        <v>5664</v>
      </c>
    </row>
    <row r="18841">
      <c r="A18841" s="1" t="s">
        <v>30095</v>
      </c>
      <c r="B18841" s="2" t="s">
        <v>26320</v>
      </c>
      <c r="C18841" s="1" t="s">
        <v>5662</v>
      </c>
      <c r="D18841" s="1" t="s">
        <v>5664</v>
      </c>
    </row>
    <row r="18842">
      <c r="A18842" s="1" t="s">
        <v>30096</v>
      </c>
      <c r="B18842" s="2" t="s">
        <v>26322</v>
      </c>
      <c r="C18842" s="1" t="s">
        <v>5662</v>
      </c>
      <c r="D18842" s="1" t="s">
        <v>5664</v>
      </c>
    </row>
    <row r="18843">
      <c r="A18843" s="1" t="s">
        <v>30097</v>
      </c>
      <c r="B18843" s="2" t="s">
        <v>26324</v>
      </c>
      <c r="C18843" s="1" t="s">
        <v>5662</v>
      </c>
      <c r="D18843" s="1" t="s">
        <v>5664</v>
      </c>
    </row>
    <row r="18844">
      <c r="A18844" s="1" t="s">
        <v>30098</v>
      </c>
      <c r="B18844" s="2" t="s">
        <v>26326</v>
      </c>
      <c r="C18844" s="1" t="s">
        <v>5662</v>
      </c>
      <c r="D18844" s="1" t="s">
        <v>5664</v>
      </c>
    </row>
    <row r="18845">
      <c r="A18845" s="1" t="s">
        <v>30099</v>
      </c>
      <c r="B18845" s="2" t="s">
        <v>26328</v>
      </c>
      <c r="C18845" s="1" t="s">
        <v>5662</v>
      </c>
      <c r="D18845" s="1" t="s">
        <v>5664</v>
      </c>
    </row>
    <row r="18846">
      <c r="A18846" s="1" t="s">
        <v>30100</v>
      </c>
      <c r="B18846" s="2" t="s">
        <v>26330</v>
      </c>
      <c r="C18846" s="1" t="s">
        <v>5662</v>
      </c>
      <c r="D18846" s="1" t="s">
        <v>5664</v>
      </c>
    </row>
    <row r="18847">
      <c r="A18847" s="1" t="s">
        <v>30101</v>
      </c>
      <c r="B18847" s="2" t="s">
        <v>26332</v>
      </c>
      <c r="C18847" s="1" t="s">
        <v>5662</v>
      </c>
      <c r="D18847" s="1" t="s">
        <v>5664</v>
      </c>
    </row>
    <row r="18848">
      <c r="A18848" s="1" t="s">
        <v>30102</v>
      </c>
      <c r="B18848" s="2" t="s">
        <v>26334</v>
      </c>
      <c r="C18848" s="1" t="s">
        <v>5662</v>
      </c>
      <c r="D18848" s="1" t="s">
        <v>5664</v>
      </c>
    </row>
    <row r="18849">
      <c r="A18849" s="1" t="s">
        <v>30103</v>
      </c>
      <c r="B18849" s="2" t="s">
        <v>26336</v>
      </c>
      <c r="C18849" s="1" t="s">
        <v>5662</v>
      </c>
      <c r="D18849" s="1" t="s">
        <v>5664</v>
      </c>
    </row>
    <row r="18850">
      <c r="A18850" s="1" t="s">
        <v>30104</v>
      </c>
      <c r="B18850" s="2" t="s">
        <v>26338</v>
      </c>
      <c r="C18850" s="1" t="s">
        <v>5662</v>
      </c>
      <c r="D18850" s="1" t="s">
        <v>5664</v>
      </c>
    </row>
    <row r="18851">
      <c r="A18851" s="1" t="s">
        <v>30105</v>
      </c>
      <c r="B18851" s="2" t="s">
        <v>26340</v>
      </c>
      <c r="C18851" s="1" t="s">
        <v>5662</v>
      </c>
      <c r="D18851" s="1" t="s">
        <v>5664</v>
      </c>
    </row>
    <row r="18852">
      <c r="A18852" s="1" t="s">
        <v>30106</v>
      </c>
      <c r="B18852" s="2" t="s">
        <v>26342</v>
      </c>
      <c r="C18852" s="1" t="s">
        <v>5662</v>
      </c>
      <c r="D18852" s="1" t="s">
        <v>5664</v>
      </c>
    </row>
    <row r="18853">
      <c r="A18853" s="1" t="s">
        <v>30107</v>
      </c>
      <c r="B18853" s="2" t="s">
        <v>26344</v>
      </c>
      <c r="C18853" s="1" t="s">
        <v>5662</v>
      </c>
      <c r="D18853" s="1" t="s">
        <v>5664</v>
      </c>
    </row>
    <row r="18854">
      <c r="A18854" s="1" t="s">
        <v>30108</v>
      </c>
      <c r="B18854" s="2" t="s">
        <v>26346</v>
      </c>
      <c r="C18854" s="1" t="s">
        <v>5662</v>
      </c>
      <c r="D18854" s="1" t="s">
        <v>5664</v>
      </c>
    </row>
    <row r="18855">
      <c r="A18855" s="1" t="s">
        <v>30109</v>
      </c>
      <c r="B18855" s="2" t="s">
        <v>26348</v>
      </c>
      <c r="C18855" s="1" t="s">
        <v>5662</v>
      </c>
      <c r="D18855" s="1" t="s">
        <v>5664</v>
      </c>
    </row>
    <row r="18856">
      <c r="A18856" s="1" t="s">
        <v>30110</v>
      </c>
      <c r="B18856" s="2" t="s">
        <v>26350</v>
      </c>
      <c r="C18856" s="1" t="s">
        <v>5662</v>
      </c>
      <c r="D18856" s="1" t="s">
        <v>5664</v>
      </c>
    </row>
    <row r="18857">
      <c r="A18857" s="1" t="s">
        <v>30111</v>
      </c>
      <c r="B18857" s="2" t="s">
        <v>26352</v>
      </c>
      <c r="C18857" s="1" t="s">
        <v>5662</v>
      </c>
      <c r="D18857" s="1" t="s">
        <v>5664</v>
      </c>
    </row>
    <row r="18858">
      <c r="A18858" s="1" t="s">
        <v>30112</v>
      </c>
      <c r="B18858" s="2" t="s">
        <v>26354</v>
      </c>
      <c r="C18858" s="1" t="s">
        <v>5662</v>
      </c>
      <c r="D18858" s="1" t="s">
        <v>5664</v>
      </c>
    </row>
    <row r="18859">
      <c r="A18859" s="1" t="s">
        <v>30113</v>
      </c>
      <c r="B18859" s="2" t="s">
        <v>26356</v>
      </c>
      <c r="C18859" s="1" t="s">
        <v>5662</v>
      </c>
      <c r="D18859" s="1" t="s">
        <v>5664</v>
      </c>
    </row>
    <row r="18860">
      <c r="A18860" s="1" t="s">
        <v>30114</v>
      </c>
      <c r="B18860" s="2" t="s">
        <v>26358</v>
      </c>
      <c r="C18860" s="1" t="s">
        <v>5662</v>
      </c>
      <c r="D18860" s="1" t="s">
        <v>5664</v>
      </c>
    </row>
    <row r="18861">
      <c r="A18861" s="1" t="s">
        <v>30115</v>
      </c>
      <c r="B18861" s="2" t="s">
        <v>26360</v>
      </c>
      <c r="C18861" s="1" t="s">
        <v>5662</v>
      </c>
      <c r="D18861" s="1" t="s">
        <v>5664</v>
      </c>
    </row>
    <row r="18862">
      <c r="A18862" s="1" t="s">
        <v>30116</v>
      </c>
      <c r="B18862" s="2" t="s">
        <v>26362</v>
      </c>
      <c r="C18862" s="1" t="s">
        <v>5662</v>
      </c>
      <c r="D18862" s="1" t="s">
        <v>5664</v>
      </c>
    </row>
    <row r="18863">
      <c r="A18863" s="1" t="s">
        <v>30117</v>
      </c>
      <c r="B18863" s="2" t="s">
        <v>26364</v>
      </c>
      <c r="C18863" s="1" t="s">
        <v>5662</v>
      </c>
      <c r="D18863" s="1" t="s">
        <v>5664</v>
      </c>
    </row>
    <row r="18864">
      <c r="A18864" s="1" t="s">
        <v>30118</v>
      </c>
      <c r="B18864" s="2" t="s">
        <v>26366</v>
      </c>
      <c r="C18864" s="1" t="s">
        <v>5662</v>
      </c>
      <c r="D18864" s="1" t="s">
        <v>5664</v>
      </c>
    </row>
    <row r="18865">
      <c r="A18865" s="1" t="s">
        <v>30119</v>
      </c>
      <c r="B18865" s="2" t="s">
        <v>26368</v>
      </c>
      <c r="C18865" s="1" t="s">
        <v>5662</v>
      </c>
      <c r="D18865" s="1" t="s">
        <v>5664</v>
      </c>
    </row>
    <row r="18866">
      <c r="A18866" s="1" t="s">
        <v>30120</v>
      </c>
      <c r="B18866" s="2" t="s">
        <v>26370</v>
      </c>
      <c r="C18866" s="1" t="s">
        <v>5662</v>
      </c>
      <c r="D18866" s="1" t="s">
        <v>5664</v>
      </c>
    </row>
    <row r="18867">
      <c r="A18867" s="1" t="s">
        <v>30121</v>
      </c>
      <c r="B18867" s="2" t="s">
        <v>26372</v>
      </c>
      <c r="C18867" s="1" t="s">
        <v>5662</v>
      </c>
      <c r="D18867" s="1" t="s">
        <v>5664</v>
      </c>
    </row>
    <row r="18868">
      <c r="A18868" s="1" t="s">
        <v>30122</v>
      </c>
      <c r="B18868" s="2" t="s">
        <v>26374</v>
      </c>
      <c r="C18868" s="1" t="s">
        <v>5662</v>
      </c>
      <c r="D18868" s="1" t="s">
        <v>5664</v>
      </c>
    </row>
    <row r="18869">
      <c r="A18869" s="1" t="s">
        <v>30123</v>
      </c>
      <c r="B18869" s="2" t="s">
        <v>26376</v>
      </c>
      <c r="C18869" s="1" t="s">
        <v>5662</v>
      </c>
      <c r="D18869" s="1" t="s">
        <v>5664</v>
      </c>
    </row>
    <row r="18870">
      <c r="A18870" s="1" t="s">
        <v>30124</v>
      </c>
      <c r="B18870" s="2" t="s">
        <v>26378</v>
      </c>
      <c r="C18870" s="1" t="s">
        <v>5662</v>
      </c>
      <c r="D18870" s="1" t="s">
        <v>5664</v>
      </c>
    </row>
    <row r="18871">
      <c r="A18871" s="1" t="s">
        <v>30125</v>
      </c>
      <c r="B18871" s="2" t="s">
        <v>26380</v>
      </c>
      <c r="C18871" s="1" t="s">
        <v>5662</v>
      </c>
      <c r="D18871" s="1" t="s">
        <v>5664</v>
      </c>
    </row>
    <row r="18872">
      <c r="A18872" s="1" t="s">
        <v>30126</v>
      </c>
      <c r="B18872" s="2" t="s">
        <v>26382</v>
      </c>
      <c r="C18872" s="1" t="s">
        <v>5662</v>
      </c>
      <c r="D18872" s="1" t="s">
        <v>5664</v>
      </c>
    </row>
    <row r="18873">
      <c r="A18873" s="1" t="s">
        <v>30127</v>
      </c>
      <c r="B18873" s="2" t="s">
        <v>26384</v>
      </c>
      <c r="C18873" s="1" t="s">
        <v>5662</v>
      </c>
      <c r="D18873" s="1" t="s">
        <v>5664</v>
      </c>
    </row>
    <row r="18874">
      <c r="A18874" s="1" t="s">
        <v>30128</v>
      </c>
      <c r="B18874" s="2" t="s">
        <v>26386</v>
      </c>
      <c r="C18874" s="1" t="s">
        <v>5662</v>
      </c>
      <c r="D18874" s="1" t="s">
        <v>5664</v>
      </c>
    </row>
    <row r="18875">
      <c r="A18875" s="1" t="s">
        <v>30129</v>
      </c>
      <c r="B18875" s="2" t="s">
        <v>26388</v>
      </c>
      <c r="C18875" s="1" t="s">
        <v>5662</v>
      </c>
      <c r="D18875" s="1" t="s">
        <v>5664</v>
      </c>
    </row>
    <row r="18876">
      <c r="A18876" s="1" t="s">
        <v>30130</v>
      </c>
      <c r="B18876" s="2" t="s">
        <v>26390</v>
      </c>
      <c r="C18876" s="1" t="s">
        <v>5662</v>
      </c>
      <c r="D18876" s="1" t="s">
        <v>5664</v>
      </c>
    </row>
    <row r="18877">
      <c r="A18877" s="1" t="s">
        <v>30131</v>
      </c>
      <c r="B18877" s="2" t="s">
        <v>26392</v>
      </c>
      <c r="C18877" s="1" t="s">
        <v>5662</v>
      </c>
      <c r="D18877" s="1" t="s">
        <v>5664</v>
      </c>
    </row>
    <row r="18878">
      <c r="A18878" s="1" t="s">
        <v>30132</v>
      </c>
      <c r="B18878" s="2" t="s">
        <v>26394</v>
      </c>
      <c r="C18878" s="1" t="s">
        <v>5662</v>
      </c>
      <c r="D18878" s="1" t="s">
        <v>5664</v>
      </c>
    </row>
    <row r="18879">
      <c r="A18879" s="1" t="s">
        <v>30133</v>
      </c>
      <c r="B18879" s="2" t="s">
        <v>26396</v>
      </c>
      <c r="C18879" s="1" t="s">
        <v>5662</v>
      </c>
      <c r="D18879" s="1" t="s">
        <v>5664</v>
      </c>
    </row>
    <row r="18880">
      <c r="A18880" s="1" t="s">
        <v>30134</v>
      </c>
      <c r="B18880" s="2" t="s">
        <v>26398</v>
      </c>
      <c r="C18880" s="1" t="s">
        <v>5662</v>
      </c>
      <c r="D18880" s="1" t="s">
        <v>5664</v>
      </c>
    </row>
    <row r="18881">
      <c r="A18881" s="1" t="s">
        <v>30135</v>
      </c>
      <c r="B18881" s="2" t="s">
        <v>26400</v>
      </c>
      <c r="C18881" s="1" t="s">
        <v>5662</v>
      </c>
      <c r="D18881" s="1" t="s">
        <v>5664</v>
      </c>
    </row>
    <row r="18882">
      <c r="A18882" s="1" t="s">
        <v>30136</v>
      </c>
      <c r="B18882" s="2" t="s">
        <v>26402</v>
      </c>
      <c r="C18882" s="1" t="s">
        <v>5662</v>
      </c>
      <c r="D18882" s="1" t="s">
        <v>5664</v>
      </c>
    </row>
    <row r="18883">
      <c r="A18883" s="1" t="s">
        <v>30137</v>
      </c>
      <c r="B18883" s="2" t="s">
        <v>26404</v>
      </c>
      <c r="C18883" s="1" t="s">
        <v>5662</v>
      </c>
      <c r="D18883" s="1" t="s">
        <v>5664</v>
      </c>
    </row>
    <row r="18884">
      <c r="A18884" s="1" t="s">
        <v>30138</v>
      </c>
      <c r="B18884" s="2" t="s">
        <v>26406</v>
      </c>
      <c r="C18884" s="1" t="s">
        <v>5662</v>
      </c>
      <c r="D18884" s="1" t="s">
        <v>5664</v>
      </c>
    </row>
    <row r="18885">
      <c r="A18885" s="1" t="s">
        <v>30139</v>
      </c>
      <c r="B18885" s="2" t="s">
        <v>26408</v>
      </c>
      <c r="C18885" s="1" t="s">
        <v>5662</v>
      </c>
      <c r="D18885" s="1" t="s">
        <v>5664</v>
      </c>
    </row>
    <row r="18886">
      <c r="A18886" s="1" t="s">
        <v>30140</v>
      </c>
      <c r="B18886" s="2" t="s">
        <v>26410</v>
      </c>
      <c r="C18886" s="1" t="s">
        <v>5662</v>
      </c>
      <c r="D18886" s="1" t="s">
        <v>5664</v>
      </c>
    </row>
    <row r="18887">
      <c r="A18887" s="1" t="s">
        <v>30141</v>
      </c>
      <c r="B18887" s="2" t="s">
        <v>26412</v>
      </c>
      <c r="C18887" s="1" t="s">
        <v>5662</v>
      </c>
      <c r="D18887" s="1" t="s">
        <v>5664</v>
      </c>
    </row>
    <row r="18888">
      <c r="A18888" s="1" t="s">
        <v>30142</v>
      </c>
      <c r="B18888" s="2" t="s">
        <v>26414</v>
      </c>
      <c r="C18888" s="1" t="s">
        <v>5662</v>
      </c>
      <c r="D18888" s="1" t="s">
        <v>5664</v>
      </c>
    </row>
    <row r="18889">
      <c r="A18889" s="1" t="s">
        <v>30143</v>
      </c>
      <c r="B18889" s="2" t="s">
        <v>26416</v>
      </c>
      <c r="C18889" s="1" t="s">
        <v>5662</v>
      </c>
      <c r="D18889" s="1" t="s">
        <v>5664</v>
      </c>
    </row>
    <row r="18890">
      <c r="A18890" s="1" t="s">
        <v>30144</v>
      </c>
      <c r="B18890" s="2" t="s">
        <v>26418</v>
      </c>
      <c r="C18890" s="1" t="s">
        <v>5662</v>
      </c>
      <c r="D18890" s="1" t="s">
        <v>5664</v>
      </c>
    </row>
    <row r="18891">
      <c r="A18891" s="1" t="s">
        <v>30145</v>
      </c>
      <c r="B18891" s="2" t="s">
        <v>26420</v>
      </c>
      <c r="C18891" s="1" t="s">
        <v>5662</v>
      </c>
      <c r="D18891" s="1" t="s">
        <v>5664</v>
      </c>
    </row>
    <row r="18892">
      <c r="A18892" s="1" t="s">
        <v>30146</v>
      </c>
      <c r="B18892" s="2" t="s">
        <v>26422</v>
      </c>
      <c r="C18892" s="1" t="s">
        <v>5662</v>
      </c>
      <c r="D18892" s="1" t="s">
        <v>5664</v>
      </c>
    </row>
    <row r="18893">
      <c r="A18893" s="1" t="s">
        <v>30147</v>
      </c>
      <c r="B18893" s="2" t="s">
        <v>26424</v>
      </c>
      <c r="C18893" s="1" t="s">
        <v>5662</v>
      </c>
      <c r="D18893" s="1" t="s">
        <v>5664</v>
      </c>
    </row>
    <row r="18894">
      <c r="A18894" s="1" t="s">
        <v>30148</v>
      </c>
      <c r="B18894" s="2" t="s">
        <v>26426</v>
      </c>
      <c r="C18894" s="1" t="s">
        <v>5662</v>
      </c>
      <c r="D18894" s="1" t="s">
        <v>5664</v>
      </c>
    </row>
    <row r="18895">
      <c r="A18895" s="1" t="s">
        <v>30149</v>
      </c>
      <c r="B18895" s="2" t="s">
        <v>26428</v>
      </c>
      <c r="C18895" s="1" t="s">
        <v>5662</v>
      </c>
      <c r="D18895" s="1" t="s">
        <v>5664</v>
      </c>
    </row>
    <row r="18896">
      <c r="A18896" s="1" t="s">
        <v>30150</v>
      </c>
      <c r="B18896" s="2" t="s">
        <v>26430</v>
      </c>
      <c r="C18896" s="1" t="s">
        <v>5662</v>
      </c>
      <c r="D18896" s="1" t="s">
        <v>5664</v>
      </c>
    </row>
    <row r="18897">
      <c r="A18897" s="1" t="s">
        <v>30151</v>
      </c>
      <c r="B18897" s="2" t="s">
        <v>26432</v>
      </c>
      <c r="C18897" s="1" t="s">
        <v>5662</v>
      </c>
      <c r="D18897" s="1" t="s">
        <v>5664</v>
      </c>
    </row>
    <row r="18898">
      <c r="A18898" s="1" t="s">
        <v>30152</v>
      </c>
      <c r="B18898" s="2" t="s">
        <v>26434</v>
      </c>
      <c r="C18898" s="1" t="s">
        <v>5662</v>
      </c>
      <c r="D18898" s="1" t="s">
        <v>5664</v>
      </c>
    </row>
    <row r="18899">
      <c r="A18899" s="1" t="s">
        <v>30153</v>
      </c>
      <c r="B18899" s="2" t="s">
        <v>26436</v>
      </c>
      <c r="C18899" s="1" t="s">
        <v>5662</v>
      </c>
      <c r="D18899" s="1" t="s">
        <v>5664</v>
      </c>
    </row>
    <row r="18900">
      <c r="A18900" s="1" t="s">
        <v>30154</v>
      </c>
      <c r="B18900" s="2" t="s">
        <v>26438</v>
      </c>
      <c r="C18900" s="1" t="s">
        <v>5662</v>
      </c>
      <c r="D18900" s="1" t="s">
        <v>5664</v>
      </c>
    </row>
    <row r="18901">
      <c r="A18901" s="1" t="s">
        <v>30155</v>
      </c>
      <c r="B18901" s="2" t="s">
        <v>26440</v>
      </c>
      <c r="C18901" s="1" t="s">
        <v>5662</v>
      </c>
      <c r="D18901" s="1" t="s">
        <v>5664</v>
      </c>
    </row>
    <row r="18902">
      <c r="A18902" s="1" t="s">
        <v>30156</v>
      </c>
      <c r="B18902" s="2" t="s">
        <v>26442</v>
      </c>
      <c r="C18902" s="1" t="s">
        <v>5662</v>
      </c>
      <c r="D18902" s="1" t="s">
        <v>5664</v>
      </c>
    </row>
    <row r="18903">
      <c r="A18903" s="1" t="s">
        <v>30157</v>
      </c>
      <c r="B18903" s="2" t="s">
        <v>26444</v>
      </c>
      <c r="C18903" s="1" t="s">
        <v>5662</v>
      </c>
      <c r="D18903" s="1" t="s">
        <v>5664</v>
      </c>
    </row>
    <row r="18904">
      <c r="A18904" s="1" t="s">
        <v>30158</v>
      </c>
      <c r="B18904" s="2" t="s">
        <v>26446</v>
      </c>
      <c r="C18904" s="1" t="s">
        <v>5662</v>
      </c>
      <c r="D18904" s="1" t="s">
        <v>5664</v>
      </c>
    </row>
    <row r="18905">
      <c r="A18905" s="1" t="s">
        <v>30159</v>
      </c>
      <c r="B18905" s="2" t="s">
        <v>26448</v>
      </c>
      <c r="C18905" s="1" t="s">
        <v>5662</v>
      </c>
      <c r="D18905" s="1" t="s">
        <v>5664</v>
      </c>
    </row>
    <row r="18906">
      <c r="A18906" s="1" t="s">
        <v>30160</v>
      </c>
      <c r="B18906" s="2" t="s">
        <v>26450</v>
      </c>
      <c r="C18906" s="1" t="s">
        <v>5662</v>
      </c>
      <c r="D18906" s="1" t="s">
        <v>5664</v>
      </c>
    </row>
    <row r="18907">
      <c r="A18907" s="1" t="s">
        <v>30161</v>
      </c>
      <c r="B18907" s="2" t="s">
        <v>26452</v>
      </c>
      <c r="C18907" s="1" t="s">
        <v>5662</v>
      </c>
      <c r="D18907" s="1" t="s">
        <v>5664</v>
      </c>
    </row>
    <row r="18908">
      <c r="A18908" s="1" t="s">
        <v>30162</v>
      </c>
      <c r="B18908" s="2" t="s">
        <v>26454</v>
      </c>
      <c r="C18908" s="1" t="s">
        <v>5662</v>
      </c>
      <c r="D18908" s="1" t="s">
        <v>5664</v>
      </c>
    </row>
    <row r="18909">
      <c r="A18909" s="1" t="s">
        <v>30163</v>
      </c>
      <c r="B18909" s="2" t="s">
        <v>26456</v>
      </c>
      <c r="C18909" s="1" t="s">
        <v>5662</v>
      </c>
      <c r="D18909" s="1" t="s">
        <v>5664</v>
      </c>
    </row>
    <row r="18910">
      <c r="A18910" s="1" t="s">
        <v>30164</v>
      </c>
      <c r="B18910" s="2" t="s">
        <v>26458</v>
      </c>
      <c r="C18910" s="1" t="s">
        <v>5662</v>
      </c>
      <c r="D18910" s="1" t="s">
        <v>5664</v>
      </c>
    </row>
    <row r="18911">
      <c r="A18911" s="1" t="s">
        <v>30165</v>
      </c>
      <c r="B18911" s="2" t="s">
        <v>26460</v>
      </c>
      <c r="C18911" s="1" t="s">
        <v>5662</v>
      </c>
      <c r="D18911" s="1" t="s">
        <v>5664</v>
      </c>
    </row>
    <row r="18912">
      <c r="A18912" s="1" t="s">
        <v>30166</v>
      </c>
      <c r="B18912" s="2" t="s">
        <v>26462</v>
      </c>
      <c r="C18912" s="1" t="s">
        <v>5662</v>
      </c>
      <c r="D18912" s="1" t="s">
        <v>5664</v>
      </c>
    </row>
    <row r="18913">
      <c r="A18913" s="1" t="s">
        <v>30167</v>
      </c>
      <c r="B18913" s="2" t="s">
        <v>26464</v>
      </c>
      <c r="C18913" s="1" t="s">
        <v>5662</v>
      </c>
      <c r="D18913" s="1" t="s">
        <v>5664</v>
      </c>
    </row>
    <row r="18914">
      <c r="A18914" s="1" t="s">
        <v>30168</v>
      </c>
      <c r="B18914" s="2" t="s">
        <v>26466</v>
      </c>
      <c r="C18914" s="1" t="s">
        <v>5662</v>
      </c>
      <c r="D18914" s="1" t="s">
        <v>5664</v>
      </c>
    </row>
    <row r="18915">
      <c r="A18915" s="1" t="s">
        <v>30169</v>
      </c>
      <c r="B18915" s="2" t="s">
        <v>26468</v>
      </c>
      <c r="C18915" s="1" t="s">
        <v>5662</v>
      </c>
      <c r="D18915" s="1" t="s">
        <v>5664</v>
      </c>
    </row>
    <row r="18916">
      <c r="A18916" s="1" t="s">
        <v>30170</v>
      </c>
      <c r="B18916" s="2" t="s">
        <v>26470</v>
      </c>
      <c r="C18916" s="1" t="s">
        <v>5662</v>
      </c>
      <c r="D18916" s="1" t="s">
        <v>5664</v>
      </c>
    </row>
    <row r="18917">
      <c r="A18917" s="1" t="s">
        <v>30171</v>
      </c>
      <c r="B18917" s="2" t="s">
        <v>26472</v>
      </c>
      <c r="C18917" s="1" t="s">
        <v>5662</v>
      </c>
      <c r="D18917" s="1" t="s">
        <v>5664</v>
      </c>
    </row>
    <row r="18918">
      <c r="A18918" s="1" t="s">
        <v>30172</v>
      </c>
      <c r="B18918" s="2" t="s">
        <v>26474</v>
      </c>
      <c r="C18918" s="1" t="s">
        <v>5662</v>
      </c>
      <c r="D18918" s="1" t="s">
        <v>5664</v>
      </c>
    </row>
    <row r="18919">
      <c r="A18919" s="1" t="s">
        <v>30173</v>
      </c>
      <c r="B18919" s="2" t="s">
        <v>26476</v>
      </c>
      <c r="C18919" s="1" t="s">
        <v>5662</v>
      </c>
      <c r="D18919" s="1" t="s">
        <v>5664</v>
      </c>
    </row>
    <row r="18920">
      <c r="A18920" s="1" t="s">
        <v>30174</v>
      </c>
      <c r="B18920" s="2" t="s">
        <v>26478</v>
      </c>
      <c r="C18920" s="1" t="s">
        <v>5662</v>
      </c>
      <c r="D18920" s="1" t="s">
        <v>5664</v>
      </c>
    </row>
    <row r="18921">
      <c r="A18921" s="1" t="s">
        <v>30175</v>
      </c>
      <c r="B18921" s="2" t="s">
        <v>26480</v>
      </c>
      <c r="C18921" s="1" t="s">
        <v>5662</v>
      </c>
      <c r="D18921" s="1" t="s">
        <v>5664</v>
      </c>
    </row>
    <row r="18922">
      <c r="A18922" s="1" t="s">
        <v>30176</v>
      </c>
      <c r="B18922" s="2" t="s">
        <v>26482</v>
      </c>
      <c r="C18922" s="1" t="s">
        <v>5662</v>
      </c>
      <c r="D18922" s="1" t="s">
        <v>5664</v>
      </c>
    </row>
    <row r="18923">
      <c r="A18923" s="1" t="s">
        <v>30177</v>
      </c>
      <c r="B18923" s="2" t="s">
        <v>26484</v>
      </c>
      <c r="C18923" s="1" t="s">
        <v>5662</v>
      </c>
      <c r="D18923" s="1" t="s">
        <v>5664</v>
      </c>
    </row>
    <row r="18924">
      <c r="A18924" s="1" t="s">
        <v>30178</v>
      </c>
      <c r="B18924" s="2" t="s">
        <v>26486</v>
      </c>
      <c r="C18924" s="1" t="s">
        <v>5662</v>
      </c>
      <c r="D18924" s="1" t="s">
        <v>5664</v>
      </c>
    </row>
    <row r="18925">
      <c r="A18925" s="1" t="s">
        <v>30179</v>
      </c>
      <c r="B18925" s="2" t="s">
        <v>26488</v>
      </c>
      <c r="C18925" s="1" t="s">
        <v>5662</v>
      </c>
      <c r="D18925" s="1" t="s">
        <v>5664</v>
      </c>
    </row>
    <row r="18926">
      <c r="A18926" s="1" t="s">
        <v>30180</v>
      </c>
      <c r="B18926" s="2" t="s">
        <v>26490</v>
      </c>
      <c r="C18926" s="1" t="s">
        <v>5662</v>
      </c>
      <c r="D18926" s="1" t="s">
        <v>5664</v>
      </c>
    </row>
    <row r="18927">
      <c r="A18927" s="1" t="s">
        <v>30181</v>
      </c>
      <c r="B18927" s="2" t="s">
        <v>26492</v>
      </c>
      <c r="C18927" s="1" t="s">
        <v>5662</v>
      </c>
      <c r="D18927" s="1" t="s">
        <v>5664</v>
      </c>
    </row>
    <row r="18928">
      <c r="A18928" s="1" t="s">
        <v>30182</v>
      </c>
      <c r="B18928" s="2" t="s">
        <v>26494</v>
      </c>
      <c r="C18928" s="1" t="s">
        <v>5662</v>
      </c>
      <c r="D18928" s="1" t="s">
        <v>5664</v>
      </c>
    </row>
    <row r="18929">
      <c r="A18929" s="1" t="s">
        <v>30183</v>
      </c>
      <c r="B18929" s="2" t="s">
        <v>26496</v>
      </c>
      <c r="C18929" s="1" t="s">
        <v>5662</v>
      </c>
      <c r="D18929" s="1" t="s">
        <v>5664</v>
      </c>
    </row>
    <row r="18930">
      <c r="A18930" s="1" t="s">
        <v>30184</v>
      </c>
      <c r="B18930" s="2" t="s">
        <v>26498</v>
      </c>
      <c r="C18930" s="1" t="s">
        <v>5662</v>
      </c>
      <c r="D18930" s="1" t="s">
        <v>5664</v>
      </c>
    </row>
    <row r="18931">
      <c r="A18931" s="1" t="s">
        <v>30185</v>
      </c>
      <c r="B18931" s="2" t="s">
        <v>26500</v>
      </c>
      <c r="C18931" s="1" t="s">
        <v>5662</v>
      </c>
      <c r="D18931" s="1" t="s">
        <v>5664</v>
      </c>
    </row>
    <row r="18932">
      <c r="A18932" s="1" t="s">
        <v>30186</v>
      </c>
      <c r="B18932" s="2" t="s">
        <v>26502</v>
      </c>
      <c r="C18932" s="1" t="s">
        <v>5662</v>
      </c>
      <c r="D18932" s="1" t="s">
        <v>5664</v>
      </c>
    </row>
    <row r="18933">
      <c r="A18933" s="1" t="s">
        <v>30187</v>
      </c>
      <c r="B18933" s="2" t="s">
        <v>26504</v>
      </c>
      <c r="C18933" s="1" t="s">
        <v>5662</v>
      </c>
      <c r="D18933" s="1" t="s">
        <v>5664</v>
      </c>
    </row>
    <row r="18934">
      <c r="A18934" s="1" t="s">
        <v>30188</v>
      </c>
      <c r="B18934" s="2" t="s">
        <v>26506</v>
      </c>
      <c r="C18934" s="1" t="s">
        <v>5662</v>
      </c>
      <c r="D18934" s="1" t="s">
        <v>5664</v>
      </c>
    </row>
    <row r="18935">
      <c r="A18935" s="1" t="s">
        <v>30189</v>
      </c>
      <c r="B18935" s="2" t="s">
        <v>26508</v>
      </c>
      <c r="C18935" s="1" t="s">
        <v>5662</v>
      </c>
      <c r="D18935" s="1" t="s">
        <v>5664</v>
      </c>
    </row>
    <row r="18936">
      <c r="A18936" s="1" t="s">
        <v>30190</v>
      </c>
      <c r="B18936" s="2" t="s">
        <v>26510</v>
      </c>
      <c r="C18936" s="1" t="s">
        <v>5662</v>
      </c>
      <c r="D18936" s="1" t="s">
        <v>5664</v>
      </c>
    </row>
    <row r="18937">
      <c r="A18937" s="1" t="s">
        <v>30191</v>
      </c>
      <c r="B18937" s="2" t="s">
        <v>26512</v>
      </c>
      <c r="C18937" s="1" t="s">
        <v>5662</v>
      </c>
      <c r="D18937" s="1" t="s">
        <v>5664</v>
      </c>
    </row>
    <row r="18938">
      <c r="A18938" s="1" t="s">
        <v>30192</v>
      </c>
      <c r="B18938" s="2" t="s">
        <v>26514</v>
      </c>
      <c r="C18938" s="1" t="s">
        <v>5662</v>
      </c>
      <c r="D18938" s="1" t="s">
        <v>5664</v>
      </c>
    </row>
    <row r="18939">
      <c r="A18939" s="1" t="s">
        <v>30193</v>
      </c>
      <c r="B18939" s="2" t="s">
        <v>26516</v>
      </c>
      <c r="C18939" s="1" t="s">
        <v>5662</v>
      </c>
      <c r="D18939" s="1" t="s">
        <v>5664</v>
      </c>
    </row>
    <row r="18940">
      <c r="A18940" s="1" t="s">
        <v>30194</v>
      </c>
      <c r="B18940" s="2" t="s">
        <v>26518</v>
      </c>
      <c r="C18940" s="1" t="s">
        <v>5662</v>
      </c>
      <c r="D18940" s="1" t="s">
        <v>5664</v>
      </c>
    </row>
    <row r="18941">
      <c r="A18941" s="1" t="s">
        <v>30195</v>
      </c>
      <c r="B18941" s="2" t="s">
        <v>26520</v>
      </c>
      <c r="C18941" s="1" t="s">
        <v>5662</v>
      </c>
      <c r="D18941" s="1" t="s">
        <v>5664</v>
      </c>
    </row>
    <row r="18942">
      <c r="A18942" s="1" t="s">
        <v>30196</v>
      </c>
      <c r="B18942" s="2" t="s">
        <v>26522</v>
      </c>
      <c r="C18942" s="1" t="s">
        <v>5662</v>
      </c>
      <c r="D18942" s="1" t="s">
        <v>5664</v>
      </c>
    </row>
    <row r="18943">
      <c r="A18943" s="1" t="s">
        <v>30197</v>
      </c>
      <c r="B18943" s="2" t="s">
        <v>26524</v>
      </c>
      <c r="C18943" s="1" t="s">
        <v>5662</v>
      </c>
      <c r="D18943" s="1" t="s">
        <v>5664</v>
      </c>
    </row>
    <row r="18944">
      <c r="A18944" s="1" t="s">
        <v>30198</v>
      </c>
      <c r="B18944" s="2" t="s">
        <v>26526</v>
      </c>
      <c r="C18944" s="1" t="s">
        <v>5662</v>
      </c>
      <c r="D18944" s="1" t="s">
        <v>5664</v>
      </c>
    </row>
    <row r="18945">
      <c r="A18945" s="1" t="s">
        <v>30199</v>
      </c>
      <c r="B18945" s="2" t="s">
        <v>26528</v>
      </c>
      <c r="C18945" s="1" t="s">
        <v>5662</v>
      </c>
      <c r="D18945" s="1" t="s">
        <v>5664</v>
      </c>
    </row>
    <row r="18946">
      <c r="A18946" s="1" t="s">
        <v>30200</v>
      </c>
      <c r="B18946" s="2" t="s">
        <v>26530</v>
      </c>
      <c r="C18946" s="1" t="s">
        <v>5662</v>
      </c>
      <c r="D18946" s="1" t="s">
        <v>5664</v>
      </c>
    </row>
    <row r="18947">
      <c r="A18947" s="1" t="s">
        <v>30201</v>
      </c>
      <c r="B18947" s="2" t="s">
        <v>26532</v>
      </c>
      <c r="C18947" s="1" t="s">
        <v>5662</v>
      </c>
      <c r="D18947" s="1" t="s">
        <v>5664</v>
      </c>
    </row>
    <row r="18948">
      <c r="A18948" s="1" t="s">
        <v>30202</v>
      </c>
      <c r="B18948" s="2" t="s">
        <v>26534</v>
      </c>
      <c r="C18948" s="1" t="s">
        <v>5662</v>
      </c>
      <c r="D18948" s="1" t="s">
        <v>5664</v>
      </c>
    </row>
    <row r="18949">
      <c r="A18949" s="1" t="s">
        <v>30203</v>
      </c>
      <c r="B18949" s="2" t="s">
        <v>26536</v>
      </c>
      <c r="C18949" s="1" t="s">
        <v>5662</v>
      </c>
      <c r="D18949" s="1" t="s">
        <v>5664</v>
      </c>
    </row>
    <row r="18950">
      <c r="A18950" s="1" t="s">
        <v>30204</v>
      </c>
      <c r="B18950" s="2" t="s">
        <v>26538</v>
      </c>
      <c r="C18950" s="1" t="s">
        <v>5662</v>
      </c>
      <c r="D18950" s="1" t="s">
        <v>5664</v>
      </c>
    </row>
    <row r="18951">
      <c r="A18951" s="1" t="s">
        <v>30205</v>
      </c>
      <c r="B18951" s="2" t="s">
        <v>26540</v>
      </c>
      <c r="C18951" s="1" t="s">
        <v>5662</v>
      </c>
      <c r="D18951" s="1" t="s">
        <v>5664</v>
      </c>
    </row>
    <row r="18952">
      <c r="A18952" s="1" t="s">
        <v>30206</v>
      </c>
      <c r="B18952" s="2" t="s">
        <v>26542</v>
      </c>
      <c r="C18952" s="1" t="s">
        <v>5662</v>
      </c>
      <c r="D18952" s="1" t="s">
        <v>5664</v>
      </c>
    </row>
    <row r="18953">
      <c r="A18953" s="1" t="s">
        <v>30207</v>
      </c>
      <c r="B18953" s="2" t="s">
        <v>26544</v>
      </c>
      <c r="C18953" s="1" t="s">
        <v>5662</v>
      </c>
      <c r="D18953" s="1" t="s">
        <v>5664</v>
      </c>
    </row>
    <row r="18954">
      <c r="A18954" s="1" t="s">
        <v>30208</v>
      </c>
      <c r="B18954" s="2" t="s">
        <v>26546</v>
      </c>
      <c r="C18954" s="1" t="s">
        <v>5662</v>
      </c>
      <c r="D18954" s="1" t="s">
        <v>5664</v>
      </c>
    </row>
    <row r="18955">
      <c r="A18955" s="1" t="s">
        <v>30209</v>
      </c>
      <c r="B18955" s="2" t="s">
        <v>26548</v>
      </c>
      <c r="C18955" s="1" t="s">
        <v>5662</v>
      </c>
      <c r="D18955" s="1" t="s">
        <v>5664</v>
      </c>
    </row>
    <row r="18956">
      <c r="A18956" s="1" t="s">
        <v>30210</v>
      </c>
      <c r="B18956" s="2" t="s">
        <v>26550</v>
      </c>
      <c r="C18956" s="1" t="s">
        <v>5662</v>
      </c>
      <c r="D18956" s="1" t="s">
        <v>5664</v>
      </c>
    </row>
    <row r="18957">
      <c r="A18957" s="1" t="s">
        <v>30211</v>
      </c>
      <c r="B18957" s="2" t="s">
        <v>26552</v>
      </c>
      <c r="C18957" s="1" t="s">
        <v>5662</v>
      </c>
      <c r="D18957" s="1" t="s">
        <v>5664</v>
      </c>
    </row>
    <row r="18958">
      <c r="A18958" s="1" t="s">
        <v>30212</v>
      </c>
      <c r="B18958" s="2" t="s">
        <v>26554</v>
      </c>
      <c r="C18958" s="1" t="s">
        <v>5662</v>
      </c>
      <c r="D18958" s="1" t="s">
        <v>5664</v>
      </c>
    </row>
    <row r="18959">
      <c r="A18959" s="1" t="s">
        <v>30213</v>
      </c>
      <c r="B18959" s="2" t="s">
        <v>26556</v>
      </c>
      <c r="C18959" s="1" t="s">
        <v>5662</v>
      </c>
      <c r="D18959" s="1" t="s">
        <v>5664</v>
      </c>
    </row>
    <row r="18960">
      <c r="A18960" s="1" t="s">
        <v>30214</v>
      </c>
      <c r="B18960" s="2" t="s">
        <v>26558</v>
      </c>
      <c r="C18960" s="1" t="s">
        <v>5662</v>
      </c>
      <c r="D18960" s="1" t="s">
        <v>5664</v>
      </c>
    </row>
    <row r="18961">
      <c r="A18961" s="1" t="s">
        <v>30215</v>
      </c>
      <c r="B18961" s="2" t="s">
        <v>26560</v>
      </c>
      <c r="C18961" s="1" t="s">
        <v>5662</v>
      </c>
      <c r="D18961" s="1" t="s">
        <v>5664</v>
      </c>
    </row>
    <row r="18962">
      <c r="A18962" s="1" t="s">
        <v>30216</v>
      </c>
      <c r="B18962" s="2" t="s">
        <v>26562</v>
      </c>
      <c r="C18962" s="1" t="s">
        <v>5662</v>
      </c>
      <c r="D18962" s="1" t="s">
        <v>5664</v>
      </c>
    </row>
    <row r="18963">
      <c r="A18963" s="1" t="s">
        <v>30217</v>
      </c>
      <c r="B18963" s="2" t="s">
        <v>26564</v>
      </c>
      <c r="C18963" s="1" t="s">
        <v>5662</v>
      </c>
      <c r="D18963" s="1" t="s">
        <v>5664</v>
      </c>
    </row>
    <row r="18964">
      <c r="A18964" s="1" t="s">
        <v>30218</v>
      </c>
      <c r="B18964" s="2" t="s">
        <v>26566</v>
      </c>
      <c r="C18964" s="1" t="s">
        <v>5662</v>
      </c>
      <c r="D18964" s="1" t="s">
        <v>5664</v>
      </c>
    </row>
    <row r="18965">
      <c r="A18965" s="1" t="s">
        <v>30219</v>
      </c>
      <c r="B18965" s="2" t="s">
        <v>26568</v>
      </c>
      <c r="C18965" s="1" t="s">
        <v>5662</v>
      </c>
      <c r="D18965" s="1" t="s">
        <v>5664</v>
      </c>
    </row>
    <row r="18966">
      <c r="A18966" s="1" t="s">
        <v>30220</v>
      </c>
      <c r="B18966" s="2" t="s">
        <v>26570</v>
      </c>
      <c r="C18966" s="1" t="s">
        <v>5662</v>
      </c>
      <c r="D18966" s="1" t="s">
        <v>5664</v>
      </c>
    </row>
    <row r="18967">
      <c r="A18967" s="1" t="s">
        <v>30221</v>
      </c>
      <c r="B18967" s="2" t="s">
        <v>26572</v>
      </c>
      <c r="C18967" s="1" t="s">
        <v>5662</v>
      </c>
      <c r="D18967" s="1" t="s">
        <v>5664</v>
      </c>
    </row>
    <row r="18968">
      <c r="A18968" s="1" t="s">
        <v>30222</v>
      </c>
      <c r="B18968" s="2" t="s">
        <v>26574</v>
      </c>
      <c r="C18968" s="1" t="s">
        <v>5662</v>
      </c>
      <c r="D18968" s="1" t="s">
        <v>5664</v>
      </c>
    </row>
    <row r="18969">
      <c r="A18969" s="1" t="s">
        <v>30223</v>
      </c>
      <c r="B18969" s="2" t="s">
        <v>26576</v>
      </c>
      <c r="C18969" s="1" t="s">
        <v>5662</v>
      </c>
      <c r="D18969" s="1" t="s">
        <v>5664</v>
      </c>
    </row>
    <row r="18970">
      <c r="A18970" s="1" t="s">
        <v>30224</v>
      </c>
      <c r="B18970" s="2" t="s">
        <v>26578</v>
      </c>
      <c r="C18970" s="1" t="s">
        <v>5662</v>
      </c>
      <c r="D18970" s="1" t="s">
        <v>5664</v>
      </c>
    </row>
    <row r="18971">
      <c r="A18971" s="1" t="s">
        <v>30225</v>
      </c>
      <c r="B18971" s="2" t="s">
        <v>26580</v>
      </c>
      <c r="C18971" s="1" t="s">
        <v>5662</v>
      </c>
      <c r="D18971" s="1" t="s">
        <v>5664</v>
      </c>
    </row>
    <row r="18972">
      <c r="A18972" s="1" t="s">
        <v>30226</v>
      </c>
      <c r="B18972" s="2" t="s">
        <v>26582</v>
      </c>
      <c r="C18972" s="1" t="s">
        <v>5662</v>
      </c>
      <c r="D18972" s="1" t="s">
        <v>5664</v>
      </c>
    </row>
    <row r="18973">
      <c r="A18973" s="1" t="s">
        <v>30227</v>
      </c>
      <c r="B18973" s="2" t="s">
        <v>26584</v>
      </c>
      <c r="C18973" s="1" t="s">
        <v>5662</v>
      </c>
      <c r="D18973" s="1" t="s">
        <v>5664</v>
      </c>
    </row>
    <row r="18974">
      <c r="A18974" s="1" t="s">
        <v>30228</v>
      </c>
      <c r="B18974" s="2" t="s">
        <v>26586</v>
      </c>
      <c r="C18974" s="1" t="s">
        <v>5662</v>
      </c>
      <c r="D18974" s="1" t="s">
        <v>5664</v>
      </c>
    </row>
    <row r="18975">
      <c r="A18975" s="1" t="s">
        <v>30229</v>
      </c>
      <c r="B18975" s="2" t="s">
        <v>26588</v>
      </c>
      <c r="C18975" s="1" t="s">
        <v>5662</v>
      </c>
      <c r="D18975" s="1" t="s">
        <v>5664</v>
      </c>
    </row>
    <row r="18976">
      <c r="A18976" s="1" t="s">
        <v>30230</v>
      </c>
      <c r="B18976" s="2" t="s">
        <v>26590</v>
      </c>
      <c r="C18976" s="1" t="s">
        <v>5662</v>
      </c>
      <c r="D18976" s="1" t="s">
        <v>5664</v>
      </c>
    </row>
    <row r="18977">
      <c r="A18977" s="1" t="s">
        <v>30231</v>
      </c>
      <c r="B18977" s="2" t="s">
        <v>26592</v>
      </c>
      <c r="C18977" s="1" t="s">
        <v>5662</v>
      </c>
      <c r="D18977" s="1" t="s">
        <v>5664</v>
      </c>
    </row>
    <row r="18978">
      <c r="A18978" s="1" t="s">
        <v>30232</v>
      </c>
      <c r="B18978" s="2" t="s">
        <v>26594</v>
      </c>
      <c r="C18978" s="1" t="s">
        <v>5662</v>
      </c>
      <c r="D18978" s="1" t="s">
        <v>5664</v>
      </c>
    </row>
    <row r="18979">
      <c r="A18979" s="1" t="s">
        <v>30233</v>
      </c>
      <c r="B18979" s="2" t="s">
        <v>26596</v>
      </c>
      <c r="C18979" s="1" t="s">
        <v>5662</v>
      </c>
      <c r="D18979" s="1" t="s">
        <v>5664</v>
      </c>
    </row>
    <row r="18980">
      <c r="A18980" s="1" t="s">
        <v>30234</v>
      </c>
      <c r="B18980" s="2" t="s">
        <v>26598</v>
      </c>
      <c r="C18980" s="1" t="s">
        <v>5662</v>
      </c>
      <c r="D18980" s="1" t="s">
        <v>5664</v>
      </c>
    </row>
    <row r="18981">
      <c r="A18981" s="1" t="s">
        <v>30235</v>
      </c>
      <c r="B18981" s="2" t="s">
        <v>26600</v>
      </c>
      <c r="C18981" s="1" t="s">
        <v>5662</v>
      </c>
      <c r="D18981" s="1" t="s">
        <v>5664</v>
      </c>
    </row>
    <row r="18982">
      <c r="A18982" s="1" t="s">
        <v>30236</v>
      </c>
      <c r="B18982" s="2" t="s">
        <v>26602</v>
      </c>
      <c r="C18982" s="1" t="s">
        <v>5662</v>
      </c>
      <c r="D18982" s="1" t="s">
        <v>5664</v>
      </c>
    </row>
    <row r="18983">
      <c r="A18983" s="1" t="s">
        <v>30237</v>
      </c>
      <c r="B18983" s="2" t="s">
        <v>26604</v>
      </c>
      <c r="C18983" s="1" t="s">
        <v>5662</v>
      </c>
      <c r="D18983" s="1" t="s">
        <v>5664</v>
      </c>
    </row>
    <row r="18984">
      <c r="A18984" s="1" t="s">
        <v>30238</v>
      </c>
      <c r="B18984" s="2" t="s">
        <v>26606</v>
      </c>
      <c r="C18984" s="1" t="s">
        <v>5662</v>
      </c>
      <c r="D18984" s="1" t="s">
        <v>5664</v>
      </c>
    </row>
    <row r="18985">
      <c r="A18985" s="1" t="s">
        <v>30239</v>
      </c>
      <c r="B18985" s="2" t="s">
        <v>26608</v>
      </c>
      <c r="C18985" s="1" t="s">
        <v>5662</v>
      </c>
      <c r="D18985" s="1" t="s">
        <v>5664</v>
      </c>
    </row>
    <row r="18986">
      <c r="A18986" s="1" t="s">
        <v>30240</v>
      </c>
      <c r="B18986" s="2" t="s">
        <v>26610</v>
      </c>
      <c r="C18986" s="1" t="s">
        <v>5662</v>
      </c>
      <c r="D18986" s="1" t="s">
        <v>5664</v>
      </c>
    </row>
    <row r="18987">
      <c r="A18987" s="1" t="s">
        <v>30241</v>
      </c>
      <c r="B18987" s="2" t="s">
        <v>26612</v>
      </c>
      <c r="C18987" s="1" t="s">
        <v>5662</v>
      </c>
      <c r="D18987" s="1" t="s">
        <v>5664</v>
      </c>
    </row>
    <row r="18988">
      <c r="A18988" s="1" t="s">
        <v>30242</v>
      </c>
      <c r="B18988" s="2" t="s">
        <v>26614</v>
      </c>
      <c r="C18988" s="1" t="s">
        <v>5662</v>
      </c>
      <c r="D18988" s="1" t="s">
        <v>5664</v>
      </c>
    </row>
    <row r="18989">
      <c r="A18989" s="1" t="s">
        <v>30243</v>
      </c>
      <c r="B18989" s="2" t="s">
        <v>26616</v>
      </c>
      <c r="C18989" s="1" t="s">
        <v>5662</v>
      </c>
      <c r="D18989" s="1" t="s">
        <v>5664</v>
      </c>
    </row>
    <row r="18990">
      <c r="A18990" s="1" t="s">
        <v>30244</v>
      </c>
      <c r="B18990" s="2" t="s">
        <v>26618</v>
      </c>
      <c r="C18990" s="1" t="s">
        <v>5662</v>
      </c>
      <c r="D18990" s="1" t="s">
        <v>5664</v>
      </c>
    </row>
    <row r="18991">
      <c r="A18991" s="1" t="s">
        <v>30245</v>
      </c>
      <c r="B18991" s="2" t="s">
        <v>26620</v>
      </c>
      <c r="C18991" s="1" t="s">
        <v>5662</v>
      </c>
      <c r="D18991" s="1" t="s">
        <v>5664</v>
      </c>
    </row>
    <row r="18992">
      <c r="A18992" s="1" t="s">
        <v>30246</v>
      </c>
      <c r="B18992" s="2" t="s">
        <v>26622</v>
      </c>
      <c r="C18992" s="1" t="s">
        <v>5662</v>
      </c>
      <c r="D18992" s="1" t="s">
        <v>5664</v>
      </c>
    </row>
    <row r="18993">
      <c r="A18993" s="1" t="s">
        <v>30247</v>
      </c>
      <c r="B18993" s="2" t="s">
        <v>26624</v>
      </c>
      <c r="C18993" s="1" t="s">
        <v>5662</v>
      </c>
      <c r="D18993" s="1" t="s">
        <v>5664</v>
      </c>
    </row>
    <row r="18994">
      <c r="A18994" s="1" t="s">
        <v>30248</v>
      </c>
      <c r="B18994" s="2" t="s">
        <v>26626</v>
      </c>
      <c r="C18994" s="1" t="s">
        <v>5662</v>
      </c>
      <c r="D18994" s="1" t="s">
        <v>5664</v>
      </c>
    </row>
    <row r="18995">
      <c r="A18995" s="1" t="s">
        <v>30249</v>
      </c>
      <c r="B18995" s="2" t="s">
        <v>26628</v>
      </c>
      <c r="C18995" s="1" t="s">
        <v>5662</v>
      </c>
      <c r="D18995" s="1" t="s">
        <v>5664</v>
      </c>
    </row>
    <row r="18996">
      <c r="A18996" s="1" t="s">
        <v>30250</v>
      </c>
      <c r="B18996" s="2" t="s">
        <v>26630</v>
      </c>
      <c r="C18996" s="1" t="s">
        <v>5662</v>
      </c>
      <c r="D18996" s="1" t="s">
        <v>5664</v>
      </c>
    </row>
    <row r="18997">
      <c r="A18997" s="1" t="s">
        <v>30251</v>
      </c>
      <c r="B18997" s="2" t="s">
        <v>26632</v>
      </c>
      <c r="C18997" s="1" t="s">
        <v>5662</v>
      </c>
      <c r="D18997" s="1" t="s">
        <v>5664</v>
      </c>
    </row>
    <row r="18998">
      <c r="A18998" s="1" t="s">
        <v>30252</v>
      </c>
      <c r="B18998" s="2" t="s">
        <v>26634</v>
      </c>
      <c r="C18998" s="1" t="s">
        <v>5662</v>
      </c>
      <c r="D18998" s="1" t="s">
        <v>5664</v>
      </c>
    </row>
    <row r="18999">
      <c r="A18999" s="1" t="s">
        <v>30253</v>
      </c>
      <c r="B18999" s="2" t="s">
        <v>26636</v>
      </c>
      <c r="C18999" s="1" t="s">
        <v>5662</v>
      </c>
      <c r="D18999" s="1" t="s">
        <v>5664</v>
      </c>
    </row>
    <row r="19000">
      <c r="A19000" s="1" t="s">
        <v>30254</v>
      </c>
      <c r="B19000" s="2" t="s">
        <v>26638</v>
      </c>
      <c r="C19000" s="1" t="s">
        <v>5662</v>
      </c>
      <c r="D19000" s="1" t="s">
        <v>5664</v>
      </c>
    </row>
    <row r="19001">
      <c r="A19001" s="1" t="s">
        <v>30255</v>
      </c>
      <c r="B19001" s="2" t="s">
        <v>26640</v>
      </c>
      <c r="C19001" s="1" t="s">
        <v>5662</v>
      </c>
      <c r="D19001" s="1" t="s">
        <v>5664</v>
      </c>
    </row>
    <row r="19002">
      <c r="A19002" s="1" t="s">
        <v>30256</v>
      </c>
      <c r="B19002" s="2" t="s">
        <v>26642</v>
      </c>
      <c r="C19002" s="1" t="s">
        <v>5662</v>
      </c>
      <c r="D19002" s="1" t="s">
        <v>5664</v>
      </c>
    </row>
    <row r="19003">
      <c r="A19003" s="1" t="s">
        <v>30257</v>
      </c>
      <c r="B19003" s="2" t="s">
        <v>26644</v>
      </c>
      <c r="C19003" s="1" t="s">
        <v>5662</v>
      </c>
      <c r="D19003" s="1" t="s">
        <v>5664</v>
      </c>
    </row>
    <row r="19004">
      <c r="A19004" s="1" t="s">
        <v>30258</v>
      </c>
      <c r="B19004" s="2" t="s">
        <v>26646</v>
      </c>
      <c r="C19004" s="1" t="s">
        <v>5662</v>
      </c>
      <c r="D19004" s="1" t="s">
        <v>5664</v>
      </c>
    </row>
    <row r="19005">
      <c r="A19005" s="1" t="s">
        <v>30259</v>
      </c>
      <c r="B19005" s="2" t="s">
        <v>26648</v>
      </c>
      <c r="C19005" s="1" t="s">
        <v>5662</v>
      </c>
      <c r="D19005" s="1" t="s">
        <v>5664</v>
      </c>
    </row>
    <row r="19006">
      <c r="A19006" s="1" t="s">
        <v>30260</v>
      </c>
      <c r="B19006" s="2" t="s">
        <v>26650</v>
      </c>
      <c r="C19006" s="1" t="s">
        <v>5662</v>
      </c>
      <c r="D19006" s="1" t="s">
        <v>5664</v>
      </c>
    </row>
    <row r="19007">
      <c r="A19007" s="1" t="s">
        <v>30261</v>
      </c>
      <c r="B19007" s="2" t="s">
        <v>26652</v>
      </c>
      <c r="C19007" s="1" t="s">
        <v>5662</v>
      </c>
      <c r="D19007" s="1" t="s">
        <v>5664</v>
      </c>
    </row>
    <row r="19008">
      <c r="A19008" s="1" t="s">
        <v>30262</v>
      </c>
      <c r="B19008" s="2" t="s">
        <v>26654</v>
      </c>
      <c r="C19008" s="1" t="s">
        <v>5662</v>
      </c>
      <c r="D19008" s="1" t="s">
        <v>5664</v>
      </c>
    </row>
    <row r="19009">
      <c r="A19009" s="1" t="s">
        <v>30263</v>
      </c>
      <c r="B19009" s="2" t="s">
        <v>26656</v>
      </c>
      <c r="C19009" s="1" t="s">
        <v>5662</v>
      </c>
      <c r="D19009" s="1" t="s">
        <v>5664</v>
      </c>
    </row>
    <row r="19010">
      <c r="A19010" s="1" t="s">
        <v>30264</v>
      </c>
      <c r="B19010" s="2" t="s">
        <v>26658</v>
      </c>
      <c r="C19010" s="1" t="s">
        <v>5662</v>
      </c>
      <c r="D19010" s="1" t="s">
        <v>5664</v>
      </c>
    </row>
    <row r="19011">
      <c r="A19011" s="1" t="s">
        <v>30265</v>
      </c>
      <c r="B19011" s="2" t="s">
        <v>26660</v>
      </c>
      <c r="C19011" s="1" t="s">
        <v>5662</v>
      </c>
      <c r="D19011" s="1" t="s">
        <v>5664</v>
      </c>
    </row>
    <row r="19012">
      <c r="A19012" s="1" t="s">
        <v>30266</v>
      </c>
      <c r="B19012" s="2" t="s">
        <v>26662</v>
      </c>
      <c r="C19012" s="1" t="s">
        <v>5662</v>
      </c>
      <c r="D19012" s="1" t="s">
        <v>5664</v>
      </c>
    </row>
    <row r="19013">
      <c r="A19013" s="1" t="s">
        <v>30267</v>
      </c>
      <c r="B19013" s="2" t="s">
        <v>26664</v>
      </c>
      <c r="C19013" s="1" t="s">
        <v>5662</v>
      </c>
      <c r="D19013" s="1" t="s">
        <v>5664</v>
      </c>
    </row>
    <row r="19014">
      <c r="A19014" s="1" t="s">
        <v>30268</v>
      </c>
      <c r="B19014" s="2" t="s">
        <v>26666</v>
      </c>
      <c r="C19014" s="1" t="s">
        <v>5662</v>
      </c>
      <c r="D19014" s="1" t="s">
        <v>5664</v>
      </c>
    </row>
    <row r="19015">
      <c r="A19015" s="1" t="s">
        <v>30269</v>
      </c>
      <c r="B19015" s="2" t="s">
        <v>26668</v>
      </c>
      <c r="C19015" s="1" t="s">
        <v>5662</v>
      </c>
      <c r="D19015" s="1" t="s">
        <v>5664</v>
      </c>
    </row>
    <row r="19016">
      <c r="A19016" s="1" t="s">
        <v>30270</v>
      </c>
      <c r="B19016" s="2" t="s">
        <v>26670</v>
      </c>
      <c r="C19016" s="1" t="s">
        <v>5662</v>
      </c>
      <c r="D19016" s="1" t="s">
        <v>5664</v>
      </c>
    </row>
    <row r="19017">
      <c r="A19017" s="1" t="s">
        <v>30271</v>
      </c>
      <c r="B19017" s="2" t="s">
        <v>26672</v>
      </c>
      <c r="C19017" s="1" t="s">
        <v>5662</v>
      </c>
      <c r="D19017" s="1" t="s">
        <v>5664</v>
      </c>
    </row>
    <row r="19018">
      <c r="A19018" s="1" t="s">
        <v>30272</v>
      </c>
      <c r="B19018" s="2" t="s">
        <v>26674</v>
      </c>
      <c r="C19018" s="1" t="s">
        <v>5662</v>
      </c>
      <c r="D19018" s="1" t="s">
        <v>5664</v>
      </c>
    </row>
    <row r="19019">
      <c r="A19019" s="1" t="s">
        <v>30273</v>
      </c>
      <c r="B19019" s="2" t="s">
        <v>26676</v>
      </c>
      <c r="C19019" s="1" t="s">
        <v>5662</v>
      </c>
      <c r="D19019" s="1" t="s">
        <v>5664</v>
      </c>
    </row>
    <row r="19020">
      <c r="A19020" s="1" t="s">
        <v>30274</v>
      </c>
      <c r="B19020" s="2" t="s">
        <v>26678</v>
      </c>
      <c r="C19020" s="1" t="s">
        <v>5662</v>
      </c>
      <c r="D19020" s="1" t="s">
        <v>5664</v>
      </c>
    </row>
    <row r="19021">
      <c r="A19021" s="1" t="s">
        <v>30275</v>
      </c>
      <c r="B19021" s="2" t="s">
        <v>26680</v>
      </c>
      <c r="C19021" s="1" t="s">
        <v>5662</v>
      </c>
      <c r="D19021" s="1" t="s">
        <v>5664</v>
      </c>
    </row>
    <row r="19022">
      <c r="A19022" s="1" t="s">
        <v>30276</v>
      </c>
      <c r="B19022" s="2" t="s">
        <v>26682</v>
      </c>
      <c r="C19022" s="1" t="s">
        <v>5662</v>
      </c>
      <c r="D19022" s="1" t="s">
        <v>5664</v>
      </c>
    </row>
    <row r="19023">
      <c r="A19023" s="1" t="s">
        <v>30277</v>
      </c>
      <c r="B19023" s="2" t="s">
        <v>26684</v>
      </c>
      <c r="C19023" s="1" t="s">
        <v>5662</v>
      </c>
      <c r="D19023" s="1" t="s">
        <v>5664</v>
      </c>
    </row>
    <row r="19024">
      <c r="A19024" s="1" t="s">
        <v>30278</v>
      </c>
      <c r="B19024" s="2" t="s">
        <v>26686</v>
      </c>
      <c r="C19024" s="1" t="s">
        <v>5662</v>
      </c>
      <c r="D19024" s="1" t="s">
        <v>5664</v>
      </c>
    </row>
    <row r="19025">
      <c r="A19025" s="1" t="s">
        <v>30279</v>
      </c>
      <c r="B19025" s="2" t="s">
        <v>26688</v>
      </c>
      <c r="C19025" s="1" t="s">
        <v>5662</v>
      </c>
      <c r="D19025" s="1" t="s">
        <v>5664</v>
      </c>
    </row>
    <row r="19026">
      <c r="A19026" s="1" t="s">
        <v>30280</v>
      </c>
      <c r="B19026" s="2" t="s">
        <v>26690</v>
      </c>
      <c r="C19026" s="1" t="s">
        <v>5662</v>
      </c>
      <c r="D19026" s="1" t="s">
        <v>5664</v>
      </c>
    </row>
    <row r="19027">
      <c r="A19027" s="1" t="s">
        <v>30281</v>
      </c>
      <c r="B19027" s="2" t="s">
        <v>26692</v>
      </c>
      <c r="C19027" s="1" t="s">
        <v>5662</v>
      </c>
      <c r="D19027" s="1" t="s">
        <v>5664</v>
      </c>
    </row>
    <row r="19028">
      <c r="A19028" s="1" t="s">
        <v>30282</v>
      </c>
      <c r="B19028" s="2" t="s">
        <v>26694</v>
      </c>
      <c r="C19028" s="1" t="s">
        <v>5662</v>
      </c>
      <c r="D19028" s="1" t="s">
        <v>5664</v>
      </c>
    </row>
    <row r="19029">
      <c r="A19029" s="1" t="s">
        <v>30283</v>
      </c>
      <c r="B19029" s="2" t="s">
        <v>26696</v>
      </c>
      <c r="C19029" s="1" t="s">
        <v>5662</v>
      </c>
      <c r="D19029" s="1" t="s">
        <v>5664</v>
      </c>
    </row>
    <row r="19030">
      <c r="A19030" s="1" t="s">
        <v>30284</v>
      </c>
      <c r="B19030" s="2" t="s">
        <v>26698</v>
      </c>
      <c r="C19030" s="1" t="s">
        <v>5662</v>
      </c>
      <c r="D19030" s="1" t="s">
        <v>5664</v>
      </c>
    </row>
    <row r="19031">
      <c r="A19031" s="1" t="s">
        <v>30285</v>
      </c>
      <c r="B19031" s="2" t="s">
        <v>26700</v>
      </c>
      <c r="C19031" s="1" t="s">
        <v>5662</v>
      </c>
      <c r="D19031" s="1" t="s">
        <v>5664</v>
      </c>
    </row>
    <row r="19032">
      <c r="A19032" s="1" t="s">
        <v>30286</v>
      </c>
      <c r="B19032" s="2" t="s">
        <v>26702</v>
      </c>
      <c r="C19032" s="1" t="s">
        <v>5662</v>
      </c>
      <c r="D19032" s="1" t="s">
        <v>5664</v>
      </c>
    </row>
    <row r="19033">
      <c r="A19033" s="1" t="s">
        <v>30287</v>
      </c>
      <c r="B19033" s="2" t="s">
        <v>26704</v>
      </c>
      <c r="C19033" s="1" t="s">
        <v>5662</v>
      </c>
      <c r="D19033" s="1" t="s">
        <v>5664</v>
      </c>
    </row>
    <row r="19034">
      <c r="A19034" s="1" t="s">
        <v>30288</v>
      </c>
      <c r="B19034" s="2" t="s">
        <v>26706</v>
      </c>
      <c r="C19034" s="1" t="s">
        <v>5662</v>
      </c>
      <c r="D19034" s="1" t="s">
        <v>5664</v>
      </c>
    </row>
    <row r="19035">
      <c r="A19035" s="1" t="s">
        <v>30289</v>
      </c>
      <c r="B19035" s="2" t="s">
        <v>26708</v>
      </c>
      <c r="C19035" s="1" t="s">
        <v>5662</v>
      </c>
      <c r="D19035" s="1" t="s">
        <v>5664</v>
      </c>
    </row>
    <row r="19036">
      <c r="A19036" s="1" t="s">
        <v>30290</v>
      </c>
      <c r="B19036" s="2" t="s">
        <v>26710</v>
      </c>
      <c r="C19036" s="1" t="s">
        <v>5662</v>
      </c>
      <c r="D19036" s="1" t="s">
        <v>5664</v>
      </c>
    </row>
    <row r="19037">
      <c r="A19037" s="1" t="s">
        <v>30291</v>
      </c>
      <c r="B19037" s="2" t="s">
        <v>26712</v>
      </c>
      <c r="C19037" s="1" t="s">
        <v>5662</v>
      </c>
      <c r="D19037" s="1" t="s">
        <v>5664</v>
      </c>
    </row>
    <row r="19038">
      <c r="A19038" s="1" t="s">
        <v>30292</v>
      </c>
      <c r="B19038" s="2" t="s">
        <v>26714</v>
      </c>
      <c r="C19038" s="1" t="s">
        <v>5662</v>
      </c>
      <c r="D19038" s="1" t="s">
        <v>5664</v>
      </c>
    </row>
    <row r="19039">
      <c r="A19039" s="1" t="s">
        <v>30293</v>
      </c>
      <c r="B19039" s="2" t="s">
        <v>26716</v>
      </c>
      <c r="C19039" s="1" t="s">
        <v>5662</v>
      </c>
      <c r="D19039" s="1" t="s">
        <v>5664</v>
      </c>
    </row>
    <row r="19040">
      <c r="A19040" s="1" t="s">
        <v>30294</v>
      </c>
      <c r="B19040" s="2" t="s">
        <v>26718</v>
      </c>
      <c r="C19040" s="1" t="s">
        <v>5662</v>
      </c>
      <c r="D19040" s="1" t="s">
        <v>5664</v>
      </c>
    </row>
    <row r="19041">
      <c r="A19041" s="1" t="s">
        <v>30295</v>
      </c>
      <c r="B19041" s="2" t="s">
        <v>26720</v>
      </c>
      <c r="C19041" s="1" t="s">
        <v>5662</v>
      </c>
      <c r="D19041" s="1" t="s">
        <v>5664</v>
      </c>
    </row>
    <row r="19042">
      <c r="A19042" s="1" t="s">
        <v>30296</v>
      </c>
      <c r="B19042" s="2" t="s">
        <v>26722</v>
      </c>
      <c r="C19042" s="1" t="s">
        <v>5662</v>
      </c>
      <c r="D19042" s="1" t="s">
        <v>5664</v>
      </c>
    </row>
    <row r="19043">
      <c r="A19043" s="1" t="s">
        <v>30297</v>
      </c>
      <c r="B19043" s="2" t="s">
        <v>26724</v>
      </c>
      <c r="C19043" s="1" t="s">
        <v>5662</v>
      </c>
      <c r="D19043" s="1" t="s">
        <v>5664</v>
      </c>
    </row>
    <row r="19044">
      <c r="A19044" s="1" t="s">
        <v>30298</v>
      </c>
      <c r="B19044" s="2" t="s">
        <v>26726</v>
      </c>
      <c r="C19044" s="1" t="s">
        <v>5662</v>
      </c>
      <c r="D19044" s="1" t="s">
        <v>5664</v>
      </c>
    </row>
    <row r="19045">
      <c r="A19045" s="1" t="s">
        <v>30299</v>
      </c>
      <c r="B19045" s="2" t="s">
        <v>26728</v>
      </c>
      <c r="C19045" s="1" t="s">
        <v>5662</v>
      </c>
      <c r="D19045" s="1" t="s">
        <v>5664</v>
      </c>
    </row>
    <row r="19046">
      <c r="A19046" s="1" t="s">
        <v>30300</v>
      </c>
      <c r="B19046" s="2" t="s">
        <v>26730</v>
      </c>
      <c r="C19046" s="1" t="s">
        <v>5662</v>
      </c>
      <c r="D19046" s="1" t="s">
        <v>5664</v>
      </c>
    </row>
    <row r="19047">
      <c r="A19047" s="1" t="s">
        <v>30301</v>
      </c>
      <c r="B19047" s="2" t="s">
        <v>26732</v>
      </c>
      <c r="C19047" s="1" t="s">
        <v>5662</v>
      </c>
      <c r="D19047" s="1" t="s">
        <v>5664</v>
      </c>
    </row>
    <row r="19048">
      <c r="A19048" s="1" t="s">
        <v>30302</v>
      </c>
      <c r="B19048" s="2" t="s">
        <v>26734</v>
      </c>
      <c r="C19048" s="1" t="s">
        <v>5662</v>
      </c>
      <c r="D19048" s="1" t="s">
        <v>5664</v>
      </c>
    </row>
    <row r="19049">
      <c r="A19049" s="1" t="s">
        <v>30303</v>
      </c>
      <c r="B19049" s="2" t="s">
        <v>26736</v>
      </c>
      <c r="C19049" s="1" t="s">
        <v>5662</v>
      </c>
      <c r="D19049" s="1" t="s">
        <v>5664</v>
      </c>
    </row>
    <row r="19050">
      <c r="A19050" s="1" t="s">
        <v>30304</v>
      </c>
      <c r="B19050" s="2" t="s">
        <v>26738</v>
      </c>
      <c r="C19050" s="1" t="s">
        <v>5662</v>
      </c>
      <c r="D19050" s="1" t="s">
        <v>5664</v>
      </c>
    </row>
    <row r="19051">
      <c r="A19051" s="1" t="s">
        <v>30305</v>
      </c>
      <c r="B19051" s="2" t="s">
        <v>26740</v>
      </c>
      <c r="C19051" s="1" t="s">
        <v>5662</v>
      </c>
      <c r="D19051" s="1" t="s">
        <v>5664</v>
      </c>
    </row>
    <row r="19052">
      <c r="A19052" s="1" t="s">
        <v>30306</v>
      </c>
      <c r="B19052" s="2" t="s">
        <v>26742</v>
      </c>
      <c r="C19052" s="1" t="s">
        <v>5662</v>
      </c>
      <c r="D19052" s="1" t="s">
        <v>5664</v>
      </c>
    </row>
    <row r="19053">
      <c r="A19053" s="1" t="s">
        <v>30307</v>
      </c>
      <c r="B19053" s="2" t="s">
        <v>26744</v>
      </c>
      <c r="C19053" s="1" t="s">
        <v>5662</v>
      </c>
      <c r="D19053" s="1" t="s">
        <v>5664</v>
      </c>
    </row>
    <row r="19054">
      <c r="A19054" s="1" t="s">
        <v>30308</v>
      </c>
      <c r="B19054" s="2" t="s">
        <v>26746</v>
      </c>
      <c r="C19054" s="1" t="s">
        <v>5662</v>
      </c>
      <c r="D19054" s="1" t="s">
        <v>5664</v>
      </c>
    </row>
    <row r="19055">
      <c r="A19055" s="1" t="s">
        <v>30309</v>
      </c>
      <c r="B19055" s="2" t="s">
        <v>26748</v>
      </c>
      <c r="C19055" s="1" t="s">
        <v>5662</v>
      </c>
      <c r="D19055" s="1" t="s">
        <v>5664</v>
      </c>
    </row>
    <row r="19056">
      <c r="A19056" s="1" t="s">
        <v>30310</v>
      </c>
      <c r="B19056" s="2" t="s">
        <v>26750</v>
      </c>
      <c r="C19056" s="1" t="s">
        <v>5662</v>
      </c>
      <c r="D19056" s="1" t="s">
        <v>5664</v>
      </c>
    </row>
    <row r="19057">
      <c r="A19057" s="1" t="s">
        <v>30311</v>
      </c>
      <c r="B19057" s="2" t="s">
        <v>26752</v>
      </c>
      <c r="C19057" s="1" t="s">
        <v>5662</v>
      </c>
      <c r="D19057" s="1" t="s">
        <v>5664</v>
      </c>
    </row>
    <row r="19058">
      <c r="A19058" s="1" t="s">
        <v>30312</v>
      </c>
      <c r="B19058" s="2" t="s">
        <v>26754</v>
      </c>
      <c r="C19058" s="1" t="s">
        <v>5662</v>
      </c>
      <c r="D19058" s="1" t="s">
        <v>5664</v>
      </c>
    </row>
    <row r="19059">
      <c r="A19059" s="1" t="s">
        <v>30313</v>
      </c>
      <c r="B19059" s="2" t="s">
        <v>26756</v>
      </c>
      <c r="C19059" s="1" t="s">
        <v>5662</v>
      </c>
      <c r="D19059" s="1" t="s">
        <v>5664</v>
      </c>
    </row>
    <row r="19060">
      <c r="A19060" s="1" t="s">
        <v>30314</v>
      </c>
      <c r="B19060" s="2" t="s">
        <v>26758</v>
      </c>
      <c r="C19060" s="1" t="s">
        <v>5662</v>
      </c>
      <c r="D19060" s="1" t="s">
        <v>5664</v>
      </c>
    </row>
    <row r="19061">
      <c r="A19061" s="1" t="s">
        <v>30315</v>
      </c>
      <c r="B19061" s="2" t="s">
        <v>26760</v>
      </c>
      <c r="C19061" s="1" t="s">
        <v>5662</v>
      </c>
      <c r="D19061" s="1" t="s">
        <v>5664</v>
      </c>
    </row>
    <row r="19062">
      <c r="A19062" s="1" t="s">
        <v>30316</v>
      </c>
      <c r="B19062" s="2" t="s">
        <v>26762</v>
      </c>
      <c r="C19062" s="1" t="s">
        <v>5662</v>
      </c>
      <c r="D19062" s="1" t="s">
        <v>5664</v>
      </c>
    </row>
    <row r="19063">
      <c r="A19063" s="1" t="s">
        <v>30317</v>
      </c>
      <c r="B19063" s="2" t="s">
        <v>26764</v>
      </c>
      <c r="C19063" s="1" t="s">
        <v>5662</v>
      </c>
      <c r="D19063" s="1" t="s">
        <v>5664</v>
      </c>
    </row>
    <row r="19064">
      <c r="A19064" s="1" t="s">
        <v>30318</v>
      </c>
      <c r="B19064" s="2" t="s">
        <v>26766</v>
      </c>
      <c r="C19064" s="1" t="s">
        <v>5662</v>
      </c>
      <c r="D19064" s="1" t="s">
        <v>5664</v>
      </c>
    </row>
    <row r="19065">
      <c r="A19065" s="1" t="s">
        <v>30319</v>
      </c>
      <c r="B19065" s="2" t="s">
        <v>26768</v>
      </c>
      <c r="C19065" s="1" t="s">
        <v>5662</v>
      </c>
      <c r="D19065" s="1" t="s">
        <v>5664</v>
      </c>
    </row>
    <row r="19066">
      <c r="A19066" s="1" t="s">
        <v>30320</v>
      </c>
      <c r="B19066" s="2" t="s">
        <v>26770</v>
      </c>
      <c r="C19066" s="1" t="s">
        <v>5662</v>
      </c>
      <c r="D19066" s="1" t="s">
        <v>5664</v>
      </c>
    </row>
    <row r="19067">
      <c r="A19067" s="1" t="s">
        <v>30321</v>
      </c>
      <c r="B19067" s="2" t="s">
        <v>26772</v>
      </c>
      <c r="C19067" s="1" t="s">
        <v>5662</v>
      </c>
      <c r="D19067" s="1" t="s">
        <v>5664</v>
      </c>
    </row>
    <row r="19068">
      <c r="A19068" s="1" t="s">
        <v>30322</v>
      </c>
      <c r="B19068" s="2" t="s">
        <v>26774</v>
      </c>
      <c r="C19068" s="1" t="s">
        <v>5662</v>
      </c>
      <c r="D19068" s="1" t="s">
        <v>5664</v>
      </c>
    </row>
    <row r="19069">
      <c r="A19069" s="1" t="s">
        <v>30323</v>
      </c>
      <c r="B19069" s="2" t="s">
        <v>26776</v>
      </c>
      <c r="C19069" s="1" t="s">
        <v>5662</v>
      </c>
      <c r="D19069" s="1" t="s">
        <v>5664</v>
      </c>
    </row>
    <row r="19070">
      <c r="A19070" s="1" t="s">
        <v>30324</v>
      </c>
      <c r="B19070" s="2" t="s">
        <v>26778</v>
      </c>
      <c r="C19070" s="1" t="s">
        <v>5662</v>
      </c>
      <c r="D19070" s="1" t="s">
        <v>5664</v>
      </c>
    </row>
    <row r="19071">
      <c r="A19071" s="1" t="s">
        <v>30325</v>
      </c>
      <c r="B19071" s="2" t="s">
        <v>26780</v>
      </c>
      <c r="C19071" s="1" t="s">
        <v>5662</v>
      </c>
      <c r="D19071" s="1" t="s">
        <v>5664</v>
      </c>
    </row>
    <row r="19072">
      <c r="A19072" s="1" t="s">
        <v>30326</v>
      </c>
      <c r="B19072" s="2" t="s">
        <v>26782</v>
      </c>
      <c r="C19072" s="1" t="s">
        <v>5662</v>
      </c>
      <c r="D19072" s="1" t="s">
        <v>5664</v>
      </c>
    </row>
    <row r="19073">
      <c r="A19073" s="1" t="s">
        <v>30327</v>
      </c>
      <c r="B19073" s="2" t="s">
        <v>26784</v>
      </c>
      <c r="C19073" s="1" t="s">
        <v>5662</v>
      </c>
      <c r="D19073" s="1" t="s">
        <v>5664</v>
      </c>
    </row>
    <row r="19074">
      <c r="A19074" s="1" t="s">
        <v>30328</v>
      </c>
      <c r="B19074" s="2" t="s">
        <v>26786</v>
      </c>
      <c r="C19074" s="1" t="s">
        <v>5662</v>
      </c>
      <c r="D19074" s="1" t="s">
        <v>5664</v>
      </c>
    </row>
    <row r="19075">
      <c r="A19075" s="1" t="s">
        <v>30329</v>
      </c>
      <c r="B19075" s="2" t="s">
        <v>26788</v>
      </c>
      <c r="C19075" s="1" t="s">
        <v>5662</v>
      </c>
      <c r="D19075" s="1" t="s">
        <v>5664</v>
      </c>
    </row>
    <row r="19076">
      <c r="A19076" s="1" t="s">
        <v>30330</v>
      </c>
      <c r="B19076" s="2" t="s">
        <v>26790</v>
      </c>
      <c r="C19076" s="1" t="s">
        <v>5662</v>
      </c>
      <c r="D19076" s="1" t="s">
        <v>5664</v>
      </c>
    </row>
    <row r="19077">
      <c r="A19077" s="1" t="s">
        <v>30331</v>
      </c>
      <c r="B19077" s="2" t="s">
        <v>26792</v>
      </c>
      <c r="C19077" s="1" t="s">
        <v>5662</v>
      </c>
      <c r="D19077" s="1" t="s">
        <v>5664</v>
      </c>
    </row>
    <row r="19078">
      <c r="A19078" s="1" t="s">
        <v>30332</v>
      </c>
      <c r="B19078" s="2" t="s">
        <v>26794</v>
      </c>
      <c r="C19078" s="1" t="s">
        <v>5662</v>
      </c>
      <c r="D19078" s="1" t="s">
        <v>5664</v>
      </c>
    </row>
    <row r="19079">
      <c r="A19079" s="1" t="s">
        <v>30333</v>
      </c>
      <c r="B19079" s="2" t="s">
        <v>26796</v>
      </c>
      <c r="C19079" s="1" t="s">
        <v>5662</v>
      </c>
      <c r="D19079" s="1" t="s">
        <v>5664</v>
      </c>
    </row>
    <row r="19080">
      <c r="A19080" s="1" t="s">
        <v>30334</v>
      </c>
      <c r="B19080" s="2" t="s">
        <v>26798</v>
      </c>
      <c r="C19080" s="1" t="s">
        <v>5662</v>
      </c>
      <c r="D19080" s="1" t="s">
        <v>5664</v>
      </c>
    </row>
    <row r="19081">
      <c r="A19081" s="1" t="s">
        <v>30335</v>
      </c>
      <c r="B19081" s="2" t="s">
        <v>26800</v>
      </c>
      <c r="C19081" s="1" t="s">
        <v>5662</v>
      </c>
      <c r="D19081" s="1" t="s">
        <v>5664</v>
      </c>
    </row>
    <row r="19082">
      <c r="A19082" s="1" t="s">
        <v>30336</v>
      </c>
      <c r="B19082" s="2" t="s">
        <v>26802</v>
      </c>
      <c r="C19082" s="1" t="s">
        <v>5662</v>
      </c>
      <c r="D19082" s="1" t="s">
        <v>5664</v>
      </c>
    </row>
    <row r="19083">
      <c r="A19083" s="1" t="s">
        <v>30337</v>
      </c>
      <c r="B19083" s="2" t="s">
        <v>26804</v>
      </c>
      <c r="C19083" s="1" t="s">
        <v>5662</v>
      </c>
      <c r="D19083" s="1" t="s">
        <v>5664</v>
      </c>
    </row>
    <row r="19084">
      <c r="A19084" s="1" t="s">
        <v>30338</v>
      </c>
      <c r="B19084" s="2" t="s">
        <v>26806</v>
      </c>
      <c r="C19084" s="1" t="s">
        <v>5662</v>
      </c>
      <c r="D19084" s="1" t="s">
        <v>5664</v>
      </c>
    </row>
    <row r="19085">
      <c r="A19085" s="1" t="s">
        <v>30339</v>
      </c>
      <c r="B19085" s="2" t="s">
        <v>26808</v>
      </c>
      <c r="C19085" s="1" t="s">
        <v>5662</v>
      </c>
      <c r="D19085" s="1" t="s">
        <v>5664</v>
      </c>
    </row>
    <row r="19086">
      <c r="A19086" s="1" t="s">
        <v>30340</v>
      </c>
      <c r="B19086" s="2" t="s">
        <v>26810</v>
      </c>
      <c r="C19086" s="1" t="s">
        <v>5662</v>
      </c>
      <c r="D19086" s="1" t="s">
        <v>5664</v>
      </c>
    </row>
    <row r="19087">
      <c r="A19087" s="1" t="s">
        <v>30341</v>
      </c>
      <c r="B19087" s="2" t="s">
        <v>26812</v>
      </c>
      <c r="C19087" s="1" t="s">
        <v>5662</v>
      </c>
      <c r="D19087" s="1" t="s">
        <v>5664</v>
      </c>
    </row>
    <row r="19088">
      <c r="A19088" s="1" t="s">
        <v>30342</v>
      </c>
      <c r="B19088" s="2" t="s">
        <v>26814</v>
      </c>
      <c r="C19088" s="1" t="s">
        <v>5662</v>
      </c>
      <c r="D19088" s="1" t="s">
        <v>5664</v>
      </c>
    </row>
    <row r="19089">
      <c r="A19089" s="1" t="s">
        <v>30343</v>
      </c>
      <c r="B19089" s="2" t="s">
        <v>26816</v>
      </c>
      <c r="C19089" s="1" t="s">
        <v>5662</v>
      </c>
      <c r="D19089" s="1" t="s">
        <v>5664</v>
      </c>
    </row>
    <row r="19090">
      <c r="A19090" s="1" t="s">
        <v>30344</v>
      </c>
      <c r="B19090" s="2" t="s">
        <v>26818</v>
      </c>
      <c r="C19090" s="1" t="s">
        <v>5662</v>
      </c>
      <c r="D19090" s="1" t="s">
        <v>5664</v>
      </c>
    </row>
    <row r="19091">
      <c r="A19091" s="1" t="s">
        <v>30345</v>
      </c>
      <c r="B19091" s="2" t="s">
        <v>26820</v>
      </c>
      <c r="C19091" s="1" t="s">
        <v>5662</v>
      </c>
      <c r="D19091" s="1" t="s">
        <v>5664</v>
      </c>
    </row>
    <row r="19092">
      <c r="A19092" s="1" t="s">
        <v>30346</v>
      </c>
      <c r="B19092" s="2" t="s">
        <v>26822</v>
      </c>
      <c r="C19092" s="1" t="s">
        <v>5662</v>
      </c>
      <c r="D19092" s="1" t="s">
        <v>5664</v>
      </c>
    </row>
    <row r="19093">
      <c r="A19093" s="1" t="s">
        <v>30347</v>
      </c>
      <c r="B19093" s="2" t="s">
        <v>26824</v>
      </c>
      <c r="C19093" s="1" t="s">
        <v>5662</v>
      </c>
      <c r="D19093" s="1" t="s">
        <v>5664</v>
      </c>
    </row>
    <row r="19094">
      <c r="A19094" s="1" t="s">
        <v>30348</v>
      </c>
      <c r="B19094" s="2" t="s">
        <v>26826</v>
      </c>
      <c r="C19094" s="1" t="s">
        <v>5662</v>
      </c>
      <c r="D19094" s="1" t="s">
        <v>5664</v>
      </c>
    </row>
    <row r="19095">
      <c r="A19095" s="1" t="s">
        <v>30349</v>
      </c>
      <c r="B19095" s="2" t="s">
        <v>26828</v>
      </c>
      <c r="C19095" s="1" t="s">
        <v>5662</v>
      </c>
      <c r="D19095" s="1" t="s">
        <v>5664</v>
      </c>
    </row>
    <row r="19096">
      <c r="A19096" s="1" t="s">
        <v>30350</v>
      </c>
      <c r="B19096" s="2" t="s">
        <v>26830</v>
      </c>
      <c r="C19096" s="1" t="s">
        <v>5662</v>
      </c>
      <c r="D19096" s="1" t="s">
        <v>5664</v>
      </c>
    </row>
    <row r="19097">
      <c r="A19097" s="1" t="s">
        <v>30351</v>
      </c>
      <c r="B19097" s="2" t="s">
        <v>26832</v>
      </c>
      <c r="C19097" s="1" t="s">
        <v>5662</v>
      </c>
      <c r="D19097" s="1" t="s">
        <v>5664</v>
      </c>
    </row>
    <row r="19098">
      <c r="A19098" s="1" t="s">
        <v>30352</v>
      </c>
      <c r="B19098" s="2" t="s">
        <v>26834</v>
      </c>
      <c r="C19098" s="1" t="s">
        <v>5662</v>
      </c>
      <c r="D19098" s="1" t="s">
        <v>5664</v>
      </c>
    </row>
    <row r="19099">
      <c r="A19099" s="1" t="s">
        <v>30353</v>
      </c>
      <c r="B19099" s="2" t="s">
        <v>26836</v>
      </c>
      <c r="C19099" s="1" t="s">
        <v>5662</v>
      </c>
      <c r="D19099" s="1" t="s">
        <v>5664</v>
      </c>
    </row>
    <row r="19100">
      <c r="A19100" s="1" t="s">
        <v>30354</v>
      </c>
      <c r="B19100" s="2" t="s">
        <v>26838</v>
      </c>
      <c r="C19100" s="1" t="s">
        <v>5662</v>
      </c>
      <c r="D19100" s="1" t="s">
        <v>5664</v>
      </c>
    </row>
    <row r="19101">
      <c r="A19101" s="1" t="s">
        <v>30355</v>
      </c>
      <c r="B19101" s="2" t="s">
        <v>26840</v>
      </c>
      <c r="C19101" s="1" t="s">
        <v>5662</v>
      </c>
      <c r="D19101" s="1" t="s">
        <v>5664</v>
      </c>
    </row>
    <row r="19102">
      <c r="A19102" s="1" t="s">
        <v>30356</v>
      </c>
      <c r="B19102" s="2" t="s">
        <v>26842</v>
      </c>
      <c r="C19102" s="1" t="s">
        <v>5662</v>
      </c>
      <c r="D19102" s="1" t="s">
        <v>5664</v>
      </c>
    </row>
    <row r="19103">
      <c r="A19103" s="1" t="s">
        <v>30357</v>
      </c>
      <c r="B19103" s="2" t="s">
        <v>26844</v>
      </c>
      <c r="C19103" s="1" t="s">
        <v>5662</v>
      </c>
      <c r="D19103" s="1" t="s">
        <v>5664</v>
      </c>
    </row>
    <row r="19104">
      <c r="A19104" s="1" t="s">
        <v>30358</v>
      </c>
      <c r="B19104" s="2" t="s">
        <v>26846</v>
      </c>
      <c r="C19104" s="1" t="s">
        <v>5662</v>
      </c>
      <c r="D19104" s="1" t="s">
        <v>5664</v>
      </c>
    </row>
    <row r="19105">
      <c r="A19105" s="1" t="s">
        <v>30359</v>
      </c>
      <c r="B19105" s="2" t="s">
        <v>26848</v>
      </c>
      <c r="C19105" s="1" t="s">
        <v>5662</v>
      </c>
      <c r="D19105" s="1" t="s">
        <v>5664</v>
      </c>
    </row>
    <row r="19106">
      <c r="A19106" s="1" t="s">
        <v>30360</v>
      </c>
      <c r="B19106" s="2" t="s">
        <v>26850</v>
      </c>
      <c r="C19106" s="1" t="s">
        <v>5662</v>
      </c>
      <c r="D19106" s="1" t="s">
        <v>5664</v>
      </c>
    </row>
    <row r="19107">
      <c r="A19107" s="1" t="s">
        <v>30361</v>
      </c>
      <c r="B19107" s="2" t="s">
        <v>26852</v>
      </c>
      <c r="C19107" s="1" t="s">
        <v>5662</v>
      </c>
      <c r="D19107" s="1" t="s">
        <v>5664</v>
      </c>
    </row>
    <row r="19108">
      <c r="A19108" s="1" t="s">
        <v>30362</v>
      </c>
      <c r="B19108" s="2" t="s">
        <v>26854</v>
      </c>
      <c r="C19108" s="1" t="s">
        <v>5662</v>
      </c>
      <c r="D19108" s="1" t="s">
        <v>5664</v>
      </c>
    </row>
    <row r="19109">
      <c r="A19109" s="1" t="s">
        <v>30363</v>
      </c>
      <c r="B19109" s="2" t="s">
        <v>26856</v>
      </c>
      <c r="C19109" s="1" t="s">
        <v>5662</v>
      </c>
      <c r="D19109" s="1" t="s">
        <v>5664</v>
      </c>
    </row>
    <row r="19110">
      <c r="A19110" s="1" t="s">
        <v>30364</v>
      </c>
      <c r="B19110" s="2" t="s">
        <v>26858</v>
      </c>
      <c r="C19110" s="1" t="s">
        <v>5662</v>
      </c>
      <c r="D19110" s="1" t="s">
        <v>5664</v>
      </c>
    </row>
    <row r="19111">
      <c r="A19111" s="1" t="s">
        <v>30365</v>
      </c>
      <c r="B19111" s="2" t="s">
        <v>26860</v>
      </c>
      <c r="C19111" s="1" t="s">
        <v>5662</v>
      </c>
      <c r="D19111" s="1" t="s">
        <v>5664</v>
      </c>
    </row>
    <row r="19112">
      <c r="A19112" s="1" t="s">
        <v>30366</v>
      </c>
      <c r="B19112" s="2" t="s">
        <v>26862</v>
      </c>
      <c r="C19112" s="1" t="s">
        <v>5662</v>
      </c>
      <c r="D19112" s="1" t="s">
        <v>5664</v>
      </c>
    </row>
    <row r="19113">
      <c r="A19113" s="1" t="s">
        <v>30367</v>
      </c>
      <c r="B19113" s="2" t="s">
        <v>26864</v>
      </c>
      <c r="C19113" s="1" t="s">
        <v>5662</v>
      </c>
      <c r="D19113" s="1" t="s">
        <v>5664</v>
      </c>
    </row>
    <row r="19114">
      <c r="A19114" s="1" t="s">
        <v>30368</v>
      </c>
      <c r="B19114" s="2" t="s">
        <v>26866</v>
      </c>
      <c r="C19114" s="1" t="s">
        <v>5662</v>
      </c>
      <c r="D19114" s="1" t="s">
        <v>5664</v>
      </c>
    </row>
    <row r="19115">
      <c r="A19115" s="1" t="s">
        <v>30369</v>
      </c>
      <c r="B19115" s="2" t="s">
        <v>26868</v>
      </c>
      <c r="C19115" s="1" t="s">
        <v>5662</v>
      </c>
      <c r="D19115" s="1" t="s">
        <v>5664</v>
      </c>
    </row>
    <row r="19116">
      <c r="A19116" s="1" t="s">
        <v>30370</v>
      </c>
      <c r="B19116" s="2" t="s">
        <v>26870</v>
      </c>
      <c r="C19116" s="1" t="s">
        <v>5662</v>
      </c>
      <c r="D19116" s="1" t="s">
        <v>5664</v>
      </c>
    </row>
    <row r="19117">
      <c r="A19117" s="1" t="s">
        <v>30371</v>
      </c>
      <c r="B19117" s="2" t="s">
        <v>26872</v>
      </c>
      <c r="C19117" s="1" t="s">
        <v>5662</v>
      </c>
      <c r="D19117" s="1" t="s">
        <v>5664</v>
      </c>
    </row>
    <row r="19118">
      <c r="A19118" s="1" t="s">
        <v>30372</v>
      </c>
      <c r="B19118" s="2" t="s">
        <v>26874</v>
      </c>
      <c r="C19118" s="1" t="s">
        <v>5662</v>
      </c>
      <c r="D19118" s="1" t="s">
        <v>5664</v>
      </c>
    </row>
    <row r="19119">
      <c r="A19119" s="1" t="s">
        <v>30373</v>
      </c>
      <c r="B19119" s="2" t="s">
        <v>26876</v>
      </c>
      <c r="C19119" s="1" t="s">
        <v>5662</v>
      </c>
      <c r="D19119" s="1" t="s">
        <v>5664</v>
      </c>
    </row>
    <row r="19120">
      <c r="A19120" s="1" t="s">
        <v>30374</v>
      </c>
      <c r="B19120" s="2" t="s">
        <v>26878</v>
      </c>
      <c r="C19120" s="1" t="s">
        <v>5662</v>
      </c>
      <c r="D19120" s="1" t="s">
        <v>5664</v>
      </c>
    </row>
    <row r="19121">
      <c r="A19121" s="1" t="s">
        <v>30375</v>
      </c>
      <c r="B19121" s="2" t="s">
        <v>26880</v>
      </c>
      <c r="C19121" s="1" t="s">
        <v>5662</v>
      </c>
      <c r="D19121" s="1" t="s">
        <v>5664</v>
      </c>
    </row>
    <row r="19122">
      <c r="A19122" s="1" t="s">
        <v>30376</v>
      </c>
      <c r="B19122" s="2" t="s">
        <v>26882</v>
      </c>
      <c r="C19122" s="1" t="s">
        <v>5662</v>
      </c>
      <c r="D19122" s="1" t="s">
        <v>5664</v>
      </c>
    </row>
    <row r="19123">
      <c r="A19123" s="1" t="s">
        <v>30377</v>
      </c>
      <c r="B19123" s="2" t="s">
        <v>26884</v>
      </c>
      <c r="C19123" s="1" t="s">
        <v>5662</v>
      </c>
      <c r="D19123" s="1" t="s">
        <v>5664</v>
      </c>
    </row>
    <row r="19124">
      <c r="A19124" s="1" t="s">
        <v>30378</v>
      </c>
      <c r="B19124" s="2" t="s">
        <v>26886</v>
      </c>
      <c r="C19124" s="1" t="s">
        <v>5662</v>
      </c>
      <c r="D19124" s="1" t="s">
        <v>5664</v>
      </c>
    </row>
    <row r="19125">
      <c r="A19125" s="1" t="s">
        <v>30379</v>
      </c>
      <c r="B19125" s="2" t="s">
        <v>26888</v>
      </c>
      <c r="C19125" s="1" t="s">
        <v>5662</v>
      </c>
      <c r="D19125" s="1" t="s">
        <v>5664</v>
      </c>
    </row>
    <row r="19126">
      <c r="A19126" s="1" t="s">
        <v>30380</v>
      </c>
      <c r="B19126" s="2" t="s">
        <v>26890</v>
      </c>
      <c r="C19126" s="1" t="s">
        <v>5662</v>
      </c>
      <c r="D19126" s="1" t="s">
        <v>5664</v>
      </c>
    </row>
    <row r="19127">
      <c r="A19127" s="1" t="s">
        <v>30381</v>
      </c>
      <c r="B19127" s="2" t="s">
        <v>26892</v>
      </c>
      <c r="C19127" s="1" t="s">
        <v>5662</v>
      </c>
      <c r="D19127" s="1" t="s">
        <v>5664</v>
      </c>
    </row>
    <row r="19128">
      <c r="A19128" s="1" t="s">
        <v>30382</v>
      </c>
      <c r="B19128" s="2" t="s">
        <v>26894</v>
      </c>
      <c r="C19128" s="1" t="s">
        <v>5662</v>
      </c>
      <c r="D19128" s="1" t="s">
        <v>5664</v>
      </c>
    </row>
    <row r="19129">
      <c r="A19129" s="1" t="s">
        <v>30383</v>
      </c>
      <c r="B19129" s="2" t="s">
        <v>26896</v>
      </c>
      <c r="C19129" s="1" t="s">
        <v>5662</v>
      </c>
      <c r="D19129" s="1" t="s">
        <v>5664</v>
      </c>
    </row>
    <row r="19130">
      <c r="A19130" s="1" t="s">
        <v>30384</v>
      </c>
      <c r="B19130" s="2" t="s">
        <v>26898</v>
      </c>
      <c r="C19130" s="1" t="s">
        <v>5662</v>
      </c>
      <c r="D19130" s="1" t="s">
        <v>5664</v>
      </c>
    </row>
    <row r="19131">
      <c r="A19131" s="1" t="s">
        <v>30385</v>
      </c>
      <c r="B19131" s="2" t="s">
        <v>26900</v>
      </c>
      <c r="C19131" s="1" t="s">
        <v>5662</v>
      </c>
      <c r="D19131" s="1" t="s">
        <v>5664</v>
      </c>
    </row>
    <row r="19132">
      <c r="A19132" s="1" t="s">
        <v>30386</v>
      </c>
      <c r="B19132" s="2" t="s">
        <v>26902</v>
      </c>
      <c r="C19132" s="1" t="s">
        <v>5662</v>
      </c>
      <c r="D19132" s="1" t="s">
        <v>5664</v>
      </c>
    </row>
    <row r="19133">
      <c r="A19133" s="1" t="s">
        <v>30387</v>
      </c>
      <c r="B19133" s="2" t="s">
        <v>26904</v>
      </c>
      <c r="C19133" s="1" t="s">
        <v>5662</v>
      </c>
      <c r="D19133" s="1" t="s">
        <v>5664</v>
      </c>
    </row>
    <row r="19134">
      <c r="A19134" s="1" t="s">
        <v>30388</v>
      </c>
      <c r="B19134" s="2" t="s">
        <v>26906</v>
      </c>
      <c r="C19134" s="1" t="s">
        <v>5662</v>
      </c>
      <c r="D19134" s="1" t="s">
        <v>5664</v>
      </c>
    </row>
    <row r="19135">
      <c r="A19135" s="1" t="s">
        <v>30389</v>
      </c>
      <c r="B19135" s="2" t="s">
        <v>26908</v>
      </c>
      <c r="C19135" s="1" t="s">
        <v>5662</v>
      </c>
      <c r="D19135" s="1" t="s">
        <v>5664</v>
      </c>
    </row>
    <row r="19136">
      <c r="A19136" s="1" t="s">
        <v>30390</v>
      </c>
      <c r="B19136" s="2" t="s">
        <v>26910</v>
      </c>
      <c r="C19136" s="1" t="s">
        <v>5662</v>
      </c>
      <c r="D19136" s="1" t="s">
        <v>5664</v>
      </c>
    </row>
    <row r="19137">
      <c r="A19137" s="1" t="s">
        <v>30391</v>
      </c>
      <c r="B19137" s="2" t="s">
        <v>26912</v>
      </c>
      <c r="C19137" s="1" t="s">
        <v>5662</v>
      </c>
      <c r="D19137" s="1" t="s">
        <v>5664</v>
      </c>
    </row>
    <row r="19138">
      <c r="A19138" s="1" t="s">
        <v>30392</v>
      </c>
      <c r="B19138" s="2" t="s">
        <v>26914</v>
      </c>
      <c r="C19138" s="1" t="s">
        <v>5662</v>
      </c>
      <c r="D19138" s="1" t="s">
        <v>5664</v>
      </c>
    </row>
    <row r="19139">
      <c r="A19139" s="1" t="s">
        <v>30393</v>
      </c>
      <c r="B19139" s="2" t="s">
        <v>26916</v>
      </c>
      <c r="C19139" s="1" t="s">
        <v>5662</v>
      </c>
      <c r="D19139" s="1" t="s">
        <v>5664</v>
      </c>
    </row>
    <row r="19140">
      <c r="A19140" s="1" t="s">
        <v>30394</v>
      </c>
      <c r="B19140" s="2" t="s">
        <v>26918</v>
      </c>
      <c r="C19140" s="1" t="s">
        <v>5662</v>
      </c>
      <c r="D19140" s="1" t="s">
        <v>5664</v>
      </c>
    </row>
    <row r="19141">
      <c r="A19141" s="1" t="s">
        <v>30395</v>
      </c>
      <c r="B19141" s="2" t="s">
        <v>26920</v>
      </c>
      <c r="C19141" s="1" t="s">
        <v>5662</v>
      </c>
      <c r="D19141" s="1" t="s">
        <v>5664</v>
      </c>
    </row>
    <row r="19142">
      <c r="A19142" s="1" t="s">
        <v>30396</v>
      </c>
      <c r="B19142" s="2" t="s">
        <v>26922</v>
      </c>
      <c r="C19142" s="1" t="s">
        <v>5662</v>
      </c>
      <c r="D19142" s="1" t="s">
        <v>5664</v>
      </c>
    </row>
    <row r="19143">
      <c r="A19143" s="1" t="s">
        <v>30397</v>
      </c>
      <c r="B19143" s="2" t="s">
        <v>26924</v>
      </c>
      <c r="C19143" s="1" t="s">
        <v>5662</v>
      </c>
      <c r="D19143" s="1" t="s">
        <v>5664</v>
      </c>
    </row>
    <row r="19144">
      <c r="A19144" s="1" t="s">
        <v>30398</v>
      </c>
      <c r="B19144" s="2" t="s">
        <v>26926</v>
      </c>
      <c r="C19144" s="1" t="s">
        <v>5662</v>
      </c>
      <c r="D19144" s="1" t="s">
        <v>5664</v>
      </c>
    </row>
    <row r="19145">
      <c r="A19145" s="1" t="s">
        <v>30399</v>
      </c>
      <c r="B19145" s="2" t="s">
        <v>26928</v>
      </c>
      <c r="C19145" s="1" t="s">
        <v>5662</v>
      </c>
      <c r="D19145" s="1" t="s">
        <v>5664</v>
      </c>
    </row>
    <row r="19146">
      <c r="A19146" s="1" t="s">
        <v>30400</v>
      </c>
      <c r="B19146" s="2" t="s">
        <v>26930</v>
      </c>
      <c r="C19146" s="1" t="s">
        <v>5662</v>
      </c>
      <c r="D19146" s="1" t="s">
        <v>5664</v>
      </c>
    </row>
    <row r="19147">
      <c r="A19147" s="1" t="s">
        <v>30401</v>
      </c>
      <c r="B19147" s="2" t="s">
        <v>26932</v>
      </c>
      <c r="C19147" s="1" t="s">
        <v>5662</v>
      </c>
      <c r="D19147" s="1" t="s">
        <v>5664</v>
      </c>
    </row>
    <row r="19148">
      <c r="A19148" s="1" t="s">
        <v>30402</v>
      </c>
      <c r="B19148" s="2" t="s">
        <v>26934</v>
      </c>
      <c r="C19148" s="1" t="s">
        <v>5662</v>
      </c>
      <c r="D19148" s="1" t="s">
        <v>5664</v>
      </c>
    </row>
    <row r="19149">
      <c r="A19149" s="1" t="s">
        <v>30403</v>
      </c>
      <c r="B19149" s="2" t="s">
        <v>26936</v>
      </c>
      <c r="C19149" s="1" t="s">
        <v>5662</v>
      </c>
      <c r="D19149" s="1" t="s">
        <v>5664</v>
      </c>
    </row>
    <row r="19150">
      <c r="A19150" s="1" t="s">
        <v>30404</v>
      </c>
      <c r="B19150" s="2" t="s">
        <v>26938</v>
      </c>
      <c r="C19150" s="1" t="s">
        <v>5662</v>
      </c>
      <c r="D19150" s="1" t="s">
        <v>5664</v>
      </c>
    </row>
    <row r="19151">
      <c r="A19151" s="1" t="s">
        <v>30405</v>
      </c>
      <c r="B19151" s="2" t="s">
        <v>26940</v>
      </c>
      <c r="C19151" s="1" t="s">
        <v>5662</v>
      </c>
      <c r="D19151" s="1" t="s">
        <v>5664</v>
      </c>
    </row>
    <row r="19152">
      <c r="A19152" s="1" t="s">
        <v>30406</v>
      </c>
      <c r="B19152" s="2" t="s">
        <v>26942</v>
      </c>
      <c r="C19152" s="1" t="s">
        <v>5662</v>
      </c>
      <c r="D19152" s="1" t="s">
        <v>5664</v>
      </c>
    </row>
    <row r="19153">
      <c r="A19153" s="1" t="s">
        <v>30407</v>
      </c>
      <c r="B19153" s="2" t="s">
        <v>26944</v>
      </c>
      <c r="C19153" s="1" t="s">
        <v>5662</v>
      </c>
      <c r="D19153" s="1" t="s">
        <v>5664</v>
      </c>
    </row>
    <row r="19154">
      <c r="A19154" s="1" t="s">
        <v>30408</v>
      </c>
      <c r="B19154" s="2" t="s">
        <v>26946</v>
      </c>
      <c r="C19154" s="1" t="s">
        <v>5662</v>
      </c>
      <c r="D19154" s="1" t="s">
        <v>5664</v>
      </c>
    </row>
    <row r="19155">
      <c r="A19155" s="1" t="s">
        <v>30409</v>
      </c>
      <c r="B19155" s="2" t="s">
        <v>26948</v>
      </c>
      <c r="C19155" s="1" t="s">
        <v>5662</v>
      </c>
      <c r="D19155" s="1" t="s">
        <v>5664</v>
      </c>
    </row>
    <row r="19156">
      <c r="A19156" s="1" t="s">
        <v>30410</v>
      </c>
      <c r="B19156" s="2" t="s">
        <v>26950</v>
      </c>
      <c r="C19156" s="1" t="s">
        <v>5662</v>
      </c>
      <c r="D19156" s="1" t="s">
        <v>5664</v>
      </c>
    </row>
    <row r="19157">
      <c r="A19157" s="1" t="s">
        <v>30411</v>
      </c>
      <c r="B19157" s="2" t="s">
        <v>26952</v>
      </c>
      <c r="C19157" s="1" t="s">
        <v>5662</v>
      </c>
      <c r="D19157" s="1" t="s">
        <v>5664</v>
      </c>
    </row>
    <row r="19158">
      <c r="A19158" s="1" t="s">
        <v>30412</v>
      </c>
      <c r="B19158" s="2" t="s">
        <v>26954</v>
      </c>
      <c r="C19158" s="1" t="s">
        <v>5662</v>
      </c>
      <c r="D19158" s="1" t="s">
        <v>5664</v>
      </c>
    </row>
    <row r="19159">
      <c r="A19159" s="1" t="s">
        <v>30413</v>
      </c>
      <c r="B19159" s="2" t="s">
        <v>26956</v>
      </c>
      <c r="C19159" s="1" t="s">
        <v>5662</v>
      </c>
      <c r="D19159" s="1" t="s">
        <v>5664</v>
      </c>
    </row>
    <row r="19160">
      <c r="A19160" s="1" t="s">
        <v>30414</v>
      </c>
      <c r="B19160" s="2" t="s">
        <v>26958</v>
      </c>
      <c r="C19160" s="1" t="s">
        <v>5662</v>
      </c>
      <c r="D19160" s="1" t="s">
        <v>5664</v>
      </c>
    </row>
    <row r="19161">
      <c r="A19161" s="1" t="s">
        <v>30415</v>
      </c>
      <c r="B19161" s="2" t="s">
        <v>26960</v>
      </c>
      <c r="C19161" s="1" t="s">
        <v>5662</v>
      </c>
      <c r="D19161" s="1" t="s">
        <v>5664</v>
      </c>
    </row>
    <row r="19162">
      <c r="A19162" s="1" t="s">
        <v>30416</v>
      </c>
      <c r="B19162" s="2" t="s">
        <v>26962</v>
      </c>
      <c r="C19162" s="1" t="s">
        <v>5662</v>
      </c>
      <c r="D19162" s="1" t="s">
        <v>5664</v>
      </c>
    </row>
    <row r="19163">
      <c r="A19163" s="1" t="s">
        <v>30417</v>
      </c>
      <c r="B19163" s="2" t="s">
        <v>26964</v>
      </c>
      <c r="C19163" s="1" t="s">
        <v>5662</v>
      </c>
      <c r="D19163" s="1" t="s">
        <v>5664</v>
      </c>
    </row>
    <row r="19164">
      <c r="A19164" s="1" t="s">
        <v>30418</v>
      </c>
      <c r="B19164" s="2" t="s">
        <v>26966</v>
      </c>
      <c r="C19164" s="1" t="s">
        <v>5662</v>
      </c>
      <c r="D19164" s="1" t="s">
        <v>5664</v>
      </c>
    </row>
    <row r="19165">
      <c r="A19165" s="1" t="s">
        <v>30419</v>
      </c>
      <c r="B19165" s="2" t="s">
        <v>26968</v>
      </c>
      <c r="C19165" s="1" t="s">
        <v>5662</v>
      </c>
      <c r="D19165" s="1" t="s">
        <v>5664</v>
      </c>
    </row>
    <row r="19166">
      <c r="A19166" s="1" t="s">
        <v>30420</v>
      </c>
      <c r="B19166" s="2" t="s">
        <v>26970</v>
      </c>
      <c r="C19166" s="1" t="s">
        <v>5662</v>
      </c>
      <c r="D19166" s="1" t="s">
        <v>5664</v>
      </c>
    </row>
    <row r="19167">
      <c r="A19167" s="1" t="s">
        <v>30421</v>
      </c>
      <c r="B19167" s="2" t="s">
        <v>26972</v>
      </c>
      <c r="C19167" s="1" t="s">
        <v>5662</v>
      </c>
      <c r="D19167" s="1" t="s">
        <v>5664</v>
      </c>
    </row>
    <row r="19168">
      <c r="A19168" s="1" t="s">
        <v>30422</v>
      </c>
      <c r="B19168" s="2" t="s">
        <v>26974</v>
      </c>
      <c r="C19168" s="1" t="s">
        <v>5662</v>
      </c>
      <c r="D19168" s="1" t="s">
        <v>5664</v>
      </c>
    </row>
    <row r="19169">
      <c r="A19169" s="1" t="s">
        <v>30423</v>
      </c>
      <c r="B19169" s="2" t="s">
        <v>26976</v>
      </c>
      <c r="C19169" s="1" t="s">
        <v>5662</v>
      </c>
      <c r="D19169" s="1" t="s">
        <v>5664</v>
      </c>
    </row>
    <row r="19170">
      <c r="A19170" s="1" t="s">
        <v>30424</v>
      </c>
      <c r="B19170" s="2" t="s">
        <v>26978</v>
      </c>
      <c r="C19170" s="1" t="s">
        <v>5662</v>
      </c>
      <c r="D19170" s="1" t="s">
        <v>5664</v>
      </c>
    </row>
    <row r="19171">
      <c r="A19171" s="1" t="s">
        <v>30425</v>
      </c>
      <c r="B19171" s="2" t="s">
        <v>26980</v>
      </c>
      <c r="C19171" s="1" t="s">
        <v>5662</v>
      </c>
      <c r="D19171" s="1" t="s">
        <v>5664</v>
      </c>
    </row>
    <row r="19172">
      <c r="A19172" s="1" t="s">
        <v>30426</v>
      </c>
      <c r="B19172" s="2" t="s">
        <v>26982</v>
      </c>
      <c r="C19172" s="1" t="s">
        <v>5662</v>
      </c>
      <c r="D19172" s="1" t="s">
        <v>5664</v>
      </c>
    </row>
    <row r="19173">
      <c r="A19173" s="1" t="s">
        <v>30427</v>
      </c>
      <c r="B19173" s="2" t="s">
        <v>26984</v>
      </c>
      <c r="C19173" s="1" t="s">
        <v>5662</v>
      </c>
      <c r="D19173" s="1" t="s">
        <v>5664</v>
      </c>
    </row>
    <row r="19174">
      <c r="A19174" s="1" t="s">
        <v>30428</v>
      </c>
      <c r="B19174" s="2" t="s">
        <v>26986</v>
      </c>
      <c r="C19174" s="1" t="s">
        <v>5662</v>
      </c>
      <c r="D19174" s="1" t="s">
        <v>5664</v>
      </c>
    </row>
    <row r="19175">
      <c r="A19175" s="1" t="s">
        <v>30429</v>
      </c>
      <c r="B19175" s="2" t="s">
        <v>26988</v>
      </c>
      <c r="C19175" s="1" t="s">
        <v>5662</v>
      </c>
      <c r="D19175" s="1" t="s">
        <v>5664</v>
      </c>
    </row>
    <row r="19176">
      <c r="A19176" s="1" t="s">
        <v>30430</v>
      </c>
      <c r="B19176" s="2" t="s">
        <v>26990</v>
      </c>
      <c r="C19176" s="1" t="s">
        <v>5662</v>
      </c>
      <c r="D19176" s="1" t="s">
        <v>5664</v>
      </c>
    </row>
    <row r="19177">
      <c r="A19177" s="1" t="s">
        <v>30431</v>
      </c>
      <c r="B19177" s="2" t="s">
        <v>26992</v>
      </c>
      <c r="C19177" s="1" t="s">
        <v>5662</v>
      </c>
      <c r="D19177" s="1" t="s">
        <v>5664</v>
      </c>
    </row>
    <row r="19178">
      <c r="A19178" s="1" t="s">
        <v>30432</v>
      </c>
      <c r="B19178" s="2" t="s">
        <v>26994</v>
      </c>
      <c r="C19178" s="1" t="s">
        <v>5662</v>
      </c>
      <c r="D19178" s="1" t="s">
        <v>5664</v>
      </c>
    </row>
    <row r="19179">
      <c r="A19179" s="1" t="s">
        <v>30433</v>
      </c>
      <c r="B19179" s="2" t="s">
        <v>26996</v>
      </c>
      <c r="C19179" s="1" t="s">
        <v>5662</v>
      </c>
      <c r="D19179" s="1" t="s">
        <v>5664</v>
      </c>
    </row>
    <row r="19180">
      <c r="A19180" s="1" t="s">
        <v>30434</v>
      </c>
      <c r="B19180" s="2" t="s">
        <v>26998</v>
      </c>
      <c r="C19180" s="1" t="s">
        <v>5662</v>
      </c>
      <c r="D19180" s="1" t="s">
        <v>5664</v>
      </c>
    </row>
    <row r="19181">
      <c r="A19181" s="1" t="s">
        <v>30435</v>
      </c>
      <c r="B19181" s="2" t="s">
        <v>27000</v>
      </c>
      <c r="C19181" s="1" t="s">
        <v>5662</v>
      </c>
      <c r="D19181" s="1" t="s">
        <v>5664</v>
      </c>
    </row>
    <row r="19182">
      <c r="A19182" s="1" t="s">
        <v>30436</v>
      </c>
      <c r="B19182" s="2" t="s">
        <v>27002</v>
      </c>
      <c r="C19182" s="1" t="s">
        <v>5662</v>
      </c>
      <c r="D19182" s="1" t="s">
        <v>5664</v>
      </c>
    </row>
    <row r="19183">
      <c r="A19183" s="1" t="s">
        <v>30437</v>
      </c>
      <c r="B19183" s="2" t="s">
        <v>27004</v>
      </c>
      <c r="C19183" s="1" t="s">
        <v>5662</v>
      </c>
      <c r="D19183" s="1" t="s">
        <v>5664</v>
      </c>
    </row>
    <row r="19184">
      <c r="A19184" s="1" t="s">
        <v>30438</v>
      </c>
      <c r="B19184" s="2" t="s">
        <v>27006</v>
      </c>
      <c r="C19184" s="1" t="s">
        <v>5662</v>
      </c>
      <c r="D19184" s="1" t="s">
        <v>5664</v>
      </c>
    </row>
    <row r="19185">
      <c r="A19185" s="1" t="s">
        <v>30439</v>
      </c>
      <c r="B19185" s="2" t="s">
        <v>27008</v>
      </c>
      <c r="C19185" s="1" t="s">
        <v>5662</v>
      </c>
      <c r="D19185" s="1" t="s">
        <v>5664</v>
      </c>
    </row>
    <row r="19186">
      <c r="A19186" s="1" t="s">
        <v>30440</v>
      </c>
      <c r="B19186" s="2" t="s">
        <v>27010</v>
      </c>
      <c r="C19186" s="1" t="s">
        <v>5662</v>
      </c>
      <c r="D19186" s="1" t="s">
        <v>5664</v>
      </c>
    </row>
    <row r="19187">
      <c r="A19187" s="1" t="s">
        <v>30441</v>
      </c>
      <c r="B19187" s="2" t="s">
        <v>27012</v>
      </c>
      <c r="C19187" s="1" t="s">
        <v>5662</v>
      </c>
      <c r="D19187" s="1" t="s">
        <v>5664</v>
      </c>
    </row>
    <row r="19188">
      <c r="A19188" s="1" t="s">
        <v>30442</v>
      </c>
      <c r="B19188" s="2" t="s">
        <v>27014</v>
      </c>
      <c r="C19188" s="1" t="s">
        <v>5662</v>
      </c>
      <c r="D19188" s="1" t="s">
        <v>5664</v>
      </c>
    </row>
    <row r="19189">
      <c r="A19189" s="1" t="s">
        <v>30443</v>
      </c>
      <c r="B19189" s="2" t="s">
        <v>27016</v>
      </c>
      <c r="C19189" s="1" t="s">
        <v>5662</v>
      </c>
      <c r="D19189" s="1" t="s">
        <v>5664</v>
      </c>
    </row>
    <row r="19190">
      <c r="A19190" s="1" t="s">
        <v>30444</v>
      </c>
      <c r="B19190" s="2" t="s">
        <v>27018</v>
      </c>
      <c r="C19190" s="1" t="s">
        <v>5662</v>
      </c>
      <c r="D19190" s="1" t="s">
        <v>5664</v>
      </c>
    </row>
    <row r="19191">
      <c r="A19191" s="1" t="s">
        <v>30445</v>
      </c>
      <c r="B19191" s="2" t="s">
        <v>27020</v>
      </c>
      <c r="C19191" s="1" t="s">
        <v>5662</v>
      </c>
      <c r="D19191" s="1" t="s">
        <v>5664</v>
      </c>
    </row>
    <row r="19192">
      <c r="A19192" s="1" t="s">
        <v>30446</v>
      </c>
      <c r="B19192" s="2" t="s">
        <v>27022</v>
      </c>
      <c r="C19192" s="1" t="s">
        <v>5662</v>
      </c>
      <c r="D19192" s="1" t="s">
        <v>5664</v>
      </c>
    </row>
    <row r="19193">
      <c r="A19193" s="1" t="s">
        <v>30447</v>
      </c>
      <c r="B19193" s="2" t="s">
        <v>27024</v>
      </c>
      <c r="C19193" s="1" t="s">
        <v>5662</v>
      </c>
      <c r="D19193" s="1" t="s">
        <v>5664</v>
      </c>
    </row>
    <row r="19194">
      <c r="A19194" s="1" t="s">
        <v>30448</v>
      </c>
      <c r="B19194" s="2" t="s">
        <v>27026</v>
      </c>
      <c r="C19194" s="1" t="s">
        <v>5662</v>
      </c>
      <c r="D19194" s="1" t="s">
        <v>5664</v>
      </c>
    </row>
    <row r="19195">
      <c r="A19195" s="1" t="s">
        <v>30449</v>
      </c>
      <c r="B19195" s="2" t="s">
        <v>27028</v>
      </c>
      <c r="C19195" s="1" t="s">
        <v>5662</v>
      </c>
      <c r="D19195" s="1" t="s">
        <v>5664</v>
      </c>
    </row>
    <row r="19196">
      <c r="A19196" s="1" t="s">
        <v>30450</v>
      </c>
      <c r="B19196" s="2" t="s">
        <v>27030</v>
      </c>
      <c r="C19196" s="1" t="s">
        <v>5662</v>
      </c>
      <c r="D19196" s="1" t="s">
        <v>5664</v>
      </c>
    </row>
    <row r="19197">
      <c r="A19197" s="1" t="s">
        <v>30451</v>
      </c>
      <c r="B19197" s="2" t="s">
        <v>27032</v>
      </c>
      <c r="C19197" s="1" t="s">
        <v>5662</v>
      </c>
      <c r="D19197" s="1" t="s">
        <v>5664</v>
      </c>
    </row>
    <row r="19198">
      <c r="A19198" s="1" t="s">
        <v>30452</v>
      </c>
      <c r="B19198" s="2" t="s">
        <v>27034</v>
      </c>
      <c r="C19198" s="1" t="s">
        <v>5662</v>
      </c>
      <c r="D19198" s="1" t="s">
        <v>5664</v>
      </c>
    </row>
    <row r="19199">
      <c r="A19199" s="1" t="s">
        <v>30453</v>
      </c>
      <c r="B19199" s="2" t="s">
        <v>27036</v>
      </c>
      <c r="C19199" s="1" t="s">
        <v>5662</v>
      </c>
      <c r="D19199" s="1" t="s">
        <v>5664</v>
      </c>
    </row>
    <row r="19200">
      <c r="A19200" s="1" t="s">
        <v>30454</v>
      </c>
      <c r="B19200" s="2" t="s">
        <v>27038</v>
      </c>
      <c r="C19200" s="1" t="s">
        <v>5662</v>
      </c>
      <c r="D19200" s="1" t="s">
        <v>5664</v>
      </c>
    </row>
    <row r="19201">
      <c r="A19201" s="1" t="s">
        <v>30455</v>
      </c>
      <c r="B19201" s="2" t="s">
        <v>27040</v>
      </c>
      <c r="C19201" s="1" t="s">
        <v>5662</v>
      </c>
      <c r="D19201" s="1" t="s">
        <v>5664</v>
      </c>
    </row>
    <row r="19202">
      <c r="A19202" s="1" t="s">
        <v>30456</v>
      </c>
      <c r="B19202" s="2" t="s">
        <v>27042</v>
      </c>
      <c r="C19202" s="1" t="s">
        <v>5662</v>
      </c>
      <c r="D19202" s="1" t="s">
        <v>5664</v>
      </c>
    </row>
    <row r="19203">
      <c r="A19203" s="1" t="s">
        <v>30457</v>
      </c>
      <c r="B19203" s="2" t="s">
        <v>27044</v>
      </c>
      <c r="C19203" s="1" t="s">
        <v>5662</v>
      </c>
      <c r="D19203" s="1" t="s">
        <v>5664</v>
      </c>
    </row>
    <row r="19204">
      <c r="A19204" s="1" t="s">
        <v>30458</v>
      </c>
      <c r="B19204" s="2" t="s">
        <v>27046</v>
      </c>
      <c r="C19204" s="1" t="s">
        <v>5662</v>
      </c>
      <c r="D19204" s="1" t="s">
        <v>5664</v>
      </c>
    </row>
    <row r="19205">
      <c r="A19205" s="1" t="s">
        <v>30459</v>
      </c>
      <c r="B19205" s="2" t="s">
        <v>27048</v>
      </c>
      <c r="C19205" s="1" t="s">
        <v>5662</v>
      </c>
      <c r="D19205" s="1" t="s">
        <v>5664</v>
      </c>
    </row>
    <row r="19206">
      <c r="A19206" s="1" t="s">
        <v>30460</v>
      </c>
      <c r="B19206" s="2" t="s">
        <v>27050</v>
      </c>
      <c r="C19206" s="1" t="s">
        <v>5662</v>
      </c>
      <c r="D19206" s="1" t="s">
        <v>5664</v>
      </c>
    </row>
    <row r="19207">
      <c r="A19207" s="1" t="s">
        <v>30461</v>
      </c>
      <c r="B19207" s="2" t="s">
        <v>27052</v>
      </c>
      <c r="C19207" s="1" t="s">
        <v>5662</v>
      </c>
      <c r="D19207" s="1" t="s">
        <v>5664</v>
      </c>
    </row>
    <row r="19208">
      <c r="A19208" s="1" t="s">
        <v>30462</v>
      </c>
      <c r="B19208" s="2" t="s">
        <v>27054</v>
      </c>
      <c r="C19208" s="1" t="s">
        <v>5662</v>
      </c>
      <c r="D19208" s="1" t="s">
        <v>5664</v>
      </c>
    </row>
    <row r="19209">
      <c r="A19209" s="1" t="s">
        <v>30463</v>
      </c>
      <c r="B19209" s="2" t="s">
        <v>27056</v>
      </c>
      <c r="C19209" s="1" t="s">
        <v>5662</v>
      </c>
      <c r="D19209" s="1" t="s">
        <v>5664</v>
      </c>
    </row>
    <row r="19210">
      <c r="A19210" s="1" t="s">
        <v>30464</v>
      </c>
      <c r="B19210" s="2" t="s">
        <v>27058</v>
      </c>
      <c r="C19210" s="1" t="s">
        <v>5662</v>
      </c>
      <c r="D19210" s="1" t="s">
        <v>5664</v>
      </c>
    </row>
    <row r="19211">
      <c r="A19211" s="1" t="s">
        <v>30465</v>
      </c>
      <c r="B19211" s="2" t="s">
        <v>27060</v>
      </c>
      <c r="C19211" s="1" t="s">
        <v>5662</v>
      </c>
      <c r="D19211" s="1" t="s">
        <v>5664</v>
      </c>
    </row>
    <row r="19212">
      <c r="A19212" s="1" t="s">
        <v>30466</v>
      </c>
      <c r="B19212" s="2" t="s">
        <v>27062</v>
      </c>
      <c r="C19212" s="1" t="s">
        <v>5662</v>
      </c>
      <c r="D19212" s="1" t="s">
        <v>5664</v>
      </c>
    </row>
    <row r="19213">
      <c r="A19213" s="1" t="s">
        <v>30467</v>
      </c>
      <c r="B19213" s="2" t="s">
        <v>27064</v>
      </c>
      <c r="C19213" s="1" t="s">
        <v>5662</v>
      </c>
      <c r="D19213" s="1" t="s">
        <v>5664</v>
      </c>
    </row>
    <row r="19214">
      <c r="A19214" s="1" t="s">
        <v>30468</v>
      </c>
      <c r="B19214" s="2" t="s">
        <v>27066</v>
      </c>
      <c r="C19214" s="1" t="s">
        <v>5662</v>
      </c>
      <c r="D19214" s="1" t="s">
        <v>5664</v>
      </c>
    </row>
    <row r="19215">
      <c r="A19215" s="1" t="s">
        <v>30469</v>
      </c>
      <c r="B19215" s="2" t="s">
        <v>27068</v>
      </c>
      <c r="C19215" s="1" t="s">
        <v>5662</v>
      </c>
      <c r="D19215" s="1" t="s">
        <v>5664</v>
      </c>
    </row>
    <row r="19216">
      <c r="A19216" s="1" t="s">
        <v>30470</v>
      </c>
      <c r="B19216" s="2" t="s">
        <v>27070</v>
      </c>
      <c r="C19216" s="1" t="s">
        <v>5662</v>
      </c>
      <c r="D19216" s="1" t="s">
        <v>5664</v>
      </c>
    </row>
    <row r="19217">
      <c r="A19217" s="1" t="s">
        <v>30471</v>
      </c>
      <c r="B19217" s="2" t="s">
        <v>27072</v>
      </c>
      <c r="C19217" s="1" t="s">
        <v>5662</v>
      </c>
      <c r="D19217" s="1" t="s">
        <v>5664</v>
      </c>
    </row>
    <row r="19218">
      <c r="A19218" s="1" t="s">
        <v>30472</v>
      </c>
      <c r="B19218" s="2" t="s">
        <v>27074</v>
      </c>
      <c r="C19218" s="1" t="s">
        <v>5662</v>
      </c>
      <c r="D19218" s="1" t="s">
        <v>5664</v>
      </c>
    </row>
    <row r="19219">
      <c r="A19219" s="1" t="s">
        <v>30473</v>
      </c>
      <c r="B19219" s="2" t="s">
        <v>27076</v>
      </c>
      <c r="C19219" s="1" t="s">
        <v>5662</v>
      </c>
      <c r="D19219" s="1" t="s">
        <v>5664</v>
      </c>
    </row>
    <row r="19220">
      <c r="A19220" s="1" t="s">
        <v>30474</v>
      </c>
      <c r="B19220" s="2" t="s">
        <v>27078</v>
      </c>
      <c r="C19220" s="1" t="s">
        <v>5662</v>
      </c>
      <c r="D19220" s="1" t="s">
        <v>5664</v>
      </c>
    </row>
    <row r="19221">
      <c r="A19221" s="1" t="s">
        <v>30475</v>
      </c>
      <c r="B19221" s="2" t="s">
        <v>27080</v>
      </c>
      <c r="C19221" s="1" t="s">
        <v>5662</v>
      </c>
      <c r="D19221" s="1" t="s">
        <v>5664</v>
      </c>
    </row>
    <row r="19222">
      <c r="A19222" s="1" t="s">
        <v>30476</v>
      </c>
      <c r="B19222" s="2" t="s">
        <v>27082</v>
      </c>
      <c r="C19222" s="1" t="s">
        <v>5662</v>
      </c>
      <c r="D19222" s="1" t="s">
        <v>5664</v>
      </c>
    </row>
    <row r="19223">
      <c r="A19223" s="1" t="s">
        <v>30477</v>
      </c>
      <c r="B19223" s="2" t="s">
        <v>27084</v>
      </c>
      <c r="C19223" s="1" t="s">
        <v>5662</v>
      </c>
      <c r="D19223" s="1" t="s">
        <v>5664</v>
      </c>
    </row>
    <row r="19224">
      <c r="A19224" s="1" t="s">
        <v>30478</v>
      </c>
      <c r="B19224" s="2" t="s">
        <v>27086</v>
      </c>
      <c r="C19224" s="1" t="s">
        <v>5662</v>
      </c>
      <c r="D19224" s="1" t="s">
        <v>5664</v>
      </c>
    </row>
    <row r="19225">
      <c r="A19225" s="1" t="s">
        <v>30479</v>
      </c>
      <c r="B19225" s="2" t="s">
        <v>27088</v>
      </c>
      <c r="C19225" s="1" t="s">
        <v>5662</v>
      </c>
      <c r="D19225" s="1" t="s">
        <v>5664</v>
      </c>
    </row>
    <row r="19226">
      <c r="A19226" s="1" t="s">
        <v>30480</v>
      </c>
      <c r="B19226" s="2" t="s">
        <v>27090</v>
      </c>
      <c r="C19226" s="1" t="s">
        <v>5662</v>
      </c>
      <c r="D19226" s="1" t="s">
        <v>5664</v>
      </c>
    </row>
    <row r="19227">
      <c r="A19227" s="1" t="s">
        <v>5667</v>
      </c>
      <c r="B19227" s="2" t="s">
        <v>7</v>
      </c>
      <c r="C19227" s="1" t="s">
        <v>5669</v>
      </c>
      <c r="D19227" s="1" t="s">
        <v>5670</v>
      </c>
    </row>
    <row r="19228">
      <c r="A19228" s="1" t="s">
        <v>30481</v>
      </c>
      <c r="B19228" s="2" t="s">
        <v>25962</v>
      </c>
      <c r="C19228" s="1" t="s">
        <v>5669</v>
      </c>
      <c r="D19228" s="1" t="s">
        <v>5670</v>
      </c>
    </row>
    <row r="19229">
      <c r="A19229" s="1" t="s">
        <v>30482</v>
      </c>
      <c r="B19229" s="2" t="s">
        <v>25964</v>
      </c>
      <c r="C19229" s="1" t="s">
        <v>5669</v>
      </c>
      <c r="D19229" s="1" t="s">
        <v>5670</v>
      </c>
    </row>
    <row r="19230">
      <c r="A19230" s="1" t="s">
        <v>30483</v>
      </c>
      <c r="B19230" s="2" t="s">
        <v>25966</v>
      </c>
      <c r="C19230" s="1" t="s">
        <v>5669</v>
      </c>
      <c r="D19230" s="1" t="s">
        <v>5670</v>
      </c>
    </row>
    <row r="19231">
      <c r="A19231" s="1" t="s">
        <v>30484</v>
      </c>
      <c r="B19231" s="2" t="s">
        <v>25968</v>
      </c>
      <c r="C19231" s="1" t="s">
        <v>5669</v>
      </c>
      <c r="D19231" s="1" t="s">
        <v>5670</v>
      </c>
    </row>
    <row r="19232">
      <c r="A19232" s="1" t="s">
        <v>30485</v>
      </c>
      <c r="B19232" s="2" t="s">
        <v>25970</v>
      </c>
      <c r="C19232" s="1" t="s">
        <v>5669</v>
      </c>
      <c r="D19232" s="1" t="s">
        <v>5670</v>
      </c>
    </row>
    <row r="19233">
      <c r="A19233" s="1" t="s">
        <v>30486</v>
      </c>
      <c r="B19233" s="2" t="s">
        <v>25972</v>
      </c>
      <c r="C19233" s="1" t="s">
        <v>5669</v>
      </c>
      <c r="D19233" s="1" t="s">
        <v>5670</v>
      </c>
    </row>
    <row r="19234">
      <c r="A19234" s="1" t="s">
        <v>30487</v>
      </c>
      <c r="B19234" s="2" t="s">
        <v>25974</v>
      </c>
      <c r="C19234" s="1" t="s">
        <v>5669</v>
      </c>
      <c r="D19234" s="1" t="s">
        <v>5670</v>
      </c>
    </row>
    <row r="19235">
      <c r="A19235" s="1" t="s">
        <v>30488</v>
      </c>
      <c r="B19235" s="2" t="s">
        <v>25976</v>
      </c>
      <c r="C19235" s="1" t="s">
        <v>5669</v>
      </c>
      <c r="D19235" s="1" t="s">
        <v>5670</v>
      </c>
    </row>
    <row r="19236">
      <c r="A19236" s="1" t="s">
        <v>30489</v>
      </c>
      <c r="B19236" s="2" t="s">
        <v>25978</v>
      </c>
      <c r="C19236" s="1" t="s">
        <v>5669</v>
      </c>
      <c r="D19236" s="1" t="s">
        <v>5670</v>
      </c>
    </row>
    <row r="19237">
      <c r="A19237" s="1" t="s">
        <v>30490</v>
      </c>
      <c r="B19237" s="2" t="s">
        <v>25980</v>
      </c>
      <c r="C19237" s="1" t="s">
        <v>5669</v>
      </c>
      <c r="D19237" s="1" t="s">
        <v>5670</v>
      </c>
    </row>
    <row r="19238">
      <c r="A19238" s="1" t="s">
        <v>30491</v>
      </c>
      <c r="B19238" s="2" t="s">
        <v>25982</v>
      </c>
      <c r="C19238" s="1" t="s">
        <v>5669</v>
      </c>
      <c r="D19238" s="1" t="s">
        <v>5670</v>
      </c>
    </row>
    <row r="19239">
      <c r="A19239" s="1" t="s">
        <v>30492</v>
      </c>
      <c r="B19239" s="2" t="s">
        <v>25984</v>
      </c>
      <c r="C19239" s="1" t="s">
        <v>5669</v>
      </c>
      <c r="D19239" s="1" t="s">
        <v>5670</v>
      </c>
    </row>
    <row r="19240">
      <c r="A19240" s="1" t="s">
        <v>30493</v>
      </c>
      <c r="B19240" s="2" t="s">
        <v>25986</v>
      </c>
      <c r="C19240" s="1" t="s">
        <v>5669</v>
      </c>
      <c r="D19240" s="1" t="s">
        <v>5670</v>
      </c>
    </row>
    <row r="19241">
      <c r="A19241" s="1" t="s">
        <v>30494</v>
      </c>
      <c r="B19241" s="2" t="s">
        <v>25988</v>
      </c>
      <c r="C19241" s="1" t="s">
        <v>5669</v>
      </c>
      <c r="D19241" s="1" t="s">
        <v>5670</v>
      </c>
    </row>
    <row r="19242">
      <c r="A19242" s="1" t="s">
        <v>30495</v>
      </c>
      <c r="B19242" s="2" t="s">
        <v>25990</v>
      </c>
      <c r="C19242" s="1" t="s">
        <v>5669</v>
      </c>
      <c r="D19242" s="1" t="s">
        <v>5670</v>
      </c>
    </row>
    <row r="19243">
      <c r="A19243" s="1" t="s">
        <v>30496</v>
      </c>
      <c r="B19243" s="2" t="s">
        <v>25992</v>
      </c>
      <c r="C19243" s="1" t="s">
        <v>5669</v>
      </c>
      <c r="D19243" s="1" t="s">
        <v>5670</v>
      </c>
    </row>
    <row r="19244">
      <c r="A19244" s="1" t="s">
        <v>30497</v>
      </c>
      <c r="B19244" s="2" t="s">
        <v>25994</v>
      </c>
      <c r="C19244" s="1" t="s">
        <v>5669</v>
      </c>
      <c r="D19244" s="1" t="s">
        <v>5670</v>
      </c>
    </row>
    <row r="19245">
      <c r="A19245" s="1" t="s">
        <v>30498</v>
      </c>
      <c r="B19245" s="2" t="s">
        <v>25996</v>
      </c>
      <c r="C19245" s="1" t="s">
        <v>5669</v>
      </c>
      <c r="D19245" s="1" t="s">
        <v>5670</v>
      </c>
    </row>
    <row r="19246">
      <c r="A19246" s="1" t="s">
        <v>30499</v>
      </c>
      <c r="B19246" s="2" t="s">
        <v>25998</v>
      </c>
      <c r="C19246" s="1" t="s">
        <v>5669</v>
      </c>
      <c r="D19246" s="1" t="s">
        <v>5670</v>
      </c>
    </row>
    <row r="19247">
      <c r="A19247" s="1" t="s">
        <v>30500</v>
      </c>
      <c r="B19247" s="2" t="s">
        <v>26000</v>
      </c>
      <c r="C19247" s="1" t="s">
        <v>5669</v>
      </c>
      <c r="D19247" s="1" t="s">
        <v>5670</v>
      </c>
    </row>
    <row r="19248">
      <c r="A19248" s="1" t="s">
        <v>30501</v>
      </c>
      <c r="B19248" s="2" t="s">
        <v>26002</v>
      </c>
      <c r="C19248" s="1" t="s">
        <v>5669</v>
      </c>
      <c r="D19248" s="1" t="s">
        <v>5670</v>
      </c>
    </row>
    <row r="19249">
      <c r="A19249" s="1" t="s">
        <v>30502</v>
      </c>
      <c r="B19249" s="2" t="s">
        <v>26004</v>
      </c>
      <c r="C19249" s="1" t="s">
        <v>5669</v>
      </c>
      <c r="D19249" s="1" t="s">
        <v>5670</v>
      </c>
    </row>
    <row r="19250">
      <c r="A19250" s="1" t="s">
        <v>30503</v>
      </c>
      <c r="B19250" s="2" t="s">
        <v>26006</v>
      </c>
      <c r="C19250" s="1" t="s">
        <v>5669</v>
      </c>
      <c r="D19250" s="1" t="s">
        <v>5670</v>
      </c>
    </row>
    <row r="19251">
      <c r="A19251" s="1" t="s">
        <v>30504</v>
      </c>
      <c r="B19251" s="2" t="s">
        <v>26008</v>
      </c>
      <c r="C19251" s="1" t="s">
        <v>5669</v>
      </c>
      <c r="D19251" s="1" t="s">
        <v>5670</v>
      </c>
    </row>
    <row r="19252">
      <c r="A19252" s="1" t="s">
        <v>30505</v>
      </c>
      <c r="B19252" s="2" t="s">
        <v>26010</v>
      </c>
      <c r="C19252" s="1" t="s">
        <v>5669</v>
      </c>
      <c r="D19252" s="1" t="s">
        <v>5670</v>
      </c>
    </row>
    <row r="19253">
      <c r="A19253" s="1" t="s">
        <v>30506</v>
      </c>
      <c r="B19253" s="2" t="s">
        <v>26012</v>
      </c>
      <c r="C19253" s="1" t="s">
        <v>5669</v>
      </c>
      <c r="D19253" s="1" t="s">
        <v>5670</v>
      </c>
    </row>
    <row r="19254">
      <c r="A19254" s="1" t="s">
        <v>30507</v>
      </c>
      <c r="B19254" s="2" t="s">
        <v>26014</v>
      </c>
      <c r="C19254" s="1" t="s">
        <v>5669</v>
      </c>
      <c r="D19254" s="1" t="s">
        <v>5670</v>
      </c>
    </row>
    <row r="19255">
      <c r="A19255" s="1" t="s">
        <v>30508</v>
      </c>
      <c r="B19255" s="2" t="s">
        <v>26016</v>
      </c>
      <c r="C19255" s="1" t="s">
        <v>5669</v>
      </c>
      <c r="D19255" s="1" t="s">
        <v>5670</v>
      </c>
    </row>
    <row r="19256">
      <c r="A19256" s="1" t="s">
        <v>30509</v>
      </c>
      <c r="B19256" s="2" t="s">
        <v>26018</v>
      </c>
      <c r="C19256" s="1" t="s">
        <v>5669</v>
      </c>
      <c r="D19256" s="1" t="s">
        <v>5670</v>
      </c>
    </row>
    <row r="19257">
      <c r="A19257" s="1" t="s">
        <v>30510</v>
      </c>
      <c r="B19257" s="2" t="s">
        <v>26020</v>
      </c>
      <c r="C19257" s="1" t="s">
        <v>5669</v>
      </c>
      <c r="D19257" s="1" t="s">
        <v>5670</v>
      </c>
    </row>
    <row r="19258">
      <c r="A19258" s="1" t="s">
        <v>30511</v>
      </c>
      <c r="B19258" s="2" t="s">
        <v>26022</v>
      </c>
      <c r="C19258" s="1" t="s">
        <v>5669</v>
      </c>
      <c r="D19258" s="1" t="s">
        <v>5670</v>
      </c>
    </row>
    <row r="19259">
      <c r="A19259" s="1" t="s">
        <v>30512</v>
      </c>
      <c r="B19259" s="2" t="s">
        <v>26024</v>
      </c>
      <c r="C19259" s="1" t="s">
        <v>5669</v>
      </c>
      <c r="D19259" s="1" t="s">
        <v>5670</v>
      </c>
    </row>
    <row r="19260">
      <c r="A19260" s="1" t="s">
        <v>30513</v>
      </c>
      <c r="B19260" s="2" t="s">
        <v>26026</v>
      </c>
      <c r="C19260" s="1" t="s">
        <v>5669</v>
      </c>
      <c r="D19260" s="1" t="s">
        <v>5670</v>
      </c>
    </row>
    <row r="19261">
      <c r="A19261" s="1" t="s">
        <v>30514</v>
      </c>
      <c r="B19261" s="2" t="s">
        <v>26028</v>
      </c>
      <c r="C19261" s="1" t="s">
        <v>5669</v>
      </c>
      <c r="D19261" s="1" t="s">
        <v>5670</v>
      </c>
    </row>
    <row r="19262">
      <c r="A19262" s="1" t="s">
        <v>30515</v>
      </c>
      <c r="B19262" s="2" t="s">
        <v>26030</v>
      </c>
      <c r="C19262" s="1" t="s">
        <v>5669</v>
      </c>
      <c r="D19262" s="1" t="s">
        <v>5670</v>
      </c>
    </row>
    <row r="19263">
      <c r="A19263" s="1" t="s">
        <v>30516</v>
      </c>
      <c r="B19263" s="2" t="s">
        <v>26032</v>
      </c>
      <c r="C19263" s="1" t="s">
        <v>5669</v>
      </c>
      <c r="D19263" s="1" t="s">
        <v>5670</v>
      </c>
    </row>
    <row r="19264">
      <c r="A19264" s="1" t="s">
        <v>30517</v>
      </c>
      <c r="B19264" s="2" t="s">
        <v>26034</v>
      </c>
      <c r="C19264" s="1" t="s">
        <v>5669</v>
      </c>
      <c r="D19264" s="1" t="s">
        <v>5670</v>
      </c>
    </row>
    <row r="19265">
      <c r="A19265" s="1" t="s">
        <v>30518</v>
      </c>
      <c r="B19265" s="2" t="s">
        <v>26036</v>
      </c>
      <c r="C19265" s="1" t="s">
        <v>5669</v>
      </c>
      <c r="D19265" s="1" t="s">
        <v>5670</v>
      </c>
    </row>
    <row r="19266">
      <c r="A19266" s="1" t="s">
        <v>30519</v>
      </c>
      <c r="B19266" s="2" t="s">
        <v>26038</v>
      </c>
      <c r="C19266" s="1" t="s">
        <v>5669</v>
      </c>
      <c r="D19266" s="1" t="s">
        <v>5670</v>
      </c>
    </row>
    <row r="19267">
      <c r="A19267" s="1" t="s">
        <v>30520</v>
      </c>
      <c r="B19267" s="2" t="s">
        <v>26040</v>
      </c>
      <c r="C19267" s="1" t="s">
        <v>5669</v>
      </c>
      <c r="D19267" s="1" t="s">
        <v>5670</v>
      </c>
    </row>
    <row r="19268">
      <c r="A19268" s="1" t="s">
        <v>30521</v>
      </c>
      <c r="B19268" s="2" t="s">
        <v>26042</v>
      </c>
      <c r="C19268" s="1" t="s">
        <v>5669</v>
      </c>
      <c r="D19268" s="1" t="s">
        <v>5670</v>
      </c>
    </row>
    <row r="19269">
      <c r="A19269" s="1" t="s">
        <v>30522</v>
      </c>
      <c r="B19269" s="2" t="s">
        <v>26044</v>
      </c>
      <c r="C19269" s="1" t="s">
        <v>5669</v>
      </c>
      <c r="D19269" s="1" t="s">
        <v>5670</v>
      </c>
    </row>
    <row r="19270">
      <c r="A19270" s="1" t="s">
        <v>30523</v>
      </c>
      <c r="B19270" s="2" t="s">
        <v>26046</v>
      </c>
      <c r="C19270" s="1" t="s">
        <v>5669</v>
      </c>
      <c r="D19270" s="1" t="s">
        <v>5670</v>
      </c>
    </row>
    <row r="19271">
      <c r="A19271" s="1" t="s">
        <v>30524</v>
      </c>
      <c r="B19271" s="2" t="s">
        <v>26048</v>
      </c>
      <c r="C19271" s="1" t="s">
        <v>5669</v>
      </c>
      <c r="D19271" s="1" t="s">
        <v>5670</v>
      </c>
    </row>
    <row r="19272">
      <c r="A19272" s="1" t="s">
        <v>30525</v>
      </c>
      <c r="B19272" s="2" t="s">
        <v>26050</v>
      </c>
      <c r="C19272" s="1" t="s">
        <v>5669</v>
      </c>
      <c r="D19272" s="1" t="s">
        <v>5670</v>
      </c>
    </row>
    <row r="19273">
      <c r="A19273" s="1" t="s">
        <v>30526</v>
      </c>
      <c r="B19273" s="2" t="s">
        <v>26052</v>
      </c>
      <c r="C19273" s="1" t="s">
        <v>5669</v>
      </c>
      <c r="D19273" s="1" t="s">
        <v>5670</v>
      </c>
    </row>
    <row r="19274">
      <c r="A19274" s="1" t="s">
        <v>30527</v>
      </c>
      <c r="B19274" s="2" t="s">
        <v>26054</v>
      </c>
      <c r="C19274" s="1" t="s">
        <v>5669</v>
      </c>
      <c r="D19274" s="1" t="s">
        <v>5670</v>
      </c>
    </row>
    <row r="19275">
      <c r="A19275" s="1" t="s">
        <v>30528</v>
      </c>
      <c r="B19275" s="2" t="s">
        <v>26056</v>
      </c>
      <c r="C19275" s="1" t="s">
        <v>5669</v>
      </c>
      <c r="D19275" s="1" t="s">
        <v>5670</v>
      </c>
    </row>
    <row r="19276">
      <c r="A19276" s="1" t="s">
        <v>30529</v>
      </c>
      <c r="B19276" s="2" t="s">
        <v>26058</v>
      </c>
      <c r="C19276" s="1" t="s">
        <v>5669</v>
      </c>
      <c r="D19276" s="1" t="s">
        <v>5670</v>
      </c>
    </row>
    <row r="19277">
      <c r="A19277" s="1" t="s">
        <v>30530</v>
      </c>
      <c r="B19277" s="2" t="s">
        <v>26060</v>
      </c>
      <c r="C19277" s="1" t="s">
        <v>5669</v>
      </c>
      <c r="D19277" s="1" t="s">
        <v>5670</v>
      </c>
    </row>
    <row r="19278">
      <c r="A19278" s="1" t="s">
        <v>30531</v>
      </c>
      <c r="B19278" s="2" t="s">
        <v>26062</v>
      </c>
      <c r="C19278" s="1" t="s">
        <v>5669</v>
      </c>
      <c r="D19278" s="1" t="s">
        <v>5670</v>
      </c>
    </row>
    <row r="19279">
      <c r="A19279" s="1" t="s">
        <v>30532</v>
      </c>
      <c r="B19279" s="2" t="s">
        <v>26064</v>
      </c>
      <c r="C19279" s="1" t="s">
        <v>5669</v>
      </c>
      <c r="D19279" s="1" t="s">
        <v>5670</v>
      </c>
    </row>
    <row r="19280">
      <c r="A19280" s="1" t="s">
        <v>30533</v>
      </c>
      <c r="B19280" s="2" t="s">
        <v>26066</v>
      </c>
      <c r="C19280" s="1" t="s">
        <v>5669</v>
      </c>
      <c r="D19280" s="1" t="s">
        <v>5670</v>
      </c>
    </row>
    <row r="19281">
      <c r="A19281" s="1" t="s">
        <v>30534</v>
      </c>
      <c r="B19281" s="2" t="s">
        <v>26068</v>
      </c>
      <c r="C19281" s="1" t="s">
        <v>5669</v>
      </c>
      <c r="D19281" s="1" t="s">
        <v>5670</v>
      </c>
    </row>
    <row r="19282">
      <c r="A19282" s="1" t="s">
        <v>30535</v>
      </c>
      <c r="B19282" s="2" t="s">
        <v>26070</v>
      </c>
      <c r="C19282" s="1" t="s">
        <v>5669</v>
      </c>
      <c r="D19282" s="1" t="s">
        <v>5670</v>
      </c>
    </row>
    <row r="19283">
      <c r="A19283" s="1" t="s">
        <v>30536</v>
      </c>
      <c r="B19283" s="2" t="s">
        <v>26072</v>
      </c>
      <c r="C19283" s="1" t="s">
        <v>5669</v>
      </c>
      <c r="D19283" s="1" t="s">
        <v>5670</v>
      </c>
    </row>
    <row r="19284">
      <c r="A19284" s="1" t="s">
        <v>30537</v>
      </c>
      <c r="B19284" s="2" t="s">
        <v>26074</v>
      </c>
      <c r="C19284" s="1" t="s">
        <v>5669</v>
      </c>
      <c r="D19284" s="1" t="s">
        <v>5670</v>
      </c>
    </row>
    <row r="19285">
      <c r="A19285" s="1" t="s">
        <v>30538</v>
      </c>
      <c r="B19285" s="2" t="s">
        <v>26076</v>
      </c>
      <c r="C19285" s="1" t="s">
        <v>5669</v>
      </c>
      <c r="D19285" s="1" t="s">
        <v>5670</v>
      </c>
    </row>
    <row r="19286">
      <c r="A19286" s="1" t="s">
        <v>30539</v>
      </c>
      <c r="B19286" s="2" t="s">
        <v>26078</v>
      </c>
      <c r="C19286" s="1" t="s">
        <v>5669</v>
      </c>
      <c r="D19286" s="1" t="s">
        <v>5670</v>
      </c>
    </row>
    <row r="19287">
      <c r="A19287" s="1" t="s">
        <v>30540</v>
      </c>
      <c r="B19287" s="2" t="s">
        <v>26080</v>
      </c>
      <c r="C19287" s="1" t="s">
        <v>5669</v>
      </c>
      <c r="D19287" s="1" t="s">
        <v>5670</v>
      </c>
    </row>
    <row r="19288">
      <c r="A19288" s="1" t="s">
        <v>30541</v>
      </c>
      <c r="B19288" s="2" t="s">
        <v>26082</v>
      </c>
      <c r="C19288" s="1" t="s">
        <v>5669</v>
      </c>
      <c r="D19288" s="1" t="s">
        <v>5670</v>
      </c>
    </row>
    <row r="19289">
      <c r="A19289" s="1" t="s">
        <v>30542</v>
      </c>
      <c r="B19289" s="2" t="s">
        <v>26084</v>
      </c>
      <c r="C19289" s="1" t="s">
        <v>5669</v>
      </c>
      <c r="D19289" s="1" t="s">
        <v>5670</v>
      </c>
    </row>
    <row r="19290">
      <c r="A19290" s="1" t="s">
        <v>30543</v>
      </c>
      <c r="B19290" s="2" t="s">
        <v>26086</v>
      </c>
      <c r="C19290" s="1" t="s">
        <v>5669</v>
      </c>
      <c r="D19290" s="1" t="s">
        <v>5670</v>
      </c>
    </row>
    <row r="19291">
      <c r="A19291" s="1" t="s">
        <v>30544</v>
      </c>
      <c r="B19291" s="2" t="s">
        <v>26088</v>
      </c>
      <c r="C19291" s="1" t="s">
        <v>5669</v>
      </c>
      <c r="D19291" s="1" t="s">
        <v>5670</v>
      </c>
    </row>
    <row r="19292">
      <c r="A19292" s="1" t="s">
        <v>30545</v>
      </c>
      <c r="B19292" s="2" t="s">
        <v>26090</v>
      </c>
      <c r="C19292" s="1" t="s">
        <v>5669</v>
      </c>
      <c r="D19292" s="1" t="s">
        <v>5670</v>
      </c>
    </row>
    <row r="19293">
      <c r="A19293" s="1" t="s">
        <v>30546</v>
      </c>
      <c r="B19293" s="2" t="s">
        <v>26092</v>
      </c>
      <c r="C19293" s="1" t="s">
        <v>5669</v>
      </c>
      <c r="D19293" s="1" t="s">
        <v>5670</v>
      </c>
    </row>
    <row r="19294">
      <c r="A19294" s="1" t="s">
        <v>30547</v>
      </c>
      <c r="B19294" s="2" t="s">
        <v>26094</v>
      </c>
      <c r="C19294" s="1" t="s">
        <v>5669</v>
      </c>
      <c r="D19294" s="1" t="s">
        <v>5670</v>
      </c>
    </row>
    <row r="19295">
      <c r="A19295" s="1" t="s">
        <v>30548</v>
      </c>
      <c r="B19295" s="2" t="s">
        <v>26096</v>
      </c>
      <c r="C19295" s="1" t="s">
        <v>5669</v>
      </c>
      <c r="D19295" s="1" t="s">
        <v>5670</v>
      </c>
    </row>
    <row r="19296">
      <c r="A19296" s="1" t="s">
        <v>30549</v>
      </c>
      <c r="B19296" s="2" t="s">
        <v>26098</v>
      </c>
      <c r="C19296" s="1" t="s">
        <v>5669</v>
      </c>
      <c r="D19296" s="1" t="s">
        <v>5670</v>
      </c>
    </row>
    <row r="19297">
      <c r="A19297" s="1" t="s">
        <v>30550</v>
      </c>
      <c r="B19297" s="2" t="s">
        <v>26100</v>
      </c>
      <c r="C19297" s="1" t="s">
        <v>5669</v>
      </c>
      <c r="D19297" s="1" t="s">
        <v>5670</v>
      </c>
    </row>
    <row r="19298">
      <c r="A19298" s="1" t="s">
        <v>30551</v>
      </c>
      <c r="B19298" s="2" t="s">
        <v>26102</v>
      </c>
      <c r="C19298" s="1" t="s">
        <v>5669</v>
      </c>
      <c r="D19298" s="1" t="s">
        <v>5670</v>
      </c>
    </row>
    <row r="19299">
      <c r="A19299" s="1" t="s">
        <v>30552</v>
      </c>
      <c r="B19299" s="2" t="s">
        <v>26104</v>
      </c>
      <c r="C19299" s="1" t="s">
        <v>5669</v>
      </c>
      <c r="D19299" s="1" t="s">
        <v>5670</v>
      </c>
    </row>
    <row r="19300">
      <c r="A19300" s="1" t="s">
        <v>30553</v>
      </c>
      <c r="B19300" s="2" t="s">
        <v>26106</v>
      </c>
      <c r="C19300" s="1" t="s">
        <v>5669</v>
      </c>
      <c r="D19300" s="1" t="s">
        <v>5670</v>
      </c>
    </row>
    <row r="19301">
      <c r="A19301" s="1" t="s">
        <v>30554</v>
      </c>
      <c r="B19301" s="2" t="s">
        <v>26108</v>
      </c>
      <c r="C19301" s="1" t="s">
        <v>5669</v>
      </c>
      <c r="D19301" s="1" t="s">
        <v>5670</v>
      </c>
    </row>
    <row r="19302">
      <c r="A19302" s="1" t="s">
        <v>30555</v>
      </c>
      <c r="B19302" s="2" t="s">
        <v>26110</v>
      </c>
      <c r="C19302" s="1" t="s">
        <v>5669</v>
      </c>
      <c r="D19302" s="1" t="s">
        <v>5670</v>
      </c>
    </row>
    <row r="19303">
      <c r="A19303" s="1" t="s">
        <v>30556</v>
      </c>
      <c r="B19303" s="2" t="s">
        <v>26112</v>
      </c>
      <c r="C19303" s="1" t="s">
        <v>5669</v>
      </c>
      <c r="D19303" s="1" t="s">
        <v>5670</v>
      </c>
    </row>
    <row r="19304">
      <c r="A19304" s="1" t="s">
        <v>30557</v>
      </c>
      <c r="B19304" s="2" t="s">
        <v>26114</v>
      </c>
      <c r="C19304" s="1" t="s">
        <v>5669</v>
      </c>
      <c r="D19304" s="1" t="s">
        <v>5670</v>
      </c>
    </row>
    <row r="19305">
      <c r="A19305" s="1" t="s">
        <v>30558</v>
      </c>
      <c r="B19305" s="2" t="s">
        <v>26116</v>
      </c>
      <c r="C19305" s="1" t="s">
        <v>5669</v>
      </c>
      <c r="D19305" s="1" t="s">
        <v>5670</v>
      </c>
    </row>
    <row r="19306">
      <c r="A19306" s="1" t="s">
        <v>30559</v>
      </c>
      <c r="B19306" s="2" t="s">
        <v>26118</v>
      </c>
      <c r="C19306" s="1" t="s">
        <v>5669</v>
      </c>
      <c r="D19306" s="1" t="s">
        <v>5670</v>
      </c>
    </row>
    <row r="19307">
      <c r="A19307" s="1" t="s">
        <v>30560</v>
      </c>
      <c r="B19307" s="2" t="s">
        <v>26120</v>
      </c>
      <c r="C19307" s="1" t="s">
        <v>5669</v>
      </c>
      <c r="D19307" s="1" t="s">
        <v>5670</v>
      </c>
    </row>
    <row r="19308">
      <c r="A19308" s="1" t="s">
        <v>30561</v>
      </c>
      <c r="B19308" s="2" t="s">
        <v>26122</v>
      </c>
      <c r="C19308" s="1" t="s">
        <v>5669</v>
      </c>
      <c r="D19308" s="1" t="s">
        <v>5670</v>
      </c>
    </row>
    <row r="19309">
      <c r="A19309" s="1" t="s">
        <v>30562</v>
      </c>
      <c r="B19309" s="2" t="s">
        <v>26124</v>
      </c>
      <c r="C19309" s="1" t="s">
        <v>5669</v>
      </c>
      <c r="D19309" s="1" t="s">
        <v>5670</v>
      </c>
    </row>
    <row r="19310">
      <c r="A19310" s="1" t="s">
        <v>30563</v>
      </c>
      <c r="B19310" s="2" t="s">
        <v>26126</v>
      </c>
      <c r="C19310" s="1" t="s">
        <v>5669</v>
      </c>
      <c r="D19310" s="1" t="s">
        <v>5670</v>
      </c>
    </row>
    <row r="19311">
      <c r="A19311" s="1" t="s">
        <v>30564</v>
      </c>
      <c r="B19311" s="2" t="s">
        <v>26128</v>
      </c>
      <c r="C19311" s="1" t="s">
        <v>5669</v>
      </c>
      <c r="D19311" s="1" t="s">
        <v>5670</v>
      </c>
    </row>
    <row r="19312">
      <c r="A19312" s="1" t="s">
        <v>30565</v>
      </c>
      <c r="B19312" s="2" t="s">
        <v>26130</v>
      </c>
      <c r="C19312" s="1" t="s">
        <v>5669</v>
      </c>
      <c r="D19312" s="1" t="s">
        <v>5670</v>
      </c>
    </row>
    <row r="19313">
      <c r="A19313" s="1" t="s">
        <v>30566</v>
      </c>
      <c r="B19313" s="2" t="s">
        <v>26132</v>
      </c>
      <c r="C19313" s="1" t="s">
        <v>5669</v>
      </c>
      <c r="D19313" s="1" t="s">
        <v>5670</v>
      </c>
    </row>
    <row r="19314">
      <c r="A19314" s="1" t="s">
        <v>30567</v>
      </c>
      <c r="B19314" s="2" t="s">
        <v>26134</v>
      </c>
      <c r="C19314" s="1" t="s">
        <v>5669</v>
      </c>
      <c r="D19314" s="1" t="s">
        <v>5670</v>
      </c>
    </row>
    <row r="19315">
      <c r="A19315" s="1" t="s">
        <v>30568</v>
      </c>
      <c r="B19315" s="2" t="s">
        <v>26136</v>
      </c>
      <c r="C19315" s="1" t="s">
        <v>5669</v>
      </c>
      <c r="D19315" s="1" t="s">
        <v>5670</v>
      </c>
    </row>
    <row r="19316">
      <c r="A19316" s="1" t="s">
        <v>30569</v>
      </c>
      <c r="B19316" s="2" t="s">
        <v>26138</v>
      </c>
      <c r="C19316" s="1" t="s">
        <v>5669</v>
      </c>
      <c r="D19316" s="1" t="s">
        <v>5670</v>
      </c>
    </row>
    <row r="19317">
      <c r="A19317" s="1" t="s">
        <v>30570</v>
      </c>
      <c r="B19317" s="2" t="s">
        <v>26140</v>
      </c>
      <c r="C19317" s="1" t="s">
        <v>5669</v>
      </c>
      <c r="D19317" s="1" t="s">
        <v>5670</v>
      </c>
    </row>
    <row r="19318">
      <c r="A19318" s="1" t="s">
        <v>30571</v>
      </c>
      <c r="B19318" s="2" t="s">
        <v>26142</v>
      </c>
      <c r="C19318" s="1" t="s">
        <v>5669</v>
      </c>
      <c r="D19318" s="1" t="s">
        <v>5670</v>
      </c>
    </row>
    <row r="19319">
      <c r="A19319" s="1" t="s">
        <v>30572</v>
      </c>
      <c r="B19319" s="2" t="s">
        <v>26144</v>
      </c>
      <c r="C19319" s="1" t="s">
        <v>5669</v>
      </c>
      <c r="D19319" s="1" t="s">
        <v>5670</v>
      </c>
    </row>
    <row r="19320">
      <c r="A19320" s="1" t="s">
        <v>30573</v>
      </c>
      <c r="B19320" s="2" t="s">
        <v>26146</v>
      </c>
      <c r="C19320" s="1" t="s">
        <v>5669</v>
      </c>
      <c r="D19320" s="1" t="s">
        <v>5670</v>
      </c>
    </row>
    <row r="19321">
      <c r="A19321" s="1" t="s">
        <v>30574</v>
      </c>
      <c r="B19321" s="2" t="s">
        <v>26148</v>
      </c>
      <c r="C19321" s="1" t="s">
        <v>5669</v>
      </c>
      <c r="D19321" s="1" t="s">
        <v>5670</v>
      </c>
    </row>
    <row r="19322">
      <c r="A19322" s="1" t="s">
        <v>30575</v>
      </c>
      <c r="B19322" s="2" t="s">
        <v>26150</v>
      </c>
      <c r="C19322" s="1" t="s">
        <v>5669</v>
      </c>
      <c r="D19322" s="1" t="s">
        <v>5670</v>
      </c>
    </row>
    <row r="19323">
      <c r="A19323" s="1" t="s">
        <v>30576</v>
      </c>
      <c r="B19323" s="2" t="s">
        <v>26152</v>
      </c>
      <c r="C19323" s="1" t="s">
        <v>5669</v>
      </c>
      <c r="D19323" s="1" t="s">
        <v>5670</v>
      </c>
    </row>
    <row r="19324">
      <c r="A19324" s="1" t="s">
        <v>30577</v>
      </c>
      <c r="B19324" s="2" t="s">
        <v>26154</v>
      </c>
      <c r="C19324" s="1" t="s">
        <v>5669</v>
      </c>
      <c r="D19324" s="1" t="s">
        <v>5670</v>
      </c>
    </row>
    <row r="19325">
      <c r="A19325" s="1" t="s">
        <v>30578</v>
      </c>
      <c r="B19325" s="2" t="s">
        <v>26156</v>
      </c>
      <c r="C19325" s="1" t="s">
        <v>5669</v>
      </c>
      <c r="D19325" s="1" t="s">
        <v>5670</v>
      </c>
    </row>
    <row r="19326">
      <c r="A19326" s="1" t="s">
        <v>30579</v>
      </c>
      <c r="B19326" s="2" t="s">
        <v>26158</v>
      </c>
      <c r="C19326" s="1" t="s">
        <v>5669</v>
      </c>
      <c r="D19326" s="1" t="s">
        <v>5670</v>
      </c>
    </row>
    <row r="19327">
      <c r="A19327" s="1" t="s">
        <v>30580</v>
      </c>
      <c r="B19327" s="2" t="s">
        <v>26160</v>
      </c>
      <c r="C19327" s="1" t="s">
        <v>5669</v>
      </c>
      <c r="D19327" s="1" t="s">
        <v>5670</v>
      </c>
    </row>
    <row r="19328">
      <c r="A19328" s="1" t="s">
        <v>30581</v>
      </c>
      <c r="B19328" s="2" t="s">
        <v>26162</v>
      </c>
      <c r="C19328" s="1" t="s">
        <v>5669</v>
      </c>
      <c r="D19328" s="1" t="s">
        <v>5670</v>
      </c>
    </row>
    <row r="19329">
      <c r="A19329" s="1" t="s">
        <v>30582</v>
      </c>
      <c r="B19329" s="2" t="s">
        <v>26164</v>
      </c>
      <c r="C19329" s="1" t="s">
        <v>5669</v>
      </c>
      <c r="D19329" s="1" t="s">
        <v>5670</v>
      </c>
    </row>
    <row r="19330">
      <c r="A19330" s="1" t="s">
        <v>30583</v>
      </c>
      <c r="B19330" s="2" t="s">
        <v>26166</v>
      </c>
      <c r="C19330" s="1" t="s">
        <v>5669</v>
      </c>
      <c r="D19330" s="1" t="s">
        <v>5670</v>
      </c>
    </row>
    <row r="19331">
      <c r="A19331" s="1" t="s">
        <v>30584</v>
      </c>
      <c r="B19331" s="2" t="s">
        <v>26168</v>
      </c>
      <c r="C19331" s="1" t="s">
        <v>5669</v>
      </c>
      <c r="D19331" s="1" t="s">
        <v>5670</v>
      </c>
    </row>
    <row r="19332">
      <c r="A19332" s="1" t="s">
        <v>30585</v>
      </c>
      <c r="B19332" s="2" t="s">
        <v>26170</v>
      </c>
      <c r="C19332" s="1" t="s">
        <v>5669</v>
      </c>
      <c r="D19332" s="1" t="s">
        <v>5670</v>
      </c>
    </row>
    <row r="19333">
      <c r="A19333" s="1" t="s">
        <v>30586</v>
      </c>
      <c r="B19333" s="2" t="s">
        <v>26172</v>
      </c>
      <c r="C19333" s="1" t="s">
        <v>5669</v>
      </c>
      <c r="D19333" s="1" t="s">
        <v>5670</v>
      </c>
    </row>
    <row r="19334">
      <c r="A19334" s="1" t="s">
        <v>30587</v>
      </c>
      <c r="B19334" s="2" t="s">
        <v>26174</v>
      </c>
      <c r="C19334" s="1" t="s">
        <v>5669</v>
      </c>
      <c r="D19334" s="1" t="s">
        <v>5670</v>
      </c>
    </row>
    <row r="19335">
      <c r="A19335" s="1" t="s">
        <v>30588</v>
      </c>
      <c r="B19335" s="2" t="s">
        <v>26176</v>
      </c>
      <c r="C19335" s="1" t="s">
        <v>5669</v>
      </c>
      <c r="D19335" s="1" t="s">
        <v>5670</v>
      </c>
    </row>
    <row r="19336">
      <c r="A19336" s="1" t="s">
        <v>30589</v>
      </c>
      <c r="B19336" s="2" t="s">
        <v>26178</v>
      </c>
      <c r="C19336" s="1" t="s">
        <v>5669</v>
      </c>
      <c r="D19336" s="1" t="s">
        <v>5670</v>
      </c>
    </row>
    <row r="19337">
      <c r="A19337" s="1" t="s">
        <v>30590</v>
      </c>
      <c r="B19337" s="2" t="s">
        <v>26180</v>
      </c>
      <c r="C19337" s="1" t="s">
        <v>5669</v>
      </c>
      <c r="D19337" s="1" t="s">
        <v>5670</v>
      </c>
    </row>
    <row r="19338">
      <c r="A19338" s="1" t="s">
        <v>30591</v>
      </c>
      <c r="B19338" s="2" t="s">
        <v>26182</v>
      </c>
      <c r="C19338" s="1" t="s">
        <v>5669</v>
      </c>
      <c r="D19338" s="1" t="s">
        <v>5670</v>
      </c>
    </row>
    <row r="19339">
      <c r="A19339" s="1" t="s">
        <v>30592</v>
      </c>
      <c r="B19339" s="2" t="s">
        <v>26184</v>
      </c>
      <c r="C19339" s="1" t="s">
        <v>5669</v>
      </c>
      <c r="D19339" s="1" t="s">
        <v>5670</v>
      </c>
    </row>
    <row r="19340">
      <c r="A19340" s="1" t="s">
        <v>30593</v>
      </c>
      <c r="B19340" s="2" t="s">
        <v>26186</v>
      </c>
      <c r="C19340" s="1" t="s">
        <v>5669</v>
      </c>
      <c r="D19340" s="1" t="s">
        <v>5670</v>
      </c>
    </row>
    <row r="19341">
      <c r="A19341" s="1" t="s">
        <v>30594</v>
      </c>
      <c r="B19341" s="2" t="s">
        <v>26188</v>
      </c>
      <c r="C19341" s="1" t="s">
        <v>5669</v>
      </c>
      <c r="D19341" s="1" t="s">
        <v>5670</v>
      </c>
    </row>
    <row r="19342">
      <c r="A19342" s="1" t="s">
        <v>30595</v>
      </c>
      <c r="B19342" s="2" t="s">
        <v>26190</v>
      </c>
      <c r="C19342" s="1" t="s">
        <v>5669</v>
      </c>
      <c r="D19342" s="1" t="s">
        <v>5670</v>
      </c>
    </row>
    <row r="19343">
      <c r="A19343" s="1" t="s">
        <v>30596</v>
      </c>
      <c r="B19343" s="2" t="s">
        <v>26192</v>
      </c>
      <c r="C19343" s="1" t="s">
        <v>5669</v>
      </c>
      <c r="D19343" s="1" t="s">
        <v>5670</v>
      </c>
    </row>
    <row r="19344">
      <c r="A19344" s="1" t="s">
        <v>30597</v>
      </c>
      <c r="B19344" s="2" t="s">
        <v>26194</v>
      </c>
      <c r="C19344" s="1" t="s">
        <v>5669</v>
      </c>
      <c r="D19344" s="1" t="s">
        <v>5670</v>
      </c>
    </row>
    <row r="19345">
      <c r="A19345" s="1" t="s">
        <v>30598</v>
      </c>
      <c r="B19345" s="2" t="s">
        <v>26196</v>
      </c>
      <c r="C19345" s="1" t="s">
        <v>5669</v>
      </c>
      <c r="D19345" s="1" t="s">
        <v>5670</v>
      </c>
    </row>
    <row r="19346">
      <c r="A19346" s="1" t="s">
        <v>30599</v>
      </c>
      <c r="B19346" s="2" t="s">
        <v>26198</v>
      </c>
      <c r="C19346" s="1" t="s">
        <v>5669</v>
      </c>
      <c r="D19346" s="1" t="s">
        <v>5670</v>
      </c>
    </row>
    <row r="19347">
      <c r="A19347" s="1" t="s">
        <v>30600</v>
      </c>
      <c r="B19347" s="2" t="s">
        <v>26200</v>
      </c>
      <c r="C19347" s="1" t="s">
        <v>5669</v>
      </c>
      <c r="D19347" s="1" t="s">
        <v>5670</v>
      </c>
    </row>
    <row r="19348">
      <c r="A19348" s="1" t="s">
        <v>30601</v>
      </c>
      <c r="B19348" s="2" t="s">
        <v>26202</v>
      </c>
      <c r="C19348" s="1" t="s">
        <v>5669</v>
      </c>
      <c r="D19348" s="1" t="s">
        <v>5670</v>
      </c>
    </row>
    <row r="19349">
      <c r="A19349" s="1" t="s">
        <v>30602</v>
      </c>
      <c r="B19349" s="2" t="s">
        <v>26204</v>
      </c>
      <c r="C19349" s="1" t="s">
        <v>5669</v>
      </c>
      <c r="D19349" s="1" t="s">
        <v>5670</v>
      </c>
    </row>
    <row r="19350">
      <c r="A19350" s="1" t="s">
        <v>30603</v>
      </c>
      <c r="B19350" s="2" t="s">
        <v>26206</v>
      </c>
      <c r="C19350" s="1" t="s">
        <v>5669</v>
      </c>
      <c r="D19350" s="1" t="s">
        <v>5670</v>
      </c>
    </row>
    <row r="19351">
      <c r="A19351" s="1" t="s">
        <v>30604</v>
      </c>
      <c r="B19351" s="2" t="s">
        <v>26208</v>
      </c>
      <c r="C19351" s="1" t="s">
        <v>5669</v>
      </c>
      <c r="D19351" s="1" t="s">
        <v>5670</v>
      </c>
    </row>
    <row r="19352">
      <c r="A19352" s="1" t="s">
        <v>30605</v>
      </c>
      <c r="B19352" s="2" t="s">
        <v>26210</v>
      </c>
      <c r="C19352" s="1" t="s">
        <v>5669</v>
      </c>
      <c r="D19352" s="1" t="s">
        <v>5670</v>
      </c>
    </row>
    <row r="19353">
      <c r="A19353" s="1" t="s">
        <v>30606</v>
      </c>
      <c r="B19353" s="2" t="s">
        <v>26212</v>
      </c>
      <c r="C19353" s="1" t="s">
        <v>5669</v>
      </c>
      <c r="D19353" s="1" t="s">
        <v>5670</v>
      </c>
    </row>
    <row r="19354">
      <c r="A19354" s="1" t="s">
        <v>30607</v>
      </c>
      <c r="B19354" s="2" t="s">
        <v>26214</v>
      </c>
      <c r="C19354" s="1" t="s">
        <v>5669</v>
      </c>
      <c r="D19354" s="1" t="s">
        <v>5670</v>
      </c>
    </row>
    <row r="19355">
      <c r="A19355" s="1" t="s">
        <v>30608</v>
      </c>
      <c r="B19355" s="2" t="s">
        <v>26216</v>
      </c>
      <c r="C19355" s="1" t="s">
        <v>5669</v>
      </c>
      <c r="D19355" s="1" t="s">
        <v>5670</v>
      </c>
    </row>
    <row r="19356">
      <c r="A19356" s="1" t="s">
        <v>30609</v>
      </c>
      <c r="B19356" s="2" t="s">
        <v>26218</v>
      </c>
      <c r="C19356" s="1" t="s">
        <v>5669</v>
      </c>
      <c r="D19356" s="1" t="s">
        <v>5670</v>
      </c>
    </row>
    <row r="19357">
      <c r="A19357" s="1" t="s">
        <v>30610</v>
      </c>
      <c r="B19357" s="2" t="s">
        <v>26220</v>
      </c>
      <c r="C19357" s="1" t="s">
        <v>5669</v>
      </c>
      <c r="D19357" s="1" t="s">
        <v>5670</v>
      </c>
    </row>
    <row r="19358">
      <c r="A19358" s="1" t="s">
        <v>30611</v>
      </c>
      <c r="B19358" s="2" t="s">
        <v>26222</v>
      </c>
      <c r="C19358" s="1" t="s">
        <v>5669</v>
      </c>
      <c r="D19358" s="1" t="s">
        <v>5670</v>
      </c>
    </row>
    <row r="19359">
      <c r="A19359" s="1" t="s">
        <v>30612</v>
      </c>
      <c r="B19359" s="2" t="s">
        <v>26224</v>
      </c>
      <c r="C19359" s="1" t="s">
        <v>5669</v>
      </c>
      <c r="D19359" s="1" t="s">
        <v>5670</v>
      </c>
    </row>
    <row r="19360">
      <c r="A19360" s="1" t="s">
        <v>30613</v>
      </c>
      <c r="B19360" s="2" t="s">
        <v>26226</v>
      </c>
      <c r="C19360" s="1" t="s">
        <v>5669</v>
      </c>
      <c r="D19360" s="1" t="s">
        <v>5670</v>
      </c>
    </row>
    <row r="19361">
      <c r="A19361" s="1" t="s">
        <v>30614</v>
      </c>
      <c r="B19361" s="2" t="s">
        <v>26228</v>
      </c>
      <c r="C19361" s="1" t="s">
        <v>5669</v>
      </c>
      <c r="D19361" s="1" t="s">
        <v>5670</v>
      </c>
    </row>
    <row r="19362">
      <c r="A19362" s="1" t="s">
        <v>30615</v>
      </c>
      <c r="B19362" s="2" t="s">
        <v>26230</v>
      </c>
      <c r="C19362" s="1" t="s">
        <v>5669</v>
      </c>
      <c r="D19362" s="1" t="s">
        <v>5670</v>
      </c>
    </row>
    <row r="19363">
      <c r="A19363" s="1" t="s">
        <v>30616</v>
      </c>
      <c r="B19363" s="2" t="s">
        <v>26232</v>
      </c>
      <c r="C19363" s="1" t="s">
        <v>5669</v>
      </c>
      <c r="D19363" s="1" t="s">
        <v>5670</v>
      </c>
    </row>
    <row r="19364">
      <c r="A19364" s="1" t="s">
        <v>30617</v>
      </c>
      <c r="B19364" s="2" t="s">
        <v>26234</v>
      </c>
      <c r="C19364" s="1" t="s">
        <v>5669</v>
      </c>
      <c r="D19364" s="1" t="s">
        <v>5670</v>
      </c>
    </row>
    <row r="19365">
      <c r="A19365" s="1" t="s">
        <v>30618</v>
      </c>
      <c r="B19365" s="2" t="s">
        <v>26236</v>
      </c>
      <c r="C19365" s="1" t="s">
        <v>5669</v>
      </c>
      <c r="D19365" s="1" t="s">
        <v>5670</v>
      </c>
    </row>
    <row r="19366">
      <c r="A19366" s="1" t="s">
        <v>30619</v>
      </c>
      <c r="B19366" s="2" t="s">
        <v>26238</v>
      </c>
      <c r="C19366" s="1" t="s">
        <v>5669</v>
      </c>
      <c r="D19366" s="1" t="s">
        <v>5670</v>
      </c>
    </row>
    <row r="19367">
      <c r="A19367" s="1" t="s">
        <v>30620</v>
      </c>
      <c r="B19367" s="2" t="s">
        <v>26240</v>
      </c>
      <c r="C19367" s="1" t="s">
        <v>5669</v>
      </c>
      <c r="D19367" s="1" t="s">
        <v>5670</v>
      </c>
    </row>
    <row r="19368">
      <c r="A19368" s="1" t="s">
        <v>30621</v>
      </c>
      <c r="B19368" s="2" t="s">
        <v>26242</v>
      </c>
      <c r="C19368" s="1" t="s">
        <v>5669</v>
      </c>
      <c r="D19368" s="1" t="s">
        <v>5670</v>
      </c>
    </row>
    <row r="19369">
      <c r="A19369" s="1" t="s">
        <v>30622</v>
      </c>
      <c r="B19369" s="2" t="s">
        <v>26244</v>
      </c>
      <c r="C19369" s="1" t="s">
        <v>5669</v>
      </c>
      <c r="D19369" s="1" t="s">
        <v>5670</v>
      </c>
    </row>
    <row r="19370">
      <c r="A19370" s="1" t="s">
        <v>30623</v>
      </c>
      <c r="B19370" s="2" t="s">
        <v>26246</v>
      </c>
      <c r="C19370" s="1" t="s">
        <v>5669</v>
      </c>
      <c r="D19370" s="1" t="s">
        <v>5670</v>
      </c>
    </row>
    <row r="19371">
      <c r="A19371" s="1" t="s">
        <v>30624</v>
      </c>
      <c r="B19371" s="2" t="s">
        <v>26248</v>
      </c>
      <c r="C19371" s="1" t="s">
        <v>5669</v>
      </c>
      <c r="D19371" s="1" t="s">
        <v>5670</v>
      </c>
    </row>
    <row r="19372">
      <c r="A19372" s="1" t="s">
        <v>30625</v>
      </c>
      <c r="B19372" s="2" t="s">
        <v>26250</v>
      </c>
      <c r="C19372" s="1" t="s">
        <v>5669</v>
      </c>
      <c r="D19372" s="1" t="s">
        <v>5670</v>
      </c>
    </row>
    <row r="19373">
      <c r="A19373" s="1" t="s">
        <v>30626</v>
      </c>
      <c r="B19373" s="2" t="s">
        <v>26252</v>
      </c>
      <c r="C19373" s="1" t="s">
        <v>5669</v>
      </c>
      <c r="D19373" s="1" t="s">
        <v>5670</v>
      </c>
    </row>
    <row r="19374">
      <c r="A19374" s="1" t="s">
        <v>30627</v>
      </c>
      <c r="B19374" s="2" t="s">
        <v>26254</v>
      </c>
      <c r="C19374" s="1" t="s">
        <v>5669</v>
      </c>
      <c r="D19374" s="1" t="s">
        <v>5670</v>
      </c>
    </row>
    <row r="19375">
      <c r="A19375" s="1" t="s">
        <v>30628</v>
      </c>
      <c r="B19375" s="2" t="s">
        <v>26256</v>
      </c>
      <c r="C19375" s="1" t="s">
        <v>5669</v>
      </c>
      <c r="D19375" s="1" t="s">
        <v>5670</v>
      </c>
    </row>
    <row r="19376">
      <c r="A19376" s="1" t="s">
        <v>30629</v>
      </c>
      <c r="B19376" s="2" t="s">
        <v>26258</v>
      </c>
      <c r="C19376" s="1" t="s">
        <v>5669</v>
      </c>
      <c r="D19376" s="1" t="s">
        <v>5670</v>
      </c>
    </row>
    <row r="19377">
      <c r="A19377" s="1" t="s">
        <v>30630</v>
      </c>
      <c r="B19377" s="2" t="s">
        <v>26260</v>
      </c>
      <c r="C19377" s="1" t="s">
        <v>5669</v>
      </c>
      <c r="D19377" s="1" t="s">
        <v>5670</v>
      </c>
    </row>
    <row r="19378">
      <c r="A19378" s="1" t="s">
        <v>30631</v>
      </c>
      <c r="B19378" s="2" t="s">
        <v>26262</v>
      </c>
      <c r="C19378" s="1" t="s">
        <v>5669</v>
      </c>
      <c r="D19378" s="1" t="s">
        <v>5670</v>
      </c>
    </row>
    <row r="19379">
      <c r="A19379" s="1" t="s">
        <v>30632</v>
      </c>
      <c r="B19379" s="2" t="s">
        <v>26264</v>
      </c>
      <c r="C19379" s="1" t="s">
        <v>5669</v>
      </c>
      <c r="D19379" s="1" t="s">
        <v>5670</v>
      </c>
    </row>
    <row r="19380">
      <c r="A19380" s="1" t="s">
        <v>30633</v>
      </c>
      <c r="B19380" s="2" t="s">
        <v>26266</v>
      </c>
      <c r="C19380" s="1" t="s">
        <v>5669</v>
      </c>
      <c r="D19380" s="1" t="s">
        <v>5670</v>
      </c>
    </row>
    <row r="19381">
      <c r="A19381" s="1" t="s">
        <v>30634</v>
      </c>
      <c r="B19381" s="2" t="s">
        <v>26268</v>
      </c>
      <c r="C19381" s="1" t="s">
        <v>5669</v>
      </c>
      <c r="D19381" s="1" t="s">
        <v>5670</v>
      </c>
    </row>
    <row r="19382">
      <c r="A19382" s="1" t="s">
        <v>30635</v>
      </c>
      <c r="B19382" s="2" t="s">
        <v>26270</v>
      </c>
      <c r="C19382" s="1" t="s">
        <v>5669</v>
      </c>
      <c r="D19382" s="1" t="s">
        <v>5670</v>
      </c>
    </row>
    <row r="19383">
      <c r="A19383" s="1" t="s">
        <v>30636</v>
      </c>
      <c r="B19383" s="2" t="s">
        <v>26272</v>
      </c>
      <c r="C19383" s="1" t="s">
        <v>5669</v>
      </c>
      <c r="D19383" s="1" t="s">
        <v>5670</v>
      </c>
    </row>
    <row r="19384">
      <c r="A19384" s="1" t="s">
        <v>30637</v>
      </c>
      <c r="B19384" s="2" t="s">
        <v>26274</v>
      </c>
      <c r="C19384" s="1" t="s">
        <v>5669</v>
      </c>
      <c r="D19384" s="1" t="s">
        <v>5670</v>
      </c>
    </row>
    <row r="19385">
      <c r="A19385" s="1" t="s">
        <v>30638</v>
      </c>
      <c r="B19385" s="2" t="s">
        <v>26276</v>
      </c>
      <c r="C19385" s="1" t="s">
        <v>5669</v>
      </c>
      <c r="D19385" s="1" t="s">
        <v>5670</v>
      </c>
    </row>
    <row r="19386">
      <c r="A19386" s="1" t="s">
        <v>30639</v>
      </c>
      <c r="B19386" s="2" t="s">
        <v>26278</v>
      </c>
      <c r="C19386" s="1" t="s">
        <v>5669</v>
      </c>
      <c r="D19386" s="1" t="s">
        <v>5670</v>
      </c>
    </row>
    <row r="19387">
      <c r="A19387" s="1" t="s">
        <v>30640</v>
      </c>
      <c r="B19387" s="2" t="s">
        <v>26280</v>
      </c>
      <c r="C19387" s="1" t="s">
        <v>5669</v>
      </c>
      <c r="D19387" s="1" t="s">
        <v>5670</v>
      </c>
    </row>
    <row r="19388">
      <c r="A19388" s="1" t="s">
        <v>30641</v>
      </c>
      <c r="B19388" s="2" t="s">
        <v>26282</v>
      </c>
      <c r="C19388" s="1" t="s">
        <v>5669</v>
      </c>
      <c r="D19388" s="1" t="s">
        <v>5670</v>
      </c>
    </row>
    <row r="19389">
      <c r="A19389" s="1" t="s">
        <v>30642</v>
      </c>
      <c r="B19389" s="2" t="s">
        <v>26284</v>
      </c>
      <c r="C19389" s="1" t="s">
        <v>5669</v>
      </c>
      <c r="D19389" s="1" t="s">
        <v>5670</v>
      </c>
    </row>
    <row r="19390">
      <c r="A19390" s="1" t="s">
        <v>30643</v>
      </c>
      <c r="B19390" s="2" t="s">
        <v>26286</v>
      </c>
      <c r="C19390" s="1" t="s">
        <v>5669</v>
      </c>
      <c r="D19390" s="1" t="s">
        <v>5670</v>
      </c>
    </row>
    <row r="19391">
      <c r="A19391" s="1" t="s">
        <v>30644</v>
      </c>
      <c r="B19391" s="2" t="s">
        <v>26288</v>
      </c>
      <c r="C19391" s="1" t="s">
        <v>5669</v>
      </c>
      <c r="D19391" s="1" t="s">
        <v>5670</v>
      </c>
    </row>
    <row r="19392">
      <c r="A19392" s="1" t="s">
        <v>30645</v>
      </c>
      <c r="B19392" s="2" t="s">
        <v>26290</v>
      </c>
      <c r="C19392" s="1" t="s">
        <v>5669</v>
      </c>
      <c r="D19392" s="1" t="s">
        <v>5670</v>
      </c>
    </row>
    <row r="19393">
      <c r="A19393" s="1" t="s">
        <v>30646</v>
      </c>
      <c r="B19393" s="2" t="s">
        <v>26292</v>
      </c>
      <c r="C19393" s="1" t="s">
        <v>5669</v>
      </c>
      <c r="D19393" s="1" t="s">
        <v>5670</v>
      </c>
    </row>
    <row r="19394">
      <c r="A19394" s="1" t="s">
        <v>30647</v>
      </c>
      <c r="B19394" s="2" t="s">
        <v>26294</v>
      </c>
      <c r="C19394" s="1" t="s">
        <v>5669</v>
      </c>
      <c r="D19394" s="1" t="s">
        <v>5670</v>
      </c>
    </row>
    <row r="19395">
      <c r="A19395" s="1" t="s">
        <v>30648</v>
      </c>
      <c r="B19395" s="2" t="s">
        <v>26296</v>
      </c>
      <c r="C19395" s="1" t="s">
        <v>5669</v>
      </c>
      <c r="D19395" s="1" t="s">
        <v>5670</v>
      </c>
    </row>
    <row r="19396">
      <c r="A19396" s="1" t="s">
        <v>30649</v>
      </c>
      <c r="B19396" s="2" t="s">
        <v>26298</v>
      </c>
      <c r="C19396" s="1" t="s">
        <v>5669</v>
      </c>
      <c r="D19396" s="1" t="s">
        <v>5670</v>
      </c>
    </row>
    <row r="19397">
      <c r="A19397" s="1" t="s">
        <v>30650</v>
      </c>
      <c r="B19397" s="2" t="s">
        <v>26300</v>
      </c>
      <c r="C19397" s="1" t="s">
        <v>5669</v>
      </c>
      <c r="D19397" s="1" t="s">
        <v>5670</v>
      </c>
    </row>
    <row r="19398">
      <c r="A19398" s="1" t="s">
        <v>30651</v>
      </c>
      <c r="B19398" s="2" t="s">
        <v>26302</v>
      </c>
      <c r="C19398" s="1" t="s">
        <v>5669</v>
      </c>
      <c r="D19398" s="1" t="s">
        <v>5670</v>
      </c>
    </row>
    <row r="19399">
      <c r="A19399" s="1" t="s">
        <v>30652</v>
      </c>
      <c r="B19399" s="2" t="s">
        <v>26304</v>
      </c>
      <c r="C19399" s="1" t="s">
        <v>5669</v>
      </c>
      <c r="D19399" s="1" t="s">
        <v>5670</v>
      </c>
    </row>
    <row r="19400">
      <c r="A19400" s="1" t="s">
        <v>30653</v>
      </c>
      <c r="B19400" s="2" t="s">
        <v>26306</v>
      </c>
      <c r="C19400" s="1" t="s">
        <v>5669</v>
      </c>
      <c r="D19400" s="1" t="s">
        <v>5670</v>
      </c>
    </row>
    <row r="19401">
      <c r="A19401" s="1" t="s">
        <v>30654</v>
      </c>
      <c r="B19401" s="2" t="s">
        <v>26308</v>
      </c>
      <c r="C19401" s="1" t="s">
        <v>5669</v>
      </c>
      <c r="D19401" s="1" t="s">
        <v>5670</v>
      </c>
    </row>
    <row r="19402">
      <c r="A19402" s="1" t="s">
        <v>30655</v>
      </c>
      <c r="B19402" s="2" t="s">
        <v>26310</v>
      </c>
      <c r="C19402" s="1" t="s">
        <v>5669</v>
      </c>
      <c r="D19402" s="1" t="s">
        <v>5670</v>
      </c>
    </row>
    <row r="19403">
      <c r="A19403" s="1" t="s">
        <v>30656</v>
      </c>
      <c r="B19403" s="2" t="s">
        <v>26312</v>
      </c>
      <c r="C19403" s="1" t="s">
        <v>5669</v>
      </c>
      <c r="D19403" s="1" t="s">
        <v>5670</v>
      </c>
    </row>
    <row r="19404">
      <c r="A19404" s="1" t="s">
        <v>30657</v>
      </c>
      <c r="B19404" s="2" t="s">
        <v>26314</v>
      </c>
      <c r="C19404" s="1" t="s">
        <v>5669</v>
      </c>
      <c r="D19404" s="1" t="s">
        <v>5670</v>
      </c>
    </row>
    <row r="19405">
      <c r="A19405" s="1" t="s">
        <v>30658</v>
      </c>
      <c r="B19405" s="2" t="s">
        <v>26316</v>
      </c>
      <c r="C19405" s="1" t="s">
        <v>5669</v>
      </c>
      <c r="D19405" s="1" t="s">
        <v>5670</v>
      </c>
    </row>
    <row r="19406">
      <c r="A19406" s="1" t="s">
        <v>30659</v>
      </c>
      <c r="B19406" s="2" t="s">
        <v>26318</v>
      </c>
      <c r="C19406" s="1" t="s">
        <v>5669</v>
      </c>
      <c r="D19406" s="1" t="s">
        <v>5670</v>
      </c>
    </row>
    <row r="19407">
      <c r="A19407" s="1" t="s">
        <v>30660</v>
      </c>
      <c r="B19407" s="2" t="s">
        <v>26320</v>
      </c>
      <c r="C19407" s="1" t="s">
        <v>5669</v>
      </c>
      <c r="D19407" s="1" t="s">
        <v>5670</v>
      </c>
    </row>
    <row r="19408">
      <c r="A19408" s="1" t="s">
        <v>30661</v>
      </c>
      <c r="B19408" s="2" t="s">
        <v>26322</v>
      </c>
      <c r="C19408" s="1" t="s">
        <v>5669</v>
      </c>
      <c r="D19408" s="1" t="s">
        <v>5670</v>
      </c>
    </row>
    <row r="19409">
      <c r="A19409" s="1" t="s">
        <v>30662</v>
      </c>
      <c r="B19409" s="2" t="s">
        <v>26324</v>
      </c>
      <c r="C19409" s="1" t="s">
        <v>5669</v>
      </c>
      <c r="D19409" s="1" t="s">
        <v>5670</v>
      </c>
    </row>
    <row r="19410">
      <c r="A19410" s="1" t="s">
        <v>30663</v>
      </c>
      <c r="B19410" s="2" t="s">
        <v>26326</v>
      </c>
      <c r="C19410" s="1" t="s">
        <v>5669</v>
      </c>
      <c r="D19410" s="1" t="s">
        <v>5670</v>
      </c>
    </row>
    <row r="19411">
      <c r="A19411" s="1" t="s">
        <v>30664</v>
      </c>
      <c r="B19411" s="2" t="s">
        <v>26328</v>
      </c>
      <c r="C19411" s="1" t="s">
        <v>5669</v>
      </c>
      <c r="D19411" s="1" t="s">
        <v>5670</v>
      </c>
    </row>
    <row r="19412">
      <c r="A19412" s="1" t="s">
        <v>30665</v>
      </c>
      <c r="B19412" s="2" t="s">
        <v>26330</v>
      </c>
      <c r="C19412" s="1" t="s">
        <v>5669</v>
      </c>
      <c r="D19412" s="1" t="s">
        <v>5670</v>
      </c>
    </row>
    <row r="19413">
      <c r="A19413" s="1" t="s">
        <v>30666</v>
      </c>
      <c r="B19413" s="2" t="s">
        <v>26332</v>
      </c>
      <c r="C19413" s="1" t="s">
        <v>5669</v>
      </c>
      <c r="D19413" s="1" t="s">
        <v>5670</v>
      </c>
    </row>
    <row r="19414">
      <c r="A19414" s="1" t="s">
        <v>30667</v>
      </c>
      <c r="B19414" s="2" t="s">
        <v>26334</v>
      </c>
      <c r="C19414" s="1" t="s">
        <v>5669</v>
      </c>
      <c r="D19414" s="1" t="s">
        <v>5670</v>
      </c>
    </row>
    <row r="19415">
      <c r="A19415" s="1" t="s">
        <v>30668</v>
      </c>
      <c r="B19415" s="2" t="s">
        <v>26336</v>
      </c>
      <c r="C19415" s="1" t="s">
        <v>5669</v>
      </c>
      <c r="D19415" s="1" t="s">
        <v>5670</v>
      </c>
    </row>
    <row r="19416">
      <c r="A19416" s="1" t="s">
        <v>30669</v>
      </c>
      <c r="B19416" s="2" t="s">
        <v>26338</v>
      </c>
      <c r="C19416" s="1" t="s">
        <v>5669</v>
      </c>
      <c r="D19416" s="1" t="s">
        <v>5670</v>
      </c>
    </row>
    <row r="19417">
      <c r="A19417" s="1" t="s">
        <v>30670</v>
      </c>
      <c r="B19417" s="2" t="s">
        <v>26340</v>
      </c>
      <c r="C19417" s="1" t="s">
        <v>5669</v>
      </c>
      <c r="D19417" s="1" t="s">
        <v>5670</v>
      </c>
    </row>
    <row r="19418">
      <c r="A19418" s="1" t="s">
        <v>30671</v>
      </c>
      <c r="B19418" s="2" t="s">
        <v>26342</v>
      </c>
      <c r="C19418" s="1" t="s">
        <v>5669</v>
      </c>
      <c r="D19418" s="1" t="s">
        <v>5670</v>
      </c>
    </row>
    <row r="19419">
      <c r="A19419" s="1" t="s">
        <v>30672</v>
      </c>
      <c r="B19419" s="2" t="s">
        <v>26344</v>
      </c>
      <c r="C19419" s="1" t="s">
        <v>5669</v>
      </c>
      <c r="D19419" s="1" t="s">
        <v>5670</v>
      </c>
    </row>
    <row r="19420">
      <c r="A19420" s="1" t="s">
        <v>30673</v>
      </c>
      <c r="B19420" s="2" t="s">
        <v>26346</v>
      </c>
      <c r="C19420" s="1" t="s">
        <v>5669</v>
      </c>
      <c r="D19420" s="1" t="s">
        <v>5670</v>
      </c>
    </row>
    <row r="19421">
      <c r="A19421" s="1" t="s">
        <v>30674</v>
      </c>
      <c r="B19421" s="2" t="s">
        <v>26348</v>
      </c>
      <c r="C19421" s="1" t="s">
        <v>5669</v>
      </c>
      <c r="D19421" s="1" t="s">
        <v>5670</v>
      </c>
    </row>
    <row r="19422">
      <c r="A19422" s="1" t="s">
        <v>30675</v>
      </c>
      <c r="B19422" s="2" t="s">
        <v>26350</v>
      </c>
      <c r="C19422" s="1" t="s">
        <v>5669</v>
      </c>
      <c r="D19422" s="1" t="s">
        <v>5670</v>
      </c>
    </row>
    <row r="19423">
      <c r="A19423" s="1" t="s">
        <v>30676</v>
      </c>
      <c r="B19423" s="2" t="s">
        <v>26352</v>
      </c>
      <c r="C19423" s="1" t="s">
        <v>5669</v>
      </c>
      <c r="D19423" s="1" t="s">
        <v>5670</v>
      </c>
    </row>
    <row r="19424">
      <c r="A19424" s="1" t="s">
        <v>30677</v>
      </c>
      <c r="B19424" s="2" t="s">
        <v>26354</v>
      </c>
      <c r="C19424" s="1" t="s">
        <v>5669</v>
      </c>
      <c r="D19424" s="1" t="s">
        <v>5670</v>
      </c>
    </row>
    <row r="19425">
      <c r="A19425" s="1" t="s">
        <v>30678</v>
      </c>
      <c r="B19425" s="2" t="s">
        <v>26356</v>
      </c>
      <c r="C19425" s="1" t="s">
        <v>5669</v>
      </c>
      <c r="D19425" s="1" t="s">
        <v>5670</v>
      </c>
    </row>
    <row r="19426">
      <c r="A19426" s="1" t="s">
        <v>30679</v>
      </c>
      <c r="B19426" s="2" t="s">
        <v>26358</v>
      </c>
      <c r="C19426" s="1" t="s">
        <v>5669</v>
      </c>
      <c r="D19426" s="1" t="s">
        <v>5670</v>
      </c>
    </row>
    <row r="19427">
      <c r="A19427" s="1" t="s">
        <v>30680</v>
      </c>
      <c r="B19427" s="2" t="s">
        <v>26360</v>
      </c>
      <c r="C19427" s="1" t="s">
        <v>5669</v>
      </c>
      <c r="D19427" s="1" t="s">
        <v>5670</v>
      </c>
    </row>
    <row r="19428">
      <c r="A19428" s="1" t="s">
        <v>30681</v>
      </c>
      <c r="B19428" s="2" t="s">
        <v>26362</v>
      </c>
      <c r="C19428" s="1" t="s">
        <v>5669</v>
      </c>
      <c r="D19428" s="1" t="s">
        <v>5670</v>
      </c>
    </row>
    <row r="19429">
      <c r="A19429" s="1" t="s">
        <v>30682</v>
      </c>
      <c r="B19429" s="2" t="s">
        <v>26364</v>
      </c>
      <c r="C19429" s="1" t="s">
        <v>5669</v>
      </c>
      <c r="D19429" s="1" t="s">
        <v>5670</v>
      </c>
    </row>
    <row r="19430">
      <c r="A19430" s="1" t="s">
        <v>30683</v>
      </c>
      <c r="B19430" s="2" t="s">
        <v>26366</v>
      </c>
      <c r="C19430" s="1" t="s">
        <v>5669</v>
      </c>
      <c r="D19430" s="1" t="s">
        <v>5670</v>
      </c>
    </row>
    <row r="19431">
      <c r="A19431" s="1" t="s">
        <v>30684</v>
      </c>
      <c r="B19431" s="2" t="s">
        <v>26368</v>
      </c>
      <c r="C19431" s="1" t="s">
        <v>5669</v>
      </c>
      <c r="D19431" s="1" t="s">
        <v>5670</v>
      </c>
    </row>
    <row r="19432">
      <c r="A19432" s="1" t="s">
        <v>30685</v>
      </c>
      <c r="B19432" s="2" t="s">
        <v>26370</v>
      </c>
      <c r="C19432" s="1" t="s">
        <v>5669</v>
      </c>
      <c r="D19432" s="1" t="s">
        <v>5670</v>
      </c>
    </row>
    <row r="19433">
      <c r="A19433" s="1" t="s">
        <v>30686</v>
      </c>
      <c r="B19433" s="2" t="s">
        <v>26372</v>
      </c>
      <c r="C19433" s="1" t="s">
        <v>5669</v>
      </c>
      <c r="D19433" s="1" t="s">
        <v>5670</v>
      </c>
    </row>
    <row r="19434">
      <c r="A19434" s="1" t="s">
        <v>30687</v>
      </c>
      <c r="B19434" s="2" t="s">
        <v>26374</v>
      </c>
      <c r="C19434" s="1" t="s">
        <v>5669</v>
      </c>
      <c r="D19434" s="1" t="s">
        <v>5670</v>
      </c>
    </row>
    <row r="19435">
      <c r="A19435" s="1" t="s">
        <v>30688</v>
      </c>
      <c r="B19435" s="2" t="s">
        <v>26376</v>
      </c>
      <c r="C19435" s="1" t="s">
        <v>5669</v>
      </c>
      <c r="D19435" s="1" t="s">
        <v>5670</v>
      </c>
    </row>
    <row r="19436">
      <c r="A19436" s="1" t="s">
        <v>30689</v>
      </c>
      <c r="B19436" s="2" t="s">
        <v>26378</v>
      </c>
      <c r="C19436" s="1" t="s">
        <v>5669</v>
      </c>
      <c r="D19436" s="1" t="s">
        <v>5670</v>
      </c>
    </row>
    <row r="19437">
      <c r="A19437" s="1" t="s">
        <v>30690</v>
      </c>
      <c r="B19437" s="2" t="s">
        <v>26380</v>
      </c>
      <c r="C19437" s="1" t="s">
        <v>5669</v>
      </c>
      <c r="D19437" s="1" t="s">
        <v>5670</v>
      </c>
    </row>
    <row r="19438">
      <c r="A19438" s="1" t="s">
        <v>30691</v>
      </c>
      <c r="B19438" s="2" t="s">
        <v>26382</v>
      </c>
      <c r="C19438" s="1" t="s">
        <v>5669</v>
      </c>
      <c r="D19438" s="1" t="s">
        <v>5670</v>
      </c>
    </row>
    <row r="19439">
      <c r="A19439" s="1" t="s">
        <v>30692</v>
      </c>
      <c r="B19439" s="2" t="s">
        <v>26384</v>
      </c>
      <c r="C19439" s="1" t="s">
        <v>5669</v>
      </c>
      <c r="D19439" s="1" t="s">
        <v>5670</v>
      </c>
    </row>
    <row r="19440">
      <c r="A19440" s="1" t="s">
        <v>30693</v>
      </c>
      <c r="B19440" s="2" t="s">
        <v>26386</v>
      </c>
      <c r="C19440" s="1" t="s">
        <v>5669</v>
      </c>
      <c r="D19440" s="1" t="s">
        <v>5670</v>
      </c>
    </row>
    <row r="19441">
      <c r="A19441" s="1" t="s">
        <v>30694</v>
      </c>
      <c r="B19441" s="2" t="s">
        <v>26388</v>
      </c>
      <c r="C19441" s="1" t="s">
        <v>5669</v>
      </c>
      <c r="D19441" s="1" t="s">
        <v>5670</v>
      </c>
    </row>
    <row r="19442">
      <c r="A19442" s="1" t="s">
        <v>30695</v>
      </c>
      <c r="B19442" s="2" t="s">
        <v>26390</v>
      </c>
      <c r="C19442" s="1" t="s">
        <v>5669</v>
      </c>
      <c r="D19442" s="1" t="s">
        <v>5670</v>
      </c>
    </row>
    <row r="19443">
      <c r="A19443" s="1" t="s">
        <v>30696</v>
      </c>
      <c r="B19443" s="2" t="s">
        <v>26392</v>
      </c>
      <c r="C19443" s="1" t="s">
        <v>5669</v>
      </c>
      <c r="D19443" s="1" t="s">
        <v>5670</v>
      </c>
    </row>
    <row r="19444">
      <c r="A19444" s="1" t="s">
        <v>30697</v>
      </c>
      <c r="B19444" s="2" t="s">
        <v>26394</v>
      </c>
      <c r="C19444" s="1" t="s">
        <v>5669</v>
      </c>
      <c r="D19444" s="1" t="s">
        <v>5670</v>
      </c>
    </row>
    <row r="19445">
      <c r="A19445" s="1" t="s">
        <v>30698</v>
      </c>
      <c r="B19445" s="2" t="s">
        <v>26396</v>
      </c>
      <c r="C19445" s="1" t="s">
        <v>5669</v>
      </c>
      <c r="D19445" s="1" t="s">
        <v>5670</v>
      </c>
    </row>
    <row r="19446">
      <c r="A19446" s="1" t="s">
        <v>30699</v>
      </c>
      <c r="B19446" s="2" t="s">
        <v>26398</v>
      </c>
      <c r="C19446" s="1" t="s">
        <v>5669</v>
      </c>
      <c r="D19446" s="1" t="s">
        <v>5670</v>
      </c>
    </row>
    <row r="19447">
      <c r="A19447" s="1" t="s">
        <v>30700</v>
      </c>
      <c r="B19447" s="2" t="s">
        <v>26400</v>
      </c>
      <c r="C19447" s="1" t="s">
        <v>5669</v>
      </c>
      <c r="D19447" s="1" t="s">
        <v>5670</v>
      </c>
    </row>
    <row r="19448">
      <c r="A19448" s="1" t="s">
        <v>30701</v>
      </c>
      <c r="B19448" s="2" t="s">
        <v>26402</v>
      </c>
      <c r="C19448" s="1" t="s">
        <v>5669</v>
      </c>
      <c r="D19448" s="1" t="s">
        <v>5670</v>
      </c>
    </row>
    <row r="19449">
      <c r="A19449" s="1" t="s">
        <v>30702</v>
      </c>
      <c r="B19449" s="2" t="s">
        <v>26404</v>
      </c>
      <c r="C19449" s="1" t="s">
        <v>5669</v>
      </c>
      <c r="D19449" s="1" t="s">
        <v>5670</v>
      </c>
    </row>
    <row r="19450">
      <c r="A19450" s="1" t="s">
        <v>30703</v>
      </c>
      <c r="B19450" s="2" t="s">
        <v>26406</v>
      </c>
      <c r="C19450" s="1" t="s">
        <v>5669</v>
      </c>
      <c r="D19450" s="1" t="s">
        <v>5670</v>
      </c>
    </row>
    <row r="19451">
      <c r="A19451" s="1" t="s">
        <v>30704</v>
      </c>
      <c r="B19451" s="2" t="s">
        <v>26408</v>
      </c>
      <c r="C19451" s="1" t="s">
        <v>5669</v>
      </c>
      <c r="D19451" s="1" t="s">
        <v>5670</v>
      </c>
    </row>
    <row r="19452">
      <c r="A19452" s="1" t="s">
        <v>30705</v>
      </c>
      <c r="B19452" s="2" t="s">
        <v>26410</v>
      </c>
      <c r="C19452" s="1" t="s">
        <v>5669</v>
      </c>
      <c r="D19452" s="1" t="s">
        <v>5670</v>
      </c>
    </row>
    <row r="19453">
      <c r="A19453" s="1" t="s">
        <v>30706</v>
      </c>
      <c r="B19453" s="2" t="s">
        <v>26412</v>
      </c>
      <c r="C19453" s="1" t="s">
        <v>5669</v>
      </c>
      <c r="D19453" s="1" t="s">
        <v>5670</v>
      </c>
    </row>
    <row r="19454">
      <c r="A19454" s="1" t="s">
        <v>30707</v>
      </c>
      <c r="B19454" s="2" t="s">
        <v>26414</v>
      </c>
      <c r="C19454" s="1" t="s">
        <v>5669</v>
      </c>
      <c r="D19454" s="1" t="s">
        <v>5670</v>
      </c>
    </row>
    <row r="19455">
      <c r="A19455" s="1" t="s">
        <v>30708</v>
      </c>
      <c r="B19455" s="2" t="s">
        <v>26416</v>
      </c>
      <c r="C19455" s="1" t="s">
        <v>5669</v>
      </c>
      <c r="D19455" s="1" t="s">
        <v>5670</v>
      </c>
    </row>
    <row r="19456">
      <c r="A19456" s="1" t="s">
        <v>30709</v>
      </c>
      <c r="B19456" s="2" t="s">
        <v>26418</v>
      </c>
      <c r="C19456" s="1" t="s">
        <v>5669</v>
      </c>
      <c r="D19456" s="1" t="s">
        <v>5670</v>
      </c>
    </row>
    <row r="19457">
      <c r="A19457" s="1" t="s">
        <v>30710</v>
      </c>
      <c r="B19457" s="2" t="s">
        <v>26420</v>
      </c>
      <c r="C19457" s="1" t="s">
        <v>5669</v>
      </c>
      <c r="D19457" s="1" t="s">
        <v>5670</v>
      </c>
    </row>
    <row r="19458">
      <c r="A19458" s="1" t="s">
        <v>30711</v>
      </c>
      <c r="B19458" s="2" t="s">
        <v>26422</v>
      </c>
      <c r="C19458" s="1" t="s">
        <v>5669</v>
      </c>
      <c r="D19458" s="1" t="s">
        <v>5670</v>
      </c>
    </row>
    <row r="19459">
      <c r="A19459" s="1" t="s">
        <v>30712</v>
      </c>
      <c r="B19459" s="2" t="s">
        <v>26424</v>
      </c>
      <c r="C19459" s="1" t="s">
        <v>5669</v>
      </c>
      <c r="D19459" s="1" t="s">
        <v>5670</v>
      </c>
    </row>
    <row r="19460">
      <c r="A19460" s="1" t="s">
        <v>30713</v>
      </c>
      <c r="B19460" s="2" t="s">
        <v>26426</v>
      </c>
      <c r="C19460" s="1" t="s">
        <v>5669</v>
      </c>
      <c r="D19460" s="1" t="s">
        <v>5670</v>
      </c>
    </row>
    <row r="19461">
      <c r="A19461" s="1" t="s">
        <v>30714</v>
      </c>
      <c r="B19461" s="2" t="s">
        <v>26428</v>
      </c>
      <c r="C19461" s="1" t="s">
        <v>5669</v>
      </c>
      <c r="D19461" s="1" t="s">
        <v>5670</v>
      </c>
    </row>
    <row r="19462">
      <c r="A19462" s="1" t="s">
        <v>30715</v>
      </c>
      <c r="B19462" s="2" t="s">
        <v>26430</v>
      </c>
      <c r="C19462" s="1" t="s">
        <v>5669</v>
      </c>
      <c r="D19462" s="1" t="s">
        <v>5670</v>
      </c>
    </row>
    <row r="19463">
      <c r="A19463" s="1" t="s">
        <v>30716</v>
      </c>
      <c r="B19463" s="2" t="s">
        <v>26432</v>
      </c>
      <c r="C19463" s="1" t="s">
        <v>5669</v>
      </c>
      <c r="D19463" s="1" t="s">
        <v>5670</v>
      </c>
    </row>
    <row r="19464">
      <c r="A19464" s="1" t="s">
        <v>30717</v>
      </c>
      <c r="B19464" s="2" t="s">
        <v>26434</v>
      </c>
      <c r="C19464" s="1" t="s">
        <v>5669</v>
      </c>
      <c r="D19464" s="1" t="s">
        <v>5670</v>
      </c>
    </row>
    <row r="19465">
      <c r="A19465" s="1" t="s">
        <v>30718</v>
      </c>
      <c r="B19465" s="2" t="s">
        <v>26436</v>
      </c>
      <c r="C19465" s="1" t="s">
        <v>5669</v>
      </c>
      <c r="D19465" s="1" t="s">
        <v>5670</v>
      </c>
    </row>
    <row r="19466">
      <c r="A19466" s="1" t="s">
        <v>30719</v>
      </c>
      <c r="B19466" s="2" t="s">
        <v>26438</v>
      </c>
      <c r="C19466" s="1" t="s">
        <v>5669</v>
      </c>
      <c r="D19466" s="1" t="s">
        <v>5670</v>
      </c>
    </row>
    <row r="19467">
      <c r="A19467" s="1" t="s">
        <v>30720</v>
      </c>
      <c r="B19467" s="2" t="s">
        <v>26440</v>
      </c>
      <c r="C19467" s="1" t="s">
        <v>5669</v>
      </c>
      <c r="D19467" s="1" t="s">
        <v>5670</v>
      </c>
    </row>
    <row r="19468">
      <c r="A19468" s="1" t="s">
        <v>30721</v>
      </c>
      <c r="B19468" s="2" t="s">
        <v>26442</v>
      </c>
      <c r="C19468" s="1" t="s">
        <v>5669</v>
      </c>
      <c r="D19468" s="1" t="s">
        <v>5670</v>
      </c>
    </row>
    <row r="19469">
      <c r="A19469" s="1" t="s">
        <v>30722</v>
      </c>
      <c r="B19469" s="2" t="s">
        <v>26444</v>
      </c>
      <c r="C19469" s="1" t="s">
        <v>5669</v>
      </c>
      <c r="D19469" s="1" t="s">
        <v>5670</v>
      </c>
    </row>
    <row r="19470">
      <c r="A19470" s="1" t="s">
        <v>30723</v>
      </c>
      <c r="B19470" s="2" t="s">
        <v>26446</v>
      </c>
      <c r="C19470" s="1" t="s">
        <v>5669</v>
      </c>
      <c r="D19470" s="1" t="s">
        <v>5670</v>
      </c>
    </row>
    <row r="19471">
      <c r="A19471" s="1" t="s">
        <v>30724</v>
      </c>
      <c r="B19471" s="2" t="s">
        <v>26448</v>
      </c>
      <c r="C19471" s="1" t="s">
        <v>5669</v>
      </c>
      <c r="D19471" s="1" t="s">
        <v>5670</v>
      </c>
    </row>
    <row r="19472">
      <c r="A19472" s="1" t="s">
        <v>30725</v>
      </c>
      <c r="B19472" s="2" t="s">
        <v>26450</v>
      </c>
      <c r="C19472" s="1" t="s">
        <v>5669</v>
      </c>
      <c r="D19472" s="1" t="s">
        <v>5670</v>
      </c>
    </row>
    <row r="19473">
      <c r="A19473" s="1" t="s">
        <v>30726</v>
      </c>
      <c r="B19473" s="2" t="s">
        <v>26452</v>
      </c>
      <c r="C19473" s="1" t="s">
        <v>5669</v>
      </c>
      <c r="D19473" s="1" t="s">
        <v>5670</v>
      </c>
    </row>
    <row r="19474">
      <c r="A19474" s="1" t="s">
        <v>30727</v>
      </c>
      <c r="B19474" s="2" t="s">
        <v>26454</v>
      </c>
      <c r="C19474" s="1" t="s">
        <v>5669</v>
      </c>
      <c r="D19474" s="1" t="s">
        <v>5670</v>
      </c>
    </row>
    <row r="19475">
      <c r="A19475" s="1" t="s">
        <v>30728</v>
      </c>
      <c r="B19475" s="2" t="s">
        <v>26456</v>
      </c>
      <c r="C19475" s="1" t="s">
        <v>5669</v>
      </c>
      <c r="D19475" s="1" t="s">
        <v>5670</v>
      </c>
    </row>
    <row r="19476">
      <c r="A19476" s="1" t="s">
        <v>30729</v>
      </c>
      <c r="B19476" s="2" t="s">
        <v>26458</v>
      </c>
      <c r="C19476" s="1" t="s">
        <v>5669</v>
      </c>
      <c r="D19476" s="1" t="s">
        <v>5670</v>
      </c>
    </row>
    <row r="19477">
      <c r="A19477" s="1" t="s">
        <v>30730</v>
      </c>
      <c r="B19477" s="2" t="s">
        <v>26460</v>
      </c>
      <c r="C19477" s="1" t="s">
        <v>5669</v>
      </c>
      <c r="D19477" s="1" t="s">
        <v>5670</v>
      </c>
    </row>
    <row r="19478">
      <c r="A19478" s="1" t="s">
        <v>30731</v>
      </c>
      <c r="B19478" s="2" t="s">
        <v>26462</v>
      </c>
      <c r="C19478" s="1" t="s">
        <v>5669</v>
      </c>
      <c r="D19478" s="1" t="s">
        <v>5670</v>
      </c>
    </row>
    <row r="19479">
      <c r="A19479" s="1" t="s">
        <v>30732</v>
      </c>
      <c r="B19479" s="2" t="s">
        <v>26464</v>
      </c>
      <c r="C19479" s="1" t="s">
        <v>5669</v>
      </c>
      <c r="D19479" s="1" t="s">
        <v>5670</v>
      </c>
    </row>
    <row r="19480">
      <c r="A19480" s="1" t="s">
        <v>30733</v>
      </c>
      <c r="B19480" s="2" t="s">
        <v>26466</v>
      </c>
      <c r="C19480" s="1" t="s">
        <v>5669</v>
      </c>
      <c r="D19480" s="1" t="s">
        <v>5670</v>
      </c>
    </row>
    <row r="19481">
      <c r="A19481" s="1" t="s">
        <v>30734</v>
      </c>
      <c r="B19481" s="2" t="s">
        <v>26468</v>
      </c>
      <c r="C19481" s="1" t="s">
        <v>5669</v>
      </c>
      <c r="D19481" s="1" t="s">
        <v>5670</v>
      </c>
    </row>
    <row r="19482">
      <c r="A19482" s="1" t="s">
        <v>30735</v>
      </c>
      <c r="B19482" s="2" t="s">
        <v>26470</v>
      </c>
      <c r="C19482" s="1" t="s">
        <v>5669</v>
      </c>
      <c r="D19482" s="1" t="s">
        <v>5670</v>
      </c>
    </row>
    <row r="19483">
      <c r="A19483" s="1" t="s">
        <v>30736</v>
      </c>
      <c r="B19483" s="2" t="s">
        <v>26472</v>
      </c>
      <c r="C19483" s="1" t="s">
        <v>5669</v>
      </c>
      <c r="D19483" s="1" t="s">
        <v>5670</v>
      </c>
    </row>
    <row r="19484">
      <c r="A19484" s="1" t="s">
        <v>30737</v>
      </c>
      <c r="B19484" s="2" t="s">
        <v>26474</v>
      </c>
      <c r="C19484" s="1" t="s">
        <v>5669</v>
      </c>
      <c r="D19484" s="1" t="s">
        <v>5670</v>
      </c>
    </row>
    <row r="19485">
      <c r="A19485" s="1" t="s">
        <v>30738</v>
      </c>
      <c r="B19485" s="2" t="s">
        <v>26476</v>
      </c>
      <c r="C19485" s="1" t="s">
        <v>5669</v>
      </c>
      <c r="D19485" s="1" t="s">
        <v>5670</v>
      </c>
    </row>
    <row r="19486">
      <c r="A19486" s="1" t="s">
        <v>30739</v>
      </c>
      <c r="B19486" s="2" t="s">
        <v>26478</v>
      </c>
      <c r="C19486" s="1" t="s">
        <v>5669</v>
      </c>
      <c r="D19486" s="1" t="s">
        <v>5670</v>
      </c>
    </row>
    <row r="19487">
      <c r="A19487" s="1" t="s">
        <v>30740</v>
      </c>
      <c r="B19487" s="2" t="s">
        <v>26480</v>
      </c>
      <c r="C19487" s="1" t="s">
        <v>5669</v>
      </c>
      <c r="D19487" s="1" t="s">
        <v>5670</v>
      </c>
    </row>
    <row r="19488">
      <c r="A19488" s="1" t="s">
        <v>30741</v>
      </c>
      <c r="B19488" s="2" t="s">
        <v>26482</v>
      </c>
      <c r="C19488" s="1" t="s">
        <v>5669</v>
      </c>
      <c r="D19488" s="1" t="s">
        <v>5670</v>
      </c>
    </row>
    <row r="19489">
      <c r="A19489" s="1" t="s">
        <v>30742</v>
      </c>
      <c r="B19489" s="2" t="s">
        <v>26484</v>
      </c>
      <c r="C19489" s="1" t="s">
        <v>5669</v>
      </c>
      <c r="D19489" s="1" t="s">
        <v>5670</v>
      </c>
    </row>
    <row r="19490">
      <c r="A19490" s="1" t="s">
        <v>30743</v>
      </c>
      <c r="B19490" s="2" t="s">
        <v>26486</v>
      </c>
      <c r="C19490" s="1" t="s">
        <v>5669</v>
      </c>
      <c r="D19490" s="1" t="s">
        <v>5670</v>
      </c>
    </row>
    <row r="19491">
      <c r="A19491" s="1" t="s">
        <v>30744</v>
      </c>
      <c r="B19491" s="2" t="s">
        <v>26488</v>
      </c>
      <c r="C19491" s="1" t="s">
        <v>5669</v>
      </c>
      <c r="D19491" s="1" t="s">
        <v>5670</v>
      </c>
    </row>
    <row r="19492">
      <c r="A19492" s="1" t="s">
        <v>30745</v>
      </c>
      <c r="B19492" s="2" t="s">
        <v>26490</v>
      </c>
      <c r="C19492" s="1" t="s">
        <v>5669</v>
      </c>
      <c r="D19492" s="1" t="s">
        <v>5670</v>
      </c>
    </row>
    <row r="19493">
      <c r="A19493" s="1" t="s">
        <v>30746</v>
      </c>
      <c r="B19493" s="2" t="s">
        <v>26492</v>
      </c>
      <c r="C19493" s="1" t="s">
        <v>5669</v>
      </c>
      <c r="D19493" s="1" t="s">
        <v>5670</v>
      </c>
    </row>
    <row r="19494">
      <c r="A19494" s="1" t="s">
        <v>30747</v>
      </c>
      <c r="B19494" s="2" t="s">
        <v>26494</v>
      </c>
      <c r="C19494" s="1" t="s">
        <v>5669</v>
      </c>
      <c r="D19494" s="1" t="s">
        <v>5670</v>
      </c>
    </row>
    <row r="19495">
      <c r="A19495" s="1" t="s">
        <v>30748</v>
      </c>
      <c r="B19495" s="2" t="s">
        <v>26496</v>
      </c>
      <c r="C19495" s="1" t="s">
        <v>5669</v>
      </c>
      <c r="D19495" s="1" t="s">
        <v>5670</v>
      </c>
    </row>
    <row r="19496">
      <c r="A19496" s="1" t="s">
        <v>30749</v>
      </c>
      <c r="B19496" s="2" t="s">
        <v>26498</v>
      </c>
      <c r="C19496" s="1" t="s">
        <v>5669</v>
      </c>
      <c r="D19496" s="1" t="s">
        <v>5670</v>
      </c>
    </row>
    <row r="19497">
      <c r="A19497" s="1" t="s">
        <v>30750</v>
      </c>
      <c r="B19497" s="2" t="s">
        <v>26500</v>
      </c>
      <c r="C19497" s="1" t="s">
        <v>5669</v>
      </c>
      <c r="D19497" s="1" t="s">
        <v>5670</v>
      </c>
    </row>
    <row r="19498">
      <c r="A19498" s="1" t="s">
        <v>30751</v>
      </c>
      <c r="B19498" s="2" t="s">
        <v>26502</v>
      </c>
      <c r="C19498" s="1" t="s">
        <v>5669</v>
      </c>
      <c r="D19498" s="1" t="s">
        <v>5670</v>
      </c>
    </row>
    <row r="19499">
      <c r="A19499" s="1" t="s">
        <v>30752</v>
      </c>
      <c r="B19499" s="2" t="s">
        <v>26504</v>
      </c>
      <c r="C19499" s="1" t="s">
        <v>5669</v>
      </c>
      <c r="D19499" s="1" t="s">
        <v>5670</v>
      </c>
    </row>
    <row r="19500">
      <c r="A19500" s="1" t="s">
        <v>30753</v>
      </c>
      <c r="B19500" s="2" t="s">
        <v>26506</v>
      </c>
      <c r="C19500" s="1" t="s">
        <v>5669</v>
      </c>
      <c r="D19500" s="1" t="s">
        <v>5670</v>
      </c>
    </row>
    <row r="19501">
      <c r="A19501" s="1" t="s">
        <v>30754</v>
      </c>
      <c r="B19501" s="2" t="s">
        <v>26508</v>
      </c>
      <c r="C19501" s="1" t="s">
        <v>5669</v>
      </c>
      <c r="D19501" s="1" t="s">
        <v>5670</v>
      </c>
    </row>
    <row r="19502">
      <c r="A19502" s="1" t="s">
        <v>30755</v>
      </c>
      <c r="B19502" s="2" t="s">
        <v>26510</v>
      </c>
      <c r="C19502" s="1" t="s">
        <v>5669</v>
      </c>
      <c r="D19502" s="1" t="s">
        <v>5670</v>
      </c>
    </row>
    <row r="19503">
      <c r="A19503" s="1" t="s">
        <v>30756</v>
      </c>
      <c r="B19503" s="2" t="s">
        <v>26512</v>
      </c>
      <c r="C19503" s="1" t="s">
        <v>5669</v>
      </c>
      <c r="D19503" s="1" t="s">
        <v>5670</v>
      </c>
    </row>
    <row r="19504">
      <c r="A19504" s="1" t="s">
        <v>30757</v>
      </c>
      <c r="B19504" s="2" t="s">
        <v>26514</v>
      </c>
      <c r="C19504" s="1" t="s">
        <v>5669</v>
      </c>
      <c r="D19504" s="1" t="s">
        <v>5670</v>
      </c>
    </row>
    <row r="19505">
      <c r="A19505" s="1" t="s">
        <v>30758</v>
      </c>
      <c r="B19505" s="2" t="s">
        <v>26516</v>
      </c>
      <c r="C19505" s="1" t="s">
        <v>5669</v>
      </c>
      <c r="D19505" s="1" t="s">
        <v>5670</v>
      </c>
    </row>
    <row r="19506">
      <c r="A19506" s="1" t="s">
        <v>30759</v>
      </c>
      <c r="B19506" s="2" t="s">
        <v>26518</v>
      </c>
      <c r="C19506" s="1" t="s">
        <v>5669</v>
      </c>
      <c r="D19506" s="1" t="s">
        <v>5670</v>
      </c>
    </row>
    <row r="19507">
      <c r="A19507" s="1" t="s">
        <v>30760</v>
      </c>
      <c r="B19507" s="2" t="s">
        <v>26520</v>
      </c>
      <c r="C19507" s="1" t="s">
        <v>5669</v>
      </c>
      <c r="D19507" s="1" t="s">
        <v>5670</v>
      </c>
    </row>
    <row r="19508">
      <c r="A19508" s="1" t="s">
        <v>30761</v>
      </c>
      <c r="B19508" s="2" t="s">
        <v>26522</v>
      </c>
      <c r="C19508" s="1" t="s">
        <v>5669</v>
      </c>
      <c r="D19508" s="1" t="s">
        <v>5670</v>
      </c>
    </row>
    <row r="19509">
      <c r="A19509" s="1" t="s">
        <v>30762</v>
      </c>
      <c r="B19509" s="2" t="s">
        <v>26524</v>
      </c>
      <c r="C19509" s="1" t="s">
        <v>5669</v>
      </c>
      <c r="D19509" s="1" t="s">
        <v>5670</v>
      </c>
    </row>
    <row r="19510">
      <c r="A19510" s="1" t="s">
        <v>30763</v>
      </c>
      <c r="B19510" s="2" t="s">
        <v>26526</v>
      </c>
      <c r="C19510" s="1" t="s">
        <v>5669</v>
      </c>
      <c r="D19510" s="1" t="s">
        <v>5670</v>
      </c>
    </row>
    <row r="19511">
      <c r="A19511" s="1" t="s">
        <v>30764</v>
      </c>
      <c r="B19511" s="2" t="s">
        <v>26528</v>
      </c>
      <c r="C19511" s="1" t="s">
        <v>5669</v>
      </c>
      <c r="D19511" s="1" t="s">
        <v>5670</v>
      </c>
    </row>
    <row r="19512">
      <c r="A19512" s="1" t="s">
        <v>30765</v>
      </c>
      <c r="B19512" s="2" t="s">
        <v>26530</v>
      </c>
      <c r="C19512" s="1" t="s">
        <v>5669</v>
      </c>
      <c r="D19512" s="1" t="s">
        <v>5670</v>
      </c>
    </row>
    <row r="19513">
      <c r="A19513" s="1" t="s">
        <v>30766</v>
      </c>
      <c r="B19513" s="2" t="s">
        <v>26532</v>
      </c>
      <c r="C19513" s="1" t="s">
        <v>5669</v>
      </c>
      <c r="D19513" s="1" t="s">
        <v>5670</v>
      </c>
    </row>
    <row r="19514">
      <c r="A19514" s="1" t="s">
        <v>30767</v>
      </c>
      <c r="B19514" s="2" t="s">
        <v>26534</v>
      </c>
      <c r="C19514" s="1" t="s">
        <v>5669</v>
      </c>
      <c r="D19514" s="1" t="s">
        <v>5670</v>
      </c>
    </row>
    <row r="19515">
      <c r="A19515" s="1" t="s">
        <v>30768</v>
      </c>
      <c r="B19515" s="2" t="s">
        <v>26536</v>
      </c>
      <c r="C19515" s="1" t="s">
        <v>5669</v>
      </c>
      <c r="D19515" s="1" t="s">
        <v>5670</v>
      </c>
    </row>
    <row r="19516">
      <c r="A19516" s="1" t="s">
        <v>30769</v>
      </c>
      <c r="B19516" s="2" t="s">
        <v>26538</v>
      </c>
      <c r="C19516" s="1" t="s">
        <v>5669</v>
      </c>
      <c r="D19516" s="1" t="s">
        <v>5670</v>
      </c>
    </row>
    <row r="19517">
      <c r="A19517" s="1" t="s">
        <v>30770</v>
      </c>
      <c r="B19517" s="2" t="s">
        <v>26540</v>
      </c>
      <c r="C19517" s="1" t="s">
        <v>5669</v>
      </c>
      <c r="D19517" s="1" t="s">
        <v>5670</v>
      </c>
    </row>
    <row r="19518">
      <c r="A19518" s="1" t="s">
        <v>30771</v>
      </c>
      <c r="B19518" s="2" t="s">
        <v>26542</v>
      </c>
      <c r="C19518" s="1" t="s">
        <v>5669</v>
      </c>
      <c r="D19518" s="1" t="s">
        <v>5670</v>
      </c>
    </row>
    <row r="19519">
      <c r="A19519" s="1" t="s">
        <v>30772</v>
      </c>
      <c r="B19519" s="2" t="s">
        <v>26544</v>
      </c>
      <c r="C19519" s="1" t="s">
        <v>5669</v>
      </c>
      <c r="D19519" s="1" t="s">
        <v>5670</v>
      </c>
    </row>
    <row r="19520">
      <c r="A19520" s="1" t="s">
        <v>30773</v>
      </c>
      <c r="B19520" s="2" t="s">
        <v>26546</v>
      </c>
      <c r="C19520" s="1" t="s">
        <v>5669</v>
      </c>
      <c r="D19520" s="1" t="s">
        <v>5670</v>
      </c>
    </row>
    <row r="19521">
      <c r="A19521" s="1" t="s">
        <v>30774</v>
      </c>
      <c r="B19521" s="2" t="s">
        <v>26548</v>
      </c>
      <c r="C19521" s="1" t="s">
        <v>5669</v>
      </c>
      <c r="D19521" s="1" t="s">
        <v>5670</v>
      </c>
    </row>
    <row r="19522">
      <c r="A19522" s="1" t="s">
        <v>30775</v>
      </c>
      <c r="B19522" s="2" t="s">
        <v>26550</v>
      </c>
      <c r="C19522" s="1" t="s">
        <v>5669</v>
      </c>
      <c r="D19522" s="1" t="s">
        <v>5670</v>
      </c>
    </row>
    <row r="19523">
      <c r="A19523" s="1" t="s">
        <v>30776</v>
      </c>
      <c r="B19523" s="2" t="s">
        <v>26552</v>
      </c>
      <c r="C19523" s="1" t="s">
        <v>5669</v>
      </c>
      <c r="D19523" s="1" t="s">
        <v>5670</v>
      </c>
    </row>
    <row r="19524">
      <c r="A19524" s="1" t="s">
        <v>30777</v>
      </c>
      <c r="B19524" s="2" t="s">
        <v>26554</v>
      </c>
      <c r="C19524" s="1" t="s">
        <v>5669</v>
      </c>
      <c r="D19524" s="1" t="s">
        <v>5670</v>
      </c>
    </row>
    <row r="19525">
      <c r="A19525" s="1" t="s">
        <v>30778</v>
      </c>
      <c r="B19525" s="2" t="s">
        <v>26556</v>
      </c>
      <c r="C19525" s="1" t="s">
        <v>5669</v>
      </c>
      <c r="D19525" s="1" t="s">
        <v>5670</v>
      </c>
    </row>
    <row r="19526">
      <c r="A19526" s="1" t="s">
        <v>30779</v>
      </c>
      <c r="B19526" s="2" t="s">
        <v>26558</v>
      </c>
      <c r="C19526" s="1" t="s">
        <v>5669</v>
      </c>
      <c r="D19526" s="1" t="s">
        <v>5670</v>
      </c>
    </row>
    <row r="19527">
      <c r="A19527" s="1" t="s">
        <v>30780</v>
      </c>
      <c r="B19527" s="2" t="s">
        <v>26560</v>
      </c>
      <c r="C19527" s="1" t="s">
        <v>5669</v>
      </c>
      <c r="D19527" s="1" t="s">
        <v>5670</v>
      </c>
    </row>
    <row r="19528">
      <c r="A19528" s="1" t="s">
        <v>30781</v>
      </c>
      <c r="B19528" s="2" t="s">
        <v>26562</v>
      </c>
      <c r="C19528" s="1" t="s">
        <v>5669</v>
      </c>
      <c r="D19528" s="1" t="s">
        <v>5670</v>
      </c>
    </row>
    <row r="19529">
      <c r="A19529" s="1" t="s">
        <v>30782</v>
      </c>
      <c r="B19529" s="2" t="s">
        <v>26564</v>
      </c>
      <c r="C19529" s="1" t="s">
        <v>5669</v>
      </c>
      <c r="D19529" s="1" t="s">
        <v>5670</v>
      </c>
    </row>
    <row r="19530">
      <c r="A19530" s="1" t="s">
        <v>30783</v>
      </c>
      <c r="B19530" s="2" t="s">
        <v>26566</v>
      </c>
      <c r="C19530" s="1" t="s">
        <v>5669</v>
      </c>
      <c r="D19530" s="1" t="s">
        <v>5670</v>
      </c>
    </row>
    <row r="19531">
      <c r="A19531" s="1" t="s">
        <v>30784</v>
      </c>
      <c r="B19531" s="2" t="s">
        <v>26568</v>
      </c>
      <c r="C19531" s="1" t="s">
        <v>5669</v>
      </c>
      <c r="D19531" s="1" t="s">
        <v>5670</v>
      </c>
    </row>
    <row r="19532">
      <c r="A19532" s="1" t="s">
        <v>30785</v>
      </c>
      <c r="B19532" s="2" t="s">
        <v>26570</v>
      </c>
      <c r="C19532" s="1" t="s">
        <v>5669</v>
      </c>
      <c r="D19532" s="1" t="s">
        <v>5670</v>
      </c>
    </row>
    <row r="19533">
      <c r="A19533" s="1" t="s">
        <v>30786</v>
      </c>
      <c r="B19533" s="2" t="s">
        <v>26572</v>
      </c>
      <c r="C19533" s="1" t="s">
        <v>5669</v>
      </c>
      <c r="D19533" s="1" t="s">
        <v>5670</v>
      </c>
    </row>
    <row r="19534">
      <c r="A19534" s="1" t="s">
        <v>30787</v>
      </c>
      <c r="B19534" s="2" t="s">
        <v>26574</v>
      </c>
      <c r="C19534" s="1" t="s">
        <v>5669</v>
      </c>
      <c r="D19534" s="1" t="s">
        <v>5670</v>
      </c>
    </row>
    <row r="19535">
      <c r="A19535" s="1" t="s">
        <v>30788</v>
      </c>
      <c r="B19535" s="2" t="s">
        <v>26576</v>
      </c>
      <c r="C19535" s="1" t="s">
        <v>5669</v>
      </c>
      <c r="D19535" s="1" t="s">
        <v>5670</v>
      </c>
    </row>
    <row r="19536">
      <c r="A19536" s="1" t="s">
        <v>30789</v>
      </c>
      <c r="B19536" s="2" t="s">
        <v>26578</v>
      </c>
      <c r="C19536" s="1" t="s">
        <v>5669</v>
      </c>
      <c r="D19536" s="1" t="s">
        <v>5670</v>
      </c>
    </row>
    <row r="19537">
      <c r="A19537" s="1" t="s">
        <v>30790</v>
      </c>
      <c r="B19537" s="2" t="s">
        <v>26580</v>
      </c>
      <c r="C19537" s="1" t="s">
        <v>5669</v>
      </c>
      <c r="D19537" s="1" t="s">
        <v>5670</v>
      </c>
    </row>
    <row r="19538">
      <c r="A19538" s="1" t="s">
        <v>30791</v>
      </c>
      <c r="B19538" s="2" t="s">
        <v>26582</v>
      </c>
      <c r="C19538" s="1" t="s">
        <v>5669</v>
      </c>
      <c r="D19538" s="1" t="s">
        <v>5670</v>
      </c>
    </row>
    <row r="19539">
      <c r="A19539" s="1" t="s">
        <v>30792</v>
      </c>
      <c r="B19539" s="2" t="s">
        <v>26584</v>
      </c>
      <c r="C19539" s="1" t="s">
        <v>5669</v>
      </c>
      <c r="D19539" s="1" t="s">
        <v>5670</v>
      </c>
    </row>
    <row r="19540">
      <c r="A19540" s="1" t="s">
        <v>30793</v>
      </c>
      <c r="B19540" s="2" t="s">
        <v>26586</v>
      </c>
      <c r="C19540" s="1" t="s">
        <v>5669</v>
      </c>
      <c r="D19540" s="1" t="s">
        <v>5670</v>
      </c>
    </row>
    <row r="19541">
      <c r="A19541" s="1" t="s">
        <v>30794</v>
      </c>
      <c r="B19541" s="2" t="s">
        <v>26588</v>
      </c>
      <c r="C19541" s="1" t="s">
        <v>5669</v>
      </c>
      <c r="D19541" s="1" t="s">
        <v>5670</v>
      </c>
    </row>
    <row r="19542">
      <c r="A19542" s="1" t="s">
        <v>30795</v>
      </c>
      <c r="B19542" s="2" t="s">
        <v>26590</v>
      </c>
      <c r="C19542" s="1" t="s">
        <v>5669</v>
      </c>
      <c r="D19542" s="1" t="s">
        <v>5670</v>
      </c>
    </row>
    <row r="19543">
      <c r="A19543" s="1" t="s">
        <v>30796</v>
      </c>
      <c r="B19543" s="2" t="s">
        <v>26592</v>
      </c>
      <c r="C19543" s="1" t="s">
        <v>5669</v>
      </c>
      <c r="D19543" s="1" t="s">
        <v>5670</v>
      </c>
    </row>
    <row r="19544">
      <c r="A19544" s="1" t="s">
        <v>30797</v>
      </c>
      <c r="B19544" s="2" t="s">
        <v>26594</v>
      </c>
      <c r="C19544" s="1" t="s">
        <v>5669</v>
      </c>
      <c r="D19544" s="1" t="s">
        <v>5670</v>
      </c>
    </row>
    <row r="19545">
      <c r="A19545" s="1" t="s">
        <v>30798</v>
      </c>
      <c r="B19545" s="2" t="s">
        <v>26596</v>
      </c>
      <c r="C19545" s="1" t="s">
        <v>5669</v>
      </c>
      <c r="D19545" s="1" t="s">
        <v>5670</v>
      </c>
    </row>
    <row r="19546">
      <c r="A19546" s="1" t="s">
        <v>30799</v>
      </c>
      <c r="B19546" s="2" t="s">
        <v>26598</v>
      </c>
      <c r="C19546" s="1" t="s">
        <v>5669</v>
      </c>
      <c r="D19546" s="1" t="s">
        <v>5670</v>
      </c>
    </row>
    <row r="19547">
      <c r="A19547" s="1" t="s">
        <v>30800</v>
      </c>
      <c r="B19547" s="2" t="s">
        <v>26600</v>
      </c>
      <c r="C19547" s="1" t="s">
        <v>5669</v>
      </c>
      <c r="D19547" s="1" t="s">
        <v>5670</v>
      </c>
    </row>
    <row r="19548">
      <c r="A19548" s="1" t="s">
        <v>30801</v>
      </c>
      <c r="B19548" s="2" t="s">
        <v>26602</v>
      </c>
      <c r="C19548" s="1" t="s">
        <v>5669</v>
      </c>
      <c r="D19548" s="1" t="s">
        <v>5670</v>
      </c>
    </row>
    <row r="19549">
      <c r="A19549" s="1" t="s">
        <v>30802</v>
      </c>
      <c r="B19549" s="2" t="s">
        <v>26604</v>
      </c>
      <c r="C19549" s="1" t="s">
        <v>5669</v>
      </c>
      <c r="D19549" s="1" t="s">
        <v>5670</v>
      </c>
    </row>
    <row r="19550">
      <c r="A19550" s="1" t="s">
        <v>30803</v>
      </c>
      <c r="B19550" s="2" t="s">
        <v>26606</v>
      </c>
      <c r="C19550" s="1" t="s">
        <v>5669</v>
      </c>
      <c r="D19550" s="1" t="s">
        <v>5670</v>
      </c>
    </row>
    <row r="19551">
      <c r="A19551" s="1" t="s">
        <v>30804</v>
      </c>
      <c r="B19551" s="2" t="s">
        <v>26608</v>
      </c>
      <c r="C19551" s="1" t="s">
        <v>5669</v>
      </c>
      <c r="D19551" s="1" t="s">
        <v>5670</v>
      </c>
    </row>
    <row r="19552">
      <c r="A19552" s="1" t="s">
        <v>30805</v>
      </c>
      <c r="B19552" s="2" t="s">
        <v>26610</v>
      </c>
      <c r="C19552" s="1" t="s">
        <v>5669</v>
      </c>
      <c r="D19552" s="1" t="s">
        <v>5670</v>
      </c>
    </row>
    <row r="19553">
      <c r="A19553" s="1" t="s">
        <v>30806</v>
      </c>
      <c r="B19553" s="2" t="s">
        <v>26612</v>
      </c>
      <c r="C19553" s="1" t="s">
        <v>5669</v>
      </c>
      <c r="D19553" s="1" t="s">
        <v>5670</v>
      </c>
    </row>
    <row r="19554">
      <c r="A19554" s="1" t="s">
        <v>30807</v>
      </c>
      <c r="B19554" s="2" t="s">
        <v>26614</v>
      </c>
      <c r="C19554" s="1" t="s">
        <v>5669</v>
      </c>
      <c r="D19554" s="1" t="s">
        <v>5670</v>
      </c>
    </row>
    <row r="19555">
      <c r="A19555" s="1" t="s">
        <v>30808</v>
      </c>
      <c r="B19555" s="2" t="s">
        <v>26616</v>
      </c>
      <c r="C19555" s="1" t="s">
        <v>5669</v>
      </c>
      <c r="D19555" s="1" t="s">
        <v>5670</v>
      </c>
    </row>
    <row r="19556">
      <c r="A19556" s="1" t="s">
        <v>30809</v>
      </c>
      <c r="B19556" s="2" t="s">
        <v>26618</v>
      </c>
      <c r="C19556" s="1" t="s">
        <v>5669</v>
      </c>
      <c r="D19556" s="1" t="s">
        <v>5670</v>
      </c>
    </row>
    <row r="19557">
      <c r="A19557" s="1" t="s">
        <v>30810</v>
      </c>
      <c r="B19557" s="2" t="s">
        <v>26620</v>
      </c>
      <c r="C19557" s="1" t="s">
        <v>5669</v>
      </c>
      <c r="D19557" s="1" t="s">
        <v>5670</v>
      </c>
    </row>
    <row r="19558">
      <c r="A19558" s="1" t="s">
        <v>30811</v>
      </c>
      <c r="B19558" s="2" t="s">
        <v>26622</v>
      </c>
      <c r="C19558" s="1" t="s">
        <v>5669</v>
      </c>
      <c r="D19558" s="1" t="s">
        <v>5670</v>
      </c>
    </row>
    <row r="19559">
      <c r="A19559" s="1" t="s">
        <v>30812</v>
      </c>
      <c r="B19559" s="2" t="s">
        <v>26624</v>
      </c>
      <c r="C19559" s="1" t="s">
        <v>5669</v>
      </c>
      <c r="D19559" s="1" t="s">
        <v>5670</v>
      </c>
    </row>
    <row r="19560">
      <c r="A19560" s="1" t="s">
        <v>30813</v>
      </c>
      <c r="B19560" s="2" t="s">
        <v>26626</v>
      </c>
      <c r="C19560" s="1" t="s">
        <v>5669</v>
      </c>
      <c r="D19560" s="1" t="s">
        <v>5670</v>
      </c>
    </row>
    <row r="19561">
      <c r="A19561" s="1" t="s">
        <v>30814</v>
      </c>
      <c r="B19561" s="2" t="s">
        <v>26628</v>
      </c>
      <c r="C19561" s="1" t="s">
        <v>5669</v>
      </c>
      <c r="D19561" s="1" t="s">
        <v>5670</v>
      </c>
    </row>
    <row r="19562">
      <c r="A19562" s="1" t="s">
        <v>30815</v>
      </c>
      <c r="B19562" s="2" t="s">
        <v>26630</v>
      </c>
      <c r="C19562" s="1" t="s">
        <v>5669</v>
      </c>
      <c r="D19562" s="1" t="s">
        <v>5670</v>
      </c>
    </row>
    <row r="19563">
      <c r="A19563" s="1" t="s">
        <v>30816</v>
      </c>
      <c r="B19563" s="2" t="s">
        <v>26632</v>
      </c>
      <c r="C19563" s="1" t="s">
        <v>5669</v>
      </c>
      <c r="D19563" s="1" t="s">
        <v>5670</v>
      </c>
    </row>
    <row r="19564">
      <c r="A19564" s="1" t="s">
        <v>30817</v>
      </c>
      <c r="B19564" s="2" t="s">
        <v>26634</v>
      </c>
      <c r="C19564" s="1" t="s">
        <v>5669</v>
      </c>
      <c r="D19564" s="1" t="s">
        <v>5670</v>
      </c>
    </row>
    <row r="19565">
      <c r="A19565" s="1" t="s">
        <v>30818</v>
      </c>
      <c r="B19565" s="2" t="s">
        <v>26636</v>
      </c>
      <c r="C19565" s="1" t="s">
        <v>5669</v>
      </c>
      <c r="D19565" s="1" t="s">
        <v>5670</v>
      </c>
    </row>
    <row r="19566">
      <c r="A19566" s="1" t="s">
        <v>30819</v>
      </c>
      <c r="B19566" s="2" t="s">
        <v>26638</v>
      </c>
      <c r="C19566" s="1" t="s">
        <v>5669</v>
      </c>
      <c r="D19566" s="1" t="s">
        <v>5670</v>
      </c>
    </row>
    <row r="19567">
      <c r="A19567" s="1" t="s">
        <v>30820</v>
      </c>
      <c r="B19567" s="2" t="s">
        <v>26640</v>
      </c>
      <c r="C19567" s="1" t="s">
        <v>5669</v>
      </c>
      <c r="D19567" s="1" t="s">
        <v>5670</v>
      </c>
    </row>
    <row r="19568">
      <c r="A19568" s="1" t="s">
        <v>30821</v>
      </c>
      <c r="B19568" s="2" t="s">
        <v>26642</v>
      </c>
      <c r="C19568" s="1" t="s">
        <v>5669</v>
      </c>
      <c r="D19568" s="1" t="s">
        <v>5670</v>
      </c>
    </row>
    <row r="19569">
      <c r="A19569" s="1" t="s">
        <v>30822</v>
      </c>
      <c r="B19569" s="2" t="s">
        <v>26644</v>
      </c>
      <c r="C19569" s="1" t="s">
        <v>5669</v>
      </c>
      <c r="D19569" s="1" t="s">
        <v>5670</v>
      </c>
    </row>
    <row r="19570">
      <c r="A19570" s="1" t="s">
        <v>30823</v>
      </c>
      <c r="B19570" s="2" t="s">
        <v>26646</v>
      </c>
      <c r="C19570" s="1" t="s">
        <v>5669</v>
      </c>
      <c r="D19570" s="1" t="s">
        <v>5670</v>
      </c>
    </row>
    <row r="19571">
      <c r="A19571" s="1" t="s">
        <v>30824</v>
      </c>
      <c r="B19571" s="2" t="s">
        <v>26648</v>
      </c>
      <c r="C19571" s="1" t="s">
        <v>5669</v>
      </c>
      <c r="D19571" s="1" t="s">
        <v>5670</v>
      </c>
    </row>
    <row r="19572">
      <c r="A19572" s="1" t="s">
        <v>30825</v>
      </c>
      <c r="B19572" s="2" t="s">
        <v>26650</v>
      </c>
      <c r="C19572" s="1" t="s">
        <v>5669</v>
      </c>
      <c r="D19572" s="1" t="s">
        <v>5670</v>
      </c>
    </row>
    <row r="19573">
      <c r="A19573" s="1" t="s">
        <v>30826</v>
      </c>
      <c r="B19573" s="2" t="s">
        <v>26652</v>
      </c>
      <c r="C19573" s="1" t="s">
        <v>5669</v>
      </c>
      <c r="D19573" s="1" t="s">
        <v>5670</v>
      </c>
    </row>
    <row r="19574">
      <c r="A19574" s="1" t="s">
        <v>30827</v>
      </c>
      <c r="B19574" s="2" t="s">
        <v>26654</v>
      </c>
      <c r="C19574" s="1" t="s">
        <v>5669</v>
      </c>
      <c r="D19574" s="1" t="s">
        <v>5670</v>
      </c>
    </row>
    <row r="19575">
      <c r="A19575" s="1" t="s">
        <v>30828</v>
      </c>
      <c r="B19575" s="2" t="s">
        <v>26656</v>
      </c>
      <c r="C19575" s="1" t="s">
        <v>5669</v>
      </c>
      <c r="D19575" s="1" t="s">
        <v>5670</v>
      </c>
    </row>
    <row r="19576">
      <c r="A19576" s="1" t="s">
        <v>30829</v>
      </c>
      <c r="B19576" s="2" t="s">
        <v>26658</v>
      </c>
      <c r="C19576" s="1" t="s">
        <v>5669</v>
      </c>
      <c r="D19576" s="1" t="s">
        <v>5670</v>
      </c>
    </row>
    <row r="19577">
      <c r="A19577" s="1" t="s">
        <v>30830</v>
      </c>
      <c r="B19577" s="2" t="s">
        <v>26660</v>
      </c>
      <c r="C19577" s="1" t="s">
        <v>5669</v>
      </c>
      <c r="D19577" s="1" t="s">
        <v>5670</v>
      </c>
    </row>
    <row r="19578">
      <c r="A19578" s="1" t="s">
        <v>30831</v>
      </c>
      <c r="B19578" s="2" t="s">
        <v>26662</v>
      </c>
      <c r="C19578" s="1" t="s">
        <v>5669</v>
      </c>
      <c r="D19578" s="1" t="s">
        <v>5670</v>
      </c>
    </row>
    <row r="19579">
      <c r="A19579" s="1" t="s">
        <v>30832</v>
      </c>
      <c r="B19579" s="2" t="s">
        <v>26664</v>
      </c>
      <c r="C19579" s="1" t="s">
        <v>5669</v>
      </c>
      <c r="D19579" s="1" t="s">
        <v>5670</v>
      </c>
    </row>
    <row r="19580">
      <c r="A19580" s="1" t="s">
        <v>30833</v>
      </c>
      <c r="B19580" s="2" t="s">
        <v>26666</v>
      </c>
      <c r="C19580" s="1" t="s">
        <v>5669</v>
      </c>
      <c r="D19580" s="1" t="s">
        <v>5670</v>
      </c>
    </row>
    <row r="19581">
      <c r="A19581" s="1" t="s">
        <v>30834</v>
      </c>
      <c r="B19581" s="2" t="s">
        <v>26668</v>
      </c>
      <c r="C19581" s="1" t="s">
        <v>5669</v>
      </c>
      <c r="D19581" s="1" t="s">
        <v>5670</v>
      </c>
    </row>
    <row r="19582">
      <c r="A19582" s="1" t="s">
        <v>30835</v>
      </c>
      <c r="B19582" s="2" t="s">
        <v>26670</v>
      </c>
      <c r="C19582" s="1" t="s">
        <v>5669</v>
      </c>
      <c r="D19582" s="1" t="s">
        <v>5670</v>
      </c>
    </row>
    <row r="19583">
      <c r="A19583" s="1" t="s">
        <v>30836</v>
      </c>
      <c r="B19583" s="2" t="s">
        <v>26672</v>
      </c>
      <c r="C19583" s="1" t="s">
        <v>5669</v>
      </c>
      <c r="D19583" s="1" t="s">
        <v>5670</v>
      </c>
    </row>
    <row r="19584">
      <c r="A19584" s="1" t="s">
        <v>30837</v>
      </c>
      <c r="B19584" s="2" t="s">
        <v>26674</v>
      </c>
      <c r="C19584" s="1" t="s">
        <v>5669</v>
      </c>
      <c r="D19584" s="1" t="s">
        <v>5670</v>
      </c>
    </row>
    <row r="19585">
      <c r="A19585" s="1" t="s">
        <v>30838</v>
      </c>
      <c r="B19585" s="2" t="s">
        <v>26676</v>
      </c>
      <c r="C19585" s="1" t="s">
        <v>5669</v>
      </c>
      <c r="D19585" s="1" t="s">
        <v>5670</v>
      </c>
    </row>
    <row r="19586">
      <c r="A19586" s="1" t="s">
        <v>30839</v>
      </c>
      <c r="B19586" s="2" t="s">
        <v>26678</v>
      </c>
      <c r="C19586" s="1" t="s">
        <v>5669</v>
      </c>
      <c r="D19586" s="1" t="s">
        <v>5670</v>
      </c>
    </row>
    <row r="19587">
      <c r="A19587" s="1" t="s">
        <v>30840</v>
      </c>
      <c r="B19587" s="2" t="s">
        <v>26680</v>
      </c>
      <c r="C19587" s="1" t="s">
        <v>5669</v>
      </c>
      <c r="D19587" s="1" t="s">
        <v>5670</v>
      </c>
    </row>
    <row r="19588">
      <c r="A19588" s="1" t="s">
        <v>30841</v>
      </c>
      <c r="B19588" s="2" t="s">
        <v>26682</v>
      </c>
      <c r="C19588" s="1" t="s">
        <v>5669</v>
      </c>
      <c r="D19588" s="1" t="s">
        <v>5670</v>
      </c>
    </row>
    <row r="19589">
      <c r="A19589" s="1" t="s">
        <v>30842</v>
      </c>
      <c r="B19589" s="2" t="s">
        <v>26684</v>
      </c>
      <c r="C19589" s="1" t="s">
        <v>5669</v>
      </c>
      <c r="D19589" s="1" t="s">
        <v>5670</v>
      </c>
    </row>
    <row r="19590">
      <c r="A19590" s="1" t="s">
        <v>30843</v>
      </c>
      <c r="B19590" s="2" t="s">
        <v>26686</v>
      </c>
      <c r="C19590" s="1" t="s">
        <v>5669</v>
      </c>
      <c r="D19590" s="1" t="s">
        <v>5670</v>
      </c>
    </row>
    <row r="19591">
      <c r="A19591" s="1" t="s">
        <v>30844</v>
      </c>
      <c r="B19591" s="2" t="s">
        <v>26688</v>
      </c>
      <c r="C19591" s="1" t="s">
        <v>5669</v>
      </c>
      <c r="D19591" s="1" t="s">
        <v>5670</v>
      </c>
    </row>
    <row r="19592">
      <c r="A19592" s="1" t="s">
        <v>30845</v>
      </c>
      <c r="B19592" s="2" t="s">
        <v>26690</v>
      </c>
      <c r="C19592" s="1" t="s">
        <v>5669</v>
      </c>
      <c r="D19592" s="1" t="s">
        <v>5670</v>
      </c>
    </row>
    <row r="19593">
      <c r="A19593" s="1" t="s">
        <v>30846</v>
      </c>
      <c r="B19593" s="2" t="s">
        <v>26692</v>
      </c>
      <c r="C19593" s="1" t="s">
        <v>5669</v>
      </c>
      <c r="D19593" s="1" t="s">
        <v>5670</v>
      </c>
    </row>
    <row r="19594">
      <c r="A19594" s="1" t="s">
        <v>30847</v>
      </c>
      <c r="B19594" s="2" t="s">
        <v>26694</v>
      </c>
      <c r="C19594" s="1" t="s">
        <v>5669</v>
      </c>
      <c r="D19594" s="1" t="s">
        <v>5670</v>
      </c>
    </row>
    <row r="19595">
      <c r="A19595" s="1" t="s">
        <v>30848</v>
      </c>
      <c r="B19595" s="2" t="s">
        <v>26696</v>
      </c>
      <c r="C19595" s="1" t="s">
        <v>5669</v>
      </c>
      <c r="D19595" s="1" t="s">
        <v>5670</v>
      </c>
    </row>
    <row r="19596">
      <c r="A19596" s="1" t="s">
        <v>30849</v>
      </c>
      <c r="B19596" s="2" t="s">
        <v>26698</v>
      </c>
      <c r="C19596" s="1" t="s">
        <v>5669</v>
      </c>
      <c r="D19596" s="1" t="s">
        <v>5670</v>
      </c>
    </row>
    <row r="19597">
      <c r="A19597" s="1" t="s">
        <v>30850</v>
      </c>
      <c r="B19597" s="2" t="s">
        <v>26700</v>
      </c>
      <c r="C19597" s="1" t="s">
        <v>5669</v>
      </c>
      <c r="D19597" s="1" t="s">
        <v>5670</v>
      </c>
    </row>
    <row r="19598">
      <c r="A19598" s="1" t="s">
        <v>30851</v>
      </c>
      <c r="B19598" s="2" t="s">
        <v>26702</v>
      </c>
      <c r="C19598" s="1" t="s">
        <v>5669</v>
      </c>
      <c r="D19598" s="1" t="s">
        <v>5670</v>
      </c>
    </row>
    <row r="19599">
      <c r="A19599" s="1" t="s">
        <v>30852</v>
      </c>
      <c r="B19599" s="2" t="s">
        <v>26704</v>
      </c>
      <c r="C19599" s="1" t="s">
        <v>5669</v>
      </c>
      <c r="D19599" s="1" t="s">
        <v>5670</v>
      </c>
    </row>
    <row r="19600">
      <c r="A19600" s="1" t="s">
        <v>30853</v>
      </c>
      <c r="B19600" s="2" t="s">
        <v>26706</v>
      </c>
      <c r="C19600" s="1" t="s">
        <v>5669</v>
      </c>
      <c r="D19600" s="1" t="s">
        <v>5670</v>
      </c>
    </row>
    <row r="19601">
      <c r="A19601" s="1" t="s">
        <v>30854</v>
      </c>
      <c r="B19601" s="2" t="s">
        <v>26708</v>
      </c>
      <c r="C19601" s="1" t="s">
        <v>5669</v>
      </c>
      <c r="D19601" s="1" t="s">
        <v>5670</v>
      </c>
    </row>
    <row r="19602">
      <c r="A19602" s="1" t="s">
        <v>30855</v>
      </c>
      <c r="B19602" s="2" t="s">
        <v>26710</v>
      </c>
      <c r="C19602" s="1" t="s">
        <v>5669</v>
      </c>
      <c r="D19602" s="1" t="s">
        <v>5670</v>
      </c>
    </row>
    <row r="19603">
      <c r="A19603" s="1" t="s">
        <v>30856</v>
      </c>
      <c r="B19603" s="2" t="s">
        <v>26712</v>
      </c>
      <c r="C19603" s="1" t="s">
        <v>5669</v>
      </c>
      <c r="D19603" s="1" t="s">
        <v>5670</v>
      </c>
    </row>
    <row r="19604">
      <c r="A19604" s="1" t="s">
        <v>30857</v>
      </c>
      <c r="B19604" s="2" t="s">
        <v>26714</v>
      </c>
      <c r="C19604" s="1" t="s">
        <v>5669</v>
      </c>
      <c r="D19604" s="1" t="s">
        <v>5670</v>
      </c>
    </row>
    <row r="19605">
      <c r="A19605" s="1" t="s">
        <v>30858</v>
      </c>
      <c r="B19605" s="2" t="s">
        <v>26716</v>
      </c>
      <c r="C19605" s="1" t="s">
        <v>5669</v>
      </c>
      <c r="D19605" s="1" t="s">
        <v>5670</v>
      </c>
    </row>
    <row r="19606">
      <c r="A19606" s="1" t="s">
        <v>30859</v>
      </c>
      <c r="B19606" s="2" t="s">
        <v>26718</v>
      </c>
      <c r="C19606" s="1" t="s">
        <v>5669</v>
      </c>
      <c r="D19606" s="1" t="s">
        <v>5670</v>
      </c>
    </row>
    <row r="19607">
      <c r="A19607" s="1" t="s">
        <v>30860</v>
      </c>
      <c r="B19607" s="2" t="s">
        <v>26720</v>
      </c>
      <c r="C19607" s="1" t="s">
        <v>5669</v>
      </c>
      <c r="D19607" s="1" t="s">
        <v>5670</v>
      </c>
    </row>
    <row r="19608">
      <c r="A19608" s="1" t="s">
        <v>30861</v>
      </c>
      <c r="B19608" s="2" t="s">
        <v>26722</v>
      </c>
      <c r="C19608" s="1" t="s">
        <v>5669</v>
      </c>
      <c r="D19608" s="1" t="s">
        <v>5670</v>
      </c>
    </row>
    <row r="19609">
      <c r="A19609" s="1" t="s">
        <v>30862</v>
      </c>
      <c r="B19609" s="2" t="s">
        <v>26724</v>
      </c>
      <c r="C19609" s="1" t="s">
        <v>5669</v>
      </c>
      <c r="D19609" s="1" t="s">
        <v>5670</v>
      </c>
    </row>
    <row r="19610">
      <c r="A19610" s="1" t="s">
        <v>30863</v>
      </c>
      <c r="B19610" s="2" t="s">
        <v>26726</v>
      </c>
      <c r="C19610" s="1" t="s">
        <v>5669</v>
      </c>
      <c r="D19610" s="1" t="s">
        <v>5670</v>
      </c>
    </row>
    <row r="19611">
      <c r="A19611" s="1" t="s">
        <v>30864</v>
      </c>
      <c r="B19611" s="2" t="s">
        <v>26728</v>
      </c>
      <c r="C19611" s="1" t="s">
        <v>5669</v>
      </c>
      <c r="D19611" s="1" t="s">
        <v>5670</v>
      </c>
    </row>
    <row r="19612">
      <c r="A19612" s="1" t="s">
        <v>30865</v>
      </c>
      <c r="B19612" s="2" t="s">
        <v>26730</v>
      </c>
      <c r="C19612" s="1" t="s">
        <v>5669</v>
      </c>
      <c r="D19612" s="1" t="s">
        <v>5670</v>
      </c>
    </row>
    <row r="19613">
      <c r="A19613" s="1" t="s">
        <v>30866</v>
      </c>
      <c r="B19613" s="2" t="s">
        <v>26732</v>
      </c>
      <c r="C19613" s="1" t="s">
        <v>5669</v>
      </c>
      <c r="D19613" s="1" t="s">
        <v>5670</v>
      </c>
    </row>
    <row r="19614">
      <c r="A19614" s="1" t="s">
        <v>30867</v>
      </c>
      <c r="B19614" s="2" t="s">
        <v>26734</v>
      </c>
      <c r="C19614" s="1" t="s">
        <v>5669</v>
      </c>
      <c r="D19614" s="1" t="s">
        <v>5670</v>
      </c>
    </row>
    <row r="19615">
      <c r="A19615" s="1" t="s">
        <v>30868</v>
      </c>
      <c r="B19615" s="2" t="s">
        <v>26736</v>
      </c>
      <c r="C19615" s="1" t="s">
        <v>5669</v>
      </c>
      <c r="D19615" s="1" t="s">
        <v>5670</v>
      </c>
    </row>
    <row r="19616">
      <c r="A19616" s="1" t="s">
        <v>30869</v>
      </c>
      <c r="B19616" s="2" t="s">
        <v>26738</v>
      </c>
      <c r="C19616" s="1" t="s">
        <v>5669</v>
      </c>
      <c r="D19616" s="1" t="s">
        <v>5670</v>
      </c>
    </row>
    <row r="19617">
      <c r="A19617" s="1" t="s">
        <v>30870</v>
      </c>
      <c r="B19617" s="2" t="s">
        <v>26740</v>
      </c>
      <c r="C19617" s="1" t="s">
        <v>5669</v>
      </c>
      <c r="D19617" s="1" t="s">
        <v>5670</v>
      </c>
    </row>
    <row r="19618">
      <c r="A19618" s="1" t="s">
        <v>30871</v>
      </c>
      <c r="B19618" s="2" t="s">
        <v>26742</v>
      </c>
      <c r="C19618" s="1" t="s">
        <v>5669</v>
      </c>
      <c r="D19618" s="1" t="s">
        <v>5670</v>
      </c>
    </row>
    <row r="19619">
      <c r="A19619" s="1" t="s">
        <v>30872</v>
      </c>
      <c r="B19619" s="2" t="s">
        <v>26744</v>
      </c>
      <c r="C19619" s="1" t="s">
        <v>5669</v>
      </c>
      <c r="D19619" s="1" t="s">
        <v>5670</v>
      </c>
    </row>
    <row r="19620">
      <c r="A19620" s="1" t="s">
        <v>30873</v>
      </c>
      <c r="B19620" s="2" t="s">
        <v>26746</v>
      </c>
      <c r="C19620" s="1" t="s">
        <v>5669</v>
      </c>
      <c r="D19620" s="1" t="s">
        <v>5670</v>
      </c>
    </row>
    <row r="19621">
      <c r="A19621" s="1" t="s">
        <v>30874</v>
      </c>
      <c r="B19621" s="2" t="s">
        <v>26748</v>
      </c>
      <c r="C19621" s="1" t="s">
        <v>5669</v>
      </c>
      <c r="D19621" s="1" t="s">
        <v>5670</v>
      </c>
    </row>
    <row r="19622">
      <c r="A19622" s="1" t="s">
        <v>30875</v>
      </c>
      <c r="B19622" s="2" t="s">
        <v>26750</v>
      </c>
      <c r="C19622" s="1" t="s">
        <v>5669</v>
      </c>
      <c r="D19622" s="1" t="s">
        <v>5670</v>
      </c>
    </row>
    <row r="19623">
      <c r="A19623" s="1" t="s">
        <v>30876</v>
      </c>
      <c r="B19623" s="2" t="s">
        <v>26752</v>
      </c>
      <c r="C19623" s="1" t="s">
        <v>5669</v>
      </c>
      <c r="D19623" s="1" t="s">
        <v>5670</v>
      </c>
    </row>
    <row r="19624">
      <c r="A19624" s="1" t="s">
        <v>30877</v>
      </c>
      <c r="B19624" s="2" t="s">
        <v>26754</v>
      </c>
      <c r="C19624" s="1" t="s">
        <v>5669</v>
      </c>
      <c r="D19624" s="1" t="s">
        <v>5670</v>
      </c>
    </row>
    <row r="19625">
      <c r="A19625" s="1" t="s">
        <v>30878</v>
      </c>
      <c r="B19625" s="2" t="s">
        <v>26756</v>
      </c>
      <c r="C19625" s="1" t="s">
        <v>5669</v>
      </c>
      <c r="D19625" s="1" t="s">
        <v>5670</v>
      </c>
    </row>
    <row r="19626">
      <c r="A19626" s="1" t="s">
        <v>30879</v>
      </c>
      <c r="B19626" s="2" t="s">
        <v>26758</v>
      </c>
      <c r="C19626" s="1" t="s">
        <v>5669</v>
      </c>
      <c r="D19626" s="1" t="s">
        <v>5670</v>
      </c>
    </row>
    <row r="19627">
      <c r="A19627" s="1" t="s">
        <v>30880</v>
      </c>
      <c r="B19627" s="2" t="s">
        <v>26760</v>
      </c>
      <c r="C19627" s="1" t="s">
        <v>5669</v>
      </c>
      <c r="D19627" s="1" t="s">
        <v>5670</v>
      </c>
    </row>
    <row r="19628">
      <c r="A19628" s="1" t="s">
        <v>30881</v>
      </c>
      <c r="B19628" s="2" t="s">
        <v>26762</v>
      </c>
      <c r="C19628" s="1" t="s">
        <v>5669</v>
      </c>
      <c r="D19628" s="1" t="s">
        <v>5670</v>
      </c>
    </row>
    <row r="19629">
      <c r="A19629" s="1" t="s">
        <v>30882</v>
      </c>
      <c r="B19629" s="2" t="s">
        <v>26764</v>
      </c>
      <c r="C19629" s="1" t="s">
        <v>5669</v>
      </c>
      <c r="D19629" s="1" t="s">
        <v>5670</v>
      </c>
    </row>
    <row r="19630">
      <c r="A19630" s="1" t="s">
        <v>30883</v>
      </c>
      <c r="B19630" s="2" t="s">
        <v>26766</v>
      </c>
      <c r="C19630" s="1" t="s">
        <v>5669</v>
      </c>
      <c r="D19630" s="1" t="s">
        <v>5670</v>
      </c>
    </row>
    <row r="19631">
      <c r="A19631" s="1" t="s">
        <v>30884</v>
      </c>
      <c r="B19631" s="2" t="s">
        <v>26768</v>
      </c>
      <c r="C19631" s="1" t="s">
        <v>5669</v>
      </c>
      <c r="D19631" s="1" t="s">
        <v>5670</v>
      </c>
    </row>
    <row r="19632">
      <c r="A19632" s="1" t="s">
        <v>30885</v>
      </c>
      <c r="B19632" s="2" t="s">
        <v>26770</v>
      </c>
      <c r="C19632" s="1" t="s">
        <v>5669</v>
      </c>
      <c r="D19632" s="1" t="s">
        <v>5670</v>
      </c>
    </row>
    <row r="19633">
      <c r="A19633" s="1" t="s">
        <v>30886</v>
      </c>
      <c r="B19633" s="2" t="s">
        <v>26772</v>
      </c>
      <c r="C19633" s="1" t="s">
        <v>5669</v>
      </c>
      <c r="D19633" s="1" t="s">
        <v>5670</v>
      </c>
    </row>
    <row r="19634">
      <c r="A19634" s="1" t="s">
        <v>30887</v>
      </c>
      <c r="B19634" s="2" t="s">
        <v>26774</v>
      </c>
      <c r="C19634" s="1" t="s">
        <v>5669</v>
      </c>
      <c r="D19634" s="1" t="s">
        <v>5670</v>
      </c>
    </row>
    <row r="19635">
      <c r="A19635" s="1" t="s">
        <v>30888</v>
      </c>
      <c r="B19635" s="2" t="s">
        <v>26776</v>
      </c>
      <c r="C19635" s="1" t="s">
        <v>5669</v>
      </c>
      <c r="D19635" s="1" t="s">
        <v>5670</v>
      </c>
    </row>
    <row r="19636">
      <c r="A19636" s="1" t="s">
        <v>30889</v>
      </c>
      <c r="B19636" s="2" t="s">
        <v>26778</v>
      </c>
      <c r="C19636" s="1" t="s">
        <v>5669</v>
      </c>
      <c r="D19636" s="1" t="s">
        <v>5670</v>
      </c>
    </row>
    <row r="19637">
      <c r="A19637" s="1" t="s">
        <v>30890</v>
      </c>
      <c r="B19637" s="2" t="s">
        <v>26780</v>
      </c>
      <c r="C19637" s="1" t="s">
        <v>5669</v>
      </c>
      <c r="D19637" s="1" t="s">
        <v>5670</v>
      </c>
    </row>
    <row r="19638">
      <c r="A19638" s="1" t="s">
        <v>30891</v>
      </c>
      <c r="B19638" s="2" t="s">
        <v>26782</v>
      </c>
      <c r="C19638" s="1" t="s">
        <v>5669</v>
      </c>
      <c r="D19638" s="1" t="s">
        <v>5670</v>
      </c>
    </row>
    <row r="19639">
      <c r="A19639" s="1" t="s">
        <v>30892</v>
      </c>
      <c r="B19639" s="2" t="s">
        <v>26784</v>
      </c>
      <c r="C19639" s="1" t="s">
        <v>5669</v>
      </c>
      <c r="D19639" s="1" t="s">
        <v>5670</v>
      </c>
    </row>
    <row r="19640">
      <c r="A19640" s="1" t="s">
        <v>30893</v>
      </c>
      <c r="B19640" s="2" t="s">
        <v>26786</v>
      </c>
      <c r="C19640" s="1" t="s">
        <v>5669</v>
      </c>
      <c r="D19640" s="1" t="s">
        <v>5670</v>
      </c>
    </row>
    <row r="19641">
      <c r="A19641" s="1" t="s">
        <v>30894</v>
      </c>
      <c r="B19641" s="2" t="s">
        <v>26788</v>
      </c>
      <c r="C19641" s="1" t="s">
        <v>5669</v>
      </c>
      <c r="D19641" s="1" t="s">
        <v>5670</v>
      </c>
    </row>
    <row r="19642">
      <c r="A19642" s="1" t="s">
        <v>30895</v>
      </c>
      <c r="B19642" s="2" t="s">
        <v>26790</v>
      </c>
      <c r="C19642" s="1" t="s">
        <v>5669</v>
      </c>
      <c r="D19642" s="1" t="s">
        <v>5670</v>
      </c>
    </row>
    <row r="19643">
      <c r="A19643" s="1" t="s">
        <v>30896</v>
      </c>
      <c r="B19643" s="2" t="s">
        <v>26792</v>
      </c>
      <c r="C19643" s="1" t="s">
        <v>5669</v>
      </c>
      <c r="D19643" s="1" t="s">
        <v>5670</v>
      </c>
    </row>
    <row r="19644">
      <c r="A19644" s="1" t="s">
        <v>30897</v>
      </c>
      <c r="B19644" s="2" t="s">
        <v>26794</v>
      </c>
      <c r="C19644" s="1" t="s">
        <v>5669</v>
      </c>
      <c r="D19644" s="1" t="s">
        <v>5670</v>
      </c>
    </row>
    <row r="19645">
      <c r="A19645" s="1" t="s">
        <v>30898</v>
      </c>
      <c r="B19645" s="2" t="s">
        <v>26796</v>
      </c>
      <c r="C19645" s="1" t="s">
        <v>5669</v>
      </c>
      <c r="D19645" s="1" t="s">
        <v>5670</v>
      </c>
    </row>
    <row r="19646">
      <c r="A19646" s="1" t="s">
        <v>30899</v>
      </c>
      <c r="B19646" s="2" t="s">
        <v>26798</v>
      </c>
      <c r="C19646" s="1" t="s">
        <v>5669</v>
      </c>
      <c r="D19646" s="1" t="s">
        <v>5670</v>
      </c>
    </row>
    <row r="19647">
      <c r="A19647" s="1" t="s">
        <v>30900</v>
      </c>
      <c r="B19647" s="2" t="s">
        <v>26800</v>
      </c>
      <c r="C19647" s="1" t="s">
        <v>5669</v>
      </c>
      <c r="D19647" s="1" t="s">
        <v>5670</v>
      </c>
    </row>
    <row r="19648">
      <c r="A19648" s="1" t="s">
        <v>30901</v>
      </c>
      <c r="B19648" s="2" t="s">
        <v>26802</v>
      </c>
      <c r="C19648" s="1" t="s">
        <v>5669</v>
      </c>
      <c r="D19648" s="1" t="s">
        <v>5670</v>
      </c>
    </row>
    <row r="19649">
      <c r="A19649" s="1" t="s">
        <v>30902</v>
      </c>
      <c r="B19649" s="2" t="s">
        <v>26804</v>
      </c>
      <c r="C19649" s="1" t="s">
        <v>5669</v>
      </c>
      <c r="D19649" s="1" t="s">
        <v>5670</v>
      </c>
    </row>
    <row r="19650">
      <c r="A19650" s="1" t="s">
        <v>30903</v>
      </c>
      <c r="B19650" s="2" t="s">
        <v>26806</v>
      </c>
      <c r="C19650" s="1" t="s">
        <v>5669</v>
      </c>
      <c r="D19650" s="1" t="s">
        <v>5670</v>
      </c>
    </row>
    <row r="19651">
      <c r="A19651" s="1" t="s">
        <v>30904</v>
      </c>
      <c r="B19651" s="2" t="s">
        <v>26808</v>
      </c>
      <c r="C19651" s="1" t="s">
        <v>5669</v>
      </c>
      <c r="D19651" s="1" t="s">
        <v>5670</v>
      </c>
    </row>
    <row r="19652">
      <c r="A19652" s="1" t="s">
        <v>30905</v>
      </c>
      <c r="B19652" s="2" t="s">
        <v>26810</v>
      </c>
      <c r="C19652" s="1" t="s">
        <v>5669</v>
      </c>
      <c r="D19652" s="1" t="s">
        <v>5670</v>
      </c>
    </row>
    <row r="19653">
      <c r="A19653" s="1" t="s">
        <v>30906</v>
      </c>
      <c r="B19653" s="2" t="s">
        <v>26812</v>
      </c>
      <c r="C19653" s="1" t="s">
        <v>5669</v>
      </c>
      <c r="D19653" s="1" t="s">
        <v>5670</v>
      </c>
    </row>
    <row r="19654">
      <c r="A19654" s="1" t="s">
        <v>30907</v>
      </c>
      <c r="B19654" s="2" t="s">
        <v>26814</v>
      </c>
      <c r="C19654" s="1" t="s">
        <v>5669</v>
      </c>
      <c r="D19654" s="1" t="s">
        <v>5670</v>
      </c>
    </row>
    <row r="19655">
      <c r="A19655" s="1" t="s">
        <v>30908</v>
      </c>
      <c r="B19655" s="2" t="s">
        <v>26816</v>
      </c>
      <c r="C19655" s="1" t="s">
        <v>5669</v>
      </c>
      <c r="D19655" s="1" t="s">
        <v>5670</v>
      </c>
    </row>
    <row r="19656">
      <c r="A19656" s="1" t="s">
        <v>30909</v>
      </c>
      <c r="B19656" s="2" t="s">
        <v>26818</v>
      </c>
      <c r="C19656" s="1" t="s">
        <v>5669</v>
      </c>
      <c r="D19656" s="1" t="s">
        <v>5670</v>
      </c>
    </row>
    <row r="19657">
      <c r="A19657" s="1" t="s">
        <v>30910</v>
      </c>
      <c r="B19657" s="2" t="s">
        <v>26820</v>
      </c>
      <c r="C19657" s="1" t="s">
        <v>5669</v>
      </c>
      <c r="D19657" s="1" t="s">
        <v>5670</v>
      </c>
    </row>
    <row r="19658">
      <c r="A19658" s="1" t="s">
        <v>30911</v>
      </c>
      <c r="B19658" s="2" t="s">
        <v>26822</v>
      </c>
      <c r="C19658" s="1" t="s">
        <v>5669</v>
      </c>
      <c r="D19658" s="1" t="s">
        <v>5670</v>
      </c>
    </row>
    <row r="19659">
      <c r="A19659" s="1" t="s">
        <v>30912</v>
      </c>
      <c r="B19659" s="2" t="s">
        <v>26824</v>
      </c>
      <c r="C19659" s="1" t="s">
        <v>5669</v>
      </c>
      <c r="D19659" s="1" t="s">
        <v>5670</v>
      </c>
    </row>
    <row r="19660">
      <c r="A19660" s="1" t="s">
        <v>30913</v>
      </c>
      <c r="B19660" s="2" t="s">
        <v>26826</v>
      </c>
      <c r="C19660" s="1" t="s">
        <v>5669</v>
      </c>
      <c r="D19660" s="1" t="s">
        <v>5670</v>
      </c>
    </row>
    <row r="19661">
      <c r="A19661" s="1" t="s">
        <v>30914</v>
      </c>
      <c r="B19661" s="2" t="s">
        <v>26828</v>
      </c>
      <c r="C19661" s="1" t="s">
        <v>5669</v>
      </c>
      <c r="D19661" s="1" t="s">
        <v>5670</v>
      </c>
    </row>
    <row r="19662">
      <c r="A19662" s="1" t="s">
        <v>30915</v>
      </c>
      <c r="B19662" s="2" t="s">
        <v>26830</v>
      </c>
      <c r="C19662" s="1" t="s">
        <v>5669</v>
      </c>
      <c r="D19662" s="1" t="s">
        <v>5670</v>
      </c>
    </row>
    <row r="19663">
      <c r="A19663" s="1" t="s">
        <v>30916</v>
      </c>
      <c r="B19663" s="2" t="s">
        <v>26832</v>
      </c>
      <c r="C19663" s="1" t="s">
        <v>5669</v>
      </c>
      <c r="D19663" s="1" t="s">
        <v>5670</v>
      </c>
    </row>
    <row r="19664">
      <c r="A19664" s="1" t="s">
        <v>30917</v>
      </c>
      <c r="B19664" s="2" t="s">
        <v>26834</v>
      </c>
      <c r="C19664" s="1" t="s">
        <v>5669</v>
      </c>
      <c r="D19664" s="1" t="s">
        <v>5670</v>
      </c>
    </row>
    <row r="19665">
      <c r="A19665" s="1" t="s">
        <v>30918</v>
      </c>
      <c r="B19665" s="2" t="s">
        <v>26836</v>
      </c>
      <c r="C19665" s="1" t="s">
        <v>5669</v>
      </c>
      <c r="D19665" s="1" t="s">
        <v>5670</v>
      </c>
    </row>
    <row r="19666">
      <c r="A19666" s="1" t="s">
        <v>30919</v>
      </c>
      <c r="B19666" s="2" t="s">
        <v>26838</v>
      </c>
      <c r="C19666" s="1" t="s">
        <v>5669</v>
      </c>
      <c r="D19666" s="1" t="s">
        <v>5670</v>
      </c>
    </row>
    <row r="19667">
      <c r="A19667" s="1" t="s">
        <v>30920</v>
      </c>
      <c r="B19667" s="2" t="s">
        <v>26840</v>
      </c>
      <c r="C19667" s="1" t="s">
        <v>5669</v>
      </c>
      <c r="D19667" s="1" t="s">
        <v>5670</v>
      </c>
    </row>
    <row r="19668">
      <c r="A19668" s="1" t="s">
        <v>30921</v>
      </c>
      <c r="B19668" s="2" t="s">
        <v>26842</v>
      </c>
      <c r="C19668" s="1" t="s">
        <v>5669</v>
      </c>
      <c r="D19668" s="1" t="s">
        <v>5670</v>
      </c>
    </row>
    <row r="19669">
      <c r="A19669" s="1" t="s">
        <v>30922</v>
      </c>
      <c r="B19669" s="2" t="s">
        <v>26844</v>
      </c>
      <c r="C19669" s="1" t="s">
        <v>5669</v>
      </c>
      <c r="D19669" s="1" t="s">
        <v>5670</v>
      </c>
    </row>
    <row r="19670">
      <c r="A19670" s="1" t="s">
        <v>30923</v>
      </c>
      <c r="B19670" s="2" t="s">
        <v>26846</v>
      </c>
      <c r="C19670" s="1" t="s">
        <v>5669</v>
      </c>
      <c r="D19670" s="1" t="s">
        <v>5670</v>
      </c>
    </row>
    <row r="19671">
      <c r="A19671" s="1" t="s">
        <v>30924</v>
      </c>
      <c r="B19671" s="2" t="s">
        <v>26848</v>
      </c>
      <c r="C19671" s="1" t="s">
        <v>5669</v>
      </c>
      <c r="D19671" s="1" t="s">
        <v>5670</v>
      </c>
    </row>
    <row r="19672">
      <c r="A19672" s="1" t="s">
        <v>30925</v>
      </c>
      <c r="B19672" s="2" t="s">
        <v>26850</v>
      </c>
      <c r="C19672" s="1" t="s">
        <v>5669</v>
      </c>
      <c r="D19672" s="1" t="s">
        <v>5670</v>
      </c>
    </row>
    <row r="19673">
      <c r="A19673" s="1" t="s">
        <v>30926</v>
      </c>
      <c r="B19673" s="2" t="s">
        <v>26852</v>
      </c>
      <c r="C19673" s="1" t="s">
        <v>5669</v>
      </c>
      <c r="D19673" s="1" t="s">
        <v>5670</v>
      </c>
    </row>
    <row r="19674">
      <c r="A19674" s="1" t="s">
        <v>30927</v>
      </c>
      <c r="B19674" s="2" t="s">
        <v>26854</v>
      </c>
      <c r="C19674" s="1" t="s">
        <v>5669</v>
      </c>
      <c r="D19674" s="1" t="s">
        <v>5670</v>
      </c>
    </row>
    <row r="19675">
      <c r="A19675" s="1" t="s">
        <v>30928</v>
      </c>
      <c r="B19675" s="2" t="s">
        <v>26856</v>
      </c>
      <c r="C19675" s="1" t="s">
        <v>5669</v>
      </c>
      <c r="D19675" s="1" t="s">
        <v>5670</v>
      </c>
    </row>
    <row r="19676">
      <c r="A19676" s="1" t="s">
        <v>30929</v>
      </c>
      <c r="B19676" s="2" t="s">
        <v>26858</v>
      </c>
      <c r="C19676" s="1" t="s">
        <v>5669</v>
      </c>
      <c r="D19676" s="1" t="s">
        <v>5670</v>
      </c>
    </row>
    <row r="19677">
      <c r="A19677" s="1" t="s">
        <v>30930</v>
      </c>
      <c r="B19677" s="2" t="s">
        <v>26860</v>
      </c>
      <c r="C19677" s="1" t="s">
        <v>5669</v>
      </c>
      <c r="D19677" s="1" t="s">
        <v>5670</v>
      </c>
    </row>
    <row r="19678">
      <c r="A19678" s="1" t="s">
        <v>30931</v>
      </c>
      <c r="B19678" s="2" t="s">
        <v>26862</v>
      </c>
      <c r="C19678" s="1" t="s">
        <v>5669</v>
      </c>
      <c r="D19678" s="1" t="s">
        <v>5670</v>
      </c>
    </row>
    <row r="19679">
      <c r="A19679" s="1" t="s">
        <v>30932</v>
      </c>
      <c r="B19679" s="2" t="s">
        <v>26864</v>
      </c>
      <c r="C19679" s="1" t="s">
        <v>5669</v>
      </c>
      <c r="D19679" s="1" t="s">
        <v>5670</v>
      </c>
    </row>
    <row r="19680">
      <c r="A19680" s="1" t="s">
        <v>30933</v>
      </c>
      <c r="B19680" s="2" t="s">
        <v>26866</v>
      </c>
      <c r="C19680" s="1" t="s">
        <v>5669</v>
      </c>
      <c r="D19680" s="1" t="s">
        <v>5670</v>
      </c>
    </row>
    <row r="19681">
      <c r="A19681" s="1" t="s">
        <v>30934</v>
      </c>
      <c r="B19681" s="2" t="s">
        <v>26868</v>
      </c>
      <c r="C19681" s="1" t="s">
        <v>5669</v>
      </c>
      <c r="D19681" s="1" t="s">
        <v>5670</v>
      </c>
    </row>
    <row r="19682">
      <c r="A19682" s="1" t="s">
        <v>30935</v>
      </c>
      <c r="B19682" s="2" t="s">
        <v>26870</v>
      </c>
      <c r="C19682" s="1" t="s">
        <v>5669</v>
      </c>
      <c r="D19682" s="1" t="s">
        <v>5670</v>
      </c>
    </row>
    <row r="19683">
      <c r="A19683" s="1" t="s">
        <v>30936</v>
      </c>
      <c r="B19683" s="2" t="s">
        <v>26872</v>
      </c>
      <c r="C19683" s="1" t="s">
        <v>5669</v>
      </c>
      <c r="D19683" s="1" t="s">
        <v>5670</v>
      </c>
    </row>
    <row r="19684">
      <c r="A19684" s="1" t="s">
        <v>30937</v>
      </c>
      <c r="B19684" s="2" t="s">
        <v>26874</v>
      </c>
      <c r="C19684" s="1" t="s">
        <v>5669</v>
      </c>
      <c r="D19684" s="1" t="s">
        <v>5670</v>
      </c>
    </row>
    <row r="19685">
      <c r="A19685" s="1" t="s">
        <v>30938</v>
      </c>
      <c r="B19685" s="2" t="s">
        <v>26876</v>
      </c>
      <c r="C19685" s="1" t="s">
        <v>5669</v>
      </c>
      <c r="D19685" s="1" t="s">
        <v>5670</v>
      </c>
    </row>
    <row r="19686">
      <c r="A19686" s="1" t="s">
        <v>30939</v>
      </c>
      <c r="B19686" s="2" t="s">
        <v>26878</v>
      </c>
      <c r="C19686" s="1" t="s">
        <v>5669</v>
      </c>
      <c r="D19686" s="1" t="s">
        <v>5670</v>
      </c>
    </row>
    <row r="19687">
      <c r="A19687" s="1" t="s">
        <v>30940</v>
      </c>
      <c r="B19687" s="2" t="s">
        <v>26880</v>
      </c>
      <c r="C19687" s="1" t="s">
        <v>5669</v>
      </c>
      <c r="D19687" s="1" t="s">
        <v>5670</v>
      </c>
    </row>
    <row r="19688">
      <c r="A19688" s="1" t="s">
        <v>30941</v>
      </c>
      <c r="B19688" s="2" t="s">
        <v>26882</v>
      </c>
      <c r="C19688" s="1" t="s">
        <v>5669</v>
      </c>
      <c r="D19688" s="1" t="s">
        <v>5670</v>
      </c>
    </row>
    <row r="19689">
      <c r="A19689" s="1" t="s">
        <v>30942</v>
      </c>
      <c r="B19689" s="2" t="s">
        <v>26884</v>
      </c>
      <c r="C19689" s="1" t="s">
        <v>5669</v>
      </c>
      <c r="D19689" s="1" t="s">
        <v>5670</v>
      </c>
    </row>
    <row r="19690">
      <c r="A19690" s="1" t="s">
        <v>30943</v>
      </c>
      <c r="B19690" s="2" t="s">
        <v>26886</v>
      </c>
      <c r="C19690" s="1" t="s">
        <v>5669</v>
      </c>
      <c r="D19690" s="1" t="s">
        <v>5670</v>
      </c>
    </row>
    <row r="19691">
      <c r="A19691" s="1" t="s">
        <v>30944</v>
      </c>
      <c r="B19691" s="2" t="s">
        <v>26888</v>
      </c>
      <c r="C19691" s="1" t="s">
        <v>5669</v>
      </c>
      <c r="D19691" s="1" t="s">
        <v>5670</v>
      </c>
    </row>
    <row r="19692">
      <c r="A19692" s="1" t="s">
        <v>30945</v>
      </c>
      <c r="B19692" s="2" t="s">
        <v>26890</v>
      </c>
      <c r="C19692" s="1" t="s">
        <v>5669</v>
      </c>
      <c r="D19692" s="1" t="s">
        <v>5670</v>
      </c>
    </row>
    <row r="19693">
      <c r="A19693" s="1" t="s">
        <v>30946</v>
      </c>
      <c r="B19693" s="2" t="s">
        <v>26892</v>
      </c>
      <c r="C19693" s="1" t="s">
        <v>5669</v>
      </c>
      <c r="D19693" s="1" t="s">
        <v>5670</v>
      </c>
    </row>
    <row r="19694">
      <c r="A19694" s="1" t="s">
        <v>30947</v>
      </c>
      <c r="B19694" s="2" t="s">
        <v>26894</v>
      </c>
      <c r="C19694" s="1" t="s">
        <v>5669</v>
      </c>
      <c r="D19694" s="1" t="s">
        <v>5670</v>
      </c>
    </row>
    <row r="19695">
      <c r="A19695" s="1" t="s">
        <v>30948</v>
      </c>
      <c r="B19695" s="2" t="s">
        <v>26896</v>
      </c>
      <c r="C19695" s="1" t="s">
        <v>5669</v>
      </c>
      <c r="D19695" s="1" t="s">
        <v>5670</v>
      </c>
    </row>
    <row r="19696">
      <c r="A19696" s="1" t="s">
        <v>30949</v>
      </c>
      <c r="B19696" s="2" t="s">
        <v>26898</v>
      </c>
      <c r="C19696" s="1" t="s">
        <v>5669</v>
      </c>
      <c r="D19696" s="1" t="s">
        <v>5670</v>
      </c>
    </row>
    <row r="19697">
      <c r="A19697" s="1" t="s">
        <v>30950</v>
      </c>
      <c r="B19697" s="2" t="s">
        <v>26900</v>
      </c>
      <c r="C19697" s="1" t="s">
        <v>5669</v>
      </c>
      <c r="D19697" s="1" t="s">
        <v>5670</v>
      </c>
    </row>
    <row r="19698">
      <c r="A19698" s="1" t="s">
        <v>30951</v>
      </c>
      <c r="B19698" s="2" t="s">
        <v>26902</v>
      </c>
      <c r="C19698" s="1" t="s">
        <v>5669</v>
      </c>
      <c r="D19698" s="1" t="s">
        <v>5670</v>
      </c>
    </row>
    <row r="19699">
      <c r="A19699" s="1" t="s">
        <v>30952</v>
      </c>
      <c r="B19699" s="2" t="s">
        <v>26904</v>
      </c>
      <c r="C19699" s="1" t="s">
        <v>5669</v>
      </c>
      <c r="D19699" s="1" t="s">
        <v>5670</v>
      </c>
    </row>
    <row r="19700">
      <c r="A19700" s="1" t="s">
        <v>30953</v>
      </c>
      <c r="B19700" s="2" t="s">
        <v>26906</v>
      </c>
      <c r="C19700" s="1" t="s">
        <v>5669</v>
      </c>
      <c r="D19700" s="1" t="s">
        <v>5670</v>
      </c>
    </row>
    <row r="19701">
      <c r="A19701" s="1" t="s">
        <v>30954</v>
      </c>
      <c r="B19701" s="2" t="s">
        <v>26908</v>
      </c>
      <c r="C19701" s="1" t="s">
        <v>5669</v>
      </c>
      <c r="D19701" s="1" t="s">
        <v>5670</v>
      </c>
    </row>
    <row r="19702">
      <c r="A19702" s="1" t="s">
        <v>30955</v>
      </c>
      <c r="B19702" s="2" t="s">
        <v>26910</v>
      </c>
      <c r="C19702" s="1" t="s">
        <v>5669</v>
      </c>
      <c r="D19702" s="1" t="s">
        <v>5670</v>
      </c>
    </row>
    <row r="19703">
      <c r="A19703" s="1" t="s">
        <v>30956</v>
      </c>
      <c r="B19703" s="2" t="s">
        <v>26912</v>
      </c>
      <c r="C19703" s="1" t="s">
        <v>5669</v>
      </c>
      <c r="D19703" s="1" t="s">
        <v>5670</v>
      </c>
    </row>
    <row r="19704">
      <c r="A19704" s="1" t="s">
        <v>30957</v>
      </c>
      <c r="B19704" s="2" t="s">
        <v>26914</v>
      </c>
      <c r="C19704" s="1" t="s">
        <v>5669</v>
      </c>
      <c r="D19704" s="1" t="s">
        <v>5670</v>
      </c>
    </row>
    <row r="19705">
      <c r="A19705" s="1" t="s">
        <v>30958</v>
      </c>
      <c r="B19705" s="2" t="s">
        <v>26916</v>
      </c>
      <c r="C19705" s="1" t="s">
        <v>5669</v>
      </c>
      <c r="D19705" s="1" t="s">
        <v>5670</v>
      </c>
    </row>
    <row r="19706">
      <c r="A19706" s="1" t="s">
        <v>30959</v>
      </c>
      <c r="B19706" s="2" t="s">
        <v>26918</v>
      </c>
      <c r="C19706" s="1" t="s">
        <v>5669</v>
      </c>
      <c r="D19706" s="1" t="s">
        <v>5670</v>
      </c>
    </row>
    <row r="19707">
      <c r="A19707" s="1" t="s">
        <v>30960</v>
      </c>
      <c r="B19707" s="2" t="s">
        <v>26920</v>
      </c>
      <c r="C19707" s="1" t="s">
        <v>5669</v>
      </c>
      <c r="D19707" s="1" t="s">
        <v>5670</v>
      </c>
    </row>
    <row r="19708">
      <c r="A19708" s="1" t="s">
        <v>30961</v>
      </c>
      <c r="B19708" s="2" t="s">
        <v>26922</v>
      </c>
      <c r="C19708" s="1" t="s">
        <v>5669</v>
      </c>
      <c r="D19708" s="1" t="s">
        <v>5670</v>
      </c>
    </row>
    <row r="19709">
      <c r="A19709" s="1" t="s">
        <v>30962</v>
      </c>
      <c r="B19709" s="2" t="s">
        <v>26924</v>
      </c>
      <c r="C19709" s="1" t="s">
        <v>5669</v>
      </c>
      <c r="D19709" s="1" t="s">
        <v>5670</v>
      </c>
    </row>
    <row r="19710">
      <c r="A19710" s="1" t="s">
        <v>30963</v>
      </c>
      <c r="B19710" s="2" t="s">
        <v>26926</v>
      </c>
      <c r="C19710" s="1" t="s">
        <v>5669</v>
      </c>
      <c r="D19710" s="1" t="s">
        <v>5670</v>
      </c>
    </row>
    <row r="19711">
      <c r="A19711" s="1" t="s">
        <v>30964</v>
      </c>
      <c r="B19711" s="2" t="s">
        <v>26928</v>
      </c>
      <c r="C19711" s="1" t="s">
        <v>5669</v>
      </c>
      <c r="D19711" s="1" t="s">
        <v>5670</v>
      </c>
    </row>
    <row r="19712">
      <c r="A19712" s="1" t="s">
        <v>30965</v>
      </c>
      <c r="B19712" s="2" t="s">
        <v>26930</v>
      </c>
      <c r="C19712" s="1" t="s">
        <v>5669</v>
      </c>
      <c r="D19712" s="1" t="s">
        <v>5670</v>
      </c>
    </row>
    <row r="19713">
      <c r="A19713" s="1" t="s">
        <v>30966</v>
      </c>
      <c r="B19713" s="2" t="s">
        <v>26932</v>
      </c>
      <c r="C19713" s="1" t="s">
        <v>5669</v>
      </c>
      <c r="D19713" s="1" t="s">
        <v>5670</v>
      </c>
    </row>
    <row r="19714">
      <c r="A19714" s="1" t="s">
        <v>30967</v>
      </c>
      <c r="B19714" s="2" t="s">
        <v>26934</v>
      </c>
      <c r="C19714" s="1" t="s">
        <v>5669</v>
      </c>
      <c r="D19714" s="1" t="s">
        <v>5670</v>
      </c>
    </row>
    <row r="19715">
      <c r="A19715" s="1" t="s">
        <v>30968</v>
      </c>
      <c r="B19715" s="2" t="s">
        <v>26936</v>
      </c>
      <c r="C19715" s="1" t="s">
        <v>5669</v>
      </c>
      <c r="D19715" s="1" t="s">
        <v>5670</v>
      </c>
    </row>
    <row r="19716">
      <c r="A19716" s="1" t="s">
        <v>30969</v>
      </c>
      <c r="B19716" s="2" t="s">
        <v>26938</v>
      </c>
      <c r="C19716" s="1" t="s">
        <v>5669</v>
      </c>
      <c r="D19716" s="1" t="s">
        <v>5670</v>
      </c>
    </row>
    <row r="19717">
      <c r="A19717" s="1" t="s">
        <v>30970</v>
      </c>
      <c r="B19717" s="2" t="s">
        <v>26940</v>
      </c>
      <c r="C19717" s="1" t="s">
        <v>5669</v>
      </c>
      <c r="D19717" s="1" t="s">
        <v>5670</v>
      </c>
    </row>
    <row r="19718">
      <c r="A19718" s="1" t="s">
        <v>30971</v>
      </c>
      <c r="B19718" s="2" t="s">
        <v>26942</v>
      </c>
      <c r="C19718" s="1" t="s">
        <v>5669</v>
      </c>
      <c r="D19718" s="1" t="s">
        <v>5670</v>
      </c>
    </row>
    <row r="19719">
      <c r="A19719" s="1" t="s">
        <v>30972</v>
      </c>
      <c r="B19719" s="2" t="s">
        <v>26944</v>
      </c>
      <c r="C19719" s="1" t="s">
        <v>5669</v>
      </c>
      <c r="D19719" s="1" t="s">
        <v>5670</v>
      </c>
    </row>
    <row r="19720">
      <c r="A19720" s="1" t="s">
        <v>30973</v>
      </c>
      <c r="B19720" s="2" t="s">
        <v>26946</v>
      </c>
      <c r="C19720" s="1" t="s">
        <v>5669</v>
      </c>
      <c r="D19720" s="1" t="s">
        <v>5670</v>
      </c>
    </row>
    <row r="19721">
      <c r="A19721" s="1" t="s">
        <v>30974</v>
      </c>
      <c r="B19721" s="2" t="s">
        <v>26948</v>
      </c>
      <c r="C19721" s="1" t="s">
        <v>5669</v>
      </c>
      <c r="D19721" s="1" t="s">
        <v>5670</v>
      </c>
    </row>
    <row r="19722">
      <c r="A19722" s="1" t="s">
        <v>30975</v>
      </c>
      <c r="B19722" s="2" t="s">
        <v>26950</v>
      </c>
      <c r="C19722" s="1" t="s">
        <v>5669</v>
      </c>
      <c r="D19722" s="1" t="s">
        <v>5670</v>
      </c>
    </row>
    <row r="19723">
      <c r="A19723" s="1" t="s">
        <v>30976</v>
      </c>
      <c r="B19723" s="2" t="s">
        <v>26952</v>
      </c>
      <c r="C19723" s="1" t="s">
        <v>5669</v>
      </c>
      <c r="D19723" s="1" t="s">
        <v>5670</v>
      </c>
    </row>
    <row r="19724">
      <c r="A19724" s="1" t="s">
        <v>30977</v>
      </c>
      <c r="B19724" s="2" t="s">
        <v>26954</v>
      </c>
      <c r="C19724" s="1" t="s">
        <v>5669</v>
      </c>
      <c r="D19724" s="1" t="s">
        <v>5670</v>
      </c>
    </row>
    <row r="19725">
      <c r="A19725" s="1" t="s">
        <v>30978</v>
      </c>
      <c r="B19725" s="2" t="s">
        <v>26956</v>
      </c>
      <c r="C19725" s="1" t="s">
        <v>5669</v>
      </c>
      <c r="D19725" s="1" t="s">
        <v>5670</v>
      </c>
    </row>
    <row r="19726">
      <c r="A19726" s="1" t="s">
        <v>30979</v>
      </c>
      <c r="B19726" s="2" t="s">
        <v>26958</v>
      </c>
      <c r="C19726" s="1" t="s">
        <v>5669</v>
      </c>
      <c r="D19726" s="1" t="s">
        <v>5670</v>
      </c>
    </row>
    <row r="19727">
      <c r="A19727" s="1" t="s">
        <v>30980</v>
      </c>
      <c r="B19727" s="2" t="s">
        <v>26960</v>
      </c>
      <c r="C19727" s="1" t="s">
        <v>5669</v>
      </c>
      <c r="D19727" s="1" t="s">
        <v>5670</v>
      </c>
    </row>
    <row r="19728">
      <c r="A19728" s="1" t="s">
        <v>30981</v>
      </c>
      <c r="B19728" s="2" t="s">
        <v>26962</v>
      </c>
      <c r="C19728" s="1" t="s">
        <v>5669</v>
      </c>
      <c r="D19728" s="1" t="s">
        <v>5670</v>
      </c>
    </row>
    <row r="19729">
      <c r="A19729" s="1" t="s">
        <v>30982</v>
      </c>
      <c r="B19729" s="2" t="s">
        <v>26964</v>
      </c>
      <c r="C19729" s="1" t="s">
        <v>5669</v>
      </c>
      <c r="D19729" s="1" t="s">
        <v>5670</v>
      </c>
    </row>
    <row r="19730">
      <c r="A19730" s="1" t="s">
        <v>30983</v>
      </c>
      <c r="B19730" s="2" t="s">
        <v>26966</v>
      </c>
      <c r="C19730" s="1" t="s">
        <v>5669</v>
      </c>
      <c r="D19730" s="1" t="s">
        <v>5670</v>
      </c>
    </row>
    <row r="19731">
      <c r="A19731" s="1" t="s">
        <v>30984</v>
      </c>
      <c r="B19731" s="2" t="s">
        <v>26968</v>
      </c>
      <c r="C19731" s="1" t="s">
        <v>5669</v>
      </c>
      <c r="D19731" s="1" t="s">
        <v>5670</v>
      </c>
    </row>
    <row r="19732">
      <c r="A19732" s="1" t="s">
        <v>30985</v>
      </c>
      <c r="B19732" s="2" t="s">
        <v>26970</v>
      </c>
      <c r="C19732" s="1" t="s">
        <v>5669</v>
      </c>
      <c r="D19732" s="1" t="s">
        <v>5670</v>
      </c>
    </row>
    <row r="19733">
      <c r="A19733" s="1" t="s">
        <v>30986</v>
      </c>
      <c r="B19733" s="2" t="s">
        <v>26972</v>
      </c>
      <c r="C19733" s="1" t="s">
        <v>5669</v>
      </c>
      <c r="D19733" s="1" t="s">
        <v>5670</v>
      </c>
    </row>
    <row r="19734">
      <c r="A19734" s="1" t="s">
        <v>30987</v>
      </c>
      <c r="B19734" s="2" t="s">
        <v>26974</v>
      </c>
      <c r="C19734" s="1" t="s">
        <v>5669</v>
      </c>
      <c r="D19734" s="1" t="s">
        <v>5670</v>
      </c>
    </row>
    <row r="19735">
      <c r="A19735" s="1" t="s">
        <v>30988</v>
      </c>
      <c r="B19735" s="2" t="s">
        <v>26976</v>
      </c>
      <c r="C19735" s="1" t="s">
        <v>5669</v>
      </c>
      <c r="D19735" s="1" t="s">
        <v>5670</v>
      </c>
    </row>
    <row r="19736">
      <c r="A19736" s="1" t="s">
        <v>30989</v>
      </c>
      <c r="B19736" s="2" t="s">
        <v>26978</v>
      </c>
      <c r="C19736" s="1" t="s">
        <v>5669</v>
      </c>
      <c r="D19736" s="1" t="s">
        <v>5670</v>
      </c>
    </row>
    <row r="19737">
      <c r="A19737" s="1" t="s">
        <v>30990</v>
      </c>
      <c r="B19737" s="2" t="s">
        <v>26980</v>
      </c>
      <c r="C19737" s="1" t="s">
        <v>5669</v>
      </c>
      <c r="D19737" s="1" t="s">
        <v>5670</v>
      </c>
    </row>
    <row r="19738">
      <c r="A19738" s="1" t="s">
        <v>30991</v>
      </c>
      <c r="B19738" s="2" t="s">
        <v>26982</v>
      </c>
      <c r="C19738" s="1" t="s">
        <v>5669</v>
      </c>
      <c r="D19738" s="1" t="s">
        <v>5670</v>
      </c>
    </row>
    <row r="19739">
      <c r="A19739" s="1" t="s">
        <v>30992</v>
      </c>
      <c r="B19739" s="2" t="s">
        <v>26984</v>
      </c>
      <c r="C19739" s="1" t="s">
        <v>5669</v>
      </c>
      <c r="D19739" s="1" t="s">
        <v>5670</v>
      </c>
    </row>
    <row r="19740">
      <c r="A19740" s="1" t="s">
        <v>30993</v>
      </c>
      <c r="B19740" s="2" t="s">
        <v>26986</v>
      </c>
      <c r="C19740" s="1" t="s">
        <v>5669</v>
      </c>
      <c r="D19740" s="1" t="s">
        <v>5670</v>
      </c>
    </row>
    <row r="19741">
      <c r="A19741" s="1" t="s">
        <v>30994</v>
      </c>
      <c r="B19741" s="2" t="s">
        <v>26988</v>
      </c>
      <c r="C19741" s="1" t="s">
        <v>5669</v>
      </c>
      <c r="D19741" s="1" t="s">
        <v>5670</v>
      </c>
    </row>
    <row r="19742">
      <c r="A19742" s="1" t="s">
        <v>30995</v>
      </c>
      <c r="B19742" s="2" t="s">
        <v>26990</v>
      </c>
      <c r="C19742" s="1" t="s">
        <v>5669</v>
      </c>
      <c r="D19742" s="1" t="s">
        <v>5670</v>
      </c>
    </row>
    <row r="19743">
      <c r="A19743" s="1" t="s">
        <v>30996</v>
      </c>
      <c r="B19743" s="2" t="s">
        <v>26992</v>
      </c>
      <c r="C19743" s="1" t="s">
        <v>5669</v>
      </c>
      <c r="D19743" s="1" t="s">
        <v>5670</v>
      </c>
    </row>
    <row r="19744">
      <c r="A19744" s="1" t="s">
        <v>30997</v>
      </c>
      <c r="B19744" s="2" t="s">
        <v>26994</v>
      </c>
      <c r="C19744" s="1" t="s">
        <v>5669</v>
      </c>
      <c r="D19744" s="1" t="s">
        <v>5670</v>
      </c>
    </row>
    <row r="19745">
      <c r="A19745" s="1" t="s">
        <v>30998</v>
      </c>
      <c r="B19745" s="2" t="s">
        <v>26996</v>
      </c>
      <c r="C19745" s="1" t="s">
        <v>5669</v>
      </c>
      <c r="D19745" s="1" t="s">
        <v>5670</v>
      </c>
    </row>
    <row r="19746">
      <c r="A19746" s="1" t="s">
        <v>30999</v>
      </c>
      <c r="B19746" s="2" t="s">
        <v>26998</v>
      </c>
      <c r="C19746" s="1" t="s">
        <v>5669</v>
      </c>
      <c r="D19746" s="1" t="s">
        <v>5670</v>
      </c>
    </row>
    <row r="19747">
      <c r="A19747" s="1" t="s">
        <v>31000</v>
      </c>
      <c r="B19747" s="2" t="s">
        <v>27000</v>
      </c>
      <c r="C19747" s="1" t="s">
        <v>5669</v>
      </c>
      <c r="D19747" s="1" t="s">
        <v>5670</v>
      </c>
    </row>
    <row r="19748">
      <c r="A19748" s="1" t="s">
        <v>31001</v>
      </c>
      <c r="B19748" s="2" t="s">
        <v>27002</v>
      </c>
      <c r="C19748" s="1" t="s">
        <v>5669</v>
      </c>
      <c r="D19748" s="1" t="s">
        <v>5670</v>
      </c>
    </row>
    <row r="19749">
      <c r="A19749" s="1" t="s">
        <v>31002</v>
      </c>
      <c r="B19749" s="2" t="s">
        <v>27004</v>
      </c>
      <c r="C19749" s="1" t="s">
        <v>5669</v>
      </c>
      <c r="D19749" s="1" t="s">
        <v>5670</v>
      </c>
    </row>
    <row r="19750">
      <c r="A19750" s="1" t="s">
        <v>31003</v>
      </c>
      <c r="B19750" s="2" t="s">
        <v>27006</v>
      </c>
      <c r="C19750" s="1" t="s">
        <v>5669</v>
      </c>
      <c r="D19750" s="1" t="s">
        <v>5670</v>
      </c>
    </row>
    <row r="19751">
      <c r="A19751" s="1" t="s">
        <v>31004</v>
      </c>
      <c r="B19751" s="2" t="s">
        <v>27008</v>
      </c>
      <c r="C19751" s="1" t="s">
        <v>5669</v>
      </c>
      <c r="D19751" s="1" t="s">
        <v>5670</v>
      </c>
    </row>
    <row r="19752">
      <c r="A19752" s="1" t="s">
        <v>31005</v>
      </c>
      <c r="B19752" s="2" t="s">
        <v>27010</v>
      </c>
      <c r="C19752" s="1" t="s">
        <v>5669</v>
      </c>
      <c r="D19752" s="1" t="s">
        <v>5670</v>
      </c>
    </row>
    <row r="19753">
      <c r="A19753" s="1" t="s">
        <v>31006</v>
      </c>
      <c r="B19753" s="2" t="s">
        <v>27012</v>
      </c>
      <c r="C19753" s="1" t="s">
        <v>5669</v>
      </c>
      <c r="D19753" s="1" t="s">
        <v>5670</v>
      </c>
    </row>
    <row r="19754">
      <c r="A19754" s="1" t="s">
        <v>31007</v>
      </c>
      <c r="B19754" s="2" t="s">
        <v>27014</v>
      </c>
      <c r="C19754" s="1" t="s">
        <v>5669</v>
      </c>
      <c r="D19754" s="1" t="s">
        <v>5670</v>
      </c>
    </row>
    <row r="19755">
      <c r="A19755" s="1" t="s">
        <v>31008</v>
      </c>
      <c r="B19755" s="2" t="s">
        <v>27016</v>
      </c>
      <c r="C19755" s="1" t="s">
        <v>5669</v>
      </c>
      <c r="D19755" s="1" t="s">
        <v>5670</v>
      </c>
    </row>
    <row r="19756">
      <c r="A19756" s="1" t="s">
        <v>31009</v>
      </c>
      <c r="B19756" s="2" t="s">
        <v>27018</v>
      </c>
      <c r="C19756" s="1" t="s">
        <v>5669</v>
      </c>
      <c r="D19756" s="1" t="s">
        <v>5670</v>
      </c>
    </row>
    <row r="19757">
      <c r="A19757" s="1" t="s">
        <v>31010</v>
      </c>
      <c r="B19757" s="2" t="s">
        <v>27020</v>
      </c>
      <c r="C19757" s="1" t="s">
        <v>5669</v>
      </c>
      <c r="D19757" s="1" t="s">
        <v>5670</v>
      </c>
    </row>
    <row r="19758">
      <c r="A19758" s="1" t="s">
        <v>31011</v>
      </c>
      <c r="B19758" s="2" t="s">
        <v>27022</v>
      </c>
      <c r="C19758" s="1" t="s">
        <v>5669</v>
      </c>
      <c r="D19758" s="1" t="s">
        <v>5670</v>
      </c>
    </row>
    <row r="19759">
      <c r="A19759" s="1" t="s">
        <v>31012</v>
      </c>
      <c r="B19759" s="2" t="s">
        <v>27024</v>
      </c>
      <c r="C19759" s="1" t="s">
        <v>5669</v>
      </c>
      <c r="D19759" s="1" t="s">
        <v>5670</v>
      </c>
    </row>
    <row r="19760">
      <c r="A19760" s="1" t="s">
        <v>31013</v>
      </c>
      <c r="B19760" s="2" t="s">
        <v>27026</v>
      </c>
      <c r="C19760" s="1" t="s">
        <v>5669</v>
      </c>
      <c r="D19760" s="1" t="s">
        <v>5670</v>
      </c>
    </row>
    <row r="19761">
      <c r="A19761" s="1" t="s">
        <v>31014</v>
      </c>
      <c r="B19761" s="2" t="s">
        <v>27028</v>
      </c>
      <c r="C19761" s="1" t="s">
        <v>5669</v>
      </c>
      <c r="D19761" s="1" t="s">
        <v>5670</v>
      </c>
    </row>
    <row r="19762">
      <c r="A19762" s="1" t="s">
        <v>31015</v>
      </c>
      <c r="B19762" s="2" t="s">
        <v>27030</v>
      </c>
      <c r="C19762" s="1" t="s">
        <v>5669</v>
      </c>
      <c r="D19762" s="1" t="s">
        <v>5670</v>
      </c>
    </row>
    <row r="19763">
      <c r="A19763" s="1" t="s">
        <v>31016</v>
      </c>
      <c r="B19763" s="2" t="s">
        <v>27032</v>
      </c>
      <c r="C19763" s="1" t="s">
        <v>5669</v>
      </c>
      <c r="D19763" s="1" t="s">
        <v>5670</v>
      </c>
    </row>
    <row r="19764">
      <c r="A19764" s="1" t="s">
        <v>31017</v>
      </c>
      <c r="B19764" s="2" t="s">
        <v>27034</v>
      </c>
      <c r="C19764" s="1" t="s">
        <v>5669</v>
      </c>
      <c r="D19764" s="1" t="s">
        <v>5670</v>
      </c>
    </row>
    <row r="19765">
      <c r="A19765" s="1" t="s">
        <v>31018</v>
      </c>
      <c r="B19765" s="2" t="s">
        <v>27036</v>
      </c>
      <c r="C19765" s="1" t="s">
        <v>5669</v>
      </c>
      <c r="D19765" s="1" t="s">
        <v>5670</v>
      </c>
    </row>
    <row r="19766">
      <c r="A19766" s="1" t="s">
        <v>31019</v>
      </c>
      <c r="B19766" s="2" t="s">
        <v>27038</v>
      </c>
      <c r="C19766" s="1" t="s">
        <v>5669</v>
      </c>
      <c r="D19766" s="1" t="s">
        <v>5670</v>
      </c>
    </row>
    <row r="19767">
      <c r="A19767" s="1" t="s">
        <v>31020</v>
      </c>
      <c r="B19767" s="2" t="s">
        <v>27040</v>
      </c>
      <c r="C19767" s="1" t="s">
        <v>5669</v>
      </c>
      <c r="D19767" s="1" t="s">
        <v>5670</v>
      </c>
    </row>
    <row r="19768">
      <c r="A19768" s="1" t="s">
        <v>31021</v>
      </c>
      <c r="B19768" s="2" t="s">
        <v>27042</v>
      </c>
      <c r="C19768" s="1" t="s">
        <v>5669</v>
      </c>
      <c r="D19768" s="1" t="s">
        <v>5670</v>
      </c>
    </row>
    <row r="19769">
      <c r="A19769" s="1" t="s">
        <v>31022</v>
      </c>
      <c r="B19769" s="2" t="s">
        <v>27044</v>
      </c>
      <c r="C19769" s="1" t="s">
        <v>5669</v>
      </c>
      <c r="D19769" s="1" t="s">
        <v>5670</v>
      </c>
    </row>
    <row r="19770">
      <c r="A19770" s="1" t="s">
        <v>31023</v>
      </c>
      <c r="B19770" s="2" t="s">
        <v>27046</v>
      </c>
      <c r="C19770" s="1" t="s">
        <v>5669</v>
      </c>
      <c r="D19770" s="1" t="s">
        <v>5670</v>
      </c>
    </row>
    <row r="19771">
      <c r="A19771" s="1" t="s">
        <v>31024</v>
      </c>
      <c r="B19771" s="2" t="s">
        <v>27048</v>
      </c>
      <c r="C19771" s="1" t="s">
        <v>5669</v>
      </c>
      <c r="D19771" s="1" t="s">
        <v>5670</v>
      </c>
    </row>
    <row r="19772">
      <c r="A19772" s="1" t="s">
        <v>31025</v>
      </c>
      <c r="B19772" s="2" t="s">
        <v>27050</v>
      </c>
      <c r="C19772" s="1" t="s">
        <v>5669</v>
      </c>
      <c r="D19772" s="1" t="s">
        <v>5670</v>
      </c>
    </row>
    <row r="19773">
      <c r="A19773" s="1" t="s">
        <v>31026</v>
      </c>
      <c r="B19773" s="2" t="s">
        <v>27052</v>
      </c>
      <c r="C19773" s="1" t="s">
        <v>5669</v>
      </c>
      <c r="D19773" s="1" t="s">
        <v>5670</v>
      </c>
    </row>
    <row r="19774">
      <c r="A19774" s="1" t="s">
        <v>31027</v>
      </c>
      <c r="B19774" s="2" t="s">
        <v>27054</v>
      </c>
      <c r="C19774" s="1" t="s">
        <v>5669</v>
      </c>
      <c r="D19774" s="1" t="s">
        <v>5670</v>
      </c>
    </row>
    <row r="19775">
      <c r="A19775" s="1" t="s">
        <v>31028</v>
      </c>
      <c r="B19775" s="2" t="s">
        <v>27056</v>
      </c>
      <c r="C19775" s="1" t="s">
        <v>5669</v>
      </c>
      <c r="D19775" s="1" t="s">
        <v>5670</v>
      </c>
    </row>
    <row r="19776">
      <c r="A19776" s="1" t="s">
        <v>31029</v>
      </c>
      <c r="B19776" s="2" t="s">
        <v>27058</v>
      </c>
      <c r="C19776" s="1" t="s">
        <v>5669</v>
      </c>
      <c r="D19776" s="1" t="s">
        <v>5670</v>
      </c>
    </row>
    <row r="19777">
      <c r="A19777" s="1" t="s">
        <v>31030</v>
      </c>
      <c r="B19777" s="2" t="s">
        <v>27060</v>
      </c>
      <c r="C19777" s="1" t="s">
        <v>5669</v>
      </c>
      <c r="D19777" s="1" t="s">
        <v>5670</v>
      </c>
    </row>
    <row r="19778">
      <c r="A19778" s="1" t="s">
        <v>31031</v>
      </c>
      <c r="B19778" s="2" t="s">
        <v>27062</v>
      </c>
      <c r="C19778" s="1" t="s">
        <v>5669</v>
      </c>
      <c r="D19778" s="1" t="s">
        <v>5670</v>
      </c>
    </row>
    <row r="19779">
      <c r="A19779" s="1" t="s">
        <v>31032</v>
      </c>
      <c r="B19779" s="2" t="s">
        <v>27064</v>
      </c>
      <c r="C19779" s="1" t="s">
        <v>5669</v>
      </c>
      <c r="D19779" s="1" t="s">
        <v>5670</v>
      </c>
    </row>
    <row r="19780">
      <c r="A19780" s="1" t="s">
        <v>31033</v>
      </c>
      <c r="B19780" s="2" t="s">
        <v>27066</v>
      </c>
      <c r="C19780" s="1" t="s">
        <v>5669</v>
      </c>
      <c r="D19780" s="1" t="s">
        <v>5670</v>
      </c>
    </row>
    <row r="19781">
      <c r="A19781" s="1" t="s">
        <v>31034</v>
      </c>
      <c r="B19781" s="2" t="s">
        <v>27068</v>
      </c>
      <c r="C19781" s="1" t="s">
        <v>5669</v>
      </c>
      <c r="D19781" s="1" t="s">
        <v>5670</v>
      </c>
    </row>
    <row r="19782">
      <c r="A19782" s="1" t="s">
        <v>31035</v>
      </c>
      <c r="B19782" s="2" t="s">
        <v>27070</v>
      </c>
      <c r="C19782" s="1" t="s">
        <v>5669</v>
      </c>
      <c r="D19782" s="1" t="s">
        <v>5670</v>
      </c>
    </row>
    <row r="19783">
      <c r="A19783" s="1" t="s">
        <v>31036</v>
      </c>
      <c r="B19783" s="2" t="s">
        <v>27072</v>
      </c>
      <c r="C19783" s="1" t="s">
        <v>5669</v>
      </c>
      <c r="D19783" s="1" t="s">
        <v>5670</v>
      </c>
    </row>
    <row r="19784">
      <c r="A19784" s="1" t="s">
        <v>31037</v>
      </c>
      <c r="B19784" s="2" t="s">
        <v>27074</v>
      </c>
      <c r="C19784" s="1" t="s">
        <v>5669</v>
      </c>
      <c r="D19784" s="1" t="s">
        <v>5670</v>
      </c>
    </row>
    <row r="19785">
      <c r="A19785" s="1" t="s">
        <v>31038</v>
      </c>
      <c r="B19785" s="2" t="s">
        <v>27076</v>
      </c>
      <c r="C19785" s="1" t="s">
        <v>5669</v>
      </c>
      <c r="D19785" s="1" t="s">
        <v>5670</v>
      </c>
    </row>
    <row r="19786">
      <c r="A19786" s="1" t="s">
        <v>31039</v>
      </c>
      <c r="B19786" s="2" t="s">
        <v>27078</v>
      </c>
      <c r="C19786" s="1" t="s">
        <v>5669</v>
      </c>
      <c r="D19786" s="1" t="s">
        <v>5670</v>
      </c>
    </row>
    <row r="19787">
      <c r="A19787" s="1" t="s">
        <v>31040</v>
      </c>
      <c r="B19787" s="2" t="s">
        <v>27080</v>
      </c>
      <c r="C19787" s="1" t="s">
        <v>5669</v>
      </c>
      <c r="D19787" s="1" t="s">
        <v>5670</v>
      </c>
    </row>
    <row r="19788">
      <c r="A19788" s="1" t="s">
        <v>31041</v>
      </c>
      <c r="B19788" s="2" t="s">
        <v>27082</v>
      </c>
      <c r="C19788" s="1" t="s">
        <v>5669</v>
      </c>
      <c r="D19788" s="1" t="s">
        <v>5670</v>
      </c>
    </row>
    <row r="19789">
      <c r="A19789" s="1" t="s">
        <v>31042</v>
      </c>
      <c r="B19789" s="2" t="s">
        <v>27084</v>
      </c>
      <c r="C19789" s="1" t="s">
        <v>5669</v>
      </c>
      <c r="D19789" s="1" t="s">
        <v>5670</v>
      </c>
    </row>
    <row r="19790">
      <c r="A19790" s="1" t="s">
        <v>31043</v>
      </c>
      <c r="B19790" s="2" t="s">
        <v>27086</v>
      </c>
      <c r="C19790" s="1" t="s">
        <v>5669</v>
      </c>
      <c r="D19790" s="1" t="s">
        <v>5670</v>
      </c>
    </row>
    <row r="19791">
      <c r="A19791" s="1" t="s">
        <v>31044</v>
      </c>
      <c r="B19791" s="2" t="s">
        <v>27088</v>
      </c>
      <c r="C19791" s="1" t="s">
        <v>5669</v>
      </c>
      <c r="D19791" s="1" t="s">
        <v>5670</v>
      </c>
    </row>
    <row r="19792">
      <c r="A19792" s="1" t="s">
        <v>31045</v>
      </c>
      <c r="B19792" s="2" t="s">
        <v>27090</v>
      </c>
      <c r="C19792" s="1" t="s">
        <v>5669</v>
      </c>
      <c r="D19792" s="1" t="s">
        <v>5670</v>
      </c>
    </row>
    <row r="19793">
      <c r="A19793" s="1" t="s">
        <v>5672</v>
      </c>
      <c r="B19793" s="2" t="s">
        <v>7</v>
      </c>
      <c r="C19793" s="1" t="s">
        <v>5674</v>
      </c>
      <c r="D19793" s="1" t="s">
        <v>5675</v>
      </c>
    </row>
    <row r="19794">
      <c r="A19794" s="1" t="s">
        <v>31046</v>
      </c>
      <c r="B19794" s="2" t="s">
        <v>25962</v>
      </c>
      <c r="C19794" s="1" t="s">
        <v>5674</v>
      </c>
      <c r="D19794" s="1" t="s">
        <v>5675</v>
      </c>
    </row>
    <row r="19795">
      <c r="A19795" s="1" t="s">
        <v>31047</v>
      </c>
      <c r="B19795" s="2" t="s">
        <v>25964</v>
      </c>
      <c r="C19795" s="1" t="s">
        <v>5674</v>
      </c>
      <c r="D19795" s="1" t="s">
        <v>5675</v>
      </c>
    </row>
    <row r="19796">
      <c r="A19796" s="1" t="s">
        <v>31048</v>
      </c>
      <c r="B19796" s="2" t="s">
        <v>25966</v>
      </c>
      <c r="C19796" s="1" t="s">
        <v>5674</v>
      </c>
      <c r="D19796" s="1" t="s">
        <v>5675</v>
      </c>
    </row>
    <row r="19797">
      <c r="A19797" s="1" t="s">
        <v>31049</v>
      </c>
      <c r="B19797" s="2" t="s">
        <v>25968</v>
      </c>
      <c r="C19797" s="1" t="s">
        <v>5674</v>
      </c>
      <c r="D19797" s="1" t="s">
        <v>5675</v>
      </c>
    </row>
    <row r="19798">
      <c r="A19798" s="1" t="s">
        <v>31050</v>
      </c>
      <c r="B19798" s="2" t="s">
        <v>25970</v>
      </c>
      <c r="C19798" s="1" t="s">
        <v>5674</v>
      </c>
      <c r="D19798" s="1" t="s">
        <v>5675</v>
      </c>
    </row>
    <row r="19799">
      <c r="A19799" s="1" t="s">
        <v>31051</v>
      </c>
      <c r="B19799" s="2" t="s">
        <v>25972</v>
      </c>
      <c r="C19799" s="1" t="s">
        <v>5674</v>
      </c>
      <c r="D19799" s="1" t="s">
        <v>5675</v>
      </c>
    </row>
    <row r="19800">
      <c r="A19800" s="1" t="s">
        <v>31052</v>
      </c>
      <c r="B19800" s="2" t="s">
        <v>25974</v>
      </c>
      <c r="C19800" s="1" t="s">
        <v>5674</v>
      </c>
      <c r="D19800" s="1" t="s">
        <v>5675</v>
      </c>
    </row>
    <row r="19801">
      <c r="A19801" s="1" t="s">
        <v>31053</v>
      </c>
      <c r="B19801" s="2" t="s">
        <v>25976</v>
      </c>
      <c r="C19801" s="1" t="s">
        <v>5674</v>
      </c>
      <c r="D19801" s="1" t="s">
        <v>5675</v>
      </c>
    </row>
    <row r="19802">
      <c r="A19802" s="1" t="s">
        <v>31054</v>
      </c>
      <c r="B19802" s="2" t="s">
        <v>25978</v>
      </c>
      <c r="C19802" s="1" t="s">
        <v>5674</v>
      </c>
      <c r="D19802" s="1" t="s">
        <v>5675</v>
      </c>
    </row>
    <row r="19803">
      <c r="A19803" s="1" t="s">
        <v>31055</v>
      </c>
      <c r="B19803" s="2" t="s">
        <v>25980</v>
      </c>
      <c r="C19803" s="1" t="s">
        <v>5674</v>
      </c>
      <c r="D19803" s="1" t="s">
        <v>5675</v>
      </c>
    </row>
    <row r="19804">
      <c r="A19804" s="1" t="s">
        <v>31056</v>
      </c>
      <c r="B19804" s="2" t="s">
        <v>25982</v>
      </c>
      <c r="C19804" s="1" t="s">
        <v>5674</v>
      </c>
      <c r="D19804" s="1" t="s">
        <v>5675</v>
      </c>
    </row>
    <row r="19805">
      <c r="A19805" s="1" t="s">
        <v>31057</v>
      </c>
      <c r="B19805" s="2" t="s">
        <v>25984</v>
      </c>
      <c r="C19805" s="1" t="s">
        <v>5674</v>
      </c>
      <c r="D19805" s="1" t="s">
        <v>5675</v>
      </c>
    </row>
    <row r="19806">
      <c r="A19806" s="1" t="s">
        <v>31058</v>
      </c>
      <c r="B19806" s="2" t="s">
        <v>25986</v>
      </c>
      <c r="C19806" s="1" t="s">
        <v>5674</v>
      </c>
      <c r="D19806" s="1" t="s">
        <v>5675</v>
      </c>
    </row>
    <row r="19807">
      <c r="A19807" s="1" t="s">
        <v>31059</v>
      </c>
      <c r="B19807" s="2" t="s">
        <v>25988</v>
      </c>
      <c r="C19807" s="1" t="s">
        <v>5674</v>
      </c>
      <c r="D19807" s="1" t="s">
        <v>5675</v>
      </c>
    </row>
    <row r="19808">
      <c r="A19808" s="1" t="s">
        <v>31060</v>
      </c>
      <c r="B19808" s="2" t="s">
        <v>25990</v>
      </c>
      <c r="C19808" s="1" t="s">
        <v>5674</v>
      </c>
      <c r="D19808" s="1" t="s">
        <v>5675</v>
      </c>
    </row>
    <row r="19809">
      <c r="A19809" s="1" t="s">
        <v>31061</v>
      </c>
      <c r="B19809" s="2" t="s">
        <v>25992</v>
      </c>
      <c r="C19809" s="1" t="s">
        <v>5674</v>
      </c>
      <c r="D19809" s="1" t="s">
        <v>5675</v>
      </c>
    </row>
    <row r="19810">
      <c r="A19810" s="1" t="s">
        <v>31062</v>
      </c>
      <c r="B19810" s="2" t="s">
        <v>25994</v>
      </c>
      <c r="C19810" s="1" t="s">
        <v>5674</v>
      </c>
      <c r="D19810" s="1" t="s">
        <v>5675</v>
      </c>
    </row>
    <row r="19811">
      <c r="A19811" s="1" t="s">
        <v>31063</v>
      </c>
      <c r="B19811" s="2" t="s">
        <v>25996</v>
      </c>
      <c r="C19811" s="1" t="s">
        <v>5674</v>
      </c>
      <c r="D19811" s="1" t="s">
        <v>5675</v>
      </c>
    </row>
    <row r="19812">
      <c r="A19812" s="1" t="s">
        <v>31064</v>
      </c>
      <c r="B19812" s="2" t="s">
        <v>25998</v>
      </c>
      <c r="C19812" s="1" t="s">
        <v>5674</v>
      </c>
      <c r="D19812" s="1" t="s">
        <v>5675</v>
      </c>
    </row>
    <row r="19813">
      <c r="A19813" s="1" t="s">
        <v>31065</v>
      </c>
      <c r="B19813" s="2" t="s">
        <v>26000</v>
      </c>
      <c r="C19813" s="1" t="s">
        <v>5674</v>
      </c>
      <c r="D19813" s="1" t="s">
        <v>5675</v>
      </c>
    </row>
    <row r="19814">
      <c r="A19814" s="1" t="s">
        <v>31066</v>
      </c>
      <c r="B19814" s="2" t="s">
        <v>26002</v>
      </c>
      <c r="C19814" s="1" t="s">
        <v>5674</v>
      </c>
      <c r="D19814" s="1" t="s">
        <v>5675</v>
      </c>
    </row>
    <row r="19815">
      <c r="A19815" s="1" t="s">
        <v>31067</v>
      </c>
      <c r="B19815" s="2" t="s">
        <v>26004</v>
      </c>
      <c r="C19815" s="1" t="s">
        <v>5674</v>
      </c>
      <c r="D19815" s="1" t="s">
        <v>5675</v>
      </c>
    </row>
    <row r="19816">
      <c r="A19816" s="1" t="s">
        <v>31068</v>
      </c>
      <c r="B19816" s="2" t="s">
        <v>26006</v>
      </c>
      <c r="C19816" s="1" t="s">
        <v>5674</v>
      </c>
      <c r="D19816" s="1" t="s">
        <v>5675</v>
      </c>
    </row>
    <row r="19817">
      <c r="A19817" s="1" t="s">
        <v>31069</v>
      </c>
      <c r="B19817" s="2" t="s">
        <v>26008</v>
      </c>
      <c r="C19817" s="1" t="s">
        <v>5674</v>
      </c>
      <c r="D19817" s="1" t="s">
        <v>5675</v>
      </c>
    </row>
    <row r="19818">
      <c r="A19818" s="1" t="s">
        <v>31070</v>
      </c>
      <c r="B19818" s="2" t="s">
        <v>26010</v>
      </c>
      <c r="C19818" s="1" t="s">
        <v>5674</v>
      </c>
      <c r="D19818" s="1" t="s">
        <v>5675</v>
      </c>
    </row>
    <row r="19819">
      <c r="A19819" s="1" t="s">
        <v>31071</v>
      </c>
      <c r="B19819" s="2" t="s">
        <v>26012</v>
      </c>
      <c r="C19819" s="1" t="s">
        <v>5674</v>
      </c>
      <c r="D19819" s="1" t="s">
        <v>5675</v>
      </c>
    </row>
    <row r="19820">
      <c r="A19820" s="1" t="s">
        <v>31072</v>
      </c>
      <c r="B19820" s="2" t="s">
        <v>26014</v>
      </c>
      <c r="C19820" s="1" t="s">
        <v>5674</v>
      </c>
      <c r="D19820" s="1" t="s">
        <v>5675</v>
      </c>
    </row>
    <row r="19821">
      <c r="A19821" s="1" t="s">
        <v>31073</v>
      </c>
      <c r="B19821" s="2" t="s">
        <v>26016</v>
      </c>
      <c r="C19821" s="1" t="s">
        <v>5674</v>
      </c>
      <c r="D19821" s="1" t="s">
        <v>5675</v>
      </c>
    </row>
    <row r="19822">
      <c r="A19822" s="1" t="s">
        <v>31074</v>
      </c>
      <c r="B19822" s="2" t="s">
        <v>26018</v>
      </c>
      <c r="C19822" s="1" t="s">
        <v>5674</v>
      </c>
      <c r="D19822" s="1" t="s">
        <v>5675</v>
      </c>
    </row>
    <row r="19823">
      <c r="A19823" s="1" t="s">
        <v>31075</v>
      </c>
      <c r="B19823" s="2" t="s">
        <v>26020</v>
      </c>
      <c r="C19823" s="1" t="s">
        <v>5674</v>
      </c>
      <c r="D19823" s="1" t="s">
        <v>5675</v>
      </c>
    </row>
    <row r="19824">
      <c r="A19824" s="1" t="s">
        <v>31076</v>
      </c>
      <c r="B19824" s="2" t="s">
        <v>26022</v>
      </c>
      <c r="C19824" s="1" t="s">
        <v>5674</v>
      </c>
      <c r="D19824" s="1" t="s">
        <v>5675</v>
      </c>
    </row>
    <row r="19825">
      <c r="A19825" s="1" t="s">
        <v>31077</v>
      </c>
      <c r="B19825" s="2" t="s">
        <v>26024</v>
      </c>
      <c r="C19825" s="1" t="s">
        <v>5674</v>
      </c>
      <c r="D19825" s="1" t="s">
        <v>5675</v>
      </c>
    </row>
    <row r="19826">
      <c r="A19826" s="1" t="s">
        <v>31078</v>
      </c>
      <c r="B19826" s="2" t="s">
        <v>26026</v>
      </c>
      <c r="C19826" s="1" t="s">
        <v>5674</v>
      </c>
      <c r="D19826" s="1" t="s">
        <v>5675</v>
      </c>
    </row>
    <row r="19827">
      <c r="A19827" s="1" t="s">
        <v>31079</v>
      </c>
      <c r="B19827" s="2" t="s">
        <v>26028</v>
      </c>
      <c r="C19827" s="1" t="s">
        <v>5674</v>
      </c>
      <c r="D19827" s="1" t="s">
        <v>5675</v>
      </c>
    </row>
    <row r="19828">
      <c r="A19828" s="1" t="s">
        <v>31080</v>
      </c>
      <c r="B19828" s="2" t="s">
        <v>26030</v>
      </c>
      <c r="C19828" s="1" t="s">
        <v>5674</v>
      </c>
      <c r="D19828" s="1" t="s">
        <v>5675</v>
      </c>
    </row>
    <row r="19829">
      <c r="A19829" s="1" t="s">
        <v>31081</v>
      </c>
      <c r="B19829" s="2" t="s">
        <v>26032</v>
      </c>
      <c r="C19829" s="1" t="s">
        <v>5674</v>
      </c>
      <c r="D19829" s="1" t="s">
        <v>5675</v>
      </c>
    </row>
    <row r="19830">
      <c r="A19830" s="1" t="s">
        <v>31082</v>
      </c>
      <c r="B19830" s="2" t="s">
        <v>26034</v>
      </c>
      <c r="C19830" s="1" t="s">
        <v>5674</v>
      </c>
      <c r="D19830" s="1" t="s">
        <v>5675</v>
      </c>
    </row>
    <row r="19831">
      <c r="A19831" s="1" t="s">
        <v>31083</v>
      </c>
      <c r="B19831" s="2" t="s">
        <v>26036</v>
      </c>
      <c r="C19831" s="1" t="s">
        <v>5674</v>
      </c>
      <c r="D19831" s="1" t="s">
        <v>5675</v>
      </c>
    </row>
    <row r="19832">
      <c r="A19832" s="1" t="s">
        <v>31084</v>
      </c>
      <c r="B19832" s="2" t="s">
        <v>26038</v>
      </c>
      <c r="C19832" s="1" t="s">
        <v>5674</v>
      </c>
      <c r="D19832" s="1" t="s">
        <v>5675</v>
      </c>
    </row>
    <row r="19833">
      <c r="A19833" s="1" t="s">
        <v>31085</v>
      </c>
      <c r="B19833" s="2" t="s">
        <v>26040</v>
      </c>
      <c r="C19833" s="1" t="s">
        <v>5674</v>
      </c>
      <c r="D19833" s="1" t="s">
        <v>5675</v>
      </c>
    </row>
    <row r="19834">
      <c r="A19834" s="1" t="s">
        <v>31086</v>
      </c>
      <c r="B19834" s="2" t="s">
        <v>26042</v>
      </c>
      <c r="C19834" s="1" t="s">
        <v>5674</v>
      </c>
      <c r="D19834" s="1" t="s">
        <v>5675</v>
      </c>
    </row>
    <row r="19835">
      <c r="A19835" s="1" t="s">
        <v>31087</v>
      </c>
      <c r="B19835" s="2" t="s">
        <v>26044</v>
      </c>
      <c r="C19835" s="1" t="s">
        <v>5674</v>
      </c>
      <c r="D19835" s="1" t="s">
        <v>5675</v>
      </c>
    </row>
    <row r="19836">
      <c r="A19836" s="1" t="s">
        <v>31088</v>
      </c>
      <c r="B19836" s="2" t="s">
        <v>26046</v>
      </c>
      <c r="C19836" s="1" t="s">
        <v>5674</v>
      </c>
      <c r="D19836" s="1" t="s">
        <v>5675</v>
      </c>
    </row>
    <row r="19837">
      <c r="A19837" s="1" t="s">
        <v>31089</v>
      </c>
      <c r="B19837" s="2" t="s">
        <v>26048</v>
      </c>
      <c r="C19837" s="1" t="s">
        <v>5674</v>
      </c>
      <c r="D19837" s="1" t="s">
        <v>5675</v>
      </c>
    </row>
    <row r="19838">
      <c r="A19838" s="1" t="s">
        <v>31090</v>
      </c>
      <c r="B19838" s="2" t="s">
        <v>26050</v>
      </c>
      <c r="C19838" s="1" t="s">
        <v>5674</v>
      </c>
      <c r="D19838" s="1" t="s">
        <v>5675</v>
      </c>
    </row>
    <row r="19839">
      <c r="A19839" s="1" t="s">
        <v>31091</v>
      </c>
      <c r="B19839" s="2" t="s">
        <v>26052</v>
      </c>
      <c r="C19839" s="1" t="s">
        <v>5674</v>
      </c>
      <c r="D19839" s="1" t="s">
        <v>5675</v>
      </c>
    </row>
    <row r="19840">
      <c r="A19840" s="1" t="s">
        <v>31092</v>
      </c>
      <c r="B19840" s="2" t="s">
        <v>26054</v>
      </c>
      <c r="C19840" s="1" t="s">
        <v>5674</v>
      </c>
      <c r="D19840" s="1" t="s">
        <v>5675</v>
      </c>
    </row>
    <row r="19841">
      <c r="A19841" s="1" t="s">
        <v>31093</v>
      </c>
      <c r="B19841" s="2" t="s">
        <v>26056</v>
      </c>
      <c r="C19841" s="1" t="s">
        <v>5674</v>
      </c>
      <c r="D19841" s="1" t="s">
        <v>5675</v>
      </c>
    </row>
    <row r="19842">
      <c r="A19842" s="1" t="s">
        <v>31094</v>
      </c>
      <c r="B19842" s="2" t="s">
        <v>26058</v>
      </c>
      <c r="C19842" s="1" t="s">
        <v>5674</v>
      </c>
      <c r="D19842" s="1" t="s">
        <v>5675</v>
      </c>
    </row>
    <row r="19843">
      <c r="A19843" s="1" t="s">
        <v>31095</v>
      </c>
      <c r="B19843" s="2" t="s">
        <v>26060</v>
      </c>
      <c r="C19843" s="1" t="s">
        <v>5674</v>
      </c>
      <c r="D19843" s="1" t="s">
        <v>5675</v>
      </c>
    </row>
    <row r="19844">
      <c r="A19844" s="1" t="s">
        <v>31096</v>
      </c>
      <c r="B19844" s="2" t="s">
        <v>26062</v>
      </c>
      <c r="C19844" s="1" t="s">
        <v>5674</v>
      </c>
      <c r="D19844" s="1" t="s">
        <v>5675</v>
      </c>
    </row>
    <row r="19845">
      <c r="A19845" s="1" t="s">
        <v>31097</v>
      </c>
      <c r="B19845" s="2" t="s">
        <v>26064</v>
      </c>
      <c r="C19845" s="1" t="s">
        <v>5674</v>
      </c>
      <c r="D19845" s="1" t="s">
        <v>5675</v>
      </c>
    </row>
    <row r="19846">
      <c r="A19846" s="1" t="s">
        <v>31098</v>
      </c>
      <c r="B19846" s="2" t="s">
        <v>26066</v>
      </c>
      <c r="C19846" s="1" t="s">
        <v>5674</v>
      </c>
      <c r="D19846" s="1" t="s">
        <v>5675</v>
      </c>
    </row>
    <row r="19847">
      <c r="A19847" s="1" t="s">
        <v>31099</v>
      </c>
      <c r="B19847" s="2" t="s">
        <v>26068</v>
      </c>
      <c r="C19847" s="1" t="s">
        <v>5674</v>
      </c>
      <c r="D19847" s="1" t="s">
        <v>5675</v>
      </c>
    </row>
    <row r="19848">
      <c r="A19848" s="1" t="s">
        <v>31100</v>
      </c>
      <c r="B19848" s="2" t="s">
        <v>26070</v>
      </c>
      <c r="C19848" s="1" t="s">
        <v>5674</v>
      </c>
      <c r="D19848" s="1" t="s">
        <v>5675</v>
      </c>
    </row>
    <row r="19849">
      <c r="A19849" s="1" t="s">
        <v>31101</v>
      </c>
      <c r="B19849" s="2" t="s">
        <v>26072</v>
      </c>
      <c r="C19849" s="1" t="s">
        <v>5674</v>
      </c>
      <c r="D19849" s="1" t="s">
        <v>5675</v>
      </c>
    </row>
    <row r="19850">
      <c r="A19850" s="1" t="s">
        <v>31102</v>
      </c>
      <c r="B19850" s="2" t="s">
        <v>26074</v>
      </c>
      <c r="C19850" s="1" t="s">
        <v>5674</v>
      </c>
      <c r="D19850" s="1" t="s">
        <v>5675</v>
      </c>
    </row>
    <row r="19851">
      <c r="A19851" s="1" t="s">
        <v>31103</v>
      </c>
      <c r="B19851" s="2" t="s">
        <v>26076</v>
      </c>
      <c r="C19851" s="1" t="s">
        <v>5674</v>
      </c>
      <c r="D19851" s="1" t="s">
        <v>5675</v>
      </c>
    </row>
    <row r="19852">
      <c r="A19852" s="1" t="s">
        <v>31104</v>
      </c>
      <c r="B19852" s="2" t="s">
        <v>26078</v>
      </c>
      <c r="C19852" s="1" t="s">
        <v>5674</v>
      </c>
      <c r="D19852" s="1" t="s">
        <v>5675</v>
      </c>
    </row>
    <row r="19853">
      <c r="A19853" s="1" t="s">
        <v>31105</v>
      </c>
      <c r="B19853" s="2" t="s">
        <v>26080</v>
      </c>
      <c r="C19853" s="1" t="s">
        <v>5674</v>
      </c>
      <c r="D19853" s="1" t="s">
        <v>5675</v>
      </c>
    </row>
    <row r="19854">
      <c r="A19854" s="1" t="s">
        <v>31106</v>
      </c>
      <c r="B19854" s="2" t="s">
        <v>26082</v>
      </c>
      <c r="C19854" s="1" t="s">
        <v>5674</v>
      </c>
      <c r="D19854" s="1" t="s">
        <v>5675</v>
      </c>
    </row>
    <row r="19855">
      <c r="A19855" s="1" t="s">
        <v>31107</v>
      </c>
      <c r="B19855" s="2" t="s">
        <v>26084</v>
      </c>
      <c r="C19855" s="1" t="s">
        <v>5674</v>
      </c>
      <c r="D19855" s="1" t="s">
        <v>5675</v>
      </c>
    </row>
    <row r="19856">
      <c r="A19856" s="1" t="s">
        <v>31108</v>
      </c>
      <c r="B19856" s="2" t="s">
        <v>26086</v>
      </c>
      <c r="C19856" s="1" t="s">
        <v>5674</v>
      </c>
      <c r="D19856" s="1" t="s">
        <v>5675</v>
      </c>
    </row>
    <row r="19857">
      <c r="A19857" s="1" t="s">
        <v>31109</v>
      </c>
      <c r="B19857" s="2" t="s">
        <v>26088</v>
      </c>
      <c r="C19857" s="1" t="s">
        <v>5674</v>
      </c>
      <c r="D19857" s="1" t="s">
        <v>5675</v>
      </c>
    </row>
    <row r="19858">
      <c r="A19858" s="1" t="s">
        <v>31110</v>
      </c>
      <c r="B19858" s="2" t="s">
        <v>26090</v>
      </c>
      <c r="C19858" s="1" t="s">
        <v>5674</v>
      </c>
      <c r="D19858" s="1" t="s">
        <v>5675</v>
      </c>
    </row>
    <row r="19859">
      <c r="A19859" s="1" t="s">
        <v>31111</v>
      </c>
      <c r="B19859" s="2" t="s">
        <v>26092</v>
      </c>
      <c r="C19859" s="1" t="s">
        <v>5674</v>
      </c>
      <c r="D19859" s="1" t="s">
        <v>5675</v>
      </c>
    </row>
    <row r="19860">
      <c r="A19860" s="1" t="s">
        <v>31112</v>
      </c>
      <c r="B19860" s="2" t="s">
        <v>26094</v>
      </c>
      <c r="C19860" s="1" t="s">
        <v>5674</v>
      </c>
      <c r="D19860" s="1" t="s">
        <v>5675</v>
      </c>
    </row>
    <row r="19861">
      <c r="A19861" s="1" t="s">
        <v>31113</v>
      </c>
      <c r="B19861" s="2" t="s">
        <v>26096</v>
      </c>
      <c r="C19861" s="1" t="s">
        <v>5674</v>
      </c>
      <c r="D19861" s="1" t="s">
        <v>5675</v>
      </c>
    </row>
    <row r="19862">
      <c r="A19862" s="1" t="s">
        <v>31114</v>
      </c>
      <c r="B19862" s="2" t="s">
        <v>26098</v>
      </c>
      <c r="C19862" s="1" t="s">
        <v>5674</v>
      </c>
      <c r="D19862" s="1" t="s">
        <v>5675</v>
      </c>
    </row>
    <row r="19863">
      <c r="A19863" s="1" t="s">
        <v>31115</v>
      </c>
      <c r="B19863" s="2" t="s">
        <v>26100</v>
      </c>
      <c r="C19863" s="1" t="s">
        <v>5674</v>
      </c>
      <c r="D19863" s="1" t="s">
        <v>5675</v>
      </c>
    </row>
    <row r="19864">
      <c r="A19864" s="1" t="s">
        <v>31116</v>
      </c>
      <c r="B19864" s="2" t="s">
        <v>26102</v>
      </c>
      <c r="C19864" s="1" t="s">
        <v>5674</v>
      </c>
      <c r="D19864" s="1" t="s">
        <v>5675</v>
      </c>
    </row>
    <row r="19865">
      <c r="A19865" s="1" t="s">
        <v>31117</v>
      </c>
      <c r="B19865" s="2" t="s">
        <v>26104</v>
      </c>
      <c r="C19865" s="1" t="s">
        <v>5674</v>
      </c>
      <c r="D19865" s="1" t="s">
        <v>5675</v>
      </c>
    </row>
    <row r="19866">
      <c r="A19866" s="1" t="s">
        <v>31118</v>
      </c>
      <c r="B19866" s="2" t="s">
        <v>26106</v>
      </c>
      <c r="C19866" s="1" t="s">
        <v>5674</v>
      </c>
      <c r="D19866" s="1" t="s">
        <v>5675</v>
      </c>
    </row>
    <row r="19867">
      <c r="A19867" s="1" t="s">
        <v>31119</v>
      </c>
      <c r="B19867" s="2" t="s">
        <v>26108</v>
      </c>
      <c r="C19867" s="1" t="s">
        <v>5674</v>
      </c>
      <c r="D19867" s="1" t="s">
        <v>5675</v>
      </c>
    </row>
    <row r="19868">
      <c r="A19868" s="1" t="s">
        <v>31120</v>
      </c>
      <c r="B19868" s="2" t="s">
        <v>26110</v>
      </c>
      <c r="C19868" s="1" t="s">
        <v>5674</v>
      </c>
      <c r="D19868" s="1" t="s">
        <v>5675</v>
      </c>
    </row>
    <row r="19869">
      <c r="A19869" s="1" t="s">
        <v>31121</v>
      </c>
      <c r="B19869" s="2" t="s">
        <v>26112</v>
      </c>
      <c r="C19869" s="1" t="s">
        <v>5674</v>
      </c>
      <c r="D19869" s="1" t="s">
        <v>5675</v>
      </c>
    </row>
    <row r="19870">
      <c r="A19870" s="1" t="s">
        <v>31122</v>
      </c>
      <c r="B19870" s="2" t="s">
        <v>26114</v>
      </c>
      <c r="C19870" s="1" t="s">
        <v>5674</v>
      </c>
      <c r="D19870" s="1" t="s">
        <v>5675</v>
      </c>
    </row>
    <row r="19871">
      <c r="A19871" s="1" t="s">
        <v>31123</v>
      </c>
      <c r="B19871" s="2" t="s">
        <v>26116</v>
      </c>
      <c r="C19871" s="1" t="s">
        <v>5674</v>
      </c>
      <c r="D19871" s="1" t="s">
        <v>5675</v>
      </c>
    </row>
    <row r="19872">
      <c r="A19872" s="1" t="s">
        <v>31124</v>
      </c>
      <c r="B19872" s="2" t="s">
        <v>26118</v>
      </c>
      <c r="C19872" s="1" t="s">
        <v>5674</v>
      </c>
      <c r="D19872" s="1" t="s">
        <v>5675</v>
      </c>
    </row>
    <row r="19873">
      <c r="A19873" s="1" t="s">
        <v>31125</v>
      </c>
      <c r="B19873" s="2" t="s">
        <v>26120</v>
      </c>
      <c r="C19873" s="1" t="s">
        <v>5674</v>
      </c>
      <c r="D19873" s="1" t="s">
        <v>5675</v>
      </c>
    </row>
    <row r="19874">
      <c r="A19874" s="1" t="s">
        <v>31126</v>
      </c>
      <c r="B19874" s="2" t="s">
        <v>26122</v>
      </c>
      <c r="C19874" s="1" t="s">
        <v>5674</v>
      </c>
      <c r="D19874" s="1" t="s">
        <v>5675</v>
      </c>
    </row>
    <row r="19875">
      <c r="A19875" s="1" t="s">
        <v>31127</v>
      </c>
      <c r="B19875" s="2" t="s">
        <v>26124</v>
      </c>
      <c r="C19875" s="1" t="s">
        <v>5674</v>
      </c>
      <c r="D19875" s="1" t="s">
        <v>5675</v>
      </c>
    </row>
    <row r="19876">
      <c r="A19876" s="1" t="s">
        <v>31128</v>
      </c>
      <c r="B19876" s="2" t="s">
        <v>26126</v>
      </c>
      <c r="C19876" s="1" t="s">
        <v>5674</v>
      </c>
      <c r="D19876" s="1" t="s">
        <v>5675</v>
      </c>
    </row>
    <row r="19877">
      <c r="A19877" s="1" t="s">
        <v>31129</v>
      </c>
      <c r="B19877" s="2" t="s">
        <v>26128</v>
      </c>
      <c r="C19877" s="1" t="s">
        <v>5674</v>
      </c>
      <c r="D19877" s="1" t="s">
        <v>5675</v>
      </c>
    </row>
    <row r="19878">
      <c r="A19878" s="1" t="s">
        <v>31130</v>
      </c>
      <c r="B19878" s="2" t="s">
        <v>26130</v>
      </c>
      <c r="C19878" s="1" t="s">
        <v>5674</v>
      </c>
      <c r="D19878" s="1" t="s">
        <v>5675</v>
      </c>
    </row>
    <row r="19879">
      <c r="A19879" s="1" t="s">
        <v>31131</v>
      </c>
      <c r="B19879" s="2" t="s">
        <v>26132</v>
      </c>
      <c r="C19879" s="1" t="s">
        <v>5674</v>
      </c>
      <c r="D19879" s="1" t="s">
        <v>5675</v>
      </c>
    </row>
    <row r="19880">
      <c r="A19880" s="1" t="s">
        <v>31132</v>
      </c>
      <c r="B19880" s="2" t="s">
        <v>26134</v>
      </c>
      <c r="C19880" s="1" t="s">
        <v>5674</v>
      </c>
      <c r="D19880" s="1" t="s">
        <v>5675</v>
      </c>
    </row>
    <row r="19881">
      <c r="A19881" s="1" t="s">
        <v>31133</v>
      </c>
      <c r="B19881" s="2" t="s">
        <v>26136</v>
      </c>
      <c r="C19881" s="1" t="s">
        <v>5674</v>
      </c>
      <c r="D19881" s="1" t="s">
        <v>5675</v>
      </c>
    </row>
    <row r="19882">
      <c r="A19882" s="1" t="s">
        <v>31134</v>
      </c>
      <c r="B19882" s="2" t="s">
        <v>26138</v>
      </c>
      <c r="C19882" s="1" t="s">
        <v>5674</v>
      </c>
      <c r="D19882" s="1" t="s">
        <v>5675</v>
      </c>
    </row>
    <row r="19883">
      <c r="A19883" s="1" t="s">
        <v>31135</v>
      </c>
      <c r="B19883" s="2" t="s">
        <v>26140</v>
      </c>
      <c r="C19883" s="1" t="s">
        <v>5674</v>
      </c>
      <c r="D19883" s="1" t="s">
        <v>5675</v>
      </c>
    </row>
    <row r="19884">
      <c r="A19884" s="1" t="s">
        <v>31136</v>
      </c>
      <c r="B19884" s="2" t="s">
        <v>26142</v>
      </c>
      <c r="C19884" s="1" t="s">
        <v>5674</v>
      </c>
      <c r="D19884" s="1" t="s">
        <v>5675</v>
      </c>
    </row>
    <row r="19885">
      <c r="A19885" s="1" t="s">
        <v>31137</v>
      </c>
      <c r="B19885" s="2" t="s">
        <v>26144</v>
      </c>
      <c r="C19885" s="1" t="s">
        <v>5674</v>
      </c>
      <c r="D19885" s="1" t="s">
        <v>5675</v>
      </c>
    </row>
    <row r="19886">
      <c r="A19886" s="1" t="s">
        <v>31138</v>
      </c>
      <c r="B19886" s="2" t="s">
        <v>26146</v>
      </c>
      <c r="C19886" s="1" t="s">
        <v>5674</v>
      </c>
      <c r="D19886" s="1" t="s">
        <v>5675</v>
      </c>
    </row>
    <row r="19887">
      <c r="A19887" s="1" t="s">
        <v>31139</v>
      </c>
      <c r="B19887" s="2" t="s">
        <v>26148</v>
      </c>
      <c r="C19887" s="1" t="s">
        <v>5674</v>
      </c>
      <c r="D19887" s="1" t="s">
        <v>5675</v>
      </c>
    </row>
    <row r="19888">
      <c r="A19888" s="1" t="s">
        <v>31140</v>
      </c>
      <c r="B19888" s="2" t="s">
        <v>26150</v>
      </c>
      <c r="C19888" s="1" t="s">
        <v>5674</v>
      </c>
      <c r="D19888" s="1" t="s">
        <v>5675</v>
      </c>
    </row>
    <row r="19889">
      <c r="A19889" s="1" t="s">
        <v>31141</v>
      </c>
      <c r="B19889" s="2" t="s">
        <v>26152</v>
      </c>
      <c r="C19889" s="1" t="s">
        <v>5674</v>
      </c>
      <c r="D19889" s="1" t="s">
        <v>5675</v>
      </c>
    </row>
    <row r="19890">
      <c r="A19890" s="1" t="s">
        <v>31142</v>
      </c>
      <c r="B19890" s="2" t="s">
        <v>26154</v>
      </c>
      <c r="C19890" s="1" t="s">
        <v>5674</v>
      </c>
      <c r="D19890" s="1" t="s">
        <v>5675</v>
      </c>
    </row>
    <row r="19891">
      <c r="A19891" s="1" t="s">
        <v>31143</v>
      </c>
      <c r="B19891" s="2" t="s">
        <v>26156</v>
      </c>
      <c r="C19891" s="1" t="s">
        <v>5674</v>
      </c>
      <c r="D19891" s="1" t="s">
        <v>5675</v>
      </c>
    </row>
    <row r="19892">
      <c r="A19892" s="1" t="s">
        <v>31144</v>
      </c>
      <c r="B19892" s="2" t="s">
        <v>26158</v>
      </c>
      <c r="C19892" s="1" t="s">
        <v>5674</v>
      </c>
      <c r="D19892" s="1" t="s">
        <v>5675</v>
      </c>
    </row>
    <row r="19893">
      <c r="A19893" s="1" t="s">
        <v>31145</v>
      </c>
      <c r="B19893" s="2" t="s">
        <v>26160</v>
      </c>
      <c r="C19893" s="1" t="s">
        <v>5674</v>
      </c>
      <c r="D19893" s="1" t="s">
        <v>5675</v>
      </c>
    </row>
    <row r="19894">
      <c r="A19894" s="1" t="s">
        <v>31146</v>
      </c>
      <c r="B19894" s="2" t="s">
        <v>26162</v>
      </c>
      <c r="C19894" s="1" t="s">
        <v>5674</v>
      </c>
      <c r="D19894" s="1" t="s">
        <v>5675</v>
      </c>
    </row>
    <row r="19895">
      <c r="A19895" s="1" t="s">
        <v>31147</v>
      </c>
      <c r="B19895" s="2" t="s">
        <v>26164</v>
      </c>
      <c r="C19895" s="1" t="s">
        <v>5674</v>
      </c>
      <c r="D19895" s="1" t="s">
        <v>5675</v>
      </c>
    </row>
    <row r="19896">
      <c r="A19896" s="1" t="s">
        <v>31148</v>
      </c>
      <c r="B19896" s="2" t="s">
        <v>26166</v>
      </c>
      <c r="C19896" s="1" t="s">
        <v>5674</v>
      </c>
      <c r="D19896" s="1" t="s">
        <v>5675</v>
      </c>
    </row>
    <row r="19897">
      <c r="A19897" s="1" t="s">
        <v>31149</v>
      </c>
      <c r="B19897" s="2" t="s">
        <v>26168</v>
      </c>
      <c r="C19897" s="1" t="s">
        <v>5674</v>
      </c>
      <c r="D19897" s="1" t="s">
        <v>5675</v>
      </c>
    </row>
    <row r="19898">
      <c r="A19898" s="1" t="s">
        <v>31150</v>
      </c>
      <c r="B19898" s="2" t="s">
        <v>26170</v>
      </c>
      <c r="C19898" s="1" t="s">
        <v>5674</v>
      </c>
      <c r="D19898" s="1" t="s">
        <v>5675</v>
      </c>
    </row>
    <row r="19899">
      <c r="A19899" s="1" t="s">
        <v>31151</v>
      </c>
      <c r="B19899" s="2" t="s">
        <v>26172</v>
      </c>
      <c r="C19899" s="1" t="s">
        <v>5674</v>
      </c>
      <c r="D19899" s="1" t="s">
        <v>5675</v>
      </c>
    </row>
    <row r="19900">
      <c r="A19900" s="1" t="s">
        <v>31152</v>
      </c>
      <c r="B19900" s="2" t="s">
        <v>26174</v>
      </c>
      <c r="C19900" s="1" t="s">
        <v>5674</v>
      </c>
      <c r="D19900" s="1" t="s">
        <v>5675</v>
      </c>
    </row>
    <row r="19901">
      <c r="A19901" s="1" t="s">
        <v>31153</v>
      </c>
      <c r="B19901" s="2" t="s">
        <v>26176</v>
      </c>
      <c r="C19901" s="1" t="s">
        <v>5674</v>
      </c>
      <c r="D19901" s="1" t="s">
        <v>5675</v>
      </c>
    </row>
    <row r="19902">
      <c r="A19902" s="1" t="s">
        <v>31154</v>
      </c>
      <c r="B19902" s="2" t="s">
        <v>26178</v>
      </c>
      <c r="C19902" s="1" t="s">
        <v>5674</v>
      </c>
      <c r="D19902" s="1" t="s">
        <v>5675</v>
      </c>
    </row>
    <row r="19903">
      <c r="A19903" s="1" t="s">
        <v>31155</v>
      </c>
      <c r="B19903" s="2" t="s">
        <v>26180</v>
      </c>
      <c r="C19903" s="1" t="s">
        <v>5674</v>
      </c>
      <c r="D19903" s="1" t="s">
        <v>5675</v>
      </c>
    </row>
    <row r="19904">
      <c r="A19904" s="1" t="s">
        <v>31156</v>
      </c>
      <c r="B19904" s="2" t="s">
        <v>26182</v>
      </c>
      <c r="C19904" s="1" t="s">
        <v>5674</v>
      </c>
      <c r="D19904" s="1" t="s">
        <v>5675</v>
      </c>
    </row>
    <row r="19905">
      <c r="A19905" s="1" t="s">
        <v>31157</v>
      </c>
      <c r="B19905" s="2" t="s">
        <v>26184</v>
      </c>
      <c r="C19905" s="1" t="s">
        <v>5674</v>
      </c>
      <c r="D19905" s="1" t="s">
        <v>5675</v>
      </c>
    </row>
    <row r="19906">
      <c r="A19906" s="1" t="s">
        <v>31158</v>
      </c>
      <c r="B19906" s="2" t="s">
        <v>26186</v>
      </c>
      <c r="C19906" s="1" t="s">
        <v>5674</v>
      </c>
      <c r="D19906" s="1" t="s">
        <v>5675</v>
      </c>
    </row>
    <row r="19907">
      <c r="A19907" s="1" t="s">
        <v>31159</v>
      </c>
      <c r="B19907" s="2" t="s">
        <v>26188</v>
      </c>
      <c r="C19907" s="1" t="s">
        <v>5674</v>
      </c>
      <c r="D19907" s="1" t="s">
        <v>5675</v>
      </c>
    </row>
    <row r="19908">
      <c r="A19908" s="1" t="s">
        <v>31160</v>
      </c>
      <c r="B19908" s="2" t="s">
        <v>26190</v>
      </c>
      <c r="C19908" s="1" t="s">
        <v>5674</v>
      </c>
      <c r="D19908" s="1" t="s">
        <v>5675</v>
      </c>
    </row>
    <row r="19909">
      <c r="A19909" s="1" t="s">
        <v>31161</v>
      </c>
      <c r="B19909" s="2" t="s">
        <v>26192</v>
      </c>
      <c r="C19909" s="1" t="s">
        <v>5674</v>
      </c>
      <c r="D19909" s="1" t="s">
        <v>5675</v>
      </c>
    </row>
    <row r="19910">
      <c r="A19910" s="1" t="s">
        <v>31162</v>
      </c>
      <c r="B19910" s="2" t="s">
        <v>26194</v>
      </c>
      <c r="C19910" s="1" t="s">
        <v>5674</v>
      </c>
      <c r="D19910" s="1" t="s">
        <v>5675</v>
      </c>
    </row>
    <row r="19911">
      <c r="A19911" s="1" t="s">
        <v>31163</v>
      </c>
      <c r="B19911" s="2" t="s">
        <v>26196</v>
      </c>
      <c r="C19911" s="1" t="s">
        <v>5674</v>
      </c>
      <c r="D19911" s="1" t="s">
        <v>5675</v>
      </c>
    </row>
    <row r="19912">
      <c r="A19912" s="1" t="s">
        <v>31164</v>
      </c>
      <c r="B19912" s="2" t="s">
        <v>26198</v>
      </c>
      <c r="C19912" s="1" t="s">
        <v>5674</v>
      </c>
      <c r="D19912" s="1" t="s">
        <v>5675</v>
      </c>
    </row>
    <row r="19913">
      <c r="A19913" s="1" t="s">
        <v>31165</v>
      </c>
      <c r="B19913" s="2" t="s">
        <v>26200</v>
      </c>
      <c r="C19913" s="1" t="s">
        <v>5674</v>
      </c>
      <c r="D19913" s="1" t="s">
        <v>5675</v>
      </c>
    </row>
    <row r="19914">
      <c r="A19914" s="1" t="s">
        <v>31166</v>
      </c>
      <c r="B19914" s="2" t="s">
        <v>26202</v>
      </c>
      <c r="C19914" s="1" t="s">
        <v>5674</v>
      </c>
      <c r="D19914" s="1" t="s">
        <v>5675</v>
      </c>
    </row>
    <row r="19915">
      <c r="A19915" s="1" t="s">
        <v>31167</v>
      </c>
      <c r="B19915" s="2" t="s">
        <v>26204</v>
      </c>
      <c r="C19915" s="1" t="s">
        <v>5674</v>
      </c>
      <c r="D19915" s="1" t="s">
        <v>5675</v>
      </c>
    </row>
    <row r="19916">
      <c r="A19916" s="1" t="s">
        <v>31168</v>
      </c>
      <c r="B19916" s="2" t="s">
        <v>26206</v>
      </c>
      <c r="C19916" s="1" t="s">
        <v>5674</v>
      </c>
      <c r="D19916" s="1" t="s">
        <v>5675</v>
      </c>
    </row>
    <row r="19917">
      <c r="A19917" s="1" t="s">
        <v>31169</v>
      </c>
      <c r="B19917" s="2" t="s">
        <v>26208</v>
      </c>
      <c r="C19917" s="1" t="s">
        <v>5674</v>
      </c>
      <c r="D19917" s="1" t="s">
        <v>5675</v>
      </c>
    </row>
    <row r="19918">
      <c r="A19918" s="1" t="s">
        <v>31170</v>
      </c>
      <c r="B19918" s="2" t="s">
        <v>26210</v>
      </c>
      <c r="C19918" s="1" t="s">
        <v>5674</v>
      </c>
      <c r="D19918" s="1" t="s">
        <v>5675</v>
      </c>
    </row>
    <row r="19919">
      <c r="A19919" s="1" t="s">
        <v>31171</v>
      </c>
      <c r="B19919" s="2" t="s">
        <v>26212</v>
      </c>
      <c r="C19919" s="1" t="s">
        <v>5674</v>
      </c>
      <c r="D19919" s="1" t="s">
        <v>5675</v>
      </c>
    </row>
    <row r="19920">
      <c r="A19920" s="1" t="s">
        <v>31172</v>
      </c>
      <c r="B19920" s="2" t="s">
        <v>26214</v>
      </c>
      <c r="C19920" s="1" t="s">
        <v>5674</v>
      </c>
      <c r="D19920" s="1" t="s">
        <v>5675</v>
      </c>
    </row>
    <row r="19921">
      <c r="A19921" s="1" t="s">
        <v>31173</v>
      </c>
      <c r="B19921" s="2" t="s">
        <v>26216</v>
      </c>
      <c r="C19921" s="1" t="s">
        <v>5674</v>
      </c>
      <c r="D19921" s="1" t="s">
        <v>5675</v>
      </c>
    </row>
    <row r="19922">
      <c r="A19922" s="1" t="s">
        <v>31174</v>
      </c>
      <c r="B19922" s="2" t="s">
        <v>26218</v>
      </c>
      <c r="C19922" s="1" t="s">
        <v>5674</v>
      </c>
      <c r="D19922" s="1" t="s">
        <v>5675</v>
      </c>
    </row>
    <row r="19923">
      <c r="A19923" s="1" t="s">
        <v>31175</v>
      </c>
      <c r="B19923" s="2" t="s">
        <v>26220</v>
      </c>
      <c r="C19923" s="1" t="s">
        <v>5674</v>
      </c>
      <c r="D19923" s="1" t="s">
        <v>5675</v>
      </c>
    </row>
    <row r="19924">
      <c r="A19924" s="1" t="s">
        <v>31176</v>
      </c>
      <c r="B19924" s="2" t="s">
        <v>26222</v>
      </c>
      <c r="C19924" s="1" t="s">
        <v>5674</v>
      </c>
      <c r="D19924" s="1" t="s">
        <v>5675</v>
      </c>
    </row>
    <row r="19925">
      <c r="A19925" s="1" t="s">
        <v>31177</v>
      </c>
      <c r="B19925" s="2" t="s">
        <v>26224</v>
      </c>
      <c r="C19925" s="1" t="s">
        <v>5674</v>
      </c>
      <c r="D19925" s="1" t="s">
        <v>5675</v>
      </c>
    </row>
    <row r="19926">
      <c r="A19926" s="1" t="s">
        <v>31178</v>
      </c>
      <c r="B19926" s="2" t="s">
        <v>26226</v>
      </c>
      <c r="C19926" s="1" t="s">
        <v>5674</v>
      </c>
      <c r="D19926" s="1" t="s">
        <v>5675</v>
      </c>
    </row>
    <row r="19927">
      <c r="A19927" s="1" t="s">
        <v>31179</v>
      </c>
      <c r="B19927" s="2" t="s">
        <v>26228</v>
      </c>
      <c r="C19927" s="1" t="s">
        <v>5674</v>
      </c>
      <c r="D19927" s="1" t="s">
        <v>5675</v>
      </c>
    </row>
    <row r="19928">
      <c r="A19928" s="1" t="s">
        <v>31180</v>
      </c>
      <c r="B19928" s="2" t="s">
        <v>26230</v>
      </c>
      <c r="C19928" s="1" t="s">
        <v>5674</v>
      </c>
      <c r="D19928" s="1" t="s">
        <v>5675</v>
      </c>
    </row>
    <row r="19929">
      <c r="A19929" s="1" t="s">
        <v>31181</v>
      </c>
      <c r="B19929" s="2" t="s">
        <v>26232</v>
      </c>
      <c r="C19929" s="1" t="s">
        <v>5674</v>
      </c>
      <c r="D19929" s="1" t="s">
        <v>5675</v>
      </c>
    </row>
    <row r="19930">
      <c r="A19930" s="1" t="s">
        <v>31182</v>
      </c>
      <c r="B19930" s="2" t="s">
        <v>26234</v>
      </c>
      <c r="C19930" s="1" t="s">
        <v>5674</v>
      </c>
      <c r="D19930" s="1" t="s">
        <v>5675</v>
      </c>
    </row>
    <row r="19931">
      <c r="A19931" s="1" t="s">
        <v>31183</v>
      </c>
      <c r="B19931" s="2" t="s">
        <v>26236</v>
      </c>
      <c r="C19931" s="1" t="s">
        <v>5674</v>
      </c>
      <c r="D19931" s="1" t="s">
        <v>5675</v>
      </c>
    </row>
    <row r="19932">
      <c r="A19932" s="1" t="s">
        <v>31184</v>
      </c>
      <c r="B19932" s="2" t="s">
        <v>26238</v>
      </c>
      <c r="C19932" s="1" t="s">
        <v>5674</v>
      </c>
      <c r="D19932" s="1" t="s">
        <v>5675</v>
      </c>
    </row>
    <row r="19933">
      <c r="A19933" s="1" t="s">
        <v>31185</v>
      </c>
      <c r="B19933" s="2" t="s">
        <v>26240</v>
      </c>
      <c r="C19933" s="1" t="s">
        <v>5674</v>
      </c>
      <c r="D19933" s="1" t="s">
        <v>5675</v>
      </c>
    </row>
    <row r="19934">
      <c r="A19934" s="1" t="s">
        <v>31186</v>
      </c>
      <c r="B19934" s="2" t="s">
        <v>26242</v>
      </c>
      <c r="C19934" s="1" t="s">
        <v>5674</v>
      </c>
      <c r="D19934" s="1" t="s">
        <v>5675</v>
      </c>
    </row>
    <row r="19935">
      <c r="A19935" s="1" t="s">
        <v>31187</v>
      </c>
      <c r="B19935" s="2" t="s">
        <v>26244</v>
      </c>
      <c r="C19935" s="1" t="s">
        <v>5674</v>
      </c>
      <c r="D19935" s="1" t="s">
        <v>5675</v>
      </c>
    </row>
    <row r="19936">
      <c r="A19936" s="1" t="s">
        <v>31188</v>
      </c>
      <c r="B19936" s="2" t="s">
        <v>26246</v>
      </c>
      <c r="C19936" s="1" t="s">
        <v>5674</v>
      </c>
      <c r="D19936" s="1" t="s">
        <v>5675</v>
      </c>
    </row>
    <row r="19937">
      <c r="A19937" s="1" t="s">
        <v>31189</v>
      </c>
      <c r="B19937" s="2" t="s">
        <v>26248</v>
      </c>
      <c r="C19937" s="1" t="s">
        <v>5674</v>
      </c>
      <c r="D19937" s="1" t="s">
        <v>5675</v>
      </c>
    </row>
    <row r="19938">
      <c r="A19938" s="1" t="s">
        <v>31190</v>
      </c>
      <c r="B19938" s="2" t="s">
        <v>26250</v>
      </c>
      <c r="C19938" s="1" t="s">
        <v>5674</v>
      </c>
      <c r="D19938" s="1" t="s">
        <v>5675</v>
      </c>
    </row>
    <row r="19939">
      <c r="A19939" s="1" t="s">
        <v>31191</v>
      </c>
      <c r="B19939" s="2" t="s">
        <v>26252</v>
      </c>
      <c r="C19939" s="1" t="s">
        <v>5674</v>
      </c>
      <c r="D19939" s="1" t="s">
        <v>5675</v>
      </c>
    </row>
    <row r="19940">
      <c r="A19940" s="1" t="s">
        <v>31192</v>
      </c>
      <c r="B19940" s="2" t="s">
        <v>26254</v>
      </c>
      <c r="C19940" s="1" t="s">
        <v>5674</v>
      </c>
      <c r="D19940" s="1" t="s">
        <v>5675</v>
      </c>
    </row>
    <row r="19941">
      <c r="A19941" s="1" t="s">
        <v>31193</v>
      </c>
      <c r="B19941" s="2" t="s">
        <v>26256</v>
      </c>
      <c r="C19941" s="1" t="s">
        <v>5674</v>
      </c>
      <c r="D19941" s="1" t="s">
        <v>5675</v>
      </c>
    </row>
    <row r="19942">
      <c r="A19942" s="1" t="s">
        <v>31194</v>
      </c>
      <c r="B19942" s="2" t="s">
        <v>26258</v>
      </c>
      <c r="C19942" s="1" t="s">
        <v>5674</v>
      </c>
      <c r="D19942" s="1" t="s">
        <v>5675</v>
      </c>
    </row>
    <row r="19943">
      <c r="A19943" s="1" t="s">
        <v>31195</v>
      </c>
      <c r="B19943" s="2" t="s">
        <v>26260</v>
      </c>
      <c r="C19943" s="1" t="s">
        <v>5674</v>
      </c>
      <c r="D19943" s="1" t="s">
        <v>5675</v>
      </c>
    </row>
    <row r="19944">
      <c r="A19944" s="1" t="s">
        <v>31196</v>
      </c>
      <c r="B19944" s="2" t="s">
        <v>26262</v>
      </c>
      <c r="C19944" s="1" t="s">
        <v>5674</v>
      </c>
      <c r="D19944" s="1" t="s">
        <v>5675</v>
      </c>
    </row>
    <row r="19945">
      <c r="A19945" s="1" t="s">
        <v>31197</v>
      </c>
      <c r="B19945" s="2" t="s">
        <v>26264</v>
      </c>
      <c r="C19945" s="1" t="s">
        <v>5674</v>
      </c>
      <c r="D19945" s="1" t="s">
        <v>5675</v>
      </c>
    </row>
    <row r="19946">
      <c r="A19946" s="1" t="s">
        <v>31198</v>
      </c>
      <c r="B19946" s="2" t="s">
        <v>26266</v>
      </c>
      <c r="C19946" s="1" t="s">
        <v>5674</v>
      </c>
      <c r="D19946" s="1" t="s">
        <v>5675</v>
      </c>
    </row>
    <row r="19947">
      <c r="A19947" s="1" t="s">
        <v>31199</v>
      </c>
      <c r="B19947" s="2" t="s">
        <v>26268</v>
      </c>
      <c r="C19947" s="1" t="s">
        <v>5674</v>
      </c>
      <c r="D19947" s="1" t="s">
        <v>5675</v>
      </c>
    </row>
    <row r="19948">
      <c r="A19948" s="1" t="s">
        <v>31200</v>
      </c>
      <c r="B19948" s="2" t="s">
        <v>26270</v>
      </c>
      <c r="C19948" s="1" t="s">
        <v>5674</v>
      </c>
      <c r="D19948" s="1" t="s">
        <v>5675</v>
      </c>
    </row>
    <row r="19949">
      <c r="A19949" s="1" t="s">
        <v>31201</v>
      </c>
      <c r="B19949" s="2" t="s">
        <v>26272</v>
      </c>
      <c r="C19949" s="1" t="s">
        <v>5674</v>
      </c>
      <c r="D19949" s="1" t="s">
        <v>5675</v>
      </c>
    </row>
    <row r="19950">
      <c r="A19950" s="1" t="s">
        <v>31202</v>
      </c>
      <c r="B19950" s="2" t="s">
        <v>26274</v>
      </c>
      <c r="C19950" s="1" t="s">
        <v>5674</v>
      </c>
      <c r="D19950" s="1" t="s">
        <v>5675</v>
      </c>
    </row>
    <row r="19951">
      <c r="A19951" s="1" t="s">
        <v>31203</v>
      </c>
      <c r="B19951" s="2" t="s">
        <v>26276</v>
      </c>
      <c r="C19951" s="1" t="s">
        <v>5674</v>
      </c>
      <c r="D19951" s="1" t="s">
        <v>5675</v>
      </c>
    </row>
    <row r="19952">
      <c r="A19952" s="1" t="s">
        <v>31204</v>
      </c>
      <c r="B19952" s="2" t="s">
        <v>26278</v>
      </c>
      <c r="C19952" s="1" t="s">
        <v>5674</v>
      </c>
      <c r="D19952" s="1" t="s">
        <v>5675</v>
      </c>
    </row>
    <row r="19953">
      <c r="A19953" s="1" t="s">
        <v>31205</v>
      </c>
      <c r="B19953" s="2" t="s">
        <v>26280</v>
      </c>
      <c r="C19953" s="1" t="s">
        <v>5674</v>
      </c>
      <c r="D19953" s="1" t="s">
        <v>5675</v>
      </c>
    </row>
    <row r="19954">
      <c r="A19954" s="1" t="s">
        <v>31206</v>
      </c>
      <c r="B19954" s="2" t="s">
        <v>26282</v>
      </c>
      <c r="C19954" s="1" t="s">
        <v>5674</v>
      </c>
      <c r="D19954" s="1" t="s">
        <v>5675</v>
      </c>
    </row>
    <row r="19955">
      <c r="A19955" s="1" t="s">
        <v>31207</v>
      </c>
      <c r="B19955" s="2" t="s">
        <v>26284</v>
      </c>
      <c r="C19955" s="1" t="s">
        <v>5674</v>
      </c>
      <c r="D19955" s="1" t="s">
        <v>5675</v>
      </c>
    </row>
    <row r="19956">
      <c r="A19956" s="1" t="s">
        <v>31208</v>
      </c>
      <c r="B19956" s="2" t="s">
        <v>26286</v>
      </c>
      <c r="C19956" s="1" t="s">
        <v>5674</v>
      </c>
      <c r="D19956" s="1" t="s">
        <v>5675</v>
      </c>
    </row>
    <row r="19957">
      <c r="A19957" s="1" t="s">
        <v>31209</v>
      </c>
      <c r="B19957" s="2" t="s">
        <v>26288</v>
      </c>
      <c r="C19957" s="1" t="s">
        <v>5674</v>
      </c>
      <c r="D19957" s="1" t="s">
        <v>5675</v>
      </c>
    </row>
    <row r="19958">
      <c r="A19958" s="1" t="s">
        <v>31210</v>
      </c>
      <c r="B19958" s="2" t="s">
        <v>26290</v>
      </c>
      <c r="C19958" s="1" t="s">
        <v>5674</v>
      </c>
      <c r="D19958" s="1" t="s">
        <v>5675</v>
      </c>
    </row>
    <row r="19959">
      <c r="A19959" s="1" t="s">
        <v>31211</v>
      </c>
      <c r="B19959" s="2" t="s">
        <v>26292</v>
      </c>
      <c r="C19959" s="1" t="s">
        <v>5674</v>
      </c>
      <c r="D19959" s="1" t="s">
        <v>5675</v>
      </c>
    </row>
    <row r="19960">
      <c r="A19960" s="1" t="s">
        <v>31212</v>
      </c>
      <c r="B19960" s="2" t="s">
        <v>26294</v>
      </c>
      <c r="C19960" s="1" t="s">
        <v>5674</v>
      </c>
      <c r="D19960" s="1" t="s">
        <v>5675</v>
      </c>
    </row>
    <row r="19961">
      <c r="A19961" s="1" t="s">
        <v>31213</v>
      </c>
      <c r="B19961" s="2" t="s">
        <v>26296</v>
      </c>
      <c r="C19961" s="1" t="s">
        <v>5674</v>
      </c>
      <c r="D19961" s="1" t="s">
        <v>5675</v>
      </c>
    </row>
    <row r="19962">
      <c r="A19962" s="1" t="s">
        <v>31214</v>
      </c>
      <c r="B19962" s="2" t="s">
        <v>26298</v>
      </c>
      <c r="C19962" s="1" t="s">
        <v>5674</v>
      </c>
      <c r="D19962" s="1" t="s">
        <v>5675</v>
      </c>
    </row>
    <row r="19963">
      <c r="A19963" s="1" t="s">
        <v>31215</v>
      </c>
      <c r="B19963" s="2" t="s">
        <v>26300</v>
      </c>
      <c r="C19963" s="1" t="s">
        <v>5674</v>
      </c>
      <c r="D19963" s="1" t="s">
        <v>5675</v>
      </c>
    </row>
    <row r="19964">
      <c r="A19964" s="1" t="s">
        <v>31216</v>
      </c>
      <c r="B19964" s="2" t="s">
        <v>26302</v>
      </c>
      <c r="C19964" s="1" t="s">
        <v>5674</v>
      </c>
      <c r="D19964" s="1" t="s">
        <v>5675</v>
      </c>
    </row>
    <row r="19965">
      <c r="A19965" s="1" t="s">
        <v>31217</v>
      </c>
      <c r="B19965" s="2" t="s">
        <v>26304</v>
      </c>
      <c r="C19965" s="1" t="s">
        <v>5674</v>
      </c>
      <c r="D19965" s="1" t="s">
        <v>5675</v>
      </c>
    </row>
    <row r="19966">
      <c r="A19966" s="1" t="s">
        <v>31218</v>
      </c>
      <c r="B19966" s="2" t="s">
        <v>26306</v>
      </c>
      <c r="C19966" s="1" t="s">
        <v>5674</v>
      </c>
      <c r="D19966" s="1" t="s">
        <v>5675</v>
      </c>
    </row>
    <row r="19967">
      <c r="A19967" s="1" t="s">
        <v>31219</v>
      </c>
      <c r="B19967" s="2" t="s">
        <v>26308</v>
      </c>
      <c r="C19967" s="1" t="s">
        <v>5674</v>
      </c>
      <c r="D19967" s="1" t="s">
        <v>5675</v>
      </c>
    </row>
    <row r="19968">
      <c r="A19968" s="1" t="s">
        <v>31220</v>
      </c>
      <c r="B19968" s="2" t="s">
        <v>26310</v>
      </c>
      <c r="C19968" s="1" t="s">
        <v>5674</v>
      </c>
      <c r="D19968" s="1" t="s">
        <v>5675</v>
      </c>
    </row>
    <row r="19969">
      <c r="A19969" s="1" t="s">
        <v>31221</v>
      </c>
      <c r="B19969" s="2" t="s">
        <v>26312</v>
      </c>
      <c r="C19969" s="1" t="s">
        <v>5674</v>
      </c>
      <c r="D19969" s="1" t="s">
        <v>5675</v>
      </c>
    </row>
    <row r="19970">
      <c r="A19970" s="1" t="s">
        <v>31222</v>
      </c>
      <c r="B19970" s="2" t="s">
        <v>26314</v>
      </c>
      <c r="C19970" s="1" t="s">
        <v>5674</v>
      </c>
      <c r="D19970" s="1" t="s">
        <v>5675</v>
      </c>
    </row>
    <row r="19971">
      <c r="A19971" s="1" t="s">
        <v>31223</v>
      </c>
      <c r="B19971" s="2" t="s">
        <v>26316</v>
      </c>
      <c r="C19971" s="1" t="s">
        <v>5674</v>
      </c>
      <c r="D19971" s="1" t="s">
        <v>5675</v>
      </c>
    </row>
    <row r="19972">
      <c r="A19972" s="1" t="s">
        <v>31224</v>
      </c>
      <c r="B19972" s="2" t="s">
        <v>26318</v>
      </c>
      <c r="C19972" s="1" t="s">
        <v>5674</v>
      </c>
      <c r="D19972" s="1" t="s">
        <v>5675</v>
      </c>
    </row>
    <row r="19973">
      <c r="A19973" s="1" t="s">
        <v>31225</v>
      </c>
      <c r="B19973" s="2" t="s">
        <v>26320</v>
      </c>
      <c r="C19973" s="1" t="s">
        <v>5674</v>
      </c>
      <c r="D19973" s="1" t="s">
        <v>5675</v>
      </c>
    </row>
    <row r="19974">
      <c r="A19974" s="1" t="s">
        <v>31226</v>
      </c>
      <c r="B19974" s="2" t="s">
        <v>26322</v>
      </c>
      <c r="C19974" s="1" t="s">
        <v>5674</v>
      </c>
      <c r="D19974" s="1" t="s">
        <v>5675</v>
      </c>
    </row>
    <row r="19975">
      <c r="A19975" s="1" t="s">
        <v>31227</v>
      </c>
      <c r="B19975" s="2" t="s">
        <v>26324</v>
      </c>
      <c r="C19975" s="1" t="s">
        <v>5674</v>
      </c>
      <c r="D19975" s="1" t="s">
        <v>5675</v>
      </c>
    </row>
    <row r="19976">
      <c r="A19976" s="1" t="s">
        <v>31228</v>
      </c>
      <c r="B19976" s="2" t="s">
        <v>26326</v>
      </c>
      <c r="C19976" s="1" t="s">
        <v>5674</v>
      </c>
      <c r="D19976" s="1" t="s">
        <v>5675</v>
      </c>
    </row>
    <row r="19977">
      <c r="A19977" s="1" t="s">
        <v>31229</v>
      </c>
      <c r="B19977" s="2" t="s">
        <v>26328</v>
      </c>
      <c r="C19977" s="1" t="s">
        <v>5674</v>
      </c>
      <c r="D19977" s="1" t="s">
        <v>5675</v>
      </c>
    </row>
    <row r="19978">
      <c r="A19978" s="1" t="s">
        <v>31230</v>
      </c>
      <c r="B19978" s="2" t="s">
        <v>26330</v>
      </c>
      <c r="C19978" s="1" t="s">
        <v>5674</v>
      </c>
      <c r="D19978" s="1" t="s">
        <v>5675</v>
      </c>
    </row>
    <row r="19979">
      <c r="A19979" s="1" t="s">
        <v>31231</v>
      </c>
      <c r="B19979" s="2" t="s">
        <v>26332</v>
      </c>
      <c r="C19979" s="1" t="s">
        <v>5674</v>
      </c>
      <c r="D19979" s="1" t="s">
        <v>5675</v>
      </c>
    </row>
    <row r="19980">
      <c r="A19980" s="1" t="s">
        <v>31232</v>
      </c>
      <c r="B19980" s="2" t="s">
        <v>26334</v>
      </c>
      <c r="C19980" s="1" t="s">
        <v>5674</v>
      </c>
      <c r="D19980" s="1" t="s">
        <v>5675</v>
      </c>
    </row>
    <row r="19981">
      <c r="A19981" s="1" t="s">
        <v>31233</v>
      </c>
      <c r="B19981" s="2" t="s">
        <v>26336</v>
      </c>
      <c r="C19981" s="1" t="s">
        <v>5674</v>
      </c>
      <c r="D19981" s="1" t="s">
        <v>5675</v>
      </c>
    </row>
    <row r="19982">
      <c r="A19982" s="1" t="s">
        <v>31234</v>
      </c>
      <c r="B19982" s="2" t="s">
        <v>26338</v>
      </c>
      <c r="C19982" s="1" t="s">
        <v>5674</v>
      </c>
      <c r="D19982" s="1" t="s">
        <v>5675</v>
      </c>
    </row>
    <row r="19983">
      <c r="A19983" s="1" t="s">
        <v>31235</v>
      </c>
      <c r="B19983" s="2" t="s">
        <v>26340</v>
      </c>
      <c r="C19983" s="1" t="s">
        <v>5674</v>
      </c>
      <c r="D19983" s="1" t="s">
        <v>5675</v>
      </c>
    </row>
    <row r="19984">
      <c r="A19984" s="1" t="s">
        <v>31236</v>
      </c>
      <c r="B19984" s="2" t="s">
        <v>26342</v>
      </c>
      <c r="C19984" s="1" t="s">
        <v>5674</v>
      </c>
      <c r="D19984" s="1" t="s">
        <v>5675</v>
      </c>
    </row>
    <row r="19985">
      <c r="A19985" s="1" t="s">
        <v>31237</v>
      </c>
      <c r="B19985" s="2" t="s">
        <v>26344</v>
      </c>
      <c r="C19985" s="1" t="s">
        <v>5674</v>
      </c>
      <c r="D19985" s="1" t="s">
        <v>5675</v>
      </c>
    </row>
    <row r="19986">
      <c r="A19986" s="1" t="s">
        <v>31238</v>
      </c>
      <c r="B19986" s="2" t="s">
        <v>26346</v>
      </c>
      <c r="C19986" s="1" t="s">
        <v>5674</v>
      </c>
      <c r="D19986" s="1" t="s">
        <v>5675</v>
      </c>
    </row>
    <row r="19987">
      <c r="A19987" s="1" t="s">
        <v>31239</v>
      </c>
      <c r="B19987" s="2" t="s">
        <v>26348</v>
      </c>
      <c r="C19987" s="1" t="s">
        <v>5674</v>
      </c>
      <c r="D19987" s="1" t="s">
        <v>5675</v>
      </c>
    </row>
    <row r="19988">
      <c r="A19988" s="1" t="s">
        <v>31240</v>
      </c>
      <c r="B19988" s="2" t="s">
        <v>26350</v>
      </c>
      <c r="C19988" s="1" t="s">
        <v>5674</v>
      </c>
      <c r="D19988" s="1" t="s">
        <v>5675</v>
      </c>
    </row>
    <row r="19989">
      <c r="A19989" s="1" t="s">
        <v>31241</v>
      </c>
      <c r="B19989" s="2" t="s">
        <v>26352</v>
      </c>
      <c r="C19989" s="1" t="s">
        <v>5674</v>
      </c>
      <c r="D19989" s="1" t="s">
        <v>5675</v>
      </c>
    </row>
    <row r="19990">
      <c r="A19990" s="1" t="s">
        <v>31242</v>
      </c>
      <c r="B19990" s="2" t="s">
        <v>26354</v>
      </c>
      <c r="C19990" s="1" t="s">
        <v>5674</v>
      </c>
      <c r="D19990" s="1" t="s">
        <v>5675</v>
      </c>
    </row>
    <row r="19991">
      <c r="A19991" s="1" t="s">
        <v>31243</v>
      </c>
      <c r="B19991" s="2" t="s">
        <v>26356</v>
      </c>
      <c r="C19991" s="1" t="s">
        <v>5674</v>
      </c>
      <c r="D19991" s="1" t="s">
        <v>5675</v>
      </c>
    </row>
    <row r="19992">
      <c r="A19992" s="1" t="s">
        <v>31244</v>
      </c>
      <c r="B19992" s="2" t="s">
        <v>26358</v>
      </c>
      <c r="C19992" s="1" t="s">
        <v>5674</v>
      </c>
      <c r="D19992" s="1" t="s">
        <v>5675</v>
      </c>
    </row>
    <row r="19993">
      <c r="A19993" s="1" t="s">
        <v>31245</v>
      </c>
      <c r="B19993" s="2" t="s">
        <v>26360</v>
      </c>
      <c r="C19993" s="1" t="s">
        <v>5674</v>
      </c>
      <c r="D19993" s="1" t="s">
        <v>5675</v>
      </c>
    </row>
    <row r="19994">
      <c r="A19994" s="1" t="s">
        <v>31246</v>
      </c>
      <c r="B19994" s="2" t="s">
        <v>26362</v>
      </c>
      <c r="C19994" s="1" t="s">
        <v>5674</v>
      </c>
      <c r="D19994" s="1" t="s">
        <v>5675</v>
      </c>
    </row>
    <row r="19995">
      <c r="A19995" s="1" t="s">
        <v>31247</v>
      </c>
      <c r="B19995" s="2" t="s">
        <v>26364</v>
      </c>
      <c r="C19995" s="1" t="s">
        <v>5674</v>
      </c>
      <c r="D19995" s="1" t="s">
        <v>5675</v>
      </c>
    </row>
    <row r="19996">
      <c r="A19996" s="1" t="s">
        <v>31248</v>
      </c>
      <c r="B19996" s="2" t="s">
        <v>26366</v>
      </c>
      <c r="C19996" s="1" t="s">
        <v>5674</v>
      </c>
      <c r="D19996" s="1" t="s">
        <v>5675</v>
      </c>
    </row>
    <row r="19997">
      <c r="A19997" s="1" t="s">
        <v>31249</v>
      </c>
      <c r="B19997" s="2" t="s">
        <v>26368</v>
      </c>
      <c r="C19997" s="1" t="s">
        <v>5674</v>
      </c>
      <c r="D19997" s="1" t="s">
        <v>5675</v>
      </c>
    </row>
    <row r="19998">
      <c r="A19998" s="1" t="s">
        <v>31250</v>
      </c>
      <c r="B19998" s="2" t="s">
        <v>26370</v>
      </c>
      <c r="C19998" s="1" t="s">
        <v>5674</v>
      </c>
      <c r="D19998" s="1" t="s">
        <v>5675</v>
      </c>
    </row>
    <row r="19999">
      <c r="A19999" s="1" t="s">
        <v>31251</v>
      </c>
      <c r="B19999" s="2" t="s">
        <v>26372</v>
      </c>
      <c r="C19999" s="1" t="s">
        <v>5674</v>
      </c>
      <c r="D19999" s="1" t="s">
        <v>5675</v>
      </c>
    </row>
    <row r="20000">
      <c r="A20000" s="1" t="s">
        <v>31252</v>
      </c>
      <c r="B20000" s="2" t="s">
        <v>26374</v>
      </c>
      <c r="C20000" s="1" t="s">
        <v>5674</v>
      </c>
      <c r="D20000" s="1" t="s">
        <v>5675</v>
      </c>
    </row>
    <row r="20001">
      <c r="A20001" s="1" t="s">
        <v>31253</v>
      </c>
      <c r="B20001" s="2" t="s">
        <v>26376</v>
      </c>
      <c r="C20001" s="1" t="s">
        <v>5674</v>
      </c>
      <c r="D20001" s="1" t="s">
        <v>5675</v>
      </c>
    </row>
    <row r="20002">
      <c r="A20002" s="1" t="s">
        <v>31254</v>
      </c>
      <c r="B20002" s="2" t="s">
        <v>26378</v>
      </c>
      <c r="C20002" s="1" t="s">
        <v>5674</v>
      </c>
      <c r="D20002" s="1" t="s">
        <v>5675</v>
      </c>
    </row>
    <row r="20003">
      <c r="A20003" s="1" t="s">
        <v>31255</v>
      </c>
      <c r="B20003" s="2" t="s">
        <v>26380</v>
      </c>
      <c r="C20003" s="1" t="s">
        <v>5674</v>
      </c>
      <c r="D20003" s="1" t="s">
        <v>5675</v>
      </c>
    </row>
    <row r="20004">
      <c r="A20004" s="1" t="s">
        <v>31256</v>
      </c>
      <c r="B20004" s="2" t="s">
        <v>26382</v>
      </c>
      <c r="C20004" s="1" t="s">
        <v>5674</v>
      </c>
      <c r="D20004" s="1" t="s">
        <v>5675</v>
      </c>
    </row>
    <row r="20005">
      <c r="A20005" s="1" t="s">
        <v>31257</v>
      </c>
      <c r="B20005" s="2" t="s">
        <v>26384</v>
      </c>
      <c r="C20005" s="1" t="s">
        <v>5674</v>
      </c>
      <c r="D20005" s="1" t="s">
        <v>5675</v>
      </c>
    </row>
    <row r="20006">
      <c r="A20006" s="1" t="s">
        <v>31258</v>
      </c>
      <c r="B20006" s="2" t="s">
        <v>26386</v>
      </c>
      <c r="C20006" s="1" t="s">
        <v>5674</v>
      </c>
      <c r="D20006" s="1" t="s">
        <v>5675</v>
      </c>
    </row>
    <row r="20007">
      <c r="A20007" s="1" t="s">
        <v>31259</v>
      </c>
      <c r="B20007" s="2" t="s">
        <v>26388</v>
      </c>
      <c r="C20007" s="1" t="s">
        <v>5674</v>
      </c>
      <c r="D20007" s="1" t="s">
        <v>5675</v>
      </c>
    </row>
    <row r="20008">
      <c r="A20008" s="1" t="s">
        <v>31260</v>
      </c>
      <c r="B20008" s="2" t="s">
        <v>26390</v>
      </c>
      <c r="C20008" s="1" t="s">
        <v>5674</v>
      </c>
      <c r="D20008" s="1" t="s">
        <v>5675</v>
      </c>
    </row>
    <row r="20009">
      <c r="A20009" s="1" t="s">
        <v>31261</v>
      </c>
      <c r="B20009" s="2" t="s">
        <v>26392</v>
      </c>
      <c r="C20009" s="1" t="s">
        <v>5674</v>
      </c>
      <c r="D20009" s="1" t="s">
        <v>5675</v>
      </c>
    </row>
    <row r="20010">
      <c r="A20010" s="1" t="s">
        <v>31262</v>
      </c>
      <c r="B20010" s="2" t="s">
        <v>26394</v>
      </c>
      <c r="C20010" s="1" t="s">
        <v>5674</v>
      </c>
      <c r="D20010" s="1" t="s">
        <v>5675</v>
      </c>
    </row>
    <row r="20011">
      <c r="A20011" s="1" t="s">
        <v>31263</v>
      </c>
      <c r="B20011" s="2" t="s">
        <v>26396</v>
      </c>
      <c r="C20011" s="1" t="s">
        <v>5674</v>
      </c>
      <c r="D20011" s="1" t="s">
        <v>5675</v>
      </c>
    </row>
    <row r="20012">
      <c r="A20012" s="1" t="s">
        <v>31264</v>
      </c>
      <c r="B20012" s="2" t="s">
        <v>26398</v>
      </c>
      <c r="C20012" s="1" t="s">
        <v>5674</v>
      </c>
      <c r="D20012" s="1" t="s">
        <v>5675</v>
      </c>
    </row>
    <row r="20013">
      <c r="A20013" s="1" t="s">
        <v>31265</v>
      </c>
      <c r="B20013" s="2" t="s">
        <v>26400</v>
      </c>
      <c r="C20013" s="1" t="s">
        <v>5674</v>
      </c>
      <c r="D20013" s="1" t="s">
        <v>5675</v>
      </c>
    </row>
    <row r="20014">
      <c r="A20014" s="1" t="s">
        <v>31266</v>
      </c>
      <c r="B20014" s="2" t="s">
        <v>26402</v>
      </c>
      <c r="C20014" s="1" t="s">
        <v>5674</v>
      </c>
      <c r="D20014" s="1" t="s">
        <v>5675</v>
      </c>
    </row>
    <row r="20015">
      <c r="A20015" s="1" t="s">
        <v>31267</v>
      </c>
      <c r="B20015" s="2" t="s">
        <v>26404</v>
      </c>
      <c r="C20015" s="1" t="s">
        <v>5674</v>
      </c>
      <c r="D20015" s="1" t="s">
        <v>5675</v>
      </c>
    </row>
    <row r="20016">
      <c r="A20016" s="1" t="s">
        <v>31268</v>
      </c>
      <c r="B20016" s="2" t="s">
        <v>26406</v>
      </c>
      <c r="C20016" s="1" t="s">
        <v>5674</v>
      </c>
      <c r="D20016" s="1" t="s">
        <v>5675</v>
      </c>
    </row>
    <row r="20017">
      <c r="A20017" s="1" t="s">
        <v>31269</v>
      </c>
      <c r="B20017" s="2" t="s">
        <v>26408</v>
      </c>
      <c r="C20017" s="1" t="s">
        <v>5674</v>
      </c>
      <c r="D20017" s="1" t="s">
        <v>5675</v>
      </c>
    </row>
    <row r="20018">
      <c r="A20018" s="1" t="s">
        <v>31270</v>
      </c>
      <c r="B20018" s="2" t="s">
        <v>26410</v>
      </c>
      <c r="C20018" s="1" t="s">
        <v>5674</v>
      </c>
      <c r="D20018" s="1" t="s">
        <v>5675</v>
      </c>
    </row>
    <row r="20019">
      <c r="A20019" s="1" t="s">
        <v>31271</v>
      </c>
      <c r="B20019" s="2" t="s">
        <v>26412</v>
      </c>
      <c r="C20019" s="1" t="s">
        <v>5674</v>
      </c>
      <c r="D20019" s="1" t="s">
        <v>5675</v>
      </c>
    </row>
    <row r="20020">
      <c r="A20020" s="1" t="s">
        <v>31272</v>
      </c>
      <c r="B20020" s="2" t="s">
        <v>26414</v>
      </c>
      <c r="C20020" s="1" t="s">
        <v>5674</v>
      </c>
      <c r="D20020" s="1" t="s">
        <v>5675</v>
      </c>
    </row>
    <row r="20021">
      <c r="A20021" s="1" t="s">
        <v>31273</v>
      </c>
      <c r="B20021" s="2" t="s">
        <v>26416</v>
      </c>
      <c r="C20021" s="1" t="s">
        <v>5674</v>
      </c>
      <c r="D20021" s="1" t="s">
        <v>5675</v>
      </c>
    </row>
    <row r="20022">
      <c r="A20022" s="1" t="s">
        <v>31274</v>
      </c>
      <c r="B20022" s="2" t="s">
        <v>26418</v>
      </c>
      <c r="C20022" s="1" t="s">
        <v>5674</v>
      </c>
      <c r="D20022" s="1" t="s">
        <v>5675</v>
      </c>
    </row>
    <row r="20023">
      <c r="A20023" s="1" t="s">
        <v>31275</v>
      </c>
      <c r="B20023" s="2" t="s">
        <v>26420</v>
      </c>
      <c r="C20023" s="1" t="s">
        <v>5674</v>
      </c>
      <c r="D20023" s="1" t="s">
        <v>5675</v>
      </c>
    </row>
    <row r="20024">
      <c r="A20024" s="1" t="s">
        <v>31276</v>
      </c>
      <c r="B20024" s="2" t="s">
        <v>26422</v>
      </c>
      <c r="C20024" s="1" t="s">
        <v>5674</v>
      </c>
      <c r="D20024" s="1" t="s">
        <v>5675</v>
      </c>
    </row>
    <row r="20025">
      <c r="A20025" s="1" t="s">
        <v>31277</v>
      </c>
      <c r="B20025" s="2" t="s">
        <v>26424</v>
      </c>
      <c r="C20025" s="1" t="s">
        <v>5674</v>
      </c>
      <c r="D20025" s="1" t="s">
        <v>5675</v>
      </c>
    </row>
    <row r="20026">
      <c r="A20026" s="1" t="s">
        <v>31278</v>
      </c>
      <c r="B20026" s="2" t="s">
        <v>26426</v>
      </c>
      <c r="C20026" s="1" t="s">
        <v>5674</v>
      </c>
      <c r="D20026" s="1" t="s">
        <v>5675</v>
      </c>
    </row>
    <row r="20027">
      <c r="A20027" s="1" t="s">
        <v>31279</v>
      </c>
      <c r="B20027" s="2" t="s">
        <v>26428</v>
      </c>
      <c r="C20027" s="1" t="s">
        <v>5674</v>
      </c>
      <c r="D20027" s="1" t="s">
        <v>5675</v>
      </c>
    </row>
    <row r="20028">
      <c r="A20028" s="1" t="s">
        <v>31280</v>
      </c>
      <c r="B20028" s="2" t="s">
        <v>26430</v>
      </c>
      <c r="C20028" s="1" t="s">
        <v>5674</v>
      </c>
      <c r="D20028" s="1" t="s">
        <v>5675</v>
      </c>
    </row>
    <row r="20029">
      <c r="A20029" s="1" t="s">
        <v>31281</v>
      </c>
      <c r="B20029" s="2" t="s">
        <v>26432</v>
      </c>
      <c r="C20029" s="1" t="s">
        <v>5674</v>
      </c>
      <c r="D20029" s="1" t="s">
        <v>5675</v>
      </c>
    </row>
    <row r="20030">
      <c r="A20030" s="1" t="s">
        <v>31282</v>
      </c>
      <c r="B20030" s="2" t="s">
        <v>26434</v>
      </c>
      <c r="C20030" s="1" t="s">
        <v>5674</v>
      </c>
      <c r="D20030" s="1" t="s">
        <v>5675</v>
      </c>
    </row>
    <row r="20031">
      <c r="A20031" s="1" t="s">
        <v>31283</v>
      </c>
      <c r="B20031" s="2" t="s">
        <v>26436</v>
      </c>
      <c r="C20031" s="1" t="s">
        <v>5674</v>
      </c>
      <c r="D20031" s="1" t="s">
        <v>5675</v>
      </c>
    </row>
    <row r="20032">
      <c r="A20032" s="1" t="s">
        <v>31284</v>
      </c>
      <c r="B20032" s="2" t="s">
        <v>26438</v>
      </c>
      <c r="C20032" s="1" t="s">
        <v>5674</v>
      </c>
      <c r="D20032" s="1" t="s">
        <v>5675</v>
      </c>
    </row>
    <row r="20033">
      <c r="A20033" s="1" t="s">
        <v>31285</v>
      </c>
      <c r="B20033" s="2" t="s">
        <v>26440</v>
      </c>
      <c r="C20033" s="1" t="s">
        <v>5674</v>
      </c>
      <c r="D20033" s="1" t="s">
        <v>5675</v>
      </c>
    </row>
    <row r="20034">
      <c r="A20034" s="1" t="s">
        <v>31286</v>
      </c>
      <c r="B20034" s="2" t="s">
        <v>26442</v>
      </c>
      <c r="C20034" s="1" t="s">
        <v>5674</v>
      </c>
      <c r="D20034" s="1" t="s">
        <v>5675</v>
      </c>
    </row>
    <row r="20035">
      <c r="A20035" s="1" t="s">
        <v>31287</v>
      </c>
      <c r="B20035" s="2" t="s">
        <v>26444</v>
      </c>
      <c r="C20035" s="1" t="s">
        <v>5674</v>
      </c>
      <c r="D20035" s="1" t="s">
        <v>5675</v>
      </c>
    </row>
    <row r="20036">
      <c r="A20036" s="1" t="s">
        <v>31288</v>
      </c>
      <c r="B20036" s="2" t="s">
        <v>26446</v>
      </c>
      <c r="C20036" s="1" t="s">
        <v>5674</v>
      </c>
      <c r="D20036" s="1" t="s">
        <v>5675</v>
      </c>
    </row>
    <row r="20037">
      <c r="A20037" s="1" t="s">
        <v>31289</v>
      </c>
      <c r="B20037" s="2" t="s">
        <v>26448</v>
      </c>
      <c r="C20037" s="1" t="s">
        <v>5674</v>
      </c>
      <c r="D20037" s="1" t="s">
        <v>5675</v>
      </c>
    </row>
    <row r="20038">
      <c r="A20038" s="1" t="s">
        <v>31290</v>
      </c>
      <c r="B20038" s="2" t="s">
        <v>26450</v>
      </c>
      <c r="C20038" s="1" t="s">
        <v>5674</v>
      </c>
      <c r="D20038" s="1" t="s">
        <v>5675</v>
      </c>
    </row>
    <row r="20039">
      <c r="A20039" s="1" t="s">
        <v>31291</v>
      </c>
      <c r="B20039" s="2" t="s">
        <v>26452</v>
      </c>
      <c r="C20039" s="1" t="s">
        <v>5674</v>
      </c>
      <c r="D20039" s="1" t="s">
        <v>5675</v>
      </c>
    </row>
    <row r="20040">
      <c r="A20040" s="1" t="s">
        <v>31292</v>
      </c>
      <c r="B20040" s="2" t="s">
        <v>26454</v>
      </c>
      <c r="C20040" s="1" t="s">
        <v>5674</v>
      </c>
      <c r="D20040" s="1" t="s">
        <v>5675</v>
      </c>
    </row>
    <row r="20041">
      <c r="A20041" s="1" t="s">
        <v>31293</v>
      </c>
      <c r="B20041" s="2" t="s">
        <v>26456</v>
      </c>
      <c r="C20041" s="1" t="s">
        <v>5674</v>
      </c>
      <c r="D20041" s="1" t="s">
        <v>5675</v>
      </c>
    </row>
    <row r="20042">
      <c r="A20042" s="1" t="s">
        <v>31294</v>
      </c>
      <c r="B20042" s="2" t="s">
        <v>26458</v>
      </c>
      <c r="C20042" s="1" t="s">
        <v>5674</v>
      </c>
      <c r="D20042" s="1" t="s">
        <v>5675</v>
      </c>
    </row>
    <row r="20043">
      <c r="A20043" s="1" t="s">
        <v>31295</v>
      </c>
      <c r="B20043" s="2" t="s">
        <v>26460</v>
      </c>
      <c r="C20043" s="1" t="s">
        <v>5674</v>
      </c>
      <c r="D20043" s="1" t="s">
        <v>5675</v>
      </c>
    </row>
    <row r="20044">
      <c r="A20044" s="1" t="s">
        <v>31296</v>
      </c>
      <c r="B20044" s="2" t="s">
        <v>26462</v>
      </c>
      <c r="C20044" s="1" t="s">
        <v>5674</v>
      </c>
      <c r="D20044" s="1" t="s">
        <v>5675</v>
      </c>
    </row>
    <row r="20045">
      <c r="A20045" s="1" t="s">
        <v>31297</v>
      </c>
      <c r="B20045" s="2" t="s">
        <v>26464</v>
      </c>
      <c r="C20045" s="1" t="s">
        <v>5674</v>
      </c>
      <c r="D20045" s="1" t="s">
        <v>5675</v>
      </c>
    </row>
    <row r="20046">
      <c r="A20046" s="1" t="s">
        <v>31298</v>
      </c>
      <c r="B20046" s="2" t="s">
        <v>26466</v>
      </c>
      <c r="C20046" s="1" t="s">
        <v>5674</v>
      </c>
      <c r="D20046" s="1" t="s">
        <v>5675</v>
      </c>
    </row>
    <row r="20047">
      <c r="A20047" s="1" t="s">
        <v>31299</v>
      </c>
      <c r="B20047" s="2" t="s">
        <v>26468</v>
      </c>
      <c r="C20047" s="1" t="s">
        <v>5674</v>
      </c>
      <c r="D20047" s="1" t="s">
        <v>5675</v>
      </c>
    </row>
    <row r="20048">
      <c r="A20048" s="1" t="s">
        <v>31300</v>
      </c>
      <c r="B20048" s="2" t="s">
        <v>26470</v>
      </c>
      <c r="C20048" s="1" t="s">
        <v>5674</v>
      </c>
      <c r="D20048" s="1" t="s">
        <v>5675</v>
      </c>
    </row>
    <row r="20049">
      <c r="A20049" s="1" t="s">
        <v>31301</v>
      </c>
      <c r="B20049" s="2" t="s">
        <v>26472</v>
      </c>
      <c r="C20049" s="1" t="s">
        <v>5674</v>
      </c>
      <c r="D20049" s="1" t="s">
        <v>5675</v>
      </c>
    </row>
    <row r="20050">
      <c r="A20050" s="1" t="s">
        <v>31302</v>
      </c>
      <c r="B20050" s="2" t="s">
        <v>26474</v>
      </c>
      <c r="C20050" s="1" t="s">
        <v>5674</v>
      </c>
      <c r="D20050" s="1" t="s">
        <v>5675</v>
      </c>
    </row>
    <row r="20051">
      <c r="A20051" s="1" t="s">
        <v>31303</v>
      </c>
      <c r="B20051" s="2" t="s">
        <v>26476</v>
      </c>
      <c r="C20051" s="1" t="s">
        <v>5674</v>
      </c>
      <c r="D20051" s="1" t="s">
        <v>5675</v>
      </c>
    </row>
    <row r="20052">
      <c r="A20052" s="1" t="s">
        <v>31304</v>
      </c>
      <c r="B20052" s="2" t="s">
        <v>26478</v>
      </c>
      <c r="C20052" s="1" t="s">
        <v>5674</v>
      </c>
      <c r="D20052" s="1" t="s">
        <v>5675</v>
      </c>
    </row>
    <row r="20053">
      <c r="A20053" s="1" t="s">
        <v>31305</v>
      </c>
      <c r="B20053" s="2" t="s">
        <v>26480</v>
      </c>
      <c r="C20053" s="1" t="s">
        <v>5674</v>
      </c>
      <c r="D20053" s="1" t="s">
        <v>5675</v>
      </c>
    </row>
    <row r="20054">
      <c r="A20054" s="1" t="s">
        <v>31306</v>
      </c>
      <c r="B20054" s="2" t="s">
        <v>26482</v>
      </c>
      <c r="C20054" s="1" t="s">
        <v>5674</v>
      </c>
      <c r="D20054" s="1" t="s">
        <v>5675</v>
      </c>
    </row>
    <row r="20055">
      <c r="A20055" s="1" t="s">
        <v>31307</v>
      </c>
      <c r="B20055" s="2" t="s">
        <v>26484</v>
      </c>
      <c r="C20055" s="1" t="s">
        <v>5674</v>
      </c>
      <c r="D20055" s="1" t="s">
        <v>5675</v>
      </c>
    </row>
    <row r="20056">
      <c r="A20056" s="1" t="s">
        <v>31308</v>
      </c>
      <c r="B20056" s="2" t="s">
        <v>26486</v>
      </c>
      <c r="C20056" s="1" t="s">
        <v>5674</v>
      </c>
      <c r="D20056" s="1" t="s">
        <v>5675</v>
      </c>
    </row>
    <row r="20057">
      <c r="A20057" s="1" t="s">
        <v>31309</v>
      </c>
      <c r="B20057" s="2" t="s">
        <v>26488</v>
      </c>
      <c r="C20057" s="1" t="s">
        <v>5674</v>
      </c>
      <c r="D20057" s="1" t="s">
        <v>5675</v>
      </c>
    </row>
    <row r="20058">
      <c r="A20058" s="1" t="s">
        <v>31310</v>
      </c>
      <c r="B20058" s="2" t="s">
        <v>26490</v>
      </c>
      <c r="C20058" s="1" t="s">
        <v>5674</v>
      </c>
      <c r="D20058" s="1" t="s">
        <v>5675</v>
      </c>
    </row>
    <row r="20059">
      <c r="A20059" s="1" t="s">
        <v>31311</v>
      </c>
      <c r="B20059" s="2" t="s">
        <v>26492</v>
      </c>
      <c r="C20059" s="1" t="s">
        <v>5674</v>
      </c>
      <c r="D20059" s="1" t="s">
        <v>5675</v>
      </c>
    </row>
    <row r="20060">
      <c r="A20060" s="1" t="s">
        <v>31312</v>
      </c>
      <c r="B20060" s="2" t="s">
        <v>26494</v>
      </c>
      <c r="C20060" s="1" t="s">
        <v>5674</v>
      </c>
      <c r="D20060" s="1" t="s">
        <v>5675</v>
      </c>
    </row>
    <row r="20061">
      <c r="A20061" s="1" t="s">
        <v>31313</v>
      </c>
      <c r="B20061" s="2" t="s">
        <v>26496</v>
      </c>
      <c r="C20061" s="1" t="s">
        <v>5674</v>
      </c>
      <c r="D20061" s="1" t="s">
        <v>5675</v>
      </c>
    </row>
    <row r="20062">
      <c r="A20062" s="1" t="s">
        <v>31314</v>
      </c>
      <c r="B20062" s="2" t="s">
        <v>26498</v>
      </c>
      <c r="C20062" s="1" t="s">
        <v>5674</v>
      </c>
      <c r="D20062" s="1" t="s">
        <v>5675</v>
      </c>
    </row>
    <row r="20063">
      <c r="A20063" s="1" t="s">
        <v>31315</v>
      </c>
      <c r="B20063" s="2" t="s">
        <v>26500</v>
      </c>
      <c r="C20063" s="1" t="s">
        <v>5674</v>
      </c>
      <c r="D20063" s="1" t="s">
        <v>5675</v>
      </c>
    </row>
    <row r="20064">
      <c r="A20064" s="1" t="s">
        <v>31316</v>
      </c>
      <c r="B20064" s="2" t="s">
        <v>26502</v>
      </c>
      <c r="C20064" s="1" t="s">
        <v>5674</v>
      </c>
      <c r="D20064" s="1" t="s">
        <v>5675</v>
      </c>
    </row>
    <row r="20065">
      <c r="A20065" s="1" t="s">
        <v>31317</v>
      </c>
      <c r="B20065" s="2" t="s">
        <v>26504</v>
      </c>
      <c r="C20065" s="1" t="s">
        <v>5674</v>
      </c>
      <c r="D20065" s="1" t="s">
        <v>5675</v>
      </c>
    </row>
    <row r="20066">
      <c r="A20066" s="1" t="s">
        <v>31318</v>
      </c>
      <c r="B20066" s="2" t="s">
        <v>26506</v>
      </c>
      <c r="C20066" s="1" t="s">
        <v>5674</v>
      </c>
      <c r="D20066" s="1" t="s">
        <v>5675</v>
      </c>
    </row>
    <row r="20067">
      <c r="A20067" s="1" t="s">
        <v>31319</v>
      </c>
      <c r="B20067" s="2" t="s">
        <v>26508</v>
      </c>
      <c r="C20067" s="1" t="s">
        <v>5674</v>
      </c>
      <c r="D20067" s="1" t="s">
        <v>5675</v>
      </c>
    </row>
    <row r="20068">
      <c r="A20068" s="1" t="s">
        <v>31320</v>
      </c>
      <c r="B20068" s="2" t="s">
        <v>26510</v>
      </c>
      <c r="C20068" s="1" t="s">
        <v>5674</v>
      </c>
      <c r="D20068" s="1" t="s">
        <v>5675</v>
      </c>
    </row>
    <row r="20069">
      <c r="A20069" s="1" t="s">
        <v>31321</v>
      </c>
      <c r="B20069" s="2" t="s">
        <v>26512</v>
      </c>
      <c r="C20069" s="1" t="s">
        <v>5674</v>
      </c>
      <c r="D20069" s="1" t="s">
        <v>5675</v>
      </c>
    </row>
    <row r="20070">
      <c r="A20070" s="1" t="s">
        <v>31322</v>
      </c>
      <c r="B20070" s="2" t="s">
        <v>26514</v>
      </c>
      <c r="C20070" s="1" t="s">
        <v>5674</v>
      </c>
      <c r="D20070" s="1" t="s">
        <v>5675</v>
      </c>
    </row>
    <row r="20071">
      <c r="A20071" s="1" t="s">
        <v>31323</v>
      </c>
      <c r="B20071" s="2" t="s">
        <v>26516</v>
      </c>
      <c r="C20071" s="1" t="s">
        <v>5674</v>
      </c>
      <c r="D20071" s="1" t="s">
        <v>5675</v>
      </c>
    </row>
    <row r="20072">
      <c r="A20072" s="1" t="s">
        <v>31324</v>
      </c>
      <c r="B20072" s="2" t="s">
        <v>26518</v>
      </c>
      <c r="C20072" s="1" t="s">
        <v>5674</v>
      </c>
      <c r="D20072" s="1" t="s">
        <v>5675</v>
      </c>
    </row>
    <row r="20073">
      <c r="A20073" s="1" t="s">
        <v>31325</v>
      </c>
      <c r="B20073" s="2" t="s">
        <v>26520</v>
      </c>
      <c r="C20073" s="1" t="s">
        <v>5674</v>
      </c>
      <c r="D20073" s="1" t="s">
        <v>5675</v>
      </c>
    </row>
    <row r="20074">
      <c r="A20074" s="1" t="s">
        <v>31326</v>
      </c>
      <c r="B20074" s="2" t="s">
        <v>26522</v>
      </c>
      <c r="C20074" s="1" t="s">
        <v>5674</v>
      </c>
      <c r="D20074" s="1" t="s">
        <v>5675</v>
      </c>
    </row>
    <row r="20075">
      <c r="A20075" s="1" t="s">
        <v>31327</v>
      </c>
      <c r="B20075" s="2" t="s">
        <v>26524</v>
      </c>
      <c r="C20075" s="1" t="s">
        <v>5674</v>
      </c>
      <c r="D20075" s="1" t="s">
        <v>5675</v>
      </c>
    </row>
    <row r="20076">
      <c r="A20076" s="1" t="s">
        <v>31328</v>
      </c>
      <c r="B20076" s="2" t="s">
        <v>26526</v>
      </c>
      <c r="C20076" s="1" t="s">
        <v>5674</v>
      </c>
      <c r="D20076" s="1" t="s">
        <v>5675</v>
      </c>
    </row>
    <row r="20077">
      <c r="A20077" s="1" t="s">
        <v>31329</v>
      </c>
      <c r="B20077" s="2" t="s">
        <v>26528</v>
      </c>
      <c r="C20077" s="1" t="s">
        <v>5674</v>
      </c>
      <c r="D20077" s="1" t="s">
        <v>5675</v>
      </c>
    </row>
    <row r="20078">
      <c r="A20078" s="1" t="s">
        <v>31330</v>
      </c>
      <c r="B20078" s="2" t="s">
        <v>26530</v>
      </c>
      <c r="C20078" s="1" t="s">
        <v>5674</v>
      </c>
      <c r="D20078" s="1" t="s">
        <v>5675</v>
      </c>
    </row>
    <row r="20079">
      <c r="A20079" s="1" t="s">
        <v>31331</v>
      </c>
      <c r="B20079" s="2" t="s">
        <v>26532</v>
      </c>
      <c r="C20079" s="1" t="s">
        <v>5674</v>
      </c>
      <c r="D20079" s="1" t="s">
        <v>5675</v>
      </c>
    </row>
    <row r="20080">
      <c r="A20080" s="1" t="s">
        <v>31332</v>
      </c>
      <c r="B20080" s="2" t="s">
        <v>26534</v>
      </c>
      <c r="C20080" s="1" t="s">
        <v>5674</v>
      </c>
      <c r="D20080" s="1" t="s">
        <v>5675</v>
      </c>
    </row>
    <row r="20081">
      <c r="A20081" s="1" t="s">
        <v>31333</v>
      </c>
      <c r="B20081" s="2" t="s">
        <v>26536</v>
      </c>
      <c r="C20081" s="1" t="s">
        <v>5674</v>
      </c>
      <c r="D20081" s="1" t="s">
        <v>5675</v>
      </c>
    </row>
    <row r="20082">
      <c r="A20082" s="1" t="s">
        <v>31334</v>
      </c>
      <c r="B20082" s="2" t="s">
        <v>26538</v>
      </c>
      <c r="C20082" s="1" t="s">
        <v>5674</v>
      </c>
      <c r="D20082" s="1" t="s">
        <v>5675</v>
      </c>
    </row>
    <row r="20083">
      <c r="A20083" s="1" t="s">
        <v>31335</v>
      </c>
      <c r="B20083" s="2" t="s">
        <v>26540</v>
      </c>
      <c r="C20083" s="1" t="s">
        <v>5674</v>
      </c>
      <c r="D20083" s="1" t="s">
        <v>5675</v>
      </c>
    </row>
    <row r="20084">
      <c r="A20084" s="1" t="s">
        <v>31336</v>
      </c>
      <c r="B20084" s="2" t="s">
        <v>26542</v>
      </c>
      <c r="C20084" s="1" t="s">
        <v>5674</v>
      </c>
      <c r="D20084" s="1" t="s">
        <v>5675</v>
      </c>
    </row>
    <row r="20085">
      <c r="A20085" s="1" t="s">
        <v>31337</v>
      </c>
      <c r="B20085" s="2" t="s">
        <v>26544</v>
      </c>
      <c r="C20085" s="1" t="s">
        <v>5674</v>
      </c>
      <c r="D20085" s="1" t="s">
        <v>5675</v>
      </c>
    </row>
    <row r="20086">
      <c r="A20086" s="1" t="s">
        <v>31338</v>
      </c>
      <c r="B20086" s="2" t="s">
        <v>26546</v>
      </c>
      <c r="C20086" s="1" t="s">
        <v>5674</v>
      </c>
      <c r="D20086" s="1" t="s">
        <v>5675</v>
      </c>
    </row>
    <row r="20087">
      <c r="A20087" s="1" t="s">
        <v>31339</v>
      </c>
      <c r="B20087" s="2" t="s">
        <v>26548</v>
      </c>
      <c r="C20087" s="1" t="s">
        <v>5674</v>
      </c>
      <c r="D20087" s="1" t="s">
        <v>5675</v>
      </c>
    </row>
    <row r="20088">
      <c r="A20088" s="1" t="s">
        <v>31340</v>
      </c>
      <c r="B20088" s="2" t="s">
        <v>26550</v>
      </c>
      <c r="C20088" s="1" t="s">
        <v>5674</v>
      </c>
      <c r="D20088" s="1" t="s">
        <v>5675</v>
      </c>
    </row>
    <row r="20089">
      <c r="A20089" s="1" t="s">
        <v>31341</v>
      </c>
      <c r="B20089" s="2" t="s">
        <v>26552</v>
      </c>
      <c r="C20089" s="1" t="s">
        <v>5674</v>
      </c>
      <c r="D20089" s="1" t="s">
        <v>5675</v>
      </c>
    </row>
    <row r="20090">
      <c r="A20090" s="1" t="s">
        <v>31342</v>
      </c>
      <c r="B20090" s="2" t="s">
        <v>26554</v>
      </c>
      <c r="C20090" s="1" t="s">
        <v>5674</v>
      </c>
      <c r="D20090" s="1" t="s">
        <v>5675</v>
      </c>
    </row>
    <row r="20091">
      <c r="A20091" s="1" t="s">
        <v>31343</v>
      </c>
      <c r="B20091" s="2" t="s">
        <v>26556</v>
      </c>
      <c r="C20091" s="1" t="s">
        <v>5674</v>
      </c>
      <c r="D20091" s="1" t="s">
        <v>5675</v>
      </c>
    </row>
    <row r="20092">
      <c r="A20092" s="1" t="s">
        <v>31344</v>
      </c>
      <c r="B20092" s="2" t="s">
        <v>26558</v>
      </c>
      <c r="C20092" s="1" t="s">
        <v>5674</v>
      </c>
      <c r="D20092" s="1" t="s">
        <v>5675</v>
      </c>
    </row>
    <row r="20093">
      <c r="A20093" s="1" t="s">
        <v>31345</v>
      </c>
      <c r="B20093" s="2" t="s">
        <v>26560</v>
      </c>
      <c r="C20093" s="1" t="s">
        <v>5674</v>
      </c>
      <c r="D20093" s="1" t="s">
        <v>5675</v>
      </c>
    </row>
    <row r="20094">
      <c r="A20094" s="1" t="s">
        <v>31346</v>
      </c>
      <c r="B20094" s="2" t="s">
        <v>26562</v>
      </c>
      <c r="C20094" s="1" t="s">
        <v>5674</v>
      </c>
      <c r="D20094" s="1" t="s">
        <v>5675</v>
      </c>
    </row>
    <row r="20095">
      <c r="A20095" s="1" t="s">
        <v>31347</v>
      </c>
      <c r="B20095" s="2" t="s">
        <v>26564</v>
      </c>
      <c r="C20095" s="1" t="s">
        <v>5674</v>
      </c>
      <c r="D20095" s="1" t="s">
        <v>5675</v>
      </c>
    </row>
    <row r="20096">
      <c r="A20096" s="1" t="s">
        <v>31348</v>
      </c>
      <c r="B20096" s="2" t="s">
        <v>26566</v>
      </c>
      <c r="C20096" s="1" t="s">
        <v>5674</v>
      </c>
      <c r="D20096" s="1" t="s">
        <v>5675</v>
      </c>
    </row>
    <row r="20097">
      <c r="A20097" s="1" t="s">
        <v>31349</v>
      </c>
      <c r="B20097" s="2" t="s">
        <v>26568</v>
      </c>
      <c r="C20097" s="1" t="s">
        <v>5674</v>
      </c>
      <c r="D20097" s="1" t="s">
        <v>5675</v>
      </c>
    </row>
    <row r="20098">
      <c r="A20098" s="1" t="s">
        <v>31350</v>
      </c>
      <c r="B20098" s="2" t="s">
        <v>26570</v>
      </c>
      <c r="C20098" s="1" t="s">
        <v>5674</v>
      </c>
      <c r="D20098" s="1" t="s">
        <v>5675</v>
      </c>
    </row>
    <row r="20099">
      <c r="A20099" s="1" t="s">
        <v>31351</v>
      </c>
      <c r="B20099" s="2" t="s">
        <v>26572</v>
      </c>
      <c r="C20099" s="1" t="s">
        <v>5674</v>
      </c>
      <c r="D20099" s="1" t="s">
        <v>5675</v>
      </c>
    </row>
    <row r="20100">
      <c r="A20100" s="1" t="s">
        <v>31352</v>
      </c>
      <c r="B20100" s="2" t="s">
        <v>26574</v>
      </c>
      <c r="C20100" s="1" t="s">
        <v>5674</v>
      </c>
      <c r="D20100" s="1" t="s">
        <v>5675</v>
      </c>
    </row>
    <row r="20101">
      <c r="A20101" s="1" t="s">
        <v>31353</v>
      </c>
      <c r="B20101" s="2" t="s">
        <v>26576</v>
      </c>
      <c r="C20101" s="1" t="s">
        <v>5674</v>
      </c>
      <c r="D20101" s="1" t="s">
        <v>5675</v>
      </c>
    </row>
    <row r="20102">
      <c r="A20102" s="1" t="s">
        <v>31354</v>
      </c>
      <c r="B20102" s="2" t="s">
        <v>26578</v>
      </c>
      <c r="C20102" s="1" t="s">
        <v>5674</v>
      </c>
      <c r="D20102" s="1" t="s">
        <v>5675</v>
      </c>
    </row>
    <row r="20103">
      <c r="A20103" s="1" t="s">
        <v>31355</v>
      </c>
      <c r="B20103" s="2" t="s">
        <v>26580</v>
      </c>
      <c r="C20103" s="1" t="s">
        <v>5674</v>
      </c>
      <c r="D20103" s="1" t="s">
        <v>5675</v>
      </c>
    </row>
    <row r="20104">
      <c r="A20104" s="1" t="s">
        <v>31356</v>
      </c>
      <c r="B20104" s="2" t="s">
        <v>26582</v>
      </c>
      <c r="C20104" s="1" t="s">
        <v>5674</v>
      </c>
      <c r="D20104" s="1" t="s">
        <v>5675</v>
      </c>
    </row>
    <row r="20105">
      <c r="A20105" s="1" t="s">
        <v>31357</v>
      </c>
      <c r="B20105" s="2" t="s">
        <v>26584</v>
      </c>
      <c r="C20105" s="1" t="s">
        <v>5674</v>
      </c>
      <c r="D20105" s="1" t="s">
        <v>5675</v>
      </c>
    </row>
    <row r="20106">
      <c r="A20106" s="1" t="s">
        <v>31358</v>
      </c>
      <c r="B20106" s="2" t="s">
        <v>26586</v>
      </c>
      <c r="C20106" s="1" t="s">
        <v>5674</v>
      </c>
      <c r="D20106" s="1" t="s">
        <v>5675</v>
      </c>
    </row>
    <row r="20107">
      <c r="A20107" s="1" t="s">
        <v>31359</v>
      </c>
      <c r="B20107" s="2" t="s">
        <v>26588</v>
      </c>
      <c r="C20107" s="1" t="s">
        <v>5674</v>
      </c>
      <c r="D20107" s="1" t="s">
        <v>5675</v>
      </c>
    </row>
    <row r="20108">
      <c r="A20108" s="1" t="s">
        <v>31360</v>
      </c>
      <c r="B20108" s="2" t="s">
        <v>26590</v>
      </c>
      <c r="C20108" s="1" t="s">
        <v>5674</v>
      </c>
      <c r="D20108" s="1" t="s">
        <v>5675</v>
      </c>
    </row>
    <row r="20109">
      <c r="A20109" s="1" t="s">
        <v>31361</v>
      </c>
      <c r="B20109" s="2" t="s">
        <v>26592</v>
      </c>
      <c r="C20109" s="1" t="s">
        <v>5674</v>
      </c>
      <c r="D20109" s="1" t="s">
        <v>5675</v>
      </c>
    </row>
    <row r="20110">
      <c r="A20110" s="1" t="s">
        <v>31362</v>
      </c>
      <c r="B20110" s="2" t="s">
        <v>26594</v>
      </c>
      <c r="C20110" s="1" t="s">
        <v>5674</v>
      </c>
      <c r="D20110" s="1" t="s">
        <v>5675</v>
      </c>
    </row>
    <row r="20111">
      <c r="A20111" s="1" t="s">
        <v>31363</v>
      </c>
      <c r="B20111" s="2" t="s">
        <v>26596</v>
      </c>
      <c r="C20111" s="1" t="s">
        <v>5674</v>
      </c>
      <c r="D20111" s="1" t="s">
        <v>5675</v>
      </c>
    </row>
    <row r="20112">
      <c r="A20112" s="1" t="s">
        <v>31364</v>
      </c>
      <c r="B20112" s="2" t="s">
        <v>26598</v>
      </c>
      <c r="C20112" s="1" t="s">
        <v>5674</v>
      </c>
      <c r="D20112" s="1" t="s">
        <v>5675</v>
      </c>
    </row>
    <row r="20113">
      <c r="A20113" s="1" t="s">
        <v>31365</v>
      </c>
      <c r="B20113" s="2" t="s">
        <v>26600</v>
      </c>
      <c r="C20113" s="1" t="s">
        <v>5674</v>
      </c>
      <c r="D20113" s="1" t="s">
        <v>5675</v>
      </c>
    </row>
    <row r="20114">
      <c r="A20114" s="1" t="s">
        <v>31366</v>
      </c>
      <c r="B20114" s="2" t="s">
        <v>26602</v>
      </c>
      <c r="C20114" s="1" t="s">
        <v>5674</v>
      </c>
      <c r="D20114" s="1" t="s">
        <v>5675</v>
      </c>
    </row>
    <row r="20115">
      <c r="A20115" s="1" t="s">
        <v>31367</v>
      </c>
      <c r="B20115" s="2" t="s">
        <v>26604</v>
      </c>
      <c r="C20115" s="1" t="s">
        <v>5674</v>
      </c>
      <c r="D20115" s="1" t="s">
        <v>5675</v>
      </c>
    </row>
    <row r="20116">
      <c r="A20116" s="1" t="s">
        <v>31368</v>
      </c>
      <c r="B20116" s="2" t="s">
        <v>26606</v>
      </c>
      <c r="C20116" s="1" t="s">
        <v>5674</v>
      </c>
      <c r="D20116" s="1" t="s">
        <v>5675</v>
      </c>
    </row>
    <row r="20117">
      <c r="A20117" s="1" t="s">
        <v>31369</v>
      </c>
      <c r="B20117" s="2" t="s">
        <v>26608</v>
      </c>
      <c r="C20117" s="1" t="s">
        <v>5674</v>
      </c>
      <c r="D20117" s="1" t="s">
        <v>5675</v>
      </c>
    </row>
    <row r="20118">
      <c r="A20118" s="1" t="s">
        <v>31370</v>
      </c>
      <c r="B20118" s="2" t="s">
        <v>26610</v>
      </c>
      <c r="C20118" s="1" t="s">
        <v>5674</v>
      </c>
      <c r="D20118" s="1" t="s">
        <v>5675</v>
      </c>
    </row>
    <row r="20119">
      <c r="A20119" s="1" t="s">
        <v>31371</v>
      </c>
      <c r="B20119" s="2" t="s">
        <v>26612</v>
      </c>
      <c r="C20119" s="1" t="s">
        <v>5674</v>
      </c>
      <c r="D20119" s="1" t="s">
        <v>5675</v>
      </c>
    </row>
    <row r="20120">
      <c r="A20120" s="1" t="s">
        <v>31372</v>
      </c>
      <c r="B20120" s="2" t="s">
        <v>26614</v>
      </c>
      <c r="C20120" s="1" t="s">
        <v>5674</v>
      </c>
      <c r="D20120" s="1" t="s">
        <v>5675</v>
      </c>
    </row>
    <row r="20121">
      <c r="A20121" s="1" t="s">
        <v>31373</v>
      </c>
      <c r="B20121" s="2" t="s">
        <v>26616</v>
      </c>
      <c r="C20121" s="1" t="s">
        <v>5674</v>
      </c>
      <c r="D20121" s="1" t="s">
        <v>5675</v>
      </c>
    </row>
    <row r="20122">
      <c r="A20122" s="1" t="s">
        <v>31374</v>
      </c>
      <c r="B20122" s="2" t="s">
        <v>26618</v>
      </c>
      <c r="C20122" s="1" t="s">
        <v>5674</v>
      </c>
      <c r="D20122" s="1" t="s">
        <v>5675</v>
      </c>
    </row>
    <row r="20123">
      <c r="A20123" s="1" t="s">
        <v>31375</v>
      </c>
      <c r="B20123" s="2" t="s">
        <v>26620</v>
      </c>
      <c r="C20123" s="1" t="s">
        <v>5674</v>
      </c>
      <c r="D20123" s="1" t="s">
        <v>5675</v>
      </c>
    </row>
    <row r="20124">
      <c r="A20124" s="1" t="s">
        <v>31376</v>
      </c>
      <c r="B20124" s="2" t="s">
        <v>26622</v>
      </c>
      <c r="C20124" s="1" t="s">
        <v>5674</v>
      </c>
      <c r="D20124" s="1" t="s">
        <v>5675</v>
      </c>
    </row>
    <row r="20125">
      <c r="A20125" s="1" t="s">
        <v>31377</v>
      </c>
      <c r="B20125" s="2" t="s">
        <v>26624</v>
      </c>
      <c r="C20125" s="1" t="s">
        <v>5674</v>
      </c>
      <c r="D20125" s="1" t="s">
        <v>5675</v>
      </c>
    </row>
    <row r="20126">
      <c r="A20126" s="1" t="s">
        <v>31378</v>
      </c>
      <c r="B20126" s="2" t="s">
        <v>26626</v>
      </c>
      <c r="C20126" s="1" t="s">
        <v>5674</v>
      </c>
      <c r="D20126" s="1" t="s">
        <v>5675</v>
      </c>
    </row>
    <row r="20127">
      <c r="A20127" s="1" t="s">
        <v>31379</v>
      </c>
      <c r="B20127" s="2" t="s">
        <v>26628</v>
      </c>
      <c r="C20127" s="1" t="s">
        <v>5674</v>
      </c>
      <c r="D20127" s="1" t="s">
        <v>5675</v>
      </c>
    </row>
    <row r="20128">
      <c r="A20128" s="1" t="s">
        <v>31380</v>
      </c>
      <c r="B20128" s="2" t="s">
        <v>26630</v>
      </c>
      <c r="C20128" s="1" t="s">
        <v>5674</v>
      </c>
      <c r="D20128" s="1" t="s">
        <v>5675</v>
      </c>
    </row>
    <row r="20129">
      <c r="A20129" s="1" t="s">
        <v>31381</v>
      </c>
      <c r="B20129" s="2" t="s">
        <v>26632</v>
      </c>
      <c r="C20129" s="1" t="s">
        <v>5674</v>
      </c>
      <c r="D20129" s="1" t="s">
        <v>5675</v>
      </c>
    </row>
    <row r="20130">
      <c r="A20130" s="1" t="s">
        <v>31382</v>
      </c>
      <c r="B20130" s="2" t="s">
        <v>26634</v>
      </c>
      <c r="C20130" s="1" t="s">
        <v>5674</v>
      </c>
      <c r="D20130" s="1" t="s">
        <v>5675</v>
      </c>
    </row>
    <row r="20131">
      <c r="A20131" s="1" t="s">
        <v>31383</v>
      </c>
      <c r="B20131" s="2" t="s">
        <v>26636</v>
      </c>
      <c r="C20131" s="1" t="s">
        <v>5674</v>
      </c>
      <c r="D20131" s="1" t="s">
        <v>5675</v>
      </c>
    </row>
    <row r="20132">
      <c r="A20132" s="1" t="s">
        <v>31384</v>
      </c>
      <c r="B20132" s="2" t="s">
        <v>26638</v>
      </c>
      <c r="C20132" s="1" t="s">
        <v>5674</v>
      </c>
      <c r="D20132" s="1" t="s">
        <v>5675</v>
      </c>
    </row>
    <row r="20133">
      <c r="A20133" s="1" t="s">
        <v>31385</v>
      </c>
      <c r="B20133" s="2" t="s">
        <v>26640</v>
      </c>
      <c r="C20133" s="1" t="s">
        <v>5674</v>
      </c>
      <c r="D20133" s="1" t="s">
        <v>5675</v>
      </c>
    </row>
    <row r="20134">
      <c r="A20134" s="1" t="s">
        <v>31386</v>
      </c>
      <c r="B20134" s="2" t="s">
        <v>26642</v>
      </c>
      <c r="C20134" s="1" t="s">
        <v>5674</v>
      </c>
      <c r="D20134" s="1" t="s">
        <v>5675</v>
      </c>
    </row>
    <row r="20135">
      <c r="A20135" s="1" t="s">
        <v>31387</v>
      </c>
      <c r="B20135" s="2" t="s">
        <v>26644</v>
      </c>
      <c r="C20135" s="1" t="s">
        <v>5674</v>
      </c>
      <c r="D20135" s="1" t="s">
        <v>5675</v>
      </c>
    </row>
    <row r="20136">
      <c r="A20136" s="1" t="s">
        <v>31388</v>
      </c>
      <c r="B20136" s="2" t="s">
        <v>26646</v>
      </c>
      <c r="C20136" s="1" t="s">
        <v>5674</v>
      </c>
      <c r="D20136" s="1" t="s">
        <v>5675</v>
      </c>
    </row>
    <row r="20137">
      <c r="A20137" s="1" t="s">
        <v>31389</v>
      </c>
      <c r="B20137" s="2" t="s">
        <v>26648</v>
      </c>
      <c r="C20137" s="1" t="s">
        <v>5674</v>
      </c>
      <c r="D20137" s="1" t="s">
        <v>5675</v>
      </c>
    </row>
    <row r="20138">
      <c r="A20138" s="1" t="s">
        <v>31390</v>
      </c>
      <c r="B20138" s="2" t="s">
        <v>26650</v>
      </c>
      <c r="C20138" s="1" t="s">
        <v>5674</v>
      </c>
      <c r="D20138" s="1" t="s">
        <v>5675</v>
      </c>
    </row>
    <row r="20139">
      <c r="A20139" s="1" t="s">
        <v>31391</v>
      </c>
      <c r="B20139" s="2" t="s">
        <v>26652</v>
      </c>
      <c r="C20139" s="1" t="s">
        <v>5674</v>
      </c>
      <c r="D20139" s="1" t="s">
        <v>5675</v>
      </c>
    </row>
    <row r="20140">
      <c r="A20140" s="1" t="s">
        <v>31392</v>
      </c>
      <c r="B20140" s="2" t="s">
        <v>26654</v>
      </c>
      <c r="C20140" s="1" t="s">
        <v>5674</v>
      </c>
      <c r="D20140" s="1" t="s">
        <v>5675</v>
      </c>
    </row>
    <row r="20141">
      <c r="A20141" s="1" t="s">
        <v>31393</v>
      </c>
      <c r="B20141" s="2" t="s">
        <v>26656</v>
      </c>
      <c r="C20141" s="1" t="s">
        <v>5674</v>
      </c>
      <c r="D20141" s="1" t="s">
        <v>5675</v>
      </c>
    </row>
    <row r="20142">
      <c r="A20142" s="1" t="s">
        <v>31394</v>
      </c>
      <c r="B20142" s="2" t="s">
        <v>26658</v>
      </c>
      <c r="C20142" s="1" t="s">
        <v>5674</v>
      </c>
      <c r="D20142" s="1" t="s">
        <v>5675</v>
      </c>
    </row>
    <row r="20143">
      <c r="A20143" s="1" t="s">
        <v>31395</v>
      </c>
      <c r="B20143" s="2" t="s">
        <v>26660</v>
      </c>
      <c r="C20143" s="1" t="s">
        <v>5674</v>
      </c>
      <c r="D20143" s="1" t="s">
        <v>5675</v>
      </c>
    </row>
    <row r="20144">
      <c r="A20144" s="1" t="s">
        <v>31396</v>
      </c>
      <c r="B20144" s="2" t="s">
        <v>26662</v>
      </c>
      <c r="C20144" s="1" t="s">
        <v>5674</v>
      </c>
      <c r="D20144" s="1" t="s">
        <v>5675</v>
      </c>
    </row>
    <row r="20145">
      <c r="A20145" s="1" t="s">
        <v>31397</v>
      </c>
      <c r="B20145" s="2" t="s">
        <v>26664</v>
      </c>
      <c r="C20145" s="1" t="s">
        <v>5674</v>
      </c>
      <c r="D20145" s="1" t="s">
        <v>5675</v>
      </c>
    </row>
    <row r="20146">
      <c r="A20146" s="1" t="s">
        <v>31398</v>
      </c>
      <c r="B20146" s="2" t="s">
        <v>26666</v>
      </c>
      <c r="C20146" s="1" t="s">
        <v>5674</v>
      </c>
      <c r="D20146" s="1" t="s">
        <v>5675</v>
      </c>
    </row>
    <row r="20147">
      <c r="A20147" s="1" t="s">
        <v>31399</v>
      </c>
      <c r="B20147" s="2" t="s">
        <v>26668</v>
      </c>
      <c r="C20147" s="1" t="s">
        <v>5674</v>
      </c>
      <c r="D20147" s="1" t="s">
        <v>5675</v>
      </c>
    </row>
    <row r="20148">
      <c r="A20148" s="1" t="s">
        <v>31400</v>
      </c>
      <c r="B20148" s="2" t="s">
        <v>26670</v>
      </c>
      <c r="C20148" s="1" t="s">
        <v>5674</v>
      </c>
      <c r="D20148" s="1" t="s">
        <v>5675</v>
      </c>
    </row>
    <row r="20149">
      <c r="A20149" s="1" t="s">
        <v>31401</v>
      </c>
      <c r="B20149" s="2" t="s">
        <v>26672</v>
      </c>
      <c r="C20149" s="1" t="s">
        <v>5674</v>
      </c>
      <c r="D20149" s="1" t="s">
        <v>5675</v>
      </c>
    </row>
    <row r="20150">
      <c r="A20150" s="1" t="s">
        <v>31402</v>
      </c>
      <c r="B20150" s="2" t="s">
        <v>26674</v>
      </c>
      <c r="C20150" s="1" t="s">
        <v>5674</v>
      </c>
      <c r="D20150" s="1" t="s">
        <v>5675</v>
      </c>
    </row>
    <row r="20151">
      <c r="A20151" s="1" t="s">
        <v>31403</v>
      </c>
      <c r="B20151" s="2" t="s">
        <v>26676</v>
      </c>
      <c r="C20151" s="1" t="s">
        <v>5674</v>
      </c>
      <c r="D20151" s="1" t="s">
        <v>5675</v>
      </c>
    </row>
    <row r="20152">
      <c r="A20152" s="1" t="s">
        <v>31404</v>
      </c>
      <c r="B20152" s="2" t="s">
        <v>26678</v>
      </c>
      <c r="C20152" s="1" t="s">
        <v>5674</v>
      </c>
      <c r="D20152" s="1" t="s">
        <v>5675</v>
      </c>
    </row>
    <row r="20153">
      <c r="A20153" s="1" t="s">
        <v>31405</v>
      </c>
      <c r="B20153" s="2" t="s">
        <v>26680</v>
      </c>
      <c r="C20153" s="1" t="s">
        <v>5674</v>
      </c>
      <c r="D20153" s="1" t="s">
        <v>5675</v>
      </c>
    </row>
    <row r="20154">
      <c r="A20154" s="1" t="s">
        <v>31406</v>
      </c>
      <c r="B20154" s="2" t="s">
        <v>26682</v>
      </c>
      <c r="C20154" s="1" t="s">
        <v>5674</v>
      </c>
      <c r="D20154" s="1" t="s">
        <v>5675</v>
      </c>
    </row>
    <row r="20155">
      <c r="A20155" s="1" t="s">
        <v>31407</v>
      </c>
      <c r="B20155" s="2" t="s">
        <v>26684</v>
      </c>
      <c r="C20155" s="1" t="s">
        <v>5674</v>
      </c>
      <c r="D20155" s="1" t="s">
        <v>5675</v>
      </c>
    </row>
    <row r="20156">
      <c r="A20156" s="1" t="s">
        <v>31408</v>
      </c>
      <c r="B20156" s="2" t="s">
        <v>26686</v>
      </c>
      <c r="C20156" s="1" t="s">
        <v>5674</v>
      </c>
      <c r="D20156" s="1" t="s">
        <v>5675</v>
      </c>
    </row>
    <row r="20157">
      <c r="A20157" s="1" t="s">
        <v>31409</v>
      </c>
      <c r="B20157" s="2" t="s">
        <v>26688</v>
      </c>
      <c r="C20157" s="1" t="s">
        <v>5674</v>
      </c>
      <c r="D20157" s="1" t="s">
        <v>5675</v>
      </c>
    </row>
    <row r="20158">
      <c r="A20158" s="1" t="s">
        <v>31410</v>
      </c>
      <c r="B20158" s="2" t="s">
        <v>26690</v>
      </c>
      <c r="C20158" s="1" t="s">
        <v>5674</v>
      </c>
      <c r="D20158" s="1" t="s">
        <v>5675</v>
      </c>
    </row>
    <row r="20159">
      <c r="A20159" s="1" t="s">
        <v>31411</v>
      </c>
      <c r="B20159" s="2" t="s">
        <v>26692</v>
      </c>
      <c r="C20159" s="1" t="s">
        <v>5674</v>
      </c>
      <c r="D20159" s="1" t="s">
        <v>5675</v>
      </c>
    </row>
    <row r="20160">
      <c r="A20160" s="1" t="s">
        <v>31412</v>
      </c>
      <c r="B20160" s="2" t="s">
        <v>26694</v>
      </c>
      <c r="C20160" s="1" t="s">
        <v>5674</v>
      </c>
      <c r="D20160" s="1" t="s">
        <v>5675</v>
      </c>
    </row>
    <row r="20161">
      <c r="A20161" s="1" t="s">
        <v>31413</v>
      </c>
      <c r="B20161" s="2" t="s">
        <v>26696</v>
      </c>
      <c r="C20161" s="1" t="s">
        <v>5674</v>
      </c>
      <c r="D20161" s="1" t="s">
        <v>5675</v>
      </c>
    </row>
    <row r="20162">
      <c r="A20162" s="1" t="s">
        <v>31414</v>
      </c>
      <c r="B20162" s="2" t="s">
        <v>26698</v>
      </c>
      <c r="C20162" s="1" t="s">
        <v>5674</v>
      </c>
      <c r="D20162" s="1" t="s">
        <v>5675</v>
      </c>
    </row>
    <row r="20163">
      <c r="A20163" s="1" t="s">
        <v>31415</v>
      </c>
      <c r="B20163" s="2" t="s">
        <v>26700</v>
      </c>
      <c r="C20163" s="1" t="s">
        <v>5674</v>
      </c>
      <c r="D20163" s="1" t="s">
        <v>5675</v>
      </c>
    </row>
    <row r="20164">
      <c r="A20164" s="1" t="s">
        <v>31416</v>
      </c>
      <c r="B20164" s="2" t="s">
        <v>26702</v>
      </c>
      <c r="C20164" s="1" t="s">
        <v>5674</v>
      </c>
      <c r="D20164" s="1" t="s">
        <v>5675</v>
      </c>
    </row>
    <row r="20165">
      <c r="A20165" s="1" t="s">
        <v>31417</v>
      </c>
      <c r="B20165" s="2" t="s">
        <v>26704</v>
      </c>
      <c r="C20165" s="1" t="s">
        <v>5674</v>
      </c>
      <c r="D20165" s="1" t="s">
        <v>5675</v>
      </c>
    </row>
    <row r="20166">
      <c r="A20166" s="1" t="s">
        <v>31418</v>
      </c>
      <c r="B20166" s="2" t="s">
        <v>26706</v>
      </c>
      <c r="C20166" s="1" t="s">
        <v>5674</v>
      </c>
      <c r="D20166" s="1" t="s">
        <v>5675</v>
      </c>
    </row>
    <row r="20167">
      <c r="A20167" s="1" t="s">
        <v>31419</v>
      </c>
      <c r="B20167" s="2" t="s">
        <v>26708</v>
      </c>
      <c r="C20167" s="1" t="s">
        <v>5674</v>
      </c>
      <c r="D20167" s="1" t="s">
        <v>5675</v>
      </c>
    </row>
    <row r="20168">
      <c r="A20168" s="1" t="s">
        <v>31420</v>
      </c>
      <c r="B20168" s="2" t="s">
        <v>26710</v>
      </c>
      <c r="C20168" s="1" t="s">
        <v>5674</v>
      </c>
      <c r="D20168" s="1" t="s">
        <v>5675</v>
      </c>
    </row>
    <row r="20169">
      <c r="A20169" s="1" t="s">
        <v>31421</v>
      </c>
      <c r="B20169" s="2" t="s">
        <v>26712</v>
      </c>
      <c r="C20169" s="1" t="s">
        <v>5674</v>
      </c>
      <c r="D20169" s="1" t="s">
        <v>5675</v>
      </c>
    </row>
    <row r="20170">
      <c r="A20170" s="1" t="s">
        <v>31422</v>
      </c>
      <c r="B20170" s="2" t="s">
        <v>26714</v>
      </c>
      <c r="C20170" s="1" t="s">
        <v>5674</v>
      </c>
      <c r="D20170" s="1" t="s">
        <v>5675</v>
      </c>
    </row>
    <row r="20171">
      <c r="A20171" s="1" t="s">
        <v>31423</v>
      </c>
      <c r="B20171" s="2" t="s">
        <v>26716</v>
      </c>
      <c r="C20171" s="1" t="s">
        <v>5674</v>
      </c>
      <c r="D20171" s="1" t="s">
        <v>5675</v>
      </c>
    </row>
    <row r="20172">
      <c r="A20172" s="1" t="s">
        <v>31424</v>
      </c>
      <c r="B20172" s="2" t="s">
        <v>26718</v>
      </c>
      <c r="C20172" s="1" t="s">
        <v>5674</v>
      </c>
      <c r="D20172" s="1" t="s">
        <v>5675</v>
      </c>
    </row>
    <row r="20173">
      <c r="A20173" s="1" t="s">
        <v>31425</v>
      </c>
      <c r="B20173" s="2" t="s">
        <v>26720</v>
      </c>
      <c r="C20173" s="1" t="s">
        <v>5674</v>
      </c>
      <c r="D20173" s="1" t="s">
        <v>5675</v>
      </c>
    </row>
    <row r="20174">
      <c r="A20174" s="1" t="s">
        <v>31426</v>
      </c>
      <c r="B20174" s="2" t="s">
        <v>26722</v>
      </c>
      <c r="C20174" s="1" t="s">
        <v>5674</v>
      </c>
      <c r="D20174" s="1" t="s">
        <v>5675</v>
      </c>
    </row>
    <row r="20175">
      <c r="A20175" s="1" t="s">
        <v>31427</v>
      </c>
      <c r="B20175" s="2" t="s">
        <v>26724</v>
      </c>
      <c r="C20175" s="1" t="s">
        <v>5674</v>
      </c>
      <c r="D20175" s="1" t="s">
        <v>5675</v>
      </c>
    </row>
    <row r="20176">
      <c r="A20176" s="1" t="s">
        <v>31428</v>
      </c>
      <c r="B20176" s="2" t="s">
        <v>26726</v>
      </c>
      <c r="C20176" s="1" t="s">
        <v>5674</v>
      </c>
      <c r="D20176" s="1" t="s">
        <v>5675</v>
      </c>
    </row>
    <row r="20177">
      <c r="A20177" s="1" t="s">
        <v>31429</v>
      </c>
      <c r="B20177" s="2" t="s">
        <v>26728</v>
      </c>
      <c r="C20177" s="1" t="s">
        <v>5674</v>
      </c>
      <c r="D20177" s="1" t="s">
        <v>5675</v>
      </c>
    </row>
    <row r="20178">
      <c r="A20178" s="1" t="s">
        <v>31430</v>
      </c>
      <c r="B20178" s="2" t="s">
        <v>26730</v>
      </c>
      <c r="C20178" s="1" t="s">
        <v>5674</v>
      </c>
      <c r="D20178" s="1" t="s">
        <v>5675</v>
      </c>
    </row>
    <row r="20179">
      <c r="A20179" s="1" t="s">
        <v>31431</v>
      </c>
      <c r="B20179" s="2" t="s">
        <v>26732</v>
      </c>
      <c r="C20179" s="1" t="s">
        <v>5674</v>
      </c>
      <c r="D20179" s="1" t="s">
        <v>5675</v>
      </c>
    </row>
    <row r="20180">
      <c r="A20180" s="1" t="s">
        <v>31432</v>
      </c>
      <c r="B20180" s="2" t="s">
        <v>26734</v>
      </c>
      <c r="C20180" s="1" t="s">
        <v>5674</v>
      </c>
      <c r="D20180" s="1" t="s">
        <v>5675</v>
      </c>
    </row>
    <row r="20181">
      <c r="A20181" s="1" t="s">
        <v>31433</v>
      </c>
      <c r="B20181" s="2" t="s">
        <v>26736</v>
      </c>
      <c r="C20181" s="1" t="s">
        <v>5674</v>
      </c>
      <c r="D20181" s="1" t="s">
        <v>5675</v>
      </c>
    </row>
    <row r="20182">
      <c r="A20182" s="1" t="s">
        <v>31434</v>
      </c>
      <c r="B20182" s="2" t="s">
        <v>26738</v>
      </c>
      <c r="C20182" s="1" t="s">
        <v>5674</v>
      </c>
      <c r="D20182" s="1" t="s">
        <v>5675</v>
      </c>
    </row>
    <row r="20183">
      <c r="A20183" s="1" t="s">
        <v>31435</v>
      </c>
      <c r="B20183" s="2" t="s">
        <v>26740</v>
      </c>
      <c r="C20183" s="1" t="s">
        <v>5674</v>
      </c>
      <c r="D20183" s="1" t="s">
        <v>5675</v>
      </c>
    </row>
    <row r="20184">
      <c r="A20184" s="1" t="s">
        <v>31436</v>
      </c>
      <c r="B20184" s="2" t="s">
        <v>26742</v>
      </c>
      <c r="C20184" s="1" t="s">
        <v>5674</v>
      </c>
      <c r="D20184" s="1" t="s">
        <v>5675</v>
      </c>
    </row>
    <row r="20185">
      <c r="A20185" s="1" t="s">
        <v>31437</v>
      </c>
      <c r="B20185" s="2" t="s">
        <v>26744</v>
      </c>
      <c r="C20185" s="1" t="s">
        <v>5674</v>
      </c>
      <c r="D20185" s="1" t="s">
        <v>5675</v>
      </c>
    </row>
    <row r="20186">
      <c r="A20186" s="1" t="s">
        <v>31438</v>
      </c>
      <c r="B20186" s="2" t="s">
        <v>26746</v>
      </c>
      <c r="C20186" s="1" t="s">
        <v>5674</v>
      </c>
      <c r="D20186" s="1" t="s">
        <v>5675</v>
      </c>
    </row>
    <row r="20187">
      <c r="A20187" s="1" t="s">
        <v>31439</v>
      </c>
      <c r="B20187" s="2" t="s">
        <v>26748</v>
      </c>
      <c r="C20187" s="1" t="s">
        <v>5674</v>
      </c>
      <c r="D20187" s="1" t="s">
        <v>5675</v>
      </c>
    </row>
    <row r="20188">
      <c r="A20188" s="1" t="s">
        <v>31440</v>
      </c>
      <c r="B20188" s="2" t="s">
        <v>26750</v>
      </c>
      <c r="C20188" s="1" t="s">
        <v>5674</v>
      </c>
      <c r="D20188" s="1" t="s">
        <v>5675</v>
      </c>
    </row>
    <row r="20189">
      <c r="A20189" s="1" t="s">
        <v>31441</v>
      </c>
      <c r="B20189" s="2" t="s">
        <v>26752</v>
      </c>
      <c r="C20189" s="1" t="s">
        <v>5674</v>
      </c>
      <c r="D20189" s="1" t="s">
        <v>5675</v>
      </c>
    </row>
    <row r="20190">
      <c r="A20190" s="1" t="s">
        <v>31442</v>
      </c>
      <c r="B20190" s="2" t="s">
        <v>26754</v>
      </c>
      <c r="C20190" s="1" t="s">
        <v>5674</v>
      </c>
      <c r="D20190" s="1" t="s">
        <v>5675</v>
      </c>
    </row>
    <row r="20191">
      <c r="A20191" s="1" t="s">
        <v>31443</v>
      </c>
      <c r="B20191" s="2" t="s">
        <v>26756</v>
      </c>
      <c r="C20191" s="1" t="s">
        <v>5674</v>
      </c>
      <c r="D20191" s="1" t="s">
        <v>5675</v>
      </c>
    </row>
    <row r="20192">
      <c r="A20192" s="1" t="s">
        <v>31444</v>
      </c>
      <c r="B20192" s="2" t="s">
        <v>26758</v>
      </c>
      <c r="C20192" s="1" t="s">
        <v>5674</v>
      </c>
      <c r="D20192" s="1" t="s">
        <v>5675</v>
      </c>
    </row>
    <row r="20193">
      <c r="A20193" s="1" t="s">
        <v>31445</v>
      </c>
      <c r="B20193" s="2" t="s">
        <v>26760</v>
      </c>
      <c r="C20193" s="1" t="s">
        <v>5674</v>
      </c>
      <c r="D20193" s="1" t="s">
        <v>5675</v>
      </c>
    </row>
    <row r="20194">
      <c r="A20194" s="1" t="s">
        <v>31446</v>
      </c>
      <c r="B20194" s="2" t="s">
        <v>26762</v>
      </c>
      <c r="C20194" s="1" t="s">
        <v>5674</v>
      </c>
      <c r="D20194" s="1" t="s">
        <v>5675</v>
      </c>
    </row>
    <row r="20195">
      <c r="A20195" s="1" t="s">
        <v>31447</v>
      </c>
      <c r="B20195" s="2" t="s">
        <v>26764</v>
      </c>
      <c r="C20195" s="1" t="s">
        <v>5674</v>
      </c>
      <c r="D20195" s="1" t="s">
        <v>5675</v>
      </c>
    </row>
    <row r="20196">
      <c r="A20196" s="1" t="s">
        <v>31448</v>
      </c>
      <c r="B20196" s="2" t="s">
        <v>26766</v>
      </c>
      <c r="C20196" s="1" t="s">
        <v>5674</v>
      </c>
      <c r="D20196" s="1" t="s">
        <v>5675</v>
      </c>
    </row>
    <row r="20197">
      <c r="A20197" s="1" t="s">
        <v>31449</v>
      </c>
      <c r="B20197" s="2" t="s">
        <v>26768</v>
      </c>
      <c r="C20197" s="1" t="s">
        <v>5674</v>
      </c>
      <c r="D20197" s="1" t="s">
        <v>5675</v>
      </c>
    </row>
    <row r="20198">
      <c r="A20198" s="1" t="s">
        <v>31450</v>
      </c>
      <c r="B20198" s="2" t="s">
        <v>26770</v>
      </c>
      <c r="C20198" s="1" t="s">
        <v>5674</v>
      </c>
      <c r="D20198" s="1" t="s">
        <v>5675</v>
      </c>
    </row>
    <row r="20199">
      <c r="A20199" s="1" t="s">
        <v>31451</v>
      </c>
      <c r="B20199" s="2" t="s">
        <v>26772</v>
      </c>
      <c r="C20199" s="1" t="s">
        <v>5674</v>
      </c>
      <c r="D20199" s="1" t="s">
        <v>5675</v>
      </c>
    </row>
    <row r="20200">
      <c r="A20200" s="1" t="s">
        <v>31452</v>
      </c>
      <c r="B20200" s="2" t="s">
        <v>26774</v>
      </c>
      <c r="C20200" s="1" t="s">
        <v>5674</v>
      </c>
      <c r="D20200" s="1" t="s">
        <v>5675</v>
      </c>
    </row>
    <row r="20201">
      <c r="A20201" s="1" t="s">
        <v>31453</v>
      </c>
      <c r="B20201" s="2" t="s">
        <v>26776</v>
      </c>
      <c r="C20201" s="1" t="s">
        <v>5674</v>
      </c>
      <c r="D20201" s="1" t="s">
        <v>5675</v>
      </c>
    </row>
    <row r="20202">
      <c r="A20202" s="1" t="s">
        <v>31454</v>
      </c>
      <c r="B20202" s="2" t="s">
        <v>26778</v>
      </c>
      <c r="C20202" s="1" t="s">
        <v>5674</v>
      </c>
      <c r="D20202" s="1" t="s">
        <v>5675</v>
      </c>
    </row>
    <row r="20203">
      <c r="A20203" s="1" t="s">
        <v>31455</v>
      </c>
      <c r="B20203" s="2" t="s">
        <v>26780</v>
      </c>
      <c r="C20203" s="1" t="s">
        <v>5674</v>
      </c>
      <c r="D20203" s="1" t="s">
        <v>5675</v>
      </c>
    </row>
    <row r="20204">
      <c r="A20204" s="1" t="s">
        <v>31456</v>
      </c>
      <c r="B20204" s="2" t="s">
        <v>26782</v>
      </c>
      <c r="C20204" s="1" t="s">
        <v>5674</v>
      </c>
      <c r="D20204" s="1" t="s">
        <v>5675</v>
      </c>
    </row>
    <row r="20205">
      <c r="A20205" s="1" t="s">
        <v>31457</v>
      </c>
      <c r="B20205" s="2" t="s">
        <v>26784</v>
      </c>
      <c r="C20205" s="1" t="s">
        <v>5674</v>
      </c>
      <c r="D20205" s="1" t="s">
        <v>5675</v>
      </c>
    </row>
    <row r="20206">
      <c r="A20206" s="1" t="s">
        <v>31458</v>
      </c>
      <c r="B20206" s="2" t="s">
        <v>26786</v>
      </c>
      <c r="C20206" s="1" t="s">
        <v>5674</v>
      </c>
      <c r="D20206" s="1" t="s">
        <v>5675</v>
      </c>
    </row>
    <row r="20207">
      <c r="A20207" s="1" t="s">
        <v>31459</v>
      </c>
      <c r="B20207" s="2" t="s">
        <v>26788</v>
      </c>
      <c r="C20207" s="1" t="s">
        <v>5674</v>
      </c>
      <c r="D20207" s="1" t="s">
        <v>5675</v>
      </c>
    </row>
    <row r="20208">
      <c r="A20208" s="1" t="s">
        <v>31460</v>
      </c>
      <c r="B20208" s="2" t="s">
        <v>26790</v>
      </c>
      <c r="C20208" s="1" t="s">
        <v>5674</v>
      </c>
      <c r="D20208" s="1" t="s">
        <v>5675</v>
      </c>
    </row>
    <row r="20209">
      <c r="A20209" s="1" t="s">
        <v>31461</v>
      </c>
      <c r="B20209" s="2" t="s">
        <v>26792</v>
      </c>
      <c r="C20209" s="1" t="s">
        <v>5674</v>
      </c>
      <c r="D20209" s="1" t="s">
        <v>5675</v>
      </c>
    </row>
    <row r="20210">
      <c r="A20210" s="1" t="s">
        <v>31462</v>
      </c>
      <c r="B20210" s="2" t="s">
        <v>26794</v>
      </c>
      <c r="C20210" s="1" t="s">
        <v>5674</v>
      </c>
      <c r="D20210" s="1" t="s">
        <v>5675</v>
      </c>
    </row>
    <row r="20211">
      <c r="A20211" s="1" t="s">
        <v>31463</v>
      </c>
      <c r="B20211" s="2" t="s">
        <v>26796</v>
      </c>
      <c r="C20211" s="1" t="s">
        <v>5674</v>
      </c>
      <c r="D20211" s="1" t="s">
        <v>5675</v>
      </c>
    </row>
    <row r="20212">
      <c r="A20212" s="1" t="s">
        <v>31464</v>
      </c>
      <c r="B20212" s="2" t="s">
        <v>26798</v>
      </c>
      <c r="C20212" s="1" t="s">
        <v>5674</v>
      </c>
      <c r="D20212" s="1" t="s">
        <v>5675</v>
      </c>
    </row>
    <row r="20213">
      <c r="A20213" s="1" t="s">
        <v>31465</v>
      </c>
      <c r="B20213" s="2" t="s">
        <v>26800</v>
      </c>
      <c r="C20213" s="1" t="s">
        <v>5674</v>
      </c>
      <c r="D20213" s="1" t="s">
        <v>5675</v>
      </c>
    </row>
    <row r="20214">
      <c r="A20214" s="1" t="s">
        <v>31466</v>
      </c>
      <c r="B20214" s="2" t="s">
        <v>26802</v>
      </c>
      <c r="C20214" s="1" t="s">
        <v>5674</v>
      </c>
      <c r="D20214" s="1" t="s">
        <v>5675</v>
      </c>
    </row>
    <row r="20215">
      <c r="A20215" s="1" t="s">
        <v>31467</v>
      </c>
      <c r="B20215" s="2" t="s">
        <v>26804</v>
      </c>
      <c r="C20215" s="1" t="s">
        <v>5674</v>
      </c>
      <c r="D20215" s="1" t="s">
        <v>5675</v>
      </c>
    </row>
    <row r="20216">
      <c r="A20216" s="1" t="s">
        <v>31468</v>
      </c>
      <c r="B20216" s="2" t="s">
        <v>26806</v>
      </c>
      <c r="C20216" s="1" t="s">
        <v>5674</v>
      </c>
      <c r="D20216" s="1" t="s">
        <v>5675</v>
      </c>
    </row>
    <row r="20217">
      <c r="A20217" s="1" t="s">
        <v>31469</v>
      </c>
      <c r="B20217" s="2" t="s">
        <v>26808</v>
      </c>
      <c r="C20217" s="1" t="s">
        <v>5674</v>
      </c>
      <c r="D20217" s="1" t="s">
        <v>5675</v>
      </c>
    </row>
    <row r="20218">
      <c r="A20218" s="1" t="s">
        <v>31470</v>
      </c>
      <c r="B20218" s="2" t="s">
        <v>26810</v>
      </c>
      <c r="C20218" s="1" t="s">
        <v>5674</v>
      </c>
      <c r="D20218" s="1" t="s">
        <v>5675</v>
      </c>
    </row>
    <row r="20219">
      <c r="A20219" s="1" t="s">
        <v>31471</v>
      </c>
      <c r="B20219" s="2" t="s">
        <v>26812</v>
      </c>
      <c r="C20219" s="1" t="s">
        <v>5674</v>
      </c>
      <c r="D20219" s="1" t="s">
        <v>5675</v>
      </c>
    </row>
    <row r="20220">
      <c r="A20220" s="1" t="s">
        <v>31472</v>
      </c>
      <c r="B20220" s="2" t="s">
        <v>26814</v>
      </c>
      <c r="C20220" s="1" t="s">
        <v>5674</v>
      </c>
      <c r="D20220" s="1" t="s">
        <v>5675</v>
      </c>
    </row>
    <row r="20221">
      <c r="A20221" s="1" t="s">
        <v>31473</v>
      </c>
      <c r="B20221" s="2" t="s">
        <v>26816</v>
      </c>
      <c r="C20221" s="1" t="s">
        <v>5674</v>
      </c>
      <c r="D20221" s="1" t="s">
        <v>5675</v>
      </c>
    </row>
    <row r="20222">
      <c r="A20222" s="1" t="s">
        <v>31474</v>
      </c>
      <c r="B20222" s="2" t="s">
        <v>26818</v>
      </c>
      <c r="C20222" s="1" t="s">
        <v>5674</v>
      </c>
      <c r="D20222" s="1" t="s">
        <v>5675</v>
      </c>
    </row>
    <row r="20223">
      <c r="A20223" s="1" t="s">
        <v>31475</v>
      </c>
      <c r="B20223" s="2" t="s">
        <v>26820</v>
      </c>
      <c r="C20223" s="1" t="s">
        <v>5674</v>
      </c>
      <c r="D20223" s="1" t="s">
        <v>5675</v>
      </c>
    </row>
    <row r="20224">
      <c r="A20224" s="1" t="s">
        <v>31476</v>
      </c>
      <c r="B20224" s="2" t="s">
        <v>26822</v>
      </c>
      <c r="C20224" s="1" t="s">
        <v>5674</v>
      </c>
      <c r="D20224" s="1" t="s">
        <v>5675</v>
      </c>
    </row>
    <row r="20225">
      <c r="A20225" s="1" t="s">
        <v>31477</v>
      </c>
      <c r="B20225" s="2" t="s">
        <v>26824</v>
      </c>
      <c r="C20225" s="1" t="s">
        <v>5674</v>
      </c>
      <c r="D20225" s="1" t="s">
        <v>5675</v>
      </c>
    </row>
    <row r="20226">
      <c r="A20226" s="1" t="s">
        <v>31478</v>
      </c>
      <c r="B20226" s="2" t="s">
        <v>26826</v>
      </c>
      <c r="C20226" s="1" t="s">
        <v>5674</v>
      </c>
      <c r="D20226" s="1" t="s">
        <v>5675</v>
      </c>
    </row>
    <row r="20227">
      <c r="A20227" s="1" t="s">
        <v>31479</v>
      </c>
      <c r="B20227" s="2" t="s">
        <v>26828</v>
      </c>
      <c r="C20227" s="1" t="s">
        <v>5674</v>
      </c>
      <c r="D20227" s="1" t="s">
        <v>5675</v>
      </c>
    </row>
    <row r="20228">
      <c r="A20228" s="1" t="s">
        <v>31480</v>
      </c>
      <c r="B20228" s="2" t="s">
        <v>26830</v>
      </c>
      <c r="C20228" s="1" t="s">
        <v>5674</v>
      </c>
      <c r="D20228" s="1" t="s">
        <v>5675</v>
      </c>
    </row>
    <row r="20229">
      <c r="A20229" s="1" t="s">
        <v>31481</v>
      </c>
      <c r="B20229" s="2" t="s">
        <v>26832</v>
      </c>
      <c r="C20229" s="1" t="s">
        <v>5674</v>
      </c>
      <c r="D20229" s="1" t="s">
        <v>5675</v>
      </c>
    </row>
    <row r="20230">
      <c r="A20230" s="1" t="s">
        <v>31482</v>
      </c>
      <c r="B20230" s="2" t="s">
        <v>26834</v>
      </c>
      <c r="C20230" s="1" t="s">
        <v>5674</v>
      </c>
      <c r="D20230" s="1" t="s">
        <v>5675</v>
      </c>
    </row>
    <row r="20231">
      <c r="A20231" s="1" t="s">
        <v>31483</v>
      </c>
      <c r="B20231" s="2" t="s">
        <v>26836</v>
      </c>
      <c r="C20231" s="1" t="s">
        <v>5674</v>
      </c>
      <c r="D20231" s="1" t="s">
        <v>5675</v>
      </c>
    </row>
    <row r="20232">
      <c r="A20232" s="1" t="s">
        <v>31484</v>
      </c>
      <c r="B20232" s="2" t="s">
        <v>26838</v>
      </c>
      <c r="C20232" s="1" t="s">
        <v>5674</v>
      </c>
      <c r="D20232" s="1" t="s">
        <v>5675</v>
      </c>
    </row>
    <row r="20233">
      <c r="A20233" s="1" t="s">
        <v>31485</v>
      </c>
      <c r="B20233" s="2" t="s">
        <v>26840</v>
      </c>
      <c r="C20233" s="1" t="s">
        <v>5674</v>
      </c>
      <c r="D20233" s="1" t="s">
        <v>5675</v>
      </c>
    </row>
    <row r="20234">
      <c r="A20234" s="1" t="s">
        <v>31486</v>
      </c>
      <c r="B20234" s="2" t="s">
        <v>26842</v>
      </c>
      <c r="C20234" s="1" t="s">
        <v>5674</v>
      </c>
      <c r="D20234" s="1" t="s">
        <v>5675</v>
      </c>
    </row>
    <row r="20235">
      <c r="A20235" s="1" t="s">
        <v>31487</v>
      </c>
      <c r="B20235" s="2" t="s">
        <v>26844</v>
      </c>
      <c r="C20235" s="1" t="s">
        <v>5674</v>
      </c>
      <c r="D20235" s="1" t="s">
        <v>5675</v>
      </c>
    </row>
    <row r="20236">
      <c r="A20236" s="1" t="s">
        <v>31488</v>
      </c>
      <c r="B20236" s="2" t="s">
        <v>26846</v>
      </c>
      <c r="C20236" s="1" t="s">
        <v>5674</v>
      </c>
      <c r="D20236" s="1" t="s">
        <v>5675</v>
      </c>
    </row>
    <row r="20237">
      <c r="A20237" s="1" t="s">
        <v>31489</v>
      </c>
      <c r="B20237" s="2" t="s">
        <v>26848</v>
      </c>
      <c r="C20237" s="1" t="s">
        <v>5674</v>
      </c>
      <c r="D20237" s="1" t="s">
        <v>5675</v>
      </c>
    </row>
    <row r="20238">
      <c r="A20238" s="1" t="s">
        <v>31490</v>
      </c>
      <c r="B20238" s="2" t="s">
        <v>26850</v>
      </c>
      <c r="C20238" s="1" t="s">
        <v>5674</v>
      </c>
      <c r="D20238" s="1" t="s">
        <v>5675</v>
      </c>
    </row>
    <row r="20239">
      <c r="A20239" s="1" t="s">
        <v>31491</v>
      </c>
      <c r="B20239" s="2" t="s">
        <v>26852</v>
      </c>
      <c r="C20239" s="1" t="s">
        <v>5674</v>
      </c>
      <c r="D20239" s="1" t="s">
        <v>5675</v>
      </c>
    </row>
    <row r="20240">
      <c r="A20240" s="1" t="s">
        <v>31492</v>
      </c>
      <c r="B20240" s="2" t="s">
        <v>26854</v>
      </c>
      <c r="C20240" s="1" t="s">
        <v>5674</v>
      </c>
      <c r="D20240" s="1" t="s">
        <v>5675</v>
      </c>
    </row>
    <row r="20241">
      <c r="A20241" s="1" t="s">
        <v>31493</v>
      </c>
      <c r="B20241" s="2" t="s">
        <v>26856</v>
      </c>
      <c r="C20241" s="1" t="s">
        <v>5674</v>
      </c>
      <c r="D20241" s="1" t="s">
        <v>5675</v>
      </c>
    </row>
    <row r="20242">
      <c r="A20242" s="1" t="s">
        <v>31494</v>
      </c>
      <c r="B20242" s="2" t="s">
        <v>26858</v>
      </c>
      <c r="C20242" s="1" t="s">
        <v>5674</v>
      </c>
      <c r="D20242" s="1" t="s">
        <v>5675</v>
      </c>
    </row>
    <row r="20243">
      <c r="A20243" s="1" t="s">
        <v>31495</v>
      </c>
      <c r="B20243" s="2" t="s">
        <v>26860</v>
      </c>
      <c r="C20243" s="1" t="s">
        <v>5674</v>
      </c>
      <c r="D20243" s="1" t="s">
        <v>5675</v>
      </c>
    </row>
    <row r="20244">
      <c r="A20244" s="1" t="s">
        <v>31496</v>
      </c>
      <c r="B20244" s="2" t="s">
        <v>26862</v>
      </c>
      <c r="C20244" s="1" t="s">
        <v>5674</v>
      </c>
      <c r="D20244" s="1" t="s">
        <v>5675</v>
      </c>
    </row>
    <row r="20245">
      <c r="A20245" s="1" t="s">
        <v>31497</v>
      </c>
      <c r="B20245" s="2" t="s">
        <v>26864</v>
      </c>
      <c r="C20245" s="1" t="s">
        <v>5674</v>
      </c>
      <c r="D20245" s="1" t="s">
        <v>5675</v>
      </c>
    </row>
    <row r="20246">
      <c r="A20246" s="1" t="s">
        <v>31498</v>
      </c>
      <c r="B20246" s="2" t="s">
        <v>26866</v>
      </c>
      <c r="C20246" s="1" t="s">
        <v>5674</v>
      </c>
      <c r="D20246" s="1" t="s">
        <v>5675</v>
      </c>
    </row>
    <row r="20247">
      <c r="A20247" s="1" t="s">
        <v>31499</v>
      </c>
      <c r="B20247" s="2" t="s">
        <v>26868</v>
      </c>
      <c r="C20247" s="1" t="s">
        <v>5674</v>
      </c>
      <c r="D20247" s="1" t="s">
        <v>5675</v>
      </c>
    </row>
    <row r="20248">
      <c r="A20248" s="1" t="s">
        <v>31500</v>
      </c>
      <c r="B20248" s="2" t="s">
        <v>26870</v>
      </c>
      <c r="C20248" s="1" t="s">
        <v>5674</v>
      </c>
      <c r="D20248" s="1" t="s">
        <v>5675</v>
      </c>
    </row>
    <row r="20249">
      <c r="A20249" s="1" t="s">
        <v>31501</v>
      </c>
      <c r="B20249" s="2" t="s">
        <v>26872</v>
      </c>
      <c r="C20249" s="1" t="s">
        <v>5674</v>
      </c>
      <c r="D20249" s="1" t="s">
        <v>5675</v>
      </c>
    </row>
    <row r="20250">
      <c r="A20250" s="1" t="s">
        <v>31502</v>
      </c>
      <c r="B20250" s="2" t="s">
        <v>26874</v>
      </c>
      <c r="C20250" s="1" t="s">
        <v>5674</v>
      </c>
      <c r="D20250" s="1" t="s">
        <v>5675</v>
      </c>
    </row>
    <row r="20251">
      <c r="A20251" s="1" t="s">
        <v>31503</v>
      </c>
      <c r="B20251" s="2" t="s">
        <v>26876</v>
      </c>
      <c r="C20251" s="1" t="s">
        <v>5674</v>
      </c>
      <c r="D20251" s="1" t="s">
        <v>5675</v>
      </c>
    </row>
    <row r="20252">
      <c r="A20252" s="1" t="s">
        <v>31504</v>
      </c>
      <c r="B20252" s="2" t="s">
        <v>26878</v>
      </c>
      <c r="C20252" s="1" t="s">
        <v>5674</v>
      </c>
      <c r="D20252" s="1" t="s">
        <v>5675</v>
      </c>
    </row>
    <row r="20253">
      <c r="A20253" s="1" t="s">
        <v>31505</v>
      </c>
      <c r="B20253" s="2" t="s">
        <v>26880</v>
      </c>
      <c r="C20253" s="1" t="s">
        <v>5674</v>
      </c>
      <c r="D20253" s="1" t="s">
        <v>5675</v>
      </c>
    </row>
    <row r="20254">
      <c r="A20254" s="1" t="s">
        <v>31506</v>
      </c>
      <c r="B20254" s="2" t="s">
        <v>26882</v>
      </c>
      <c r="C20254" s="1" t="s">
        <v>5674</v>
      </c>
      <c r="D20254" s="1" t="s">
        <v>5675</v>
      </c>
    </row>
    <row r="20255">
      <c r="A20255" s="1" t="s">
        <v>31507</v>
      </c>
      <c r="B20255" s="2" t="s">
        <v>26884</v>
      </c>
      <c r="C20255" s="1" t="s">
        <v>5674</v>
      </c>
      <c r="D20255" s="1" t="s">
        <v>5675</v>
      </c>
    </row>
    <row r="20256">
      <c r="A20256" s="1" t="s">
        <v>31508</v>
      </c>
      <c r="B20256" s="2" t="s">
        <v>26886</v>
      </c>
      <c r="C20256" s="1" t="s">
        <v>5674</v>
      </c>
      <c r="D20256" s="1" t="s">
        <v>5675</v>
      </c>
    </row>
    <row r="20257">
      <c r="A20257" s="1" t="s">
        <v>31509</v>
      </c>
      <c r="B20257" s="2" t="s">
        <v>26888</v>
      </c>
      <c r="C20257" s="1" t="s">
        <v>5674</v>
      </c>
      <c r="D20257" s="1" t="s">
        <v>5675</v>
      </c>
    </row>
    <row r="20258">
      <c r="A20258" s="1" t="s">
        <v>31510</v>
      </c>
      <c r="B20258" s="2" t="s">
        <v>26890</v>
      </c>
      <c r="C20258" s="1" t="s">
        <v>5674</v>
      </c>
      <c r="D20258" s="1" t="s">
        <v>5675</v>
      </c>
    </row>
    <row r="20259">
      <c r="A20259" s="1" t="s">
        <v>31511</v>
      </c>
      <c r="B20259" s="2" t="s">
        <v>26892</v>
      </c>
      <c r="C20259" s="1" t="s">
        <v>5674</v>
      </c>
      <c r="D20259" s="1" t="s">
        <v>5675</v>
      </c>
    </row>
    <row r="20260">
      <c r="A20260" s="1" t="s">
        <v>31512</v>
      </c>
      <c r="B20260" s="2" t="s">
        <v>26894</v>
      </c>
      <c r="C20260" s="1" t="s">
        <v>5674</v>
      </c>
      <c r="D20260" s="1" t="s">
        <v>5675</v>
      </c>
    </row>
    <row r="20261">
      <c r="A20261" s="1" t="s">
        <v>31513</v>
      </c>
      <c r="B20261" s="2" t="s">
        <v>26896</v>
      </c>
      <c r="C20261" s="1" t="s">
        <v>5674</v>
      </c>
      <c r="D20261" s="1" t="s">
        <v>5675</v>
      </c>
    </row>
    <row r="20262">
      <c r="A20262" s="1" t="s">
        <v>31514</v>
      </c>
      <c r="B20262" s="2" t="s">
        <v>26898</v>
      </c>
      <c r="C20262" s="1" t="s">
        <v>5674</v>
      </c>
      <c r="D20262" s="1" t="s">
        <v>5675</v>
      </c>
    </row>
    <row r="20263">
      <c r="A20263" s="1" t="s">
        <v>31515</v>
      </c>
      <c r="B20263" s="2" t="s">
        <v>26900</v>
      </c>
      <c r="C20263" s="1" t="s">
        <v>5674</v>
      </c>
      <c r="D20263" s="1" t="s">
        <v>5675</v>
      </c>
    </row>
    <row r="20264">
      <c r="A20264" s="1" t="s">
        <v>31516</v>
      </c>
      <c r="B20264" s="2" t="s">
        <v>26902</v>
      </c>
      <c r="C20264" s="1" t="s">
        <v>5674</v>
      </c>
      <c r="D20264" s="1" t="s">
        <v>5675</v>
      </c>
    </row>
    <row r="20265">
      <c r="A20265" s="1" t="s">
        <v>31517</v>
      </c>
      <c r="B20265" s="2" t="s">
        <v>26904</v>
      </c>
      <c r="C20265" s="1" t="s">
        <v>5674</v>
      </c>
      <c r="D20265" s="1" t="s">
        <v>5675</v>
      </c>
    </row>
    <row r="20266">
      <c r="A20266" s="1" t="s">
        <v>31518</v>
      </c>
      <c r="B20266" s="2" t="s">
        <v>26906</v>
      </c>
      <c r="C20266" s="1" t="s">
        <v>5674</v>
      </c>
      <c r="D20266" s="1" t="s">
        <v>5675</v>
      </c>
    </row>
    <row r="20267">
      <c r="A20267" s="1" t="s">
        <v>31519</v>
      </c>
      <c r="B20267" s="2" t="s">
        <v>26908</v>
      </c>
      <c r="C20267" s="1" t="s">
        <v>5674</v>
      </c>
      <c r="D20267" s="1" t="s">
        <v>5675</v>
      </c>
    </row>
    <row r="20268">
      <c r="A20268" s="1" t="s">
        <v>31520</v>
      </c>
      <c r="B20268" s="2" t="s">
        <v>26910</v>
      </c>
      <c r="C20268" s="1" t="s">
        <v>5674</v>
      </c>
      <c r="D20268" s="1" t="s">
        <v>5675</v>
      </c>
    </row>
    <row r="20269">
      <c r="A20269" s="1" t="s">
        <v>31521</v>
      </c>
      <c r="B20269" s="2" t="s">
        <v>26912</v>
      </c>
      <c r="C20269" s="1" t="s">
        <v>5674</v>
      </c>
      <c r="D20269" s="1" t="s">
        <v>5675</v>
      </c>
    </row>
    <row r="20270">
      <c r="A20270" s="1" t="s">
        <v>31522</v>
      </c>
      <c r="B20270" s="2" t="s">
        <v>26914</v>
      </c>
      <c r="C20270" s="1" t="s">
        <v>5674</v>
      </c>
      <c r="D20270" s="1" t="s">
        <v>5675</v>
      </c>
    </row>
    <row r="20271">
      <c r="A20271" s="1" t="s">
        <v>31523</v>
      </c>
      <c r="B20271" s="2" t="s">
        <v>26916</v>
      </c>
      <c r="C20271" s="1" t="s">
        <v>5674</v>
      </c>
      <c r="D20271" s="1" t="s">
        <v>5675</v>
      </c>
    </row>
    <row r="20272">
      <c r="A20272" s="1" t="s">
        <v>31524</v>
      </c>
      <c r="B20272" s="2" t="s">
        <v>26918</v>
      </c>
      <c r="C20272" s="1" t="s">
        <v>5674</v>
      </c>
      <c r="D20272" s="1" t="s">
        <v>5675</v>
      </c>
    </row>
    <row r="20273">
      <c r="A20273" s="1" t="s">
        <v>31525</v>
      </c>
      <c r="B20273" s="2" t="s">
        <v>26920</v>
      </c>
      <c r="C20273" s="1" t="s">
        <v>5674</v>
      </c>
      <c r="D20273" s="1" t="s">
        <v>5675</v>
      </c>
    </row>
    <row r="20274">
      <c r="A20274" s="1" t="s">
        <v>31526</v>
      </c>
      <c r="B20274" s="2" t="s">
        <v>26922</v>
      </c>
      <c r="C20274" s="1" t="s">
        <v>5674</v>
      </c>
      <c r="D20274" s="1" t="s">
        <v>5675</v>
      </c>
    </row>
    <row r="20275">
      <c r="A20275" s="1" t="s">
        <v>31527</v>
      </c>
      <c r="B20275" s="2" t="s">
        <v>26924</v>
      </c>
      <c r="C20275" s="1" t="s">
        <v>5674</v>
      </c>
      <c r="D20275" s="1" t="s">
        <v>5675</v>
      </c>
    </row>
    <row r="20276">
      <c r="A20276" s="1" t="s">
        <v>31528</v>
      </c>
      <c r="B20276" s="2" t="s">
        <v>26926</v>
      </c>
      <c r="C20276" s="1" t="s">
        <v>5674</v>
      </c>
      <c r="D20276" s="1" t="s">
        <v>5675</v>
      </c>
    </row>
    <row r="20277">
      <c r="A20277" s="1" t="s">
        <v>31529</v>
      </c>
      <c r="B20277" s="2" t="s">
        <v>26928</v>
      </c>
      <c r="C20277" s="1" t="s">
        <v>5674</v>
      </c>
      <c r="D20277" s="1" t="s">
        <v>5675</v>
      </c>
    </row>
    <row r="20278">
      <c r="A20278" s="1" t="s">
        <v>31530</v>
      </c>
      <c r="B20278" s="2" t="s">
        <v>26930</v>
      </c>
      <c r="C20278" s="1" t="s">
        <v>5674</v>
      </c>
      <c r="D20278" s="1" t="s">
        <v>5675</v>
      </c>
    </row>
    <row r="20279">
      <c r="A20279" s="1" t="s">
        <v>31531</v>
      </c>
      <c r="B20279" s="2" t="s">
        <v>26932</v>
      </c>
      <c r="C20279" s="1" t="s">
        <v>5674</v>
      </c>
      <c r="D20279" s="1" t="s">
        <v>5675</v>
      </c>
    </row>
    <row r="20280">
      <c r="A20280" s="1" t="s">
        <v>31532</v>
      </c>
      <c r="B20280" s="2" t="s">
        <v>26934</v>
      </c>
      <c r="C20280" s="1" t="s">
        <v>5674</v>
      </c>
      <c r="D20280" s="1" t="s">
        <v>5675</v>
      </c>
    </row>
    <row r="20281">
      <c r="A20281" s="1" t="s">
        <v>31533</v>
      </c>
      <c r="B20281" s="2" t="s">
        <v>26936</v>
      </c>
      <c r="C20281" s="1" t="s">
        <v>5674</v>
      </c>
      <c r="D20281" s="1" t="s">
        <v>5675</v>
      </c>
    </row>
    <row r="20282">
      <c r="A20282" s="1" t="s">
        <v>31534</v>
      </c>
      <c r="B20282" s="2" t="s">
        <v>26938</v>
      </c>
      <c r="C20282" s="1" t="s">
        <v>5674</v>
      </c>
      <c r="D20282" s="1" t="s">
        <v>5675</v>
      </c>
    </row>
    <row r="20283">
      <c r="A20283" s="1" t="s">
        <v>31535</v>
      </c>
      <c r="B20283" s="2" t="s">
        <v>26940</v>
      </c>
      <c r="C20283" s="1" t="s">
        <v>5674</v>
      </c>
      <c r="D20283" s="1" t="s">
        <v>5675</v>
      </c>
    </row>
    <row r="20284">
      <c r="A20284" s="1" t="s">
        <v>31536</v>
      </c>
      <c r="B20284" s="2" t="s">
        <v>26942</v>
      </c>
      <c r="C20284" s="1" t="s">
        <v>5674</v>
      </c>
      <c r="D20284" s="1" t="s">
        <v>5675</v>
      </c>
    </row>
    <row r="20285">
      <c r="A20285" s="1" t="s">
        <v>31537</v>
      </c>
      <c r="B20285" s="2" t="s">
        <v>26944</v>
      </c>
      <c r="C20285" s="1" t="s">
        <v>5674</v>
      </c>
      <c r="D20285" s="1" t="s">
        <v>5675</v>
      </c>
    </row>
    <row r="20286">
      <c r="A20286" s="1" t="s">
        <v>31538</v>
      </c>
      <c r="B20286" s="2" t="s">
        <v>26946</v>
      </c>
      <c r="C20286" s="1" t="s">
        <v>5674</v>
      </c>
      <c r="D20286" s="1" t="s">
        <v>5675</v>
      </c>
    </row>
    <row r="20287">
      <c r="A20287" s="1" t="s">
        <v>31539</v>
      </c>
      <c r="B20287" s="2" t="s">
        <v>26948</v>
      </c>
      <c r="C20287" s="1" t="s">
        <v>5674</v>
      </c>
      <c r="D20287" s="1" t="s">
        <v>5675</v>
      </c>
    </row>
    <row r="20288">
      <c r="A20288" s="1" t="s">
        <v>31540</v>
      </c>
      <c r="B20288" s="2" t="s">
        <v>26950</v>
      </c>
      <c r="C20288" s="1" t="s">
        <v>5674</v>
      </c>
      <c r="D20288" s="1" t="s">
        <v>5675</v>
      </c>
    </row>
    <row r="20289">
      <c r="A20289" s="1" t="s">
        <v>31541</v>
      </c>
      <c r="B20289" s="2" t="s">
        <v>26952</v>
      </c>
      <c r="C20289" s="1" t="s">
        <v>5674</v>
      </c>
      <c r="D20289" s="1" t="s">
        <v>5675</v>
      </c>
    </row>
    <row r="20290">
      <c r="A20290" s="1" t="s">
        <v>31542</v>
      </c>
      <c r="B20290" s="2" t="s">
        <v>26954</v>
      </c>
      <c r="C20290" s="1" t="s">
        <v>5674</v>
      </c>
      <c r="D20290" s="1" t="s">
        <v>5675</v>
      </c>
    </row>
    <row r="20291">
      <c r="A20291" s="1" t="s">
        <v>31543</v>
      </c>
      <c r="B20291" s="2" t="s">
        <v>26956</v>
      </c>
      <c r="C20291" s="1" t="s">
        <v>5674</v>
      </c>
      <c r="D20291" s="1" t="s">
        <v>5675</v>
      </c>
    </row>
    <row r="20292">
      <c r="A20292" s="1" t="s">
        <v>31544</v>
      </c>
      <c r="B20292" s="2" t="s">
        <v>26958</v>
      </c>
      <c r="C20292" s="1" t="s">
        <v>5674</v>
      </c>
      <c r="D20292" s="1" t="s">
        <v>5675</v>
      </c>
    </row>
    <row r="20293">
      <c r="A20293" s="1" t="s">
        <v>31545</v>
      </c>
      <c r="B20293" s="2" t="s">
        <v>26960</v>
      </c>
      <c r="C20293" s="1" t="s">
        <v>5674</v>
      </c>
      <c r="D20293" s="1" t="s">
        <v>5675</v>
      </c>
    </row>
    <row r="20294">
      <c r="A20294" s="1" t="s">
        <v>31546</v>
      </c>
      <c r="B20294" s="2" t="s">
        <v>26962</v>
      </c>
      <c r="C20294" s="1" t="s">
        <v>5674</v>
      </c>
      <c r="D20294" s="1" t="s">
        <v>5675</v>
      </c>
    </row>
    <row r="20295">
      <c r="A20295" s="1" t="s">
        <v>31547</v>
      </c>
      <c r="B20295" s="2" t="s">
        <v>26964</v>
      </c>
      <c r="C20295" s="1" t="s">
        <v>5674</v>
      </c>
      <c r="D20295" s="1" t="s">
        <v>5675</v>
      </c>
    </row>
    <row r="20296">
      <c r="A20296" s="1" t="s">
        <v>31548</v>
      </c>
      <c r="B20296" s="2" t="s">
        <v>26966</v>
      </c>
      <c r="C20296" s="1" t="s">
        <v>5674</v>
      </c>
      <c r="D20296" s="1" t="s">
        <v>5675</v>
      </c>
    </row>
    <row r="20297">
      <c r="A20297" s="1" t="s">
        <v>31549</v>
      </c>
      <c r="B20297" s="2" t="s">
        <v>26968</v>
      </c>
      <c r="C20297" s="1" t="s">
        <v>5674</v>
      </c>
      <c r="D20297" s="1" t="s">
        <v>5675</v>
      </c>
    </row>
    <row r="20298">
      <c r="A20298" s="1" t="s">
        <v>31550</v>
      </c>
      <c r="B20298" s="2" t="s">
        <v>26970</v>
      </c>
      <c r="C20298" s="1" t="s">
        <v>5674</v>
      </c>
      <c r="D20298" s="1" t="s">
        <v>5675</v>
      </c>
    </row>
    <row r="20299">
      <c r="A20299" s="1" t="s">
        <v>31551</v>
      </c>
      <c r="B20299" s="2" t="s">
        <v>26972</v>
      </c>
      <c r="C20299" s="1" t="s">
        <v>5674</v>
      </c>
      <c r="D20299" s="1" t="s">
        <v>5675</v>
      </c>
    </row>
    <row r="20300">
      <c r="A20300" s="1" t="s">
        <v>31552</v>
      </c>
      <c r="B20300" s="2" t="s">
        <v>26974</v>
      </c>
      <c r="C20300" s="1" t="s">
        <v>5674</v>
      </c>
      <c r="D20300" s="1" t="s">
        <v>5675</v>
      </c>
    </row>
    <row r="20301">
      <c r="A20301" s="1" t="s">
        <v>31553</v>
      </c>
      <c r="B20301" s="2" t="s">
        <v>26976</v>
      </c>
      <c r="C20301" s="1" t="s">
        <v>5674</v>
      </c>
      <c r="D20301" s="1" t="s">
        <v>5675</v>
      </c>
    </row>
    <row r="20302">
      <c r="A20302" s="1" t="s">
        <v>31554</v>
      </c>
      <c r="B20302" s="2" t="s">
        <v>26978</v>
      </c>
      <c r="C20302" s="1" t="s">
        <v>5674</v>
      </c>
      <c r="D20302" s="1" t="s">
        <v>5675</v>
      </c>
    </row>
    <row r="20303">
      <c r="A20303" s="1" t="s">
        <v>31555</v>
      </c>
      <c r="B20303" s="2" t="s">
        <v>26980</v>
      </c>
      <c r="C20303" s="1" t="s">
        <v>5674</v>
      </c>
      <c r="D20303" s="1" t="s">
        <v>5675</v>
      </c>
    </row>
    <row r="20304">
      <c r="A20304" s="1" t="s">
        <v>31556</v>
      </c>
      <c r="B20304" s="2" t="s">
        <v>26982</v>
      </c>
      <c r="C20304" s="1" t="s">
        <v>5674</v>
      </c>
      <c r="D20304" s="1" t="s">
        <v>5675</v>
      </c>
    </row>
    <row r="20305">
      <c r="A20305" s="1" t="s">
        <v>31557</v>
      </c>
      <c r="B20305" s="2" t="s">
        <v>26984</v>
      </c>
      <c r="C20305" s="1" t="s">
        <v>5674</v>
      </c>
      <c r="D20305" s="1" t="s">
        <v>5675</v>
      </c>
    </row>
    <row r="20306">
      <c r="A20306" s="1" t="s">
        <v>31558</v>
      </c>
      <c r="B20306" s="2" t="s">
        <v>26986</v>
      </c>
      <c r="C20306" s="1" t="s">
        <v>5674</v>
      </c>
      <c r="D20306" s="1" t="s">
        <v>5675</v>
      </c>
    </row>
    <row r="20307">
      <c r="A20307" s="1" t="s">
        <v>31559</v>
      </c>
      <c r="B20307" s="2" t="s">
        <v>26988</v>
      </c>
      <c r="C20307" s="1" t="s">
        <v>5674</v>
      </c>
      <c r="D20307" s="1" t="s">
        <v>5675</v>
      </c>
    </row>
    <row r="20308">
      <c r="A20308" s="1" t="s">
        <v>31560</v>
      </c>
      <c r="B20308" s="2" t="s">
        <v>26990</v>
      </c>
      <c r="C20308" s="1" t="s">
        <v>5674</v>
      </c>
      <c r="D20308" s="1" t="s">
        <v>5675</v>
      </c>
    </row>
    <row r="20309">
      <c r="A20309" s="1" t="s">
        <v>31561</v>
      </c>
      <c r="B20309" s="2" t="s">
        <v>26992</v>
      </c>
      <c r="C20309" s="1" t="s">
        <v>5674</v>
      </c>
      <c r="D20309" s="1" t="s">
        <v>5675</v>
      </c>
    </row>
    <row r="20310">
      <c r="A20310" s="1" t="s">
        <v>31562</v>
      </c>
      <c r="B20310" s="2" t="s">
        <v>26994</v>
      </c>
      <c r="C20310" s="1" t="s">
        <v>5674</v>
      </c>
      <c r="D20310" s="1" t="s">
        <v>5675</v>
      </c>
    </row>
    <row r="20311">
      <c r="A20311" s="1" t="s">
        <v>31563</v>
      </c>
      <c r="B20311" s="2" t="s">
        <v>26996</v>
      </c>
      <c r="C20311" s="1" t="s">
        <v>5674</v>
      </c>
      <c r="D20311" s="1" t="s">
        <v>5675</v>
      </c>
    </row>
    <row r="20312">
      <c r="A20312" s="1" t="s">
        <v>31564</v>
      </c>
      <c r="B20312" s="2" t="s">
        <v>26998</v>
      </c>
      <c r="C20312" s="1" t="s">
        <v>5674</v>
      </c>
      <c r="D20312" s="1" t="s">
        <v>5675</v>
      </c>
    </row>
    <row r="20313">
      <c r="A20313" s="1" t="s">
        <v>31565</v>
      </c>
      <c r="B20313" s="2" t="s">
        <v>27000</v>
      </c>
      <c r="C20313" s="1" t="s">
        <v>5674</v>
      </c>
      <c r="D20313" s="1" t="s">
        <v>5675</v>
      </c>
    </row>
    <row r="20314">
      <c r="A20314" s="1" t="s">
        <v>31566</v>
      </c>
      <c r="B20314" s="2" t="s">
        <v>27002</v>
      </c>
      <c r="C20314" s="1" t="s">
        <v>5674</v>
      </c>
      <c r="D20314" s="1" t="s">
        <v>5675</v>
      </c>
    </row>
    <row r="20315">
      <c r="A20315" s="1" t="s">
        <v>31567</v>
      </c>
      <c r="B20315" s="2" t="s">
        <v>27004</v>
      </c>
      <c r="C20315" s="1" t="s">
        <v>5674</v>
      </c>
      <c r="D20315" s="1" t="s">
        <v>5675</v>
      </c>
    </row>
    <row r="20316">
      <c r="A20316" s="1" t="s">
        <v>31568</v>
      </c>
      <c r="B20316" s="2" t="s">
        <v>27006</v>
      </c>
      <c r="C20316" s="1" t="s">
        <v>5674</v>
      </c>
      <c r="D20316" s="1" t="s">
        <v>5675</v>
      </c>
    </row>
    <row r="20317">
      <c r="A20317" s="1" t="s">
        <v>31569</v>
      </c>
      <c r="B20317" s="2" t="s">
        <v>27008</v>
      </c>
      <c r="C20317" s="1" t="s">
        <v>5674</v>
      </c>
      <c r="D20317" s="1" t="s">
        <v>5675</v>
      </c>
    </row>
    <row r="20318">
      <c r="A20318" s="1" t="s">
        <v>31570</v>
      </c>
      <c r="B20318" s="2" t="s">
        <v>27010</v>
      </c>
      <c r="C20318" s="1" t="s">
        <v>5674</v>
      </c>
      <c r="D20318" s="1" t="s">
        <v>5675</v>
      </c>
    </row>
    <row r="20319">
      <c r="A20319" s="1" t="s">
        <v>31571</v>
      </c>
      <c r="B20319" s="2" t="s">
        <v>27012</v>
      </c>
      <c r="C20319" s="1" t="s">
        <v>5674</v>
      </c>
      <c r="D20319" s="1" t="s">
        <v>5675</v>
      </c>
    </row>
    <row r="20320">
      <c r="A20320" s="1" t="s">
        <v>31572</v>
      </c>
      <c r="B20320" s="2" t="s">
        <v>27014</v>
      </c>
      <c r="C20320" s="1" t="s">
        <v>5674</v>
      </c>
      <c r="D20320" s="1" t="s">
        <v>5675</v>
      </c>
    </row>
    <row r="20321">
      <c r="A20321" s="1" t="s">
        <v>31573</v>
      </c>
      <c r="B20321" s="2" t="s">
        <v>27016</v>
      </c>
      <c r="C20321" s="1" t="s">
        <v>5674</v>
      </c>
      <c r="D20321" s="1" t="s">
        <v>5675</v>
      </c>
    </row>
    <row r="20322">
      <c r="A20322" s="1" t="s">
        <v>31574</v>
      </c>
      <c r="B20322" s="2" t="s">
        <v>27018</v>
      </c>
      <c r="C20322" s="1" t="s">
        <v>5674</v>
      </c>
      <c r="D20322" s="1" t="s">
        <v>5675</v>
      </c>
    </row>
    <row r="20323">
      <c r="A20323" s="1" t="s">
        <v>31575</v>
      </c>
      <c r="B20323" s="2" t="s">
        <v>27020</v>
      </c>
      <c r="C20323" s="1" t="s">
        <v>5674</v>
      </c>
      <c r="D20323" s="1" t="s">
        <v>5675</v>
      </c>
    </row>
    <row r="20324">
      <c r="A20324" s="1" t="s">
        <v>31576</v>
      </c>
      <c r="B20324" s="2" t="s">
        <v>27022</v>
      </c>
      <c r="C20324" s="1" t="s">
        <v>5674</v>
      </c>
      <c r="D20324" s="1" t="s">
        <v>5675</v>
      </c>
    </row>
    <row r="20325">
      <c r="A20325" s="1" t="s">
        <v>31577</v>
      </c>
      <c r="B20325" s="2" t="s">
        <v>27024</v>
      </c>
      <c r="C20325" s="1" t="s">
        <v>5674</v>
      </c>
      <c r="D20325" s="1" t="s">
        <v>5675</v>
      </c>
    </row>
    <row r="20326">
      <c r="A20326" s="1" t="s">
        <v>31578</v>
      </c>
      <c r="B20326" s="2" t="s">
        <v>27026</v>
      </c>
      <c r="C20326" s="1" t="s">
        <v>5674</v>
      </c>
      <c r="D20326" s="1" t="s">
        <v>5675</v>
      </c>
    </row>
    <row r="20327">
      <c r="A20327" s="1" t="s">
        <v>31579</v>
      </c>
      <c r="B20327" s="2" t="s">
        <v>27028</v>
      </c>
      <c r="C20327" s="1" t="s">
        <v>5674</v>
      </c>
      <c r="D20327" s="1" t="s">
        <v>5675</v>
      </c>
    </row>
    <row r="20328">
      <c r="A20328" s="1" t="s">
        <v>31580</v>
      </c>
      <c r="B20328" s="2" t="s">
        <v>27030</v>
      </c>
      <c r="C20328" s="1" t="s">
        <v>5674</v>
      </c>
      <c r="D20328" s="1" t="s">
        <v>5675</v>
      </c>
    </row>
    <row r="20329">
      <c r="A20329" s="1" t="s">
        <v>31581</v>
      </c>
      <c r="B20329" s="2" t="s">
        <v>27032</v>
      </c>
      <c r="C20329" s="1" t="s">
        <v>5674</v>
      </c>
      <c r="D20329" s="1" t="s">
        <v>5675</v>
      </c>
    </row>
    <row r="20330">
      <c r="A20330" s="1" t="s">
        <v>31582</v>
      </c>
      <c r="B20330" s="2" t="s">
        <v>27034</v>
      </c>
      <c r="C20330" s="1" t="s">
        <v>5674</v>
      </c>
      <c r="D20330" s="1" t="s">
        <v>5675</v>
      </c>
    </row>
    <row r="20331">
      <c r="A20331" s="1" t="s">
        <v>31583</v>
      </c>
      <c r="B20331" s="2" t="s">
        <v>27036</v>
      </c>
      <c r="C20331" s="1" t="s">
        <v>5674</v>
      </c>
      <c r="D20331" s="1" t="s">
        <v>5675</v>
      </c>
    </row>
    <row r="20332">
      <c r="A20332" s="1" t="s">
        <v>31584</v>
      </c>
      <c r="B20332" s="2" t="s">
        <v>27038</v>
      </c>
      <c r="C20332" s="1" t="s">
        <v>5674</v>
      </c>
      <c r="D20332" s="1" t="s">
        <v>5675</v>
      </c>
    </row>
    <row r="20333">
      <c r="A20333" s="1" t="s">
        <v>31585</v>
      </c>
      <c r="B20333" s="2" t="s">
        <v>27040</v>
      </c>
      <c r="C20333" s="1" t="s">
        <v>5674</v>
      </c>
      <c r="D20333" s="1" t="s">
        <v>5675</v>
      </c>
    </row>
    <row r="20334">
      <c r="A20334" s="1" t="s">
        <v>31586</v>
      </c>
      <c r="B20334" s="2" t="s">
        <v>27042</v>
      </c>
      <c r="C20334" s="1" t="s">
        <v>5674</v>
      </c>
      <c r="D20334" s="1" t="s">
        <v>5675</v>
      </c>
    </row>
    <row r="20335">
      <c r="A20335" s="1" t="s">
        <v>31587</v>
      </c>
      <c r="B20335" s="2" t="s">
        <v>27044</v>
      </c>
      <c r="C20335" s="1" t="s">
        <v>5674</v>
      </c>
      <c r="D20335" s="1" t="s">
        <v>5675</v>
      </c>
    </row>
    <row r="20336">
      <c r="A20336" s="1" t="s">
        <v>31588</v>
      </c>
      <c r="B20336" s="2" t="s">
        <v>27046</v>
      </c>
      <c r="C20336" s="1" t="s">
        <v>5674</v>
      </c>
      <c r="D20336" s="1" t="s">
        <v>5675</v>
      </c>
    </row>
    <row r="20337">
      <c r="A20337" s="1" t="s">
        <v>31589</v>
      </c>
      <c r="B20337" s="2" t="s">
        <v>27048</v>
      </c>
      <c r="C20337" s="1" t="s">
        <v>5674</v>
      </c>
      <c r="D20337" s="1" t="s">
        <v>5675</v>
      </c>
    </row>
    <row r="20338">
      <c r="A20338" s="1" t="s">
        <v>31590</v>
      </c>
      <c r="B20338" s="2" t="s">
        <v>27050</v>
      </c>
      <c r="C20338" s="1" t="s">
        <v>5674</v>
      </c>
      <c r="D20338" s="1" t="s">
        <v>5675</v>
      </c>
    </row>
    <row r="20339">
      <c r="A20339" s="1" t="s">
        <v>31591</v>
      </c>
      <c r="B20339" s="2" t="s">
        <v>27052</v>
      </c>
      <c r="C20339" s="1" t="s">
        <v>5674</v>
      </c>
      <c r="D20339" s="1" t="s">
        <v>5675</v>
      </c>
    </row>
    <row r="20340">
      <c r="A20340" s="1" t="s">
        <v>31592</v>
      </c>
      <c r="B20340" s="2" t="s">
        <v>27054</v>
      </c>
      <c r="C20340" s="1" t="s">
        <v>5674</v>
      </c>
      <c r="D20340" s="1" t="s">
        <v>5675</v>
      </c>
    </row>
    <row r="20341">
      <c r="A20341" s="1" t="s">
        <v>31593</v>
      </c>
      <c r="B20341" s="2" t="s">
        <v>27056</v>
      </c>
      <c r="C20341" s="1" t="s">
        <v>5674</v>
      </c>
      <c r="D20341" s="1" t="s">
        <v>5675</v>
      </c>
    </row>
    <row r="20342">
      <c r="A20342" s="1" t="s">
        <v>31594</v>
      </c>
      <c r="B20342" s="2" t="s">
        <v>27058</v>
      </c>
      <c r="C20342" s="1" t="s">
        <v>5674</v>
      </c>
      <c r="D20342" s="1" t="s">
        <v>5675</v>
      </c>
    </row>
    <row r="20343">
      <c r="A20343" s="1" t="s">
        <v>31595</v>
      </c>
      <c r="B20343" s="2" t="s">
        <v>27060</v>
      </c>
      <c r="C20343" s="1" t="s">
        <v>5674</v>
      </c>
      <c r="D20343" s="1" t="s">
        <v>5675</v>
      </c>
    </row>
    <row r="20344">
      <c r="A20344" s="1" t="s">
        <v>31596</v>
      </c>
      <c r="B20344" s="2" t="s">
        <v>27062</v>
      </c>
      <c r="C20344" s="1" t="s">
        <v>5674</v>
      </c>
      <c r="D20344" s="1" t="s">
        <v>5675</v>
      </c>
    </row>
    <row r="20345">
      <c r="A20345" s="1" t="s">
        <v>31597</v>
      </c>
      <c r="B20345" s="2" t="s">
        <v>27064</v>
      </c>
      <c r="C20345" s="1" t="s">
        <v>5674</v>
      </c>
      <c r="D20345" s="1" t="s">
        <v>5675</v>
      </c>
    </row>
    <row r="20346">
      <c r="A20346" s="1" t="s">
        <v>31598</v>
      </c>
      <c r="B20346" s="2" t="s">
        <v>27066</v>
      </c>
      <c r="C20346" s="1" t="s">
        <v>5674</v>
      </c>
      <c r="D20346" s="1" t="s">
        <v>5675</v>
      </c>
    </row>
    <row r="20347">
      <c r="A20347" s="1" t="s">
        <v>31599</v>
      </c>
      <c r="B20347" s="2" t="s">
        <v>27068</v>
      </c>
      <c r="C20347" s="1" t="s">
        <v>5674</v>
      </c>
      <c r="D20347" s="1" t="s">
        <v>5675</v>
      </c>
    </row>
    <row r="20348">
      <c r="A20348" s="1" t="s">
        <v>31600</v>
      </c>
      <c r="B20348" s="2" t="s">
        <v>27070</v>
      </c>
      <c r="C20348" s="1" t="s">
        <v>5674</v>
      </c>
      <c r="D20348" s="1" t="s">
        <v>5675</v>
      </c>
    </row>
    <row r="20349">
      <c r="A20349" s="1" t="s">
        <v>31601</v>
      </c>
      <c r="B20349" s="2" t="s">
        <v>27072</v>
      </c>
      <c r="C20349" s="1" t="s">
        <v>5674</v>
      </c>
      <c r="D20349" s="1" t="s">
        <v>5675</v>
      </c>
    </row>
    <row r="20350">
      <c r="A20350" s="1" t="s">
        <v>31602</v>
      </c>
      <c r="B20350" s="2" t="s">
        <v>27074</v>
      </c>
      <c r="C20350" s="1" t="s">
        <v>5674</v>
      </c>
      <c r="D20350" s="1" t="s">
        <v>5675</v>
      </c>
    </row>
    <row r="20351">
      <c r="A20351" s="1" t="s">
        <v>31603</v>
      </c>
      <c r="B20351" s="2" t="s">
        <v>27076</v>
      </c>
      <c r="C20351" s="1" t="s">
        <v>5674</v>
      </c>
      <c r="D20351" s="1" t="s">
        <v>5675</v>
      </c>
    </row>
    <row r="20352">
      <c r="A20352" s="1" t="s">
        <v>31604</v>
      </c>
      <c r="B20352" s="2" t="s">
        <v>27078</v>
      </c>
      <c r="C20352" s="1" t="s">
        <v>5674</v>
      </c>
      <c r="D20352" s="1" t="s">
        <v>5675</v>
      </c>
    </row>
    <row r="20353">
      <c r="A20353" s="1" t="s">
        <v>31605</v>
      </c>
      <c r="B20353" s="2" t="s">
        <v>27080</v>
      </c>
      <c r="C20353" s="1" t="s">
        <v>5674</v>
      </c>
      <c r="D20353" s="1" t="s">
        <v>5675</v>
      </c>
    </row>
    <row r="20354">
      <c r="A20354" s="1" t="s">
        <v>31606</v>
      </c>
      <c r="B20354" s="2" t="s">
        <v>27082</v>
      </c>
      <c r="C20354" s="1" t="s">
        <v>5674</v>
      </c>
      <c r="D20354" s="1" t="s">
        <v>5675</v>
      </c>
    </row>
    <row r="20355">
      <c r="A20355" s="1" t="s">
        <v>31607</v>
      </c>
      <c r="B20355" s="2" t="s">
        <v>27084</v>
      </c>
      <c r="C20355" s="1" t="s">
        <v>5674</v>
      </c>
      <c r="D20355" s="1" t="s">
        <v>5675</v>
      </c>
    </row>
    <row r="20356">
      <c r="A20356" s="1" t="s">
        <v>31608</v>
      </c>
      <c r="B20356" s="2" t="s">
        <v>27086</v>
      </c>
      <c r="C20356" s="1" t="s">
        <v>5674</v>
      </c>
      <c r="D20356" s="1" t="s">
        <v>5675</v>
      </c>
    </row>
    <row r="20357">
      <c r="A20357" s="1" t="s">
        <v>31609</v>
      </c>
      <c r="B20357" s="2" t="s">
        <v>27088</v>
      </c>
      <c r="C20357" s="1" t="s">
        <v>5674</v>
      </c>
      <c r="D20357" s="1" t="s">
        <v>5675</v>
      </c>
    </row>
    <row r="20358">
      <c r="A20358" s="1" t="s">
        <v>31610</v>
      </c>
      <c r="B20358" s="2" t="s">
        <v>27090</v>
      </c>
      <c r="C20358" s="1" t="s">
        <v>5674</v>
      </c>
      <c r="D20358" s="1" t="s">
        <v>5675</v>
      </c>
    </row>
    <row r="20359">
      <c r="A20359" s="1" t="s">
        <v>5678</v>
      </c>
      <c r="B20359" s="2" t="s">
        <v>234</v>
      </c>
      <c r="C20359" s="1" t="s">
        <v>5679</v>
      </c>
      <c r="D20359" s="1" t="s">
        <v>5681</v>
      </c>
    </row>
    <row r="20360">
      <c r="A20360" s="1" t="s">
        <v>31611</v>
      </c>
      <c r="B20360" s="2" t="s">
        <v>31612</v>
      </c>
      <c r="C20360" s="1" t="s">
        <v>5679</v>
      </c>
      <c r="D20360" s="1" t="s">
        <v>5681</v>
      </c>
    </row>
    <row r="20361">
      <c r="A20361" s="1" t="s">
        <v>31613</v>
      </c>
      <c r="B20361" s="2" t="s">
        <v>31614</v>
      </c>
      <c r="C20361" s="1" t="s">
        <v>5679</v>
      </c>
      <c r="D20361" s="1" t="s">
        <v>5681</v>
      </c>
    </row>
    <row r="20362">
      <c r="A20362" s="1" t="s">
        <v>31615</v>
      </c>
      <c r="B20362" s="2" t="s">
        <v>31616</v>
      </c>
      <c r="C20362" s="1" t="s">
        <v>5679</v>
      </c>
      <c r="D20362" s="1" t="s">
        <v>5681</v>
      </c>
    </row>
    <row r="20363">
      <c r="A20363" s="1" t="s">
        <v>31617</v>
      </c>
      <c r="B20363" s="2" t="s">
        <v>31618</v>
      </c>
      <c r="C20363" s="1" t="s">
        <v>5679</v>
      </c>
      <c r="D20363" s="1" t="s">
        <v>5681</v>
      </c>
    </row>
    <row r="20364">
      <c r="A20364" s="1" t="s">
        <v>31619</v>
      </c>
      <c r="B20364" s="2" t="s">
        <v>31620</v>
      </c>
      <c r="C20364" s="1" t="s">
        <v>5679</v>
      </c>
      <c r="D20364" s="1" t="s">
        <v>5681</v>
      </c>
    </row>
    <row r="20365">
      <c r="A20365" s="1" t="s">
        <v>31621</v>
      </c>
      <c r="B20365" s="2" t="s">
        <v>31622</v>
      </c>
      <c r="C20365" s="1" t="s">
        <v>5679</v>
      </c>
      <c r="D20365" s="1" t="s">
        <v>5681</v>
      </c>
    </row>
    <row r="20366">
      <c r="A20366" s="1" t="s">
        <v>31623</v>
      </c>
      <c r="B20366" s="2" t="s">
        <v>31624</v>
      </c>
      <c r="C20366" s="1" t="s">
        <v>5679</v>
      </c>
      <c r="D20366" s="1" t="s">
        <v>5681</v>
      </c>
    </row>
    <row r="20367">
      <c r="A20367" s="1" t="s">
        <v>31625</v>
      </c>
      <c r="B20367" s="2" t="s">
        <v>31626</v>
      </c>
      <c r="C20367" s="1" t="s">
        <v>5679</v>
      </c>
      <c r="D20367" s="1" t="s">
        <v>5681</v>
      </c>
    </row>
    <row r="20368">
      <c r="A20368" s="1" t="s">
        <v>31627</v>
      </c>
      <c r="B20368" s="2" t="s">
        <v>31628</v>
      </c>
      <c r="C20368" s="1" t="s">
        <v>5679</v>
      </c>
      <c r="D20368" s="1" t="s">
        <v>5681</v>
      </c>
    </row>
    <row r="20369">
      <c r="A20369" s="1" t="s">
        <v>31629</v>
      </c>
      <c r="B20369" s="2" t="s">
        <v>31630</v>
      </c>
      <c r="C20369" s="1" t="s">
        <v>5679</v>
      </c>
      <c r="D20369" s="1" t="s">
        <v>5681</v>
      </c>
    </row>
    <row r="20370">
      <c r="A20370" s="1" t="s">
        <v>31631</v>
      </c>
      <c r="B20370" s="2" t="s">
        <v>31632</v>
      </c>
      <c r="C20370" s="1" t="s">
        <v>5679</v>
      </c>
      <c r="D20370" s="1" t="s">
        <v>5681</v>
      </c>
    </row>
    <row r="20371">
      <c r="A20371" s="1" t="s">
        <v>31633</v>
      </c>
      <c r="B20371" s="2" t="s">
        <v>31634</v>
      </c>
      <c r="C20371" s="1" t="s">
        <v>5679</v>
      </c>
      <c r="D20371" s="1" t="s">
        <v>5681</v>
      </c>
    </row>
    <row r="20372">
      <c r="A20372" s="1" t="s">
        <v>31635</v>
      </c>
      <c r="B20372" s="2" t="s">
        <v>31636</v>
      </c>
      <c r="C20372" s="1" t="s">
        <v>5679</v>
      </c>
      <c r="D20372" s="1" t="s">
        <v>5681</v>
      </c>
    </row>
    <row r="20373">
      <c r="A20373" s="1" t="s">
        <v>31637</v>
      </c>
      <c r="B20373" s="2" t="s">
        <v>31638</v>
      </c>
      <c r="C20373" s="1" t="s">
        <v>5679</v>
      </c>
      <c r="D20373" s="1" t="s">
        <v>5681</v>
      </c>
    </row>
    <row r="20374">
      <c r="A20374" s="1" t="s">
        <v>31639</v>
      </c>
      <c r="B20374" s="2" t="s">
        <v>31640</v>
      </c>
      <c r="C20374" s="1" t="s">
        <v>5679</v>
      </c>
      <c r="D20374" s="1" t="s">
        <v>5681</v>
      </c>
    </row>
    <row r="20375">
      <c r="A20375" s="1" t="s">
        <v>31641</v>
      </c>
      <c r="B20375" s="2" t="s">
        <v>31642</v>
      </c>
      <c r="C20375" s="1" t="s">
        <v>5679</v>
      </c>
      <c r="D20375" s="1" t="s">
        <v>5681</v>
      </c>
    </row>
    <row r="20376">
      <c r="A20376" s="1" t="s">
        <v>31643</v>
      </c>
      <c r="B20376" s="2" t="s">
        <v>31644</v>
      </c>
      <c r="C20376" s="1" t="s">
        <v>5679</v>
      </c>
      <c r="D20376" s="1" t="s">
        <v>5681</v>
      </c>
    </row>
    <row r="20377">
      <c r="A20377" s="1" t="s">
        <v>31645</v>
      </c>
      <c r="B20377" s="2" t="s">
        <v>31646</v>
      </c>
      <c r="C20377" s="1" t="s">
        <v>5679</v>
      </c>
      <c r="D20377" s="1" t="s">
        <v>5681</v>
      </c>
    </row>
    <row r="20378">
      <c r="A20378" s="1" t="s">
        <v>31647</v>
      </c>
      <c r="B20378" s="2" t="s">
        <v>31648</v>
      </c>
      <c r="C20378" s="1" t="s">
        <v>5679</v>
      </c>
      <c r="D20378" s="1" t="s">
        <v>5681</v>
      </c>
    </row>
    <row r="20379">
      <c r="A20379" s="1" t="s">
        <v>31649</v>
      </c>
      <c r="B20379" s="2" t="s">
        <v>31650</v>
      </c>
      <c r="C20379" s="1" t="s">
        <v>5679</v>
      </c>
      <c r="D20379" s="1" t="s">
        <v>5681</v>
      </c>
    </row>
    <row r="20380">
      <c r="A20380" s="1" t="s">
        <v>31651</v>
      </c>
      <c r="B20380" s="2" t="s">
        <v>31652</v>
      </c>
      <c r="C20380" s="1" t="s">
        <v>5679</v>
      </c>
      <c r="D20380" s="1" t="s">
        <v>5681</v>
      </c>
    </row>
    <row r="20381">
      <c r="A20381" s="1" t="s">
        <v>31653</v>
      </c>
      <c r="B20381" s="2" t="s">
        <v>31654</v>
      </c>
      <c r="C20381" s="1" t="s">
        <v>5679</v>
      </c>
      <c r="D20381" s="1" t="s">
        <v>5681</v>
      </c>
    </row>
    <row r="20382">
      <c r="A20382" s="1" t="s">
        <v>31655</v>
      </c>
      <c r="B20382" s="2" t="s">
        <v>31656</v>
      </c>
      <c r="C20382" s="1" t="s">
        <v>5679</v>
      </c>
      <c r="D20382" s="1" t="s">
        <v>5681</v>
      </c>
    </row>
    <row r="20383">
      <c r="A20383" s="1" t="s">
        <v>31657</v>
      </c>
      <c r="B20383" s="2" t="s">
        <v>31658</v>
      </c>
      <c r="C20383" s="1" t="s">
        <v>5679</v>
      </c>
      <c r="D20383" s="1" t="s">
        <v>5681</v>
      </c>
    </row>
    <row r="20384">
      <c r="A20384" s="1" t="s">
        <v>31659</v>
      </c>
      <c r="B20384" s="2" t="s">
        <v>31660</v>
      </c>
      <c r="C20384" s="1" t="s">
        <v>5679</v>
      </c>
      <c r="D20384" s="1" t="s">
        <v>5681</v>
      </c>
    </row>
    <row r="20385">
      <c r="A20385" s="1" t="s">
        <v>31661</v>
      </c>
      <c r="B20385" s="2" t="s">
        <v>31662</v>
      </c>
      <c r="C20385" s="1" t="s">
        <v>5679</v>
      </c>
      <c r="D20385" s="1" t="s">
        <v>5681</v>
      </c>
    </row>
    <row r="20386">
      <c r="A20386" s="1" t="s">
        <v>31663</v>
      </c>
      <c r="B20386" s="2" t="s">
        <v>31664</v>
      </c>
      <c r="C20386" s="1" t="s">
        <v>5679</v>
      </c>
      <c r="D20386" s="1" t="s">
        <v>5681</v>
      </c>
    </row>
    <row r="20387">
      <c r="A20387" s="1" t="s">
        <v>31665</v>
      </c>
      <c r="B20387" s="2" t="s">
        <v>31666</v>
      </c>
      <c r="C20387" s="1" t="s">
        <v>5679</v>
      </c>
      <c r="D20387" s="1" t="s">
        <v>5681</v>
      </c>
    </row>
    <row r="20388">
      <c r="A20388" s="1" t="s">
        <v>31667</v>
      </c>
      <c r="B20388" s="2" t="s">
        <v>31668</v>
      </c>
      <c r="C20388" s="1" t="s">
        <v>5679</v>
      </c>
      <c r="D20388" s="1" t="s">
        <v>5681</v>
      </c>
    </row>
    <row r="20389">
      <c r="A20389" s="1" t="s">
        <v>31669</v>
      </c>
      <c r="B20389" s="2" t="s">
        <v>31670</v>
      </c>
      <c r="C20389" s="1" t="s">
        <v>5679</v>
      </c>
      <c r="D20389" s="1" t="s">
        <v>5681</v>
      </c>
    </row>
    <row r="20390">
      <c r="A20390" s="1" t="s">
        <v>31671</v>
      </c>
      <c r="B20390" s="2" t="s">
        <v>31672</v>
      </c>
      <c r="C20390" s="1" t="s">
        <v>5679</v>
      </c>
      <c r="D20390" s="1" t="s">
        <v>5681</v>
      </c>
    </row>
    <row r="20391">
      <c r="A20391" s="1" t="s">
        <v>31673</v>
      </c>
      <c r="B20391" s="2" t="s">
        <v>31674</v>
      </c>
      <c r="C20391" s="1" t="s">
        <v>5679</v>
      </c>
      <c r="D20391" s="1" t="s">
        <v>5681</v>
      </c>
    </row>
    <row r="20392">
      <c r="A20392" s="1" t="s">
        <v>31675</v>
      </c>
      <c r="B20392" s="2" t="s">
        <v>31676</v>
      </c>
      <c r="C20392" s="1" t="s">
        <v>5679</v>
      </c>
      <c r="D20392" s="1" t="s">
        <v>5681</v>
      </c>
    </row>
    <row r="20393">
      <c r="A20393" s="1" t="s">
        <v>31677</v>
      </c>
      <c r="B20393" s="2" t="s">
        <v>31678</v>
      </c>
      <c r="C20393" s="1" t="s">
        <v>5679</v>
      </c>
      <c r="D20393" s="1" t="s">
        <v>5681</v>
      </c>
    </row>
    <row r="20394">
      <c r="A20394" s="1" t="s">
        <v>31679</v>
      </c>
      <c r="B20394" s="2" t="s">
        <v>31680</v>
      </c>
      <c r="C20394" s="1" t="s">
        <v>5679</v>
      </c>
      <c r="D20394" s="1" t="s">
        <v>5681</v>
      </c>
    </row>
    <row r="20395">
      <c r="A20395" s="1" t="s">
        <v>31681</v>
      </c>
      <c r="B20395" s="2" t="s">
        <v>31682</v>
      </c>
      <c r="C20395" s="1" t="s">
        <v>5679</v>
      </c>
      <c r="D20395" s="1" t="s">
        <v>5681</v>
      </c>
    </row>
    <row r="20396">
      <c r="A20396" s="1" t="s">
        <v>31683</v>
      </c>
      <c r="B20396" s="2" t="s">
        <v>31684</v>
      </c>
      <c r="C20396" s="1" t="s">
        <v>5679</v>
      </c>
      <c r="D20396" s="1" t="s">
        <v>5681</v>
      </c>
    </row>
    <row r="20397">
      <c r="A20397" s="1" t="s">
        <v>31685</v>
      </c>
      <c r="B20397" s="2" t="s">
        <v>31686</v>
      </c>
      <c r="C20397" s="1" t="s">
        <v>5679</v>
      </c>
      <c r="D20397" s="1" t="s">
        <v>5681</v>
      </c>
    </row>
    <row r="20398">
      <c r="A20398" s="1" t="s">
        <v>31687</v>
      </c>
      <c r="B20398" s="2" t="s">
        <v>31688</v>
      </c>
      <c r="C20398" s="1" t="s">
        <v>5679</v>
      </c>
      <c r="D20398" s="1" t="s">
        <v>5681</v>
      </c>
    </row>
    <row r="20399">
      <c r="A20399" s="1" t="s">
        <v>31689</v>
      </c>
      <c r="B20399" s="2" t="s">
        <v>31690</v>
      </c>
      <c r="C20399" s="1" t="s">
        <v>5679</v>
      </c>
      <c r="D20399" s="1" t="s">
        <v>5681</v>
      </c>
    </row>
    <row r="20400">
      <c r="A20400" s="1" t="s">
        <v>31691</v>
      </c>
      <c r="B20400" s="2" t="s">
        <v>31692</v>
      </c>
      <c r="C20400" s="1" t="s">
        <v>5679</v>
      </c>
      <c r="D20400" s="1" t="s">
        <v>5681</v>
      </c>
    </row>
    <row r="20401">
      <c r="A20401" s="1" t="s">
        <v>31693</v>
      </c>
      <c r="B20401" s="2" t="s">
        <v>31694</v>
      </c>
      <c r="C20401" s="1" t="s">
        <v>5679</v>
      </c>
      <c r="D20401" s="1" t="s">
        <v>5681</v>
      </c>
    </row>
    <row r="20402">
      <c r="A20402" s="1" t="s">
        <v>31695</v>
      </c>
      <c r="B20402" s="2" t="s">
        <v>31696</v>
      </c>
      <c r="C20402" s="1" t="s">
        <v>5679</v>
      </c>
      <c r="D20402" s="1" t="s">
        <v>5681</v>
      </c>
    </row>
    <row r="20403">
      <c r="A20403" s="1" t="s">
        <v>31697</v>
      </c>
      <c r="B20403" s="2" t="s">
        <v>31698</v>
      </c>
      <c r="C20403" s="1" t="s">
        <v>5679</v>
      </c>
      <c r="D20403" s="1" t="s">
        <v>5681</v>
      </c>
    </row>
    <row r="20404">
      <c r="A20404" s="1" t="s">
        <v>31699</v>
      </c>
      <c r="B20404" s="2" t="s">
        <v>31700</v>
      </c>
      <c r="C20404" s="1" t="s">
        <v>5679</v>
      </c>
      <c r="D20404" s="1" t="s">
        <v>5681</v>
      </c>
    </row>
    <row r="20405">
      <c r="A20405" s="1" t="s">
        <v>31701</v>
      </c>
      <c r="B20405" s="2" t="s">
        <v>31702</v>
      </c>
      <c r="C20405" s="1" t="s">
        <v>5679</v>
      </c>
      <c r="D20405" s="1" t="s">
        <v>5681</v>
      </c>
    </row>
    <row r="20406">
      <c r="A20406" s="1" t="s">
        <v>31703</v>
      </c>
      <c r="B20406" s="2" t="s">
        <v>31704</v>
      </c>
      <c r="C20406" s="1" t="s">
        <v>5679</v>
      </c>
      <c r="D20406" s="1" t="s">
        <v>5681</v>
      </c>
    </row>
    <row r="20407">
      <c r="A20407" s="1" t="s">
        <v>31705</v>
      </c>
      <c r="B20407" s="2" t="s">
        <v>31706</v>
      </c>
      <c r="C20407" s="1" t="s">
        <v>5679</v>
      </c>
      <c r="D20407" s="1" t="s">
        <v>5681</v>
      </c>
    </row>
    <row r="20408">
      <c r="A20408" s="1" t="s">
        <v>31707</v>
      </c>
      <c r="B20408" s="2" t="s">
        <v>31708</v>
      </c>
      <c r="C20408" s="1" t="s">
        <v>5679</v>
      </c>
      <c r="D20408" s="1" t="s">
        <v>5681</v>
      </c>
    </row>
    <row r="20409">
      <c r="A20409" s="1" t="s">
        <v>31709</v>
      </c>
      <c r="B20409" s="2" t="s">
        <v>31710</v>
      </c>
      <c r="C20409" s="1" t="s">
        <v>5679</v>
      </c>
      <c r="D20409" s="1" t="s">
        <v>5681</v>
      </c>
    </row>
    <row r="20410">
      <c r="A20410" s="1" t="s">
        <v>31711</v>
      </c>
      <c r="B20410" s="2" t="s">
        <v>31712</v>
      </c>
      <c r="C20410" s="1" t="s">
        <v>5679</v>
      </c>
      <c r="D20410" s="1" t="s">
        <v>5681</v>
      </c>
    </row>
    <row r="20411">
      <c r="A20411" s="1" t="s">
        <v>31713</v>
      </c>
      <c r="B20411" s="2" t="s">
        <v>31714</v>
      </c>
      <c r="C20411" s="1" t="s">
        <v>5679</v>
      </c>
      <c r="D20411" s="1" t="s">
        <v>5681</v>
      </c>
    </row>
    <row r="20412">
      <c r="A20412" s="1" t="s">
        <v>31715</v>
      </c>
      <c r="B20412" s="2" t="s">
        <v>31716</v>
      </c>
      <c r="C20412" s="1" t="s">
        <v>5679</v>
      </c>
      <c r="D20412" s="1" t="s">
        <v>5681</v>
      </c>
    </row>
    <row r="20413">
      <c r="A20413" s="1" t="s">
        <v>31717</v>
      </c>
      <c r="B20413" s="2" t="s">
        <v>31718</v>
      </c>
      <c r="C20413" s="1" t="s">
        <v>5679</v>
      </c>
      <c r="D20413" s="1" t="s">
        <v>5681</v>
      </c>
    </row>
    <row r="20414">
      <c r="A20414" s="1" t="s">
        <v>31719</v>
      </c>
      <c r="B20414" s="2" t="s">
        <v>31720</v>
      </c>
      <c r="C20414" s="1" t="s">
        <v>5679</v>
      </c>
      <c r="D20414" s="1" t="s">
        <v>5681</v>
      </c>
    </row>
    <row r="20415">
      <c r="A20415" s="1" t="s">
        <v>31721</v>
      </c>
      <c r="B20415" s="2" t="s">
        <v>31722</v>
      </c>
      <c r="C20415" s="1" t="s">
        <v>5679</v>
      </c>
      <c r="D20415" s="1" t="s">
        <v>5681</v>
      </c>
    </row>
    <row r="20416">
      <c r="A20416" s="1" t="s">
        <v>31723</v>
      </c>
      <c r="B20416" s="2" t="s">
        <v>31724</v>
      </c>
      <c r="C20416" s="1" t="s">
        <v>5679</v>
      </c>
      <c r="D20416" s="1" t="s">
        <v>5681</v>
      </c>
    </row>
    <row r="20417">
      <c r="A20417" s="1" t="s">
        <v>31725</v>
      </c>
      <c r="B20417" s="2" t="s">
        <v>31726</v>
      </c>
      <c r="C20417" s="1" t="s">
        <v>5679</v>
      </c>
      <c r="D20417" s="1" t="s">
        <v>5681</v>
      </c>
    </row>
    <row r="20418">
      <c r="A20418" s="1" t="s">
        <v>31727</v>
      </c>
      <c r="B20418" s="2" t="s">
        <v>31728</v>
      </c>
      <c r="C20418" s="1" t="s">
        <v>5679</v>
      </c>
      <c r="D20418" s="1" t="s">
        <v>5681</v>
      </c>
    </row>
    <row r="20419">
      <c r="A20419" s="1" t="s">
        <v>31729</v>
      </c>
      <c r="B20419" s="2" t="s">
        <v>31730</v>
      </c>
      <c r="C20419" s="1" t="s">
        <v>5679</v>
      </c>
      <c r="D20419" s="1" t="s">
        <v>5681</v>
      </c>
    </row>
    <row r="20420">
      <c r="A20420" s="1" t="s">
        <v>31731</v>
      </c>
      <c r="B20420" s="2" t="s">
        <v>31732</v>
      </c>
      <c r="C20420" s="1" t="s">
        <v>5679</v>
      </c>
      <c r="D20420" s="1" t="s">
        <v>5681</v>
      </c>
    </row>
    <row r="20421">
      <c r="A20421" s="1" t="s">
        <v>31733</v>
      </c>
      <c r="B20421" s="2" t="s">
        <v>31734</v>
      </c>
      <c r="C20421" s="1" t="s">
        <v>5679</v>
      </c>
      <c r="D20421" s="1" t="s">
        <v>5681</v>
      </c>
    </row>
    <row r="20422">
      <c r="A20422" s="1" t="s">
        <v>31735</v>
      </c>
      <c r="B20422" s="2" t="s">
        <v>31736</v>
      </c>
      <c r="C20422" s="1" t="s">
        <v>5679</v>
      </c>
      <c r="D20422" s="1" t="s">
        <v>5681</v>
      </c>
    </row>
    <row r="20423">
      <c r="A20423" s="1" t="s">
        <v>31737</v>
      </c>
      <c r="B20423" s="2" t="s">
        <v>31738</v>
      </c>
      <c r="C20423" s="1" t="s">
        <v>5679</v>
      </c>
      <c r="D20423" s="1" t="s">
        <v>5681</v>
      </c>
    </row>
    <row r="20424">
      <c r="A20424" s="1" t="s">
        <v>31739</v>
      </c>
      <c r="B20424" s="2" t="s">
        <v>31740</v>
      </c>
      <c r="C20424" s="1" t="s">
        <v>5679</v>
      </c>
      <c r="D20424" s="1" t="s">
        <v>5681</v>
      </c>
    </row>
    <row r="20425">
      <c r="A20425" s="1" t="s">
        <v>31741</v>
      </c>
      <c r="B20425" s="2" t="s">
        <v>31742</v>
      </c>
      <c r="C20425" s="1" t="s">
        <v>5679</v>
      </c>
      <c r="D20425" s="1" t="s">
        <v>5681</v>
      </c>
    </row>
    <row r="20426">
      <c r="A20426" s="1" t="s">
        <v>31743</v>
      </c>
      <c r="B20426" s="2" t="s">
        <v>31744</v>
      </c>
      <c r="C20426" s="1" t="s">
        <v>5679</v>
      </c>
      <c r="D20426" s="1" t="s">
        <v>5681</v>
      </c>
    </row>
    <row r="20427">
      <c r="A20427" s="1" t="s">
        <v>31745</v>
      </c>
      <c r="B20427" s="2" t="s">
        <v>31746</v>
      </c>
      <c r="C20427" s="1" t="s">
        <v>5679</v>
      </c>
      <c r="D20427" s="1" t="s">
        <v>5681</v>
      </c>
    </row>
    <row r="20428">
      <c r="A20428" s="1" t="s">
        <v>31747</v>
      </c>
      <c r="B20428" s="2" t="s">
        <v>31748</v>
      </c>
      <c r="C20428" s="1" t="s">
        <v>5679</v>
      </c>
      <c r="D20428" s="1" t="s">
        <v>5681</v>
      </c>
    </row>
    <row r="20429">
      <c r="A20429" s="1" t="s">
        <v>31749</v>
      </c>
      <c r="B20429" s="2" t="s">
        <v>31750</v>
      </c>
      <c r="C20429" s="1" t="s">
        <v>5679</v>
      </c>
      <c r="D20429" s="1" t="s">
        <v>5681</v>
      </c>
    </row>
    <row r="20430">
      <c r="A20430" s="1" t="s">
        <v>31751</v>
      </c>
      <c r="B20430" s="2" t="s">
        <v>31752</v>
      </c>
      <c r="C20430" s="1" t="s">
        <v>5679</v>
      </c>
      <c r="D20430" s="1" t="s">
        <v>5681</v>
      </c>
    </row>
    <row r="20431">
      <c r="A20431" s="1" t="s">
        <v>31753</v>
      </c>
      <c r="B20431" s="2" t="s">
        <v>31754</v>
      </c>
      <c r="C20431" s="1" t="s">
        <v>5679</v>
      </c>
      <c r="D20431" s="1" t="s">
        <v>5681</v>
      </c>
    </row>
    <row r="20432">
      <c r="A20432" s="1" t="s">
        <v>31755</v>
      </c>
      <c r="B20432" s="2" t="s">
        <v>31756</v>
      </c>
      <c r="C20432" s="1" t="s">
        <v>5679</v>
      </c>
      <c r="D20432" s="1" t="s">
        <v>5681</v>
      </c>
    </row>
    <row r="20433">
      <c r="A20433" s="1" t="s">
        <v>31757</v>
      </c>
      <c r="B20433" s="2" t="s">
        <v>31758</v>
      </c>
      <c r="C20433" s="1" t="s">
        <v>5679</v>
      </c>
      <c r="D20433" s="1" t="s">
        <v>5681</v>
      </c>
    </row>
    <row r="20434">
      <c r="A20434" s="1" t="s">
        <v>31759</v>
      </c>
      <c r="B20434" s="2" t="s">
        <v>31760</v>
      </c>
      <c r="C20434" s="1" t="s">
        <v>5679</v>
      </c>
      <c r="D20434" s="1" t="s">
        <v>5681</v>
      </c>
    </row>
    <row r="20435">
      <c r="A20435" s="1" t="s">
        <v>31761</v>
      </c>
      <c r="B20435" s="2" t="s">
        <v>31762</v>
      </c>
      <c r="C20435" s="1" t="s">
        <v>5679</v>
      </c>
      <c r="D20435" s="1" t="s">
        <v>5681</v>
      </c>
    </row>
    <row r="20436">
      <c r="A20436" s="1" t="s">
        <v>31763</v>
      </c>
      <c r="B20436" s="2" t="s">
        <v>31764</v>
      </c>
      <c r="C20436" s="1" t="s">
        <v>5679</v>
      </c>
      <c r="D20436" s="1" t="s">
        <v>5681</v>
      </c>
    </row>
    <row r="20437">
      <c r="A20437" s="1" t="s">
        <v>31765</v>
      </c>
      <c r="B20437" s="2" t="s">
        <v>31766</v>
      </c>
      <c r="C20437" s="1" t="s">
        <v>5679</v>
      </c>
      <c r="D20437" s="1" t="s">
        <v>5681</v>
      </c>
    </row>
    <row r="20438">
      <c r="A20438" s="1" t="s">
        <v>31767</v>
      </c>
      <c r="B20438" s="2" t="s">
        <v>31768</v>
      </c>
      <c r="C20438" s="1" t="s">
        <v>5679</v>
      </c>
      <c r="D20438" s="1" t="s">
        <v>5681</v>
      </c>
    </row>
    <row r="20439">
      <c r="A20439" s="1" t="s">
        <v>31769</v>
      </c>
      <c r="B20439" s="2" t="s">
        <v>31770</v>
      </c>
      <c r="C20439" s="1" t="s">
        <v>5679</v>
      </c>
      <c r="D20439" s="1" t="s">
        <v>5681</v>
      </c>
    </row>
    <row r="20440">
      <c r="A20440" s="1" t="s">
        <v>31771</v>
      </c>
      <c r="B20440" s="2" t="s">
        <v>31772</v>
      </c>
      <c r="C20440" s="1" t="s">
        <v>5679</v>
      </c>
      <c r="D20440" s="1" t="s">
        <v>5681</v>
      </c>
    </row>
    <row r="20441">
      <c r="A20441" s="1" t="s">
        <v>31773</v>
      </c>
      <c r="B20441" s="2" t="s">
        <v>31774</v>
      </c>
      <c r="C20441" s="1" t="s">
        <v>5679</v>
      </c>
      <c r="D20441" s="1" t="s">
        <v>5681</v>
      </c>
    </row>
    <row r="20442">
      <c r="A20442" s="1" t="s">
        <v>31775</v>
      </c>
      <c r="B20442" s="2" t="s">
        <v>31776</v>
      </c>
      <c r="C20442" s="1" t="s">
        <v>5679</v>
      </c>
      <c r="D20442" s="1" t="s">
        <v>5681</v>
      </c>
    </row>
    <row r="20443">
      <c r="A20443" s="1" t="s">
        <v>31777</v>
      </c>
      <c r="B20443" s="2" t="s">
        <v>31778</v>
      </c>
      <c r="C20443" s="1" t="s">
        <v>5679</v>
      </c>
      <c r="D20443" s="1" t="s">
        <v>5681</v>
      </c>
    </row>
    <row r="20444">
      <c r="A20444" s="1" t="s">
        <v>31779</v>
      </c>
      <c r="B20444" s="2" t="s">
        <v>31780</v>
      </c>
      <c r="C20444" s="1" t="s">
        <v>5679</v>
      </c>
      <c r="D20444" s="1" t="s">
        <v>5681</v>
      </c>
    </row>
    <row r="20445">
      <c r="A20445" s="1" t="s">
        <v>31781</v>
      </c>
      <c r="B20445" s="2" t="s">
        <v>31782</v>
      </c>
      <c r="C20445" s="1" t="s">
        <v>5679</v>
      </c>
      <c r="D20445" s="1" t="s">
        <v>5681</v>
      </c>
    </row>
    <row r="20446">
      <c r="A20446" s="1" t="s">
        <v>31783</v>
      </c>
      <c r="B20446" s="2" t="s">
        <v>31784</v>
      </c>
      <c r="C20446" s="1" t="s">
        <v>5679</v>
      </c>
      <c r="D20446" s="1" t="s">
        <v>5681</v>
      </c>
    </row>
    <row r="20447">
      <c r="A20447" s="1" t="s">
        <v>31785</v>
      </c>
      <c r="B20447" s="2" t="s">
        <v>31786</v>
      </c>
      <c r="C20447" s="1" t="s">
        <v>5679</v>
      </c>
      <c r="D20447" s="1" t="s">
        <v>5681</v>
      </c>
    </row>
    <row r="20448">
      <c r="A20448" s="1" t="s">
        <v>31787</v>
      </c>
      <c r="B20448" s="2" t="s">
        <v>31788</v>
      </c>
      <c r="C20448" s="1" t="s">
        <v>5679</v>
      </c>
      <c r="D20448" s="1" t="s">
        <v>5681</v>
      </c>
    </row>
    <row r="20449">
      <c r="A20449" s="1" t="s">
        <v>31789</v>
      </c>
      <c r="B20449" s="2" t="s">
        <v>31790</v>
      </c>
      <c r="C20449" s="1" t="s">
        <v>5679</v>
      </c>
      <c r="D20449" s="1" t="s">
        <v>5681</v>
      </c>
    </row>
    <row r="20450">
      <c r="A20450" s="1" t="s">
        <v>31791</v>
      </c>
      <c r="B20450" s="2" t="s">
        <v>31792</v>
      </c>
      <c r="C20450" s="1" t="s">
        <v>5679</v>
      </c>
      <c r="D20450" s="1" t="s">
        <v>5681</v>
      </c>
    </row>
    <row r="20451">
      <c r="A20451" s="1" t="s">
        <v>31793</v>
      </c>
      <c r="B20451" s="2" t="s">
        <v>31794</v>
      </c>
      <c r="C20451" s="1" t="s">
        <v>5679</v>
      </c>
      <c r="D20451" s="1" t="s">
        <v>5681</v>
      </c>
    </row>
    <row r="20452">
      <c r="A20452" s="1" t="s">
        <v>31795</v>
      </c>
      <c r="B20452" s="2" t="s">
        <v>31796</v>
      </c>
      <c r="C20452" s="1" t="s">
        <v>5679</v>
      </c>
      <c r="D20452" s="1" t="s">
        <v>5681</v>
      </c>
    </row>
    <row r="20453">
      <c r="A20453" s="1" t="s">
        <v>31797</v>
      </c>
      <c r="B20453" s="2" t="s">
        <v>31798</v>
      </c>
      <c r="C20453" s="1" t="s">
        <v>5679</v>
      </c>
      <c r="D20453" s="1" t="s">
        <v>5681</v>
      </c>
    </row>
    <row r="20454">
      <c r="A20454" s="1" t="s">
        <v>31799</v>
      </c>
      <c r="B20454" s="2" t="s">
        <v>31800</v>
      </c>
      <c r="C20454" s="1" t="s">
        <v>5679</v>
      </c>
      <c r="D20454" s="1" t="s">
        <v>5681</v>
      </c>
    </row>
    <row r="20455">
      <c r="A20455" s="1" t="s">
        <v>31801</v>
      </c>
      <c r="B20455" s="2" t="s">
        <v>31802</v>
      </c>
      <c r="C20455" s="1" t="s">
        <v>5679</v>
      </c>
      <c r="D20455" s="1" t="s">
        <v>5681</v>
      </c>
    </row>
    <row r="20456">
      <c r="A20456" s="1" t="s">
        <v>31803</v>
      </c>
      <c r="B20456" s="2" t="s">
        <v>31804</v>
      </c>
      <c r="C20456" s="1" t="s">
        <v>5679</v>
      </c>
      <c r="D20456" s="1" t="s">
        <v>5681</v>
      </c>
    </row>
    <row r="20457">
      <c r="A20457" s="1" t="s">
        <v>31805</v>
      </c>
      <c r="B20457" s="2" t="s">
        <v>31806</v>
      </c>
      <c r="C20457" s="1" t="s">
        <v>5679</v>
      </c>
      <c r="D20457" s="1" t="s">
        <v>5681</v>
      </c>
    </row>
    <row r="20458">
      <c r="A20458" s="1" t="s">
        <v>31807</v>
      </c>
      <c r="B20458" s="2" t="s">
        <v>31808</v>
      </c>
      <c r="C20458" s="1" t="s">
        <v>5679</v>
      </c>
      <c r="D20458" s="1" t="s">
        <v>5681</v>
      </c>
    </row>
    <row r="20459">
      <c r="A20459" s="1" t="s">
        <v>31809</v>
      </c>
      <c r="B20459" s="2" t="s">
        <v>31810</v>
      </c>
      <c r="C20459" s="1" t="s">
        <v>5679</v>
      </c>
      <c r="D20459" s="1" t="s">
        <v>5681</v>
      </c>
    </row>
    <row r="20460">
      <c r="A20460" s="1" t="s">
        <v>31811</v>
      </c>
      <c r="B20460" s="2" t="s">
        <v>31812</v>
      </c>
      <c r="C20460" s="1" t="s">
        <v>5679</v>
      </c>
      <c r="D20460" s="1" t="s">
        <v>5681</v>
      </c>
    </row>
    <row r="20461">
      <c r="A20461" s="1" t="s">
        <v>31813</v>
      </c>
      <c r="B20461" s="2" t="s">
        <v>31814</v>
      </c>
      <c r="C20461" s="1" t="s">
        <v>5679</v>
      </c>
      <c r="D20461" s="1" t="s">
        <v>5681</v>
      </c>
    </row>
    <row r="20462">
      <c r="A20462" s="1" t="s">
        <v>31815</v>
      </c>
      <c r="B20462" s="2" t="s">
        <v>31816</v>
      </c>
      <c r="C20462" s="1" t="s">
        <v>5679</v>
      </c>
      <c r="D20462" s="1" t="s">
        <v>5681</v>
      </c>
    </row>
    <row r="20463">
      <c r="A20463" s="1" t="s">
        <v>31817</v>
      </c>
      <c r="B20463" s="2" t="s">
        <v>31818</v>
      </c>
      <c r="C20463" s="1" t="s">
        <v>5679</v>
      </c>
      <c r="D20463" s="1" t="s">
        <v>5681</v>
      </c>
    </row>
    <row r="20464">
      <c r="A20464" s="1" t="s">
        <v>31819</v>
      </c>
      <c r="B20464" s="2" t="s">
        <v>31820</v>
      </c>
      <c r="C20464" s="1" t="s">
        <v>5679</v>
      </c>
      <c r="D20464" s="1" t="s">
        <v>5681</v>
      </c>
    </row>
    <row r="20465">
      <c r="A20465" s="1" t="s">
        <v>31821</v>
      </c>
      <c r="B20465" s="2" t="s">
        <v>31822</v>
      </c>
      <c r="C20465" s="1" t="s">
        <v>5679</v>
      </c>
      <c r="D20465" s="1" t="s">
        <v>5681</v>
      </c>
    </row>
    <row r="20466">
      <c r="A20466" s="1" t="s">
        <v>31823</v>
      </c>
      <c r="B20466" s="2" t="s">
        <v>31824</v>
      </c>
      <c r="C20466" s="1" t="s">
        <v>5679</v>
      </c>
      <c r="D20466" s="1" t="s">
        <v>5681</v>
      </c>
    </row>
    <row r="20467">
      <c r="A20467" s="1" t="s">
        <v>31825</v>
      </c>
      <c r="B20467" s="2" t="s">
        <v>31826</v>
      </c>
      <c r="C20467" s="1" t="s">
        <v>5679</v>
      </c>
      <c r="D20467" s="1" t="s">
        <v>5681</v>
      </c>
    </row>
    <row r="20468">
      <c r="A20468" s="1" t="s">
        <v>31827</v>
      </c>
      <c r="B20468" s="2" t="s">
        <v>31828</v>
      </c>
      <c r="C20468" s="1" t="s">
        <v>5679</v>
      </c>
      <c r="D20468" s="1" t="s">
        <v>5681</v>
      </c>
    </row>
    <row r="20469">
      <c r="A20469" s="1" t="s">
        <v>31829</v>
      </c>
      <c r="B20469" s="2" t="s">
        <v>31830</v>
      </c>
      <c r="C20469" s="1" t="s">
        <v>5679</v>
      </c>
      <c r="D20469" s="1" t="s">
        <v>5681</v>
      </c>
    </row>
    <row r="20470">
      <c r="A20470" s="1" t="s">
        <v>31831</v>
      </c>
      <c r="B20470" s="2" t="s">
        <v>31832</v>
      </c>
      <c r="C20470" s="1" t="s">
        <v>5679</v>
      </c>
      <c r="D20470" s="1" t="s">
        <v>5681</v>
      </c>
    </row>
    <row r="20471">
      <c r="A20471" s="1" t="s">
        <v>31833</v>
      </c>
      <c r="B20471" s="2" t="s">
        <v>31834</v>
      </c>
      <c r="C20471" s="1" t="s">
        <v>5679</v>
      </c>
      <c r="D20471" s="1" t="s">
        <v>5681</v>
      </c>
    </row>
    <row r="20472">
      <c r="A20472" s="1" t="s">
        <v>31835</v>
      </c>
      <c r="B20472" s="2" t="s">
        <v>31836</v>
      </c>
      <c r="C20472" s="1" t="s">
        <v>5679</v>
      </c>
      <c r="D20472" s="1" t="s">
        <v>5681</v>
      </c>
    </row>
    <row r="20473">
      <c r="A20473" s="1" t="s">
        <v>31837</v>
      </c>
      <c r="B20473" s="2" t="s">
        <v>31838</v>
      </c>
      <c r="C20473" s="1" t="s">
        <v>5679</v>
      </c>
      <c r="D20473" s="1" t="s">
        <v>5681</v>
      </c>
    </row>
    <row r="20474">
      <c r="A20474" s="1" t="s">
        <v>31839</v>
      </c>
      <c r="B20474" s="2" t="s">
        <v>31840</v>
      </c>
      <c r="C20474" s="1" t="s">
        <v>5679</v>
      </c>
      <c r="D20474" s="1" t="s">
        <v>5681</v>
      </c>
    </row>
    <row r="20475">
      <c r="A20475" s="1" t="s">
        <v>31841</v>
      </c>
      <c r="B20475" s="2" t="s">
        <v>31842</v>
      </c>
      <c r="C20475" s="1" t="s">
        <v>5679</v>
      </c>
      <c r="D20475" s="1" t="s">
        <v>5681</v>
      </c>
    </row>
    <row r="20476">
      <c r="A20476" s="1" t="s">
        <v>31843</v>
      </c>
      <c r="B20476" s="2" t="s">
        <v>31844</v>
      </c>
      <c r="C20476" s="1" t="s">
        <v>5679</v>
      </c>
      <c r="D20476" s="1" t="s">
        <v>5681</v>
      </c>
    </row>
    <row r="20477">
      <c r="A20477" s="1" t="s">
        <v>31845</v>
      </c>
      <c r="B20477" s="2" t="s">
        <v>31846</v>
      </c>
      <c r="C20477" s="1" t="s">
        <v>5679</v>
      </c>
      <c r="D20477" s="1" t="s">
        <v>5681</v>
      </c>
    </row>
    <row r="20478">
      <c r="A20478" s="1" t="s">
        <v>31847</v>
      </c>
      <c r="B20478" s="2" t="s">
        <v>31848</v>
      </c>
      <c r="C20478" s="1" t="s">
        <v>5679</v>
      </c>
      <c r="D20478" s="1" t="s">
        <v>5681</v>
      </c>
    </row>
    <row r="20479">
      <c r="A20479" s="1" t="s">
        <v>31849</v>
      </c>
      <c r="B20479" s="2" t="s">
        <v>31850</v>
      </c>
      <c r="C20479" s="1" t="s">
        <v>5679</v>
      </c>
      <c r="D20479" s="1" t="s">
        <v>5681</v>
      </c>
    </row>
    <row r="20480">
      <c r="A20480" s="1" t="s">
        <v>31851</v>
      </c>
      <c r="B20480" s="2" t="s">
        <v>31852</v>
      </c>
      <c r="C20480" s="1" t="s">
        <v>5679</v>
      </c>
      <c r="D20480" s="1" t="s">
        <v>5681</v>
      </c>
    </row>
    <row r="20481">
      <c r="A20481" s="1" t="s">
        <v>31853</v>
      </c>
      <c r="B20481" s="2" t="s">
        <v>31854</v>
      </c>
      <c r="C20481" s="1" t="s">
        <v>5679</v>
      </c>
      <c r="D20481" s="1" t="s">
        <v>5681</v>
      </c>
    </row>
    <row r="20482">
      <c r="A20482" s="1" t="s">
        <v>31855</v>
      </c>
      <c r="B20482" s="2" t="s">
        <v>31856</v>
      </c>
      <c r="C20482" s="1" t="s">
        <v>5679</v>
      </c>
      <c r="D20482" s="1" t="s">
        <v>5681</v>
      </c>
    </row>
    <row r="20483">
      <c r="A20483" s="1" t="s">
        <v>31857</v>
      </c>
      <c r="B20483" s="2" t="s">
        <v>31858</v>
      </c>
      <c r="C20483" s="1" t="s">
        <v>5679</v>
      </c>
      <c r="D20483" s="1" t="s">
        <v>5681</v>
      </c>
    </row>
    <row r="20484">
      <c r="A20484" s="1" t="s">
        <v>31859</v>
      </c>
      <c r="B20484" s="2" t="s">
        <v>31860</v>
      </c>
      <c r="C20484" s="1" t="s">
        <v>5679</v>
      </c>
      <c r="D20484" s="1" t="s">
        <v>5681</v>
      </c>
    </row>
    <row r="20485">
      <c r="A20485" s="1" t="s">
        <v>31861</v>
      </c>
      <c r="B20485" s="2" t="s">
        <v>31862</v>
      </c>
      <c r="C20485" s="1" t="s">
        <v>5679</v>
      </c>
      <c r="D20485" s="1" t="s">
        <v>5681</v>
      </c>
    </row>
    <row r="20486">
      <c r="A20486" s="1" t="s">
        <v>31863</v>
      </c>
      <c r="B20486" s="2" t="s">
        <v>31864</v>
      </c>
      <c r="C20486" s="1" t="s">
        <v>5679</v>
      </c>
      <c r="D20486" s="1" t="s">
        <v>5681</v>
      </c>
    </row>
    <row r="20487">
      <c r="A20487" s="1" t="s">
        <v>31865</v>
      </c>
      <c r="B20487" s="2" t="s">
        <v>31866</v>
      </c>
      <c r="C20487" s="1" t="s">
        <v>5679</v>
      </c>
      <c r="D20487" s="1" t="s">
        <v>5681</v>
      </c>
    </row>
    <row r="20488">
      <c r="A20488" s="1" t="s">
        <v>31867</v>
      </c>
      <c r="B20488" s="2" t="s">
        <v>31868</v>
      </c>
      <c r="C20488" s="1" t="s">
        <v>5679</v>
      </c>
      <c r="D20488" s="1" t="s">
        <v>5681</v>
      </c>
    </row>
    <row r="20489">
      <c r="A20489" s="1" t="s">
        <v>31869</v>
      </c>
      <c r="B20489" s="2" t="s">
        <v>31870</v>
      </c>
      <c r="C20489" s="1" t="s">
        <v>5679</v>
      </c>
      <c r="D20489" s="1" t="s">
        <v>5681</v>
      </c>
    </row>
    <row r="20490">
      <c r="A20490" s="1" t="s">
        <v>31871</v>
      </c>
      <c r="B20490" s="2" t="s">
        <v>31872</v>
      </c>
      <c r="C20490" s="1" t="s">
        <v>5679</v>
      </c>
      <c r="D20490" s="1" t="s">
        <v>5681</v>
      </c>
    </row>
    <row r="20491">
      <c r="A20491" s="1" t="s">
        <v>31873</v>
      </c>
      <c r="B20491" s="2" t="s">
        <v>31874</v>
      </c>
      <c r="C20491" s="1" t="s">
        <v>5679</v>
      </c>
      <c r="D20491" s="1" t="s">
        <v>5681</v>
      </c>
    </row>
    <row r="20492">
      <c r="A20492" s="1" t="s">
        <v>31875</v>
      </c>
      <c r="B20492" s="2" t="s">
        <v>31876</v>
      </c>
      <c r="C20492" s="1" t="s">
        <v>5679</v>
      </c>
      <c r="D20492" s="1" t="s">
        <v>5681</v>
      </c>
    </row>
    <row r="20493">
      <c r="A20493" s="1" t="s">
        <v>31877</v>
      </c>
      <c r="B20493" s="2" t="s">
        <v>31878</v>
      </c>
      <c r="C20493" s="1" t="s">
        <v>5679</v>
      </c>
      <c r="D20493" s="1" t="s">
        <v>5681</v>
      </c>
    </row>
    <row r="20494">
      <c r="A20494" s="1" t="s">
        <v>31879</v>
      </c>
      <c r="B20494" s="2" t="s">
        <v>31880</v>
      </c>
      <c r="C20494" s="1" t="s">
        <v>5679</v>
      </c>
      <c r="D20494" s="1" t="s">
        <v>5681</v>
      </c>
    </row>
    <row r="20495">
      <c r="A20495" s="1" t="s">
        <v>31881</v>
      </c>
      <c r="B20495" s="2" t="s">
        <v>31882</v>
      </c>
      <c r="C20495" s="1" t="s">
        <v>5679</v>
      </c>
      <c r="D20495" s="1" t="s">
        <v>5681</v>
      </c>
    </row>
    <row r="20496">
      <c r="A20496" s="1" t="s">
        <v>31883</v>
      </c>
      <c r="B20496" s="2" t="s">
        <v>31884</v>
      </c>
      <c r="C20496" s="1" t="s">
        <v>5679</v>
      </c>
      <c r="D20496" s="1" t="s">
        <v>5681</v>
      </c>
    </row>
    <row r="20497">
      <c r="A20497" s="1" t="s">
        <v>31885</v>
      </c>
      <c r="B20497" s="2" t="s">
        <v>31886</v>
      </c>
      <c r="C20497" s="1" t="s">
        <v>5679</v>
      </c>
      <c r="D20497" s="1" t="s">
        <v>5681</v>
      </c>
    </row>
    <row r="20498">
      <c r="A20498" s="1" t="s">
        <v>31887</v>
      </c>
      <c r="B20498" s="2" t="s">
        <v>31888</v>
      </c>
      <c r="C20498" s="1" t="s">
        <v>5679</v>
      </c>
      <c r="D20498" s="1" t="s">
        <v>5681</v>
      </c>
    </row>
    <row r="20499">
      <c r="A20499" s="1" t="s">
        <v>31889</v>
      </c>
      <c r="B20499" s="2" t="s">
        <v>31890</v>
      </c>
      <c r="C20499" s="1" t="s">
        <v>5679</v>
      </c>
      <c r="D20499" s="1" t="s">
        <v>5681</v>
      </c>
    </row>
    <row r="20500">
      <c r="A20500" s="1" t="s">
        <v>31891</v>
      </c>
      <c r="B20500" s="2" t="s">
        <v>31892</v>
      </c>
      <c r="C20500" s="1" t="s">
        <v>5679</v>
      </c>
      <c r="D20500" s="1" t="s">
        <v>5681</v>
      </c>
    </row>
    <row r="20501">
      <c r="A20501" s="1" t="s">
        <v>31893</v>
      </c>
      <c r="B20501" s="2" t="s">
        <v>31894</v>
      </c>
      <c r="C20501" s="1" t="s">
        <v>5679</v>
      </c>
      <c r="D20501" s="1" t="s">
        <v>5681</v>
      </c>
    </row>
    <row r="20502">
      <c r="A20502" s="1" t="s">
        <v>31895</v>
      </c>
      <c r="B20502" s="2" t="s">
        <v>31896</v>
      </c>
      <c r="C20502" s="1" t="s">
        <v>5679</v>
      </c>
      <c r="D20502" s="1" t="s">
        <v>5681</v>
      </c>
    </row>
    <row r="20503">
      <c r="A20503" s="1" t="s">
        <v>31897</v>
      </c>
      <c r="B20503" s="2" t="s">
        <v>31898</v>
      </c>
      <c r="C20503" s="1" t="s">
        <v>5679</v>
      </c>
      <c r="D20503" s="1" t="s">
        <v>5681</v>
      </c>
    </row>
    <row r="20504">
      <c r="A20504" s="1" t="s">
        <v>31899</v>
      </c>
      <c r="B20504" s="2" t="s">
        <v>31900</v>
      </c>
      <c r="C20504" s="1" t="s">
        <v>5679</v>
      </c>
      <c r="D20504" s="1" t="s">
        <v>5681</v>
      </c>
    </row>
    <row r="20505">
      <c r="A20505" s="1" t="s">
        <v>31901</v>
      </c>
      <c r="B20505" s="2" t="s">
        <v>31902</v>
      </c>
      <c r="C20505" s="1" t="s">
        <v>5679</v>
      </c>
      <c r="D20505" s="1" t="s">
        <v>5681</v>
      </c>
    </row>
    <row r="20506">
      <c r="A20506" s="1" t="s">
        <v>31903</v>
      </c>
      <c r="B20506" s="2" t="s">
        <v>31904</v>
      </c>
      <c r="C20506" s="1" t="s">
        <v>5679</v>
      </c>
      <c r="D20506" s="1" t="s">
        <v>5681</v>
      </c>
    </row>
    <row r="20507">
      <c r="A20507" s="1" t="s">
        <v>31905</v>
      </c>
      <c r="B20507" s="2" t="s">
        <v>31906</v>
      </c>
      <c r="C20507" s="1" t="s">
        <v>5679</v>
      </c>
      <c r="D20507" s="1" t="s">
        <v>5681</v>
      </c>
    </row>
    <row r="20508">
      <c r="A20508" s="1" t="s">
        <v>31907</v>
      </c>
      <c r="B20508" s="2" t="s">
        <v>31908</v>
      </c>
      <c r="C20508" s="1" t="s">
        <v>5679</v>
      </c>
      <c r="D20508" s="1" t="s">
        <v>5681</v>
      </c>
    </row>
    <row r="20509">
      <c r="A20509" s="1" t="s">
        <v>31909</v>
      </c>
      <c r="B20509" s="2" t="s">
        <v>31910</v>
      </c>
      <c r="C20509" s="1" t="s">
        <v>5679</v>
      </c>
      <c r="D20509" s="1" t="s">
        <v>5681</v>
      </c>
    </row>
    <row r="20510">
      <c r="A20510" s="1" t="s">
        <v>31911</v>
      </c>
      <c r="B20510" s="2" t="s">
        <v>31912</v>
      </c>
      <c r="C20510" s="1" t="s">
        <v>5679</v>
      </c>
      <c r="D20510" s="1" t="s">
        <v>5681</v>
      </c>
    </row>
    <row r="20511">
      <c r="A20511" s="1" t="s">
        <v>31913</v>
      </c>
      <c r="B20511" s="2" t="s">
        <v>31914</v>
      </c>
      <c r="C20511" s="1" t="s">
        <v>5679</v>
      </c>
      <c r="D20511" s="1" t="s">
        <v>5681</v>
      </c>
    </row>
    <row r="20512">
      <c r="A20512" s="1" t="s">
        <v>31915</v>
      </c>
      <c r="B20512" s="2" t="s">
        <v>31916</v>
      </c>
      <c r="C20512" s="1" t="s">
        <v>5679</v>
      </c>
      <c r="D20512" s="1" t="s">
        <v>5681</v>
      </c>
    </row>
    <row r="20513">
      <c r="A20513" s="1" t="s">
        <v>31917</v>
      </c>
      <c r="B20513" s="2" t="s">
        <v>31918</v>
      </c>
      <c r="C20513" s="1" t="s">
        <v>5679</v>
      </c>
      <c r="D20513" s="1" t="s">
        <v>5681</v>
      </c>
    </row>
    <row r="20514">
      <c r="A20514" s="1" t="s">
        <v>31919</v>
      </c>
      <c r="B20514" s="2" t="s">
        <v>31920</v>
      </c>
      <c r="C20514" s="1" t="s">
        <v>5679</v>
      </c>
      <c r="D20514" s="1" t="s">
        <v>5681</v>
      </c>
    </row>
    <row r="20515">
      <c r="A20515" s="1" t="s">
        <v>31921</v>
      </c>
      <c r="B20515" s="2" t="s">
        <v>31922</v>
      </c>
      <c r="C20515" s="1" t="s">
        <v>5679</v>
      </c>
      <c r="D20515" s="1" t="s">
        <v>5681</v>
      </c>
    </row>
    <row r="20516">
      <c r="A20516" s="1" t="s">
        <v>31923</v>
      </c>
      <c r="B20516" s="2" t="s">
        <v>31924</v>
      </c>
      <c r="C20516" s="1" t="s">
        <v>5679</v>
      </c>
      <c r="D20516" s="1" t="s">
        <v>5681</v>
      </c>
    </row>
    <row r="20517">
      <c r="A20517" s="1" t="s">
        <v>31925</v>
      </c>
      <c r="B20517" s="2" t="s">
        <v>31926</v>
      </c>
      <c r="C20517" s="1" t="s">
        <v>5679</v>
      </c>
      <c r="D20517" s="1" t="s">
        <v>5681</v>
      </c>
    </row>
    <row r="20518">
      <c r="A20518" s="1" t="s">
        <v>31927</v>
      </c>
      <c r="B20518" s="2" t="s">
        <v>31928</v>
      </c>
      <c r="C20518" s="1" t="s">
        <v>5679</v>
      </c>
      <c r="D20518" s="1" t="s">
        <v>5681</v>
      </c>
    </row>
    <row r="20519">
      <c r="A20519" s="1" t="s">
        <v>31929</v>
      </c>
      <c r="B20519" s="2" t="s">
        <v>31930</v>
      </c>
      <c r="C20519" s="1" t="s">
        <v>5679</v>
      </c>
      <c r="D20519" s="1" t="s">
        <v>5681</v>
      </c>
    </row>
    <row r="20520">
      <c r="A20520" s="1" t="s">
        <v>31931</v>
      </c>
      <c r="B20520" s="2" t="s">
        <v>31932</v>
      </c>
      <c r="C20520" s="1" t="s">
        <v>5679</v>
      </c>
      <c r="D20520" s="1" t="s">
        <v>5681</v>
      </c>
    </row>
    <row r="20521">
      <c r="A20521" s="1" t="s">
        <v>31933</v>
      </c>
      <c r="B20521" s="2" t="s">
        <v>31934</v>
      </c>
      <c r="C20521" s="1" t="s">
        <v>5679</v>
      </c>
      <c r="D20521" s="1" t="s">
        <v>5681</v>
      </c>
    </row>
    <row r="20522">
      <c r="A20522" s="1" t="s">
        <v>31935</v>
      </c>
      <c r="B20522" s="2" t="s">
        <v>31936</v>
      </c>
      <c r="C20522" s="1" t="s">
        <v>5679</v>
      </c>
      <c r="D20522" s="1" t="s">
        <v>5681</v>
      </c>
    </row>
    <row r="20523">
      <c r="A20523" s="1" t="s">
        <v>31937</v>
      </c>
      <c r="B20523" s="2" t="s">
        <v>31938</v>
      </c>
      <c r="C20523" s="1" t="s">
        <v>5679</v>
      </c>
      <c r="D20523" s="1" t="s">
        <v>5681</v>
      </c>
    </row>
    <row r="20524">
      <c r="A20524" s="1" t="s">
        <v>31939</v>
      </c>
      <c r="B20524" s="2" t="s">
        <v>31940</v>
      </c>
      <c r="C20524" s="1" t="s">
        <v>5679</v>
      </c>
      <c r="D20524" s="1" t="s">
        <v>5681</v>
      </c>
    </row>
    <row r="20525">
      <c r="A20525" s="1" t="s">
        <v>31941</v>
      </c>
      <c r="B20525" s="2" t="s">
        <v>31942</v>
      </c>
      <c r="C20525" s="1" t="s">
        <v>5679</v>
      </c>
      <c r="D20525" s="1" t="s">
        <v>5681</v>
      </c>
    </row>
    <row r="20526">
      <c r="A20526" s="1" t="s">
        <v>31943</v>
      </c>
      <c r="B20526" s="2" t="s">
        <v>31944</v>
      </c>
      <c r="C20526" s="1" t="s">
        <v>5679</v>
      </c>
      <c r="D20526" s="1" t="s">
        <v>5681</v>
      </c>
    </row>
    <row r="20527">
      <c r="A20527" s="1" t="s">
        <v>31945</v>
      </c>
      <c r="B20527" s="2" t="s">
        <v>31946</v>
      </c>
      <c r="C20527" s="1" t="s">
        <v>5679</v>
      </c>
      <c r="D20527" s="1" t="s">
        <v>5681</v>
      </c>
    </row>
    <row r="20528">
      <c r="A20528" s="1" t="s">
        <v>31947</v>
      </c>
      <c r="B20528" s="2" t="s">
        <v>31948</v>
      </c>
      <c r="C20528" s="1" t="s">
        <v>5679</v>
      </c>
      <c r="D20528" s="1" t="s">
        <v>5681</v>
      </c>
    </row>
    <row r="20529">
      <c r="A20529" s="1" t="s">
        <v>31949</v>
      </c>
      <c r="B20529" s="2" t="s">
        <v>31950</v>
      </c>
      <c r="C20529" s="1" t="s">
        <v>5679</v>
      </c>
      <c r="D20529" s="1" t="s">
        <v>5681</v>
      </c>
    </row>
    <row r="20530">
      <c r="A20530" s="1" t="s">
        <v>31951</v>
      </c>
      <c r="B20530" s="2" t="s">
        <v>31952</v>
      </c>
      <c r="C20530" s="1" t="s">
        <v>5679</v>
      </c>
      <c r="D20530" s="1" t="s">
        <v>5681</v>
      </c>
    </row>
    <row r="20531">
      <c r="A20531" s="1" t="s">
        <v>31953</v>
      </c>
      <c r="B20531" s="2" t="s">
        <v>31954</v>
      </c>
      <c r="C20531" s="1" t="s">
        <v>5679</v>
      </c>
      <c r="D20531" s="1" t="s">
        <v>5681</v>
      </c>
    </row>
    <row r="20532">
      <c r="A20532" s="1" t="s">
        <v>31955</v>
      </c>
      <c r="B20532" s="2" t="s">
        <v>31956</v>
      </c>
      <c r="C20532" s="1" t="s">
        <v>5679</v>
      </c>
      <c r="D20532" s="1" t="s">
        <v>5681</v>
      </c>
    </row>
    <row r="20533">
      <c r="A20533" s="1" t="s">
        <v>31957</v>
      </c>
      <c r="B20533" s="2" t="s">
        <v>31958</v>
      </c>
      <c r="C20533" s="1" t="s">
        <v>5679</v>
      </c>
      <c r="D20533" s="1" t="s">
        <v>5681</v>
      </c>
    </row>
    <row r="20534">
      <c r="A20534" s="1" t="s">
        <v>31959</v>
      </c>
      <c r="B20534" s="2" t="s">
        <v>31960</v>
      </c>
      <c r="C20534" s="1" t="s">
        <v>5679</v>
      </c>
      <c r="D20534" s="1" t="s">
        <v>5681</v>
      </c>
    </row>
    <row r="20535">
      <c r="A20535" s="1" t="s">
        <v>31961</v>
      </c>
      <c r="B20535" s="2" t="s">
        <v>31962</v>
      </c>
      <c r="C20535" s="1" t="s">
        <v>5679</v>
      </c>
      <c r="D20535" s="1" t="s">
        <v>5681</v>
      </c>
    </row>
    <row r="20536">
      <c r="A20536" s="1" t="s">
        <v>31963</v>
      </c>
      <c r="B20536" s="2" t="s">
        <v>31964</v>
      </c>
      <c r="C20536" s="1" t="s">
        <v>5679</v>
      </c>
      <c r="D20536" s="1" t="s">
        <v>5681</v>
      </c>
    </row>
    <row r="20537">
      <c r="A20537" s="1" t="s">
        <v>31965</v>
      </c>
      <c r="B20537" s="2" t="s">
        <v>31966</v>
      </c>
      <c r="C20537" s="1" t="s">
        <v>5679</v>
      </c>
      <c r="D20537" s="1" t="s">
        <v>5681</v>
      </c>
    </row>
    <row r="20538">
      <c r="A20538" s="1" t="s">
        <v>31967</v>
      </c>
      <c r="B20538" s="2" t="s">
        <v>31968</v>
      </c>
      <c r="C20538" s="1" t="s">
        <v>5679</v>
      </c>
      <c r="D20538" s="1" t="s">
        <v>5681</v>
      </c>
    </row>
    <row r="20539">
      <c r="A20539" s="1" t="s">
        <v>31969</v>
      </c>
      <c r="B20539" s="2" t="s">
        <v>31970</v>
      </c>
      <c r="C20539" s="1" t="s">
        <v>5679</v>
      </c>
      <c r="D20539" s="1" t="s">
        <v>5681</v>
      </c>
    </row>
    <row r="20540">
      <c r="A20540" s="1" t="s">
        <v>31971</v>
      </c>
      <c r="B20540" s="2" t="s">
        <v>31972</v>
      </c>
      <c r="C20540" s="1" t="s">
        <v>5679</v>
      </c>
      <c r="D20540" s="1" t="s">
        <v>5681</v>
      </c>
    </row>
    <row r="20541">
      <c r="A20541" s="1" t="s">
        <v>31973</v>
      </c>
      <c r="B20541" s="2" t="s">
        <v>31974</v>
      </c>
      <c r="C20541" s="1" t="s">
        <v>5679</v>
      </c>
      <c r="D20541" s="1" t="s">
        <v>5681</v>
      </c>
    </row>
    <row r="20542">
      <c r="A20542" s="1" t="s">
        <v>31975</v>
      </c>
      <c r="B20542" s="2" t="s">
        <v>31976</v>
      </c>
      <c r="C20542" s="1" t="s">
        <v>5679</v>
      </c>
      <c r="D20542" s="1" t="s">
        <v>5681</v>
      </c>
    </row>
    <row r="20543">
      <c r="A20543" s="1" t="s">
        <v>31977</v>
      </c>
      <c r="B20543" s="2" t="s">
        <v>31978</v>
      </c>
      <c r="C20543" s="1" t="s">
        <v>5679</v>
      </c>
      <c r="D20543" s="1" t="s">
        <v>5681</v>
      </c>
    </row>
    <row r="20544">
      <c r="A20544" s="1" t="s">
        <v>31979</v>
      </c>
      <c r="B20544" s="2" t="s">
        <v>31980</v>
      </c>
      <c r="C20544" s="1" t="s">
        <v>5679</v>
      </c>
      <c r="D20544" s="1" t="s">
        <v>5681</v>
      </c>
    </row>
    <row r="20545">
      <c r="A20545" s="1" t="s">
        <v>31981</v>
      </c>
      <c r="B20545" s="2" t="s">
        <v>31982</v>
      </c>
      <c r="C20545" s="1" t="s">
        <v>5679</v>
      </c>
      <c r="D20545" s="1" t="s">
        <v>5681</v>
      </c>
    </row>
    <row r="20546">
      <c r="A20546" s="1" t="s">
        <v>31983</v>
      </c>
      <c r="B20546" s="2" t="s">
        <v>31984</v>
      </c>
      <c r="C20546" s="1" t="s">
        <v>5679</v>
      </c>
      <c r="D20546" s="1" t="s">
        <v>5681</v>
      </c>
    </row>
    <row r="20547">
      <c r="A20547" s="1" t="s">
        <v>31985</v>
      </c>
      <c r="B20547" s="2" t="s">
        <v>31986</v>
      </c>
      <c r="C20547" s="1" t="s">
        <v>5679</v>
      </c>
      <c r="D20547" s="1" t="s">
        <v>5681</v>
      </c>
    </row>
    <row r="20548">
      <c r="A20548" s="1" t="s">
        <v>31987</v>
      </c>
      <c r="B20548" s="2" t="s">
        <v>31988</v>
      </c>
      <c r="C20548" s="1" t="s">
        <v>5679</v>
      </c>
      <c r="D20548" s="1" t="s">
        <v>5681</v>
      </c>
    </row>
    <row r="20549">
      <c r="A20549" s="1" t="s">
        <v>31989</v>
      </c>
      <c r="B20549" s="2" t="s">
        <v>31990</v>
      </c>
      <c r="C20549" s="1" t="s">
        <v>5679</v>
      </c>
      <c r="D20549" s="1" t="s">
        <v>5681</v>
      </c>
    </row>
    <row r="20550">
      <c r="A20550" s="1" t="s">
        <v>31991</v>
      </c>
      <c r="B20550" s="2" t="s">
        <v>31992</v>
      </c>
      <c r="C20550" s="1" t="s">
        <v>5679</v>
      </c>
      <c r="D20550" s="1" t="s">
        <v>5681</v>
      </c>
    </row>
    <row r="20551">
      <c r="A20551" s="1" t="s">
        <v>31993</v>
      </c>
      <c r="B20551" s="2" t="s">
        <v>31994</v>
      </c>
      <c r="C20551" s="1" t="s">
        <v>5679</v>
      </c>
      <c r="D20551" s="1" t="s">
        <v>5681</v>
      </c>
    </row>
    <row r="20552">
      <c r="A20552" s="1" t="s">
        <v>31995</v>
      </c>
      <c r="B20552" s="2" t="s">
        <v>31996</v>
      </c>
      <c r="C20552" s="1" t="s">
        <v>5679</v>
      </c>
      <c r="D20552" s="1" t="s">
        <v>5681</v>
      </c>
    </row>
    <row r="20553">
      <c r="A20553" s="1" t="s">
        <v>31997</v>
      </c>
      <c r="B20553" s="2" t="s">
        <v>31998</v>
      </c>
      <c r="C20553" s="1" t="s">
        <v>5679</v>
      </c>
      <c r="D20553" s="1" t="s">
        <v>5681</v>
      </c>
    </row>
    <row r="20554">
      <c r="A20554" s="1" t="s">
        <v>31999</v>
      </c>
      <c r="B20554" s="2" t="s">
        <v>32000</v>
      </c>
      <c r="C20554" s="1" t="s">
        <v>5679</v>
      </c>
      <c r="D20554" s="1" t="s">
        <v>5681</v>
      </c>
    </row>
    <row r="20555">
      <c r="A20555" s="1" t="s">
        <v>32001</v>
      </c>
      <c r="B20555" s="2" t="s">
        <v>32002</v>
      </c>
      <c r="C20555" s="1" t="s">
        <v>5679</v>
      </c>
      <c r="D20555" s="1" t="s">
        <v>5681</v>
      </c>
    </row>
    <row r="20556">
      <c r="A20556" s="1" t="s">
        <v>32003</v>
      </c>
      <c r="B20556" s="2" t="s">
        <v>32004</v>
      </c>
      <c r="C20556" s="1" t="s">
        <v>5679</v>
      </c>
      <c r="D20556" s="1" t="s">
        <v>5681</v>
      </c>
    </row>
    <row r="20557">
      <c r="A20557" s="1" t="s">
        <v>32005</v>
      </c>
      <c r="B20557" s="2" t="s">
        <v>32006</v>
      </c>
      <c r="C20557" s="1" t="s">
        <v>5679</v>
      </c>
      <c r="D20557" s="1" t="s">
        <v>5681</v>
      </c>
    </row>
    <row r="20558">
      <c r="A20558" s="1" t="s">
        <v>32007</v>
      </c>
      <c r="B20558" s="2" t="s">
        <v>32008</v>
      </c>
      <c r="C20558" s="1" t="s">
        <v>5679</v>
      </c>
      <c r="D20558" s="1" t="s">
        <v>5681</v>
      </c>
    </row>
    <row r="20559">
      <c r="A20559" s="1" t="s">
        <v>32009</v>
      </c>
      <c r="B20559" s="2" t="s">
        <v>32010</v>
      </c>
      <c r="C20559" s="1" t="s">
        <v>5679</v>
      </c>
      <c r="D20559" s="1" t="s">
        <v>5681</v>
      </c>
    </row>
    <row r="20560">
      <c r="A20560" s="1" t="s">
        <v>32011</v>
      </c>
      <c r="B20560" s="2" t="s">
        <v>32012</v>
      </c>
      <c r="C20560" s="1" t="s">
        <v>5679</v>
      </c>
      <c r="D20560" s="1" t="s">
        <v>5681</v>
      </c>
    </row>
    <row r="20561">
      <c r="A20561" s="1" t="s">
        <v>32013</v>
      </c>
      <c r="B20561" s="2" t="s">
        <v>32014</v>
      </c>
      <c r="C20561" s="1" t="s">
        <v>5679</v>
      </c>
      <c r="D20561" s="1" t="s">
        <v>5681</v>
      </c>
    </row>
    <row r="20562">
      <c r="A20562" s="1" t="s">
        <v>32015</v>
      </c>
      <c r="B20562" s="2" t="s">
        <v>32016</v>
      </c>
      <c r="C20562" s="1" t="s">
        <v>5679</v>
      </c>
      <c r="D20562" s="1" t="s">
        <v>5681</v>
      </c>
    </row>
    <row r="20563">
      <c r="A20563" s="1" t="s">
        <v>32017</v>
      </c>
      <c r="B20563" s="2" t="s">
        <v>32018</v>
      </c>
      <c r="C20563" s="1" t="s">
        <v>5679</v>
      </c>
      <c r="D20563" s="1" t="s">
        <v>5681</v>
      </c>
    </row>
    <row r="20564">
      <c r="A20564" s="1" t="s">
        <v>32019</v>
      </c>
      <c r="B20564" s="2" t="s">
        <v>32020</v>
      </c>
      <c r="C20564" s="1" t="s">
        <v>5679</v>
      </c>
      <c r="D20564" s="1" t="s">
        <v>5681</v>
      </c>
    </row>
    <row r="20565">
      <c r="A20565" s="1" t="s">
        <v>32021</v>
      </c>
      <c r="B20565" s="2" t="s">
        <v>32022</v>
      </c>
      <c r="C20565" s="1" t="s">
        <v>5679</v>
      </c>
      <c r="D20565" s="1" t="s">
        <v>5681</v>
      </c>
    </row>
    <row r="20566">
      <c r="A20566" s="1" t="s">
        <v>32023</v>
      </c>
      <c r="B20566" s="2" t="s">
        <v>32024</v>
      </c>
      <c r="C20566" s="1" t="s">
        <v>5679</v>
      </c>
      <c r="D20566" s="1" t="s">
        <v>5681</v>
      </c>
    </row>
    <row r="20567">
      <c r="A20567" s="1" t="s">
        <v>32025</v>
      </c>
      <c r="B20567" s="2" t="s">
        <v>32026</v>
      </c>
      <c r="C20567" s="1" t="s">
        <v>5679</v>
      </c>
      <c r="D20567" s="1" t="s">
        <v>5681</v>
      </c>
    </row>
    <row r="20568">
      <c r="A20568" s="1" t="s">
        <v>32027</v>
      </c>
      <c r="B20568" s="2" t="s">
        <v>32028</v>
      </c>
      <c r="C20568" s="1" t="s">
        <v>5679</v>
      </c>
      <c r="D20568" s="1" t="s">
        <v>5681</v>
      </c>
    </row>
    <row r="20569">
      <c r="A20569" s="1" t="s">
        <v>32029</v>
      </c>
      <c r="B20569" s="2" t="s">
        <v>32030</v>
      </c>
      <c r="C20569" s="1" t="s">
        <v>5679</v>
      </c>
      <c r="D20569" s="1" t="s">
        <v>5681</v>
      </c>
    </row>
    <row r="20570">
      <c r="A20570" s="1" t="s">
        <v>32031</v>
      </c>
      <c r="B20570" s="2" t="s">
        <v>32032</v>
      </c>
      <c r="C20570" s="1" t="s">
        <v>5679</v>
      </c>
      <c r="D20570" s="1" t="s">
        <v>5681</v>
      </c>
    </row>
    <row r="20571">
      <c r="A20571" s="1" t="s">
        <v>32033</v>
      </c>
      <c r="B20571" s="2" t="s">
        <v>32034</v>
      </c>
      <c r="C20571" s="1" t="s">
        <v>5679</v>
      </c>
      <c r="D20571" s="1" t="s">
        <v>5681</v>
      </c>
    </row>
    <row r="20572">
      <c r="A20572" s="1" t="s">
        <v>32035</v>
      </c>
      <c r="B20572" s="2" t="s">
        <v>32036</v>
      </c>
      <c r="C20572" s="1" t="s">
        <v>5679</v>
      </c>
      <c r="D20572" s="1" t="s">
        <v>5681</v>
      </c>
    </row>
    <row r="20573">
      <c r="A20573" s="1" t="s">
        <v>32037</v>
      </c>
      <c r="B20573" s="2" t="s">
        <v>32038</v>
      </c>
      <c r="C20573" s="1" t="s">
        <v>5679</v>
      </c>
      <c r="D20573" s="1" t="s">
        <v>5681</v>
      </c>
    </row>
    <row r="20574">
      <c r="A20574" s="1" t="s">
        <v>32039</v>
      </c>
      <c r="B20574" s="2" t="s">
        <v>32040</v>
      </c>
      <c r="C20574" s="1" t="s">
        <v>5679</v>
      </c>
      <c r="D20574" s="1" t="s">
        <v>5681</v>
      </c>
    </row>
    <row r="20575">
      <c r="A20575" s="1" t="s">
        <v>32041</v>
      </c>
      <c r="B20575" s="2" t="s">
        <v>32042</v>
      </c>
      <c r="C20575" s="1" t="s">
        <v>5679</v>
      </c>
      <c r="D20575" s="1" t="s">
        <v>5681</v>
      </c>
    </row>
    <row r="20576">
      <c r="A20576" s="1" t="s">
        <v>32043</v>
      </c>
      <c r="B20576" s="2" t="s">
        <v>32044</v>
      </c>
      <c r="C20576" s="1" t="s">
        <v>5679</v>
      </c>
      <c r="D20576" s="1" t="s">
        <v>5681</v>
      </c>
    </row>
    <row r="20577">
      <c r="A20577" s="1" t="s">
        <v>32045</v>
      </c>
      <c r="B20577" s="2" t="s">
        <v>32046</v>
      </c>
      <c r="C20577" s="1" t="s">
        <v>5679</v>
      </c>
      <c r="D20577" s="1" t="s">
        <v>5681</v>
      </c>
    </row>
    <row r="20578">
      <c r="A20578" s="1" t="s">
        <v>32047</v>
      </c>
      <c r="B20578" s="2" t="s">
        <v>32048</v>
      </c>
      <c r="C20578" s="1" t="s">
        <v>5679</v>
      </c>
      <c r="D20578" s="1" t="s">
        <v>5681</v>
      </c>
    </row>
    <row r="20579">
      <c r="A20579" s="1" t="s">
        <v>32049</v>
      </c>
      <c r="B20579" s="2" t="s">
        <v>32050</v>
      </c>
      <c r="C20579" s="1" t="s">
        <v>5679</v>
      </c>
      <c r="D20579" s="1" t="s">
        <v>5681</v>
      </c>
    </row>
    <row r="20580">
      <c r="A20580" s="1" t="s">
        <v>32051</v>
      </c>
      <c r="B20580" s="2" t="s">
        <v>32052</v>
      </c>
      <c r="C20580" s="1" t="s">
        <v>5679</v>
      </c>
      <c r="D20580" s="1" t="s">
        <v>5681</v>
      </c>
    </row>
    <row r="20581">
      <c r="A20581" s="1" t="s">
        <v>32053</v>
      </c>
      <c r="B20581" s="2" t="s">
        <v>32054</v>
      </c>
      <c r="C20581" s="1" t="s">
        <v>5679</v>
      </c>
      <c r="D20581" s="1" t="s">
        <v>5681</v>
      </c>
    </row>
    <row r="20582">
      <c r="A20582" s="1" t="s">
        <v>32055</v>
      </c>
      <c r="B20582" s="2" t="s">
        <v>32056</v>
      </c>
      <c r="C20582" s="1" t="s">
        <v>5679</v>
      </c>
      <c r="D20582" s="1" t="s">
        <v>5681</v>
      </c>
    </row>
    <row r="20583">
      <c r="A20583" s="1" t="s">
        <v>32057</v>
      </c>
      <c r="B20583" s="2" t="s">
        <v>32058</v>
      </c>
      <c r="C20583" s="1" t="s">
        <v>5679</v>
      </c>
      <c r="D20583" s="1" t="s">
        <v>5681</v>
      </c>
    </row>
    <row r="20584">
      <c r="A20584" s="1" t="s">
        <v>32059</v>
      </c>
      <c r="B20584" s="2" t="s">
        <v>32060</v>
      </c>
      <c r="C20584" s="1" t="s">
        <v>5679</v>
      </c>
      <c r="D20584" s="1" t="s">
        <v>5681</v>
      </c>
    </row>
    <row r="20585">
      <c r="A20585" s="1" t="s">
        <v>32061</v>
      </c>
      <c r="B20585" s="2" t="s">
        <v>32062</v>
      </c>
      <c r="C20585" s="1" t="s">
        <v>5679</v>
      </c>
      <c r="D20585" s="1" t="s">
        <v>5681</v>
      </c>
    </row>
    <row r="20586">
      <c r="A20586" s="1" t="s">
        <v>32063</v>
      </c>
      <c r="B20586" s="2" t="s">
        <v>32064</v>
      </c>
      <c r="C20586" s="1" t="s">
        <v>5679</v>
      </c>
      <c r="D20586" s="1" t="s">
        <v>5681</v>
      </c>
    </row>
    <row r="20587">
      <c r="A20587" s="1" t="s">
        <v>32065</v>
      </c>
      <c r="B20587" s="2" t="s">
        <v>32066</v>
      </c>
      <c r="C20587" s="1" t="s">
        <v>5679</v>
      </c>
      <c r="D20587" s="1" t="s">
        <v>5681</v>
      </c>
    </row>
    <row r="20588">
      <c r="A20588" s="1" t="s">
        <v>32067</v>
      </c>
      <c r="B20588" s="2" t="s">
        <v>32068</v>
      </c>
      <c r="C20588" s="1" t="s">
        <v>5679</v>
      </c>
      <c r="D20588" s="1" t="s">
        <v>5681</v>
      </c>
    </row>
    <row r="20589">
      <c r="A20589" s="1" t="s">
        <v>32069</v>
      </c>
      <c r="B20589" s="2" t="s">
        <v>32070</v>
      </c>
      <c r="C20589" s="1" t="s">
        <v>5679</v>
      </c>
      <c r="D20589" s="1" t="s">
        <v>5681</v>
      </c>
    </row>
    <row r="20590">
      <c r="A20590" s="1" t="s">
        <v>32071</v>
      </c>
      <c r="B20590" s="2" t="s">
        <v>32072</v>
      </c>
      <c r="C20590" s="1" t="s">
        <v>5679</v>
      </c>
      <c r="D20590" s="1" t="s">
        <v>5681</v>
      </c>
    </row>
    <row r="20591">
      <c r="A20591" s="1" t="s">
        <v>32073</v>
      </c>
      <c r="B20591" s="2" t="s">
        <v>32074</v>
      </c>
      <c r="C20591" s="1" t="s">
        <v>5679</v>
      </c>
      <c r="D20591" s="1" t="s">
        <v>5681</v>
      </c>
    </row>
    <row r="20592">
      <c r="A20592" s="1" t="s">
        <v>32075</v>
      </c>
      <c r="B20592" s="2" t="s">
        <v>32076</v>
      </c>
      <c r="C20592" s="1" t="s">
        <v>5679</v>
      </c>
      <c r="D20592" s="1" t="s">
        <v>5681</v>
      </c>
    </row>
    <row r="20593">
      <c r="A20593" s="1" t="s">
        <v>32077</v>
      </c>
      <c r="B20593" s="2" t="s">
        <v>32078</v>
      </c>
      <c r="C20593" s="1" t="s">
        <v>5679</v>
      </c>
      <c r="D20593" s="1" t="s">
        <v>5681</v>
      </c>
    </row>
    <row r="20594">
      <c r="A20594" s="1" t="s">
        <v>32079</v>
      </c>
      <c r="B20594" s="2" t="s">
        <v>32080</v>
      </c>
      <c r="C20594" s="1" t="s">
        <v>5679</v>
      </c>
      <c r="D20594" s="1" t="s">
        <v>5681</v>
      </c>
    </row>
    <row r="20595">
      <c r="A20595" s="1" t="s">
        <v>32081</v>
      </c>
      <c r="B20595" s="2" t="s">
        <v>32082</v>
      </c>
      <c r="C20595" s="1" t="s">
        <v>5679</v>
      </c>
      <c r="D20595" s="1" t="s">
        <v>5681</v>
      </c>
    </row>
    <row r="20596">
      <c r="A20596" s="1" t="s">
        <v>32083</v>
      </c>
      <c r="B20596" s="2" t="s">
        <v>32084</v>
      </c>
      <c r="C20596" s="1" t="s">
        <v>5679</v>
      </c>
      <c r="D20596" s="1" t="s">
        <v>5681</v>
      </c>
    </row>
    <row r="20597">
      <c r="A20597" s="1" t="s">
        <v>32085</v>
      </c>
      <c r="B20597" s="2" t="s">
        <v>32086</v>
      </c>
      <c r="C20597" s="1" t="s">
        <v>5679</v>
      </c>
      <c r="D20597" s="1" t="s">
        <v>5681</v>
      </c>
    </row>
    <row r="20598">
      <c r="A20598" s="1" t="s">
        <v>32087</v>
      </c>
      <c r="B20598" s="2" t="s">
        <v>32088</v>
      </c>
      <c r="C20598" s="1" t="s">
        <v>5679</v>
      </c>
      <c r="D20598" s="1" t="s">
        <v>5681</v>
      </c>
    </row>
    <row r="20599">
      <c r="A20599" s="1" t="s">
        <v>32089</v>
      </c>
      <c r="B20599" s="2" t="s">
        <v>32090</v>
      </c>
      <c r="C20599" s="1" t="s">
        <v>5679</v>
      </c>
      <c r="D20599" s="1" t="s">
        <v>5681</v>
      </c>
    </row>
    <row r="20600">
      <c r="A20600" s="1" t="s">
        <v>32091</v>
      </c>
      <c r="B20600" s="2" t="s">
        <v>32092</v>
      </c>
      <c r="C20600" s="1" t="s">
        <v>5679</v>
      </c>
      <c r="D20600" s="1" t="s">
        <v>5681</v>
      </c>
    </row>
    <row r="20601">
      <c r="A20601" s="1" t="s">
        <v>32093</v>
      </c>
      <c r="B20601" s="2" t="s">
        <v>32094</v>
      </c>
      <c r="C20601" s="1" t="s">
        <v>5679</v>
      </c>
      <c r="D20601" s="1" t="s">
        <v>5681</v>
      </c>
    </row>
    <row r="20602">
      <c r="A20602" s="1" t="s">
        <v>32095</v>
      </c>
      <c r="B20602" s="2" t="s">
        <v>32096</v>
      </c>
      <c r="C20602" s="1" t="s">
        <v>5679</v>
      </c>
      <c r="D20602" s="1" t="s">
        <v>5681</v>
      </c>
    </row>
    <row r="20603">
      <c r="A20603" s="1" t="s">
        <v>32097</v>
      </c>
      <c r="B20603" s="2" t="s">
        <v>32098</v>
      </c>
      <c r="C20603" s="1" t="s">
        <v>5679</v>
      </c>
      <c r="D20603" s="1" t="s">
        <v>5681</v>
      </c>
    </row>
    <row r="20604">
      <c r="A20604" s="1" t="s">
        <v>32099</v>
      </c>
      <c r="B20604" s="2" t="s">
        <v>32100</v>
      </c>
      <c r="C20604" s="1" t="s">
        <v>5679</v>
      </c>
      <c r="D20604" s="1" t="s">
        <v>5681</v>
      </c>
    </row>
    <row r="20605">
      <c r="A20605" s="1" t="s">
        <v>32101</v>
      </c>
      <c r="B20605" s="2" t="s">
        <v>32102</v>
      </c>
      <c r="C20605" s="1" t="s">
        <v>5679</v>
      </c>
      <c r="D20605" s="1" t="s">
        <v>5681</v>
      </c>
    </row>
    <row r="20606">
      <c r="A20606" s="1" t="s">
        <v>32103</v>
      </c>
      <c r="B20606" s="2" t="s">
        <v>32104</v>
      </c>
      <c r="C20606" s="1" t="s">
        <v>5679</v>
      </c>
      <c r="D20606" s="1" t="s">
        <v>5681</v>
      </c>
    </row>
    <row r="20607">
      <c r="A20607" s="1" t="s">
        <v>32105</v>
      </c>
      <c r="B20607" s="2" t="s">
        <v>32106</v>
      </c>
      <c r="C20607" s="1" t="s">
        <v>5679</v>
      </c>
      <c r="D20607" s="1" t="s">
        <v>5681</v>
      </c>
    </row>
    <row r="20608">
      <c r="A20608" s="1" t="s">
        <v>32107</v>
      </c>
      <c r="B20608" s="2" t="s">
        <v>32108</v>
      </c>
      <c r="C20608" s="1" t="s">
        <v>5679</v>
      </c>
      <c r="D20608" s="1" t="s">
        <v>5681</v>
      </c>
    </row>
    <row r="20609">
      <c r="A20609" s="1" t="s">
        <v>32109</v>
      </c>
      <c r="B20609" s="2" t="s">
        <v>32110</v>
      </c>
      <c r="C20609" s="1" t="s">
        <v>5679</v>
      </c>
      <c r="D20609" s="1" t="s">
        <v>5681</v>
      </c>
    </row>
    <row r="20610">
      <c r="A20610" s="1" t="s">
        <v>32111</v>
      </c>
      <c r="B20610" s="2" t="s">
        <v>32112</v>
      </c>
      <c r="C20610" s="1" t="s">
        <v>5679</v>
      </c>
      <c r="D20610" s="1" t="s">
        <v>5681</v>
      </c>
    </row>
    <row r="20611">
      <c r="A20611" s="1" t="s">
        <v>32113</v>
      </c>
      <c r="B20611" s="2" t="s">
        <v>32114</v>
      </c>
      <c r="C20611" s="1" t="s">
        <v>5679</v>
      </c>
      <c r="D20611" s="1" t="s">
        <v>5681</v>
      </c>
    </row>
    <row r="20612">
      <c r="A20612" s="1" t="s">
        <v>32115</v>
      </c>
      <c r="B20612" s="2" t="s">
        <v>32116</v>
      </c>
      <c r="C20612" s="1" t="s">
        <v>5679</v>
      </c>
      <c r="D20612" s="1" t="s">
        <v>5681</v>
      </c>
    </row>
    <row r="20613">
      <c r="A20613" s="1" t="s">
        <v>32117</v>
      </c>
      <c r="B20613" s="2" t="s">
        <v>32118</v>
      </c>
      <c r="C20613" s="1" t="s">
        <v>5679</v>
      </c>
      <c r="D20613" s="1" t="s">
        <v>5681</v>
      </c>
    </row>
    <row r="20614">
      <c r="A20614" s="1" t="s">
        <v>32119</v>
      </c>
      <c r="B20614" s="2" t="s">
        <v>32120</v>
      </c>
      <c r="C20614" s="1" t="s">
        <v>5679</v>
      </c>
      <c r="D20614" s="1" t="s">
        <v>5681</v>
      </c>
    </row>
    <row r="20615">
      <c r="A20615" s="1" t="s">
        <v>32121</v>
      </c>
      <c r="B20615" s="2" t="s">
        <v>32122</v>
      </c>
      <c r="C20615" s="1" t="s">
        <v>5679</v>
      </c>
      <c r="D20615" s="1" t="s">
        <v>5681</v>
      </c>
    </row>
    <row r="20616">
      <c r="A20616" s="1" t="s">
        <v>32123</v>
      </c>
      <c r="B20616" s="2" t="s">
        <v>32124</v>
      </c>
      <c r="C20616" s="1" t="s">
        <v>5679</v>
      </c>
      <c r="D20616" s="1" t="s">
        <v>5681</v>
      </c>
    </row>
    <row r="20617">
      <c r="A20617" s="1" t="s">
        <v>5684</v>
      </c>
      <c r="B20617" s="2" t="s">
        <v>234</v>
      </c>
      <c r="C20617" s="1" t="s">
        <v>5686</v>
      </c>
      <c r="D20617" s="1" t="s">
        <v>5687</v>
      </c>
    </row>
    <row r="20618">
      <c r="A20618" s="1" t="s">
        <v>32125</v>
      </c>
      <c r="B20618" s="2" t="s">
        <v>31612</v>
      </c>
      <c r="C20618" s="1" t="s">
        <v>5686</v>
      </c>
      <c r="D20618" s="1" t="s">
        <v>5687</v>
      </c>
    </row>
    <row r="20619">
      <c r="A20619" s="1" t="s">
        <v>32126</v>
      </c>
      <c r="B20619" s="2" t="s">
        <v>31614</v>
      </c>
      <c r="C20619" s="1" t="s">
        <v>5686</v>
      </c>
      <c r="D20619" s="1" t="s">
        <v>5687</v>
      </c>
    </row>
    <row r="20620">
      <c r="A20620" s="1" t="s">
        <v>32127</v>
      </c>
      <c r="B20620" s="2" t="s">
        <v>31616</v>
      </c>
      <c r="C20620" s="1" t="s">
        <v>5686</v>
      </c>
      <c r="D20620" s="1" t="s">
        <v>5687</v>
      </c>
    </row>
    <row r="20621">
      <c r="A20621" s="1" t="s">
        <v>32128</v>
      </c>
      <c r="B20621" s="2" t="s">
        <v>31618</v>
      </c>
      <c r="C20621" s="1" t="s">
        <v>5686</v>
      </c>
      <c r="D20621" s="1" t="s">
        <v>5687</v>
      </c>
    </row>
    <row r="20622">
      <c r="A20622" s="1" t="s">
        <v>32129</v>
      </c>
      <c r="B20622" s="2" t="s">
        <v>31620</v>
      </c>
      <c r="C20622" s="1" t="s">
        <v>5686</v>
      </c>
      <c r="D20622" s="1" t="s">
        <v>5687</v>
      </c>
    </row>
    <row r="20623">
      <c r="A20623" s="1" t="s">
        <v>32130</v>
      </c>
      <c r="B20623" s="2" t="s">
        <v>31622</v>
      </c>
      <c r="C20623" s="1" t="s">
        <v>5686</v>
      </c>
      <c r="D20623" s="1" t="s">
        <v>5687</v>
      </c>
    </row>
    <row r="20624">
      <c r="A20624" s="1" t="s">
        <v>32131</v>
      </c>
      <c r="B20624" s="2" t="s">
        <v>31624</v>
      </c>
      <c r="C20624" s="1" t="s">
        <v>5686</v>
      </c>
      <c r="D20624" s="1" t="s">
        <v>5687</v>
      </c>
    </row>
    <row r="20625">
      <c r="A20625" s="1" t="s">
        <v>32132</v>
      </c>
      <c r="B20625" s="2" t="s">
        <v>31626</v>
      </c>
      <c r="C20625" s="1" t="s">
        <v>5686</v>
      </c>
      <c r="D20625" s="1" t="s">
        <v>5687</v>
      </c>
    </row>
    <row r="20626">
      <c r="A20626" s="1" t="s">
        <v>32133</v>
      </c>
      <c r="B20626" s="2" t="s">
        <v>31628</v>
      </c>
      <c r="C20626" s="1" t="s">
        <v>5686</v>
      </c>
      <c r="D20626" s="1" t="s">
        <v>5687</v>
      </c>
    </row>
    <row r="20627">
      <c r="A20627" s="1" t="s">
        <v>32134</v>
      </c>
      <c r="B20627" s="2" t="s">
        <v>31630</v>
      </c>
      <c r="C20627" s="1" t="s">
        <v>5686</v>
      </c>
      <c r="D20627" s="1" t="s">
        <v>5687</v>
      </c>
    </row>
    <row r="20628">
      <c r="A20628" s="1" t="s">
        <v>32135</v>
      </c>
      <c r="B20628" s="2" t="s">
        <v>31632</v>
      </c>
      <c r="C20628" s="1" t="s">
        <v>5686</v>
      </c>
      <c r="D20628" s="1" t="s">
        <v>5687</v>
      </c>
    </row>
    <row r="20629">
      <c r="A20629" s="1" t="s">
        <v>32136</v>
      </c>
      <c r="B20629" s="2" t="s">
        <v>31634</v>
      </c>
      <c r="C20629" s="1" t="s">
        <v>5686</v>
      </c>
      <c r="D20629" s="1" t="s">
        <v>5687</v>
      </c>
    </row>
    <row r="20630">
      <c r="A20630" s="1" t="s">
        <v>32137</v>
      </c>
      <c r="B20630" s="2" t="s">
        <v>31636</v>
      </c>
      <c r="C20630" s="1" t="s">
        <v>5686</v>
      </c>
      <c r="D20630" s="1" t="s">
        <v>5687</v>
      </c>
    </row>
    <row r="20631">
      <c r="A20631" s="1" t="s">
        <v>32138</v>
      </c>
      <c r="B20631" s="2" t="s">
        <v>31638</v>
      </c>
      <c r="C20631" s="1" t="s">
        <v>5686</v>
      </c>
      <c r="D20631" s="1" t="s">
        <v>5687</v>
      </c>
    </row>
    <row r="20632">
      <c r="A20632" s="1" t="s">
        <v>32139</v>
      </c>
      <c r="B20632" s="2" t="s">
        <v>31640</v>
      </c>
      <c r="C20632" s="1" t="s">
        <v>5686</v>
      </c>
      <c r="D20632" s="1" t="s">
        <v>5687</v>
      </c>
    </row>
    <row r="20633">
      <c r="A20633" s="1" t="s">
        <v>32140</v>
      </c>
      <c r="B20633" s="2" t="s">
        <v>31642</v>
      </c>
      <c r="C20633" s="1" t="s">
        <v>5686</v>
      </c>
      <c r="D20633" s="1" t="s">
        <v>5687</v>
      </c>
    </row>
    <row r="20634">
      <c r="A20634" s="1" t="s">
        <v>32141</v>
      </c>
      <c r="B20634" s="2" t="s">
        <v>31644</v>
      </c>
      <c r="C20634" s="1" t="s">
        <v>5686</v>
      </c>
      <c r="D20634" s="1" t="s">
        <v>5687</v>
      </c>
    </row>
    <row r="20635">
      <c r="A20635" s="1" t="s">
        <v>32142</v>
      </c>
      <c r="B20635" s="2" t="s">
        <v>31646</v>
      </c>
      <c r="C20635" s="1" t="s">
        <v>5686</v>
      </c>
      <c r="D20635" s="1" t="s">
        <v>5687</v>
      </c>
    </row>
    <row r="20636">
      <c r="A20636" s="1" t="s">
        <v>32143</v>
      </c>
      <c r="B20636" s="2" t="s">
        <v>31648</v>
      </c>
      <c r="C20636" s="1" t="s">
        <v>5686</v>
      </c>
      <c r="D20636" s="1" t="s">
        <v>5687</v>
      </c>
    </row>
    <row r="20637">
      <c r="A20637" s="1" t="s">
        <v>32144</v>
      </c>
      <c r="B20637" s="2" t="s">
        <v>31650</v>
      </c>
      <c r="C20637" s="1" t="s">
        <v>5686</v>
      </c>
      <c r="D20637" s="1" t="s">
        <v>5687</v>
      </c>
    </row>
    <row r="20638">
      <c r="A20638" s="1" t="s">
        <v>32145</v>
      </c>
      <c r="B20638" s="2" t="s">
        <v>31652</v>
      </c>
      <c r="C20638" s="1" t="s">
        <v>5686</v>
      </c>
      <c r="D20638" s="1" t="s">
        <v>5687</v>
      </c>
    </row>
    <row r="20639">
      <c r="A20639" s="1" t="s">
        <v>32146</v>
      </c>
      <c r="B20639" s="2" t="s">
        <v>31654</v>
      </c>
      <c r="C20639" s="1" t="s">
        <v>5686</v>
      </c>
      <c r="D20639" s="1" t="s">
        <v>5687</v>
      </c>
    </row>
    <row r="20640">
      <c r="A20640" s="1" t="s">
        <v>32147</v>
      </c>
      <c r="B20640" s="2" t="s">
        <v>31656</v>
      </c>
      <c r="C20640" s="1" t="s">
        <v>5686</v>
      </c>
      <c r="D20640" s="1" t="s">
        <v>5687</v>
      </c>
    </row>
    <row r="20641">
      <c r="A20641" s="1" t="s">
        <v>32148</v>
      </c>
      <c r="B20641" s="2" t="s">
        <v>31658</v>
      </c>
      <c r="C20641" s="1" t="s">
        <v>5686</v>
      </c>
      <c r="D20641" s="1" t="s">
        <v>5687</v>
      </c>
    </row>
    <row r="20642">
      <c r="A20642" s="1" t="s">
        <v>32149</v>
      </c>
      <c r="B20642" s="2" t="s">
        <v>31660</v>
      </c>
      <c r="C20642" s="1" t="s">
        <v>5686</v>
      </c>
      <c r="D20642" s="1" t="s">
        <v>5687</v>
      </c>
    </row>
    <row r="20643">
      <c r="A20643" s="1" t="s">
        <v>32150</v>
      </c>
      <c r="B20643" s="2" t="s">
        <v>31662</v>
      </c>
      <c r="C20643" s="1" t="s">
        <v>5686</v>
      </c>
      <c r="D20643" s="1" t="s">
        <v>5687</v>
      </c>
    </row>
    <row r="20644">
      <c r="A20644" s="1" t="s">
        <v>32151</v>
      </c>
      <c r="B20644" s="2" t="s">
        <v>31664</v>
      </c>
      <c r="C20644" s="1" t="s">
        <v>5686</v>
      </c>
      <c r="D20644" s="1" t="s">
        <v>5687</v>
      </c>
    </row>
    <row r="20645">
      <c r="A20645" s="1" t="s">
        <v>32152</v>
      </c>
      <c r="B20645" s="2" t="s">
        <v>31666</v>
      </c>
      <c r="C20645" s="1" t="s">
        <v>5686</v>
      </c>
      <c r="D20645" s="1" t="s">
        <v>5687</v>
      </c>
    </row>
    <row r="20646">
      <c r="A20646" s="1" t="s">
        <v>32153</v>
      </c>
      <c r="B20646" s="2" t="s">
        <v>31668</v>
      </c>
      <c r="C20646" s="1" t="s">
        <v>5686</v>
      </c>
      <c r="D20646" s="1" t="s">
        <v>5687</v>
      </c>
    </row>
    <row r="20647">
      <c r="A20647" s="1" t="s">
        <v>32154</v>
      </c>
      <c r="B20647" s="2" t="s">
        <v>31670</v>
      </c>
      <c r="C20647" s="1" t="s">
        <v>5686</v>
      </c>
      <c r="D20647" s="1" t="s">
        <v>5687</v>
      </c>
    </row>
    <row r="20648">
      <c r="A20648" s="1" t="s">
        <v>32155</v>
      </c>
      <c r="B20648" s="2" t="s">
        <v>31672</v>
      </c>
      <c r="C20648" s="1" t="s">
        <v>5686</v>
      </c>
      <c r="D20648" s="1" t="s">
        <v>5687</v>
      </c>
    </row>
    <row r="20649">
      <c r="A20649" s="1" t="s">
        <v>32156</v>
      </c>
      <c r="B20649" s="2" t="s">
        <v>31674</v>
      </c>
      <c r="C20649" s="1" t="s">
        <v>5686</v>
      </c>
      <c r="D20649" s="1" t="s">
        <v>5687</v>
      </c>
    </row>
    <row r="20650">
      <c r="A20650" s="1" t="s">
        <v>32157</v>
      </c>
      <c r="B20650" s="2" t="s">
        <v>31676</v>
      </c>
      <c r="C20650" s="1" t="s">
        <v>5686</v>
      </c>
      <c r="D20650" s="1" t="s">
        <v>5687</v>
      </c>
    </row>
    <row r="20651">
      <c r="A20651" s="1" t="s">
        <v>32158</v>
      </c>
      <c r="B20651" s="2" t="s">
        <v>31678</v>
      </c>
      <c r="C20651" s="1" t="s">
        <v>5686</v>
      </c>
      <c r="D20651" s="1" t="s">
        <v>5687</v>
      </c>
    </row>
    <row r="20652">
      <c r="A20652" s="1" t="s">
        <v>32159</v>
      </c>
      <c r="B20652" s="2" t="s">
        <v>31680</v>
      </c>
      <c r="C20652" s="1" t="s">
        <v>5686</v>
      </c>
      <c r="D20652" s="1" t="s">
        <v>5687</v>
      </c>
    </row>
    <row r="20653">
      <c r="A20653" s="1" t="s">
        <v>32160</v>
      </c>
      <c r="B20653" s="2" t="s">
        <v>31682</v>
      </c>
      <c r="C20653" s="1" t="s">
        <v>5686</v>
      </c>
      <c r="D20653" s="1" t="s">
        <v>5687</v>
      </c>
    </row>
    <row r="20654">
      <c r="A20654" s="1" t="s">
        <v>32161</v>
      </c>
      <c r="B20654" s="2" t="s">
        <v>31684</v>
      </c>
      <c r="C20654" s="1" t="s">
        <v>5686</v>
      </c>
      <c r="D20654" s="1" t="s">
        <v>5687</v>
      </c>
    </row>
    <row r="20655">
      <c r="A20655" s="1" t="s">
        <v>32162</v>
      </c>
      <c r="B20655" s="2" t="s">
        <v>31686</v>
      </c>
      <c r="C20655" s="1" t="s">
        <v>5686</v>
      </c>
      <c r="D20655" s="1" t="s">
        <v>5687</v>
      </c>
    </row>
    <row r="20656">
      <c r="A20656" s="1" t="s">
        <v>32163</v>
      </c>
      <c r="B20656" s="2" t="s">
        <v>31688</v>
      </c>
      <c r="C20656" s="1" t="s">
        <v>5686</v>
      </c>
      <c r="D20656" s="1" t="s">
        <v>5687</v>
      </c>
    </row>
    <row r="20657">
      <c r="A20657" s="1" t="s">
        <v>32164</v>
      </c>
      <c r="B20657" s="2" t="s">
        <v>31690</v>
      </c>
      <c r="C20657" s="1" t="s">
        <v>5686</v>
      </c>
      <c r="D20657" s="1" t="s">
        <v>5687</v>
      </c>
    </row>
    <row r="20658">
      <c r="A20658" s="1" t="s">
        <v>32165</v>
      </c>
      <c r="B20658" s="2" t="s">
        <v>31692</v>
      </c>
      <c r="C20658" s="1" t="s">
        <v>5686</v>
      </c>
      <c r="D20658" s="1" t="s">
        <v>5687</v>
      </c>
    </row>
    <row r="20659">
      <c r="A20659" s="1" t="s">
        <v>32166</v>
      </c>
      <c r="B20659" s="2" t="s">
        <v>31694</v>
      </c>
      <c r="C20659" s="1" t="s">
        <v>5686</v>
      </c>
      <c r="D20659" s="1" t="s">
        <v>5687</v>
      </c>
    </row>
    <row r="20660">
      <c r="A20660" s="1" t="s">
        <v>32167</v>
      </c>
      <c r="B20660" s="2" t="s">
        <v>31696</v>
      </c>
      <c r="C20660" s="1" t="s">
        <v>5686</v>
      </c>
      <c r="D20660" s="1" t="s">
        <v>5687</v>
      </c>
    </row>
    <row r="20661">
      <c r="A20661" s="1" t="s">
        <v>32168</v>
      </c>
      <c r="B20661" s="2" t="s">
        <v>31698</v>
      </c>
      <c r="C20661" s="1" t="s">
        <v>5686</v>
      </c>
      <c r="D20661" s="1" t="s">
        <v>5687</v>
      </c>
    </row>
    <row r="20662">
      <c r="A20662" s="1" t="s">
        <v>32169</v>
      </c>
      <c r="B20662" s="2" t="s">
        <v>31700</v>
      </c>
      <c r="C20662" s="1" t="s">
        <v>5686</v>
      </c>
      <c r="D20662" s="1" t="s">
        <v>5687</v>
      </c>
    </row>
    <row r="20663">
      <c r="A20663" s="1" t="s">
        <v>32170</v>
      </c>
      <c r="B20663" s="2" t="s">
        <v>31702</v>
      </c>
      <c r="C20663" s="1" t="s">
        <v>5686</v>
      </c>
      <c r="D20663" s="1" t="s">
        <v>5687</v>
      </c>
    </row>
    <row r="20664">
      <c r="A20664" s="1" t="s">
        <v>32171</v>
      </c>
      <c r="B20664" s="2" t="s">
        <v>31704</v>
      </c>
      <c r="C20664" s="1" t="s">
        <v>5686</v>
      </c>
      <c r="D20664" s="1" t="s">
        <v>5687</v>
      </c>
    </row>
    <row r="20665">
      <c r="A20665" s="1" t="s">
        <v>32172</v>
      </c>
      <c r="B20665" s="2" t="s">
        <v>31706</v>
      </c>
      <c r="C20665" s="1" t="s">
        <v>5686</v>
      </c>
      <c r="D20665" s="1" t="s">
        <v>5687</v>
      </c>
    </row>
    <row r="20666">
      <c r="A20666" s="1" t="s">
        <v>32173</v>
      </c>
      <c r="B20666" s="2" t="s">
        <v>31708</v>
      </c>
      <c r="C20666" s="1" t="s">
        <v>5686</v>
      </c>
      <c r="D20666" s="1" t="s">
        <v>5687</v>
      </c>
    </row>
    <row r="20667">
      <c r="A20667" s="1" t="s">
        <v>32174</v>
      </c>
      <c r="B20667" s="2" t="s">
        <v>31710</v>
      </c>
      <c r="C20667" s="1" t="s">
        <v>5686</v>
      </c>
      <c r="D20667" s="1" t="s">
        <v>5687</v>
      </c>
    </row>
    <row r="20668">
      <c r="A20668" s="1" t="s">
        <v>32175</v>
      </c>
      <c r="B20668" s="2" t="s">
        <v>31712</v>
      </c>
      <c r="C20668" s="1" t="s">
        <v>5686</v>
      </c>
      <c r="D20668" s="1" t="s">
        <v>5687</v>
      </c>
    </row>
    <row r="20669">
      <c r="A20669" s="1" t="s">
        <v>32176</v>
      </c>
      <c r="B20669" s="2" t="s">
        <v>31714</v>
      </c>
      <c r="C20669" s="1" t="s">
        <v>5686</v>
      </c>
      <c r="D20669" s="1" t="s">
        <v>5687</v>
      </c>
    </row>
    <row r="20670">
      <c r="A20670" s="1" t="s">
        <v>32177</v>
      </c>
      <c r="B20670" s="2" t="s">
        <v>31716</v>
      </c>
      <c r="C20670" s="1" t="s">
        <v>5686</v>
      </c>
      <c r="D20670" s="1" t="s">
        <v>5687</v>
      </c>
    </row>
    <row r="20671">
      <c r="A20671" s="1" t="s">
        <v>32178</v>
      </c>
      <c r="B20671" s="2" t="s">
        <v>31718</v>
      </c>
      <c r="C20671" s="1" t="s">
        <v>5686</v>
      </c>
      <c r="D20671" s="1" t="s">
        <v>5687</v>
      </c>
    </row>
    <row r="20672">
      <c r="A20672" s="1" t="s">
        <v>32179</v>
      </c>
      <c r="B20672" s="2" t="s">
        <v>31720</v>
      </c>
      <c r="C20672" s="1" t="s">
        <v>5686</v>
      </c>
      <c r="D20672" s="1" t="s">
        <v>5687</v>
      </c>
    </row>
    <row r="20673">
      <c r="A20673" s="1" t="s">
        <v>32180</v>
      </c>
      <c r="B20673" s="2" t="s">
        <v>31722</v>
      </c>
      <c r="C20673" s="1" t="s">
        <v>5686</v>
      </c>
      <c r="D20673" s="1" t="s">
        <v>5687</v>
      </c>
    </row>
    <row r="20674">
      <c r="A20674" s="1" t="s">
        <v>32181</v>
      </c>
      <c r="B20674" s="2" t="s">
        <v>31724</v>
      </c>
      <c r="C20674" s="1" t="s">
        <v>5686</v>
      </c>
      <c r="D20674" s="1" t="s">
        <v>5687</v>
      </c>
    </row>
    <row r="20675">
      <c r="A20675" s="1" t="s">
        <v>32182</v>
      </c>
      <c r="B20675" s="2" t="s">
        <v>31726</v>
      </c>
      <c r="C20675" s="1" t="s">
        <v>5686</v>
      </c>
      <c r="D20675" s="1" t="s">
        <v>5687</v>
      </c>
    </row>
    <row r="20676">
      <c r="A20676" s="1" t="s">
        <v>32183</v>
      </c>
      <c r="B20676" s="2" t="s">
        <v>31728</v>
      </c>
      <c r="C20676" s="1" t="s">
        <v>5686</v>
      </c>
      <c r="D20676" s="1" t="s">
        <v>5687</v>
      </c>
    </row>
    <row r="20677">
      <c r="A20677" s="1" t="s">
        <v>32184</v>
      </c>
      <c r="B20677" s="2" t="s">
        <v>31730</v>
      </c>
      <c r="C20677" s="1" t="s">
        <v>5686</v>
      </c>
      <c r="D20677" s="1" t="s">
        <v>5687</v>
      </c>
    </row>
    <row r="20678">
      <c r="A20678" s="1" t="s">
        <v>32185</v>
      </c>
      <c r="B20678" s="2" t="s">
        <v>31732</v>
      </c>
      <c r="C20678" s="1" t="s">
        <v>5686</v>
      </c>
      <c r="D20678" s="1" t="s">
        <v>5687</v>
      </c>
    </row>
    <row r="20679">
      <c r="A20679" s="1" t="s">
        <v>32186</v>
      </c>
      <c r="B20679" s="2" t="s">
        <v>31734</v>
      </c>
      <c r="C20679" s="1" t="s">
        <v>5686</v>
      </c>
      <c r="D20679" s="1" t="s">
        <v>5687</v>
      </c>
    </row>
    <row r="20680">
      <c r="A20680" s="1" t="s">
        <v>32187</v>
      </c>
      <c r="B20680" s="2" t="s">
        <v>31736</v>
      </c>
      <c r="C20680" s="1" t="s">
        <v>5686</v>
      </c>
      <c r="D20680" s="1" t="s">
        <v>5687</v>
      </c>
    </row>
    <row r="20681">
      <c r="A20681" s="1" t="s">
        <v>32188</v>
      </c>
      <c r="B20681" s="2" t="s">
        <v>31738</v>
      </c>
      <c r="C20681" s="1" t="s">
        <v>5686</v>
      </c>
      <c r="D20681" s="1" t="s">
        <v>5687</v>
      </c>
    </row>
    <row r="20682">
      <c r="A20682" s="1" t="s">
        <v>32189</v>
      </c>
      <c r="B20682" s="2" t="s">
        <v>31740</v>
      </c>
      <c r="C20682" s="1" t="s">
        <v>5686</v>
      </c>
      <c r="D20682" s="1" t="s">
        <v>5687</v>
      </c>
    </row>
    <row r="20683">
      <c r="A20683" s="1" t="s">
        <v>32190</v>
      </c>
      <c r="B20683" s="2" t="s">
        <v>31742</v>
      </c>
      <c r="C20683" s="1" t="s">
        <v>5686</v>
      </c>
      <c r="D20683" s="1" t="s">
        <v>5687</v>
      </c>
    </row>
    <row r="20684">
      <c r="A20684" s="1" t="s">
        <v>32191</v>
      </c>
      <c r="B20684" s="2" t="s">
        <v>31744</v>
      </c>
      <c r="C20684" s="1" t="s">
        <v>5686</v>
      </c>
      <c r="D20684" s="1" t="s">
        <v>5687</v>
      </c>
    </row>
    <row r="20685">
      <c r="A20685" s="1" t="s">
        <v>32192</v>
      </c>
      <c r="B20685" s="2" t="s">
        <v>31746</v>
      </c>
      <c r="C20685" s="1" t="s">
        <v>5686</v>
      </c>
      <c r="D20685" s="1" t="s">
        <v>5687</v>
      </c>
    </row>
    <row r="20686">
      <c r="A20686" s="1" t="s">
        <v>32193</v>
      </c>
      <c r="B20686" s="2" t="s">
        <v>31748</v>
      </c>
      <c r="C20686" s="1" t="s">
        <v>5686</v>
      </c>
      <c r="D20686" s="1" t="s">
        <v>5687</v>
      </c>
    </row>
    <row r="20687">
      <c r="A20687" s="1" t="s">
        <v>32194</v>
      </c>
      <c r="B20687" s="2" t="s">
        <v>31750</v>
      </c>
      <c r="C20687" s="1" t="s">
        <v>5686</v>
      </c>
      <c r="D20687" s="1" t="s">
        <v>5687</v>
      </c>
    </row>
    <row r="20688">
      <c r="A20688" s="1" t="s">
        <v>32195</v>
      </c>
      <c r="B20688" s="2" t="s">
        <v>31752</v>
      </c>
      <c r="C20688" s="1" t="s">
        <v>5686</v>
      </c>
      <c r="D20688" s="1" t="s">
        <v>5687</v>
      </c>
    </row>
    <row r="20689">
      <c r="A20689" s="1" t="s">
        <v>32196</v>
      </c>
      <c r="B20689" s="2" t="s">
        <v>31754</v>
      </c>
      <c r="C20689" s="1" t="s">
        <v>5686</v>
      </c>
      <c r="D20689" s="1" t="s">
        <v>5687</v>
      </c>
    </row>
    <row r="20690">
      <c r="A20690" s="1" t="s">
        <v>32197</v>
      </c>
      <c r="B20690" s="2" t="s">
        <v>31756</v>
      </c>
      <c r="C20690" s="1" t="s">
        <v>5686</v>
      </c>
      <c r="D20690" s="1" t="s">
        <v>5687</v>
      </c>
    </row>
    <row r="20691">
      <c r="A20691" s="1" t="s">
        <v>32198</v>
      </c>
      <c r="B20691" s="2" t="s">
        <v>31758</v>
      </c>
      <c r="C20691" s="1" t="s">
        <v>5686</v>
      </c>
      <c r="D20691" s="1" t="s">
        <v>5687</v>
      </c>
    </row>
    <row r="20692">
      <c r="A20692" s="1" t="s">
        <v>32199</v>
      </c>
      <c r="B20692" s="2" t="s">
        <v>31760</v>
      </c>
      <c r="C20692" s="1" t="s">
        <v>5686</v>
      </c>
      <c r="D20692" s="1" t="s">
        <v>5687</v>
      </c>
    </row>
    <row r="20693">
      <c r="A20693" s="1" t="s">
        <v>32200</v>
      </c>
      <c r="B20693" s="2" t="s">
        <v>31762</v>
      </c>
      <c r="C20693" s="1" t="s">
        <v>5686</v>
      </c>
      <c r="D20693" s="1" t="s">
        <v>5687</v>
      </c>
    </row>
    <row r="20694">
      <c r="A20694" s="1" t="s">
        <v>32201</v>
      </c>
      <c r="B20694" s="2" t="s">
        <v>31764</v>
      </c>
      <c r="C20694" s="1" t="s">
        <v>5686</v>
      </c>
      <c r="D20694" s="1" t="s">
        <v>5687</v>
      </c>
    </row>
    <row r="20695">
      <c r="A20695" s="1" t="s">
        <v>32202</v>
      </c>
      <c r="B20695" s="2" t="s">
        <v>31766</v>
      </c>
      <c r="C20695" s="1" t="s">
        <v>5686</v>
      </c>
      <c r="D20695" s="1" t="s">
        <v>5687</v>
      </c>
    </row>
    <row r="20696">
      <c r="A20696" s="1" t="s">
        <v>32203</v>
      </c>
      <c r="B20696" s="2" t="s">
        <v>31768</v>
      </c>
      <c r="C20696" s="1" t="s">
        <v>5686</v>
      </c>
      <c r="D20696" s="1" t="s">
        <v>5687</v>
      </c>
    </row>
    <row r="20697">
      <c r="A20697" s="1" t="s">
        <v>32204</v>
      </c>
      <c r="B20697" s="2" t="s">
        <v>31770</v>
      </c>
      <c r="C20697" s="1" t="s">
        <v>5686</v>
      </c>
      <c r="D20697" s="1" t="s">
        <v>5687</v>
      </c>
    </row>
    <row r="20698">
      <c r="A20698" s="1" t="s">
        <v>32205</v>
      </c>
      <c r="B20698" s="2" t="s">
        <v>31772</v>
      </c>
      <c r="C20698" s="1" t="s">
        <v>5686</v>
      </c>
      <c r="D20698" s="1" t="s">
        <v>5687</v>
      </c>
    </row>
    <row r="20699">
      <c r="A20699" s="1" t="s">
        <v>32206</v>
      </c>
      <c r="B20699" s="2" t="s">
        <v>31774</v>
      </c>
      <c r="C20699" s="1" t="s">
        <v>5686</v>
      </c>
      <c r="D20699" s="1" t="s">
        <v>5687</v>
      </c>
    </row>
    <row r="20700">
      <c r="A20700" s="1" t="s">
        <v>32207</v>
      </c>
      <c r="B20700" s="2" t="s">
        <v>31776</v>
      </c>
      <c r="C20700" s="1" t="s">
        <v>5686</v>
      </c>
      <c r="D20700" s="1" t="s">
        <v>5687</v>
      </c>
    </row>
    <row r="20701">
      <c r="A20701" s="1" t="s">
        <v>32208</v>
      </c>
      <c r="B20701" s="2" t="s">
        <v>31778</v>
      </c>
      <c r="C20701" s="1" t="s">
        <v>5686</v>
      </c>
      <c r="D20701" s="1" t="s">
        <v>5687</v>
      </c>
    </row>
    <row r="20702">
      <c r="A20702" s="1" t="s">
        <v>32209</v>
      </c>
      <c r="B20702" s="2" t="s">
        <v>31780</v>
      </c>
      <c r="C20702" s="1" t="s">
        <v>5686</v>
      </c>
      <c r="D20702" s="1" t="s">
        <v>5687</v>
      </c>
    </row>
    <row r="20703">
      <c r="A20703" s="1" t="s">
        <v>32210</v>
      </c>
      <c r="B20703" s="2" t="s">
        <v>31782</v>
      </c>
      <c r="C20703" s="1" t="s">
        <v>5686</v>
      </c>
      <c r="D20703" s="1" t="s">
        <v>5687</v>
      </c>
    </row>
    <row r="20704">
      <c r="A20704" s="1" t="s">
        <v>32211</v>
      </c>
      <c r="B20704" s="2" t="s">
        <v>31784</v>
      </c>
      <c r="C20704" s="1" t="s">
        <v>5686</v>
      </c>
      <c r="D20704" s="1" t="s">
        <v>5687</v>
      </c>
    </row>
    <row r="20705">
      <c r="A20705" s="1" t="s">
        <v>32212</v>
      </c>
      <c r="B20705" s="2" t="s">
        <v>31786</v>
      </c>
      <c r="C20705" s="1" t="s">
        <v>5686</v>
      </c>
      <c r="D20705" s="1" t="s">
        <v>5687</v>
      </c>
    </row>
    <row r="20706">
      <c r="A20706" s="1" t="s">
        <v>32213</v>
      </c>
      <c r="B20706" s="2" t="s">
        <v>31788</v>
      </c>
      <c r="C20706" s="1" t="s">
        <v>5686</v>
      </c>
      <c r="D20706" s="1" t="s">
        <v>5687</v>
      </c>
    </row>
    <row r="20707">
      <c r="A20707" s="1" t="s">
        <v>32214</v>
      </c>
      <c r="B20707" s="2" t="s">
        <v>31790</v>
      </c>
      <c r="C20707" s="1" t="s">
        <v>5686</v>
      </c>
      <c r="D20707" s="1" t="s">
        <v>5687</v>
      </c>
    </row>
    <row r="20708">
      <c r="A20708" s="1" t="s">
        <v>32215</v>
      </c>
      <c r="B20708" s="2" t="s">
        <v>31792</v>
      </c>
      <c r="C20708" s="1" t="s">
        <v>5686</v>
      </c>
      <c r="D20708" s="1" t="s">
        <v>5687</v>
      </c>
    </row>
    <row r="20709">
      <c r="A20709" s="1" t="s">
        <v>32216</v>
      </c>
      <c r="B20709" s="2" t="s">
        <v>31794</v>
      </c>
      <c r="C20709" s="1" t="s">
        <v>5686</v>
      </c>
      <c r="D20709" s="1" t="s">
        <v>5687</v>
      </c>
    </row>
    <row r="20710">
      <c r="A20710" s="1" t="s">
        <v>32217</v>
      </c>
      <c r="B20710" s="2" t="s">
        <v>31796</v>
      </c>
      <c r="C20710" s="1" t="s">
        <v>5686</v>
      </c>
      <c r="D20710" s="1" t="s">
        <v>5687</v>
      </c>
    </row>
    <row r="20711">
      <c r="A20711" s="1" t="s">
        <v>32218</v>
      </c>
      <c r="B20711" s="2" t="s">
        <v>31798</v>
      </c>
      <c r="C20711" s="1" t="s">
        <v>5686</v>
      </c>
      <c r="D20711" s="1" t="s">
        <v>5687</v>
      </c>
    </row>
    <row r="20712">
      <c r="A20712" s="1" t="s">
        <v>32219</v>
      </c>
      <c r="B20712" s="2" t="s">
        <v>31800</v>
      </c>
      <c r="C20712" s="1" t="s">
        <v>5686</v>
      </c>
      <c r="D20712" s="1" t="s">
        <v>5687</v>
      </c>
    </row>
    <row r="20713">
      <c r="A20713" s="1" t="s">
        <v>32220</v>
      </c>
      <c r="B20713" s="2" t="s">
        <v>31802</v>
      </c>
      <c r="C20713" s="1" t="s">
        <v>5686</v>
      </c>
      <c r="D20713" s="1" t="s">
        <v>5687</v>
      </c>
    </row>
    <row r="20714">
      <c r="A20714" s="1" t="s">
        <v>32221</v>
      </c>
      <c r="B20714" s="2" t="s">
        <v>31804</v>
      </c>
      <c r="C20714" s="1" t="s">
        <v>5686</v>
      </c>
      <c r="D20714" s="1" t="s">
        <v>5687</v>
      </c>
    </row>
    <row r="20715">
      <c r="A20715" s="1" t="s">
        <v>32222</v>
      </c>
      <c r="B20715" s="2" t="s">
        <v>31806</v>
      </c>
      <c r="C20715" s="1" t="s">
        <v>5686</v>
      </c>
      <c r="D20715" s="1" t="s">
        <v>5687</v>
      </c>
    </row>
    <row r="20716">
      <c r="A20716" s="1" t="s">
        <v>32223</v>
      </c>
      <c r="B20716" s="2" t="s">
        <v>31808</v>
      </c>
      <c r="C20716" s="1" t="s">
        <v>5686</v>
      </c>
      <c r="D20716" s="1" t="s">
        <v>5687</v>
      </c>
    </row>
    <row r="20717">
      <c r="A20717" s="1" t="s">
        <v>32224</v>
      </c>
      <c r="B20717" s="2" t="s">
        <v>31810</v>
      </c>
      <c r="C20717" s="1" t="s">
        <v>5686</v>
      </c>
      <c r="D20717" s="1" t="s">
        <v>5687</v>
      </c>
    </row>
    <row r="20718">
      <c r="A20718" s="1" t="s">
        <v>32225</v>
      </c>
      <c r="B20718" s="2" t="s">
        <v>31812</v>
      </c>
      <c r="C20718" s="1" t="s">
        <v>5686</v>
      </c>
      <c r="D20718" s="1" t="s">
        <v>5687</v>
      </c>
    </row>
    <row r="20719">
      <c r="A20719" s="1" t="s">
        <v>32226</v>
      </c>
      <c r="B20719" s="2" t="s">
        <v>31814</v>
      </c>
      <c r="C20719" s="1" t="s">
        <v>5686</v>
      </c>
      <c r="D20719" s="1" t="s">
        <v>5687</v>
      </c>
    </row>
    <row r="20720">
      <c r="A20720" s="1" t="s">
        <v>32227</v>
      </c>
      <c r="B20720" s="2" t="s">
        <v>31816</v>
      </c>
      <c r="C20720" s="1" t="s">
        <v>5686</v>
      </c>
      <c r="D20720" s="1" t="s">
        <v>5687</v>
      </c>
    </row>
    <row r="20721">
      <c r="A20721" s="1" t="s">
        <v>32228</v>
      </c>
      <c r="B20721" s="2" t="s">
        <v>31818</v>
      </c>
      <c r="C20721" s="1" t="s">
        <v>5686</v>
      </c>
      <c r="D20721" s="1" t="s">
        <v>5687</v>
      </c>
    </row>
    <row r="20722">
      <c r="A20722" s="1" t="s">
        <v>32229</v>
      </c>
      <c r="B20722" s="2" t="s">
        <v>31820</v>
      </c>
      <c r="C20722" s="1" t="s">
        <v>5686</v>
      </c>
      <c r="D20722" s="1" t="s">
        <v>5687</v>
      </c>
    </row>
    <row r="20723">
      <c r="A20723" s="1" t="s">
        <v>32230</v>
      </c>
      <c r="B20723" s="2" t="s">
        <v>31822</v>
      </c>
      <c r="C20723" s="1" t="s">
        <v>5686</v>
      </c>
      <c r="D20723" s="1" t="s">
        <v>5687</v>
      </c>
    </row>
    <row r="20724">
      <c r="A20724" s="1" t="s">
        <v>32231</v>
      </c>
      <c r="B20724" s="2" t="s">
        <v>31824</v>
      </c>
      <c r="C20724" s="1" t="s">
        <v>5686</v>
      </c>
      <c r="D20724" s="1" t="s">
        <v>5687</v>
      </c>
    </row>
    <row r="20725">
      <c r="A20725" s="1" t="s">
        <v>32232</v>
      </c>
      <c r="B20725" s="2" t="s">
        <v>31826</v>
      </c>
      <c r="C20725" s="1" t="s">
        <v>5686</v>
      </c>
      <c r="D20725" s="1" t="s">
        <v>5687</v>
      </c>
    </row>
    <row r="20726">
      <c r="A20726" s="1" t="s">
        <v>32233</v>
      </c>
      <c r="B20726" s="2" t="s">
        <v>31828</v>
      </c>
      <c r="C20726" s="1" t="s">
        <v>5686</v>
      </c>
      <c r="D20726" s="1" t="s">
        <v>5687</v>
      </c>
    </row>
    <row r="20727">
      <c r="A20727" s="1" t="s">
        <v>32234</v>
      </c>
      <c r="B20727" s="2" t="s">
        <v>31830</v>
      </c>
      <c r="C20727" s="1" t="s">
        <v>5686</v>
      </c>
      <c r="D20727" s="1" t="s">
        <v>5687</v>
      </c>
    </row>
    <row r="20728">
      <c r="A20728" s="1" t="s">
        <v>32235</v>
      </c>
      <c r="B20728" s="2" t="s">
        <v>31832</v>
      </c>
      <c r="C20728" s="1" t="s">
        <v>5686</v>
      </c>
      <c r="D20728" s="1" t="s">
        <v>5687</v>
      </c>
    </row>
    <row r="20729">
      <c r="A20729" s="1" t="s">
        <v>32236</v>
      </c>
      <c r="B20729" s="2" t="s">
        <v>31834</v>
      </c>
      <c r="C20729" s="1" t="s">
        <v>5686</v>
      </c>
      <c r="D20729" s="1" t="s">
        <v>5687</v>
      </c>
    </row>
    <row r="20730">
      <c r="A20730" s="1" t="s">
        <v>32237</v>
      </c>
      <c r="B20730" s="2" t="s">
        <v>31836</v>
      </c>
      <c r="C20730" s="1" t="s">
        <v>5686</v>
      </c>
      <c r="D20730" s="1" t="s">
        <v>5687</v>
      </c>
    </row>
    <row r="20731">
      <c r="A20731" s="1" t="s">
        <v>32238</v>
      </c>
      <c r="B20731" s="2" t="s">
        <v>31838</v>
      </c>
      <c r="C20731" s="1" t="s">
        <v>5686</v>
      </c>
      <c r="D20731" s="1" t="s">
        <v>5687</v>
      </c>
    </row>
    <row r="20732">
      <c r="A20732" s="1" t="s">
        <v>32239</v>
      </c>
      <c r="B20732" s="2" t="s">
        <v>31840</v>
      </c>
      <c r="C20732" s="1" t="s">
        <v>5686</v>
      </c>
      <c r="D20732" s="1" t="s">
        <v>5687</v>
      </c>
    </row>
    <row r="20733">
      <c r="A20733" s="1" t="s">
        <v>32240</v>
      </c>
      <c r="B20733" s="2" t="s">
        <v>31842</v>
      </c>
      <c r="C20733" s="1" t="s">
        <v>5686</v>
      </c>
      <c r="D20733" s="1" t="s">
        <v>5687</v>
      </c>
    </row>
    <row r="20734">
      <c r="A20734" s="1" t="s">
        <v>32241</v>
      </c>
      <c r="B20734" s="2" t="s">
        <v>31844</v>
      </c>
      <c r="C20734" s="1" t="s">
        <v>5686</v>
      </c>
      <c r="D20734" s="1" t="s">
        <v>5687</v>
      </c>
    </row>
    <row r="20735">
      <c r="A20735" s="1" t="s">
        <v>32242</v>
      </c>
      <c r="B20735" s="2" t="s">
        <v>31846</v>
      </c>
      <c r="C20735" s="1" t="s">
        <v>5686</v>
      </c>
      <c r="D20735" s="1" t="s">
        <v>5687</v>
      </c>
    </row>
    <row r="20736">
      <c r="A20736" s="1" t="s">
        <v>32243</v>
      </c>
      <c r="B20736" s="2" t="s">
        <v>31848</v>
      </c>
      <c r="C20736" s="1" t="s">
        <v>5686</v>
      </c>
      <c r="D20736" s="1" t="s">
        <v>5687</v>
      </c>
    </row>
    <row r="20737">
      <c r="A20737" s="1" t="s">
        <v>32244</v>
      </c>
      <c r="B20737" s="2" t="s">
        <v>31850</v>
      </c>
      <c r="C20737" s="1" t="s">
        <v>5686</v>
      </c>
      <c r="D20737" s="1" t="s">
        <v>5687</v>
      </c>
    </row>
    <row r="20738">
      <c r="A20738" s="1" t="s">
        <v>32245</v>
      </c>
      <c r="B20738" s="2" t="s">
        <v>31852</v>
      </c>
      <c r="C20738" s="1" t="s">
        <v>5686</v>
      </c>
      <c r="D20738" s="1" t="s">
        <v>5687</v>
      </c>
    </row>
    <row r="20739">
      <c r="A20739" s="1" t="s">
        <v>32246</v>
      </c>
      <c r="B20739" s="2" t="s">
        <v>31854</v>
      </c>
      <c r="C20739" s="1" t="s">
        <v>5686</v>
      </c>
      <c r="D20739" s="1" t="s">
        <v>5687</v>
      </c>
    </row>
    <row r="20740">
      <c r="A20740" s="1" t="s">
        <v>32247</v>
      </c>
      <c r="B20740" s="2" t="s">
        <v>31856</v>
      </c>
      <c r="C20740" s="1" t="s">
        <v>5686</v>
      </c>
      <c r="D20740" s="1" t="s">
        <v>5687</v>
      </c>
    </row>
    <row r="20741">
      <c r="A20741" s="1" t="s">
        <v>32248</v>
      </c>
      <c r="B20741" s="2" t="s">
        <v>31858</v>
      </c>
      <c r="C20741" s="1" t="s">
        <v>5686</v>
      </c>
      <c r="D20741" s="1" t="s">
        <v>5687</v>
      </c>
    </row>
    <row r="20742">
      <c r="A20742" s="1" t="s">
        <v>32249</v>
      </c>
      <c r="B20742" s="2" t="s">
        <v>31860</v>
      </c>
      <c r="C20742" s="1" t="s">
        <v>5686</v>
      </c>
      <c r="D20742" s="1" t="s">
        <v>5687</v>
      </c>
    </row>
    <row r="20743">
      <c r="A20743" s="1" t="s">
        <v>32250</v>
      </c>
      <c r="B20743" s="2" t="s">
        <v>31862</v>
      </c>
      <c r="C20743" s="1" t="s">
        <v>5686</v>
      </c>
      <c r="D20743" s="1" t="s">
        <v>5687</v>
      </c>
    </row>
    <row r="20744">
      <c r="A20744" s="1" t="s">
        <v>32251</v>
      </c>
      <c r="B20744" s="2" t="s">
        <v>31864</v>
      </c>
      <c r="C20744" s="1" t="s">
        <v>5686</v>
      </c>
      <c r="D20744" s="1" t="s">
        <v>5687</v>
      </c>
    </row>
    <row r="20745">
      <c r="A20745" s="1" t="s">
        <v>32252</v>
      </c>
      <c r="B20745" s="2" t="s">
        <v>31866</v>
      </c>
      <c r="C20745" s="1" t="s">
        <v>5686</v>
      </c>
      <c r="D20745" s="1" t="s">
        <v>5687</v>
      </c>
    </row>
    <row r="20746">
      <c r="A20746" s="1" t="s">
        <v>32253</v>
      </c>
      <c r="B20746" s="2" t="s">
        <v>31868</v>
      </c>
      <c r="C20746" s="1" t="s">
        <v>5686</v>
      </c>
      <c r="D20746" s="1" t="s">
        <v>5687</v>
      </c>
    </row>
    <row r="20747">
      <c r="A20747" s="1" t="s">
        <v>32254</v>
      </c>
      <c r="B20747" s="2" t="s">
        <v>31870</v>
      </c>
      <c r="C20747" s="1" t="s">
        <v>5686</v>
      </c>
      <c r="D20747" s="1" t="s">
        <v>5687</v>
      </c>
    </row>
    <row r="20748">
      <c r="A20748" s="1" t="s">
        <v>32255</v>
      </c>
      <c r="B20748" s="2" t="s">
        <v>31872</v>
      </c>
      <c r="C20748" s="1" t="s">
        <v>5686</v>
      </c>
      <c r="D20748" s="1" t="s">
        <v>5687</v>
      </c>
    </row>
    <row r="20749">
      <c r="A20749" s="1" t="s">
        <v>32256</v>
      </c>
      <c r="B20749" s="2" t="s">
        <v>31874</v>
      </c>
      <c r="C20749" s="1" t="s">
        <v>5686</v>
      </c>
      <c r="D20749" s="1" t="s">
        <v>5687</v>
      </c>
    </row>
    <row r="20750">
      <c r="A20750" s="1" t="s">
        <v>32257</v>
      </c>
      <c r="B20750" s="2" t="s">
        <v>31876</v>
      </c>
      <c r="C20750" s="1" t="s">
        <v>5686</v>
      </c>
      <c r="D20750" s="1" t="s">
        <v>5687</v>
      </c>
    </row>
    <row r="20751">
      <c r="A20751" s="1" t="s">
        <v>32258</v>
      </c>
      <c r="B20751" s="2" t="s">
        <v>31878</v>
      </c>
      <c r="C20751" s="1" t="s">
        <v>5686</v>
      </c>
      <c r="D20751" s="1" t="s">
        <v>5687</v>
      </c>
    </row>
    <row r="20752">
      <c r="A20752" s="1" t="s">
        <v>32259</v>
      </c>
      <c r="B20752" s="2" t="s">
        <v>31880</v>
      </c>
      <c r="C20752" s="1" t="s">
        <v>5686</v>
      </c>
      <c r="D20752" s="1" t="s">
        <v>5687</v>
      </c>
    </row>
    <row r="20753">
      <c r="A20753" s="1" t="s">
        <v>32260</v>
      </c>
      <c r="B20753" s="2" t="s">
        <v>31882</v>
      </c>
      <c r="C20753" s="1" t="s">
        <v>5686</v>
      </c>
      <c r="D20753" s="1" t="s">
        <v>5687</v>
      </c>
    </row>
    <row r="20754">
      <c r="A20754" s="1" t="s">
        <v>32261</v>
      </c>
      <c r="B20754" s="2" t="s">
        <v>31884</v>
      </c>
      <c r="C20754" s="1" t="s">
        <v>5686</v>
      </c>
      <c r="D20754" s="1" t="s">
        <v>5687</v>
      </c>
    </row>
    <row r="20755">
      <c r="A20755" s="1" t="s">
        <v>32262</v>
      </c>
      <c r="B20755" s="2" t="s">
        <v>31886</v>
      </c>
      <c r="C20755" s="1" t="s">
        <v>5686</v>
      </c>
      <c r="D20755" s="1" t="s">
        <v>5687</v>
      </c>
    </row>
    <row r="20756">
      <c r="A20756" s="1" t="s">
        <v>32263</v>
      </c>
      <c r="B20756" s="2" t="s">
        <v>31888</v>
      </c>
      <c r="C20756" s="1" t="s">
        <v>5686</v>
      </c>
      <c r="D20756" s="1" t="s">
        <v>5687</v>
      </c>
    </row>
    <row r="20757">
      <c r="A20757" s="1" t="s">
        <v>32264</v>
      </c>
      <c r="B20757" s="2" t="s">
        <v>31890</v>
      </c>
      <c r="C20757" s="1" t="s">
        <v>5686</v>
      </c>
      <c r="D20757" s="1" t="s">
        <v>5687</v>
      </c>
    </row>
    <row r="20758">
      <c r="A20758" s="1" t="s">
        <v>32265</v>
      </c>
      <c r="B20758" s="2" t="s">
        <v>31892</v>
      </c>
      <c r="C20758" s="1" t="s">
        <v>5686</v>
      </c>
      <c r="D20758" s="1" t="s">
        <v>5687</v>
      </c>
    </row>
    <row r="20759">
      <c r="A20759" s="1" t="s">
        <v>32266</v>
      </c>
      <c r="B20759" s="2" t="s">
        <v>31894</v>
      </c>
      <c r="C20759" s="1" t="s">
        <v>5686</v>
      </c>
      <c r="D20759" s="1" t="s">
        <v>5687</v>
      </c>
    </row>
    <row r="20760">
      <c r="A20760" s="1" t="s">
        <v>32267</v>
      </c>
      <c r="B20760" s="2" t="s">
        <v>31896</v>
      </c>
      <c r="C20760" s="1" t="s">
        <v>5686</v>
      </c>
      <c r="D20760" s="1" t="s">
        <v>5687</v>
      </c>
    </row>
    <row r="20761">
      <c r="A20761" s="1" t="s">
        <v>32268</v>
      </c>
      <c r="B20761" s="2" t="s">
        <v>31898</v>
      </c>
      <c r="C20761" s="1" t="s">
        <v>5686</v>
      </c>
      <c r="D20761" s="1" t="s">
        <v>5687</v>
      </c>
    </row>
    <row r="20762">
      <c r="A20762" s="1" t="s">
        <v>32269</v>
      </c>
      <c r="B20762" s="2" t="s">
        <v>31900</v>
      </c>
      <c r="C20762" s="1" t="s">
        <v>5686</v>
      </c>
      <c r="D20762" s="1" t="s">
        <v>5687</v>
      </c>
    </row>
    <row r="20763">
      <c r="A20763" s="1" t="s">
        <v>32270</v>
      </c>
      <c r="B20763" s="2" t="s">
        <v>31902</v>
      </c>
      <c r="C20763" s="1" t="s">
        <v>5686</v>
      </c>
      <c r="D20763" s="1" t="s">
        <v>5687</v>
      </c>
    </row>
    <row r="20764">
      <c r="A20764" s="1" t="s">
        <v>32271</v>
      </c>
      <c r="B20764" s="2" t="s">
        <v>31904</v>
      </c>
      <c r="C20764" s="1" t="s">
        <v>5686</v>
      </c>
      <c r="D20764" s="1" t="s">
        <v>5687</v>
      </c>
    </row>
    <row r="20765">
      <c r="A20765" s="1" t="s">
        <v>32272</v>
      </c>
      <c r="B20765" s="2" t="s">
        <v>31906</v>
      </c>
      <c r="C20765" s="1" t="s">
        <v>5686</v>
      </c>
      <c r="D20765" s="1" t="s">
        <v>5687</v>
      </c>
    </row>
    <row r="20766">
      <c r="A20766" s="1" t="s">
        <v>32273</v>
      </c>
      <c r="B20766" s="2" t="s">
        <v>31908</v>
      </c>
      <c r="C20766" s="1" t="s">
        <v>5686</v>
      </c>
      <c r="D20766" s="1" t="s">
        <v>5687</v>
      </c>
    </row>
    <row r="20767">
      <c r="A20767" s="1" t="s">
        <v>32274</v>
      </c>
      <c r="B20767" s="2" t="s">
        <v>31910</v>
      </c>
      <c r="C20767" s="1" t="s">
        <v>5686</v>
      </c>
      <c r="D20767" s="1" t="s">
        <v>5687</v>
      </c>
    </row>
    <row r="20768">
      <c r="A20768" s="1" t="s">
        <v>32275</v>
      </c>
      <c r="B20768" s="2" t="s">
        <v>31912</v>
      </c>
      <c r="C20768" s="1" t="s">
        <v>5686</v>
      </c>
      <c r="D20768" s="1" t="s">
        <v>5687</v>
      </c>
    </row>
    <row r="20769">
      <c r="A20769" s="1" t="s">
        <v>32276</v>
      </c>
      <c r="B20769" s="2" t="s">
        <v>31914</v>
      </c>
      <c r="C20769" s="1" t="s">
        <v>5686</v>
      </c>
      <c r="D20769" s="1" t="s">
        <v>5687</v>
      </c>
    </row>
    <row r="20770">
      <c r="A20770" s="1" t="s">
        <v>32277</v>
      </c>
      <c r="B20770" s="2" t="s">
        <v>31916</v>
      </c>
      <c r="C20770" s="1" t="s">
        <v>5686</v>
      </c>
      <c r="D20770" s="1" t="s">
        <v>5687</v>
      </c>
    </row>
    <row r="20771">
      <c r="A20771" s="1" t="s">
        <v>32278</v>
      </c>
      <c r="B20771" s="2" t="s">
        <v>31918</v>
      </c>
      <c r="C20771" s="1" t="s">
        <v>5686</v>
      </c>
      <c r="D20771" s="1" t="s">
        <v>5687</v>
      </c>
    </row>
    <row r="20772">
      <c r="A20772" s="1" t="s">
        <v>32279</v>
      </c>
      <c r="B20772" s="2" t="s">
        <v>31920</v>
      </c>
      <c r="C20772" s="1" t="s">
        <v>5686</v>
      </c>
      <c r="D20772" s="1" t="s">
        <v>5687</v>
      </c>
    </row>
    <row r="20773">
      <c r="A20773" s="1" t="s">
        <v>32280</v>
      </c>
      <c r="B20773" s="2" t="s">
        <v>31922</v>
      </c>
      <c r="C20773" s="1" t="s">
        <v>5686</v>
      </c>
      <c r="D20773" s="1" t="s">
        <v>5687</v>
      </c>
    </row>
    <row r="20774">
      <c r="A20774" s="1" t="s">
        <v>32281</v>
      </c>
      <c r="B20774" s="2" t="s">
        <v>31924</v>
      </c>
      <c r="C20774" s="1" t="s">
        <v>5686</v>
      </c>
      <c r="D20774" s="1" t="s">
        <v>5687</v>
      </c>
    </row>
    <row r="20775">
      <c r="A20775" s="1" t="s">
        <v>32282</v>
      </c>
      <c r="B20775" s="2" t="s">
        <v>31926</v>
      </c>
      <c r="C20775" s="1" t="s">
        <v>5686</v>
      </c>
      <c r="D20775" s="1" t="s">
        <v>5687</v>
      </c>
    </row>
    <row r="20776">
      <c r="A20776" s="1" t="s">
        <v>32283</v>
      </c>
      <c r="B20776" s="2" t="s">
        <v>31928</v>
      </c>
      <c r="C20776" s="1" t="s">
        <v>5686</v>
      </c>
      <c r="D20776" s="1" t="s">
        <v>5687</v>
      </c>
    </row>
    <row r="20777">
      <c r="A20777" s="1" t="s">
        <v>32284</v>
      </c>
      <c r="B20777" s="2" t="s">
        <v>31930</v>
      </c>
      <c r="C20777" s="1" t="s">
        <v>5686</v>
      </c>
      <c r="D20777" s="1" t="s">
        <v>5687</v>
      </c>
    </row>
    <row r="20778">
      <c r="A20778" s="1" t="s">
        <v>32285</v>
      </c>
      <c r="B20778" s="2" t="s">
        <v>31932</v>
      </c>
      <c r="C20778" s="1" t="s">
        <v>5686</v>
      </c>
      <c r="D20778" s="1" t="s">
        <v>5687</v>
      </c>
    </row>
    <row r="20779">
      <c r="A20779" s="1" t="s">
        <v>32286</v>
      </c>
      <c r="B20779" s="2" t="s">
        <v>31934</v>
      </c>
      <c r="C20779" s="1" t="s">
        <v>5686</v>
      </c>
      <c r="D20779" s="1" t="s">
        <v>5687</v>
      </c>
    </row>
    <row r="20780">
      <c r="A20780" s="1" t="s">
        <v>32287</v>
      </c>
      <c r="B20780" s="2" t="s">
        <v>31936</v>
      </c>
      <c r="C20780" s="1" t="s">
        <v>5686</v>
      </c>
      <c r="D20780" s="1" t="s">
        <v>5687</v>
      </c>
    </row>
    <row r="20781">
      <c r="A20781" s="1" t="s">
        <v>32288</v>
      </c>
      <c r="B20781" s="2" t="s">
        <v>31938</v>
      </c>
      <c r="C20781" s="1" t="s">
        <v>5686</v>
      </c>
      <c r="D20781" s="1" t="s">
        <v>5687</v>
      </c>
    </row>
    <row r="20782">
      <c r="A20782" s="1" t="s">
        <v>32289</v>
      </c>
      <c r="B20782" s="2" t="s">
        <v>31940</v>
      </c>
      <c r="C20782" s="1" t="s">
        <v>5686</v>
      </c>
      <c r="D20782" s="1" t="s">
        <v>5687</v>
      </c>
    </row>
    <row r="20783">
      <c r="A20783" s="1" t="s">
        <v>32290</v>
      </c>
      <c r="B20783" s="2" t="s">
        <v>31942</v>
      </c>
      <c r="C20783" s="1" t="s">
        <v>5686</v>
      </c>
      <c r="D20783" s="1" t="s">
        <v>5687</v>
      </c>
    </row>
    <row r="20784">
      <c r="A20784" s="1" t="s">
        <v>32291</v>
      </c>
      <c r="B20784" s="2" t="s">
        <v>31944</v>
      </c>
      <c r="C20784" s="1" t="s">
        <v>5686</v>
      </c>
      <c r="D20784" s="1" t="s">
        <v>5687</v>
      </c>
    </row>
    <row r="20785">
      <c r="A20785" s="1" t="s">
        <v>32292</v>
      </c>
      <c r="B20785" s="2" t="s">
        <v>31946</v>
      </c>
      <c r="C20785" s="1" t="s">
        <v>5686</v>
      </c>
      <c r="D20785" s="1" t="s">
        <v>5687</v>
      </c>
    </row>
    <row r="20786">
      <c r="A20786" s="1" t="s">
        <v>32293</v>
      </c>
      <c r="B20786" s="2" t="s">
        <v>31948</v>
      </c>
      <c r="C20786" s="1" t="s">
        <v>5686</v>
      </c>
      <c r="D20786" s="1" t="s">
        <v>5687</v>
      </c>
    </row>
    <row r="20787">
      <c r="A20787" s="1" t="s">
        <v>32294</v>
      </c>
      <c r="B20787" s="2" t="s">
        <v>31950</v>
      </c>
      <c r="C20787" s="1" t="s">
        <v>5686</v>
      </c>
      <c r="D20787" s="1" t="s">
        <v>5687</v>
      </c>
    </row>
    <row r="20788">
      <c r="A20788" s="1" t="s">
        <v>32295</v>
      </c>
      <c r="B20788" s="2" t="s">
        <v>31952</v>
      </c>
      <c r="C20788" s="1" t="s">
        <v>5686</v>
      </c>
      <c r="D20788" s="1" t="s">
        <v>5687</v>
      </c>
    </row>
    <row r="20789">
      <c r="A20789" s="1" t="s">
        <v>32296</v>
      </c>
      <c r="B20789" s="2" t="s">
        <v>31954</v>
      </c>
      <c r="C20789" s="1" t="s">
        <v>5686</v>
      </c>
      <c r="D20789" s="1" t="s">
        <v>5687</v>
      </c>
    </row>
    <row r="20790">
      <c r="A20790" s="1" t="s">
        <v>32297</v>
      </c>
      <c r="B20790" s="2" t="s">
        <v>31956</v>
      </c>
      <c r="C20790" s="1" t="s">
        <v>5686</v>
      </c>
      <c r="D20790" s="1" t="s">
        <v>5687</v>
      </c>
    </row>
    <row r="20791">
      <c r="A20791" s="1" t="s">
        <v>32298</v>
      </c>
      <c r="B20791" s="2" t="s">
        <v>31958</v>
      </c>
      <c r="C20791" s="1" t="s">
        <v>5686</v>
      </c>
      <c r="D20791" s="1" t="s">
        <v>5687</v>
      </c>
    </row>
    <row r="20792">
      <c r="A20792" s="1" t="s">
        <v>32299</v>
      </c>
      <c r="B20792" s="2" t="s">
        <v>31960</v>
      </c>
      <c r="C20792" s="1" t="s">
        <v>5686</v>
      </c>
      <c r="D20792" s="1" t="s">
        <v>5687</v>
      </c>
    </row>
    <row r="20793">
      <c r="A20793" s="1" t="s">
        <v>32300</v>
      </c>
      <c r="B20793" s="2" t="s">
        <v>31962</v>
      </c>
      <c r="C20793" s="1" t="s">
        <v>5686</v>
      </c>
      <c r="D20793" s="1" t="s">
        <v>5687</v>
      </c>
    </row>
    <row r="20794">
      <c r="A20794" s="1" t="s">
        <v>32301</v>
      </c>
      <c r="B20794" s="2" t="s">
        <v>31964</v>
      </c>
      <c r="C20794" s="1" t="s">
        <v>5686</v>
      </c>
      <c r="D20794" s="1" t="s">
        <v>5687</v>
      </c>
    </row>
    <row r="20795">
      <c r="A20795" s="1" t="s">
        <v>32302</v>
      </c>
      <c r="B20795" s="2" t="s">
        <v>31966</v>
      </c>
      <c r="C20795" s="1" t="s">
        <v>5686</v>
      </c>
      <c r="D20795" s="1" t="s">
        <v>5687</v>
      </c>
    </row>
    <row r="20796">
      <c r="A20796" s="1" t="s">
        <v>32303</v>
      </c>
      <c r="B20796" s="2" t="s">
        <v>31968</v>
      </c>
      <c r="C20796" s="1" t="s">
        <v>5686</v>
      </c>
      <c r="D20796" s="1" t="s">
        <v>5687</v>
      </c>
    </row>
    <row r="20797">
      <c r="A20797" s="1" t="s">
        <v>32304</v>
      </c>
      <c r="B20797" s="2" t="s">
        <v>31970</v>
      </c>
      <c r="C20797" s="1" t="s">
        <v>5686</v>
      </c>
      <c r="D20797" s="1" t="s">
        <v>5687</v>
      </c>
    </row>
    <row r="20798">
      <c r="A20798" s="1" t="s">
        <v>32305</v>
      </c>
      <c r="B20798" s="2" t="s">
        <v>31972</v>
      </c>
      <c r="C20798" s="1" t="s">
        <v>5686</v>
      </c>
      <c r="D20798" s="1" t="s">
        <v>5687</v>
      </c>
    </row>
    <row r="20799">
      <c r="A20799" s="1" t="s">
        <v>32306</v>
      </c>
      <c r="B20799" s="2" t="s">
        <v>31974</v>
      </c>
      <c r="C20799" s="1" t="s">
        <v>5686</v>
      </c>
      <c r="D20799" s="1" t="s">
        <v>5687</v>
      </c>
    </row>
    <row r="20800">
      <c r="A20800" s="1" t="s">
        <v>32307</v>
      </c>
      <c r="B20800" s="2" t="s">
        <v>31976</v>
      </c>
      <c r="C20800" s="1" t="s">
        <v>5686</v>
      </c>
      <c r="D20800" s="1" t="s">
        <v>5687</v>
      </c>
    </row>
    <row r="20801">
      <c r="A20801" s="1" t="s">
        <v>32308</v>
      </c>
      <c r="B20801" s="2" t="s">
        <v>31978</v>
      </c>
      <c r="C20801" s="1" t="s">
        <v>5686</v>
      </c>
      <c r="D20801" s="1" t="s">
        <v>5687</v>
      </c>
    </row>
    <row r="20802">
      <c r="A20802" s="1" t="s">
        <v>32309</v>
      </c>
      <c r="B20802" s="2" t="s">
        <v>31980</v>
      </c>
      <c r="C20802" s="1" t="s">
        <v>5686</v>
      </c>
      <c r="D20802" s="1" t="s">
        <v>5687</v>
      </c>
    </row>
    <row r="20803">
      <c r="A20803" s="1" t="s">
        <v>32310</v>
      </c>
      <c r="B20803" s="2" t="s">
        <v>31982</v>
      </c>
      <c r="C20803" s="1" t="s">
        <v>5686</v>
      </c>
      <c r="D20803" s="1" t="s">
        <v>5687</v>
      </c>
    </row>
    <row r="20804">
      <c r="A20804" s="1" t="s">
        <v>32311</v>
      </c>
      <c r="B20804" s="2" t="s">
        <v>31984</v>
      </c>
      <c r="C20804" s="1" t="s">
        <v>5686</v>
      </c>
      <c r="D20804" s="1" t="s">
        <v>5687</v>
      </c>
    </row>
    <row r="20805">
      <c r="A20805" s="1" t="s">
        <v>32312</v>
      </c>
      <c r="B20805" s="2" t="s">
        <v>31986</v>
      </c>
      <c r="C20805" s="1" t="s">
        <v>5686</v>
      </c>
      <c r="D20805" s="1" t="s">
        <v>5687</v>
      </c>
    </row>
    <row r="20806">
      <c r="A20806" s="1" t="s">
        <v>32313</v>
      </c>
      <c r="B20806" s="2" t="s">
        <v>31988</v>
      </c>
      <c r="C20806" s="1" t="s">
        <v>5686</v>
      </c>
      <c r="D20806" s="1" t="s">
        <v>5687</v>
      </c>
    </row>
    <row r="20807">
      <c r="A20807" s="1" t="s">
        <v>32314</v>
      </c>
      <c r="B20807" s="2" t="s">
        <v>31990</v>
      </c>
      <c r="C20807" s="1" t="s">
        <v>5686</v>
      </c>
      <c r="D20807" s="1" t="s">
        <v>5687</v>
      </c>
    </row>
    <row r="20808">
      <c r="A20808" s="1" t="s">
        <v>32315</v>
      </c>
      <c r="B20808" s="2" t="s">
        <v>31992</v>
      </c>
      <c r="C20808" s="1" t="s">
        <v>5686</v>
      </c>
      <c r="D20808" s="1" t="s">
        <v>5687</v>
      </c>
    </row>
    <row r="20809">
      <c r="A20809" s="1" t="s">
        <v>32316</v>
      </c>
      <c r="B20809" s="2" t="s">
        <v>31994</v>
      </c>
      <c r="C20809" s="1" t="s">
        <v>5686</v>
      </c>
      <c r="D20809" s="1" t="s">
        <v>5687</v>
      </c>
    </row>
    <row r="20810">
      <c r="A20810" s="1" t="s">
        <v>32317</v>
      </c>
      <c r="B20810" s="2" t="s">
        <v>31996</v>
      </c>
      <c r="C20810" s="1" t="s">
        <v>5686</v>
      </c>
      <c r="D20810" s="1" t="s">
        <v>5687</v>
      </c>
    </row>
    <row r="20811">
      <c r="A20811" s="1" t="s">
        <v>32318</v>
      </c>
      <c r="B20811" s="2" t="s">
        <v>31998</v>
      </c>
      <c r="C20811" s="1" t="s">
        <v>5686</v>
      </c>
      <c r="D20811" s="1" t="s">
        <v>5687</v>
      </c>
    </row>
    <row r="20812">
      <c r="A20812" s="1" t="s">
        <v>32319</v>
      </c>
      <c r="B20812" s="2" t="s">
        <v>32000</v>
      </c>
      <c r="C20812" s="1" t="s">
        <v>5686</v>
      </c>
      <c r="D20812" s="1" t="s">
        <v>5687</v>
      </c>
    </row>
    <row r="20813">
      <c r="A20813" s="1" t="s">
        <v>32320</v>
      </c>
      <c r="B20813" s="2" t="s">
        <v>32002</v>
      </c>
      <c r="C20813" s="1" t="s">
        <v>5686</v>
      </c>
      <c r="D20813" s="1" t="s">
        <v>5687</v>
      </c>
    </row>
    <row r="20814">
      <c r="A20814" s="1" t="s">
        <v>32321</v>
      </c>
      <c r="B20814" s="2" t="s">
        <v>32004</v>
      </c>
      <c r="C20814" s="1" t="s">
        <v>5686</v>
      </c>
      <c r="D20814" s="1" t="s">
        <v>5687</v>
      </c>
    </row>
    <row r="20815">
      <c r="A20815" s="1" t="s">
        <v>32322</v>
      </c>
      <c r="B20815" s="2" t="s">
        <v>32006</v>
      </c>
      <c r="C20815" s="1" t="s">
        <v>5686</v>
      </c>
      <c r="D20815" s="1" t="s">
        <v>5687</v>
      </c>
    </row>
    <row r="20816">
      <c r="A20816" s="1" t="s">
        <v>32323</v>
      </c>
      <c r="B20816" s="2" t="s">
        <v>32008</v>
      </c>
      <c r="C20816" s="1" t="s">
        <v>5686</v>
      </c>
      <c r="D20816" s="1" t="s">
        <v>5687</v>
      </c>
    </row>
    <row r="20817">
      <c r="A20817" s="1" t="s">
        <v>32324</v>
      </c>
      <c r="B20817" s="2" t="s">
        <v>32010</v>
      </c>
      <c r="C20817" s="1" t="s">
        <v>5686</v>
      </c>
      <c r="D20817" s="1" t="s">
        <v>5687</v>
      </c>
    </row>
    <row r="20818">
      <c r="A20818" s="1" t="s">
        <v>32325</v>
      </c>
      <c r="B20818" s="2" t="s">
        <v>32012</v>
      </c>
      <c r="C20818" s="1" t="s">
        <v>5686</v>
      </c>
      <c r="D20818" s="1" t="s">
        <v>5687</v>
      </c>
    </row>
    <row r="20819">
      <c r="A20819" s="1" t="s">
        <v>32326</v>
      </c>
      <c r="B20819" s="2" t="s">
        <v>32014</v>
      </c>
      <c r="C20819" s="1" t="s">
        <v>5686</v>
      </c>
      <c r="D20819" s="1" t="s">
        <v>5687</v>
      </c>
    </row>
    <row r="20820">
      <c r="A20820" s="1" t="s">
        <v>32327</v>
      </c>
      <c r="B20820" s="2" t="s">
        <v>32016</v>
      </c>
      <c r="C20820" s="1" t="s">
        <v>5686</v>
      </c>
      <c r="D20820" s="1" t="s">
        <v>5687</v>
      </c>
    </row>
    <row r="20821">
      <c r="A20821" s="1" t="s">
        <v>32328</v>
      </c>
      <c r="B20821" s="2" t="s">
        <v>32018</v>
      </c>
      <c r="C20821" s="1" t="s">
        <v>5686</v>
      </c>
      <c r="D20821" s="1" t="s">
        <v>5687</v>
      </c>
    </row>
    <row r="20822">
      <c r="A20822" s="1" t="s">
        <v>32329</v>
      </c>
      <c r="B20822" s="2" t="s">
        <v>32020</v>
      </c>
      <c r="C20822" s="1" t="s">
        <v>5686</v>
      </c>
      <c r="D20822" s="1" t="s">
        <v>5687</v>
      </c>
    </row>
    <row r="20823">
      <c r="A20823" s="1" t="s">
        <v>32330</v>
      </c>
      <c r="B20823" s="2" t="s">
        <v>32022</v>
      </c>
      <c r="C20823" s="1" t="s">
        <v>5686</v>
      </c>
      <c r="D20823" s="1" t="s">
        <v>5687</v>
      </c>
    </row>
    <row r="20824">
      <c r="A20824" s="1" t="s">
        <v>32331</v>
      </c>
      <c r="B20824" s="2" t="s">
        <v>32024</v>
      </c>
      <c r="C20824" s="1" t="s">
        <v>5686</v>
      </c>
      <c r="D20824" s="1" t="s">
        <v>5687</v>
      </c>
    </row>
    <row r="20825">
      <c r="A20825" s="1" t="s">
        <v>32332</v>
      </c>
      <c r="B20825" s="2" t="s">
        <v>32026</v>
      </c>
      <c r="C20825" s="1" t="s">
        <v>5686</v>
      </c>
      <c r="D20825" s="1" t="s">
        <v>5687</v>
      </c>
    </row>
    <row r="20826">
      <c r="A20826" s="1" t="s">
        <v>32333</v>
      </c>
      <c r="B20826" s="2" t="s">
        <v>32028</v>
      </c>
      <c r="C20826" s="1" t="s">
        <v>5686</v>
      </c>
      <c r="D20826" s="1" t="s">
        <v>5687</v>
      </c>
    </row>
    <row r="20827">
      <c r="A20827" s="1" t="s">
        <v>32334</v>
      </c>
      <c r="B20827" s="2" t="s">
        <v>32030</v>
      </c>
      <c r="C20827" s="1" t="s">
        <v>5686</v>
      </c>
      <c r="D20827" s="1" t="s">
        <v>5687</v>
      </c>
    </row>
    <row r="20828">
      <c r="A20828" s="1" t="s">
        <v>32335</v>
      </c>
      <c r="B20828" s="2" t="s">
        <v>32032</v>
      </c>
      <c r="C20828" s="1" t="s">
        <v>5686</v>
      </c>
      <c r="D20828" s="1" t="s">
        <v>5687</v>
      </c>
    </row>
    <row r="20829">
      <c r="A20829" s="1" t="s">
        <v>32336</v>
      </c>
      <c r="B20829" s="2" t="s">
        <v>32034</v>
      </c>
      <c r="C20829" s="1" t="s">
        <v>5686</v>
      </c>
      <c r="D20829" s="1" t="s">
        <v>5687</v>
      </c>
    </row>
    <row r="20830">
      <c r="A20830" s="1" t="s">
        <v>32337</v>
      </c>
      <c r="B20830" s="2" t="s">
        <v>32036</v>
      </c>
      <c r="C20830" s="1" t="s">
        <v>5686</v>
      </c>
      <c r="D20830" s="1" t="s">
        <v>5687</v>
      </c>
    </row>
    <row r="20831">
      <c r="A20831" s="1" t="s">
        <v>32338</v>
      </c>
      <c r="B20831" s="2" t="s">
        <v>32038</v>
      </c>
      <c r="C20831" s="1" t="s">
        <v>5686</v>
      </c>
      <c r="D20831" s="1" t="s">
        <v>5687</v>
      </c>
    </row>
    <row r="20832">
      <c r="A20832" s="1" t="s">
        <v>32339</v>
      </c>
      <c r="B20832" s="2" t="s">
        <v>32040</v>
      </c>
      <c r="C20832" s="1" t="s">
        <v>5686</v>
      </c>
      <c r="D20832" s="1" t="s">
        <v>5687</v>
      </c>
    </row>
    <row r="20833">
      <c r="A20833" s="1" t="s">
        <v>32340</v>
      </c>
      <c r="B20833" s="2" t="s">
        <v>32042</v>
      </c>
      <c r="C20833" s="1" t="s">
        <v>5686</v>
      </c>
      <c r="D20833" s="1" t="s">
        <v>5687</v>
      </c>
    </row>
    <row r="20834">
      <c r="A20834" s="1" t="s">
        <v>32341</v>
      </c>
      <c r="B20834" s="2" t="s">
        <v>32044</v>
      </c>
      <c r="C20834" s="1" t="s">
        <v>5686</v>
      </c>
      <c r="D20834" s="1" t="s">
        <v>5687</v>
      </c>
    </row>
    <row r="20835">
      <c r="A20835" s="1" t="s">
        <v>32342</v>
      </c>
      <c r="B20835" s="2" t="s">
        <v>32046</v>
      </c>
      <c r="C20835" s="1" t="s">
        <v>5686</v>
      </c>
      <c r="D20835" s="1" t="s">
        <v>5687</v>
      </c>
    </row>
    <row r="20836">
      <c r="A20836" s="1" t="s">
        <v>32343</v>
      </c>
      <c r="B20836" s="2" t="s">
        <v>32048</v>
      </c>
      <c r="C20836" s="1" t="s">
        <v>5686</v>
      </c>
      <c r="D20836" s="1" t="s">
        <v>5687</v>
      </c>
    </row>
    <row r="20837">
      <c r="A20837" s="1" t="s">
        <v>32344</v>
      </c>
      <c r="B20837" s="2" t="s">
        <v>32050</v>
      </c>
      <c r="C20837" s="1" t="s">
        <v>5686</v>
      </c>
      <c r="D20837" s="1" t="s">
        <v>5687</v>
      </c>
    </row>
    <row r="20838">
      <c r="A20838" s="1" t="s">
        <v>32345</v>
      </c>
      <c r="B20838" s="2" t="s">
        <v>32052</v>
      </c>
      <c r="C20838" s="1" t="s">
        <v>5686</v>
      </c>
      <c r="D20838" s="1" t="s">
        <v>5687</v>
      </c>
    </row>
    <row r="20839">
      <c r="A20839" s="1" t="s">
        <v>32346</v>
      </c>
      <c r="B20839" s="2" t="s">
        <v>32054</v>
      </c>
      <c r="C20839" s="1" t="s">
        <v>5686</v>
      </c>
      <c r="D20839" s="1" t="s">
        <v>5687</v>
      </c>
    </row>
    <row r="20840">
      <c r="A20840" s="1" t="s">
        <v>32347</v>
      </c>
      <c r="B20840" s="2" t="s">
        <v>32056</v>
      </c>
      <c r="C20840" s="1" t="s">
        <v>5686</v>
      </c>
      <c r="D20840" s="1" t="s">
        <v>5687</v>
      </c>
    </row>
    <row r="20841">
      <c r="A20841" s="1" t="s">
        <v>32348</v>
      </c>
      <c r="B20841" s="2" t="s">
        <v>32058</v>
      </c>
      <c r="C20841" s="1" t="s">
        <v>5686</v>
      </c>
      <c r="D20841" s="1" t="s">
        <v>5687</v>
      </c>
    </row>
    <row r="20842">
      <c r="A20842" s="1" t="s">
        <v>32349</v>
      </c>
      <c r="B20842" s="2" t="s">
        <v>32060</v>
      </c>
      <c r="C20842" s="1" t="s">
        <v>5686</v>
      </c>
      <c r="D20842" s="1" t="s">
        <v>5687</v>
      </c>
    </row>
    <row r="20843">
      <c r="A20843" s="1" t="s">
        <v>32350</v>
      </c>
      <c r="B20843" s="2" t="s">
        <v>32062</v>
      </c>
      <c r="C20843" s="1" t="s">
        <v>5686</v>
      </c>
      <c r="D20843" s="1" t="s">
        <v>5687</v>
      </c>
    </row>
    <row r="20844">
      <c r="A20844" s="1" t="s">
        <v>32351</v>
      </c>
      <c r="B20844" s="2" t="s">
        <v>32064</v>
      </c>
      <c r="C20844" s="1" t="s">
        <v>5686</v>
      </c>
      <c r="D20844" s="1" t="s">
        <v>5687</v>
      </c>
    </row>
    <row r="20845">
      <c r="A20845" s="1" t="s">
        <v>32352</v>
      </c>
      <c r="B20845" s="2" t="s">
        <v>32066</v>
      </c>
      <c r="C20845" s="1" t="s">
        <v>5686</v>
      </c>
      <c r="D20845" s="1" t="s">
        <v>5687</v>
      </c>
    </row>
    <row r="20846">
      <c r="A20846" s="1" t="s">
        <v>32353</v>
      </c>
      <c r="B20846" s="2" t="s">
        <v>32068</v>
      </c>
      <c r="C20846" s="1" t="s">
        <v>5686</v>
      </c>
      <c r="D20846" s="1" t="s">
        <v>5687</v>
      </c>
    </row>
    <row r="20847">
      <c r="A20847" s="1" t="s">
        <v>32354</v>
      </c>
      <c r="B20847" s="2" t="s">
        <v>32070</v>
      </c>
      <c r="C20847" s="1" t="s">
        <v>5686</v>
      </c>
      <c r="D20847" s="1" t="s">
        <v>5687</v>
      </c>
    </row>
    <row r="20848">
      <c r="A20848" s="1" t="s">
        <v>32355</v>
      </c>
      <c r="B20848" s="2" t="s">
        <v>32072</v>
      </c>
      <c r="C20848" s="1" t="s">
        <v>5686</v>
      </c>
      <c r="D20848" s="1" t="s">
        <v>5687</v>
      </c>
    </row>
    <row r="20849">
      <c r="A20849" s="1" t="s">
        <v>32356</v>
      </c>
      <c r="B20849" s="2" t="s">
        <v>32074</v>
      </c>
      <c r="C20849" s="1" t="s">
        <v>5686</v>
      </c>
      <c r="D20849" s="1" t="s">
        <v>5687</v>
      </c>
    </row>
    <row r="20850">
      <c r="A20850" s="1" t="s">
        <v>32357</v>
      </c>
      <c r="B20850" s="2" t="s">
        <v>32076</v>
      </c>
      <c r="C20850" s="1" t="s">
        <v>5686</v>
      </c>
      <c r="D20850" s="1" t="s">
        <v>5687</v>
      </c>
    </row>
    <row r="20851">
      <c r="A20851" s="1" t="s">
        <v>32358</v>
      </c>
      <c r="B20851" s="2" t="s">
        <v>32078</v>
      </c>
      <c r="C20851" s="1" t="s">
        <v>5686</v>
      </c>
      <c r="D20851" s="1" t="s">
        <v>5687</v>
      </c>
    </row>
    <row r="20852">
      <c r="A20852" s="1" t="s">
        <v>32359</v>
      </c>
      <c r="B20852" s="2" t="s">
        <v>32080</v>
      </c>
      <c r="C20852" s="1" t="s">
        <v>5686</v>
      </c>
      <c r="D20852" s="1" t="s">
        <v>5687</v>
      </c>
    </row>
    <row r="20853">
      <c r="A20853" s="1" t="s">
        <v>32360</v>
      </c>
      <c r="B20853" s="2" t="s">
        <v>32082</v>
      </c>
      <c r="C20853" s="1" t="s">
        <v>5686</v>
      </c>
      <c r="D20853" s="1" t="s">
        <v>5687</v>
      </c>
    </row>
    <row r="20854">
      <c r="A20854" s="1" t="s">
        <v>32361</v>
      </c>
      <c r="B20854" s="2" t="s">
        <v>32084</v>
      </c>
      <c r="C20854" s="1" t="s">
        <v>5686</v>
      </c>
      <c r="D20854" s="1" t="s">
        <v>5687</v>
      </c>
    </row>
    <row r="20855">
      <c r="A20855" s="1" t="s">
        <v>32362</v>
      </c>
      <c r="B20855" s="2" t="s">
        <v>32086</v>
      </c>
      <c r="C20855" s="1" t="s">
        <v>5686</v>
      </c>
      <c r="D20855" s="1" t="s">
        <v>5687</v>
      </c>
    </row>
    <row r="20856">
      <c r="A20856" s="1" t="s">
        <v>32363</v>
      </c>
      <c r="B20856" s="2" t="s">
        <v>32088</v>
      </c>
      <c r="C20856" s="1" t="s">
        <v>5686</v>
      </c>
      <c r="D20856" s="1" t="s">
        <v>5687</v>
      </c>
    </row>
    <row r="20857">
      <c r="A20857" s="1" t="s">
        <v>32364</v>
      </c>
      <c r="B20857" s="2" t="s">
        <v>32090</v>
      </c>
      <c r="C20857" s="1" t="s">
        <v>5686</v>
      </c>
      <c r="D20857" s="1" t="s">
        <v>5687</v>
      </c>
    </row>
    <row r="20858">
      <c r="A20858" s="1" t="s">
        <v>32365</v>
      </c>
      <c r="B20858" s="2" t="s">
        <v>32092</v>
      </c>
      <c r="C20858" s="1" t="s">
        <v>5686</v>
      </c>
      <c r="D20858" s="1" t="s">
        <v>5687</v>
      </c>
    </row>
    <row r="20859">
      <c r="A20859" s="1" t="s">
        <v>32366</v>
      </c>
      <c r="B20859" s="2" t="s">
        <v>32094</v>
      </c>
      <c r="C20859" s="1" t="s">
        <v>5686</v>
      </c>
      <c r="D20859" s="1" t="s">
        <v>5687</v>
      </c>
    </row>
    <row r="20860">
      <c r="A20860" s="1" t="s">
        <v>32367</v>
      </c>
      <c r="B20860" s="2" t="s">
        <v>32096</v>
      </c>
      <c r="C20860" s="1" t="s">
        <v>5686</v>
      </c>
      <c r="D20860" s="1" t="s">
        <v>5687</v>
      </c>
    </row>
    <row r="20861">
      <c r="A20861" s="1" t="s">
        <v>32368</v>
      </c>
      <c r="B20861" s="2" t="s">
        <v>32098</v>
      </c>
      <c r="C20861" s="1" t="s">
        <v>5686</v>
      </c>
      <c r="D20861" s="1" t="s">
        <v>5687</v>
      </c>
    </row>
    <row r="20862">
      <c r="A20862" s="1" t="s">
        <v>32369</v>
      </c>
      <c r="B20862" s="2" t="s">
        <v>32100</v>
      </c>
      <c r="C20862" s="1" t="s">
        <v>5686</v>
      </c>
      <c r="D20862" s="1" t="s">
        <v>5687</v>
      </c>
    </row>
    <row r="20863">
      <c r="A20863" s="1" t="s">
        <v>32370</v>
      </c>
      <c r="B20863" s="2" t="s">
        <v>32102</v>
      </c>
      <c r="C20863" s="1" t="s">
        <v>5686</v>
      </c>
      <c r="D20863" s="1" t="s">
        <v>5687</v>
      </c>
    </row>
    <row r="20864">
      <c r="A20864" s="1" t="s">
        <v>32371</v>
      </c>
      <c r="B20864" s="2" t="s">
        <v>32104</v>
      </c>
      <c r="C20864" s="1" t="s">
        <v>5686</v>
      </c>
      <c r="D20864" s="1" t="s">
        <v>5687</v>
      </c>
    </row>
    <row r="20865">
      <c r="A20865" s="1" t="s">
        <v>32372</v>
      </c>
      <c r="B20865" s="2" t="s">
        <v>32106</v>
      </c>
      <c r="C20865" s="1" t="s">
        <v>5686</v>
      </c>
      <c r="D20865" s="1" t="s">
        <v>5687</v>
      </c>
    </row>
    <row r="20866">
      <c r="A20866" s="1" t="s">
        <v>32373</v>
      </c>
      <c r="B20866" s="2" t="s">
        <v>32108</v>
      </c>
      <c r="C20866" s="1" t="s">
        <v>5686</v>
      </c>
      <c r="D20866" s="1" t="s">
        <v>5687</v>
      </c>
    </row>
    <row r="20867">
      <c r="A20867" s="1" t="s">
        <v>32374</v>
      </c>
      <c r="B20867" s="2" t="s">
        <v>32110</v>
      </c>
      <c r="C20867" s="1" t="s">
        <v>5686</v>
      </c>
      <c r="D20867" s="1" t="s">
        <v>5687</v>
      </c>
    </row>
    <row r="20868">
      <c r="A20868" s="1" t="s">
        <v>32375</v>
      </c>
      <c r="B20868" s="2" t="s">
        <v>32112</v>
      </c>
      <c r="C20868" s="1" t="s">
        <v>5686</v>
      </c>
      <c r="D20868" s="1" t="s">
        <v>5687</v>
      </c>
    </row>
    <row r="20869">
      <c r="A20869" s="1" t="s">
        <v>32376</v>
      </c>
      <c r="B20869" s="2" t="s">
        <v>32114</v>
      </c>
      <c r="C20869" s="1" t="s">
        <v>5686</v>
      </c>
      <c r="D20869" s="1" t="s">
        <v>5687</v>
      </c>
    </row>
    <row r="20870">
      <c r="A20870" s="1" t="s">
        <v>32377</v>
      </c>
      <c r="B20870" s="2" t="s">
        <v>32116</v>
      </c>
      <c r="C20870" s="1" t="s">
        <v>5686</v>
      </c>
      <c r="D20870" s="1" t="s">
        <v>5687</v>
      </c>
    </row>
    <row r="20871">
      <c r="A20871" s="1" t="s">
        <v>32378</v>
      </c>
      <c r="B20871" s="2" t="s">
        <v>32118</v>
      </c>
      <c r="C20871" s="1" t="s">
        <v>5686</v>
      </c>
      <c r="D20871" s="1" t="s">
        <v>5687</v>
      </c>
    </row>
    <row r="20872">
      <c r="A20872" s="1" t="s">
        <v>32379</v>
      </c>
      <c r="B20872" s="2" t="s">
        <v>32120</v>
      </c>
      <c r="C20872" s="1" t="s">
        <v>5686</v>
      </c>
      <c r="D20872" s="1" t="s">
        <v>5687</v>
      </c>
    </row>
    <row r="20873">
      <c r="A20873" s="1" t="s">
        <v>32380</v>
      </c>
      <c r="B20873" s="2" t="s">
        <v>32122</v>
      </c>
      <c r="C20873" s="1" t="s">
        <v>5686</v>
      </c>
      <c r="D20873" s="1" t="s">
        <v>5687</v>
      </c>
    </row>
    <row r="20874">
      <c r="A20874" s="1" t="s">
        <v>32381</v>
      </c>
      <c r="B20874" s="2" t="s">
        <v>32124</v>
      </c>
      <c r="C20874" s="1" t="s">
        <v>5686</v>
      </c>
      <c r="D20874" s="1" t="s">
        <v>5687</v>
      </c>
    </row>
    <row r="20875">
      <c r="A20875" s="1" t="s">
        <v>5690</v>
      </c>
      <c r="B20875" s="2" t="s">
        <v>234</v>
      </c>
      <c r="C20875" s="1" t="s">
        <v>5692</v>
      </c>
      <c r="D20875" s="1" t="s">
        <v>5693</v>
      </c>
    </row>
    <row r="20876">
      <c r="A20876" s="1" t="s">
        <v>32382</v>
      </c>
      <c r="B20876" s="2" t="s">
        <v>31612</v>
      </c>
      <c r="C20876" s="1" t="s">
        <v>5692</v>
      </c>
      <c r="D20876" s="1" t="s">
        <v>5693</v>
      </c>
    </row>
    <row r="20877">
      <c r="A20877" s="1" t="s">
        <v>32383</v>
      </c>
      <c r="B20877" s="2" t="s">
        <v>31614</v>
      </c>
      <c r="C20877" s="1" t="s">
        <v>5692</v>
      </c>
      <c r="D20877" s="1" t="s">
        <v>5693</v>
      </c>
    </row>
    <row r="20878">
      <c r="A20878" s="1" t="s">
        <v>32384</v>
      </c>
      <c r="B20878" s="2" t="s">
        <v>31616</v>
      </c>
      <c r="C20878" s="1" t="s">
        <v>5692</v>
      </c>
      <c r="D20878" s="1" t="s">
        <v>5693</v>
      </c>
    </row>
    <row r="20879">
      <c r="A20879" s="1" t="s">
        <v>32385</v>
      </c>
      <c r="B20879" s="2" t="s">
        <v>31618</v>
      </c>
      <c r="C20879" s="1" t="s">
        <v>5692</v>
      </c>
      <c r="D20879" s="1" t="s">
        <v>5693</v>
      </c>
    </row>
    <row r="20880">
      <c r="A20880" s="1" t="s">
        <v>32386</v>
      </c>
      <c r="B20880" s="2" t="s">
        <v>31620</v>
      </c>
      <c r="C20880" s="1" t="s">
        <v>5692</v>
      </c>
      <c r="D20880" s="1" t="s">
        <v>5693</v>
      </c>
    </row>
    <row r="20881">
      <c r="A20881" s="1" t="s">
        <v>32387</v>
      </c>
      <c r="B20881" s="2" t="s">
        <v>31622</v>
      </c>
      <c r="C20881" s="1" t="s">
        <v>5692</v>
      </c>
      <c r="D20881" s="1" t="s">
        <v>5693</v>
      </c>
    </row>
    <row r="20882">
      <c r="A20882" s="1" t="s">
        <v>32388</v>
      </c>
      <c r="B20882" s="2" t="s">
        <v>31624</v>
      </c>
      <c r="C20882" s="1" t="s">
        <v>5692</v>
      </c>
      <c r="D20882" s="1" t="s">
        <v>5693</v>
      </c>
    </row>
    <row r="20883">
      <c r="A20883" s="1" t="s">
        <v>32389</v>
      </c>
      <c r="B20883" s="2" t="s">
        <v>31626</v>
      </c>
      <c r="C20883" s="1" t="s">
        <v>5692</v>
      </c>
      <c r="D20883" s="1" t="s">
        <v>5693</v>
      </c>
    </row>
    <row r="20884">
      <c r="A20884" s="1" t="s">
        <v>32390</v>
      </c>
      <c r="B20884" s="2" t="s">
        <v>31628</v>
      </c>
      <c r="C20884" s="1" t="s">
        <v>5692</v>
      </c>
      <c r="D20884" s="1" t="s">
        <v>5693</v>
      </c>
    </row>
    <row r="20885">
      <c r="A20885" s="1" t="s">
        <v>32391</v>
      </c>
      <c r="B20885" s="2" t="s">
        <v>31630</v>
      </c>
      <c r="C20885" s="1" t="s">
        <v>5692</v>
      </c>
      <c r="D20885" s="1" t="s">
        <v>5693</v>
      </c>
    </row>
    <row r="20886">
      <c r="A20886" s="1" t="s">
        <v>32392</v>
      </c>
      <c r="B20886" s="2" t="s">
        <v>31632</v>
      </c>
      <c r="C20886" s="1" t="s">
        <v>5692</v>
      </c>
      <c r="D20886" s="1" t="s">
        <v>5693</v>
      </c>
    </row>
    <row r="20887">
      <c r="A20887" s="1" t="s">
        <v>32393</v>
      </c>
      <c r="B20887" s="2" t="s">
        <v>31634</v>
      </c>
      <c r="C20887" s="1" t="s">
        <v>5692</v>
      </c>
      <c r="D20887" s="1" t="s">
        <v>5693</v>
      </c>
    </row>
    <row r="20888">
      <c r="A20888" s="1" t="s">
        <v>32394</v>
      </c>
      <c r="B20888" s="2" t="s">
        <v>31636</v>
      </c>
      <c r="C20888" s="1" t="s">
        <v>5692</v>
      </c>
      <c r="D20888" s="1" t="s">
        <v>5693</v>
      </c>
    </row>
    <row r="20889">
      <c r="A20889" s="1" t="s">
        <v>32395</v>
      </c>
      <c r="B20889" s="2" t="s">
        <v>31638</v>
      </c>
      <c r="C20889" s="1" t="s">
        <v>5692</v>
      </c>
      <c r="D20889" s="1" t="s">
        <v>5693</v>
      </c>
    </row>
    <row r="20890">
      <c r="A20890" s="1" t="s">
        <v>32396</v>
      </c>
      <c r="B20890" s="2" t="s">
        <v>31640</v>
      </c>
      <c r="C20890" s="1" t="s">
        <v>5692</v>
      </c>
      <c r="D20890" s="1" t="s">
        <v>5693</v>
      </c>
    </row>
    <row r="20891">
      <c r="A20891" s="1" t="s">
        <v>32397</v>
      </c>
      <c r="B20891" s="2" t="s">
        <v>31642</v>
      </c>
      <c r="C20891" s="1" t="s">
        <v>5692</v>
      </c>
      <c r="D20891" s="1" t="s">
        <v>5693</v>
      </c>
    </row>
    <row r="20892">
      <c r="A20892" s="1" t="s">
        <v>32398</v>
      </c>
      <c r="B20892" s="2" t="s">
        <v>31644</v>
      </c>
      <c r="C20892" s="1" t="s">
        <v>5692</v>
      </c>
      <c r="D20892" s="1" t="s">
        <v>5693</v>
      </c>
    </row>
    <row r="20893">
      <c r="A20893" s="1" t="s">
        <v>32399</v>
      </c>
      <c r="B20893" s="2" t="s">
        <v>31646</v>
      </c>
      <c r="C20893" s="1" t="s">
        <v>5692</v>
      </c>
      <c r="D20893" s="1" t="s">
        <v>5693</v>
      </c>
    </row>
    <row r="20894">
      <c r="A20894" s="1" t="s">
        <v>32400</v>
      </c>
      <c r="B20894" s="2" t="s">
        <v>31648</v>
      </c>
      <c r="C20894" s="1" t="s">
        <v>5692</v>
      </c>
      <c r="D20894" s="1" t="s">
        <v>5693</v>
      </c>
    </row>
    <row r="20895">
      <c r="A20895" s="1" t="s">
        <v>32401</v>
      </c>
      <c r="B20895" s="2" t="s">
        <v>31650</v>
      </c>
      <c r="C20895" s="1" t="s">
        <v>5692</v>
      </c>
      <c r="D20895" s="1" t="s">
        <v>5693</v>
      </c>
    </row>
    <row r="20896">
      <c r="A20896" s="1" t="s">
        <v>32402</v>
      </c>
      <c r="B20896" s="2" t="s">
        <v>31652</v>
      </c>
      <c r="C20896" s="1" t="s">
        <v>5692</v>
      </c>
      <c r="D20896" s="1" t="s">
        <v>5693</v>
      </c>
    </row>
    <row r="20897">
      <c r="A20897" s="1" t="s">
        <v>32403</v>
      </c>
      <c r="B20897" s="2" t="s">
        <v>31654</v>
      </c>
      <c r="C20897" s="1" t="s">
        <v>5692</v>
      </c>
      <c r="D20897" s="1" t="s">
        <v>5693</v>
      </c>
    </row>
    <row r="20898">
      <c r="A20898" s="1" t="s">
        <v>32404</v>
      </c>
      <c r="B20898" s="2" t="s">
        <v>31656</v>
      </c>
      <c r="C20898" s="1" t="s">
        <v>5692</v>
      </c>
      <c r="D20898" s="1" t="s">
        <v>5693</v>
      </c>
    </row>
    <row r="20899">
      <c r="A20899" s="1" t="s">
        <v>32405</v>
      </c>
      <c r="B20899" s="2" t="s">
        <v>31658</v>
      </c>
      <c r="C20899" s="1" t="s">
        <v>5692</v>
      </c>
      <c r="D20899" s="1" t="s">
        <v>5693</v>
      </c>
    </row>
    <row r="20900">
      <c r="A20900" s="1" t="s">
        <v>32406</v>
      </c>
      <c r="B20900" s="2" t="s">
        <v>31660</v>
      </c>
      <c r="C20900" s="1" t="s">
        <v>5692</v>
      </c>
      <c r="D20900" s="1" t="s">
        <v>5693</v>
      </c>
    </row>
    <row r="20901">
      <c r="A20901" s="1" t="s">
        <v>32407</v>
      </c>
      <c r="B20901" s="2" t="s">
        <v>31662</v>
      </c>
      <c r="C20901" s="1" t="s">
        <v>5692</v>
      </c>
      <c r="D20901" s="1" t="s">
        <v>5693</v>
      </c>
    </row>
    <row r="20902">
      <c r="A20902" s="1" t="s">
        <v>32408</v>
      </c>
      <c r="B20902" s="2" t="s">
        <v>31664</v>
      </c>
      <c r="C20902" s="1" t="s">
        <v>5692</v>
      </c>
      <c r="D20902" s="1" t="s">
        <v>5693</v>
      </c>
    </row>
    <row r="20903">
      <c r="A20903" s="1" t="s">
        <v>32409</v>
      </c>
      <c r="B20903" s="2" t="s">
        <v>31666</v>
      </c>
      <c r="C20903" s="1" t="s">
        <v>5692</v>
      </c>
      <c r="D20903" s="1" t="s">
        <v>5693</v>
      </c>
    </row>
    <row r="20904">
      <c r="A20904" s="1" t="s">
        <v>32410</v>
      </c>
      <c r="B20904" s="2" t="s">
        <v>31668</v>
      </c>
      <c r="C20904" s="1" t="s">
        <v>5692</v>
      </c>
      <c r="D20904" s="1" t="s">
        <v>5693</v>
      </c>
    </row>
    <row r="20905">
      <c r="A20905" s="1" t="s">
        <v>32411</v>
      </c>
      <c r="B20905" s="2" t="s">
        <v>31670</v>
      </c>
      <c r="C20905" s="1" t="s">
        <v>5692</v>
      </c>
      <c r="D20905" s="1" t="s">
        <v>5693</v>
      </c>
    </row>
    <row r="20906">
      <c r="A20906" s="1" t="s">
        <v>32412</v>
      </c>
      <c r="B20906" s="2" t="s">
        <v>31672</v>
      </c>
      <c r="C20906" s="1" t="s">
        <v>5692</v>
      </c>
      <c r="D20906" s="1" t="s">
        <v>5693</v>
      </c>
    </row>
    <row r="20907">
      <c r="A20907" s="1" t="s">
        <v>32413</v>
      </c>
      <c r="B20907" s="2" t="s">
        <v>31674</v>
      </c>
      <c r="C20907" s="1" t="s">
        <v>5692</v>
      </c>
      <c r="D20907" s="1" t="s">
        <v>5693</v>
      </c>
    </row>
    <row r="20908">
      <c r="A20908" s="1" t="s">
        <v>32414</v>
      </c>
      <c r="B20908" s="2" t="s">
        <v>31676</v>
      </c>
      <c r="C20908" s="1" t="s">
        <v>5692</v>
      </c>
      <c r="D20908" s="1" t="s">
        <v>5693</v>
      </c>
    </row>
    <row r="20909">
      <c r="A20909" s="1" t="s">
        <v>32415</v>
      </c>
      <c r="B20909" s="2" t="s">
        <v>31678</v>
      </c>
      <c r="C20909" s="1" t="s">
        <v>5692</v>
      </c>
      <c r="D20909" s="1" t="s">
        <v>5693</v>
      </c>
    </row>
    <row r="20910">
      <c r="A20910" s="1" t="s">
        <v>32416</v>
      </c>
      <c r="B20910" s="2" t="s">
        <v>31680</v>
      </c>
      <c r="C20910" s="1" t="s">
        <v>5692</v>
      </c>
      <c r="D20910" s="1" t="s">
        <v>5693</v>
      </c>
    </row>
    <row r="20911">
      <c r="A20911" s="1" t="s">
        <v>32417</v>
      </c>
      <c r="B20911" s="2" t="s">
        <v>31682</v>
      </c>
      <c r="C20911" s="1" t="s">
        <v>5692</v>
      </c>
      <c r="D20911" s="1" t="s">
        <v>5693</v>
      </c>
    </row>
    <row r="20912">
      <c r="A20912" s="1" t="s">
        <v>32418</v>
      </c>
      <c r="B20912" s="2" t="s">
        <v>31684</v>
      </c>
      <c r="C20912" s="1" t="s">
        <v>5692</v>
      </c>
      <c r="D20912" s="1" t="s">
        <v>5693</v>
      </c>
    </row>
    <row r="20913">
      <c r="A20913" s="1" t="s">
        <v>32419</v>
      </c>
      <c r="B20913" s="2" t="s">
        <v>31686</v>
      </c>
      <c r="C20913" s="1" t="s">
        <v>5692</v>
      </c>
      <c r="D20913" s="1" t="s">
        <v>5693</v>
      </c>
    </row>
    <row r="20914">
      <c r="A20914" s="1" t="s">
        <v>32420</v>
      </c>
      <c r="B20914" s="2" t="s">
        <v>31688</v>
      </c>
      <c r="C20914" s="1" t="s">
        <v>5692</v>
      </c>
      <c r="D20914" s="1" t="s">
        <v>5693</v>
      </c>
    </row>
    <row r="20915">
      <c r="A20915" s="1" t="s">
        <v>32421</v>
      </c>
      <c r="B20915" s="2" t="s">
        <v>31690</v>
      </c>
      <c r="C20915" s="1" t="s">
        <v>5692</v>
      </c>
      <c r="D20915" s="1" t="s">
        <v>5693</v>
      </c>
    </row>
    <row r="20916">
      <c r="A20916" s="1" t="s">
        <v>32422</v>
      </c>
      <c r="B20916" s="2" t="s">
        <v>31692</v>
      </c>
      <c r="C20916" s="1" t="s">
        <v>5692</v>
      </c>
      <c r="D20916" s="1" t="s">
        <v>5693</v>
      </c>
    </row>
    <row r="20917">
      <c r="A20917" s="1" t="s">
        <v>32423</v>
      </c>
      <c r="B20917" s="2" t="s">
        <v>31694</v>
      </c>
      <c r="C20917" s="1" t="s">
        <v>5692</v>
      </c>
      <c r="D20917" s="1" t="s">
        <v>5693</v>
      </c>
    </row>
    <row r="20918">
      <c r="A20918" s="1" t="s">
        <v>32424</v>
      </c>
      <c r="B20918" s="2" t="s">
        <v>31696</v>
      </c>
      <c r="C20918" s="1" t="s">
        <v>5692</v>
      </c>
      <c r="D20918" s="1" t="s">
        <v>5693</v>
      </c>
    </row>
    <row r="20919">
      <c r="A20919" s="1" t="s">
        <v>32425</v>
      </c>
      <c r="B20919" s="2" t="s">
        <v>31698</v>
      </c>
      <c r="C20919" s="1" t="s">
        <v>5692</v>
      </c>
      <c r="D20919" s="1" t="s">
        <v>5693</v>
      </c>
    </row>
    <row r="20920">
      <c r="A20920" s="1" t="s">
        <v>32426</v>
      </c>
      <c r="B20920" s="2" t="s">
        <v>31700</v>
      </c>
      <c r="C20920" s="1" t="s">
        <v>5692</v>
      </c>
      <c r="D20920" s="1" t="s">
        <v>5693</v>
      </c>
    </row>
    <row r="20921">
      <c r="A20921" s="1" t="s">
        <v>32427</v>
      </c>
      <c r="B20921" s="2" t="s">
        <v>31702</v>
      </c>
      <c r="C20921" s="1" t="s">
        <v>5692</v>
      </c>
      <c r="D20921" s="1" t="s">
        <v>5693</v>
      </c>
    </row>
    <row r="20922">
      <c r="A20922" s="1" t="s">
        <v>32428</v>
      </c>
      <c r="B20922" s="2" t="s">
        <v>31704</v>
      </c>
      <c r="C20922" s="1" t="s">
        <v>5692</v>
      </c>
      <c r="D20922" s="1" t="s">
        <v>5693</v>
      </c>
    </row>
    <row r="20923">
      <c r="A20923" s="1" t="s">
        <v>32429</v>
      </c>
      <c r="B20923" s="2" t="s">
        <v>31706</v>
      </c>
      <c r="C20923" s="1" t="s">
        <v>5692</v>
      </c>
      <c r="D20923" s="1" t="s">
        <v>5693</v>
      </c>
    </row>
    <row r="20924">
      <c r="A20924" s="1" t="s">
        <v>32430</v>
      </c>
      <c r="B20924" s="2" t="s">
        <v>31708</v>
      </c>
      <c r="C20924" s="1" t="s">
        <v>5692</v>
      </c>
      <c r="D20924" s="1" t="s">
        <v>5693</v>
      </c>
    </row>
    <row r="20925">
      <c r="A20925" s="1" t="s">
        <v>32431</v>
      </c>
      <c r="B20925" s="2" t="s">
        <v>31710</v>
      </c>
      <c r="C20925" s="1" t="s">
        <v>5692</v>
      </c>
      <c r="D20925" s="1" t="s">
        <v>5693</v>
      </c>
    </row>
    <row r="20926">
      <c r="A20926" s="1" t="s">
        <v>32432</v>
      </c>
      <c r="B20926" s="2" t="s">
        <v>31712</v>
      </c>
      <c r="C20926" s="1" t="s">
        <v>5692</v>
      </c>
      <c r="D20926" s="1" t="s">
        <v>5693</v>
      </c>
    </row>
    <row r="20927">
      <c r="A20927" s="1" t="s">
        <v>32433</v>
      </c>
      <c r="B20927" s="2" t="s">
        <v>31714</v>
      </c>
      <c r="C20927" s="1" t="s">
        <v>5692</v>
      </c>
      <c r="D20927" s="1" t="s">
        <v>5693</v>
      </c>
    </row>
    <row r="20928">
      <c r="A20928" s="1" t="s">
        <v>32434</v>
      </c>
      <c r="B20928" s="2" t="s">
        <v>31716</v>
      </c>
      <c r="C20928" s="1" t="s">
        <v>5692</v>
      </c>
      <c r="D20928" s="1" t="s">
        <v>5693</v>
      </c>
    </row>
    <row r="20929">
      <c r="A20929" s="1" t="s">
        <v>32435</v>
      </c>
      <c r="B20929" s="2" t="s">
        <v>31718</v>
      </c>
      <c r="C20929" s="1" t="s">
        <v>5692</v>
      </c>
      <c r="D20929" s="1" t="s">
        <v>5693</v>
      </c>
    </row>
    <row r="20930">
      <c r="A20930" s="1" t="s">
        <v>32436</v>
      </c>
      <c r="B20930" s="2" t="s">
        <v>31720</v>
      </c>
      <c r="C20930" s="1" t="s">
        <v>5692</v>
      </c>
      <c r="D20930" s="1" t="s">
        <v>5693</v>
      </c>
    </row>
    <row r="20931">
      <c r="A20931" s="1" t="s">
        <v>32437</v>
      </c>
      <c r="B20931" s="2" t="s">
        <v>31722</v>
      </c>
      <c r="C20931" s="1" t="s">
        <v>5692</v>
      </c>
      <c r="D20931" s="1" t="s">
        <v>5693</v>
      </c>
    </row>
    <row r="20932">
      <c r="A20932" s="1" t="s">
        <v>32438</v>
      </c>
      <c r="B20932" s="2" t="s">
        <v>31724</v>
      </c>
      <c r="C20932" s="1" t="s">
        <v>5692</v>
      </c>
      <c r="D20932" s="1" t="s">
        <v>5693</v>
      </c>
    </row>
    <row r="20933">
      <c r="A20933" s="1" t="s">
        <v>32439</v>
      </c>
      <c r="B20933" s="2" t="s">
        <v>31726</v>
      </c>
      <c r="C20933" s="1" t="s">
        <v>5692</v>
      </c>
      <c r="D20933" s="1" t="s">
        <v>5693</v>
      </c>
    </row>
    <row r="20934">
      <c r="A20934" s="1" t="s">
        <v>32440</v>
      </c>
      <c r="B20934" s="2" t="s">
        <v>31728</v>
      </c>
      <c r="C20934" s="1" t="s">
        <v>5692</v>
      </c>
      <c r="D20934" s="1" t="s">
        <v>5693</v>
      </c>
    </row>
    <row r="20935">
      <c r="A20935" s="1" t="s">
        <v>32441</v>
      </c>
      <c r="B20935" s="2" t="s">
        <v>31730</v>
      </c>
      <c r="C20935" s="1" t="s">
        <v>5692</v>
      </c>
      <c r="D20935" s="1" t="s">
        <v>5693</v>
      </c>
    </row>
    <row r="20936">
      <c r="A20936" s="1" t="s">
        <v>32442</v>
      </c>
      <c r="B20936" s="2" t="s">
        <v>31732</v>
      </c>
      <c r="C20936" s="1" t="s">
        <v>5692</v>
      </c>
      <c r="D20936" s="1" t="s">
        <v>5693</v>
      </c>
    </row>
    <row r="20937">
      <c r="A20937" s="1" t="s">
        <v>32443</v>
      </c>
      <c r="B20937" s="2" t="s">
        <v>31734</v>
      </c>
      <c r="C20937" s="1" t="s">
        <v>5692</v>
      </c>
      <c r="D20937" s="1" t="s">
        <v>5693</v>
      </c>
    </row>
    <row r="20938">
      <c r="A20938" s="1" t="s">
        <v>32444</v>
      </c>
      <c r="B20938" s="2" t="s">
        <v>31736</v>
      </c>
      <c r="C20938" s="1" t="s">
        <v>5692</v>
      </c>
      <c r="D20938" s="1" t="s">
        <v>5693</v>
      </c>
    </row>
    <row r="20939">
      <c r="A20939" s="1" t="s">
        <v>32445</v>
      </c>
      <c r="B20939" s="2" t="s">
        <v>31738</v>
      </c>
      <c r="C20939" s="1" t="s">
        <v>5692</v>
      </c>
      <c r="D20939" s="1" t="s">
        <v>5693</v>
      </c>
    </row>
    <row r="20940">
      <c r="A20940" s="1" t="s">
        <v>32446</v>
      </c>
      <c r="B20940" s="2" t="s">
        <v>31740</v>
      </c>
      <c r="C20940" s="1" t="s">
        <v>5692</v>
      </c>
      <c r="D20940" s="1" t="s">
        <v>5693</v>
      </c>
    </row>
    <row r="20941">
      <c r="A20941" s="1" t="s">
        <v>32447</v>
      </c>
      <c r="B20941" s="2" t="s">
        <v>31742</v>
      </c>
      <c r="C20941" s="1" t="s">
        <v>5692</v>
      </c>
      <c r="D20941" s="1" t="s">
        <v>5693</v>
      </c>
    </row>
    <row r="20942">
      <c r="A20942" s="1" t="s">
        <v>32448</v>
      </c>
      <c r="B20942" s="2" t="s">
        <v>31744</v>
      </c>
      <c r="C20942" s="1" t="s">
        <v>5692</v>
      </c>
      <c r="D20942" s="1" t="s">
        <v>5693</v>
      </c>
    </row>
    <row r="20943">
      <c r="A20943" s="1" t="s">
        <v>32449</v>
      </c>
      <c r="B20943" s="2" t="s">
        <v>31746</v>
      </c>
      <c r="C20943" s="1" t="s">
        <v>5692</v>
      </c>
      <c r="D20943" s="1" t="s">
        <v>5693</v>
      </c>
    </row>
    <row r="20944">
      <c r="A20944" s="1" t="s">
        <v>32450</v>
      </c>
      <c r="B20944" s="2" t="s">
        <v>31748</v>
      </c>
      <c r="C20944" s="1" t="s">
        <v>5692</v>
      </c>
      <c r="D20944" s="1" t="s">
        <v>5693</v>
      </c>
    </row>
    <row r="20945">
      <c r="A20945" s="1" t="s">
        <v>32451</v>
      </c>
      <c r="B20945" s="2" t="s">
        <v>31750</v>
      </c>
      <c r="C20945" s="1" t="s">
        <v>5692</v>
      </c>
      <c r="D20945" s="1" t="s">
        <v>5693</v>
      </c>
    </row>
    <row r="20946">
      <c r="A20946" s="1" t="s">
        <v>32452</v>
      </c>
      <c r="B20946" s="2" t="s">
        <v>31752</v>
      </c>
      <c r="C20946" s="1" t="s">
        <v>5692</v>
      </c>
      <c r="D20946" s="1" t="s">
        <v>5693</v>
      </c>
    </row>
    <row r="20947">
      <c r="A20947" s="1" t="s">
        <v>32453</v>
      </c>
      <c r="B20947" s="2" t="s">
        <v>31754</v>
      </c>
      <c r="C20947" s="1" t="s">
        <v>5692</v>
      </c>
      <c r="D20947" s="1" t="s">
        <v>5693</v>
      </c>
    </row>
    <row r="20948">
      <c r="A20948" s="1" t="s">
        <v>32454</v>
      </c>
      <c r="B20948" s="2" t="s">
        <v>31756</v>
      </c>
      <c r="C20948" s="1" t="s">
        <v>5692</v>
      </c>
      <c r="D20948" s="1" t="s">
        <v>5693</v>
      </c>
    </row>
    <row r="20949">
      <c r="A20949" s="1" t="s">
        <v>32455</v>
      </c>
      <c r="B20949" s="2" t="s">
        <v>31758</v>
      </c>
      <c r="C20949" s="1" t="s">
        <v>5692</v>
      </c>
      <c r="D20949" s="1" t="s">
        <v>5693</v>
      </c>
    </row>
    <row r="20950">
      <c r="A20950" s="1" t="s">
        <v>32456</v>
      </c>
      <c r="B20950" s="2" t="s">
        <v>31760</v>
      </c>
      <c r="C20950" s="1" t="s">
        <v>5692</v>
      </c>
      <c r="D20950" s="1" t="s">
        <v>5693</v>
      </c>
    </row>
    <row r="20951">
      <c r="A20951" s="1" t="s">
        <v>32457</v>
      </c>
      <c r="B20951" s="2" t="s">
        <v>31762</v>
      </c>
      <c r="C20951" s="1" t="s">
        <v>5692</v>
      </c>
      <c r="D20951" s="1" t="s">
        <v>5693</v>
      </c>
    </row>
    <row r="20952">
      <c r="A20952" s="1" t="s">
        <v>32458</v>
      </c>
      <c r="B20952" s="2" t="s">
        <v>31764</v>
      </c>
      <c r="C20952" s="1" t="s">
        <v>5692</v>
      </c>
      <c r="D20952" s="1" t="s">
        <v>5693</v>
      </c>
    </row>
    <row r="20953">
      <c r="A20953" s="1" t="s">
        <v>32459</v>
      </c>
      <c r="B20953" s="2" t="s">
        <v>31766</v>
      </c>
      <c r="C20953" s="1" t="s">
        <v>5692</v>
      </c>
      <c r="D20953" s="1" t="s">
        <v>5693</v>
      </c>
    </row>
    <row r="20954">
      <c r="A20954" s="1" t="s">
        <v>32460</v>
      </c>
      <c r="B20954" s="2" t="s">
        <v>31768</v>
      </c>
      <c r="C20954" s="1" t="s">
        <v>5692</v>
      </c>
      <c r="D20954" s="1" t="s">
        <v>5693</v>
      </c>
    </row>
    <row r="20955">
      <c r="A20955" s="1" t="s">
        <v>32461</v>
      </c>
      <c r="B20955" s="2" t="s">
        <v>31770</v>
      </c>
      <c r="C20955" s="1" t="s">
        <v>5692</v>
      </c>
      <c r="D20955" s="1" t="s">
        <v>5693</v>
      </c>
    </row>
    <row r="20956">
      <c r="A20956" s="1" t="s">
        <v>32462</v>
      </c>
      <c r="B20956" s="2" t="s">
        <v>31772</v>
      </c>
      <c r="C20956" s="1" t="s">
        <v>5692</v>
      </c>
      <c r="D20956" s="1" t="s">
        <v>5693</v>
      </c>
    </row>
    <row r="20957">
      <c r="A20957" s="1" t="s">
        <v>32463</v>
      </c>
      <c r="B20957" s="2" t="s">
        <v>31774</v>
      </c>
      <c r="C20957" s="1" t="s">
        <v>5692</v>
      </c>
      <c r="D20957" s="1" t="s">
        <v>5693</v>
      </c>
    </row>
    <row r="20958">
      <c r="A20958" s="1" t="s">
        <v>32464</v>
      </c>
      <c r="B20958" s="2" t="s">
        <v>31776</v>
      </c>
      <c r="C20958" s="1" t="s">
        <v>5692</v>
      </c>
      <c r="D20958" s="1" t="s">
        <v>5693</v>
      </c>
    </row>
    <row r="20959">
      <c r="A20959" s="1" t="s">
        <v>32465</v>
      </c>
      <c r="B20959" s="2" t="s">
        <v>31778</v>
      </c>
      <c r="C20959" s="1" t="s">
        <v>5692</v>
      </c>
      <c r="D20959" s="1" t="s">
        <v>5693</v>
      </c>
    </row>
    <row r="20960">
      <c r="A20960" s="1" t="s">
        <v>32466</v>
      </c>
      <c r="B20960" s="2" t="s">
        <v>31780</v>
      </c>
      <c r="C20960" s="1" t="s">
        <v>5692</v>
      </c>
      <c r="D20960" s="1" t="s">
        <v>5693</v>
      </c>
    </row>
    <row r="20961">
      <c r="A20961" s="1" t="s">
        <v>32467</v>
      </c>
      <c r="B20961" s="2" t="s">
        <v>31782</v>
      </c>
      <c r="C20961" s="1" t="s">
        <v>5692</v>
      </c>
      <c r="D20961" s="1" t="s">
        <v>5693</v>
      </c>
    </row>
    <row r="20962">
      <c r="A20962" s="1" t="s">
        <v>32468</v>
      </c>
      <c r="B20962" s="2" t="s">
        <v>31784</v>
      </c>
      <c r="C20962" s="1" t="s">
        <v>5692</v>
      </c>
      <c r="D20962" s="1" t="s">
        <v>5693</v>
      </c>
    </row>
    <row r="20963">
      <c r="A20963" s="1" t="s">
        <v>32469</v>
      </c>
      <c r="B20963" s="2" t="s">
        <v>31786</v>
      </c>
      <c r="C20963" s="1" t="s">
        <v>5692</v>
      </c>
      <c r="D20963" s="1" t="s">
        <v>5693</v>
      </c>
    </row>
    <row r="20964">
      <c r="A20964" s="1" t="s">
        <v>32470</v>
      </c>
      <c r="B20964" s="2" t="s">
        <v>31788</v>
      </c>
      <c r="C20964" s="1" t="s">
        <v>5692</v>
      </c>
      <c r="D20964" s="1" t="s">
        <v>5693</v>
      </c>
    </row>
    <row r="20965">
      <c r="A20965" s="1" t="s">
        <v>32471</v>
      </c>
      <c r="B20965" s="2" t="s">
        <v>31790</v>
      </c>
      <c r="C20965" s="1" t="s">
        <v>5692</v>
      </c>
      <c r="D20965" s="1" t="s">
        <v>5693</v>
      </c>
    </row>
    <row r="20966">
      <c r="A20966" s="1" t="s">
        <v>32472</v>
      </c>
      <c r="B20966" s="2" t="s">
        <v>31792</v>
      </c>
      <c r="C20966" s="1" t="s">
        <v>5692</v>
      </c>
      <c r="D20966" s="1" t="s">
        <v>5693</v>
      </c>
    </row>
    <row r="20967">
      <c r="A20967" s="1" t="s">
        <v>32473</v>
      </c>
      <c r="B20967" s="2" t="s">
        <v>31794</v>
      </c>
      <c r="C20967" s="1" t="s">
        <v>5692</v>
      </c>
      <c r="D20967" s="1" t="s">
        <v>5693</v>
      </c>
    </row>
    <row r="20968">
      <c r="A20968" s="1" t="s">
        <v>32474</v>
      </c>
      <c r="B20968" s="2" t="s">
        <v>31796</v>
      </c>
      <c r="C20968" s="1" t="s">
        <v>5692</v>
      </c>
      <c r="D20968" s="1" t="s">
        <v>5693</v>
      </c>
    </row>
    <row r="20969">
      <c r="A20969" s="1" t="s">
        <v>32475</v>
      </c>
      <c r="B20969" s="2" t="s">
        <v>31798</v>
      </c>
      <c r="C20969" s="1" t="s">
        <v>5692</v>
      </c>
      <c r="D20969" s="1" t="s">
        <v>5693</v>
      </c>
    </row>
    <row r="20970">
      <c r="A20970" s="1" t="s">
        <v>32476</v>
      </c>
      <c r="B20970" s="2" t="s">
        <v>31800</v>
      </c>
      <c r="C20970" s="1" t="s">
        <v>5692</v>
      </c>
      <c r="D20970" s="1" t="s">
        <v>5693</v>
      </c>
    </row>
    <row r="20971">
      <c r="A20971" s="1" t="s">
        <v>32477</v>
      </c>
      <c r="B20971" s="2" t="s">
        <v>31802</v>
      </c>
      <c r="C20971" s="1" t="s">
        <v>5692</v>
      </c>
      <c r="D20971" s="1" t="s">
        <v>5693</v>
      </c>
    </row>
    <row r="20972">
      <c r="A20972" s="1" t="s">
        <v>32478</v>
      </c>
      <c r="B20972" s="2" t="s">
        <v>31804</v>
      </c>
      <c r="C20972" s="1" t="s">
        <v>5692</v>
      </c>
      <c r="D20972" s="1" t="s">
        <v>5693</v>
      </c>
    </row>
    <row r="20973">
      <c r="A20973" s="1" t="s">
        <v>32479</v>
      </c>
      <c r="B20973" s="2" t="s">
        <v>31806</v>
      </c>
      <c r="C20973" s="1" t="s">
        <v>5692</v>
      </c>
      <c r="D20973" s="1" t="s">
        <v>5693</v>
      </c>
    </row>
    <row r="20974">
      <c r="A20974" s="1" t="s">
        <v>32480</v>
      </c>
      <c r="B20974" s="2" t="s">
        <v>31808</v>
      </c>
      <c r="C20974" s="1" t="s">
        <v>5692</v>
      </c>
      <c r="D20974" s="1" t="s">
        <v>5693</v>
      </c>
    </row>
    <row r="20975">
      <c r="A20975" s="1" t="s">
        <v>32481</v>
      </c>
      <c r="B20975" s="2" t="s">
        <v>31810</v>
      </c>
      <c r="C20975" s="1" t="s">
        <v>5692</v>
      </c>
      <c r="D20975" s="1" t="s">
        <v>5693</v>
      </c>
    </row>
    <row r="20976">
      <c r="A20976" s="1" t="s">
        <v>32482</v>
      </c>
      <c r="B20976" s="2" t="s">
        <v>31812</v>
      </c>
      <c r="C20976" s="1" t="s">
        <v>5692</v>
      </c>
      <c r="D20976" s="1" t="s">
        <v>5693</v>
      </c>
    </row>
    <row r="20977">
      <c r="A20977" s="1" t="s">
        <v>32483</v>
      </c>
      <c r="B20977" s="2" t="s">
        <v>31814</v>
      </c>
      <c r="C20977" s="1" t="s">
        <v>5692</v>
      </c>
      <c r="D20977" s="1" t="s">
        <v>5693</v>
      </c>
    </row>
    <row r="20978">
      <c r="A20978" s="1" t="s">
        <v>32484</v>
      </c>
      <c r="B20978" s="2" t="s">
        <v>31816</v>
      </c>
      <c r="C20978" s="1" t="s">
        <v>5692</v>
      </c>
      <c r="D20978" s="1" t="s">
        <v>5693</v>
      </c>
    </row>
    <row r="20979">
      <c r="A20979" s="1" t="s">
        <v>32485</v>
      </c>
      <c r="B20979" s="2" t="s">
        <v>31818</v>
      </c>
      <c r="C20979" s="1" t="s">
        <v>5692</v>
      </c>
      <c r="D20979" s="1" t="s">
        <v>5693</v>
      </c>
    </row>
    <row r="20980">
      <c r="A20980" s="1" t="s">
        <v>32486</v>
      </c>
      <c r="B20980" s="2" t="s">
        <v>31820</v>
      </c>
      <c r="C20980" s="1" t="s">
        <v>5692</v>
      </c>
      <c r="D20980" s="1" t="s">
        <v>5693</v>
      </c>
    </row>
    <row r="20981">
      <c r="A20981" s="1" t="s">
        <v>32487</v>
      </c>
      <c r="B20981" s="2" t="s">
        <v>31822</v>
      </c>
      <c r="C20981" s="1" t="s">
        <v>5692</v>
      </c>
      <c r="D20981" s="1" t="s">
        <v>5693</v>
      </c>
    </row>
    <row r="20982">
      <c r="A20982" s="1" t="s">
        <v>32488</v>
      </c>
      <c r="B20982" s="2" t="s">
        <v>31824</v>
      </c>
      <c r="C20982" s="1" t="s">
        <v>5692</v>
      </c>
      <c r="D20982" s="1" t="s">
        <v>5693</v>
      </c>
    </row>
    <row r="20983">
      <c r="A20983" s="1" t="s">
        <v>32489</v>
      </c>
      <c r="B20983" s="2" t="s">
        <v>31826</v>
      </c>
      <c r="C20983" s="1" t="s">
        <v>5692</v>
      </c>
      <c r="D20983" s="1" t="s">
        <v>5693</v>
      </c>
    </row>
    <row r="20984">
      <c r="A20984" s="1" t="s">
        <v>32490</v>
      </c>
      <c r="B20984" s="2" t="s">
        <v>31828</v>
      </c>
      <c r="C20984" s="1" t="s">
        <v>5692</v>
      </c>
      <c r="D20984" s="1" t="s">
        <v>5693</v>
      </c>
    </row>
    <row r="20985">
      <c r="A20985" s="1" t="s">
        <v>32491</v>
      </c>
      <c r="B20985" s="2" t="s">
        <v>31830</v>
      </c>
      <c r="C20985" s="1" t="s">
        <v>5692</v>
      </c>
      <c r="D20985" s="1" t="s">
        <v>5693</v>
      </c>
    </row>
    <row r="20986">
      <c r="A20986" s="1" t="s">
        <v>32492</v>
      </c>
      <c r="B20986" s="2" t="s">
        <v>31832</v>
      </c>
      <c r="C20986" s="1" t="s">
        <v>5692</v>
      </c>
      <c r="D20986" s="1" t="s">
        <v>5693</v>
      </c>
    </row>
    <row r="20987">
      <c r="A20987" s="1" t="s">
        <v>32493</v>
      </c>
      <c r="B20987" s="2" t="s">
        <v>31834</v>
      </c>
      <c r="C20987" s="1" t="s">
        <v>5692</v>
      </c>
      <c r="D20987" s="1" t="s">
        <v>5693</v>
      </c>
    </row>
    <row r="20988">
      <c r="A20988" s="1" t="s">
        <v>32494</v>
      </c>
      <c r="B20988" s="2" t="s">
        <v>31836</v>
      </c>
      <c r="C20988" s="1" t="s">
        <v>5692</v>
      </c>
      <c r="D20988" s="1" t="s">
        <v>5693</v>
      </c>
    </row>
    <row r="20989">
      <c r="A20989" s="1" t="s">
        <v>32495</v>
      </c>
      <c r="B20989" s="2" t="s">
        <v>31838</v>
      </c>
      <c r="C20989" s="1" t="s">
        <v>5692</v>
      </c>
      <c r="D20989" s="1" t="s">
        <v>5693</v>
      </c>
    </row>
    <row r="20990">
      <c r="A20990" s="1" t="s">
        <v>32496</v>
      </c>
      <c r="B20990" s="2" t="s">
        <v>31840</v>
      </c>
      <c r="C20990" s="1" t="s">
        <v>5692</v>
      </c>
      <c r="D20990" s="1" t="s">
        <v>5693</v>
      </c>
    </row>
    <row r="20991">
      <c r="A20991" s="1" t="s">
        <v>32497</v>
      </c>
      <c r="B20991" s="2" t="s">
        <v>31842</v>
      </c>
      <c r="C20991" s="1" t="s">
        <v>5692</v>
      </c>
      <c r="D20991" s="1" t="s">
        <v>5693</v>
      </c>
    </row>
    <row r="20992">
      <c r="A20992" s="1" t="s">
        <v>32498</v>
      </c>
      <c r="B20992" s="2" t="s">
        <v>31844</v>
      </c>
      <c r="C20992" s="1" t="s">
        <v>5692</v>
      </c>
      <c r="D20992" s="1" t="s">
        <v>5693</v>
      </c>
    </row>
    <row r="20993">
      <c r="A20993" s="1" t="s">
        <v>32499</v>
      </c>
      <c r="B20993" s="2" t="s">
        <v>31846</v>
      </c>
      <c r="C20993" s="1" t="s">
        <v>5692</v>
      </c>
      <c r="D20993" s="1" t="s">
        <v>5693</v>
      </c>
    </row>
    <row r="20994">
      <c r="A20994" s="1" t="s">
        <v>32500</v>
      </c>
      <c r="B20994" s="2" t="s">
        <v>31848</v>
      </c>
      <c r="C20994" s="1" t="s">
        <v>5692</v>
      </c>
      <c r="D20994" s="1" t="s">
        <v>5693</v>
      </c>
    </row>
    <row r="20995">
      <c r="A20995" s="1" t="s">
        <v>32501</v>
      </c>
      <c r="B20995" s="2" t="s">
        <v>31850</v>
      </c>
      <c r="C20995" s="1" t="s">
        <v>5692</v>
      </c>
      <c r="D20995" s="1" t="s">
        <v>5693</v>
      </c>
    </row>
    <row r="20996">
      <c r="A20996" s="1" t="s">
        <v>32502</v>
      </c>
      <c r="B20996" s="2" t="s">
        <v>31852</v>
      </c>
      <c r="C20996" s="1" t="s">
        <v>5692</v>
      </c>
      <c r="D20996" s="1" t="s">
        <v>5693</v>
      </c>
    </row>
    <row r="20997">
      <c r="A20997" s="1" t="s">
        <v>32503</v>
      </c>
      <c r="B20997" s="2" t="s">
        <v>31854</v>
      </c>
      <c r="C20997" s="1" t="s">
        <v>5692</v>
      </c>
      <c r="D20997" s="1" t="s">
        <v>5693</v>
      </c>
    </row>
    <row r="20998">
      <c r="A20998" s="1" t="s">
        <v>32504</v>
      </c>
      <c r="B20998" s="2" t="s">
        <v>31856</v>
      </c>
      <c r="C20998" s="1" t="s">
        <v>5692</v>
      </c>
      <c r="D20998" s="1" t="s">
        <v>5693</v>
      </c>
    </row>
    <row r="20999">
      <c r="A20999" s="1" t="s">
        <v>32505</v>
      </c>
      <c r="B20999" s="2" t="s">
        <v>31858</v>
      </c>
      <c r="C20999" s="1" t="s">
        <v>5692</v>
      </c>
      <c r="D20999" s="1" t="s">
        <v>5693</v>
      </c>
    </row>
    <row r="21000">
      <c r="A21000" s="1" t="s">
        <v>32506</v>
      </c>
      <c r="B21000" s="2" t="s">
        <v>31860</v>
      </c>
      <c r="C21000" s="1" t="s">
        <v>5692</v>
      </c>
      <c r="D21000" s="1" t="s">
        <v>5693</v>
      </c>
    </row>
    <row r="21001">
      <c r="A21001" s="1" t="s">
        <v>32507</v>
      </c>
      <c r="B21001" s="2" t="s">
        <v>31862</v>
      </c>
      <c r="C21001" s="1" t="s">
        <v>5692</v>
      </c>
      <c r="D21001" s="1" t="s">
        <v>5693</v>
      </c>
    </row>
    <row r="21002">
      <c r="A21002" s="1" t="s">
        <v>32508</v>
      </c>
      <c r="B21002" s="2" t="s">
        <v>31864</v>
      </c>
      <c r="C21002" s="1" t="s">
        <v>5692</v>
      </c>
      <c r="D21002" s="1" t="s">
        <v>5693</v>
      </c>
    </row>
    <row r="21003">
      <c r="A21003" s="1" t="s">
        <v>32509</v>
      </c>
      <c r="B21003" s="2" t="s">
        <v>31866</v>
      </c>
      <c r="C21003" s="1" t="s">
        <v>5692</v>
      </c>
      <c r="D21003" s="1" t="s">
        <v>5693</v>
      </c>
    </row>
    <row r="21004">
      <c r="A21004" s="1" t="s">
        <v>32510</v>
      </c>
      <c r="B21004" s="2" t="s">
        <v>31868</v>
      </c>
      <c r="C21004" s="1" t="s">
        <v>5692</v>
      </c>
      <c r="D21004" s="1" t="s">
        <v>5693</v>
      </c>
    </row>
    <row r="21005">
      <c r="A21005" s="1" t="s">
        <v>32511</v>
      </c>
      <c r="B21005" s="2" t="s">
        <v>31870</v>
      </c>
      <c r="C21005" s="1" t="s">
        <v>5692</v>
      </c>
      <c r="D21005" s="1" t="s">
        <v>5693</v>
      </c>
    </row>
    <row r="21006">
      <c r="A21006" s="1" t="s">
        <v>32512</v>
      </c>
      <c r="B21006" s="2" t="s">
        <v>31872</v>
      </c>
      <c r="C21006" s="1" t="s">
        <v>5692</v>
      </c>
      <c r="D21006" s="1" t="s">
        <v>5693</v>
      </c>
    </row>
    <row r="21007">
      <c r="A21007" s="1" t="s">
        <v>32513</v>
      </c>
      <c r="B21007" s="2" t="s">
        <v>31874</v>
      </c>
      <c r="C21007" s="1" t="s">
        <v>5692</v>
      </c>
      <c r="D21007" s="1" t="s">
        <v>5693</v>
      </c>
    </row>
    <row r="21008">
      <c r="A21008" s="1" t="s">
        <v>32514</v>
      </c>
      <c r="B21008" s="2" t="s">
        <v>31876</v>
      </c>
      <c r="C21008" s="1" t="s">
        <v>5692</v>
      </c>
      <c r="D21008" s="1" t="s">
        <v>5693</v>
      </c>
    </row>
    <row r="21009">
      <c r="A21009" s="1" t="s">
        <v>32515</v>
      </c>
      <c r="B21009" s="2" t="s">
        <v>31878</v>
      </c>
      <c r="C21009" s="1" t="s">
        <v>5692</v>
      </c>
      <c r="D21009" s="1" t="s">
        <v>5693</v>
      </c>
    </row>
    <row r="21010">
      <c r="A21010" s="1" t="s">
        <v>32516</v>
      </c>
      <c r="B21010" s="2" t="s">
        <v>31880</v>
      </c>
      <c r="C21010" s="1" t="s">
        <v>5692</v>
      </c>
      <c r="D21010" s="1" t="s">
        <v>5693</v>
      </c>
    </row>
    <row r="21011">
      <c r="A21011" s="1" t="s">
        <v>32517</v>
      </c>
      <c r="B21011" s="2" t="s">
        <v>31882</v>
      </c>
      <c r="C21011" s="1" t="s">
        <v>5692</v>
      </c>
      <c r="D21011" s="1" t="s">
        <v>5693</v>
      </c>
    </row>
    <row r="21012">
      <c r="A21012" s="1" t="s">
        <v>32518</v>
      </c>
      <c r="B21012" s="2" t="s">
        <v>31884</v>
      </c>
      <c r="C21012" s="1" t="s">
        <v>5692</v>
      </c>
      <c r="D21012" s="1" t="s">
        <v>5693</v>
      </c>
    </row>
    <row r="21013">
      <c r="A21013" s="1" t="s">
        <v>32519</v>
      </c>
      <c r="B21013" s="2" t="s">
        <v>31886</v>
      </c>
      <c r="C21013" s="1" t="s">
        <v>5692</v>
      </c>
      <c r="D21013" s="1" t="s">
        <v>5693</v>
      </c>
    </row>
    <row r="21014">
      <c r="A21014" s="1" t="s">
        <v>32520</v>
      </c>
      <c r="B21014" s="2" t="s">
        <v>31888</v>
      </c>
      <c r="C21014" s="1" t="s">
        <v>5692</v>
      </c>
      <c r="D21014" s="1" t="s">
        <v>5693</v>
      </c>
    </row>
    <row r="21015">
      <c r="A21015" s="1" t="s">
        <v>32521</v>
      </c>
      <c r="B21015" s="2" t="s">
        <v>31890</v>
      </c>
      <c r="C21015" s="1" t="s">
        <v>5692</v>
      </c>
      <c r="D21015" s="1" t="s">
        <v>5693</v>
      </c>
    </row>
    <row r="21016">
      <c r="A21016" s="1" t="s">
        <v>32522</v>
      </c>
      <c r="B21016" s="2" t="s">
        <v>31892</v>
      </c>
      <c r="C21016" s="1" t="s">
        <v>5692</v>
      </c>
      <c r="D21016" s="1" t="s">
        <v>5693</v>
      </c>
    </row>
    <row r="21017">
      <c r="A21017" s="1" t="s">
        <v>32523</v>
      </c>
      <c r="B21017" s="2" t="s">
        <v>31894</v>
      </c>
      <c r="C21017" s="1" t="s">
        <v>5692</v>
      </c>
      <c r="D21017" s="1" t="s">
        <v>5693</v>
      </c>
    </row>
    <row r="21018">
      <c r="A21018" s="1" t="s">
        <v>32524</v>
      </c>
      <c r="B21018" s="2" t="s">
        <v>31896</v>
      </c>
      <c r="C21018" s="1" t="s">
        <v>5692</v>
      </c>
      <c r="D21018" s="1" t="s">
        <v>5693</v>
      </c>
    </row>
    <row r="21019">
      <c r="A21019" s="1" t="s">
        <v>32525</v>
      </c>
      <c r="B21019" s="2" t="s">
        <v>31898</v>
      </c>
      <c r="C21019" s="1" t="s">
        <v>5692</v>
      </c>
      <c r="D21019" s="1" t="s">
        <v>5693</v>
      </c>
    </row>
    <row r="21020">
      <c r="A21020" s="1" t="s">
        <v>32526</v>
      </c>
      <c r="B21020" s="2" t="s">
        <v>31900</v>
      </c>
      <c r="C21020" s="1" t="s">
        <v>5692</v>
      </c>
      <c r="D21020" s="1" t="s">
        <v>5693</v>
      </c>
    </row>
    <row r="21021">
      <c r="A21021" s="1" t="s">
        <v>32527</v>
      </c>
      <c r="B21021" s="2" t="s">
        <v>31902</v>
      </c>
      <c r="C21021" s="1" t="s">
        <v>5692</v>
      </c>
      <c r="D21021" s="1" t="s">
        <v>5693</v>
      </c>
    </row>
    <row r="21022">
      <c r="A21022" s="1" t="s">
        <v>32528</v>
      </c>
      <c r="B21022" s="2" t="s">
        <v>31904</v>
      </c>
      <c r="C21022" s="1" t="s">
        <v>5692</v>
      </c>
      <c r="D21022" s="1" t="s">
        <v>5693</v>
      </c>
    </row>
    <row r="21023">
      <c r="A21023" s="1" t="s">
        <v>32529</v>
      </c>
      <c r="B21023" s="2" t="s">
        <v>31906</v>
      </c>
      <c r="C21023" s="1" t="s">
        <v>5692</v>
      </c>
      <c r="D21023" s="1" t="s">
        <v>5693</v>
      </c>
    </row>
    <row r="21024">
      <c r="A21024" s="1" t="s">
        <v>32530</v>
      </c>
      <c r="B21024" s="2" t="s">
        <v>31908</v>
      </c>
      <c r="C21024" s="1" t="s">
        <v>5692</v>
      </c>
      <c r="D21024" s="1" t="s">
        <v>5693</v>
      </c>
    </row>
    <row r="21025">
      <c r="A21025" s="1" t="s">
        <v>32531</v>
      </c>
      <c r="B21025" s="2" t="s">
        <v>31910</v>
      </c>
      <c r="C21025" s="1" t="s">
        <v>5692</v>
      </c>
      <c r="D21025" s="1" t="s">
        <v>5693</v>
      </c>
    </row>
    <row r="21026">
      <c r="A21026" s="1" t="s">
        <v>32532</v>
      </c>
      <c r="B21026" s="2" t="s">
        <v>31912</v>
      </c>
      <c r="C21026" s="1" t="s">
        <v>5692</v>
      </c>
      <c r="D21026" s="1" t="s">
        <v>5693</v>
      </c>
    </row>
    <row r="21027">
      <c r="A21027" s="1" t="s">
        <v>32533</v>
      </c>
      <c r="B21027" s="2" t="s">
        <v>31914</v>
      </c>
      <c r="C21027" s="1" t="s">
        <v>5692</v>
      </c>
      <c r="D21027" s="1" t="s">
        <v>5693</v>
      </c>
    </row>
    <row r="21028">
      <c r="A21028" s="1" t="s">
        <v>32534</v>
      </c>
      <c r="B21028" s="2" t="s">
        <v>31916</v>
      </c>
      <c r="C21028" s="1" t="s">
        <v>5692</v>
      </c>
      <c r="D21028" s="1" t="s">
        <v>5693</v>
      </c>
    </row>
    <row r="21029">
      <c r="A21029" s="1" t="s">
        <v>32535</v>
      </c>
      <c r="B21029" s="2" t="s">
        <v>31918</v>
      </c>
      <c r="C21029" s="1" t="s">
        <v>5692</v>
      </c>
      <c r="D21029" s="1" t="s">
        <v>5693</v>
      </c>
    </row>
    <row r="21030">
      <c r="A21030" s="1" t="s">
        <v>32536</v>
      </c>
      <c r="B21030" s="2" t="s">
        <v>31920</v>
      </c>
      <c r="C21030" s="1" t="s">
        <v>5692</v>
      </c>
      <c r="D21030" s="1" t="s">
        <v>5693</v>
      </c>
    </row>
    <row r="21031">
      <c r="A21031" s="1" t="s">
        <v>32537</v>
      </c>
      <c r="B21031" s="2" t="s">
        <v>31922</v>
      </c>
      <c r="C21031" s="1" t="s">
        <v>5692</v>
      </c>
      <c r="D21031" s="1" t="s">
        <v>5693</v>
      </c>
    </row>
    <row r="21032">
      <c r="A21032" s="1" t="s">
        <v>32538</v>
      </c>
      <c r="B21032" s="2" t="s">
        <v>31924</v>
      </c>
      <c r="C21032" s="1" t="s">
        <v>5692</v>
      </c>
      <c r="D21032" s="1" t="s">
        <v>5693</v>
      </c>
    </row>
    <row r="21033">
      <c r="A21033" s="1" t="s">
        <v>32539</v>
      </c>
      <c r="B21033" s="2" t="s">
        <v>31926</v>
      </c>
      <c r="C21033" s="1" t="s">
        <v>5692</v>
      </c>
      <c r="D21033" s="1" t="s">
        <v>5693</v>
      </c>
    </row>
    <row r="21034">
      <c r="A21034" s="1" t="s">
        <v>32540</v>
      </c>
      <c r="B21034" s="2" t="s">
        <v>31928</v>
      </c>
      <c r="C21034" s="1" t="s">
        <v>5692</v>
      </c>
      <c r="D21034" s="1" t="s">
        <v>5693</v>
      </c>
    </row>
    <row r="21035">
      <c r="A21035" s="1" t="s">
        <v>32541</v>
      </c>
      <c r="B21035" s="2" t="s">
        <v>31930</v>
      </c>
      <c r="C21035" s="1" t="s">
        <v>5692</v>
      </c>
      <c r="D21035" s="1" t="s">
        <v>5693</v>
      </c>
    </row>
    <row r="21036">
      <c r="A21036" s="1" t="s">
        <v>32542</v>
      </c>
      <c r="B21036" s="2" t="s">
        <v>31932</v>
      </c>
      <c r="C21036" s="1" t="s">
        <v>5692</v>
      </c>
      <c r="D21036" s="1" t="s">
        <v>5693</v>
      </c>
    </row>
    <row r="21037">
      <c r="A21037" s="1" t="s">
        <v>32543</v>
      </c>
      <c r="B21037" s="2" t="s">
        <v>31934</v>
      </c>
      <c r="C21037" s="1" t="s">
        <v>5692</v>
      </c>
      <c r="D21037" s="1" t="s">
        <v>5693</v>
      </c>
    </row>
    <row r="21038">
      <c r="A21038" s="1" t="s">
        <v>32544</v>
      </c>
      <c r="B21038" s="2" t="s">
        <v>31936</v>
      </c>
      <c r="C21038" s="1" t="s">
        <v>5692</v>
      </c>
      <c r="D21038" s="1" t="s">
        <v>5693</v>
      </c>
    </row>
    <row r="21039">
      <c r="A21039" s="1" t="s">
        <v>32545</v>
      </c>
      <c r="B21039" s="2" t="s">
        <v>31938</v>
      </c>
      <c r="C21039" s="1" t="s">
        <v>5692</v>
      </c>
      <c r="D21039" s="1" t="s">
        <v>5693</v>
      </c>
    </row>
    <row r="21040">
      <c r="A21040" s="1" t="s">
        <v>32546</v>
      </c>
      <c r="B21040" s="2" t="s">
        <v>31940</v>
      </c>
      <c r="C21040" s="1" t="s">
        <v>5692</v>
      </c>
      <c r="D21040" s="1" t="s">
        <v>5693</v>
      </c>
    </row>
    <row r="21041">
      <c r="A21041" s="1" t="s">
        <v>32547</v>
      </c>
      <c r="B21041" s="2" t="s">
        <v>31942</v>
      </c>
      <c r="C21041" s="1" t="s">
        <v>5692</v>
      </c>
      <c r="D21041" s="1" t="s">
        <v>5693</v>
      </c>
    </row>
    <row r="21042">
      <c r="A21042" s="1" t="s">
        <v>32548</v>
      </c>
      <c r="B21042" s="2" t="s">
        <v>31944</v>
      </c>
      <c r="C21042" s="1" t="s">
        <v>5692</v>
      </c>
      <c r="D21042" s="1" t="s">
        <v>5693</v>
      </c>
    </row>
    <row r="21043">
      <c r="A21043" s="1" t="s">
        <v>32549</v>
      </c>
      <c r="B21043" s="2" t="s">
        <v>31946</v>
      </c>
      <c r="C21043" s="1" t="s">
        <v>5692</v>
      </c>
      <c r="D21043" s="1" t="s">
        <v>5693</v>
      </c>
    </row>
    <row r="21044">
      <c r="A21044" s="1" t="s">
        <v>32550</v>
      </c>
      <c r="B21044" s="2" t="s">
        <v>31948</v>
      </c>
      <c r="C21044" s="1" t="s">
        <v>5692</v>
      </c>
      <c r="D21044" s="1" t="s">
        <v>5693</v>
      </c>
    </row>
    <row r="21045">
      <c r="A21045" s="1" t="s">
        <v>32551</v>
      </c>
      <c r="B21045" s="2" t="s">
        <v>31950</v>
      </c>
      <c r="C21045" s="1" t="s">
        <v>5692</v>
      </c>
      <c r="D21045" s="1" t="s">
        <v>5693</v>
      </c>
    </row>
    <row r="21046">
      <c r="A21046" s="1" t="s">
        <v>32552</v>
      </c>
      <c r="B21046" s="2" t="s">
        <v>31952</v>
      </c>
      <c r="C21046" s="1" t="s">
        <v>5692</v>
      </c>
      <c r="D21046" s="1" t="s">
        <v>5693</v>
      </c>
    </row>
    <row r="21047">
      <c r="A21047" s="1" t="s">
        <v>32553</v>
      </c>
      <c r="B21047" s="2" t="s">
        <v>31954</v>
      </c>
      <c r="C21047" s="1" t="s">
        <v>5692</v>
      </c>
      <c r="D21047" s="1" t="s">
        <v>5693</v>
      </c>
    </row>
    <row r="21048">
      <c r="A21048" s="1" t="s">
        <v>32554</v>
      </c>
      <c r="B21048" s="2" t="s">
        <v>31956</v>
      </c>
      <c r="C21048" s="1" t="s">
        <v>5692</v>
      </c>
      <c r="D21048" s="1" t="s">
        <v>5693</v>
      </c>
    </row>
    <row r="21049">
      <c r="A21049" s="1" t="s">
        <v>32555</v>
      </c>
      <c r="B21049" s="2" t="s">
        <v>31958</v>
      </c>
      <c r="C21049" s="1" t="s">
        <v>5692</v>
      </c>
      <c r="D21049" s="1" t="s">
        <v>5693</v>
      </c>
    </row>
    <row r="21050">
      <c r="A21050" s="1" t="s">
        <v>32556</v>
      </c>
      <c r="B21050" s="2" t="s">
        <v>31960</v>
      </c>
      <c r="C21050" s="1" t="s">
        <v>5692</v>
      </c>
      <c r="D21050" s="1" t="s">
        <v>5693</v>
      </c>
    </row>
    <row r="21051">
      <c r="A21051" s="1" t="s">
        <v>32557</v>
      </c>
      <c r="B21051" s="2" t="s">
        <v>31962</v>
      </c>
      <c r="C21051" s="1" t="s">
        <v>5692</v>
      </c>
      <c r="D21051" s="1" t="s">
        <v>5693</v>
      </c>
    </row>
    <row r="21052">
      <c r="A21052" s="1" t="s">
        <v>32558</v>
      </c>
      <c r="B21052" s="2" t="s">
        <v>31964</v>
      </c>
      <c r="C21052" s="1" t="s">
        <v>5692</v>
      </c>
      <c r="D21052" s="1" t="s">
        <v>5693</v>
      </c>
    </row>
    <row r="21053">
      <c r="A21053" s="1" t="s">
        <v>32559</v>
      </c>
      <c r="B21053" s="2" t="s">
        <v>31966</v>
      </c>
      <c r="C21053" s="1" t="s">
        <v>5692</v>
      </c>
      <c r="D21053" s="1" t="s">
        <v>5693</v>
      </c>
    </row>
    <row r="21054">
      <c r="A21054" s="1" t="s">
        <v>32560</v>
      </c>
      <c r="B21054" s="2" t="s">
        <v>31968</v>
      </c>
      <c r="C21054" s="1" t="s">
        <v>5692</v>
      </c>
      <c r="D21054" s="1" t="s">
        <v>5693</v>
      </c>
    </row>
    <row r="21055">
      <c r="A21055" s="1" t="s">
        <v>32561</v>
      </c>
      <c r="B21055" s="2" t="s">
        <v>31970</v>
      </c>
      <c r="C21055" s="1" t="s">
        <v>5692</v>
      </c>
      <c r="D21055" s="1" t="s">
        <v>5693</v>
      </c>
    </row>
    <row r="21056">
      <c r="A21056" s="1" t="s">
        <v>32562</v>
      </c>
      <c r="B21056" s="2" t="s">
        <v>31972</v>
      </c>
      <c r="C21056" s="1" t="s">
        <v>5692</v>
      </c>
      <c r="D21056" s="1" t="s">
        <v>5693</v>
      </c>
    </row>
    <row r="21057">
      <c r="A21057" s="1" t="s">
        <v>32563</v>
      </c>
      <c r="B21057" s="2" t="s">
        <v>31974</v>
      </c>
      <c r="C21057" s="1" t="s">
        <v>5692</v>
      </c>
      <c r="D21057" s="1" t="s">
        <v>5693</v>
      </c>
    </row>
    <row r="21058">
      <c r="A21058" s="1" t="s">
        <v>32564</v>
      </c>
      <c r="B21058" s="2" t="s">
        <v>31976</v>
      </c>
      <c r="C21058" s="1" t="s">
        <v>5692</v>
      </c>
      <c r="D21058" s="1" t="s">
        <v>5693</v>
      </c>
    </row>
    <row r="21059">
      <c r="A21059" s="1" t="s">
        <v>32565</v>
      </c>
      <c r="B21059" s="2" t="s">
        <v>31978</v>
      </c>
      <c r="C21059" s="1" t="s">
        <v>5692</v>
      </c>
      <c r="D21059" s="1" t="s">
        <v>5693</v>
      </c>
    </row>
    <row r="21060">
      <c r="A21060" s="1" t="s">
        <v>32566</v>
      </c>
      <c r="B21060" s="2" t="s">
        <v>31980</v>
      </c>
      <c r="C21060" s="1" t="s">
        <v>5692</v>
      </c>
      <c r="D21060" s="1" t="s">
        <v>5693</v>
      </c>
    </row>
    <row r="21061">
      <c r="A21061" s="1" t="s">
        <v>32567</v>
      </c>
      <c r="B21061" s="2" t="s">
        <v>31982</v>
      </c>
      <c r="C21061" s="1" t="s">
        <v>5692</v>
      </c>
      <c r="D21061" s="1" t="s">
        <v>5693</v>
      </c>
    </row>
    <row r="21062">
      <c r="A21062" s="1" t="s">
        <v>32568</v>
      </c>
      <c r="B21062" s="2" t="s">
        <v>31984</v>
      </c>
      <c r="C21062" s="1" t="s">
        <v>5692</v>
      </c>
      <c r="D21062" s="1" t="s">
        <v>5693</v>
      </c>
    </row>
    <row r="21063">
      <c r="A21063" s="1" t="s">
        <v>32569</v>
      </c>
      <c r="B21063" s="2" t="s">
        <v>31986</v>
      </c>
      <c r="C21063" s="1" t="s">
        <v>5692</v>
      </c>
      <c r="D21063" s="1" t="s">
        <v>5693</v>
      </c>
    </row>
    <row r="21064">
      <c r="A21064" s="1" t="s">
        <v>32570</v>
      </c>
      <c r="B21064" s="2" t="s">
        <v>31988</v>
      </c>
      <c r="C21064" s="1" t="s">
        <v>5692</v>
      </c>
      <c r="D21064" s="1" t="s">
        <v>5693</v>
      </c>
    </row>
    <row r="21065">
      <c r="A21065" s="1" t="s">
        <v>32571</v>
      </c>
      <c r="B21065" s="2" t="s">
        <v>31990</v>
      </c>
      <c r="C21065" s="1" t="s">
        <v>5692</v>
      </c>
      <c r="D21065" s="1" t="s">
        <v>5693</v>
      </c>
    </row>
    <row r="21066">
      <c r="A21066" s="1" t="s">
        <v>32572</v>
      </c>
      <c r="B21066" s="2" t="s">
        <v>31992</v>
      </c>
      <c r="C21066" s="1" t="s">
        <v>5692</v>
      </c>
      <c r="D21066" s="1" t="s">
        <v>5693</v>
      </c>
    </row>
    <row r="21067">
      <c r="A21067" s="1" t="s">
        <v>32573</v>
      </c>
      <c r="B21067" s="2" t="s">
        <v>31994</v>
      </c>
      <c r="C21067" s="1" t="s">
        <v>5692</v>
      </c>
      <c r="D21067" s="1" t="s">
        <v>5693</v>
      </c>
    </row>
    <row r="21068">
      <c r="A21068" s="1" t="s">
        <v>32574</v>
      </c>
      <c r="B21068" s="2" t="s">
        <v>31996</v>
      </c>
      <c r="C21068" s="1" t="s">
        <v>5692</v>
      </c>
      <c r="D21068" s="1" t="s">
        <v>5693</v>
      </c>
    </row>
    <row r="21069">
      <c r="A21069" s="1" t="s">
        <v>32575</v>
      </c>
      <c r="B21069" s="2" t="s">
        <v>31998</v>
      </c>
      <c r="C21069" s="1" t="s">
        <v>5692</v>
      </c>
      <c r="D21069" s="1" t="s">
        <v>5693</v>
      </c>
    </row>
    <row r="21070">
      <c r="A21070" s="1" t="s">
        <v>32576</v>
      </c>
      <c r="B21070" s="2" t="s">
        <v>32000</v>
      </c>
      <c r="C21070" s="1" t="s">
        <v>5692</v>
      </c>
      <c r="D21070" s="1" t="s">
        <v>5693</v>
      </c>
    </row>
    <row r="21071">
      <c r="A21071" s="1" t="s">
        <v>32577</v>
      </c>
      <c r="B21071" s="2" t="s">
        <v>32002</v>
      </c>
      <c r="C21071" s="1" t="s">
        <v>5692</v>
      </c>
      <c r="D21071" s="1" t="s">
        <v>5693</v>
      </c>
    </row>
    <row r="21072">
      <c r="A21072" s="1" t="s">
        <v>32578</v>
      </c>
      <c r="B21072" s="2" t="s">
        <v>32004</v>
      </c>
      <c r="C21072" s="1" t="s">
        <v>5692</v>
      </c>
      <c r="D21072" s="1" t="s">
        <v>5693</v>
      </c>
    </row>
    <row r="21073">
      <c r="A21073" s="1" t="s">
        <v>32579</v>
      </c>
      <c r="B21073" s="2" t="s">
        <v>32006</v>
      </c>
      <c r="C21073" s="1" t="s">
        <v>5692</v>
      </c>
      <c r="D21073" s="1" t="s">
        <v>5693</v>
      </c>
    </row>
    <row r="21074">
      <c r="A21074" s="1" t="s">
        <v>32580</v>
      </c>
      <c r="B21074" s="2" t="s">
        <v>32008</v>
      </c>
      <c r="C21074" s="1" t="s">
        <v>5692</v>
      </c>
      <c r="D21074" s="1" t="s">
        <v>5693</v>
      </c>
    </row>
    <row r="21075">
      <c r="A21075" s="1" t="s">
        <v>32581</v>
      </c>
      <c r="B21075" s="2" t="s">
        <v>32010</v>
      </c>
      <c r="C21075" s="1" t="s">
        <v>5692</v>
      </c>
      <c r="D21075" s="1" t="s">
        <v>5693</v>
      </c>
    </row>
    <row r="21076">
      <c r="A21076" s="1" t="s">
        <v>32582</v>
      </c>
      <c r="B21076" s="2" t="s">
        <v>32012</v>
      </c>
      <c r="C21076" s="1" t="s">
        <v>5692</v>
      </c>
      <c r="D21076" s="1" t="s">
        <v>5693</v>
      </c>
    </row>
    <row r="21077">
      <c r="A21077" s="1" t="s">
        <v>32583</v>
      </c>
      <c r="B21077" s="2" t="s">
        <v>32014</v>
      </c>
      <c r="C21077" s="1" t="s">
        <v>5692</v>
      </c>
      <c r="D21077" s="1" t="s">
        <v>5693</v>
      </c>
    </row>
    <row r="21078">
      <c r="A21078" s="1" t="s">
        <v>32584</v>
      </c>
      <c r="B21078" s="2" t="s">
        <v>32016</v>
      </c>
      <c r="C21078" s="1" t="s">
        <v>5692</v>
      </c>
      <c r="D21078" s="1" t="s">
        <v>5693</v>
      </c>
    </row>
    <row r="21079">
      <c r="A21079" s="1" t="s">
        <v>32585</v>
      </c>
      <c r="B21079" s="2" t="s">
        <v>32018</v>
      </c>
      <c r="C21079" s="1" t="s">
        <v>5692</v>
      </c>
      <c r="D21079" s="1" t="s">
        <v>5693</v>
      </c>
    </row>
    <row r="21080">
      <c r="A21080" s="1" t="s">
        <v>32586</v>
      </c>
      <c r="B21080" s="2" t="s">
        <v>32020</v>
      </c>
      <c r="C21080" s="1" t="s">
        <v>5692</v>
      </c>
      <c r="D21080" s="1" t="s">
        <v>5693</v>
      </c>
    </row>
    <row r="21081">
      <c r="A21081" s="1" t="s">
        <v>32587</v>
      </c>
      <c r="B21081" s="2" t="s">
        <v>32022</v>
      </c>
      <c r="C21081" s="1" t="s">
        <v>5692</v>
      </c>
      <c r="D21081" s="1" t="s">
        <v>5693</v>
      </c>
    </row>
    <row r="21082">
      <c r="A21082" s="1" t="s">
        <v>32588</v>
      </c>
      <c r="B21082" s="2" t="s">
        <v>32024</v>
      </c>
      <c r="C21082" s="1" t="s">
        <v>5692</v>
      </c>
      <c r="D21082" s="1" t="s">
        <v>5693</v>
      </c>
    </row>
    <row r="21083">
      <c r="A21083" s="1" t="s">
        <v>32589</v>
      </c>
      <c r="B21083" s="2" t="s">
        <v>32026</v>
      </c>
      <c r="C21083" s="1" t="s">
        <v>5692</v>
      </c>
      <c r="D21083" s="1" t="s">
        <v>5693</v>
      </c>
    </row>
    <row r="21084">
      <c r="A21084" s="1" t="s">
        <v>32590</v>
      </c>
      <c r="B21084" s="2" t="s">
        <v>32028</v>
      </c>
      <c r="C21084" s="1" t="s">
        <v>5692</v>
      </c>
      <c r="D21084" s="1" t="s">
        <v>5693</v>
      </c>
    </row>
    <row r="21085">
      <c r="A21085" s="1" t="s">
        <v>32591</v>
      </c>
      <c r="B21085" s="2" t="s">
        <v>32030</v>
      </c>
      <c r="C21085" s="1" t="s">
        <v>5692</v>
      </c>
      <c r="D21085" s="1" t="s">
        <v>5693</v>
      </c>
    </row>
    <row r="21086">
      <c r="A21086" s="1" t="s">
        <v>32592</v>
      </c>
      <c r="B21086" s="2" t="s">
        <v>32032</v>
      </c>
      <c r="C21086" s="1" t="s">
        <v>5692</v>
      </c>
      <c r="D21086" s="1" t="s">
        <v>5693</v>
      </c>
    </row>
    <row r="21087">
      <c r="A21087" s="1" t="s">
        <v>32593</v>
      </c>
      <c r="B21087" s="2" t="s">
        <v>32034</v>
      </c>
      <c r="C21087" s="1" t="s">
        <v>5692</v>
      </c>
      <c r="D21087" s="1" t="s">
        <v>5693</v>
      </c>
    </row>
    <row r="21088">
      <c r="A21088" s="1" t="s">
        <v>32594</v>
      </c>
      <c r="B21088" s="2" t="s">
        <v>32036</v>
      </c>
      <c r="C21088" s="1" t="s">
        <v>5692</v>
      </c>
      <c r="D21088" s="1" t="s">
        <v>5693</v>
      </c>
    </row>
    <row r="21089">
      <c r="A21089" s="1" t="s">
        <v>32595</v>
      </c>
      <c r="B21089" s="2" t="s">
        <v>32038</v>
      </c>
      <c r="C21089" s="1" t="s">
        <v>5692</v>
      </c>
      <c r="D21089" s="1" t="s">
        <v>5693</v>
      </c>
    </row>
    <row r="21090">
      <c r="A21090" s="1" t="s">
        <v>32596</v>
      </c>
      <c r="B21090" s="2" t="s">
        <v>32040</v>
      </c>
      <c r="C21090" s="1" t="s">
        <v>5692</v>
      </c>
      <c r="D21090" s="1" t="s">
        <v>5693</v>
      </c>
    </row>
    <row r="21091">
      <c r="A21091" s="1" t="s">
        <v>32597</v>
      </c>
      <c r="B21091" s="2" t="s">
        <v>32042</v>
      </c>
      <c r="C21091" s="1" t="s">
        <v>5692</v>
      </c>
      <c r="D21091" s="1" t="s">
        <v>5693</v>
      </c>
    </row>
    <row r="21092">
      <c r="A21092" s="1" t="s">
        <v>32598</v>
      </c>
      <c r="B21092" s="2" t="s">
        <v>32044</v>
      </c>
      <c r="C21092" s="1" t="s">
        <v>5692</v>
      </c>
      <c r="D21092" s="1" t="s">
        <v>5693</v>
      </c>
    </row>
    <row r="21093">
      <c r="A21093" s="1" t="s">
        <v>32599</v>
      </c>
      <c r="B21093" s="2" t="s">
        <v>32046</v>
      </c>
      <c r="C21093" s="1" t="s">
        <v>5692</v>
      </c>
      <c r="D21093" s="1" t="s">
        <v>5693</v>
      </c>
    </row>
    <row r="21094">
      <c r="A21094" s="1" t="s">
        <v>32600</v>
      </c>
      <c r="B21094" s="2" t="s">
        <v>32048</v>
      </c>
      <c r="C21094" s="1" t="s">
        <v>5692</v>
      </c>
      <c r="D21094" s="1" t="s">
        <v>5693</v>
      </c>
    </row>
    <row r="21095">
      <c r="A21095" s="1" t="s">
        <v>32601</v>
      </c>
      <c r="B21095" s="2" t="s">
        <v>32050</v>
      </c>
      <c r="C21095" s="1" t="s">
        <v>5692</v>
      </c>
      <c r="D21095" s="1" t="s">
        <v>5693</v>
      </c>
    </row>
    <row r="21096">
      <c r="A21096" s="1" t="s">
        <v>32602</v>
      </c>
      <c r="B21096" s="2" t="s">
        <v>32052</v>
      </c>
      <c r="C21096" s="1" t="s">
        <v>5692</v>
      </c>
      <c r="D21096" s="1" t="s">
        <v>5693</v>
      </c>
    </row>
    <row r="21097">
      <c r="A21097" s="1" t="s">
        <v>32603</v>
      </c>
      <c r="B21097" s="2" t="s">
        <v>32054</v>
      </c>
      <c r="C21097" s="1" t="s">
        <v>5692</v>
      </c>
      <c r="D21097" s="1" t="s">
        <v>5693</v>
      </c>
    </row>
    <row r="21098">
      <c r="A21098" s="1" t="s">
        <v>32604</v>
      </c>
      <c r="B21098" s="2" t="s">
        <v>32056</v>
      </c>
      <c r="C21098" s="1" t="s">
        <v>5692</v>
      </c>
      <c r="D21098" s="1" t="s">
        <v>5693</v>
      </c>
    </row>
    <row r="21099">
      <c r="A21099" s="1" t="s">
        <v>32605</v>
      </c>
      <c r="B21099" s="2" t="s">
        <v>32058</v>
      </c>
      <c r="C21099" s="1" t="s">
        <v>5692</v>
      </c>
      <c r="D21099" s="1" t="s">
        <v>5693</v>
      </c>
    </row>
    <row r="21100">
      <c r="A21100" s="1" t="s">
        <v>32606</v>
      </c>
      <c r="B21100" s="2" t="s">
        <v>32060</v>
      </c>
      <c r="C21100" s="1" t="s">
        <v>5692</v>
      </c>
      <c r="D21100" s="1" t="s">
        <v>5693</v>
      </c>
    </row>
    <row r="21101">
      <c r="A21101" s="1" t="s">
        <v>32607</v>
      </c>
      <c r="B21101" s="2" t="s">
        <v>32062</v>
      </c>
      <c r="C21101" s="1" t="s">
        <v>5692</v>
      </c>
      <c r="D21101" s="1" t="s">
        <v>5693</v>
      </c>
    </row>
    <row r="21102">
      <c r="A21102" s="1" t="s">
        <v>32608</v>
      </c>
      <c r="B21102" s="2" t="s">
        <v>32064</v>
      </c>
      <c r="C21102" s="1" t="s">
        <v>5692</v>
      </c>
      <c r="D21102" s="1" t="s">
        <v>5693</v>
      </c>
    </row>
    <row r="21103">
      <c r="A21103" s="1" t="s">
        <v>32609</v>
      </c>
      <c r="B21103" s="2" t="s">
        <v>32066</v>
      </c>
      <c r="C21103" s="1" t="s">
        <v>5692</v>
      </c>
      <c r="D21103" s="1" t="s">
        <v>5693</v>
      </c>
    </row>
    <row r="21104">
      <c r="A21104" s="1" t="s">
        <v>32610</v>
      </c>
      <c r="B21104" s="2" t="s">
        <v>32068</v>
      </c>
      <c r="C21104" s="1" t="s">
        <v>5692</v>
      </c>
      <c r="D21104" s="1" t="s">
        <v>5693</v>
      </c>
    </row>
    <row r="21105">
      <c r="A21105" s="1" t="s">
        <v>32611</v>
      </c>
      <c r="B21105" s="2" t="s">
        <v>32070</v>
      </c>
      <c r="C21105" s="1" t="s">
        <v>5692</v>
      </c>
      <c r="D21105" s="1" t="s">
        <v>5693</v>
      </c>
    </row>
    <row r="21106">
      <c r="A21106" s="1" t="s">
        <v>32612</v>
      </c>
      <c r="B21106" s="2" t="s">
        <v>32072</v>
      </c>
      <c r="C21106" s="1" t="s">
        <v>5692</v>
      </c>
      <c r="D21106" s="1" t="s">
        <v>5693</v>
      </c>
    </row>
    <row r="21107">
      <c r="A21107" s="1" t="s">
        <v>32613</v>
      </c>
      <c r="B21107" s="2" t="s">
        <v>32074</v>
      </c>
      <c r="C21107" s="1" t="s">
        <v>5692</v>
      </c>
      <c r="D21107" s="1" t="s">
        <v>5693</v>
      </c>
    </row>
    <row r="21108">
      <c r="A21108" s="1" t="s">
        <v>32614</v>
      </c>
      <c r="B21108" s="2" t="s">
        <v>32076</v>
      </c>
      <c r="C21108" s="1" t="s">
        <v>5692</v>
      </c>
      <c r="D21108" s="1" t="s">
        <v>5693</v>
      </c>
    </row>
    <row r="21109">
      <c r="A21109" s="1" t="s">
        <v>32615</v>
      </c>
      <c r="B21109" s="2" t="s">
        <v>32078</v>
      </c>
      <c r="C21109" s="1" t="s">
        <v>5692</v>
      </c>
      <c r="D21109" s="1" t="s">
        <v>5693</v>
      </c>
    </row>
    <row r="21110">
      <c r="A21110" s="1" t="s">
        <v>32616</v>
      </c>
      <c r="B21110" s="2" t="s">
        <v>32080</v>
      </c>
      <c r="C21110" s="1" t="s">
        <v>5692</v>
      </c>
      <c r="D21110" s="1" t="s">
        <v>5693</v>
      </c>
    </row>
    <row r="21111">
      <c r="A21111" s="1" t="s">
        <v>32617</v>
      </c>
      <c r="B21111" s="2" t="s">
        <v>32082</v>
      </c>
      <c r="C21111" s="1" t="s">
        <v>5692</v>
      </c>
      <c r="D21111" s="1" t="s">
        <v>5693</v>
      </c>
    </row>
    <row r="21112">
      <c r="A21112" s="1" t="s">
        <v>32618</v>
      </c>
      <c r="B21112" s="2" t="s">
        <v>32084</v>
      </c>
      <c r="C21112" s="1" t="s">
        <v>5692</v>
      </c>
      <c r="D21112" s="1" t="s">
        <v>5693</v>
      </c>
    </row>
    <row r="21113">
      <c r="A21113" s="1" t="s">
        <v>32619</v>
      </c>
      <c r="B21113" s="2" t="s">
        <v>32086</v>
      </c>
      <c r="C21113" s="1" t="s">
        <v>5692</v>
      </c>
      <c r="D21113" s="1" t="s">
        <v>5693</v>
      </c>
    </row>
    <row r="21114">
      <c r="A21114" s="1" t="s">
        <v>32620</v>
      </c>
      <c r="B21114" s="2" t="s">
        <v>32088</v>
      </c>
      <c r="C21114" s="1" t="s">
        <v>5692</v>
      </c>
      <c r="D21114" s="1" t="s">
        <v>5693</v>
      </c>
    </row>
    <row r="21115">
      <c r="A21115" s="1" t="s">
        <v>32621</v>
      </c>
      <c r="B21115" s="2" t="s">
        <v>32090</v>
      </c>
      <c r="C21115" s="1" t="s">
        <v>5692</v>
      </c>
      <c r="D21115" s="1" t="s">
        <v>5693</v>
      </c>
    </row>
    <row r="21116">
      <c r="A21116" s="1" t="s">
        <v>32622</v>
      </c>
      <c r="B21116" s="2" t="s">
        <v>32092</v>
      </c>
      <c r="C21116" s="1" t="s">
        <v>5692</v>
      </c>
      <c r="D21116" s="1" t="s">
        <v>5693</v>
      </c>
    </row>
    <row r="21117">
      <c r="A21117" s="1" t="s">
        <v>32623</v>
      </c>
      <c r="B21117" s="2" t="s">
        <v>32094</v>
      </c>
      <c r="C21117" s="1" t="s">
        <v>5692</v>
      </c>
      <c r="D21117" s="1" t="s">
        <v>5693</v>
      </c>
    </row>
    <row r="21118">
      <c r="A21118" s="1" t="s">
        <v>32624</v>
      </c>
      <c r="B21118" s="2" t="s">
        <v>32096</v>
      </c>
      <c r="C21118" s="1" t="s">
        <v>5692</v>
      </c>
      <c r="D21118" s="1" t="s">
        <v>5693</v>
      </c>
    </row>
    <row r="21119">
      <c r="A21119" s="1" t="s">
        <v>32625</v>
      </c>
      <c r="B21119" s="2" t="s">
        <v>32098</v>
      </c>
      <c r="C21119" s="1" t="s">
        <v>5692</v>
      </c>
      <c r="D21119" s="1" t="s">
        <v>5693</v>
      </c>
    </row>
    <row r="21120">
      <c r="A21120" s="1" t="s">
        <v>32626</v>
      </c>
      <c r="B21120" s="2" t="s">
        <v>32100</v>
      </c>
      <c r="C21120" s="1" t="s">
        <v>5692</v>
      </c>
      <c r="D21120" s="1" t="s">
        <v>5693</v>
      </c>
    </row>
    <row r="21121">
      <c r="A21121" s="1" t="s">
        <v>32627</v>
      </c>
      <c r="B21121" s="2" t="s">
        <v>32102</v>
      </c>
      <c r="C21121" s="1" t="s">
        <v>5692</v>
      </c>
      <c r="D21121" s="1" t="s">
        <v>5693</v>
      </c>
    </row>
    <row r="21122">
      <c r="A21122" s="1" t="s">
        <v>32628</v>
      </c>
      <c r="B21122" s="2" t="s">
        <v>32104</v>
      </c>
      <c r="C21122" s="1" t="s">
        <v>5692</v>
      </c>
      <c r="D21122" s="1" t="s">
        <v>5693</v>
      </c>
    </row>
    <row r="21123">
      <c r="A21123" s="1" t="s">
        <v>32629</v>
      </c>
      <c r="B21123" s="2" t="s">
        <v>32106</v>
      </c>
      <c r="C21123" s="1" t="s">
        <v>5692</v>
      </c>
      <c r="D21123" s="1" t="s">
        <v>5693</v>
      </c>
    </row>
    <row r="21124">
      <c r="A21124" s="1" t="s">
        <v>32630</v>
      </c>
      <c r="B21124" s="2" t="s">
        <v>32108</v>
      </c>
      <c r="C21124" s="1" t="s">
        <v>5692</v>
      </c>
      <c r="D21124" s="1" t="s">
        <v>5693</v>
      </c>
    </row>
    <row r="21125">
      <c r="A21125" s="1" t="s">
        <v>32631</v>
      </c>
      <c r="B21125" s="2" t="s">
        <v>32110</v>
      </c>
      <c r="C21125" s="1" t="s">
        <v>5692</v>
      </c>
      <c r="D21125" s="1" t="s">
        <v>5693</v>
      </c>
    </row>
    <row r="21126">
      <c r="A21126" s="1" t="s">
        <v>32632</v>
      </c>
      <c r="B21126" s="2" t="s">
        <v>32112</v>
      </c>
      <c r="C21126" s="1" t="s">
        <v>5692</v>
      </c>
      <c r="D21126" s="1" t="s">
        <v>5693</v>
      </c>
    </row>
    <row r="21127">
      <c r="A21127" s="1" t="s">
        <v>32633</v>
      </c>
      <c r="B21127" s="2" t="s">
        <v>32114</v>
      </c>
      <c r="C21127" s="1" t="s">
        <v>5692</v>
      </c>
      <c r="D21127" s="1" t="s">
        <v>5693</v>
      </c>
    </row>
    <row r="21128">
      <c r="A21128" s="1" t="s">
        <v>32634</v>
      </c>
      <c r="B21128" s="2" t="s">
        <v>32116</v>
      </c>
      <c r="C21128" s="1" t="s">
        <v>5692</v>
      </c>
      <c r="D21128" s="1" t="s">
        <v>5693</v>
      </c>
    </row>
    <row r="21129">
      <c r="A21129" s="1" t="s">
        <v>32635</v>
      </c>
      <c r="B21129" s="2" t="s">
        <v>32118</v>
      </c>
      <c r="C21129" s="1" t="s">
        <v>5692</v>
      </c>
      <c r="D21129" s="1" t="s">
        <v>5693</v>
      </c>
    </row>
    <row r="21130">
      <c r="A21130" s="1" t="s">
        <v>32636</v>
      </c>
      <c r="B21130" s="2" t="s">
        <v>32120</v>
      </c>
      <c r="C21130" s="1" t="s">
        <v>5692</v>
      </c>
      <c r="D21130" s="1" t="s">
        <v>5693</v>
      </c>
    </row>
    <row r="21131">
      <c r="A21131" s="1" t="s">
        <v>32637</v>
      </c>
      <c r="B21131" s="2" t="s">
        <v>32122</v>
      </c>
      <c r="C21131" s="1" t="s">
        <v>5692</v>
      </c>
      <c r="D21131" s="1" t="s">
        <v>5693</v>
      </c>
    </row>
    <row r="21132">
      <c r="A21132" s="1" t="s">
        <v>32638</v>
      </c>
      <c r="B21132" s="2" t="s">
        <v>32124</v>
      </c>
      <c r="C21132" s="1" t="s">
        <v>5692</v>
      </c>
      <c r="D21132" s="1" t="s">
        <v>5693</v>
      </c>
    </row>
    <row r="21133">
      <c r="A21133" s="1" t="s">
        <v>5696</v>
      </c>
      <c r="B21133" s="2" t="s">
        <v>234</v>
      </c>
      <c r="C21133" s="1" t="s">
        <v>94</v>
      </c>
      <c r="D21133" s="1" t="s">
        <v>5698</v>
      </c>
    </row>
    <row r="21134">
      <c r="A21134" s="1" t="s">
        <v>5701</v>
      </c>
      <c r="B21134" s="2" t="s">
        <v>7</v>
      </c>
      <c r="C21134" s="1" t="s">
        <v>5702</v>
      </c>
      <c r="D21134" s="1" t="s">
        <v>5703</v>
      </c>
    </row>
    <row r="21135">
      <c r="A21135" s="1" t="s">
        <v>32639</v>
      </c>
      <c r="B21135" s="2" t="s">
        <v>32640</v>
      </c>
      <c r="C21135" s="1" t="s">
        <v>5702</v>
      </c>
      <c r="D21135" s="1" t="s">
        <v>5703</v>
      </c>
    </row>
    <row r="21136">
      <c r="A21136" s="1" t="s">
        <v>32641</v>
      </c>
      <c r="B21136" s="2" t="s">
        <v>32642</v>
      </c>
      <c r="C21136" s="1" t="s">
        <v>5702</v>
      </c>
      <c r="D21136" s="1" t="s">
        <v>5703</v>
      </c>
    </row>
    <row r="21137">
      <c r="A21137" s="1" t="s">
        <v>5711</v>
      </c>
      <c r="B21137" s="2" t="s">
        <v>7</v>
      </c>
      <c r="C21137" s="1" t="s">
        <v>5713</v>
      </c>
      <c r="D21137" s="1" t="s">
        <v>5714</v>
      </c>
    </row>
    <row r="21138">
      <c r="A21138" s="1" t="s">
        <v>32643</v>
      </c>
      <c r="B21138" s="2" t="s">
        <v>32644</v>
      </c>
      <c r="C21138" s="1" t="s">
        <v>5713</v>
      </c>
      <c r="D21138" s="1" t="s">
        <v>5714</v>
      </c>
    </row>
    <row r="21139">
      <c r="A21139" s="1" t="s">
        <v>32645</v>
      </c>
      <c r="B21139" s="2" t="s">
        <v>32646</v>
      </c>
      <c r="C21139" s="1" t="s">
        <v>5713</v>
      </c>
      <c r="D21139" s="1" t="s">
        <v>5714</v>
      </c>
    </row>
    <row r="21140">
      <c r="A21140" s="1" t="s">
        <v>5717</v>
      </c>
      <c r="B21140" s="2" t="s">
        <v>7</v>
      </c>
      <c r="C21140" s="1" t="s">
        <v>5718</v>
      </c>
      <c r="D21140" s="1" t="s">
        <v>5719</v>
      </c>
    </row>
    <row r="21141">
      <c r="A21141" s="1" t="s">
        <v>32647</v>
      </c>
      <c r="B21141" s="2" t="s">
        <v>32644</v>
      </c>
      <c r="C21141" s="1" t="s">
        <v>5718</v>
      </c>
      <c r="D21141" s="1" t="s">
        <v>5719</v>
      </c>
    </row>
    <row r="21142">
      <c r="A21142" s="1" t="s">
        <v>32648</v>
      </c>
      <c r="B21142" s="2" t="s">
        <v>32646</v>
      </c>
      <c r="C21142" s="1" t="s">
        <v>5718</v>
      </c>
      <c r="D21142" s="1" t="s">
        <v>5719</v>
      </c>
    </row>
    <row r="21143">
      <c r="A21143" s="1" t="s">
        <v>5724</v>
      </c>
      <c r="B21143" s="2" t="s">
        <v>7</v>
      </c>
      <c r="C21143" s="1" t="s">
        <v>5725</v>
      </c>
      <c r="D21143" s="1" t="s">
        <v>5727</v>
      </c>
    </row>
    <row r="21144">
      <c r="A21144" s="1" t="s">
        <v>32649</v>
      </c>
      <c r="B21144" s="2" t="s">
        <v>32644</v>
      </c>
      <c r="C21144" s="1" t="s">
        <v>5725</v>
      </c>
      <c r="D21144" s="1" t="s">
        <v>5727</v>
      </c>
    </row>
    <row r="21145">
      <c r="A21145" s="1" t="s">
        <v>32650</v>
      </c>
      <c r="B21145" s="2" t="s">
        <v>32646</v>
      </c>
      <c r="C21145" s="1" t="s">
        <v>5725</v>
      </c>
      <c r="D21145" s="1" t="s">
        <v>5727</v>
      </c>
    </row>
    <row r="21146">
      <c r="A21146" s="1" t="s">
        <v>5752</v>
      </c>
      <c r="B21146" s="2" t="s">
        <v>7</v>
      </c>
      <c r="C21146" s="1" t="s">
        <v>5754</v>
      </c>
      <c r="D21146" s="1" t="s">
        <v>5756</v>
      </c>
    </row>
    <row r="21147">
      <c r="A21147" s="1" t="s">
        <v>32651</v>
      </c>
      <c r="B21147" s="2" t="s">
        <v>32644</v>
      </c>
      <c r="C21147" s="1" t="s">
        <v>5754</v>
      </c>
      <c r="D21147" s="1" t="s">
        <v>5756</v>
      </c>
    </row>
    <row r="21148">
      <c r="A21148" s="1" t="s">
        <v>32652</v>
      </c>
      <c r="B21148" s="2" t="s">
        <v>32646</v>
      </c>
      <c r="C21148" s="1" t="s">
        <v>5754</v>
      </c>
      <c r="D21148" s="1" t="s">
        <v>5756</v>
      </c>
    </row>
    <row r="21149">
      <c r="A21149" s="1" t="s">
        <v>5761</v>
      </c>
      <c r="B21149" s="2" t="s">
        <v>7</v>
      </c>
      <c r="C21149" s="1" t="s">
        <v>5763</v>
      </c>
      <c r="D21149" s="1" t="s">
        <v>5765</v>
      </c>
    </row>
    <row r="21150">
      <c r="A21150" s="1" t="s">
        <v>32653</v>
      </c>
      <c r="B21150" s="2" t="s">
        <v>32644</v>
      </c>
      <c r="C21150" s="1" t="s">
        <v>5763</v>
      </c>
      <c r="D21150" s="1" t="s">
        <v>5765</v>
      </c>
    </row>
    <row r="21151">
      <c r="A21151" s="1" t="s">
        <v>32654</v>
      </c>
      <c r="B21151" s="2" t="s">
        <v>32646</v>
      </c>
      <c r="C21151" s="1" t="s">
        <v>5763</v>
      </c>
      <c r="D21151" s="1" t="s">
        <v>5765</v>
      </c>
    </row>
    <row r="21152">
      <c r="A21152" s="1" t="s">
        <v>5770</v>
      </c>
      <c r="B21152" s="2" t="s">
        <v>7</v>
      </c>
      <c r="C21152" s="1" t="s">
        <v>5772</v>
      </c>
      <c r="D21152" s="1" t="s">
        <v>5774</v>
      </c>
    </row>
    <row r="21153">
      <c r="A21153" s="1" t="s">
        <v>32655</v>
      </c>
      <c r="B21153" s="2" t="s">
        <v>32644</v>
      </c>
      <c r="C21153" s="1" t="s">
        <v>5772</v>
      </c>
      <c r="D21153" s="1" t="s">
        <v>5774</v>
      </c>
    </row>
    <row r="21154">
      <c r="A21154" s="1" t="s">
        <v>32656</v>
      </c>
      <c r="B21154" s="2" t="s">
        <v>32646</v>
      </c>
      <c r="C21154" s="1" t="s">
        <v>5772</v>
      </c>
      <c r="D21154" s="1" t="s">
        <v>5774</v>
      </c>
    </row>
    <row r="21155">
      <c r="A21155" s="1" t="s">
        <v>5779</v>
      </c>
      <c r="B21155" s="2" t="s">
        <v>7</v>
      </c>
      <c r="C21155" s="1" t="s">
        <v>5782</v>
      </c>
      <c r="D21155" s="1" t="s">
        <v>5783</v>
      </c>
    </row>
    <row r="21156">
      <c r="A21156" s="1" t="s">
        <v>32657</v>
      </c>
      <c r="B21156" s="2" t="s">
        <v>32644</v>
      </c>
      <c r="C21156" s="1" t="s">
        <v>5782</v>
      </c>
      <c r="D21156" s="1" t="s">
        <v>5783</v>
      </c>
    </row>
    <row r="21157">
      <c r="A21157" s="1" t="s">
        <v>32658</v>
      </c>
      <c r="B21157" s="2" t="s">
        <v>32646</v>
      </c>
      <c r="C21157" s="1" t="s">
        <v>5782</v>
      </c>
      <c r="D21157" s="1" t="s">
        <v>5783</v>
      </c>
    </row>
    <row r="21158">
      <c r="A21158" s="1" t="s">
        <v>5788</v>
      </c>
      <c r="B21158" s="2" t="s">
        <v>7</v>
      </c>
      <c r="C21158" s="1" t="s">
        <v>5791</v>
      </c>
      <c r="D21158" s="1" t="s">
        <v>5792</v>
      </c>
    </row>
    <row r="21159">
      <c r="A21159" s="1" t="s">
        <v>32659</v>
      </c>
      <c r="B21159" s="2" t="s">
        <v>32644</v>
      </c>
      <c r="C21159" s="1" t="s">
        <v>5791</v>
      </c>
      <c r="D21159" s="1" t="s">
        <v>5792</v>
      </c>
    </row>
    <row r="21160">
      <c r="A21160" s="1" t="s">
        <v>32660</v>
      </c>
      <c r="B21160" s="2" t="s">
        <v>32646</v>
      </c>
      <c r="C21160" s="1" t="s">
        <v>5791</v>
      </c>
      <c r="D21160" s="1" t="s">
        <v>5792</v>
      </c>
    </row>
    <row r="21161">
      <c r="A21161" s="1" t="s">
        <v>5797</v>
      </c>
      <c r="B21161" s="2" t="s">
        <v>7</v>
      </c>
      <c r="C21161" s="1" t="s">
        <v>5799</v>
      </c>
      <c r="D21161" s="1" t="s">
        <v>5800</v>
      </c>
    </row>
    <row r="21162">
      <c r="A21162" s="1" t="s">
        <v>32661</v>
      </c>
      <c r="B21162" s="2" t="s">
        <v>32644</v>
      </c>
      <c r="C21162" s="1" t="s">
        <v>5799</v>
      </c>
      <c r="D21162" s="1" t="s">
        <v>5800</v>
      </c>
    </row>
    <row r="21163">
      <c r="A21163" s="1" t="s">
        <v>32662</v>
      </c>
      <c r="B21163" s="2" t="s">
        <v>32646</v>
      </c>
      <c r="C21163" s="1" t="s">
        <v>5799</v>
      </c>
      <c r="D21163" s="1" t="s">
        <v>5800</v>
      </c>
    </row>
    <row r="21164">
      <c r="A21164" s="1" t="s">
        <v>5707</v>
      </c>
      <c r="B21164" s="2" t="s">
        <v>7</v>
      </c>
      <c r="C21164" s="1" t="s">
        <v>111</v>
      </c>
      <c r="D21164" s="1" t="s">
        <v>5709</v>
      </c>
    </row>
    <row r="21165">
      <c r="A21165" s="1" t="s">
        <v>32663</v>
      </c>
      <c r="B21165" s="2" t="s">
        <v>32644</v>
      </c>
      <c r="C21165" s="1" t="s">
        <v>111</v>
      </c>
      <c r="D21165" s="1" t="s">
        <v>5709</v>
      </c>
    </row>
    <row r="21166">
      <c r="A21166" s="1" t="s">
        <v>32664</v>
      </c>
      <c r="B21166" s="2" t="s">
        <v>32646</v>
      </c>
      <c r="C21166" s="1" t="s">
        <v>111</v>
      </c>
      <c r="D21166" s="1" t="s">
        <v>5709</v>
      </c>
    </row>
    <row r="21167">
      <c r="A21167" s="1" t="s">
        <v>5805</v>
      </c>
      <c r="B21167" s="2" t="s">
        <v>7</v>
      </c>
      <c r="C21167" s="1" t="s">
        <v>5808</v>
      </c>
      <c r="D21167" s="1" t="s">
        <v>5809</v>
      </c>
    </row>
    <row r="21168">
      <c r="A21168" s="1" t="s">
        <v>32665</v>
      </c>
      <c r="B21168" s="2" t="s">
        <v>32666</v>
      </c>
      <c r="C21168" s="1" t="s">
        <v>5808</v>
      </c>
      <c r="D21168" s="1" t="s">
        <v>5809</v>
      </c>
    </row>
    <row r="21169">
      <c r="A21169" s="1" t="s">
        <v>32667</v>
      </c>
      <c r="B21169" s="2" t="s">
        <v>32668</v>
      </c>
      <c r="C21169" s="1" t="s">
        <v>5808</v>
      </c>
      <c r="D21169" s="1" t="s">
        <v>5809</v>
      </c>
    </row>
    <row r="21170">
      <c r="A21170" s="1" t="s">
        <v>32669</v>
      </c>
      <c r="B21170" s="2" t="s">
        <v>32670</v>
      </c>
      <c r="C21170" s="1" t="s">
        <v>5808</v>
      </c>
      <c r="D21170" s="1" t="s">
        <v>5809</v>
      </c>
    </row>
    <row r="21171">
      <c r="A21171" s="1" t="s">
        <v>32671</v>
      </c>
      <c r="B21171" s="2" t="s">
        <v>32672</v>
      </c>
      <c r="C21171" s="1" t="s">
        <v>5808</v>
      </c>
      <c r="D21171" s="1" t="s">
        <v>5809</v>
      </c>
    </row>
    <row r="21172">
      <c r="A21172" s="1" t="s">
        <v>32673</v>
      </c>
      <c r="B21172" s="2" t="s">
        <v>32674</v>
      </c>
      <c r="C21172" s="1" t="s">
        <v>5808</v>
      </c>
      <c r="D21172" s="1" t="s">
        <v>5809</v>
      </c>
    </row>
    <row r="21173">
      <c r="A21173" s="1" t="s">
        <v>32675</v>
      </c>
      <c r="B21173" s="2" t="s">
        <v>32676</v>
      </c>
      <c r="C21173" s="1" t="s">
        <v>5808</v>
      </c>
      <c r="D21173" s="1" t="s">
        <v>5809</v>
      </c>
    </row>
    <row r="21174">
      <c r="A21174" s="1" t="s">
        <v>32677</v>
      </c>
      <c r="B21174" s="2" t="s">
        <v>32678</v>
      </c>
      <c r="C21174" s="1" t="s">
        <v>5808</v>
      </c>
      <c r="D21174" s="1" t="s">
        <v>5809</v>
      </c>
    </row>
    <row r="21175">
      <c r="A21175" s="1" t="s">
        <v>5814</v>
      </c>
      <c r="B21175" s="2" t="s">
        <v>7</v>
      </c>
      <c r="C21175" s="1" t="s">
        <v>5817</v>
      </c>
      <c r="D21175" s="1" t="s">
        <v>5819</v>
      </c>
    </row>
    <row r="21176">
      <c r="A21176" s="1" t="s">
        <v>32679</v>
      </c>
      <c r="B21176" s="2" t="s">
        <v>32680</v>
      </c>
      <c r="C21176" s="1" t="s">
        <v>5817</v>
      </c>
      <c r="D21176" s="1" t="s">
        <v>5819</v>
      </c>
    </row>
    <row r="21177">
      <c r="A21177" s="1" t="s">
        <v>32681</v>
      </c>
      <c r="B21177" s="2" t="s">
        <v>32682</v>
      </c>
      <c r="C21177" s="1" t="s">
        <v>5817</v>
      </c>
      <c r="D21177" s="1" t="s">
        <v>5819</v>
      </c>
    </row>
    <row r="21178">
      <c r="A21178" s="1" t="s">
        <v>5822</v>
      </c>
      <c r="B21178" s="2" t="s">
        <v>7</v>
      </c>
      <c r="C21178" s="1" t="s">
        <v>5823</v>
      </c>
      <c r="D21178" s="1" t="s">
        <v>5825</v>
      </c>
    </row>
    <row r="21179">
      <c r="A21179" s="1" t="s">
        <v>32683</v>
      </c>
      <c r="B21179" s="2" t="s">
        <v>32684</v>
      </c>
      <c r="C21179" s="1" t="s">
        <v>5823</v>
      </c>
      <c r="D21179" s="1" t="s">
        <v>5825</v>
      </c>
    </row>
    <row r="21180">
      <c r="A21180" s="1" t="s">
        <v>32685</v>
      </c>
      <c r="B21180" s="2" t="s">
        <v>32686</v>
      </c>
      <c r="C21180" s="1" t="s">
        <v>5823</v>
      </c>
      <c r="D21180" s="1" t="s">
        <v>5825</v>
      </c>
    </row>
    <row r="21181">
      <c r="A21181" s="1" t="s">
        <v>32687</v>
      </c>
      <c r="B21181" s="2" t="s">
        <v>32688</v>
      </c>
      <c r="C21181" s="1" t="s">
        <v>5823</v>
      </c>
      <c r="D21181" s="1" t="s">
        <v>5825</v>
      </c>
    </row>
    <row r="21182">
      <c r="A21182" s="1" t="s">
        <v>32689</v>
      </c>
      <c r="B21182" s="2" t="s">
        <v>32690</v>
      </c>
      <c r="C21182" s="1" t="s">
        <v>5823</v>
      </c>
      <c r="D21182" s="1" t="s">
        <v>5825</v>
      </c>
    </row>
    <row r="21183">
      <c r="A21183" s="1" t="s">
        <v>32691</v>
      </c>
      <c r="B21183" s="2" t="s">
        <v>32692</v>
      </c>
      <c r="C21183" s="1" t="s">
        <v>5823</v>
      </c>
      <c r="D21183" s="1" t="s">
        <v>5825</v>
      </c>
    </row>
    <row r="21184">
      <c r="A21184" s="1" t="s">
        <v>32693</v>
      </c>
      <c r="B21184" s="2" t="s">
        <v>32694</v>
      </c>
      <c r="C21184" s="1" t="s">
        <v>5823</v>
      </c>
      <c r="D21184" s="1" t="s">
        <v>5825</v>
      </c>
    </row>
    <row r="21185">
      <c r="A21185" s="1" t="s">
        <v>32695</v>
      </c>
      <c r="B21185" s="2" t="s">
        <v>32696</v>
      </c>
      <c r="C21185" s="1" t="s">
        <v>5823</v>
      </c>
      <c r="D21185" s="1" t="s">
        <v>5825</v>
      </c>
    </row>
    <row r="21186">
      <c r="A21186" s="1" t="s">
        <v>32697</v>
      </c>
      <c r="B21186" s="2" t="s">
        <v>32698</v>
      </c>
      <c r="C21186" s="1" t="s">
        <v>5823</v>
      </c>
      <c r="D21186" s="1" t="s">
        <v>5825</v>
      </c>
    </row>
    <row r="21187">
      <c r="A21187" s="1" t="s">
        <v>32699</v>
      </c>
      <c r="B21187" s="2" t="s">
        <v>32700</v>
      </c>
      <c r="C21187" s="1" t="s">
        <v>5823</v>
      </c>
      <c r="D21187" s="1" t="s">
        <v>5825</v>
      </c>
    </row>
    <row r="21188">
      <c r="A21188" s="1" t="s">
        <v>5828</v>
      </c>
      <c r="B21188" s="2" t="s">
        <v>7</v>
      </c>
      <c r="C21188" s="1" t="s">
        <v>5830</v>
      </c>
      <c r="D21188" s="1" t="s">
        <v>5831</v>
      </c>
    </row>
    <row r="21189">
      <c r="A21189" s="1" t="s">
        <v>32701</v>
      </c>
      <c r="B21189" s="2" t="s">
        <v>32702</v>
      </c>
      <c r="C21189" s="1" t="s">
        <v>5830</v>
      </c>
      <c r="D21189" s="1" t="s">
        <v>5831</v>
      </c>
    </row>
    <row r="21190">
      <c r="A21190" s="1" t="s">
        <v>32703</v>
      </c>
      <c r="B21190" s="2" t="s">
        <v>32704</v>
      </c>
      <c r="C21190" s="1" t="s">
        <v>5830</v>
      </c>
      <c r="D21190" s="1" t="s">
        <v>5831</v>
      </c>
    </row>
    <row r="21191">
      <c r="A21191" s="1" t="s">
        <v>32705</v>
      </c>
      <c r="B21191" s="2" t="s">
        <v>32706</v>
      </c>
      <c r="C21191" s="1" t="s">
        <v>5830</v>
      </c>
      <c r="D21191" s="1" t="s">
        <v>5831</v>
      </c>
    </row>
    <row r="21192">
      <c r="A21192" s="1" t="s">
        <v>32707</v>
      </c>
      <c r="B21192" s="2" t="s">
        <v>32708</v>
      </c>
      <c r="C21192" s="1" t="s">
        <v>5830</v>
      </c>
      <c r="D21192" s="1" t="s">
        <v>5831</v>
      </c>
    </row>
    <row r="21193">
      <c r="A21193" s="1" t="s">
        <v>32709</v>
      </c>
      <c r="B21193" s="2" t="s">
        <v>32710</v>
      </c>
      <c r="C21193" s="1" t="s">
        <v>5830</v>
      </c>
      <c r="D21193" s="1" t="s">
        <v>5831</v>
      </c>
    </row>
    <row r="21194">
      <c r="A21194" s="1" t="s">
        <v>32711</v>
      </c>
      <c r="B21194" s="2" t="s">
        <v>32712</v>
      </c>
      <c r="C21194" s="1" t="s">
        <v>5830</v>
      </c>
      <c r="D21194" s="1" t="s">
        <v>5831</v>
      </c>
    </row>
    <row r="21195">
      <c r="A21195" s="1" t="s">
        <v>32713</v>
      </c>
      <c r="B21195" s="2" t="s">
        <v>32714</v>
      </c>
      <c r="C21195" s="1" t="s">
        <v>5830</v>
      </c>
      <c r="D21195" s="1" t="s">
        <v>5831</v>
      </c>
    </row>
    <row r="21196">
      <c r="A21196" s="1" t="s">
        <v>32715</v>
      </c>
      <c r="B21196" s="2" t="s">
        <v>32716</v>
      </c>
      <c r="C21196" s="1" t="s">
        <v>5830</v>
      </c>
      <c r="D21196" s="1" t="s">
        <v>5831</v>
      </c>
    </row>
    <row r="21197">
      <c r="A21197" s="1" t="s">
        <v>32717</v>
      </c>
      <c r="B21197" s="2" t="s">
        <v>32718</v>
      </c>
      <c r="C21197" s="1" t="s">
        <v>5830</v>
      </c>
      <c r="D21197" s="1" t="s">
        <v>5831</v>
      </c>
    </row>
    <row r="21198">
      <c r="A21198" s="1" t="s">
        <v>32719</v>
      </c>
      <c r="B21198" s="2" t="s">
        <v>32720</v>
      </c>
      <c r="C21198" s="1" t="s">
        <v>5830</v>
      </c>
      <c r="D21198" s="1" t="s">
        <v>5831</v>
      </c>
    </row>
    <row r="21199">
      <c r="A21199" s="1" t="s">
        <v>32721</v>
      </c>
      <c r="B21199" s="2" t="s">
        <v>32722</v>
      </c>
      <c r="C21199" s="1" t="s">
        <v>5830</v>
      </c>
      <c r="D21199" s="1" t="s">
        <v>5831</v>
      </c>
    </row>
    <row r="21200">
      <c r="A21200" s="1" t="s">
        <v>32723</v>
      </c>
      <c r="B21200" s="2" t="s">
        <v>32724</v>
      </c>
      <c r="C21200" s="1" t="s">
        <v>5830</v>
      </c>
      <c r="D21200" s="1" t="s">
        <v>5831</v>
      </c>
    </row>
    <row r="21201">
      <c r="A21201" s="1" t="s">
        <v>32725</v>
      </c>
      <c r="B21201" s="2" t="s">
        <v>32726</v>
      </c>
      <c r="C21201" s="1" t="s">
        <v>5830</v>
      </c>
      <c r="D21201" s="1" t="s">
        <v>5831</v>
      </c>
    </row>
    <row r="21202">
      <c r="A21202" s="1" t="s">
        <v>32727</v>
      </c>
      <c r="B21202" s="2" t="s">
        <v>32728</v>
      </c>
      <c r="C21202" s="1" t="s">
        <v>5830</v>
      </c>
      <c r="D21202" s="1" t="s">
        <v>5831</v>
      </c>
    </row>
    <row r="21203">
      <c r="A21203" s="1" t="s">
        <v>32729</v>
      </c>
      <c r="B21203" s="2" t="s">
        <v>32730</v>
      </c>
      <c r="C21203" s="1" t="s">
        <v>5830</v>
      </c>
      <c r="D21203" s="1" t="s">
        <v>5831</v>
      </c>
    </row>
    <row r="21204">
      <c r="A21204" s="1" t="s">
        <v>32731</v>
      </c>
      <c r="B21204" s="2" t="s">
        <v>32732</v>
      </c>
      <c r="C21204" s="1" t="s">
        <v>5830</v>
      </c>
      <c r="D21204" s="1" t="s">
        <v>5831</v>
      </c>
    </row>
    <row r="21205">
      <c r="A21205" s="1" t="s">
        <v>32733</v>
      </c>
      <c r="B21205" s="2" t="s">
        <v>32734</v>
      </c>
      <c r="C21205" s="1" t="s">
        <v>5830</v>
      </c>
      <c r="D21205" s="1" t="s">
        <v>5831</v>
      </c>
    </row>
    <row r="21206">
      <c r="A21206" s="1" t="s">
        <v>32735</v>
      </c>
      <c r="B21206" s="2" t="s">
        <v>32736</v>
      </c>
      <c r="C21206" s="1" t="s">
        <v>5830</v>
      </c>
      <c r="D21206" s="1" t="s">
        <v>5831</v>
      </c>
    </row>
    <row r="21207">
      <c r="A21207" s="1" t="s">
        <v>32737</v>
      </c>
      <c r="B21207" s="2" t="s">
        <v>32738</v>
      </c>
      <c r="C21207" s="1" t="s">
        <v>5830</v>
      </c>
      <c r="D21207" s="1" t="s">
        <v>5831</v>
      </c>
    </row>
    <row r="21208">
      <c r="A21208" s="1" t="s">
        <v>32739</v>
      </c>
      <c r="B21208" s="2" t="s">
        <v>32740</v>
      </c>
      <c r="C21208" s="1" t="s">
        <v>5830</v>
      </c>
      <c r="D21208" s="1" t="s">
        <v>5831</v>
      </c>
    </row>
    <row r="21209">
      <c r="A21209" s="1" t="s">
        <v>5842</v>
      </c>
      <c r="B21209" s="2" t="s">
        <v>7</v>
      </c>
      <c r="C21209" s="1" t="s">
        <v>5844</v>
      </c>
      <c r="D21209" s="1" t="s">
        <v>5846</v>
      </c>
    </row>
    <row r="21210">
      <c r="A21210" s="1" t="s">
        <v>32741</v>
      </c>
      <c r="B21210" s="2" t="s">
        <v>32644</v>
      </c>
      <c r="C21210" s="1" t="s">
        <v>5844</v>
      </c>
      <c r="D21210" s="1" t="s">
        <v>5846</v>
      </c>
    </row>
    <row r="21211">
      <c r="A21211" s="1" t="s">
        <v>32742</v>
      </c>
      <c r="B21211" s="2" t="s">
        <v>32646</v>
      </c>
      <c r="C21211" s="1" t="s">
        <v>5844</v>
      </c>
      <c r="D21211" s="1" t="s">
        <v>5846</v>
      </c>
    </row>
    <row r="21212">
      <c r="A21212" s="1" t="s">
        <v>5851</v>
      </c>
      <c r="B21212" s="2" t="s">
        <v>7</v>
      </c>
      <c r="C21212" s="1" t="s">
        <v>5853</v>
      </c>
      <c r="D21212" s="1" t="s">
        <v>5855</v>
      </c>
    </row>
    <row r="21213">
      <c r="A21213" s="1" t="s">
        <v>32743</v>
      </c>
      <c r="B21213" s="2" t="s">
        <v>32644</v>
      </c>
      <c r="C21213" s="1" t="s">
        <v>5853</v>
      </c>
      <c r="D21213" s="1" t="s">
        <v>5855</v>
      </c>
    </row>
    <row r="21214">
      <c r="A21214" s="1" t="s">
        <v>32744</v>
      </c>
      <c r="B21214" s="2" t="s">
        <v>32646</v>
      </c>
      <c r="C21214" s="1" t="s">
        <v>5853</v>
      </c>
      <c r="D21214" s="1" t="s">
        <v>5855</v>
      </c>
    </row>
    <row r="21215">
      <c r="A21215" s="1" t="s">
        <v>5859</v>
      </c>
      <c r="B21215" s="2" t="s">
        <v>7</v>
      </c>
      <c r="C21215" s="1" t="s">
        <v>5861</v>
      </c>
      <c r="D21215" s="1" t="s">
        <v>5863</v>
      </c>
    </row>
    <row r="21216">
      <c r="A21216" s="1" t="s">
        <v>32745</v>
      </c>
      <c r="B21216" s="2" t="s">
        <v>32644</v>
      </c>
      <c r="C21216" s="1" t="s">
        <v>5861</v>
      </c>
      <c r="D21216" s="1" t="s">
        <v>5863</v>
      </c>
    </row>
    <row r="21217">
      <c r="A21217" s="1" t="s">
        <v>32746</v>
      </c>
      <c r="B21217" s="2" t="s">
        <v>32646</v>
      </c>
      <c r="C21217" s="1" t="s">
        <v>5861</v>
      </c>
      <c r="D21217" s="1" t="s">
        <v>5863</v>
      </c>
    </row>
    <row r="21218">
      <c r="A21218" s="1" t="s">
        <v>5868</v>
      </c>
      <c r="B21218" s="2" t="s">
        <v>7</v>
      </c>
      <c r="C21218" s="1" t="s">
        <v>5870</v>
      </c>
      <c r="D21218" s="1" t="s">
        <v>5871</v>
      </c>
    </row>
    <row r="21219">
      <c r="A21219" s="1" t="s">
        <v>32747</v>
      </c>
      <c r="B21219" s="2" t="s">
        <v>32644</v>
      </c>
      <c r="C21219" s="1" t="s">
        <v>5870</v>
      </c>
      <c r="D21219" s="1" t="s">
        <v>5871</v>
      </c>
    </row>
    <row r="21220">
      <c r="A21220" s="1" t="s">
        <v>32748</v>
      </c>
      <c r="B21220" s="2" t="s">
        <v>32646</v>
      </c>
      <c r="C21220" s="1" t="s">
        <v>5870</v>
      </c>
      <c r="D21220" s="1" t="s">
        <v>5871</v>
      </c>
    </row>
    <row r="21221">
      <c r="A21221" s="1" t="s">
        <v>5876</v>
      </c>
      <c r="B21221" s="2" t="s">
        <v>7</v>
      </c>
      <c r="C21221" s="1" t="s">
        <v>5879</v>
      </c>
      <c r="D21221" s="1" t="s">
        <v>5880</v>
      </c>
    </row>
    <row r="21222">
      <c r="A21222" s="1" t="s">
        <v>32749</v>
      </c>
      <c r="B21222" s="2" t="s">
        <v>32644</v>
      </c>
      <c r="C21222" s="1" t="s">
        <v>5879</v>
      </c>
      <c r="D21222" s="1" t="s">
        <v>5880</v>
      </c>
    </row>
    <row r="21223">
      <c r="A21223" s="1" t="s">
        <v>32750</v>
      </c>
      <c r="B21223" s="2" t="s">
        <v>32646</v>
      </c>
      <c r="C21223" s="1" t="s">
        <v>5879</v>
      </c>
      <c r="D21223" s="1" t="s">
        <v>5880</v>
      </c>
    </row>
    <row r="21224">
      <c r="A21224" s="1" t="s">
        <v>5884</v>
      </c>
      <c r="B21224" s="2" t="s">
        <v>7</v>
      </c>
      <c r="C21224" s="1" t="s">
        <v>5886</v>
      </c>
      <c r="D21224" s="1" t="s">
        <v>5888</v>
      </c>
    </row>
    <row r="21225">
      <c r="A21225" s="1" t="s">
        <v>32751</v>
      </c>
      <c r="B21225" s="2" t="s">
        <v>32644</v>
      </c>
      <c r="C21225" s="1" t="s">
        <v>5886</v>
      </c>
      <c r="D21225" s="1" t="s">
        <v>5888</v>
      </c>
    </row>
    <row r="21226">
      <c r="A21226" s="1" t="s">
        <v>32752</v>
      </c>
      <c r="B21226" s="2" t="s">
        <v>32646</v>
      </c>
      <c r="C21226" s="1" t="s">
        <v>5886</v>
      </c>
      <c r="D21226" s="1" t="s">
        <v>5888</v>
      </c>
    </row>
    <row r="21227">
      <c r="A21227" s="1" t="s">
        <v>5893</v>
      </c>
      <c r="B21227" s="2" t="s">
        <v>7</v>
      </c>
      <c r="C21227" s="1" t="s">
        <v>5895</v>
      </c>
      <c r="D21227" s="1" t="s">
        <v>5897</v>
      </c>
    </row>
    <row r="21228">
      <c r="A21228" s="1" t="s">
        <v>32753</v>
      </c>
      <c r="B21228" s="2" t="s">
        <v>32644</v>
      </c>
      <c r="C21228" s="1" t="s">
        <v>5895</v>
      </c>
      <c r="D21228" s="1" t="s">
        <v>5897</v>
      </c>
    </row>
    <row r="21229">
      <c r="A21229" s="1" t="s">
        <v>32754</v>
      </c>
      <c r="B21229" s="2" t="s">
        <v>32646</v>
      </c>
      <c r="C21229" s="1" t="s">
        <v>5895</v>
      </c>
      <c r="D21229" s="1" t="s">
        <v>5897</v>
      </c>
    </row>
    <row r="21230">
      <c r="A21230" s="1" t="s">
        <v>5902</v>
      </c>
      <c r="B21230" s="2" t="s">
        <v>7</v>
      </c>
      <c r="C21230" s="1" t="s">
        <v>5904</v>
      </c>
      <c r="D21230" s="1" t="s">
        <v>5906</v>
      </c>
    </row>
    <row r="21231">
      <c r="A21231" s="1" t="s">
        <v>32755</v>
      </c>
      <c r="B21231" s="2" t="s">
        <v>32644</v>
      </c>
      <c r="C21231" s="1" t="s">
        <v>5904</v>
      </c>
      <c r="D21231" s="1" t="s">
        <v>5906</v>
      </c>
    </row>
    <row r="21232">
      <c r="A21232" s="1" t="s">
        <v>32756</v>
      </c>
      <c r="B21232" s="2" t="s">
        <v>32646</v>
      </c>
      <c r="C21232" s="1" t="s">
        <v>5904</v>
      </c>
      <c r="D21232" s="1" t="s">
        <v>5906</v>
      </c>
    </row>
    <row r="21233">
      <c r="A21233" s="1" t="s">
        <v>5908</v>
      </c>
      <c r="B21233" s="2" t="s">
        <v>7</v>
      </c>
      <c r="C21233" s="1" t="s">
        <v>5910</v>
      </c>
      <c r="D21233" s="1" t="s">
        <v>5911</v>
      </c>
    </row>
    <row r="21234">
      <c r="A21234" s="1" t="s">
        <v>32757</v>
      </c>
      <c r="B21234" s="2" t="s">
        <v>32644</v>
      </c>
      <c r="C21234" s="1" t="s">
        <v>5910</v>
      </c>
      <c r="D21234" s="1" t="s">
        <v>5911</v>
      </c>
    </row>
    <row r="21235">
      <c r="A21235" s="1" t="s">
        <v>32758</v>
      </c>
      <c r="B21235" s="2" t="s">
        <v>32646</v>
      </c>
      <c r="C21235" s="1" t="s">
        <v>5910</v>
      </c>
      <c r="D21235" s="1" t="s">
        <v>5911</v>
      </c>
    </row>
    <row r="21236">
      <c r="A21236" s="1" t="s">
        <v>5834</v>
      </c>
      <c r="B21236" s="2" t="s">
        <v>7</v>
      </c>
      <c r="C21236" s="1" t="s">
        <v>129</v>
      </c>
      <c r="D21236" s="1" t="s">
        <v>5836</v>
      </c>
    </row>
    <row r="21237">
      <c r="A21237" s="1" t="s">
        <v>32759</v>
      </c>
      <c r="B21237" s="2" t="s">
        <v>32644</v>
      </c>
      <c r="C21237" s="1" t="s">
        <v>129</v>
      </c>
      <c r="D21237" s="1" t="s">
        <v>5836</v>
      </c>
    </row>
    <row r="21238">
      <c r="A21238" s="1" t="s">
        <v>32760</v>
      </c>
      <c r="B21238" s="2" t="s">
        <v>32646</v>
      </c>
      <c r="C21238" s="1" t="s">
        <v>129</v>
      </c>
      <c r="D21238" s="1" t="s">
        <v>5836</v>
      </c>
    </row>
    <row r="21239">
      <c r="A21239" s="1" t="s">
        <v>5914</v>
      </c>
      <c r="B21239" s="2" t="s">
        <v>7</v>
      </c>
      <c r="C21239" s="1" t="s">
        <v>5916</v>
      </c>
      <c r="D21239" s="1" t="s">
        <v>5917</v>
      </c>
    </row>
    <row r="21240">
      <c r="A21240" s="1" t="s">
        <v>32761</v>
      </c>
      <c r="B21240" s="2" t="s">
        <v>32702</v>
      </c>
      <c r="C21240" s="1" t="s">
        <v>5916</v>
      </c>
      <c r="D21240" s="1" t="s">
        <v>5917</v>
      </c>
    </row>
    <row r="21241">
      <c r="A21241" s="1" t="s">
        <v>32762</v>
      </c>
      <c r="B21241" s="2" t="s">
        <v>32763</v>
      </c>
      <c r="C21241" s="1" t="s">
        <v>5916</v>
      </c>
      <c r="D21241" s="1" t="s">
        <v>5917</v>
      </c>
    </row>
    <row r="21242">
      <c r="A21242" s="1" t="s">
        <v>32764</v>
      </c>
      <c r="B21242" s="2" t="s">
        <v>32765</v>
      </c>
      <c r="C21242" s="1" t="s">
        <v>5916</v>
      </c>
      <c r="D21242" s="1" t="s">
        <v>5917</v>
      </c>
    </row>
    <row r="21243">
      <c r="A21243" s="1" t="s">
        <v>32766</v>
      </c>
      <c r="B21243" s="2" t="s">
        <v>32767</v>
      </c>
      <c r="C21243" s="1" t="s">
        <v>5916</v>
      </c>
      <c r="D21243" s="1" t="s">
        <v>5917</v>
      </c>
    </row>
    <row r="21244">
      <c r="A21244" s="1" t="s">
        <v>32768</v>
      </c>
      <c r="B21244" s="2" t="s">
        <v>32769</v>
      </c>
      <c r="C21244" s="1" t="s">
        <v>5916</v>
      </c>
      <c r="D21244" s="1" t="s">
        <v>5917</v>
      </c>
    </row>
    <row r="21245">
      <c r="A21245" s="1" t="s">
        <v>32770</v>
      </c>
      <c r="B21245" s="2" t="s">
        <v>32771</v>
      </c>
      <c r="C21245" s="1" t="s">
        <v>5916</v>
      </c>
      <c r="D21245" s="1" t="s">
        <v>5917</v>
      </c>
    </row>
    <row r="21246">
      <c r="A21246" s="1" t="s">
        <v>32772</v>
      </c>
      <c r="B21246" s="2" t="s">
        <v>32773</v>
      </c>
      <c r="C21246" s="1" t="s">
        <v>5916</v>
      </c>
      <c r="D21246" s="1" t="s">
        <v>5917</v>
      </c>
    </row>
    <row r="21247">
      <c r="A21247" s="1" t="s">
        <v>32774</v>
      </c>
      <c r="B21247" s="2" t="s">
        <v>32775</v>
      </c>
      <c r="C21247" s="1" t="s">
        <v>5916</v>
      </c>
      <c r="D21247" s="1" t="s">
        <v>5917</v>
      </c>
    </row>
    <row r="21248">
      <c r="A21248" s="1" t="s">
        <v>32776</v>
      </c>
      <c r="B21248" s="2" t="s">
        <v>32722</v>
      </c>
      <c r="C21248" s="1" t="s">
        <v>5916</v>
      </c>
      <c r="D21248" s="1" t="s">
        <v>5917</v>
      </c>
    </row>
    <row r="21249">
      <c r="A21249" s="1" t="s">
        <v>32777</v>
      </c>
      <c r="B21249" s="2" t="s">
        <v>32778</v>
      </c>
      <c r="C21249" s="1" t="s">
        <v>5916</v>
      </c>
      <c r="D21249" s="1" t="s">
        <v>5917</v>
      </c>
    </row>
    <row r="21250">
      <c r="A21250" s="1" t="s">
        <v>32779</v>
      </c>
      <c r="B21250" s="2" t="s">
        <v>32780</v>
      </c>
      <c r="C21250" s="1" t="s">
        <v>5916</v>
      </c>
      <c r="D21250" s="1" t="s">
        <v>5917</v>
      </c>
    </row>
    <row r="21251">
      <c r="A21251" s="1" t="s">
        <v>32781</v>
      </c>
      <c r="B21251" s="2" t="s">
        <v>32782</v>
      </c>
      <c r="C21251" s="1" t="s">
        <v>5916</v>
      </c>
      <c r="D21251" s="1" t="s">
        <v>5917</v>
      </c>
    </row>
    <row r="21252">
      <c r="A21252" s="1" t="s">
        <v>32783</v>
      </c>
      <c r="B21252" s="2" t="s">
        <v>32784</v>
      </c>
      <c r="C21252" s="1" t="s">
        <v>5916</v>
      </c>
      <c r="D21252" s="1" t="s">
        <v>5917</v>
      </c>
    </row>
    <row r="21253">
      <c r="A21253" s="1" t="s">
        <v>32785</v>
      </c>
      <c r="B21253" s="2" t="s">
        <v>32786</v>
      </c>
      <c r="C21253" s="1" t="s">
        <v>5916</v>
      </c>
      <c r="D21253" s="1" t="s">
        <v>5917</v>
      </c>
    </row>
    <row r="21254">
      <c r="A21254" s="1" t="s">
        <v>32787</v>
      </c>
      <c r="B21254" s="2" t="s">
        <v>32788</v>
      </c>
      <c r="C21254" s="1" t="s">
        <v>5916</v>
      </c>
      <c r="D21254" s="1" t="s">
        <v>5917</v>
      </c>
    </row>
    <row r="21255">
      <c r="A21255" s="1" t="s">
        <v>32789</v>
      </c>
      <c r="B21255" s="2" t="s">
        <v>32790</v>
      </c>
      <c r="C21255" s="1" t="s">
        <v>5916</v>
      </c>
      <c r="D21255" s="1" t="s">
        <v>5917</v>
      </c>
    </row>
    <row r="21256">
      <c r="A21256" s="1" t="s">
        <v>5929</v>
      </c>
      <c r="B21256" s="2" t="s">
        <v>5920</v>
      </c>
      <c r="C21256" s="1" t="s">
        <v>5931</v>
      </c>
      <c r="D21256" s="1" t="s">
        <v>5933</v>
      </c>
    </row>
    <row r="21257">
      <c r="A21257" s="1" t="s">
        <v>32791</v>
      </c>
      <c r="B21257" s="2" t="s">
        <v>32792</v>
      </c>
      <c r="C21257" s="1" t="s">
        <v>5931</v>
      </c>
      <c r="D21257" s="1" t="s">
        <v>5933</v>
      </c>
    </row>
    <row r="21258">
      <c r="A21258" s="1" t="s">
        <v>32793</v>
      </c>
      <c r="B21258" s="2" t="s">
        <v>32794</v>
      </c>
      <c r="C21258" s="1" t="s">
        <v>5931</v>
      </c>
      <c r="D21258" s="1" t="s">
        <v>5933</v>
      </c>
    </row>
    <row r="21259">
      <c r="A21259" s="1" t="s">
        <v>5937</v>
      </c>
      <c r="B21259" s="2" t="s">
        <v>5920</v>
      </c>
      <c r="C21259" s="1" t="s">
        <v>5938</v>
      </c>
      <c r="D21259" s="1" t="s">
        <v>5940</v>
      </c>
    </row>
    <row r="21260">
      <c r="A21260" s="1" t="s">
        <v>32795</v>
      </c>
      <c r="B21260" s="2" t="s">
        <v>32792</v>
      </c>
      <c r="C21260" s="1" t="s">
        <v>5938</v>
      </c>
      <c r="D21260" s="1" t="s">
        <v>5940</v>
      </c>
    </row>
    <row r="21261">
      <c r="A21261" s="1" t="s">
        <v>32796</v>
      </c>
      <c r="B21261" s="2" t="s">
        <v>32794</v>
      </c>
      <c r="C21261" s="1" t="s">
        <v>5938</v>
      </c>
      <c r="D21261" s="1" t="s">
        <v>5940</v>
      </c>
    </row>
    <row r="21262">
      <c r="A21262" s="1" t="s">
        <v>5945</v>
      </c>
      <c r="B21262" s="2" t="s">
        <v>5920</v>
      </c>
      <c r="C21262" s="1" t="s">
        <v>5947</v>
      </c>
      <c r="D21262" s="1" t="s">
        <v>5949</v>
      </c>
    </row>
    <row r="21263">
      <c r="A21263" s="1" t="s">
        <v>32797</v>
      </c>
      <c r="B21263" s="2" t="s">
        <v>32792</v>
      </c>
      <c r="C21263" s="1" t="s">
        <v>5947</v>
      </c>
      <c r="D21263" s="1" t="s">
        <v>5949</v>
      </c>
    </row>
    <row r="21264">
      <c r="A21264" s="1" t="s">
        <v>32798</v>
      </c>
      <c r="B21264" s="2" t="s">
        <v>32794</v>
      </c>
      <c r="C21264" s="1" t="s">
        <v>5947</v>
      </c>
      <c r="D21264" s="1" t="s">
        <v>5949</v>
      </c>
    </row>
    <row r="21265">
      <c r="A21265" s="1" t="s">
        <v>5954</v>
      </c>
      <c r="B21265" s="2" t="s">
        <v>5920</v>
      </c>
      <c r="C21265" s="1" t="s">
        <v>5955</v>
      </c>
      <c r="D21265" s="1" t="s">
        <v>5957</v>
      </c>
    </row>
    <row r="21266">
      <c r="A21266" s="1" t="s">
        <v>32799</v>
      </c>
      <c r="B21266" s="2" t="s">
        <v>32792</v>
      </c>
      <c r="C21266" s="1" t="s">
        <v>5955</v>
      </c>
      <c r="D21266" s="1" t="s">
        <v>5957</v>
      </c>
    </row>
    <row r="21267">
      <c r="A21267" s="1" t="s">
        <v>32800</v>
      </c>
      <c r="B21267" s="2" t="s">
        <v>32794</v>
      </c>
      <c r="C21267" s="1" t="s">
        <v>5955</v>
      </c>
      <c r="D21267" s="1" t="s">
        <v>5957</v>
      </c>
    </row>
    <row r="21268">
      <c r="A21268" s="1" t="s">
        <v>5963</v>
      </c>
      <c r="B21268" s="2" t="s">
        <v>5920</v>
      </c>
      <c r="C21268" s="1" t="s">
        <v>5966</v>
      </c>
      <c r="D21268" s="1" t="s">
        <v>5967</v>
      </c>
    </row>
    <row r="21269">
      <c r="A21269" s="1" t="s">
        <v>32801</v>
      </c>
      <c r="B21269" s="2" t="s">
        <v>32792</v>
      </c>
      <c r="C21269" s="1" t="s">
        <v>5966</v>
      </c>
      <c r="D21269" s="1" t="s">
        <v>5967</v>
      </c>
    </row>
    <row r="21270">
      <c r="A21270" s="1" t="s">
        <v>32802</v>
      </c>
      <c r="B21270" s="2" t="s">
        <v>32794</v>
      </c>
      <c r="C21270" s="1" t="s">
        <v>5966</v>
      </c>
      <c r="D21270" s="1" t="s">
        <v>5967</v>
      </c>
    </row>
    <row r="21271">
      <c r="A21271" s="1" t="s">
        <v>5971</v>
      </c>
      <c r="B21271" s="2" t="s">
        <v>5920</v>
      </c>
      <c r="C21271" s="1" t="s">
        <v>5974</v>
      </c>
      <c r="D21271" s="1" t="s">
        <v>5975</v>
      </c>
    </row>
    <row r="21272">
      <c r="A21272" s="1" t="s">
        <v>32803</v>
      </c>
      <c r="B21272" s="2" t="s">
        <v>32792</v>
      </c>
      <c r="C21272" s="1" t="s">
        <v>5974</v>
      </c>
      <c r="D21272" s="1" t="s">
        <v>5975</v>
      </c>
    </row>
    <row r="21273">
      <c r="A21273" s="1" t="s">
        <v>32804</v>
      </c>
      <c r="B21273" s="2" t="s">
        <v>32794</v>
      </c>
      <c r="C21273" s="1" t="s">
        <v>5974</v>
      </c>
      <c r="D21273" s="1" t="s">
        <v>5975</v>
      </c>
    </row>
    <row r="21274">
      <c r="A21274" s="1" t="s">
        <v>5980</v>
      </c>
      <c r="B21274" s="2" t="s">
        <v>5920</v>
      </c>
      <c r="C21274" s="1" t="s">
        <v>5983</v>
      </c>
      <c r="D21274" s="1" t="s">
        <v>5984</v>
      </c>
    </row>
    <row r="21275">
      <c r="A21275" s="1" t="s">
        <v>32805</v>
      </c>
      <c r="B21275" s="2" t="s">
        <v>32792</v>
      </c>
      <c r="C21275" s="1" t="s">
        <v>5983</v>
      </c>
      <c r="D21275" s="1" t="s">
        <v>5984</v>
      </c>
    </row>
    <row r="21276">
      <c r="A21276" s="1" t="s">
        <v>32806</v>
      </c>
      <c r="B21276" s="2" t="s">
        <v>32794</v>
      </c>
      <c r="C21276" s="1" t="s">
        <v>5983</v>
      </c>
      <c r="D21276" s="1" t="s">
        <v>5984</v>
      </c>
    </row>
    <row r="21277">
      <c r="A21277" s="1" t="s">
        <v>6001</v>
      </c>
      <c r="B21277" s="2" t="s">
        <v>5920</v>
      </c>
      <c r="C21277" s="1" t="s">
        <v>6003</v>
      </c>
      <c r="D21277" s="1" t="s">
        <v>6005</v>
      </c>
    </row>
    <row r="21278">
      <c r="A21278" s="1" t="s">
        <v>32807</v>
      </c>
      <c r="B21278" s="2" t="s">
        <v>32792</v>
      </c>
      <c r="C21278" s="1" t="s">
        <v>6003</v>
      </c>
      <c r="D21278" s="1" t="s">
        <v>6005</v>
      </c>
    </row>
    <row r="21279">
      <c r="A21279" s="1" t="s">
        <v>32808</v>
      </c>
      <c r="B21279" s="2" t="s">
        <v>32794</v>
      </c>
      <c r="C21279" s="1" t="s">
        <v>6003</v>
      </c>
      <c r="D21279" s="1" t="s">
        <v>6005</v>
      </c>
    </row>
    <row r="21280">
      <c r="A21280" s="1" t="s">
        <v>6012</v>
      </c>
      <c r="B21280" s="2" t="s">
        <v>5920</v>
      </c>
      <c r="C21280" s="1" t="s">
        <v>6014</v>
      </c>
      <c r="D21280" s="1" t="s">
        <v>6016</v>
      </c>
    </row>
    <row r="21281">
      <c r="A21281" s="1" t="s">
        <v>32809</v>
      </c>
      <c r="B21281" s="2" t="s">
        <v>32792</v>
      </c>
      <c r="C21281" s="1" t="s">
        <v>6014</v>
      </c>
      <c r="D21281" s="1" t="s">
        <v>6016</v>
      </c>
    </row>
    <row r="21282">
      <c r="A21282" s="1" t="s">
        <v>32810</v>
      </c>
      <c r="B21282" s="2" t="s">
        <v>32794</v>
      </c>
      <c r="C21282" s="1" t="s">
        <v>6014</v>
      </c>
      <c r="D21282" s="1" t="s">
        <v>6016</v>
      </c>
    </row>
    <row r="21283">
      <c r="A21283" s="1" t="s">
        <v>5919</v>
      </c>
      <c r="B21283" s="2" t="s">
        <v>5920</v>
      </c>
      <c r="C21283" s="1" t="s">
        <v>5923</v>
      </c>
      <c r="D21283" s="1" t="s">
        <v>5924</v>
      </c>
    </row>
    <row r="21284">
      <c r="A21284" s="1" t="s">
        <v>32811</v>
      </c>
      <c r="B21284" s="2" t="s">
        <v>32792</v>
      </c>
      <c r="C21284" s="1" t="s">
        <v>5923</v>
      </c>
      <c r="D21284" s="1" t="s">
        <v>5924</v>
      </c>
    </row>
    <row r="21285">
      <c r="A21285" s="1" t="s">
        <v>32812</v>
      </c>
      <c r="B21285" s="2" t="s">
        <v>32794</v>
      </c>
      <c r="C21285" s="1" t="s">
        <v>5923</v>
      </c>
      <c r="D21285" s="1" t="s">
        <v>5924</v>
      </c>
    </row>
    <row r="21286">
      <c r="A21286" s="1" t="s">
        <v>6021</v>
      </c>
      <c r="B21286" s="2" t="s">
        <v>7</v>
      </c>
      <c r="C21286" s="1" t="s">
        <v>6023</v>
      </c>
      <c r="D21286" s="1" t="s">
        <v>6025</v>
      </c>
    </row>
    <row r="21287">
      <c r="A21287" s="1" t="s">
        <v>32813</v>
      </c>
      <c r="B21287" s="2" t="s">
        <v>32702</v>
      </c>
      <c r="C21287" s="1" t="s">
        <v>6023</v>
      </c>
      <c r="D21287" s="1" t="s">
        <v>6025</v>
      </c>
    </row>
    <row r="21288">
      <c r="A21288" s="1" t="s">
        <v>32814</v>
      </c>
      <c r="B21288" s="2" t="s">
        <v>32815</v>
      </c>
      <c r="C21288" s="1" t="s">
        <v>6023</v>
      </c>
      <c r="D21288" s="1" t="s">
        <v>6025</v>
      </c>
    </row>
    <row r="21289">
      <c r="A21289" s="1" t="s">
        <v>32816</v>
      </c>
      <c r="B21289" s="2" t="s">
        <v>32817</v>
      </c>
      <c r="C21289" s="1" t="s">
        <v>6023</v>
      </c>
      <c r="D21289" s="1" t="s">
        <v>6025</v>
      </c>
    </row>
    <row r="21290">
      <c r="A21290" s="1" t="s">
        <v>32818</v>
      </c>
      <c r="B21290" s="2" t="s">
        <v>32819</v>
      </c>
      <c r="C21290" s="1" t="s">
        <v>6023</v>
      </c>
      <c r="D21290" s="1" t="s">
        <v>6025</v>
      </c>
    </row>
    <row r="21291">
      <c r="A21291" s="1" t="s">
        <v>32820</v>
      </c>
      <c r="B21291" s="2" t="s">
        <v>32821</v>
      </c>
      <c r="C21291" s="1" t="s">
        <v>6023</v>
      </c>
      <c r="D21291" s="1" t="s">
        <v>6025</v>
      </c>
    </row>
    <row r="21292">
      <c r="A21292" s="1" t="s">
        <v>32822</v>
      </c>
      <c r="B21292" s="2" t="s">
        <v>32823</v>
      </c>
      <c r="C21292" s="1" t="s">
        <v>6023</v>
      </c>
      <c r="D21292" s="1" t="s">
        <v>6025</v>
      </c>
    </row>
    <row r="21293">
      <c r="A21293" s="1" t="s">
        <v>32824</v>
      </c>
      <c r="B21293" s="2" t="s">
        <v>32825</v>
      </c>
      <c r="C21293" s="1" t="s">
        <v>6023</v>
      </c>
      <c r="D21293" s="1" t="s">
        <v>6025</v>
      </c>
    </row>
    <row r="21294">
      <c r="A21294" s="1" t="s">
        <v>32826</v>
      </c>
      <c r="B21294" s="2" t="s">
        <v>32827</v>
      </c>
      <c r="C21294" s="1" t="s">
        <v>6023</v>
      </c>
      <c r="D21294" s="1" t="s">
        <v>6025</v>
      </c>
    </row>
    <row r="21295">
      <c r="A21295" s="1" t="s">
        <v>32828</v>
      </c>
      <c r="B21295" s="2" t="s">
        <v>32829</v>
      </c>
      <c r="C21295" s="1" t="s">
        <v>6023</v>
      </c>
      <c r="D21295" s="1" t="s">
        <v>6025</v>
      </c>
    </row>
    <row r="21296">
      <c r="A21296" s="1" t="s">
        <v>32830</v>
      </c>
      <c r="B21296" s="2" t="s">
        <v>32831</v>
      </c>
      <c r="C21296" s="1" t="s">
        <v>6023</v>
      </c>
      <c r="D21296" s="1" t="s">
        <v>6025</v>
      </c>
    </row>
    <row r="21297">
      <c r="A21297" s="1" t="s">
        <v>32832</v>
      </c>
      <c r="B21297" s="2" t="s">
        <v>32833</v>
      </c>
      <c r="C21297" s="1" t="s">
        <v>6023</v>
      </c>
      <c r="D21297" s="1" t="s">
        <v>6025</v>
      </c>
    </row>
    <row r="21298">
      <c r="A21298" s="1" t="s">
        <v>32834</v>
      </c>
      <c r="B21298" s="2" t="s">
        <v>32835</v>
      </c>
      <c r="C21298" s="1" t="s">
        <v>6023</v>
      </c>
      <c r="D21298" s="1" t="s">
        <v>6025</v>
      </c>
    </row>
    <row r="21299">
      <c r="A21299" s="1" t="s">
        <v>32836</v>
      </c>
      <c r="B21299" s="2" t="s">
        <v>32837</v>
      </c>
      <c r="C21299" s="1" t="s">
        <v>6023</v>
      </c>
      <c r="D21299" s="1" t="s">
        <v>6025</v>
      </c>
    </row>
    <row r="21300">
      <c r="A21300" s="1" t="s">
        <v>32838</v>
      </c>
      <c r="B21300" s="2" t="s">
        <v>32839</v>
      </c>
      <c r="C21300" s="1" t="s">
        <v>6023</v>
      </c>
      <c r="D21300" s="1" t="s">
        <v>6025</v>
      </c>
    </row>
    <row r="21301">
      <c r="A21301" s="1" t="s">
        <v>32840</v>
      </c>
      <c r="B21301" s="2" t="s">
        <v>32841</v>
      </c>
      <c r="C21301" s="1" t="s">
        <v>6023</v>
      </c>
      <c r="D21301" s="1" t="s">
        <v>6025</v>
      </c>
    </row>
    <row r="21302">
      <c r="A21302" s="1" t="s">
        <v>32842</v>
      </c>
      <c r="B21302" s="2" t="s">
        <v>32843</v>
      </c>
      <c r="C21302" s="1" t="s">
        <v>6023</v>
      </c>
      <c r="D21302" s="1" t="s">
        <v>6025</v>
      </c>
    </row>
    <row r="21303">
      <c r="A21303" s="1" t="s">
        <v>32844</v>
      </c>
      <c r="B21303" s="2" t="s">
        <v>32845</v>
      </c>
      <c r="C21303" s="1" t="s">
        <v>6023</v>
      </c>
      <c r="D21303" s="1" t="s">
        <v>6025</v>
      </c>
    </row>
    <row r="21304">
      <c r="A21304" s="1" t="s">
        <v>32846</v>
      </c>
      <c r="B21304" s="2" t="s">
        <v>32847</v>
      </c>
      <c r="C21304" s="1" t="s">
        <v>6023</v>
      </c>
      <c r="D21304" s="1" t="s">
        <v>6025</v>
      </c>
    </row>
    <row r="21305">
      <c r="A21305" s="1" t="s">
        <v>32848</v>
      </c>
      <c r="B21305" s="2" t="s">
        <v>32849</v>
      </c>
      <c r="C21305" s="1" t="s">
        <v>6023</v>
      </c>
      <c r="D21305" s="1" t="s">
        <v>6025</v>
      </c>
    </row>
    <row r="21306">
      <c r="A21306" s="1" t="s">
        <v>32850</v>
      </c>
      <c r="B21306" s="2" t="s">
        <v>32851</v>
      </c>
      <c r="C21306" s="1" t="s">
        <v>6023</v>
      </c>
      <c r="D21306" s="1" t="s">
        <v>6025</v>
      </c>
    </row>
    <row r="21307">
      <c r="A21307" s="1" t="s">
        <v>32852</v>
      </c>
      <c r="B21307" s="2" t="s">
        <v>32853</v>
      </c>
      <c r="C21307" s="1" t="s">
        <v>6023</v>
      </c>
      <c r="D21307" s="1" t="s">
        <v>6025</v>
      </c>
    </row>
    <row r="21308">
      <c r="A21308" s="1" t="s">
        <v>32854</v>
      </c>
      <c r="B21308" s="2" t="s">
        <v>32855</v>
      </c>
      <c r="C21308" s="1" t="s">
        <v>6023</v>
      </c>
      <c r="D21308" s="1" t="s">
        <v>6025</v>
      </c>
    </row>
    <row r="21309">
      <c r="A21309" s="1" t="s">
        <v>32856</v>
      </c>
      <c r="B21309" s="2" t="s">
        <v>32857</v>
      </c>
      <c r="C21309" s="1" t="s">
        <v>6023</v>
      </c>
      <c r="D21309" s="1" t="s">
        <v>6025</v>
      </c>
    </row>
    <row r="21310">
      <c r="A21310" s="1" t="s">
        <v>32858</v>
      </c>
      <c r="B21310" s="2" t="s">
        <v>32859</v>
      </c>
      <c r="C21310" s="1" t="s">
        <v>6023</v>
      </c>
      <c r="D21310" s="1" t="s">
        <v>6025</v>
      </c>
    </row>
    <row r="21311">
      <c r="A21311" s="1" t="s">
        <v>32860</v>
      </c>
      <c r="B21311" s="2" t="s">
        <v>32722</v>
      </c>
      <c r="C21311" s="1" t="s">
        <v>6023</v>
      </c>
      <c r="D21311" s="1" t="s">
        <v>6025</v>
      </c>
    </row>
    <row r="21312">
      <c r="A21312" s="1" t="s">
        <v>32861</v>
      </c>
      <c r="B21312" s="2" t="s">
        <v>32862</v>
      </c>
      <c r="C21312" s="1" t="s">
        <v>6023</v>
      </c>
      <c r="D21312" s="1" t="s">
        <v>6025</v>
      </c>
    </row>
    <row r="21313">
      <c r="A21313" s="1" t="s">
        <v>32863</v>
      </c>
      <c r="B21313" s="2" t="s">
        <v>32864</v>
      </c>
      <c r="C21313" s="1" t="s">
        <v>6023</v>
      </c>
      <c r="D21313" s="1" t="s">
        <v>6025</v>
      </c>
    </row>
    <row r="21314">
      <c r="A21314" s="1" t="s">
        <v>32865</v>
      </c>
      <c r="B21314" s="2" t="s">
        <v>32866</v>
      </c>
      <c r="C21314" s="1" t="s">
        <v>6023</v>
      </c>
      <c r="D21314" s="1" t="s">
        <v>6025</v>
      </c>
    </row>
    <row r="21315">
      <c r="A21315" s="1" t="s">
        <v>32867</v>
      </c>
      <c r="B21315" s="2" t="s">
        <v>32868</v>
      </c>
      <c r="C21315" s="1" t="s">
        <v>6023</v>
      </c>
      <c r="D21315" s="1" t="s">
        <v>6025</v>
      </c>
    </row>
    <row r="21316">
      <c r="A21316" s="1" t="s">
        <v>32869</v>
      </c>
      <c r="B21316" s="2" t="s">
        <v>32870</v>
      </c>
      <c r="C21316" s="1" t="s">
        <v>6023</v>
      </c>
      <c r="D21316" s="1" t="s">
        <v>6025</v>
      </c>
    </row>
    <row r="21317">
      <c r="A21317" s="1" t="s">
        <v>32871</v>
      </c>
      <c r="B21317" s="2" t="s">
        <v>32872</v>
      </c>
      <c r="C21317" s="1" t="s">
        <v>6023</v>
      </c>
      <c r="D21317" s="1" t="s">
        <v>6025</v>
      </c>
    </row>
    <row r="21318">
      <c r="A21318" s="1" t="s">
        <v>32873</v>
      </c>
      <c r="B21318" s="2" t="s">
        <v>32874</v>
      </c>
      <c r="C21318" s="1" t="s">
        <v>6023</v>
      </c>
      <c r="D21318" s="1" t="s">
        <v>6025</v>
      </c>
    </row>
    <row r="21319">
      <c r="A21319" s="1" t="s">
        <v>32875</v>
      </c>
      <c r="B21319" s="2" t="s">
        <v>32876</v>
      </c>
      <c r="C21319" s="1" t="s">
        <v>6023</v>
      </c>
      <c r="D21319" s="1" t="s">
        <v>6025</v>
      </c>
    </row>
    <row r="21320">
      <c r="A21320" s="1" t="s">
        <v>32877</v>
      </c>
      <c r="B21320" s="2" t="s">
        <v>32878</v>
      </c>
      <c r="C21320" s="1" t="s">
        <v>6023</v>
      </c>
      <c r="D21320" s="1" t="s">
        <v>6025</v>
      </c>
    </row>
    <row r="21321">
      <c r="A21321" s="1" t="s">
        <v>32879</v>
      </c>
      <c r="B21321" s="2" t="s">
        <v>32880</v>
      </c>
      <c r="C21321" s="1" t="s">
        <v>6023</v>
      </c>
      <c r="D21321" s="1" t="s">
        <v>6025</v>
      </c>
    </row>
    <row r="21322">
      <c r="A21322" s="1" t="s">
        <v>32881</v>
      </c>
      <c r="B21322" s="2" t="s">
        <v>32882</v>
      </c>
      <c r="C21322" s="1" t="s">
        <v>6023</v>
      </c>
      <c r="D21322" s="1" t="s">
        <v>6025</v>
      </c>
    </row>
    <row r="21323">
      <c r="A21323" s="1" t="s">
        <v>32883</v>
      </c>
      <c r="B21323" s="2" t="s">
        <v>32884</v>
      </c>
      <c r="C21323" s="1" t="s">
        <v>6023</v>
      </c>
      <c r="D21323" s="1" t="s">
        <v>6025</v>
      </c>
    </row>
    <row r="21324">
      <c r="A21324" s="1" t="s">
        <v>32885</v>
      </c>
      <c r="B21324" s="2" t="s">
        <v>32886</v>
      </c>
      <c r="C21324" s="1" t="s">
        <v>6023</v>
      </c>
      <c r="D21324" s="1" t="s">
        <v>6025</v>
      </c>
    </row>
    <row r="21325">
      <c r="A21325" s="1" t="s">
        <v>32887</v>
      </c>
      <c r="B21325" s="2" t="s">
        <v>32888</v>
      </c>
      <c r="C21325" s="1" t="s">
        <v>6023</v>
      </c>
      <c r="D21325" s="1" t="s">
        <v>6025</v>
      </c>
    </row>
    <row r="21326">
      <c r="A21326" s="1" t="s">
        <v>32889</v>
      </c>
      <c r="B21326" s="2" t="s">
        <v>32890</v>
      </c>
      <c r="C21326" s="1" t="s">
        <v>6023</v>
      </c>
      <c r="D21326" s="1" t="s">
        <v>6025</v>
      </c>
    </row>
    <row r="21327">
      <c r="A21327" s="1" t="s">
        <v>32891</v>
      </c>
      <c r="B21327" s="2" t="s">
        <v>32892</v>
      </c>
      <c r="C21327" s="1" t="s">
        <v>6023</v>
      </c>
      <c r="D21327" s="1" t="s">
        <v>6025</v>
      </c>
    </row>
    <row r="21328">
      <c r="A21328" s="1" t="s">
        <v>32893</v>
      </c>
      <c r="B21328" s="2" t="s">
        <v>32894</v>
      </c>
      <c r="C21328" s="1" t="s">
        <v>6023</v>
      </c>
      <c r="D21328" s="1" t="s">
        <v>6025</v>
      </c>
    </row>
    <row r="21329">
      <c r="A21329" s="1" t="s">
        <v>32895</v>
      </c>
      <c r="B21329" s="2" t="s">
        <v>32896</v>
      </c>
      <c r="C21329" s="1" t="s">
        <v>6023</v>
      </c>
      <c r="D21329" s="1" t="s">
        <v>6025</v>
      </c>
    </row>
    <row r="21330">
      <c r="A21330" s="1" t="s">
        <v>32897</v>
      </c>
      <c r="B21330" s="2" t="s">
        <v>32898</v>
      </c>
      <c r="C21330" s="1" t="s">
        <v>6023</v>
      </c>
      <c r="D21330" s="1" t="s">
        <v>6025</v>
      </c>
    </row>
    <row r="21331">
      <c r="A21331" s="1" t="s">
        <v>32899</v>
      </c>
      <c r="B21331" s="2" t="s">
        <v>32900</v>
      </c>
      <c r="C21331" s="1" t="s">
        <v>6023</v>
      </c>
      <c r="D21331" s="1" t="s">
        <v>6025</v>
      </c>
    </row>
    <row r="21332">
      <c r="A21332" s="1" t="s">
        <v>32901</v>
      </c>
      <c r="B21332" s="2" t="s">
        <v>32902</v>
      </c>
      <c r="C21332" s="1" t="s">
        <v>6023</v>
      </c>
      <c r="D21332" s="1" t="s">
        <v>6025</v>
      </c>
    </row>
    <row r="21333">
      <c r="A21333" s="1" t="s">
        <v>32903</v>
      </c>
      <c r="B21333" s="2" t="s">
        <v>32904</v>
      </c>
      <c r="C21333" s="1" t="s">
        <v>6023</v>
      </c>
      <c r="D21333" s="1" t="s">
        <v>6025</v>
      </c>
    </row>
    <row r="21334">
      <c r="A21334" s="1" t="s">
        <v>32905</v>
      </c>
      <c r="B21334" s="2" t="s">
        <v>32906</v>
      </c>
      <c r="C21334" s="1" t="s">
        <v>6023</v>
      </c>
      <c r="D21334" s="1" t="s">
        <v>6025</v>
      </c>
    </row>
    <row r="21335">
      <c r="A21335" s="1" t="s">
        <v>6031</v>
      </c>
      <c r="B21335" s="2" t="s">
        <v>7</v>
      </c>
      <c r="C21335" s="1" t="s">
        <v>6033</v>
      </c>
      <c r="D21335" s="1" t="s">
        <v>6035</v>
      </c>
    </row>
    <row r="21336">
      <c r="A21336" s="1" t="s">
        <v>32907</v>
      </c>
      <c r="B21336" s="2" t="s">
        <v>32908</v>
      </c>
      <c r="C21336" s="1" t="s">
        <v>6033</v>
      </c>
      <c r="D21336" s="1" t="s">
        <v>6035</v>
      </c>
    </row>
    <row r="21337">
      <c r="A21337" s="1" t="s">
        <v>32909</v>
      </c>
      <c r="B21337" s="2" t="s">
        <v>32910</v>
      </c>
      <c r="C21337" s="1" t="s">
        <v>6033</v>
      </c>
      <c r="D21337" s="1" t="s">
        <v>6035</v>
      </c>
    </row>
    <row r="21338">
      <c r="A21338" s="1" t="s">
        <v>32911</v>
      </c>
      <c r="B21338" s="2" t="s">
        <v>32912</v>
      </c>
      <c r="C21338" s="1" t="s">
        <v>6033</v>
      </c>
      <c r="D21338" s="1" t="s">
        <v>6035</v>
      </c>
    </row>
    <row r="21339">
      <c r="A21339" s="1" t="s">
        <v>32913</v>
      </c>
      <c r="B21339" s="2" t="s">
        <v>32914</v>
      </c>
      <c r="C21339" s="1" t="s">
        <v>6033</v>
      </c>
      <c r="D21339" s="1" t="s">
        <v>6035</v>
      </c>
    </row>
    <row r="21340">
      <c r="A21340" s="1" t="s">
        <v>32915</v>
      </c>
      <c r="B21340" s="2" t="s">
        <v>32916</v>
      </c>
      <c r="C21340" s="1" t="s">
        <v>6033</v>
      </c>
      <c r="D21340" s="1" t="s">
        <v>6035</v>
      </c>
    </row>
    <row r="21341">
      <c r="A21341" s="1" t="s">
        <v>32917</v>
      </c>
      <c r="B21341" s="2" t="s">
        <v>32918</v>
      </c>
      <c r="C21341" s="1" t="s">
        <v>6033</v>
      </c>
      <c r="D21341" s="1" t="s">
        <v>6035</v>
      </c>
    </row>
    <row r="21342">
      <c r="A21342" s="1" t="s">
        <v>32919</v>
      </c>
      <c r="B21342" s="2" t="s">
        <v>32920</v>
      </c>
      <c r="C21342" s="1" t="s">
        <v>6033</v>
      </c>
      <c r="D21342" s="1" t="s">
        <v>6035</v>
      </c>
    </row>
    <row r="21343">
      <c r="A21343" s="1" t="s">
        <v>32921</v>
      </c>
      <c r="B21343" s="2" t="s">
        <v>32922</v>
      </c>
      <c r="C21343" s="1" t="s">
        <v>6033</v>
      </c>
      <c r="D21343" s="1" t="s">
        <v>6035</v>
      </c>
    </row>
    <row r="21344">
      <c r="A21344" s="1" t="s">
        <v>32923</v>
      </c>
      <c r="B21344" s="2" t="s">
        <v>32924</v>
      </c>
      <c r="C21344" s="1" t="s">
        <v>6033</v>
      </c>
      <c r="D21344" s="1" t="s">
        <v>6035</v>
      </c>
    </row>
    <row r="21345">
      <c r="A21345" s="1" t="s">
        <v>32925</v>
      </c>
      <c r="B21345" s="2" t="s">
        <v>32926</v>
      </c>
      <c r="C21345" s="1" t="s">
        <v>6033</v>
      </c>
      <c r="D21345" s="1" t="s">
        <v>6035</v>
      </c>
    </row>
    <row r="21346">
      <c r="A21346" s="1" t="s">
        <v>32927</v>
      </c>
      <c r="B21346" s="2" t="s">
        <v>32928</v>
      </c>
      <c r="C21346" s="1" t="s">
        <v>6033</v>
      </c>
      <c r="D21346" s="1" t="s">
        <v>6035</v>
      </c>
    </row>
    <row r="21347">
      <c r="A21347" s="1" t="s">
        <v>32929</v>
      </c>
      <c r="B21347" s="2" t="s">
        <v>32930</v>
      </c>
      <c r="C21347" s="1" t="s">
        <v>6033</v>
      </c>
      <c r="D21347" s="1" t="s">
        <v>6035</v>
      </c>
    </row>
    <row r="21348">
      <c r="A21348" s="1" t="s">
        <v>32931</v>
      </c>
      <c r="B21348" s="2" t="s">
        <v>32932</v>
      </c>
      <c r="C21348" s="1" t="s">
        <v>6033</v>
      </c>
      <c r="D21348" s="1" t="s">
        <v>6035</v>
      </c>
    </row>
    <row r="21349">
      <c r="A21349" s="1" t="s">
        <v>32933</v>
      </c>
      <c r="B21349" s="2" t="s">
        <v>32934</v>
      </c>
      <c r="C21349" s="1" t="s">
        <v>6033</v>
      </c>
      <c r="D21349" s="1" t="s">
        <v>6035</v>
      </c>
    </row>
    <row r="21350">
      <c r="A21350" s="1" t="s">
        <v>32935</v>
      </c>
      <c r="B21350" s="2" t="s">
        <v>32936</v>
      </c>
      <c r="C21350" s="1" t="s">
        <v>6033</v>
      </c>
      <c r="D21350" s="1" t="s">
        <v>6035</v>
      </c>
    </row>
    <row r="21351">
      <c r="A21351" s="1" t="s">
        <v>32937</v>
      </c>
      <c r="B21351" s="2" t="s">
        <v>32938</v>
      </c>
      <c r="C21351" s="1" t="s">
        <v>6033</v>
      </c>
      <c r="D21351" s="1" t="s">
        <v>6035</v>
      </c>
    </row>
    <row r="21352">
      <c r="A21352" s="1" t="s">
        <v>6039</v>
      </c>
      <c r="B21352" s="2" t="s">
        <v>7</v>
      </c>
      <c r="C21352" s="1" t="s">
        <v>6041</v>
      </c>
      <c r="D21352" s="1" t="s">
        <v>6043</v>
      </c>
    </row>
    <row r="21353">
      <c r="A21353" s="1" t="s">
        <v>32939</v>
      </c>
      <c r="B21353" s="2" t="s">
        <v>32908</v>
      </c>
      <c r="C21353" s="1" t="s">
        <v>6041</v>
      </c>
      <c r="D21353" s="1" t="s">
        <v>6043</v>
      </c>
    </row>
    <row r="21354">
      <c r="A21354" s="1" t="s">
        <v>32940</v>
      </c>
      <c r="B21354" s="2" t="s">
        <v>32941</v>
      </c>
      <c r="C21354" s="1" t="s">
        <v>6041</v>
      </c>
      <c r="D21354" s="1" t="s">
        <v>6043</v>
      </c>
    </row>
    <row r="21355">
      <c r="A21355" s="1" t="s">
        <v>32942</v>
      </c>
      <c r="B21355" s="2" t="s">
        <v>32943</v>
      </c>
      <c r="C21355" s="1" t="s">
        <v>6041</v>
      </c>
      <c r="D21355" s="1" t="s">
        <v>6043</v>
      </c>
    </row>
    <row r="21356">
      <c r="A21356" s="1" t="s">
        <v>32944</v>
      </c>
      <c r="B21356" s="2" t="s">
        <v>32945</v>
      </c>
      <c r="C21356" s="1" t="s">
        <v>6041</v>
      </c>
      <c r="D21356" s="1" t="s">
        <v>6043</v>
      </c>
    </row>
    <row r="21357">
      <c r="A21357" s="1" t="s">
        <v>32946</v>
      </c>
      <c r="B21357" s="2" t="s">
        <v>32947</v>
      </c>
      <c r="C21357" s="1" t="s">
        <v>6041</v>
      </c>
      <c r="D21357" s="1" t="s">
        <v>6043</v>
      </c>
    </row>
    <row r="21358">
      <c r="A21358" s="1" t="s">
        <v>32948</v>
      </c>
      <c r="B21358" s="2" t="s">
        <v>32924</v>
      </c>
      <c r="C21358" s="1" t="s">
        <v>6041</v>
      </c>
      <c r="D21358" s="1" t="s">
        <v>6043</v>
      </c>
    </row>
    <row r="21359">
      <c r="A21359" s="1" t="s">
        <v>32949</v>
      </c>
      <c r="B21359" s="2" t="s">
        <v>32950</v>
      </c>
      <c r="C21359" s="1" t="s">
        <v>6041</v>
      </c>
      <c r="D21359" s="1" t="s">
        <v>6043</v>
      </c>
    </row>
    <row r="21360">
      <c r="A21360" s="1" t="s">
        <v>32951</v>
      </c>
      <c r="B21360" s="2" t="s">
        <v>32952</v>
      </c>
      <c r="C21360" s="1" t="s">
        <v>6041</v>
      </c>
      <c r="D21360" s="1" t="s">
        <v>6043</v>
      </c>
    </row>
    <row r="21361">
      <c r="A21361" s="1" t="s">
        <v>32953</v>
      </c>
      <c r="B21361" s="2" t="s">
        <v>32954</v>
      </c>
      <c r="C21361" s="1" t="s">
        <v>6041</v>
      </c>
      <c r="D21361" s="1" t="s">
        <v>6043</v>
      </c>
    </row>
    <row r="21362">
      <c r="A21362" s="1" t="s">
        <v>32955</v>
      </c>
      <c r="B21362" s="2" t="s">
        <v>32956</v>
      </c>
      <c r="C21362" s="1" t="s">
        <v>6041</v>
      </c>
      <c r="D21362" s="1" t="s">
        <v>6043</v>
      </c>
    </row>
    <row r="21363">
      <c r="A21363" s="1" t="s">
        <v>6055</v>
      </c>
      <c r="B21363" s="2" t="s">
        <v>7</v>
      </c>
      <c r="C21363" s="1" t="s">
        <v>6056</v>
      </c>
      <c r="D21363" s="1" t="s">
        <v>6057</v>
      </c>
    </row>
    <row r="21364">
      <c r="A21364" s="1" t="s">
        <v>32957</v>
      </c>
      <c r="B21364" s="2" t="s">
        <v>32958</v>
      </c>
      <c r="C21364" s="1" t="s">
        <v>6056</v>
      </c>
      <c r="D21364" s="1" t="s">
        <v>6057</v>
      </c>
    </row>
    <row r="21365">
      <c r="A21365" s="1" t="s">
        <v>32959</v>
      </c>
      <c r="B21365" s="2" t="s">
        <v>32960</v>
      </c>
      <c r="C21365" s="1" t="s">
        <v>6056</v>
      </c>
      <c r="D21365" s="1" t="s">
        <v>6057</v>
      </c>
    </row>
    <row r="21366">
      <c r="A21366" s="1" t="s">
        <v>6071</v>
      </c>
      <c r="B21366" s="2" t="s">
        <v>7</v>
      </c>
      <c r="C21366" s="1" t="s">
        <v>6073</v>
      </c>
      <c r="D21366" s="1" t="s">
        <v>6074</v>
      </c>
    </row>
    <row r="21367">
      <c r="A21367" s="1" t="s">
        <v>32961</v>
      </c>
      <c r="B21367" s="2" t="s">
        <v>32958</v>
      </c>
      <c r="C21367" s="1" t="s">
        <v>6073</v>
      </c>
      <c r="D21367" s="1" t="s">
        <v>6074</v>
      </c>
    </row>
    <row r="21368">
      <c r="A21368" s="1" t="s">
        <v>32962</v>
      </c>
      <c r="B21368" s="2" t="s">
        <v>32960</v>
      </c>
      <c r="C21368" s="1" t="s">
        <v>6073</v>
      </c>
      <c r="D21368" s="1" t="s">
        <v>6074</v>
      </c>
    </row>
    <row r="21369">
      <c r="A21369" s="1" t="s">
        <v>6078</v>
      </c>
      <c r="B21369" s="2" t="s">
        <v>7</v>
      </c>
      <c r="C21369" s="1" t="s">
        <v>6080</v>
      </c>
      <c r="D21369" s="1" t="s">
        <v>6082</v>
      </c>
    </row>
    <row r="21370">
      <c r="A21370" s="1" t="s">
        <v>32963</v>
      </c>
      <c r="B21370" s="2" t="s">
        <v>32958</v>
      </c>
      <c r="C21370" s="1" t="s">
        <v>6080</v>
      </c>
      <c r="D21370" s="1" t="s">
        <v>6082</v>
      </c>
    </row>
    <row r="21371">
      <c r="A21371" s="1" t="s">
        <v>32964</v>
      </c>
      <c r="B21371" s="2" t="s">
        <v>32960</v>
      </c>
      <c r="C21371" s="1" t="s">
        <v>6080</v>
      </c>
      <c r="D21371" s="1" t="s">
        <v>6082</v>
      </c>
    </row>
    <row r="21372">
      <c r="A21372" s="1" t="s">
        <v>6086</v>
      </c>
      <c r="B21372" s="2" t="s">
        <v>7</v>
      </c>
      <c r="C21372" s="1" t="s">
        <v>6088</v>
      </c>
      <c r="D21372" s="1" t="s">
        <v>6089</v>
      </c>
    </row>
    <row r="21373">
      <c r="A21373" s="1" t="s">
        <v>32965</v>
      </c>
      <c r="B21373" s="2" t="s">
        <v>32958</v>
      </c>
      <c r="C21373" s="1" t="s">
        <v>6088</v>
      </c>
      <c r="D21373" s="1" t="s">
        <v>6089</v>
      </c>
    </row>
    <row r="21374">
      <c r="A21374" s="1" t="s">
        <v>32966</v>
      </c>
      <c r="B21374" s="2" t="s">
        <v>32960</v>
      </c>
      <c r="C21374" s="1" t="s">
        <v>6088</v>
      </c>
      <c r="D21374" s="1" t="s">
        <v>6089</v>
      </c>
    </row>
    <row r="21375">
      <c r="A21375" s="1" t="s">
        <v>6093</v>
      </c>
      <c r="B21375" s="2" t="s">
        <v>7</v>
      </c>
      <c r="C21375" s="1" t="s">
        <v>6095</v>
      </c>
      <c r="D21375" s="1" t="s">
        <v>6096</v>
      </c>
    </row>
    <row r="21376">
      <c r="A21376" s="1" t="s">
        <v>32967</v>
      </c>
      <c r="B21376" s="2" t="s">
        <v>32958</v>
      </c>
      <c r="C21376" s="1" t="s">
        <v>6095</v>
      </c>
      <c r="D21376" s="1" t="s">
        <v>6096</v>
      </c>
    </row>
    <row r="21377">
      <c r="A21377" s="1" t="s">
        <v>32968</v>
      </c>
      <c r="B21377" s="2" t="s">
        <v>32960</v>
      </c>
      <c r="C21377" s="1" t="s">
        <v>6095</v>
      </c>
      <c r="D21377" s="1" t="s">
        <v>6096</v>
      </c>
    </row>
    <row r="21378">
      <c r="A21378" s="1" t="s">
        <v>6099</v>
      </c>
      <c r="B21378" s="2" t="s">
        <v>7</v>
      </c>
      <c r="C21378" s="1" t="s">
        <v>6101</v>
      </c>
      <c r="D21378" s="1" t="s">
        <v>6102</v>
      </c>
    </row>
    <row r="21379">
      <c r="A21379" s="1" t="s">
        <v>32969</v>
      </c>
      <c r="B21379" s="2" t="s">
        <v>32958</v>
      </c>
      <c r="C21379" s="1" t="s">
        <v>6101</v>
      </c>
      <c r="D21379" s="1" t="s">
        <v>6102</v>
      </c>
    </row>
    <row r="21380">
      <c r="A21380" s="1" t="s">
        <v>32970</v>
      </c>
      <c r="B21380" s="2" t="s">
        <v>32960</v>
      </c>
      <c r="C21380" s="1" t="s">
        <v>6101</v>
      </c>
      <c r="D21380" s="1" t="s">
        <v>6102</v>
      </c>
    </row>
    <row r="21381">
      <c r="A21381" s="1" t="s">
        <v>6105</v>
      </c>
      <c r="B21381" s="2" t="s">
        <v>7</v>
      </c>
      <c r="C21381" s="1" t="s">
        <v>6108</v>
      </c>
      <c r="D21381" s="1" t="s">
        <v>6109</v>
      </c>
    </row>
    <row r="21382">
      <c r="A21382" s="1" t="s">
        <v>32971</v>
      </c>
      <c r="B21382" s="2" t="s">
        <v>32958</v>
      </c>
      <c r="C21382" s="1" t="s">
        <v>6108</v>
      </c>
      <c r="D21382" s="1" t="s">
        <v>6109</v>
      </c>
    </row>
    <row r="21383">
      <c r="A21383" s="1" t="s">
        <v>32972</v>
      </c>
      <c r="B21383" s="2" t="s">
        <v>32960</v>
      </c>
      <c r="C21383" s="1" t="s">
        <v>6108</v>
      </c>
      <c r="D21383" s="1" t="s">
        <v>6109</v>
      </c>
    </row>
    <row r="21384">
      <c r="A21384" s="1" t="s">
        <v>6112</v>
      </c>
      <c r="B21384" s="2" t="s">
        <v>7</v>
      </c>
      <c r="C21384" s="1" t="s">
        <v>6115</v>
      </c>
      <c r="D21384" s="1" t="s">
        <v>6116</v>
      </c>
    </row>
    <row r="21385">
      <c r="A21385" s="1" t="s">
        <v>32973</v>
      </c>
      <c r="B21385" s="2" t="s">
        <v>32958</v>
      </c>
      <c r="C21385" s="1" t="s">
        <v>6115</v>
      </c>
      <c r="D21385" s="1" t="s">
        <v>6116</v>
      </c>
    </row>
    <row r="21386">
      <c r="A21386" s="1" t="s">
        <v>32974</v>
      </c>
      <c r="B21386" s="2" t="s">
        <v>32960</v>
      </c>
      <c r="C21386" s="1" t="s">
        <v>6115</v>
      </c>
      <c r="D21386" s="1" t="s">
        <v>6116</v>
      </c>
    </row>
    <row r="21387">
      <c r="A21387" s="1" t="s">
        <v>6118</v>
      </c>
      <c r="B21387" s="2" t="s">
        <v>7</v>
      </c>
      <c r="C21387" s="1" t="s">
        <v>6119</v>
      </c>
      <c r="D21387" s="1" t="s">
        <v>6121</v>
      </c>
    </row>
    <row r="21388">
      <c r="A21388" s="1" t="s">
        <v>32975</v>
      </c>
      <c r="B21388" s="2" t="s">
        <v>32958</v>
      </c>
      <c r="C21388" s="1" t="s">
        <v>6119</v>
      </c>
      <c r="D21388" s="1" t="s">
        <v>6121</v>
      </c>
    </row>
    <row r="21389">
      <c r="A21389" s="1" t="s">
        <v>32976</v>
      </c>
      <c r="B21389" s="2" t="s">
        <v>32960</v>
      </c>
      <c r="C21389" s="1" t="s">
        <v>6119</v>
      </c>
      <c r="D21389" s="1" t="s">
        <v>6121</v>
      </c>
    </row>
    <row r="21390">
      <c r="A21390" s="1" t="s">
        <v>6047</v>
      </c>
      <c r="B21390" s="2" t="s">
        <v>7</v>
      </c>
      <c r="C21390" s="1" t="s">
        <v>6050</v>
      </c>
      <c r="D21390" s="1" t="s">
        <v>6051</v>
      </c>
    </row>
    <row r="21391">
      <c r="A21391" s="1" t="s">
        <v>32977</v>
      </c>
      <c r="B21391" s="2" t="s">
        <v>32702</v>
      </c>
      <c r="C21391" s="1" t="s">
        <v>6050</v>
      </c>
      <c r="D21391" s="1" t="s">
        <v>6051</v>
      </c>
    </row>
    <row r="21392">
      <c r="A21392" s="1" t="s">
        <v>32978</v>
      </c>
      <c r="B21392" s="2" t="s">
        <v>32979</v>
      </c>
      <c r="C21392" s="1" t="s">
        <v>6050</v>
      </c>
      <c r="D21392" s="1" t="s">
        <v>6051</v>
      </c>
    </row>
    <row r="21393">
      <c r="A21393" s="1" t="s">
        <v>32980</v>
      </c>
      <c r="B21393" s="2" t="s">
        <v>32981</v>
      </c>
      <c r="C21393" s="1" t="s">
        <v>6050</v>
      </c>
      <c r="D21393" s="1" t="s">
        <v>6051</v>
      </c>
    </row>
    <row r="21394">
      <c r="A21394" s="1" t="s">
        <v>32982</v>
      </c>
      <c r="B21394" s="2" t="s">
        <v>32983</v>
      </c>
      <c r="C21394" s="1" t="s">
        <v>6050</v>
      </c>
      <c r="D21394" s="1" t="s">
        <v>6051</v>
      </c>
    </row>
    <row r="21395">
      <c r="A21395" s="1" t="s">
        <v>32984</v>
      </c>
      <c r="B21395" s="2" t="s">
        <v>32985</v>
      </c>
      <c r="C21395" s="1" t="s">
        <v>6050</v>
      </c>
      <c r="D21395" s="1" t="s">
        <v>6051</v>
      </c>
    </row>
    <row r="21396">
      <c r="A21396" s="1" t="s">
        <v>32986</v>
      </c>
      <c r="B21396" s="2" t="s">
        <v>32987</v>
      </c>
      <c r="C21396" s="1" t="s">
        <v>6050</v>
      </c>
      <c r="D21396" s="1" t="s">
        <v>6051</v>
      </c>
    </row>
    <row r="21397">
      <c r="A21397" s="1" t="s">
        <v>32988</v>
      </c>
      <c r="B21397" s="2" t="s">
        <v>32722</v>
      </c>
      <c r="C21397" s="1" t="s">
        <v>6050</v>
      </c>
      <c r="D21397" s="1" t="s">
        <v>6051</v>
      </c>
    </row>
    <row r="21398">
      <c r="A21398" s="1" t="s">
        <v>32989</v>
      </c>
      <c r="B21398" s="2" t="s">
        <v>32990</v>
      </c>
      <c r="C21398" s="1" t="s">
        <v>6050</v>
      </c>
      <c r="D21398" s="1" t="s">
        <v>6051</v>
      </c>
    </row>
    <row r="21399">
      <c r="A21399" s="1" t="s">
        <v>32991</v>
      </c>
      <c r="B21399" s="2" t="s">
        <v>32992</v>
      </c>
      <c r="C21399" s="1" t="s">
        <v>6050</v>
      </c>
      <c r="D21399" s="1" t="s">
        <v>6051</v>
      </c>
    </row>
    <row r="21400">
      <c r="A21400" s="1" t="s">
        <v>32993</v>
      </c>
      <c r="B21400" s="2" t="s">
        <v>32994</v>
      </c>
      <c r="C21400" s="1" t="s">
        <v>6050</v>
      </c>
      <c r="D21400" s="1" t="s">
        <v>6051</v>
      </c>
    </row>
    <row r="21401">
      <c r="A21401" s="1" t="s">
        <v>32995</v>
      </c>
      <c r="B21401" s="2" t="s">
        <v>32996</v>
      </c>
      <c r="C21401" s="1" t="s">
        <v>6050</v>
      </c>
      <c r="D21401" s="1" t="s">
        <v>6051</v>
      </c>
    </row>
    <row r="21402">
      <c r="A21402" s="1" t="s">
        <v>32997</v>
      </c>
      <c r="B21402" s="2" t="s">
        <v>32998</v>
      </c>
      <c r="C21402" s="1" t="s">
        <v>6050</v>
      </c>
      <c r="D21402" s="1" t="s">
        <v>6051</v>
      </c>
    </row>
    <row r="21403">
      <c r="A21403" s="1" t="s">
        <v>6125</v>
      </c>
      <c r="B21403" s="2" t="s">
        <v>7</v>
      </c>
      <c r="C21403" s="1" t="s">
        <v>6126</v>
      </c>
      <c r="D21403" s="1" t="s">
        <v>6128</v>
      </c>
    </row>
    <row r="21404">
      <c r="A21404" s="1" t="s">
        <v>32999</v>
      </c>
      <c r="B21404" s="2" t="s">
        <v>32702</v>
      </c>
      <c r="C21404" s="1" t="s">
        <v>6126</v>
      </c>
      <c r="D21404" s="1" t="s">
        <v>6128</v>
      </c>
    </row>
    <row r="21405">
      <c r="A21405" s="1" t="s">
        <v>33000</v>
      </c>
      <c r="B21405" s="2" t="s">
        <v>33001</v>
      </c>
      <c r="C21405" s="1" t="s">
        <v>6126</v>
      </c>
      <c r="D21405" s="1" t="s">
        <v>6128</v>
      </c>
    </row>
    <row r="21406">
      <c r="A21406" s="1" t="s">
        <v>33002</v>
      </c>
      <c r="B21406" s="2" t="s">
        <v>33003</v>
      </c>
      <c r="C21406" s="1" t="s">
        <v>6126</v>
      </c>
      <c r="D21406" s="1" t="s">
        <v>6128</v>
      </c>
    </row>
    <row r="21407">
      <c r="A21407" s="1" t="s">
        <v>33004</v>
      </c>
      <c r="B21407" s="2" t="s">
        <v>33005</v>
      </c>
      <c r="C21407" s="1" t="s">
        <v>6126</v>
      </c>
      <c r="D21407" s="1" t="s">
        <v>6128</v>
      </c>
    </row>
    <row r="21408">
      <c r="A21408" s="1" t="s">
        <v>33006</v>
      </c>
      <c r="B21408" s="2" t="s">
        <v>33007</v>
      </c>
      <c r="C21408" s="1" t="s">
        <v>6126</v>
      </c>
      <c r="D21408" s="1" t="s">
        <v>6128</v>
      </c>
    </row>
    <row r="21409">
      <c r="A21409" s="1" t="s">
        <v>33008</v>
      </c>
      <c r="B21409" s="2" t="s">
        <v>33009</v>
      </c>
      <c r="C21409" s="1" t="s">
        <v>6126</v>
      </c>
      <c r="D21409" s="1" t="s">
        <v>6128</v>
      </c>
    </row>
    <row r="21410">
      <c r="A21410" s="1" t="s">
        <v>33010</v>
      </c>
      <c r="B21410" s="2" t="s">
        <v>33011</v>
      </c>
      <c r="C21410" s="1" t="s">
        <v>6126</v>
      </c>
      <c r="D21410" s="1" t="s">
        <v>6128</v>
      </c>
    </row>
    <row r="21411">
      <c r="A21411" s="1" t="s">
        <v>33012</v>
      </c>
      <c r="B21411" s="2" t="s">
        <v>33013</v>
      </c>
      <c r="C21411" s="1" t="s">
        <v>6126</v>
      </c>
      <c r="D21411" s="1" t="s">
        <v>6128</v>
      </c>
    </row>
    <row r="21412">
      <c r="A21412" s="1" t="s">
        <v>33014</v>
      </c>
      <c r="B21412" s="2" t="s">
        <v>33015</v>
      </c>
      <c r="C21412" s="1" t="s">
        <v>6126</v>
      </c>
      <c r="D21412" s="1" t="s">
        <v>6128</v>
      </c>
    </row>
    <row r="21413">
      <c r="A21413" s="1" t="s">
        <v>33016</v>
      </c>
      <c r="B21413" s="2" t="s">
        <v>33017</v>
      </c>
      <c r="C21413" s="1" t="s">
        <v>6126</v>
      </c>
      <c r="D21413" s="1" t="s">
        <v>6128</v>
      </c>
    </row>
    <row r="21414">
      <c r="A21414" s="1" t="s">
        <v>33018</v>
      </c>
      <c r="B21414" s="2" t="s">
        <v>33019</v>
      </c>
      <c r="C21414" s="1" t="s">
        <v>6126</v>
      </c>
      <c r="D21414" s="1" t="s">
        <v>6128</v>
      </c>
    </row>
    <row r="21415">
      <c r="A21415" s="1" t="s">
        <v>33020</v>
      </c>
      <c r="B21415" s="2" t="s">
        <v>33021</v>
      </c>
      <c r="C21415" s="1" t="s">
        <v>6126</v>
      </c>
      <c r="D21415" s="1" t="s">
        <v>6128</v>
      </c>
    </row>
    <row r="21416">
      <c r="A21416" s="1" t="s">
        <v>33022</v>
      </c>
      <c r="B21416" s="2" t="s">
        <v>33023</v>
      </c>
      <c r="C21416" s="1" t="s">
        <v>6126</v>
      </c>
      <c r="D21416" s="1" t="s">
        <v>6128</v>
      </c>
    </row>
    <row r="21417">
      <c r="A21417" s="1" t="s">
        <v>33024</v>
      </c>
      <c r="B21417" s="2" t="s">
        <v>32722</v>
      </c>
      <c r="C21417" s="1" t="s">
        <v>6126</v>
      </c>
      <c r="D21417" s="1" t="s">
        <v>6128</v>
      </c>
    </row>
    <row r="21418">
      <c r="A21418" s="1" t="s">
        <v>33025</v>
      </c>
      <c r="B21418" s="2" t="s">
        <v>33026</v>
      </c>
      <c r="C21418" s="1" t="s">
        <v>6126</v>
      </c>
      <c r="D21418" s="1" t="s">
        <v>6128</v>
      </c>
    </row>
    <row r="21419">
      <c r="A21419" s="1" t="s">
        <v>33027</v>
      </c>
      <c r="B21419" s="2" t="s">
        <v>33028</v>
      </c>
      <c r="C21419" s="1" t="s">
        <v>6126</v>
      </c>
      <c r="D21419" s="1" t="s">
        <v>6128</v>
      </c>
    </row>
    <row r="21420">
      <c r="A21420" s="1" t="s">
        <v>33029</v>
      </c>
      <c r="B21420" s="2" t="s">
        <v>33030</v>
      </c>
      <c r="C21420" s="1" t="s">
        <v>6126</v>
      </c>
      <c r="D21420" s="1" t="s">
        <v>6128</v>
      </c>
    </row>
    <row r="21421">
      <c r="A21421" s="1" t="s">
        <v>33031</v>
      </c>
      <c r="B21421" s="2" t="s">
        <v>33032</v>
      </c>
      <c r="C21421" s="1" t="s">
        <v>6126</v>
      </c>
      <c r="D21421" s="1" t="s">
        <v>6128</v>
      </c>
    </row>
    <row r="21422">
      <c r="A21422" s="1" t="s">
        <v>33033</v>
      </c>
      <c r="B21422" s="2" t="s">
        <v>33034</v>
      </c>
      <c r="C21422" s="1" t="s">
        <v>6126</v>
      </c>
      <c r="D21422" s="1" t="s">
        <v>6128</v>
      </c>
    </row>
    <row r="21423">
      <c r="A21423" s="1" t="s">
        <v>33035</v>
      </c>
      <c r="B21423" s="2" t="s">
        <v>33036</v>
      </c>
      <c r="C21423" s="1" t="s">
        <v>6126</v>
      </c>
      <c r="D21423" s="1" t="s">
        <v>6128</v>
      </c>
    </row>
    <row r="21424">
      <c r="A21424" s="1" t="s">
        <v>33037</v>
      </c>
      <c r="B21424" s="2" t="s">
        <v>33038</v>
      </c>
      <c r="C21424" s="1" t="s">
        <v>6126</v>
      </c>
      <c r="D21424" s="1" t="s">
        <v>6128</v>
      </c>
    </row>
    <row r="21425">
      <c r="A21425" s="1" t="s">
        <v>33039</v>
      </c>
      <c r="B21425" s="2" t="s">
        <v>33040</v>
      </c>
      <c r="C21425" s="1" t="s">
        <v>6126</v>
      </c>
      <c r="D21425" s="1" t="s">
        <v>6128</v>
      </c>
    </row>
    <row r="21426">
      <c r="A21426" s="1" t="s">
        <v>33041</v>
      </c>
      <c r="B21426" s="2" t="s">
        <v>33042</v>
      </c>
      <c r="C21426" s="1" t="s">
        <v>6126</v>
      </c>
      <c r="D21426" s="1" t="s">
        <v>6128</v>
      </c>
    </row>
    <row r="21427">
      <c r="A21427" s="1" t="s">
        <v>33043</v>
      </c>
      <c r="B21427" s="2" t="s">
        <v>33044</v>
      </c>
      <c r="C21427" s="1" t="s">
        <v>6126</v>
      </c>
      <c r="D21427" s="1" t="s">
        <v>6128</v>
      </c>
    </row>
    <row r="21428">
      <c r="A21428" s="1" t="s">
        <v>33045</v>
      </c>
      <c r="B21428" s="2" t="s">
        <v>33046</v>
      </c>
      <c r="C21428" s="1" t="s">
        <v>6126</v>
      </c>
      <c r="D21428" s="1" t="s">
        <v>6128</v>
      </c>
    </row>
    <row r="21429">
      <c r="A21429" s="1" t="s">
        <v>33047</v>
      </c>
      <c r="B21429" s="2" t="s">
        <v>33048</v>
      </c>
      <c r="C21429" s="1" t="s">
        <v>6126</v>
      </c>
      <c r="D21429" s="1" t="s">
        <v>6128</v>
      </c>
    </row>
    <row r="21430">
      <c r="A21430" s="1" t="s">
        <v>6132</v>
      </c>
      <c r="B21430" s="2" t="s">
        <v>7</v>
      </c>
      <c r="C21430" s="1" t="s">
        <v>6133</v>
      </c>
      <c r="D21430" s="1" t="s">
        <v>6135</v>
      </c>
    </row>
    <row r="21431">
      <c r="A21431" s="1" t="s">
        <v>33049</v>
      </c>
      <c r="B21431" s="2" t="s">
        <v>32702</v>
      </c>
      <c r="C21431" s="1" t="s">
        <v>6133</v>
      </c>
      <c r="D21431" s="1" t="s">
        <v>6135</v>
      </c>
    </row>
    <row r="21432">
      <c r="A21432" s="1" t="s">
        <v>33050</v>
      </c>
      <c r="B21432" s="2" t="s">
        <v>33051</v>
      </c>
      <c r="C21432" s="1" t="s">
        <v>6133</v>
      </c>
      <c r="D21432" s="1" t="s">
        <v>6135</v>
      </c>
    </row>
    <row r="21433">
      <c r="A21433" s="1" t="s">
        <v>33052</v>
      </c>
      <c r="B21433" s="2" t="s">
        <v>33053</v>
      </c>
      <c r="C21433" s="1" t="s">
        <v>6133</v>
      </c>
      <c r="D21433" s="1" t="s">
        <v>6135</v>
      </c>
    </row>
    <row r="21434">
      <c r="A21434" s="1" t="s">
        <v>33054</v>
      </c>
      <c r="B21434" s="2" t="s">
        <v>33055</v>
      </c>
      <c r="C21434" s="1" t="s">
        <v>6133</v>
      </c>
      <c r="D21434" s="1" t="s">
        <v>6135</v>
      </c>
    </row>
    <row r="21435">
      <c r="A21435" s="1" t="s">
        <v>33056</v>
      </c>
      <c r="B21435" s="2" t="s">
        <v>33057</v>
      </c>
      <c r="C21435" s="1" t="s">
        <v>6133</v>
      </c>
      <c r="D21435" s="1" t="s">
        <v>6135</v>
      </c>
    </row>
    <row r="21436">
      <c r="A21436" s="1" t="s">
        <v>33058</v>
      </c>
      <c r="B21436" s="2" t="s">
        <v>33059</v>
      </c>
      <c r="C21436" s="1" t="s">
        <v>6133</v>
      </c>
      <c r="D21436" s="1" t="s">
        <v>6135</v>
      </c>
    </row>
    <row r="21437">
      <c r="A21437" s="1" t="s">
        <v>33060</v>
      </c>
      <c r="B21437" s="2" t="s">
        <v>33061</v>
      </c>
      <c r="C21437" s="1" t="s">
        <v>6133</v>
      </c>
      <c r="D21437" s="1" t="s">
        <v>6135</v>
      </c>
    </row>
    <row r="21438">
      <c r="A21438" s="1" t="s">
        <v>33062</v>
      </c>
      <c r="B21438" s="2" t="s">
        <v>33063</v>
      </c>
      <c r="C21438" s="1" t="s">
        <v>6133</v>
      </c>
      <c r="D21438" s="1" t="s">
        <v>6135</v>
      </c>
    </row>
    <row r="21439">
      <c r="A21439" s="1" t="s">
        <v>33064</v>
      </c>
      <c r="B21439" s="2" t="s">
        <v>33065</v>
      </c>
      <c r="C21439" s="1" t="s">
        <v>6133</v>
      </c>
      <c r="D21439" s="1" t="s">
        <v>6135</v>
      </c>
    </row>
    <row r="21440">
      <c r="A21440" s="1" t="s">
        <v>33066</v>
      </c>
      <c r="B21440" s="2" t="s">
        <v>32722</v>
      </c>
      <c r="C21440" s="1" t="s">
        <v>6133</v>
      </c>
      <c r="D21440" s="1" t="s">
        <v>6135</v>
      </c>
    </row>
    <row r="21441">
      <c r="A21441" s="1" t="s">
        <v>33067</v>
      </c>
      <c r="B21441" s="2" t="s">
        <v>33068</v>
      </c>
      <c r="C21441" s="1" t="s">
        <v>6133</v>
      </c>
      <c r="D21441" s="1" t="s">
        <v>6135</v>
      </c>
    </row>
    <row r="21442">
      <c r="A21442" s="1" t="s">
        <v>33069</v>
      </c>
      <c r="B21442" s="2" t="s">
        <v>33070</v>
      </c>
      <c r="C21442" s="1" t="s">
        <v>6133</v>
      </c>
      <c r="D21442" s="1" t="s">
        <v>6135</v>
      </c>
    </row>
    <row r="21443">
      <c r="A21443" s="1" t="s">
        <v>33071</v>
      </c>
      <c r="B21443" s="2" t="s">
        <v>33072</v>
      </c>
      <c r="C21443" s="1" t="s">
        <v>6133</v>
      </c>
      <c r="D21443" s="1" t="s">
        <v>6135</v>
      </c>
    </row>
    <row r="21444">
      <c r="A21444" s="1" t="s">
        <v>33073</v>
      </c>
      <c r="B21444" s="2" t="s">
        <v>33074</v>
      </c>
      <c r="C21444" s="1" t="s">
        <v>6133</v>
      </c>
      <c r="D21444" s="1" t="s">
        <v>6135</v>
      </c>
    </row>
    <row r="21445">
      <c r="A21445" s="1" t="s">
        <v>33075</v>
      </c>
      <c r="B21445" s="2" t="s">
        <v>33076</v>
      </c>
      <c r="C21445" s="1" t="s">
        <v>6133</v>
      </c>
      <c r="D21445" s="1" t="s">
        <v>6135</v>
      </c>
    </row>
    <row r="21446">
      <c r="A21446" s="1" t="s">
        <v>33077</v>
      </c>
      <c r="B21446" s="2" t="s">
        <v>33078</v>
      </c>
      <c r="C21446" s="1" t="s">
        <v>6133</v>
      </c>
      <c r="D21446" s="1" t="s">
        <v>6135</v>
      </c>
    </row>
    <row r="21447">
      <c r="A21447" s="1" t="s">
        <v>33079</v>
      </c>
      <c r="B21447" s="2" t="s">
        <v>33080</v>
      </c>
      <c r="C21447" s="1" t="s">
        <v>6133</v>
      </c>
      <c r="D21447" s="1" t="s">
        <v>6135</v>
      </c>
    </row>
    <row r="21448">
      <c r="A21448" s="1" t="s">
        <v>33081</v>
      </c>
      <c r="B21448" s="2" t="s">
        <v>33082</v>
      </c>
      <c r="C21448" s="1" t="s">
        <v>6133</v>
      </c>
      <c r="D21448" s="1" t="s">
        <v>6135</v>
      </c>
    </row>
    <row r="21449">
      <c r="A21449" s="1" t="s">
        <v>6138</v>
      </c>
      <c r="B21449" s="2" t="s">
        <v>7</v>
      </c>
      <c r="C21449" s="1" t="s">
        <v>6139</v>
      </c>
      <c r="D21449" s="1" t="s">
        <v>6140</v>
      </c>
    </row>
    <row r="21450">
      <c r="A21450" s="1" t="s">
        <v>33083</v>
      </c>
      <c r="B21450" s="2" t="s">
        <v>33084</v>
      </c>
      <c r="C21450" s="1" t="s">
        <v>6139</v>
      </c>
      <c r="D21450" s="1" t="s">
        <v>6140</v>
      </c>
    </row>
    <row r="21451">
      <c r="A21451" s="1" t="s">
        <v>33085</v>
      </c>
      <c r="B21451" s="2" t="s">
        <v>33086</v>
      </c>
      <c r="C21451" s="1" t="s">
        <v>6139</v>
      </c>
      <c r="D21451" s="1" t="s">
        <v>6140</v>
      </c>
    </row>
    <row r="21452">
      <c r="A21452" s="1" t="s">
        <v>33087</v>
      </c>
      <c r="B21452" s="2" t="s">
        <v>33088</v>
      </c>
      <c r="C21452" s="1" t="s">
        <v>6139</v>
      </c>
      <c r="D21452" s="1" t="s">
        <v>6140</v>
      </c>
    </row>
    <row r="21453">
      <c r="A21453" s="1" t="s">
        <v>33089</v>
      </c>
      <c r="B21453" s="2" t="s">
        <v>33090</v>
      </c>
      <c r="C21453" s="1" t="s">
        <v>6139</v>
      </c>
      <c r="D21453" s="1" t="s">
        <v>6140</v>
      </c>
    </row>
    <row r="21454">
      <c r="A21454" s="1" t="s">
        <v>33091</v>
      </c>
      <c r="B21454" s="2" t="s">
        <v>33092</v>
      </c>
      <c r="C21454" s="1" t="s">
        <v>6139</v>
      </c>
      <c r="D21454" s="1" t="s">
        <v>6140</v>
      </c>
    </row>
    <row r="21455">
      <c r="A21455" s="1" t="s">
        <v>33093</v>
      </c>
      <c r="B21455" s="2" t="s">
        <v>33094</v>
      </c>
      <c r="C21455" s="1" t="s">
        <v>6139</v>
      </c>
      <c r="D21455" s="1" t="s">
        <v>6140</v>
      </c>
    </row>
    <row r="21456">
      <c r="A21456" s="1" t="s">
        <v>33095</v>
      </c>
      <c r="B21456" s="2" t="s">
        <v>33096</v>
      </c>
      <c r="C21456" s="1" t="s">
        <v>6139</v>
      </c>
      <c r="D21456" s="1" t="s">
        <v>6140</v>
      </c>
    </row>
    <row r="21457">
      <c r="A21457" s="1" t="s">
        <v>33097</v>
      </c>
      <c r="B21457" s="2" t="s">
        <v>33098</v>
      </c>
      <c r="C21457" s="1" t="s">
        <v>6139</v>
      </c>
      <c r="D21457" s="1" t="s">
        <v>6140</v>
      </c>
    </row>
    <row r="21458">
      <c r="A21458" s="1" t="s">
        <v>33099</v>
      </c>
      <c r="B21458" s="2" t="s">
        <v>33100</v>
      </c>
      <c r="C21458" s="1" t="s">
        <v>6139</v>
      </c>
      <c r="D21458" s="1" t="s">
        <v>6140</v>
      </c>
    </row>
    <row r="21459">
      <c r="A21459" s="1" t="s">
        <v>6143</v>
      </c>
      <c r="B21459" s="2" t="s">
        <v>6148</v>
      </c>
      <c r="C21459" s="1" t="s">
        <v>6152</v>
      </c>
      <c r="D21459" s="1" t="s">
        <v>6154</v>
      </c>
    </row>
    <row r="21460">
      <c r="A21460" s="1" t="s">
        <v>6167</v>
      </c>
      <c r="B21460" s="2" t="s">
        <v>6168</v>
      </c>
      <c r="C21460" s="1" t="s">
        <v>6171</v>
      </c>
      <c r="D21460" s="1" t="s">
        <v>6173</v>
      </c>
    </row>
    <row r="21461">
      <c r="A21461" s="1" t="s">
        <v>6178</v>
      </c>
      <c r="B21461" s="2" t="s">
        <v>7</v>
      </c>
      <c r="C21461" s="1" t="s">
        <v>6180</v>
      </c>
      <c r="D21461" s="1" t="s">
        <v>6182</v>
      </c>
    </row>
    <row r="21462">
      <c r="A21462" s="1" t="s">
        <v>33101</v>
      </c>
      <c r="B21462" s="2" t="s">
        <v>32702</v>
      </c>
      <c r="C21462" s="1" t="s">
        <v>6180</v>
      </c>
      <c r="D21462" s="1" t="s">
        <v>6182</v>
      </c>
    </row>
    <row r="21463">
      <c r="A21463" s="1" t="s">
        <v>33102</v>
      </c>
      <c r="B21463" s="2" t="s">
        <v>33103</v>
      </c>
      <c r="C21463" s="1" t="s">
        <v>6180</v>
      </c>
      <c r="D21463" s="1" t="s">
        <v>6182</v>
      </c>
    </row>
    <row r="21464">
      <c r="A21464" s="1" t="s">
        <v>33104</v>
      </c>
      <c r="B21464" s="2" t="s">
        <v>33105</v>
      </c>
      <c r="C21464" s="1" t="s">
        <v>6180</v>
      </c>
      <c r="D21464" s="1" t="s">
        <v>6182</v>
      </c>
    </row>
    <row r="21465">
      <c r="A21465" s="1" t="s">
        <v>33106</v>
      </c>
      <c r="B21465" s="2" t="s">
        <v>33107</v>
      </c>
      <c r="C21465" s="1" t="s">
        <v>6180</v>
      </c>
      <c r="D21465" s="1" t="s">
        <v>6182</v>
      </c>
    </row>
    <row r="21466">
      <c r="A21466" s="1" t="s">
        <v>33108</v>
      </c>
      <c r="B21466" s="2" t="s">
        <v>33109</v>
      </c>
      <c r="C21466" s="1" t="s">
        <v>6180</v>
      </c>
      <c r="D21466" s="1" t="s">
        <v>6182</v>
      </c>
    </row>
    <row r="21467">
      <c r="A21467" s="1" t="s">
        <v>33110</v>
      </c>
      <c r="B21467" s="2" t="s">
        <v>33111</v>
      </c>
      <c r="C21467" s="1" t="s">
        <v>6180</v>
      </c>
      <c r="D21467" s="1" t="s">
        <v>6182</v>
      </c>
    </row>
    <row r="21468">
      <c r="A21468" s="1" t="s">
        <v>33112</v>
      </c>
      <c r="B21468" s="2" t="s">
        <v>33113</v>
      </c>
      <c r="C21468" s="1" t="s">
        <v>6180</v>
      </c>
      <c r="D21468" s="1" t="s">
        <v>6182</v>
      </c>
    </row>
    <row r="21469">
      <c r="A21469" s="1" t="s">
        <v>33114</v>
      </c>
      <c r="B21469" s="2" t="s">
        <v>33115</v>
      </c>
      <c r="C21469" s="1" t="s">
        <v>6180</v>
      </c>
      <c r="D21469" s="1" t="s">
        <v>6182</v>
      </c>
    </row>
    <row r="21470">
      <c r="A21470" s="1" t="s">
        <v>33116</v>
      </c>
      <c r="B21470" s="2" t="s">
        <v>33117</v>
      </c>
      <c r="C21470" s="1" t="s">
        <v>6180</v>
      </c>
      <c r="D21470" s="1" t="s">
        <v>6182</v>
      </c>
    </row>
    <row r="21471">
      <c r="A21471" s="1" t="s">
        <v>33118</v>
      </c>
      <c r="B21471" s="2" t="s">
        <v>33119</v>
      </c>
      <c r="C21471" s="1" t="s">
        <v>6180</v>
      </c>
      <c r="D21471" s="1" t="s">
        <v>6182</v>
      </c>
    </row>
    <row r="21472">
      <c r="A21472" s="1" t="s">
        <v>33120</v>
      </c>
      <c r="B21472" s="2" t="s">
        <v>32722</v>
      </c>
      <c r="C21472" s="1" t="s">
        <v>6180</v>
      </c>
      <c r="D21472" s="1" t="s">
        <v>6182</v>
      </c>
    </row>
    <row r="21473">
      <c r="A21473" s="1" t="s">
        <v>33121</v>
      </c>
      <c r="B21473" s="2" t="s">
        <v>33122</v>
      </c>
      <c r="C21473" s="1" t="s">
        <v>6180</v>
      </c>
      <c r="D21473" s="1" t="s">
        <v>6182</v>
      </c>
    </row>
    <row r="21474">
      <c r="A21474" s="1" t="s">
        <v>33123</v>
      </c>
      <c r="B21474" s="2" t="s">
        <v>33124</v>
      </c>
      <c r="C21474" s="1" t="s">
        <v>6180</v>
      </c>
      <c r="D21474" s="1" t="s">
        <v>6182</v>
      </c>
    </row>
    <row r="21475">
      <c r="A21475" s="1" t="s">
        <v>33125</v>
      </c>
      <c r="B21475" s="2" t="s">
        <v>33126</v>
      </c>
      <c r="C21475" s="1" t="s">
        <v>6180</v>
      </c>
      <c r="D21475" s="1" t="s">
        <v>6182</v>
      </c>
    </row>
    <row r="21476">
      <c r="A21476" s="1" t="s">
        <v>33127</v>
      </c>
      <c r="B21476" s="2" t="s">
        <v>33128</v>
      </c>
      <c r="C21476" s="1" t="s">
        <v>6180</v>
      </c>
      <c r="D21476" s="1" t="s">
        <v>6182</v>
      </c>
    </row>
    <row r="21477">
      <c r="A21477" s="1" t="s">
        <v>33129</v>
      </c>
      <c r="B21477" s="2" t="s">
        <v>33130</v>
      </c>
      <c r="C21477" s="1" t="s">
        <v>6180</v>
      </c>
      <c r="D21477" s="1" t="s">
        <v>6182</v>
      </c>
    </row>
    <row r="21478">
      <c r="A21478" s="1" t="s">
        <v>33131</v>
      </c>
      <c r="B21478" s="2" t="s">
        <v>33132</v>
      </c>
      <c r="C21478" s="1" t="s">
        <v>6180</v>
      </c>
      <c r="D21478" s="1" t="s">
        <v>6182</v>
      </c>
    </row>
    <row r="21479">
      <c r="A21479" s="1" t="s">
        <v>33133</v>
      </c>
      <c r="B21479" s="2" t="s">
        <v>33134</v>
      </c>
      <c r="C21479" s="1" t="s">
        <v>6180</v>
      </c>
      <c r="D21479" s="1" t="s">
        <v>6182</v>
      </c>
    </row>
    <row r="21480">
      <c r="A21480" s="1" t="s">
        <v>33135</v>
      </c>
      <c r="B21480" s="2" t="s">
        <v>33136</v>
      </c>
      <c r="C21480" s="1" t="s">
        <v>6180</v>
      </c>
      <c r="D21480" s="1" t="s">
        <v>6182</v>
      </c>
    </row>
    <row r="21481">
      <c r="A21481" s="1" t="s">
        <v>33137</v>
      </c>
      <c r="B21481" s="2" t="s">
        <v>33138</v>
      </c>
      <c r="C21481" s="1" t="s">
        <v>6180</v>
      </c>
      <c r="D21481" s="1" t="s">
        <v>6182</v>
      </c>
    </row>
    <row r="21482">
      <c r="A21482" s="1" t="s">
        <v>6187</v>
      </c>
      <c r="B21482" s="2" t="s">
        <v>6189</v>
      </c>
      <c r="C21482" s="1" t="s">
        <v>6191</v>
      </c>
      <c r="D21482" s="1" t="s">
        <v>6192</v>
      </c>
    </row>
    <row r="21483">
      <c r="A21483" s="1" t="s">
        <v>33139</v>
      </c>
      <c r="B21483" s="2" t="s">
        <v>33140</v>
      </c>
      <c r="C21483" s="1" t="s">
        <v>6191</v>
      </c>
      <c r="D21483" s="1" t="s">
        <v>6192</v>
      </c>
    </row>
    <row r="21484">
      <c r="A21484" s="1" t="s">
        <v>33141</v>
      </c>
      <c r="B21484" s="2" t="s">
        <v>33142</v>
      </c>
      <c r="C21484" s="1" t="s">
        <v>6191</v>
      </c>
      <c r="D21484" s="1" t="s">
        <v>6192</v>
      </c>
    </row>
    <row r="21485">
      <c r="A21485" s="1" t="s">
        <v>6196</v>
      </c>
      <c r="B21485" s="2" t="s">
        <v>6197</v>
      </c>
      <c r="C21485" s="1" t="s">
        <v>6200</v>
      </c>
      <c r="D21485" s="1" t="s">
        <v>6201</v>
      </c>
    </row>
    <row r="21486">
      <c r="A21486" s="1" t="s">
        <v>33143</v>
      </c>
      <c r="B21486" s="2" t="s">
        <v>33144</v>
      </c>
      <c r="C21486" s="1" t="s">
        <v>6200</v>
      </c>
      <c r="D21486" s="1" t="s">
        <v>6201</v>
      </c>
    </row>
    <row r="21487">
      <c r="A21487" s="1" t="s">
        <v>33145</v>
      </c>
      <c r="B21487" s="2" t="s">
        <v>33146</v>
      </c>
      <c r="C21487" s="1" t="s">
        <v>6200</v>
      </c>
      <c r="D21487" s="1" t="s">
        <v>6201</v>
      </c>
    </row>
    <row r="21488">
      <c r="A21488" s="1" t="s">
        <v>6206</v>
      </c>
      <c r="B21488" s="2" t="s">
        <v>7</v>
      </c>
      <c r="C21488" s="1" t="s">
        <v>142</v>
      </c>
      <c r="D21488" s="1" t="s">
        <v>6209</v>
      </c>
    </row>
    <row r="21489">
      <c r="A21489" s="1" t="s">
        <v>33147</v>
      </c>
      <c r="B21489" s="2" t="s">
        <v>33148</v>
      </c>
      <c r="C21489" s="1" t="s">
        <v>142</v>
      </c>
      <c r="D21489" s="1" t="s">
        <v>6209</v>
      </c>
    </row>
    <row r="21490">
      <c r="A21490" s="1" t="s">
        <v>33149</v>
      </c>
      <c r="B21490" s="2" t="s">
        <v>33150</v>
      </c>
      <c r="C21490" s="1" t="s">
        <v>142</v>
      </c>
      <c r="D21490" s="1" t="s">
        <v>6209</v>
      </c>
    </row>
    <row r="21491">
      <c r="A21491" s="1" t="s">
        <v>33151</v>
      </c>
      <c r="B21491" s="2" t="s">
        <v>33152</v>
      </c>
      <c r="C21491" s="1" t="s">
        <v>142</v>
      </c>
      <c r="D21491" s="1" t="s">
        <v>6209</v>
      </c>
    </row>
    <row r="21492">
      <c r="A21492" s="1" t="s">
        <v>33153</v>
      </c>
      <c r="B21492" s="2" t="s">
        <v>33154</v>
      </c>
      <c r="C21492" s="1" t="s">
        <v>142</v>
      </c>
      <c r="D21492" s="1" t="s">
        <v>6209</v>
      </c>
    </row>
    <row r="21493">
      <c r="A21493" s="1" t="s">
        <v>33155</v>
      </c>
      <c r="B21493" s="2" t="s">
        <v>33156</v>
      </c>
      <c r="C21493" s="1" t="s">
        <v>142</v>
      </c>
      <c r="D21493" s="1" t="s">
        <v>6209</v>
      </c>
    </row>
    <row r="21494">
      <c r="A21494" s="1" t="s">
        <v>33157</v>
      </c>
      <c r="B21494" s="2" t="s">
        <v>33158</v>
      </c>
      <c r="C21494" s="1" t="s">
        <v>142</v>
      </c>
      <c r="D21494" s="1" t="s">
        <v>6209</v>
      </c>
    </row>
    <row r="21495">
      <c r="A21495" s="1" t="s">
        <v>33159</v>
      </c>
      <c r="B21495" s="2" t="s">
        <v>33160</v>
      </c>
      <c r="C21495" s="1" t="s">
        <v>142</v>
      </c>
      <c r="D21495" s="1" t="s">
        <v>6209</v>
      </c>
    </row>
    <row r="21496">
      <c r="A21496" s="1" t="s">
        <v>33161</v>
      </c>
      <c r="B21496" s="2" t="s">
        <v>33162</v>
      </c>
      <c r="C21496" s="1" t="s">
        <v>142</v>
      </c>
      <c r="D21496" s="1" t="s">
        <v>6209</v>
      </c>
    </row>
    <row r="21497">
      <c r="A21497" s="1" t="s">
        <v>33163</v>
      </c>
      <c r="B21497" s="2" t="s">
        <v>33164</v>
      </c>
      <c r="C21497" s="1" t="s">
        <v>142</v>
      </c>
      <c r="D21497" s="1" t="s">
        <v>6209</v>
      </c>
    </row>
    <row r="21498">
      <c r="A21498" s="1" t="s">
        <v>33165</v>
      </c>
      <c r="B21498" s="2" t="s">
        <v>33166</v>
      </c>
      <c r="C21498" s="1" t="s">
        <v>142</v>
      </c>
      <c r="D21498" s="1" t="s">
        <v>6209</v>
      </c>
    </row>
    <row r="21499">
      <c r="A21499" s="1" t="s">
        <v>6213</v>
      </c>
      <c r="B21499" s="2" t="s">
        <v>6215</v>
      </c>
      <c r="C21499" s="1" t="s">
        <v>6216</v>
      </c>
      <c r="D21499" s="1" t="s">
        <v>6218</v>
      </c>
    </row>
    <row r="21500">
      <c r="A21500" s="1" t="s">
        <v>33167</v>
      </c>
      <c r="B21500" s="2" t="s">
        <v>33168</v>
      </c>
      <c r="C21500" s="1" t="s">
        <v>6216</v>
      </c>
      <c r="D21500" s="1" t="s">
        <v>6218</v>
      </c>
    </row>
    <row r="21501">
      <c r="A21501" s="1" t="s">
        <v>33169</v>
      </c>
      <c r="B21501" s="2" t="s">
        <v>33170</v>
      </c>
      <c r="C21501" s="1" t="s">
        <v>6216</v>
      </c>
      <c r="D21501" s="1" t="s">
        <v>6218</v>
      </c>
    </row>
    <row r="21502">
      <c r="A21502" s="1" t="s">
        <v>33171</v>
      </c>
      <c r="B21502" s="2" t="s">
        <v>33172</v>
      </c>
      <c r="C21502" s="1" t="s">
        <v>6216</v>
      </c>
      <c r="D21502" s="1" t="s">
        <v>6218</v>
      </c>
    </row>
    <row r="21503">
      <c r="A21503" s="1" t="s">
        <v>33173</v>
      </c>
      <c r="B21503" s="2" t="s">
        <v>33174</v>
      </c>
      <c r="C21503" s="1" t="s">
        <v>6216</v>
      </c>
      <c r="D21503" s="1" t="s">
        <v>6218</v>
      </c>
    </row>
    <row r="21504">
      <c r="A21504" s="1" t="s">
        <v>33175</v>
      </c>
      <c r="B21504" s="2" t="s">
        <v>33176</v>
      </c>
      <c r="C21504" s="1" t="s">
        <v>6216</v>
      </c>
      <c r="D21504" s="1" t="s">
        <v>6218</v>
      </c>
    </row>
    <row r="21505">
      <c r="A21505" s="1" t="s">
        <v>33177</v>
      </c>
      <c r="B21505" s="2" t="s">
        <v>33178</v>
      </c>
      <c r="C21505" s="1" t="s">
        <v>6216</v>
      </c>
      <c r="D21505" s="1" t="s">
        <v>6218</v>
      </c>
    </row>
    <row r="21506">
      <c r="A21506" s="1" t="s">
        <v>33179</v>
      </c>
      <c r="B21506" s="2" t="s">
        <v>33180</v>
      </c>
      <c r="C21506" s="1" t="s">
        <v>6216</v>
      </c>
      <c r="D21506" s="1" t="s">
        <v>6218</v>
      </c>
    </row>
    <row r="21507">
      <c r="A21507" s="1" t="s">
        <v>33181</v>
      </c>
      <c r="B21507" s="2" t="s">
        <v>33182</v>
      </c>
      <c r="C21507" s="1" t="s">
        <v>6216</v>
      </c>
      <c r="D21507" s="1" t="s">
        <v>6218</v>
      </c>
    </row>
    <row r="21508">
      <c r="A21508" s="1" t="s">
        <v>33183</v>
      </c>
      <c r="B21508" s="2" t="s">
        <v>33184</v>
      </c>
      <c r="C21508" s="1" t="s">
        <v>6216</v>
      </c>
      <c r="D21508" s="1" t="s">
        <v>6218</v>
      </c>
    </row>
    <row r="21509">
      <c r="A21509" s="1" t="s">
        <v>33185</v>
      </c>
      <c r="B21509" s="2" t="s">
        <v>33186</v>
      </c>
      <c r="C21509" s="1" t="s">
        <v>6216</v>
      </c>
      <c r="D21509" s="1" t="s">
        <v>6218</v>
      </c>
    </row>
    <row r="21510">
      <c r="A21510" s="1" t="s">
        <v>33187</v>
      </c>
      <c r="B21510" s="2" t="s">
        <v>33188</v>
      </c>
      <c r="C21510" s="1" t="s">
        <v>6216</v>
      </c>
      <c r="D21510" s="1" t="s">
        <v>6218</v>
      </c>
    </row>
    <row r="21511">
      <c r="A21511" s="1" t="s">
        <v>33189</v>
      </c>
      <c r="B21511" s="2" t="s">
        <v>33190</v>
      </c>
      <c r="C21511" s="1" t="s">
        <v>6216</v>
      </c>
      <c r="D21511" s="1" t="s">
        <v>6218</v>
      </c>
    </row>
    <row r="21512">
      <c r="A21512" s="1" t="s">
        <v>33191</v>
      </c>
      <c r="B21512" s="2" t="s">
        <v>33192</v>
      </c>
      <c r="C21512" s="1" t="s">
        <v>6216</v>
      </c>
      <c r="D21512" s="1" t="s">
        <v>6218</v>
      </c>
    </row>
    <row r="21513">
      <c r="A21513" s="1" t="s">
        <v>33193</v>
      </c>
      <c r="B21513" s="2" t="s">
        <v>33194</v>
      </c>
      <c r="C21513" s="1" t="s">
        <v>6216</v>
      </c>
      <c r="D21513" s="1" t="s">
        <v>6218</v>
      </c>
    </row>
    <row r="21514">
      <c r="A21514" s="1" t="s">
        <v>6220</v>
      </c>
      <c r="B21514" s="2" t="s">
        <v>7</v>
      </c>
      <c r="C21514" s="1" t="s">
        <v>6221</v>
      </c>
      <c r="D21514" s="1" t="s">
        <v>6222</v>
      </c>
    </row>
    <row r="21515">
      <c r="A21515" s="1" t="s">
        <v>33195</v>
      </c>
      <c r="B21515" s="2" t="s">
        <v>33196</v>
      </c>
      <c r="C21515" s="1" t="s">
        <v>6221</v>
      </c>
      <c r="D21515" s="1" t="s">
        <v>6222</v>
      </c>
    </row>
    <row r="21516">
      <c r="A21516" s="1" t="s">
        <v>33197</v>
      </c>
      <c r="B21516" s="2" t="s">
        <v>33198</v>
      </c>
      <c r="C21516" s="1" t="s">
        <v>6221</v>
      </c>
      <c r="D21516" s="1" t="s">
        <v>6222</v>
      </c>
    </row>
    <row r="21517">
      <c r="A21517" s="1" t="s">
        <v>33199</v>
      </c>
      <c r="B21517" s="2" t="s">
        <v>33200</v>
      </c>
      <c r="C21517" s="1" t="s">
        <v>6221</v>
      </c>
      <c r="D21517" s="1" t="s">
        <v>6222</v>
      </c>
    </row>
    <row r="21518">
      <c r="A21518" s="1" t="s">
        <v>33201</v>
      </c>
      <c r="B21518" s="2" t="s">
        <v>33202</v>
      </c>
      <c r="C21518" s="1" t="s">
        <v>6221</v>
      </c>
      <c r="D21518" s="1" t="s">
        <v>6222</v>
      </c>
    </row>
    <row r="21519">
      <c r="A21519" s="1" t="s">
        <v>33203</v>
      </c>
      <c r="B21519" s="2" t="s">
        <v>33204</v>
      </c>
      <c r="C21519" s="1" t="s">
        <v>6221</v>
      </c>
      <c r="D21519" s="1" t="s">
        <v>6222</v>
      </c>
    </row>
    <row r="21520">
      <c r="A21520" s="1" t="s">
        <v>33205</v>
      </c>
      <c r="B21520" s="2" t="s">
        <v>33206</v>
      </c>
      <c r="C21520" s="1" t="s">
        <v>6221</v>
      </c>
      <c r="D21520" s="1" t="s">
        <v>6222</v>
      </c>
    </row>
    <row r="21521">
      <c r="A21521" s="1" t="s">
        <v>33207</v>
      </c>
      <c r="B21521" s="2" t="s">
        <v>33208</v>
      </c>
      <c r="C21521" s="1" t="s">
        <v>6221</v>
      </c>
      <c r="D21521" s="1" t="s">
        <v>6222</v>
      </c>
    </row>
    <row r="21522">
      <c r="A21522" s="1" t="s">
        <v>33209</v>
      </c>
      <c r="B21522" s="2" t="s">
        <v>33210</v>
      </c>
      <c r="C21522" s="1" t="s">
        <v>6221</v>
      </c>
      <c r="D21522" s="1" t="s">
        <v>6222</v>
      </c>
    </row>
    <row r="21523">
      <c r="A21523" s="1" t="s">
        <v>33211</v>
      </c>
      <c r="B21523" s="2" t="s">
        <v>33212</v>
      </c>
      <c r="C21523" s="1" t="s">
        <v>6221</v>
      </c>
      <c r="D21523" s="1" t="s">
        <v>6222</v>
      </c>
    </row>
    <row r="21524">
      <c r="A21524" s="1" t="s">
        <v>33213</v>
      </c>
      <c r="B21524" s="2" t="s">
        <v>33214</v>
      </c>
      <c r="C21524" s="1" t="s">
        <v>6221</v>
      </c>
      <c r="D21524" s="1" t="s">
        <v>6222</v>
      </c>
    </row>
    <row r="21525">
      <c r="A21525" s="1" t="s">
        <v>33215</v>
      </c>
      <c r="B21525" s="2" t="s">
        <v>33216</v>
      </c>
      <c r="C21525" s="1" t="s">
        <v>6221</v>
      </c>
      <c r="D21525" s="1" t="s">
        <v>6222</v>
      </c>
    </row>
    <row r="21526">
      <c r="A21526" s="1" t="s">
        <v>33217</v>
      </c>
      <c r="B21526" s="2" t="s">
        <v>33218</v>
      </c>
      <c r="C21526" s="1" t="s">
        <v>6221</v>
      </c>
      <c r="D21526" s="1" t="s">
        <v>6222</v>
      </c>
    </row>
    <row r="21527">
      <c r="A21527" s="1" t="s">
        <v>33219</v>
      </c>
      <c r="B21527" s="2" t="s">
        <v>33220</v>
      </c>
      <c r="C21527" s="1" t="s">
        <v>6221</v>
      </c>
      <c r="D21527" s="1" t="s">
        <v>6222</v>
      </c>
    </row>
    <row r="21528">
      <c r="A21528" s="1" t="s">
        <v>33221</v>
      </c>
      <c r="B21528" s="2" t="s">
        <v>33222</v>
      </c>
      <c r="C21528" s="1" t="s">
        <v>6221</v>
      </c>
      <c r="D21528" s="1" t="s">
        <v>6222</v>
      </c>
    </row>
    <row r="21529">
      <c r="A21529" s="1" t="s">
        <v>33223</v>
      </c>
      <c r="B21529" s="2" t="s">
        <v>33224</v>
      </c>
      <c r="C21529" s="1" t="s">
        <v>6221</v>
      </c>
      <c r="D21529" s="1" t="s">
        <v>6222</v>
      </c>
    </row>
    <row r="21530">
      <c r="A21530" s="1" t="s">
        <v>33225</v>
      </c>
      <c r="B21530" s="2" t="s">
        <v>33226</v>
      </c>
      <c r="C21530" s="1" t="s">
        <v>6221</v>
      </c>
      <c r="D21530" s="1" t="s">
        <v>6222</v>
      </c>
    </row>
    <row r="21531">
      <c r="A21531" s="1" t="s">
        <v>6227</v>
      </c>
      <c r="B21531" s="2" t="s">
        <v>6229</v>
      </c>
      <c r="C21531" s="1" t="s">
        <v>6230</v>
      </c>
      <c r="D21531" s="1" t="s">
        <v>6231</v>
      </c>
    </row>
    <row r="21532">
      <c r="A21532" s="1" t="s">
        <v>33227</v>
      </c>
      <c r="B21532" s="2" t="s">
        <v>33228</v>
      </c>
      <c r="C21532" s="1" t="s">
        <v>6230</v>
      </c>
      <c r="D21532" s="1" t="s">
        <v>6231</v>
      </c>
    </row>
    <row r="21533">
      <c r="A21533" s="1" t="s">
        <v>33229</v>
      </c>
      <c r="B21533" s="2" t="s">
        <v>33230</v>
      </c>
      <c r="C21533" s="1" t="s">
        <v>6230</v>
      </c>
      <c r="D21533" s="1" t="s">
        <v>6231</v>
      </c>
    </row>
    <row r="21534">
      <c r="A21534" s="1" t="s">
        <v>33231</v>
      </c>
      <c r="B21534" s="2" t="s">
        <v>33232</v>
      </c>
      <c r="C21534" s="1" t="s">
        <v>6230</v>
      </c>
      <c r="D21534" s="1" t="s">
        <v>6231</v>
      </c>
    </row>
    <row r="21535">
      <c r="A21535" s="1" t="s">
        <v>33233</v>
      </c>
      <c r="B21535" s="2" t="s">
        <v>33234</v>
      </c>
      <c r="C21535" s="1" t="s">
        <v>6230</v>
      </c>
      <c r="D21535" s="1" t="s">
        <v>6231</v>
      </c>
    </row>
    <row r="21536">
      <c r="A21536" s="1" t="s">
        <v>33235</v>
      </c>
      <c r="B21536" s="2" t="s">
        <v>33236</v>
      </c>
      <c r="C21536" s="1" t="s">
        <v>6230</v>
      </c>
      <c r="D21536" s="1" t="s">
        <v>6231</v>
      </c>
    </row>
    <row r="21537">
      <c r="A21537" s="1" t="s">
        <v>33237</v>
      </c>
      <c r="B21537" s="2" t="s">
        <v>33238</v>
      </c>
      <c r="C21537" s="1" t="s">
        <v>6230</v>
      </c>
      <c r="D21537" s="1" t="s">
        <v>6231</v>
      </c>
    </row>
    <row r="21538">
      <c r="A21538" s="1" t="s">
        <v>6243</v>
      </c>
      <c r="B21538" s="2" t="s">
        <v>7</v>
      </c>
      <c r="C21538" s="1" t="s">
        <v>6244</v>
      </c>
      <c r="D21538" s="1" t="s">
        <v>6246</v>
      </c>
    </row>
    <row r="21539">
      <c r="A21539" s="1" t="s">
        <v>33239</v>
      </c>
      <c r="B21539" s="2" t="s">
        <v>33148</v>
      </c>
      <c r="C21539" s="1" t="s">
        <v>6244</v>
      </c>
      <c r="D21539" s="1" t="s">
        <v>6246</v>
      </c>
    </row>
    <row r="21540">
      <c r="A21540" s="1" t="s">
        <v>33240</v>
      </c>
      <c r="B21540" s="2" t="s">
        <v>33150</v>
      </c>
      <c r="C21540" s="1" t="s">
        <v>6244</v>
      </c>
      <c r="D21540" s="1" t="s">
        <v>6246</v>
      </c>
    </row>
    <row r="21541">
      <c r="A21541" s="1" t="s">
        <v>33241</v>
      </c>
      <c r="B21541" s="2" t="s">
        <v>33152</v>
      </c>
      <c r="C21541" s="1" t="s">
        <v>6244</v>
      </c>
      <c r="D21541" s="1" t="s">
        <v>6246</v>
      </c>
    </row>
    <row r="21542">
      <c r="A21542" s="1" t="s">
        <v>33242</v>
      </c>
      <c r="B21542" s="2" t="s">
        <v>33154</v>
      </c>
      <c r="C21542" s="1" t="s">
        <v>6244</v>
      </c>
      <c r="D21542" s="1" t="s">
        <v>6246</v>
      </c>
    </row>
    <row r="21543">
      <c r="A21543" s="1" t="s">
        <v>33243</v>
      </c>
      <c r="B21543" s="2" t="s">
        <v>33156</v>
      </c>
      <c r="C21543" s="1" t="s">
        <v>6244</v>
      </c>
      <c r="D21543" s="1" t="s">
        <v>6246</v>
      </c>
    </row>
    <row r="21544">
      <c r="A21544" s="1" t="s">
        <v>33244</v>
      </c>
      <c r="B21544" s="2" t="s">
        <v>33158</v>
      </c>
      <c r="C21544" s="1" t="s">
        <v>6244</v>
      </c>
      <c r="D21544" s="1" t="s">
        <v>6246</v>
      </c>
    </row>
    <row r="21545">
      <c r="A21545" s="1" t="s">
        <v>33245</v>
      </c>
      <c r="B21545" s="2" t="s">
        <v>33160</v>
      </c>
      <c r="C21545" s="1" t="s">
        <v>6244</v>
      </c>
      <c r="D21545" s="1" t="s">
        <v>6246</v>
      </c>
    </row>
    <row r="21546">
      <c r="A21546" s="1" t="s">
        <v>33246</v>
      </c>
      <c r="B21546" s="2" t="s">
        <v>33162</v>
      </c>
      <c r="C21546" s="1" t="s">
        <v>6244</v>
      </c>
      <c r="D21546" s="1" t="s">
        <v>6246</v>
      </c>
    </row>
    <row r="21547">
      <c r="A21547" s="1" t="s">
        <v>33247</v>
      </c>
      <c r="B21547" s="2" t="s">
        <v>33164</v>
      </c>
      <c r="C21547" s="1" t="s">
        <v>6244</v>
      </c>
      <c r="D21547" s="1" t="s">
        <v>6246</v>
      </c>
    </row>
    <row r="21548">
      <c r="A21548" s="1" t="s">
        <v>33248</v>
      </c>
      <c r="B21548" s="2" t="s">
        <v>33166</v>
      </c>
      <c r="C21548" s="1" t="s">
        <v>6244</v>
      </c>
      <c r="D21548" s="1" t="s">
        <v>6246</v>
      </c>
    </row>
    <row r="21549">
      <c r="A21549" s="1" t="s">
        <v>6250</v>
      </c>
      <c r="B21549" s="2" t="s">
        <v>7</v>
      </c>
      <c r="C21549" s="1" t="s">
        <v>6251</v>
      </c>
      <c r="D21549" s="1" t="s">
        <v>6253</v>
      </c>
    </row>
    <row r="21550">
      <c r="A21550" s="1" t="s">
        <v>33249</v>
      </c>
      <c r="B21550" s="2" t="s">
        <v>33148</v>
      </c>
      <c r="C21550" s="1" t="s">
        <v>6251</v>
      </c>
      <c r="D21550" s="1" t="s">
        <v>6253</v>
      </c>
    </row>
    <row r="21551">
      <c r="A21551" s="1" t="s">
        <v>33250</v>
      </c>
      <c r="B21551" s="2" t="s">
        <v>33150</v>
      </c>
      <c r="C21551" s="1" t="s">
        <v>6251</v>
      </c>
      <c r="D21551" s="1" t="s">
        <v>6253</v>
      </c>
    </row>
    <row r="21552">
      <c r="A21552" s="1" t="s">
        <v>33251</v>
      </c>
      <c r="B21552" s="2" t="s">
        <v>33152</v>
      </c>
      <c r="C21552" s="1" t="s">
        <v>6251</v>
      </c>
      <c r="D21552" s="1" t="s">
        <v>6253</v>
      </c>
    </row>
    <row r="21553">
      <c r="A21553" s="1" t="s">
        <v>33252</v>
      </c>
      <c r="B21553" s="2" t="s">
        <v>33154</v>
      </c>
      <c r="C21553" s="1" t="s">
        <v>6251</v>
      </c>
      <c r="D21553" s="1" t="s">
        <v>6253</v>
      </c>
    </row>
    <row r="21554">
      <c r="A21554" s="1" t="s">
        <v>33253</v>
      </c>
      <c r="B21554" s="2" t="s">
        <v>33156</v>
      </c>
      <c r="C21554" s="1" t="s">
        <v>6251</v>
      </c>
      <c r="D21554" s="1" t="s">
        <v>6253</v>
      </c>
    </row>
    <row r="21555">
      <c r="A21555" s="1" t="s">
        <v>33254</v>
      </c>
      <c r="B21555" s="2" t="s">
        <v>33158</v>
      </c>
      <c r="C21555" s="1" t="s">
        <v>6251</v>
      </c>
      <c r="D21555" s="1" t="s">
        <v>6253</v>
      </c>
    </row>
    <row r="21556">
      <c r="A21556" s="1" t="s">
        <v>33255</v>
      </c>
      <c r="B21556" s="2" t="s">
        <v>33160</v>
      </c>
      <c r="C21556" s="1" t="s">
        <v>6251</v>
      </c>
      <c r="D21556" s="1" t="s">
        <v>6253</v>
      </c>
    </row>
    <row r="21557">
      <c r="A21557" s="1" t="s">
        <v>33256</v>
      </c>
      <c r="B21557" s="2" t="s">
        <v>33162</v>
      </c>
      <c r="C21557" s="1" t="s">
        <v>6251</v>
      </c>
      <c r="D21557" s="1" t="s">
        <v>6253</v>
      </c>
    </row>
    <row r="21558">
      <c r="A21558" s="1" t="s">
        <v>33257</v>
      </c>
      <c r="B21558" s="2" t="s">
        <v>33164</v>
      </c>
      <c r="C21558" s="1" t="s">
        <v>6251</v>
      </c>
      <c r="D21558" s="1" t="s">
        <v>6253</v>
      </c>
    </row>
    <row r="21559">
      <c r="A21559" s="1" t="s">
        <v>33258</v>
      </c>
      <c r="B21559" s="2" t="s">
        <v>33166</v>
      </c>
      <c r="C21559" s="1" t="s">
        <v>6251</v>
      </c>
      <c r="D21559" s="1" t="s">
        <v>6253</v>
      </c>
    </row>
    <row r="21560">
      <c r="A21560" s="1" t="s">
        <v>6257</v>
      </c>
      <c r="B21560" s="2" t="s">
        <v>7</v>
      </c>
      <c r="C21560" s="1" t="s">
        <v>6258</v>
      </c>
      <c r="D21560" s="1" t="s">
        <v>6259</v>
      </c>
    </row>
    <row r="21561">
      <c r="A21561" s="1" t="s">
        <v>33259</v>
      </c>
      <c r="B21561" s="2" t="s">
        <v>33148</v>
      </c>
      <c r="C21561" s="1" t="s">
        <v>6258</v>
      </c>
      <c r="D21561" s="1" t="s">
        <v>6259</v>
      </c>
    </row>
    <row r="21562">
      <c r="A21562" s="1" t="s">
        <v>33260</v>
      </c>
      <c r="B21562" s="2" t="s">
        <v>33150</v>
      </c>
      <c r="C21562" s="1" t="s">
        <v>6258</v>
      </c>
      <c r="D21562" s="1" t="s">
        <v>6259</v>
      </c>
    </row>
    <row r="21563">
      <c r="A21563" s="1" t="s">
        <v>33261</v>
      </c>
      <c r="B21563" s="2" t="s">
        <v>33152</v>
      </c>
      <c r="C21563" s="1" t="s">
        <v>6258</v>
      </c>
      <c r="D21563" s="1" t="s">
        <v>6259</v>
      </c>
    </row>
    <row r="21564">
      <c r="A21564" s="1" t="s">
        <v>33262</v>
      </c>
      <c r="B21564" s="2" t="s">
        <v>33154</v>
      </c>
      <c r="C21564" s="1" t="s">
        <v>6258</v>
      </c>
      <c r="D21564" s="1" t="s">
        <v>6259</v>
      </c>
    </row>
    <row r="21565">
      <c r="A21565" s="1" t="s">
        <v>33263</v>
      </c>
      <c r="B21565" s="2" t="s">
        <v>33156</v>
      </c>
      <c r="C21565" s="1" t="s">
        <v>6258</v>
      </c>
      <c r="D21565" s="1" t="s">
        <v>6259</v>
      </c>
    </row>
    <row r="21566">
      <c r="A21566" s="1" t="s">
        <v>33264</v>
      </c>
      <c r="B21566" s="2" t="s">
        <v>33158</v>
      </c>
      <c r="C21566" s="1" t="s">
        <v>6258</v>
      </c>
      <c r="D21566" s="1" t="s">
        <v>6259</v>
      </c>
    </row>
    <row r="21567">
      <c r="A21567" s="1" t="s">
        <v>33265</v>
      </c>
      <c r="B21567" s="2" t="s">
        <v>33160</v>
      </c>
      <c r="C21567" s="1" t="s">
        <v>6258</v>
      </c>
      <c r="D21567" s="1" t="s">
        <v>6259</v>
      </c>
    </row>
    <row r="21568">
      <c r="A21568" s="1" t="s">
        <v>33266</v>
      </c>
      <c r="B21568" s="2" t="s">
        <v>33162</v>
      </c>
      <c r="C21568" s="1" t="s">
        <v>6258</v>
      </c>
      <c r="D21568" s="1" t="s">
        <v>6259</v>
      </c>
    </row>
    <row r="21569">
      <c r="A21569" s="1" t="s">
        <v>33267</v>
      </c>
      <c r="B21569" s="2" t="s">
        <v>33164</v>
      </c>
      <c r="C21569" s="1" t="s">
        <v>6258</v>
      </c>
      <c r="D21569" s="1" t="s">
        <v>6259</v>
      </c>
    </row>
    <row r="21570">
      <c r="A21570" s="1" t="s">
        <v>33268</v>
      </c>
      <c r="B21570" s="2" t="s">
        <v>33166</v>
      </c>
      <c r="C21570" s="1" t="s">
        <v>6258</v>
      </c>
      <c r="D21570" s="1" t="s">
        <v>6259</v>
      </c>
    </row>
    <row r="21571">
      <c r="A21571" s="1" t="s">
        <v>6263</v>
      </c>
      <c r="B21571" s="2" t="s">
        <v>7</v>
      </c>
      <c r="C21571" s="1" t="s">
        <v>6264</v>
      </c>
      <c r="D21571" s="1" t="s">
        <v>6265</v>
      </c>
    </row>
    <row r="21572">
      <c r="A21572" s="1" t="s">
        <v>33269</v>
      </c>
      <c r="B21572" s="2" t="s">
        <v>33148</v>
      </c>
      <c r="C21572" s="1" t="s">
        <v>6264</v>
      </c>
      <c r="D21572" s="1" t="s">
        <v>6265</v>
      </c>
    </row>
    <row r="21573">
      <c r="A21573" s="1" t="s">
        <v>33270</v>
      </c>
      <c r="B21573" s="2" t="s">
        <v>33150</v>
      </c>
      <c r="C21573" s="1" t="s">
        <v>6264</v>
      </c>
      <c r="D21573" s="1" t="s">
        <v>6265</v>
      </c>
    </row>
    <row r="21574">
      <c r="A21574" s="1" t="s">
        <v>33271</v>
      </c>
      <c r="B21574" s="2" t="s">
        <v>33152</v>
      </c>
      <c r="C21574" s="1" t="s">
        <v>6264</v>
      </c>
      <c r="D21574" s="1" t="s">
        <v>6265</v>
      </c>
    </row>
    <row r="21575">
      <c r="A21575" s="1" t="s">
        <v>33272</v>
      </c>
      <c r="B21575" s="2" t="s">
        <v>33154</v>
      </c>
      <c r="C21575" s="1" t="s">
        <v>6264</v>
      </c>
      <c r="D21575" s="1" t="s">
        <v>6265</v>
      </c>
    </row>
    <row r="21576">
      <c r="A21576" s="1" t="s">
        <v>33273</v>
      </c>
      <c r="B21576" s="2" t="s">
        <v>33156</v>
      </c>
      <c r="C21576" s="1" t="s">
        <v>6264</v>
      </c>
      <c r="D21576" s="1" t="s">
        <v>6265</v>
      </c>
    </row>
    <row r="21577">
      <c r="A21577" s="1" t="s">
        <v>33274</v>
      </c>
      <c r="B21577" s="2" t="s">
        <v>33158</v>
      </c>
      <c r="C21577" s="1" t="s">
        <v>6264</v>
      </c>
      <c r="D21577" s="1" t="s">
        <v>6265</v>
      </c>
    </row>
    <row r="21578">
      <c r="A21578" s="1" t="s">
        <v>33275</v>
      </c>
      <c r="B21578" s="2" t="s">
        <v>33160</v>
      </c>
      <c r="C21578" s="1" t="s">
        <v>6264</v>
      </c>
      <c r="D21578" s="1" t="s">
        <v>6265</v>
      </c>
    </row>
    <row r="21579">
      <c r="A21579" s="1" t="s">
        <v>33276</v>
      </c>
      <c r="B21579" s="2" t="s">
        <v>33162</v>
      </c>
      <c r="C21579" s="1" t="s">
        <v>6264</v>
      </c>
      <c r="D21579" s="1" t="s">
        <v>6265</v>
      </c>
    </row>
    <row r="21580">
      <c r="A21580" s="1" t="s">
        <v>33277</v>
      </c>
      <c r="B21580" s="2" t="s">
        <v>33164</v>
      </c>
      <c r="C21580" s="1" t="s">
        <v>6264</v>
      </c>
      <c r="D21580" s="1" t="s">
        <v>6265</v>
      </c>
    </row>
    <row r="21581">
      <c r="A21581" s="1" t="s">
        <v>33278</v>
      </c>
      <c r="B21581" s="2" t="s">
        <v>33166</v>
      </c>
      <c r="C21581" s="1" t="s">
        <v>6264</v>
      </c>
      <c r="D21581" s="1" t="s">
        <v>6265</v>
      </c>
    </row>
    <row r="21582">
      <c r="A21582" s="1" t="s">
        <v>6270</v>
      </c>
      <c r="B21582" s="2" t="s">
        <v>7</v>
      </c>
      <c r="C21582" s="1" t="s">
        <v>6273</v>
      </c>
      <c r="D21582" s="1" t="s">
        <v>6274</v>
      </c>
    </row>
    <row r="21583">
      <c r="A21583" s="1" t="s">
        <v>33279</v>
      </c>
      <c r="B21583" s="2" t="s">
        <v>33148</v>
      </c>
      <c r="C21583" s="1" t="s">
        <v>6273</v>
      </c>
      <c r="D21583" s="1" t="s">
        <v>6274</v>
      </c>
    </row>
    <row r="21584">
      <c r="A21584" s="1" t="s">
        <v>33280</v>
      </c>
      <c r="B21584" s="2" t="s">
        <v>33150</v>
      </c>
      <c r="C21584" s="1" t="s">
        <v>6273</v>
      </c>
      <c r="D21584" s="1" t="s">
        <v>6274</v>
      </c>
    </row>
    <row r="21585">
      <c r="A21585" s="1" t="s">
        <v>33281</v>
      </c>
      <c r="B21585" s="2" t="s">
        <v>33152</v>
      </c>
      <c r="C21585" s="1" t="s">
        <v>6273</v>
      </c>
      <c r="D21585" s="1" t="s">
        <v>6274</v>
      </c>
    </row>
    <row r="21586">
      <c r="A21586" s="1" t="s">
        <v>33282</v>
      </c>
      <c r="B21586" s="2" t="s">
        <v>33154</v>
      </c>
      <c r="C21586" s="1" t="s">
        <v>6273</v>
      </c>
      <c r="D21586" s="1" t="s">
        <v>6274</v>
      </c>
    </row>
    <row r="21587">
      <c r="A21587" s="1" t="s">
        <v>33283</v>
      </c>
      <c r="B21587" s="2" t="s">
        <v>33156</v>
      </c>
      <c r="C21587" s="1" t="s">
        <v>6273</v>
      </c>
      <c r="D21587" s="1" t="s">
        <v>6274</v>
      </c>
    </row>
    <row r="21588">
      <c r="A21588" s="1" t="s">
        <v>33284</v>
      </c>
      <c r="B21588" s="2" t="s">
        <v>33158</v>
      </c>
      <c r="C21588" s="1" t="s">
        <v>6273</v>
      </c>
      <c r="D21588" s="1" t="s">
        <v>6274</v>
      </c>
    </row>
    <row r="21589">
      <c r="A21589" s="1" t="s">
        <v>33285</v>
      </c>
      <c r="B21589" s="2" t="s">
        <v>33160</v>
      </c>
      <c r="C21589" s="1" t="s">
        <v>6273</v>
      </c>
      <c r="D21589" s="1" t="s">
        <v>6274</v>
      </c>
    </row>
    <row r="21590">
      <c r="A21590" s="1" t="s">
        <v>33286</v>
      </c>
      <c r="B21590" s="2" t="s">
        <v>33162</v>
      </c>
      <c r="C21590" s="1" t="s">
        <v>6273</v>
      </c>
      <c r="D21590" s="1" t="s">
        <v>6274</v>
      </c>
    </row>
    <row r="21591">
      <c r="A21591" s="1" t="s">
        <v>33287</v>
      </c>
      <c r="B21591" s="2" t="s">
        <v>33164</v>
      </c>
      <c r="C21591" s="1" t="s">
        <v>6273</v>
      </c>
      <c r="D21591" s="1" t="s">
        <v>6274</v>
      </c>
    </row>
    <row r="21592">
      <c r="A21592" s="1" t="s">
        <v>33288</v>
      </c>
      <c r="B21592" s="2" t="s">
        <v>33166</v>
      </c>
      <c r="C21592" s="1" t="s">
        <v>6273</v>
      </c>
      <c r="D21592" s="1" t="s">
        <v>6274</v>
      </c>
    </row>
    <row r="21593">
      <c r="A21593" s="1" t="s">
        <v>6292</v>
      </c>
      <c r="B21593" s="2" t="s">
        <v>7</v>
      </c>
      <c r="C21593" s="1" t="s">
        <v>6294</v>
      </c>
      <c r="D21593" s="1" t="s">
        <v>6296</v>
      </c>
    </row>
    <row r="21594">
      <c r="A21594" s="1" t="s">
        <v>33289</v>
      </c>
      <c r="B21594" s="2" t="s">
        <v>33148</v>
      </c>
      <c r="C21594" s="1" t="s">
        <v>6294</v>
      </c>
      <c r="D21594" s="1" t="s">
        <v>6296</v>
      </c>
    </row>
    <row r="21595">
      <c r="A21595" s="1" t="s">
        <v>33290</v>
      </c>
      <c r="B21595" s="2" t="s">
        <v>33150</v>
      </c>
      <c r="C21595" s="1" t="s">
        <v>6294</v>
      </c>
      <c r="D21595" s="1" t="s">
        <v>6296</v>
      </c>
    </row>
    <row r="21596">
      <c r="A21596" s="1" t="s">
        <v>33291</v>
      </c>
      <c r="B21596" s="2" t="s">
        <v>33152</v>
      </c>
      <c r="C21596" s="1" t="s">
        <v>6294</v>
      </c>
      <c r="D21596" s="1" t="s">
        <v>6296</v>
      </c>
    </row>
    <row r="21597">
      <c r="A21597" s="1" t="s">
        <v>33292</v>
      </c>
      <c r="B21597" s="2" t="s">
        <v>33154</v>
      </c>
      <c r="C21597" s="1" t="s">
        <v>6294</v>
      </c>
      <c r="D21597" s="1" t="s">
        <v>6296</v>
      </c>
    </row>
    <row r="21598">
      <c r="A21598" s="1" t="s">
        <v>33293</v>
      </c>
      <c r="B21598" s="2" t="s">
        <v>33156</v>
      </c>
      <c r="C21598" s="1" t="s">
        <v>6294</v>
      </c>
      <c r="D21598" s="1" t="s">
        <v>6296</v>
      </c>
    </row>
    <row r="21599">
      <c r="A21599" s="1" t="s">
        <v>33294</v>
      </c>
      <c r="B21599" s="2" t="s">
        <v>33158</v>
      </c>
      <c r="C21599" s="1" t="s">
        <v>6294</v>
      </c>
      <c r="D21599" s="1" t="s">
        <v>6296</v>
      </c>
    </row>
    <row r="21600">
      <c r="A21600" s="1" t="s">
        <v>33295</v>
      </c>
      <c r="B21600" s="2" t="s">
        <v>33160</v>
      </c>
      <c r="C21600" s="1" t="s">
        <v>6294</v>
      </c>
      <c r="D21600" s="1" t="s">
        <v>6296</v>
      </c>
    </row>
    <row r="21601">
      <c r="A21601" s="1" t="s">
        <v>33296</v>
      </c>
      <c r="B21601" s="2" t="s">
        <v>33162</v>
      </c>
      <c r="C21601" s="1" t="s">
        <v>6294</v>
      </c>
      <c r="D21601" s="1" t="s">
        <v>6296</v>
      </c>
    </row>
    <row r="21602">
      <c r="A21602" s="1" t="s">
        <v>33297</v>
      </c>
      <c r="B21602" s="2" t="s">
        <v>33164</v>
      </c>
      <c r="C21602" s="1" t="s">
        <v>6294</v>
      </c>
      <c r="D21602" s="1" t="s">
        <v>6296</v>
      </c>
    </row>
    <row r="21603">
      <c r="A21603" s="1" t="s">
        <v>33298</v>
      </c>
      <c r="B21603" s="2" t="s">
        <v>33166</v>
      </c>
      <c r="C21603" s="1" t="s">
        <v>6294</v>
      </c>
      <c r="D21603" s="1" t="s">
        <v>6296</v>
      </c>
    </row>
    <row r="21604">
      <c r="A21604" s="1" t="s">
        <v>6299</v>
      </c>
      <c r="B21604" s="2" t="s">
        <v>7</v>
      </c>
      <c r="C21604" s="1" t="s">
        <v>6300</v>
      </c>
      <c r="D21604" s="1" t="s">
        <v>6302</v>
      </c>
    </row>
    <row r="21605">
      <c r="A21605" s="1" t="s">
        <v>33299</v>
      </c>
      <c r="B21605" s="2" t="s">
        <v>33148</v>
      </c>
      <c r="C21605" s="1" t="s">
        <v>6300</v>
      </c>
      <c r="D21605" s="1" t="s">
        <v>6302</v>
      </c>
    </row>
    <row r="21606">
      <c r="A21606" s="1" t="s">
        <v>33300</v>
      </c>
      <c r="B21606" s="2" t="s">
        <v>33150</v>
      </c>
      <c r="C21606" s="1" t="s">
        <v>6300</v>
      </c>
      <c r="D21606" s="1" t="s">
        <v>6302</v>
      </c>
    </row>
    <row r="21607">
      <c r="A21607" s="1" t="s">
        <v>33301</v>
      </c>
      <c r="B21607" s="2" t="s">
        <v>33152</v>
      </c>
      <c r="C21607" s="1" t="s">
        <v>6300</v>
      </c>
      <c r="D21607" s="1" t="s">
        <v>6302</v>
      </c>
    </row>
    <row r="21608">
      <c r="A21608" s="1" t="s">
        <v>33302</v>
      </c>
      <c r="B21608" s="2" t="s">
        <v>33154</v>
      </c>
      <c r="C21608" s="1" t="s">
        <v>6300</v>
      </c>
      <c r="D21608" s="1" t="s">
        <v>6302</v>
      </c>
    </row>
    <row r="21609">
      <c r="A21609" s="1" t="s">
        <v>33303</v>
      </c>
      <c r="B21609" s="2" t="s">
        <v>33156</v>
      </c>
      <c r="C21609" s="1" t="s">
        <v>6300</v>
      </c>
      <c r="D21609" s="1" t="s">
        <v>6302</v>
      </c>
    </row>
    <row r="21610">
      <c r="A21610" s="1" t="s">
        <v>33304</v>
      </c>
      <c r="B21610" s="2" t="s">
        <v>33158</v>
      </c>
      <c r="C21610" s="1" t="s">
        <v>6300</v>
      </c>
      <c r="D21610" s="1" t="s">
        <v>6302</v>
      </c>
    </row>
    <row r="21611">
      <c r="A21611" s="1" t="s">
        <v>33305</v>
      </c>
      <c r="B21611" s="2" t="s">
        <v>33160</v>
      </c>
      <c r="C21611" s="1" t="s">
        <v>6300</v>
      </c>
      <c r="D21611" s="1" t="s">
        <v>6302</v>
      </c>
    </row>
    <row r="21612">
      <c r="A21612" s="1" t="s">
        <v>33306</v>
      </c>
      <c r="B21612" s="2" t="s">
        <v>33162</v>
      </c>
      <c r="C21612" s="1" t="s">
        <v>6300</v>
      </c>
      <c r="D21612" s="1" t="s">
        <v>6302</v>
      </c>
    </row>
    <row r="21613">
      <c r="A21613" s="1" t="s">
        <v>33307</v>
      </c>
      <c r="B21613" s="2" t="s">
        <v>33164</v>
      </c>
      <c r="C21613" s="1" t="s">
        <v>6300</v>
      </c>
      <c r="D21613" s="1" t="s">
        <v>6302</v>
      </c>
    </row>
    <row r="21614">
      <c r="A21614" s="1" t="s">
        <v>33308</v>
      </c>
      <c r="B21614" s="2" t="s">
        <v>33166</v>
      </c>
      <c r="C21614" s="1" t="s">
        <v>6300</v>
      </c>
      <c r="D21614" s="1" t="s">
        <v>6302</v>
      </c>
    </row>
    <row r="21615">
      <c r="A21615" s="1" t="s">
        <v>6306</v>
      </c>
      <c r="B21615" s="2" t="s">
        <v>7</v>
      </c>
      <c r="C21615" s="1" t="s">
        <v>6307</v>
      </c>
      <c r="D21615" s="1" t="s">
        <v>6308</v>
      </c>
    </row>
    <row r="21616">
      <c r="A21616" s="1" t="s">
        <v>33309</v>
      </c>
      <c r="B21616" s="2" t="s">
        <v>33148</v>
      </c>
      <c r="C21616" s="1" t="s">
        <v>6307</v>
      </c>
      <c r="D21616" s="1" t="s">
        <v>6308</v>
      </c>
    </row>
    <row r="21617">
      <c r="A21617" s="1" t="s">
        <v>33310</v>
      </c>
      <c r="B21617" s="2" t="s">
        <v>33150</v>
      </c>
      <c r="C21617" s="1" t="s">
        <v>6307</v>
      </c>
      <c r="D21617" s="1" t="s">
        <v>6308</v>
      </c>
    </row>
    <row r="21618">
      <c r="A21618" s="1" t="s">
        <v>33311</v>
      </c>
      <c r="B21618" s="2" t="s">
        <v>33152</v>
      </c>
      <c r="C21618" s="1" t="s">
        <v>6307</v>
      </c>
      <c r="D21618" s="1" t="s">
        <v>6308</v>
      </c>
    </row>
    <row r="21619">
      <c r="A21619" s="1" t="s">
        <v>33312</v>
      </c>
      <c r="B21619" s="2" t="s">
        <v>33154</v>
      </c>
      <c r="C21619" s="1" t="s">
        <v>6307</v>
      </c>
      <c r="D21619" s="1" t="s">
        <v>6308</v>
      </c>
    </row>
    <row r="21620">
      <c r="A21620" s="1" t="s">
        <v>33313</v>
      </c>
      <c r="B21620" s="2" t="s">
        <v>33156</v>
      </c>
      <c r="C21620" s="1" t="s">
        <v>6307</v>
      </c>
      <c r="D21620" s="1" t="s">
        <v>6308</v>
      </c>
    </row>
    <row r="21621">
      <c r="A21621" s="1" t="s">
        <v>33314</v>
      </c>
      <c r="B21621" s="2" t="s">
        <v>33158</v>
      </c>
      <c r="C21621" s="1" t="s">
        <v>6307</v>
      </c>
      <c r="D21621" s="1" t="s">
        <v>6308</v>
      </c>
    </row>
    <row r="21622">
      <c r="A21622" s="1" t="s">
        <v>33315</v>
      </c>
      <c r="B21622" s="2" t="s">
        <v>33160</v>
      </c>
      <c r="C21622" s="1" t="s">
        <v>6307</v>
      </c>
      <c r="D21622" s="1" t="s">
        <v>6308</v>
      </c>
    </row>
    <row r="21623">
      <c r="A21623" s="1" t="s">
        <v>33316</v>
      </c>
      <c r="B21623" s="2" t="s">
        <v>33162</v>
      </c>
      <c r="C21623" s="1" t="s">
        <v>6307</v>
      </c>
      <c r="D21623" s="1" t="s">
        <v>6308</v>
      </c>
    </row>
    <row r="21624">
      <c r="A21624" s="1" t="s">
        <v>33317</v>
      </c>
      <c r="B21624" s="2" t="s">
        <v>33164</v>
      </c>
      <c r="C21624" s="1" t="s">
        <v>6307</v>
      </c>
      <c r="D21624" s="1" t="s">
        <v>6308</v>
      </c>
    </row>
    <row r="21625">
      <c r="A21625" s="1" t="s">
        <v>33318</v>
      </c>
      <c r="B21625" s="2" t="s">
        <v>33166</v>
      </c>
      <c r="C21625" s="1" t="s">
        <v>6307</v>
      </c>
      <c r="D21625" s="1" t="s">
        <v>6308</v>
      </c>
    </row>
    <row r="21626">
      <c r="A21626" s="1" t="s">
        <v>6313</v>
      </c>
      <c r="B21626" s="2" t="s">
        <v>7</v>
      </c>
      <c r="C21626" s="1" t="s">
        <v>6314</v>
      </c>
      <c r="D21626" s="1" t="s">
        <v>6316</v>
      </c>
    </row>
    <row r="21627">
      <c r="A21627" s="1" t="s">
        <v>33319</v>
      </c>
      <c r="B21627" s="2" t="s">
        <v>33148</v>
      </c>
      <c r="C21627" s="1" t="s">
        <v>6314</v>
      </c>
      <c r="D21627" s="1" t="s">
        <v>6316</v>
      </c>
    </row>
    <row r="21628">
      <c r="A21628" s="1" t="s">
        <v>33320</v>
      </c>
      <c r="B21628" s="2" t="s">
        <v>33150</v>
      </c>
      <c r="C21628" s="1" t="s">
        <v>6314</v>
      </c>
      <c r="D21628" s="1" t="s">
        <v>6316</v>
      </c>
    </row>
    <row r="21629">
      <c r="A21629" s="1" t="s">
        <v>33321</v>
      </c>
      <c r="B21629" s="2" t="s">
        <v>33152</v>
      </c>
      <c r="C21629" s="1" t="s">
        <v>6314</v>
      </c>
      <c r="D21629" s="1" t="s">
        <v>6316</v>
      </c>
    </row>
    <row r="21630">
      <c r="A21630" s="1" t="s">
        <v>33322</v>
      </c>
      <c r="B21630" s="2" t="s">
        <v>33154</v>
      </c>
      <c r="C21630" s="1" t="s">
        <v>6314</v>
      </c>
      <c r="D21630" s="1" t="s">
        <v>6316</v>
      </c>
    </row>
    <row r="21631">
      <c r="A21631" s="1" t="s">
        <v>33323</v>
      </c>
      <c r="B21631" s="2" t="s">
        <v>33156</v>
      </c>
      <c r="C21631" s="1" t="s">
        <v>6314</v>
      </c>
      <c r="D21631" s="1" t="s">
        <v>6316</v>
      </c>
    </row>
    <row r="21632">
      <c r="A21632" s="1" t="s">
        <v>33324</v>
      </c>
      <c r="B21632" s="2" t="s">
        <v>33158</v>
      </c>
      <c r="C21632" s="1" t="s">
        <v>6314</v>
      </c>
      <c r="D21632" s="1" t="s">
        <v>6316</v>
      </c>
    </row>
    <row r="21633">
      <c r="A21633" s="1" t="s">
        <v>33325</v>
      </c>
      <c r="B21633" s="2" t="s">
        <v>33160</v>
      </c>
      <c r="C21633" s="1" t="s">
        <v>6314</v>
      </c>
      <c r="D21633" s="1" t="s">
        <v>6316</v>
      </c>
    </row>
    <row r="21634">
      <c r="A21634" s="1" t="s">
        <v>33326</v>
      </c>
      <c r="B21634" s="2" t="s">
        <v>33162</v>
      </c>
      <c r="C21634" s="1" t="s">
        <v>6314</v>
      </c>
      <c r="D21634" s="1" t="s">
        <v>6316</v>
      </c>
    </row>
    <row r="21635">
      <c r="A21635" s="1" t="s">
        <v>33327</v>
      </c>
      <c r="B21635" s="2" t="s">
        <v>33164</v>
      </c>
      <c r="C21635" s="1" t="s">
        <v>6314</v>
      </c>
      <c r="D21635" s="1" t="s">
        <v>6316</v>
      </c>
    </row>
    <row r="21636">
      <c r="A21636" s="1" t="s">
        <v>33328</v>
      </c>
      <c r="B21636" s="2" t="s">
        <v>33166</v>
      </c>
      <c r="C21636" s="1" t="s">
        <v>6314</v>
      </c>
      <c r="D21636" s="1" t="s">
        <v>6316</v>
      </c>
    </row>
    <row r="21637">
      <c r="A21637" s="1" t="s">
        <v>6236</v>
      </c>
      <c r="B21637" s="2" t="s">
        <v>7</v>
      </c>
      <c r="C21637" s="1" t="s">
        <v>6237</v>
      </c>
      <c r="D21637" s="1" t="s">
        <v>6239</v>
      </c>
    </row>
    <row r="21638">
      <c r="A21638" s="1" t="s">
        <v>33329</v>
      </c>
      <c r="B21638" s="2" t="s">
        <v>32908</v>
      </c>
      <c r="C21638" s="1" t="s">
        <v>6237</v>
      </c>
      <c r="D21638" s="1" t="s">
        <v>6239</v>
      </c>
    </row>
    <row r="21639">
      <c r="A21639" s="1" t="s">
        <v>33330</v>
      </c>
      <c r="B21639" s="2" t="s">
        <v>33331</v>
      </c>
      <c r="C21639" s="1" t="s">
        <v>6237</v>
      </c>
      <c r="D21639" s="1" t="s">
        <v>6239</v>
      </c>
    </row>
    <row r="21640">
      <c r="A21640" s="1" t="s">
        <v>33332</v>
      </c>
      <c r="B21640" s="2" t="s">
        <v>33333</v>
      </c>
      <c r="C21640" s="1" t="s">
        <v>6237</v>
      </c>
      <c r="D21640" s="1" t="s">
        <v>6239</v>
      </c>
    </row>
    <row r="21641">
      <c r="A21641" s="1" t="s">
        <v>33334</v>
      </c>
      <c r="B21641" s="2" t="s">
        <v>33335</v>
      </c>
      <c r="C21641" s="1" t="s">
        <v>6237</v>
      </c>
      <c r="D21641" s="1" t="s">
        <v>6239</v>
      </c>
    </row>
    <row r="21642">
      <c r="A21642" s="1" t="s">
        <v>33336</v>
      </c>
      <c r="B21642" s="2" t="s">
        <v>33337</v>
      </c>
      <c r="C21642" s="1" t="s">
        <v>6237</v>
      </c>
      <c r="D21642" s="1" t="s">
        <v>6239</v>
      </c>
    </row>
    <row r="21643">
      <c r="A21643" s="1" t="s">
        <v>33338</v>
      </c>
      <c r="B21643" s="2" t="s">
        <v>33339</v>
      </c>
      <c r="C21643" s="1" t="s">
        <v>6237</v>
      </c>
      <c r="D21643" s="1" t="s">
        <v>6239</v>
      </c>
    </row>
    <row r="21644">
      <c r="A21644" s="1" t="s">
        <v>33340</v>
      </c>
      <c r="B21644" s="2" t="s">
        <v>33341</v>
      </c>
      <c r="C21644" s="1" t="s">
        <v>6237</v>
      </c>
      <c r="D21644" s="1" t="s">
        <v>6239</v>
      </c>
    </row>
    <row r="21645">
      <c r="A21645" s="1" t="s">
        <v>33342</v>
      </c>
      <c r="B21645" s="2" t="s">
        <v>33343</v>
      </c>
      <c r="C21645" s="1" t="s">
        <v>6237</v>
      </c>
      <c r="D21645" s="1" t="s">
        <v>6239</v>
      </c>
    </row>
    <row r="21646">
      <c r="A21646" s="1" t="s">
        <v>33344</v>
      </c>
      <c r="B21646" s="2" t="s">
        <v>33345</v>
      </c>
      <c r="C21646" s="1" t="s">
        <v>6237</v>
      </c>
      <c r="D21646" s="1" t="s">
        <v>6239</v>
      </c>
    </row>
    <row r="21647">
      <c r="A21647" s="1" t="s">
        <v>33346</v>
      </c>
      <c r="B21647" s="2" t="s">
        <v>33347</v>
      </c>
      <c r="C21647" s="1" t="s">
        <v>6237</v>
      </c>
      <c r="D21647" s="1" t="s">
        <v>6239</v>
      </c>
    </row>
    <row r="21648">
      <c r="A21648" s="1" t="s">
        <v>33348</v>
      </c>
      <c r="B21648" s="2" t="s">
        <v>33349</v>
      </c>
      <c r="C21648" s="1" t="s">
        <v>6237</v>
      </c>
      <c r="D21648" s="1" t="s">
        <v>6239</v>
      </c>
    </row>
    <row r="21649">
      <c r="A21649" s="1" t="s">
        <v>33350</v>
      </c>
      <c r="B21649" s="2" t="s">
        <v>32924</v>
      </c>
      <c r="C21649" s="1" t="s">
        <v>6237</v>
      </c>
      <c r="D21649" s="1" t="s">
        <v>6239</v>
      </c>
    </row>
    <row r="21650">
      <c r="A21650" s="1" t="s">
        <v>33351</v>
      </c>
      <c r="B21650" s="2" t="s">
        <v>33352</v>
      </c>
      <c r="C21650" s="1" t="s">
        <v>6237</v>
      </c>
      <c r="D21650" s="1" t="s">
        <v>6239</v>
      </c>
    </row>
    <row r="21651">
      <c r="A21651" s="1" t="s">
        <v>33353</v>
      </c>
      <c r="B21651" s="2" t="s">
        <v>33354</v>
      </c>
      <c r="C21651" s="1" t="s">
        <v>6237</v>
      </c>
      <c r="D21651" s="1" t="s">
        <v>6239</v>
      </c>
    </row>
    <row r="21652">
      <c r="A21652" s="1" t="s">
        <v>33355</v>
      </c>
      <c r="B21652" s="2" t="s">
        <v>33356</v>
      </c>
      <c r="C21652" s="1" t="s">
        <v>6237</v>
      </c>
      <c r="D21652" s="1" t="s">
        <v>6239</v>
      </c>
    </row>
    <row r="21653">
      <c r="A21653" s="1" t="s">
        <v>33357</v>
      </c>
      <c r="B21653" s="2" t="s">
        <v>33358</v>
      </c>
      <c r="C21653" s="1" t="s">
        <v>6237</v>
      </c>
      <c r="D21653" s="1" t="s">
        <v>6239</v>
      </c>
    </row>
    <row r="21654">
      <c r="A21654" s="1" t="s">
        <v>33359</v>
      </c>
      <c r="B21654" s="2" t="s">
        <v>33360</v>
      </c>
      <c r="C21654" s="1" t="s">
        <v>6237</v>
      </c>
      <c r="D21654" s="1" t="s">
        <v>6239</v>
      </c>
    </row>
    <row r="21655">
      <c r="A21655" s="1" t="s">
        <v>33361</v>
      </c>
      <c r="B21655" s="2" t="s">
        <v>33362</v>
      </c>
      <c r="C21655" s="1" t="s">
        <v>6237</v>
      </c>
      <c r="D21655" s="1" t="s">
        <v>6239</v>
      </c>
    </row>
    <row r="21656">
      <c r="A21656" s="1" t="s">
        <v>33363</v>
      </c>
      <c r="B21656" s="2" t="s">
        <v>33364</v>
      </c>
      <c r="C21656" s="1" t="s">
        <v>6237</v>
      </c>
      <c r="D21656" s="1" t="s">
        <v>6239</v>
      </c>
    </row>
    <row r="21657">
      <c r="A21657" s="1" t="s">
        <v>33365</v>
      </c>
      <c r="B21657" s="2" t="s">
        <v>33366</v>
      </c>
      <c r="C21657" s="1" t="s">
        <v>6237</v>
      </c>
      <c r="D21657" s="1" t="s">
        <v>6239</v>
      </c>
    </row>
    <row r="21658">
      <c r="A21658" s="1" t="s">
        <v>33367</v>
      </c>
      <c r="B21658" s="2" t="s">
        <v>33368</v>
      </c>
      <c r="C21658" s="1" t="s">
        <v>6237</v>
      </c>
      <c r="D21658" s="1" t="s">
        <v>6239</v>
      </c>
    </row>
    <row r="21659">
      <c r="A21659" s="1" t="s">
        <v>33369</v>
      </c>
      <c r="B21659" s="2" t="s">
        <v>33370</v>
      </c>
      <c r="C21659" s="1" t="s">
        <v>6237</v>
      </c>
      <c r="D21659" s="1" t="s">
        <v>6239</v>
      </c>
    </row>
    <row r="21660">
      <c r="A21660" s="1" t="s">
        <v>6320</v>
      </c>
      <c r="B21660" s="2" t="s">
        <v>7</v>
      </c>
      <c r="C21660" s="1" t="s">
        <v>6322</v>
      </c>
      <c r="D21660" s="1" t="s">
        <v>6323</v>
      </c>
    </row>
    <row r="21661">
      <c r="A21661" s="1" t="s">
        <v>33371</v>
      </c>
      <c r="B21661" s="2" t="s">
        <v>32702</v>
      </c>
      <c r="C21661" s="1" t="s">
        <v>6322</v>
      </c>
      <c r="D21661" s="1" t="s">
        <v>6323</v>
      </c>
    </row>
    <row r="21662">
      <c r="A21662" s="1" t="s">
        <v>33372</v>
      </c>
      <c r="B21662" s="2" t="s">
        <v>33373</v>
      </c>
      <c r="C21662" s="1" t="s">
        <v>6322</v>
      </c>
      <c r="D21662" s="1" t="s">
        <v>6323</v>
      </c>
    </row>
    <row r="21663">
      <c r="A21663" s="1" t="s">
        <v>33374</v>
      </c>
      <c r="B21663" s="2" t="s">
        <v>33375</v>
      </c>
      <c r="C21663" s="1" t="s">
        <v>6322</v>
      </c>
      <c r="D21663" s="1" t="s">
        <v>6323</v>
      </c>
    </row>
    <row r="21664">
      <c r="A21664" s="1" t="s">
        <v>33376</v>
      </c>
      <c r="B21664" s="2" t="s">
        <v>33377</v>
      </c>
      <c r="C21664" s="1" t="s">
        <v>6322</v>
      </c>
      <c r="D21664" s="1" t="s">
        <v>6323</v>
      </c>
    </row>
    <row r="21665">
      <c r="A21665" s="1" t="s">
        <v>33378</v>
      </c>
      <c r="B21665" s="2" t="s">
        <v>33379</v>
      </c>
      <c r="C21665" s="1" t="s">
        <v>6322</v>
      </c>
      <c r="D21665" s="1" t="s">
        <v>6323</v>
      </c>
    </row>
    <row r="21666">
      <c r="A21666" s="1" t="s">
        <v>33380</v>
      </c>
      <c r="B21666" s="2" t="s">
        <v>33381</v>
      </c>
      <c r="C21666" s="1" t="s">
        <v>6322</v>
      </c>
      <c r="D21666" s="1" t="s">
        <v>6323</v>
      </c>
    </row>
    <row r="21667">
      <c r="A21667" s="1" t="s">
        <v>33382</v>
      </c>
      <c r="B21667" s="2" t="s">
        <v>32722</v>
      </c>
      <c r="C21667" s="1" t="s">
        <v>6322</v>
      </c>
      <c r="D21667" s="1" t="s">
        <v>6323</v>
      </c>
    </row>
    <row r="21668">
      <c r="A21668" s="1" t="s">
        <v>33383</v>
      </c>
      <c r="B21668" s="2" t="s">
        <v>33384</v>
      </c>
      <c r="C21668" s="1" t="s">
        <v>6322</v>
      </c>
      <c r="D21668" s="1" t="s">
        <v>6323</v>
      </c>
    </row>
    <row r="21669">
      <c r="A21669" s="1" t="s">
        <v>33385</v>
      </c>
      <c r="B21669" s="2" t="s">
        <v>33386</v>
      </c>
      <c r="C21669" s="1" t="s">
        <v>6322</v>
      </c>
      <c r="D21669" s="1" t="s">
        <v>6323</v>
      </c>
    </row>
    <row r="21670">
      <c r="A21670" s="1" t="s">
        <v>33387</v>
      </c>
      <c r="B21670" s="2" t="s">
        <v>33388</v>
      </c>
      <c r="C21670" s="1" t="s">
        <v>6322</v>
      </c>
      <c r="D21670" s="1" t="s">
        <v>6323</v>
      </c>
    </row>
    <row r="21671">
      <c r="A21671" s="1" t="s">
        <v>33389</v>
      </c>
      <c r="B21671" s="2" t="s">
        <v>33390</v>
      </c>
      <c r="C21671" s="1" t="s">
        <v>6322</v>
      </c>
      <c r="D21671" s="1" t="s">
        <v>6323</v>
      </c>
    </row>
    <row r="21672">
      <c r="A21672" s="1" t="s">
        <v>33391</v>
      </c>
      <c r="B21672" s="2" t="s">
        <v>33392</v>
      </c>
      <c r="C21672" s="1" t="s">
        <v>6322</v>
      </c>
      <c r="D21672" s="1" t="s">
        <v>6323</v>
      </c>
    </row>
    <row r="21673">
      <c r="A21673" s="1" t="s">
        <v>6330</v>
      </c>
      <c r="B21673" s="2" t="s">
        <v>7</v>
      </c>
      <c r="C21673" s="1" t="s">
        <v>6332</v>
      </c>
      <c r="D21673" s="1" t="s">
        <v>6334</v>
      </c>
    </row>
    <row r="21674">
      <c r="A21674" s="1" t="s">
        <v>33393</v>
      </c>
      <c r="B21674" s="2" t="s">
        <v>33394</v>
      </c>
      <c r="C21674" s="1" t="s">
        <v>6332</v>
      </c>
      <c r="D21674" s="1" t="s">
        <v>6334</v>
      </c>
    </row>
    <row r="21675">
      <c r="A21675" s="1" t="s">
        <v>33395</v>
      </c>
      <c r="B21675" s="2" t="s">
        <v>33396</v>
      </c>
      <c r="C21675" s="1" t="s">
        <v>6332</v>
      </c>
      <c r="D21675" s="1" t="s">
        <v>6334</v>
      </c>
    </row>
    <row r="21676">
      <c r="A21676" s="1" t="s">
        <v>33397</v>
      </c>
      <c r="B21676" s="2" t="s">
        <v>33398</v>
      </c>
      <c r="C21676" s="1" t="s">
        <v>6332</v>
      </c>
      <c r="D21676" s="1" t="s">
        <v>6334</v>
      </c>
    </row>
    <row r="21677">
      <c r="A21677" s="1" t="s">
        <v>33399</v>
      </c>
      <c r="B21677" s="2" t="s">
        <v>33400</v>
      </c>
      <c r="C21677" s="1" t="s">
        <v>6332</v>
      </c>
      <c r="D21677" s="1" t="s">
        <v>6334</v>
      </c>
    </row>
    <row r="21678">
      <c r="A21678" s="1" t="s">
        <v>33401</v>
      </c>
      <c r="B21678" s="2" t="s">
        <v>33402</v>
      </c>
      <c r="C21678" s="1" t="s">
        <v>6332</v>
      </c>
      <c r="D21678" s="1" t="s">
        <v>6334</v>
      </c>
    </row>
    <row r="21679">
      <c r="A21679" s="1" t="s">
        <v>33403</v>
      </c>
      <c r="B21679" s="2" t="s">
        <v>33404</v>
      </c>
      <c r="C21679" s="1" t="s">
        <v>6332</v>
      </c>
      <c r="D21679" s="1" t="s">
        <v>6334</v>
      </c>
    </row>
    <row r="21680">
      <c r="A21680" s="1" t="s">
        <v>33405</v>
      </c>
      <c r="B21680" s="2" t="s">
        <v>33406</v>
      </c>
      <c r="C21680" s="1" t="s">
        <v>6332</v>
      </c>
      <c r="D21680" s="1" t="s">
        <v>6334</v>
      </c>
    </row>
    <row r="21681">
      <c r="A21681" s="1" t="s">
        <v>33407</v>
      </c>
      <c r="B21681" s="2" t="s">
        <v>33408</v>
      </c>
      <c r="C21681" s="1" t="s">
        <v>6332</v>
      </c>
      <c r="D21681" s="1" t="s">
        <v>6334</v>
      </c>
    </row>
    <row r="21682">
      <c r="A21682" s="1" t="s">
        <v>33409</v>
      </c>
      <c r="B21682" s="2" t="s">
        <v>33410</v>
      </c>
      <c r="C21682" s="1" t="s">
        <v>6332</v>
      </c>
      <c r="D21682" s="1" t="s">
        <v>6334</v>
      </c>
    </row>
    <row r="21683">
      <c r="A21683" s="1" t="s">
        <v>33411</v>
      </c>
      <c r="B21683" s="2" t="s">
        <v>33412</v>
      </c>
      <c r="C21683" s="1" t="s">
        <v>6332</v>
      </c>
      <c r="D21683" s="1" t="s">
        <v>6334</v>
      </c>
    </row>
    <row r="21684">
      <c r="A21684" s="1" t="s">
        <v>6339</v>
      </c>
      <c r="B21684" s="2" t="s">
        <v>6340</v>
      </c>
      <c r="C21684" s="1" t="s">
        <v>6342</v>
      </c>
      <c r="D21684" s="1" t="s">
        <v>6344</v>
      </c>
    </row>
    <row r="21685">
      <c r="A21685" s="1" t="s">
        <v>6349</v>
      </c>
      <c r="B21685" s="2" t="s">
        <v>7</v>
      </c>
      <c r="C21685" s="1" t="s">
        <v>6350</v>
      </c>
      <c r="D21685" s="1" t="s">
        <v>6352</v>
      </c>
    </row>
    <row r="21686">
      <c r="A21686" s="1" t="s">
        <v>33413</v>
      </c>
      <c r="B21686" s="2" t="s">
        <v>32702</v>
      </c>
      <c r="C21686" s="1" t="s">
        <v>6350</v>
      </c>
      <c r="D21686" s="1" t="s">
        <v>6352</v>
      </c>
    </row>
    <row r="21687">
      <c r="A21687" s="1" t="s">
        <v>33414</v>
      </c>
      <c r="B21687" s="2" t="s">
        <v>33415</v>
      </c>
      <c r="C21687" s="1" t="s">
        <v>6350</v>
      </c>
      <c r="D21687" s="1" t="s">
        <v>6352</v>
      </c>
    </row>
    <row r="21688">
      <c r="A21688" s="1" t="s">
        <v>33416</v>
      </c>
      <c r="B21688" s="2" t="s">
        <v>33417</v>
      </c>
      <c r="C21688" s="1" t="s">
        <v>6350</v>
      </c>
      <c r="D21688" s="1" t="s">
        <v>6352</v>
      </c>
    </row>
    <row r="21689">
      <c r="A21689" s="1" t="s">
        <v>33418</v>
      </c>
      <c r="B21689" s="2" t="s">
        <v>33419</v>
      </c>
      <c r="C21689" s="1" t="s">
        <v>6350</v>
      </c>
      <c r="D21689" s="1" t="s">
        <v>6352</v>
      </c>
    </row>
    <row r="21690">
      <c r="A21690" s="1" t="s">
        <v>33420</v>
      </c>
      <c r="B21690" s="2" t="s">
        <v>33421</v>
      </c>
      <c r="C21690" s="1" t="s">
        <v>6350</v>
      </c>
      <c r="D21690" s="1" t="s">
        <v>6352</v>
      </c>
    </row>
    <row r="21691">
      <c r="A21691" s="1" t="s">
        <v>33422</v>
      </c>
      <c r="B21691" s="2" t="s">
        <v>33423</v>
      </c>
      <c r="C21691" s="1" t="s">
        <v>6350</v>
      </c>
      <c r="D21691" s="1" t="s">
        <v>6352</v>
      </c>
    </row>
    <row r="21692">
      <c r="A21692" s="1" t="s">
        <v>33424</v>
      </c>
      <c r="B21692" s="2" t="s">
        <v>33425</v>
      </c>
      <c r="C21692" s="1" t="s">
        <v>6350</v>
      </c>
      <c r="D21692" s="1" t="s">
        <v>6352</v>
      </c>
    </row>
    <row r="21693">
      <c r="A21693" s="1" t="s">
        <v>33426</v>
      </c>
      <c r="B21693" s="2" t="s">
        <v>33427</v>
      </c>
      <c r="C21693" s="1" t="s">
        <v>6350</v>
      </c>
      <c r="D21693" s="1" t="s">
        <v>6352</v>
      </c>
    </row>
    <row r="21694">
      <c r="A21694" s="1" t="s">
        <v>33428</v>
      </c>
      <c r="B21694" s="2" t="s">
        <v>33429</v>
      </c>
      <c r="C21694" s="1" t="s">
        <v>6350</v>
      </c>
      <c r="D21694" s="1" t="s">
        <v>6352</v>
      </c>
    </row>
    <row r="21695">
      <c r="A21695" s="1" t="s">
        <v>33430</v>
      </c>
      <c r="B21695" s="2" t="s">
        <v>33431</v>
      </c>
      <c r="C21695" s="1" t="s">
        <v>6350</v>
      </c>
      <c r="D21695" s="1" t="s">
        <v>6352</v>
      </c>
    </row>
    <row r="21696">
      <c r="A21696" s="1" t="s">
        <v>33432</v>
      </c>
      <c r="B21696" s="2" t="s">
        <v>33433</v>
      </c>
      <c r="C21696" s="1" t="s">
        <v>6350</v>
      </c>
      <c r="D21696" s="1" t="s">
        <v>6352</v>
      </c>
    </row>
    <row r="21697">
      <c r="A21697" s="1" t="s">
        <v>33434</v>
      </c>
      <c r="B21697" s="2" t="s">
        <v>32722</v>
      </c>
      <c r="C21697" s="1" t="s">
        <v>6350</v>
      </c>
      <c r="D21697" s="1" t="s">
        <v>6352</v>
      </c>
    </row>
    <row r="21698">
      <c r="A21698" s="1" t="s">
        <v>33435</v>
      </c>
      <c r="B21698" s="2" t="s">
        <v>33436</v>
      </c>
      <c r="C21698" s="1" t="s">
        <v>6350</v>
      </c>
      <c r="D21698" s="1" t="s">
        <v>6352</v>
      </c>
    </row>
    <row r="21699">
      <c r="A21699" s="1" t="s">
        <v>33437</v>
      </c>
      <c r="B21699" s="2" t="s">
        <v>33438</v>
      </c>
      <c r="C21699" s="1" t="s">
        <v>6350</v>
      </c>
      <c r="D21699" s="1" t="s">
        <v>6352</v>
      </c>
    </row>
    <row r="21700">
      <c r="A21700" s="1" t="s">
        <v>33439</v>
      </c>
      <c r="B21700" s="2" t="s">
        <v>33440</v>
      </c>
      <c r="C21700" s="1" t="s">
        <v>6350</v>
      </c>
      <c r="D21700" s="1" t="s">
        <v>6352</v>
      </c>
    </row>
    <row r="21701">
      <c r="A21701" s="1" t="s">
        <v>33441</v>
      </c>
      <c r="B21701" s="2" t="s">
        <v>33442</v>
      </c>
      <c r="C21701" s="1" t="s">
        <v>6350</v>
      </c>
      <c r="D21701" s="1" t="s">
        <v>6352</v>
      </c>
    </row>
    <row r="21702">
      <c r="A21702" s="1" t="s">
        <v>33443</v>
      </c>
      <c r="B21702" s="2" t="s">
        <v>33444</v>
      </c>
      <c r="C21702" s="1" t="s">
        <v>6350</v>
      </c>
      <c r="D21702" s="1" t="s">
        <v>6352</v>
      </c>
    </row>
    <row r="21703">
      <c r="A21703" s="1" t="s">
        <v>33445</v>
      </c>
      <c r="B21703" s="2" t="s">
        <v>33446</v>
      </c>
      <c r="C21703" s="1" t="s">
        <v>6350</v>
      </c>
      <c r="D21703" s="1" t="s">
        <v>6352</v>
      </c>
    </row>
    <row r="21704">
      <c r="A21704" s="1" t="s">
        <v>33447</v>
      </c>
      <c r="B21704" s="2" t="s">
        <v>33448</v>
      </c>
      <c r="C21704" s="1" t="s">
        <v>6350</v>
      </c>
      <c r="D21704" s="1" t="s">
        <v>6352</v>
      </c>
    </row>
    <row r="21705">
      <c r="A21705" s="1" t="s">
        <v>33449</v>
      </c>
      <c r="B21705" s="2" t="s">
        <v>33450</v>
      </c>
      <c r="C21705" s="1" t="s">
        <v>6350</v>
      </c>
      <c r="D21705" s="1" t="s">
        <v>6352</v>
      </c>
    </row>
    <row r="21706">
      <c r="A21706" s="1" t="s">
        <v>33451</v>
      </c>
      <c r="B21706" s="2" t="s">
        <v>33452</v>
      </c>
      <c r="C21706" s="1" t="s">
        <v>6350</v>
      </c>
      <c r="D21706" s="1" t="s">
        <v>6352</v>
      </c>
    </row>
    <row r="21707">
      <c r="A21707" s="1" t="s">
        <v>33453</v>
      </c>
      <c r="B21707" s="2" t="s">
        <v>33454</v>
      </c>
      <c r="C21707" s="1" t="s">
        <v>6350</v>
      </c>
      <c r="D21707" s="1" t="s">
        <v>6352</v>
      </c>
    </row>
    <row r="21708">
      <c r="A21708" s="1" t="s">
        <v>6356</v>
      </c>
      <c r="B21708" s="2" t="s">
        <v>6358</v>
      </c>
      <c r="C21708" s="1" t="s">
        <v>6359</v>
      </c>
      <c r="D21708" s="1" t="s">
        <v>6360</v>
      </c>
    </row>
    <row r="21709">
      <c r="A21709" s="1" t="s">
        <v>33455</v>
      </c>
      <c r="B21709" s="2" t="s">
        <v>33456</v>
      </c>
      <c r="C21709" s="1" t="s">
        <v>6359</v>
      </c>
      <c r="D21709" s="1" t="s">
        <v>6360</v>
      </c>
    </row>
    <row r="21710">
      <c r="A21710" s="1" t="s">
        <v>33457</v>
      </c>
      <c r="B21710" s="2" t="s">
        <v>33458</v>
      </c>
      <c r="C21710" s="1" t="s">
        <v>6359</v>
      </c>
      <c r="D21710" s="1" t="s">
        <v>6360</v>
      </c>
    </row>
    <row r="21711">
      <c r="A21711" s="1" t="s">
        <v>6366</v>
      </c>
      <c r="B21711" s="2" t="s">
        <v>7</v>
      </c>
      <c r="C21711" s="1" t="s">
        <v>6368</v>
      </c>
      <c r="D21711" s="1" t="s">
        <v>6370</v>
      </c>
    </row>
    <row r="21712">
      <c r="A21712" s="1" t="s">
        <v>33459</v>
      </c>
      <c r="B21712" s="2" t="s">
        <v>32702</v>
      </c>
      <c r="C21712" s="1" t="s">
        <v>6368</v>
      </c>
      <c r="D21712" s="1" t="s">
        <v>6370</v>
      </c>
    </row>
    <row r="21713">
      <c r="A21713" s="1" t="s">
        <v>33460</v>
      </c>
      <c r="B21713" s="2" t="s">
        <v>33461</v>
      </c>
      <c r="C21713" s="1" t="s">
        <v>6368</v>
      </c>
      <c r="D21713" s="1" t="s">
        <v>6370</v>
      </c>
    </row>
    <row r="21714">
      <c r="A21714" s="1" t="s">
        <v>33462</v>
      </c>
      <c r="B21714" s="2" t="s">
        <v>33463</v>
      </c>
      <c r="C21714" s="1" t="s">
        <v>6368</v>
      </c>
      <c r="D21714" s="1" t="s">
        <v>6370</v>
      </c>
    </row>
    <row r="21715">
      <c r="A21715" s="1" t="s">
        <v>33464</v>
      </c>
      <c r="B21715" s="2" t="s">
        <v>33465</v>
      </c>
      <c r="C21715" s="1" t="s">
        <v>6368</v>
      </c>
      <c r="D21715" s="1" t="s">
        <v>6370</v>
      </c>
    </row>
    <row r="21716">
      <c r="A21716" s="1" t="s">
        <v>33466</v>
      </c>
      <c r="B21716" s="2" t="s">
        <v>33467</v>
      </c>
      <c r="C21716" s="1" t="s">
        <v>6368</v>
      </c>
      <c r="D21716" s="1" t="s">
        <v>6370</v>
      </c>
    </row>
    <row r="21717">
      <c r="A21717" s="1" t="s">
        <v>33468</v>
      </c>
      <c r="B21717" s="2" t="s">
        <v>33469</v>
      </c>
      <c r="C21717" s="1" t="s">
        <v>6368</v>
      </c>
      <c r="D21717" s="1" t="s">
        <v>6370</v>
      </c>
    </row>
    <row r="21718">
      <c r="A21718" s="1" t="s">
        <v>33470</v>
      </c>
      <c r="B21718" s="2" t="s">
        <v>33471</v>
      </c>
      <c r="C21718" s="1" t="s">
        <v>6368</v>
      </c>
      <c r="D21718" s="1" t="s">
        <v>6370</v>
      </c>
    </row>
    <row r="21719">
      <c r="A21719" s="1" t="s">
        <v>33472</v>
      </c>
      <c r="B21719" s="2" t="s">
        <v>32722</v>
      </c>
      <c r="C21719" s="1" t="s">
        <v>6368</v>
      </c>
      <c r="D21719" s="1" t="s">
        <v>6370</v>
      </c>
    </row>
    <row r="21720">
      <c r="A21720" s="1" t="s">
        <v>33473</v>
      </c>
      <c r="B21720" s="2" t="s">
        <v>33474</v>
      </c>
      <c r="C21720" s="1" t="s">
        <v>6368</v>
      </c>
      <c r="D21720" s="1" t="s">
        <v>6370</v>
      </c>
    </row>
    <row r="21721">
      <c r="A21721" s="1" t="s">
        <v>33475</v>
      </c>
      <c r="B21721" s="2" t="s">
        <v>33476</v>
      </c>
      <c r="C21721" s="1" t="s">
        <v>6368</v>
      </c>
      <c r="D21721" s="1" t="s">
        <v>6370</v>
      </c>
    </row>
    <row r="21722">
      <c r="A21722" s="1" t="s">
        <v>33477</v>
      </c>
      <c r="B21722" s="2" t="s">
        <v>33478</v>
      </c>
      <c r="C21722" s="1" t="s">
        <v>6368</v>
      </c>
      <c r="D21722" s="1" t="s">
        <v>6370</v>
      </c>
    </row>
    <row r="21723">
      <c r="A21723" s="1" t="s">
        <v>33479</v>
      </c>
      <c r="B21723" s="2" t="s">
        <v>33480</v>
      </c>
      <c r="C21723" s="1" t="s">
        <v>6368</v>
      </c>
      <c r="D21723" s="1" t="s">
        <v>6370</v>
      </c>
    </row>
    <row r="21724">
      <c r="A21724" s="1" t="s">
        <v>33481</v>
      </c>
      <c r="B21724" s="2" t="s">
        <v>33482</v>
      </c>
      <c r="C21724" s="1" t="s">
        <v>6368</v>
      </c>
      <c r="D21724" s="1" t="s">
        <v>6370</v>
      </c>
    </row>
    <row r="21725">
      <c r="A21725" s="1" t="s">
        <v>33483</v>
      </c>
      <c r="B21725" s="2" t="s">
        <v>33484</v>
      </c>
      <c r="C21725" s="1" t="s">
        <v>6368</v>
      </c>
      <c r="D21725" s="1" t="s">
        <v>6370</v>
      </c>
    </row>
    <row r="21726">
      <c r="A21726" s="1" t="s">
        <v>6376</v>
      </c>
      <c r="B21726" s="2" t="s">
        <v>6377</v>
      </c>
      <c r="C21726" s="1" t="s">
        <v>6379</v>
      </c>
      <c r="D21726" s="1" t="s">
        <v>6381</v>
      </c>
    </row>
    <row r="21727">
      <c r="A21727" s="1" t="s">
        <v>33485</v>
      </c>
      <c r="B21727" s="2" t="s">
        <v>33486</v>
      </c>
      <c r="C21727" s="1" t="s">
        <v>6379</v>
      </c>
      <c r="D21727" s="1" t="s">
        <v>6381</v>
      </c>
    </row>
    <row r="21728">
      <c r="A21728" s="1" t="s">
        <v>33487</v>
      </c>
      <c r="B21728" s="2" t="s">
        <v>33488</v>
      </c>
      <c r="C21728" s="1" t="s">
        <v>6379</v>
      </c>
      <c r="D21728" s="1" t="s">
        <v>6381</v>
      </c>
    </row>
    <row r="21729">
      <c r="A21729" s="1" t="s">
        <v>6386</v>
      </c>
      <c r="B21729" s="2" t="s">
        <v>7</v>
      </c>
      <c r="C21729" s="1" t="s">
        <v>6387</v>
      </c>
      <c r="D21729" s="1" t="s">
        <v>6388</v>
      </c>
    </row>
    <row r="21730">
      <c r="A21730" s="1" t="s">
        <v>33489</v>
      </c>
      <c r="B21730" s="2" t="s">
        <v>33490</v>
      </c>
      <c r="C21730" s="1" t="s">
        <v>6387</v>
      </c>
      <c r="D21730" s="1" t="s">
        <v>6388</v>
      </c>
    </row>
    <row r="21731">
      <c r="A21731" s="1" t="s">
        <v>33491</v>
      </c>
      <c r="B21731" s="2" t="s">
        <v>33492</v>
      </c>
      <c r="C21731" s="1" t="s">
        <v>6387</v>
      </c>
      <c r="D21731" s="1" t="s">
        <v>6388</v>
      </c>
    </row>
    <row r="21732">
      <c r="A21732" s="1" t="s">
        <v>33493</v>
      </c>
      <c r="B21732" s="2" t="s">
        <v>33494</v>
      </c>
      <c r="C21732" s="1" t="s">
        <v>6387</v>
      </c>
      <c r="D21732" s="1" t="s">
        <v>6388</v>
      </c>
    </row>
    <row r="21733">
      <c r="A21733" s="1" t="s">
        <v>33495</v>
      </c>
      <c r="B21733" s="2" t="s">
        <v>33496</v>
      </c>
      <c r="C21733" s="1" t="s">
        <v>6387</v>
      </c>
      <c r="D21733" s="1" t="s">
        <v>6388</v>
      </c>
    </row>
    <row r="21734">
      <c r="A21734" s="1" t="s">
        <v>33497</v>
      </c>
      <c r="B21734" s="2" t="s">
        <v>33498</v>
      </c>
      <c r="C21734" s="1" t="s">
        <v>6387</v>
      </c>
      <c r="D21734" s="1" t="s">
        <v>6388</v>
      </c>
    </row>
    <row r="21735">
      <c r="A21735" s="1" t="s">
        <v>33499</v>
      </c>
      <c r="B21735" s="2" t="s">
        <v>33500</v>
      </c>
      <c r="C21735" s="1" t="s">
        <v>6387</v>
      </c>
      <c r="D21735" s="1" t="s">
        <v>6388</v>
      </c>
    </row>
    <row r="21736">
      <c r="A21736" s="1" t="s">
        <v>33501</v>
      </c>
      <c r="B21736" s="2" t="s">
        <v>33502</v>
      </c>
      <c r="C21736" s="1" t="s">
        <v>6387</v>
      </c>
      <c r="D21736" s="1" t="s">
        <v>6388</v>
      </c>
    </row>
    <row r="21737">
      <c r="A21737" s="1" t="s">
        <v>33503</v>
      </c>
      <c r="B21737" s="2" t="s">
        <v>33504</v>
      </c>
      <c r="C21737" s="1" t="s">
        <v>6387</v>
      </c>
      <c r="D21737" s="1" t="s">
        <v>6388</v>
      </c>
    </row>
    <row r="21738">
      <c r="A21738" s="1" t="s">
        <v>33505</v>
      </c>
      <c r="B21738" s="2" t="s">
        <v>33506</v>
      </c>
      <c r="C21738" s="1" t="s">
        <v>6387</v>
      </c>
      <c r="D21738" s="1" t="s">
        <v>6388</v>
      </c>
    </row>
    <row r="21739">
      <c r="A21739" s="1" t="s">
        <v>6391</v>
      </c>
      <c r="B21739" s="2" t="s">
        <v>7</v>
      </c>
      <c r="C21739" s="1" t="s">
        <v>6393</v>
      </c>
      <c r="D21739" s="1" t="s">
        <v>6394</v>
      </c>
    </row>
    <row r="21740">
      <c r="A21740" s="1" t="s">
        <v>33507</v>
      </c>
      <c r="B21740" s="2" t="s">
        <v>33508</v>
      </c>
      <c r="C21740" s="1" t="s">
        <v>6393</v>
      </c>
      <c r="D21740" s="1" t="s">
        <v>6394</v>
      </c>
    </row>
    <row r="21741">
      <c r="A21741" s="1" t="s">
        <v>33509</v>
      </c>
      <c r="B21741" s="2" t="s">
        <v>33510</v>
      </c>
      <c r="C21741" s="1" t="s">
        <v>6393</v>
      </c>
      <c r="D21741" s="1" t="s">
        <v>6394</v>
      </c>
    </row>
    <row r="21742">
      <c r="A21742" s="1" t="s">
        <v>33511</v>
      </c>
      <c r="B21742" s="2" t="s">
        <v>33512</v>
      </c>
      <c r="C21742" s="1" t="s">
        <v>6393</v>
      </c>
      <c r="D21742" s="1" t="s">
        <v>6394</v>
      </c>
    </row>
    <row r="21743">
      <c r="A21743" s="1" t="s">
        <v>33513</v>
      </c>
      <c r="B21743" s="2" t="s">
        <v>33514</v>
      </c>
      <c r="C21743" s="1" t="s">
        <v>6393</v>
      </c>
      <c r="D21743" s="1" t="s">
        <v>6394</v>
      </c>
    </row>
    <row r="21744">
      <c r="A21744" s="1" t="s">
        <v>33515</v>
      </c>
      <c r="B21744" s="2" t="s">
        <v>33516</v>
      </c>
      <c r="C21744" s="1" t="s">
        <v>6393</v>
      </c>
      <c r="D21744" s="1" t="s">
        <v>6394</v>
      </c>
    </row>
    <row r="21745">
      <c r="A21745" s="1" t="s">
        <v>33517</v>
      </c>
      <c r="B21745" s="2" t="s">
        <v>33518</v>
      </c>
      <c r="C21745" s="1" t="s">
        <v>6393</v>
      </c>
      <c r="D21745" s="1" t="s">
        <v>6394</v>
      </c>
    </row>
    <row r="21746">
      <c r="A21746" s="1" t="s">
        <v>6398</v>
      </c>
      <c r="B21746" s="2" t="s">
        <v>7</v>
      </c>
      <c r="C21746" s="1" t="s">
        <v>6399</v>
      </c>
      <c r="D21746" s="1" t="s">
        <v>6400</v>
      </c>
    </row>
    <row r="21747">
      <c r="A21747" s="1" t="s">
        <v>33519</v>
      </c>
      <c r="B21747" s="2" t="s">
        <v>32702</v>
      </c>
      <c r="C21747" s="1" t="s">
        <v>6399</v>
      </c>
      <c r="D21747" s="1" t="s">
        <v>6400</v>
      </c>
    </row>
    <row r="21748">
      <c r="A21748" s="1" t="s">
        <v>33520</v>
      </c>
      <c r="B21748" s="2" t="s">
        <v>33521</v>
      </c>
      <c r="C21748" s="1" t="s">
        <v>6399</v>
      </c>
      <c r="D21748" s="1" t="s">
        <v>6400</v>
      </c>
    </row>
    <row r="21749">
      <c r="A21749" s="1" t="s">
        <v>33522</v>
      </c>
      <c r="B21749" s="2" t="s">
        <v>33523</v>
      </c>
      <c r="C21749" s="1" t="s">
        <v>6399</v>
      </c>
      <c r="D21749" s="1" t="s">
        <v>6400</v>
      </c>
    </row>
    <row r="21750">
      <c r="A21750" s="1" t="s">
        <v>33524</v>
      </c>
      <c r="B21750" s="2" t="s">
        <v>33525</v>
      </c>
      <c r="C21750" s="1" t="s">
        <v>6399</v>
      </c>
      <c r="D21750" s="1" t="s">
        <v>6400</v>
      </c>
    </row>
    <row r="21751">
      <c r="A21751" s="1" t="s">
        <v>33526</v>
      </c>
      <c r="B21751" s="2" t="s">
        <v>33527</v>
      </c>
      <c r="C21751" s="1" t="s">
        <v>6399</v>
      </c>
      <c r="D21751" s="1" t="s">
        <v>6400</v>
      </c>
    </row>
    <row r="21752">
      <c r="A21752" s="1" t="s">
        <v>33528</v>
      </c>
      <c r="B21752" s="2" t="s">
        <v>33529</v>
      </c>
      <c r="C21752" s="1" t="s">
        <v>6399</v>
      </c>
      <c r="D21752" s="1" t="s">
        <v>6400</v>
      </c>
    </row>
    <row r="21753">
      <c r="A21753" s="1" t="s">
        <v>33530</v>
      </c>
      <c r="B21753" s="2" t="s">
        <v>33531</v>
      </c>
      <c r="C21753" s="1" t="s">
        <v>6399</v>
      </c>
      <c r="D21753" s="1" t="s">
        <v>6400</v>
      </c>
    </row>
    <row r="21754">
      <c r="A21754" s="1" t="s">
        <v>33532</v>
      </c>
      <c r="B21754" s="2" t="s">
        <v>32722</v>
      </c>
      <c r="C21754" s="1" t="s">
        <v>6399</v>
      </c>
      <c r="D21754" s="1" t="s">
        <v>6400</v>
      </c>
    </row>
    <row r="21755">
      <c r="A21755" s="1" t="s">
        <v>33533</v>
      </c>
      <c r="B21755" s="2" t="s">
        <v>33534</v>
      </c>
      <c r="C21755" s="1" t="s">
        <v>6399</v>
      </c>
      <c r="D21755" s="1" t="s">
        <v>6400</v>
      </c>
    </row>
    <row r="21756">
      <c r="A21756" s="1" t="s">
        <v>33535</v>
      </c>
      <c r="B21756" s="2" t="s">
        <v>33536</v>
      </c>
      <c r="C21756" s="1" t="s">
        <v>6399</v>
      </c>
      <c r="D21756" s="1" t="s">
        <v>6400</v>
      </c>
    </row>
    <row r="21757">
      <c r="A21757" s="1" t="s">
        <v>33537</v>
      </c>
      <c r="B21757" s="2" t="s">
        <v>33538</v>
      </c>
      <c r="C21757" s="1" t="s">
        <v>6399</v>
      </c>
      <c r="D21757" s="1" t="s">
        <v>6400</v>
      </c>
    </row>
    <row r="21758">
      <c r="A21758" s="1" t="s">
        <v>33539</v>
      </c>
      <c r="B21758" s="2" t="s">
        <v>33540</v>
      </c>
      <c r="C21758" s="1" t="s">
        <v>6399</v>
      </c>
      <c r="D21758" s="1" t="s">
        <v>6400</v>
      </c>
    </row>
    <row r="21759">
      <c r="A21759" s="1" t="s">
        <v>33541</v>
      </c>
      <c r="B21759" s="2" t="s">
        <v>33542</v>
      </c>
      <c r="C21759" s="1" t="s">
        <v>6399</v>
      </c>
      <c r="D21759" s="1" t="s">
        <v>6400</v>
      </c>
    </row>
    <row r="21760">
      <c r="A21760" s="1" t="s">
        <v>33543</v>
      </c>
      <c r="B21760" s="2" t="s">
        <v>33544</v>
      </c>
      <c r="C21760" s="1" t="s">
        <v>6399</v>
      </c>
      <c r="D21760" s="1" t="s">
        <v>6400</v>
      </c>
    </row>
    <row r="21761">
      <c r="A21761" s="1" t="s">
        <v>6403</v>
      </c>
      <c r="B21761" s="2" t="s">
        <v>7</v>
      </c>
      <c r="C21761" s="1" t="s">
        <v>6405</v>
      </c>
      <c r="D21761" s="1" t="s">
        <v>6406</v>
      </c>
    </row>
    <row r="21762">
      <c r="A21762" s="1" t="s">
        <v>33545</v>
      </c>
      <c r="B21762" s="2" t="s">
        <v>32702</v>
      </c>
      <c r="C21762" s="1" t="s">
        <v>6405</v>
      </c>
      <c r="D21762" s="1" t="s">
        <v>6406</v>
      </c>
    </row>
    <row r="21763">
      <c r="A21763" s="1" t="s">
        <v>33546</v>
      </c>
      <c r="B21763" s="2" t="s">
        <v>33547</v>
      </c>
      <c r="C21763" s="1" t="s">
        <v>6405</v>
      </c>
      <c r="D21763" s="1" t="s">
        <v>6406</v>
      </c>
    </row>
    <row r="21764">
      <c r="A21764" s="1" t="s">
        <v>33548</v>
      </c>
      <c r="B21764" s="2" t="s">
        <v>33549</v>
      </c>
      <c r="C21764" s="1" t="s">
        <v>6405</v>
      </c>
      <c r="D21764" s="1" t="s">
        <v>6406</v>
      </c>
    </row>
    <row r="21765">
      <c r="A21765" s="1" t="s">
        <v>33550</v>
      </c>
      <c r="B21765" s="2" t="s">
        <v>33551</v>
      </c>
      <c r="C21765" s="1" t="s">
        <v>6405</v>
      </c>
      <c r="D21765" s="1" t="s">
        <v>6406</v>
      </c>
    </row>
    <row r="21766">
      <c r="A21766" s="1" t="s">
        <v>33552</v>
      </c>
      <c r="B21766" s="2" t="s">
        <v>33553</v>
      </c>
      <c r="C21766" s="1" t="s">
        <v>6405</v>
      </c>
      <c r="D21766" s="1" t="s">
        <v>6406</v>
      </c>
    </row>
    <row r="21767">
      <c r="A21767" s="1" t="s">
        <v>33554</v>
      </c>
      <c r="B21767" s="2" t="s">
        <v>33555</v>
      </c>
      <c r="C21767" s="1" t="s">
        <v>6405</v>
      </c>
      <c r="D21767" s="1" t="s">
        <v>6406</v>
      </c>
    </row>
    <row r="21768">
      <c r="A21768" s="1" t="s">
        <v>33556</v>
      </c>
      <c r="B21768" s="2" t="s">
        <v>33557</v>
      </c>
      <c r="C21768" s="1" t="s">
        <v>6405</v>
      </c>
      <c r="D21768" s="1" t="s">
        <v>6406</v>
      </c>
    </row>
    <row r="21769">
      <c r="A21769" s="1" t="s">
        <v>33558</v>
      </c>
      <c r="B21769" s="2" t="s">
        <v>33559</v>
      </c>
      <c r="C21769" s="1" t="s">
        <v>6405</v>
      </c>
      <c r="D21769" s="1" t="s">
        <v>6406</v>
      </c>
    </row>
    <row r="21770">
      <c r="A21770" s="1" t="s">
        <v>33560</v>
      </c>
      <c r="B21770" s="2" t="s">
        <v>33561</v>
      </c>
      <c r="C21770" s="1" t="s">
        <v>6405</v>
      </c>
      <c r="D21770" s="1" t="s">
        <v>6406</v>
      </c>
    </row>
    <row r="21771">
      <c r="A21771" s="1" t="s">
        <v>33562</v>
      </c>
      <c r="B21771" s="2" t="s">
        <v>32722</v>
      </c>
      <c r="C21771" s="1" t="s">
        <v>6405</v>
      </c>
      <c r="D21771" s="1" t="s">
        <v>6406</v>
      </c>
    </row>
    <row r="21772">
      <c r="A21772" s="1" t="s">
        <v>33563</v>
      </c>
      <c r="B21772" s="2" t="s">
        <v>33564</v>
      </c>
      <c r="C21772" s="1" t="s">
        <v>6405</v>
      </c>
      <c r="D21772" s="1" t="s">
        <v>6406</v>
      </c>
    </row>
    <row r="21773">
      <c r="A21773" s="1" t="s">
        <v>33565</v>
      </c>
      <c r="B21773" s="2" t="s">
        <v>33566</v>
      </c>
      <c r="C21773" s="1" t="s">
        <v>6405</v>
      </c>
      <c r="D21773" s="1" t="s">
        <v>6406</v>
      </c>
    </row>
    <row r="21774">
      <c r="A21774" s="1" t="s">
        <v>33567</v>
      </c>
      <c r="B21774" s="2" t="s">
        <v>33568</v>
      </c>
      <c r="C21774" s="1" t="s">
        <v>6405</v>
      </c>
      <c r="D21774" s="1" t="s">
        <v>6406</v>
      </c>
    </row>
    <row r="21775">
      <c r="A21775" s="1" t="s">
        <v>33569</v>
      </c>
      <c r="B21775" s="2" t="s">
        <v>33570</v>
      </c>
      <c r="C21775" s="1" t="s">
        <v>6405</v>
      </c>
      <c r="D21775" s="1" t="s">
        <v>6406</v>
      </c>
    </row>
    <row r="21776">
      <c r="A21776" s="1" t="s">
        <v>33571</v>
      </c>
      <c r="B21776" s="2" t="s">
        <v>33572</v>
      </c>
      <c r="C21776" s="1" t="s">
        <v>6405</v>
      </c>
      <c r="D21776" s="1" t="s">
        <v>6406</v>
      </c>
    </row>
    <row r="21777">
      <c r="A21777" s="1" t="s">
        <v>33573</v>
      </c>
      <c r="B21777" s="2" t="s">
        <v>33574</v>
      </c>
      <c r="C21777" s="1" t="s">
        <v>6405</v>
      </c>
      <c r="D21777" s="1" t="s">
        <v>6406</v>
      </c>
    </row>
    <row r="21778">
      <c r="A21778" s="1" t="s">
        <v>33575</v>
      </c>
      <c r="B21778" s="2" t="s">
        <v>33576</v>
      </c>
      <c r="C21778" s="1" t="s">
        <v>6405</v>
      </c>
      <c r="D21778" s="1" t="s">
        <v>6406</v>
      </c>
    </row>
    <row r="21779">
      <c r="A21779" s="1" t="s">
        <v>33577</v>
      </c>
      <c r="B21779" s="2" t="s">
        <v>33578</v>
      </c>
      <c r="C21779" s="1" t="s">
        <v>6405</v>
      </c>
      <c r="D21779" s="1" t="s">
        <v>6406</v>
      </c>
    </row>
    <row r="21780">
      <c r="A21780" s="1" t="s">
        <v>6409</v>
      </c>
      <c r="B21780" s="2" t="s">
        <v>7</v>
      </c>
      <c r="C21780" s="1" t="s">
        <v>6411</v>
      </c>
      <c r="D21780" s="1" t="s">
        <v>6412</v>
      </c>
    </row>
    <row r="21781">
      <c r="A21781" s="1" t="s">
        <v>33579</v>
      </c>
      <c r="B21781" s="2" t="s">
        <v>32702</v>
      </c>
      <c r="C21781" s="1" t="s">
        <v>6411</v>
      </c>
      <c r="D21781" s="1" t="s">
        <v>6412</v>
      </c>
    </row>
    <row r="21782">
      <c r="A21782" s="1" t="s">
        <v>33580</v>
      </c>
      <c r="B21782" s="2" t="s">
        <v>33581</v>
      </c>
      <c r="C21782" s="1" t="s">
        <v>6411</v>
      </c>
      <c r="D21782" s="1" t="s">
        <v>6412</v>
      </c>
    </row>
    <row r="21783">
      <c r="A21783" s="1" t="s">
        <v>33582</v>
      </c>
      <c r="B21783" s="2" t="s">
        <v>33583</v>
      </c>
      <c r="C21783" s="1" t="s">
        <v>6411</v>
      </c>
      <c r="D21783" s="1" t="s">
        <v>6412</v>
      </c>
    </row>
    <row r="21784">
      <c r="A21784" s="1" t="s">
        <v>33584</v>
      </c>
      <c r="B21784" s="2" t="s">
        <v>33585</v>
      </c>
      <c r="C21784" s="1" t="s">
        <v>6411</v>
      </c>
      <c r="D21784" s="1" t="s">
        <v>6412</v>
      </c>
    </row>
    <row r="21785">
      <c r="A21785" s="1" t="s">
        <v>33586</v>
      </c>
      <c r="B21785" s="2" t="s">
        <v>33587</v>
      </c>
      <c r="C21785" s="1" t="s">
        <v>6411</v>
      </c>
      <c r="D21785" s="1" t="s">
        <v>6412</v>
      </c>
    </row>
    <row r="21786">
      <c r="A21786" s="1" t="s">
        <v>33588</v>
      </c>
      <c r="B21786" s="2" t="s">
        <v>33589</v>
      </c>
      <c r="C21786" s="1" t="s">
        <v>6411</v>
      </c>
      <c r="D21786" s="1" t="s">
        <v>6412</v>
      </c>
    </row>
    <row r="21787">
      <c r="A21787" s="1" t="s">
        <v>33590</v>
      </c>
      <c r="B21787" s="2" t="s">
        <v>33591</v>
      </c>
      <c r="C21787" s="1" t="s">
        <v>6411</v>
      </c>
      <c r="D21787" s="1" t="s">
        <v>6412</v>
      </c>
    </row>
    <row r="21788">
      <c r="A21788" s="1" t="s">
        <v>33592</v>
      </c>
      <c r="B21788" s="2" t="s">
        <v>32722</v>
      </c>
      <c r="C21788" s="1" t="s">
        <v>6411</v>
      </c>
      <c r="D21788" s="1" t="s">
        <v>6412</v>
      </c>
    </row>
    <row r="21789">
      <c r="A21789" s="1" t="s">
        <v>33593</v>
      </c>
      <c r="B21789" s="2" t="s">
        <v>33594</v>
      </c>
      <c r="C21789" s="1" t="s">
        <v>6411</v>
      </c>
      <c r="D21789" s="1" t="s">
        <v>6412</v>
      </c>
    </row>
    <row r="21790">
      <c r="A21790" s="1" t="s">
        <v>33595</v>
      </c>
      <c r="B21790" s="2" t="s">
        <v>33596</v>
      </c>
      <c r="C21790" s="1" t="s">
        <v>6411</v>
      </c>
      <c r="D21790" s="1" t="s">
        <v>6412</v>
      </c>
    </row>
    <row r="21791">
      <c r="A21791" s="1" t="s">
        <v>33597</v>
      </c>
      <c r="B21791" s="2" t="s">
        <v>33598</v>
      </c>
      <c r="C21791" s="1" t="s">
        <v>6411</v>
      </c>
      <c r="D21791" s="1" t="s">
        <v>6412</v>
      </c>
    </row>
    <row r="21792">
      <c r="A21792" s="1" t="s">
        <v>33599</v>
      </c>
      <c r="B21792" s="2" t="s">
        <v>33600</v>
      </c>
      <c r="C21792" s="1" t="s">
        <v>6411</v>
      </c>
      <c r="D21792" s="1" t="s">
        <v>6412</v>
      </c>
    </row>
    <row r="21793">
      <c r="A21793" s="1" t="s">
        <v>33601</v>
      </c>
      <c r="B21793" s="2" t="s">
        <v>33602</v>
      </c>
      <c r="C21793" s="1" t="s">
        <v>6411</v>
      </c>
      <c r="D21793" s="1" t="s">
        <v>6412</v>
      </c>
    </row>
    <row r="21794">
      <c r="A21794" s="1" t="s">
        <v>33603</v>
      </c>
      <c r="B21794" s="2" t="s">
        <v>33604</v>
      </c>
      <c r="C21794" s="1" t="s">
        <v>6411</v>
      </c>
      <c r="D21794" s="1" t="s">
        <v>6412</v>
      </c>
    </row>
    <row r="21795">
      <c r="A21795" s="1" t="s">
        <v>6462</v>
      </c>
      <c r="B21795" s="2" t="s">
        <v>7</v>
      </c>
      <c r="C21795" s="1" t="s">
        <v>6465</v>
      </c>
      <c r="D21795" s="1" t="s">
        <v>6466</v>
      </c>
    </row>
    <row r="21796">
      <c r="A21796" s="1" t="s">
        <v>33605</v>
      </c>
      <c r="B21796" s="2" t="s">
        <v>32702</v>
      </c>
      <c r="C21796" s="1" t="s">
        <v>6465</v>
      </c>
      <c r="D21796" s="1" t="s">
        <v>6466</v>
      </c>
    </row>
    <row r="21797">
      <c r="A21797" s="1" t="s">
        <v>33606</v>
      </c>
      <c r="B21797" s="2" t="s">
        <v>33607</v>
      </c>
      <c r="C21797" s="1" t="s">
        <v>6465</v>
      </c>
      <c r="D21797" s="1" t="s">
        <v>6466</v>
      </c>
    </row>
    <row r="21798">
      <c r="A21798" s="1" t="s">
        <v>33608</v>
      </c>
      <c r="B21798" s="2" t="s">
        <v>33609</v>
      </c>
      <c r="C21798" s="1" t="s">
        <v>6465</v>
      </c>
      <c r="D21798" s="1" t="s">
        <v>6466</v>
      </c>
    </row>
    <row r="21799">
      <c r="A21799" s="1" t="s">
        <v>33610</v>
      </c>
      <c r="B21799" s="2" t="s">
        <v>33611</v>
      </c>
      <c r="C21799" s="1" t="s">
        <v>6465</v>
      </c>
      <c r="D21799" s="1" t="s">
        <v>6466</v>
      </c>
    </row>
    <row r="21800">
      <c r="A21800" s="1" t="s">
        <v>33612</v>
      </c>
      <c r="B21800" s="2" t="s">
        <v>33613</v>
      </c>
      <c r="C21800" s="1" t="s">
        <v>6465</v>
      </c>
      <c r="D21800" s="1" t="s">
        <v>6466</v>
      </c>
    </row>
    <row r="21801">
      <c r="A21801" s="1" t="s">
        <v>33614</v>
      </c>
      <c r="B21801" s="2" t="s">
        <v>33615</v>
      </c>
      <c r="C21801" s="1" t="s">
        <v>6465</v>
      </c>
      <c r="D21801" s="1" t="s">
        <v>6466</v>
      </c>
    </row>
    <row r="21802">
      <c r="A21802" s="1" t="s">
        <v>33616</v>
      </c>
      <c r="B21802" s="2" t="s">
        <v>33617</v>
      </c>
      <c r="C21802" s="1" t="s">
        <v>6465</v>
      </c>
      <c r="D21802" s="1" t="s">
        <v>6466</v>
      </c>
    </row>
    <row r="21803">
      <c r="A21803" s="1" t="s">
        <v>33618</v>
      </c>
      <c r="B21803" s="2" t="s">
        <v>33619</v>
      </c>
      <c r="C21803" s="1" t="s">
        <v>6465</v>
      </c>
      <c r="D21803" s="1" t="s">
        <v>6466</v>
      </c>
    </row>
    <row r="21804">
      <c r="A21804" s="1" t="s">
        <v>33620</v>
      </c>
      <c r="B21804" s="2" t="s">
        <v>33621</v>
      </c>
      <c r="C21804" s="1" t="s">
        <v>6465</v>
      </c>
      <c r="D21804" s="1" t="s">
        <v>6466</v>
      </c>
    </row>
    <row r="21805">
      <c r="A21805" s="1" t="s">
        <v>33622</v>
      </c>
      <c r="B21805" s="2" t="s">
        <v>32722</v>
      </c>
      <c r="C21805" s="1" t="s">
        <v>6465</v>
      </c>
      <c r="D21805" s="1" t="s">
        <v>6466</v>
      </c>
    </row>
    <row r="21806">
      <c r="A21806" s="1" t="s">
        <v>33623</v>
      </c>
      <c r="B21806" s="2" t="s">
        <v>33624</v>
      </c>
      <c r="C21806" s="1" t="s">
        <v>6465</v>
      </c>
      <c r="D21806" s="1" t="s">
        <v>6466</v>
      </c>
    </row>
    <row r="21807">
      <c r="A21807" s="1" t="s">
        <v>33625</v>
      </c>
      <c r="B21807" s="2" t="s">
        <v>33626</v>
      </c>
      <c r="C21807" s="1" t="s">
        <v>6465</v>
      </c>
      <c r="D21807" s="1" t="s">
        <v>6466</v>
      </c>
    </row>
    <row r="21808">
      <c r="A21808" s="1" t="s">
        <v>33627</v>
      </c>
      <c r="B21808" s="2" t="s">
        <v>33628</v>
      </c>
      <c r="C21808" s="1" t="s">
        <v>6465</v>
      </c>
      <c r="D21808" s="1" t="s">
        <v>6466</v>
      </c>
    </row>
    <row r="21809">
      <c r="A21809" s="1" t="s">
        <v>33629</v>
      </c>
      <c r="B21809" s="2" t="s">
        <v>33630</v>
      </c>
      <c r="C21809" s="1" t="s">
        <v>6465</v>
      </c>
      <c r="D21809" s="1" t="s">
        <v>6466</v>
      </c>
    </row>
    <row r="21810">
      <c r="A21810" s="1" t="s">
        <v>33631</v>
      </c>
      <c r="B21810" s="2" t="s">
        <v>33632</v>
      </c>
      <c r="C21810" s="1" t="s">
        <v>6465</v>
      </c>
      <c r="D21810" s="1" t="s">
        <v>6466</v>
      </c>
    </row>
    <row r="21811">
      <c r="A21811" s="1" t="s">
        <v>33633</v>
      </c>
      <c r="B21811" s="2" t="s">
        <v>33634</v>
      </c>
      <c r="C21811" s="1" t="s">
        <v>6465</v>
      </c>
      <c r="D21811" s="1" t="s">
        <v>6466</v>
      </c>
    </row>
    <row r="21812">
      <c r="A21812" s="1" t="s">
        <v>33635</v>
      </c>
      <c r="B21812" s="2" t="s">
        <v>33636</v>
      </c>
      <c r="C21812" s="1" t="s">
        <v>6465</v>
      </c>
      <c r="D21812" s="1" t="s">
        <v>6466</v>
      </c>
    </row>
    <row r="21813">
      <c r="A21813" s="1" t="s">
        <v>33637</v>
      </c>
      <c r="B21813" s="2" t="s">
        <v>33638</v>
      </c>
      <c r="C21813" s="1" t="s">
        <v>6465</v>
      </c>
      <c r="D21813" s="1" t="s">
        <v>6466</v>
      </c>
    </row>
    <row r="21814">
      <c r="A21814" s="1" t="s">
        <v>6472</v>
      </c>
      <c r="B21814" s="2" t="s">
        <v>6474</v>
      </c>
      <c r="C21814" s="1" t="s">
        <v>6475</v>
      </c>
      <c r="D21814" s="1" t="s">
        <v>6476</v>
      </c>
    </row>
    <row r="21815">
      <c r="A21815" s="1" t="s">
        <v>33639</v>
      </c>
      <c r="B21815" s="2" t="s">
        <v>33640</v>
      </c>
      <c r="C21815" s="1" t="s">
        <v>6475</v>
      </c>
      <c r="D21815" s="1" t="s">
        <v>6476</v>
      </c>
    </row>
    <row r="21816">
      <c r="A21816" s="1" t="s">
        <v>33641</v>
      </c>
      <c r="B21816" s="2" t="s">
        <v>33642</v>
      </c>
      <c r="C21816" s="1" t="s">
        <v>6475</v>
      </c>
      <c r="D21816" s="1" t="s">
        <v>6476</v>
      </c>
    </row>
    <row r="21817">
      <c r="A21817" s="1" t="s">
        <v>6481</v>
      </c>
      <c r="B21817" s="2" t="s">
        <v>7</v>
      </c>
      <c r="C21817" s="1" t="s">
        <v>6482</v>
      </c>
      <c r="D21817" s="1" t="s">
        <v>6483</v>
      </c>
    </row>
    <row r="21818">
      <c r="A21818" s="1" t="s">
        <v>33643</v>
      </c>
      <c r="B21818" s="2" t="s">
        <v>33644</v>
      </c>
      <c r="C21818" s="1" t="s">
        <v>6482</v>
      </c>
      <c r="D21818" s="1" t="s">
        <v>6483</v>
      </c>
    </row>
    <row r="21819">
      <c r="A21819" s="1" t="s">
        <v>33645</v>
      </c>
      <c r="B21819" s="2" t="s">
        <v>33646</v>
      </c>
      <c r="C21819" s="1" t="s">
        <v>6482</v>
      </c>
      <c r="D21819" s="1" t="s">
        <v>6483</v>
      </c>
    </row>
    <row r="21820">
      <c r="A21820" s="1" t="s">
        <v>6486</v>
      </c>
      <c r="B21820" s="2" t="s">
        <v>7</v>
      </c>
      <c r="C21820" s="1" t="s">
        <v>6488</v>
      </c>
      <c r="D21820" s="1" t="s">
        <v>6489</v>
      </c>
    </row>
    <row r="21821">
      <c r="A21821" s="1" t="s">
        <v>33647</v>
      </c>
      <c r="B21821" s="2" t="s">
        <v>33644</v>
      </c>
      <c r="C21821" s="1" t="s">
        <v>6488</v>
      </c>
      <c r="D21821" s="1" t="s">
        <v>6489</v>
      </c>
    </row>
    <row r="21822">
      <c r="A21822" s="1" t="s">
        <v>33648</v>
      </c>
      <c r="B21822" s="2" t="s">
        <v>33646</v>
      </c>
      <c r="C21822" s="1" t="s">
        <v>6488</v>
      </c>
      <c r="D21822" s="1" t="s">
        <v>6489</v>
      </c>
    </row>
    <row r="21823">
      <c r="A21823" s="1" t="s">
        <v>6492</v>
      </c>
      <c r="B21823" s="2" t="s">
        <v>7</v>
      </c>
      <c r="C21823" s="1" t="s">
        <v>6494</v>
      </c>
      <c r="D21823" s="1" t="s">
        <v>6495</v>
      </c>
    </row>
    <row r="21824">
      <c r="A21824" s="1" t="s">
        <v>33649</v>
      </c>
      <c r="B21824" s="2" t="s">
        <v>32702</v>
      </c>
      <c r="C21824" s="1" t="s">
        <v>6494</v>
      </c>
      <c r="D21824" s="1" t="s">
        <v>6495</v>
      </c>
    </row>
    <row r="21825">
      <c r="A21825" s="1" t="s">
        <v>33650</v>
      </c>
      <c r="B21825" s="2" t="s">
        <v>33651</v>
      </c>
      <c r="C21825" s="1" t="s">
        <v>6494</v>
      </c>
      <c r="D21825" s="1" t="s">
        <v>6495</v>
      </c>
    </row>
    <row r="21826">
      <c r="A21826" s="1" t="s">
        <v>33652</v>
      </c>
      <c r="B21826" s="2" t="s">
        <v>33653</v>
      </c>
      <c r="C21826" s="1" t="s">
        <v>6494</v>
      </c>
      <c r="D21826" s="1" t="s">
        <v>6495</v>
      </c>
    </row>
    <row r="21827">
      <c r="A21827" s="1" t="s">
        <v>33654</v>
      </c>
      <c r="B21827" s="2" t="s">
        <v>32722</v>
      </c>
      <c r="C21827" s="1" t="s">
        <v>6494</v>
      </c>
      <c r="D21827" s="1" t="s">
        <v>6495</v>
      </c>
    </row>
    <row r="21828">
      <c r="A21828" s="1" t="s">
        <v>33655</v>
      </c>
      <c r="B21828" s="2" t="s">
        <v>33656</v>
      </c>
      <c r="C21828" s="1" t="s">
        <v>6494</v>
      </c>
      <c r="D21828" s="1" t="s">
        <v>6495</v>
      </c>
    </row>
    <row r="21829">
      <c r="A21829" s="1" t="s">
        <v>33657</v>
      </c>
      <c r="B21829" s="2" t="s">
        <v>33658</v>
      </c>
      <c r="C21829" s="1" t="s">
        <v>6494</v>
      </c>
      <c r="D21829" s="1" t="s">
        <v>6495</v>
      </c>
    </row>
    <row r="21830">
      <c r="A21830" s="1" t="s">
        <v>6498</v>
      </c>
      <c r="B21830" s="2" t="s">
        <v>7</v>
      </c>
      <c r="C21830" s="1" t="s">
        <v>6500</v>
      </c>
      <c r="D21830" s="1" t="s">
        <v>6501</v>
      </c>
    </row>
    <row r="21831">
      <c r="A21831" s="1" t="s">
        <v>33659</v>
      </c>
      <c r="B21831" s="2" t="s">
        <v>33660</v>
      </c>
      <c r="C21831" s="1" t="s">
        <v>6500</v>
      </c>
      <c r="D21831" s="1" t="s">
        <v>6501</v>
      </c>
    </row>
    <row r="21832">
      <c r="A21832" s="1" t="s">
        <v>33661</v>
      </c>
      <c r="B21832" s="2" t="s">
        <v>33662</v>
      </c>
      <c r="C21832" s="1" t="s">
        <v>6500</v>
      </c>
      <c r="D21832" s="1" t="s">
        <v>6501</v>
      </c>
    </row>
    <row r="21833">
      <c r="A21833" s="1" t="s">
        <v>33663</v>
      </c>
      <c r="B21833" s="2" t="s">
        <v>33664</v>
      </c>
      <c r="C21833" s="1" t="s">
        <v>6500</v>
      </c>
      <c r="D21833" s="1" t="s">
        <v>6501</v>
      </c>
    </row>
    <row r="21834">
      <c r="A21834" s="1" t="s">
        <v>33665</v>
      </c>
      <c r="B21834" s="2" t="s">
        <v>33666</v>
      </c>
      <c r="C21834" s="1" t="s">
        <v>6500</v>
      </c>
      <c r="D21834" s="1" t="s">
        <v>6501</v>
      </c>
    </row>
    <row r="21835">
      <c r="A21835" s="1" t="s">
        <v>33667</v>
      </c>
      <c r="B21835" s="2" t="s">
        <v>33668</v>
      </c>
      <c r="C21835" s="1" t="s">
        <v>6500</v>
      </c>
      <c r="D21835" s="1" t="s">
        <v>6501</v>
      </c>
    </row>
    <row r="21836">
      <c r="A21836" s="1" t="s">
        <v>33669</v>
      </c>
      <c r="B21836" s="2" t="s">
        <v>33670</v>
      </c>
      <c r="C21836" s="1" t="s">
        <v>6500</v>
      </c>
      <c r="D21836" s="1" t="s">
        <v>6501</v>
      </c>
    </row>
    <row r="21837">
      <c r="A21837" s="1" t="s">
        <v>33671</v>
      </c>
      <c r="B21837" s="2" t="s">
        <v>33672</v>
      </c>
      <c r="C21837" s="1" t="s">
        <v>6500</v>
      </c>
      <c r="D21837" s="1" t="s">
        <v>6501</v>
      </c>
    </row>
    <row r="21838">
      <c r="A21838" s="1" t="s">
        <v>33673</v>
      </c>
      <c r="B21838" s="2" t="s">
        <v>33674</v>
      </c>
      <c r="C21838" s="1" t="s">
        <v>6500</v>
      </c>
      <c r="D21838" s="1" t="s">
        <v>6501</v>
      </c>
    </row>
    <row r="21839">
      <c r="A21839" s="1" t="s">
        <v>33675</v>
      </c>
      <c r="B21839" s="2" t="s">
        <v>33676</v>
      </c>
      <c r="C21839" s="1" t="s">
        <v>6500</v>
      </c>
      <c r="D21839" s="1" t="s">
        <v>6501</v>
      </c>
    </row>
    <row r="21840">
      <c r="A21840" s="1" t="s">
        <v>33677</v>
      </c>
      <c r="B21840" s="2" t="s">
        <v>33678</v>
      </c>
      <c r="C21840" s="1" t="s">
        <v>6500</v>
      </c>
      <c r="D21840" s="1" t="s">
        <v>6501</v>
      </c>
    </row>
    <row r="21841">
      <c r="A21841" s="1" t="s">
        <v>33679</v>
      </c>
      <c r="B21841" s="2" t="s">
        <v>33680</v>
      </c>
      <c r="C21841" s="1" t="s">
        <v>6500</v>
      </c>
      <c r="D21841" s="1" t="s">
        <v>6501</v>
      </c>
    </row>
    <row r="21842">
      <c r="A21842" s="1" t="s">
        <v>33681</v>
      </c>
      <c r="B21842" s="2" t="s">
        <v>33682</v>
      </c>
      <c r="C21842" s="1" t="s">
        <v>6500</v>
      </c>
      <c r="D21842" s="1" t="s">
        <v>6501</v>
      </c>
    </row>
    <row r="21843">
      <c r="A21843" s="1" t="s">
        <v>33683</v>
      </c>
      <c r="B21843" s="2" t="s">
        <v>33684</v>
      </c>
      <c r="C21843" s="1" t="s">
        <v>6500</v>
      </c>
      <c r="D21843" s="1" t="s">
        <v>6501</v>
      </c>
    </row>
    <row r="21844">
      <c r="A21844" s="1" t="s">
        <v>33685</v>
      </c>
      <c r="B21844" s="2" t="s">
        <v>33686</v>
      </c>
      <c r="C21844" s="1" t="s">
        <v>6500</v>
      </c>
      <c r="D21844" s="1" t="s">
        <v>6501</v>
      </c>
    </row>
    <row r="21845">
      <c r="A21845" s="1" t="s">
        <v>33687</v>
      </c>
      <c r="B21845" s="2" t="s">
        <v>33688</v>
      </c>
      <c r="C21845" s="1" t="s">
        <v>6500</v>
      </c>
      <c r="D21845" s="1" t="s">
        <v>6501</v>
      </c>
    </row>
    <row r="21846">
      <c r="A21846" s="1" t="s">
        <v>33689</v>
      </c>
      <c r="B21846" s="2" t="s">
        <v>33690</v>
      </c>
      <c r="C21846" s="1" t="s">
        <v>6500</v>
      </c>
      <c r="D21846" s="1" t="s">
        <v>6501</v>
      </c>
    </row>
    <row r="21847">
      <c r="A21847" s="1" t="s">
        <v>33691</v>
      </c>
      <c r="B21847" s="2" t="s">
        <v>33692</v>
      </c>
      <c r="C21847" s="1" t="s">
        <v>6500</v>
      </c>
      <c r="D21847" s="1" t="s">
        <v>6501</v>
      </c>
    </row>
    <row r="21848">
      <c r="A21848" s="1" t="s">
        <v>33693</v>
      </c>
      <c r="B21848" s="2" t="s">
        <v>33694</v>
      </c>
      <c r="C21848" s="1" t="s">
        <v>6500</v>
      </c>
      <c r="D21848" s="1" t="s">
        <v>6501</v>
      </c>
    </row>
    <row r="21849">
      <c r="A21849" s="1" t="s">
        <v>6504</v>
      </c>
      <c r="B21849" s="2" t="s">
        <v>7</v>
      </c>
      <c r="C21849" s="1" t="s">
        <v>6505</v>
      </c>
      <c r="D21849" s="1" t="s">
        <v>6506</v>
      </c>
    </row>
    <row r="21850">
      <c r="A21850" s="1" t="s">
        <v>33695</v>
      </c>
      <c r="B21850" s="2" t="s">
        <v>33696</v>
      </c>
      <c r="C21850" s="1" t="s">
        <v>6505</v>
      </c>
      <c r="D21850" s="1" t="s">
        <v>6506</v>
      </c>
    </row>
    <row r="21851">
      <c r="A21851" s="1" t="s">
        <v>33697</v>
      </c>
      <c r="B21851" s="2" t="s">
        <v>33698</v>
      </c>
      <c r="C21851" s="1" t="s">
        <v>6505</v>
      </c>
      <c r="D21851" s="1" t="s">
        <v>6506</v>
      </c>
    </row>
    <row r="21852">
      <c r="A21852" s="1" t="s">
        <v>6510</v>
      </c>
      <c r="B21852" s="2" t="s">
        <v>7</v>
      </c>
      <c r="C21852" s="1" t="s">
        <v>6512</v>
      </c>
      <c r="D21852" s="1" t="s">
        <v>6514</v>
      </c>
    </row>
    <row r="21853">
      <c r="A21853" s="1" t="s">
        <v>33699</v>
      </c>
      <c r="B21853" s="2" t="s">
        <v>33696</v>
      </c>
      <c r="C21853" s="1" t="s">
        <v>6512</v>
      </c>
      <c r="D21853" s="1" t="s">
        <v>6514</v>
      </c>
    </row>
    <row r="21854">
      <c r="A21854" s="1" t="s">
        <v>33700</v>
      </c>
      <c r="B21854" s="2" t="s">
        <v>33698</v>
      </c>
      <c r="C21854" s="1" t="s">
        <v>6512</v>
      </c>
      <c r="D21854" s="1" t="s">
        <v>6514</v>
      </c>
    </row>
    <row r="21855">
      <c r="A21855" s="1" t="s">
        <v>6518</v>
      </c>
      <c r="B21855" s="2" t="s">
        <v>7</v>
      </c>
      <c r="C21855" s="1" t="s">
        <v>6519</v>
      </c>
      <c r="D21855" s="1" t="s">
        <v>6520</v>
      </c>
    </row>
    <row r="21856">
      <c r="A21856" s="1" t="s">
        <v>33701</v>
      </c>
      <c r="B21856" s="2" t="s">
        <v>32702</v>
      </c>
      <c r="C21856" s="1" t="s">
        <v>6519</v>
      </c>
      <c r="D21856" s="1" t="s">
        <v>6520</v>
      </c>
    </row>
    <row r="21857">
      <c r="A21857" s="1" t="s">
        <v>33702</v>
      </c>
      <c r="B21857" s="2" t="s">
        <v>33703</v>
      </c>
      <c r="C21857" s="1" t="s">
        <v>6519</v>
      </c>
      <c r="D21857" s="1" t="s">
        <v>6520</v>
      </c>
    </row>
    <row r="21858">
      <c r="A21858" s="1" t="s">
        <v>33704</v>
      </c>
      <c r="B21858" s="2" t="s">
        <v>33705</v>
      </c>
      <c r="C21858" s="1" t="s">
        <v>6519</v>
      </c>
      <c r="D21858" s="1" t="s">
        <v>6520</v>
      </c>
    </row>
    <row r="21859">
      <c r="A21859" s="1" t="s">
        <v>33706</v>
      </c>
      <c r="B21859" s="2" t="s">
        <v>32722</v>
      </c>
      <c r="C21859" s="1" t="s">
        <v>6519</v>
      </c>
      <c r="D21859" s="1" t="s">
        <v>6520</v>
      </c>
    </row>
    <row r="21860">
      <c r="A21860" s="1" t="s">
        <v>33707</v>
      </c>
      <c r="B21860" s="2" t="s">
        <v>33708</v>
      </c>
      <c r="C21860" s="1" t="s">
        <v>6519</v>
      </c>
      <c r="D21860" s="1" t="s">
        <v>6520</v>
      </c>
    </row>
    <row r="21861">
      <c r="A21861" s="1" t="s">
        <v>33709</v>
      </c>
      <c r="B21861" s="2" t="s">
        <v>33710</v>
      </c>
      <c r="C21861" s="1" t="s">
        <v>6519</v>
      </c>
      <c r="D21861" s="1" t="s">
        <v>6520</v>
      </c>
    </row>
    <row r="21862">
      <c r="A21862" s="1" t="s">
        <v>6524</v>
      </c>
      <c r="B21862" s="2" t="s">
        <v>7</v>
      </c>
      <c r="C21862" s="1" t="s">
        <v>6525</v>
      </c>
      <c r="D21862" s="1" t="s">
        <v>6526</v>
      </c>
    </row>
    <row r="21863">
      <c r="A21863" s="1" t="s">
        <v>33711</v>
      </c>
      <c r="B21863" s="2" t="s">
        <v>33712</v>
      </c>
      <c r="C21863" s="1" t="s">
        <v>6525</v>
      </c>
      <c r="D21863" s="1" t="s">
        <v>6526</v>
      </c>
    </row>
    <row r="21864">
      <c r="A21864" s="1" t="s">
        <v>33713</v>
      </c>
      <c r="B21864" s="2" t="s">
        <v>33714</v>
      </c>
      <c r="C21864" s="1" t="s">
        <v>6525</v>
      </c>
      <c r="D21864" s="1" t="s">
        <v>6526</v>
      </c>
    </row>
    <row r="21865">
      <c r="A21865" s="1" t="s">
        <v>33715</v>
      </c>
      <c r="B21865" s="2" t="s">
        <v>33716</v>
      </c>
      <c r="C21865" s="1" t="s">
        <v>6525</v>
      </c>
      <c r="D21865" s="1" t="s">
        <v>6526</v>
      </c>
    </row>
    <row r="21866">
      <c r="A21866" s="1" t="s">
        <v>33717</v>
      </c>
      <c r="B21866" s="2" t="s">
        <v>33718</v>
      </c>
      <c r="C21866" s="1" t="s">
        <v>6525</v>
      </c>
      <c r="D21866" s="1" t="s">
        <v>6526</v>
      </c>
    </row>
    <row r="21867">
      <c r="A21867" s="1" t="s">
        <v>33719</v>
      </c>
      <c r="B21867" s="2" t="s">
        <v>33720</v>
      </c>
      <c r="C21867" s="1" t="s">
        <v>6525</v>
      </c>
      <c r="D21867" s="1" t="s">
        <v>6526</v>
      </c>
    </row>
    <row r="21868">
      <c r="A21868" s="1" t="s">
        <v>33721</v>
      </c>
      <c r="B21868" s="2" t="s">
        <v>33722</v>
      </c>
      <c r="C21868" s="1" t="s">
        <v>6525</v>
      </c>
      <c r="D21868" s="1" t="s">
        <v>6526</v>
      </c>
    </row>
    <row r="21869">
      <c r="A21869" s="1" t="s">
        <v>6530</v>
      </c>
      <c r="B21869" s="2" t="s">
        <v>7</v>
      </c>
      <c r="C21869" s="1" t="s">
        <v>6531</v>
      </c>
      <c r="D21869" s="1" t="s">
        <v>6532</v>
      </c>
    </row>
    <row r="21870">
      <c r="A21870" s="1" t="s">
        <v>33723</v>
      </c>
      <c r="B21870" s="2" t="s">
        <v>33724</v>
      </c>
      <c r="C21870" s="1" t="s">
        <v>6531</v>
      </c>
      <c r="D21870" s="1" t="s">
        <v>6532</v>
      </c>
    </row>
    <row r="21871">
      <c r="A21871" s="1" t="s">
        <v>33725</v>
      </c>
      <c r="B21871" s="2" t="s">
        <v>33726</v>
      </c>
      <c r="C21871" s="1" t="s">
        <v>6531</v>
      </c>
      <c r="D21871" s="1" t="s">
        <v>6532</v>
      </c>
    </row>
    <row r="21872">
      <c r="A21872" s="1" t="s">
        <v>33727</v>
      </c>
      <c r="B21872" s="2" t="s">
        <v>33728</v>
      </c>
      <c r="C21872" s="1" t="s">
        <v>6531</v>
      </c>
      <c r="D21872" s="1" t="s">
        <v>6532</v>
      </c>
    </row>
    <row r="21873">
      <c r="A21873" s="1" t="s">
        <v>33729</v>
      </c>
      <c r="B21873" s="2" t="s">
        <v>33730</v>
      </c>
      <c r="C21873" s="1" t="s">
        <v>6531</v>
      </c>
      <c r="D21873" s="1" t="s">
        <v>6532</v>
      </c>
    </row>
    <row r="21874">
      <c r="A21874" s="1" t="s">
        <v>33731</v>
      </c>
      <c r="B21874" s="2" t="s">
        <v>33732</v>
      </c>
      <c r="C21874" s="1" t="s">
        <v>6531</v>
      </c>
      <c r="D21874" s="1" t="s">
        <v>6532</v>
      </c>
    </row>
    <row r="21875">
      <c r="A21875" s="1" t="s">
        <v>33733</v>
      </c>
      <c r="B21875" s="2" t="s">
        <v>33734</v>
      </c>
      <c r="C21875" s="1" t="s">
        <v>6531</v>
      </c>
      <c r="D21875" s="1" t="s">
        <v>6532</v>
      </c>
    </row>
    <row r="21876">
      <c r="A21876" s="1" t="s">
        <v>33735</v>
      </c>
      <c r="B21876" s="2" t="s">
        <v>33736</v>
      </c>
      <c r="C21876" s="1" t="s">
        <v>6531</v>
      </c>
      <c r="D21876" s="1" t="s">
        <v>6532</v>
      </c>
    </row>
    <row r="21877">
      <c r="A21877" s="1" t="s">
        <v>33737</v>
      </c>
      <c r="B21877" s="2" t="s">
        <v>33738</v>
      </c>
      <c r="C21877" s="1" t="s">
        <v>6531</v>
      </c>
      <c r="D21877" s="1" t="s">
        <v>6532</v>
      </c>
    </row>
    <row r="21878">
      <c r="A21878" s="1" t="s">
        <v>33739</v>
      </c>
      <c r="B21878" s="2" t="s">
        <v>33740</v>
      </c>
      <c r="C21878" s="1" t="s">
        <v>6531</v>
      </c>
      <c r="D21878" s="1" t="s">
        <v>6532</v>
      </c>
    </row>
    <row r="21879">
      <c r="A21879" s="1" t="s">
        <v>33741</v>
      </c>
      <c r="B21879" s="2" t="s">
        <v>33742</v>
      </c>
      <c r="C21879" s="1" t="s">
        <v>6531</v>
      </c>
      <c r="D21879" s="1" t="s">
        <v>6532</v>
      </c>
    </row>
    <row r="21880">
      <c r="A21880" s="1" t="s">
        <v>33743</v>
      </c>
      <c r="B21880" s="2" t="s">
        <v>33744</v>
      </c>
      <c r="C21880" s="1" t="s">
        <v>6531</v>
      </c>
      <c r="D21880" s="1" t="s">
        <v>6532</v>
      </c>
    </row>
    <row r="21881">
      <c r="A21881" s="1" t="s">
        <v>33745</v>
      </c>
      <c r="B21881" s="2" t="s">
        <v>33746</v>
      </c>
      <c r="C21881" s="1" t="s">
        <v>6531</v>
      </c>
      <c r="D21881" s="1" t="s">
        <v>6532</v>
      </c>
    </row>
    <row r="21882">
      <c r="A21882" s="1" t="s">
        <v>6533</v>
      </c>
      <c r="B21882" s="2" t="s">
        <v>7</v>
      </c>
      <c r="C21882" s="1" t="s">
        <v>6535</v>
      </c>
      <c r="D21882" s="1" t="s">
        <v>6536</v>
      </c>
    </row>
    <row r="21883">
      <c r="A21883" s="1" t="s">
        <v>33747</v>
      </c>
      <c r="B21883" s="2" t="s">
        <v>33748</v>
      </c>
      <c r="C21883" s="1" t="s">
        <v>6535</v>
      </c>
      <c r="D21883" s="1" t="s">
        <v>6536</v>
      </c>
    </row>
    <row r="21884">
      <c r="A21884" s="1" t="s">
        <v>33749</v>
      </c>
      <c r="B21884" s="2" t="s">
        <v>33750</v>
      </c>
      <c r="C21884" s="1" t="s">
        <v>6535</v>
      </c>
      <c r="D21884" s="1" t="s">
        <v>6536</v>
      </c>
    </row>
    <row r="21885">
      <c r="A21885" s="1" t="s">
        <v>33751</v>
      </c>
      <c r="B21885" s="2" t="s">
        <v>33752</v>
      </c>
      <c r="C21885" s="1" t="s">
        <v>6535</v>
      </c>
      <c r="D21885" s="1" t="s">
        <v>6536</v>
      </c>
    </row>
    <row r="21886">
      <c r="A21886" s="1" t="s">
        <v>33753</v>
      </c>
      <c r="B21886" s="2" t="s">
        <v>33754</v>
      </c>
      <c r="C21886" s="1" t="s">
        <v>6535</v>
      </c>
      <c r="D21886" s="1" t="s">
        <v>6536</v>
      </c>
    </row>
    <row r="21887">
      <c r="A21887" s="1" t="s">
        <v>33755</v>
      </c>
      <c r="B21887" s="2" t="s">
        <v>33756</v>
      </c>
      <c r="C21887" s="1" t="s">
        <v>6535</v>
      </c>
      <c r="D21887" s="1" t="s">
        <v>6536</v>
      </c>
    </row>
    <row r="21888">
      <c r="A21888" s="1" t="s">
        <v>33757</v>
      </c>
      <c r="B21888" s="2" t="s">
        <v>33758</v>
      </c>
      <c r="C21888" s="1" t="s">
        <v>6535</v>
      </c>
      <c r="D21888" s="1" t="s">
        <v>6536</v>
      </c>
    </row>
    <row r="21889">
      <c r="A21889" s="1" t="s">
        <v>33759</v>
      </c>
      <c r="B21889" s="2" t="s">
        <v>33760</v>
      </c>
      <c r="C21889" s="1" t="s">
        <v>6535</v>
      </c>
      <c r="D21889" s="1" t="s">
        <v>6536</v>
      </c>
    </row>
    <row r="21890">
      <c r="A21890" s="1" t="s">
        <v>33761</v>
      </c>
      <c r="B21890" s="2" t="s">
        <v>33762</v>
      </c>
      <c r="C21890" s="1" t="s">
        <v>6535</v>
      </c>
      <c r="D21890" s="1" t="s">
        <v>6536</v>
      </c>
    </row>
    <row r="21891">
      <c r="A21891" s="1" t="s">
        <v>33763</v>
      </c>
      <c r="B21891" s="2" t="s">
        <v>33764</v>
      </c>
      <c r="C21891" s="1" t="s">
        <v>6535</v>
      </c>
      <c r="D21891" s="1" t="s">
        <v>6536</v>
      </c>
    </row>
    <row r="21892">
      <c r="A21892" s="1" t="s">
        <v>33765</v>
      </c>
      <c r="B21892" s="2" t="s">
        <v>33766</v>
      </c>
      <c r="C21892" s="1" t="s">
        <v>6535</v>
      </c>
      <c r="D21892" s="1" t="s">
        <v>6536</v>
      </c>
    </row>
    <row r="21893">
      <c r="A21893" s="1" t="s">
        <v>33767</v>
      </c>
      <c r="B21893" s="2" t="s">
        <v>33768</v>
      </c>
      <c r="C21893" s="1" t="s">
        <v>6535</v>
      </c>
      <c r="D21893" s="1" t="s">
        <v>6536</v>
      </c>
    </row>
    <row r="21894">
      <c r="A21894" s="1" t="s">
        <v>33769</v>
      </c>
      <c r="B21894" s="2" t="s">
        <v>33770</v>
      </c>
      <c r="C21894" s="1" t="s">
        <v>6535</v>
      </c>
      <c r="D21894" s="1" t="s">
        <v>6536</v>
      </c>
    </row>
    <row r="21895">
      <c r="A21895" s="1" t="s">
        <v>33771</v>
      </c>
      <c r="B21895" s="2" t="s">
        <v>33772</v>
      </c>
      <c r="C21895" s="1" t="s">
        <v>6535</v>
      </c>
      <c r="D21895" s="1" t="s">
        <v>6536</v>
      </c>
    </row>
    <row r="21896">
      <c r="A21896" s="1" t="s">
        <v>33773</v>
      </c>
      <c r="B21896" s="2" t="s">
        <v>33774</v>
      </c>
      <c r="C21896" s="1" t="s">
        <v>6535</v>
      </c>
      <c r="D21896" s="1" t="s">
        <v>6536</v>
      </c>
    </row>
    <row r="21897">
      <c r="A21897" s="1" t="s">
        <v>33775</v>
      </c>
      <c r="B21897" s="2" t="s">
        <v>33776</v>
      </c>
      <c r="C21897" s="1" t="s">
        <v>6535</v>
      </c>
      <c r="D21897" s="1" t="s">
        <v>6536</v>
      </c>
    </row>
    <row r="21898">
      <c r="A21898" s="1" t="s">
        <v>33777</v>
      </c>
      <c r="B21898" s="2" t="s">
        <v>33778</v>
      </c>
      <c r="C21898" s="1" t="s">
        <v>6535</v>
      </c>
      <c r="D21898" s="1" t="s">
        <v>6536</v>
      </c>
    </row>
    <row r="21899">
      <c r="A21899" s="1" t="s">
        <v>33779</v>
      </c>
      <c r="B21899" s="2" t="s">
        <v>33780</v>
      </c>
      <c r="C21899" s="1" t="s">
        <v>6535</v>
      </c>
      <c r="D21899" s="1" t="s">
        <v>6536</v>
      </c>
    </row>
    <row r="21900">
      <c r="A21900" s="1" t="s">
        <v>33781</v>
      </c>
      <c r="B21900" s="2" t="s">
        <v>33782</v>
      </c>
      <c r="C21900" s="1" t="s">
        <v>6535</v>
      </c>
      <c r="D21900" s="1" t="s">
        <v>6536</v>
      </c>
    </row>
    <row r="21901">
      <c r="A21901" s="1" t="s">
        <v>33783</v>
      </c>
      <c r="B21901" s="2" t="s">
        <v>33784</v>
      </c>
      <c r="C21901" s="1" t="s">
        <v>6535</v>
      </c>
      <c r="D21901" s="1" t="s">
        <v>6536</v>
      </c>
    </row>
    <row r="21902">
      <c r="A21902" s="1" t="s">
        <v>33785</v>
      </c>
      <c r="B21902" s="2" t="s">
        <v>33786</v>
      </c>
      <c r="C21902" s="1" t="s">
        <v>6535</v>
      </c>
      <c r="D21902" s="1" t="s">
        <v>6536</v>
      </c>
    </row>
    <row r="21903">
      <c r="A21903" s="1" t="s">
        <v>33787</v>
      </c>
      <c r="B21903" s="2" t="s">
        <v>33788</v>
      </c>
      <c r="C21903" s="1" t="s">
        <v>6535</v>
      </c>
      <c r="D21903" s="1" t="s">
        <v>6536</v>
      </c>
    </row>
    <row r="21904">
      <c r="A21904" s="1" t="s">
        <v>33789</v>
      </c>
      <c r="B21904" s="2" t="s">
        <v>33790</v>
      </c>
      <c r="C21904" s="1" t="s">
        <v>6535</v>
      </c>
      <c r="D21904" s="1" t="s">
        <v>6536</v>
      </c>
    </row>
    <row r="21905">
      <c r="A21905" s="1" t="s">
        <v>33791</v>
      </c>
      <c r="B21905" s="2" t="s">
        <v>33792</v>
      </c>
      <c r="C21905" s="1" t="s">
        <v>6535</v>
      </c>
      <c r="D21905" s="1" t="s">
        <v>6536</v>
      </c>
    </row>
    <row r="21906">
      <c r="A21906" s="1" t="s">
        <v>33793</v>
      </c>
      <c r="B21906" s="2" t="s">
        <v>33794</v>
      </c>
      <c r="C21906" s="1" t="s">
        <v>6535</v>
      </c>
      <c r="D21906" s="1" t="s">
        <v>6536</v>
      </c>
    </row>
    <row r="21907">
      <c r="A21907" s="1" t="s">
        <v>33795</v>
      </c>
      <c r="B21907" s="2" t="s">
        <v>33796</v>
      </c>
      <c r="C21907" s="1" t="s">
        <v>6535</v>
      </c>
      <c r="D21907" s="1" t="s">
        <v>6536</v>
      </c>
    </row>
    <row r="21908">
      <c r="A21908" s="1" t="s">
        <v>33797</v>
      </c>
      <c r="B21908" s="2" t="s">
        <v>33798</v>
      </c>
      <c r="C21908" s="1" t="s">
        <v>6535</v>
      </c>
      <c r="D21908" s="1" t="s">
        <v>6536</v>
      </c>
    </row>
    <row r="21909">
      <c r="A21909" s="1" t="s">
        <v>6540</v>
      </c>
      <c r="B21909" s="2" t="s">
        <v>6541</v>
      </c>
      <c r="C21909" s="1" t="s">
        <v>6543</v>
      </c>
      <c r="D21909" s="1" t="s">
        <v>6545</v>
      </c>
    </row>
    <row r="21910">
      <c r="A21910" s="1" t="s">
        <v>6550</v>
      </c>
      <c r="B21910" s="2" t="s">
        <v>6551</v>
      </c>
      <c r="C21910" s="1" t="s">
        <v>6553</v>
      </c>
      <c r="D21910" s="1" t="s">
        <v>6555</v>
      </c>
    </row>
    <row r="21911">
      <c r="A21911" s="1" t="s">
        <v>6559</v>
      </c>
      <c r="B21911" s="2" t="s">
        <v>6560</v>
      </c>
      <c r="C21911" s="1" t="s">
        <v>6561</v>
      </c>
      <c r="D21911" s="1" t="s">
        <v>6563</v>
      </c>
    </row>
    <row r="21912">
      <c r="A21912" s="1" t="s">
        <v>6567</v>
      </c>
      <c r="B21912" s="2" t="s">
        <v>6570</v>
      </c>
      <c r="C21912" s="1" t="s">
        <v>6571</v>
      </c>
      <c r="D21912" s="1" t="s">
        <v>6573</v>
      </c>
    </row>
    <row r="21913">
      <c r="A21913" s="1" t="s">
        <v>6576</v>
      </c>
      <c r="B21913" s="2" t="s">
        <v>7</v>
      </c>
      <c r="C21913" s="1" t="s">
        <v>6577</v>
      </c>
      <c r="D21913" s="1" t="s">
        <v>6578</v>
      </c>
    </row>
    <row r="21914">
      <c r="A21914" s="1" t="s">
        <v>33799</v>
      </c>
      <c r="B21914" s="2" t="s">
        <v>33800</v>
      </c>
      <c r="C21914" s="1" t="s">
        <v>6577</v>
      </c>
      <c r="D21914" s="1" t="s">
        <v>6578</v>
      </c>
    </row>
    <row r="21915">
      <c r="A21915" s="1" t="s">
        <v>33801</v>
      </c>
      <c r="B21915" s="2" t="s">
        <v>33802</v>
      </c>
      <c r="C21915" s="1" t="s">
        <v>6577</v>
      </c>
      <c r="D21915" s="1" t="s">
        <v>6578</v>
      </c>
    </row>
    <row r="21916">
      <c r="A21916" s="1" t="s">
        <v>33803</v>
      </c>
      <c r="B21916" s="2" t="s">
        <v>33804</v>
      </c>
      <c r="C21916" s="1" t="s">
        <v>6577</v>
      </c>
      <c r="D21916" s="1" t="s">
        <v>6578</v>
      </c>
    </row>
    <row r="21917">
      <c r="A21917" s="1" t="s">
        <v>33805</v>
      </c>
      <c r="B21917" s="2" t="s">
        <v>33806</v>
      </c>
      <c r="C21917" s="1" t="s">
        <v>6577</v>
      </c>
      <c r="D21917" s="1" t="s">
        <v>6578</v>
      </c>
    </row>
    <row r="21918">
      <c r="A21918" s="1" t="s">
        <v>33807</v>
      </c>
      <c r="B21918" s="2" t="s">
        <v>33808</v>
      </c>
      <c r="C21918" s="1" t="s">
        <v>6577</v>
      </c>
      <c r="D21918" s="1" t="s">
        <v>6578</v>
      </c>
    </row>
    <row r="21919">
      <c r="A21919" s="1" t="s">
        <v>33809</v>
      </c>
      <c r="B21919" s="2" t="s">
        <v>33810</v>
      </c>
      <c r="C21919" s="1" t="s">
        <v>6577</v>
      </c>
      <c r="D21919" s="1" t="s">
        <v>6578</v>
      </c>
    </row>
    <row r="21920">
      <c r="A21920" s="1" t="s">
        <v>33811</v>
      </c>
      <c r="B21920" s="2" t="s">
        <v>33812</v>
      </c>
      <c r="C21920" s="1" t="s">
        <v>6577</v>
      </c>
      <c r="D21920" s="1" t="s">
        <v>6578</v>
      </c>
    </row>
    <row r="21921">
      <c r="A21921" s="1" t="s">
        <v>33813</v>
      </c>
      <c r="B21921" s="2" t="s">
        <v>33814</v>
      </c>
      <c r="C21921" s="1" t="s">
        <v>6577</v>
      </c>
      <c r="D21921" s="1" t="s">
        <v>6578</v>
      </c>
    </row>
    <row r="21922">
      <c r="A21922" s="1" t="s">
        <v>33815</v>
      </c>
      <c r="B21922" s="2" t="s">
        <v>33816</v>
      </c>
      <c r="C21922" s="1" t="s">
        <v>6577</v>
      </c>
      <c r="D21922" s="1" t="s">
        <v>6578</v>
      </c>
    </row>
    <row r="21923">
      <c r="A21923" s="1" t="s">
        <v>33817</v>
      </c>
      <c r="B21923" s="2" t="s">
        <v>33818</v>
      </c>
      <c r="C21923" s="1" t="s">
        <v>6577</v>
      </c>
      <c r="D21923" s="1" t="s">
        <v>6578</v>
      </c>
    </row>
    <row r="21924">
      <c r="A21924" s="1" t="s">
        <v>33819</v>
      </c>
      <c r="B21924" s="2" t="s">
        <v>33820</v>
      </c>
      <c r="C21924" s="1" t="s">
        <v>6577</v>
      </c>
      <c r="D21924" s="1" t="s">
        <v>6578</v>
      </c>
    </row>
    <row r="21925">
      <c r="A21925" s="1" t="s">
        <v>33821</v>
      </c>
      <c r="B21925" s="2" t="s">
        <v>33822</v>
      </c>
      <c r="C21925" s="1" t="s">
        <v>6577</v>
      </c>
      <c r="D21925" s="1" t="s">
        <v>6578</v>
      </c>
    </row>
    <row r="21926">
      <c r="A21926" s="1" t="s">
        <v>33823</v>
      </c>
      <c r="B21926" s="2" t="s">
        <v>33824</v>
      </c>
      <c r="C21926" s="1" t="s">
        <v>6577</v>
      </c>
      <c r="D21926" s="1" t="s">
        <v>6578</v>
      </c>
    </row>
    <row r="21927">
      <c r="A21927" s="1" t="s">
        <v>33825</v>
      </c>
      <c r="B21927" s="2" t="s">
        <v>33826</v>
      </c>
      <c r="C21927" s="1" t="s">
        <v>6577</v>
      </c>
      <c r="D21927" s="1" t="s">
        <v>6578</v>
      </c>
    </row>
    <row r="21928">
      <c r="A21928" s="1" t="s">
        <v>33827</v>
      </c>
      <c r="B21928" s="2" t="s">
        <v>33828</v>
      </c>
      <c r="C21928" s="1" t="s">
        <v>6577</v>
      </c>
      <c r="D21928" s="1" t="s">
        <v>6578</v>
      </c>
    </row>
    <row r="21929">
      <c r="A21929" s="1" t="s">
        <v>33829</v>
      </c>
      <c r="B21929" s="2" t="s">
        <v>33830</v>
      </c>
      <c r="C21929" s="1" t="s">
        <v>6577</v>
      </c>
      <c r="D21929" s="1" t="s">
        <v>6578</v>
      </c>
    </row>
    <row r="21930">
      <c r="A21930" s="1" t="s">
        <v>33831</v>
      </c>
      <c r="B21930" s="2" t="s">
        <v>33832</v>
      </c>
      <c r="C21930" s="1" t="s">
        <v>6577</v>
      </c>
      <c r="D21930" s="1" t="s">
        <v>6578</v>
      </c>
    </row>
    <row r="21931">
      <c r="A21931" s="1" t="s">
        <v>33833</v>
      </c>
      <c r="B21931" s="2" t="s">
        <v>33834</v>
      </c>
      <c r="C21931" s="1" t="s">
        <v>6577</v>
      </c>
      <c r="D21931" s="1" t="s">
        <v>6578</v>
      </c>
    </row>
    <row r="21932">
      <c r="A21932" s="1" t="s">
        <v>33835</v>
      </c>
      <c r="B21932" s="2" t="s">
        <v>33836</v>
      </c>
      <c r="C21932" s="1" t="s">
        <v>6577</v>
      </c>
      <c r="D21932" s="1" t="s">
        <v>6578</v>
      </c>
    </row>
    <row r="21933">
      <c r="A21933" s="1" t="s">
        <v>33837</v>
      </c>
      <c r="B21933" s="2" t="s">
        <v>33838</v>
      </c>
      <c r="C21933" s="1" t="s">
        <v>6577</v>
      </c>
      <c r="D21933" s="1" t="s">
        <v>6578</v>
      </c>
    </row>
    <row r="21934">
      <c r="A21934" s="1" t="s">
        <v>33839</v>
      </c>
      <c r="B21934" s="2" t="s">
        <v>33840</v>
      </c>
      <c r="C21934" s="1" t="s">
        <v>6577</v>
      </c>
      <c r="D21934" s="1" t="s">
        <v>6578</v>
      </c>
    </row>
    <row r="21935">
      <c r="A21935" s="1" t="s">
        <v>33841</v>
      </c>
      <c r="B21935" s="2" t="s">
        <v>33842</v>
      </c>
      <c r="C21935" s="1" t="s">
        <v>6577</v>
      </c>
      <c r="D21935" s="1" t="s">
        <v>6578</v>
      </c>
    </row>
    <row r="21936">
      <c r="A21936" s="1" t="s">
        <v>33843</v>
      </c>
      <c r="B21936" s="2" t="s">
        <v>33844</v>
      </c>
      <c r="C21936" s="1" t="s">
        <v>6577</v>
      </c>
      <c r="D21936" s="1" t="s">
        <v>6578</v>
      </c>
    </row>
    <row r="21937">
      <c r="A21937" s="1" t="s">
        <v>33845</v>
      </c>
      <c r="B21937" s="2" t="s">
        <v>33846</v>
      </c>
      <c r="C21937" s="1" t="s">
        <v>6577</v>
      </c>
      <c r="D21937" s="1" t="s">
        <v>6578</v>
      </c>
    </row>
    <row r="21938">
      <c r="A21938" s="1" t="s">
        <v>6579</v>
      </c>
      <c r="B21938" s="2" t="s">
        <v>6580</v>
      </c>
      <c r="C21938" s="1" t="s">
        <v>6581</v>
      </c>
      <c r="D21938" s="1" t="s">
        <v>6582</v>
      </c>
    </row>
    <row r="21939">
      <c r="A21939" s="1" t="s">
        <v>6583</v>
      </c>
      <c r="B21939" s="2" t="s">
        <v>7</v>
      </c>
      <c r="C21939" s="1" t="s">
        <v>148</v>
      </c>
      <c r="D21939" s="1" t="s">
        <v>6586</v>
      </c>
    </row>
    <row r="21940">
      <c r="A21940" s="1" t="s">
        <v>33847</v>
      </c>
      <c r="B21940" s="2" t="s">
        <v>33748</v>
      </c>
      <c r="C21940" s="1" t="s">
        <v>148</v>
      </c>
      <c r="D21940" s="1" t="s">
        <v>6586</v>
      </c>
    </row>
    <row r="21941">
      <c r="A21941" s="1" t="s">
        <v>33848</v>
      </c>
      <c r="B21941" s="2" t="s">
        <v>33750</v>
      </c>
      <c r="C21941" s="1" t="s">
        <v>148</v>
      </c>
      <c r="D21941" s="1" t="s">
        <v>6586</v>
      </c>
    </row>
    <row r="21942">
      <c r="A21942" s="1" t="s">
        <v>33849</v>
      </c>
      <c r="B21942" s="2" t="s">
        <v>33752</v>
      </c>
      <c r="C21942" s="1" t="s">
        <v>148</v>
      </c>
      <c r="D21942" s="1" t="s">
        <v>6586</v>
      </c>
    </row>
    <row r="21943">
      <c r="A21943" s="1" t="s">
        <v>33850</v>
      </c>
      <c r="B21943" s="2" t="s">
        <v>33754</v>
      </c>
      <c r="C21943" s="1" t="s">
        <v>148</v>
      </c>
      <c r="D21943" s="1" t="s">
        <v>6586</v>
      </c>
    </row>
    <row r="21944">
      <c r="A21944" s="1" t="s">
        <v>33851</v>
      </c>
      <c r="B21944" s="2" t="s">
        <v>33756</v>
      </c>
      <c r="C21944" s="1" t="s">
        <v>148</v>
      </c>
      <c r="D21944" s="1" t="s">
        <v>6586</v>
      </c>
    </row>
    <row r="21945">
      <c r="A21945" s="1" t="s">
        <v>33852</v>
      </c>
      <c r="B21945" s="2" t="s">
        <v>33758</v>
      </c>
      <c r="C21945" s="1" t="s">
        <v>148</v>
      </c>
      <c r="D21945" s="1" t="s">
        <v>6586</v>
      </c>
    </row>
    <row r="21946">
      <c r="A21946" s="1" t="s">
        <v>33853</v>
      </c>
      <c r="B21946" s="2" t="s">
        <v>33760</v>
      </c>
      <c r="C21946" s="1" t="s">
        <v>148</v>
      </c>
      <c r="D21946" s="1" t="s">
        <v>6586</v>
      </c>
    </row>
    <row r="21947">
      <c r="A21947" s="1" t="s">
        <v>33854</v>
      </c>
      <c r="B21947" s="2" t="s">
        <v>33762</v>
      </c>
      <c r="C21947" s="1" t="s">
        <v>148</v>
      </c>
      <c r="D21947" s="1" t="s">
        <v>6586</v>
      </c>
    </row>
    <row r="21948">
      <c r="A21948" s="1" t="s">
        <v>33855</v>
      </c>
      <c r="B21948" s="2" t="s">
        <v>33764</v>
      </c>
      <c r="C21948" s="1" t="s">
        <v>148</v>
      </c>
      <c r="D21948" s="1" t="s">
        <v>6586</v>
      </c>
    </row>
    <row r="21949">
      <c r="A21949" s="1" t="s">
        <v>33856</v>
      </c>
      <c r="B21949" s="2" t="s">
        <v>33766</v>
      </c>
      <c r="C21949" s="1" t="s">
        <v>148</v>
      </c>
      <c r="D21949" s="1" t="s">
        <v>6586</v>
      </c>
    </row>
    <row r="21950">
      <c r="A21950" s="1" t="s">
        <v>33857</v>
      </c>
      <c r="B21950" s="2" t="s">
        <v>33768</v>
      </c>
      <c r="C21950" s="1" t="s">
        <v>148</v>
      </c>
      <c r="D21950" s="1" t="s">
        <v>6586</v>
      </c>
    </row>
    <row r="21951">
      <c r="A21951" s="1" t="s">
        <v>33858</v>
      </c>
      <c r="B21951" s="2" t="s">
        <v>33770</v>
      </c>
      <c r="C21951" s="1" t="s">
        <v>148</v>
      </c>
      <c r="D21951" s="1" t="s">
        <v>6586</v>
      </c>
    </row>
    <row r="21952">
      <c r="A21952" s="1" t="s">
        <v>33859</v>
      </c>
      <c r="B21952" s="2" t="s">
        <v>33772</v>
      </c>
      <c r="C21952" s="1" t="s">
        <v>148</v>
      </c>
      <c r="D21952" s="1" t="s">
        <v>6586</v>
      </c>
    </row>
    <row r="21953">
      <c r="A21953" s="1" t="s">
        <v>33860</v>
      </c>
      <c r="B21953" s="2" t="s">
        <v>33774</v>
      </c>
      <c r="C21953" s="1" t="s">
        <v>148</v>
      </c>
      <c r="D21953" s="1" t="s">
        <v>6586</v>
      </c>
    </row>
    <row r="21954">
      <c r="A21954" s="1" t="s">
        <v>33861</v>
      </c>
      <c r="B21954" s="2" t="s">
        <v>33776</v>
      </c>
      <c r="C21954" s="1" t="s">
        <v>148</v>
      </c>
      <c r="D21954" s="1" t="s">
        <v>6586</v>
      </c>
    </row>
    <row r="21955">
      <c r="A21955" s="1" t="s">
        <v>33862</v>
      </c>
      <c r="B21955" s="2" t="s">
        <v>33778</v>
      </c>
      <c r="C21955" s="1" t="s">
        <v>148</v>
      </c>
      <c r="D21955" s="1" t="s">
        <v>6586</v>
      </c>
    </row>
    <row r="21956">
      <c r="A21956" s="1" t="s">
        <v>33863</v>
      </c>
      <c r="B21956" s="2" t="s">
        <v>33780</v>
      </c>
      <c r="C21956" s="1" t="s">
        <v>148</v>
      </c>
      <c r="D21956" s="1" t="s">
        <v>6586</v>
      </c>
    </row>
    <row r="21957">
      <c r="A21957" s="1" t="s">
        <v>33864</v>
      </c>
      <c r="B21957" s="2" t="s">
        <v>33782</v>
      </c>
      <c r="C21957" s="1" t="s">
        <v>148</v>
      </c>
      <c r="D21957" s="1" t="s">
        <v>6586</v>
      </c>
    </row>
    <row r="21958">
      <c r="A21958" s="1" t="s">
        <v>33865</v>
      </c>
      <c r="B21958" s="2" t="s">
        <v>33784</v>
      </c>
      <c r="C21958" s="1" t="s">
        <v>148</v>
      </c>
      <c r="D21958" s="1" t="s">
        <v>6586</v>
      </c>
    </row>
    <row r="21959">
      <c r="A21959" s="1" t="s">
        <v>33866</v>
      </c>
      <c r="B21959" s="2" t="s">
        <v>33786</v>
      </c>
      <c r="C21959" s="1" t="s">
        <v>148</v>
      </c>
      <c r="D21959" s="1" t="s">
        <v>6586</v>
      </c>
    </row>
    <row r="21960">
      <c r="A21960" s="1" t="s">
        <v>33867</v>
      </c>
      <c r="B21960" s="2" t="s">
        <v>33788</v>
      </c>
      <c r="C21960" s="1" t="s">
        <v>148</v>
      </c>
      <c r="D21960" s="1" t="s">
        <v>6586</v>
      </c>
    </row>
    <row r="21961">
      <c r="A21961" s="1" t="s">
        <v>33868</v>
      </c>
      <c r="B21961" s="2" t="s">
        <v>33790</v>
      </c>
      <c r="C21961" s="1" t="s">
        <v>148</v>
      </c>
      <c r="D21961" s="1" t="s">
        <v>6586</v>
      </c>
    </row>
    <row r="21962">
      <c r="A21962" s="1" t="s">
        <v>33869</v>
      </c>
      <c r="B21962" s="2" t="s">
        <v>33792</v>
      </c>
      <c r="C21962" s="1" t="s">
        <v>148</v>
      </c>
      <c r="D21962" s="1" t="s">
        <v>6586</v>
      </c>
    </row>
    <row r="21963">
      <c r="A21963" s="1" t="s">
        <v>33870</v>
      </c>
      <c r="B21963" s="2" t="s">
        <v>33794</v>
      </c>
      <c r="C21963" s="1" t="s">
        <v>148</v>
      </c>
      <c r="D21963" s="1" t="s">
        <v>6586</v>
      </c>
    </row>
    <row r="21964">
      <c r="A21964" s="1" t="s">
        <v>33871</v>
      </c>
      <c r="B21964" s="2" t="s">
        <v>33796</v>
      </c>
      <c r="C21964" s="1" t="s">
        <v>148</v>
      </c>
      <c r="D21964" s="1" t="s">
        <v>6586</v>
      </c>
    </row>
    <row r="21965">
      <c r="A21965" s="1" t="s">
        <v>33872</v>
      </c>
      <c r="B21965" s="2" t="s">
        <v>33798</v>
      </c>
      <c r="C21965" s="1" t="s">
        <v>148</v>
      </c>
      <c r="D21965" s="1" t="s">
        <v>6586</v>
      </c>
    </row>
    <row r="21966">
      <c r="A21966" s="1" t="s">
        <v>6590</v>
      </c>
      <c r="B21966" s="2" t="s">
        <v>6592</v>
      </c>
      <c r="C21966" s="1" t="s">
        <v>6594</v>
      </c>
      <c r="D21966" s="1" t="s">
        <v>6595</v>
      </c>
    </row>
    <row r="21967">
      <c r="A21967" s="1" t="s">
        <v>6600</v>
      </c>
      <c r="B21967" s="2" t="s">
        <v>6601</v>
      </c>
      <c r="C21967" s="1" t="s">
        <v>6602</v>
      </c>
      <c r="D21967" s="1" t="s">
        <v>6603</v>
      </c>
    </row>
    <row r="21968">
      <c r="A21968" s="1" t="s">
        <v>6606</v>
      </c>
      <c r="B21968" s="2" t="s">
        <v>6607</v>
      </c>
      <c r="C21968" s="1" t="s">
        <v>6609</v>
      </c>
      <c r="D21968" s="1" t="s">
        <v>6610</v>
      </c>
    </row>
    <row r="21969">
      <c r="A21969" s="1" t="s">
        <v>33873</v>
      </c>
      <c r="B21969" s="2" t="s">
        <v>33874</v>
      </c>
      <c r="C21969" s="1" t="s">
        <v>6609</v>
      </c>
      <c r="D21969" s="1" t="s">
        <v>6610</v>
      </c>
    </row>
    <row r="21970">
      <c r="A21970" s="1" t="s">
        <v>33875</v>
      </c>
      <c r="B21970" s="2" t="s">
        <v>33876</v>
      </c>
      <c r="C21970" s="1" t="s">
        <v>6609</v>
      </c>
      <c r="D21970" s="1" t="s">
        <v>6610</v>
      </c>
    </row>
    <row r="21971">
      <c r="A21971" s="1" t="s">
        <v>33877</v>
      </c>
      <c r="B21971" s="2" t="s">
        <v>33878</v>
      </c>
      <c r="C21971" s="1" t="s">
        <v>6609</v>
      </c>
      <c r="D21971" s="1" t="s">
        <v>6610</v>
      </c>
    </row>
    <row r="21972">
      <c r="A21972" s="1" t="s">
        <v>33879</v>
      </c>
      <c r="B21972" s="2" t="s">
        <v>33880</v>
      </c>
      <c r="C21972" s="1" t="s">
        <v>6609</v>
      </c>
      <c r="D21972" s="1" t="s">
        <v>6610</v>
      </c>
    </row>
    <row r="21973">
      <c r="A21973" s="1" t="s">
        <v>33881</v>
      </c>
      <c r="B21973" s="2" t="s">
        <v>33882</v>
      </c>
      <c r="C21973" s="1" t="s">
        <v>6609</v>
      </c>
      <c r="D21973" s="1" t="s">
        <v>6610</v>
      </c>
    </row>
    <row r="21974">
      <c r="A21974" s="1" t="s">
        <v>33883</v>
      </c>
      <c r="B21974" s="2" t="s">
        <v>33884</v>
      </c>
      <c r="C21974" s="1" t="s">
        <v>6609</v>
      </c>
      <c r="D21974" s="1" t="s">
        <v>6610</v>
      </c>
    </row>
    <row r="21975">
      <c r="A21975" s="1" t="s">
        <v>33885</v>
      </c>
      <c r="B21975" s="2" t="s">
        <v>33886</v>
      </c>
      <c r="C21975" s="1" t="s">
        <v>6609</v>
      </c>
      <c r="D21975" s="1" t="s">
        <v>6610</v>
      </c>
    </row>
    <row r="21976">
      <c r="A21976" s="1" t="s">
        <v>6614</v>
      </c>
      <c r="B21976" s="2" t="s">
        <v>6607</v>
      </c>
      <c r="C21976" s="1" t="s">
        <v>6616</v>
      </c>
      <c r="D21976" s="1" t="s">
        <v>6618</v>
      </c>
    </row>
    <row r="21977">
      <c r="A21977" s="1" t="s">
        <v>33887</v>
      </c>
      <c r="B21977" s="2" t="s">
        <v>33888</v>
      </c>
      <c r="C21977" s="1" t="s">
        <v>6616</v>
      </c>
      <c r="D21977" s="1" t="s">
        <v>6618</v>
      </c>
    </row>
    <row r="21978">
      <c r="A21978" s="1" t="s">
        <v>33889</v>
      </c>
      <c r="B21978" s="2" t="s">
        <v>33890</v>
      </c>
      <c r="C21978" s="1" t="s">
        <v>6616</v>
      </c>
      <c r="D21978" s="1" t="s">
        <v>6618</v>
      </c>
    </row>
    <row r="21979">
      <c r="A21979" s="1" t="s">
        <v>6621</v>
      </c>
      <c r="B21979" s="2" t="s">
        <v>7</v>
      </c>
      <c r="C21979" s="1" t="s">
        <v>6623</v>
      </c>
      <c r="D21979" s="1" t="s">
        <v>6624</v>
      </c>
    </row>
    <row r="21980">
      <c r="A21980" s="1" t="s">
        <v>33891</v>
      </c>
      <c r="B21980" s="2" t="s">
        <v>33892</v>
      </c>
      <c r="C21980" s="1" t="s">
        <v>6623</v>
      </c>
      <c r="D21980" s="1" t="s">
        <v>6624</v>
      </c>
    </row>
    <row r="21981">
      <c r="A21981" s="1" t="s">
        <v>33893</v>
      </c>
      <c r="B21981" s="2" t="s">
        <v>33894</v>
      </c>
      <c r="C21981" s="1" t="s">
        <v>6623</v>
      </c>
      <c r="D21981" s="1" t="s">
        <v>6624</v>
      </c>
    </row>
    <row r="21982">
      <c r="A21982" s="1" t="s">
        <v>33895</v>
      </c>
      <c r="B21982" s="2" t="s">
        <v>33896</v>
      </c>
      <c r="C21982" s="1" t="s">
        <v>6623</v>
      </c>
      <c r="D21982" s="1" t="s">
        <v>6624</v>
      </c>
    </row>
    <row r="21983">
      <c r="A21983" s="1" t="s">
        <v>33897</v>
      </c>
      <c r="B21983" s="2" t="s">
        <v>33898</v>
      </c>
      <c r="C21983" s="1" t="s">
        <v>6623</v>
      </c>
      <c r="D21983" s="1" t="s">
        <v>6624</v>
      </c>
    </row>
    <row r="21984">
      <c r="A21984" s="1" t="s">
        <v>33899</v>
      </c>
      <c r="B21984" s="2" t="s">
        <v>33900</v>
      </c>
      <c r="C21984" s="1" t="s">
        <v>6623</v>
      </c>
      <c r="D21984" s="1" t="s">
        <v>6624</v>
      </c>
    </row>
    <row r="21985">
      <c r="A21985" s="1" t="s">
        <v>33901</v>
      </c>
      <c r="B21985" s="2" t="s">
        <v>33902</v>
      </c>
      <c r="C21985" s="1" t="s">
        <v>6623</v>
      </c>
      <c r="D21985" s="1" t="s">
        <v>6624</v>
      </c>
    </row>
    <row r="21986">
      <c r="A21986" s="1" t="s">
        <v>33903</v>
      </c>
      <c r="B21986" s="2" t="s">
        <v>33904</v>
      </c>
      <c r="C21986" s="1" t="s">
        <v>6623</v>
      </c>
      <c r="D21986" s="1" t="s">
        <v>6624</v>
      </c>
    </row>
    <row r="21987">
      <c r="A21987" s="1" t="s">
        <v>33905</v>
      </c>
      <c r="B21987" s="2" t="s">
        <v>33906</v>
      </c>
      <c r="C21987" s="1" t="s">
        <v>6623</v>
      </c>
      <c r="D21987" s="1" t="s">
        <v>6624</v>
      </c>
    </row>
    <row r="21988">
      <c r="A21988" s="1" t="s">
        <v>33907</v>
      </c>
      <c r="B21988" s="2" t="s">
        <v>33908</v>
      </c>
      <c r="C21988" s="1" t="s">
        <v>6623</v>
      </c>
      <c r="D21988" s="1" t="s">
        <v>6624</v>
      </c>
    </row>
    <row r="21989">
      <c r="A21989" s="1" t="s">
        <v>33909</v>
      </c>
      <c r="B21989" s="2" t="s">
        <v>33910</v>
      </c>
      <c r="C21989" s="1" t="s">
        <v>6623</v>
      </c>
      <c r="D21989" s="1" t="s">
        <v>6624</v>
      </c>
    </row>
    <row r="21990">
      <c r="A21990" s="1" t="s">
        <v>33911</v>
      </c>
      <c r="B21990" s="2" t="s">
        <v>33912</v>
      </c>
      <c r="C21990" s="1" t="s">
        <v>6623</v>
      </c>
      <c r="D21990" s="1" t="s">
        <v>6624</v>
      </c>
    </row>
    <row r="21991">
      <c r="A21991" s="1" t="s">
        <v>33913</v>
      </c>
      <c r="B21991" s="2" t="s">
        <v>33914</v>
      </c>
      <c r="C21991" s="1" t="s">
        <v>6623</v>
      </c>
      <c r="D21991" s="1" t="s">
        <v>6624</v>
      </c>
    </row>
    <row r="21992">
      <c r="A21992" s="1" t="s">
        <v>33915</v>
      </c>
      <c r="B21992" s="2" t="s">
        <v>33916</v>
      </c>
      <c r="C21992" s="1" t="s">
        <v>6623</v>
      </c>
      <c r="D21992" s="1" t="s">
        <v>6624</v>
      </c>
    </row>
    <row r="21993">
      <c r="A21993" s="1" t="s">
        <v>33917</v>
      </c>
      <c r="B21993" s="2" t="s">
        <v>33918</v>
      </c>
      <c r="C21993" s="1" t="s">
        <v>6623</v>
      </c>
      <c r="D21993" s="1" t="s">
        <v>6624</v>
      </c>
    </row>
    <row r="21994">
      <c r="A21994" s="1" t="s">
        <v>33919</v>
      </c>
      <c r="B21994" s="2" t="s">
        <v>33920</v>
      </c>
      <c r="C21994" s="1" t="s">
        <v>6623</v>
      </c>
      <c r="D21994" s="1" t="s">
        <v>6624</v>
      </c>
    </row>
    <row r="21995">
      <c r="A21995" s="1" t="s">
        <v>33921</v>
      </c>
      <c r="B21995" s="2" t="s">
        <v>33922</v>
      </c>
      <c r="C21995" s="1" t="s">
        <v>6623</v>
      </c>
      <c r="D21995" s="1" t="s">
        <v>6624</v>
      </c>
    </row>
    <row r="21996">
      <c r="A21996" s="1" t="s">
        <v>33923</v>
      </c>
      <c r="B21996" s="2" t="s">
        <v>33924</v>
      </c>
      <c r="C21996" s="1" t="s">
        <v>6623</v>
      </c>
      <c r="D21996" s="1" t="s">
        <v>6624</v>
      </c>
    </row>
    <row r="21997">
      <c r="A21997" s="1" t="s">
        <v>33925</v>
      </c>
      <c r="B21997" s="2" t="s">
        <v>33926</v>
      </c>
      <c r="C21997" s="1" t="s">
        <v>6623</v>
      </c>
      <c r="D21997" s="1" t="s">
        <v>6624</v>
      </c>
    </row>
    <row r="21998">
      <c r="A21998" s="1" t="s">
        <v>33927</v>
      </c>
      <c r="B21998" s="2" t="s">
        <v>33928</v>
      </c>
      <c r="C21998" s="1" t="s">
        <v>6623</v>
      </c>
      <c r="D21998" s="1" t="s">
        <v>6624</v>
      </c>
    </row>
    <row r="21999">
      <c r="A21999" s="1" t="s">
        <v>33929</v>
      </c>
      <c r="B21999" s="2" t="s">
        <v>33930</v>
      </c>
      <c r="C21999" s="1" t="s">
        <v>6623</v>
      </c>
      <c r="D21999" s="1" t="s">
        <v>6624</v>
      </c>
    </row>
    <row r="22000">
      <c r="A22000" s="1" t="s">
        <v>33931</v>
      </c>
      <c r="B22000" s="2" t="s">
        <v>33932</v>
      </c>
      <c r="C22000" s="1" t="s">
        <v>6623</v>
      </c>
      <c r="D22000" s="1" t="s">
        <v>6624</v>
      </c>
    </row>
    <row r="22001">
      <c r="A22001" s="1" t="s">
        <v>33933</v>
      </c>
      <c r="B22001" s="2" t="s">
        <v>33934</v>
      </c>
      <c r="C22001" s="1" t="s">
        <v>6623</v>
      </c>
      <c r="D22001" s="1" t="s">
        <v>6624</v>
      </c>
    </row>
    <row r="22002">
      <c r="A22002" s="1" t="s">
        <v>33935</v>
      </c>
      <c r="B22002" s="2" t="s">
        <v>33936</v>
      </c>
      <c r="C22002" s="1" t="s">
        <v>6623</v>
      </c>
      <c r="D22002" s="1" t="s">
        <v>6624</v>
      </c>
    </row>
    <row r="22003">
      <c r="A22003" s="1" t="s">
        <v>33937</v>
      </c>
      <c r="B22003" s="2" t="s">
        <v>33938</v>
      </c>
      <c r="C22003" s="1" t="s">
        <v>6623</v>
      </c>
      <c r="D22003" s="1" t="s">
        <v>6624</v>
      </c>
    </row>
    <row r="22004">
      <c r="A22004" s="1" t="s">
        <v>33939</v>
      </c>
      <c r="B22004" s="2" t="s">
        <v>33940</v>
      </c>
      <c r="C22004" s="1" t="s">
        <v>6623</v>
      </c>
      <c r="D22004" s="1" t="s">
        <v>6624</v>
      </c>
    </row>
    <row r="22005">
      <c r="A22005" s="1" t="s">
        <v>33941</v>
      </c>
      <c r="B22005" s="2" t="s">
        <v>33942</v>
      </c>
      <c r="C22005" s="1" t="s">
        <v>6623</v>
      </c>
      <c r="D22005" s="1" t="s">
        <v>6624</v>
      </c>
    </row>
    <row r="22006">
      <c r="A22006" s="1" t="s">
        <v>33943</v>
      </c>
      <c r="B22006" s="2" t="s">
        <v>33944</v>
      </c>
      <c r="C22006" s="1" t="s">
        <v>6623</v>
      </c>
      <c r="D22006" s="1" t="s">
        <v>6624</v>
      </c>
    </row>
    <row r="22007">
      <c r="A22007" s="1" t="s">
        <v>33945</v>
      </c>
      <c r="B22007" s="2" t="s">
        <v>33946</v>
      </c>
      <c r="C22007" s="1" t="s">
        <v>6623</v>
      </c>
      <c r="D22007" s="1" t="s">
        <v>6624</v>
      </c>
    </row>
    <row r="22008">
      <c r="A22008" s="1" t="s">
        <v>33947</v>
      </c>
      <c r="B22008" s="2" t="s">
        <v>33948</v>
      </c>
      <c r="C22008" s="1" t="s">
        <v>6623</v>
      </c>
      <c r="D22008" s="1" t="s">
        <v>6624</v>
      </c>
    </row>
    <row r="22009">
      <c r="A22009" s="1" t="s">
        <v>33949</v>
      </c>
      <c r="B22009" s="2" t="s">
        <v>33950</v>
      </c>
      <c r="C22009" s="1" t="s">
        <v>6623</v>
      </c>
      <c r="D22009" s="1" t="s">
        <v>6624</v>
      </c>
    </row>
    <row r="22010">
      <c r="A22010" s="1" t="s">
        <v>33951</v>
      </c>
      <c r="B22010" s="2" t="s">
        <v>33952</v>
      </c>
      <c r="C22010" s="1" t="s">
        <v>6623</v>
      </c>
      <c r="D22010" s="1" t="s">
        <v>6624</v>
      </c>
    </row>
    <row r="22011">
      <c r="A22011" s="1" t="s">
        <v>33953</v>
      </c>
      <c r="B22011" s="2" t="s">
        <v>33954</v>
      </c>
      <c r="C22011" s="1" t="s">
        <v>6623</v>
      </c>
      <c r="D22011" s="1" t="s">
        <v>6624</v>
      </c>
    </row>
    <row r="22012">
      <c r="A22012" s="1" t="s">
        <v>33955</v>
      </c>
      <c r="B22012" s="2" t="s">
        <v>33956</v>
      </c>
      <c r="C22012" s="1" t="s">
        <v>6623</v>
      </c>
      <c r="D22012" s="1" t="s">
        <v>6624</v>
      </c>
    </row>
    <row r="22013">
      <c r="A22013" s="1" t="s">
        <v>33957</v>
      </c>
      <c r="B22013" s="2" t="s">
        <v>33958</v>
      </c>
      <c r="C22013" s="1" t="s">
        <v>6623</v>
      </c>
      <c r="D22013" s="1" t="s">
        <v>6624</v>
      </c>
    </row>
    <row r="22014">
      <c r="A22014" s="1" t="s">
        <v>33959</v>
      </c>
      <c r="B22014" s="2" t="s">
        <v>33960</v>
      </c>
      <c r="C22014" s="1" t="s">
        <v>6623</v>
      </c>
      <c r="D22014" s="1" t="s">
        <v>6624</v>
      </c>
    </row>
    <row r="22015">
      <c r="A22015" s="1" t="s">
        <v>33961</v>
      </c>
      <c r="B22015" s="2" t="s">
        <v>33962</v>
      </c>
      <c r="C22015" s="1" t="s">
        <v>6623</v>
      </c>
      <c r="D22015" s="1" t="s">
        <v>6624</v>
      </c>
    </row>
    <row r="22016">
      <c r="A22016" s="1" t="s">
        <v>6628</v>
      </c>
      <c r="B22016" s="2" t="s">
        <v>7</v>
      </c>
      <c r="C22016" s="1" t="s">
        <v>6630</v>
      </c>
      <c r="D22016" s="1" t="s">
        <v>6631</v>
      </c>
    </row>
    <row r="22017">
      <c r="A22017" s="1" t="s">
        <v>33963</v>
      </c>
      <c r="B22017" s="2" t="s">
        <v>33964</v>
      </c>
      <c r="C22017" s="1" t="s">
        <v>6630</v>
      </c>
      <c r="D22017" s="1" t="s">
        <v>6631</v>
      </c>
    </row>
    <row r="22018">
      <c r="A22018" s="1" t="s">
        <v>33965</v>
      </c>
      <c r="B22018" s="2" t="s">
        <v>33966</v>
      </c>
      <c r="C22018" s="1" t="s">
        <v>6630</v>
      </c>
      <c r="D22018" s="1" t="s">
        <v>6631</v>
      </c>
    </row>
    <row r="22019">
      <c r="A22019" s="1" t="s">
        <v>6635</v>
      </c>
      <c r="B22019" s="2" t="s">
        <v>7</v>
      </c>
      <c r="C22019" s="1" t="s">
        <v>6636</v>
      </c>
      <c r="D22019" s="1" t="s">
        <v>6637</v>
      </c>
    </row>
    <row r="22020">
      <c r="A22020" s="1" t="s">
        <v>33967</v>
      </c>
      <c r="B22020" s="2" t="s">
        <v>33968</v>
      </c>
      <c r="C22020" s="1" t="s">
        <v>6636</v>
      </c>
      <c r="D22020" s="1" t="s">
        <v>6637</v>
      </c>
    </row>
    <row r="22021">
      <c r="A22021" s="1" t="s">
        <v>33969</v>
      </c>
      <c r="B22021" s="2" t="s">
        <v>33970</v>
      </c>
      <c r="C22021" s="1" t="s">
        <v>6636</v>
      </c>
      <c r="D22021" s="1" t="s">
        <v>6637</v>
      </c>
    </row>
    <row r="22022">
      <c r="A22022" s="1" t="s">
        <v>33971</v>
      </c>
      <c r="B22022" s="2" t="s">
        <v>33972</v>
      </c>
      <c r="C22022" s="1" t="s">
        <v>6636</v>
      </c>
      <c r="D22022" s="1" t="s">
        <v>6637</v>
      </c>
    </row>
    <row r="22023">
      <c r="A22023" s="1" t="s">
        <v>33973</v>
      </c>
      <c r="B22023" s="2" t="s">
        <v>33974</v>
      </c>
      <c r="C22023" s="1" t="s">
        <v>6636</v>
      </c>
      <c r="D22023" s="1" t="s">
        <v>6637</v>
      </c>
    </row>
    <row r="22024">
      <c r="A22024" s="1" t="s">
        <v>33975</v>
      </c>
      <c r="B22024" s="2" t="s">
        <v>33976</v>
      </c>
      <c r="C22024" s="1" t="s">
        <v>6636</v>
      </c>
      <c r="D22024" s="1" t="s">
        <v>6637</v>
      </c>
    </row>
    <row r="22025">
      <c r="A22025" s="1" t="s">
        <v>33977</v>
      </c>
      <c r="B22025" s="2" t="s">
        <v>33978</v>
      </c>
      <c r="C22025" s="1" t="s">
        <v>6636</v>
      </c>
      <c r="D22025" s="1" t="s">
        <v>6637</v>
      </c>
    </row>
    <row r="22026">
      <c r="A22026" s="1" t="s">
        <v>33979</v>
      </c>
      <c r="B22026" s="2" t="s">
        <v>33980</v>
      </c>
      <c r="C22026" s="1" t="s">
        <v>6636</v>
      </c>
      <c r="D22026" s="1" t="s">
        <v>6637</v>
      </c>
    </row>
    <row r="22027">
      <c r="A22027" s="1" t="s">
        <v>33981</v>
      </c>
      <c r="B22027" s="2" t="s">
        <v>33982</v>
      </c>
      <c r="C22027" s="1" t="s">
        <v>6636</v>
      </c>
      <c r="D22027" s="1" t="s">
        <v>6637</v>
      </c>
    </row>
    <row r="22028">
      <c r="A22028" s="1" t="s">
        <v>33983</v>
      </c>
      <c r="B22028" s="2" t="s">
        <v>33984</v>
      </c>
      <c r="C22028" s="1" t="s">
        <v>6636</v>
      </c>
      <c r="D22028" s="1" t="s">
        <v>6637</v>
      </c>
    </row>
    <row r="22029">
      <c r="A22029" s="1" t="s">
        <v>33985</v>
      </c>
      <c r="B22029" s="2" t="s">
        <v>33986</v>
      </c>
      <c r="C22029" s="1" t="s">
        <v>6636</v>
      </c>
      <c r="D22029" s="1" t="s">
        <v>6637</v>
      </c>
    </row>
    <row r="22030">
      <c r="A22030" s="1" t="s">
        <v>6642</v>
      </c>
      <c r="B22030" s="2" t="s">
        <v>6643</v>
      </c>
      <c r="C22030" s="1" t="s">
        <v>6645</v>
      </c>
      <c r="D22030" s="1" t="s">
        <v>6646</v>
      </c>
    </row>
    <row r="22031">
      <c r="A22031" s="1" t="s">
        <v>6649</v>
      </c>
      <c r="B22031" s="2" t="s">
        <v>7</v>
      </c>
      <c r="C22031" s="1" t="s">
        <v>6651</v>
      </c>
      <c r="D22031" s="1" t="s">
        <v>6652</v>
      </c>
    </row>
    <row r="22032">
      <c r="A22032" s="1" t="s">
        <v>33987</v>
      </c>
      <c r="B22032" s="2" t="s">
        <v>33988</v>
      </c>
      <c r="C22032" s="1" t="s">
        <v>6651</v>
      </c>
      <c r="D22032" s="1" t="s">
        <v>6652</v>
      </c>
    </row>
    <row r="22033">
      <c r="A22033" s="1" t="s">
        <v>33989</v>
      </c>
      <c r="B22033" s="2" t="s">
        <v>33990</v>
      </c>
      <c r="C22033" s="1" t="s">
        <v>6651</v>
      </c>
      <c r="D22033" s="1" t="s">
        <v>6652</v>
      </c>
    </row>
    <row r="22034">
      <c r="A22034" s="1" t="s">
        <v>33991</v>
      </c>
      <c r="B22034" s="2" t="s">
        <v>33992</v>
      </c>
      <c r="C22034" s="1" t="s">
        <v>6651</v>
      </c>
      <c r="D22034" s="1" t="s">
        <v>6652</v>
      </c>
    </row>
    <row r="22035">
      <c r="A22035" s="1" t="s">
        <v>33993</v>
      </c>
      <c r="B22035" s="2" t="s">
        <v>33994</v>
      </c>
      <c r="C22035" s="1" t="s">
        <v>6651</v>
      </c>
      <c r="D22035" s="1" t="s">
        <v>6652</v>
      </c>
    </row>
    <row r="22036">
      <c r="A22036" s="1" t="s">
        <v>33995</v>
      </c>
      <c r="B22036" s="2" t="s">
        <v>33996</v>
      </c>
      <c r="C22036" s="1" t="s">
        <v>6651</v>
      </c>
      <c r="D22036" s="1" t="s">
        <v>6652</v>
      </c>
    </row>
    <row r="22037">
      <c r="A22037" s="1" t="s">
        <v>33997</v>
      </c>
      <c r="B22037" s="2" t="s">
        <v>33998</v>
      </c>
      <c r="C22037" s="1" t="s">
        <v>6651</v>
      </c>
      <c r="D22037" s="1" t="s">
        <v>6652</v>
      </c>
    </row>
    <row r="22038">
      <c r="A22038" s="1" t="s">
        <v>33999</v>
      </c>
      <c r="B22038" s="2" t="s">
        <v>34000</v>
      </c>
      <c r="C22038" s="1" t="s">
        <v>6651</v>
      </c>
      <c r="D22038" s="1" t="s">
        <v>6652</v>
      </c>
    </row>
    <row r="22039">
      <c r="A22039" s="1" t="s">
        <v>34001</v>
      </c>
      <c r="B22039" s="2" t="s">
        <v>34002</v>
      </c>
      <c r="C22039" s="1" t="s">
        <v>6651</v>
      </c>
      <c r="D22039" s="1" t="s">
        <v>6652</v>
      </c>
    </row>
    <row r="22040">
      <c r="A22040" s="1" t="s">
        <v>34003</v>
      </c>
      <c r="B22040" s="2" t="s">
        <v>34004</v>
      </c>
      <c r="C22040" s="1" t="s">
        <v>6651</v>
      </c>
      <c r="D22040" s="1" t="s">
        <v>6652</v>
      </c>
    </row>
    <row r="22041">
      <c r="A22041" s="1" t="s">
        <v>34005</v>
      </c>
      <c r="B22041" s="2" t="s">
        <v>34006</v>
      </c>
      <c r="C22041" s="1" t="s">
        <v>6651</v>
      </c>
      <c r="D22041" s="1" t="s">
        <v>6652</v>
      </c>
    </row>
    <row r="22042">
      <c r="A22042" s="1" t="s">
        <v>34007</v>
      </c>
      <c r="B22042" s="2" t="s">
        <v>34008</v>
      </c>
      <c r="C22042" s="1" t="s">
        <v>6651</v>
      </c>
      <c r="D22042" s="1" t="s">
        <v>6652</v>
      </c>
    </row>
    <row r="22043">
      <c r="A22043" s="1" t="s">
        <v>34009</v>
      </c>
      <c r="B22043" s="2" t="s">
        <v>34010</v>
      </c>
      <c r="C22043" s="1" t="s">
        <v>6651</v>
      </c>
      <c r="D22043" s="1" t="s">
        <v>6652</v>
      </c>
    </row>
    <row r="22044">
      <c r="A22044" s="1" t="s">
        <v>34011</v>
      </c>
      <c r="B22044" s="2" t="s">
        <v>34012</v>
      </c>
      <c r="C22044" s="1" t="s">
        <v>6651</v>
      </c>
      <c r="D22044" s="1" t="s">
        <v>6652</v>
      </c>
    </row>
    <row r="22045">
      <c r="A22045" s="1" t="s">
        <v>34013</v>
      </c>
      <c r="B22045" s="2" t="s">
        <v>34014</v>
      </c>
      <c r="C22045" s="1" t="s">
        <v>6651</v>
      </c>
      <c r="D22045" s="1" t="s">
        <v>6652</v>
      </c>
    </row>
    <row r="22046">
      <c r="A22046" s="1" t="s">
        <v>34015</v>
      </c>
      <c r="B22046" s="2" t="s">
        <v>34016</v>
      </c>
      <c r="C22046" s="1" t="s">
        <v>6651</v>
      </c>
      <c r="D22046" s="1" t="s">
        <v>6652</v>
      </c>
    </row>
    <row r="22047">
      <c r="A22047" s="1" t="s">
        <v>34017</v>
      </c>
      <c r="B22047" s="2" t="s">
        <v>34018</v>
      </c>
      <c r="C22047" s="1" t="s">
        <v>6651</v>
      </c>
      <c r="D22047" s="1" t="s">
        <v>6652</v>
      </c>
    </row>
    <row r="22048">
      <c r="A22048" s="1" t="s">
        <v>34019</v>
      </c>
      <c r="B22048" s="2" t="s">
        <v>34020</v>
      </c>
      <c r="C22048" s="1" t="s">
        <v>6651</v>
      </c>
      <c r="D22048" s="1" t="s">
        <v>6652</v>
      </c>
    </row>
    <row r="22049">
      <c r="A22049" s="1" t="s">
        <v>34021</v>
      </c>
      <c r="B22049" s="2" t="s">
        <v>34022</v>
      </c>
      <c r="C22049" s="1" t="s">
        <v>6651</v>
      </c>
      <c r="D22049" s="1" t="s">
        <v>6652</v>
      </c>
    </row>
    <row r="22050">
      <c r="A22050" s="1" t="s">
        <v>34023</v>
      </c>
      <c r="B22050" s="2" t="s">
        <v>34024</v>
      </c>
      <c r="C22050" s="1" t="s">
        <v>6651</v>
      </c>
      <c r="D22050" s="1" t="s">
        <v>6652</v>
      </c>
    </row>
    <row r="22051">
      <c r="A22051" s="1" t="s">
        <v>34025</v>
      </c>
      <c r="B22051" s="2" t="s">
        <v>34026</v>
      </c>
      <c r="C22051" s="1" t="s">
        <v>6651</v>
      </c>
      <c r="D22051" s="1" t="s">
        <v>6652</v>
      </c>
    </row>
    <row r="22052">
      <c r="A22052" s="1" t="s">
        <v>34027</v>
      </c>
      <c r="B22052" s="2" t="s">
        <v>34028</v>
      </c>
      <c r="C22052" s="1" t="s">
        <v>6651</v>
      </c>
      <c r="D22052" s="1" t="s">
        <v>6652</v>
      </c>
    </row>
    <row r="22053">
      <c r="A22053" s="1" t="s">
        <v>34029</v>
      </c>
      <c r="B22053" s="2" t="s">
        <v>21095</v>
      </c>
      <c r="C22053" s="1" t="s">
        <v>6651</v>
      </c>
      <c r="D22053" s="1" t="s">
        <v>6652</v>
      </c>
    </row>
    <row r="22054">
      <c r="A22054" s="1" t="s">
        <v>34030</v>
      </c>
      <c r="B22054" s="2" t="s">
        <v>34031</v>
      </c>
      <c r="C22054" s="1" t="s">
        <v>6651</v>
      </c>
      <c r="D22054" s="1" t="s">
        <v>6652</v>
      </c>
    </row>
    <row r="22055">
      <c r="A22055" s="1" t="s">
        <v>34032</v>
      </c>
      <c r="B22055" s="2" t="s">
        <v>34033</v>
      </c>
      <c r="C22055" s="1" t="s">
        <v>6651</v>
      </c>
      <c r="D22055" s="1" t="s">
        <v>6652</v>
      </c>
    </row>
    <row r="22056">
      <c r="A22056" s="1" t="s">
        <v>34034</v>
      </c>
      <c r="B22056" s="2" t="s">
        <v>34035</v>
      </c>
      <c r="C22056" s="1" t="s">
        <v>6651</v>
      </c>
      <c r="D22056" s="1" t="s">
        <v>6652</v>
      </c>
    </row>
    <row r="22057">
      <c r="A22057" s="1" t="s">
        <v>34036</v>
      </c>
      <c r="B22057" s="2" t="s">
        <v>34037</v>
      </c>
      <c r="C22057" s="1" t="s">
        <v>6651</v>
      </c>
      <c r="D22057" s="1" t="s">
        <v>6652</v>
      </c>
    </row>
    <row r="22058">
      <c r="A22058" s="1" t="s">
        <v>34038</v>
      </c>
      <c r="B22058" s="2" t="s">
        <v>34039</v>
      </c>
      <c r="C22058" s="1" t="s">
        <v>6651</v>
      </c>
      <c r="D22058" s="1" t="s">
        <v>6652</v>
      </c>
    </row>
    <row r="22059">
      <c r="A22059" s="1" t="s">
        <v>34040</v>
      </c>
      <c r="B22059" s="2" t="s">
        <v>34041</v>
      </c>
      <c r="C22059" s="1" t="s">
        <v>6651</v>
      </c>
      <c r="D22059" s="1" t="s">
        <v>6652</v>
      </c>
    </row>
    <row r="22060">
      <c r="A22060" s="1" t="s">
        <v>6655</v>
      </c>
      <c r="B22060" s="2" t="s">
        <v>7</v>
      </c>
      <c r="C22060" s="1" t="s">
        <v>6657</v>
      </c>
      <c r="D22060" s="1" t="s">
        <v>6658</v>
      </c>
    </row>
    <row r="22061">
      <c r="A22061" s="1" t="s">
        <v>34042</v>
      </c>
      <c r="B22061" s="2" t="s">
        <v>34043</v>
      </c>
      <c r="C22061" s="1" t="s">
        <v>6657</v>
      </c>
      <c r="D22061" s="1" t="s">
        <v>6658</v>
      </c>
    </row>
    <row r="22062">
      <c r="A22062" s="1" t="s">
        <v>34044</v>
      </c>
      <c r="B22062" s="2" t="s">
        <v>34045</v>
      </c>
      <c r="C22062" s="1" t="s">
        <v>6657</v>
      </c>
      <c r="D22062" s="1" t="s">
        <v>6658</v>
      </c>
    </row>
    <row r="22063">
      <c r="A22063" s="1" t="s">
        <v>34046</v>
      </c>
      <c r="B22063" s="2" t="s">
        <v>34047</v>
      </c>
      <c r="C22063" s="1" t="s">
        <v>6657</v>
      </c>
      <c r="D22063" s="1" t="s">
        <v>6658</v>
      </c>
    </row>
    <row r="22064">
      <c r="A22064" s="1" t="s">
        <v>34048</v>
      </c>
      <c r="B22064" s="2" t="s">
        <v>34049</v>
      </c>
      <c r="C22064" s="1" t="s">
        <v>6657</v>
      </c>
      <c r="D22064" s="1" t="s">
        <v>6658</v>
      </c>
    </row>
    <row r="22065">
      <c r="A22065" s="1" t="s">
        <v>34050</v>
      </c>
      <c r="B22065" s="2" t="s">
        <v>34051</v>
      </c>
      <c r="C22065" s="1" t="s">
        <v>6657</v>
      </c>
      <c r="D22065" s="1" t="s">
        <v>6658</v>
      </c>
    </row>
    <row r="22066">
      <c r="A22066" s="1" t="s">
        <v>34052</v>
      </c>
      <c r="B22066" s="2" t="s">
        <v>34053</v>
      </c>
      <c r="C22066" s="1" t="s">
        <v>6657</v>
      </c>
      <c r="D22066" s="1" t="s">
        <v>6658</v>
      </c>
    </row>
    <row r="22067">
      <c r="A22067" s="1" t="s">
        <v>34054</v>
      </c>
      <c r="B22067" s="2" t="s">
        <v>34055</v>
      </c>
      <c r="C22067" s="1" t="s">
        <v>6657</v>
      </c>
      <c r="D22067" s="1" t="s">
        <v>6658</v>
      </c>
    </row>
    <row r="22068">
      <c r="A22068" s="1" t="s">
        <v>34056</v>
      </c>
      <c r="B22068" s="2" t="s">
        <v>34057</v>
      </c>
      <c r="C22068" s="1" t="s">
        <v>6657</v>
      </c>
      <c r="D22068" s="1" t="s">
        <v>6658</v>
      </c>
    </row>
    <row r="22069">
      <c r="A22069" s="1" t="s">
        <v>34058</v>
      </c>
      <c r="B22069" s="2" t="s">
        <v>34059</v>
      </c>
      <c r="C22069" s="1" t="s">
        <v>6657</v>
      </c>
      <c r="D22069" s="1" t="s">
        <v>6658</v>
      </c>
    </row>
    <row r="22070">
      <c r="A22070" s="1" t="s">
        <v>34060</v>
      </c>
      <c r="B22070" s="2" t="s">
        <v>34061</v>
      </c>
      <c r="C22070" s="1" t="s">
        <v>6657</v>
      </c>
      <c r="D22070" s="1" t="s">
        <v>6658</v>
      </c>
    </row>
    <row r="22071">
      <c r="A22071" s="1" t="s">
        <v>34062</v>
      </c>
      <c r="B22071" s="2" t="s">
        <v>34063</v>
      </c>
      <c r="C22071" s="1" t="s">
        <v>6657</v>
      </c>
      <c r="D22071" s="1" t="s">
        <v>6658</v>
      </c>
    </row>
    <row r="22072">
      <c r="A22072" s="1" t="s">
        <v>34064</v>
      </c>
      <c r="B22072" s="2" t="s">
        <v>34065</v>
      </c>
      <c r="C22072" s="1" t="s">
        <v>6657</v>
      </c>
      <c r="D22072" s="1" t="s">
        <v>6658</v>
      </c>
    </row>
    <row r="22073">
      <c r="A22073" s="1" t="s">
        <v>34066</v>
      </c>
      <c r="B22073" s="2" t="s">
        <v>34067</v>
      </c>
      <c r="C22073" s="1" t="s">
        <v>6657</v>
      </c>
      <c r="D22073" s="1" t="s">
        <v>6658</v>
      </c>
    </row>
    <row r="22074">
      <c r="A22074" s="1" t="s">
        <v>34068</v>
      </c>
      <c r="B22074" s="2" t="s">
        <v>34069</v>
      </c>
      <c r="C22074" s="1" t="s">
        <v>6657</v>
      </c>
      <c r="D22074" s="1" t="s">
        <v>6658</v>
      </c>
    </row>
    <row r="22075">
      <c r="A22075" s="1" t="s">
        <v>34070</v>
      </c>
      <c r="B22075" s="2" t="s">
        <v>34071</v>
      </c>
      <c r="C22075" s="1" t="s">
        <v>6657</v>
      </c>
      <c r="D22075" s="1" t="s">
        <v>6658</v>
      </c>
    </row>
    <row r="22076">
      <c r="A22076" s="1" t="s">
        <v>34072</v>
      </c>
      <c r="B22076" s="2" t="s">
        <v>34073</v>
      </c>
      <c r="C22076" s="1" t="s">
        <v>6657</v>
      </c>
      <c r="D22076" s="1" t="s">
        <v>6658</v>
      </c>
    </row>
    <row r="22077">
      <c r="A22077" s="1" t="s">
        <v>34074</v>
      </c>
      <c r="B22077" s="2" t="s">
        <v>34075</v>
      </c>
      <c r="C22077" s="1" t="s">
        <v>6657</v>
      </c>
      <c r="D22077" s="1" t="s">
        <v>6658</v>
      </c>
    </row>
    <row r="22078">
      <c r="A22078" s="1" t="s">
        <v>34076</v>
      </c>
      <c r="B22078" s="2" t="s">
        <v>34077</v>
      </c>
      <c r="C22078" s="1" t="s">
        <v>6657</v>
      </c>
      <c r="D22078" s="1" t="s">
        <v>6658</v>
      </c>
    </row>
    <row r="22079">
      <c r="A22079" s="1" t="s">
        <v>34078</v>
      </c>
      <c r="B22079" s="2" t="s">
        <v>34079</v>
      </c>
      <c r="C22079" s="1" t="s">
        <v>6657</v>
      </c>
      <c r="D22079" s="1" t="s">
        <v>6658</v>
      </c>
    </row>
    <row r="22080">
      <c r="A22080" s="1" t="s">
        <v>34080</v>
      </c>
      <c r="B22080" s="2" t="s">
        <v>34081</v>
      </c>
      <c r="C22080" s="1" t="s">
        <v>6657</v>
      </c>
      <c r="D22080" s="1" t="s">
        <v>6658</v>
      </c>
    </row>
    <row r="22081">
      <c r="A22081" s="1" t="s">
        <v>34082</v>
      </c>
      <c r="B22081" s="2" t="s">
        <v>34083</v>
      </c>
      <c r="C22081" s="1" t="s">
        <v>6657</v>
      </c>
      <c r="D22081" s="1" t="s">
        <v>6658</v>
      </c>
    </row>
    <row r="22082">
      <c r="A22082" s="1" t="s">
        <v>34084</v>
      </c>
      <c r="B22082" s="2" t="s">
        <v>34085</v>
      </c>
      <c r="C22082" s="1" t="s">
        <v>6657</v>
      </c>
      <c r="D22082" s="1" t="s">
        <v>6658</v>
      </c>
    </row>
    <row r="22083">
      <c r="A22083" s="1" t="s">
        <v>34086</v>
      </c>
      <c r="B22083" s="2" t="s">
        <v>34087</v>
      </c>
      <c r="C22083" s="1" t="s">
        <v>6657</v>
      </c>
      <c r="D22083" s="1" t="s">
        <v>6658</v>
      </c>
    </row>
    <row r="22084">
      <c r="A22084" s="1" t="s">
        <v>34088</v>
      </c>
      <c r="B22084" s="2" t="s">
        <v>34089</v>
      </c>
      <c r="C22084" s="1" t="s">
        <v>6657</v>
      </c>
      <c r="D22084" s="1" t="s">
        <v>6658</v>
      </c>
    </row>
    <row r="22085">
      <c r="A22085" s="1" t="s">
        <v>34090</v>
      </c>
      <c r="B22085" s="2" t="s">
        <v>34091</v>
      </c>
      <c r="C22085" s="1" t="s">
        <v>6657</v>
      </c>
      <c r="D22085" s="1" t="s">
        <v>6658</v>
      </c>
    </row>
    <row r="22086">
      <c r="A22086" s="1" t="s">
        <v>34092</v>
      </c>
      <c r="B22086" s="2" t="s">
        <v>34093</v>
      </c>
      <c r="C22086" s="1" t="s">
        <v>6657</v>
      </c>
      <c r="D22086" s="1" t="s">
        <v>6658</v>
      </c>
    </row>
    <row r="22087">
      <c r="A22087" s="1" t="s">
        <v>34094</v>
      </c>
      <c r="B22087" s="2" t="s">
        <v>34095</v>
      </c>
      <c r="C22087" s="1" t="s">
        <v>6657</v>
      </c>
      <c r="D22087" s="1" t="s">
        <v>6658</v>
      </c>
    </row>
    <row r="22088">
      <c r="A22088" s="1" t="s">
        <v>34096</v>
      </c>
      <c r="B22088" s="2" t="s">
        <v>34097</v>
      </c>
      <c r="C22088" s="1" t="s">
        <v>6657</v>
      </c>
      <c r="D22088" s="1" t="s">
        <v>6658</v>
      </c>
    </row>
    <row r="22089">
      <c r="A22089" s="1" t="s">
        <v>34098</v>
      </c>
      <c r="B22089" s="2" t="s">
        <v>34099</v>
      </c>
      <c r="C22089" s="1" t="s">
        <v>6657</v>
      </c>
      <c r="D22089" s="1" t="s">
        <v>6658</v>
      </c>
    </row>
    <row r="22090">
      <c r="A22090" s="1" t="s">
        <v>34100</v>
      </c>
      <c r="B22090" s="2" t="s">
        <v>34101</v>
      </c>
      <c r="C22090" s="1" t="s">
        <v>6657</v>
      </c>
      <c r="D22090" s="1" t="s">
        <v>6658</v>
      </c>
    </row>
    <row r="22091">
      <c r="A22091" s="1" t="s">
        <v>34102</v>
      </c>
      <c r="B22091" s="2" t="s">
        <v>34103</v>
      </c>
      <c r="C22091" s="1" t="s">
        <v>6657</v>
      </c>
      <c r="D22091" s="1" t="s">
        <v>6658</v>
      </c>
    </row>
    <row r="22092">
      <c r="A22092" s="1" t="s">
        <v>34104</v>
      </c>
      <c r="B22092" s="2" t="s">
        <v>34105</v>
      </c>
      <c r="C22092" s="1" t="s">
        <v>6657</v>
      </c>
      <c r="D22092" s="1" t="s">
        <v>6658</v>
      </c>
    </row>
    <row r="22093">
      <c r="A22093" s="1" t="s">
        <v>34106</v>
      </c>
      <c r="B22093" s="2" t="s">
        <v>34107</v>
      </c>
      <c r="C22093" s="1" t="s">
        <v>6657</v>
      </c>
      <c r="D22093" s="1" t="s">
        <v>6658</v>
      </c>
    </row>
    <row r="22094">
      <c r="A22094" s="1" t="s">
        <v>34108</v>
      </c>
      <c r="B22094" s="2" t="s">
        <v>34109</v>
      </c>
      <c r="C22094" s="1" t="s">
        <v>6657</v>
      </c>
      <c r="D22094" s="1" t="s">
        <v>6658</v>
      </c>
    </row>
    <row r="22095">
      <c r="A22095" s="1" t="s">
        <v>34110</v>
      </c>
      <c r="B22095" s="2" t="s">
        <v>34111</v>
      </c>
      <c r="C22095" s="1" t="s">
        <v>6657</v>
      </c>
      <c r="D22095" s="1" t="s">
        <v>6658</v>
      </c>
    </row>
    <row r="22096">
      <c r="A22096" s="1" t="s">
        <v>34112</v>
      </c>
      <c r="B22096" s="2" t="s">
        <v>34113</v>
      </c>
      <c r="C22096" s="1" t="s">
        <v>6657</v>
      </c>
      <c r="D22096" s="1" t="s">
        <v>6658</v>
      </c>
    </row>
    <row r="22097">
      <c r="A22097" s="1" t="s">
        <v>34114</v>
      </c>
      <c r="B22097" s="2" t="s">
        <v>34115</v>
      </c>
      <c r="C22097" s="1" t="s">
        <v>6657</v>
      </c>
      <c r="D22097" s="1" t="s">
        <v>6658</v>
      </c>
    </row>
    <row r="22098">
      <c r="A22098" s="1" t="s">
        <v>34116</v>
      </c>
      <c r="B22098" s="2" t="s">
        <v>34117</v>
      </c>
      <c r="C22098" s="1" t="s">
        <v>6657</v>
      </c>
      <c r="D22098" s="1" t="s">
        <v>6658</v>
      </c>
    </row>
    <row r="22099">
      <c r="A22099" s="1" t="s">
        <v>34118</v>
      </c>
      <c r="B22099" s="2" t="s">
        <v>34119</v>
      </c>
      <c r="C22099" s="1" t="s">
        <v>6657</v>
      </c>
      <c r="D22099" s="1" t="s">
        <v>6658</v>
      </c>
    </row>
    <row r="22100">
      <c r="A22100" s="1" t="s">
        <v>34120</v>
      </c>
      <c r="B22100" s="2" t="s">
        <v>34121</v>
      </c>
      <c r="C22100" s="1" t="s">
        <v>6657</v>
      </c>
      <c r="D22100" s="1" t="s">
        <v>6658</v>
      </c>
    </row>
    <row r="22101">
      <c r="A22101" s="1" t="s">
        <v>34122</v>
      </c>
      <c r="B22101" s="2" t="s">
        <v>34123</v>
      </c>
      <c r="C22101" s="1" t="s">
        <v>6657</v>
      </c>
      <c r="D22101" s="1" t="s">
        <v>6658</v>
      </c>
    </row>
    <row r="22102">
      <c r="A22102" s="1" t="s">
        <v>34124</v>
      </c>
      <c r="B22102" s="2" t="s">
        <v>34125</v>
      </c>
      <c r="C22102" s="1" t="s">
        <v>6657</v>
      </c>
      <c r="D22102" s="1" t="s">
        <v>6658</v>
      </c>
    </row>
    <row r="22103">
      <c r="A22103" s="1" t="s">
        <v>34126</v>
      </c>
      <c r="B22103" s="2" t="s">
        <v>34127</v>
      </c>
      <c r="C22103" s="1" t="s">
        <v>6657</v>
      </c>
      <c r="D22103" s="1" t="s">
        <v>6658</v>
      </c>
    </row>
    <row r="22104">
      <c r="A22104" s="1" t="s">
        <v>34128</v>
      </c>
      <c r="B22104" s="2" t="s">
        <v>34129</v>
      </c>
      <c r="C22104" s="1" t="s">
        <v>6657</v>
      </c>
      <c r="D22104" s="1" t="s">
        <v>6658</v>
      </c>
    </row>
    <row r="22105">
      <c r="A22105" s="1" t="s">
        <v>34130</v>
      </c>
      <c r="B22105" s="2" t="s">
        <v>34131</v>
      </c>
      <c r="C22105" s="1" t="s">
        <v>6657</v>
      </c>
      <c r="D22105" s="1" t="s">
        <v>6658</v>
      </c>
    </row>
    <row r="22106">
      <c r="A22106" s="1" t="s">
        <v>34132</v>
      </c>
      <c r="B22106" s="2" t="s">
        <v>34133</v>
      </c>
      <c r="C22106" s="1" t="s">
        <v>6657</v>
      </c>
      <c r="D22106" s="1" t="s">
        <v>6658</v>
      </c>
    </row>
    <row r="22107">
      <c r="A22107" s="1" t="s">
        <v>34134</v>
      </c>
      <c r="B22107" s="2" t="s">
        <v>34135</v>
      </c>
      <c r="C22107" s="1" t="s">
        <v>6657</v>
      </c>
      <c r="D22107" s="1" t="s">
        <v>6658</v>
      </c>
    </row>
    <row r="22108">
      <c r="A22108" s="1" t="s">
        <v>34136</v>
      </c>
      <c r="B22108" s="2" t="s">
        <v>34137</v>
      </c>
      <c r="C22108" s="1" t="s">
        <v>6657</v>
      </c>
      <c r="D22108" s="1" t="s">
        <v>6658</v>
      </c>
    </row>
    <row r="22109">
      <c r="A22109" s="1" t="s">
        <v>34138</v>
      </c>
      <c r="B22109" s="2" t="s">
        <v>34139</v>
      </c>
      <c r="C22109" s="1" t="s">
        <v>6657</v>
      </c>
      <c r="D22109" s="1" t="s">
        <v>6658</v>
      </c>
    </row>
    <row r="22110">
      <c r="A22110" s="1" t="s">
        <v>34140</v>
      </c>
      <c r="B22110" s="2" t="s">
        <v>34141</v>
      </c>
      <c r="C22110" s="1" t="s">
        <v>6657</v>
      </c>
      <c r="D22110" s="1" t="s">
        <v>6658</v>
      </c>
    </row>
    <row r="22111">
      <c r="A22111" s="1" t="s">
        <v>34142</v>
      </c>
      <c r="B22111" s="2" t="s">
        <v>34143</v>
      </c>
      <c r="C22111" s="1" t="s">
        <v>6657</v>
      </c>
      <c r="D22111" s="1" t="s">
        <v>6658</v>
      </c>
    </row>
    <row r="22112">
      <c r="A22112" s="1" t="s">
        <v>34144</v>
      </c>
      <c r="B22112" s="2" t="s">
        <v>34145</v>
      </c>
      <c r="C22112" s="1" t="s">
        <v>6657</v>
      </c>
      <c r="D22112" s="1" t="s">
        <v>6658</v>
      </c>
    </row>
    <row r="22113">
      <c r="A22113" s="1" t="s">
        <v>34146</v>
      </c>
      <c r="B22113" s="2" t="s">
        <v>34147</v>
      </c>
      <c r="C22113" s="1" t="s">
        <v>6657</v>
      </c>
      <c r="D22113" s="1" t="s">
        <v>6658</v>
      </c>
    </row>
    <row r="22114">
      <c r="A22114" s="1" t="s">
        <v>34148</v>
      </c>
      <c r="B22114" s="2" t="s">
        <v>34149</v>
      </c>
      <c r="C22114" s="1" t="s">
        <v>6657</v>
      </c>
      <c r="D22114" s="1" t="s">
        <v>6658</v>
      </c>
    </row>
    <row r="22115">
      <c r="A22115" s="1" t="s">
        <v>34150</v>
      </c>
      <c r="B22115" s="2" t="s">
        <v>34151</v>
      </c>
      <c r="C22115" s="1" t="s">
        <v>6657</v>
      </c>
      <c r="D22115" s="1" t="s">
        <v>6658</v>
      </c>
    </row>
    <row r="22116">
      <c r="A22116" s="1" t="s">
        <v>34152</v>
      </c>
      <c r="B22116" s="2" t="s">
        <v>34153</v>
      </c>
      <c r="C22116" s="1" t="s">
        <v>6657</v>
      </c>
      <c r="D22116" s="1" t="s">
        <v>6658</v>
      </c>
    </row>
    <row r="22117">
      <c r="A22117" s="1" t="s">
        <v>34154</v>
      </c>
      <c r="B22117" s="2" t="s">
        <v>34155</v>
      </c>
      <c r="C22117" s="1" t="s">
        <v>6657</v>
      </c>
      <c r="D22117" s="1" t="s">
        <v>6658</v>
      </c>
    </row>
    <row r="22118">
      <c r="A22118" s="1" t="s">
        <v>34156</v>
      </c>
      <c r="B22118" s="2" t="s">
        <v>34157</v>
      </c>
      <c r="C22118" s="1" t="s">
        <v>6657</v>
      </c>
      <c r="D22118" s="1" t="s">
        <v>6658</v>
      </c>
    </row>
    <row r="22119">
      <c r="A22119" s="1" t="s">
        <v>34158</v>
      </c>
      <c r="B22119" s="2" t="s">
        <v>34159</v>
      </c>
      <c r="C22119" s="1" t="s">
        <v>6657</v>
      </c>
      <c r="D22119" s="1" t="s">
        <v>6658</v>
      </c>
    </row>
    <row r="22120">
      <c r="A22120" s="1" t="s">
        <v>34160</v>
      </c>
      <c r="B22120" s="2" t="s">
        <v>34161</v>
      </c>
      <c r="C22120" s="1" t="s">
        <v>6657</v>
      </c>
      <c r="D22120" s="1" t="s">
        <v>6658</v>
      </c>
    </row>
    <row r="22121">
      <c r="A22121" s="1" t="s">
        <v>34162</v>
      </c>
      <c r="B22121" s="2" t="s">
        <v>34163</v>
      </c>
      <c r="C22121" s="1" t="s">
        <v>6657</v>
      </c>
      <c r="D22121" s="1" t="s">
        <v>6658</v>
      </c>
    </row>
    <row r="22122">
      <c r="A22122" s="1" t="s">
        <v>34164</v>
      </c>
      <c r="B22122" s="2" t="s">
        <v>34165</v>
      </c>
      <c r="C22122" s="1" t="s">
        <v>6657</v>
      </c>
      <c r="D22122" s="1" t="s">
        <v>6658</v>
      </c>
    </row>
    <row r="22123">
      <c r="A22123" s="1" t="s">
        <v>34166</v>
      </c>
      <c r="B22123" s="2" t="s">
        <v>34167</v>
      </c>
      <c r="C22123" s="1" t="s">
        <v>6657</v>
      </c>
      <c r="D22123" s="1" t="s">
        <v>6658</v>
      </c>
    </row>
    <row r="22124">
      <c r="A22124" s="1" t="s">
        <v>6660</v>
      </c>
      <c r="B22124" s="2" t="s">
        <v>7</v>
      </c>
      <c r="C22124" s="1" t="s">
        <v>153</v>
      </c>
      <c r="D22124" s="1" t="s">
        <v>6661</v>
      </c>
    </row>
    <row r="22125">
      <c r="A22125" s="1" t="s">
        <v>34168</v>
      </c>
      <c r="B22125" s="2" t="s">
        <v>20804</v>
      </c>
      <c r="C22125" s="1" t="s">
        <v>153</v>
      </c>
      <c r="D22125" s="1" t="s">
        <v>6661</v>
      </c>
    </row>
    <row r="22126">
      <c r="A22126" s="1" t="s">
        <v>34169</v>
      </c>
      <c r="B22126" s="2" t="s">
        <v>11156</v>
      </c>
      <c r="C22126" s="1" t="s">
        <v>153</v>
      </c>
      <c r="D22126" s="1" t="s">
        <v>6661</v>
      </c>
    </row>
    <row r="22127">
      <c r="A22127" s="1" t="s">
        <v>34170</v>
      </c>
      <c r="B22127" s="2" t="s">
        <v>20807</v>
      </c>
      <c r="C22127" s="1" t="s">
        <v>153</v>
      </c>
      <c r="D22127" s="1" t="s">
        <v>6661</v>
      </c>
    </row>
    <row r="22128">
      <c r="A22128" s="1" t="s">
        <v>34171</v>
      </c>
      <c r="B22128" s="2" t="s">
        <v>20809</v>
      </c>
      <c r="C22128" s="1" t="s">
        <v>153</v>
      </c>
      <c r="D22128" s="1" t="s">
        <v>6661</v>
      </c>
    </row>
    <row r="22129">
      <c r="A22129" s="1" t="s">
        <v>34172</v>
      </c>
      <c r="B22129" s="2" t="s">
        <v>20811</v>
      </c>
      <c r="C22129" s="1" t="s">
        <v>153</v>
      </c>
      <c r="D22129" s="1" t="s">
        <v>6661</v>
      </c>
    </row>
    <row r="22130">
      <c r="A22130" s="1" t="s">
        <v>34173</v>
      </c>
      <c r="B22130" s="2" t="s">
        <v>20813</v>
      </c>
      <c r="C22130" s="1" t="s">
        <v>153</v>
      </c>
      <c r="D22130" s="1" t="s">
        <v>6661</v>
      </c>
    </row>
    <row r="22131">
      <c r="A22131" s="1" t="s">
        <v>34174</v>
      </c>
      <c r="B22131" s="2" t="s">
        <v>20815</v>
      </c>
      <c r="C22131" s="1" t="s">
        <v>153</v>
      </c>
      <c r="D22131" s="1" t="s">
        <v>6661</v>
      </c>
    </row>
    <row r="22132">
      <c r="A22132" s="1" t="s">
        <v>34175</v>
      </c>
      <c r="B22132" s="2" t="s">
        <v>34176</v>
      </c>
      <c r="C22132" s="1" t="s">
        <v>153</v>
      </c>
      <c r="D22132" s="1" t="s">
        <v>6661</v>
      </c>
    </row>
    <row r="22133">
      <c r="A22133" s="1" t="s">
        <v>34177</v>
      </c>
      <c r="B22133" s="2" t="s">
        <v>20821</v>
      </c>
      <c r="C22133" s="1" t="s">
        <v>153</v>
      </c>
      <c r="D22133" s="1" t="s">
        <v>6661</v>
      </c>
    </row>
    <row r="22134">
      <c r="A22134" s="1" t="s">
        <v>34178</v>
      </c>
      <c r="B22134" s="2" t="s">
        <v>34179</v>
      </c>
      <c r="C22134" s="1" t="s">
        <v>153</v>
      </c>
      <c r="D22134" s="1" t="s">
        <v>6661</v>
      </c>
    </row>
    <row r="22135">
      <c r="A22135" s="1" t="s">
        <v>34180</v>
      </c>
      <c r="B22135" s="2" t="s">
        <v>34181</v>
      </c>
      <c r="C22135" s="1" t="s">
        <v>153</v>
      </c>
      <c r="D22135" s="1" t="s">
        <v>6661</v>
      </c>
    </row>
    <row r="22136">
      <c r="A22136" s="1" t="s">
        <v>34182</v>
      </c>
      <c r="B22136" s="2" t="s">
        <v>34183</v>
      </c>
      <c r="C22136" s="1" t="s">
        <v>153</v>
      </c>
      <c r="D22136" s="1" t="s">
        <v>6661</v>
      </c>
    </row>
    <row r="22137">
      <c r="A22137" s="1" t="s">
        <v>34184</v>
      </c>
      <c r="B22137" s="2" t="s">
        <v>34185</v>
      </c>
      <c r="C22137" s="1" t="s">
        <v>153</v>
      </c>
      <c r="D22137" s="1" t="s">
        <v>6661</v>
      </c>
    </row>
    <row r="22138">
      <c r="A22138" s="1" t="s">
        <v>34186</v>
      </c>
      <c r="B22138" s="2" t="s">
        <v>20827</v>
      </c>
      <c r="C22138" s="1" t="s">
        <v>153</v>
      </c>
      <c r="D22138" s="1" t="s">
        <v>6661</v>
      </c>
    </row>
    <row r="22139">
      <c r="A22139" s="1" t="s">
        <v>34187</v>
      </c>
      <c r="B22139" s="2" t="s">
        <v>20829</v>
      </c>
      <c r="C22139" s="1" t="s">
        <v>153</v>
      </c>
      <c r="D22139" s="1" t="s">
        <v>6661</v>
      </c>
    </row>
    <row r="22140">
      <c r="A22140" s="1" t="s">
        <v>34188</v>
      </c>
      <c r="B22140" s="2" t="s">
        <v>34189</v>
      </c>
      <c r="C22140" s="1" t="s">
        <v>153</v>
      </c>
      <c r="D22140" s="1" t="s">
        <v>6661</v>
      </c>
    </row>
    <row r="22141">
      <c r="A22141" s="1" t="s">
        <v>34190</v>
      </c>
      <c r="B22141" s="2" t="s">
        <v>34191</v>
      </c>
      <c r="C22141" s="1" t="s">
        <v>153</v>
      </c>
      <c r="D22141" s="1" t="s">
        <v>6661</v>
      </c>
    </row>
    <row r="22142">
      <c r="A22142" s="1" t="s">
        <v>34192</v>
      </c>
      <c r="B22142" s="2" t="s">
        <v>34193</v>
      </c>
      <c r="C22142" s="1" t="s">
        <v>153</v>
      </c>
      <c r="D22142" s="1" t="s">
        <v>6661</v>
      </c>
    </row>
    <row r="22143">
      <c r="A22143" s="1" t="s">
        <v>34194</v>
      </c>
      <c r="B22143" s="2" t="s">
        <v>34195</v>
      </c>
      <c r="C22143" s="1" t="s">
        <v>153</v>
      </c>
      <c r="D22143" s="1" t="s">
        <v>6661</v>
      </c>
    </row>
    <row r="22144">
      <c r="A22144" s="1" t="s">
        <v>34196</v>
      </c>
      <c r="B22144" s="2" t="s">
        <v>34197</v>
      </c>
      <c r="C22144" s="1" t="s">
        <v>153</v>
      </c>
      <c r="D22144" s="1" t="s">
        <v>6661</v>
      </c>
    </row>
    <row r="22145">
      <c r="A22145" s="1" t="s">
        <v>34198</v>
      </c>
      <c r="B22145" s="2" t="s">
        <v>34199</v>
      </c>
      <c r="C22145" s="1" t="s">
        <v>153</v>
      </c>
      <c r="D22145" s="1" t="s">
        <v>6661</v>
      </c>
    </row>
    <row r="22146">
      <c r="A22146" s="1" t="s">
        <v>34200</v>
      </c>
      <c r="B22146" s="2" t="s">
        <v>34201</v>
      </c>
      <c r="C22146" s="1" t="s">
        <v>153</v>
      </c>
      <c r="D22146" s="1" t="s">
        <v>6661</v>
      </c>
    </row>
    <row r="22147">
      <c r="A22147" s="1" t="s">
        <v>34202</v>
      </c>
      <c r="B22147" s="2" t="s">
        <v>34203</v>
      </c>
      <c r="C22147" s="1" t="s">
        <v>153</v>
      </c>
      <c r="D22147" s="1" t="s">
        <v>6661</v>
      </c>
    </row>
    <row r="22148">
      <c r="A22148" s="1" t="s">
        <v>34204</v>
      </c>
      <c r="B22148" s="2" t="s">
        <v>34205</v>
      </c>
      <c r="C22148" s="1" t="s">
        <v>153</v>
      </c>
      <c r="D22148" s="1" t="s">
        <v>6661</v>
      </c>
    </row>
    <row r="22149">
      <c r="A22149" s="1" t="s">
        <v>34206</v>
      </c>
      <c r="B22149" s="2" t="s">
        <v>34207</v>
      </c>
      <c r="C22149" s="1" t="s">
        <v>153</v>
      </c>
      <c r="D22149" s="1" t="s">
        <v>6661</v>
      </c>
    </row>
    <row r="22150">
      <c r="A22150" s="1" t="s">
        <v>34208</v>
      </c>
      <c r="B22150" s="2" t="s">
        <v>34209</v>
      </c>
      <c r="C22150" s="1" t="s">
        <v>153</v>
      </c>
      <c r="D22150" s="1" t="s">
        <v>6661</v>
      </c>
    </row>
    <row r="22151">
      <c r="A22151" s="1" t="s">
        <v>6665</v>
      </c>
      <c r="B22151" s="2" t="s">
        <v>6666</v>
      </c>
      <c r="C22151" s="1" t="s">
        <v>6667</v>
      </c>
      <c r="D22151" s="1" t="s">
        <v>6668</v>
      </c>
    </row>
    <row r="22152">
      <c r="A22152" s="1" t="s">
        <v>6681</v>
      </c>
      <c r="B22152" s="2" t="s">
        <v>6674</v>
      </c>
      <c r="C22152" s="1" t="s">
        <v>6682</v>
      </c>
      <c r="D22152" s="1" t="s">
        <v>6684</v>
      </c>
    </row>
    <row r="22153">
      <c r="A22153" s="1" t="s">
        <v>6688</v>
      </c>
      <c r="B22153" s="2" t="s">
        <v>6674</v>
      </c>
      <c r="C22153" s="1" t="s">
        <v>6689</v>
      </c>
      <c r="D22153" s="1" t="s">
        <v>6691</v>
      </c>
    </row>
    <row r="22154">
      <c r="A22154" s="1" t="s">
        <v>6695</v>
      </c>
      <c r="B22154" s="2" t="s">
        <v>6674</v>
      </c>
      <c r="C22154" s="1" t="s">
        <v>6696</v>
      </c>
      <c r="D22154" s="1" t="s">
        <v>6697</v>
      </c>
    </row>
    <row r="22155">
      <c r="A22155" s="1" t="s">
        <v>6700</v>
      </c>
      <c r="B22155" s="2" t="s">
        <v>6674</v>
      </c>
      <c r="C22155" s="1" t="s">
        <v>6702</v>
      </c>
      <c r="D22155" s="1" t="s">
        <v>6703</v>
      </c>
    </row>
    <row r="22156">
      <c r="A22156" s="1" t="s">
        <v>6708</v>
      </c>
      <c r="B22156" s="2" t="s">
        <v>6674</v>
      </c>
      <c r="C22156" s="1" t="s">
        <v>6709</v>
      </c>
      <c r="D22156" s="1" t="s">
        <v>6710</v>
      </c>
    </row>
    <row r="22157">
      <c r="A22157" s="1" t="s">
        <v>6714</v>
      </c>
      <c r="B22157" s="2" t="s">
        <v>6674</v>
      </c>
      <c r="C22157" s="1" t="s">
        <v>6715</v>
      </c>
      <c r="D22157" s="1" t="s">
        <v>6716</v>
      </c>
    </row>
    <row r="22158">
      <c r="A22158" s="1" t="s">
        <v>6719</v>
      </c>
      <c r="B22158" s="2" t="s">
        <v>6674</v>
      </c>
      <c r="C22158" s="1" t="s">
        <v>6722</v>
      </c>
      <c r="D22158" s="1" t="s">
        <v>6723</v>
      </c>
    </row>
    <row r="22159">
      <c r="A22159" s="1" t="s">
        <v>6727</v>
      </c>
      <c r="B22159" s="2" t="s">
        <v>6674</v>
      </c>
      <c r="C22159" s="1" t="s">
        <v>6729</v>
      </c>
      <c r="D22159" s="1" t="s">
        <v>6730</v>
      </c>
    </row>
    <row r="22160">
      <c r="A22160" s="1" t="s">
        <v>6734</v>
      </c>
      <c r="B22160" s="2" t="s">
        <v>6674</v>
      </c>
      <c r="C22160" s="1" t="s">
        <v>6736</v>
      </c>
      <c r="D22160" s="1" t="s">
        <v>6737</v>
      </c>
    </row>
    <row r="22161">
      <c r="A22161" s="1" t="s">
        <v>6672</v>
      </c>
      <c r="B22161" s="2" t="s">
        <v>6674</v>
      </c>
      <c r="C22161" s="1" t="s">
        <v>6675</v>
      </c>
      <c r="D22161" s="1" t="s">
        <v>6676</v>
      </c>
    </row>
    <row r="22162">
      <c r="A22162" s="1" t="s">
        <v>6741</v>
      </c>
      <c r="B22162" s="2" t="s">
        <v>6743</v>
      </c>
      <c r="C22162" s="1" t="s">
        <v>6744</v>
      </c>
      <c r="D22162" s="1" t="s">
        <v>6745</v>
      </c>
    </row>
    <row r="22163">
      <c r="A22163" s="1" t="s">
        <v>6749</v>
      </c>
      <c r="B22163" s="2" t="s">
        <v>6750</v>
      </c>
      <c r="C22163" s="1" t="s">
        <v>6752</v>
      </c>
      <c r="D22163" s="1" t="s">
        <v>6753</v>
      </c>
    </row>
    <row r="22164">
      <c r="A22164" s="1" t="s">
        <v>34210</v>
      </c>
      <c r="B22164" s="2" t="s">
        <v>34211</v>
      </c>
      <c r="C22164" s="1" t="s">
        <v>6752</v>
      </c>
      <c r="D22164" s="1" t="s">
        <v>6753</v>
      </c>
    </row>
    <row r="22165">
      <c r="A22165" s="1" t="s">
        <v>34212</v>
      </c>
      <c r="B22165" s="2" t="s">
        <v>34213</v>
      </c>
      <c r="C22165" s="1" t="s">
        <v>6752</v>
      </c>
      <c r="D22165" s="1" t="s">
        <v>6753</v>
      </c>
    </row>
    <row r="22166">
      <c r="A22166" s="1" t="s">
        <v>34214</v>
      </c>
      <c r="B22166" s="2" t="s">
        <v>34215</v>
      </c>
      <c r="C22166" s="1" t="s">
        <v>6752</v>
      </c>
      <c r="D22166" s="1" t="s">
        <v>6753</v>
      </c>
    </row>
    <row r="22167">
      <c r="A22167" s="1" t="s">
        <v>34216</v>
      </c>
      <c r="B22167" s="2" t="s">
        <v>34217</v>
      </c>
      <c r="C22167" s="1" t="s">
        <v>6752</v>
      </c>
      <c r="D22167" s="1" t="s">
        <v>6753</v>
      </c>
    </row>
    <row r="22168">
      <c r="A22168" s="1" t="s">
        <v>6758</v>
      </c>
      <c r="B22168" s="2" t="s">
        <v>6750</v>
      </c>
      <c r="C22168" s="1" t="s">
        <v>6760</v>
      </c>
      <c r="D22168" s="1" t="s">
        <v>6761</v>
      </c>
    </row>
    <row r="22169">
      <c r="A22169" s="1" t="s">
        <v>34218</v>
      </c>
      <c r="B22169" s="2" t="s">
        <v>34219</v>
      </c>
      <c r="C22169" s="1" t="s">
        <v>6760</v>
      </c>
      <c r="D22169" s="1" t="s">
        <v>6761</v>
      </c>
    </row>
    <row r="22170">
      <c r="A22170" s="1" t="s">
        <v>34220</v>
      </c>
      <c r="B22170" s="2" t="s">
        <v>34221</v>
      </c>
      <c r="C22170" s="1" t="s">
        <v>6760</v>
      </c>
      <c r="D22170" s="1" t="s">
        <v>6761</v>
      </c>
    </row>
    <row r="22171">
      <c r="A22171" s="1" t="s">
        <v>34222</v>
      </c>
      <c r="B22171" s="2" t="s">
        <v>34223</v>
      </c>
      <c r="C22171" s="1" t="s">
        <v>6760</v>
      </c>
      <c r="D22171" s="1" t="s">
        <v>6761</v>
      </c>
    </row>
    <row r="22172">
      <c r="A22172" s="1" t="s">
        <v>34224</v>
      </c>
      <c r="B22172" s="2" t="s">
        <v>34225</v>
      </c>
      <c r="C22172" s="1" t="s">
        <v>6760</v>
      </c>
      <c r="D22172" s="1" t="s">
        <v>6761</v>
      </c>
    </row>
    <row r="22173">
      <c r="A22173" s="1" t="s">
        <v>34226</v>
      </c>
      <c r="B22173" s="2" t="s">
        <v>34227</v>
      </c>
      <c r="C22173" s="1" t="s">
        <v>6760</v>
      </c>
      <c r="D22173" s="1" t="s">
        <v>6761</v>
      </c>
    </row>
    <row r="22174">
      <c r="A22174" s="1" t="s">
        <v>34228</v>
      </c>
      <c r="B22174" s="2" t="s">
        <v>34229</v>
      </c>
      <c r="C22174" s="1" t="s">
        <v>6760</v>
      </c>
      <c r="D22174" s="1" t="s">
        <v>6761</v>
      </c>
    </row>
    <row r="22175">
      <c r="A22175" s="1" t="s">
        <v>34230</v>
      </c>
      <c r="B22175" s="2" t="s">
        <v>34231</v>
      </c>
      <c r="C22175" s="1" t="s">
        <v>6760</v>
      </c>
      <c r="D22175" s="1" t="s">
        <v>6761</v>
      </c>
    </row>
    <row r="22176">
      <c r="A22176" s="1" t="s">
        <v>6766</v>
      </c>
      <c r="B22176" s="2" t="s">
        <v>7</v>
      </c>
      <c r="C22176" s="1" t="s">
        <v>6769</v>
      </c>
      <c r="D22176" s="1" t="s">
        <v>6770</v>
      </c>
    </row>
    <row r="22177">
      <c r="A22177" s="1" t="s">
        <v>34232</v>
      </c>
      <c r="B22177" s="2" t="s">
        <v>34233</v>
      </c>
      <c r="C22177" s="1" t="s">
        <v>6769</v>
      </c>
      <c r="D22177" s="1" t="s">
        <v>6770</v>
      </c>
    </row>
    <row r="22178">
      <c r="A22178" s="1" t="s">
        <v>34234</v>
      </c>
      <c r="B22178" s="2" t="s">
        <v>34235</v>
      </c>
      <c r="C22178" s="1" t="s">
        <v>6769</v>
      </c>
      <c r="D22178" s="1" t="s">
        <v>6770</v>
      </c>
    </row>
    <row r="22179">
      <c r="A22179" s="1" t="s">
        <v>34236</v>
      </c>
      <c r="B22179" s="2" t="s">
        <v>34237</v>
      </c>
      <c r="C22179" s="1" t="s">
        <v>6769</v>
      </c>
      <c r="D22179" s="1" t="s">
        <v>6770</v>
      </c>
    </row>
    <row r="22180">
      <c r="A22180" s="1" t="s">
        <v>34238</v>
      </c>
      <c r="B22180" s="2" t="s">
        <v>34239</v>
      </c>
      <c r="C22180" s="1" t="s">
        <v>6769</v>
      </c>
      <c r="D22180" s="1" t="s">
        <v>6770</v>
      </c>
    </row>
    <row r="22181">
      <c r="A22181" s="1" t="s">
        <v>34240</v>
      </c>
      <c r="B22181" s="2" t="s">
        <v>34241</v>
      </c>
      <c r="C22181" s="1" t="s">
        <v>6769</v>
      </c>
      <c r="D22181" s="1" t="s">
        <v>6770</v>
      </c>
    </row>
    <row r="22182">
      <c r="A22182" s="1" t="s">
        <v>34242</v>
      </c>
      <c r="B22182" s="2" t="s">
        <v>34243</v>
      </c>
      <c r="C22182" s="1" t="s">
        <v>6769</v>
      </c>
      <c r="D22182" s="1" t="s">
        <v>6770</v>
      </c>
    </row>
    <row r="22183">
      <c r="A22183" s="1" t="s">
        <v>34244</v>
      </c>
      <c r="B22183" s="2" t="s">
        <v>34245</v>
      </c>
      <c r="C22183" s="1" t="s">
        <v>6769</v>
      </c>
      <c r="D22183" s="1" t="s">
        <v>6770</v>
      </c>
    </row>
    <row r="22184">
      <c r="A22184" s="1" t="s">
        <v>34246</v>
      </c>
      <c r="B22184" s="2" t="s">
        <v>34247</v>
      </c>
      <c r="C22184" s="1" t="s">
        <v>6769</v>
      </c>
      <c r="D22184" s="1" t="s">
        <v>6770</v>
      </c>
    </row>
    <row r="22185">
      <c r="A22185" s="1" t="s">
        <v>6775</v>
      </c>
      <c r="B22185" s="2" t="s">
        <v>6750</v>
      </c>
      <c r="C22185" s="1" t="s">
        <v>6777</v>
      </c>
      <c r="D22185" s="1" t="s">
        <v>6778</v>
      </c>
    </row>
    <row r="22186">
      <c r="A22186" s="1" t="s">
        <v>34248</v>
      </c>
      <c r="B22186" s="2" t="s">
        <v>34249</v>
      </c>
      <c r="C22186" s="1" t="s">
        <v>6777</v>
      </c>
      <c r="D22186" s="1" t="s">
        <v>6778</v>
      </c>
    </row>
    <row r="22187">
      <c r="A22187" s="1" t="s">
        <v>34250</v>
      </c>
      <c r="B22187" s="2" t="s">
        <v>34251</v>
      </c>
      <c r="C22187" s="1" t="s">
        <v>6777</v>
      </c>
      <c r="D22187" s="1" t="s">
        <v>6778</v>
      </c>
    </row>
    <row r="22188">
      <c r="A22188" s="1" t="s">
        <v>6782</v>
      </c>
      <c r="B22188" s="2" t="s">
        <v>6674</v>
      </c>
      <c r="C22188" s="1" t="s">
        <v>6784</v>
      </c>
      <c r="D22188" s="1" t="s">
        <v>6786</v>
      </c>
    </row>
    <row r="22189">
      <c r="A22189" s="1" t="s">
        <v>6790</v>
      </c>
      <c r="B22189" s="2" t="s">
        <v>7</v>
      </c>
      <c r="C22189" s="1" t="s">
        <v>6793</v>
      </c>
      <c r="D22189" s="1" t="s">
        <v>6794</v>
      </c>
    </row>
    <row r="22190">
      <c r="A22190" s="1" t="s">
        <v>34252</v>
      </c>
      <c r="B22190" s="2" t="s">
        <v>20804</v>
      </c>
      <c r="C22190" s="1" t="s">
        <v>6793</v>
      </c>
      <c r="D22190" s="1" t="s">
        <v>6794</v>
      </c>
    </row>
    <row r="22191">
      <c r="A22191" s="1" t="s">
        <v>34253</v>
      </c>
      <c r="B22191" s="2" t="s">
        <v>11156</v>
      </c>
      <c r="C22191" s="1" t="s">
        <v>6793</v>
      </c>
      <c r="D22191" s="1" t="s">
        <v>6794</v>
      </c>
    </row>
    <row r="22192">
      <c r="A22192" s="1" t="s">
        <v>34254</v>
      </c>
      <c r="B22192" s="2" t="s">
        <v>20807</v>
      </c>
      <c r="C22192" s="1" t="s">
        <v>6793</v>
      </c>
      <c r="D22192" s="1" t="s">
        <v>6794</v>
      </c>
    </row>
    <row r="22193">
      <c r="A22193" s="1" t="s">
        <v>34255</v>
      </c>
      <c r="B22193" s="2" t="s">
        <v>20809</v>
      </c>
      <c r="C22193" s="1" t="s">
        <v>6793</v>
      </c>
      <c r="D22193" s="1" t="s">
        <v>6794</v>
      </c>
    </row>
    <row r="22194">
      <c r="A22194" s="1" t="s">
        <v>34256</v>
      </c>
      <c r="B22194" s="2" t="s">
        <v>20811</v>
      </c>
      <c r="C22194" s="1" t="s">
        <v>6793</v>
      </c>
      <c r="D22194" s="1" t="s">
        <v>6794</v>
      </c>
    </row>
    <row r="22195">
      <c r="A22195" s="1" t="s">
        <v>34257</v>
      </c>
      <c r="B22195" s="2" t="s">
        <v>20813</v>
      </c>
      <c r="C22195" s="1" t="s">
        <v>6793</v>
      </c>
      <c r="D22195" s="1" t="s">
        <v>6794</v>
      </c>
    </row>
    <row r="22196">
      <c r="A22196" s="1" t="s">
        <v>34258</v>
      </c>
      <c r="B22196" s="2" t="s">
        <v>20815</v>
      </c>
      <c r="C22196" s="1" t="s">
        <v>6793</v>
      </c>
      <c r="D22196" s="1" t="s">
        <v>6794</v>
      </c>
    </row>
    <row r="22197">
      <c r="A22197" s="1" t="s">
        <v>34259</v>
      </c>
      <c r="B22197" s="2" t="s">
        <v>34176</v>
      </c>
      <c r="C22197" s="1" t="s">
        <v>6793</v>
      </c>
      <c r="D22197" s="1" t="s">
        <v>6794</v>
      </c>
    </row>
    <row r="22198">
      <c r="A22198" s="1" t="s">
        <v>34260</v>
      </c>
      <c r="B22198" s="2" t="s">
        <v>20821</v>
      </c>
      <c r="C22198" s="1" t="s">
        <v>6793</v>
      </c>
      <c r="D22198" s="1" t="s">
        <v>6794</v>
      </c>
    </row>
    <row r="22199">
      <c r="A22199" s="1" t="s">
        <v>34261</v>
      </c>
      <c r="B22199" s="2" t="s">
        <v>34179</v>
      </c>
      <c r="C22199" s="1" t="s">
        <v>6793</v>
      </c>
      <c r="D22199" s="1" t="s">
        <v>6794</v>
      </c>
    </row>
    <row r="22200">
      <c r="A22200" s="1" t="s">
        <v>34262</v>
      </c>
      <c r="B22200" s="2" t="s">
        <v>34181</v>
      </c>
      <c r="C22200" s="1" t="s">
        <v>6793</v>
      </c>
      <c r="D22200" s="1" t="s">
        <v>6794</v>
      </c>
    </row>
    <row r="22201">
      <c r="A22201" s="1" t="s">
        <v>34263</v>
      </c>
      <c r="B22201" s="2" t="s">
        <v>34183</v>
      </c>
      <c r="C22201" s="1" t="s">
        <v>6793</v>
      </c>
      <c r="D22201" s="1" t="s">
        <v>6794</v>
      </c>
    </row>
    <row r="22202">
      <c r="A22202" s="1" t="s">
        <v>34264</v>
      </c>
      <c r="B22202" s="2" t="s">
        <v>34185</v>
      </c>
      <c r="C22202" s="1" t="s">
        <v>6793</v>
      </c>
      <c r="D22202" s="1" t="s">
        <v>6794</v>
      </c>
    </row>
    <row r="22203">
      <c r="A22203" s="1" t="s">
        <v>34265</v>
      </c>
      <c r="B22203" s="2" t="s">
        <v>20827</v>
      </c>
      <c r="C22203" s="1" t="s">
        <v>6793</v>
      </c>
      <c r="D22203" s="1" t="s">
        <v>6794</v>
      </c>
    </row>
    <row r="22204">
      <c r="A22204" s="1" t="s">
        <v>34266</v>
      </c>
      <c r="B22204" s="2" t="s">
        <v>20829</v>
      </c>
      <c r="C22204" s="1" t="s">
        <v>6793</v>
      </c>
      <c r="D22204" s="1" t="s">
        <v>6794</v>
      </c>
    </row>
    <row r="22205">
      <c r="A22205" s="1" t="s">
        <v>34267</v>
      </c>
      <c r="B22205" s="2" t="s">
        <v>34189</v>
      </c>
      <c r="C22205" s="1" t="s">
        <v>6793</v>
      </c>
      <c r="D22205" s="1" t="s">
        <v>6794</v>
      </c>
    </row>
    <row r="22206">
      <c r="A22206" s="1" t="s">
        <v>34268</v>
      </c>
      <c r="B22206" s="2" t="s">
        <v>34191</v>
      </c>
      <c r="C22206" s="1" t="s">
        <v>6793</v>
      </c>
      <c r="D22206" s="1" t="s">
        <v>6794</v>
      </c>
    </row>
    <row r="22207">
      <c r="A22207" s="1" t="s">
        <v>34269</v>
      </c>
      <c r="B22207" s="2" t="s">
        <v>34193</v>
      </c>
      <c r="C22207" s="1" t="s">
        <v>6793</v>
      </c>
      <c r="D22207" s="1" t="s">
        <v>6794</v>
      </c>
    </row>
    <row r="22208">
      <c r="A22208" s="1" t="s">
        <v>34270</v>
      </c>
      <c r="B22208" s="2" t="s">
        <v>34195</v>
      </c>
      <c r="C22208" s="1" t="s">
        <v>6793</v>
      </c>
      <c r="D22208" s="1" t="s">
        <v>6794</v>
      </c>
    </row>
    <row r="22209">
      <c r="A22209" s="1" t="s">
        <v>34271</v>
      </c>
      <c r="B22209" s="2" t="s">
        <v>34197</v>
      </c>
      <c r="C22209" s="1" t="s">
        <v>6793</v>
      </c>
      <c r="D22209" s="1" t="s">
        <v>6794</v>
      </c>
    </row>
    <row r="22210">
      <c r="A22210" s="1" t="s">
        <v>34272</v>
      </c>
      <c r="B22210" s="2" t="s">
        <v>34199</v>
      </c>
      <c r="C22210" s="1" t="s">
        <v>6793</v>
      </c>
      <c r="D22210" s="1" t="s">
        <v>6794</v>
      </c>
    </row>
    <row r="22211">
      <c r="A22211" s="1" t="s">
        <v>34273</v>
      </c>
      <c r="B22211" s="2" t="s">
        <v>34201</v>
      </c>
      <c r="C22211" s="1" t="s">
        <v>6793</v>
      </c>
      <c r="D22211" s="1" t="s">
        <v>6794</v>
      </c>
    </row>
    <row r="22212">
      <c r="A22212" s="1" t="s">
        <v>34274</v>
      </c>
      <c r="B22212" s="2" t="s">
        <v>34203</v>
      </c>
      <c r="C22212" s="1" t="s">
        <v>6793</v>
      </c>
      <c r="D22212" s="1" t="s">
        <v>6794</v>
      </c>
    </row>
    <row r="22213">
      <c r="A22213" s="1" t="s">
        <v>34275</v>
      </c>
      <c r="B22213" s="2" t="s">
        <v>34205</v>
      </c>
      <c r="C22213" s="1" t="s">
        <v>6793</v>
      </c>
      <c r="D22213" s="1" t="s">
        <v>6794</v>
      </c>
    </row>
    <row r="22214">
      <c r="A22214" s="1" t="s">
        <v>34276</v>
      </c>
      <c r="B22214" s="2" t="s">
        <v>34207</v>
      </c>
      <c r="C22214" s="1" t="s">
        <v>6793</v>
      </c>
      <c r="D22214" s="1" t="s">
        <v>6794</v>
      </c>
    </row>
    <row r="22215">
      <c r="A22215" s="1" t="s">
        <v>34277</v>
      </c>
      <c r="B22215" s="2" t="s">
        <v>34209</v>
      </c>
      <c r="C22215" s="1" t="s">
        <v>6793</v>
      </c>
      <c r="D22215" s="1" t="s">
        <v>6794</v>
      </c>
    </row>
    <row r="22216">
      <c r="A22216" s="1" t="s">
        <v>6799</v>
      </c>
      <c r="B22216" s="2" t="s">
        <v>6800</v>
      </c>
      <c r="C22216" s="1" t="s">
        <v>6802</v>
      </c>
      <c r="D22216" s="1" t="s">
        <v>6804</v>
      </c>
    </row>
    <row r="22217">
      <c r="A22217" s="1" t="s">
        <v>6809</v>
      </c>
      <c r="B22217" s="2" t="s">
        <v>7</v>
      </c>
      <c r="C22217" s="1" t="s">
        <v>6810</v>
      </c>
      <c r="D22217" s="1" t="s">
        <v>6812</v>
      </c>
    </row>
    <row r="22218">
      <c r="A22218" s="1" t="s">
        <v>34278</v>
      </c>
      <c r="B22218" s="2" t="s">
        <v>33196</v>
      </c>
      <c r="C22218" s="1" t="s">
        <v>6810</v>
      </c>
      <c r="D22218" s="1" t="s">
        <v>6812</v>
      </c>
    </row>
    <row r="22219">
      <c r="A22219" s="1" t="s">
        <v>34279</v>
      </c>
      <c r="B22219" s="2" t="s">
        <v>34280</v>
      </c>
      <c r="C22219" s="1" t="s">
        <v>6810</v>
      </c>
      <c r="D22219" s="1" t="s">
        <v>6812</v>
      </c>
    </row>
    <row r="22220">
      <c r="A22220" s="1" t="s">
        <v>34281</v>
      </c>
      <c r="B22220" s="2" t="s">
        <v>34282</v>
      </c>
      <c r="C22220" s="1" t="s">
        <v>6810</v>
      </c>
      <c r="D22220" s="1" t="s">
        <v>6812</v>
      </c>
    </row>
    <row r="22221">
      <c r="A22221" s="1" t="s">
        <v>34283</v>
      </c>
      <c r="B22221" s="2" t="s">
        <v>34284</v>
      </c>
      <c r="C22221" s="1" t="s">
        <v>6810</v>
      </c>
      <c r="D22221" s="1" t="s">
        <v>6812</v>
      </c>
    </row>
    <row r="22222">
      <c r="A22222" s="1" t="s">
        <v>34285</v>
      </c>
      <c r="B22222" s="2" t="s">
        <v>34286</v>
      </c>
      <c r="C22222" s="1" t="s">
        <v>6810</v>
      </c>
      <c r="D22222" s="1" t="s">
        <v>6812</v>
      </c>
    </row>
    <row r="22223">
      <c r="A22223" s="1" t="s">
        <v>34287</v>
      </c>
      <c r="B22223" s="2" t="s">
        <v>34288</v>
      </c>
      <c r="C22223" s="1" t="s">
        <v>6810</v>
      </c>
      <c r="D22223" s="1" t="s">
        <v>6812</v>
      </c>
    </row>
    <row r="22224">
      <c r="A22224" s="1" t="s">
        <v>34289</v>
      </c>
      <c r="B22224" s="2" t="s">
        <v>34290</v>
      </c>
      <c r="C22224" s="1" t="s">
        <v>6810</v>
      </c>
      <c r="D22224" s="1" t="s">
        <v>6812</v>
      </c>
    </row>
    <row r="22225">
      <c r="A22225" s="1" t="s">
        <v>34291</v>
      </c>
      <c r="B22225" s="2" t="s">
        <v>34292</v>
      </c>
      <c r="C22225" s="1" t="s">
        <v>6810</v>
      </c>
      <c r="D22225" s="1" t="s">
        <v>6812</v>
      </c>
    </row>
    <row r="22226">
      <c r="A22226" s="1" t="s">
        <v>34293</v>
      </c>
      <c r="B22226" s="2" t="s">
        <v>34294</v>
      </c>
      <c r="C22226" s="1" t="s">
        <v>6810</v>
      </c>
      <c r="D22226" s="1" t="s">
        <v>6812</v>
      </c>
    </row>
    <row r="22227">
      <c r="A22227" s="1" t="s">
        <v>34295</v>
      </c>
      <c r="B22227" s="2" t="s">
        <v>34296</v>
      </c>
      <c r="C22227" s="1" t="s">
        <v>6810</v>
      </c>
      <c r="D22227" s="1" t="s">
        <v>6812</v>
      </c>
    </row>
    <row r="22228">
      <c r="A22228" s="1" t="s">
        <v>34297</v>
      </c>
      <c r="B22228" s="2" t="s">
        <v>34298</v>
      </c>
      <c r="C22228" s="1" t="s">
        <v>6810</v>
      </c>
      <c r="D22228" s="1" t="s">
        <v>6812</v>
      </c>
    </row>
    <row r="22229">
      <c r="A22229" s="1" t="s">
        <v>34299</v>
      </c>
      <c r="B22229" s="2" t="s">
        <v>34300</v>
      </c>
      <c r="C22229" s="1" t="s">
        <v>6810</v>
      </c>
      <c r="D22229" s="1" t="s">
        <v>6812</v>
      </c>
    </row>
    <row r="22230">
      <c r="A22230" s="1" t="s">
        <v>34301</v>
      </c>
      <c r="B22230" s="2" t="s">
        <v>34302</v>
      </c>
      <c r="C22230" s="1" t="s">
        <v>6810</v>
      </c>
      <c r="D22230" s="1" t="s">
        <v>6812</v>
      </c>
    </row>
    <row r="22231">
      <c r="A22231" s="1" t="s">
        <v>34303</v>
      </c>
      <c r="B22231" s="2" t="s">
        <v>34304</v>
      </c>
      <c r="C22231" s="1" t="s">
        <v>6810</v>
      </c>
      <c r="D22231" s="1" t="s">
        <v>6812</v>
      </c>
    </row>
    <row r="22232">
      <c r="A22232" s="1" t="s">
        <v>34305</v>
      </c>
      <c r="B22232" s="2" t="s">
        <v>34306</v>
      </c>
      <c r="C22232" s="1" t="s">
        <v>6810</v>
      </c>
      <c r="D22232" s="1" t="s">
        <v>6812</v>
      </c>
    </row>
    <row r="22233">
      <c r="A22233" s="1" t="s">
        <v>34307</v>
      </c>
      <c r="B22233" s="2" t="s">
        <v>34308</v>
      </c>
      <c r="C22233" s="1" t="s">
        <v>6810</v>
      </c>
      <c r="D22233" s="1" t="s">
        <v>6812</v>
      </c>
    </row>
    <row r="22234">
      <c r="A22234" s="1" t="s">
        <v>34309</v>
      </c>
      <c r="B22234" s="2" t="s">
        <v>34310</v>
      </c>
      <c r="C22234" s="1" t="s">
        <v>6810</v>
      </c>
      <c r="D22234" s="1" t="s">
        <v>6812</v>
      </c>
    </row>
    <row r="22235">
      <c r="A22235" s="1" t="s">
        <v>34311</v>
      </c>
      <c r="B22235" s="2" t="s">
        <v>34312</v>
      </c>
      <c r="C22235" s="1" t="s">
        <v>6810</v>
      </c>
      <c r="D22235" s="1" t="s">
        <v>6812</v>
      </c>
    </row>
    <row r="22236">
      <c r="A22236" s="1" t="s">
        <v>34313</v>
      </c>
      <c r="B22236" s="2" t="s">
        <v>33212</v>
      </c>
      <c r="C22236" s="1" t="s">
        <v>6810</v>
      </c>
      <c r="D22236" s="1" t="s">
        <v>6812</v>
      </c>
    </row>
    <row r="22237">
      <c r="A22237" s="1" t="s">
        <v>34314</v>
      </c>
      <c r="B22237" s="2" t="s">
        <v>34315</v>
      </c>
      <c r="C22237" s="1" t="s">
        <v>6810</v>
      </c>
      <c r="D22237" s="1" t="s">
        <v>6812</v>
      </c>
    </row>
    <row r="22238">
      <c r="A22238" s="1" t="s">
        <v>34316</v>
      </c>
      <c r="B22238" s="2" t="s">
        <v>34317</v>
      </c>
      <c r="C22238" s="1" t="s">
        <v>6810</v>
      </c>
      <c r="D22238" s="1" t="s">
        <v>6812</v>
      </c>
    </row>
    <row r="22239">
      <c r="A22239" s="1" t="s">
        <v>34318</v>
      </c>
      <c r="B22239" s="2" t="s">
        <v>34319</v>
      </c>
      <c r="C22239" s="1" t="s">
        <v>6810</v>
      </c>
      <c r="D22239" s="1" t="s">
        <v>6812</v>
      </c>
    </row>
    <row r="22240">
      <c r="A22240" s="1" t="s">
        <v>34320</v>
      </c>
      <c r="B22240" s="2" t="s">
        <v>34321</v>
      </c>
      <c r="C22240" s="1" t="s">
        <v>6810</v>
      </c>
      <c r="D22240" s="1" t="s">
        <v>6812</v>
      </c>
    </row>
    <row r="22241">
      <c r="A22241" s="1" t="s">
        <v>34322</v>
      </c>
      <c r="B22241" s="2" t="s">
        <v>34323</v>
      </c>
      <c r="C22241" s="1" t="s">
        <v>6810</v>
      </c>
      <c r="D22241" s="1" t="s">
        <v>6812</v>
      </c>
    </row>
    <row r="22242">
      <c r="A22242" s="1" t="s">
        <v>34324</v>
      </c>
      <c r="B22242" s="2" t="s">
        <v>34325</v>
      </c>
      <c r="C22242" s="1" t="s">
        <v>6810</v>
      </c>
      <c r="D22242" s="1" t="s">
        <v>6812</v>
      </c>
    </row>
    <row r="22243">
      <c r="A22243" s="1" t="s">
        <v>34326</v>
      </c>
      <c r="B22243" s="2" t="s">
        <v>34327</v>
      </c>
      <c r="C22243" s="1" t="s">
        <v>6810</v>
      </c>
      <c r="D22243" s="1" t="s">
        <v>6812</v>
      </c>
    </row>
    <row r="22244">
      <c r="A22244" s="1" t="s">
        <v>34328</v>
      </c>
      <c r="B22244" s="2" t="s">
        <v>34329</v>
      </c>
      <c r="C22244" s="1" t="s">
        <v>6810</v>
      </c>
      <c r="D22244" s="1" t="s">
        <v>6812</v>
      </c>
    </row>
    <row r="22245">
      <c r="A22245" s="1" t="s">
        <v>34330</v>
      </c>
      <c r="B22245" s="2" t="s">
        <v>34331</v>
      </c>
      <c r="C22245" s="1" t="s">
        <v>6810</v>
      </c>
      <c r="D22245" s="1" t="s">
        <v>6812</v>
      </c>
    </row>
    <row r="22246">
      <c r="A22246" s="1" t="s">
        <v>34332</v>
      </c>
      <c r="B22246" s="2" t="s">
        <v>34333</v>
      </c>
      <c r="C22246" s="1" t="s">
        <v>6810</v>
      </c>
      <c r="D22246" s="1" t="s">
        <v>6812</v>
      </c>
    </row>
    <row r="22247">
      <c r="A22247" s="1" t="s">
        <v>34334</v>
      </c>
      <c r="B22247" s="2" t="s">
        <v>34335</v>
      </c>
      <c r="C22247" s="1" t="s">
        <v>6810</v>
      </c>
      <c r="D22247" s="1" t="s">
        <v>6812</v>
      </c>
    </row>
    <row r="22248">
      <c r="A22248" s="1" t="s">
        <v>34336</v>
      </c>
      <c r="B22248" s="2" t="s">
        <v>34337</v>
      </c>
      <c r="C22248" s="1" t="s">
        <v>6810</v>
      </c>
      <c r="D22248" s="1" t="s">
        <v>6812</v>
      </c>
    </row>
    <row r="22249">
      <c r="A22249" s="1" t="s">
        <v>34338</v>
      </c>
      <c r="B22249" s="2" t="s">
        <v>34339</v>
      </c>
      <c r="C22249" s="1" t="s">
        <v>6810</v>
      </c>
      <c r="D22249" s="1" t="s">
        <v>6812</v>
      </c>
    </row>
    <row r="22250">
      <c r="A22250" s="1" t="s">
        <v>34340</v>
      </c>
      <c r="B22250" s="2" t="s">
        <v>34341</v>
      </c>
      <c r="C22250" s="1" t="s">
        <v>6810</v>
      </c>
      <c r="D22250" s="1" t="s">
        <v>6812</v>
      </c>
    </row>
    <row r="22251">
      <c r="A22251" s="1" t="s">
        <v>34342</v>
      </c>
      <c r="B22251" s="2" t="s">
        <v>34343</v>
      </c>
      <c r="C22251" s="1" t="s">
        <v>6810</v>
      </c>
      <c r="D22251" s="1" t="s">
        <v>6812</v>
      </c>
    </row>
    <row r="22252">
      <c r="A22252" s="1" t="s">
        <v>34344</v>
      </c>
      <c r="B22252" s="2" t="s">
        <v>34345</v>
      </c>
      <c r="C22252" s="1" t="s">
        <v>6810</v>
      </c>
      <c r="D22252" s="1" t="s">
        <v>6812</v>
      </c>
    </row>
    <row r="22253">
      <c r="A22253" s="1" t="s">
        <v>34346</v>
      </c>
      <c r="B22253" s="2" t="s">
        <v>34347</v>
      </c>
      <c r="C22253" s="1" t="s">
        <v>6810</v>
      </c>
      <c r="D22253" s="1" t="s">
        <v>6812</v>
      </c>
    </row>
    <row r="22254">
      <c r="A22254" s="1" t="s">
        <v>34348</v>
      </c>
      <c r="B22254" s="2" t="s">
        <v>34349</v>
      </c>
      <c r="C22254" s="1" t="s">
        <v>6810</v>
      </c>
      <c r="D22254" s="1" t="s">
        <v>6812</v>
      </c>
    </row>
    <row r="22255">
      <c r="A22255" s="1" t="s">
        <v>34350</v>
      </c>
      <c r="B22255" s="2" t="s">
        <v>34351</v>
      </c>
      <c r="C22255" s="1" t="s">
        <v>6810</v>
      </c>
      <c r="D22255" s="1" t="s">
        <v>6812</v>
      </c>
    </row>
    <row r="22256">
      <c r="A22256" s="1" t="s">
        <v>6818</v>
      </c>
      <c r="B22256" s="2" t="s">
        <v>6819</v>
      </c>
      <c r="C22256" s="1" t="s">
        <v>6821</v>
      </c>
      <c r="D22256" s="1" t="s">
        <v>6823</v>
      </c>
    </row>
    <row r="22257">
      <c r="A22257" s="1" t="s">
        <v>34352</v>
      </c>
      <c r="B22257" s="2" t="s">
        <v>34353</v>
      </c>
      <c r="C22257" s="1" t="s">
        <v>6821</v>
      </c>
      <c r="D22257" s="1" t="s">
        <v>6823</v>
      </c>
    </row>
    <row r="22258">
      <c r="A22258" s="1" t="s">
        <v>34354</v>
      </c>
      <c r="B22258" s="2" t="s">
        <v>34355</v>
      </c>
      <c r="C22258" s="1" t="s">
        <v>6821</v>
      </c>
      <c r="D22258" s="1" t="s">
        <v>6823</v>
      </c>
    </row>
    <row r="22259">
      <c r="A22259" s="1" t="s">
        <v>6828</v>
      </c>
      <c r="B22259" s="2" t="s">
        <v>6829</v>
      </c>
      <c r="C22259" s="1" t="s">
        <v>6832</v>
      </c>
      <c r="D22259" s="1" t="s">
        <v>6833</v>
      </c>
    </row>
    <row r="22260">
      <c r="A22260" s="1" t="s">
        <v>34356</v>
      </c>
      <c r="B22260" s="2" t="s">
        <v>34357</v>
      </c>
      <c r="C22260" s="1" t="s">
        <v>6832</v>
      </c>
      <c r="D22260" s="1" t="s">
        <v>6833</v>
      </c>
    </row>
    <row r="22261">
      <c r="A22261" s="1" t="s">
        <v>34358</v>
      </c>
      <c r="B22261" s="2" t="s">
        <v>34359</v>
      </c>
      <c r="C22261" s="1" t="s">
        <v>6832</v>
      </c>
      <c r="D22261" s="1" t="s">
        <v>6833</v>
      </c>
    </row>
    <row r="22262">
      <c r="A22262" s="1" t="s">
        <v>6838</v>
      </c>
      <c r="B22262" s="2" t="s">
        <v>6839</v>
      </c>
      <c r="C22262" s="1" t="s">
        <v>6841</v>
      </c>
      <c r="D22262" s="1" t="s">
        <v>6843</v>
      </c>
    </row>
    <row r="22263">
      <c r="A22263" s="1" t="s">
        <v>34360</v>
      </c>
      <c r="B22263" s="2" t="s">
        <v>34361</v>
      </c>
      <c r="C22263" s="1" t="s">
        <v>6841</v>
      </c>
      <c r="D22263" s="1" t="s">
        <v>6843</v>
      </c>
    </row>
    <row r="22264">
      <c r="A22264" s="1" t="s">
        <v>34362</v>
      </c>
      <c r="B22264" s="2" t="s">
        <v>34363</v>
      </c>
      <c r="C22264" s="1" t="s">
        <v>6841</v>
      </c>
      <c r="D22264" s="1" t="s">
        <v>6843</v>
      </c>
    </row>
    <row r="22265">
      <c r="A22265" s="1" t="s">
        <v>6848</v>
      </c>
      <c r="B22265" s="2" t="s">
        <v>7</v>
      </c>
      <c r="C22265" s="1" t="s">
        <v>6850</v>
      </c>
      <c r="D22265" s="1" t="s">
        <v>6852</v>
      </c>
    </row>
    <row r="22266">
      <c r="A22266" s="1" t="s">
        <v>34364</v>
      </c>
      <c r="B22266" s="2" t="s">
        <v>33196</v>
      </c>
      <c r="C22266" s="1" t="s">
        <v>6850</v>
      </c>
      <c r="D22266" s="1" t="s">
        <v>6852</v>
      </c>
    </row>
    <row r="22267">
      <c r="A22267" s="1" t="s">
        <v>34365</v>
      </c>
      <c r="B22267" s="2" t="s">
        <v>34366</v>
      </c>
      <c r="C22267" s="1" t="s">
        <v>6850</v>
      </c>
      <c r="D22267" s="1" t="s">
        <v>6852</v>
      </c>
    </row>
    <row r="22268">
      <c r="A22268" s="1" t="s">
        <v>34367</v>
      </c>
      <c r="B22268" s="2" t="s">
        <v>34368</v>
      </c>
      <c r="C22268" s="1" t="s">
        <v>6850</v>
      </c>
      <c r="D22268" s="1" t="s">
        <v>6852</v>
      </c>
    </row>
    <row r="22269">
      <c r="A22269" s="1" t="s">
        <v>34369</v>
      </c>
      <c r="B22269" s="2" t="s">
        <v>34370</v>
      </c>
      <c r="C22269" s="1" t="s">
        <v>6850</v>
      </c>
      <c r="D22269" s="1" t="s">
        <v>6852</v>
      </c>
    </row>
    <row r="22270">
      <c r="A22270" s="1" t="s">
        <v>34371</v>
      </c>
      <c r="B22270" s="2" t="s">
        <v>34372</v>
      </c>
      <c r="C22270" s="1" t="s">
        <v>6850</v>
      </c>
      <c r="D22270" s="1" t="s">
        <v>6852</v>
      </c>
    </row>
    <row r="22271">
      <c r="A22271" s="1" t="s">
        <v>34373</v>
      </c>
      <c r="B22271" s="2" t="s">
        <v>34374</v>
      </c>
      <c r="C22271" s="1" t="s">
        <v>6850</v>
      </c>
      <c r="D22271" s="1" t="s">
        <v>6852</v>
      </c>
    </row>
    <row r="22272">
      <c r="A22272" s="1" t="s">
        <v>34375</v>
      </c>
      <c r="B22272" s="2" t="s">
        <v>34376</v>
      </c>
      <c r="C22272" s="1" t="s">
        <v>6850</v>
      </c>
      <c r="D22272" s="1" t="s">
        <v>6852</v>
      </c>
    </row>
    <row r="22273">
      <c r="A22273" s="1" t="s">
        <v>34377</v>
      </c>
      <c r="B22273" s="2" t="s">
        <v>34378</v>
      </c>
      <c r="C22273" s="1" t="s">
        <v>6850</v>
      </c>
      <c r="D22273" s="1" t="s">
        <v>6852</v>
      </c>
    </row>
    <row r="22274">
      <c r="A22274" s="1" t="s">
        <v>34379</v>
      </c>
      <c r="B22274" s="2" t="s">
        <v>34380</v>
      </c>
      <c r="C22274" s="1" t="s">
        <v>6850</v>
      </c>
      <c r="D22274" s="1" t="s">
        <v>6852</v>
      </c>
    </row>
    <row r="22275">
      <c r="A22275" s="1" t="s">
        <v>34381</v>
      </c>
      <c r="B22275" s="2" t="s">
        <v>34382</v>
      </c>
      <c r="C22275" s="1" t="s">
        <v>6850</v>
      </c>
      <c r="D22275" s="1" t="s">
        <v>6852</v>
      </c>
    </row>
    <row r="22276">
      <c r="A22276" s="1" t="s">
        <v>34383</v>
      </c>
      <c r="B22276" s="2" t="s">
        <v>34384</v>
      </c>
      <c r="C22276" s="1" t="s">
        <v>6850</v>
      </c>
      <c r="D22276" s="1" t="s">
        <v>6852</v>
      </c>
    </row>
    <row r="22277">
      <c r="A22277" s="1" t="s">
        <v>34385</v>
      </c>
      <c r="B22277" s="2" t="s">
        <v>33212</v>
      </c>
      <c r="C22277" s="1" t="s">
        <v>6850</v>
      </c>
      <c r="D22277" s="1" t="s">
        <v>6852</v>
      </c>
    </row>
    <row r="22278">
      <c r="A22278" s="1" t="s">
        <v>34386</v>
      </c>
      <c r="B22278" s="2" t="s">
        <v>34387</v>
      </c>
      <c r="C22278" s="1" t="s">
        <v>6850</v>
      </c>
      <c r="D22278" s="1" t="s">
        <v>6852</v>
      </c>
    </row>
    <row r="22279">
      <c r="A22279" s="1" t="s">
        <v>34388</v>
      </c>
      <c r="B22279" s="2" t="s">
        <v>34389</v>
      </c>
      <c r="C22279" s="1" t="s">
        <v>6850</v>
      </c>
      <c r="D22279" s="1" t="s">
        <v>6852</v>
      </c>
    </row>
    <row r="22280">
      <c r="A22280" s="1" t="s">
        <v>34390</v>
      </c>
      <c r="B22280" s="2" t="s">
        <v>34391</v>
      </c>
      <c r="C22280" s="1" t="s">
        <v>6850</v>
      </c>
      <c r="D22280" s="1" t="s">
        <v>6852</v>
      </c>
    </row>
    <row r="22281">
      <c r="A22281" s="1" t="s">
        <v>34392</v>
      </c>
      <c r="B22281" s="2" t="s">
        <v>34393</v>
      </c>
      <c r="C22281" s="1" t="s">
        <v>6850</v>
      </c>
      <c r="D22281" s="1" t="s">
        <v>6852</v>
      </c>
    </row>
    <row r="22282">
      <c r="A22282" s="1" t="s">
        <v>34394</v>
      </c>
      <c r="B22282" s="2" t="s">
        <v>34395</v>
      </c>
      <c r="C22282" s="1" t="s">
        <v>6850</v>
      </c>
      <c r="D22282" s="1" t="s">
        <v>6852</v>
      </c>
    </row>
    <row r="22283">
      <c r="A22283" s="1" t="s">
        <v>34396</v>
      </c>
      <c r="B22283" s="2" t="s">
        <v>34397</v>
      </c>
      <c r="C22283" s="1" t="s">
        <v>6850</v>
      </c>
      <c r="D22283" s="1" t="s">
        <v>6852</v>
      </c>
    </row>
    <row r="22284">
      <c r="A22284" s="1" t="s">
        <v>34398</v>
      </c>
      <c r="B22284" s="2" t="s">
        <v>34399</v>
      </c>
      <c r="C22284" s="1" t="s">
        <v>6850</v>
      </c>
      <c r="D22284" s="1" t="s">
        <v>6852</v>
      </c>
    </row>
    <row r="22285">
      <c r="A22285" s="1" t="s">
        <v>34400</v>
      </c>
      <c r="B22285" s="2" t="s">
        <v>34401</v>
      </c>
      <c r="C22285" s="1" t="s">
        <v>6850</v>
      </c>
      <c r="D22285" s="1" t="s">
        <v>6852</v>
      </c>
    </row>
    <row r="22286">
      <c r="A22286" s="1" t="s">
        <v>34402</v>
      </c>
      <c r="B22286" s="2" t="s">
        <v>34403</v>
      </c>
      <c r="C22286" s="1" t="s">
        <v>6850</v>
      </c>
      <c r="D22286" s="1" t="s">
        <v>6852</v>
      </c>
    </row>
    <row r="22287">
      <c r="A22287" s="1" t="s">
        <v>34404</v>
      </c>
      <c r="B22287" s="2" t="s">
        <v>34405</v>
      </c>
      <c r="C22287" s="1" t="s">
        <v>6850</v>
      </c>
      <c r="D22287" s="1" t="s">
        <v>6852</v>
      </c>
    </row>
    <row r="22288">
      <c r="A22288" s="1" t="s">
        <v>6857</v>
      </c>
      <c r="B22288" s="2" t="s">
        <v>6858</v>
      </c>
      <c r="C22288" s="1" t="s">
        <v>6860</v>
      </c>
      <c r="D22288" s="1" t="s">
        <v>6862</v>
      </c>
    </row>
    <row r="22289">
      <c r="A22289" s="1" t="s">
        <v>34406</v>
      </c>
      <c r="B22289" s="2" t="s">
        <v>34407</v>
      </c>
      <c r="C22289" s="1" t="s">
        <v>6860</v>
      </c>
      <c r="D22289" s="1" t="s">
        <v>6862</v>
      </c>
    </row>
    <row r="22290">
      <c r="A22290" s="1" t="s">
        <v>34408</v>
      </c>
      <c r="B22290" s="2" t="s">
        <v>34409</v>
      </c>
      <c r="C22290" s="1" t="s">
        <v>6860</v>
      </c>
      <c r="D22290" s="1" t="s">
        <v>6862</v>
      </c>
    </row>
    <row r="22291">
      <c r="A22291" s="1" t="s">
        <v>6867</v>
      </c>
      <c r="B22291" s="2" t="s">
        <v>7</v>
      </c>
      <c r="C22291" s="1" t="s">
        <v>6869</v>
      </c>
      <c r="D22291" s="1" t="s">
        <v>6871</v>
      </c>
    </row>
    <row r="22292">
      <c r="A22292" s="1" t="s">
        <v>34410</v>
      </c>
      <c r="B22292" s="2" t="s">
        <v>33988</v>
      </c>
      <c r="C22292" s="1" t="s">
        <v>6869</v>
      </c>
      <c r="D22292" s="1" t="s">
        <v>6871</v>
      </c>
    </row>
    <row r="22293">
      <c r="A22293" s="1" t="s">
        <v>34411</v>
      </c>
      <c r="B22293" s="2" t="s">
        <v>33990</v>
      </c>
      <c r="C22293" s="1" t="s">
        <v>6869</v>
      </c>
      <c r="D22293" s="1" t="s">
        <v>6871</v>
      </c>
    </row>
    <row r="22294">
      <c r="A22294" s="1" t="s">
        <v>34412</v>
      </c>
      <c r="B22294" s="2" t="s">
        <v>33992</v>
      </c>
      <c r="C22294" s="1" t="s">
        <v>6869</v>
      </c>
      <c r="D22294" s="1" t="s">
        <v>6871</v>
      </c>
    </row>
    <row r="22295">
      <c r="A22295" s="1" t="s">
        <v>34413</v>
      </c>
      <c r="B22295" s="2" t="s">
        <v>33994</v>
      </c>
      <c r="C22295" s="1" t="s">
        <v>6869</v>
      </c>
      <c r="D22295" s="1" t="s">
        <v>6871</v>
      </c>
    </row>
    <row r="22296">
      <c r="A22296" s="1" t="s">
        <v>34414</v>
      </c>
      <c r="B22296" s="2" t="s">
        <v>33996</v>
      </c>
      <c r="C22296" s="1" t="s">
        <v>6869</v>
      </c>
      <c r="D22296" s="1" t="s">
        <v>6871</v>
      </c>
    </row>
    <row r="22297">
      <c r="A22297" s="1" t="s">
        <v>34415</v>
      </c>
      <c r="B22297" s="2" t="s">
        <v>33998</v>
      </c>
      <c r="C22297" s="1" t="s">
        <v>6869</v>
      </c>
      <c r="D22297" s="1" t="s">
        <v>6871</v>
      </c>
    </row>
    <row r="22298">
      <c r="A22298" s="1" t="s">
        <v>34416</v>
      </c>
      <c r="B22298" s="2" t="s">
        <v>34000</v>
      </c>
      <c r="C22298" s="1" t="s">
        <v>6869</v>
      </c>
      <c r="D22298" s="1" t="s">
        <v>6871</v>
      </c>
    </row>
    <row r="22299">
      <c r="A22299" s="1" t="s">
        <v>34417</v>
      </c>
      <c r="B22299" s="2" t="s">
        <v>34002</v>
      </c>
      <c r="C22299" s="1" t="s">
        <v>6869</v>
      </c>
      <c r="D22299" s="1" t="s">
        <v>6871</v>
      </c>
    </row>
    <row r="22300">
      <c r="A22300" s="1" t="s">
        <v>34418</v>
      </c>
      <c r="B22300" s="2" t="s">
        <v>34004</v>
      </c>
      <c r="C22300" s="1" t="s">
        <v>6869</v>
      </c>
      <c r="D22300" s="1" t="s">
        <v>6871</v>
      </c>
    </row>
    <row r="22301">
      <c r="A22301" s="1" t="s">
        <v>34419</v>
      </c>
      <c r="B22301" s="2" t="s">
        <v>34006</v>
      </c>
      <c r="C22301" s="1" t="s">
        <v>6869</v>
      </c>
      <c r="D22301" s="1" t="s">
        <v>6871</v>
      </c>
    </row>
    <row r="22302">
      <c r="A22302" s="1" t="s">
        <v>34420</v>
      </c>
      <c r="B22302" s="2" t="s">
        <v>34008</v>
      </c>
      <c r="C22302" s="1" t="s">
        <v>6869</v>
      </c>
      <c r="D22302" s="1" t="s">
        <v>6871</v>
      </c>
    </row>
    <row r="22303">
      <c r="A22303" s="1" t="s">
        <v>34421</v>
      </c>
      <c r="B22303" s="2" t="s">
        <v>34010</v>
      </c>
      <c r="C22303" s="1" t="s">
        <v>6869</v>
      </c>
      <c r="D22303" s="1" t="s">
        <v>6871</v>
      </c>
    </row>
    <row r="22304">
      <c r="A22304" s="1" t="s">
        <v>34422</v>
      </c>
      <c r="B22304" s="2" t="s">
        <v>34012</v>
      </c>
      <c r="C22304" s="1" t="s">
        <v>6869</v>
      </c>
      <c r="D22304" s="1" t="s">
        <v>6871</v>
      </c>
    </row>
    <row r="22305">
      <c r="A22305" s="1" t="s">
        <v>34423</v>
      </c>
      <c r="B22305" s="2" t="s">
        <v>34014</v>
      </c>
      <c r="C22305" s="1" t="s">
        <v>6869</v>
      </c>
      <c r="D22305" s="1" t="s">
        <v>6871</v>
      </c>
    </row>
    <row r="22306">
      <c r="A22306" s="1" t="s">
        <v>34424</v>
      </c>
      <c r="B22306" s="2" t="s">
        <v>34016</v>
      </c>
      <c r="C22306" s="1" t="s">
        <v>6869</v>
      </c>
      <c r="D22306" s="1" t="s">
        <v>6871</v>
      </c>
    </row>
    <row r="22307">
      <c r="A22307" s="1" t="s">
        <v>34425</v>
      </c>
      <c r="B22307" s="2" t="s">
        <v>34018</v>
      </c>
      <c r="C22307" s="1" t="s">
        <v>6869</v>
      </c>
      <c r="D22307" s="1" t="s">
        <v>6871</v>
      </c>
    </row>
    <row r="22308">
      <c r="A22308" s="1" t="s">
        <v>34426</v>
      </c>
      <c r="B22308" s="2" t="s">
        <v>34020</v>
      </c>
      <c r="C22308" s="1" t="s">
        <v>6869</v>
      </c>
      <c r="D22308" s="1" t="s">
        <v>6871</v>
      </c>
    </row>
    <row r="22309">
      <c r="A22309" s="1" t="s">
        <v>34427</v>
      </c>
      <c r="B22309" s="2" t="s">
        <v>34022</v>
      </c>
      <c r="C22309" s="1" t="s">
        <v>6869</v>
      </c>
      <c r="D22309" s="1" t="s">
        <v>6871</v>
      </c>
    </row>
    <row r="22310">
      <c r="A22310" s="1" t="s">
        <v>34428</v>
      </c>
      <c r="B22310" s="2" t="s">
        <v>34024</v>
      </c>
      <c r="C22310" s="1" t="s">
        <v>6869</v>
      </c>
      <c r="D22310" s="1" t="s">
        <v>6871</v>
      </c>
    </row>
    <row r="22311">
      <c r="A22311" s="1" t="s">
        <v>34429</v>
      </c>
      <c r="B22311" s="2" t="s">
        <v>34026</v>
      </c>
      <c r="C22311" s="1" t="s">
        <v>6869</v>
      </c>
      <c r="D22311" s="1" t="s">
        <v>6871</v>
      </c>
    </row>
    <row r="22312">
      <c r="A22312" s="1" t="s">
        <v>34430</v>
      </c>
      <c r="B22312" s="2" t="s">
        <v>34028</v>
      </c>
      <c r="C22312" s="1" t="s">
        <v>6869</v>
      </c>
      <c r="D22312" s="1" t="s">
        <v>6871</v>
      </c>
    </row>
    <row r="22313">
      <c r="A22313" s="1" t="s">
        <v>34431</v>
      </c>
      <c r="B22313" s="2" t="s">
        <v>21095</v>
      </c>
      <c r="C22313" s="1" t="s">
        <v>6869</v>
      </c>
      <c r="D22313" s="1" t="s">
        <v>6871</v>
      </c>
    </row>
    <row r="22314">
      <c r="A22314" s="1" t="s">
        <v>34432</v>
      </c>
      <c r="B22314" s="2" t="s">
        <v>34031</v>
      </c>
      <c r="C22314" s="1" t="s">
        <v>6869</v>
      </c>
      <c r="D22314" s="1" t="s">
        <v>6871</v>
      </c>
    </row>
    <row r="22315">
      <c r="A22315" s="1" t="s">
        <v>34433</v>
      </c>
      <c r="B22315" s="2" t="s">
        <v>34033</v>
      </c>
      <c r="C22315" s="1" t="s">
        <v>6869</v>
      </c>
      <c r="D22315" s="1" t="s">
        <v>6871</v>
      </c>
    </row>
    <row r="22316">
      <c r="A22316" s="1" t="s">
        <v>34434</v>
      </c>
      <c r="B22316" s="2" t="s">
        <v>34035</v>
      </c>
      <c r="C22316" s="1" t="s">
        <v>6869</v>
      </c>
      <c r="D22316" s="1" t="s">
        <v>6871</v>
      </c>
    </row>
    <row r="22317">
      <c r="A22317" s="1" t="s">
        <v>34435</v>
      </c>
      <c r="B22317" s="2" t="s">
        <v>34037</v>
      </c>
      <c r="C22317" s="1" t="s">
        <v>6869</v>
      </c>
      <c r="D22317" s="1" t="s">
        <v>6871</v>
      </c>
    </row>
    <row r="22318">
      <c r="A22318" s="1" t="s">
        <v>34436</v>
      </c>
      <c r="B22318" s="2" t="s">
        <v>34039</v>
      </c>
      <c r="C22318" s="1" t="s">
        <v>6869</v>
      </c>
      <c r="D22318" s="1" t="s">
        <v>6871</v>
      </c>
    </row>
    <row r="22319">
      <c r="A22319" s="1" t="s">
        <v>34437</v>
      </c>
      <c r="B22319" s="2" t="s">
        <v>34041</v>
      </c>
      <c r="C22319" s="1" t="s">
        <v>6869</v>
      </c>
      <c r="D22319" s="1" t="s">
        <v>6871</v>
      </c>
    </row>
    <row r="22320">
      <c r="A22320" s="1" t="s">
        <v>6876</v>
      </c>
      <c r="B22320" s="2" t="s">
        <v>7</v>
      </c>
      <c r="C22320" s="1" t="s">
        <v>6878</v>
      </c>
      <c r="D22320" s="1" t="s">
        <v>6880</v>
      </c>
    </row>
    <row r="22321">
      <c r="A22321" s="1" t="s">
        <v>34438</v>
      </c>
      <c r="B22321" s="2" t="s">
        <v>34439</v>
      </c>
      <c r="C22321" s="1" t="s">
        <v>6878</v>
      </c>
      <c r="D22321" s="1" t="s">
        <v>6880</v>
      </c>
    </row>
    <row r="22322">
      <c r="A22322" s="1" t="s">
        <v>34440</v>
      </c>
      <c r="B22322" s="2" t="s">
        <v>34441</v>
      </c>
      <c r="C22322" s="1" t="s">
        <v>6878</v>
      </c>
      <c r="D22322" s="1" t="s">
        <v>6880</v>
      </c>
    </row>
    <row r="22323">
      <c r="A22323" s="1" t="s">
        <v>34442</v>
      </c>
      <c r="B22323" s="2" t="s">
        <v>34443</v>
      </c>
      <c r="C22323" s="1" t="s">
        <v>6878</v>
      </c>
      <c r="D22323" s="1" t="s">
        <v>6880</v>
      </c>
    </row>
    <row r="22324">
      <c r="A22324" s="1" t="s">
        <v>34444</v>
      </c>
      <c r="B22324" s="2" t="s">
        <v>34445</v>
      </c>
      <c r="C22324" s="1" t="s">
        <v>6878</v>
      </c>
      <c r="D22324" s="1" t="s">
        <v>6880</v>
      </c>
    </row>
    <row r="22325">
      <c r="A22325" s="1" t="s">
        <v>34446</v>
      </c>
      <c r="B22325" s="2" t="s">
        <v>34447</v>
      </c>
      <c r="C22325" s="1" t="s">
        <v>6878</v>
      </c>
      <c r="D22325" s="1" t="s">
        <v>6880</v>
      </c>
    </row>
    <row r="22326">
      <c r="A22326" s="1" t="s">
        <v>34448</v>
      </c>
      <c r="B22326" s="2" t="s">
        <v>34449</v>
      </c>
      <c r="C22326" s="1" t="s">
        <v>6878</v>
      </c>
      <c r="D22326" s="1" t="s">
        <v>6880</v>
      </c>
    </row>
    <row r="22327">
      <c r="A22327" s="1" t="s">
        <v>34450</v>
      </c>
      <c r="B22327" s="2" t="s">
        <v>34451</v>
      </c>
      <c r="C22327" s="1" t="s">
        <v>6878</v>
      </c>
      <c r="D22327" s="1" t="s">
        <v>6880</v>
      </c>
    </row>
    <row r="22328">
      <c r="A22328" s="1" t="s">
        <v>34452</v>
      </c>
      <c r="B22328" s="2" t="s">
        <v>33830</v>
      </c>
      <c r="C22328" s="1" t="s">
        <v>6878</v>
      </c>
      <c r="D22328" s="1" t="s">
        <v>6880</v>
      </c>
    </row>
    <row r="22329">
      <c r="A22329" s="1" t="s">
        <v>34453</v>
      </c>
      <c r="B22329" s="2" t="s">
        <v>33832</v>
      </c>
      <c r="C22329" s="1" t="s">
        <v>6878</v>
      </c>
      <c r="D22329" s="1" t="s">
        <v>6880</v>
      </c>
    </row>
    <row r="22330">
      <c r="A22330" s="1" t="s">
        <v>34454</v>
      </c>
      <c r="B22330" s="2" t="s">
        <v>33834</v>
      </c>
      <c r="C22330" s="1" t="s">
        <v>6878</v>
      </c>
      <c r="D22330" s="1" t="s">
        <v>6880</v>
      </c>
    </row>
    <row r="22331">
      <c r="A22331" s="1" t="s">
        <v>34455</v>
      </c>
      <c r="B22331" s="2" t="s">
        <v>33836</v>
      </c>
      <c r="C22331" s="1" t="s">
        <v>6878</v>
      </c>
      <c r="D22331" s="1" t="s">
        <v>6880</v>
      </c>
    </row>
    <row r="22332">
      <c r="A22332" s="1" t="s">
        <v>34456</v>
      </c>
      <c r="B22332" s="2" t="s">
        <v>33838</v>
      </c>
      <c r="C22332" s="1" t="s">
        <v>6878</v>
      </c>
      <c r="D22332" s="1" t="s">
        <v>6880</v>
      </c>
    </row>
    <row r="22333">
      <c r="A22333" s="1" t="s">
        <v>34457</v>
      </c>
      <c r="B22333" s="2" t="s">
        <v>33840</v>
      </c>
      <c r="C22333" s="1" t="s">
        <v>6878</v>
      </c>
      <c r="D22333" s="1" t="s">
        <v>6880</v>
      </c>
    </row>
    <row r="22334">
      <c r="A22334" s="1" t="s">
        <v>34458</v>
      </c>
      <c r="B22334" s="2" t="s">
        <v>33842</v>
      </c>
      <c r="C22334" s="1" t="s">
        <v>6878</v>
      </c>
      <c r="D22334" s="1" t="s">
        <v>6880</v>
      </c>
    </row>
    <row r="22335">
      <c r="A22335" s="1" t="s">
        <v>34459</v>
      </c>
      <c r="B22335" s="2" t="s">
        <v>33844</v>
      </c>
      <c r="C22335" s="1" t="s">
        <v>6878</v>
      </c>
      <c r="D22335" s="1" t="s">
        <v>6880</v>
      </c>
    </row>
    <row r="22336">
      <c r="A22336" s="1" t="s">
        <v>34460</v>
      </c>
      <c r="B22336" s="2" t="s">
        <v>34461</v>
      </c>
      <c r="C22336" s="1" t="s">
        <v>6878</v>
      </c>
      <c r="D22336" s="1" t="s">
        <v>6880</v>
      </c>
    </row>
    <row r="22337">
      <c r="A22337" s="1" t="s">
        <v>34462</v>
      </c>
      <c r="B22337" s="2" t="s">
        <v>34463</v>
      </c>
      <c r="C22337" s="1" t="s">
        <v>6878</v>
      </c>
      <c r="D22337" s="1" t="s">
        <v>6880</v>
      </c>
    </row>
    <row r="22338">
      <c r="A22338" s="1" t="s">
        <v>6884</v>
      </c>
      <c r="B22338" s="2" t="s">
        <v>7</v>
      </c>
      <c r="C22338" s="1" t="s">
        <v>6886</v>
      </c>
      <c r="D22338" s="1" t="s">
        <v>6888</v>
      </c>
    </row>
    <row r="22339">
      <c r="A22339" s="1" t="s">
        <v>34464</v>
      </c>
      <c r="B22339" s="2" t="s">
        <v>34043</v>
      </c>
      <c r="C22339" s="1" t="s">
        <v>6886</v>
      </c>
      <c r="D22339" s="1" t="s">
        <v>6888</v>
      </c>
    </row>
    <row r="22340">
      <c r="A22340" s="1" t="s">
        <v>34465</v>
      </c>
      <c r="B22340" s="2" t="s">
        <v>34045</v>
      </c>
      <c r="C22340" s="1" t="s">
        <v>6886</v>
      </c>
      <c r="D22340" s="1" t="s">
        <v>6888</v>
      </c>
    </row>
    <row r="22341">
      <c r="A22341" s="1" t="s">
        <v>34466</v>
      </c>
      <c r="B22341" s="2" t="s">
        <v>34047</v>
      </c>
      <c r="C22341" s="1" t="s">
        <v>6886</v>
      </c>
      <c r="D22341" s="1" t="s">
        <v>6888</v>
      </c>
    </row>
    <row r="22342">
      <c r="A22342" s="1" t="s">
        <v>34467</v>
      </c>
      <c r="B22342" s="2" t="s">
        <v>34049</v>
      </c>
      <c r="C22342" s="1" t="s">
        <v>6886</v>
      </c>
      <c r="D22342" s="1" t="s">
        <v>6888</v>
      </c>
    </row>
    <row r="22343">
      <c r="A22343" s="1" t="s">
        <v>34468</v>
      </c>
      <c r="B22343" s="2" t="s">
        <v>34051</v>
      </c>
      <c r="C22343" s="1" t="s">
        <v>6886</v>
      </c>
      <c r="D22343" s="1" t="s">
        <v>6888</v>
      </c>
    </row>
    <row r="22344">
      <c r="A22344" s="1" t="s">
        <v>34469</v>
      </c>
      <c r="B22344" s="2" t="s">
        <v>34053</v>
      </c>
      <c r="C22344" s="1" t="s">
        <v>6886</v>
      </c>
      <c r="D22344" s="1" t="s">
        <v>6888</v>
      </c>
    </row>
    <row r="22345">
      <c r="A22345" s="1" t="s">
        <v>34470</v>
      </c>
      <c r="B22345" s="2" t="s">
        <v>34055</v>
      </c>
      <c r="C22345" s="1" t="s">
        <v>6886</v>
      </c>
      <c r="D22345" s="1" t="s">
        <v>6888</v>
      </c>
    </row>
    <row r="22346">
      <c r="A22346" s="1" t="s">
        <v>34471</v>
      </c>
      <c r="B22346" s="2" t="s">
        <v>34057</v>
      </c>
      <c r="C22346" s="1" t="s">
        <v>6886</v>
      </c>
      <c r="D22346" s="1" t="s">
        <v>6888</v>
      </c>
    </row>
    <row r="22347">
      <c r="A22347" s="1" t="s">
        <v>34472</v>
      </c>
      <c r="B22347" s="2" t="s">
        <v>34059</v>
      </c>
      <c r="C22347" s="1" t="s">
        <v>6886</v>
      </c>
      <c r="D22347" s="1" t="s">
        <v>6888</v>
      </c>
    </row>
    <row r="22348">
      <c r="A22348" s="1" t="s">
        <v>34473</v>
      </c>
      <c r="B22348" s="2" t="s">
        <v>34061</v>
      </c>
      <c r="C22348" s="1" t="s">
        <v>6886</v>
      </c>
      <c r="D22348" s="1" t="s">
        <v>6888</v>
      </c>
    </row>
    <row r="22349">
      <c r="A22349" s="1" t="s">
        <v>34474</v>
      </c>
      <c r="B22349" s="2" t="s">
        <v>34063</v>
      </c>
      <c r="C22349" s="1" t="s">
        <v>6886</v>
      </c>
      <c r="D22349" s="1" t="s">
        <v>6888</v>
      </c>
    </row>
    <row r="22350">
      <c r="A22350" s="1" t="s">
        <v>34475</v>
      </c>
      <c r="B22350" s="2" t="s">
        <v>34065</v>
      </c>
      <c r="C22350" s="1" t="s">
        <v>6886</v>
      </c>
      <c r="D22350" s="1" t="s">
        <v>6888</v>
      </c>
    </row>
    <row r="22351">
      <c r="A22351" s="1" t="s">
        <v>34476</v>
      </c>
      <c r="B22351" s="2" t="s">
        <v>34067</v>
      </c>
      <c r="C22351" s="1" t="s">
        <v>6886</v>
      </c>
      <c r="D22351" s="1" t="s">
        <v>6888</v>
      </c>
    </row>
    <row r="22352">
      <c r="A22352" s="1" t="s">
        <v>34477</v>
      </c>
      <c r="B22352" s="2" t="s">
        <v>34069</v>
      </c>
      <c r="C22352" s="1" t="s">
        <v>6886</v>
      </c>
      <c r="D22352" s="1" t="s">
        <v>6888</v>
      </c>
    </row>
    <row r="22353">
      <c r="A22353" s="1" t="s">
        <v>34478</v>
      </c>
      <c r="B22353" s="2" t="s">
        <v>34071</v>
      </c>
      <c r="C22353" s="1" t="s">
        <v>6886</v>
      </c>
      <c r="D22353" s="1" t="s">
        <v>6888</v>
      </c>
    </row>
    <row r="22354">
      <c r="A22354" s="1" t="s">
        <v>34479</v>
      </c>
      <c r="B22354" s="2" t="s">
        <v>34073</v>
      </c>
      <c r="C22354" s="1" t="s">
        <v>6886</v>
      </c>
      <c r="D22354" s="1" t="s">
        <v>6888</v>
      </c>
    </row>
    <row r="22355">
      <c r="A22355" s="1" t="s">
        <v>34480</v>
      </c>
      <c r="B22355" s="2" t="s">
        <v>34075</v>
      </c>
      <c r="C22355" s="1" t="s">
        <v>6886</v>
      </c>
      <c r="D22355" s="1" t="s">
        <v>6888</v>
      </c>
    </row>
    <row r="22356">
      <c r="A22356" s="1" t="s">
        <v>34481</v>
      </c>
      <c r="B22356" s="2" t="s">
        <v>34077</v>
      </c>
      <c r="C22356" s="1" t="s">
        <v>6886</v>
      </c>
      <c r="D22356" s="1" t="s">
        <v>6888</v>
      </c>
    </row>
    <row r="22357">
      <c r="A22357" s="1" t="s">
        <v>34482</v>
      </c>
      <c r="B22357" s="2" t="s">
        <v>34079</v>
      </c>
      <c r="C22357" s="1" t="s">
        <v>6886</v>
      </c>
      <c r="D22357" s="1" t="s">
        <v>6888</v>
      </c>
    </row>
    <row r="22358">
      <c r="A22358" s="1" t="s">
        <v>34483</v>
      </c>
      <c r="B22358" s="2" t="s">
        <v>34081</v>
      </c>
      <c r="C22358" s="1" t="s">
        <v>6886</v>
      </c>
      <c r="D22358" s="1" t="s">
        <v>6888</v>
      </c>
    </row>
    <row r="22359">
      <c r="A22359" s="1" t="s">
        <v>34484</v>
      </c>
      <c r="B22359" s="2" t="s">
        <v>34083</v>
      </c>
      <c r="C22359" s="1" t="s">
        <v>6886</v>
      </c>
      <c r="D22359" s="1" t="s">
        <v>6888</v>
      </c>
    </row>
    <row r="22360">
      <c r="A22360" s="1" t="s">
        <v>34485</v>
      </c>
      <c r="B22360" s="2" t="s">
        <v>34085</v>
      </c>
      <c r="C22360" s="1" t="s">
        <v>6886</v>
      </c>
      <c r="D22360" s="1" t="s">
        <v>6888</v>
      </c>
    </row>
    <row r="22361">
      <c r="A22361" s="1" t="s">
        <v>34486</v>
      </c>
      <c r="B22361" s="2" t="s">
        <v>34087</v>
      </c>
      <c r="C22361" s="1" t="s">
        <v>6886</v>
      </c>
      <c r="D22361" s="1" t="s">
        <v>6888</v>
      </c>
    </row>
    <row r="22362">
      <c r="A22362" s="1" t="s">
        <v>34487</v>
      </c>
      <c r="B22362" s="2" t="s">
        <v>34089</v>
      </c>
      <c r="C22362" s="1" t="s">
        <v>6886</v>
      </c>
      <c r="D22362" s="1" t="s">
        <v>6888</v>
      </c>
    </row>
    <row r="22363">
      <c r="A22363" s="1" t="s">
        <v>34488</v>
      </c>
      <c r="B22363" s="2" t="s">
        <v>34091</v>
      </c>
      <c r="C22363" s="1" t="s">
        <v>6886</v>
      </c>
      <c r="D22363" s="1" t="s">
        <v>6888</v>
      </c>
    </row>
    <row r="22364">
      <c r="A22364" s="1" t="s">
        <v>34489</v>
      </c>
      <c r="B22364" s="2" t="s">
        <v>34093</v>
      </c>
      <c r="C22364" s="1" t="s">
        <v>6886</v>
      </c>
      <c r="D22364" s="1" t="s">
        <v>6888</v>
      </c>
    </row>
    <row r="22365">
      <c r="A22365" s="1" t="s">
        <v>34490</v>
      </c>
      <c r="B22365" s="2" t="s">
        <v>34095</v>
      </c>
      <c r="C22365" s="1" t="s">
        <v>6886</v>
      </c>
      <c r="D22365" s="1" t="s">
        <v>6888</v>
      </c>
    </row>
    <row r="22366">
      <c r="A22366" s="1" t="s">
        <v>34491</v>
      </c>
      <c r="B22366" s="2" t="s">
        <v>34097</v>
      </c>
      <c r="C22366" s="1" t="s">
        <v>6886</v>
      </c>
      <c r="D22366" s="1" t="s">
        <v>6888</v>
      </c>
    </row>
    <row r="22367">
      <c r="A22367" s="1" t="s">
        <v>34492</v>
      </c>
      <c r="B22367" s="2" t="s">
        <v>34099</v>
      </c>
      <c r="C22367" s="1" t="s">
        <v>6886</v>
      </c>
      <c r="D22367" s="1" t="s">
        <v>6888</v>
      </c>
    </row>
    <row r="22368">
      <c r="A22368" s="1" t="s">
        <v>34493</v>
      </c>
      <c r="B22368" s="2" t="s">
        <v>34101</v>
      </c>
      <c r="C22368" s="1" t="s">
        <v>6886</v>
      </c>
      <c r="D22368" s="1" t="s">
        <v>6888</v>
      </c>
    </row>
    <row r="22369">
      <c r="A22369" s="1" t="s">
        <v>34494</v>
      </c>
      <c r="B22369" s="2" t="s">
        <v>34103</v>
      </c>
      <c r="C22369" s="1" t="s">
        <v>6886</v>
      </c>
      <c r="D22369" s="1" t="s">
        <v>6888</v>
      </c>
    </row>
    <row r="22370">
      <c r="A22370" s="1" t="s">
        <v>34495</v>
      </c>
      <c r="B22370" s="2" t="s">
        <v>34105</v>
      </c>
      <c r="C22370" s="1" t="s">
        <v>6886</v>
      </c>
      <c r="D22370" s="1" t="s">
        <v>6888</v>
      </c>
    </row>
    <row r="22371">
      <c r="A22371" s="1" t="s">
        <v>34496</v>
      </c>
      <c r="B22371" s="2" t="s">
        <v>34107</v>
      </c>
      <c r="C22371" s="1" t="s">
        <v>6886</v>
      </c>
      <c r="D22371" s="1" t="s">
        <v>6888</v>
      </c>
    </row>
    <row r="22372">
      <c r="A22372" s="1" t="s">
        <v>34497</v>
      </c>
      <c r="B22372" s="2" t="s">
        <v>34109</v>
      </c>
      <c r="C22372" s="1" t="s">
        <v>6886</v>
      </c>
      <c r="D22372" s="1" t="s">
        <v>6888</v>
      </c>
    </row>
    <row r="22373">
      <c r="A22373" s="1" t="s">
        <v>34498</v>
      </c>
      <c r="B22373" s="2" t="s">
        <v>34111</v>
      </c>
      <c r="C22373" s="1" t="s">
        <v>6886</v>
      </c>
      <c r="D22373" s="1" t="s">
        <v>6888</v>
      </c>
    </row>
    <row r="22374">
      <c r="A22374" s="1" t="s">
        <v>34499</v>
      </c>
      <c r="B22374" s="2" t="s">
        <v>34113</v>
      </c>
      <c r="C22374" s="1" t="s">
        <v>6886</v>
      </c>
      <c r="D22374" s="1" t="s">
        <v>6888</v>
      </c>
    </row>
    <row r="22375">
      <c r="A22375" s="1" t="s">
        <v>34500</v>
      </c>
      <c r="B22375" s="2" t="s">
        <v>34115</v>
      </c>
      <c r="C22375" s="1" t="s">
        <v>6886</v>
      </c>
      <c r="D22375" s="1" t="s">
        <v>6888</v>
      </c>
    </row>
    <row r="22376">
      <c r="A22376" s="1" t="s">
        <v>34501</v>
      </c>
      <c r="B22376" s="2" t="s">
        <v>34117</v>
      </c>
      <c r="C22376" s="1" t="s">
        <v>6886</v>
      </c>
      <c r="D22376" s="1" t="s">
        <v>6888</v>
      </c>
    </row>
    <row r="22377">
      <c r="A22377" s="1" t="s">
        <v>34502</v>
      </c>
      <c r="B22377" s="2" t="s">
        <v>34119</v>
      </c>
      <c r="C22377" s="1" t="s">
        <v>6886</v>
      </c>
      <c r="D22377" s="1" t="s">
        <v>6888</v>
      </c>
    </row>
    <row r="22378">
      <c r="A22378" s="1" t="s">
        <v>34503</v>
      </c>
      <c r="B22378" s="2" t="s">
        <v>34121</v>
      </c>
      <c r="C22378" s="1" t="s">
        <v>6886</v>
      </c>
      <c r="D22378" s="1" t="s">
        <v>6888</v>
      </c>
    </row>
    <row r="22379">
      <c r="A22379" s="1" t="s">
        <v>34504</v>
      </c>
      <c r="B22379" s="2" t="s">
        <v>34123</v>
      </c>
      <c r="C22379" s="1" t="s">
        <v>6886</v>
      </c>
      <c r="D22379" s="1" t="s">
        <v>6888</v>
      </c>
    </row>
    <row r="22380">
      <c r="A22380" s="1" t="s">
        <v>34505</v>
      </c>
      <c r="B22380" s="2" t="s">
        <v>34125</v>
      </c>
      <c r="C22380" s="1" t="s">
        <v>6886</v>
      </c>
      <c r="D22380" s="1" t="s">
        <v>6888</v>
      </c>
    </row>
    <row r="22381">
      <c r="A22381" s="1" t="s">
        <v>34506</v>
      </c>
      <c r="B22381" s="2" t="s">
        <v>34127</v>
      </c>
      <c r="C22381" s="1" t="s">
        <v>6886</v>
      </c>
      <c r="D22381" s="1" t="s">
        <v>6888</v>
      </c>
    </row>
    <row r="22382">
      <c r="A22382" s="1" t="s">
        <v>34507</v>
      </c>
      <c r="B22382" s="2" t="s">
        <v>34129</v>
      </c>
      <c r="C22382" s="1" t="s">
        <v>6886</v>
      </c>
      <c r="D22382" s="1" t="s">
        <v>6888</v>
      </c>
    </row>
    <row r="22383">
      <c r="A22383" s="1" t="s">
        <v>34508</v>
      </c>
      <c r="B22383" s="2" t="s">
        <v>34131</v>
      </c>
      <c r="C22383" s="1" t="s">
        <v>6886</v>
      </c>
      <c r="D22383" s="1" t="s">
        <v>6888</v>
      </c>
    </row>
    <row r="22384">
      <c r="A22384" s="1" t="s">
        <v>34509</v>
      </c>
      <c r="B22384" s="2" t="s">
        <v>34133</v>
      </c>
      <c r="C22384" s="1" t="s">
        <v>6886</v>
      </c>
      <c r="D22384" s="1" t="s">
        <v>6888</v>
      </c>
    </row>
    <row r="22385">
      <c r="A22385" s="1" t="s">
        <v>34510</v>
      </c>
      <c r="B22385" s="2" t="s">
        <v>34135</v>
      </c>
      <c r="C22385" s="1" t="s">
        <v>6886</v>
      </c>
      <c r="D22385" s="1" t="s">
        <v>6888</v>
      </c>
    </row>
    <row r="22386">
      <c r="A22386" s="1" t="s">
        <v>34511</v>
      </c>
      <c r="B22386" s="2" t="s">
        <v>34137</v>
      </c>
      <c r="C22386" s="1" t="s">
        <v>6886</v>
      </c>
      <c r="D22386" s="1" t="s">
        <v>6888</v>
      </c>
    </row>
    <row r="22387">
      <c r="A22387" s="1" t="s">
        <v>34512</v>
      </c>
      <c r="B22387" s="2" t="s">
        <v>34139</v>
      </c>
      <c r="C22387" s="1" t="s">
        <v>6886</v>
      </c>
      <c r="D22387" s="1" t="s">
        <v>6888</v>
      </c>
    </row>
    <row r="22388">
      <c r="A22388" s="1" t="s">
        <v>34513</v>
      </c>
      <c r="B22388" s="2" t="s">
        <v>34141</v>
      </c>
      <c r="C22388" s="1" t="s">
        <v>6886</v>
      </c>
      <c r="D22388" s="1" t="s">
        <v>6888</v>
      </c>
    </row>
    <row r="22389">
      <c r="A22389" s="1" t="s">
        <v>34514</v>
      </c>
      <c r="B22389" s="2" t="s">
        <v>34143</v>
      </c>
      <c r="C22389" s="1" t="s">
        <v>6886</v>
      </c>
      <c r="D22389" s="1" t="s">
        <v>6888</v>
      </c>
    </row>
    <row r="22390">
      <c r="A22390" s="1" t="s">
        <v>34515</v>
      </c>
      <c r="B22390" s="2" t="s">
        <v>34145</v>
      </c>
      <c r="C22390" s="1" t="s">
        <v>6886</v>
      </c>
      <c r="D22390" s="1" t="s">
        <v>6888</v>
      </c>
    </row>
    <row r="22391">
      <c r="A22391" s="1" t="s">
        <v>34516</v>
      </c>
      <c r="B22391" s="2" t="s">
        <v>34147</v>
      </c>
      <c r="C22391" s="1" t="s">
        <v>6886</v>
      </c>
      <c r="D22391" s="1" t="s">
        <v>6888</v>
      </c>
    </row>
    <row r="22392">
      <c r="A22392" s="1" t="s">
        <v>34517</v>
      </c>
      <c r="B22392" s="2" t="s">
        <v>34149</v>
      </c>
      <c r="C22392" s="1" t="s">
        <v>6886</v>
      </c>
      <c r="D22392" s="1" t="s">
        <v>6888</v>
      </c>
    </row>
    <row r="22393">
      <c r="A22393" s="1" t="s">
        <v>34518</v>
      </c>
      <c r="B22393" s="2" t="s">
        <v>34519</v>
      </c>
      <c r="C22393" s="1" t="s">
        <v>6886</v>
      </c>
      <c r="D22393" s="1" t="s">
        <v>6888</v>
      </c>
    </row>
    <row r="22394">
      <c r="A22394" s="1" t="s">
        <v>34520</v>
      </c>
      <c r="B22394" s="2" t="s">
        <v>34521</v>
      </c>
      <c r="C22394" s="1" t="s">
        <v>6886</v>
      </c>
      <c r="D22394" s="1" t="s">
        <v>6888</v>
      </c>
    </row>
    <row r="22395">
      <c r="A22395" s="1" t="s">
        <v>34522</v>
      </c>
      <c r="B22395" s="2" t="s">
        <v>34523</v>
      </c>
      <c r="C22395" s="1" t="s">
        <v>6886</v>
      </c>
      <c r="D22395" s="1" t="s">
        <v>6888</v>
      </c>
    </row>
    <row r="22396">
      <c r="A22396" s="1" t="s">
        <v>34524</v>
      </c>
      <c r="B22396" s="2" t="s">
        <v>34525</v>
      </c>
      <c r="C22396" s="1" t="s">
        <v>6886</v>
      </c>
      <c r="D22396" s="1" t="s">
        <v>6888</v>
      </c>
    </row>
    <row r="22397">
      <c r="A22397" s="1" t="s">
        <v>34526</v>
      </c>
      <c r="B22397" s="2" t="s">
        <v>34527</v>
      </c>
      <c r="C22397" s="1" t="s">
        <v>6886</v>
      </c>
      <c r="D22397" s="1" t="s">
        <v>6888</v>
      </c>
    </row>
    <row r="22398">
      <c r="A22398" s="1" t="s">
        <v>34528</v>
      </c>
      <c r="B22398" s="2" t="s">
        <v>34529</v>
      </c>
      <c r="C22398" s="1" t="s">
        <v>6886</v>
      </c>
      <c r="D22398" s="1" t="s">
        <v>6888</v>
      </c>
    </row>
    <row r="22399">
      <c r="A22399" s="1" t="s">
        <v>34530</v>
      </c>
      <c r="B22399" s="2" t="s">
        <v>34531</v>
      </c>
      <c r="C22399" s="1" t="s">
        <v>6886</v>
      </c>
      <c r="D22399" s="1" t="s">
        <v>6888</v>
      </c>
    </row>
    <row r="22400">
      <c r="A22400" s="1" t="s">
        <v>34532</v>
      </c>
      <c r="B22400" s="2" t="s">
        <v>34533</v>
      </c>
      <c r="C22400" s="1" t="s">
        <v>6886</v>
      </c>
      <c r="D22400" s="1" t="s">
        <v>6888</v>
      </c>
    </row>
    <row r="22401">
      <c r="A22401" s="1" t="s">
        <v>34534</v>
      </c>
      <c r="B22401" s="2" t="s">
        <v>34535</v>
      </c>
      <c r="C22401" s="1" t="s">
        <v>6886</v>
      </c>
      <c r="D22401" s="1" t="s">
        <v>6888</v>
      </c>
    </row>
    <row r="22402">
      <c r="A22402" s="1" t="s">
        <v>34536</v>
      </c>
      <c r="B22402" s="2" t="s">
        <v>34537</v>
      </c>
      <c r="C22402" s="1" t="s">
        <v>6886</v>
      </c>
      <c r="D22402" s="1" t="s">
        <v>6888</v>
      </c>
    </row>
    <row r="22403">
      <c r="A22403" s="1" t="s">
        <v>34538</v>
      </c>
      <c r="B22403" s="2" t="s">
        <v>34539</v>
      </c>
      <c r="C22403" s="1" t="s">
        <v>6886</v>
      </c>
      <c r="D22403" s="1" t="s">
        <v>6888</v>
      </c>
    </row>
    <row r="22404">
      <c r="A22404" s="1" t="s">
        <v>34540</v>
      </c>
      <c r="B22404" s="2" t="s">
        <v>34541</v>
      </c>
      <c r="C22404" s="1" t="s">
        <v>6886</v>
      </c>
      <c r="D22404" s="1" t="s">
        <v>6888</v>
      </c>
    </row>
    <row r="22405">
      <c r="A22405" s="1" t="s">
        <v>34542</v>
      </c>
      <c r="B22405" s="2" t="s">
        <v>34543</v>
      </c>
      <c r="C22405" s="1" t="s">
        <v>6886</v>
      </c>
      <c r="D22405" s="1" t="s">
        <v>6888</v>
      </c>
    </row>
    <row r="22406">
      <c r="A22406" s="1" t="s">
        <v>34544</v>
      </c>
      <c r="B22406" s="2" t="s">
        <v>34545</v>
      </c>
      <c r="C22406" s="1" t="s">
        <v>6886</v>
      </c>
      <c r="D22406" s="1" t="s">
        <v>6888</v>
      </c>
    </row>
    <row r="22407">
      <c r="A22407" s="1" t="s">
        <v>34546</v>
      </c>
      <c r="B22407" s="2" t="s">
        <v>34547</v>
      </c>
      <c r="C22407" s="1" t="s">
        <v>6886</v>
      </c>
      <c r="D22407" s="1" t="s">
        <v>6888</v>
      </c>
    </row>
    <row r="22408">
      <c r="A22408" s="1" t="s">
        <v>34548</v>
      </c>
      <c r="B22408" s="2" t="s">
        <v>34549</v>
      </c>
      <c r="C22408" s="1" t="s">
        <v>6886</v>
      </c>
      <c r="D22408" s="1" t="s">
        <v>6888</v>
      </c>
    </row>
    <row r="22409">
      <c r="A22409" s="1" t="s">
        <v>34550</v>
      </c>
      <c r="B22409" s="2" t="s">
        <v>34551</v>
      </c>
      <c r="C22409" s="1" t="s">
        <v>6886</v>
      </c>
      <c r="D22409" s="1" t="s">
        <v>6888</v>
      </c>
    </row>
    <row r="22410">
      <c r="A22410" s="1" t="s">
        <v>34552</v>
      </c>
      <c r="B22410" s="2" t="s">
        <v>34553</v>
      </c>
      <c r="C22410" s="1" t="s">
        <v>6886</v>
      </c>
      <c r="D22410" s="1" t="s">
        <v>6888</v>
      </c>
    </row>
    <row r="22411">
      <c r="A22411" s="1" t="s">
        <v>6893</v>
      </c>
      <c r="B22411" s="2" t="s">
        <v>7</v>
      </c>
      <c r="C22411" s="1" t="s">
        <v>6895</v>
      </c>
      <c r="D22411" s="1" t="s">
        <v>6897</v>
      </c>
    </row>
    <row r="22412">
      <c r="A22412" s="1" t="s">
        <v>34554</v>
      </c>
      <c r="B22412" s="2" t="s">
        <v>34555</v>
      </c>
      <c r="C22412" s="1" t="s">
        <v>6895</v>
      </c>
      <c r="D22412" s="1" t="s">
        <v>6897</v>
      </c>
    </row>
    <row r="22413">
      <c r="A22413" s="1" t="s">
        <v>34556</v>
      </c>
      <c r="B22413" s="2" t="s">
        <v>34557</v>
      </c>
      <c r="C22413" s="1" t="s">
        <v>6895</v>
      </c>
      <c r="D22413" s="1" t="s">
        <v>6897</v>
      </c>
    </row>
    <row r="22414">
      <c r="A22414" s="1" t="s">
        <v>34558</v>
      </c>
      <c r="B22414" s="2" t="s">
        <v>34559</v>
      </c>
      <c r="C22414" s="1" t="s">
        <v>6895</v>
      </c>
      <c r="D22414" s="1" t="s">
        <v>6897</v>
      </c>
    </row>
    <row r="22415">
      <c r="A22415" s="1" t="s">
        <v>34560</v>
      </c>
      <c r="B22415" s="2" t="s">
        <v>34561</v>
      </c>
      <c r="C22415" s="1" t="s">
        <v>6895</v>
      </c>
      <c r="D22415" s="1" t="s">
        <v>6897</v>
      </c>
    </row>
    <row r="22416">
      <c r="A22416" s="1" t="s">
        <v>34562</v>
      </c>
      <c r="B22416" s="2" t="s">
        <v>34563</v>
      </c>
      <c r="C22416" s="1" t="s">
        <v>6895</v>
      </c>
      <c r="D22416" s="1" t="s">
        <v>6897</v>
      </c>
    </row>
    <row r="22417">
      <c r="A22417" s="1" t="s">
        <v>34564</v>
      </c>
      <c r="B22417" s="2" t="s">
        <v>34565</v>
      </c>
      <c r="C22417" s="1" t="s">
        <v>6895</v>
      </c>
      <c r="D22417" s="1" t="s">
        <v>6897</v>
      </c>
    </row>
    <row r="22418">
      <c r="A22418" s="1" t="s">
        <v>34566</v>
      </c>
      <c r="B22418" s="2" t="s">
        <v>34567</v>
      </c>
      <c r="C22418" s="1" t="s">
        <v>6895</v>
      </c>
      <c r="D22418" s="1" t="s">
        <v>6897</v>
      </c>
    </row>
    <row r="22419">
      <c r="A22419" s="1" t="s">
        <v>34568</v>
      </c>
      <c r="B22419" s="2" t="s">
        <v>34569</v>
      </c>
      <c r="C22419" s="1" t="s">
        <v>6895</v>
      </c>
      <c r="D22419" s="1" t="s">
        <v>6897</v>
      </c>
    </row>
    <row r="22420">
      <c r="A22420" s="1" t="s">
        <v>34570</v>
      </c>
      <c r="B22420" s="2" t="s">
        <v>34571</v>
      </c>
      <c r="C22420" s="1" t="s">
        <v>6895</v>
      </c>
      <c r="D22420" s="1" t="s">
        <v>6897</v>
      </c>
    </row>
    <row r="22421">
      <c r="A22421" s="1" t="s">
        <v>34572</v>
      </c>
      <c r="B22421" s="2" t="s">
        <v>34573</v>
      </c>
      <c r="C22421" s="1" t="s">
        <v>6895</v>
      </c>
      <c r="D22421" s="1" t="s">
        <v>6897</v>
      </c>
    </row>
    <row r="22422">
      <c r="A22422" s="1" t="s">
        <v>34574</v>
      </c>
      <c r="B22422" s="2" t="s">
        <v>34575</v>
      </c>
      <c r="C22422" s="1" t="s">
        <v>6895</v>
      </c>
      <c r="D22422" s="1" t="s">
        <v>6897</v>
      </c>
    </row>
    <row r="22423">
      <c r="A22423" s="1" t="s">
        <v>34576</v>
      </c>
      <c r="B22423" s="2" t="s">
        <v>34577</v>
      </c>
      <c r="C22423" s="1" t="s">
        <v>6895</v>
      </c>
      <c r="D22423" s="1" t="s">
        <v>6897</v>
      </c>
    </row>
    <row r="22424">
      <c r="A22424" s="1" t="s">
        <v>34578</v>
      </c>
      <c r="B22424" s="2" t="s">
        <v>34579</v>
      </c>
      <c r="C22424" s="1" t="s">
        <v>6895</v>
      </c>
      <c r="D22424" s="1" t="s">
        <v>6897</v>
      </c>
    </row>
    <row r="22425">
      <c r="A22425" s="1" t="s">
        <v>34580</v>
      </c>
      <c r="B22425" s="2" t="s">
        <v>34581</v>
      </c>
      <c r="C22425" s="1" t="s">
        <v>6895</v>
      </c>
      <c r="D22425" s="1" t="s">
        <v>6897</v>
      </c>
    </row>
    <row r="22426">
      <c r="A22426" s="1" t="s">
        <v>34582</v>
      </c>
      <c r="B22426" s="2" t="s">
        <v>34583</v>
      </c>
      <c r="C22426" s="1" t="s">
        <v>6895</v>
      </c>
      <c r="D22426" s="1" t="s">
        <v>6897</v>
      </c>
    </row>
    <row r="22427">
      <c r="A22427" s="1" t="s">
        <v>34584</v>
      </c>
      <c r="B22427" s="2" t="s">
        <v>34585</v>
      </c>
      <c r="C22427" s="1" t="s">
        <v>6895</v>
      </c>
      <c r="D22427" s="1" t="s">
        <v>6897</v>
      </c>
    </row>
    <row r="22428">
      <c r="A22428" s="1" t="s">
        <v>34586</v>
      </c>
      <c r="B22428" s="2" t="s">
        <v>34587</v>
      </c>
      <c r="C22428" s="1" t="s">
        <v>6895</v>
      </c>
      <c r="D22428" s="1" t="s">
        <v>6897</v>
      </c>
    </row>
    <row r="22429">
      <c r="A22429" s="1" t="s">
        <v>34588</v>
      </c>
      <c r="B22429" s="2" t="s">
        <v>34589</v>
      </c>
      <c r="C22429" s="1" t="s">
        <v>6895</v>
      </c>
      <c r="D22429" s="1" t="s">
        <v>6897</v>
      </c>
    </row>
    <row r="22430">
      <c r="A22430" s="1" t="s">
        <v>34590</v>
      </c>
      <c r="B22430" s="2" t="s">
        <v>34591</v>
      </c>
      <c r="C22430" s="1" t="s">
        <v>6895</v>
      </c>
      <c r="D22430" s="1" t="s">
        <v>6897</v>
      </c>
    </row>
    <row r="22431">
      <c r="A22431" s="1" t="s">
        <v>34592</v>
      </c>
      <c r="B22431" s="2" t="s">
        <v>34593</v>
      </c>
      <c r="C22431" s="1" t="s">
        <v>6895</v>
      </c>
      <c r="D22431" s="1" t="s">
        <v>6897</v>
      </c>
    </row>
    <row r="22432">
      <c r="A22432" s="1" t="s">
        <v>6903</v>
      </c>
      <c r="B22432" s="2" t="s">
        <v>6904</v>
      </c>
      <c r="C22432" s="1" t="s">
        <v>6905</v>
      </c>
      <c r="D22432" s="1" t="s">
        <v>6907</v>
      </c>
    </row>
    <row r="22433">
      <c r="A22433" s="1" t="s">
        <v>34594</v>
      </c>
      <c r="B22433" s="2" t="s">
        <v>34595</v>
      </c>
      <c r="C22433" s="1" t="s">
        <v>6905</v>
      </c>
      <c r="D22433" s="1" t="s">
        <v>6907</v>
      </c>
    </row>
    <row r="22434">
      <c r="A22434" s="1" t="s">
        <v>34596</v>
      </c>
      <c r="B22434" s="2" t="s">
        <v>34597</v>
      </c>
      <c r="C22434" s="1" t="s">
        <v>6905</v>
      </c>
      <c r="D22434" s="1" t="s">
        <v>6907</v>
      </c>
    </row>
    <row r="22435">
      <c r="A22435" s="1" t="s">
        <v>6911</v>
      </c>
      <c r="B22435" s="2" t="s">
        <v>7</v>
      </c>
      <c r="C22435" s="1" t="s">
        <v>6913</v>
      </c>
      <c r="D22435" s="1" t="s">
        <v>6915</v>
      </c>
    </row>
    <row r="22436">
      <c r="A22436" s="1" t="s">
        <v>34598</v>
      </c>
      <c r="B22436" s="2" t="s">
        <v>34555</v>
      </c>
      <c r="C22436" s="1" t="s">
        <v>6913</v>
      </c>
      <c r="D22436" s="1" t="s">
        <v>6915</v>
      </c>
    </row>
    <row r="22437">
      <c r="A22437" s="1" t="s">
        <v>34599</v>
      </c>
      <c r="B22437" s="2" t="s">
        <v>34600</v>
      </c>
      <c r="C22437" s="1" t="s">
        <v>6913</v>
      </c>
      <c r="D22437" s="1" t="s">
        <v>6915</v>
      </c>
    </row>
    <row r="22438">
      <c r="A22438" s="1" t="s">
        <v>34601</v>
      </c>
      <c r="B22438" s="2" t="s">
        <v>34602</v>
      </c>
      <c r="C22438" s="1" t="s">
        <v>6913</v>
      </c>
      <c r="D22438" s="1" t="s">
        <v>6915</v>
      </c>
    </row>
    <row r="22439">
      <c r="A22439" s="1" t="s">
        <v>34603</v>
      </c>
      <c r="B22439" s="2" t="s">
        <v>34604</v>
      </c>
      <c r="C22439" s="1" t="s">
        <v>6913</v>
      </c>
      <c r="D22439" s="1" t="s">
        <v>6915</v>
      </c>
    </row>
    <row r="22440">
      <c r="A22440" s="1" t="s">
        <v>34605</v>
      </c>
      <c r="B22440" s="2" t="s">
        <v>34606</v>
      </c>
      <c r="C22440" s="1" t="s">
        <v>6913</v>
      </c>
      <c r="D22440" s="1" t="s">
        <v>6915</v>
      </c>
    </row>
    <row r="22441">
      <c r="A22441" s="1" t="s">
        <v>34607</v>
      </c>
      <c r="B22441" s="2" t="s">
        <v>34608</v>
      </c>
      <c r="C22441" s="1" t="s">
        <v>6913</v>
      </c>
      <c r="D22441" s="1" t="s">
        <v>6915</v>
      </c>
    </row>
    <row r="22442">
      <c r="A22442" s="1" t="s">
        <v>34609</v>
      </c>
      <c r="B22442" s="2" t="s">
        <v>34610</v>
      </c>
      <c r="C22442" s="1" t="s">
        <v>6913</v>
      </c>
      <c r="D22442" s="1" t="s">
        <v>6915</v>
      </c>
    </row>
    <row r="22443">
      <c r="A22443" s="1" t="s">
        <v>34611</v>
      </c>
      <c r="B22443" s="2" t="s">
        <v>34561</v>
      </c>
      <c r="C22443" s="1" t="s">
        <v>6913</v>
      </c>
      <c r="D22443" s="1" t="s">
        <v>6915</v>
      </c>
    </row>
    <row r="22444">
      <c r="A22444" s="1" t="s">
        <v>34612</v>
      </c>
      <c r="B22444" s="2" t="s">
        <v>34613</v>
      </c>
      <c r="C22444" s="1" t="s">
        <v>6913</v>
      </c>
      <c r="D22444" s="1" t="s">
        <v>6915</v>
      </c>
    </row>
    <row r="22445">
      <c r="A22445" s="1" t="s">
        <v>34614</v>
      </c>
      <c r="B22445" s="2" t="s">
        <v>34575</v>
      </c>
      <c r="C22445" s="1" t="s">
        <v>6913</v>
      </c>
      <c r="D22445" s="1" t="s">
        <v>6915</v>
      </c>
    </row>
    <row r="22446">
      <c r="A22446" s="1" t="s">
        <v>34615</v>
      </c>
      <c r="B22446" s="2" t="s">
        <v>34616</v>
      </c>
      <c r="C22446" s="1" t="s">
        <v>6913</v>
      </c>
      <c r="D22446" s="1" t="s">
        <v>6915</v>
      </c>
    </row>
    <row r="22447">
      <c r="A22447" s="1" t="s">
        <v>34617</v>
      </c>
      <c r="B22447" s="2" t="s">
        <v>34618</v>
      </c>
      <c r="C22447" s="1" t="s">
        <v>6913</v>
      </c>
      <c r="D22447" s="1" t="s">
        <v>6915</v>
      </c>
    </row>
    <row r="22448">
      <c r="A22448" s="1" t="s">
        <v>34619</v>
      </c>
      <c r="B22448" s="2" t="s">
        <v>34620</v>
      </c>
      <c r="C22448" s="1" t="s">
        <v>6913</v>
      </c>
      <c r="D22448" s="1" t="s">
        <v>6915</v>
      </c>
    </row>
    <row r="22449">
      <c r="A22449" s="1" t="s">
        <v>34621</v>
      </c>
      <c r="B22449" s="2" t="s">
        <v>34622</v>
      </c>
      <c r="C22449" s="1" t="s">
        <v>6913</v>
      </c>
      <c r="D22449" s="1" t="s">
        <v>6915</v>
      </c>
    </row>
    <row r="22450">
      <c r="A22450" s="1" t="s">
        <v>34623</v>
      </c>
      <c r="B22450" s="2" t="s">
        <v>34624</v>
      </c>
      <c r="C22450" s="1" t="s">
        <v>6913</v>
      </c>
      <c r="D22450" s="1" t="s">
        <v>6915</v>
      </c>
    </row>
    <row r="22451">
      <c r="A22451" s="1" t="s">
        <v>34625</v>
      </c>
      <c r="B22451" s="2" t="s">
        <v>34626</v>
      </c>
      <c r="C22451" s="1" t="s">
        <v>6913</v>
      </c>
      <c r="D22451" s="1" t="s">
        <v>6915</v>
      </c>
    </row>
    <row r="22452">
      <c r="A22452" s="1" t="s">
        <v>34627</v>
      </c>
      <c r="B22452" s="2" t="s">
        <v>34581</v>
      </c>
      <c r="C22452" s="1" t="s">
        <v>6913</v>
      </c>
      <c r="D22452" s="1" t="s">
        <v>6915</v>
      </c>
    </row>
    <row r="22453">
      <c r="A22453" s="1" t="s">
        <v>34628</v>
      </c>
      <c r="B22453" s="2" t="s">
        <v>34629</v>
      </c>
      <c r="C22453" s="1" t="s">
        <v>6913</v>
      </c>
      <c r="D22453" s="1" t="s">
        <v>6915</v>
      </c>
    </row>
    <row r="22454">
      <c r="A22454" s="1" t="s">
        <v>6918</v>
      </c>
      <c r="B22454" s="2" t="s">
        <v>6920</v>
      </c>
      <c r="C22454" s="1" t="s">
        <v>6922</v>
      </c>
      <c r="D22454" s="1" t="s">
        <v>6923</v>
      </c>
    </row>
    <row r="22455">
      <c r="A22455" s="1" t="s">
        <v>34630</v>
      </c>
      <c r="B22455" s="2" t="s">
        <v>34631</v>
      </c>
      <c r="C22455" s="1" t="s">
        <v>6922</v>
      </c>
      <c r="D22455" s="1" t="s">
        <v>6923</v>
      </c>
    </row>
    <row r="22456">
      <c r="A22456" s="1" t="s">
        <v>34632</v>
      </c>
      <c r="B22456" s="2" t="s">
        <v>34633</v>
      </c>
      <c r="C22456" s="1" t="s">
        <v>6922</v>
      </c>
      <c r="D22456" s="1" t="s">
        <v>6923</v>
      </c>
    </row>
    <row r="22457">
      <c r="A22457" s="1" t="s">
        <v>6927</v>
      </c>
      <c r="B22457" s="2" t="s">
        <v>7</v>
      </c>
      <c r="C22457" s="1" t="s">
        <v>6929</v>
      </c>
      <c r="D22457" s="1" t="s">
        <v>6930</v>
      </c>
    </row>
    <row r="22458">
      <c r="A22458" s="1" t="s">
        <v>34634</v>
      </c>
      <c r="B22458" s="2" t="s">
        <v>34555</v>
      </c>
      <c r="C22458" s="1" t="s">
        <v>6929</v>
      </c>
      <c r="D22458" s="1" t="s">
        <v>6930</v>
      </c>
    </row>
    <row r="22459">
      <c r="A22459" s="1" t="s">
        <v>34635</v>
      </c>
      <c r="B22459" s="2" t="s">
        <v>34636</v>
      </c>
      <c r="C22459" s="1" t="s">
        <v>6929</v>
      </c>
      <c r="D22459" s="1" t="s">
        <v>6930</v>
      </c>
    </row>
    <row r="22460">
      <c r="A22460" s="1" t="s">
        <v>34637</v>
      </c>
      <c r="B22460" s="2" t="s">
        <v>34638</v>
      </c>
      <c r="C22460" s="1" t="s">
        <v>6929</v>
      </c>
      <c r="D22460" s="1" t="s">
        <v>6930</v>
      </c>
    </row>
    <row r="22461">
      <c r="A22461" s="1" t="s">
        <v>34639</v>
      </c>
      <c r="B22461" s="2" t="s">
        <v>34640</v>
      </c>
      <c r="C22461" s="1" t="s">
        <v>6929</v>
      </c>
      <c r="D22461" s="1" t="s">
        <v>6930</v>
      </c>
    </row>
    <row r="22462">
      <c r="A22462" s="1" t="s">
        <v>34641</v>
      </c>
      <c r="B22462" s="2" t="s">
        <v>34642</v>
      </c>
      <c r="C22462" s="1" t="s">
        <v>6929</v>
      </c>
      <c r="D22462" s="1" t="s">
        <v>6930</v>
      </c>
    </row>
    <row r="22463">
      <c r="A22463" s="1" t="s">
        <v>34643</v>
      </c>
      <c r="B22463" s="2" t="s">
        <v>34644</v>
      </c>
      <c r="C22463" s="1" t="s">
        <v>6929</v>
      </c>
      <c r="D22463" s="1" t="s">
        <v>6930</v>
      </c>
    </row>
    <row r="22464">
      <c r="A22464" s="1" t="s">
        <v>34645</v>
      </c>
      <c r="B22464" s="2" t="s">
        <v>34575</v>
      </c>
      <c r="C22464" s="1" t="s">
        <v>6929</v>
      </c>
      <c r="D22464" s="1" t="s">
        <v>6930</v>
      </c>
    </row>
    <row r="22465">
      <c r="A22465" s="1" t="s">
        <v>34646</v>
      </c>
      <c r="B22465" s="2" t="s">
        <v>34647</v>
      </c>
      <c r="C22465" s="1" t="s">
        <v>6929</v>
      </c>
      <c r="D22465" s="1" t="s">
        <v>6930</v>
      </c>
    </row>
    <row r="22466">
      <c r="A22466" s="1" t="s">
        <v>34648</v>
      </c>
      <c r="B22466" s="2" t="s">
        <v>34649</v>
      </c>
      <c r="C22466" s="1" t="s">
        <v>6929</v>
      </c>
      <c r="D22466" s="1" t="s">
        <v>6930</v>
      </c>
    </row>
    <row r="22467">
      <c r="A22467" s="1" t="s">
        <v>34650</v>
      </c>
      <c r="B22467" s="2" t="s">
        <v>34651</v>
      </c>
      <c r="C22467" s="1" t="s">
        <v>6929</v>
      </c>
      <c r="D22467" s="1" t="s">
        <v>6930</v>
      </c>
    </row>
    <row r="22468">
      <c r="A22468" s="1" t="s">
        <v>34652</v>
      </c>
      <c r="B22468" s="2" t="s">
        <v>34653</v>
      </c>
      <c r="C22468" s="1" t="s">
        <v>6929</v>
      </c>
      <c r="D22468" s="1" t="s">
        <v>6930</v>
      </c>
    </row>
    <row r="22469">
      <c r="A22469" s="1" t="s">
        <v>34654</v>
      </c>
      <c r="B22469" s="2" t="s">
        <v>34655</v>
      </c>
      <c r="C22469" s="1" t="s">
        <v>6929</v>
      </c>
      <c r="D22469" s="1" t="s">
        <v>6930</v>
      </c>
    </row>
    <row r="22470">
      <c r="A22470" s="1" t="s">
        <v>6935</v>
      </c>
      <c r="B22470" s="2" t="s">
        <v>7</v>
      </c>
      <c r="C22470" s="1" t="s">
        <v>6937</v>
      </c>
      <c r="D22470" s="1" t="s">
        <v>6939</v>
      </c>
    </row>
    <row r="22471">
      <c r="A22471" s="1" t="s">
        <v>34656</v>
      </c>
      <c r="B22471" s="2" t="s">
        <v>34555</v>
      </c>
      <c r="C22471" s="1" t="s">
        <v>6937</v>
      </c>
      <c r="D22471" s="1" t="s">
        <v>6939</v>
      </c>
    </row>
    <row r="22472">
      <c r="A22472" s="1" t="s">
        <v>34657</v>
      </c>
      <c r="B22472" s="2" t="s">
        <v>34658</v>
      </c>
      <c r="C22472" s="1" t="s">
        <v>6937</v>
      </c>
      <c r="D22472" s="1" t="s">
        <v>6939</v>
      </c>
    </row>
    <row r="22473">
      <c r="A22473" s="1" t="s">
        <v>34659</v>
      </c>
      <c r="B22473" s="2" t="s">
        <v>34660</v>
      </c>
      <c r="C22473" s="1" t="s">
        <v>6937</v>
      </c>
      <c r="D22473" s="1" t="s">
        <v>6939</v>
      </c>
    </row>
    <row r="22474">
      <c r="A22474" s="1" t="s">
        <v>34661</v>
      </c>
      <c r="B22474" s="2" t="s">
        <v>34662</v>
      </c>
      <c r="C22474" s="1" t="s">
        <v>6937</v>
      </c>
      <c r="D22474" s="1" t="s">
        <v>6939</v>
      </c>
    </row>
    <row r="22475">
      <c r="A22475" s="1" t="s">
        <v>34663</v>
      </c>
      <c r="B22475" s="2" t="s">
        <v>34664</v>
      </c>
      <c r="C22475" s="1" t="s">
        <v>6937</v>
      </c>
      <c r="D22475" s="1" t="s">
        <v>6939</v>
      </c>
    </row>
    <row r="22476">
      <c r="A22476" s="1" t="s">
        <v>34665</v>
      </c>
      <c r="B22476" s="2" t="s">
        <v>34666</v>
      </c>
      <c r="C22476" s="1" t="s">
        <v>6937</v>
      </c>
      <c r="D22476" s="1" t="s">
        <v>6939</v>
      </c>
    </row>
    <row r="22477">
      <c r="A22477" s="1" t="s">
        <v>34667</v>
      </c>
      <c r="B22477" s="2" t="s">
        <v>34668</v>
      </c>
      <c r="C22477" s="1" t="s">
        <v>6937</v>
      </c>
      <c r="D22477" s="1" t="s">
        <v>6939</v>
      </c>
    </row>
    <row r="22478">
      <c r="A22478" s="1" t="s">
        <v>34669</v>
      </c>
      <c r="B22478" s="2" t="s">
        <v>34670</v>
      </c>
      <c r="C22478" s="1" t="s">
        <v>6937</v>
      </c>
      <c r="D22478" s="1" t="s">
        <v>6939</v>
      </c>
    </row>
    <row r="22479">
      <c r="A22479" s="1" t="s">
        <v>34671</v>
      </c>
      <c r="B22479" s="2" t="s">
        <v>34672</v>
      </c>
      <c r="C22479" s="1" t="s">
        <v>6937</v>
      </c>
      <c r="D22479" s="1" t="s">
        <v>6939</v>
      </c>
    </row>
    <row r="22480">
      <c r="A22480" s="1" t="s">
        <v>34673</v>
      </c>
      <c r="B22480" s="2" t="s">
        <v>34674</v>
      </c>
      <c r="C22480" s="1" t="s">
        <v>6937</v>
      </c>
      <c r="D22480" s="1" t="s">
        <v>6939</v>
      </c>
    </row>
    <row r="22481">
      <c r="A22481" s="1" t="s">
        <v>34675</v>
      </c>
      <c r="B22481" s="2" t="s">
        <v>34676</v>
      </c>
      <c r="C22481" s="1" t="s">
        <v>6937</v>
      </c>
      <c r="D22481" s="1" t="s">
        <v>6939</v>
      </c>
    </row>
    <row r="22482">
      <c r="A22482" s="1" t="s">
        <v>34677</v>
      </c>
      <c r="B22482" s="2" t="s">
        <v>34678</v>
      </c>
      <c r="C22482" s="1" t="s">
        <v>6937</v>
      </c>
      <c r="D22482" s="1" t="s">
        <v>6939</v>
      </c>
    </row>
    <row r="22483">
      <c r="A22483" s="1" t="s">
        <v>34679</v>
      </c>
      <c r="B22483" s="2" t="s">
        <v>34680</v>
      </c>
      <c r="C22483" s="1" t="s">
        <v>6937</v>
      </c>
      <c r="D22483" s="1" t="s">
        <v>6939</v>
      </c>
    </row>
    <row r="22484">
      <c r="A22484" s="1" t="s">
        <v>34681</v>
      </c>
      <c r="B22484" s="2" t="s">
        <v>34682</v>
      </c>
      <c r="C22484" s="1" t="s">
        <v>6937</v>
      </c>
      <c r="D22484" s="1" t="s">
        <v>6939</v>
      </c>
    </row>
    <row r="22485">
      <c r="A22485" s="1" t="s">
        <v>34683</v>
      </c>
      <c r="B22485" s="2" t="s">
        <v>34684</v>
      </c>
      <c r="C22485" s="1" t="s">
        <v>6937</v>
      </c>
      <c r="D22485" s="1" t="s">
        <v>6939</v>
      </c>
    </row>
    <row r="22486">
      <c r="A22486" s="1" t="s">
        <v>34685</v>
      </c>
      <c r="B22486" s="2" t="s">
        <v>34686</v>
      </c>
      <c r="C22486" s="1" t="s">
        <v>6937</v>
      </c>
      <c r="D22486" s="1" t="s">
        <v>6939</v>
      </c>
    </row>
    <row r="22487">
      <c r="A22487" s="1" t="s">
        <v>34687</v>
      </c>
      <c r="B22487" s="2" t="s">
        <v>34688</v>
      </c>
      <c r="C22487" s="1" t="s">
        <v>6937</v>
      </c>
      <c r="D22487" s="1" t="s">
        <v>6939</v>
      </c>
    </row>
    <row r="22488">
      <c r="A22488" s="1" t="s">
        <v>34689</v>
      </c>
      <c r="B22488" s="2" t="s">
        <v>34690</v>
      </c>
      <c r="C22488" s="1" t="s">
        <v>6937</v>
      </c>
      <c r="D22488" s="1" t="s">
        <v>6939</v>
      </c>
    </row>
    <row r="22489">
      <c r="A22489" s="1" t="s">
        <v>34691</v>
      </c>
      <c r="B22489" s="2" t="s">
        <v>34692</v>
      </c>
      <c r="C22489" s="1" t="s">
        <v>6937</v>
      </c>
      <c r="D22489" s="1" t="s">
        <v>6939</v>
      </c>
    </row>
    <row r="22490">
      <c r="A22490" s="1" t="s">
        <v>34693</v>
      </c>
      <c r="B22490" s="2" t="s">
        <v>34694</v>
      </c>
      <c r="C22490" s="1" t="s">
        <v>6937</v>
      </c>
      <c r="D22490" s="1" t="s">
        <v>6939</v>
      </c>
    </row>
    <row r="22491">
      <c r="A22491" s="1" t="s">
        <v>34695</v>
      </c>
      <c r="B22491" s="2" t="s">
        <v>34696</v>
      </c>
      <c r="C22491" s="1" t="s">
        <v>6937</v>
      </c>
      <c r="D22491" s="1" t="s">
        <v>6939</v>
      </c>
    </row>
    <row r="22492">
      <c r="A22492" s="1" t="s">
        <v>34697</v>
      </c>
      <c r="B22492" s="2" t="s">
        <v>34698</v>
      </c>
      <c r="C22492" s="1" t="s">
        <v>6937</v>
      </c>
      <c r="D22492" s="1" t="s">
        <v>6939</v>
      </c>
    </row>
    <row r="22493">
      <c r="A22493" s="1" t="s">
        <v>34699</v>
      </c>
      <c r="B22493" s="2" t="s">
        <v>34575</v>
      </c>
      <c r="C22493" s="1" t="s">
        <v>6937</v>
      </c>
      <c r="D22493" s="1" t="s">
        <v>6939</v>
      </c>
    </row>
    <row r="22494">
      <c r="A22494" s="1" t="s">
        <v>34700</v>
      </c>
      <c r="B22494" s="2" t="s">
        <v>34701</v>
      </c>
      <c r="C22494" s="1" t="s">
        <v>6937</v>
      </c>
      <c r="D22494" s="1" t="s">
        <v>6939</v>
      </c>
    </row>
    <row r="22495">
      <c r="A22495" s="1" t="s">
        <v>34702</v>
      </c>
      <c r="B22495" s="2" t="s">
        <v>34703</v>
      </c>
      <c r="C22495" s="1" t="s">
        <v>6937</v>
      </c>
      <c r="D22495" s="1" t="s">
        <v>6939</v>
      </c>
    </row>
    <row r="22496">
      <c r="A22496" s="1" t="s">
        <v>34704</v>
      </c>
      <c r="B22496" s="2" t="s">
        <v>34705</v>
      </c>
      <c r="C22496" s="1" t="s">
        <v>6937</v>
      </c>
      <c r="D22496" s="1" t="s">
        <v>6939</v>
      </c>
    </row>
    <row r="22497">
      <c r="A22497" s="1" t="s">
        <v>34706</v>
      </c>
      <c r="B22497" s="2" t="s">
        <v>34707</v>
      </c>
      <c r="C22497" s="1" t="s">
        <v>6937</v>
      </c>
      <c r="D22497" s="1" t="s">
        <v>6939</v>
      </c>
    </row>
    <row r="22498">
      <c r="A22498" s="1" t="s">
        <v>34708</v>
      </c>
      <c r="B22498" s="2" t="s">
        <v>34709</v>
      </c>
      <c r="C22498" s="1" t="s">
        <v>6937</v>
      </c>
      <c r="D22498" s="1" t="s">
        <v>6939</v>
      </c>
    </row>
    <row r="22499">
      <c r="A22499" s="1" t="s">
        <v>34710</v>
      </c>
      <c r="B22499" s="2" t="s">
        <v>34711</v>
      </c>
      <c r="C22499" s="1" t="s">
        <v>6937</v>
      </c>
      <c r="D22499" s="1" t="s">
        <v>6939</v>
      </c>
    </row>
    <row r="22500">
      <c r="A22500" s="1" t="s">
        <v>34712</v>
      </c>
      <c r="B22500" s="2" t="s">
        <v>34713</v>
      </c>
      <c r="C22500" s="1" t="s">
        <v>6937</v>
      </c>
      <c r="D22500" s="1" t="s">
        <v>6939</v>
      </c>
    </row>
    <row r="22501">
      <c r="A22501" s="1" t="s">
        <v>34714</v>
      </c>
      <c r="B22501" s="2" t="s">
        <v>34715</v>
      </c>
      <c r="C22501" s="1" t="s">
        <v>6937</v>
      </c>
      <c r="D22501" s="1" t="s">
        <v>6939</v>
      </c>
    </row>
    <row r="22502">
      <c r="A22502" s="1" t="s">
        <v>34716</v>
      </c>
      <c r="B22502" s="2" t="s">
        <v>34717</v>
      </c>
      <c r="C22502" s="1" t="s">
        <v>6937</v>
      </c>
      <c r="D22502" s="1" t="s">
        <v>6939</v>
      </c>
    </row>
    <row r="22503">
      <c r="A22503" s="1" t="s">
        <v>34718</v>
      </c>
      <c r="B22503" s="2" t="s">
        <v>34719</v>
      </c>
      <c r="C22503" s="1" t="s">
        <v>6937</v>
      </c>
      <c r="D22503" s="1" t="s">
        <v>6939</v>
      </c>
    </row>
    <row r="22504">
      <c r="A22504" s="1" t="s">
        <v>34720</v>
      </c>
      <c r="B22504" s="2" t="s">
        <v>34721</v>
      </c>
      <c r="C22504" s="1" t="s">
        <v>6937</v>
      </c>
      <c r="D22504" s="1" t="s">
        <v>6939</v>
      </c>
    </row>
    <row r="22505">
      <c r="A22505" s="1" t="s">
        <v>34722</v>
      </c>
      <c r="B22505" s="2" t="s">
        <v>34723</v>
      </c>
      <c r="C22505" s="1" t="s">
        <v>6937</v>
      </c>
      <c r="D22505" s="1" t="s">
        <v>6939</v>
      </c>
    </row>
    <row r="22506">
      <c r="A22506" s="1" t="s">
        <v>34724</v>
      </c>
      <c r="B22506" s="2" t="s">
        <v>34725</v>
      </c>
      <c r="C22506" s="1" t="s">
        <v>6937</v>
      </c>
      <c r="D22506" s="1" t="s">
        <v>6939</v>
      </c>
    </row>
    <row r="22507">
      <c r="A22507" s="1" t="s">
        <v>34726</v>
      </c>
      <c r="B22507" s="2" t="s">
        <v>34727</v>
      </c>
      <c r="C22507" s="1" t="s">
        <v>6937</v>
      </c>
      <c r="D22507" s="1" t="s">
        <v>6939</v>
      </c>
    </row>
    <row r="22508">
      <c r="A22508" s="1" t="s">
        <v>34728</v>
      </c>
      <c r="B22508" s="2" t="s">
        <v>34729</v>
      </c>
      <c r="C22508" s="1" t="s">
        <v>6937</v>
      </c>
      <c r="D22508" s="1" t="s">
        <v>6939</v>
      </c>
    </row>
    <row r="22509">
      <c r="A22509" s="1" t="s">
        <v>34730</v>
      </c>
      <c r="B22509" s="2" t="s">
        <v>34731</v>
      </c>
      <c r="C22509" s="1" t="s">
        <v>6937</v>
      </c>
      <c r="D22509" s="1" t="s">
        <v>6939</v>
      </c>
    </row>
    <row r="22510">
      <c r="A22510" s="1" t="s">
        <v>34732</v>
      </c>
      <c r="B22510" s="2" t="s">
        <v>34733</v>
      </c>
      <c r="C22510" s="1" t="s">
        <v>6937</v>
      </c>
      <c r="D22510" s="1" t="s">
        <v>6939</v>
      </c>
    </row>
    <row r="22511">
      <c r="A22511" s="1" t="s">
        <v>34734</v>
      </c>
      <c r="B22511" s="2" t="s">
        <v>34735</v>
      </c>
      <c r="C22511" s="1" t="s">
        <v>6937</v>
      </c>
      <c r="D22511" s="1" t="s">
        <v>6939</v>
      </c>
    </row>
    <row r="22512">
      <c r="A22512" s="1" t="s">
        <v>34736</v>
      </c>
      <c r="B22512" s="2" t="s">
        <v>34737</v>
      </c>
      <c r="C22512" s="1" t="s">
        <v>6937</v>
      </c>
      <c r="D22512" s="1" t="s">
        <v>6939</v>
      </c>
    </row>
    <row r="22513">
      <c r="A22513" s="1" t="s">
        <v>34738</v>
      </c>
      <c r="B22513" s="2" t="s">
        <v>34739</v>
      </c>
      <c r="C22513" s="1" t="s">
        <v>6937</v>
      </c>
      <c r="D22513" s="1" t="s">
        <v>6939</v>
      </c>
    </row>
    <row r="22514">
      <c r="A22514" s="1" t="s">
        <v>34740</v>
      </c>
      <c r="B22514" s="2" t="s">
        <v>34741</v>
      </c>
      <c r="C22514" s="1" t="s">
        <v>6937</v>
      </c>
      <c r="D22514" s="1" t="s">
        <v>6939</v>
      </c>
    </row>
    <row r="22515">
      <c r="A22515" s="1" t="s">
        <v>6943</v>
      </c>
      <c r="B22515" s="2" t="s">
        <v>7</v>
      </c>
      <c r="C22515" s="1" t="s">
        <v>6945</v>
      </c>
      <c r="D22515" s="1" t="s">
        <v>6946</v>
      </c>
    </row>
    <row r="22516">
      <c r="A22516" s="1" t="s">
        <v>34742</v>
      </c>
      <c r="B22516" s="2" t="s">
        <v>34555</v>
      </c>
      <c r="C22516" s="1" t="s">
        <v>6945</v>
      </c>
      <c r="D22516" s="1" t="s">
        <v>6946</v>
      </c>
    </row>
    <row r="22517">
      <c r="A22517" s="1" t="s">
        <v>34743</v>
      </c>
      <c r="B22517" s="2" t="s">
        <v>34744</v>
      </c>
      <c r="C22517" s="1" t="s">
        <v>6945</v>
      </c>
      <c r="D22517" s="1" t="s">
        <v>6946</v>
      </c>
    </row>
    <row r="22518">
      <c r="A22518" s="1" t="s">
        <v>34745</v>
      </c>
      <c r="B22518" s="2" t="s">
        <v>34746</v>
      </c>
      <c r="C22518" s="1" t="s">
        <v>6945</v>
      </c>
      <c r="D22518" s="1" t="s">
        <v>6946</v>
      </c>
    </row>
    <row r="22519">
      <c r="A22519" s="1" t="s">
        <v>34747</v>
      </c>
      <c r="B22519" s="2" t="s">
        <v>34748</v>
      </c>
      <c r="C22519" s="1" t="s">
        <v>6945</v>
      </c>
      <c r="D22519" s="1" t="s">
        <v>6946</v>
      </c>
    </row>
    <row r="22520">
      <c r="A22520" s="1" t="s">
        <v>34749</v>
      </c>
      <c r="B22520" s="2" t="s">
        <v>34750</v>
      </c>
      <c r="C22520" s="1" t="s">
        <v>6945</v>
      </c>
      <c r="D22520" s="1" t="s">
        <v>6946</v>
      </c>
    </row>
    <row r="22521">
      <c r="A22521" s="1" t="s">
        <v>34751</v>
      </c>
      <c r="B22521" s="2" t="s">
        <v>34752</v>
      </c>
      <c r="C22521" s="1" t="s">
        <v>6945</v>
      </c>
      <c r="D22521" s="1" t="s">
        <v>6946</v>
      </c>
    </row>
    <row r="22522">
      <c r="A22522" s="1" t="s">
        <v>34753</v>
      </c>
      <c r="B22522" s="2" t="s">
        <v>34754</v>
      </c>
      <c r="C22522" s="1" t="s">
        <v>6945</v>
      </c>
      <c r="D22522" s="1" t="s">
        <v>6946</v>
      </c>
    </row>
    <row r="22523">
      <c r="A22523" s="1" t="s">
        <v>34755</v>
      </c>
      <c r="B22523" s="2" t="s">
        <v>34575</v>
      </c>
      <c r="C22523" s="1" t="s">
        <v>6945</v>
      </c>
      <c r="D22523" s="1" t="s">
        <v>6946</v>
      </c>
    </row>
    <row r="22524">
      <c r="A22524" s="1" t="s">
        <v>34756</v>
      </c>
      <c r="B22524" s="2" t="s">
        <v>34757</v>
      </c>
      <c r="C22524" s="1" t="s">
        <v>6945</v>
      </c>
      <c r="D22524" s="1" t="s">
        <v>6946</v>
      </c>
    </row>
    <row r="22525">
      <c r="A22525" s="1" t="s">
        <v>34758</v>
      </c>
      <c r="B22525" s="2" t="s">
        <v>34759</v>
      </c>
      <c r="C22525" s="1" t="s">
        <v>6945</v>
      </c>
      <c r="D22525" s="1" t="s">
        <v>6946</v>
      </c>
    </row>
    <row r="22526">
      <c r="A22526" s="1" t="s">
        <v>34760</v>
      </c>
      <c r="B22526" s="2" t="s">
        <v>34761</v>
      </c>
      <c r="C22526" s="1" t="s">
        <v>6945</v>
      </c>
      <c r="D22526" s="1" t="s">
        <v>6946</v>
      </c>
    </row>
    <row r="22527">
      <c r="A22527" s="1" t="s">
        <v>34762</v>
      </c>
      <c r="B22527" s="2" t="s">
        <v>34763</v>
      </c>
      <c r="C22527" s="1" t="s">
        <v>6945</v>
      </c>
      <c r="D22527" s="1" t="s">
        <v>6946</v>
      </c>
    </row>
    <row r="22528">
      <c r="A22528" s="1" t="s">
        <v>34764</v>
      </c>
      <c r="B22528" s="2" t="s">
        <v>34765</v>
      </c>
      <c r="C22528" s="1" t="s">
        <v>6945</v>
      </c>
      <c r="D22528" s="1" t="s">
        <v>6946</v>
      </c>
    </row>
    <row r="22529">
      <c r="A22529" s="1" t="s">
        <v>34766</v>
      </c>
      <c r="B22529" s="2" t="s">
        <v>34767</v>
      </c>
      <c r="C22529" s="1" t="s">
        <v>6945</v>
      </c>
      <c r="D22529" s="1" t="s">
        <v>6946</v>
      </c>
    </row>
    <row r="22530">
      <c r="A22530" s="1" t="s">
        <v>6951</v>
      </c>
      <c r="B22530" s="2" t="s">
        <v>6952</v>
      </c>
      <c r="C22530" s="1" t="s">
        <v>6953</v>
      </c>
      <c r="D22530" s="1" t="s">
        <v>6955</v>
      </c>
    </row>
    <row r="22531">
      <c r="A22531" s="1" t="s">
        <v>34768</v>
      </c>
      <c r="B22531" s="2" t="s">
        <v>34769</v>
      </c>
      <c r="C22531" s="1" t="s">
        <v>6953</v>
      </c>
      <c r="D22531" s="1" t="s">
        <v>6955</v>
      </c>
    </row>
    <row r="22532">
      <c r="A22532" s="1" t="s">
        <v>34770</v>
      </c>
      <c r="B22532" s="2" t="s">
        <v>34771</v>
      </c>
      <c r="C22532" s="1" t="s">
        <v>6953</v>
      </c>
      <c r="D22532" s="1" t="s">
        <v>6955</v>
      </c>
    </row>
    <row r="22533">
      <c r="A22533" s="1" t="s">
        <v>6959</v>
      </c>
      <c r="B22533" s="2" t="s">
        <v>7</v>
      </c>
      <c r="C22533" s="1" t="s">
        <v>6960</v>
      </c>
      <c r="D22533" s="1" t="s">
        <v>6961</v>
      </c>
    </row>
    <row r="22534">
      <c r="A22534" s="1" t="s">
        <v>34772</v>
      </c>
      <c r="B22534" s="2" t="s">
        <v>33800</v>
      </c>
      <c r="C22534" s="1" t="s">
        <v>6960</v>
      </c>
      <c r="D22534" s="1" t="s">
        <v>6961</v>
      </c>
    </row>
    <row r="22535">
      <c r="A22535" s="1" t="s">
        <v>34773</v>
      </c>
      <c r="B22535" s="2" t="s">
        <v>34774</v>
      </c>
      <c r="C22535" s="1" t="s">
        <v>6960</v>
      </c>
      <c r="D22535" s="1" t="s">
        <v>6961</v>
      </c>
    </row>
    <row r="22536">
      <c r="A22536" s="1" t="s">
        <v>34775</v>
      </c>
      <c r="B22536" s="2" t="s">
        <v>34441</v>
      </c>
      <c r="C22536" s="1" t="s">
        <v>6960</v>
      </c>
      <c r="D22536" s="1" t="s">
        <v>6961</v>
      </c>
    </row>
    <row r="22537">
      <c r="A22537" s="1" t="s">
        <v>34776</v>
      </c>
      <c r="B22537" s="2" t="s">
        <v>34443</v>
      </c>
      <c r="C22537" s="1" t="s">
        <v>6960</v>
      </c>
      <c r="D22537" s="1" t="s">
        <v>6961</v>
      </c>
    </row>
    <row r="22538">
      <c r="A22538" s="1" t="s">
        <v>34777</v>
      </c>
      <c r="B22538" s="2" t="s">
        <v>34445</v>
      </c>
      <c r="C22538" s="1" t="s">
        <v>6960</v>
      </c>
      <c r="D22538" s="1" t="s">
        <v>6961</v>
      </c>
    </row>
    <row r="22539">
      <c r="A22539" s="1" t="s">
        <v>34778</v>
      </c>
      <c r="B22539" s="2" t="s">
        <v>34447</v>
      </c>
      <c r="C22539" s="1" t="s">
        <v>6960</v>
      </c>
      <c r="D22539" s="1" t="s">
        <v>6961</v>
      </c>
    </row>
    <row r="22540">
      <c r="A22540" s="1" t="s">
        <v>34779</v>
      </c>
      <c r="B22540" s="2" t="s">
        <v>34449</v>
      </c>
      <c r="C22540" s="1" t="s">
        <v>6960</v>
      </c>
      <c r="D22540" s="1" t="s">
        <v>6961</v>
      </c>
    </row>
    <row r="22541">
      <c r="A22541" s="1" t="s">
        <v>34780</v>
      </c>
      <c r="B22541" s="2" t="s">
        <v>34451</v>
      </c>
      <c r="C22541" s="1" t="s">
        <v>6960</v>
      </c>
      <c r="D22541" s="1" t="s">
        <v>6961</v>
      </c>
    </row>
    <row r="22542">
      <c r="A22542" s="1" t="s">
        <v>34781</v>
      </c>
      <c r="B22542" s="2" t="s">
        <v>33830</v>
      </c>
      <c r="C22542" s="1" t="s">
        <v>6960</v>
      </c>
      <c r="D22542" s="1" t="s">
        <v>6961</v>
      </c>
    </row>
    <row r="22543">
      <c r="A22543" s="1" t="s">
        <v>34782</v>
      </c>
      <c r="B22543" s="2" t="s">
        <v>33832</v>
      </c>
      <c r="C22543" s="1" t="s">
        <v>6960</v>
      </c>
      <c r="D22543" s="1" t="s">
        <v>6961</v>
      </c>
    </row>
    <row r="22544">
      <c r="A22544" s="1" t="s">
        <v>34783</v>
      </c>
      <c r="B22544" s="2" t="s">
        <v>34784</v>
      </c>
      <c r="C22544" s="1" t="s">
        <v>6960</v>
      </c>
      <c r="D22544" s="1" t="s">
        <v>6961</v>
      </c>
    </row>
    <row r="22545">
      <c r="A22545" s="1" t="s">
        <v>34785</v>
      </c>
      <c r="B22545" s="2" t="s">
        <v>33838</v>
      </c>
      <c r="C22545" s="1" t="s">
        <v>6960</v>
      </c>
      <c r="D22545" s="1" t="s">
        <v>6961</v>
      </c>
    </row>
    <row r="22546">
      <c r="A22546" s="1" t="s">
        <v>34786</v>
      </c>
      <c r="B22546" s="2" t="s">
        <v>33840</v>
      </c>
      <c r="C22546" s="1" t="s">
        <v>6960</v>
      </c>
      <c r="D22546" s="1" t="s">
        <v>6961</v>
      </c>
    </row>
    <row r="22547">
      <c r="A22547" s="1" t="s">
        <v>34787</v>
      </c>
      <c r="B22547" s="2" t="s">
        <v>33842</v>
      </c>
      <c r="C22547" s="1" t="s">
        <v>6960</v>
      </c>
      <c r="D22547" s="1" t="s">
        <v>6961</v>
      </c>
    </row>
    <row r="22548">
      <c r="A22548" s="1" t="s">
        <v>34788</v>
      </c>
      <c r="B22548" s="2" t="s">
        <v>34789</v>
      </c>
      <c r="C22548" s="1" t="s">
        <v>6960</v>
      </c>
      <c r="D22548" s="1" t="s">
        <v>6961</v>
      </c>
    </row>
    <row r="22549">
      <c r="A22549" s="1" t="s">
        <v>34790</v>
      </c>
      <c r="B22549" s="2" t="s">
        <v>33798</v>
      </c>
      <c r="C22549" s="1" t="s">
        <v>6960</v>
      </c>
      <c r="D22549" s="1" t="s">
        <v>6961</v>
      </c>
    </row>
    <row r="22550">
      <c r="A22550" s="1" t="s">
        <v>6966</v>
      </c>
      <c r="B22550" s="2" t="s">
        <v>6969</v>
      </c>
      <c r="C22550" s="1" t="s">
        <v>6970</v>
      </c>
      <c r="D22550" s="1" t="s">
        <v>6972</v>
      </c>
    </row>
    <row r="22551">
      <c r="A22551" s="1" t="s">
        <v>6978</v>
      </c>
      <c r="B22551" s="2" t="s">
        <v>7</v>
      </c>
      <c r="C22551" s="1" t="s">
        <v>6979</v>
      </c>
      <c r="D22551" s="1" t="s">
        <v>6980</v>
      </c>
    </row>
    <row r="22552">
      <c r="A22552" s="1" t="s">
        <v>34791</v>
      </c>
      <c r="B22552" s="2" t="s">
        <v>32908</v>
      </c>
      <c r="C22552" s="1" t="s">
        <v>6979</v>
      </c>
      <c r="D22552" s="1" t="s">
        <v>6980</v>
      </c>
    </row>
    <row r="22553">
      <c r="A22553" s="1" t="s">
        <v>34792</v>
      </c>
      <c r="B22553" s="2" t="s">
        <v>34793</v>
      </c>
      <c r="C22553" s="1" t="s">
        <v>6979</v>
      </c>
      <c r="D22553" s="1" t="s">
        <v>6980</v>
      </c>
    </row>
    <row r="22554">
      <c r="A22554" s="1" t="s">
        <v>34794</v>
      </c>
      <c r="B22554" s="2" t="s">
        <v>34795</v>
      </c>
      <c r="C22554" s="1" t="s">
        <v>6979</v>
      </c>
      <c r="D22554" s="1" t="s">
        <v>6980</v>
      </c>
    </row>
    <row r="22555">
      <c r="A22555" s="1" t="s">
        <v>34796</v>
      </c>
      <c r="B22555" s="2" t="s">
        <v>34797</v>
      </c>
      <c r="C22555" s="1" t="s">
        <v>6979</v>
      </c>
      <c r="D22555" s="1" t="s">
        <v>6980</v>
      </c>
    </row>
    <row r="22556">
      <c r="A22556" s="1" t="s">
        <v>34798</v>
      </c>
      <c r="B22556" s="2" t="s">
        <v>34799</v>
      </c>
      <c r="C22556" s="1" t="s">
        <v>6979</v>
      </c>
      <c r="D22556" s="1" t="s">
        <v>6980</v>
      </c>
    </row>
    <row r="22557">
      <c r="A22557" s="1" t="s">
        <v>34800</v>
      </c>
      <c r="B22557" s="2" t="s">
        <v>34801</v>
      </c>
      <c r="C22557" s="1" t="s">
        <v>6979</v>
      </c>
      <c r="D22557" s="1" t="s">
        <v>6980</v>
      </c>
    </row>
    <row r="22558">
      <c r="A22558" s="1" t="s">
        <v>34802</v>
      </c>
      <c r="B22558" s="2" t="s">
        <v>34803</v>
      </c>
      <c r="C22558" s="1" t="s">
        <v>6979</v>
      </c>
      <c r="D22558" s="1" t="s">
        <v>6980</v>
      </c>
    </row>
    <row r="22559">
      <c r="A22559" s="1" t="s">
        <v>34804</v>
      </c>
      <c r="B22559" s="2" t="s">
        <v>34805</v>
      </c>
      <c r="C22559" s="1" t="s">
        <v>6979</v>
      </c>
      <c r="D22559" s="1" t="s">
        <v>6980</v>
      </c>
    </row>
    <row r="22560">
      <c r="A22560" s="1" t="s">
        <v>34806</v>
      </c>
      <c r="B22560" s="2" t="s">
        <v>34807</v>
      </c>
      <c r="C22560" s="1" t="s">
        <v>6979</v>
      </c>
      <c r="D22560" s="1" t="s">
        <v>6980</v>
      </c>
    </row>
    <row r="22561">
      <c r="A22561" s="1" t="s">
        <v>34808</v>
      </c>
      <c r="B22561" s="2" t="s">
        <v>34809</v>
      </c>
      <c r="C22561" s="1" t="s">
        <v>6979</v>
      </c>
      <c r="D22561" s="1" t="s">
        <v>6980</v>
      </c>
    </row>
    <row r="22562">
      <c r="A22562" s="1" t="s">
        <v>34810</v>
      </c>
      <c r="B22562" s="2" t="s">
        <v>34811</v>
      </c>
      <c r="C22562" s="1" t="s">
        <v>6979</v>
      </c>
      <c r="D22562" s="1" t="s">
        <v>6980</v>
      </c>
    </row>
    <row r="22563">
      <c r="A22563" s="1" t="s">
        <v>34812</v>
      </c>
      <c r="B22563" s="2" t="s">
        <v>34813</v>
      </c>
      <c r="C22563" s="1" t="s">
        <v>6979</v>
      </c>
      <c r="D22563" s="1" t="s">
        <v>6980</v>
      </c>
    </row>
    <row r="22564">
      <c r="A22564" s="1" t="s">
        <v>34814</v>
      </c>
      <c r="B22564" s="2" t="s">
        <v>34815</v>
      </c>
      <c r="C22564" s="1" t="s">
        <v>6979</v>
      </c>
      <c r="D22564" s="1" t="s">
        <v>6980</v>
      </c>
    </row>
    <row r="22565">
      <c r="A22565" s="1" t="s">
        <v>34816</v>
      </c>
      <c r="B22565" s="2" t="s">
        <v>34817</v>
      </c>
      <c r="C22565" s="1" t="s">
        <v>6979</v>
      </c>
      <c r="D22565" s="1" t="s">
        <v>6980</v>
      </c>
    </row>
    <row r="22566">
      <c r="A22566" s="1" t="s">
        <v>34818</v>
      </c>
      <c r="B22566" s="2" t="s">
        <v>34819</v>
      </c>
      <c r="C22566" s="1" t="s">
        <v>6979</v>
      </c>
      <c r="D22566" s="1" t="s">
        <v>6980</v>
      </c>
    </row>
    <row r="22567">
      <c r="A22567" s="1" t="s">
        <v>34820</v>
      </c>
      <c r="B22567" s="2" t="s">
        <v>34821</v>
      </c>
      <c r="C22567" s="1" t="s">
        <v>6979</v>
      </c>
      <c r="D22567" s="1" t="s">
        <v>6980</v>
      </c>
    </row>
    <row r="22568">
      <c r="A22568" s="1" t="s">
        <v>34822</v>
      </c>
      <c r="B22568" s="2" t="s">
        <v>34823</v>
      </c>
      <c r="C22568" s="1" t="s">
        <v>6979</v>
      </c>
      <c r="D22568" s="1" t="s">
        <v>6980</v>
      </c>
    </row>
    <row r="22569">
      <c r="A22569" s="1" t="s">
        <v>34824</v>
      </c>
      <c r="B22569" s="2" t="s">
        <v>34825</v>
      </c>
      <c r="C22569" s="1" t="s">
        <v>6979</v>
      </c>
      <c r="D22569" s="1" t="s">
        <v>6980</v>
      </c>
    </row>
    <row r="22570">
      <c r="A22570" s="1" t="s">
        <v>34826</v>
      </c>
      <c r="B22570" s="2" t="s">
        <v>34827</v>
      </c>
      <c r="C22570" s="1" t="s">
        <v>6979</v>
      </c>
      <c r="D22570" s="1" t="s">
        <v>6980</v>
      </c>
    </row>
    <row r="22571">
      <c r="A22571" s="1" t="s">
        <v>34828</v>
      </c>
      <c r="B22571" s="2" t="s">
        <v>34829</v>
      </c>
      <c r="C22571" s="1" t="s">
        <v>6979</v>
      </c>
      <c r="D22571" s="1" t="s">
        <v>6980</v>
      </c>
    </row>
    <row r="22572">
      <c r="A22572" s="1" t="s">
        <v>34830</v>
      </c>
      <c r="B22572" s="2" t="s">
        <v>34831</v>
      </c>
      <c r="C22572" s="1" t="s">
        <v>6979</v>
      </c>
      <c r="D22572" s="1" t="s">
        <v>6980</v>
      </c>
    </row>
    <row r="22573">
      <c r="A22573" s="1" t="s">
        <v>34832</v>
      </c>
      <c r="B22573" s="2" t="s">
        <v>34833</v>
      </c>
      <c r="C22573" s="1" t="s">
        <v>6979</v>
      </c>
      <c r="D22573" s="1" t="s">
        <v>6980</v>
      </c>
    </row>
    <row r="22574">
      <c r="A22574" s="1" t="s">
        <v>34834</v>
      </c>
      <c r="B22574" s="2" t="s">
        <v>32924</v>
      </c>
      <c r="C22574" s="1" t="s">
        <v>6979</v>
      </c>
      <c r="D22574" s="1" t="s">
        <v>6980</v>
      </c>
    </row>
    <row r="22575">
      <c r="A22575" s="1" t="s">
        <v>34835</v>
      </c>
      <c r="B22575" s="2" t="s">
        <v>34836</v>
      </c>
      <c r="C22575" s="1" t="s">
        <v>6979</v>
      </c>
      <c r="D22575" s="1" t="s">
        <v>6980</v>
      </c>
    </row>
    <row r="22576">
      <c r="A22576" s="1" t="s">
        <v>34837</v>
      </c>
      <c r="B22576" s="2" t="s">
        <v>34838</v>
      </c>
      <c r="C22576" s="1" t="s">
        <v>6979</v>
      </c>
      <c r="D22576" s="1" t="s">
        <v>6980</v>
      </c>
    </row>
    <row r="22577">
      <c r="A22577" s="1" t="s">
        <v>34839</v>
      </c>
      <c r="B22577" s="2" t="s">
        <v>34840</v>
      </c>
      <c r="C22577" s="1" t="s">
        <v>6979</v>
      </c>
      <c r="D22577" s="1" t="s">
        <v>6980</v>
      </c>
    </row>
    <row r="22578">
      <c r="A22578" s="1" t="s">
        <v>34841</v>
      </c>
      <c r="B22578" s="2" t="s">
        <v>34842</v>
      </c>
      <c r="C22578" s="1" t="s">
        <v>6979</v>
      </c>
      <c r="D22578" s="1" t="s">
        <v>6980</v>
      </c>
    </row>
    <row r="22579">
      <c r="A22579" s="1" t="s">
        <v>34843</v>
      </c>
      <c r="B22579" s="2" t="s">
        <v>34844</v>
      </c>
      <c r="C22579" s="1" t="s">
        <v>6979</v>
      </c>
      <c r="D22579" s="1" t="s">
        <v>6980</v>
      </c>
    </row>
    <row r="22580">
      <c r="A22580" s="1" t="s">
        <v>34845</v>
      </c>
      <c r="B22580" s="2" t="s">
        <v>34846</v>
      </c>
      <c r="C22580" s="1" t="s">
        <v>6979</v>
      </c>
      <c r="D22580" s="1" t="s">
        <v>6980</v>
      </c>
    </row>
    <row r="22581">
      <c r="A22581" s="1" t="s">
        <v>34847</v>
      </c>
      <c r="B22581" s="2" t="s">
        <v>34848</v>
      </c>
      <c r="C22581" s="1" t="s">
        <v>6979</v>
      </c>
      <c r="D22581" s="1" t="s">
        <v>6980</v>
      </c>
    </row>
    <row r="22582">
      <c r="A22582" s="1" t="s">
        <v>34849</v>
      </c>
      <c r="B22582" s="2" t="s">
        <v>34850</v>
      </c>
      <c r="C22582" s="1" t="s">
        <v>6979</v>
      </c>
      <c r="D22582" s="1" t="s">
        <v>6980</v>
      </c>
    </row>
    <row r="22583">
      <c r="A22583" s="1" t="s">
        <v>34851</v>
      </c>
      <c r="B22583" s="2" t="s">
        <v>34852</v>
      </c>
      <c r="C22583" s="1" t="s">
        <v>6979</v>
      </c>
      <c r="D22583" s="1" t="s">
        <v>6980</v>
      </c>
    </row>
    <row r="22584">
      <c r="A22584" s="1" t="s">
        <v>34853</v>
      </c>
      <c r="B22584" s="2" t="s">
        <v>34854</v>
      </c>
      <c r="C22584" s="1" t="s">
        <v>6979</v>
      </c>
      <c r="D22584" s="1" t="s">
        <v>6980</v>
      </c>
    </row>
    <row r="22585">
      <c r="A22585" s="1" t="s">
        <v>34855</v>
      </c>
      <c r="B22585" s="2" t="s">
        <v>34856</v>
      </c>
      <c r="C22585" s="1" t="s">
        <v>6979</v>
      </c>
      <c r="D22585" s="1" t="s">
        <v>6980</v>
      </c>
    </row>
    <row r="22586">
      <c r="A22586" s="1" t="s">
        <v>34857</v>
      </c>
      <c r="B22586" s="2" t="s">
        <v>34858</v>
      </c>
      <c r="C22586" s="1" t="s">
        <v>6979</v>
      </c>
      <c r="D22586" s="1" t="s">
        <v>6980</v>
      </c>
    </row>
    <row r="22587">
      <c r="A22587" s="1" t="s">
        <v>34859</v>
      </c>
      <c r="B22587" s="2" t="s">
        <v>34860</v>
      </c>
      <c r="C22587" s="1" t="s">
        <v>6979</v>
      </c>
      <c r="D22587" s="1" t="s">
        <v>6980</v>
      </c>
    </row>
    <row r="22588">
      <c r="A22588" s="1" t="s">
        <v>34861</v>
      </c>
      <c r="B22588" s="2" t="s">
        <v>34862</v>
      </c>
      <c r="C22588" s="1" t="s">
        <v>6979</v>
      </c>
      <c r="D22588" s="1" t="s">
        <v>6980</v>
      </c>
    </row>
    <row r="22589">
      <c r="A22589" s="1" t="s">
        <v>34863</v>
      </c>
      <c r="B22589" s="2" t="s">
        <v>34864</v>
      </c>
      <c r="C22589" s="1" t="s">
        <v>6979</v>
      </c>
      <c r="D22589" s="1" t="s">
        <v>6980</v>
      </c>
    </row>
    <row r="22590">
      <c r="A22590" s="1" t="s">
        <v>34865</v>
      </c>
      <c r="B22590" s="2" t="s">
        <v>34866</v>
      </c>
      <c r="C22590" s="1" t="s">
        <v>6979</v>
      </c>
      <c r="D22590" s="1" t="s">
        <v>6980</v>
      </c>
    </row>
    <row r="22591">
      <c r="A22591" s="1" t="s">
        <v>34867</v>
      </c>
      <c r="B22591" s="2" t="s">
        <v>34868</v>
      </c>
      <c r="C22591" s="1" t="s">
        <v>6979</v>
      </c>
      <c r="D22591" s="1" t="s">
        <v>6980</v>
      </c>
    </row>
    <row r="22592">
      <c r="A22592" s="1" t="s">
        <v>34869</v>
      </c>
      <c r="B22592" s="2" t="s">
        <v>34870</v>
      </c>
      <c r="C22592" s="1" t="s">
        <v>6979</v>
      </c>
      <c r="D22592" s="1" t="s">
        <v>6980</v>
      </c>
    </row>
    <row r="22593">
      <c r="A22593" s="1" t="s">
        <v>34871</v>
      </c>
      <c r="B22593" s="2" t="s">
        <v>34872</v>
      </c>
      <c r="C22593" s="1" t="s">
        <v>6979</v>
      </c>
      <c r="D22593" s="1" t="s">
        <v>6980</v>
      </c>
    </row>
    <row r="22594">
      <c r="A22594" s="1" t="s">
        <v>34873</v>
      </c>
      <c r="B22594" s="2" t="s">
        <v>34874</v>
      </c>
      <c r="C22594" s="1" t="s">
        <v>6979</v>
      </c>
      <c r="D22594" s="1" t="s">
        <v>6980</v>
      </c>
    </row>
    <row r="22595">
      <c r="A22595" s="1" t="s">
        <v>34875</v>
      </c>
      <c r="B22595" s="2" t="s">
        <v>34876</v>
      </c>
      <c r="C22595" s="1" t="s">
        <v>6979</v>
      </c>
      <c r="D22595" s="1" t="s">
        <v>6980</v>
      </c>
    </row>
    <row r="22596">
      <c r="A22596" s="1" t="s">
        <v>34877</v>
      </c>
      <c r="B22596" s="2" t="s">
        <v>34878</v>
      </c>
      <c r="C22596" s="1" t="s">
        <v>6979</v>
      </c>
      <c r="D22596" s="1" t="s">
        <v>6980</v>
      </c>
    </row>
    <row r="22597">
      <c r="A22597" s="1" t="s">
        <v>6984</v>
      </c>
      <c r="B22597" s="2" t="s">
        <v>6904</v>
      </c>
      <c r="C22597" s="1" t="s">
        <v>6986</v>
      </c>
      <c r="D22597" s="1" t="s">
        <v>6987</v>
      </c>
    </row>
    <row r="22598">
      <c r="A22598" s="1" t="s">
        <v>34879</v>
      </c>
      <c r="B22598" s="2" t="s">
        <v>34880</v>
      </c>
      <c r="C22598" s="1" t="s">
        <v>6986</v>
      </c>
      <c r="D22598" s="1" t="s">
        <v>6987</v>
      </c>
    </row>
    <row r="22599">
      <c r="A22599" s="1" t="s">
        <v>34881</v>
      </c>
      <c r="B22599" s="2" t="s">
        <v>34882</v>
      </c>
      <c r="C22599" s="1" t="s">
        <v>6986</v>
      </c>
      <c r="D22599" s="1" t="s">
        <v>6987</v>
      </c>
    </row>
    <row r="22600">
      <c r="A22600" s="1" t="s">
        <v>34883</v>
      </c>
      <c r="B22600" s="2" t="s">
        <v>34884</v>
      </c>
      <c r="C22600" s="1" t="s">
        <v>6986</v>
      </c>
      <c r="D22600" s="1" t="s">
        <v>6987</v>
      </c>
    </row>
    <row r="22601">
      <c r="A22601" s="1" t="s">
        <v>34885</v>
      </c>
      <c r="B22601" s="2" t="s">
        <v>34886</v>
      </c>
      <c r="C22601" s="1" t="s">
        <v>6986</v>
      </c>
      <c r="D22601" s="1" t="s">
        <v>6987</v>
      </c>
    </row>
    <row r="22602">
      <c r="A22602" s="1" t="s">
        <v>34887</v>
      </c>
      <c r="B22602" s="2" t="s">
        <v>34888</v>
      </c>
      <c r="C22602" s="1" t="s">
        <v>6986</v>
      </c>
      <c r="D22602" s="1" t="s">
        <v>6987</v>
      </c>
    </row>
    <row r="22603">
      <c r="A22603" s="1" t="s">
        <v>34889</v>
      </c>
      <c r="B22603" s="2" t="s">
        <v>34890</v>
      </c>
      <c r="C22603" s="1" t="s">
        <v>6986</v>
      </c>
      <c r="D22603" s="1" t="s">
        <v>6987</v>
      </c>
    </row>
    <row r="22604">
      <c r="A22604" s="1" t="s">
        <v>34891</v>
      </c>
      <c r="B22604" s="2" t="s">
        <v>34892</v>
      </c>
      <c r="C22604" s="1" t="s">
        <v>6986</v>
      </c>
      <c r="D22604" s="1" t="s">
        <v>6987</v>
      </c>
    </row>
    <row r="22605">
      <c r="A22605" s="1" t="s">
        <v>34893</v>
      </c>
      <c r="B22605" s="2" t="s">
        <v>34894</v>
      </c>
      <c r="C22605" s="1" t="s">
        <v>6986</v>
      </c>
      <c r="D22605" s="1" t="s">
        <v>6987</v>
      </c>
    </row>
    <row r="22606">
      <c r="A22606" s="1" t="s">
        <v>34895</v>
      </c>
      <c r="B22606" s="2" t="s">
        <v>34896</v>
      </c>
      <c r="C22606" s="1" t="s">
        <v>6986</v>
      </c>
      <c r="D22606" s="1" t="s">
        <v>6987</v>
      </c>
    </row>
    <row r="22607">
      <c r="A22607" s="1" t="s">
        <v>34897</v>
      </c>
      <c r="B22607" s="2" t="s">
        <v>34898</v>
      </c>
      <c r="C22607" s="1" t="s">
        <v>6986</v>
      </c>
      <c r="D22607" s="1" t="s">
        <v>6987</v>
      </c>
    </row>
    <row r="22608">
      <c r="A22608" s="1" t="s">
        <v>6991</v>
      </c>
      <c r="B22608" s="2" t="s">
        <v>6750</v>
      </c>
      <c r="C22608" s="1" t="s">
        <v>6992</v>
      </c>
      <c r="D22608" s="1" t="s">
        <v>6994</v>
      </c>
    </row>
    <row r="22609">
      <c r="A22609" s="1" t="s">
        <v>34899</v>
      </c>
      <c r="B22609" s="2" t="s">
        <v>34900</v>
      </c>
      <c r="C22609" s="1" t="s">
        <v>6992</v>
      </c>
      <c r="D22609" s="1" t="s">
        <v>6994</v>
      </c>
    </row>
    <row r="22610">
      <c r="A22610" s="1" t="s">
        <v>34901</v>
      </c>
      <c r="B22610" s="2" t="s">
        <v>34902</v>
      </c>
      <c r="C22610" s="1" t="s">
        <v>6992</v>
      </c>
      <c r="D22610" s="1" t="s">
        <v>6994</v>
      </c>
    </row>
    <row r="22611">
      <c r="A22611" s="1" t="s">
        <v>34903</v>
      </c>
      <c r="B22611" s="2" t="s">
        <v>34904</v>
      </c>
      <c r="C22611" s="1" t="s">
        <v>6992</v>
      </c>
      <c r="D22611" s="1" t="s">
        <v>6994</v>
      </c>
    </row>
    <row r="22612">
      <c r="A22612" s="1" t="s">
        <v>34905</v>
      </c>
      <c r="B22612" s="2" t="s">
        <v>34906</v>
      </c>
      <c r="C22612" s="1" t="s">
        <v>6992</v>
      </c>
      <c r="D22612" s="1" t="s">
        <v>6994</v>
      </c>
    </row>
    <row r="22613">
      <c r="A22613" s="1" t="s">
        <v>34907</v>
      </c>
      <c r="B22613" s="2" t="s">
        <v>34908</v>
      </c>
      <c r="C22613" s="1" t="s">
        <v>6992</v>
      </c>
      <c r="D22613" s="1" t="s">
        <v>6994</v>
      </c>
    </row>
    <row r="22614">
      <c r="A22614" s="1" t="s">
        <v>34909</v>
      </c>
      <c r="B22614" s="2" t="s">
        <v>34910</v>
      </c>
      <c r="C22614" s="1" t="s">
        <v>6992</v>
      </c>
      <c r="D22614" s="1" t="s">
        <v>6994</v>
      </c>
    </row>
    <row r="22615">
      <c r="A22615" s="1" t="s">
        <v>34911</v>
      </c>
      <c r="B22615" s="2" t="s">
        <v>34912</v>
      </c>
      <c r="C22615" s="1" t="s">
        <v>6992</v>
      </c>
      <c r="D22615" s="1" t="s">
        <v>6994</v>
      </c>
    </row>
    <row r="22616">
      <c r="A22616" s="1" t="s">
        <v>34913</v>
      </c>
      <c r="B22616" s="2" t="s">
        <v>34914</v>
      </c>
      <c r="C22616" s="1" t="s">
        <v>6992</v>
      </c>
      <c r="D22616" s="1" t="s">
        <v>6994</v>
      </c>
    </row>
    <row r="22617">
      <c r="A22617" s="1" t="s">
        <v>34915</v>
      </c>
      <c r="B22617" s="2" t="s">
        <v>34916</v>
      </c>
      <c r="C22617" s="1" t="s">
        <v>6992</v>
      </c>
      <c r="D22617" s="1" t="s">
        <v>6994</v>
      </c>
    </row>
    <row r="22618">
      <c r="A22618" s="1" t="s">
        <v>34917</v>
      </c>
      <c r="B22618" s="2" t="s">
        <v>34918</v>
      </c>
      <c r="C22618" s="1" t="s">
        <v>6992</v>
      </c>
      <c r="D22618" s="1" t="s">
        <v>6994</v>
      </c>
    </row>
    <row r="22619">
      <c r="A22619" s="1" t="s">
        <v>6998</v>
      </c>
      <c r="B22619" s="2" t="s">
        <v>6904</v>
      </c>
      <c r="C22619" s="1" t="s">
        <v>6999</v>
      </c>
      <c r="D22619" s="1" t="s">
        <v>7001</v>
      </c>
    </row>
    <row r="22620">
      <c r="A22620" s="1" t="s">
        <v>34919</v>
      </c>
      <c r="B22620" s="2" t="s">
        <v>34920</v>
      </c>
      <c r="C22620" s="1" t="s">
        <v>6999</v>
      </c>
      <c r="D22620" s="1" t="s">
        <v>7001</v>
      </c>
    </row>
    <row r="22621">
      <c r="A22621" s="1" t="s">
        <v>34921</v>
      </c>
      <c r="B22621" s="2" t="s">
        <v>34922</v>
      </c>
      <c r="C22621" s="1" t="s">
        <v>6999</v>
      </c>
      <c r="D22621" s="1" t="s">
        <v>7001</v>
      </c>
    </row>
    <row r="22622">
      <c r="A22622" s="1" t="s">
        <v>34923</v>
      </c>
      <c r="B22622" s="2" t="s">
        <v>34924</v>
      </c>
      <c r="C22622" s="1" t="s">
        <v>6999</v>
      </c>
      <c r="D22622" s="1" t="s">
        <v>7001</v>
      </c>
    </row>
    <row r="22623">
      <c r="A22623" s="1" t="s">
        <v>34925</v>
      </c>
      <c r="B22623" s="2" t="s">
        <v>34926</v>
      </c>
      <c r="C22623" s="1" t="s">
        <v>6999</v>
      </c>
      <c r="D22623" s="1" t="s">
        <v>7001</v>
      </c>
    </row>
    <row r="22624">
      <c r="A22624" s="1" t="s">
        <v>34927</v>
      </c>
      <c r="B22624" s="2" t="s">
        <v>34928</v>
      </c>
      <c r="C22624" s="1" t="s">
        <v>6999</v>
      </c>
      <c r="D22624" s="1" t="s">
        <v>7001</v>
      </c>
    </row>
    <row r="22625">
      <c r="A22625" s="1" t="s">
        <v>34929</v>
      </c>
      <c r="B22625" s="2" t="s">
        <v>34930</v>
      </c>
      <c r="C22625" s="1" t="s">
        <v>6999</v>
      </c>
      <c r="D22625" s="1" t="s">
        <v>7001</v>
      </c>
    </row>
    <row r="22626">
      <c r="A22626" s="1" t="s">
        <v>7004</v>
      </c>
      <c r="B22626" s="2" t="s">
        <v>6750</v>
      </c>
      <c r="C22626" s="1" t="s">
        <v>7006</v>
      </c>
      <c r="D22626" s="1" t="s">
        <v>7008</v>
      </c>
    </row>
    <row r="22627">
      <c r="A22627" s="1" t="s">
        <v>34931</v>
      </c>
      <c r="B22627" s="2" t="s">
        <v>34932</v>
      </c>
      <c r="C22627" s="1" t="s">
        <v>7006</v>
      </c>
      <c r="D22627" s="1" t="s">
        <v>7008</v>
      </c>
    </row>
    <row r="22628">
      <c r="A22628" s="1" t="s">
        <v>34933</v>
      </c>
      <c r="B22628" s="2" t="s">
        <v>34934</v>
      </c>
      <c r="C22628" s="1" t="s">
        <v>7006</v>
      </c>
      <c r="D22628" s="1" t="s">
        <v>7008</v>
      </c>
    </row>
    <row r="22629">
      <c r="A22629" s="1" t="s">
        <v>34935</v>
      </c>
      <c r="B22629" s="2" t="s">
        <v>34936</v>
      </c>
      <c r="C22629" s="1" t="s">
        <v>7006</v>
      </c>
      <c r="D22629" s="1" t="s">
        <v>7008</v>
      </c>
    </row>
    <row r="22630">
      <c r="A22630" s="1" t="s">
        <v>34937</v>
      </c>
      <c r="B22630" s="2" t="s">
        <v>34938</v>
      </c>
      <c r="C22630" s="1" t="s">
        <v>7006</v>
      </c>
      <c r="D22630" s="1" t="s">
        <v>7008</v>
      </c>
    </row>
    <row r="22631">
      <c r="A22631" s="1" t="s">
        <v>34939</v>
      </c>
      <c r="B22631" s="2" t="s">
        <v>34940</v>
      </c>
      <c r="C22631" s="1" t="s">
        <v>7006</v>
      </c>
      <c r="D22631" s="1" t="s">
        <v>7008</v>
      </c>
    </row>
    <row r="22632">
      <c r="A22632" s="1" t="s">
        <v>34941</v>
      </c>
      <c r="B22632" s="2" t="s">
        <v>34942</v>
      </c>
      <c r="C22632" s="1" t="s">
        <v>7006</v>
      </c>
      <c r="D22632" s="1" t="s">
        <v>7008</v>
      </c>
    </row>
    <row r="22633">
      <c r="A22633" s="1" t="s">
        <v>7011</v>
      </c>
      <c r="B22633" s="2" t="s">
        <v>6229</v>
      </c>
      <c r="C22633" s="1" t="s">
        <v>7013</v>
      </c>
      <c r="D22633" s="1" t="s">
        <v>7014</v>
      </c>
    </row>
    <row r="22634">
      <c r="A22634" s="1" t="s">
        <v>34943</v>
      </c>
      <c r="B22634" s="2" t="s">
        <v>34944</v>
      </c>
      <c r="C22634" s="1" t="s">
        <v>7013</v>
      </c>
      <c r="D22634" s="1" t="s">
        <v>7014</v>
      </c>
    </row>
    <row r="22635">
      <c r="A22635" s="1" t="s">
        <v>34945</v>
      </c>
      <c r="B22635" s="2" t="s">
        <v>34946</v>
      </c>
      <c r="C22635" s="1" t="s">
        <v>7013</v>
      </c>
      <c r="D22635" s="1" t="s">
        <v>7014</v>
      </c>
    </row>
    <row r="22636">
      <c r="A22636" s="1" t="s">
        <v>34947</v>
      </c>
      <c r="B22636" s="2" t="s">
        <v>34948</v>
      </c>
      <c r="C22636" s="1" t="s">
        <v>7013</v>
      </c>
      <c r="D22636" s="1" t="s">
        <v>7014</v>
      </c>
    </row>
    <row r="22637">
      <c r="A22637" s="1" t="s">
        <v>34949</v>
      </c>
      <c r="B22637" s="2" t="s">
        <v>34950</v>
      </c>
      <c r="C22637" s="1" t="s">
        <v>7013</v>
      </c>
      <c r="D22637" s="1" t="s">
        <v>7014</v>
      </c>
    </row>
    <row r="22638">
      <c r="A22638" s="1" t="s">
        <v>34951</v>
      </c>
      <c r="B22638" s="2" t="s">
        <v>34952</v>
      </c>
      <c r="C22638" s="1" t="s">
        <v>7013</v>
      </c>
      <c r="D22638" s="1" t="s">
        <v>7014</v>
      </c>
    </row>
    <row r="22639">
      <c r="A22639" s="1" t="s">
        <v>34953</v>
      </c>
      <c r="B22639" s="2" t="s">
        <v>34954</v>
      </c>
      <c r="C22639" s="1" t="s">
        <v>7013</v>
      </c>
      <c r="D22639" s="1" t="s">
        <v>7014</v>
      </c>
    </row>
    <row r="22640">
      <c r="A22640" s="1" t="s">
        <v>34955</v>
      </c>
      <c r="B22640" s="2" t="s">
        <v>34956</v>
      </c>
      <c r="C22640" s="1" t="s">
        <v>7013</v>
      </c>
      <c r="D22640" s="1" t="s">
        <v>7014</v>
      </c>
    </row>
    <row r="22641">
      <c r="A22641" s="1" t="s">
        <v>34957</v>
      </c>
      <c r="B22641" s="2" t="s">
        <v>34958</v>
      </c>
      <c r="C22641" s="1" t="s">
        <v>7013</v>
      </c>
      <c r="D22641" s="1" t="s">
        <v>7014</v>
      </c>
    </row>
    <row r="22642">
      <c r="A22642" s="1" t="s">
        <v>34959</v>
      </c>
      <c r="B22642" s="2" t="s">
        <v>34960</v>
      </c>
      <c r="C22642" s="1" t="s">
        <v>7013</v>
      </c>
      <c r="D22642" s="1" t="s">
        <v>7014</v>
      </c>
    </row>
    <row r="22643">
      <c r="A22643" s="1" t="s">
        <v>34961</v>
      </c>
      <c r="B22643" s="2" t="s">
        <v>34962</v>
      </c>
      <c r="C22643" s="1" t="s">
        <v>7013</v>
      </c>
      <c r="D22643" s="1" t="s">
        <v>7014</v>
      </c>
    </row>
    <row r="22644">
      <c r="A22644" s="1" t="s">
        <v>7018</v>
      </c>
      <c r="B22644" s="2" t="s">
        <v>7019</v>
      </c>
      <c r="C22644" s="1" t="s">
        <v>7020</v>
      </c>
      <c r="D22644" s="1" t="s">
        <v>7022</v>
      </c>
    </row>
    <row r="22645">
      <c r="A22645" s="1" t="s">
        <v>34963</v>
      </c>
      <c r="B22645" s="2" t="s">
        <v>34964</v>
      </c>
      <c r="C22645" s="1" t="s">
        <v>7020</v>
      </c>
      <c r="D22645" s="1" t="s">
        <v>7022</v>
      </c>
    </row>
    <row r="22646">
      <c r="A22646" s="1" t="s">
        <v>34965</v>
      </c>
      <c r="B22646" s="2" t="s">
        <v>34966</v>
      </c>
      <c r="C22646" s="1" t="s">
        <v>7020</v>
      </c>
      <c r="D22646" s="1" t="s">
        <v>7022</v>
      </c>
    </row>
    <row r="22647">
      <c r="A22647" s="1" t="s">
        <v>34967</v>
      </c>
      <c r="B22647" s="2" t="s">
        <v>34968</v>
      </c>
      <c r="C22647" s="1" t="s">
        <v>7020</v>
      </c>
      <c r="D22647" s="1" t="s">
        <v>7022</v>
      </c>
    </row>
    <row r="22648">
      <c r="A22648" s="1" t="s">
        <v>34969</v>
      </c>
      <c r="B22648" s="2" t="s">
        <v>34970</v>
      </c>
      <c r="C22648" s="1" t="s">
        <v>7020</v>
      </c>
      <c r="D22648" s="1" t="s">
        <v>7022</v>
      </c>
    </row>
    <row r="22649">
      <c r="A22649" s="1" t="s">
        <v>34971</v>
      </c>
      <c r="B22649" s="2" t="s">
        <v>34972</v>
      </c>
      <c r="C22649" s="1" t="s">
        <v>7020</v>
      </c>
      <c r="D22649" s="1" t="s">
        <v>7022</v>
      </c>
    </row>
    <row r="22650">
      <c r="A22650" s="1" t="s">
        <v>34973</v>
      </c>
      <c r="B22650" s="2" t="s">
        <v>34974</v>
      </c>
      <c r="C22650" s="1" t="s">
        <v>7020</v>
      </c>
      <c r="D22650" s="1" t="s">
        <v>7022</v>
      </c>
    </row>
    <row r="22651">
      <c r="A22651" s="1" t="s">
        <v>34975</v>
      </c>
      <c r="B22651" s="2" t="s">
        <v>34976</v>
      </c>
      <c r="C22651" s="1" t="s">
        <v>7020</v>
      </c>
      <c r="D22651" s="1" t="s">
        <v>7022</v>
      </c>
    </row>
    <row r="22652">
      <c r="A22652" s="1" t="s">
        <v>34977</v>
      </c>
      <c r="B22652" s="2" t="s">
        <v>34978</v>
      </c>
      <c r="C22652" s="1" t="s">
        <v>7020</v>
      </c>
      <c r="D22652" s="1" t="s">
        <v>7022</v>
      </c>
    </row>
    <row r="22653">
      <c r="A22653" s="1" t="s">
        <v>34979</v>
      </c>
      <c r="B22653" s="2" t="s">
        <v>34980</v>
      </c>
      <c r="C22653" s="1" t="s">
        <v>7020</v>
      </c>
      <c r="D22653" s="1" t="s">
        <v>7022</v>
      </c>
    </row>
    <row r="22654">
      <c r="A22654" s="1" t="s">
        <v>34981</v>
      </c>
      <c r="B22654" s="2" t="s">
        <v>34982</v>
      </c>
      <c r="C22654" s="1" t="s">
        <v>7020</v>
      </c>
      <c r="D22654" s="1" t="s">
        <v>7022</v>
      </c>
    </row>
    <row r="22655">
      <c r="A22655" s="1" t="s">
        <v>7025</v>
      </c>
      <c r="B22655" s="2" t="s">
        <v>6229</v>
      </c>
      <c r="C22655" s="1" t="s">
        <v>7027</v>
      </c>
      <c r="D22655" s="1" t="s">
        <v>7028</v>
      </c>
    </row>
    <row r="22656">
      <c r="A22656" s="1" t="s">
        <v>34983</v>
      </c>
      <c r="B22656" s="2" t="s">
        <v>34984</v>
      </c>
      <c r="C22656" s="1" t="s">
        <v>7027</v>
      </c>
      <c r="D22656" s="1" t="s">
        <v>7028</v>
      </c>
    </row>
    <row r="22657">
      <c r="A22657" s="1" t="s">
        <v>34985</v>
      </c>
      <c r="B22657" s="2" t="s">
        <v>34986</v>
      </c>
      <c r="C22657" s="1" t="s">
        <v>7027</v>
      </c>
      <c r="D22657" s="1" t="s">
        <v>7028</v>
      </c>
    </row>
    <row r="22658">
      <c r="A22658" s="1" t="s">
        <v>34987</v>
      </c>
      <c r="B22658" s="2" t="s">
        <v>34988</v>
      </c>
      <c r="C22658" s="1" t="s">
        <v>7027</v>
      </c>
      <c r="D22658" s="1" t="s">
        <v>7028</v>
      </c>
    </row>
    <row r="22659">
      <c r="A22659" s="1" t="s">
        <v>34989</v>
      </c>
      <c r="B22659" s="2" t="s">
        <v>34990</v>
      </c>
      <c r="C22659" s="1" t="s">
        <v>7027</v>
      </c>
      <c r="D22659" s="1" t="s">
        <v>7028</v>
      </c>
    </row>
    <row r="22660">
      <c r="A22660" s="1" t="s">
        <v>34991</v>
      </c>
      <c r="B22660" s="2" t="s">
        <v>34992</v>
      </c>
      <c r="C22660" s="1" t="s">
        <v>7027</v>
      </c>
      <c r="D22660" s="1" t="s">
        <v>7028</v>
      </c>
    </row>
    <row r="22661">
      <c r="A22661" s="1" t="s">
        <v>34993</v>
      </c>
      <c r="B22661" s="2" t="s">
        <v>34994</v>
      </c>
      <c r="C22661" s="1" t="s">
        <v>7027</v>
      </c>
      <c r="D22661" s="1" t="s">
        <v>7028</v>
      </c>
    </row>
    <row r="22662">
      <c r="A22662" s="1" t="s">
        <v>7031</v>
      </c>
      <c r="B22662" s="2" t="s">
        <v>6607</v>
      </c>
      <c r="C22662" s="1" t="s">
        <v>7033</v>
      </c>
      <c r="D22662" s="1" t="s">
        <v>7034</v>
      </c>
    </row>
    <row r="22663">
      <c r="A22663" s="1" t="s">
        <v>34995</v>
      </c>
      <c r="B22663" s="2" t="s">
        <v>34996</v>
      </c>
      <c r="C22663" s="1" t="s">
        <v>7033</v>
      </c>
      <c r="D22663" s="1" t="s">
        <v>7034</v>
      </c>
    </row>
    <row r="22664">
      <c r="A22664" s="1" t="s">
        <v>34997</v>
      </c>
      <c r="B22664" s="2" t="s">
        <v>34998</v>
      </c>
      <c r="C22664" s="1" t="s">
        <v>7033</v>
      </c>
      <c r="D22664" s="1" t="s">
        <v>7034</v>
      </c>
    </row>
    <row r="22665">
      <c r="A22665" s="1" t="s">
        <v>34999</v>
      </c>
      <c r="B22665" s="2" t="s">
        <v>35000</v>
      </c>
      <c r="C22665" s="1" t="s">
        <v>7033</v>
      </c>
      <c r="D22665" s="1" t="s">
        <v>7034</v>
      </c>
    </row>
    <row r="22666">
      <c r="A22666" s="1" t="s">
        <v>35001</v>
      </c>
      <c r="B22666" s="2" t="s">
        <v>35002</v>
      </c>
      <c r="C22666" s="1" t="s">
        <v>7033</v>
      </c>
      <c r="D22666" s="1" t="s">
        <v>7034</v>
      </c>
    </row>
    <row r="22667">
      <c r="A22667" s="1" t="s">
        <v>35003</v>
      </c>
      <c r="B22667" s="2" t="s">
        <v>35004</v>
      </c>
      <c r="C22667" s="1" t="s">
        <v>7033</v>
      </c>
      <c r="D22667" s="1" t="s">
        <v>7034</v>
      </c>
    </row>
    <row r="22668">
      <c r="A22668" s="1" t="s">
        <v>35005</v>
      </c>
      <c r="B22668" s="2" t="s">
        <v>35006</v>
      </c>
      <c r="C22668" s="1" t="s">
        <v>7033</v>
      </c>
      <c r="D22668" s="1" t="s">
        <v>7034</v>
      </c>
    </row>
    <row r="22669">
      <c r="A22669" s="1" t="s">
        <v>7039</v>
      </c>
      <c r="B22669" s="2" t="s">
        <v>7</v>
      </c>
      <c r="C22669" s="1" t="s">
        <v>7041</v>
      </c>
      <c r="D22669" s="1" t="s">
        <v>7043</v>
      </c>
    </row>
    <row r="22670">
      <c r="A22670" s="1" t="s">
        <v>35007</v>
      </c>
      <c r="B22670" s="2" t="s">
        <v>32702</v>
      </c>
      <c r="C22670" s="1" t="s">
        <v>7041</v>
      </c>
      <c r="D22670" s="1" t="s">
        <v>7043</v>
      </c>
    </row>
    <row r="22671">
      <c r="A22671" s="1" t="s">
        <v>35008</v>
      </c>
      <c r="B22671" s="2" t="s">
        <v>32815</v>
      </c>
      <c r="C22671" s="1" t="s">
        <v>7041</v>
      </c>
      <c r="D22671" s="1" t="s">
        <v>7043</v>
      </c>
    </row>
    <row r="22672">
      <c r="A22672" s="1" t="s">
        <v>35009</v>
      </c>
      <c r="B22672" s="2" t="s">
        <v>32817</v>
      </c>
      <c r="C22672" s="1" t="s">
        <v>7041</v>
      </c>
      <c r="D22672" s="1" t="s">
        <v>7043</v>
      </c>
    </row>
    <row r="22673">
      <c r="A22673" s="1" t="s">
        <v>35010</v>
      </c>
      <c r="B22673" s="2" t="s">
        <v>35011</v>
      </c>
      <c r="C22673" s="1" t="s">
        <v>7041</v>
      </c>
      <c r="D22673" s="1" t="s">
        <v>7043</v>
      </c>
    </row>
    <row r="22674">
      <c r="A22674" s="1" t="s">
        <v>35012</v>
      </c>
      <c r="B22674" s="2" t="s">
        <v>35013</v>
      </c>
      <c r="C22674" s="1" t="s">
        <v>7041</v>
      </c>
      <c r="D22674" s="1" t="s">
        <v>7043</v>
      </c>
    </row>
    <row r="22675">
      <c r="A22675" s="1" t="s">
        <v>35014</v>
      </c>
      <c r="B22675" s="2" t="s">
        <v>32825</v>
      </c>
      <c r="C22675" s="1" t="s">
        <v>7041</v>
      </c>
      <c r="D22675" s="1" t="s">
        <v>7043</v>
      </c>
    </row>
    <row r="22676">
      <c r="A22676" s="1" t="s">
        <v>35015</v>
      </c>
      <c r="B22676" s="2" t="s">
        <v>32827</v>
      </c>
      <c r="C22676" s="1" t="s">
        <v>7041</v>
      </c>
      <c r="D22676" s="1" t="s">
        <v>7043</v>
      </c>
    </row>
    <row r="22677">
      <c r="A22677" s="1" t="s">
        <v>35016</v>
      </c>
      <c r="B22677" s="2" t="s">
        <v>35017</v>
      </c>
      <c r="C22677" s="1" t="s">
        <v>7041</v>
      </c>
      <c r="D22677" s="1" t="s">
        <v>7043</v>
      </c>
    </row>
    <row r="22678">
      <c r="A22678" s="1" t="s">
        <v>35018</v>
      </c>
      <c r="B22678" s="2" t="s">
        <v>35019</v>
      </c>
      <c r="C22678" s="1" t="s">
        <v>7041</v>
      </c>
      <c r="D22678" s="1" t="s">
        <v>7043</v>
      </c>
    </row>
    <row r="22679">
      <c r="A22679" s="1" t="s">
        <v>35020</v>
      </c>
      <c r="B22679" s="2" t="s">
        <v>32835</v>
      </c>
      <c r="C22679" s="1" t="s">
        <v>7041</v>
      </c>
      <c r="D22679" s="1" t="s">
        <v>7043</v>
      </c>
    </row>
    <row r="22680">
      <c r="A22680" s="1" t="s">
        <v>35021</v>
      </c>
      <c r="B22680" s="2" t="s">
        <v>35022</v>
      </c>
      <c r="C22680" s="1" t="s">
        <v>7041</v>
      </c>
      <c r="D22680" s="1" t="s">
        <v>7043</v>
      </c>
    </row>
    <row r="22681">
      <c r="A22681" s="1" t="s">
        <v>35023</v>
      </c>
      <c r="B22681" s="2" t="s">
        <v>35024</v>
      </c>
      <c r="C22681" s="1" t="s">
        <v>7041</v>
      </c>
      <c r="D22681" s="1" t="s">
        <v>7043</v>
      </c>
    </row>
    <row r="22682">
      <c r="A22682" s="1" t="s">
        <v>35025</v>
      </c>
      <c r="B22682" s="2" t="s">
        <v>35026</v>
      </c>
      <c r="C22682" s="1" t="s">
        <v>7041</v>
      </c>
      <c r="D22682" s="1" t="s">
        <v>7043</v>
      </c>
    </row>
    <row r="22683">
      <c r="A22683" s="1" t="s">
        <v>35027</v>
      </c>
      <c r="B22683" s="2" t="s">
        <v>32722</v>
      </c>
      <c r="C22683" s="1" t="s">
        <v>7041</v>
      </c>
      <c r="D22683" s="1" t="s">
        <v>7043</v>
      </c>
    </row>
    <row r="22684">
      <c r="A22684" s="1" t="s">
        <v>35028</v>
      </c>
      <c r="B22684" s="2" t="s">
        <v>32862</v>
      </c>
      <c r="C22684" s="1" t="s">
        <v>7041</v>
      </c>
      <c r="D22684" s="1" t="s">
        <v>7043</v>
      </c>
    </row>
    <row r="22685">
      <c r="A22685" s="1" t="s">
        <v>35029</v>
      </c>
      <c r="B22685" s="2" t="s">
        <v>32864</v>
      </c>
      <c r="C22685" s="1" t="s">
        <v>7041</v>
      </c>
      <c r="D22685" s="1" t="s">
        <v>7043</v>
      </c>
    </row>
    <row r="22686">
      <c r="A22686" s="1" t="s">
        <v>35030</v>
      </c>
      <c r="B22686" s="2" t="s">
        <v>35031</v>
      </c>
      <c r="C22686" s="1" t="s">
        <v>7041</v>
      </c>
      <c r="D22686" s="1" t="s">
        <v>7043</v>
      </c>
    </row>
    <row r="22687">
      <c r="A22687" s="1" t="s">
        <v>35032</v>
      </c>
      <c r="B22687" s="2" t="s">
        <v>35033</v>
      </c>
      <c r="C22687" s="1" t="s">
        <v>7041</v>
      </c>
      <c r="D22687" s="1" t="s">
        <v>7043</v>
      </c>
    </row>
    <row r="22688">
      <c r="A22688" s="1" t="s">
        <v>35034</v>
      </c>
      <c r="B22688" s="2" t="s">
        <v>32872</v>
      </c>
      <c r="C22688" s="1" t="s">
        <v>7041</v>
      </c>
      <c r="D22688" s="1" t="s">
        <v>7043</v>
      </c>
    </row>
    <row r="22689">
      <c r="A22689" s="1" t="s">
        <v>35035</v>
      </c>
      <c r="B22689" s="2" t="s">
        <v>32874</v>
      </c>
      <c r="C22689" s="1" t="s">
        <v>7041</v>
      </c>
      <c r="D22689" s="1" t="s">
        <v>7043</v>
      </c>
    </row>
    <row r="22690">
      <c r="A22690" s="1" t="s">
        <v>35036</v>
      </c>
      <c r="B22690" s="2" t="s">
        <v>35037</v>
      </c>
      <c r="C22690" s="1" t="s">
        <v>7041</v>
      </c>
      <c r="D22690" s="1" t="s">
        <v>7043</v>
      </c>
    </row>
    <row r="22691">
      <c r="A22691" s="1" t="s">
        <v>35038</v>
      </c>
      <c r="B22691" s="2" t="s">
        <v>35039</v>
      </c>
      <c r="C22691" s="1" t="s">
        <v>7041</v>
      </c>
      <c r="D22691" s="1" t="s">
        <v>7043</v>
      </c>
    </row>
    <row r="22692">
      <c r="A22692" s="1" t="s">
        <v>35040</v>
      </c>
      <c r="B22692" s="2" t="s">
        <v>32882</v>
      </c>
      <c r="C22692" s="1" t="s">
        <v>7041</v>
      </c>
      <c r="D22692" s="1" t="s">
        <v>7043</v>
      </c>
    </row>
    <row r="22693">
      <c r="A22693" s="1" t="s">
        <v>35041</v>
      </c>
      <c r="B22693" s="2" t="s">
        <v>35042</v>
      </c>
      <c r="C22693" s="1" t="s">
        <v>7041</v>
      </c>
      <c r="D22693" s="1" t="s">
        <v>7043</v>
      </c>
    </row>
    <row r="22694">
      <c r="A22694" s="1" t="s">
        <v>35043</v>
      </c>
      <c r="B22694" s="2" t="s">
        <v>35044</v>
      </c>
      <c r="C22694" s="1" t="s">
        <v>7041</v>
      </c>
      <c r="D22694" s="1" t="s">
        <v>7043</v>
      </c>
    </row>
    <row r="22695">
      <c r="A22695" s="1" t="s">
        <v>35045</v>
      </c>
      <c r="B22695" s="2" t="s">
        <v>35046</v>
      </c>
      <c r="C22695" s="1" t="s">
        <v>7041</v>
      </c>
      <c r="D22695" s="1" t="s">
        <v>7043</v>
      </c>
    </row>
    <row r="22696">
      <c r="A22696" s="1" t="s">
        <v>7048</v>
      </c>
      <c r="B22696" s="2" t="s">
        <v>7</v>
      </c>
      <c r="C22696" s="1" t="s">
        <v>7051</v>
      </c>
      <c r="D22696" s="1" t="s">
        <v>7052</v>
      </c>
    </row>
    <row r="22697">
      <c r="A22697" s="1" t="s">
        <v>35047</v>
      </c>
      <c r="B22697" s="2" t="s">
        <v>32702</v>
      </c>
      <c r="C22697" s="1" t="s">
        <v>7051</v>
      </c>
      <c r="D22697" s="1" t="s">
        <v>7052</v>
      </c>
    </row>
    <row r="22698">
      <c r="A22698" s="1" t="s">
        <v>35048</v>
      </c>
      <c r="B22698" s="2" t="s">
        <v>35049</v>
      </c>
      <c r="C22698" s="1" t="s">
        <v>7051</v>
      </c>
      <c r="D22698" s="1" t="s">
        <v>7052</v>
      </c>
    </row>
    <row r="22699">
      <c r="A22699" s="1" t="s">
        <v>35050</v>
      </c>
      <c r="B22699" s="2" t="s">
        <v>35051</v>
      </c>
      <c r="C22699" s="1" t="s">
        <v>7051</v>
      </c>
      <c r="D22699" s="1" t="s">
        <v>7052</v>
      </c>
    </row>
    <row r="22700">
      <c r="A22700" s="1" t="s">
        <v>35052</v>
      </c>
      <c r="B22700" s="2" t="s">
        <v>35053</v>
      </c>
      <c r="C22700" s="1" t="s">
        <v>7051</v>
      </c>
      <c r="D22700" s="1" t="s">
        <v>7052</v>
      </c>
    </row>
    <row r="22701">
      <c r="A22701" s="1" t="s">
        <v>35054</v>
      </c>
      <c r="B22701" s="2" t="s">
        <v>35055</v>
      </c>
      <c r="C22701" s="1" t="s">
        <v>7051</v>
      </c>
      <c r="D22701" s="1" t="s">
        <v>7052</v>
      </c>
    </row>
    <row r="22702">
      <c r="A22702" s="1" t="s">
        <v>35056</v>
      </c>
      <c r="B22702" s="2" t="s">
        <v>35057</v>
      </c>
      <c r="C22702" s="1" t="s">
        <v>7051</v>
      </c>
      <c r="D22702" s="1" t="s">
        <v>7052</v>
      </c>
    </row>
    <row r="22703">
      <c r="A22703" s="1" t="s">
        <v>35058</v>
      </c>
      <c r="B22703" s="2" t="s">
        <v>35059</v>
      </c>
      <c r="C22703" s="1" t="s">
        <v>7051</v>
      </c>
      <c r="D22703" s="1" t="s">
        <v>7052</v>
      </c>
    </row>
    <row r="22704">
      <c r="A22704" s="1" t="s">
        <v>35060</v>
      </c>
      <c r="B22704" s="2" t="s">
        <v>35061</v>
      </c>
      <c r="C22704" s="1" t="s">
        <v>7051</v>
      </c>
      <c r="D22704" s="1" t="s">
        <v>7052</v>
      </c>
    </row>
    <row r="22705">
      <c r="A22705" s="1" t="s">
        <v>35062</v>
      </c>
      <c r="B22705" s="2" t="s">
        <v>35063</v>
      </c>
      <c r="C22705" s="1" t="s">
        <v>7051</v>
      </c>
      <c r="D22705" s="1" t="s">
        <v>7052</v>
      </c>
    </row>
    <row r="22706">
      <c r="A22706" s="1" t="s">
        <v>35064</v>
      </c>
      <c r="B22706" s="2" t="s">
        <v>35065</v>
      </c>
      <c r="C22706" s="1" t="s">
        <v>7051</v>
      </c>
      <c r="D22706" s="1" t="s">
        <v>7052</v>
      </c>
    </row>
    <row r="22707">
      <c r="A22707" s="1" t="s">
        <v>35066</v>
      </c>
      <c r="B22707" s="2" t="s">
        <v>35067</v>
      </c>
      <c r="C22707" s="1" t="s">
        <v>7051</v>
      </c>
      <c r="D22707" s="1" t="s">
        <v>7052</v>
      </c>
    </row>
    <row r="22708">
      <c r="A22708" s="1" t="s">
        <v>35068</v>
      </c>
      <c r="B22708" s="2" t="s">
        <v>32722</v>
      </c>
      <c r="C22708" s="1" t="s">
        <v>7051</v>
      </c>
      <c r="D22708" s="1" t="s">
        <v>7052</v>
      </c>
    </row>
    <row r="22709">
      <c r="A22709" s="1" t="s">
        <v>35069</v>
      </c>
      <c r="B22709" s="2" t="s">
        <v>35070</v>
      </c>
      <c r="C22709" s="1" t="s">
        <v>7051</v>
      </c>
      <c r="D22709" s="1" t="s">
        <v>7052</v>
      </c>
    </row>
    <row r="22710">
      <c r="A22710" s="1" t="s">
        <v>35071</v>
      </c>
      <c r="B22710" s="2" t="s">
        <v>35072</v>
      </c>
      <c r="C22710" s="1" t="s">
        <v>7051</v>
      </c>
      <c r="D22710" s="1" t="s">
        <v>7052</v>
      </c>
    </row>
    <row r="22711">
      <c r="A22711" s="1" t="s">
        <v>35073</v>
      </c>
      <c r="B22711" s="2" t="s">
        <v>35074</v>
      </c>
      <c r="C22711" s="1" t="s">
        <v>7051</v>
      </c>
      <c r="D22711" s="1" t="s">
        <v>7052</v>
      </c>
    </row>
    <row r="22712">
      <c r="A22712" s="1" t="s">
        <v>35075</v>
      </c>
      <c r="B22712" s="2" t="s">
        <v>35076</v>
      </c>
      <c r="C22712" s="1" t="s">
        <v>7051</v>
      </c>
      <c r="D22712" s="1" t="s">
        <v>7052</v>
      </c>
    </row>
    <row r="22713">
      <c r="A22713" s="1" t="s">
        <v>35077</v>
      </c>
      <c r="B22713" s="2" t="s">
        <v>35078</v>
      </c>
      <c r="C22713" s="1" t="s">
        <v>7051</v>
      </c>
      <c r="D22713" s="1" t="s">
        <v>7052</v>
      </c>
    </row>
    <row r="22714">
      <c r="A22714" s="1" t="s">
        <v>35079</v>
      </c>
      <c r="B22714" s="2" t="s">
        <v>35080</v>
      </c>
      <c r="C22714" s="1" t="s">
        <v>7051</v>
      </c>
      <c r="D22714" s="1" t="s">
        <v>7052</v>
      </c>
    </row>
    <row r="22715">
      <c r="A22715" s="1" t="s">
        <v>35081</v>
      </c>
      <c r="B22715" s="2" t="s">
        <v>35082</v>
      </c>
      <c r="C22715" s="1" t="s">
        <v>7051</v>
      </c>
      <c r="D22715" s="1" t="s">
        <v>7052</v>
      </c>
    </row>
    <row r="22716">
      <c r="A22716" s="1" t="s">
        <v>35083</v>
      </c>
      <c r="B22716" s="2" t="s">
        <v>35084</v>
      </c>
      <c r="C22716" s="1" t="s">
        <v>7051</v>
      </c>
      <c r="D22716" s="1" t="s">
        <v>7052</v>
      </c>
    </row>
    <row r="22717">
      <c r="A22717" s="1" t="s">
        <v>35085</v>
      </c>
      <c r="B22717" s="2" t="s">
        <v>35086</v>
      </c>
      <c r="C22717" s="1" t="s">
        <v>7051</v>
      </c>
      <c r="D22717" s="1" t="s">
        <v>7052</v>
      </c>
    </row>
    <row r="22718">
      <c r="A22718" s="1" t="s">
        <v>35087</v>
      </c>
      <c r="B22718" s="2" t="s">
        <v>35088</v>
      </c>
      <c r="C22718" s="1" t="s">
        <v>7051</v>
      </c>
      <c r="D22718" s="1" t="s">
        <v>7052</v>
      </c>
    </row>
    <row r="22719">
      <c r="A22719" s="1" t="s">
        <v>7059</v>
      </c>
      <c r="B22719" s="2" t="s">
        <v>7</v>
      </c>
      <c r="C22719" s="1" t="s">
        <v>7066</v>
      </c>
      <c r="D22719" s="1" t="s">
        <v>7067</v>
      </c>
    </row>
    <row r="22720">
      <c r="A22720" s="1" t="s">
        <v>35089</v>
      </c>
      <c r="B22720" s="2" t="s">
        <v>32702</v>
      </c>
      <c r="C22720" s="1" t="s">
        <v>7066</v>
      </c>
      <c r="D22720" s="1" t="s">
        <v>7067</v>
      </c>
    </row>
    <row r="22721">
      <c r="A22721" s="1" t="s">
        <v>35090</v>
      </c>
      <c r="B22721" s="2" t="s">
        <v>35091</v>
      </c>
      <c r="C22721" s="1" t="s">
        <v>7066</v>
      </c>
      <c r="D22721" s="1" t="s">
        <v>7067</v>
      </c>
    </row>
    <row r="22722">
      <c r="A22722" s="1" t="s">
        <v>35092</v>
      </c>
      <c r="B22722" s="2" t="s">
        <v>35093</v>
      </c>
      <c r="C22722" s="1" t="s">
        <v>7066</v>
      </c>
      <c r="D22722" s="1" t="s">
        <v>7067</v>
      </c>
    </row>
    <row r="22723">
      <c r="A22723" s="1" t="s">
        <v>35094</v>
      </c>
      <c r="B22723" s="2" t="s">
        <v>35095</v>
      </c>
      <c r="C22723" s="1" t="s">
        <v>7066</v>
      </c>
      <c r="D22723" s="1" t="s">
        <v>7067</v>
      </c>
    </row>
    <row r="22724">
      <c r="A22724" s="1" t="s">
        <v>35096</v>
      </c>
      <c r="B22724" s="2" t="s">
        <v>35097</v>
      </c>
      <c r="C22724" s="1" t="s">
        <v>7066</v>
      </c>
      <c r="D22724" s="1" t="s">
        <v>7067</v>
      </c>
    </row>
    <row r="22725">
      <c r="A22725" s="1" t="s">
        <v>35098</v>
      </c>
      <c r="B22725" s="2" t="s">
        <v>35099</v>
      </c>
      <c r="C22725" s="1" t="s">
        <v>7066</v>
      </c>
      <c r="D22725" s="1" t="s">
        <v>7067</v>
      </c>
    </row>
    <row r="22726">
      <c r="A22726" s="1" t="s">
        <v>35100</v>
      </c>
      <c r="B22726" s="2" t="s">
        <v>35101</v>
      </c>
      <c r="C22726" s="1" t="s">
        <v>7066</v>
      </c>
      <c r="D22726" s="1" t="s">
        <v>7067</v>
      </c>
    </row>
    <row r="22727">
      <c r="A22727" s="1" t="s">
        <v>35102</v>
      </c>
      <c r="B22727" s="2" t="s">
        <v>35103</v>
      </c>
      <c r="C22727" s="1" t="s">
        <v>7066</v>
      </c>
      <c r="D22727" s="1" t="s">
        <v>7067</v>
      </c>
    </row>
    <row r="22728">
      <c r="A22728" s="1" t="s">
        <v>35104</v>
      </c>
      <c r="B22728" s="2" t="s">
        <v>35105</v>
      </c>
      <c r="C22728" s="1" t="s">
        <v>7066</v>
      </c>
      <c r="D22728" s="1" t="s">
        <v>7067</v>
      </c>
    </row>
    <row r="22729">
      <c r="A22729" s="1" t="s">
        <v>35106</v>
      </c>
      <c r="B22729" s="2" t="s">
        <v>35107</v>
      </c>
      <c r="C22729" s="1" t="s">
        <v>7066</v>
      </c>
      <c r="D22729" s="1" t="s">
        <v>7067</v>
      </c>
    </row>
    <row r="22730">
      <c r="A22730" s="1" t="s">
        <v>35108</v>
      </c>
      <c r="B22730" s="2" t="s">
        <v>32722</v>
      </c>
      <c r="C22730" s="1" t="s">
        <v>7066</v>
      </c>
      <c r="D22730" s="1" t="s">
        <v>7067</v>
      </c>
    </row>
    <row r="22731">
      <c r="A22731" s="1" t="s">
        <v>35109</v>
      </c>
      <c r="B22731" s="2" t="s">
        <v>35110</v>
      </c>
      <c r="C22731" s="1" t="s">
        <v>7066</v>
      </c>
      <c r="D22731" s="1" t="s">
        <v>7067</v>
      </c>
    </row>
    <row r="22732">
      <c r="A22732" s="1" t="s">
        <v>35111</v>
      </c>
      <c r="B22732" s="2" t="s">
        <v>35112</v>
      </c>
      <c r="C22732" s="1" t="s">
        <v>7066</v>
      </c>
      <c r="D22732" s="1" t="s">
        <v>7067</v>
      </c>
    </row>
    <row r="22733">
      <c r="A22733" s="1" t="s">
        <v>35113</v>
      </c>
      <c r="B22733" s="2" t="s">
        <v>35114</v>
      </c>
      <c r="C22733" s="1" t="s">
        <v>7066</v>
      </c>
      <c r="D22733" s="1" t="s">
        <v>7067</v>
      </c>
    </row>
    <row r="22734">
      <c r="A22734" s="1" t="s">
        <v>35115</v>
      </c>
      <c r="B22734" s="2" t="s">
        <v>35116</v>
      </c>
      <c r="C22734" s="1" t="s">
        <v>7066</v>
      </c>
      <c r="D22734" s="1" t="s">
        <v>7067</v>
      </c>
    </row>
    <row r="22735">
      <c r="A22735" s="1" t="s">
        <v>35117</v>
      </c>
      <c r="B22735" s="2" t="s">
        <v>35118</v>
      </c>
      <c r="C22735" s="1" t="s">
        <v>7066</v>
      </c>
      <c r="D22735" s="1" t="s">
        <v>7067</v>
      </c>
    </row>
    <row r="22736">
      <c r="A22736" s="1" t="s">
        <v>35119</v>
      </c>
      <c r="B22736" s="2" t="s">
        <v>35120</v>
      </c>
      <c r="C22736" s="1" t="s">
        <v>7066</v>
      </c>
      <c r="D22736" s="1" t="s">
        <v>7067</v>
      </c>
    </row>
    <row r="22737">
      <c r="A22737" s="1" t="s">
        <v>35121</v>
      </c>
      <c r="B22737" s="2" t="s">
        <v>35122</v>
      </c>
      <c r="C22737" s="1" t="s">
        <v>7066</v>
      </c>
      <c r="D22737" s="1" t="s">
        <v>7067</v>
      </c>
    </row>
    <row r="22738">
      <c r="A22738" s="1" t="s">
        <v>35123</v>
      </c>
      <c r="B22738" s="2" t="s">
        <v>35124</v>
      </c>
      <c r="C22738" s="1" t="s">
        <v>7066</v>
      </c>
      <c r="D22738" s="1" t="s">
        <v>7067</v>
      </c>
    </row>
    <row r="22739">
      <c r="A22739" s="1" t="s">
        <v>35125</v>
      </c>
      <c r="B22739" s="2" t="s">
        <v>35126</v>
      </c>
      <c r="C22739" s="1" t="s">
        <v>7066</v>
      </c>
      <c r="D22739" s="1" t="s">
        <v>7067</v>
      </c>
    </row>
    <row r="22740">
      <c r="A22740" s="1" t="s">
        <v>7073</v>
      </c>
      <c r="B22740" s="2" t="s">
        <v>7</v>
      </c>
      <c r="C22740" s="1" t="s">
        <v>7075</v>
      </c>
      <c r="D22740" s="1" t="s">
        <v>7078</v>
      </c>
    </row>
    <row r="22741">
      <c r="A22741" s="1" t="s">
        <v>35127</v>
      </c>
      <c r="B22741" s="2" t="s">
        <v>32702</v>
      </c>
      <c r="C22741" s="1" t="s">
        <v>7075</v>
      </c>
      <c r="D22741" s="1" t="s">
        <v>7078</v>
      </c>
    </row>
    <row r="22742">
      <c r="A22742" s="1" t="s">
        <v>35128</v>
      </c>
      <c r="B22742" s="2" t="s">
        <v>35129</v>
      </c>
      <c r="C22742" s="1" t="s">
        <v>7075</v>
      </c>
      <c r="D22742" s="1" t="s">
        <v>7078</v>
      </c>
    </row>
    <row r="22743">
      <c r="A22743" s="1" t="s">
        <v>35130</v>
      </c>
      <c r="B22743" s="2" t="s">
        <v>35131</v>
      </c>
      <c r="C22743" s="1" t="s">
        <v>7075</v>
      </c>
      <c r="D22743" s="1" t="s">
        <v>7078</v>
      </c>
    </row>
    <row r="22744">
      <c r="A22744" s="1" t="s">
        <v>35132</v>
      </c>
      <c r="B22744" s="2" t="s">
        <v>35133</v>
      </c>
      <c r="C22744" s="1" t="s">
        <v>7075</v>
      </c>
      <c r="D22744" s="1" t="s">
        <v>7078</v>
      </c>
    </row>
    <row r="22745">
      <c r="A22745" s="1" t="s">
        <v>35134</v>
      </c>
      <c r="B22745" s="2" t="s">
        <v>35135</v>
      </c>
      <c r="C22745" s="1" t="s">
        <v>7075</v>
      </c>
      <c r="D22745" s="1" t="s">
        <v>7078</v>
      </c>
    </row>
    <row r="22746">
      <c r="A22746" s="1" t="s">
        <v>35136</v>
      </c>
      <c r="B22746" s="2" t="s">
        <v>35137</v>
      </c>
      <c r="C22746" s="1" t="s">
        <v>7075</v>
      </c>
      <c r="D22746" s="1" t="s">
        <v>7078</v>
      </c>
    </row>
    <row r="22747">
      <c r="A22747" s="1" t="s">
        <v>35138</v>
      </c>
      <c r="B22747" s="2" t="s">
        <v>35139</v>
      </c>
      <c r="C22747" s="1" t="s">
        <v>7075</v>
      </c>
      <c r="D22747" s="1" t="s">
        <v>7078</v>
      </c>
    </row>
    <row r="22748">
      <c r="A22748" s="1" t="s">
        <v>35140</v>
      </c>
      <c r="B22748" s="2" t="s">
        <v>35141</v>
      </c>
      <c r="C22748" s="1" t="s">
        <v>7075</v>
      </c>
      <c r="D22748" s="1" t="s">
        <v>7078</v>
      </c>
    </row>
    <row r="22749">
      <c r="A22749" s="1" t="s">
        <v>35142</v>
      </c>
      <c r="B22749" s="2" t="s">
        <v>35143</v>
      </c>
      <c r="C22749" s="1" t="s">
        <v>7075</v>
      </c>
      <c r="D22749" s="1" t="s">
        <v>7078</v>
      </c>
    </row>
    <row r="22750">
      <c r="A22750" s="1" t="s">
        <v>35144</v>
      </c>
      <c r="B22750" s="2" t="s">
        <v>35145</v>
      </c>
      <c r="C22750" s="1" t="s">
        <v>7075</v>
      </c>
      <c r="D22750" s="1" t="s">
        <v>7078</v>
      </c>
    </row>
    <row r="22751">
      <c r="A22751" s="1" t="s">
        <v>35146</v>
      </c>
      <c r="B22751" s="2" t="s">
        <v>35147</v>
      </c>
      <c r="C22751" s="1" t="s">
        <v>7075</v>
      </c>
      <c r="D22751" s="1" t="s">
        <v>7078</v>
      </c>
    </row>
    <row r="22752">
      <c r="A22752" s="1" t="s">
        <v>35148</v>
      </c>
      <c r="B22752" s="2" t="s">
        <v>35149</v>
      </c>
      <c r="C22752" s="1" t="s">
        <v>7075</v>
      </c>
      <c r="D22752" s="1" t="s">
        <v>7078</v>
      </c>
    </row>
    <row r="22753">
      <c r="A22753" s="1" t="s">
        <v>35150</v>
      </c>
      <c r="B22753" s="2" t="s">
        <v>32722</v>
      </c>
      <c r="C22753" s="1" t="s">
        <v>7075</v>
      </c>
      <c r="D22753" s="1" t="s">
        <v>7078</v>
      </c>
    </row>
    <row r="22754">
      <c r="A22754" s="1" t="s">
        <v>35151</v>
      </c>
      <c r="B22754" s="2" t="s">
        <v>35152</v>
      </c>
      <c r="C22754" s="1" t="s">
        <v>7075</v>
      </c>
      <c r="D22754" s="1" t="s">
        <v>7078</v>
      </c>
    </row>
    <row r="22755">
      <c r="A22755" s="1" t="s">
        <v>35153</v>
      </c>
      <c r="B22755" s="2" t="s">
        <v>35154</v>
      </c>
      <c r="C22755" s="1" t="s">
        <v>7075</v>
      </c>
      <c r="D22755" s="1" t="s">
        <v>7078</v>
      </c>
    </row>
    <row r="22756">
      <c r="A22756" s="1" t="s">
        <v>35155</v>
      </c>
      <c r="B22756" s="2" t="s">
        <v>35156</v>
      </c>
      <c r="C22756" s="1" t="s">
        <v>7075</v>
      </c>
      <c r="D22756" s="1" t="s">
        <v>7078</v>
      </c>
    </row>
    <row r="22757">
      <c r="A22757" s="1" t="s">
        <v>35157</v>
      </c>
      <c r="B22757" s="2" t="s">
        <v>35158</v>
      </c>
      <c r="C22757" s="1" t="s">
        <v>7075</v>
      </c>
      <c r="D22757" s="1" t="s">
        <v>7078</v>
      </c>
    </row>
    <row r="22758">
      <c r="A22758" s="1" t="s">
        <v>35159</v>
      </c>
      <c r="B22758" s="2" t="s">
        <v>35160</v>
      </c>
      <c r="C22758" s="1" t="s">
        <v>7075</v>
      </c>
      <c r="D22758" s="1" t="s">
        <v>7078</v>
      </c>
    </row>
    <row r="22759">
      <c r="A22759" s="1" t="s">
        <v>35161</v>
      </c>
      <c r="B22759" s="2" t="s">
        <v>35162</v>
      </c>
      <c r="C22759" s="1" t="s">
        <v>7075</v>
      </c>
      <c r="D22759" s="1" t="s">
        <v>7078</v>
      </c>
    </row>
    <row r="22760">
      <c r="A22760" s="1" t="s">
        <v>35163</v>
      </c>
      <c r="B22760" s="2" t="s">
        <v>35164</v>
      </c>
      <c r="C22760" s="1" t="s">
        <v>7075</v>
      </c>
      <c r="D22760" s="1" t="s">
        <v>7078</v>
      </c>
    </row>
    <row r="22761">
      <c r="A22761" s="1" t="s">
        <v>35165</v>
      </c>
      <c r="B22761" s="2" t="s">
        <v>35166</v>
      </c>
      <c r="C22761" s="1" t="s">
        <v>7075</v>
      </c>
      <c r="D22761" s="1" t="s">
        <v>7078</v>
      </c>
    </row>
    <row r="22762">
      <c r="A22762" s="1" t="s">
        <v>35167</v>
      </c>
      <c r="B22762" s="2" t="s">
        <v>35168</v>
      </c>
      <c r="C22762" s="1" t="s">
        <v>7075</v>
      </c>
      <c r="D22762" s="1" t="s">
        <v>7078</v>
      </c>
    </row>
    <row r="22763">
      <c r="A22763" s="1" t="s">
        <v>35169</v>
      </c>
      <c r="B22763" s="2" t="s">
        <v>35170</v>
      </c>
      <c r="C22763" s="1" t="s">
        <v>7075</v>
      </c>
      <c r="D22763" s="1" t="s">
        <v>7078</v>
      </c>
    </row>
    <row r="22764">
      <c r="A22764" s="1" t="s">
        <v>35171</v>
      </c>
      <c r="B22764" s="2" t="s">
        <v>35172</v>
      </c>
      <c r="C22764" s="1" t="s">
        <v>7075</v>
      </c>
      <c r="D22764" s="1" t="s">
        <v>7078</v>
      </c>
    </row>
    <row r="22765">
      <c r="A22765" s="1" t="s">
        <v>7083</v>
      </c>
      <c r="B22765" s="2" t="s">
        <v>4181</v>
      </c>
      <c r="C22765" s="1" t="s">
        <v>7086</v>
      </c>
      <c r="D22765" s="1" t="s">
        <v>7087</v>
      </c>
    </row>
    <row r="22766">
      <c r="A22766" s="1" t="s">
        <v>35173</v>
      </c>
      <c r="B22766" s="2" t="s">
        <v>35174</v>
      </c>
      <c r="C22766" s="1" t="s">
        <v>7086</v>
      </c>
      <c r="D22766" s="1" t="s">
        <v>7087</v>
      </c>
    </row>
    <row r="22767">
      <c r="A22767" s="1" t="s">
        <v>35175</v>
      </c>
      <c r="B22767" s="2" t="s">
        <v>35176</v>
      </c>
      <c r="C22767" s="1" t="s">
        <v>7086</v>
      </c>
      <c r="D22767" s="1" t="s">
        <v>7087</v>
      </c>
    </row>
    <row r="22768">
      <c r="A22768" s="1" t="s">
        <v>7092</v>
      </c>
      <c r="B22768" s="2" t="s">
        <v>4194</v>
      </c>
      <c r="C22768" s="1" t="s">
        <v>7095</v>
      </c>
      <c r="D22768" s="1" t="s">
        <v>7098</v>
      </c>
    </row>
    <row r="22769">
      <c r="A22769" s="1" t="s">
        <v>35177</v>
      </c>
      <c r="B22769" s="2" t="s">
        <v>35178</v>
      </c>
      <c r="C22769" s="1" t="s">
        <v>7095</v>
      </c>
      <c r="D22769" s="1" t="s">
        <v>7098</v>
      </c>
    </row>
    <row r="22770">
      <c r="A22770" s="1" t="s">
        <v>35179</v>
      </c>
      <c r="B22770" s="2" t="s">
        <v>35180</v>
      </c>
      <c r="C22770" s="1" t="s">
        <v>7095</v>
      </c>
      <c r="D22770" s="1" t="s">
        <v>7098</v>
      </c>
    </row>
    <row r="22771">
      <c r="A22771" s="1" t="s">
        <v>35181</v>
      </c>
      <c r="B22771" s="2" t="s">
        <v>35182</v>
      </c>
      <c r="C22771" s="1" t="s">
        <v>7095</v>
      </c>
      <c r="D22771" s="1" t="s">
        <v>7098</v>
      </c>
    </row>
    <row r="22772">
      <c r="A22772" s="1" t="s">
        <v>35183</v>
      </c>
      <c r="B22772" s="2" t="s">
        <v>35184</v>
      </c>
      <c r="C22772" s="1" t="s">
        <v>7095</v>
      </c>
      <c r="D22772" s="1" t="s">
        <v>7098</v>
      </c>
    </row>
    <row r="22773">
      <c r="A22773" s="1" t="s">
        <v>7107</v>
      </c>
      <c r="B22773" s="2" t="s">
        <v>7</v>
      </c>
      <c r="C22773" s="1" t="s">
        <v>7110</v>
      </c>
      <c r="D22773" s="1" t="s">
        <v>7111</v>
      </c>
    </row>
    <row r="22774">
      <c r="A22774" s="1" t="s">
        <v>35185</v>
      </c>
      <c r="B22774" s="2" t="s">
        <v>35186</v>
      </c>
      <c r="C22774" s="1" t="s">
        <v>7110</v>
      </c>
      <c r="D22774" s="1" t="s">
        <v>7111</v>
      </c>
    </row>
    <row r="22775">
      <c r="A22775" s="1" t="s">
        <v>35187</v>
      </c>
      <c r="B22775" s="2" t="s">
        <v>35188</v>
      </c>
      <c r="C22775" s="1" t="s">
        <v>7110</v>
      </c>
      <c r="D22775" s="1" t="s">
        <v>7111</v>
      </c>
    </row>
    <row r="22776">
      <c r="A22776" s="1" t="s">
        <v>35189</v>
      </c>
      <c r="B22776" s="2" t="s">
        <v>35190</v>
      </c>
      <c r="C22776" s="1" t="s">
        <v>7110</v>
      </c>
      <c r="D22776" s="1" t="s">
        <v>7111</v>
      </c>
    </row>
    <row r="22777">
      <c r="A22777" s="1" t="s">
        <v>35191</v>
      </c>
      <c r="B22777" s="2" t="s">
        <v>35192</v>
      </c>
      <c r="C22777" s="1" t="s">
        <v>7110</v>
      </c>
      <c r="D22777" s="1" t="s">
        <v>7111</v>
      </c>
    </row>
    <row r="22778">
      <c r="A22778" s="1" t="s">
        <v>35193</v>
      </c>
      <c r="B22778" s="2" t="s">
        <v>35194</v>
      </c>
      <c r="C22778" s="1" t="s">
        <v>7110</v>
      </c>
      <c r="D22778" s="1" t="s">
        <v>7111</v>
      </c>
    </row>
    <row r="22779">
      <c r="A22779" s="1" t="s">
        <v>35195</v>
      </c>
      <c r="B22779" s="2" t="s">
        <v>35196</v>
      </c>
      <c r="C22779" s="1" t="s">
        <v>7110</v>
      </c>
      <c r="D22779" s="1" t="s">
        <v>7111</v>
      </c>
    </row>
    <row r="22780">
      <c r="A22780" s="1" t="s">
        <v>35197</v>
      </c>
      <c r="B22780" s="2" t="s">
        <v>35198</v>
      </c>
      <c r="C22780" s="1" t="s">
        <v>7110</v>
      </c>
      <c r="D22780" s="1" t="s">
        <v>7111</v>
      </c>
    </row>
    <row r="22781">
      <c r="A22781" s="1" t="s">
        <v>35199</v>
      </c>
      <c r="B22781" s="2" t="s">
        <v>35200</v>
      </c>
      <c r="C22781" s="1" t="s">
        <v>7110</v>
      </c>
      <c r="D22781" s="1" t="s">
        <v>7111</v>
      </c>
    </row>
    <row r="22782">
      <c r="A22782" s="1" t="s">
        <v>35201</v>
      </c>
      <c r="B22782" s="2" t="s">
        <v>35202</v>
      </c>
      <c r="C22782" s="1" t="s">
        <v>7110</v>
      </c>
      <c r="D22782" s="1" t="s">
        <v>7111</v>
      </c>
    </row>
    <row r="22783">
      <c r="A22783" s="1" t="s">
        <v>35203</v>
      </c>
      <c r="B22783" s="2" t="s">
        <v>35204</v>
      </c>
      <c r="C22783" s="1" t="s">
        <v>7110</v>
      </c>
      <c r="D22783" s="1" t="s">
        <v>7111</v>
      </c>
    </row>
    <row r="22784">
      <c r="A22784" s="1" t="s">
        <v>35205</v>
      </c>
      <c r="B22784" s="2" t="s">
        <v>35206</v>
      </c>
      <c r="C22784" s="1" t="s">
        <v>7110</v>
      </c>
      <c r="D22784" s="1" t="s">
        <v>7111</v>
      </c>
    </row>
    <row r="22785">
      <c r="A22785" s="1" t="s">
        <v>35207</v>
      </c>
      <c r="B22785" s="2" t="s">
        <v>35208</v>
      </c>
      <c r="C22785" s="1" t="s">
        <v>7110</v>
      </c>
      <c r="D22785" s="1" t="s">
        <v>7111</v>
      </c>
    </row>
    <row r="22786">
      <c r="A22786" s="1" t="s">
        <v>35209</v>
      </c>
      <c r="B22786" s="2" t="s">
        <v>35210</v>
      </c>
      <c r="C22786" s="1" t="s">
        <v>7110</v>
      </c>
      <c r="D22786" s="1" t="s">
        <v>7111</v>
      </c>
    </row>
    <row r="22787">
      <c r="A22787" s="1" t="s">
        <v>35211</v>
      </c>
      <c r="B22787" s="2" t="s">
        <v>35212</v>
      </c>
      <c r="C22787" s="1" t="s">
        <v>7110</v>
      </c>
      <c r="D22787" s="1" t="s">
        <v>7111</v>
      </c>
    </row>
    <row r="22788">
      <c r="A22788" s="1" t="s">
        <v>35213</v>
      </c>
      <c r="B22788" s="2" t="s">
        <v>35214</v>
      </c>
      <c r="C22788" s="1" t="s">
        <v>7110</v>
      </c>
      <c r="D22788" s="1" t="s">
        <v>7111</v>
      </c>
    </row>
    <row r="22789">
      <c r="A22789" s="1" t="s">
        <v>35215</v>
      </c>
      <c r="B22789" s="2" t="s">
        <v>35216</v>
      </c>
      <c r="C22789" s="1" t="s">
        <v>7110</v>
      </c>
      <c r="D22789" s="1" t="s">
        <v>7111</v>
      </c>
    </row>
    <row r="22790">
      <c r="A22790" s="1" t="s">
        <v>35217</v>
      </c>
      <c r="B22790" s="2" t="s">
        <v>35218</v>
      </c>
      <c r="C22790" s="1" t="s">
        <v>7110</v>
      </c>
      <c r="D22790" s="1" t="s">
        <v>7111</v>
      </c>
    </row>
    <row r="22791">
      <c r="A22791" s="1" t="s">
        <v>35219</v>
      </c>
      <c r="B22791" s="2" t="s">
        <v>35220</v>
      </c>
      <c r="C22791" s="1" t="s">
        <v>7110</v>
      </c>
      <c r="D22791" s="1" t="s">
        <v>7111</v>
      </c>
    </row>
    <row r="22792">
      <c r="A22792" s="1" t="s">
        <v>35221</v>
      </c>
      <c r="B22792" s="2" t="s">
        <v>35222</v>
      </c>
      <c r="C22792" s="1" t="s">
        <v>7110</v>
      </c>
      <c r="D22792" s="1" t="s">
        <v>7111</v>
      </c>
    </row>
    <row r="22793">
      <c r="A22793" s="1" t="s">
        <v>35223</v>
      </c>
      <c r="B22793" s="2" t="s">
        <v>35224</v>
      </c>
      <c r="C22793" s="1" t="s">
        <v>7110</v>
      </c>
      <c r="D22793" s="1" t="s">
        <v>7111</v>
      </c>
    </row>
    <row r="22794">
      <c r="A22794" s="1" t="s">
        <v>35225</v>
      </c>
      <c r="B22794" s="2" t="s">
        <v>35226</v>
      </c>
      <c r="C22794" s="1" t="s">
        <v>7110</v>
      </c>
      <c r="D22794" s="1" t="s">
        <v>7111</v>
      </c>
    </row>
    <row r="22795">
      <c r="A22795" s="1" t="s">
        <v>35227</v>
      </c>
      <c r="B22795" s="2" t="s">
        <v>35228</v>
      </c>
      <c r="C22795" s="1" t="s">
        <v>7110</v>
      </c>
      <c r="D22795" s="1" t="s">
        <v>7111</v>
      </c>
    </row>
    <row r="22796">
      <c r="A22796" s="1" t="s">
        <v>35229</v>
      </c>
      <c r="B22796" s="2" t="s">
        <v>35230</v>
      </c>
      <c r="C22796" s="1" t="s">
        <v>7110</v>
      </c>
      <c r="D22796" s="1" t="s">
        <v>7111</v>
      </c>
    </row>
    <row r="22797">
      <c r="A22797" s="1" t="s">
        <v>35231</v>
      </c>
      <c r="B22797" s="2" t="s">
        <v>35232</v>
      </c>
      <c r="C22797" s="1" t="s">
        <v>7110</v>
      </c>
      <c r="D22797" s="1" t="s">
        <v>7111</v>
      </c>
    </row>
    <row r="22798">
      <c r="A22798" s="1" t="s">
        <v>35233</v>
      </c>
      <c r="B22798" s="2" t="s">
        <v>35234</v>
      </c>
      <c r="C22798" s="1" t="s">
        <v>7110</v>
      </c>
      <c r="D22798" s="1" t="s">
        <v>7111</v>
      </c>
    </row>
    <row r="22799">
      <c r="A22799" s="1" t="s">
        <v>35235</v>
      </c>
      <c r="B22799" s="2" t="s">
        <v>35236</v>
      </c>
      <c r="C22799" s="1" t="s">
        <v>7110</v>
      </c>
      <c r="D22799" s="1" t="s">
        <v>7111</v>
      </c>
    </row>
    <row r="22800">
      <c r="A22800" s="1" t="s">
        <v>35237</v>
      </c>
      <c r="B22800" s="2" t="s">
        <v>35238</v>
      </c>
      <c r="C22800" s="1" t="s">
        <v>7110</v>
      </c>
      <c r="D22800" s="1" t="s">
        <v>7111</v>
      </c>
    </row>
    <row r="22801">
      <c r="A22801" s="1" t="s">
        <v>35239</v>
      </c>
      <c r="B22801" s="2" t="s">
        <v>35240</v>
      </c>
      <c r="C22801" s="1" t="s">
        <v>7110</v>
      </c>
      <c r="D22801" s="1" t="s">
        <v>7111</v>
      </c>
    </row>
    <row r="22802">
      <c r="A22802" s="1" t="s">
        <v>35241</v>
      </c>
      <c r="B22802" s="2" t="s">
        <v>35242</v>
      </c>
      <c r="C22802" s="1" t="s">
        <v>7110</v>
      </c>
      <c r="D22802" s="1" t="s">
        <v>7111</v>
      </c>
    </row>
    <row r="22803">
      <c r="A22803" s="1" t="s">
        <v>35243</v>
      </c>
      <c r="B22803" s="2" t="s">
        <v>35244</v>
      </c>
      <c r="C22803" s="1" t="s">
        <v>7110</v>
      </c>
      <c r="D22803" s="1" t="s">
        <v>7111</v>
      </c>
    </row>
    <row r="22804">
      <c r="A22804" s="1" t="s">
        <v>35245</v>
      </c>
      <c r="B22804" s="2" t="s">
        <v>35246</v>
      </c>
      <c r="C22804" s="1" t="s">
        <v>7110</v>
      </c>
      <c r="D22804" s="1" t="s">
        <v>7111</v>
      </c>
    </row>
    <row r="22805">
      <c r="A22805" s="1" t="s">
        <v>35247</v>
      </c>
      <c r="B22805" s="2" t="s">
        <v>35248</v>
      </c>
      <c r="C22805" s="1" t="s">
        <v>7110</v>
      </c>
      <c r="D22805" s="1" t="s">
        <v>7111</v>
      </c>
    </row>
    <row r="22806">
      <c r="A22806" s="1" t="s">
        <v>35249</v>
      </c>
      <c r="B22806" s="2" t="s">
        <v>35250</v>
      </c>
      <c r="C22806" s="1" t="s">
        <v>7110</v>
      </c>
      <c r="D22806" s="1" t="s">
        <v>7111</v>
      </c>
    </row>
    <row r="22807">
      <c r="A22807" s="1" t="s">
        <v>35251</v>
      </c>
      <c r="B22807" s="2" t="s">
        <v>35252</v>
      </c>
      <c r="C22807" s="1" t="s">
        <v>7110</v>
      </c>
      <c r="D22807" s="1" t="s">
        <v>7111</v>
      </c>
    </row>
    <row r="22808">
      <c r="A22808" s="1" t="s">
        <v>35253</v>
      </c>
      <c r="B22808" s="2" t="s">
        <v>35254</v>
      </c>
      <c r="C22808" s="1" t="s">
        <v>7110</v>
      </c>
      <c r="D22808" s="1" t="s">
        <v>7111</v>
      </c>
    </row>
    <row r="22809">
      <c r="A22809" s="1" t="s">
        <v>35255</v>
      </c>
      <c r="B22809" s="2" t="s">
        <v>35256</v>
      </c>
      <c r="C22809" s="1" t="s">
        <v>7110</v>
      </c>
      <c r="D22809" s="1" t="s">
        <v>7111</v>
      </c>
    </row>
    <row r="22810">
      <c r="A22810" s="1" t="s">
        <v>35257</v>
      </c>
      <c r="B22810" s="2" t="s">
        <v>35258</v>
      </c>
      <c r="C22810" s="1" t="s">
        <v>7110</v>
      </c>
      <c r="D22810" s="1" t="s">
        <v>7111</v>
      </c>
    </row>
    <row r="22811">
      <c r="A22811" s="1" t="s">
        <v>35259</v>
      </c>
      <c r="B22811" s="2" t="s">
        <v>35260</v>
      </c>
      <c r="C22811" s="1" t="s">
        <v>7110</v>
      </c>
      <c r="D22811" s="1" t="s">
        <v>7111</v>
      </c>
    </row>
    <row r="22812">
      <c r="A22812" s="1" t="s">
        <v>35261</v>
      </c>
      <c r="B22812" s="2" t="s">
        <v>35262</v>
      </c>
      <c r="C22812" s="1" t="s">
        <v>7110</v>
      </c>
      <c r="D22812" s="1" t="s">
        <v>7111</v>
      </c>
    </row>
    <row r="22813">
      <c r="A22813" s="1" t="s">
        <v>35263</v>
      </c>
      <c r="B22813" s="2" t="s">
        <v>35264</v>
      </c>
      <c r="C22813" s="1" t="s">
        <v>7110</v>
      </c>
      <c r="D22813" s="1" t="s">
        <v>7111</v>
      </c>
    </row>
    <row r="22814">
      <c r="A22814" s="1" t="s">
        <v>35265</v>
      </c>
      <c r="B22814" s="2" t="s">
        <v>35266</v>
      </c>
      <c r="C22814" s="1" t="s">
        <v>7110</v>
      </c>
      <c r="D22814" s="1" t="s">
        <v>7111</v>
      </c>
    </row>
    <row r="22815">
      <c r="A22815" s="1" t="s">
        <v>35267</v>
      </c>
      <c r="B22815" s="2" t="s">
        <v>35268</v>
      </c>
      <c r="C22815" s="1" t="s">
        <v>7110</v>
      </c>
      <c r="D22815" s="1" t="s">
        <v>7111</v>
      </c>
    </row>
    <row r="22816">
      <c r="A22816" s="1" t="s">
        <v>35269</v>
      </c>
      <c r="B22816" s="2" t="s">
        <v>35270</v>
      </c>
      <c r="C22816" s="1" t="s">
        <v>7110</v>
      </c>
      <c r="D22816" s="1" t="s">
        <v>7111</v>
      </c>
    </row>
    <row r="22817">
      <c r="A22817" s="1" t="s">
        <v>35271</v>
      </c>
      <c r="B22817" s="2" t="s">
        <v>35272</v>
      </c>
      <c r="C22817" s="1" t="s">
        <v>7110</v>
      </c>
      <c r="D22817" s="1" t="s">
        <v>7111</v>
      </c>
    </row>
    <row r="22818">
      <c r="A22818" s="1" t="s">
        <v>35273</v>
      </c>
      <c r="B22818" s="2" t="s">
        <v>35274</v>
      </c>
      <c r="C22818" s="1" t="s">
        <v>7110</v>
      </c>
      <c r="D22818" s="1" t="s">
        <v>7111</v>
      </c>
    </row>
    <row r="22819">
      <c r="A22819" s="1" t="s">
        <v>35275</v>
      </c>
      <c r="B22819" s="2" t="s">
        <v>35276</v>
      </c>
      <c r="C22819" s="1" t="s">
        <v>7110</v>
      </c>
      <c r="D22819" s="1" t="s">
        <v>7111</v>
      </c>
    </row>
    <row r="22820">
      <c r="A22820" s="1" t="s">
        <v>35277</v>
      </c>
      <c r="B22820" s="2" t="s">
        <v>35278</v>
      </c>
      <c r="C22820" s="1" t="s">
        <v>7110</v>
      </c>
      <c r="D22820" s="1" t="s">
        <v>7111</v>
      </c>
    </row>
    <row r="22821">
      <c r="A22821" s="1" t="s">
        <v>35279</v>
      </c>
      <c r="B22821" s="2" t="s">
        <v>35280</v>
      </c>
      <c r="C22821" s="1" t="s">
        <v>7110</v>
      </c>
      <c r="D22821" s="1" t="s">
        <v>7111</v>
      </c>
    </row>
    <row r="22822">
      <c r="A22822" s="1" t="s">
        <v>35281</v>
      </c>
      <c r="B22822" s="2" t="s">
        <v>35282</v>
      </c>
      <c r="C22822" s="1" t="s">
        <v>7110</v>
      </c>
      <c r="D22822" s="1" t="s">
        <v>7111</v>
      </c>
    </row>
    <row r="22823">
      <c r="A22823" s="1" t="s">
        <v>35283</v>
      </c>
      <c r="B22823" s="2" t="s">
        <v>35284</v>
      </c>
      <c r="C22823" s="1" t="s">
        <v>7110</v>
      </c>
      <c r="D22823" s="1" t="s">
        <v>7111</v>
      </c>
    </row>
    <row r="22824">
      <c r="A22824" s="1" t="s">
        <v>35285</v>
      </c>
      <c r="B22824" s="2" t="s">
        <v>35286</v>
      </c>
      <c r="C22824" s="1" t="s">
        <v>7110</v>
      </c>
      <c r="D22824" s="1" t="s">
        <v>7111</v>
      </c>
    </row>
    <row r="22825">
      <c r="A22825" s="1" t="s">
        <v>35287</v>
      </c>
      <c r="B22825" s="2" t="s">
        <v>35288</v>
      </c>
      <c r="C22825" s="1" t="s">
        <v>7110</v>
      </c>
      <c r="D22825" s="1" t="s">
        <v>7111</v>
      </c>
    </row>
    <row r="22826">
      <c r="A22826" s="1" t="s">
        <v>35289</v>
      </c>
      <c r="B22826" s="2" t="s">
        <v>35290</v>
      </c>
      <c r="C22826" s="1" t="s">
        <v>7110</v>
      </c>
      <c r="D22826" s="1" t="s">
        <v>7111</v>
      </c>
    </row>
    <row r="22827">
      <c r="A22827" s="1" t="s">
        <v>35291</v>
      </c>
      <c r="B22827" s="2" t="s">
        <v>35292</v>
      </c>
      <c r="C22827" s="1" t="s">
        <v>7110</v>
      </c>
      <c r="D22827" s="1" t="s">
        <v>7111</v>
      </c>
    </row>
    <row r="22828">
      <c r="A22828" s="1" t="s">
        <v>35293</v>
      </c>
      <c r="B22828" s="2" t="s">
        <v>35294</v>
      </c>
      <c r="C22828" s="1" t="s">
        <v>7110</v>
      </c>
      <c r="D22828" s="1" t="s">
        <v>7111</v>
      </c>
    </row>
    <row r="22829">
      <c r="A22829" s="1" t="s">
        <v>35295</v>
      </c>
      <c r="B22829" s="2" t="s">
        <v>35296</v>
      </c>
      <c r="C22829" s="1" t="s">
        <v>7110</v>
      </c>
      <c r="D22829" s="1" t="s">
        <v>7111</v>
      </c>
    </row>
    <row r="22830">
      <c r="A22830" s="1" t="s">
        <v>35297</v>
      </c>
      <c r="B22830" s="2" t="s">
        <v>35298</v>
      </c>
      <c r="C22830" s="1" t="s">
        <v>7110</v>
      </c>
      <c r="D22830" s="1" t="s">
        <v>7111</v>
      </c>
    </row>
    <row r="22831">
      <c r="A22831" s="1" t="s">
        <v>35299</v>
      </c>
      <c r="B22831" s="2" t="s">
        <v>35300</v>
      </c>
      <c r="C22831" s="1" t="s">
        <v>7110</v>
      </c>
      <c r="D22831" s="1" t="s">
        <v>7111</v>
      </c>
    </row>
    <row r="22832">
      <c r="A22832" s="1" t="s">
        <v>35301</v>
      </c>
      <c r="B22832" s="2" t="s">
        <v>35302</v>
      </c>
      <c r="C22832" s="1" t="s">
        <v>7110</v>
      </c>
      <c r="D22832" s="1" t="s">
        <v>7111</v>
      </c>
    </row>
    <row r="22833">
      <c r="A22833" s="1" t="s">
        <v>35303</v>
      </c>
      <c r="B22833" s="2" t="s">
        <v>35304</v>
      </c>
      <c r="C22833" s="1" t="s">
        <v>7110</v>
      </c>
      <c r="D22833" s="1" t="s">
        <v>7111</v>
      </c>
    </row>
    <row r="22834">
      <c r="A22834" s="1" t="s">
        <v>35305</v>
      </c>
      <c r="B22834" s="2" t="s">
        <v>35306</v>
      </c>
      <c r="C22834" s="1" t="s">
        <v>7110</v>
      </c>
      <c r="D22834" s="1" t="s">
        <v>7111</v>
      </c>
    </row>
    <row r="22835">
      <c r="A22835" s="1" t="s">
        <v>35307</v>
      </c>
      <c r="B22835" s="2" t="s">
        <v>35308</v>
      </c>
      <c r="C22835" s="1" t="s">
        <v>7110</v>
      </c>
      <c r="D22835" s="1" t="s">
        <v>7111</v>
      </c>
    </row>
    <row r="22836">
      <c r="A22836" s="1" t="s">
        <v>35309</v>
      </c>
      <c r="B22836" s="2" t="s">
        <v>35310</v>
      </c>
      <c r="C22836" s="1" t="s">
        <v>7110</v>
      </c>
      <c r="D22836" s="1" t="s">
        <v>7111</v>
      </c>
    </row>
    <row r="22837">
      <c r="A22837" s="1" t="s">
        <v>35311</v>
      </c>
      <c r="B22837" s="2" t="s">
        <v>35312</v>
      </c>
      <c r="C22837" s="1" t="s">
        <v>7110</v>
      </c>
      <c r="D22837" s="1" t="s">
        <v>7111</v>
      </c>
    </row>
    <row r="22838">
      <c r="A22838" s="1" t="s">
        <v>35313</v>
      </c>
      <c r="B22838" s="2" t="s">
        <v>35314</v>
      </c>
      <c r="C22838" s="1" t="s">
        <v>7110</v>
      </c>
      <c r="D22838" s="1" t="s">
        <v>7111</v>
      </c>
    </row>
    <row r="22839">
      <c r="A22839" s="1" t="s">
        <v>35315</v>
      </c>
      <c r="B22839" s="2" t="s">
        <v>35316</v>
      </c>
      <c r="C22839" s="1" t="s">
        <v>7110</v>
      </c>
      <c r="D22839" s="1" t="s">
        <v>7111</v>
      </c>
    </row>
    <row r="22840">
      <c r="A22840" s="1" t="s">
        <v>35317</v>
      </c>
      <c r="B22840" s="2" t="s">
        <v>35318</v>
      </c>
      <c r="C22840" s="1" t="s">
        <v>7110</v>
      </c>
      <c r="D22840" s="1" t="s">
        <v>7111</v>
      </c>
    </row>
    <row r="22841">
      <c r="A22841" s="1" t="s">
        <v>35319</v>
      </c>
      <c r="B22841" s="2" t="s">
        <v>35320</v>
      </c>
      <c r="C22841" s="1" t="s">
        <v>7110</v>
      </c>
      <c r="D22841" s="1" t="s">
        <v>7111</v>
      </c>
    </row>
    <row r="22842">
      <c r="A22842" s="1" t="s">
        <v>35321</v>
      </c>
      <c r="B22842" s="2" t="s">
        <v>35322</v>
      </c>
      <c r="C22842" s="1" t="s">
        <v>7110</v>
      </c>
      <c r="D22842" s="1" t="s">
        <v>7111</v>
      </c>
    </row>
    <row r="22843">
      <c r="A22843" s="1" t="s">
        <v>35323</v>
      </c>
      <c r="B22843" s="2" t="s">
        <v>35324</v>
      </c>
      <c r="C22843" s="1" t="s">
        <v>7110</v>
      </c>
      <c r="D22843" s="1" t="s">
        <v>7111</v>
      </c>
    </row>
    <row r="22844">
      <c r="A22844" s="1" t="s">
        <v>35325</v>
      </c>
      <c r="B22844" s="2" t="s">
        <v>35326</v>
      </c>
      <c r="C22844" s="1" t="s">
        <v>7110</v>
      </c>
      <c r="D22844" s="1" t="s">
        <v>7111</v>
      </c>
    </row>
    <row r="22845">
      <c r="A22845" s="1" t="s">
        <v>35327</v>
      </c>
      <c r="B22845" s="2" t="s">
        <v>35328</v>
      </c>
      <c r="C22845" s="1" t="s">
        <v>7110</v>
      </c>
      <c r="D22845" s="1" t="s">
        <v>7111</v>
      </c>
    </row>
    <row r="22846">
      <c r="A22846" s="1" t="s">
        <v>35329</v>
      </c>
      <c r="B22846" s="2" t="s">
        <v>35330</v>
      </c>
      <c r="C22846" s="1" t="s">
        <v>7110</v>
      </c>
      <c r="D22846" s="1" t="s">
        <v>7111</v>
      </c>
    </row>
    <row r="22847">
      <c r="A22847" s="1" t="s">
        <v>35331</v>
      </c>
      <c r="B22847" s="2" t="s">
        <v>35332</v>
      </c>
      <c r="C22847" s="1" t="s">
        <v>7110</v>
      </c>
      <c r="D22847" s="1" t="s">
        <v>7111</v>
      </c>
    </row>
    <row r="22848">
      <c r="A22848" s="1" t="s">
        <v>35333</v>
      </c>
      <c r="B22848" s="2" t="s">
        <v>35334</v>
      </c>
      <c r="C22848" s="1" t="s">
        <v>7110</v>
      </c>
      <c r="D22848" s="1" t="s">
        <v>7111</v>
      </c>
    </row>
    <row r="22849">
      <c r="A22849" s="1" t="s">
        <v>35335</v>
      </c>
      <c r="B22849" s="2" t="s">
        <v>35336</v>
      </c>
      <c r="C22849" s="1" t="s">
        <v>7110</v>
      </c>
      <c r="D22849" s="1" t="s">
        <v>7111</v>
      </c>
    </row>
    <row r="22850">
      <c r="A22850" s="1" t="s">
        <v>35337</v>
      </c>
      <c r="B22850" s="2" t="s">
        <v>35338</v>
      </c>
      <c r="C22850" s="1" t="s">
        <v>7110</v>
      </c>
      <c r="D22850" s="1" t="s">
        <v>7111</v>
      </c>
    </row>
    <row r="22851">
      <c r="A22851" s="1" t="s">
        <v>35339</v>
      </c>
      <c r="B22851" s="2" t="s">
        <v>35340</v>
      </c>
      <c r="C22851" s="1" t="s">
        <v>7110</v>
      </c>
      <c r="D22851" s="1" t="s">
        <v>7111</v>
      </c>
    </row>
    <row r="22852">
      <c r="A22852" s="1" t="s">
        <v>35341</v>
      </c>
      <c r="B22852" s="2" t="s">
        <v>35342</v>
      </c>
      <c r="C22852" s="1" t="s">
        <v>7110</v>
      </c>
      <c r="D22852" s="1" t="s">
        <v>7111</v>
      </c>
    </row>
    <row r="22853">
      <c r="A22853" s="1" t="s">
        <v>35343</v>
      </c>
      <c r="B22853" s="2" t="s">
        <v>35344</v>
      </c>
      <c r="C22853" s="1" t="s">
        <v>7110</v>
      </c>
      <c r="D22853" s="1" t="s">
        <v>7111</v>
      </c>
    </row>
    <row r="22854">
      <c r="A22854" s="1" t="s">
        <v>35345</v>
      </c>
      <c r="B22854" s="2" t="s">
        <v>35346</v>
      </c>
      <c r="C22854" s="1" t="s">
        <v>7110</v>
      </c>
      <c r="D22854" s="1" t="s">
        <v>7111</v>
      </c>
    </row>
    <row r="22855">
      <c r="A22855" s="1" t="s">
        <v>35347</v>
      </c>
      <c r="B22855" s="2" t="s">
        <v>35348</v>
      </c>
      <c r="C22855" s="1" t="s">
        <v>7110</v>
      </c>
      <c r="D22855" s="1" t="s">
        <v>7111</v>
      </c>
    </row>
    <row r="22856">
      <c r="A22856" s="1" t="s">
        <v>35349</v>
      </c>
      <c r="B22856" s="2" t="s">
        <v>35350</v>
      </c>
      <c r="C22856" s="1" t="s">
        <v>7110</v>
      </c>
      <c r="D22856" s="1" t="s">
        <v>7111</v>
      </c>
    </row>
    <row r="22857">
      <c r="A22857" s="1" t="s">
        <v>35351</v>
      </c>
      <c r="B22857" s="2" t="s">
        <v>35352</v>
      </c>
      <c r="C22857" s="1" t="s">
        <v>7110</v>
      </c>
      <c r="D22857" s="1" t="s">
        <v>7111</v>
      </c>
    </row>
    <row r="22858">
      <c r="A22858" s="1" t="s">
        <v>35353</v>
      </c>
      <c r="B22858" s="2" t="s">
        <v>35354</v>
      </c>
      <c r="C22858" s="1" t="s">
        <v>7110</v>
      </c>
      <c r="D22858" s="1" t="s">
        <v>7111</v>
      </c>
    </row>
    <row r="22859">
      <c r="A22859" s="1" t="s">
        <v>35355</v>
      </c>
      <c r="B22859" s="2" t="s">
        <v>35356</v>
      </c>
      <c r="C22859" s="1" t="s">
        <v>7110</v>
      </c>
      <c r="D22859" s="1" t="s">
        <v>7111</v>
      </c>
    </row>
    <row r="22860">
      <c r="A22860" s="1" t="s">
        <v>35357</v>
      </c>
      <c r="B22860" s="2" t="s">
        <v>35358</v>
      </c>
      <c r="C22860" s="1" t="s">
        <v>7110</v>
      </c>
      <c r="D22860" s="1" t="s">
        <v>7111</v>
      </c>
    </row>
    <row r="22861">
      <c r="A22861" s="1" t="s">
        <v>35359</v>
      </c>
      <c r="B22861" s="2" t="s">
        <v>35360</v>
      </c>
      <c r="C22861" s="1" t="s">
        <v>7110</v>
      </c>
      <c r="D22861" s="1" t="s">
        <v>7111</v>
      </c>
    </row>
    <row r="22862">
      <c r="A22862" s="1" t="s">
        <v>35361</v>
      </c>
      <c r="B22862" s="2" t="s">
        <v>35362</v>
      </c>
      <c r="C22862" s="1" t="s">
        <v>7110</v>
      </c>
      <c r="D22862" s="1" t="s">
        <v>7111</v>
      </c>
    </row>
    <row r="22863">
      <c r="A22863" s="1" t="s">
        <v>35363</v>
      </c>
      <c r="B22863" s="2" t="s">
        <v>35364</v>
      </c>
      <c r="C22863" s="1" t="s">
        <v>7110</v>
      </c>
      <c r="D22863" s="1" t="s">
        <v>7111</v>
      </c>
    </row>
    <row r="22864">
      <c r="A22864" s="1" t="s">
        <v>35365</v>
      </c>
      <c r="B22864" s="2" t="s">
        <v>35366</v>
      </c>
      <c r="C22864" s="1" t="s">
        <v>7110</v>
      </c>
      <c r="D22864" s="1" t="s">
        <v>7111</v>
      </c>
    </row>
    <row r="22865">
      <c r="A22865" s="1" t="s">
        <v>35367</v>
      </c>
      <c r="B22865" s="2" t="s">
        <v>35368</v>
      </c>
      <c r="C22865" s="1" t="s">
        <v>7110</v>
      </c>
      <c r="D22865" s="1" t="s">
        <v>7111</v>
      </c>
    </row>
    <row r="22866">
      <c r="A22866" s="1" t="s">
        <v>35369</v>
      </c>
      <c r="B22866" s="2" t="s">
        <v>35370</v>
      </c>
      <c r="C22866" s="1" t="s">
        <v>7110</v>
      </c>
      <c r="D22866" s="1" t="s">
        <v>7111</v>
      </c>
    </row>
    <row r="22867">
      <c r="A22867" s="1" t="s">
        <v>35371</v>
      </c>
      <c r="B22867" s="2" t="s">
        <v>35372</v>
      </c>
      <c r="C22867" s="1" t="s">
        <v>7110</v>
      </c>
      <c r="D22867" s="1" t="s">
        <v>7111</v>
      </c>
    </row>
    <row r="22868">
      <c r="A22868" s="1" t="s">
        <v>35373</v>
      </c>
      <c r="B22868" s="2" t="s">
        <v>35374</v>
      </c>
      <c r="C22868" s="1" t="s">
        <v>7110</v>
      </c>
      <c r="D22868" s="1" t="s">
        <v>7111</v>
      </c>
    </row>
    <row r="22869">
      <c r="A22869" s="1" t="s">
        <v>35375</v>
      </c>
      <c r="B22869" s="2" t="s">
        <v>35376</v>
      </c>
      <c r="C22869" s="1" t="s">
        <v>7110</v>
      </c>
      <c r="D22869" s="1" t="s">
        <v>7111</v>
      </c>
    </row>
    <row r="22870">
      <c r="A22870" s="1" t="s">
        <v>35377</v>
      </c>
      <c r="B22870" s="2" t="s">
        <v>35378</v>
      </c>
      <c r="C22870" s="1" t="s">
        <v>7110</v>
      </c>
      <c r="D22870" s="1" t="s">
        <v>7111</v>
      </c>
    </row>
    <row r="22871">
      <c r="A22871" s="1" t="s">
        <v>35379</v>
      </c>
      <c r="B22871" s="2" t="s">
        <v>35380</v>
      </c>
      <c r="C22871" s="1" t="s">
        <v>7110</v>
      </c>
      <c r="D22871" s="1" t="s">
        <v>7111</v>
      </c>
    </row>
    <row r="22872">
      <c r="A22872" s="1" t="s">
        <v>35381</v>
      </c>
      <c r="B22872" s="2" t="s">
        <v>35382</v>
      </c>
      <c r="C22872" s="1" t="s">
        <v>7110</v>
      </c>
      <c r="D22872" s="1" t="s">
        <v>7111</v>
      </c>
    </row>
    <row r="22873">
      <c r="A22873" s="1" t="s">
        <v>35383</v>
      </c>
      <c r="B22873" s="2" t="s">
        <v>35384</v>
      </c>
      <c r="C22873" s="1" t="s">
        <v>7110</v>
      </c>
      <c r="D22873" s="1" t="s">
        <v>7111</v>
      </c>
    </row>
    <row r="22874">
      <c r="A22874" s="1" t="s">
        <v>35385</v>
      </c>
      <c r="B22874" s="2" t="s">
        <v>35386</v>
      </c>
      <c r="C22874" s="1" t="s">
        <v>7110</v>
      </c>
      <c r="D22874" s="1" t="s">
        <v>7111</v>
      </c>
    </row>
    <row r="22875">
      <c r="A22875" s="1" t="s">
        <v>35387</v>
      </c>
      <c r="B22875" s="2" t="s">
        <v>35388</v>
      </c>
      <c r="C22875" s="1" t="s">
        <v>7110</v>
      </c>
      <c r="D22875" s="1" t="s">
        <v>7111</v>
      </c>
    </row>
    <row r="22876">
      <c r="A22876" s="1" t="s">
        <v>35389</v>
      </c>
      <c r="B22876" s="2" t="s">
        <v>35390</v>
      </c>
      <c r="C22876" s="1" t="s">
        <v>7110</v>
      </c>
      <c r="D22876" s="1" t="s">
        <v>7111</v>
      </c>
    </row>
    <row r="22877">
      <c r="A22877" s="1" t="s">
        <v>35391</v>
      </c>
      <c r="B22877" s="2" t="s">
        <v>35392</v>
      </c>
      <c r="C22877" s="1" t="s">
        <v>7110</v>
      </c>
      <c r="D22877" s="1" t="s">
        <v>7111</v>
      </c>
    </row>
    <row r="22878">
      <c r="A22878" s="1" t="s">
        <v>35393</v>
      </c>
      <c r="B22878" s="2" t="s">
        <v>35394</v>
      </c>
      <c r="C22878" s="1" t="s">
        <v>7110</v>
      </c>
      <c r="D22878" s="1" t="s">
        <v>7111</v>
      </c>
    </row>
    <row r="22879">
      <c r="A22879" s="1" t="s">
        <v>7116</v>
      </c>
      <c r="B22879" s="2" t="s">
        <v>7</v>
      </c>
      <c r="C22879" s="1" t="s">
        <v>160</v>
      </c>
      <c r="D22879" s="1" t="s">
        <v>7120</v>
      </c>
    </row>
    <row r="22880">
      <c r="A22880" s="1" t="s">
        <v>35395</v>
      </c>
      <c r="B22880" s="2" t="s">
        <v>35396</v>
      </c>
      <c r="C22880" s="1" t="s">
        <v>160</v>
      </c>
      <c r="D22880" s="1" t="s">
        <v>7120</v>
      </c>
    </row>
    <row r="22881">
      <c r="A22881" s="1" t="s">
        <v>35397</v>
      </c>
      <c r="B22881" s="2" t="s">
        <v>35398</v>
      </c>
      <c r="C22881" s="1" t="s">
        <v>160</v>
      </c>
      <c r="D22881" s="1" t="s">
        <v>7120</v>
      </c>
    </row>
    <row r="22882">
      <c r="A22882" s="1" t="s">
        <v>35399</v>
      </c>
      <c r="B22882" s="2" t="s">
        <v>35400</v>
      </c>
      <c r="C22882" s="1" t="s">
        <v>160</v>
      </c>
      <c r="D22882" s="1" t="s">
        <v>7120</v>
      </c>
    </row>
    <row r="22883">
      <c r="A22883" s="1" t="s">
        <v>35401</v>
      </c>
      <c r="B22883" s="2" t="s">
        <v>35402</v>
      </c>
      <c r="C22883" s="1" t="s">
        <v>160</v>
      </c>
      <c r="D22883" s="1" t="s">
        <v>7120</v>
      </c>
    </row>
    <row r="22884">
      <c r="A22884" s="1" t="s">
        <v>35403</v>
      </c>
      <c r="B22884" s="2" t="s">
        <v>35404</v>
      </c>
      <c r="C22884" s="1" t="s">
        <v>160</v>
      </c>
      <c r="D22884" s="1" t="s">
        <v>7120</v>
      </c>
    </row>
    <row r="22885">
      <c r="A22885" s="1" t="s">
        <v>35405</v>
      </c>
      <c r="B22885" s="2" t="s">
        <v>35406</v>
      </c>
      <c r="C22885" s="1" t="s">
        <v>160</v>
      </c>
      <c r="D22885" s="1" t="s">
        <v>7120</v>
      </c>
    </row>
    <row r="22886">
      <c r="A22886" s="1" t="s">
        <v>35407</v>
      </c>
      <c r="B22886" s="2" t="s">
        <v>35408</v>
      </c>
      <c r="C22886" s="1" t="s">
        <v>160</v>
      </c>
      <c r="D22886" s="1" t="s">
        <v>7120</v>
      </c>
    </row>
    <row r="22887">
      <c r="A22887" s="1" t="s">
        <v>35409</v>
      </c>
      <c r="B22887" s="2" t="s">
        <v>35410</v>
      </c>
      <c r="C22887" s="1" t="s">
        <v>160</v>
      </c>
      <c r="D22887" s="1" t="s">
        <v>7120</v>
      </c>
    </row>
    <row r="22888">
      <c r="A22888" s="1" t="s">
        <v>35411</v>
      </c>
      <c r="B22888" s="2" t="s">
        <v>35412</v>
      </c>
      <c r="C22888" s="1" t="s">
        <v>160</v>
      </c>
      <c r="D22888" s="1" t="s">
        <v>7120</v>
      </c>
    </row>
    <row r="22889">
      <c r="A22889" s="1" t="s">
        <v>35413</v>
      </c>
      <c r="B22889" s="2" t="s">
        <v>35414</v>
      </c>
      <c r="C22889" s="1" t="s">
        <v>160</v>
      </c>
      <c r="D22889" s="1" t="s">
        <v>7120</v>
      </c>
    </row>
    <row r="22890">
      <c r="A22890" s="1" t="s">
        <v>35415</v>
      </c>
      <c r="B22890" s="2" t="s">
        <v>35416</v>
      </c>
      <c r="C22890" s="1" t="s">
        <v>160</v>
      </c>
      <c r="D22890" s="1" t="s">
        <v>7120</v>
      </c>
    </row>
    <row r="22891">
      <c r="A22891" s="1" t="s">
        <v>35417</v>
      </c>
      <c r="B22891" s="2" t="s">
        <v>35418</v>
      </c>
      <c r="C22891" s="1" t="s">
        <v>160</v>
      </c>
      <c r="D22891" s="1" t="s">
        <v>7120</v>
      </c>
    </row>
    <row r="22892">
      <c r="A22892" s="1" t="s">
        <v>35419</v>
      </c>
      <c r="B22892" s="2" t="s">
        <v>35420</v>
      </c>
      <c r="C22892" s="1" t="s">
        <v>160</v>
      </c>
      <c r="D22892" s="1" t="s">
        <v>7120</v>
      </c>
    </row>
    <row r="22893">
      <c r="A22893" s="1" t="s">
        <v>35421</v>
      </c>
      <c r="B22893" s="2" t="s">
        <v>35422</v>
      </c>
      <c r="C22893" s="1" t="s">
        <v>160</v>
      </c>
      <c r="D22893" s="1" t="s">
        <v>7120</v>
      </c>
    </row>
    <row r="22894">
      <c r="A22894" s="1" t="s">
        <v>35423</v>
      </c>
      <c r="B22894" s="2" t="s">
        <v>35424</v>
      </c>
      <c r="C22894" s="1" t="s">
        <v>160</v>
      </c>
      <c r="D22894" s="1" t="s">
        <v>7120</v>
      </c>
    </row>
    <row r="22895">
      <c r="A22895" s="1" t="s">
        <v>35425</v>
      </c>
      <c r="B22895" s="2" t="s">
        <v>35426</v>
      </c>
      <c r="C22895" s="1" t="s">
        <v>160</v>
      </c>
      <c r="D22895" s="1" t="s">
        <v>7120</v>
      </c>
    </row>
    <row r="22896">
      <c r="A22896" s="1" t="s">
        <v>35427</v>
      </c>
      <c r="B22896" s="2" t="s">
        <v>35428</v>
      </c>
      <c r="C22896" s="1" t="s">
        <v>160</v>
      </c>
      <c r="D22896" s="1" t="s">
        <v>7120</v>
      </c>
    </row>
    <row r="22897">
      <c r="A22897" s="1" t="s">
        <v>35429</v>
      </c>
      <c r="B22897" s="2" t="s">
        <v>35430</v>
      </c>
      <c r="C22897" s="1" t="s">
        <v>160</v>
      </c>
      <c r="D22897" s="1" t="s">
        <v>7120</v>
      </c>
    </row>
    <row r="22898">
      <c r="A22898" s="1" t="s">
        <v>35431</v>
      </c>
      <c r="B22898" s="2" t="s">
        <v>35432</v>
      </c>
      <c r="C22898" s="1" t="s">
        <v>160</v>
      </c>
      <c r="D22898" s="1" t="s">
        <v>7120</v>
      </c>
    </row>
    <row r="22899">
      <c r="A22899" s="1" t="s">
        <v>35433</v>
      </c>
      <c r="B22899" s="2" t="s">
        <v>35434</v>
      </c>
      <c r="C22899" s="1" t="s">
        <v>160</v>
      </c>
      <c r="D22899" s="1" t="s">
        <v>7120</v>
      </c>
    </row>
    <row r="22900">
      <c r="A22900" s="1" t="s">
        <v>35435</v>
      </c>
      <c r="B22900" s="2" t="s">
        <v>35436</v>
      </c>
      <c r="C22900" s="1" t="s">
        <v>160</v>
      </c>
      <c r="D22900" s="1" t="s">
        <v>7120</v>
      </c>
    </row>
    <row r="22901">
      <c r="A22901" s="1" t="s">
        <v>35437</v>
      </c>
      <c r="B22901" s="2" t="s">
        <v>35438</v>
      </c>
      <c r="C22901" s="1" t="s">
        <v>160</v>
      </c>
      <c r="D22901" s="1" t="s">
        <v>7120</v>
      </c>
    </row>
    <row r="22902">
      <c r="A22902" s="1" t="s">
        <v>35439</v>
      </c>
      <c r="B22902" s="2" t="s">
        <v>35440</v>
      </c>
      <c r="C22902" s="1" t="s">
        <v>160</v>
      </c>
      <c r="D22902" s="1" t="s">
        <v>7120</v>
      </c>
    </row>
    <row r="22903">
      <c r="A22903" s="1" t="s">
        <v>35441</v>
      </c>
      <c r="B22903" s="2" t="s">
        <v>35442</v>
      </c>
      <c r="C22903" s="1" t="s">
        <v>160</v>
      </c>
      <c r="D22903" s="1" t="s">
        <v>7120</v>
      </c>
    </row>
    <row r="22904">
      <c r="A22904" s="1" t="s">
        <v>35443</v>
      </c>
      <c r="B22904" s="2" t="s">
        <v>35444</v>
      </c>
      <c r="C22904" s="1" t="s">
        <v>160</v>
      </c>
      <c r="D22904" s="1" t="s">
        <v>7120</v>
      </c>
    </row>
    <row r="22905">
      <c r="A22905" s="1" t="s">
        <v>35445</v>
      </c>
      <c r="B22905" s="2" t="s">
        <v>35446</v>
      </c>
      <c r="C22905" s="1" t="s">
        <v>160</v>
      </c>
      <c r="D22905" s="1" t="s">
        <v>7120</v>
      </c>
    </row>
    <row r="22906">
      <c r="A22906" s="1" t="s">
        <v>35447</v>
      </c>
      <c r="B22906" s="2" t="s">
        <v>35448</v>
      </c>
      <c r="C22906" s="1" t="s">
        <v>160</v>
      </c>
      <c r="D22906" s="1" t="s">
        <v>7120</v>
      </c>
    </row>
    <row r="22907">
      <c r="A22907" s="1" t="s">
        <v>35449</v>
      </c>
      <c r="B22907" s="2" t="s">
        <v>35450</v>
      </c>
      <c r="C22907" s="1" t="s">
        <v>160</v>
      </c>
      <c r="D22907" s="1" t="s">
        <v>7120</v>
      </c>
    </row>
    <row r="22908">
      <c r="A22908" s="1" t="s">
        <v>35451</v>
      </c>
      <c r="B22908" s="2" t="s">
        <v>35452</v>
      </c>
      <c r="C22908" s="1" t="s">
        <v>160</v>
      </c>
      <c r="D22908" s="1" t="s">
        <v>7120</v>
      </c>
    </row>
    <row r="22909">
      <c r="A22909" s="1" t="s">
        <v>35453</v>
      </c>
      <c r="B22909" s="2" t="s">
        <v>35454</v>
      </c>
      <c r="C22909" s="1" t="s">
        <v>160</v>
      </c>
      <c r="D22909" s="1" t="s">
        <v>7120</v>
      </c>
    </row>
    <row r="22910">
      <c r="A22910" s="1" t="s">
        <v>35455</v>
      </c>
      <c r="B22910" s="2" t="s">
        <v>35456</v>
      </c>
      <c r="C22910" s="1" t="s">
        <v>160</v>
      </c>
      <c r="D22910" s="1" t="s">
        <v>7120</v>
      </c>
    </row>
    <row r="22911">
      <c r="A22911" s="1" t="s">
        <v>35457</v>
      </c>
      <c r="B22911" s="2" t="s">
        <v>35458</v>
      </c>
      <c r="C22911" s="1" t="s">
        <v>160</v>
      </c>
      <c r="D22911" s="1" t="s">
        <v>7120</v>
      </c>
    </row>
    <row r="22912">
      <c r="A22912" s="1" t="s">
        <v>35459</v>
      </c>
      <c r="B22912" s="2" t="s">
        <v>35460</v>
      </c>
      <c r="C22912" s="1" t="s">
        <v>160</v>
      </c>
      <c r="D22912" s="1" t="s">
        <v>7120</v>
      </c>
    </row>
    <row r="22913">
      <c r="A22913" s="1" t="s">
        <v>35461</v>
      </c>
      <c r="B22913" s="2" t="s">
        <v>35462</v>
      </c>
      <c r="C22913" s="1" t="s">
        <v>160</v>
      </c>
      <c r="D22913" s="1" t="s">
        <v>7120</v>
      </c>
    </row>
    <row r="22914">
      <c r="A22914" s="1" t="s">
        <v>35463</v>
      </c>
      <c r="B22914" s="2" t="s">
        <v>35464</v>
      </c>
      <c r="C22914" s="1" t="s">
        <v>160</v>
      </c>
      <c r="D22914" s="1" t="s">
        <v>7120</v>
      </c>
    </row>
    <row r="22915">
      <c r="A22915" s="1" t="s">
        <v>35465</v>
      </c>
      <c r="B22915" s="2" t="s">
        <v>35466</v>
      </c>
      <c r="C22915" s="1" t="s">
        <v>160</v>
      </c>
      <c r="D22915" s="1" t="s">
        <v>7120</v>
      </c>
    </row>
    <row r="22916">
      <c r="A22916" s="1" t="s">
        <v>35467</v>
      </c>
      <c r="B22916" s="2" t="s">
        <v>35468</v>
      </c>
      <c r="C22916" s="1" t="s">
        <v>160</v>
      </c>
      <c r="D22916" s="1" t="s">
        <v>7120</v>
      </c>
    </row>
    <row r="22917">
      <c r="A22917" s="1" t="s">
        <v>35469</v>
      </c>
      <c r="B22917" s="2" t="s">
        <v>35470</v>
      </c>
      <c r="C22917" s="1" t="s">
        <v>160</v>
      </c>
      <c r="D22917" s="1" t="s">
        <v>7120</v>
      </c>
    </row>
    <row r="22918">
      <c r="A22918" s="1" t="s">
        <v>35471</v>
      </c>
      <c r="B22918" s="2" t="s">
        <v>35472</v>
      </c>
      <c r="C22918" s="1" t="s">
        <v>160</v>
      </c>
      <c r="D22918" s="1" t="s">
        <v>7120</v>
      </c>
    </row>
    <row r="22919">
      <c r="A22919" s="1" t="s">
        <v>35473</v>
      </c>
      <c r="B22919" s="2" t="s">
        <v>35474</v>
      </c>
      <c r="C22919" s="1" t="s">
        <v>160</v>
      </c>
      <c r="D22919" s="1" t="s">
        <v>7120</v>
      </c>
    </row>
    <row r="22920">
      <c r="A22920" s="1" t="s">
        <v>35475</v>
      </c>
      <c r="B22920" s="2" t="s">
        <v>35476</v>
      </c>
      <c r="C22920" s="1" t="s">
        <v>160</v>
      </c>
      <c r="D22920" s="1" t="s">
        <v>7120</v>
      </c>
    </row>
    <row r="22921">
      <c r="A22921" s="1" t="s">
        <v>35477</v>
      </c>
      <c r="B22921" s="2" t="s">
        <v>35478</v>
      </c>
      <c r="C22921" s="1" t="s">
        <v>160</v>
      </c>
      <c r="D22921" s="1" t="s">
        <v>7120</v>
      </c>
    </row>
    <row r="22922">
      <c r="A22922" s="1" t="s">
        <v>35479</v>
      </c>
      <c r="B22922" s="2" t="s">
        <v>35480</v>
      </c>
      <c r="C22922" s="1" t="s">
        <v>160</v>
      </c>
      <c r="D22922" s="1" t="s">
        <v>7120</v>
      </c>
    </row>
    <row r="22923">
      <c r="A22923" s="1" t="s">
        <v>35481</v>
      </c>
      <c r="B22923" s="2" t="s">
        <v>35482</v>
      </c>
      <c r="C22923" s="1" t="s">
        <v>160</v>
      </c>
      <c r="D22923" s="1" t="s">
        <v>7120</v>
      </c>
    </row>
    <row r="22924">
      <c r="A22924" s="1" t="s">
        <v>35483</v>
      </c>
      <c r="B22924" s="2" t="s">
        <v>35484</v>
      </c>
      <c r="C22924" s="1" t="s">
        <v>160</v>
      </c>
      <c r="D22924" s="1" t="s">
        <v>7120</v>
      </c>
    </row>
    <row r="22925">
      <c r="A22925" s="1" t="s">
        <v>35485</v>
      </c>
      <c r="B22925" s="2" t="s">
        <v>35486</v>
      </c>
      <c r="C22925" s="1" t="s">
        <v>160</v>
      </c>
      <c r="D22925" s="1" t="s">
        <v>7120</v>
      </c>
    </row>
    <row r="22926">
      <c r="A22926" s="1" t="s">
        <v>35487</v>
      </c>
      <c r="B22926" s="2" t="s">
        <v>35488</v>
      </c>
      <c r="C22926" s="1" t="s">
        <v>160</v>
      </c>
      <c r="D22926" s="1" t="s">
        <v>7120</v>
      </c>
    </row>
    <row r="22927">
      <c r="A22927" s="1" t="s">
        <v>35489</v>
      </c>
      <c r="B22927" s="2" t="s">
        <v>35490</v>
      </c>
      <c r="C22927" s="1" t="s">
        <v>160</v>
      </c>
      <c r="D22927" s="1" t="s">
        <v>7120</v>
      </c>
    </row>
    <row r="22928">
      <c r="A22928" s="1" t="s">
        <v>35491</v>
      </c>
      <c r="B22928" s="2" t="s">
        <v>35492</v>
      </c>
      <c r="C22928" s="1" t="s">
        <v>160</v>
      </c>
      <c r="D22928" s="1" t="s">
        <v>7120</v>
      </c>
    </row>
    <row r="22929">
      <c r="A22929" s="1" t="s">
        <v>35493</v>
      </c>
      <c r="B22929" s="2" t="s">
        <v>35494</v>
      </c>
      <c r="C22929" s="1" t="s">
        <v>160</v>
      </c>
      <c r="D22929" s="1" t="s">
        <v>7120</v>
      </c>
    </row>
    <row r="22930">
      <c r="A22930" s="1" t="s">
        <v>35495</v>
      </c>
      <c r="B22930" s="2" t="s">
        <v>35496</v>
      </c>
      <c r="C22930" s="1" t="s">
        <v>160</v>
      </c>
      <c r="D22930" s="1" t="s">
        <v>7120</v>
      </c>
    </row>
    <row r="22931">
      <c r="A22931" s="1" t="s">
        <v>35497</v>
      </c>
      <c r="B22931" s="2" t="s">
        <v>35498</v>
      </c>
      <c r="C22931" s="1" t="s">
        <v>160</v>
      </c>
      <c r="D22931" s="1" t="s">
        <v>7120</v>
      </c>
    </row>
    <row r="22932">
      <c r="A22932" s="1" t="s">
        <v>35499</v>
      </c>
      <c r="B22932" s="2" t="s">
        <v>35500</v>
      </c>
      <c r="C22932" s="1" t="s">
        <v>160</v>
      </c>
      <c r="D22932" s="1" t="s">
        <v>7120</v>
      </c>
    </row>
    <row r="22933">
      <c r="A22933" s="1" t="s">
        <v>35501</v>
      </c>
      <c r="B22933" s="2" t="s">
        <v>35502</v>
      </c>
      <c r="C22933" s="1" t="s">
        <v>160</v>
      </c>
      <c r="D22933" s="1" t="s">
        <v>7120</v>
      </c>
    </row>
    <row r="22934">
      <c r="A22934" s="1" t="s">
        <v>35503</v>
      </c>
      <c r="B22934" s="2" t="s">
        <v>35504</v>
      </c>
      <c r="C22934" s="1" t="s">
        <v>160</v>
      </c>
      <c r="D22934" s="1" t="s">
        <v>7120</v>
      </c>
    </row>
    <row r="22935">
      <c r="A22935" s="1" t="s">
        <v>35505</v>
      </c>
      <c r="B22935" s="2" t="s">
        <v>35506</v>
      </c>
      <c r="C22935" s="1" t="s">
        <v>160</v>
      </c>
      <c r="D22935" s="1" t="s">
        <v>7120</v>
      </c>
    </row>
    <row r="22936">
      <c r="A22936" s="1" t="s">
        <v>35507</v>
      </c>
      <c r="B22936" s="2" t="s">
        <v>35508</v>
      </c>
      <c r="C22936" s="1" t="s">
        <v>160</v>
      </c>
      <c r="D22936" s="1" t="s">
        <v>7120</v>
      </c>
    </row>
    <row r="22937">
      <c r="A22937" s="1" t="s">
        <v>35509</v>
      </c>
      <c r="B22937" s="2" t="s">
        <v>35510</v>
      </c>
      <c r="C22937" s="1" t="s">
        <v>160</v>
      </c>
      <c r="D22937" s="1" t="s">
        <v>7120</v>
      </c>
    </row>
    <row r="22938">
      <c r="A22938" s="1" t="s">
        <v>35511</v>
      </c>
      <c r="B22938" s="2" t="s">
        <v>35512</v>
      </c>
      <c r="C22938" s="1" t="s">
        <v>160</v>
      </c>
      <c r="D22938" s="1" t="s">
        <v>7120</v>
      </c>
    </row>
    <row r="22939">
      <c r="A22939" s="1" t="s">
        <v>35513</v>
      </c>
      <c r="B22939" s="2" t="s">
        <v>35514</v>
      </c>
      <c r="C22939" s="1" t="s">
        <v>160</v>
      </c>
      <c r="D22939" s="1" t="s">
        <v>7120</v>
      </c>
    </row>
    <row r="22940">
      <c r="A22940" s="1" t="s">
        <v>35515</v>
      </c>
      <c r="B22940" s="2" t="s">
        <v>35516</v>
      </c>
      <c r="C22940" s="1" t="s">
        <v>160</v>
      </c>
      <c r="D22940" s="1" t="s">
        <v>7120</v>
      </c>
    </row>
    <row r="22941">
      <c r="A22941" s="1" t="s">
        <v>35517</v>
      </c>
      <c r="B22941" s="2" t="s">
        <v>35518</v>
      </c>
      <c r="C22941" s="1" t="s">
        <v>160</v>
      </c>
      <c r="D22941" s="1" t="s">
        <v>7120</v>
      </c>
    </row>
    <row r="22942">
      <c r="A22942" s="1" t="s">
        <v>35519</v>
      </c>
      <c r="B22942" s="2" t="s">
        <v>35520</v>
      </c>
      <c r="C22942" s="1" t="s">
        <v>160</v>
      </c>
      <c r="D22942" s="1" t="s">
        <v>7120</v>
      </c>
    </row>
    <row r="22943">
      <c r="A22943" s="1" t="s">
        <v>35521</v>
      </c>
      <c r="B22943" s="2" t="s">
        <v>35522</v>
      </c>
      <c r="C22943" s="1" t="s">
        <v>160</v>
      </c>
      <c r="D22943" s="1" t="s">
        <v>7120</v>
      </c>
    </row>
    <row r="22944">
      <c r="A22944" s="1" t="s">
        <v>35523</v>
      </c>
      <c r="B22944" s="2" t="s">
        <v>35524</v>
      </c>
      <c r="C22944" s="1" t="s">
        <v>160</v>
      </c>
      <c r="D22944" s="1" t="s">
        <v>7120</v>
      </c>
    </row>
    <row r="22945">
      <c r="A22945" s="1" t="s">
        <v>35525</v>
      </c>
      <c r="B22945" s="2" t="s">
        <v>35526</v>
      </c>
      <c r="C22945" s="1" t="s">
        <v>160</v>
      </c>
      <c r="D22945" s="1" t="s">
        <v>7120</v>
      </c>
    </row>
    <row r="22946">
      <c r="A22946" s="1" t="s">
        <v>35527</v>
      </c>
      <c r="B22946" s="2" t="s">
        <v>35528</v>
      </c>
      <c r="C22946" s="1" t="s">
        <v>160</v>
      </c>
      <c r="D22946" s="1" t="s">
        <v>7120</v>
      </c>
    </row>
    <row r="22947">
      <c r="A22947" s="1" t="s">
        <v>35529</v>
      </c>
      <c r="B22947" s="2" t="s">
        <v>35530</v>
      </c>
      <c r="C22947" s="1" t="s">
        <v>160</v>
      </c>
      <c r="D22947" s="1" t="s">
        <v>7120</v>
      </c>
    </row>
    <row r="22948">
      <c r="A22948" s="1" t="s">
        <v>35531</v>
      </c>
      <c r="B22948" s="2" t="s">
        <v>35532</v>
      </c>
      <c r="C22948" s="1" t="s">
        <v>160</v>
      </c>
      <c r="D22948" s="1" t="s">
        <v>7120</v>
      </c>
    </row>
    <row r="22949">
      <c r="A22949" s="1" t="s">
        <v>35533</v>
      </c>
      <c r="B22949" s="2" t="s">
        <v>35534</v>
      </c>
      <c r="C22949" s="1" t="s">
        <v>160</v>
      </c>
      <c r="D22949" s="1" t="s">
        <v>7120</v>
      </c>
    </row>
    <row r="22950">
      <c r="A22950" s="1" t="s">
        <v>35535</v>
      </c>
      <c r="B22950" s="2" t="s">
        <v>35536</v>
      </c>
      <c r="C22950" s="1" t="s">
        <v>160</v>
      </c>
      <c r="D22950" s="1" t="s">
        <v>7120</v>
      </c>
    </row>
    <row r="22951">
      <c r="A22951" s="1" t="s">
        <v>35537</v>
      </c>
      <c r="B22951" s="2" t="s">
        <v>35538</v>
      </c>
      <c r="C22951" s="1" t="s">
        <v>160</v>
      </c>
      <c r="D22951" s="1" t="s">
        <v>7120</v>
      </c>
    </row>
    <row r="22952">
      <c r="A22952" s="1" t="s">
        <v>35539</v>
      </c>
      <c r="B22952" s="2" t="s">
        <v>35540</v>
      </c>
      <c r="C22952" s="1" t="s">
        <v>160</v>
      </c>
      <c r="D22952" s="1" t="s">
        <v>7120</v>
      </c>
    </row>
    <row r="22953">
      <c r="A22953" s="1" t="s">
        <v>35541</v>
      </c>
      <c r="B22953" s="2" t="s">
        <v>35542</v>
      </c>
      <c r="C22953" s="1" t="s">
        <v>160</v>
      </c>
      <c r="D22953" s="1" t="s">
        <v>7120</v>
      </c>
    </row>
    <row r="22954">
      <c r="A22954" s="1" t="s">
        <v>35543</v>
      </c>
      <c r="B22954" s="2" t="s">
        <v>35544</v>
      </c>
      <c r="C22954" s="1" t="s">
        <v>160</v>
      </c>
      <c r="D22954" s="1" t="s">
        <v>7120</v>
      </c>
    </row>
    <row r="22955">
      <c r="A22955" s="1" t="s">
        <v>35545</v>
      </c>
      <c r="B22955" s="2" t="s">
        <v>35546</v>
      </c>
      <c r="C22955" s="1" t="s">
        <v>160</v>
      </c>
      <c r="D22955" s="1" t="s">
        <v>7120</v>
      </c>
    </row>
    <row r="22956">
      <c r="A22956" s="1" t="s">
        <v>35547</v>
      </c>
      <c r="B22956" s="2" t="s">
        <v>35548</v>
      </c>
      <c r="C22956" s="1" t="s">
        <v>160</v>
      </c>
      <c r="D22956" s="1" t="s">
        <v>7120</v>
      </c>
    </row>
    <row r="22957">
      <c r="A22957" s="1" t="s">
        <v>35549</v>
      </c>
      <c r="B22957" s="2" t="s">
        <v>35550</v>
      </c>
      <c r="C22957" s="1" t="s">
        <v>160</v>
      </c>
      <c r="D22957" s="1" t="s">
        <v>7120</v>
      </c>
    </row>
    <row r="22958">
      <c r="A22958" s="1" t="s">
        <v>35551</v>
      </c>
      <c r="B22958" s="2" t="s">
        <v>35552</v>
      </c>
      <c r="C22958" s="1" t="s">
        <v>160</v>
      </c>
      <c r="D22958" s="1" t="s">
        <v>7120</v>
      </c>
    </row>
    <row r="22959">
      <c r="A22959" s="1" t="s">
        <v>35553</v>
      </c>
      <c r="B22959" s="2" t="s">
        <v>35554</v>
      </c>
      <c r="C22959" s="1" t="s">
        <v>160</v>
      </c>
      <c r="D22959" s="1" t="s">
        <v>7120</v>
      </c>
    </row>
    <row r="22960">
      <c r="A22960" s="1" t="s">
        <v>35555</v>
      </c>
      <c r="B22960" s="2" t="s">
        <v>35556</v>
      </c>
      <c r="C22960" s="1" t="s">
        <v>160</v>
      </c>
      <c r="D22960" s="1" t="s">
        <v>7120</v>
      </c>
    </row>
    <row r="22961">
      <c r="A22961" s="1" t="s">
        <v>35557</v>
      </c>
      <c r="B22961" s="2" t="s">
        <v>35558</v>
      </c>
      <c r="C22961" s="1" t="s">
        <v>160</v>
      </c>
      <c r="D22961" s="1" t="s">
        <v>7120</v>
      </c>
    </row>
    <row r="22962">
      <c r="A22962" s="1" t="s">
        <v>35559</v>
      </c>
      <c r="B22962" s="2" t="s">
        <v>35560</v>
      </c>
      <c r="C22962" s="1" t="s">
        <v>160</v>
      </c>
      <c r="D22962" s="1" t="s">
        <v>7120</v>
      </c>
    </row>
    <row r="22963">
      <c r="A22963" s="1" t="s">
        <v>35561</v>
      </c>
      <c r="B22963" s="2" t="s">
        <v>35562</v>
      </c>
      <c r="C22963" s="1" t="s">
        <v>160</v>
      </c>
      <c r="D22963" s="1" t="s">
        <v>7120</v>
      </c>
    </row>
    <row r="22964">
      <c r="A22964" s="1" t="s">
        <v>35563</v>
      </c>
      <c r="B22964" s="2" t="s">
        <v>35564</v>
      </c>
      <c r="C22964" s="1" t="s">
        <v>160</v>
      </c>
      <c r="D22964" s="1" t="s">
        <v>7120</v>
      </c>
    </row>
    <row r="22965">
      <c r="A22965" s="1" t="s">
        <v>35565</v>
      </c>
      <c r="B22965" s="2" t="s">
        <v>35566</v>
      </c>
      <c r="C22965" s="1" t="s">
        <v>160</v>
      </c>
      <c r="D22965" s="1" t="s">
        <v>7120</v>
      </c>
    </row>
    <row r="22966">
      <c r="A22966" s="1" t="s">
        <v>35567</v>
      </c>
      <c r="B22966" s="2" t="s">
        <v>35568</v>
      </c>
      <c r="C22966" s="1" t="s">
        <v>160</v>
      </c>
      <c r="D22966" s="1" t="s">
        <v>7120</v>
      </c>
    </row>
    <row r="22967">
      <c r="A22967" s="1" t="s">
        <v>35569</v>
      </c>
      <c r="B22967" s="2" t="s">
        <v>35570</v>
      </c>
      <c r="C22967" s="1" t="s">
        <v>160</v>
      </c>
      <c r="D22967" s="1" t="s">
        <v>7120</v>
      </c>
    </row>
    <row r="22968">
      <c r="A22968" s="1" t="s">
        <v>35571</v>
      </c>
      <c r="B22968" s="2" t="s">
        <v>35572</v>
      </c>
      <c r="C22968" s="1" t="s">
        <v>160</v>
      </c>
      <c r="D22968" s="1" t="s">
        <v>7120</v>
      </c>
    </row>
    <row r="22969">
      <c r="A22969" s="1" t="s">
        <v>35573</v>
      </c>
      <c r="B22969" s="2" t="s">
        <v>35574</v>
      </c>
      <c r="C22969" s="1" t="s">
        <v>160</v>
      </c>
      <c r="D22969" s="1" t="s">
        <v>7120</v>
      </c>
    </row>
    <row r="22970">
      <c r="A22970" s="1" t="s">
        <v>35575</v>
      </c>
      <c r="B22970" s="2" t="s">
        <v>35576</v>
      </c>
      <c r="C22970" s="1" t="s">
        <v>160</v>
      </c>
      <c r="D22970" s="1" t="s">
        <v>7120</v>
      </c>
    </row>
    <row r="22971">
      <c r="A22971" s="1" t="s">
        <v>35577</v>
      </c>
      <c r="B22971" s="2" t="s">
        <v>35578</v>
      </c>
      <c r="C22971" s="1" t="s">
        <v>160</v>
      </c>
      <c r="D22971" s="1" t="s">
        <v>7120</v>
      </c>
    </row>
    <row r="22972">
      <c r="A22972" s="1" t="s">
        <v>35579</v>
      </c>
      <c r="B22972" s="2" t="s">
        <v>35580</v>
      </c>
      <c r="C22972" s="1" t="s">
        <v>160</v>
      </c>
      <c r="D22972" s="1" t="s">
        <v>7120</v>
      </c>
    </row>
    <row r="22973">
      <c r="A22973" s="1" t="s">
        <v>35581</v>
      </c>
      <c r="B22973" s="2" t="s">
        <v>35582</v>
      </c>
      <c r="C22973" s="1" t="s">
        <v>160</v>
      </c>
      <c r="D22973" s="1" t="s">
        <v>7120</v>
      </c>
    </row>
    <row r="22974">
      <c r="A22974" s="1" t="s">
        <v>35583</v>
      </c>
      <c r="B22974" s="2" t="s">
        <v>35584</v>
      </c>
      <c r="C22974" s="1" t="s">
        <v>160</v>
      </c>
      <c r="D22974" s="1" t="s">
        <v>7120</v>
      </c>
    </row>
    <row r="22975">
      <c r="A22975" s="1" t="s">
        <v>35585</v>
      </c>
      <c r="B22975" s="2" t="s">
        <v>35586</v>
      </c>
      <c r="C22975" s="1" t="s">
        <v>160</v>
      </c>
      <c r="D22975" s="1" t="s">
        <v>7120</v>
      </c>
    </row>
    <row r="22976">
      <c r="A22976" s="1" t="s">
        <v>35587</v>
      </c>
      <c r="B22976" s="2" t="s">
        <v>35588</v>
      </c>
      <c r="C22976" s="1" t="s">
        <v>160</v>
      </c>
      <c r="D22976" s="1" t="s">
        <v>7120</v>
      </c>
    </row>
    <row r="22977">
      <c r="A22977" s="1" t="s">
        <v>35589</v>
      </c>
      <c r="B22977" s="2" t="s">
        <v>35590</v>
      </c>
      <c r="C22977" s="1" t="s">
        <v>160</v>
      </c>
      <c r="D22977" s="1" t="s">
        <v>7120</v>
      </c>
    </row>
    <row r="22978">
      <c r="A22978" s="1" t="s">
        <v>35591</v>
      </c>
      <c r="B22978" s="2" t="s">
        <v>35592</v>
      </c>
      <c r="C22978" s="1" t="s">
        <v>160</v>
      </c>
      <c r="D22978" s="1" t="s">
        <v>7120</v>
      </c>
    </row>
    <row r="22979">
      <c r="A22979" s="1" t="s">
        <v>35593</v>
      </c>
      <c r="B22979" s="2" t="s">
        <v>35594</v>
      </c>
      <c r="C22979" s="1" t="s">
        <v>160</v>
      </c>
      <c r="D22979" s="1" t="s">
        <v>7120</v>
      </c>
    </row>
    <row r="22980">
      <c r="A22980" s="1" t="s">
        <v>35595</v>
      </c>
      <c r="B22980" s="2" t="s">
        <v>35596</v>
      </c>
      <c r="C22980" s="1" t="s">
        <v>160</v>
      </c>
      <c r="D22980" s="1" t="s">
        <v>7120</v>
      </c>
    </row>
    <row r="22981">
      <c r="A22981" s="1" t="s">
        <v>35597</v>
      </c>
      <c r="B22981" s="2" t="s">
        <v>35598</v>
      </c>
      <c r="C22981" s="1" t="s">
        <v>160</v>
      </c>
      <c r="D22981" s="1" t="s">
        <v>7120</v>
      </c>
    </row>
    <row r="22982">
      <c r="A22982" s="1" t="s">
        <v>35599</v>
      </c>
      <c r="B22982" s="2" t="s">
        <v>35600</v>
      </c>
      <c r="C22982" s="1" t="s">
        <v>160</v>
      </c>
      <c r="D22982" s="1" t="s">
        <v>7120</v>
      </c>
    </row>
    <row r="22983">
      <c r="A22983" s="1" t="s">
        <v>35601</v>
      </c>
      <c r="B22983" s="2" t="s">
        <v>35602</v>
      </c>
      <c r="C22983" s="1" t="s">
        <v>160</v>
      </c>
      <c r="D22983" s="1" t="s">
        <v>7120</v>
      </c>
    </row>
    <row r="22984">
      <c r="A22984" s="1" t="s">
        <v>35603</v>
      </c>
      <c r="B22984" s="2" t="s">
        <v>35604</v>
      </c>
      <c r="C22984" s="1" t="s">
        <v>160</v>
      </c>
      <c r="D22984" s="1" t="s">
        <v>7120</v>
      </c>
    </row>
    <row r="22985">
      <c r="A22985" s="1" t="s">
        <v>35605</v>
      </c>
      <c r="B22985" s="2" t="s">
        <v>35606</v>
      </c>
      <c r="C22985" s="1" t="s">
        <v>160</v>
      </c>
      <c r="D22985" s="1" t="s">
        <v>7120</v>
      </c>
    </row>
    <row r="22986">
      <c r="A22986" s="1" t="s">
        <v>35607</v>
      </c>
      <c r="B22986" s="2" t="s">
        <v>35608</v>
      </c>
      <c r="C22986" s="1" t="s">
        <v>160</v>
      </c>
      <c r="D22986" s="1" t="s">
        <v>7120</v>
      </c>
    </row>
    <row r="22987">
      <c r="A22987" s="1" t="s">
        <v>35609</v>
      </c>
      <c r="B22987" s="2" t="s">
        <v>35610</v>
      </c>
      <c r="C22987" s="1" t="s">
        <v>160</v>
      </c>
      <c r="D22987" s="1" t="s">
        <v>7120</v>
      </c>
    </row>
    <row r="22988">
      <c r="A22988" s="1" t="s">
        <v>35611</v>
      </c>
      <c r="B22988" s="2" t="s">
        <v>35612</v>
      </c>
      <c r="C22988" s="1" t="s">
        <v>160</v>
      </c>
      <c r="D22988" s="1" t="s">
        <v>7120</v>
      </c>
    </row>
    <row r="22989">
      <c r="A22989" s="1" t="s">
        <v>35613</v>
      </c>
      <c r="B22989" s="2" t="s">
        <v>35614</v>
      </c>
      <c r="C22989" s="1" t="s">
        <v>160</v>
      </c>
      <c r="D22989" s="1" t="s">
        <v>7120</v>
      </c>
    </row>
    <row r="22990">
      <c r="A22990" s="1" t="s">
        <v>35615</v>
      </c>
      <c r="B22990" s="2" t="s">
        <v>35616</v>
      </c>
      <c r="C22990" s="1" t="s">
        <v>160</v>
      </c>
      <c r="D22990" s="1" t="s">
        <v>7120</v>
      </c>
    </row>
    <row r="22991">
      <c r="A22991" s="1" t="s">
        <v>35617</v>
      </c>
      <c r="B22991" s="2" t="s">
        <v>35618</v>
      </c>
      <c r="C22991" s="1" t="s">
        <v>160</v>
      </c>
      <c r="D22991" s="1" t="s">
        <v>7120</v>
      </c>
    </row>
    <row r="22992">
      <c r="A22992" s="1" t="s">
        <v>35619</v>
      </c>
      <c r="B22992" s="2" t="s">
        <v>35620</v>
      </c>
      <c r="C22992" s="1" t="s">
        <v>160</v>
      </c>
      <c r="D22992" s="1" t="s">
        <v>7120</v>
      </c>
    </row>
    <row r="22993">
      <c r="A22993" s="1" t="s">
        <v>35621</v>
      </c>
      <c r="B22993" s="2" t="s">
        <v>35622</v>
      </c>
      <c r="C22993" s="1" t="s">
        <v>160</v>
      </c>
      <c r="D22993" s="1" t="s">
        <v>7120</v>
      </c>
    </row>
    <row r="22994">
      <c r="A22994" s="1" t="s">
        <v>35623</v>
      </c>
      <c r="B22994" s="2" t="s">
        <v>35624</v>
      </c>
      <c r="C22994" s="1" t="s">
        <v>160</v>
      </c>
      <c r="D22994" s="1" t="s">
        <v>7120</v>
      </c>
    </row>
    <row r="22995">
      <c r="A22995" s="1" t="s">
        <v>35625</v>
      </c>
      <c r="B22995" s="2" t="s">
        <v>35626</v>
      </c>
      <c r="C22995" s="1" t="s">
        <v>160</v>
      </c>
      <c r="D22995" s="1" t="s">
        <v>7120</v>
      </c>
    </row>
    <row r="22996">
      <c r="A22996" s="1" t="s">
        <v>35627</v>
      </c>
      <c r="B22996" s="2" t="s">
        <v>35628</v>
      </c>
      <c r="C22996" s="1" t="s">
        <v>160</v>
      </c>
      <c r="D22996" s="1" t="s">
        <v>7120</v>
      </c>
    </row>
    <row r="22997">
      <c r="A22997" s="1" t="s">
        <v>35629</v>
      </c>
      <c r="B22997" s="2" t="s">
        <v>35630</v>
      </c>
      <c r="C22997" s="1" t="s">
        <v>160</v>
      </c>
      <c r="D22997" s="1" t="s">
        <v>7120</v>
      </c>
    </row>
    <row r="22998">
      <c r="A22998" s="1" t="s">
        <v>35631</v>
      </c>
      <c r="B22998" s="2" t="s">
        <v>35632</v>
      </c>
      <c r="C22998" s="1" t="s">
        <v>160</v>
      </c>
      <c r="D22998" s="1" t="s">
        <v>7120</v>
      </c>
    </row>
    <row r="22999">
      <c r="A22999" s="1" t="s">
        <v>7126</v>
      </c>
      <c r="B22999" s="2" t="s">
        <v>7</v>
      </c>
      <c r="C22999" s="1" t="s">
        <v>7129</v>
      </c>
      <c r="D22999" s="1" t="s">
        <v>7130</v>
      </c>
    </row>
    <row r="23000">
      <c r="A23000" s="1" t="s">
        <v>35633</v>
      </c>
      <c r="B23000" s="2" t="s">
        <v>32702</v>
      </c>
      <c r="C23000" s="1" t="s">
        <v>7129</v>
      </c>
      <c r="D23000" s="1" t="s">
        <v>7130</v>
      </c>
    </row>
    <row r="23001">
      <c r="A23001" s="1" t="s">
        <v>35634</v>
      </c>
      <c r="B23001" s="2" t="s">
        <v>35635</v>
      </c>
      <c r="C23001" s="1" t="s">
        <v>7129</v>
      </c>
      <c r="D23001" s="1" t="s">
        <v>7130</v>
      </c>
    </row>
    <row r="23002">
      <c r="A23002" s="1" t="s">
        <v>35636</v>
      </c>
      <c r="B23002" s="2" t="s">
        <v>35637</v>
      </c>
      <c r="C23002" s="1" t="s">
        <v>7129</v>
      </c>
      <c r="D23002" s="1" t="s">
        <v>7130</v>
      </c>
    </row>
    <row r="23003">
      <c r="A23003" s="1" t="s">
        <v>35638</v>
      </c>
      <c r="B23003" s="2" t="s">
        <v>35639</v>
      </c>
      <c r="C23003" s="1" t="s">
        <v>7129</v>
      </c>
      <c r="D23003" s="1" t="s">
        <v>7130</v>
      </c>
    </row>
    <row r="23004">
      <c r="A23004" s="1" t="s">
        <v>35640</v>
      </c>
      <c r="B23004" s="2" t="s">
        <v>35641</v>
      </c>
      <c r="C23004" s="1" t="s">
        <v>7129</v>
      </c>
      <c r="D23004" s="1" t="s">
        <v>7130</v>
      </c>
    </row>
    <row r="23005">
      <c r="A23005" s="1" t="s">
        <v>35642</v>
      </c>
      <c r="B23005" s="2" t="s">
        <v>35643</v>
      </c>
      <c r="C23005" s="1" t="s">
        <v>7129</v>
      </c>
      <c r="D23005" s="1" t="s">
        <v>7130</v>
      </c>
    </row>
    <row r="23006">
      <c r="A23006" s="1" t="s">
        <v>35644</v>
      </c>
      <c r="B23006" s="2" t="s">
        <v>32722</v>
      </c>
      <c r="C23006" s="1" t="s">
        <v>7129</v>
      </c>
      <c r="D23006" s="1" t="s">
        <v>7130</v>
      </c>
    </row>
    <row r="23007">
      <c r="A23007" s="1" t="s">
        <v>35645</v>
      </c>
      <c r="B23007" s="2" t="s">
        <v>35646</v>
      </c>
      <c r="C23007" s="1" t="s">
        <v>7129</v>
      </c>
      <c r="D23007" s="1" t="s">
        <v>7130</v>
      </c>
    </row>
    <row r="23008">
      <c r="A23008" s="1" t="s">
        <v>35647</v>
      </c>
      <c r="B23008" s="2" t="s">
        <v>35648</v>
      </c>
      <c r="C23008" s="1" t="s">
        <v>7129</v>
      </c>
      <c r="D23008" s="1" t="s">
        <v>7130</v>
      </c>
    </row>
    <row r="23009">
      <c r="A23009" s="1" t="s">
        <v>35649</v>
      </c>
      <c r="B23009" s="2" t="s">
        <v>35650</v>
      </c>
      <c r="C23009" s="1" t="s">
        <v>7129</v>
      </c>
      <c r="D23009" s="1" t="s">
        <v>7130</v>
      </c>
    </row>
    <row r="23010">
      <c r="A23010" s="1" t="s">
        <v>35651</v>
      </c>
      <c r="B23010" s="2" t="s">
        <v>35652</v>
      </c>
      <c r="C23010" s="1" t="s">
        <v>7129</v>
      </c>
      <c r="D23010" s="1" t="s">
        <v>7130</v>
      </c>
    </row>
    <row r="23011">
      <c r="A23011" s="1" t="s">
        <v>35653</v>
      </c>
      <c r="B23011" s="2" t="s">
        <v>35654</v>
      </c>
      <c r="C23011" s="1" t="s">
        <v>7129</v>
      </c>
      <c r="D23011" s="1" t="s">
        <v>7130</v>
      </c>
    </row>
    <row r="23012">
      <c r="A23012" s="1" t="s">
        <v>7135</v>
      </c>
      <c r="B23012" s="2" t="s">
        <v>7</v>
      </c>
      <c r="C23012" s="1" t="s">
        <v>7138</v>
      </c>
      <c r="D23012" s="1" t="s">
        <v>7139</v>
      </c>
    </row>
    <row r="23013">
      <c r="A23013" s="1" t="s">
        <v>35655</v>
      </c>
      <c r="B23013" s="2" t="s">
        <v>32702</v>
      </c>
      <c r="C23013" s="1" t="s">
        <v>7138</v>
      </c>
      <c r="D23013" s="1" t="s">
        <v>7139</v>
      </c>
    </row>
    <row r="23014">
      <c r="A23014" s="1" t="s">
        <v>35656</v>
      </c>
      <c r="B23014" s="2" t="s">
        <v>35049</v>
      </c>
      <c r="C23014" s="1" t="s">
        <v>7138</v>
      </c>
      <c r="D23014" s="1" t="s">
        <v>7139</v>
      </c>
    </row>
    <row r="23015">
      <c r="A23015" s="1" t="s">
        <v>35657</v>
      </c>
      <c r="B23015" s="2" t="s">
        <v>35658</v>
      </c>
      <c r="C23015" s="1" t="s">
        <v>7138</v>
      </c>
      <c r="D23015" s="1" t="s">
        <v>7139</v>
      </c>
    </row>
    <row r="23016">
      <c r="A23016" s="1" t="s">
        <v>35659</v>
      </c>
      <c r="B23016" s="2" t="s">
        <v>35660</v>
      </c>
      <c r="C23016" s="1" t="s">
        <v>7138</v>
      </c>
      <c r="D23016" s="1" t="s">
        <v>7139</v>
      </c>
    </row>
    <row r="23017">
      <c r="A23017" s="1" t="s">
        <v>35661</v>
      </c>
      <c r="B23017" s="2" t="s">
        <v>35662</v>
      </c>
      <c r="C23017" s="1" t="s">
        <v>7138</v>
      </c>
      <c r="D23017" s="1" t="s">
        <v>7139</v>
      </c>
    </row>
    <row r="23018">
      <c r="A23018" s="1" t="s">
        <v>35663</v>
      </c>
      <c r="B23018" s="2" t="s">
        <v>35664</v>
      </c>
      <c r="C23018" s="1" t="s">
        <v>7138</v>
      </c>
      <c r="D23018" s="1" t="s">
        <v>7139</v>
      </c>
    </row>
    <row r="23019">
      <c r="A23019" s="1" t="s">
        <v>35665</v>
      </c>
      <c r="B23019" s="2" t="s">
        <v>35666</v>
      </c>
      <c r="C23019" s="1" t="s">
        <v>7138</v>
      </c>
      <c r="D23019" s="1" t="s">
        <v>7139</v>
      </c>
    </row>
    <row r="23020">
      <c r="A23020" s="1" t="s">
        <v>35667</v>
      </c>
      <c r="B23020" s="2" t="s">
        <v>35668</v>
      </c>
      <c r="C23020" s="1" t="s">
        <v>7138</v>
      </c>
      <c r="D23020" s="1" t="s">
        <v>7139</v>
      </c>
    </row>
    <row r="23021">
      <c r="A23021" s="1" t="s">
        <v>35669</v>
      </c>
      <c r="B23021" s="2" t="s">
        <v>35670</v>
      </c>
      <c r="C23021" s="1" t="s">
        <v>7138</v>
      </c>
      <c r="D23021" s="1" t="s">
        <v>7139</v>
      </c>
    </row>
    <row r="23022">
      <c r="A23022" s="1" t="s">
        <v>35671</v>
      </c>
      <c r="B23022" s="2" t="s">
        <v>35672</v>
      </c>
      <c r="C23022" s="1" t="s">
        <v>7138</v>
      </c>
      <c r="D23022" s="1" t="s">
        <v>7139</v>
      </c>
    </row>
    <row r="23023">
      <c r="A23023" s="1" t="s">
        <v>35673</v>
      </c>
      <c r="B23023" s="2" t="s">
        <v>35674</v>
      </c>
      <c r="C23023" s="1" t="s">
        <v>7138</v>
      </c>
      <c r="D23023" s="1" t="s">
        <v>7139</v>
      </c>
    </row>
    <row r="23024">
      <c r="A23024" s="1" t="s">
        <v>35675</v>
      </c>
      <c r="B23024" s="2" t="s">
        <v>35676</v>
      </c>
      <c r="C23024" s="1" t="s">
        <v>7138</v>
      </c>
      <c r="D23024" s="1" t="s">
        <v>7139</v>
      </c>
    </row>
    <row r="23025">
      <c r="A23025" s="1" t="s">
        <v>35677</v>
      </c>
      <c r="B23025" s="2" t="s">
        <v>35678</v>
      </c>
      <c r="C23025" s="1" t="s">
        <v>7138</v>
      </c>
      <c r="D23025" s="1" t="s">
        <v>7139</v>
      </c>
    </row>
    <row r="23026">
      <c r="A23026" s="1" t="s">
        <v>35679</v>
      </c>
      <c r="B23026" s="2" t="s">
        <v>35680</v>
      </c>
      <c r="C23026" s="1" t="s">
        <v>7138</v>
      </c>
      <c r="D23026" s="1" t="s">
        <v>7139</v>
      </c>
    </row>
    <row r="23027">
      <c r="A23027" s="1" t="s">
        <v>35681</v>
      </c>
      <c r="B23027" s="2" t="s">
        <v>35682</v>
      </c>
      <c r="C23027" s="1" t="s">
        <v>7138</v>
      </c>
      <c r="D23027" s="1" t="s">
        <v>7139</v>
      </c>
    </row>
    <row r="23028">
      <c r="A23028" s="1" t="s">
        <v>35683</v>
      </c>
      <c r="B23028" s="2" t="s">
        <v>35684</v>
      </c>
      <c r="C23028" s="1" t="s">
        <v>7138</v>
      </c>
      <c r="D23028" s="1" t="s">
        <v>7139</v>
      </c>
    </row>
    <row r="23029">
      <c r="A23029" s="1" t="s">
        <v>35685</v>
      </c>
      <c r="B23029" s="2" t="s">
        <v>35686</v>
      </c>
      <c r="C23029" s="1" t="s">
        <v>7138</v>
      </c>
      <c r="D23029" s="1" t="s">
        <v>7139</v>
      </c>
    </row>
    <row r="23030">
      <c r="A23030" s="1" t="s">
        <v>35687</v>
      </c>
      <c r="B23030" s="2" t="s">
        <v>35688</v>
      </c>
      <c r="C23030" s="1" t="s">
        <v>7138</v>
      </c>
      <c r="D23030" s="1" t="s">
        <v>7139</v>
      </c>
    </row>
    <row r="23031">
      <c r="A23031" s="1" t="s">
        <v>35689</v>
      </c>
      <c r="B23031" s="2" t="s">
        <v>35690</v>
      </c>
      <c r="C23031" s="1" t="s">
        <v>7138</v>
      </c>
      <c r="D23031" s="1" t="s">
        <v>7139</v>
      </c>
    </row>
    <row r="23032">
      <c r="A23032" s="1" t="s">
        <v>35691</v>
      </c>
      <c r="B23032" s="2" t="s">
        <v>35692</v>
      </c>
      <c r="C23032" s="1" t="s">
        <v>7138</v>
      </c>
      <c r="D23032" s="1" t="s">
        <v>7139</v>
      </c>
    </row>
    <row r="23033">
      <c r="A23033" s="1" t="s">
        <v>35693</v>
      </c>
      <c r="B23033" s="2" t="s">
        <v>35694</v>
      </c>
      <c r="C23033" s="1" t="s">
        <v>7138</v>
      </c>
      <c r="D23033" s="1" t="s">
        <v>7139</v>
      </c>
    </row>
    <row r="23034">
      <c r="A23034" s="1" t="s">
        <v>35695</v>
      </c>
      <c r="B23034" s="2" t="s">
        <v>35696</v>
      </c>
      <c r="C23034" s="1" t="s">
        <v>7138</v>
      </c>
      <c r="D23034" s="1" t="s">
        <v>7139</v>
      </c>
    </row>
    <row r="23035">
      <c r="A23035" s="1" t="s">
        <v>35697</v>
      </c>
      <c r="B23035" s="2" t="s">
        <v>35698</v>
      </c>
      <c r="C23035" s="1" t="s">
        <v>7138</v>
      </c>
      <c r="D23035" s="1" t="s">
        <v>7139</v>
      </c>
    </row>
    <row r="23036">
      <c r="A23036" s="1" t="s">
        <v>35699</v>
      </c>
      <c r="B23036" s="2" t="s">
        <v>35700</v>
      </c>
      <c r="C23036" s="1" t="s">
        <v>7138</v>
      </c>
      <c r="D23036" s="1" t="s">
        <v>7139</v>
      </c>
    </row>
    <row r="23037">
      <c r="A23037" s="1" t="s">
        <v>35701</v>
      </c>
      <c r="B23037" s="2" t="s">
        <v>35702</v>
      </c>
      <c r="C23037" s="1" t="s">
        <v>7138</v>
      </c>
      <c r="D23037" s="1" t="s">
        <v>7139</v>
      </c>
    </row>
    <row r="23038">
      <c r="A23038" s="1" t="s">
        <v>35703</v>
      </c>
      <c r="B23038" s="2" t="s">
        <v>35704</v>
      </c>
      <c r="C23038" s="1" t="s">
        <v>7138</v>
      </c>
      <c r="D23038" s="1" t="s">
        <v>7139</v>
      </c>
    </row>
    <row r="23039">
      <c r="A23039" s="1" t="s">
        <v>35705</v>
      </c>
      <c r="B23039" s="2" t="s">
        <v>35706</v>
      </c>
      <c r="C23039" s="1" t="s">
        <v>7138</v>
      </c>
      <c r="D23039" s="1" t="s">
        <v>7139</v>
      </c>
    </row>
    <row r="23040">
      <c r="A23040" s="1" t="s">
        <v>35707</v>
      </c>
      <c r="B23040" s="2" t="s">
        <v>35708</v>
      </c>
      <c r="C23040" s="1" t="s">
        <v>7138</v>
      </c>
      <c r="D23040" s="1" t="s">
        <v>7139</v>
      </c>
    </row>
    <row r="23041">
      <c r="A23041" s="1" t="s">
        <v>35709</v>
      </c>
      <c r="B23041" s="2" t="s">
        <v>35710</v>
      </c>
      <c r="C23041" s="1" t="s">
        <v>7138</v>
      </c>
      <c r="D23041" s="1" t="s">
        <v>7139</v>
      </c>
    </row>
    <row r="23042">
      <c r="A23042" s="1" t="s">
        <v>35711</v>
      </c>
      <c r="B23042" s="2" t="s">
        <v>35712</v>
      </c>
      <c r="C23042" s="1" t="s">
        <v>7138</v>
      </c>
      <c r="D23042" s="1" t="s">
        <v>7139</v>
      </c>
    </row>
    <row r="23043">
      <c r="A23043" s="1" t="s">
        <v>35713</v>
      </c>
      <c r="B23043" s="2" t="s">
        <v>35714</v>
      </c>
      <c r="C23043" s="1" t="s">
        <v>7138</v>
      </c>
      <c r="D23043" s="1" t="s">
        <v>7139</v>
      </c>
    </row>
    <row r="23044">
      <c r="A23044" s="1" t="s">
        <v>35715</v>
      </c>
      <c r="B23044" s="2" t="s">
        <v>35716</v>
      </c>
      <c r="C23044" s="1" t="s">
        <v>7138</v>
      </c>
      <c r="D23044" s="1" t="s">
        <v>7139</v>
      </c>
    </row>
    <row r="23045">
      <c r="A23045" s="1" t="s">
        <v>35717</v>
      </c>
      <c r="B23045" s="2" t="s">
        <v>35718</v>
      </c>
      <c r="C23045" s="1" t="s">
        <v>7138</v>
      </c>
      <c r="D23045" s="1" t="s">
        <v>7139</v>
      </c>
    </row>
    <row r="23046">
      <c r="A23046" s="1" t="s">
        <v>35719</v>
      </c>
      <c r="B23046" s="2" t="s">
        <v>35720</v>
      </c>
      <c r="C23046" s="1" t="s">
        <v>7138</v>
      </c>
      <c r="D23046" s="1" t="s">
        <v>7139</v>
      </c>
    </row>
    <row r="23047">
      <c r="A23047" s="1" t="s">
        <v>35721</v>
      </c>
      <c r="B23047" s="2" t="s">
        <v>35722</v>
      </c>
      <c r="C23047" s="1" t="s">
        <v>7138</v>
      </c>
      <c r="D23047" s="1" t="s">
        <v>7139</v>
      </c>
    </row>
    <row r="23048">
      <c r="A23048" s="1" t="s">
        <v>35723</v>
      </c>
      <c r="B23048" s="2" t="s">
        <v>35724</v>
      </c>
      <c r="C23048" s="1" t="s">
        <v>7138</v>
      </c>
      <c r="D23048" s="1" t="s">
        <v>7139</v>
      </c>
    </row>
    <row r="23049">
      <c r="A23049" s="1" t="s">
        <v>35725</v>
      </c>
      <c r="B23049" s="2" t="s">
        <v>32722</v>
      </c>
      <c r="C23049" s="1" t="s">
        <v>7138</v>
      </c>
      <c r="D23049" s="1" t="s">
        <v>7139</v>
      </c>
    </row>
    <row r="23050">
      <c r="A23050" s="1" t="s">
        <v>35726</v>
      </c>
      <c r="B23050" s="2" t="s">
        <v>35070</v>
      </c>
      <c r="C23050" s="1" t="s">
        <v>7138</v>
      </c>
      <c r="D23050" s="1" t="s">
        <v>7139</v>
      </c>
    </row>
    <row r="23051">
      <c r="A23051" s="1" t="s">
        <v>35727</v>
      </c>
      <c r="B23051" s="2" t="s">
        <v>35728</v>
      </c>
      <c r="C23051" s="1" t="s">
        <v>7138</v>
      </c>
      <c r="D23051" s="1" t="s">
        <v>7139</v>
      </c>
    </row>
    <row r="23052">
      <c r="A23052" s="1" t="s">
        <v>35729</v>
      </c>
      <c r="B23052" s="2" t="s">
        <v>35730</v>
      </c>
      <c r="C23052" s="1" t="s">
        <v>7138</v>
      </c>
      <c r="D23052" s="1" t="s">
        <v>7139</v>
      </c>
    </row>
    <row r="23053">
      <c r="A23053" s="1" t="s">
        <v>35731</v>
      </c>
      <c r="B23053" s="2" t="s">
        <v>35732</v>
      </c>
      <c r="C23053" s="1" t="s">
        <v>7138</v>
      </c>
      <c r="D23053" s="1" t="s">
        <v>7139</v>
      </c>
    </row>
    <row r="23054">
      <c r="A23054" s="1" t="s">
        <v>35733</v>
      </c>
      <c r="B23054" s="2" t="s">
        <v>35734</v>
      </c>
      <c r="C23054" s="1" t="s">
        <v>7138</v>
      </c>
      <c r="D23054" s="1" t="s">
        <v>7139</v>
      </c>
    </row>
    <row r="23055">
      <c r="A23055" s="1" t="s">
        <v>35735</v>
      </c>
      <c r="B23055" s="2" t="s">
        <v>35736</v>
      </c>
      <c r="C23055" s="1" t="s">
        <v>7138</v>
      </c>
      <c r="D23055" s="1" t="s">
        <v>7139</v>
      </c>
    </row>
    <row r="23056">
      <c r="A23056" s="1" t="s">
        <v>35737</v>
      </c>
      <c r="B23056" s="2" t="s">
        <v>35738</v>
      </c>
      <c r="C23056" s="1" t="s">
        <v>7138</v>
      </c>
      <c r="D23056" s="1" t="s">
        <v>7139</v>
      </c>
    </row>
    <row r="23057">
      <c r="A23057" s="1" t="s">
        <v>35739</v>
      </c>
      <c r="B23057" s="2" t="s">
        <v>35740</v>
      </c>
      <c r="C23057" s="1" t="s">
        <v>7138</v>
      </c>
      <c r="D23057" s="1" t="s">
        <v>7139</v>
      </c>
    </row>
    <row r="23058">
      <c r="A23058" s="1" t="s">
        <v>35741</v>
      </c>
      <c r="B23058" s="2" t="s">
        <v>35742</v>
      </c>
      <c r="C23058" s="1" t="s">
        <v>7138</v>
      </c>
      <c r="D23058" s="1" t="s">
        <v>7139</v>
      </c>
    </row>
    <row r="23059">
      <c r="A23059" s="1" t="s">
        <v>35743</v>
      </c>
      <c r="B23059" s="2" t="s">
        <v>35744</v>
      </c>
      <c r="C23059" s="1" t="s">
        <v>7138</v>
      </c>
      <c r="D23059" s="1" t="s">
        <v>7139</v>
      </c>
    </row>
    <row r="23060">
      <c r="A23060" s="1" t="s">
        <v>35745</v>
      </c>
      <c r="B23060" s="2" t="s">
        <v>35746</v>
      </c>
      <c r="C23060" s="1" t="s">
        <v>7138</v>
      </c>
      <c r="D23060" s="1" t="s">
        <v>7139</v>
      </c>
    </row>
    <row r="23061">
      <c r="A23061" s="1" t="s">
        <v>35747</v>
      </c>
      <c r="B23061" s="2" t="s">
        <v>35748</v>
      </c>
      <c r="C23061" s="1" t="s">
        <v>7138</v>
      </c>
      <c r="D23061" s="1" t="s">
        <v>7139</v>
      </c>
    </row>
    <row r="23062">
      <c r="A23062" s="1" t="s">
        <v>35749</v>
      </c>
      <c r="B23062" s="2" t="s">
        <v>35750</v>
      </c>
      <c r="C23062" s="1" t="s">
        <v>7138</v>
      </c>
      <c r="D23062" s="1" t="s">
        <v>7139</v>
      </c>
    </row>
    <row r="23063">
      <c r="A23063" s="1" t="s">
        <v>35751</v>
      </c>
      <c r="B23063" s="2" t="s">
        <v>35752</v>
      </c>
      <c r="C23063" s="1" t="s">
        <v>7138</v>
      </c>
      <c r="D23063" s="1" t="s">
        <v>7139</v>
      </c>
    </row>
    <row r="23064">
      <c r="A23064" s="1" t="s">
        <v>35753</v>
      </c>
      <c r="B23064" s="2" t="s">
        <v>35754</v>
      </c>
      <c r="C23064" s="1" t="s">
        <v>7138</v>
      </c>
      <c r="D23064" s="1" t="s">
        <v>7139</v>
      </c>
    </row>
    <row r="23065">
      <c r="A23065" s="1" t="s">
        <v>35755</v>
      </c>
      <c r="B23065" s="2" t="s">
        <v>35756</v>
      </c>
      <c r="C23065" s="1" t="s">
        <v>7138</v>
      </c>
      <c r="D23065" s="1" t="s">
        <v>7139</v>
      </c>
    </row>
    <row r="23066">
      <c r="A23066" s="1" t="s">
        <v>35757</v>
      </c>
      <c r="B23066" s="2" t="s">
        <v>35758</v>
      </c>
      <c r="C23066" s="1" t="s">
        <v>7138</v>
      </c>
      <c r="D23066" s="1" t="s">
        <v>7139</v>
      </c>
    </row>
    <row r="23067">
      <c r="A23067" s="1" t="s">
        <v>35759</v>
      </c>
      <c r="B23067" s="2" t="s">
        <v>35760</v>
      </c>
      <c r="C23067" s="1" t="s">
        <v>7138</v>
      </c>
      <c r="D23067" s="1" t="s">
        <v>7139</v>
      </c>
    </row>
    <row r="23068">
      <c r="A23068" s="1" t="s">
        <v>35761</v>
      </c>
      <c r="B23068" s="2" t="s">
        <v>35762</v>
      </c>
      <c r="C23068" s="1" t="s">
        <v>7138</v>
      </c>
      <c r="D23068" s="1" t="s">
        <v>7139</v>
      </c>
    </row>
    <row r="23069">
      <c r="A23069" s="1" t="s">
        <v>35763</v>
      </c>
      <c r="B23069" s="2" t="s">
        <v>35764</v>
      </c>
      <c r="C23069" s="1" t="s">
        <v>7138</v>
      </c>
      <c r="D23069" s="1" t="s">
        <v>7139</v>
      </c>
    </row>
    <row r="23070">
      <c r="A23070" s="1" t="s">
        <v>35765</v>
      </c>
      <c r="B23070" s="2" t="s">
        <v>35766</v>
      </c>
      <c r="C23070" s="1" t="s">
        <v>7138</v>
      </c>
      <c r="D23070" s="1" t="s">
        <v>7139</v>
      </c>
    </row>
    <row r="23071">
      <c r="A23071" s="1" t="s">
        <v>35767</v>
      </c>
      <c r="B23071" s="2" t="s">
        <v>35768</v>
      </c>
      <c r="C23071" s="1" t="s">
        <v>7138</v>
      </c>
      <c r="D23071" s="1" t="s">
        <v>7139</v>
      </c>
    </row>
    <row r="23072">
      <c r="A23072" s="1" t="s">
        <v>35769</v>
      </c>
      <c r="B23072" s="2" t="s">
        <v>35770</v>
      </c>
      <c r="C23072" s="1" t="s">
        <v>7138</v>
      </c>
      <c r="D23072" s="1" t="s">
        <v>7139</v>
      </c>
    </row>
    <row r="23073">
      <c r="A23073" s="1" t="s">
        <v>35771</v>
      </c>
      <c r="B23073" s="2" t="s">
        <v>35772</v>
      </c>
      <c r="C23073" s="1" t="s">
        <v>7138</v>
      </c>
      <c r="D23073" s="1" t="s">
        <v>7139</v>
      </c>
    </row>
    <row r="23074">
      <c r="A23074" s="1" t="s">
        <v>35773</v>
      </c>
      <c r="B23074" s="2" t="s">
        <v>35774</v>
      </c>
      <c r="C23074" s="1" t="s">
        <v>7138</v>
      </c>
      <c r="D23074" s="1" t="s">
        <v>7139</v>
      </c>
    </row>
    <row r="23075">
      <c r="A23075" s="1" t="s">
        <v>35775</v>
      </c>
      <c r="B23075" s="2" t="s">
        <v>35776</v>
      </c>
      <c r="C23075" s="1" t="s">
        <v>7138</v>
      </c>
      <c r="D23075" s="1" t="s">
        <v>7139</v>
      </c>
    </row>
    <row r="23076">
      <c r="A23076" s="1" t="s">
        <v>35777</v>
      </c>
      <c r="B23076" s="2" t="s">
        <v>35778</v>
      </c>
      <c r="C23076" s="1" t="s">
        <v>7138</v>
      </c>
      <c r="D23076" s="1" t="s">
        <v>7139</v>
      </c>
    </row>
    <row r="23077">
      <c r="A23077" s="1" t="s">
        <v>35779</v>
      </c>
      <c r="B23077" s="2" t="s">
        <v>35780</v>
      </c>
      <c r="C23077" s="1" t="s">
        <v>7138</v>
      </c>
      <c r="D23077" s="1" t="s">
        <v>7139</v>
      </c>
    </row>
    <row r="23078">
      <c r="A23078" s="1" t="s">
        <v>35781</v>
      </c>
      <c r="B23078" s="2" t="s">
        <v>35782</v>
      </c>
      <c r="C23078" s="1" t="s">
        <v>7138</v>
      </c>
      <c r="D23078" s="1" t="s">
        <v>7139</v>
      </c>
    </row>
    <row r="23079">
      <c r="A23079" s="1" t="s">
        <v>35783</v>
      </c>
      <c r="B23079" s="2" t="s">
        <v>35784</v>
      </c>
      <c r="C23079" s="1" t="s">
        <v>7138</v>
      </c>
      <c r="D23079" s="1" t="s">
        <v>7139</v>
      </c>
    </row>
    <row r="23080">
      <c r="A23080" s="1" t="s">
        <v>35785</v>
      </c>
      <c r="B23080" s="2" t="s">
        <v>35786</v>
      </c>
      <c r="C23080" s="1" t="s">
        <v>7138</v>
      </c>
      <c r="D23080" s="1" t="s">
        <v>7139</v>
      </c>
    </row>
    <row r="23081">
      <c r="A23081" s="1" t="s">
        <v>35787</v>
      </c>
      <c r="B23081" s="2" t="s">
        <v>35788</v>
      </c>
      <c r="C23081" s="1" t="s">
        <v>7138</v>
      </c>
      <c r="D23081" s="1" t="s">
        <v>7139</v>
      </c>
    </row>
    <row r="23082">
      <c r="A23082" s="1" t="s">
        <v>35789</v>
      </c>
      <c r="B23082" s="2" t="s">
        <v>35790</v>
      </c>
      <c r="C23082" s="1" t="s">
        <v>7138</v>
      </c>
      <c r="D23082" s="1" t="s">
        <v>7139</v>
      </c>
    </row>
    <row r="23083">
      <c r="A23083" s="1" t="s">
        <v>35791</v>
      </c>
      <c r="B23083" s="2" t="s">
        <v>35792</v>
      </c>
      <c r="C23083" s="1" t="s">
        <v>7138</v>
      </c>
      <c r="D23083" s="1" t="s">
        <v>7139</v>
      </c>
    </row>
    <row r="23084">
      <c r="A23084" s="1" t="s">
        <v>35793</v>
      </c>
      <c r="B23084" s="2" t="s">
        <v>35794</v>
      </c>
      <c r="C23084" s="1" t="s">
        <v>7138</v>
      </c>
      <c r="D23084" s="1" t="s">
        <v>7139</v>
      </c>
    </row>
    <row r="23085">
      <c r="A23085" s="1" t="s">
        <v>7152</v>
      </c>
      <c r="B23085" s="2" t="s">
        <v>7</v>
      </c>
      <c r="C23085" s="1" t="s">
        <v>7155</v>
      </c>
      <c r="D23085" s="1" t="s">
        <v>7156</v>
      </c>
    </row>
    <row r="23086">
      <c r="A23086" s="1" t="s">
        <v>35795</v>
      </c>
      <c r="B23086" s="2" t="s">
        <v>32702</v>
      </c>
      <c r="C23086" s="1" t="s">
        <v>7155</v>
      </c>
      <c r="D23086" s="1" t="s">
        <v>7156</v>
      </c>
    </row>
    <row r="23087">
      <c r="A23087" s="1" t="s">
        <v>35796</v>
      </c>
      <c r="B23087" s="2" t="s">
        <v>33001</v>
      </c>
      <c r="C23087" s="1" t="s">
        <v>7155</v>
      </c>
      <c r="D23087" s="1" t="s">
        <v>7156</v>
      </c>
    </row>
    <row r="23088">
      <c r="A23088" s="1" t="s">
        <v>35797</v>
      </c>
      <c r="B23088" s="2" t="s">
        <v>35798</v>
      </c>
      <c r="C23088" s="1" t="s">
        <v>7155</v>
      </c>
      <c r="D23088" s="1" t="s">
        <v>7156</v>
      </c>
    </row>
    <row r="23089">
      <c r="A23089" s="1" t="s">
        <v>35799</v>
      </c>
      <c r="B23089" s="2" t="s">
        <v>35800</v>
      </c>
      <c r="C23089" s="1" t="s">
        <v>7155</v>
      </c>
      <c r="D23089" s="1" t="s">
        <v>7156</v>
      </c>
    </row>
    <row r="23090">
      <c r="A23090" s="1" t="s">
        <v>35801</v>
      </c>
      <c r="B23090" s="2" t="s">
        <v>35802</v>
      </c>
      <c r="C23090" s="1" t="s">
        <v>7155</v>
      </c>
      <c r="D23090" s="1" t="s">
        <v>7156</v>
      </c>
    </row>
    <row r="23091">
      <c r="A23091" s="1" t="s">
        <v>35803</v>
      </c>
      <c r="B23091" s="2" t="s">
        <v>35804</v>
      </c>
      <c r="C23091" s="1" t="s">
        <v>7155</v>
      </c>
      <c r="D23091" s="1" t="s">
        <v>7156</v>
      </c>
    </row>
    <row r="23092">
      <c r="A23092" s="1" t="s">
        <v>35805</v>
      </c>
      <c r="B23092" s="2" t="s">
        <v>35806</v>
      </c>
      <c r="C23092" s="1" t="s">
        <v>7155</v>
      </c>
      <c r="D23092" s="1" t="s">
        <v>7156</v>
      </c>
    </row>
    <row r="23093">
      <c r="A23093" s="1" t="s">
        <v>35807</v>
      </c>
      <c r="B23093" s="2" t="s">
        <v>35808</v>
      </c>
      <c r="C23093" s="1" t="s">
        <v>7155</v>
      </c>
      <c r="D23093" s="1" t="s">
        <v>7156</v>
      </c>
    </row>
    <row r="23094">
      <c r="A23094" s="1" t="s">
        <v>35809</v>
      </c>
      <c r="B23094" s="2" t="s">
        <v>33009</v>
      </c>
      <c r="C23094" s="1" t="s">
        <v>7155</v>
      </c>
      <c r="D23094" s="1" t="s">
        <v>7156</v>
      </c>
    </row>
    <row r="23095">
      <c r="A23095" s="1" t="s">
        <v>35810</v>
      </c>
      <c r="B23095" s="2" t="s">
        <v>35811</v>
      </c>
      <c r="C23095" s="1" t="s">
        <v>7155</v>
      </c>
      <c r="D23095" s="1" t="s">
        <v>7156</v>
      </c>
    </row>
    <row r="23096">
      <c r="A23096" s="1" t="s">
        <v>35812</v>
      </c>
      <c r="B23096" s="2" t="s">
        <v>35813</v>
      </c>
      <c r="C23096" s="1" t="s">
        <v>7155</v>
      </c>
      <c r="D23096" s="1" t="s">
        <v>7156</v>
      </c>
    </row>
    <row r="23097">
      <c r="A23097" s="1" t="s">
        <v>35814</v>
      </c>
      <c r="B23097" s="2" t="s">
        <v>35815</v>
      </c>
      <c r="C23097" s="1" t="s">
        <v>7155</v>
      </c>
      <c r="D23097" s="1" t="s">
        <v>7156</v>
      </c>
    </row>
    <row r="23098">
      <c r="A23098" s="1" t="s">
        <v>35816</v>
      </c>
      <c r="B23098" s="2" t="s">
        <v>35817</v>
      </c>
      <c r="C23098" s="1" t="s">
        <v>7155</v>
      </c>
      <c r="D23098" s="1" t="s">
        <v>7156</v>
      </c>
    </row>
    <row r="23099">
      <c r="A23099" s="1" t="s">
        <v>35818</v>
      </c>
      <c r="B23099" s="2" t="s">
        <v>35819</v>
      </c>
      <c r="C23099" s="1" t="s">
        <v>7155</v>
      </c>
      <c r="D23099" s="1" t="s">
        <v>7156</v>
      </c>
    </row>
    <row r="23100">
      <c r="A23100" s="1" t="s">
        <v>35820</v>
      </c>
      <c r="B23100" s="2" t="s">
        <v>35821</v>
      </c>
      <c r="C23100" s="1" t="s">
        <v>7155</v>
      </c>
      <c r="D23100" s="1" t="s">
        <v>7156</v>
      </c>
    </row>
    <row r="23101">
      <c r="A23101" s="1" t="s">
        <v>35822</v>
      </c>
      <c r="B23101" s="2" t="s">
        <v>33017</v>
      </c>
      <c r="C23101" s="1" t="s">
        <v>7155</v>
      </c>
      <c r="D23101" s="1" t="s">
        <v>7156</v>
      </c>
    </row>
    <row r="23102">
      <c r="A23102" s="1" t="s">
        <v>35823</v>
      </c>
      <c r="B23102" s="2" t="s">
        <v>35824</v>
      </c>
      <c r="C23102" s="1" t="s">
        <v>7155</v>
      </c>
      <c r="D23102" s="1" t="s">
        <v>7156</v>
      </c>
    </row>
    <row r="23103">
      <c r="A23103" s="1" t="s">
        <v>35825</v>
      </c>
      <c r="B23103" s="2" t="s">
        <v>35826</v>
      </c>
      <c r="C23103" s="1" t="s">
        <v>7155</v>
      </c>
      <c r="D23103" s="1" t="s">
        <v>7156</v>
      </c>
    </row>
    <row r="23104">
      <c r="A23104" s="1" t="s">
        <v>35827</v>
      </c>
      <c r="B23104" s="2" t="s">
        <v>35828</v>
      </c>
      <c r="C23104" s="1" t="s">
        <v>7155</v>
      </c>
      <c r="D23104" s="1" t="s">
        <v>7156</v>
      </c>
    </row>
    <row r="23105">
      <c r="A23105" s="1" t="s">
        <v>35829</v>
      </c>
      <c r="B23105" s="2" t="s">
        <v>35830</v>
      </c>
      <c r="C23105" s="1" t="s">
        <v>7155</v>
      </c>
      <c r="D23105" s="1" t="s">
        <v>7156</v>
      </c>
    </row>
    <row r="23106">
      <c r="A23106" s="1" t="s">
        <v>35831</v>
      </c>
      <c r="B23106" s="2" t="s">
        <v>35832</v>
      </c>
      <c r="C23106" s="1" t="s">
        <v>7155</v>
      </c>
      <c r="D23106" s="1" t="s">
        <v>7156</v>
      </c>
    </row>
    <row r="23107">
      <c r="A23107" s="1" t="s">
        <v>35833</v>
      </c>
      <c r="B23107" s="2" t="s">
        <v>35834</v>
      </c>
      <c r="C23107" s="1" t="s">
        <v>7155</v>
      </c>
      <c r="D23107" s="1" t="s">
        <v>7156</v>
      </c>
    </row>
    <row r="23108">
      <c r="A23108" s="1" t="s">
        <v>35835</v>
      </c>
      <c r="B23108" s="2" t="s">
        <v>32722</v>
      </c>
      <c r="C23108" s="1" t="s">
        <v>7155</v>
      </c>
      <c r="D23108" s="1" t="s">
        <v>7156</v>
      </c>
    </row>
    <row r="23109">
      <c r="A23109" s="1" t="s">
        <v>35836</v>
      </c>
      <c r="B23109" s="2" t="s">
        <v>33026</v>
      </c>
      <c r="C23109" s="1" t="s">
        <v>7155</v>
      </c>
      <c r="D23109" s="1" t="s">
        <v>7156</v>
      </c>
    </row>
    <row r="23110">
      <c r="A23110" s="1" t="s">
        <v>35837</v>
      </c>
      <c r="B23110" s="2" t="s">
        <v>35838</v>
      </c>
      <c r="C23110" s="1" t="s">
        <v>7155</v>
      </c>
      <c r="D23110" s="1" t="s">
        <v>7156</v>
      </c>
    </row>
    <row r="23111">
      <c r="A23111" s="1" t="s">
        <v>35839</v>
      </c>
      <c r="B23111" s="2" t="s">
        <v>35840</v>
      </c>
      <c r="C23111" s="1" t="s">
        <v>7155</v>
      </c>
      <c r="D23111" s="1" t="s">
        <v>7156</v>
      </c>
    </row>
    <row r="23112">
      <c r="A23112" s="1" t="s">
        <v>35841</v>
      </c>
      <c r="B23112" s="2" t="s">
        <v>35842</v>
      </c>
      <c r="C23112" s="1" t="s">
        <v>7155</v>
      </c>
      <c r="D23112" s="1" t="s">
        <v>7156</v>
      </c>
    </row>
    <row r="23113">
      <c r="A23113" s="1" t="s">
        <v>35843</v>
      </c>
      <c r="B23113" s="2" t="s">
        <v>35844</v>
      </c>
      <c r="C23113" s="1" t="s">
        <v>7155</v>
      </c>
      <c r="D23113" s="1" t="s">
        <v>7156</v>
      </c>
    </row>
    <row r="23114">
      <c r="A23114" s="1" t="s">
        <v>35845</v>
      </c>
      <c r="B23114" s="2" t="s">
        <v>35846</v>
      </c>
      <c r="C23114" s="1" t="s">
        <v>7155</v>
      </c>
      <c r="D23114" s="1" t="s">
        <v>7156</v>
      </c>
    </row>
    <row r="23115">
      <c r="A23115" s="1" t="s">
        <v>35847</v>
      </c>
      <c r="B23115" s="2" t="s">
        <v>35848</v>
      </c>
      <c r="C23115" s="1" t="s">
        <v>7155</v>
      </c>
      <c r="D23115" s="1" t="s">
        <v>7156</v>
      </c>
    </row>
    <row r="23116">
      <c r="A23116" s="1" t="s">
        <v>35849</v>
      </c>
      <c r="B23116" s="2" t="s">
        <v>33034</v>
      </c>
      <c r="C23116" s="1" t="s">
        <v>7155</v>
      </c>
      <c r="D23116" s="1" t="s">
        <v>7156</v>
      </c>
    </row>
    <row r="23117">
      <c r="A23117" s="1" t="s">
        <v>35850</v>
      </c>
      <c r="B23117" s="2" t="s">
        <v>35851</v>
      </c>
      <c r="C23117" s="1" t="s">
        <v>7155</v>
      </c>
      <c r="D23117" s="1" t="s">
        <v>7156</v>
      </c>
    </row>
    <row r="23118">
      <c r="A23118" s="1" t="s">
        <v>35852</v>
      </c>
      <c r="B23118" s="2" t="s">
        <v>35853</v>
      </c>
      <c r="C23118" s="1" t="s">
        <v>7155</v>
      </c>
      <c r="D23118" s="1" t="s">
        <v>7156</v>
      </c>
    </row>
    <row r="23119">
      <c r="A23119" s="1" t="s">
        <v>35854</v>
      </c>
      <c r="B23119" s="2" t="s">
        <v>35855</v>
      </c>
      <c r="C23119" s="1" t="s">
        <v>7155</v>
      </c>
      <c r="D23119" s="1" t="s">
        <v>7156</v>
      </c>
    </row>
    <row r="23120">
      <c r="A23120" s="1" t="s">
        <v>35856</v>
      </c>
      <c r="B23120" s="2" t="s">
        <v>35857</v>
      </c>
      <c r="C23120" s="1" t="s">
        <v>7155</v>
      </c>
      <c r="D23120" s="1" t="s">
        <v>7156</v>
      </c>
    </row>
    <row r="23121">
      <c r="A23121" s="1" t="s">
        <v>35858</v>
      </c>
      <c r="B23121" s="2" t="s">
        <v>35859</v>
      </c>
      <c r="C23121" s="1" t="s">
        <v>7155</v>
      </c>
      <c r="D23121" s="1" t="s">
        <v>7156</v>
      </c>
    </row>
    <row r="23122">
      <c r="A23122" s="1" t="s">
        <v>35860</v>
      </c>
      <c r="B23122" s="2" t="s">
        <v>35861</v>
      </c>
      <c r="C23122" s="1" t="s">
        <v>7155</v>
      </c>
      <c r="D23122" s="1" t="s">
        <v>7156</v>
      </c>
    </row>
    <row r="23123">
      <c r="A23123" s="1" t="s">
        <v>35862</v>
      </c>
      <c r="B23123" s="2" t="s">
        <v>33042</v>
      </c>
      <c r="C23123" s="1" t="s">
        <v>7155</v>
      </c>
      <c r="D23123" s="1" t="s">
        <v>7156</v>
      </c>
    </row>
    <row r="23124">
      <c r="A23124" s="1" t="s">
        <v>35863</v>
      </c>
      <c r="B23124" s="2" t="s">
        <v>35864</v>
      </c>
      <c r="C23124" s="1" t="s">
        <v>7155</v>
      </c>
      <c r="D23124" s="1" t="s">
        <v>7156</v>
      </c>
    </row>
    <row r="23125">
      <c r="A23125" s="1" t="s">
        <v>35865</v>
      </c>
      <c r="B23125" s="2" t="s">
        <v>35866</v>
      </c>
      <c r="C23125" s="1" t="s">
        <v>7155</v>
      </c>
      <c r="D23125" s="1" t="s">
        <v>7156</v>
      </c>
    </row>
    <row r="23126">
      <c r="A23126" s="1" t="s">
        <v>35867</v>
      </c>
      <c r="B23126" s="2" t="s">
        <v>35868</v>
      </c>
      <c r="C23126" s="1" t="s">
        <v>7155</v>
      </c>
      <c r="D23126" s="1" t="s">
        <v>7156</v>
      </c>
    </row>
    <row r="23127">
      <c r="A23127" s="1" t="s">
        <v>35869</v>
      </c>
      <c r="B23127" s="2" t="s">
        <v>35870</v>
      </c>
      <c r="C23127" s="1" t="s">
        <v>7155</v>
      </c>
      <c r="D23127" s="1" t="s">
        <v>7156</v>
      </c>
    </row>
    <row r="23128">
      <c r="A23128" s="1" t="s">
        <v>35871</v>
      </c>
      <c r="B23128" s="2" t="s">
        <v>35872</v>
      </c>
      <c r="C23128" s="1" t="s">
        <v>7155</v>
      </c>
      <c r="D23128" s="1" t="s">
        <v>7156</v>
      </c>
    </row>
    <row r="23129">
      <c r="A23129" s="1" t="s">
        <v>35873</v>
      </c>
      <c r="B23129" s="2" t="s">
        <v>35874</v>
      </c>
      <c r="C23129" s="1" t="s">
        <v>7155</v>
      </c>
      <c r="D23129" s="1" t="s">
        <v>7156</v>
      </c>
    </row>
    <row r="23130">
      <c r="A23130" s="1" t="s">
        <v>7161</v>
      </c>
      <c r="B23130" s="2" t="s">
        <v>7</v>
      </c>
      <c r="C23130" s="1" t="s">
        <v>7164</v>
      </c>
      <c r="D23130" s="1" t="s">
        <v>7165</v>
      </c>
    </row>
    <row r="23131">
      <c r="A23131" s="1" t="s">
        <v>35875</v>
      </c>
      <c r="B23131" s="2" t="s">
        <v>32702</v>
      </c>
      <c r="C23131" s="1" t="s">
        <v>7164</v>
      </c>
      <c r="D23131" s="1" t="s">
        <v>7165</v>
      </c>
    </row>
    <row r="23132">
      <c r="A23132" s="1" t="s">
        <v>35876</v>
      </c>
      <c r="B23132" s="2" t="s">
        <v>33001</v>
      </c>
      <c r="C23132" s="1" t="s">
        <v>7164</v>
      </c>
      <c r="D23132" s="1" t="s">
        <v>7165</v>
      </c>
    </row>
    <row r="23133">
      <c r="A23133" s="1" t="s">
        <v>35877</v>
      </c>
      <c r="B23133" s="2" t="s">
        <v>35878</v>
      </c>
      <c r="C23133" s="1" t="s">
        <v>7164</v>
      </c>
      <c r="D23133" s="1" t="s">
        <v>7165</v>
      </c>
    </row>
    <row r="23134">
      <c r="A23134" s="1" t="s">
        <v>35879</v>
      </c>
      <c r="B23134" s="2" t="s">
        <v>35880</v>
      </c>
      <c r="C23134" s="1" t="s">
        <v>7164</v>
      </c>
      <c r="D23134" s="1" t="s">
        <v>7165</v>
      </c>
    </row>
    <row r="23135">
      <c r="A23135" s="1" t="s">
        <v>35881</v>
      </c>
      <c r="B23135" s="2" t="s">
        <v>35882</v>
      </c>
      <c r="C23135" s="1" t="s">
        <v>7164</v>
      </c>
      <c r="D23135" s="1" t="s">
        <v>7165</v>
      </c>
    </row>
    <row r="23136">
      <c r="A23136" s="1" t="s">
        <v>35883</v>
      </c>
      <c r="B23136" s="2" t="s">
        <v>35884</v>
      </c>
      <c r="C23136" s="1" t="s">
        <v>7164</v>
      </c>
      <c r="D23136" s="1" t="s">
        <v>7165</v>
      </c>
    </row>
    <row r="23137">
      <c r="A23137" s="1" t="s">
        <v>35885</v>
      </c>
      <c r="B23137" s="2" t="s">
        <v>35886</v>
      </c>
      <c r="C23137" s="1" t="s">
        <v>7164</v>
      </c>
      <c r="D23137" s="1" t="s">
        <v>7165</v>
      </c>
    </row>
    <row r="23138">
      <c r="A23138" s="1" t="s">
        <v>35887</v>
      </c>
      <c r="B23138" s="2" t="s">
        <v>35888</v>
      </c>
      <c r="C23138" s="1" t="s">
        <v>7164</v>
      </c>
      <c r="D23138" s="1" t="s">
        <v>7165</v>
      </c>
    </row>
    <row r="23139">
      <c r="A23139" s="1" t="s">
        <v>35889</v>
      </c>
      <c r="B23139" s="2" t="s">
        <v>35890</v>
      </c>
      <c r="C23139" s="1" t="s">
        <v>7164</v>
      </c>
      <c r="D23139" s="1" t="s">
        <v>7165</v>
      </c>
    </row>
    <row r="23140">
      <c r="A23140" s="1" t="s">
        <v>35891</v>
      </c>
      <c r="B23140" s="2" t="s">
        <v>35892</v>
      </c>
      <c r="C23140" s="1" t="s">
        <v>7164</v>
      </c>
      <c r="D23140" s="1" t="s">
        <v>7165</v>
      </c>
    </row>
    <row r="23141">
      <c r="A23141" s="1" t="s">
        <v>35893</v>
      </c>
      <c r="B23141" s="2" t="s">
        <v>35894</v>
      </c>
      <c r="C23141" s="1" t="s">
        <v>7164</v>
      </c>
      <c r="D23141" s="1" t="s">
        <v>7165</v>
      </c>
    </row>
    <row r="23142">
      <c r="A23142" s="1" t="s">
        <v>35895</v>
      </c>
      <c r="B23142" s="2" t="s">
        <v>35896</v>
      </c>
      <c r="C23142" s="1" t="s">
        <v>7164</v>
      </c>
      <c r="D23142" s="1" t="s">
        <v>7165</v>
      </c>
    </row>
    <row r="23143">
      <c r="A23143" s="1" t="s">
        <v>35897</v>
      </c>
      <c r="B23143" s="2" t="s">
        <v>33009</v>
      </c>
      <c r="C23143" s="1" t="s">
        <v>7164</v>
      </c>
      <c r="D23143" s="1" t="s">
        <v>7165</v>
      </c>
    </row>
    <row r="23144">
      <c r="A23144" s="1" t="s">
        <v>35898</v>
      </c>
      <c r="B23144" s="2" t="s">
        <v>35899</v>
      </c>
      <c r="C23144" s="1" t="s">
        <v>7164</v>
      </c>
      <c r="D23144" s="1" t="s">
        <v>7165</v>
      </c>
    </row>
    <row r="23145">
      <c r="A23145" s="1" t="s">
        <v>35900</v>
      </c>
      <c r="B23145" s="2" t="s">
        <v>35901</v>
      </c>
      <c r="C23145" s="1" t="s">
        <v>7164</v>
      </c>
      <c r="D23145" s="1" t="s">
        <v>7165</v>
      </c>
    </row>
    <row r="23146">
      <c r="A23146" s="1" t="s">
        <v>35902</v>
      </c>
      <c r="B23146" s="2" t="s">
        <v>35903</v>
      </c>
      <c r="C23146" s="1" t="s">
        <v>7164</v>
      </c>
      <c r="D23146" s="1" t="s">
        <v>7165</v>
      </c>
    </row>
    <row r="23147">
      <c r="A23147" s="1" t="s">
        <v>35904</v>
      </c>
      <c r="B23147" s="2" t="s">
        <v>35905</v>
      </c>
      <c r="C23147" s="1" t="s">
        <v>7164</v>
      </c>
      <c r="D23147" s="1" t="s">
        <v>7165</v>
      </c>
    </row>
    <row r="23148">
      <c r="A23148" s="1" t="s">
        <v>35906</v>
      </c>
      <c r="B23148" s="2" t="s">
        <v>35907</v>
      </c>
      <c r="C23148" s="1" t="s">
        <v>7164</v>
      </c>
      <c r="D23148" s="1" t="s">
        <v>7165</v>
      </c>
    </row>
    <row r="23149">
      <c r="A23149" s="1" t="s">
        <v>35908</v>
      </c>
      <c r="B23149" s="2" t="s">
        <v>35909</v>
      </c>
      <c r="C23149" s="1" t="s">
        <v>7164</v>
      </c>
      <c r="D23149" s="1" t="s">
        <v>7165</v>
      </c>
    </row>
    <row r="23150">
      <c r="A23150" s="1" t="s">
        <v>35910</v>
      </c>
      <c r="B23150" s="2" t="s">
        <v>35911</v>
      </c>
      <c r="C23150" s="1" t="s">
        <v>7164</v>
      </c>
      <c r="D23150" s="1" t="s">
        <v>7165</v>
      </c>
    </row>
    <row r="23151">
      <c r="A23151" s="1" t="s">
        <v>35912</v>
      </c>
      <c r="B23151" s="2" t="s">
        <v>35913</v>
      </c>
      <c r="C23151" s="1" t="s">
        <v>7164</v>
      </c>
      <c r="D23151" s="1" t="s">
        <v>7165</v>
      </c>
    </row>
    <row r="23152">
      <c r="A23152" s="1" t="s">
        <v>35914</v>
      </c>
      <c r="B23152" s="2" t="s">
        <v>35915</v>
      </c>
      <c r="C23152" s="1" t="s">
        <v>7164</v>
      </c>
      <c r="D23152" s="1" t="s">
        <v>7165</v>
      </c>
    </row>
    <row r="23153">
      <c r="A23153" s="1" t="s">
        <v>35916</v>
      </c>
      <c r="B23153" s="2" t="s">
        <v>35917</v>
      </c>
      <c r="C23153" s="1" t="s">
        <v>7164</v>
      </c>
      <c r="D23153" s="1" t="s">
        <v>7165</v>
      </c>
    </row>
    <row r="23154">
      <c r="A23154" s="1" t="s">
        <v>35918</v>
      </c>
      <c r="B23154" s="2" t="s">
        <v>33017</v>
      </c>
      <c r="C23154" s="1" t="s">
        <v>7164</v>
      </c>
      <c r="D23154" s="1" t="s">
        <v>7165</v>
      </c>
    </row>
    <row r="23155">
      <c r="A23155" s="1" t="s">
        <v>35919</v>
      </c>
      <c r="B23155" s="2" t="s">
        <v>35920</v>
      </c>
      <c r="C23155" s="1" t="s">
        <v>7164</v>
      </c>
      <c r="D23155" s="1" t="s">
        <v>7165</v>
      </c>
    </row>
    <row r="23156">
      <c r="A23156" s="1" t="s">
        <v>35921</v>
      </c>
      <c r="B23156" s="2" t="s">
        <v>35922</v>
      </c>
      <c r="C23156" s="1" t="s">
        <v>7164</v>
      </c>
      <c r="D23156" s="1" t="s">
        <v>7165</v>
      </c>
    </row>
    <row r="23157">
      <c r="A23157" s="1" t="s">
        <v>35923</v>
      </c>
      <c r="B23157" s="2" t="s">
        <v>35924</v>
      </c>
      <c r="C23157" s="1" t="s">
        <v>7164</v>
      </c>
      <c r="D23157" s="1" t="s">
        <v>7165</v>
      </c>
    </row>
    <row r="23158">
      <c r="A23158" s="1" t="s">
        <v>35925</v>
      </c>
      <c r="B23158" s="2" t="s">
        <v>35926</v>
      </c>
      <c r="C23158" s="1" t="s">
        <v>7164</v>
      </c>
      <c r="D23158" s="1" t="s">
        <v>7165</v>
      </c>
    </row>
    <row r="23159">
      <c r="A23159" s="1" t="s">
        <v>35927</v>
      </c>
      <c r="B23159" s="2" t="s">
        <v>35928</v>
      </c>
      <c r="C23159" s="1" t="s">
        <v>7164</v>
      </c>
      <c r="D23159" s="1" t="s">
        <v>7165</v>
      </c>
    </row>
    <row r="23160">
      <c r="A23160" s="1" t="s">
        <v>35929</v>
      </c>
      <c r="B23160" s="2" t="s">
        <v>35930</v>
      </c>
      <c r="C23160" s="1" t="s">
        <v>7164</v>
      </c>
      <c r="D23160" s="1" t="s">
        <v>7165</v>
      </c>
    </row>
    <row r="23161">
      <c r="A23161" s="1" t="s">
        <v>35931</v>
      </c>
      <c r="B23161" s="2" t="s">
        <v>35932</v>
      </c>
      <c r="C23161" s="1" t="s">
        <v>7164</v>
      </c>
      <c r="D23161" s="1" t="s">
        <v>7165</v>
      </c>
    </row>
    <row r="23162">
      <c r="A23162" s="1" t="s">
        <v>35933</v>
      </c>
      <c r="B23162" s="2" t="s">
        <v>35934</v>
      </c>
      <c r="C23162" s="1" t="s">
        <v>7164</v>
      </c>
      <c r="D23162" s="1" t="s">
        <v>7165</v>
      </c>
    </row>
    <row r="23163">
      <c r="A23163" s="1" t="s">
        <v>35935</v>
      </c>
      <c r="B23163" s="2" t="s">
        <v>35936</v>
      </c>
      <c r="C23163" s="1" t="s">
        <v>7164</v>
      </c>
      <c r="D23163" s="1" t="s">
        <v>7165</v>
      </c>
    </row>
    <row r="23164">
      <c r="A23164" s="1" t="s">
        <v>35937</v>
      </c>
      <c r="B23164" s="2" t="s">
        <v>35938</v>
      </c>
      <c r="C23164" s="1" t="s">
        <v>7164</v>
      </c>
      <c r="D23164" s="1" t="s">
        <v>7165</v>
      </c>
    </row>
    <row r="23165">
      <c r="A23165" s="1" t="s">
        <v>35939</v>
      </c>
      <c r="B23165" s="2" t="s">
        <v>32722</v>
      </c>
      <c r="C23165" s="1" t="s">
        <v>7164</v>
      </c>
      <c r="D23165" s="1" t="s">
        <v>7165</v>
      </c>
    </row>
    <row r="23166">
      <c r="A23166" s="1" t="s">
        <v>35940</v>
      </c>
      <c r="B23166" s="2" t="s">
        <v>33026</v>
      </c>
      <c r="C23166" s="1" t="s">
        <v>7164</v>
      </c>
      <c r="D23166" s="1" t="s">
        <v>7165</v>
      </c>
    </row>
    <row r="23167">
      <c r="A23167" s="1" t="s">
        <v>35941</v>
      </c>
      <c r="B23167" s="2" t="s">
        <v>35942</v>
      </c>
      <c r="C23167" s="1" t="s">
        <v>7164</v>
      </c>
      <c r="D23167" s="1" t="s">
        <v>7165</v>
      </c>
    </row>
    <row r="23168">
      <c r="A23168" s="1" t="s">
        <v>35943</v>
      </c>
      <c r="B23168" s="2" t="s">
        <v>35944</v>
      </c>
      <c r="C23168" s="1" t="s">
        <v>7164</v>
      </c>
      <c r="D23168" s="1" t="s">
        <v>7165</v>
      </c>
    </row>
    <row r="23169">
      <c r="A23169" s="1" t="s">
        <v>35945</v>
      </c>
      <c r="B23169" s="2" t="s">
        <v>35946</v>
      </c>
      <c r="C23169" s="1" t="s">
        <v>7164</v>
      </c>
      <c r="D23169" s="1" t="s">
        <v>7165</v>
      </c>
    </row>
    <row r="23170">
      <c r="A23170" s="1" t="s">
        <v>35947</v>
      </c>
      <c r="B23170" s="2" t="s">
        <v>35948</v>
      </c>
      <c r="C23170" s="1" t="s">
        <v>7164</v>
      </c>
      <c r="D23170" s="1" t="s">
        <v>7165</v>
      </c>
    </row>
    <row r="23171">
      <c r="A23171" s="1" t="s">
        <v>35949</v>
      </c>
      <c r="B23171" s="2" t="s">
        <v>35950</v>
      </c>
      <c r="C23171" s="1" t="s">
        <v>7164</v>
      </c>
      <c r="D23171" s="1" t="s">
        <v>7165</v>
      </c>
    </row>
    <row r="23172">
      <c r="A23172" s="1" t="s">
        <v>35951</v>
      </c>
      <c r="B23172" s="2" t="s">
        <v>35952</v>
      </c>
      <c r="C23172" s="1" t="s">
        <v>7164</v>
      </c>
      <c r="D23172" s="1" t="s">
        <v>7165</v>
      </c>
    </row>
    <row r="23173">
      <c r="A23173" s="1" t="s">
        <v>35953</v>
      </c>
      <c r="B23173" s="2" t="s">
        <v>35954</v>
      </c>
      <c r="C23173" s="1" t="s">
        <v>7164</v>
      </c>
      <c r="D23173" s="1" t="s">
        <v>7165</v>
      </c>
    </row>
    <row r="23174">
      <c r="A23174" s="1" t="s">
        <v>35955</v>
      </c>
      <c r="B23174" s="2" t="s">
        <v>35956</v>
      </c>
      <c r="C23174" s="1" t="s">
        <v>7164</v>
      </c>
      <c r="D23174" s="1" t="s">
        <v>7165</v>
      </c>
    </row>
    <row r="23175">
      <c r="A23175" s="1" t="s">
        <v>35957</v>
      </c>
      <c r="B23175" s="2" t="s">
        <v>35958</v>
      </c>
      <c r="C23175" s="1" t="s">
        <v>7164</v>
      </c>
      <c r="D23175" s="1" t="s">
        <v>7165</v>
      </c>
    </row>
    <row r="23176">
      <c r="A23176" s="1" t="s">
        <v>35959</v>
      </c>
      <c r="B23176" s="2" t="s">
        <v>35960</v>
      </c>
      <c r="C23176" s="1" t="s">
        <v>7164</v>
      </c>
      <c r="D23176" s="1" t="s">
        <v>7165</v>
      </c>
    </row>
    <row r="23177">
      <c r="A23177" s="1" t="s">
        <v>35961</v>
      </c>
      <c r="B23177" s="2" t="s">
        <v>33034</v>
      </c>
      <c r="C23177" s="1" t="s">
        <v>7164</v>
      </c>
      <c r="D23177" s="1" t="s">
        <v>7165</v>
      </c>
    </row>
    <row r="23178">
      <c r="A23178" s="1" t="s">
        <v>35962</v>
      </c>
      <c r="B23178" s="2" t="s">
        <v>35963</v>
      </c>
      <c r="C23178" s="1" t="s">
        <v>7164</v>
      </c>
      <c r="D23178" s="1" t="s">
        <v>7165</v>
      </c>
    </row>
    <row r="23179">
      <c r="A23179" s="1" t="s">
        <v>35964</v>
      </c>
      <c r="B23179" s="2" t="s">
        <v>35965</v>
      </c>
      <c r="C23179" s="1" t="s">
        <v>7164</v>
      </c>
      <c r="D23179" s="1" t="s">
        <v>7165</v>
      </c>
    </row>
    <row r="23180">
      <c r="A23180" s="1" t="s">
        <v>35966</v>
      </c>
      <c r="B23180" s="2" t="s">
        <v>35967</v>
      </c>
      <c r="C23180" s="1" t="s">
        <v>7164</v>
      </c>
      <c r="D23180" s="1" t="s">
        <v>7165</v>
      </c>
    </row>
    <row r="23181">
      <c r="A23181" s="1" t="s">
        <v>35968</v>
      </c>
      <c r="B23181" s="2" t="s">
        <v>35969</v>
      </c>
      <c r="C23181" s="1" t="s">
        <v>7164</v>
      </c>
      <c r="D23181" s="1" t="s">
        <v>7165</v>
      </c>
    </row>
    <row r="23182">
      <c r="A23182" s="1" t="s">
        <v>35970</v>
      </c>
      <c r="B23182" s="2" t="s">
        <v>35971</v>
      </c>
      <c r="C23182" s="1" t="s">
        <v>7164</v>
      </c>
      <c r="D23182" s="1" t="s">
        <v>7165</v>
      </c>
    </row>
    <row r="23183">
      <c r="A23183" s="1" t="s">
        <v>35972</v>
      </c>
      <c r="B23183" s="2" t="s">
        <v>35973</v>
      </c>
      <c r="C23183" s="1" t="s">
        <v>7164</v>
      </c>
      <c r="D23183" s="1" t="s">
        <v>7165</v>
      </c>
    </row>
    <row r="23184">
      <c r="A23184" s="1" t="s">
        <v>35974</v>
      </c>
      <c r="B23184" s="2" t="s">
        <v>35975</v>
      </c>
      <c r="C23184" s="1" t="s">
        <v>7164</v>
      </c>
      <c r="D23184" s="1" t="s">
        <v>7165</v>
      </c>
    </row>
    <row r="23185">
      <c r="A23185" s="1" t="s">
        <v>35976</v>
      </c>
      <c r="B23185" s="2" t="s">
        <v>35977</v>
      </c>
      <c r="C23185" s="1" t="s">
        <v>7164</v>
      </c>
      <c r="D23185" s="1" t="s">
        <v>7165</v>
      </c>
    </row>
    <row r="23186">
      <c r="A23186" s="1" t="s">
        <v>35978</v>
      </c>
      <c r="B23186" s="2" t="s">
        <v>35979</v>
      </c>
      <c r="C23186" s="1" t="s">
        <v>7164</v>
      </c>
      <c r="D23186" s="1" t="s">
        <v>7165</v>
      </c>
    </row>
    <row r="23187">
      <c r="A23187" s="1" t="s">
        <v>35980</v>
      </c>
      <c r="B23187" s="2" t="s">
        <v>35981</v>
      </c>
      <c r="C23187" s="1" t="s">
        <v>7164</v>
      </c>
      <c r="D23187" s="1" t="s">
        <v>7165</v>
      </c>
    </row>
    <row r="23188">
      <c r="A23188" s="1" t="s">
        <v>35982</v>
      </c>
      <c r="B23188" s="2" t="s">
        <v>33042</v>
      </c>
      <c r="C23188" s="1" t="s">
        <v>7164</v>
      </c>
      <c r="D23188" s="1" t="s">
        <v>7165</v>
      </c>
    </row>
    <row r="23189">
      <c r="A23189" s="1" t="s">
        <v>35983</v>
      </c>
      <c r="B23189" s="2" t="s">
        <v>35984</v>
      </c>
      <c r="C23189" s="1" t="s">
        <v>7164</v>
      </c>
      <c r="D23189" s="1" t="s">
        <v>7165</v>
      </c>
    </row>
    <row r="23190">
      <c r="A23190" s="1" t="s">
        <v>35985</v>
      </c>
      <c r="B23190" s="2" t="s">
        <v>35986</v>
      </c>
      <c r="C23190" s="1" t="s">
        <v>7164</v>
      </c>
      <c r="D23190" s="1" t="s">
        <v>7165</v>
      </c>
    </row>
    <row r="23191">
      <c r="A23191" s="1" t="s">
        <v>35987</v>
      </c>
      <c r="B23191" s="2" t="s">
        <v>35988</v>
      </c>
      <c r="C23191" s="1" t="s">
        <v>7164</v>
      </c>
      <c r="D23191" s="1" t="s">
        <v>7165</v>
      </c>
    </row>
    <row r="23192">
      <c r="A23192" s="1" t="s">
        <v>35989</v>
      </c>
      <c r="B23192" s="2" t="s">
        <v>35990</v>
      </c>
      <c r="C23192" s="1" t="s">
        <v>7164</v>
      </c>
      <c r="D23192" s="1" t="s">
        <v>7165</v>
      </c>
    </row>
    <row r="23193">
      <c r="A23193" s="1" t="s">
        <v>35991</v>
      </c>
      <c r="B23193" s="2" t="s">
        <v>35992</v>
      </c>
      <c r="C23193" s="1" t="s">
        <v>7164</v>
      </c>
      <c r="D23193" s="1" t="s">
        <v>7165</v>
      </c>
    </row>
    <row r="23194">
      <c r="A23194" s="1" t="s">
        <v>35993</v>
      </c>
      <c r="B23194" s="2" t="s">
        <v>35994</v>
      </c>
      <c r="C23194" s="1" t="s">
        <v>7164</v>
      </c>
      <c r="D23194" s="1" t="s">
        <v>7165</v>
      </c>
    </row>
    <row r="23195">
      <c r="A23195" s="1" t="s">
        <v>35995</v>
      </c>
      <c r="B23195" s="2" t="s">
        <v>35996</v>
      </c>
      <c r="C23195" s="1" t="s">
        <v>7164</v>
      </c>
      <c r="D23195" s="1" t="s">
        <v>7165</v>
      </c>
    </row>
    <row r="23196">
      <c r="A23196" s="1" t="s">
        <v>35997</v>
      </c>
      <c r="B23196" s="2" t="s">
        <v>35998</v>
      </c>
      <c r="C23196" s="1" t="s">
        <v>7164</v>
      </c>
      <c r="D23196" s="1" t="s">
        <v>7165</v>
      </c>
    </row>
    <row r="23197">
      <c r="A23197" s="1" t="s">
        <v>35999</v>
      </c>
      <c r="B23197" s="2" t="s">
        <v>36000</v>
      </c>
      <c r="C23197" s="1" t="s">
        <v>7164</v>
      </c>
      <c r="D23197" s="1" t="s">
        <v>7165</v>
      </c>
    </row>
    <row r="23198">
      <c r="A23198" s="1" t="s">
        <v>36001</v>
      </c>
      <c r="B23198" s="2" t="s">
        <v>36002</v>
      </c>
      <c r="C23198" s="1" t="s">
        <v>7164</v>
      </c>
      <c r="D23198" s="1" t="s">
        <v>7165</v>
      </c>
    </row>
    <row r="23199">
      <c r="A23199" s="1" t="s">
        <v>7172</v>
      </c>
      <c r="B23199" s="2" t="s">
        <v>7</v>
      </c>
      <c r="C23199" s="1" t="s">
        <v>7173</v>
      </c>
      <c r="D23199" s="1" t="s">
        <v>7174</v>
      </c>
    </row>
    <row r="23200">
      <c r="A23200" s="1" t="s">
        <v>36003</v>
      </c>
      <c r="B23200" s="2" t="s">
        <v>32702</v>
      </c>
      <c r="C23200" s="1" t="s">
        <v>7173</v>
      </c>
      <c r="D23200" s="1" t="s">
        <v>7174</v>
      </c>
    </row>
    <row r="23201">
      <c r="A23201" s="1" t="s">
        <v>36004</v>
      </c>
      <c r="B23201" s="2" t="s">
        <v>36005</v>
      </c>
      <c r="C23201" s="1" t="s">
        <v>7173</v>
      </c>
      <c r="D23201" s="1" t="s">
        <v>7174</v>
      </c>
    </row>
    <row r="23202">
      <c r="A23202" s="1" t="s">
        <v>36006</v>
      </c>
      <c r="B23202" s="2" t="s">
        <v>36007</v>
      </c>
      <c r="C23202" s="1" t="s">
        <v>7173</v>
      </c>
      <c r="D23202" s="1" t="s">
        <v>7174</v>
      </c>
    </row>
    <row r="23203">
      <c r="A23203" s="1" t="s">
        <v>36008</v>
      </c>
      <c r="B23203" s="2" t="s">
        <v>36009</v>
      </c>
      <c r="C23203" s="1" t="s">
        <v>7173</v>
      </c>
      <c r="D23203" s="1" t="s">
        <v>7174</v>
      </c>
    </row>
    <row r="23204">
      <c r="A23204" s="1" t="s">
        <v>36010</v>
      </c>
      <c r="B23204" s="2" t="s">
        <v>36011</v>
      </c>
      <c r="C23204" s="1" t="s">
        <v>7173</v>
      </c>
      <c r="D23204" s="1" t="s">
        <v>7174</v>
      </c>
    </row>
    <row r="23205">
      <c r="A23205" s="1" t="s">
        <v>36012</v>
      </c>
      <c r="B23205" s="2" t="s">
        <v>36013</v>
      </c>
      <c r="C23205" s="1" t="s">
        <v>7173</v>
      </c>
      <c r="D23205" s="1" t="s">
        <v>7174</v>
      </c>
    </row>
    <row r="23206">
      <c r="A23206" s="1" t="s">
        <v>36014</v>
      </c>
      <c r="B23206" s="2" t="s">
        <v>36015</v>
      </c>
      <c r="C23206" s="1" t="s">
        <v>7173</v>
      </c>
      <c r="D23206" s="1" t="s">
        <v>7174</v>
      </c>
    </row>
    <row r="23207">
      <c r="A23207" s="1" t="s">
        <v>36016</v>
      </c>
      <c r="B23207" s="2" t="s">
        <v>36017</v>
      </c>
      <c r="C23207" s="1" t="s">
        <v>7173</v>
      </c>
      <c r="D23207" s="1" t="s">
        <v>7174</v>
      </c>
    </row>
    <row r="23208">
      <c r="A23208" s="1" t="s">
        <v>36018</v>
      </c>
      <c r="B23208" s="2" t="s">
        <v>36019</v>
      </c>
      <c r="C23208" s="1" t="s">
        <v>7173</v>
      </c>
      <c r="D23208" s="1" t="s">
        <v>7174</v>
      </c>
    </row>
    <row r="23209">
      <c r="A23209" s="1" t="s">
        <v>36020</v>
      </c>
      <c r="B23209" s="2" t="s">
        <v>36021</v>
      </c>
      <c r="C23209" s="1" t="s">
        <v>7173</v>
      </c>
      <c r="D23209" s="1" t="s">
        <v>7174</v>
      </c>
    </row>
    <row r="23210">
      <c r="A23210" s="1" t="s">
        <v>36022</v>
      </c>
      <c r="B23210" s="2" t="s">
        <v>36023</v>
      </c>
      <c r="C23210" s="1" t="s">
        <v>7173</v>
      </c>
      <c r="D23210" s="1" t="s">
        <v>7174</v>
      </c>
    </row>
    <row r="23211">
      <c r="A23211" s="1" t="s">
        <v>36024</v>
      </c>
      <c r="B23211" s="2" t="s">
        <v>36025</v>
      </c>
      <c r="C23211" s="1" t="s">
        <v>7173</v>
      </c>
      <c r="D23211" s="1" t="s">
        <v>7174</v>
      </c>
    </row>
    <row r="23212">
      <c r="A23212" s="1" t="s">
        <v>36026</v>
      </c>
      <c r="B23212" s="2" t="s">
        <v>36027</v>
      </c>
      <c r="C23212" s="1" t="s">
        <v>7173</v>
      </c>
      <c r="D23212" s="1" t="s">
        <v>7174</v>
      </c>
    </row>
    <row r="23213">
      <c r="A23213" s="1" t="s">
        <v>36028</v>
      </c>
      <c r="B23213" s="2" t="s">
        <v>36029</v>
      </c>
      <c r="C23213" s="1" t="s">
        <v>7173</v>
      </c>
      <c r="D23213" s="1" t="s">
        <v>7174</v>
      </c>
    </row>
    <row r="23214">
      <c r="A23214" s="1" t="s">
        <v>36030</v>
      </c>
      <c r="B23214" s="2" t="s">
        <v>36031</v>
      </c>
      <c r="C23214" s="1" t="s">
        <v>7173</v>
      </c>
      <c r="D23214" s="1" t="s">
        <v>7174</v>
      </c>
    </row>
    <row r="23215">
      <c r="A23215" s="1" t="s">
        <v>36032</v>
      </c>
      <c r="B23215" s="2" t="s">
        <v>36033</v>
      </c>
      <c r="C23215" s="1" t="s">
        <v>7173</v>
      </c>
      <c r="D23215" s="1" t="s">
        <v>7174</v>
      </c>
    </row>
    <row r="23216">
      <c r="A23216" s="1" t="s">
        <v>36034</v>
      </c>
      <c r="B23216" s="2" t="s">
        <v>36035</v>
      </c>
      <c r="C23216" s="1" t="s">
        <v>7173</v>
      </c>
      <c r="D23216" s="1" t="s">
        <v>7174</v>
      </c>
    </row>
    <row r="23217">
      <c r="A23217" s="1" t="s">
        <v>36036</v>
      </c>
      <c r="B23217" s="2" t="s">
        <v>36037</v>
      </c>
      <c r="C23217" s="1" t="s">
        <v>7173</v>
      </c>
      <c r="D23217" s="1" t="s">
        <v>7174</v>
      </c>
    </row>
    <row r="23218">
      <c r="A23218" s="1" t="s">
        <v>36038</v>
      </c>
      <c r="B23218" s="2" t="s">
        <v>36039</v>
      </c>
      <c r="C23218" s="1" t="s">
        <v>7173</v>
      </c>
      <c r="D23218" s="1" t="s">
        <v>7174</v>
      </c>
    </row>
    <row r="23219">
      <c r="A23219" s="1" t="s">
        <v>36040</v>
      </c>
      <c r="B23219" s="2" t="s">
        <v>36041</v>
      </c>
      <c r="C23219" s="1" t="s">
        <v>7173</v>
      </c>
      <c r="D23219" s="1" t="s">
        <v>7174</v>
      </c>
    </row>
    <row r="23220">
      <c r="A23220" s="1" t="s">
        <v>36042</v>
      </c>
      <c r="B23220" s="2" t="s">
        <v>36043</v>
      </c>
      <c r="C23220" s="1" t="s">
        <v>7173</v>
      </c>
      <c r="D23220" s="1" t="s">
        <v>7174</v>
      </c>
    </row>
    <row r="23221">
      <c r="A23221" s="1" t="s">
        <v>36044</v>
      </c>
      <c r="B23221" s="2" t="s">
        <v>36045</v>
      </c>
      <c r="C23221" s="1" t="s">
        <v>7173</v>
      </c>
      <c r="D23221" s="1" t="s">
        <v>7174</v>
      </c>
    </row>
    <row r="23222">
      <c r="A23222" s="1" t="s">
        <v>36046</v>
      </c>
      <c r="B23222" s="2" t="s">
        <v>36047</v>
      </c>
      <c r="C23222" s="1" t="s">
        <v>7173</v>
      </c>
      <c r="D23222" s="1" t="s">
        <v>7174</v>
      </c>
    </row>
    <row r="23223">
      <c r="A23223" s="1" t="s">
        <v>36048</v>
      </c>
      <c r="B23223" s="2" t="s">
        <v>36049</v>
      </c>
      <c r="C23223" s="1" t="s">
        <v>7173</v>
      </c>
      <c r="D23223" s="1" t="s">
        <v>7174</v>
      </c>
    </row>
    <row r="23224">
      <c r="A23224" s="1" t="s">
        <v>36050</v>
      </c>
      <c r="B23224" s="2" t="s">
        <v>36051</v>
      </c>
      <c r="C23224" s="1" t="s">
        <v>7173</v>
      </c>
      <c r="D23224" s="1" t="s">
        <v>7174</v>
      </c>
    </row>
    <row r="23225">
      <c r="A23225" s="1" t="s">
        <v>36052</v>
      </c>
      <c r="B23225" s="2" t="s">
        <v>36053</v>
      </c>
      <c r="C23225" s="1" t="s">
        <v>7173</v>
      </c>
      <c r="D23225" s="1" t="s">
        <v>7174</v>
      </c>
    </row>
    <row r="23226">
      <c r="A23226" s="1" t="s">
        <v>36054</v>
      </c>
      <c r="B23226" s="2" t="s">
        <v>36055</v>
      </c>
      <c r="C23226" s="1" t="s">
        <v>7173</v>
      </c>
      <c r="D23226" s="1" t="s">
        <v>7174</v>
      </c>
    </row>
    <row r="23227">
      <c r="A23227" s="1" t="s">
        <v>36056</v>
      </c>
      <c r="B23227" s="2" t="s">
        <v>36057</v>
      </c>
      <c r="C23227" s="1" t="s">
        <v>7173</v>
      </c>
      <c r="D23227" s="1" t="s">
        <v>7174</v>
      </c>
    </row>
    <row r="23228">
      <c r="A23228" s="1" t="s">
        <v>36058</v>
      </c>
      <c r="B23228" s="2" t="s">
        <v>36059</v>
      </c>
      <c r="C23228" s="1" t="s">
        <v>7173</v>
      </c>
      <c r="D23228" s="1" t="s">
        <v>7174</v>
      </c>
    </row>
    <row r="23229">
      <c r="A23229" s="1" t="s">
        <v>36060</v>
      </c>
      <c r="B23229" s="2" t="s">
        <v>36061</v>
      </c>
      <c r="C23229" s="1" t="s">
        <v>7173</v>
      </c>
      <c r="D23229" s="1" t="s">
        <v>7174</v>
      </c>
    </row>
    <row r="23230">
      <c r="A23230" s="1" t="s">
        <v>36062</v>
      </c>
      <c r="B23230" s="2" t="s">
        <v>36063</v>
      </c>
      <c r="C23230" s="1" t="s">
        <v>7173</v>
      </c>
      <c r="D23230" s="1" t="s">
        <v>7174</v>
      </c>
    </row>
    <row r="23231">
      <c r="A23231" s="1" t="s">
        <v>36064</v>
      </c>
      <c r="B23231" s="2" t="s">
        <v>36065</v>
      </c>
      <c r="C23231" s="1" t="s">
        <v>7173</v>
      </c>
      <c r="D23231" s="1" t="s">
        <v>7174</v>
      </c>
    </row>
    <row r="23232">
      <c r="A23232" s="1" t="s">
        <v>36066</v>
      </c>
      <c r="B23232" s="2" t="s">
        <v>36067</v>
      </c>
      <c r="C23232" s="1" t="s">
        <v>7173</v>
      </c>
      <c r="D23232" s="1" t="s">
        <v>7174</v>
      </c>
    </row>
    <row r="23233">
      <c r="A23233" s="1" t="s">
        <v>36068</v>
      </c>
      <c r="B23233" s="2" t="s">
        <v>36069</v>
      </c>
      <c r="C23233" s="1" t="s">
        <v>7173</v>
      </c>
      <c r="D23233" s="1" t="s">
        <v>7174</v>
      </c>
    </row>
    <row r="23234">
      <c r="A23234" s="1" t="s">
        <v>36070</v>
      </c>
      <c r="B23234" s="2" t="s">
        <v>36071</v>
      </c>
      <c r="C23234" s="1" t="s">
        <v>7173</v>
      </c>
      <c r="D23234" s="1" t="s">
        <v>7174</v>
      </c>
    </row>
    <row r="23235">
      <c r="A23235" s="1" t="s">
        <v>36072</v>
      </c>
      <c r="B23235" s="2" t="s">
        <v>36073</v>
      </c>
      <c r="C23235" s="1" t="s">
        <v>7173</v>
      </c>
      <c r="D23235" s="1" t="s">
        <v>7174</v>
      </c>
    </row>
    <row r="23236">
      <c r="A23236" s="1" t="s">
        <v>36074</v>
      </c>
      <c r="B23236" s="2" t="s">
        <v>36075</v>
      </c>
      <c r="C23236" s="1" t="s">
        <v>7173</v>
      </c>
      <c r="D23236" s="1" t="s">
        <v>7174</v>
      </c>
    </row>
    <row r="23237">
      <c r="A23237" s="1" t="s">
        <v>36076</v>
      </c>
      <c r="B23237" s="2" t="s">
        <v>36077</v>
      </c>
      <c r="C23237" s="1" t="s">
        <v>7173</v>
      </c>
      <c r="D23237" s="1" t="s">
        <v>7174</v>
      </c>
    </row>
    <row r="23238">
      <c r="A23238" s="1" t="s">
        <v>36078</v>
      </c>
      <c r="B23238" s="2" t="s">
        <v>36079</v>
      </c>
      <c r="C23238" s="1" t="s">
        <v>7173</v>
      </c>
      <c r="D23238" s="1" t="s">
        <v>7174</v>
      </c>
    </row>
    <row r="23239">
      <c r="A23239" s="1" t="s">
        <v>36080</v>
      </c>
      <c r="B23239" s="2" t="s">
        <v>36081</v>
      </c>
      <c r="C23239" s="1" t="s">
        <v>7173</v>
      </c>
      <c r="D23239" s="1" t="s">
        <v>7174</v>
      </c>
    </row>
    <row r="23240">
      <c r="A23240" s="1" t="s">
        <v>36082</v>
      </c>
      <c r="B23240" s="2" t="s">
        <v>36083</v>
      </c>
      <c r="C23240" s="1" t="s">
        <v>7173</v>
      </c>
      <c r="D23240" s="1" t="s">
        <v>7174</v>
      </c>
    </row>
    <row r="23241">
      <c r="A23241" s="1" t="s">
        <v>36084</v>
      </c>
      <c r="B23241" s="2" t="s">
        <v>36085</v>
      </c>
      <c r="C23241" s="1" t="s">
        <v>7173</v>
      </c>
      <c r="D23241" s="1" t="s">
        <v>7174</v>
      </c>
    </row>
    <row r="23242">
      <c r="A23242" s="1" t="s">
        <v>36086</v>
      </c>
      <c r="B23242" s="2" t="s">
        <v>36087</v>
      </c>
      <c r="C23242" s="1" t="s">
        <v>7173</v>
      </c>
      <c r="D23242" s="1" t="s">
        <v>7174</v>
      </c>
    </row>
    <row r="23243">
      <c r="A23243" s="1" t="s">
        <v>36088</v>
      </c>
      <c r="B23243" s="2" t="s">
        <v>32722</v>
      </c>
      <c r="C23243" s="1" t="s">
        <v>7173</v>
      </c>
      <c r="D23243" s="1" t="s">
        <v>7174</v>
      </c>
    </row>
    <row r="23244">
      <c r="A23244" s="1" t="s">
        <v>36089</v>
      </c>
      <c r="B23244" s="2" t="s">
        <v>36090</v>
      </c>
      <c r="C23244" s="1" t="s">
        <v>7173</v>
      </c>
      <c r="D23244" s="1" t="s">
        <v>7174</v>
      </c>
    </row>
    <row r="23245">
      <c r="A23245" s="1" t="s">
        <v>36091</v>
      </c>
      <c r="B23245" s="2" t="s">
        <v>36092</v>
      </c>
      <c r="C23245" s="1" t="s">
        <v>7173</v>
      </c>
      <c r="D23245" s="1" t="s">
        <v>7174</v>
      </c>
    </row>
    <row r="23246">
      <c r="A23246" s="1" t="s">
        <v>36093</v>
      </c>
      <c r="B23246" s="2" t="s">
        <v>36094</v>
      </c>
      <c r="C23246" s="1" t="s">
        <v>7173</v>
      </c>
      <c r="D23246" s="1" t="s">
        <v>7174</v>
      </c>
    </row>
    <row r="23247">
      <c r="A23247" s="1" t="s">
        <v>36095</v>
      </c>
      <c r="B23247" s="2" t="s">
        <v>36096</v>
      </c>
      <c r="C23247" s="1" t="s">
        <v>7173</v>
      </c>
      <c r="D23247" s="1" t="s">
        <v>7174</v>
      </c>
    </row>
    <row r="23248">
      <c r="A23248" s="1" t="s">
        <v>36097</v>
      </c>
      <c r="B23248" s="2" t="s">
        <v>36098</v>
      </c>
      <c r="C23248" s="1" t="s">
        <v>7173</v>
      </c>
      <c r="D23248" s="1" t="s">
        <v>7174</v>
      </c>
    </row>
    <row r="23249">
      <c r="A23249" s="1" t="s">
        <v>36099</v>
      </c>
      <c r="B23249" s="2" t="s">
        <v>36100</v>
      </c>
      <c r="C23249" s="1" t="s">
        <v>7173</v>
      </c>
      <c r="D23249" s="1" t="s">
        <v>7174</v>
      </c>
    </row>
    <row r="23250">
      <c r="A23250" s="1" t="s">
        <v>36101</v>
      </c>
      <c r="B23250" s="2" t="s">
        <v>36102</v>
      </c>
      <c r="C23250" s="1" t="s">
        <v>7173</v>
      </c>
      <c r="D23250" s="1" t="s">
        <v>7174</v>
      </c>
    </row>
    <row r="23251">
      <c r="A23251" s="1" t="s">
        <v>36103</v>
      </c>
      <c r="B23251" s="2" t="s">
        <v>36104</v>
      </c>
      <c r="C23251" s="1" t="s">
        <v>7173</v>
      </c>
      <c r="D23251" s="1" t="s">
        <v>7174</v>
      </c>
    </row>
    <row r="23252">
      <c r="A23252" s="1" t="s">
        <v>36105</v>
      </c>
      <c r="B23252" s="2" t="s">
        <v>36106</v>
      </c>
      <c r="C23252" s="1" t="s">
        <v>7173</v>
      </c>
      <c r="D23252" s="1" t="s">
        <v>7174</v>
      </c>
    </row>
    <row r="23253">
      <c r="A23253" s="1" t="s">
        <v>36107</v>
      </c>
      <c r="B23253" s="2" t="s">
        <v>36108</v>
      </c>
      <c r="C23253" s="1" t="s">
        <v>7173</v>
      </c>
      <c r="D23253" s="1" t="s">
        <v>7174</v>
      </c>
    </row>
    <row r="23254">
      <c r="A23254" s="1" t="s">
        <v>36109</v>
      </c>
      <c r="B23254" s="2" t="s">
        <v>36110</v>
      </c>
      <c r="C23254" s="1" t="s">
        <v>7173</v>
      </c>
      <c r="D23254" s="1" t="s">
        <v>7174</v>
      </c>
    </row>
    <row r="23255">
      <c r="A23255" s="1" t="s">
        <v>36111</v>
      </c>
      <c r="B23255" s="2" t="s">
        <v>36112</v>
      </c>
      <c r="C23255" s="1" t="s">
        <v>7173</v>
      </c>
      <c r="D23255" s="1" t="s">
        <v>7174</v>
      </c>
    </row>
    <row r="23256">
      <c r="A23256" s="1" t="s">
        <v>36113</v>
      </c>
      <c r="B23256" s="2" t="s">
        <v>36114</v>
      </c>
      <c r="C23256" s="1" t="s">
        <v>7173</v>
      </c>
      <c r="D23256" s="1" t="s">
        <v>7174</v>
      </c>
    </row>
    <row r="23257">
      <c r="A23257" s="1" t="s">
        <v>36115</v>
      </c>
      <c r="B23257" s="2" t="s">
        <v>36116</v>
      </c>
      <c r="C23257" s="1" t="s">
        <v>7173</v>
      </c>
      <c r="D23257" s="1" t="s">
        <v>7174</v>
      </c>
    </row>
    <row r="23258">
      <c r="A23258" s="1" t="s">
        <v>36117</v>
      </c>
      <c r="B23258" s="2" t="s">
        <v>36118</v>
      </c>
      <c r="C23258" s="1" t="s">
        <v>7173</v>
      </c>
      <c r="D23258" s="1" t="s">
        <v>7174</v>
      </c>
    </row>
    <row r="23259">
      <c r="A23259" s="1" t="s">
        <v>36119</v>
      </c>
      <c r="B23259" s="2" t="s">
        <v>36120</v>
      </c>
      <c r="C23259" s="1" t="s">
        <v>7173</v>
      </c>
      <c r="D23259" s="1" t="s">
        <v>7174</v>
      </c>
    </row>
    <row r="23260">
      <c r="A23260" s="1" t="s">
        <v>36121</v>
      </c>
      <c r="B23260" s="2" t="s">
        <v>36122</v>
      </c>
      <c r="C23260" s="1" t="s">
        <v>7173</v>
      </c>
      <c r="D23260" s="1" t="s">
        <v>7174</v>
      </c>
    </row>
    <row r="23261">
      <c r="A23261" s="1" t="s">
        <v>36123</v>
      </c>
      <c r="B23261" s="2" t="s">
        <v>36124</v>
      </c>
      <c r="C23261" s="1" t="s">
        <v>7173</v>
      </c>
      <c r="D23261" s="1" t="s">
        <v>7174</v>
      </c>
    </row>
    <row r="23262">
      <c r="A23262" s="1" t="s">
        <v>36125</v>
      </c>
      <c r="B23262" s="2" t="s">
        <v>36126</v>
      </c>
      <c r="C23262" s="1" t="s">
        <v>7173</v>
      </c>
      <c r="D23262" s="1" t="s">
        <v>7174</v>
      </c>
    </row>
    <row r="23263">
      <c r="A23263" s="1" t="s">
        <v>36127</v>
      </c>
      <c r="B23263" s="2" t="s">
        <v>36128</v>
      </c>
      <c r="C23263" s="1" t="s">
        <v>7173</v>
      </c>
      <c r="D23263" s="1" t="s">
        <v>7174</v>
      </c>
    </row>
    <row r="23264">
      <c r="A23264" s="1" t="s">
        <v>36129</v>
      </c>
      <c r="B23264" s="2" t="s">
        <v>36130</v>
      </c>
      <c r="C23264" s="1" t="s">
        <v>7173</v>
      </c>
      <c r="D23264" s="1" t="s">
        <v>7174</v>
      </c>
    </row>
    <row r="23265">
      <c r="A23265" s="1" t="s">
        <v>36131</v>
      </c>
      <c r="B23265" s="2" t="s">
        <v>36132</v>
      </c>
      <c r="C23265" s="1" t="s">
        <v>7173</v>
      </c>
      <c r="D23265" s="1" t="s">
        <v>7174</v>
      </c>
    </row>
    <row r="23266">
      <c r="A23266" s="1" t="s">
        <v>36133</v>
      </c>
      <c r="B23266" s="2" t="s">
        <v>36134</v>
      </c>
      <c r="C23266" s="1" t="s">
        <v>7173</v>
      </c>
      <c r="D23266" s="1" t="s">
        <v>7174</v>
      </c>
    </row>
    <row r="23267">
      <c r="A23267" s="1" t="s">
        <v>36135</v>
      </c>
      <c r="B23267" s="2" t="s">
        <v>36136</v>
      </c>
      <c r="C23267" s="1" t="s">
        <v>7173</v>
      </c>
      <c r="D23267" s="1" t="s">
        <v>7174</v>
      </c>
    </row>
    <row r="23268">
      <c r="A23268" s="1" t="s">
        <v>36137</v>
      </c>
      <c r="B23268" s="2" t="s">
        <v>36138</v>
      </c>
      <c r="C23268" s="1" t="s">
        <v>7173</v>
      </c>
      <c r="D23268" s="1" t="s">
        <v>7174</v>
      </c>
    </row>
    <row r="23269">
      <c r="A23269" s="1" t="s">
        <v>36139</v>
      </c>
      <c r="B23269" s="2" t="s">
        <v>36140</v>
      </c>
      <c r="C23269" s="1" t="s">
        <v>7173</v>
      </c>
      <c r="D23269" s="1" t="s">
        <v>7174</v>
      </c>
    </row>
    <row r="23270">
      <c r="A23270" s="1" t="s">
        <v>36141</v>
      </c>
      <c r="B23270" s="2" t="s">
        <v>36142</v>
      </c>
      <c r="C23270" s="1" t="s">
        <v>7173</v>
      </c>
      <c r="D23270" s="1" t="s">
        <v>7174</v>
      </c>
    </row>
    <row r="23271">
      <c r="A23271" s="1" t="s">
        <v>36143</v>
      </c>
      <c r="B23271" s="2" t="s">
        <v>36144</v>
      </c>
      <c r="C23271" s="1" t="s">
        <v>7173</v>
      </c>
      <c r="D23271" s="1" t="s">
        <v>7174</v>
      </c>
    </row>
    <row r="23272">
      <c r="A23272" s="1" t="s">
        <v>36145</v>
      </c>
      <c r="B23272" s="2" t="s">
        <v>36146</v>
      </c>
      <c r="C23272" s="1" t="s">
        <v>7173</v>
      </c>
      <c r="D23272" s="1" t="s">
        <v>7174</v>
      </c>
    </row>
    <row r="23273">
      <c r="A23273" s="1" t="s">
        <v>36147</v>
      </c>
      <c r="B23273" s="2" t="s">
        <v>36148</v>
      </c>
      <c r="C23273" s="1" t="s">
        <v>7173</v>
      </c>
      <c r="D23273" s="1" t="s">
        <v>7174</v>
      </c>
    </row>
    <row r="23274">
      <c r="A23274" s="1" t="s">
        <v>36149</v>
      </c>
      <c r="B23274" s="2" t="s">
        <v>36150</v>
      </c>
      <c r="C23274" s="1" t="s">
        <v>7173</v>
      </c>
      <c r="D23274" s="1" t="s">
        <v>7174</v>
      </c>
    </row>
    <row r="23275">
      <c r="A23275" s="1" t="s">
        <v>36151</v>
      </c>
      <c r="B23275" s="2" t="s">
        <v>36152</v>
      </c>
      <c r="C23275" s="1" t="s">
        <v>7173</v>
      </c>
      <c r="D23275" s="1" t="s">
        <v>7174</v>
      </c>
    </row>
    <row r="23276">
      <c r="A23276" s="1" t="s">
        <v>36153</v>
      </c>
      <c r="B23276" s="2" t="s">
        <v>36154</v>
      </c>
      <c r="C23276" s="1" t="s">
        <v>7173</v>
      </c>
      <c r="D23276" s="1" t="s">
        <v>7174</v>
      </c>
    </row>
    <row r="23277">
      <c r="A23277" s="1" t="s">
        <v>36155</v>
      </c>
      <c r="B23277" s="2" t="s">
        <v>36156</v>
      </c>
      <c r="C23277" s="1" t="s">
        <v>7173</v>
      </c>
      <c r="D23277" s="1" t="s">
        <v>7174</v>
      </c>
    </row>
    <row r="23278">
      <c r="A23278" s="1" t="s">
        <v>36157</v>
      </c>
      <c r="B23278" s="2" t="s">
        <v>36158</v>
      </c>
      <c r="C23278" s="1" t="s">
        <v>7173</v>
      </c>
      <c r="D23278" s="1" t="s">
        <v>7174</v>
      </c>
    </row>
    <row r="23279">
      <c r="A23279" s="1" t="s">
        <v>36159</v>
      </c>
      <c r="B23279" s="2" t="s">
        <v>36160</v>
      </c>
      <c r="C23279" s="1" t="s">
        <v>7173</v>
      </c>
      <c r="D23279" s="1" t="s">
        <v>7174</v>
      </c>
    </row>
    <row r="23280">
      <c r="A23280" s="1" t="s">
        <v>36161</v>
      </c>
      <c r="B23280" s="2" t="s">
        <v>36162</v>
      </c>
      <c r="C23280" s="1" t="s">
        <v>7173</v>
      </c>
      <c r="D23280" s="1" t="s">
        <v>7174</v>
      </c>
    </row>
    <row r="23281">
      <c r="A23281" s="1" t="s">
        <v>36163</v>
      </c>
      <c r="B23281" s="2" t="s">
        <v>36164</v>
      </c>
      <c r="C23281" s="1" t="s">
        <v>7173</v>
      </c>
      <c r="D23281" s="1" t="s">
        <v>7174</v>
      </c>
    </row>
    <row r="23282">
      <c r="A23282" s="1" t="s">
        <v>36165</v>
      </c>
      <c r="B23282" s="2" t="s">
        <v>36166</v>
      </c>
      <c r="C23282" s="1" t="s">
        <v>7173</v>
      </c>
      <c r="D23282" s="1" t="s">
        <v>7174</v>
      </c>
    </row>
    <row r="23283">
      <c r="A23283" s="1" t="s">
        <v>36167</v>
      </c>
      <c r="B23283" s="2" t="s">
        <v>36168</v>
      </c>
      <c r="C23283" s="1" t="s">
        <v>7173</v>
      </c>
      <c r="D23283" s="1" t="s">
        <v>7174</v>
      </c>
    </row>
    <row r="23284">
      <c r="A23284" s="1" t="s">
        <v>36169</v>
      </c>
      <c r="B23284" s="2" t="s">
        <v>36170</v>
      </c>
      <c r="C23284" s="1" t="s">
        <v>7173</v>
      </c>
      <c r="D23284" s="1" t="s">
        <v>7174</v>
      </c>
    </row>
    <row r="23285">
      <c r="A23285" s="1" t="s">
        <v>36171</v>
      </c>
      <c r="B23285" s="2" t="s">
        <v>36172</v>
      </c>
      <c r="C23285" s="1" t="s">
        <v>7173</v>
      </c>
      <c r="D23285" s="1" t="s">
        <v>7174</v>
      </c>
    </row>
    <row r="23286">
      <c r="A23286" s="1" t="s">
        <v>7177</v>
      </c>
      <c r="B23286" s="2" t="s">
        <v>7</v>
      </c>
      <c r="C23286" s="1" t="s">
        <v>7180</v>
      </c>
      <c r="D23286" s="1" t="s">
        <v>7181</v>
      </c>
    </row>
    <row r="23287">
      <c r="A23287" s="1" t="s">
        <v>36173</v>
      </c>
      <c r="B23287" s="2" t="s">
        <v>32702</v>
      </c>
      <c r="C23287" s="1" t="s">
        <v>7180</v>
      </c>
      <c r="D23287" s="1" t="s">
        <v>7181</v>
      </c>
    </row>
    <row r="23288">
      <c r="A23288" s="1" t="s">
        <v>36174</v>
      </c>
      <c r="B23288" s="2" t="s">
        <v>33001</v>
      </c>
      <c r="C23288" s="1" t="s">
        <v>7180</v>
      </c>
      <c r="D23288" s="1" t="s">
        <v>7181</v>
      </c>
    </row>
    <row r="23289">
      <c r="A23289" s="1" t="s">
        <v>36175</v>
      </c>
      <c r="B23289" s="2" t="s">
        <v>36176</v>
      </c>
      <c r="C23289" s="1" t="s">
        <v>7180</v>
      </c>
      <c r="D23289" s="1" t="s">
        <v>7181</v>
      </c>
    </row>
    <row r="23290">
      <c r="A23290" s="1" t="s">
        <v>36177</v>
      </c>
      <c r="B23290" s="2" t="s">
        <v>36178</v>
      </c>
      <c r="C23290" s="1" t="s">
        <v>7180</v>
      </c>
      <c r="D23290" s="1" t="s">
        <v>7181</v>
      </c>
    </row>
    <row r="23291">
      <c r="A23291" s="1" t="s">
        <v>36179</v>
      </c>
      <c r="B23291" s="2" t="s">
        <v>36180</v>
      </c>
      <c r="C23291" s="1" t="s">
        <v>7180</v>
      </c>
      <c r="D23291" s="1" t="s">
        <v>7181</v>
      </c>
    </row>
    <row r="23292">
      <c r="A23292" s="1" t="s">
        <v>36181</v>
      </c>
      <c r="B23292" s="2" t="s">
        <v>36182</v>
      </c>
      <c r="C23292" s="1" t="s">
        <v>7180</v>
      </c>
      <c r="D23292" s="1" t="s">
        <v>7181</v>
      </c>
    </row>
    <row r="23293">
      <c r="A23293" s="1" t="s">
        <v>36183</v>
      </c>
      <c r="B23293" s="2" t="s">
        <v>36184</v>
      </c>
      <c r="C23293" s="1" t="s">
        <v>7180</v>
      </c>
      <c r="D23293" s="1" t="s">
        <v>7181</v>
      </c>
    </row>
    <row r="23294">
      <c r="A23294" s="1" t="s">
        <v>36185</v>
      </c>
      <c r="B23294" s="2" t="s">
        <v>36186</v>
      </c>
      <c r="C23294" s="1" t="s">
        <v>7180</v>
      </c>
      <c r="D23294" s="1" t="s">
        <v>7181</v>
      </c>
    </row>
    <row r="23295">
      <c r="A23295" s="1" t="s">
        <v>36187</v>
      </c>
      <c r="B23295" s="2" t="s">
        <v>33009</v>
      </c>
      <c r="C23295" s="1" t="s">
        <v>7180</v>
      </c>
      <c r="D23295" s="1" t="s">
        <v>7181</v>
      </c>
    </row>
    <row r="23296">
      <c r="A23296" s="1" t="s">
        <v>36188</v>
      </c>
      <c r="B23296" s="2" t="s">
        <v>36189</v>
      </c>
      <c r="C23296" s="1" t="s">
        <v>7180</v>
      </c>
      <c r="D23296" s="1" t="s">
        <v>7181</v>
      </c>
    </row>
    <row r="23297">
      <c r="A23297" s="1" t="s">
        <v>36190</v>
      </c>
      <c r="B23297" s="2" t="s">
        <v>36191</v>
      </c>
      <c r="C23297" s="1" t="s">
        <v>7180</v>
      </c>
      <c r="D23297" s="1" t="s">
        <v>7181</v>
      </c>
    </row>
    <row r="23298">
      <c r="A23298" s="1" t="s">
        <v>36192</v>
      </c>
      <c r="B23298" s="2" t="s">
        <v>36193</v>
      </c>
      <c r="C23298" s="1" t="s">
        <v>7180</v>
      </c>
      <c r="D23298" s="1" t="s">
        <v>7181</v>
      </c>
    </row>
    <row r="23299">
      <c r="A23299" s="1" t="s">
        <v>36194</v>
      </c>
      <c r="B23299" s="2" t="s">
        <v>36195</v>
      </c>
      <c r="C23299" s="1" t="s">
        <v>7180</v>
      </c>
      <c r="D23299" s="1" t="s">
        <v>7181</v>
      </c>
    </row>
    <row r="23300">
      <c r="A23300" s="1" t="s">
        <v>36196</v>
      </c>
      <c r="B23300" s="2" t="s">
        <v>36197</v>
      </c>
      <c r="C23300" s="1" t="s">
        <v>7180</v>
      </c>
      <c r="D23300" s="1" t="s">
        <v>7181</v>
      </c>
    </row>
    <row r="23301">
      <c r="A23301" s="1" t="s">
        <v>36198</v>
      </c>
      <c r="B23301" s="2" t="s">
        <v>36199</v>
      </c>
      <c r="C23301" s="1" t="s">
        <v>7180</v>
      </c>
      <c r="D23301" s="1" t="s">
        <v>7181</v>
      </c>
    </row>
    <row r="23302">
      <c r="A23302" s="1" t="s">
        <v>36200</v>
      </c>
      <c r="B23302" s="2" t="s">
        <v>33017</v>
      </c>
      <c r="C23302" s="1" t="s">
        <v>7180</v>
      </c>
      <c r="D23302" s="1" t="s">
        <v>7181</v>
      </c>
    </row>
    <row r="23303">
      <c r="A23303" s="1" t="s">
        <v>36201</v>
      </c>
      <c r="B23303" s="2" t="s">
        <v>36202</v>
      </c>
      <c r="C23303" s="1" t="s">
        <v>7180</v>
      </c>
      <c r="D23303" s="1" t="s">
        <v>7181</v>
      </c>
    </row>
    <row r="23304">
      <c r="A23304" s="1" t="s">
        <v>36203</v>
      </c>
      <c r="B23304" s="2" t="s">
        <v>36204</v>
      </c>
      <c r="C23304" s="1" t="s">
        <v>7180</v>
      </c>
      <c r="D23304" s="1" t="s">
        <v>7181</v>
      </c>
    </row>
    <row r="23305">
      <c r="A23305" s="1" t="s">
        <v>36205</v>
      </c>
      <c r="B23305" s="2" t="s">
        <v>36206</v>
      </c>
      <c r="C23305" s="1" t="s">
        <v>7180</v>
      </c>
      <c r="D23305" s="1" t="s">
        <v>7181</v>
      </c>
    </row>
    <row r="23306">
      <c r="A23306" s="1" t="s">
        <v>36207</v>
      </c>
      <c r="B23306" s="2" t="s">
        <v>36208</v>
      </c>
      <c r="C23306" s="1" t="s">
        <v>7180</v>
      </c>
      <c r="D23306" s="1" t="s">
        <v>7181</v>
      </c>
    </row>
    <row r="23307">
      <c r="A23307" s="1" t="s">
        <v>36209</v>
      </c>
      <c r="B23307" s="2" t="s">
        <v>36210</v>
      </c>
      <c r="C23307" s="1" t="s">
        <v>7180</v>
      </c>
      <c r="D23307" s="1" t="s">
        <v>7181</v>
      </c>
    </row>
    <row r="23308">
      <c r="A23308" s="1" t="s">
        <v>36211</v>
      </c>
      <c r="B23308" s="2" t="s">
        <v>36212</v>
      </c>
      <c r="C23308" s="1" t="s">
        <v>7180</v>
      </c>
      <c r="D23308" s="1" t="s">
        <v>7181</v>
      </c>
    </row>
    <row r="23309">
      <c r="A23309" s="1" t="s">
        <v>36213</v>
      </c>
      <c r="B23309" s="2" t="s">
        <v>32722</v>
      </c>
      <c r="C23309" s="1" t="s">
        <v>7180</v>
      </c>
      <c r="D23309" s="1" t="s">
        <v>7181</v>
      </c>
    </row>
    <row r="23310">
      <c r="A23310" s="1" t="s">
        <v>36214</v>
      </c>
      <c r="B23310" s="2" t="s">
        <v>33026</v>
      </c>
      <c r="C23310" s="1" t="s">
        <v>7180</v>
      </c>
      <c r="D23310" s="1" t="s">
        <v>7181</v>
      </c>
    </row>
    <row r="23311">
      <c r="A23311" s="1" t="s">
        <v>36215</v>
      </c>
      <c r="B23311" s="2" t="s">
        <v>36216</v>
      </c>
      <c r="C23311" s="1" t="s">
        <v>7180</v>
      </c>
      <c r="D23311" s="1" t="s">
        <v>7181</v>
      </c>
    </row>
    <row r="23312">
      <c r="A23312" s="1" t="s">
        <v>36217</v>
      </c>
      <c r="B23312" s="2" t="s">
        <v>36218</v>
      </c>
      <c r="C23312" s="1" t="s">
        <v>7180</v>
      </c>
      <c r="D23312" s="1" t="s">
        <v>7181</v>
      </c>
    </row>
    <row r="23313">
      <c r="A23313" s="1" t="s">
        <v>36219</v>
      </c>
      <c r="B23313" s="2" t="s">
        <v>36220</v>
      </c>
      <c r="C23313" s="1" t="s">
        <v>7180</v>
      </c>
      <c r="D23313" s="1" t="s">
        <v>7181</v>
      </c>
    </row>
    <row r="23314">
      <c r="A23314" s="1" t="s">
        <v>36221</v>
      </c>
      <c r="B23314" s="2" t="s">
        <v>36222</v>
      </c>
      <c r="C23314" s="1" t="s">
        <v>7180</v>
      </c>
      <c r="D23314" s="1" t="s">
        <v>7181</v>
      </c>
    </row>
    <row r="23315">
      <c r="A23315" s="1" t="s">
        <v>36223</v>
      </c>
      <c r="B23315" s="2" t="s">
        <v>36224</v>
      </c>
      <c r="C23315" s="1" t="s">
        <v>7180</v>
      </c>
      <c r="D23315" s="1" t="s">
        <v>7181</v>
      </c>
    </row>
    <row r="23316">
      <c r="A23316" s="1" t="s">
        <v>36225</v>
      </c>
      <c r="B23316" s="2" t="s">
        <v>36226</v>
      </c>
      <c r="C23316" s="1" t="s">
        <v>7180</v>
      </c>
      <c r="D23316" s="1" t="s">
        <v>7181</v>
      </c>
    </row>
    <row r="23317">
      <c r="A23317" s="1" t="s">
        <v>36227</v>
      </c>
      <c r="B23317" s="2" t="s">
        <v>33034</v>
      </c>
      <c r="C23317" s="1" t="s">
        <v>7180</v>
      </c>
      <c r="D23317" s="1" t="s">
        <v>7181</v>
      </c>
    </row>
    <row r="23318">
      <c r="A23318" s="1" t="s">
        <v>36228</v>
      </c>
      <c r="B23318" s="2" t="s">
        <v>36229</v>
      </c>
      <c r="C23318" s="1" t="s">
        <v>7180</v>
      </c>
      <c r="D23318" s="1" t="s">
        <v>7181</v>
      </c>
    </row>
    <row r="23319">
      <c r="A23319" s="1" t="s">
        <v>36230</v>
      </c>
      <c r="B23319" s="2" t="s">
        <v>36231</v>
      </c>
      <c r="C23319" s="1" t="s">
        <v>7180</v>
      </c>
      <c r="D23319" s="1" t="s">
        <v>7181</v>
      </c>
    </row>
    <row r="23320">
      <c r="A23320" s="1" t="s">
        <v>36232</v>
      </c>
      <c r="B23320" s="2" t="s">
        <v>36233</v>
      </c>
      <c r="C23320" s="1" t="s">
        <v>7180</v>
      </c>
      <c r="D23320" s="1" t="s">
        <v>7181</v>
      </c>
    </row>
    <row r="23321">
      <c r="A23321" s="1" t="s">
        <v>36234</v>
      </c>
      <c r="B23321" s="2" t="s">
        <v>36235</v>
      </c>
      <c r="C23321" s="1" t="s">
        <v>7180</v>
      </c>
      <c r="D23321" s="1" t="s">
        <v>7181</v>
      </c>
    </row>
    <row r="23322">
      <c r="A23322" s="1" t="s">
        <v>36236</v>
      </c>
      <c r="B23322" s="2" t="s">
        <v>36237</v>
      </c>
      <c r="C23322" s="1" t="s">
        <v>7180</v>
      </c>
      <c r="D23322" s="1" t="s">
        <v>7181</v>
      </c>
    </row>
    <row r="23323">
      <c r="A23323" s="1" t="s">
        <v>36238</v>
      </c>
      <c r="B23323" s="2" t="s">
        <v>36239</v>
      </c>
      <c r="C23323" s="1" t="s">
        <v>7180</v>
      </c>
      <c r="D23323" s="1" t="s">
        <v>7181</v>
      </c>
    </row>
    <row r="23324">
      <c r="A23324" s="1" t="s">
        <v>36240</v>
      </c>
      <c r="B23324" s="2" t="s">
        <v>33042</v>
      </c>
      <c r="C23324" s="1" t="s">
        <v>7180</v>
      </c>
      <c r="D23324" s="1" t="s">
        <v>7181</v>
      </c>
    </row>
    <row r="23325">
      <c r="A23325" s="1" t="s">
        <v>36241</v>
      </c>
      <c r="B23325" s="2" t="s">
        <v>36242</v>
      </c>
      <c r="C23325" s="1" t="s">
        <v>7180</v>
      </c>
      <c r="D23325" s="1" t="s">
        <v>7181</v>
      </c>
    </row>
    <row r="23326">
      <c r="A23326" s="1" t="s">
        <v>36243</v>
      </c>
      <c r="B23326" s="2" t="s">
        <v>36244</v>
      </c>
      <c r="C23326" s="1" t="s">
        <v>7180</v>
      </c>
      <c r="D23326" s="1" t="s">
        <v>7181</v>
      </c>
    </row>
    <row r="23327">
      <c r="A23327" s="1" t="s">
        <v>36245</v>
      </c>
      <c r="B23327" s="2" t="s">
        <v>36246</v>
      </c>
      <c r="C23327" s="1" t="s">
        <v>7180</v>
      </c>
      <c r="D23327" s="1" t="s">
        <v>7181</v>
      </c>
    </row>
    <row r="23328">
      <c r="A23328" s="1" t="s">
        <v>36247</v>
      </c>
      <c r="B23328" s="2" t="s">
        <v>36248</v>
      </c>
      <c r="C23328" s="1" t="s">
        <v>7180</v>
      </c>
      <c r="D23328" s="1" t="s">
        <v>7181</v>
      </c>
    </row>
    <row r="23329">
      <c r="A23329" s="1" t="s">
        <v>36249</v>
      </c>
      <c r="B23329" s="2" t="s">
        <v>36250</v>
      </c>
      <c r="C23329" s="1" t="s">
        <v>7180</v>
      </c>
      <c r="D23329" s="1" t="s">
        <v>7181</v>
      </c>
    </row>
    <row r="23330">
      <c r="A23330" s="1" t="s">
        <v>36251</v>
      </c>
      <c r="B23330" s="2" t="s">
        <v>36252</v>
      </c>
      <c r="C23330" s="1" t="s">
        <v>7180</v>
      </c>
      <c r="D23330" s="1" t="s">
        <v>7181</v>
      </c>
    </row>
    <row r="23331">
      <c r="A23331" s="1" t="s">
        <v>7186</v>
      </c>
      <c r="B23331" s="2" t="s">
        <v>7</v>
      </c>
      <c r="C23331" s="1" t="s">
        <v>7189</v>
      </c>
      <c r="D23331" s="1" t="s">
        <v>7191</v>
      </c>
    </row>
    <row r="23332">
      <c r="A23332" s="1" t="s">
        <v>36253</v>
      </c>
      <c r="B23332" s="2" t="s">
        <v>32702</v>
      </c>
      <c r="C23332" s="1" t="s">
        <v>7189</v>
      </c>
      <c r="D23332" s="1" t="s">
        <v>7191</v>
      </c>
    </row>
    <row r="23333">
      <c r="A23333" s="1" t="s">
        <v>36254</v>
      </c>
      <c r="B23333" s="2" t="s">
        <v>36255</v>
      </c>
      <c r="C23333" s="1" t="s">
        <v>7189</v>
      </c>
      <c r="D23333" s="1" t="s">
        <v>7191</v>
      </c>
    </row>
    <row r="23334">
      <c r="A23334" s="1" t="s">
        <v>36256</v>
      </c>
      <c r="B23334" s="2" t="s">
        <v>36257</v>
      </c>
      <c r="C23334" s="1" t="s">
        <v>7189</v>
      </c>
      <c r="D23334" s="1" t="s">
        <v>7191</v>
      </c>
    </row>
    <row r="23335">
      <c r="A23335" s="1" t="s">
        <v>36258</v>
      </c>
      <c r="B23335" s="2" t="s">
        <v>36259</v>
      </c>
      <c r="C23335" s="1" t="s">
        <v>7189</v>
      </c>
      <c r="D23335" s="1" t="s">
        <v>7191</v>
      </c>
    </row>
    <row r="23336">
      <c r="A23336" s="1" t="s">
        <v>36260</v>
      </c>
      <c r="B23336" s="2" t="s">
        <v>36261</v>
      </c>
      <c r="C23336" s="1" t="s">
        <v>7189</v>
      </c>
      <c r="D23336" s="1" t="s">
        <v>7191</v>
      </c>
    </row>
    <row r="23337">
      <c r="A23337" s="1" t="s">
        <v>36262</v>
      </c>
      <c r="B23337" s="2" t="s">
        <v>36263</v>
      </c>
      <c r="C23337" s="1" t="s">
        <v>7189</v>
      </c>
      <c r="D23337" s="1" t="s">
        <v>7191</v>
      </c>
    </row>
    <row r="23338">
      <c r="A23338" s="1" t="s">
        <v>36264</v>
      </c>
      <c r="B23338" s="2" t="s">
        <v>36265</v>
      </c>
      <c r="C23338" s="1" t="s">
        <v>7189</v>
      </c>
      <c r="D23338" s="1" t="s">
        <v>7191</v>
      </c>
    </row>
    <row r="23339">
      <c r="A23339" s="1" t="s">
        <v>36266</v>
      </c>
      <c r="B23339" s="2" t="s">
        <v>36267</v>
      </c>
      <c r="C23339" s="1" t="s">
        <v>7189</v>
      </c>
      <c r="D23339" s="1" t="s">
        <v>7191</v>
      </c>
    </row>
    <row r="23340">
      <c r="A23340" s="1" t="s">
        <v>36268</v>
      </c>
      <c r="B23340" s="2" t="s">
        <v>36269</v>
      </c>
      <c r="C23340" s="1" t="s">
        <v>7189</v>
      </c>
      <c r="D23340" s="1" t="s">
        <v>7191</v>
      </c>
    </row>
    <row r="23341">
      <c r="A23341" s="1" t="s">
        <v>36270</v>
      </c>
      <c r="B23341" s="2" t="s">
        <v>36271</v>
      </c>
      <c r="C23341" s="1" t="s">
        <v>7189</v>
      </c>
      <c r="D23341" s="1" t="s">
        <v>7191</v>
      </c>
    </row>
    <row r="23342">
      <c r="A23342" s="1" t="s">
        <v>36272</v>
      </c>
      <c r="B23342" s="2" t="s">
        <v>36273</v>
      </c>
      <c r="C23342" s="1" t="s">
        <v>7189</v>
      </c>
      <c r="D23342" s="1" t="s">
        <v>7191</v>
      </c>
    </row>
    <row r="23343">
      <c r="A23343" s="1" t="s">
        <v>36274</v>
      </c>
      <c r="B23343" s="2" t="s">
        <v>36275</v>
      </c>
      <c r="C23343" s="1" t="s">
        <v>7189</v>
      </c>
      <c r="D23343" s="1" t="s">
        <v>7191</v>
      </c>
    </row>
    <row r="23344">
      <c r="A23344" s="1" t="s">
        <v>36276</v>
      </c>
      <c r="B23344" s="2" t="s">
        <v>36277</v>
      </c>
      <c r="C23344" s="1" t="s">
        <v>7189</v>
      </c>
      <c r="D23344" s="1" t="s">
        <v>7191</v>
      </c>
    </row>
    <row r="23345">
      <c r="A23345" s="1" t="s">
        <v>36278</v>
      </c>
      <c r="B23345" s="2" t="s">
        <v>36279</v>
      </c>
      <c r="C23345" s="1" t="s">
        <v>7189</v>
      </c>
      <c r="D23345" s="1" t="s">
        <v>7191</v>
      </c>
    </row>
    <row r="23346">
      <c r="A23346" s="1" t="s">
        <v>36280</v>
      </c>
      <c r="B23346" s="2" t="s">
        <v>36281</v>
      </c>
      <c r="C23346" s="1" t="s">
        <v>7189</v>
      </c>
      <c r="D23346" s="1" t="s">
        <v>7191</v>
      </c>
    </row>
    <row r="23347">
      <c r="A23347" s="1" t="s">
        <v>36282</v>
      </c>
      <c r="B23347" s="2" t="s">
        <v>36283</v>
      </c>
      <c r="C23347" s="1" t="s">
        <v>7189</v>
      </c>
      <c r="D23347" s="1" t="s">
        <v>7191</v>
      </c>
    </row>
    <row r="23348">
      <c r="A23348" s="1" t="s">
        <v>36284</v>
      </c>
      <c r="B23348" s="2" t="s">
        <v>36285</v>
      </c>
      <c r="C23348" s="1" t="s">
        <v>7189</v>
      </c>
      <c r="D23348" s="1" t="s">
        <v>7191</v>
      </c>
    </row>
    <row r="23349">
      <c r="A23349" s="1" t="s">
        <v>36286</v>
      </c>
      <c r="B23349" s="2" t="s">
        <v>36287</v>
      </c>
      <c r="C23349" s="1" t="s">
        <v>7189</v>
      </c>
      <c r="D23349" s="1" t="s">
        <v>7191</v>
      </c>
    </row>
    <row r="23350">
      <c r="A23350" s="1" t="s">
        <v>36288</v>
      </c>
      <c r="B23350" s="2" t="s">
        <v>36289</v>
      </c>
      <c r="C23350" s="1" t="s">
        <v>7189</v>
      </c>
      <c r="D23350" s="1" t="s">
        <v>7191</v>
      </c>
    </row>
    <row r="23351">
      <c r="A23351" s="1" t="s">
        <v>36290</v>
      </c>
      <c r="B23351" s="2" t="s">
        <v>36291</v>
      </c>
      <c r="C23351" s="1" t="s">
        <v>7189</v>
      </c>
      <c r="D23351" s="1" t="s">
        <v>7191</v>
      </c>
    </row>
    <row r="23352">
      <c r="A23352" s="1" t="s">
        <v>36292</v>
      </c>
      <c r="B23352" s="2" t="s">
        <v>36293</v>
      </c>
      <c r="C23352" s="1" t="s">
        <v>7189</v>
      </c>
      <c r="D23352" s="1" t="s">
        <v>7191</v>
      </c>
    </row>
    <row r="23353">
      <c r="A23353" s="1" t="s">
        <v>36294</v>
      </c>
      <c r="B23353" s="2" t="s">
        <v>36295</v>
      </c>
      <c r="C23353" s="1" t="s">
        <v>7189</v>
      </c>
      <c r="D23353" s="1" t="s">
        <v>7191</v>
      </c>
    </row>
    <row r="23354">
      <c r="A23354" s="1" t="s">
        <v>36296</v>
      </c>
      <c r="B23354" s="2" t="s">
        <v>36297</v>
      </c>
      <c r="C23354" s="1" t="s">
        <v>7189</v>
      </c>
      <c r="D23354" s="1" t="s">
        <v>7191</v>
      </c>
    </row>
    <row r="23355">
      <c r="A23355" s="1" t="s">
        <v>36298</v>
      </c>
      <c r="B23355" s="2" t="s">
        <v>36299</v>
      </c>
      <c r="C23355" s="1" t="s">
        <v>7189</v>
      </c>
      <c r="D23355" s="1" t="s">
        <v>7191</v>
      </c>
    </row>
    <row r="23356">
      <c r="A23356" s="1" t="s">
        <v>36300</v>
      </c>
      <c r="B23356" s="2" t="s">
        <v>36301</v>
      </c>
      <c r="C23356" s="1" t="s">
        <v>7189</v>
      </c>
      <c r="D23356" s="1" t="s">
        <v>7191</v>
      </c>
    </row>
    <row r="23357">
      <c r="A23357" s="1" t="s">
        <v>36302</v>
      </c>
      <c r="B23357" s="2" t="s">
        <v>36303</v>
      </c>
      <c r="C23357" s="1" t="s">
        <v>7189</v>
      </c>
      <c r="D23357" s="1" t="s">
        <v>7191</v>
      </c>
    </row>
    <row r="23358">
      <c r="A23358" s="1" t="s">
        <v>36304</v>
      </c>
      <c r="B23358" s="2" t="s">
        <v>36305</v>
      </c>
      <c r="C23358" s="1" t="s">
        <v>7189</v>
      </c>
      <c r="D23358" s="1" t="s">
        <v>7191</v>
      </c>
    </row>
    <row r="23359">
      <c r="A23359" s="1" t="s">
        <v>36306</v>
      </c>
      <c r="B23359" s="2" t="s">
        <v>36307</v>
      </c>
      <c r="C23359" s="1" t="s">
        <v>7189</v>
      </c>
      <c r="D23359" s="1" t="s">
        <v>7191</v>
      </c>
    </row>
    <row r="23360">
      <c r="A23360" s="1" t="s">
        <v>36308</v>
      </c>
      <c r="B23360" s="2" t="s">
        <v>36309</v>
      </c>
      <c r="C23360" s="1" t="s">
        <v>7189</v>
      </c>
      <c r="D23360" s="1" t="s">
        <v>7191</v>
      </c>
    </row>
    <row r="23361">
      <c r="A23361" s="1" t="s">
        <v>36310</v>
      </c>
      <c r="B23361" s="2" t="s">
        <v>36311</v>
      </c>
      <c r="C23361" s="1" t="s">
        <v>7189</v>
      </c>
      <c r="D23361" s="1" t="s">
        <v>7191</v>
      </c>
    </row>
    <row r="23362">
      <c r="A23362" s="1" t="s">
        <v>36312</v>
      </c>
      <c r="B23362" s="2" t="s">
        <v>36313</v>
      </c>
      <c r="C23362" s="1" t="s">
        <v>7189</v>
      </c>
      <c r="D23362" s="1" t="s">
        <v>7191</v>
      </c>
    </row>
    <row r="23363">
      <c r="A23363" s="1" t="s">
        <v>36314</v>
      </c>
      <c r="B23363" s="2" t="s">
        <v>36315</v>
      </c>
      <c r="C23363" s="1" t="s">
        <v>7189</v>
      </c>
      <c r="D23363" s="1" t="s">
        <v>7191</v>
      </c>
    </row>
    <row r="23364">
      <c r="A23364" s="1" t="s">
        <v>36316</v>
      </c>
      <c r="B23364" s="2" t="s">
        <v>36317</v>
      </c>
      <c r="C23364" s="1" t="s">
        <v>7189</v>
      </c>
      <c r="D23364" s="1" t="s">
        <v>7191</v>
      </c>
    </row>
    <row r="23365">
      <c r="A23365" s="1" t="s">
        <v>36318</v>
      </c>
      <c r="B23365" s="2" t="s">
        <v>36319</v>
      </c>
      <c r="C23365" s="1" t="s">
        <v>7189</v>
      </c>
      <c r="D23365" s="1" t="s">
        <v>7191</v>
      </c>
    </row>
    <row r="23366">
      <c r="A23366" s="1" t="s">
        <v>36320</v>
      </c>
      <c r="B23366" s="2" t="s">
        <v>36321</v>
      </c>
      <c r="C23366" s="1" t="s">
        <v>7189</v>
      </c>
      <c r="D23366" s="1" t="s">
        <v>7191</v>
      </c>
    </row>
    <row r="23367">
      <c r="A23367" s="1" t="s">
        <v>36322</v>
      </c>
      <c r="B23367" s="2" t="s">
        <v>36323</v>
      </c>
      <c r="C23367" s="1" t="s">
        <v>7189</v>
      </c>
      <c r="D23367" s="1" t="s">
        <v>7191</v>
      </c>
    </row>
    <row r="23368">
      <c r="A23368" s="1" t="s">
        <v>36324</v>
      </c>
      <c r="B23368" s="2" t="s">
        <v>32722</v>
      </c>
      <c r="C23368" s="1" t="s">
        <v>7189</v>
      </c>
      <c r="D23368" s="1" t="s">
        <v>7191</v>
      </c>
    </row>
    <row r="23369">
      <c r="A23369" s="1" t="s">
        <v>36325</v>
      </c>
      <c r="B23369" s="2" t="s">
        <v>36326</v>
      </c>
      <c r="C23369" s="1" t="s">
        <v>7189</v>
      </c>
      <c r="D23369" s="1" t="s">
        <v>7191</v>
      </c>
    </row>
    <row r="23370">
      <c r="A23370" s="1" t="s">
        <v>36327</v>
      </c>
      <c r="B23370" s="2" t="s">
        <v>36328</v>
      </c>
      <c r="C23370" s="1" t="s">
        <v>7189</v>
      </c>
      <c r="D23370" s="1" t="s">
        <v>7191</v>
      </c>
    </row>
    <row r="23371">
      <c r="A23371" s="1" t="s">
        <v>36329</v>
      </c>
      <c r="B23371" s="2" t="s">
        <v>36330</v>
      </c>
      <c r="C23371" s="1" t="s">
        <v>7189</v>
      </c>
      <c r="D23371" s="1" t="s">
        <v>7191</v>
      </c>
    </row>
    <row r="23372">
      <c r="A23372" s="1" t="s">
        <v>36331</v>
      </c>
      <c r="B23372" s="2" t="s">
        <v>36332</v>
      </c>
      <c r="C23372" s="1" t="s">
        <v>7189</v>
      </c>
      <c r="D23372" s="1" t="s">
        <v>7191</v>
      </c>
    </row>
    <row r="23373">
      <c r="A23373" s="1" t="s">
        <v>36333</v>
      </c>
      <c r="B23373" s="2" t="s">
        <v>36334</v>
      </c>
      <c r="C23373" s="1" t="s">
        <v>7189</v>
      </c>
      <c r="D23373" s="1" t="s">
        <v>7191</v>
      </c>
    </row>
    <row r="23374">
      <c r="A23374" s="1" t="s">
        <v>36335</v>
      </c>
      <c r="B23374" s="2" t="s">
        <v>36336</v>
      </c>
      <c r="C23374" s="1" t="s">
        <v>7189</v>
      </c>
      <c r="D23374" s="1" t="s">
        <v>7191</v>
      </c>
    </row>
    <row r="23375">
      <c r="A23375" s="1" t="s">
        <v>36337</v>
      </c>
      <c r="B23375" s="2" t="s">
        <v>36338</v>
      </c>
      <c r="C23375" s="1" t="s">
        <v>7189</v>
      </c>
      <c r="D23375" s="1" t="s">
        <v>7191</v>
      </c>
    </row>
    <row r="23376">
      <c r="A23376" s="1" t="s">
        <v>36339</v>
      </c>
      <c r="B23376" s="2" t="s">
        <v>36340</v>
      </c>
      <c r="C23376" s="1" t="s">
        <v>7189</v>
      </c>
      <c r="D23376" s="1" t="s">
        <v>7191</v>
      </c>
    </row>
    <row r="23377">
      <c r="A23377" s="1" t="s">
        <v>36341</v>
      </c>
      <c r="B23377" s="2" t="s">
        <v>36342</v>
      </c>
      <c r="C23377" s="1" t="s">
        <v>7189</v>
      </c>
      <c r="D23377" s="1" t="s">
        <v>7191</v>
      </c>
    </row>
    <row r="23378">
      <c r="A23378" s="1" t="s">
        <v>36343</v>
      </c>
      <c r="B23378" s="2" t="s">
        <v>36344</v>
      </c>
      <c r="C23378" s="1" t="s">
        <v>7189</v>
      </c>
      <c r="D23378" s="1" t="s">
        <v>7191</v>
      </c>
    </row>
    <row r="23379">
      <c r="A23379" s="1" t="s">
        <v>36345</v>
      </c>
      <c r="B23379" s="2" t="s">
        <v>36346</v>
      </c>
      <c r="C23379" s="1" t="s">
        <v>7189</v>
      </c>
      <c r="D23379" s="1" t="s">
        <v>7191</v>
      </c>
    </row>
    <row r="23380">
      <c r="A23380" s="1" t="s">
        <v>36347</v>
      </c>
      <c r="B23380" s="2" t="s">
        <v>36348</v>
      </c>
      <c r="C23380" s="1" t="s">
        <v>7189</v>
      </c>
      <c r="D23380" s="1" t="s">
        <v>7191</v>
      </c>
    </row>
    <row r="23381">
      <c r="A23381" s="1" t="s">
        <v>36349</v>
      </c>
      <c r="B23381" s="2" t="s">
        <v>36350</v>
      </c>
      <c r="C23381" s="1" t="s">
        <v>7189</v>
      </c>
      <c r="D23381" s="1" t="s">
        <v>7191</v>
      </c>
    </row>
    <row r="23382">
      <c r="A23382" s="1" t="s">
        <v>36351</v>
      </c>
      <c r="B23382" s="2" t="s">
        <v>36352</v>
      </c>
      <c r="C23382" s="1" t="s">
        <v>7189</v>
      </c>
      <c r="D23382" s="1" t="s">
        <v>7191</v>
      </c>
    </row>
    <row r="23383">
      <c r="A23383" s="1" t="s">
        <v>36353</v>
      </c>
      <c r="B23383" s="2" t="s">
        <v>36354</v>
      </c>
      <c r="C23383" s="1" t="s">
        <v>7189</v>
      </c>
      <c r="D23383" s="1" t="s">
        <v>7191</v>
      </c>
    </row>
    <row r="23384">
      <c r="A23384" s="1" t="s">
        <v>36355</v>
      </c>
      <c r="B23384" s="2" t="s">
        <v>36356</v>
      </c>
      <c r="C23384" s="1" t="s">
        <v>7189</v>
      </c>
      <c r="D23384" s="1" t="s">
        <v>7191</v>
      </c>
    </row>
    <row r="23385">
      <c r="A23385" s="1" t="s">
        <v>36357</v>
      </c>
      <c r="B23385" s="2" t="s">
        <v>36358</v>
      </c>
      <c r="C23385" s="1" t="s">
        <v>7189</v>
      </c>
      <c r="D23385" s="1" t="s">
        <v>7191</v>
      </c>
    </row>
    <row r="23386">
      <c r="A23386" s="1" t="s">
        <v>36359</v>
      </c>
      <c r="B23386" s="2" t="s">
        <v>36360</v>
      </c>
      <c r="C23386" s="1" t="s">
        <v>7189</v>
      </c>
      <c r="D23386" s="1" t="s">
        <v>7191</v>
      </c>
    </row>
    <row r="23387">
      <c r="A23387" s="1" t="s">
        <v>36361</v>
      </c>
      <c r="B23387" s="2" t="s">
        <v>36362</v>
      </c>
      <c r="C23387" s="1" t="s">
        <v>7189</v>
      </c>
      <c r="D23387" s="1" t="s">
        <v>7191</v>
      </c>
    </row>
    <row r="23388">
      <c r="A23388" s="1" t="s">
        <v>36363</v>
      </c>
      <c r="B23388" s="2" t="s">
        <v>36364</v>
      </c>
      <c r="C23388" s="1" t="s">
        <v>7189</v>
      </c>
      <c r="D23388" s="1" t="s">
        <v>7191</v>
      </c>
    </row>
    <row r="23389">
      <c r="A23389" s="1" t="s">
        <v>36365</v>
      </c>
      <c r="B23389" s="2" t="s">
        <v>36366</v>
      </c>
      <c r="C23389" s="1" t="s">
        <v>7189</v>
      </c>
      <c r="D23389" s="1" t="s">
        <v>7191</v>
      </c>
    </row>
    <row r="23390">
      <c r="A23390" s="1" t="s">
        <v>36367</v>
      </c>
      <c r="B23390" s="2" t="s">
        <v>36368</v>
      </c>
      <c r="C23390" s="1" t="s">
        <v>7189</v>
      </c>
      <c r="D23390" s="1" t="s">
        <v>7191</v>
      </c>
    </row>
    <row r="23391">
      <c r="A23391" s="1" t="s">
        <v>36369</v>
      </c>
      <c r="B23391" s="2" t="s">
        <v>36370</v>
      </c>
      <c r="C23391" s="1" t="s">
        <v>7189</v>
      </c>
      <c r="D23391" s="1" t="s">
        <v>7191</v>
      </c>
    </row>
    <row r="23392">
      <c r="A23392" s="1" t="s">
        <v>36371</v>
      </c>
      <c r="B23392" s="2" t="s">
        <v>36372</v>
      </c>
      <c r="C23392" s="1" t="s">
        <v>7189</v>
      </c>
      <c r="D23392" s="1" t="s">
        <v>7191</v>
      </c>
    </row>
    <row r="23393">
      <c r="A23393" s="1" t="s">
        <v>36373</v>
      </c>
      <c r="B23393" s="2" t="s">
        <v>36374</v>
      </c>
      <c r="C23393" s="1" t="s">
        <v>7189</v>
      </c>
      <c r="D23393" s="1" t="s">
        <v>7191</v>
      </c>
    </row>
    <row r="23394">
      <c r="A23394" s="1" t="s">
        <v>36375</v>
      </c>
      <c r="B23394" s="2" t="s">
        <v>36376</v>
      </c>
      <c r="C23394" s="1" t="s">
        <v>7189</v>
      </c>
      <c r="D23394" s="1" t="s">
        <v>7191</v>
      </c>
    </row>
    <row r="23395">
      <c r="A23395" s="1" t="s">
        <v>36377</v>
      </c>
      <c r="B23395" s="2" t="s">
        <v>36378</v>
      </c>
      <c r="C23395" s="1" t="s">
        <v>7189</v>
      </c>
      <c r="D23395" s="1" t="s">
        <v>7191</v>
      </c>
    </row>
    <row r="23396">
      <c r="A23396" s="1" t="s">
        <v>36379</v>
      </c>
      <c r="B23396" s="2" t="s">
        <v>36380</v>
      </c>
      <c r="C23396" s="1" t="s">
        <v>7189</v>
      </c>
      <c r="D23396" s="1" t="s">
        <v>7191</v>
      </c>
    </row>
    <row r="23397">
      <c r="A23397" s="1" t="s">
        <v>36381</v>
      </c>
      <c r="B23397" s="2" t="s">
        <v>36382</v>
      </c>
      <c r="C23397" s="1" t="s">
        <v>7189</v>
      </c>
      <c r="D23397" s="1" t="s">
        <v>7191</v>
      </c>
    </row>
    <row r="23398">
      <c r="A23398" s="1" t="s">
        <v>36383</v>
      </c>
      <c r="B23398" s="2" t="s">
        <v>36384</v>
      </c>
      <c r="C23398" s="1" t="s">
        <v>7189</v>
      </c>
      <c r="D23398" s="1" t="s">
        <v>7191</v>
      </c>
    </row>
    <row r="23399">
      <c r="A23399" s="1" t="s">
        <v>36385</v>
      </c>
      <c r="B23399" s="2" t="s">
        <v>36386</v>
      </c>
      <c r="C23399" s="1" t="s">
        <v>7189</v>
      </c>
      <c r="D23399" s="1" t="s">
        <v>7191</v>
      </c>
    </row>
    <row r="23400">
      <c r="A23400" s="1" t="s">
        <v>36387</v>
      </c>
      <c r="B23400" s="2" t="s">
        <v>36388</v>
      </c>
      <c r="C23400" s="1" t="s">
        <v>7189</v>
      </c>
      <c r="D23400" s="1" t="s">
        <v>7191</v>
      </c>
    </row>
    <row r="23401">
      <c r="A23401" s="1" t="s">
        <v>36389</v>
      </c>
      <c r="B23401" s="2" t="s">
        <v>36390</v>
      </c>
      <c r="C23401" s="1" t="s">
        <v>7189</v>
      </c>
      <c r="D23401" s="1" t="s">
        <v>7191</v>
      </c>
    </row>
    <row r="23402">
      <c r="A23402" s="1" t="s">
        <v>36391</v>
      </c>
      <c r="B23402" s="2" t="s">
        <v>36392</v>
      </c>
      <c r="C23402" s="1" t="s">
        <v>7189</v>
      </c>
      <c r="D23402" s="1" t="s">
        <v>7191</v>
      </c>
    </row>
    <row r="23403">
      <c r="A23403" s="1" t="s">
        <v>36393</v>
      </c>
      <c r="B23403" s="2" t="s">
        <v>36394</v>
      </c>
      <c r="C23403" s="1" t="s">
        <v>7189</v>
      </c>
      <c r="D23403" s="1" t="s">
        <v>7191</v>
      </c>
    </row>
    <row r="23404">
      <c r="A23404" s="1" t="s">
        <v>7197</v>
      </c>
      <c r="B23404" s="2" t="s">
        <v>234</v>
      </c>
      <c r="C23404" s="1" t="s">
        <v>7200</v>
      </c>
      <c r="D23404" s="1" t="s">
        <v>7203</v>
      </c>
    </row>
    <row r="23405">
      <c r="A23405" s="1" t="s">
        <v>36395</v>
      </c>
      <c r="B23405" s="2" t="s">
        <v>36396</v>
      </c>
      <c r="C23405" s="1" t="s">
        <v>7200</v>
      </c>
      <c r="D23405" s="1" t="s">
        <v>7203</v>
      </c>
    </row>
    <row r="23406">
      <c r="A23406" s="1" t="s">
        <v>36397</v>
      </c>
      <c r="B23406" s="2" t="s">
        <v>36398</v>
      </c>
      <c r="C23406" s="1" t="s">
        <v>7200</v>
      </c>
      <c r="D23406" s="1" t="s">
        <v>7203</v>
      </c>
    </row>
    <row r="23407">
      <c r="A23407" s="1" t="s">
        <v>36399</v>
      </c>
      <c r="B23407" s="2" t="s">
        <v>36400</v>
      </c>
      <c r="C23407" s="1" t="s">
        <v>7200</v>
      </c>
      <c r="D23407" s="1" t="s">
        <v>7203</v>
      </c>
    </row>
    <row r="23408">
      <c r="A23408" s="1" t="s">
        <v>36401</v>
      </c>
      <c r="B23408" s="2" t="s">
        <v>36402</v>
      </c>
      <c r="C23408" s="1" t="s">
        <v>7200</v>
      </c>
      <c r="D23408" s="1" t="s">
        <v>7203</v>
      </c>
    </row>
    <row r="23409">
      <c r="A23409" s="1" t="s">
        <v>36403</v>
      </c>
      <c r="B23409" s="2" t="s">
        <v>36404</v>
      </c>
      <c r="C23409" s="1" t="s">
        <v>7200</v>
      </c>
      <c r="D23409" s="1" t="s">
        <v>7203</v>
      </c>
    </row>
    <row r="23410">
      <c r="A23410" s="1" t="s">
        <v>36405</v>
      </c>
      <c r="B23410" s="2" t="s">
        <v>36406</v>
      </c>
      <c r="C23410" s="1" t="s">
        <v>7200</v>
      </c>
      <c r="D23410" s="1" t="s">
        <v>7203</v>
      </c>
    </row>
    <row r="23411">
      <c r="A23411" s="1" t="s">
        <v>36407</v>
      </c>
      <c r="B23411" s="2" t="s">
        <v>36408</v>
      </c>
      <c r="C23411" s="1" t="s">
        <v>7200</v>
      </c>
      <c r="D23411" s="1" t="s">
        <v>7203</v>
      </c>
    </row>
    <row r="23412">
      <c r="A23412" s="1" t="s">
        <v>36409</v>
      </c>
      <c r="B23412" s="2" t="s">
        <v>36410</v>
      </c>
      <c r="C23412" s="1" t="s">
        <v>7200</v>
      </c>
      <c r="D23412" s="1" t="s">
        <v>7203</v>
      </c>
    </row>
    <row r="23413">
      <c r="A23413" s="1" t="s">
        <v>7208</v>
      </c>
      <c r="B23413" s="2" t="s">
        <v>234</v>
      </c>
      <c r="C23413" s="1" t="s">
        <v>7211</v>
      </c>
      <c r="D23413" s="1" t="s">
        <v>7212</v>
      </c>
    </row>
    <row r="23414">
      <c r="A23414" s="1" t="s">
        <v>36411</v>
      </c>
      <c r="B23414" s="2" t="s">
        <v>36396</v>
      </c>
      <c r="C23414" s="1" t="s">
        <v>7211</v>
      </c>
      <c r="D23414" s="1" t="s">
        <v>7212</v>
      </c>
    </row>
    <row r="23415">
      <c r="A23415" s="1" t="s">
        <v>36412</v>
      </c>
      <c r="B23415" s="2" t="s">
        <v>36413</v>
      </c>
      <c r="C23415" s="1" t="s">
        <v>7211</v>
      </c>
      <c r="D23415" s="1" t="s">
        <v>7212</v>
      </c>
    </row>
    <row r="23416">
      <c r="A23416" s="1" t="s">
        <v>36414</v>
      </c>
      <c r="B23416" s="2" t="s">
        <v>36415</v>
      </c>
      <c r="C23416" s="1" t="s">
        <v>7211</v>
      </c>
      <c r="D23416" s="1" t="s">
        <v>7212</v>
      </c>
    </row>
    <row r="23417">
      <c r="A23417" s="1" t="s">
        <v>36416</v>
      </c>
      <c r="B23417" s="2" t="s">
        <v>36417</v>
      </c>
      <c r="C23417" s="1" t="s">
        <v>7211</v>
      </c>
      <c r="D23417" s="1" t="s">
        <v>7212</v>
      </c>
    </row>
    <row r="23418">
      <c r="A23418" s="1" t="s">
        <v>36418</v>
      </c>
      <c r="B23418" s="2" t="s">
        <v>36419</v>
      </c>
      <c r="C23418" s="1" t="s">
        <v>7211</v>
      </c>
      <c r="D23418" s="1" t="s">
        <v>7212</v>
      </c>
    </row>
    <row r="23419">
      <c r="A23419" s="1" t="s">
        <v>36420</v>
      </c>
      <c r="B23419" s="2" t="s">
        <v>36421</v>
      </c>
      <c r="C23419" s="1" t="s">
        <v>7211</v>
      </c>
      <c r="D23419" s="1" t="s">
        <v>7212</v>
      </c>
    </row>
    <row r="23420">
      <c r="A23420" s="1" t="s">
        <v>36422</v>
      </c>
      <c r="B23420" s="2" t="s">
        <v>36423</v>
      </c>
      <c r="C23420" s="1" t="s">
        <v>7211</v>
      </c>
      <c r="D23420" s="1" t="s">
        <v>7212</v>
      </c>
    </row>
    <row r="23421">
      <c r="A23421" s="1" t="s">
        <v>36424</v>
      </c>
      <c r="B23421" s="2" t="s">
        <v>36425</v>
      </c>
      <c r="C23421" s="1" t="s">
        <v>7211</v>
      </c>
      <c r="D23421" s="1" t="s">
        <v>7212</v>
      </c>
    </row>
    <row r="23422">
      <c r="A23422" s="1" t="s">
        <v>7215</v>
      </c>
      <c r="B23422" s="2" t="s">
        <v>234</v>
      </c>
      <c r="C23422" s="1" t="s">
        <v>7218</v>
      </c>
      <c r="D23422" s="1" t="s">
        <v>7219</v>
      </c>
    </row>
    <row r="23423">
      <c r="A23423" s="1" t="s">
        <v>36426</v>
      </c>
      <c r="B23423" s="2" t="s">
        <v>36427</v>
      </c>
      <c r="C23423" s="1" t="s">
        <v>7218</v>
      </c>
      <c r="D23423" s="1" t="s">
        <v>7219</v>
      </c>
    </row>
    <row r="23424">
      <c r="A23424" s="1" t="s">
        <v>36428</v>
      </c>
      <c r="B23424" s="2" t="s">
        <v>36429</v>
      </c>
      <c r="C23424" s="1" t="s">
        <v>7218</v>
      </c>
      <c r="D23424" s="1" t="s">
        <v>7219</v>
      </c>
    </row>
    <row r="23425">
      <c r="A23425" s="1" t="s">
        <v>36430</v>
      </c>
      <c r="B23425" s="2" t="s">
        <v>36431</v>
      </c>
      <c r="C23425" s="1" t="s">
        <v>7218</v>
      </c>
      <c r="D23425" s="1" t="s">
        <v>7219</v>
      </c>
    </row>
    <row r="23426">
      <c r="A23426" s="1" t="s">
        <v>36432</v>
      </c>
      <c r="B23426" s="2" t="s">
        <v>36433</v>
      </c>
      <c r="C23426" s="1" t="s">
        <v>7218</v>
      </c>
      <c r="D23426" s="1" t="s">
        <v>7219</v>
      </c>
    </row>
    <row r="23427">
      <c r="A23427" s="1" t="s">
        <v>36434</v>
      </c>
      <c r="B23427" s="2" t="s">
        <v>36435</v>
      </c>
      <c r="C23427" s="1" t="s">
        <v>7218</v>
      </c>
      <c r="D23427" s="1" t="s">
        <v>7219</v>
      </c>
    </row>
    <row r="23428">
      <c r="A23428" s="1" t="s">
        <v>36436</v>
      </c>
      <c r="B23428" s="2" t="s">
        <v>36437</v>
      </c>
      <c r="C23428" s="1" t="s">
        <v>7218</v>
      </c>
      <c r="D23428" s="1" t="s">
        <v>7219</v>
      </c>
    </row>
    <row r="23429">
      <c r="A23429" s="1" t="s">
        <v>36438</v>
      </c>
      <c r="B23429" s="2" t="s">
        <v>36439</v>
      </c>
      <c r="C23429" s="1" t="s">
        <v>7218</v>
      </c>
      <c r="D23429" s="1" t="s">
        <v>7219</v>
      </c>
    </row>
    <row r="23430">
      <c r="A23430" s="1" t="s">
        <v>36440</v>
      </c>
      <c r="B23430" s="2" t="s">
        <v>36441</v>
      </c>
      <c r="C23430" s="1" t="s">
        <v>7218</v>
      </c>
      <c r="D23430" s="1" t="s">
        <v>7219</v>
      </c>
    </row>
    <row r="23431">
      <c r="A23431" s="1" t="s">
        <v>7225</v>
      </c>
      <c r="B23431" s="2" t="s">
        <v>234</v>
      </c>
      <c r="C23431" s="1" t="s">
        <v>7227</v>
      </c>
      <c r="D23431" s="1" t="s">
        <v>7228</v>
      </c>
    </row>
    <row r="23432">
      <c r="A23432" s="1" t="s">
        <v>36442</v>
      </c>
      <c r="B23432" s="2" t="s">
        <v>36396</v>
      </c>
      <c r="C23432" s="1" t="s">
        <v>7227</v>
      </c>
      <c r="D23432" s="1" t="s">
        <v>7228</v>
      </c>
    </row>
    <row r="23433">
      <c r="A23433" s="1" t="s">
        <v>36443</v>
      </c>
      <c r="B23433" s="2" t="s">
        <v>36444</v>
      </c>
      <c r="C23433" s="1" t="s">
        <v>7227</v>
      </c>
      <c r="D23433" s="1" t="s">
        <v>7228</v>
      </c>
    </row>
    <row r="23434">
      <c r="A23434" s="1" t="s">
        <v>36445</v>
      </c>
      <c r="B23434" s="2" t="s">
        <v>36446</v>
      </c>
      <c r="C23434" s="1" t="s">
        <v>7227</v>
      </c>
      <c r="D23434" s="1" t="s">
        <v>7228</v>
      </c>
    </row>
    <row r="23435">
      <c r="A23435" s="1" t="s">
        <v>36447</v>
      </c>
      <c r="B23435" s="2" t="s">
        <v>36448</v>
      </c>
      <c r="C23435" s="1" t="s">
        <v>7227</v>
      </c>
      <c r="D23435" s="1" t="s">
        <v>7228</v>
      </c>
    </row>
    <row r="23436">
      <c r="A23436" s="1" t="s">
        <v>36449</v>
      </c>
      <c r="B23436" s="2" t="s">
        <v>36450</v>
      </c>
      <c r="C23436" s="1" t="s">
        <v>7227</v>
      </c>
      <c r="D23436" s="1" t="s">
        <v>7228</v>
      </c>
    </row>
    <row r="23437">
      <c r="A23437" s="1" t="s">
        <v>7230</v>
      </c>
      <c r="B23437" s="2" t="s">
        <v>7231</v>
      </c>
      <c r="C23437" s="1" t="s">
        <v>7233</v>
      </c>
      <c r="D23437" s="1" t="s">
        <v>7234</v>
      </c>
    </row>
    <row r="23438">
      <c r="A23438" s="1" t="s">
        <v>36451</v>
      </c>
      <c r="B23438" s="2" t="s">
        <v>36452</v>
      </c>
      <c r="C23438" s="1" t="s">
        <v>7233</v>
      </c>
      <c r="D23438" s="1" t="s">
        <v>7234</v>
      </c>
    </row>
    <row r="23439">
      <c r="A23439" s="1" t="s">
        <v>36453</v>
      </c>
      <c r="B23439" s="2" t="s">
        <v>36454</v>
      </c>
      <c r="C23439" s="1" t="s">
        <v>7233</v>
      </c>
      <c r="D23439" s="1" t="s">
        <v>7234</v>
      </c>
    </row>
    <row r="23440">
      <c r="A23440" s="1" t="s">
        <v>36455</v>
      </c>
      <c r="B23440" s="2" t="s">
        <v>36456</v>
      </c>
      <c r="C23440" s="1" t="s">
        <v>7233</v>
      </c>
      <c r="D23440" s="1" t="s">
        <v>7234</v>
      </c>
    </row>
    <row r="23441">
      <c r="A23441" s="1" t="s">
        <v>36457</v>
      </c>
      <c r="B23441" s="2" t="s">
        <v>36458</v>
      </c>
      <c r="C23441" s="1" t="s">
        <v>7233</v>
      </c>
      <c r="D23441" s="1" t="s">
        <v>7234</v>
      </c>
    </row>
    <row r="23442">
      <c r="A23442" s="1" t="s">
        <v>36459</v>
      </c>
      <c r="B23442" s="2" t="s">
        <v>36460</v>
      </c>
      <c r="C23442" s="1" t="s">
        <v>7233</v>
      </c>
      <c r="D23442" s="1" t="s">
        <v>7234</v>
      </c>
    </row>
    <row r="23443">
      <c r="A23443" s="1" t="s">
        <v>36461</v>
      </c>
      <c r="B23443" s="2" t="s">
        <v>36462</v>
      </c>
      <c r="C23443" s="1" t="s">
        <v>7233</v>
      </c>
      <c r="D23443" s="1" t="s">
        <v>7234</v>
      </c>
    </row>
    <row r="23444">
      <c r="A23444" s="1" t="s">
        <v>36463</v>
      </c>
      <c r="B23444" s="2" t="s">
        <v>36464</v>
      </c>
      <c r="C23444" s="1" t="s">
        <v>7233</v>
      </c>
      <c r="D23444" s="1" t="s">
        <v>7234</v>
      </c>
    </row>
    <row r="23445">
      <c r="A23445" s="1" t="s">
        <v>36465</v>
      </c>
      <c r="B23445" s="2" t="s">
        <v>36466</v>
      </c>
      <c r="C23445" s="1" t="s">
        <v>7233</v>
      </c>
      <c r="D23445" s="1" t="s">
        <v>7234</v>
      </c>
    </row>
    <row r="23446">
      <c r="A23446" s="1" t="s">
        <v>36467</v>
      </c>
      <c r="B23446" s="2" t="s">
        <v>36468</v>
      </c>
      <c r="C23446" s="1" t="s">
        <v>7233</v>
      </c>
      <c r="D23446" s="1" t="s">
        <v>7234</v>
      </c>
    </row>
    <row r="23447">
      <c r="A23447" s="1" t="s">
        <v>36469</v>
      </c>
      <c r="B23447" s="2" t="s">
        <v>36470</v>
      </c>
      <c r="C23447" s="1" t="s">
        <v>7233</v>
      </c>
      <c r="D23447" s="1" t="s">
        <v>7234</v>
      </c>
    </row>
    <row r="23448">
      <c r="A23448" s="1" t="s">
        <v>36471</v>
      </c>
      <c r="B23448" s="2" t="s">
        <v>36472</v>
      </c>
      <c r="C23448" s="1" t="s">
        <v>7233</v>
      </c>
      <c r="D23448" s="1" t="s">
        <v>7234</v>
      </c>
    </row>
    <row r="23449">
      <c r="A23449" s="1" t="s">
        <v>36473</v>
      </c>
      <c r="B23449" s="2" t="s">
        <v>36474</v>
      </c>
      <c r="C23449" s="1" t="s">
        <v>7233</v>
      </c>
      <c r="D23449" s="1" t="s">
        <v>7234</v>
      </c>
    </row>
    <row r="23450">
      <c r="A23450" s="1" t="s">
        <v>7235</v>
      </c>
      <c r="B23450" s="2" t="s">
        <v>7231</v>
      </c>
      <c r="C23450" s="1" t="s">
        <v>7236</v>
      </c>
      <c r="D23450" s="1" t="s">
        <v>7238</v>
      </c>
    </row>
    <row r="23451">
      <c r="A23451" s="1" t="s">
        <v>36475</v>
      </c>
      <c r="B23451" s="2" t="s">
        <v>36452</v>
      </c>
      <c r="C23451" s="1" t="s">
        <v>7236</v>
      </c>
      <c r="D23451" s="1" t="s">
        <v>7238</v>
      </c>
    </row>
    <row r="23452">
      <c r="A23452" s="1" t="s">
        <v>36476</v>
      </c>
      <c r="B23452" s="2" t="s">
        <v>36477</v>
      </c>
      <c r="C23452" s="1" t="s">
        <v>7236</v>
      </c>
      <c r="D23452" s="1" t="s">
        <v>7238</v>
      </c>
    </row>
    <row r="23453">
      <c r="A23453" s="1" t="s">
        <v>36478</v>
      </c>
      <c r="B23453" s="2" t="s">
        <v>36479</v>
      </c>
      <c r="C23453" s="1" t="s">
        <v>7236</v>
      </c>
      <c r="D23453" s="1" t="s">
        <v>7238</v>
      </c>
    </row>
    <row r="23454">
      <c r="A23454" s="1" t="s">
        <v>36480</v>
      </c>
      <c r="B23454" s="2" t="s">
        <v>36481</v>
      </c>
      <c r="C23454" s="1" t="s">
        <v>7236</v>
      </c>
      <c r="D23454" s="1" t="s">
        <v>7238</v>
      </c>
    </row>
    <row r="23455">
      <c r="A23455" s="1" t="s">
        <v>36482</v>
      </c>
      <c r="B23455" s="2" t="s">
        <v>36464</v>
      </c>
      <c r="C23455" s="1" t="s">
        <v>7236</v>
      </c>
      <c r="D23455" s="1" t="s">
        <v>7238</v>
      </c>
    </row>
    <row r="23456">
      <c r="A23456" s="1" t="s">
        <v>36483</v>
      </c>
      <c r="B23456" s="2" t="s">
        <v>36484</v>
      </c>
      <c r="C23456" s="1" t="s">
        <v>7236</v>
      </c>
      <c r="D23456" s="1" t="s">
        <v>7238</v>
      </c>
    </row>
    <row r="23457">
      <c r="A23457" s="1" t="s">
        <v>36485</v>
      </c>
      <c r="B23457" s="2" t="s">
        <v>36486</v>
      </c>
      <c r="C23457" s="1" t="s">
        <v>7236</v>
      </c>
      <c r="D23457" s="1" t="s">
        <v>7238</v>
      </c>
    </row>
    <row r="23458">
      <c r="A23458" s="1" t="s">
        <v>36487</v>
      </c>
      <c r="B23458" s="2" t="s">
        <v>36488</v>
      </c>
      <c r="C23458" s="1" t="s">
        <v>7236</v>
      </c>
      <c r="D23458" s="1" t="s">
        <v>7238</v>
      </c>
    </row>
    <row r="23459">
      <c r="A23459" s="1" t="s">
        <v>7241</v>
      </c>
      <c r="B23459" s="2" t="s">
        <v>7242</v>
      </c>
      <c r="C23459" s="1" t="s">
        <v>7243</v>
      </c>
      <c r="D23459" s="1" t="s">
        <v>7244</v>
      </c>
    </row>
    <row r="23460">
      <c r="A23460" s="1" t="s">
        <v>7247</v>
      </c>
      <c r="B23460" s="2" t="s">
        <v>7249</v>
      </c>
      <c r="C23460" s="1" t="s">
        <v>7251</v>
      </c>
      <c r="D23460" s="1" t="s">
        <v>7252</v>
      </c>
    </row>
    <row r="23461">
      <c r="A23461" s="1" t="s">
        <v>7259</v>
      </c>
      <c r="B23461" s="2" t="s">
        <v>7</v>
      </c>
      <c r="C23461" s="1" t="s">
        <v>7261</v>
      </c>
      <c r="D23461" s="1" t="s">
        <v>7262</v>
      </c>
    </row>
    <row r="23462">
      <c r="A23462" s="1" t="s">
        <v>36489</v>
      </c>
      <c r="B23462" s="2" t="s">
        <v>36490</v>
      </c>
      <c r="C23462" s="1" t="s">
        <v>7261</v>
      </c>
      <c r="D23462" s="1" t="s">
        <v>7262</v>
      </c>
    </row>
    <row r="23463">
      <c r="A23463" s="1" t="s">
        <v>36491</v>
      </c>
      <c r="B23463" s="2" t="s">
        <v>36492</v>
      </c>
      <c r="C23463" s="1" t="s">
        <v>7261</v>
      </c>
      <c r="D23463" s="1" t="s">
        <v>7262</v>
      </c>
    </row>
    <row r="23464">
      <c r="A23464" s="1" t="s">
        <v>36493</v>
      </c>
      <c r="B23464" s="2" t="s">
        <v>36494</v>
      </c>
      <c r="C23464" s="1" t="s">
        <v>7261</v>
      </c>
      <c r="D23464" s="1" t="s">
        <v>7262</v>
      </c>
    </row>
    <row r="23465">
      <c r="A23465" s="1" t="s">
        <v>36495</v>
      </c>
      <c r="B23465" s="2" t="s">
        <v>36496</v>
      </c>
      <c r="C23465" s="1" t="s">
        <v>7261</v>
      </c>
      <c r="D23465" s="1" t="s">
        <v>7262</v>
      </c>
    </row>
    <row r="23466">
      <c r="A23466" s="1" t="s">
        <v>36497</v>
      </c>
      <c r="B23466" s="2" t="s">
        <v>36498</v>
      </c>
      <c r="C23466" s="1" t="s">
        <v>7261</v>
      </c>
      <c r="D23466" s="1" t="s">
        <v>7262</v>
      </c>
    </row>
    <row r="23467">
      <c r="A23467" s="1" t="s">
        <v>36499</v>
      </c>
      <c r="B23467" s="2" t="s">
        <v>36500</v>
      </c>
      <c r="C23467" s="1" t="s">
        <v>7261</v>
      </c>
      <c r="D23467" s="1" t="s">
        <v>7262</v>
      </c>
    </row>
    <row r="23468">
      <c r="A23468" s="1" t="s">
        <v>36501</v>
      </c>
      <c r="B23468" s="2" t="s">
        <v>36502</v>
      </c>
      <c r="C23468" s="1" t="s">
        <v>7261</v>
      </c>
      <c r="D23468" s="1" t="s">
        <v>7262</v>
      </c>
    </row>
    <row r="23469">
      <c r="A23469" s="1" t="s">
        <v>36503</v>
      </c>
      <c r="B23469" s="2" t="s">
        <v>36504</v>
      </c>
      <c r="C23469" s="1" t="s">
        <v>7261</v>
      </c>
      <c r="D23469" s="1" t="s">
        <v>7262</v>
      </c>
    </row>
    <row r="23470">
      <c r="A23470" s="1" t="s">
        <v>36505</v>
      </c>
      <c r="B23470" s="2" t="s">
        <v>36506</v>
      </c>
      <c r="C23470" s="1" t="s">
        <v>7261</v>
      </c>
      <c r="D23470" s="1" t="s">
        <v>7262</v>
      </c>
    </row>
    <row r="23471">
      <c r="A23471" s="1" t="s">
        <v>36507</v>
      </c>
      <c r="B23471" s="2" t="s">
        <v>36508</v>
      </c>
      <c r="C23471" s="1" t="s">
        <v>7261</v>
      </c>
      <c r="D23471" s="1" t="s">
        <v>7262</v>
      </c>
    </row>
    <row r="23472">
      <c r="A23472" s="1" t="s">
        <v>36509</v>
      </c>
      <c r="B23472" s="2" t="s">
        <v>36510</v>
      </c>
      <c r="C23472" s="1" t="s">
        <v>7261</v>
      </c>
      <c r="D23472" s="1" t="s">
        <v>7262</v>
      </c>
    </row>
    <row r="23473">
      <c r="A23473" s="1" t="s">
        <v>36511</v>
      </c>
      <c r="B23473" s="2" t="s">
        <v>36512</v>
      </c>
      <c r="C23473" s="1" t="s">
        <v>7261</v>
      </c>
      <c r="D23473" s="1" t="s">
        <v>7262</v>
      </c>
    </row>
    <row r="23474">
      <c r="A23474" s="1" t="s">
        <v>7268</v>
      </c>
      <c r="B23474" s="2" t="s">
        <v>7</v>
      </c>
      <c r="C23474" s="1" t="s">
        <v>7270</v>
      </c>
      <c r="D23474" s="1" t="s">
        <v>7271</v>
      </c>
    </row>
    <row r="23475">
      <c r="A23475" s="1" t="s">
        <v>36513</v>
      </c>
      <c r="B23475" s="2" t="s">
        <v>36490</v>
      </c>
      <c r="C23475" s="1" t="s">
        <v>7270</v>
      </c>
      <c r="D23475" s="1" t="s">
        <v>7271</v>
      </c>
    </row>
    <row r="23476">
      <c r="A23476" s="1" t="s">
        <v>36514</v>
      </c>
      <c r="B23476" s="2" t="s">
        <v>36492</v>
      </c>
      <c r="C23476" s="1" t="s">
        <v>7270</v>
      </c>
      <c r="D23476" s="1" t="s">
        <v>7271</v>
      </c>
    </row>
    <row r="23477">
      <c r="A23477" s="1" t="s">
        <v>36515</v>
      </c>
      <c r="B23477" s="2" t="s">
        <v>36494</v>
      </c>
      <c r="C23477" s="1" t="s">
        <v>7270</v>
      </c>
      <c r="D23477" s="1" t="s">
        <v>7271</v>
      </c>
    </row>
    <row r="23478">
      <c r="A23478" s="1" t="s">
        <v>36516</v>
      </c>
      <c r="B23478" s="2" t="s">
        <v>36496</v>
      </c>
      <c r="C23478" s="1" t="s">
        <v>7270</v>
      </c>
      <c r="D23478" s="1" t="s">
        <v>7271</v>
      </c>
    </row>
    <row r="23479">
      <c r="A23479" s="1" t="s">
        <v>36517</v>
      </c>
      <c r="B23479" s="2" t="s">
        <v>36498</v>
      </c>
      <c r="C23479" s="1" t="s">
        <v>7270</v>
      </c>
      <c r="D23479" s="1" t="s">
        <v>7271</v>
      </c>
    </row>
    <row r="23480">
      <c r="A23480" s="1" t="s">
        <v>36518</v>
      </c>
      <c r="B23480" s="2" t="s">
        <v>36500</v>
      </c>
      <c r="C23480" s="1" t="s">
        <v>7270</v>
      </c>
      <c r="D23480" s="1" t="s">
        <v>7271</v>
      </c>
    </row>
    <row r="23481">
      <c r="A23481" s="1" t="s">
        <v>36519</v>
      </c>
      <c r="B23481" s="2" t="s">
        <v>36502</v>
      </c>
      <c r="C23481" s="1" t="s">
        <v>7270</v>
      </c>
      <c r="D23481" s="1" t="s">
        <v>7271</v>
      </c>
    </row>
    <row r="23482">
      <c r="A23482" s="1" t="s">
        <v>36520</v>
      </c>
      <c r="B23482" s="2" t="s">
        <v>36504</v>
      </c>
      <c r="C23482" s="1" t="s">
        <v>7270</v>
      </c>
      <c r="D23482" s="1" t="s">
        <v>7271</v>
      </c>
    </row>
    <row r="23483">
      <c r="A23483" s="1" t="s">
        <v>36521</v>
      </c>
      <c r="B23483" s="2" t="s">
        <v>36506</v>
      </c>
      <c r="C23483" s="1" t="s">
        <v>7270</v>
      </c>
      <c r="D23483" s="1" t="s">
        <v>7271</v>
      </c>
    </row>
    <row r="23484">
      <c r="A23484" s="1" t="s">
        <v>36522</v>
      </c>
      <c r="B23484" s="2" t="s">
        <v>36508</v>
      </c>
      <c r="C23484" s="1" t="s">
        <v>7270</v>
      </c>
      <c r="D23484" s="1" t="s">
        <v>7271</v>
      </c>
    </row>
    <row r="23485">
      <c r="A23485" s="1" t="s">
        <v>36523</v>
      </c>
      <c r="B23485" s="2" t="s">
        <v>36510</v>
      </c>
      <c r="C23485" s="1" t="s">
        <v>7270</v>
      </c>
      <c r="D23485" s="1" t="s">
        <v>7271</v>
      </c>
    </row>
    <row r="23486">
      <c r="A23486" s="1" t="s">
        <v>36524</v>
      </c>
      <c r="B23486" s="2" t="s">
        <v>36512</v>
      </c>
      <c r="C23486" s="1" t="s">
        <v>7270</v>
      </c>
      <c r="D23486" s="1" t="s">
        <v>7271</v>
      </c>
    </row>
    <row r="23487">
      <c r="A23487" s="1" t="s">
        <v>7282</v>
      </c>
      <c r="B23487" s="2" t="s">
        <v>7</v>
      </c>
      <c r="C23487" s="1" t="s">
        <v>7283</v>
      </c>
      <c r="D23487" s="1" t="s">
        <v>7284</v>
      </c>
    </row>
    <row r="23488">
      <c r="A23488" s="1" t="s">
        <v>36525</v>
      </c>
      <c r="B23488" s="2" t="s">
        <v>36490</v>
      </c>
      <c r="C23488" s="1" t="s">
        <v>7283</v>
      </c>
      <c r="D23488" s="1" t="s">
        <v>7284</v>
      </c>
    </row>
    <row r="23489">
      <c r="A23489" s="1" t="s">
        <v>36526</v>
      </c>
      <c r="B23489" s="2" t="s">
        <v>36492</v>
      </c>
      <c r="C23489" s="1" t="s">
        <v>7283</v>
      </c>
      <c r="D23489" s="1" t="s">
        <v>7284</v>
      </c>
    </row>
    <row r="23490">
      <c r="A23490" s="1" t="s">
        <v>36527</v>
      </c>
      <c r="B23490" s="2" t="s">
        <v>36494</v>
      </c>
      <c r="C23490" s="1" t="s">
        <v>7283</v>
      </c>
      <c r="D23490" s="1" t="s">
        <v>7284</v>
      </c>
    </row>
    <row r="23491">
      <c r="A23491" s="1" t="s">
        <v>36528</v>
      </c>
      <c r="B23491" s="2" t="s">
        <v>36496</v>
      </c>
      <c r="C23491" s="1" t="s">
        <v>7283</v>
      </c>
      <c r="D23491" s="1" t="s">
        <v>7284</v>
      </c>
    </row>
    <row r="23492">
      <c r="A23492" s="1" t="s">
        <v>36529</v>
      </c>
      <c r="B23492" s="2" t="s">
        <v>36498</v>
      </c>
      <c r="C23492" s="1" t="s">
        <v>7283</v>
      </c>
      <c r="D23492" s="1" t="s">
        <v>7284</v>
      </c>
    </row>
    <row r="23493">
      <c r="A23493" s="1" t="s">
        <v>36530</v>
      </c>
      <c r="B23493" s="2" t="s">
        <v>36500</v>
      </c>
      <c r="C23493" s="1" t="s">
        <v>7283</v>
      </c>
      <c r="D23493" s="1" t="s">
        <v>7284</v>
      </c>
    </row>
    <row r="23494">
      <c r="A23494" s="1" t="s">
        <v>36531</v>
      </c>
      <c r="B23494" s="2" t="s">
        <v>36502</v>
      </c>
      <c r="C23494" s="1" t="s">
        <v>7283</v>
      </c>
      <c r="D23494" s="1" t="s">
        <v>7284</v>
      </c>
    </row>
    <row r="23495">
      <c r="A23495" s="1" t="s">
        <v>36532</v>
      </c>
      <c r="B23495" s="2" t="s">
        <v>36504</v>
      </c>
      <c r="C23495" s="1" t="s">
        <v>7283</v>
      </c>
      <c r="D23495" s="1" t="s">
        <v>7284</v>
      </c>
    </row>
    <row r="23496">
      <c r="A23496" s="1" t="s">
        <v>36533</v>
      </c>
      <c r="B23496" s="2" t="s">
        <v>36506</v>
      </c>
      <c r="C23496" s="1" t="s">
        <v>7283</v>
      </c>
      <c r="D23496" s="1" t="s">
        <v>7284</v>
      </c>
    </row>
    <row r="23497">
      <c r="A23497" s="1" t="s">
        <v>36534</v>
      </c>
      <c r="B23497" s="2" t="s">
        <v>36508</v>
      </c>
      <c r="C23497" s="1" t="s">
        <v>7283</v>
      </c>
      <c r="D23497" s="1" t="s">
        <v>7284</v>
      </c>
    </row>
    <row r="23498">
      <c r="A23498" s="1" t="s">
        <v>36535</v>
      </c>
      <c r="B23498" s="2" t="s">
        <v>36510</v>
      </c>
      <c r="C23498" s="1" t="s">
        <v>7283</v>
      </c>
      <c r="D23498" s="1" t="s">
        <v>7284</v>
      </c>
    </row>
    <row r="23499">
      <c r="A23499" s="1" t="s">
        <v>36536</v>
      </c>
      <c r="B23499" s="2" t="s">
        <v>36512</v>
      </c>
      <c r="C23499" s="1" t="s">
        <v>7283</v>
      </c>
      <c r="D23499" s="1" t="s">
        <v>7284</v>
      </c>
    </row>
    <row r="23500">
      <c r="A23500" s="1" t="s">
        <v>7288</v>
      </c>
      <c r="B23500" s="2" t="s">
        <v>7</v>
      </c>
      <c r="C23500" s="1" t="s">
        <v>7290</v>
      </c>
      <c r="D23500" s="1" t="s">
        <v>7291</v>
      </c>
    </row>
    <row r="23501">
      <c r="A23501" s="1" t="s">
        <v>36537</v>
      </c>
      <c r="B23501" s="2" t="s">
        <v>36490</v>
      </c>
      <c r="C23501" s="1" t="s">
        <v>7290</v>
      </c>
      <c r="D23501" s="1" t="s">
        <v>7291</v>
      </c>
    </row>
    <row r="23502">
      <c r="A23502" s="1" t="s">
        <v>36538</v>
      </c>
      <c r="B23502" s="2" t="s">
        <v>36492</v>
      </c>
      <c r="C23502" s="1" t="s">
        <v>7290</v>
      </c>
      <c r="D23502" s="1" t="s">
        <v>7291</v>
      </c>
    </row>
    <row r="23503">
      <c r="A23503" s="1" t="s">
        <v>36539</v>
      </c>
      <c r="B23503" s="2" t="s">
        <v>36494</v>
      </c>
      <c r="C23503" s="1" t="s">
        <v>7290</v>
      </c>
      <c r="D23503" s="1" t="s">
        <v>7291</v>
      </c>
    </row>
    <row r="23504">
      <c r="A23504" s="1" t="s">
        <v>36540</v>
      </c>
      <c r="B23504" s="2" t="s">
        <v>36496</v>
      </c>
      <c r="C23504" s="1" t="s">
        <v>7290</v>
      </c>
      <c r="D23504" s="1" t="s">
        <v>7291</v>
      </c>
    </row>
    <row r="23505">
      <c r="A23505" s="1" t="s">
        <v>36541</v>
      </c>
      <c r="B23505" s="2" t="s">
        <v>36498</v>
      </c>
      <c r="C23505" s="1" t="s">
        <v>7290</v>
      </c>
      <c r="D23505" s="1" t="s">
        <v>7291</v>
      </c>
    </row>
    <row r="23506">
      <c r="A23506" s="1" t="s">
        <v>36542</v>
      </c>
      <c r="B23506" s="2" t="s">
        <v>36500</v>
      </c>
      <c r="C23506" s="1" t="s">
        <v>7290</v>
      </c>
      <c r="D23506" s="1" t="s">
        <v>7291</v>
      </c>
    </row>
    <row r="23507">
      <c r="A23507" s="1" t="s">
        <v>36543</v>
      </c>
      <c r="B23507" s="2" t="s">
        <v>36502</v>
      </c>
      <c r="C23507" s="1" t="s">
        <v>7290</v>
      </c>
      <c r="D23507" s="1" t="s">
        <v>7291</v>
      </c>
    </row>
    <row r="23508">
      <c r="A23508" s="1" t="s">
        <v>36544</v>
      </c>
      <c r="B23508" s="2" t="s">
        <v>36504</v>
      </c>
      <c r="C23508" s="1" t="s">
        <v>7290</v>
      </c>
      <c r="D23508" s="1" t="s">
        <v>7291</v>
      </c>
    </row>
    <row r="23509">
      <c r="A23509" s="1" t="s">
        <v>36545</v>
      </c>
      <c r="B23509" s="2" t="s">
        <v>36506</v>
      </c>
      <c r="C23509" s="1" t="s">
        <v>7290</v>
      </c>
      <c r="D23509" s="1" t="s">
        <v>7291</v>
      </c>
    </row>
    <row r="23510">
      <c r="A23510" s="1" t="s">
        <v>36546</v>
      </c>
      <c r="B23510" s="2" t="s">
        <v>36508</v>
      </c>
      <c r="C23510" s="1" t="s">
        <v>7290</v>
      </c>
      <c r="D23510" s="1" t="s">
        <v>7291</v>
      </c>
    </row>
    <row r="23511">
      <c r="A23511" s="1" t="s">
        <v>36547</v>
      </c>
      <c r="B23511" s="2" t="s">
        <v>36510</v>
      </c>
      <c r="C23511" s="1" t="s">
        <v>7290</v>
      </c>
      <c r="D23511" s="1" t="s">
        <v>7291</v>
      </c>
    </row>
    <row r="23512">
      <c r="A23512" s="1" t="s">
        <v>36548</v>
      </c>
      <c r="B23512" s="2" t="s">
        <v>36512</v>
      </c>
      <c r="C23512" s="1" t="s">
        <v>7290</v>
      </c>
      <c r="D23512" s="1" t="s">
        <v>7291</v>
      </c>
    </row>
    <row r="23513">
      <c r="A23513" s="1" t="s">
        <v>7293</v>
      </c>
      <c r="B23513" s="2" t="s">
        <v>7</v>
      </c>
      <c r="C23513" s="1" t="s">
        <v>7296</v>
      </c>
      <c r="D23513" s="1" t="s">
        <v>7297</v>
      </c>
    </row>
    <row r="23514">
      <c r="A23514" s="1" t="s">
        <v>36549</v>
      </c>
      <c r="B23514" s="2" t="s">
        <v>36490</v>
      </c>
      <c r="C23514" s="1" t="s">
        <v>7296</v>
      </c>
      <c r="D23514" s="1" t="s">
        <v>7297</v>
      </c>
    </row>
    <row r="23515">
      <c r="A23515" s="1" t="s">
        <v>36550</v>
      </c>
      <c r="B23515" s="2" t="s">
        <v>36492</v>
      </c>
      <c r="C23515" s="1" t="s">
        <v>7296</v>
      </c>
      <c r="D23515" s="1" t="s">
        <v>7297</v>
      </c>
    </row>
    <row r="23516">
      <c r="A23516" s="1" t="s">
        <v>36551</v>
      </c>
      <c r="B23516" s="2" t="s">
        <v>36494</v>
      </c>
      <c r="C23516" s="1" t="s">
        <v>7296</v>
      </c>
      <c r="D23516" s="1" t="s">
        <v>7297</v>
      </c>
    </row>
    <row r="23517">
      <c r="A23517" s="1" t="s">
        <v>36552</v>
      </c>
      <c r="B23517" s="2" t="s">
        <v>36496</v>
      </c>
      <c r="C23517" s="1" t="s">
        <v>7296</v>
      </c>
      <c r="D23517" s="1" t="s">
        <v>7297</v>
      </c>
    </row>
    <row r="23518">
      <c r="A23518" s="1" t="s">
        <v>36553</v>
      </c>
      <c r="B23518" s="2" t="s">
        <v>36498</v>
      </c>
      <c r="C23518" s="1" t="s">
        <v>7296</v>
      </c>
      <c r="D23518" s="1" t="s">
        <v>7297</v>
      </c>
    </row>
    <row r="23519">
      <c r="A23519" s="1" t="s">
        <v>36554</v>
      </c>
      <c r="B23519" s="2" t="s">
        <v>36500</v>
      </c>
      <c r="C23519" s="1" t="s">
        <v>7296</v>
      </c>
      <c r="D23519" s="1" t="s">
        <v>7297</v>
      </c>
    </row>
    <row r="23520">
      <c r="A23520" s="1" t="s">
        <v>36555</v>
      </c>
      <c r="B23520" s="2" t="s">
        <v>36502</v>
      </c>
      <c r="C23520" s="1" t="s">
        <v>7296</v>
      </c>
      <c r="D23520" s="1" t="s">
        <v>7297</v>
      </c>
    </row>
    <row r="23521">
      <c r="A23521" s="1" t="s">
        <v>36556</v>
      </c>
      <c r="B23521" s="2" t="s">
        <v>36504</v>
      </c>
      <c r="C23521" s="1" t="s">
        <v>7296</v>
      </c>
      <c r="D23521" s="1" t="s">
        <v>7297</v>
      </c>
    </row>
    <row r="23522">
      <c r="A23522" s="1" t="s">
        <v>36557</v>
      </c>
      <c r="B23522" s="2" t="s">
        <v>36506</v>
      </c>
      <c r="C23522" s="1" t="s">
        <v>7296</v>
      </c>
      <c r="D23522" s="1" t="s">
        <v>7297</v>
      </c>
    </row>
    <row r="23523">
      <c r="A23523" s="1" t="s">
        <v>36558</v>
      </c>
      <c r="B23523" s="2" t="s">
        <v>36508</v>
      </c>
      <c r="C23523" s="1" t="s">
        <v>7296</v>
      </c>
      <c r="D23523" s="1" t="s">
        <v>7297</v>
      </c>
    </row>
    <row r="23524">
      <c r="A23524" s="1" t="s">
        <v>36559</v>
      </c>
      <c r="B23524" s="2" t="s">
        <v>36510</v>
      </c>
      <c r="C23524" s="1" t="s">
        <v>7296</v>
      </c>
      <c r="D23524" s="1" t="s">
        <v>7297</v>
      </c>
    </row>
    <row r="23525">
      <c r="A23525" s="1" t="s">
        <v>36560</v>
      </c>
      <c r="B23525" s="2" t="s">
        <v>36512</v>
      </c>
      <c r="C23525" s="1" t="s">
        <v>7296</v>
      </c>
      <c r="D23525" s="1" t="s">
        <v>7297</v>
      </c>
    </row>
    <row r="23526">
      <c r="A23526" s="1" t="s">
        <v>7300</v>
      </c>
      <c r="B23526" s="2" t="s">
        <v>7</v>
      </c>
      <c r="C23526" s="1" t="s">
        <v>7301</v>
      </c>
      <c r="D23526" s="1" t="s">
        <v>7302</v>
      </c>
    </row>
    <row r="23527">
      <c r="A23527" s="1" t="s">
        <v>36561</v>
      </c>
      <c r="B23527" s="2" t="s">
        <v>36490</v>
      </c>
      <c r="C23527" s="1" t="s">
        <v>7301</v>
      </c>
      <c r="D23527" s="1" t="s">
        <v>7302</v>
      </c>
    </row>
    <row r="23528">
      <c r="A23528" s="1" t="s">
        <v>36562</v>
      </c>
      <c r="B23528" s="2" t="s">
        <v>36492</v>
      </c>
      <c r="C23528" s="1" t="s">
        <v>7301</v>
      </c>
      <c r="D23528" s="1" t="s">
        <v>7302</v>
      </c>
    </row>
    <row r="23529">
      <c r="A23529" s="1" t="s">
        <v>36563</v>
      </c>
      <c r="B23529" s="2" t="s">
        <v>36494</v>
      </c>
      <c r="C23529" s="1" t="s">
        <v>7301</v>
      </c>
      <c r="D23529" s="1" t="s">
        <v>7302</v>
      </c>
    </row>
    <row r="23530">
      <c r="A23530" s="1" t="s">
        <v>36564</v>
      </c>
      <c r="B23530" s="2" t="s">
        <v>36496</v>
      </c>
      <c r="C23530" s="1" t="s">
        <v>7301</v>
      </c>
      <c r="D23530" s="1" t="s">
        <v>7302</v>
      </c>
    </row>
    <row r="23531">
      <c r="A23531" s="1" t="s">
        <v>36565</v>
      </c>
      <c r="B23531" s="2" t="s">
        <v>36498</v>
      </c>
      <c r="C23531" s="1" t="s">
        <v>7301</v>
      </c>
      <c r="D23531" s="1" t="s">
        <v>7302</v>
      </c>
    </row>
    <row r="23532">
      <c r="A23532" s="1" t="s">
        <v>36566</v>
      </c>
      <c r="B23532" s="2" t="s">
        <v>36500</v>
      </c>
      <c r="C23532" s="1" t="s">
        <v>7301</v>
      </c>
      <c r="D23532" s="1" t="s">
        <v>7302</v>
      </c>
    </row>
    <row r="23533">
      <c r="A23533" s="1" t="s">
        <v>36567</v>
      </c>
      <c r="B23533" s="2" t="s">
        <v>36502</v>
      </c>
      <c r="C23533" s="1" t="s">
        <v>7301</v>
      </c>
      <c r="D23533" s="1" t="s">
        <v>7302</v>
      </c>
    </row>
    <row r="23534">
      <c r="A23534" s="1" t="s">
        <v>36568</v>
      </c>
      <c r="B23534" s="2" t="s">
        <v>36504</v>
      </c>
      <c r="C23534" s="1" t="s">
        <v>7301</v>
      </c>
      <c r="D23534" s="1" t="s">
        <v>7302</v>
      </c>
    </row>
    <row r="23535">
      <c r="A23535" s="1" t="s">
        <v>36569</v>
      </c>
      <c r="B23535" s="2" t="s">
        <v>36506</v>
      </c>
      <c r="C23535" s="1" t="s">
        <v>7301</v>
      </c>
      <c r="D23535" s="1" t="s">
        <v>7302</v>
      </c>
    </row>
    <row r="23536">
      <c r="A23536" s="1" t="s">
        <v>36570</v>
      </c>
      <c r="B23536" s="2" t="s">
        <v>36508</v>
      </c>
      <c r="C23536" s="1" t="s">
        <v>7301</v>
      </c>
      <c r="D23536" s="1" t="s">
        <v>7302</v>
      </c>
    </row>
    <row r="23537">
      <c r="A23537" s="1" t="s">
        <v>36571</v>
      </c>
      <c r="B23537" s="2" t="s">
        <v>36510</v>
      </c>
      <c r="C23537" s="1" t="s">
        <v>7301</v>
      </c>
      <c r="D23537" s="1" t="s">
        <v>7302</v>
      </c>
    </row>
    <row r="23538">
      <c r="A23538" s="1" t="s">
        <v>36572</v>
      </c>
      <c r="B23538" s="2" t="s">
        <v>36512</v>
      </c>
      <c r="C23538" s="1" t="s">
        <v>7301</v>
      </c>
      <c r="D23538" s="1" t="s">
        <v>7302</v>
      </c>
    </row>
    <row r="23539">
      <c r="A23539" s="1" t="s">
        <v>7304</v>
      </c>
      <c r="B23539" s="2" t="s">
        <v>7</v>
      </c>
      <c r="C23539" s="1" t="s">
        <v>7306</v>
      </c>
      <c r="D23539" s="1" t="s">
        <v>7307</v>
      </c>
    </row>
    <row r="23540">
      <c r="A23540" s="1" t="s">
        <v>36573</v>
      </c>
      <c r="B23540" s="2" t="s">
        <v>36490</v>
      </c>
      <c r="C23540" s="1" t="s">
        <v>7306</v>
      </c>
      <c r="D23540" s="1" t="s">
        <v>7307</v>
      </c>
    </row>
    <row r="23541">
      <c r="A23541" s="1" t="s">
        <v>36574</v>
      </c>
      <c r="B23541" s="2" t="s">
        <v>36492</v>
      </c>
      <c r="C23541" s="1" t="s">
        <v>7306</v>
      </c>
      <c r="D23541" s="1" t="s">
        <v>7307</v>
      </c>
    </row>
    <row r="23542">
      <c r="A23542" s="1" t="s">
        <v>36575</v>
      </c>
      <c r="B23542" s="2" t="s">
        <v>36494</v>
      </c>
      <c r="C23542" s="1" t="s">
        <v>7306</v>
      </c>
      <c r="D23542" s="1" t="s">
        <v>7307</v>
      </c>
    </row>
    <row r="23543">
      <c r="A23543" s="1" t="s">
        <v>36576</v>
      </c>
      <c r="B23543" s="2" t="s">
        <v>36496</v>
      </c>
      <c r="C23543" s="1" t="s">
        <v>7306</v>
      </c>
      <c r="D23543" s="1" t="s">
        <v>7307</v>
      </c>
    </row>
    <row r="23544">
      <c r="A23544" s="1" t="s">
        <v>36577</v>
      </c>
      <c r="B23544" s="2" t="s">
        <v>36498</v>
      </c>
      <c r="C23544" s="1" t="s">
        <v>7306</v>
      </c>
      <c r="D23544" s="1" t="s">
        <v>7307</v>
      </c>
    </row>
    <row r="23545">
      <c r="A23545" s="1" t="s">
        <v>36578</v>
      </c>
      <c r="B23545" s="2" t="s">
        <v>36500</v>
      </c>
      <c r="C23545" s="1" t="s">
        <v>7306</v>
      </c>
      <c r="D23545" s="1" t="s">
        <v>7307</v>
      </c>
    </row>
    <row r="23546">
      <c r="A23546" s="1" t="s">
        <v>36579</v>
      </c>
      <c r="B23546" s="2" t="s">
        <v>36502</v>
      </c>
      <c r="C23546" s="1" t="s">
        <v>7306</v>
      </c>
      <c r="D23546" s="1" t="s">
        <v>7307</v>
      </c>
    </row>
    <row r="23547">
      <c r="A23547" s="1" t="s">
        <v>36580</v>
      </c>
      <c r="B23547" s="2" t="s">
        <v>36504</v>
      </c>
      <c r="C23547" s="1" t="s">
        <v>7306</v>
      </c>
      <c r="D23547" s="1" t="s">
        <v>7307</v>
      </c>
    </row>
    <row r="23548">
      <c r="A23548" s="1" t="s">
        <v>36581</v>
      </c>
      <c r="B23548" s="2" t="s">
        <v>36506</v>
      </c>
      <c r="C23548" s="1" t="s">
        <v>7306</v>
      </c>
      <c r="D23548" s="1" t="s">
        <v>7307</v>
      </c>
    </row>
    <row r="23549">
      <c r="A23549" s="1" t="s">
        <v>36582</v>
      </c>
      <c r="B23549" s="2" t="s">
        <v>36508</v>
      </c>
      <c r="C23549" s="1" t="s">
        <v>7306</v>
      </c>
      <c r="D23549" s="1" t="s">
        <v>7307</v>
      </c>
    </row>
    <row r="23550">
      <c r="A23550" s="1" t="s">
        <v>36583</v>
      </c>
      <c r="B23550" s="2" t="s">
        <v>36510</v>
      </c>
      <c r="C23550" s="1" t="s">
        <v>7306</v>
      </c>
      <c r="D23550" s="1" t="s">
        <v>7307</v>
      </c>
    </row>
    <row r="23551">
      <c r="A23551" s="1" t="s">
        <v>36584</v>
      </c>
      <c r="B23551" s="2" t="s">
        <v>36512</v>
      </c>
      <c r="C23551" s="1" t="s">
        <v>7306</v>
      </c>
      <c r="D23551" s="1" t="s">
        <v>7307</v>
      </c>
    </row>
    <row r="23552">
      <c r="A23552" s="1" t="s">
        <v>7310</v>
      </c>
      <c r="B23552" s="2" t="s">
        <v>7</v>
      </c>
      <c r="C23552" s="1" t="s">
        <v>7312</v>
      </c>
      <c r="D23552" s="1" t="s">
        <v>7313</v>
      </c>
    </row>
    <row r="23553">
      <c r="A23553" s="1" t="s">
        <v>36585</v>
      </c>
      <c r="B23553" s="2" t="s">
        <v>36490</v>
      </c>
      <c r="C23553" s="1" t="s">
        <v>7312</v>
      </c>
      <c r="D23553" s="1" t="s">
        <v>7313</v>
      </c>
    </row>
    <row r="23554">
      <c r="A23554" s="1" t="s">
        <v>36586</v>
      </c>
      <c r="B23554" s="2" t="s">
        <v>36492</v>
      </c>
      <c r="C23554" s="1" t="s">
        <v>7312</v>
      </c>
      <c r="D23554" s="1" t="s">
        <v>7313</v>
      </c>
    </row>
    <row r="23555">
      <c r="A23555" s="1" t="s">
        <v>36587</v>
      </c>
      <c r="B23555" s="2" t="s">
        <v>36494</v>
      </c>
      <c r="C23555" s="1" t="s">
        <v>7312</v>
      </c>
      <c r="D23555" s="1" t="s">
        <v>7313</v>
      </c>
    </row>
    <row r="23556">
      <c r="A23556" s="1" t="s">
        <v>36588</v>
      </c>
      <c r="B23556" s="2" t="s">
        <v>36496</v>
      </c>
      <c r="C23556" s="1" t="s">
        <v>7312</v>
      </c>
      <c r="D23556" s="1" t="s">
        <v>7313</v>
      </c>
    </row>
    <row r="23557">
      <c r="A23557" s="1" t="s">
        <v>36589</v>
      </c>
      <c r="B23557" s="2" t="s">
        <v>36498</v>
      </c>
      <c r="C23557" s="1" t="s">
        <v>7312</v>
      </c>
      <c r="D23557" s="1" t="s">
        <v>7313</v>
      </c>
    </row>
    <row r="23558">
      <c r="A23558" s="1" t="s">
        <v>36590</v>
      </c>
      <c r="B23558" s="2" t="s">
        <v>36500</v>
      </c>
      <c r="C23558" s="1" t="s">
        <v>7312</v>
      </c>
      <c r="D23558" s="1" t="s">
        <v>7313</v>
      </c>
    </row>
    <row r="23559">
      <c r="A23559" s="1" t="s">
        <v>36591</v>
      </c>
      <c r="B23559" s="2" t="s">
        <v>36502</v>
      </c>
      <c r="C23559" s="1" t="s">
        <v>7312</v>
      </c>
      <c r="D23559" s="1" t="s">
        <v>7313</v>
      </c>
    </row>
    <row r="23560">
      <c r="A23560" s="1" t="s">
        <v>36592</v>
      </c>
      <c r="B23560" s="2" t="s">
        <v>36504</v>
      </c>
      <c r="C23560" s="1" t="s">
        <v>7312</v>
      </c>
      <c r="D23560" s="1" t="s">
        <v>7313</v>
      </c>
    </row>
    <row r="23561">
      <c r="A23561" s="1" t="s">
        <v>36593</v>
      </c>
      <c r="B23561" s="2" t="s">
        <v>36506</v>
      </c>
      <c r="C23561" s="1" t="s">
        <v>7312</v>
      </c>
      <c r="D23561" s="1" t="s">
        <v>7313</v>
      </c>
    </row>
    <row r="23562">
      <c r="A23562" s="1" t="s">
        <v>36594</v>
      </c>
      <c r="B23562" s="2" t="s">
        <v>36508</v>
      </c>
      <c r="C23562" s="1" t="s">
        <v>7312</v>
      </c>
      <c r="D23562" s="1" t="s">
        <v>7313</v>
      </c>
    </row>
    <row r="23563">
      <c r="A23563" s="1" t="s">
        <v>36595</v>
      </c>
      <c r="B23563" s="2" t="s">
        <v>36510</v>
      </c>
      <c r="C23563" s="1" t="s">
        <v>7312</v>
      </c>
      <c r="D23563" s="1" t="s">
        <v>7313</v>
      </c>
    </row>
    <row r="23564">
      <c r="A23564" s="1" t="s">
        <v>36596</v>
      </c>
      <c r="B23564" s="2" t="s">
        <v>36512</v>
      </c>
      <c r="C23564" s="1" t="s">
        <v>7312</v>
      </c>
      <c r="D23564" s="1" t="s">
        <v>7313</v>
      </c>
    </row>
    <row r="23565">
      <c r="A23565" s="1" t="s">
        <v>7317</v>
      </c>
      <c r="B23565" s="2" t="s">
        <v>7</v>
      </c>
      <c r="C23565" s="1" t="s">
        <v>7319</v>
      </c>
      <c r="D23565" s="1" t="s">
        <v>7321</v>
      </c>
    </row>
    <row r="23566">
      <c r="A23566" s="1" t="s">
        <v>36597</v>
      </c>
      <c r="B23566" s="2" t="s">
        <v>36490</v>
      </c>
      <c r="C23566" s="1" t="s">
        <v>7319</v>
      </c>
      <c r="D23566" s="1" t="s">
        <v>7321</v>
      </c>
    </row>
    <row r="23567">
      <c r="A23567" s="1" t="s">
        <v>36598</v>
      </c>
      <c r="B23567" s="2" t="s">
        <v>36492</v>
      </c>
      <c r="C23567" s="1" t="s">
        <v>7319</v>
      </c>
      <c r="D23567" s="1" t="s">
        <v>7321</v>
      </c>
    </row>
    <row r="23568">
      <c r="A23568" s="1" t="s">
        <v>36599</v>
      </c>
      <c r="B23568" s="2" t="s">
        <v>36494</v>
      </c>
      <c r="C23568" s="1" t="s">
        <v>7319</v>
      </c>
      <c r="D23568" s="1" t="s">
        <v>7321</v>
      </c>
    </row>
    <row r="23569">
      <c r="A23569" s="1" t="s">
        <v>36600</v>
      </c>
      <c r="B23569" s="2" t="s">
        <v>36496</v>
      </c>
      <c r="C23569" s="1" t="s">
        <v>7319</v>
      </c>
      <c r="D23569" s="1" t="s">
        <v>7321</v>
      </c>
    </row>
    <row r="23570">
      <c r="A23570" s="1" t="s">
        <v>36601</v>
      </c>
      <c r="B23570" s="2" t="s">
        <v>36498</v>
      </c>
      <c r="C23570" s="1" t="s">
        <v>7319</v>
      </c>
      <c r="D23570" s="1" t="s">
        <v>7321</v>
      </c>
    </row>
    <row r="23571">
      <c r="A23571" s="1" t="s">
        <v>36602</v>
      </c>
      <c r="B23571" s="2" t="s">
        <v>36500</v>
      </c>
      <c r="C23571" s="1" t="s">
        <v>7319</v>
      </c>
      <c r="D23571" s="1" t="s">
        <v>7321</v>
      </c>
    </row>
    <row r="23572">
      <c r="A23572" s="1" t="s">
        <v>36603</v>
      </c>
      <c r="B23572" s="2" t="s">
        <v>36502</v>
      </c>
      <c r="C23572" s="1" t="s">
        <v>7319</v>
      </c>
      <c r="D23572" s="1" t="s">
        <v>7321</v>
      </c>
    </row>
    <row r="23573">
      <c r="A23573" s="1" t="s">
        <v>36604</v>
      </c>
      <c r="B23573" s="2" t="s">
        <v>36504</v>
      </c>
      <c r="C23573" s="1" t="s">
        <v>7319</v>
      </c>
      <c r="D23573" s="1" t="s">
        <v>7321</v>
      </c>
    </row>
    <row r="23574">
      <c r="A23574" s="1" t="s">
        <v>36605</v>
      </c>
      <c r="B23574" s="2" t="s">
        <v>36506</v>
      </c>
      <c r="C23574" s="1" t="s">
        <v>7319</v>
      </c>
      <c r="D23574" s="1" t="s">
        <v>7321</v>
      </c>
    </row>
    <row r="23575">
      <c r="A23575" s="1" t="s">
        <v>36606</v>
      </c>
      <c r="B23575" s="2" t="s">
        <v>36508</v>
      </c>
      <c r="C23575" s="1" t="s">
        <v>7319</v>
      </c>
      <c r="D23575" s="1" t="s">
        <v>7321</v>
      </c>
    </row>
    <row r="23576">
      <c r="A23576" s="1" t="s">
        <v>36607</v>
      </c>
      <c r="B23576" s="2" t="s">
        <v>36510</v>
      </c>
      <c r="C23576" s="1" t="s">
        <v>7319</v>
      </c>
      <c r="D23576" s="1" t="s">
        <v>7321</v>
      </c>
    </row>
    <row r="23577">
      <c r="A23577" s="1" t="s">
        <v>36608</v>
      </c>
      <c r="B23577" s="2" t="s">
        <v>36512</v>
      </c>
      <c r="C23577" s="1" t="s">
        <v>7319</v>
      </c>
      <c r="D23577" s="1" t="s">
        <v>7321</v>
      </c>
    </row>
    <row r="23578">
      <c r="A23578" s="1" t="s">
        <v>7255</v>
      </c>
      <c r="B23578" s="2" t="s">
        <v>7</v>
      </c>
      <c r="C23578" s="1" t="s">
        <v>163</v>
      </c>
      <c r="D23578" s="1" t="s">
        <v>7256</v>
      </c>
    </row>
    <row r="23579">
      <c r="A23579" s="1" t="s">
        <v>36609</v>
      </c>
      <c r="B23579" s="2" t="s">
        <v>36490</v>
      </c>
      <c r="C23579" s="1" t="s">
        <v>163</v>
      </c>
      <c r="D23579" s="1" t="s">
        <v>7256</v>
      </c>
    </row>
    <row r="23580">
      <c r="A23580" s="1" t="s">
        <v>36610</v>
      </c>
      <c r="B23580" s="2" t="s">
        <v>36492</v>
      </c>
      <c r="C23580" s="1" t="s">
        <v>163</v>
      </c>
      <c r="D23580" s="1" t="s">
        <v>7256</v>
      </c>
    </row>
    <row r="23581">
      <c r="A23581" s="1" t="s">
        <v>36611</v>
      </c>
      <c r="B23581" s="2" t="s">
        <v>36494</v>
      </c>
      <c r="C23581" s="1" t="s">
        <v>163</v>
      </c>
      <c r="D23581" s="1" t="s">
        <v>7256</v>
      </c>
    </row>
    <row r="23582">
      <c r="A23582" s="1" t="s">
        <v>36612</v>
      </c>
      <c r="B23582" s="2" t="s">
        <v>36496</v>
      </c>
      <c r="C23582" s="1" t="s">
        <v>163</v>
      </c>
      <c r="D23582" s="1" t="s">
        <v>7256</v>
      </c>
    </row>
    <row r="23583">
      <c r="A23583" s="1" t="s">
        <v>36613</v>
      </c>
      <c r="B23583" s="2" t="s">
        <v>36498</v>
      </c>
      <c r="C23583" s="1" t="s">
        <v>163</v>
      </c>
      <c r="D23583" s="1" t="s">
        <v>7256</v>
      </c>
    </row>
    <row r="23584">
      <c r="A23584" s="1" t="s">
        <v>36614</v>
      </c>
      <c r="B23584" s="2" t="s">
        <v>36500</v>
      </c>
      <c r="C23584" s="1" t="s">
        <v>163</v>
      </c>
      <c r="D23584" s="1" t="s">
        <v>7256</v>
      </c>
    </row>
    <row r="23585">
      <c r="A23585" s="1" t="s">
        <v>36615</v>
      </c>
      <c r="B23585" s="2" t="s">
        <v>36502</v>
      </c>
      <c r="C23585" s="1" t="s">
        <v>163</v>
      </c>
      <c r="D23585" s="1" t="s">
        <v>7256</v>
      </c>
    </row>
    <row r="23586">
      <c r="A23586" s="1" t="s">
        <v>36616</v>
      </c>
      <c r="B23586" s="2" t="s">
        <v>36504</v>
      </c>
      <c r="C23586" s="1" t="s">
        <v>163</v>
      </c>
      <c r="D23586" s="1" t="s">
        <v>7256</v>
      </c>
    </row>
    <row r="23587">
      <c r="A23587" s="1" t="s">
        <v>36617</v>
      </c>
      <c r="B23587" s="2" t="s">
        <v>36506</v>
      </c>
      <c r="C23587" s="1" t="s">
        <v>163</v>
      </c>
      <c r="D23587" s="1" t="s">
        <v>7256</v>
      </c>
    </row>
    <row r="23588">
      <c r="A23588" s="1" t="s">
        <v>36618</v>
      </c>
      <c r="B23588" s="2" t="s">
        <v>36508</v>
      </c>
      <c r="C23588" s="1" t="s">
        <v>163</v>
      </c>
      <c r="D23588" s="1" t="s">
        <v>7256</v>
      </c>
    </row>
    <row r="23589">
      <c r="A23589" s="1" t="s">
        <v>36619</v>
      </c>
      <c r="B23589" s="2" t="s">
        <v>36510</v>
      </c>
      <c r="C23589" s="1" t="s">
        <v>163</v>
      </c>
      <c r="D23589" s="1" t="s">
        <v>7256</v>
      </c>
    </row>
    <row r="23590">
      <c r="A23590" s="1" t="s">
        <v>36620</v>
      </c>
      <c r="B23590" s="2" t="s">
        <v>36512</v>
      </c>
      <c r="C23590" s="1" t="s">
        <v>163</v>
      </c>
      <c r="D23590" s="1" t="s">
        <v>7256</v>
      </c>
    </row>
    <row r="23591">
      <c r="A23591" s="1" t="s">
        <v>7323</v>
      </c>
      <c r="B23591" s="2" t="s">
        <v>7</v>
      </c>
      <c r="C23591" s="1" t="s">
        <v>7325</v>
      </c>
      <c r="D23591" s="1" t="s">
        <v>7327</v>
      </c>
    </row>
    <row r="23592">
      <c r="A23592" s="1" t="s">
        <v>36621</v>
      </c>
      <c r="B23592" s="2" t="s">
        <v>34555</v>
      </c>
      <c r="C23592" s="1" t="s">
        <v>7325</v>
      </c>
      <c r="D23592" s="1" t="s">
        <v>7327</v>
      </c>
    </row>
    <row r="23593">
      <c r="A23593" s="1" t="s">
        <v>36622</v>
      </c>
      <c r="B23593" s="2" t="s">
        <v>36623</v>
      </c>
      <c r="C23593" s="1" t="s">
        <v>7325</v>
      </c>
      <c r="D23593" s="1" t="s">
        <v>7327</v>
      </c>
    </row>
    <row r="23594">
      <c r="A23594" s="1" t="s">
        <v>36624</v>
      </c>
      <c r="B23594" s="2" t="s">
        <v>36625</v>
      </c>
      <c r="C23594" s="1" t="s">
        <v>7325</v>
      </c>
      <c r="D23594" s="1" t="s">
        <v>7327</v>
      </c>
    </row>
    <row r="23595">
      <c r="A23595" s="1" t="s">
        <v>36626</v>
      </c>
      <c r="B23595" s="2" t="s">
        <v>36627</v>
      </c>
      <c r="C23595" s="1" t="s">
        <v>7325</v>
      </c>
      <c r="D23595" s="1" t="s">
        <v>7327</v>
      </c>
    </row>
    <row r="23596">
      <c r="A23596" s="1" t="s">
        <v>36628</v>
      </c>
      <c r="B23596" s="2" t="s">
        <v>36629</v>
      </c>
      <c r="C23596" s="1" t="s">
        <v>7325</v>
      </c>
      <c r="D23596" s="1" t="s">
        <v>7327</v>
      </c>
    </row>
    <row r="23597">
      <c r="A23597" s="1" t="s">
        <v>36630</v>
      </c>
      <c r="B23597" s="2" t="s">
        <v>36631</v>
      </c>
      <c r="C23597" s="1" t="s">
        <v>7325</v>
      </c>
      <c r="D23597" s="1" t="s">
        <v>7327</v>
      </c>
    </row>
    <row r="23598">
      <c r="A23598" s="1" t="s">
        <v>36632</v>
      </c>
      <c r="B23598" s="2" t="s">
        <v>36633</v>
      </c>
      <c r="C23598" s="1" t="s">
        <v>7325</v>
      </c>
      <c r="D23598" s="1" t="s">
        <v>7327</v>
      </c>
    </row>
    <row r="23599">
      <c r="A23599" s="1" t="s">
        <v>36634</v>
      </c>
      <c r="B23599" s="2" t="s">
        <v>36635</v>
      </c>
      <c r="C23599" s="1" t="s">
        <v>7325</v>
      </c>
      <c r="D23599" s="1" t="s">
        <v>7327</v>
      </c>
    </row>
    <row r="23600">
      <c r="A23600" s="1" t="s">
        <v>36636</v>
      </c>
      <c r="B23600" s="2" t="s">
        <v>36637</v>
      </c>
      <c r="C23600" s="1" t="s">
        <v>7325</v>
      </c>
      <c r="D23600" s="1" t="s">
        <v>7327</v>
      </c>
    </row>
    <row r="23601">
      <c r="A23601" s="1" t="s">
        <v>36638</v>
      </c>
      <c r="B23601" s="2" t="s">
        <v>36639</v>
      </c>
      <c r="C23601" s="1" t="s">
        <v>7325</v>
      </c>
      <c r="D23601" s="1" t="s">
        <v>7327</v>
      </c>
    </row>
    <row r="23602">
      <c r="A23602" s="1" t="s">
        <v>36640</v>
      </c>
      <c r="B23602" s="2" t="s">
        <v>36641</v>
      </c>
      <c r="C23602" s="1" t="s">
        <v>7325</v>
      </c>
      <c r="D23602" s="1" t="s">
        <v>7327</v>
      </c>
    </row>
    <row r="23603">
      <c r="A23603" s="1" t="s">
        <v>36642</v>
      </c>
      <c r="B23603" s="2" t="s">
        <v>36643</v>
      </c>
      <c r="C23603" s="1" t="s">
        <v>7325</v>
      </c>
      <c r="D23603" s="1" t="s">
        <v>7327</v>
      </c>
    </row>
    <row r="23604">
      <c r="A23604" s="1" t="s">
        <v>36644</v>
      </c>
      <c r="B23604" s="2" t="s">
        <v>36645</v>
      </c>
      <c r="C23604" s="1" t="s">
        <v>7325</v>
      </c>
      <c r="D23604" s="1" t="s">
        <v>7327</v>
      </c>
    </row>
    <row r="23605">
      <c r="A23605" s="1" t="s">
        <v>36646</v>
      </c>
      <c r="B23605" s="2" t="s">
        <v>34575</v>
      </c>
      <c r="C23605" s="1" t="s">
        <v>7325</v>
      </c>
      <c r="D23605" s="1" t="s">
        <v>7327</v>
      </c>
    </row>
    <row r="23606">
      <c r="A23606" s="1" t="s">
        <v>36647</v>
      </c>
      <c r="B23606" s="2" t="s">
        <v>36648</v>
      </c>
      <c r="C23606" s="1" t="s">
        <v>7325</v>
      </c>
      <c r="D23606" s="1" t="s">
        <v>7327</v>
      </c>
    </row>
    <row r="23607">
      <c r="A23607" s="1" t="s">
        <v>36649</v>
      </c>
      <c r="B23607" s="2" t="s">
        <v>36650</v>
      </c>
      <c r="C23607" s="1" t="s">
        <v>7325</v>
      </c>
      <c r="D23607" s="1" t="s">
        <v>7327</v>
      </c>
    </row>
    <row r="23608">
      <c r="A23608" s="1" t="s">
        <v>36651</v>
      </c>
      <c r="B23608" s="2" t="s">
        <v>36652</v>
      </c>
      <c r="C23608" s="1" t="s">
        <v>7325</v>
      </c>
      <c r="D23608" s="1" t="s">
        <v>7327</v>
      </c>
    </row>
    <row r="23609">
      <c r="A23609" s="1" t="s">
        <v>36653</v>
      </c>
      <c r="B23609" s="2" t="s">
        <v>36654</v>
      </c>
      <c r="C23609" s="1" t="s">
        <v>7325</v>
      </c>
      <c r="D23609" s="1" t="s">
        <v>7327</v>
      </c>
    </row>
    <row r="23610">
      <c r="A23610" s="1" t="s">
        <v>36655</v>
      </c>
      <c r="B23610" s="2" t="s">
        <v>36656</v>
      </c>
      <c r="C23610" s="1" t="s">
        <v>7325</v>
      </c>
      <c r="D23610" s="1" t="s">
        <v>7327</v>
      </c>
    </row>
    <row r="23611">
      <c r="A23611" s="1" t="s">
        <v>36657</v>
      </c>
      <c r="B23611" s="2" t="s">
        <v>36658</v>
      </c>
      <c r="C23611" s="1" t="s">
        <v>7325</v>
      </c>
      <c r="D23611" s="1" t="s">
        <v>7327</v>
      </c>
    </row>
    <row r="23612">
      <c r="A23612" s="1" t="s">
        <v>36659</v>
      </c>
      <c r="B23612" s="2" t="s">
        <v>36660</v>
      </c>
      <c r="C23612" s="1" t="s">
        <v>7325</v>
      </c>
      <c r="D23612" s="1" t="s">
        <v>7327</v>
      </c>
    </row>
    <row r="23613">
      <c r="A23613" s="1" t="s">
        <v>36661</v>
      </c>
      <c r="B23613" s="2" t="s">
        <v>36662</v>
      </c>
      <c r="C23613" s="1" t="s">
        <v>7325</v>
      </c>
      <c r="D23613" s="1" t="s">
        <v>7327</v>
      </c>
    </row>
    <row r="23614">
      <c r="A23614" s="1" t="s">
        <v>36663</v>
      </c>
      <c r="B23614" s="2" t="s">
        <v>36664</v>
      </c>
      <c r="C23614" s="1" t="s">
        <v>7325</v>
      </c>
      <c r="D23614" s="1" t="s">
        <v>7327</v>
      </c>
    </row>
    <row r="23615">
      <c r="A23615" s="1" t="s">
        <v>36665</v>
      </c>
      <c r="B23615" s="2" t="s">
        <v>36666</v>
      </c>
      <c r="C23615" s="1" t="s">
        <v>7325</v>
      </c>
      <c r="D23615" s="1" t="s">
        <v>7327</v>
      </c>
    </row>
    <row r="23616">
      <c r="A23616" s="1" t="s">
        <v>36667</v>
      </c>
      <c r="B23616" s="2" t="s">
        <v>36668</v>
      </c>
      <c r="C23616" s="1" t="s">
        <v>7325</v>
      </c>
      <c r="D23616" s="1" t="s">
        <v>7327</v>
      </c>
    </row>
    <row r="23617">
      <c r="A23617" s="1" t="s">
        <v>36669</v>
      </c>
      <c r="B23617" s="2" t="s">
        <v>36670</v>
      </c>
      <c r="C23617" s="1" t="s">
        <v>7325</v>
      </c>
      <c r="D23617" s="1" t="s">
        <v>7327</v>
      </c>
    </row>
    <row r="23618">
      <c r="A23618" s="1" t="s">
        <v>7330</v>
      </c>
      <c r="B23618" s="2" t="s">
        <v>7</v>
      </c>
      <c r="C23618" s="1" t="s">
        <v>179</v>
      </c>
      <c r="D23618" s="1" t="s">
        <v>7332</v>
      </c>
    </row>
    <row r="23619">
      <c r="A23619" s="1" t="s">
        <v>7336</v>
      </c>
      <c r="B23619" s="2" t="s">
        <v>7</v>
      </c>
      <c r="C23619" s="1" t="s">
        <v>7338</v>
      </c>
      <c r="D23619" s="1" t="s">
        <v>7339</v>
      </c>
    </row>
    <row r="23620">
      <c r="A23620" s="1" t="s">
        <v>36671</v>
      </c>
      <c r="B23620" s="2" t="s">
        <v>36672</v>
      </c>
      <c r="C23620" s="1" t="s">
        <v>7338</v>
      </c>
      <c r="D23620" s="1" t="s">
        <v>7339</v>
      </c>
    </row>
    <row r="23621">
      <c r="A23621" s="1" t="s">
        <v>36673</v>
      </c>
      <c r="B23621" s="2" t="s">
        <v>36674</v>
      </c>
      <c r="C23621" s="1" t="s">
        <v>7338</v>
      </c>
      <c r="D23621" s="1" t="s">
        <v>7339</v>
      </c>
    </row>
    <row r="23622">
      <c r="A23622" s="1" t="s">
        <v>36675</v>
      </c>
      <c r="B23622" s="2" t="s">
        <v>5133</v>
      </c>
      <c r="C23622" s="1" t="s">
        <v>7338</v>
      </c>
      <c r="D23622" s="1" t="s">
        <v>7339</v>
      </c>
    </row>
    <row r="23623">
      <c r="A23623" s="1" t="s">
        <v>36676</v>
      </c>
      <c r="B23623" s="2" t="s">
        <v>5137</v>
      </c>
      <c r="C23623" s="1" t="s">
        <v>7338</v>
      </c>
      <c r="D23623" s="1" t="s">
        <v>7339</v>
      </c>
    </row>
    <row r="23624">
      <c r="A23624" s="1" t="s">
        <v>36677</v>
      </c>
      <c r="B23624" s="2" t="s">
        <v>5141</v>
      </c>
      <c r="C23624" s="1" t="s">
        <v>7338</v>
      </c>
      <c r="D23624" s="1" t="s">
        <v>7339</v>
      </c>
    </row>
    <row r="23625">
      <c r="A23625" s="1" t="s">
        <v>36678</v>
      </c>
      <c r="B23625" s="2" t="s">
        <v>5146</v>
      </c>
      <c r="C23625" s="1" t="s">
        <v>7338</v>
      </c>
      <c r="D23625" s="1" t="s">
        <v>7339</v>
      </c>
    </row>
    <row r="23626">
      <c r="A23626" s="1" t="s">
        <v>36679</v>
      </c>
      <c r="B23626" s="2" t="s">
        <v>36680</v>
      </c>
      <c r="C23626" s="1" t="s">
        <v>7338</v>
      </c>
      <c r="D23626" s="1" t="s">
        <v>7339</v>
      </c>
    </row>
    <row r="23627">
      <c r="A23627" s="1" t="s">
        <v>36681</v>
      </c>
      <c r="B23627" s="2" t="s">
        <v>5157</v>
      </c>
      <c r="C23627" s="1" t="s">
        <v>7338</v>
      </c>
      <c r="D23627" s="1" t="s">
        <v>7339</v>
      </c>
    </row>
    <row r="23628">
      <c r="A23628" s="1" t="s">
        <v>36682</v>
      </c>
      <c r="B23628" s="2" t="s">
        <v>36683</v>
      </c>
      <c r="C23628" s="1" t="s">
        <v>7338</v>
      </c>
      <c r="D23628" s="1" t="s">
        <v>7339</v>
      </c>
    </row>
    <row r="23629">
      <c r="A23629" s="1" t="s">
        <v>36684</v>
      </c>
      <c r="B23629" s="2" t="s">
        <v>36685</v>
      </c>
      <c r="C23629" s="1" t="s">
        <v>7338</v>
      </c>
      <c r="D23629" s="1" t="s">
        <v>7339</v>
      </c>
    </row>
    <row r="23630">
      <c r="A23630" s="1" t="s">
        <v>36686</v>
      </c>
      <c r="B23630" s="2" t="s">
        <v>13</v>
      </c>
      <c r="C23630" s="1" t="s">
        <v>7338</v>
      </c>
      <c r="D23630" s="1" t="s">
        <v>7339</v>
      </c>
    </row>
    <row r="23631">
      <c r="A23631" s="1" t="s">
        <v>36687</v>
      </c>
      <c r="B23631" s="2" t="s">
        <v>36688</v>
      </c>
      <c r="C23631" s="1" t="s">
        <v>7338</v>
      </c>
      <c r="D23631" s="1" t="s">
        <v>7339</v>
      </c>
    </row>
    <row r="23632">
      <c r="A23632" s="1" t="s">
        <v>36689</v>
      </c>
      <c r="B23632" s="2" t="s">
        <v>34</v>
      </c>
      <c r="C23632" s="1" t="s">
        <v>7338</v>
      </c>
      <c r="D23632" s="1" t="s">
        <v>7339</v>
      </c>
    </row>
    <row r="23633">
      <c r="A23633" s="1" t="s">
        <v>36690</v>
      </c>
      <c r="B23633" s="2" t="s">
        <v>36691</v>
      </c>
      <c r="C23633" s="1" t="s">
        <v>7338</v>
      </c>
      <c r="D23633" s="1" t="s">
        <v>7339</v>
      </c>
    </row>
    <row r="23634">
      <c r="A23634" s="1" t="s">
        <v>36692</v>
      </c>
      <c r="B23634" s="2" t="s">
        <v>36693</v>
      </c>
      <c r="C23634" s="1" t="s">
        <v>7338</v>
      </c>
      <c r="D23634" s="1" t="s">
        <v>7339</v>
      </c>
    </row>
    <row r="23635">
      <c r="A23635" s="1" t="s">
        <v>36694</v>
      </c>
      <c r="B23635" s="2" t="s">
        <v>57</v>
      </c>
      <c r="C23635" s="1" t="s">
        <v>7338</v>
      </c>
      <c r="D23635" s="1" t="s">
        <v>7339</v>
      </c>
    </row>
    <row r="23636">
      <c r="A23636" s="1" t="s">
        <v>36695</v>
      </c>
      <c r="B23636" s="2" t="s">
        <v>60</v>
      </c>
      <c r="C23636" s="1" t="s">
        <v>7338</v>
      </c>
      <c r="D23636" s="1" t="s">
        <v>7339</v>
      </c>
    </row>
    <row r="23637">
      <c r="A23637" s="1" t="s">
        <v>36696</v>
      </c>
      <c r="B23637" s="2" t="s">
        <v>62</v>
      </c>
      <c r="C23637" s="1" t="s">
        <v>7338</v>
      </c>
      <c r="D23637" s="1" t="s">
        <v>7339</v>
      </c>
    </row>
    <row r="23638">
      <c r="A23638" s="1" t="s">
        <v>36697</v>
      </c>
      <c r="B23638" s="2" t="s">
        <v>64</v>
      </c>
      <c r="C23638" s="1" t="s">
        <v>7338</v>
      </c>
      <c r="D23638" s="1" t="s">
        <v>7339</v>
      </c>
    </row>
    <row r="23639">
      <c r="A23639" s="1" t="s">
        <v>36698</v>
      </c>
      <c r="B23639" s="2" t="s">
        <v>66</v>
      </c>
      <c r="C23639" s="1" t="s">
        <v>7338</v>
      </c>
      <c r="D23639" s="1" t="s">
        <v>7339</v>
      </c>
    </row>
    <row r="23640">
      <c r="A23640" s="1" t="s">
        <v>36699</v>
      </c>
      <c r="B23640" s="2" t="s">
        <v>68</v>
      </c>
      <c r="C23640" s="1" t="s">
        <v>7338</v>
      </c>
      <c r="D23640" s="1" t="s">
        <v>7339</v>
      </c>
    </row>
    <row r="23641">
      <c r="A23641" s="1" t="s">
        <v>36700</v>
      </c>
      <c r="B23641" s="2" t="s">
        <v>70</v>
      </c>
      <c r="C23641" s="1" t="s">
        <v>7338</v>
      </c>
      <c r="D23641" s="1" t="s">
        <v>7339</v>
      </c>
    </row>
    <row r="23642">
      <c r="A23642" s="1" t="s">
        <v>36701</v>
      </c>
      <c r="B23642" s="2" t="s">
        <v>36702</v>
      </c>
      <c r="C23642" s="1" t="s">
        <v>7338</v>
      </c>
      <c r="D23642" s="1" t="s">
        <v>7339</v>
      </c>
    </row>
    <row r="23643">
      <c r="A23643" s="1" t="s">
        <v>36703</v>
      </c>
      <c r="B23643" s="2" t="s">
        <v>90</v>
      </c>
      <c r="C23643" s="1" t="s">
        <v>7338</v>
      </c>
      <c r="D23643" s="1" t="s">
        <v>7339</v>
      </c>
    </row>
    <row r="23644">
      <c r="A23644" s="1" t="s">
        <v>36704</v>
      </c>
      <c r="B23644" s="2" t="s">
        <v>36705</v>
      </c>
      <c r="C23644" s="1" t="s">
        <v>7338</v>
      </c>
      <c r="D23644" s="1" t="s">
        <v>7339</v>
      </c>
    </row>
    <row r="23645">
      <c r="A23645" s="1" t="s">
        <v>36706</v>
      </c>
      <c r="B23645" s="2" t="s">
        <v>36707</v>
      </c>
      <c r="C23645" s="1" t="s">
        <v>7338</v>
      </c>
      <c r="D23645" s="1" t="s">
        <v>7339</v>
      </c>
    </row>
    <row r="23646">
      <c r="A23646" s="1" t="s">
        <v>36708</v>
      </c>
      <c r="B23646" s="2" t="s">
        <v>114</v>
      </c>
      <c r="C23646" s="1" t="s">
        <v>7338</v>
      </c>
      <c r="D23646" s="1" t="s">
        <v>7339</v>
      </c>
    </row>
    <row r="23647">
      <c r="A23647" s="1" t="s">
        <v>36709</v>
      </c>
      <c r="B23647" s="2" t="s">
        <v>123</v>
      </c>
      <c r="C23647" s="1" t="s">
        <v>7338</v>
      </c>
      <c r="D23647" s="1" t="s">
        <v>7339</v>
      </c>
    </row>
    <row r="23648">
      <c r="A23648" s="1" t="s">
        <v>36710</v>
      </c>
      <c r="B23648" s="2" t="s">
        <v>127</v>
      </c>
      <c r="C23648" s="1" t="s">
        <v>7338</v>
      </c>
      <c r="D23648" s="1" t="s">
        <v>7339</v>
      </c>
    </row>
    <row r="23649">
      <c r="A23649" s="1" t="s">
        <v>36711</v>
      </c>
      <c r="B23649" s="2" t="s">
        <v>132</v>
      </c>
      <c r="C23649" s="1" t="s">
        <v>7338</v>
      </c>
      <c r="D23649" s="1" t="s">
        <v>7339</v>
      </c>
    </row>
    <row r="23650">
      <c r="A23650" s="1" t="s">
        <v>36712</v>
      </c>
      <c r="B23650" s="2" t="s">
        <v>139</v>
      </c>
      <c r="C23650" s="1" t="s">
        <v>7338</v>
      </c>
      <c r="D23650" s="1" t="s">
        <v>7339</v>
      </c>
    </row>
    <row r="23651">
      <c r="A23651" s="1" t="s">
        <v>36713</v>
      </c>
      <c r="B23651" s="2" t="s">
        <v>141</v>
      </c>
      <c r="C23651" s="1" t="s">
        <v>7338</v>
      </c>
      <c r="D23651" s="1" t="s">
        <v>7339</v>
      </c>
    </row>
    <row r="23652">
      <c r="A23652" s="1" t="s">
        <v>36714</v>
      </c>
      <c r="B23652" s="2" t="s">
        <v>36715</v>
      </c>
      <c r="C23652" s="1" t="s">
        <v>7338</v>
      </c>
      <c r="D23652" s="1" t="s">
        <v>7339</v>
      </c>
    </row>
    <row r="23653">
      <c r="A23653" s="1" t="s">
        <v>36716</v>
      </c>
      <c r="B23653" s="2" t="s">
        <v>36717</v>
      </c>
      <c r="C23653" s="1" t="s">
        <v>7338</v>
      </c>
      <c r="D23653" s="1" t="s">
        <v>7339</v>
      </c>
    </row>
    <row r="23654">
      <c r="A23654" s="1" t="s">
        <v>36718</v>
      </c>
      <c r="B23654" s="2" t="s">
        <v>36719</v>
      </c>
      <c r="C23654" s="1" t="s">
        <v>7338</v>
      </c>
      <c r="D23654" s="1" t="s">
        <v>7339</v>
      </c>
    </row>
    <row r="23655">
      <c r="A23655" s="1" t="s">
        <v>36720</v>
      </c>
      <c r="B23655" s="2" t="s">
        <v>36721</v>
      </c>
      <c r="C23655" s="1" t="s">
        <v>7338</v>
      </c>
      <c r="D23655" s="1" t="s">
        <v>7339</v>
      </c>
    </row>
    <row r="23656">
      <c r="A23656" s="1" t="s">
        <v>36722</v>
      </c>
      <c r="B23656" s="2" t="s">
        <v>36723</v>
      </c>
      <c r="C23656" s="1" t="s">
        <v>7338</v>
      </c>
      <c r="D23656" s="1" t="s">
        <v>7339</v>
      </c>
    </row>
    <row r="23657">
      <c r="A23657" s="1" t="s">
        <v>36724</v>
      </c>
      <c r="B23657" s="2" t="s">
        <v>36725</v>
      </c>
      <c r="C23657" s="1" t="s">
        <v>7338</v>
      </c>
      <c r="D23657" s="1" t="s">
        <v>7339</v>
      </c>
    </row>
    <row r="23658">
      <c r="A23658" s="1" t="s">
        <v>36726</v>
      </c>
      <c r="B23658" s="2" t="s">
        <v>36727</v>
      </c>
      <c r="C23658" s="1" t="s">
        <v>7338</v>
      </c>
      <c r="D23658" s="1" t="s">
        <v>7339</v>
      </c>
    </row>
    <row r="23659">
      <c r="A23659" s="1" t="s">
        <v>36728</v>
      </c>
      <c r="B23659" s="2" t="s">
        <v>36729</v>
      </c>
      <c r="C23659" s="1" t="s">
        <v>7338</v>
      </c>
      <c r="D23659" s="1" t="s">
        <v>7339</v>
      </c>
    </row>
    <row r="23660">
      <c r="A23660" s="1" t="s">
        <v>36730</v>
      </c>
      <c r="B23660" s="2" t="s">
        <v>36731</v>
      </c>
      <c r="C23660" s="1" t="s">
        <v>7338</v>
      </c>
      <c r="D23660" s="1" t="s">
        <v>7339</v>
      </c>
    </row>
    <row r="23661">
      <c r="A23661" s="1" t="s">
        <v>36732</v>
      </c>
      <c r="B23661" s="2" t="s">
        <v>36733</v>
      </c>
      <c r="C23661" s="1" t="s">
        <v>7338</v>
      </c>
      <c r="D23661" s="1" t="s">
        <v>7339</v>
      </c>
    </row>
    <row r="23662">
      <c r="A23662" s="1" t="s">
        <v>36734</v>
      </c>
      <c r="B23662" s="2" t="s">
        <v>36735</v>
      </c>
      <c r="C23662" s="1" t="s">
        <v>7338</v>
      </c>
      <c r="D23662" s="1" t="s">
        <v>7339</v>
      </c>
    </row>
    <row r="23663">
      <c r="A23663" s="1" t="s">
        <v>36736</v>
      </c>
      <c r="B23663" s="2" t="s">
        <v>36737</v>
      </c>
      <c r="C23663" s="1" t="s">
        <v>7338</v>
      </c>
      <c r="D23663" s="1" t="s">
        <v>7339</v>
      </c>
    </row>
    <row r="23664">
      <c r="A23664" s="1" t="s">
        <v>36738</v>
      </c>
      <c r="B23664" s="2" t="s">
        <v>36739</v>
      </c>
      <c r="C23664" s="1" t="s">
        <v>7338</v>
      </c>
      <c r="D23664" s="1" t="s">
        <v>7339</v>
      </c>
    </row>
    <row r="23665">
      <c r="A23665" s="1" t="s">
        <v>36740</v>
      </c>
      <c r="B23665" s="2" t="s">
        <v>36741</v>
      </c>
      <c r="C23665" s="1" t="s">
        <v>7338</v>
      </c>
      <c r="D23665" s="1" t="s">
        <v>7339</v>
      </c>
    </row>
    <row r="23666">
      <c r="A23666" s="1" t="s">
        <v>36742</v>
      </c>
      <c r="B23666" s="2" t="s">
        <v>36743</v>
      </c>
      <c r="C23666" s="1" t="s">
        <v>7338</v>
      </c>
      <c r="D23666" s="1" t="s">
        <v>7339</v>
      </c>
    </row>
    <row r="23667">
      <c r="A23667" s="1" t="s">
        <v>36744</v>
      </c>
      <c r="B23667" s="2" t="s">
        <v>36745</v>
      </c>
      <c r="C23667" s="1" t="s">
        <v>7338</v>
      </c>
      <c r="D23667" s="1" t="s">
        <v>7339</v>
      </c>
    </row>
    <row r="23668">
      <c r="A23668" s="1" t="s">
        <v>36746</v>
      </c>
      <c r="B23668" s="2" t="s">
        <v>36747</v>
      </c>
      <c r="C23668" s="1" t="s">
        <v>7338</v>
      </c>
      <c r="D23668" s="1" t="s">
        <v>7339</v>
      </c>
    </row>
    <row r="23669">
      <c r="A23669" s="1" t="s">
        <v>36748</v>
      </c>
      <c r="B23669" s="2" t="s">
        <v>36749</v>
      </c>
      <c r="C23669" s="1" t="s">
        <v>7338</v>
      </c>
      <c r="D23669" s="1" t="s">
        <v>7339</v>
      </c>
    </row>
    <row r="23670">
      <c r="A23670" s="1" t="s">
        <v>36750</v>
      </c>
      <c r="B23670" s="2" t="s">
        <v>36751</v>
      </c>
      <c r="C23670" s="1" t="s">
        <v>7338</v>
      </c>
      <c r="D23670" s="1" t="s">
        <v>7339</v>
      </c>
    </row>
    <row r="23671">
      <c r="A23671" s="1" t="s">
        <v>36752</v>
      </c>
      <c r="B23671" s="2" t="s">
        <v>36753</v>
      </c>
      <c r="C23671" s="1" t="s">
        <v>7338</v>
      </c>
      <c r="D23671" s="1" t="s">
        <v>7339</v>
      </c>
    </row>
    <row r="23672">
      <c r="A23672" s="1" t="s">
        <v>36754</v>
      </c>
      <c r="B23672" s="2" t="s">
        <v>36755</v>
      </c>
      <c r="C23672" s="1" t="s">
        <v>7338</v>
      </c>
      <c r="D23672" s="1" t="s">
        <v>7339</v>
      </c>
    </row>
    <row r="23673">
      <c r="A23673" s="1" t="s">
        <v>36756</v>
      </c>
      <c r="B23673" s="2" t="s">
        <v>36757</v>
      </c>
      <c r="C23673" s="1" t="s">
        <v>7338</v>
      </c>
      <c r="D23673" s="1" t="s">
        <v>7339</v>
      </c>
    </row>
    <row r="23674">
      <c r="A23674" s="1" t="s">
        <v>36758</v>
      </c>
      <c r="B23674" s="2" t="s">
        <v>36759</v>
      </c>
      <c r="C23674" s="1" t="s">
        <v>7338</v>
      </c>
      <c r="D23674" s="1" t="s">
        <v>7339</v>
      </c>
    </row>
    <row r="23675">
      <c r="A23675" s="1" t="s">
        <v>36760</v>
      </c>
      <c r="B23675" s="2" t="s">
        <v>36761</v>
      </c>
      <c r="C23675" s="1" t="s">
        <v>7338</v>
      </c>
      <c r="D23675" s="1" t="s">
        <v>7339</v>
      </c>
    </row>
    <row r="23676">
      <c r="A23676" s="1" t="s">
        <v>36762</v>
      </c>
      <c r="B23676" s="2" t="s">
        <v>36763</v>
      </c>
      <c r="C23676" s="1" t="s">
        <v>7338</v>
      </c>
      <c r="D23676" s="1" t="s">
        <v>7339</v>
      </c>
    </row>
    <row r="23677">
      <c r="A23677" s="1" t="s">
        <v>36764</v>
      </c>
      <c r="B23677" s="2" t="s">
        <v>36765</v>
      </c>
      <c r="C23677" s="1" t="s">
        <v>7338</v>
      </c>
      <c r="D23677" s="1" t="s">
        <v>7339</v>
      </c>
    </row>
    <row r="23678">
      <c r="A23678" s="1" t="s">
        <v>36766</v>
      </c>
      <c r="B23678" s="2" t="s">
        <v>36767</v>
      </c>
      <c r="C23678" s="1" t="s">
        <v>7338</v>
      </c>
      <c r="D23678" s="1" t="s">
        <v>7339</v>
      </c>
    </row>
    <row r="23679">
      <c r="A23679" s="1" t="s">
        <v>36768</v>
      </c>
      <c r="B23679" s="2" t="s">
        <v>36769</v>
      </c>
      <c r="C23679" s="1" t="s">
        <v>7338</v>
      </c>
      <c r="D23679" s="1" t="s">
        <v>7339</v>
      </c>
    </row>
    <row r="23680">
      <c r="A23680" s="1" t="s">
        <v>36770</v>
      </c>
      <c r="B23680" s="2" t="s">
        <v>36771</v>
      </c>
      <c r="C23680" s="1" t="s">
        <v>7338</v>
      </c>
      <c r="D23680" s="1" t="s">
        <v>7339</v>
      </c>
    </row>
    <row r="23681">
      <c r="A23681" s="1" t="s">
        <v>36772</v>
      </c>
      <c r="B23681" s="2" t="s">
        <v>36773</v>
      </c>
      <c r="C23681" s="1" t="s">
        <v>7338</v>
      </c>
      <c r="D23681" s="1" t="s">
        <v>7339</v>
      </c>
    </row>
    <row r="23682">
      <c r="A23682" s="1" t="s">
        <v>36774</v>
      </c>
      <c r="B23682" s="2" t="s">
        <v>36775</v>
      </c>
      <c r="C23682" s="1" t="s">
        <v>7338</v>
      </c>
      <c r="D23682" s="1" t="s">
        <v>7339</v>
      </c>
    </row>
    <row r="23683">
      <c r="A23683" s="1" t="s">
        <v>36776</v>
      </c>
      <c r="B23683" s="2" t="s">
        <v>36777</v>
      </c>
      <c r="C23683" s="1" t="s">
        <v>7338</v>
      </c>
      <c r="D23683" s="1" t="s">
        <v>7339</v>
      </c>
    </row>
    <row r="23684">
      <c r="A23684" s="1" t="s">
        <v>36778</v>
      </c>
      <c r="B23684" s="2" t="s">
        <v>36779</v>
      </c>
      <c r="C23684" s="1" t="s">
        <v>7338</v>
      </c>
      <c r="D23684" s="1" t="s">
        <v>7339</v>
      </c>
    </row>
    <row r="23685">
      <c r="A23685" s="1" t="s">
        <v>36780</v>
      </c>
      <c r="B23685" s="2" t="s">
        <v>36781</v>
      </c>
      <c r="C23685" s="1" t="s">
        <v>7338</v>
      </c>
      <c r="D23685" s="1" t="s">
        <v>7339</v>
      </c>
    </row>
    <row r="23686">
      <c r="A23686" s="1" t="s">
        <v>36782</v>
      </c>
      <c r="B23686" s="2" t="s">
        <v>36783</v>
      </c>
      <c r="C23686" s="1" t="s">
        <v>7338</v>
      </c>
      <c r="D23686" s="1" t="s">
        <v>7339</v>
      </c>
    </row>
    <row r="23687">
      <c r="A23687" s="1" t="s">
        <v>36784</v>
      </c>
      <c r="B23687" s="2" t="s">
        <v>36785</v>
      </c>
      <c r="C23687" s="1" t="s">
        <v>7338</v>
      </c>
      <c r="D23687" s="1" t="s">
        <v>7339</v>
      </c>
    </row>
    <row r="23688">
      <c r="A23688" s="1" t="s">
        <v>36786</v>
      </c>
      <c r="B23688" s="2" t="s">
        <v>36787</v>
      </c>
      <c r="C23688" s="1" t="s">
        <v>7338</v>
      </c>
      <c r="D23688" s="1" t="s">
        <v>7339</v>
      </c>
    </row>
    <row r="23689">
      <c r="A23689" s="1" t="s">
        <v>36788</v>
      </c>
      <c r="B23689" s="2" t="s">
        <v>36789</v>
      </c>
      <c r="C23689" s="1" t="s">
        <v>7338</v>
      </c>
      <c r="D23689" s="1" t="s">
        <v>7339</v>
      </c>
    </row>
    <row r="23690">
      <c r="A23690" s="1" t="s">
        <v>36790</v>
      </c>
      <c r="B23690" s="2" t="s">
        <v>36791</v>
      </c>
      <c r="C23690" s="1" t="s">
        <v>7338</v>
      </c>
      <c r="D23690" s="1" t="s">
        <v>7339</v>
      </c>
    </row>
    <row r="23691">
      <c r="A23691" s="1" t="s">
        <v>36792</v>
      </c>
      <c r="B23691" s="2" t="s">
        <v>36793</v>
      </c>
      <c r="C23691" s="1" t="s">
        <v>7338</v>
      </c>
      <c r="D23691" s="1" t="s">
        <v>7339</v>
      </c>
    </row>
    <row r="23692">
      <c r="A23692" s="1" t="s">
        <v>36794</v>
      </c>
      <c r="B23692" s="2" t="s">
        <v>36795</v>
      </c>
      <c r="C23692" s="1" t="s">
        <v>7338</v>
      </c>
      <c r="D23692" s="1" t="s">
        <v>7339</v>
      </c>
    </row>
    <row r="23693">
      <c r="A23693" s="1" t="s">
        <v>36796</v>
      </c>
      <c r="B23693" s="2" t="s">
        <v>36797</v>
      </c>
      <c r="C23693" s="1" t="s">
        <v>7338</v>
      </c>
      <c r="D23693" s="1" t="s">
        <v>7339</v>
      </c>
    </row>
    <row r="23694">
      <c r="A23694" s="1" t="s">
        <v>36798</v>
      </c>
      <c r="B23694" s="2" t="s">
        <v>36799</v>
      </c>
      <c r="C23694" s="1" t="s">
        <v>7338</v>
      </c>
      <c r="D23694" s="1" t="s">
        <v>7339</v>
      </c>
    </row>
    <row r="23695">
      <c r="A23695" s="1" t="s">
        <v>36800</v>
      </c>
      <c r="B23695" s="2" t="s">
        <v>36801</v>
      </c>
      <c r="C23695" s="1" t="s">
        <v>7338</v>
      </c>
      <c r="D23695" s="1" t="s">
        <v>7339</v>
      </c>
    </row>
    <row r="23696">
      <c r="A23696" s="1" t="s">
        <v>36802</v>
      </c>
      <c r="B23696" s="2" t="s">
        <v>36803</v>
      </c>
      <c r="C23696" s="1" t="s">
        <v>7338</v>
      </c>
      <c r="D23696" s="1" t="s">
        <v>7339</v>
      </c>
    </row>
    <row r="23697">
      <c r="A23697" s="1" t="s">
        <v>36804</v>
      </c>
      <c r="B23697" s="2" t="s">
        <v>36805</v>
      </c>
      <c r="C23697" s="1" t="s">
        <v>7338</v>
      </c>
      <c r="D23697" s="1" t="s">
        <v>7339</v>
      </c>
    </row>
    <row r="23698">
      <c r="A23698" s="1" t="s">
        <v>36806</v>
      </c>
      <c r="B23698" s="2" t="s">
        <v>36807</v>
      </c>
      <c r="C23698" s="1" t="s">
        <v>7338</v>
      </c>
      <c r="D23698" s="1" t="s">
        <v>7339</v>
      </c>
    </row>
    <row r="23699">
      <c r="A23699" s="1" t="s">
        <v>36808</v>
      </c>
      <c r="B23699" s="2" t="s">
        <v>36809</v>
      </c>
      <c r="C23699" s="1" t="s">
        <v>7338</v>
      </c>
      <c r="D23699" s="1" t="s">
        <v>7339</v>
      </c>
    </row>
    <row r="23700">
      <c r="A23700" s="1" t="s">
        <v>36810</v>
      </c>
      <c r="B23700" s="2" t="s">
        <v>36811</v>
      </c>
      <c r="C23700" s="1" t="s">
        <v>7338</v>
      </c>
      <c r="D23700" s="1" t="s">
        <v>7339</v>
      </c>
    </row>
    <row r="23701">
      <c r="A23701" s="1" t="s">
        <v>36812</v>
      </c>
      <c r="B23701" s="2" t="s">
        <v>36813</v>
      </c>
      <c r="C23701" s="1" t="s">
        <v>7338</v>
      </c>
      <c r="D23701" s="1" t="s">
        <v>7339</v>
      </c>
    </row>
    <row r="23702">
      <c r="A23702" s="1" t="s">
        <v>36814</v>
      </c>
      <c r="B23702" s="2" t="s">
        <v>36815</v>
      </c>
      <c r="C23702" s="1" t="s">
        <v>7338</v>
      </c>
      <c r="D23702" s="1" t="s">
        <v>7339</v>
      </c>
    </row>
    <row r="23703">
      <c r="A23703" s="1" t="s">
        <v>36816</v>
      </c>
      <c r="B23703" s="2" t="s">
        <v>36817</v>
      </c>
      <c r="C23703" s="1" t="s">
        <v>7338</v>
      </c>
      <c r="D23703" s="1" t="s">
        <v>7339</v>
      </c>
    </row>
    <row r="23704">
      <c r="A23704" s="1" t="s">
        <v>36818</v>
      </c>
      <c r="B23704" s="2" t="s">
        <v>36819</v>
      </c>
      <c r="C23704" s="1" t="s">
        <v>7338</v>
      </c>
      <c r="D23704" s="1" t="s">
        <v>7339</v>
      </c>
    </row>
    <row r="23705">
      <c r="A23705" s="1" t="s">
        <v>36820</v>
      </c>
      <c r="B23705" s="2" t="s">
        <v>36821</v>
      </c>
      <c r="C23705" s="1" t="s">
        <v>7338</v>
      </c>
      <c r="D23705" s="1" t="s">
        <v>7339</v>
      </c>
    </row>
    <row r="23706">
      <c r="A23706" s="1" t="s">
        <v>36822</v>
      </c>
      <c r="B23706" s="2" t="s">
        <v>36823</v>
      </c>
      <c r="C23706" s="1" t="s">
        <v>7338</v>
      </c>
      <c r="D23706" s="1" t="s">
        <v>7339</v>
      </c>
    </row>
    <row r="23707">
      <c r="A23707" s="1" t="s">
        <v>36824</v>
      </c>
      <c r="B23707" s="2" t="s">
        <v>36825</v>
      </c>
      <c r="C23707" s="1" t="s">
        <v>7338</v>
      </c>
      <c r="D23707" s="1" t="s">
        <v>7339</v>
      </c>
    </row>
    <row r="23708">
      <c r="A23708" s="1" t="s">
        <v>36826</v>
      </c>
      <c r="B23708" s="2" t="s">
        <v>36827</v>
      </c>
      <c r="C23708" s="1" t="s">
        <v>7338</v>
      </c>
      <c r="D23708" s="1" t="s">
        <v>7339</v>
      </c>
    </row>
    <row r="23709">
      <c r="A23709" s="1" t="s">
        <v>36828</v>
      </c>
      <c r="B23709" s="2" t="s">
        <v>36829</v>
      </c>
      <c r="C23709" s="1" t="s">
        <v>7338</v>
      </c>
      <c r="D23709" s="1" t="s">
        <v>7339</v>
      </c>
    </row>
    <row r="23710">
      <c r="A23710" s="1" t="s">
        <v>36830</v>
      </c>
      <c r="B23710" s="2" t="s">
        <v>36831</v>
      </c>
      <c r="C23710" s="1" t="s">
        <v>7338</v>
      </c>
      <c r="D23710" s="1" t="s">
        <v>7339</v>
      </c>
    </row>
    <row r="23711">
      <c r="A23711" s="1" t="s">
        <v>36832</v>
      </c>
      <c r="B23711" s="2" t="s">
        <v>36833</v>
      </c>
      <c r="C23711" s="1" t="s">
        <v>7338</v>
      </c>
      <c r="D23711" s="1" t="s">
        <v>7339</v>
      </c>
    </row>
    <row r="23712">
      <c r="A23712" s="1" t="s">
        <v>36834</v>
      </c>
      <c r="B23712" s="2" t="s">
        <v>36835</v>
      </c>
      <c r="C23712" s="1" t="s">
        <v>7338</v>
      </c>
      <c r="D23712" s="1" t="s">
        <v>7339</v>
      </c>
    </row>
    <row r="23713">
      <c r="A23713" s="1" t="s">
        <v>36836</v>
      </c>
      <c r="B23713" s="2" t="s">
        <v>36837</v>
      </c>
      <c r="C23713" s="1" t="s">
        <v>7338</v>
      </c>
      <c r="D23713" s="1" t="s">
        <v>7339</v>
      </c>
    </row>
    <row r="23714">
      <c r="A23714" s="1" t="s">
        <v>36838</v>
      </c>
      <c r="B23714" s="2" t="s">
        <v>36839</v>
      </c>
      <c r="C23714" s="1" t="s">
        <v>7338</v>
      </c>
      <c r="D23714" s="1" t="s">
        <v>7339</v>
      </c>
    </row>
    <row r="23715">
      <c r="A23715" s="1" t="s">
        <v>36840</v>
      </c>
      <c r="B23715" s="2" t="s">
        <v>36841</v>
      </c>
      <c r="C23715" s="1" t="s">
        <v>7338</v>
      </c>
      <c r="D23715" s="1" t="s">
        <v>7339</v>
      </c>
    </row>
    <row r="23716">
      <c r="A23716" s="1" t="s">
        <v>36842</v>
      </c>
      <c r="B23716" s="2" t="s">
        <v>36843</v>
      </c>
      <c r="C23716" s="1" t="s">
        <v>7338</v>
      </c>
      <c r="D23716" s="1" t="s">
        <v>7339</v>
      </c>
    </row>
    <row r="23717">
      <c r="A23717" s="1" t="s">
        <v>36844</v>
      </c>
      <c r="B23717" s="2" t="s">
        <v>36845</v>
      </c>
      <c r="C23717" s="1" t="s">
        <v>7338</v>
      </c>
      <c r="D23717" s="1" t="s">
        <v>7339</v>
      </c>
    </row>
    <row r="23718">
      <c r="A23718" s="1" t="s">
        <v>36846</v>
      </c>
      <c r="B23718" s="2" t="s">
        <v>36847</v>
      </c>
      <c r="C23718" s="1" t="s">
        <v>7338</v>
      </c>
      <c r="D23718" s="1" t="s">
        <v>7339</v>
      </c>
    </row>
    <row r="23719">
      <c r="A23719" s="1" t="s">
        <v>36848</v>
      </c>
      <c r="B23719" s="2" t="s">
        <v>36849</v>
      </c>
      <c r="C23719" s="1" t="s">
        <v>7338</v>
      </c>
      <c r="D23719" s="1" t="s">
        <v>7339</v>
      </c>
    </row>
    <row r="23720">
      <c r="A23720" s="1" t="s">
        <v>36850</v>
      </c>
      <c r="B23720" s="2" t="s">
        <v>36851</v>
      </c>
      <c r="C23720" s="1" t="s">
        <v>7338</v>
      </c>
      <c r="D23720" s="1" t="s">
        <v>7339</v>
      </c>
    </row>
    <row r="23721">
      <c r="A23721" s="1" t="s">
        <v>36852</v>
      </c>
      <c r="B23721" s="2" t="s">
        <v>36853</v>
      </c>
      <c r="C23721" s="1" t="s">
        <v>7338</v>
      </c>
      <c r="D23721" s="1" t="s">
        <v>7339</v>
      </c>
    </row>
    <row r="23722">
      <c r="A23722" s="1" t="s">
        <v>36854</v>
      </c>
      <c r="B23722" s="2" t="s">
        <v>36855</v>
      </c>
      <c r="C23722" s="1" t="s">
        <v>7338</v>
      </c>
      <c r="D23722" s="1" t="s">
        <v>7339</v>
      </c>
    </row>
    <row r="23723">
      <c r="A23723" s="1" t="s">
        <v>36856</v>
      </c>
      <c r="B23723" s="2" t="s">
        <v>36857</v>
      </c>
      <c r="C23723" s="1" t="s">
        <v>7338</v>
      </c>
      <c r="D23723" s="1" t="s">
        <v>7339</v>
      </c>
    </row>
    <row r="23724">
      <c r="A23724" s="1" t="s">
        <v>36858</v>
      </c>
      <c r="B23724" s="2" t="s">
        <v>36859</v>
      </c>
      <c r="C23724" s="1" t="s">
        <v>7338</v>
      </c>
      <c r="D23724" s="1" t="s">
        <v>7339</v>
      </c>
    </row>
    <row r="23725">
      <c r="A23725" s="1" t="s">
        <v>36860</v>
      </c>
      <c r="B23725" s="2" t="s">
        <v>36861</v>
      </c>
      <c r="C23725" s="1" t="s">
        <v>7338</v>
      </c>
      <c r="D23725" s="1" t="s">
        <v>7339</v>
      </c>
    </row>
    <row r="23726">
      <c r="A23726" s="1" t="s">
        <v>36862</v>
      </c>
      <c r="B23726" s="2" t="s">
        <v>36863</v>
      </c>
      <c r="C23726" s="1" t="s">
        <v>7338</v>
      </c>
      <c r="D23726" s="1" t="s">
        <v>7339</v>
      </c>
    </row>
    <row r="23727">
      <c r="A23727" s="1" t="s">
        <v>36864</v>
      </c>
      <c r="B23727" s="2" t="s">
        <v>36865</v>
      </c>
      <c r="C23727" s="1" t="s">
        <v>7338</v>
      </c>
      <c r="D23727" s="1" t="s">
        <v>7339</v>
      </c>
    </row>
    <row r="23728">
      <c r="A23728" s="1" t="s">
        <v>36866</v>
      </c>
      <c r="B23728" s="2" t="s">
        <v>36867</v>
      </c>
      <c r="C23728" s="1" t="s">
        <v>7338</v>
      </c>
      <c r="D23728" s="1" t="s">
        <v>7339</v>
      </c>
    </row>
    <row r="23729">
      <c r="A23729" s="1" t="s">
        <v>36868</v>
      </c>
      <c r="B23729" s="2" t="s">
        <v>36869</v>
      </c>
      <c r="C23729" s="1" t="s">
        <v>7338</v>
      </c>
      <c r="D23729" s="1" t="s">
        <v>7339</v>
      </c>
    </row>
    <row r="23730">
      <c r="A23730" s="1" t="s">
        <v>36870</v>
      </c>
      <c r="B23730" s="2" t="s">
        <v>36871</v>
      </c>
      <c r="C23730" s="1" t="s">
        <v>7338</v>
      </c>
      <c r="D23730" s="1" t="s">
        <v>7339</v>
      </c>
    </row>
    <row r="23731">
      <c r="A23731" s="1" t="s">
        <v>36872</v>
      </c>
      <c r="B23731" s="2" t="s">
        <v>36873</v>
      </c>
      <c r="C23731" s="1" t="s">
        <v>7338</v>
      </c>
      <c r="D23731" s="1" t="s">
        <v>7339</v>
      </c>
    </row>
    <row r="23732">
      <c r="A23732" s="1" t="s">
        <v>36874</v>
      </c>
      <c r="B23732" s="2" t="s">
        <v>36875</v>
      </c>
      <c r="C23732" s="1" t="s">
        <v>7338</v>
      </c>
      <c r="D23732" s="1" t="s">
        <v>7339</v>
      </c>
    </row>
    <row r="23733">
      <c r="A23733" s="1" t="s">
        <v>36876</v>
      </c>
      <c r="B23733" s="2" t="s">
        <v>36877</v>
      </c>
      <c r="C23733" s="1" t="s">
        <v>7338</v>
      </c>
      <c r="D23733" s="1" t="s">
        <v>7339</v>
      </c>
    </row>
    <row r="23734">
      <c r="A23734" s="1" t="s">
        <v>36878</v>
      </c>
      <c r="B23734" s="2" t="s">
        <v>36879</v>
      </c>
      <c r="C23734" s="1" t="s">
        <v>7338</v>
      </c>
      <c r="D23734" s="1" t="s">
        <v>7339</v>
      </c>
    </row>
    <row r="23735">
      <c r="A23735" s="1" t="s">
        <v>36880</v>
      </c>
      <c r="B23735" s="2" t="s">
        <v>36881</v>
      </c>
      <c r="C23735" s="1" t="s">
        <v>7338</v>
      </c>
      <c r="D23735" s="1" t="s">
        <v>7339</v>
      </c>
    </row>
    <row r="23736">
      <c r="A23736" s="1" t="s">
        <v>36882</v>
      </c>
      <c r="B23736" s="2" t="s">
        <v>36883</v>
      </c>
      <c r="C23736" s="1" t="s">
        <v>7338</v>
      </c>
      <c r="D23736" s="1" t="s">
        <v>7339</v>
      </c>
    </row>
    <row r="23737">
      <c r="A23737" s="1" t="s">
        <v>36884</v>
      </c>
      <c r="B23737" s="2" t="s">
        <v>36885</v>
      </c>
      <c r="C23737" s="1" t="s">
        <v>7338</v>
      </c>
      <c r="D23737" s="1" t="s">
        <v>7339</v>
      </c>
    </row>
    <row r="23738">
      <c r="A23738" s="1" t="s">
        <v>36886</v>
      </c>
      <c r="B23738" s="2" t="s">
        <v>36887</v>
      </c>
      <c r="C23738" s="1" t="s">
        <v>7338</v>
      </c>
      <c r="D23738" s="1" t="s">
        <v>7339</v>
      </c>
    </row>
    <row r="23739">
      <c r="A23739" s="1" t="s">
        <v>36888</v>
      </c>
      <c r="B23739" s="2" t="s">
        <v>36889</v>
      </c>
      <c r="C23739" s="1" t="s">
        <v>7338</v>
      </c>
      <c r="D23739" s="1" t="s">
        <v>7339</v>
      </c>
    </row>
    <row r="23740">
      <c r="A23740" s="1" t="s">
        <v>36890</v>
      </c>
      <c r="B23740" s="2" t="s">
        <v>36891</v>
      </c>
      <c r="C23740" s="1" t="s">
        <v>7338</v>
      </c>
      <c r="D23740" s="1" t="s">
        <v>7339</v>
      </c>
    </row>
    <row r="23741">
      <c r="A23741" s="1" t="s">
        <v>36892</v>
      </c>
      <c r="B23741" s="2" t="s">
        <v>36893</v>
      </c>
      <c r="C23741" s="1" t="s">
        <v>7338</v>
      </c>
      <c r="D23741" s="1" t="s">
        <v>7339</v>
      </c>
    </row>
    <row r="23742">
      <c r="A23742" s="1" t="s">
        <v>36894</v>
      </c>
      <c r="B23742" s="2" t="s">
        <v>36895</v>
      </c>
      <c r="C23742" s="1" t="s">
        <v>7338</v>
      </c>
      <c r="D23742" s="1" t="s">
        <v>7339</v>
      </c>
    </row>
    <row r="23743">
      <c r="A23743" s="1" t="s">
        <v>36896</v>
      </c>
      <c r="B23743" s="2" t="s">
        <v>36897</v>
      </c>
      <c r="C23743" s="1" t="s">
        <v>7338</v>
      </c>
      <c r="D23743" s="1" t="s">
        <v>7339</v>
      </c>
    </row>
    <row r="23744">
      <c r="A23744" s="1" t="s">
        <v>36898</v>
      </c>
      <c r="B23744" s="2" t="s">
        <v>36899</v>
      </c>
      <c r="C23744" s="1" t="s">
        <v>7338</v>
      </c>
      <c r="D23744" s="1" t="s">
        <v>7339</v>
      </c>
    </row>
    <row r="23745">
      <c r="A23745" s="1" t="s">
        <v>36900</v>
      </c>
      <c r="B23745" s="2" t="s">
        <v>36901</v>
      </c>
      <c r="C23745" s="1" t="s">
        <v>7338</v>
      </c>
      <c r="D23745" s="1" t="s">
        <v>7339</v>
      </c>
    </row>
    <row r="23746">
      <c r="A23746" s="1" t="s">
        <v>36902</v>
      </c>
      <c r="B23746" s="2" t="s">
        <v>36903</v>
      </c>
      <c r="C23746" s="1" t="s">
        <v>7338</v>
      </c>
      <c r="D23746" s="1" t="s">
        <v>7339</v>
      </c>
    </row>
    <row r="23747">
      <c r="A23747" s="1" t="s">
        <v>36904</v>
      </c>
      <c r="B23747" s="2" t="s">
        <v>36905</v>
      </c>
      <c r="C23747" s="1" t="s">
        <v>7338</v>
      </c>
      <c r="D23747" s="1" t="s">
        <v>7339</v>
      </c>
    </row>
    <row r="23748">
      <c r="A23748" s="1" t="s">
        <v>36906</v>
      </c>
      <c r="B23748" s="2" t="s">
        <v>36907</v>
      </c>
      <c r="C23748" s="1" t="s">
        <v>7338</v>
      </c>
      <c r="D23748" s="1" t="s">
        <v>7339</v>
      </c>
    </row>
    <row r="23749">
      <c r="A23749" s="1" t="s">
        <v>36908</v>
      </c>
      <c r="B23749" s="2" t="s">
        <v>36909</v>
      </c>
      <c r="C23749" s="1" t="s">
        <v>7338</v>
      </c>
      <c r="D23749" s="1" t="s">
        <v>7339</v>
      </c>
    </row>
    <row r="23750">
      <c r="A23750" s="1" t="s">
        <v>36910</v>
      </c>
      <c r="B23750" s="2" t="s">
        <v>36911</v>
      </c>
      <c r="C23750" s="1" t="s">
        <v>7338</v>
      </c>
      <c r="D23750" s="1" t="s">
        <v>7339</v>
      </c>
    </row>
    <row r="23751">
      <c r="A23751" s="1" t="s">
        <v>36912</v>
      </c>
      <c r="B23751" s="2" t="s">
        <v>36913</v>
      </c>
      <c r="C23751" s="1" t="s">
        <v>7338</v>
      </c>
      <c r="D23751" s="1" t="s">
        <v>7339</v>
      </c>
    </row>
    <row r="23752">
      <c r="A23752" s="1" t="s">
        <v>36914</v>
      </c>
      <c r="B23752" s="2" t="s">
        <v>36915</v>
      </c>
      <c r="C23752" s="1" t="s">
        <v>7338</v>
      </c>
      <c r="D23752" s="1" t="s">
        <v>7339</v>
      </c>
    </row>
    <row r="23753">
      <c r="A23753" s="1" t="s">
        <v>36916</v>
      </c>
      <c r="B23753" s="2" t="s">
        <v>36917</v>
      </c>
      <c r="C23753" s="1" t="s">
        <v>7338</v>
      </c>
      <c r="D23753" s="1" t="s">
        <v>7339</v>
      </c>
    </row>
    <row r="23754">
      <c r="A23754" s="1" t="s">
        <v>36918</v>
      </c>
      <c r="B23754" s="2" t="s">
        <v>36919</v>
      </c>
      <c r="C23754" s="1" t="s">
        <v>7338</v>
      </c>
      <c r="D23754" s="1" t="s">
        <v>7339</v>
      </c>
    </row>
    <row r="23755">
      <c r="A23755" s="1" t="s">
        <v>36920</v>
      </c>
      <c r="B23755" s="2" t="s">
        <v>36921</v>
      </c>
      <c r="C23755" s="1" t="s">
        <v>7338</v>
      </c>
      <c r="D23755" s="1" t="s">
        <v>7339</v>
      </c>
    </row>
    <row r="23756">
      <c r="A23756" s="1" t="s">
        <v>36922</v>
      </c>
      <c r="B23756" s="2" t="s">
        <v>36923</v>
      </c>
      <c r="C23756" s="1" t="s">
        <v>7338</v>
      </c>
      <c r="D23756" s="1" t="s">
        <v>7339</v>
      </c>
    </row>
    <row r="23757">
      <c r="A23757" s="1" t="s">
        <v>36924</v>
      </c>
      <c r="B23757" s="2" t="s">
        <v>36925</v>
      </c>
      <c r="C23757" s="1" t="s">
        <v>7338</v>
      </c>
      <c r="D23757" s="1" t="s">
        <v>7339</v>
      </c>
    </row>
    <row r="23758">
      <c r="A23758" s="1" t="s">
        <v>36926</v>
      </c>
      <c r="B23758" s="2" t="s">
        <v>36927</v>
      </c>
      <c r="C23758" s="1" t="s">
        <v>7338</v>
      </c>
      <c r="D23758" s="1" t="s">
        <v>7339</v>
      </c>
    </row>
    <row r="23759">
      <c r="A23759" s="1" t="s">
        <v>36928</v>
      </c>
      <c r="B23759" s="2" t="s">
        <v>36929</v>
      </c>
      <c r="C23759" s="1" t="s">
        <v>7338</v>
      </c>
      <c r="D23759" s="1" t="s">
        <v>7339</v>
      </c>
    </row>
    <row r="23760">
      <c r="A23760" s="1" t="s">
        <v>36930</v>
      </c>
      <c r="B23760" s="2" t="s">
        <v>36931</v>
      </c>
      <c r="C23760" s="1" t="s">
        <v>7338</v>
      </c>
      <c r="D23760" s="1" t="s">
        <v>7339</v>
      </c>
    </row>
    <row r="23761">
      <c r="A23761" s="1" t="s">
        <v>36932</v>
      </c>
      <c r="B23761" s="2" t="s">
        <v>36933</v>
      </c>
      <c r="C23761" s="1" t="s">
        <v>7338</v>
      </c>
      <c r="D23761" s="1" t="s">
        <v>7339</v>
      </c>
    </row>
    <row r="23762">
      <c r="A23762" s="1" t="s">
        <v>36934</v>
      </c>
      <c r="B23762" s="2" t="s">
        <v>36935</v>
      </c>
      <c r="C23762" s="1" t="s">
        <v>7338</v>
      </c>
      <c r="D23762" s="1" t="s">
        <v>7339</v>
      </c>
    </row>
    <row r="23763">
      <c r="A23763" s="1" t="s">
        <v>36936</v>
      </c>
      <c r="B23763" s="2" t="s">
        <v>36937</v>
      </c>
      <c r="C23763" s="1" t="s">
        <v>7338</v>
      </c>
      <c r="D23763" s="1" t="s">
        <v>7339</v>
      </c>
    </row>
    <row r="23764">
      <c r="A23764" s="1" t="s">
        <v>36938</v>
      </c>
      <c r="B23764" s="2" t="s">
        <v>36939</v>
      </c>
      <c r="C23764" s="1" t="s">
        <v>7338</v>
      </c>
      <c r="D23764" s="1" t="s">
        <v>7339</v>
      </c>
    </row>
    <row r="23765">
      <c r="A23765" s="1" t="s">
        <v>36940</v>
      </c>
      <c r="B23765" s="2" t="s">
        <v>36941</v>
      </c>
      <c r="C23765" s="1" t="s">
        <v>7338</v>
      </c>
      <c r="D23765" s="1" t="s">
        <v>7339</v>
      </c>
    </row>
    <row r="23766">
      <c r="A23766" s="1" t="s">
        <v>36942</v>
      </c>
      <c r="B23766" s="2" t="s">
        <v>36943</v>
      </c>
      <c r="C23766" s="1" t="s">
        <v>7338</v>
      </c>
      <c r="D23766" s="1" t="s">
        <v>7339</v>
      </c>
    </row>
    <row r="23767">
      <c r="A23767" s="1" t="s">
        <v>36944</v>
      </c>
      <c r="B23767" s="2" t="s">
        <v>36945</v>
      </c>
      <c r="C23767" s="1" t="s">
        <v>7338</v>
      </c>
      <c r="D23767" s="1" t="s">
        <v>7339</v>
      </c>
    </row>
    <row r="23768">
      <c r="A23768" s="1" t="s">
        <v>36946</v>
      </c>
      <c r="B23768" s="2" t="s">
        <v>36947</v>
      </c>
      <c r="C23768" s="1" t="s">
        <v>7338</v>
      </c>
      <c r="D23768" s="1" t="s">
        <v>7339</v>
      </c>
    </row>
    <row r="23769">
      <c r="A23769" s="1" t="s">
        <v>36948</v>
      </c>
      <c r="B23769" s="2" t="s">
        <v>36949</v>
      </c>
      <c r="C23769" s="1" t="s">
        <v>7338</v>
      </c>
      <c r="D23769" s="1" t="s">
        <v>7339</v>
      </c>
    </row>
    <row r="23770">
      <c r="A23770" s="1" t="s">
        <v>36950</v>
      </c>
      <c r="B23770" s="2" t="s">
        <v>36951</v>
      </c>
      <c r="C23770" s="1" t="s">
        <v>7338</v>
      </c>
      <c r="D23770" s="1" t="s">
        <v>7339</v>
      </c>
    </row>
    <row r="23771">
      <c r="A23771" s="1" t="s">
        <v>36952</v>
      </c>
      <c r="B23771" s="2" t="s">
        <v>36953</v>
      </c>
      <c r="C23771" s="1" t="s">
        <v>7338</v>
      </c>
      <c r="D23771" s="1" t="s">
        <v>7339</v>
      </c>
    </row>
    <row r="23772">
      <c r="A23772" s="1" t="s">
        <v>36954</v>
      </c>
      <c r="B23772" s="2" t="s">
        <v>36955</v>
      </c>
      <c r="C23772" s="1" t="s">
        <v>7338</v>
      </c>
      <c r="D23772" s="1" t="s">
        <v>7339</v>
      </c>
    </row>
    <row r="23773">
      <c r="A23773" s="1" t="s">
        <v>36956</v>
      </c>
      <c r="B23773" s="2" t="s">
        <v>36957</v>
      </c>
      <c r="C23773" s="1" t="s">
        <v>7338</v>
      </c>
      <c r="D23773" s="1" t="s">
        <v>7339</v>
      </c>
    </row>
    <row r="23774">
      <c r="A23774" s="1" t="s">
        <v>36958</v>
      </c>
      <c r="B23774" s="2" t="s">
        <v>36959</v>
      </c>
      <c r="C23774" s="1" t="s">
        <v>7338</v>
      </c>
      <c r="D23774" s="1" t="s">
        <v>7339</v>
      </c>
    </row>
    <row r="23775">
      <c r="A23775" s="1" t="s">
        <v>36960</v>
      </c>
      <c r="B23775" s="2" t="s">
        <v>36961</v>
      </c>
      <c r="C23775" s="1" t="s">
        <v>7338</v>
      </c>
      <c r="D23775" s="1" t="s">
        <v>7339</v>
      </c>
    </row>
    <row r="23776">
      <c r="A23776" s="1" t="s">
        <v>36962</v>
      </c>
      <c r="B23776" s="2" t="s">
        <v>36963</v>
      </c>
      <c r="C23776" s="1" t="s">
        <v>7338</v>
      </c>
      <c r="D23776" s="1" t="s">
        <v>7339</v>
      </c>
    </row>
    <row r="23777">
      <c r="A23777" s="1" t="s">
        <v>36964</v>
      </c>
      <c r="B23777" s="2" t="s">
        <v>36965</v>
      </c>
      <c r="C23777" s="1" t="s">
        <v>7338</v>
      </c>
      <c r="D23777" s="1" t="s">
        <v>7339</v>
      </c>
    </row>
    <row r="23778">
      <c r="A23778" s="1" t="s">
        <v>36966</v>
      </c>
      <c r="B23778" s="2" t="s">
        <v>36967</v>
      </c>
      <c r="C23778" s="1" t="s">
        <v>7338</v>
      </c>
      <c r="D23778" s="1" t="s">
        <v>7339</v>
      </c>
    </row>
    <row r="23779">
      <c r="A23779" s="1" t="s">
        <v>36968</v>
      </c>
      <c r="B23779" s="2" t="s">
        <v>36969</v>
      </c>
      <c r="C23779" s="1" t="s">
        <v>7338</v>
      </c>
      <c r="D23779" s="1" t="s">
        <v>7339</v>
      </c>
    </row>
    <row r="23780">
      <c r="A23780" s="1" t="s">
        <v>36970</v>
      </c>
      <c r="B23780" s="2" t="s">
        <v>36971</v>
      </c>
      <c r="C23780" s="1" t="s">
        <v>7338</v>
      </c>
      <c r="D23780" s="1" t="s">
        <v>7339</v>
      </c>
    </row>
    <row r="23781">
      <c r="A23781" s="1" t="s">
        <v>36972</v>
      </c>
      <c r="B23781" s="2" t="s">
        <v>36973</v>
      </c>
      <c r="C23781" s="1" t="s">
        <v>7338</v>
      </c>
      <c r="D23781" s="1" t="s">
        <v>7339</v>
      </c>
    </row>
    <row r="23782">
      <c r="A23782" s="1" t="s">
        <v>36974</v>
      </c>
      <c r="B23782" s="2" t="s">
        <v>36975</v>
      </c>
      <c r="C23782" s="1" t="s">
        <v>7338</v>
      </c>
      <c r="D23782" s="1" t="s">
        <v>7339</v>
      </c>
    </row>
    <row r="23783">
      <c r="A23783" s="1" t="s">
        <v>36976</v>
      </c>
      <c r="B23783" s="2" t="s">
        <v>36977</v>
      </c>
      <c r="C23783" s="1" t="s">
        <v>7338</v>
      </c>
      <c r="D23783" s="1" t="s">
        <v>7339</v>
      </c>
    </row>
    <row r="23784">
      <c r="A23784" s="1" t="s">
        <v>36978</v>
      </c>
      <c r="B23784" s="2" t="s">
        <v>36979</v>
      </c>
      <c r="C23784" s="1" t="s">
        <v>7338</v>
      </c>
      <c r="D23784" s="1" t="s">
        <v>7339</v>
      </c>
    </row>
    <row r="23785">
      <c r="A23785" s="1" t="s">
        <v>36980</v>
      </c>
      <c r="B23785" s="2" t="s">
        <v>36981</v>
      </c>
      <c r="C23785" s="1" t="s">
        <v>7338</v>
      </c>
      <c r="D23785" s="1" t="s">
        <v>7339</v>
      </c>
    </row>
    <row r="23786">
      <c r="A23786" s="1" t="s">
        <v>36982</v>
      </c>
      <c r="B23786" s="2" t="s">
        <v>36983</v>
      </c>
      <c r="C23786" s="1" t="s">
        <v>7338</v>
      </c>
      <c r="D23786" s="1" t="s">
        <v>7339</v>
      </c>
    </row>
    <row r="23787">
      <c r="A23787" s="1" t="s">
        <v>36984</v>
      </c>
      <c r="B23787" s="2" t="s">
        <v>36985</v>
      </c>
      <c r="C23787" s="1" t="s">
        <v>7338</v>
      </c>
      <c r="D23787" s="1" t="s">
        <v>7339</v>
      </c>
    </row>
    <row r="23788">
      <c r="A23788" s="1" t="s">
        <v>36986</v>
      </c>
      <c r="B23788" s="2" t="s">
        <v>36987</v>
      </c>
      <c r="C23788" s="1" t="s">
        <v>7338</v>
      </c>
      <c r="D23788" s="1" t="s">
        <v>7339</v>
      </c>
    </row>
    <row r="23789">
      <c r="A23789" s="1" t="s">
        <v>36988</v>
      </c>
      <c r="B23789" s="2" t="s">
        <v>36989</v>
      </c>
      <c r="C23789" s="1" t="s">
        <v>7338</v>
      </c>
      <c r="D23789" s="1" t="s">
        <v>7339</v>
      </c>
    </row>
    <row r="23790">
      <c r="A23790" s="1" t="s">
        <v>36990</v>
      </c>
      <c r="B23790" s="2" t="s">
        <v>36991</v>
      </c>
      <c r="C23790" s="1" t="s">
        <v>7338</v>
      </c>
      <c r="D23790" s="1" t="s">
        <v>7339</v>
      </c>
    </row>
    <row r="23791">
      <c r="A23791" s="1" t="s">
        <v>36992</v>
      </c>
      <c r="B23791" s="2" t="s">
        <v>36993</v>
      </c>
      <c r="C23791" s="1" t="s">
        <v>7338</v>
      </c>
      <c r="D23791" s="1" t="s">
        <v>7339</v>
      </c>
    </row>
    <row r="23792">
      <c r="A23792" s="1" t="s">
        <v>36994</v>
      </c>
      <c r="B23792" s="2" t="s">
        <v>36995</v>
      </c>
      <c r="C23792" s="1" t="s">
        <v>7338</v>
      </c>
      <c r="D23792" s="1" t="s">
        <v>7339</v>
      </c>
    </row>
    <row r="23793">
      <c r="A23793" s="1" t="s">
        <v>36996</v>
      </c>
      <c r="B23793" s="2" t="s">
        <v>36997</v>
      </c>
      <c r="C23793" s="1" t="s">
        <v>7338</v>
      </c>
      <c r="D23793" s="1" t="s">
        <v>7339</v>
      </c>
    </row>
    <row r="23794">
      <c r="A23794" s="1" t="s">
        <v>36998</v>
      </c>
      <c r="B23794" s="2" t="s">
        <v>36999</v>
      </c>
      <c r="C23794" s="1" t="s">
        <v>7338</v>
      </c>
      <c r="D23794" s="1" t="s">
        <v>7339</v>
      </c>
    </row>
    <row r="23795">
      <c r="A23795" s="1" t="s">
        <v>37000</v>
      </c>
      <c r="B23795" s="2" t="s">
        <v>37001</v>
      </c>
      <c r="C23795" s="1" t="s">
        <v>7338</v>
      </c>
      <c r="D23795" s="1" t="s">
        <v>7339</v>
      </c>
    </row>
    <row r="23796">
      <c r="A23796" s="1" t="s">
        <v>37002</v>
      </c>
      <c r="B23796" s="2" t="s">
        <v>37003</v>
      </c>
      <c r="C23796" s="1" t="s">
        <v>7338</v>
      </c>
      <c r="D23796" s="1" t="s">
        <v>7339</v>
      </c>
    </row>
    <row r="23797">
      <c r="A23797" s="1" t="s">
        <v>37004</v>
      </c>
      <c r="B23797" s="2" t="s">
        <v>37005</v>
      </c>
      <c r="C23797" s="1" t="s">
        <v>7338</v>
      </c>
      <c r="D23797" s="1" t="s">
        <v>7339</v>
      </c>
    </row>
    <row r="23798">
      <c r="A23798" s="1" t="s">
        <v>37006</v>
      </c>
      <c r="B23798" s="2" t="s">
        <v>37007</v>
      </c>
      <c r="C23798" s="1" t="s">
        <v>7338</v>
      </c>
      <c r="D23798" s="1" t="s">
        <v>7339</v>
      </c>
    </row>
    <row r="23799">
      <c r="A23799" s="1" t="s">
        <v>37008</v>
      </c>
      <c r="B23799" s="2" t="s">
        <v>37009</v>
      </c>
      <c r="C23799" s="1" t="s">
        <v>7338</v>
      </c>
      <c r="D23799" s="1" t="s">
        <v>7339</v>
      </c>
    </row>
    <row r="23800">
      <c r="A23800" s="1" t="s">
        <v>37010</v>
      </c>
      <c r="B23800" s="2" t="s">
        <v>37011</v>
      </c>
      <c r="C23800" s="1" t="s">
        <v>7338</v>
      </c>
      <c r="D23800" s="1" t="s">
        <v>7339</v>
      </c>
    </row>
    <row r="23801">
      <c r="A23801" s="1" t="s">
        <v>37012</v>
      </c>
      <c r="B23801" s="2" t="s">
        <v>37013</v>
      </c>
      <c r="C23801" s="1" t="s">
        <v>7338</v>
      </c>
      <c r="D23801" s="1" t="s">
        <v>7339</v>
      </c>
    </row>
    <row r="23802">
      <c r="A23802" s="1" t="s">
        <v>37014</v>
      </c>
      <c r="B23802" s="2" t="s">
        <v>37015</v>
      </c>
      <c r="C23802" s="1" t="s">
        <v>7338</v>
      </c>
      <c r="D23802" s="1" t="s">
        <v>7339</v>
      </c>
    </row>
    <row r="23803">
      <c r="A23803" s="1" t="s">
        <v>37016</v>
      </c>
      <c r="B23803" s="2" t="s">
        <v>37017</v>
      </c>
      <c r="C23803" s="1" t="s">
        <v>7338</v>
      </c>
      <c r="D23803" s="1" t="s">
        <v>7339</v>
      </c>
    </row>
    <row r="23804">
      <c r="A23804" s="1" t="s">
        <v>37018</v>
      </c>
      <c r="B23804" s="2" t="s">
        <v>37019</v>
      </c>
      <c r="C23804" s="1" t="s">
        <v>7338</v>
      </c>
      <c r="D23804" s="1" t="s">
        <v>7339</v>
      </c>
    </row>
    <row r="23805">
      <c r="A23805" s="1" t="s">
        <v>37020</v>
      </c>
      <c r="B23805" s="2" t="s">
        <v>37021</v>
      </c>
      <c r="C23805" s="1" t="s">
        <v>7338</v>
      </c>
      <c r="D23805" s="1" t="s">
        <v>7339</v>
      </c>
    </row>
    <row r="23806">
      <c r="A23806" s="1" t="s">
        <v>37022</v>
      </c>
      <c r="B23806" s="2" t="s">
        <v>37023</v>
      </c>
      <c r="C23806" s="1" t="s">
        <v>7338</v>
      </c>
      <c r="D23806" s="1" t="s">
        <v>7339</v>
      </c>
    </row>
    <row r="23807">
      <c r="A23807" s="1" t="s">
        <v>37024</v>
      </c>
      <c r="B23807" s="2" t="s">
        <v>37025</v>
      </c>
      <c r="C23807" s="1" t="s">
        <v>7338</v>
      </c>
      <c r="D23807" s="1" t="s">
        <v>7339</v>
      </c>
    </row>
    <row r="23808">
      <c r="A23808" s="1" t="s">
        <v>37026</v>
      </c>
      <c r="B23808" s="2" t="s">
        <v>37027</v>
      </c>
      <c r="C23808" s="1" t="s">
        <v>7338</v>
      </c>
      <c r="D23808" s="1" t="s">
        <v>7339</v>
      </c>
    </row>
    <row r="23809">
      <c r="A23809" s="1" t="s">
        <v>37028</v>
      </c>
      <c r="B23809" s="2" t="s">
        <v>37029</v>
      </c>
      <c r="C23809" s="1" t="s">
        <v>7338</v>
      </c>
      <c r="D23809" s="1" t="s">
        <v>7339</v>
      </c>
    </row>
    <row r="23810">
      <c r="A23810" s="1" t="s">
        <v>37030</v>
      </c>
      <c r="B23810" s="2" t="s">
        <v>37031</v>
      </c>
      <c r="C23810" s="1" t="s">
        <v>7338</v>
      </c>
      <c r="D23810" s="1" t="s">
        <v>7339</v>
      </c>
    </row>
    <row r="23811">
      <c r="A23811" s="1" t="s">
        <v>37032</v>
      </c>
      <c r="B23811" s="2" t="s">
        <v>37033</v>
      </c>
      <c r="C23811" s="1" t="s">
        <v>7338</v>
      </c>
      <c r="D23811" s="1" t="s">
        <v>7339</v>
      </c>
    </row>
    <row r="23812">
      <c r="A23812" s="1" t="s">
        <v>37034</v>
      </c>
      <c r="B23812" s="2" t="s">
        <v>37035</v>
      </c>
      <c r="C23812" s="1" t="s">
        <v>7338</v>
      </c>
      <c r="D23812" s="1" t="s">
        <v>7339</v>
      </c>
    </row>
    <row r="23813">
      <c r="A23813" s="1" t="s">
        <v>37036</v>
      </c>
      <c r="B23813" s="2" t="s">
        <v>37037</v>
      </c>
      <c r="C23813" s="1" t="s">
        <v>7338</v>
      </c>
      <c r="D23813" s="1" t="s">
        <v>7339</v>
      </c>
    </row>
    <row r="23814">
      <c r="A23814" s="1" t="s">
        <v>37038</v>
      </c>
      <c r="B23814" s="2" t="s">
        <v>37039</v>
      </c>
      <c r="C23814" s="1" t="s">
        <v>7338</v>
      </c>
      <c r="D23814" s="1" t="s">
        <v>7339</v>
      </c>
    </row>
    <row r="23815">
      <c r="A23815" s="1" t="s">
        <v>37040</v>
      </c>
      <c r="B23815" s="2" t="s">
        <v>37041</v>
      </c>
      <c r="C23815" s="1" t="s">
        <v>7338</v>
      </c>
      <c r="D23815" s="1" t="s">
        <v>7339</v>
      </c>
    </row>
    <row r="23816">
      <c r="A23816" s="1" t="s">
        <v>37042</v>
      </c>
      <c r="B23816" s="2" t="s">
        <v>37043</v>
      </c>
      <c r="C23816" s="1" t="s">
        <v>7338</v>
      </c>
      <c r="D23816" s="1" t="s">
        <v>7339</v>
      </c>
    </row>
    <row r="23817">
      <c r="A23817" s="1" t="s">
        <v>37044</v>
      </c>
      <c r="B23817" s="2" t="s">
        <v>37045</v>
      </c>
      <c r="C23817" s="1" t="s">
        <v>7338</v>
      </c>
      <c r="D23817" s="1" t="s">
        <v>7339</v>
      </c>
    </row>
    <row r="23818">
      <c r="A23818" s="1" t="s">
        <v>37046</v>
      </c>
      <c r="B23818" s="2" t="s">
        <v>37047</v>
      </c>
      <c r="C23818" s="1" t="s">
        <v>7338</v>
      </c>
      <c r="D23818" s="1" t="s">
        <v>7339</v>
      </c>
    </row>
    <row r="23819">
      <c r="A23819" s="1" t="s">
        <v>37048</v>
      </c>
      <c r="B23819" s="2" t="s">
        <v>37049</v>
      </c>
      <c r="C23819" s="1" t="s">
        <v>7338</v>
      </c>
      <c r="D23819" s="1" t="s">
        <v>7339</v>
      </c>
    </row>
    <row r="23820">
      <c r="A23820" s="1" t="s">
        <v>37050</v>
      </c>
      <c r="B23820" s="2" t="s">
        <v>37051</v>
      </c>
      <c r="C23820" s="1" t="s">
        <v>7338</v>
      </c>
      <c r="D23820" s="1" t="s">
        <v>7339</v>
      </c>
    </row>
    <row r="23821">
      <c r="A23821" s="1" t="s">
        <v>37052</v>
      </c>
      <c r="B23821" s="2" t="s">
        <v>37053</v>
      </c>
      <c r="C23821" s="1" t="s">
        <v>7338</v>
      </c>
      <c r="D23821" s="1" t="s">
        <v>7339</v>
      </c>
    </row>
    <row r="23822">
      <c r="A23822" s="1" t="s">
        <v>37054</v>
      </c>
      <c r="B23822" s="2" t="s">
        <v>37055</v>
      </c>
      <c r="C23822" s="1" t="s">
        <v>7338</v>
      </c>
      <c r="D23822" s="1" t="s">
        <v>7339</v>
      </c>
    </row>
    <row r="23823">
      <c r="A23823" s="1" t="s">
        <v>37056</v>
      </c>
      <c r="B23823" s="2" t="s">
        <v>37057</v>
      </c>
      <c r="C23823" s="1" t="s">
        <v>7338</v>
      </c>
      <c r="D23823" s="1" t="s">
        <v>7339</v>
      </c>
    </row>
    <row r="23824">
      <c r="A23824" s="1" t="s">
        <v>37058</v>
      </c>
      <c r="B23824" s="2" t="s">
        <v>37059</v>
      </c>
      <c r="C23824" s="1" t="s">
        <v>7338</v>
      </c>
      <c r="D23824" s="1" t="s">
        <v>7339</v>
      </c>
    </row>
    <row r="23825">
      <c r="A23825" s="1" t="s">
        <v>37060</v>
      </c>
      <c r="B23825" s="2" t="s">
        <v>37061</v>
      </c>
      <c r="C23825" s="1" t="s">
        <v>7338</v>
      </c>
      <c r="D23825" s="1" t="s">
        <v>7339</v>
      </c>
    </row>
    <row r="23826">
      <c r="A23826" s="1" t="s">
        <v>37062</v>
      </c>
      <c r="B23826" s="2" t="s">
        <v>37063</v>
      </c>
      <c r="C23826" s="1" t="s">
        <v>7338</v>
      </c>
      <c r="D23826" s="1" t="s">
        <v>7339</v>
      </c>
    </row>
    <row r="23827">
      <c r="A23827" s="1" t="s">
        <v>37064</v>
      </c>
      <c r="B23827" s="2" t="s">
        <v>37065</v>
      </c>
      <c r="C23827" s="1" t="s">
        <v>7338</v>
      </c>
      <c r="D23827" s="1" t="s">
        <v>7339</v>
      </c>
    </row>
    <row r="23828">
      <c r="A23828" s="1" t="s">
        <v>37066</v>
      </c>
      <c r="B23828" s="2" t="s">
        <v>37067</v>
      </c>
      <c r="C23828" s="1" t="s">
        <v>7338</v>
      </c>
      <c r="D23828" s="1" t="s">
        <v>7339</v>
      </c>
    </row>
    <row r="23829">
      <c r="A23829" s="1" t="s">
        <v>37068</v>
      </c>
      <c r="B23829" s="2" t="s">
        <v>37069</v>
      </c>
      <c r="C23829" s="1" t="s">
        <v>7338</v>
      </c>
      <c r="D23829" s="1" t="s">
        <v>7339</v>
      </c>
    </row>
    <row r="23830">
      <c r="A23830" s="1" t="s">
        <v>37070</v>
      </c>
      <c r="B23830" s="2" t="s">
        <v>37071</v>
      </c>
      <c r="C23830" s="1" t="s">
        <v>7338</v>
      </c>
      <c r="D23830" s="1" t="s">
        <v>7339</v>
      </c>
    </row>
    <row r="23831">
      <c r="A23831" s="1" t="s">
        <v>37072</v>
      </c>
      <c r="B23831" s="2" t="s">
        <v>37073</v>
      </c>
      <c r="C23831" s="1" t="s">
        <v>7338</v>
      </c>
      <c r="D23831" s="1" t="s">
        <v>7339</v>
      </c>
    </row>
    <row r="23832">
      <c r="A23832" s="1" t="s">
        <v>37074</v>
      </c>
      <c r="B23832" s="2" t="s">
        <v>37075</v>
      </c>
      <c r="C23832" s="1" t="s">
        <v>7338</v>
      </c>
      <c r="D23832" s="1" t="s">
        <v>7339</v>
      </c>
    </row>
    <row r="23833">
      <c r="A23833" s="1" t="s">
        <v>7341</v>
      </c>
      <c r="B23833" s="2" t="s">
        <v>176</v>
      </c>
      <c r="C23833" s="1" t="s">
        <v>7344</v>
      </c>
      <c r="D23833" s="1" t="s">
        <v>7345</v>
      </c>
    </row>
    <row r="23834">
      <c r="A23834" s="1" t="s">
        <v>37076</v>
      </c>
      <c r="B23834" s="2" t="s">
        <v>37077</v>
      </c>
      <c r="C23834" s="1" t="s">
        <v>7344</v>
      </c>
      <c r="D23834" s="1" t="s">
        <v>7345</v>
      </c>
    </row>
    <row r="23835">
      <c r="A23835" s="1" t="s">
        <v>37078</v>
      </c>
      <c r="B23835" s="2" t="s">
        <v>37079</v>
      </c>
      <c r="C23835" s="1" t="s">
        <v>7344</v>
      </c>
      <c r="D23835" s="1" t="s">
        <v>7345</v>
      </c>
    </row>
    <row r="23836">
      <c r="A23836" s="1" t="s">
        <v>37080</v>
      </c>
      <c r="B23836" s="2" t="s">
        <v>37081</v>
      </c>
      <c r="C23836" s="1" t="s">
        <v>7344</v>
      </c>
      <c r="D23836" s="1" t="s">
        <v>7345</v>
      </c>
    </row>
    <row r="23837">
      <c r="A23837" s="1" t="s">
        <v>37082</v>
      </c>
      <c r="B23837" s="2" t="s">
        <v>37083</v>
      </c>
      <c r="C23837" s="1" t="s">
        <v>7344</v>
      </c>
      <c r="D23837" s="1" t="s">
        <v>7345</v>
      </c>
    </row>
    <row r="23838">
      <c r="A23838" s="1" t="s">
        <v>37084</v>
      </c>
      <c r="B23838" s="2" t="s">
        <v>37085</v>
      </c>
      <c r="C23838" s="1" t="s">
        <v>7344</v>
      </c>
      <c r="D23838" s="1" t="s">
        <v>7345</v>
      </c>
    </row>
    <row r="23839">
      <c r="A23839" s="1" t="s">
        <v>37086</v>
      </c>
      <c r="B23839" s="2" t="s">
        <v>37087</v>
      </c>
      <c r="C23839" s="1" t="s">
        <v>7344</v>
      </c>
      <c r="D23839" s="1" t="s">
        <v>7345</v>
      </c>
    </row>
    <row r="23840">
      <c r="A23840" s="1" t="s">
        <v>37088</v>
      </c>
      <c r="B23840" s="2" t="s">
        <v>37089</v>
      </c>
      <c r="C23840" s="1" t="s">
        <v>7344</v>
      </c>
      <c r="D23840" s="1" t="s">
        <v>7345</v>
      </c>
    </row>
    <row r="23841">
      <c r="A23841" s="1" t="s">
        <v>7352</v>
      </c>
      <c r="B23841" s="2" t="s">
        <v>7</v>
      </c>
      <c r="C23841" s="1" t="s">
        <v>7355</v>
      </c>
      <c r="D23841" s="1" t="s">
        <v>7356</v>
      </c>
    </row>
    <row r="23842">
      <c r="A23842" s="1" t="s">
        <v>37090</v>
      </c>
      <c r="B23842" s="2" t="s">
        <v>36715</v>
      </c>
      <c r="C23842" s="1" t="s">
        <v>7355</v>
      </c>
      <c r="D23842" s="1" t="s">
        <v>7356</v>
      </c>
    </row>
    <row r="23843">
      <c r="A23843" s="1" t="s">
        <v>37091</v>
      </c>
      <c r="B23843" s="2" t="s">
        <v>36781</v>
      </c>
      <c r="C23843" s="1" t="s">
        <v>7355</v>
      </c>
      <c r="D23843" s="1" t="s">
        <v>7356</v>
      </c>
    </row>
    <row r="23844">
      <c r="A23844" s="1" t="s">
        <v>37092</v>
      </c>
      <c r="B23844" s="2" t="s">
        <v>37093</v>
      </c>
      <c r="C23844" s="1" t="s">
        <v>7355</v>
      </c>
      <c r="D23844" s="1" t="s">
        <v>7356</v>
      </c>
    </row>
    <row r="23845">
      <c r="A23845" s="1" t="s">
        <v>37094</v>
      </c>
      <c r="B23845" s="2" t="s">
        <v>37095</v>
      </c>
      <c r="C23845" s="1" t="s">
        <v>7355</v>
      </c>
      <c r="D23845" s="1" t="s">
        <v>7356</v>
      </c>
    </row>
    <row r="23846">
      <c r="A23846" s="1" t="s">
        <v>37096</v>
      </c>
      <c r="B23846" s="2" t="s">
        <v>36961</v>
      </c>
      <c r="C23846" s="1" t="s">
        <v>7355</v>
      </c>
      <c r="D23846" s="1" t="s">
        <v>7356</v>
      </c>
    </row>
    <row r="23847">
      <c r="A23847" s="1" t="s">
        <v>37097</v>
      </c>
      <c r="B23847" s="2" t="s">
        <v>37098</v>
      </c>
      <c r="C23847" s="1" t="s">
        <v>7355</v>
      </c>
      <c r="D23847" s="1" t="s">
        <v>7356</v>
      </c>
    </row>
    <row r="23848">
      <c r="A23848" s="1" t="s">
        <v>37099</v>
      </c>
      <c r="B23848" s="2" t="s">
        <v>37075</v>
      </c>
      <c r="C23848" s="1" t="s">
        <v>7355</v>
      </c>
      <c r="D23848" s="1" t="s">
        <v>7356</v>
      </c>
    </row>
    <row r="23849">
      <c r="A23849" s="1" t="s">
        <v>7359</v>
      </c>
      <c r="B23849" s="2" t="s">
        <v>7</v>
      </c>
      <c r="C23849" s="1" t="s">
        <v>7362</v>
      </c>
      <c r="D23849" s="1" t="s">
        <v>7363</v>
      </c>
    </row>
    <row r="23850">
      <c r="A23850" s="1" t="s">
        <v>37100</v>
      </c>
      <c r="B23850" s="2" t="s">
        <v>36715</v>
      </c>
      <c r="C23850" s="1" t="s">
        <v>7362</v>
      </c>
      <c r="D23850" s="1" t="s">
        <v>7363</v>
      </c>
    </row>
    <row r="23851">
      <c r="A23851" s="1" t="s">
        <v>37101</v>
      </c>
      <c r="B23851" s="2" t="s">
        <v>36781</v>
      </c>
      <c r="C23851" s="1" t="s">
        <v>7362</v>
      </c>
      <c r="D23851" s="1" t="s">
        <v>7363</v>
      </c>
    </row>
    <row r="23852">
      <c r="A23852" s="1" t="s">
        <v>37102</v>
      </c>
      <c r="B23852" s="2" t="s">
        <v>37093</v>
      </c>
      <c r="C23852" s="1" t="s">
        <v>7362</v>
      </c>
      <c r="D23852" s="1" t="s">
        <v>7363</v>
      </c>
    </row>
    <row r="23853">
      <c r="A23853" s="1" t="s">
        <v>37103</v>
      </c>
      <c r="B23853" s="2" t="s">
        <v>37095</v>
      </c>
      <c r="C23853" s="1" t="s">
        <v>7362</v>
      </c>
      <c r="D23853" s="1" t="s">
        <v>7363</v>
      </c>
    </row>
    <row r="23854">
      <c r="A23854" s="1" t="s">
        <v>37104</v>
      </c>
      <c r="B23854" s="2" t="s">
        <v>36961</v>
      </c>
      <c r="C23854" s="1" t="s">
        <v>7362</v>
      </c>
      <c r="D23854" s="1" t="s">
        <v>7363</v>
      </c>
    </row>
    <row r="23855">
      <c r="A23855" s="1" t="s">
        <v>37105</v>
      </c>
      <c r="B23855" s="2" t="s">
        <v>37098</v>
      </c>
      <c r="C23855" s="1" t="s">
        <v>7362</v>
      </c>
      <c r="D23855" s="1" t="s">
        <v>7363</v>
      </c>
    </row>
    <row r="23856">
      <c r="A23856" s="1" t="s">
        <v>37106</v>
      </c>
      <c r="B23856" s="2" t="s">
        <v>37075</v>
      </c>
      <c r="C23856" s="1" t="s">
        <v>7362</v>
      </c>
      <c r="D23856" s="1" t="s">
        <v>7363</v>
      </c>
    </row>
    <row r="23857">
      <c r="A23857" s="1" t="s">
        <v>7372</v>
      </c>
      <c r="B23857" s="2" t="s">
        <v>7</v>
      </c>
      <c r="C23857" s="1" t="s">
        <v>7374</v>
      </c>
      <c r="D23857" s="1" t="s">
        <v>7375</v>
      </c>
    </row>
    <row r="23858">
      <c r="A23858" s="1" t="s">
        <v>37107</v>
      </c>
      <c r="B23858" s="2" t="s">
        <v>36715</v>
      </c>
      <c r="C23858" s="1" t="s">
        <v>7374</v>
      </c>
      <c r="D23858" s="1" t="s">
        <v>7375</v>
      </c>
    </row>
    <row r="23859">
      <c r="A23859" s="1" t="s">
        <v>37108</v>
      </c>
      <c r="B23859" s="2" t="s">
        <v>36781</v>
      </c>
      <c r="C23859" s="1" t="s">
        <v>7374</v>
      </c>
      <c r="D23859" s="1" t="s">
        <v>7375</v>
      </c>
    </row>
    <row r="23860">
      <c r="A23860" s="1" t="s">
        <v>37109</v>
      </c>
      <c r="B23860" s="2" t="s">
        <v>37093</v>
      </c>
      <c r="C23860" s="1" t="s">
        <v>7374</v>
      </c>
      <c r="D23860" s="1" t="s">
        <v>7375</v>
      </c>
    </row>
    <row r="23861">
      <c r="A23861" s="1" t="s">
        <v>37110</v>
      </c>
      <c r="B23861" s="2" t="s">
        <v>37095</v>
      </c>
      <c r="C23861" s="1" t="s">
        <v>7374</v>
      </c>
      <c r="D23861" s="1" t="s">
        <v>7375</v>
      </c>
    </row>
    <row r="23862">
      <c r="A23862" s="1" t="s">
        <v>37111</v>
      </c>
      <c r="B23862" s="2" t="s">
        <v>36961</v>
      </c>
      <c r="C23862" s="1" t="s">
        <v>7374</v>
      </c>
      <c r="D23862" s="1" t="s">
        <v>7375</v>
      </c>
    </row>
    <row r="23863">
      <c r="A23863" s="1" t="s">
        <v>37112</v>
      </c>
      <c r="B23863" s="2" t="s">
        <v>37098</v>
      </c>
      <c r="C23863" s="1" t="s">
        <v>7374</v>
      </c>
      <c r="D23863" s="1" t="s">
        <v>7375</v>
      </c>
    </row>
    <row r="23864">
      <c r="A23864" s="1" t="s">
        <v>37113</v>
      </c>
      <c r="B23864" s="2" t="s">
        <v>37075</v>
      </c>
      <c r="C23864" s="1" t="s">
        <v>7374</v>
      </c>
      <c r="D23864" s="1" t="s">
        <v>7375</v>
      </c>
    </row>
    <row r="23865">
      <c r="A23865" s="1" t="s">
        <v>7378</v>
      </c>
      <c r="B23865" s="2" t="s">
        <v>7</v>
      </c>
      <c r="C23865" s="1" t="s">
        <v>7379</v>
      </c>
      <c r="D23865" s="1" t="s">
        <v>7380</v>
      </c>
    </row>
    <row r="23866">
      <c r="A23866" s="1" t="s">
        <v>37114</v>
      </c>
      <c r="B23866" s="2" t="s">
        <v>36715</v>
      </c>
      <c r="C23866" s="1" t="s">
        <v>7379</v>
      </c>
      <c r="D23866" s="1" t="s">
        <v>7380</v>
      </c>
    </row>
    <row r="23867">
      <c r="A23867" s="1" t="s">
        <v>37115</v>
      </c>
      <c r="B23867" s="2" t="s">
        <v>36781</v>
      </c>
      <c r="C23867" s="1" t="s">
        <v>7379</v>
      </c>
      <c r="D23867" s="1" t="s">
        <v>7380</v>
      </c>
    </row>
    <row r="23868">
      <c r="A23868" s="1" t="s">
        <v>37116</v>
      </c>
      <c r="B23868" s="2" t="s">
        <v>37093</v>
      </c>
      <c r="C23868" s="1" t="s">
        <v>7379</v>
      </c>
      <c r="D23868" s="1" t="s">
        <v>7380</v>
      </c>
    </row>
    <row r="23869">
      <c r="A23869" s="1" t="s">
        <v>37117</v>
      </c>
      <c r="B23869" s="2" t="s">
        <v>37095</v>
      </c>
      <c r="C23869" s="1" t="s">
        <v>7379</v>
      </c>
      <c r="D23869" s="1" t="s">
        <v>7380</v>
      </c>
    </row>
    <row r="23870">
      <c r="A23870" s="1" t="s">
        <v>37118</v>
      </c>
      <c r="B23870" s="2" t="s">
        <v>36961</v>
      </c>
      <c r="C23870" s="1" t="s">
        <v>7379</v>
      </c>
      <c r="D23870" s="1" t="s">
        <v>7380</v>
      </c>
    </row>
    <row r="23871">
      <c r="A23871" s="1" t="s">
        <v>37119</v>
      </c>
      <c r="B23871" s="2" t="s">
        <v>37098</v>
      </c>
      <c r="C23871" s="1" t="s">
        <v>7379</v>
      </c>
      <c r="D23871" s="1" t="s">
        <v>7380</v>
      </c>
    </row>
    <row r="23872">
      <c r="A23872" s="1" t="s">
        <v>37120</v>
      </c>
      <c r="B23872" s="2" t="s">
        <v>37075</v>
      </c>
      <c r="C23872" s="1" t="s">
        <v>7379</v>
      </c>
      <c r="D23872" s="1" t="s">
        <v>7380</v>
      </c>
    </row>
    <row r="23873">
      <c r="A23873" s="1" t="s">
        <v>7383</v>
      </c>
      <c r="B23873" s="2" t="s">
        <v>7</v>
      </c>
      <c r="C23873" s="1" t="s">
        <v>7384</v>
      </c>
      <c r="D23873" s="1" t="s">
        <v>7385</v>
      </c>
    </row>
    <row r="23874">
      <c r="A23874" s="1" t="s">
        <v>37121</v>
      </c>
      <c r="B23874" s="2" t="s">
        <v>36715</v>
      </c>
      <c r="C23874" s="1" t="s">
        <v>7384</v>
      </c>
      <c r="D23874" s="1" t="s">
        <v>7385</v>
      </c>
    </row>
    <row r="23875">
      <c r="A23875" s="1" t="s">
        <v>37122</v>
      </c>
      <c r="B23875" s="2" t="s">
        <v>36781</v>
      </c>
      <c r="C23875" s="1" t="s">
        <v>7384</v>
      </c>
      <c r="D23875" s="1" t="s">
        <v>7385</v>
      </c>
    </row>
    <row r="23876">
      <c r="A23876" s="1" t="s">
        <v>37123</v>
      </c>
      <c r="B23876" s="2" t="s">
        <v>37093</v>
      </c>
      <c r="C23876" s="1" t="s">
        <v>7384</v>
      </c>
      <c r="D23876" s="1" t="s">
        <v>7385</v>
      </c>
    </row>
    <row r="23877">
      <c r="A23877" s="1" t="s">
        <v>37124</v>
      </c>
      <c r="B23877" s="2" t="s">
        <v>37095</v>
      </c>
      <c r="C23877" s="1" t="s">
        <v>7384</v>
      </c>
      <c r="D23877" s="1" t="s">
        <v>7385</v>
      </c>
    </row>
    <row r="23878">
      <c r="A23878" s="1" t="s">
        <v>37125</v>
      </c>
      <c r="B23878" s="2" t="s">
        <v>36961</v>
      </c>
      <c r="C23878" s="1" t="s">
        <v>7384</v>
      </c>
      <c r="D23878" s="1" t="s">
        <v>7385</v>
      </c>
    </row>
    <row r="23879">
      <c r="A23879" s="1" t="s">
        <v>37126</v>
      </c>
      <c r="B23879" s="2" t="s">
        <v>37098</v>
      </c>
      <c r="C23879" s="1" t="s">
        <v>7384</v>
      </c>
      <c r="D23879" s="1" t="s">
        <v>7385</v>
      </c>
    </row>
    <row r="23880">
      <c r="A23880" s="1" t="s">
        <v>37127</v>
      </c>
      <c r="B23880" s="2" t="s">
        <v>37075</v>
      </c>
      <c r="C23880" s="1" t="s">
        <v>7384</v>
      </c>
      <c r="D23880" s="1" t="s">
        <v>7385</v>
      </c>
    </row>
    <row r="23881">
      <c r="A23881" s="1" t="s">
        <v>7388</v>
      </c>
      <c r="B23881" s="2" t="s">
        <v>7</v>
      </c>
      <c r="C23881" s="1" t="s">
        <v>7389</v>
      </c>
      <c r="D23881" s="1" t="s">
        <v>7390</v>
      </c>
    </row>
    <row r="23882">
      <c r="A23882" s="1" t="s">
        <v>37128</v>
      </c>
      <c r="B23882" s="2" t="s">
        <v>36715</v>
      </c>
      <c r="C23882" s="1" t="s">
        <v>7389</v>
      </c>
      <c r="D23882" s="1" t="s">
        <v>7390</v>
      </c>
    </row>
    <row r="23883">
      <c r="A23883" s="1" t="s">
        <v>37129</v>
      </c>
      <c r="B23883" s="2" t="s">
        <v>36781</v>
      </c>
      <c r="C23883" s="1" t="s">
        <v>7389</v>
      </c>
      <c r="D23883" s="1" t="s">
        <v>7390</v>
      </c>
    </row>
    <row r="23884">
      <c r="A23884" s="1" t="s">
        <v>37130</v>
      </c>
      <c r="B23884" s="2" t="s">
        <v>37093</v>
      </c>
      <c r="C23884" s="1" t="s">
        <v>7389</v>
      </c>
      <c r="D23884" s="1" t="s">
        <v>7390</v>
      </c>
    </row>
    <row r="23885">
      <c r="A23885" s="1" t="s">
        <v>37131</v>
      </c>
      <c r="B23885" s="2" t="s">
        <v>37095</v>
      </c>
      <c r="C23885" s="1" t="s">
        <v>7389</v>
      </c>
      <c r="D23885" s="1" t="s">
        <v>7390</v>
      </c>
    </row>
    <row r="23886">
      <c r="A23886" s="1" t="s">
        <v>37132</v>
      </c>
      <c r="B23886" s="2" t="s">
        <v>36961</v>
      </c>
      <c r="C23886" s="1" t="s">
        <v>7389</v>
      </c>
      <c r="D23886" s="1" t="s">
        <v>7390</v>
      </c>
    </row>
    <row r="23887">
      <c r="A23887" s="1" t="s">
        <v>37133</v>
      </c>
      <c r="B23887" s="2" t="s">
        <v>37098</v>
      </c>
      <c r="C23887" s="1" t="s">
        <v>7389</v>
      </c>
      <c r="D23887" s="1" t="s">
        <v>7390</v>
      </c>
    </row>
    <row r="23888">
      <c r="A23888" s="1" t="s">
        <v>37134</v>
      </c>
      <c r="B23888" s="2" t="s">
        <v>37075</v>
      </c>
      <c r="C23888" s="1" t="s">
        <v>7389</v>
      </c>
      <c r="D23888" s="1" t="s">
        <v>7390</v>
      </c>
    </row>
    <row r="23889">
      <c r="A23889" s="1" t="s">
        <v>7392</v>
      </c>
      <c r="B23889" s="2" t="s">
        <v>7</v>
      </c>
      <c r="C23889" s="1" t="s">
        <v>7393</v>
      </c>
      <c r="D23889" s="1" t="s">
        <v>7394</v>
      </c>
    </row>
    <row r="23890">
      <c r="A23890" s="1" t="s">
        <v>37135</v>
      </c>
      <c r="B23890" s="2" t="s">
        <v>36715</v>
      </c>
      <c r="C23890" s="1" t="s">
        <v>7393</v>
      </c>
      <c r="D23890" s="1" t="s">
        <v>7394</v>
      </c>
    </row>
    <row r="23891">
      <c r="A23891" s="1" t="s">
        <v>37136</v>
      </c>
      <c r="B23891" s="2" t="s">
        <v>36781</v>
      </c>
      <c r="C23891" s="1" t="s">
        <v>7393</v>
      </c>
      <c r="D23891" s="1" t="s">
        <v>7394</v>
      </c>
    </row>
    <row r="23892">
      <c r="A23892" s="1" t="s">
        <v>37137</v>
      </c>
      <c r="B23892" s="2" t="s">
        <v>37093</v>
      </c>
      <c r="C23892" s="1" t="s">
        <v>7393</v>
      </c>
      <c r="D23892" s="1" t="s">
        <v>7394</v>
      </c>
    </row>
    <row r="23893">
      <c r="A23893" s="1" t="s">
        <v>37138</v>
      </c>
      <c r="B23893" s="2" t="s">
        <v>37095</v>
      </c>
      <c r="C23893" s="1" t="s">
        <v>7393</v>
      </c>
      <c r="D23893" s="1" t="s">
        <v>7394</v>
      </c>
    </row>
    <row r="23894">
      <c r="A23894" s="1" t="s">
        <v>37139</v>
      </c>
      <c r="B23894" s="2" t="s">
        <v>36961</v>
      </c>
      <c r="C23894" s="1" t="s">
        <v>7393</v>
      </c>
      <c r="D23894" s="1" t="s">
        <v>7394</v>
      </c>
    </row>
    <row r="23895">
      <c r="A23895" s="1" t="s">
        <v>37140</v>
      </c>
      <c r="B23895" s="2" t="s">
        <v>37098</v>
      </c>
      <c r="C23895" s="1" t="s">
        <v>7393</v>
      </c>
      <c r="D23895" s="1" t="s">
        <v>7394</v>
      </c>
    </row>
    <row r="23896">
      <c r="A23896" s="1" t="s">
        <v>37141</v>
      </c>
      <c r="B23896" s="2" t="s">
        <v>37075</v>
      </c>
      <c r="C23896" s="1" t="s">
        <v>7393</v>
      </c>
      <c r="D23896" s="1" t="s">
        <v>7394</v>
      </c>
    </row>
    <row r="23897">
      <c r="A23897" s="1" t="s">
        <v>7396</v>
      </c>
      <c r="B23897" s="2" t="s">
        <v>7</v>
      </c>
      <c r="C23897" s="1" t="s">
        <v>7398</v>
      </c>
      <c r="D23897" s="1" t="s">
        <v>7399</v>
      </c>
    </row>
    <row r="23898">
      <c r="A23898" s="1" t="s">
        <v>37142</v>
      </c>
      <c r="B23898" s="2" t="s">
        <v>36715</v>
      </c>
      <c r="C23898" s="1" t="s">
        <v>7398</v>
      </c>
      <c r="D23898" s="1" t="s">
        <v>7399</v>
      </c>
    </row>
    <row r="23899">
      <c r="A23899" s="1" t="s">
        <v>37143</v>
      </c>
      <c r="B23899" s="2" t="s">
        <v>36781</v>
      </c>
      <c r="C23899" s="1" t="s">
        <v>7398</v>
      </c>
      <c r="D23899" s="1" t="s">
        <v>7399</v>
      </c>
    </row>
    <row r="23900">
      <c r="A23900" s="1" t="s">
        <v>37144</v>
      </c>
      <c r="B23900" s="2" t="s">
        <v>37093</v>
      </c>
      <c r="C23900" s="1" t="s">
        <v>7398</v>
      </c>
      <c r="D23900" s="1" t="s">
        <v>7399</v>
      </c>
    </row>
    <row r="23901">
      <c r="A23901" s="1" t="s">
        <v>37145</v>
      </c>
      <c r="B23901" s="2" t="s">
        <v>37095</v>
      </c>
      <c r="C23901" s="1" t="s">
        <v>7398</v>
      </c>
      <c r="D23901" s="1" t="s">
        <v>7399</v>
      </c>
    </row>
    <row r="23902">
      <c r="A23902" s="1" t="s">
        <v>37146</v>
      </c>
      <c r="B23902" s="2" t="s">
        <v>36961</v>
      </c>
      <c r="C23902" s="1" t="s">
        <v>7398</v>
      </c>
      <c r="D23902" s="1" t="s">
        <v>7399</v>
      </c>
    </row>
    <row r="23903">
      <c r="A23903" s="1" t="s">
        <v>37147</v>
      </c>
      <c r="B23903" s="2" t="s">
        <v>37098</v>
      </c>
      <c r="C23903" s="1" t="s">
        <v>7398</v>
      </c>
      <c r="D23903" s="1" t="s">
        <v>7399</v>
      </c>
    </row>
    <row r="23904">
      <c r="A23904" s="1" t="s">
        <v>37148</v>
      </c>
      <c r="B23904" s="2" t="s">
        <v>37075</v>
      </c>
      <c r="C23904" s="1" t="s">
        <v>7398</v>
      </c>
      <c r="D23904" s="1" t="s">
        <v>7399</v>
      </c>
    </row>
    <row r="23905">
      <c r="A23905" s="1" t="s">
        <v>7401</v>
      </c>
      <c r="B23905" s="2" t="s">
        <v>7</v>
      </c>
      <c r="C23905" s="1" t="s">
        <v>7403</v>
      </c>
      <c r="D23905" s="1" t="s">
        <v>7404</v>
      </c>
    </row>
    <row r="23906">
      <c r="A23906" s="1" t="s">
        <v>37149</v>
      </c>
      <c r="B23906" s="2" t="s">
        <v>36715</v>
      </c>
      <c r="C23906" s="1" t="s">
        <v>7403</v>
      </c>
      <c r="D23906" s="1" t="s">
        <v>7404</v>
      </c>
    </row>
    <row r="23907">
      <c r="A23907" s="1" t="s">
        <v>37150</v>
      </c>
      <c r="B23907" s="2" t="s">
        <v>36781</v>
      </c>
      <c r="C23907" s="1" t="s">
        <v>7403</v>
      </c>
      <c r="D23907" s="1" t="s">
        <v>7404</v>
      </c>
    </row>
    <row r="23908">
      <c r="A23908" s="1" t="s">
        <v>37151</v>
      </c>
      <c r="B23908" s="2" t="s">
        <v>37093</v>
      </c>
      <c r="C23908" s="1" t="s">
        <v>7403</v>
      </c>
      <c r="D23908" s="1" t="s">
        <v>7404</v>
      </c>
    </row>
    <row r="23909">
      <c r="A23909" s="1" t="s">
        <v>37152</v>
      </c>
      <c r="B23909" s="2" t="s">
        <v>37095</v>
      </c>
      <c r="C23909" s="1" t="s">
        <v>7403</v>
      </c>
      <c r="D23909" s="1" t="s">
        <v>7404</v>
      </c>
    </row>
    <row r="23910">
      <c r="A23910" s="1" t="s">
        <v>37153</v>
      </c>
      <c r="B23910" s="2" t="s">
        <v>36961</v>
      </c>
      <c r="C23910" s="1" t="s">
        <v>7403</v>
      </c>
      <c r="D23910" s="1" t="s">
        <v>7404</v>
      </c>
    </row>
    <row r="23911">
      <c r="A23911" s="1" t="s">
        <v>37154</v>
      </c>
      <c r="B23911" s="2" t="s">
        <v>37098</v>
      </c>
      <c r="C23911" s="1" t="s">
        <v>7403</v>
      </c>
      <c r="D23911" s="1" t="s">
        <v>7404</v>
      </c>
    </row>
    <row r="23912">
      <c r="A23912" s="1" t="s">
        <v>37155</v>
      </c>
      <c r="B23912" s="2" t="s">
        <v>37075</v>
      </c>
      <c r="C23912" s="1" t="s">
        <v>7403</v>
      </c>
      <c r="D23912" s="1" t="s">
        <v>7404</v>
      </c>
    </row>
    <row r="23913">
      <c r="A23913" s="1" t="s">
        <v>7348</v>
      </c>
      <c r="B23913" s="2" t="s">
        <v>7</v>
      </c>
      <c r="C23913" s="1" t="s">
        <v>168</v>
      </c>
      <c r="D23913" s="1" t="s">
        <v>7349</v>
      </c>
    </row>
    <row r="23914">
      <c r="A23914" s="1" t="s">
        <v>37156</v>
      </c>
      <c r="B23914" s="2" t="s">
        <v>36715</v>
      </c>
      <c r="C23914" s="1" t="s">
        <v>168</v>
      </c>
      <c r="D23914" s="1" t="s">
        <v>7349</v>
      </c>
    </row>
    <row r="23915">
      <c r="A23915" s="1" t="s">
        <v>37157</v>
      </c>
      <c r="B23915" s="2" t="s">
        <v>36781</v>
      </c>
      <c r="C23915" s="1" t="s">
        <v>168</v>
      </c>
      <c r="D23915" s="1" t="s">
        <v>7349</v>
      </c>
    </row>
    <row r="23916">
      <c r="A23916" s="1" t="s">
        <v>37158</v>
      </c>
      <c r="B23916" s="2" t="s">
        <v>37093</v>
      </c>
      <c r="C23916" s="1" t="s">
        <v>168</v>
      </c>
      <c r="D23916" s="1" t="s">
        <v>7349</v>
      </c>
    </row>
    <row r="23917">
      <c r="A23917" s="1" t="s">
        <v>37159</v>
      </c>
      <c r="B23917" s="2" t="s">
        <v>37095</v>
      </c>
      <c r="C23917" s="1" t="s">
        <v>168</v>
      </c>
      <c r="D23917" s="1" t="s">
        <v>7349</v>
      </c>
    </row>
    <row r="23918">
      <c r="A23918" s="1" t="s">
        <v>37160</v>
      </c>
      <c r="B23918" s="2" t="s">
        <v>36961</v>
      </c>
      <c r="C23918" s="1" t="s">
        <v>168</v>
      </c>
      <c r="D23918" s="1" t="s">
        <v>7349</v>
      </c>
    </row>
    <row r="23919">
      <c r="A23919" s="1" t="s">
        <v>37161</v>
      </c>
      <c r="B23919" s="2" t="s">
        <v>37098</v>
      </c>
      <c r="C23919" s="1" t="s">
        <v>168</v>
      </c>
      <c r="D23919" s="1" t="s">
        <v>7349</v>
      </c>
    </row>
    <row r="23920">
      <c r="A23920" s="1" t="s">
        <v>37162</v>
      </c>
      <c r="B23920" s="2" t="s">
        <v>37075</v>
      </c>
      <c r="C23920" s="1" t="s">
        <v>168</v>
      </c>
      <c r="D23920" s="1" t="s">
        <v>7349</v>
      </c>
    </row>
    <row r="23921">
      <c r="A23921" s="1" t="s">
        <v>7406</v>
      </c>
      <c r="B23921" s="2" t="s">
        <v>7</v>
      </c>
      <c r="C23921" s="1" t="s">
        <v>7407</v>
      </c>
      <c r="D23921" s="1" t="s">
        <v>7408</v>
      </c>
    </row>
    <row r="23922">
      <c r="A23922" s="1" t="s">
        <v>37163</v>
      </c>
      <c r="B23922" s="2" t="s">
        <v>5922</v>
      </c>
      <c r="C23922" s="1" t="s">
        <v>7407</v>
      </c>
      <c r="D23922" s="1" t="s">
        <v>7408</v>
      </c>
    </row>
    <row r="23923">
      <c r="A23923" s="1" t="s">
        <v>37164</v>
      </c>
      <c r="B23923" s="2" t="s">
        <v>37165</v>
      </c>
      <c r="C23923" s="1" t="s">
        <v>7407</v>
      </c>
      <c r="D23923" s="1" t="s">
        <v>7408</v>
      </c>
    </row>
    <row r="23924">
      <c r="A23924" s="1" t="s">
        <v>37166</v>
      </c>
      <c r="B23924" s="2" t="s">
        <v>5932</v>
      </c>
      <c r="C23924" s="1" t="s">
        <v>7407</v>
      </c>
      <c r="D23924" s="1" t="s">
        <v>7408</v>
      </c>
    </row>
    <row r="23925">
      <c r="A23925" s="1" t="s">
        <v>37167</v>
      </c>
      <c r="B23925" s="2" t="s">
        <v>5935</v>
      </c>
      <c r="C23925" s="1" t="s">
        <v>7407</v>
      </c>
      <c r="D23925" s="1" t="s">
        <v>7408</v>
      </c>
    </row>
    <row r="23926">
      <c r="A23926" s="1" t="s">
        <v>37168</v>
      </c>
      <c r="B23926" s="2" t="s">
        <v>5928</v>
      </c>
      <c r="C23926" s="1" t="s">
        <v>7407</v>
      </c>
      <c r="D23926" s="1" t="s">
        <v>7408</v>
      </c>
    </row>
    <row r="23927">
      <c r="A23927" s="1" t="s">
        <v>37169</v>
      </c>
      <c r="B23927" s="2" t="s">
        <v>36715</v>
      </c>
      <c r="C23927" s="1" t="s">
        <v>7407</v>
      </c>
      <c r="D23927" s="1" t="s">
        <v>7408</v>
      </c>
    </row>
    <row r="23928">
      <c r="A23928" s="1" t="s">
        <v>37170</v>
      </c>
      <c r="B23928" s="2" t="s">
        <v>37171</v>
      </c>
      <c r="C23928" s="1" t="s">
        <v>7407</v>
      </c>
      <c r="D23928" s="1" t="s">
        <v>7408</v>
      </c>
    </row>
    <row r="23929">
      <c r="A23929" s="1" t="s">
        <v>37172</v>
      </c>
      <c r="B23929" s="2" t="s">
        <v>37173</v>
      </c>
      <c r="C23929" s="1" t="s">
        <v>7407</v>
      </c>
      <c r="D23929" s="1" t="s">
        <v>7408</v>
      </c>
    </row>
    <row r="23930">
      <c r="A23930" s="1" t="s">
        <v>37174</v>
      </c>
      <c r="B23930" s="2" t="s">
        <v>37175</v>
      </c>
      <c r="C23930" s="1" t="s">
        <v>7407</v>
      </c>
      <c r="D23930" s="1" t="s">
        <v>7408</v>
      </c>
    </row>
    <row r="23931">
      <c r="A23931" s="1" t="s">
        <v>37176</v>
      </c>
      <c r="B23931" s="2" t="s">
        <v>37177</v>
      </c>
      <c r="C23931" s="1" t="s">
        <v>7407</v>
      </c>
      <c r="D23931" s="1" t="s">
        <v>7408</v>
      </c>
    </row>
    <row r="23932">
      <c r="A23932" s="1" t="s">
        <v>37178</v>
      </c>
      <c r="B23932" s="2" t="s">
        <v>37179</v>
      </c>
      <c r="C23932" s="1" t="s">
        <v>7407</v>
      </c>
      <c r="D23932" s="1" t="s">
        <v>7408</v>
      </c>
    </row>
    <row r="23933">
      <c r="A23933" s="1" t="s">
        <v>37180</v>
      </c>
      <c r="B23933" s="2" t="s">
        <v>36781</v>
      </c>
      <c r="C23933" s="1" t="s">
        <v>7407</v>
      </c>
      <c r="D23933" s="1" t="s">
        <v>7408</v>
      </c>
    </row>
    <row r="23934">
      <c r="A23934" s="1" t="s">
        <v>37181</v>
      </c>
      <c r="B23934" s="2" t="s">
        <v>37182</v>
      </c>
      <c r="C23934" s="1" t="s">
        <v>7407</v>
      </c>
      <c r="D23934" s="1" t="s">
        <v>7408</v>
      </c>
    </row>
    <row r="23935">
      <c r="A23935" s="1" t="s">
        <v>37183</v>
      </c>
      <c r="B23935" s="2" t="s">
        <v>37184</v>
      </c>
      <c r="C23935" s="1" t="s">
        <v>7407</v>
      </c>
      <c r="D23935" s="1" t="s">
        <v>7408</v>
      </c>
    </row>
    <row r="23936">
      <c r="A23936" s="1" t="s">
        <v>37185</v>
      </c>
      <c r="B23936" s="2" t="s">
        <v>37186</v>
      </c>
      <c r="C23936" s="1" t="s">
        <v>7407</v>
      </c>
      <c r="D23936" s="1" t="s">
        <v>7408</v>
      </c>
    </row>
    <row r="23937">
      <c r="A23937" s="1" t="s">
        <v>37187</v>
      </c>
      <c r="B23937" s="2" t="s">
        <v>37188</v>
      </c>
      <c r="C23937" s="1" t="s">
        <v>7407</v>
      </c>
      <c r="D23937" s="1" t="s">
        <v>7408</v>
      </c>
    </row>
    <row r="23938">
      <c r="A23938" s="1" t="s">
        <v>37189</v>
      </c>
      <c r="B23938" s="2" t="s">
        <v>37190</v>
      </c>
      <c r="C23938" s="1" t="s">
        <v>7407</v>
      </c>
      <c r="D23938" s="1" t="s">
        <v>7408</v>
      </c>
    </row>
    <row r="23939">
      <c r="A23939" s="1" t="s">
        <v>37191</v>
      </c>
      <c r="B23939" s="2" t="s">
        <v>36847</v>
      </c>
      <c r="C23939" s="1" t="s">
        <v>7407</v>
      </c>
      <c r="D23939" s="1" t="s">
        <v>7408</v>
      </c>
    </row>
    <row r="23940">
      <c r="A23940" s="1" t="s">
        <v>37192</v>
      </c>
      <c r="B23940" s="2" t="s">
        <v>37193</v>
      </c>
      <c r="C23940" s="1" t="s">
        <v>7407</v>
      </c>
      <c r="D23940" s="1" t="s">
        <v>7408</v>
      </c>
    </row>
    <row r="23941">
      <c r="A23941" s="1" t="s">
        <v>37194</v>
      </c>
      <c r="B23941" s="2" t="s">
        <v>37195</v>
      </c>
      <c r="C23941" s="1" t="s">
        <v>7407</v>
      </c>
      <c r="D23941" s="1" t="s">
        <v>7408</v>
      </c>
    </row>
    <row r="23942">
      <c r="A23942" s="1" t="s">
        <v>37196</v>
      </c>
      <c r="B23942" s="2" t="s">
        <v>37197</v>
      </c>
      <c r="C23942" s="1" t="s">
        <v>7407</v>
      </c>
      <c r="D23942" s="1" t="s">
        <v>7408</v>
      </c>
    </row>
    <row r="23943">
      <c r="A23943" s="1" t="s">
        <v>37198</v>
      </c>
      <c r="B23943" s="2" t="s">
        <v>37199</v>
      </c>
      <c r="C23943" s="1" t="s">
        <v>7407</v>
      </c>
      <c r="D23943" s="1" t="s">
        <v>7408</v>
      </c>
    </row>
    <row r="23944">
      <c r="A23944" s="1" t="s">
        <v>37200</v>
      </c>
      <c r="B23944" s="2" t="s">
        <v>37201</v>
      </c>
      <c r="C23944" s="1" t="s">
        <v>7407</v>
      </c>
      <c r="D23944" s="1" t="s">
        <v>7408</v>
      </c>
    </row>
    <row r="23945">
      <c r="A23945" s="1" t="s">
        <v>37202</v>
      </c>
      <c r="B23945" s="2" t="s">
        <v>36907</v>
      </c>
      <c r="C23945" s="1" t="s">
        <v>7407</v>
      </c>
      <c r="D23945" s="1" t="s">
        <v>7408</v>
      </c>
    </row>
    <row r="23946">
      <c r="A23946" s="1" t="s">
        <v>37203</v>
      </c>
      <c r="B23946" s="2" t="s">
        <v>37204</v>
      </c>
      <c r="C23946" s="1" t="s">
        <v>7407</v>
      </c>
      <c r="D23946" s="1" t="s">
        <v>7408</v>
      </c>
    </row>
    <row r="23947">
      <c r="A23947" s="1" t="s">
        <v>37205</v>
      </c>
      <c r="B23947" s="2" t="s">
        <v>37206</v>
      </c>
      <c r="C23947" s="1" t="s">
        <v>7407</v>
      </c>
      <c r="D23947" s="1" t="s">
        <v>7408</v>
      </c>
    </row>
    <row r="23948">
      <c r="A23948" s="1" t="s">
        <v>37207</v>
      </c>
      <c r="B23948" s="2" t="s">
        <v>37208</v>
      </c>
      <c r="C23948" s="1" t="s">
        <v>7407</v>
      </c>
      <c r="D23948" s="1" t="s">
        <v>7408</v>
      </c>
    </row>
    <row r="23949">
      <c r="A23949" s="1" t="s">
        <v>37209</v>
      </c>
      <c r="B23949" s="2" t="s">
        <v>37210</v>
      </c>
      <c r="C23949" s="1" t="s">
        <v>7407</v>
      </c>
      <c r="D23949" s="1" t="s">
        <v>7408</v>
      </c>
    </row>
    <row r="23950">
      <c r="A23950" s="1" t="s">
        <v>37211</v>
      </c>
      <c r="B23950" s="2" t="s">
        <v>37212</v>
      </c>
      <c r="C23950" s="1" t="s">
        <v>7407</v>
      </c>
      <c r="D23950" s="1" t="s">
        <v>7408</v>
      </c>
    </row>
    <row r="23951">
      <c r="A23951" s="1" t="s">
        <v>37213</v>
      </c>
      <c r="B23951" s="2" t="s">
        <v>36961</v>
      </c>
      <c r="C23951" s="1" t="s">
        <v>7407</v>
      </c>
      <c r="D23951" s="1" t="s">
        <v>7408</v>
      </c>
    </row>
    <row r="23952">
      <c r="A23952" s="1" t="s">
        <v>37214</v>
      </c>
      <c r="B23952" s="2" t="s">
        <v>37215</v>
      </c>
      <c r="C23952" s="1" t="s">
        <v>7407</v>
      </c>
      <c r="D23952" s="1" t="s">
        <v>7408</v>
      </c>
    </row>
    <row r="23953">
      <c r="A23953" s="1" t="s">
        <v>37216</v>
      </c>
      <c r="B23953" s="2" t="s">
        <v>37217</v>
      </c>
      <c r="C23953" s="1" t="s">
        <v>7407</v>
      </c>
      <c r="D23953" s="1" t="s">
        <v>7408</v>
      </c>
    </row>
    <row r="23954">
      <c r="A23954" s="1" t="s">
        <v>37218</v>
      </c>
      <c r="B23954" s="2" t="s">
        <v>37219</v>
      </c>
      <c r="C23954" s="1" t="s">
        <v>7407</v>
      </c>
      <c r="D23954" s="1" t="s">
        <v>7408</v>
      </c>
    </row>
    <row r="23955">
      <c r="A23955" s="1" t="s">
        <v>37220</v>
      </c>
      <c r="B23955" s="2" t="s">
        <v>37221</v>
      </c>
      <c r="C23955" s="1" t="s">
        <v>7407</v>
      </c>
      <c r="D23955" s="1" t="s">
        <v>7408</v>
      </c>
    </row>
    <row r="23956">
      <c r="A23956" s="1" t="s">
        <v>37222</v>
      </c>
      <c r="B23956" s="2" t="s">
        <v>37223</v>
      </c>
      <c r="C23956" s="1" t="s">
        <v>7407</v>
      </c>
      <c r="D23956" s="1" t="s">
        <v>7408</v>
      </c>
    </row>
    <row r="23957">
      <c r="A23957" s="1" t="s">
        <v>37224</v>
      </c>
      <c r="B23957" s="2" t="s">
        <v>37027</v>
      </c>
      <c r="C23957" s="1" t="s">
        <v>7407</v>
      </c>
      <c r="D23957" s="1" t="s">
        <v>7408</v>
      </c>
    </row>
    <row r="23958">
      <c r="A23958" s="1" t="s">
        <v>37225</v>
      </c>
      <c r="B23958" s="2" t="s">
        <v>37226</v>
      </c>
      <c r="C23958" s="1" t="s">
        <v>7407</v>
      </c>
      <c r="D23958" s="1" t="s">
        <v>7408</v>
      </c>
    </row>
    <row r="23959">
      <c r="A23959" s="1" t="s">
        <v>37227</v>
      </c>
      <c r="B23959" s="2" t="s">
        <v>37228</v>
      </c>
      <c r="C23959" s="1" t="s">
        <v>7407</v>
      </c>
      <c r="D23959" s="1" t="s">
        <v>7408</v>
      </c>
    </row>
    <row r="23960">
      <c r="A23960" s="1" t="s">
        <v>37229</v>
      </c>
      <c r="B23960" s="2" t="s">
        <v>37230</v>
      </c>
      <c r="C23960" s="1" t="s">
        <v>7407</v>
      </c>
      <c r="D23960" s="1" t="s">
        <v>7408</v>
      </c>
    </row>
    <row r="23961">
      <c r="A23961" s="1" t="s">
        <v>37231</v>
      </c>
      <c r="B23961" s="2" t="s">
        <v>37232</v>
      </c>
      <c r="C23961" s="1" t="s">
        <v>7407</v>
      </c>
      <c r="D23961" s="1" t="s">
        <v>7408</v>
      </c>
    </row>
    <row r="23962">
      <c r="A23962" s="1" t="s">
        <v>37233</v>
      </c>
      <c r="B23962" s="2" t="s">
        <v>37234</v>
      </c>
      <c r="C23962" s="1" t="s">
        <v>7407</v>
      </c>
      <c r="D23962" s="1" t="s">
        <v>7408</v>
      </c>
    </row>
    <row r="23963">
      <c r="A23963" s="1" t="s">
        <v>37235</v>
      </c>
      <c r="B23963" s="2" t="s">
        <v>37075</v>
      </c>
      <c r="C23963" s="1" t="s">
        <v>7407</v>
      </c>
      <c r="D23963" s="1" t="s">
        <v>7408</v>
      </c>
    </row>
    <row r="23964">
      <c r="A23964" s="1" t="s">
        <v>7411</v>
      </c>
      <c r="B23964" s="2" t="s">
        <v>7</v>
      </c>
      <c r="C23964" s="1" t="s">
        <v>7412</v>
      </c>
      <c r="D23964" s="1" t="s">
        <v>7413</v>
      </c>
    </row>
    <row r="23965">
      <c r="A23965" s="1" t="s">
        <v>37236</v>
      </c>
      <c r="B23965" s="2" t="s">
        <v>37237</v>
      </c>
      <c r="C23965" s="1" t="s">
        <v>7412</v>
      </c>
      <c r="D23965" s="1" t="s">
        <v>7413</v>
      </c>
    </row>
    <row r="23966">
      <c r="A23966" s="1" t="s">
        <v>37238</v>
      </c>
      <c r="B23966" s="2" t="s">
        <v>37239</v>
      </c>
      <c r="C23966" s="1" t="s">
        <v>7412</v>
      </c>
      <c r="D23966" s="1" t="s">
        <v>7413</v>
      </c>
    </row>
    <row r="23967">
      <c r="A23967" s="1" t="s">
        <v>37240</v>
      </c>
      <c r="B23967" s="2" t="s">
        <v>36715</v>
      </c>
      <c r="C23967" s="1" t="s">
        <v>7412</v>
      </c>
      <c r="D23967" s="1" t="s">
        <v>7413</v>
      </c>
    </row>
    <row r="23968">
      <c r="A23968" s="1" t="s">
        <v>37241</v>
      </c>
      <c r="B23968" s="2" t="s">
        <v>37242</v>
      </c>
      <c r="C23968" s="1" t="s">
        <v>7412</v>
      </c>
      <c r="D23968" s="1" t="s">
        <v>7413</v>
      </c>
    </row>
    <row r="23969">
      <c r="A23969" s="1" t="s">
        <v>37243</v>
      </c>
      <c r="B23969" s="2" t="s">
        <v>37244</v>
      </c>
      <c r="C23969" s="1" t="s">
        <v>7412</v>
      </c>
      <c r="D23969" s="1" t="s">
        <v>7413</v>
      </c>
    </row>
    <row r="23970">
      <c r="A23970" s="1" t="s">
        <v>37245</v>
      </c>
      <c r="B23970" s="2" t="s">
        <v>36781</v>
      </c>
      <c r="C23970" s="1" t="s">
        <v>7412</v>
      </c>
      <c r="D23970" s="1" t="s">
        <v>7413</v>
      </c>
    </row>
    <row r="23971">
      <c r="A23971" s="1" t="s">
        <v>37246</v>
      </c>
      <c r="B23971" s="2" t="s">
        <v>37247</v>
      </c>
      <c r="C23971" s="1" t="s">
        <v>7412</v>
      </c>
      <c r="D23971" s="1" t="s">
        <v>7413</v>
      </c>
    </row>
    <row r="23972">
      <c r="A23972" s="1" t="s">
        <v>37248</v>
      </c>
      <c r="B23972" s="2" t="s">
        <v>37249</v>
      </c>
      <c r="C23972" s="1" t="s">
        <v>7412</v>
      </c>
      <c r="D23972" s="1" t="s">
        <v>7413</v>
      </c>
    </row>
    <row r="23973">
      <c r="A23973" s="1" t="s">
        <v>37250</v>
      </c>
      <c r="B23973" s="2" t="s">
        <v>36847</v>
      </c>
      <c r="C23973" s="1" t="s">
        <v>7412</v>
      </c>
      <c r="D23973" s="1" t="s">
        <v>7413</v>
      </c>
    </row>
    <row r="23974">
      <c r="A23974" s="1" t="s">
        <v>37251</v>
      </c>
      <c r="B23974" s="2" t="s">
        <v>37252</v>
      </c>
      <c r="C23974" s="1" t="s">
        <v>7412</v>
      </c>
      <c r="D23974" s="1" t="s">
        <v>7413</v>
      </c>
    </row>
    <row r="23975">
      <c r="A23975" s="1" t="s">
        <v>37253</v>
      </c>
      <c r="B23975" s="2" t="s">
        <v>37254</v>
      </c>
      <c r="C23975" s="1" t="s">
        <v>7412</v>
      </c>
      <c r="D23975" s="1" t="s">
        <v>7413</v>
      </c>
    </row>
    <row r="23976">
      <c r="A23976" s="1" t="s">
        <v>37255</v>
      </c>
      <c r="B23976" s="2" t="s">
        <v>36907</v>
      </c>
      <c r="C23976" s="1" t="s">
        <v>7412</v>
      </c>
      <c r="D23976" s="1" t="s">
        <v>7413</v>
      </c>
    </row>
    <row r="23977">
      <c r="A23977" s="1" t="s">
        <v>37256</v>
      </c>
      <c r="B23977" s="2" t="s">
        <v>37257</v>
      </c>
      <c r="C23977" s="1" t="s">
        <v>7412</v>
      </c>
      <c r="D23977" s="1" t="s">
        <v>7413</v>
      </c>
    </row>
    <row r="23978">
      <c r="A23978" s="1" t="s">
        <v>37258</v>
      </c>
      <c r="B23978" s="2" t="s">
        <v>37259</v>
      </c>
      <c r="C23978" s="1" t="s">
        <v>7412</v>
      </c>
      <c r="D23978" s="1" t="s">
        <v>7413</v>
      </c>
    </row>
    <row r="23979">
      <c r="A23979" s="1" t="s">
        <v>37260</v>
      </c>
      <c r="B23979" s="2" t="s">
        <v>36961</v>
      </c>
      <c r="C23979" s="1" t="s">
        <v>7412</v>
      </c>
      <c r="D23979" s="1" t="s">
        <v>7413</v>
      </c>
    </row>
    <row r="23980">
      <c r="A23980" s="1" t="s">
        <v>37261</v>
      </c>
      <c r="B23980" s="2" t="s">
        <v>37262</v>
      </c>
      <c r="C23980" s="1" t="s">
        <v>7412</v>
      </c>
      <c r="D23980" s="1" t="s">
        <v>7413</v>
      </c>
    </row>
    <row r="23981">
      <c r="A23981" s="1" t="s">
        <v>37263</v>
      </c>
      <c r="B23981" s="2" t="s">
        <v>37264</v>
      </c>
      <c r="C23981" s="1" t="s">
        <v>7412</v>
      </c>
      <c r="D23981" s="1" t="s">
        <v>7413</v>
      </c>
    </row>
    <row r="23982">
      <c r="A23982" s="1" t="s">
        <v>37265</v>
      </c>
      <c r="B23982" s="2" t="s">
        <v>37027</v>
      </c>
      <c r="C23982" s="1" t="s">
        <v>7412</v>
      </c>
      <c r="D23982" s="1" t="s">
        <v>7413</v>
      </c>
    </row>
    <row r="23983">
      <c r="A23983" s="1" t="s">
        <v>37266</v>
      </c>
      <c r="B23983" s="2" t="s">
        <v>37267</v>
      </c>
      <c r="C23983" s="1" t="s">
        <v>7412</v>
      </c>
      <c r="D23983" s="1" t="s">
        <v>7413</v>
      </c>
    </row>
    <row r="23984">
      <c r="A23984" s="1" t="s">
        <v>37268</v>
      </c>
      <c r="B23984" s="2" t="s">
        <v>37269</v>
      </c>
      <c r="C23984" s="1" t="s">
        <v>7412</v>
      </c>
      <c r="D23984" s="1" t="s">
        <v>7413</v>
      </c>
    </row>
    <row r="23985">
      <c r="A23985" s="1" t="s">
        <v>37270</v>
      </c>
      <c r="B23985" s="2" t="s">
        <v>37075</v>
      </c>
      <c r="C23985" s="1" t="s">
        <v>7412</v>
      </c>
      <c r="D23985" s="1" t="s">
        <v>7413</v>
      </c>
    </row>
    <row r="23986">
      <c r="A23986" s="1" t="s">
        <v>7417</v>
      </c>
      <c r="B23986" s="2" t="s">
        <v>7</v>
      </c>
      <c r="C23986" s="1" t="s">
        <v>7419</v>
      </c>
      <c r="D23986" s="1" t="s">
        <v>7420</v>
      </c>
    </row>
    <row r="23987">
      <c r="A23987" s="1" t="s">
        <v>37271</v>
      </c>
      <c r="B23987" s="2" t="s">
        <v>37272</v>
      </c>
      <c r="C23987" s="1" t="s">
        <v>7419</v>
      </c>
      <c r="D23987" s="1" t="s">
        <v>7420</v>
      </c>
    </row>
    <row r="23988">
      <c r="A23988" s="1" t="s">
        <v>37273</v>
      </c>
      <c r="B23988" s="2" t="s">
        <v>6066</v>
      </c>
      <c r="C23988" s="1" t="s">
        <v>7419</v>
      </c>
      <c r="D23988" s="1" t="s">
        <v>7420</v>
      </c>
    </row>
    <row r="23989">
      <c r="A23989" s="1" t="s">
        <v>37274</v>
      </c>
      <c r="B23989" s="2" t="s">
        <v>6069</v>
      </c>
      <c r="C23989" s="1" t="s">
        <v>7419</v>
      </c>
      <c r="D23989" s="1" t="s">
        <v>7420</v>
      </c>
    </row>
    <row r="23990">
      <c r="A23990" s="1" t="s">
        <v>37275</v>
      </c>
      <c r="B23990" s="2" t="s">
        <v>37276</v>
      </c>
      <c r="C23990" s="1" t="s">
        <v>7419</v>
      </c>
      <c r="D23990" s="1" t="s">
        <v>7420</v>
      </c>
    </row>
    <row r="23991">
      <c r="A23991" s="1" t="s">
        <v>37277</v>
      </c>
      <c r="B23991" s="2" t="s">
        <v>36715</v>
      </c>
      <c r="C23991" s="1" t="s">
        <v>7419</v>
      </c>
      <c r="D23991" s="1" t="s">
        <v>7420</v>
      </c>
    </row>
    <row r="23992">
      <c r="A23992" s="1" t="s">
        <v>37278</v>
      </c>
      <c r="B23992" s="2" t="s">
        <v>37279</v>
      </c>
      <c r="C23992" s="1" t="s">
        <v>7419</v>
      </c>
      <c r="D23992" s="1" t="s">
        <v>7420</v>
      </c>
    </row>
    <row r="23993">
      <c r="A23993" s="1" t="s">
        <v>37280</v>
      </c>
      <c r="B23993" s="2" t="s">
        <v>37281</v>
      </c>
      <c r="C23993" s="1" t="s">
        <v>7419</v>
      </c>
      <c r="D23993" s="1" t="s">
        <v>7420</v>
      </c>
    </row>
    <row r="23994">
      <c r="A23994" s="1" t="s">
        <v>37282</v>
      </c>
      <c r="B23994" s="2" t="s">
        <v>37283</v>
      </c>
      <c r="C23994" s="1" t="s">
        <v>7419</v>
      </c>
      <c r="D23994" s="1" t="s">
        <v>7420</v>
      </c>
    </row>
    <row r="23995">
      <c r="A23995" s="1" t="s">
        <v>37284</v>
      </c>
      <c r="B23995" s="2" t="s">
        <v>37285</v>
      </c>
      <c r="C23995" s="1" t="s">
        <v>7419</v>
      </c>
      <c r="D23995" s="1" t="s">
        <v>7420</v>
      </c>
    </row>
    <row r="23996">
      <c r="A23996" s="1" t="s">
        <v>37286</v>
      </c>
      <c r="B23996" s="2" t="s">
        <v>36781</v>
      </c>
      <c r="C23996" s="1" t="s">
        <v>7419</v>
      </c>
      <c r="D23996" s="1" t="s">
        <v>7420</v>
      </c>
    </row>
    <row r="23997">
      <c r="A23997" s="1" t="s">
        <v>37287</v>
      </c>
      <c r="B23997" s="2" t="s">
        <v>37288</v>
      </c>
      <c r="C23997" s="1" t="s">
        <v>7419</v>
      </c>
      <c r="D23997" s="1" t="s">
        <v>7420</v>
      </c>
    </row>
    <row r="23998">
      <c r="A23998" s="1" t="s">
        <v>37289</v>
      </c>
      <c r="B23998" s="2" t="s">
        <v>37290</v>
      </c>
      <c r="C23998" s="1" t="s">
        <v>7419</v>
      </c>
      <c r="D23998" s="1" t="s">
        <v>7420</v>
      </c>
    </row>
    <row r="23999">
      <c r="A23999" s="1" t="s">
        <v>37291</v>
      </c>
      <c r="B23999" s="2" t="s">
        <v>37292</v>
      </c>
      <c r="C23999" s="1" t="s">
        <v>7419</v>
      </c>
      <c r="D23999" s="1" t="s">
        <v>7420</v>
      </c>
    </row>
    <row r="24000">
      <c r="A24000" s="1" t="s">
        <v>37293</v>
      </c>
      <c r="B24000" s="2" t="s">
        <v>37294</v>
      </c>
      <c r="C24000" s="1" t="s">
        <v>7419</v>
      </c>
      <c r="D24000" s="1" t="s">
        <v>7420</v>
      </c>
    </row>
    <row r="24001">
      <c r="A24001" s="1" t="s">
        <v>37295</v>
      </c>
      <c r="B24001" s="2" t="s">
        <v>36847</v>
      </c>
      <c r="C24001" s="1" t="s">
        <v>7419</v>
      </c>
      <c r="D24001" s="1" t="s">
        <v>7420</v>
      </c>
    </row>
    <row r="24002">
      <c r="A24002" s="1" t="s">
        <v>37296</v>
      </c>
      <c r="B24002" s="2" t="s">
        <v>37297</v>
      </c>
      <c r="C24002" s="1" t="s">
        <v>7419</v>
      </c>
      <c r="D24002" s="1" t="s">
        <v>7420</v>
      </c>
    </row>
    <row r="24003">
      <c r="A24003" s="1" t="s">
        <v>37298</v>
      </c>
      <c r="B24003" s="2" t="s">
        <v>37299</v>
      </c>
      <c r="C24003" s="1" t="s">
        <v>7419</v>
      </c>
      <c r="D24003" s="1" t="s">
        <v>7420</v>
      </c>
    </row>
    <row r="24004">
      <c r="A24004" s="1" t="s">
        <v>37300</v>
      </c>
      <c r="B24004" s="2" t="s">
        <v>37301</v>
      </c>
      <c r="C24004" s="1" t="s">
        <v>7419</v>
      </c>
      <c r="D24004" s="1" t="s">
        <v>7420</v>
      </c>
    </row>
    <row r="24005">
      <c r="A24005" s="1" t="s">
        <v>37302</v>
      </c>
      <c r="B24005" s="2" t="s">
        <v>37303</v>
      </c>
      <c r="C24005" s="1" t="s">
        <v>7419</v>
      </c>
      <c r="D24005" s="1" t="s">
        <v>7420</v>
      </c>
    </row>
    <row r="24006">
      <c r="A24006" s="1" t="s">
        <v>37304</v>
      </c>
      <c r="B24006" s="2" t="s">
        <v>36907</v>
      </c>
      <c r="C24006" s="1" t="s">
        <v>7419</v>
      </c>
      <c r="D24006" s="1" t="s">
        <v>7420</v>
      </c>
    </row>
    <row r="24007">
      <c r="A24007" s="1" t="s">
        <v>37305</v>
      </c>
      <c r="B24007" s="2" t="s">
        <v>37306</v>
      </c>
      <c r="C24007" s="1" t="s">
        <v>7419</v>
      </c>
      <c r="D24007" s="1" t="s">
        <v>7420</v>
      </c>
    </row>
    <row r="24008">
      <c r="A24008" s="1" t="s">
        <v>37307</v>
      </c>
      <c r="B24008" s="2" t="s">
        <v>37308</v>
      </c>
      <c r="C24008" s="1" t="s">
        <v>7419</v>
      </c>
      <c r="D24008" s="1" t="s">
        <v>7420</v>
      </c>
    </row>
    <row r="24009">
      <c r="A24009" s="1" t="s">
        <v>37309</v>
      </c>
      <c r="B24009" s="2" t="s">
        <v>37310</v>
      </c>
      <c r="C24009" s="1" t="s">
        <v>7419</v>
      </c>
      <c r="D24009" s="1" t="s">
        <v>7420</v>
      </c>
    </row>
    <row r="24010">
      <c r="A24010" s="1" t="s">
        <v>37311</v>
      </c>
      <c r="B24010" s="2" t="s">
        <v>37312</v>
      </c>
      <c r="C24010" s="1" t="s">
        <v>7419</v>
      </c>
      <c r="D24010" s="1" t="s">
        <v>7420</v>
      </c>
    </row>
    <row r="24011">
      <c r="A24011" s="1" t="s">
        <v>37313</v>
      </c>
      <c r="B24011" s="2" t="s">
        <v>36961</v>
      </c>
      <c r="C24011" s="1" t="s">
        <v>7419</v>
      </c>
      <c r="D24011" s="1" t="s">
        <v>7420</v>
      </c>
    </row>
    <row r="24012">
      <c r="A24012" s="1" t="s">
        <v>37314</v>
      </c>
      <c r="B24012" s="2" t="s">
        <v>37315</v>
      </c>
      <c r="C24012" s="1" t="s">
        <v>7419</v>
      </c>
      <c r="D24012" s="1" t="s">
        <v>7420</v>
      </c>
    </row>
    <row r="24013">
      <c r="A24013" s="1" t="s">
        <v>37316</v>
      </c>
      <c r="B24013" s="2" t="s">
        <v>37317</v>
      </c>
      <c r="C24013" s="1" t="s">
        <v>7419</v>
      </c>
      <c r="D24013" s="1" t="s">
        <v>7420</v>
      </c>
    </row>
    <row r="24014">
      <c r="A24014" s="1" t="s">
        <v>37318</v>
      </c>
      <c r="B24014" s="2" t="s">
        <v>37319</v>
      </c>
      <c r="C24014" s="1" t="s">
        <v>7419</v>
      </c>
      <c r="D24014" s="1" t="s">
        <v>7420</v>
      </c>
    </row>
    <row r="24015">
      <c r="A24015" s="1" t="s">
        <v>37320</v>
      </c>
      <c r="B24015" s="2" t="s">
        <v>37321</v>
      </c>
      <c r="C24015" s="1" t="s">
        <v>7419</v>
      </c>
      <c r="D24015" s="1" t="s">
        <v>7420</v>
      </c>
    </row>
    <row r="24016">
      <c r="A24016" s="1" t="s">
        <v>37322</v>
      </c>
      <c r="B24016" s="2" t="s">
        <v>37027</v>
      </c>
      <c r="C24016" s="1" t="s">
        <v>7419</v>
      </c>
      <c r="D24016" s="1" t="s">
        <v>7420</v>
      </c>
    </row>
    <row r="24017">
      <c r="A24017" s="1" t="s">
        <v>37323</v>
      </c>
      <c r="B24017" s="2" t="s">
        <v>37324</v>
      </c>
      <c r="C24017" s="1" t="s">
        <v>7419</v>
      </c>
      <c r="D24017" s="1" t="s">
        <v>7420</v>
      </c>
    </row>
    <row r="24018">
      <c r="A24018" s="1" t="s">
        <v>37325</v>
      </c>
      <c r="B24018" s="2" t="s">
        <v>37326</v>
      </c>
      <c r="C24018" s="1" t="s">
        <v>7419</v>
      </c>
      <c r="D24018" s="1" t="s">
        <v>7420</v>
      </c>
    </row>
    <row r="24019">
      <c r="A24019" s="1" t="s">
        <v>37327</v>
      </c>
      <c r="B24019" s="2" t="s">
        <v>37328</v>
      </c>
      <c r="C24019" s="1" t="s">
        <v>7419</v>
      </c>
      <c r="D24019" s="1" t="s">
        <v>7420</v>
      </c>
    </row>
    <row r="24020">
      <c r="A24020" s="1" t="s">
        <v>37329</v>
      </c>
      <c r="B24020" s="2" t="s">
        <v>37330</v>
      </c>
      <c r="C24020" s="1" t="s">
        <v>7419</v>
      </c>
      <c r="D24020" s="1" t="s">
        <v>7420</v>
      </c>
    </row>
    <row r="24021">
      <c r="A24021" s="1" t="s">
        <v>37331</v>
      </c>
      <c r="B24021" s="2" t="s">
        <v>37075</v>
      </c>
      <c r="C24021" s="1" t="s">
        <v>7419</v>
      </c>
      <c r="D24021" s="1" t="s">
        <v>7420</v>
      </c>
    </row>
    <row r="24022">
      <c r="A24022" s="1" t="s">
        <v>7423</v>
      </c>
      <c r="B24022" s="2" t="s">
        <v>7</v>
      </c>
      <c r="C24022" s="1" t="s">
        <v>7425</v>
      </c>
      <c r="D24022" s="1" t="s">
        <v>7426</v>
      </c>
    </row>
    <row r="24023">
      <c r="A24023" s="1" t="s">
        <v>37332</v>
      </c>
      <c r="B24023" s="2" t="s">
        <v>23860</v>
      </c>
      <c r="C24023" s="1" t="s">
        <v>7425</v>
      </c>
      <c r="D24023" s="1" t="s">
        <v>7426</v>
      </c>
    </row>
    <row r="24024">
      <c r="A24024" s="1" t="s">
        <v>37333</v>
      </c>
      <c r="B24024" s="2" t="s">
        <v>23862</v>
      </c>
      <c r="C24024" s="1" t="s">
        <v>7425</v>
      </c>
      <c r="D24024" s="1" t="s">
        <v>7426</v>
      </c>
    </row>
    <row r="24025">
      <c r="A24025" s="1" t="s">
        <v>37334</v>
      </c>
      <c r="B24025" s="2" t="s">
        <v>36715</v>
      </c>
      <c r="C24025" s="1" t="s">
        <v>7425</v>
      </c>
      <c r="D24025" s="1" t="s">
        <v>7426</v>
      </c>
    </row>
    <row r="24026">
      <c r="A24026" s="1" t="s">
        <v>37335</v>
      </c>
      <c r="B24026" s="2" t="s">
        <v>37336</v>
      </c>
      <c r="C24026" s="1" t="s">
        <v>7425</v>
      </c>
      <c r="D24026" s="1" t="s">
        <v>7426</v>
      </c>
    </row>
    <row r="24027">
      <c r="A24027" s="1" t="s">
        <v>37337</v>
      </c>
      <c r="B24027" s="2" t="s">
        <v>37338</v>
      </c>
      <c r="C24027" s="1" t="s">
        <v>7425</v>
      </c>
      <c r="D24027" s="1" t="s">
        <v>7426</v>
      </c>
    </row>
    <row r="24028">
      <c r="A24028" s="1" t="s">
        <v>37339</v>
      </c>
      <c r="B24028" s="2" t="s">
        <v>36781</v>
      </c>
      <c r="C24028" s="1" t="s">
        <v>7425</v>
      </c>
      <c r="D24028" s="1" t="s">
        <v>7426</v>
      </c>
    </row>
    <row r="24029">
      <c r="A24029" s="1" t="s">
        <v>37340</v>
      </c>
      <c r="B24029" s="2" t="s">
        <v>37341</v>
      </c>
      <c r="C24029" s="1" t="s">
        <v>7425</v>
      </c>
      <c r="D24029" s="1" t="s">
        <v>7426</v>
      </c>
    </row>
    <row r="24030">
      <c r="A24030" s="1" t="s">
        <v>37342</v>
      </c>
      <c r="B24030" s="2" t="s">
        <v>37343</v>
      </c>
      <c r="C24030" s="1" t="s">
        <v>7425</v>
      </c>
      <c r="D24030" s="1" t="s">
        <v>7426</v>
      </c>
    </row>
    <row r="24031">
      <c r="A24031" s="1" t="s">
        <v>37344</v>
      </c>
      <c r="B24031" s="2" t="s">
        <v>36847</v>
      </c>
      <c r="C24031" s="1" t="s">
        <v>7425</v>
      </c>
      <c r="D24031" s="1" t="s">
        <v>7426</v>
      </c>
    </row>
    <row r="24032">
      <c r="A24032" s="1" t="s">
        <v>37345</v>
      </c>
      <c r="B24032" s="2" t="s">
        <v>37346</v>
      </c>
      <c r="C24032" s="1" t="s">
        <v>7425</v>
      </c>
      <c r="D24032" s="1" t="s">
        <v>7426</v>
      </c>
    </row>
    <row r="24033">
      <c r="A24033" s="1" t="s">
        <v>37347</v>
      </c>
      <c r="B24033" s="2" t="s">
        <v>37348</v>
      </c>
      <c r="C24033" s="1" t="s">
        <v>7425</v>
      </c>
      <c r="D24033" s="1" t="s">
        <v>7426</v>
      </c>
    </row>
    <row r="24034">
      <c r="A24034" s="1" t="s">
        <v>37349</v>
      </c>
      <c r="B24034" s="2" t="s">
        <v>36907</v>
      </c>
      <c r="C24034" s="1" t="s">
        <v>7425</v>
      </c>
      <c r="D24034" s="1" t="s">
        <v>7426</v>
      </c>
    </row>
    <row r="24035">
      <c r="A24035" s="1" t="s">
        <v>37350</v>
      </c>
      <c r="B24035" s="2" t="s">
        <v>37351</v>
      </c>
      <c r="C24035" s="1" t="s">
        <v>7425</v>
      </c>
      <c r="D24035" s="1" t="s">
        <v>7426</v>
      </c>
    </row>
    <row r="24036">
      <c r="A24036" s="1" t="s">
        <v>37352</v>
      </c>
      <c r="B24036" s="2" t="s">
        <v>37353</v>
      </c>
      <c r="C24036" s="1" t="s">
        <v>7425</v>
      </c>
      <c r="D24036" s="1" t="s">
        <v>7426</v>
      </c>
    </row>
    <row r="24037">
      <c r="A24037" s="1" t="s">
        <v>37354</v>
      </c>
      <c r="B24037" s="2" t="s">
        <v>36961</v>
      </c>
      <c r="C24037" s="1" t="s">
        <v>7425</v>
      </c>
      <c r="D24037" s="1" t="s">
        <v>7426</v>
      </c>
    </row>
    <row r="24038">
      <c r="A24038" s="1" t="s">
        <v>37355</v>
      </c>
      <c r="B24038" s="2" t="s">
        <v>37356</v>
      </c>
      <c r="C24038" s="1" t="s">
        <v>7425</v>
      </c>
      <c r="D24038" s="1" t="s">
        <v>7426</v>
      </c>
    </row>
    <row r="24039">
      <c r="A24039" s="1" t="s">
        <v>37357</v>
      </c>
      <c r="B24039" s="2" t="s">
        <v>37358</v>
      </c>
      <c r="C24039" s="1" t="s">
        <v>7425</v>
      </c>
      <c r="D24039" s="1" t="s">
        <v>7426</v>
      </c>
    </row>
    <row r="24040">
      <c r="A24040" s="1" t="s">
        <v>37359</v>
      </c>
      <c r="B24040" s="2" t="s">
        <v>37027</v>
      </c>
      <c r="C24040" s="1" t="s">
        <v>7425</v>
      </c>
      <c r="D24040" s="1" t="s">
        <v>7426</v>
      </c>
    </row>
    <row r="24041">
      <c r="A24041" s="1" t="s">
        <v>37360</v>
      </c>
      <c r="B24041" s="2" t="s">
        <v>37361</v>
      </c>
      <c r="C24041" s="1" t="s">
        <v>7425</v>
      </c>
      <c r="D24041" s="1" t="s">
        <v>7426</v>
      </c>
    </row>
    <row r="24042">
      <c r="A24042" s="1" t="s">
        <v>37362</v>
      </c>
      <c r="B24042" s="2" t="s">
        <v>37363</v>
      </c>
      <c r="C24042" s="1" t="s">
        <v>7425</v>
      </c>
      <c r="D24042" s="1" t="s">
        <v>7426</v>
      </c>
    </row>
    <row r="24043">
      <c r="A24043" s="1" t="s">
        <v>37364</v>
      </c>
      <c r="B24043" s="2" t="s">
        <v>37075</v>
      </c>
      <c r="C24043" s="1" t="s">
        <v>7425</v>
      </c>
      <c r="D24043" s="1" t="s">
        <v>7426</v>
      </c>
    </row>
    <row r="24044">
      <c r="A24044" s="1" t="s">
        <v>7429</v>
      </c>
      <c r="B24044" s="2" t="s">
        <v>7</v>
      </c>
      <c r="C24044" s="1" t="s">
        <v>7431</v>
      </c>
      <c r="D24044" s="1" t="s">
        <v>7432</v>
      </c>
    </row>
    <row r="24045">
      <c r="A24045" s="1" t="s">
        <v>37365</v>
      </c>
      <c r="B24045" s="2" t="s">
        <v>37366</v>
      </c>
      <c r="C24045" s="1" t="s">
        <v>7431</v>
      </c>
      <c r="D24045" s="1" t="s">
        <v>7432</v>
      </c>
    </row>
    <row r="24046">
      <c r="A24046" s="1" t="s">
        <v>37367</v>
      </c>
      <c r="B24046" s="2" t="s">
        <v>37368</v>
      </c>
      <c r="C24046" s="1" t="s">
        <v>7431</v>
      </c>
      <c r="D24046" s="1" t="s">
        <v>7432</v>
      </c>
    </row>
    <row r="24047">
      <c r="A24047" s="1" t="s">
        <v>37369</v>
      </c>
      <c r="B24047" s="2" t="s">
        <v>37370</v>
      </c>
      <c r="C24047" s="1" t="s">
        <v>7431</v>
      </c>
      <c r="D24047" s="1" t="s">
        <v>7432</v>
      </c>
    </row>
    <row r="24048">
      <c r="A24048" s="1" t="s">
        <v>37371</v>
      </c>
      <c r="B24048" s="2" t="s">
        <v>37372</v>
      </c>
      <c r="C24048" s="1" t="s">
        <v>7431</v>
      </c>
      <c r="D24048" s="1" t="s">
        <v>7432</v>
      </c>
    </row>
    <row r="24049">
      <c r="A24049" s="1" t="s">
        <v>37373</v>
      </c>
      <c r="B24049" s="2" t="s">
        <v>37374</v>
      </c>
      <c r="C24049" s="1" t="s">
        <v>7431</v>
      </c>
      <c r="D24049" s="1" t="s">
        <v>7432</v>
      </c>
    </row>
    <row r="24050">
      <c r="A24050" s="1" t="s">
        <v>37375</v>
      </c>
      <c r="B24050" s="2" t="s">
        <v>37376</v>
      </c>
      <c r="C24050" s="1" t="s">
        <v>7431</v>
      </c>
      <c r="D24050" s="1" t="s">
        <v>7432</v>
      </c>
    </row>
    <row r="24051">
      <c r="A24051" s="1" t="s">
        <v>37377</v>
      </c>
      <c r="B24051" s="2" t="s">
        <v>37378</v>
      </c>
      <c r="C24051" s="1" t="s">
        <v>7431</v>
      </c>
      <c r="D24051" s="1" t="s">
        <v>7432</v>
      </c>
    </row>
    <row r="24052">
      <c r="A24052" s="1" t="s">
        <v>37379</v>
      </c>
      <c r="B24052" s="2" t="s">
        <v>37380</v>
      </c>
      <c r="C24052" s="1" t="s">
        <v>7431</v>
      </c>
      <c r="D24052" s="1" t="s">
        <v>7432</v>
      </c>
    </row>
    <row r="24053">
      <c r="A24053" s="1" t="s">
        <v>37381</v>
      </c>
      <c r="B24053" s="2" t="s">
        <v>37382</v>
      </c>
      <c r="C24053" s="1" t="s">
        <v>7431</v>
      </c>
      <c r="D24053" s="1" t="s">
        <v>7432</v>
      </c>
    </row>
    <row r="24054">
      <c r="A24054" s="1" t="s">
        <v>37383</v>
      </c>
      <c r="B24054" s="2" t="s">
        <v>37384</v>
      </c>
      <c r="C24054" s="1" t="s">
        <v>7431</v>
      </c>
      <c r="D24054" s="1" t="s">
        <v>7432</v>
      </c>
    </row>
    <row r="24055">
      <c r="A24055" s="1" t="s">
        <v>37385</v>
      </c>
      <c r="B24055" s="2" t="s">
        <v>37386</v>
      </c>
      <c r="C24055" s="1" t="s">
        <v>7431</v>
      </c>
      <c r="D24055" s="1" t="s">
        <v>7432</v>
      </c>
    </row>
    <row r="24056">
      <c r="A24056" s="1" t="s">
        <v>37387</v>
      </c>
      <c r="B24056" s="2" t="s">
        <v>36715</v>
      </c>
      <c r="C24056" s="1" t="s">
        <v>7431</v>
      </c>
      <c r="D24056" s="1" t="s">
        <v>7432</v>
      </c>
    </row>
    <row r="24057">
      <c r="A24057" s="1" t="s">
        <v>37388</v>
      </c>
      <c r="B24057" s="2" t="s">
        <v>37389</v>
      </c>
      <c r="C24057" s="1" t="s">
        <v>7431</v>
      </c>
      <c r="D24057" s="1" t="s">
        <v>7432</v>
      </c>
    </row>
    <row r="24058">
      <c r="A24058" s="1" t="s">
        <v>37390</v>
      </c>
      <c r="B24058" s="2" t="s">
        <v>37391</v>
      </c>
      <c r="C24058" s="1" t="s">
        <v>7431</v>
      </c>
      <c r="D24058" s="1" t="s">
        <v>7432</v>
      </c>
    </row>
    <row r="24059">
      <c r="A24059" s="1" t="s">
        <v>37392</v>
      </c>
      <c r="B24059" s="2" t="s">
        <v>37393</v>
      </c>
      <c r="C24059" s="1" t="s">
        <v>7431</v>
      </c>
      <c r="D24059" s="1" t="s">
        <v>7432</v>
      </c>
    </row>
    <row r="24060">
      <c r="A24060" s="1" t="s">
        <v>37394</v>
      </c>
      <c r="B24060" s="2" t="s">
        <v>37395</v>
      </c>
      <c r="C24060" s="1" t="s">
        <v>7431</v>
      </c>
      <c r="D24060" s="1" t="s">
        <v>7432</v>
      </c>
    </row>
    <row r="24061">
      <c r="A24061" s="1" t="s">
        <v>37396</v>
      </c>
      <c r="B24061" s="2" t="s">
        <v>37397</v>
      </c>
      <c r="C24061" s="1" t="s">
        <v>7431</v>
      </c>
      <c r="D24061" s="1" t="s">
        <v>7432</v>
      </c>
    </row>
    <row r="24062">
      <c r="A24062" s="1" t="s">
        <v>37398</v>
      </c>
      <c r="B24062" s="2" t="s">
        <v>37399</v>
      </c>
      <c r="C24062" s="1" t="s">
        <v>7431</v>
      </c>
      <c r="D24062" s="1" t="s">
        <v>7432</v>
      </c>
    </row>
    <row r="24063">
      <c r="A24063" s="1" t="s">
        <v>37400</v>
      </c>
      <c r="B24063" s="2" t="s">
        <v>37401</v>
      </c>
      <c r="C24063" s="1" t="s">
        <v>7431</v>
      </c>
      <c r="D24063" s="1" t="s">
        <v>7432</v>
      </c>
    </row>
    <row r="24064">
      <c r="A24064" s="1" t="s">
        <v>37402</v>
      </c>
      <c r="B24064" s="2" t="s">
        <v>37403</v>
      </c>
      <c r="C24064" s="1" t="s">
        <v>7431</v>
      </c>
      <c r="D24064" s="1" t="s">
        <v>7432</v>
      </c>
    </row>
    <row r="24065">
      <c r="A24065" s="1" t="s">
        <v>37404</v>
      </c>
      <c r="B24065" s="2" t="s">
        <v>37405</v>
      </c>
      <c r="C24065" s="1" t="s">
        <v>7431</v>
      </c>
      <c r="D24065" s="1" t="s">
        <v>7432</v>
      </c>
    </row>
    <row r="24066">
      <c r="A24066" s="1" t="s">
        <v>37406</v>
      </c>
      <c r="B24066" s="2" t="s">
        <v>37407</v>
      </c>
      <c r="C24066" s="1" t="s">
        <v>7431</v>
      </c>
      <c r="D24066" s="1" t="s">
        <v>7432</v>
      </c>
    </row>
    <row r="24067">
      <c r="A24067" s="1" t="s">
        <v>37408</v>
      </c>
      <c r="B24067" s="2" t="s">
        <v>37409</v>
      </c>
      <c r="C24067" s="1" t="s">
        <v>7431</v>
      </c>
      <c r="D24067" s="1" t="s">
        <v>7432</v>
      </c>
    </row>
    <row r="24068">
      <c r="A24068" s="1" t="s">
        <v>37410</v>
      </c>
      <c r="B24068" s="2" t="s">
        <v>36781</v>
      </c>
      <c r="C24068" s="1" t="s">
        <v>7431</v>
      </c>
      <c r="D24068" s="1" t="s">
        <v>7432</v>
      </c>
    </row>
    <row r="24069">
      <c r="A24069" s="1" t="s">
        <v>37411</v>
      </c>
      <c r="B24069" s="2" t="s">
        <v>37412</v>
      </c>
      <c r="C24069" s="1" t="s">
        <v>7431</v>
      </c>
      <c r="D24069" s="1" t="s">
        <v>7432</v>
      </c>
    </row>
    <row r="24070">
      <c r="A24070" s="1" t="s">
        <v>37413</v>
      </c>
      <c r="B24070" s="2" t="s">
        <v>37414</v>
      </c>
      <c r="C24070" s="1" t="s">
        <v>7431</v>
      </c>
      <c r="D24070" s="1" t="s">
        <v>7432</v>
      </c>
    </row>
    <row r="24071">
      <c r="A24071" s="1" t="s">
        <v>37415</v>
      </c>
      <c r="B24071" s="2" t="s">
        <v>37416</v>
      </c>
      <c r="C24071" s="1" t="s">
        <v>7431</v>
      </c>
      <c r="D24071" s="1" t="s">
        <v>7432</v>
      </c>
    </row>
    <row r="24072">
      <c r="A24072" s="1" t="s">
        <v>37417</v>
      </c>
      <c r="B24072" s="2" t="s">
        <v>37418</v>
      </c>
      <c r="C24072" s="1" t="s">
        <v>7431</v>
      </c>
      <c r="D24072" s="1" t="s">
        <v>7432</v>
      </c>
    </row>
    <row r="24073">
      <c r="A24073" s="1" t="s">
        <v>37419</v>
      </c>
      <c r="B24073" s="2" t="s">
        <v>37420</v>
      </c>
      <c r="C24073" s="1" t="s">
        <v>7431</v>
      </c>
      <c r="D24073" s="1" t="s">
        <v>7432</v>
      </c>
    </row>
    <row r="24074">
      <c r="A24074" s="1" t="s">
        <v>37421</v>
      </c>
      <c r="B24074" s="2" t="s">
        <v>37422</v>
      </c>
      <c r="C24074" s="1" t="s">
        <v>7431</v>
      </c>
      <c r="D24074" s="1" t="s">
        <v>7432</v>
      </c>
    </row>
    <row r="24075">
      <c r="A24075" s="1" t="s">
        <v>37423</v>
      </c>
      <c r="B24075" s="2" t="s">
        <v>37424</v>
      </c>
      <c r="C24075" s="1" t="s">
        <v>7431</v>
      </c>
      <c r="D24075" s="1" t="s">
        <v>7432</v>
      </c>
    </row>
    <row r="24076">
      <c r="A24076" s="1" t="s">
        <v>37425</v>
      </c>
      <c r="B24076" s="2" t="s">
        <v>37426</v>
      </c>
      <c r="C24076" s="1" t="s">
        <v>7431</v>
      </c>
      <c r="D24076" s="1" t="s">
        <v>7432</v>
      </c>
    </row>
    <row r="24077">
      <c r="A24077" s="1" t="s">
        <v>37427</v>
      </c>
      <c r="B24077" s="2" t="s">
        <v>37428</v>
      </c>
      <c r="C24077" s="1" t="s">
        <v>7431</v>
      </c>
      <c r="D24077" s="1" t="s">
        <v>7432</v>
      </c>
    </row>
    <row r="24078">
      <c r="A24078" s="1" t="s">
        <v>37429</v>
      </c>
      <c r="B24078" s="2" t="s">
        <v>37430</v>
      </c>
      <c r="C24078" s="1" t="s">
        <v>7431</v>
      </c>
      <c r="D24078" s="1" t="s">
        <v>7432</v>
      </c>
    </row>
    <row r="24079">
      <c r="A24079" s="1" t="s">
        <v>37431</v>
      </c>
      <c r="B24079" s="2" t="s">
        <v>37432</v>
      </c>
      <c r="C24079" s="1" t="s">
        <v>7431</v>
      </c>
      <c r="D24079" s="1" t="s">
        <v>7432</v>
      </c>
    </row>
    <row r="24080">
      <c r="A24080" s="1" t="s">
        <v>37433</v>
      </c>
      <c r="B24080" s="2" t="s">
        <v>36847</v>
      </c>
      <c r="C24080" s="1" t="s">
        <v>7431</v>
      </c>
      <c r="D24080" s="1" t="s">
        <v>7432</v>
      </c>
    </row>
    <row r="24081">
      <c r="A24081" s="1" t="s">
        <v>37434</v>
      </c>
      <c r="B24081" s="2" t="s">
        <v>37435</v>
      </c>
      <c r="C24081" s="1" t="s">
        <v>7431</v>
      </c>
      <c r="D24081" s="1" t="s">
        <v>7432</v>
      </c>
    </row>
    <row r="24082">
      <c r="A24082" s="1" t="s">
        <v>37436</v>
      </c>
      <c r="B24082" s="2" t="s">
        <v>37437</v>
      </c>
      <c r="C24082" s="1" t="s">
        <v>7431</v>
      </c>
      <c r="D24082" s="1" t="s">
        <v>7432</v>
      </c>
    </row>
    <row r="24083">
      <c r="A24083" s="1" t="s">
        <v>37438</v>
      </c>
      <c r="B24083" s="2" t="s">
        <v>37439</v>
      </c>
      <c r="C24083" s="1" t="s">
        <v>7431</v>
      </c>
      <c r="D24083" s="1" t="s">
        <v>7432</v>
      </c>
    </row>
    <row r="24084">
      <c r="A24084" s="1" t="s">
        <v>37440</v>
      </c>
      <c r="B24084" s="2" t="s">
        <v>37441</v>
      </c>
      <c r="C24084" s="1" t="s">
        <v>7431</v>
      </c>
      <c r="D24084" s="1" t="s">
        <v>7432</v>
      </c>
    </row>
    <row r="24085">
      <c r="A24085" s="1" t="s">
        <v>37442</v>
      </c>
      <c r="B24085" s="2" t="s">
        <v>37443</v>
      </c>
      <c r="C24085" s="1" t="s">
        <v>7431</v>
      </c>
      <c r="D24085" s="1" t="s">
        <v>7432</v>
      </c>
    </row>
    <row r="24086">
      <c r="A24086" s="1" t="s">
        <v>37444</v>
      </c>
      <c r="B24086" s="2" t="s">
        <v>37445</v>
      </c>
      <c r="C24086" s="1" t="s">
        <v>7431</v>
      </c>
      <c r="D24086" s="1" t="s">
        <v>7432</v>
      </c>
    </row>
    <row r="24087">
      <c r="A24087" s="1" t="s">
        <v>37446</v>
      </c>
      <c r="B24087" s="2" t="s">
        <v>37447</v>
      </c>
      <c r="C24087" s="1" t="s">
        <v>7431</v>
      </c>
      <c r="D24087" s="1" t="s">
        <v>7432</v>
      </c>
    </row>
    <row r="24088">
      <c r="A24088" s="1" t="s">
        <v>37448</v>
      </c>
      <c r="B24088" s="2" t="s">
        <v>37449</v>
      </c>
      <c r="C24088" s="1" t="s">
        <v>7431</v>
      </c>
      <c r="D24088" s="1" t="s">
        <v>7432</v>
      </c>
    </row>
    <row r="24089">
      <c r="A24089" s="1" t="s">
        <v>37450</v>
      </c>
      <c r="B24089" s="2" t="s">
        <v>37451</v>
      </c>
      <c r="C24089" s="1" t="s">
        <v>7431</v>
      </c>
      <c r="D24089" s="1" t="s">
        <v>7432</v>
      </c>
    </row>
    <row r="24090">
      <c r="A24090" s="1" t="s">
        <v>37452</v>
      </c>
      <c r="B24090" s="2" t="s">
        <v>37453</v>
      </c>
      <c r="C24090" s="1" t="s">
        <v>7431</v>
      </c>
      <c r="D24090" s="1" t="s">
        <v>7432</v>
      </c>
    </row>
    <row r="24091">
      <c r="A24091" s="1" t="s">
        <v>37454</v>
      </c>
      <c r="B24091" s="2" t="s">
        <v>37455</v>
      </c>
      <c r="C24091" s="1" t="s">
        <v>7431</v>
      </c>
      <c r="D24091" s="1" t="s">
        <v>7432</v>
      </c>
    </row>
    <row r="24092">
      <c r="A24092" s="1" t="s">
        <v>37456</v>
      </c>
      <c r="B24092" s="2" t="s">
        <v>36907</v>
      </c>
      <c r="C24092" s="1" t="s">
        <v>7431</v>
      </c>
      <c r="D24092" s="1" t="s">
        <v>7432</v>
      </c>
    </row>
    <row r="24093">
      <c r="A24093" s="1" t="s">
        <v>37457</v>
      </c>
      <c r="B24093" s="2" t="s">
        <v>37458</v>
      </c>
      <c r="C24093" s="1" t="s">
        <v>7431</v>
      </c>
      <c r="D24093" s="1" t="s">
        <v>7432</v>
      </c>
    </row>
    <row r="24094">
      <c r="A24094" s="1" t="s">
        <v>37459</v>
      </c>
      <c r="B24094" s="2" t="s">
        <v>37460</v>
      </c>
      <c r="C24094" s="1" t="s">
        <v>7431</v>
      </c>
      <c r="D24094" s="1" t="s">
        <v>7432</v>
      </c>
    </row>
    <row r="24095">
      <c r="A24095" s="1" t="s">
        <v>37461</v>
      </c>
      <c r="B24095" s="2" t="s">
        <v>37462</v>
      </c>
      <c r="C24095" s="1" t="s">
        <v>7431</v>
      </c>
      <c r="D24095" s="1" t="s">
        <v>7432</v>
      </c>
    </row>
    <row r="24096">
      <c r="A24096" s="1" t="s">
        <v>37463</v>
      </c>
      <c r="B24096" s="2" t="s">
        <v>37464</v>
      </c>
      <c r="C24096" s="1" t="s">
        <v>7431</v>
      </c>
      <c r="D24096" s="1" t="s">
        <v>7432</v>
      </c>
    </row>
    <row r="24097">
      <c r="A24097" s="1" t="s">
        <v>37465</v>
      </c>
      <c r="B24097" s="2" t="s">
        <v>37466</v>
      </c>
      <c r="C24097" s="1" t="s">
        <v>7431</v>
      </c>
      <c r="D24097" s="1" t="s">
        <v>7432</v>
      </c>
    </row>
    <row r="24098">
      <c r="A24098" s="1" t="s">
        <v>37467</v>
      </c>
      <c r="B24098" s="2" t="s">
        <v>37468</v>
      </c>
      <c r="C24098" s="1" t="s">
        <v>7431</v>
      </c>
      <c r="D24098" s="1" t="s">
        <v>7432</v>
      </c>
    </row>
    <row r="24099">
      <c r="A24099" s="1" t="s">
        <v>37469</v>
      </c>
      <c r="B24099" s="2" t="s">
        <v>37470</v>
      </c>
      <c r="C24099" s="1" t="s">
        <v>7431</v>
      </c>
      <c r="D24099" s="1" t="s">
        <v>7432</v>
      </c>
    </row>
    <row r="24100">
      <c r="A24100" s="1" t="s">
        <v>37471</v>
      </c>
      <c r="B24100" s="2" t="s">
        <v>37472</v>
      </c>
      <c r="C24100" s="1" t="s">
        <v>7431</v>
      </c>
      <c r="D24100" s="1" t="s">
        <v>7432</v>
      </c>
    </row>
    <row r="24101">
      <c r="A24101" s="1" t="s">
        <v>37473</v>
      </c>
      <c r="B24101" s="2" t="s">
        <v>36961</v>
      </c>
      <c r="C24101" s="1" t="s">
        <v>7431</v>
      </c>
      <c r="D24101" s="1" t="s">
        <v>7432</v>
      </c>
    </row>
    <row r="24102">
      <c r="A24102" s="1" t="s">
        <v>37474</v>
      </c>
      <c r="B24102" s="2" t="s">
        <v>37475</v>
      </c>
      <c r="C24102" s="1" t="s">
        <v>7431</v>
      </c>
      <c r="D24102" s="1" t="s">
        <v>7432</v>
      </c>
    </row>
    <row r="24103">
      <c r="A24103" s="1" t="s">
        <v>37476</v>
      </c>
      <c r="B24103" s="2" t="s">
        <v>37477</v>
      </c>
      <c r="C24103" s="1" t="s">
        <v>7431</v>
      </c>
      <c r="D24103" s="1" t="s">
        <v>7432</v>
      </c>
    </row>
    <row r="24104">
      <c r="A24104" s="1" t="s">
        <v>37478</v>
      </c>
      <c r="B24104" s="2" t="s">
        <v>37479</v>
      </c>
      <c r="C24104" s="1" t="s">
        <v>7431</v>
      </c>
      <c r="D24104" s="1" t="s">
        <v>7432</v>
      </c>
    </row>
    <row r="24105">
      <c r="A24105" s="1" t="s">
        <v>37480</v>
      </c>
      <c r="B24105" s="2" t="s">
        <v>37481</v>
      </c>
      <c r="C24105" s="1" t="s">
        <v>7431</v>
      </c>
      <c r="D24105" s="1" t="s">
        <v>7432</v>
      </c>
    </row>
    <row r="24106">
      <c r="A24106" s="1" t="s">
        <v>37482</v>
      </c>
      <c r="B24106" s="2" t="s">
        <v>37483</v>
      </c>
      <c r="C24106" s="1" t="s">
        <v>7431</v>
      </c>
      <c r="D24106" s="1" t="s">
        <v>7432</v>
      </c>
    </row>
    <row r="24107">
      <c r="A24107" s="1" t="s">
        <v>37484</v>
      </c>
      <c r="B24107" s="2" t="s">
        <v>37485</v>
      </c>
      <c r="C24107" s="1" t="s">
        <v>7431</v>
      </c>
      <c r="D24107" s="1" t="s">
        <v>7432</v>
      </c>
    </row>
    <row r="24108">
      <c r="A24108" s="1" t="s">
        <v>37486</v>
      </c>
      <c r="B24108" s="2" t="s">
        <v>37487</v>
      </c>
      <c r="C24108" s="1" t="s">
        <v>7431</v>
      </c>
      <c r="D24108" s="1" t="s">
        <v>7432</v>
      </c>
    </row>
    <row r="24109">
      <c r="A24109" s="1" t="s">
        <v>37488</v>
      </c>
      <c r="B24109" s="2" t="s">
        <v>37489</v>
      </c>
      <c r="C24109" s="1" t="s">
        <v>7431</v>
      </c>
      <c r="D24109" s="1" t="s">
        <v>7432</v>
      </c>
    </row>
    <row r="24110">
      <c r="A24110" s="1" t="s">
        <v>37490</v>
      </c>
      <c r="B24110" s="2" t="s">
        <v>37491</v>
      </c>
      <c r="C24110" s="1" t="s">
        <v>7431</v>
      </c>
      <c r="D24110" s="1" t="s">
        <v>7432</v>
      </c>
    </row>
    <row r="24111">
      <c r="A24111" s="1" t="s">
        <v>37492</v>
      </c>
      <c r="B24111" s="2" t="s">
        <v>37493</v>
      </c>
      <c r="C24111" s="1" t="s">
        <v>7431</v>
      </c>
      <c r="D24111" s="1" t="s">
        <v>7432</v>
      </c>
    </row>
    <row r="24112">
      <c r="A24112" s="1" t="s">
        <v>37494</v>
      </c>
      <c r="B24112" s="2" t="s">
        <v>37495</v>
      </c>
      <c r="C24112" s="1" t="s">
        <v>7431</v>
      </c>
      <c r="D24112" s="1" t="s">
        <v>7432</v>
      </c>
    </row>
    <row r="24113">
      <c r="A24113" s="1" t="s">
        <v>37496</v>
      </c>
      <c r="B24113" s="2" t="s">
        <v>37027</v>
      </c>
      <c r="C24113" s="1" t="s">
        <v>7431</v>
      </c>
      <c r="D24113" s="1" t="s">
        <v>7432</v>
      </c>
    </row>
    <row r="24114">
      <c r="A24114" s="1" t="s">
        <v>37497</v>
      </c>
      <c r="B24114" s="2" t="s">
        <v>37498</v>
      </c>
      <c r="C24114" s="1" t="s">
        <v>7431</v>
      </c>
      <c r="D24114" s="1" t="s">
        <v>7432</v>
      </c>
    </row>
    <row r="24115">
      <c r="A24115" s="1" t="s">
        <v>37499</v>
      </c>
      <c r="B24115" s="2" t="s">
        <v>37500</v>
      </c>
      <c r="C24115" s="1" t="s">
        <v>7431</v>
      </c>
      <c r="D24115" s="1" t="s">
        <v>7432</v>
      </c>
    </row>
    <row r="24116">
      <c r="A24116" s="1" t="s">
        <v>37501</v>
      </c>
      <c r="B24116" s="2" t="s">
        <v>37502</v>
      </c>
      <c r="C24116" s="1" t="s">
        <v>7431</v>
      </c>
      <c r="D24116" s="1" t="s">
        <v>7432</v>
      </c>
    </row>
    <row r="24117">
      <c r="A24117" s="1" t="s">
        <v>37503</v>
      </c>
      <c r="B24117" s="2" t="s">
        <v>37504</v>
      </c>
      <c r="C24117" s="1" t="s">
        <v>7431</v>
      </c>
      <c r="D24117" s="1" t="s">
        <v>7432</v>
      </c>
    </row>
    <row r="24118">
      <c r="A24118" s="1" t="s">
        <v>37505</v>
      </c>
      <c r="B24118" s="2" t="s">
        <v>37506</v>
      </c>
      <c r="C24118" s="1" t="s">
        <v>7431</v>
      </c>
      <c r="D24118" s="1" t="s">
        <v>7432</v>
      </c>
    </row>
    <row r="24119">
      <c r="A24119" s="1" t="s">
        <v>37507</v>
      </c>
      <c r="B24119" s="2" t="s">
        <v>37508</v>
      </c>
      <c r="C24119" s="1" t="s">
        <v>7431</v>
      </c>
      <c r="D24119" s="1" t="s">
        <v>7432</v>
      </c>
    </row>
    <row r="24120">
      <c r="A24120" s="1" t="s">
        <v>37509</v>
      </c>
      <c r="B24120" s="2" t="s">
        <v>37510</v>
      </c>
      <c r="C24120" s="1" t="s">
        <v>7431</v>
      </c>
      <c r="D24120" s="1" t="s">
        <v>7432</v>
      </c>
    </row>
    <row r="24121">
      <c r="A24121" s="1" t="s">
        <v>37511</v>
      </c>
      <c r="B24121" s="2" t="s">
        <v>37512</v>
      </c>
      <c r="C24121" s="1" t="s">
        <v>7431</v>
      </c>
      <c r="D24121" s="1" t="s">
        <v>7432</v>
      </c>
    </row>
    <row r="24122">
      <c r="A24122" s="1" t="s">
        <v>37513</v>
      </c>
      <c r="B24122" s="2" t="s">
        <v>37514</v>
      </c>
      <c r="C24122" s="1" t="s">
        <v>7431</v>
      </c>
      <c r="D24122" s="1" t="s">
        <v>7432</v>
      </c>
    </row>
    <row r="24123">
      <c r="A24123" s="1" t="s">
        <v>37515</v>
      </c>
      <c r="B24123" s="2" t="s">
        <v>37516</v>
      </c>
      <c r="C24123" s="1" t="s">
        <v>7431</v>
      </c>
      <c r="D24123" s="1" t="s">
        <v>7432</v>
      </c>
    </row>
    <row r="24124">
      <c r="A24124" s="1" t="s">
        <v>37517</v>
      </c>
      <c r="B24124" s="2" t="s">
        <v>37518</v>
      </c>
      <c r="C24124" s="1" t="s">
        <v>7431</v>
      </c>
      <c r="D24124" s="1" t="s">
        <v>7432</v>
      </c>
    </row>
    <row r="24125">
      <c r="A24125" s="1" t="s">
        <v>37519</v>
      </c>
      <c r="B24125" s="2" t="s">
        <v>37075</v>
      </c>
      <c r="C24125" s="1" t="s">
        <v>7431</v>
      </c>
      <c r="D24125" s="1" t="s">
        <v>7432</v>
      </c>
    </row>
    <row r="24126">
      <c r="A24126" s="1" t="s">
        <v>7441</v>
      </c>
      <c r="B24126" s="2" t="s">
        <v>7</v>
      </c>
      <c r="C24126" s="1" t="s">
        <v>7443</v>
      </c>
      <c r="D24126" s="1" t="s">
        <v>7444</v>
      </c>
    </row>
    <row r="24127">
      <c r="A24127" s="1" t="s">
        <v>37520</v>
      </c>
      <c r="B24127" s="2" t="s">
        <v>37521</v>
      </c>
      <c r="C24127" s="1" t="s">
        <v>7443</v>
      </c>
      <c r="D24127" s="1" t="s">
        <v>7444</v>
      </c>
    </row>
    <row r="24128">
      <c r="A24128" s="1" t="s">
        <v>37522</v>
      </c>
      <c r="B24128" s="2" t="s">
        <v>37523</v>
      </c>
      <c r="C24128" s="1" t="s">
        <v>7443</v>
      </c>
      <c r="D24128" s="1" t="s">
        <v>7444</v>
      </c>
    </row>
    <row r="24129">
      <c r="A24129" s="1" t="s">
        <v>37524</v>
      </c>
      <c r="B24129" s="2" t="s">
        <v>37525</v>
      </c>
      <c r="C24129" s="1" t="s">
        <v>7443</v>
      </c>
      <c r="D24129" s="1" t="s">
        <v>7444</v>
      </c>
    </row>
    <row r="24130">
      <c r="A24130" s="1" t="s">
        <v>37526</v>
      </c>
      <c r="B24130" s="2" t="s">
        <v>37527</v>
      </c>
      <c r="C24130" s="1" t="s">
        <v>7443</v>
      </c>
      <c r="D24130" s="1" t="s">
        <v>7444</v>
      </c>
    </row>
    <row r="24131">
      <c r="A24131" s="1" t="s">
        <v>37528</v>
      </c>
      <c r="B24131" s="2" t="s">
        <v>37529</v>
      </c>
      <c r="C24131" s="1" t="s">
        <v>7443</v>
      </c>
      <c r="D24131" s="1" t="s">
        <v>7444</v>
      </c>
    </row>
    <row r="24132">
      <c r="A24132" s="1" t="s">
        <v>37530</v>
      </c>
      <c r="B24132" s="2" t="s">
        <v>37531</v>
      </c>
      <c r="C24132" s="1" t="s">
        <v>7443</v>
      </c>
      <c r="D24132" s="1" t="s">
        <v>7444</v>
      </c>
    </row>
    <row r="24133">
      <c r="A24133" s="1" t="s">
        <v>37532</v>
      </c>
      <c r="B24133" s="2" t="s">
        <v>37533</v>
      </c>
      <c r="C24133" s="1" t="s">
        <v>7443</v>
      </c>
      <c r="D24133" s="1" t="s">
        <v>7444</v>
      </c>
    </row>
    <row r="24134">
      <c r="A24134" s="1" t="s">
        <v>37534</v>
      </c>
      <c r="B24134" s="2" t="s">
        <v>36715</v>
      </c>
      <c r="C24134" s="1" t="s">
        <v>7443</v>
      </c>
      <c r="D24134" s="1" t="s">
        <v>7444</v>
      </c>
    </row>
    <row r="24135">
      <c r="A24135" s="1" t="s">
        <v>37535</v>
      </c>
      <c r="B24135" s="2" t="s">
        <v>37536</v>
      </c>
      <c r="C24135" s="1" t="s">
        <v>7443</v>
      </c>
      <c r="D24135" s="1" t="s">
        <v>7444</v>
      </c>
    </row>
    <row r="24136">
      <c r="A24136" s="1" t="s">
        <v>37537</v>
      </c>
      <c r="B24136" s="2" t="s">
        <v>37538</v>
      </c>
      <c r="C24136" s="1" t="s">
        <v>7443</v>
      </c>
      <c r="D24136" s="1" t="s">
        <v>7444</v>
      </c>
    </row>
    <row r="24137">
      <c r="A24137" s="1" t="s">
        <v>37539</v>
      </c>
      <c r="B24137" s="2" t="s">
        <v>37540</v>
      </c>
      <c r="C24137" s="1" t="s">
        <v>7443</v>
      </c>
      <c r="D24137" s="1" t="s">
        <v>7444</v>
      </c>
    </row>
    <row r="24138">
      <c r="A24138" s="1" t="s">
        <v>37541</v>
      </c>
      <c r="B24138" s="2" t="s">
        <v>37542</v>
      </c>
      <c r="C24138" s="1" t="s">
        <v>7443</v>
      </c>
      <c r="D24138" s="1" t="s">
        <v>7444</v>
      </c>
    </row>
    <row r="24139">
      <c r="A24139" s="1" t="s">
        <v>37543</v>
      </c>
      <c r="B24139" s="2" t="s">
        <v>37544</v>
      </c>
      <c r="C24139" s="1" t="s">
        <v>7443</v>
      </c>
      <c r="D24139" s="1" t="s">
        <v>7444</v>
      </c>
    </row>
    <row r="24140">
      <c r="A24140" s="1" t="s">
        <v>37545</v>
      </c>
      <c r="B24140" s="2" t="s">
        <v>37546</v>
      </c>
      <c r="C24140" s="1" t="s">
        <v>7443</v>
      </c>
      <c r="D24140" s="1" t="s">
        <v>7444</v>
      </c>
    </row>
    <row r="24141">
      <c r="A24141" s="1" t="s">
        <v>37547</v>
      </c>
      <c r="B24141" s="2" t="s">
        <v>37548</v>
      </c>
      <c r="C24141" s="1" t="s">
        <v>7443</v>
      </c>
      <c r="D24141" s="1" t="s">
        <v>7444</v>
      </c>
    </row>
    <row r="24142">
      <c r="A24142" s="1" t="s">
        <v>37549</v>
      </c>
      <c r="B24142" s="2" t="s">
        <v>36781</v>
      </c>
      <c r="C24142" s="1" t="s">
        <v>7443</v>
      </c>
      <c r="D24142" s="1" t="s">
        <v>7444</v>
      </c>
    </row>
    <row r="24143">
      <c r="A24143" s="1" t="s">
        <v>37550</v>
      </c>
      <c r="B24143" s="2" t="s">
        <v>37551</v>
      </c>
      <c r="C24143" s="1" t="s">
        <v>7443</v>
      </c>
      <c r="D24143" s="1" t="s">
        <v>7444</v>
      </c>
    </row>
    <row r="24144">
      <c r="A24144" s="1" t="s">
        <v>37552</v>
      </c>
      <c r="B24144" s="2" t="s">
        <v>37553</v>
      </c>
      <c r="C24144" s="1" t="s">
        <v>7443</v>
      </c>
      <c r="D24144" s="1" t="s">
        <v>7444</v>
      </c>
    </row>
    <row r="24145">
      <c r="A24145" s="1" t="s">
        <v>37554</v>
      </c>
      <c r="B24145" s="2" t="s">
        <v>37555</v>
      </c>
      <c r="C24145" s="1" t="s">
        <v>7443</v>
      </c>
      <c r="D24145" s="1" t="s">
        <v>7444</v>
      </c>
    </row>
    <row r="24146">
      <c r="A24146" s="1" t="s">
        <v>37556</v>
      </c>
      <c r="B24146" s="2" t="s">
        <v>37557</v>
      </c>
      <c r="C24146" s="1" t="s">
        <v>7443</v>
      </c>
      <c r="D24146" s="1" t="s">
        <v>7444</v>
      </c>
    </row>
    <row r="24147">
      <c r="A24147" s="1" t="s">
        <v>37558</v>
      </c>
      <c r="B24147" s="2" t="s">
        <v>37559</v>
      </c>
      <c r="C24147" s="1" t="s">
        <v>7443</v>
      </c>
      <c r="D24147" s="1" t="s">
        <v>7444</v>
      </c>
    </row>
    <row r="24148">
      <c r="A24148" s="1" t="s">
        <v>37560</v>
      </c>
      <c r="B24148" s="2" t="s">
        <v>37561</v>
      </c>
      <c r="C24148" s="1" t="s">
        <v>7443</v>
      </c>
      <c r="D24148" s="1" t="s">
        <v>7444</v>
      </c>
    </row>
    <row r="24149">
      <c r="A24149" s="1" t="s">
        <v>37562</v>
      </c>
      <c r="B24149" s="2" t="s">
        <v>37563</v>
      </c>
      <c r="C24149" s="1" t="s">
        <v>7443</v>
      </c>
      <c r="D24149" s="1" t="s">
        <v>7444</v>
      </c>
    </row>
    <row r="24150">
      <c r="A24150" s="1" t="s">
        <v>37564</v>
      </c>
      <c r="B24150" s="2" t="s">
        <v>36847</v>
      </c>
      <c r="C24150" s="1" t="s">
        <v>7443</v>
      </c>
      <c r="D24150" s="1" t="s">
        <v>7444</v>
      </c>
    </row>
    <row r="24151">
      <c r="A24151" s="1" t="s">
        <v>37565</v>
      </c>
      <c r="B24151" s="2" t="s">
        <v>37566</v>
      </c>
      <c r="C24151" s="1" t="s">
        <v>7443</v>
      </c>
      <c r="D24151" s="1" t="s">
        <v>7444</v>
      </c>
    </row>
    <row r="24152">
      <c r="A24152" s="1" t="s">
        <v>37567</v>
      </c>
      <c r="B24152" s="2" t="s">
        <v>37568</v>
      </c>
      <c r="C24152" s="1" t="s">
        <v>7443</v>
      </c>
      <c r="D24152" s="1" t="s">
        <v>7444</v>
      </c>
    </row>
    <row r="24153">
      <c r="A24153" s="1" t="s">
        <v>37569</v>
      </c>
      <c r="B24153" s="2" t="s">
        <v>37570</v>
      </c>
      <c r="C24153" s="1" t="s">
        <v>7443</v>
      </c>
      <c r="D24153" s="1" t="s">
        <v>7444</v>
      </c>
    </row>
    <row r="24154">
      <c r="A24154" s="1" t="s">
        <v>37571</v>
      </c>
      <c r="B24154" s="2" t="s">
        <v>37572</v>
      </c>
      <c r="C24154" s="1" t="s">
        <v>7443</v>
      </c>
      <c r="D24154" s="1" t="s">
        <v>7444</v>
      </c>
    </row>
    <row r="24155">
      <c r="A24155" s="1" t="s">
        <v>37573</v>
      </c>
      <c r="B24155" s="2" t="s">
        <v>37574</v>
      </c>
      <c r="C24155" s="1" t="s">
        <v>7443</v>
      </c>
      <c r="D24155" s="1" t="s">
        <v>7444</v>
      </c>
    </row>
    <row r="24156">
      <c r="A24156" s="1" t="s">
        <v>37575</v>
      </c>
      <c r="B24156" s="2" t="s">
        <v>37576</v>
      </c>
      <c r="C24156" s="1" t="s">
        <v>7443</v>
      </c>
      <c r="D24156" s="1" t="s">
        <v>7444</v>
      </c>
    </row>
    <row r="24157">
      <c r="A24157" s="1" t="s">
        <v>37577</v>
      </c>
      <c r="B24157" s="2" t="s">
        <v>37578</v>
      </c>
      <c r="C24157" s="1" t="s">
        <v>7443</v>
      </c>
      <c r="D24157" s="1" t="s">
        <v>7444</v>
      </c>
    </row>
    <row r="24158">
      <c r="A24158" s="1" t="s">
        <v>37579</v>
      </c>
      <c r="B24158" s="2" t="s">
        <v>36907</v>
      </c>
      <c r="C24158" s="1" t="s">
        <v>7443</v>
      </c>
      <c r="D24158" s="1" t="s">
        <v>7444</v>
      </c>
    </row>
    <row r="24159">
      <c r="A24159" s="1" t="s">
        <v>37580</v>
      </c>
      <c r="B24159" s="2" t="s">
        <v>37581</v>
      </c>
      <c r="C24159" s="1" t="s">
        <v>7443</v>
      </c>
      <c r="D24159" s="1" t="s">
        <v>7444</v>
      </c>
    </row>
    <row r="24160">
      <c r="A24160" s="1" t="s">
        <v>37582</v>
      </c>
      <c r="B24160" s="2" t="s">
        <v>37583</v>
      </c>
      <c r="C24160" s="1" t="s">
        <v>7443</v>
      </c>
      <c r="D24160" s="1" t="s">
        <v>7444</v>
      </c>
    </row>
    <row r="24161">
      <c r="A24161" s="1" t="s">
        <v>37584</v>
      </c>
      <c r="B24161" s="2" t="s">
        <v>37585</v>
      </c>
      <c r="C24161" s="1" t="s">
        <v>7443</v>
      </c>
      <c r="D24161" s="1" t="s">
        <v>7444</v>
      </c>
    </row>
    <row r="24162">
      <c r="A24162" s="1" t="s">
        <v>37586</v>
      </c>
      <c r="B24162" s="2" t="s">
        <v>37587</v>
      </c>
      <c r="C24162" s="1" t="s">
        <v>7443</v>
      </c>
      <c r="D24162" s="1" t="s">
        <v>7444</v>
      </c>
    </row>
    <row r="24163">
      <c r="A24163" s="1" t="s">
        <v>37588</v>
      </c>
      <c r="B24163" s="2" t="s">
        <v>37589</v>
      </c>
      <c r="C24163" s="1" t="s">
        <v>7443</v>
      </c>
      <c r="D24163" s="1" t="s">
        <v>7444</v>
      </c>
    </row>
    <row r="24164">
      <c r="A24164" s="1" t="s">
        <v>37590</v>
      </c>
      <c r="B24164" s="2" t="s">
        <v>37591</v>
      </c>
      <c r="C24164" s="1" t="s">
        <v>7443</v>
      </c>
      <c r="D24164" s="1" t="s">
        <v>7444</v>
      </c>
    </row>
    <row r="24165">
      <c r="A24165" s="1" t="s">
        <v>37592</v>
      </c>
      <c r="B24165" s="2" t="s">
        <v>37593</v>
      </c>
      <c r="C24165" s="1" t="s">
        <v>7443</v>
      </c>
      <c r="D24165" s="1" t="s">
        <v>7444</v>
      </c>
    </row>
    <row r="24166">
      <c r="A24166" s="1" t="s">
        <v>37594</v>
      </c>
      <c r="B24166" s="2" t="s">
        <v>36961</v>
      </c>
      <c r="C24166" s="1" t="s">
        <v>7443</v>
      </c>
      <c r="D24166" s="1" t="s">
        <v>7444</v>
      </c>
    </row>
    <row r="24167">
      <c r="A24167" s="1" t="s">
        <v>37595</v>
      </c>
      <c r="B24167" s="2" t="s">
        <v>37596</v>
      </c>
      <c r="C24167" s="1" t="s">
        <v>7443</v>
      </c>
      <c r="D24167" s="1" t="s">
        <v>7444</v>
      </c>
    </row>
    <row r="24168">
      <c r="A24168" s="1" t="s">
        <v>37597</v>
      </c>
      <c r="B24168" s="2" t="s">
        <v>37598</v>
      </c>
      <c r="C24168" s="1" t="s">
        <v>7443</v>
      </c>
      <c r="D24168" s="1" t="s">
        <v>7444</v>
      </c>
    </row>
    <row r="24169">
      <c r="A24169" s="1" t="s">
        <v>37599</v>
      </c>
      <c r="B24169" s="2" t="s">
        <v>37600</v>
      </c>
      <c r="C24169" s="1" t="s">
        <v>7443</v>
      </c>
      <c r="D24169" s="1" t="s">
        <v>7444</v>
      </c>
    </row>
    <row r="24170">
      <c r="A24170" s="1" t="s">
        <v>37601</v>
      </c>
      <c r="B24170" s="2" t="s">
        <v>37602</v>
      </c>
      <c r="C24170" s="1" t="s">
        <v>7443</v>
      </c>
      <c r="D24170" s="1" t="s">
        <v>7444</v>
      </c>
    </row>
    <row r="24171">
      <c r="A24171" s="1" t="s">
        <v>37603</v>
      </c>
      <c r="B24171" s="2" t="s">
        <v>37604</v>
      </c>
      <c r="C24171" s="1" t="s">
        <v>7443</v>
      </c>
      <c r="D24171" s="1" t="s">
        <v>7444</v>
      </c>
    </row>
    <row r="24172">
      <c r="A24172" s="1" t="s">
        <v>37605</v>
      </c>
      <c r="B24172" s="2" t="s">
        <v>37606</v>
      </c>
      <c r="C24172" s="1" t="s">
        <v>7443</v>
      </c>
      <c r="D24172" s="1" t="s">
        <v>7444</v>
      </c>
    </row>
    <row r="24173">
      <c r="A24173" s="1" t="s">
        <v>37607</v>
      </c>
      <c r="B24173" s="2" t="s">
        <v>37608</v>
      </c>
      <c r="C24173" s="1" t="s">
        <v>7443</v>
      </c>
      <c r="D24173" s="1" t="s">
        <v>7444</v>
      </c>
    </row>
    <row r="24174">
      <c r="A24174" s="1" t="s">
        <v>37609</v>
      </c>
      <c r="B24174" s="2" t="s">
        <v>37027</v>
      </c>
      <c r="C24174" s="1" t="s">
        <v>7443</v>
      </c>
      <c r="D24174" s="1" t="s">
        <v>7444</v>
      </c>
    </row>
    <row r="24175">
      <c r="A24175" s="1" t="s">
        <v>37610</v>
      </c>
      <c r="B24175" s="2" t="s">
        <v>37611</v>
      </c>
      <c r="C24175" s="1" t="s">
        <v>7443</v>
      </c>
      <c r="D24175" s="1" t="s">
        <v>7444</v>
      </c>
    </row>
    <row r="24176">
      <c r="A24176" s="1" t="s">
        <v>37612</v>
      </c>
      <c r="B24176" s="2" t="s">
        <v>37613</v>
      </c>
      <c r="C24176" s="1" t="s">
        <v>7443</v>
      </c>
      <c r="D24176" s="1" t="s">
        <v>7444</v>
      </c>
    </row>
    <row r="24177">
      <c r="A24177" s="1" t="s">
        <v>37614</v>
      </c>
      <c r="B24177" s="2" t="s">
        <v>37615</v>
      </c>
      <c r="C24177" s="1" t="s">
        <v>7443</v>
      </c>
      <c r="D24177" s="1" t="s">
        <v>7444</v>
      </c>
    </row>
    <row r="24178">
      <c r="A24178" s="1" t="s">
        <v>37616</v>
      </c>
      <c r="B24178" s="2" t="s">
        <v>37617</v>
      </c>
      <c r="C24178" s="1" t="s">
        <v>7443</v>
      </c>
      <c r="D24178" s="1" t="s">
        <v>7444</v>
      </c>
    </row>
    <row r="24179">
      <c r="A24179" s="1" t="s">
        <v>37618</v>
      </c>
      <c r="B24179" s="2" t="s">
        <v>37619</v>
      </c>
      <c r="C24179" s="1" t="s">
        <v>7443</v>
      </c>
      <c r="D24179" s="1" t="s">
        <v>7444</v>
      </c>
    </row>
    <row r="24180">
      <c r="A24180" s="1" t="s">
        <v>37620</v>
      </c>
      <c r="B24180" s="2" t="s">
        <v>37621</v>
      </c>
      <c r="C24180" s="1" t="s">
        <v>7443</v>
      </c>
      <c r="D24180" s="1" t="s">
        <v>7444</v>
      </c>
    </row>
    <row r="24181">
      <c r="A24181" s="1" t="s">
        <v>37622</v>
      </c>
      <c r="B24181" s="2" t="s">
        <v>37623</v>
      </c>
      <c r="C24181" s="1" t="s">
        <v>7443</v>
      </c>
      <c r="D24181" s="1" t="s">
        <v>7444</v>
      </c>
    </row>
    <row r="24182">
      <c r="A24182" s="1" t="s">
        <v>37624</v>
      </c>
      <c r="B24182" s="2" t="s">
        <v>37075</v>
      </c>
      <c r="C24182" s="1" t="s">
        <v>7443</v>
      </c>
      <c r="D24182" s="1" t="s">
        <v>7444</v>
      </c>
    </row>
    <row r="24183">
      <c r="A24183" s="1" t="s">
        <v>7436</v>
      </c>
      <c r="B24183" s="2" t="s">
        <v>7</v>
      </c>
      <c r="C24183" s="1" t="s">
        <v>7438</v>
      </c>
      <c r="D24183" s="1" t="s">
        <v>7439</v>
      </c>
    </row>
    <row r="24184">
      <c r="A24184" s="1" t="s">
        <v>37625</v>
      </c>
      <c r="B24184" s="2" t="s">
        <v>37521</v>
      </c>
      <c r="C24184" s="1" t="s">
        <v>7438</v>
      </c>
      <c r="D24184" s="1" t="s">
        <v>7439</v>
      </c>
    </row>
    <row r="24185">
      <c r="A24185" s="1" t="s">
        <v>37626</v>
      </c>
      <c r="B24185" s="2" t="s">
        <v>37627</v>
      </c>
      <c r="C24185" s="1" t="s">
        <v>7438</v>
      </c>
      <c r="D24185" s="1" t="s">
        <v>7439</v>
      </c>
    </row>
    <row r="24186">
      <c r="A24186" s="1" t="s">
        <v>37628</v>
      </c>
      <c r="B24186" s="2" t="s">
        <v>37629</v>
      </c>
      <c r="C24186" s="1" t="s">
        <v>7438</v>
      </c>
      <c r="D24186" s="1" t="s">
        <v>7439</v>
      </c>
    </row>
    <row r="24187">
      <c r="A24187" s="1" t="s">
        <v>37630</v>
      </c>
      <c r="B24187" s="2" t="s">
        <v>37631</v>
      </c>
      <c r="C24187" s="1" t="s">
        <v>7438</v>
      </c>
      <c r="D24187" s="1" t="s">
        <v>7439</v>
      </c>
    </row>
    <row r="24188">
      <c r="A24188" s="1" t="s">
        <v>37632</v>
      </c>
      <c r="B24188" s="2" t="s">
        <v>37633</v>
      </c>
      <c r="C24188" s="1" t="s">
        <v>7438</v>
      </c>
      <c r="D24188" s="1" t="s">
        <v>7439</v>
      </c>
    </row>
    <row r="24189">
      <c r="A24189" s="1" t="s">
        <v>37634</v>
      </c>
      <c r="B24189" s="2" t="s">
        <v>37635</v>
      </c>
      <c r="C24189" s="1" t="s">
        <v>7438</v>
      </c>
      <c r="D24189" s="1" t="s">
        <v>7439</v>
      </c>
    </row>
    <row r="24190">
      <c r="A24190" s="1" t="s">
        <v>37636</v>
      </c>
      <c r="B24190" s="2" t="s">
        <v>37637</v>
      </c>
      <c r="C24190" s="1" t="s">
        <v>7438</v>
      </c>
      <c r="D24190" s="1" t="s">
        <v>7439</v>
      </c>
    </row>
    <row r="24191">
      <c r="A24191" s="1" t="s">
        <v>37638</v>
      </c>
      <c r="B24191" s="2" t="s">
        <v>36715</v>
      </c>
      <c r="C24191" s="1" t="s">
        <v>7438</v>
      </c>
      <c r="D24191" s="1" t="s">
        <v>7439</v>
      </c>
    </row>
    <row r="24192">
      <c r="A24192" s="1" t="s">
        <v>37639</v>
      </c>
      <c r="B24192" s="2" t="s">
        <v>37536</v>
      </c>
      <c r="C24192" s="1" t="s">
        <v>7438</v>
      </c>
      <c r="D24192" s="1" t="s">
        <v>7439</v>
      </c>
    </row>
    <row r="24193">
      <c r="A24193" s="1" t="s">
        <v>37640</v>
      </c>
      <c r="B24193" s="2" t="s">
        <v>37641</v>
      </c>
      <c r="C24193" s="1" t="s">
        <v>7438</v>
      </c>
      <c r="D24193" s="1" t="s">
        <v>7439</v>
      </c>
    </row>
    <row r="24194">
      <c r="A24194" s="1" t="s">
        <v>37642</v>
      </c>
      <c r="B24194" s="2" t="s">
        <v>37643</v>
      </c>
      <c r="C24194" s="1" t="s">
        <v>7438</v>
      </c>
      <c r="D24194" s="1" t="s">
        <v>7439</v>
      </c>
    </row>
    <row r="24195">
      <c r="A24195" s="1" t="s">
        <v>37644</v>
      </c>
      <c r="B24195" s="2" t="s">
        <v>37645</v>
      </c>
      <c r="C24195" s="1" t="s">
        <v>7438</v>
      </c>
      <c r="D24195" s="1" t="s">
        <v>7439</v>
      </c>
    </row>
    <row r="24196">
      <c r="A24196" s="1" t="s">
        <v>37646</v>
      </c>
      <c r="B24196" s="2" t="s">
        <v>37647</v>
      </c>
      <c r="C24196" s="1" t="s">
        <v>7438</v>
      </c>
      <c r="D24196" s="1" t="s">
        <v>7439</v>
      </c>
    </row>
    <row r="24197">
      <c r="A24197" s="1" t="s">
        <v>37648</v>
      </c>
      <c r="B24197" s="2" t="s">
        <v>37649</v>
      </c>
      <c r="C24197" s="1" t="s">
        <v>7438</v>
      </c>
      <c r="D24197" s="1" t="s">
        <v>7439</v>
      </c>
    </row>
    <row r="24198">
      <c r="A24198" s="1" t="s">
        <v>37650</v>
      </c>
      <c r="B24198" s="2" t="s">
        <v>37651</v>
      </c>
      <c r="C24198" s="1" t="s">
        <v>7438</v>
      </c>
      <c r="D24198" s="1" t="s">
        <v>7439</v>
      </c>
    </row>
    <row r="24199">
      <c r="A24199" s="1" t="s">
        <v>37652</v>
      </c>
      <c r="B24199" s="2" t="s">
        <v>36781</v>
      </c>
      <c r="C24199" s="1" t="s">
        <v>7438</v>
      </c>
      <c r="D24199" s="1" t="s">
        <v>7439</v>
      </c>
    </row>
    <row r="24200">
      <c r="A24200" s="1" t="s">
        <v>37653</v>
      </c>
      <c r="B24200" s="2" t="s">
        <v>37551</v>
      </c>
      <c r="C24200" s="1" t="s">
        <v>7438</v>
      </c>
      <c r="D24200" s="1" t="s">
        <v>7439</v>
      </c>
    </row>
    <row r="24201">
      <c r="A24201" s="1" t="s">
        <v>37654</v>
      </c>
      <c r="B24201" s="2" t="s">
        <v>37655</v>
      </c>
      <c r="C24201" s="1" t="s">
        <v>7438</v>
      </c>
      <c r="D24201" s="1" t="s">
        <v>7439</v>
      </c>
    </row>
    <row r="24202">
      <c r="A24202" s="1" t="s">
        <v>37656</v>
      </c>
      <c r="B24202" s="2" t="s">
        <v>37657</v>
      </c>
      <c r="C24202" s="1" t="s">
        <v>7438</v>
      </c>
      <c r="D24202" s="1" t="s">
        <v>7439</v>
      </c>
    </row>
    <row r="24203">
      <c r="A24203" s="1" t="s">
        <v>37658</v>
      </c>
      <c r="B24203" s="2" t="s">
        <v>37659</v>
      </c>
      <c r="C24203" s="1" t="s">
        <v>7438</v>
      </c>
      <c r="D24203" s="1" t="s">
        <v>7439</v>
      </c>
    </row>
    <row r="24204">
      <c r="A24204" s="1" t="s">
        <v>37660</v>
      </c>
      <c r="B24204" s="2" t="s">
        <v>37661</v>
      </c>
      <c r="C24204" s="1" t="s">
        <v>7438</v>
      </c>
      <c r="D24204" s="1" t="s">
        <v>7439</v>
      </c>
    </row>
    <row r="24205">
      <c r="A24205" s="1" t="s">
        <v>37662</v>
      </c>
      <c r="B24205" s="2" t="s">
        <v>37663</v>
      </c>
      <c r="C24205" s="1" t="s">
        <v>7438</v>
      </c>
      <c r="D24205" s="1" t="s">
        <v>7439</v>
      </c>
    </row>
    <row r="24206">
      <c r="A24206" s="1" t="s">
        <v>37664</v>
      </c>
      <c r="B24206" s="2" t="s">
        <v>37665</v>
      </c>
      <c r="C24206" s="1" t="s">
        <v>7438</v>
      </c>
      <c r="D24206" s="1" t="s">
        <v>7439</v>
      </c>
    </row>
    <row r="24207">
      <c r="A24207" s="1" t="s">
        <v>37666</v>
      </c>
      <c r="B24207" s="2" t="s">
        <v>36847</v>
      </c>
      <c r="C24207" s="1" t="s">
        <v>7438</v>
      </c>
      <c r="D24207" s="1" t="s">
        <v>7439</v>
      </c>
    </row>
    <row r="24208">
      <c r="A24208" s="1" t="s">
        <v>37667</v>
      </c>
      <c r="B24208" s="2" t="s">
        <v>37566</v>
      </c>
      <c r="C24208" s="1" t="s">
        <v>7438</v>
      </c>
      <c r="D24208" s="1" t="s">
        <v>7439</v>
      </c>
    </row>
    <row r="24209">
      <c r="A24209" s="1" t="s">
        <v>37668</v>
      </c>
      <c r="B24209" s="2" t="s">
        <v>37669</v>
      </c>
      <c r="C24209" s="1" t="s">
        <v>7438</v>
      </c>
      <c r="D24209" s="1" t="s">
        <v>7439</v>
      </c>
    </row>
    <row r="24210">
      <c r="A24210" s="1" t="s">
        <v>37670</v>
      </c>
      <c r="B24210" s="2" t="s">
        <v>37671</v>
      </c>
      <c r="C24210" s="1" t="s">
        <v>7438</v>
      </c>
      <c r="D24210" s="1" t="s">
        <v>7439</v>
      </c>
    </row>
    <row r="24211">
      <c r="A24211" s="1" t="s">
        <v>37672</v>
      </c>
      <c r="B24211" s="2" t="s">
        <v>37673</v>
      </c>
      <c r="C24211" s="1" t="s">
        <v>7438</v>
      </c>
      <c r="D24211" s="1" t="s">
        <v>7439</v>
      </c>
    </row>
    <row r="24212">
      <c r="A24212" s="1" t="s">
        <v>37674</v>
      </c>
      <c r="B24212" s="2" t="s">
        <v>37675</v>
      </c>
      <c r="C24212" s="1" t="s">
        <v>7438</v>
      </c>
      <c r="D24212" s="1" t="s">
        <v>7439</v>
      </c>
    </row>
    <row r="24213">
      <c r="A24213" s="1" t="s">
        <v>37676</v>
      </c>
      <c r="B24213" s="2" t="s">
        <v>37677</v>
      </c>
      <c r="C24213" s="1" t="s">
        <v>7438</v>
      </c>
      <c r="D24213" s="1" t="s">
        <v>7439</v>
      </c>
    </row>
    <row r="24214">
      <c r="A24214" s="1" t="s">
        <v>37678</v>
      </c>
      <c r="B24214" s="2" t="s">
        <v>37679</v>
      </c>
      <c r="C24214" s="1" t="s">
        <v>7438</v>
      </c>
      <c r="D24214" s="1" t="s">
        <v>7439</v>
      </c>
    </row>
    <row r="24215">
      <c r="A24215" s="1" t="s">
        <v>37680</v>
      </c>
      <c r="B24215" s="2" t="s">
        <v>36907</v>
      </c>
      <c r="C24215" s="1" t="s">
        <v>7438</v>
      </c>
      <c r="D24215" s="1" t="s">
        <v>7439</v>
      </c>
    </row>
    <row r="24216">
      <c r="A24216" s="1" t="s">
        <v>37681</v>
      </c>
      <c r="B24216" s="2" t="s">
        <v>37581</v>
      </c>
      <c r="C24216" s="1" t="s">
        <v>7438</v>
      </c>
      <c r="D24216" s="1" t="s">
        <v>7439</v>
      </c>
    </row>
    <row r="24217">
      <c r="A24217" s="1" t="s">
        <v>37682</v>
      </c>
      <c r="B24217" s="2" t="s">
        <v>37683</v>
      </c>
      <c r="C24217" s="1" t="s">
        <v>7438</v>
      </c>
      <c r="D24217" s="1" t="s">
        <v>7439</v>
      </c>
    </row>
    <row r="24218">
      <c r="A24218" s="1" t="s">
        <v>37684</v>
      </c>
      <c r="B24218" s="2" t="s">
        <v>37685</v>
      </c>
      <c r="C24218" s="1" t="s">
        <v>7438</v>
      </c>
      <c r="D24218" s="1" t="s">
        <v>7439</v>
      </c>
    </row>
    <row r="24219">
      <c r="A24219" s="1" t="s">
        <v>37686</v>
      </c>
      <c r="B24219" s="2" t="s">
        <v>37687</v>
      </c>
      <c r="C24219" s="1" t="s">
        <v>7438</v>
      </c>
      <c r="D24219" s="1" t="s">
        <v>7439</v>
      </c>
    </row>
    <row r="24220">
      <c r="A24220" s="1" t="s">
        <v>37688</v>
      </c>
      <c r="B24220" s="2" t="s">
        <v>37689</v>
      </c>
      <c r="C24220" s="1" t="s">
        <v>7438</v>
      </c>
      <c r="D24220" s="1" t="s">
        <v>7439</v>
      </c>
    </row>
    <row r="24221">
      <c r="A24221" s="1" t="s">
        <v>37690</v>
      </c>
      <c r="B24221" s="2" t="s">
        <v>37691</v>
      </c>
      <c r="C24221" s="1" t="s">
        <v>7438</v>
      </c>
      <c r="D24221" s="1" t="s">
        <v>7439</v>
      </c>
    </row>
    <row r="24222">
      <c r="A24222" s="1" t="s">
        <v>37692</v>
      </c>
      <c r="B24222" s="2" t="s">
        <v>37693</v>
      </c>
      <c r="C24222" s="1" t="s">
        <v>7438</v>
      </c>
      <c r="D24222" s="1" t="s">
        <v>7439</v>
      </c>
    </row>
    <row r="24223">
      <c r="A24223" s="1" t="s">
        <v>37694</v>
      </c>
      <c r="B24223" s="2" t="s">
        <v>36961</v>
      </c>
      <c r="C24223" s="1" t="s">
        <v>7438</v>
      </c>
      <c r="D24223" s="1" t="s">
        <v>7439</v>
      </c>
    </row>
    <row r="24224">
      <c r="A24224" s="1" t="s">
        <v>37695</v>
      </c>
      <c r="B24224" s="2" t="s">
        <v>37596</v>
      </c>
      <c r="C24224" s="1" t="s">
        <v>7438</v>
      </c>
      <c r="D24224" s="1" t="s">
        <v>7439</v>
      </c>
    </row>
    <row r="24225">
      <c r="A24225" s="1" t="s">
        <v>37696</v>
      </c>
      <c r="B24225" s="2" t="s">
        <v>37697</v>
      </c>
      <c r="C24225" s="1" t="s">
        <v>7438</v>
      </c>
      <c r="D24225" s="1" t="s">
        <v>7439</v>
      </c>
    </row>
    <row r="24226">
      <c r="A24226" s="1" t="s">
        <v>37698</v>
      </c>
      <c r="B24226" s="2" t="s">
        <v>37699</v>
      </c>
      <c r="C24226" s="1" t="s">
        <v>7438</v>
      </c>
      <c r="D24226" s="1" t="s">
        <v>7439</v>
      </c>
    </row>
    <row r="24227">
      <c r="A24227" s="1" t="s">
        <v>37700</v>
      </c>
      <c r="B24227" s="2" t="s">
        <v>37701</v>
      </c>
      <c r="C24227" s="1" t="s">
        <v>7438</v>
      </c>
      <c r="D24227" s="1" t="s">
        <v>7439</v>
      </c>
    </row>
    <row r="24228">
      <c r="A24228" s="1" t="s">
        <v>37702</v>
      </c>
      <c r="B24228" s="2" t="s">
        <v>37703</v>
      </c>
      <c r="C24228" s="1" t="s">
        <v>7438</v>
      </c>
      <c r="D24228" s="1" t="s">
        <v>7439</v>
      </c>
    </row>
    <row r="24229">
      <c r="A24229" s="1" t="s">
        <v>37704</v>
      </c>
      <c r="B24229" s="2" t="s">
        <v>37705</v>
      </c>
      <c r="C24229" s="1" t="s">
        <v>7438</v>
      </c>
      <c r="D24229" s="1" t="s">
        <v>7439</v>
      </c>
    </row>
    <row r="24230">
      <c r="A24230" s="1" t="s">
        <v>37706</v>
      </c>
      <c r="B24230" s="2" t="s">
        <v>37707</v>
      </c>
      <c r="C24230" s="1" t="s">
        <v>7438</v>
      </c>
      <c r="D24230" s="1" t="s">
        <v>7439</v>
      </c>
    </row>
    <row r="24231">
      <c r="A24231" s="1" t="s">
        <v>37708</v>
      </c>
      <c r="B24231" s="2" t="s">
        <v>37027</v>
      </c>
      <c r="C24231" s="1" t="s">
        <v>7438</v>
      </c>
      <c r="D24231" s="1" t="s">
        <v>7439</v>
      </c>
    </row>
    <row r="24232">
      <c r="A24232" s="1" t="s">
        <v>37709</v>
      </c>
      <c r="B24232" s="2" t="s">
        <v>37611</v>
      </c>
      <c r="C24232" s="1" t="s">
        <v>7438</v>
      </c>
      <c r="D24232" s="1" t="s">
        <v>7439</v>
      </c>
    </row>
    <row r="24233">
      <c r="A24233" s="1" t="s">
        <v>37710</v>
      </c>
      <c r="B24233" s="2" t="s">
        <v>37711</v>
      </c>
      <c r="C24233" s="1" t="s">
        <v>7438</v>
      </c>
      <c r="D24233" s="1" t="s">
        <v>7439</v>
      </c>
    </row>
    <row r="24234">
      <c r="A24234" s="1" t="s">
        <v>37712</v>
      </c>
      <c r="B24234" s="2" t="s">
        <v>37713</v>
      </c>
      <c r="C24234" s="1" t="s">
        <v>7438</v>
      </c>
      <c r="D24234" s="1" t="s">
        <v>7439</v>
      </c>
    </row>
    <row r="24235">
      <c r="A24235" s="1" t="s">
        <v>37714</v>
      </c>
      <c r="B24235" s="2" t="s">
        <v>37715</v>
      </c>
      <c r="C24235" s="1" t="s">
        <v>7438</v>
      </c>
      <c r="D24235" s="1" t="s">
        <v>7439</v>
      </c>
    </row>
    <row r="24236">
      <c r="A24236" s="1" t="s">
        <v>37716</v>
      </c>
      <c r="B24236" s="2" t="s">
        <v>37717</v>
      </c>
      <c r="C24236" s="1" t="s">
        <v>7438</v>
      </c>
      <c r="D24236" s="1" t="s">
        <v>7439</v>
      </c>
    </row>
    <row r="24237">
      <c r="A24237" s="1" t="s">
        <v>37718</v>
      </c>
      <c r="B24237" s="2" t="s">
        <v>37719</v>
      </c>
      <c r="C24237" s="1" t="s">
        <v>7438</v>
      </c>
      <c r="D24237" s="1" t="s">
        <v>7439</v>
      </c>
    </row>
    <row r="24238">
      <c r="A24238" s="1" t="s">
        <v>37720</v>
      </c>
      <c r="B24238" s="2" t="s">
        <v>37721</v>
      </c>
      <c r="C24238" s="1" t="s">
        <v>7438</v>
      </c>
      <c r="D24238" s="1" t="s">
        <v>7439</v>
      </c>
    </row>
    <row r="24239">
      <c r="A24239" s="1" t="s">
        <v>37722</v>
      </c>
      <c r="B24239" s="2" t="s">
        <v>37075</v>
      </c>
      <c r="C24239" s="1" t="s">
        <v>7438</v>
      </c>
      <c r="D24239" s="1" t="s">
        <v>7439</v>
      </c>
    </row>
    <row r="24240">
      <c r="A24240" s="1" t="s">
        <v>7448</v>
      </c>
      <c r="B24240" s="2" t="s">
        <v>7</v>
      </c>
      <c r="C24240" s="1" t="s">
        <v>7449</v>
      </c>
      <c r="D24240" s="1" t="s">
        <v>7450</v>
      </c>
    </row>
    <row r="24241">
      <c r="A24241" s="1" t="s">
        <v>37723</v>
      </c>
      <c r="B24241" s="2" t="s">
        <v>2820</v>
      </c>
      <c r="C24241" s="1" t="s">
        <v>7449</v>
      </c>
      <c r="D24241" s="1" t="s">
        <v>7450</v>
      </c>
    </row>
    <row r="24242">
      <c r="A24242" s="1" t="s">
        <v>37724</v>
      </c>
      <c r="B24242" s="2" t="s">
        <v>3380</v>
      </c>
      <c r="C24242" s="1" t="s">
        <v>7449</v>
      </c>
      <c r="D24242" s="1" t="s">
        <v>7450</v>
      </c>
    </row>
    <row r="24243">
      <c r="A24243" s="1" t="s">
        <v>37725</v>
      </c>
      <c r="B24243" s="2" t="s">
        <v>3383</v>
      </c>
      <c r="C24243" s="1" t="s">
        <v>7449</v>
      </c>
      <c r="D24243" s="1" t="s">
        <v>7450</v>
      </c>
    </row>
    <row r="24244">
      <c r="A24244" s="1" t="s">
        <v>37726</v>
      </c>
      <c r="B24244" s="2" t="s">
        <v>5270</v>
      </c>
      <c r="C24244" s="1" t="s">
        <v>7449</v>
      </c>
      <c r="D24244" s="1" t="s">
        <v>7450</v>
      </c>
    </row>
    <row r="24245">
      <c r="A24245" s="1" t="s">
        <v>37727</v>
      </c>
      <c r="B24245" s="2" t="s">
        <v>5528</v>
      </c>
      <c r="C24245" s="1" t="s">
        <v>7449</v>
      </c>
      <c r="D24245" s="1" t="s">
        <v>7450</v>
      </c>
    </row>
    <row r="24246">
      <c r="A24246" s="1" t="s">
        <v>37728</v>
      </c>
      <c r="B24246" s="2" t="s">
        <v>5532</v>
      </c>
      <c r="C24246" s="1" t="s">
        <v>7449</v>
      </c>
      <c r="D24246" s="1" t="s">
        <v>7450</v>
      </c>
    </row>
    <row r="24247">
      <c r="A24247" s="1" t="s">
        <v>37729</v>
      </c>
      <c r="B24247" s="2" t="s">
        <v>37730</v>
      </c>
      <c r="C24247" s="1" t="s">
        <v>7449</v>
      </c>
      <c r="D24247" s="1" t="s">
        <v>7450</v>
      </c>
    </row>
    <row r="24248">
      <c r="A24248" s="1" t="s">
        <v>37731</v>
      </c>
      <c r="B24248" s="2" t="s">
        <v>37732</v>
      </c>
      <c r="C24248" s="1" t="s">
        <v>7449</v>
      </c>
      <c r="D24248" s="1" t="s">
        <v>7450</v>
      </c>
    </row>
    <row r="24249">
      <c r="A24249" s="1" t="s">
        <v>37733</v>
      </c>
      <c r="B24249" s="2" t="s">
        <v>37734</v>
      </c>
      <c r="C24249" s="1" t="s">
        <v>7449</v>
      </c>
      <c r="D24249" s="1" t="s">
        <v>7450</v>
      </c>
    </row>
    <row r="24250">
      <c r="A24250" s="1" t="s">
        <v>37735</v>
      </c>
      <c r="B24250" s="2" t="s">
        <v>37736</v>
      </c>
      <c r="C24250" s="1" t="s">
        <v>7449</v>
      </c>
      <c r="D24250" s="1" t="s">
        <v>7450</v>
      </c>
    </row>
    <row r="24251">
      <c r="A24251" s="1" t="s">
        <v>37737</v>
      </c>
      <c r="B24251" s="2" t="s">
        <v>37738</v>
      </c>
      <c r="C24251" s="1" t="s">
        <v>7449</v>
      </c>
      <c r="D24251" s="1" t="s">
        <v>7450</v>
      </c>
    </row>
    <row r="24252">
      <c r="A24252" s="1" t="s">
        <v>37739</v>
      </c>
      <c r="B24252" s="2" t="s">
        <v>37740</v>
      </c>
      <c r="C24252" s="1" t="s">
        <v>7449</v>
      </c>
      <c r="D24252" s="1" t="s">
        <v>7450</v>
      </c>
    </row>
    <row r="24253">
      <c r="A24253" s="1" t="s">
        <v>37741</v>
      </c>
      <c r="B24253" s="2" t="s">
        <v>36715</v>
      </c>
      <c r="C24253" s="1" t="s">
        <v>7449</v>
      </c>
      <c r="D24253" s="1" t="s">
        <v>7450</v>
      </c>
    </row>
    <row r="24254">
      <c r="A24254" s="1" t="s">
        <v>37742</v>
      </c>
      <c r="B24254" s="2" t="s">
        <v>37743</v>
      </c>
      <c r="C24254" s="1" t="s">
        <v>7449</v>
      </c>
      <c r="D24254" s="1" t="s">
        <v>7450</v>
      </c>
    </row>
    <row r="24255">
      <c r="A24255" s="1" t="s">
        <v>37744</v>
      </c>
      <c r="B24255" s="2" t="s">
        <v>37745</v>
      </c>
      <c r="C24255" s="1" t="s">
        <v>7449</v>
      </c>
      <c r="D24255" s="1" t="s">
        <v>7450</v>
      </c>
    </row>
    <row r="24256">
      <c r="A24256" s="1" t="s">
        <v>37746</v>
      </c>
      <c r="B24256" s="2" t="s">
        <v>37747</v>
      </c>
      <c r="C24256" s="1" t="s">
        <v>7449</v>
      </c>
      <c r="D24256" s="1" t="s">
        <v>7450</v>
      </c>
    </row>
    <row r="24257">
      <c r="A24257" s="1" t="s">
        <v>37748</v>
      </c>
      <c r="B24257" s="2" t="s">
        <v>37749</v>
      </c>
      <c r="C24257" s="1" t="s">
        <v>7449</v>
      </c>
      <c r="D24257" s="1" t="s">
        <v>7450</v>
      </c>
    </row>
    <row r="24258">
      <c r="A24258" s="1" t="s">
        <v>37750</v>
      </c>
      <c r="B24258" s="2" t="s">
        <v>37751</v>
      </c>
      <c r="C24258" s="1" t="s">
        <v>7449</v>
      </c>
      <c r="D24258" s="1" t="s">
        <v>7450</v>
      </c>
    </row>
    <row r="24259">
      <c r="A24259" s="1" t="s">
        <v>37752</v>
      </c>
      <c r="B24259" s="2" t="s">
        <v>37753</v>
      </c>
      <c r="C24259" s="1" t="s">
        <v>7449</v>
      </c>
      <c r="D24259" s="1" t="s">
        <v>7450</v>
      </c>
    </row>
    <row r="24260">
      <c r="A24260" s="1" t="s">
        <v>37754</v>
      </c>
      <c r="B24260" s="2" t="s">
        <v>37755</v>
      </c>
      <c r="C24260" s="1" t="s">
        <v>7449</v>
      </c>
      <c r="D24260" s="1" t="s">
        <v>7450</v>
      </c>
    </row>
    <row r="24261">
      <c r="A24261" s="1" t="s">
        <v>37756</v>
      </c>
      <c r="B24261" s="2" t="s">
        <v>37757</v>
      </c>
      <c r="C24261" s="1" t="s">
        <v>7449</v>
      </c>
      <c r="D24261" s="1" t="s">
        <v>7450</v>
      </c>
    </row>
    <row r="24262">
      <c r="A24262" s="1" t="s">
        <v>37758</v>
      </c>
      <c r="B24262" s="2" t="s">
        <v>37759</v>
      </c>
      <c r="C24262" s="1" t="s">
        <v>7449</v>
      </c>
      <c r="D24262" s="1" t="s">
        <v>7450</v>
      </c>
    </row>
    <row r="24263">
      <c r="A24263" s="1" t="s">
        <v>37760</v>
      </c>
      <c r="B24263" s="2" t="s">
        <v>37761</v>
      </c>
      <c r="C24263" s="1" t="s">
        <v>7449</v>
      </c>
      <c r="D24263" s="1" t="s">
        <v>7450</v>
      </c>
    </row>
    <row r="24264">
      <c r="A24264" s="1" t="s">
        <v>37762</v>
      </c>
      <c r="B24264" s="2" t="s">
        <v>37763</v>
      </c>
      <c r="C24264" s="1" t="s">
        <v>7449</v>
      </c>
      <c r="D24264" s="1" t="s">
        <v>7450</v>
      </c>
    </row>
    <row r="24265">
      <c r="A24265" s="1" t="s">
        <v>37764</v>
      </c>
      <c r="B24265" s="2" t="s">
        <v>37765</v>
      </c>
      <c r="C24265" s="1" t="s">
        <v>7449</v>
      </c>
      <c r="D24265" s="1" t="s">
        <v>7450</v>
      </c>
    </row>
    <row r="24266">
      <c r="A24266" s="1" t="s">
        <v>37766</v>
      </c>
      <c r="B24266" s="2" t="s">
        <v>36781</v>
      </c>
      <c r="C24266" s="1" t="s">
        <v>7449</v>
      </c>
      <c r="D24266" s="1" t="s">
        <v>7450</v>
      </c>
    </row>
    <row r="24267">
      <c r="A24267" s="1" t="s">
        <v>37767</v>
      </c>
      <c r="B24267" s="2" t="s">
        <v>37768</v>
      </c>
      <c r="C24267" s="1" t="s">
        <v>7449</v>
      </c>
      <c r="D24267" s="1" t="s">
        <v>7450</v>
      </c>
    </row>
    <row r="24268">
      <c r="A24268" s="1" t="s">
        <v>37769</v>
      </c>
      <c r="B24268" s="2" t="s">
        <v>37770</v>
      </c>
      <c r="C24268" s="1" t="s">
        <v>7449</v>
      </c>
      <c r="D24268" s="1" t="s">
        <v>7450</v>
      </c>
    </row>
    <row r="24269">
      <c r="A24269" s="1" t="s">
        <v>37771</v>
      </c>
      <c r="B24269" s="2" t="s">
        <v>37772</v>
      </c>
      <c r="C24269" s="1" t="s">
        <v>7449</v>
      </c>
      <c r="D24269" s="1" t="s">
        <v>7450</v>
      </c>
    </row>
    <row r="24270">
      <c r="A24270" s="1" t="s">
        <v>37773</v>
      </c>
      <c r="B24270" s="2" t="s">
        <v>37774</v>
      </c>
      <c r="C24270" s="1" t="s">
        <v>7449</v>
      </c>
      <c r="D24270" s="1" t="s">
        <v>7450</v>
      </c>
    </row>
    <row r="24271">
      <c r="A24271" s="1" t="s">
        <v>37775</v>
      </c>
      <c r="B24271" s="2" t="s">
        <v>37776</v>
      </c>
      <c r="C24271" s="1" t="s">
        <v>7449</v>
      </c>
      <c r="D24271" s="1" t="s">
        <v>7450</v>
      </c>
    </row>
    <row r="24272">
      <c r="A24272" s="1" t="s">
        <v>37777</v>
      </c>
      <c r="B24272" s="2" t="s">
        <v>37778</v>
      </c>
      <c r="C24272" s="1" t="s">
        <v>7449</v>
      </c>
      <c r="D24272" s="1" t="s">
        <v>7450</v>
      </c>
    </row>
    <row r="24273">
      <c r="A24273" s="1" t="s">
        <v>37779</v>
      </c>
      <c r="B24273" s="2" t="s">
        <v>37780</v>
      </c>
      <c r="C24273" s="1" t="s">
        <v>7449</v>
      </c>
      <c r="D24273" s="1" t="s">
        <v>7450</v>
      </c>
    </row>
    <row r="24274">
      <c r="A24274" s="1" t="s">
        <v>37781</v>
      </c>
      <c r="B24274" s="2" t="s">
        <v>37782</v>
      </c>
      <c r="C24274" s="1" t="s">
        <v>7449</v>
      </c>
      <c r="D24274" s="1" t="s">
        <v>7450</v>
      </c>
    </row>
    <row r="24275">
      <c r="A24275" s="1" t="s">
        <v>37783</v>
      </c>
      <c r="B24275" s="2" t="s">
        <v>37784</v>
      </c>
      <c r="C24275" s="1" t="s">
        <v>7449</v>
      </c>
      <c r="D24275" s="1" t="s">
        <v>7450</v>
      </c>
    </row>
    <row r="24276">
      <c r="A24276" s="1" t="s">
        <v>37785</v>
      </c>
      <c r="B24276" s="2" t="s">
        <v>37786</v>
      </c>
      <c r="C24276" s="1" t="s">
        <v>7449</v>
      </c>
      <c r="D24276" s="1" t="s">
        <v>7450</v>
      </c>
    </row>
    <row r="24277">
      <c r="A24277" s="1" t="s">
        <v>37787</v>
      </c>
      <c r="B24277" s="2" t="s">
        <v>37788</v>
      </c>
      <c r="C24277" s="1" t="s">
        <v>7449</v>
      </c>
      <c r="D24277" s="1" t="s">
        <v>7450</v>
      </c>
    </row>
    <row r="24278">
      <c r="A24278" s="1" t="s">
        <v>37789</v>
      </c>
      <c r="B24278" s="2" t="s">
        <v>37790</v>
      </c>
      <c r="C24278" s="1" t="s">
        <v>7449</v>
      </c>
      <c r="D24278" s="1" t="s">
        <v>7450</v>
      </c>
    </row>
    <row r="24279">
      <c r="A24279" s="1" t="s">
        <v>37791</v>
      </c>
      <c r="B24279" s="2" t="s">
        <v>36847</v>
      </c>
      <c r="C24279" s="1" t="s">
        <v>7449</v>
      </c>
      <c r="D24279" s="1" t="s">
        <v>7450</v>
      </c>
    </row>
    <row r="24280">
      <c r="A24280" s="1" t="s">
        <v>37792</v>
      </c>
      <c r="B24280" s="2" t="s">
        <v>37793</v>
      </c>
      <c r="C24280" s="1" t="s">
        <v>7449</v>
      </c>
      <c r="D24280" s="1" t="s">
        <v>7450</v>
      </c>
    </row>
    <row r="24281">
      <c r="A24281" s="1" t="s">
        <v>37794</v>
      </c>
      <c r="B24281" s="2" t="s">
        <v>37795</v>
      </c>
      <c r="C24281" s="1" t="s">
        <v>7449</v>
      </c>
      <c r="D24281" s="1" t="s">
        <v>7450</v>
      </c>
    </row>
    <row r="24282">
      <c r="A24282" s="1" t="s">
        <v>37796</v>
      </c>
      <c r="B24282" s="2" t="s">
        <v>37797</v>
      </c>
      <c r="C24282" s="1" t="s">
        <v>7449</v>
      </c>
      <c r="D24282" s="1" t="s">
        <v>7450</v>
      </c>
    </row>
    <row r="24283">
      <c r="A24283" s="1" t="s">
        <v>37798</v>
      </c>
      <c r="B24283" s="2" t="s">
        <v>37799</v>
      </c>
      <c r="C24283" s="1" t="s">
        <v>7449</v>
      </c>
      <c r="D24283" s="1" t="s">
        <v>7450</v>
      </c>
    </row>
    <row r="24284">
      <c r="A24284" s="1" t="s">
        <v>37800</v>
      </c>
      <c r="B24284" s="2" t="s">
        <v>37801</v>
      </c>
      <c r="C24284" s="1" t="s">
        <v>7449</v>
      </c>
      <c r="D24284" s="1" t="s">
        <v>7450</v>
      </c>
    </row>
    <row r="24285">
      <c r="A24285" s="1" t="s">
        <v>37802</v>
      </c>
      <c r="B24285" s="2" t="s">
        <v>37803</v>
      </c>
      <c r="C24285" s="1" t="s">
        <v>7449</v>
      </c>
      <c r="D24285" s="1" t="s">
        <v>7450</v>
      </c>
    </row>
    <row r="24286">
      <c r="A24286" s="1" t="s">
        <v>37804</v>
      </c>
      <c r="B24286" s="2" t="s">
        <v>37805</v>
      </c>
      <c r="C24286" s="1" t="s">
        <v>7449</v>
      </c>
      <c r="D24286" s="1" t="s">
        <v>7450</v>
      </c>
    </row>
    <row r="24287">
      <c r="A24287" s="1" t="s">
        <v>37806</v>
      </c>
      <c r="B24287" s="2" t="s">
        <v>37807</v>
      </c>
      <c r="C24287" s="1" t="s">
        <v>7449</v>
      </c>
      <c r="D24287" s="1" t="s">
        <v>7450</v>
      </c>
    </row>
    <row r="24288">
      <c r="A24288" s="1" t="s">
        <v>37808</v>
      </c>
      <c r="B24288" s="2" t="s">
        <v>37809</v>
      </c>
      <c r="C24288" s="1" t="s">
        <v>7449</v>
      </c>
      <c r="D24288" s="1" t="s">
        <v>7450</v>
      </c>
    </row>
    <row r="24289">
      <c r="A24289" s="1" t="s">
        <v>37810</v>
      </c>
      <c r="B24289" s="2" t="s">
        <v>37811</v>
      </c>
      <c r="C24289" s="1" t="s">
        <v>7449</v>
      </c>
      <c r="D24289" s="1" t="s">
        <v>7450</v>
      </c>
    </row>
    <row r="24290">
      <c r="A24290" s="1" t="s">
        <v>37812</v>
      </c>
      <c r="B24290" s="2" t="s">
        <v>37813</v>
      </c>
      <c r="C24290" s="1" t="s">
        <v>7449</v>
      </c>
      <c r="D24290" s="1" t="s">
        <v>7450</v>
      </c>
    </row>
    <row r="24291">
      <c r="A24291" s="1" t="s">
        <v>37814</v>
      </c>
      <c r="B24291" s="2" t="s">
        <v>37815</v>
      </c>
      <c r="C24291" s="1" t="s">
        <v>7449</v>
      </c>
      <c r="D24291" s="1" t="s">
        <v>7450</v>
      </c>
    </row>
    <row r="24292">
      <c r="A24292" s="1" t="s">
        <v>37816</v>
      </c>
      <c r="B24292" s="2" t="s">
        <v>36907</v>
      </c>
      <c r="C24292" s="1" t="s">
        <v>7449</v>
      </c>
      <c r="D24292" s="1" t="s">
        <v>7450</v>
      </c>
    </row>
    <row r="24293">
      <c r="A24293" s="1" t="s">
        <v>37817</v>
      </c>
      <c r="B24293" s="2" t="s">
        <v>37818</v>
      </c>
      <c r="C24293" s="1" t="s">
        <v>7449</v>
      </c>
      <c r="D24293" s="1" t="s">
        <v>7450</v>
      </c>
    </row>
    <row r="24294">
      <c r="A24294" s="1" t="s">
        <v>37819</v>
      </c>
      <c r="B24294" s="2" t="s">
        <v>37820</v>
      </c>
      <c r="C24294" s="1" t="s">
        <v>7449</v>
      </c>
      <c r="D24294" s="1" t="s">
        <v>7450</v>
      </c>
    </row>
    <row r="24295">
      <c r="A24295" s="1" t="s">
        <v>37821</v>
      </c>
      <c r="B24295" s="2" t="s">
        <v>37822</v>
      </c>
      <c r="C24295" s="1" t="s">
        <v>7449</v>
      </c>
      <c r="D24295" s="1" t="s">
        <v>7450</v>
      </c>
    </row>
    <row r="24296">
      <c r="A24296" s="1" t="s">
        <v>37823</v>
      </c>
      <c r="B24296" s="2" t="s">
        <v>37824</v>
      </c>
      <c r="C24296" s="1" t="s">
        <v>7449</v>
      </c>
      <c r="D24296" s="1" t="s">
        <v>7450</v>
      </c>
    </row>
    <row r="24297">
      <c r="A24297" s="1" t="s">
        <v>37825</v>
      </c>
      <c r="B24297" s="2" t="s">
        <v>37826</v>
      </c>
      <c r="C24297" s="1" t="s">
        <v>7449</v>
      </c>
      <c r="D24297" s="1" t="s">
        <v>7450</v>
      </c>
    </row>
    <row r="24298">
      <c r="A24298" s="1" t="s">
        <v>37827</v>
      </c>
      <c r="B24298" s="2" t="s">
        <v>37828</v>
      </c>
      <c r="C24298" s="1" t="s">
        <v>7449</v>
      </c>
      <c r="D24298" s="1" t="s">
        <v>7450</v>
      </c>
    </row>
    <row r="24299">
      <c r="A24299" s="1" t="s">
        <v>37829</v>
      </c>
      <c r="B24299" s="2" t="s">
        <v>37830</v>
      </c>
      <c r="C24299" s="1" t="s">
        <v>7449</v>
      </c>
      <c r="D24299" s="1" t="s">
        <v>7450</v>
      </c>
    </row>
    <row r="24300">
      <c r="A24300" s="1" t="s">
        <v>37831</v>
      </c>
      <c r="B24300" s="2" t="s">
        <v>37832</v>
      </c>
      <c r="C24300" s="1" t="s">
        <v>7449</v>
      </c>
      <c r="D24300" s="1" t="s">
        <v>7450</v>
      </c>
    </row>
    <row r="24301">
      <c r="A24301" s="1" t="s">
        <v>37833</v>
      </c>
      <c r="B24301" s="2" t="s">
        <v>37834</v>
      </c>
      <c r="C24301" s="1" t="s">
        <v>7449</v>
      </c>
      <c r="D24301" s="1" t="s">
        <v>7450</v>
      </c>
    </row>
    <row r="24302">
      <c r="A24302" s="1" t="s">
        <v>37835</v>
      </c>
      <c r="B24302" s="2" t="s">
        <v>37836</v>
      </c>
      <c r="C24302" s="1" t="s">
        <v>7449</v>
      </c>
      <c r="D24302" s="1" t="s">
        <v>7450</v>
      </c>
    </row>
    <row r="24303">
      <c r="A24303" s="1" t="s">
        <v>37837</v>
      </c>
      <c r="B24303" s="2" t="s">
        <v>37838</v>
      </c>
      <c r="C24303" s="1" t="s">
        <v>7449</v>
      </c>
      <c r="D24303" s="1" t="s">
        <v>7450</v>
      </c>
    </row>
    <row r="24304">
      <c r="A24304" s="1" t="s">
        <v>37839</v>
      </c>
      <c r="B24304" s="2" t="s">
        <v>37840</v>
      </c>
      <c r="C24304" s="1" t="s">
        <v>7449</v>
      </c>
      <c r="D24304" s="1" t="s">
        <v>7450</v>
      </c>
    </row>
    <row r="24305">
      <c r="A24305" s="1" t="s">
        <v>37841</v>
      </c>
      <c r="B24305" s="2" t="s">
        <v>36961</v>
      </c>
      <c r="C24305" s="1" t="s">
        <v>7449</v>
      </c>
      <c r="D24305" s="1" t="s">
        <v>7450</v>
      </c>
    </row>
    <row r="24306">
      <c r="A24306" s="1" t="s">
        <v>37842</v>
      </c>
      <c r="B24306" s="2" t="s">
        <v>37843</v>
      </c>
      <c r="C24306" s="1" t="s">
        <v>7449</v>
      </c>
      <c r="D24306" s="1" t="s">
        <v>7450</v>
      </c>
    </row>
    <row r="24307">
      <c r="A24307" s="1" t="s">
        <v>37844</v>
      </c>
      <c r="B24307" s="2" t="s">
        <v>37845</v>
      </c>
      <c r="C24307" s="1" t="s">
        <v>7449</v>
      </c>
      <c r="D24307" s="1" t="s">
        <v>7450</v>
      </c>
    </row>
    <row r="24308">
      <c r="A24308" s="1" t="s">
        <v>37846</v>
      </c>
      <c r="B24308" s="2" t="s">
        <v>37847</v>
      </c>
      <c r="C24308" s="1" t="s">
        <v>7449</v>
      </c>
      <c r="D24308" s="1" t="s">
        <v>7450</v>
      </c>
    </row>
    <row r="24309">
      <c r="A24309" s="1" t="s">
        <v>37848</v>
      </c>
      <c r="B24309" s="2" t="s">
        <v>37849</v>
      </c>
      <c r="C24309" s="1" t="s">
        <v>7449</v>
      </c>
      <c r="D24309" s="1" t="s">
        <v>7450</v>
      </c>
    </row>
    <row r="24310">
      <c r="A24310" s="1" t="s">
        <v>37850</v>
      </c>
      <c r="B24310" s="2" t="s">
        <v>37851</v>
      </c>
      <c r="C24310" s="1" t="s">
        <v>7449</v>
      </c>
      <c r="D24310" s="1" t="s">
        <v>7450</v>
      </c>
    </row>
    <row r="24311">
      <c r="A24311" s="1" t="s">
        <v>37852</v>
      </c>
      <c r="B24311" s="2" t="s">
        <v>37853</v>
      </c>
      <c r="C24311" s="1" t="s">
        <v>7449</v>
      </c>
      <c r="D24311" s="1" t="s">
        <v>7450</v>
      </c>
    </row>
    <row r="24312">
      <c r="A24312" s="1" t="s">
        <v>37854</v>
      </c>
      <c r="B24312" s="2" t="s">
        <v>37855</v>
      </c>
      <c r="C24312" s="1" t="s">
        <v>7449</v>
      </c>
      <c r="D24312" s="1" t="s">
        <v>7450</v>
      </c>
    </row>
    <row r="24313">
      <c r="A24313" s="1" t="s">
        <v>37856</v>
      </c>
      <c r="B24313" s="2" t="s">
        <v>37857</v>
      </c>
      <c r="C24313" s="1" t="s">
        <v>7449</v>
      </c>
      <c r="D24313" s="1" t="s">
        <v>7450</v>
      </c>
    </row>
    <row r="24314">
      <c r="A24314" s="1" t="s">
        <v>37858</v>
      </c>
      <c r="B24314" s="2" t="s">
        <v>37859</v>
      </c>
      <c r="C24314" s="1" t="s">
        <v>7449</v>
      </c>
      <c r="D24314" s="1" t="s">
        <v>7450</v>
      </c>
    </row>
    <row r="24315">
      <c r="A24315" s="1" t="s">
        <v>37860</v>
      </c>
      <c r="B24315" s="2" t="s">
        <v>37861</v>
      </c>
      <c r="C24315" s="1" t="s">
        <v>7449</v>
      </c>
      <c r="D24315" s="1" t="s">
        <v>7450</v>
      </c>
    </row>
    <row r="24316">
      <c r="A24316" s="1" t="s">
        <v>37862</v>
      </c>
      <c r="B24316" s="2" t="s">
        <v>37863</v>
      </c>
      <c r="C24316" s="1" t="s">
        <v>7449</v>
      </c>
      <c r="D24316" s="1" t="s">
        <v>7450</v>
      </c>
    </row>
    <row r="24317">
      <c r="A24317" s="1" t="s">
        <v>37864</v>
      </c>
      <c r="B24317" s="2" t="s">
        <v>37865</v>
      </c>
      <c r="C24317" s="1" t="s">
        <v>7449</v>
      </c>
      <c r="D24317" s="1" t="s">
        <v>7450</v>
      </c>
    </row>
    <row r="24318">
      <c r="A24318" s="1" t="s">
        <v>37866</v>
      </c>
      <c r="B24318" s="2" t="s">
        <v>37027</v>
      </c>
      <c r="C24318" s="1" t="s">
        <v>7449</v>
      </c>
      <c r="D24318" s="1" t="s">
        <v>7450</v>
      </c>
    </row>
    <row r="24319">
      <c r="A24319" s="1" t="s">
        <v>37867</v>
      </c>
      <c r="B24319" s="2" t="s">
        <v>37868</v>
      </c>
      <c r="C24319" s="1" t="s">
        <v>7449</v>
      </c>
      <c r="D24319" s="1" t="s">
        <v>7450</v>
      </c>
    </row>
    <row r="24320">
      <c r="A24320" s="1" t="s">
        <v>37869</v>
      </c>
      <c r="B24320" s="2" t="s">
        <v>37870</v>
      </c>
      <c r="C24320" s="1" t="s">
        <v>7449</v>
      </c>
      <c r="D24320" s="1" t="s">
        <v>7450</v>
      </c>
    </row>
    <row r="24321">
      <c r="A24321" s="1" t="s">
        <v>37871</v>
      </c>
      <c r="B24321" s="2" t="s">
        <v>37872</v>
      </c>
      <c r="C24321" s="1" t="s">
        <v>7449</v>
      </c>
      <c r="D24321" s="1" t="s">
        <v>7450</v>
      </c>
    </row>
    <row r="24322">
      <c r="A24322" s="1" t="s">
        <v>37873</v>
      </c>
      <c r="B24322" s="2" t="s">
        <v>37874</v>
      </c>
      <c r="C24322" s="1" t="s">
        <v>7449</v>
      </c>
      <c r="D24322" s="1" t="s">
        <v>7450</v>
      </c>
    </row>
    <row r="24323">
      <c r="A24323" s="1" t="s">
        <v>37875</v>
      </c>
      <c r="B24323" s="2" t="s">
        <v>37876</v>
      </c>
      <c r="C24323" s="1" t="s">
        <v>7449</v>
      </c>
      <c r="D24323" s="1" t="s">
        <v>7450</v>
      </c>
    </row>
    <row r="24324">
      <c r="A24324" s="1" t="s">
        <v>37877</v>
      </c>
      <c r="B24324" s="2" t="s">
        <v>37878</v>
      </c>
      <c r="C24324" s="1" t="s">
        <v>7449</v>
      </c>
      <c r="D24324" s="1" t="s">
        <v>7450</v>
      </c>
    </row>
    <row r="24325">
      <c r="A24325" s="1" t="s">
        <v>37879</v>
      </c>
      <c r="B24325" s="2" t="s">
        <v>37880</v>
      </c>
      <c r="C24325" s="1" t="s">
        <v>7449</v>
      </c>
      <c r="D24325" s="1" t="s">
        <v>7450</v>
      </c>
    </row>
    <row r="24326">
      <c r="A24326" s="1" t="s">
        <v>37881</v>
      </c>
      <c r="B24326" s="2" t="s">
        <v>37882</v>
      </c>
      <c r="C24326" s="1" t="s">
        <v>7449</v>
      </c>
      <c r="D24326" s="1" t="s">
        <v>7450</v>
      </c>
    </row>
    <row r="24327">
      <c r="A24327" s="1" t="s">
        <v>37883</v>
      </c>
      <c r="B24327" s="2" t="s">
        <v>37884</v>
      </c>
      <c r="C24327" s="1" t="s">
        <v>7449</v>
      </c>
      <c r="D24327" s="1" t="s">
        <v>7450</v>
      </c>
    </row>
    <row r="24328">
      <c r="A24328" s="1" t="s">
        <v>37885</v>
      </c>
      <c r="B24328" s="2" t="s">
        <v>37886</v>
      </c>
      <c r="C24328" s="1" t="s">
        <v>7449</v>
      </c>
      <c r="D24328" s="1" t="s">
        <v>7450</v>
      </c>
    </row>
    <row r="24329">
      <c r="A24329" s="1" t="s">
        <v>37887</v>
      </c>
      <c r="B24329" s="2" t="s">
        <v>37888</v>
      </c>
      <c r="C24329" s="1" t="s">
        <v>7449</v>
      </c>
      <c r="D24329" s="1" t="s">
        <v>7450</v>
      </c>
    </row>
    <row r="24330">
      <c r="A24330" s="1" t="s">
        <v>37889</v>
      </c>
      <c r="B24330" s="2" t="s">
        <v>37890</v>
      </c>
      <c r="C24330" s="1" t="s">
        <v>7449</v>
      </c>
      <c r="D24330" s="1" t="s">
        <v>7450</v>
      </c>
    </row>
    <row r="24331">
      <c r="A24331" s="1" t="s">
        <v>37891</v>
      </c>
      <c r="B24331" s="2" t="s">
        <v>37075</v>
      </c>
      <c r="C24331" s="1" t="s">
        <v>7449</v>
      </c>
      <c r="D24331" s="1" t="s">
        <v>7450</v>
      </c>
    </row>
    <row r="24332">
      <c r="A24332" s="1" t="s">
        <v>7452</v>
      </c>
      <c r="B24332" s="2" t="s">
        <v>7</v>
      </c>
      <c r="C24332" s="1" t="s">
        <v>7453</v>
      </c>
      <c r="D24332" s="1" t="s">
        <v>7454</v>
      </c>
    </row>
    <row r="24333">
      <c r="A24333" s="1" t="s">
        <v>37892</v>
      </c>
      <c r="B24333" s="2" t="s">
        <v>5721</v>
      </c>
      <c r="C24333" s="1" t="s">
        <v>7453</v>
      </c>
      <c r="D24333" s="1" t="s">
        <v>7454</v>
      </c>
    </row>
    <row r="24334">
      <c r="A24334" s="1" t="s">
        <v>37893</v>
      </c>
      <c r="B24334" s="2" t="s">
        <v>37894</v>
      </c>
      <c r="C24334" s="1" t="s">
        <v>7453</v>
      </c>
      <c r="D24334" s="1" t="s">
        <v>7454</v>
      </c>
    </row>
    <row r="24335">
      <c r="A24335" s="1" t="s">
        <v>37895</v>
      </c>
      <c r="B24335" s="2" t="s">
        <v>37896</v>
      </c>
      <c r="C24335" s="1" t="s">
        <v>7453</v>
      </c>
      <c r="D24335" s="1" t="s">
        <v>7454</v>
      </c>
    </row>
    <row r="24336">
      <c r="A24336" s="1" t="s">
        <v>37897</v>
      </c>
      <c r="B24336" s="2" t="s">
        <v>37898</v>
      </c>
      <c r="C24336" s="1" t="s">
        <v>7453</v>
      </c>
      <c r="D24336" s="1" t="s">
        <v>7454</v>
      </c>
    </row>
    <row r="24337">
      <c r="A24337" s="1" t="s">
        <v>37899</v>
      </c>
      <c r="B24337" s="2" t="s">
        <v>36715</v>
      </c>
      <c r="C24337" s="1" t="s">
        <v>7453</v>
      </c>
      <c r="D24337" s="1" t="s">
        <v>7454</v>
      </c>
    </row>
    <row r="24338">
      <c r="A24338" s="1" t="s">
        <v>37900</v>
      </c>
      <c r="B24338" s="2" t="s">
        <v>37901</v>
      </c>
      <c r="C24338" s="1" t="s">
        <v>7453</v>
      </c>
      <c r="D24338" s="1" t="s">
        <v>7454</v>
      </c>
    </row>
    <row r="24339">
      <c r="A24339" s="1" t="s">
        <v>37902</v>
      </c>
      <c r="B24339" s="2" t="s">
        <v>37903</v>
      </c>
      <c r="C24339" s="1" t="s">
        <v>7453</v>
      </c>
      <c r="D24339" s="1" t="s">
        <v>7454</v>
      </c>
    </row>
    <row r="24340">
      <c r="A24340" s="1" t="s">
        <v>37904</v>
      </c>
      <c r="B24340" s="2" t="s">
        <v>37905</v>
      </c>
      <c r="C24340" s="1" t="s">
        <v>7453</v>
      </c>
      <c r="D24340" s="1" t="s">
        <v>7454</v>
      </c>
    </row>
    <row r="24341">
      <c r="A24341" s="1" t="s">
        <v>37906</v>
      </c>
      <c r="B24341" s="2" t="s">
        <v>37907</v>
      </c>
      <c r="C24341" s="1" t="s">
        <v>7453</v>
      </c>
      <c r="D24341" s="1" t="s">
        <v>7454</v>
      </c>
    </row>
    <row r="24342">
      <c r="A24342" s="1" t="s">
        <v>37908</v>
      </c>
      <c r="B24342" s="2" t="s">
        <v>36781</v>
      </c>
      <c r="C24342" s="1" t="s">
        <v>7453</v>
      </c>
      <c r="D24342" s="1" t="s">
        <v>7454</v>
      </c>
    </row>
    <row r="24343">
      <c r="A24343" s="1" t="s">
        <v>37909</v>
      </c>
      <c r="B24343" s="2" t="s">
        <v>37910</v>
      </c>
      <c r="C24343" s="1" t="s">
        <v>7453</v>
      </c>
      <c r="D24343" s="1" t="s">
        <v>7454</v>
      </c>
    </row>
    <row r="24344">
      <c r="A24344" s="1" t="s">
        <v>37911</v>
      </c>
      <c r="B24344" s="2" t="s">
        <v>37912</v>
      </c>
      <c r="C24344" s="1" t="s">
        <v>7453</v>
      </c>
      <c r="D24344" s="1" t="s">
        <v>7454</v>
      </c>
    </row>
    <row r="24345">
      <c r="A24345" s="1" t="s">
        <v>37913</v>
      </c>
      <c r="B24345" s="2" t="s">
        <v>37914</v>
      </c>
      <c r="C24345" s="1" t="s">
        <v>7453</v>
      </c>
      <c r="D24345" s="1" t="s">
        <v>7454</v>
      </c>
    </row>
    <row r="24346">
      <c r="A24346" s="1" t="s">
        <v>37915</v>
      </c>
      <c r="B24346" s="2" t="s">
        <v>37916</v>
      </c>
      <c r="C24346" s="1" t="s">
        <v>7453</v>
      </c>
      <c r="D24346" s="1" t="s">
        <v>7454</v>
      </c>
    </row>
    <row r="24347">
      <c r="A24347" s="1" t="s">
        <v>37917</v>
      </c>
      <c r="B24347" s="2" t="s">
        <v>36847</v>
      </c>
      <c r="C24347" s="1" t="s">
        <v>7453</v>
      </c>
      <c r="D24347" s="1" t="s">
        <v>7454</v>
      </c>
    </row>
    <row r="24348">
      <c r="A24348" s="1" t="s">
        <v>37918</v>
      </c>
      <c r="B24348" s="2" t="s">
        <v>37919</v>
      </c>
      <c r="C24348" s="1" t="s">
        <v>7453</v>
      </c>
      <c r="D24348" s="1" t="s">
        <v>7454</v>
      </c>
    </row>
    <row r="24349">
      <c r="A24349" s="1" t="s">
        <v>37920</v>
      </c>
      <c r="B24349" s="2" t="s">
        <v>37921</v>
      </c>
      <c r="C24349" s="1" t="s">
        <v>7453</v>
      </c>
      <c r="D24349" s="1" t="s">
        <v>7454</v>
      </c>
    </row>
    <row r="24350">
      <c r="A24350" s="1" t="s">
        <v>37922</v>
      </c>
      <c r="B24350" s="2" t="s">
        <v>37923</v>
      </c>
      <c r="C24350" s="1" t="s">
        <v>7453</v>
      </c>
      <c r="D24350" s="1" t="s">
        <v>7454</v>
      </c>
    </row>
    <row r="24351">
      <c r="A24351" s="1" t="s">
        <v>37924</v>
      </c>
      <c r="B24351" s="2" t="s">
        <v>37925</v>
      </c>
      <c r="C24351" s="1" t="s">
        <v>7453</v>
      </c>
      <c r="D24351" s="1" t="s">
        <v>7454</v>
      </c>
    </row>
    <row r="24352">
      <c r="A24352" s="1" t="s">
        <v>37926</v>
      </c>
      <c r="B24352" s="2" t="s">
        <v>36907</v>
      </c>
      <c r="C24352" s="1" t="s">
        <v>7453</v>
      </c>
      <c r="D24352" s="1" t="s">
        <v>7454</v>
      </c>
    </row>
    <row r="24353">
      <c r="A24353" s="1" t="s">
        <v>37927</v>
      </c>
      <c r="B24353" s="2" t="s">
        <v>37928</v>
      </c>
      <c r="C24353" s="1" t="s">
        <v>7453</v>
      </c>
      <c r="D24353" s="1" t="s">
        <v>7454</v>
      </c>
    </row>
    <row r="24354">
      <c r="A24354" s="1" t="s">
        <v>37929</v>
      </c>
      <c r="B24354" s="2" t="s">
        <v>37930</v>
      </c>
      <c r="C24354" s="1" t="s">
        <v>7453</v>
      </c>
      <c r="D24354" s="1" t="s">
        <v>7454</v>
      </c>
    </row>
    <row r="24355">
      <c r="A24355" s="1" t="s">
        <v>37931</v>
      </c>
      <c r="B24355" s="2" t="s">
        <v>37932</v>
      </c>
      <c r="C24355" s="1" t="s">
        <v>7453</v>
      </c>
      <c r="D24355" s="1" t="s">
        <v>7454</v>
      </c>
    </row>
    <row r="24356">
      <c r="A24356" s="1" t="s">
        <v>37933</v>
      </c>
      <c r="B24356" s="2" t="s">
        <v>37934</v>
      </c>
      <c r="C24356" s="1" t="s">
        <v>7453</v>
      </c>
      <c r="D24356" s="1" t="s">
        <v>7454</v>
      </c>
    </row>
    <row r="24357">
      <c r="A24357" s="1" t="s">
        <v>37935</v>
      </c>
      <c r="B24357" s="2" t="s">
        <v>36961</v>
      </c>
      <c r="C24357" s="1" t="s">
        <v>7453</v>
      </c>
      <c r="D24357" s="1" t="s">
        <v>7454</v>
      </c>
    </row>
    <row r="24358">
      <c r="A24358" s="1" t="s">
        <v>37936</v>
      </c>
      <c r="B24358" s="2" t="s">
        <v>37937</v>
      </c>
      <c r="C24358" s="1" t="s">
        <v>7453</v>
      </c>
      <c r="D24358" s="1" t="s">
        <v>7454</v>
      </c>
    </row>
    <row r="24359">
      <c r="A24359" s="1" t="s">
        <v>37938</v>
      </c>
      <c r="B24359" s="2" t="s">
        <v>37939</v>
      </c>
      <c r="C24359" s="1" t="s">
        <v>7453</v>
      </c>
      <c r="D24359" s="1" t="s">
        <v>7454</v>
      </c>
    </row>
    <row r="24360">
      <c r="A24360" s="1" t="s">
        <v>37940</v>
      </c>
      <c r="B24360" s="2" t="s">
        <v>37941</v>
      </c>
      <c r="C24360" s="1" t="s">
        <v>7453</v>
      </c>
      <c r="D24360" s="1" t="s">
        <v>7454</v>
      </c>
    </row>
    <row r="24361">
      <c r="A24361" s="1" t="s">
        <v>37942</v>
      </c>
      <c r="B24361" s="2" t="s">
        <v>37943</v>
      </c>
      <c r="C24361" s="1" t="s">
        <v>7453</v>
      </c>
      <c r="D24361" s="1" t="s">
        <v>7454</v>
      </c>
    </row>
    <row r="24362">
      <c r="A24362" s="1" t="s">
        <v>37944</v>
      </c>
      <c r="B24362" s="2" t="s">
        <v>37027</v>
      </c>
      <c r="C24362" s="1" t="s">
        <v>7453</v>
      </c>
      <c r="D24362" s="1" t="s">
        <v>7454</v>
      </c>
    </row>
    <row r="24363">
      <c r="A24363" s="1" t="s">
        <v>37945</v>
      </c>
      <c r="B24363" s="2" t="s">
        <v>37946</v>
      </c>
      <c r="C24363" s="1" t="s">
        <v>7453</v>
      </c>
      <c r="D24363" s="1" t="s">
        <v>7454</v>
      </c>
    </row>
    <row r="24364">
      <c r="A24364" s="1" t="s">
        <v>37947</v>
      </c>
      <c r="B24364" s="2" t="s">
        <v>37948</v>
      </c>
      <c r="C24364" s="1" t="s">
        <v>7453</v>
      </c>
      <c r="D24364" s="1" t="s">
        <v>7454</v>
      </c>
    </row>
    <row r="24365">
      <c r="A24365" s="1" t="s">
        <v>37949</v>
      </c>
      <c r="B24365" s="2" t="s">
        <v>37950</v>
      </c>
      <c r="C24365" s="1" t="s">
        <v>7453</v>
      </c>
      <c r="D24365" s="1" t="s">
        <v>7454</v>
      </c>
    </row>
    <row r="24366">
      <c r="A24366" s="1" t="s">
        <v>37951</v>
      </c>
      <c r="B24366" s="2" t="s">
        <v>37952</v>
      </c>
      <c r="C24366" s="1" t="s">
        <v>7453</v>
      </c>
      <c r="D24366" s="1" t="s">
        <v>7454</v>
      </c>
    </row>
    <row r="24367">
      <c r="A24367" s="1" t="s">
        <v>37953</v>
      </c>
      <c r="B24367" s="2" t="s">
        <v>37075</v>
      </c>
      <c r="C24367" s="1" t="s">
        <v>7453</v>
      </c>
      <c r="D24367" s="1" t="s">
        <v>7454</v>
      </c>
    </row>
    <row r="24368">
      <c r="A24368" s="1" t="s">
        <v>7457</v>
      </c>
      <c r="B24368" s="2" t="s">
        <v>7</v>
      </c>
      <c r="C24368" s="1" t="s">
        <v>7459</v>
      </c>
      <c r="D24368" s="1" t="s">
        <v>7460</v>
      </c>
    </row>
    <row r="24369">
      <c r="A24369" s="1" t="s">
        <v>37954</v>
      </c>
      <c r="B24369" s="2" t="s">
        <v>13964</v>
      </c>
      <c r="C24369" s="1" t="s">
        <v>7459</v>
      </c>
      <c r="D24369" s="1" t="s">
        <v>7460</v>
      </c>
    </row>
    <row r="24370">
      <c r="A24370" s="1" t="s">
        <v>37955</v>
      </c>
      <c r="B24370" s="2" t="s">
        <v>25161</v>
      </c>
      <c r="C24370" s="1" t="s">
        <v>7459</v>
      </c>
      <c r="D24370" s="1" t="s">
        <v>7460</v>
      </c>
    </row>
    <row r="24371">
      <c r="A24371" s="1" t="s">
        <v>37956</v>
      </c>
      <c r="B24371" s="2" t="s">
        <v>25163</v>
      </c>
      <c r="C24371" s="1" t="s">
        <v>7459</v>
      </c>
      <c r="D24371" s="1" t="s">
        <v>7460</v>
      </c>
    </row>
    <row r="24372">
      <c r="A24372" s="1" t="s">
        <v>37957</v>
      </c>
      <c r="B24372" s="2" t="s">
        <v>25165</v>
      </c>
      <c r="C24372" s="1" t="s">
        <v>7459</v>
      </c>
      <c r="D24372" s="1" t="s">
        <v>7460</v>
      </c>
    </row>
    <row r="24373">
      <c r="A24373" s="1" t="s">
        <v>37958</v>
      </c>
      <c r="B24373" s="2" t="s">
        <v>25167</v>
      </c>
      <c r="C24373" s="1" t="s">
        <v>7459</v>
      </c>
      <c r="D24373" s="1" t="s">
        <v>7460</v>
      </c>
    </row>
    <row r="24374">
      <c r="A24374" s="1" t="s">
        <v>37959</v>
      </c>
      <c r="B24374" s="2" t="s">
        <v>25169</v>
      </c>
      <c r="C24374" s="1" t="s">
        <v>7459</v>
      </c>
      <c r="D24374" s="1" t="s">
        <v>7460</v>
      </c>
    </row>
    <row r="24375">
      <c r="A24375" s="1" t="s">
        <v>37960</v>
      </c>
      <c r="B24375" s="2" t="s">
        <v>36715</v>
      </c>
      <c r="C24375" s="1" t="s">
        <v>7459</v>
      </c>
      <c r="D24375" s="1" t="s">
        <v>7460</v>
      </c>
    </row>
    <row r="24376">
      <c r="A24376" s="1" t="s">
        <v>37961</v>
      </c>
      <c r="B24376" s="2" t="s">
        <v>37962</v>
      </c>
      <c r="C24376" s="1" t="s">
        <v>7459</v>
      </c>
      <c r="D24376" s="1" t="s">
        <v>7460</v>
      </c>
    </row>
    <row r="24377">
      <c r="A24377" s="1" t="s">
        <v>37963</v>
      </c>
      <c r="B24377" s="2" t="s">
        <v>37964</v>
      </c>
      <c r="C24377" s="1" t="s">
        <v>7459</v>
      </c>
      <c r="D24377" s="1" t="s">
        <v>7460</v>
      </c>
    </row>
    <row r="24378">
      <c r="A24378" s="1" t="s">
        <v>37965</v>
      </c>
      <c r="B24378" s="2" t="s">
        <v>37966</v>
      </c>
      <c r="C24378" s="1" t="s">
        <v>7459</v>
      </c>
      <c r="D24378" s="1" t="s">
        <v>7460</v>
      </c>
    </row>
    <row r="24379">
      <c r="A24379" s="1" t="s">
        <v>37967</v>
      </c>
      <c r="B24379" s="2" t="s">
        <v>37968</v>
      </c>
      <c r="C24379" s="1" t="s">
        <v>7459</v>
      </c>
      <c r="D24379" s="1" t="s">
        <v>7460</v>
      </c>
    </row>
    <row r="24380">
      <c r="A24380" s="1" t="s">
        <v>37969</v>
      </c>
      <c r="B24380" s="2" t="s">
        <v>37970</v>
      </c>
      <c r="C24380" s="1" t="s">
        <v>7459</v>
      </c>
      <c r="D24380" s="1" t="s">
        <v>7460</v>
      </c>
    </row>
    <row r="24381">
      <c r="A24381" s="1" t="s">
        <v>37971</v>
      </c>
      <c r="B24381" s="2" t="s">
        <v>37972</v>
      </c>
      <c r="C24381" s="1" t="s">
        <v>7459</v>
      </c>
      <c r="D24381" s="1" t="s">
        <v>7460</v>
      </c>
    </row>
    <row r="24382">
      <c r="A24382" s="1" t="s">
        <v>37973</v>
      </c>
      <c r="B24382" s="2" t="s">
        <v>36781</v>
      </c>
      <c r="C24382" s="1" t="s">
        <v>7459</v>
      </c>
      <c r="D24382" s="1" t="s">
        <v>7460</v>
      </c>
    </row>
    <row r="24383">
      <c r="A24383" s="1" t="s">
        <v>37974</v>
      </c>
      <c r="B24383" s="2" t="s">
        <v>37975</v>
      </c>
      <c r="C24383" s="1" t="s">
        <v>7459</v>
      </c>
      <c r="D24383" s="1" t="s">
        <v>7460</v>
      </c>
    </row>
    <row r="24384">
      <c r="A24384" s="1" t="s">
        <v>37976</v>
      </c>
      <c r="B24384" s="2" t="s">
        <v>36847</v>
      </c>
      <c r="C24384" s="1" t="s">
        <v>7459</v>
      </c>
      <c r="D24384" s="1" t="s">
        <v>7460</v>
      </c>
    </row>
    <row r="24385">
      <c r="A24385" s="1" t="s">
        <v>37977</v>
      </c>
      <c r="B24385" s="2" t="s">
        <v>37978</v>
      </c>
      <c r="C24385" s="1" t="s">
        <v>7459</v>
      </c>
      <c r="D24385" s="1" t="s">
        <v>7460</v>
      </c>
    </row>
    <row r="24386">
      <c r="A24386" s="1" t="s">
        <v>37979</v>
      </c>
      <c r="B24386" s="2" t="s">
        <v>36907</v>
      </c>
      <c r="C24386" s="1" t="s">
        <v>7459</v>
      </c>
      <c r="D24386" s="1" t="s">
        <v>7460</v>
      </c>
    </row>
    <row r="24387">
      <c r="A24387" s="1" t="s">
        <v>37980</v>
      </c>
      <c r="B24387" s="2" t="s">
        <v>37981</v>
      </c>
      <c r="C24387" s="1" t="s">
        <v>7459</v>
      </c>
      <c r="D24387" s="1" t="s">
        <v>7460</v>
      </c>
    </row>
    <row r="24388">
      <c r="A24388" s="1" t="s">
        <v>37982</v>
      </c>
      <c r="B24388" s="2" t="s">
        <v>36961</v>
      </c>
      <c r="C24388" s="1" t="s">
        <v>7459</v>
      </c>
      <c r="D24388" s="1" t="s">
        <v>7460</v>
      </c>
    </row>
    <row r="24389">
      <c r="A24389" s="1" t="s">
        <v>37983</v>
      </c>
      <c r="B24389" s="2" t="s">
        <v>37984</v>
      </c>
      <c r="C24389" s="1" t="s">
        <v>7459</v>
      </c>
      <c r="D24389" s="1" t="s">
        <v>7460</v>
      </c>
    </row>
    <row r="24390">
      <c r="A24390" s="1" t="s">
        <v>37985</v>
      </c>
      <c r="B24390" s="2" t="s">
        <v>37986</v>
      </c>
      <c r="C24390" s="1" t="s">
        <v>7459</v>
      </c>
      <c r="D24390" s="1" t="s">
        <v>7460</v>
      </c>
    </row>
    <row r="24391">
      <c r="A24391" s="1" t="s">
        <v>37987</v>
      </c>
      <c r="B24391" s="2" t="s">
        <v>37988</v>
      </c>
      <c r="C24391" s="1" t="s">
        <v>7459</v>
      </c>
      <c r="D24391" s="1" t="s">
        <v>7460</v>
      </c>
    </row>
    <row r="24392">
      <c r="A24392" s="1" t="s">
        <v>37989</v>
      </c>
      <c r="B24392" s="2" t="s">
        <v>37990</v>
      </c>
      <c r="C24392" s="1" t="s">
        <v>7459</v>
      </c>
      <c r="D24392" s="1" t="s">
        <v>7460</v>
      </c>
    </row>
    <row r="24393">
      <c r="A24393" s="1" t="s">
        <v>37991</v>
      </c>
      <c r="B24393" s="2" t="s">
        <v>37992</v>
      </c>
      <c r="C24393" s="1" t="s">
        <v>7459</v>
      </c>
      <c r="D24393" s="1" t="s">
        <v>7460</v>
      </c>
    </row>
    <row r="24394">
      <c r="A24394" s="1" t="s">
        <v>37993</v>
      </c>
      <c r="B24394" s="2" t="s">
        <v>37994</v>
      </c>
      <c r="C24394" s="1" t="s">
        <v>7459</v>
      </c>
      <c r="D24394" s="1" t="s">
        <v>7460</v>
      </c>
    </row>
    <row r="24395">
      <c r="A24395" s="1" t="s">
        <v>37995</v>
      </c>
      <c r="B24395" s="2" t="s">
        <v>37027</v>
      </c>
      <c r="C24395" s="1" t="s">
        <v>7459</v>
      </c>
      <c r="D24395" s="1" t="s">
        <v>7460</v>
      </c>
    </row>
    <row r="24396">
      <c r="A24396" s="1" t="s">
        <v>37996</v>
      </c>
      <c r="B24396" s="2" t="s">
        <v>37997</v>
      </c>
      <c r="C24396" s="1" t="s">
        <v>7459</v>
      </c>
      <c r="D24396" s="1" t="s">
        <v>7460</v>
      </c>
    </row>
    <row r="24397">
      <c r="A24397" s="1" t="s">
        <v>37998</v>
      </c>
      <c r="B24397" s="2" t="s">
        <v>37999</v>
      </c>
      <c r="C24397" s="1" t="s">
        <v>7459</v>
      </c>
      <c r="D24397" s="1" t="s">
        <v>7460</v>
      </c>
    </row>
    <row r="24398">
      <c r="A24398" s="1" t="s">
        <v>38000</v>
      </c>
      <c r="B24398" s="2" t="s">
        <v>38001</v>
      </c>
      <c r="C24398" s="1" t="s">
        <v>7459</v>
      </c>
      <c r="D24398" s="1" t="s">
        <v>7460</v>
      </c>
    </row>
    <row r="24399">
      <c r="A24399" s="1" t="s">
        <v>38002</v>
      </c>
      <c r="B24399" s="2" t="s">
        <v>38003</v>
      </c>
      <c r="C24399" s="1" t="s">
        <v>7459</v>
      </c>
      <c r="D24399" s="1" t="s">
        <v>7460</v>
      </c>
    </row>
    <row r="24400">
      <c r="A24400" s="1" t="s">
        <v>38004</v>
      </c>
      <c r="B24400" s="2" t="s">
        <v>38005</v>
      </c>
      <c r="C24400" s="1" t="s">
        <v>7459</v>
      </c>
      <c r="D24400" s="1" t="s">
        <v>7460</v>
      </c>
    </row>
    <row r="24401">
      <c r="A24401" s="1" t="s">
        <v>38006</v>
      </c>
      <c r="B24401" s="2" t="s">
        <v>38007</v>
      </c>
      <c r="C24401" s="1" t="s">
        <v>7459</v>
      </c>
      <c r="D24401" s="1" t="s">
        <v>7460</v>
      </c>
    </row>
    <row r="24402">
      <c r="A24402" s="1" t="s">
        <v>38008</v>
      </c>
      <c r="B24402" s="2" t="s">
        <v>37075</v>
      </c>
      <c r="C24402" s="1" t="s">
        <v>7459</v>
      </c>
      <c r="D24402" s="1" t="s">
        <v>7460</v>
      </c>
    </row>
    <row r="24403">
      <c r="A24403" s="1" t="s">
        <v>7464</v>
      </c>
      <c r="B24403" s="2" t="s">
        <v>7</v>
      </c>
      <c r="C24403" s="1" t="s">
        <v>7465</v>
      </c>
      <c r="D24403" s="1" t="s">
        <v>7467</v>
      </c>
    </row>
    <row r="24404">
      <c r="A24404" s="1" t="s">
        <v>38009</v>
      </c>
      <c r="B24404" s="2" t="s">
        <v>11329</v>
      </c>
      <c r="C24404" s="1" t="s">
        <v>7465</v>
      </c>
      <c r="D24404" s="1" t="s">
        <v>7467</v>
      </c>
    </row>
    <row r="24405">
      <c r="A24405" s="1" t="s">
        <v>38010</v>
      </c>
      <c r="B24405" s="2" t="s">
        <v>11331</v>
      </c>
      <c r="C24405" s="1" t="s">
        <v>7465</v>
      </c>
      <c r="D24405" s="1" t="s">
        <v>7467</v>
      </c>
    </row>
    <row r="24406">
      <c r="A24406" s="1" t="s">
        <v>38011</v>
      </c>
      <c r="B24406" s="2" t="s">
        <v>11333</v>
      </c>
      <c r="C24406" s="1" t="s">
        <v>7465</v>
      </c>
      <c r="D24406" s="1" t="s">
        <v>7467</v>
      </c>
    </row>
    <row r="24407">
      <c r="A24407" s="1" t="s">
        <v>38012</v>
      </c>
      <c r="B24407" s="2" t="s">
        <v>11335</v>
      </c>
      <c r="C24407" s="1" t="s">
        <v>7465</v>
      </c>
      <c r="D24407" s="1" t="s">
        <v>7467</v>
      </c>
    </row>
    <row r="24408">
      <c r="A24408" s="1" t="s">
        <v>38013</v>
      </c>
      <c r="B24408" s="2" t="s">
        <v>11337</v>
      </c>
      <c r="C24408" s="1" t="s">
        <v>7465</v>
      </c>
      <c r="D24408" s="1" t="s">
        <v>7467</v>
      </c>
    </row>
    <row r="24409">
      <c r="A24409" s="1" t="s">
        <v>38014</v>
      </c>
      <c r="B24409" s="2" t="s">
        <v>38015</v>
      </c>
      <c r="C24409" s="1" t="s">
        <v>7465</v>
      </c>
      <c r="D24409" s="1" t="s">
        <v>7467</v>
      </c>
    </row>
    <row r="24410">
      <c r="A24410" s="1" t="s">
        <v>38016</v>
      </c>
      <c r="B24410" s="2" t="s">
        <v>38017</v>
      </c>
      <c r="C24410" s="1" t="s">
        <v>7465</v>
      </c>
      <c r="D24410" s="1" t="s">
        <v>7467</v>
      </c>
    </row>
    <row r="24411">
      <c r="A24411" s="1" t="s">
        <v>38018</v>
      </c>
      <c r="B24411" s="2" t="s">
        <v>38019</v>
      </c>
      <c r="C24411" s="1" t="s">
        <v>7465</v>
      </c>
      <c r="D24411" s="1" t="s">
        <v>7467</v>
      </c>
    </row>
    <row r="24412">
      <c r="A24412" s="1" t="s">
        <v>38020</v>
      </c>
      <c r="B24412" s="2" t="s">
        <v>38021</v>
      </c>
      <c r="C24412" s="1" t="s">
        <v>7465</v>
      </c>
      <c r="D24412" s="1" t="s">
        <v>7467</v>
      </c>
    </row>
    <row r="24413">
      <c r="A24413" s="1" t="s">
        <v>38022</v>
      </c>
      <c r="B24413" s="2" t="s">
        <v>38023</v>
      </c>
      <c r="C24413" s="1" t="s">
        <v>7465</v>
      </c>
      <c r="D24413" s="1" t="s">
        <v>7467</v>
      </c>
    </row>
    <row r="24414">
      <c r="A24414" s="1" t="s">
        <v>38024</v>
      </c>
      <c r="B24414" s="2" t="s">
        <v>38025</v>
      </c>
      <c r="C24414" s="1" t="s">
        <v>7465</v>
      </c>
      <c r="D24414" s="1" t="s">
        <v>7467</v>
      </c>
    </row>
    <row r="24415">
      <c r="A24415" s="1" t="s">
        <v>38026</v>
      </c>
      <c r="B24415" s="2" t="s">
        <v>38027</v>
      </c>
      <c r="C24415" s="1" t="s">
        <v>7465</v>
      </c>
      <c r="D24415" s="1" t="s">
        <v>7467</v>
      </c>
    </row>
    <row r="24416">
      <c r="A24416" s="1" t="s">
        <v>38028</v>
      </c>
      <c r="B24416" s="2" t="s">
        <v>38029</v>
      </c>
      <c r="C24416" s="1" t="s">
        <v>7465</v>
      </c>
      <c r="D24416" s="1" t="s">
        <v>7467</v>
      </c>
    </row>
    <row r="24417">
      <c r="A24417" s="1" t="s">
        <v>38030</v>
      </c>
      <c r="B24417" s="2" t="s">
        <v>38031</v>
      </c>
      <c r="C24417" s="1" t="s">
        <v>7465</v>
      </c>
      <c r="D24417" s="1" t="s">
        <v>7467</v>
      </c>
    </row>
    <row r="24418">
      <c r="A24418" s="1" t="s">
        <v>38032</v>
      </c>
      <c r="B24418" s="2" t="s">
        <v>38033</v>
      </c>
      <c r="C24418" s="1" t="s">
        <v>7465</v>
      </c>
      <c r="D24418" s="1" t="s">
        <v>7467</v>
      </c>
    </row>
    <row r="24419">
      <c r="A24419" s="1" t="s">
        <v>38034</v>
      </c>
      <c r="B24419" s="2" t="s">
        <v>38035</v>
      </c>
      <c r="C24419" s="1" t="s">
        <v>7465</v>
      </c>
      <c r="D24419" s="1" t="s">
        <v>7467</v>
      </c>
    </row>
    <row r="24420">
      <c r="A24420" s="1" t="s">
        <v>38036</v>
      </c>
      <c r="B24420" s="2" t="s">
        <v>38037</v>
      </c>
      <c r="C24420" s="1" t="s">
        <v>7465</v>
      </c>
      <c r="D24420" s="1" t="s">
        <v>7467</v>
      </c>
    </row>
    <row r="24421">
      <c r="A24421" s="1" t="s">
        <v>38038</v>
      </c>
      <c r="B24421" s="2" t="s">
        <v>37075</v>
      </c>
      <c r="C24421" s="1" t="s">
        <v>7465</v>
      </c>
      <c r="D24421" s="1" t="s">
        <v>7467</v>
      </c>
    </row>
    <row r="24422">
      <c r="A24422" s="1" t="s">
        <v>7468</v>
      </c>
      <c r="B24422" s="2" t="s">
        <v>7</v>
      </c>
      <c r="C24422" s="1" t="s">
        <v>7470</v>
      </c>
      <c r="D24422" s="1" t="s">
        <v>7471</v>
      </c>
    </row>
    <row r="24423">
      <c r="A24423" s="1" t="s">
        <v>38039</v>
      </c>
      <c r="B24423" s="2" t="s">
        <v>3373</v>
      </c>
      <c r="C24423" s="1" t="s">
        <v>7470</v>
      </c>
      <c r="D24423" s="1" t="s">
        <v>7471</v>
      </c>
    </row>
    <row r="24424">
      <c r="A24424" s="1" t="s">
        <v>38040</v>
      </c>
      <c r="B24424" s="2" t="s">
        <v>3376</v>
      </c>
      <c r="C24424" s="1" t="s">
        <v>7470</v>
      </c>
      <c r="D24424" s="1" t="s">
        <v>7471</v>
      </c>
    </row>
    <row r="24425">
      <c r="A24425" s="1" t="s">
        <v>38041</v>
      </c>
      <c r="B24425" s="2" t="s">
        <v>36715</v>
      </c>
      <c r="C24425" s="1" t="s">
        <v>7470</v>
      </c>
      <c r="D24425" s="1" t="s">
        <v>7471</v>
      </c>
    </row>
    <row r="24426">
      <c r="A24426" s="1" t="s">
        <v>38042</v>
      </c>
      <c r="B24426" s="2" t="s">
        <v>38043</v>
      </c>
      <c r="C24426" s="1" t="s">
        <v>7470</v>
      </c>
      <c r="D24426" s="1" t="s">
        <v>7471</v>
      </c>
    </row>
    <row r="24427">
      <c r="A24427" s="1" t="s">
        <v>38044</v>
      </c>
      <c r="B24427" s="2" t="s">
        <v>38045</v>
      </c>
      <c r="C24427" s="1" t="s">
        <v>7470</v>
      </c>
      <c r="D24427" s="1" t="s">
        <v>7471</v>
      </c>
    </row>
    <row r="24428">
      <c r="A24428" s="1" t="s">
        <v>38046</v>
      </c>
      <c r="B24428" s="2" t="s">
        <v>36781</v>
      </c>
      <c r="C24428" s="1" t="s">
        <v>7470</v>
      </c>
      <c r="D24428" s="1" t="s">
        <v>7471</v>
      </c>
    </row>
    <row r="24429">
      <c r="A24429" s="1" t="s">
        <v>38047</v>
      </c>
      <c r="B24429" s="2" t="s">
        <v>38048</v>
      </c>
      <c r="C24429" s="1" t="s">
        <v>7470</v>
      </c>
      <c r="D24429" s="1" t="s">
        <v>7471</v>
      </c>
    </row>
    <row r="24430">
      <c r="A24430" s="1" t="s">
        <v>38049</v>
      </c>
      <c r="B24430" s="2" t="s">
        <v>38050</v>
      </c>
      <c r="C24430" s="1" t="s">
        <v>7470</v>
      </c>
      <c r="D24430" s="1" t="s">
        <v>7471</v>
      </c>
    </row>
    <row r="24431">
      <c r="A24431" s="1" t="s">
        <v>38051</v>
      </c>
      <c r="B24431" s="2" t="s">
        <v>36847</v>
      </c>
      <c r="C24431" s="1" t="s">
        <v>7470</v>
      </c>
      <c r="D24431" s="1" t="s">
        <v>7471</v>
      </c>
    </row>
    <row r="24432">
      <c r="A24432" s="1" t="s">
        <v>38052</v>
      </c>
      <c r="B24432" s="2" t="s">
        <v>38053</v>
      </c>
      <c r="C24432" s="1" t="s">
        <v>7470</v>
      </c>
      <c r="D24432" s="1" t="s">
        <v>7471</v>
      </c>
    </row>
    <row r="24433">
      <c r="A24433" s="1" t="s">
        <v>38054</v>
      </c>
      <c r="B24433" s="2" t="s">
        <v>38055</v>
      </c>
      <c r="C24433" s="1" t="s">
        <v>7470</v>
      </c>
      <c r="D24433" s="1" t="s">
        <v>7471</v>
      </c>
    </row>
    <row r="24434">
      <c r="A24434" s="1" t="s">
        <v>38056</v>
      </c>
      <c r="B24434" s="2" t="s">
        <v>36907</v>
      </c>
      <c r="C24434" s="1" t="s">
        <v>7470</v>
      </c>
      <c r="D24434" s="1" t="s">
        <v>7471</v>
      </c>
    </row>
    <row r="24435">
      <c r="A24435" s="1" t="s">
        <v>38057</v>
      </c>
      <c r="B24435" s="2" t="s">
        <v>38058</v>
      </c>
      <c r="C24435" s="1" t="s">
        <v>7470</v>
      </c>
      <c r="D24435" s="1" t="s">
        <v>7471</v>
      </c>
    </row>
    <row r="24436">
      <c r="A24436" s="1" t="s">
        <v>38059</v>
      </c>
      <c r="B24436" s="2" t="s">
        <v>38060</v>
      </c>
      <c r="C24436" s="1" t="s">
        <v>7470</v>
      </c>
      <c r="D24436" s="1" t="s">
        <v>7471</v>
      </c>
    </row>
    <row r="24437">
      <c r="A24437" s="1" t="s">
        <v>38061</v>
      </c>
      <c r="B24437" s="2" t="s">
        <v>36961</v>
      </c>
      <c r="C24437" s="1" t="s">
        <v>7470</v>
      </c>
      <c r="D24437" s="1" t="s">
        <v>7471</v>
      </c>
    </row>
    <row r="24438">
      <c r="A24438" s="1" t="s">
        <v>38062</v>
      </c>
      <c r="B24438" s="2" t="s">
        <v>38063</v>
      </c>
      <c r="C24438" s="1" t="s">
        <v>7470</v>
      </c>
      <c r="D24438" s="1" t="s">
        <v>7471</v>
      </c>
    </row>
    <row r="24439">
      <c r="A24439" s="1" t="s">
        <v>38064</v>
      </c>
      <c r="B24439" s="2" t="s">
        <v>38065</v>
      </c>
      <c r="C24439" s="1" t="s">
        <v>7470</v>
      </c>
      <c r="D24439" s="1" t="s">
        <v>7471</v>
      </c>
    </row>
    <row r="24440">
      <c r="A24440" s="1" t="s">
        <v>38066</v>
      </c>
      <c r="B24440" s="2" t="s">
        <v>37027</v>
      </c>
      <c r="C24440" s="1" t="s">
        <v>7470</v>
      </c>
      <c r="D24440" s="1" t="s">
        <v>7471</v>
      </c>
    </row>
    <row r="24441">
      <c r="A24441" s="1" t="s">
        <v>38067</v>
      </c>
      <c r="B24441" s="2" t="s">
        <v>38068</v>
      </c>
      <c r="C24441" s="1" t="s">
        <v>7470</v>
      </c>
      <c r="D24441" s="1" t="s">
        <v>7471</v>
      </c>
    </row>
    <row r="24442">
      <c r="A24442" s="1" t="s">
        <v>38069</v>
      </c>
      <c r="B24442" s="2" t="s">
        <v>38070</v>
      </c>
      <c r="C24442" s="1" t="s">
        <v>7470</v>
      </c>
      <c r="D24442" s="1" t="s">
        <v>7471</v>
      </c>
    </row>
    <row r="24443">
      <c r="A24443" s="1" t="s">
        <v>38071</v>
      </c>
      <c r="B24443" s="2" t="s">
        <v>37075</v>
      </c>
      <c r="C24443" s="1" t="s">
        <v>7470</v>
      </c>
      <c r="D24443" s="1" t="s">
        <v>7471</v>
      </c>
    </row>
    <row r="24444">
      <c r="A24444" s="1" t="s">
        <v>7474</v>
      </c>
      <c r="B24444" s="2" t="s">
        <v>7</v>
      </c>
      <c r="C24444" s="1" t="s">
        <v>7476</v>
      </c>
      <c r="D24444" s="1" t="s">
        <v>7477</v>
      </c>
    </row>
    <row r="24445">
      <c r="A24445" s="1" t="s">
        <v>38072</v>
      </c>
      <c r="B24445" s="2" t="s">
        <v>3373</v>
      </c>
      <c r="C24445" s="1" t="s">
        <v>7476</v>
      </c>
      <c r="D24445" s="1" t="s">
        <v>7477</v>
      </c>
    </row>
    <row r="24446">
      <c r="A24446" s="1" t="s">
        <v>38073</v>
      </c>
      <c r="B24446" s="2" t="s">
        <v>3376</v>
      </c>
      <c r="C24446" s="1" t="s">
        <v>7476</v>
      </c>
      <c r="D24446" s="1" t="s">
        <v>7477</v>
      </c>
    </row>
    <row r="24447">
      <c r="A24447" s="1" t="s">
        <v>38074</v>
      </c>
      <c r="B24447" s="2" t="s">
        <v>36715</v>
      </c>
      <c r="C24447" s="1" t="s">
        <v>7476</v>
      </c>
      <c r="D24447" s="1" t="s">
        <v>7477</v>
      </c>
    </row>
    <row r="24448">
      <c r="A24448" s="1" t="s">
        <v>38075</v>
      </c>
      <c r="B24448" s="2" t="s">
        <v>38043</v>
      </c>
      <c r="C24448" s="1" t="s">
        <v>7476</v>
      </c>
      <c r="D24448" s="1" t="s">
        <v>7477</v>
      </c>
    </row>
    <row r="24449">
      <c r="A24449" s="1" t="s">
        <v>38076</v>
      </c>
      <c r="B24449" s="2" t="s">
        <v>38045</v>
      </c>
      <c r="C24449" s="1" t="s">
        <v>7476</v>
      </c>
      <c r="D24449" s="1" t="s">
        <v>7477</v>
      </c>
    </row>
    <row r="24450">
      <c r="A24450" s="1" t="s">
        <v>38077</v>
      </c>
      <c r="B24450" s="2" t="s">
        <v>36781</v>
      </c>
      <c r="C24450" s="1" t="s">
        <v>7476</v>
      </c>
      <c r="D24450" s="1" t="s">
        <v>7477</v>
      </c>
    </row>
    <row r="24451">
      <c r="A24451" s="1" t="s">
        <v>38078</v>
      </c>
      <c r="B24451" s="2" t="s">
        <v>38048</v>
      </c>
      <c r="C24451" s="1" t="s">
        <v>7476</v>
      </c>
      <c r="D24451" s="1" t="s">
        <v>7477</v>
      </c>
    </row>
    <row r="24452">
      <c r="A24452" s="1" t="s">
        <v>38079</v>
      </c>
      <c r="B24452" s="2" t="s">
        <v>38050</v>
      </c>
      <c r="C24452" s="1" t="s">
        <v>7476</v>
      </c>
      <c r="D24452" s="1" t="s">
        <v>7477</v>
      </c>
    </row>
    <row r="24453">
      <c r="A24453" s="1" t="s">
        <v>38080</v>
      </c>
      <c r="B24453" s="2" t="s">
        <v>36847</v>
      </c>
      <c r="C24453" s="1" t="s">
        <v>7476</v>
      </c>
      <c r="D24453" s="1" t="s">
        <v>7477</v>
      </c>
    </row>
    <row r="24454">
      <c r="A24454" s="1" t="s">
        <v>38081</v>
      </c>
      <c r="B24454" s="2" t="s">
        <v>38053</v>
      </c>
      <c r="C24454" s="1" t="s">
        <v>7476</v>
      </c>
      <c r="D24454" s="1" t="s">
        <v>7477</v>
      </c>
    </row>
    <row r="24455">
      <c r="A24455" s="1" t="s">
        <v>38082</v>
      </c>
      <c r="B24455" s="2" t="s">
        <v>38055</v>
      </c>
      <c r="C24455" s="1" t="s">
        <v>7476</v>
      </c>
      <c r="D24455" s="1" t="s">
        <v>7477</v>
      </c>
    </row>
    <row r="24456">
      <c r="A24456" s="1" t="s">
        <v>38083</v>
      </c>
      <c r="B24456" s="2" t="s">
        <v>36907</v>
      </c>
      <c r="C24456" s="1" t="s">
        <v>7476</v>
      </c>
      <c r="D24456" s="1" t="s">
        <v>7477</v>
      </c>
    </row>
    <row r="24457">
      <c r="A24457" s="1" t="s">
        <v>38084</v>
      </c>
      <c r="B24457" s="2" t="s">
        <v>38058</v>
      </c>
      <c r="C24457" s="1" t="s">
        <v>7476</v>
      </c>
      <c r="D24457" s="1" t="s">
        <v>7477</v>
      </c>
    </row>
    <row r="24458">
      <c r="A24458" s="1" t="s">
        <v>38085</v>
      </c>
      <c r="B24458" s="2" t="s">
        <v>38060</v>
      </c>
      <c r="C24458" s="1" t="s">
        <v>7476</v>
      </c>
      <c r="D24458" s="1" t="s">
        <v>7477</v>
      </c>
    </row>
    <row r="24459">
      <c r="A24459" s="1" t="s">
        <v>38086</v>
      </c>
      <c r="B24459" s="2" t="s">
        <v>36961</v>
      </c>
      <c r="C24459" s="1" t="s">
        <v>7476</v>
      </c>
      <c r="D24459" s="1" t="s">
        <v>7477</v>
      </c>
    </row>
    <row r="24460">
      <c r="A24460" s="1" t="s">
        <v>38087</v>
      </c>
      <c r="B24460" s="2" t="s">
        <v>38063</v>
      </c>
      <c r="C24460" s="1" t="s">
        <v>7476</v>
      </c>
      <c r="D24460" s="1" t="s">
        <v>7477</v>
      </c>
    </row>
    <row r="24461">
      <c r="A24461" s="1" t="s">
        <v>38088</v>
      </c>
      <c r="B24461" s="2" t="s">
        <v>38065</v>
      </c>
      <c r="C24461" s="1" t="s">
        <v>7476</v>
      </c>
      <c r="D24461" s="1" t="s">
        <v>7477</v>
      </c>
    </row>
    <row r="24462">
      <c r="A24462" s="1" t="s">
        <v>38089</v>
      </c>
      <c r="B24462" s="2" t="s">
        <v>37027</v>
      </c>
      <c r="C24462" s="1" t="s">
        <v>7476</v>
      </c>
      <c r="D24462" s="1" t="s">
        <v>7477</v>
      </c>
    </row>
    <row r="24463">
      <c r="A24463" s="1" t="s">
        <v>38090</v>
      </c>
      <c r="B24463" s="2" t="s">
        <v>38068</v>
      </c>
      <c r="C24463" s="1" t="s">
        <v>7476</v>
      </c>
      <c r="D24463" s="1" t="s">
        <v>7477</v>
      </c>
    </row>
    <row r="24464">
      <c r="A24464" s="1" t="s">
        <v>38091</v>
      </c>
      <c r="B24464" s="2" t="s">
        <v>38070</v>
      </c>
      <c r="C24464" s="1" t="s">
        <v>7476</v>
      </c>
      <c r="D24464" s="1" t="s">
        <v>7477</v>
      </c>
    </row>
    <row r="24465">
      <c r="A24465" s="1" t="s">
        <v>38092</v>
      </c>
      <c r="B24465" s="2" t="s">
        <v>37075</v>
      </c>
      <c r="C24465" s="1" t="s">
        <v>7476</v>
      </c>
      <c r="D24465" s="1" t="s">
        <v>7477</v>
      </c>
    </row>
    <row r="24466">
      <c r="A24466" s="1" t="s">
        <v>7479</v>
      </c>
      <c r="B24466" s="2" t="s">
        <v>1705</v>
      </c>
      <c r="C24466" s="1" t="s">
        <v>7481</v>
      </c>
      <c r="D24466" s="1" t="s">
        <v>7482</v>
      </c>
    </row>
    <row r="24467">
      <c r="A24467" s="1" t="s">
        <v>38093</v>
      </c>
      <c r="B24467" s="2" t="s">
        <v>38094</v>
      </c>
      <c r="C24467" s="1" t="s">
        <v>7481</v>
      </c>
      <c r="D24467" s="1" t="s">
        <v>7482</v>
      </c>
    </row>
    <row r="24468">
      <c r="A24468" s="1" t="s">
        <v>38095</v>
      </c>
      <c r="B24468" s="2" t="s">
        <v>38096</v>
      </c>
      <c r="C24468" s="1" t="s">
        <v>7481</v>
      </c>
      <c r="D24468" s="1" t="s">
        <v>7482</v>
      </c>
    </row>
    <row r="24469">
      <c r="A24469" s="1" t="s">
        <v>38097</v>
      </c>
      <c r="B24469" s="2" t="s">
        <v>38098</v>
      </c>
      <c r="C24469" s="1" t="s">
        <v>7481</v>
      </c>
      <c r="D24469" s="1" t="s">
        <v>7482</v>
      </c>
    </row>
    <row r="24470">
      <c r="A24470" s="1" t="s">
        <v>38099</v>
      </c>
      <c r="B24470" s="2" t="s">
        <v>38100</v>
      </c>
      <c r="C24470" s="1" t="s">
        <v>7481</v>
      </c>
      <c r="D24470" s="1" t="s">
        <v>7482</v>
      </c>
    </row>
    <row r="24471">
      <c r="A24471" s="1" t="s">
        <v>38101</v>
      </c>
      <c r="B24471" s="2" t="s">
        <v>38102</v>
      </c>
      <c r="C24471" s="1" t="s">
        <v>7481</v>
      </c>
      <c r="D24471" s="1" t="s">
        <v>7482</v>
      </c>
    </row>
    <row r="24472">
      <c r="A24472" s="1" t="s">
        <v>38103</v>
      </c>
      <c r="B24472" s="2" t="s">
        <v>38104</v>
      </c>
      <c r="C24472" s="1" t="s">
        <v>7481</v>
      </c>
      <c r="D24472" s="1" t="s">
        <v>7482</v>
      </c>
    </row>
    <row r="24473">
      <c r="A24473" s="1" t="s">
        <v>38105</v>
      </c>
      <c r="B24473" s="2" t="s">
        <v>38106</v>
      </c>
      <c r="C24473" s="1" t="s">
        <v>7481</v>
      </c>
      <c r="D24473" s="1" t="s">
        <v>7482</v>
      </c>
    </row>
    <row r="24474">
      <c r="A24474" s="1" t="s">
        <v>38107</v>
      </c>
      <c r="B24474" s="2" t="s">
        <v>38108</v>
      </c>
      <c r="C24474" s="1" t="s">
        <v>7481</v>
      </c>
      <c r="D24474" s="1" t="s">
        <v>7482</v>
      </c>
    </row>
    <row r="24475">
      <c r="A24475" s="1" t="s">
        <v>38109</v>
      </c>
      <c r="B24475" s="2" t="s">
        <v>38110</v>
      </c>
      <c r="C24475" s="1" t="s">
        <v>7481</v>
      </c>
      <c r="D24475" s="1" t="s">
        <v>7482</v>
      </c>
    </row>
    <row r="24476">
      <c r="A24476" s="1" t="s">
        <v>38111</v>
      </c>
      <c r="B24476" s="2" t="s">
        <v>38112</v>
      </c>
      <c r="C24476" s="1" t="s">
        <v>7481</v>
      </c>
      <c r="D24476" s="1" t="s">
        <v>7482</v>
      </c>
    </row>
    <row r="24477">
      <c r="A24477" s="1" t="s">
        <v>38113</v>
      </c>
      <c r="B24477" s="2" t="s">
        <v>38114</v>
      </c>
      <c r="C24477" s="1" t="s">
        <v>7481</v>
      </c>
      <c r="D24477" s="1" t="s">
        <v>7482</v>
      </c>
    </row>
    <row r="24478">
      <c r="A24478" s="1" t="s">
        <v>38115</v>
      </c>
      <c r="B24478" s="2" t="s">
        <v>38116</v>
      </c>
      <c r="C24478" s="1" t="s">
        <v>7481</v>
      </c>
      <c r="D24478" s="1" t="s">
        <v>7482</v>
      </c>
    </row>
    <row r="24479">
      <c r="A24479" s="1" t="s">
        <v>38117</v>
      </c>
      <c r="B24479" s="2" t="s">
        <v>38118</v>
      </c>
      <c r="C24479" s="1" t="s">
        <v>7481</v>
      </c>
      <c r="D24479" s="1" t="s">
        <v>7482</v>
      </c>
    </row>
    <row r="24480">
      <c r="A24480" s="1" t="s">
        <v>38119</v>
      </c>
      <c r="B24480" s="2" t="s">
        <v>38120</v>
      </c>
      <c r="C24480" s="1" t="s">
        <v>7481</v>
      </c>
      <c r="D24480" s="1" t="s">
        <v>7482</v>
      </c>
    </row>
    <row r="24481">
      <c r="A24481" s="1" t="s">
        <v>38121</v>
      </c>
      <c r="B24481" s="2" t="s">
        <v>38122</v>
      </c>
      <c r="C24481" s="1" t="s">
        <v>7481</v>
      </c>
      <c r="D24481" s="1" t="s">
        <v>7482</v>
      </c>
    </row>
    <row r="24482">
      <c r="A24482" s="1" t="s">
        <v>38123</v>
      </c>
      <c r="B24482" s="2" t="s">
        <v>38124</v>
      </c>
      <c r="C24482" s="1" t="s">
        <v>7481</v>
      </c>
      <c r="D24482" s="1" t="s">
        <v>7482</v>
      </c>
    </row>
    <row r="24483">
      <c r="A24483" s="1" t="s">
        <v>38125</v>
      </c>
      <c r="B24483" s="2" t="s">
        <v>38126</v>
      </c>
      <c r="C24483" s="1" t="s">
        <v>7481</v>
      </c>
      <c r="D24483" s="1" t="s">
        <v>7482</v>
      </c>
    </row>
    <row r="24484">
      <c r="A24484" s="1" t="s">
        <v>38127</v>
      </c>
      <c r="B24484" s="2" t="s">
        <v>38128</v>
      </c>
      <c r="C24484" s="1" t="s">
        <v>7481</v>
      </c>
      <c r="D24484" s="1" t="s">
        <v>7482</v>
      </c>
    </row>
    <row r="24485">
      <c r="A24485" s="1" t="s">
        <v>38129</v>
      </c>
      <c r="B24485" s="2" t="s">
        <v>38130</v>
      </c>
      <c r="C24485" s="1" t="s">
        <v>7481</v>
      </c>
      <c r="D24485" s="1" t="s">
        <v>7482</v>
      </c>
    </row>
    <row r="24486">
      <c r="A24486" s="1" t="s">
        <v>38131</v>
      </c>
      <c r="B24486" s="2" t="s">
        <v>38132</v>
      </c>
      <c r="C24486" s="1" t="s">
        <v>7481</v>
      </c>
      <c r="D24486" s="1" t="s">
        <v>7482</v>
      </c>
    </row>
    <row r="24487">
      <c r="A24487" s="1" t="s">
        <v>38133</v>
      </c>
      <c r="B24487" s="2" t="s">
        <v>38134</v>
      </c>
      <c r="C24487" s="1" t="s">
        <v>7481</v>
      </c>
      <c r="D24487" s="1" t="s">
        <v>7482</v>
      </c>
    </row>
    <row r="24488">
      <c r="A24488" s="1" t="s">
        <v>7485</v>
      </c>
      <c r="B24488" s="2" t="s">
        <v>7487</v>
      </c>
      <c r="C24488" s="1" t="s">
        <v>7488</v>
      </c>
      <c r="D24488" s="1" t="s">
        <v>7489</v>
      </c>
    </row>
    <row r="24489">
      <c r="A24489" s="1" t="s">
        <v>38135</v>
      </c>
      <c r="B24489" s="2" t="s">
        <v>38136</v>
      </c>
      <c r="C24489" s="1" t="s">
        <v>7488</v>
      </c>
      <c r="D24489" s="1" t="s">
        <v>7489</v>
      </c>
    </row>
    <row r="24490">
      <c r="A24490" s="1" t="s">
        <v>38137</v>
      </c>
      <c r="B24490" s="2" t="s">
        <v>38138</v>
      </c>
      <c r="C24490" s="1" t="s">
        <v>7488</v>
      </c>
      <c r="D24490" s="1" t="s">
        <v>7489</v>
      </c>
    </row>
    <row r="24491">
      <c r="A24491" s="1" t="s">
        <v>38139</v>
      </c>
      <c r="B24491" s="2" t="s">
        <v>38140</v>
      </c>
      <c r="C24491" s="1" t="s">
        <v>7488</v>
      </c>
      <c r="D24491" s="1" t="s">
        <v>7489</v>
      </c>
    </row>
    <row r="24492">
      <c r="A24492" s="1" t="s">
        <v>38141</v>
      </c>
      <c r="B24492" s="2" t="s">
        <v>38142</v>
      </c>
      <c r="C24492" s="1" t="s">
        <v>7488</v>
      </c>
      <c r="D24492" s="1" t="s">
        <v>7489</v>
      </c>
    </row>
    <row r="24493">
      <c r="A24493" s="1" t="s">
        <v>38143</v>
      </c>
      <c r="B24493" s="2" t="s">
        <v>38144</v>
      </c>
      <c r="C24493" s="1" t="s">
        <v>7488</v>
      </c>
      <c r="D24493" s="1" t="s">
        <v>7489</v>
      </c>
    </row>
    <row r="24494">
      <c r="A24494" s="1" t="s">
        <v>38145</v>
      </c>
      <c r="B24494" s="2" t="s">
        <v>38146</v>
      </c>
      <c r="C24494" s="1" t="s">
        <v>7488</v>
      </c>
      <c r="D24494" s="1" t="s">
        <v>7489</v>
      </c>
    </row>
    <row r="24495">
      <c r="A24495" s="1" t="s">
        <v>38147</v>
      </c>
      <c r="B24495" s="2" t="s">
        <v>38148</v>
      </c>
      <c r="C24495" s="1" t="s">
        <v>7488</v>
      </c>
      <c r="D24495" s="1" t="s">
        <v>7489</v>
      </c>
    </row>
    <row r="24496">
      <c r="A24496" s="1" t="s">
        <v>38149</v>
      </c>
      <c r="B24496" s="2" t="s">
        <v>38150</v>
      </c>
      <c r="C24496" s="1" t="s">
        <v>7488</v>
      </c>
      <c r="D24496" s="1" t="s">
        <v>7489</v>
      </c>
    </row>
    <row r="24497">
      <c r="A24497" s="1" t="s">
        <v>38151</v>
      </c>
      <c r="B24497" s="2" t="s">
        <v>38152</v>
      </c>
      <c r="C24497" s="1" t="s">
        <v>7488</v>
      </c>
      <c r="D24497" s="1" t="s">
        <v>7489</v>
      </c>
    </row>
    <row r="24498">
      <c r="A24498" s="1" t="s">
        <v>38153</v>
      </c>
      <c r="B24498" s="2" t="s">
        <v>38154</v>
      </c>
      <c r="C24498" s="1" t="s">
        <v>7488</v>
      </c>
      <c r="D24498" s="1" t="s">
        <v>7489</v>
      </c>
    </row>
    <row r="24499">
      <c r="A24499" s="1" t="s">
        <v>38155</v>
      </c>
      <c r="B24499" s="2" t="s">
        <v>38156</v>
      </c>
      <c r="C24499" s="1" t="s">
        <v>7488</v>
      </c>
      <c r="D24499" s="1" t="s">
        <v>7489</v>
      </c>
    </row>
    <row r="24500">
      <c r="A24500" s="1" t="s">
        <v>38157</v>
      </c>
      <c r="B24500" s="2" t="s">
        <v>38158</v>
      </c>
      <c r="C24500" s="1" t="s">
        <v>7488</v>
      </c>
      <c r="D24500" s="1" t="s">
        <v>7489</v>
      </c>
    </row>
    <row r="24501">
      <c r="A24501" s="1" t="s">
        <v>38159</v>
      </c>
      <c r="B24501" s="2" t="s">
        <v>38160</v>
      </c>
      <c r="C24501" s="1" t="s">
        <v>7488</v>
      </c>
      <c r="D24501" s="1" t="s">
        <v>7489</v>
      </c>
    </row>
    <row r="24502">
      <c r="A24502" s="1" t="s">
        <v>38161</v>
      </c>
      <c r="B24502" s="2" t="s">
        <v>38162</v>
      </c>
      <c r="C24502" s="1" t="s">
        <v>7488</v>
      </c>
      <c r="D24502" s="1" t="s">
        <v>7489</v>
      </c>
    </row>
    <row r="24503">
      <c r="A24503" s="1" t="s">
        <v>38163</v>
      </c>
      <c r="B24503" s="2" t="s">
        <v>38164</v>
      </c>
      <c r="C24503" s="1" t="s">
        <v>7488</v>
      </c>
      <c r="D24503" s="1" t="s">
        <v>7489</v>
      </c>
    </row>
    <row r="24504">
      <c r="A24504" s="1" t="s">
        <v>38165</v>
      </c>
      <c r="B24504" s="2" t="s">
        <v>38166</v>
      </c>
      <c r="C24504" s="1" t="s">
        <v>7488</v>
      </c>
      <c r="D24504" s="1" t="s">
        <v>7489</v>
      </c>
    </row>
    <row r="24505">
      <c r="A24505" s="1" t="s">
        <v>38167</v>
      </c>
      <c r="B24505" s="2" t="s">
        <v>38168</v>
      </c>
      <c r="C24505" s="1" t="s">
        <v>7488</v>
      </c>
      <c r="D24505" s="1" t="s">
        <v>7489</v>
      </c>
    </row>
    <row r="24506">
      <c r="A24506" s="1" t="s">
        <v>7492</v>
      </c>
      <c r="B24506" s="2" t="s">
        <v>7</v>
      </c>
      <c r="C24506" s="1" t="s">
        <v>7494</v>
      </c>
      <c r="D24506" s="1" t="s">
        <v>7495</v>
      </c>
    </row>
    <row r="24507">
      <c r="A24507" s="1" t="s">
        <v>38169</v>
      </c>
      <c r="B24507" s="2" t="s">
        <v>36672</v>
      </c>
      <c r="C24507" s="1" t="s">
        <v>7494</v>
      </c>
      <c r="D24507" s="1" t="s">
        <v>7495</v>
      </c>
    </row>
    <row r="24508">
      <c r="A24508" s="1" t="s">
        <v>38170</v>
      </c>
      <c r="B24508" s="2" t="s">
        <v>36674</v>
      </c>
      <c r="C24508" s="1" t="s">
        <v>7494</v>
      </c>
      <c r="D24508" s="1" t="s">
        <v>7495</v>
      </c>
    </row>
    <row r="24509">
      <c r="A24509" s="1" t="s">
        <v>38171</v>
      </c>
      <c r="B24509" s="2" t="s">
        <v>5133</v>
      </c>
      <c r="C24509" s="1" t="s">
        <v>7494</v>
      </c>
      <c r="D24509" s="1" t="s">
        <v>7495</v>
      </c>
    </row>
    <row r="24510">
      <c r="A24510" s="1" t="s">
        <v>38172</v>
      </c>
      <c r="B24510" s="2" t="s">
        <v>5137</v>
      </c>
      <c r="C24510" s="1" t="s">
        <v>7494</v>
      </c>
      <c r="D24510" s="1" t="s">
        <v>7495</v>
      </c>
    </row>
    <row r="24511">
      <c r="A24511" s="1" t="s">
        <v>38173</v>
      </c>
      <c r="B24511" s="2" t="s">
        <v>5141</v>
      </c>
      <c r="C24511" s="1" t="s">
        <v>7494</v>
      </c>
      <c r="D24511" s="1" t="s">
        <v>7495</v>
      </c>
    </row>
    <row r="24512">
      <c r="A24512" s="1" t="s">
        <v>38174</v>
      </c>
      <c r="B24512" s="2" t="s">
        <v>5146</v>
      </c>
      <c r="C24512" s="1" t="s">
        <v>7494</v>
      </c>
      <c r="D24512" s="1" t="s">
        <v>7495</v>
      </c>
    </row>
    <row r="24513">
      <c r="A24513" s="1" t="s">
        <v>38175</v>
      </c>
      <c r="B24513" s="2" t="s">
        <v>36680</v>
      </c>
      <c r="C24513" s="1" t="s">
        <v>7494</v>
      </c>
      <c r="D24513" s="1" t="s">
        <v>7495</v>
      </c>
    </row>
    <row r="24514">
      <c r="A24514" s="1" t="s">
        <v>38176</v>
      </c>
      <c r="B24514" s="2" t="s">
        <v>5157</v>
      </c>
      <c r="C24514" s="1" t="s">
        <v>7494</v>
      </c>
      <c r="D24514" s="1" t="s">
        <v>7495</v>
      </c>
    </row>
    <row r="24515">
      <c r="A24515" s="1" t="s">
        <v>38177</v>
      </c>
      <c r="B24515" s="2" t="s">
        <v>36683</v>
      </c>
      <c r="C24515" s="1" t="s">
        <v>7494</v>
      </c>
      <c r="D24515" s="1" t="s">
        <v>7495</v>
      </c>
    </row>
    <row r="24516">
      <c r="A24516" s="1" t="s">
        <v>38178</v>
      </c>
      <c r="B24516" s="2" t="s">
        <v>36685</v>
      </c>
      <c r="C24516" s="1" t="s">
        <v>7494</v>
      </c>
      <c r="D24516" s="1" t="s">
        <v>7495</v>
      </c>
    </row>
    <row r="24517">
      <c r="A24517" s="1" t="s">
        <v>38179</v>
      </c>
      <c r="B24517" s="2" t="s">
        <v>13</v>
      </c>
      <c r="C24517" s="1" t="s">
        <v>7494</v>
      </c>
      <c r="D24517" s="1" t="s">
        <v>7495</v>
      </c>
    </row>
    <row r="24518">
      <c r="A24518" s="1" t="s">
        <v>38180</v>
      </c>
      <c r="B24518" s="2" t="s">
        <v>36688</v>
      </c>
      <c r="C24518" s="1" t="s">
        <v>7494</v>
      </c>
      <c r="D24518" s="1" t="s">
        <v>7495</v>
      </c>
    </row>
    <row r="24519">
      <c r="A24519" s="1" t="s">
        <v>38181</v>
      </c>
      <c r="B24519" s="2" t="s">
        <v>34</v>
      </c>
      <c r="C24519" s="1" t="s">
        <v>7494</v>
      </c>
      <c r="D24519" s="1" t="s">
        <v>7495</v>
      </c>
    </row>
    <row r="24520">
      <c r="A24520" s="1" t="s">
        <v>38182</v>
      </c>
      <c r="B24520" s="2" t="s">
        <v>36691</v>
      </c>
      <c r="C24520" s="1" t="s">
        <v>7494</v>
      </c>
      <c r="D24520" s="1" t="s">
        <v>7495</v>
      </c>
    </row>
    <row r="24521">
      <c r="A24521" s="1" t="s">
        <v>38183</v>
      </c>
      <c r="B24521" s="2" t="s">
        <v>36693</v>
      </c>
      <c r="C24521" s="1" t="s">
        <v>7494</v>
      </c>
      <c r="D24521" s="1" t="s">
        <v>7495</v>
      </c>
    </row>
    <row r="24522">
      <c r="A24522" s="1" t="s">
        <v>38184</v>
      </c>
      <c r="B24522" s="2" t="s">
        <v>57</v>
      </c>
      <c r="C24522" s="1" t="s">
        <v>7494</v>
      </c>
      <c r="D24522" s="1" t="s">
        <v>7495</v>
      </c>
    </row>
    <row r="24523">
      <c r="A24523" s="1" t="s">
        <v>38185</v>
      </c>
      <c r="B24523" s="2" t="s">
        <v>60</v>
      </c>
      <c r="C24523" s="1" t="s">
        <v>7494</v>
      </c>
      <c r="D24523" s="1" t="s">
        <v>7495</v>
      </c>
    </row>
    <row r="24524">
      <c r="A24524" s="1" t="s">
        <v>38186</v>
      </c>
      <c r="B24524" s="2" t="s">
        <v>62</v>
      </c>
      <c r="C24524" s="1" t="s">
        <v>7494</v>
      </c>
      <c r="D24524" s="1" t="s">
        <v>7495</v>
      </c>
    </row>
    <row r="24525">
      <c r="A24525" s="1" t="s">
        <v>38187</v>
      </c>
      <c r="B24525" s="2" t="s">
        <v>64</v>
      </c>
      <c r="C24525" s="1" t="s">
        <v>7494</v>
      </c>
      <c r="D24525" s="1" t="s">
        <v>7495</v>
      </c>
    </row>
    <row r="24526">
      <c r="A24526" s="1" t="s">
        <v>38188</v>
      </c>
      <c r="B24526" s="2" t="s">
        <v>66</v>
      </c>
      <c r="C24526" s="1" t="s">
        <v>7494</v>
      </c>
      <c r="D24526" s="1" t="s">
        <v>7495</v>
      </c>
    </row>
    <row r="24527">
      <c r="A24527" s="1" t="s">
        <v>38189</v>
      </c>
      <c r="B24527" s="2" t="s">
        <v>68</v>
      </c>
      <c r="C24527" s="1" t="s">
        <v>7494</v>
      </c>
      <c r="D24527" s="1" t="s">
        <v>7495</v>
      </c>
    </row>
    <row r="24528">
      <c r="A24528" s="1" t="s">
        <v>38190</v>
      </c>
      <c r="B24528" s="2" t="s">
        <v>70</v>
      </c>
      <c r="C24528" s="1" t="s">
        <v>7494</v>
      </c>
      <c r="D24528" s="1" t="s">
        <v>7495</v>
      </c>
    </row>
    <row r="24529">
      <c r="A24529" s="1" t="s">
        <v>38191</v>
      </c>
      <c r="B24529" s="2" t="s">
        <v>36702</v>
      </c>
      <c r="C24529" s="1" t="s">
        <v>7494</v>
      </c>
      <c r="D24529" s="1" t="s">
        <v>7495</v>
      </c>
    </row>
    <row r="24530">
      <c r="A24530" s="1" t="s">
        <v>38192</v>
      </c>
      <c r="B24530" s="2" t="s">
        <v>90</v>
      </c>
      <c r="C24530" s="1" t="s">
        <v>7494</v>
      </c>
      <c r="D24530" s="1" t="s">
        <v>7495</v>
      </c>
    </row>
    <row r="24531">
      <c r="A24531" s="1" t="s">
        <v>38193</v>
      </c>
      <c r="B24531" s="2" t="s">
        <v>36705</v>
      </c>
      <c r="C24531" s="1" t="s">
        <v>7494</v>
      </c>
      <c r="D24531" s="1" t="s">
        <v>7495</v>
      </c>
    </row>
    <row r="24532">
      <c r="A24532" s="1" t="s">
        <v>38194</v>
      </c>
      <c r="B24532" s="2" t="s">
        <v>36707</v>
      </c>
      <c r="C24532" s="1" t="s">
        <v>7494</v>
      </c>
      <c r="D24532" s="1" t="s">
        <v>7495</v>
      </c>
    </row>
    <row r="24533">
      <c r="A24533" s="1" t="s">
        <v>38195</v>
      </c>
      <c r="B24533" s="2" t="s">
        <v>114</v>
      </c>
      <c r="C24533" s="1" t="s">
        <v>7494</v>
      </c>
      <c r="D24533" s="1" t="s">
        <v>7495</v>
      </c>
    </row>
    <row r="24534">
      <c r="A24534" s="1" t="s">
        <v>38196</v>
      </c>
      <c r="B24534" s="2" t="s">
        <v>123</v>
      </c>
      <c r="C24534" s="1" t="s">
        <v>7494</v>
      </c>
      <c r="D24534" s="1" t="s">
        <v>7495</v>
      </c>
    </row>
    <row r="24535">
      <c r="A24535" s="1" t="s">
        <v>38197</v>
      </c>
      <c r="B24535" s="2" t="s">
        <v>127</v>
      </c>
      <c r="C24535" s="1" t="s">
        <v>7494</v>
      </c>
      <c r="D24535" s="1" t="s">
        <v>7495</v>
      </c>
    </row>
    <row r="24536">
      <c r="A24536" s="1" t="s">
        <v>38198</v>
      </c>
      <c r="B24536" s="2" t="s">
        <v>132</v>
      </c>
      <c r="C24536" s="1" t="s">
        <v>7494</v>
      </c>
      <c r="D24536" s="1" t="s">
        <v>7495</v>
      </c>
    </row>
    <row r="24537">
      <c r="A24537" s="1" t="s">
        <v>38199</v>
      </c>
      <c r="B24537" s="2" t="s">
        <v>139</v>
      </c>
      <c r="C24537" s="1" t="s">
        <v>7494</v>
      </c>
      <c r="D24537" s="1" t="s">
        <v>7495</v>
      </c>
    </row>
    <row r="24538">
      <c r="A24538" s="1" t="s">
        <v>38200</v>
      </c>
      <c r="B24538" s="2" t="s">
        <v>141</v>
      </c>
      <c r="C24538" s="1" t="s">
        <v>7494</v>
      </c>
      <c r="D24538" s="1" t="s">
        <v>7495</v>
      </c>
    </row>
    <row r="24539">
      <c r="A24539" s="1" t="s">
        <v>38201</v>
      </c>
      <c r="B24539" s="2" t="s">
        <v>36715</v>
      </c>
      <c r="C24539" s="1" t="s">
        <v>7494</v>
      </c>
      <c r="D24539" s="1" t="s">
        <v>7495</v>
      </c>
    </row>
    <row r="24540">
      <c r="A24540" s="1" t="s">
        <v>38202</v>
      </c>
      <c r="B24540" s="2" t="s">
        <v>36717</v>
      </c>
      <c r="C24540" s="1" t="s">
        <v>7494</v>
      </c>
      <c r="D24540" s="1" t="s">
        <v>7495</v>
      </c>
    </row>
    <row r="24541">
      <c r="A24541" s="1" t="s">
        <v>38203</v>
      </c>
      <c r="B24541" s="2" t="s">
        <v>36719</v>
      </c>
      <c r="C24541" s="1" t="s">
        <v>7494</v>
      </c>
      <c r="D24541" s="1" t="s">
        <v>7495</v>
      </c>
    </row>
    <row r="24542">
      <c r="A24542" s="1" t="s">
        <v>38204</v>
      </c>
      <c r="B24542" s="2" t="s">
        <v>36721</v>
      </c>
      <c r="C24542" s="1" t="s">
        <v>7494</v>
      </c>
      <c r="D24542" s="1" t="s">
        <v>7495</v>
      </c>
    </row>
    <row r="24543">
      <c r="A24543" s="1" t="s">
        <v>38205</v>
      </c>
      <c r="B24543" s="2" t="s">
        <v>36723</v>
      </c>
      <c r="C24543" s="1" t="s">
        <v>7494</v>
      </c>
      <c r="D24543" s="1" t="s">
        <v>7495</v>
      </c>
    </row>
    <row r="24544">
      <c r="A24544" s="1" t="s">
        <v>38206</v>
      </c>
      <c r="B24544" s="2" t="s">
        <v>36725</v>
      </c>
      <c r="C24544" s="1" t="s">
        <v>7494</v>
      </c>
      <c r="D24544" s="1" t="s">
        <v>7495</v>
      </c>
    </row>
    <row r="24545">
      <c r="A24545" s="1" t="s">
        <v>38207</v>
      </c>
      <c r="B24545" s="2" t="s">
        <v>36727</v>
      </c>
      <c r="C24545" s="1" t="s">
        <v>7494</v>
      </c>
      <c r="D24545" s="1" t="s">
        <v>7495</v>
      </c>
    </row>
    <row r="24546">
      <c r="A24546" s="1" t="s">
        <v>38208</v>
      </c>
      <c r="B24546" s="2" t="s">
        <v>36729</v>
      </c>
      <c r="C24546" s="1" t="s">
        <v>7494</v>
      </c>
      <c r="D24546" s="1" t="s">
        <v>7495</v>
      </c>
    </row>
    <row r="24547">
      <c r="A24547" s="1" t="s">
        <v>38209</v>
      </c>
      <c r="B24547" s="2" t="s">
        <v>36731</v>
      </c>
      <c r="C24547" s="1" t="s">
        <v>7494</v>
      </c>
      <c r="D24547" s="1" t="s">
        <v>7495</v>
      </c>
    </row>
    <row r="24548">
      <c r="A24548" s="1" t="s">
        <v>38210</v>
      </c>
      <c r="B24548" s="2" t="s">
        <v>36733</v>
      </c>
      <c r="C24548" s="1" t="s">
        <v>7494</v>
      </c>
      <c r="D24548" s="1" t="s">
        <v>7495</v>
      </c>
    </row>
    <row r="24549">
      <c r="A24549" s="1" t="s">
        <v>38211</v>
      </c>
      <c r="B24549" s="2" t="s">
        <v>36735</v>
      </c>
      <c r="C24549" s="1" t="s">
        <v>7494</v>
      </c>
      <c r="D24549" s="1" t="s">
        <v>7495</v>
      </c>
    </row>
    <row r="24550">
      <c r="A24550" s="1" t="s">
        <v>38212</v>
      </c>
      <c r="B24550" s="2" t="s">
        <v>36737</v>
      </c>
      <c r="C24550" s="1" t="s">
        <v>7494</v>
      </c>
      <c r="D24550" s="1" t="s">
        <v>7495</v>
      </c>
    </row>
    <row r="24551">
      <c r="A24551" s="1" t="s">
        <v>38213</v>
      </c>
      <c r="B24551" s="2" t="s">
        <v>36739</v>
      </c>
      <c r="C24551" s="1" t="s">
        <v>7494</v>
      </c>
      <c r="D24551" s="1" t="s">
        <v>7495</v>
      </c>
    </row>
    <row r="24552">
      <c r="A24552" s="1" t="s">
        <v>38214</v>
      </c>
      <c r="B24552" s="2" t="s">
        <v>36741</v>
      </c>
      <c r="C24552" s="1" t="s">
        <v>7494</v>
      </c>
      <c r="D24552" s="1" t="s">
        <v>7495</v>
      </c>
    </row>
    <row r="24553">
      <c r="A24553" s="1" t="s">
        <v>38215</v>
      </c>
      <c r="B24553" s="2" t="s">
        <v>36743</v>
      </c>
      <c r="C24553" s="1" t="s">
        <v>7494</v>
      </c>
      <c r="D24553" s="1" t="s">
        <v>7495</v>
      </c>
    </row>
    <row r="24554">
      <c r="A24554" s="1" t="s">
        <v>38216</v>
      </c>
      <c r="B24554" s="2" t="s">
        <v>36745</v>
      </c>
      <c r="C24554" s="1" t="s">
        <v>7494</v>
      </c>
      <c r="D24554" s="1" t="s">
        <v>7495</v>
      </c>
    </row>
    <row r="24555">
      <c r="A24555" s="1" t="s">
        <v>38217</v>
      </c>
      <c r="B24555" s="2" t="s">
        <v>36747</v>
      </c>
      <c r="C24555" s="1" t="s">
        <v>7494</v>
      </c>
      <c r="D24555" s="1" t="s">
        <v>7495</v>
      </c>
    </row>
    <row r="24556">
      <c r="A24556" s="1" t="s">
        <v>38218</v>
      </c>
      <c r="B24556" s="2" t="s">
        <v>36749</v>
      </c>
      <c r="C24556" s="1" t="s">
        <v>7494</v>
      </c>
      <c r="D24556" s="1" t="s">
        <v>7495</v>
      </c>
    </row>
    <row r="24557">
      <c r="A24557" s="1" t="s">
        <v>38219</v>
      </c>
      <c r="B24557" s="2" t="s">
        <v>36751</v>
      </c>
      <c r="C24557" s="1" t="s">
        <v>7494</v>
      </c>
      <c r="D24557" s="1" t="s">
        <v>7495</v>
      </c>
    </row>
    <row r="24558">
      <c r="A24558" s="1" t="s">
        <v>38220</v>
      </c>
      <c r="B24558" s="2" t="s">
        <v>36753</v>
      </c>
      <c r="C24558" s="1" t="s">
        <v>7494</v>
      </c>
      <c r="D24558" s="1" t="s">
        <v>7495</v>
      </c>
    </row>
    <row r="24559">
      <c r="A24559" s="1" t="s">
        <v>38221</v>
      </c>
      <c r="B24559" s="2" t="s">
        <v>36755</v>
      </c>
      <c r="C24559" s="1" t="s">
        <v>7494</v>
      </c>
      <c r="D24559" s="1" t="s">
        <v>7495</v>
      </c>
    </row>
    <row r="24560">
      <c r="A24560" s="1" t="s">
        <v>38222</v>
      </c>
      <c r="B24560" s="2" t="s">
        <v>36757</v>
      </c>
      <c r="C24560" s="1" t="s">
        <v>7494</v>
      </c>
      <c r="D24560" s="1" t="s">
        <v>7495</v>
      </c>
    </row>
    <row r="24561">
      <c r="A24561" s="1" t="s">
        <v>38223</v>
      </c>
      <c r="B24561" s="2" t="s">
        <v>36759</v>
      </c>
      <c r="C24561" s="1" t="s">
        <v>7494</v>
      </c>
      <c r="D24561" s="1" t="s">
        <v>7495</v>
      </c>
    </row>
    <row r="24562">
      <c r="A24562" s="1" t="s">
        <v>38224</v>
      </c>
      <c r="B24562" s="2" t="s">
        <v>36761</v>
      </c>
      <c r="C24562" s="1" t="s">
        <v>7494</v>
      </c>
      <c r="D24562" s="1" t="s">
        <v>7495</v>
      </c>
    </row>
    <row r="24563">
      <c r="A24563" s="1" t="s">
        <v>38225</v>
      </c>
      <c r="B24563" s="2" t="s">
        <v>36763</v>
      </c>
      <c r="C24563" s="1" t="s">
        <v>7494</v>
      </c>
      <c r="D24563" s="1" t="s">
        <v>7495</v>
      </c>
    </row>
    <row r="24564">
      <c r="A24564" s="1" t="s">
        <v>38226</v>
      </c>
      <c r="B24564" s="2" t="s">
        <v>36765</v>
      </c>
      <c r="C24564" s="1" t="s">
        <v>7494</v>
      </c>
      <c r="D24564" s="1" t="s">
        <v>7495</v>
      </c>
    </row>
    <row r="24565">
      <c r="A24565" s="1" t="s">
        <v>38227</v>
      </c>
      <c r="B24565" s="2" t="s">
        <v>36767</v>
      </c>
      <c r="C24565" s="1" t="s">
        <v>7494</v>
      </c>
      <c r="D24565" s="1" t="s">
        <v>7495</v>
      </c>
    </row>
    <row r="24566">
      <c r="A24566" s="1" t="s">
        <v>38228</v>
      </c>
      <c r="B24566" s="2" t="s">
        <v>36769</v>
      </c>
      <c r="C24566" s="1" t="s">
        <v>7494</v>
      </c>
      <c r="D24566" s="1" t="s">
        <v>7495</v>
      </c>
    </row>
    <row r="24567">
      <c r="A24567" s="1" t="s">
        <v>38229</v>
      </c>
      <c r="B24567" s="2" t="s">
        <v>36771</v>
      </c>
      <c r="C24567" s="1" t="s">
        <v>7494</v>
      </c>
      <c r="D24567" s="1" t="s">
        <v>7495</v>
      </c>
    </row>
    <row r="24568">
      <c r="A24568" s="1" t="s">
        <v>38230</v>
      </c>
      <c r="B24568" s="2" t="s">
        <v>36773</v>
      </c>
      <c r="C24568" s="1" t="s">
        <v>7494</v>
      </c>
      <c r="D24568" s="1" t="s">
        <v>7495</v>
      </c>
    </row>
    <row r="24569">
      <c r="A24569" s="1" t="s">
        <v>38231</v>
      </c>
      <c r="B24569" s="2" t="s">
        <v>36775</v>
      </c>
      <c r="C24569" s="1" t="s">
        <v>7494</v>
      </c>
      <c r="D24569" s="1" t="s">
        <v>7495</v>
      </c>
    </row>
    <row r="24570">
      <c r="A24570" s="1" t="s">
        <v>38232</v>
      </c>
      <c r="B24570" s="2" t="s">
        <v>36777</v>
      </c>
      <c r="C24570" s="1" t="s">
        <v>7494</v>
      </c>
      <c r="D24570" s="1" t="s">
        <v>7495</v>
      </c>
    </row>
    <row r="24571">
      <c r="A24571" s="1" t="s">
        <v>38233</v>
      </c>
      <c r="B24571" s="2" t="s">
        <v>36779</v>
      </c>
      <c r="C24571" s="1" t="s">
        <v>7494</v>
      </c>
      <c r="D24571" s="1" t="s">
        <v>7495</v>
      </c>
    </row>
    <row r="24572">
      <c r="A24572" s="1" t="s">
        <v>38234</v>
      </c>
      <c r="B24572" s="2" t="s">
        <v>36781</v>
      </c>
      <c r="C24572" s="1" t="s">
        <v>7494</v>
      </c>
      <c r="D24572" s="1" t="s">
        <v>7495</v>
      </c>
    </row>
    <row r="24573">
      <c r="A24573" s="1" t="s">
        <v>38235</v>
      </c>
      <c r="B24573" s="2" t="s">
        <v>36783</v>
      </c>
      <c r="C24573" s="1" t="s">
        <v>7494</v>
      </c>
      <c r="D24573" s="1" t="s">
        <v>7495</v>
      </c>
    </row>
    <row r="24574">
      <c r="A24574" s="1" t="s">
        <v>38236</v>
      </c>
      <c r="B24574" s="2" t="s">
        <v>36785</v>
      </c>
      <c r="C24574" s="1" t="s">
        <v>7494</v>
      </c>
      <c r="D24574" s="1" t="s">
        <v>7495</v>
      </c>
    </row>
    <row r="24575">
      <c r="A24575" s="1" t="s">
        <v>38237</v>
      </c>
      <c r="B24575" s="2" t="s">
        <v>36787</v>
      </c>
      <c r="C24575" s="1" t="s">
        <v>7494</v>
      </c>
      <c r="D24575" s="1" t="s">
        <v>7495</v>
      </c>
    </row>
    <row r="24576">
      <c r="A24576" s="1" t="s">
        <v>38238</v>
      </c>
      <c r="B24576" s="2" t="s">
        <v>36789</v>
      </c>
      <c r="C24576" s="1" t="s">
        <v>7494</v>
      </c>
      <c r="D24576" s="1" t="s">
        <v>7495</v>
      </c>
    </row>
    <row r="24577">
      <c r="A24577" s="1" t="s">
        <v>38239</v>
      </c>
      <c r="B24577" s="2" t="s">
        <v>36791</v>
      </c>
      <c r="C24577" s="1" t="s">
        <v>7494</v>
      </c>
      <c r="D24577" s="1" t="s">
        <v>7495</v>
      </c>
    </row>
    <row r="24578">
      <c r="A24578" s="1" t="s">
        <v>38240</v>
      </c>
      <c r="B24578" s="2" t="s">
        <v>36793</v>
      </c>
      <c r="C24578" s="1" t="s">
        <v>7494</v>
      </c>
      <c r="D24578" s="1" t="s">
        <v>7495</v>
      </c>
    </row>
    <row r="24579">
      <c r="A24579" s="1" t="s">
        <v>38241</v>
      </c>
      <c r="B24579" s="2" t="s">
        <v>36795</v>
      </c>
      <c r="C24579" s="1" t="s">
        <v>7494</v>
      </c>
      <c r="D24579" s="1" t="s">
        <v>7495</v>
      </c>
    </row>
    <row r="24580">
      <c r="A24580" s="1" t="s">
        <v>38242</v>
      </c>
      <c r="B24580" s="2" t="s">
        <v>36797</v>
      </c>
      <c r="C24580" s="1" t="s">
        <v>7494</v>
      </c>
      <c r="D24580" s="1" t="s">
        <v>7495</v>
      </c>
    </row>
    <row r="24581">
      <c r="A24581" s="1" t="s">
        <v>38243</v>
      </c>
      <c r="B24581" s="2" t="s">
        <v>36799</v>
      </c>
      <c r="C24581" s="1" t="s">
        <v>7494</v>
      </c>
      <c r="D24581" s="1" t="s">
        <v>7495</v>
      </c>
    </row>
    <row r="24582">
      <c r="A24582" s="1" t="s">
        <v>38244</v>
      </c>
      <c r="B24582" s="2" t="s">
        <v>36801</v>
      </c>
      <c r="C24582" s="1" t="s">
        <v>7494</v>
      </c>
      <c r="D24582" s="1" t="s">
        <v>7495</v>
      </c>
    </row>
    <row r="24583">
      <c r="A24583" s="1" t="s">
        <v>38245</v>
      </c>
      <c r="B24583" s="2" t="s">
        <v>36803</v>
      </c>
      <c r="C24583" s="1" t="s">
        <v>7494</v>
      </c>
      <c r="D24583" s="1" t="s">
        <v>7495</v>
      </c>
    </row>
    <row r="24584">
      <c r="A24584" s="1" t="s">
        <v>38246</v>
      </c>
      <c r="B24584" s="2" t="s">
        <v>36805</v>
      </c>
      <c r="C24584" s="1" t="s">
        <v>7494</v>
      </c>
      <c r="D24584" s="1" t="s">
        <v>7495</v>
      </c>
    </row>
    <row r="24585">
      <c r="A24585" s="1" t="s">
        <v>38247</v>
      </c>
      <c r="B24585" s="2" t="s">
        <v>36807</v>
      </c>
      <c r="C24585" s="1" t="s">
        <v>7494</v>
      </c>
      <c r="D24585" s="1" t="s">
        <v>7495</v>
      </c>
    </row>
    <row r="24586">
      <c r="A24586" s="1" t="s">
        <v>38248</v>
      </c>
      <c r="B24586" s="2" t="s">
        <v>36809</v>
      </c>
      <c r="C24586" s="1" t="s">
        <v>7494</v>
      </c>
      <c r="D24586" s="1" t="s">
        <v>7495</v>
      </c>
    </row>
    <row r="24587">
      <c r="A24587" s="1" t="s">
        <v>38249</v>
      </c>
      <c r="B24587" s="2" t="s">
        <v>36811</v>
      </c>
      <c r="C24587" s="1" t="s">
        <v>7494</v>
      </c>
      <c r="D24587" s="1" t="s">
        <v>7495</v>
      </c>
    </row>
    <row r="24588">
      <c r="A24588" s="1" t="s">
        <v>38250</v>
      </c>
      <c r="B24588" s="2" t="s">
        <v>36813</v>
      </c>
      <c r="C24588" s="1" t="s">
        <v>7494</v>
      </c>
      <c r="D24588" s="1" t="s">
        <v>7495</v>
      </c>
    </row>
    <row r="24589">
      <c r="A24589" s="1" t="s">
        <v>38251</v>
      </c>
      <c r="B24589" s="2" t="s">
        <v>36815</v>
      </c>
      <c r="C24589" s="1" t="s">
        <v>7494</v>
      </c>
      <c r="D24589" s="1" t="s">
        <v>7495</v>
      </c>
    </row>
    <row r="24590">
      <c r="A24590" s="1" t="s">
        <v>38252</v>
      </c>
      <c r="B24590" s="2" t="s">
        <v>36817</v>
      </c>
      <c r="C24590" s="1" t="s">
        <v>7494</v>
      </c>
      <c r="D24590" s="1" t="s">
        <v>7495</v>
      </c>
    </row>
    <row r="24591">
      <c r="A24591" s="1" t="s">
        <v>38253</v>
      </c>
      <c r="B24591" s="2" t="s">
        <v>36819</v>
      </c>
      <c r="C24591" s="1" t="s">
        <v>7494</v>
      </c>
      <c r="D24591" s="1" t="s">
        <v>7495</v>
      </c>
    </row>
    <row r="24592">
      <c r="A24592" s="1" t="s">
        <v>38254</v>
      </c>
      <c r="B24592" s="2" t="s">
        <v>36821</v>
      </c>
      <c r="C24592" s="1" t="s">
        <v>7494</v>
      </c>
      <c r="D24592" s="1" t="s">
        <v>7495</v>
      </c>
    </row>
    <row r="24593">
      <c r="A24593" s="1" t="s">
        <v>38255</v>
      </c>
      <c r="B24593" s="2" t="s">
        <v>36823</v>
      </c>
      <c r="C24593" s="1" t="s">
        <v>7494</v>
      </c>
      <c r="D24593" s="1" t="s">
        <v>7495</v>
      </c>
    </row>
    <row r="24594">
      <c r="A24594" s="1" t="s">
        <v>38256</v>
      </c>
      <c r="B24594" s="2" t="s">
        <v>36825</v>
      </c>
      <c r="C24594" s="1" t="s">
        <v>7494</v>
      </c>
      <c r="D24594" s="1" t="s">
        <v>7495</v>
      </c>
    </row>
    <row r="24595">
      <c r="A24595" s="1" t="s">
        <v>38257</v>
      </c>
      <c r="B24595" s="2" t="s">
        <v>36827</v>
      </c>
      <c r="C24595" s="1" t="s">
        <v>7494</v>
      </c>
      <c r="D24595" s="1" t="s">
        <v>7495</v>
      </c>
    </row>
    <row r="24596">
      <c r="A24596" s="1" t="s">
        <v>38258</v>
      </c>
      <c r="B24596" s="2" t="s">
        <v>36829</v>
      </c>
      <c r="C24596" s="1" t="s">
        <v>7494</v>
      </c>
      <c r="D24596" s="1" t="s">
        <v>7495</v>
      </c>
    </row>
    <row r="24597">
      <c r="A24597" s="1" t="s">
        <v>38259</v>
      </c>
      <c r="B24597" s="2" t="s">
        <v>36831</v>
      </c>
      <c r="C24597" s="1" t="s">
        <v>7494</v>
      </c>
      <c r="D24597" s="1" t="s">
        <v>7495</v>
      </c>
    </row>
    <row r="24598">
      <c r="A24598" s="1" t="s">
        <v>38260</v>
      </c>
      <c r="B24598" s="2" t="s">
        <v>36833</v>
      </c>
      <c r="C24598" s="1" t="s">
        <v>7494</v>
      </c>
      <c r="D24598" s="1" t="s">
        <v>7495</v>
      </c>
    </row>
    <row r="24599">
      <c r="A24599" s="1" t="s">
        <v>38261</v>
      </c>
      <c r="B24599" s="2" t="s">
        <v>36835</v>
      </c>
      <c r="C24599" s="1" t="s">
        <v>7494</v>
      </c>
      <c r="D24599" s="1" t="s">
        <v>7495</v>
      </c>
    </row>
    <row r="24600">
      <c r="A24600" s="1" t="s">
        <v>38262</v>
      </c>
      <c r="B24600" s="2" t="s">
        <v>36837</v>
      </c>
      <c r="C24600" s="1" t="s">
        <v>7494</v>
      </c>
      <c r="D24600" s="1" t="s">
        <v>7495</v>
      </c>
    </row>
    <row r="24601">
      <c r="A24601" s="1" t="s">
        <v>38263</v>
      </c>
      <c r="B24601" s="2" t="s">
        <v>36839</v>
      </c>
      <c r="C24601" s="1" t="s">
        <v>7494</v>
      </c>
      <c r="D24601" s="1" t="s">
        <v>7495</v>
      </c>
    </row>
    <row r="24602">
      <c r="A24602" s="1" t="s">
        <v>38264</v>
      </c>
      <c r="B24602" s="2" t="s">
        <v>36841</v>
      </c>
      <c r="C24602" s="1" t="s">
        <v>7494</v>
      </c>
      <c r="D24602" s="1" t="s">
        <v>7495</v>
      </c>
    </row>
    <row r="24603">
      <c r="A24603" s="1" t="s">
        <v>38265</v>
      </c>
      <c r="B24603" s="2" t="s">
        <v>36843</v>
      </c>
      <c r="C24603" s="1" t="s">
        <v>7494</v>
      </c>
      <c r="D24603" s="1" t="s">
        <v>7495</v>
      </c>
    </row>
    <row r="24604">
      <c r="A24604" s="1" t="s">
        <v>38266</v>
      </c>
      <c r="B24604" s="2" t="s">
        <v>36845</v>
      </c>
      <c r="C24604" s="1" t="s">
        <v>7494</v>
      </c>
      <c r="D24604" s="1" t="s">
        <v>7495</v>
      </c>
    </row>
    <row r="24605">
      <c r="A24605" s="1" t="s">
        <v>38267</v>
      </c>
      <c r="B24605" s="2" t="s">
        <v>36847</v>
      </c>
      <c r="C24605" s="1" t="s">
        <v>7494</v>
      </c>
      <c r="D24605" s="1" t="s">
        <v>7495</v>
      </c>
    </row>
    <row r="24606">
      <c r="A24606" s="1" t="s">
        <v>38268</v>
      </c>
      <c r="B24606" s="2" t="s">
        <v>36849</v>
      </c>
      <c r="C24606" s="1" t="s">
        <v>7494</v>
      </c>
      <c r="D24606" s="1" t="s">
        <v>7495</v>
      </c>
    </row>
    <row r="24607">
      <c r="A24607" s="1" t="s">
        <v>38269</v>
      </c>
      <c r="B24607" s="2" t="s">
        <v>36851</v>
      </c>
      <c r="C24607" s="1" t="s">
        <v>7494</v>
      </c>
      <c r="D24607" s="1" t="s">
        <v>7495</v>
      </c>
    </row>
    <row r="24608">
      <c r="A24608" s="1" t="s">
        <v>38270</v>
      </c>
      <c r="B24608" s="2" t="s">
        <v>36853</v>
      </c>
      <c r="C24608" s="1" t="s">
        <v>7494</v>
      </c>
      <c r="D24608" s="1" t="s">
        <v>7495</v>
      </c>
    </row>
    <row r="24609">
      <c r="A24609" s="1" t="s">
        <v>38271</v>
      </c>
      <c r="B24609" s="2" t="s">
        <v>36855</v>
      </c>
      <c r="C24609" s="1" t="s">
        <v>7494</v>
      </c>
      <c r="D24609" s="1" t="s">
        <v>7495</v>
      </c>
    </row>
    <row r="24610">
      <c r="A24610" s="1" t="s">
        <v>38272</v>
      </c>
      <c r="B24610" s="2" t="s">
        <v>36857</v>
      </c>
      <c r="C24610" s="1" t="s">
        <v>7494</v>
      </c>
      <c r="D24610" s="1" t="s">
        <v>7495</v>
      </c>
    </row>
    <row r="24611">
      <c r="A24611" s="1" t="s">
        <v>38273</v>
      </c>
      <c r="B24611" s="2" t="s">
        <v>36859</v>
      </c>
      <c r="C24611" s="1" t="s">
        <v>7494</v>
      </c>
      <c r="D24611" s="1" t="s">
        <v>7495</v>
      </c>
    </row>
    <row r="24612">
      <c r="A24612" s="1" t="s">
        <v>38274</v>
      </c>
      <c r="B24612" s="2" t="s">
        <v>36861</v>
      </c>
      <c r="C24612" s="1" t="s">
        <v>7494</v>
      </c>
      <c r="D24612" s="1" t="s">
        <v>7495</v>
      </c>
    </row>
    <row r="24613">
      <c r="A24613" s="1" t="s">
        <v>38275</v>
      </c>
      <c r="B24613" s="2" t="s">
        <v>36863</v>
      </c>
      <c r="C24613" s="1" t="s">
        <v>7494</v>
      </c>
      <c r="D24613" s="1" t="s">
        <v>7495</v>
      </c>
    </row>
    <row r="24614">
      <c r="A24614" s="1" t="s">
        <v>38276</v>
      </c>
      <c r="B24614" s="2" t="s">
        <v>36865</v>
      </c>
      <c r="C24614" s="1" t="s">
        <v>7494</v>
      </c>
      <c r="D24614" s="1" t="s">
        <v>7495</v>
      </c>
    </row>
    <row r="24615">
      <c r="A24615" s="1" t="s">
        <v>38277</v>
      </c>
      <c r="B24615" s="2" t="s">
        <v>36867</v>
      </c>
      <c r="C24615" s="1" t="s">
        <v>7494</v>
      </c>
      <c r="D24615" s="1" t="s">
        <v>7495</v>
      </c>
    </row>
    <row r="24616">
      <c r="A24616" s="1" t="s">
        <v>38278</v>
      </c>
      <c r="B24616" s="2" t="s">
        <v>36869</v>
      </c>
      <c r="C24616" s="1" t="s">
        <v>7494</v>
      </c>
      <c r="D24616" s="1" t="s">
        <v>7495</v>
      </c>
    </row>
    <row r="24617">
      <c r="A24617" s="1" t="s">
        <v>38279</v>
      </c>
      <c r="B24617" s="2" t="s">
        <v>36871</v>
      </c>
      <c r="C24617" s="1" t="s">
        <v>7494</v>
      </c>
      <c r="D24617" s="1" t="s">
        <v>7495</v>
      </c>
    </row>
    <row r="24618">
      <c r="A24618" s="1" t="s">
        <v>38280</v>
      </c>
      <c r="B24618" s="2" t="s">
        <v>36873</v>
      </c>
      <c r="C24618" s="1" t="s">
        <v>7494</v>
      </c>
      <c r="D24618" s="1" t="s">
        <v>7495</v>
      </c>
    </row>
    <row r="24619">
      <c r="A24619" s="1" t="s">
        <v>38281</v>
      </c>
      <c r="B24619" s="2" t="s">
        <v>36875</v>
      </c>
      <c r="C24619" s="1" t="s">
        <v>7494</v>
      </c>
      <c r="D24619" s="1" t="s">
        <v>7495</v>
      </c>
    </row>
    <row r="24620">
      <c r="A24620" s="1" t="s">
        <v>38282</v>
      </c>
      <c r="B24620" s="2" t="s">
        <v>36877</v>
      </c>
      <c r="C24620" s="1" t="s">
        <v>7494</v>
      </c>
      <c r="D24620" s="1" t="s">
        <v>7495</v>
      </c>
    </row>
    <row r="24621">
      <c r="A24621" s="1" t="s">
        <v>38283</v>
      </c>
      <c r="B24621" s="2" t="s">
        <v>36879</v>
      </c>
      <c r="C24621" s="1" t="s">
        <v>7494</v>
      </c>
      <c r="D24621" s="1" t="s">
        <v>7495</v>
      </c>
    </row>
    <row r="24622">
      <c r="A24622" s="1" t="s">
        <v>38284</v>
      </c>
      <c r="B24622" s="2" t="s">
        <v>36881</v>
      </c>
      <c r="C24622" s="1" t="s">
        <v>7494</v>
      </c>
      <c r="D24622" s="1" t="s">
        <v>7495</v>
      </c>
    </row>
    <row r="24623">
      <c r="A24623" s="1" t="s">
        <v>38285</v>
      </c>
      <c r="B24623" s="2" t="s">
        <v>36883</v>
      </c>
      <c r="C24623" s="1" t="s">
        <v>7494</v>
      </c>
      <c r="D24623" s="1" t="s">
        <v>7495</v>
      </c>
    </row>
    <row r="24624">
      <c r="A24624" s="1" t="s">
        <v>38286</v>
      </c>
      <c r="B24624" s="2" t="s">
        <v>36885</v>
      </c>
      <c r="C24624" s="1" t="s">
        <v>7494</v>
      </c>
      <c r="D24624" s="1" t="s">
        <v>7495</v>
      </c>
    </row>
    <row r="24625">
      <c r="A24625" s="1" t="s">
        <v>38287</v>
      </c>
      <c r="B24625" s="2" t="s">
        <v>36887</v>
      </c>
      <c r="C24625" s="1" t="s">
        <v>7494</v>
      </c>
      <c r="D24625" s="1" t="s">
        <v>7495</v>
      </c>
    </row>
    <row r="24626">
      <c r="A24626" s="1" t="s">
        <v>38288</v>
      </c>
      <c r="B24626" s="2" t="s">
        <v>36889</v>
      </c>
      <c r="C24626" s="1" t="s">
        <v>7494</v>
      </c>
      <c r="D24626" s="1" t="s">
        <v>7495</v>
      </c>
    </row>
    <row r="24627">
      <c r="A24627" s="1" t="s">
        <v>38289</v>
      </c>
      <c r="B24627" s="2" t="s">
        <v>36891</v>
      </c>
      <c r="C24627" s="1" t="s">
        <v>7494</v>
      </c>
      <c r="D24627" s="1" t="s">
        <v>7495</v>
      </c>
    </row>
    <row r="24628">
      <c r="A24628" s="1" t="s">
        <v>38290</v>
      </c>
      <c r="B24628" s="2" t="s">
        <v>36893</v>
      </c>
      <c r="C24628" s="1" t="s">
        <v>7494</v>
      </c>
      <c r="D24628" s="1" t="s">
        <v>7495</v>
      </c>
    </row>
    <row r="24629">
      <c r="A24629" s="1" t="s">
        <v>38291</v>
      </c>
      <c r="B24629" s="2" t="s">
        <v>36895</v>
      </c>
      <c r="C24629" s="1" t="s">
        <v>7494</v>
      </c>
      <c r="D24629" s="1" t="s">
        <v>7495</v>
      </c>
    </row>
    <row r="24630">
      <c r="A24630" s="1" t="s">
        <v>38292</v>
      </c>
      <c r="B24630" s="2" t="s">
        <v>36897</v>
      </c>
      <c r="C24630" s="1" t="s">
        <v>7494</v>
      </c>
      <c r="D24630" s="1" t="s">
        <v>7495</v>
      </c>
    </row>
    <row r="24631">
      <c r="A24631" s="1" t="s">
        <v>38293</v>
      </c>
      <c r="B24631" s="2" t="s">
        <v>36899</v>
      </c>
      <c r="C24631" s="1" t="s">
        <v>7494</v>
      </c>
      <c r="D24631" s="1" t="s">
        <v>7495</v>
      </c>
    </row>
    <row r="24632">
      <c r="A24632" s="1" t="s">
        <v>38294</v>
      </c>
      <c r="B24632" s="2" t="s">
        <v>36901</v>
      </c>
      <c r="C24632" s="1" t="s">
        <v>7494</v>
      </c>
      <c r="D24632" s="1" t="s">
        <v>7495</v>
      </c>
    </row>
    <row r="24633">
      <c r="A24633" s="1" t="s">
        <v>38295</v>
      </c>
      <c r="B24633" s="2" t="s">
        <v>36903</v>
      </c>
      <c r="C24633" s="1" t="s">
        <v>7494</v>
      </c>
      <c r="D24633" s="1" t="s">
        <v>7495</v>
      </c>
    </row>
    <row r="24634">
      <c r="A24634" s="1" t="s">
        <v>38296</v>
      </c>
      <c r="B24634" s="2" t="s">
        <v>36905</v>
      </c>
      <c r="C24634" s="1" t="s">
        <v>7494</v>
      </c>
      <c r="D24634" s="1" t="s">
        <v>7495</v>
      </c>
    </row>
    <row r="24635">
      <c r="A24635" s="1" t="s">
        <v>38297</v>
      </c>
      <c r="B24635" s="2" t="s">
        <v>36907</v>
      </c>
      <c r="C24635" s="1" t="s">
        <v>7494</v>
      </c>
      <c r="D24635" s="1" t="s">
        <v>7495</v>
      </c>
    </row>
    <row r="24636">
      <c r="A24636" s="1" t="s">
        <v>38298</v>
      </c>
      <c r="B24636" s="2" t="s">
        <v>36909</v>
      </c>
      <c r="C24636" s="1" t="s">
        <v>7494</v>
      </c>
      <c r="D24636" s="1" t="s">
        <v>7495</v>
      </c>
    </row>
    <row r="24637">
      <c r="A24637" s="1" t="s">
        <v>38299</v>
      </c>
      <c r="B24637" s="2" t="s">
        <v>36911</v>
      </c>
      <c r="C24637" s="1" t="s">
        <v>7494</v>
      </c>
      <c r="D24637" s="1" t="s">
        <v>7495</v>
      </c>
    </row>
    <row r="24638">
      <c r="A24638" s="1" t="s">
        <v>38300</v>
      </c>
      <c r="B24638" s="2" t="s">
        <v>36913</v>
      </c>
      <c r="C24638" s="1" t="s">
        <v>7494</v>
      </c>
      <c r="D24638" s="1" t="s">
        <v>7495</v>
      </c>
    </row>
    <row r="24639">
      <c r="A24639" s="1" t="s">
        <v>38301</v>
      </c>
      <c r="B24639" s="2" t="s">
        <v>36915</v>
      </c>
      <c r="C24639" s="1" t="s">
        <v>7494</v>
      </c>
      <c r="D24639" s="1" t="s">
        <v>7495</v>
      </c>
    </row>
    <row r="24640">
      <c r="A24640" s="1" t="s">
        <v>38302</v>
      </c>
      <c r="B24640" s="2" t="s">
        <v>36917</v>
      </c>
      <c r="C24640" s="1" t="s">
        <v>7494</v>
      </c>
      <c r="D24640" s="1" t="s">
        <v>7495</v>
      </c>
    </row>
    <row r="24641">
      <c r="A24641" s="1" t="s">
        <v>38303</v>
      </c>
      <c r="B24641" s="2" t="s">
        <v>36919</v>
      </c>
      <c r="C24641" s="1" t="s">
        <v>7494</v>
      </c>
      <c r="D24641" s="1" t="s">
        <v>7495</v>
      </c>
    </row>
    <row r="24642">
      <c r="A24642" s="1" t="s">
        <v>38304</v>
      </c>
      <c r="B24642" s="2" t="s">
        <v>36921</v>
      </c>
      <c r="C24642" s="1" t="s">
        <v>7494</v>
      </c>
      <c r="D24642" s="1" t="s">
        <v>7495</v>
      </c>
    </row>
    <row r="24643">
      <c r="A24643" s="1" t="s">
        <v>38305</v>
      </c>
      <c r="B24643" s="2" t="s">
        <v>36923</v>
      </c>
      <c r="C24643" s="1" t="s">
        <v>7494</v>
      </c>
      <c r="D24643" s="1" t="s">
        <v>7495</v>
      </c>
    </row>
    <row r="24644">
      <c r="A24644" s="1" t="s">
        <v>38306</v>
      </c>
      <c r="B24644" s="2" t="s">
        <v>36925</v>
      </c>
      <c r="C24644" s="1" t="s">
        <v>7494</v>
      </c>
      <c r="D24644" s="1" t="s">
        <v>7495</v>
      </c>
    </row>
    <row r="24645">
      <c r="A24645" s="1" t="s">
        <v>38307</v>
      </c>
      <c r="B24645" s="2" t="s">
        <v>36927</v>
      </c>
      <c r="C24645" s="1" t="s">
        <v>7494</v>
      </c>
      <c r="D24645" s="1" t="s">
        <v>7495</v>
      </c>
    </row>
    <row r="24646">
      <c r="A24646" s="1" t="s">
        <v>38308</v>
      </c>
      <c r="B24646" s="2" t="s">
        <v>36929</v>
      </c>
      <c r="C24646" s="1" t="s">
        <v>7494</v>
      </c>
      <c r="D24646" s="1" t="s">
        <v>7495</v>
      </c>
    </row>
    <row r="24647">
      <c r="A24647" s="1" t="s">
        <v>38309</v>
      </c>
      <c r="B24647" s="2" t="s">
        <v>36931</v>
      </c>
      <c r="C24647" s="1" t="s">
        <v>7494</v>
      </c>
      <c r="D24647" s="1" t="s">
        <v>7495</v>
      </c>
    </row>
    <row r="24648">
      <c r="A24648" s="1" t="s">
        <v>38310</v>
      </c>
      <c r="B24648" s="2" t="s">
        <v>36933</v>
      </c>
      <c r="C24648" s="1" t="s">
        <v>7494</v>
      </c>
      <c r="D24648" s="1" t="s">
        <v>7495</v>
      </c>
    </row>
    <row r="24649">
      <c r="A24649" s="1" t="s">
        <v>38311</v>
      </c>
      <c r="B24649" s="2" t="s">
        <v>36935</v>
      </c>
      <c r="C24649" s="1" t="s">
        <v>7494</v>
      </c>
      <c r="D24649" s="1" t="s">
        <v>7495</v>
      </c>
    </row>
    <row r="24650">
      <c r="A24650" s="1" t="s">
        <v>38312</v>
      </c>
      <c r="B24650" s="2" t="s">
        <v>36937</v>
      </c>
      <c r="C24650" s="1" t="s">
        <v>7494</v>
      </c>
      <c r="D24650" s="1" t="s">
        <v>7495</v>
      </c>
    </row>
    <row r="24651">
      <c r="A24651" s="1" t="s">
        <v>38313</v>
      </c>
      <c r="B24651" s="2" t="s">
        <v>36939</v>
      </c>
      <c r="C24651" s="1" t="s">
        <v>7494</v>
      </c>
      <c r="D24651" s="1" t="s">
        <v>7495</v>
      </c>
    </row>
    <row r="24652">
      <c r="A24652" s="1" t="s">
        <v>38314</v>
      </c>
      <c r="B24652" s="2" t="s">
        <v>36941</v>
      </c>
      <c r="C24652" s="1" t="s">
        <v>7494</v>
      </c>
      <c r="D24652" s="1" t="s">
        <v>7495</v>
      </c>
    </row>
    <row r="24653">
      <c r="A24653" s="1" t="s">
        <v>38315</v>
      </c>
      <c r="B24653" s="2" t="s">
        <v>36943</v>
      </c>
      <c r="C24653" s="1" t="s">
        <v>7494</v>
      </c>
      <c r="D24653" s="1" t="s">
        <v>7495</v>
      </c>
    </row>
    <row r="24654">
      <c r="A24654" s="1" t="s">
        <v>38316</v>
      </c>
      <c r="B24654" s="2" t="s">
        <v>36945</v>
      </c>
      <c r="C24654" s="1" t="s">
        <v>7494</v>
      </c>
      <c r="D24654" s="1" t="s">
        <v>7495</v>
      </c>
    </row>
    <row r="24655">
      <c r="A24655" s="1" t="s">
        <v>38317</v>
      </c>
      <c r="B24655" s="2" t="s">
        <v>36947</v>
      </c>
      <c r="C24655" s="1" t="s">
        <v>7494</v>
      </c>
      <c r="D24655" s="1" t="s">
        <v>7495</v>
      </c>
    </row>
    <row r="24656">
      <c r="A24656" s="1" t="s">
        <v>38318</v>
      </c>
      <c r="B24656" s="2" t="s">
        <v>36949</v>
      </c>
      <c r="C24656" s="1" t="s">
        <v>7494</v>
      </c>
      <c r="D24656" s="1" t="s">
        <v>7495</v>
      </c>
    </row>
    <row r="24657">
      <c r="A24657" s="1" t="s">
        <v>38319</v>
      </c>
      <c r="B24657" s="2" t="s">
        <v>36951</v>
      </c>
      <c r="C24657" s="1" t="s">
        <v>7494</v>
      </c>
      <c r="D24657" s="1" t="s">
        <v>7495</v>
      </c>
    </row>
    <row r="24658">
      <c r="A24658" s="1" t="s">
        <v>38320</v>
      </c>
      <c r="B24658" s="2" t="s">
        <v>36953</v>
      </c>
      <c r="C24658" s="1" t="s">
        <v>7494</v>
      </c>
      <c r="D24658" s="1" t="s">
        <v>7495</v>
      </c>
    </row>
    <row r="24659">
      <c r="A24659" s="1" t="s">
        <v>38321</v>
      </c>
      <c r="B24659" s="2" t="s">
        <v>36955</v>
      </c>
      <c r="C24659" s="1" t="s">
        <v>7494</v>
      </c>
      <c r="D24659" s="1" t="s">
        <v>7495</v>
      </c>
    </row>
    <row r="24660">
      <c r="A24660" s="1" t="s">
        <v>38322</v>
      </c>
      <c r="B24660" s="2" t="s">
        <v>36957</v>
      </c>
      <c r="C24660" s="1" t="s">
        <v>7494</v>
      </c>
      <c r="D24660" s="1" t="s">
        <v>7495</v>
      </c>
    </row>
    <row r="24661">
      <c r="A24661" s="1" t="s">
        <v>38323</v>
      </c>
      <c r="B24661" s="2" t="s">
        <v>36959</v>
      </c>
      <c r="C24661" s="1" t="s">
        <v>7494</v>
      </c>
      <c r="D24661" s="1" t="s">
        <v>7495</v>
      </c>
    </row>
    <row r="24662">
      <c r="A24662" s="1" t="s">
        <v>38324</v>
      </c>
      <c r="B24662" s="2" t="s">
        <v>38325</v>
      </c>
      <c r="C24662" s="1" t="s">
        <v>7494</v>
      </c>
      <c r="D24662" s="1" t="s">
        <v>7495</v>
      </c>
    </row>
    <row r="24663">
      <c r="A24663" s="1" t="s">
        <v>38326</v>
      </c>
      <c r="B24663" s="2" t="s">
        <v>38327</v>
      </c>
      <c r="C24663" s="1" t="s">
        <v>7494</v>
      </c>
      <c r="D24663" s="1" t="s">
        <v>7495</v>
      </c>
    </row>
    <row r="24664">
      <c r="A24664" s="1" t="s">
        <v>38328</v>
      </c>
      <c r="B24664" s="2" t="s">
        <v>38329</v>
      </c>
      <c r="C24664" s="1" t="s">
        <v>7494</v>
      </c>
      <c r="D24664" s="1" t="s">
        <v>7495</v>
      </c>
    </row>
    <row r="24665">
      <c r="A24665" s="1" t="s">
        <v>38330</v>
      </c>
      <c r="B24665" s="2" t="s">
        <v>38331</v>
      </c>
      <c r="C24665" s="1" t="s">
        <v>7494</v>
      </c>
      <c r="D24665" s="1" t="s">
        <v>7495</v>
      </c>
    </row>
    <row r="24666">
      <c r="A24666" s="1" t="s">
        <v>38332</v>
      </c>
      <c r="B24666" s="2" t="s">
        <v>38333</v>
      </c>
      <c r="C24666" s="1" t="s">
        <v>7494</v>
      </c>
      <c r="D24666" s="1" t="s">
        <v>7495</v>
      </c>
    </row>
    <row r="24667">
      <c r="A24667" s="1" t="s">
        <v>38334</v>
      </c>
      <c r="B24667" s="2" t="s">
        <v>38335</v>
      </c>
      <c r="C24667" s="1" t="s">
        <v>7494</v>
      </c>
      <c r="D24667" s="1" t="s">
        <v>7495</v>
      </c>
    </row>
    <row r="24668">
      <c r="A24668" s="1" t="s">
        <v>38336</v>
      </c>
      <c r="B24668" s="2" t="s">
        <v>38337</v>
      </c>
      <c r="C24668" s="1" t="s">
        <v>7494</v>
      </c>
      <c r="D24668" s="1" t="s">
        <v>7495</v>
      </c>
    </row>
    <row r="24669">
      <c r="A24669" s="1" t="s">
        <v>38338</v>
      </c>
      <c r="B24669" s="2" t="s">
        <v>38339</v>
      </c>
      <c r="C24669" s="1" t="s">
        <v>7494</v>
      </c>
      <c r="D24669" s="1" t="s">
        <v>7495</v>
      </c>
    </row>
    <row r="24670">
      <c r="A24670" s="1" t="s">
        <v>38340</v>
      </c>
      <c r="B24670" s="2" t="s">
        <v>38341</v>
      </c>
      <c r="C24670" s="1" t="s">
        <v>7494</v>
      </c>
      <c r="D24670" s="1" t="s">
        <v>7495</v>
      </c>
    </row>
    <row r="24671">
      <c r="A24671" s="1" t="s">
        <v>38342</v>
      </c>
      <c r="B24671" s="2" t="s">
        <v>38343</v>
      </c>
      <c r="C24671" s="1" t="s">
        <v>7494</v>
      </c>
      <c r="D24671" s="1" t="s">
        <v>7495</v>
      </c>
    </row>
    <row r="24672">
      <c r="A24672" s="1" t="s">
        <v>38344</v>
      </c>
      <c r="B24672" s="2" t="s">
        <v>38345</v>
      </c>
      <c r="C24672" s="1" t="s">
        <v>7494</v>
      </c>
      <c r="D24672" s="1" t="s">
        <v>7495</v>
      </c>
    </row>
    <row r="24673">
      <c r="A24673" s="1" t="s">
        <v>38346</v>
      </c>
      <c r="B24673" s="2" t="s">
        <v>38347</v>
      </c>
      <c r="C24673" s="1" t="s">
        <v>7494</v>
      </c>
      <c r="D24673" s="1" t="s">
        <v>7495</v>
      </c>
    </row>
    <row r="24674">
      <c r="A24674" s="1" t="s">
        <v>38348</v>
      </c>
      <c r="B24674" s="2" t="s">
        <v>38349</v>
      </c>
      <c r="C24674" s="1" t="s">
        <v>7494</v>
      </c>
      <c r="D24674" s="1" t="s">
        <v>7495</v>
      </c>
    </row>
    <row r="24675">
      <c r="A24675" s="1" t="s">
        <v>38350</v>
      </c>
      <c r="B24675" s="2" t="s">
        <v>38351</v>
      </c>
      <c r="C24675" s="1" t="s">
        <v>7494</v>
      </c>
      <c r="D24675" s="1" t="s">
        <v>7495</v>
      </c>
    </row>
    <row r="24676">
      <c r="A24676" s="1" t="s">
        <v>38352</v>
      </c>
      <c r="B24676" s="2" t="s">
        <v>38353</v>
      </c>
      <c r="C24676" s="1" t="s">
        <v>7494</v>
      </c>
      <c r="D24676" s="1" t="s">
        <v>7495</v>
      </c>
    </row>
    <row r="24677">
      <c r="A24677" s="1" t="s">
        <v>38354</v>
      </c>
      <c r="B24677" s="2" t="s">
        <v>36961</v>
      </c>
      <c r="C24677" s="1" t="s">
        <v>7494</v>
      </c>
      <c r="D24677" s="1" t="s">
        <v>7495</v>
      </c>
    </row>
    <row r="24678">
      <c r="A24678" s="1" t="s">
        <v>38355</v>
      </c>
      <c r="B24678" s="2" t="s">
        <v>36963</v>
      </c>
      <c r="C24678" s="1" t="s">
        <v>7494</v>
      </c>
      <c r="D24678" s="1" t="s">
        <v>7495</v>
      </c>
    </row>
    <row r="24679">
      <c r="A24679" s="1" t="s">
        <v>38356</v>
      </c>
      <c r="B24679" s="2" t="s">
        <v>36965</v>
      </c>
      <c r="C24679" s="1" t="s">
        <v>7494</v>
      </c>
      <c r="D24679" s="1" t="s">
        <v>7495</v>
      </c>
    </row>
    <row r="24680">
      <c r="A24680" s="1" t="s">
        <v>38357</v>
      </c>
      <c r="B24680" s="2" t="s">
        <v>36967</v>
      </c>
      <c r="C24680" s="1" t="s">
        <v>7494</v>
      </c>
      <c r="D24680" s="1" t="s">
        <v>7495</v>
      </c>
    </row>
    <row r="24681">
      <c r="A24681" s="1" t="s">
        <v>38358</v>
      </c>
      <c r="B24681" s="2" t="s">
        <v>36969</v>
      </c>
      <c r="C24681" s="1" t="s">
        <v>7494</v>
      </c>
      <c r="D24681" s="1" t="s">
        <v>7495</v>
      </c>
    </row>
    <row r="24682">
      <c r="A24682" s="1" t="s">
        <v>38359</v>
      </c>
      <c r="B24682" s="2" t="s">
        <v>36971</v>
      </c>
      <c r="C24682" s="1" t="s">
        <v>7494</v>
      </c>
      <c r="D24682" s="1" t="s">
        <v>7495</v>
      </c>
    </row>
    <row r="24683">
      <c r="A24683" s="1" t="s">
        <v>38360</v>
      </c>
      <c r="B24683" s="2" t="s">
        <v>36973</v>
      </c>
      <c r="C24683" s="1" t="s">
        <v>7494</v>
      </c>
      <c r="D24683" s="1" t="s">
        <v>7495</v>
      </c>
    </row>
    <row r="24684">
      <c r="A24684" s="1" t="s">
        <v>38361</v>
      </c>
      <c r="B24684" s="2" t="s">
        <v>36975</v>
      </c>
      <c r="C24684" s="1" t="s">
        <v>7494</v>
      </c>
      <c r="D24684" s="1" t="s">
        <v>7495</v>
      </c>
    </row>
    <row r="24685">
      <c r="A24685" s="1" t="s">
        <v>38362</v>
      </c>
      <c r="B24685" s="2" t="s">
        <v>36977</v>
      </c>
      <c r="C24685" s="1" t="s">
        <v>7494</v>
      </c>
      <c r="D24685" s="1" t="s">
        <v>7495</v>
      </c>
    </row>
    <row r="24686">
      <c r="A24686" s="1" t="s">
        <v>38363</v>
      </c>
      <c r="B24686" s="2" t="s">
        <v>36979</v>
      </c>
      <c r="C24686" s="1" t="s">
        <v>7494</v>
      </c>
      <c r="D24686" s="1" t="s">
        <v>7495</v>
      </c>
    </row>
    <row r="24687">
      <c r="A24687" s="1" t="s">
        <v>38364</v>
      </c>
      <c r="B24687" s="2" t="s">
        <v>36981</v>
      </c>
      <c r="C24687" s="1" t="s">
        <v>7494</v>
      </c>
      <c r="D24687" s="1" t="s">
        <v>7495</v>
      </c>
    </row>
    <row r="24688">
      <c r="A24688" s="1" t="s">
        <v>38365</v>
      </c>
      <c r="B24688" s="2" t="s">
        <v>36983</v>
      </c>
      <c r="C24688" s="1" t="s">
        <v>7494</v>
      </c>
      <c r="D24688" s="1" t="s">
        <v>7495</v>
      </c>
    </row>
    <row r="24689">
      <c r="A24689" s="1" t="s">
        <v>38366</v>
      </c>
      <c r="B24689" s="2" t="s">
        <v>36985</v>
      </c>
      <c r="C24689" s="1" t="s">
        <v>7494</v>
      </c>
      <c r="D24689" s="1" t="s">
        <v>7495</v>
      </c>
    </row>
    <row r="24690">
      <c r="A24690" s="1" t="s">
        <v>38367</v>
      </c>
      <c r="B24690" s="2" t="s">
        <v>36987</v>
      </c>
      <c r="C24690" s="1" t="s">
        <v>7494</v>
      </c>
      <c r="D24690" s="1" t="s">
        <v>7495</v>
      </c>
    </row>
    <row r="24691">
      <c r="A24691" s="1" t="s">
        <v>38368</v>
      </c>
      <c r="B24691" s="2" t="s">
        <v>36989</v>
      </c>
      <c r="C24691" s="1" t="s">
        <v>7494</v>
      </c>
      <c r="D24691" s="1" t="s">
        <v>7495</v>
      </c>
    </row>
    <row r="24692">
      <c r="A24692" s="1" t="s">
        <v>38369</v>
      </c>
      <c r="B24692" s="2" t="s">
        <v>36991</v>
      </c>
      <c r="C24692" s="1" t="s">
        <v>7494</v>
      </c>
      <c r="D24692" s="1" t="s">
        <v>7495</v>
      </c>
    </row>
    <row r="24693">
      <c r="A24693" s="1" t="s">
        <v>38370</v>
      </c>
      <c r="B24693" s="2" t="s">
        <v>36993</v>
      </c>
      <c r="C24693" s="1" t="s">
        <v>7494</v>
      </c>
      <c r="D24693" s="1" t="s">
        <v>7495</v>
      </c>
    </row>
    <row r="24694">
      <c r="A24694" s="1" t="s">
        <v>38371</v>
      </c>
      <c r="B24694" s="2" t="s">
        <v>36995</v>
      </c>
      <c r="C24694" s="1" t="s">
        <v>7494</v>
      </c>
      <c r="D24694" s="1" t="s">
        <v>7495</v>
      </c>
    </row>
    <row r="24695">
      <c r="A24695" s="1" t="s">
        <v>38372</v>
      </c>
      <c r="B24695" s="2" t="s">
        <v>36997</v>
      </c>
      <c r="C24695" s="1" t="s">
        <v>7494</v>
      </c>
      <c r="D24695" s="1" t="s">
        <v>7495</v>
      </c>
    </row>
    <row r="24696">
      <c r="A24696" s="1" t="s">
        <v>38373</v>
      </c>
      <c r="B24696" s="2" t="s">
        <v>36999</v>
      </c>
      <c r="C24696" s="1" t="s">
        <v>7494</v>
      </c>
      <c r="D24696" s="1" t="s">
        <v>7495</v>
      </c>
    </row>
    <row r="24697">
      <c r="A24697" s="1" t="s">
        <v>38374</v>
      </c>
      <c r="B24697" s="2" t="s">
        <v>37001</v>
      </c>
      <c r="C24697" s="1" t="s">
        <v>7494</v>
      </c>
      <c r="D24697" s="1" t="s">
        <v>7495</v>
      </c>
    </row>
    <row r="24698">
      <c r="A24698" s="1" t="s">
        <v>38375</v>
      </c>
      <c r="B24698" s="2" t="s">
        <v>37003</v>
      </c>
      <c r="C24698" s="1" t="s">
        <v>7494</v>
      </c>
      <c r="D24698" s="1" t="s">
        <v>7495</v>
      </c>
    </row>
    <row r="24699">
      <c r="A24699" s="1" t="s">
        <v>38376</v>
      </c>
      <c r="B24699" s="2" t="s">
        <v>37005</v>
      </c>
      <c r="C24699" s="1" t="s">
        <v>7494</v>
      </c>
      <c r="D24699" s="1" t="s">
        <v>7495</v>
      </c>
    </row>
    <row r="24700">
      <c r="A24700" s="1" t="s">
        <v>38377</v>
      </c>
      <c r="B24700" s="2" t="s">
        <v>37007</v>
      </c>
      <c r="C24700" s="1" t="s">
        <v>7494</v>
      </c>
      <c r="D24700" s="1" t="s">
        <v>7495</v>
      </c>
    </row>
    <row r="24701">
      <c r="A24701" s="1" t="s">
        <v>38378</v>
      </c>
      <c r="B24701" s="2" t="s">
        <v>37009</v>
      </c>
      <c r="C24701" s="1" t="s">
        <v>7494</v>
      </c>
      <c r="D24701" s="1" t="s">
        <v>7495</v>
      </c>
    </row>
    <row r="24702">
      <c r="A24702" s="1" t="s">
        <v>38379</v>
      </c>
      <c r="B24702" s="2" t="s">
        <v>37011</v>
      </c>
      <c r="C24702" s="1" t="s">
        <v>7494</v>
      </c>
      <c r="D24702" s="1" t="s">
        <v>7495</v>
      </c>
    </row>
    <row r="24703">
      <c r="A24703" s="1" t="s">
        <v>38380</v>
      </c>
      <c r="B24703" s="2" t="s">
        <v>37013</v>
      </c>
      <c r="C24703" s="1" t="s">
        <v>7494</v>
      </c>
      <c r="D24703" s="1" t="s">
        <v>7495</v>
      </c>
    </row>
    <row r="24704">
      <c r="A24704" s="1" t="s">
        <v>38381</v>
      </c>
      <c r="B24704" s="2" t="s">
        <v>37015</v>
      </c>
      <c r="C24704" s="1" t="s">
        <v>7494</v>
      </c>
      <c r="D24704" s="1" t="s">
        <v>7495</v>
      </c>
    </row>
    <row r="24705">
      <c r="A24705" s="1" t="s">
        <v>38382</v>
      </c>
      <c r="B24705" s="2" t="s">
        <v>37017</v>
      </c>
      <c r="C24705" s="1" t="s">
        <v>7494</v>
      </c>
      <c r="D24705" s="1" t="s">
        <v>7495</v>
      </c>
    </row>
    <row r="24706">
      <c r="A24706" s="1" t="s">
        <v>38383</v>
      </c>
      <c r="B24706" s="2" t="s">
        <v>37019</v>
      </c>
      <c r="C24706" s="1" t="s">
        <v>7494</v>
      </c>
      <c r="D24706" s="1" t="s">
        <v>7495</v>
      </c>
    </row>
    <row r="24707">
      <c r="A24707" s="1" t="s">
        <v>38384</v>
      </c>
      <c r="B24707" s="2" t="s">
        <v>37021</v>
      </c>
      <c r="C24707" s="1" t="s">
        <v>7494</v>
      </c>
      <c r="D24707" s="1" t="s">
        <v>7495</v>
      </c>
    </row>
    <row r="24708">
      <c r="A24708" s="1" t="s">
        <v>38385</v>
      </c>
      <c r="B24708" s="2" t="s">
        <v>37023</v>
      </c>
      <c r="C24708" s="1" t="s">
        <v>7494</v>
      </c>
      <c r="D24708" s="1" t="s">
        <v>7495</v>
      </c>
    </row>
    <row r="24709">
      <c r="A24709" s="1" t="s">
        <v>38386</v>
      </c>
      <c r="B24709" s="2" t="s">
        <v>37025</v>
      </c>
      <c r="C24709" s="1" t="s">
        <v>7494</v>
      </c>
      <c r="D24709" s="1" t="s">
        <v>7495</v>
      </c>
    </row>
    <row r="24710">
      <c r="A24710" s="1" t="s">
        <v>38387</v>
      </c>
      <c r="B24710" s="2" t="s">
        <v>37027</v>
      </c>
      <c r="C24710" s="1" t="s">
        <v>7494</v>
      </c>
      <c r="D24710" s="1" t="s">
        <v>7495</v>
      </c>
    </row>
    <row r="24711">
      <c r="A24711" s="1" t="s">
        <v>38388</v>
      </c>
      <c r="B24711" s="2" t="s">
        <v>37029</v>
      </c>
      <c r="C24711" s="1" t="s">
        <v>7494</v>
      </c>
      <c r="D24711" s="1" t="s">
        <v>7495</v>
      </c>
    </row>
    <row r="24712">
      <c r="A24712" s="1" t="s">
        <v>38389</v>
      </c>
      <c r="B24712" s="2" t="s">
        <v>37031</v>
      </c>
      <c r="C24712" s="1" t="s">
        <v>7494</v>
      </c>
      <c r="D24712" s="1" t="s">
        <v>7495</v>
      </c>
    </row>
    <row r="24713">
      <c r="A24713" s="1" t="s">
        <v>38390</v>
      </c>
      <c r="B24713" s="2" t="s">
        <v>37033</v>
      </c>
      <c r="C24713" s="1" t="s">
        <v>7494</v>
      </c>
      <c r="D24713" s="1" t="s">
        <v>7495</v>
      </c>
    </row>
    <row r="24714">
      <c r="A24714" s="1" t="s">
        <v>38391</v>
      </c>
      <c r="B24714" s="2" t="s">
        <v>37035</v>
      </c>
      <c r="C24714" s="1" t="s">
        <v>7494</v>
      </c>
      <c r="D24714" s="1" t="s">
        <v>7495</v>
      </c>
    </row>
    <row r="24715">
      <c r="A24715" s="1" t="s">
        <v>38392</v>
      </c>
      <c r="B24715" s="2" t="s">
        <v>37037</v>
      </c>
      <c r="C24715" s="1" t="s">
        <v>7494</v>
      </c>
      <c r="D24715" s="1" t="s">
        <v>7495</v>
      </c>
    </row>
    <row r="24716">
      <c r="A24716" s="1" t="s">
        <v>38393</v>
      </c>
      <c r="B24716" s="2" t="s">
        <v>37039</v>
      </c>
      <c r="C24716" s="1" t="s">
        <v>7494</v>
      </c>
      <c r="D24716" s="1" t="s">
        <v>7495</v>
      </c>
    </row>
    <row r="24717">
      <c r="A24717" s="1" t="s">
        <v>38394</v>
      </c>
      <c r="B24717" s="2" t="s">
        <v>37041</v>
      </c>
      <c r="C24717" s="1" t="s">
        <v>7494</v>
      </c>
      <c r="D24717" s="1" t="s">
        <v>7495</v>
      </c>
    </row>
    <row r="24718">
      <c r="A24718" s="1" t="s">
        <v>38395</v>
      </c>
      <c r="B24718" s="2" t="s">
        <v>37043</v>
      </c>
      <c r="C24718" s="1" t="s">
        <v>7494</v>
      </c>
      <c r="D24718" s="1" t="s">
        <v>7495</v>
      </c>
    </row>
    <row r="24719">
      <c r="A24719" s="1" t="s">
        <v>38396</v>
      </c>
      <c r="B24719" s="2" t="s">
        <v>37045</v>
      </c>
      <c r="C24719" s="1" t="s">
        <v>7494</v>
      </c>
      <c r="D24719" s="1" t="s">
        <v>7495</v>
      </c>
    </row>
    <row r="24720">
      <c r="A24720" s="1" t="s">
        <v>38397</v>
      </c>
      <c r="B24720" s="2" t="s">
        <v>37047</v>
      </c>
      <c r="C24720" s="1" t="s">
        <v>7494</v>
      </c>
      <c r="D24720" s="1" t="s">
        <v>7495</v>
      </c>
    </row>
    <row r="24721">
      <c r="A24721" s="1" t="s">
        <v>38398</v>
      </c>
      <c r="B24721" s="2" t="s">
        <v>37049</v>
      </c>
      <c r="C24721" s="1" t="s">
        <v>7494</v>
      </c>
      <c r="D24721" s="1" t="s">
        <v>7495</v>
      </c>
    </row>
    <row r="24722">
      <c r="A24722" s="1" t="s">
        <v>38399</v>
      </c>
      <c r="B24722" s="2" t="s">
        <v>37051</v>
      </c>
      <c r="C24722" s="1" t="s">
        <v>7494</v>
      </c>
      <c r="D24722" s="1" t="s">
        <v>7495</v>
      </c>
    </row>
    <row r="24723">
      <c r="A24723" s="1" t="s">
        <v>38400</v>
      </c>
      <c r="B24723" s="2" t="s">
        <v>37053</v>
      </c>
      <c r="C24723" s="1" t="s">
        <v>7494</v>
      </c>
      <c r="D24723" s="1" t="s">
        <v>7495</v>
      </c>
    </row>
    <row r="24724">
      <c r="A24724" s="1" t="s">
        <v>38401</v>
      </c>
      <c r="B24724" s="2" t="s">
        <v>37055</v>
      </c>
      <c r="C24724" s="1" t="s">
        <v>7494</v>
      </c>
      <c r="D24724" s="1" t="s">
        <v>7495</v>
      </c>
    </row>
    <row r="24725">
      <c r="A24725" s="1" t="s">
        <v>38402</v>
      </c>
      <c r="B24725" s="2" t="s">
        <v>37057</v>
      </c>
      <c r="C24725" s="1" t="s">
        <v>7494</v>
      </c>
      <c r="D24725" s="1" t="s">
        <v>7495</v>
      </c>
    </row>
    <row r="24726">
      <c r="A24726" s="1" t="s">
        <v>38403</v>
      </c>
      <c r="B24726" s="2" t="s">
        <v>37059</v>
      </c>
      <c r="C24726" s="1" t="s">
        <v>7494</v>
      </c>
      <c r="D24726" s="1" t="s">
        <v>7495</v>
      </c>
    </row>
    <row r="24727">
      <c r="A24727" s="1" t="s">
        <v>38404</v>
      </c>
      <c r="B24727" s="2" t="s">
        <v>37061</v>
      </c>
      <c r="C24727" s="1" t="s">
        <v>7494</v>
      </c>
      <c r="D24727" s="1" t="s">
        <v>7495</v>
      </c>
    </row>
    <row r="24728">
      <c r="A24728" s="1" t="s">
        <v>38405</v>
      </c>
      <c r="B24728" s="2" t="s">
        <v>37063</v>
      </c>
      <c r="C24728" s="1" t="s">
        <v>7494</v>
      </c>
      <c r="D24728" s="1" t="s">
        <v>7495</v>
      </c>
    </row>
    <row r="24729">
      <c r="A24729" s="1" t="s">
        <v>38406</v>
      </c>
      <c r="B24729" s="2" t="s">
        <v>37065</v>
      </c>
      <c r="C24729" s="1" t="s">
        <v>7494</v>
      </c>
      <c r="D24729" s="1" t="s">
        <v>7495</v>
      </c>
    </row>
    <row r="24730">
      <c r="A24730" s="1" t="s">
        <v>38407</v>
      </c>
      <c r="B24730" s="2" t="s">
        <v>37067</v>
      </c>
      <c r="C24730" s="1" t="s">
        <v>7494</v>
      </c>
      <c r="D24730" s="1" t="s">
        <v>7495</v>
      </c>
    </row>
    <row r="24731">
      <c r="A24731" s="1" t="s">
        <v>38408</v>
      </c>
      <c r="B24731" s="2" t="s">
        <v>37069</v>
      </c>
      <c r="C24731" s="1" t="s">
        <v>7494</v>
      </c>
      <c r="D24731" s="1" t="s">
        <v>7495</v>
      </c>
    </row>
    <row r="24732">
      <c r="A24732" s="1" t="s">
        <v>38409</v>
      </c>
      <c r="B24732" s="2" t="s">
        <v>37071</v>
      </c>
      <c r="C24732" s="1" t="s">
        <v>7494</v>
      </c>
      <c r="D24732" s="1" t="s">
        <v>7495</v>
      </c>
    </row>
    <row r="24733">
      <c r="A24733" s="1" t="s">
        <v>38410</v>
      </c>
      <c r="B24733" s="2" t="s">
        <v>37073</v>
      </c>
      <c r="C24733" s="1" t="s">
        <v>7494</v>
      </c>
      <c r="D24733" s="1" t="s">
        <v>7495</v>
      </c>
    </row>
    <row r="24734">
      <c r="A24734" s="1" t="s">
        <v>38411</v>
      </c>
      <c r="B24734" s="2" t="s">
        <v>38412</v>
      </c>
      <c r="C24734" s="1" t="s">
        <v>7494</v>
      </c>
      <c r="D24734" s="1" t="s">
        <v>7495</v>
      </c>
    </row>
    <row r="24735">
      <c r="A24735" s="1" t="s">
        <v>38413</v>
      </c>
      <c r="B24735" s="2" t="s">
        <v>38414</v>
      </c>
      <c r="C24735" s="1" t="s">
        <v>7494</v>
      </c>
      <c r="D24735" s="1" t="s">
        <v>7495</v>
      </c>
    </row>
    <row r="24736">
      <c r="A24736" s="1" t="s">
        <v>38415</v>
      </c>
      <c r="B24736" s="2" t="s">
        <v>38416</v>
      </c>
      <c r="C24736" s="1" t="s">
        <v>7494</v>
      </c>
      <c r="D24736" s="1" t="s">
        <v>7495</v>
      </c>
    </row>
    <row r="24737">
      <c r="A24737" s="1" t="s">
        <v>38417</v>
      </c>
      <c r="B24737" s="2" t="s">
        <v>38418</v>
      </c>
      <c r="C24737" s="1" t="s">
        <v>7494</v>
      </c>
      <c r="D24737" s="1" t="s">
        <v>7495</v>
      </c>
    </row>
    <row r="24738">
      <c r="A24738" s="1" t="s">
        <v>38419</v>
      </c>
      <c r="B24738" s="2" t="s">
        <v>38420</v>
      </c>
      <c r="C24738" s="1" t="s">
        <v>7494</v>
      </c>
      <c r="D24738" s="1" t="s">
        <v>7495</v>
      </c>
    </row>
    <row r="24739">
      <c r="A24739" s="1" t="s">
        <v>38421</v>
      </c>
      <c r="B24739" s="2" t="s">
        <v>38422</v>
      </c>
      <c r="C24739" s="1" t="s">
        <v>7494</v>
      </c>
      <c r="D24739" s="1" t="s">
        <v>7495</v>
      </c>
    </row>
    <row r="24740">
      <c r="A24740" s="1" t="s">
        <v>38423</v>
      </c>
      <c r="B24740" s="2" t="s">
        <v>38424</v>
      </c>
      <c r="C24740" s="1" t="s">
        <v>7494</v>
      </c>
      <c r="D24740" s="1" t="s">
        <v>7495</v>
      </c>
    </row>
    <row r="24741">
      <c r="A24741" s="1" t="s">
        <v>38425</v>
      </c>
      <c r="B24741" s="2" t="s">
        <v>38426</v>
      </c>
      <c r="C24741" s="1" t="s">
        <v>7494</v>
      </c>
      <c r="D24741" s="1" t="s">
        <v>7495</v>
      </c>
    </row>
    <row r="24742">
      <c r="A24742" s="1" t="s">
        <v>38427</v>
      </c>
      <c r="B24742" s="2" t="s">
        <v>38428</v>
      </c>
      <c r="C24742" s="1" t="s">
        <v>7494</v>
      </c>
      <c r="D24742" s="1" t="s">
        <v>7495</v>
      </c>
    </row>
    <row r="24743">
      <c r="A24743" s="1" t="s">
        <v>38429</v>
      </c>
      <c r="B24743" s="2" t="s">
        <v>38430</v>
      </c>
      <c r="C24743" s="1" t="s">
        <v>7494</v>
      </c>
      <c r="D24743" s="1" t="s">
        <v>7495</v>
      </c>
    </row>
    <row r="24744">
      <c r="A24744" s="1" t="s">
        <v>38431</v>
      </c>
      <c r="B24744" s="2" t="s">
        <v>38432</v>
      </c>
      <c r="C24744" s="1" t="s">
        <v>7494</v>
      </c>
      <c r="D24744" s="1" t="s">
        <v>7495</v>
      </c>
    </row>
    <row r="24745">
      <c r="A24745" s="1" t="s">
        <v>38433</v>
      </c>
      <c r="B24745" s="2" t="s">
        <v>38434</v>
      </c>
      <c r="C24745" s="1" t="s">
        <v>7494</v>
      </c>
      <c r="D24745" s="1" t="s">
        <v>7495</v>
      </c>
    </row>
    <row r="24746">
      <c r="A24746" s="1" t="s">
        <v>38435</v>
      </c>
      <c r="B24746" s="2" t="s">
        <v>38436</v>
      </c>
      <c r="C24746" s="1" t="s">
        <v>7494</v>
      </c>
      <c r="D24746" s="1" t="s">
        <v>7495</v>
      </c>
    </row>
    <row r="24747">
      <c r="A24747" s="1" t="s">
        <v>38437</v>
      </c>
      <c r="B24747" s="2" t="s">
        <v>38438</v>
      </c>
      <c r="C24747" s="1" t="s">
        <v>7494</v>
      </c>
      <c r="D24747" s="1" t="s">
        <v>7495</v>
      </c>
    </row>
    <row r="24748">
      <c r="A24748" s="1" t="s">
        <v>38439</v>
      </c>
      <c r="B24748" s="2" t="s">
        <v>38440</v>
      </c>
      <c r="C24748" s="1" t="s">
        <v>7494</v>
      </c>
      <c r="D24748" s="1" t="s">
        <v>7495</v>
      </c>
    </row>
    <row r="24749">
      <c r="A24749" s="1" t="s">
        <v>38441</v>
      </c>
      <c r="B24749" s="2" t="s">
        <v>38442</v>
      </c>
      <c r="C24749" s="1" t="s">
        <v>7494</v>
      </c>
      <c r="D24749" s="1" t="s">
        <v>7495</v>
      </c>
    </row>
    <row r="24750">
      <c r="A24750" s="1" t="s">
        <v>38443</v>
      </c>
      <c r="B24750" s="2" t="s">
        <v>38444</v>
      </c>
      <c r="C24750" s="1" t="s">
        <v>7494</v>
      </c>
      <c r="D24750" s="1" t="s">
        <v>7495</v>
      </c>
    </row>
    <row r="24751">
      <c r="A24751" s="1" t="s">
        <v>38445</v>
      </c>
      <c r="B24751" s="2" t="s">
        <v>38446</v>
      </c>
      <c r="C24751" s="1" t="s">
        <v>7494</v>
      </c>
      <c r="D24751" s="1" t="s">
        <v>7495</v>
      </c>
    </row>
    <row r="24752">
      <c r="A24752" s="1" t="s">
        <v>38447</v>
      </c>
      <c r="B24752" s="2" t="s">
        <v>38448</v>
      </c>
      <c r="C24752" s="1" t="s">
        <v>7494</v>
      </c>
      <c r="D24752" s="1" t="s">
        <v>7495</v>
      </c>
    </row>
    <row r="24753">
      <c r="A24753" s="1" t="s">
        <v>38449</v>
      </c>
      <c r="B24753" s="2" t="s">
        <v>38450</v>
      </c>
      <c r="C24753" s="1" t="s">
        <v>7494</v>
      </c>
      <c r="D24753" s="1" t="s">
        <v>7495</v>
      </c>
    </row>
    <row r="24754">
      <c r="A24754" s="1" t="s">
        <v>38451</v>
      </c>
      <c r="B24754" s="2" t="s">
        <v>38452</v>
      </c>
      <c r="C24754" s="1" t="s">
        <v>7494</v>
      </c>
      <c r="D24754" s="1" t="s">
        <v>7495</v>
      </c>
    </row>
    <row r="24755">
      <c r="A24755" s="1" t="s">
        <v>38453</v>
      </c>
      <c r="B24755" s="2" t="s">
        <v>38454</v>
      </c>
      <c r="C24755" s="1" t="s">
        <v>7494</v>
      </c>
      <c r="D24755" s="1" t="s">
        <v>7495</v>
      </c>
    </row>
    <row r="24756">
      <c r="A24756" s="1" t="s">
        <v>38455</v>
      </c>
      <c r="B24756" s="2" t="s">
        <v>38456</v>
      </c>
      <c r="C24756" s="1" t="s">
        <v>7494</v>
      </c>
      <c r="D24756" s="1" t="s">
        <v>7495</v>
      </c>
    </row>
    <row r="24757">
      <c r="A24757" s="1" t="s">
        <v>38457</v>
      </c>
      <c r="B24757" s="2" t="s">
        <v>38458</v>
      </c>
      <c r="C24757" s="1" t="s">
        <v>7494</v>
      </c>
      <c r="D24757" s="1" t="s">
        <v>7495</v>
      </c>
    </row>
    <row r="24758">
      <c r="A24758" s="1" t="s">
        <v>38459</v>
      </c>
      <c r="B24758" s="2" t="s">
        <v>37075</v>
      </c>
      <c r="C24758" s="1" t="s">
        <v>7494</v>
      </c>
      <c r="D24758" s="1" t="s">
        <v>7495</v>
      </c>
    </row>
    <row r="24759">
      <c r="A24759" s="1" t="s">
        <v>7498</v>
      </c>
      <c r="B24759" s="2" t="s">
        <v>176</v>
      </c>
      <c r="C24759" s="1" t="s">
        <v>7500</v>
      </c>
      <c r="D24759" s="1" t="s">
        <v>7502</v>
      </c>
    </row>
    <row r="24760">
      <c r="A24760" s="1" t="s">
        <v>38460</v>
      </c>
      <c r="B24760" s="2" t="s">
        <v>37077</v>
      </c>
      <c r="C24760" s="1" t="s">
        <v>7500</v>
      </c>
      <c r="D24760" s="1" t="s">
        <v>7502</v>
      </c>
    </row>
    <row r="24761">
      <c r="A24761" s="1" t="s">
        <v>38461</v>
      </c>
      <c r="B24761" s="2" t="s">
        <v>37079</v>
      </c>
      <c r="C24761" s="1" t="s">
        <v>7500</v>
      </c>
      <c r="D24761" s="1" t="s">
        <v>7502</v>
      </c>
    </row>
    <row r="24762">
      <c r="A24762" s="1" t="s">
        <v>38462</v>
      </c>
      <c r="B24762" s="2" t="s">
        <v>37081</v>
      </c>
      <c r="C24762" s="1" t="s">
        <v>7500</v>
      </c>
      <c r="D24762" s="1" t="s">
        <v>7502</v>
      </c>
    </row>
    <row r="24763">
      <c r="A24763" s="1" t="s">
        <v>38463</v>
      </c>
      <c r="B24763" s="2" t="s">
        <v>37083</v>
      </c>
      <c r="C24763" s="1" t="s">
        <v>7500</v>
      </c>
      <c r="D24763" s="1" t="s">
        <v>7502</v>
      </c>
    </row>
    <row r="24764">
      <c r="A24764" s="1" t="s">
        <v>38464</v>
      </c>
      <c r="B24764" s="2" t="s">
        <v>38465</v>
      </c>
      <c r="C24764" s="1" t="s">
        <v>7500</v>
      </c>
      <c r="D24764" s="1" t="s">
        <v>7502</v>
      </c>
    </row>
    <row r="24765">
      <c r="A24765" s="1" t="s">
        <v>38466</v>
      </c>
      <c r="B24765" s="2" t="s">
        <v>37085</v>
      </c>
      <c r="C24765" s="1" t="s">
        <v>7500</v>
      </c>
      <c r="D24765" s="1" t="s">
        <v>7502</v>
      </c>
    </row>
    <row r="24766">
      <c r="A24766" s="1" t="s">
        <v>38467</v>
      </c>
      <c r="B24766" s="2" t="s">
        <v>37087</v>
      </c>
      <c r="C24766" s="1" t="s">
        <v>7500</v>
      </c>
      <c r="D24766" s="1" t="s">
        <v>7502</v>
      </c>
    </row>
    <row r="24767">
      <c r="A24767" s="1" t="s">
        <v>38468</v>
      </c>
      <c r="B24767" s="2" t="s">
        <v>38469</v>
      </c>
      <c r="C24767" s="1" t="s">
        <v>7500</v>
      </c>
      <c r="D24767" s="1" t="s">
        <v>7502</v>
      </c>
    </row>
    <row r="24768">
      <c r="A24768" s="1" t="s">
        <v>38470</v>
      </c>
      <c r="B24768" s="2" t="s">
        <v>37089</v>
      </c>
      <c r="C24768" s="1" t="s">
        <v>7500</v>
      </c>
      <c r="D24768" s="1" t="s">
        <v>7502</v>
      </c>
    </row>
    <row r="24769">
      <c r="A24769" s="1" t="s">
        <v>7509</v>
      </c>
      <c r="B24769" s="2" t="s">
        <v>7</v>
      </c>
      <c r="C24769" s="1" t="s">
        <v>7511</v>
      </c>
      <c r="D24769" s="1" t="s">
        <v>7512</v>
      </c>
    </row>
    <row r="24770">
      <c r="A24770" s="1" t="s">
        <v>38471</v>
      </c>
      <c r="B24770" s="2" t="s">
        <v>36715</v>
      </c>
      <c r="C24770" s="1" t="s">
        <v>7511</v>
      </c>
      <c r="D24770" s="1" t="s">
        <v>7512</v>
      </c>
    </row>
    <row r="24771">
      <c r="A24771" s="1" t="s">
        <v>38472</v>
      </c>
      <c r="B24771" s="2" t="s">
        <v>36781</v>
      </c>
      <c r="C24771" s="1" t="s">
        <v>7511</v>
      </c>
      <c r="D24771" s="1" t="s">
        <v>7512</v>
      </c>
    </row>
    <row r="24772">
      <c r="A24772" s="1" t="s">
        <v>38473</v>
      </c>
      <c r="B24772" s="2" t="s">
        <v>37093</v>
      </c>
      <c r="C24772" s="1" t="s">
        <v>7511</v>
      </c>
      <c r="D24772" s="1" t="s">
        <v>7512</v>
      </c>
    </row>
    <row r="24773">
      <c r="A24773" s="1" t="s">
        <v>38474</v>
      </c>
      <c r="B24773" s="2" t="s">
        <v>37095</v>
      </c>
      <c r="C24773" s="1" t="s">
        <v>7511</v>
      </c>
      <c r="D24773" s="1" t="s">
        <v>7512</v>
      </c>
    </row>
    <row r="24774">
      <c r="A24774" s="1" t="s">
        <v>38475</v>
      </c>
      <c r="B24774" s="2" t="s">
        <v>38476</v>
      </c>
      <c r="C24774" s="1" t="s">
        <v>7511</v>
      </c>
      <c r="D24774" s="1" t="s">
        <v>7512</v>
      </c>
    </row>
    <row r="24775">
      <c r="A24775" s="1" t="s">
        <v>38477</v>
      </c>
      <c r="B24775" s="2" t="s">
        <v>36961</v>
      </c>
      <c r="C24775" s="1" t="s">
        <v>7511</v>
      </c>
      <c r="D24775" s="1" t="s">
        <v>7512</v>
      </c>
    </row>
    <row r="24776">
      <c r="A24776" s="1" t="s">
        <v>38478</v>
      </c>
      <c r="B24776" s="2" t="s">
        <v>37098</v>
      </c>
      <c r="C24776" s="1" t="s">
        <v>7511</v>
      </c>
      <c r="D24776" s="1" t="s">
        <v>7512</v>
      </c>
    </row>
    <row r="24777">
      <c r="A24777" s="1" t="s">
        <v>38479</v>
      </c>
      <c r="B24777" s="2" t="s">
        <v>38480</v>
      </c>
      <c r="C24777" s="1" t="s">
        <v>7511</v>
      </c>
      <c r="D24777" s="1" t="s">
        <v>7512</v>
      </c>
    </row>
    <row r="24778">
      <c r="A24778" s="1" t="s">
        <v>38481</v>
      </c>
      <c r="B24778" s="2" t="s">
        <v>37075</v>
      </c>
      <c r="C24778" s="1" t="s">
        <v>7511</v>
      </c>
      <c r="D24778" s="1" t="s">
        <v>7512</v>
      </c>
    </row>
    <row r="24779">
      <c r="A24779" s="1" t="s">
        <v>7513</v>
      </c>
      <c r="B24779" s="2" t="s">
        <v>7</v>
      </c>
      <c r="C24779" s="1" t="s">
        <v>7515</v>
      </c>
      <c r="D24779" s="1" t="s">
        <v>7516</v>
      </c>
    </row>
    <row r="24780">
      <c r="A24780" s="1" t="s">
        <v>38482</v>
      </c>
      <c r="B24780" s="2" t="s">
        <v>36715</v>
      </c>
      <c r="C24780" s="1" t="s">
        <v>7515</v>
      </c>
      <c r="D24780" s="1" t="s">
        <v>7516</v>
      </c>
    </row>
    <row r="24781">
      <c r="A24781" s="1" t="s">
        <v>38483</v>
      </c>
      <c r="B24781" s="2" t="s">
        <v>36781</v>
      </c>
      <c r="C24781" s="1" t="s">
        <v>7515</v>
      </c>
      <c r="D24781" s="1" t="s">
        <v>7516</v>
      </c>
    </row>
    <row r="24782">
      <c r="A24782" s="1" t="s">
        <v>38484</v>
      </c>
      <c r="B24782" s="2" t="s">
        <v>37093</v>
      </c>
      <c r="C24782" s="1" t="s">
        <v>7515</v>
      </c>
      <c r="D24782" s="1" t="s">
        <v>7516</v>
      </c>
    </row>
    <row r="24783">
      <c r="A24783" s="1" t="s">
        <v>38485</v>
      </c>
      <c r="B24783" s="2" t="s">
        <v>37095</v>
      </c>
      <c r="C24783" s="1" t="s">
        <v>7515</v>
      </c>
      <c r="D24783" s="1" t="s">
        <v>7516</v>
      </c>
    </row>
    <row r="24784">
      <c r="A24784" s="1" t="s">
        <v>38486</v>
      </c>
      <c r="B24784" s="2" t="s">
        <v>38476</v>
      </c>
      <c r="C24784" s="1" t="s">
        <v>7515</v>
      </c>
      <c r="D24784" s="1" t="s">
        <v>7516</v>
      </c>
    </row>
    <row r="24785">
      <c r="A24785" s="1" t="s">
        <v>38487</v>
      </c>
      <c r="B24785" s="2" t="s">
        <v>36961</v>
      </c>
      <c r="C24785" s="1" t="s">
        <v>7515</v>
      </c>
      <c r="D24785" s="1" t="s">
        <v>7516</v>
      </c>
    </row>
    <row r="24786">
      <c r="A24786" s="1" t="s">
        <v>38488</v>
      </c>
      <c r="B24786" s="2" t="s">
        <v>37098</v>
      </c>
      <c r="C24786" s="1" t="s">
        <v>7515</v>
      </c>
      <c r="D24786" s="1" t="s">
        <v>7516</v>
      </c>
    </row>
    <row r="24787">
      <c r="A24787" s="1" t="s">
        <v>38489</v>
      </c>
      <c r="B24787" s="2" t="s">
        <v>38480</v>
      </c>
      <c r="C24787" s="1" t="s">
        <v>7515</v>
      </c>
      <c r="D24787" s="1" t="s">
        <v>7516</v>
      </c>
    </row>
    <row r="24788">
      <c r="A24788" s="1" t="s">
        <v>38490</v>
      </c>
      <c r="B24788" s="2" t="s">
        <v>37075</v>
      </c>
      <c r="C24788" s="1" t="s">
        <v>7515</v>
      </c>
      <c r="D24788" s="1" t="s">
        <v>7516</v>
      </c>
    </row>
    <row r="24789">
      <c r="A24789" s="1" t="s">
        <v>7519</v>
      </c>
      <c r="B24789" s="2" t="s">
        <v>7</v>
      </c>
      <c r="C24789" s="1" t="s">
        <v>7522</v>
      </c>
      <c r="D24789" s="1" t="s">
        <v>7523</v>
      </c>
    </row>
    <row r="24790">
      <c r="A24790" s="1" t="s">
        <v>38491</v>
      </c>
      <c r="B24790" s="2" t="s">
        <v>36715</v>
      </c>
      <c r="C24790" s="1" t="s">
        <v>7522</v>
      </c>
      <c r="D24790" s="1" t="s">
        <v>7523</v>
      </c>
    </row>
    <row r="24791">
      <c r="A24791" s="1" t="s">
        <v>38492</v>
      </c>
      <c r="B24791" s="2" t="s">
        <v>36781</v>
      </c>
      <c r="C24791" s="1" t="s">
        <v>7522</v>
      </c>
      <c r="D24791" s="1" t="s">
        <v>7523</v>
      </c>
    </row>
    <row r="24792">
      <c r="A24792" s="1" t="s">
        <v>38493</v>
      </c>
      <c r="B24792" s="2" t="s">
        <v>37093</v>
      </c>
      <c r="C24792" s="1" t="s">
        <v>7522</v>
      </c>
      <c r="D24792" s="1" t="s">
        <v>7523</v>
      </c>
    </row>
    <row r="24793">
      <c r="A24793" s="1" t="s">
        <v>38494</v>
      </c>
      <c r="B24793" s="2" t="s">
        <v>37095</v>
      </c>
      <c r="C24793" s="1" t="s">
        <v>7522</v>
      </c>
      <c r="D24793" s="1" t="s">
        <v>7523</v>
      </c>
    </row>
    <row r="24794">
      <c r="A24794" s="1" t="s">
        <v>38495</v>
      </c>
      <c r="B24794" s="2" t="s">
        <v>38476</v>
      </c>
      <c r="C24794" s="1" t="s">
        <v>7522</v>
      </c>
      <c r="D24794" s="1" t="s">
        <v>7523</v>
      </c>
    </row>
    <row r="24795">
      <c r="A24795" s="1" t="s">
        <v>38496</v>
      </c>
      <c r="B24795" s="2" t="s">
        <v>36961</v>
      </c>
      <c r="C24795" s="1" t="s">
        <v>7522</v>
      </c>
      <c r="D24795" s="1" t="s">
        <v>7523</v>
      </c>
    </row>
    <row r="24796">
      <c r="A24796" s="1" t="s">
        <v>38497</v>
      </c>
      <c r="B24796" s="2" t="s">
        <v>37098</v>
      </c>
      <c r="C24796" s="1" t="s">
        <v>7522</v>
      </c>
      <c r="D24796" s="1" t="s">
        <v>7523</v>
      </c>
    </row>
    <row r="24797">
      <c r="A24797" s="1" t="s">
        <v>38498</v>
      </c>
      <c r="B24797" s="2" t="s">
        <v>38480</v>
      </c>
      <c r="C24797" s="1" t="s">
        <v>7522</v>
      </c>
      <c r="D24797" s="1" t="s">
        <v>7523</v>
      </c>
    </row>
    <row r="24798">
      <c r="A24798" s="1" t="s">
        <v>38499</v>
      </c>
      <c r="B24798" s="2" t="s">
        <v>37075</v>
      </c>
      <c r="C24798" s="1" t="s">
        <v>7522</v>
      </c>
      <c r="D24798" s="1" t="s">
        <v>7523</v>
      </c>
    </row>
    <row r="24799">
      <c r="A24799" s="1" t="s">
        <v>7526</v>
      </c>
      <c r="B24799" s="2" t="s">
        <v>7</v>
      </c>
      <c r="C24799" s="1" t="s">
        <v>7527</v>
      </c>
      <c r="D24799" s="1" t="s">
        <v>7529</v>
      </c>
    </row>
    <row r="24800">
      <c r="A24800" s="1" t="s">
        <v>38500</v>
      </c>
      <c r="B24800" s="2" t="s">
        <v>36715</v>
      </c>
      <c r="C24800" s="1" t="s">
        <v>7527</v>
      </c>
      <c r="D24800" s="1" t="s">
        <v>7529</v>
      </c>
    </row>
    <row r="24801">
      <c r="A24801" s="1" t="s">
        <v>38501</v>
      </c>
      <c r="B24801" s="2" t="s">
        <v>36781</v>
      </c>
      <c r="C24801" s="1" t="s">
        <v>7527</v>
      </c>
      <c r="D24801" s="1" t="s">
        <v>7529</v>
      </c>
    </row>
    <row r="24802">
      <c r="A24802" s="1" t="s">
        <v>38502</v>
      </c>
      <c r="B24802" s="2" t="s">
        <v>37093</v>
      </c>
      <c r="C24802" s="1" t="s">
        <v>7527</v>
      </c>
      <c r="D24802" s="1" t="s">
        <v>7529</v>
      </c>
    </row>
    <row r="24803">
      <c r="A24803" s="1" t="s">
        <v>38503</v>
      </c>
      <c r="B24803" s="2" t="s">
        <v>37095</v>
      </c>
      <c r="C24803" s="1" t="s">
        <v>7527</v>
      </c>
      <c r="D24803" s="1" t="s">
        <v>7529</v>
      </c>
    </row>
    <row r="24804">
      <c r="A24804" s="1" t="s">
        <v>38504</v>
      </c>
      <c r="B24804" s="2" t="s">
        <v>38476</v>
      </c>
      <c r="C24804" s="1" t="s">
        <v>7527</v>
      </c>
      <c r="D24804" s="1" t="s">
        <v>7529</v>
      </c>
    </row>
    <row r="24805">
      <c r="A24805" s="1" t="s">
        <v>38505</v>
      </c>
      <c r="B24805" s="2" t="s">
        <v>36961</v>
      </c>
      <c r="C24805" s="1" t="s">
        <v>7527</v>
      </c>
      <c r="D24805" s="1" t="s">
        <v>7529</v>
      </c>
    </row>
    <row r="24806">
      <c r="A24806" s="1" t="s">
        <v>38506</v>
      </c>
      <c r="B24806" s="2" t="s">
        <v>37098</v>
      </c>
      <c r="C24806" s="1" t="s">
        <v>7527</v>
      </c>
      <c r="D24806" s="1" t="s">
        <v>7529</v>
      </c>
    </row>
    <row r="24807">
      <c r="A24807" s="1" t="s">
        <v>38507</v>
      </c>
      <c r="B24807" s="2" t="s">
        <v>38480</v>
      </c>
      <c r="C24807" s="1" t="s">
        <v>7527</v>
      </c>
      <c r="D24807" s="1" t="s">
        <v>7529</v>
      </c>
    </row>
    <row r="24808">
      <c r="A24808" s="1" t="s">
        <v>38508</v>
      </c>
      <c r="B24808" s="2" t="s">
        <v>37075</v>
      </c>
      <c r="C24808" s="1" t="s">
        <v>7527</v>
      </c>
      <c r="D24808" s="1" t="s">
        <v>7529</v>
      </c>
    </row>
    <row r="24809">
      <c r="A24809" s="1" t="s">
        <v>7531</v>
      </c>
      <c r="B24809" s="2" t="s">
        <v>7</v>
      </c>
      <c r="C24809" s="1" t="s">
        <v>7532</v>
      </c>
      <c r="D24809" s="1" t="s">
        <v>7534</v>
      </c>
    </row>
    <row r="24810">
      <c r="A24810" s="1" t="s">
        <v>38509</v>
      </c>
      <c r="B24810" s="2" t="s">
        <v>36715</v>
      </c>
      <c r="C24810" s="1" t="s">
        <v>7532</v>
      </c>
      <c r="D24810" s="1" t="s">
        <v>7534</v>
      </c>
    </row>
    <row r="24811">
      <c r="A24811" s="1" t="s">
        <v>38510</v>
      </c>
      <c r="B24811" s="2" t="s">
        <v>36781</v>
      </c>
      <c r="C24811" s="1" t="s">
        <v>7532</v>
      </c>
      <c r="D24811" s="1" t="s">
        <v>7534</v>
      </c>
    </row>
    <row r="24812">
      <c r="A24812" s="1" t="s">
        <v>38511</v>
      </c>
      <c r="B24812" s="2" t="s">
        <v>37093</v>
      </c>
      <c r="C24812" s="1" t="s">
        <v>7532</v>
      </c>
      <c r="D24812" s="1" t="s">
        <v>7534</v>
      </c>
    </row>
    <row r="24813">
      <c r="A24813" s="1" t="s">
        <v>38512</v>
      </c>
      <c r="B24813" s="2" t="s">
        <v>37095</v>
      </c>
      <c r="C24813" s="1" t="s">
        <v>7532</v>
      </c>
      <c r="D24813" s="1" t="s">
        <v>7534</v>
      </c>
    </row>
    <row r="24814">
      <c r="A24814" s="1" t="s">
        <v>38513</v>
      </c>
      <c r="B24814" s="2" t="s">
        <v>38476</v>
      </c>
      <c r="C24814" s="1" t="s">
        <v>7532</v>
      </c>
      <c r="D24814" s="1" t="s">
        <v>7534</v>
      </c>
    </row>
    <row r="24815">
      <c r="A24815" s="1" t="s">
        <v>38514</v>
      </c>
      <c r="B24815" s="2" t="s">
        <v>36961</v>
      </c>
      <c r="C24815" s="1" t="s">
        <v>7532</v>
      </c>
      <c r="D24815" s="1" t="s">
        <v>7534</v>
      </c>
    </row>
    <row r="24816">
      <c r="A24816" s="1" t="s">
        <v>38515</v>
      </c>
      <c r="B24816" s="2" t="s">
        <v>37098</v>
      </c>
      <c r="C24816" s="1" t="s">
        <v>7532</v>
      </c>
      <c r="D24816" s="1" t="s">
        <v>7534</v>
      </c>
    </row>
    <row r="24817">
      <c r="A24817" s="1" t="s">
        <v>38516</v>
      </c>
      <c r="B24817" s="2" t="s">
        <v>38480</v>
      </c>
      <c r="C24817" s="1" t="s">
        <v>7532</v>
      </c>
      <c r="D24817" s="1" t="s">
        <v>7534</v>
      </c>
    </row>
    <row r="24818">
      <c r="A24818" s="1" t="s">
        <v>38517</v>
      </c>
      <c r="B24818" s="2" t="s">
        <v>37075</v>
      </c>
      <c r="C24818" s="1" t="s">
        <v>7532</v>
      </c>
      <c r="D24818" s="1" t="s">
        <v>7534</v>
      </c>
    </row>
    <row r="24819">
      <c r="A24819" s="1" t="s">
        <v>7535</v>
      </c>
      <c r="B24819" s="2" t="s">
        <v>7</v>
      </c>
      <c r="C24819" s="1" t="s">
        <v>7537</v>
      </c>
      <c r="D24819" s="1" t="s">
        <v>7538</v>
      </c>
    </row>
    <row r="24820">
      <c r="A24820" s="1" t="s">
        <v>38518</v>
      </c>
      <c r="B24820" s="2" t="s">
        <v>36715</v>
      </c>
      <c r="C24820" s="1" t="s">
        <v>7537</v>
      </c>
      <c r="D24820" s="1" t="s">
        <v>7538</v>
      </c>
    </row>
    <row r="24821">
      <c r="A24821" s="1" t="s">
        <v>38519</v>
      </c>
      <c r="B24821" s="2" t="s">
        <v>36781</v>
      </c>
      <c r="C24821" s="1" t="s">
        <v>7537</v>
      </c>
      <c r="D24821" s="1" t="s">
        <v>7538</v>
      </c>
    </row>
    <row r="24822">
      <c r="A24822" s="1" t="s">
        <v>38520</v>
      </c>
      <c r="B24822" s="2" t="s">
        <v>37093</v>
      </c>
      <c r="C24822" s="1" t="s">
        <v>7537</v>
      </c>
      <c r="D24822" s="1" t="s">
        <v>7538</v>
      </c>
    </row>
    <row r="24823">
      <c r="A24823" s="1" t="s">
        <v>38521</v>
      </c>
      <c r="B24823" s="2" t="s">
        <v>37095</v>
      </c>
      <c r="C24823" s="1" t="s">
        <v>7537</v>
      </c>
      <c r="D24823" s="1" t="s">
        <v>7538</v>
      </c>
    </row>
    <row r="24824">
      <c r="A24824" s="1" t="s">
        <v>38522</v>
      </c>
      <c r="B24824" s="2" t="s">
        <v>38476</v>
      </c>
      <c r="C24824" s="1" t="s">
        <v>7537</v>
      </c>
      <c r="D24824" s="1" t="s">
        <v>7538</v>
      </c>
    </row>
    <row r="24825">
      <c r="A24825" s="1" t="s">
        <v>38523</v>
      </c>
      <c r="B24825" s="2" t="s">
        <v>36961</v>
      </c>
      <c r="C24825" s="1" t="s">
        <v>7537</v>
      </c>
      <c r="D24825" s="1" t="s">
        <v>7538</v>
      </c>
    </row>
    <row r="24826">
      <c r="A24826" s="1" t="s">
        <v>38524</v>
      </c>
      <c r="B24826" s="2" t="s">
        <v>37098</v>
      </c>
      <c r="C24826" s="1" t="s">
        <v>7537</v>
      </c>
      <c r="D24826" s="1" t="s">
        <v>7538</v>
      </c>
    </row>
    <row r="24827">
      <c r="A24827" s="1" t="s">
        <v>38525</v>
      </c>
      <c r="B24827" s="2" t="s">
        <v>38480</v>
      </c>
      <c r="C24827" s="1" t="s">
        <v>7537</v>
      </c>
      <c r="D24827" s="1" t="s">
        <v>7538</v>
      </c>
    </row>
    <row r="24828">
      <c r="A24828" s="1" t="s">
        <v>38526</v>
      </c>
      <c r="B24828" s="2" t="s">
        <v>37075</v>
      </c>
      <c r="C24828" s="1" t="s">
        <v>7537</v>
      </c>
      <c r="D24828" s="1" t="s">
        <v>7538</v>
      </c>
    </row>
    <row r="24829">
      <c r="A24829" s="1" t="s">
        <v>7541</v>
      </c>
      <c r="B24829" s="2" t="s">
        <v>7</v>
      </c>
      <c r="C24829" s="1" t="s">
        <v>7542</v>
      </c>
      <c r="D24829" s="1" t="s">
        <v>7543</v>
      </c>
    </row>
    <row r="24830">
      <c r="A24830" s="1" t="s">
        <v>38527</v>
      </c>
      <c r="B24830" s="2" t="s">
        <v>36715</v>
      </c>
      <c r="C24830" s="1" t="s">
        <v>7542</v>
      </c>
      <c r="D24830" s="1" t="s">
        <v>7543</v>
      </c>
    </row>
    <row r="24831">
      <c r="A24831" s="1" t="s">
        <v>38528</v>
      </c>
      <c r="B24831" s="2" t="s">
        <v>36781</v>
      </c>
      <c r="C24831" s="1" t="s">
        <v>7542</v>
      </c>
      <c r="D24831" s="1" t="s">
        <v>7543</v>
      </c>
    </row>
    <row r="24832">
      <c r="A24832" s="1" t="s">
        <v>38529</v>
      </c>
      <c r="B24832" s="2" t="s">
        <v>37093</v>
      </c>
      <c r="C24832" s="1" t="s">
        <v>7542</v>
      </c>
      <c r="D24832" s="1" t="s">
        <v>7543</v>
      </c>
    </row>
    <row r="24833">
      <c r="A24833" s="1" t="s">
        <v>38530</v>
      </c>
      <c r="B24833" s="2" t="s">
        <v>37095</v>
      </c>
      <c r="C24833" s="1" t="s">
        <v>7542</v>
      </c>
      <c r="D24833" s="1" t="s">
        <v>7543</v>
      </c>
    </row>
    <row r="24834">
      <c r="A24834" s="1" t="s">
        <v>38531</v>
      </c>
      <c r="B24834" s="2" t="s">
        <v>38476</v>
      </c>
      <c r="C24834" s="1" t="s">
        <v>7542</v>
      </c>
      <c r="D24834" s="1" t="s">
        <v>7543</v>
      </c>
    </row>
    <row r="24835">
      <c r="A24835" s="1" t="s">
        <v>38532</v>
      </c>
      <c r="B24835" s="2" t="s">
        <v>36961</v>
      </c>
      <c r="C24835" s="1" t="s">
        <v>7542</v>
      </c>
      <c r="D24835" s="1" t="s">
        <v>7543</v>
      </c>
    </row>
    <row r="24836">
      <c r="A24836" s="1" t="s">
        <v>38533</v>
      </c>
      <c r="B24836" s="2" t="s">
        <v>37098</v>
      </c>
      <c r="C24836" s="1" t="s">
        <v>7542</v>
      </c>
      <c r="D24836" s="1" t="s">
        <v>7543</v>
      </c>
    </row>
    <row r="24837">
      <c r="A24837" s="1" t="s">
        <v>38534</v>
      </c>
      <c r="B24837" s="2" t="s">
        <v>38480</v>
      </c>
      <c r="C24837" s="1" t="s">
        <v>7542</v>
      </c>
      <c r="D24837" s="1" t="s">
        <v>7543</v>
      </c>
    </row>
    <row r="24838">
      <c r="A24838" s="1" t="s">
        <v>38535</v>
      </c>
      <c r="B24838" s="2" t="s">
        <v>37075</v>
      </c>
      <c r="C24838" s="1" t="s">
        <v>7542</v>
      </c>
      <c r="D24838" s="1" t="s">
        <v>7543</v>
      </c>
    </row>
    <row r="24839">
      <c r="A24839" s="1" t="s">
        <v>7546</v>
      </c>
      <c r="B24839" s="2" t="s">
        <v>7</v>
      </c>
      <c r="C24839" s="1" t="s">
        <v>7547</v>
      </c>
      <c r="D24839" s="1" t="s">
        <v>7548</v>
      </c>
    </row>
    <row r="24840">
      <c r="A24840" s="1" t="s">
        <v>38536</v>
      </c>
      <c r="B24840" s="2" t="s">
        <v>36715</v>
      </c>
      <c r="C24840" s="1" t="s">
        <v>7547</v>
      </c>
      <c r="D24840" s="1" t="s">
        <v>7548</v>
      </c>
    </row>
    <row r="24841">
      <c r="A24841" s="1" t="s">
        <v>38537</v>
      </c>
      <c r="B24841" s="2" t="s">
        <v>36781</v>
      </c>
      <c r="C24841" s="1" t="s">
        <v>7547</v>
      </c>
      <c r="D24841" s="1" t="s">
        <v>7548</v>
      </c>
    </row>
    <row r="24842">
      <c r="A24842" s="1" t="s">
        <v>38538</v>
      </c>
      <c r="B24842" s="2" t="s">
        <v>37093</v>
      </c>
      <c r="C24842" s="1" t="s">
        <v>7547</v>
      </c>
      <c r="D24842" s="1" t="s">
        <v>7548</v>
      </c>
    </row>
    <row r="24843">
      <c r="A24843" s="1" t="s">
        <v>38539</v>
      </c>
      <c r="B24843" s="2" t="s">
        <v>37095</v>
      </c>
      <c r="C24843" s="1" t="s">
        <v>7547</v>
      </c>
      <c r="D24843" s="1" t="s">
        <v>7548</v>
      </c>
    </row>
    <row r="24844">
      <c r="A24844" s="1" t="s">
        <v>38540</v>
      </c>
      <c r="B24844" s="2" t="s">
        <v>38476</v>
      </c>
      <c r="C24844" s="1" t="s">
        <v>7547</v>
      </c>
      <c r="D24844" s="1" t="s">
        <v>7548</v>
      </c>
    </row>
    <row r="24845">
      <c r="A24845" s="1" t="s">
        <v>38541</v>
      </c>
      <c r="B24845" s="2" t="s">
        <v>36961</v>
      </c>
      <c r="C24845" s="1" t="s">
        <v>7547</v>
      </c>
      <c r="D24845" s="1" t="s">
        <v>7548</v>
      </c>
    </row>
    <row r="24846">
      <c r="A24846" s="1" t="s">
        <v>38542</v>
      </c>
      <c r="B24846" s="2" t="s">
        <v>37098</v>
      </c>
      <c r="C24846" s="1" t="s">
        <v>7547</v>
      </c>
      <c r="D24846" s="1" t="s">
        <v>7548</v>
      </c>
    </row>
    <row r="24847">
      <c r="A24847" s="1" t="s">
        <v>38543</v>
      </c>
      <c r="B24847" s="2" t="s">
        <v>38480</v>
      </c>
      <c r="C24847" s="1" t="s">
        <v>7547</v>
      </c>
      <c r="D24847" s="1" t="s">
        <v>7548</v>
      </c>
    </row>
    <row r="24848">
      <c r="A24848" s="1" t="s">
        <v>38544</v>
      </c>
      <c r="B24848" s="2" t="s">
        <v>37075</v>
      </c>
      <c r="C24848" s="1" t="s">
        <v>7547</v>
      </c>
      <c r="D24848" s="1" t="s">
        <v>7548</v>
      </c>
    </row>
    <row r="24849">
      <c r="A24849" s="1" t="s">
        <v>7551</v>
      </c>
      <c r="B24849" s="2" t="s">
        <v>7</v>
      </c>
      <c r="C24849" s="1" t="s">
        <v>7552</v>
      </c>
      <c r="D24849" s="1" t="s">
        <v>7554</v>
      </c>
    </row>
    <row r="24850">
      <c r="A24850" s="1" t="s">
        <v>38545</v>
      </c>
      <c r="B24850" s="2" t="s">
        <v>36715</v>
      </c>
      <c r="C24850" s="1" t="s">
        <v>7552</v>
      </c>
      <c r="D24850" s="1" t="s">
        <v>7554</v>
      </c>
    </row>
    <row r="24851">
      <c r="A24851" s="1" t="s">
        <v>38546</v>
      </c>
      <c r="B24851" s="2" t="s">
        <v>36781</v>
      </c>
      <c r="C24851" s="1" t="s">
        <v>7552</v>
      </c>
      <c r="D24851" s="1" t="s">
        <v>7554</v>
      </c>
    </row>
    <row r="24852">
      <c r="A24852" s="1" t="s">
        <v>38547</v>
      </c>
      <c r="B24852" s="2" t="s">
        <v>37093</v>
      </c>
      <c r="C24852" s="1" t="s">
        <v>7552</v>
      </c>
      <c r="D24852" s="1" t="s">
        <v>7554</v>
      </c>
    </row>
    <row r="24853">
      <c r="A24853" s="1" t="s">
        <v>38548</v>
      </c>
      <c r="B24853" s="2" t="s">
        <v>37095</v>
      </c>
      <c r="C24853" s="1" t="s">
        <v>7552</v>
      </c>
      <c r="D24853" s="1" t="s">
        <v>7554</v>
      </c>
    </row>
    <row r="24854">
      <c r="A24854" s="1" t="s">
        <v>38549</v>
      </c>
      <c r="B24854" s="2" t="s">
        <v>38476</v>
      </c>
      <c r="C24854" s="1" t="s">
        <v>7552</v>
      </c>
      <c r="D24854" s="1" t="s">
        <v>7554</v>
      </c>
    </row>
    <row r="24855">
      <c r="A24855" s="1" t="s">
        <v>38550</v>
      </c>
      <c r="B24855" s="2" t="s">
        <v>36961</v>
      </c>
      <c r="C24855" s="1" t="s">
        <v>7552</v>
      </c>
      <c r="D24855" s="1" t="s">
        <v>7554</v>
      </c>
    </row>
    <row r="24856">
      <c r="A24856" s="1" t="s">
        <v>38551</v>
      </c>
      <c r="B24856" s="2" t="s">
        <v>37098</v>
      </c>
      <c r="C24856" s="1" t="s">
        <v>7552</v>
      </c>
      <c r="D24856" s="1" t="s">
        <v>7554</v>
      </c>
    </row>
    <row r="24857">
      <c r="A24857" s="1" t="s">
        <v>38552</v>
      </c>
      <c r="B24857" s="2" t="s">
        <v>38480</v>
      </c>
      <c r="C24857" s="1" t="s">
        <v>7552</v>
      </c>
      <c r="D24857" s="1" t="s">
        <v>7554</v>
      </c>
    </row>
    <row r="24858">
      <c r="A24858" s="1" t="s">
        <v>38553</v>
      </c>
      <c r="B24858" s="2" t="s">
        <v>37075</v>
      </c>
      <c r="C24858" s="1" t="s">
        <v>7552</v>
      </c>
      <c r="D24858" s="1" t="s">
        <v>7554</v>
      </c>
    </row>
    <row r="24859">
      <c r="A24859" s="1" t="s">
        <v>7503</v>
      </c>
      <c r="B24859" s="2" t="s">
        <v>7</v>
      </c>
      <c r="C24859" s="1" t="s">
        <v>173</v>
      </c>
      <c r="D24859" s="1" t="s">
        <v>7505</v>
      </c>
    </row>
    <row r="24860">
      <c r="A24860" s="1" t="s">
        <v>38554</v>
      </c>
      <c r="B24860" s="2" t="s">
        <v>36715</v>
      </c>
      <c r="C24860" s="1" t="s">
        <v>173</v>
      </c>
      <c r="D24860" s="1" t="s">
        <v>7505</v>
      </c>
    </row>
    <row r="24861">
      <c r="A24861" s="1" t="s">
        <v>38555</v>
      </c>
      <c r="B24861" s="2" t="s">
        <v>36781</v>
      </c>
      <c r="C24861" s="1" t="s">
        <v>173</v>
      </c>
      <c r="D24861" s="1" t="s">
        <v>7505</v>
      </c>
    </row>
    <row r="24862">
      <c r="A24862" s="1" t="s">
        <v>38556</v>
      </c>
      <c r="B24862" s="2" t="s">
        <v>37093</v>
      </c>
      <c r="C24862" s="1" t="s">
        <v>173</v>
      </c>
      <c r="D24862" s="1" t="s">
        <v>7505</v>
      </c>
    </row>
    <row r="24863">
      <c r="A24863" s="1" t="s">
        <v>38557</v>
      </c>
      <c r="B24863" s="2" t="s">
        <v>37095</v>
      </c>
      <c r="C24863" s="1" t="s">
        <v>173</v>
      </c>
      <c r="D24863" s="1" t="s">
        <v>7505</v>
      </c>
    </row>
    <row r="24864">
      <c r="A24864" s="1" t="s">
        <v>38558</v>
      </c>
      <c r="B24864" s="2" t="s">
        <v>38476</v>
      </c>
      <c r="C24864" s="1" t="s">
        <v>173</v>
      </c>
      <c r="D24864" s="1" t="s">
        <v>7505</v>
      </c>
    </row>
    <row r="24865">
      <c r="A24865" s="1" t="s">
        <v>38559</v>
      </c>
      <c r="B24865" s="2" t="s">
        <v>36961</v>
      </c>
      <c r="C24865" s="1" t="s">
        <v>173</v>
      </c>
      <c r="D24865" s="1" t="s">
        <v>7505</v>
      </c>
    </row>
    <row r="24866">
      <c r="A24866" s="1" t="s">
        <v>38560</v>
      </c>
      <c r="B24866" s="2" t="s">
        <v>37098</v>
      </c>
      <c r="C24866" s="1" t="s">
        <v>173</v>
      </c>
      <c r="D24866" s="1" t="s">
        <v>7505</v>
      </c>
    </row>
    <row r="24867">
      <c r="A24867" s="1" t="s">
        <v>38561</v>
      </c>
      <c r="B24867" s="2" t="s">
        <v>38480</v>
      </c>
      <c r="C24867" s="1" t="s">
        <v>173</v>
      </c>
      <c r="D24867" s="1" t="s">
        <v>7505</v>
      </c>
    </row>
    <row r="24868">
      <c r="A24868" s="1" t="s">
        <v>38562</v>
      </c>
      <c r="B24868" s="2" t="s">
        <v>37075</v>
      </c>
      <c r="C24868" s="1" t="s">
        <v>173</v>
      </c>
      <c r="D24868" s="1" t="s">
        <v>7505</v>
      </c>
    </row>
    <row r="24869">
      <c r="A24869" s="1" t="s">
        <v>7556</v>
      </c>
      <c r="B24869" s="2" t="s">
        <v>7</v>
      </c>
      <c r="C24869" s="1" t="s">
        <v>7558</v>
      </c>
      <c r="D24869" s="1" t="s">
        <v>7559</v>
      </c>
    </row>
    <row r="24870">
      <c r="A24870" s="1" t="s">
        <v>38563</v>
      </c>
      <c r="B24870" s="2" t="s">
        <v>5922</v>
      </c>
      <c r="C24870" s="1" t="s">
        <v>7558</v>
      </c>
      <c r="D24870" s="1" t="s">
        <v>7559</v>
      </c>
    </row>
    <row r="24871">
      <c r="A24871" s="1" t="s">
        <v>38564</v>
      </c>
      <c r="B24871" s="2" t="s">
        <v>37165</v>
      </c>
      <c r="C24871" s="1" t="s">
        <v>7558</v>
      </c>
      <c r="D24871" s="1" t="s">
        <v>7559</v>
      </c>
    </row>
    <row r="24872">
      <c r="A24872" s="1" t="s">
        <v>38565</v>
      </c>
      <c r="B24872" s="2" t="s">
        <v>5932</v>
      </c>
      <c r="C24872" s="1" t="s">
        <v>7558</v>
      </c>
      <c r="D24872" s="1" t="s">
        <v>7559</v>
      </c>
    </row>
    <row r="24873">
      <c r="A24873" s="1" t="s">
        <v>38566</v>
      </c>
      <c r="B24873" s="2" t="s">
        <v>5935</v>
      </c>
      <c r="C24873" s="1" t="s">
        <v>7558</v>
      </c>
      <c r="D24873" s="1" t="s">
        <v>7559</v>
      </c>
    </row>
    <row r="24874">
      <c r="A24874" s="1" t="s">
        <v>38567</v>
      </c>
      <c r="B24874" s="2" t="s">
        <v>5928</v>
      </c>
      <c r="C24874" s="1" t="s">
        <v>7558</v>
      </c>
      <c r="D24874" s="1" t="s">
        <v>7559</v>
      </c>
    </row>
    <row r="24875">
      <c r="A24875" s="1" t="s">
        <v>38568</v>
      </c>
      <c r="B24875" s="2" t="s">
        <v>36715</v>
      </c>
      <c r="C24875" s="1" t="s">
        <v>7558</v>
      </c>
      <c r="D24875" s="1" t="s">
        <v>7559</v>
      </c>
    </row>
    <row r="24876">
      <c r="A24876" s="1" t="s">
        <v>38569</v>
      </c>
      <c r="B24876" s="2" t="s">
        <v>37171</v>
      </c>
      <c r="C24876" s="1" t="s">
        <v>7558</v>
      </c>
      <c r="D24876" s="1" t="s">
        <v>7559</v>
      </c>
    </row>
    <row r="24877">
      <c r="A24877" s="1" t="s">
        <v>38570</v>
      </c>
      <c r="B24877" s="2" t="s">
        <v>37173</v>
      </c>
      <c r="C24877" s="1" t="s">
        <v>7558</v>
      </c>
      <c r="D24877" s="1" t="s">
        <v>7559</v>
      </c>
    </row>
    <row r="24878">
      <c r="A24878" s="1" t="s">
        <v>38571</v>
      </c>
      <c r="B24878" s="2" t="s">
        <v>37175</v>
      </c>
      <c r="C24878" s="1" t="s">
        <v>7558</v>
      </c>
      <c r="D24878" s="1" t="s">
        <v>7559</v>
      </c>
    </row>
    <row r="24879">
      <c r="A24879" s="1" t="s">
        <v>38572</v>
      </c>
      <c r="B24879" s="2" t="s">
        <v>37177</v>
      </c>
      <c r="C24879" s="1" t="s">
        <v>7558</v>
      </c>
      <c r="D24879" s="1" t="s">
        <v>7559</v>
      </c>
    </row>
    <row r="24880">
      <c r="A24880" s="1" t="s">
        <v>38573</v>
      </c>
      <c r="B24880" s="2" t="s">
        <v>37179</v>
      </c>
      <c r="C24880" s="1" t="s">
        <v>7558</v>
      </c>
      <c r="D24880" s="1" t="s">
        <v>7559</v>
      </c>
    </row>
    <row r="24881">
      <c r="A24881" s="1" t="s">
        <v>38574</v>
      </c>
      <c r="B24881" s="2" t="s">
        <v>36781</v>
      </c>
      <c r="C24881" s="1" t="s">
        <v>7558</v>
      </c>
      <c r="D24881" s="1" t="s">
        <v>7559</v>
      </c>
    </row>
    <row r="24882">
      <c r="A24882" s="1" t="s">
        <v>38575</v>
      </c>
      <c r="B24882" s="2" t="s">
        <v>37182</v>
      </c>
      <c r="C24882" s="1" t="s">
        <v>7558</v>
      </c>
      <c r="D24882" s="1" t="s">
        <v>7559</v>
      </c>
    </row>
    <row r="24883">
      <c r="A24883" s="1" t="s">
        <v>38576</v>
      </c>
      <c r="B24883" s="2" t="s">
        <v>37184</v>
      </c>
      <c r="C24883" s="1" t="s">
        <v>7558</v>
      </c>
      <c r="D24883" s="1" t="s">
        <v>7559</v>
      </c>
    </row>
    <row r="24884">
      <c r="A24884" s="1" t="s">
        <v>38577</v>
      </c>
      <c r="B24884" s="2" t="s">
        <v>37186</v>
      </c>
      <c r="C24884" s="1" t="s">
        <v>7558</v>
      </c>
      <c r="D24884" s="1" t="s">
        <v>7559</v>
      </c>
    </row>
    <row r="24885">
      <c r="A24885" s="1" t="s">
        <v>38578</v>
      </c>
      <c r="B24885" s="2" t="s">
        <v>37188</v>
      </c>
      <c r="C24885" s="1" t="s">
        <v>7558</v>
      </c>
      <c r="D24885" s="1" t="s">
        <v>7559</v>
      </c>
    </row>
    <row r="24886">
      <c r="A24886" s="1" t="s">
        <v>38579</v>
      </c>
      <c r="B24886" s="2" t="s">
        <v>37190</v>
      </c>
      <c r="C24886" s="1" t="s">
        <v>7558</v>
      </c>
      <c r="D24886" s="1" t="s">
        <v>7559</v>
      </c>
    </row>
    <row r="24887">
      <c r="A24887" s="1" t="s">
        <v>38580</v>
      </c>
      <c r="B24887" s="2" t="s">
        <v>36847</v>
      </c>
      <c r="C24887" s="1" t="s">
        <v>7558</v>
      </c>
      <c r="D24887" s="1" t="s">
        <v>7559</v>
      </c>
    </row>
    <row r="24888">
      <c r="A24888" s="1" t="s">
        <v>38581</v>
      </c>
      <c r="B24888" s="2" t="s">
        <v>37193</v>
      </c>
      <c r="C24888" s="1" t="s">
        <v>7558</v>
      </c>
      <c r="D24888" s="1" t="s">
        <v>7559</v>
      </c>
    </row>
    <row r="24889">
      <c r="A24889" s="1" t="s">
        <v>38582</v>
      </c>
      <c r="B24889" s="2" t="s">
        <v>37195</v>
      </c>
      <c r="C24889" s="1" t="s">
        <v>7558</v>
      </c>
      <c r="D24889" s="1" t="s">
        <v>7559</v>
      </c>
    </row>
    <row r="24890">
      <c r="A24890" s="1" t="s">
        <v>38583</v>
      </c>
      <c r="B24890" s="2" t="s">
        <v>37197</v>
      </c>
      <c r="C24890" s="1" t="s">
        <v>7558</v>
      </c>
      <c r="D24890" s="1" t="s">
        <v>7559</v>
      </c>
    </row>
    <row r="24891">
      <c r="A24891" s="1" t="s">
        <v>38584</v>
      </c>
      <c r="B24891" s="2" t="s">
        <v>37199</v>
      </c>
      <c r="C24891" s="1" t="s">
        <v>7558</v>
      </c>
      <c r="D24891" s="1" t="s">
        <v>7559</v>
      </c>
    </row>
    <row r="24892">
      <c r="A24892" s="1" t="s">
        <v>38585</v>
      </c>
      <c r="B24892" s="2" t="s">
        <v>37201</v>
      </c>
      <c r="C24892" s="1" t="s">
        <v>7558</v>
      </c>
      <c r="D24892" s="1" t="s">
        <v>7559</v>
      </c>
    </row>
    <row r="24893">
      <c r="A24893" s="1" t="s">
        <v>38586</v>
      </c>
      <c r="B24893" s="2" t="s">
        <v>36907</v>
      </c>
      <c r="C24893" s="1" t="s">
        <v>7558</v>
      </c>
      <c r="D24893" s="1" t="s">
        <v>7559</v>
      </c>
    </row>
    <row r="24894">
      <c r="A24894" s="1" t="s">
        <v>38587</v>
      </c>
      <c r="B24894" s="2" t="s">
        <v>37204</v>
      </c>
      <c r="C24894" s="1" t="s">
        <v>7558</v>
      </c>
      <c r="D24894" s="1" t="s">
        <v>7559</v>
      </c>
    </row>
    <row r="24895">
      <c r="A24895" s="1" t="s">
        <v>38588</v>
      </c>
      <c r="B24895" s="2" t="s">
        <v>37206</v>
      </c>
      <c r="C24895" s="1" t="s">
        <v>7558</v>
      </c>
      <c r="D24895" s="1" t="s">
        <v>7559</v>
      </c>
    </row>
    <row r="24896">
      <c r="A24896" s="1" t="s">
        <v>38589</v>
      </c>
      <c r="B24896" s="2" t="s">
        <v>37208</v>
      </c>
      <c r="C24896" s="1" t="s">
        <v>7558</v>
      </c>
      <c r="D24896" s="1" t="s">
        <v>7559</v>
      </c>
    </row>
    <row r="24897">
      <c r="A24897" s="1" t="s">
        <v>38590</v>
      </c>
      <c r="B24897" s="2" t="s">
        <v>37210</v>
      </c>
      <c r="C24897" s="1" t="s">
        <v>7558</v>
      </c>
      <c r="D24897" s="1" t="s">
        <v>7559</v>
      </c>
    </row>
    <row r="24898">
      <c r="A24898" s="1" t="s">
        <v>38591</v>
      </c>
      <c r="B24898" s="2" t="s">
        <v>37212</v>
      </c>
      <c r="C24898" s="1" t="s">
        <v>7558</v>
      </c>
      <c r="D24898" s="1" t="s">
        <v>7559</v>
      </c>
    </row>
    <row r="24899">
      <c r="A24899" s="1" t="s">
        <v>38592</v>
      </c>
      <c r="B24899" s="2" t="s">
        <v>38325</v>
      </c>
      <c r="C24899" s="1" t="s">
        <v>7558</v>
      </c>
      <c r="D24899" s="1" t="s">
        <v>7559</v>
      </c>
    </row>
    <row r="24900">
      <c r="A24900" s="1" t="s">
        <v>38593</v>
      </c>
      <c r="B24900" s="2" t="s">
        <v>38594</v>
      </c>
      <c r="C24900" s="1" t="s">
        <v>7558</v>
      </c>
      <c r="D24900" s="1" t="s">
        <v>7559</v>
      </c>
    </row>
    <row r="24901">
      <c r="A24901" s="1" t="s">
        <v>38595</v>
      </c>
      <c r="B24901" s="2" t="s">
        <v>38596</v>
      </c>
      <c r="C24901" s="1" t="s">
        <v>7558</v>
      </c>
      <c r="D24901" s="1" t="s">
        <v>7559</v>
      </c>
    </row>
    <row r="24902">
      <c r="A24902" s="1" t="s">
        <v>38597</v>
      </c>
      <c r="B24902" s="2" t="s">
        <v>38598</v>
      </c>
      <c r="C24902" s="1" t="s">
        <v>7558</v>
      </c>
      <c r="D24902" s="1" t="s">
        <v>7559</v>
      </c>
    </row>
    <row r="24903">
      <c r="A24903" s="1" t="s">
        <v>38599</v>
      </c>
      <c r="B24903" s="2" t="s">
        <v>38600</v>
      </c>
      <c r="C24903" s="1" t="s">
        <v>7558</v>
      </c>
      <c r="D24903" s="1" t="s">
        <v>7559</v>
      </c>
    </row>
    <row r="24904">
      <c r="A24904" s="1" t="s">
        <v>38601</v>
      </c>
      <c r="B24904" s="2" t="s">
        <v>38602</v>
      </c>
      <c r="C24904" s="1" t="s">
        <v>7558</v>
      </c>
      <c r="D24904" s="1" t="s">
        <v>7559</v>
      </c>
    </row>
    <row r="24905">
      <c r="A24905" s="1" t="s">
        <v>38603</v>
      </c>
      <c r="B24905" s="2" t="s">
        <v>36961</v>
      </c>
      <c r="C24905" s="1" t="s">
        <v>7558</v>
      </c>
      <c r="D24905" s="1" t="s">
        <v>7559</v>
      </c>
    </row>
    <row r="24906">
      <c r="A24906" s="1" t="s">
        <v>38604</v>
      </c>
      <c r="B24906" s="2" t="s">
        <v>37215</v>
      </c>
      <c r="C24906" s="1" t="s">
        <v>7558</v>
      </c>
      <c r="D24906" s="1" t="s">
        <v>7559</v>
      </c>
    </row>
    <row r="24907">
      <c r="A24907" s="1" t="s">
        <v>38605</v>
      </c>
      <c r="B24907" s="2" t="s">
        <v>37217</v>
      </c>
      <c r="C24907" s="1" t="s">
        <v>7558</v>
      </c>
      <c r="D24907" s="1" t="s">
        <v>7559</v>
      </c>
    </row>
    <row r="24908">
      <c r="A24908" s="1" t="s">
        <v>38606</v>
      </c>
      <c r="B24908" s="2" t="s">
        <v>37219</v>
      </c>
      <c r="C24908" s="1" t="s">
        <v>7558</v>
      </c>
      <c r="D24908" s="1" t="s">
        <v>7559</v>
      </c>
    </row>
    <row r="24909">
      <c r="A24909" s="1" t="s">
        <v>38607</v>
      </c>
      <c r="B24909" s="2" t="s">
        <v>37221</v>
      </c>
      <c r="C24909" s="1" t="s">
        <v>7558</v>
      </c>
      <c r="D24909" s="1" t="s">
        <v>7559</v>
      </c>
    </row>
    <row r="24910">
      <c r="A24910" s="1" t="s">
        <v>38608</v>
      </c>
      <c r="B24910" s="2" t="s">
        <v>37223</v>
      </c>
      <c r="C24910" s="1" t="s">
        <v>7558</v>
      </c>
      <c r="D24910" s="1" t="s">
        <v>7559</v>
      </c>
    </row>
    <row r="24911">
      <c r="A24911" s="1" t="s">
        <v>38609</v>
      </c>
      <c r="B24911" s="2" t="s">
        <v>37027</v>
      </c>
      <c r="C24911" s="1" t="s">
        <v>7558</v>
      </c>
      <c r="D24911" s="1" t="s">
        <v>7559</v>
      </c>
    </row>
    <row r="24912">
      <c r="A24912" s="1" t="s">
        <v>38610</v>
      </c>
      <c r="B24912" s="2" t="s">
        <v>37226</v>
      </c>
      <c r="C24912" s="1" t="s">
        <v>7558</v>
      </c>
      <c r="D24912" s="1" t="s">
        <v>7559</v>
      </c>
    </row>
    <row r="24913">
      <c r="A24913" s="1" t="s">
        <v>38611</v>
      </c>
      <c r="B24913" s="2" t="s">
        <v>37228</v>
      </c>
      <c r="C24913" s="1" t="s">
        <v>7558</v>
      </c>
      <c r="D24913" s="1" t="s">
        <v>7559</v>
      </c>
    </row>
    <row r="24914">
      <c r="A24914" s="1" t="s">
        <v>38612</v>
      </c>
      <c r="B24914" s="2" t="s">
        <v>37230</v>
      </c>
      <c r="C24914" s="1" t="s">
        <v>7558</v>
      </c>
      <c r="D24914" s="1" t="s">
        <v>7559</v>
      </c>
    </row>
    <row r="24915">
      <c r="A24915" s="1" t="s">
        <v>38613</v>
      </c>
      <c r="B24915" s="2" t="s">
        <v>37232</v>
      </c>
      <c r="C24915" s="1" t="s">
        <v>7558</v>
      </c>
      <c r="D24915" s="1" t="s">
        <v>7559</v>
      </c>
    </row>
    <row r="24916">
      <c r="A24916" s="1" t="s">
        <v>38614</v>
      </c>
      <c r="B24916" s="2" t="s">
        <v>37234</v>
      </c>
      <c r="C24916" s="1" t="s">
        <v>7558</v>
      </c>
      <c r="D24916" s="1" t="s">
        <v>7559</v>
      </c>
    </row>
    <row r="24917">
      <c r="A24917" s="1" t="s">
        <v>38615</v>
      </c>
      <c r="B24917" s="2" t="s">
        <v>38412</v>
      </c>
      <c r="C24917" s="1" t="s">
        <v>7558</v>
      </c>
      <c r="D24917" s="1" t="s">
        <v>7559</v>
      </c>
    </row>
    <row r="24918">
      <c r="A24918" s="1" t="s">
        <v>38616</v>
      </c>
      <c r="B24918" s="2" t="s">
        <v>38617</v>
      </c>
      <c r="C24918" s="1" t="s">
        <v>7558</v>
      </c>
      <c r="D24918" s="1" t="s">
        <v>7559</v>
      </c>
    </row>
    <row r="24919">
      <c r="A24919" s="1" t="s">
        <v>38618</v>
      </c>
      <c r="B24919" s="2" t="s">
        <v>38619</v>
      </c>
      <c r="C24919" s="1" t="s">
        <v>7558</v>
      </c>
      <c r="D24919" s="1" t="s">
        <v>7559</v>
      </c>
    </row>
    <row r="24920">
      <c r="A24920" s="1" t="s">
        <v>38620</v>
      </c>
      <c r="B24920" s="2" t="s">
        <v>38621</v>
      </c>
      <c r="C24920" s="1" t="s">
        <v>7558</v>
      </c>
      <c r="D24920" s="1" t="s">
        <v>7559</v>
      </c>
    </row>
    <row r="24921">
      <c r="A24921" s="1" t="s">
        <v>38622</v>
      </c>
      <c r="B24921" s="2" t="s">
        <v>38623</v>
      </c>
      <c r="C24921" s="1" t="s">
        <v>7558</v>
      </c>
      <c r="D24921" s="1" t="s">
        <v>7559</v>
      </c>
    </row>
    <row r="24922">
      <c r="A24922" s="1" t="s">
        <v>38624</v>
      </c>
      <c r="B24922" s="2" t="s">
        <v>38625</v>
      </c>
      <c r="C24922" s="1" t="s">
        <v>7558</v>
      </c>
      <c r="D24922" s="1" t="s">
        <v>7559</v>
      </c>
    </row>
    <row r="24923">
      <c r="A24923" s="1" t="s">
        <v>38626</v>
      </c>
      <c r="B24923" s="2" t="s">
        <v>37075</v>
      </c>
      <c r="C24923" s="1" t="s">
        <v>7558</v>
      </c>
      <c r="D24923" s="1" t="s">
        <v>7559</v>
      </c>
    </row>
    <row r="24924">
      <c r="A24924" s="1" t="s">
        <v>7560</v>
      </c>
      <c r="B24924" s="2" t="s">
        <v>7</v>
      </c>
      <c r="C24924" s="1" t="s">
        <v>7562</v>
      </c>
      <c r="D24924" s="1" t="s">
        <v>7563</v>
      </c>
    </row>
    <row r="24925">
      <c r="A24925" s="1" t="s">
        <v>38627</v>
      </c>
      <c r="B24925" s="2" t="s">
        <v>37237</v>
      </c>
      <c r="C24925" s="1" t="s">
        <v>7562</v>
      </c>
      <c r="D24925" s="1" t="s">
        <v>7563</v>
      </c>
    </row>
    <row r="24926">
      <c r="A24926" s="1" t="s">
        <v>38628</v>
      </c>
      <c r="B24926" s="2" t="s">
        <v>37239</v>
      </c>
      <c r="C24926" s="1" t="s">
        <v>7562</v>
      </c>
      <c r="D24926" s="1" t="s">
        <v>7563</v>
      </c>
    </row>
    <row r="24927">
      <c r="A24927" s="1" t="s">
        <v>38629</v>
      </c>
      <c r="B24927" s="2" t="s">
        <v>36715</v>
      </c>
      <c r="C24927" s="1" t="s">
        <v>7562</v>
      </c>
      <c r="D24927" s="1" t="s">
        <v>7563</v>
      </c>
    </row>
    <row r="24928">
      <c r="A24928" s="1" t="s">
        <v>38630</v>
      </c>
      <c r="B24928" s="2" t="s">
        <v>37242</v>
      </c>
      <c r="C24928" s="1" t="s">
        <v>7562</v>
      </c>
      <c r="D24928" s="1" t="s">
        <v>7563</v>
      </c>
    </row>
    <row r="24929">
      <c r="A24929" s="1" t="s">
        <v>38631</v>
      </c>
      <c r="B24929" s="2" t="s">
        <v>37244</v>
      </c>
      <c r="C24929" s="1" t="s">
        <v>7562</v>
      </c>
      <c r="D24929" s="1" t="s">
        <v>7563</v>
      </c>
    </row>
    <row r="24930">
      <c r="A24930" s="1" t="s">
        <v>38632</v>
      </c>
      <c r="B24930" s="2" t="s">
        <v>36781</v>
      </c>
      <c r="C24930" s="1" t="s">
        <v>7562</v>
      </c>
      <c r="D24930" s="1" t="s">
        <v>7563</v>
      </c>
    </row>
    <row r="24931">
      <c r="A24931" s="1" t="s">
        <v>38633</v>
      </c>
      <c r="B24931" s="2" t="s">
        <v>37247</v>
      </c>
      <c r="C24931" s="1" t="s">
        <v>7562</v>
      </c>
      <c r="D24931" s="1" t="s">
        <v>7563</v>
      </c>
    </row>
    <row r="24932">
      <c r="A24932" s="1" t="s">
        <v>38634</v>
      </c>
      <c r="B24932" s="2" t="s">
        <v>37249</v>
      </c>
      <c r="C24932" s="1" t="s">
        <v>7562</v>
      </c>
      <c r="D24932" s="1" t="s">
        <v>7563</v>
      </c>
    </row>
    <row r="24933">
      <c r="A24933" s="1" t="s">
        <v>38635</v>
      </c>
      <c r="B24933" s="2" t="s">
        <v>36847</v>
      </c>
      <c r="C24933" s="1" t="s">
        <v>7562</v>
      </c>
      <c r="D24933" s="1" t="s">
        <v>7563</v>
      </c>
    </row>
    <row r="24934">
      <c r="A24934" s="1" t="s">
        <v>38636</v>
      </c>
      <c r="B24934" s="2" t="s">
        <v>37252</v>
      </c>
      <c r="C24934" s="1" t="s">
        <v>7562</v>
      </c>
      <c r="D24934" s="1" t="s">
        <v>7563</v>
      </c>
    </row>
    <row r="24935">
      <c r="A24935" s="1" t="s">
        <v>38637</v>
      </c>
      <c r="B24935" s="2" t="s">
        <v>37254</v>
      </c>
      <c r="C24935" s="1" t="s">
        <v>7562</v>
      </c>
      <c r="D24935" s="1" t="s">
        <v>7563</v>
      </c>
    </row>
    <row r="24936">
      <c r="A24936" s="1" t="s">
        <v>38638</v>
      </c>
      <c r="B24936" s="2" t="s">
        <v>36907</v>
      </c>
      <c r="C24936" s="1" t="s">
        <v>7562</v>
      </c>
      <c r="D24936" s="1" t="s">
        <v>7563</v>
      </c>
    </row>
    <row r="24937">
      <c r="A24937" s="1" t="s">
        <v>38639</v>
      </c>
      <c r="B24937" s="2" t="s">
        <v>37257</v>
      </c>
      <c r="C24937" s="1" t="s">
        <v>7562</v>
      </c>
      <c r="D24937" s="1" t="s">
        <v>7563</v>
      </c>
    </row>
    <row r="24938">
      <c r="A24938" s="1" t="s">
        <v>38640</v>
      </c>
      <c r="B24938" s="2" t="s">
        <v>37259</v>
      </c>
      <c r="C24938" s="1" t="s">
        <v>7562</v>
      </c>
      <c r="D24938" s="1" t="s">
        <v>7563</v>
      </c>
    </row>
    <row r="24939">
      <c r="A24939" s="1" t="s">
        <v>38641</v>
      </c>
      <c r="B24939" s="2" t="s">
        <v>38325</v>
      </c>
      <c r="C24939" s="1" t="s">
        <v>7562</v>
      </c>
      <c r="D24939" s="1" t="s">
        <v>7563</v>
      </c>
    </row>
    <row r="24940">
      <c r="A24940" s="1" t="s">
        <v>38642</v>
      </c>
      <c r="B24940" s="2" t="s">
        <v>38643</v>
      </c>
      <c r="C24940" s="1" t="s">
        <v>7562</v>
      </c>
      <c r="D24940" s="1" t="s">
        <v>7563</v>
      </c>
    </row>
    <row r="24941">
      <c r="A24941" s="1" t="s">
        <v>38644</v>
      </c>
      <c r="B24941" s="2" t="s">
        <v>38645</v>
      </c>
      <c r="C24941" s="1" t="s">
        <v>7562</v>
      </c>
      <c r="D24941" s="1" t="s">
        <v>7563</v>
      </c>
    </row>
    <row r="24942">
      <c r="A24942" s="1" t="s">
        <v>38646</v>
      </c>
      <c r="B24942" s="2" t="s">
        <v>36961</v>
      </c>
      <c r="C24942" s="1" t="s">
        <v>7562</v>
      </c>
      <c r="D24942" s="1" t="s">
        <v>7563</v>
      </c>
    </row>
    <row r="24943">
      <c r="A24943" s="1" t="s">
        <v>38647</v>
      </c>
      <c r="B24943" s="2" t="s">
        <v>37262</v>
      </c>
      <c r="C24943" s="1" t="s">
        <v>7562</v>
      </c>
      <c r="D24943" s="1" t="s">
        <v>7563</v>
      </c>
    </row>
    <row r="24944">
      <c r="A24944" s="1" t="s">
        <v>38648</v>
      </c>
      <c r="B24944" s="2" t="s">
        <v>37264</v>
      </c>
      <c r="C24944" s="1" t="s">
        <v>7562</v>
      </c>
      <c r="D24944" s="1" t="s">
        <v>7563</v>
      </c>
    </row>
    <row r="24945">
      <c r="A24945" s="1" t="s">
        <v>38649</v>
      </c>
      <c r="B24945" s="2" t="s">
        <v>37027</v>
      </c>
      <c r="C24945" s="1" t="s">
        <v>7562</v>
      </c>
      <c r="D24945" s="1" t="s">
        <v>7563</v>
      </c>
    </row>
    <row r="24946">
      <c r="A24946" s="1" t="s">
        <v>38650</v>
      </c>
      <c r="B24946" s="2" t="s">
        <v>37267</v>
      </c>
      <c r="C24946" s="1" t="s">
        <v>7562</v>
      </c>
      <c r="D24946" s="1" t="s">
        <v>7563</v>
      </c>
    </row>
    <row r="24947">
      <c r="A24947" s="1" t="s">
        <v>38651</v>
      </c>
      <c r="B24947" s="2" t="s">
        <v>37269</v>
      </c>
      <c r="C24947" s="1" t="s">
        <v>7562</v>
      </c>
      <c r="D24947" s="1" t="s">
        <v>7563</v>
      </c>
    </row>
    <row r="24948">
      <c r="A24948" s="1" t="s">
        <v>38652</v>
      </c>
      <c r="B24948" s="2" t="s">
        <v>38412</v>
      </c>
      <c r="C24948" s="1" t="s">
        <v>7562</v>
      </c>
      <c r="D24948" s="1" t="s">
        <v>7563</v>
      </c>
    </row>
    <row r="24949">
      <c r="A24949" s="1" t="s">
        <v>38653</v>
      </c>
      <c r="B24949" s="2" t="s">
        <v>38654</v>
      </c>
      <c r="C24949" s="1" t="s">
        <v>7562</v>
      </c>
      <c r="D24949" s="1" t="s">
        <v>7563</v>
      </c>
    </row>
    <row r="24950">
      <c r="A24950" s="1" t="s">
        <v>38655</v>
      </c>
      <c r="B24950" s="2" t="s">
        <v>38656</v>
      </c>
      <c r="C24950" s="1" t="s">
        <v>7562</v>
      </c>
      <c r="D24950" s="1" t="s">
        <v>7563</v>
      </c>
    </row>
    <row r="24951">
      <c r="A24951" s="1" t="s">
        <v>38657</v>
      </c>
      <c r="B24951" s="2" t="s">
        <v>37075</v>
      </c>
      <c r="C24951" s="1" t="s">
        <v>7562</v>
      </c>
      <c r="D24951" s="1" t="s">
        <v>7563</v>
      </c>
    </row>
    <row r="24952">
      <c r="A24952" s="1" t="s">
        <v>7566</v>
      </c>
      <c r="B24952" s="2" t="s">
        <v>7</v>
      </c>
      <c r="C24952" s="1" t="s">
        <v>7567</v>
      </c>
      <c r="D24952" s="1" t="s">
        <v>7569</v>
      </c>
    </row>
    <row r="24953">
      <c r="A24953" s="1" t="s">
        <v>38658</v>
      </c>
      <c r="B24953" s="2" t="s">
        <v>37272</v>
      </c>
      <c r="C24953" s="1" t="s">
        <v>7567</v>
      </c>
      <c r="D24953" s="1" t="s">
        <v>7569</v>
      </c>
    </row>
    <row r="24954">
      <c r="A24954" s="1" t="s">
        <v>38659</v>
      </c>
      <c r="B24954" s="2" t="s">
        <v>6066</v>
      </c>
      <c r="C24954" s="1" t="s">
        <v>7567</v>
      </c>
      <c r="D24954" s="1" t="s">
        <v>7569</v>
      </c>
    </row>
    <row r="24955">
      <c r="A24955" s="1" t="s">
        <v>38660</v>
      </c>
      <c r="B24955" s="2" t="s">
        <v>6069</v>
      </c>
      <c r="C24955" s="1" t="s">
        <v>7567</v>
      </c>
      <c r="D24955" s="1" t="s">
        <v>7569</v>
      </c>
    </row>
    <row r="24956">
      <c r="A24956" s="1" t="s">
        <v>38661</v>
      </c>
      <c r="B24956" s="2" t="s">
        <v>37276</v>
      </c>
      <c r="C24956" s="1" t="s">
        <v>7567</v>
      </c>
      <c r="D24956" s="1" t="s">
        <v>7569</v>
      </c>
    </row>
    <row r="24957">
      <c r="A24957" s="1" t="s">
        <v>38662</v>
      </c>
      <c r="B24957" s="2" t="s">
        <v>36715</v>
      </c>
      <c r="C24957" s="1" t="s">
        <v>7567</v>
      </c>
      <c r="D24957" s="1" t="s">
        <v>7569</v>
      </c>
    </row>
    <row r="24958">
      <c r="A24958" s="1" t="s">
        <v>38663</v>
      </c>
      <c r="B24958" s="2" t="s">
        <v>37279</v>
      </c>
      <c r="C24958" s="1" t="s">
        <v>7567</v>
      </c>
      <c r="D24958" s="1" t="s">
        <v>7569</v>
      </c>
    </row>
    <row r="24959">
      <c r="A24959" s="1" t="s">
        <v>38664</v>
      </c>
      <c r="B24959" s="2" t="s">
        <v>37281</v>
      </c>
      <c r="C24959" s="1" t="s">
        <v>7567</v>
      </c>
      <c r="D24959" s="1" t="s">
        <v>7569</v>
      </c>
    </row>
    <row r="24960">
      <c r="A24960" s="1" t="s">
        <v>38665</v>
      </c>
      <c r="B24960" s="2" t="s">
        <v>37283</v>
      </c>
      <c r="C24960" s="1" t="s">
        <v>7567</v>
      </c>
      <c r="D24960" s="1" t="s">
        <v>7569</v>
      </c>
    </row>
    <row r="24961">
      <c r="A24961" s="1" t="s">
        <v>38666</v>
      </c>
      <c r="B24961" s="2" t="s">
        <v>37285</v>
      </c>
      <c r="C24961" s="1" t="s">
        <v>7567</v>
      </c>
      <c r="D24961" s="1" t="s">
        <v>7569</v>
      </c>
    </row>
    <row r="24962">
      <c r="A24962" s="1" t="s">
        <v>38667</v>
      </c>
      <c r="B24962" s="2" t="s">
        <v>36781</v>
      </c>
      <c r="C24962" s="1" t="s">
        <v>7567</v>
      </c>
      <c r="D24962" s="1" t="s">
        <v>7569</v>
      </c>
    </row>
    <row r="24963">
      <c r="A24963" s="1" t="s">
        <v>38668</v>
      </c>
      <c r="B24963" s="2" t="s">
        <v>37288</v>
      </c>
      <c r="C24963" s="1" t="s">
        <v>7567</v>
      </c>
      <c r="D24963" s="1" t="s">
        <v>7569</v>
      </c>
    </row>
    <row r="24964">
      <c r="A24964" s="1" t="s">
        <v>38669</v>
      </c>
      <c r="B24964" s="2" t="s">
        <v>37290</v>
      </c>
      <c r="C24964" s="1" t="s">
        <v>7567</v>
      </c>
      <c r="D24964" s="1" t="s">
        <v>7569</v>
      </c>
    </row>
    <row r="24965">
      <c r="A24965" s="1" t="s">
        <v>38670</v>
      </c>
      <c r="B24965" s="2" t="s">
        <v>37292</v>
      </c>
      <c r="C24965" s="1" t="s">
        <v>7567</v>
      </c>
      <c r="D24965" s="1" t="s">
        <v>7569</v>
      </c>
    </row>
    <row r="24966">
      <c r="A24966" s="1" t="s">
        <v>38671</v>
      </c>
      <c r="B24966" s="2" t="s">
        <v>37294</v>
      </c>
      <c r="C24966" s="1" t="s">
        <v>7567</v>
      </c>
      <c r="D24966" s="1" t="s">
        <v>7569</v>
      </c>
    </row>
    <row r="24967">
      <c r="A24967" s="1" t="s">
        <v>38672</v>
      </c>
      <c r="B24967" s="2" t="s">
        <v>36847</v>
      </c>
      <c r="C24967" s="1" t="s">
        <v>7567</v>
      </c>
      <c r="D24967" s="1" t="s">
        <v>7569</v>
      </c>
    </row>
    <row r="24968">
      <c r="A24968" s="1" t="s">
        <v>38673</v>
      </c>
      <c r="B24968" s="2" t="s">
        <v>37297</v>
      </c>
      <c r="C24968" s="1" t="s">
        <v>7567</v>
      </c>
      <c r="D24968" s="1" t="s">
        <v>7569</v>
      </c>
    </row>
    <row r="24969">
      <c r="A24969" s="1" t="s">
        <v>38674</v>
      </c>
      <c r="B24969" s="2" t="s">
        <v>37299</v>
      </c>
      <c r="C24969" s="1" t="s">
        <v>7567</v>
      </c>
      <c r="D24969" s="1" t="s">
        <v>7569</v>
      </c>
    </row>
    <row r="24970">
      <c r="A24970" s="1" t="s">
        <v>38675</v>
      </c>
      <c r="B24970" s="2" t="s">
        <v>37301</v>
      </c>
      <c r="C24970" s="1" t="s">
        <v>7567</v>
      </c>
      <c r="D24970" s="1" t="s">
        <v>7569</v>
      </c>
    </row>
    <row r="24971">
      <c r="A24971" s="1" t="s">
        <v>38676</v>
      </c>
      <c r="B24971" s="2" t="s">
        <v>37303</v>
      </c>
      <c r="C24971" s="1" t="s">
        <v>7567</v>
      </c>
      <c r="D24971" s="1" t="s">
        <v>7569</v>
      </c>
    </row>
    <row r="24972">
      <c r="A24972" s="1" t="s">
        <v>38677</v>
      </c>
      <c r="B24972" s="2" t="s">
        <v>36907</v>
      </c>
      <c r="C24972" s="1" t="s">
        <v>7567</v>
      </c>
      <c r="D24972" s="1" t="s">
        <v>7569</v>
      </c>
    </row>
    <row r="24973">
      <c r="A24973" s="1" t="s">
        <v>38678</v>
      </c>
      <c r="B24973" s="2" t="s">
        <v>37306</v>
      </c>
      <c r="C24973" s="1" t="s">
        <v>7567</v>
      </c>
      <c r="D24973" s="1" t="s">
        <v>7569</v>
      </c>
    </row>
    <row r="24974">
      <c r="A24974" s="1" t="s">
        <v>38679</v>
      </c>
      <c r="B24974" s="2" t="s">
        <v>37308</v>
      </c>
      <c r="C24974" s="1" t="s">
        <v>7567</v>
      </c>
      <c r="D24974" s="1" t="s">
        <v>7569</v>
      </c>
    </row>
    <row r="24975">
      <c r="A24975" s="1" t="s">
        <v>38680</v>
      </c>
      <c r="B24975" s="2" t="s">
        <v>37310</v>
      </c>
      <c r="C24975" s="1" t="s">
        <v>7567</v>
      </c>
      <c r="D24975" s="1" t="s">
        <v>7569</v>
      </c>
    </row>
    <row r="24976">
      <c r="A24976" s="1" t="s">
        <v>38681</v>
      </c>
      <c r="B24976" s="2" t="s">
        <v>37312</v>
      </c>
      <c r="C24976" s="1" t="s">
        <v>7567</v>
      </c>
      <c r="D24976" s="1" t="s">
        <v>7569</v>
      </c>
    </row>
    <row r="24977">
      <c r="A24977" s="1" t="s">
        <v>38682</v>
      </c>
      <c r="B24977" s="2" t="s">
        <v>36961</v>
      </c>
      <c r="C24977" s="1" t="s">
        <v>7567</v>
      </c>
      <c r="D24977" s="1" t="s">
        <v>7569</v>
      </c>
    </row>
    <row r="24978">
      <c r="A24978" s="1" t="s">
        <v>38683</v>
      </c>
      <c r="B24978" s="2" t="s">
        <v>37315</v>
      </c>
      <c r="C24978" s="1" t="s">
        <v>7567</v>
      </c>
      <c r="D24978" s="1" t="s">
        <v>7569</v>
      </c>
    </row>
    <row r="24979">
      <c r="A24979" s="1" t="s">
        <v>38684</v>
      </c>
      <c r="B24979" s="2" t="s">
        <v>37317</v>
      </c>
      <c r="C24979" s="1" t="s">
        <v>7567</v>
      </c>
      <c r="D24979" s="1" t="s">
        <v>7569</v>
      </c>
    </row>
    <row r="24980">
      <c r="A24980" s="1" t="s">
        <v>38685</v>
      </c>
      <c r="B24980" s="2" t="s">
        <v>37319</v>
      </c>
      <c r="C24980" s="1" t="s">
        <v>7567</v>
      </c>
      <c r="D24980" s="1" t="s">
        <v>7569</v>
      </c>
    </row>
    <row r="24981">
      <c r="A24981" s="1" t="s">
        <v>38686</v>
      </c>
      <c r="B24981" s="2" t="s">
        <v>37321</v>
      </c>
      <c r="C24981" s="1" t="s">
        <v>7567</v>
      </c>
      <c r="D24981" s="1" t="s">
        <v>7569</v>
      </c>
    </row>
    <row r="24982">
      <c r="A24982" s="1" t="s">
        <v>38687</v>
      </c>
      <c r="B24982" s="2" t="s">
        <v>37027</v>
      </c>
      <c r="C24982" s="1" t="s">
        <v>7567</v>
      </c>
      <c r="D24982" s="1" t="s">
        <v>7569</v>
      </c>
    </row>
    <row r="24983">
      <c r="A24983" s="1" t="s">
        <v>38688</v>
      </c>
      <c r="B24983" s="2" t="s">
        <v>37324</v>
      </c>
      <c r="C24983" s="1" t="s">
        <v>7567</v>
      </c>
      <c r="D24983" s="1" t="s">
        <v>7569</v>
      </c>
    </row>
    <row r="24984">
      <c r="A24984" s="1" t="s">
        <v>38689</v>
      </c>
      <c r="B24984" s="2" t="s">
        <v>37326</v>
      </c>
      <c r="C24984" s="1" t="s">
        <v>7567</v>
      </c>
      <c r="D24984" s="1" t="s">
        <v>7569</v>
      </c>
    </row>
    <row r="24985">
      <c r="A24985" s="1" t="s">
        <v>38690</v>
      </c>
      <c r="B24985" s="2" t="s">
        <v>37328</v>
      </c>
      <c r="C24985" s="1" t="s">
        <v>7567</v>
      </c>
      <c r="D24985" s="1" t="s">
        <v>7569</v>
      </c>
    </row>
    <row r="24986">
      <c r="A24986" s="1" t="s">
        <v>38691</v>
      </c>
      <c r="B24986" s="2" t="s">
        <v>37330</v>
      </c>
      <c r="C24986" s="1" t="s">
        <v>7567</v>
      </c>
      <c r="D24986" s="1" t="s">
        <v>7569</v>
      </c>
    </row>
    <row r="24987">
      <c r="A24987" s="1" t="s">
        <v>38692</v>
      </c>
      <c r="B24987" s="2" t="s">
        <v>38412</v>
      </c>
      <c r="C24987" s="1" t="s">
        <v>7567</v>
      </c>
      <c r="D24987" s="1" t="s">
        <v>7569</v>
      </c>
    </row>
    <row r="24988">
      <c r="A24988" s="1" t="s">
        <v>38693</v>
      </c>
      <c r="B24988" s="2" t="s">
        <v>38694</v>
      </c>
      <c r="C24988" s="1" t="s">
        <v>7567</v>
      </c>
      <c r="D24988" s="1" t="s">
        <v>7569</v>
      </c>
    </row>
    <row r="24989">
      <c r="A24989" s="1" t="s">
        <v>38695</v>
      </c>
      <c r="B24989" s="2" t="s">
        <v>38696</v>
      </c>
      <c r="C24989" s="1" t="s">
        <v>7567</v>
      </c>
      <c r="D24989" s="1" t="s">
        <v>7569</v>
      </c>
    </row>
    <row r="24990">
      <c r="A24990" s="1" t="s">
        <v>38697</v>
      </c>
      <c r="B24990" s="2" t="s">
        <v>38698</v>
      </c>
      <c r="C24990" s="1" t="s">
        <v>7567</v>
      </c>
      <c r="D24990" s="1" t="s">
        <v>7569</v>
      </c>
    </row>
    <row r="24991">
      <c r="A24991" s="1" t="s">
        <v>38699</v>
      </c>
      <c r="B24991" s="2" t="s">
        <v>38700</v>
      </c>
      <c r="C24991" s="1" t="s">
        <v>7567</v>
      </c>
      <c r="D24991" s="1" t="s">
        <v>7569</v>
      </c>
    </row>
    <row r="24992">
      <c r="A24992" s="1" t="s">
        <v>38701</v>
      </c>
      <c r="B24992" s="2" t="s">
        <v>37075</v>
      </c>
      <c r="C24992" s="1" t="s">
        <v>7567</v>
      </c>
      <c r="D24992" s="1" t="s">
        <v>7569</v>
      </c>
    </row>
    <row r="24993">
      <c r="A24993" s="1" t="s">
        <v>7571</v>
      </c>
      <c r="B24993" s="2" t="s">
        <v>7</v>
      </c>
      <c r="C24993" s="1" t="s">
        <v>7572</v>
      </c>
      <c r="D24993" s="1" t="s">
        <v>7573</v>
      </c>
    </row>
    <row r="24994">
      <c r="A24994" s="1" t="s">
        <v>38702</v>
      </c>
      <c r="B24994" s="2" t="s">
        <v>23860</v>
      </c>
      <c r="C24994" s="1" t="s">
        <v>7572</v>
      </c>
      <c r="D24994" s="1" t="s">
        <v>7573</v>
      </c>
    </row>
    <row r="24995">
      <c r="A24995" s="1" t="s">
        <v>38703</v>
      </c>
      <c r="B24995" s="2" t="s">
        <v>23862</v>
      </c>
      <c r="C24995" s="1" t="s">
        <v>7572</v>
      </c>
      <c r="D24995" s="1" t="s">
        <v>7573</v>
      </c>
    </row>
    <row r="24996">
      <c r="A24996" s="1" t="s">
        <v>38704</v>
      </c>
      <c r="B24996" s="2" t="s">
        <v>36715</v>
      </c>
      <c r="C24996" s="1" t="s">
        <v>7572</v>
      </c>
      <c r="D24996" s="1" t="s">
        <v>7573</v>
      </c>
    </row>
    <row r="24997">
      <c r="A24997" s="1" t="s">
        <v>38705</v>
      </c>
      <c r="B24997" s="2" t="s">
        <v>37336</v>
      </c>
      <c r="C24997" s="1" t="s">
        <v>7572</v>
      </c>
      <c r="D24997" s="1" t="s">
        <v>7573</v>
      </c>
    </row>
    <row r="24998">
      <c r="A24998" s="1" t="s">
        <v>38706</v>
      </c>
      <c r="B24998" s="2" t="s">
        <v>37338</v>
      </c>
      <c r="C24998" s="1" t="s">
        <v>7572</v>
      </c>
      <c r="D24998" s="1" t="s">
        <v>7573</v>
      </c>
    </row>
    <row r="24999">
      <c r="A24999" s="1" t="s">
        <v>38707</v>
      </c>
      <c r="B24999" s="2" t="s">
        <v>36781</v>
      </c>
      <c r="C24999" s="1" t="s">
        <v>7572</v>
      </c>
      <c r="D24999" s="1" t="s">
        <v>7573</v>
      </c>
    </row>
    <row r="25000">
      <c r="A25000" s="1" t="s">
        <v>38708</v>
      </c>
      <c r="B25000" s="2" t="s">
        <v>37341</v>
      </c>
      <c r="C25000" s="1" t="s">
        <v>7572</v>
      </c>
      <c r="D25000" s="1" t="s">
        <v>7573</v>
      </c>
    </row>
    <row r="25001">
      <c r="A25001" s="1" t="s">
        <v>38709</v>
      </c>
      <c r="B25001" s="2" t="s">
        <v>37343</v>
      </c>
      <c r="C25001" s="1" t="s">
        <v>7572</v>
      </c>
      <c r="D25001" s="1" t="s">
        <v>7573</v>
      </c>
    </row>
    <row r="25002">
      <c r="A25002" s="1" t="s">
        <v>38710</v>
      </c>
      <c r="B25002" s="2" t="s">
        <v>36847</v>
      </c>
      <c r="C25002" s="1" t="s">
        <v>7572</v>
      </c>
      <c r="D25002" s="1" t="s">
        <v>7573</v>
      </c>
    </row>
    <row r="25003">
      <c r="A25003" s="1" t="s">
        <v>38711</v>
      </c>
      <c r="B25003" s="2" t="s">
        <v>37346</v>
      </c>
      <c r="C25003" s="1" t="s">
        <v>7572</v>
      </c>
      <c r="D25003" s="1" t="s">
        <v>7573</v>
      </c>
    </row>
    <row r="25004">
      <c r="A25004" s="1" t="s">
        <v>38712</v>
      </c>
      <c r="B25004" s="2" t="s">
        <v>37348</v>
      </c>
      <c r="C25004" s="1" t="s">
        <v>7572</v>
      </c>
      <c r="D25004" s="1" t="s">
        <v>7573</v>
      </c>
    </row>
    <row r="25005">
      <c r="A25005" s="1" t="s">
        <v>38713</v>
      </c>
      <c r="B25005" s="2" t="s">
        <v>36907</v>
      </c>
      <c r="C25005" s="1" t="s">
        <v>7572</v>
      </c>
      <c r="D25005" s="1" t="s">
        <v>7573</v>
      </c>
    </row>
    <row r="25006">
      <c r="A25006" s="1" t="s">
        <v>38714</v>
      </c>
      <c r="B25006" s="2" t="s">
        <v>37351</v>
      </c>
      <c r="C25006" s="1" t="s">
        <v>7572</v>
      </c>
      <c r="D25006" s="1" t="s">
        <v>7573</v>
      </c>
    </row>
    <row r="25007">
      <c r="A25007" s="1" t="s">
        <v>38715</v>
      </c>
      <c r="B25007" s="2" t="s">
        <v>37353</v>
      </c>
      <c r="C25007" s="1" t="s">
        <v>7572</v>
      </c>
      <c r="D25007" s="1" t="s">
        <v>7573</v>
      </c>
    </row>
    <row r="25008">
      <c r="A25008" s="1" t="s">
        <v>38716</v>
      </c>
      <c r="B25008" s="2" t="s">
        <v>38325</v>
      </c>
      <c r="C25008" s="1" t="s">
        <v>7572</v>
      </c>
      <c r="D25008" s="1" t="s">
        <v>7573</v>
      </c>
    </row>
    <row r="25009">
      <c r="A25009" s="1" t="s">
        <v>38717</v>
      </c>
      <c r="B25009" s="2" t="s">
        <v>38718</v>
      </c>
      <c r="C25009" s="1" t="s">
        <v>7572</v>
      </c>
      <c r="D25009" s="1" t="s">
        <v>7573</v>
      </c>
    </row>
    <row r="25010">
      <c r="A25010" s="1" t="s">
        <v>38719</v>
      </c>
      <c r="B25010" s="2" t="s">
        <v>38720</v>
      </c>
      <c r="C25010" s="1" t="s">
        <v>7572</v>
      </c>
      <c r="D25010" s="1" t="s">
        <v>7573</v>
      </c>
    </row>
    <row r="25011">
      <c r="A25011" s="1" t="s">
        <v>38721</v>
      </c>
      <c r="B25011" s="2" t="s">
        <v>36961</v>
      </c>
      <c r="C25011" s="1" t="s">
        <v>7572</v>
      </c>
      <c r="D25011" s="1" t="s">
        <v>7573</v>
      </c>
    </row>
    <row r="25012">
      <c r="A25012" s="1" t="s">
        <v>38722</v>
      </c>
      <c r="B25012" s="2" t="s">
        <v>37356</v>
      </c>
      <c r="C25012" s="1" t="s">
        <v>7572</v>
      </c>
      <c r="D25012" s="1" t="s">
        <v>7573</v>
      </c>
    </row>
    <row r="25013">
      <c r="A25013" s="1" t="s">
        <v>38723</v>
      </c>
      <c r="B25013" s="2" t="s">
        <v>37358</v>
      </c>
      <c r="C25013" s="1" t="s">
        <v>7572</v>
      </c>
      <c r="D25013" s="1" t="s">
        <v>7573</v>
      </c>
    </row>
    <row r="25014">
      <c r="A25014" s="1" t="s">
        <v>38724</v>
      </c>
      <c r="B25014" s="2" t="s">
        <v>37027</v>
      </c>
      <c r="C25014" s="1" t="s">
        <v>7572</v>
      </c>
      <c r="D25014" s="1" t="s">
        <v>7573</v>
      </c>
    </row>
    <row r="25015">
      <c r="A25015" s="1" t="s">
        <v>38725</v>
      </c>
      <c r="B25015" s="2" t="s">
        <v>37361</v>
      </c>
      <c r="C25015" s="1" t="s">
        <v>7572</v>
      </c>
      <c r="D25015" s="1" t="s">
        <v>7573</v>
      </c>
    </row>
    <row r="25016">
      <c r="A25016" s="1" t="s">
        <v>38726</v>
      </c>
      <c r="B25016" s="2" t="s">
        <v>37363</v>
      </c>
      <c r="C25016" s="1" t="s">
        <v>7572</v>
      </c>
      <c r="D25016" s="1" t="s">
        <v>7573</v>
      </c>
    </row>
    <row r="25017">
      <c r="A25017" s="1" t="s">
        <v>38727</v>
      </c>
      <c r="B25017" s="2" t="s">
        <v>38412</v>
      </c>
      <c r="C25017" s="1" t="s">
        <v>7572</v>
      </c>
      <c r="D25017" s="1" t="s">
        <v>7573</v>
      </c>
    </row>
    <row r="25018">
      <c r="A25018" s="1" t="s">
        <v>38728</v>
      </c>
      <c r="B25018" s="2" t="s">
        <v>38729</v>
      </c>
      <c r="C25018" s="1" t="s">
        <v>7572</v>
      </c>
      <c r="D25018" s="1" t="s">
        <v>7573</v>
      </c>
    </row>
    <row r="25019">
      <c r="A25019" s="1" t="s">
        <v>38730</v>
      </c>
      <c r="B25019" s="2" t="s">
        <v>38731</v>
      </c>
      <c r="C25019" s="1" t="s">
        <v>7572</v>
      </c>
      <c r="D25019" s="1" t="s">
        <v>7573</v>
      </c>
    </row>
    <row r="25020">
      <c r="A25020" s="1" t="s">
        <v>38732</v>
      </c>
      <c r="B25020" s="2" t="s">
        <v>37075</v>
      </c>
      <c r="C25020" s="1" t="s">
        <v>7572</v>
      </c>
      <c r="D25020" s="1" t="s">
        <v>7573</v>
      </c>
    </row>
    <row r="25021">
      <c r="A25021" s="1" t="s">
        <v>7576</v>
      </c>
      <c r="B25021" s="2" t="s">
        <v>7</v>
      </c>
      <c r="C25021" s="1" t="s">
        <v>7578</v>
      </c>
      <c r="D25021" s="1" t="s">
        <v>7580</v>
      </c>
    </row>
    <row r="25022">
      <c r="A25022" s="1" t="s">
        <v>38733</v>
      </c>
      <c r="B25022" s="2" t="s">
        <v>37366</v>
      </c>
      <c r="C25022" s="1" t="s">
        <v>7578</v>
      </c>
      <c r="D25022" s="1" t="s">
        <v>7580</v>
      </c>
    </row>
    <row r="25023">
      <c r="A25023" s="1" t="s">
        <v>38734</v>
      </c>
      <c r="B25023" s="2" t="s">
        <v>37368</v>
      </c>
      <c r="C25023" s="1" t="s">
        <v>7578</v>
      </c>
      <c r="D25023" s="1" t="s">
        <v>7580</v>
      </c>
    </row>
    <row r="25024">
      <c r="A25024" s="1" t="s">
        <v>38735</v>
      </c>
      <c r="B25024" s="2" t="s">
        <v>37370</v>
      </c>
      <c r="C25024" s="1" t="s">
        <v>7578</v>
      </c>
      <c r="D25024" s="1" t="s">
        <v>7580</v>
      </c>
    </row>
    <row r="25025">
      <c r="A25025" s="1" t="s">
        <v>38736</v>
      </c>
      <c r="B25025" s="2" t="s">
        <v>37372</v>
      </c>
      <c r="C25025" s="1" t="s">
        <v>7578</v>
      </c>
      <c r="D25025" s="1" t="s">
        <v>7580</v>
      </c>
    </row>
    <row r="25026">
      <c r="A25026" s="1" t="s">
        <v>38737</v>
      </c>
      <c r="B25026" s="2" t="s">
        <v>37374</v>
      </c>
      <c r="C25026" s="1" t="s">
        <v>7578</v>
      </c>
      <c r="D25026" s="1" t="s">
        <v>7580</v>
      </c>
    </row>
    <row r="25027">
      <c r="A25027" s="1" t="s">
        <v>38738</v>
      </c>
      <c r="B25027" s="2" t="s">
        <v>37376</v>
      </c>
      <c r="C25027" s="1" t="s">
        <v>7578</v>
      </c>
      <c r="D25027" s="1" t="s">
        <v>7580</v>
      </c>
    </row>
    <row r="25028">
      <c r="A25028" s="1" t="s">
        <v>38739</v>
      </c>
      <c r="B25028" s="2" t="s">
        <v>37378</v>
      </c>
      <c r="C25028" s="1" t="s">
        <v>7578</v>
      </c>
      <c r="D25028" s="1" t="s">
        <v>7580</v>
      </c>
    </row>
    <row r="25029">
      <c r="A25029" s="1" t="s">
        <v>38740</v>
      </c>
      <c r="B25029" s="2" t="s">
        <v>37380</v>
      </c>
      <c r="C25029" s="1" t="s">
        <v>7578</v>
      </c>
      <c r="D25029" s="1" t="s">
        <v>7580</v>
      </c>
    </row>
    <row r="25030">
      <c r="A25030" s="1" t="s">
        <v>38741</v>
      </c>
      <c r="B25030" s="2" t="s">
        <v>37382</v>
      </c>
      <c r="C25030" s="1" t="s">
        <v>7578</v>
      </c>
      <c r="D25030" s="1" t="s">
        <v>7580</v>
      </c>
    </row>
    <row r="25031">
      <c r="A25031" s="1" t="s">
        <v>38742</v>
      </c>
      <c r="B25031" s="2" t="s">
        <v>37384</v>
      </c>
      <c r="C25031" s="1" t="s">
        <v>7578</v>
      </c>
      <c r="D25031" s="1" t="s">
        <v>7580</v>
      </c>
    </row>
    <row r="25032">
      <c r="A25032" s="1" t="s">
        <v>38743</v>
      </c>
      <c r="B25032" s="2" t="s">
        <v>37386</v>
      </c>
      <c r="C25032" s="1" t="s">
        <v>7578</v>
      </c>
      <c r="D25032" s="1" t="s">
        <v>7580</v>
      </c>
    </row>
    <row r="25033">
      <c r="A25033" s="1" t="s">
        <v>38744</v>
      </c>
      <c r="B25033" s="2" t="s">
        <v>36715</v>
      </c>
      <c r="C25033" s="1" t="s">
        <v>7578</v>
      </c>
      <c r="D25033" s="1" t="s">
        <v>7580</v>
      </c>
    </row>
    <row r="25034">
      <c r="A25034" s="1" t="s">
        <v>38745</v>
      </c>
      <c r="B25034" s="2" t="s">
        <v>37389</v>
      </c>
      <c r="C25034" s="1" t="s">
        <v>7578</v>
      </c>
      <c r="D25034" s="1" t="s">
        <v>7580</v>
      </c>
    </row>
    <row r="25035">
      <c r="A25035" s="1" t="s">
        <v>38746</v>
      </c>
      <c r="B25035" s="2" t="s">
        <v>37391</v>
      </c>
      <c r="C25035" s="1" t="s">
        <v>7578</v>
      </c>
      <c r="D25035" s="1" t="s">
        <v>7580</v>
      </c>
    </row>
    <row r="25036">
      <c r="A25036" s="1" t="s">
        <v>38747</v>
      </c>
      <c r="B25036" s="2" t="s">
        <v>37393</v>
      </c>
      <c r="C25036" s="1" t="s">
        <v>7578</v>
      </c>
      <c r="D25036" s="1" t="s">
        <v>7580</v>
      </c>
    </row>
    <row r="25037">
      <c r="A25037" s="1" t="s">
        <v>38748</v>
      </c>
      <c r="B25037" s="2" t="s">
        <v>37395</v>
      </c>
      <c r="C25037" s="1" t="s">
        <v>7578</v>
      </c>
      <c r="D25037" s="1" t="s">
        <v>7580</v>
      </c>
    </row>
    <row r="25038">
      <c r="A25038" s="1" t="s">
        <v>38749</v>
      </c>
      <c r="B25038" s="2" t="s">
        <v>37397</v>
      </c>
      <c r="C25038" s="1" t="s">
        <v>7578</v>
      </c>
      <c r="D25038" s="1" t="s">
        <v>7580</v>
      </c>
    </row>
    <row r="25039">
      <c r="A25039" s="1" t="s">
        <v>38750</v>
      </c>
      <c r="B25039" s="2" t="s">
        <v>37399</v>
      </c>
      <c r="C25039" s="1" t="s">
        <v>7578</v>
      </c>
      <c r="D25039" s="1" t="s">
        <v>7580</v>
      </c>
    </row>
    <row r="25040">
      <c r="A25040" s="1" t="s">
        <v>38751</v>
      </c>
      <c r="B25040" s="2" t="s">
        <v>37401</v>
      </c>
      <c r="C25040" s="1" t="s">
        <v>7578</v>
      </c>
      <c r="D25040" s="1" t="s">
        <v>7580</v>
      </c>
    </row>
    <row r="25041">
      <c r="A25041" s="1" t="s">
        <v>38752</v>
      </c>
      <c r="B25041" s="2" t="s">
        <v>37403</v>
      </c>
      <c r="C25041" s="1" t="s">
        <v>7578</v>
      </c>
      <c r="D25041" s="1" t="s">
        <v>7580</v>
      </c>
    </row>
    <row r="25042">
      <c r="A25042" s="1" t="s">
        <v>38753</v>
      </c>
      <c r="B25042" s="2" t="s">
        <v>37405</v>
      </c>
      <c r="C25042" s="1" t="s">
        <v>7578</v>
      </c>
      <c r="D25042" s="1" t="s">
        <v>7580</v>
      </c>
    </row>
    <row r="25043">
      <c r="A25043" s="1" t="s">
        <v>38754</v>
      </c>
      <c r="B25043" s="2" t="s">
        <v>37407</v>
      </c>
      <c r="C25043" s="1" t="s">
        <v>7578</v>
      </c>
      <c r="D25043" s="1" t="s">
        <v>7580</v>
      </c>
    </row>
    <row r="25044">
      <c r="A25044" s="1" t="s">
        <v>38755</v>
      </c>
      <c r="B25044" s="2" t="s">
        <v>37409</v>
      </c>
      <c r="C25044" s="1" t="s">
        <v>7578</v>
      </c>
      <c r="D25044" s="1" t="s">
        <v>7580</v>
      </c>
    </row>
    <row r="25045">
      <c r="A25045" s="1" t="s">
        <v>38756</v>
      </c>
      <c r="B25045" s="2" t="s">
        <v>36781</v>
      </c>
      <c r="C25045" s="1" t="s">
        <v>7578</v>
      </c>
      <c r="D25045" s="1" t="s">
        <v>7580</v>
      </c>
    </row>
    <row r="25046">
      <c r="A25046" s="1" t="s">
        <v>38757</v>
      </c>
      <c r="B25046" s="2" t="s">
        <v>37412</v>
      </c>
      <c r="C25046" s="1" t="s">
        <v>7578</v>
      </c>
      <c r="D25046" s="1" t="s">
        <v>7580</v>
      </c>
    </row>
    <row r="25047">
      <c r="A25047" s="1" t="s">
        <v>38758</v>
      </c>
      <c r="B25047" s="2" t="s">
        <v>37414</v>
      </c>
      <c r="C25047" s="1" t="s">
        <v>7578</v>
      </c>
      <c r="D25047" s="1" t="s">
        <v>7580</v>
      </c>
    </row>
    <row r="25048">
      <c r="A25048" s="1" t="s">
        <v>38759</v>
      </c>
      <c r="B25048" s="2" t="s">
        <v>37416</v>
      </c>
      <c r="C25048" s="1" t="s">
        <v>7578</v>
      </c>
      <c r="D25048" s="1" t="s">
        <v>7580</v>
      </c>
    </row>
    <row r="25049">
      <c r="A25049" s="1" t="s">
        <v>38760</v>
      </c>
      <c r="B25049" s="2" t="s">
        <v>37418</v>
      </c>
      <c r="C25049" s="1" t="s">
        <v>7578</v>
      </c>
      <c r="D25049" s="1" t="s">
        <v>7580</v>
      </c>
    </row>
    <row r="25050">
      <c r="A25050" s="1" t="s">
        <v>38761</v>
      </c>
      <c r="B25050" s="2" t="s">
        <v>37420</v>
      </c>
      <c r="C25050" s="1" t="s">
        <v>7578</v>
      </c>
      <c r="D25050" s="1" t="s">
        <v>7580</v>
      </c>
    </row>
    <row r="25051">
      <c r="A25051" s="1" t="s">
        <v>38762</v>
      </c>
      <c r="B25051" s="2" t="s">
        <v>37422</v>
      </c>
      <c r="C25051" s="1" t="s">
        <v>7578</v>
      </c>
      <c r="D25051" s="1" t="s">
        <v>7580</v>
      </c>
    </row>
    <row r="25052">
      <c r="A25052" s="1" t="s">
        <v>38763</v>
      </c>
      <c r="B25052" s="2" t="s">
        <v>37424</v>
      </c>
      <c r="C25052" s="1" t="s">
        <v>7578</v>
      </c>
      <c r="D25052" s="1" t="s">
        <v>7580</v>
      </c>
    </row>
    <row r="25053">
      <c r="A25053" s="1" t="s">
        <v>38764</v>
      </c>
      <c r="B25053" s="2" t="s">
        <v>37426</v>
      </c>
      <c r="C25053" s="1" t="s">
        <v>7578</v>
      </c>
      <c r="D25053" s="1" t="s">
        <v>7580</v>
      </c>
    </row>
    <row r="25054">
      <c r="A25054" s="1" t="s">
        <v>38765</v>
      </c>
      <c r="B25054" s="2" t="s">
        <v>37428</v>
      </c>
      <c r="C25054" s="1" t="s">
        <v>7578</v>
      </c>
      <c r="D25054" s="1" t="s">
        <v>7580</v>
      </c>
    </row>
    <row r="25055">
      <c r="A25055" s="1" t="s">
        <v>38766</v>
      </c>
      <c r="B25055" s="2" t="s">
        <v>37430</v>
      </c>
      <c r="C25055" s="1" t="s">
        <v>7578</v>
      </c>
      <c r="D25055" s="1" t="s">
        <v>7580</v>
      </c>
    </row>
    <row r="25056">
      <c r="A25056" s="1" t="s">
        <v>38767</v>
      </c>
      <c r="B25056" s="2" t="s">
        <v>37432</v>
      </c>
      <c r="C25056" s="1" t="s">
        <v>7578</v>
      </c>
      <c r="D25056" s="1" t="s">
        <v>7580</v>
      </c>
    </row>
    <row r="25057">
      <c r="A25057" s="1" t="s">
        <v>38768</v>
      </c>
      <c r="B25057" s="2" t="s">
        <v>36847</v>
      </c>
      <c r="C25057" s="1" t="s">
        <v>7578</v>
      </c>
      <c r="D25057" s="1" t="s">
        <v>7580</v>
      </c>
    </row>
    <row r="25058">
      <c r="A25058" s="1" t="s">
        <v>38769</v>
      </c>
      <c r="B25058" s="2" t="s">
        <v>37435</v>
      </c>
      <c r="C25058" s="1" t="s">
        <v>7578</v>
      </c>
      <c r="D25058" s="1" t="s">
        <v>7580</v>
      </c>
    </row>
    <row r="25059">
      <c r="A25059" s="1" t="s">
        <v>38770</v>
      </c>
      <c r="B25059" s="2" t="s">
        <v>37437</v>
      </c>
      <c r="C25059" s="1" t="s">
        <v>7578</v>
      </c>
      <c r="D25059" s="1" t="s">
        <v>7580</v>
      </c>
    </row>
    <row r="25060">
      <c r="A25060" s="1" t="s">
        <v>38771</v>
      </c>
      <c r="B25060" s="2" t="s">
        <v>37439</v>
      </c>
      <c r="C25060" s="1" t="s">
        <v>7578</v>
      </c>
      <c r="D25060" s="1" t="s">
        <v>7580</v>
      </c>
    </row>
    <row r="25061">
      <c r="A25061" s="1" t="s">
        <v>38772</v>
      </c>
      <c r="B25061" s="2" t="s">
        <v>37441</v>
      </c>
      <c r="C25061" s="1" t="s">
        <v>7578</v>
      </c>
      <c r="D25061" s="1" t="s">
        <v>7580</v>
      </c>
    </row>
    <row r="25062">
      <c r="A25062" s="1" t="s">
        <v>38773</v>
      </c>
      <c r="B25062" s="2" t="s">
        <v>37443</v>
      </c>
      <c r="C25062" s="1" t="s">
        <v>7578</v>
      </c>
      <c r="D25062" s="1" t="s">
        <v>7580</v>
      </c>
    </row>
    <row r="25063">
      <c r="A25063" s="1" t="s">
        <v>38774</v>
      </c>
      <c r="B25063" s="2" t="s">
        <v>37445</v>
      </c>
      <c r="C25063" s="1" t="s">
        <v>7578</v>
      </c>
      <c r="D25063" s="1" t="s">
        <v>7580</v>
      </c>
    </row>
    <row r="25064">
      <c r="A25064" s="1" t="s">
        <v>38775</v>
      </c>
      <c r="B25064" s="2" t="s">
        <v>37447</v>
      </c>
      <c r="C25064" s="1" t="s">
        <v>7578</v>
      </c>
      <c r="D25064" s="1" t="s">
        <v>7580</v>
      </c>
    </row>
    <row r="25065">
      <c r="A25065" s="1" t="s">
        <v>38776</v>
      </c>
      <c r="B25065" s="2" t="s">
        <v>37449</v>
      </c>
      <c r="C25065" s="1" t="s">
        <v>7578</v>
      </c>
      <c r="D25065" s="1" t="s">
        <v>7580</v>
      </c>
    </row>
    <row r="25066">
      <c r="A25066" s="1" t="s">
        <v>38777</v>
      </c>
      <c r="B25066" s="2" t="s">
        <v>37451</v>
      </c>
      <c r="C25066" s="1" t="s">
        <v>7578</v>
      </c>
      <c r="D25066" s="1" t="s">
        <v>7580</v>
      </c>
    </row>
    <row r="25067">
      <c r="A25067" s="1" t="s">
        <v>38778</v>
      </c>
      <c r="B25067" s="2" t="s">
        <v>37453</v>
      </c>
      <c r="C25067" s="1" t="s">
        <v>7578</v>
      </c>
      <c r="D25067" s="1" t="s">
        <v>7580</v>
      </c>
    </row>
    <row r="25068">
      <c r="A25068" s="1" t="s">
        <v>38779</v>
      </c>
      <c r="B25068" s="2" t="s">
        <v>37455</v>
      </c>
      <c r="C25068" s="1" t="s">
        <v>7578</v>
      </c>
      <c r="D25068" s="1" t="s">
        <v>7580</v>
      </c>
    </row>
    <row r="25069">
      <c r="A25069" s="1" t="s">
        <v>38780</v>
      </c>
      <c r="B25069" s="2" t="s">
        <v>36907</v>
      </c>
      <c r="C25069" s="1" t="s">
        <v>7578</v>
      </c>
      <c r="D25069" s="1" t="s">
        <v>7580</v>
      </c>
    </row>
    <row r="25070">
      <c r="A25070" s="1" t="s">
        <v>38781</v>
      </c>
      <c r="B25070" s="2" t="s">
        <v>37458</v>
      </c>
      <c r="C25070" s="1" t="s">
        <v>7578</v>
      </c>
      <c r="D25070" s="1" t="s">
        <v>7580</v>
      </c>
    </row>
    <row r="25071">
      <c r="A25071" s="1" t="s">
        <v>38782</v>
      </c>
      <c r="B25071" s="2" t="s">
        <v>37460</v>
      </c>
      <c r="C25071" s="1" t="s">
        <v>7578</v>
      </c>
      <c r="D25071" s="1" t="s">
        <v>7580</v>
      </c>
    </row>
    <row r="25072">
      <c r="A25072" s="1" t="s">
        <v>38783</v>
      </c>
      <c r="B25072" s="2" t="s">
        <v>37462</v>
      </c>
      <c r="C25072" s="1" t="s">
        <v>7578</v>
      </c>
      <c r="D25072" s="1" t="s">
        <v>7580</v>
      </c>
    </row>
    <row r="25073">
      <c r="A25073" s="1" t="s">
        <v>38784</v>
      </c>
      <c r="B25073" s="2" t="s">
        <v>37464</v>
      </c>
      <c r="C25073" s="1" t="s">
        <v>7578</v>
      </c>
      <c r="D25073" s="1" t="s">
        <v>7580</v>
      </c>
    </row>
    <row r="25074">
      <c r="A25074" s="1" t="s">
        <v>38785</v>
      </c>
      <c r="B25074" s="2" t="s">
        <v>37466</v>
      </c>
      <c r="C25074" s="1" t="s">
        <v>7578</v>
      </c>
      <c r="D25074" s="1" t="s">
        <v>7580</v>
      </c>
    </row>
    <row r="25075">
      <c r="A25075" s="1" t="s">
        <v>38786</v>
      </c>
      <c r="B25075" s="2" t="s">
        <v>37468</v>
      </c>
      <c r="C25075" s="1" t="s">
        <v>7578</v>
      </c>
      <c r="D25075" s="1" t="s">
        <v>7580</v>
      </c>
    </row>
    <row r="25076">
      <c r="A25076" s="1" t="s">
        <v>38787</v>
      </c>
      <c r="B25076" s="2" t="s">
        <v>37470</v>
      </c>
      <c r="C25076" s="1" t="s">
        <v>7578</v>
      </c>
      <c r="D25076" s="1" t="s">
        <v>7580</v>
      </c>
    </row>
    <row r="25077">
      <c r="A25077" s="1" t="s">
        <v>38788</v>
      </c>
      <c r="B25077" s="2" t="s">
        <v>37472</v>
      </c>
      <c r="C25077" s="1" t="s">
        <v>7578</v>
      </c>
      <c r="D25077" s="1" t="s">
        <v>7580</v>
      </c>
    </row>
    <row r="25078">
      <c r="A25078" s="1" t="s">
        <v>38789</v>
      </c>
      <c r="B25078" s="2" t="s">
        <v>38325</v>
      </c>
      <c r="C25078" s="1" t="s">
        <v>7578</v>
      </c>
      <c r="D25078" s="1" t="s">
        <v>7580</v>
      </c>
    </row>
    <row r="25079">
      <c r="A25079" s="1" t="s">
        <v>38790</v>
      </c>
      <c r="B25079" s="2" t="s">
        <v>38791</v>
      </c>
      <c r="C25079" s="1" t="s">
        <v>7578</v>
      </c>
      <c r="D25079" s="1" t="s">
        <v>7580</v>
      </c>
    </row>
    <row r="25080">
      <c r="A25080" s="1" t="s">
        <v>38792</v>
      </c>
      <c r="B25080" s="2" t="s">
        <v>38793</v>
      </c>
      <c r="C25080" s="1" t="s">
        <v>7578</v>
      </c>
      <c r="D25080" s="1" t="s">
        <v>7580</v>
      </c>
    </row>
    <row r="25081">
      <c r="A25081" s="1" t="s">
        <v>38794</v>
      </c>
      <c r="B25081" s="2" t="s">
        <v>38795</v>
      </c>
      <c r="C25081" s="1" t="s">
        <v>7578</v>
      </c>
      <c r="D25081" s="1" t="s">
        <v>7580</v>
      </c>
    </row>
    <row r="25082">
      <c r="A25082" s="1" t="s">
        <v>38796</v>
      </c>
      <c r="B25082" s="2" t="s">
        <v>38797</v>
      </c>
      <c r="C25082" s="1" t="s">
        <v>7578</v>
      </c>
      <c r="D25082" s="1" t="s">
        <v>7580</v>
      </c>
    </row>
    <row r="25083">
      <c r="A25083" s="1" t="s">
        <v>38798</v>
      </c>
      <c r="B25083" s="2" t="s">
        <v>38799</v>
      </c>
      <c r="C25083" s="1" t="s">
        <v>7578</v>
      </c>
      <c r="D25083" s="1" t="s">
        <v>7580</v>
      </c>
    </row>
    <row r="25084">
      <c r="A25084" s="1" t="s">
        <v>38800</v>
      </c>
      <c r="B25084" s="2" t="s">
        <v>38801</v>
      </c>
      <c r="C25084" s="1" t="s">
        <v>7578</v>
      </c>
      <c r="D25084" s="1" t="s">
        <v>7580</v>
      </c>
    </row>
    <row r="25085">
      <c r="A25085" s="1" t="s">
        <v>38802</v>
      </c>
      <c r="B25085" s="2" t="s">
        <v>38803</v>
      </c>
      <c r="C25085" s="1" t="s">
        <v>7578</v>
      </c>
      <c r="D25085" s="1" t="s">
        <v>7580</v>
      </c>
    </row>
    <row r="25086">
      <c r="A25086" s="1" t="s">
        <v>38804</v>
      </c>
      <c r="B25086" s="2" t="s">
        <v>38805</v>
      </c>
      <c r="C25086" s="1" t="s">
        <v>7578</v>
      </c>
      <c r="D25086" s="1" t="s">
        <v>7580</v>
      </c>
    </row>
    <row r="25087">
      <c r="A25087" s="1" t="s">
        <v>38806</v>
      </c>
      <c r="B25087" s="2" t="s">
        <v>36961</v>
      </c>
      <c r="C25087" s="1" t="s">
        <v>7578</v>
      </c>
      <c r="D25087" s="1" t="s">
        <v>7580</v>
      </c>
    </row>
    <row r="25088">
      <c r="A25088" s="1" t="s">
        <v>38807</v>
      </c>
      <c r="B25088" s="2" t="s">
        <v>37475</v>
      </c>
      <c r="C25088" s="1" t="s">
        <v>7578</v>
      </c>
      <c r="D25088" s="1" t="s">
        <v>7580</v>
      </c>
    </row>
    <row r="25089">
      <c r="A25089" s="1" t="s">
        <v>38808</v>
      </c>
      <c r="B25089" s="2" t="s">
        <v>37477</v>
      </c>
      <c r="C25089" s="1" t="s">
        <v>7578</v>
      </c>
      <c r="D25089" s="1" t="s">
        <v>7580</v>
      </c>
    </row>
    <row r="25090">
      <c r="A25090" s="1" t="s">
        <v>38809</v>
      </c>
      <c r="B25090" s="2" t="s">
        <v>37479</v>
      </c>
      <c r="C25090" s="1" t="s">
        <v>7578</v>
      </c>
      <c r="D25090" s="1" t="s">
        <v>7580</v>
      </c>
    </row>
    <row r="25091">
      <c r="A25091" s="1" t="s">
        <v>38810</v>
      </c>
      <c r="B25091" s="2" t="s">
        <v>37481</v>
      </c>
      <c r="C25091" s="1" t="s">
        <v>7578</v>
      </c>
      <c r="D25091" s="1" t="s">
        <v>7580</v>
      </c>
    </row>
    <row r="25092">
      <c r="A25092" s="1" t="s">
        <v>38811</v>
      </c>
      <c r="B25092" s="2" t="s">
        <v>37483</v>
      </c>
      <c r="C25092" s="1" t="s">
        <v>7578</v>
      </c>
      <c r="D25092" s="1" t="s">
        <v>7580</v>
      </c>
    </row>
    <row r="25093">
      <c r="A25093" s="1" t="s">
        <v>38812</v>
      </c>
      <c r="B25093" s="2" t="s">
        <v>37485</v>
      </c>
      <c r="C25093" s="1" t="s">
        <v>7578</v>
      </c>
      <c r="D25093" s="1" t="s">
        <v>7580</v>
      </c>
    </row>
    <row r="25094">
      <c r="A25094" s="1" t="s">
        <v>38813</v>
      </c>
      <c r="B25094" s="2" t="s">
        <v>37487</v>
      </c>
      <c r="C25094" s="1" t="s">
        <v>7578</v>
      </c>
      <c r="D25094" s="1" t="s">
        <v>7580</v>
      </c>
    </row>
    <row r="25095">
      <c r="A25095" s="1" t="s">
        <v>38814</v>
      </c>
      <c r="B25095" s="2" t="s">
        <v>37489</v>
      </c>
      <c r="C25095" s="1" t="s">
        <v>7578</v>
      </c>
      <c r="D25095" s="1" t="s">
        <v>7580</v>
      </c>
    </row>
    <row r="25096">
      <c r="A25096" s="1" t="s">
        <v>38815</v>
      </c>
      <c r="B25096" s="2" t="s">
        <v>37491</v>
      </c>
      <c r="C25096" s="1" t="s">
        <v>7578</v>
      </c>
      <c r="D25096" s="1" t="s">
        <v>7580</v>
      </c>
    </row>
    <row r="25097">
      <c r="A25097" s="1" t="s">
        <v>38816</v>
      </c>
      <c r="B25097" s="2" t="s">
        <v>37493</v>
      </c>
      <c r="C25097" s="1" t="s">
        <v>7578</v>
      </c>
      <c r="D25097" s="1" t="s">
        <v>7580</v>
      </c>
    </row>
    <row r="25098">
      <c r="A25098" s="1" t="s">
        <v>38817</v>
      </c>
      <c r="B25098" s="2" t="s">
        <v>37495</v>
      </c>
      <c r="C25098" s="1" t="s">
        <v>7578</v>
      </c>
      <c r="D25098" s="1" t="s">
        <v>7580</v>
      </c>
    </row>
    <row r="25099">
      <c r="A25099" s="1" t="s">
        <v>38818</v>
      </c>
      <c r="B25099" s="2" t="s">
        <v>37027</v>
      </c>
      <c r="C25099" s="1" t="s">
        <v>7578</v>
      </c>
      <c r="D25099" s="1" t="s">
        <v>7580</v>
      </c>
    </row>
    <row r="25100">
      <c r="A25100" s="1" t="s">
        <v>38819</v>
      </c>
      <c r="B25100" s="2" t="s">
        <v>37498</v>
      </c>
      <c r="C25100" s="1" t="s">
        <v>7578</v>
      </c>
      <c r="D25100" s="1" t="s">
        <v>7580</v>
      </c>
    </row>
    <row r="25101">
      <c r="A25101" s="1" t="s">
        <v>38820</v>
      </c>
      <c r="B25101" s="2" t="s">
        <v>37500</v>
      </c>
      <c r="C25101" s="1" t="s">
        <v>7578</v>
      </c>
      <c r="D25101" s="1" t="s">
        <v>7580</v>
      </c>
    </row>
    <row r="25102">
      <c r="A25102" s="1" t="s">
        <v>38821</v>
      </c>
      <c r="B25102" s="2" t="s">
        <v>37502</v>
      </c>
      <c r="C25102" s="1" t="s">
        <v>7578</v>
      </c>
      <c r="D25102" s="1" t="s">
        <v>7580</v>
      </c>
    </row>
    <row r="25103">
      <c r="A25103" s="1" t="s">
        <v>38822</v>
      </c>
      <c r="B25103" s="2" t="s">
        <v>37504</v>
      </c>
      <c r="C25103" s="1" t="s">
        <v>7578</v>
      </c>
      <c r="D25103" s="1" t="s">
        <v>7580</v>
      </c>
    </row>
    <row r="25104">
      <c r="A25104" s="1" t="s">
        <v>38823</v>
      </c>
      <c r="B25104" s="2" t="s">
        <v>37506</v>
      </c>
      <c r="C25104" s="1" t="s">
        <v>7578</v>
      </c>
      <c r="D25104" s="1" t="s">
        <v>7580</v>
      </c>
    </row>
    <row r="25105">
      <c r="A25105" s="1" t="s">
        <v>38824</v>
      </c>
      <c r="B25105" s="2" t="s">
        <v>37508</v>
      </c>
      <c r="C25105" s="1" t="s">
        <v>7578</v>
      </c>
      <c r="D25105" s="1" t="s">
        <v>7580</v>
      </c>
    </row>
    <row r="25106">
      <c r="A25106" s="1" t="s">
        <v>38825</v>
      </c>
      <c r="B25106" s="2" t="s">
        <v>37510</v>
      </c>
      <c r="C25106" s="1" t="s">
        <v>7578</v>
      </c>
      <c r="D25106" s="1" t="s">
        <v>7580</v>
      </c>
    </row>
    <row r="25107">
      <c r="A25107" s="1" t="s">
        <v>38826</v>
      </c>
      <c r="B25107" s="2" t="s">
        <v>37512</v>
      </c>
      <c r="C25107" s="1" t="s">
        <v>7578</v>
      </c>
      <c r="D25107" s="1" t="s">
        <v>7580</v>
      </c>
    </row>
    <row r="25108">
      <c r="A25108" s="1" t="s">
        <v>38827</v>
      </c>
      <c r="B25108" s="2" t="s">
        <v>38828</v>
      </c>
      <c r="C25108" s="1" t="s">
        <v>7578</v>
      </c>
      <c r="D25108" s="1" t="s">
        <v>7580</v>
      </c>
    </row>
    <row r="25109">
      <c r="A25109" s="1" t="s">
        <v>38829</v>
      </c>
      <c r="B25109" s="2" t="s">
        <v>38830</v>
      </c>
      <c r="C25109" s="1" t="s">
        <v>7578</v>
      </c>
      <c r="D25109" s="1" t="s">
        <v>7580</v>
      </c>
    </row>
    <row r="25110">
      <c r="A25110" s="1" t="s">
        <v>38831</v>
      </c>
      <c r="B25110" s="2" t="s">
        <v>38832</v>
      </c>
      <c r="C25110" s="1" t="s">
        <v>7578</v>
      </c>
      <c r="D25110" s="1" t="s">
        <v>7580</v>
      </c>
    </row>
    <row r="25111">
      <c r="A25111" s="1" t="s">
        <v>38833</v>
      </c>
      <c r="B25111" s="2" t="s">
        <v>38412</v>
      </c>
      <c r="C25111" s="1" t="s">
        <v>7578</v>
      </c>
      <c r="D25111" s="1" t="s">
        <v>7580</v>
      </c>
    </row>
    <row r="25112">
      <c r="A25112" s="1" t="s">
        <v>38834</v>
      </c>
      <c r="B25112" s="2" t="s">
        <v>38835</v>
      </c>
      <c r="C25112" s="1" t="s">
        <v>7578</v>
      </c>
      <c r="D25112" s="1" t="s">
        <v>7580</v>
      </c>
    </row>
    <row r="25113">
      <c r="A25113" s="1" t="s">
        <v>38836</v>
      </c>
      <c r="B25113" s="2" t="s">
        <v>38837</v>
      </c>
      <c r="C25113" s="1" t="s">
        <v>7578</v>
      </c>
      <c r="D25113" s="1" t="s">
        <v>7580</v>
      </c>
    </row>
    <row r="25114">
      <c r="A25114" s="1" t="s">
        <v>38838</v>
      </c>
      <c r="B25114" s="2" t="s">
        <v>38839</v>
      </c>
      <c r="C25114" s="1" t="s">
        <v>7578</v>
      </c>
      <c r="D25114" s="1" t="s">
        <v>7580</v>
      </c>
    </row>
    <row r="25115">
      <c r="A25115" s="1" t="s">
        <v>38840</v>
      </c>
      <c r="B25115" s="2" t="s">
        <v>38841</v>
      </c>
      <c r="C25115" s="1" t="s">
        <v>7578</v>
      </c>
      <c r="D25115" s="1" t="s">
        <v>7580</v>
      </c>
    </row>
    <row r="25116">
      <c r="A25116" s="1" t="s">
        <v>38842</v>
      </c>
      <c r="B25116" s="2" t="s">
        <v>38843</v>
      </c>
      <c r="C25116" s="1" t="s">
        <v>7578</v>
      </c>
      <c r="D25116" s="1" t="s">
        <v>7580</v>
      </c>
    </row>
    <row r="25117">
      <c r="A25117" s="1" t="s">
        <v>38844</v>
      </c>
      <c r="B25117" s="2" t="s">
        <v>38845</v>
      </c>
      <c r="C25117" s="1" t="s">
        <v>7578</v>
      </c>
      <c r="D25117" s="1" t="s">
        <v>7580</v>
      </c>
    </row>
    <row r="25118">
      <c r="A25118" s="1" t="s">
        <v>38846</v>
      </c>
      <c r="B25118" s="2" t="s">
        <v>38847</v>
      </c>
      <c r="C25118" s="1" t="s">
        <v>7578</v>
      </c>
      <c r="D25118" s="1" t="s">
        <v>7580</v>
      </c>
    </row>
    <row r="25119">
      <c r="A25119" s="1" t="s">
        <v>38848</v>
      </c>
      <c r="B25119" s="2" t="s">
        <v>38849</v>
      </c>
      <c r="C25119" s="1" t="s">
        <v>7578</v>
      </c>
      <c r="D25119" s="1" t="s">
        <v>7580</v>
      </c>
    </row>
    <row r="25120">
      <c r="A25120" s="1" t="s">
        <v>38850</v>
      </c>
      <c r="B25120" s="2" t="s">
        <v>38851</v>
      </c>
      <c r="C25120" s="1" t="s">
        <v>7578</v>
      </c>
      <c r="D25120" s="1" t="s">
        <v>7580</v>
      </c>
    </row>
    <row r="25121">
      <c r="A25121" s="1" t="s">
        <v>38852</v>
      </c>
      <c r="B25121" s="2" t="s">
        <v>38853</v>
      </c>
      <c r="C25121" s="1" t="s">
        <v>7578</v>
      </c>
      <c r="D25121" s="1" t="s">
        <v>7580</v>
      </c>
    </row>
    <row r="25122">
      <c r="A25122" s="1" t="s">
        <v>38854</v>
      </c>
      <c r="B25122" s="2" t="s">
        <v>38855</v>
      </c>
      <c r="C25122" s="1" t="s">
        <v>7578</v>
      </c>
      <c r="D25122" s="1" t="s">
        <v>7580</v>
      </c>
    </row>
    <row r="25123">
      <c r="A25123" s="1" t="s">
        <v>38856</v>
      </c>
      <c r="B25123" s="2" t="s">
        <v>37075</v>
      </c>
      <c r="C25123" s="1" t="s">
        <v>7578</v>
      </c>
      <c r="D25123" s="1" t="s">
        <v>7580</v>
      </c>
    </row>
    <row r="25124">
      <c r="A25124" s="1" t="s">
        <v>7585</v>
      </c>
      <c r="B25124" s="2" t="s">
        <v>7</v>
      </c>
      <c r="C25124" s="1" t="s">
        <v>7587</v>
      </c>
      <c r="D25124" s="1" t="s">
        <v>7589</v>
      </c>
    </row>
    <row r="25125">
      <c r="A25125" s="1" t="s">
        <v>38857</v>
      </c>
      <c r="B25125" s="2" t="s">
        <v>37521</v>
      </c>
      <c r="C25125" s="1" t="s">
        <v>7587</v>
      </c>
      <c r="D25125" s="1" t="s">
        <v>7589</v>
      </c>
    </row>
    <row r="25126">
      <c r="A25126" s="1" t="s">
        <v>38858</v>
      </c>
      <c r="B25126" s="2" t="s">
        <v>37627</v>
      </c>
      <c r="C25126" s="1" t="s">
        <v>7587</v>
      </c>
      <c r="D25126" s="1" t="s">
        <v>7589</v>
      </c>
    </row>
    <row r="25127">
      <c r="A25127" s="1" t="s">
        <v>38859</v>
      </c>
      <c r="B25127" s="2" t="s">
        <v>37629</v>
      </c>
      <c r="C25127" s="1" t="s">
        <v>7587</v>
      </c>
      <c r="D25127" s="1" t="s">
        <v>7589</v>
      </c>
    </row>
    <row r="25128">
      <c r="A25128" s="1" t="s">
        <v>38860</v>
      </c>
      <c r="B25128" s="2" t="s">
        <v>37631</v>
      </c>
      <c r="C25128" s="1" t="s">
        <v>7587</v>
      </c>
      <c r="D25128" s="1" t="s">
        <v>7589</v>
      </c>
    </row>
    <row r="25129">
      <c r="A25129" s="1" t="s">
        <v>38861</v>
      </c>
      <c r="B25129" s="2" t="s">
        <v>37633</v>
      </c>
      <c r="C25129" s="1" t="s">
        <v>7587</v>
      </c>
      <c r="D25129" s="1" t="s">
        <v>7589</v>
      </c>
    </row>
    <row r="25130">
      <c r="A25130" s="1" t="s">
        <v>38862</v>
      </c>
      <c r="B25130" s="2" t="s">
        <v>37635</v>
      </c>
      <c r="C25130" s="1" t="s">
        <v>7587</v>
      </c>
      <c r="D25130" s="1" t="s">
        <v>7589</v>
      </c>
    </row>
    <row r="25131">
      <c r="A25131" s="1" t="s">
        <v>38863</v>
      </c>
      <c r="B25131" s="2" t="s">
        <v>37637</v>
      </c>
      <c r="C25131" s="1" t="s">
        <v>7587</v>
      </c>
      <c r="D25131" s="1" t="s">
        <v>7589</v>
      </c>
    </row>
    <row r="25132">
      <c r="A25132" s="1" t="s">
        <v>38864</v>
      </c>
      <c r="B25132" s="2" t="s">
        <v>36715</v>
      </c>
      <c r="C25132" s="1" t="s">
        <v>7587</v>
      </c>
      <c r="D25132" s="1" t="s">
        <v>7589</v>
      </c>
    </row>
    <row r="25133">
      <c r="A25133" s="1" t="s">
        <v>38865</v>
      </c>
      <c r="B25133" s="2" t="s">
        <v>37536</v>
      </c>
      <c r="C25133" s="1" t="s">
        <v>7587</v>
      </c>
      <c r="D25133" s="1" t="s">
        <v>7589</v>
      </c>
    </row>
    <row r="25134">
      <c r="A25134" s="1" t="s">
        <v>38866</v>
      </c>
      <c r="B25134" s="2" t="s">
        <v>37641</v>
      </c>
      <c r="C25134" s="1" t="s">
        <v>7587</v>
      </c>
      <c r="D25134" s="1" t="s">
        <v>7589</v>
      </c>
    </row>
    <row r="25135">
      <c r="A25135" s="1" t="s">
        <v>38867</v>
      </c>
      <c r="B25135" s="2" t="s">
        <v>37643</v>
      </c>
      <c r="C25135" s="1" t="s">
        <v>7587</v>
      </c>
      <c r="D25135" s="1" t="s">
        <v>7589</v>
      </c>
    </row>
    <row r="25136">
      <c r="A25136" s="1" t="s">
        <v>38868</v>
      </c>
      <c r="B25136" s="2" t="s">
        <v>37645</v>
      </c>
      <c r="C25136" s="1" t="s">
        <v>7587</v>
      </c>
      <c r="D25136" s="1" t="s">
        <v>7589</v>
      </c>
    </row>
    <row r="25137">
      <c r="A25137" s="1" t="s">
        <v>38869</v>
      </c>
      <c r="B25137" s="2" t="s">
        <v>37647</v>
      </c>
      <c r="C25137" s="1" t="s">
        <v>7587</v>
      </c>
      <c r="D25137" s="1" t="s">
        <v>7589</v>
      </c>
    </row>
    <row r="25138">
      <c r="A25138" s="1" t="s">
        <v>38870</v>
      </c>
      <c r="B25138" s="2" t="s">
        <v>37649</v>
      </c>
      <c r="C25138" s="1" t="s">
        <v>7587</v>
      </c>
      <c r="D25138" s="1" t="s">
        <v>7589</v>
      </c>
    </row>
    <row r="25139">
      <c r="A25139" s="1" t="s">
        <v>38871</v>
      </c>
      <c r="B25139" s="2" t="s">
        <v>37651</v>
      </c>
      <c r="C25139" s="1" t="s">
        <v>7587</v>
      </c>
      <c r="D25139" s="1" t="s">
        <v>7589</v>
      </c>
    </row>
    <row r="25140">
      <c r="A25140" s="1" t="s">
        <v>38872</v>
      </c>
      <c r="B25140" s="2" t="s">
        <v>36781</v>
      </c>
      <c r="C25140" s="1" t="s">
        <v>7587</v>
      </c>
      <c r="D25140" s="1" t="s">
        <v>7589</v>
      </c>
    </row>
    <row r="25141">
      <c r="A25141" s="1" t="s">
        <v>38873</v>
      </c>
      <c r="B25141" s="2" t="s">
        <v>37551</v>
      </c>
      <c r="C25141" s="1" t="s">
        <v>7587</v>
      </c>
      <c r="D25141" s="1" t="s">
        <v>7589</v>
      </c>
    </row>
    <row r="25142">
      <c r="A25142" s="1" t="s">
        <v>38874</v>
      </c>
      <c r="B25142" s="2" t="s">
        <v>37655</v>
      </c>
      <c r="C25142" s="1" t="s">
        <v>7587</v>
      </c>
      <c r="D25142" s="1" t="s">
        <v>7589</v>
      </c>
    </row>
    <row r="25143">
      <c r="A25143" s="1" t="s">
        <v>38875</v>
      </c>
      <c r="B25143" s="2" t="s">
        <v>37657</v>
      </c>
      <c r="C25143" s="1" t="s">
        <v>7587</v>
      </c>
      <c r="D25143" s="1" t="s">
        <v>7589</v>
      </c>
    </row>
    <row r="25144">
      <c r="A25144" s="1" t="s">
        <v>38876</v>
      </c>
      <c r="B25144" s="2" t="s">
        <v>37659</v>
      </c>
      <c r="C25144" s="1" t="s">
        <v>7587</v>
      </c>
      <c r="D25144" s="1" t="s">
        <v>7589</v>
      </c>
    </row>
    <row r="25145">
      <c r="A25145" s="1" t="s">
        <v>38877</v>
      </c>
      <c r="B25145" s="2" t="s">
        <v>37661</v>
      </c>
      <c r="C25145" s="1" t="s">
        <v>7587</v>
      </c>
      <c r="D25145" s="1" t="s">
        <v>7589</v>
      </c>
    </row>
    <row r="25146">
      <c r="A25146" s="1" t="s">
        <v>38878</v>
      </c>
      <c r="B25146" s="2" t="s">
        <v>37663</v>
      </c>
      <c r="C25146" s="1" t="s">
        <v>7587</v>
      </c>
      <c r="D25146" s="1" t="s">
        <v>7589</v>
      </c>
    </row>
    <row r="25147">
      <c r="A25147" s="1" t="s">
        <v>38879</v>
      </c>
      <c r="B25147" s="2" t="s">
        <v>37665</v>
      </c>
      <c r="C25147" s="1" t="s">
        <v>7587</v>
      </c>
      <c r="D25147" s="1" t="s">
        <v>7589</v>
      </c>
    </row>
    <row r="25148">
      <c r="A25148" s="1" t="s">
        <v>38880</v>
      </c>
      <c r="B25148" s="2" t="s">
        <v>36847</v>
      </c>
      <c r="C25148" s="1" t="s">
        <v>7587</v>
      </c>
      <c r="D25148" s="1" t="s">
        <v>7589</v>
      </c>
    </row>
    <row r="25149">
      <c r="A25149" s="1" t="s">
        <v>38881</v>
      </c>
      <c r="B25149" s="2" t="s">
        <v>37566</v>
      </c>
      <c r="C25149" s="1" t="s">
        <v>7587</v>
      </c>
      <c r="D25149" s="1" t="s">
        <v>7589</v>
      </c>
    </row>
    <row r="25150">
      <c r="A25150" s="1" t="s">
        <v>38882</v>
      </c>
      <c r="B25150" s="2" t="s">
        <v>37669</v>
      </c>
      <c r="C25150" s="1" t="s">
        <v>7587</v>
      </c>
      <c r="D25150" s="1" t="s">
        <v>7589</v>
      </c>
    </row>
    <row r="25151">
      <c r="A25151" s="1" t="s">
        <v>38883</v>
      </c>
      <c r="B25151" s="2" t="s">
        <v>37671</v>
      </c>
      <c r="C25151" s="1" t="s">
        <v>7587</v>
      </c>
      <c r="D25151" s="1" t="s">
        <v>7589</v>
      </c>
    </row>
    <row r="25152">
      <c r="A25152" s="1" t="s">
        <v>38884</v>
      </c>
      <c r="B25152" s="2" t="s">
        <v>37673</v>
      </c>
      <c r="C25152" s="1" t="s">
        <v>7587</v>
      </c>
      <c r="D25152" s="1" t="s">
        <v>7589</v>
      </c>
    </row>
    <row r="25153">
      <c r="A25153" s="1" t="s">
        <v>38885</v>
      </c>
      <c r="B25153" s="2" t="s">
        <v>37675</v>
      </c>
      <c r="C25153" s="1" t="s">
        <v>7587</v>
      </c>
      <c r="D25153" s="1" t="s">
        <v>7589</v>
      </c>
    </row>
    <row r="25154">
      <c r="A25154" s="1" t="s">
        <v>38886</v>
      </c>
      <c r="B25154" s="2" t="s">
        <v>37677</v>
      </c>
      <c r="C25154" s="1" t="s">
        <v>7587</v>
      </c>
      <c r="D25154" s="1" t="s">
        <v>7589</v>
      </c>
    </row>
    <row r="25155">
      <c r="A25155" s="1" t="s">
        <v>38887</v>
      </c>
      <c r="B25155" s="2" t="s">
        <v>37679</v>
      </c>
      <c r="C25155" s="1" t="s">
        <v>7587</v>
      </c>
      <c r="D25155" s="1" t="s">
        <v>7589</v>
      </c>
    </row>
    <row r="25156">
      <c r="A25156" s="1" t="s">
        <v>38888</v>
      </c>
      <c r="B25156" s="2" t="s">
        <v>36907</v>
      </c>
      <c r="C25156" s="1" t="s">
        <v>7587</v>
      </c>
      <c r="D25156" s="1" t="s">
        <v>7589</v>
      </c>
    </row>
    <row r="25157">
      <c r="A25157" s="1" t="s">
        <v>38889</v>
      </c>
      <c r="B25157" s="2" t="s">
        <v>37581</v>
      </c>
      <c r="C25157" s="1" t="s">
        <v>7587</v>
      </c>
      <c r="D25157" s="1" t="s">
        <v>7589</v>
      </c>
    </row>
    <row r="25158">
      <c r="A25158" s="1" t="s">
        <v>38890</v>
      </c>
      <c r="B25158" s="2" t="s">
        <v>37683</v>
      </c>
      <c r="C25158" s="1" t="s">
        <v>7587</v>
      </c>
      <c r="D25158" s="1" t="s">
        <v>7589</v>
      </c>
    </row>
    <row r="25159">
      <c r="A25159" s="1" t="s">
        <v>38891</v>
      </c>
      <c r="B25159" s="2" t="s">
        <v>37685</v>
      </c>
      <c r="C25159" s="1" t="s">
        <v>7587</v>
      </c>
      <c r="D25159" s="1" t="s">
        <v>7589</v>
      </c>
    </row>
    <row r="25160">
      <c r="A25160" s="1" t="s">
        <v>38892</v>
      </c>
      <c r="B25160" s="2" t="s">
        <v>37687</v>
      </c>
      <c r="C25160" s="1" t="s">
        <v>7587</v>
      </c>
      <c r="D25160" s="1" t="s">
        <v>7589</v>
      </c>
    </row>
    <row r="25161">
      <c r="A25161" s="1" t="s">
        <v>38893</v>
      </c>
      <c r="B25161" s="2" t="s">
        <v>37689</v>
      </c>
      <c r="C25161" s="1" t="s">
        <v>7587</v>
      </c>
      <c r="D25161" s="1" t="s">
        <v>7589</v>
      </c>
    </row>
    <row r="25162">
      <c r="A25162" s="1" t="s">
        <v>38894</v>
      </c>
      <c r="B25162" s="2" t="s">
        <v>37691</v>
      </c>
      <c r="C25162" s="1" t="s">
        <v>7587</v>
      </c>
      <c r="D25162" s="1" t="s">
        <v>7589</v>
      </c>
    </row>
    <row r="25163">
      <c r="A25163" s="1" t="s">
        <v>38895</v>
      </c>
      <c r="B25163" s="2" t="s">
        <v>37693</v>
      </c>
      <c r="C25163" s="1" t="s">
        <v>7587</v>
      </c>
      <c r="D25163" s="1" t="s">
        <v>7589</v>
      </c>
    </row>
    <row r="25164">
      <c r="A25164" s="1" t="s">
        <v>38896</v>
      </c>
      <c r="B25164" s="2" t="s">
        <v>38325</v>
      </c>
      <c r="C25164" s="1" t="s">
        <v>7587</v>
      </c>
      <c r="D25164" s="1" t="s">
        <v>7589</v>
      </c>
    </row>
    <row r="25165">
      <c r="A25165" s="1" t="s">
        <v>38897</v>
      </c>
      <c r="B25165" s="2" t="s">
        <v>38898</v>
      </c>
      <c r="C25165" s="1" t="s">
        <v>7587</v>
      </c>
      <c r="D25165" s="1" t="s">
        <v>7589</v>
      </c>
    </row>
    <row r="25166">
      <c r="A25166" s="1" t="s">
        <v>38899</v>
      </c>
      <c r="B25166" s="2" t="s">
        <v>38900</v>
      </c>
      <c r="C25166" s="1" t="s">
        <v>7587</v>
      </c>
      <c r="D25166" s="1" t="s">
        <v>7589</v>
      </c>
    </row>
    <row r="25167">
      <c r="A25167" s="1" t="s">
        <v>38901</v>
      </c>
      <c r="B25167" s="2" t="s">
        <v>38902</v>
      </c>
      <c r="C25167" s="1" t="s">
        <v>7587</v>
      </c>
      <c r="D25167" s="1" t="s">
        <v>7589</v>
      </c>
    </row>
    <row r="25168">
      <c r="A25168" s="1" t="s">
        <v>38903</v>
      </c>
      <c r="B25168" s="2" t="s">
        <v>38904</v>
      </c>
      <c r="C25168" s="1" t="s">
        <v>7587</v>
      </c>
      <c r="D25168" s="1" t="s">
        <v>7589</v>
      </c>
    </row>
    <row r="25169">
      <c r="A25169" s="1" t="s">
        <v>38905</v>
      </c>
      <c r="B25169" s="2" t="s">
        <v>38906</v>
      </c>
      <c r="C25169" s="1" t="s">
        <v>7587</v>
      </c>
      <c r="D25169" s="1" t="s">
        <v>7589</v>
      </c>
    </row>
    <row r="25170">
      <c r="A25170" s="1" t="s">
        <v>38907</v>
      </c>
      <c r="B25170" s="2" t="s">
        <v>38908</v>
      </c>
      <c r="C25170" s="1" t="s">
        <v>7587</v>
      </c>
      <c r="D25170" s="1" t="s">
        <v>7589</v>
      </c>
    </row>
    <row r="25171">
      <c r="A25171" s="1" t="s">
        <v>38909</v>
      </c>
      <c r="B25171" s="2" t="s">
        <v>38910</v>
      </c>
      <c r="C25171" s="1" t="s">
        <v>7587</v>
      </c>
      <c r="D25171" s="1" t="s">
        <v>7589</v>
      </c>
    </row>
    <row r="25172">
      <c r="A25172" s="1" t="s">
        <v>38911</v>
      </c>
      <c r="B25172" s="2" t="s">
        <v>36961</v>
      </c>
      <c r="C25172" s="1" t="s">
        <v>7587</v>
      </c>
      <c r="D25172" s="1" t="s">
        <v>7589</v>
      </c>
    </row>
    <row r="25173">
      <c r="A25173" s="1" t="s">
        <v>38912</v>
      </c>
      <c r="B25173" s="2" t="s">
        <v>37596</v>
      </c>
      <c r="C25173" s="1" t="s">
        <v>7587</v>
      </c>
      <c r="D25173" s="1" t="s">
        <v>7589</v>
      </c>
    </row>
    <row r="25174">
      <c r="A25174" s="1" t="s">
        <v>38913</v>
      </c>
      <c r="B25174" s="2" t="s">
        <v>37697</v>
      </c>
      <c r="C25174" s="1" t="s">
        <v>7587</v>
      </c>
      <c r="D25174" s="1" t="s">
        <v>7589</v>
      </c>
    </row>
    <row r="25175">
      <c r="A25175" s="1" t="s">
        <v>38914</v>
      </c>
      <c r="B25175" s="2" t="s">
        <v>37699</v>
      </c>
      <c r="C25175" s="1" t="s">
        <v>7587</v>
      </c>
      <c r="D25175" s="1" t="s">
        <v>7589</v>
      </c>
    </row>
    <row r="25176">
      <c r="A25176" s="1" t="s">
        <v>38915</v>
      </c>
      <c r="B25176" s="2" t="s">
        <v>37701</v>
      </c>
      <c r="C25176" s="1" t="s">
        <v>7587</v>
      </c>
      <c r="D25176" s="1" t="s">
        <v>7589</v>
      </c>
    </row>
    <row r="25177">
      <c r="A25177" s="1" t="s">
        <v>38916</v>
      </c>
      <c r="B25177" s="2" t="s">
        <v>37703</v>
      </c>
      <c r="C25177" s="1" t="s">
        <v>7587</v>
      </c>
      <c r="D25177" s="1" t="s">
        <v>7589</v>
      </c>
    </row>
    <row r="25178">
      <c r="A25178" s="1" t="s">
        <v>38917</v>
      </c>
      <c r="B25178" s="2" t="s">
        <v>37705</v>
      </c>
      <c r="C25178" s="1" t="s">
        <v>7587</v>
      </c>
      <c r="D25178" s="1" t="s">
        <v>7589</v>
      </c>
    </row>
    <row r="25179">
      <c r="A25179" s="1" t="s">
        <v>38918</v>
      </c>
      <c r="B25179" s="2" t="s">
        <v>37707</v>
      </c>
      <c r="C25179" s="1" t="s">
        <v>7587</v>
      </c>
      <c r="D25179" s="1" t="s">
        <v>7589</v>
      </c>
    </row>
    <row r="25180">
      <c r="A25180" s="1" t="s">
        <v>38919</v>
      </c>
      <c r="B25180" s="2" t="s">
        <v>37027</v>
      </c>
      <c r="C25180" s="1" t="s">
        <v>7587</v>
      </c>
      <c r="D25180" s="1" t="s">
        <v>7589</v>
      </c>
    </row>
    <row r="25181">
      <c r="A25181" s="1" t="s">
        <v>38920</v>
      </c>
      <c r="B25181" s="2" t="s">
        <v>37611</v>
      </c>
      <c r="C25181" s="1" t="s">
        <v>7587</v>
      </c>
      <c r="D25181" s="1" t="s">
        <v>7589</v>
      </c>
    </row>
    <row r="25182">
      <c r="A25182" s="1" t="s">
        <v>38921</v>
      </c>
      <c r="B25182" s="2" t="s">
        <v>37711</v>
      </c>
      <c r="C25182" s="1" t="s">
        <v>7587</v>
      </c>
      <c r="D25182" s="1" t="s">
        <v>7589</v>
      </c>
    </row>
    <row r="25183">
      <c r="A25183" s="1" t="s">
        <v>38922</v>
      </c>
      <c r="B25183" s="2" t="s">
        <v>37713</v>
      </c>
      <c r="C25183" s="1" t="s">
        <v>7587</v>
      </c>
      <c r="D25183" s="1" t="s">
        <v>7589</v>
      </c>
    </row>
    <row r="25184">
      <c r="A25184" s="1" t="s">
        <v>38923</v>
      </c>
      <c r="B25184" s="2" t="s">
        <v>37715</v>
      </c>
      <c r="C25184" s="1" t="s">
        <v>7587</v>
      </c>
      <c r="D25184" s="1" t="s">
        <v>7589</v>
      </c>
    </row>
    <row r="25185">
      <c r="A25185" s="1" t="s">
        <v>38924</v>
      </c>
      <c r="B25185" s="2" t="s">
        <v>37717</v>
      </c>
      <c r="C25185" s="1" t="s">
        <v>7587</v>
      </c>
      <c r="D25185" s="1" t="s">
        <v>7589</v>
      </c>
    </row>
    <row r="25186">
      <c r="A25186" s="1" t="s">
        <v>38925</v>
      </c>
      <c r="B25186" s="2" t="s">
        <v>37719</v>
      </c>
      <c r="C25186" s="1" t="s">
        <v>7587</v>
      </c>
      <c r="D25186" s="1" t="s">
        <v>7589</v>
      </c>
    </row>
    <row r="25187">
      <c r="A25187" s="1" t="s">
        <v>38926</v>
      </c>
      <c r="B25187" s="2" t="s">
        <v>37721</v>
      </c>
      <c r="C25187" s="1" t="s">
        <v>7587</v>
      </c>
      <c r="D25187" s="1" t="s">
        <v>7589</v>
      </c>
    </row>
    <row r="25188">
      <c r="A25188" s="1" t="s">
        <v>38927</v>
      </c>
      <c r="B25188" s="2" t="s">
        <v>38412</v>
      </c>
      <c r="C25188" s="1" t="s">
        <v>7587</v>
      </c>
      <c r="D25188" s="1" t="s">
        <v>7589</v>
      </c>
    </row>
    <row r="25189">
      <c r="A25189" s="1" t="s">
        <v>38928</v>
      </c>
      <c r="B25189" s="2" t="s">
        <v>38929</v>
      </c>
      <c r="C25189" s="1" t="s">
        <v>7587</v>
      </c>
      <c r="D25189" s="1" t="s">
        <v>7589</v>
      </c>
    </row>
    <row r="25190">
      <c r="A25190" s="1" t="s">
        <v>38930</v>
      </c>
      <c r="B25190" s="2" t="s">
        <v>38931</v>
      </c>
      <c r="C25190" s="1" t="s">
        <v>7587</v>
      </c>
      <c r="D25190" s="1" t="s">
        <v>7589</v>
      </c>
    </row>
    <row r="25191">
      <c r="A25191" s="1" t="s">
        <v>38932</v>
      </c>
      <c r="B25191" s="2" t="s">
        <v>38933</v>
      </c>
      <c r="C25191" s="1" t="s">
        <v>7587</v>
      </c>
      <c r="D25191" s="1" t="s">
        <v>7589</v>
      </c>
    </row>
    <row r="25192">
      <c r="A25192" s="1" t="s">
        <v>38934</v>
      </c>
      <c r="B25192" s="2" t="s">
        <v>38935</v>
      </c>
      <c r="C25192" s="1" t="s">
        <v>7587</v>
      </c>
      <c r="D25192" s="1" t="s">
        <v>7589</v>
      </c>
    </row>
    <row r="25193">
      <c r="A25193" s="1" t="s">
        <v>38936</v>
      </c>
      <c r="B25193" s="2" t="s">
        <v>38937</v>
      </c>
      <c r="C25193" s="1" t="s">
        <v>7587</v>
      </c>
      <c r="D25193" s="1" t="s">
        <v>7589</v>
      </c>
    </row>
    <row r="25194">
      <c r="A25194" s="1" t="s">
        <v>38938</v>
      </c>
      <c r="B25194" s="2" t="s">
        <v>38939</v>
      </c>
      <c r="C25194" s="1" t="s">
        <v>7587</v>
      </c>
      <c r="D25194" s="1" t="s">
        <v>7589</v>
      </c>
    </row>
    <row r="25195">
      <c r="A25195" s="1" t="s">
        <v>38940</v>
      </c>
      <c r="B25195" s="2" t="s">
        <v>38941</v>
      </c>
      <c r="C25195" s="1" t="s">
        <v>7587</v>
      </c>
      <c r="D25195" s="1" t="s">
        <v>7589</v>
      </c>
    </row>
    <row r="25196">
      <c r="A25196" s="1" t="s">
        <v>38942</v>
      </c>
      <c r="B25196" s="2" t="s">
        <v>37075</v>
      </c>
      <c r="C25196" s="1" t="s">
        <v>7587</v>
      </c>
      <c r="D25196" s="1" t="s">
        <v>7589</v>
      </c>
    </row>
    <row r="25197">
      <c r="A25197" s="1" t="s">
        <v>7593</v>
      </c>
      <c r="B25197" s="2" t="s">
        <v>7</v>
      </c>
      <c r="C25197" s="1" t="s">
        <v>7595</v>
      </c>
      <c r="D25197" s="1" t="s">
        <v>7597</v>
      </c>
    </row>
    <row r="25198">
      <c r="A25198" s="1" t="s">
        <v>38943</v>
      </c>
      <c r="B25198" s="2" t="s">
        <v>2820</v>
      </c>
      <c r="C25198" s="1" t="s">
        <v>7595</v>
      </c>
      <c r="D25198" s="1" t="s">
        <v>7597</v>
      </c>
    </row>
    <row r="25199">
      <c r="A25199" s="1" t="s">
        <v>38944</v>
      </c>
      <c r="B25199" s="2" t="s">
        <v>3380</v>
      </c>
      <c r="C25199" s="1" t="s">
        <v>7595</v>
      </c>
      <c r="D25199" s="1" t="s">
        <v>7597</v>
      </c>
    </row>
    <row r="25200">
      <c r="A25200" s="1" t="s">
        <v>38945</v>
      </c>
      <c r="B25200" s="2" t="s">
        <v>3383</v>
      </c>
      <c r="C25200" s="1" t="s">
        <v>7595</v>
      </c>
      <c r="D25200" s="1" t="s">
        <v>7597</v>
      </c>
    </row>
    <row r="25201">
      <c r="A25201" s="1" t="s">
        <v>38946</v>
      </c>
      <c r="B25201" s="2" t="s">
        <v>5270</v>
      </c>
      <c r="C25201" s="1" t="s">
        <v>7595</v>
      </c>
      <c r="D25201" s="1" t="s">
        <v>7597</v>
      </c>
    </row>
    <row r="25202">
      <c r="A25202" s="1" t="s">
        <v>38947</v>
      </c>
      <c r="B25202" s="2" t="s">
        <v>5528</v>
      </c>
      <c r="C25202" s="1" t="s">
        <v>7595</v>
      </c>
      <c r="D25202" s="1" t="s">
        <v>7597</v>
      </c>
    </row>
    <row r="25203">
      <c r="A25203" s="1" t="s">
        <v>38948</v>
      </c>
      <c r="B25203" s="2" t="s">
        <v>5532</v>
      </c>
      <c r="C25203" s="1" t="s">
        <v>7595</v>
      </c>
      <c r="D25203" s="1" t="s">
        <v>7597</v>
      </c>
    </row>
    <row r="25204">
      <c r="A25204" s="1" t="s">
        <v>38949</v>
      </c>
      <c r="B25204" s="2" t="s">
        <v>37730</v>
      </c>
      <c r="C25204" s="1" t="s">
        <v>7595</v>
      </c>
      <c r="D25204" s="1" t="s">
        <v>7597</v>
      </c>
    </row>
    <row r="25205">
      <c r="A25205" s="1" t="s">
        <v>38950</v>
      </c>
      <c r="B25205" s="2" t="s">
        <v>37732</v>
      </c>
      <c r="C25205" s="1" t="s">
        <v>7595</v>
      </c>
      <c r="D25205" s="1" t="s">
        <v>7597</v>
      </c>
    </row>
    <row r="25206">
      <c r="A25206" s="1" t="s">
        <v>38951</v>
      </c>
      <c r="B25206" s="2" t="s">
        <v>37734</v>
      </c>
      <c r="C25206" s="1" t="s">
        <v>7595</v>
      </c>
      <c r="D25206" s="1" t="s">
        <v>7597</v>
      </c>
    </row>
    <row r="25207">
      <c r="A25207" s="1" t="s">
        <v>38952</v>
      </c>
      <c r="B25207" s="2" t="s">
        <v>37736</v>
      </c>
      <c r="C25207" s="1" t="s">
        <v>7595</v>
      </c>
      <c r="D25207" s="1" t="s">
        <v>7597</v>
      </c>
    </row>
    <row r="25208">
      <c r="A25208" s="1" t="s">
        <v>38953</v>
      </c>
      <c r="B25208" s="2" t="s">
        <v>37738</v>
      </c>
      <c r="C25208" s="1" t="s">
        <v>7595</v>
      </c>
      <c r="D25208" s="1" t="s">
        <v>7597</v>
      </c>
    </row>
    <row r="25209">
      <c r="A25209" s="1" t="s">
        <v>38954</v>
      </c>
      <c r="B25209" s="2" t="s">
        <v>37740</v>
      </c>
      <c r="C25209" s="1" t="s">
        <v>7595</v>
      </c>
      <c r="D25209" s="1" t="s">
        <v>7597</v>
      </c>
    </row>
    <row r="25210">
      <c r="A25210" s="1" t="s">
        <v>38955</v>
      </c>
      <c r="B25210" s="2" t="s">
        <v>36715</v>
      </c>
      <c r="C25210" s="1" t="s">
        <v>7595</v>
      </c>
      <c r="D25210" s="1" t="s">
        <v>7597</v>
      </c>
    </row>
    <row r="25211">
      <c r="A25211" s="1" t="s">
        <v>38956</v>
      </c>
      <c r="B25211" s="2" t="s">
        <v>37743</v>
      </c>
      <c r="C25211" s="1" t="s">
        <v>7595</v>
      </c>
      <c r="D25211" s="1" t="s">
        <v>7597</v>
      </c>
    </row>
    <row r="25212">
      <c r="A25212" s="1" t="s">
        <v>38957</v>
      </c>
      <c r="B25212" s="2" t="s">
        <v>37745</v>
      </c>
      <c r="C25212" s="1" t="s">
        <v>7595</v>
      </c>
      <c r="D25212" s="1" t="s">
        <v>7597</v>
      </c>
    </row>
    <row r="25213">
      <c r="A25213" s="1" t="s">
        <v>38958</v>
      </c>
      <c r="B25213" s="2" t="s">
        <v>37747</v>
      </c>
      <c r="C25213" s="1" t="s">
        <v>7595</v>
      </c>
      <c r="D25213" s="1" t="s">
        <v>7597</v>
      </c>
    </row>
    <row r="25214">
      <c r="A25214" s="1" t="s">
        <v>38959</v>
      </c>
      <c r="B25214" s="2" t="s">
        <v>37749</v>
      </c>
      <c r="C25214" s="1" t="s">
        <v>7595</v>
      </c>
      <c r="D25214" s="1" t="s">
        <v>7597</v>
      </c>
    </row>
    <row r="25215">
      <c r="A25215" s="1" t="s">
        <v>38960</v>
      </c>
      <c r="B25215" s="2" t="s">
        <v>37751</v>
      </c>
      <c r="C25215" s="1" t="s">
        <v>7595</v>
      </c>
      <c r="D25215" s="1" t="s">
        <v>7597</v>
      </c>
    </row>
    <row r="25216">
      <c r="A25216" s="1" t="s">
        <v>38961</v>
      </c>
      <c r="B25216" s="2" t="s">
        <v>37753</v>
      </c>
      <c r="C25216" s="1" t="s">
        <v>7595</v>
      </c>
      <c r="D25216" s="1" t="s">
        <v>7597</v>
      </c>
    </row>
    <row r="25217">
      <c r="A25217" s="1" t="s">
        <v>38962</v>
      </c>
      <c r="B25217" s="2" t="s">
        <v>37755</v>
      </c>
      <c r="C25217" s="1" t="s">
        <v>7595</v>
      </c>
      <c r="D25217" s="1" t="s">
        <v>7597</v>
      </c>
    </row>
    <row r="25218">
      <c r="A25218" s="1" t="s">
        <v>38963</v>
      </c>
      <c r="B25218" s="2" t="s">
        <v>37757</v>
      </c>
      <c r="C25218" s="1" t="s">
        <v>7595</v>
      </c>
      <c r="D25218" s="1" t="s">
        <v>7597</v>
      </c>
    </row>
    <row r="25219">
      <c r="A25219" s="1" t="s">
        <v>38964</v>
      </c>
      <c r="B25219" s="2" t="s">
        <v>37759</v>
      </c>
      <c r="C25219" s="1" t="s">
        <v>7595</v>
      </c>
      <c r="D25219" s="1" t="s">
        <v>7597</v>
      </c>
    </row>
    <row r="25220">
      <c r="A25220" s="1" t="s">
        <v>38965</v>
      </c>
      <c r="B25220" s="2" t="s">
        <v>37761</v>
      </c>
      <c r="C25220" s="1" t="s">
        <v>7595</v>
      </c>
      <c r="D25220" s="1" t="s">
        <v>7597</v>
      </c>
    </row>
    <row r="25221">
      <c r="A25221" s="1" t="s">
        <v>38966</v>
      </c>
      <c r="B25221" s="2" t="s">
        <v>37763</v>
      </c>
      <c r="C25221" s="1" t="s">
        <v>7595</v>
      </c>
      <c r="D25221" s="1" t="s">
        <v>7597</v>
      </c>
    </row>
    <row r="25222">
      <c r="A25222" s="1" t="s">
        <v>38967</v>
      </c>
      <c r="B25222" s="2" t="s">
        <v>37765</v>
      </c>
      <c r="C25222" s="1" t="s">
        <v>7595</v>
      </c>
      <c r="D25222" s="1" t="s">
        <v>7597</v>
      </c>
    </row>
    <row r="25223">
      <c r="A25223" s="1" t="s">
        <v>38968</v>
      </c>
      <c r="B25223" s="2" t="s">
        <v>36781</v>
      </c>
      <c r="C25223" s="1" t="s">
        <v>7595</v>
      </c>
      <c r="D25223" s="1" t="s">
        <v>7597</v>
      </c>
    </row>
    <row r="25224">
      <c r="A25224" s="1" t="s">
        <v>38969</v>
      </c>
      <c r="B25224" s="2" t="s">
        <v>37768</v>
      </c>
      <c r="C25224" s="1" t="s">
        <v>7595</v>
      </c>
      <c r="D25224" s="1" t="s">
        <v>7597</v>
      </c>
    </row>
    <row r="25225">
      <c r="A25225" s="1" t="s">
        <v>38970</v>
      </c>
      <c r="B25225" s="2" t="s">
        <v>37770</v>
      </c>
      <c r="C25225" s="1" t="s">
        <v>7595</v>
      </c>
      <c r="D25225" s="1" t="s">
        <v>7597</v>
      </c>
    </row>
    <row r="25226">
      <c r="A25226" s="1" t="s">
        <v>38971</v>
      </c>
      <c r="B25226" s="2" t="s">
        <v>37772</v>
      </c>
      <c r="C25226" s="1" t="s">
        <v>7595</v>
      </c>
      <c r="D25226" s="1" t="s">
        <v>7597</v>
      </c>
    </row>
    <row r="25227">
      <c r="A25227" s="1" t="s">
        <v>38972</v>
      </c>
      <c r="B25227" s="2" t="s">
        <v>37774</v>
      </c>
      <c r="C25227" s="1" t="s">
        <v>7595</v>
      </c>
      <c r="D25227" s="1" t="s">
        <v>7597</v>
      </c>
    </row>
    <row r="25228">
      <c r="A25228" s="1" t="s">
        <v>38973</v>
      </c>
      <c r="B25228" s="2" t="s">
        <v>37776</v>
      </c>
      <c r="C25228" s="1" t="s">
        <v>7595</v>
      </c>
      <c r="D25228" s="1" t="s">
        <v>7597</v>
      </c>
    </row>
    <row r="25229">
      <c r="A25229" s="1" t="s">
        <v>38974</v>
      </c>
      <c r="B25229" s="2" t="s">
        <v>37778</v>
      </c>
      <c r="C25229" s="1" t="s">
        <v>7595</v>
      </c>
      <c r="D25229" s="1" t="s">
        <v>7597</v>
      </c>
    </row>
    <row r="25230">
      <c r="A25230" s="1" t="s">
        <v>38975</v>
      </c>
      <c r="B25230" s="2" t="s">
        <v>37780</v>
      </c>
      <c r="C25230" s="1" t="s">
        <v>7595</v>
      </c>
      <c r="D25230" s="1" t="s">
        <v>7597</v>
      </c>
    </row>
    <row r="25231">
      <c r="A25231" s="1" t="s">
        <v>38976</v>
      </c>
      <c r="B25231" s="2" t="s">
        <v>37782</v>
      </c>
      <c r="C25231" s="1" t="s">
        <v>7595</v>
      </c>
      <c r="D25231" s="1" t="s">
        <v>7597</v>
      </c>
    </row>
    <row r="25232">
      <c r="A25232" s="1" t="s">
        <v>38977</v>
      </c>
      <c r="B25232" s="2" t="s">
        <v>37784</v>
      </c>
      <c r="C25232" s="1" t="s">
        <v>7595</v>
      </c>
      <c r="D25232" s="1" t="s">
        <v>7597</v>
      </c>
    </row>
    <row r="25233">
      <c r="A25233" s="1" t="s">
        <v>38978</v>
      </c>
      <c r="B25233" s="2" t="s">
        <v>37786</v>
      </c>
      <c r="C25233" s="1" t="s">
        <v>7595</v>
      </c>
      <c r="D25233" s="1" t="s">
        <v>7597</v>
      </c>
    </row>
    <row r="25234">
      <c r="A25234" s="1" t="s">
        <v>38979</v>
      </c>
      <c r="B25234" s="2" t="s">
        <v>37788</v>
      </c>
      <c r="C25234" s="1" t="s">
        <v>7595</v>
      </c>
      <c r="D25234" s="1" t="s">
        <v>7597</v>
      </c>
    </row>
    <row r="25235">
      <c r="A25235" s="1" t="s">
        <v>38980</v>
      </c>
      <c r="B25235" s="2" t="s">
        <v>37790</v>
      </c>
      <c r="C25235" s="1" t="s">
        <v>7595</v>
      </c>
      <c r="D25235" s="1" t="s">
        <v>7597</v>
      </c>
    </row>
    <row r="25236">
      <c r="A25236" s="1" t="s">
        <v>38981</v>
      </c>
      <c r="B25236" s="2" t="s">
        <v>36847</v>
      </c>
      <c r="C25236" s="1" t="s">
        <v>7595</v>
      </c>
      <c r="D25236" s="1" t="s">
        <v>7597</v>
      </c>
    </row>
    <row r="25237">
      <c r="A25237" s="1" t="s">
        <v>38982</v>
      </c>
      <c r="B25237" s="2" t="s">
        <v>37793</v>
      </c>
      <c r="C25237" s="1" t="s">
        <v>7595</v>
      </c>
      <c r="D25237" s="1" t="s">
        <v>7597</v>
      </c>
    </row>
    <row r="25238">
      <c r="A25238" s="1" t="s">
        <v>38983</v>
      </c>
      <c r="B25238" s="2" t="s">
        <v>37795</v>
      </c>
      <c r="C25238" s="1" t="s">
        <v>7595</v>
      </c>
      <c r="D25238" s="1" t="s">
        <v>7597</v>
      </c>
    </row>
    <row r="25239">
      <c r="A25239" s="1" t="s">
        <v>38984</v>
      </c>
      <c r="B25239" s="2" t="s">
        <v>37797</v>
      </c>
      <c r="C25239" s="1" t="s">
        <v>7595</v>
      </c>
      <c r="D25239" s="1" t="s">
        <v>7597</v>
      </c>
    </row>
    <row r="25240">
      <c r="A25240" s="1" t="s">
        <v>38985</v>
      </c>
      <c r="B25240" s="2" t="s">
        <v>37799</v>
      </c>
      <c r="C25240" s="1" t="s">
        <v>7595</v>
      </c>
      <c r="D25240" s="1" t="s">
        <v>7597</v>
      </c>
    </row>
    <row r="25241">
      <c r="A25241" s="1" t="s">
        <v>38986</v>
      </c>
      <c r="B25241" s="2" t="s">
        <v>37801</v>
      </c>
      <c r="C25241" s="1" t="s">
        <v>7595</v>
      </c>
      <c r="D25241" s="1" t="s">
        <v>7597</v>
      </c>
    </row>
    <row r="25242">
      <c r="A25242" s="1" t="s">
        <v>38987</v>
      </c>
      <c r="B25242" s="2" t="s">
        <v>37803</v>
      </c>
      <c r="C25242" s="1" t="s">
        <v>7595</v>
      </c>
      <c r="D25242" s="1" t="s">
        <v>7597</v>
      </c>
    </row>
    <row r="25243">
      <c r="A25243" s="1" t="s">
        <v>38988</v>
      </c>
      <c r="B25243" s="2" t="s">
        <v>37805</v>
      </c>
      <c r="C25243" s="1" t="s">
        <v>7595</v>
      </c>
      <c r="D25243" s="1" t="s">
        <v>7597</v>
      </c>
    </row>
    <row r="25244">
      <c r="A25244" s="1" t="s">
        <v>38989</v>
      </c>
      <c r="B25244" s="2" t="s">
        <v>37807</v>
      </c>
      <c r="C25244" s="1" t="s">
        <v>7595</v>
      </c>
      <c r="D25244" s="1" t="s">
        <v>7597</v>
      </c>
    </row>
    <row r="25245">
      <c r="A25245" s="1" t="s">
        <v>38990</v>
      </c>
      <c r="B25245" s="2" t="s">
        <v>37809</v>
      </c>
      <c r="C25245" s="1" t="s">
        <v>7595</v>
      </c>
      <c r="D25245" s="1" t="s">
        <v>7597</v>
      </c>
    </row>
    <row r="25246">
      <c r="A25246" s="1" t="s">
        <v>38991</v>
      </c>
      <c r="B25246" s="2" t="s">
        <v>37811</v>
      </c>
      <c r="C25246" s="1" t="s">
        <v>7595</v>
      </c>
      <c r="D25246" s="1" t="s">
        <v>7597</v>
      </c>
    </row>
    <row r="25247">
      <c r="A25247" s="1" t="s">
        <v>38992</v>
      </c>
      <c r="B25247" s="2" t="s">
        <v>37813</v>
      </c>
      <c r="C25247" s="1" t="s">
        <v>7595</v>
      </c>
      <c r="D25247" s="1" t="s">
        <v>7597</v>
      </c>
    </row>
    <row r="25248">
      <c r="A25248" s="1" t="s">
        <v>38993</v>
      </c>
      <c r="B25248" s="2" t="s">
        <v>37815</v>
      </c>
      <c r="C25248" s="1" t="s">
        <v>7595</v>
      </c>
      <c r="D25248" s="1" t="s">
        <v>7597</v>
      </c>
    </row>
    <row r="25249">
      <c r="A25249" s="1" t="s">
        <v>38994</v>
      </c>
      <c r="B25249" s="2" t="s">
        <v>36907</v>
      </c>
      <c r="C25249" s="1" t="s">
        <v>7595</v>
      </c>
      <c r="D25249" s="1" t="s">
        <v>7597</v>
      </c>
    </row>
    <row r="25250">
      <c r="A25250" s="1" t="s">
        <v>38995</v>
      </c>
      <c r="B25250" s="2" t="s">
        <v>37818</v>
      </c>
      <c r="C25250" s="1" t="s">
        <v>7595</v>
      </c>
      <c r="D25250" s="1" t="s">
        <v>7597</v>
      </c>
    </row>
    <row r="25251">
      <c r="A25251" s="1" t="s">
        <v>38996</v>
      </c>
      <c r="B25251" s="2" t="s">
        <v>37820</v>
      </c>
      <c r="C25251" s="1" t="s">
        <v>7595</v>
      </c>
      <c r="D25251" s="1" t="s">
        <v>7597</v>
      </c>
    </row>
    <row r="25252">
      <c r="A25252" s="1" t="s">
        <v>38997</v>
      </c>
      <c r="B25252" s="2" t="s">
        <v>37822</v>
      </c>
      <c r="C25252" s="1" t="s">
        <v>7595</v>
      </c>
      <c r="D25252" s="1" t="s">
        <v>7597</v>
      </c>
    </row>
    <row r="25253">
      <c r="A25253" s="1" t="s">
        <v>38998</v>
      </c>
      <c r="B25253" s="2" t="s">
        <v>37824</v>
      </c>
      <c r="C25253" s="1" t="s">
        <v>7595</v>
      </c>
      <c r="D25253" s="1" t="s">
        <v>7597</v>
      </c>
    </row>
    <row r="25254">
      <c r="A25254" s="1" t="s">
        <v>38999</v>
      </c>
      <c r="B25254" s="2" t="s">
        <v>37826</v>
      </c>
      <c r="C25254" s="1" t="s">
        <v>7595</v>
      </c>
      <c r="D25254" s="1" t="s">
        <v>7597</v>
      </c>
    </row>
    <row r="25255">
      <c r="A25255" s="1" t="s">
        <v>39000</v>
      </c>
      <c r="B25255" s="2" t="s">
        <v>37828</v>
      </c>
      <c r="C25255" s="1" t="s">
        <v>7595</v>
      </c>
      <c r="D25255" s="1" t="s">
        <v>7597</v>
      </c>
    </row>
    <row r="25256">
      <c r="A25256" s="1" t="s">
        <v>39001</v>
      </c>
      <c r="B25256" s="2" t="s">
        <v>37830</v>
      </c>
      <c r="C25256" s="1" t="s">
        <v>7595</v>
      </c>
      <c r="D25256" s="1" t="s">
        <v>7597</v>
      </c>
    </row>
    <row r="25257">
      <c r="A25257" s="1" t="s">
        <v>39002</v>
      </c>
      <c r="B25257" s="2" t="s">
        <v>37832</v>
      </c>
      <c r="C25257" s="1" t="s">
        <v>7595</v>
      </c>
      <c r="D25257" s="1" t="s">
        <v>7597</v>
      </c>
    </row>
    <row r="25258">
      <c r="A25258" s="1" t="s">
        <v>39003</v>
      </c>
      <c r="B25258" s="2" t="s">
        <v>37834</v>
      </c>
      <c r="C25258" s="1" t="s">
        <v>7595</v>
      </c>
      <c r="D25258" s="1" t="s">
        <v>7597</v>
      </c>
    </row>
    <row r="25259">
      <c r="A25259" s="1" t="s">
        <v>39004</v>
      </c>
      <c r="B25259" s="2" t="s">
        <v>37836</v>
      </c>
      <c r="C25259" s="1" t="s">
        <v>7595</v>
      </c>
      <c r="D25259" s="1" t="s">
        <v>7597</v>
      </c>
    </row>
    <row r="25260">
      <c r="A25260" s="1" t="s">
        <v>39005</v>
      </c>
      <c r="B25260" s="2" t="s">
        <v>37838</v>
      </c>
      <c r="C25260" s="1" t="s">
        <v>7595</v>
      </c>
      <c r="D25260" s="1" t="s">
        <v>7597</v>
      </c>
    </row>
    <row r="25261">
      <c r="A25261" s="1" t="s">
        <v>39006</v>
      </c>
      <c r="B25261" s="2" t="s">
        <v>37840</v>
      </c>
      <c r="C25261" s="1" t="s">
        <v>7595</v>
      </c>
      <c r="D25261" s="1" t="s">
        <v>7597</v>
      </c>
    </row>
    <row r="25262">
      <c r="A25262" s="1" t="s">
        <v>39007</v>
      </c>
      <c r="B25262" s="2" t="s">
        <v>38325</v>
      </c>
      <c r="C25262" s="1" t="s">
        <v>7595</v>
      </c>
      <c r="D25262" s="1" t="s">
        <v>7597</v>
      </c>
    </row>
    <row r="25263">
      <c r="A25263" s="1" t="s">
        <v>39008</v>
      </c>
      <c r="B25263" s="2" t="s">
        <v>39009</v>
      </c>
      <c r="C25263" s="1" t="s">
        <v>7595</v>
      </c>
      <c r="D25263" s="1" t="s">
        <v>7597</v>
      </c>
    </row>
    <row r="25264">
      <c r="A25264" s="1" t="s">
        <v>39010</v>
      </c>
      <c r="B25264" s="2" t="s">
        <v>39011</v>
      </c>
      <c r="C25264" s="1" t="s">
        <v>7595</v>
      </c>
      <c r="D25264" s="1" t="s">
        <v>7597</v>
      </c>
    </row>
    <row r="25265">
      <c r="A25265" s="1" t="s">
        <v>39012</v>
      </c>
      <c r="B25265" s="2" t="s">
        <v>39013</v>
      </c>
      <c r="C25265" s="1" t="s">
        <v>7595</v>
      </c>
      <c r="D25265" s="1" t="s">
        <v>7597</v>
      </c>
    </row>
    <row r="25266">
      <c r="A25266" s="1" t="s">
        <v>39014</v>
      </c>
      <c r="B25266" s="2" t="s">
        <v>39015</v>
      </c>
      <c r="C25266" s="1" t="s">
        <v>7595</v>
      </c>
      <c r="D25266" s="1" t="s">
        <v>7597</v>
      </c>
    </row>
    <row r="25267">
      <c r="A25267" s="1" t="s">
        <v>39016</v>
      </c>
      <c r="B25267" s="2" t="s">
        <v>39017</v>
      </c>
      <c r="C25267" s="1" t="s">
        <v>7595</v>
      </c>
      <c r="D25267" s="1" t="s">
        <v>7597</v>
      </c>
    </row>
    <row r="25268">
      <c r="A25268" s="1" t="s">
        <v>39018</v>
      </c>
      <c r="B25268" s="2" t="s">
        <v>39019</v>
      </c>
      <c r="C25268" s="1" t="s">
        <v>7595</v>
      </c>
      <c r="D25268" s="1" t="s">
        <v>7597</v>
      </c>
    </row>
    <row r="25269">
      <c r="A25269" s="1" t="s">
        <v>39020</v>
      </c>
      <c r="B25269" s="2" t="s">
        <v>39021</v>
      </c>
      <c r="C25269" s="1" t="s">
        <v>7595</v>
      </c>
      <c r="D25269" s="1" t="s">
        <v>7597</v>
      </c>
    </row>
    <row r="25270">
      <c r="A25270" s="1" t="s">
        <v>39022</v>
      </c>
      <c r="B25270" s="2" t="s">
        <v>39023</v>
      </c>
      <c r="C25270" s="1" t="s">
        <v>7595</v>
      </c>
      <c r="D25270" s="1" t="s">
        <v>7597</v>
      </c>
    </row>
    <row r="25271">
      <c r="A25271" s="1" t="s">
        <v>39024</v>
      </c>
      <c r="B25271" s="2" t="s">
        <v>39025</v>
      </c>
      <c r="C25271" s="1" t="s">
        <v>7595</v>
      </c>
      <c r="D25271" s="1" t="s">
        <v>7597</v>
      </c>
    </row>
    <row r="25272">
      <c r="A25272" s="1" t="s">
        <v>39026</v>
      </c>
      <c r="B25272" s="2" t="s">
        <v>39027</v>
      </c>
      <c r="C25272" s="1" t="s">
        <v>7595</v>
      </c>
      <c r="D25272" s="1" t="s">
        <v>7597</v>
      </c>
    </row>
    <row r="25273">
      <c r="A25273" s="1" t="s">
        <v>39028</v>
      </c>
      <c r="B25273" s="2" t="s">
        <v>39029</v>
      </c>
      <c r="C25273" s="1" t="s">
        <v>7595</v>
      </c>
      <c r="D25273" s="1" t="s">
        <v>7597</v>
      </c>
    </row>
    <row r="25274">
      <c r="A25274" s="1" t="s">
        <v>39030</v>
      </c>
      <c r="B25274" s="2" t="s">
        <v>39031</v>
      </c>
      <c r="C25274" s="1" t="s">
        <v>7595</v>
      </c>
      <c r="D25274" s="1" t="s">
        <v>7597</v>
      </c>
    </row>
    <row r="25275">
      <c r="A25275" s="1" t="s">
        <v>39032</v>
      </c>
      <c r="B25275" s="2" t="s">
        <v>36961</v>
      </c>
      <c r="C25275" s="1" t="s">
        <v>7595</v>
      </c>
      <c r="D25275" s="1" t="s">
        <v>7597</v>
      </c>
    </row>
    <row r="25276">
      <c r="A25276" s="1" t="s">
        <v>39033</v>
      </c>
      <c r="B25276" s="2" t="s">
        <v>37843</v>
      </c>
      <c r="C25276" s="1" t="s">
        <v>7595</v>
      </c>
      <c r="D25276" s="1" t="s">
        <v>7597</v>
      </c>
    </row>
    <row r="25277">
      <c r="A25277" s="1" t="s">
        <v>39034</v>
      </c>
      <c r="B25277" s="2" t="s">
        <v>37845</v>
      </c>
      <c r="C25277" s="1" t="s">
        <v>7595</v>
      </c>
      <c r="D25277" s="1" t="s">
        <v>7597</v>
      </c>
    </row>
    <row r="25278">
      <c r="A25278" s="1" t="s">
        <v>39035</v>
      </c>
      <c r="B25278" s="2" t="s">
        <v>37847</v>
      </c>
      <c r="C25278" s="1" t="s">
        <v>7595</v>
      </c>
      <c r="D25278" s="1" t="s">
        <v>7597</v>
      </c>
    </row>
    <row r="25279">
      <c r="A25279" s="1" t="s">
        <v>39036</v>
      </c>
      <c r="B25279" s="2" t="s">
        <v>37849</v>
      </c>
      <c r="C25279" s="1" t="s">
        <v>7595</v>
      </c>
      <c r="D25279" s="1" t="s">
        <v>7597</v>
      </c>
    </row>
    <row r="25280">
      <c r="A25280" s="1" t="s">
        <v>39037</v>
      </c>
      <c r="B25280" s="2" t="s">
        <v>37851</v>
      </c>
      <c r="C25280" s="1" t="s">
        <v>7595</v>
      </c>
      <c r="D25280" s="1" t="s">
        <v>7597</v>
      </c>
    </row>
    <row r="25281">
      <c r="A25281" s="1" t="s">
        <v>39038</v>
      </c>
      <c r="B25281" s="2" t="s">
        <v>37853</v>
      </c>
      <c r="C25281" s="1" t="s">
        <v>7595</v>
      </c>
      <c r="D25281" s="1" t="s">
        <v>7597</v>
      </c>
    </row>
    <row r="25282">
      <c r="A25282" s="1" t="s">
        <v>39039</v>
      </c>
      <c r="B25282" s="2" t="s">
        <v>37855</v>
      </c>
      <c r="C25282" s="1" t="s">
        <v>7595</v>
      </c>
      <c r="D25282" s="1" t="s">
        <v>7597</v>
      </c>
    </row>
    <row r="25283">
      <c r="A25283" s="1" t="s">
        <v>39040</v>
      </c>
      <c r="B25283" s="2" t="s">
        <v>37857</v>
      </c>
      <c r="C25283" s="1" t="s">
        <v>7595</v>
      </c>
      <c r="D25283" s="1" t="s">
        <v>7597</v>
      </c>
    </row>
    <row r="25284">
      <c r="A25284" s="1" t="s">
        <v>39041</v>
      </c>
      <c r="B25284" s="2" t="s">
        <v>37859</v>
      </c>
      <c r="C25284" s="1" t="s">
        <v>7595</v>
      </c>
      <c r="D25284" s="1" t="s">
        <v>7597</v>
      </c>
    </row>
    <row r="25285">
      <c r="A25285" s="1" t="s">
        <v>39042</v>
      </c>
      <c r="B25285" s="2" t="s">
        <v>37861</v>
      </c>
      <c r="C25285" s="1" t="s">
        <v>7595</v>
      </c>
      <c r="D25285" s="1" t="s">
        <v>7597</v>
      </c>
    </row>
    <row r="25286">
      <c r="A25286" s="1" t="s">
        <v>39043</v>
      </c>
      <c r="B25286" s="2" t="s">
        <v>37863</v>
      </c>
      <c r="C25286" s="1" t="s">
        <v>7595</v>
      </c>
      <c r="D25286" s="1" t="s">
        <v>7597</v>
      </c>
    </row>
    <row r="25287">
      <c r="A25287" s="1" t="s">
        <v>39044</v>
      </c>
      <c r="B25287" s="2" t="s">
        <v>37865</v>
      </c>
      <c r="C25287" s="1" t="s">
        <v>7595</v>
      </c>
      <c r="D25287" s="1" t="s">
        <v>7597</v>
      </c>
    </row>
    <row r="25288">
      <c r="A25288" s="1" t="s">
        <v>39045</v>
      </c>
      <c r="B25288" s="2" t="s">
        <v>37027</v>
      </c>
      <c r="C25288" s="1" t="s">
        <v>7595</v>
      </c>
      <c r="D25288" s="1" t="s">
        <v>7597</v>
      </c>
    </row>
    <row r="25289">
      <c r="A25289" s="1" t="s">
        <v>39046</v>
      </c>
      <c r="B25289" s="2" t="s">
        <v>37868</v>
      </c>
      <c r="C25289" s="1" t="s">
        <v>7595</v>
      </c>
      <c r="D25289" s="1" t="s">
        <v>7597</v>
      </c>
    </row>
    <row r="25290">
      <c r="A25290" s="1" t="s">
        <v>39047</v>
      </c>
      <c r="B25290" s="2" t="s">
        <v>37870</v>
      </c>
      <c r="C25290" s="1" t="s">
        <v>7595</v>
      </c>
      <c r="D25290" s="1" t="s">
        <v>7597</v>
      </c>
    </row>
    <row r="25291">
      <c r="A25291" s="1" t="s">
        <v>39048</v>
      </c>
      <c r="B25291" s="2" t="s">
        <v>37872</v>
      </c>
      <c r="C25291" s="1" t="s">
        <v>7595</v>
      </c>
      <c r="D25291" s="1" t="s">
        <v>7597</v>
      </c>
    </row>
    <row r="25292">
      <c r="A25292" s="1" t="s">
        <v>39049</v>
      </c>
      <c r="B25292" s="2" t="s">
        <v>37874</v>
      </c>
      <c r="C25292" s="1" t="s">
        <v>7595</v>
      </c>
      <c r="D25292" s="1" t="s">
        <v>7597</v>
      </c>
    </row>
    <row r="25293">
      <c r="A25293" s="1" t="s">
        <v>39050</v>
      </c>
      <c r="B25293" s="2" t="s">
        <v>37876</v>
      </c>
      <c r="C25293" s="1" t="s">
        <v>7595</v>
      </c>
      <c r="D25293" s="1" t="s">
        <v>7597</v>
      </c>
    </row>
    <row r="25294">
      <c r="A25294" s="1" t="s">
        <v>39051</v>
      </c>
      <c r="B25294" s="2" t="s">
        <v>37878</v>
      </c>
      <c r="C25294" s="1" t="s">
        <v>7595</v>
      </c>
      <c r="D25294" s="1" t="s">
        <v>7597</v>
      </c>
    </row>
    <row r="25295">
      <c r="A25295" s="1" t="s">
        <v>39052</v>
      </c>
      <c r="B25295" s="2" t="s">
        <v>37880</v>
      </c>
      <c r="C25295" s="1" t="s">
        <v>7595</v>
      </c>
      <c r="D25295" s="1" t="s">
        <v>7597</v>
      </c>
    </row>
    <row r="25296">
      <c r="A25296" s="1" t="s">
        <v>39053</v>
      </c>
      <c r="B25296" s="2" t="s">
        <v>37882</v>
      </c>
      <c r="C25296" s="1" t="s">
        <v>7595</v>
      </c>
      <c r="D25296" s="1" t="s">
        <v>7597</v>
      </c>
    </row>
    <row r="25297">
      <c r="A25297" s="1" t="s">
        <v>39054</v>
      </c>
      <c r="B25297" s="2" t="s">
        <v>37884</v>
      </c>
      <c r="C25297" s="1" t="s">
        <v>7595</v>
      </c>
      <c r="D25297" s="1" t="s">
        <v>7597</v>
      </c>
    </row>
    <row r="25298">
      <c r="A25298" s="1" t="s">
        <v>39055</v>
      </c>
      <c r="B25298" s="2" t="s">
        <v>37886</v>
      </c>
      <c r="C25298" s="1" t="s">
        <v>7595</v>
      </c>
      <c r="D25298" s="1" t="s">
        <v>7597</v>
      </c>
    </row>
    <row r="25299">
      <c r="A25299" s="1" t="s">
        <v>39056</v>
      </c>
      <c r="B25299" s="2" t="s">
        <v>37888</v>
      </c>
      <c r="C25299" s="1" t="s">
        <v>7595</v>
      </c>
      <c r="D25299" s="1" t="s">
        <v>7597</v>
      </c>
    </row>
    <row r="25300">
      <c r="A25300" s="1" t="s">
        <v>39057</v>
      </c>
      <c r="B25300" s="2" t="s">
        <v>37890</v>
      </c>
      <c r="C25300" s="1" t="s">
        <v>7595</v>
      </c>
      <c r="D25300" s="1" t="s">
        <v>7597</v>
      </c>
    </row>
    <row r="25301">
      <c r="A25301" s="1" t="s">
        <v>39058</v>
      </c>
      <c r="B25301" s="2" t="s">
        <v>38412</v>
      </c>
      <c r="C25301" s="1" t="s">
        <v>7595</v>
      </c>
      <c r="D25301" s="1" t="s">
        <v>7597</v>
      </c>
    </row>
    <row r="25302">
      <c r="A25302" s="1" t="s">
        <v>39059</v>
      </c>
      <c r="B25302" s="2" t="s">
        <v>39060</v>
      </c>
      <c r="C25302" s="1" t="s">
        <v>7595</v>
      </c>
      <c r="D25302" s="1" t="s">
        <v>7597</v>
      </c>
    </row>
    <row r="25303">
      <c r="A25303" s="1" t="s">
        <v>39061</v>
      </c>
      <c r="B25303" s="2" t="s">
        <v>39062</v>
      </c>
      <c r="C25303" s="1" t="s">
        <v>7595</v>
      </c>
      <c r="D25303" s="1" t="s">
        <v>7597</v>
      </c>
    </row>
    <row r="25304">
      <c r="A25304" s="1" t="s">
        <v>39063</v>
      </c>
      <c r="B25304" s="2" t="s">
        <v>39064</v>
      </c>
      <c r="C25304" s="1" t="s">
        <v>7595</v>
      </c>
      <c r="D25304" s="1" t="s">
        <v>7597</v>
      </c>
    </row>
    <row r="25305">
      <c r="A25305" s="1" t="s">
        <v>39065</v>
      </c>
      <c r="B25305" s="2" t="s">
        <v>39066</v>
      </c>
      <c r="C25305" s="1" t="s">
        <v>7595</v>
      </c>
      <c r="D25305" s="1" t="s">
        <v>7597</v>
      </c>
    </row>
    <row r="25306">
      <c r="A25306" s="1" t="s">
        <v>39067</v>
      </c>
      <c r="B25306" s="2" t="s">
        <v>39068</v>
      </c>
      <c r="C25306" s="1" t="s">
        <v>7595</v>
      </c>
      <c r="D25306" s="1" t="s">
        <v>7597</v>
      </c>
    </row>
    <row r="25307">
      <c r="A25307" s="1" t="s">
        <v>39069</v>
      </c>
      <c r="B25307" s="2" t="s">
        <v>39070</v>
      </c>
      <c r="C25307" s="1" t="s">
        <v>7595</v>
      </c>
      <c r="D25307" s="1" t="s">
        <v>7597</v>
      </c>
    </row>
    <row r="25308">
      <c r="A25308" s="1" t="s">
        <v>39071</v>
      </c>
      <c r="B25308" s="2" t="s">
        <v>39072</v>
      </c>
      <c r="C25308" s="1" t="s">
        <v>7595</v>
      </c>
      <c r="D25308" s="1" t="s">
        <v>7597</v>
      </c>
    </row>
    <row r="25309">
      <c r="A25309" s="1" t="s">
        <v>39073</v>
      </c>
      <c r="B25309" s="2" t="s">
        <v>39074</v>
      </c>
      <c r="C25309" s="1" t="s">
        <v>7595</v>
      </c>
      <c r="D25309" s="1" t="s">
        <v>7597</v>
      </c>
    </row>
    <row r="25310">
      <c r="A25310" s="1" t="s">
        <v>39075</v>
      </c>
      <c r="B25310" s="2" t="s">
        <v>39076</v>
      </c>
      <c r="C25310" s="1" t="s">
        <v>7595</v>
      </c>
      <c r="D25310" s="1" t="s">
        <v>7597</v>
      </c>
    </row>
    <row r="25311">
      <c r="A25311" s="1" t="s">
        <v>39077</v>
      </c>
      <c r="B25311" s="2" t="s">
        <v>39078</v>
      </c>
      <c r="C25311" s="1" t="s">
        <v>7595</v>
      </c>
      <c r="D25311" s="1" t="s">
        <v>7597</v>
      </c>
    </row>
    <row r="25312">
      <c r="A25312" s="1" t="s">
        <v>39079</v>
      </c>
      <c r="B25312" s="2" t="s">
        <v>39080</v>
      </c>
      <c r="C25312" s="1" t="s">
        <v>7595</v>
      </c>
      <c r="D25312" s="1" t="s">
        <v>7597</v>
      </c>
    </row>
    <row r="25313">
      <c r="A25313" s="1" t="s">
        <v>39081</v>
      </c>
      <c r="B25313" s="2" t="s">
        <v>39082</v>
      </c>
      <c r="C25313" s="1" t="s">
        <v>7595</v>
      </c>
      <c r="D25313" s="1" t="s">
        <v>7597</v>
      </c>
    </row>
    <row r="25314">
      <c r="A25314" s="1" t="s">
        <v>39083</v>
      </c>
      <c r="B25314" s="2" t="s">
        <v>37075</v>
      </c>
      <c r="C25314" s="1" t="s">
        <v>7595</v>
      </c>
      <c r="D25314" s="1" t="s">
        <v>7597</v>
      </c>
    </row>
    <row r="25315">
      <c r="A25315" s="1" t="s">
        <v>7601</v>
      </c>
      <c r="B25315" s="2" t="s">
        <v>7</v>
      </c>
      <c r="C25315" s="1" t="s">
        <v>7603</v>
      </c>
      <c r="D25315" s="1" t="s">
        <v>7605</v>
      </c>
    </row>
    <row r="25316">
      <c r="A25316" s="1" t="s">
        <v>39084</v>
      </c>
      <c r="B25316" s="2" t="s">
        <v>39085</v>
      </c>
      <c r="C25316" s="1" t="s">
        <v>7603</v>
      </c>
      <c r="D25316" s="1" t="s">
        <v>7605</v>
      </c>
    </row>
    <row r="25317">
      <c r="A25317" s="1" t="s">
        <v>39086</v>
      </c>
      <c r="B25317" s="2" t="s">
        <v>39087</v>
      </c>
      <c r="C25317" s="1" t="s">
        <v>7603</v>
      </c>
      <c r="D25317" s="1" t="s">
        <v>7605</v>
      </c>
    </row>
    <row r="25318">
      <c r="A25318" s="1" t="s">
        <v>39088</v>
      </c>
      <c r="B25318" s="2" t="s">
        <v>39089</v>
      </c>
      <c r="C25318" s="1" t="s">
        <v>7603</v>
      </c>
      <c r="D25318" s="1" t="s">
        <v>7605</v>
      </c>
    </row>
    <row r="25319">
      <c r="A25319" s="1" t="s">
        <v>39090</v>
      </c>
      <c r="B25319" s="2" t="s">
        <v>36715</v>
      </c>
      <c r="C25319" s="1" t="s">
        <v>7603</v>
      </c>
      <c r="D25319" s="1" t="s">
        <v>7605</v>
      </c>
    </row>
    <row r="25320">
      <c r="A25320" s="1" t="s">
        <v>39091</v>
      </c>
      <c r="B25320" s="2" t="s">
        <v>39092</v>
      </c>
      <c r="C25320" s="1" t="s">
        <v>7603</v>
      </c>
      <c r="D25320" s="1" t="s">
        <v>7605</v>
      </c>
    </row>
    <row r="25321">
      <c r="A25321" s="1" t="s">
        <v>39093</v>
      </c>
      <c r="B25321" s="2" t="s">
        <v>39094</v>
      </c>
      <c r="C25321" s="1" t="s">
        <v>7603</v>
      </c>
      <c r="D25321" s="1" t="s">
        <v>7605</v>
      </c>
    </row>
    <row r="25322">
      <c r="A25322" s="1" t="s">
        <v>39095</v>
      </c>
      <c r="B25322" s="2" t="s">
        <v>39096</v>
      </c>
      <c r="C25322" s="1" t="s">
        <v>7603</v>
      </c>
      <c r="D25322" s="1" t="s">
        <v>7605</v>
      </c>
    </row>
    <row r="25323">
      <c r="A25323" s="1" t="s">
        <v>39097</v>
      </c>
      <c r="B25323" s="2" t="s">
        <v>36781</v>
      </c>
      <c r="C25323" s="1" t="s">
        <v>7603</v>
      </c>
      <c r="D25323" s="1" t="s">
        <v>7605</v>
      </c>
    </row>
    <row r="25324">
      <c r="A25324" s="1" t="s">
        <v>39098</v>
      </c>
      <c r="B25324" s="2" t="s">
        <v>39099</v>
      </c>
      <c r="C25324" s="1" t="s">
        <v>7603</v>
      </c>
      <c r="D25324" s="1" t="s">
        <v>7605</v>
      </c>
    </row>
    <row r="25325">
      <c r="A25325" s="1" t="s">
        <v>39100</v>
      </c>
      <c r="B25325" s="2" t="s">
        <v>39101</v>
      </c>
      <c r="C25325" s="1" t="s">
        <v>7603</v>
      </c>
      <c r="D25325" s="1" t="s">
        <v>7605</v>
      </c>
    </row>
    <row r="25326">
      <c r="A25326" s="1" t="s">
        <v>39102</v>
      </c>
      <c r="B25326" s="2" t="s">
        <v>39103</v>
      </c>
      <c r="C25326" s="1" t="s">
        <v>7603</v>
      </c>
      <c r="D25326" s="1" t="s">
        <v>7605</v>
      </c>
    </row>
    <row r="25327">
      <c r="A25327" s="1" t="s">
        <v>39104</v>
      </c>
      <c r="B25327" s="2" t="s">
        <v>36847</v>
      </c>
      <c r="C25327" s="1" t="s">
        <v>7603</v>
      </c>
      <c r="D25327" s="1" t="s">
        <v>7605</v>
      </c>
    </row>
    <row r="25328">
      <c r="A25328" s="1" t="s">
        <v>39105</v>
      </c>
      <c r="B25328" s="2" t="s">
        <v>39106</v>
      </c>
      <c r="C25328" s="1" t="s">
        <v>7603</v>
      </c>
      <c r="D25328" s="1" t="s">
        <v>7605</v>
      </c>
    </row>
    <row r="25329">
      <c r="A25329" s="1" t="s">
        <v>39107</v>
      </c>
      <c r="B25329" s="2" t="s">
        <v>39108</v>
      </c>
      <c r="C25329" s="1" t="s">
        <v>7603</v>
      </c>
      <c r="D25329" s="1" t="s">
        <v>7605</v>
      </c>
    </row>
    <row r="25330">
      <c r="A25330" s="1" t="s">
        <v>39109</v>
      </c>
      <c r="B25330" s="2" t="s">
        <v>39110</v>
      </c>
      <c r="C25330" s="1" t="s">
        <v>7603</v>
      </c>
      <c r="D25330" s="1" t="s">
        <v>7605</v>
      </c>
    </row>
    <row r="25331">
      <c r="A25331" s="1" t="s">
        <v>39111</v>
      </c>
      <c r="B25331" s="2" t="s">
        <v>36907</v>
      </c>
      <c r="C25331" s="1" t="s">
        <v>7603</v>
      </c>
      <c r="D25331" s="1" t="s">
        <v>7605</v>
      </c>
    </row>
    <row r="25332">
      <c r="A25332" s="1" t="s">
        <v>39112</v>
      </c>
      <c r="B25332" s="2" t="s">
        <v>39113</v>
      </c>
      <c r="C25332" s="1" t="s">
        <v>7603</v>
      </c>
      <c r="D25332" s="1" t="s">
        <v>7605</v>
      </c>
    </row>
    <row r="25333">
      <c r="A25333" s="1" t="s">
        <v>39114</v>
      </c>
      <c r="B25333" s="2" t="s">
        <v>39115</v>
      </c>
      <c r="C25333" s="1" t="s">
        <v>7603</v>
      </c>
      <c r="D25333" s="1" t="s">
        <v>7605</v>
      </c>
    </row>
    <row r="25334">
      <c r="A25334" s="1" t="s">
        <v>39116</v>
      </c>
      <c r="B25334" s="2" t="s">
        <v>39117</v>
      </c>
      <c r="C25334" s="1" t="s">
        <v>7603</v>
      </c>
      <c r="D25334" s="1" t="s">
        <v>7605</v>
      </c>
    </row>
    <row r="25335">
      <c r="A25335" s="1" t="s">
        <v>39118</v>
      </c>
      <c r="B25335" s="2" t="s">
        <v>38325</v>
      </c>
      <c r="C25335" s="1" t="s">
        <v>7603</v>
      </c>
      <c r="D25335" s="1" t="s">
        <v>7605</v>
      </c>
    </row>
    <row r="25336">
      <c r="A25336" s="1" t="s">
        <v>39119</v>
      </c>
      <c r="B25336" s="2" t="s">
        <v>39120</v>
      </c>
      <c r="C25336" s="1" t="s">
        <v>7603</v>
      </c>
      <c r="D25336" s="1" t="s">
        <v>7605</v>
      </c>
    </row>
    <row r="25337">
      <c r="A25337" s="1" t="s">
        <v>39121</v>
      </c>
      <c r="B25337" s="2" t="s">
        <v>39122</v>
      </c>
      <c r="C25337" s="1" t="s">
        <v>7603</v>
      </c>
      <c r="D25337" s="1" t="s">
        <v>7605</v>
      </c>
    </row>
    <row r="25338">
      <c r="A25338" s="1" t="s">
        <v>39123</v>
      </c>
      <c r="B25338" s="2" t="s">
        <v>39124</v>
      </c>
      <c r="C25338" s="1" t="s">
        <v>7603</v>
      </c>
      <c r="D25338" s="1" t="s">
        <v>7605</v>
      </c>
    </row>
    <row r="25339">
      <c r="A25339" s="1" t="s">
        <v>39125</v>
      </c>
      <c r="B25339" s="2" t="s">
        <v>36961</v>
      </c>
      <c r="C25339" s="1" t="s">
        <v>7603</v>
      </c>
      <c r="D25339" s="1" t="s">
        <v>7605</v>
      </c>
    </row>
    <row r="25340">
      <c r="A25340" s="1" t="s">
        <v>39126</v>
      </c>
      <c r="B25340" s="2" t="s">
        <v>39127</v>
      </c>
      <c r="C25340" s="1" t="s">
        <v>7603</v>
      </c>
      <c r="D25340" s="1" t="s">
        <v>7605</v>
      </c>
    </row>
    <row r="25341">
      <c r="A25341" s="1" t="s">
        <v>39128</v>
      </c>
      <c r="B25341" s="2" t="s">
        <v>39129</v>
      </c>
      <c r="C25341" s="1" t="s">
        <v>7603</v>
      </c>
      <c r="D25341" s="1" t="s">
        <v>7605</v>
      </c>
    </row>
    <row r="25342">
      <c r="A25342" s="1" t="s">
        <v>39130</v>
      </c>
      <c r="B25342" s="2" t="s">
        <v>39131</v>
      </c>
      <c r="C25342" s="1" t="s">
        <v>7603</v>
      </c>
      <c r="D25342" s="1" t="s">
        <v>7605</v>
      </c>
    </row>
    <row r="25343">
      <c r="A25343" s="1" t="s">
        <v>39132</v>
      </c>
      <c r="B25343" s="2" t="s">
        <v>37027</v>
      </c>
      <c r="C25343" s="1" t="s">
        <v>7603</v>
      </c>
      <c r="D25343" s="1" t="s">
        <v>7605</v>
      </c>
    </row>
    <row r="25344">
      <c r="A25344" s="1" t="s">
        <v>39133</v>
      </c>
      <c r="B25344" s="2" t="s">
        <v>39134</v>
      </c>
      <c r="C25344" s="1" t="s">
        <v>7603</v>
      </c>
      <c r="D25344" s="1" t="s">
        <v>7605</v>
      </c>
    </row>
    <row r="25345">
      <c r="A25345" s="1" t="s">
        <v>39135</v>
      </c>
      <c r="B25345" s="2" t="s">
        <v>39136</v>
      </c>
      <c r="C25345" s="1" t="s">
        <v>7603</v>
      </c>
      <c r="D25345" s="1" t="s">
        <v>7605</v>
      </c>
    </row>
    <row r="25346">
      <c r="A25346" s="1" t="s">
        <v>39137</v>
      </c>
      <c r="B25346" s="2" t="s">
        <v>39138</v>
      </c>
      <c r="C25346" s="1" t="s">
        <v>7603</v>
      </c>
      <c r="D25346" s="1" t="s">
        <v>7605</v>
      </c>
    </row>
    <row r="25347">
      <c r="A25347" s="1" t="s">
        <v>39139</v>
      </c>
      <c r="B25347" s="2" t="s">
        <v>38412</v>
      </c>
      <c r="C25347" s="1" t="s">
        <v>7603</v>
      </c>
      <c r="D25347" s="1" t="s">
        <v>7605</v>
      </c>
    </row>
    <row r="25348">
      <c r="A25348" s="1" t="s">
        <v>39140</v>
      </c>
      <c r="B25348" s="2" t="s">
        <v>39141</v>
      </c>
      <c r="C25348" s="1" t="s">
        <v>7603</v>
      </c>
      <c r="D25348" s="1" t="s">
        <v>7605</v>
      </c>
    </row>
    <row r="25349">
      <c r="A25349" s="1" t="s">
        <v>39142</v>
      </c>
      <c r="B25349" s="2" t="s">
        <v>39143</v>
      </c>
      <c r="C25349" s="1" t="s">
        <v>7603</v>
      </c>
      <c r="D25349" s="1" t="s">
        <v>7605</v>
      </c>
    </row>
    <row r="25350">
      <c r="A25350" s="1" t="s">
        <v>39144</v>
      </c>
      <c r="B25350" s="2" t="s">
        <v>39145</v>
      </c>
      <c r="C25350" s="1" t="s">
        <v>7603</v>
      </c>
      <c r="D25350" s="1" t="s">
        <v>7605</v>
      </c>
    </row>
    <row r="25351">
      <c r="A25351" s="1" t="s">
        <v>39146</v>
      </c>
      <c r="B25351" s="2" t="s">
        <v>37075</v>
      </c>
      <c r="C25351" s="1" t="s">
        <v>7603</v>
      </c>
      <c r="D25351" s="1" t="s">
        <v>7605</v>
      </c>
    </row>
    <row r="25352">
      <c r="A25352" s="1" t="s">
        <v>7611</v>
      </c>
      <c r="B25352" s="2" t="s">
        <v>7</v>
      </c>
      <c r="C25352" s="1" t="s">
        <v>7613</v>
      </c>
      <c r="D25352" s="1" t="s">
        <v>7615</v>
      </c>
    </row>
    <row r="25353">
      <c r="A25353" s="1" t="s">
        <v>39147</v>
      </c>
      <c r="B25353" s="2" t="s">
        <v>39148</v>
      </c>
      <c r="C25353" s="1" t="s">
        <v>7613</v>
      </c>
      <c r="D25353" s="1" t="s">
        <v>7615</v>
      </c>
    </row>
    <row r="25354">
      <c r="A25354" s="1" t="s">
        <v>39149</v>
      </c>
      <c r="B25354" s="2" t="s">
        <v>39150</v>
      </c>
      <c r="C25354" s="1" t="s">
        <v>7613</v>
      </c>
      <c r="D25354" s="1" t="s">
        <v>7615</v>
      </c>
    </row>
    <row r="25355">
      <c r="A25355" s="1" t="s">
        <v>39151</v>
      </c>
      <c r="B25355" s="2" t="s">
        <v>39152</v>
      </c>
      <c r="C25355" s="1" t="s">
        <v>7613</v>
      </c>
      <c r="D25355" s="1" t="s">
        <v>7615</v>
      </c>
    </row>
    <row r="25356">
      <c r="A25356" s="1" t="s">
        <v>39153</v>
      </c>
      <c r="B25356" s="2" t="s">
        <v>39154</v>
      </c>
      <c r="C25356" s="1" t="s">
        <v>7613</v>
      </c>
      <c r="D25356" s="1" t="s">
        <v>7615</v>
      </c>
    </row>
    <row r="25357">
      <c r="A25357" s="1" t="s">
        <v>39155</v>
      </c>
      <c r="B25357" s="2" t="s">
        <v>36715</v>
      </c>
      <c r="C25357" s="1" t="s">
        <v>7613</v>
      </c>
      <c r="D25357" s="1" t="s">
        <v>7615</v>
      </c>
    </row>
    <row r="25358">
      <c r="A25358" s="1" t="s">
        <v>39156</v>
      </c>
      <c r="B25358" s="2" t="s">
        <v>39157</v>
      </c>
      <c r="C25358" s="1" t="s">
        <v>7613</v>
      </c>
      <c r="D25358" s="1" t="s">
        <v>7615</v>
      </c>
    </row>
    <row r="25359">
      <c r="A25359" s="1" t="s">
        <v>39158</v>
      </c>
      <c r="B25359" s="2" t="s">
        <v>39159</v>
      </c>
      <c r="C25359" s="1" t="s">
        <v>7613</v>
      </c>
      <c r="D25359" s="1" t="s">
        <v>7615</v>
      </c>
    </row>
    <row r="25360">
      <c r="A25360" s="1" t="s">
        <v>39160</v>
      </c>
      <c r="B25360" s="2" t="s">
        <v>39161</v>
      </c>
      <c r="C25360" s="1" t="s">
        <v>7613</v>
      </c>
      <c r="D25360" s="1" t="s">
        <v>7615</v>
      </c>
    </row>
    <row r="25361">
      <c r="A25361" s="1" t="s">
        <v>39162</v>
      </c>
      <c r="B25361" s="2" t="s">
        <v>39163</v>
      </c>
      <c r="C25361" s="1" t="s">
        <v>7613</v>
      </c>
      <c r="D25361" s="1" t="s">
        <v>7615</v>
      </c>
    </row>
    <row r="25362">
      <c r="A25362" s="1" t="s">
        <v>39164</v>
      </c>
      <c r="B25362" s="2" t="s">
        <v>36781</v>
      </c>
      <c r="C25362" s="1" t="s">
        <v>7613</v>
      </c>
      <c r="D25362" s="1" t="s">
        <v>7615</v>
      </c>
    </row>
    <row r="25363">
      <c r="A25363" s="1" t="s">
        <v>39165</v>
      </c>
      <c r="B25363" s="2" t="s">
        <v>39166</v>
      </c>
      <c r="C25363" s="1" t="s">
        <v>7613</v>
      </c>
      <c r="D25363" s="1" t="s">
        <v>7615</v>
      </c>
    </row>
    <row r="25364">
      <c r="A25364" s="1" t="s">
        <v>39167</v>
      </c>
      <c r="B25364" s="2" t="s">
        <v>39168</v>
      </c>
      <c r="C25364" s="1" t="s">
        <v>7613</v>
      </c>
      <c r="D25364" s="1" t="s">
        <v>7615</v>
      </c>
    </row>
    <row r="25365">
      <c r="A25365" s="1" t="s">
        <v>39169</v>
      </c>
      <c r="B25365" s="2" t="s">
        <v>39170</v>
      </c>
      <c r="C25365" s="1" t="s">
        <v>7613</v>
      </c>
      <c r="D25365" s="1" t="s">
        <v>7615</v>
      </c>
    </row>
    <row r="25366">
      <c r="A25366" s="1" t="s">
        <v>39171</v>
      </c>
      <c r="B25366" s="2" t="s">
        <v>39172</v>
      </c>
      <c r="C25366" s="1" t="s">
        <v>7613</v>
      </c>
      <c r="D25366" s="1" t="s">
        <v>7615</v>
      </c>
    </row>
    <row r="25367">
      <c r="A25367" s="1" t="s">
        <v>39173</v>
      </c>
      <c r="B25367" s="2" t="s">
        <v>36847</v>
      </c>
      <c r="C25367" s="1" t="s">
        <v>7613</v>
      </c>
      <c r="D25367" s="1" t="s">
        <v>7615</v>
      </c>
    </row>
    <row r="25368">
      <c r="A25368" s="1" t="s">
        <v>39174</v>
      </c>
      <c r="B25368" s="2" t="s">
        <v>39175</v>
      </c>
      <c r="C25368" s="1" t="s">
        <v>7613</v>
      </c>
      <c r="D25368" s="1" t="s">
        <v>7615</v>
      </c>
    </row>
    <row r="25369">
      <c r="A25369" s="1" t="s">
        <v>39176</v>
      </c>
      <c r="B25369" s="2" t="s">
        <v>39177</v>
      </c>
      <c r="C25369" s="1" t="s">
        <v>7613</v>
      </c>
      <c r="D25369" s="1" t="s">
        <v>7615</v>
      </c>
    </row>
    <row r="25370">
      <c r="A25370" s="1" t="s">
        <v>39178</v>
      </c>
      <c r="B25370" s="2" t="s">
        <v>39179</v>
      </c>
      <c r="C25370" s="1" t="s">
        <v>7613</v>
      </c>
      <c r="D25370" s="1" t="s">
        <v>7615</v>
      </c>
    </row>
    <row r="25371">
      <c r="A25371" s="1" t="s">
        <v>39180</v>
      </c>
      <c r="B25371" s="2" t="s">
        <v>39181</v>
      </c>
      <c r="C25371" s="1" t="s">
        <v>7613</v>
      </c>
      <c r="D25371" s="1" t="s">
        <v>7615</v>
      </c>
    </row>
    <row r="25372">
      <c r="A25372" s="1" t="s">
        <v>39182</v>
      </c>
      <c r="B25372" s="2" t="s">
        <v>36907</v>
      </c>
      <c r="C25372" s="1" t="s">
        <v>7613</v>
      </c>
      <c r="D25372" s="1" t="s">
        <v>7615</v>
      </c>
    </row>
    <row r="25373">
      <c r="A25373" s="1" t="s">
        <v>39183</v>
      </c>
      <c r="B25373" s="2" t="s">
        <v>39184</v>
      </c>
      <c r="C25373" s="1" t="s">
        <v>7613</v>
      </c>
      <c r="D25373" s="1" t="s">
        <v>7615</v>
      </c>
    </row>
    <row r="25374">
      <c r="A25374" s="1" t="s">
        <v>39185</v>
      </c>
      <c r="B25374" s="2" t="s">
        <v>39186</v>
      </c>
      <c r="C25374" s="1" t="s">
        <v>7613</v>
      </c>
      <c r="D25374" s="1" t="s">
        <v>7615</v>
      </c>
    </row>
    <row r="25375">
      <c r="A25375" s="1" t="s">
        <v>39187</v>
      </c>
      <c r="B25375" s="2" t="s">
        <v>39188</v>
      </c>
      <c r="C25375" s="1" t="s">
        <v>7613</v>
      </c>
      <c r="D25375" s="1" t="s">
        <v>7615</v>
      </c>
    </row>
    <row r="25376">
      <c r="A25376" s="1" t="s">
        <v>39189</v>
      </c>
      <c r="B25376" s="2" t="s">
        <v>39190</v>
      </c>
      <c r="C25376" s="1" t="s">
        <v>7613</v>
      </c>
      <c r="D25376" s="1" t="s">
        <v>7615</v>
      </c>
    </row>
    <row r="25377">
      <c r="A25377" s="1" t="s">
        <v>39191</v>
      </c>
      <c r="B25377" s="2" t="s">
        <v>38325</v>
      </c>
      <c r="C25377" s="1" t="s">
        <v>7613</v>
      </c>
      <c r="D25377" s="1" t="s">
        <v>7615</v>
      </c>
    </row>
    <row r="25378">
      <c r="A25378" s="1" t="s">
        <v>39192</v>
      </c>
      <c r="B25378" s="2" t="s">
        <v>39193</v>
      </c>
      <c r="C25378" s="1" t="s">
        <v>7613</v>
      </c>
      <c r="D25378" s="1" t="s">
        <v>7615</v>
      </c>
    </row>
    <row r="25379">
      <c r="A25379" s="1" t="s">
        <v>39194</v>
      </c>
      <c r="B25379" s="2" t="s">
        <v>39195</v>
      </c>
      <c r="C25379" s="1" t="s">
        <v>7613</v>
      </c>
      <c r="D25379" s="1" t="s">
        <v>7615</v>
      </c>
    </row>
    <row r="25380">
      <c r="A25380" s="1" t="s">
        <v>39196</v>
      </c>
      <c r="B25380" s="2" t="s">
        <v>39197</v>
      </c>
      <c r="C25380" s="1" t="s">
        <v>7613</v>
      </c>
      <c r="D25380" s="1" t="s">
        <v>7615</v>
      </c>
    </row>
    <row r="25381">
      <c r="A25381" s="1" t="s">
        <v>39198</v>
      </c>
      <c r="B25381" s="2" t="s">
        <v>39199</v>
      </c>
      <c r="C25381" s="1" t="s">
        <v>7613</v>
      </c>
      <c r="D25381" s="1" t="s">
        <v>7615</v>
      </c>
    </row>
    <row r="25382">
      <c r="A25382" s="1" t="s">
        <v>39200</v>
      </c>
      <c r="B25382" s="2" t="s">
        <v>36961</v>
      </c>
      <c r="C25382" s="1" t="s">
        <v>7613</v>
      </c>
      <c r="D25382" s="1" t="s">
        <v>7615</v>
      </c>
    </row>
    <row r="25383">
      <c r="A25383" s="1" t="s">
        <v>39201</v>
      </c>
      <c r="B25383" s="2" t="s">
        <v>39202</v>
      </c>
      <c r="C25383" s="1" t="s">
        <v>7613</v>
      </c>
      <c r="D25383" s="1" t="s">
        <v>7615</v>
      </c>
    </row>
    <row r="25384">
      <c r="A25384" s="1" t="s">
        <v>39203</v>
      </c>
      <c r="B25384" s="2" t="s">
        <v>39204</v>
      </c>
      <c r="C25384" s="1" t="s">
        <v>7613</v>
      </c>
      <c r="D25384" s="1" t="s">
        <v>7615</v>
      </c>
    </row>
    <row r="25385">
      <c r="A25385" s="1" t="s">
        <v>39205</v>
      </c>
      <c r="B25385" s="2" t="s">
        <v>39206</v>
      </c>
      <c r="C25385" s="1" t="s">
        <v>7613</v>
      </c>
      <c r="D25385" s="1" t="s">
        <v>7615</v>
      </c>
    </row>
    <row r="25386">
      <c r="A25386" s="1" t="s">
        <v>39207</v>
      </c>
      <c r="B25386" s="2" t="s">
        <v>39208</v>
      </c>
      <c r="C25386" s="1" t="s">
        <v>7613</v>
      </c>
      <c r="D25386" s="1" t="s">
        <v>7615</v>
      </c>
    </row>
    <row r="25387">
      <c r="A25387" s="1" t="s">
        <v>39209</v>
      </c>
      <c r="B25387" s="2" t="s">
        <v>37027</v>
      </c>
      <c r="C25387" s="1" t="s">
        <v>7613</v>
      </c>
      <c r="D25387" s="1" t="s">
        <v>7615</v>
      </c>
    </row>
    <row r="25388">
      <c r="A25388" s="1" t="s">
        <v>39210</v>
      </c>
      <c r="B25388" s="2" t="s">
        <v>39211</v>
      </c>
      <c r="C25388" s="1" t="s">
        <v>7613</v>
      </c>
      <c r="D25388" s="1" t="s">
        <v>7615</v>
      </c>
    </row>
    <row r="25389">
      <c r="A25389" s="1" t="s">
        <v>39212</v>
      </c>
      <c r="B25389" s="2" t="s">
        <v>39213</v>
      </c>
      <c r="C25389" s="1" t="s">
        <v>7613</v>
      </c>
      <c r="D25389" s="1" t="s">
        <v>7615</v>
      </c>
    </row>
    <row r="25390">
      <c r="A25390" s="1" t="s">
        <v>39214</v>
      </c>
      <c r="B25390" s="2" t="s">
        <v>39215</v>
      </c>
      <c r="C25390" s="1" t="s">
        <v>7613</v>
      </c>
      <c r="D25390" s="1" t="s">
        <v>7615</v>
      </c>
    </row>
    <row r="25391">
      <c r="A25391" s="1" t="s">
        <v>39216</v>
      </c>
      <c r="B25391" s="2" t="s">
        <v>39217</v>
      </c>
      <c r="C25391" s="1" t="s">
        <v>7613</v>
      </c>
      <c r="D25391" s="1" t="s">
        <v>7615</v>
      </c>
    </row>
    <row r="25392">
      <c r="A25392" s="1" t="s">
        <v>39218</v>
      </c>
      <c r="B25392" s="2" t="s">
        <v>38412</v>
      </c>
      <c r="C25392" s="1" t="s">
        <v>7613</v>
      </c>
      <c r="D25392" s="1" t="s">
        <v>7615</v>
      </c>
    </row>
    <row r="25393">
      <c r="A25393" s="1" t="s">
        <v>39219</v>
      </c>
      <c r="B25393" s="2" t="s">
        <v>39220</v>
      </c>
      <c r="C25393" s="1" t="s">
        <v>7613</v>
      </c>
      <c r="D25393" s="1" t="s">
        <v>7615</v>
      </c>
    </row>
    <row r="25394">
      <c r="A25394" s="1" t="s">
        <v>39221</v>
      </c>
      <c r="B25394" s="2" t="s">
        <v>39222</v>
      </c>
      <c r="C25394" s="1" t="s">
        <v>7613</v>
      </c>
      <c r="D25394" s="1" t="s">
        <v>7615</v>
      </c>
    </row>
    <row r="25395">
      <c r="A25395" s="1" t="s">
        <v>39223</v>
      </c>
      <c r="B25395" s="2" t="s">
        <v>39224</v>
      </c>
      <c r="C25395" s="1" t="s">
        <v>7613</v>
      </c>
      <c r="D25395" s="1" t="s">
        <v>7615</v>
      </c>
    </row>
    <row r="25396">
      <c r="A25396" s="1" t="s">
        <v>39225</v>
      </c>
      <c r="B25396" s="2" t="s">
        <v>39226</v>
      </c>
      <c r="C25396" s="1" t="s">
        <v>7613</v>
      </c>
      <c r="D25396" s="1" t="s">
        <v>7615</v>
      </c>
    </row>
    <row r="25397">
      <c r="A25397" s="1" t="s">
        <v>39227</v>
      </c>
      <c r="B25397" s="2" t="s">
        <v>37075</v>
      </c>
      <c r="C25397" s="1" t="s">
        <v>7613</v>
      </c>
      <c r="D25397" s="1" t="s">
        <v>7615</v>
      </c>
    </row>
    <row r="25398">
      <c r="A25398" s="1" t="s">
        <v>7620</v>
      </c>
      <c r="B25398" s="2" t="s">
        <v>7</v>
      </c>
      <c r="C25398" s="1" t="s">
        <v>7622</v>
      </c>
      <c r="D25398" s="1" t="s">
        <v>7624</v>
      </c>
    </row>
    <row r="25399">
      <c r="A25399" s="1" t="s">
        <v>39228</v>
      </c>
      <c r="B25399" s="2" t="s">
        <v>5721</v>
      </c>
      <c r="C25399" s="1" t="s">
        <v>7622</v>
      </c>
      <c r="D25399" s="1" t="s">
        <v>7624</v>
      </c>
    </row>
    <row r="25400">
      <c r="A25400" s="1" t="s">
        <v>39229</v>
      </c>
      <c r="B25400" s="2" t="s">
        <v>37894</v>
      </c>
      <c r="C25400" s="1" t="s">
        <v>7622</v>
      </c>
      <c r="D25400" s="1" t="s">
        <v>7624</v>
      </c>
    </row>
    <row r="25401">
      <c r="A25401" s="1" t="s">
        <v>39230</v>
      </c>
      <c r="B25401" s="2" t="s">
        <v>37896</v>
      </c>
      <c r="C25401" s="1" t="s">
        <v>7622</v>
      </c>
      <c r="D25401" s="1" t="s">
        <v>7624</v>
      </c>
    </row>
    <row r="25402">
      <c r="A25402" s="1" t="s">
        <v>39231</v>
      </c>
      <c r="B25402" s="2" t="s">
        <v>37898</v>
      </c>
      <c r="C25402" s="1" t="s">
        <v>7622</v>
      </c>
      <c r="D25402" s="1" t="s">
        <v>7624</v>
      </c>
    </row>
    <row r="25403">
      <c r="A25403" s="1" t="s">
        <v>39232</v>
      </c>
      <c r="B25403" s="2" t="s">
        <v>36715</v>
      </c>
      <c r="C25403" s="1" t="s">
        <v>7622</v>
      </c>
      <c r="D25403" s="1" t="s">
        <v>7624</v>
      </c>
    </row>
    <row r="25404">
      <c r="A25404" s="1" t="s">
        <v>39233</v>
      </c>
      <c r="B25404" s="2" t="s">
        <v>37901</v>
      </c>
      <c r="C25404" s="1" t="s">
        <v>7622</v>
      </c>
      <c r="D25404" s="1" t="s">
        <v>7624</v>
      </c>
    </row>
    <row r="25405">
      <c r="A25405" s="1" t="s">
        <v>39234</v>
      </c>
      <c r="B25405" s="2" t="s">
        <v>37903</v>
      </c>
      <c r="C25405" s="1" t="s">
        <v>7622</v>
      </c>
      <c r="D25405" s="1" t="s">
        <v>7624</v>
      </c>
    </row>
    <row r="25406">
      <c r="A25406" s="1" t="s">
        <v>39235</v>
      </c>
      <c r="B25406" s="2" t="s">
        <v>37905</v>
      </c>
      <c r="C25406" s="1" t="s">
        <v>7622</v>
      </c>
      <c r="D25406" s="1" t="s">
        <v>7624</v>
      </c>
    </row>
    <row r="25407">
      <c r="A25407" s="1" t="s">
        <v>39236</v>
      </c>
      <c r="B25407" s="2" t="s">
        <v>37907</v>
      </c>
      <c r="C25407" s="1" t="s">
        <v>7622</v>
      </c>
      <c r="D25407" s="1" t="s">
        <v>7624</v>
      </c>
    </row>
    <row r="25408">
      <c r="A25408" s="1" t="s">
        <v>39237</v>
      </c>
      <c r="B25408" s="2" t="s">
        <v>36781</v>
      </c>
      <c r="C25408" s="1" t="s">
        <v>7622</v>
      </c>
      <c r="D25408" s="1" t="s">
        <v>7624</v>
      </c>
    </row>
    <row r="25409">
      <c r="A25409" s="1" t="s">
        <v>39238</v>
      </c>
      <c r="B25409" s="2" t="s">
        <v>37910</v>
      </c>
      <c r="C25409" s="1" t="s">
        <v>7622</v>
      </c>
      <c r="D25409" s="1" t="s">
        <v>7624</v>
      </c>
    </row>
    <row r="25410">
      <c r="A25410" s="1" t="s">
        <v>39239</v>
      </c>
      <c r="B25410" s="2" t="s">
        <v>37912</v>
      </c>
      <c r="C25410" s="1" t="s">
        <v>7622</v>
      </c>
      <c r="D25410" s="1" t="s">
        <v>7624</v>
      </c>
    </row>
    <row r="25411">
      <c r="A25411" s="1" t="s">
        <v>39240</v>
      </c>
      <c r="B25411" s="2" t="s">
        <v>37914</v>
      </c>
      <c r="C25411" s="1" t="s">
        <v>7622</v>
      </c>
      <c r="D25411" s="1" t="s">
        <v>7624</v>
      </c>
    </row>
    <row r="25412">
      <c r="A25412" s="1" t="s">
        <v>39241</v>
      </c>
      <c r="B25412" s="2" t="s">
        <v>37916</v>
      </c>
      <c r="C25412" s="1" t="s">
        <v>7622</v>
      </c>
      <c r="D25412" s="1" t="s">
        <v>7624</v>
      </c>
    </row>
    <row r="25413">
      <c r="A25413" s="1" t="s">
        <v>39242</v>
      </c>
      <c r="B25413" s="2" t="s">
        <v>36847</v>
      </c>
      <c r="C25413" s="1" t="s">
        <v>7622</v>
      </c>
      <c r="D25413" s="1" t="s">
        <v>7624</v>
      </c>
    </row>
    <row r="25414">
      <c r="A25414" s="1" t="s">
        <v>39243</v>
      </c>
      <c r="B25414" s="2" t="s">
        <v>37919</v>
      </c>
      <c r="C25414" s="1" t="s">
        <v>7622</v>
      </c>
      <c r="D25414" s="1" t="s">
        <v>7624</v>
      </c>
    </row>
    <row r="25415">
      <c r="A25415" s="1" t="s">
        <v>39244</v>
      </c>
      <c r="B25415" s="2" t="s">
        <v>37921</v>
      </c>
      <c r="C25415" s="1" t="s">
        <v>7622</v>
      </c>
      <c r="D25415" s="1" t="s">
        <v>7624</v>
      </c>
    </row>
    <row r="25416">
      <c r="A25416" s="1" t="s">
        <v>39245</v>
      </c>
      <c r="B25416" s="2" t="s">
        <v>37923</v>
      </c>
      <c r="C25416" s="1" t="s">
        <v>7622</v>
      </c>
      <c r="D25416" s="1" t="s">
        <v>7624</v>
      </c>
    </row>
    <row r="25417">
      <c r="A25417" s="1" t="s">
        <v>39246</v>
      </c>
      <c r="B25417" s="2" t="s">
        <v>37925</v>
      </c>
      <c r="C25417" s="1" t="s">
        <v>7622</v>
      </c>
      <c r="D25417" s="1" t="s">
        <v>7624</v>
      </c>
    </row>
    <row r="25418">
      <c r="A25418" s="1" t="s">
        <v>39247</v>
      </c>
      <c r="B25418" s="2" t="s">
        <v>36907</v>
      </c>
      <c r="C25418" s="1" t="s">
        <v>7622</v>
      </c>
      <c r="D25418" s="1" t="s">
        <v>7624</v>
      </c>
    </row>
    <row r="25419">
      <c r="A25419" s="1" t="s">
        <v>39248</v>
      </c>
      <c r="B25419" s="2" t="s">
        <v>37928</v>
      </c>
      <c r="C25419" s="1" t="s">
        <v>7622</v>
      </c>
      <c r="D25419" s="1" t="s">
        <v>7624</v>
      </c>
    </row>
    <row r="25420">
      <c r="A25420" s="1" t="s">
        <v>39249</v>
      </c>
      <c r="B25420" s="2" t="s">
        <v>37930</v>
      </c>
      <c r="C25420" s="1" t="s">
        <v>7622</v>
      </c>
      <c r="D25420" s="1" t="s">
        <v>7624</v>
      </c>
    </row>
    <row r="25421">
      <c r="A25421" s="1" t="s">
        <v>39250</v>
      </c>
      <c r="B25421" s="2" t="s">
        <v>37932</v>
      </c>
      <c r="C25421" s="1" t="s">
        <v>7622</v>
      </c>
      <c r="D25421" s="1" t="s">
        <v>7624</v>
      </c>
    </row>
    <row r="25422">
      <c r="A25422" s="1" t="s">
        <v>39251</v>
      </c>
      <c r="B25422" s="2" t="s">
        <v>37934</v>
      </c>
      <c r="C25422" s="1" t="s">
        <v>7622</v>
      </c>
      <c r="D25422" s="1" t="s">
        <v>7624</v>
      </c>
    </row>
    <row r="25423">
      <c r="A25423" s="1" t="s">
        <v>39252</v>
      </c>
      <c r="B25423" s="2" t="s">
        <v>38325</v>
      </c>
      <c r="C25423" s="1" t="s">
        <v>7622</v>
      </c>
      <c r="D25423" s="1" t="s">
        <v>7624</v>
      </c>
    </row>
    <row r="25424">
      <c r="A25424" s="1" t="s">
        <v>39253</v>
      </c>
      <c r="B25424" s="2" t="s">
        <v>39254</v>
      </c>
      <c r="C25424" s="1" t="s">
        <v>7622</v>
      </c>
      <c r="D25424" s="1" t="s">
        <v>7624</v>
      </c>
    </row>
    <row r="25425">
      <c r="A25425" s="1" t="s">
        <v>39255</v>
      </c>
      <c r="B25425" s="2" t="s">
        <v>39256</v>
      </c>
      <c r="C25425" s="1" t="s">
        <v>7622</v>
      </c>
      <c r="D25425" s="1" t="s">
        <v>7624</v>
      </c>
    </row>
    <row r="25426">
      <c r="A25426" s="1" t="s">
        <v>39257</v>
      </c>
      <c r="B25426" s="2" t="s">
        <v>39258</v>
      </c>
      <c r="C25426" s="1" t="s">
        <v>7622</v>
      </c>
      <c r="D25426" s="1" t="s">
        <v>7624</v>
      </c>
    </row>
    <row r="25427">
      <c r="A25427" s="1" t="s">
        <v>39259</v>
      </c>
      <c r="B25427" s="2" t="s">
        <v>39260</v>
      </c>
      <c r="C25427" s="1" t="s">
        <v>7622</v>
      </c>
      <c r="D25427" s="1" t="s">
        <v>7624</v>
      </c>
    </row>
    <row r="25428">
      <c r="A25428" s="1" t="s">
        <v>39261</v>
      </c>
      <c r="B25428" s="2" t="s">
        <v>36961</v>
      </c>
      <c r="C25428" s="1" t="s">
        <v>7622</v>
      </c>
      <c r="D25428" s="1" t="s">
        <v>7624</v>
      </c>
    </row>
    <row r="25429">
      <c r="A25429" s="1" t="s">
        <v>39262</v>
      </c>
      <c r="B25429" s="2" t="s">
        <v>37937</v>
      </c>
      <c r="C25429" s="1" t="s">
        <v>7622</v>
      </c>
      <c r="D25429" s="1" t="s">
        <v>7624</v>
      </c>
    </row>
    <row r="25430">
      <c r="A25430" s="1" t="s">
        <v>39263</v>
      </c>
      <c r="B25430" s="2" t="s">
        <v>37939</v>
      </c>
      <c r="C25430" s="1" t="s">
        <v>7622</v>
      </c>
      <c r="D25430" s="1" t="s">
        <v>7624</v>
      </c>
    </row>
    <row r="25431">
      <c r="A25431" s="1" t="s">
        <v>39264</v>
      </c>
      <c r="B25431" s="2" t="s">
        <v>37941</v>
      </c>
      <c r="C25431" s="1" t="s">
        <v>7622</v>
      </c>
      <c r="D25431" s="1" t="s">
        <v>7624</v>
      </c>
    </row>
    <row r="25432">
      <c r="A25432" s="1" t="s">
        <v>39265</v>
      </c>
      <c r="B25432" s="2" t="s">
        <v>37943</v>
      </c>
      <c r="C25432" s="1" t="s">
        <v>7622</v>
      </c>
      <c r="D25432" s="1" t="s">
        <v>7624</v>
      </c>
    </row>
    <row r="25433">
      <c r="A25433" s="1" t="s">
        <v>39266</v>
      </c>
      <c r="B25433" s="2" t="s">
        <v>37027</v>
      </c>
      <c r="C25433" s="1" t="s">
        <v>7622</v>
      </c>
      <c r="D25433" s="1" t="s">
        <v>7624</v>
      </c>
    </row>
    <row r="25434">
      <c r="A25434" s="1" t="s">
        <v>39267</v>
      </c>
      <c r="B25434" s="2" t="s">
        <v>37946</v>
      </c>
      <c r="C25434" s="1" t="s">
        <v>7622</v>
      </c>
      <c r="D25434" s="1" t="s">
        <v>7624</v>
      </c>
    </row>
    <row r="25435">
      <c r="A25435" s="1" t="s">
        <v>39268</v>
      </c>
      <c r="B25435" s="2" t="s">
        <v>37948</v>
      </c>
      <c r="C25435" s="1" t="s">
        <v>7622</v>
      </c>
      <c r="D25435" s="1" t="s">
        <v>7624</v>
      </c>
    </row>
    <row r="25436">
      <c r="A25436" s="1" t="s">
        <v>39269</v>
      </c>
      <c r="B25436" s="2" t="s">
        <v>37950</v>
      </c>
      <c r="C25436" s="1" t="s">
        <v>7622</v>
      </c>
      <c r="D25436" s="1" t="s">
        <v>7624</v>
      </c>
    </row>
    <row r="25437">
      <c r="A25437" s="1" t="s">
        <v>39270</v>
      </c>
      <c r="B25437" s="2" t="s">
        <v>37952</v>
      </c>
      <c r="C25437" s="1" t="s">
        <v>7622</v>
      </c>
      <c r="D25437" s="1" t="s">
        <v>7624</v>
      </c>
    </row>
    <row r="25438">
      <c r="A25438" s="1" t="s">
        <v>39271</v>
      </c>
      <c r="B25438" s="2" t="s">
        <v>38412</v>
      </c>
      <c r="C25438" s="1" t="s">
        <v>7622</v>
      </c>
      <c r="D25438" s="1" t="s">
        <v>7624</v>
      </c>
    </row>
    <row r="25439">
      <c r="A25439" s="1" t="s">
        <v>39272</v>
      </c>
      <c r="B25439" s="2" t="s">
        <v>39273</v>
      </c>
      <c r="C25439" s="1" t="s">
        <v>7622</v>
      </c>
      <c r="D25439" s="1" t="s">
        <v>7624</v>
      </c>
    </row>
    <row r="25440">
      <c r="A25440" s="1" t="s">
        <v>39274</v>
      </c>
      <c r="B25440" s="2" t="s">
        <v>39275</v>
      </c>
      <c r="C25440" s="1" t="s">
        <v>7622</v>
      </c>
      <c r="D25440" s="1" t="s">
        <v>7624</v>
      </c>
    </row>
    <row r="25441">
      <c r="A25441" s="1" t="s">
        <v>39276</v>
      </c>
      <c r="B25441" s="2" t="s">
        <v>39277</v>
      </c>
      <c r="C25441" s="1" t="s">
        <v>7622</v>
      </c>
      <c r="D25441" s="1" t="s">
        <v>7624</v>
      </c>
    </row>
    <row r="25442">
      <c r="A25442" s="1" t="s">
        <v>39278</v>
      </c>
      <c r="B25442" s="2" t="s">
        <v>39279</v>
      </c>
      <c r="C25442" s="1" t="s">
        <v>7622</v>
      </c>
      <c r="D25442" s="1" t="s">
        <v>7624</v>
      </c>
    </row>
    <row r="25443">
      <c r="A25443" s="1" t="s">
        <v>39280</v>
      </c>
      <c r="B25443" s="2" t="s">
        <v>37075</v>
      </c>
      <c r="C25443" s="1" t="s">
        <v>7622</v>
      </c>
      <c r="D25443" s="1" t="s">
        <v>7624</v>
      </c>
    </row>
    <row r="25444">
      <c r="A25444" s="1" t="s">
        <v>7629</v>
      </c>
      <c r="B25444" s="2" t="s">
        <v>7</v>
      </c>
      <c r="C25444" s="1" t="s">
        <v>7631</v>
      </c>
      <c r="D25444" s="1" t="s">
        <v>7633</v>
      </c>
    </row>
    <row r="25445">
      <c r="A25445" s="1" t="s">
        <v>39281</v>
      </c>
      <c r="B25445" s="2" t="s">
        <v>13964</v>
      </c>
      <c r="C25445" s="1" t="s">
        <v>7631</v>
      </c>
      <c r="D25445" s="1" t="s">
        <v>7633</v>
      </c>
    </row>
    <row r="25446">
      <c r="A25446" s="1" t="s">
        <v>39282</v>
      </c>
      <c r="B25446" s="2" t="s">
        <v>25161</v>
      </c>
      <c r="C25446" s="1" t="s">
        <v>7631</v>
      </c>
      <c r="D25446" s="1" t="s">
        <v>7633</v>
      </c>
    </row>
    <row r="25447">
      <c r="A25447" s="1" t="s">
        <v>39283</v>
      </c>
      <c r="B25447" s="2" t="s">
        <v>25163</v>
      </c>
      <c r="C25447" s="1" t="s">
        <v>7631</v>
      </c>
      <c r="D25447" s="1" t="s">
        <v>7633</v>
      </c>
    </row>
    <row r="25448">
      <c r="A25448" s="1" t="s">
        <v>39284</v>
      </c>
      <c r="B25448" s="2" t="s">
        <v>25165</v>
      </c>
      <c r="C25448" s="1" t="s">
        <v>7631</v>
      </c>
      <c r="D25448" s="1" t="s">
        <v>7633</v>
      </c>
    </row>
    <row r="25449">
      <c r="A25449" s="1" t="s">
        <v>39285</v>
      </c>
      <c r="B25449" s="2" t="s">
        <v>25167</v>
      </c>
      <c r="C25449" s="1" t="s">
        <v>7631</v>
      </c>
      <c r="D25449" s="1" t="s">
        <v>7633</v>
      </c>
    </row>
    <row r="25450">
      <c r="A25450" s="1" t="s">
        <v>39286</v>
      </c>
      <c r="B25450" s="2" t="s">
        <v>25169</v>
      </c>
      <c r="C25450" s="1" t="s">
        <v>7631</v>
      </c>
      <c r="D25450" s="1" t="s">
        <v>7633</v>
      </c>
    </row>
    <row r="25451">
      <c r="A25451" s="1" t="s">
        <v>39287</v>
      </c>
      <c r="B25451" s="2" t="s">
        <v>36715</v>
      </c>
      <c r="C25451" s="1" t="s">
        <v>7631</v>
      </c>
      <c r="D25451" s="1" t="s">
        <v>7633</v>
      </c>
    </row>
    <row r="25452">
      <c r="A25452" s="1" t="s">
        <v>39288</v>
      </c>
      <c r="B25452" s="2" t="s">
        <v>37962</v>
      </c>
      <c r="C25452" s="1" t="s">
        <v>7631</v>
      </c>
      <c r="D25452" s="1" t="s">
        <v>7633</v>
      </c>
    </row>
    <row r="25453">
      <c r="A25453" s="1" t="s">
        <v>39289</v>
      </c>
      <c r="B25453" s="2" t="s">
        <v>37964</v>
      </c>
      <c r="C25453" s="1" t="s">
        <v>7631</v>
      </c>
      <c r="D25453" s="1" t="s">
        <v>7633</v>
      </c>
    </row>
    <row r="25454">
      <c r="A25454" s="1" t="s">
        <v>39290</v>
      </c>
      <c r="B25454" s="2" t="s">
        <v>37966</v>
      </c>
      <c r="C25454" s="1" t="s">
        <v>7631</v>
      </c>
      <c r="D25454" s="1" t="s">
        <v>7633</v>
      </c>
    </row>
    <row r="25455">
      <c r="A25455" s="1" t="s">
        <v>39291</v>
      </c>
      <c r="B25455" s="2" t="s">
        <v>37968</v>
      </c>
      <c r="C25455" s="1" t="s">
        <v>7631</v>
      </c>
      <c r="D25455" s="1" t="s">
        <v>7633</v>
      </c>
    </row>
    <row r="25456">
      <c r="A25456" s="1" t="s">
        <v>39292</v>
      </c>
      <c r="B25456" s="2" t="s">
        <v>37970</v>
      </c>
      <c r="C25456" s="1" t="s">
        <v>7631</v>
      </c>
      <c r="D25456" s="1" t="s">
        <v>7633</v>
      </c>
    </row>
    <row r="25457">
      <c r="A25457" s="1" t="s">
        <v>39293</v>
      </c>
      <c r="B25457" s="2" t="s">
        <v>37972</v>
      </c>
      <c r="C25457" s="1" t="s">
        <v>7631</v>
      </c>
      <c r="D25457" s="1" t="s">
        <v>7633</v>
      </c>
    </row>
    <row r="25458">
      <c r="A25458" s="1" t="s">
        <v>39294</v>
      </c>
      <c r="B25458" s="2" t="s">
        <v>36781</v>
      </c>
      <c r="C25458" s="1" t="s">
        <v>7631</v>
      </c>
      <c r="D25458" s="1" t="s">
        <v>7633</v>
      </c>
    </row>
    <row r="25459">
      <c r="A25459" s="1" t="s">
        <v>39295</v>
      </c>
      <c r="B25459" s="2" t="s">
        <v>37975</v>
      </c>
      <c r="C25459" s="1" t="s">
        <v>7631</v>
      </c>
      <c r="D25459" s="1" t="s">
        <v>7633</v>
      </c>
    </row>
    <row r="25460">
      <c r="A25460" s="1" t="s">
        <v>39296</v>
      </c>
      <c r="B25460" s="2" t="s">
        <v>36847</v>
      </c>
      <c r="C25460" s="1" t="s">
        <v>7631</v>
      </c>
      <c r="D25460" s="1" t="s">
        <v>7633</v>
      </c>
    </row>
    <row r="25461">
      <c r="A25461" s="1" t="s">
        <v>39297</v>
      </c>
      <c r="B25461" s="2" t="s">
        <v>37978</v>
      </c>
      <c r="C25461" s="1" t="s">
        <v>7631</v>
      </c>
      <c r="D25461" s="1" t="s">
        <v>7633</v>
      </c>
    </row>
    <row r="25462">
      <c r="A25462" s="1" t="s">
        <v>39298</v>
      </c>
      <c r="B25462" s="2" t="s">
        <v>36907</v>
      </c>
      <c r="C25462" s="1" t="s">
        <v>7631</v>
      </c>
      <c r="D25462" s="1" t="s">
        <v>7633</v>
      </c>
    </row>
    <row r="25463">
      <c r="A25463" s="1" t="s">
        <v>39299</v>
      </c>
      <c r="B25463" s="2" t="s">
        <v>37981</v>
      </c>
      <c r="C25463" s="1" t="s">
        <v>7631</v>
      </c>
      <c r="D25463" s="1" t="s">
        <v>7633</v>
      </c>
    </row>
    <row r="25464">
      <c r="A25464" s="1" t="s">
        <v>39300</v>
      </c>
      <c r="B25464" s="2" t="s">
        <v>38325</v>
      </c>
      <c r="C25464" s="1" t="s">
        <v>7631</v>
      </c>
      <c r="D25464" s="1" t="s">
        <v>7633</v>
      </c>
    </row>
    <row r="25465">
      <c r="A25465" s="1" t="s">
        <v>39301</v>
      </c>
      <c r="B25465" s="2" t="s">
        <v>39302</v>
      </c>
      <c r="C25465" s="1" t="s">
        <v>7631</v>
      </c>
      <c r="D25465" s="1" t="s">
        <v>7633</v>
      </c>
    </row>
    <row r="25466">
      <c r="A25466" s="1" t="s">
        <v>39303</v>
      </c>
      <c r="B25466" s="2" t="s">
        <v>36961</v>
      </c>
      <c r="C25466" s="1" t="s">
        <v>7631</v>
      </c>
      <c r="D25466" s="1" t="s">
        <v>7633</v>
      </c>
    </row>
    <row r="25467">
      <c r="A25467" s="1" t="s">
        <v>39304</v>
      </c>
      <c r="B25467" s="2" t="s">
        <v>37984</v>
      </c>
      <c r="C25467" s="1" t="s">
        <v>7631</v>
      </c>
      <c r="D25467" s="1" t="s">
        <v>7633</v>
      </c>
    </row>
    <row r="25468">
      <c r="A25468" s="1" t="s">
        <v>39305</v>
      </c>
      <c r="B25468" s="2" t="s">
        <v>37986</v>
      </c>
      <c r="C25468" s="1" t="s">
        <v>7631</v>
      </c>
      <c r="D25468" s="1" t="s">
        <v>7633</v>
      </c>
    </row>
    <row r="25469">
      <c r="A25469" s="1" t="s">
        <v>39306</v>
      </c>
      <c r="B25469" s="2" t="s">
        <v>37988</v>
      </c>
      <c r="C25469" s="1" t="s">
        <v>7631</v>
      </c>
      <c r="D25469" s="1" t="s">
        <v>7633</v>
      </c>
    </row>
    <row r="25470">
      <c r="A25470" s="1" t="s">
        <v>39307</v>
      </c>
      <c r="B25470" s="2" t="s">
        <v>37990</v>
      </c>
      <c r="C25470" s="1" t="s">
        <v>7631</v>
      </c>
      <c r="D25470" s="1" t="s">
        <v>7633</v>
      </c>
    </row>
    <row r="25471">
      <c r="A25471" s="1" t="s">
        <v>39308</v>
      </c>
      <c r="B25471" s="2" t="s">
        <v>37992</v>
      </c>
      <c r="C25471" s="1" t="s">
        <v>7631</v>
      </c>
      <c r="D25471" s="1" t="s">
        <v>7633</v>
      </c>
    </row>
    <row r="25472">
      <c r="A25472" s="1" t="s">
        <v>39309</v>
      </c>
      <c r="B25472" s="2" t="s">
        <v>37994</v>
      </c>
      <c r="C25472" s="1" t="s">
        <v>7631</v>
      </c>
      <c r="D25472" s="1" t="s">
        <v>7633</v>
      </c>
    </row>
    <row r="25473">
      <c r="A25473" s="1" t="s">
        <v>39310</v>
      </c>
      <c r="B25473" s="2" t="s">
        <v>37027</v>
      </c>
      <c r="C25473" s="1" t="s">
        <v>7631</v>
      </c>
      <c r="D25473" s="1" t="s">
        <v>7633</v>
      </c>
    </row>
    <row r="25474">
      <c r="A25474" s="1" t="s">
        <v>39311</v>
      </c>
      <c r="B25474" s="2" t="s">
        <v>37997</v>
      </c>
      <c r="C25474" s="1" t="s">
        <v>7631</v>
      </c>
      <c r="D25474" s="1" t="s">
        <v>7633</v>
      </c>
    </row>
    <row r="25475">
      <c r="A25475" s="1" t="s">
        <v>39312</v>
      </c>
      <c r="B25475" s="2" t="s">
        <v>37999</v>
      </c>
      <c r="C25475" s="1" t="s">
        <v>7631</v>
      </c>
      <c r="D25475" s="1" t="s">
        <v>7633</v>
      </c>
    </row>
    <row r="25476">
      <c r="A25476" s="1" t="s">
        <v>39313</v>
      </c>
      <c r="B25476" s="2" t="s">
        <v>38001</v>
      </c>
      <c r="C25476" s="1" t="s">
        <v>7631</v>
      </c>
      <c r="D25476" s="1" t="s">
        <v>7633</v>
      </c>
    </row>
    <row r="25477">
      <c r="A25477" s="1" t="s">
        <v>39314</v>
      </c>
      <c r="B25477" s="2" t="s">
        <v>38003</v>
      </c>
      <c r="C25477" s="1" t="s">
        <v>7631</v>
      </c>
      <c r="D25477" s="1" t="s">
        <v>7633</v>
      </c>
    </row>
    <row r="25478">
      <c r="A25478" s="1" t="s">
        <v>39315</v>
      </c>
      <c r="B25478" s="2" t="s">
        <v>38005</v>
      </c>
      <c r="C25478" s="1" t="s">
        <v>7631</v>
      </c>
      <c r="D25478" s="1" t="s">
        <v>7633</v>
      </c>
    </row>
    <row r="25479">
      <c r="A25479" s="1" t="s">
        <v>39316</v>
      </c>
      <c r="B25479" s="2" t="s">
        <v>38007</v>
      </c>
      <c r="C25479" s="1" t="s">
        <v>7631</v>
      </c>
      <c r="D25479" s="1" t="s">
        <v>7633</v>
      </c>
    </row>
    <row r="25480">
      <c r="A25480" s="1" t="s">
        <v>39317</v>
      </c>
      <c r="B25480" s="2" t="s">
        <v>38412</v>
      </c>
      <c r="C25480" s="1" t="s">
        <v>7631</v>
      </c>
      <c r="D25480" s="1" t="s">
        <v>7633</v>
      </c>
    </row>
    <row r="25481">
      <c r="A25481" s="1" t="s">
        <v>39318</v>
      </c>
      <c r="B25481" s="2" t="s">
        <v>39319</v>
      </c>
      <c r="C25481" s="1" t="s">
        <v>7631</v>
      </c>
      <c r="D25481" s="1" t="s">
        <v>7633</v>
      </c>
    </row>
    <row r="25482">
      <c r="A25482" s="1" t="s">
        <v>39320</v>
      </c>
      <c r="B25482" s="2" t="s">
        <v>39321</v>
      </c>
      <c r="C25482" s="1" t="s">
        <v>7631</v>
      </c>
      <c r="D25482" s="1" t="s">
        <v>7633</v>
      </c>
    </row>
    <row r="25483">
      <c r="A25483" s="1" t="s">
        <v>39322</v>
      </c>
      <c r="B25483" s="2" t="s">
        <v>39323</v>
      </c>
      <c r="C25483" s="1" t="s">
        <v>7631</v>
      </c>
      <c r="D25483" s="1" t="s">
        <v>7633</v>
      </c>
    </row>
    <row r="25484">
      <c r="A25484" s="1" t="s">
        <v>39324</v>
      </c>
      <c r="B25484" s="2" t="s">
        <v>39325</v>
      </c>
      <c r="C25484" s="1" t="s">
        <v>7631</v>
      </c>
      <c r="D25484" s="1" t="s">
        <v>7633</v>
      </c>
    </row>
    <row r="25485">
      <c r="A25485" s="1" t="s">
        <v>39326</v>
      </c>
      <c r="B25485" s="2" t="s">
        <v>39327</v>
      </c>
      <c r="C25485" s="1" t="s">
        <v>7631</v>
      </c>
      <c r="D25485" s="1" t="s">
        <v>7633</v>
      </c>
    </row>
    <row r="25486">
      <c r="A25486" s="1" t="s">
        <v>39328</v>
      </c>
      <c r="B25486" s="2" t="s">
        <v>39329</v>
      </c>
      <c r="C25486" s="1" t="s">
        <v>7631</v>
      </c>
      <c r="D25486" s="1" t="s">
        <v>7633</v>
      </c>
    </row>
    <row r="25487">
      <c r="A25487" s="1" t="s">
        <v>39330</v>
      </c>
      <c r="B25487" s="2" t="s">
        <v>37075</v>
      </c>
      <c r="C25487" s="1" t="s">
        <v>7631</v>
      </c>
      <c r="D25487" s="1" t="s">
        <v>7633</v>
      </c>
    </row>
    <row r="25488">
      <c r="A25488" s="1" t="s">
        <v>7635</v>
      </c>
      <c r="B25488" s="2" t="s">
        <v>7</v>
      </c>
      <c r="C25488" s="1" t="s">
        <v>7636</v>
      </c>
      <c r="D25488" s="1" t="s">
        <v>7637</v>
      </c>
    </row>
    <row r="25489">
      <c r="A25489" s="1" t="s">
        <v>39331</v>
      </c>
      <c r="B25489" s="2" t="s">
        <v>11329</v>
      </c>
      <c r="C25489" s="1" t="s">
        <v>7636</v>
      </c>
      <c r="D25489" s="1" t="s">
        <v>7637</v>
      </c>
    </row>
    <row r="25490">
      <c r="A25490" s="1" t="s">
        <v>39332</v>
      </c>
      <c r="B25490" s="2" t="s">
        <v>11331</v>
      </c>
      <c r="C25490" s="1" t="s">
        <v>7636</v>
      </c>
      <c r="D25490" s="1" t="s">
        <v>7637</v>
      </c>
    </row>
    <row r="25491">
      <c r="A25491" s="1" t="s">
        <v>39333</v>
      </c>
      <c r="B25491" s="2" t="s">
        <v>11333</v>
      </c>
      <c r="C25491" s="1" t="s">
        <v>7636</v>
      </c>
      <c r="D25491" s="1" t="s">
        <v>7637</v>
      </c>
    </row>
    <row r="25492">
      <c r="A25492" s="1" t="s">
        <v>39334</v>
      </c>
      <c r="B25492" s="2" t="s">
        <v>11335</v>
      </c>
      <c r="C25492" s="1" t="s">
        <v>7636</v>
      </c>
      <c r="D25492" s="1" t="s">
        <v>7637</v>
      </c>
    </row>
    <row r="25493">
      <c r="A25493" s="1" t="s">
        <v>39335</v>
      </c>
      <c r="B25493" s="2" t="s">
        <v>11337</v>
      </c>
      <c r="C25493" s="1" t="s">
        <v>7636</v>
      </c>
      <c r="D25493" s="1" t="s">
        <v>7637</v>
      </c>
    </row>
    <row r="25494">
      <c r="A25494" s="1" t="s">
        <v>39336</v>
      </c>
      <c r="B25494" s="2" t="s">
        <v>38015</v>
      </c>
      <c r="C25494" s="1" t="s">
        <v>7636</v>
      </c>
      <c r="D25494" s="1" t="s">
        <v>7637</v>
      </c>
    </row>
    <row r="25495">
      <c r="A25495" s="1" t="s">
        <v>39337</v>
      </c>
      <c r="B25495" s="2" t="s">
        <v>38017</v>
      </c>
      <c r="C25495" s="1" t="s">
        <v>7636</v>
      </c>
      <c r="D25495" s="1" t="s">
        <v>7637</v>
      </c>
    </row>
    <row r="25496">
      <c r="A25496" s="1" t="s">
        <v>39338</v>
      </c>
      <c r="B25496" s="2" t="s">
        <v>38019</v>
      </c>
      <c r="C25496" s="1" t="s">
        <v>7636</v>
      </c>
      <c r="D25496" s="1" t="s">
        <v>7637</v>
      </c>
    </row>
    <row r="25497">
      <c r="A25497" s="1" t="s">
        <v>39339</v>
      </c>
      <c r="B25497" s="2" t="s">
        <v>38021</v>
      </c>
      <c r="C25497" s="1" t="s">
        <v>7636</v>
      </c>
      <c r="D25497" s="1" t="s">
        <v>7637</v>
      </c>
    </row>
    <row r="25498">
      <c r="A25498" s="1" t="s">
        <v>39340</v>
      </c>
      <c r="B25498" s="2" t="s">
        <v>38023</v>
      </c>
      <c r="C25498" s="1" t="s">
        <v>7636</v>
      </c>
      <c r="D25498" s="1" t="s">
        <v>7637</v>
      </c>
    </row>
    <row r="25499">
      <c r="A25499" s="1" t="s">
        <v>39341</v>
      </c>
      <c r="B25499" s="2" t="s">
        <v>38025</v>
      </c>
      <c r="C25499" s="1" t="s">
        <v>7636</v>
      </c>
      <c r="D25499" s="1" t="s">
        <v>7637</v>
      </c>
    </row>
    <row r="25500">
      <c r="A25500" s="1" t="s">
        <v>39342</v>
      </c>
      <c r="B25500" s="2" t="s">
        <v>38027</v>
      </c>
      <c r="C25500" s="1" t="s">
        <v>7636</v>
      </c>
      <c r="D25500" s="1" t="s">
        <v>7637</v>
      </c>
    </row>
    <row r="25501">
      <c r="A25501" s="1" t="s">
        <v>39343</v>
      </c>
      <c r="B25501" s="2" t="s">
        <v>38029</v>
      </c>
      <c r="C25501" s="1" t="s">
        <v>7636</v>
      </c>
      <c r="D25501" s="1" t="s">
        <v>7637</v>
      </c>
    </row>
    <row r="25502">
      <c r="A25502" s="1" t="s">
        <v>39344</v>
      </c>
      <c r="B25502" s="2" t="s">
        <v>38031</v>
      </c>
      <c r="C25502" s="1" t="s">
        <v>7636</v>
      </c>
      <c r="D25502" s="1" t="s">
        <v>7637</v>
      </c>
    </row>
    <row r="25503">
      <c r="A25503" s="1" t="s">
        <v>39345</v>
      </c>
      <c r="B25503" s="2" t="s">
        <v>38033</v>
      </c>
      <c r="C25503" s="1" t="s">
        <v>7636</v>
      </c>
      <c r="D25503" s="1" t="s">
        <v>7637</v>
      </c>
    </row>
    <row r="25504">
      <c r="A25504" s="1" t="s">
        <v>39346</v>
      </c>
      <c r="B25504" s="2" t="s">
        <v>38035</v>
      </c>
      <c r="C25504" s="1" t="s">
        <v>7636</v>
      </c>
      <c r="D25504" s="1" t="s">
        <v>7637</v>
      </c>
    </row>
    <row r="25505">
      <c r="A25505" s="1" t="s">
        <v>39347</v>
      </c>
      <c r="B25505" s="2" t="s">
        <v>38037</v>
      </c>
      <c r="C25505" s="1" t="s">
        <v>7636</v>
      </c>
      <c r="D25505" s="1" t="s">
        <v>7637</v>
      </c>
    </row>
    <row r="25506">
      <c r="A25506" s="1" t="s">
        <v>39348</v>
      </c>
      <c r="B25506" s="2" t="s">
        <v>39349</v>
      </c>
      <c r="C25506" s="1" t="s">
        <v>7636</v>
      </c>
      <c r="D25506" s="1" t="s">
        <v>7637</v>
      </c>
    </row>
    <row r="25507">
      <c r="A25507" s="1" t="s">
        <v>39350</v>
      </c>
      <c r="B25507" s="2" t="s">
        <v>39351</v>
      </c>
      <c r="C25507" s="1" t="s">
        <v>7636</v>
      </c>
      <c r="D25507" s="1" t="s">
        <v>7637</v>
      </c>
    </row>
    <row r="25508">
      <c r="A25508" s="1" t="s">
        <v>39352</v>
      </c>
      <c r="B25508" s="2" t="s">
        <v>39353</v>
      </c>
      <c r="C25508" s="1" t="s">
        <v>7636</v>
      </c>
      <c r="D25508" s="1" t="s">
        <v>7637</v>
      </c>
    </row>
    <row r="25509">
      <c r="A25509" s="1" t="s">
        <v>39354</v>
      </c>
      <c r="B25509" s="2" t="s">
        <v>39355</v>
      </c>
      <c r="C25509" s="1" t="s">
        <v>7636</v>
      </c>
      <c r="D25509" s="1" t="s">
        <v>7637</v>
      </c>
    </row>
    <row r="25510">
      <c r="A25510" s="1" t="s">
        <v>39356</v>
      </c>
      <c r="B25510" s="2" t="s">
        <v>39357</v>
      </c>
      <c r="C25510" s="1" t="s">
        <v>7636</v>
      </c>
      <c r="D25510" s="1" t="s">
        <v>7637</v>
      </c>
    </row>
    <row r="25511">
      <c r="A25511" s="1" t="s">
        <v>39358</v>
      </c>
      <c r="B25511" s="2" t="s">
        <v>39359</v>
      </c>
      <c r="C25511" s="1" t="s">
        <v>7636</v>
      </c>
      <c r="D25511" s="1" t="s">
        <v>7637</v>
      </c>
    </row>
    <row r="25512">
      <c r="A25512" s="1" t="s">
        <v>39360</v>
      </c>
      <c r="B25512" s="2" t="s">
        <v>37075</v>
      </c>
      <c r="C25512" s="1" t="s">
        <v>7636</v>
      </c>
      <c r="D25512" s="1" t="s">
        <v>7637</v>
      </c>
    </row>
    <row r="25513">
      <c r="A25513" s="1" t="s">
        <v>7638</v>
      </c>
      <c r="B25513" s="2" t="s">
        <v>7</v>
      </c>
      <c r="C25513" s="1" t="s">
        <v>7639</v>
      </c>
      <c r="D25513" s="1" t="s">
        <v>7640</v>
      </c>
    </row>
    <row r="25514">
      <c r="A25514" s="1" t="s">
        <v>39361</v>
      </c>
      <c r="B25514" s="2" t="s">
        <v>36715</v>
      </c>
      <c r="C25514" s="1" t="s">
        <v>7639</v>
      </c>
      <c r="D25514" s="1" t="s">
        <v>7640</v>
      </c>
    </row>
    <row r="25515">
      <c r="A25515" s="1" t="s">
        <v>39362</v>
      </c>
      <c r="B25515" s="2" t="s">
        <v>36781</v>
      </c>
      <c r="C25515" s="1" t="s">
        <v>7639</v>
      </c>
      <c r="D25515" s="1" t="s">
        <v>7640</v>
      </c>
    </row>
    <row r="25516">
      <c r="A25516" s="1" t="s">
        <v>39363</v>
      </c>
      <c r="B25516" s="2" t="s">
        <v>37093</v>
      </c>
      <c r="C25516" s="1" t="s">
        <v>7639</v>
      </c>
      <c r="D25516" s="1" t="s">
        <v>7640</v>
      </c>
    </row>
    <row r="25517">
      <c r="A25517" s="1" t="s">
        <v>39364</v>
      </c>
      <c r="B25517" s="2" t="s">
        <v>37095</v>
      </c>
      <c r="C25517" s="1" t="s">
        <v>7639</v>
      </c>
      <c r="D25517" s="1" t="s">
        <v>7640</v>
      </c>
    </row>
    <row r="25518">
      <c r="A25518" s="1" t="s">
        <v>39365</v>
      </c>
      <c r="B25518" s="2" t="s">
        <v>38476</v>
      </c>
      <c r="C25518" s="1" t="s">
        <v>7639</v>
      </c>
      <c r="D25518" s="1" t="s">
        <v>7640</v>
      </c>
    </row>
    <row r="25519">
      <c r="A25519" s="1" t="s">
        <v>39366</v>
      </c>
      <c r="B25519" s="2" t="s">
        <v>36961</v>
      </c>
      <c r="C25519" s="1" t="s">
        <v>7639</v>
      </c>
      <c r="D25519" s="1" t="s">
        <v>7640</v>
      </c>
    </row>
    <row r="25520">
      <c r="A25520" s="1" t="s">
        <v>39367</v>
      </c>
      <c r="B25520" s="2" t="s">
        <v>37098</v>
      </c>
      <c r="C25520" s="1" t="s">
        <v>7639</v>
      </c>
      <c r="D25520" s="1" t="s">
        <v>7640</v>
      </c>
    </row>
    <row r="25521">
      <c r="A25521" s="1" t="s">
        <v>39368</v>
      </c>
      <c r="B25521" s="2" t="s">
        <v>38480</v>
      </c>
      <c r="C25521" s="1" t="s">
        <v>7639</v>
      </c>
      <c r="D25521" s="1" t="s">
        <v>7640</v>
      </c>
    </row>
    <row r="25522">
      <c r="A25522" s="1" t="s">
        <v>39369</v>
      </c>
      <c r="B25522" s="2" t="s">
        <v>37075</v>
      </c>
      <c r="C25522" s="1" t="s">
        <v>7639</v>
      </c>
      <c r="D25522" s="1" t="s">
        <v>7640</v>
      </c>
    </row>
    <row r="25523">
      <c r="A25523" s="1" t="s">
        <v>7645</v>
      </c>
      <c r="B25523" s="2" t="s">
        <v>7</v>
      </c>
      <c r="C25523" s="1" t="s">
        <v>7647</v>
      </c>
      <c r="D25523" s="1" t="s">
        <v>7649</v>
      </c>
    </row>
    <row r="25524">
      <c r="A25524" s="1" t="s">
        <v>39370</v>
      </c>
      <c r="B25524" s="2" t="s">
        <v>3373</v>
      </c>
      <c r="C25524" s="1" t="s">
        <v>7647</v>
      </c>
      <c r="D25524" s="1" t="s">
        <v>7649</v>
      </c>
    </row>
    <row r="25525">
      <c r="A25525" s="1" t="s">
        <v>39371</v>
      </c>
      <c r="B25525" s="2" t="s">
        <v>3376</v>
      </c>
      <c r="C25525" s="1" t="s">
        <v>7647</v>
      </c>
      <c r="D25525" s="1" t="s">
        <v>7649</v>
      </c>
    </row>
    <row r="25526">
      <c r="A25526" s="1" t="s">
        <v>39372</v>
      </c>
      <c r="B25526" s="2" t="s">
        <v>36715</v>
      </c>
      <c r="C25526" s="1" t="s">
        <v>7647</v>
      </c>
      <c r="D25526" s="1" t="s">
        <v>7649</v>
      </c>
    </row>
    <row r="25527">
      <c r="A25527" s="1" t="s">
        <v>39373</v>
      </c>
      <c r="B25527" s="2" t="s">
        <v>38043</v>
      </c>
      <c r="C25527" s="1" t="s">
        <v>7647</v>
      </c>
      <c r="D25527" s="1" t="s">
        <v>7649</v>
      </c>
    </row>
    <row r="25528">
      <c r="A25528" s="1" t="s">
        <v>39374</v>
      </c>
      <c r="B25528" s="2" t="s">
        <v>38045</v>
      </c>
      <c r="C25528" s="1" t="s">
        <v>7647</v>
      </c>
      <c r="D25528" s="1" t="s">
        <v>7649</v>
      </c>
    </row>
    <row r="25529">
      <c r="A25529" s="1" t="s">
        <v>39375</v>
      </c>
      <c r="B25529" s="2" t="s">
        <v>36781</v>
      </c>
      <c r="C25529" s="1" t="s">
        <v>7647</v>
      </c>
      <c r="D25529" s="1" t="s">
        <v>7649</v>
      </c>
    </row>
    <row r="25530">
      <c r="A25530" s="1" t="s">
        <v>39376</v>
      </c>
      <c r="B25530" s="2" t="s">
        <v>38048</v>
      </c>
      <c r="C25530" s="1" t="s">
        <v>7647</v>
      </c>
      <c r="D25530" s="1" t="s">
        <v>7649</v>
      </c>
    </row>
    <row r="25531">
      <c r="A25531" s="1" t="s">
        <v>39377</v>
      </c>
      <c r="B25531" s="2" t="s">
        <v>38050</v>
      </c>
      <c r="C25531" s="1" t="s">
        <v>7647</v>
      </c>
      <c r="D25531" s="1" t="s">
        <v>7649</v>
      </c>
    </row>
    <row r="25532">
      <c r="A25532" s="1" t="s">
        <v>39378</v>
      </c>
      <c r="B25532" s="2" t="s">
        <v>36847</v>
      </c>
      <c r="C25532" s="1" t="s">
        <v>7647</v>
      </c>
      <c r="D25532" s="1" t="s">
        <v>7649</v>
      </c>
    </row>
    <row r="25533">
      <c r="A25533" s="1" t="s">
        <v>39379</v>
      </c>
      <c r="B25533" s="2" t="s">
        <v>38053</v>
      </c>
      <c r="C25533" s="1" t="s">
        <v>7647</v>
      </c>
      <c r="D25533" s="1" t="s">
        <v>7649</v>
      </c>
    </row>
    <row r="25534">
      <c r="A25534" s="1" t="s">
        <v>39380</v>
      </c>
      <c r="B25534" s="2" t="s">
        <v>38055</v>
      </c>
      <c r="C25534" s="1" t="s">
        <v>7647</v>
      </c>
      <c r="D25534" s="1" t="s">
        <v>7649</v>
      </c>
    </row>
    <row r="25535">
      <c r="A25535" s="1" t="s">
        <v>39381</v>
      </c>
      <c r="B25535" s="2" t="s">
        <v>36907</v>
      </c>
      <c r="C25535" s="1" t="s">
        <v>7647</v>
      </c>
      <c r="D25535" s="1" t="s">
        <v>7649</v>
      </c>
    </row>
    <row r="25536">
      <c r="A25536" s="1" t="s">
        <v>39382</v>
      </c>
      <c r="B25536" s="2" t="s">
        <v>38058</v>
      </c>
      <c r="C25536" s="1" t="s">
        <v>7647</v>
      </c>
      <c r="D25536" s="1" t="s">
        <v>7649</v>
      </c>
    </row>
    <row r="25537">
      <c r="A25537" s="1" t="s">
        <v>39383</v>
      </c>
      <c r="B25537" s="2" t="s">
        <v>38060</v>
      </c>
      <c r="C25537" s="1" t="s">
        <v>7647</v>
      </c>
      <c r="D25537" s="1" t="s">
        <v>7649</v>
      </c>
    </row>
    <row r="25538">
      <c r="A25538" s="1" t="s">
        <v>39384</v>
      </c>
      <c r="B25538" s="2" t="s">
        <v>38325</v>
      </c>
      <c r="C25538" s="1" t="s">
        <v>7647</v>
      </c>
      <c r="D25538" s="1" t="s">
        <v>7649</v>
      </c>
    </row>
    <row r="25539">
      <c r="A25539" s="1" t="s">
        <v>39385</v>
      </c>
      <c r="B25539" s="2" t="s">
        <v>39386</v>
      </c>
      <c r="C25539" s="1" t="s">
        <v>7647</v>
      </c>
      <c r="D25539" s="1" t="s">
        <v>7649</v>
      </c>
    </row>
    <row r="25540">
      <c r="A25540" s="1" t="s">
        <v>39387</v>
      </c>
      <c r="B25540" s="2" t="s">
        <v>39388</v>
      </c>
      <c r="C25540" s="1" t="s">
        <v>7647</v>
      </c>
      <c r="D25540" s="1" t="s">
        <v>7649</v>
      </c>
    </row>
    <row r="25541">
      <c r="A25541" s="1" t="s">
        <v>39389</v>
      </c>
      <c r="B25541" s="2" t="s">
        <v>36961</v>
      </c>
      <c r="C25541" s="1" t="s">
        <v>7647</v>
      </c>
      <c r="D25541" s="1" t="s">
        <v>7649</v>
      </c>
    </row>
    <row r="25542">
      <c r="A25542" s="1" t="s">
        <v>39390</v>
      </c>
      <c r="B25542" s="2" t="s">
        <v>38063</v>
      </c>
      <c r="C25542" s="1" t="s">
        <v>7647</v>
      </c>
      <c r="D25542" s="1" t="s">
        <v>7649</v>
      </c>
    </row>
    <row r="25543">
      <c r="A25543" s="1" t="s">
        <v>39391</v>
      </c>
      <c r="B25543" s="2" t="s">
        <v>38065</v>
      </c>
      <c r="C25543" s="1" t="s">
        <v>7647</v>
      </c>
      <c r="D25543" s="1" t="s">
        <v>7649</v>
      </c>
    </row>
    <row r="25544">
      <c r="A25544" s="1" t="s">
        <v>39392</v>
      </c>
      <c r="B25544" s="2" t="s">
        <v>37027</v>
      </c>
      <c r="C25544" s="1" t="s">
        <v>7647</v>
      </c>
      <c r="D25544" s="1" t="s">
        <v>7649</v>
      </c>
    </row>
    <row r="25545">
      <c r="A25545" s="1" t="s">
        <v>39393</v>
      </c>
      <c r="B25545" s="2" t="s">
        <v>38068</v>
      </c>
      <c r="C25545" s="1" t="s">
        <v>7647</v>
      </c>
      <c r="D25545" s="1" t="s">
        <v>7649</v>
      </c>
    </row>
    <row r="25546">
      <c r="A25546" s="1" t="s">
        <v>39394</v>
      </c>
      <c r="B25546" s="2" t="s">
        <v>38070</v>
      </c>
      <c r="C25546" s="1" t="s">
        <v>7647</v>
      </c>
      <c r="D25546" s="1" t="s">
        <v>7649</v>
      </c>
    </row>
    <row r="25547">
      <c r="A25547" s="1" t="s">
        <v>39395</v>
      </c>
      <c r="B25547" s="2" t="s">
        <v>38412</v>
      </c>
      <c r="C25547" s="1" t="s">
        <v>7647</v>
      </c>
      <c r="D25547" s="1" t="s">
        <v>7649</v>
      </c>
    </row>
    <row r="25548">
      <c r="A25548" s="1" t="s">
        <v>39396</v>
      </c>
      <c r="B25548" s="2" t="s">
        <v>39397</v>
      </c>
      <c r="C25548" s="1" t="s">
        <v>7647</v>
      </c>
      <c r="D25548" s="1" t="s">
        <v>7649</v>
      </c>
    </row>
    <row r="25549">
      <c r="A25549" s="1" t="s">
        <v>39398</v>
      </c>
      <c r="B25549" s="2" t="s">
        <v>39399</v>
      </c>
      <c r="C25549" s="1" t="s">
        <v>7647</v>
      </c>
      <c r="D25549" s="1" t="s">
        <v>7649</v>
      </c>
    </row>
    <row r="25550">
      <c r="A25550" s="1" t="s">
        <v>39400</v>
      </c>
      <c r="B25550" s="2" t="s">
        <v>37075</v>
      </c>
      <c r="C25550" s="1" t="s">
        <v>7647</v>
      </c>
      <c r="D25550" s="1" t="s">
        <v>7649</v>
      </c>
    </row>
    <row r="25551">
      <c r="A25551" s="1" t="s">
        <v>7653</v>
      </c>
      <c r="B25551" s="2" t="s">
        <v>7</v>
      </c>
      <c r="C25551" s="1" t="s">
        <v>7655</v>
      </c>
      <c r="D25551" s="1" t="s">
        <v>7657</v>
      </c>
    </row>
    <row r="25552">
      <c r="A25552" s="1" t="s">
        <v>39401</v>
      </c>
      <c r="B25552" s="2" t="s">
        <v>3373</v>
      </c>
      <c r="C25552" s="1" t="s">
        <v>7655</v>
      </c>
      <c r="D25552" s="1" t="s">
        <v>7657</v>
      </c>
    </row>
    <row r="25553">
      <c r="A25553" s="1" t="s">
        <v>39402</v>
      </c>
      <c r="B25553" s="2" t="s">
        <v>3376</v>
      </c>
      <c r="C25553" s="1" t="s">
        <v>7655</v>
      </c>
      <c r="D25553" s="1" t="s">
        <v>7657</v>
      </c>
    </row>
    <row r="25554">
      <c r="A25554" s="1" t="s">
        <v>39403</v>
      </c>
      <c r="B25554" s="2" t="s">
        <v>36715</v>
      </c>
      <c r="C25554" s="1" t="s">
        <v>7655</v>
      </c>
      <c r="D25554" s="1" t="s">
        <v>7657</v>
      </c>
    </row>
    <row r="25555">
      <c r="A25555" s="1" t="s">
        <v>39404</v>
      </c>
      <c r="B25555" s="2" t="s">
        <v>38043</v>
      </c>
      <c r="C25555" s="1" t="s">
        <v>7655</v>
      </c>
      <c r="D25555" s="1" t="s">
        <v>7657</v>
      </c>
    </row>
    <row r="25556">
      <c r="A25556" s="1" t="s">
        <v>39405</v>
      </c>
      <c r="B25556" s="2" t="s">
        <v>38045</v>
      </c>
      <c r="C25556" s="1" t="s">
        <v>7655</v>
      </c>
      <c r="D25556" s="1" t="s">
        <v>7657</v>
      </c>
    </row>
    <row r="25557">
      <c r="A25557" s="1" t="s">
        <v>39406</v>
      </c>
      <c r="B25557" s="2" t="s">
        <v>36781</v>
      </c>
      <c r="C25557" s="1" t="s">
        <v>7655</v>
      </c>
      <c r="D25557" s="1" t="s">
        <v>7657</v>
      </c>
    </row>
    <row r="25558">
      <c r="A25558" s="1" t="s">
        <v>39407</v>
      </c>
      <c r="B25558" s="2" t="s">
        <v>38048</v>
      </c>
      <c r="C25558" s="1" t="s">
        <v>7655</v>
      </c>
      <c r="D25558" s="1" t="s">
        <v>7657</v>
      </c>
    </row>
    <row r="25559">
      <c r="A25559" s="1" t="s">
        <v>39408</v>
      </c>
      <c r="B25559" s="2" t="s">
        <v>38050</v>
      </c>
      <c r="C25559" s="1" t="s">
        <v>7655</v>
      </c>
      <c r="D25559" s="1" t="s">
        <v>7657</v>
      </c>
    </row>
    <row r="25560">
      <c r="A25560" s="1" t="s">
        <v>39409</v>
      </c>
      <c r="B25560" s="2" t="s">
        <v>36847</v>
      </c>
      <c r="C25560" s="1" t="s">
        <v>7655</v>
      </c>
      <c r="D25560" s="1" t="s">
        <v>7657</v>
      </c>
    </row>
    <row r="25561">
      <c r="A25561" s="1" t="s">
        <v>39410</v>
      </c>
      <c r="B25561" s="2" t="s">
        <v>38053</v>
      </c>
      <c r="C25561" s="1" t="s">
        <v>7655</v>
      </c>
      <c r="D25561" s="1" t="s">
        <v>7657</v>
      </c>
    </row>
    <row r="25562">
      <c r="A25562" s="1" t="s">
        <v>39411</v>
      </c>
      <c r="B25562" s="2" t="s">
        <v>38055</v>
      </c>
      <c r="C25562" s="1" t="s">
        <v>7655</v>
      </c>
      <c r="D25562" s="1" t="s">
        <v>7657</v>
      </c>
    </row>
    <row r="25563">
      <c r="A25563" s="1" t="s">
        <v>39412</v>
      </c>
      <c r="B25563" s="2" t="s">
        <v>36907</v>
      </c>
      <c r="C25563" s="1" t="s">
        <v>7655</v>
      </c>
      <c r="D25563" s="1" t="s">
        <v>7657</v>
      </c>
    </row>
    <row r="25564">
      <c r="A25564" s="1" t="s">
        <v>39413</v>
      </c>
      <c r="B25564" s="2" t="s">
        <v>38058</v>
      </c>
      <c r="C25564" s="1" t="s">
        <v>7655</v>
      </c>
      <c r="D25564" s="1" t="s">
        <v>7657</v>
      </c>
    </row>
    <row r="25565">
      <c r="A25565" s="1" t="s">
        <v>39414</v>
      </c>
      <c r="B25565" s="2" t="s">
        <v>38060</v>
      </c>
      <c r="C25565" s="1" t="s">
        <v>7655</v>
      </c>
      <c r="D25565" s="1" t="s">
        <v>7657</v>
      </c>
    </row>
    <row r="25566">
      <c r="A25566" s="1" t="s">
        <v>39415</v>
      </c>
      <c r="B25566" s="2" t="s">
        <v>38325</v>
      </c>
      <c r="C25566" s="1" t="s">
        <v>7655</v>
      </c>
      <c r="D25566" s="1" t="s">
        <v>7657</v>
      </c>
    </row>
    <row r="25567">
      <c r="A25567" s="1" t="s">
        <v>39416</v>
      </c>
      <c r="B25567" s="2" t="s">
        <v>39386</v>
      </c>
      <c r="C25567" s="1" t="s">
        <v>7655</v>
      </c>
      <c r="D25567" s="1" t="s">
        <v>7657</v>
      </c>
    </row>
    <row r="25568">
      <c r="A25568" s="1" t="s">
        <v>39417</v>
      </c>
      <c r="B25568" s="2" t="s">
        <v>39388</v>
      </c>
      <c r="C25568" s="1" t="s">
        <v>7655</v>
      </c>
      <c r="D25568" s="1" t="s">
        <v>7657</v>
      </c>
    </row>
    <row r="25569">
      <c r="A25569" s="1" t="s">
        <v>39418</v>
      </c>
      <c r="B25569" s="2" t="s">
        <v>36961</v>
      </c>
      <c r="C25569" s="1" t="s">
        <v>7655</v>
      </c>
      <c r="D25569" s="1" t="s">
        <v>7657</v>
      </c>
    </row>
    <row r="25570">
      <c r="A25570" s="1" t="s">
        <v>39419</v>
      </c>
      <c r="B25570" s="2" t="s">
        <v>38063</v>
      </c>
      <c r="C25570" s="1" t="s">
        <v>7655</v>
      </c>
      <c r="D25570" s="1" t="s">
        <v>7657</v>
      </c>
    </row>
    <row r="25571">
      <c r="A25571" s="1" t="s">
        <v>39420</v>
      </c>
      <c r="B25571" s="2" t="s">
        <v>38065</v>
      </c>
      <c r="C25571" s="1" t="s">
        <v>7655</v>
      </c>
      <c r="D25571" s="1" t="s">
        <v>7657</v>
      </c>
    </row>
    <row r="25572">
      <c r="A25572" s="1" t="s">
        <v>39421</v>
      </c>
      <c r="B25572" s="2" t="s">
        <v>37027</v>
      </c>
      <c r="C25572" s="1" t="s">
        <v>7655</v>
      </c>
      <c r="D25572" s="1" t="s">
        <v>7657</v>
      </c>
    </row>
    <row r="25573">
      <c r="A25573" s="1" t="s">
        <v>39422</v>
      </c>
      <c r="B25573" s="2" t="s">
        <v>38068</v>
      </c>
      <c r="C25573" s="1" t="s">
        <v>7655</v>
      </c>
      <c r="D25573" s="1" t="s">
        <v>7657</v>
      </c>
    </row>
    <row r="25574">
      <c r="A25574" s="1" t="s">
        <v>39423</v>
      </c>
      <c r="B25574" s="2" t="s">
        <v>38070</v>
      </c>
      <c r="C25574" s="1" t="s">
        <v>7655</v>
      </c>
      <c r="D25574" s="1" t="s">
        <v>7657</v>
      </c>
    </row>
    <row r="25575">
      <c r="A25575" s="1" t="s">
        <v>39424</v>
      </c>
      <c r="B25575" s="2" t="s">
        <v>38412</v>
      </c>
      <c r="C25575" s="1" t="s">
        <v>7655</v>
      </c>
      <c r="D25575" s="1" t="s">
        <v>7657</v>
      </c>
    </row>
    <row r="25576">
      <c r="A25576" s="1" t="s">
        <v>39425</v>
      </c>
      <c r="B25576" s="2" t="s">
        <v>39397</v>
      </c>
      <c r="C25576" s="1" t="s">
        <v>7655</v>
      </c>
      <c r="D25576" s="1" t="s">
        <v>7657</v>
      </c>
    </row>
    <row r="25577">
      <c r="A25577" s="1" t="s">
        <v>39426</v>
      </c>
      <c r="B25577" s="2" t="s">
        <v>39399</v>
      </c>
      <c r="C25577" s="1" t="s">
        <v>7655</v>
      </c>
      <c r="D25577" s="1" t="s">
        <v>7657</v>
      </c>
    </row>
    <row r="25578">
      <c r="A25578" s="1" t="s">
        <v>39427</v>
      </c>
      <c r="B25578" s="2" t="s">
        <v>37075</v>
      </c>
      <c r="C25578" s="1" t="s">
        <v>7655</v>
      </c>
      <c r="D25578" s="1" t="s">
        <v>7657</v>
      </c>
    </row>
    <row r="25579">
      <c r="A25579" s="1" t="s">
        <v>7661</v>
      </c>
      <c r="B25579" s="2" t="s">
        <v>1705</v>
      </c>
      <c r="C25579" s="1" t="s">
        <v>7662</v>
      </c>
      <c r="D25579" s="1" t="s">
        <v>7664</v>
      </c>
    </row>
    <row r="25580">
      <c r="A25580" s="1" t="s">
        <v>39428</v>
      </c>
      <c r="B25580" s="2" t="s">
        <v>38094</v>
      </c>
      <c r="C25580" s="1" t="s">
        <v>7662</v>
      </c>
      <c r="D25580" s="1" t="s">
        <v>7664</v>
      </c>
    </row>
    <row r="25581">
      <c r="A25581" s="1" t="s">
        <v>39429</v>
      </c>
      <c r="B25581" s="2" t="s">
        <v>38096</v>
      </c>
      <c r="C25581" s="1" t="s">
        <v>7662</v>
      </c>
      <c r="D25581" s="1" t="s">
        <v>7664</v>
      </c>
    </row>
    <row r="25582">
      <c r="A25582" s="1" t="s">
        <v>39430</v>
      </c>
      <c r="B25582" s="2" t="s">
        <v>38098</v>
      </c>
      <c r="C25582" s="1" t="s">
        <v>7662</v>
      </c>
      <c r="D25582" s="1" t="s">
        <v>7664</v>
      </c>
    </row>
    <row r="25583">
      <c r="A25583" s="1" t="s">
        <v>39431</v>
      </c>
      <c r="B25583" s="2" t="s">
        <v>38100</v>
      </c>
      <c r="C25583" s="1" t="s">
        <v>7662</v>
      </c>
      <c r="D25583" s="1" t="s">
        <v>7664</v>
      </c>
    </row>
    <row r="25584">
      <c r="A25584" s="1" t="s">
        <v>39432</v>
      </c>
      <c r="B25584" s="2" t="s">
        <v>38102</v>
      </c>
      <c r="C25584" s="1" t="s">
        <v>7662</v>
      </c>
      <c r="D25584" s="1" t="s">
        <v>7664</v>
      </c>
    </row>
    <row r="25585">
      <c r="A25585" s="1" t="s">
        <v>39433</v>
      </c>
      <c r="B25585" s="2" t="s">
        <v>38104</v>
      </c>
      <c r="C25585" s="1" t="s">
        <v>7662</v>
      </c>
      <c r="D25585" s="1" t="s">
        <v>7664</v>
      </c>
    </row>
    <row r="25586">
      <c r="A25586" s="1" t="s">
        <v>39434</v>
      </c>
      <c r="B25586" s="2" t="s">
        <v>38106</v>
      </c>
      <c r="C25586" s="1" t="s">
        <v>7662</v>
      </c>
      <c r="D25586" s="1" t="s">
        <v>7664</v>
      </c>
    </row>
    <row r="25587">
      <c r="A25587" s="1" t="s">
        <v>39435</v>
      </c>
      <c r="B25587" s="2" t="s">
        <v>38108</v>
      </c>
      <c r="C25587" s="1" t="s">
        <v>7662</v>
      </c>
      <c r="D25587" s="1" t="s">
        <v>7664</v>
      </c>
    </row>
    <row r="25588">
      <c r="A25588" s="1" t="s">
        <v>39436</v>
      </c>
      <c r="B25588" s="2" t="s">
        <v>38110</v>
      </c>
      <c r="C25588" s="1" t="s">
        <v>7662</v>
      </c>
      <c r="D25588" s="1" t="s">
        <v>7664</v>
      </c>
    </row>
    <row r="25589">
      <c r="A25589" s="1" t="s">
        <v>39437</v>
      </c>
      <c r="B25589" s="2" t="s">
        <v>38112</v>
      </c>
      <c r="C25589" s="1" t="s">
        <v>7662</v>
      </c>
      <c r="D25589" s="1" t="s">
        <v>7664</v>
      </c>
    </row>
    <row r="25590">
      <c r="A25590" s="1" t="s">
        <v>39438</v>
      </c>
      <c r="B25590" s="2" t="s">
        <v>38114</v>
      </c>
      <c r="C25590" s="1" t="s">
        <v>7662</v>
      </c>
      <c r="D25590" s="1" t="s">
        <v>7664</v>
      </c>
    </row>
    <row r="25591">
      <c r="A25591" s="1" t="s">
        <v>39439</v>
      </c>
      <c r="B25591" s="2" t="s">
        <v>38116</v>
      </c>
      <c r="C25591" s="1" t="s">
        <v>7662</v>
      </c>
      <c r="D25591" s="1" t="s">
        <v>7664</v>
      </c>
    </row>
    <row r="25592">
      <c r="A25592" s="1" t="s">
        <v>39440</v>
      </c>
      <c r="B25592" s="2" t="s">
        <v>38118</v>
      </c>
      <c r="C25592" s="1" t="s">
        <v>7662</v>
      </c>
      <c r="D25592" s="1" t="s">
        <v>7664</v>
      </c>
    </row>
    <row r="25593">
      <c r="A25593" s="1" t="s">
        <v>39441</v>
      </c>
      <c r="B25593" s="2" t="s">
        <v>38120</v>
      </c>
      <c r="C25593" s="1" t="s">
        <v>7662</v>
      </c>
      <c r="D25593" s="1" t="s">
        <v>7664</v>
      </c>
    </row>
    <row r="25594">
      <c r="A25594" s="1" t="s">
        <v>39442</v>
      </c>
      <c r="B25594" s="2" t="s">
        <v>39443</v>
      </c>
      <c r="C25594" s="1" t="s">
        <v>7662</v>
      </c>
      <c r="D25594" s="1" t="s">
        <v>7664</v>
      </c>
    </row>
    <row r="25595">
      <c r="A25595" s="1" t="s">
        <v>39444</v>
      </c>
      <c r="B25595" s="2" t="s">
        <v>39445</v>
      </c>
      <c r="C25595" s="1" t="s">
        <v>7662</v>
      </c>
      <c r="D25595" s="1" t="s">
        <v>7664</v>
      </c>
    </row>
    <row r="25596">
      <c r="A25596" s="1" t="s">
        <v>39446</v>
      </c>
      <c r="B25596" s="2" t="s">
        <v>39447</v>
      </c>
      <c r="C25596" s="1" t="s">
        <v>7662</v>
      </c>
      <c r="D25596" s="1" t="s">
        <v>7664</v>
      </c>
    </row>
    <row r="25597">
      <c r="A25597" s="1" t="s">
        <v>39448</v>
      </c>
      <c r="B25597" s="2" t="s">
        <v>38122</v>
      </c>
      <c r="C25597" s="1" t="s">
        <v>7662</v>
      </c>
      <c r="D25597" s="1" t="s">
        <v>7664</v>
      </c>
    </row>
    <row r="25598">
      <c r="A25598" s="1" t="s">
        <v>39449</v>
      </c>
      <c r="B25598" s="2" t="s">
        <v>38124</v>
      </c>
      <c r="C25598" s="1" t="s">
        <v>7662</v>
      </c>
      <c r="D25598" s="1" t="s">
        <v>7664</v>
      </c>
    </row>
    <row r="25599">
      <c r="A25599" s="1" t="s">
        <v>39450</v>
      </c>
      <c r="B25599" s="2" t="s">
        <v>38126</v>
      </c>
      <c r="C25599" s="1" t="s">
        <v>7662</v>
      </c>
      <c r="D25599" s="1" t="s">
        <v>7664</v>
      </c>
    </row>
    <row r="25600">
      <c r="A25600" s="1" t="s">
        <v>39451</v>
      </c>
      <c r="B25600" s="2" t="s">
        <v>38128</v>
      </c>
      <c r="C25600" s="1" t="s">
        <v>7662</v>
      </c>
      <c r="D25600" s="1" t="s">
        <v>7664</v>
      </c>
    </row>
    <row r="25601">
      <c r="A25601" s="1" t="s">
        <v>39452</v>
      </c>
      <c r="B25601" s="2" t="s">
        <v>38130</v>
      </c>
      <c r="C25601" s="1" t="s">
        <v>7662</v>
      </c>
      <c r="D25601" s="1" t="s">
        <v>7664</v>
      </c>
    </row>
    <row r="25602">
      <c r="A25602" s="1" t="s">
        <v>39453</v>
      </c>
      <c r="B25602" s="2" t="s">
        <v>38132</v>
      </c>
      <c r="C25602" s="1" t="s">
        <v>7662</v>
      </c>
      <c r="D25602" s="1" t="s">
        <v>7664</v>
      </c>
    </row>
    <row r="25603">
      <c r="A25603" s="1" t="s">
        <v>39454</v>
      </c>
      <c r="B25603" s="2" t="s">
        <v>39455</v>
      </c>
      <c r="C25603" s="1" t="s">
        <v>7662</v>
      </c>
      <c r="D25603" s="1" t="s">
        <v>7664</v>
      </c>
    </row>
    <row r="25604">
      <c r="A25604" s="1" t="s">
        <v>39456</v>
      </c>
      <c r="B25604" s="2" t="s">
        <v>39457</v>
      </c>
      <c r="C25604" s="1" t="s">
        <v>7662</v>
      </c>
      <c r="D25604" s="1" t="s">
        <v>7664</v>
      </c>
    </row>
    <row r="25605">
      <c r="A25605" s="1" t="s">
        <v>39458</v>
      </c>
      <c r="B25605" s="2" t="s">
        <v>39459</v>
      </c>
      <c r="C25605" s="1" t="s">
        <v>7662</v>
      </c>
      <c r="D25605" s="1" t="s">
        <v>7664</v>
      </c>
    </row>
    <row r="25606">
      <c r="A25606" s="1" t="s">
        <v>39460</v>
      </c>
      <c r="B25606" s="2" t="s">
        <v>38134</v>
      </c>
      <c r="C25606" s="1" t="s">
        <v>7662</v>
      </c>
      <c r="D25606" s="1" t="s">
        <v>7664</v>
      </c>
    </row>
    <row r="25607">
      <c r="A25607" s="1" t="s">
        <v>7667</v>
      </c>
      <c r="B25607" s="2" t="s">
        <v>7487</v>
      </c>
      <c r="C25607" s="1" t="s">
        <v>7668</v>
      </c>
      <c r="D25607" s="1" t="s">
        <v>7670</v>
      </c>
    </row>
    <row r="25608">
      <c r="A25608" s="1" t="s">
        <v>39461</v>
      </c>
      <c r="B25608" s="2" t="s">
        <v>38136</v>
      </c>
      <c r="C25608" s="1" t="s">
        <v>7668</v>
      </c>
      <c r="D25608" s="1" t="s">
        <v>7670</v>
      </c>
    </row>
    <row r="25609">
      <c r="A25609" s="1" t="s">
        <v>39462</v>
      </c>
      <c r="B25609" s="2" t="s">
        <v>38138</v>
      </c>
      <c r="C25609" s="1" t="s">
        <v>7668</v>
      </c>
      <c r="D25609" s="1" t="s">
        <v>7670</v>
      </c>
    </row>
    <row r="25610">
      <c r="A25610" s="1" t="s">
        <v>39463</v>
      </c>
      <c r="B25610" s="2" t="s">
        <v>38140</v>
      </c>
      <c r="C25610" s="1" t="s">
        <v>7668</v>
      </c>
      <c r="D25610" s="1" t="s">
        <v>7670</v>
      </c>
    </row>
    <row r="25611">
      <c r="A25611" s="1" t="s">
        <v>39464</v>
      </c>
      <c r="B25611" s="2" t="s">
        <v>38142</v>
      </c>
      <c r="C25611" s="1" t="s">
        <v>7668</v>
      </c>
      <c r="D25611" s="1" t="s">
        <v>7670</v>
      </c>
    </row>
    <row r="25612">
      <c r="A25612" s="1" t="s">
        <v>39465</v>
      </c>
      <c r="B25612" s="2" t="s">
        <v>38144</v>
      </c>
      <c r="C25612" s="1" t="s">
        <v>7668</v>
      </c>
      <c r="D25612" s="1" t="s">
        <v>7670</v>
      </c>
    </row>
    <row r="25613">
      <c r="A25613" s="1" t="s">
        <v>39466</v>
      </c>
      <c r="B25613" s="2" t="s">
        <v>38146</v>
      </c>
      <c r="C25613" s="1" t="s">
        <v>7668</v>
      </c>
      <c r="D25613" s="1" t="s">
        <v>7670</v>
      </c>
    </row>
    <row r="25614">
      <c r="A25614" s="1" t="s">
        <v>39467</v>
      </c>
      <c r="B25614" s="2" t="s">
        <v>38148</v>
      </c>
      <c r="C25614" s="1" t="s">
        <v>7668</v>
      </c>
      <c r="D25614" s="1" t="s">
        <v>7670</v>
      </c>
    </row>
    <row r="25615">
      <c r="A25615" s="1" t="s">
        <v>39468</v>
      </c>
      <c r="B25615" s="2" t="s">
        <v>38150</v>
      </c>
      <c r="C25615" s="1" t="s">
        <v>7668</v>
      </c>
      <c r="D25615" s="1" t="s">
        <v>7670</v>
      </c>
    </row>
    <row r="25616">
      <c r="A25616" s="1" t="s">
        <v>39469</v>
      </c>
      <c r="B25616" s="2" t="s">
        <v>38152</v>
      </c>
      <c r="C25616" s="1" t="s">
        <v>7668</v>
      </c>
      <c r="D25616" s="1" t="s">
        <v>7670</v>
      </c>
    </row>
    <row r="25617">
      <c r="A25617" s="1" t="s">
        <v>39470</v>
      </c>
      <c r="B25617" s="2" t="s">
        <v>38154</v>
      </c>
      <c r="C25617" s="1" t="s">
        <v>7668</v>
      </c>
      <c r="D25617" s="1" t="s">
        <v>7670</v>
      </c>
    </row>
    <row r="25618">
      <c r="A25618" s="1" t="s">
        <v>39471</v>
      </c>
      <c r="B25618" s="2" t="s">
        <v>38156</v>
      </c>
      <c r="C25618" s="1" t="s">
        <v>7668</v>
      </c>
      <c r="D25618" s="1" t="s">
        <v>7670</v>
      </c>
    </row>
    <row r="25619">
      <c r="A25619" s="1" t="s">
        <v>39472</v>
      </c>
      <c r="B25619" s="2" t="s">
        <v>39473</v>
      </c>
      <c r="C25619" s="1" t="s">
        <v>7668</v>
      </c>
      <c r="D25619" s="1" t="s">
        <v>7670</v>
      </c>
    </row>
    <row r="25620">
      <c r="A25620" s="1" t="s">
        <v>39474</v>
      </c>
      <c r="B25620" s="2" t="s">
        <v>39475</v>
      </c>
      <c r="C25620" s="1" t="s">
        <v>7668</v>
      </c>
      <c r="D25620" s="1" t="s">
        <v>7670</v>
      </c>
    </row>
    <row r="25621">
      <c r="A25621" s="1" t="s">
        <v>39476</v>
      </c>
      <c r="B25621" s="2" t="s">
        <v>39477</v>
      </c>
      <c r="C25621" s="1" t="s">
        <v>7668</v>
      </c>
      <c r="D25621" s="1" t="s">
        <v>7670</v>
      </c>
    </row>
    <row r="25622">
      <c r="A25622" s="1" t="s">
        <v>39478</v>
      </c>
      <c r="B25622" s="2" t="s">
        <v>38158</v>
      </c>
      <c r="C25622" s="1" t="s">
        <v>7668</v>
      </c>
      <c r="D25622" s="1" t="s">
        <v>7670</v>
      </c>
    </row>
    <row r="25623">
      <c r="A25623" s="1" t="s">
        <v>39479</v>
      </c>
      <c r="B25623" s="2" t="s">
        <v>38160</v>
      </c>
      <c r="C25623" s="1" t="s">
        <v>7668</v>
      </c>
      <c r="D25623" s="1" t="s">
        <v>7670</v>
      </c>
    </row>
    <row r="25624">
      <c r="A25624" s="1" t="s">
        <v>39480</v>
      </c>
      <c r="B25624" s="2" t="s">
        <v>38162</v>
      </c>
      <c r="C25624" s="1" t="s">
        <v>7668</v>
      </c>
      <c r="D25624" s="1" t="s">
        <v>7670</v>
      </c>
    </row>
    <row r="25625">
      <c r="A25625" s="1" t="s">
        <v>39481</v>
      </c>
      <c r="B25625" s="2" t="s">
        <v>38164</v>
      </c>
      <c r="C25625" s="1" t="s">
        <v>7668</v>
      </c>
      <c r="D25625" s="1" t="s">
        <v>7670</v>
      </c>
    </row>
    <row r="25626">
      <c r="A25626" s="1" t="s">
        <v>39482</v>
      </c>
      <c r="B25626" s="2" t="s">
        <v>38166</v>
      </c>
      <c r="C25626" s="1" t="s">
        <v>7668</v>
      </c>
      <c r="D25626" s="1" t="s">
        <v>7670</v>
      </c>
    </row>
    <row r="25627">
      <c r="A25627" s="1" t="s">
        <v>39483</v>
      </c>
      <c r="B25627" s="2" t="s">
        <v>38168</v>
      </c>
      <c r="C25627" s="1" t="s">
        <v>7668</v>
      </c>
      <c r="D25627" s="1" t="s">
        <v>7670</v>
      </c>
    </row>
    <row r="25628">
      <c r="A25628" s="1" t="s">
        <v>39484</v>
      </c>
      <c r="B25628" s="2" t="s">
        <v>39485</v>
      </c>
      <c r="C25628" s="1" t="s">
        <v>7668</v>
      </c>
      <c r="D25628" s="1" t="s">
        <v>7670</v>
      </c>
    </row>
    <row r="25629">
      <c r="A25629" s="1" t="s">
        <v>39486</v>
      </c>
      <c r="B25629" s="2" t="s">
        <v>39487</v>
      </c>
      <c r="C25629" s="1" t="s">
        <v>7668</v>
      </c>
      <c r="D25629" s="1" t="s">
        <v>7670</v>
      </c>
    </row>
    <row r="25630">
      <c r="A25630" s="1" t="s">
        <v>39488</v>
      </c>
      <c r="B25630" s="2" t="s">
        <v>39489</v>
      </c>
      <c r="C25630" s="1" t="s">
        <v>7668</v>
      </c>
      <c r="D25630" s="1" t="s">
        <v>7670</v>
      </c>
    </row>
    <row r="25631">
      <c r="A25631" s="1" t="s">
        <v>7673</v>
      </c>
      <c r="B25631" s="2" t="s">
        <v>7</v>
      </c>
      <c r="C25631" s="1" t="s">
        <v>83</v>
      </c>
      <c r="D25631" s="1" t="s">
        <v>7675</v>
      </c>
    </row>
    <row r="25632">
      <c r="A25632" s="1" t="s">
        <v>39490</v>
      </c>
      <c r="B25632" s="2" t="s">
        <v>13</v>
      </c>
      <c r="C25632" s="1" t="s">
        <v>83</v>
      </c>
      <c r="D25632" s="1" t="s">
        <v>7675</v>
      </c>
    </row>
    <row r="25633">
      <c r="A25633" s="1" t="s">
        <v>39491</v>
      </c>
      <c r="B25633" s="2" t="s">
        <v>39492</v>
      </c>
      <c r="C25633" s="1" t="s">
        <v>83</v>
      </c>
      <c r="D25633" s="1" t="s">
        <v>7675</v>
      </c>
    </row>
    <row r="25634">
      <c r="A25634" s="1" t="s">
        <v>39493</v>
      </c>
      <c r="B25634" s="2" t="s">
        <v>39494</v>
      </c>
      <c r="C25634" s="1" t="s">
        <v>83</v>
      </c>
      <c r="D25634" s="1" t="s">
        <v>7675</v>
      </c>
    </row>
    <row r="25635">
      <c r="A25635" s="1" t="s">
        <v>39495</v>
      </c>
      <c r="B25635" s="2" t="s">
        <v>39496</v>
      </c>
      <c r="C25635" s="1" t="s">
        <v>83</v>
      </c>
      <c r="D25635" s="1" t="s">
        <v>7675</v>
      </c>
    </row>
    <row r="25636">
      <c r="A25636" s="1" t="s">
        <v>39497</v>
      </c>
      <c r="B25636" s="2" t="s">
        <v>39498</v>
      </c>
      <c r="C25636" s="1" t="s">
        <v>83</v>
      </c>
      <c r="D25636" s="1" t="s">
        <v>7675</v>
      </c>
    </row>
    <row r="25637">
      <c r="A25637" s="1" t="s">
        <v>39499</v>
      </c>
      <c r="B25637" s="2" t="s">
        <v>39500</v>
      </c>
      <c r="C25637" s="1" t="s">
        <v>83</v>
      </c>
      <c r="D25637" s="1" t="s">
        <v>7675</v>
      </c>
    </row>
    <row r="25638">
      <c r="A25638" s="1" t="s">
        <v>39501</v>
      </c>
      <c r="B25638" s="2" t="s">
        <v>39502</v>
      </c>
      <c r="C25638" s="1" t="s">
        <v>83</v>
      </c>
      <c r="D25638" s="1" t="s">
        <v>7675</v>
      </c>
    </row>
    <row r="25639">
      <c r="A25639" s="1" t="s">
        <v>39503</v>
      </c>
      <c r="B25639" s="2" t="s">
        <v>39504</v>
      </c>
      <c r="C25639" s="1" t="s">
        <v>83</v>
      </c>
      <c r="D25639" s="1" t="s">
        <v>7675</v>
      </c>
    </row>
    <row r="25640">
      <c r="A25640" s="1" t="s">
        <v>39505</v>
      </c>
      <c r="B25640" s="2" t="s">
        <v>39506</v>
      </c>
      <c r="C25640" s="1" t="s">
        <v>83</v>
      </c>
      <c r="D25640" s="1" t="s">
        <v>7675</v>
      </c>
    </row>
    <row r="25641">
      <c r="A25641" s="1" t="s">
        <v>39507</v>
      </c>
      <c r="B25641" s="2" t="s">
        <v>39508</v>
      </c>
      <c r="C25641" s="1" t="s">
        <v>83</v>
      </c>
      <c r="D25641" s="1" t="s">
        <v>7675</v>
      </c>
    </row>
    <row r="25642">
      <c r="A25642" s="1" t="s">
        <v>39509</v>
      </c>
      <c r="B25642" s="2" t="s">
        <v>39510</v>
      </c>
      <c r="C25642" s="1" t="s">
        <v>83</v>
      </c>
      <c r="D25642" s="1" t="s">
        <v>7675</v>
      </c>
    </row>
    <row r="25643">
      <c r="A25643" s="1" t="s">
        <v>39511</v>
      </c>
      <c r="B25643" s="2" t="s">
        <v>39512</v>
      </c>
      <c r="C25643" s="1" t="s">
        <v>83</v>
      </c>
      <c r="D25643" s="1" t="s">
        <v>7675</v>
      </c>
    </row>
    <row r="25644">
      <c r="A25644" s="1" t="s">
        <v>39513</v>
      </c>
      <c r="B25644" s="2" t="s">
        <v>39514</v>
      </c>
      <c r="C25644" s="1" t="s">
        <v>83</v>
      </c>
      <c r="D25644" s="1" t="s">
        <v>7675</v>
      </c>
    </row>
    <row r="25645">
      <c r="A25645" s="1" t="s">
        <v>39515</v>
      </c>
      <c r="B25645" s="2" t="s">
        <v>16170</v>
      </c>
      <c r="C25645" s="1" t="s">
        <v>83</v>
      </c>
      <c r="D25645" s="1" t="s">
        <v>7675</v>
      </c>
    </row>
    <row r="25646">
      <c r="A25646" s="1" t="s">
        <v>39516</v>
      </c>
      <c r="B25646" s="2" t="s">
        <v>39517</v>
      </c>
      <c r="C25646" s="1" t="s">
        <v>83</v>
      </c>
      <c r="D25646" s="1" t="s">
        <v>7675</v>
      </c>
    </row>
    <row r="25647">
      <c r="A25647" s="1" t="s">
        <v>39518</v>
      </c>
      <c r="B25647" s="2" t="s">
        <v>39519</v>
      </c>
      <c r="C25647" s="1" t="s">
        <v>83</v>
      </c>
      <c r="D25647" s="1" t="s">
        <v>7675</v>
      </c>
    </row>
    <row r="25648">
      <c r="A25648" s="1" t="s">
        <v>39520</v>
      </c>
      <c r="B25648" s="2" t="s">
        <v>24342</v>
      </c>
      <c r="C25648" s="1" t="s">
        <v>83</v>
      </c>
      <c r="D25648" s="1" t="s">
        <v>7675</v>
      </c>
    </row>
    <row r="25649">
      <c r="A25649" s="1" t="s">
        <v>39521</v>
      </c>
      <c r="B25649" s="2" t="s">
        <v>39522</v>
      </c>
      <c r="C25649" s="1" t="s">
        <v>83</v>
      </c>
      <c r="D25649" s="1" t="s">
        <v>7675</v>
      </c>
    </row>
    <row r="25650">
      <c r="A25650" s="1" t="s">
        <v>39523</v>
      </c>
      <c r="B25650" s="2" t="s">
        <v>39524</v>
      </c>
      <c r="C25650" s="1" t="s">
        <v>83</v>
      </c>
      <c r="D25650" s="1" t="s">
        <v>7675</v>
      </c>
    </row>
    <row r="25651">
      <c r="A25651" s="1" t="s">
        <v>39525</v>
      </c>
      <c r="B25651" s="2" t="s">
        <v>23880</v>
      </c>
      <c r="C25651" s="1" t="s">
        <v>83</v>
      </c>
      <c r="D25651" s="1" t="s">
        <v>7675</v>
      </c>
    </row>
    <row r="25652">
      <c r="A25652" s="1" t="s">
        <v>39526</v>
      </c>
      <c r="B25652" s="2" t="s">
        <v>39527</v>
      </c>
      <c r="C25652" s="1" t="s">
        <v>83</v>
      </c>
      <c r="D25652" s="1" t="s">
        <v>7675</v>
      </c>
    </row>
    <row r="25653">
      <c r="A25653" s="1" t="s">
        <v>39528</v>
      </c>
      <c r="B25653" s="2" t="s">
        <v>39529</v>
      </c>
      <c r="C25653" s="1" t="s">
        <v>83</v>
      </c>
      <c r="D25653" s="1" t="s">
        <v>7675</v>
      </c>
    </row>
    <row r="25654">
      <c r="A25654" s="1" t="s">
        <v>39530</v>
      </c>
      <c r="B25654" s="2" t="s">
        <v>20357</v>
      </c>
      <c r="C25654" s="1" t="s">
        <v>83</v>
      </c>
      <c r="D25654" s="1" t="s">
        <v>7675</v>
      </c>
    </row>
    <row r="25655">
      <c r="A25655" s="1" t="s">
        <v>39531</v>
      </c>
      <c r="B25655" s="2" t="s">
        <v>39532</v>
      </c>
      <c r="C25655" s="1" t="s">
        <v>83</v>
      </c>
      <c r="D25655" s="1" t="s">
        <v>7675</v>
      </c>
    </row>
    <row r="25656">
      <c r="A25656" s="1" t="s">
        <v>39533</v>
      </c>
      <c r="B25656" s="2" t="s">
        <v>39534</v>
      </c>
      <c r="C25656" s="1" t="s">
        <v>83</v>
      </c>
      <c r="D25656" s="1" t="s">
        <v>7675</v>
      </c>
    </row>
    <row r="25657">
      <c r="A25657" s="1" t="s">
        <v>39535</v>
      </c>
      <c r="B25657" s="2" t="s">
        <v>20363</v>
      </c>
      <c r="C25657" s="1" t="s">
        <v>83</v>
      </c>
      <c r="D25657" s="1" t="s">
        <v>7675</v>
      </c>
    </row>
    <row r="25658">
      <c r="A25658" s="1" t="s">
        <v>39536</v>
      </c>
      <c r="B25658" s="2" t="s">
        <v>39537</v>
      </c>
      <c r="C25658" s="1" t="s">
        <v>83</v>
      </c>
      <c r="D25658" s="1" t="s">
        <v>7675</v>
      </c>
    </row>
    <row r="25659">
      <c r="A25659" s="1" t="s">
        <v>39538</v>
      </c>
      <c r="B25659" s="2" t="s">
        <v>39539</v>
      </c>
      <c r="C25659" s="1" t="s">
        <v>83</v>
      </c>
      <c r="D25659" s="1" t="s">
        <v>7675</v>
      </c>
    </row>
    <row r="25660">
      <c r="A25660" s="1" t="s">
        <v>39540</v>
      </c>
      <c r="B25660" s="2" t="s">
        <v>70</v>
      </c>
      <c r="C25660" s="1" t="s">
        <v>83</v>
      </c>
      <c r="D25660" s="1" t="s">
        <v>7675</v>
      </c>
    </row>
    <row r="25661">
      <c r="A25661" s="1" t="s">
        <v>39541</v>
      </c>
      <c r="B25661" s="2" t="s">
        <v>39542</v>
      </c>
      <c r="C25661" s="1" t="s">
        <v>83</v>
      </c>
      <c r="D25661" s="1" t="s">
        <v>7675</v>
      </c>
    </row>
    <row r="25662">
      <c r="A25662" s="1" t="s">
        <v>39543</v>
      </c>
      <c r="B25662" s="2" t="s">
        <v>39544</v>
      </c>
      <c r="C25662" s="1" t="s">
        <v>83</v>
      </c>
      <c r="D25662" s="1" t="s">
        <v>7675</v>
      </c>
    </row>
    <row r="25663">
      <c r="A25663" s="1" t="s">
        <v>39545</v>
      </c>
      <c r="B25663" s="2" t="s">
        <v>39546</v>
      </c>
      <c r="C25663" s="1" t="s">
        <v>83</v>
      </c>
      <c r="D25663" s="1" t="s">
        <v>7675</v>
      </c>
    </row>
    <row r="25664">
      <c r="A25664" s="1" t="s">
        <v>39547</v>
      </c>
      <c r="B25664" s="2" t="s">
        <v>39548</v>
      </c>
      <c r="C25664" s="1" t="s">
        <v>83</v>
      </c>
      <c r="D25664" s="1" t="s">
        <v>7675</v>
      </c>
    </row>
    <row r="25665">
      <c r="A25665" s="1" t="s">
        <v>39549</v>
      </c>
      <c r="B25665" s="2" t="s">
        <v>39550</v>
      </c>
      <c r="C25665" s="1" t="s">
        <v>83</v>
      </c>
      <c r="D25665" s="1" t="s">
        <v>7675</v>
      </c>
    </row>
    <row r="25666">
      <c r="A25666" s="1" t="s">
        <v>39551</v>
      </c>
      <c r="B25666" s="2" t="s">
        <v>39552</v>
      </c>
      <c r="C25666" s="1" t="s">
        <v>83</v>
      </c>
      <c r="D25666" s="1" t="s">
        <v>7675</v>
      </c>
    </row>
    <row r="25667">
      <c r="A25667" s="1" t="s">
        <v>39553</v>
      </c>
      <c r="B25667" s="2" t="s">
        <v>39554</v>
      </c>
      <c r="C25667" s="1" t="s">
        <v>83</v>
      </c>
      <c r="D25667" s="1" t="s">
        <v>7675</v>
      </c>
    </row>
    <row r="25668">
      <c r="A25668" s="1" t="s">
        <v>39555</v>
      </c>
      <c r="B25668" s="2" t="s">
        <v>39556</v>
      </c>
      <c r="C25668" s="1" t="s">
        <v>83</v>
      </c>
      <c r="D25668" s="1" t="s">
        <v>7675</v>
      </c>
    </row>
    <row r="25669">
      <c r="A25669" s="1" t="s">
        <v>39557</v>
      </c>
      <c r="B25669" s="2" t="s">
        <v>39558</v>
      </c>
      <c r="C25669" s="1" t="s">
        <v>83</v>
      </c>
      <c r="D25669" s="1" t="s">
        <v>7675</v>
      </c>
    </row>
    <row r="25670">
      <c r="A25670" s="1" t="s">
        <v>39559</v>
      </c>
      <c r="B25670" s="2" t="s">
        <v>39560</v>
      </c>
      <c r="C25670" s="1" t="s">
        <v>83</v>
      </c>
      <c r="D25670" s="1" t="s">
        <v>7675</v>
      </c>
    </row>
    <row r="25671">
      <c r="A25671" s="1" t="s">
        <v>39561</v>
      </c>
      <c r="B25671" s="2" t="s">
        <v>39562</v>
      </c>
      <c r="C25671" s="1" t="s">
        <v>83</v>
      </c>
      <c r="D25671" s="1" t="s">
        <v>7675</v>
      </c>
    </row>
    <row r="25672">
      <c r="A25672" s="1" t="s">
        <v>39563</v>
      </c>
      <c r="B25672" s="2" t="s">
        <v>39564</v>
      </c>
      <c r="C25672" s="1" t="s">
        <v>83</v>
      </c>
      <c r="D25672" s="1" t="s">
        <v>7675</v>
      </c>
    </row>
    <row r="25673">
      <c r="A25673" s="1" t="s">
        <v>39565</v>
      </c>
      <c r="B25673" s="2" t="s">
        <v>16251</v>
      </c>
      <c r="C25673" s="1" t="s">
        <v>83</v>
      </c>
      <c r="D25673" s="1" t="s">
        <v>7675</v>
      </c>
    </row>
    <row r="25674">
      <c r="A25674" s="1" t="s">
        <v>39566</v>
      </c>
      <c r="B25674" s="2" t="s">
        <v>39567</v>
      </c>
      <c r="C25674" s="1" t="s">
        <v>83</v>
      </c>
      <c r="D25674" s="1" t="s">
        <v>7675</v>
      </c>
    </row>
    <row r="25675">
      <c r="A25675" s="1" t="s">
        <v>39568</v>
      </c>
      <c r="B25675" s="2" t="s">
        <v>39569</v>
      </c>
      <c r="C25675" s="1" t="s">
        <v>83</v>
      </c>
      <c r="D25675" s="1" t="s">
        <v>7675</v>
      </c>
    </row>
    <row r="25676">
      <c r="A25676" s="1" t="s">
        <v>39570</v>
      </c>
      <c r="B25676" s="2" t="s">
        <v>24511</v>
      </c>
      <c r="C25676" s="1" t="s">
        <v>83</v>
      </c>
      <c r="D25676" s="1" t="s">
        <v>7675</v>
      </c>
    </row>
    <row r="25677">
      <c r="A25677" s="1" t="s">
        <v>39571</v>
      </c>
      <c r="B25677" s="2" t="s">
        <v>39572</v>
      </c>
      <c r="C25677" s="1" t="s">
        <v>83</v>
      </c>
      <c r="D25677" s="1" t="s">
        <v>7675</v>
      </c>
    </row>
    <row r="25678">
      <c r="A25678" s="1" t="s">
        <v>39573</v>
      </c>
      <c r="B25678" s="2" t="s">
        <v>39574</v>
      </c>
      <c r="C25678" s="1" t="s">
        <v>83</v>
      </c>
      <c r="D25678" s="1" t="s">
        <v>7675</v>
      </c>
    </row>
    <row r="25679">
      <c r="A25679" s="1" t="s">
        <v>39575</v>
      </c>
      <c r="B25679" s="2" t="s">
        <v>23912</v>
      </c>
      <c r="C25679" s="1" t="s">
        <v>83</v>
      </c>
      <c r="D25679" s="1" t="s">
        <v>7675</v>
      </c>
    </row>
    <row r="25680">
      <c r="A25680" s="1" t="s">
        <v>39576</v>
      </c>
      <c r="B25680" s="2" t="s">
        <v>39577</v>
      </c>
      <c r="C25680" s="1" t="s">
        <v>83</v>
      </c>
      <c r="D25680" s="1" t="s">
        <v>7675</v>
      </c>
    </row>
    <row r="25681">
      <c r="A25681" s="1" t="s">
        <v>39578</v>
      </c>
      <c r="B25681" s="2" t="s">
        <v>39579</v>
      </c>
      <c r="C25681" s="1" t="s">
        <v>83</v>
      </c>
      <c r="D25681" s="1" t="s">
        <v>7675</v>
      </c>
    </row>
    <row r="25682">
      <c r="A25682" s="1" t="s">
        <v>39580</v>
      </c>
      <c r="B25682" s="2" t="s">
        <v>20394</v>
      </c>
      <c r="C25682" s="1" t="s">
        <v>83</v>
      </c>
      <c r="D25682" s="1" t="s">
        <v>7675</v>
      </c>
    </row>
    <row r="25683">
      <c r="A25683" s="1" t="s">
        <v>39581</v>
      </c>
      <c r="B25683" s="2" t="s">
        <v>39582</v>
      </c>
      <c r="C25683" s="1" t="s">
        <v>83</v>
      </c>
      <c r="D25683" s="1" t="s">
        <v>7675</v>
      </c>
    </row>
    <row r="25684">
      <c r="A25684" s="1" t="s">
        <v>39583</v>
      </c>
      <c r="B25684" s="2" t="s">
        <v>39584</v>
      </c>
      <c r="C25684" s="1" t="s">
        <v>83</v>
      </c>
      <c r="D25684" s="1" t="s">
        <v>7675</v>
      </c>
    </row>
    <row r="25685">
      <c r="A25685" s="1" t="s">
        <v>39585</v>
      </c>
      <c r="B25685" s="2" t="s">
        <v>20400</v>
      </c>
      <c r="C25685" s="1" t="s">
        <v>83</v>
      </c>
      <c r="D25685" s="1" t="s">
        <v>7675</v>
      </c>
    </row>
    <row r="25686">
      <c r="A25686" s="1" t="s">
        <v>39586</v>
      </c>
      <c r="B25686" s="2" t="s">
        <v>39587</v>
      </c>
      <c r="C25686" s="1" t="s">
        <v>83</v>
      </c>
      <c r="D25686" s="1" t="s">
        <v>7675</v>
      </c>
    </row>
    <row r="25687">
      <c r="A25687" s="1" t="s">
        <v>39588</v>
      </c>
      <c r="B25687" s="2" t="s">
        <v>39589</v>
      </c>
      <c r="C25687" s="1" t="s">
        <v>83</v>
      </c>
      <c r="D25687" s="1" t="s">
        <v>7675</v>
      </c>
    </row>
    <row r="25688">
      <c r="A25688" s="1" t="s">
        <v>7679</v>
      </c>
      <c r="B25688" s="2" t="s">
        <v>7</v>
      </c>
      <c r="C25688" s="1" t="s">
        <v>7681</v>
      </c>
      <c r="D25688" s="1" t="s">
        <v>7682</v>
      </c>
    </row>
    <row r="25689">
      <c r="A25689" s="1" t="s">
        <v>39590</v>
      </c>
      <c r="B25689" s="2" t="s">
        <v>13</v>
      </c>
      <c r="C25689" s="1" t="s">
        <v>7681</v>
      </c>
      <c r="D25689" s="1" t="s">
        <v>7682</v>
      </c>
    </row>
    <row r="25690">
      <c r="A25690" s="1" t="s">
        <v>39591</v>
      </c>
      <c r="B25690" s="2" t="s">
        <v>39492</v>
      </c>
      <c r="C25690" s="1" t="s">
        <v>7681</v>
      </c>
      <c r="D25690" s="1" t="s">
        <v>7682</v>
      </c>
    </row>
    <row r="25691">
      <c r="A25691" s="1" t="s">
        <v>39592</v>
      </c>
      <c r="B25691" s="2" t="s">
        <v>39593</v>
      </c>
      <c r="C25691" s="1" t="s">
        <v>7681</v>
      </c>
      <c r="D25691" s="1" t="s">
        <v>7682</v>
      </c>
    </row>
    <row r="25692">
      <c r="A25692" s="1" t="s">
        <v>39594</v>
      </c>
      <c r="B25692" s="2" t="s">
        <v>39595</v>
      </c>
      <c r="C25692" s="1" t="s">
        <v>7681</v>
      </c>
      <c r="D25692" s="1" t="s">
        <v>7682</v>
      </c>
    </row>
    <row r="25693">
      <c r="A25693" s="1" t="s">
        <v>39596</v>
      </c>
      <c r="B25693" s="2" t="s">
        <v>39498</v>
      </c>
      <c r="C25693" s="1" t="s">
        <v>7681</v>
      </c>
      <c r="D25693" s="1" t="s">
        <v>7682</v>
      </c>
    </row>
    <row r="25694">
      <c r="A25694" s="1" t="s">
        <v>39597</v>
      </c>
      <c r="B25694" s="2" t="s">
        <v>39598</v>
      </c>
      <c r="C25694" s="1" t="s">
        <v>7681</v>
      </c>
      <c r="D25694" s="1" t="s">
        <v>7682</v>
      </c>
    </row>
    <row r="25695">
      <c r="A25695" s="1" t="s">
        <v>39599</v>
      </c>
      <c r="B25695" s="2" t="s">
        <v>39600</v>
      </c>
      <c r="C25695" s="1" t="s">
        <v>7681</v>
      </c>
      <c r="D25695" s="1" t="s">
        <v>7682</v>
      </c>
    </row>
    <row r="25696">
      <c r="A25696" s="1" t="s">
        <v>39601</v>
      </c>
      <c r="B25696" s="2" t="s">
        <v>39504</v>
      </c>
      <c r="C25696" s="1" t="s">
        <v>7681</v>
      </c>
      <c r="D25696" s="1" t="s">
        <v>7682</v>
      </c>
    </row>
    <row r="25697">
      <c r="A25697" s="1" t="s">
        <v>39602</v>
      </c>
      <c r="B25697" s="2" t="s">
        <v>39603</v>
      </c>
      <c r="C25697" s="1" t="s">
        <v>7681</v>
      </c>
      <c r="D25697" s="1" t="s">
        <v>7682</v>
      </c>
    </row>
    <row r="25698">
      <c r="A25698" s="1" t="s">
        <v>39604</v>
      </c>
      <c r="B25698" s="2" t="s">
        <v>39605</v>
      </c>
      <c r="C25698" s="1" t="s">
        <v>7681</v>
      </c>
      <c r="D25698" s="1" t="s">
        <v>7682</v>
      </c>
    </row>
    <row r="25699">
      <c r="A25699" s="1" t="s">
        <v>39606</v>
      </c>
      <c r="B25699" s="2" t="s">
        <v>39510</v>
      </c>
      <c r="C25699" s="1" t="s">
        <v>7681</v>
      </c>
      <c r="D25699" s="1" t="s">
        <v>7682</v>
      </c>
    </row>
    <row r="25700">
      <c r="A25700" s="1" t="s">
        <v>39607</v>
      </c>
      <c r="B25700" s="2" t="s">
        <v>39608</v>
      </c>
      <c r="C25700" s="1" t="s">
        <v>7681</v>
      </c>
      <c r="D25700" s="1" t="s">
        <v>7682</v>
      </c>
    </row>
    <row r="25701">
      <c r="A25701" s="1" t="s">
        <v>39609</v>
      </c>
      <c r="B25701" s="2" t="s">
        <v>39610</v>
      </c>
      <c r="C25701" s="1" t="s">
        <v>7681</v>
      </c>
      <c r="D25701" s="1" t="s">
        <v>7682</v>
      </c>
    </row>
    <row r="25702">
      <c r="A25702" s="1" t="s">
        <v>39611</v>
      </c>
      <c r="B25702" s="2" t="s">
        <v>16170</v>
      </c>
      <c r="C25702" s="1" t="s">
        <v>7681</v>
      </c>
      <c r="D25702" s="1" t="s">
        <v>7682</v>
      </c>
    </row>
    <row r="25703">
      <c r="A25703" s="1" t="s">
        <v>39612</v>
      </c>
      <c r="B25703" s="2" t="s">
        <v>39613</v>
      </c>
      <c r="C25703" s="1" t="s">
        <v>7681</v>
      </c>
      <c r="D25703" s="1" t="s">
        <v>7682</v>
      </c>
    </row>
    <row r="25704">
      <c r="A25704" s="1" t="s">
        <v>39614</v>
      </c>
      <c r="B25704" s="2" t="s">
        <v>39615</v>
      </c>
      <c r="C25704" s="1" t="s">
        <v>7681</v>
      </c>
      <c r="D25704" s="1" t="s">
        <v>7682</v>
      </c>
    </row>
    <row r="25705">
      <c r="A25705" s="1" t="s">
        <v>39616</v>
      </c>
      <c r="B25705" s="2" t="s">
        <v>24342</v>
      </c>
      <c r="C25705" s="1" t="s">
        <v>7681</v>
      </c>
      <c r="D25705" s="1" t="s">
        <v>7682</v>
      </c>
    </row>
    <row r="25706">
      <c r="A25706" s="1" t="s">
        <v>39617</v>
      </c>
      <c r="B25706" s="2" t="s">
        <v>39618</v>
      </c>
      <c r="C25706" s="1" t="s">
        <v>7681</v>
      </c>
      <c r="D25706" s="1" t="s">
        <v>7682</v>
      </c>
    </row>
    <row r="25707">
      <c r="A25707" s="1" t="s">
        <v>39619</v>
      </c>
      <c r="B25707" s="2" t="s">
        <v>39620</v>
      </c>
      <c r="C25707" s="1" t="s">
        <v>7681</v>
      </c>
      <c r="D25707" s="1" t="s">
        <v>7682</v>
      </c>
    </row>
    <row r="25708">
      <c r="A25708" s="1" t="s">
        <v>39621</v>
      </c>
      <c r="B25708" s="2" t="s">
        <v>23880</v>
      </c>
      <c r="C25708" s="1" t="s">
        <v>7681</v>
      </c>
      <c r="D25708" s="1" t="s">
        <v>7682</v>
      </c>
    </row>
    <row r="25709">
      <c r="A25709" s="1" t="s">
        <v>39622</v>
      </c>
      <c r="B25709" s="2" t="s">
        <v>39623</v>
      </c>
      <c r="C25709" s="1" t="s">
        <v>7681</v>
      </c>
      <c r="D25709" s="1" t="s">
        <v>7682</v>
      </c>
    </row>
    <row r="25710">
      <c r="A25710" s="1" t="s">
        <v>39624</v>
      </c>
      <c r="B25710" s="2" t="s">
        <v>39625</v>
      </c>
      <c r="C25710" s="1" t="s">
        <v>7681</v>
      </c>
      <c r="D25710" s="1" t="s">
        <v>7682</v>
      </c>
    </row>
    <row r="25711">
      <c r="A25711" s="1" t="s">
        <v>39626</v>
      </c>
      <c r="B25711" s="2" t="s">
        <v>20357</v>
      </c>
      <c r="C25711" s="1" t="s">
        <v>7681</v>
      </c>
      <c r="D25711" s="1" t="s">
        <v>7682</v>
      </c>
    </row>
    <row r="25712">
      <c r="A25712" s="1" t="s">
        <v>39627</v>
      </c>
      <c r="B25712" s="2" t="s">
        <v>39628</v>
      </c>
      <c r="C25712" s="1" t="s">
        <v>7681</v>
      </c>
      <c r="D25712" s="1" t="s">
        <v>7682</v>
      </c>
    </row>
    <row r="25713">
      <c r="A25713" s="1" t="s">
        <v>39629</v>
      </c>
      <c r="B25713" s="2" t="s">
        <v>39630</v>
      </c>
      <c r="C25713" s="1" t="s">
        <v>7681</v>
      </c>
      <c r="D25713" s="1" t="s">
        <v>7682</v>
      </c>
    </row>
    <row r="25714">
      <c r="A25714" s="1" t="s">
        <v>39631</v>
      </c>
      <c r="B25714" s="2" t="s">
        <v>20363</v>
      </c>
      <c r="C25714" s="1" t="s">
        <v>7681</v>
      </c>
      <c r="D25714" s="1" t="s">
        <v>7682</v>
      </c>
    </row>
    <row r="25715">
      <c r="A25715" s="1" t="s">
        <v>39632</v>
      </c>
      <c r="B25715" s="2" t="s">
        <v>39633</v>
      </c>
      <c r="C25715" s="1" t="s">
        <v>7681</v>
      </c>
      <c r="D25715" s="1" t="s">
        <v>7682</v>
      </c>
    </row>
    <row r="25716">
      <c r="A25716" s="1" t="s">
        <v>39634</v>
      </c>
      <c r="B25716" s="2" t="s">
        <v>39635</v>
      </c>
      <c r="C25716" s="1" t="s">
        <v>7681</v>
      </c>
      <c r="D25716" s="1" t="s">
        <v>7682</v>
      </c>
    </row>
    <row r="25717">
      <c r="A25717" s="1" t="s">
        <v>39636</v>
      </c>
      <c r="B25717" s="2" t="s">
        <v>70</v>
      </c>
      <c r="C25717" s="1" t="s">
        <v>7681</v>
      </c>
      <c r="D25717" s="1" t="s">
        <v>7682</v>
      </c>
    </row>
    <row r="25718">
      <c r="A25718" s="1" t="s">
        <v>39637</v>
      </c>
      <c r="B25718" s="2" t="s">
        <v>39542</v>
      </c>
      <c r="C25718" s="1" t="s">
        <v>7681</v>
      </c>
      <c r="D25718" s="1" t="s">
        <v>7682</v>
      </c>
    </row>
    <row r="25719">
      <c r="A25719" s="1" t="s">
        <v>39638</v>
      </c>
      <c r="B25719" s="2" t="s">
        <v>39639</v>
      </c>
      <c r="C25719" s="1" t="s">
        <v>7681</v>
      </c>
      <c r="D25719" s="1" t="s">
        <v>7682</v>
      </c>
    </row>
    <row r="25720">
      <c r="A25720" s="1" t="s">
        <v>39640</v>
      </c>
      <c r="B25720" s="2" t="s">
        <v>39641</v>
      </c>
      <c r="C25720" s="1" t="s">
        <v>7681</v>
      </c>
      <c r="D25720" s="1" t="s">
        <v>7682</v>
      </c>
    </row>
    <row r="25721">
      <c r="A25721" s="1" t="s">
        <v>39642</v>
      </c>
      <c r="B25721" s="2" t="s">
        <v>39548</v>
      </c>
      <c r="C25721" s="1" t="s">
        <v>7681</v>
      </c>
      <c r="D25721" s="1" t="s">
        <v>7682</v>
      </c>
    </row>
    <row r="25722">
      <c r="A25722" s="1" t="s">
        <v>39643</v>
      </c>
      <c r="B25722" s="2" t="s">
        <v>39644</v>
      </c>
      <c r="C25722" s="1" t="s">
        <v>7681</v>
      </c>
      <c r="D25722" s="1" t="s">
        <v>7682</v>
      </c>
    </row>
    <row r="25723">
      <c r="A25723" s="1" t="s">
        <v>39645</v>
      </c>
      <c r="B25723" s="2" t="s">
        <v>39646</v>
      </c>
      <c r="C25723" s="1" t="s">
        <v>7681</v>
      </c>
      <c r="D25723" s="1" t="s">
        <v>7682</v>
      </c>
    </row>
    <row r="25724">
      <c r="A25724" s="1" t="s">
        <v>39647</v>
      </c>
      <c r="B25724" s="2" t="s">
        <v>39554</v>
      </c>
      <c r="C25724" s="1" t="s">
        <v>7681</v>
      </c>
      <c r="D25724" s="1" t="s">
        <v>7682</v>
      </c>
    </row>
    <row r="25725">
      <c r="A25725" s="1" t="s">
        <v>39648</v>
      </c>
      <c r="B25725" s="2" t="s">
        <v>39649</v>
      </c>
      <c r="C25725" s="1" t="s">
        <v>7681</v>
      </c>
      <c r="D25725" s="1" t="s">
        <v>7682</v>
      </c>
    </row>
    <row r="25726">
      <c r="A25726" s="1" t="s">
        <v>39650</v>
      </c>
      <c r="B25726" s="2" t="s">
        <v>39651</v>
      </c>
      <c r="C25726" s="1" t="s">
        <v>7681</v>
      </c>
      <c r="D25726" s="1" t="s">
        <v>7682</v>
      </c>
    </row>
    <row r="25727">
      <c r="A25727" s="1" t="s">
        <v>39652</v>
      </c>
      <c r="B25727" s="2" t="s">
        <v>39560</v>
      </c>
      <c r="C25727" s="1" t="s">
        <v>7681</v>
      </c>
      <c r="D25727" s="1" t="s">
        <v>7682</v>
      </c>
    </row>
    <row r="25728">
      <c r="A25728" s="1" t="s">
        <v>39653</v>
      </c>
      <c r="B25728" s="2" t="s">
        <v>39654</v>
      </c>
      <c r="C25728" s="1" t="s">
        <v>7681</v>
      </c>
      <c r="D25728" s="1" t="s">
        <v>7682</v>
      </c>
    </row>
    <row r="25729">
      <c r="A25729" s="1" t="s">
        <v>39655</v>
      </c>
      <c r="B25729" s="2" t="s">
        <v>39656</v>
      </c>
      <c r="C25729" s="1" t="s">
        <v>7681</v>
      </c>
      <c r="D25729" s="1" t="s">
        <v>7682</v>
      </c>
    </row>
    <row r="25730">
      <c r="A25730" s="1" t="s">
        <v>39657</v>
      </c>
      <c r="B25730" s="2" t="s">
        <v>16251</v>
      </c>
      <c r="C25730" s="1" t="s">
        <v>7681</v>
      </c>
      <c r="D25730" s="1" t="s">
        <v>7682</v>
      </c>
    </row>
    <row r="25731">
      <c r="A25731" s="1" t="s">
        <v>39658</v>
      </c>
      <c r="B25731" s="2" t="s">
        <v>39659</v>
      </c>
      <c r="C25731" s="1" t="s">
        <v>7681</v>
      </c>
      <c r="D25731" s="1" t="s">
        <v>7682</v>
      </c>
    </row>
    <row r="25732">
      <c r="A25732" s="1" t="s">
        <v>39660</v>
      </c>
      <c r="B25732" s="2" t="s">
        <v>39661</v>
      </c>
      <c r="C25732" s="1" t="s">
        <v>7681</v>
      </c>
      <c r="D25732" s="1" t="s">
        <v>7682</v>
      </c>
    </row>
    <row r="25733">
      <c r="A25733" s="1" t="s">
        <v>39662</v>
      </c>
      <c r="B25733" s="2" t="s">
        <v>24511</v>
      </c>
      <c r="C25733" s="1" t="s">
        <v>7681</v>
      </c>
      <c r="D25733" s="1" t="s">
        <v>7682</v>
      </c>
    </row>
    <row r="25734">
      <c r="A25734" s="1" t="s">
        <v>39663</v>
      </c>
      <c r="B25734" s="2" t="s">
        <v>39664</v>
      </c>
      <c r="C25734" s="1" t="s">
        <v>7681</v>
      </c>
      <c r="D25734" s="1" t="s">
        <v>7682</v>
      </c>
    </row>
    <row r="25735">
      <c r="A25735" s="1" t="s">
        <v>39665</v>
      </c>
      <c r="B25735" s="2" t="s">
        <v>39666</v>
      </c>
      <c r="C25735" s="1" t="s">
        <v>7681</v>
      </c>
      <c r="D25735" s="1" t="s">
        <v>7682</v>
      </c>
    </row>
    <row r="25736">
      <c r="A25736" s="1" t="s">
        <v>39667</v>
      </c>
      <c r="B25736" s="2" t="s">
        <v>23912</v>
      </c>
      <c r="C25736" s="1" t="s">
        <v>7681</v>
      </c>
      <c r="D25736" s="1" t="s">
        <v>7682</v>
      </c>
    </row>
    <row r="25737">
      <c r="A25737" s="1" t="s">
        <v>39668</v>
      </c>
      <c r="B25737" s="2" t="s">
        <v>39669</v>
      </c>
      <c r="C25737" s="1" t="s">
        <v>7681</v>
      </c>
      <c r="D25737" s="1" t="s">
        <v>7682</v>
      </c>
    </row>
    <row r="25738">
      <c r="A25738" s="1" t="s">
        <v>39670</v>
      </c>
      <c r="B25738" s="2" t="s">
        <v>39671</v>
      </c>
      <c r="C25738" s="1" t="s">
        <v>7681</v>
      </c>
      <c r="D25738" s="1" t="s">
        <v>7682</v>
      </c>
    </row>
    <row r="25739">
      <c r="A25739" s="1" t="s">
        <v>39672</v>
      </c>
      <c r="B25739" s="2" t="s">
        <v>20394</v>
      </c>
      <c r="C25739" s="1" t="s">
        <v>7681</v>
      </c>
      <c r="D25739" s="1" t="s">
        <v>7682</v>
      </c>
    </row>
    <row r="25740">
      <c r="A25740" s="1" t="s">
        <v>39673</v>
      </c>
      <c r="B25740" s="2" t="s">
        <v>39674</v>
      </c>
      <c r="C25740" s="1" t="s">
        <v>7681</v>
      </c>
      <c r="D25740" s="1" t="s">
        <v>7682</v>
      </c>
    </row>
    <row r="25741">
      <c r="A25741" s="1" t="s">
        <v>39675</v>
      </c>
      <c r="B25741" s="2" t="s">
        <v>39676</v>
      </c>
      <c r="C25741" s="1" t="s">
        <v>7681</v>
      </c>
      <c r="D25741" s="1" t="s">
        <v>7682</v>
      </c>
    </row>
    <row r="25742">
      <c r="A25742" s="1" t="s">
        <v>39677</v>
      </c>
      <c r="B25742" s="2" t="s">
        <v>20400</v>
      </c>
      <c r="C25742" s="1" t="s">
        <v>7681</v>
      </c>
      <c r="D25742" s="1" t="s">
        <v>7682</v>
      </c>
    </row>
    <row r="25743">
      <c r="A25743" s="1" t="s">
        <v>39678</v>
      </c>
      <c r="B25743" s="2" t="s">
        <v>39679</v>
      </c>
      <c r="C25743" s="1" t="s">
        <v>7681</v>
      </c>
      <c r="D25743" s="1" t="s">
        <v>7682</v>
      </c>
    </row>
    <row r="25744">
      <c r="A25744" s="1" t="s">
        <v>39680</v>
      </c>
      <c r="B25744" s="2" t="s">
        <v>39681</v>
      </c>
      <c r="C25744" s="1" t="s">
        <v>7681</v>
      </c>
      <c r="D25744" s="1" t="s">
        <v>7682</v>
      </c>
    </row>
    <row r="25745">
      <c r="A25745" s="1" t="s">
        <v>7688</v>
      </c>
      <c r="B25745" s="2" t="s">
        <v>7</v>
      </c>
      <c r="C25745" s="1" t="s">
        <v>7691</v>
      </c>
      <c r="D25745" s="1" t="s">
        <v>7692</v>
      </c>
    </row>
    <row r="25746">
      <c r="A25746" s="1" t="s">
        <v>39682</v>
      </c>
      <c r="B25746" s="2" t="s">
        <v>13</v>
      </c>
      <c r="C25746" s="1" t="s">
        <v>7691</v>
      </c>
      <c r="D25746" s="1" t="s">
        <v>7692</v>
      </c>
    </row>
    <row r="25747">
      <c r="A25747" s="1" t="s">
        <v>39683</v>
      </c>
      <c r="B25747" s="2" t="s">
        <v>39492</v>
      </c>
      <c r="C25747" s="1" t="s">
        <v>7691</v>
      </c>
      <c r="D25747" s="1" t="s">
        <v>7692</v>
      </c>
    </row>
    <row r="25748">
      <c r="A25748" s="1" t="s">
        <v>39684</v>
      </c>
      <c r="B25748" s="2" t="s">
        <v>39685</v>
      </c>
      <c r="C25748" s="1" t="s">
        <v>7691</v>
      </c>
      <c r="D25748" s="1" t="s">
        <v>7692</v>
      </c>
    </row>
    <row r="25749">
      <c r="A25749" s="1" t="s">
        <v>39686</v>
      </c>
      <c r="B25749" s="2" t="s">
        <v>39687</v>
      </c>
      <c r="C25749" s="1" t="s">
        <v>7691</v>
      </c>
      <c r="D25749" s="1" t="s">
        <v>7692</v>
      </c>
    </row>
    <row r="25750">
      <c r="A25750" s="1" t="s">
        <v>39688</v>
      </c>
      <c r="B25750" s="2" t="s">
        <v>39498</v>
      </c>
      <c r="C25750" s="1" t="s">
        <v>7691</v>
      </c>
      <c r="D25750" s="1" t="s">
        <v>7692</v>
      </c>
    </row>
    <row r="25751">
      <c r="A25751" s="1" t="s">
        <v>39689</v>
      </c>
      <c r="B25751" s="2" t="s">
        <v>39690</v>
      </c>
      <c r="C25751" s="1" t="s">
        <v>7691</v>
      </c>
      <c r="D25751" s="1" t="s">
        <v>7692</v>
      </c>
    </row>
    <row r="25752">
      <c r="A25752" s="1" t="s">
        <v>39691</v>
      </c>
      <c r="B25752" s="2" t="s">
        <v>39692</v>
      </c>
      <c r="C25752" s="1" t="s">
        <v>7691</v>
      </c>
      <c r="D25752" s="1" t="s">
        <v>7692</v>
      </c>
    </row>
    <row r="25753">
      <c r="A25753" s="1" t="s">
        <v>39693</v>
      </c>
      <c r="B25753" s="2" t="s">
        <v>39504</v>
      </c>
      <c r="C25753" s="1" t="s">
        <v>7691</v>
      </c>
      <c r="D25753" s="1" t="s">
        <v>7692</v>
      </c>
    </row>
    <row r="25754">
      <c r="A25754" s="1" t="s">
        <v>39694</v>
      </c>
      <c r="B25754" s="2" t="s">
        <v>39695</v>
      </c>
      <c r="C25754" s="1" t="s">
        <v>7691</v>
      </c>
      <c r="D25754" s="1" t="s">
        <v>7692</v>
      </c>
    </row>
    <row r="25755">
      <c r="A25755" s="1" t="s">
        <v>39696</v>
      </c>
      <c r="B25755" s="2" t="s">
        <v>39697</v>
      </c>
      <c r="C25755" s="1" t="s">
        <v>7691</v>
      </c>
      <c r="D25755" s="1" t="s">
        <v>7692</v>
      </c>
    </row>
    <row r="25756">
      <c r="A25756" s="1" t="s">
        <v>39698</v>
      </c>
      <c r="B25756" s="2" t="s">
        <v>39510</v>
      </c>
      <c r="C25756" s="1" t="s">
        <v>7691</v>
      </c>
      <c r="D25756" s="1" t="s">
        <v>7692</v>
      </c>
    </row>
    <row r="25757">
      <c r="A25757" s="1" t="s">
        <v>39699</v>
      </c>
      <c r="B25757" s="2" t="s">
        <v>39700</v>
      </c>
      <c r="C25757" s="1" t="s">
        <v>7691</v>
      </c>
      <c r="D25757" s="1" t="s">
        <v>7692</v>
      </c>
    </row>
    <row r="25758">
      <c r="A25758" s="1" t="s">
        <v>39701</v>
      </c>
      <c r="B25758" s="2" t="s">
        <v>39702</v>
      </c>
      <c r="C25758" s="1" t="s">
        <v>7691</v>
      </c>
      <c r="D25758" s="1" t="s">
        <v>7692</v>
      </c>
    </row>
    <row r="25759">
      <c r="A25759" s="1" t="s">
        <v>39703</v>
      </c>
      <c r="B25759" s="2" t="s">
        <v>16170</v>
      </c>
      <c r="C25759" s="1" t="s">
        <v>7691</v>
      </c>
      <c r="D25759" s="1" t="s">
        <v>7692</v>
      </c>
    </row>
    <row r="25760">
      <c r="A25760" s="1" t="s">
        <v>39704</v>
      </c>
      <c r="B25760" s="2" t="s">
        <v>39705</v>
      </c>
      <c r="C25760" s="1" t="s">
        <v>7691</v>
      </c>
      <c r="D25760" s="1" t="s">
        <v>7692</v>
      </c>
    </row>
    <row r="25761">
      <c r="A25761" s="1" t="s">
        <v>39706</v>
      </c>
      <c r="B25761" s="2" t="s">
        <v>39707</v>
      </c>
      <c r="C25761" s="1" t="s">
        <v>7691</v>
      </c>
      <c r="D25761" s="1" t="s">
        <v>7692</v>
      </c>
    </row>
    <row r="25762">
      <c r="A25762" s="1" t="s">
        <v>39708</v>
      </c>
      <c r="B25762" s="2" t="s">
        <v>24342</v>
      </c>
      <c r="C25762" s="1" t="s">
        <v>7691</v>
      </c>
      <c r="D25762" s="1" t="s">
        <v>7692</v>
      </c>
    </row>
    <row r="25763">
      <c r="A25763" s="1" t="s">
        <v>39709</v>
      </c>
      <c r="B25763" s="2" t="s">
        <v>39710</v>
      </c>
      <c r="C25763" s="1" t="s">
        <v>7691</v>
      </c>
      <c r="D25763" s="1" t="s">
        <v>7692</v>
      </c>
    </row>
    <row r="25764">
      <c r="A25764" s="1" t="s">
        <v>39711</v>
      </c>
      <c r="B25764" s="2" t="s">
        <v>39712</v>
      </c>
      <c r="C25764" s="1" t="s">
        <v>7691</v>
      </c>
      <c r="D25764" s="1" t="s">
        <v>7692</v>
      </c>
    </row>
    <row r="25765">
      <c r="A25765" s="1" t="s">
        <v>39713</v>
      </c>
      <c r="B25765" s="2" t="s">
        <v>23880</v>
      </c>
      <c r="C25765" s="1" t="s">
        <v>7691</v>
      </c>
      <c r="D25765" s="1" t="s">
        <v>7692</v>
      </c>
    </row>
    <row r="25766">
      <c r="A25766" s="1" t="s">
        <v>39714</v>
      </c>
      <c r="B25766" s="2" t="s">
        <v>39715</v>
      </c>
      <c r="C25766" s="1" t="s">
        <v>7691</v>
      </c>
      <c r="D25766" s="1" t="s">
        <v>7692</v>
      </c>
    </row>
    <row r="25767">
      <c r="A25767" s="1" t="s">
        <v>39716</v>
      </c>
      <c r="B25767" s="2" t="s">
        <v>39717</v>
      </c>
      <c r="C25767" s="1" t="s">
        <v>7691</v>
      </c>
      <c r="D25767" s="1" t="s">
        <v>7692</v>
      </c>
    </row>
    <row r="25768">
      <c r="A25768" s="1" t="s">
        <v>39718</v>
      </c>
      <c r="B25768" s="2" t="s">
        <v>20357</v>
      </c>
      <c r="C25768" s="1" t="s">
        <v>7691</v>
      </c>
      <c r="D25768" s="1" t="s">
        <v>7692</v>
      </c>
    </row>
    <row r="25769">
      <c r="A25769" s="1" t="s">
        <v>39719</v>
      </c>
      <c r="B25769" s="2" t="s">
        <v>39720</v>
      </c>
      <c r="C25769" s="1" t="s">
        <v>7691</v>
      </c>
      <c r="D25769" s="1" t="s">
        <v>7692</v>
      </c>
    </row>
    <row r="25770">
      <c r="A25770" s="1" t="s">
        <v>39721</v>
      </c>
      <c r="B25770" s="2" t="s">
        <v>39722</v>
      </c>
      <c r="C25770" s="1" t="s">
        <v>7691</v>
      </c>
      <c r="D25770" s="1" t="s">
        <v>7692</v>
      </c>
    </row>
    <row r="25771">
      <c r="A25771" s="1" t="s">
        <v>39723</v>
      </c>
      <c r="B25771" s="2" t="s">
        <v>20363</v>
      </c>
      <c r="C25771" s="1" t="s">
        <v>7691</v>
      </c>
      <c r="D25771" s="1" t="s">
        <v>7692</v>
      </c>
    </row>
    <row r="25772">
      <c r="A25772" s="1" t="s">
        <v>39724</v>
      </c>
      <c r="B25772" s="2" t="s">
        <v>39725</v>
      </c>
      <c r="C25772" s="1" t="s">
        <v>7691</v>
      </c>
      <c r="D25772" s="1" t="s">
        <v>7692</v>
      </c>
    </row>
    <row r="25773">
      <c r="A25773" s="1" t="s">
        <v>39726</v>
      </c>
      <c r="B25773" s="2" t="s">
        <v>39727</v>
      </c>
      <c r="C25773" s="1" t="s">
        <v>7691</v>
      </c>
      <c r="D25773" s="1" t="s">
        <v>7692</v>
      </c>
    </row>
    <row r="25774">
      <c r="A25774" s="1" t="s">
        <v>39728</v>
      </c>
      <c r="B25774" s="2" t="s">
        <v>70</v>
      </c>
      <c r="C25774" s="1" t="s">
        <v>7691</v>
      </c>
      <c r="D25774" s="1" t="s">
        <v>7692</v>
      </c>
    </row>
    <row r="25775">
      <c r="A25775" s="1" t="s">
        <v>39729</v>
      </c>
      <c r="B25775" s="2" t="s">
        <v>39542</v>
      </c>
      <c r="C25775" s="1" t="s">
        <v>7691</v>
      </c>
      <c r="D25775" s="1" t="s">
        <v>7692</v>
      </c>
    </row>
    <row r="25776">
      <c r="A25776" s="1" t="s">
        <v>39730</v>
      </c>
      <c r="B25776" s="2" t="s">
        <v>39731</v>
      </c>
      <c r="C25776" s="1" t="s">
        <v>7691</v>
      </c>
      <c r="D25776" s="1" t="s">
        <v>7692</v>
      </c>
    </row>
    <row r="25777">
      <c r="A25777" s="1" t="s">
        <v>39732</v>
      </c>
      <c r="B25777" s="2" t="s">
        <v>39733</v>
      </c>
      <c r="C25777" s="1" t="s">
        <v>7691</v>
      </c>
      <c r="D25777" s="1" t="s">
        <v>7692</v>
      </c>
    </row>
    <row r="25778">
      <c r="A25778" s="1" t="s">
        <v>39734</v>
      </c>
      <c r="B25778" s="2" t="s">
        <v>39548</v>
      </c>
      <c r="C25778" s="1" t="s">
        <v>7691</v>
      </c>
      <c r="D25778" s="1" t="s">
        <v>7692</v>
      </c>
    </row>
    <row r="25779">
      <c r="A25779" s="1" t="s">
        <v>39735</v>
      </c>
      <c r="B25779" s="2" t="s">
        <v>39736</v>
      </c>
      <c r="C25779" s="1" t="s">
        <v>7691</v>
      </c>
      <c r="D25779" s="1" t="s">
        <v>7692</v>
      </c>
    </row>
    <row r="25780">
      <c r="A25780" s="1" t="s">
        <v>39737</v>
      </c>
      <c r="B25780" s="2" t="s">
        <v>39738</v>
      </c>
      <c r="C25780" s="1" t="s">
        <v>7691</v>
      </c>
      <c r="D25780" s="1" t="s">
        <v>7692</v>
      </c>
    </row>
    <row r="25781">
      <c r="A25781" s="1" t="s">
        <v>39739</v>
      </c>
      <c r="B25781" s="2" t="s">
        <v>39554</v>
      </c>
      <c r="C25781" s="1" t="s">
        <v>7691</v>
      </c>
      <c r="D25781" s="1" t="s">
        <v>7692</v>
      </c>
    </row>
    <row r="25782">
      <c r="A25782" s="1" t="s">
        <v>39740</v>
      </c>
      <c r="B25782" s="2" t="s">
        <v>39741</v>
      </c>
      <c r="C25782" s="1" t="s">
        <v>7691</v>
      </c>
      <c r="D25782" s="1" t="s">
        <v>7692</v>
      </c>
    </row>
    <row r="25783">
      <c r="A25783" s="1" t="s">
        <v>39742</v>
      </c>
      <c r="B25783" s="2" t="s">
        <v>39743</v>
      </c>
      <c r="C25783" s="1" t="s">
        <v>7691</v>
      </c>
      <c r="D25783" s="1" t="s">
        <v>7692</v>
      </c>
    </row>
    <row r="25784">
      <c r="A25784" s="1" t="s">
        <v>39744</v>
      </c>
      <c r="B25784" s="2" t="s">
        <v>39560</v>
      </c>
      <c r="C25784" s="1" t="s">
        <v>7691</v>
      </c>
      <c r="D25784" s="1" t="s">
        <v>7692</v>
      </c>
    </row>
    <row r="25785">
      <c r="A25785" s="1" t="s">
        <v>39745</v>
      </c>
      <c r="B25785" s="2" t="s">
        <v>39746</v>
      </c>
      <c r="C25785" s="1" t="s">
        <v>7691</v>
      </c>
      <c r="D25785" s="1" t="s">
        <v>7692</v>
      </c>
    </row>
    <row r="25786">
      <c r="A25786" s="1" t="s">
        <v>39747</v>
      </c>
      <c r="B25786" s="2" t="s">
        <v>39748</v>
      </c>
      <c r="C25786" s="1" t="s">
        <v>7691</v>
      </c>
      <c r="D25786" s="1" t="s">
        <v>7692</v>
      </c>
    </row>
    <row r="25787">
      <c r="A25787" s="1" t="s">
        <v>39749</v>
      </c>
      <c r="B25787" s="2" t="s">
        <v>16251</v>
      </c>
      <c r="C25787" s="1" t="s">
        <v>7691</v>
      </c>
      <c r="D25787" s="1" t="s">
        <v>7692</v>
      </c>
    </row>
    <row r="25788">
      <c r="A25788" s="1" t="s">
        <v>39750</v>
      </c>
      <c r="B25788" s="2" t="s">
        <v>39751</v>
      </c>
      <c r="C25788" s="1" t="s">
        <v>7691</v>
      </c>
      <c r="D25788" s="1" t="s">
        <v>7692</v>
      </c>
    </row>
    <row r="25789">
      <c r="A25789" s="1" t="s">
        <v>39752</v>
      </c>
      <c r="B25789" s="2" t="s">
        <v>39753</v>
      </c>
      <c r="C25789" s="1" t="s">
        <v>7691</v>
      </c>
      <c r="D25789" s="1" t="s">
        <v>7692</v>
      </c>
    </row>
    <row r="25790">
      <c r="A25790" s="1" t="s">
        <v>39754</v>
      </c>
      <c r="B25790" s="2" t="s">
        <v>24511</v>
      </c>
      <c r="C25790" s="1" t="s">
        <v>7691</v>
      </c>
      <c r="D25790" s="1" t="s">
        <v>7692</v>
      </c>
    </row>
    <row r="25791">
      <c r="A25791" s="1" t="s">
        <v>39755</v>
      </c>
      <c r="B25791" s="2" t="s">
        <v>39756</v>
      </c>
      <c r="C25791" s="1" t="s">
        <v>7691</v>
      </c>
      <c r="D25791" s="1" t="s">
        <v>7692</v>
      </c>
    </row>
    <row r="25792">
      <c r="A25792" s="1" t="s">
        <v>39757</v>
      </c>
      <c r="B25792" s="2" t="s">
        <v>39758</v>
      </c>
      <c r="C25792" s="1" t="s">
        <v>7691</v>
      </c>
      <c r="D25792" s="1" t="s">
        <v>7692</v>
      </c>
    </row>
    <row r="25793">
      <c r="A25793" s="1" t="s">
        <v>39759</v>
      </c>
      <c r="B25793" s="2" t="s">
        <v>23912</v>
      </c>
      <c r="C25793" s="1" t="s">
        <v>7691</v>
      </c>
      <c r="D25793" s="1" t="s">
        <v>7692</v>
      </c>
    </row>
    <row r="25794">
      <c r="A25794" s="1" t="s">
        <v>39760</v>
      </c>
      <c r="B25794" s="2" t="s">
        <v>39761</v>
      </c>
      <c r="C25794" s="1" t="s">
        <v>7691</v>
      </c>
      <c r="D25794" s="1" t="s">
        <v>7692</v>
      </c>
    </row>
    <row r="25795">
      <c r="A25795" s="1" t="s">
        <v>39762</v>
      </c>
      <c r="B25795" s="2" t="s">
        <v>39763</v>
      </c>
      <c r="C25795" s="1" t="s">
        <v>7691</v>
      </c>
      <c r="D25795" s="1" t="s">
        <v>7692</v>
      </c>
    </row>
    <row r="25796">
      <c r="A25796" s="1" t="s">
        <v>39764</v>
      </c>
      <c r="B25796" s="2" t="s">
        <v>20394</v>
      </c>
      <c r="C25796" s="1" t="s">
        <v>7691</v>
      </c>
      <c r="D25796" s="1" t="s">
        <v>7692</v>
      </c>
    </row>
    <row r="25797">
      <c r="A25797" s="1" t="s">
        <v>39765</v>
      </c>
      <c r="B25797" s="2" t="s">
        <v>39766</v>
      </c>
      <c r="C25797" s="1" t="s">
        <v>7691</v>
      </c>
      <c r="D25797" s="1" t="s">
        <v>7692</v>
      </c>
    </row>
    <row r="25798">
      <c r="A25798" s="1" t="s">
        <v>39767</v>
      </c>
      <c r="B25798" s="2" t="s">
        <v>39768</v>
      </c>
      <c r="C25798" s="1" t="s">
        <v>7691</v>
      </c>
      <c r="D25798" s="1" t="s">
        <v>7692</v>
      </c>
    </row>
    <row r="25799">
      <c r="A25799" s="1" t="s">
        <v>39769</v>
      </c>
      <c r="B25799" s="2" t="s">
        <v>20400</v>
      </c>
      <c r="C25799" s="1" t="s">
        <v>7691</v>
      </c>
      <c r="D25799" s="1" t="s">
        <v>7692</v>
      </c>
    </row>
    <row r="25800">
      <c r="A25800" s="1" t="s">
        <v>39770</v>
      </c>
      <c r="B25800" s="2" t="s">
        <v>39771</v>
      </c>
      <c r="C25800" s="1" t="s">
        <v>7691</v>
      </c>
      <c r="D25800" s="1" t="s">
        <v>7692</v>
      </c>
    </row>
    <row r="25801">
      <c r="A25801" s="1" t="s">
        <v>39772</v>
      </c>
      <c r="B25801" s="2" t="s">
        <v>39773</v>
      </c>
      <c r="C25801" s="1" t="s">
        <v>7691</v>
      </c>
      <c r="D25801" s="1" t="s">
        <v>7692</v>
      </c>
    </row>
    <row r="25802">
      <c r="A25802" s="1" t="s">
        <v>7697</v>
      </c>
      <c r="B25802" s="2" t="s">
        <v>7</v>
      </c>
      <c r="C25802" s="1" t="s">
        <v>7700</v>
      </c>
      <c r="D25802" s="1" t="s">
        <v>7701</v>
      </c>
    </row>
    <row r="25803">
      <c r="A25803" s="1" t="s">
        <v>39774</v>
      </c>
      <c r="B25803" s="2" t="s">
        <v>20728</v>
      </c>
      <c r="C25803" s="1" t="s">
        <v>7700</v>
      </c>
      <c r="D25803" s="1" t="s">
        <v>7701</v>
      </c>
    </row>
    <row r="25804">
      <c r="A25804" s="1" t="s">
        <v>39775</v>
      </c>
      <c r="B25804" s="2" t="s">
        <v>39776</v>
      </c>
      <c r="C25804" s="1" t="s">
        <v>7700</v>
      </c>
      <c r="D25804" s="1" t="s">
        <v>7701</v>
      </c>
    </row>
    <row r="25805">
      <c r="A25805" s="1" t="s">
        <v>39777</v>
      </c>
      <c r="B25805" s="2" t="s">
        <v>39778</v>
      </c>
      <c r="C25805" s="1" t="s">
        <v>7700</v>
      </c>
      <c r="D25805" s="1" t="s">
        <v>7701</v>
      </c>
    </row>
    <row r="25806">
      <c r="A25806" s="1" t="s">
        <v>39779</v>
      </c>
      <c r="B25806" s="2" t="s">
        <v>39780</v>
      </c>
      <c r="C25806" s="1" t="s">
        <v>7700</v>
      </c>
      <c r="D25806" s="1" t="s">
        <v>7701</v>
      </c>
    </row>
    <row r="25807">
      <c r="A25807" s="1" t="s">
        <v>39781</v>
      </c>
      <c r="B25807" s="2" t="s">
        <v>39782</v>
      </c>
      <c r="C25807" s="1" t="s">
        <v>7700</v>
      </c>
      <c r="D25807" s="1" t="s">
        <v>7701</v>
      </c>
    </row>
    <row r="25808">
      <c r="A25808" s="1" t="s">
        <v>39783</v>
      </c>
      <c r="B25808" s="2" t="s">
        <v>39784</v>
      </c>
      <c r="C25808" s="1" t="s">
        <v>7700</v>
      </c>
      <c r="D25808" s="1" t="s">
        <v>7701</v>
      </c>
    </row>
    <row r="25809">
      <c r="A25809" s="1" t="s">
        <v>39785</v>
      </c>
      <c r="B25809" s="2" t="s">
        <v>39786</v>
      </c>
      <c r="C25809" s="1" t="s">
        <v>7700</v>
      </c>
      <c r="D25809" s="1" t="s">
        <v>7701</v>
      </c>
    </row>
    <row r="25810">
      <c r="A25810" s="1" t="s">
        <v>39787</v>
      </c>
      <c r="B25810" s="2" t="s">
        <v>39788</v>
      </c>
      <c r="C25810" s="1" t="s">
        <v>7700</v>
      </c>
      <c r="D25810" s="1" t="s">
        <v>7701</v>
      </c>
    </row>
    <row r="25811">
      <c r="A25811" s="1" t="s">
        <v>39789</v>
      </c>
      <c r="B25811" s="2" t="s">
        <v>39790</v>
      </c>
      <c r="C25811" s="1" t="s">
        <v>7700</v>
      </c>
      <c r="D25811" s="1" t="s">
        <v>7701</v>
      </c>
    </row>
    <row r="25812">
      <c r="A25812" s="1" t="s">
        <v>39791</v>
      </c>
      <c r="B25812" s="2" t="s">
        <v>39792</v>
      </c>
      <c r="C25812" s="1" t="s">
        <v>7700</v>
      </c>
      <c r="D25812" s="1" t="s">
        <v>7701</v>
      </c>
    </row>
    <row r="25813">
      <c r="A25813" s="1" t="s">
        <v>39793</v>
      </c>
      <c r="B25813" s="2" t="s">
        <v>39794</v>
      </c>
      <c r="C25813" s="1" t="s">
        <v>7700</v>
      </c>
      <c r="D25813" s="1" t="s">
        <v>7701</v>
      </c>
    </row>
    <row r="25814">
      <c r="A25814" s="1" t="s">
        <v>39795</v>
      </c>
      <c r="B25814" s="2" t="s">
        <v>39796</v>
      </c>
      <c r="C25814" s="1" t="s">
        <v>7700</v>
      </c>
      <c r="D25814" s="1" t="s">
        <v>7701</v>
      </c>
    </row>
    <row r="25815">
      <c r="A25815" s="1" t="s">
        <v>39797</v>
      </c>
      <c r="B25815" s="2" t="s">
        <v>39798</v>
      </c>
      <c r="C25815" s="1" t="s">
        <v>7700</v>
      </c>
      <c r="D25815" s="1" t="s">
        <v>7701</v>
      </c>
    </row>
    <row r="25816">
      <c r="A25816" s="1" t="s">
        <v>39799</v>
      </c>
      <c r="B25816" s="2" t="s">
        <v>39800</v>
      </c>
      <c r="C25816" s="1" t="s">
        <v>7700</v>
      </c>
      <c r="D25816" s="1" t="s">
        <v>7701</v>
      </c>
    </row>
    <row r="25817">
      <c r="A25817" s="1" t="s">
        <v>39801</v>
      </c>
      <c r="B25817" s="2" t="s">
        <v>39802</v>
      </c>
      <c r="C25817" s="1" t="s">
        <v>7700</v>
      </c>
      <c r="D25817" s="1" t="s">
        <v>7701</v>
      </c>
    </row>
    <row r="25818">
      <c r="A25818" s="1" t="s">
        <v>39803</v>
      </c>
      <c r="B25818" s="2" t="s">
        <v>39804</v>
      </c>
      <c r="C25818" s="1" t="s">
        <v>7700</v>
      </c>
      <c r="D25818" s="1" t="s">
        <v>7701</v>
      </c>
    </row>
    <row r="25819">
      <c r="A25819" s="1" t="s">
        <v>39805</v>
      </c>
      <c r="B25819" s="2" t="s">
        <v>39806</v>
      </c>
      <c r="C25819" s="1" t="s">
        <v>7700</v>
      </c>
      <c r="D25819" s="1" t="s">
        <v>7701</v>
      </c>
    </row>
    <row r="25820">
      <c r="A25820" s="1" t="s">
        <v>39807</v>
      </c>
      <c r="B25820" s="2" t="s">
        <v>39808</v>
      </c>
      <c r="C25820" s="1" t="s">
        <v>7700</v>
      </c>
      <c r="D25820" s="1" t="s">
        <v>7701</v>
      </c>
    </row>
    <row r="25821">
      <c r="A25821" s="1" t="s">
        <v>39809</v>
      </c>
      <c r="B25821" s="2" t="s">
        <v>39810</v>
      </c>
      <c r="C25821" s="1" t="s">
        <v>7700</v>
      </c>
      <c r="D25821" s="1" t="s">
        <v>7701</v>
      </c>
    </row>
    <row r="25822">
      <c r="A25822" s="1" t="s">
        <v>39811</v>
      </c>
      <c r="B25822" s="2" t="s">
        <v>39812</v>
      </c>
      <c r="C25822" s="1" t="s">
        <v>7700</v>
      </c>
      <c r="D25822" s="1" t="s">
        <v>7701</v>
      </c>
    </row>
    <row r="25823">
      <c r="A25823" s="1" t="s">
        <v>39813</v>
      </c>
      <c r="B25823" s="2" t="s">
        <v>39814</v>
      </c>
      <c r="C25823" s="1" t="s">
        <v>7700</v>
      </c>
      <c r="D25823" s="1" t="s">
        <v>7701</v>
      </c>
    </row>
    <row r="25824">
      <c r="A25824" s="1" t="s">
        <v>39815</v>
      </c>
      <c r="B25824" s="2" t="s">
        <v>39816</v>
      </c>
      <c r="C25824" s="1" t="s">
        <v>7700</v>
      </c>
      <c r="D25824" s="1" t="s">
        <v>7701</v>
      </c>
    </row>
    <row r="25825">
      <c r="A25825" s="1" t="s">
        <v>39817</v>
      </c>
      <c r="B25825" s="2" t="s">
        <v>39818</v>
      </c>
      <c r="C25825" s="1" t="s">
        <v>7700</v>
      </c>
      <c r="D25825" s="1" t="s">
        <v>7701</v>
      </c>
    </row>
    <row r="25826">
      <c r="A25826" s="1" t="s">
        <v>39819</v>
      </c>
      <c r="B25826" s="2" t="s">
        <v>39820</v>
      </c>
      <c r="C25826" s="1" t="s">
        <v>7700</v>
      </c>
      <c r="D25826" s="1" t="s">
        <v>7701</v>
      </c>
    </row>
    <row r="25827">
      <c r="A25827" s="1" t="s">
        <v>39821</v>
      </c>
      <c r="B25827" s="2" t="s">
        <v>39822</v>
      </c>
      <c r="C25827" s="1" t="s">
        <v>7700</v>
      </c>
      <c r="D25827" s="1" t="s">
        <v>7701</v>
      </c>
    </row>
    <row r="25828">
      <c r="A25828" s="1" t="s">
        <v>39823</v>
      </c>
      <c r="B25828" s="2" t="s">
        <v>39824</v>
      </c>
      <c r="C25828" s="1" t="s">
        <v>7700</v>
      </c>
      <c r="D25828" s="1" t="s">
        <v>7701</v>
      </c>
    </row>
    <row r="25829">
      <c r="A25829" s="1" t="s">
        <v>39825</v>
      </c>
      <c r="B25829" s="2" t="s">
        <v>39826</v>
      </c>
      <c r="C25829" s="1" t="s">
        <v>7700</v>
      </c>
      <c r="D25829" s="1" t="s">
        <v>7701</v>
      </c>
    </row>
    <row r="25830">
      <c r="A25830" s="1" t="s">
        <v>39827</v>
      </c>
      <c r="B25830" s="2" t="s">
        <v>39828</v>
      </c>
      <c r="C25830" s="1" t="s">
        <v>7700</v>
      </c>
      <c r="D25830" s="1" t="s">
        <v>7701</v>
      </c>
    </row>
    <row r="25831">
      <c r="A25831" s="1" t="s">
        <v>39829</v>
      </c>
      <c r="B25831" s="2" t="s">
        <v>39830</v>
      </c>
      <c r="C25831" s="1" t="s">
        <v>7700</v>
      </c>
      <c r="D25831" s="1" t="s">
        <v>7701</v>
      </c>
    </row>
    <row r="25832">
      <c r="A25832" s="1" t="s">
        <v>39831</v>
      </c>
      <c r="B25832" s="2" t="s">
        <v>39832</v>
      </c>
      <c r="C25832" s="1" t="s">
        <v>7700</v>
      </c>
      <c r="D25832" s="1" t="s">
        <v>7701</v>
      </c>
    </row>
    <row r="25833">
      <c r="A25833" s="1" t="s">
        <v>39833</v>
      </c>
      <c r="B25833" s="2" t="s">
        <v>39834</v>
      </c>
      <c r="C25833" s="1" t="s">
        <v>7700</v>
      </c>
      <c r="D25833" s="1" t="s">
        <v>7701</v>
      </c>
    </row>
    <row r="25834">
      <c r="A25834" s="1" t="s">
        <v>39835</v>
      </c>
      <c r="B25834" s="2" t="s">
        <v>39836</v>
      </c>
      <c r="C25834" s="1" t="s">
        <v>7700</v>
      </c>
      <c r="D25834" s="1" t="s">
        <v>7701</v>
      </c>
    </row>
    <row r="25835">
      <c r="A25835" s="1" t="s">
        <v>39837</v>
      </c>
      <c r="B25835" s="2" t="s">
        <v>13716</v>
      </c>
      <c r="C25835" s="1" t="s">
        <v>7700</v>
      </c>
      <c r="D25835" s="1" t="s">
        <v>7701</v>
      </c>
    </row>
    <row r="25836">
      <c r="A25836" s="1" t="s">
        <v>39838</v>
      </c>
      <c r="B25836" s="2" t="s">
        <v>39839</v>
      </c>
      <c r="C25836" s="1" t="s">
        <v>7700</v>
      </c>
      <c r="D25836" s="1" t="s">
        <v>7701</v>
      </c>
    </row>
    <row r="25837">
      <c r="A25837" s="1" t="s">
        <v>39840</v>
      </c>
      <c r="B25837" s="2" t="s">
        <v>39841</v>
      </c>
      <c r="C25837" s="1" t="s">
        <v>7700</v>
      </c>
      <c r="D25837" s="1" t="s">
        <v>7701</v>
      </c>
    </row>
    <row r="25838">
      <c r="A25838" s="1" t="s">
        <v>39842</v>
      </c>
      <c r="B25838" s="2" t="s">
        <v>39843</v>
      </c>
      <c r="C25838" s="1" t="s">
        <v>7700</v>
      </c>
      <c r="D25838" s="1" t="s">
        <v>7701</v>
      </c>
    </row>
    <row r="25839">
      <c r="A25839" s="1" t="s">
        <v>39844</v>
      </c>
      <c r="B25839" s="2" t="s">
        <v>39845</v>
      </c>
      <c r="C25839" s="1" t="s">
        <v>7700</v>
      </c>
      <c r="D25839" s="1" t="s">
        <v>7701</v>
      </c>
    </row>
    <row r="25840">
      <c r="A25840" s="1" t="s">
        <v>39846</v>
      </c>
      <c r="B25840" s="2" t="s">
        <v>39847</v>
      </c>
      <c r="C25840" s="1" t="s">
        <v>7700</v>
      </c>
      <c r="D25840" s="1" t="s">
        <v>7701</v>
      </c>
    </row>
    <row r="25841">
      <c r="A25841" s="1" t="s">
        <v>39848</v>
      </c>
      <c r="B25841" s="2" t="s">
        <v>39849</v>
      </c>
      <c r="C25841" s="1" t="s">
        <v>7700</v>
      </c>
      <c r="D25841" s="1" t="s">
        <v>7701</v>
      </c>
    </row>
    <row r="25842">
      <c r="A25842" s="1" t="s">
        <v>39850</v>
      </c>
      <c r="B25842" s="2" t="s">
        <v>39851</v>
      </c>
      <c r="C25842" s="1" t="s">
        <v>7700</v>
      </c>
      <c r="D25842" s="1" t="s">
        <v>7701</v>
      </c>
    </row>
    <row r="25843">
      <c r="A25843" s="1" t="s">
        <v>39852</v>
      </c>
      <c r="B25843" s="2" t="s">
        <v>39853</v>
      </c>
      <c r="C25843" s="1" t="s">
        <v>7700</v>
      </c>
      <c r="D25843" s="1" t="s">
        <v>7701</v>
      </c>
    </row>
    <row r="25844">
      <c r="A25844" s="1" t="s">
        <v>39854</v>
      </c>
      <c r="B25844" s="2" t="s">
        <v>39855</v>
      </c>
      <c r="C25844" s="1" t="s">
        <v>7700</v>
      </c>
      <c r="D25844" s="1" t="s">
        <v>7701</v>
      </c>
    </row>
    <row r="25845">
      <c r="A25845" s="1" t="s">
        <v>39856</v>
      </c>
      <c r="B25845" s="2" t="s">
        <v>39857</v>
      </c>
      <c r="C25845" s="1" t="s">
        <v>7700</v>
      </c>
      <c r="D25845" s="1" t="s">
        <v>7701</v>
      </c>
    </row>
    <row r="25846">
      <c r="A25846" s="1" t="s">
        <v>39858</v>
      </c>
      <c r="B25846" s="2" t="s">
        <v>39859</v>
      </c>
      <c r="C25846" s="1" t="s">
        <v>7700</v>
      </c>
      <c r="D25846" s="1" t="s">
        <v>7701</v>
      </c>
    </row>
    <row r="25847">
      <c r="A25847" s="1" t="s">
        <v>39860</v>
      </c>
      <c r="B25847" s="2" t="s">
        <v>39861</v>
      </c>
      <c r="C25847" s="1" t="s">
        <v>7700</v>
      </c>
      <c r="D25847" s="1" t="s">
        <v>7701</v>
      </c>
    </row>
    <row r="25848">
      <c r="A25848" s="1" t="s">
        <v>39862</v>
      </c>
      <c r="B25848" s="2" t="s">
        <v>39863</v>
      </c>
      <c r="C25848" s="1" t="s">
        <v>7700</v>
      </c>
      <c r="D25848" s="1" t="s">
        <v>7701</v>
      </c>
    </row>
    <row r="25849">
      <c r="A25849" s="1" t="s">
        <v>39864</v>
      </c>
      <c r="B25849" s="2" t="s">
        <v>39865</v>
      </c>
      <c r="C25849" s="1" t="s">
        <v>7700</v>
      </c>
      <c r="D25849" s="1" t="s">
        <v>7701</v>
      </c>
    </row>
    <row r="25850">
      <c r="A25850" s="1" t="s">
        <v>39866</v>
      </c>
      <c r="B25850" s="2" t="s">
        <v>39867</v>
      </c>
      <c r="C25850" s="1" t="s">
        <v>7700</v>
      </c>
      <c r="D25850" s="1" t="s">
        <v>7701</v>
      </c>
    </row>
    <row r="25851">
      <c r="A25851" s="1" t="s">
        <v>39868</v>
      </c>
      <c r="B25851" s="2" t="s">
        <v>39869</v>
      </c>
      <c r="C25851" s="1" t="s">
        <v>7700</v>
      </c>
      <c r="D25851" s="1" t="s">
        <v>7701</v>
      </c>
    </row>
    <row r="25852">
      <c r="A25852" s="1" t="s">
        <v>39870</v>
      </c>
      <c r="B25852" s="2" t="s">
        <v>13730</v>
      </c>
      <c r="C25852" s="1" t="s">
        <v>7700</v>
      </c>
      <c r="D25852" s="1" t="s">
        <v>7701</v>
      </c>
    </row>
    <row r="25853">
      <c r="A25853" s="1" t="s">
        <v>39871</v>
      </c>
      <c r="B25853" s="2" t="s">
        <v>39872</v>
      </c>
      <c r="C25853" s="1" t="s">
        <v>7700</v>
      </c>
      <c r="D25853" s="1" t="s">
        <v>7701</v>
      </c>
    </row>
    <row r="25854">
      <c r="A25854" s="1" t="s">
        <v>39873</v>
      </c>
      <c r="B25854" s="2" t="s">
        <v>39874</v>
      </c>
      <c r="C25854" s="1" t="s">
        <v>7700</v>
      </c>
      <c r="D25854" s="1" t="s">
        <v>7701</v>
      </c>
    </row>
    <row r="25855">
      <c r="A25855" s="1" t="s">
        <v>39875</v>
      </c>
      <c r="B25855" s="2" t="s">
        <v>39876</v>
      </c>
      <c r="C25855" s="1" t="s">
        <v>7700</v>
      </c>
      <c r="D25855" s="1" t="s">
        <v>7701</v>
      </c>
    </row>
    <row r="25856">
      <c r="A25856" s="1" t="s">
        <v>39877</v>
      </c>
      <c r="B25856" s="2" t="s">
        <v>39878</v>
      </c>
      <c r="C25856" s="1" t="s">
        <v>7700</v>
      </c>
      <c r="D25856" s="1" t="s">
        <v>7701</v>
      </c>
    </row>
    <row r="25857">
      <c r="A25857" s="1" t="s">
        <v>39879</v>
      </c>
      <c r="B25857" s="2" t="s">
        <v>39880</v>
      </c>
      <c r="C25857" s="1" t="s">
        <v>7700</v>
      </c>
      <c r="D25857" s="1" t="s">
        <v>7701</v>
      </c>
    </row>
    <row r="25858">
      <c r="A25858" s="1" t="s">
        <v>39881</v>
      </c>
      <c r="B25858" s="2" t="s">
        <v>39882</v>
      </c>
      <c r="C25858" s="1" t="s">
        <v>7700</v>
      </c>
      <c r="D25858" s="1" t="s">
        <v>7701</v>
      </c>
    </row>
    <row r="25859">
      <c r="A25859" s="1" t="s">
        <v>39883</v>
      </c>
      <c r="B25859" s="2" t="s">
        <v>39884</v>
      </c>
      <c r="C25859" s="1" t="s">
        <v>7700</v>
      </c>
      <c r="D25859" s="1" t="s">
        <v>7701</v>
      </c>
    </row>
    <row r="25860">
      <c r="A25860" s="1" t="s">
        <v>39885</v>
      </c>
      <c r="B25860" s="2" t="s">
        <v>39886</v>
      </c>
      <c r="C25860" s="1" t="s">
        <v>7700</v>
      </c>
      <c r="D25860" s="1" t="s">
        <v>7701</v>
      </c>
    </row>
    <row r="25861">
      <c r="A25861" s="1" t="s">
        <v>39887</v>
      </c>
      <c r="B25861" s="2" t="s">
        <v>39888</v>
      </c>
      <c r="C25861" s="1" t="s">
        <v>7700</v>
      </c>
      <c r="D25861" s="1" t="s">
        <v>7701</v>
      </c>
    </row>
    <row r="25862">
      <c r="A25862" s="1" t="s">
        <v>39889</v>
      </c>
      <c r="B25862" s="2" t="s">
        <v>39890</v>
      </c>
      <c r="C25862" s="1" t="s">
        <v>7700</v>
      </c>
      <c r="D25862" s="1" t="s">
        <v>7701</v>
      </c>
    </row>
    <row r="25863">
      <c r="A25863" s="1" t="s">
        <v>39891</v>
      </c>
      <c r="B25863" s="2" t="s">
        <v>39892</v>
      </c>
      <c r="C25863" s="1" t="s">
        <v>7700</v>
      </c>
      <c r="D25863" s="1" t="s">
        <v>7701</v>
      </c>
    </row>
    <row r="25864">
      <c r="A25864" s="1" t="s">
        <v>39893</v>
      </c>
      <c r="B25864" s="2" t="s">
        <v>39894</v>
      </c>
      <c r="C25864" s="1" t="s">
        <v>7700</v>
      </c>
      <c r="D25864" s="1" t="s">
        <v>7701</v>
      </c>
    </row>
    <row r="25865">
      <c r="A25865" s="1" t="s">
        <v>39895</v>
      </c>
      <c r="B25865" s="2" t="s">
        <v>39896</v>
      </c>
      <c r="C25865" s="1" t="s">
        <v>7700</v>
      </c>
      <c r="D25865" s="1" t="s">
        <v>7701</v>
      </c>
    </row>
    <row r="25866">
      <c r="A25866" s="1" t="s">
        <v>39897</v>
      </c>
      <c r="B25866" s="2" t="s">
        <v>39898</v>
      </c>
      <c r="C25866" s="1" t="s">
        <v>7700</v>
      </c>
      <c r="D25866" s="1" t="s">
        <v>7701</v>
      </c>
    </row>
    <row r="25867">
      <c r="A25867" s="1" t="s">
        <v>39899</v>
      </c>
      <c r="B25867" s="2" t="s">
        <v>39900</v>
      </c>
      <c r="C25867" s="1" t="s">
        <v>7700</v>
      </c>
      <c r="D25867" s="1" t="s">
        <v>7701</v>
      </c>
    </row>
    <row r="25868">
      <c r="A25868" s="1" t="s">
        <v>7708</v>
      </c>
      <c r="B25868" s="2" t="s">
        <v>7</v>
      </c>
      <c r="C25868" s="1" t="s">
        <v>7710</v>
      </c>
      <c r="D25868" s="1" t="s">
        <v>7712</v>
      </c>
    </row>
    <row r="25869">
      <c r="A25869" s="1" t="s">
        <v>39901</v>
      </c>
      <c r="B25869" s="2" t="s">
        <v>13964</v>
      </c>
      <c r="C25869" s="1" t="s">
        <v>7710</v>
      </c>
      <c r="D25869" s="1" t="s">
        <v>7712</v>
      </c>
    </row>
    <row r="25870">
      <c r="A25870" s="1" t="s">
        <v>39902</v>
      </c>
      <c r="B25870" s="2" t="s">
        <v>39903</v>
      </c>
      <c r="C25870" s="1" t="s">
        <v>7710</v>
      </c>
      <c r="D25870" s="1" t="s">
        <v>7712</v>
      </c>
    </row>
    <row r="25871">
      <c r="A25871" s="1" t="s">
        <v>39904</v>
      </c>
      <c r="B25871" s="2" t="s">
        <v>39905</v>
      </c>
      <c r="C25871" s="1" t="s">
        <v>7710</v>
      </c>
      <c r="D25871" s="1" t="s">
        <v>7712</v>
      </c>
    </row>
    <row r="25872">
      <c r="A25872" s="1" t="s">
        <v>39906</v>
      </c>
      <c r="B25872" s="2" t="s">
        <v>39907</v>
      </c>
      <c r="C25872" s="1" t="s">
        <v>7710</v>
      </c>
      <c r="D25872" s="1" t="s">
        <v>7712</v>
      </c>
    </row>
    <row r="25873">
      <c r="A25873" s="1" t="s">
        <v>39908</v>
      </c>
      <c r="B25873" s="2" t="s">
        <v>39909</v>
      </c>
      <c r="C25873" s="1" t="s">
        <v>7710</v>
      </c>
      <c r="D25873" s="1" t="s">
        <v>7712</v>
      </c>
    </row>
    <row r="25874">
      <c r="A25874" s="1" t="s">
        <v>39910</v>
      </c>
      <c r="B25874" s="2" t="s">
        <v>39911</v>
      </c>
      <c r="C25874" s="1" t="s">
        <v>7710</v>
      </c>
      <c r="D25874" s="1" t="s">
        <v>7712</v>
      </c>
    </row>
    <row r="25875">
      <c r="A25875" s="1" t="s">
        <v>39912</v>
      </c>
      <c r="B25875" s="2" t="s">
        <v>39913</v>
      </c>
      <c r="C25875" s="1" t="s">
        <v>7710</v>
      </c>
      <c r="D25875" s="1" t="s">
        <v>7712</v>
      </c>
    </row>
    <row r="25876">
      <c r="A25876" s="1" t="s">
        <v>39914</v>
      </c>
      <c r="B25876" s="2" t="s">
        <v>39915</v>
      </c>
      <c r="C25876" s="1" t="s">
        <v>7710</v>
      </c>
      <c r="D25876" s="1" t="s">
        <v>7712</v>
      </c>
    </row>
    <row r="25877">
      <c r="A25877" s="1" t="s">
        <v>39916</v>
      </c>
      <c r="B25877" s="2" t="s">
        <v>39917</v>
      </c>
      <c r="C25877" s="1" t="s">
        <v>7710</v>
      </c>
      <c r="D25877" s="1" t="s">
        <v>7712</v>
      </c>
    </row>
    <row r="25878">
      <c r="A25878" s="1" t="s">
        <v>39918</v>
      </c>
      <c r="B25878" s="2" t="s">
        <v>39919</v>
      </c>
      <c r="C25878" s="1" t="s">
        <v>7710</v>
      </c>
      <c r="D25878" s="1" t="s">
        <v>7712</v>
      </c>
    </row>
    <row r="25879">
      <c r="A25879" s="1" t="s">
        <v>39920</v>
      </c>
      <c r="B25879" s="2" t="s">
        <v>39921</v>
      </c>
      <c r="C25879" s="1" t="s">
        <v>7710</v>
      </c>
      <c r="D25879" s="1" t="s">
        <v>7712</v>
      </c>
    </row>
    <row r="25880">
      <c r="A25880" s="1" t="s">
        <v>39922</v>
      </c>
      <c r="B25880" s="2" t="s">
        <v>13974</v>
      </c>
      <c r="C25880" s="1" t="s">
        <v>7710</v>
      </c>
      <c r="D25880" s="1" t="s">
        <v>7712</v>
      </c>
    </row>
    <row r="25881">
      <c r="A25881" s="1" t="s">
        <v>39923</v>
      </c>
      <c r="B25881" s="2" t="s">
        <v>39924</v>
      </c>
      <c r="C25881" s="1" t="s">
        <v>7710</v>
      </c>
      <c r="D25881" s="1" t="s">
        <v>7712</v>
      </c>
    </row>
    <row r="25882">
      <c r="A25882" s="1" t="s">
        <v>39925</v>
      </c>
      <c r="B25882" s="2" t="s">
        <v>39926</v>
      </c>
      <c r="C25882" s="1" t="s">
        <v>7710</v>
      </c>
      <c r="D25882" s="1" t="s">
        <v>7712</v>
      </c>
    </row>
    <row r="25883">
      <c r="A25883" s="1" t="s">
        <v>39927</v>
      </c>
      <c r="B25883" s="2" t="s">
        <v>39928</v>
      </c>
      <c r="C25883" s="1" t="s">
        <v>7710</v>
      </c>
      <c r="D25883" s="1" t="s">
        <v>7712</v>
      </c>
    </row>
    <row r="25884">
      <c r="A25884" s="1" t="s">
        <v>39929</v>
      </c>
      <c r="B25884" s="2" t="s">
        <v>39930</v>
      </c>
      <c r="C25884" s="1" t="s">
        <v>7710</v>
      </c>
      <c r="D25884" s="1" t="s">
        <v>7712</v>
      </c>
    </row>
    <row r="25885">
      <c r="A25885" s="1" t="s">
        <v>7715</v>
      </c>
      <c r="B25885" s="2" t="s">
        <v>7</v>
      </c>
      <c r="C25885" s="1" t="s">
        <v>7718</v>
      </c>
      <c r="D25885" s="1" t="s">
        <v>7719</v>
      </c>
    </row>
    <row r="25886">
      <c r="A25886" s="1" t="s">
        <v>39931</v>
      </c>
      <c r="B25886" s="2" t="s">
        <v>39932</v>
      </c>
      <c r="C25886" s="1" t="s">
        <v>7718</v>
      </c>
      <c r="D25886" s="1" t="s">
        <v>7719</v>
      </c>
    </row>
    <row r="25887">
      <c r="A25887" s="1" t="s">
        <v>39933</v>
      </c>
      <c r="B25887" s="2" t="s">
        <v>39934</v>
      </c>
      <c r="C25887" s="1" t="s">
        <v>7718</v>
      </c>
      <c r="D25887" s="1" t="s">
        <v>7719</v>
      </c>
    </row>
    <row r="25888">
      <c r="A25888" s="1" t="s">
        <v>39935</v>
      </c>
      <c r="B25888" s="2" t="s">
        <v>39936</v>
      </c>
      <c r="C25888" s="1" t="s">
        <v>7718</v>
      </c>
      <c r="D25888" s="1" t="s">
        <v>7719</v>
      </c>
    </row>
    <row r="25889">
      <c r="A25889" s="1" t="s">
        <v>39937</v>
      </c>
      <c r="B25889" s="2" t="s">
        <v>39938</v>
      </c>
      <c r="C25889" s="1" t="s">
        <v>7718</v>
      </c>
      <c r="D25889" s="1" t="s">
        <v>7719</v>
      </c>
    </row>
    <row r="25890">
      <c r="A25890" s="1" t="s">
        <v>39939</v>
      </c>
      <c r="B25890" s="2" t="s">
        <v>39940</v>
      </c>
      <c r="C25890" s="1" t="s">
        <v>7718</v>
      </c>
      <c r="D25890" s="1" t="s">
        <v>7719</v>
      </c>
    </row>
    <row r="25891">
      <c r="A25891" s="1" t="s">
        <v>39941</v>
      </c>
      <c r="B25891" s="2" t="s">
        <v>39942</v>
      </c>
      <c r="C25891" s="1" t="s">
        <v>7718</v>
      </c>
      <c r="D25891" s="1" t="s">
        <v>7719</v>
      </c>
    </row>
    <row r="25892">
      <c r="A25892" s="1" t="s">
        <v>39943</v>
      </c>
      <c r="B25892" s="2" t="s">
        <v>39944</v>
      </c>
      <c r="C25892" s="1" t="s">
        <v>7718</v>
      </c>
      <c r="D25892" s="1" t="s">
        <v>7719</v>
      </c>
    </row>
    <row r="25893">
      <c r="A25893" s="1" t="s">
        <v>39945</v>
      </c>
      <c r="B25893" s="2" t="s">
        <v>39946</v>
      </c>
      <c r="C25893" s="1" t="s">
        <v>7718</v>
      </c>
      <c r="D25893" s="1" t="s">
        <v>7719</v>
      </c>
    </row>
    <row r="25894">
      <c r="A25894" s="1" t="s">
        <v>39947</v>
      </c>
      <c r="B25894" s="2" t="s">
        <v>39948</v>
      </c>
      <c r="C25894" s="1" t="s">
        <v>7718</v>
      </c>
      <c r="D25894" s="1" t="s">
        <v>7719</v>
      </c>
    </row>
    <row r="25895">
      <c r="A25895" s="1" t="s">
        <v>39949</v>
      </c>
      <c r="B25895" s="2" t="s">
        <v>39950</v>
      </c>
      <c r="C25895" s="1" t="s">
        <v>7718</v>
      </c>
      <c r="D25895" s="1" t="s">
        <v>7719</v>
      </c>
    </row>
    <row r="25896">
      <c r="A25896" s="1" t="s">
        <v>39951</v>
      </c>
      <c r="B25896" s="2" t="s">
        <v>34115</v>
      </c>
      <c r="C25896" s="1" t="s">
        <v>7718</v>
      </c>
      <c r="D25896" s="1" t="s">
        <v>7719</v>
      </c>
    </row>
    <row r="25897">
      <c r="A25897" s="1" t="s">
        <v>39952</v>
      </c>
      <c r="B25897" s="2" t="s">
        <v>39953</v>
      </c>
      <c r="C25897" s="1" t="s">
        <v>7718</v>
      </c>
      <c r="D25897" s="1" t="s">
        <v>7719</v>
      </c>
    </row>
    <row r="25898">
      <c r="A25898" s="1" t="s">
        <v>39954</v>
      </c>
      <c r="B25898" s="2" t="s">
        <v>39955</v>
      </c>
      <c r="C25898" s="1" t="s">
        <v>7718</v>
      </c>
      <c r="D25898" s="1" t="s">
        <v>7719</v>
      </c>
    </row>
    <row r="25899">
      <c r="A25899" s="1" t="s">
        <v>39956</v>
      </c>
      <c r="B25899" s="2" t="s">
        <v>39957</v>
      </c>
      <c r="C25899" s="1" t="s">
        <v>7718</v>
      </c>
      <c r="D25899" s="1" t="s">
        <v>7719</v>
      </c>
    </row>
    <row r="25900">
      <c r="A25900" s="1" t="s">
        <v>39958</v>
      </c>
      <c r="B25900" s="2" t="s">
        <v>39959</v>
      </c>
      <c r="C25900" s="1" t="s">
        <v>7718</v>
      </c>
      <c r="D25900" s="1" t="s">
        <v>7719</v>
      </c>
    </row>
    <row r="25901">
      <c r="A25901" s="1" t="s">
        <v>39960</v>
      </c>
      <c r="B25901" s="2" t="s">
        <v>34133</v>
      </c>
      <c r="C25901" s="1" t="s">
        <v>7718</v>
      </c>
      <c r="D25901" s="1" t="s">
        <v>7719</v>
      </c>
    </row>
    <row r="25902">
      <c r="A25902" s="1" t="s">
        <v>39961</v>
      </c>
      <c r="B25902" s="2" t="s">
        <v>39962</v>
      </c>
      <c r="C25902" s="1" t="s">
        <v>7718</v>
      </c>
      <c r="D25902" s="1" t="s">
        <v>7719</v>
      </c>
    </row>
    <row r="25903">
      <c r="A25903" s="1" t="s">
        <v>39963</v>
      </c>
      <c r="B25903" s="2" t="s">
        <v>39964</v>
      </c>
      <c r="C25903" s="1" t="s">
        <v>7718</v>
      </c>
      <c r="D25903" s="1" t="s">
        <v>7719</v>
      </c>
    </row>
    <row r="25904">
      <c r="A25904" s="1" t="s">
        <v>39965</v>
      </c>
      <c r="B25904" s="2" t="s">
        <v>39966</v>
      </c>
      <c r="C25904" s="1" t="s">
        <v>7718</v>
      </c>
      <c r="D25904" s="1" t="s">
        <v>7719</v>
      </c>
    </row>
    <row r="25905">
      <c r="A25905" s="1" t="s">
        <v>39967</v>
      </c>
      <c r="B25905" s="2" t="s">
        <v>39968</v>
      </c>
      <c r="C25905" s="1" t="s">
        <v>7718</v>
      </c>
      <c r="D25905" s="1" t="s">
        <v>7719</v>
      </c>
    </row>
    <row r="25906">
      <c r="A25906" s="1" t="s">
        <v>39969</v>
      </c>
      <c r="B25906" s="2" t="s">
        <v>34151</v>
      </c>
      <c r="C25906" s="1" t="s">
        <v>7718</v>
      </c>
      <c r="D25906" s="1" t="s">
        <v>7719</v>
      </c>
    </row>
    <row r="25907">
      <c r="A25907" s="1" t="s">
        <v>39970</v>
      </c>
      <c r="B25907" s="2" t="s">
        <v>39971</v>
      </c>
      <c r="C25907" s="1" t="s">
        <v>7718</v>
      </c>
      <c r="D25907" s="1" t="s">
        <v>7719</v>
      </c>
    </row>
    <row r="25908">
      <c r="A25908" s="1" t="s">
        <v>39972</v>
      </c>
      <c r="B25908" s="2" t="s">
        <v>39973</v>
      </c>
      <c r="C25908" s="1" t="s">
        <v>7718</v>
      </c>
      <c r="D25908" s="1" t="s">
        <v>7719</v>
      </c>
    </row>
    <row r="25909">
      <c r="A25909" s="1" t="s">
        <v>39974</v>
      </c>
      <c r="B25909" s="2" t="s">
        <v>39975</v>
      </c>
      <c r="C25909" s="1" t="s">
        <v>7718</v>
      </c>
      <c r="D25909" s="1" t="s">
        <v>7719</v>
      </c>
    </row>
    <row r="25910">
      <c r="A25910" s="1" t="s">
        <v>39976</v>
      </c>
      <c r="B25910" s="2" t="s">
        <v>39977</v>
      </c>
      <c r="C25910" s="1" t="s">
        <v>7718</v>
      </c>
      <c r="D25910" s="1" t="s">
        <v>7719</v>
      </c>
    </row>
    <row r="25911">
      <c r="A25911" s="1" t="s">
        <v>7725</v>
      </c>
      <c r="B25911" s="2" t="s">
        <v>7</v>
      </c>
      <c r="C25911" s="1" t="s">
        <v>7727</v>
      </c>
      <c r="D25911" s="1" t="s">
        <v>7728</v>
      </c>
    </row>
    <row r="25912">
      <c r="A25912" s="1" t="s">
        <v>39978</v>
      </c>
      <c r="B25912" s="2" t="s">
        <v>39979</v>
      </c>
      <c r="C25912" s="1" t="s">
        <v>7727</v>
      </c>
      <c r="D25912" s="1" t="s">
        <v>7728</v>
      </c>
    </row>
    <row r="25913">
      <c r="A25913" s="1" t="s">
        <v>39980</v>
      </c>
      <c r="B25913" s="2" t="s">
        <v>39981</v>
      </c>
      <c r="C25913" s="1" t="s">
        <v>7727</v>
      </c>
      <c r="D25913" s="1" t="s">
        <v>7728</v>
      </c>
    </row>
    <row r="25914">
      <c r="A25914" s="1" t="s">
        <v>39982</v>
      </c>
      <c r="B25914" s="2" t="s">
        <v>39983</v>
      </c>
      <c r="C25914" s="1" t="s">
        <v>7727</v>
      </c>
      <c r="D25914" s="1" t="s">
        <v>7728</v>
      </c>
    </row>
    <row r="25915">
      <c r="A25915" s="1" t="s">
        <v>39984</v>
      </c>
      <c r="B25915" s="2" t="s">
        <v>39985</v>
      </c>
      <c r="C25915" s="1" t="s">
        <v>7727</v>
      </c>
      <c r="D25915" s="1" t="s">
        <v>7728</v>
      </c>
    </row>
    <row r="25916">
      <c r="A25916" s="1" t="s">
        <v>39986</v>
      </c>
      <c r="B25916" s="2" t="s">
        <v>39987</v>
      </c>
      <c r="C25916" s="1" t="s">
        <v>7727</v>
      </c>
      <c r="D25916" s="1" t="s">
        <v>7728</v>
      </c>
    </row>
    <row r="25917">
      <c r="A25917" s="1" t="s">
        <v>39988</v>
      </c>
      <c r="B25917" s="2" t="s">
        <v>39989</v>
      </c>
      <c r="C25917" s="1" t="s">
        <v>7727</v>
      </c>
      <c r="D25917" s="1" t="s">
        <v>7728</v>
      </c>
    </row>
    <row r="25918">
      <c r="A25918" s="1" t="s">
        <v>39990</v>
      </c>
      <c r="B25918" s="2" t="s">
        <v>39991</v>
      </c>
      <c r="C25918" s="1" t="s">
        <v>7727</v>
      </c>
      <c r="D25918" s="1" t="s">
        <v>7728</v>
      </c>
    </row>
    <row r="25919">
      <c r="A25919" s="1" t="s">
        <v>39992</v>
      </c>
      <c r="B25919" s="2" t="s">
        <v>39993</v>
      </c>
      <c r="C25919" s="1" t="s">
        <v>7727</v>
      </c>
      <c r="D25919" s="1" t="s">
        <v>7728</v>
      </c>
    </row>
    <row r="25920">
      <c r="A25920" s="1" t="s">
        <v>39994</v>
      </c>
      <c r="B25920" s="2" t="s">
        <v>39995</v>
      </c>
      <c r="C25920" s="1" t="s">
        <v>7727</v>
      </c>
      <c r="D25920" s="1" t="s">
        <v>7728</v>
      </c>
    </row>
    <row r="25921">
      <c r="A25921" s="1" t="s">
        <v>39996</v>
      </c>
      <c r="B25921" s="2" t="s">
        <v>39997</v>
      </c>
      <c r="C25921" s="1" t="s">
        <v>7727</v>
      </c>
      <c r="D25921" s="1" t="s">
        <v>7728</v>
      </c>
    </row>
    <row r="25922">
      <c r="A25922" s="1" t="s">
        <v>39998</v>
      </c>
      <c r="B25922" s="2" t="s">
        <v>39999</v>
      </c>
      <c r="C25922" s="1" t="s">
        <v>7727</v>
      </c>
      <c r="D25922" s="1" t="s">
        <v>7728</v>
      </c>
    </row>
    <row r="25923">
      <c r="A25923" s="1" t="s">
        <v>40000</v>
      </c>
      <c r="B25923" s="2" t="s">
        <v>40001</v>
      </c>
      <c r="C25923" s="1" t="s">
        <v>7727</v>
      </c>
      <c r="D25923" s="1" t="s">
        <v>7728</v>
      </c>
    </row>
    <row r="25924">
      <c r="A25924" s="1" t="s">
        <v>40002</v>
      </c>
      <c r="B25924" s="2" t="s">
        <v>40003</v>
      </c>
      <c r="C25924" s="1" t="s">
        <v>7727</v>
      </c>
      <c r="D25924" s="1" t="s">
        <v>7728</v>
      </c>
    </row>
    <row r="25925">
      <c r="A25925" s="1" t="s">
        <v>40004</v>
      </c>
      <c r="B25925" s="2" t="s">
        <v>40005</v>
      </c>
      <c r="C25925" s="1" t="s">
        <v>7727</v>
      </c>
      <c r="D25925" s="1" t="s">
        <v>7728</v>
      </c>
    </row>
    <row r="25926">
      <c r="A25926" s="1" t="s">
        <v>40006</v>
      </c>
      <c r="B25926" s="2" t="s">
        <v>40007</v>
      </c>
      <c r="C25926" s="1" t="s">
        <v>7727</v>
      </c>
      <c r="D25926" s="1" t="s">
        <v>7728</v>
      </c>
    </row>
    <row r="25927">
      <c r="A25927" s="1" t="s">
        <v>40008</v>
      </c>
      <c r="B25927" s="2" t="s">
        <v>40009</v>
      </c>
      <c r="C25927" s="1" t="s">
        <v>7727</v>
      </c>
      <c r="D25927" s="1" t="s">
        <v>7728</v>
      </c>
    </row>
    <row r="25928">
      <c r="A25928" s="1" t="s">
        <v>40010</v>
      </c>
      <c r="B25928" s="2" t="s">
        <v>40011</v>
      </c>
      <c r="C25928" s="1" t="s">
        <v>7727</v>
      </c>
      <c r="D25928" s="1" t="s">
        <v>7728</v>
      </c>
    </row>
    <row r="25929">
      <c r="A25929" s="1" t="s">
        <v>40012</v>
      </c>
      <c r="B25929" s="2" t="s">
        <v>40013</v>
      </c>
      <c r="C25929" s="1" t="s">
        <v>7727</v>
      </c>
      <c r="D25929" s="1" t="s">
        <v>7728</v>
      </c>
    </row>
    <row r="25930">
      <c r="A25930" s="1" t="s">
        <v>40014</v>
      </c>
      <c r="B25930" s="2" t="s">
        <v>40015</v>
      </c>
      <c r="C25930" s="1" t="s">
        <v>7727</v>
      </c>
      <c r="D25930" s="1" t="s">
        <v>7728</v>
      </c>
    </row>
    <row r="25931">
      <c r="A25931" s="1" t="s">
        <v>40016</v>
      </c>
      <c r="B25931" s="2" t="s">
        <v>40017</v>
      </c>
      <c r="C25931" s="1" t="s">
        <v>7727</v>
      </c>
      <c r="D25931" s="1" t="s">
        <v>7728</v>
      </c>
    </row>
    <row r="25932">
      <c r="A25932" s="1" t="s">
        <v>40018</v>
      </c>
      <c r="B25932" s="2" t="s">
        <v>40019</v>
      </c>
      <c r="C25932" s="1" t="s">
        <v>7727</v>
      </c>
      <c r="D25932" s="1" t="s">
        <v>7728</v>
      </c>
    </row>
    <row r="25933">
      <c r="A25933" s="1" t="s">
        <v>40020</v>
      </c>
      <c r="B25933" s="2" t="s">
        <v>13730</v>
      </c>
      <c r="C25933" s="1" t="s">
        <v>7727</v>
      </c>
      <c r="D25933" s="1" t="s">
        <v>7728</v>
      </c>
    </row>
    <row r="25934">
      <c r="A25934" s="1" t="s">
        <v>40021</v>
      </c>
      <c r="B25934" s="2" t="s">
        <v>40022</v>
      </c>
      <c r="C25934" s="1" t="s">
        <v>7727</v>
      </c>
      <c r="D25934" s="1" t="s">
        <v>7728</v>
      </c>
    </row>
    <row r="25935">
      <c r="A25935" s="1" t="s">
        <v>40023</v>
      </c>
      <c r="B25935" s="2" t="s">
        <v>40024</v>
      </c>
      <c r="C25935" s="1" t="s">
        <v>7727</v>
      </c>
      <c r="D25935" s="1" t="s">
        <v>7728</v>
      </c>
    </row>
    <row r="25936">
      <c r="A25936" s="1" t="s">
        <v>40025</v>
      </c>
      <c r="B25936" s="2" t="s">
        <v>40026</v>
      </c>
      <c r="C25936" s="1" t="s">
        <v>7727</v>
      </c>
      <c r="D25936" s="1" t="s">
        <v>7728</v>
      </c>
    </row>
    <row r="25937">
      <c r="A25937" s="1" t="s">
        <v>40027</v>
      </c>
      <c r="B25937" s="2" t="s">
        <v>40028</v>
      </c>
      <c r="C25937" s="1" t="s">
        <v>7727</v>
      </c>
      <c r="D25937" s="1" t="s">
        <v>7728</v>
      </c>
    </row>
    <row r="25938">
      <c r="A25938" s="1" t="s">
        <v>40029</v>
      </c>
      <c r="B25938" s="2" t="s">
        <v>40030</v>
      </c>
      <c r="C25938" s="1" t="s">
        <v>7727</v>
      </c>
      <c r="D25938" s="1" t="s">
        <v>7728</v>
      </c>
    </row>
    <row r="25939">
      <c r="A25939" s="1" t="s">
        <v>40031</v>
      </c>
      <c r="B25939" s="2" t="s">
        <v>40032</v>
      </c>
      <c r="C25939" s="1" t="s">
        <v>7727</v>
      </c>
      <c r="D25939" s="1" t="s">
        <v>7728</v>
      </c>
    </row>
    <row r="25940">
      <c r="A25940" s="1" t="s">
        <v>40033</v>
      </c>
      <c r="B25940" s="2" t="s">
        <v>40034</v>
      </c>
      <c r="C25940" s="1" t="s">
        <v>7727</v>
      </c>
      <c r="D25940" s="1" t="s">
        <v>7728</v>
      </c>
    </row>
    <row r="25941">
      <c r="A25941" s="1" t="s">
        <v>40035</v>
      </c>
      <c r="B25941" s="2" t="s">
        <v>40036</v>
      </c>
      <c r="C25941" s="1" t="s">
        <v>7727</v>
      </c>
      <c r="D25941" s="1" t="s">
        <v>7728</v>
      </c>
    </row>
    <row r="25942">
      <c r="A25942" s="1" t="s">
        <v>40037</v>
      </c>
      <c r="B25942" s="2" t="s">
        <v>40038</v>
      </c>
      <c r="C25942" s="1" t="s">
        <v>7727</v>
      </c>
      <c r="D25942" s="1" t="s">
        <v>7728</v>
      </c>
    </row>
    <row r="25943">
      <c r="A25943" s="1" t="s">
        <v>40039</v>
      </c>
      <c r="B25943" s="2" t="s">
        <v>40040</v>
      </c>
      <c r="C25943" s="1" t="s">
        <v>7727</v>
      </c>
      <c r="D25943" s="1" t="s">
        <v>7728</v>
      </c>
    </row>
    <row r="25944">
      <c r="A25944" s="1" t="s">
        <v>40041</v>
      </c>
      <c r="B25944" s="2" t="s">
        <v>40042</v>
      </c>
      <c r="C25944" s="1" t="s">
        <v>7727</v>
      </c>
      <c r="D25944" s="1" t="s">
        <v>7728</v>
      </c>
    </row>
    <row r="25945">
      <c r="A25945" s="1" t="s">
        <v>40043</v>
      </c>
      <c r="B25945" s="2" t="s">
        <v>40044</v>
      </c>
      <c r="C25945" s="1" t="s">
        <v>7727</v>
      </c>
      <c r="D25945" s="1" t="s">
        <v>7728</v>
      </c>
    </row>
    <row r="25946">
      <c r="A25946" s="1" t="s">
        <v>40045</v>
      </c>
      <c r="B25946" s="2" t="s">
        <v>40046</v>
      </c>
      <c r="C25946" s="1" t="s">
        <v>7727</v>
      </c>
      <c r="D25946" s="1" t="s">
        <v>7728</v>
      </c>
    </row>
    <row r="25947">
      <c r="A25947" s="1" t="s">
        <v>40047</v>
      </c>
      <c r="B25947" s="2" t="s">
        <v>40048</v>
      </c>
      <c r="C25947" s="1" t="s">
        <v>7727</v>
      </c>
      <c r="D25947" s="1" t="s">
        <v>7728</v>
      </c>
    </row>
    <row r="25948">
      <c r="A25948" s="1" t="s">
        <v>40049</v>
      </c>
      <c r="B25948" s="2" t="s">
        <v>40050</v>
      </c>
      <c r="C25948" s="1" t="s">
        <v>7727</v>
      </c>
      <c r="D25948" s="1" t="s">
        <v>7728</v>
      </c>
    </row>
    <row r="25949">
      <c r="A25949" s="1" t="s">
        <v>40051</v>
      </c>
      <c r="B25949" s="2" t="s">
        <v>40052</v>
      </c>
      <c r="C25949" s="1" t="s">
        <v>7727</v>
      </c>
      <c r="D25949" s="1" t="s">
        <v>7728</v>
      </c>
    </row>
    <row r="25950">
      <c r="A25950" s="1" t="s">
        <v>40053</v>
      </c>
      <c r="B25950" s="2" t="s">
        <v>40054</v>
      </c>
      <c r="C25950" s="1" t="s">
        <v>7727</v>
      </c>
      <c r="D25950" s="1" t="s">
        <v>7728</v>
      </c>
    </row>
    <row r="25951">
      <c r="A25951" s="1" t="s">
        <v>40055</v>
      </c>
      <c r="B25951" s="2" t="s">
        <v>40056</v>
      </c>
      <c r="C25951" s="1" t="s">
        <v>7727</v>
      </c>
      <c r="D25951" s="1" t="s">
        <v>7728</v>
      </c>
    </row>
    <row r="25952">
      <c r="A25952" s="1" t="s">
        <v>40057</v>
      </c>
      <c r="B25952" s="2" t="s">
        <v>40058</v>
      </c>
      <c r="C25952" s="1" t="s">
        <v>7727</v>
      </c>
      <c r="D25952" s="1" t="s">
        <v>7728</v>
      </c>
    </row>
    <row r="25953">
      <c r="A25953" s="1" t="s">
        <v>40059</v>
      </c>
      <c r="B25953" s="2" t="s">
        <v>40060</v>
      </c>
      <c r="C25953" s="1" t="s">
        <v>7727</v>
      </c>
      <c r="D25953" s="1" t="s">
        <v>7728</v>
      </c>
    </row>
    <row r="25954">
      <c r="A25954" s="1" t="s">
        <v>7741</v>
      </c>
      <c r="B25954" s="2" t="s">
        <v>7</v>
      </c>
      <c r="C25954" s="1" t="s">
        <v>7743</v>
      </c>
      <c r="D25954" s="1" t="s">
        <v>7744</v>
      </c>
    </row>
    <row r="25955">
      <c r="A25955" s="1" t="s">
        <v>40061</v>
      </c>
      <c r="B25955" s="2" t="s">
        <v>2820</v>
      </c>
      <c r="C25955" s="1" t="s">
        <v>7743</v>
      </c>
      <c r="D25955" s="1" t="s">
        <v>7744</v>
      </c>
    </row>
    <row r="25956">
      <c r="A25956" s="1" t="s">
        <v>40062</v>
      </c>
      <c r="B25956" s="2" t="s">
        <v>40063</v>
      </c>
      <c r="C25956" s="1" t="s">
        <v>7743</v>
      </c>
      <c r="D25956" s="1" t="s">
        <v>7744</v>
      </c>
    </row>
    <row r="25957">
      <c r="A25957" s="1" t="s">
        <v>40064</v>
      </c>
      <c r="B25957" s="2" t="s">
        <v>40065</v>
      </c>
      <c r="C25957" s="1" t="s">
        <v>7743</v>
      </c>
      <c r="D25957" s="1" t="s">
        <v>7744</v>
      </c>
    </row>
    <row r="25958">
      <c r="A25958" s="1" t="s">
        <v>40066</v>
      </c>
      <c r="B25958" s="2" t="s">
        <v>40067</v>
      </c>
      <c r="C25958" s="1" t="s">
        <v>7743</v>
      </c>
      <c r="D25958" s="1" t="s">
        <v>7744</v>
      </c>
    </row>
    <row r="25959">
      <c r="A25959" s="1" t="s">
        <v>40068</v>
      </c>
      <c r="B25959" s="2" t="s">
        <v>40069</v>
      </c>
      <c r="C25959" s="1" t="s">
        <v>7743</v>
      </c>
      <c r="D25959" s="1" t="s">
        <v>7744</v>
      </c>
    </row>
    <row r="25960">
      <c r="A25960" s="1" t="s">
        <v>40070</v>
      </c>
      <c r="B25960" s="2" t="s">
        <v>2858</v>
      </c>
      <c r="C25960" s="1" t="s">
        <v>7743</v>
      </c>
      <c r="D25960" s="1" t="s">
        <v>7744</v>
      </c>
    </row>
    <row r="25961">
      <c r="A25961" s="1" t="s">
        <v>40071</v>
      </c>
      <c r="B25961" s="2" t="s">
        <v>40072</v>
      </c>
      <c r="C25961" s="1" t="s">
        <v>7743</v>
      </c>
      <c r="D25961" s="1" t="s">
        <v>7744</v>
      </c>
    </row>
    <row r="25962">
      <c r="A25962" s="1" t="s">
        <v>40073</v>
      </c>
      <c r="B25962" s="2" t="s">
        <v>40074</v>
      </c>
      <c r="C25962" s="1" t="s">
        <v>7743</v>
      </c>
      <c r="D25962" s="1" t="s">
        <v>7744</v>
      </c>
    </row>
    <row r="25963">
      <c r="A25963" s="1" t="s">
        <v>40075</v>
      </c>
      <c r="B25963" s="2" t="s">
        <v>40076</v>
      </c>
      <c r="C25963" s="1" t="s">
        <v>7743</v>
      </c>
      <c r="D25963" s="1" t="s">
        <v>7744</v>
      </c>
    </row>
    <row r="25964">
      <c r="A25964" s="1" t="s">
        <v>40077</v>
      </c>
      <c r="B25964" s="2" t="s">
        <v>40078</v>
      </c>
      <c r="C25964" s="1" t="s">
        <v>7743</v>
      </c>
      <c r="D25964" s="1" t="s">
        <v>7744</v>
      </c>
    </row>
    <row r="25965">
      <c r="A25965" s="1" t="s">
        <v>40079</v>
      </c>
      <c r="B25965" s="2" t="s">
        <v>40080</v>
      </c>
      <c r="C25965" s="1" t="s">
        <v>7743</v>
      </c>
      <c r="D25965" s="1" t="s">
        <v>7744</v>
      </c>
    </row>
    <row r="25966">
      <c r="A25966" s="1" t="s">
        <v>40081</v>
      </c>
      <c r="B25966" s="2" t="s">
        <v>40082</v>
      </c>
      <c r="C25966" s="1" t="s">
        <v>7743</v>
      </c>
      <c r="D25966" s="1" t="s">
        <v>7744</v>
      </c>
    </row>
    <row r="25967">
      <c r="A25967" s="1" t="s">
        <v>40083</v>
      </c>
      <c r="B25967" s="2" t="s">
        <v>40084</v>
      </c>
      <c r="C25967" s="1" t="s">
        <v>7743</v>
      </c>
      <c r="D25967" s="1" t="s">
        <v>7744</v>
      </c>
    </row>
    <row r="25968">
      <c r="A25968" s="1" t="s">
        <v>40085</v>
      </c>
      <c r="B25968" s="2" t="s">
        <v>40086</v>
      </c>
      <c r="C25968" s="1" t="s">
        <v>7743</v>
      </c>
      <c r="D25968" s="1" t="s">
        <v>7744</v>
      </c>
    </row>
    <row r="25969">
      <c r="A25969" s="1" t="s">
        <v>40087</v>
      </c>
      <c r="B25969" s="2" t="s">
        <v>40088</v>
      </c>
      <c r="C25969" s="1" t="s">
        <v>7743</v>
      </c>
      <c r="D25969" s="1" t="s">
        <v>7744</v>
      </c>
    </row>
    <row r="25970">
      <c r="A25970" s="1" t="s">
        <v>40089</v>
      </c>
      <c r="B25970" s="2" t="s">
        <v>40090</v>
      </c>
      <c r="C25970" s="1" t="s">
        <v>7743</v>
      </c>
      <c r="D25970" s="1" t="s">
        <v>7744</v>
      </c>
    </row>
    <row r="25971">
      <c r="A25971" s="1" t="s">
        <v>7749</v>
      </c>
      <c r="B25971" s="2" t="s">
        <v>7</v>
      </c>
      <c r="C25971" s="1" t="s">
        <v>7751</v>
      </c>
      <c r="D25971" s="1" t="s">
        <v>7753</v>
      </c>
    </row>
    <row r="25972">
      <c r="A25972" s="1" t="s">
        <v>40091</v>
      </c>
      <c r="B25972" s="2" t="s">
        <v>13</v>
      </c>
      <c r="C25972" s="1" t="s">
        <v>7751</v>
      </c>
      <c r="D25972" s="1" t="s">
        <v>7753</v>
      </c>
    </row>
    <row r="25973">
      <c r="A25973" s="1" t="s">
        <v>40092</v>
      </c>
      <c r="B25973" s="2" t="s">
        <v>15590</v>
      </c>
      <c r="C25973" s="1" t="s">
        <v>7751</v>
      </c>
      <c r="D25973" s="1" t="s">
        <v>7753</v>
      </c>
    </row>
    <row r="25974">
      <c r="A25974" s="1" t="s">
        <v>40093</v>
      </c>
      <c r="B25974" s="2" t="s">
        <v>40094</v>
      </c>
      <c r="C25974" s="1" t="s">
        <v>7751</v>
      </c>
      <c r="D25974" s="1" t="s">
        <v>7753</v>
      </c>
    </row>
    <row r="25975">
      <c r="A25975" s="1" t="s">
        <v>40095</v>
      </c>
      <c r="B25975" s="2" t="s">
        <v>40096</v>
      </c>
      <c r="C25975" s="1" t="s">
        <v>7751</v>
      </c>
      <c r="D25975" s="1" t="s">
        <v>7753</v>
      </c>
    </row>
    <row r="25976">
      <c r="A25976" s="1" t="s">
        <v>40097</v>
      </c>
      <c r="B25976" s="2" t="s">
        <v>15720</v>
      </c>
      <c r="C25976" s="1" t="s">
        <v>7751</v>
      </c>
      <c r="D25976" s="1" t="s">
        <v>7753</v>
      </c>
    </row>
    <row r="25977">
      <c r="A25977" s="1" t="s">
        <v>40098</v>
      </c>
      <c r="B25977" s="2" t="s">
        <v>40099</v>
      </c>
      <c r="C25977" s="1" t="s">
        <v>7751</v>
      </c>
      <c r="D25977" s="1" t="s">
        <v>7753</v>
      </c>
    </row>
    <row r="25978">
      <c r="A25978" s="1" t="s">
        <v>40100</v>
      </c>
      <c r="B25978" s="2" t="s">
        <v>40101</v>
      </c>
      <c r="C25978" s="1" t="s">
        <v>7751</v>
      </c>
      <c r="D25978" s="1" t="s">
        <v>7753</v>
      </c>
    </row>
    <row r="25979">
      <c r="A25979" s="1" t="s">
        <v>40102</v>
      </c>
      <c r="B25979" s="2" t="s">
        <v>70</v>
      </c>
      <c r="C25979" s="1" t="s">
        <v>7751</v>
      </c>
      <c r="D25979" s="1" t="s">
        <v>7753</v>
      </c>
    </row>
    <row r="25980">
      <c r="A25980" s="1" t="s">
        <v>40103</v>
      </c>
      <c r="B25980" s="2" t="s">
        <v>15637</v>
      </c>
      <c r="C25980" s="1" t="s">
        <v>7751</v>
      </c>
      <c r="D25980" s="1" t="s">
        <v>7753</v>
      </c>
    </row>
    <row r="25981">
      <c r="A25981" s="1" t="s">
        <v>40104</v>
      </c>
      <c r="B25981" s="2" t="s">
        <v>40105</v>
      </c>
      <c r="C25981" s="1" t="s">
        <v>7751</v>
      </c>
      <c r="D25981" s="1" t="s">
        <v>7753</v>
      </c>
    </row>
    <row r="25982">
      <c r="A25982" s="1" t="s">
        <v>40106</v>
      </c>
      <c r="B25982" s="2" t="s">
        <v>40107</v>
      </c>
      <c r="C25982" s="1" t="s">
        <v>7751</v>
      </c>
      <c r="D25982" s="1" t="s">
        <v>7753</v>
      </c>
    </row>
    <row r="25983">
      <c r="A25983" s="1" t="s">
        <v>40108</v>
      </c>
      <c r="B25983" s="2" t="s">
        <v>15775</v>
      </c>
      <c r="C25983" s="1" t="s">
        <v>7751</v>
      </c>
      <c r="D25983" s="1" t="s">
        <v>7753</v>
      </c>
    </row>
    <row r="25984">
      <c r="A25984" s="1" t="s">
        <v>40109</v>
      </c>
      <c r="B25984" s="2" t="s">
        <v>40110</v>
      </c>
      <c r="C25984" s="1" t="s">
        <v>7751</v>
      </c>
      <c r="D25984" s="1" t="s">
        <v>7753</v>
      </c>
    </row>
    <row r="25985">
      <c r="A25985" s="1" t="s">
        <v>40111</v>
      </c>
      <c r="B25985" s="2" t="s">
        <v>40112</v>
      </c>
      <c r="C25985" s="1" t="s">
        <v>7751</v>
      </c>
      <c r="D25985" s="1" t="s">
        <v>7753</v>
      </c>
    </row>
    <row r="25986">
      <c r="A25986" s="1" t="s">
        <v>7758</v>
      </c>
      <c r="B25986" s="2" t="s">
        <v>7</v>
      </c>
      <c r="C25986" s="1" t="s">
        <v>7760</v>
      </c>
      <c r="D25986" s="1" t="s">
        <v>7762</v>
      </c>
    </row>
    <row r="25987">
      <c r="A25987" s="1" t="s">
        <v>40113</v>
      </c>
      <c r="B25987" s="2" t="s">
        <v>13</v>
      </c>
      <c r="C25987" s="1" t="s">
        <v>7760</v>
      </c>
      <c r="D25987" s="1" t="s">
        <v>7762</v>
      </c>
    </row>
    <row r="25988">
      <c r="A25988" s="1" t="s">
        <v>40114</v>
      </c>
      <c r="B25988" s="2" t="s">
        <v>15590</v>
      </c>
      <c r="C25988" s="1" t="s">
        <v>7760</v>
      </c>
      <c r="D25988" s="1" t="s">
        <v>7762</v>
      </c>
    </row>
    <row r="25989">
      <c r="A25989" s="1" t="s">
        <v>40115</v>
      </c>
      <c r="B25989" s="2" t="s">
        <v>40116</v>
      </c>
      <c r="C25989" s="1" t="s">
        <v>7760</v>
      </c>
      <c r="D25989" s="1" t="s">
        <v>7762</v>
      </c>
    </row>
    <row r="25990">
      <c r="A25990" s="1" t="s">
        <v>40117</v>
      </c>
      <c r="B25990" s="2" t="s">
        <v>40118</v>
      </c>
      <c r="C25990" s="1" t="s">
        <v>7760</v>
      </c>
      <c r="D25990" s="1" t="s">
        <v>7762</v>
      </c>
    </row>
    <row r="25991">
      <c r="A25991" s="1" t="s">
        <v>40119</v>
      </c>
      <c r="B25991" s="2" t="s">
        <v>15720</v>
      </c>
      <c r="C25991" s="1" t="s">
        <v>7760</v>
      </c>
      <c r="D25991" s="1" t="s">
        <v>7762</v>
      </c>
    </row>
    <row r="25992">
      <c r="A25992" s="1" t="s">
        <v>40120</v>
      </c>
      <c r="B25992" s="2" t="s">
        <v>40121</v>
      </c>
      <c r="C25992" s="1" t="s">
        <v>7760</v>
      </c>
      <c r="D25992" s="1" t="s">
        <v>7762</v>
      </c>
    </row>
    <row r="25993">
      <c r="A25993" s="1" t="s">
        <v>40122</v>
      </c>
      <c r="B25993" s="2" t="s">
        <v>40123</v>
      </c>
      <c r="C25993" s="1" t="s">
        <v>7760</v>
      </c>
      <c r="D25993" s="1" t="s">
        <v>7762</v>
      </c>
    </row>
    <row r="25994">
      <c r="A25994" s="1" t="s">
        <v>40124</v>
      </c>
      <c r="B25994" s="2" t="s">
        <v>70</v>
      </c>
      <c r="C25994" s="1" t="s">
        <v>7760</v>
      </c>
      <c r="D25994" s="1" t="s">
        <v>7762</v>
      </c>
    </row>
    <row r="25995">
      <c r="A25995" s="1" t="s">
        <v>40125</v>
      </c>
      <c r="B25995" s="2" t="s">
        <v>15637</v>
      </c>
      <c r="C25995" s="1" t="s">
        <v>7760</v>
      </c>
      <c r="D25995" s="1" t="s">
        <v>7762</v>
      </c>
    </row>
    <row r="25996">
      <c r="A25996" s="1" t="s">
        <v>40126</v>
      </c>
      <c r="B25996" s="2" t="s">
        <v>40127</v>
      </c>
      <c r="C25996" s="1" t="s">
        <v>7760</v>
      </c>
      <c r="D25996" s="1" t="s">
        <v>7762</v>
      </c>
    </row>
    <row r="25997">
      <c r="A25997" s="1" t="s">
        <v>40128</v>
      </c>
      <c r="B25997" s="2" t="s">
        <v>40129</v>
      </c>
      <c r="C25997" s="1" t="s">
        <v>7760</v>
      </c>
      <c r="D25997" s="1" t="s">
        <v>7762</v>
      </c>
    </row>
    <row r="25998">
      <c r="A25998" s="1" t="s">
        <v>40130</v>
      </c>
      <c r="B25998" s="2" t="s">
        <v>15775</v>
      </c>
      <c r="C25998" s="1" t="s">
        <v>7760</v>
      </c>
      <c r="D25998" s="1" t="s">
        <v>7762</v>
      </c>
    </row>
    <row r="25999">
      <c r="A25999" s="1" t="s">
        <v>40131</v>
      </c>
      <c r="B25999" s="2" t="s">
        <v>40132</v>
      </c>
      <c r="C25999" s="1" t="s">
        <v>7760</v>
      </c>
      <c r="D25999" s="1" t="s">
        <v>7762</v>
      </c>
    </row>
    <row r="26000">
      <c r="A26000" s="1" t="s">
        <v>40133</v>
      </c>
      <c r="B26000" s="2" t="s">
        <v>40134</v>
      </c>
      <c r="C26000" s="1" t="s">
        <v>7760</v>
      </c>
      <c r="D26000" s="1" t="s">
        <v>7762</v>
      </c>
    </row>
    <row r="26001">
      <c r="A26001" s="1" t="s">
        <v>7764</v>
      </c>
      <c r="B26001" s="2" t="s">
        <v>7</v>
      </c>
      <c r="C26001" s="1" t="s">
        <v>7767</v>
      </c>
      <c r="D26001" s="1" t="s">
        <v>7768</v>
      </c>
    </row>
    <row r="26002">
      <c r="A26002" s="1" t="s">
        <v>40135</v>
      </c>
      <c r="B26002" s="2" t="s">
        <v>40136</v>
      </c>
      <c r="C26002" s="1" t="s">
        <v>7767</v>
      </c>
      <c r="D26002" s="1" t="s">
        <v>7768</v>
      </c>
    </row>
    <row r="26003">
      <c r="A26003" s="1" t="s">
        <v>40137</v>
      </c>
      <c r="B26003" s="2" t="s">
        <v>40138</v>
      </c>
      <c r="C26003" s="1" t="s">
        <v>7767</v>
      </c>
      <c r="D26003" s="1" t="s">
        <v>7768</v>
      </c>
    </row>
    <row r="26004">
      <c r="A26004" s="1" t="s">
        <v>40139</v>
      </c>
      <c r="B26004" s="2" t="s">
        <v>40140</v>
      </c>
      <c r="C26004" s="1" t="s">
        <v>7767</v>
      </c>
      <c r="D26004" s="1" t="s">
        <v>7768</v>
      </c>
    </row>
    <row r="26005">
      <c r="A26005" s="1" t="s">
        <v>40141</v>
      </c>
      <c r="B26005" s="2" t="s">
        <v>40142</v>
      </c>
      <c r="C26005" s="1" t="s">
        <v>7767</v>
      </c>
      <c r="D26005" s="1" t="s">
        <v>7768</v>
      </c>
    </row>
    <row r="26006">
      <c r="A26006" s="1" t="s">
        <v>40143</v>
      </c>
      <c r="B26006" s="2" t="s">
        <v>40144</v>
      </c>
      <c r="C26006" s="1" t="s">
        <v>7767</v>
      </c>
      <c r="D26006" s="1" t="s">
        <v>7768</v>
      </c>
    </row>
    <row r="26007">
      <c r="A26007" s="1" t="s">
        <v>40145</v>
      </c>
      <c r="B26007" s="2" t="s">
        <v>40146</v>
      </c>
      <c r="C26007" s="1" t="s">
        <v>7767</v>
      </c>
      <c r="D26007" s="1" t="s">
        <v>7768</v>
      </c>
    </row>
    <row r="26008">
      <c r="A26008" s="1" t="s">
        <v>40147</v>
      </c>
      <c r="B26008" s="2" t="s">
        <v>40148</v>
      </c>
      <c r="C26008" s="1" t="s">
        <v>7767</v>
      </c>
      <c r="D26008" s="1" t="s">
        <v>7768</v>
      </c>
    </row>
    <row r="26009">
      <c r="A26009" s="1" t="s">
        <v>40149</v>
      </c>
      <c r="B26009" s="2" t="s">
        <v>40150</v>
      </c>
      <c r="C26009" s="1" t="s">
        <v>7767</v>
      </c>
      <c r="D26009" s="1" t="s">
        <v>7768</v>
      </c>
    </row>
    <row r="26010">
      <c r="A26010" s="1" t="s">
        <v>40151</v>
      </c>
      <c r="B26010" s="2" t="s">
        <v>40152</v>
      </c>
      <c r="C26010" s="1" t="s">
        <v>7767</v>
      </c>
      <c r="D26010" s="1" t="s">
        <v>7768</v>
      </c>
    </row>
    <row r="26011">
      <c r="A26011" s="1" t="s">
        <v>40153</v>
      </c>
      <c r="B26011" s="2" t="s">
        <v>40154</v>
      </c>
      <c r="C26011" s="1" t="s">
        <v>7767</v>
      </c>
      <c r="D26011" s="1" t="s">
        <v>7768</v>
      </c>
    </row>
    <row r="26012">
      <c r="A26012" s="1" t="s">
        <v>7772</v>
      </c>
      <c r="B26012" s="2" t="s">
        <v>7</v>
      </c>
      <c r="C26012" s="1" t="s">
        <v>7775</v>
      </c>
      <c r="D26012" s="1" t="s">
        <v>7776</v>
      </c>
    </row>
    <row r="26013">
      <c r="A26013" s="1" t="s">
        <v>40155</v>
      </c>
      <c r="B26013" s="2" t="s">
        <v>40156</v>
      </c>
      <c r="C26013" s="1" t="s">
        <v>7775</v>
      </c>
      <c r="D26013" s="1" t="s">
        <v>7776</v>
      </c>
    </row>
    <row r="26014">
      <c r="A26014" s="1" t="s">
        <v>40157</v>
      </c>
      <c r="B26014" s="2" t="s">
        <v>40158</v>
      </c>
      <c r="C26014" s="1" t="s">
        <v>7775</v>
      </c>
      <c r="D26014" s="1" t="s">
        <v>7776</v>
      </c>
    </row>
    <row r="26015">
      <c r="A26015" s="1" t="s">
        <v>40159</v>
      </c>
      <c r="B26015" s="2" t="s">
        <v>40160</v>
      </c>
      <c r="C26015" s="1" t="s">
        <v>7775</v>
      </c>
      <c r="D26015" s="1" t="s">
        <v>7776</v>
      </c>
    </row>
    <row r="26016">
      <c r="A26016" s="1" t="s">
        <v>40161</v>
      </c>
      <c r="B26016" s="2" t="s">
        <v>40162</v>
      </c>
      <c r="C26016" s="1" t="s">
        <v>7775</v>
      </c>
      <c r="D26016" s="1" t="s">
        <v>7776</v>
      </c>
    </row>
    <row r="26017">
      <c r="A26017" s="1" t="s">
        <v>40163</v>
      </c>
      <c r="B26017" s="2" t="s">
        <v>40164</v>
      </c>
      <c r="C26017" s="1" t="s">
        <v>7775</v>
      </c>
      <c r="D26017" s="1" t="s">
        <v>7776</v>
      </c>
    </row>
    <row r="26018">
      <c r="A26018" s="1" t="s">
        <v>40165</v>
      </c>
      <c r="B26018" s="2" t="s">
        <v>40166</v>
      </c>
      <c r="C26018" s="1" t="s">
        <v>7775</v>
      </c>
      <c r="D26018" s="1" t="s">
        <v>7776</v>
      </c>
    </row>
    <row r="26019">
      <c r="A26019" s="1" t="s">
        <v>40167</v>
      </c>
      <c r="B26019" s="2" t="s">
        <v>40168</v>
      </c>
      <c r="C26019" s="1" t="s">
        <v>7775</v>
      </c>
      <c r="D26019" s="1" t="s">
        <v>7776</v>
      </c>
    </row>
    <row r="26020">
      <c r="A26020" s="1" t="s">
        <v>40169</v>
      </c>
      <c r="B26020" s="2" t="s">
        <v>40170</v>
      </c>
      <c r="C26020" s="1" t="s">
        <v>7775</v>
      </c>
      <c r="D26020" s="1" t="s">
        <v>7776</v>
      </c>
    </row>
    <row r="26021">
      <c r="A26021" s="1" t="s">
        <v>40171</v>
      </c>
      <c r="B26021" s="2" t="s">
        <v>40172</v>
      </c>
      <c r="C26021" s="1" t="s">
        <v>7775</v>
      </c>
      <c r="D26021" s="1" t="s">
        <v>7776</v>
      </c>
    </row>
    <row r="26022">
      <c r="A26022" s="1" t="s">
        <v>40173</v>
      </c>
      <c r="B26022" s="2" t="s">
        <v>40174</v>
      </c>
      <c r="C26022" s="1" t="s">
        <v>7775</v>
      </c>
      <c r="D26022" s="1" t="s">
        <v>7776</v>
      </c>
    </row>
    <row r="26023">
      <c r="A26023" s="1" t="s">
        <v>40175</v>
      </c>
      <c r="B26023" s="2" t="s">
        <v>40176</v>
      </c>
      <c r="C26023" s="1" t="s">
        <v>7775</v>
      </c>
      <c r="D26023" s="1" t="s">
        <v>7776</v>
      </c>
    </row>
    <row r="26024">
      <c r="A26024" s="1" t="s">
        <v>40177</v>
      </c>
      <c r="B26024" s="2" t="s">
        <v>40178</v>
      </c>
      <c r="C26024" s="1" t="s">
        <v>7775</v>
      </c>
      <c r="D26024" s="1" t="s">
        <v>7776</v>
      </c>
    </row>
    <row r="26025">
      <c r="A26025" s="1" t="s">
        <v>7781</v>
      </c>
      <c r="B26025" s="2" t="s">
        <v>7</v>
      </c>
      <c r="C26025" s="1" t="s">
        <v>7783</v>
      </c>
      <c r="D26025" s="1" t="s">
        <v>7784</v>
      </c>
    </row>
    <row r="26026">
      <c r="A26026" s="1" t="s">
        <v>40179</v>
      </c>
      <c r="B26026" s="2" t="s">
        <v>40180</v>
      </c>
      <c r="C26026" s="1" t="s">
        <v>7783</v>
      </c>
      <c r="D26026" s="1" t="s">
        <v>7784</v>
      </c>
    </row>
    <row r="26027">
      <c r="A26027" s="1" t="s">
        <v>40181</v>
      </c>
      <c r="B26027" s="2" t="s">
        <v>40182</v>
      </c>
      <c r="C26027" s="1" t="s">
        <v>7783</v>
      </c>
      <c r="D26027" s="1" t="s">
        <v>7784</v>
      </c>
    </row>
    <row r="26028">
      <c r="A26028" s="1" t="s">
        <v>40183</v>
      </c>
      <c r="B26028" s="2" t="s">
        <v>40184</v>
      </c>
      <c r="C26028" s="1" t="s">
        <v>7783</v>
      </c>
      <c r="D26028" s="1" t="s">
        <v>7784</v>
      </c>
    </row>
    <row r="26029">
      <c r="A26029" s="1" t="s">
        <v>40185</v>
      </c>
      <c r="B26029" s="2" t="s">
        <v>40186</v>
      </c>
      <c r="C26029" s="1" t="s">
        <v>7783</v>
      </c>
      <c r="D26029" s="1" t="s">
        <v>7784</v>
      </c>
    </row>
    <row r="26030">
      <c r="A26030" s="1" t="s">
        <v>40187</v>
      </c>
      <c r="B26030" s="2" t="s">
        <v>40188</v>
      </c>
      <c r="C26030" s="1" t="s">
        <v>7783</v>
      </c>
      <c r="D26030" s="1" t="s">
        <v>7784</v>
      </c>
    </row>
    <row r="26031">
      <c r="A26031" s="1" t="s">
        <v>7788</v>
      </c>
      <c r="B26031" s="2" t="s">
        <v>7</v>
      </c>
      <c r="C26031" s="1" t="s">
        <v>7790</v>
      </c>
      <c r="D26031" s="1" t="s">
        <v>7792</v>
      </c>
    </row>
    <row r="26032">
      <c r="A26032" s="1" t="s">
        <v>40189</v>
      </c>
      <c r="B26032" s="2" t="s">
        <v>34043</v>
      </c>
      <c r="C26032" s="1" t="s">
        <v>7790</v>
      </c>
      <c r="D26032" s="1" t="s">
        <v>7792</v>
      </c>
    </row>
    <row r="26033">
      <c r="A26033" s="1" t="s">
        <v>40190</v>
      </c>
      <c r="B26033" s="2" t="s">
        <v>40191</v>
      </c>
      <c r="C26033" s="1" t="s">
        <v>7790</v>
      </c>
      <c r="D26033" s="1" t="s">
        <v>7792</v>
      </c>
    </row>
    <row r="26034">
      <c r="A26034" s="1" t="s">
        <v>40192</v>
      </c>
      <c r="B26034" s="2" t="s">
        <v>40193</v>
      </c>
      <c r="C26034" s="1" t="s">
        <v>7790</v>
      </c>
      <c r="D26034" s="1" t="s">
        <v>7792</v>
      </c>
    </row>
    <row r="26035">
      <c r="A26035" s="1" t="s">
        <v>40194</v>
      </c>
      <c r="B26035" s="2" t="s">
        <v>40195</v>
      </c>
      <c r="C26035" s="1" t="s">
        <v>7790</v>
      </c>
      <c r="D26035" s="1" t="s">
        <v>7792</v>
      </c>
    </row>
    <row r="26036">
      <c r="A26036" s="1" t="s">
        <v>40196</v>
      </c>
      <c r="B26036" s="2" t="s">
        <v>34061</v>
      </c>
      <c r="C26036" s="1" t="s">
        <v>7790</v>
      </c>
      <c r="D26036" s="1" t="s">
        <v>7792</v>
      </c>
    </row>
    <row r="26037">
      <c r="A26037" s="1" t="s">
        <v>40197</v>
      </c>
      <c r="B26037" s="2" t="s">
        <v>40198</v>
      </c>
      <c r="C26037" s="1" t="s">
        <v>7790</v>
      </c>
      <c r="D26037" s="1" t="s">
        <v>7792</v>
      </c>
    </row>
    <row r="26038">
      <c r="A26038" s="1" t="s">
        <v>40199</v>
      </c>
      <c r="B26038" s="2" t="s">
        <v>40200</v>
      </c>
      <c r="C26038" s="1" t="s">
        <v>7790</v>
      </c>
      <c r="D26038" s="1" t="s">
        <v>7792</v>
      </c>
    </row>
    <row r="26039">
      <c r="A26039" s="1" t="s">
        <v>40201</v>
      </c>
      <c r="B26039" s="2" t="s">
        <v>40202</v>
      </c>
      <c r="C26039" s="1" t="s">
        <v>7790</v>
      </c>
      <c r="D26039" s="1" t="s">
        <v>7792</v>
      </c>
    </row>
    <row r="26040">
      <c r="A26040" s="1" t="s">
        <v>40203</v>
      </c>
      <c r="B26040" s="2" t="s">
        <v>34079</v>
      </c>
      <c r="C26040" s="1" t="s">
        <v>7790</v>
      </c>
      <c r="D26040" s="1" t="s">
        <v>7792</v>
      </c>
    </row>
    <row r="26041">
      <c r="A26041" s="1" t="s">
        <v>40204</v>
      </c>
      <c r="B26041" s="2" t="s">
        <v>40205</v>
      </c>
      <c r="C26041" s="1" t="s">
        <v>7790</v>
      </c>
      <c r="D26041" s="1" t="s">
        <v>7792</v>
      </c>
    </row>
    <row r="26042">
      <c r="A26042" s="1" t="s">
        <v>40206</v>
      </c>
      <c r="B26042" s="2" t="s">
        <v>40207</v>
      </c>
      <c r="C26042" s="1" t="s">
        <v>7790</v>
      </c>
      <c r="D26042" s="1" t="s">
        <v>7792</v>
      </c>
    </row>
    <row r="26043">
      <c r="A26043" s="1" t="s">
        <v>40208</v>
      </c>
      <c r="B26043" s="2" t="s">
        <v>40209</v>
      </c>
      <c r="C26043" s="1" t="s">
        <v>7790</v>
      </c>
      <c r="D26043" s="1" t="s">
        <v>7792</v>
      </c>
    </row>
    <row r="26044">
      <c r="A26044" s="1" t="s">
        <v>40210</v>
      </c>
      <c r="B26044" s="2" t="s">
        <v>34097</v>
      </c>
      <c r="C26044" s="1" t="s">
        <v>7790</v>
      </c>
      <c r="D26044" s="1" t="s">
        <v>7792</v>
      </c>
    </row>
    <row r="26045">
      <c r="A26045" s="1" t="s">
        <v>40211</v>
      </c>
      <c r="B26045" s="2" t="s">
        <v>40212</v>
      </c>
      <c r="C26045" s="1" t="s">
        <v>7790</v>
      </c>
      <c r="D26045" s="1" t="s">
        <v>7792</v>
      </c>
    </row>
    <row r="26046">
      <c r="A26046" s="1" t="s">
        <v>40213</v>
      </c>
      <c r="B26046" s="2" t="s">
        <v>40214</v>
      </c>
      <c r="C26046" s="1" t="s">
        <v>7790</v>
      </c>
      <c r="D26046" s="1" t="s">
        <v>7792</v>
      </c>
    </row>
    <row r="26047">
      <c r="A26047" s="1" t="s">
        <v>40215</v>
      </c>
      <c r="B26047" s="2" t="s">
        <v>40216</v>
      </c>
      <c r="C26047" s="1" t="s">
        <v>7790</v>
      </c>
      <c r="D26047" s="1" t="s">
        <v>7792</v>
      </c>
    </row>
    <row r="26048">
      <c r="A26048" s="1" t="s">
        <v>40217</v>
      </c>
      <c r="B26048" s="2" t="s">
        <v>34115</v>
      </c>
      <c r="C26048" s="1" t="s">
        <v>7790</v>
      </c>
      <c r="D26048" s="1" t="s">
        <v>7792</v>
      </c>
    </row>
    <row r="26049">
      <c r="A26049" s="1" t="s">
        <v>40218</v>
      </c>
      <c r="B26049" s="2" t="s">
        <v>40219</v>
      </c>
      <c r="C26049" s="1" t="s">
        <v>7790</v>
      </c>
      <c r="D26049" s="1" t="s">
        <v>7792</v>
      </c>
    </row>
    <row r="26050">
      <c r="A26050" s="1" t="s">
        <v>40220</v>
      </c>
      <c r="B26050" s="2" t="s">
        <v>40221</v>
      </c>
      <c r="C26050" s="1" t="s">
        <v>7790</v>
      </c>
      <c r="D26050" s="1" t="s">
        <v>7792</v>
      </c>
    </row>
    <row r="26051">
      <c r="A26051" s="1" t="s">
        <v>40222</v>
      </c>
      <c r="B26051" s="2" t="s">
        <v>40223</v>
      </c>
      <c r="C26051" s="1" t="s">
        <v>7790</v>
      </c>
      <c r="D26051" s="1" t="s">
        <v>7792</v>
      </c>
    </row>
    <row r="26052">
      <c r="A26052" s="1" t="s">
        <v>40224</v>
      </c>
      <c r="B26052" s="2" t="s">
        <v>40225</v>
      </c>
      <c r="C26052" s="1" t="s">
        <v>7790</v>
      </c>
      <c r="D26052" s="1" t="s">
        <v>7792</v>
      </c>
    </row>
    <row r="26053">
      <c r="A26053" s="1" t="s">
        <v>40226</v>
      </c>
      <c r="B26053" s="2" t="s">
        <v>40227</v>
      </c>
      <c r="C26053" s="1" t="s">
        <v>7790</v>
      </c>
      <c r="D26053" s="1" t="s">
        <v>7792</v>
      </c>
    </row>
    <row r="26054">
      <c r="A26054" s="1" t="s">
        <v>40228</v>
      </c>
      <c r="B26054" s="2" t="s">
        <v>40229</v>
      </c>
      <c r="C26054" s="1" t="s">
        <v>7790</v>
      </c>
      <c r="D26054" s="1" t="s">
        <v>7792</v>
      </c>
    </row>
    <row r="26055">
      <c r="A26055" s="1" t="s">
        <v>40230</v>
      </c>
      <c r="B26055" s="2" t="s">
        <v>40231</v>
      </c>
      <c r="C26055" s="1" t="s">
        <v>7790</v>
      </c>
      <c r="D26055" s="1" t="s">
        <v>7792</v>
      </c>
    </row>
    <row r="26056">
      <c r="A26056" s="1" t="s">
        <v>7797</v>
      </c>
      <c r="B26056" s="2" t="s">
        <v>7</v>
      </c>
      <c r="C26056" s="1" t="s">
        <v>7799</v>
      </c>
      <c r="D26056" s="1" t="s">
        <v>7801</v>
      </c>
    </row>
    <row r="26057">
      <c r="A26057" s="1" t="s">
        <v>40232</v>
      </c>
      <c r="B26057" s="2" t="s">
        <v>20244</v>
      </c>
      <c r="C26057" s="1" t="s">
        <v>7799</v>
      </c>
      <c r="D26057" s="1" t="s">
        <v>7801</v>
      </c>
    </row>
    <row r="26058">
      <c r="A26058" s="1" t="s">
        <v>40233</v>
      </c>
      <c r="B26058" s="2" t="s">
        <v>40234</v>
      </c>
      <c r="C26058" s="1" t="s">
        <v>7799</v>
      </c>
      <c r="D26058" s="1" t="s">
        <v>7801</v>
      </c>
    </row>
    <row r="26059">
      <c r="A26059" s="1" t="s">
        <v>40235</v>
      </c>
      <c r="B26059" s="2" t="s">
        <v>40236</v>
      </c>
      <c r="C26059" s="1" t="s">
        <v>7799</v>
      </c>
      <c r="D26059" s="1" t="s">
        <v>7801</v>
      </c>
    </row>
    <row r="26060">
      <c r="A26060" s="1" t="s">
        <v>40237</v>
      </c>
      <c r="B26060" s="2" t="s">
        <v>40238</v>
      </c>
      <c r="C26060" s="1" t="s">
        <v>7799</v>
      </c>
      <c r="D26060" s="1" t="s">
        <v>7801</v>
      </c>
    </row>
    <row r="26061">
      <c r="A26061" s="1" t="s">
        <v>40239</v>
      </c>
      <c r="B26061" s="2" t="s">
        <v>40240</v>
      </c>
      <c r="C26061" s="1" t="s">
        <v>7799</v>
      </c>
      <c r="D26061" s="1" t="s">
        <v>7801</v>
      </c>
    </row>
    <row r="26062">
      <c r="A26062" s="1" t="s">
        <v>40241</v>
      </c>
      <c r="B26062" s="2" t="s">
        <v>40242</v>
      </c>
      <c r="C26062" s="1" t="s">
        <v>7799</v>
      </c>
      <c r="D26062" s="1" t="s">
        <v>7801</v>
      </c>
    </row>
    <row r="26063">
      <c r="A26063" s="1" t="s">
        <v>40243</v>
      </c>
      <c r="B26063" s="2" t="s">
        <v>17038</v>
      </c>
      <c r="C26063" s="1" t="s">
        <v>7799</v>
      </c>
      <c r="D26063" s="1" t="s">
        <v>7801</v>
      </c>
    </row>
    <row r="26064">
      <c r="A26064" s="1" t="s">
        <v>40244</v>
      </c>
      <c r="B26064" s="2" t="s">
        <v>40245</v>
      </c>
      <c r="C26064" s="1" t="s">
        <v>7799</v>
      </c>
      <c r="D26064" s="1" t="s">
        <v>7801</v>
      </c>
    </row>
    <row r="26065">
      <c r="A26065" s="1" t="s">
        <v>40246</v>
      </c>
      <c r="B26065" s="2" t="s">
        <v>40247</v>
      </c>
      <c r="C26065" s="1" t="s">
        <v>7799</v>
      </c>
      <c r="D26065" s="1" t="s">
        <v>7801</v>
      </c>
    </row>
    <row r="26066">
      <c r="A26066" s="1" t="s">
        <v>40248</v>
      </c>
      <c r="B26066" s="2" t="s">
        <v>40249</v>
      </c>
      <c r="C26066" s="1" t="s">
        <v>7799</v>
      </c>
      <c r="D26066" s="1" t="s">
        <v>7801</v>
      </c>
    </row>
    <row r="26067">
      <c r="A26067" s="1" t="s">
        <v>40250</v>
      </c>
      <c r="B26067" s="2" t="s">
        <v>40251</v>
      </c>
      <c r="C26067" s="1" t="s">
        <v>7799</v>
      </c>
      <c r="D26067" s="1" t="s">
        <v>7801</v>
      </c>
    </row>
    <row r="26068">
      <c r="A26068" s="1" t="s">
        <v>40252</v>
      </c>
      <c r="B26068" s="2" t="s">
        <v>40253</v>
      </c>
      <c r="C26068" s="1" t="s">
        <v>7799</v>
      </c>
      <c r="D26068" s="1" t="s">
        <v>7801</v>
      </c>
    </row>
    <row r="26069">
      <c r="A26069" s="1" t="s">
        <v>40254</v>
      </c>
      <c r="B26069" s="2" t="s">
        <v>13730</v>
      </c>
      <c r="C26069" s="1" t="s">
        <v>7799</v>
      </c>
      <c r="D26069" s="1" t="s">
        <v>7801</v>
      </c>
    </row>
    <row r="26070">
      <c r="A26070" s="1" t="s">
        <v>40255</v>
      </c>
      <c r="B26070" s="2" t="s">
        <v>40256</v>
      </c>
      <c r="C26070" s="1" t="s">
        <v>7799</v>
      </c>
      <c r="D26070" s="1" t="s">
        <v>7801</v>
      </c>
    </row>
    <row r="26071">
      <c r="A26071" s="1" t="s">
        <v>40257</v>
      </c>
      <c r="B26071" s="2" t="s">
        <v>40258</v>
      </c>
      <c r="C26071" s="1" t="s">
        <v>7799</v>
      </c>
      <c r="D26071" s="1" t="s">
        <v>7801</v>
      </c>
    </row>
    <row r="26072">
      <c r="A26072" s="1" t="s">
        <v>40259</v>
      </c>
      <c r="B26072" s="2" t="s">
        <v>40260</v>
      </c>
      <c r="C26072" s="1" t="s">
        <v>7799</v>
      </c>
      <c r="D26072" s="1" t="s">
        <v>7801</v>
      </c>
    </row>
    <row r="26073">
      <c r="A26073" s="1" t="s">
        <v>40261</v>
      </c>
      <c r="B26073" s="2" t="s">
        <v>40262</v>
      </c>
      <c r="C26073" s="1" t="s">
        <v>7799</v>
      </c>
      <c r="D26073" s="1" t="s">
        <v>7801</v>
      </c>
    </row>
    <row r="26074">
      <c r="A26074" s="1" t="s">
        <v>40263</v>
      </c>
      <c r="B26074" s="2" t="s">
        <v>40264</v>
      </c>
      <c r="C26074" s="1" t="s">
        <v>7799</v>
      </c>
      <c r="D26074" s="1" t="s">
        <v>7801</v>
      </c>
    </row>
    <row r="26075">
      <c r="A26075" s="1" t="s">
        <v>7806</v>
      </c>
      <c r="B26075" s="2" t="s">
        <v>7</v>
      </c>
      <c r="C26075" s="1" t="s">
        <v>7808</v>
      </c>
      <c r="D26075" s="1" t="s">
        <v>7810</v>
      </c>
    </row>
    <row r="26076">
      <c r="A26076" s="1" t="s">
        <v>40265</v>
      </c>
      <c r="B26076" s="2" t="s">
        <v>40266</v>
      </c>
      <c r="C26076" s="1" t="s">
        <v>7808</v>
      </c>
      <c r="D26076" s="1" t="s">
        <v>7810</v>
      </c>
    </row>
    <row r="26077">
      <c r="A26077" s="1" t="s">
        <v>40267</v>
      </c>
      <c r="B26077" s="2" t="s">
        <v>40268</v>
      </c>
      <c r="C26077" s="1" t="s">
        <v>7808</v>
      </c>
      <c r="D26077" s="1" t="s">
        <v>7810</v>
      </c>
    </row>
    <row r="26078">
      <c r="A26078" s="1" t="s">
        <v>40269</v>
      </c>
      <c r="B26078" s="2" t="s">
        <v>40270</v>
      </c>
      <c r="C26078" s="1" t="s">
        <v>7808</v>
      </c>
      <c r="D26078" s="1" t="s">
        <v>7810</v>
      </c>
    </row>
    <row r="26079">
      <c r="A26079" s="1" t="s">
        <v>40271</v>
      </c>
      <c r="B26079" s="2" t="s">
        <v>40272</v>
      </c>
      <c r="C26079" s="1" t="s">
        <v>7808</v>
      </c>
      <c r="D26079" s="1" t="s">
        <v>7810</v>
      </c>
    </row>
    <row r="26080">
      <c r="A26080" s="1" t="s">
        <v>40273</v>
      </c>
      <c r="B26080" s="2" t="s">
        <v>40274</v>
      </c>
      <c r="C26080" s="1" t="s">
        <v>7808</v>
      </c>
      <c r="D26080" s="1" t="s">
        <v>7810</v>
      </c>
    </row>
    <row r="26081">
      <c r="A26081" s="1" t="s">
        <v>40275</v>
      </c>
      <c r="B26081" s="2" t="s">
        <v>40276</v>
      </c>
      <c r="C26081" s="1" t="s">
        <v>7808</v>
      </c>
      <c r="D26081" s="1" t="s">
        <v>7810</v>
      </c>
    </row>
    <row r="26082">
      <c r="A26082" s="1" t="s">
        <v>40277</v>
      </c>
      <c r="B26082" s="2" t="s">
        <v>40278</v>
      </c>
      <c r="C26082" s="1" t="s">
        <v>7808</v>
      </c>
      <c r="D26082" s="1" t="s">
        <v>7810</v>
      </c>
    </row>
    <row r="26083">
      <c r="A26083" s="1" t="s">
        <v>40279</v>
      </c>
      <c r="B26083" s="2" t="s">
        <v>40280</v>
      </c>
      <c r="C26083" s="1" t="s">
        <v>7808</v>
      </c>
      <c r="D26083" s="1" t="s">
        <v>7810</v>
      </c>
    </row>
    <row r="26084">
      <c r="A26084" s="1" t="s">
        <v>40281</v>
      </c>
      <c r="B26084" s="2" t="s">
        <v>40282</v>
      </c>
      <c r="C26084" s="1" t="s">
        <v>7808</v>
      </c>
      <c r="D26084" s="1" t="s">
        <v>7810</v>
      </c>
    </row>
    <row r="26085">
      <c r="A26085" s="1" t="s">
        <v>40283</v>
      </c>
      <c r="B26085" s="2" t="s">
        <v>40284</v>
      </c>
      <c r="C26085" s="1" t="s">
        <v>7808</v>
      </c>
      <c r="D26085" s="1" t="s">
        <v>7810</v>
      </c>
    </row>
    <row r="26086">
      <c r="A26086" s="1" t="s">
        <v>40285</v>
      </c>
      <c r="B26086" s="2" t="s">
        <v>40286</v>
      </c>
      <c r="C26086" s="1" t="s">
        <v>7808</v>
      </c>
      <c r="D26086" s="1" t="s">
        <v>7810</v>
      </c>
    </row>
    <row r="26087">
      <c r="A26087" s="1" t="s">
        <v>40287</v>
      </c>
      <c r="B26087" s="2" t="s">
        <v>40288</v>
      </c>
      <c r="C26087" s="1" t="s">
        <v>7808</v>
      </c>
      <c r="D26087" s="1" t="s">
        <v>7810</v>
      </c>
    </row>
    <row r="26088">
      <c r="A26088" s="1" t="s">
        <v>40289</v>
      </c>
      <c r="B26088" s="2" t="s">
        <v>17571</v>
      </c>
      <c r="C26088" s="1" t="s">
        <v>7808</v>
      </c>
      <c r="D26088" s="1" t="s">
        <v>7810</v>
      </c>
    </row>
    <row r="26089">
      <c r="A26089" s="1" t="s">
        <v>40290</v>
      </c>
      <c r="B26089" s="2" t="s">
        <v>40291</v>
      </c>
      <c r="C26089" s="1" t="s">
        <v>7808</v>
      </c>
      <c r="D26089" s="1" t="s">
        <v>7810</v>
      </c>
    </row>
    <row r="26090">
      <c r="A26090" s="1" t="s">
        <v>40292</v>
      </c>
      <c r="B26090" s="2" t="s">
        <v>40293</v>
      </c>
      <c r="C26090" s="1" t="s">
        <v>7808</v>
      </c>
      <c r="D26090" s="1" t="s">
        <v>7810</v>
      </c>
    </row>
    <row r="26091">
      <c r="A26091" s="1" t="s">
        <v>40294</v>
      </c>
      <c r="B26091" s="2" t="s">
        <v>40295</v>
      </c>
      <c r="C26091" s="1" t="s">
        <v>7808</v>
      </c>
      <c r="D26091" s="1" t="s">
        <v>7810</v>
      </c>
    </row>
    <row r="26092">
      <c r="A26092" s="1" t="s">
        <v>40296</v>
      </c>
      <c r="B26092" s="2" t="s">
        <v>40297</v>
      </c>
      <c r="C26092" s="1" t="s">
        <v>7808</v>
      </c>
      <c r="D26092" s="1" t="s">
        <v>7810</v>
      </c>
    </row>
    <row r="26093">
      <c r="A26093" s="1" t="s">
        <v>40298</v>
      </c>
      <c r="B26093" s="2" t="s">
        <v>40299</v>
      </c>
      <c r="C26093" s="1" t="s">
        <v>7808</v>
      </c>
      <c r="D26093" s="1" t="s">
        <v>7810</v>
      </c>
    </row>
    <row r="26094">
      <c r="A26094" s="1" t="s">
        <v>7816</v>
      </c>
      <c r="B26094" s="2" t="s">
        <v>7</v>
      </c>
      <c r="C26094" s="1" t="s">
        <v>7818</v>
      </c>
      <c r="D26094" s="1" t="s">
        <v>7820</v>
      </c>
    </row>
    <row r="26095">
      <c r="A26095" s="1" t="s">
        <v>40300</v>
      </c>
      <c r="B26095" s="2" t="s">
        <v>40301</v>
      </c>
      <c r="C26095" s="1" t="s">
        <v>7818</v>
      </c>
      <c r="D26095" s="1" t="s">
        <v>7820</v>
      </c>
    </row>
    <row r="26096">
      <c r="A26096" s="1" t="s">
        <v>40302</v>
      </c>
      <c r="B26096" s="2" t="s">
        <v>40303</v>
      </c>
      <c r="C26096" s="1" t="s">
        <v>7818</v>
      </c>
      <c r="D26096" s="1" t="s">
        <v>7820</v>
      </c>
    </row>
    <row r="26097">
      <c r="A26097" s="1" t="s">
        <v>40304</v>
      </c>
      <c r="B26097" s="2" t="s">
        <v>40305</v>
      </c>
      <c r="C26097" s="1" t="s">
        <v>7818</v>
      </c>
      <c r="D26097" s="1" t="s">
        <v>7820</v>
      </c>
    </row>
    <row r="26098">
      <c r="A26098" s="1" t="s">
        <v>40306</v>
      </c>
      <c r="B26098" s="2" t="s">
        <v>40307</v>
      </c>
      <c r="C26098" s="1" t="s">
        <v>7818</v>
      </c>
      <c r="D26098" s="1" t="s">
        <v>7820</v>
      </c>
    </row>
    <row r="26099">
      <c r="A26099" s="1" t="s">
        <v>40308</v>
      </c>
      <c r="B26099" s="2" t="s">
        <v>40309</v>
      </c>
      <c r="C26099" s="1" t="s">
        <v>7818</v>
      </c>
      <c r="D26099" s="1" t="s">
        <v>7820</v>
      </c>
    </row>
    <row r="26100">
      <c r="A26100" s="1" t="s">
        <v>40310</v>
      </c>
      <c r="B26100" s="2" t="s">
        <v>40311</v>
      </c>
      <c r="C26100" s="1" t="s">
        <v>7818</v>
      </c>
      <c r="D26100" s="1" t="s">
        <v>7820</v>
      </c>
    </row>
    <row r="26101">
      <c r="A26101" s="1" t="s">
        <v>40312</v>
      </c>
      <c r="B26101" s="2" t="s">
        <v>40313</v>
      </c>
      <c r="C26101" s="1" t="s">
        <v>7818</v>
      </c>
      <c r="D26101" s="1" t="s">
        <v>7820</v>
      </c>
    </row>
    <row r="26102">
      <c r="A26102" s="1" t="s">
        <v>40314</v>
      </c>
      <c r="B26102" s="2" t="s">
        <v>40315</v>
      </c>
      <c r="C26102" s="1" t="s">
        <v>7818</v>
      </c>
      <c r="D26102" s="1" t="s">
        <v>7820</v>
      </c>
    </row>
    <row r="26103">
      <c r="A26103" s="1" t="s">
        <v>40316</v>
      </c>
      <c r="B26103" s="2" t="s">
        <v>40317</v>
      </c>
      <c r="C26103" s="1" t="s">
        <v>7818</v>
      </c>
      <c r="D26103" s="1" t="s">
        <v>7820</v>
      </c>
    </row>
    <row r="26104">
      <c r="A26104" s="1" t="s">
        <v>40318</v>
      </c>
      <c r="B26104" s="2" t="s">
        <v>40319</v>
      </c>
      <c r="C26104" s="1" t="s">
        <v>7818</v>
      </c>
      <c r="D26104" s="1" t="s">
        <v>7820</v>
      </c>
    </row>
    <row r="26105">
      <c r="A26105" s="1" t="s">
        <v>40320</v>
      </c>
      <c r="B26105" s="2" t="s">
        <v>40321</v>
      </c>
      <c r="C26105" s="1" t="s">
        <v>7818</v>
      </c>
      <c r="D26105" s="1" t="s">
        <v>7820</v>
      </c>
    </row>
    <row r="26106">
      <c r="A26106" s="1" t="s">
        <v>40322</v>
      </c>
      <c r="B26106" s="2" t="s">
        <v>40323</v>
      </c>
      <c r="C26106" s="1" t="s">
        <v>7818</v>
      </c>
      <c r="D26106" s="1" t="s">
        <v>7820</v>
      </c>
    </row>
    <row r="26107">
      <c r="A26107" s="1" t="s">
        <v>40324</v>
      </c>
      <c r="B26107" s="2" t="s">
        <v>40325</v>
      </c>
      <c r="C26107" s="1" t="s">
        <v>7818</v>
      </c>
      <c r="D26107" s="1" t="s">
        <v>7820</v>
      </c>
    </row>
    <row r="26108">
      <c r="A26108" s="1" t="s">
        <v>40326</v>
      </c>
      <c r="B26108" s="2" t="s">
        <v>13974</v>
      </c>
      <c r="C26108" s="1" t="s">
        <v>7818</v>
      </c>
      <c r="D26108" s="1" t="s">
        <v>7820</v>
      </c>
    </row>
    <row r="26109">
      <c r="A26109" s="1" t="s">
        <v>40327</v>
      </c>
      <c r="B26109" s="2" t="s">
        <v>40328</v>
      </c>
      <c r="C26109" s="1" t="s">
        <v>7818</v>
      </c>
      <c r="D26109" s="1" t="s">
        <v>7820</v>
      </c>
    </row>
    <row r="26110">
      <c r="A26110" s="1" t="s">
        <v>40329</v>
      </c>
      <c r="B26110" s="2" t="s">
        <v>40330</v>
      </c>
      <c r="C26110" s="1" t="s">
        <v>7818</v>
      </c>
      <c r="D26110" s="1" t="s">
        <v>7820</v>
      </c>
    </row>
    <row r="26111">
      <c r="A26111" s="1" t="s">
        <v>40331</v>
      </c>
      <c r="B26111" s="2" t="s">
        <v>40332</v>
      </c>
      <c r="C26111" s="1" t="s">
        <v>7818</v>
      </c>
      <c r="D26111" s="1" t="s">
        <v>7820</v>
      </c>
    </row>
    <row r="26112">
      <c r="A26112" s="1" t="s">
        <v>40333</v>
      </c>
      <c r="B26112" s="2" t="s">
        <v>40334</v>
      </c>
      <c r="C26112" s="1" t="s">
        <v>7818</v>
      </c>
      <c r="D26112" s="1" t="s">
        <v>7820</v>
      </c>
    </row>
    <row r="26113">
      <c r="A26113" s="1" t="s">
        <v>40335</v>
      </c>
      <c r="B26113" s="2" t="s">
        <v>40336</v>
      </c>
      <c r="C26113" s="1" t="s">
        <v>7818</v>
      </c>
      <c r="D26113" s="1" t="s">
        <v>7820</v>
      </c>
    </row>
    <row r="26114">
      <c r="A26114" s="1" t="s">
        <v>7826</v>
      </c>
      <c r="B26114" s="2" t="s">
        <v>7</v>
      </c>
      <c r="C26114" s="1" t="s">
        <v>7783</v>
      </c>
      <c r="D26114" s="1" t="s">
        <v>7829</v>
      </c>
    </row>
    <row r="26115">
      <c r="A26115" s="1" t="s">
        <v>40337</v>
      </c>
      <c r="B26115" s="2" t="s">
        <v>40180</v>
      </c>
      <c r="C26115" s="1" t="s">
        <v>7783</v>
      </c>
      <c r="D26115" s="1" t="s">
        <v>7829</v>
      </c>
    </row>
    <row r="26116">
      <c r="A26116" s="1" t="s">
        <v>40338</v>
      </c>
      <c r="B26116" s="2" t="s">
        <v>40182</v>
      </c>
      <c r="C26116" s="1" t="s">
        <v>7783</v>
      </c>
      <c r="D26116" s="1" t="s">
        <v>7829</v>
      </c>
    </row>
    <row r="26117">
      <c r="A26117" s="1" t="s">
        <v>40339</v>
      </c>
      <c r="B26117" s="2" t="s">
        <v>40340</v>
      </c>
      <c r="C26117" s="1" t="s">
        <v>7783</v>
      </c>
      <c r="D26117" s="1" t="s">
        <v>7829</v>
      </c>
    </row>
    <row r="26118">
      <c r="A26118" s="1" t="s">
        <v>40341</v>
      </c>
      <c r="B26118" s="2" t="s">
        <v>40342</v>
      </c>
      <c r="C26118" s="1" t="s">
        <v>7783</v>
      </c>
      <c r="D26118" s="1" t="s">
        <v>7829</v>
      </c>
    </row>
    <row r="26119">
      <c r="A26119" s="1" t="s">
        <v>40343</v>
      </c>
      <c r="B26119" s="2" t="s">
        <v>40344</v>
      </c>
      <c r="C26119" s="1" t="s">
        <v>7783</v>
      </c>
      <c r="D26119" s="1" t="s">
        <v>7829</v>
      </c>
    </row>
    <row r="26120">
      <c r="A26120" s="1" t="s">
        <v>40345</v>
      </c>
      <c r="B26120" s="2" t="s">
        <v>40346</v>
      </c>
      <c r="C26120" s="1" t="s">
        <v>7783</v>
      </c>
      <c r="D26120" s="1" t="s">
        <v>7829</v>
      </c>
    </row>
    <row r="26121">
      <c r="A26121" s="1" t="s">
        <v>40347</v>
      </c>
      <c r="B26121" s="2" t="s">
        <v>40348</v>
      </c>
      <c r="C26121" s="1" t="s">
        <v>7783</v>
      </c>
      <c r="D26121" s="1" t="s">
        <v>7829</v>
      </c>
    </row>
    <row r="26122">
      <c r="A26122" s="1" t="s">
        <v>40349</v>
      </c>
      <c r="B26122" s="2" t="s">
        <v>40350</v>
      </c>
      <c r="C26122" s="1" t="s">
        <v>7783</v>
      </c>
      <c r="D26122" s="1" t="s">
        <v>7829</v>
      </c>
    </row>
    <row r="26123">
      <c r="A26123" s="1" t="s">
        <v>40351</v>
      </c>
      <c r="B26123" s="2" t="s">
        <v>40154</v>
      </c>
      <c r="C26123" s="1" t="s">
        <v>7783</v>
      </c>
      <c r="D26123" s="1" t="s">
        <v>7829</v>
      </c>
    </row>
    <row r="26124">
      <c r="A26124" s="1" t="s">
        <v>7834</v>
      </c>
      <c r="B26124" s="2" t="s">
        <v>7</v>
      </c>
      <c r="C26124" s="1" t="s">
        <v>7835</v>
      </c>
      <c r="D26124" s="1" t="s">
        <v>7836</v>
      </c>
    </row>
    <row r="26125">
      <c r="A26125" s="1" t="s">
        <v>40352</v>
      </c>
      <c r="B26125" s="2" t="s">
        <v>40180</v>
      </c>
      <c r="C26125" s="1" t="s">
        <v>7835</v>
      </c>
      <c r="D26125" s="1" t="s">
        <v>7836</v>
      </c>
    </row>
    <row r="26126">
      <c r="A26126" s="1" t="s">
        <v>40353</v>
      </c>
      <c r="B26126" s="2" t="s">
        <v>40182</v>
      </c>
      <c r="C26126" s="1" t="s">
        <v>7835</v>
      </c>
      <c r="D26126" s="1" t="s">
        <v>7836</v>
      </c>
    </row>
    <row r="26127">
      <c r="A26127" s="1" t="s">
        <v>40354</v>
      </c>
      <c r="B26127" s="2" t="s">
        <v>40184</v>
      </c>
      <c r="C26127" s="1" t="s">
        <v>7835</v>
      </c>
      <c r="D26127" s="1" t="s">
        <v>7836</v>
      </c>
    </row>
    <row r="26128">
      <c r="A26128" s="1" t="s">
        <v>40355</v>
      </c>
      <c r="B26128" s="2" t="s">
        <v>40186</v>
      </c>
      <c r="C26128" s="1" t="s">
        <v>7835</v>
      </c>
      <c r="D26128" s="1" t="s">
        <v>7836</v>
      </c>
    </row>
    <row r="26129">
      <c r="A26129" s="1" t="s">
        <v>40356</v>
      </c>
      <c r="B26129" s="2" t="s">
        <v>40154</v>
      </c>
      <c r="C26129" s="1" t="s">
        <v>7835</v>
      </c>
      <c r="D26129" s="1" t="s">
        <v>7836</v>
      </c>
    </row>
    <row r="26130">
      <c r="A26130" s="1" t="s">
        <v>7841</v>
      </c>
      <c r="B26130" s="2" t="s">
        <v>7</v>
      </c>
      <c r="C26130" s="1" t="s">
        <v>7842</v>
      </c>
      <c r="D26130" s="1" t="s">
        <v>7844</v>
      </c>
    </row>
    <row r="26131">
      <c r="A26131" s="1" t="s">
        <v>40357</v>
      </c>
      <c r="B26131" s="2" t="s">
        <v>40180</v>
      </c>
      <c r="C26131" s="1" t="s">
        <v>7842</v>
      </c>
      <c r="D26131" s="1" t="s">
        <v>7844</v>
      </c>
    </row>
    <row r="26132">
      <c r="A26132" s="1" t="s">
        <v>40358</v>
      </c>
      <c r="B26132" s="2" t="s">
        <v>40182</v>
      </c>
      <c r="C26132" s="1" t="s">
        <v>7842</v>
      </c>
      <c r="D26132" s="1" t="s">
        <v>7844</v>
      </c>
    </row>
    <row r="26133">
      <c r="A26133" s="1" t="s">
        <v>40359</v>
      </c>
      <c r="B26133" s="2" t="s">
        <v>40184</v>
      </c>
      <c r="C26133" s="1" t="s">
        <v>7842</v>
      </c>
      <c r="D26133" s="1" t="s">
        <v>7844</v>
      </c>
    </row>
    <row r="26134">
      <c r="A26134" s="1" t="s">
        <v>40360</v>
      </c>
      <c r="B26134" s="2" t="s">
        <v>40186</v>
      </c>
      <c r="C26134" s="1" t="s">
        <v>7842</v>
      </c>
      <c r="D26134" s="1" t="s">
        <v>7844</v>
      </c>
    </row>
    <row r="26135">
      <c r="A26135" s="1" t="s">
        <v>40361</v>
      </c>
      <c r="B26135" s="2" t="s">
        <v>40154</v>
      </c>
      <c r="C26135" s="1" t="s">
        <v>7842</v>
      </c>
      <c r="D26135" s="1" t="s">
        <v>7844</v>
      </c>
    </row>
    <row r="26136">
      <c r="A26136" s="1" t="s">
        <v>7847</v>
      </c>
      <c r="B26136" s="2" t="s">
        <v>7</v>
      </c>
      <c r="C26136" s="1" t="s">
        <v>7849</v>
      </c>
      <c r="D26136" s="1" t="s">
        <v>7850</v>
      </c>
    </row>
    <row r="26137">
      <c r="A26137" s="1" t="s">
        <v>40362</v>
      </c>
      <c r="B26137" s="2" t="s">
        <v>40180</v>
      </c>
      <c r="C26137" s="1" t="s">
        <v>7849</v>
      </c>
      <c r="D26137" s="1" t="s">
        <v>7850</v>
      </c>
    </row>
    <row r="26138">
      <c r="A26138" s="1" t="s">
        <v>40363</v>
      </c>
      <c r="B26138" s="2" t="s">
        <v>40182</v>
      </c>
      <c r="C26138" s="1" t="s">
        <v>7849</v>
      </c>
      <c r="D26138" s="1" t="s">
        <v>7850</v>
      </c>
    </row>
    <row r="26139">
      <c r="A26139" s="1" t="s">
        <v>40364</v>
      </c>
      <c r="B26139" s="2" t="s">
        <v>40184</v>
      </c>
      <c r="C26139" s="1" t="s">
        <v>7849</v>
      </c>
      <c r="D26139" s="1" t="s">
        <v>7850</v>
      </c>
    </row>
    <row r="26140">
      <c r="A26140" s="1" t="s">
        <v>40365</v>
      </c>
      <c r="B26140" s="2" t="s">
        <v>40186</v>
      </c>
      <c r="C26140" s="1" t="s">
        <v>7849</v>
      </c>
      <c r="D26140" s="1" t="s">
        <v>7850</v>
      </c>
    </row>
    <row r="26141">
      <c r="A26141" s="1" t="s">
        <v>40366</v>
      </c>
      <c r="B26141" s="2" t="s">
        <v>40154</v>
      </c>
      <c r="C26141" s="1" t="s">
        <v>7849</v>
      </c>
      <c r="D26141" s="1" t="s">
        <v>7850</v>
      </c>
    </row>
    <row r="26142">
      <c r="A26142" s="1" t="s">
        <v>7853</v>
      </c>
      <c r="B26142" s="2" t="s">
        <v>7</v>
      </c>
      <c r="C26142" s="1" t="s">
        <v>7855</v>
      </c>
      <c r="D26142" s="1" t="s">
        <v>7856</v>
      </c>
    </row>
    <row r="26143">
      <c r="A26143" s="1" t="s">
        <v>40367</v>
      </c>
      <c r="B26143" s="2" t="s">
        <v>40180</v>
      </c>
      <c r="C26143" s="1" t="s">
        <v>7855</v>
      </c>
      <c r="D26143" s="1" t="s">
        <v>7856</v>
      </c>
    </row>
    <row r="26144">
      <c r="A26144" s="1" t="s">
        <v>40368</v>
      </c>
      <c r="B26144" s="2" t="s">
        <v>40182</v>
      </c>
      <c r="C26144" s="1" t="s">
        <v>7855</v>
      </c>
      <c r="D26144" s="1" t="s">
        <v>7856</v>
      </c>
    </row>
    <row r="26145">
      <c r="A26145" s="1" t="s">
        <v>40369</v>
      </c>
      <c r="B26145" s="2" t="s">
        <v>40184</v>
      </c>
      <c r="C26145" s="1" t="s">
        <v>7855</v>
      </c>
      <c r="D26145" s="1" t="s">
        <v>7856</v>
      </c>
    </row>
    <row r="26146">
      <c r="A26146" s="1" t="s">
        <v>40370</v>
      </c>
      <c r="B26146" s="2" t="s">
        <v>40186</v>
      </c>
      <c r="C26146" s="1" t="s">
        <v>7855</v>
      </c>
      <c r="D26146" s="1" t="s">
        <v>7856</v>
      </c>
    </row>
    <row r="26147">
      <c r="A26147" s="1" t="s">
        <v>40371</v>
      </c>
      <c r="B26147" s="2" t="s">
        <v>40154</v>
      </c>
      <c r="C26147" s="1" t="s">
        <v>7855</v>
      </c>
      <c r="D26147" s="1" t="s">
        <v>7856</v>
      </c>
    </row>
    <row r="26148">
      <c r="A26148" s="1" t="s">
        <v>7859</v>
      </c>
      <c r="B26148" s="2" t="s">
        <v>7</v>
      </c>
      <c r="C26148" s="1" t="s">
        <v>7862</v>
      </c>
      <c r="D26148" s="1" t="s">
        <v>7863</v>
      </c>
    </row>
    <row r="26149">
      <c r="A26149" s="1" t="s">
        <v>40372</v>
      </c>
      <c r="B26149" s="2" t="s">
        <v>40180</v>
      </c>
      <c r="C26149" s="1" t="s">
        <v>7862</v>
      </c>
      <c r="D26149" s="1" t="s">
        <v>7863</v>
      </c>
    </row>
    <row r="26150">
      <c r="A26150" s="1" t="s">
        <v>40373</v>
      </c>
      <c r="B26150" s="2" t="s">
        <v>40182</v>
      </c>
      <c r="C26150" s="1" t="s">
        <v>7862</v>
      </c>
      <c r="D26150" s="1" t="s">
        <v>7863</v>
      </c>
    </row>
    <row r="26151">
      <c r="A26151" s="1" t="s">
        <v>40374</v>
      </c>
      <c r="B26151" s="2" t="s">
        <v>40184</v>
      </c>
      <c r="C26151" s="1" t="s">
        <v>7862</v>
      </c>
      <c r="D26151" s="1" t="s">
        <v>7863</v>
      </c>
    </row>
    <row r="26152">
      <c r="A26152" s="1" t="s">
        <v>40375</v>
      </c>
      <c r="B26152" s="2" t="s">
        <v>40186</v>
      </c>
      <c r="C26152" s="1" t="s">
        <v>7862</v>
      </c>
      <c r="D26152" s="1" t="s">
        <v>7863</v>
      </c>
    </row>
    <row r="26153">
      <c r="A26153" s="1" t="s">
        <v>40376</v>
      </c>
      <c r="B26153" s="2" t="s">
        <v>40154</v>
      </c>
      <c r="C26153" s="1" t="s">
        <v>7862</v>
      </c>
      <c r="D26153" s="1" t="s">
        <v>7863</v>
      </c>
    </row>
    <row r="26154">
      <c r="A26154" s="1" t="s">
        <v>7868</v>
      </c>
      <c r="B26154" s="2" t="s">
        <v>7</v>
      </c>
      <c r="C26154" s="1" t="s">
        <v>7870</v>
      </c>
      <c r="D26154" s="1" t="s">
        <v>7872</v>
      </c>
    </row>
    <row r="26155">
      <c r="A26155" s="1" t="s">
        <v>40377</v>
      </c>
      <c r="B26155" s="2" t="s">
        <v>40180</v>
      </c>
      <c r="C26155" s="1" t="s">
        <v>7870</v>
      </c>
      <c r="D26155" s="1" t="s">
        <v>7872</v>
      </c>
    </row>
    <row r="26156">
      <c r="A26156" s="1" t="s">
        <v>40378</v>
      </c>
      <c r="B26156" s="2" t="s">
        <v>40182</v>
      </c>
      <c r="C26156" s="1" t="s">
        <v>7870</v>
      </c>
      <c r="D26156" s="1" t="s">
        <v>7872</v>
      </c>
    </row>
    <row r="26157">
      <c r="A26157" s="1" t="s">
        <v>40379</v>
      </c>
      <c r="B26157" s="2" t="s">
        <v>40184</v>
      </c>
      <c r="C26157" s="1" t="s">
        <v>7870</v>
      </c>
      <c r="D26157" s="1" t="s">
        <v>7872</v>
      </c>
    </row>
    <row r="26158">
      <c r="A26158" s="1" t="s">
        <v>40380</v>
      </c>
      <c r="B26158" s="2" t="s">
        <v>40186</v>
      </c>
      <c r="C26158" s="1" t="s">
        <v>7870</v>
      </c>
      <c r="D26158" s="1" t="s">
        <v>7872</v>
      </c>
    </row>
    <row r="26159">
      <c r="A26159" s="1" t="s">
        <v>40381</v>
      </c>
      <c r="B26159" s="2" t="s">
        <v>40154</v>
      </c>
      <c r="C26159" s="1" t="s">
        <v>7870</v>
      </c>
      <c r="D26159" s="1" t="s">
        <v>7872</v>
      </c>
    </row>
    <row r="26160">
      <c r="A26160" s="1" t="s">
        <v>7876</v>
      </c>
      <c r="B26160" s="2" t="s">
        <v>7</v>
      </c>
      <c r="C26160" s="1" t="s">
        <v>7877</v>
      </c>
      <c r="D26160" s="1" t="s">
        <v>7879</v>
      </c>
    </row>
    <row r="26161">
      <c r="A26161" s="1" t="s">
        <v>40382</v>
      </c>
      <c r="B26161" s="2" t="s">
        <v>40180</v>
      </c>
      <c r="C26161" s="1" t="s">
        <v>7877</v>
      </c>
      <c r="D26161" s="1" t="s">
        <v>7879</v>
      </c>
    </row>
    <row r="26162">
      <c r="A26162" s="1" t="s">
        <v>40383</v>
      </c>
      <c r="B26162" s="2" t="s">
        <v>40182</v>
      </c>
      <c r="C26162" s="1" t="s">
        <v>7877</v>
      </c>
      <c r="D26162" s="1" t="s">
        <v>7879</v>
      </c>
    </row>
    <row r="26163">
      <c r="A26163" s="1" t="s">
        <v>40384</v>
      </c>
      <c r="B26163" s="2" t="s">
        <v>40184</v>
      </c>
      <c r="C26163" s="1" t="s">
        <v>7877</v>
      </c>
      <c r="D26163" s="1" t="s">
        <v>7879</v>
      </c>
    </row>
    <row r="26164">
      <c r="A26164" s="1" t="s">
        <v>40385</v>
      </c>
      <c r="B26164" s="2" t="s">
        <v>40186</v>
      </c>
      <c r="C26164" s="1" t="s">
        <v>7877</v>
      </c>
      <c r="D26164" s="1" t="s">
        <v>7879</v>
      </c>
    </row>
    <row r="26165">
      <c r="A26165" s="1" t="s">
        <v>40386</v>
      </c>
      <c r="B26165" s="2" t="s">
        <v>40154</v>
      </c>
      <c r="C26165" s="1" t="s">
        <v>7877</v>
      </c>
      <c r="D26165" s="1" t="s">
        <v>7879</v>
      </c>
    </row>
    <row r="26166">
      <c r="A26166" s="1" t="s">
        <v>7884</v>
      </c>
      <c r="B26166" s="2" t="s">
        <v>7</v>
      </c>
      <c r="C26166" s="1" t="s">
        <v>7885</v>
      </c>
      <c r="D26166" s="1" t="s">
        <v>7886</v>
      </c>
    </row>
    <row r="26167">
      <c r="A26167" s="1" t="s">
        <v>40387</v>
      </c>
      <c r="B26167" s="2" t="s">
        <v>40180</v>
      </c>
      <c r="C26167" s="1" t="s">
        <v>7885</v>
      </c>
      <c r="D26167" s="1" t="s">
        <v>7886</v>
      </c>
    </row>
    <row r="26168">
      <c r="A26168" s="1" t="s">
        <v>40388</v>
      </c>
      <c r="B26168" s="2" t="s">
        <v>40182</v>
      </c>
      <c r="C26168" s="1" t="s">
        <v>7885</v>
      </c>
      <c r="D26168" s="1" t="s">
        <v>7886</v>
      </c>
    </row>
    <row r="26169">
      <c r="A26169" s="1" t="s">
        <v>40389</v>
      </c>
      <c r="B26169" s="2" t="s">
        <v>40184</v>
      </c>
      <c r="C26169" s="1" t="s">
        <v>7885</v>
      </c>
      <c r="D26169" s="1" t="s">
        <v>7886</v>
      </c>
    </row>
    <row r="26170">
      <c r="A26170" s="1" t="s">
        <v>40390</v>
      </c>
      <c r="B26170" s="2" t="s">
        <v>40186</v>
      </c>
      <c r="C26170" s="1" t="s">
        <v>7885</v>
      </c>
      <c r="D26170" s="1" t="s">
        <v>7886</v>
      </c>
    </row>
    <row r="26171">
      <c r="A26171" s="1" t="s">
        <v>40391</v>
      </c>
      <c r="B26171" s="2" t="s">
        <v>40154</v>
      </c>
      <c r="C26171" s="1" t="s">
        <v>7885</v>
      </c>
      <c r="D26171" s="1" t="s">
        <v>7886</v>
      </c>
    </row>
    <row r="26172">
      <c r="A26172" s="1" t="s">
        <v>7931</v>
      </c>
      <c r="B26172" s="2" t="s">
        <v>7</v>
      </c>
      <c r="C26172" s="1" t="s">
        <v>7932</v>
      </c>
      <c r="D26172" s="1" t="s">
        <v>7935</v>
      </c>
    </row>
    <row r="26173">
      <c r="A26173" s="1" t="s">
        <v>40392</v>
      </c>
      <c r="B26173" s="2" t="s">
        <v>40180</v>
      </c>
      <c r="C26173" s="1" t="s">
        <v>7932</v>
      </c>
      <c r="D26173" s="1" t="s">
        <v>7935</v>
      </c>
    </row>
    <row r="26174">
      <c r="A26174" s="1" t="s">
        <v>40393</v>
      </c>
      <c r="B26174" s="2" t="s">
        <v>40182</v>
      </c>
      <c r="C26174" s="1" t="s">
        <v>7932</v>
      </c>
      <c r="D26174" s="1" t="s">
        <v>7935</v>
      </c>
    </row>
    <row r="26175">
      <c r="A26175" s="1" t="s">
        <v>40394</v>
      </c>
      <c r="B26175" s="2" t="s">
        <v>40184</v>
      </c>
      <c r="C26175" s="1" t="s">
        <v>7932</v>
      </c>
      <c r="D26175" s="1" t="s">
        <v>7935</v>
      </c>
    </row>
    <row r="26176">
      <c r="A26176" s="1" t="s">
        <v>40395</v>
      </c>
      <c r="B26176" s="2" t="s">
        <v>40186</v>
      </c>
      <c r="C26176" s="1" t="s">
        <v>7932</v>
      </c>
      <c r="D26176" s="1" t="s">
        <v>7935</v>
      </c>
    </row>
    <row r="26177">
      <c r="A26177" s="1" t="s">
        <v>40396</v>
      </c>
      <c r="B26177" s="2" t="s">
        <v>40154</v>
      </c>
      <c r="C26177" s="1" t="s">
        <v>7932</v>
      </c>
      <c r="D26177" s="1" t="s">
        <v>7935</v>
      </c>
    </row>
    <row r="26178">
      <c r="A26178" s="1" t="s">
        <v>7940</v>
      </c>
      <c r="B26178" s="2" t="s">
        <v>7</v>
      </c>
      <c r="C26178" s="1" t="s">
        <v>7942</v>
      </c>
      <c r="D26178" s="1" t="s">
        <v>7944</v>
      </c>
    </row>
    <row r="26179">
      <c r="A26179" s="1" t="s">
        <v>40397</v>
      </c>
      <c r="B26179" s="2" t="s">
        <v>40136</v>
      </c>
      <c r="C26179" s="1" t="s">
        <v>7942</v>
      </c>
      <c r="D26179" s="1" t="s">
        <v>7944</v>
      </c>
    </row>
    <row r="26180">
      <c r="A26180" s="1" t="s">
        <v>40398</v>
      </c>
      <c r="B26180" s="2" t="s">
        <v>40138</v>
      </c>
      <c r="C26180" s="1" t="s">
        <v>7942</v>
      </c>
      <c r="D26180" s="1" t="s">
        <v>7944</v>
      </c>
    </row>
    <row r="26181">
      <c r="A26181" s="1" t="s">
        <v>40399</v>
      </c>
      <c r="B26181" s="2" t="s">
        <v>40400</v>
      </c>
      <c r="C26181" s="1" t="s">
        <v>7942</v>
      </c>
      <c r="D26181" s="1" t="s">
        <v>7944</v>
      </c>
    </row>
    <row r="26182">
      <c r="A26182" s="1" t="s">
        <v>40401</v>
      </c>
      <c r="B26182" s="2" t="s">
        <v>40402</v>
      </c>
      <c r="C26182" s="1" t="s">
        <v>7942</v>
      </c>
      <c r="D26182" s="1" t="s">
        <v>7944</v>
      </c>
    </row>
    <row r="26183">
      <c r="A26183" s="1" t="s">
        <v>40403</v>
      </c>
      <c r="B26183" s="2" t="s">
        <v>40404</v>
      </c>
      <c r="C26183" s="1" t="s">
        <v>7942</v>
      </c>
      <c r="D26183" s="1" t="s">
        <v>7944</v>
      </c>
    </row>
    <row r="26184">
      <c r="A26184" s="1" t="s">
        <v>40405</v>
      </c>
      <c r="B26184" s="2" t="s">
        <v>40154</v>
      </c>
      <c r="C26184" s="1" t="s">
        <v>7942</v>
      </c>
      <c r="D26184" s="1" t="s">
        <v>7944</v>
      </c>
    </row>
    <row r="26185">
      <c r="A26185" s="1" t="s">
        <v>7949</v>
      </c>
      <c r="B26185" s="2" t="s">
        <v>7</v>
      </c>
      <c r="C26185" s="1" t="s">
        <v>7951</v>
      </c>
      <c r="D26185" s="1" t="s">
        <v>7953</v>
      </c>
    </row>
    <row r="26186">
      <c r="A26186" s="1" t="s">
        <v>40406</v>
      </c>
      <c r="B26186" s="2" t="s">
        <v>40156</v>
      </c>
      <c r="C26186" s="1" t="s">
        <v>7951</v>
      </c>
      <c r="D26186" s="1" t="s">
        <v>7953</v>
      </c>
    </row>
    <row r="26187">
      <c r="A26187" s="1" t="s">
        <v>40407</v>
      </c>
      <c r="B26187" s="2" t="s">
        <v>40408</v>
      </c>
      <c r="C26187" s="1" t="s">
        <v>7951</v>
      </c>
      <c r="D26187" s="1" t="s">
        <v>7953</v>
      </c>
    </row>
    <row r="26188">
      <c r="A26188" s="1" t="s">
        <v>40409</v>
      </c>
      <c r="B26188" s="2" t="s">
        <v>40410</v>
      </c>
      <c r="C26188" s="1" t="s">
        <v>7951</v>
      </c>
      <c r="D26188" s="1" t="s">
        <v>7953</v>
      </c>
    </row>
    <row r="26189">
      <c r="A26189" s="1" t="s">
        <v>40411</v>
      </c>
      <c r="B26189" s="2" t="s">
        <v>40170</v>
      </c>
      <c r="C26189" s="1" t="s">
        <v>7951</v>
      </c>
      <c r="D26189" s="1" t="s">
        <v>7953</v>
      </c>
    </row>
    <row r="26190">
      <c r="A26190" s="1" t="s">
        <v>40412</v>
      </c>
      <c r="B26190" s="2" t="s">
        <v>40413</v>
      </c>
      <c r="C26190" s="1" t="s">
        <v>7951</v>
      </c>
      <c r="D26190" s="1" t="s">
        <v>7953</v>
      </c>
    </row>
    <row r="26191">
      <c r="A26191" s="1" t="s">
        <v>40414</v>
      </c>
      <c r="B26191" s="2" t="s">
        <v>40176</v>
      </c>
      <c r="C26191" s="1" t="s">
        <v>7951</v>
      </c>
      <c r="D26191" s="1" t="s">
        <v>7953</v>
      </c>
    </row>
    <row r="26192">
      <c r="A26192" s="1" t="s">
        <v>40415</v>
      </c>
      <c r="B26192" s="2" t="s">
        <v>40178</v>
      </c>
      <c r="C26192" s="1" t="s">
        <v>7951</v>
      </c>
      <c r="D26192" s="1" t="s">
        <v>7953</v>
      </c>
    </row>
    <row r="26193">
      <c r="A26193" s="1" t="s">
        <v>7958</v>
      </c>
      <c r="B26193" s="2" t="s">
        <v>7</v>
      </c>
      <c r="C26193" s="1" t="s">
        <v>7960</v>
      </c>
      <c r="D26193" s="1" t="s">
        <v>7962</v>
      </c>
    </row>
    <row r="26194">
      <c r="A26194" s="1" t="s">
        <v>40416</v>
      </c>
      <c r="B26194" s="2" t="s">
        <v>40417</v>
      </c>
      <c r="C26194" s="1" t="s">
        <v>7960</v>
      </c>
      <c r="D26194" s="1" t="s">
        <v>7962</v>
      </c>
    </row>
    <row r="26195">
      <c r="A26195" s="1" t="s">
        <v>40418</v>
      </c>
      <c r="B26195" s="2" t="s">
        <v>40419</v>
      </c>
      <c r="C26195" s="1" t="s">
        <v>7960</v>
      </c>
      <c r="D26195" s="1" t="s">
        <v>7962</v>
      </c>
    </row>
    <row r="26196">
      <c r="A26196" s="1" t="s">
        <v>40420</v>
      </c>
      <c r="B26196" s="2" t="s">
        <v>40421</v>
      </c>
      <c r="C26196" s="1" t="s">
        <v>7960</v>
      </c>
      <c r="D26196" s="1" t="s">
        <v>7962</v>
      </c>
    </row>
    <row r="26197">
      <c r="A26197" s="1" t="s">
        <v>40422</v>
      </c>
      <c r="B26197" s="2" t="s">
        <v>40423</v>
      </c>
      <c r="C26197" s="1" t="s">
        <v>7960</v>
      </c>
      <c r="D26197" s="1" t="s">
        <v>7962</v>
      </c>
    </row>
    <row r="26198">
      <c r="A26198" s="1" t="s">
        <v>40424</v>
      </c>
      <c r="B26198" s="2" t="s">
        <v>40425</v>
      </c>
      <c r="C26198" s="1" t="s">
        <v>7960</v>
      </c>
      <c r="D26198" s="1" t="s">
        <v>7962</v>
      </c>
    </row>
    <row r="26199">
      <c r="A26199" s="1" t="s">
        <v>40426</v>
      </c>
      <c r="B26199" s="2" t="s">
        <v>40427</v>
      </c>
      <c r="C26199" s="1" t="s">
        <v>7960</v>
      </c>
      <c r="D26199" s="1" t="s">
        <v>7962</v>
      </c>
    </row>
    <row r="26200">
      <c r="A26200" s="1" t="s">
        <v>40428</v>
      </c>
      <c r="B26200" s="2" t="s">
        <v>40429</v>
      </c>
      <c r="C26200" s="1" t="s">
        <v>7960</v>
      </c>
      <c r="D26200" s="1" t="s">
        <v>7962</v>
      </c>
    </row>
    <row r="26201">
      <c r="A26201" s="1" t="s">
        <v>40430</v>
      </c>
      <c r="B26201" s="2" t="s">
        <v>40431</v>
      </c>
      <c r="C26201" s="1" t="s">
        <v>7960</v>
      </c>
      <c r="D26201" s="1" t="s">
        <v>7962</v>
      </c>
    </row>
    <row r="26202">
      <c r="A26202" s="1" t="s">
        <v>40432</v>
      </c>
      <c r="B26202" s="2" t="s">
        <v>40433</v>
      </c>
      <c r="C26202" s="1" t="s">
        <v>7960</v>
      </c>
      <c r="D26202" s="1" t="s">
        <v>7962</v>
      </c>
    </row>
    <row r="26203">
      <c r="A26203" s="1" t="s">
        <v>40434</v>
      </c>
      <c r="B26203" s="2" t="s">
        <v>40435</v>
      </c>
      <c r="C26203" s="1" t="s">
        <v>7960</v>
      </c>
      <c r="D26203" s="1" t="s">
        <v>7962</v>
      </c>
    </row>
    <row r="26204">
      <c r="A26204" s="1" t="s">
        <v>40436</v>
      </c>
      <c r="B26204" s="2" t="s">
        <v>40437</v>
      </c>
      <c r="C26204" s="1" t="s">
        <v>7960</v>
      </c>
      <c r="D26204" s="1" t="s">
        <v>7962</v>
      </c>
    </row>
    <row r="26205">
      <c r="A26205" s="1" t="s">
        <v>40438</v>
      </c>
      <c r="B26205" s="2" t="s">
        <v>40439</v>
      </c>
      <c r="C26205" s="1" t="s">
        <v>7960</v>
      </c>
      <c r="D26205" s="1" t="s">
        <v>7962</v>
      </c>
    </row>
    <row r="26206">
      <c r="A26206" s="1" t="s">
        <v>40440</v>
      </c>
      <c r="B26206" s="2" t="s">
        <v>40441</v>
      </c>
      <c r="C26206" s="1" t="s">
        <v>7960</v>
      </c>
      <c r="D26206" s="1" t="s">
        <v>7962</v>
      </c>
    </row>
    <row r="26207">
      <c r="A26207" s="1" t="s">
        <v>40442</v>
      </c>
      <c r="B26207" s="2" t="s">
        <v>40443</v>
      </c>
      <c r="C26207" s="1" t="s">
        <v>7960</v>
      </c>
      <c r="D26207" s="1" t="s">
        <v>7962</v>
      </c>
    </row>
    <row r="26208">
      <c r="A26208" s="1" t="s">
        <v>40444</v>
      </c>
      <c r="B26208" s="2" t="s">
        <v>40445</v>
      </c>
      <c r="C26208" s="1" t="s">
        <v>7960</v>
      </c>
      <c r="D26208" s="1" t="s">
        <v>7962</v>
      </c>
    </row>
    <row r="26209">
      <c r="A26209" s="1" t="s">
        <v>40446</v>
      </c>
      <c r="B26209" s="2" t="s">
        <v>40447</v>
      </c>
      <c r="C26209" s="1" t="s">
        <v>7960</v>
      </c>
      <c r="D26209" s="1" t="s">
        <v>7962</v>
      </c>
    </row>
    <row r="26210">
      <c r="A26210" s="1" t="s">
        <v>40448</v>
      </c>
      <c r="B26210" s="2" t="s">
        <v>40449</v>
      </c>
      <c r="C26210" s="1" t="s">
        <v>7960</v>
      </c>
      <c r="D26210" s="1" t="s">
        <v>7962</v>
      </c>
    </row>
    <row r="26211">
      <c r="A26211" s="1" t="s">
        <v>40450</v>
      </c>
      <c r="B26211" s="2" t="s">
        <v>40451</v>
      </c>
      <c r="C26211" s="1" t="s">
        <v>7960</v>
      </c>
      <c r="D26211" s="1" t="s">
        <v>7962</v>
      </c>
    </row>
    <row r="26212">
      <c r="A26212" s="1" t="s">
        <v>40452</v>
      </c>
      <c r="B26212" s="2" t="s">
        <v>40453</v>
      </c>
      <c r="C26212" s="1" t="s">
        <v>7960</v>
      </c>
      <c r="D26212" s="1" t="s">
        <v>7962</v>
      </c>
    </row>
    <row r="26213">
      <c r="A26213" s="1" t="s">
        <v>40454</v>
      </c>
      <c r="B26213" s="2" t="s">
        <v>40455</v>
      </c>
      <c r="C26213" s="1" t="s">
        <v>7960</v>
      </c>
      <c r="D26213" s="1" t="s">
        <v>7962</v>
      </c>
    </row>
    <row r="26214">
      <c r="A26214" s="1" t="s">
        <v>7967</v>
      </c>
      <c r="B26214" s="2" t="s">
        <v>7</v>
      </c>
      <c r="C26214" s="1" t="s">
        <v>7969</v>
      </c>
      <c r="D26214" s="1" t="s">
        <v>7971</v>
      </c>
    </row>
    <row r="26215">
      <c r="A26215" s="1" t="s">
        <v>40456</v>
      </c>
      <c r="B26215" s="2" t="s">
        <v>40457</v>
      </c>
      <c r="C26215" s="1" t="s">
        <v>7969</v>
      </c>
      <c r="D26215" s="1" t="s">
        <v>7971</v>
      </c>
    </row>
    <row r="26216">
      <c r="A26216" s="1" t="s">
        <v>40458</v>
      </c>
      <c r="B26216" s="2" t="s">
        <v>40459</v>
      </c>
      <c r="C26216" s="1" t="s">
        <v>7969</v>
      </c>
      <c r="D26216" s="1" t="s">
        <v>7971</v>
      </c>
    </row>
    <row r="26217">
      <c r="A26217" s="1" t="s">
        <v>40460</v>
      </c>
      <c r="B26217" s="2" t="s">
        <v>40461</v>
      </c>
      <c r="C26217" s="1" t="s">
        <v>7969</v>
      </c>
      <c r="D26217" s="1" t="s">
        <v>7971</v>
      </c>
    </row>
    <row r="26218">
      <c r="A26218" s="1" t="s">
        <v>40462</v>
      </c>
      <c r="B26218" s="2" t="s">
        <v>10832</v>
      </c>
      <c r="C26218" s="1" t="s">
        <v>7969</v>
      </c>
      <c r="D26218" s="1" t="s">
        <v>7971</v>
      </c>
    </row>
    <row r="26219">
      <c r="A26219" s="1" t="s">
        <v>7976</v>
      </c>
      <c r="B26219" s="2" t="s">
        <v>7</v>
      </c>
      <c r="C26219" s="1" t="s">
        <v>7978</v>
      </c>
      <c r="D26219" s="1" t="s">
        <v>7979</v>
      </c>
    </row>
    <row r="26220">
      <c r="A26220" s="1" t="s">
        <v>40463</v>
      </c>
      <c r="B26220" s="2" t="s">
        <v>40464</v>
      </c>
      <c r="C26220" s="1" t="s">
        <v>7978</v>
      </c>
      <c r="D26220" s="1" t="s">
        <v>7979</v>
      </c>
    </row>
    <row r="26221">
      <c r="A26221" s="1" t="s">
        <v>40465</v>
      </c>
      <c r="B26221" s="2" t="s">
        <v>40466</v>
      </c>
      <c r="C26221" s="1" t="s">
        <v>7978</v>
      </c>
      <c r="D26221" s="1" t="s">
        <v>7979</v>
      </c>
    </row>
    <row r="26222">
      <c r="A26222" s="1" t="s">
        <v>40467</v>
      </c>
      <c r="B26222" s="2" t="s">
        <v>6066</v>
      </c>
      <c r="C26222" s="1" t="s">
        <v>7978</v>
      </c>
      <c r="D26222" s="1" t="s">
        <v>7979</v>
      </c>
    </row>
    <row r="26223">
      <c r="A26223" s="1" t="s">
        <v>40468</v>
      </c>
      <c r="B26223" s="2" t="s">
        <v>40469</v>
      </c>
      <c r="C26223" s="1" t="s">
        <v>7978</v>
      </c>
      <c r="D26223" s="1" t="s">
        <v>7979</v>
      </c>
    </row>
    <row r="26224">
      <c r="A26224" s="1" t="s">
        <v>40470</v>
      </c>
      <c r="B26224" s="2" t="s">
        <v>16403</v>
      </c>
      <c r="C26224" s="1" t="s">
        <v>7978</v>
      </c>
      <c r="D26224" s="1" t="s">
        <v>7979</v>
      </c>
    </row>
    <row r="26225">
      <c r="A26225" s="1" t="s">
        <v>40471</v>
      </c>
      <c r="B26225" s="2" t="s">
        <v>6072</v>
      </c>
      <c r="C26225" s="1" t="s">
        <v>7978</v>
      </c>
      <c r="D26225" s="1" t="s">
        <v>7979</v>
      </c>
    </row>
    <row r="26226">
      <c r="A26226" s="1" t="s">
        <v>40472</v>
      </c>
      <c r="B26226" s="2" t="s">
        <v>6076</v>
      </c>
      <c r="C26226" s="1" t="s">
        <v>7978</v>
      </c>
      <c r="D26226" s="1" t="s">
        <v>7979</v>
      </c>
    </row>
    <row r="26227">
      <c r="A26227" s="1" t="s">
        <v>7984</v>
      </c>
      <c r="B26227" s="2" t="s">
        <v>7</v>
      </c>
      <c r="C26227" s="1" t="s">
        <v>7986</v>
      </c>
      <c r="D26227" s="1" t="s">
        <v>7988</v>
      </c>
    </row>
    <row r="26228">
      <c r="A26228" s="1" t="s">
        <v>40473</v>
      </c>
      <c r="B26228" s="2" t="s">
        <v>20240</v>
      </c>
      <c r="C26228" s="1" t="s">
        <v>7986</v>
      </c>
      <c r="D26228" s="1" t="s">
        <v>7988</v>
      </c>
    </row>
    <row r="26229">
      <c r="A26229" s="1" t="s">
        <v>40474</v>
      </c>
      <c r="B26229" s="2" t="s">
        <v>40475</v>
      </c>
      <c r="C26229" s="1" t="s">
        <v>7986</v>
      </c>
      <c r="D26229" s="1" t="s">
        <v>7988</v>
      </c>
    </row>
    <row r="26230">
      <c r="A26230" s="1" t="s">
        <v>7993</v>
      </c>
      <c r="B26230" s="2" t="s">
        <v>3895</v>
      </c>
      <c r="C26230" s="1" t="s">
        <v>7996</v>
      </c>
      <c r="D26230" s="1" t="s">
        <v>7998</v>
      </c>
    </row>
    <row r="26231">
      <c r="A26231" s="1" t="s">
        <v>8000</v>
      </c>
      <c r="B26231" s="2" t="s">
        <v>8001</v>
      </c>
      <c r="C26231" s="1" t="s">
        <v>8002</v>
      </c>
      <c r="D26231" s="1" t="s">
        <v>8004</v>
      </c>
    </row>
    <row r="26232">
      <c r="A26232" s="1" t="s">
        <v>40476</v>
      </c>
      <c r="B26232" s="2" t="s">
        <v>40477</v>
      </c>
      <c r="C26232" s="1" t="s">
        <v>8002</v>
      </c>
      <c r="D26232" s="1" t="s">
        <v>8004</v>
      </c>
    </row>
    <row r="26233">
      <c r="A26233" s="1" t="s">
        <v>8008</v>
      </c>
      <c r="B26233" s="2" t="s">
        <v>8009</v>
      </c>
      <c r="C26233" s="1" t="s">
        <v>8010</v>
      </c>
      <c r="D26233" s="1" t="s">
        <v>8012</v>
      </c>
    </row>
    <row r="26234">
      <c r="A26234" s="1" t="s">
        <v>40478</v>
      </c>
      <c r="B26234" s="2" t="s">
        <v>40479</v>
      </c>
      <c r="C26234" s="1" t="s">
        <v>8010</v>
      </c>
      <c r="D26234" s="1" t="s">
        <v>8012</v>
      </c>
    </row>
    <row r="26235">
      <c r="A26235" s="1" t="s">
        <v>40480</v>
      </c>
      <c r="B26235" s="2" t="s">
        <v>40481</v>
      </c>
      <c r="C26235" s="1" t="s">
        <v>8010</v>
      </c>
      <c r="D26235" s="1" t="s">
        <v>8012</v>
      </c>
    </row>
    <row r="26236">
      <c r="A26236" s="1" t="s">
        <v>8016</v>
      </c>
      <c r="B26236" s="2" t="s">
        <v>8017</v>
      </c>
      <c r="C26236" s="1" t="s">
        <v>8019</v>
      </c>
      <c r="D26236" s="1" t="s">
        <v>8020</v>
      </c>
    </row>
    <row r="26237">
      <c r="A26237" s="1" t="s">
        <v>8023</v>
      </c>
      <c r="B26237" s="2" t="s">
        <v>234</v>
      </c>
      <c r="C26237" s="1" t="s">
        <v>8025</v>
      </c>
      <c r="D26237" s="1" t="s">
        <v>8026</v>
      </c>
    </row>
    <row r="26238">
      <c r="A26238" s="1" t="s">
        <v>8031</v>
      </c>
      <c r="B26238" s="2" t="s">
        <v>7</v>
      </c>
      <c r="C26238" s="1" t="s">
        <v>8033</v>
      </c>
      <c r="D26238" s="1" t="s">
        <v>8035</v>
      </c>
    </row>
    <row r="26239">
      <c r="A26239" s="1" t="s">
        <v>40482</v>
      </c>
      <c r="B26239" s="2" t="s">
        <v>3373</v>
      </c>
      <c r="C26239" s="1" t="s">
        <v>8033</v>
      </c>
      <c r="D26239" s="1" t="s">
        <v>8035</v>
      </c>
    </row>
    <row r="26240">
      <c r="A26240" s="1" t="s">
        <v>40483</v>
      </c>
      <c r="B26240" s="2" t="s">
        <v>3376</v>
      </c>
      <c r="C26240" s="1" t="s">
        <v>8033</v>
      </c>
      <c r="D26240" s="1" t="s">
        <v>8035</v>
      </c>
    </row>
    <row r="26241">
      <c r="A26241" s="1" t="s">
        <v>8040</v>
      </c>
      <c r="B26241" s="2" t="s">
        <v>7</v>
      </c>
      <c r="C26241" s="1" t="s">
        <v>8042</v>
      </c>
      <c r="D26241" s="1" t="s">
        <v>8044</v>
      </c>
    </row>
    <row r="26242">
      <c r="A26242" s="1" t="s">
        <v>40484</v>
      </c>
      <c r="B26242" s="2" t="s">
        <v>40485</v>
      </c>
      <c r="C26242" s="1" t="s">
        <v>8042</v>
      </c>
      <c r="D26242" s="1" t="s">
        <v>8044</v>
      </c>
    </row>
    <row r="26243">
      <c r="A26243" s="1" t="s">
        <v>40486</v>
      </c>
      <c r="B26243" s="2" t="s">
        <v>40487</v>
      </c>
      <c r="C26243" s="1" t="s">
        <v>8042</v>
      </c>
      <c r="D26243" s="1" t="s">
        <v>8044</v>
      </c>
    </row>
    <row r="26244">
      <c r="A26244" s="1" t="s">
        <v>40488</v>
      </c>
      <c r="B26244" s="2" t="s">
        <v>40489</v>
      </c>
      <c r="C26244" s="1" t="s">
        <v>8042</v>
      </c>
      <c r="D26244" s="1" t="s">
        <v>8044</v>
      </c>
    </row>
    <row r="26245">
      <c r="A26245" s="1" t="s">
        <v>40490</v>
      </c>
      <c r="B26245" s="2" t="s">
        <v>40491</v>
      </c>
      <c r="C26245" s="1" t="s">
        <v>8042</v>
      </c>
      <c r="D26245" s="1" t="s">
        <v>8044</v>
      </c>
    </row>
    <row r="26246">
      <c r="A26246" s="1" t="s">
        <v>40492</v>
      </c>
      <c r="B26246" s="2" t="s">
        <v>40493</v>
      </c>
      <c r="C26246" s="1" t="s">
        <v>8042</v>
      </c>
      <c r="D26246" s="1" t="s">
        <v>8044</v>
      </c>
    </row>
    <row r="26247">
      <c r="A26247" s="1" t="s">
        <v>40494</v>
      </c>
      <c r="B26247" s="2" t="s">
        <v>2043</v>
      </c>
      <c r="C26247" s="1" t="s">
        <v>8042</v>
      </c>
      <c r="D26247" s="1" t="s">
        <v>8044</v>
      </c>
    </row>
    <row r="26248">
      <c r="A26248" s="1" t="s">
        <v>8048</v>
      </c>
      <c r="B26248" s="2" t="s">
        <v>234</v>
      </c>
      <c r="C26248" s="1" t="s">
        <v>8050</v>
      </c>
      <c r="D26248" s="1" t="s">
        <v>8052</v>
      </c>
    </row>
    <row r="26249">
      <c r="A26249" s="1" t="s">
        <v>8057</v>
      </c>
      <c r="B26249" s="2" t="s">
        <v>8058</v>
      </c>
      <c r="C26249" s="1" t="s">
        <v>8060</v>
      </c>
      <c r="D26249" s="1" t="s">
        <v>8062</v>
      </c>
    </row>
    <row r="26250">
      <c r="A26250" s="1" t="s">
        <v>40495</v>
      </c>
      <c r="B26250" s="2" t="s">
        <v>40496</v>
      </c>
      <c r="C26250" s="1" t="s">
        <v>8060</v>
      </c>
      <c r="D26250" s="1" t="s">
        <v>8062</v>
      </c>
    </row>
    <row r="26251">
      <c r="A26251" s="1" t="s">
        <v>40497</v>
      </c>
      <c r="B26251" s="2" t="s">
        <v>40498</v>
      </c>
      <c r="C26251" s="1" t="s">
        <v>8060</v>
      </c>
      <c r="D26251" s="1" t="s">
        <v>8062</v>
      </c>
    </row>
    <row r="26252">
      <c r="A26252" s="1" t="s">
        <v>40499</v>
      </c>
      <c r="B26252" s="2" t="s">
        <v>40500</v>
      </c>
      <c r="C26252" s="1" t="s">
        <v>8060</v>
      </c>
      <c r="D26252" s="1" t="s">
        <v>8062</v>
      </c>
    </row>
    <row r="26253">
      <c r="A26253" s="1" t="s">
        <v>40501</v>
      </c>
      <c r="B26253" s="2" t="s">
        <v>40502</v>
      </c>
      <c r="C26253" s="1" t="s">
        <v>8060</v>
      </c>
      <c r="D26253" s="1" t="s">
        <v>8062</v>
      </c>
    </row>
    <row r="26254">
      <c r="A26254" s="1" t="s">
        <v>40503</v>
      </c>
      <c r="B26254" s="2" t="s">
        <v>40504</v>
      </c>
      <c r="C26254" s="1" t="s">
        <v>8060</v>
      </c>
      <c r="D26254" s="1" t="s">
        <v>8062</v>
      </c>
    </row>
    <row r="26255">
      <c r="A26255" s="1" t="s">
        <v>40505</v>
      </c>
      <c r="B26255" s="2" t="s">
        <v>40506</v>
      </c>
      <c r="C26255" s="1" t="s">
        <v>8060</v>
      </c>
      <c r="D26255" s="1" t="s">
        <v>8062</v>
      </c>
    </row>
    <row r="26256">
      <c r="A26256" s="1" t="s">
        <v>40507</v>
      </c>
      <c r="B26256" s="2" t="s">
        <v>40508</v>
      </c>
      <c r="C26256" s="1" t="s">
        <v>8060</v>
      </c>
      <c r="D26256" s="1" t="s">
        <v>8062</v>
      </c>
    </row>
    <row r="26257">
      <c r="A26257" s="1" t="s">
        <v>40509</v>
      </c>
      <c r="B26257" s="2" t="s">
        <v>40510</v>
      </c>
      <c r="C26257" s="1" t="s">
        <v>8060</v>
      </c>
      <c r="D26257" s="1" t="s">
        <v>8062</v>
      </c>
    </row>
    <row r="26258">
      <c r="A26258" s="1" t="s">
        <v>40511</v>
      </c>
      <c r="B26258" s="2" t="s">
        <v>40512</v>
      </c>
      <c r="C26258" s="1" t="s">
        <v>8060</v>
      </c>
      <c r="D26258" s="1" t="s">
        <v>8062</v>
      </c>
    </row>
    <row r="26259">
      <c r="A26259" s="1" t="s">
        <v>8066</v>
      </c>
      <c r="B26259" s="2" t="s">
        <v>8058</v>
      </c>
      <c r="C26259" s="1" t="s">
        <v>8067</v>
      </c>
      <c r="D26259" s="1" t="s">
        <v>8068</v>
      </c>
    </row>
    <row r="26260">
      <c r="A26260" s="1" t="s">
        <v>40513</v>
      </c>
      <c r="B26260" s="2" t="s">
        <v>40496</v>
      </c>
      <c r="C26260" s="1" t="s">
        <v>8067</v>
      </c>
      <c r="D26260" s="1" t="s">
        <v>8068</v>
      </c>
    </row>
    <row r="26261">
      <c r="A26261" s="1" t="s">
        <v>40514</v>
      </c>
      <c r="B26261" s="2" t="s">
        <v>40515</v>
      </c>
      <c r="C26261" s="1" t="s">
        <v>8067</v>
      </c>
      <c r="D26261" s="1" t="s">
        <v>8068</v>
      </c>
    </row>
    <row r="26262">
      <c r="A26262" s="1" t="s">
        <v>40516</v>
      </c>
      <c r="B26262" s="2" t="s">
        <v>40517</v>
      </c>
      <c r="C26262" s="1" t="s">
        <v>8067</v>
      </c>
      <c r="D26262" s="1" t="s">
        <v>8068</v>
      </c>
    </row>
    <row r="26263">
      <c r="A26263" s="1" t="s">
        <v>40518</v>
      </c>
      <c r="B26263" s="2" t="s">
        <v>40519</v>
      </c>
      <c r="C26263" s="1" t="s">
        <v>8067</v>
      </c>
      <c r="D26263" s="1" t="s">
        <v>8068</v>
      </c>
    </row>
    <row r="26264">
      <c r="A26264" s="1" t="s">
        <v>40520</v>
      </c>
      <c r="B26264" s="2" t="s">
        <v>40506</v>
      </c>
      <c r="C26264" s="1" t="s">
        <v>8067</v>
      </c>
      <c r="D26264" s="1" t="s">
        <v>8068</v>
      </c>
    </row>
    <row r="26265">
      <c r="A26265" s="1" t="s">
        <v>40521</v>
      </c>
      <c r="B26265" s="2" t="s">
        <v>40508</v>
      </c>
      <c r="C26265" s="1" t="s">
        <v>8067</v>
      </c>
      <c r="D26265" s="1" t="s">
        <v>8068</v>
      </c>
    </row>
    <row r="26266">
      <c r="A26266" s="1" t="s">
        <v>40522</v>
      </c>
      <c r="B26266" s="2" t="s">
        <v>40523</v>
      </c>
      <c r="C26266" s="1" t="s">
        <v>8067</v>
      </c>
      <c r="D26266" s="1" t="s">
        <v>8068</v>
      </c>
    </row>
    <row r="26267">
      <c r="A26267" s="1" t="s">
        <v>40524</v>
      </c>
      <c r="B26267" s="2" t="s">
        <v>40525</v>
      </c>
      <c r="C26267" s="1" t="s">
        <v>8067</v>
      </c>
      <c r="D26267" s="1" t="s">
        <v>8068</v>
      </c>
    </row>
    <row r="26268">
      <c r="A26268" s="1" t="s">
        <v>40526</v>
      </c>
      <c r="B26268" s="2" t="s">
        <v>40527</v>
      </c>
      <c r="C26268" s="1" t="s">
        <v>8067</v>
      </c>
      <c r="D26268" s="1" t="s">
        <v>8068</v>
      </c>
    </row>
    <row r="26269">
      <c r="A26269" s="1" t="s">
        <v>8071</v>
      </c>
      <c r="B26269" s="2" t="s">
        <v>234</v>
      </c>
      <c r="C26269" s="1" t="s">
        <v>8074</v>
      </c>
      <c r="D26269" s="1" t="s">
        <v>8075</v>
      </c>
    </row>
    <row r="26270">
      <c r="A26270" s="1" t="s">
        <v>8081</v>
      </c>
      <c r="B26270" s="2" t="s">
        <v>234</v>
      </c>
      <c r="C26270" s="1" t="s">
        <v>8083</v>
      </c>
      <c r="D26270" s="1" t="s">
        <v>8084</v>
      </c>
    </row>
    <row r="26271">
      <c r="A26271" s="1" t="s">
        <v>8089</v>
      </c>
      <c r="B26271" s="2" t="s">
        <v>7</v>
      </c>
      <c r="C26271" s="1" t="s">
        <v>8092</v>
      </c>
      <c r="D26271" s="1" t="s">
        <v>8093</v>
      </c>
    </row>
    <row r="26272">
      <c r="A26272" s="1" t="s">
        <v>40528</v>
      </c>
      <c r="B26272" s="2" t="s">
        <v>40529</v>
      </c>
      <c r="C26272" s="1" t="s">
        <v>8092</v>
      </c>
      <c r="D26272" s="1" t="s">
        <v>8093</v>
      </c>
    </row>
    <row r="26273">
      <c r="A26273" s="1" t="s">
        <v>40530</v>
      </c>
      <c r="B26273" s="2" t="s">
        <v>40531</v>
      </c>
      <c r="C26273" s="1" t="s">
        <v>8092</v>
      </c>
      <c r="D26273" s="1" t="s">
        <v>8093</v>
      </c>
    </row>
    <row r="26274">
      <c r="A26274" s="1" t="s">
        <v>8098</v>
      </c>
      <c r="B26274" s="2" t="s">
        <v>7</v>
      </c>
      <c r="C26274" s="1" t="s">
        <v>8099</v>
      </c>
      <c r="D26274" s="1" t="s">
        <v>8100</v>
      </c>
    </row>
    <row r="26275">
      <c r="A26275" s="1" t="s">
        <v>40532</v>
      </c>
      <c r="B26275" s="2" t="s">
        <v>40529</v>
      </c>
      <c r="C26275" s="1" t="s">
        <v>8099</v>
      </c>
      <c r="D26275" s="1" t="s">
        <v>8100</v>
      </c>
    </row>
    <row r="26276">
      <c r="A26276" s="1" t="s">
        <v>40533</v>
      </c>
      <c r="B26276" s="2" t="s">
        <v>40531</v>
      </c>
      <c r="C26276" s="1" t="s">
        <v>8099</v>
      </c>
      <c r="D26276" s="1" t="s">
        <v>8100</v>
      </c>
    </row>
    <row r="26277">
      <c r="A26277" s="1" t="s">
        <v>8103</v>
      </c>
      <c r="B26277" s="2" t="s">
        <v>7</v>
      </c>
      <c r="C26277" s="1" t="s">
        <v>8104</v>
      </c>
      <c r="D26277" s="1" t="s">
        <v>8106</v>
      </c>
    </row>
    <row r="26278">
      <c r="A26278" s="1" t="s">
        <v>40534</v>
      </c>
      <c r="B26278" s="2" t="s">
        <v>40529</v>
      </c>
      <c r="C26278" s="1" t="s">
        <v>8104</v>
      </c>
      <c r="D26278" s="1" t="s">
        <v>8106</v>
      </c>
    </row>
    <row r="26279">
      <c r="A26279" s="1" t="s">
        <v>40535</v>
      </c>
      <c r="B26279" s="2" t="s">
        <v>40531</v>
      </c>
      <c r="C26279" s="1" t="s">
        <v>8104</v>
      </c>
      <c r="D26279" s="1" t="s">
        <v>8106</v>
      </c>
    </row>
    <row r="26280">
      <c r="A26280" s="1" t="s">
        <v>8108</v>
      </c>
      <c r="B26280" s="2" t="s">
        <v>7</v>
      </c>
      <c r="C26280" s="1" t="s">
        <v>8110</v>
      </c>
      <c r="D26280" s="1" t="s">
        <v>8111</v>
      </c>
    </row>
    <row r="26281">
      <c r="A26281" s="1" t="s">
        <v>40536</v>
      </c>
      <c r="B26281" s="2" t="s">
        <v>40529</v>
      </c>
      <c r="C26281" s="1" t="s">
        <v>8110</v>
      </c>
      <c r="D26281" s="1" t="s">
        <v>8111</v>
      </c>
    </row>
    <row r="26282">
      <c r="A26282" s="1" t="s">
        <v>40537</v>
      </c>
      <c r="B26282" s="2" t="s">
        <v>40531</v>
      </c>
      <c r="C26282" s="1" t="s">
        <v>8110</v>
      </c>
      <c r="D26282" s="1" t="s">
        <v>8111</v>
      </c>
    </row>
    <row r="26283">
      <c r="A26283" s="1" t="s">
        <v>8114</v>
      </c>
      <c r="B26283" s="2" t="s">
        <v>7</v>
      </c>
      <c r="C26283" s="1" t="s">
        <v>8116</v>
      </c>
      <c r="D26283" s="1" t="s">
        <v>8117</v>
      </c>
    </row>
    <row r="26284">
      <c r="A26284" s="1" t="s">
        <v>40538</v>
      </c>
      <c r="B26284" s="2" t="s">
        <v>2820</v>
      </c>
      <c r="C26284" s="1" t="s">
        <v>8116</v>
      </c>
      <c r="D26284" s="1" t="s">
        <v>8117</v>
      </c>
    </row>
    <row r="26285">
      <c r="A26285" s="1" t="s">
        <v>40539</v>
      </c>
      <c r="B26285" s="2" t="s">
        <v>40540</v>
      </c>
      <c r="C26285" s="1" t="s">
        <v>8116</v>
      </c>
      <c r="D26285" s="1" t="s">
        <v>8117</v>
      </c>
    </row>
    <row r="26286">
      <c r="A26286" s="1" t="s">
        <v>40541</v>
      </c>
      <c r="B26286" s="2" t="s">
        <v>40542</v>
      </c>
      <c r="C26286" s="1" t="s">
        <v>8116</v>
      </c>
      <c r="D26286" s="1" t="s">
        <v>8117</v>
      </c>
    </row>
    <row r="26287">
      <c r="A26287" s="1" t="s">
        <v>40543</v>
      </c>
      <c r="B26287" s="2" t="s">
        <v>2858</v>
      </c>
      <c r="C26287" s="1" t="s">
        <v>8116</v>
      </c>
      <c r="D26287" s="1" t="s">
        <v>8117</v>
      </c>
    </row>
    <row r="26288">
      <c r="A26288" s="1" t="s">
        <v>40544</v>
      </c>
      <c r="B26288" s="2" t="s">
        <v>40545</v>
      </c>
      <c r="C26288" s="1" t="s">
        <v>8116</v>
      </c>
      <c r="D26288" s="1" t="s">
        <v>8117</v>
      </c>
    </row>
    <row r="26289">
      <c r="A26289" s="1" t="s">
        <v>40546</v>
      </c>
      <c r="B26289" s="2" t="s">
        <v>40547</v>
      </c>
      <c r="C26289" s="1" t="s">
        <v>8116</v>
      </c>
      <c r="D26289" s="1" t="s">
        <v>8117</v>
      </c>
    </row>
    <row r="26290">
      <c r="A26290" s="1" t="s">
        <v>8128</v>
      </c>
      <c r="B26290" s="2" t="s">
        <v>7</v>
      </c>
      <c r="C26290" s="1" t="s">
        <v>8130</v>
      </c>
      <c r="D26290" s="1" t="s">
        <v>8132</v>
      </c>
    </row>
    <row r="26291">
      <c r="A26291" s="1" t="s">
        <v>40548</v>
      </c>
      <c r="B26291" s="2" t="s">
        <v>2820</v>
      </c>
      <c r="C26291" s="1" t="s">
        <v>8130</v>
      </c>
      <c r="D26291" s="1" t="s">
        <v>8132</v>
      </c>
    </row>
    <row r="26292">
      <c r="A26292" s="1" t="s">
        <v>40549</v>
      </c>
      <c r="B26292" s="2" t="s">
        <v>40540</v>
      </c>
      <c r="C26292" s="1" t="s">
        <v>8130</v>
      </c>
      <c r="D26292" s="1" t="s">
        <v>8132</v>
      </c>
    </row>
    <row r="26293">
      <c r="A26293" s="1" t="s">
        <v>40550</v>
      </c>
      <c r="B26293" s="2" t="s">
        <v>40542</v>
      </c>
      <c r="C26293" s="1" t="s">
        <v>8130</v>
      </c>
      <c r="D26293" s="1" t="s">
        <v>8132</v>
      </c>
    </row>
    <row r="26294">
      <c r="A26294" s="1" t="s">
        <v>40551</v>
      </c>
      <c r="B26294" s="2" t="s">
        <v>2858</v>
      </c>
      <c r="C26294" s="1" t="s">
        <v>8130</v>
      </c>
      <c r="D26294" s="1" t="s">
        <v>8132</v>
      </c>
    </row>
    <row r="26295">
      <c r="A26295" s="1" t="s">
        <v>40552</v>
      </c>
      <c r="B26295" s="2" t="s">
        <v>40545</v>
      </c>
      <c r="C26295" s="1" t="s">
        <v>8130</v>
      </c>
      <c r="D26295" s="1" t="s">
        <v>8132</v>
      </c>
    </row>
    <row r="26296">
      <c r="A26296" s="1" t="s">
        <v>40553</v>
      </c>
      <c r="B26296" s="2" t="s">
        <v>40547</v>
      </c>
      <c r="C26296" s="1" t="s">
        <v>8130</v>
      </c>
      <c r="D26296" s="1" t="s">
        <v>8132</v>
      </c>
    </row>
    <row r="26297">
      <c r="A26297" s="1" t="s">
        <v>8120</v>
      </c>
      <c r="B26297" s="2" t="s">
        <v>7</v>
      </c>
      <c r="C26297" s="1" t="s">
        <v>8122</v>
      </c>
      <c r="D26297" s="1" t="s">
        <v>8123</v>
      </c>
    </row>
    <row r="26298">
      <c r="A26298" s="1" t="s">
        <v>40554</v>
      </c>
      <c r="B26298" s="2" t="s">
        <v>2820</v>
      </c>
      <c r="C26298" s="1" t="s">
        <v>8122</v>
      </c>
      <c r="D26298" s="1" t="s">
        <v>8123</v>
      </c>
    </row>
    <row r="26299">
      <c r="A26299" s="1" t="s">
        <v>40555</v>
      </c>
      <c r="B26299" s="2" t="s">
        <v>40540</v>
      </c>
      <c r="C26299" s="1" t="s">
        <v>8122</v>
      </c>
      <c r="D26299" s="1" t="s">
        <v>8123</v>
      </c>
    </row>
    <row r="26300">
      <c r="A26300" s="1" t="s">
        <v>40556</v>
      </c>
      <c r="B26300" s="2" t="s">
        <v>40542</v>
      </c>
      <c r="C26300" s="1" t="s">
        <v>8122</v>
      </c>
      <c r="D26300" s="1" t="s">
        <v>8123</v>
      </c>
    </row>
    <row r="26301">
      <c r="A26301" s="1" t="s">
        <v>40557</v>
      </c>
      <c r="B26301" s="2" t="s">
        <v>2858</v>
      </c>
      <c r="C26301" s="1" t="s">
        <v>8122</v>
      </c>
      <c r="D26301" s="1" t="s">
        <v>8123</v>
      </c>
    </row>
    <row r="26302">
      <c r="A26302" s="1" t="s">
        <v>40558</v>
      </c>
      <c r="B26302" s="2" t="s">
        <v>40545</v>
      </c>
      <c r="C26302" s="1" t="s">
        <v>8122</v>
      </c>
      <c r="D26302" s="1" t="s">
        <v>8123</v>
      </c>
    </row>
    <row r="26303">
      <c r="A26303" s="1" t="s">
        <v>40559</v>
      </c>
      <c r="B26303" s="2" t="s">
        <v>40547</v>
      </c>
      <c r="C26303" s="1" t="s">
        <v>8122</v>
      </c>
      <c r="D26303" s="1" t="s">
        <v>8123</v>
      </c>
    </row>
    <row r="26304">
      <c r="A26304" s="1" t="s">
        <v>8137</v>
      </c>
      <c r="B26304" s="2" t="s">
        <v>7</v>
      </c>
      <c r="C26304" s="1" t="s">
        <v>8138</v>
      </c>
      <c r="D26304" s="1" t="s">
        <v>8140</v>
      </c>
    </row>
    <row r="26305">
      <c r="A26305" s="1" t="s">
        <v>40560</v>
      </c>
      <c r="B26305" s="2" t="s">
        <v>40529</v>
      </c>
      <c r="C26305" s="1" t="s">
        <v>8138</v>
      </c>
      <c r="D26305" s="1" t="s">
        <v>8140</v>
      </c>
    </row>
    <row r="26306">
      <c r="A26306" s="1" t="s">
        <v>40561</v>
      </c>
      <c r="B26306" s="2" t="s">
        <v>40531</v>
      </c>
      <c r="C26306" s="1" t="s">
        <v>8138</v>
      </c>
      <c r="D26306" s="1" t="s">
        <v>8140</v>
      </c>
    </row>
    <row r="26307">
      <c r="A26307" s="1" t="s">
        <v>8144</v>
      </c>
      <c r="B26307" s="2" t="s">
        <v>7</v>
      </c>
      <c r="C26307" s="1" t="s">
        <v>8147</v>
      </c>
      <c r="D26307" s="1" t="s">
        <v>8148</v>
      </c>
    </row>
    <row r="26308">
      <c r="A26308" s="1" t="s">
        <v>40562</v>
      </c>
      <c r="B26308" s="2" t="s">
        <v>40529</v>
      </c>
      <c r="C26308" s="1" t="s">
        <v>8147</v>
      </c>
      <c r="D26308" s="1" t="s">
        <v>8148</v>
      </c>
    </row>
    <row r="26309">
      <c r="A26309" s="1" t="s">
        <v>40563</v>
      </c>
      <c r="B26309" s="2" t="s">
        <v>40531</v>
      </c>
      <c r="C26309" s="1" t="s">
        <v>8147</v>
      </c>
      <c r="D26309" s="1" t="s">
        <v>8148</v>
      </c>
    </row>
    <row r="26310">
      <c r="A26310" s="1" t="s">
        <v>8153</v>
      </c>
      <c r="B26310" s="2" t="s">
        <v>7</v>
      </c>
      <c r="C26310" s="1" t="s">
        <v>8154</v>
      </c>
      <c r="D26310" s="1" t="s">
        <v>8156</v>
      </c>
    </row>
    <row r="26311">
      <c r="A26311" s="1" t="s">
        <v>40564</v>
      </c>
      <c r="B26311" s="2" t="s">
        <v>40529</v>
      </c>
      <c r="C26311" s="1" t="s">
        <v>8154</v>
      </c>
      <c r="D26311" s="1" t="s">
        <v>8156</v>
      </c>
    </row>
    <row r="26312">
      <c r="A26312" s="1" t="s">
        <v>40565</v>
      </c>
      <c r="B26312" s="2" t="s">
        <v>40531</v>
      </c>
      <c r="C26312" s="1" t="s">
        <v>8154</v>
      </c>
      <c r="D26312" s="1" t="s">
        <v>8156</v>
      </c>
    </row>
    <row r="26313">
      <c r="A26313" s="1" t="s">
        <v>8160</v>
      </c>
      <c r="B26313" s="2" t="s">
        <v>7</v>
      </c>
      <c r="C26313" s="1" t="s">
        <v>8162</v>
      </c>
      <c r="D26313" s="1" t="s">
        <v>8163</v>
      </c>
    </row>
    <row r="26314">
      <c r="A26314" s="1" t="s">
        <v>40566</v>
      </c>
      <c r="B26314" s="2" t="s">
        <v>40567</v>
      </c>
      <c r="C26314" s="1" t="s">
        <v>8162</v>
      </c>
      <c r="D26314" s="1" t="s">
        <v>8163</v>
      </c>
    </row>
    <row r="26315">
      <c r="A26315" s="1" t="s">
        <v>40568</v>
      </c>
      <c r="B26315" s="2" t="s">
        <v>40569</v>
      </c>
      <c r="C26315" s="1" t="s">
        <v>8162</v>
      </c>
      <c r="D26315" s="1" t="s">
        <v>8163</v>
      </c>
    </row>
    <row r="26316">
      <c r="A26316" s="1" t="s">
        <v>40570</v>
      </c>
      <c r="B26316" s="2" t="s">
        <v>40571</v>
      </c>
      <c r="C26316" s="1" t="s">
        <v>8162</v>
      </c>
      <c r="D26316" s="1" t="s">
        <v>8163</v>
      </c>
    </row>
    <row r="26317">
      <c r="A26317" s="1" t="s">
        <v>40572</v>
      </c>
      <c r="B26317" s="2" t="s">
        <v>40573</v>
      </c>
      <c r="C26317" s="1" t="s">
        <v>8162</v>
      </c>
      <c r="D26317" s="1" t="s">
        <v>8163</v>
      </c>
    </row>
    <row r="26318">
      <c r="A26318" s="1" t="s">
        <v>40574</v>
      </c>
      <c r="B26318" s="2" t="s">
        <v>40575</v>
      </c>
      <c r="C26318" s="1" t="s">
        <v>8162</v>
      </c>
      <c r="D26318" s="1" t="s">
        <v>8163</v>
      </c>
    </row>
    <row r="26319">
      <c r="A26319" s="1" t="s">
        <v>40576</v>
      </c>
      <c r="B26319" s="2" t="s">
        <v>40577</v>
      </c>
      <c r="C26319" s="1" t="s">
        <v>8162</v>
      </c>
      <c r="D26319" s="1" t="s">
        <v>8163</v>
      </c>
    </row>
    <row r="26320">
      <c r="A26320" s="1" t="s">
        <v>8168</v>
      </c>
      <c r="B26320" s="2" t="s">
        <v>7</v>
      </c>
      <c r="C26320" s="1" t="s">
        <v>8171</v>
      </c>
      <c r="D26320" s="1" t="s">
        <v>8172</v>
      </c>
    </row>
    <row r="26321">
      <c r="A26321" s="1" t="s">
        <v>40578</v>
      </c>
      <c r="B26321" s="2" t="s">
        <v>40529</v>
      </c>
      <c r="C26321" s="1" t="s">
        <v>8171</v>
      </c>
      <c r="D26321" s="1" t="s">
        <v>8172</v>
      </c>
    </row>
    <row r="26322">
      <c r="A26322" s="1" t="s">
        <v>40579</v>
      </c>
      <c r="B26322" s="2" t="s">
        <v>40531</v>
      </c>
      <c r="C26322" s="1" t="s">
        <v>8171</v>
      </c>
      <c r="D26322" s="1" t="s">
        <v>8172</v>
      </c>
    </row>
    <row r="26323">
      <c r="A26323" s="1" t="s">
        <v>8177</v>
      </c>
      <c r="B26323" s="2" t="s">
        <v>7</v>
      </c>
      <c r="C26323" s="1" t="s">
        <v>8179</v>
      </c>
      <c r="D26323" s="1" t="s">
        <v>8181</v>
      </c>
    </row>
    <row r="26324">
      <c r="A26324" s="1" t="s">
        <v>40580</v>
      </c>
      <c r="B26324" s="2" t="s">
        <v>40581</v>
      </c>
      <c r="C26324" s="1" t="s">
        <v>8179</v>
      </c>
      <c r="D26324" s="1" t="s">
        <v>8181</v>
      </c>
    </row>
    <row r="26325">
      <c r="A26325" s="1" t="s">
        <v>40582</v>
      </c>
      <c r="B26325" s="2" t="s">
        <v>40583</v>
      </c>
      <c r="C26325" s="1" t="s">
        <v>8179</v>
      </c>
      <c r="D26325" s="1" t="s">
        <v>8181</v>
      </c>
    </row>
    <row r="26326">
      <c r="A26326" s="1" t="s">
        <v>40584</v>
      </c>
      <c r="B26326" s="2" t="s">
        <v>40585</v>
      </c>
      <c r="C26326" s="1" t="s">
        <v>8179</v>
      </c>
      <c r="D26326" s="1" t="s">
        <v>8181</v>
      </c>
    </row>
    <row r="26327">
      <c r="A26327" s="1" t="s">
        <v>40586</v>
      </c>
      <c r="B26327" s="2" t="s">
        <v>40531</v>
      </c>
      <c r="C26327" s="1" t="s">
        <v>8179</v>
      </c>
      <c r="D26327" s="1" t="s">
        <v>8181</v>
      </c>
    </row>
    <row r="26328">
      <c r="A26328" s="1" t="s">
        <v>8185</v>
      </c>
      <c r="B26328" s="2" t="s">
        <v>7</v>
      </c>
      <c r="C26328" s="1" t="s">
        <v>8188</v>
      </c>
      <c r="D26328" s="1" t="s">
        <v>8190</v>
      </c>
    </row>
    <row r="26329">
      <c r="A26329" s="1" t="s">
        <v>40587</v>
      </c>
      <c r="B26329" s="2" t="s">
        <v>10344</v>
      </c>
      <c r="C26329" s="1" t="s">
        <v>8188</v>
      </c>
      <c r="D26329" s="1" t="s">
        <v>8190</v>
      </c>
    </row>
    <row r="26330">
      <c r="A26330" s="1" t="s">
        <v>40588</v>
      </c>
      <c r="B26330" s="2" t="s">
        <v>40589</v>
      </c>
      <c r="C26330" s="1" t="s">
        <v>8188</v>
      </c>
      <c r="D26330" s="1" t="s">
        <v>8190</v>
      </c>
    </row>
    <row r="26331">
      <c r="A26331" s="1" t="s">
        <v>40590</v>
      </c>
      <c r="B26331" s="2" t="s">
        <v>40591</v>
      </c>
      <c r="C26331" s="1" t="s">
        <v>8188</v>
      </c>
      <c r="D26331" s="1" t="s">
        <v>8190</v>
      </c>
    </row>
    <row r="26332">
      <c r="A26332" s="1" t="s">
        <v>40592</v>
      </c>
      <c r="B26332" s="2" t="s">
        <v>40593</v>
      </c>
      <c r="C26332" s="1" t="s">
        <v>8188</v>
      </c>
      <c r="D26332" s="1" t="s">
        <v>8190</v>
      </c>
    </row>
    <row r="26333">
      <c r="A26333" s="1" t="s">
        <v>8196</v>
      </c>
      <c r="B26333" s="2" t="s">
        <v>7</v>
      </c>
      <c r="C26333" s="1" t="s">
        <v>8199</v>
      </c>
      <c r="D26333" s="1" t="s">
        <v>8200</v>
      </c>
    </row>
    <row r="26334">
      <c r="A26334" s="1" t="s">
        <v>40594</v>
      </c>
      <c r="B26334" s="2" t="s">
        <v>40595</v>
      </c>
      <c r="C26334" s="1" t="s">
        <v>8199</v>
      </c>
      <c r="D26334" s="1" t="s">
        <v>8200</v>
      </c>
    </row>
    <row r="26335">
      <c r="A26335" s="1" t="s">
        <v>40596</v>
      </c>
      <c r="B26335" s="2" t="s">
        <v>40597</v>
      </c>
      <c r="C26335" s="1" t="s">
        <v>8199</v>
      </c>
      <c r="D26335" s="1" t="s">
        <v>8200</v>
      </c>
    </row>
    <row r="26336">
      <c r="A26336" s="1" t="s">
        <v>40598</v>
      </c>
      <c r="B26336" s="2" t="s">
        <v>40599</v>
      </c>
      <c r="C26336" s="1" t="s">
        <v>8199</v>
      </c>
      <c r="D26336" s="1" t="s">
        <v>8200</v>
      </c>
    </row>
    <row r="26337">
      <c r="A26337" s="1" t="s">
        <v>40600</v>
      </c>
      <c r="B26337" s="2" t="s">
        <v>10374</v>
      </c>
      <c r="C26337" s="1" t="s">
        <v>8199</v>
      </c>
      <c r="D26337" s="1" t="s">
        <v>8200</v>
      </c>
    </row>
    <row r="26338">
      <c r="A26338" s="1" t="s">
        <v>8201</v>
      </c>
      <c r="B26338" s="2" t="s">
        <v>7</v>
      </c>
      <c r="C26338" s="1" t="s">
        <v>8202</v>
      </c>
      <c r="D26338" s="1" t="s">
        <v>8204</v>
      </c>
    </row>
    <row r="26339">
      <c r="A26339" s="1" t="s">
        <v>40601</v>
      </c>
      <c r="B26339" s="2" t="s">
        <v>40595</v>
      </c>
      <c r="C26339" s="1" t="s">
        <v>8202</v>
      </c>
      <c r="D26339" s="1" t="s">
        <v>8204</v>
      </c>
    </row>
    <row r="26340">
      <c r="A26340" s="1" t="s">
        <v>40602</v>
      </c>
      <c r="B26340" s="2" t="s">
        <v>40603</v>
      </c>
      <c r="C26340" s="1" t="s">
        <v>8202</v>
      </c>
      <c r="D26340" s="1" t="s">
        <v>8204</v>
      </c>
    </row>
    <row r="26341">
      <c r="A26341" s="1" t="s">
        <v>40604</v>
      </c>
      <c r="B26341" s="2" t="s">
        <v>40605</v>
      </c>
      <c r="C26341" s="1" t="s">
        <v>8202</v>
      </c>
      <c r="D26341" s="1" t="s">
        <v>8204</v>
      </c>
    </row>
    <row r="26342">
      <c r="A26342" s="1" t="s">
        <v>40606</v>
      </c>
      <c r="B26342" s="2" t="s">
        <v>10374</v>
      </c>
      <c r="C26342" s="1" t="s">
        <v>8202</v>
      </c>
      <c r="D26342" s="1" t="s">
        <v>8204</v>
      </c>
    </row>
    <row r="26343">
      <c r="A26343" s="1" t="s">
        <v>8208</v>
      </c>
      <c r="B26343" s="2" t="s">
        <v>7</v>
      </c>
      <c r="C26343" s="1" t="s">
        <v>8209</v>
      </c>
      <c r="D26343" s="1" t="s">
        <v>8211</v>
      </c>
    </row>
    <row r="26344">
      <c r="A26344" s="1" t="s">
        <v>40607</v>
      </c>
      <c r="B26344" s="2" t="s">
        <v>40529</v>
      </c>
      <c r="C26344" s="1" t="s">
        <v>8209</v>
      </c>
      <c r="D26344" s="1" t="s">
        <v>8211</v>
      </c>
    </row>
    <row r="26345">
      <c r="A26345" s="1" t="s">
        <v>40608</v>
      </c>
      <c r="B26345" s="2" t="s">
        <v>40531</v>
      </c>
      <c r="C26345" s="1" t="s">
        <v>8209</v>
      </c>
      <c r="D26345" s="1" t="s">
        <v>8211</v>
      </c>
    </row>
    <row r="26346">
      <c r="A26346" s="1" t="s">
        <v>8216</v>
      </c>
      <c r="B26346" s="2" t="s">
        <v>7</v>
      </c>
      <c r="C26346" s="1" t="s">
        <v>8219</v>
      </c>
      <c r="D26346" s="1" t="s">
        <v>8220</v>
      </c>
    </row>
    <row r="26347">
      <c r="A26347" s="1" t="s">
        <v>40609</v>
      </c>
      <c r="B26347" s="2" t="s">
        <v>40529</v>
      </c>
      <c r="C26347" s="1" t="s">
        <v>8219</v>
      </c>
      <c r="D26347" s="1" t="s">
        <v>8220</v>
      </c>
    </row>
    <row r="26348">
      <c r="A26348" s="1" t="s">
        <v>40610</v>
      </c>
      <c r="B26348" s="2" t="s">
        <v>40531</v>
      </c>
      <c r="C26348" s="1" t="s">
        <v>8219</v>
      </c>
      <c r="D26348" s="1" t="s">
        <v>8220</v>
      </c>
    </row>
    <row r="26349">
      <c r="A26349" s="1" t="s">
        <v>8224</v>
      </c>
      <c r="B26349" s="2" t="s">
        <v>7</v>
      </c>
      <c r="C26349" s="1" t="s">
        <v>8225</v>
      </c>
      <c r="D26349" s="1" t="s">
        <v>8226</v>
      </c>
    </row>
    <row r="26350">
      <c r="A26350" s="1" t="s">
        <v>40611</v>
      </c>
      <c r="B26350" s="2" t="s">
        <v>40595</v>
      </c>
      <c r="C26350" s="1" t="s">
        <v>8225</v>
      </c>
      <c r="D26350" s="1" t="s">
        <v>8226</v>
      </c>
    </row>
    <row r="26351">
      <c r="A26351" s="1" t="s">
        <v>40612</v>
      </c>
      <c r="B26351" s="2" t="s">
        <v>40613</v>
      </c>
      <c r="C26351" s="1" t="s">
        <v>8225</v>
      </c>
      <c r="D26351" s="1" t="s">
        <v>8226</v>
      </c>
    </row>
    <row r="26352">
      <c r="A26352" s="1" t="s">
        <v>40614</v>
      </c>
      <c r="B26352" s="2" t="s">
        <v>40615</v>
      </c>
      <c r="C26352" s="1" t="s">
        <v>8225</v>
      </c>
      <c r="D26352" s="1" t="s">
        <v>8226</v>
      </c>
    </row>
    <row r="26353">
      <c r="A26353" s="1" t="s">
        <v>40616</v>
      </c>
      <c r="B26353" s="2" t="s">
        <v>10374</v>
      </c>
      <c r="C26353" s="1" t="s">
        <v>8225</v>
      </c>
      <c r="D26353" s="1" t="s">
        <v>8226</v>
      </c>
    </row>
    <row r="26354">
      <c r="A26354" s="1" t="s">
        <v>8230</v>
      </c>
      <c r="B26354" s="2" t="s">
        <v>7</v>
      </c>
      <c r="C26354" s="1" t="s">
        <v>8232</v>
      </c>
      <c r="D26354" s="1" t="s">
        <v>8233</v>
      </c>
    </row>
    <row r="26355">
      <c r="A26355" s="1" t="s">
        <v>40617</v>
      </c>
      <c r="B26355" s="2" t="s">
        <v>40595</v>
      </c>
      <c r="C26355" s="1" t="s">
        <v>8232</v>
      </c>
      <c r="D26355" s="1" t="s">
        <v>8233</v>
      </c>
    </row>
    <row r="26356">
      <c r="A26356" s="1" t="s">
        <v>40618</v>
      </c>
      <c r="B26356" s="2" t="s">
        <v>40603</v>
      </c>
      <c r="C26356" s="1" t="s">
        <v>8232</v>
      </c>
      <c r="D26356" s="1" t="s">
        <v>8233</v>
      </c>
    </row>
    <row r="26357">
      <c r="A26357" s="1" t="s">
        <v>40619</v>
      </c>
      <c r="B26357" s="2" t="s">
        <v>40605</v>
      </c>
      <c r="C26357" s="1" t="s">
        <v>8232</v>
      </c>
      <c r="D26357" s="1" t="s">
        <v>8233</v>
      </c>
    </row>
    <row r="26358">
      <c r="A26358" s="1" t="s">
        <v>40620</v>
      </c>
      <c r="B26358" s="2" t="s">
        <v>10374</v>
      </c>
      <c r="C26358" s="1" t="s">
        <v>8232</v>
      </c>
      <c r="D26358" s="1" t="s">
        <v>8233</v>
      </c>
    </row>
    <row r="26359">
      <c r="A26359" s="1" t="s">
        <v>8236</v>
      </c>
      <c r="B26359" s="2" t="s">
        <v>7</v>
      </c>
      <c r="C26359" s="1" t="s">
        <v>8239</v>
      </c>
      <c r="D26359" s="1" t="s">
        <v>8240</v>
      </c>
    </row>
    <row r="26360">
      <c r="A26360" s="1" t="s">
        <v>40621</v>
      </c>
      <c r="B26360" s="2" t="s">
        <v>40529</v>
      </c>
      <c r="C26360" s="1" t="s">
        <v>8239</v>
      </c>
      <c r="D26360" s="1" t="s">
        <v>8240</v>
      </c>
    </row>
    <row r="26361">
      <c r="A26361" s="1" t="s">
        <v>40622</v>
      </c>
      <c r="B26361" s="2" t="s">
        <v>40531</v>
      </c>
      <c r="C26361" s="1" t="s">
        <v>8239</v>
      </c>
      <c r="D26361" s="1" t="s">
        <v>8240</v>
      </c>
    </row>
    <row r="26362">
      <c r="A26362" s="1" t="s">
        <v>8243</v>
      </c>
      <c r="B26362" s="2" t="s">
        <v>7</v>
      </c>
      <c r="C26362" s="1" t="s">
        <v>8244</v>
      </c>
      <c r="D26362" s="1" t="s">
        <v>8246</v>
      </c>
    </row>
    <row r="26363">
      <c r="A26363" s="1" t="s">
        <v>40623</v>
      </c>
      <c r="B26363" s="2" t="s">
        <v>40529</v>
      </c>
      <c r="C26363" s="1" t="s">
        <v>8244</v>
      </c>
      <c r="D26363" s="1" t="s">
        <v>8246</v>
      </c>
    </row>
    <row r="26364">
      <c r="A26364" s="1" t="s">
        <v>40624</v>
      </c>
      <c r="B26364" s="2" t="s">
        <v>40531</v>
      </c>
      <c r="C26364" s="1" t="s">
        <v>8244</v>
      </c>
      <c r="D26364" s="1" t="s">
        <v>8246</v>
      </c>
    </row>
    <row r="26365">
      <c r="A26365" s="1" t="s">
        <v>8250</v>
      </c>
      <c r="B26365" s="2" t="s">
        <v>7</v>
      </c>
      <c r="C26365" s="1" t="s">
        <v>8252</v>
      </c>
      <c r="D26365" s="1" t="s">
        <v>8254</v>
      </c>
    </row>
    <row r="26366">
      <c r="A26366" s="1" t="s">
        <v>40625</v>
      </c>
      <c r="B26366" s="2" t="s">
        <v>40529</v>
      </c>
      <c r="C26366" s="1" t="s">
        <v>8252</v>
      </c>
      <c r="D26366" s="1" t="s">
        <v>8254</v>
      </c>
    </row>
    <row r="26367">
      <c r="A26367" s="1" t="s">
        <v>40626</v>
      </c>
      <c r="B26367" s="2" t="s">
        <v>40531</v>
      </c>
      <c r="C26367" s="1" t="s">
        <v>8252</v>
      </c>
      <c r="D26367" s="1" t="s">
        <v>8254</v>
      </c>
    </row>
    <row r="26368">
      <c r="A26368" s="1" t="s">
        <v>8258</v>
      </c>
      <c r="B26368" s="2" t="s">
        <v>7</v>
      </c>
      <c r="C26368" s="1" t="s">
        <v>8260</v>
      </c>
      <c r="D26368" s="1" t="s">
        <v>8262</v>
      </c>
    </row>
    <row r="26369">
      <c r="A26369" s="1" t="s">
        <v>40627</v>
      </c>
      <c r="B26369" s="2" t="s">
        <v>40529</v>
      </c>
      <c r="C26369" s="1" t="s">
        <v>8260</v>
      </c>
      <c r="D26369" s="1" t="s">
        <v>8262</v>
      </c>
    </row>
    <row r="26370">
      <c r="A26370" s="1" t="s">
        <v>40628</v>
      </c>
      <c r="B26370" s="2" t="s">
        <v>40531</v>
      </c>
      <c r="C26370" s="1" t="s">
        <v>8260</v>
      </c>
      <c r="D26370" s="1" t="s">
        <v>8262</v>
      </c>
    </row>
    <row r="26371">
      <c r="A26371" s="1" t="s">
        <v>8265</v>
      </c>
      <c r="B26371" s="2" t="s">
        <v>7</v>
      </c>
      <c r="C26371" s="1" t="s">
        <v>8268</v>
      </c>
      <c r="D26371" s="1" t="s">
        <v>8269</v>
      </c>
    </row>
    <row r="26372">
      <c r="A26372" s="1" t="s">
        <v>40629</v>
      </c>
      <c r="B26372" s="2" t="s">
        <v>13762</v>
      </c>
      <c r="C26372" s="1" t="s">
        <v>8268</v>
      </c>
      <c r="D26372" s="1" t="s">
        <v>8269</v>
      </c>
    </row>
    <row r="26373">
      <c r="A26373" s="1" t="s">
        <v>40630</v>
      </c>
      <c r="B26373" s="2" t="s">
        <v>13764</v>
      </c>
      <c r="C26373" s="1" t="s">
        <v>8268</v>
      </c>
      <c r="D26373" s="1" t="s">
        <v>8269</v>
      </c>
    </row>
    <row r="26374">
      <c r="A26374" s="1" t="s">
        <v>40631</v>
      </c>
      <c r="B26374" s="2" t="s">
        <v>40632</v>
      </c>
      <c r="C26374" s="1" t="s">
        <v>8268</v>
      </c>
      <c r="D26374" s="1" t="s">
        <v>8269</v>
      </c>
    </row>
    <row r="26375">
      <c r="A26375" s="1" t="s">
        <v>40633</v>
      </c>
      <c r="B26375" s="2" t="s">
        <v>40634</v>
      </c>
      <c r="C26375" s="1" t="s">
        <v>8268</v>
      </c>
      <c r="D26375" s="1" t="s">
        <v>8269</v>
      </c>
    </row>
    <row r="26376">
      <c r="A26376" s="1" t="s">
        <v>40635</v>
      </c>
      <c r="B26376" s="2" t="s">
        <v>13776</v>
      </c>
      <c r="C26376" s="1" t="s">
        <v>8268</v>
      </c>
      <c r="D26376" s="1" t="s">
        <v>8269</v>
      </c>
    </row>
    <row r="26377">
      <c r="A26377" s="1" t="s">
        <v>40636</v>
      </c>
      <c r="B26377" s="2" t="s">
        <v>13778</v>
      </c>
      <c r="C26377" s="1" t="s">
        <v>8268</v>
      </c>
      <c r="D26377" s="1" t="s">
        <v>8269</v>
      </c>
    </row>
    <row r="26378">
      <c r="A26378" s="1" t="s">
        <v>8274</v>
      </c>
      <c r="B26378" s="2" t="s">
        <v>7</v>
      </c>
      <c r="C26378" s="1" t="s">
        <v>8277</v>
      </c>
      <c r="D26378" s="1" t="s">
        <v>8278</v>
      </c>
    </row>
    <row r="26379">
      <c r="A26379" s="1" t="s">
        <v>40637</v>
      </c>
      <c r="B26379" s="2" t="s">
        <v>40529</v>
      </c>
      <c r="C26379" s="1" t="s">
        <v>8277</v>
      </c>
      <c r="D26379" s="1" t="s">
        <v>8278</v>
      </c>
    </row>
    <row r="26380">
      <c r="A26380" s="1" t="s">
        <v>40638</v>
      </c>
      <c r="B26380" s="2" t="s">
        <v>40531</v>
      </c>
      <c r="C26380" s="1" t="s">
        <v>8277</v>
      </c>
      <c r="D26380" s="1" t="s">
        <v>8278</v>
      </c>
    </row>
    <row r="26381">
      <c r="A26381" s="1" t="s">
        <v>8283</v>
      </c>
      <c r="B26381" s="2" t="s">
        <v>7</v>
      </c>
      <c r="C26381" s="1" t="s">
        <v>8286</v>
      </c>
      <c r="D26381" s="1" t="s">
        <v>8287</v>
      </c>
    </row>
    <row r="26382">
      <c r="A26382" s="1" t="s">
        <v>40639</v>
      </c>
      <c r="B26382" s="2" t="s">
        <v>40529</v>
      </c>
      <c r="C26382" s="1" t="s">
        <v>8286</v>
      </c>
      <c r="D26382" s="1" t="s">
        <v>8287</v>
      </c>
    </row>
    <row r="26383">
      <c r="A26383" s="1" t="s">
        <v>40640</v>
      </c>
      <c r="B26383" s="2" t="s">
        <v>40531</v>
      </c>
      <c r="C26383" s="1" t="s">
        <v>8286</v>
      </c>
      <c r="D26383" s="1" t="s">
        <v>8287</v>
      </c>
    </row>
    <row r="26384">
      <c r="A26384" s="1" t="s">
        <v>8292</v>
      </c>
      <c r="B26384" s="2" t="s">
        <v>7</v>
      </c>
      <c r="C26384" s="1" t="s">
        <v>8293</v>
      </c>
      <c r="D26384" s="1" t="s">
        <v>8294</v>
      </c>
    </row>
    <row r="26385">
      <c r="A26385" s="1" t="s">
        <v>40641</v>
      </c>
      <c r="B26385" s="2" t="s">
        <v>40529</v>
      </c>
      <c r="C26385" s="1" t="s">
        <v>8293</v>
      </c>
      <c r="D26385" s="1" t="s">
        <v>8294</v>
      </c>
    </row>
    <row r="26386">
      <c r="A26386" s="1" t="s">
        <v>40642</v>
      </c>
      <c r="B26386" s="2" t="s">
        <v>40531</v>
      </c>
      <c r="C26386" s="1" t="s">
        <v>8293</v>
      </c>
      <c r="D26386" s="1" t="s">
        <v>8294</v>
      </c>
    </row>
    <row r="26387">
      <c r="A26387" s="1" t="s">
        <v>8297</v>
      </c>
      <c r="B26387" s="2" t="s">
        <v>7</v>
      </c>
      <c r="C26387" s="1" t="s">
        <v>8298</v>
      </c>
      <c r="D26387" s="1" t="s">
        <v>8300</v>
      </c>
    </row>
    <row r="26388">
      <c r="A26388" s="1" t="s">
        <v>40643</v>
      </c>
      <c r="B26388" s="2" t="s">
        <v>40529</v>
      </c>
      <c r="C26388" s="1" t="s">
        <v>8298</v>
      </c>
      <c r="D26388" s="1" t="s">
        <v>8300</v>
      </c>
    </row>
    <row r="26389">
      <c r="A26389" s="1" t="s">
        <v>40644</v>
      </c>
      <c r="B26389" s="2" t="s">
        <v>40531</v>
      </c>
      <c r="C26389" s="1" t="s">
        <v>8298</v>
      </c>
      <c r="D26389" s="1" t="s">
        <v>8300</v>
      </c>
    </row>
    <row r="26390">
      <c r="A26390" s="1" t="s">
        <v>8303</v>
      </c>
      <c r="B26390" s="2" t="s">
        <v>7</v>
      </c>
      <c r="C26390" s="1" t="s">
        <v>8304</v>
      </c>
      <c r="D26390" s="1" t="s">
        <v>8306</v>
      </c>
    </row>
    <row r="26391">
      <c r="A26391" s="1" t="s">
        <v>40645</v>
      </c>
      <c r="B26391" s="2" t="s">
        <v>40529</v>
      </c>
      <c r="C26391" s="1" t="s">
        <v>8304</v>
      </c>
      <c r="D26391" s="1" t="s">
        <v>8306</v>
      </c>
    </row>
    <row r="26392">
      <c r="A26392" s="1" t="s">
        <v>40646</v>
      </c>
      <c r="B26392" s="2" t="s">
        <v>40531</v>
      </c>
      <c r="C26392" s="1" t="s">
        <v>8304</v>
      </c>
      <c r="D26392" s="1" t="s">
        <v>8306</v>
      </c>
    </row>
    <row r="26393">
      <c r="A26393" s="1" t="s">
        <v>8308</v>
      </c>
      <c r="B26393" s="2" t="s">
        <v>7</v>
      </c>
      <c r="C26393" s="1" t="s">
        <v>8310</v>
      </c>
      <c r="D26393" s="1" t="s">
        <v>8311</v>
      </c>
    </row>
    <row r="26394">
      <c r="A26394" s="1" t="s">
        <v>40647</v>
      </c>
      <c r="B26394" s="2" t="s">
        <v>40529</v>
      </c>
      <c r="C26394" s="1" t="s">
        <v>8310</v>
      </c>
      <c r="D26394" s="1" t="s">
        <v>8311</v>
      </c>
    </row>
    <row r="26395">
      <c r="A26395" s="1" t="s">
        <v>40648</v>
      </c>
      <c r="B26395" s="2" t="s">
        <v>40531</v>
      </c>
      <c r="C26395" s="1" t="s">
        <v>8310</v>
      </c>
      <c r="D26395" s="1" t="s">
        <v>8311</v>
      </c>
    </row>
    <row r="26396">
      <c r="A26396" s="1" t="s">
        <v>8314</v>
      </c>
      <c r="B26396" s="2" t="s">
        <v>7</v>
      </c>
      <c r="C26396" s="1" t="s">
        <v>8316</v>
      </c>
      <c r="D26396" s="1" t="s">
        <v>8317</v>
      </c>
    </row>
    <row r="26397">
      <c r="A26397" s="1" t="s">
        <v>40649</v>
      </c>
      <c r="B26397" s="2" t="s">
        <v>40529</v>
      </c>
      <c r="C26397" s="1" t="s">
        <v>8316</v>
      </c>
      <c r="D26397" s="1" t="s">
        <v>8317</v>
      </c>
    </row>
    <row r="26398">
      <c r="A26398" s="1" t="s">
        <v>40650</v>
      </c>
      <c r="B26398" s="2" t="s">
        <v>40531</v>
      </c>
      <c r="C26398" s="1" t="s">
        <v>8316</v>
      </c>
      <c r="D26398" s="1" t="s">
        <v>8317</v>
      </c>
    </row>
    <row r="26399">
      <c r="A26399" s="1" t="s">
        <v>8320</v>
      </c>
      <c r="B26399" s="2" t="s">
        <v>7</v>
      </c>
      <c r="C26399" s="1" t="s">
        <v>8322</v>
      </c>
      <c r="D26399" s="1" t="s">
        <v>8323</v>
      </c>
    </row>
    <row r="26400">
      <c r="A26400" s="1" t="s">
        <v>40651</v>
      </c>
      <c r="B26400" s="2" t="s">
        <v>40529</v>
      </c>
      <c r="C26400" s="1" t="s">
        <v>8322</v>
      </c>
      <c r="D26400" s="1" t="s">
        <v>8323</v>
      </c>
    </row>
    <row r="26401">
      <c r="A26401" s="1" t="s">
        <v>40652</v>
      </c>
      <c r="B26401" s="2" t="s">
        <v>40531</v>
      </c>
      <c r="C26401" s="1" t="s">
        <v>8322</v>
      </c>
      <c r="D26401" s="1" t="s">
        <v>8323</v>
      </c>
    </row>
    <row r="26402">
      <c r="A26402" s="1" t="s">
        <v>8326</v>
      </c>
      <c r="B26402" s="2" t="s">
        <v>7</v>
      </c>
      <c r="C26402" s="1" t="s">
        <v>8328</v>
      </c>
      <c r="D26402" s="1" t="s">
        <v>8329</v>
      </c>
    </row>
    <row r="26403">
      <c r="A26403" s="1" t="s">
        <v>40653</v>
      </c>
      <c r="B26403" s="2" t="s">
        <v>40529</v>
      </c>
      <c r="C26403" s="1" t="s">
        <v>8328</v>
      </c>
      <c r="D26403" s="1" t="s">
        <v>8329</v>
      </c>
    </row>
    <row r="26404">
      <c r="A26404" s="1" t="s">
        <v>40654</v>
      </c>
      <c r="B26404" s="2" t="s">
        <v>40531</v>
      </c>
      <c r="C26404" s="1" t="s">
        <v>8328</v>
      </c>
      <c r="D26404" s="1" t="s">
        <v>8329</v>
      </c>
    </row>
    <row r="26405">
      <c r="A26405" s="1" t="s">
        <v>8332</v>
      </c>
      <c r="B26405" s="2" t="s">
        <v>7</v>
      </c>
      <c r="C26405" s="1" t="s">
        <v>8334</v>
      </c>
      <c r="D26405" s="1" t="s">
        <v>8335</v>
      </c>
    </row>
    <row r="26406">
      <c r="A26406" s="1" t="s">
        <v>40655</v>
      </c>
      <c r="B26406" s="2" t="s">
        <v>40529</v>
      </c>
      <c r="C26406" s="1" t="s">
        <v>8334</v>
      </c>
      <c r="D26406" s="1" t="s">
        <v>8335</v>
      </c>
    </row>
    <row r="26407">
      <c r="A26407" s="1" t="s">
        <v>40656</v>
      </c>
      <c r="B26407" s="2" t="s">
        <v>40531</v>
      </c>
      <c r="C26407" s="1" t="s">
        <v>8334</v>
      </c>
      <c r="D26407" s="1" t="s">
        <v>8335</v>
      </c>
    </row>
    <row r="26408">
      <c r="A26408" s="1" t="s">
        <v>8338</v>
      </c>
      <c r="B26408" s="2" t="s">
        <v>7</v>
      </c>
      <c r="C26408" s="1" t="s">
        <v>8340</v>
      </c>
      <c r="D26408" s="1" t="s">
        <v>8342</v>
      </c>
    </row>
    <row r="26409">
      <c r="A26409" s="1" t="s">
        <v>40657</v>
      </c>
      <c r="B26409" s="2" t="s">
        <v>40529</v>
      </c>
      <c r="C26409" s="1" t="s">
        <v>8340</v>
      </c>
      <c r="D26409" s="1" t="s">
        <v>8342</v>
      </c>
    </row>
    <row r="26410">
      <c r="A26410" s="1" t="s">
        <v>40658</v>
      </c>
      <c r="B26410" s="2" t="s">
        <v>40531</v>
      </c>
      <c r="C26410" s="1" t="s">
        <v>8340</v>
      </c>
      <c r="D26410" s="1" t="s">
        <v>8342</v>
      </c>
    </row>
    <row r="26411">
      <c r="A26411" s="1" t="s">
        <v>8346</v>
      </c>
      <c r="B26411" s="2" t="s">
        <v>7</v>
      </c>
      <c r="C26411" s="1" t="s">
        <v>8348</v>
      </c>
      <c r="D26411" s="1" t="s">
        <v>8350</v>
      </c>
    </row>
    <row r="26412">
      <c r="A26412" s="1" t="s">
        <v>40659</v>
      </c>
      <c r="B26412" s="2" t="s">
        <v>40529</v>
      </c>
      <c r="C26412" s="1" t="s">
        <v>8348</v>
      </c>
      <c r="D26412" s="1" t="s">
        <v>8350</v>
      </c>
    </row>
    <row r="26413">
      <c r="A26413" s="1" t="s">
        <v>40660</v>
      </c>
      <c r="B26413" s="2" t="s">
        <v>40661</v>
      </c>
      <c r="C26413" s="1" t="s">
        <v>8348</v>
      </c>
      <c r="D26413" s="1" t="s">
        <v>8350</v>
      </c>
    </row>
    <row r="26414">
      <c r="A26414" s="1" t="s">
        <v>8354</v>
      </c>
      <c r="B26414" s="2" t="s">
        <v>7</v>
      </c>
      <c r="C26414" s="1" t="s">
        <v>8357</v>
      </c>
      <c r="D26414" s="1" t="s">
        <v>8358</v>
      </c>
    </row>
    <row r="26415">
      <c r="A26415" s="1" t="s">
        <v>40662</v>
      </c>
      <c r="B26415" s="2" t="s">
        <v>40529</v>
      </c>
      <c r="C26415" s="1" t="s">
        <v>8357</v>
      </c>
      <c r="D26415" s="1" t="s">
        <v>8358</v>
      </c>
    </row>
    <row r="26416">
      <c r="A26416" s="1" t="s">
        <v>40663</v>
      </c>
      <c r="B26416" s="2" t="s">
        <v>40531</v>
      </c>
      <c r="C26416" s="1" t="s">
        <v>8357</v>
      </c>
      <c r="D26416" s="1" t="s">
        <v>8358</v>
      </c>
    </row>
    <row r="26417">
      <c r="A26417" s="1" t="s">
        <v>8363</v>
      </c>
      <c r="B26417" s="2" t="s">
        <v>7</v>
      </c>
      <c r="C26417" s="1" t="s">
        <v>8365</v>
      </c>
      <c r="D26417" s="1" t="s">
        <v>8367</v>
      </c>
    </row>
    <row r="26418">
      <c r="A26418" s="1" t="s">
        <v>40664</v>
      </c>
      <c r="B26418" s="2" t="s">
        <v>5721</v>
      </c>
      <c r="C26418" s="1" t="s">
        <v>8365</v>
      </c>
      <c r="D26418" s="1" t="s">
        <v>8367</v>
      </c>
    </row>
    <row r="26419">
      <c r="A26419" s="1" t="s">
        <v>40665</v>
      </c>
      <c r="B26419" s="2" t="s">
        <v>5732</v>
      </c>
      <c r="C26419" s="1" t="s">
        <v>8365</v>
      </c>
      <c r="D26419" s="1" t="s">
        <v>8367</v>
      </c>
    </row>
    <row r="26420">
      <c r="A26420" s="1" t="s">
        <v>40666</v>
      </c>
      <c r="B26420" s="2" t="s">
        <v>40667</v>
      </c>
      <c r="C26420" s="1" t="s">
        <v>8365</v>
      </c>
      <c r="D26420" s="1" t="s">
        <v>8367</v>
      </c>
    </row>
    <row r="26421">
      <c r="A26421" s="1" t="s">
        <v>40668</v>
      </c>
      <c r="B26421" s="2" t="s">
        <v>40669</v>
      </c>
      <c r="C26421" s="1" t="s">
        <v>8365</v>
      </c>
      <c r="D26421" s="1" t="s">
        <v>8367</v>
      </c>
    </row>
    <row r="26422">
      <c r="A26422" s="1" t="s">
        <v>40670</v>
      </c>
      <c r="B26422" s="2" t="s">
        <v>40671</v>
      </c>
      <c r="C26422" s="1" t="s">
        <v>8365</v>
      </c>
      <c r="D26422" s="1" t="s">
        <v>8367</v>
      </c>
    </row>
    <row r="26423">
      <c r="A26423" s="1" t="s">
        <v>40672</v>
      </c>
      <c r="B26423" s="2" t="s">
        <v>40673</v>
      </c>
      <c r="C26423" s="1" t="s">
        <v>8365</v>
      </c>
      <c r="D26423" s="1" t="s">
        <v>8367</v>
      </c>
    </row>
    <row r="26424">
      <c r="A26424" s="1" t="s">
        <v>8371</v>
      </c>
      <c r="B26424" s="2" t="s">
        <v>7</v>
      </c>
      <c r="C26424" s="1" t="s">
        <v>8372</v>
      </c>
      <c r="D26424" s="1" t="s">
        <v>8373</v>
      </c>
    </row>
    <row r="26425">
      <c r="A26425" s="1" t="s">
        <v>40674</v>
      </c>
      <c r="B26425" s="2" t="s">
        <v>5721</v>
      </c>
      <c r="C26425" s="1" t="s">
        <v>8372</v>
      </c>
      <c r="D26425" s="1" t="s">
        <v>8373</v>
      </c>
    </row>
    <row r="26426">
      <c r="A26426" s="1" t="s">
        <v>40675</v>
      </c>
      <c r="B26426" s="2" t="s">
        <v>5732</v>
      </c>
      <c r="C26426" s="1" t="s">
        <v>8372</v>
      </c>
      <c r="D26426" s="1" t="s">
        <v>8373</v>
      </c>
    </row>
    <row r="26427">
      <c r="A26427" s="1" t="s">
        <v>40676</v>
      </c>
      <c r="B26427" s="2" t="s">
        <v>40677</v>
      </c>
      <c r="C26427" s="1" t="s">
        <v>8372</v>
      </c>
      <c r="D26427" s="1" t="s">
        <v>8373</v>
      </c>
    </row>
    <row r="26428">
      <c r="A26428" s="1" t="s">
        <v>40678</v>
      </c>
      <c r="B26428" s="2" t="s">
        <v>40679</v>
      </c>
      <c r="C26428" s="1" t="s">
        <v>8372</v>
      </c>
      <c r="D26428" s="1" t="s">
        <v>8373</v>
      </c>
    </row>
    <row r="26429">
      <c r="A26429" s="1" t="s">
        <v>8378</v>
      </c>
      <c r="B26429" s="2" t="s">
        <v>7</v>
      </c>
      <c r="C26429" s="1" t="s">
        <v>8380</v>
      </c>
      <c r="D26429" s="1" t="s">
        <v>8382</v>
      </c>
    </row>
    <row r="26430">
      <c r="A26430" s="1" t="s">
        <v>40680</v>
      </c>
      <c r="B26430" s="2" t="s">
        <v>40681</v>
      </c>
      <c r="C26430" s="1" t="s">
        <v>8380</v>
      </c>
      <c r="D26430" s="1" t="s">
        <v>8382</v>
      </c>
    </row>
    <row r="26431">
      <c r="A26431" s="1" t="s">
        <v>40682</v>
      </c>
      <c r="B26431" s="2" t="s">
        <v>40683</v>
      </c>
      <c r="C26431" s="1" t="s">
        <v>8380</v>
      </c>
      <c r="D26431" s="1" t="s">
        <v>8382</v>
      </c>
    </row>
    <row r="26432">
      <c r="A26432" s="1" t="s">
        <v>40684</v>
      </c>
      <c r="B26432" s="2" t="s">
        <v>40685</v>
      </c>
      <c r="C26432" s="1" t="s">
        <v>8380</v>
      </c>
      <c r="D26432" s="1" t="s">
        <v>8382</v>
      </c>
    </row>
    <row r="26433">
      <c r="A26433" s="1" t="s">
        <v>40686</v>
      </c>
      <c r="B26433" s="2" t="s">
        <v>40687</v>
      </c>
      <c r="C26433" s="1" t="s">
        <v>8380</v>
      </c>
      <c r="D26433" s="1" t="s">
        <v>8382</v>
      </c>
    </row>
    <row r="26434">
      <c r="A26434" s="1" t="s">
        <v>40688</v>
      </c>
      <c r="B26434" s="2" t="s">
        <v>40689</v>
      </c>
      <c r="C26434" s="1" t="s">
        <v>8380</v>
      </c>
      <c r="D26434" s="1" t="s">
        <v>8382</v>
      </c>
    </row>
    <row r="26435">
      <c r="A26435" s="1" t="s">
        <v>40690</v>
      </c>
      <c r="B26435" s="2" t="s">
        <v>40691</v>
      </c>
      <c r="C26435" s="1" t="s">
        <v>8380</v>
      </c>
      <c r="D26435" s="1" t="s">
        <v>8382</v>
      </c>
    </row>
    <row r="26436">
      <c r="A26436" s="1" t="s">
        <v>40692</v>
      </c>
      <c r="B26436" s="2" t="s">
        <v>40693</v>
      </c>
      <c r="C26436" s="1" t="s">
        <v>8380</v>
      </c>
      <c r="D26436" s="1" t="s">
        <v>8382</v>
      </c>
    </row>
    <row r="26437">
      <c r="A26437" s="1" t="s">
        <v>40694</v>
      </c>
      <c r="B26437" s="2" t="s">
        <v>40695</v>
      </c>
      <c r="C26437" s="1" t="s">
        <v>8380</v>
      </c>
      <c r="D26437" s="1" t="s">
        <v>8382</v>
      </c>
    </row>
    <row r="26438">
      <c r="A26438" s="1" t="s">
        <v>40696</v>
      </c>
      <c r="B26438" s="2" t="s">
        <v>40697</v>
      </c>
      <c r="C26438" s="1" t="s">
        <v>8380</v>
      </c>
      <c r="D26438" s="1" t="s">
        <v>8382</v>
      </c>
    </row>
    <row r="26439">
      <c r="A26439" s="1" t="s">
        <v>40698</v>
      </c>
      <c r="B26439" s="2" t="s">
        <v>40699</v>
      </c>
      <c r="C26439" s="1" t="s">
        <v>8380</v>
      </c>
      <c r="D26439" s="1" t="s">
        <v>8382</v>
      </c>
    </row>
    <row r="26440">
      <c r="A26440" s="1" t="s">
        <v>40700</v>
      </c>
      <c r="B26440" s="2" t="s">
        <v>40701</v>
      </c>
      <c r="C26440" s="1" t="s">
        <v>8380</v>
      </c>
      <c r="D26440" s="1" t="s">
        <v>8382</v>
      </c>
    </row>
    <row r="26441">
      <c r="A26441" s="1" t="s">
        <v>40702</v>
      </c>
      <c r="B26441" s="2" t="s">
        <v>40703</v>
      </c>
      <c r="C26441" s="1" t="s">
        <v>8380</v>
      </c>
      <c r="D26441" s="1" t="s">
        <v>8382</v>
      </c>
    </row>
    <row r="26442">
      <c r="A26442" s="1" t="s">
        <v>40704</v>
      </c>
      <c r="B26442" s="2" t="s">
        <v>40705</v>
      </c>
      <c r="C26442" s="1" t="s">
        <v>8380</v>
      </c>
      <c r="D26442" s="1" t="s">
        <v>8382</v>
      </c>
    </row>
    <row r="26443">
      <c r="A26443" s="1" t="s">
        <v>40706</v>
      </c>
      <c r="B26443" s="2" t="s">
        <v>40707</v>
      </c>
      <c r="C26443" s="1" t="s">
        <v>8380</v>
      </c>
      <c r="D26443" s="1" t="s">
        <v>8382</v>
      </c>
    </row>
    <row r="26444">
      <c r="A26444" s="1" t="s">
        <v>8387</v>
      </c>
      <c r="B26444" s="2" t="s">
        <v>7</v>
      </c>
      <c r="C26444" s="1" t="s">
        <v>8389</v>
      </c>
      <c r="D26444" s="1" t="s">
        <v>8391</v>
      </c>
    </row>
    <row r="26445">
      <c r="A26445" s="1" t="s">
        <v>40708</v>
      </c>
      <c r="B26445" s="2" t="s">
        <v>40709</v>
      </c>
      <c r="C26445" s="1" t="s">
        <v>8389</v>
      </c>
      <c r="D26445" s="1" t="s">
        <v>8391</v>
      </c>
    </row>
    <row r="26446">
      <c r="A26446" s="1" t="s">
        <v>40710</v>
      </c>
      <c r="B26446" s="2" t="s">
        <v>40711</v>
      </c>
      <c r="C26446" s="1" t="s">
        <v>8389</v>
      </c>
      <c r="D26446" s="1" t="s">
        <v>8391</v>
      </c>
    </row>
    <row r="26447">
      <c r="A26447" s="1" t="s">
        <v>40712</v>
      </c>
      <c r="B26447" s="2" t="s">
        <v>40713</v>
      </c>
      <c r="C26447" s="1" t="s">
        <v>8389</v>
      </c>
      <c r="D26447" s="1" t="s">
        <v>8391</v>
      </c>
    </row>
    <row r="26448">
      <c r="A26448" s="1" t="s">
        <v>40714</v>
      </c>
      <c r="B26448" s="2" t="s">
        <v>40715</v>
      </c>
      <c r="C26448" s="1" t="s">
        <v>8389</v>
      </c>
      <c r="D26448" s="1" t="s">
        <v>8391</v>
      </c>
    </row>
    <row r="26449">
      <c r="A26449" s="1" t="s">
        <v>40716</v>
      </c>
      <c r="B26449" s="2" t="s">
        <v>40717</v>
      </c>
      <c r="C26449" s="1" t="s">
        <v>8389</v>
      </c>
      <c r="D26449" s="1" t="s">
        <v>8391</v>
      </c>
    </row>
    <row r="26450">
      <c r="A26450" s="1" t="s">
        <v>40718</v>
      </c>
      <c r="B26450" s="2" t="s">
        <v>40719</v>
      </c>
      <c r="C26450" s="1" t="s">
        <v>8389</v>
      </c>
      <c r="D26450" s="1" t="s">
        <v>8391</v>
      </c>
    </row>
    <row r="26451">
      <c r="A26451" s="1" t="s">
        <v>40720</v>
      </c>
      <c r="B26451" s="2" t="s">
        <v>40721</v>
      </c>
      <c r="C26451" s="1" t="s">
        <v>8389</v>
      </c>
      <c r="D26451" s="1" t="s">
        <v>8391</v>
      </c>
    </row>
    <row r="26452">
      <c r="A26452" s="1" t="s">
        <v>40722</v>
      </c>
      <c r="B26452" s="2" t="s">
        <v>40723</v>
      </c>
      <c r="C26452" s="1" t="s">
        <v>8389</v>
      </c>
      <c r="D26452" s="1" t="s">
        <v>8391</v>
      </c>
    </row>
    <row r="26453">
      <c r="A26453" s="1" t="s">
        <v>40724</v>
      </c>
      <c r="B26453" s="2" t="s">
        <v>40725</v>
      </c>
      <c r="C26453" s="1" t="s">
        <v>8389</v>
      </c>
      <c r="D26453" s="1" t="s">
        <v>8391</v>
      </c>
    </row>
    <row r="26454">
      <c r="A26454" s="1" t="s">
        <v>40726</v>
      </c>
      <c r="B26454" s="2" t="s">
        <v>40727</v>
      </c>
      <c r="C26454" s="1" t="s">
        <v>8389</v>
      </c>
      <c r="D26454" s="1" t="s">
        <v>8391</v>
      </c>
    </row>
    <row r="26455">
      <c r="A26455" s="1" t="s">
        <v>40728</v>
      </c>
      <c r="B26455" s="2" t="s">
        <v>40729</v>
      </c>
      <c r="C26455" s="1" t="s">
        <v>8389</v>
      </c>
      <c r="D26455" s="1" t="s">
        <v>8391</v>
      </c>
    </row>
    <row r="26456">
      <c r="A26456" s="1" t="s">
        <v>40730</v>
      </c>
      <c r="B26456" s="2" t="s">
        <v>40731</v>
      </c>
      <c r="C26456" s="1" t="s">
        <v>8389</v>
      </c>
      <c r="D26456" s="1" t="s">
        <v>8391</v>
      </c>
    </row>
    <row r="26457">
      <c r="A26457" s="1" t="s">
        <v>40732</v>
      </c>
      <c r="B26457" s="2" t="s">
        <v>40733</v>
      </c>
      <c r="C26457" s="1" t="s">
        <v>8389</v>
      </c>
      <c r="D26457" s="1" t="s">
        <v>8391</v>
      </c>
    </row>
    <row r="26458">
      <c r="A26458" s="1" t="s">
        <v>40734</v>
      </c>
      <c r="B26458" s="2" t="s">
        <v>40735</v>
      </c>
      <c r="C26458" s="1" t="s">
        <v>8389</v>
      </c>
      <c r="D26458" s="1" t="s">
        <v>8391</v>
      </c>
    </row>
    <row r="26459">
      <c r="A26459" s="1" t="s">
        <v>8395</v>
      </c>
      <c r="B26459" s="2" t="s">
        <v>7</v>
      </c>
      <c r="C26459" s="1" t="s">
        <v>8397</v>
      </c>
      <c r="D26459" s="1" t="s">
        <v>8398</v>
      </c>
    </row>
    <row r="26460">
      <c r="A26460" s="1" t="s">
        <v>40736</v>
      </c>
      <c r="B26460" s="2" t="s">
        <v>40737</v>
      </c>
      <c r="C26460" s="1" t="s">
        <v>8397</v>
      </c>
      <c r="D26460" s="1" t="s">
        <v>8398</v>
      </c>
    </row>
    <row r="26461">
      <c r="A26461" s="1" t="s">
        <v>40738</v>
      </c>
      <c r="B26461" s="2" t="s">
        <v>40739</v>
      </c>
      <c r="C26461" s="1" t="s">
        <v>8397</v>
      </c>
      <c r="D26461" s="1" t="s">
        <v>8398</v>
      </c>
    </row>
    <row r="26462">
      <c r="A26462" s="1" t="s">
        <v>8399</v>
      </c>
      <c r="B26462" s="2" t="s">
        <v>7</v>
      </c>
      <c r="C26462" s="1" t="s">
        <v>8400</v>
      </c>
      <c r="D26462" s="1" t="s">
        <v>8401</v>
      </c>
    </row>
    <row r="26463">
      <c r="A26463" s="1" t="s">
        <v>40740</v>
      </c>
      <c r="B26463" s="2" t="s">
        <v>40529</v>
      </c>
      <c r="C26463" s="1" t="s">
        <v>8400</v>
      </c>
      <c r="D26463" s="1" t="s">
        <v>8401</v>
      </c>
    </row>
    <row r="26464">
      <c r="A26464" s="1" t="s">
        <v>40741</v>
      </c>
      <c r="B26464" s="2" t="s">
        <v>40531</v>
      </c>
      <c r="C26464" s="1" t="s">
        <v>8400</v>
      </c>
      <c r="D26464" s="1" t="s">
        <v>8401</v>
      </c>
    </row>
    <row r="26465">
      <c r="A26465" s="1" t="s">
        <v>8403</v>
      </c>
      <c r="B26465" s="2" t="s">
        <v>7</v>
      </c>
      <c r="C26465" s="1" t="s">
        <v>8405</v>
      </c>
      <c r="D26465" s="1" t="s">
        <v>8406</v>
      </c>
    </row>
    <row r="26466">
      <c r="A26466" s="1" t="s">
        <v>40742</v>
      </c>
      <c r="B26466" s="2" t="s">
        <v>40529</v>
      </c>
      <c r="C26466" s="1" t="s">
        <v>8405</v>
      </c>
      <c r="D26466" s="1" t="s">
        <v>8406</v>
      </c>
    </row>
    <row r="26467">
      <c r="A26467" s="1" t="s">
        <v>40743</v>
      </c>
      <c r="B26467" s="2" t="s">
        <v>40531</v>
      </c>
      <c r="C26467" s="1" t="s">
        <v>8405</v>
      </c>
      <c r="D26467" s="1" t="s">
        <v>8406</v>
      </c>
    </row>
    <row r="26468">
      <c r="A26468" s="1" t="s">
        <v>8411</v>
      </c>
      <c r="B26468" s="2" t="s">
        <v>7</v>
      </c>
      <c r="C26468" s="1" t="s">
        <v>8414</v>
      </c>
      <c r="D26468" s="1" t="s">
        <v>8415</v>
      </c>
    </row>
    <row r="26469">
      <c r="A26469" s="1" t="s">
        <v>40744</v>
      </c>
      <c r="B26469" s="2" t="s">
        <v>40529</v>
      </c>
      <c r="C26469" s="1" t="s">
        <v>8414</v>
      </c>
      <c r="D26469" s="1" t="s">
        <v>8415</v>
      </c>
    </row>
    <row r="26470">
      <c r="A26470" s="1" t="s">
        <v>40745</v>
      </c>
      <c r="B26470" s="2" t="s">
        <v>40531</v>
      </c>
      <c r="C26470" s="1" t="s">
        <v>8414</v>
      </c>
      <c r="D26470" s="1" t="s">
        <v>8415</v>
      </c>
    </row>
    <row r="26471">
      <c r="A26471" s="1" t="s">
        <v>8420</v>
      </c>
      <c r="B26471" s="2" t="s">
        <v>7</v>
      </c>
      <c r="C26471" s="1" t="s">
        <v>8423</v>
      </c>
      <c r="D26471" s="1" t="s">
        <v>8424</v>
      </c>
    </row>
    <row r="26472">
      <c r="A26472" s="1" t="s">
        <v>40746</v>
      </c>
      <c r="B26472" s="2" t="s">
        <v>40529</v>
      </c>
      <c r="C26472" s="1" t="s">
        <v>8423</v>
      </c>
      <c r="D26472" s="1" t="s">
        <v>8424</v>
      </c>
    </row>
    <row r="26473">
      <c r="A26473" s="1" t="s">
        <v>40747</v>
      </c>
      <c r="B26473" s="2" t="s">
        <v>40531</v>
      </c>
      <c r="C26473" s="1" t="s">
        <v>8423</v>
      </c>
      <c r="D26473" s="1" t="s">
        <v>8424</v>
      </c>
    </row>
    <row r="26474">
      <c r="A26474" s="1" t="s">
        <v>8429</v>
      </c>
      <c r="B26474" s="2" t="s">
        <v>7</v>
      </c>
      <c r="C26474" s="1" t="s">
        <v>8431</v>
      </c>
      <c r="D26474" s="1" t="s">
        <v>8433</v>
      </c>
    </row>
    <row r="26475">
      <c r="A26475" s="1" t="s">
        <v>40748</v>
      </c>
      <c r="B26475" s="2" t="s">
        <v>40529</v>
      </c>
      <c r="C26475" s="1" t="s">
        <v>8431</v>
      </c>
      <c r="D26475" s="1" t="s">
        <v>8433</v>
      </c>
    </row>
    <row r="26476">
      <c r="A26476" s="1" t="s">
        <v>40749</v>
      </c>
      <c r="B26476" s="2" t="s">
        <v>40531</v>
      </c>
      <c r="C26476" s="1" t="s">
        <v>8431</v>
      </c>
      <c r="D26476" s="1" t="s">
        <v>8433</v>
      </c>
    </row>
    <row r="26477">
      <c r="A26477" s="1" t="s">
        <v>8437</v>
      </c>
      <c r="B26477" s="2" t="s">
        <v>7</v>
      </c>
      <c r="C26477" s="1" t="s">
        <v>8439</v>
      </c>
      <c r="D26477" s="1" t="s">
        <v>8441</v>
      </c>
    </row>
    <row r="26478">
      <c r="A26478" s="1" t="s">
        <v>40750</v>
      </c>
      <c r="B26478" s="2" t="s">
        <v>40751</v>
      </c>
      <c r="C26478" s="1" t="s">
        <v>8439</v>
      </c>
      <c r="D26478" s="1" t="s">
        <v>8441</v>
      </c>
    </row>
    <row r="26479">
      <c r="A26479" s="1" t="s">
        <v>40752</v>
      </c>
      <c r="B26479" s="2" t="s">
        <v>40753</v>
      </c>
      <c r="C26479" s="1" t="s">
        <v>8439</v>
      </c>
      <c r="D26479" s="1" t="s">
        <v>8441</v>
      </c>
    </row>
    <row r="26480">
      <c r="A26480" s="1" t="s">
        <v>40754</v>
      </c>
      <c r="B26480" s="2" t="s">
        <v>40755</v>
      </c>
      <c r="C26480" s="1" t="s">
        <v>8439</v>
      </c>
      <c r="D26480" s="1" t="s">
        <v>8441</v>
      </c>
    </row>
    <row r="26481">
      <c r="A26481" s="1" t="s">
        <v>40756</v>
      </c>
      <c r="B26481" s="2" t="s">
        <v>16986</v>
      </c>
      <c r="C26481" s="1" t="s">
        <v>8439</v>
      </c>
      <c r="D26481" s="1" t="s">
        <v>8441</v>
      </c>
    </row>
    <row r="26482">
      <c r="A26482" s="1" t="s">
        <v>40757</v>
      </c>
      <c r="B26482" s="2" t="s">
        <v>40758</v>
      </c>
      <c r="C26482" s="1" t="s">
        <v>8439</v>
      </c>
      <c r="D26482" s="1" t="s">
        <v>8441</v>
      </c>
    </row>
    <row r="26483">
      <c r="A26483" s="1" t="s">
        <v>40759</v>
      </c>
      <c r="B26483" s="2" t="s">
        <v>40760</v>
      </c>
      <c r="C26483" s="1" t="s">
        <v>8439</v>
      </c>
      <c r="D26483" s="1" t="s">
        <v>8441</v>
      </c>
    </row>
    <row r="26484">
      <c r="A26484" s="1" t="s">
        <v>8444</v>
      </c>
      <c r="B26484" s="2" t="s">
        <v>7</v>
      </c>
      <c r="C26484" s="1" t="s">
        <v>8447</v>
      </c>
      <c r="D26484" s="1" t="s">
        <v>8448</v>
      </c>
    </row>
    <row r="26485">
      <c r="A26485" s="1" t="s">
        <v>40761</v>
      </c>
      <c r="B26485" s="2" t="s">
        <v>40762</v>
      </c>
      <c r="C26485" s="1" t="s">
        <v>8447</v>
      </c>
      <c r="D26485" s="1" t="s">
        <v>8448</v>
      </c>
    </row>
    <row r="26486">
      <c r="A26486" s="1" t="s">
        <v>40763</v>
      </c>
      <c r="B26486" s="2" t="s">
        <v>40764</v>
      </c>
      <c r="C26486" s="1" t="s">
        <v>8447</v>
      </c>
      <c r="D26486" s="1" t="s">
        <v>8448</v>
      </c>
    </row>
    <row r="26487">
      <c r="A26487" s="1" t="s">
        <v>40765</v>
      </c>
      <c r="B26487" s="2" t="s">
        <v>40766</v>
      </c>
      <c r="C26487" s="1" t="s">
        <v>8447</v>
      </c>
      <c r="D26487" s="1" t="s">
        <v>8448</v>
      </c>
    </row>
    <row r="26488">
      <c r="A26488" s="1" t="s">
        <v>40767</v>
      </c>
      <c r="B26488" s="2" t="s">
        <v>40768</v>
      </c>
      <c r="C26488" s="1" t="s">
        <v>8447</v>
      </c>
      <c r="D26488" s="1" t="s">
        <v>8448</v>
      </c>
    </row>
    <row r="26489">
      <c r="A26489" s="1" t="s">
        <v>40769</v>
      </c>
      <c r="B26489" s="2" t="s">
        <v>40770</v>
      </c>
      <c r="C26489" s="1" t="s">
        <v>8447</v>
      </c>
      <c r="D26489" s="1" t="s">
        <v>8448</v>
      </c>
    </row>
    <row r="26490">
      <c r="A26490" s="1" t="s">
        <v>40771</v>
      </c>
      <c r="B26490" s="2" t="s">
        <v>40772</v>
      </c>
      <c r="C26490" s="1" t="s">
        <v>8447</v>
      </c>
      <c r="D26490" s="1" t="s">
        <v>8448</v>
      </c>
    </row>
    <row r="26491">
      <c r="A26491" s="1" t="s">
        <v>40773</v>
      </c>
      <c r="B26491" s="2" t="s">
        <v>40774</v>
      </c>
      <c r="C26491" s="1" t="s">
        <v>8447</v>
      </c>
      <c r="D26491" s="1" t="s">
        <v>8448</v>
      </c>
    </row>
    <row r="26492">
      <c r="A26492" s="1" t="s">
        <v>8453</v>
      </c>
      <c r="B26492" s="2" t="s">
        <v>7</v>
      </c>
      <c r="C26492" s="1" t="s">
        <v>8456</v>
      </c>
      <c r="D26492" s="1" t="s">
        <v>8457</v>
      </c>
    </row>
    <row r="26493">
      <c r="A26493" s="1" t="s">
        <v>40775</v>
      </c>
      <c r="B26493" s="2" t="s">
        <v>40762</v>
      </c>
      <c r="C26493" s="1" t="s">
        <v>8456</v>
      </c>
      <c r="D26493" s="1" t="s">
        <v>8457</v>
      </c>
    </row>
    <row r="26494">
      <c r="A26494" s="1" t="s">
        <v>40776</v>
      </c>
      <c r="B26494" s="2" t="s">
        <v>40764</v>
      </c>
      <c r="C26494" s="1" t="s">
        <v>8456</v>
      </c>
      <c r="D26494" s="1" t="s">
        <v>8457</v>
      </c>
    </row>
    <row r="26495">
      <c r="A26495" s="1" t="s">
        <v>40777</v>
      </c>
      <c r="B26495" s="2" t="s">
        <v>40778</v>
      </c>
      <c r="C26495" s="1" t="s">
        <v>8456</v>
      </c>
      <c r="D26495" s="1" t="s">
        <v>8457</v>
      </c>
    </row>
    <row r="26496">
      <c r="A26496" s="1" t="s">
        <v>40779</v>
      </c>
      <c r="B26496" s="2" t="s">
        <v>40780</v>
      </c>
      <c r="C26496" s="1" t="s">
        <v>8456</v>
      </c>
      <c r="D26496" s="1" t="s">
        <v>8457</v>
      </c>
    </row>
    <row r="26497">
      <c r="A26497" s="1" t="s">
        <v>40781</v>
      </c>
      <c r="B26497" s="2" t="s">
        <v>40782</v>
      </c>
      <c r="C26497" s="1" t="s">
        <v>8456</v>
      </c>
      <c r="D26497" s="1" t="s">
        <v>8457</v>
      </c>
    </row>
    <row r="26498">
      <c r="A26498" s="1" t="s">
        <v>40783</v>
      </c>
      <c r="B26498" s="2" t="s">
        <v>40784</v>
      </c>
      <c r="C26498" s="1" t="s">
        <v>8456</v>
      </c>
      <c r="D26498" s="1" t="s">
        <v>8457</v>
      </c>
    </row>
    <row r="26499">
      <c r="A26499" s="1" t="s">
        <v>40785</v>
      </c>
      <c r="B26499" s="2" t="s">
        <v>40786</v>
      </c>
      <c r="C26499" s="1" t="s">
        <v>8456</v>
      </c>
      <c r="D26499" s="1" t="s">
        <v>8457</v>
      </c>
    </row>
    <row r="26500">
      <c r="A26500" s="1" t="s">
        <v>8462</v>
      </c>
      <c r="B26500" s="2" t="s">
        <v>7</v>
      </c>
      <c r="C26500" s="1" t="s">
        <v>8465</v>
      </c>
      <c r="D26500" s="1" t="s">
        <v>8466</v>
      </c>
    </row>
    <row r="26501">
      <c r="A26501" s="1" t="s">
        <v>40787</v>
      </c>
      <c r="B26501" s="2" t="s">
        <v>40762</v>
      </c>
      <c r="C26501" s="1" t="s">
        <v>8465</v>
      </c>
      <c r="D26501" s="1" t="s">
        <v>8466</v>
      </c>
    </row>
    <row r="26502">
      <c r="A26502" s="1" t="s">
        <v>40788</v>
      </c>
      <c r="B26502" s="2" t="s">
        <v>40764</v>
      </c>
      <c r="C26502" s="1" t="s">
        <v>8465</v>
      </c>
      <c r="D26502" s="1" t="s">
        <v>8466</v>
      </c>
    </row>
    <row r="26503">
      <c r="A26503" s="1" t="s">
        <v>40789</v>
      </c>
      <c r="B26503" s="2" t="s">
        <v>40790</v>
      </c>
      <c r="C26503" s="1" t="s">
        <v>8465</v>
      </c>
      <c r="D26503" s="1" t="s">
        <v>8466</v>
      </c>
    </row>
    <row r="26504">
      <c r="A26504" s="1" t="s">
        <v>40791</v>
      </c>
      <c r="B26504" s="2" t="s">
        <v>40792</v>
      </c>
      <c r="C26504" s="1" t="s">
        <v>8465</v>
      </c>
      <c r="D26504" s="1" t="s">
        <v>8466</v>
      </c>
    </row>
    <row r="26505">
      <c r="A26505" s="1" t="s">
        <v>40793</v>
      </c>
      <c r="B26505" s="2" t="s">
        <v>40794</v>
      </c>
      <c r="C26505" s="1" t="s">
        <v>8465</v>
      </c>
      <c r="D26505" s="1" t="s">
        <v>8466</v>
      </c>
    </row>
    <row r="26506">
      <c r="A26506" s="1" t="s">
        <v>40795</v>
      </c>
      <c r="B26506" s="2" t="s">
        <v>40796</v>
      </c>
      <c r="C26506" s="1" t="s">
        <v>8465</v>
      </c>
      <c r="D26506" s="1" t="s">
        <v>8466</v>
      </c>
    </row>
    <row r="26507">
      <c r="A26507" s="1" t="s">
        <v>40797</v>
      </c>
      <c r="B26507" s="2" t="s">
        <v>40798</v>
      </c>
      <c r="C26507" s="1" t="s">
        <v>8465</v>
      </c>
      <c r="D26507" s="1" t="s">
        <v>8466</v>
      </c>
    </row>
    <row r="26508">
      <c r="A26508" s="1" t="s">
        <v>8471</v>
      </c>
      <c r="B26508" s="2" t="s">
        <v>7</v>
      </c>
      <c r="C26508" s="1" t="s">
        <v>8474</v>
      </c>
      <c r="D26508" s="1" t="s">
        <v>8475</v>
      </c>
    </row>
    <row r="26509">
      <c r="A26509" s="1" t="s">
        <v>40799</v>
      </c>
      <c r="B26509" s="2" t="s">
        <v>40762</v>
      </c>
      <c r="C26509" s="1" t="s">
        <v>8474</v>
      </c>
      <c r="D26509" s="1" t="s">
        <v>8475</v>
      </c>
    </row>
    <row r="26510">
      <c r="A26510" s="1" t="s">
        <v>40800</v>
      </c>
      <c r="B26510" s="2" t="s">
        <v>40764</v>
      </c>
      <c r="C26510" s="1" t="s">
        <v>8474</v>
      </c>
      <c r="D26510" s="1" t="s">
        <v>8475</v>
      </c>
    </row>
    <row r="26511">
      <c r="A26511" s="1" t="s">
        <v>40801</v>
      </c>
      <c r="B26511" s="2" t="s">
        <v>40778</v>
      </c>
      <c r="C26511" s="1" t="s">
        <v>8474</v>
      </c>
      <c r="D26511" s="1" t="s">
        <v>8475</v>
      </c>
    </row>
    <row r="26512">
      <c r="A26512" s="1" t="s">
        <v>40802</v>
      </c>
      <c r="B26512" s="2" t="s">
        <v>40780</v>
      </c>
      <c r="C26512" s="1" t="s">
        <v>8474</v>
      </c>
      <c r="D26512" s="1" t="s">
        <v>8475</v>
      </c>
    </row>
    <row r="26513">
      <c r="A26513" s="1" t="s">
        <v>40803</v>
      </c>
      <c r="B26513" s="2" t="s">
        <v>40782</v>
      </c>
      <c r="C26513" s="1" t="s">
        <v>8474</v>
      </c>
      <c r="D26513" s="1" t="s">
        <v>8475</v>
      </c>
    </row>
    <row r="26514">
      <c r="A26514" s="1" t="s">
        <v>40804</v>
      </c>
      <c r="B26514" s="2" t="s">
        <v>40784</v>
      </c>
      <c r="C26514" s="1" t="s">
        <v>8474</v>
      </c>
      <c r="D26514" s="1" t="s">
        <v>8475</v>
      </c>
    </row>
    <row r="26515">
      <c r="A26515" s="1" t="s">
        <v>40805</v>
      </c>
      <c r="B26515" s="2" t="s">
        <v>40786</v>
      </c>
      <c r="C26515" s="1" t="s">
        <v>8474</v>
      </c>
      <c r="D26515" s="1" t="s">
        <v>8475</v>
      </c>
    </row>
    <row r="26516">
      <c r="A26516" s="1" t="s">
        <v>8478</v>
      </c>
      <c r="B26516" s="2" t="s">
        <v>7</v>
      </c>
      <c r="C26516" s="1" t="s">
        <v>8481</v>
      </c>
      <c r="D26516" s="1" t="s">
        <v>8482</v>
      </c>
    </row>
    <row r="26517">
      <c r="A26517" s="1" t="s">
        <v>40806</v>
      </c>
      <c r="B26517" s="2" t="s">
        <v>40807</v>
      </c>
      <c r="C26517" s="1" t="s">
        <v>8481</v>
      </c>
      <c r="D26517" s="1" t="s">
        <v>8482</v>
      </c>
    </row>
    <row r="26518">
      <c r="A26518" s="1" t="s">
        <v>40808</v>
      </c>
      <c r="B26518" s="2" t="s">
        <v>40809</v>
      </c>
      <c r="C26518" s="1" t="s">
        <v>8481</v>
      </c>
      <c r="D26518" s="1" t="s">
        <v>8482</v>
      </c>
    </row>
    <row r="26519">
      <c r="A26519" s="1" t="s">
        <v>40810</v>
      </c>
      <c r="B26519" s="2" t="s">
        <v>40811</v>
      </c>
      <c r="C26519" s="1" t="s">
        <v>8481</v>
      </c>
      <c r="D26519" s="1" t="s">
        <v>8482</v>
      </c>
    </row>
    <row r="26520">
      <c r="A26520" s="1" t="s">
        <v>40812</v>
      </c>
      <c r="B26520" s="2" t="s">
        <v>40813</v>
      </c>
      <c r="C26520" s="1" t="s">
        <v>8481</v>
      </c>
      <c r="D26520" s="1" t="s">
        <v>8482</v>
      </c>
    </row>
    <row r="26521">
      <c r="A26521" s="1" t="s">
        <v>40814</v>
      </c>
      <c r="B26521" s="2" t="s">
        <v>40815</v>
      </c>
      <c r="C26521" s="1" t="s">
        <v>8481</v>
      </c>
      <c r="D26521" s="1" t="s">
        <v>8482</v>
      </c>
    </row>
    <row r="26522">
      <c r="A26522" s="1" t="s">
        <v>40816</v>
      </c>
      <c r="B26522" s="2" t="s">
        <v>40817</v>
      </c>
      <c r="C26522" s="1" t="s">
        <v>8481</v>
      </c>
      <c r="D26522" s="1" t="s">
        <v>8482</v>
      </c>
    </row>
    <row r="26523">
      <c r="A26523" s="1" t="s">
        <v>40818</v>
      </c>
      <c r="B26523" s="2" t="s">
        <v>40819</v>
      </c>
      <c r="C26523" s="1" t="s">
        <v>8481</v>
      </c>
      <c r="D26523" s="1" t="s">
        <v>8482</v>
      </c>
    </row>
    <row r="26524">
      <c r="A26524" s="1" t="s">
        <v>8487</v>
      </c>
      <c r="B26524" s="2" t="s">
        <v>7</v>
      </c>
      <c r="C26524" s="1" t="s">
        <v>8489</v>
      </c>
      <c r="D26524" s="1" t="s">
        <v>8491</v>
      </c>
    </row>
    <row r="26525">
      <c r="A26525" s="1" t="s">
        <v>40820</v>
      </c>
      <c r="B26525" s="2" t="s">
        <v>40529</v>
      </c>
      <c r="C26525" s="1" t="s">
        <v>8489</v>
      </c>
      <c r="D26525" s="1" t="s">
        <v>8491</v>
      </c>
    </row>
    <row r="26526">
      <c r="A26526" s="1" t="s">
        <v>40821</v>
      </c>
      <c r="B26526" s="2" t="s">
        <v>40531</v>
      </c>
      <c r="C26526" s="1" t="s">
        <v>8489</v>
      </c>
      <c r="D26526" s="1" t="s">
        <v>8491</v>
      </c>
    </row>
    <row r="26527">
      <c r="A26527" s="1" t="s">
        <v>8492</v>
      </c>
      <c r="B26527" s="2" t="s">
        <v>7</v>
      </c>
      <c r="C26527" s="1" t="s">
        <v>8493</v>
      </c>
      <c r="D26527" s="1" t="s">
        <v>8494</v>
      </c>
    </row>
    <row r="26528">
      <c r="A26528" s="1" t="s">
        <v>40822</v>
      </c>
      <c r="B26528" s="2" t="s">
        <v>40529</v>
      </c>
      <c r="C26528" s="1" t="s">
        <v>8493</v>
      </c>
      <c r="D26528" s="1" t="s">
        <v>8494</v>
      </c>
    </row>
    <row r="26529">
      <c r="A26529" s="1" t="s">
        <v>40823</v>
      </c>
      <c r="B26529" s="2" t="s">
        <v>40531</v>
      </c>
      <c r="C26529" s="1" t="s">
        <v>8493</v>
      </c>
      <c r="D26529" s="1" t="s">
        <v>8494</v>
      </c>
    </row>
    <row r="26530">
      <c r="A26530" s="1" t="s">
        <v>8498</v>
      </c>
      <c r="B26530" s="2" t="s">
        <v>7</v>
      </c>
      <c r="C26530" s="1" t="s">
        <v>8500</v>
      </c>
      <c r="D26530" s="1" t="s">
        <v>8502</v>
      </c>
    </row>
    <row r="26531">
      <c r="A26531" s="1" t="s">
        <v>40824</v>
      </c>
      <c r="B26531" s="2" t="s">
        <v>40529</v>
      </c>
      <c r="C26531" s="1" t="s">
        <v>8500</v>
      </c>
      <c r="D26531" s="1" t="s">
        <v>8502</v>
      </c>
    </row>
    <row r="26532">
      <c r="A26532" s="1" t="s">
        <v>40825</v>
      </c>
      <c r="B26532" s="2" t="s">
        <v>40531</v>
      </c>
      <c r="C26532" s="1" t="s">
        <v>8500</v>
      </c>
      <c r="D26532" s="1" t="s">
        <v>8502</v>
      </c>
    </row>
    <row r="26533">
      <c r="A26533" s="1" t="s">
        <v>8507</v>
      </c>
      <c r="B26533" s="2" t="s">
        <v>7</v>
      </c>
      <c r="C26533" s="1" t="s">
        <v>8508</v>
      </c>
      <c r="D26533" s="1" t="s">
        <v>8509</v>
      </c>
    </row>
    <row r="26534">
      <c r="A26534" s="1" t="s">
        <v>40826</v>
      </c>
      <c r="B26534" s="2" t="s">
        <v>40529</v>
      </c>
      <c r="C26534" s="1" t="s">
        <v>8508</v>
      </c>
      <c r="D26534" s="1" t="s">
        <v>8509</v>
      </c>
    </row>
    <row r="26535">
      <c r="A26535" s="1" t="s">
        <v>40827</v>
      </c>
      <c r="B26535" s="2" t="s">
        <v>40531</v>
      </c>
      <c r="C26535" s="1" t="s">
        <v>8508</v>
      </c>
      <c r="D26535" s="1" t="s">
        <v>8509</v>
      </c>
    </row>
    <row r="26536">
      <c r="A26536" s="1" t="s">
        <v>8512</v>
      </c>
      <c r="B26536" s="2" t="s">
        <v>7</v>
      </c>
      <c r="C26536" s="1" t="s">
        <v>8514</v>
      </c>
      <c r="D26536" s="1" t="s">
        <v>8515</v>
      </c>
    </row>
    <row r="26537">
      <c r="A26537" s="1" t="s">
        <v>40828</v>
      </c>
      <c r="B26537" s="2" t="s">
        <v>40529</v>
      </c>
      <c r="C26537" s="1" t="s">
        <v>8514</v>
      </c>
      <c r="D26537" s="1" t="s">
        <v>8515</v>
      </c>
    </row>
    <row r="26538">
      <c r="A26538" s="1" t="s">
        <v>40829</v>
      </c>
      <c r="B26538" s="2" t="s">
        <v>40531</v>
      </c>
      <c r="C26538" s="1" t="s">
        <v>8514</v>
      </c>
      <c r="D26538" s="1" t="s">
        <v>8515</v>
      </c>
    </row>
    <row r="26539">
      <c r="A26539" s="1" t="s">
        <v>8545</v>
      </c>
      <c r="B26539" s="2" t="s">
        <v>7</v>
      </c>
      <c r="C26539" s="1" t="s">
        <v>8548</v>
      </c>
      <c r="D26539" s="1" t="s">
        <v>8550</v>
      </c>
    </row>
    <row r="26540">
      <c r="A26540" s="1" t="s">
        <v>40830</v>
      </c>
      <c r="B26540" s="2" t="s">
        <v>40831</v>
      </c>
      <c r="C26540" s="1" t="s">
        <v>8548</v>
      </c>
      <c r="D26540" s="1" t="s">
        <v>8550</v>
      </c>
    </row>
    <row r="26541">
      <c r="A26541" s="1" t="s">
        <v>40832</v>
      </c>
      <c r="B26541" s="2" t="s">
        <v>40833</v>
      </c>
      <c r="C26541" s="1" t="s">
        <v>8548</v>
      </c>
      <c r="D26541" s="1" t="s">
        <v>8550</v>
      </c>
    </row>
    <row r="26542">
      <c r="A26542" s="1" t="s">
        <v>40834</v>
      </c>
      <c r="B26542" s="2" t="s">
        <v>40835</v>
      </c>
      <c r="C26542" s="1" t="s">
        <v>8548</v>
      </c>
      <c r="D26542" s="1" t="s">
        <v>8550</v>
      </c>
    </row>
    <row r="26543">
      <c r="A26543" s="1" t="s">
        <v>40836</v>
      </c>
      <c r="B26543" s="2" t="s">
        <v>40837</v>
      </c>
      <c r="C26543" s="1" t="s">
        <v>8548</v>
      </c>
      <c r="D26543" s="1" t="s">
        <v>8550</v>
      </c>
    </row>
    <row r="26544">
      <c r="A26544" s="1" t="s">
        <v>8554</v>
      </c>
      <c r="B26544" s="2" t="s">
        <v>7</v>
      </c>
      <c r="C26544" s="1" t="s">
        <v>8555</v>
      </c>
      <c r="D26544" s="1" t="s">
        <v>8556</v>
      </c>
    </row>
    <row r="26545">
      <c r="A26545" s="1" t="s">
        <v>40838</v>
      </c>
      <c r="B26545" s="2" t="s">
        <v>40831</v>
      </c>
      <c r="C26545" s="1" t="s">
        <v>8555</v>
      </c>
      <c r="D26545" s="1" t="s">
        <v>8556</v>
      </c>
    </row>
    <row r="26546">
      <c r="A26546" s="1" t="s">
        <v>40839</v>
      </c>
      <c r="B26546" s="2" t="s">
        <v>40840</v>
      </c>
      <c r="C26546" s="1" t="s">
        <v>8555</v>
      </c>
      <c r="D26546" s="1" t="s">
        <v>8556</v>
      </c>
    </row>
    <row r="26547">
      <c r="A26547" s="1" t="s">
        <v>40841</v>
      </c>
      <c r="B26547" s="2" t="s">
        <v>40842</v>
      </c>
      <c r="C26547" s="1" t="s">
        <v>8555</v>
      </c>
      <c r="D26547" s="1" t="s">
        <v>8556</v>
      </c>
    </row>
    <row r="26548">
      <c r="A26548" s="1" t="s">
        <v>40843</v>
      </c>
      <c r="B26548" s="2" t="s">
        <v>40837</v>
      </c>
      <c r="C26548" s="1" t="s">
        <v>8555</v>
      </c>
      <c r="D26548" s="1" t="s">
        <v>8556</v>
      </c>
    </row>
    <row r="26549">
      <c r="A26549" s="1" t="s">
        <v>8559</v>
      </c>
      <c r="B26549" s="2" t="s">
        <v>7</v>
      </c>
      <c r="C26549" s="1" t="s">
        <v>8561</v>
      </c>
      <c r="D26549" s="1" t="s">
        <v>8562</v>
      </c>
    </row>
    <row r="26550">
      <c r="A26550" s="1" t="s">
        <v>40844</v>
      </c>
      <c r="B26550" s="2" t="s">
        <v>40529</v>
      </c>
      <c r="C26550" s="1" t="s">
        <v>8561</v>
      </c>
      <c r="D26550" s="1" t="s">
        <v>8562</v>
      </c>
    </row>
    <row r="26551">
      <c r="A26551" s="1" t="s">
        <v>40845</v>
      </c>
      <c r="B26551" s="2" t="s">
        <v>40661</v>
      </c>
      <c r="C26551" s="1" t="s">
        <v>8561</v>
      </c>
      <c r="D26551" s="1" t="s">
        <v>8562</v>
      </c>
    </row>
    <row r="26552">
      <c r="A26552" s="1" t="s">
        <v>8565</v>
      </c>
      <c r="B26552" s="2" t="s">
        <v>7</v>
      </c>
      <c r="C26552" s="1" t="s">
        <v>8567</v>
      </c>
      <c r="D26552" s="1" t="s">
        <v>8568</v>
      </c>
    </row>
    <row r="26553">
      <c r="A26553" s="1" t="s">
        <v>40846</v>
      </c>
      <c r="B26553" s="2" t="s">
        <v>40529</v>
      </c>
      <c r="C26553" s="1" t="s">
        <v>8567</v>
      </c>
      <c r="D26553" s="1" t="s">
        <v>8568</v>
      </c>
    </row>
    <row r="26554">
      <c r="A26554" s="1" t="s">
        <v>40847</v>
      </c>
      <c r="B26554" s="2" t="s">
        <v>40661</v>
      </c>
      <c r="C26554" s="1" t="s">
        <v>8567</v>
      </c>
      <c r="D26554" s="1" t="s">
        <v>8568</v>
      </c>
    </row>
    <row r="26555">
      <c r="A26555" s="1" t="s">
        <v>8571</v>
      </c>
      <c r="B26555" s="2" t="s">
        <v>7</v>
      </c>
      <c r="C26555" s="1" t="s">
        <v>8572</v>
      </c>
      <c r="D26555" s="1" t="s">
        <v>8574</v>
      </c>
    </row>
    <row r="26556">
      <c r="A26556" s="1" t="s">
        <v>40848</v>
      </c>
      <c r="B26556" s="2" t="s">
        <v>40529</v>
      </c>
      <c r="C26556" s="1" t="s">
        <v>8572</v>
      </c>
      <c r="D26556" s="1" t="s">
        <v>8574</v>
      </c>
    </row>
    <row r="26557">
      <c r="A26557" s="1" t="s">
        <v>40849</v>
      </c>
      <c r="B26557" s="2" t="s">
        <v>40661</v>
      </c>
      <c r="C26557" s="1" t="s">
        <v>8572</v>
      </c>
      <c r="D26557" s="1" t="s">
        <v>8574</v>
      </c>
    </row>
    <row r="26558">
      <c r="A26558" s="1" t="s">
        <v>8578</v>
      </c>
      <c r="B26558" s="2" t="s">
        <v>7</v>
      </c>
      <c r="C26558" s="1" t="s">
        <v>8581</v>
      </c>
      <c r="D26558" s="1" t="s">
        <v>8582</v>
      </c>
    </row>
    <row r="26559">
      <c r="A26559" s="1" t="s">
        <v>40850</v>
      </c>
      <c r="B26559" s="2" t="s">
        <v>40529</v>
      </c>
      <c r="C26559" s="1" t="s">
        <v>8581</v>
      </c>
      <c r="D26559" s="1" t="s">
        <v>8582</v>
      </c>
    </row>
    <row r="26560">
      <c r="A26560" s="1" t="s">
        <v>40851</v>
      </c>
      <c r="B26560" s="2" t="s">
        <v>40531</v>
      </c>
      <c r="C26560" s="1" t="s">
        <v>8581</v>
      </c>
      <c r="D26560" s="1" t="s">
        <v>8582</v>
      </c>
    </row>
    <row r="26561">
      <c r="A26561" s="1" t="s">
        <v>8586</v>
      </c>
      <c r="B26561" s="2" t="s">
        <v>7</v>
      </c>
      <c r="C26561" s="1" t="s">
        <v>8589</v>
      </c>
      <c r="D26561" s="1" t="s">
        <v>8590</v>
      </c>
    </row>
    <row r="26562">
      <c r="A26562" s="1" t="s">
        <v>40852</v>
      </c>
      <c r="B26562" s="2" t="s">
        <v>40529</v>
      </c>
      <c r="C26562" s="1" t="s">
        <v>8589</v>
      </c>
      <c r="D26562" s="1" t="s">
        <v>8590</v>
      </c>
    </row>
    <row r="26563">
      <c r="A26563" s="1" t="s">
        <v>40853</v>
      </c>
      <c r="B26563" s="2" t="s">
        <v>40531</v>
      </c>
      <c r="C26563" s="1" t="s">
        <v>8589</v>
      </c>
      <c r="D26563" s="1" t="s">
        <v>8590</v>
      </c>
    </row>
    <row r="26564">
      <c r="A26564" s="1" t="s">
        <v>8594</v>
      </c>
      <c r="B26564" s="2" t="s">
        <v>7</v>
      </c>
      <c r="C26564" s="1" t="s">
        <v>8596</v>
      </c>
      <c r="D26564" s="1" t="s">
        <v>8598</v>
      </c>
    </row>
    <row r="26565">
      <c r="A26565" s="1" t="s">
        <v>40854</v>
      </c>
      <c r="B26565" s="2" t="s">
        <v>40529</v>
      </c>
      <c r="C26565" s="1" t="s">
        <v>8596</v>
      </c>
      <c r="D26565" s="1" t="s">
        <v>8598</v>
      </c>
    </row>
    <row r="26566">
      <c r="A26566" s="1" t="s">
        <v>40855</v>
      </c>
      <c r="B26566" s="2" t="s">
        <v>40531</v>
      </c>
      <c r="C26566" s="1" t="s">
        <v>8596</v>
      </c>
      <c r="D26566" s="1" t="s">
        <v>8598</v>
      </c>
    </row>
    <row r="26567">
      <c r="A26567" s="1" t="s">
        <v>8601</v>
      </c>
      <c r="B26567" s="2" t="s">
        <v>7</v>
      </c>
      <c r="C26567" s="1" t="s">
        <v>8602</v>
      </c>
      <c r="D26567" s="1" t="s">
        <v>8604</v>
      </c>
    </row>
    <row r="26568">
      <c r="A26568" s="1" t="s">
        <v>40856</v>
      </c>
      <c r="B26568" s="2" t="s">
        <v>40529</v>
      </c>
      <c r="C26568" s="1" t="s">
        <v>8602</v>
      </c>
      <c r="D26568" s="1" t="s">
        <v>8604</v>
      </c>
    </row>
    <row r="26569">
      <c r="A26569" s="1" t="s">
        <v>40857</v>
      </c>
      <c r="B26569" s="2" t="s">
        <v>40531</v>
      </c>
      <c r="C26569" s="1" t="s">
        <v>8602</v>
      </c>
      <c r="D26569" s="1" t="s">
        <v>8604</v>
      </c>
    </row>
    <row r="26570">
      <c r="A26570" s="1" t="s">
        <v>8618</v>
      </c>
      <c r="B26570" s="2" t="s">
        <v>7</v>
      </c>
      <c r="C26570" s="1" t="s">
        <v>8620</v>
      </c>
      <c r="D26570" s="1" t="s">
        <v>8622</v>
      </c>
    </row>
    <row r="26571">
      <c r="A26571" s="1" t="s">
        <v>40858</v>
      </c>
      <c r="B26571" s="2" t="s">
        <v>40529</v>
      </c>
      <c r="C26571" s="1" t="s">
        <v>8620</v>
      </c>
      <c r="D26571" s="1" t="s">
        <v>8622</v>
      </c>
    </row>
    <row r="26572">
      <c r="A26572" s="1" t="s">
        <v>40859</v>
      </c>
      <c r="B26572" s="2" t="s">
        <v>40531</v>
      </c>
      <c r="C26572" s="1" t="s">
        <v>8620</v>
      </c>
      <c r="D26572" s="1" t="s">
        <v>8622</v>
      </c>
    </row>
    <row r="26573">
      <c r="A26573" s="1" t="s">
        <v>8626</v>
      </c>
      <c r="B26573" s="2" t="s">
        <v>7</v>
      </c>
      <c r="C26573" s="1" t="s">
        <v>8627</v>
      </c>
      <c r="D26573" s="1" t="s">
        <v>8629</v>
      </c>
    </row>
    <row r="26574">
      <c r="A26574" s="1" t="s">
        <v>40860</v>
      </c>
      <c r="B26574" s="2" t="s">
        <v>40529</v>
      </c>
      <c r="C26574" s="1" t="s">
        <v>8627</v>
      </c>
      <c r="D26574" s="1" t="s">
        <v>8629</v>
      </c>
    </row>
    <row r="26575">
      <c r="A26575" s="1" t="s">
        <v>40861</v>
      </c>
      <c r="B26575" s="2" t="s">
        <v>40531</v>
      </c>
      <c r="C26575" s="1" t="s">
        <v>8627</v>
      </c>
      <c r="D26575" s="1" t="s">
        <v>8629</v>
      </c>
    </row>
    <row r="26576">
      <c r="A26576" s="1" t="s">
        <v>8633</v>
      </c>
      <c r="B26576" s="2" t="s">
        <v>7</v>
      </c>
      <c r="C26576" s="1" t="s">
        <v>8635</v>
      </c>
      <c r="D26576" s="1" t="s">
        <v>8636</v>
      </c>
    </row>
    <row r="26577">
      <c r="A26577" s="1" t="s">
        <v>40862</v>
      </c>
      <c r="B26577" s="2" t="s">
        <v>40529</v>
      </c>
      <c r="C26577" s="1" t="s">
        <v>8635</v>
      </c>
      <c r="D26577" s="1" t="s">
        <v>8636</v>
      </c>
    </row>
    <row r="26578">
      <c r="A26578" s="1" t="s">
        <v>40863</v>
      </c>
      <c r="B26578" s="2" t="s">
        <v>40531</v>
      </c>
      <c r="C26578" s="1" t="s">
        <v>8635</v>
      </c>
      <c r="D26578" s="1" t="s">
        <v>8636</v>
      </c>
    </row>
    <row r="26579">
      <c r="A26579" s="1" t="s">
        <v>8646</v>
      </c>
      <c r="B26579" s="2" t="s">
        <v>7</v>
      </c>
      <c r="C26579" s="1" t="s">
        <v>8648</v>
      </c>
      <c r="D26579" s="1" t="s">
        <v>8649</v>
      </c>
    </row>
    <row r="26580">
      <c r="A26580" s="1" t="s">
        <v>40864</v>
      </c>
      <c r="B26580" s="2" t="s">
        <v>40529</v>
      </c>
      <c r="C26580" s="1" t="s">
        <v>8648</v>
      </c>
      <c r="D26580" s="1" t="s">
        <v>8649</v>
      </c>
    </row>
    <row r="26581">
      <c r="A26581" s="1" t="s">
        <v>40865</v>
      </c>
      <c r="B26581" s="2" t="s">
        <v>40531</v>
      </c>
      <c r="C26581" s="1" t="s">
        <v>8648</v>
      </c>
      <c r="D26581" s="1" t="s">
        <v>8649</v>
      </c>
    </row>
    <row r="26582">
      <c r="A26582" s="1" t="s">
        <v>8654</v>
      </c>
      <c r="B26582" s="2" t="s">
        <v>7</v>
      </c>
      <c r="C26582" s="1" t="s">
        <v>8655</v>
      </c>
      <c r="D26582" s="1" t="s">
        <v>8656</v>
      </c>
    </row>
    <row r="26583">
      <c r="A26583" s="1" t="s">
        <v>40866</v>
      </c>
      <c r="B26583" s="2" t="s">
        <v>40529</v>
      </c>
      <c r="C26583" s="1" t="s">
        <v>8655</v>
      </c>
      <c r="D26583" s="1" t="s">
        <v>8656</v>
      </c>
    </row>
    <row r="26584">
      <c r="A26584" s="1" t="s">
        <v>40867</v>
      </c>
      <c r="B26584" s="2" t="s">
        <v>40531</v>
      </c>
      <c r="C26584" s="1" t="s">
        <v>8655</v>
      </c>
      <c r="D26584" s="1" t="s">
        <v>8656</v>
      </c>
    </row>
    <row r="26585">
      <c r="A26585" s="1" t="s">
        <v>8659</v>
      </c>
      <c r="B26585" s="2" t="s">
        <v>7</v>
      </c>
      <c r="C26585" s="1" t="s">
        <v>8661</v>
      </c>
      <c r="D26585" s="1" t="s">
        <v>8662</v>
      </c>
    </row>
    <row r="26586">
      <c r="A26586" s="1" t="s">
        <v>40868</v>
      </c>
      <c r="B26586" s="2" t="s">
        <v>40529</v>
      </c>
      <c r="C26586" s="1" t="s">
        <v>8661</v>
      </c>
      <c r="D26586" s="1" t="s">
        <v>8662</v>
      </c>
    </row>
    <row r="26587">
      <c r="A26587" s="1" t="s">
        <v>40869</v>
      </c>
      <c r="B26587" s="2" t="s">
        <v>40531</v>
      </c>
      <c r="C26587" s="1" t="s">
        <v>8661</v>
      </c>
      <c r="D26587" s="1" t="s">
        <v>8662</v>
      </c>
    </row>
    <row r="26588">
      <c r="A26588" s="1" t="s">
        <v>8665</v>
      </c>
      <c r="B26588" s="2" t="s">
        <v>7</v>
      </c>
      <c r="C26588" s="1" t="s">
        <v>8667</v>
      </c>
      <c r="D26588" s="1" t="s">
        <v>8668</v>
      </c>
    </row>
    <row r="26589">
      <c r="A26589" s="1" t="s">
        <v>40870</v>
      </c>
      <c r="B26589" s="2" t="s">
        <v>40529</v>
      </c>
      <c r="C26589" s="1" t="s">
        <v>8667</v>
      </c>
      <c r="D26589" s="1" t="s">
        <v>8668</v>
      </c>
    </row>
    <row r="26590">
      <c r="A26590" s="1" t="s">
        <v>40871</v>
      </c>
      <c r="B26590" s="2" t="s">
        <v>40531</v>
      </c>
      <c r="C26590" s="1" t="s">
        <v>8667</v>
      </c>
      <c r="D26590" s="1" t="s">
        <v>8668</v>
      </c>
    </row>
    <row r="26591">
      <c r="A26591" s="1" t="s">
        <v>8673</v>
      </c>
      <c r="B26591" s="2" t="s">
        <v>7</v>
      </c>
      <c r="C26591" s="1" t="s">
        <v>8675</v>
      </c>
      <c r="D26591" s="1" t="s">
        <v>8676</v>
      </c>
    </row>
    <row r="26592">
      <c r="A26592" s="1" t="s">
        <v>40872</v>
      </c>
      <c r="B26592" s="2" t="s">
        <v>40529</v>
      </c>
      <c r="C26592" s="1" t="s">
        <v>8675</v>
      </c>
      <c r="D26592" s="1" t="s">
        <v>8676</v>
      </c>
    </row>
    <row r="26593">
      <c r="A26593" s="1" t="s">
        <v>40873</v>
      </c>
      <c r="B26593" s="2" t="s">
        <v>40531</v>
      </c>
      <c r="C26593" s="1" t="s">
        <v>8675</v>
      </c>
      <c r="D26593" s="1" t="s">
        <v>8676</v>
      </c>
    </row>
    <row r="26594">
      <c r="A26594" s="1" t="s">
        <v>8689</v>
      </c>
      <c r="B26594" s="2" t="s">
        <v>7</v>
      </c>
      <c r="C26594" s="1" t="s">
        <v>8691</v>
      </c>
      <c r="D26594" s="1" t="s">
        <v>8692</v>
      </c>
    </row>
    <row r="26595">
      <c r="A26595" s="1" t="s">
        <v>40874</v>
      </c>
      <c r="B26595" s="2" t="s">
        <v>40529</v>
      </c>
      <c r="C26595" s="1" t="s">
        <v>8691</v>
      </c>
      <c r="D26595" s="1" t="s">
        <v>8692</v>
      </c>
    </row>
    <row r="26596">
      <c r="A26596" s="1" t="s">
        <v>40875</v>
      </c>
      <c r="B26596" s="2" t="s">
        <v>40531</v>
      </c>
      <c r="C26596" s="1" t="s">
        <v>8691</v>
      </c>
      <c r="D26596" s="1" t="s">
        <v>8692</v>
      </c>
    </row>
    <row r="26597">
      <c r="A26597" s="1" t="s">
        <v>8697</v>
      </c>
      <c r="B26597" s="2" t="s">
        <v>7</v>
      </c>
      <c r="C26597" s="1" t="s">
        <v>8698</v>
      </c>
      <c r="D26597" s="1" t="s">
        <v>8699</v>
      </c>
    </row>
    <row r="26598">
      <c r="A26598" s="1" t="s">
        <v>40876</v>
      </c>
      <c r="B26598" s="2" t="s">
        <v>40529</v>
      </c>
      <c r="C26598" s="1" t="s">
        <v>8698</v>
      </c>
      <c r="D26598" s="1" t="s">
        <v>8699</v>
      </c>
    </row>
    <row r="26599">
      <c r="A26599" s="1" t="s">
        <v>40877</v>
      </c>
      <c r="B26599" s="2" t="s">
        <v>40531</v>
      </c>
      <c r="C26599" s="1" t="s">
        <v>8698</v>
      </c>
      <c r="D26599" s="1" t="s">
        <v>8699</v>
      </c>
    </row>
    <row r="26600">
      <c r="A26600" s="1" t="s">
        <v>8702</v>
      </c>
      <c r="B26600" s="2" t="s">
        <v>7</v>
      </c>
      <c r="C26600" s="1" t="s">
        <v>8704</v>
      </c>
      <c r="D26600" s="1" t="s">
        <v>8706</v>
      </c>
    </row>
    <row r="26601">
      <c r="A26601" s="1" t="s">
        <v>40878</v>
      </c>
      <c r="B26601" s="2" t="s">
        <v>33196</v>
      </c>
      <c r="C26601" s="1" t="s">
        <v>8704</v>
      </c>
      <c r="D26601" s="1" t="s">
        <v>8706</v>
      </c>
    </row>
    <row r="26602">
      <c r="A26602" s="1" t="s">
        <v>40879</v>
      </c>
      <c r="B26602" s="2" t="s">
        <v>40880</v>
      </c>
      <c r="C26602" s="1" t="s">
        <v>8704</v>
      </c>
      <c r="D26602" s="1" t="s">
        <v>8706</v>
      </c>
    </row>
    <row r="26603">
      <c r="A26603" s="1" t="s">
        <v>40881</v>
      </c>
      <c r="B26603" s="2" t="s">
        <v>40882</v>
      </c>
      <c r="C26603" s="1" t="s">
        <v>8704</v>
      </c>
      <c r="D26603" s="1" t="s">
        <v>8706</v>
      </c>
    </row>
    <row r="26604">
      <c r="A26604" s="1" t="s">
        <v>40883</v>
      </c>
      <c r="B26604" s="2" t="s">
        <v>33212</v>
      </c>
      <c r="C26604" s="1" t="s">
        <v>8704</v>
      </c>
      <c r="D26604" s="1" t="s">
        <v>8706</v>
      </c>
    </row>
    <row r="26605">
      <c r="A26605" s="1" t="s">
        <v>40884</v>
      </c>
      <c r="B26605" s="2" t="s">
        <v>40885</v>
      </c>
      <c r="C26605" s="1" t="s">
        <v>8704</v>
      </c>
      <c r="D26605" s="1" t="s">
        <v>8706</v>
      </c>
    </row>
    <row r="26606">
      <c r="A26606" s="1" t="s">
        <v>40886</v>
      </c>
      <c r="B26606" s="2" t="s">
        <v>40887</v>
      </c>
      <c r="C26606" s="1" t="s">
        <v>8704</v>
      </c>
      <c r="D26606" s="1" t="s">
        <v>8706</v>
      </c>
    </row>
    <row r="26607">
      <c r="A26607" s="1" t="s">
        <v>8711</v>
      </c>
      <c r="B26607" s="2" t="s">
        <v>7</v>
      </c>
      <c r="C26607" s="1" t="s">
        <v>8714</v>
      </c>
      <c r="D26607" s="1" t="s">
        <v>8715</v>
      </c>
    </row>
    <row r="26608">
      <c r="A26608" s="1" t="s">
        <v>40888</v>
      </c>
      <c r="B26608" s="2" t="s">
        <v>40889</v>
      </c>
      <c r="C26608" s="1" t="s">
        <v>8714</v>
      </c>
      <c r="D26608" s="1" t="s">
        <v>8715</v>
      </c>
    </row>
    <row r="26609">
      <c r="A26609" s="1" t="s">
        <v>40890</v>
      </c>
      <c r="B26609" s="2" t="s">
        <v>40531</v>
      </c>
      <c r="C26609" s="1" t="s">
        <v>8714</v>
      </c>
      <c r="D26609" s="1" t="s">
        <v>8715</v>
      </c>
    </row>
    <row r="26610">
      <c r="A26610" s="1" t="s">
        <v>8681</v>
      </c>
      <c r="B26610" s="2" t="s">
        <v>7</v>
      </c>
      <c r="C26610" s="1" t="s">
        <v>8683</v>
      </c>
      <c r="D26610" s="1" t="s">
        <v>8684</v>
      </c>
    </row>
    <row r="26611">
      <c r="A26611" s="1" t="s">
        <v>40891</v>
      </c>
      <c r="B26611" s="2" t="s">
        <v>40529</v>
      </c>
      <c r="C26611" s="1" t="s">
        <v>8683</v>
      </c>
      <c r="D26611" s="1" t="s">
        <v>8684</v>
      </c>
    </row>
    <row r="26612">
      <c r="A26612" s="1" t="s">
        <v>40892</v>
      </c>
      <c r="B26612" s="2" t="s">
        <v>40531</v>
      </c>
      <c r="C26612" s="1" t="s">
        <v>8683</v>
      </c>
      <c r="D26612" s="1" t="s">
        <v>8684</v>
      </c>
    </row>
    <row r="26613">
      <c r="A26613" s="1" t="s">
        <v>8720</v>
      </c>
      <c r="B26613" s="2" t="s">
        <v>7</v>
      </c>
      <c r="C26613" s="1" t="s">
        <v>8723</v>
      </c>
      <c r="D26613" s="1" t="s">
        <v>8724</v>
      </c>
    </row>
    <row r="26614">
      <c r="A26614" s="1" t="s">
        <v>40893</v>
      </c>
      <c r="B26614" s="2" t="s">
        <v>40529</v>
      </c>
      <c r="C26614" s="1" t="s">
        <v>8723</v>
      </c>
      <c r="D26614" s="1" t="s">
        <v>8724</v>
      </c>
    </row>
    <row r="26615">
      <c r="A26615" s="1" t="s">
        <v>40894</v>
      </c>
      <c r="B26615" s="2" t="s">
        <v>40531</v>
      </c>
      <c r="C26615" s="1" t="s">
        <v>8723</v>
      </c>
      <c r="D26615" s="1" t="s">
        <v>8724</v>
      </c>
    </row>
    <row r="26616">
      <c r="A26616" s="1" t="s">
        <v>8729</v>
      </c>
      <c r="B26616" s="2" t="s">
        <v>7</v>
      </c>
      <c r="C26616" s="1" t="s">
        <v>8730</v>
      </c>
      <c r="D26616" s="1" t="s">
        <v>8732</v>
      </c>
    </row>
    <row r="26617">
      <c r="A26617" s="1" t="s">
        <v>40895</v>
      </c>
      <c r="B26617" s="2" t="s">
        <v>40529</v>
      </c>
      <c r="C26617" s="1" t="s">
        <v>8730</v>
      </c>
      <c r="D26617" s="1" t="s">
        <v>8732</v>
      </c>
    </row>
    <row r="26618">
      <c r="A26618" s="1" t="s">
        <v>40896</v>
      </c>
      <c r="B26618" s="2" t="s">
        <v>40531</v>
      </c>
      <c r="C26618" s="1" t="s">
        <v>8730</v>
      </c>
      <c r="D26618" s="1" t="s">
        <v>8732</v>
      </c>
    </row>
    <row r="26619">
      <c r="A26619" s="1" t="s">
        <v>8736</v>
      </c>
      <c r="B26619" s="2" t="s">
        <v>7</v>
      </c>
      <c r="C26619" s="1" t="s">
        <v>8739</v>
      </c>
      <c r="D26619" s="1" t="s">
        <v>8740</v>
      </c>
    </row>
    <row r="26620">
      <c r="A26620" s="1" t="s">
        <v>40897</v>
      </c>
      <c r="B26620" s="2" t="s">
        <v>40529</v>
      </c>
      <c r="C26620" s="1" t="s">
        <v>8739</v>
      </c>
      <c r="D26620" s="1" t="s">
        <v>8740</v>
      </c>
    </row>
    <row r="26621">
      <c r="A26621" s="1" t="s">
        <v>40898</v>
      </c>
      <c r="B26621" s="2" t="s">
        <v>40531</v>
      </c>
      <c r="C26621" s="1" t="s">
        <v>8739</v>
      </c>
      <c r="D26621" s="1" t="s">
        <v>8740</v>
      </c>
    </row>
    <row r="26622">
      <c r="A26622" s="1" t="s">
        <v>8745</v>
      </c>
      <c r="B26622" s="2" t="s">
        <v>7</v>
      </c>
      <c r="C26622" s="1" t="s">
        <v>8746</v>
      </c>
      <c r="D26622" s="1" t="s">
        <v>8747</v>
      </c>
    </row>
    <row r="26623">
      <c r="A26623" s="1" t="s">
        <v>40899</v>
      </c>
      <c r="B26623" s="2" t="s">
        <v>40529</v>
      </c>
      <c r="C26623" s="1" t="s">
        <v>8746</v>
      </c>
      <c r="D26623" s="1" t="s">
        <v>8747</v>
      </c>
    </row>
    <row r="26624">
      <c r="A26624" s="1" t="s">
        <v>40900</v>
      </c>
      <c r="B26624" s="2" t="s">
        <v>40531</v>
      </c>
      <c r="C26624" s="1" t="s">
        <v>8746</v>
      </c>
      <c r="D26624" s="1" t="s">
        <v>8747</v>
      </c>
    </row>
    <row r="26625">
      <c r="A26625" s="1" t="s">
        <v>8751</v>
      </c>
      <c r="B26625" s="2" t="s">
        <v>7</v>
      </c>
      <c r="C26625" s="1" t="s">
        <v>8753</v>
      </c>
      <c r="D26625" s="1" t="s">
        <v>8754</v>
      </c>
    </row>
    <row r="26626">
      <c r="A26626" s="1" t="s">
        <v>40901</v>
      </c>
      <c r="B26626" s="2" t="s">
        <v>40529</v>
      </c>
      <c r="C26626" s="1" t="s">
        <v>8753</v>
      </c>
      <c r="D26626" s="1" t="s">
        <v>8754</v>
      </c>
    </row>
    <row r="26627">
      <c r="A26627" s="1" t="s">
        <v>40902</v>
      </c>
      <c r="B26627" s="2" t="s">
        <v>40531</v>
      </c>
      <c r="C26627" s="1" t="s">
        <v>8753</v>
      </c>
      <c r="D26627" s="1" t="s">
        <v>8754</v>
      </c>
    </row>
    <row r="26628">
      <c r="A26628" s="1" t="s">
        <v>8759</v>
      </c>
      <c r="B26628" s="2" t="s">
        <v>7</v>
      </c>
      <c r="C26628" s="1" t="s">
        <v>8762</v>
      </c>
      <c r="D26628" s="1" t="s">
        <v>8763</v>
      </c>
    </row>
    <row r="26629">
      <c r="A26629" s="1" t="s">
        <v>40903</v>
      </c>
      <c r="B26629" s="2" t="s">
        <v>40529</v>
      </c>
      <c r="C26629" s="1" t="s">
        <v>8762</v>
      </c>
      <c r="D26629" s="1" t="s">
        <v>8763</v>
      </c>
    </row>
    <row r="26630">
      <c r="A26630" s="1" t="s">
        <v>40904</v>
      </c>
      <c r="B26630" s="2" t="s">
        <v>40531</v>
      </c>
      <c r="C26630" s="1" t="s">
        <v>8762</v>
      </c>
      <c r="D26630" s="1" t="s">
        <v>8763</v>
      </c>
    </row>
    <row r="26631">
      <c r="A26631" s="1" t="s">
        <v>8768</v>
      </c>
      <c r="B26631" s="2" t="s">
        <v>7</v>
      </c>
      <c r="C26631" s="1" t="s">
        <v>8770</v>
      </c>
      <c r="D26631" s="1" t="s">
        <v>8772</v>
      </c>
    </row>
    <row r="26632">
      <c r="A26632" s="1" t="s">
        <v>40905</v>
      </c>
      <c r="B26632" s="2" t="s">
        <v>40529</v>
      </c>
      <c r="C26632" s="1" t="s">
        <v>8770</v>
      </c>
      <c r="D26632" s="1" t="s">
        <v>8772</v>
      </c>
    </row>
    <row r="26633">
      <c r="A26633" s="1" t="s">
        <v>40906</v>
      </c>
      <c r="B26633" s="2" t="s">
        <v>40531</v>
      </c>
      <c r="C26633" s="1" t="s">
        <v>8770</v>
      </c>
      <c r="D26633" s="1" t="s">
        <v>8772</v>
      </c>
    </row>
    <row r="26634">
      <c r="A26634" s="1" t="s">
        <v>8777</v>
      </c>
      <c r="B26634" s="2" t="s">
        <v>7</v>
      </c>
      <c r="C26634" s="1" t="s">
        <v>8779</v>
      </c>
      <c r="D26634" s="1" t="s">
        <v>8781</v>
      </c>
    </row>
    <row r="26635">
      <c r="A26635" s="1" t="s">
        <v>40907</v>
      </c>
      <c r="B26635" s="2" t="s">
        <v>40908</v>
      </c>
      <c r="C26635" s="1" t="s">
        <v>8779</v>
      </c>
      <c r="D26635" s="1" t="s">
        <v>8781</v>
      </c>
    </row>
    <row r="26636">
      <c r="A26636" s="1" t="s">
        <v>40909</v>
      </c>
      <c r="B26636" s="2" t="s">
        <v>40910</v>
      </c>
      <c r="C26636" s="1" t="s">
        <v>8779</v>
      </c>
      <c r="D26636" s="1" t="s">
        <v>8781</v>
      </c>
    </row>
    <row r="26637">
      <c r="A26637" s="1" t="s">
        <v>8785</v>
      </c>
      <c r="B26637" s="2" t="s">
        <v>7</v>
      </c>
      <c r="C26637" s="1" t="s">
        <v>8787</v>
      </c>
      <c r="D26637" s="1" t="s">
        <v>8788</v>
      </c>
    </row>
    <row r="26638">
      <c r="A26638" s="1" t="s">
        <v>40911</v>
      </c>
      <c r="B26638" s="2" t="s">
        <v>40912</v>
      </c>
      <c r="C26638" s="1" t="s">
        <v>8787</v>
      </c>
      <c r="D26638" s="1" t="s">
        <v>8788</v>
      </c>
    </row>
    <row r="26639">
      <c r="A26639" s="1" t="s">
        <v>40913</v>
      </c>
      <c r="B26639" s="2" t="s">
        <v>40914</v>
      </c>
      <c r="C26639" s="1" t="s">
        <v>8787</v>
      </c>
      <c r="D26639" s="1" t="s">
        <v>8788</v>
      </c>
    </row>
    <row r="26640">
      <c r="A26640" s="1" t="s">
        <v>8793</v>
      </c>
      <c r="B26640" s="2" t="s">
        <v>7</v>
      </c>
      <c r="C26640" s="1" t="s">
        <v>8794</v>
      </c>
      <c r="D26640" s="1" t="s">
        <v>8796</v>
      </c>
    </row>
    <row r="26641">
      <c r="A26641" s="1" t="s">
        <v>40915</v>
      </c>
      <c r="B26641" s="2" t="s">
        <v>40916</v>
      </c>
      <c r="C26641" s="1" t="s">
        <v>8794</v>
      </c>
      <c r="D26641" s="1" t="s">
        <v>8796</v>
      </c>
    </row>
    <row r="26642">
      <c r="A26642" s="1" t="s">
        <v>40917</v>
      </c>
      <c r="B26642" s="2" t="s">
        <v>40918</v>
      </c>
      <c r="C26642" s="1" t="s">
        <v>8794</v>
      </c>
      <c r="D26642" s="1" t="s">
        <v>8796</v>
      </c>
    </row>
    <row r="26643">
      <c r="A26643" s="1" t="s">
        <v>8800</v>
      </c>
      <c r="B26643" s="2" t="s">
        <v>7</v>
      </c>
      <c r="C26643" s="1" t="s">
        <v>8801</v>
      </c>
      <c r="D26643" s="1" t="s">
        <v>8803</v>
      </c>
    </row>
    <row r="26644">
      <c r="A26644" s="1" t="s">
        <v>40919</v>
      </c>
      <c r="B26644" s="2" t="s">
        <v>40529</v>
      </c>
      <c r="C26644" s="1" t="s">
        <v>8801</v>
      </c>
      <c r="D26644" s="1" t="s">
        <v>8803</v>
      </c>
    </row>
    <row r="26645">
      <c r="A26645" s="1" t="s">
        <v>40920</v>
      </c>
      <c r="B26645" s="2" t="s">
        <v>40531</v>
      </c>
      <c r="C26645" s="1" t="s">
        <v>8801</v>
      </c>
      <c r="D26645" s="1" t="s">
        <v>8803</v>
      </c>
    </row>
    <row r="26646">
      <c r="A26646" s="1" t="s">
        <v>8809</v>
      </c>
      <c r="B26646" s="2" t="s">
        <v>7</v>
      </c>
      <c r="C26646" s="1" t="s">
        <v>8811</v>
      </c>
      <c r="D26646" s="1" t="s">
        <v>8813</v>
      </c>
    </row>
    <row r="26647">
      <c r="A26647" s="1" t="s">
        <v>40921</v>
      </c>
      <c r="B26647" s="2" t="s">
        <v>40529</v>
      </c>
      <c r="C26647" s="1" t="s">
        <v>8811</v>
      </c>
      <c r="D26647" s="1" t="s">
        <v>8813</v>
      </c>
    </row>
    <row r="26648">
      <c r="A26648" s="1" t="s">
        <v>40922</v>
      </c>
      <c r="B26648" s="2" t="s">
        <v>40531</v>
      </c>
      <c r="C26648" s="1" t="s">
        <v>8811</v>
      </c>
      <c r="D26648" s="1" t="s">
        <v>8813</v>
      </c>
    </row>
    <row r="26649">
      <c r="A26649" s="1" t="s">
        <v>8818</v>
      </c>
      <c r="B26649" s="2" t="s">
        <v>7</v>
      </c>
      <c r="C26649" s="1" t="s">
        <v>8820</v>
      </c>
      <c r="D26649" s="1" t="s">
        <v>8822</v>
      </c>
    </row>
    <row r="26650">
      <c r="A26650" s="1" t="s">
        <v>40923</v>
      </c>
      <c r="B26650" s="2" t="s">
        <v>40529</v>
      </c>
      <c r="C26650" s="1" t="s">
        <v>8820</v>
      </c>
      <c r="D26650" s="1" t="s">
        <v>8822</v>
      </c>
    </row>
    <row r="26651">
      <c r="A26651" s="1" t="s">
        <v>40924</v>
      </c>
      <c r="B26651" s="2" t="s">
        <v>40531</v>
      </c>
      <c r="C26651" s="1" t="s">
        <v>8820</v>
      </c>
      <c r="D26651" s="1" t="s">
        <v>8822</v>
      </c>
    </row>
    <row r="26652">
      <c r="A26652" s="1" t="s">
        <v>8827</v>
      </c>
      <c r="B26652" s="2" t="s">
        <v>7</v>
      </c>
      <c r="C26652" s="1" t="s">
        <v>8829</v>
      </c>
      <c r="D26652" s="1" t="s">
        <v>8831</v>
      </c>
    </row>
    <row r="26653">
      <c r="A26653" s="1" t="s">
        <v>40925</v>
      </c>
      <c r="B26653" s="2" t="s">
        <v>40529</v>
      </c>
      <c r="C26653" s="1" t="s">
        <v>8829</v>
      </c>
      <c r="D26653" s="1" t="s">
        <v>8831</v>
      </c>
    </row>
    <row r="26654">
      <c r="A26654" s="1" t="s">
        <v>40926</v>
      </c>
      <c r="B26654" s="2" t="s">
        <v>40531</v>
      </c>
      <c r="C26654" s="1" t="s">
        <v>8829</v>
      </c>
      <c r="D26654" s="1" t="s">
        <v>8831</v>
      </c>
    </row>
    <row r="26655">
      <c r="A26655" s="1" t="s">
        <v>8835</v>
      </c>
      <c r="B26655" s="2" t="s">
        <v>7</v>
      </c>
      <c r="C26655" s="1" t="s">
        <v>8837</v>
      </c>
      <c r="D26655" s="1" t="s">
        <v>8839</v>
      </c>
    </row>
    <row r="26656">
      <c r="A26656" s="1" t="s">
        <v>40927</v>
      </c>
      <c r="B26656" s="2" t="s">
        <v>40529</v>
      </c>
      <c r="C26656" s="1" t="s">
        <v>8837</v>
      </c>
      <c r="D26656" s="1" t="s">
        <v>8839</v>
      </c>
    </row>
    <row r="26657">
      <c r="A26657" s="1" t="s">
        <v>40928</v>
      </c>
      <c r="B26657" s="2" t="s">
        <v>40531</v>
      </c>
      <c r="C26657" s="1" t="s">
        <v>8837</v>
      </c>
      <c r="D26657" s="1" t="s">
        <v>8839</v>
      </c>
    </row>
    <row r="26658">
      <c r="A26658" s="1" t="s">
        <v>8842</v>
      </c>
      <c r="B26658" s="2" t="s">
        <v>7</v>
      </c>
      <c r="C26658" s="1" t="s">
        <v>8844</v>
      </c>
      <c r="D26658" s="1" t="s">
        <v>8846</v>
      </c>
    </row>
    <row r="26659">
      <c r="A26659" s="1" t="s">
        <v>40929</v>
      </c>
      <c r="B26659" s="2" t="s">
        <v>40529</v>
      </c>
      <c r="C26659" s="1" t="s">
        <v>8844</v>
      </c>
      <c r="D26659" s="1" t="s">
        <v>8846</v>
      </c>
    </row>
    <row r="26660">
      <c r="A26660" s="1" t="s">
        <v>40930</v>
      </c>
      <c r="B26660" s="2" t="s">
        <v>40531</v>
      </c>
      <c r="C26660" s="1" t="s">
        <v>8844</v>
      </c>
      <c r="D26660" s="1" t="s">
        <v>8846</v>
      </c>
    </row>
    <row r="26661">
      <c r="A26661" s="1" t="s">
        <v>8849</v>
      </c>
      <c r="B26661" s="2" t="s">
        <v>7</v>
      </c>
      <c r="C26661" s="1" t="s">
        <v>8852</v>
      </c>
      <c r="D26661" s="1" t="s">
        <v>8853</v>
      </c>
    </row>
    <row r="26662">
      <c r="A26662" s="1" t="s">
        <v>40931</v>
      </c>
      <c r="B26662" s="2" t="s">
        <v>40529</v>
      </c>
      <c r="C26662" s="1" t="s">
        <v>8852</v>
      </c>
      <c r="D26662" s="1" t="s">
        <v>8853</v>
      </c>
    </row>
    <row r="26663">
      <c r="A26663" s="1" t="s">
        <v>40932</v>
      </c>
      <c r="B26663" s="2" t="s">
        <v>40531</v>
      </c>
      <c r="C26663" s="1" t="s">
        <v>8852</v>
      </c>
      <c r="D26663" s="1" t="s">
        <v>8853</v>
      </c>
    </row>
    <row r="26664">
      <c r="A26664" s="1" t="s">
        <v>8858</v>
      </c>
      <c r="B26664" s="2" t="s">
        <v>7</v>
      </c>
      <c r="C26664" s="1" t="s">
        <v>8861</v>
      </c>
      <c r="D26664" s="1" t="s">
        <v>8862</v>
      </c>
    </row>
    <row r="26665">
      <c r="A26665" s="1" t="s">
        <v>40933</v>
      </c>
      <c r="B26665" s="2" t="s">
        <v>40934</v>
      </c>
      <c r="C26665" s="1" t="s">
        <v>8861</v>
      </c>
      <c r="D26665" s="1" t="s">
        <v>8862</v>
      </c>
    </row>
    <row r="26666">
      <c r="A26666" s="1" t="s">
        <v>40935</v>
      </c>
      <c r="B26666" s="2" t="s">
        <v>40936</v>
      </c>
      <c r="C26666" s="1" t="s">
        <v>8861</v>
      </c>
      <c r="D26666" s="1" t="s">
        <v>8862</v>
      </c>
    </row>
    <row r="26667">
      <c r="A26667" s="1" t="s">
        <v>40937</v>
      </c>
      <c r="B26667" s="2" t="s">
        <v>40938</v>
      </c>
      <c r="C26667" s="1" t="s">
        <v>8861</v>
      </c>
      <c r="D26667" s="1" t="s">
        <v>8862</v>
      </c>
    </row>
    <row r="26668">
      <c r="A26668" s="1" t="s">
        <v>40939</v>
      </c>
      <c r="B26668" s="2" t="s">
        <v>40940</v>
      </c>
      <c r="C26668" s="1" t="s">
        <v>8861</v>
      </c>
      <c r="D26668" s="1" t="s">
        <v>8862</v>
      </c>
    </row>
    <row r="26669">
      <c r="A26669" s="1" t="s">
        <v>40941</v>
      </c>
      <c r="B26669" s="2" t="s">
        <v>40942</v>
      </c>
      <c r="C26669" s="1" t="s">
        <v>8861</v>
      </c>
      <c r="D26669" s="1" t="s">
        <v>8862</v>
      </c>
    </row>
    <row r="26670">
      <c r="A26670" s="1" t="s">
        <v>40943</v>
      </c>
      <c r="B26670" s="2" t="s">
        <v>40944</v>
      </c>
      <c r="C26670" s="1" t="s">
        <v>8861</v>
      </c>
      <c r="D26670" s="1" t="s">
        <v>8862</v>
      </c>
    </row>
    <row r="26671">
      <c r="A26671" s="1" t="s">
        <v>40945</v>
      </c>
      <c r="B26671" s="2" t="s">
        <v>40946</v>
      </c>
      <c r="C26671" s="1" t="s">
        <v>8861</v>
      </c>
      <c r="D26671" s="1" t="s">
        <v>8862</v>
      </c>
    </row>
    <row r="26672">
      <c r="A26672" s="1" t="s">
        <v>40947</v>
      </c>
      <c r="B26672" s="2" t="s">
        <v>40948</v>
      </c>
      <c r="C26672" s="1" t="s">
        <v>8861</v>
      </c>
      <c r="D26672" s="1" t="s">
        <v>8862</v>
      </c>
    </row>
    <row r="26673">
      <c r="A26673" s="1" t="s">
        <v>8867</v>
      </c>
      <c r="B26673" s="2" t="s">
        <v>7</v>
      </c>
      <c r="C26673" s="1" t="s">
        <v>8869</v>
      </c>
      <c r="D26673" s="1" t="s">
        <v>8871</v>
      </c>
    </row>
    <row r="26674">
      <c r="A26674" s="1" t="s">
        <v>40949</v>
      </c>
      <c r="B26674" s="2" t="s">
        <v>40950</v>
      </c>
      <c r="C26674" s="1" t="s">
        <v>8869</v>
      </c>
      <c r="D26674" s="1" t="s">
        <v>8871</v>
      </c>
    </row>
    <row r="26675">
      <c r="A26675" s="1" t="s">
        <v>40951</v>
      </c>
      <c r="B26675" s="2" t="s">
        <v>40952</v>
      </c>
      <c r="C26675" s="1" t="s">
        <v>8869</v>
      </c>
      <c r="D26675" s="1" t="s">
        <v>8871</v>
      </c>
    </row>
    <row r="26676">
      <c r="A26676" s="1" t="s">
        <v>40953</v>
      </c>
      <c r="B26676" s="2" t="s">
        <v>40954</v>
      </c>
      <c r="C26676" s="1" t="s">
        <v>8869</v>
      </c>
      <c r="D26676" s="1" t="s">
        <v>8871</v>
      </c>
    </row>
    <row r="26677">
      <c r="A26677" s="1" t="s">
        <v>40955</v>
      </c>
      <c r="B26677" s="2" t="s">
        <v>40531</v>
      </c>
      <c r="C26677" s="1" t="s">
        <v>8869</v>
      </c>
      <c r="D26677" s="1" t="s">
        <v>8871</v>
      </c>
    </row>
    <row r="26678">
      <c r="A26678" s="1" t="s">
        <v>8876</v>
      </c>
      <c r="B26678" s="2" t="s">
        <v>7</v>
      </c>
      <c r="C26678" s="1" t="s">
        <v>116</v>
      </c>
      <c r="D26678" s="1" t="s">
        <v>8879</v>
      </c>
    </row>
    <row r="26679">
      <c r="A26679" s="1" t="s">
        <v>40956</v>
      </c>
      <c r="B26679" s="2" t="s">
        <v>40957</v>
      </c>
      <c r="C26679" s="1" t="s">
        <v>116</v>
      </c>
      <c r="D26679" s="1" t="s">
        <v>8879</v>
      </c>
    </row>
    <row r="26680">
      <c r="A26680" s="1" t="s">
        <v>40958</v>
      </c>
      <c r="B26680" s="2" t="s">
        <v>40959</v>
      </c>
      <c r="C26680" s="1" t="s">
        <v>116</v>
      </c>
      <c r="D26680" s="1" t="s">
        <v>8879</v>
      </c>
    </row>
    <row r="26681">
      <c r="A26681" s="1" t="s">
        <v>40960</v>
      </c>
      <c r="B26681" s="2" t="s">
        <v>40961</v>
      </c>
      <c r="C26681" s="1" t="s">
        <v>116</v>
      </c>
      <c r="D26681" s="1" t="s">
        <v>8879</v>
      </c>
    </row>
    <row r="26682">
      <c r="A26682" s="1" t="s">
        <v>40962</v>
      </c>
      <c r="B26682" s="2" t="s">
        <v>40963</v>
      </c>
      <c r="C26682" s="1" t="s">
        <v>116</v>
      </c>
      <c r="D26682" s="1" t="s">
        <v>8879</v>
      </c>
    </row>
    <row r="26683">
      <c r="A26683" s="1" t="s">
        <v>40964</v>
      </c>
      <c r="B26683" s="2" t="s">
        <v>40965</v>
      </c>
      <c r="C26683" s="1" t="s">
        <v>116</v>
      </c>
      <c r="D26683" s="1" t="s">
        <v>8879</v>
      </c>
    </row>
    <row r="26684">
      <c r="A26684" s="1" t="s">
        <v>40966</v>
      </c>
      <c r="B26684" s="2" t="s">
        <v>40967</v>
      </c>
      <c r="C26684" s="1" t="s">
        <v>116</v>
      </c>
      <c r="D26684" s="1" t="s">
        <v>8879</v>
      </c>
    </row>
    <row r="26685">
      <c r="A26685" s="1" t="s">
        <v>40968</v>
      </c>
      <c r="B26685" s="2" t="s">
        <v>40969</v>
      </c>
      <c r="C26685" s="1" t="s">
        <v>116</v>
      </c>
      <c r="D26685" s="1" t="s">
        <v>8879</v>
      </c>
    </row>
    <row r="26686">
      <c r="A26686" s="1" t="s">
        <v>40970</v>
      </c>
      <c r="B26686" s="2" t="s">
        <v>40971</v>
      </c>
      <c r="C26686" s="1" t="s">
        <v>116</v>
      </c>
      <c r="D26686" s="1" t="s">
        <v>8879</v>
      </c>
    </row>
    <row r="26687">
      <c r="A26687" s="1" t="s">
        <v>40972</v>
      </c>
      <c r="B26687" s="2" t="s">
        <v>40973</v>
      </c>
      <c r="C26687" s="1" t="s">
        <v>116</v>
      </c>
      <c r="D26687" s="1" t="s">
        <v>8879</v>
      </c>
    </row>
    <row r="26688">
      <c r="A26688" s="1" t="s">
        <v>40974</v>
      </c>
      <c r="B26688" s="2" t="s">
        <v>40975</v>
      </c>
      <c r="C26688" s="1" t="s">
        <v>116</v>
      </c>
      <c r="D26688" s="1" t="s">
        <v>8879</v>
      </c>
    </row>
    <row r="26689">
      <c r="A26689" s="1" t="s">
        <v>40976</v>
      </c>
      <c r="B26689" s="2" t="s">
        <v>40977</v>
      </c>
      <c r="C26689" s="1" t="s">
        <v>116</v>
      </c>
      <c r="D26689" s="1" t="s">
        <v>8879</v>
      </c>
    </row>
    <row r="26690">
      <c r="A26690" s="1" t="s">
        <v>40978</v>
      </c>
      <c r="B26690" s="2" t="s">
        <v>40979</v>
      </c>
      <c r="C26690" s="1" t="s">
        <v>116</v>
      </c>
      <c r="D26690" s="1" t="s">
        <v>8879</v>
      </c>
    </row>
    <row r="26691">
      <c r="A26691" s="1" t="s">
        <v>40980</v>
      </c>
      <c r="B26691" s="2" t="s">
        <v>40981</v>
      </c>
      <c r="C26691" s="1" t="s">
        <v>116</v>
      </c>
      <c r="D26691" s="1" t="s">
        <v>8879</v>
      </c>
    </row>
    <row r="26692">
      <c r="A26692" s="1" t="s">
        <v>40982</v>
      </c>
      <c r="B26692" s="2" t="s">
        <v>40983</v>
      </c>
      <c r="C26692" s="1" t="s">
        <v>116</v>
      </c>
      <c r="D26692" s="1" t="s">
        <v>8879</v>
      </c>
    </row>
    <row r="26693">
      <c r="A26693" s="1" t="s">
        <v>40984</v>
      </c>
      <c r="B26693" s="2" t="s">
        <v>40985</v>
      </c>
      <c r="C26693" s="1" t="s">
        <v>116</v>
      </c>
      <c r="D26693" s="1" t="s">
        <v>8879</v>
      </c>
    </row>
    <row r="26694">
      <c r="A26694" s="1" t="s">
        <v>40986</v>
      </c>
      <c r="B26694" s="2" t="s">
        <v>40987</v>
      </c>
      <c r="C26694" s="1" t="s">
        <v>116</v>
      </c>
      <c r="D26694" s="1" t="s">
        <v>8879</v>
      </c>
    </row>
    <row r="26695">
      <c r="A26695" s="1" t="s">
        <v>40988</v>
      </c>
      <c r="B26695" s="2" t="s">
        <v>40989</v>
      </c>
      <c r="C26695" s="1" t="s">
        <v>116</v>
      </c>
      <c r="D26695" s="1" t="s">
        <v>8879</v>
      </c>
    </row>
    <row r="26696">
      <c r="A26696" s="1" t="s">
        <v>40990</v>
      </c>
      <c r="B26696" s="2" t="s">
        <v>40991</v>
      </c>
      <c r="C26696" s="1" t="s">
        <v>116</v>
      </c>
      <c r="D26696" s="1" t="s">
        <v>8879</v>
      </c>
    </row>
    <row r="26697">
      <c r="A26697" s="1" t="s">
        <v>40992</v>
      </c>
      <c r="B26697" s="2" t="s">
        <v>40993</v>
      </c>
      <c r="C26697" s="1" t="s">
        <v>116</v>
      </c>
      <c r="D26697" s="1" t="s">
        <v>8879</v>
      </c>
    </row>
    <row r="26698">
      <c r="A26698" s="1" t="s">
        <v>40994</v>
      </c>
      <c r="B26698" s="2" t="s">
        <v>40995</v>
      </c>
      <c r="C26698" s="1" t="s">
        <v>116</v>
      </c>
      <c r="D26698" s="1" t="s">
        <v>8879</v>
      </c>
    </row>
    <row r="26699">
      <c r="A26699" s="1" t="s">
        <v>8884</v>
      </c>
      <c r="B26699" s="2" t="s">
        <v>7</v>
      </c>
      <c r="C26699" s="1" t="s">
        <v>278</v>
      </c>
      <c r="D26699" s="1" t="s">
        <v>8886</v>
      </c>
    </row>
    <row r="26700">
      <c r="A26700" s="1" t="s">
        <v>40996</v>
      </c>
      <c r="B26700" s="2" t="s">
        <v>40997</v>
      </c>
      <c r="C26700" s="1" t="s">
        <v>278</v>
      </c>
      <c r="D26700" s="1" t="s">
        <v>8886</v>
      </c>
    </row>
    <row r="26701">
      <c r="A26701" s="1" t="s">
        <v>40998</v>
      </c>
      <c r="B26701" s="2" t="s">
        <v>40999</v>
      </c>
      <c r="C26701" s="1" t="s">
        <v>278</v>
      </c>
      <c r="D26701" s="1" t="s">
        <v>8886</v>
      </c>
    </row>
    <row r="26702">
      <c r="A26702" s="1" t="s">
        <v>41000</v>
      </c>
      <c r="B26702" s="2" t="s">
        <v>41001</v>
      </c>
      <c r="C26702" s="1" t="s">
        <v>278</v>
      </c>
      <c r="D26702" s="1" t="s">
        <v>8886</v>
      </c>
    </row>
    <row r="26703">
      <c r="A26703" s="1" t="s">
        <v>41002</v>
      </c>
      <c r="B26703" s="2" t="s">
        <v>41003</v>
      </c>
      <c r="C26703" s="1" t="s">
        <v>278</v>
      </c>
      <c r="D26703" s="1" t="s">
        <v>8886</v>
      </c>
    </row>
    <row r="26704">
      <c r="A26704" s="1" t="s">
        <v>41004</v>
      </c>
      <c r="B26704" s="2" t="s">
        <v>41005</v>
      </c>
      <c r="C26704" s="1" t="s">
        <v>278</v>
      </c>
      <c r="D26704" s="1" t="s">
        <v>8886</v>
      </c>
    </row>
    <row r="26705">
      <c r="A26705" s="1" t="s">
        <v>41006</v>
      </c>
      <c r="B26705" s="2" t="s">
        <v>41007</v>
      </c>
      <c r="C26705" s="1" t="s">
        <v>278</v>
      </c>
      <c r="D26705" s="1" t="s">
        <v>8886</v>
      </c>
    </row>
    <row r="26706">
      <c r="A26706" s="1" t="s">
        <v>41008</v>
      </c>
      <c r="B26706" s="2" t="s">
        <v>41009</v>
      </c>
      <c r="C26706" s="1" t="s">
        <v>278</v>
      </c>
      <c r="D26706" s="1" t="s">
        <v>8886</v>
      </c>
    </row>
    <row r="26707">
      <c r="A26707" s="1" t="s">
        <v>8891</v>
      </c>
      <c r="B26707" s="2" t="s">
        <v>7</v>
      </c>
      <c r="C26707" s="1" t="s">
        <v>285</v>
      </c>
      <c r="D26707" s="1" t="s">
        <v>8894</v>
      </c>
    </row>
    <row r="26708">
      <c r="A26708" s="1" t="s">
        <v>41010</v>
      </c>
      <c r="B26708" s="2" t="s">
        <v>41011</v>
      </c>
      <c r="C26708" s="1" t="s">
        <v>285</v>
      </c>
      <c r="D26708" s="1" t="s">
        <v>8894</v>
      </c>
    </row>
    <row r="26709">
      <c r="A26709" s="1" t="s">
        <v>41012</v>
      </c>
      <c r="B26709" s="2" t="s">
        <v>41013</v>
      </c>
      <c r="C26709" s="1" t="s">
        <v>285</v>
      </c>
      <c r="D26709" s="1" t="s">
        <v>8894</v>
      </c>
    </row>
    <row r="26710">
      <c r="A26710" s="1" t="s">
        <v>41014</v>
      </c>
      <c r="B26710" s="2" t="s">
        <v>41015</v>
      </c>
      <c r="C26710" s="1" t="s">
        <v>285</v>
      </c>
      <c r="D26710" s="1" t="s">
        <v>8894</v>
      </c>
    </row>
    <row r="26711">
      <c r="A26711" s="1" t="s">
        <v>41016</v>
      </c>
      <c r="B26711" s="2" t="s">
        <v>41017</v>
      </c>
      <c r="C26711" s="1" t="s">
        <v>285</v>
      </c>
      <c r="D26711" s="1" t="s">
        <v>8894</v>
      </c>
    </row>
    <row r="26712">
      <c r="A26712" s="1" t="s">
        <v>8899</v>
      </c>
      <c r="B26712" s="2" t="s">
        <v>7</v>
      </c>
      <c r="C26712" s="1" t="s">
        <v>302</v>
      </c>
      <c r="D26712" s="1" t="s">
        <v>8902</v>
      </c>
    </row>
    <row r="26713">
      <c r="A26713" s="1" t="s">
        <v>41018</v>
      </c>
      <c r="B26713" s="2" t="s">
        <v>41019</v>
      </c>
      <c r="C26713" s="1" t="s">
        <v>302</v>
      </c>
      <c r="D26713" s="1" t="s">
        <v>8902</v>
      </c>
    </row>
    <row r="26714">
      <c r="A26714" s="1" t="s">
        <v>41020</v>
      </c>
      <c r="B26714" s="2" t="s">
        <v>41021</v>
      </c>
      <c r="C26714" s="1" t="s">
        <v>302</v>
      </c>
      <c r="D26714" s="1" t="s">
        <v>8902</v>
      </c>
    </row>
    <row r="26715">
      <c r="A26715" s="1" t="s">
        <v>41022</v>
      </c>
      <c r="B26715" s="2" t="s">
        <v>41023</v>
      </c>
      <c r="C26715" s="1" t="s">
        <v>302</v>
      </c>
      <c r="D26715" s="1" t="s">
        <v>8902</v>
      </c>
    </row>
    <row r="26716">
      <c r="A26716" s="1" t="s">
        <v>41024</v>
      </c>
      <c r="B26716" s="2" t="s">
        <v>41025</v>
      </c>
      <c r="C26716" s="1" t="s">
        <v>302</v>
      </c>
      <c r="D26716" s="1" t="s">
        <v>8902</v>
      </c>
    </row>
    <row r="26717">
      <c r="A26717" s="1" t="s">
        <v>41026</v>
      </c>
      <c r="B26717" s="2" t="s">
        <v>41027</v>
      </c>
      <c r="C26717" s="1" t="s">
        <v>302</v>
      </c>
      <c r="D26717" s="1" t="s">
        <v>8902</v>
      </c>
    </row>
    <row r="26718">
      <c r="A26718" s="1" t="s">
        <v>41028</v>
      </c>
      <c r="B26718" s="2" t="s">
        <v>41029</v>
      </c>
      <c r="C26718" s="1" t="s">
        <v>302</v>
      </c>
      <c r="D26718" s="1" t="s">
        <v>8902</v>
      </c>
    </row>
    <row r="26719">
      <c r="A26719" s="1" t="s">
        <v>41030</v>
      </c>
      <c r="B26719" s="2" t="s">
        <v>41031</v>
      </c>
      <c r="C26719" s="1" t="s">
        <v>302</v>
      </c>
      <c r="D26719" s="1" t="s">
        <v>8902</v>
      </c>
    </row>
    <row r="26720">
      <c r="A26720" s="1" t="s">
        <v>8907</v>
      </c>
      <c r="B26720" s="2" t="s">
        <v>7</v>
      </c>
      <c r="C26720" s="1" t="s">
        <v>309</v>
      </c>
      <c r="D26720" s="1" t="s">
        <v>8909</v>
      </c>
    </row>
    <row r="26721">
      <c r="A26721" s="1" t="s">
        <v>41032</v>
      </c>
      <c r="B26721" s="2" t="s">
        <v>41033</v>
      </c>
      <c r="C26721" s="1" t="s">
        <v>309</v>
      </c>
      <c r="D26721" s="1" t="s">
        <v>8909</v>
      </c>
    </row>
    <row r="26722">
      <c r="A26722" s="1" t="s">
        <v>41034</v>
      </c>
      <c r="B26722" s="2" t="s">
        <v>2146</v>
      </c>
      <c r="C26722" s="1" t="s">
        <v>309</v>
      </c>
      <c r="D26722" s="1" t="s">
        <v>8909</v>
      </c>
    </row>
    <row r="26723">
      <c r="A26723" s="1" t="s">
        <v>41035</v>
      </c>
      <c r="B26723" s="2" t="s">
        <v>2164</v>
      </c>
      <c r="C26723" s="1" t="s">
        <v>309</v>
      </c>
      <c r="D26723" s="1" t="s">
        <v>8909</v>
      </c>
    </row>
    <row r="26724">
      <c r="A26724" s="1" t="s">
        <v>41036</v>
      </c>
      <c r="B26724" s="2" t="s">
        <v>2185</v>
      </c>
      <c r="C26724" s="1" t="s">
        <v>309</v>
      </c>
      <c r="D26724" s="1" t="s">
        <v>8909</v>
      </c>
    </row>
    <row r="26725">
      <c r="A26725" s="1" t="s">
        <v>41037</v>
      </c>
      <c r="B26725" s="2" t="s">
        <v>2191</v>
      </c>
      <c r="C26725" s="1" t="s">
        <v>309</v>
      </c>
      <c r="D26725" s="1" t="s">
        <v>8909</v>
      </c>
    </row>
    <row r="26726">
      <c r="A26726" s="1" t="s">
        <v>41038</v>
      </c>
      <c r="B26726" s="2" t="s">
        <v>41039</v>
      </c>
      <c r="C26726" s="1" t="s">
        <v>309</v>
      </c>
      <c r="D26726" s="1" t="s">
        <v>8909</v>
      </c>
    </row>
    <row r="26727">
      <c r="A26727" s="1" t="s">
        <v>41040</v>
      </c>
      <c r="B26727" s="2" t="s">
        <v>41041</v>
      </c>
      <c r="C26727" s="1" t="s">
        <v>309</v>
      </c>
      <c r="D26727" s="1" t="s">
        <v>8909</v>
      </c>
    </row>
    <row r="26728">
      <c r="A26728" s="1" t="s">
        <v>8913</v>
      </c>
      <c r="B26728" s="2" t="s">
        <v>7</v>
      </c>
      <c r="C26728" s="1" t="s">
        <v>315</v>
      </c>
      <c r="D26728" s="1" t="s">
        <v>8916</v>
      </c>
    </row>
    <row r="26729">
      <c r="A26729" s="1" t="s">
        <v>41042</v>
      </c>
      <c r="B26729" s="2" t="s">
        <v>1607</v>
      </c>
      <c r="C26729" s="1" t="s">
        <v>315</v>
      </c>
      <c r="D26729" s="1" t="s">
        <v>8916</v>
      </c>
    </row>
    <row r="26730">
      <c r="A26730" s="1" t="s">
        <v>41043</v>
      </c>
      <c r="B26730" s="2" t="s">
        <v>41044</v>
      </c>
      <c r="C26730" s="1" t="s">
        <v>315</v>
      </c>
      <c r="D26730" s="1" t="s">
        <v>8916</v>
      </c>
    </row>
    <row r="26731">
      <c r="A26731" s="1" t="s">
        <v>41045</v>
      </c>
      <c r="B26731" s="2" t="s">
        <v>41046</v>
      </c>
      <c r="C26731" s="1" t="s">
        <v>315</v>
      </c>
      <c r="D26731" s="1" t="s">
        <v>8916</v>
      </c>
    </row>
    <row r="26732">
      <c r="A26732" s="1" t="s">
        <v>41047</v>
      </c>
      <c r="B26732" s="2" t="s">
        <v>41048</v>
      </c>
      <c r="C26732" s="1" t="s">
        <v>315</v>
      </c>
      <c r="D26732" s="1" t="s">
        <v>8916</v>
      </c>
    </row>
    <row r="26733">
      <c r="A26733" s="1" t="s">
        <v>41049</v>
      </c>
      <c r="B26733" s="2" t="s">
        <v>41050</v>
      </c>
      <c r="C26733" s="1" t="s">
        <v>315</v>
      </c>
      <c r="D26733" s="1" t="s">
        <v>8916</v>
      </c>
    </row>
    <row r="26734">
      <c r="A26734" s="1" t="s">
        <v>41051</v>
      </c>
      <c r="B26734" s="2" t="s">
        <v>41052</v>
      </c>
      <c r="C26734" s="1" t="s">
        <v>315</v>
      </c>
      <c r="D26734" s="1" t="s">
        <v>8916</v>
      </c>
    </row>
    <row r="26735">
      <c r="A26735" s="1" t="s">
        <v>41053</v>
      </c>
      <c r="B26735" s="2" t="s">
        <v>41054</v>
      </c>
      <c r="C26735" s="1" t="s">
        <v>315</v>
      </c>
      <c r="D26735" s="1" t="s">
        <v>8916</v>
      </c>
    </row>
    <row r="26736">
      <c r="A26736" s="1" t="s">
        <v>8921</v>
      </c>
      <c r="B26736" s="2" t="s">
        <v>7</v>
      </c>
      <c r="C26736" s="1" t="s">
        <v>8924</v>
      </c>
      <c r="D26736" s="1" t="s">
        <v>8925</v>
      </c>
    </row>
    <row r="26737">
      <c r="A26737" s="1" t="s">
        <v>41055</v>
      </c>
      <c r="B26737" s="2" t="s">
        <v>13</v>
      </c>
      <c r="C26737" s="1" t="s">
        <v>8924</v>
      </c>
      <c r="D26737" s="1" t="s">
        <v>8925</v>
      </c>
    </row>
    <row r="26738">
      <c r="A26738" s="1" t="s">
        <v>41056</v>
      </c>
      <c r="B26738" s="2" t="s">
        <v>41057</v>
      </c>
      <c r="C26738" s="1" t="s">
        <v>8924</v>
      </c>
      <c r="D26738" s="1" t="s">
        <v>8925</v>
      </c>
    </row>
    <row r="26739">
      <c r="A26739" s="1" t="s">
        <v>41058</v>
      </c>
      <c r="B26739" s="2" t="s">
        <v>16316</v>
      </c>
      <c r="C26739" s="1" t="s">
        <v>8924</v>
      </c>
      <c r="D26739" s="1" t="s">
        <v>8925</v>
      </c>
    </row>
    <row r="26740">
      <c r="A26740" s="1" t="s">
        <v>41059</v>
      </c>
      <c r="B26740" s="2" t="s">
        <v>22746</v>
      </c>
      <c r="C26740" s="1" t="s">
        <v>8924</v>
      </c>
      <c r="D26740" s="1" t="s">
        <v>8925</v>
      </c>
    </row>
    <row r="26741">
      <c r="A26741" s="1" t="s">
        <v>41060</v>
      </c>
      <c r="B26741" s="2" t="s">
        <v>41061</v>
      </c>
      <c r="C26741" s="1" t="s">
        <v>8924</v>
      </c>
      <c r="D26741" s="1" t="s">
        <v>8925</v>
      </c>
    </row>
    <row r="26742">
      <c r="A26742" s="1" t="s">
        <v>41062</v>
      </c>
      <c r="B26742" s="2" t="s">
        <v>70</v>
      </c>
      <c r="C26742" s="1" t="s">
        <v>8924</v>
      </c>
      <c r="D26742" s="1" t="s">
        <v>8925</v>
      </c>
    </row>
    <row r="26743">
      <c r="A26743" s="1" t="s">
        <v>41063</v>
      </c>
      <c r="B26743" s="2" t="s">
        <v>41064</v>
      </c>
      <c r="C26743" s="1" t="s">
        <v>8924</v>
      </c>
      <c r="D26743" s="1" t="s">
        <v>8925</v>
      </c>
    </row>
    <row r="26744">
      <c r="A26744" s="1" t="s">
        <v>41065</v>
      </c>
      <c r="B26744" s="2" t="s">
        <v>16349</v>
      </c>
      <c r="C26744" s="1" t="s">
        <v>8924</v>
      </c>
      <c r="D26744" s="1" t="s">
        <v>8925</v>
      </c>
    </row>
    <row r="26745">
      <c r="A26745" s="1" t="s">
        <v>41066</v>
      </c>
      <c r="B26745" s="2" t="s">
        <v>22755</v>
      </c>
      <c r="C26745" s="1" t="s">
        <v>8924</v>
      </c>
      <c r="D26745" s="1" t="s">
        <v>8925</v>
      </c>
    </row>
    <row r="26746">
      <c r="A26746" s="1" t="s">
        <v>41067</v>
      </c>
      <c r="B26746" s="2" t="s">
        <v>41068</v>
      </c>
      <c r="C26746" s="1" t="s">
        <v>8924</v>
      </c>
      <c r="D26746" s="1" t="s">
        <v>8925</v>
      </c>
    </row>
    <row r="26747">
      <c r="A26747" s="1" t="s">
        <v>8930</v>
      </c>
      <c r="B26747" s="2" t="s">
        <v>7</v>
      </c>
      <c r="C26747" s="1" t="s">
        <v>8933</v>
      </c>
      <c r="D26747" s="1" t="s">
        <v>8934</v>
      </c>
    </row>
    <row r="26748">
      <c r="A26748" s="1" t="s">
        <v>41069</v>
      </c>
      <c r="B26748" s="2" t="s">
        <v>13</v>
      </c>
      <c r="C26748" s="1" t="s">
        <v>8933</v>
      </c>
      <c r="D26748" s="1" t="s">
        <v>8934</v>
      </c>
    </row>
    <row r="26749">
      <c r="A26749" s="1" t="s">
        <v>41070</v>
      </c>
      <c r="B26749" s="2" t="s">
        <v>41057</v>
      </c>
      <c r="C26749" s="1" t="s">
        <v>8933</v>
      </c>
      <c r="D26749" s="1" t="s">
        <v>8934</v>
      </c>
    </row>
    <row r="26750">
      <c r="A26750" s="1" t="s">
        <v>41071</v>
      </c>
      <c r="B26750" s="2" t="s">
        <v>16316</v>
      </c>
      <c r="C26750" s="1" t="s">
        <v>8933</v>
      </c>
      <c r="D26750" s="1" t="s">
        <v>8934</v>
      </c>
    </row>
    <row r="26751">
      <c r="A26751" s="1" t="s">
        <v>41072</v>
      </c>
      <c r="B26751" s="2" t="s">
        <v>22746</v>
      </c>
      <c r="C26751" s="1" t="s">
        <v>8933</v>
      </c>
      <c r="D26751" s="1" t="s">
        <v>8934</v>
      </c>
    </row>
    <row r="26752">
      <c r="A26752" s="1" t="s">
        <v>41073</v>
      </c>
      <c r="B26752" s="2" t="s">
        <v>41061</v>
      </c>
      <c r="C26752" s="1" t="s">
        <v>8933</v>
      </c>
      <c r="D26752" s="1" t="s">
        <v>8934</v>
      </c>
    </row>
    <row r="26753">
      <c r="A26753" s="1" t="s">
        <v>41074</v>
      </c>
      <c r="B26753" s="2" t="s">
        <v>70</v>
      </c>
      <c r="C26753" s="1" t="s">
        <v>8933</v>
      </c>
      <c r="D26753" s="1" t="s">
        <v>8934</v>
      </c>
    </row>
    <row r="26754">
      <c r="A26754" s="1" t="s">
        <v>41075</v>
      </c>
      <c r="B26754" s="2" t="s">
        <v>41064</v>
      </c>
      <c r="C26754" s="1" t="s">
        <v>8933</v>
      </c>
      <c r="D26754" s="1" t="s">
        <v>8934</v>
      </c>
    </row>
    <row r="26755">
      <c r="A26755" s="1" t="s">
        <v>41076</v>
      </c>
      <c r="B26755" s="2" t="s">
        <v>16349</v>
      </c>
      <c r="C26755" s="1" t="s">
        <v>8933</v>
      </c>
      <c r="D26755" s="1" t="s">
        <v>8934</v>
      </c>
    </row>
    <row r="26756">
      <c r="A26756" s="1" t="s">
        <v>41077</v>
      </c>
      <c r="B26756" s="2" t="s">
        <v>22755</v>
      </c>
      <c r="C26756" s="1" t="s">
        <v>8933</v>
      </c>
      <c r="D26756" s="1" t="s">
        <v>8934</v>
      </c>
    </row>
    <row r="26757">
      <c r="A26757" s="1" t="s">
        <v>41078</v>
      </c>
      <c r="B26757" s="2" t="s">
        <v>41068</v>
      </c>
      <c r="C26757" s="1" t="s">
        <v>8933</v>
      </c>
      <c r="D26757" s="1" t="s">
        <v>8934</v>
      </c>
    </row>
    <row r="26758">
      <c r="A26758" s="1" t="s">
        <v>8940</v>
      </c>
      <c r="B26758" s="2" t="s">
        <v>7</v>
      </c>
      <c r="C26758" s="1" t="s">
        <v>8942</v>
      </c>
      <c r="D26758" s="1" t="s">
        <v>8944</v>
      </c>
    </row>
    <row r="26759">
      <c r="A26759" s="1" t="s">
        <v>41079</v>
      </c>
      <c r="B26759" s="2" t="s">
        <v>13</v>
      </c>
      <c r="C26759" s="1" t="s">
        <v>8942</v>
      </c>
      <c r="D26759" s="1" t="s">
        <v>8944</v>
      </c>
    </row>
    <row r="26760">
      <c r="A26760" s="1" t="s">
        <v>41080</v>
      </c>
      <c r="B26760" s="2" t="s">
        <v>41057</v>
      </c>
      <c r="C26760" s="1" t="s">
        <v>8942</v>
      </c>
      <c r="D26760" s="1" t="s">
        <v>8944</v>
      </c>
    </row>
    <row r="26761">
      <c r="A26761" s="1" t="s">
        <v>41081</v>
      </c>
      <c r="B26761" s="2" t="s">
        <v>16316</v>
      </c>
      <c r="C26761" s="1" t="s">
        <v>8942</v>
      </c>
      <c r="D26761" s="1" t="s">
        <v>8944</v>
      </c>
    </row>
    <row r="26762">
      <c r="A26762" s="1" t="s">
        <v>41082</v>
      </c>
      <c r="B26762" s="2" t="s">
        <v>22746</v>
      </c>
      <c r="C26762" s="1" t="s">
        <v>8942</v>
      </c>
      <c r="D26762" s="1" t="s">
        <v>8944</v>
      </c>
    </row>
    <row r="26763">
      <c r="A26763" s="1" t="s">
        <v>41083</v>
      </c>
      <c r="B26763" s="2" t="s">
        <v>41061</v>
      </c>
      <c r="C26763" s="1" t="s">
        <v>8942</v>
      </c>
      <c r="D26763" s="1" t="s">
        <v>8944</v>
      </c>
    </row>
    <row r="26764">
      <c r="A26764" s="1" t="s">
        <v>41084</v>
      </c>
      <c r="B26764" s="2" t="s">
        <v>70</v>
      </c>
      <c r="C26764" s="1" t="s">
        <v>8942</v>
      </c>
      <c r="D26764" s="1" t="s">
        <v>8944</v>
      </c>
    </row>
    <row r="26765">
      <c r="A26765" s="1" t="s">
        <v>41085</v>
      </c>
      <c r="B26765" s="2" t="s">
        <v>41064</v>
      </c>
      <c r="C26765" s="1" t="s">
        <v>8942</v>
      </c>
      <c r="D26765" s="1" t="s">
        <v>8944</v>
      </c>
    </row>
    <row r="26766">
      <c r="A26766" s="1" t="s">
        <v>41086</v>
      </c>
      <c r="B26766" s="2" t="s">
        <v>16349</v>
      </c>
      <c r="C26766" s="1" t="s">
        <v>8942</v>
      </c>
      <c r="D26766" s="1" t="s">
        <v>8944</v>
      </c>
    </row>
    <row r="26767">
      <c r="A26767" s="1" t="s">
        <v>41087</v>
      </c>
      <c r="B26767" s="2" t="s">
        <v>22755</v>
      </c>
      <c r="C26767" s="1" t="s">
        <v>8942</v>
      </c>
      <c r="D26767" s="1" t="s">
        <v>8944</v>
      </c>
    </row>
    <row r="26768">
      <c r="A26768" s="1" t="s">
        <v>41088</v>
      </c>
      <c r="B26768" s="2" t="s">
        <v>41068</v>
      </c>
      <c r="C26768" s="1" t="s">
        <v>8942</v>
      </c>
      <c r="D26768" s="1" t="s">
        <v>8944</v>
      </c>
    </row>
    <row r="26769">
      <c r="A26769" s="1" t="s">
        <v>8945</v>
      </c>
      <c r="B26769" s="2" t="s">
        <v>7</v>
      </c>
      <c r="C26769" s="1" t="s">
        <v>8947</v>
      </c>
      <c r="D26769" s="1" t="s">
        <v>8948</v>
      </c>
    </row>
    <row r="26770">
      <c r="A26770" s="1" t="s">
        <v>41089</v>
      </c>
      <c r="B26770" s="2" t="s">
        <v>13</v>
      </c>
      <c r="C26770" s="1" t="s">
        <v>8947</v>
      </c>
      <c r="D26770" s="1" t="s">
        <v>8948</v>
      </c>
    </row>
    <row r="26771">
      <c r="A26771" s="1" t="s">
        <v>41090</v>
      </c>
      <c r="B26771" s="2" t="s">
        <v>41057</v>
      </c>
      <c r="C26771" s="1" t="s">
        <v>8947</v>
      </c>
      <c r="D26771" s="1" t="s">
        <v>8948</v>
      </c>
    </row>
    <row r="26772">
      <c r="A26772" s="1" t="s">
        <v>41091</v>
      </c>
      <c r="B26772" s="2" t="s">
        <v>16316</v>
      </c>
      <c r="C26772" s="1" t="s">
        <v>8947</v>
      </c>
      <c r="D26772" s="1" t="s">
        <v>8948</v>
      </c>
    </row>
    <row r="26773">
      <c r="A26773" s="1" t="s">
        <v>41092</v>
      </c>
      <c r="B26773" s="2" t="s">
        <v>22746</v>
      </c>
      <c r="C26773" s="1" t="s">
        <v>8947</v>
      </c>
      <c r="D26773" s="1" t="s">
        <v>8948</v>
      </c>
    </row>
    <row r="26774">
      <c r="A26774" s="1" t="s">
        <v>41093</v>
      </c>
      <c r="B26774" s="2" t="s">
        <v>41061</v>
      </c>
      <c r="C26774" s="1" t="s">
        <v>8947</v>
      </c>
      <c r="D26774" s="1" t="s">
        <v>8948</v>
      </c>
    </row>
    <row r="26775">
      <c r="A26775" s="1" t="s">
        <v>41094</v>
      </c>
      <c r="B26775" s="2" t="s">
        <v>70</v>
      </c>
      <c r="C26775" s="1" t="s">
        <v>8947</v>
      </c>
      <c r="D26775" s="1" t="s">
        <v>8948</v>
      </c>
    </row>
    <row r="26776">
      <c r="A26776" s="1" t="s">
        <v>41095</v>
      </c>
      <c r="B26776" s="2" t="s">
        <v>41064</v>
      </c>
      <c r="C26776" s="1" t="s">
        <v>8947</v>
      </c>
      <c r="D26776" s="1" t="s">
        <v>8948</v>
      </c>
    </row>
    <row r="26777">
      <c r="A26777" s="1" t="s">
        <v>41096</v>
      </c>
      <c r="B26777" s="2" t="s">
        <v>16349</v>
      </c>
      <c r="C26777" s="1" t="s">
        <v>8947</v>
      </c>
      <c r="D26777" s="1" t="s">
        <v>8948</v>
      </c>
    </row>
    <row r="26778">
      <c r="A26778" s="1" t="s">
        <v>41097</v>
      </c>
      <c r="B26778" s="2" t="s">
        <v>22755</v>
      </c>
      <c r="C26778" s="1" t="s">
        <v>8947</v>
      </c>
      <c r="D26778" s="1" t="s">
        <v>8948</v>
      </c>
    </row>
    <row r="26779">
      <c r="A26779" s="1" t="s">
        <v>41098</v>
      </c>
      <c r="B26779" s="2" t="s">
        <v>41068</v>
      </c>
      <c r="C26779" s="1" t="s">
        <v>8947</v>
      </c>
      <c r="D26779" s="1" t="s">
        <v>8948</v>
      </c>
    </row>
    <row r="26780">
      <c r="A26780" s="1" t="s">
        <v>8951</v>
      </c>
      <c r="B26780" s="2" t="s">
        <v>7</v>
      </c>
      <c r="C26780" s="1" t="s">
        <v>8954</v>
      </c>
      <c r="D26780" s="1" t="s">
        <v>8955</v>
      </c>
    </row>
    <row r="26781">
      <c r="A26781" s="1" t="s">
        <v>41099</v>
      </c>
      <c r="B26781" s="2" t="s">
        <v>13</v>
      </c>
      <c r="C26781" s="1" t="s">
        <v>8954</v>
      </c>
      <c r="D26781" s="1" t="s">
        <v>8955</v>
      </c>
    </row>
    <row r="26782">
      <c r="A26782" s="1" t="s">
        <v>41100</v>
      </c>
      <c r="B26782" s="2" t="s">
        <v>41057</v>
      </c>
      <c r="C26782" s="1" t="s">
        <v>8954</v>
      </c>
      <c r="D26782" s="1" t="s">
        <v>8955</v>
      </c>
    </row>
    <row r="26783">
      <c r="A26783" s="1" t="s">
        <v>41101</v>
      </c>
      <c r="B26783" s="2" t="s">
        <v>16316</v>
      </c>
      <c r="C26783" s="1" t="s">
        <v>8954</v>
      </c>
      <c r="D26783" s="1" t="s">
        <v>8955</v>
      </c>
    </row>
    <row r="26784">
      <c r="A26784" s="1" t="s">
        <v>41102</v>
      </c>
      <c r="B26784" s="2" t="s">
        <v>22746</v>
      </c>
      <c r="C26784" s="1" t="s">
        <v>8954</v>
      </c>
      <c r="D26784" s="1" t="s">
        <v>8955</v>
      </c>
    </row>
    <row r="26785">
      <c r="A26785" s="1" t="s">
        <v>41103</v>
      </c>
      <c r="B26785" s="2" t="s">
        <v>41061</v>
      </c>
      <c r="C26785" s="1" t="s">
        <v>8954</v>
      </c>
      <c r="D26785" s="1" t="s">
        <v>8955</v>
      </c>
    </row>
    <row r="26786">
      <c r="A26786" s="1" t="s">
        <v>41104</v>
      </c>
      <c r="B26786" s="2" t="s">
        <v>70</v>
      </c>
      <c r="C26786" s="1" t="s">
        <v>8954</v>
      </c>
      <c r="D26786" s="1" t="s">
        <v>8955</v>
      </c>
    </row>
    <row r="26787">
      <c r="A26787" s="1" t="s">
        <v>41105</v>
      </c>
      <c r="B26787" s="2" t="s">
        <v>41064</v>
      </c>
      <c r="C26787" s="1" t="s">
        <v>8954</v>
      </c>
      <c r="D26787" s="1" t="s">
        <v>8955</v>
      </c>
    </row>
    <row r="26788">
      <c r="A26788" s="1" t="s">
        <v>41106</v>
      </c>
      <c r="B26788" s="2" t="s">
        <v>16349</v>
      </c>
      <c r="C26788" s="1" t="s">
        <v>8954</v>
      </c>
      <c r="D26788" s="1" t="s">
        <v>8955</v>
      </c>
    </row>
    <row r="26789">
      <c r="A26789" s="1" t="s">
        <v>41107</v>
      </c>
      <c r="B26789" s="2" t="s">
        <v>22755</v>
      </c>
      <c r="C26789" s="1" t="s">
        <v>8954</v>
      </c>
      <c r="D26789" s="1" t="s">
        <v>8955</v>
      </c>
    </row>
    <row r="26790">
      <c r="A26790" s="1" t="s">
        <v>41108</v>
      </c>
      <c r="B26790" s="2" t="s">
        <v>41068</v>
      </c>
      <c r="C26790" s="1" t="s">
        <v>8954</v>
      </c>
      <c r="D26790" s="1" t="s">
        <v>8955</v>
      </c>
    </row>
    <row r="26791">
      <c r="A26791" s="1" t="s">
        <v>8960</v>
      </c>
      <c r="B26791" s="2" t="s">
        <v>7</v>
      </c>
      <c r="C26791" s="1" t="s">
        <v>8961</v>
      </c>
      <c r="D26791" s="1" t="s">
        <v>8963</v>
      </c>
    </row>
    <row r="26792">
      <c r="A26792" s="1" t="s">
        <v>41109</v>
      </c>
      <c r="B26792" s="2" t="s">
        <v>13</v>
      </c>
      <c r="C26792" s="1" t="s">
        <v>8961</v>
      </c>
      <c r="D26792" s="1" t="s">
        <v>8963</v>
      </c>
    </row>
    <row r="26793">
      <c r="A26793" s="1" t="s">
        <v>41110</v>
      </c>
      <c r="B26793" s="2" t="s">
        <v>41057</v>
      </c>
      <c r="C26793" s="1" t="s">
        <v>8961</v>
      </c>
      <c r="D26793" s="1" t="s">
        <v>8963</v>
      </c>
    </row>
    <row r="26794">
      <c r="A26794" s="1" t="s">
        <v>41111</v>
      </c>
      <c r="B26794" s="2" t="s">
        <v>16316</v>
      </c>
      <c r="C26794" s="1" t="s">
        <v>8961</v>
      </c>
      <c r="D26794" s="1" t="s">
        <v>8963</v>
      </c>
    </row>
    <row r="26795">
      <c r="A26795" s="1" t="s">
        <v>41112</v>
      </c>
      <c r="B26795" s="2" t="s">
        <v>22746</v>
      </c>
      <c r="C26795" s="1" t="s">
        <v>8961</v>
      </c>
      <c r="D26795" s="1" t="s">
        <v>8963</v>
      </c>
    </row>
    <row r="26796">
      <c r="A26796" s="1" t="s">
        <v>41113</v>
      </c>
      <c r="B26796" s="2" t="s">
        <v>41061</v>
      </c>
      <c r="C26796" s="1" t="s">
        <v>8961</v>
      </c>
      <c r="D26796" s="1" t="s">
        <v>8963</v>
      </c>
    </row>
    <row r="26797">
      <c r="A26797" s="1" t="s">
        <v>41114</v>
      </c>
      <c r="B26797" s="2" t="s">
        <v>70</v>
      </c>
      <c r="C26797" s="1" t="s">
        <v>8961</v>
      </c>
      <c r="D26797" s="1" t="s">
        <v>8963</v>
      </c>
    </row>
    <row r="26798">
      <c r="A26798" s="1" t="s">
        <v>41115</v>
      </c>
      <c r="B26798" s="2" t="s">
        <v>41064</v>
      </c>
      <c r="C26798" s="1" t="s">
        <v>8961</v>
      </c>
      <c r="D26798" s="1" t="s">
        <v>8963</v>
      </c>
    </row>
    <row r="26799">
      <c r="A26799" s="1" t="s">
        <v>41116</v>
      </c>
      <c r="B26799" s="2" t="s">
        <v>16349</v>
      </c>
      <c r="C26799" s="1" t="s">
        <v>8961</v>
      </c>
      <c r="D26799" s="1" t="s">
        <v>8963</v>
      </c>
    </row>
    <row r="26800">
      <c r="A26800" s="1" t="s">
        <v>41117</v>
      </c>
      <c r="B26800" s="2" t="s">
        <v>22755</v>
      </c>
      <c r="C26800" s="1" t="s">
        <v>8961</v>
      </c>
      <c r="D26800" s="1" t="s">
        <v>8963</v>
      </c>
    </row>
    <row r="26801">
      <c r="A26801" s="1" t="s">
        <v>41118</v>
      </c>
      <c r="B26801" s="2" t="s">
        <v>41068</v>
      </c>
      <c r="C26801" s="1" t="s">
        <v>8961</v>
      </c>
      <c r="D26801" s="1" t="s">
        <v>8963</v>
      </c>
    </row>
    <row r="26802">
      <c r="A26802" s="1" t="s">
        <v>8967</v>
      </c>
      <c r="B26802" s="2" t="s">
        <v>7</v>
      </c>
      <c r="C26802" s="1" t="s">
        <v>8970</v>
      </c>
      <c r="D26802" s="1" t="s">
        <v>8971</v>
      </c>
    </row>
    <row r="26803">
      <c r="A26803" s="1" t="s">
        <v>41119</v>
      </c>
      <c r="B26803" s="2" t="s">
        <v>13</v>
      </c>
      <c r="C26803" s="1" t="s">
        <v>8970</v>
      </c>
      <c r="D26803" s="1" t="s">
        <v>8971</v>
      </c>
    </row>
    <row r="26804">
      <c r="A26804" s="1" t="s">
        <v>41120</v>
      </c>
      <c r="B26804" s="2" t="s">
        <v>41057</v>
      </c>
      <c r="C26804" s="1" t="s">
        <v>8970</v>
      </c>
      <c r="D26804" s="1" t="s">
        <v>8971</v>
      </c>
    </row>
    <row r="26805">
      <c r="A26805" s="1" t="s">
        <v>41121</v>
      </c>
      <c r="B26805" s="2" t="s">
        <v>16316</v>
      </c>
      <c r="C26805" s="1" t="s">
        <v>8970</v>
      </c>
      <c r="D26805" s="1" t="s">
        <v>8971</v>
      </c>
    </row>
    <row r="26806">
      <c r="A26806" s="1" t="s">
        <v>41122</v>
      </c>
      <c r="B26806" s="2" t="s">
        <v>22746</v>
      </c>
      <c r="C26806" s="1" t="s">
        <v>8970</v>
      </c>
      <c r="D26806" s="1" t="s">
        <v>8971</v>
      </c>
    </row>
    <row r="26807">
      <c r="A26807" s="1" t="s">
        <v>41123</v>
      </c>
      <c r="B26807" s="2" t="s">
        <v>41061</v>
      </c>
      <c r="C26807" s="1" t="s">
        <v>8970</v>
      </c>
      <c r="D26807" s="1" t="s">
        <v>8971</v>
      </c>
    </row>
    <row r="26808">
      <c r="A26808" s="1" t="s">
        <v>41124</v>
      </c>
      <c r="B26808" s="2" t="s">
        <v>70</v>
      </c>
      <c r="C26808" s="1" t="s">
        <v>8970</v>
      </c>
      <c r="D26808" s="1" t="s">
        <v>8971</v>
      </c>
    </row>
    <row r="26809">
      <c r="A26809" s="1" t="s">
        <v>41125</v>
      </c>
      <c r="B26809" s="2" t="s">
        <v>41064</v>
      </c>
      <c r="C26809" s="1" t="s">
        <v>8970</v>
      </c>
      <c r="D26809" s="1" t="s">
        <v>8971</v>
      </c>
    </row>
    <row r="26810">
      <c r="A26810" s="1" t="s">
        <v>41126</v>
      </c>
      <c r="B26810" s="2" t="s">
        <v>16349</v>
      </c>
      <c r="C26810" s="1" t="s">
        <v>8970</v>
      </c>
      <c r="D26810" s="1" t="s">
        <v>8971</v>
      </c>
    </row>
    <row r="26811">
      <c r="A26811" s="1" t="s">
        <v>41127</v>
      </c>
      <c r="B26811" s="2" t="s">
        <v>22755</v>
      </c>
      <c r="C26811" s="1" t="s">
        <v>8970</v>
      </c>
      <c r="D26811" s="1" t="s">
        <v>8971</v>
      </c>
    </row>
    <row r="26812">
      <c r="A26812" s="1" t="s">
        <v>41128</v>
      </c>
      <c r="B26812" s="2" t="s">
        <v>41068</v>
      </c>
      <c r="C26812" s="1" t="s">
        <v>8970</v>
      </c>
      <c r="D26812" s="1" t="s">
        <v>8971</v>
      </c>
    </row>
    <row r="26813">
      <c r="A26813" s="1" t="s">
        <v>8975</v>
      </c>
      <c r="B26813" s="2" t="s">
        <v>7</v>
      </c>
      <c r="C26813" s="1" t="s">
        <v>8977</v>
      </c>
      <c r="D26813" s="1" t="s">
        <v>8978</v>
      </c>
    </row>
    <row r="26814">
      <c r="A26814" s="1" t="s">
        <v>41129</v>
      </c>
      <c r="B26814" s="2" t="s">
        <v>13</v>
      </c>
      <c r="C26814" s="1" t="s">
        <v>8977</v>
      </c>
      <c r="D26814" s="1" t="s">
        <v>8978</v>
      </c>
    </row>
    <row r="26815">
      <c r="A26815" s="1" t="s">
        <v>41130</v>
      </c>
      <c r="B26815" s="2" t="s">
        <v>41057</v>
      </c>
      <c r="C26815" s="1" t="s">
        <v>8977</v>
      </c>
      <c r="D26815" s="1" t="s">
        <v>8978</v>
      </c>
    </row>
    <row r="26816">
      <c r="A26816" s="1" t="s">
        <v>41131</v>
      </c>
      <c r="B26816" s="2" t="s">
        <v>16316</v>
      </c>
      <c r="C26816" s="1" t="s">
        <v>8977</v>
      </c>
      <c r="D26816" s="1" t="s">
        <v>8978</v>
      </c>
    </row>
    <row r="26817">
      <c r="A26817" s="1" t="s">
        <v>41132</v>
      </c>
      <c r="B26817" s="2" t="s">
        <v>22746</v>
      </c>
      <c r="C26817" s="1" t="s">
        <v>8977</v>
      </c>
      <c r="D26817" s="1" t="s">
        <v>8978</v>
      </c>
    </row>
    <row r="26818">
      <c r="A26818" s="1" t="s">
        <v>41133</v>
      </c>
      <c r="B26818" s="2" t="s">
        <v>41061</v>
      </c>
      <c r="C26818" s="1" t="s">
        <v>8977</v>
      </c>
      <c r="D26818" s="1" t="s">
        <v>8978</v>
      </c>
    </row>
    <row r="26819">
      <c r="A26819" s="1" t="s">
        <v>41134</v>
      </c>
      <c r="B26819" s="2" t="s">
        <v>70</v>
      </c>
      <c r="C26819" s="1" t="s">
        <v>8977</v>
      </c>
      <c r="D26819" s="1" t="s">
        <v>8978</v>
      </c>
    </row>
    <row r="26820">
      <c r="A26820" s="1" t="s">
        <v>41135</v>
      </c>
      <c r="B26820" s="2" t="s">
        <v>41064</v>
      </c>
      <c r="C26820" s="1" t="s">
        <v>8977</v>
      </c>
      <c r="D26820" s="1" t="s">
        <v>8978</v>
      </c>
    </row>
    <row r="26821">
      <c r="A26821" s="1" t="s">
        <v>41136</v>
      </c>
      <c r="B26821" s="2" t="s">
        <v>16349</v>
      </c>
      <c r="C26821" s="1" t="s">
        <v>8977</v>
      </c>
      <c r="D26821" s="1" t="s">
        <v>8978</v>
      </c>
    </row>
    <row r="26822">
      <c r="A26822" s="1" t="s">
        <v>41137</v>
      </c>
      <c r="B26822" s="2" t="s">
        <v>22755</v>
      </c>
      <c r="C26822" s="1" t="s">
        <v>8977</v>
      </c>
      <c r="D26822" s="1" t="s">
        <v>8978</v>
      </c>
    </row>
    <row r="26823">
      <c r="A26823" s="1" t="s">
        <v>41138</v>
      </c>
      <c r="B26823" s="2" t="s">
        <v>41068</v>
      </c>
      <c r="C26823" s="1" t="s">
        <v>8977</v>
      </c>
      <c r="D26823" s="1" t="s">
        <v>8978</v>
      </c>
    </row>
    <row r="26824">
      <c r="A26824" s="1" t="s">
        <v>8982</v>
      </c>
      <c r="B26824" s="2" t="s">
        <v>7</v>
      </c>
      <c r="C26824" s="1" t="s">
        <v>8984</v>
      </c>
      <c r="D26824" s="1" t="s">
        <v>8986</v>
      </c>
    </row>
    <row r="26825">
      <c r="A26825" s="1" t="s">
        <v>41139</v>
      </c>
      <c r="B26825" s="2" t="s">
        <v>13</v>
      </c>
      <c r="C26825" s="1" t="s">
        <v>8984</v>
      </c>
      <c r="D26825" s="1" t="s">
        <v>8986</v>
      </c>
    </row>
    <row r="26826">
      <c r="A26826" s="1" t="s">
        <v>41140</v>
      </c>
      <c r="B26826" s="2" t="s">
        <v>41057</v>
      </c>
      <c r="C26826" s="1" t="s">
        <v>8984</v>
      </c>
      <c r="D26826" s="1" t="s">
        <v>8986</v>
      </c>
    </row>
    <row r="26827">
      <c r="A26827" s="1" t="s">
        <v>41141</v>
      </c>
      <c r="B26827" s="2" t="s">
        <v>16316</v>
      </c>
      <c r="C26827" s="1" t="s">
        <v>8984</v>
      </c>
      <c r="D26827" s="1" t="s">
        <v>8986</v>
      </c>
    </row>
    <row r="26828">
      <c r="A26828" s="1" t="s">
        <v>41142</v>
      </c>
      <c r="B26828" s="2" t="s">
        <v>22746</v>
      </c>
      <c r="C26828" s="1" t="s">
        <v>8984</v>
      </c>
      <c r="D26828" s="1" t="s">
        <v>8986</v>
      </c>
    </row>
    <row r="26829">
      <c r="A26829" s="1" t="s">
        <v>41143</v>
      </c>
      <c r="B26829" s="2" t="s">
        <v>41061</v>
      </c>
      <c r="C26829" s="1" t="s">
        <v>8984</v>
      </c>
      <c r="D26829" s="1" t="s">
        <v>8986</v>
      </c>
    </row>
    <row r="26830">
      <c r="A26830" s="1" t="s">
        <v>41144</v>
      </c>
      <c r="B26830" s="2" t="s">
        <v>70</v>
      </c>
      <c r="C26830" s="1" t="s">
        <v>8984</v>
      </c>
      <c r="D26830" s="1" t="s">
        <v>8986</v>
      </c>
    </row>
    <row r="26831">
      <c r="A26831" s="1" t="s">
        <v>41145</v>
      </c>
      <c r="B26831" s="2" t="s">
        <v>41064</v>
      </c>
      <c r="C26831" s="1" t="s">
        <v>8984</v>
      </c>
      <c r="D26831" s="1" t="s">
        <v>8986</v>
      </c>
    </row>
    <row r="26832">
      <c r="A26832" s="1" t="s">
        <v>41146</v>
      </c>
      <c r="B26832" s="2" t="s">
        <v>16349</v>
      </c>
      <c r="C26832" s="1" t="s">
        <v>8984</v>
      </c>
      <c r="D26832" s="1" t="s">
        <v>8986</v>
      </c>
    </row>
    <row r="26833">
      <c r="A26833" s="1" t="s">
        <v>41147</v>
      </c>
      <c r="B26833" s="2" t="s">
        <v>22755</v>
      </c>
      <c r="C26833" s="1" t="s">
        <v>8984</v>
      </c>
      <c r="D26833" s="1" t="s">
        <v>8986</v>
      </c>
    </row>
    <row r="26834">
      <c r="A26834" s="1" t="s">
        <v>41148</v>
      </c>
      <c r="B26834" s="2" t="s">
        <v>41068</v>
      </c>
      <c r="C26834" s="1" t="s">
        <v>8984</v>
      </c>
      <c r="D26834" s="1" t="s">
        <v>8986</v>
      </c>
    </row>
    <row r="26835">
      <c r="A26835" s="1" t="s">
        <v>8994</v>
      </c>
      <c r="B26835" s="2" t="s">
        <v>7</v>
      </c>
      <c r="C26835" s="1" t="s">
        <v>8996</v>
      </c>
      <c r="D26835" s="1" t="s">
        <v>8997</v>
      </c>
    </row>
    <row r="26836">
      <c r="A26836" s="1" t="s">
        <v>41149</v>
      </c>
      <c r="B26836" s="2" t="s">
        <v>41150</v>
      </c>
      <c r="C26836" s="1" t="s">
        <v>8996</v>
      </c>
      <c r="D26836" s="1" t="s">
        <v>8997</v>
      </c>
    </row>
    <row r="26837">
      <c r="A26837" s="1" t="s">
        <v>41151</v>
      </c>
      <c r="B26837" s="2" t="s">
        <v>16498</v>
      </c>
      <c r="C26837" s="1" t="s">
        <v>8996</v>
      </c>
      <c r="D26837" s="1" t="s">
        <v>8997</v>
      </c>
    </row>
    <row r="26838">
      <c r="A26838" s="1" t="s">
        <v>41152</v>
      </c>
      <c r="B26838" s="2" t="s">
        <v>16500</v>
      </c>
      <c r="C26838" s="1" t="s">
        <v>8996</v>
      </c>
      <c r="D26838" s="1" t="s">
        <v>8997</v>
      </c>
    </row>
    <row r="26839">
      <c r="A26839" s="1" t="s">
        <v>41153</v>
      </c>
      <c r="B26839" s="2" t="s">
        <v>16502</v>
      </c>
      <c r="C26839" s="1" t="s">
        <v>8996</v>
      </c>
      <c r="D26839" s="1" t="s">
        <v>8997</v>
      </c>
    </row>
    <row r="26840">
      <c r="A26840" s="1" t="s">
        <v>41154</v>
      </c>
      <c r="B26840" s="2" t="s">
        <v>41155</v>
      </c>
      <c r="C26840" s="1" t="s">
        <v>8996</v>
      </c>
      <c r="D26840" s="1" t="s">
        <v>8997</v>
      </c>
    </row>
    <row r="26841">
      <c r="A26841" s="1" t="s">
        <v>9003</v>
      </c>
      <c r="B26841" s="2" t="s">
        <v>7</v>
      </c>
      <c r="C26841" s="1" t="s">
        <v>9004</v>
      </c>
      <c r="D26841" s="1" t="s">
        <v>9006</v>
      </c>
    </row>
    <row r="26842">
      <c r="A26842" s="1" t="s">
        <v>41156</v>
      </c>
      <c r="B26842" s="2" t="s">
        <v>41150</v>
      </c>
      <c r="C26842" s="1" t="s">
        <v>9004</v>
      </c>
      <c r="D26842" s="1" t="s">
        <v>9006</v>
      </c>
    </row>
    <row r="26843">
      <c r="A26843" s="1" t="s">
        <v>41157</v>
      </c>
      <c r="B26843" s="2" t="s">
        <v>16498</v>
      </c>
      <c r="C26843" s="1" t="s">
        <v>9004</v>
      </c>
      <c r="D26843" s="1" t="s">
        <v>9006</v>
      </c>
    </row>
    <row r="26844">
      <c r="A26844" s="1" t="s">
        <v>41158</v>
      </c>
      <c r="B26844" s="2" t="s">
        <v>16500</v>
      </c>
      <c r="C26844" s="1" t="s">
        <v>9004</v>
      </c>
      <c r="D26844" s="1" t="s">
        <v>9006</v>
      </c>
    </row>
    <row r="26845">
      <c r="A26845" s="1" t="s">
        <v>41159</v>
      </c>
      <c r="B26845" s="2" t="s">
        <v>16502</v>
      </c>
      <c r="C26845" s="1" t="s">
        <v>9004</v>
      </c>
      <c r="D26845" s="1" t="s">
        <v>9006</v>
      </c>
    </row>
    <row r="26846">
      <c r="A26846" s="1" t="s">
        <v>41160</v>
      </c>
      <c r="B26846" s="2" t="s">
        <v>41161</v>
      </c>
      <c r="C26846" s="1" t="s">
        <v>9004</v>
      </c>
      <c r="D26846" s="1" t="s">
        <v>9006</v>
      </c>
    </row>
    <row r="26847">
      <c r="A26847" s="1" t="s">
        <v>9009</v>
      </c>
      <c r="B26847" s="2" t="s">
        <v>7</v>
      </c>
      <c r="C26847" s="1" t="s">
        <v>9011</v>
      </c>
      <c r="D26847" s="1" t="s">
        <v>9013</v>
      </c>
    </row>
    <row r="26848">
      <c r="A26848" s="1" t="s">
        <v>41162</v>
      </c>
      <c r="B26848" s="2" t="s">
        <v>41150</v>
      </c>
      <c r="C26848" s="1" t="s">
        <v>9011</v>
      </c>
      <c r="D26848" s="1" t="s">
        <v>9013</v>
      </c>
    </row>
    <row r="26849">
      <c r="A26849" s="1" t="s">
        <v>41163</v>
      </c>
      <c r="B26849" s="2" t="s">
        <v>16498</v>
      </c>
      <c r="C26849" s="1" t="s">
        <v>9011</v>
      </c>
      <c r="D26849" s="1" t="s">
        <v>9013</v>
      </c>
    </row>
    <row r="26850">
      <c r="A26850" s="1" t="s">
        <v>41164</v>
      </c>
      <c r="B26850" s="2" t="s">
        <v>16500</v>
      </c>
      <c r="C26850" s="1" t="s">
        <v>9011</v>
      </c>
      <c r="D26850" s="1" t="s">
        <v>9013</v>
      </c>
    </row>
    <row r="26851">
      <c r="A26851" s="1" t="s">
        <v>41165</v>
      </c>
      <c r="B26851" s="2" t="s">
        <v>16502</v>
      </c>
      <c r="C26851" s="1" t="s">
        <v>9011</v>
      </c>
      <c r="D26851" s="1" t="s">
        <v>9013</v>
      </c>
    </row>
    <row r="26852">
      <c r="A26852" s="1" t="s">
        <v>41166</v>
      </c>
      <c r="B26852" s="2" t="s">
        <v>41155</v>
      </c>
      <c r="C26852" s="1" t="s">
        <v>9011</v>
      </c>
      <c r="D26852" s="1" t="s">
        <v>9013</v>
      </c>
    </row>
    <row r="26853">
      <c r="A26853" s="1" t="s">
        <v>9015</v>
      </c>
      <c r="B26853" s="2" t="s">
        <v>7</v>
      </c>
      <c r="C26853" s="1" t="s">
        <v>9016</v>
      </c>
      <c r="D26853" s="1" t="s">
        <v>9017</v>
      </c>
    </row>
    <row r="26854">
      <c r="A26854" s="1" t="s">
        <v>41167</v>
      </c>
      <c r="B26854" s="2" t="s">
        <v>41150</v>
      </c>
      <c r="C26854" s="1" t="s">
        <v>9016</v>
      </c>
      <c r="D26854" s="1" t="s">
        <v>9017</v>
      </c>
    </row>
    <row r="26855">
      <c r="A26855" s="1" t="s">
        <v>41168</v>
      </c>
      <c r="B26855" s="2" t="s">
        <v>16498</v>
      </c>
      <c r="C26855" s="1" t="s">
        <v>9016</v>
      </c>
      <c r="D26855" s="1" t="s">
        <v>9017</v>
      </c>
    </row>
    <row r="26856">
      <c r="A26856" s="1" t="s">
        <v>41169</v>
      </c>
      <c r="B26856" s="2" t="s">
        <v>16500</v>
      </c>
      <c r="C26856" s="1" t="s">
        <v>9016</v>
      </c>
      <c r="D26856" s="1" t="s">
        <v>9017</v>
      </c>
    </row>
    <row r="26857">
      <c r="A26857" s="1" t="s">
        <v>41170</v>
      </c>
      <c r="B26857" s="2" t="s">
        <v>16502</v>
      </c>
      <c r="C26857" s="1" t="s">
        <v>9016</v>
      </c>
      <c r="D26857" s="1" t="s">
        <v>9017</v>
      </c>
    </row>
    <row r="26858">
      <c r="A26858" s="1" t="s">
        <v>41171</v>
      </c>
      <c r="B26858" s="2" t="s">
        <v>41155</v>
      </c>
      <c r="C26858" s="1" t="s">
        <v>9016</v>
      </c>
      <c r="D26858" s="1" t="s">
        <v>9017</v>
      </c>
    </row>
    <row r="26859">
      <c r="A26859" s="1" t="s">
        <v>9019</v>
      </c>
      <c r="B26859" s="2" t="s">
        <v>7</v>
      </c>
      <c r="C26859" s="1" t="s">
        <v>9021</v>
      </c>
      <c r="D26859" s="1" t="s">
        <v>9022</v>
      </c>
    </row>
    <row r="26860">
      <c r="A26860" s="1" t="s">
        <v>41172</v>
      </c>
      <c r="B26860" s="2" t="s">
        <v>41150</v>
      </c>
      <c r="C26860" s="1" t="s">
        <v>9021</v>
      </c>
      <c r="D26860" s="1" t="s">
        <v>9022</v>
      </c>
    </row>
    <row r="26861">
      <c r="A26861" s="1" t="s">
        <v>41173</v>
      </c>
      <c r="B26861" s="2" t="s">
        <v>16498</v>
      </c>
      <c r="C26861" s="1" t="s">
        <v>9021</v>
      </c>
      <c r="D26861" s="1" t="s">
        <v>9022</v>
      </c>
    </row>
    <row r="26862">
      <c r="A26862" s="1" t="s">
        <v>41174</v>
      </c>
      <c r="B26862" s="2" t="s">
        <v>16500</v>
      </c>
      <c r="C26862" s="1" t="s">
        <v>9021</v>
      </c>
      <c r="D26862" s="1" t="s">
        <v>9022</v>
      </c>
    </row>
    <row r="26863">
      <c r="A26863" s="1" t="s">
        <v>41175</v>
      </c>
      <c r="B26863" s="2" t="s">
        <v>16502</v>
      </c>
      <c r="C26863" s="1" t="s">
        <v>9021</v>
      </c>
      <c r="D26863" s="1" t="s">
        <v>9022</v>
      </c>
    </row>
    <row r="26864">
      <c r="A26864" s="1" t="s">
        <v>41176</v>
      </c>
      <c r="B26864" s="2" t="s">
        <v>41155</v>
      </c>
      <c r="C26864" s="1" t="s">
        <v>9021</v>
      </c>
      <c r="D26864" s="1" t="s">
        <v>9022</v>
      </c>
    </row>
    <row r="26865">
      <c r="A26865" s="1" t="s">
        <v>9025</v>
      </c>
      <c r="B26865" s="2" t="s">
        <v>7</v>
      </c>
      <c r="C26865" s="1" t="s">
        <v>9026</v>
      </c>
      <c r="D26865" s="1" t="s">
        <v>9027</v>
      </c>
    </row>
    <row r="26866">
      <c r="A26866" s="1" t="s">
        <v>41177</v>
      </c>
      <c r="B26866" s="2" t="s">
        <v>41150</v>
      </c>
      <c r="C26866" s="1" t="s">
        <v>9026</v>
      </c>
      <c r="D26866" s="1" t="s">
        <v>9027</v>
      </c>
    </row>
    <row r="26867">
      <c r="A26867" s="1" t="s">
        <v>41178</v>
      </c>
      <c r="B26867" s="2" t="s">
        <v>16498</v>
      </c>
      <c r="C26867" s="1" t="s">
        <v>9026</v>
      </c>
      <c r="D26867" s="1" t="s">
        <v>9027</v>
      </c>
    </row>
    <row r="26868">
      <c r="A26868" s="1" t="s">
        <v>41179</v>
      </c>
      <c r="B26868" s="2" t="s">
        <v>16500</v>
      </c>
      <c r="C26868" s="1" t="s">
        <v>9026</v>
      </c>
      <c r="D26868" s="1" t="s">
        <v>9027</v>
      </c>
    </row>
    <row r="26869">
      <c r="A26869" s="1" t="s">
        <v>41180</v>
      </c>
      <c r="B26869" s="2" t="s">
        <v>16502</v>
      </c>
      <c r="C26869" s="1" t="s">
        <v>9026</v>
      </c>
      <c r="D26869" s="1" t="s">
        <v>9027</v>
      </c>
    </row>
    <row r="26870">
      <c r="A26870" s="1" t="s">
        <v>41181</v>
      </c>
      <c r="B26870" s="2" t="s">
        <v>41155</v>
      </c>
      <c r="C26870" s="1" t="s">
        <v>9026</v>
      </c>
      <c r="D26870" s="1" t="s">
        <v>9027</v>
      </c>
    </row>
    <row r="26871">
      <c r="A26871" s="1" t="s">
        <v>9030</v>
      </c>
      <c r="B26871" s="2" t="s">
        <v>7</v>
      </c>
      <c r="C26871" s="1" t="s">
        <v>9032</v>
      </c>
      <c r="D26871" s="1" t="s">
        <v>9033</v>
      </c>
    </row>
    <row r="26872">
      <c r="A26872" s="1" t="s">
        <v>41182</v>
      </c>
      <c r="B26872" s="2" t="s">
        <v>41150</v>
      </c>
      <c r="C26872" s="1" t="s">
        <v>9032</v>
      </c>
      <c r="D26872" s="1" t="s">
        <v>9033</v>
      </c>
    </row>
    <row r="26873">
      <c r="A26873" s="1" t="s">
        <v>41183</v>
      </c>
      <c r="B26873" s="2" t="s">
        <v>16498</v>
      </c>
      <c r="C26873" s="1" t="s">
        <v>9032</v>
      </c>
      <c r="D26873" s="1" t="s">
        <v>9033</v>
      </c>
    </row>
    <row r="26874">
      <c r="A26874" s="1" t="s">
        <v>41184</v>
      </c>
      <c r="B26874" s="2" t="s">
        <v>16500</v>
      </c>
      <c r="C26874" s="1" t="s">
        <v>9032</v>
      </c>
      <c r="D26874" s="1" t="s">
        <v>9033</v>
      </c>
    </row>
    <row r="26875">
      <c r="A26875" s="1" t="s">
        <v>41185</v>
      </c>
      <c r="B26875" s="2" t="s">
        <v>16502</v>
      </c>
      <c r="C26875" s="1" t="s">
        <v>9032</v>
      </c>
      <c r="D26875" s="1" t="s">
        <v>9033</v>
      </c>
    </row>
    <row r="26876">
      <c r="A26876" s="1" t="s">
        <v>41186</v>
      </c>
      <c r="B26876" s="2" t="s">
        <v>41155</v>
      </c>
      <c r="C26876" s="1" t="s">
        <v>9032</v>
      </c>
      <c r="D26876" s="1" t="s">
        <v>9033</v>
      </c>
    </row>
    <row r="26877">
      <c r="A26877" s="1" t="s">
        <v>9037</v>
      </c>
      <c r="B26877" s="2" t="s">
        <v>7</v>
      </c>
      <c r="C26877" s="1" t="s">
        <v>9040</v>
      </c>
      <c r="D26877" s="1" t="s">
        <v>9041</v>
      </c>
    </row>
    <row r="26878">
      <c r="A26878" s="1" t="s">
        <v>41187</v>
      </c>
      <c r="B26878" s="2" t="s">
        <v>41150</v>
      </c>
      <c r="C26878" s="1" t="s">
        <v>9040</v>
      </c>
      <c r="D26878" s="1" t="s">
        <v>9041</v>
      </c>
    </row>
    <row r="26879">
      <c r="A26879" s="1" t="s">
        <v>41188</v>
      </c>
      <c r="B26879" s="2" t="s">
        <v>16498</v>
      </c>
      <c r="C26879" s="1" t="s">
        <v>9040</v>
      </c>
      <c r="D26879" s="1" t="s">
        <v>9041</v>
      </c>
    </row>
    <row r="26880">
      <c r="A26880" s="1" t="s">
        <v>41189</v>
      </c>
      <c r="B26880" s="2" t="s">
        <v>16500</v>
      </c>
      <c r="C26880" s="1" t="s">
        <v>9040</v>
      </c>
      <c r="D26880" s="1" t="s">
        <v>9041</v>
      </c>
    </row>
    <row r="26881">
      <c r="A26881" s="1" t="s">
        <v>41190</v>
      </c>
      <c r="B26881" s="2" t="s">
        <v>16502</v>
      </c>
      <c r="C26881" s="1" t="s">
        <v>9040</v>
      </c>
      <c r="D26881" s="1" t="s">
        <v>9041</v>
      </c>
    </row>
    <row r="26882">
      <c r="A26882" s="1" t="s">
        <v>41191</v>
      </c>
      <c r="B26882" s="2" t="s">
        <v>41155</v>
      </c>
      <c r="C26882" s="1" t="s">
        <v>9040</v>
      </c>
      <c r="D26882" s="1" t="s">
        <v>9041</v>
      </c>
    </row>
    <row r="26883">
      <c r="A26883" s="1" t="s">
        <v>9045</v>
      </c>
      <c r="B26883" s="2" t="s">
        <v>7</v>
      </c>
      <c r="C26883" s="1" t="s">
        <v>9047</v>
      </c>
      <c r="D26883" s="1" t="s">
        <v>9049</v>
      </c>
    </row>
    <row r="26884">
      <c r="A26884" s="1" t="s">
        <v>41192</v>
      </c>
      <c r="B26884" s="2" t="s">
        <v>41150</v>
      </c>
      <c r="C26884" s="1" t="s">
        <v>9047</v>
      </c>
      <c r="D26884" s="1" t="s">
        <v>9049</v>
      </c>
    </row>
    <row r="26885">
      <c r="A26885" s="1" t="s">
        <v>41193</v>
      </c>
      <c r="B26885" s="2" t="s">
        <v>16498</v>
      </c>
      <c r="C26885" s="1" t="s">
        <v>9047</v>
      </c>
      <c r="D26885" s="1" t="s">
        <v>9049</v>
      </c>
    </row>
    <row r="26886">
      <c r="A26886" s="1" t="s">
        <v>41194</v>
      </c>
      <c r="B26886" s="2" t="s">
        <v>16500</v>
      </c>
      <c r="C26886" s="1" t="s">
        <v>9047</v>
      </c>
      <c r="D26886" s="1" t="s">
        <v>9049</v>
      </c>
    </row>
    <row r="26887">
      <c r="A26887" s="1" t="s">
        <v>41195</v>
      </c>
      <c r="B26887" s="2" t="s">
        <v>16502</v>
      </c>
      <c r="C26887" s="1" t="s">
        <v>9047</v>
      </c>
      <c r="D26887" s="1" t="s">
        <v>9049</v>
      </c>
    </row>
    <row r="26888">
      <c r="A26888" s="1" t="s">
        <v>41196</v>
      </c>
      <c r="B26888" s="2" t="s">
        <v>41155</v>
      </c>
      <c r="C26888" s="1" t="s">
        <v>9047</v>
      </c>
      <c r="D26888" s="1" t="s">
        <v>9049</v>
      </c>
    </row>
    <row r="26889">
      <c r="A26889" s="1" t="s">
        <v>8987</v>
      </c>
      <c r="B26889" s="2" t="s">
        <v>7</v>
      </c>
      <c r="C26889" s="1" t="s">
        <v>131</v>
      </c>
      <c r="D26889" s="1" t="s">
        <v>8989</v>
      </c>
    </row>
    <row r="26890">
      <c r="A26890" s="1" t="s">
        <v>41197</v>
      </c>
      <c r="B26890" s="2" t="s">
        <v>41150</v>
      </c>
      <c r="C26890" s="1" t="s">
        <v>131</v>
      </c>
      <c r="D26890" s="1" t="s">
        <v>8989</v>
      </c>
    </row>
    <row r="26891">
      <c r="A26891" s="1" t="s">
        <v>41198</v>
      </c>
      <c r="B26891" s="2" t="s">
        <v>16498</v>
      </c>
      <c r="C26891" s="1" t="s">
        <v>131</v>
      </c>
      <c r="D26891" s="1" t="s">
        <v>8989</v>
      </c>
    </row>
    <row r="26892">
      <c r="A26892" s="1" t="s">
        <v>41199</v>
      </c>
      <c r="B26892" s="2" t="s">
        <v>16500</v>
      </c>
      <c r="C26892" s="1" t="s">
        <v>131</v>
      </c>
      <c r="D26892" s="1" t="s">
        <v>8989</v>
      </c>
    </row>
    <row r="26893">
      <c r="A26893" s="1" t="s">
        <v>41200</v>
      </c>
      <c r="B26893" s="2" t="s">
        <v>16502</v>
      </c>
      <c r="C26893" s="1" t="s">
        <v>131</v>
      </c>
      <c r="D26893" s="1" t="s">
        <v>8989</v>
      </c>
    </row>
    <row r="26894">
      <c r="A26894" s="1" t="s">
        <v>41201</v>
      </c>
      <c r="B26894" s="2" t="s">
        <v>41155</v>
      </c>
      <c r="C26894" s="1" t="s">
        <v>131</v>
      </c>
      <c r="D26894" s="1" t="s">
        <v>8989</v>
      </c>
    </row>
    <row r="26895">
      <c r="A26895" s="1" t="s">
        <v>9053</v>
      </c>
      <c r="B26895" s="2" t="s">
        <v>7</v>
      </c>
      <c r="C26895" s="1" t="s">
        <v>101</v>
      </c>
      <c r="D26895" s="1" t="s">
        <v>9055</v>
      </c>
    </row>
    <row r="26896">
      <c r="A26896" s="1" t="s">
        <v>41202</v>
      </c>
      <c r="B26896" s="2" t="s">
        <v>5721</v>
      </c>
      <c r="C26896" s="1" t="s">
        <v>101</v>
      </c>
      <c r="D26896" s="1" t="s">
        <v>9055</v>
      </c>
    </row>
    <row r="26897">
      <c r="A26897" s="1" t="s">
        <v>41203</v>
      </c>
      <c r="B26897" s="2" t="s">
        <v>16656</v>
      </c>
      <c r="C26897" s="1" t="s">
        <v>101</v>
      </c>
      <c r="D26897" s="1" t="s">
        <v>9055</v>
      </c>
    </row>
    <row r="26898">
      <c r="A26898" s="1" t="s">
        <v>41204</v>
      </c>
      <c r="B26898" s="2" t="s">
        <v>16658</v>
      </c>
      <c r="C26898" s="1" t="s">
        <v>101</v>
      </c>
      <c r="D26898" s="1" t="s">
        <v>9055</v>
      </c>
    </row>
    <row r="26899">
      <c r="A26899" s="1" t="s">
        <v>41205</v>
      </c>
      <c r="B26899" s="2" t="s">
        <v>16660</v>
      </c>
      <c r="C26899" s="1" t="s">
        <v>101</v>
      </c>
      <c r="D26899" s="1" t="s">
        <v>9055</v>
      </c>
    </row>
    <row r="26900">
      <c r="A26900" s="1" t="s">
        <v>41206</v>
      </c>
      <c r="B26900" s="2" t="s">
        <v>16915</v>
      </c>
      <c r="C26900" s="1" t="s">
        <v>101</v>
      </c>
      <c r="D26900" s="1" t="s">
        <v>9055</v>
      </c>
    </row>
    <row r="26901">
      <c r="A26901" s="1" t="s">
        <v>41207</v>
      </c>
      <c r="B26901" s="2" t="s">
        <v>41208</v>
      </c>
      <c r="C26901" s="1" t="s">
        <v>101</v>
      </c>
      <c r="D26901" s="1" t="s">
        <v>9055</v>
      </c>
    </row>
    <row r="26902">
      <c r="A26902" s="1" t="s">
        <v>41209</v>
      </c>
      <c r="B26902" s="2" t="s">
        <v>41210</v>
      </c>
      <c r="C26902" s="1" t="s">
        <v>101</v>
      </c>
      <c r="D26902" s="1" t="s">
        <v>9055</v>
      </c>
    </row>
    <row r="26903">
      <c r="A26903" s="1" t="s">
        <v>41211</v>
      </c>
      <c r="B26903" s="2" t="s">
        <v>16921</v>
      </c>
      <c r="C26903" s="1" t="s">
        <v>101</v>
      </c>
      <c r="D26903" s="1" t="s">
        <v>9055</v>
      </c>
    </row>
    <row r="26904">
      <c r="A26904" s="1" t="s">
        <v>41212</v>
      </c>
      <c r="B26904" s="2" t="s">
        <v>41213</v>
      </c>
      <c r="C26904" s="1" t="s">
        <v>101</v>
      </c>
      <c r="D26904" s="1" t="s">
        <v>9055</v>
      </c>
    </row>
    <row r="26905">
      <c r="A26905" s="1" t="s">
        <v>41214</v>
      </c>
      <c r="B26905" s="2" t="s">
        <v>41215</v>
      </c>
      <c r="C26905" s="1" t="s">
        <v>101</v>
      </c>
      <c r="D26905" s="1" t="s">
        <v>9055</v>
      </c>
    </row>
    <row r="26906">
      <c r="A26906" s="1" t="s">
        <v>41216</v>
      </c>
      <c r="B26906" s="2" t="s">
        <v>16927</v>
      </c>
      <c r="C26906" s="1" t="s">
        <v>101</v>
      </c>
      <c r="D26906" s="1" t="s">
        <v>9055</v>
      </c>
    </row>
    <row r="26907">
      <c r="A26907" s="1" t="s">
        <v>41217</v>
      </c>
      <c r="B26907" s="2" t="s">
        <v>41218</v>
      </c>
      <c r="C26907" s="1" t="s">
        <v>101</v>
      </c>
      <c r="D26907" s="1" t="s">
        <v>9055</v>
      </c>
    </row>
    <row r="26908">
      <c r="A26908" s="1" t="s">
        <v>41219</v>
      </c>
      <c r="B26908" s="2" t="s">
        <v>41220</v>
      </c>
      <c r="C26908" s="1" t="s">
        <v>101</v>
      </c>
      <c r="D26908" s="1" t="s">
        <v>9055</v>
      </c>
    </row>
    <row r="26909">
      <c r="A26909" s="1" t="s">
        <v>41221</v>
      </c>
      <c r="B26909" s="2" t="s">
        <v>16776</v>
      </c>
      <c r="C26909" s="1" t="s">
        <v>101</v>
      </c>
      <c r="D26909" s="1" t="s">
        <v>9055</v>
      </c>
    </row>
    <row r="26910">
      <c r="A26910" s="1" t="s">
        <v>41222</v>
      </c>
      <c r="B26910" s="2" t="s">
        <v>16778</v>
      </c>
      <c r="C26910" s="1" t="s">
        <v>101</v>
      </c>
      <c r="D26910" s="1" t="s">
        <v>9055</v>
      </c>
    </row>
    <row r="26911">
      <c r="A26911" s="1" t="s">
        <v>41223</v>
      </c>
      <c r="B26911" s="2" t="s">
        <v>16780</v>
      </c>
      <c r="C26911" s="1" t="s">
        <v>101</v>
      </c>
      <c r="D26911" s="1" t="s">
        <v>9055</v>
      </c>
    </row>
    <row r="26912">
      <c r="A26912" s="1" t="s">
        <v>41224</v>
      </c>
      <c r="B26912" s="2" t="s">
        <v>16812</v>
      </c>
      <c r="C26912" s="1" t="s">
        <v>101</v>
      </c>
      <c r="D26912" s="1" t="s">
        <v>9055</v>
      </c>
    </row>
    <row r="26913">
      <c r="A26913" s="1" t="s">
        <v>41225</v>
      </c>
      <c r="B26913" s="2" t="s">
        <v>16814</v>
      </c>
      <c r="C26913" s="1" t="s">
        <v>101</v>
      </c>
      <c r="D26913" s="1" t="s">
        <v>9055</v>
      </c>
    </row>
    <row r="26914">
      <c r="A26914" s="1" t="s">
        <v>41226</v>
      </c>
      <c r="B26914" s="2" t="s">
        <v>16816</v>
      </c>
      <c r="C26914" s="1" t="s">
        <v>101</v>
      </c>
      <c r="D26914" s="1" t="s">
        <v>9055</v>
      </c>
    </row>
    <row r="26915">
      <c r="A26915" s="1" t="s">
        <v>41227</v>
      </c>
      <c r="B26915" s="2" t="s">
        <v>16800</v>
      </c>
      <c r="C26915" s="1" t="s">
        <v>101</v>
      </c>
      <c r="D26915" s="1" t="s">
        <v>9055</v>
      </c>
    </row>
    <row r="26916">
      <c r="A26916" s="1" t="s">
        <v>41228</v>
      </c>
      <c r="B26916" s="2" t="s">
        <v>16802</v>
      </c>
      <c r="C26916" s="1" t="s">
        <v>101</v>
      </c>
      <c r="D26916" s="1" t="s">
        <v>9055</v>
      </c>
    </row>
    <row r="26917">
      <c r="A26917" s="1" t="s">
        <v>41229</v>
      </c>
      <c r="B26917" s="2" t="s">
        <v>16804</v>
      </c>
      <c r="C26917" s="1" t="s">
        <v>101</v>
      </c>
      <c r="D26917" s="1" t="s">
        <v>9055</v>
      </c>
    </row>
    <row r="26918">
      <c r="A26918" s="1" t="s">
        <v>41230</v>
      </c>
      <c r="B26918" s="2" t="s">
        <v>16824</v>
      </c>
      <c r="C26918" s="1" t="s">
        <v>101</v>
      </c>
      <c r="D26918" s="1" t="s">
        <v>9055</v>
      </c>
    </row>
    <row r="26919">
      <c r="A26919" s="1" t="s">
        <v>41231</v>
      </c>
      <c r="B26919" s="2" t="s">
        <v>16826</v>
      </c>
      <c r="C26919" s="1" t="s">
        <v>101</v>
      </c>
      <c r="D26919" s="1" t="s">
        <v>9055</v>
      </c>
    </row>
    <row r="26920">
      <c r="A26920" s="1" t="s">
        <v>41232</v>
      </c>
      <c r="B26920" s="2" t="s">
        <v>16828</v>
      </c>
      <c r="C26920" s="1" t="s">
        <v>101</v>
      </c>
      <c r="D26920" s="1" t="s">
        <v>9055</v>
      </c>
    </row>
    <row r="26921">
      <c r="A26921" s="1" t="s">
        <v>41233</v>
      </c>
      <c r="B26921" s="2" t="s">
        <v>16848</v>
      </c>
      <c r="C26921" s="1" t="s">
        <v>101</v>
      </c>
      <c r="D26921" s="1" t="s">
        <v>9055</v>
      </c>
    </row>
    <row r="26922">
      <c r="A26922" s="1" t="s">
        <v>41234</v>
      </c>
      <c r="B26922" s="2" t="s">
        <v>16850</v>
      </c>
      <c r="C26922" s="1" t="s">
        <v>101</v>
      </c>
      <c r="D26922" s="1" t="s">
        <v>9055</v>
      </c>
    </row>
    <row r="26923">
      <c r="A26923" s="1" t="s">
        <v>41235</v>
      </c>
      <c r="B26923" s="2" t="s">
        <v>16852</v>
      </c>
      <c r="C26923" s="1" t="s">
        <v>101</v>
      </c>
      <c r="D26923" s="1" t="s">
        <v>9055</v>
      </c>
    </row>
    <row r="26924">
      <c r="A26924" s="1" t="s">
        <v>41236</v>
      </c>
      <c r="B26924" s="2" t="s">
        <v>16958</v>
      </c>
      <c r="C26924" s="1" t="s">
        <v>101</v>
      </c>
      <c r="D26924" s="1" t="s">
        <v>9055</v>
      </c>
    </row>
    <row r="26925">
      <c r="A26925" s="1" t="s">
        <v>41237</v>
      </c>
      <c r="B26925" s="2" t="s">
        <v>41238</v>
      </c>
      <c r="C26925" s="1" t="s">
        <v>101</v>
      </c>
      <c r="D26925" s="1" t="s">
        <v>9055</v>
      </c>
    </row>
    <row r="26926">
      <c r="A26926" s="1" t="s">
        <v>41239</v>
      </c>
      <c r="B26926" s="2" t="s">
        <v>41240</v>
      </c>
      <c r="C26926" s="1" t="s">
        <v>101</v>
      </c>
      <c r="D26926" s="1" t="s">
        <v>9055</v>
      </c>
    </row>
    <row r="26927">
      <c r="A26927" s="1" t="s">
        <v>41241</v>
      </c>
      <c r="B26927" s="2" t="s">
        <v>16860</v>
      </c>
      <c r="C26927" s="1" t="s">
        <v>101</v>
      </c>
      <c r="D26927" s="1" t="s">
        <v>9055</v>
      </c>
    </row>
    <row r="26928">
      <c r="A26928" s="1" t="s">
        <v>41242</v>
      </c>
      <c r="B26928" s="2" t="s">
        <v>16862</v>
      </c>
      <c r="C26928" s="1" t="s">
        <v>101</v>
      </c>
      <c r="D26928" s="1" t="s">
        <v>9055</v>
      </c>
    </row>
    <row r="26929">
      <c r="A26929" s="1" t="s">
        <v>41243</v>
      </c>
      <c r="B26929" s="2" t="s">
        <v>16864</v>
      </c>
      <c r="C26929" s="1" t="s">
        <v>101</v>
      </c>
      <c r="D26929" s="1" t="s">
        <v>9055</v>
      </c>
    </row>
    <row r="26930">
      <c r="A26930" s="1" t="s">
        <v>41244</v>
      </c>
      <c r="B26930" s="2" t="s">
        <v>16902</v>
      </c>
      <c r="C26930" s="1" t="s">
        <v>101</v>
      </c>
      <c r="D26930" s="1" t="s">
        <v>9055</v>
      </c>
    </row>
    <row r="26931">
      <c r="A26931" s="1" t="s">
        <v>41245</v>
      </c>
      <c r="B26931" s="2" t="s">
        <v>16904</v>
      </c>
      <c r="C26931" s="1" t="s">
        <v>101</v>
      </c>
      <c r="D26931" s="1" t="s">
        <v>9055</v>
      </c>
    </row>
    <row r="26932">
      <c r="A26932" s="1" t="s">
        <v>41246</v>
      </c>
      <c r="B26932" s="2" t="s">
        <v>16906</v>
      </c>
      <c r="C26932" s="1" t="s">
        <v>101</v>
      </c>
      <c r="D26932" s="1" t="s">
        <v>9055</v>
      </c>
    </row>
    <row r="26933">
      <c r="A26933" s="1" t="s">
        <v>9057</v>
      </c>
      <c r="B26933" s="2" t="s">
        <v>7</v>
      </c>
      <c r="C26933" s="1" t="s">
        <v>121</v>
      </c>
      <c r="D26933" s="1" t="s">
        <v>9059</v>
      </c>
    </row>
    <row r="26934">
      <c r="A26934" s="1" t="s">
        <v>41247</v>
      </c>
      <c r="B26934" s="2" t="s">
        <v>16908</v>
      </c>
      <c r="C26934" s="1" t="s">
        <v>121</v>
      </c>
      <c r="D26934" s="1" t="s">
        <v>9059</v>
      </c>
    </row>
    <row r="26935">
      <c r="A26935" s="1" t="s">
        <v>41248</v>
      </c>
      <c r="B26935" s="2" t="s">
        <v>16656</v>
      </c>
      <c r="C26935" s="1" t="s">
        <v>121</v>
      </c>
      <c r="D26935" s="1" t="s">
        <v>9059</v>
      </c>
    </row>
    <row r="26936">
      <c r="A26936" s="1" t="s">
        <v>41249</v>
      </c>
      <c r="B26936" s="2" t="s">
        <v>16911</v>
      </c>
      <c r="C26936" s="1" t="s">
        <v>121</v>
      </c>
      <c r="D26936" s="1" t="s">
        <v>9059</v>
      </c>
    </row>
    <row r="26937">
      <c r="A26937" s="1" t="s">
        <v>41250</v>
      </c>
      <c r="B26937" s="2" t="s">
        <v>16913</v>
      </c>
      <c r="C26937" s="1" t="s">
        <v>121</v>
      </c>
      <c r="D26937" s="1" t="s">
        <v>9059</v>
      </c>
    </row>
    <row r="26938">
      <c r="A26938" s="1" t="s">
        <v>41251</v>
      </c>
      <c r="B26938" s="2" t="s">
        <v>16776</v>
      </c>
      <c r="C26938" s="1" t="s">
        <v>121</v>
      </c>
      <c r="D26938" s="1" t="s">
        <v>9059</v>
      </c>
    </row>
    <row r="26939">
      <c r="A26939" s="1" t="s">
        <v>41252</v>
      </c>
      <c r="B26939" s="2" t="s">
        <v>16934</v>
      </c>
      <c r="C26939" s="1" t="s">
        <v>121</v>
      </c>
      <c r="D26939" s="1" t="s">
        <v>9059</v>
      </c>
    </row>
    <row r="26940">
      <c r="A26940" s="1" t="s">
        <v>41253</v>
      </c>
      <c r="B26940" s="2" t="s">
        <v>16936</v>
      </c>
      <c r="C26940" s="1" t="s">
        <v>121</v>
      </c>
      <c r="D26940" s="1" t="s">
        <v>9059</v>
      </c>
    </row>
    <row r="26941">
      <c r="A26941" s="1" t="s">
        <v>41254</v>
      </c>
      <c r="B26941" s="2" t="s">
        <v>41255</v>
      </c>
      <c r="C26941" s="1" t="s">
        <v>121</v>
      </c>
      <c r="D26941" s="1" t="s">
        <v>9059</v>
      </c>
    </row>
    <row r="26942">
      <c r="A26942" s="1" t="s">
        <v>41256</v>
      </c>
      <c r="B26942" s="2" t="s">
        <v>41257</v>
      </c>
      <c r="C26942" s="1" t="s">
        <v>121</v>
      </c>
      <c r="D26942" s="1" t="s">
        <v>9059</v>
      </c>
    </row>
    <row r="26943">
      <c r="A26943" s="1" t="s">
        <v>41258</v>
      </c>
      <c r="B26943" s="2" t="s">
        <v>41259</v>
      </c>
      <c r="C26943" s="1" t="s">
        <v>121</v>
      </c>
      <c r="D26943" s="1" t="s">
        <v>9059</v>
      </c>
    </row>
    <row r="26944">
      <c r="A26944" s="1" t="s">
        <v>41260</v>
      </c>
      <c r="B26944" s="2" t="s">
        <v>41261</v>
      </c>
      <c r="C26944" s="1" t="s">
        <v>121</v>
      </c>
      <c r="D26944" s="1" t="s">
        <v>9059</v>
      </c>
    </row>
    <row r="26945">
      <c r="A26945" s="1" t="s">
        <v>41262</v>
      </c>
      <c r="B26945" s="2" t="s">
        <v>41263</v>
      </c>
      <c r="C26945" s="1" t="s">
        <v>121</v>
      </c>
      <c r="D26945" s="1" t="s">
        <v>9059</v>
      </c>
    </row>
    <row r="26946">
      <c r="A26946" s="1" t="s">
        <v>41264</v>
      </c>
      <c r="B26946" s="2" t="s">
        <v>41265</v>
      </c>
      <c r="C26946" s="1" t="s">
        <v>121</v>
      </c>
      <c r="D26946" s="1" t="s">
        <v>9059</v>
      </c>
    </row>
    <row r="26947">
      <c r="A26947" s="1" t="s">
        <v>9062</v>
      </c>
      <c r="B26947" s="2" t="s">
        <v>7</v>
      </c>
      <c r="C26947" s="1" t="s">
        <v>9065</v>
      </c>
      <c r="D26947" s="1" t="s">
        <v>9066</v>
      </c>
    </row>
    <row r="26948">
      <c r="A26948" s="1" t="s">
        <v>41266</v>
      </c>
      <c r="B26948" s="2" t="s">
        <v>20216</v>
      </c>
      <c r="C26948" s="1" t="s">
        <v>9065</v>
      </c>
      <c r="D26948" s="1" t="s">
        <v>9066</v>
      </c>
    </row>
    <row r="26949">
      <c r="A26949" s="1" t="s">
        <v>41267</v>
      </c>
      <c r="B26949" s="2" t="s">
        <v>41268</v>
      </c>
      <c r="C26949" s="1" t="s">
        <v>9065</v>
      </c>
      <c r="D26949" s="1" t="s">
        <v>9066</v>
      </c>
    </row>
    <row r="26950">
      <c r="A26950" s="1" t="s">
        <v>41269</v>
      </c>
      <c r="B26950" s="2" t="s">
        <v>20222</v>
      </c>
      <c r="C26950" s="1" t="s">
        <v>9065</v>
      </c>
      <c r="D26950" s="1" t="s">
        <v>9066</v>
      </c>
    </row>
    <row r="26951">
      <c r="A26951" s="1" t="s">
        <v>41270</v>
      </c>
      <c r="B26951" s="2" t="s">
        <v>20224</v>
      </c>
      <c r="C26951" s="1" t="s">
        <v>9065</v>
      </c>
      <c r="D26951" s="1" t="s">
        <v>9066</v>
      </c>
    </row>
    <row r="26952">
      <c r="A26952" s="1" t="s">
        <v>41271</v>
      </c>
      <c r="B26952" s="2" t="s">
        <v>41272</v>
      </c>
      <c r="C26952" s="1" t="s">
        <v>9065</v>
      </c>
      <c r="D26952" s="1" t="s">
        <v>9066</v>
      </c>
    </row>
    <row r="26953">
      <c r="A26953" s="1" t="s">
        <v>41273</v>
      </c>
      <c r="B26953" s="2" t="s">
        <v>20230</v>
      </c>
      <c r="C26953" s="1" t="s">
        <v>9065</v>
      </c>
      <c r="D26953" s="1" t="s">
        <v>9066</v>
      </c>
    </row>
    <row r="26954">
      <c r="A26954" s="1" t="s">
        <v>41274</v>
      </c>
      <c r="B26954" s="2" t="s">
        <v>41275</v>
      </c>
      <c r="C26954" s="1" t="s">
        <v>9065</v>
      </c>
      <c r="D26954" s="1" t="s">
        <v>9066</v>
      </c>
    </row>
    <row r="26955">
      <c r="A26955" s="1" t="s">
        <v>9069</v>
      </c>
      <c r="B26955" s="2" t="s">
        <v>7</v>
      </c>
      <c r="C26955" s="1" t="s">
        <v>125</v>
      </c>
      <c r="D26955" s="1" t="s">
        <v>9071</v>
      </c>
    </row>
    <row r="26956">
      <c r="A26956" s="1" t="s">
        <v>41276</v>
      </c>
      <c r="B26956" s="2" t="s">
        <v>20244</v>
      </c>
      <c r="C26956" s="1" t="s">
        <v>125</v>
      </c>
      <c r="D26956" s="1" t="s">
        <v>9071</v>
      </c>
    </row>
    <row r="26957">
      <c r="A26957" s="1" t="s">
        <v>41277</v>
      </c>
      <c r="B26957" s="2" t="s">
        <v>41278</v>
      </c>
      <c r="C26957" s="1" t="s">
        <v>125</v>
      </c>
      <c r="D26957" s="1" t="s">
        <v>9071</v>
      </c>
    </row>
    <row r="26958">
      <c r="A26958" s="1" t="s">
        <v>41279</v>
      </c>
      <c r="B26958" s="2" t="s">
        <v>41280</v>
      </c>
      <c r="C26958" s="1" t="s">
        <v>125</v>
      </c>
      <c r="D26958" s="1" t="s">
        <v>9071</v>
      </c>
    </row>
    <row r="26959">
      <c r="A26959" s="1" t="s">
        <v>41281</v>
      </c>
      <c r="B26959" s="2" t="s">
        <v>20248</v>
      </c>
      <c r="C26959" s="1" t="s">
        <v>125</v>
      </c>
      <c r="D26959" s="1" t="s">
        <v>9071</v>
      </c>
    </row>
    <row r="26960">
      <c r="A26960" s="1" t="s">
        <v>41282</v>
      </c>
      <c r="B26960" s="2" t="s">
        <v>17038</v>
      </c>
      <c r="C26960" s="1" t="s">
        <v>125</v>
      </c>
      <c r="D26960" s="1" t="s">
        <v>9071</v>
      </c>
    </row>
    <row r="26961">
      <c r="A26961" s="1" t="s">
        <v>41283</v>
      </c>
      <c r="B26961" s="2" t="s">
        <v>41284</v>
      </c>
      <c r="C26961" s="1" t="s">
        <v>125</v>
      </c>
      <c r="D26961" s="1" t="s">
        <v>9071</v>
      </c>
    </row>
    <row r="26962">
      <c r="A26962" s="1" t="s">
        <v>41285</v>
      </c>
      <c r="B26962" s="2" t="s">
        <v>41286</v>
      </c>
      <c r="C26962" s="1" t="s">
        <v>125</v>
      </c>
      <c r="D26962" s="1" t="s">
        <v>9071</v>
      </c>
    </row>
    <row r="26963">
      <c r="A26963" s="1" t="s">
        <v>41287</v>
      </c>
      <c r="B26963" s="2" t="s">
        <v>20253</v>
      </c>
      <c r="C26963" s="1" t="s">
        <v>125</v>
      </c>
      <c r="D26963" s="1" t="s">
        <v>9071</v>
      </c>
    </row>
    <row r="26964">
      <c r="A26964" s="1" t="s">
        <v>41288</v>
      </c>
      <c r="B26964" s="2" t="s">
        <v>13730</v>
      </c>
      <c r="C26964" s="1" t="s">
        <v>125</v>
      </c>
      <c r="D26964" s="1" t="s">
        <v>9071</v>
      </c>
    </row>
    <row r="26965">
      <c r="A26965" s="1" t="s">
        <v>41289</v>
      </c>
      <c r="B26965" s="2" t="s">
        <v>41290</v>
      </c>
      <c r="C26965" s="1" t="s">
        <v>125</v>
      </c>
      <c r="D26965" s="1" t="s">
        <v>9071</v>
      </c>
    </row>
    <row r="26966">
      <c r="A26966" s="1" t="s">
        <v>41291</v>
      </c>
      <c r="B26966" s="2" t="s">
        <v>41292</v>
      </c>
      <c r="C26966" s="1" t="s">
        <v>125</v>
      </c>
      <c r="D26966" s="1" t="s">
        <v>9071</v>
      </c>
    </row>
    <row r="26967">
      <c r="A26967" s="1" t="s">
        <v>41293</v>
      </c>
      <c r="B26967" s="2" t="s">
        <v>20258</v>
      </c>
      <c r="C26967" s="1" t="s">
        <v>125</v>
      </c>
      <c r="D26967" s="1" t="s">
        <v>9071</v>
      </c>
    </row>
    <row r="26968">
      <c r="A26968" s="1" t="s">
        <v>9073</v>
      </c>
      <c r="B26968" s="2" t="s">
        <v>7</v>
      </c>
      <c r="C26968" s="1" t="s">
        <v>9075</v>
      </c>
      <c r="D26968" s="1" t="s">
        <v>9076</v>
      </c>
    </row>
    <row r="26969">
      <c r="A26969" s="1" t="s">
        <v>41294</v>
      </c>
      <c r="B26969" s="2" t="s">
        <v>41295</v>
      </c>
      <c r="C26969" s="1" t="s">
        <v>9075</v>
      </c>
      <c r="D26969" s="1" t="s">
        <v>9076</v>
      </c>
    </row>
    <row r="26970">
      <c r="A26970" s="1" t="s">
        <v>41296</v>
      </c>
      <c r="B26970" s="2" t="s">
        <v>41297</v>
      </c>
      <c r="C26970" s="1" t="s">
        <v>9075</v>
      </c>
      <c r="D26970" s="1" t="s">
        <v>9076</v>
      </c>
    </row>
    <row r="26971">
      <c r="A26971" s="1" t="s">
        <v>41298</v>
      </c>
      <c r="B26971" s="2" t="s">
        <v>41299</v>
      </c>
      <c r="C26971" s="1" t="s">
        <v>9075</v>
      </c>
      <c r="D26971" s="1" t="s">
        <v>9076</v>
      </c>
    </row>
    <row r="26972">
      <c r="A26972" s="1" t="s">
        <v>41300</v>
      </c>
      <c r="B26972" s="2" t="s">
        <v>41301</v>
      </c>
      <c r="C26972" s="1" t="s">
        <v>9075</v>
      </c>
      <c r="D26972" s="1" t="s">
        <v>9076</v>
      </c>
    </row>
    <row r="26973">
      <c r="A26973" s="1" t="s">
        <v>41302</v>
      </c>
      <c r="B26973" s="2" t="s">
        <v>41303</v>
      </c>
      <c r="C26973" s="1" t="s">
        <v>9075</v>
      </c>
      <c r="D26973" s="1" t="s">
        <v>9076</v>
      </c>
    </row>
    <row r="26974">
      <c r="A26974" s="1" t="s">
        <v>41304</v>
      </c>
      <c r="B26974" s="2" t="s">
        <v>41305</v>
      </c>
      <c r="C26974" s="1" t="s">
        <v>9075</v>
      </c>
      <c r="D26974" s="1" t="s">
        <v>9076</v>
      </c>
    </row>
    <row r="26975">
      <c r="A26975" s="1" t="s">
        <v>41306</v>
      </c>
      <c r="B26975" s="2" t="s">
        <v>41307</v>
      </c>
      <c r="C26975" s="1" t="s">
        <v>9075</v>
      </c>
      <c r="D26975" s="1" t="s">
        <v>9076</v>
      </c>
    </row>
    <row r="26976">
      <c r="A26976" s="1" t="s">
        <v>41308</v>
      </c>
      <c r="B26976" s="2" t="s">
        <v>13974</v>
      </c>
      <c r="C26976" s="1" t="s">
        <v>9075</v>
      </c>
      <c r="D26976" s="1" t="s">
        <v>9076</v>
      </c>
    </row>
    <row r="26977">
      <c r="A26977" s="1" t="s">
        <v>41309</v>
      </c>
      <c r="B26977" s="2" t="s">
        <v>41310</v>
      </c>
      <c r="C26977" s="1" t="s">
        <v>9075</v>
      </c>
      <c r="D26977" s="1" t="s">
        <v>9076</v>
      </c>
    </row>
    <row r="26978">
      <c r="A26978" s="1" t="s">
        <v>41311</v>
      </c>
      <c r="B26978" s="2" t="s">
        <v>41312</v>
      </c>
      <c r="C26978" s="1" t="s">
        <v>9075</v>
      </c>
      <c r="D26978" s="1" t="s">
        <v>9076</v>
      </c>
    </row>
    <row r="26979">
      <c r="A26979" s="1" t="s">
        <v>9079</v>
      </c>
      <c r="B26979" s="2" t="s">
        <v>7</v>
      </c>
      <c r="C26979" s="1" t="s">
        <v>9085</v>
      </c>
      <c r="D26979" s="1" t="s">
        <v>9086</v>
      </c>
    </row>
    <row r="26980">
      <c r="A26980" s="1" t="s">
        <v>41313</v>
      </c>
      <c r="B26980" s="2" t="s">
        <v>41314</v>
      </c>
      <c r="C26980" s="1" t="s">
        <v>9085</v>
      </c>
      <c r="D26980" s="1" t="s">
        <v>9086</v>
      </c>
    </row>
    <row r="26981">
      <c r="A26981" s="1" t="s">
        <v>41315</v>
      </c>
      <c r="B26981" s="2" t="s">
        <v>41316</v>
      </c>
      <c r="C26981" s="1" t="s">
        <v>9085</v>
      </c>
      <c r="D26981" s="1" t="s">
        <v>9086</v>
      </c>
    </row>
    <row r="26982">
      <c r="A26982" s="1" t="s">
        <v>41317</v>
      </c>
      <c r="B26982" s="2" t="s">
        <v>41318</v>
      </c>
      <c r="C26982" s="1" t="s">
        <v>9085</v>
      </c>
      <c r="D26982" s="1" t="s">
        <v>9086</v>
      </c>
    </row>
    <row r="26983">
      <c r="A26983" s="1" t="s">
        <v>41319</v>
      </c>
      <c r="B26983" s="2" t="s">
        <v>41320</v>
      </c>
      <c r="C26983" s="1" t="s">
        <v>9085</v>
      </c>
      <c r="D26983" s="1" t="s">
        <v>9086</v>
      </c>
    </row>
    <row r="26984">
      <c r="A26984" s="1" t="s">
        <v>41321</v>
      </c>
      <c r="B26984" s="2" t="s">
        <v>41322</v>
      </c>
      <c r="C26984" s="1" t="s">
        <v>9085</v>
      </c>
      <c r="D26984" s="1" t="s">
        <v>9086</v>
      </c>
    </row>
    <row r="26985">
      <c r="A26985" s="1" t="s">
        <v>41323</v>
      </c>
      <c r="B26985" s="2" t="s">
        <v>41324</v>
      </c>
      <c r="C26985" s="1" t="s">
        <v>9085</v>
      </c>
      <c r="D26985" s="1" t="s">
        <v>9086</v>
      </c>
    </row>
    <row r="26986">
      <c r="A26986" s="1" t="s">
        <v>41325</v>
      </c>
      <c r="B26986" s="2" t="s">
        <v>41326</v>
      </c>
      <c r="C26986" s="1" t="s">
        <v>9085</v>
      </c>
      <c r="D26986" s="1" t="s">
        <v>9086</v>
      </c>
    </row>
    <row r="26987">
      <c r="A26987" s="1" t="s">
        <v>41327</v>
      </c>
      <c r="B26987" s="2" t="s">
        <v>41328</v>
      </c>
      <c r="C26987" s="1" t="s">
        <v>9085</v>
      </c>
      <c r="D26987" s="1" t="s">
        <v>9086</v>
      </c>
    </row>
    <row r="26988">
      <c r="A26988" s="1" t="s">
        <v>41329</v>
      </c>
      <c r="B26988" s="2" t="s">
        <v>41330</v>
      </c>
      <c r="C26988" s="1" t="s">
        <v>9085</v>
      </c>
      <c r="D26988" s="1" t="s">
        <v>9086</v>
      </c>
    </row>
    <row r="26989">
      <c r="A26989" s="1" t="s">
        <v>9088</v>
      </c>
      <c r="B26989" s="2" t="s">
        <v>7</v>
      </c>
      <c r="C26989" s="1" t="s">
        <v>9090</v>
      </c>
      <c r="D26989" s="1" t="s">
        <v>9091</v>
      </c>
    </row>
    <row r="26990">
      <c r="A26990" s="1" t="s">
        <v>41331</v>
      </c>
      <c r="B26990" s="2" t="s">
        <v>20244</v>
      </c>
      <c r="C26990" s="1" t="s">
        <v>9090</v>
      </c>
      <c r="D26990" s="1" t="s">
        <v>9091</v>
      </c>
    </row>
    <row r="26991">
      <c r="A26991" s="1" t="s">
        <v>41332</v>
      </c>
      <c r="B26991" s="2" t="s">
        <v>41333</v>
      </c>
      <c r="C26991" s="1" t="s">
        <v>9090</v>
      </c>
      <c r="D26991" s="1" t="s">
        <v>9091</v>
      </c>
    </row>
    <row r="26992">
      <c r="A26992" s="1" t="s">
        <v>41334</v>
      </c>
      <c r="B26992" s="2" t="s">
        <v>41335</v>
      </c>
      <c r="C26992" s="1" t="s">
        <v>9090</v>
      </c>
      <c r="D26992" s="1" t="s">
        <v>9091</v>
      </c>
    </row>
    <row r="26993">
      <c r="A26993" s="1" t="s">
        <v>41336</v>
      </c>
      <c r="B26993" s="2" t="s">
        <v>41337</v>
      </c>
      <c r="C26993" s="1" t="s">
        <v>9090</v>
      </c>
      <c r="D26993" s="1" t="s">
        <v>9091</v>
      </c>
    </row>
    <row r="26994">
      <c r="A26994" s="1" t="s">
        <v>41338</v>
      </c>
      <c r="B26994" s="2" t="s">
        <v>41339</v>
      </c>
      <c r="C26994" s="1" t="s">
        <v>9090</v>
      </c>
      <c r="D26994" s="1" t="s">
        <v>9091</v>
      </c>
    </row>
    <row r="26995">
      <c r="A26995" s="1" t="s">
        <v>41340</v>
      </c>
      <c r="B26995" s="2" t="s">
        <v>41341</v>
      </c>
      <c r="C26995" s="1" t="s">
        <v>9090</v>
      </c>
      <c r="D26995" s="1" t="s">
        <v>9091</v>
      </c>
    </row>
    <row r="26996">
      <c r="A26996" s="1" t="s">
        <v>41342</v>
      </c>
      <c r="B26996" s="2" t="s">
        <v>41343</v>
      </c>
      <c r="C26996" s="1" t="s">
        <v>9090</v>
      </c>
      <c r="D26996" s="1" t="s">
        <v>9091</v>
      </c>
    </row>
    <row r="26997">
      <c r="A26997" s="1" t="s">
        <v>41344</v>
      </c>
      <c r="B26997" s="2" t="s">
        <v>17038</v>
      </c>
      <c r="C26997" s="1" t="s">
        <v>9090</v>
      </c>
      <c r="D26997" s="1" t="s">
        <v>9091</v>
      </c>
    </row>
    <row r="26998">
      <c r="A26998" s="1" t="s">
        <v>41345</v>
      </c>
      <c r="B26998" s="2" t="s">
        <v>41346</v>
      </c>
      <c r="C26998" s="1" t="s">
        <v>9090</v>
      </c>
      <c r="D26998" s="1" t="s">
        <v>9091</v>
      </c>
    </row>
    <row r="26999">
      <c r="A26999" s="1" t="s">
        <v>41347</v>
      </c>
      <c r="B26999" s="2" t="s">
        <v>41348</v>
      </c>
      <c r="C26999" s="1" t="s">
        <v>9090</v>
      </c>
      <c r="D26999" s="1" t="s">
        <v>9091</v>
      </c>
    </row>
    <row r="27000">
      <c r="A27000" s="1" t="s">
        <v>41349</v>
      </c>
      <c r="B27000" s="2" t="s">
        <v>41350</v>
      </c>
      <c r="C27000" s="1" t="s">
        <v>9090</v>
      </c>
      <c r="D27000" s="1" t="s">
        <v>9091</v>
      </c>
    </row>
    <row r="27001">
      <c r="A27001" s="1" t="s">
        <v>41351</v>
      </c>
      <c r="B27001" s="2" t="s">
        <v>41352</v>
      </c>
      <c r="C27001" s="1" t="s">
        <v>9090</v>
      </c>
      <c r="D27001" s="1" t="s">
        <v>9091</v>
      </c>
    </row>
    <row r="27002">
      <c r="A27002" s="1" t="s">
        <v>41353</v>
      </c>
      <c r="B27002" s="2" t="s">
        <v>41354</v>
      </c>
      <c r="C27002" s="1" t="s">
        <v>9090</v>
      </c>
      <c r="D27002" s="1" t="s">
        <v>9091</v>
      </c>
    </row>
    <row r="27003">
      <c r="A27003" s="1" t="s">
        <v>41355</v>
      </c>
      <c r="B27003" s="2" t="s">
        <v>41356</v>
      </c>
      <c r="C27003" s="1" t="s">
        <v>9090</v>
      </c>
      <c r="D27003" s="1" t="s">
        <v>9091</v>
      </c>
    </row>
    <row r="27004">
      <c r="A27004" s="1" t="s">
        <v>41357</v>
      </c>
      <c r="B27004" s="2" t="s">
        <v>13730</v>
      </c>
      <c r="C27004" s="1" t="s">
        <v>9090</v>
      </c>
      <c r="D27004" s="1" t="s">
        <v>9091</v>
      </c>
    </row>
    <row r="27005">
      <c r="A27005" s="1" t="s">
        <v>41358</v>
      </c>
      <c r="B27005" s="2" t="s">
        <v>20773</v>
      </c>
      <c r="C27005" s="1" t="s">
        <v>9090</v>
      </c>
      <c r="D27005" s="1" t="s">
        <v>9091</v>
      </c>
    </row>
    <row r="27006">
      <c r="A27006" s="1" t="s">
        <v>41359</v>
      </c>
      <c r="B27006" s="2" t="s">
        <v>41360</v>
      </c>
      <c r="C27006" s="1" t="s">
        <v>9090</v>
      </c>
      <c r="D27006" s="1" t="s">
        <v>9091</v>
      </c>
    </row>
    <row r="27007">
      <c r="A27007" s="1" t="s">
        <v>41361</v>
      </c>
      <c r="B27007" s="2" t="s">
        <v>41362</v>
      </c>
      <c r="C27007" s="1" t="s">
        <v>9090</v>
      </c>
      <c r="D27007" s="1" t="s">
        <v>9091</v>
      </c>
    </row>
    <row r="27008">
      <c r="A27008" s="1" t="s">
        <v>41363</v>
      </c>
      <c r="B27008" s="2" t="s">
        <v>20783</v>
      </c>
      <c r="C27008" s="1" t="s">
        <v>9090</v>
      </c>
      <c r="D27008" s="1" t="s">
        <v>9091</v>
      </c>
    </row>
    <row r="27009">
      <c r="A27009" s="1" t="s">
        <v>41364</v>
      </c>
      <c r="B27009" s="2" t="s">
        <v>41365</v>
      </c>
      <c r="C27009" s="1" t="s">
        <v>9090</v>
      </c>
      <c r="D27009" s="1" t="s">
        <v>9091</v>
      </c>
    </row>
    <row r="27010">
      <c r="A27010" s="1" t="s">
        <v>41366</v>
      </c>
      <c r="B27010" s="2" t="s">
        <v>41367</v>
      </c>
      <c r="C27010" s="1" t="s">
        <v>9090</v>
      </c>
      <c r="D27010" s="1" t="s">
        <v>9091</v>
      </c>
    </row>
    <row r="27011">
      <c r="A27011" s="1" t="s">
        <v>9096</v>
      </c>
      <c r="B27011" s="2" t="s">
        <v>7</v>
      </c>
      <c r="C27011" s="1" t="s">
        <v>9098</v>
      </c>
      <c r="D27011" s="1" t="s">
        <v>9100</v>
      </c>
    </row>
    <row r="27012">
      <c r="A27012" s="1" t="s">
        <v>41368</v>
      </c>
      <c r="B27012" s="2" t="s">
        <v>41369</v>
      </c>
      <c r="C27012" s="1" t="s">
        <v>9098</v>
      </c>
      <c r="D27012" s="1" t="s">
        <v>9100</v>
      </c>
    </row>
    <row r="27013">
      <c r="A27013" s="1" t="s">
        <v>41370</v>
      </c>
      <c r="B27013" s="2" t="s">
        <v>41371</v>
      </c>
      <c r="C27013" s="1" t="s">
        <v>9098</v>
      </c>
      <c r="D27013" s="1" t="s">
        <v>9100</v>
      </c>
    </row>
    <row r="27014">
      <c r="A27014" s="1" t="s">
        <v>41372</v>
      </c>
      <c r="B27014" s="2" t="s">
        <v>41373</v>
      </c>
      <c r="C27014" s="1" t="s">
        <v>9098</v>
      </c>
      <c r="D27014" s="1" t="s">
        <v>9100</v>
      </c>
    </row>
    <row r="27015">
      <c r="A27015" s="1" t="s">
        <v>41374</v>
      </c>
      <c r="B27015" s="2" t="s">
        <v>41375</v>
      </c>
      <c r="C27015" s="1" t="s">
        <v>9098</v>
      </c>
      <c r="D27015" s="1" t="s">
        <v>9100</v>
      </c>
    </row>
    <row r="27016">
      <c r="A27016" s="1" t="s">
        <v>41376</v>
      </c>
      <c r="B27016" s="2" t="s">
        <v>41377</v>
      </c>
      <c r="C27016" s="1" t="s">
        <v>9098</v>
      </c>
      <c r="D27016" s="1" t="s">
        <v>9100</v>
      </c>
    </row>
    <row r="27017">
      <c r="A27017" s="1" t="s">
        <v>41378</v>
      </c>
      <c r="B27017" s="2" t="s">
        <v>41379</v>
      </c>
      <c r="C27017" s="1" t="s">
        <v>9098</v>
      </c>
      <c r="D27017" s="1" t="s">
        <v>9100</v>
      </c>
    </row>
    <row r="27018">
      <c r="A27018" s="1" t="s">
        <v>41380</v>
      </c>
      <c r="B27018" s="2" t="s">
        <v>41381</v>
      </c>
      <c r="C27018" s="1" t="s">
        <v>9098</v>
      </c>
      <c r="D27018" s="1" t="s">
        <v>9100</v>
      </c>
    </row>
    <row r="27019">
      <c r="A27019" s="1" t="s">
        <v>41382</v>
      </c>
      <c r="B27019" s="2" t="s">
        <v>41383</v>
      </c>
      <c r="C27019" s="1" t="s">
        <v>9098</v>
      </c>
      <c r="D27019" s="1" t="s">
        <v>9100</v>
      </c>
    </row>
    <row r="27020">
      <c r="A27020" s="1" t="s">
        <v>41384</v>
      </c>
      <c r="B27020" s="2" t="s">
        <v>41385</v>
      </c>
      <c r="C27020" s="1" t="s">
        <v>9098</v>
      </c>
      <c r="D27020" s="1" t="s">
        <v>9100</v>
      </c>
    </row>
    <row r="27021">
      <c r="A27021" s="1" t="s">
        <v>41386</v>
      </c>
      <c r="B27021" s="2" t="s">
        <v>41387</v>
      </c>
      <c r="C27021" s="1" t="s">
        <v>9098</v>
      </c>
      <c r="D27021" s="1" t="s">
        <v>9100</v>
      </c>
    </row>
    <row r="27022">
      <c r="A27022" s="1" t="s">
        <v>41388</v>
      </c>
      <c r="B27022" s="2" t="s">
        <v>41389</v>
      </c>
      <c r="C27022" s="1" t="s">
        <v>9098</v>
      </c>
      <c r="D27022" s="1" t="s">
        <v>9100</v>
      </c>
    </row>
    <row r="27023">
      <c r="A27023" s="1" t="s">
        <v>41390</v>
      </c>
      <c r="B27023" s="2" t="s">
        <v>41391</v>
      </c>
      <c r="C27023" s="1" t="s">
        <v>9098</v>
      </c>
      <c r="D27023" s="1" t="s">
        <v>9100</v>
      </c>
    </row>
    <row r="27024">
      <c r="A27024" s="1" t="s">
        <v>41392</v>
      </c>
      <c r="B27024" s="2" t="s">
        <v>4821</v>
      </c>
      <c r="C27024" s="1" t="s">
        <v>9098</v>
      </c>
      <c r="D27024" s="1" t="s">
        <v>9100</v>
      </c>
    </row>
    <row r="27025">
      <c r="A27025" s="1" t="s">
        <v>41393</v>
      </c>
      <c r="B27025" s="2" t="s">
        <v>41394</v>
      </c>
      <c r="C27025" s="1" t="s">
        <v>9098</v>
      </c>
      <c r="D27025" s="1" t="s">
        <v>9100</v>
      </c>
    </row>
    <row r="27026">
      <c r="A27026" s="1" t="s">
        <v>41395</v>
      </c>
      <c r="B27026" s="2" t="s">
        <v>41396</v>
      </c>
      <c r="C27026" s="1" t="s">
        <v>9098</v>
      </c>
      <c r="D27026" s="1" t="s">
        <v>9100</v>
      </c>
    </row>
    <row r="27027">
      <c r="A27027" s="1" t="s">
        <v>9104</v>
      </c>
      <c r="B27027" s="2" t="s">
        <v>7</v>
      </c>
      <c r="C27027" s="1" t="s">
        <v>9106</v>
      </c>
      <c r="D27027" s="1" t="s">
        <v>9108</v>
      </c>
    </row>
    <row r="27028">
      <c r="A27028" s="1" t="s">
        <v>41397</v>
      </c>
      <c r="B27028" s="2" t="s">
        <v>13</v>
      </c>
      <c r="C27028" s="1" t="s">
        <v>9106</v>
      </c>
      <c r="D27028" s="1" t="s">
        <v>9108</v>
      </c>
    </row>
    <row r="27029">
      <c r="A27029" s="1" t="s">
        <v>41398</v>
      </c>
      <c r="B27029" s="2" t="s">
        <v>41399</v>
      </c>
      <c r="C27029" s="1" t="s">
        <v>9106</v>
      </c>
      <c r="D27029" s="1" t="s">
        <v>9108</v>
      </c>
    </row>
    <row r="27030">
      <c r="A27030" s="1" t="s">
        <v>41400</v>
      </c>
      <c r="B27030" s="2" t="s">
        <v>41401</v>
      </c>
      <c r="C27030" s="1" t="s">
        <v>9106</v>
      </c>
      <c r="D27030" s="1" t="s">
        <v>9108</v>
      </c>
    </row>
    <row r="27031">
      <c r="A27031" s="1" t="s">
        <v>41402</v>
      </c>
      <c r="B27031" s="2" t="s">
        <v>41403</v>
      </c>
      <c r="C27031" s="1" t="s">
        <v>9106</v>
      </c>
      <c r="D27031" s="1" t="s">
        <v>9108</v>
      </c>
    </row>
    <row r="27032">
      <c r="A27032" s="1" t="s">
        <v>41404</v>
      </c>
      <c r="B27032" s="2" t="s">
        <v>16202</v>
      </c>
      <c r="C27032" s="1" t="s">
        <v>9106</v>
      </c>
      <c r="D27032" s="1" t="s">
        <v>9108</v>
      </c>
    </row>
    <row r="27033">
      <c r="A27033" s="1" t="s">
        <v>41405</v>
      </c>
      <c r="B27033" s="2" t="s">
        <v>41406</v>
      </c>
      <c r="C27033" s="1" t="s">
        <v>9106</v>
      </c>
      <c r="D27033" s="1" t="s">
        <v>9108</v>
      </c>
    </row>
    <row r="27034">
      <c r="A27034" s="1" t="s">
        <v>41407</v>
      </c>
      <c r="B27034" s="2" t="s">
        <v>41408</v>
      </c>
      <c r="C27034" s="1" t="s">
        <v>9106</v>
      </c>
      <c r="D27034" s="1" t="s">
        <v>9108</v>
      </c>
    </row>
    <row r="27035">
      <c r="A27035" s="1" t="s">
        <v>41409</v>
      </c>
      <c r="B27035" s="2" t="s">
        <v>70</v>
      </c>
      <c r="C27035" s="1" t="s">
        <v>9106</v>
      </c>
      <c r="D27035" s="1" t="s">
        <v>9108</v>
      </c>
    </row>
    <row r="27036">
      <c r="A27036" s="1" t="s">
        <v>41410</v>
      </c>
      <c r="B27036" s="2" t="s">
        <v>41411</v>
      </c>
      <c r="C27036" s="1" t="s">
        <v>9106</v>
      </c>
      <c r="D27036" s="1" t="s">
        <v>9108</v>
      </c>
    </row>
    <row r="27037">
      <c r="A27037" s="1" t="s">
        <v>41412</v>
      </c>
      <c r="B27037" s="2" t="s">
        <v>41413</v>
      </c>
      <c r="C27037" s="1" t="s">
        <v>9106</v>
      </c>
      <c r="D27037" s="1" t="s">
        <v>9108</v>
      </c>
    </row>
    <row r="27038">
      <c r="A27038" s="1" t="s">
        <v>41414</v>
      </c>
      <c r="B27038" s="2" t="s">
        <v>41415</v>
      </c>
      <c r="C27038" s="1" t="s">
        <v>9106</v>
      </c>
      <c r="D27038" s="1" t="s">
        <v>9108</v>
      </c>
    </row>
    <row r="27039">
      <c r="A27039" s="1" t="s">
        <v>41416</v>
      </c>
      <c r="B27039" s="2" t="s">
        <v>16283</v>
      </c>
      <c r="C27039" s="1" t="s">
        <v>9106</v>
      </c>
      <c r="D27039" s="1" t="s">
        <v>9108</v>
      </c>
    </row>
    <row r="27040">
      <c r="A27040" s="1" t="s">
        <v>41417</v>
      </c>
      <c r="B27040" s="2" t="s">
        <v>41418</v>
      </c>
      <c r="C27040" s="1" t="s">
        <v>9106</v>
      </c>
      <c r="D27040" s="1" t="s">
        <v>9108</v>
      </c>
    </row>
    <row r="27041">
      <c r="A27041" s="1" t="s">
        <v>41419</v>
      </c>
      <c r="B27041" s="2" t="s">
        <v>41420</v>
      </c>
      <c r="C27041" s="1" t="s">
        <v>9106</v>
      </c>
      <c r="D27041" s="1" t="s">
        <v>9108</v>
      </c>
    </row>
    <row r="27042">
      <c r="A27042" s="1" t="s">
        <v>9113</v>
      </c>
      <c r="B27042" s="2" t="s">
        <v>7</v>
      </c>
      <c r="C27042" s="1" t="s">
        <v>9114</v>
      </c>
      <c r="D27042" s="1" t="s">
        <v>9116</v>
      </c>
    </row>
    <row r="27043">
      <c r="A27043" s="1" t="s">
        <v>41421</v>
      </c>
      <c r="B27043" s="2" t="s">
        <v>13</v>
      </c>
      <c r="C27043" s="1" t="s">
        <v>9114</v>
      </c>
      <c r="D27043" s="1" t="s">
        <v>9116</v>
      </c>
    </row>
    <row r="27044">
      <c r="A27044" s="1" t="s">
        <v>41422</v>
      </c>
      <c r="B27044" s="2" t="s">
        <v>41399</v>
      </c>
      <c r="C27044" s="1" t="s">
        <v>9114</v>
      </c>
      <c r="D27044" s="1" t="s">
        <v>9116</v>
      </c>
    </row>
    <row r="27045">
      <c r="A27045" s="1" t="s">
        <v>41423</v>
      </c>
      <c r="B27045" s="2" t="s">
        <v>41401</v>
      </c>
      <c r="C27045" s="1" t="s">
        <v>9114</v>
      </c>
      <c r="D27045" s="1" t="s">
        <v>9116</v>
      </c>
    </row>
    <row r="27046">
      <c r="A27046" s="1" t="s">
        <v>41424</v>
      </c>
      <c r="B27046" s="2" t="s">
        <v>41403</v>
      </c>
      <c r="C27046" s="1" t="s">
        <v>9114</v>
      </c>
      <c r="D27046" s="1" t="s">
        <v>9116</v>
      </c>
    </row>
    <row r="27047">
      <c r="A27047" s="1" t="s">
        <v>41425</v>
      </c>
      <c r="B27047" s="2" t="s">
        <v>16202</v>
      </c>
      <c r="C27047" s="1" t="s">
        <v>9114</v>
      </c>
      <c r="D27047" s="1" t="s">
        <v>9116</v>
      </c>
    </row>
    <row r="27048">
      <c r="A27048" s="1" t="s">
        <v>41426</v>
      </c>
      <c r="B27048" s="2" t="s">
        <v>41406</v>
      </c>
      <c r="C27048" s="1" t="s">
        <v>9114</v>
      </c>
      <c r="D27048" s="1" t="s">
        <v>9116</v>
      </c>
    </row>
    <row r="27049">
      <c r="A27049" s="1" t="s">
        <v>41427</v>
      </c>
      <c r="B27049" s="2" t="s">
        <v>41408</v>
      </c>
      <c r="C27049" s="1" t="s">
        <v>9114</v>
      </c>
      <c r="D27049" s="1" t="s">
        <v>9116</v>
      </c>
    </row>
    <row r="27050">
      <c r="A27050" s="1" t="s">
        <v>41428</v>
      </c>
      <c r="B27050" s="2" t="s">
        <v>70</v>
      </c>
      <c r="C27050" s="1" t="s">
        <v>9114</v>
      </c>
      <c r="D27050" s="1" t="s">
        <v>9116</v>
      </c>
    </row>
    <row r="27051">
      <c r="A27051" s="1" t="s">
        <v>41429</v>
      </c>
      <c r="B27051" s="2" t="s">
        <v>41411</v>
      </c>
      <c r="C27051" s="1" t="s">
        <v>9114</v>
      </c>
      <c r="D27051" s="1" t="s">
        <v>9116</v>
      </c>
    </row>
    <row r="27052">
      <c r="A27052" s="1" t="s">
        <v>41430</v>
      </c>
      <c r="B27052" s="2" t="s">
        <v>41413</v>
      </c>
      <c r="C27052" s="1" t="s">
        <v>9114</v>
      </c>
      <c r="D27052" s="1" t="s">
        <v>9116</v>
      </c>
    </row>
    <row r="27053">
      <c r="A27053" s="1" t="s">
        <v>41431</v>
      </c>
      <c r="B27053" s="2" t="s">
        <v>41415</v>
      </c>
      <c r="C27053" s="1" t="s">
        <v>9114</v>
      </c>
      <c r="D27053" s="1" t="s">
        <v>9116</v>
      </c>
    </row>
    <row r="27054">
      <c r="A27054" s="1" t="s">
        <v>41432</v>
      </c>
      <c r="B27054" s="2" t="s">
        <v>16283</v>
      </c>
      <c r="C27054" s="1" t="s">
        <v>9114</v>
      </c>
      <c r="D27054" s="1" t="s">
        <v>9116</v>
      </c>
    </row>
    <row r="27055">
      <c r="A27055" s="1" t="s">
        <v>41433</v>
      </c>
      <c r="B27055" s="2" t="s">
        <v>41418</v>
      </c>
      <c r="C27055" s="1" t="s">
        <v>9114</v>
      </c>
      <c r="D27055" s="1" t="s">
        <v>9116</v>
      </c>
    </row>
    <row r="27056">
      <c r="A27056" s="1" t="s">
        <v>41434</v>
      </c>
      <c r="B27056" s="2" t="s">
        <v>41420</v>
      </c>
      <c r="C27056" s="1" t="s">
        <v>9114</v>
      </c>
      <c r="D27056" s="1" t="s">
        <v>9116</v>
      </c>
    </row>
    <row r="27057">
      <c r="A27057" s="1" t="s">
        <v>9120</v>
      </c>
      <c r="B27057" s="2" t="s">
        <v>7</v>
      </c>
      <c r="C27057" s="1" t="s">
        <v>9123</v>
      </c>
      <c r="D27057" s="1" t="s">
        <v>9124</v>
      </c>
    </row>
    <row r="27058">
      <c r="A27058" s="1" t="s">
        <v>41435</v>
      </c>
      <c r="B27058" s="2" t="s">
        <v>13</v>
      </c>
      <c r="C27058" s="1" t="s">
        <v>9123</v>
      </c>
      <c r="D27058" s="1" t="s">
        <v>9124</v>
      </c>
    </row>
    <row r="27059">
      <c r="A27059" s="1" t="s">
        <v>41436</v>
      </c>
      <c r="B27059" s="2" t="s">
        <v>41399</v>
      </c>
      <c r="C27059" s="1" t="s">
        <v>9123</v>
      </c>
      <c r="D27059" s="1" t="s">
        <v>9124</v>
      </c>
    </row>
    <row r="27060">
      <c r="A27060" s="1" t="s">
        <v>41437</v>
      </c>
      <c r="B27060" s="2" t="s">
        <v>41401</v>
      </c>
      <c r="C27060" s="1" t="s">
        <v>9123</v>
      </c>
      <c r="D27060" s="1" t="s">
        <v>9124</v>
      </c>
    </row>
    <row r="27061">
      <c r="A27061" s="1" t="s">
        <v>41438</v>
      </c>
      <c r="B27061" s="2" t="s">
        <v>41403</v>
      </c>
      <c r="C27061" s="1" t="s">
        <v>9123</v>
      </c>
      <c r="D27061" s="1" t="s">
        <v>9124</v>
      </c>
    </row>
    <row r="27062">
      <c r="A27062" s="1" t="s">
        <v>41439</v>
      </c>
      <c r="B27062" s="2" t="s">
        <v>16202</v>
      </c>
      <c r="C27062" s="1" t="s">
        <v>9123</v>
      </c>
      <c r="D27062" s="1" t="s">
        <v>9124</v>
      </c>
    </row>
    <row r="27063">
      <c r="A27063" s="1" t="s">
        <v>41440</v>
      </c>
      <c r="B27063" s="2" t="s">
        <v>41406</v>
      </c>
      <c r="C27063" s="1" t="s">
        <v>9123</v>
      </c>
      <c r="D27063" s="1" t="s">
        <v>9124</v>
      </c>
    </row>
    <row r="27064">
      <c r="A27064" s="1" t="s">
        <v>41441</v>
      </c>
      <c r="B27064" s="2" t="s">
        <v>41408</v>
      </c>
      <c r="C27064" s="1" t="s">
        <v>9123</v>
      </c>
      <c r="D27064" s="1" t="s">
        <v>9124</v>
      </c>
    </row>
    <row r="27065">
      <c r="A27065" s="1" t="s">
        <v>41442</v>
      </c>
      <c r="B27065" s="2" t="s">
        <v>70</v>
      </c>
      <c r="C27065" s="1" t="s">
        <v>9123</v>
      </c>
      <c r="D27065" s="1" t="s">
        <v>9124</v>
      </c>
    </row>
    <row r="27066">
      <c r="A27066" s="1" t="s">
        <v>41443</v>
      </c>
      <c r="B27066" s="2" t="s">
        <v>41411</v>
      </c>
      <c r="C27066" s="1" t="s">
        <v>9123</v>
      </c>
      <c r="D27066" s="1" t="s">
        <v>9124</v>
      </c>
    </row>
    <row r="27067">
      <c r="A27067" s="1" t="s">
        <v>41444</v>
      </c>
      <c r="B27067" s="2" t="s">
        <v>41413</v>
      </c>
      <c r="C27067" s="1" t="s">
        <v>9123</v>
      </c>
      <c r="D27067" s="1" t="s">
        <v>9124</v>
      </c>
    </row>
    <row r="27068">
      <c r="A27068" s="1" t="s">
        <v>41445</v>
      </c>
      <c r="B27068" s="2" t="s">
        <v>41415</v>
      </c>
      <c r="C27068" s="1" t="s">
        <v>9123</v>
      </c>
      <c r="D27068" s="1" t="s">
        <v>9124</v>
      </c>
    </row>
    <row r="27069">
      <c r="A27069" s="1" t="s">
        <v>41446</v>
      </c>
      <c r="B27069" s="2" t="s">
        <v>16283</v>
      </c>
      <c r="C27069" s="1" t="s">
        <v>9123</v>
      </c>
      <c r="D27069" s="1" t="s">
        <v>9124</v>
      </c>
    </row>
    <row r="27070">
      <c r="A27070" s="1" t="s">
        <v>41447</v>
      </c>
      <c r="B27070" s="2" t="s">
        <v>41418</v>
      </c>
      <c r="C27070" s="1" t="s">
        <v>9123</v>
      </c>
      <c r="D27070" s="1" t="s">
        <v>9124</v>
      </c>
    </row>
    <row r="27071">
      <c r="A27071" s="1" t="s">
        <v>41448</v>
      </c>
      <c r="B27071" s="2" t="s">
        <v>41420</v>
      </c>
      <c r="C27071" s="1" t="s">
        <v>9123</v>
      </c>
      <c r="D27071" s="1" t="s">
        <v>9124</v>
      </c>
    </row>
    <row r="27072">
      <c r="A27072" s="1" t="s">
        <v>9145</v>
      </c>
      <c r="B27072" s="2" t="s">
        <v>7</v>
      </c>
      <c r="C27072" s="1" t="s">
        <v>9148</v>
      </c>
      <c r="D27072" s="1" t="s">
        <v>9149</v>
      </c>
    </row>
    <row r="27073">
      <c r="A27073" s="1" t="s">
        <v>41449</v>
      </c>
      <c r="B27073" s="2" t="s">
        <v>13</v>
      </c>
      <c r="C27073" s="1" t="s">
        <v>9148</v>
      </c>
      <c r="D27073" s="1" t="s">
        <v>9149</v>
      </c>
    </row>
    <row r="27074">
      <c r="A27074" s="1" t="s">
        <v>41450</v>
      </c>
      <c r="B27074" s="2" t="s">
        <v>41399</v>
      </c>
      <c r="C27074" s="1" t="s">
        <v>9148</v>
      </c>
      <c r="D27074" s="1" t="s">
        <v>9149</v>
      </c>
    </row>
    <row r="27075">
      <c r="A27075" s="1" t="s">
        <v>41451</v>
      </c>
      <c r="B27075" s="2" t="s">
        <v>41401</v>
      </c>
      <c r="C27075" s="1" t="s">
        <v>9148</v>
      </c>
      <c r="D27075" s="1" t="s">
        <v>9149</v>
      </c>
    </row>
    <row r="27076">
      <c r="A27076" s="1" t="s">
        <v>41452</v>
      </c>
      <c r="B27076" s="2" t="s">
        <v>41403</v>
      </c>
      <c r="C27076" s="1" t="s">
        <v>9148</v>
      </c>
      <c r="D27076" s="1" t="s">
        <v>9149</v>
      </c>
    </row>
    <row r="27077">
      <c r="A27077" s="1" t="s">
        <v>41453</v>
      </c>
      <c r="B27077" s="2" t="s">
        <v>16202</v>
      </c>
      <c r="C27077" s="1" t="s">
        <v>9148</v>
      </c>
      <c r="D27077" s="1" t="s">
        <v>9149</v>
      </c>
    </row>
    <row r="27078">
      <c r="A27078" s="1" t="s">
        <v>41454</v>
      </c>
      <c r="B27078" s="2" t="s">
        <v>41406</v>
      </c>
      <c r="C27078" s="1" t="s">
        <v>9148</v>
      </c>
      <c r="D27078" s="1" t="s">
        <v>9149</v>
      </c>
    </row>
    <row r="27079">
      <c r="A27079" s="1" t="s">
        <v>41455</v>
      </c>
      <c r="B27079" s="2" t="s">
        <v>41408</v>
      </c>
      <c r="C27079" s="1" t="s">
        <v>9148</v>
      </c>
      <c r="D27079" s="1" t="s">
        <v>9149</v>
      </c>
    </row>
    <row r="27080">
      <c r="A27080" s="1" t="s">
        <v>41456</v>
      </c>
      <c r="B27080" s="2" t="s">
        <v>70</v>
      </c>
      <c r="C27080" s="1" t="s">
        <v>9148</v>
      </c>
      <c r="D27080" s="1" t="s">
        <v>9149</v>
      </c>
    </row>
    <row r="27081">
      <c r="A27081" s="1" t="s">
        <v>41457</v>
      </c>
      <c r="B27081" s="2" t="s">
        <v>41411</v>
      </c>
      <c r="C27081" s="1" t="s">
        <v>9148</v>
      </c>
      <c r="D27081" s="1" t="s">
        <v>9149</v>
      </c>
    </row>
    <row r="27082">
      <c r="A27082" s="1" t="s">
        <v>41458</v>
      </c>
      <c r="B27082" s="2" t="s">
        <v>41413</v>
      </c>
      <c r="C27082" s="1" t="s">
        <v>9148</v>
      </c>
      <c r="D27082" s="1" t="s">
        <v>9149</v>
      </c>
    </row>
    <row r="27083">
      <c r="A27083" s="1" t="s">
        <v>41459</v>
      </c>
      <c r="B27083" s="2" t="s">
        <v>41415</v>
      </c>
      <c r="C27083" s="1" t="s">
        <v>9148</v>
      </c>
      <c r="D27083" s="1" t="s">
        <v>9149</v>
      </c>
    </row>
    <row r="27084">
      <c r="A27084" s="1" t="s">
        <v>41460</v>
      </c>
      <c r="B27084" s="2" t="s">
        <v>16283</v>
      </c>
      <c r="C27084" s="1" t="s">
        <v>9148</v>
      </c>
      <c r="D27084" s="1" t="s">
        <v>9149</v>
      </c>
    </row>
    <row r="27085">
      <c r="A27085" s="1" t="s">
        <v>41461</v>
      </c>
      <c r="B27085" s="2" t="s">
        <v>41418</v>
      </c>
      <c r="C27085" s="1" t="s">
        <v>9148</v>
      </c>
      <c r="D27085" s="1" t="s">
        <v>9149</v>
      </c>
    </row>
    <row r="27086">
      <c r="A27086" s="1" t="s">
        <v>41462</v>
      </c>
      <c r="B27086" s="2" t="s">
        <v>41420</v>
      </c>
      <c r="C27086" s="1" t="s">
        <v>9148</v>
      </c>
      <c r="D27086" s="1" t="s">
        <v>9149</v>
      </c>
    </row>
    <row r="27087">
      <c r="A27087" s="1" t="s">
        <v>9156</v>
      </c>
      <c r="B27087" s="2" t="s">
        <v>7</v>
      </c>
      <c r="C27087" s="1" t="s">
        <v>9158</v>
      </c>
      <c r="D27087" s="1" t="s">
        <v>9160</v>
      </c>
    </row>
    <row r="27088">
      <c r="A27088" s="1" t="s">
        <v>41463</v>
      </c>
      <c r="B27088" s="2" t="s">
        <v>13</v>
      </c>
      <c r="C27088" s="1" t="s">
        <v>9158</v>
      </c>
      <c r="D27088" s="1" t="s">
        <v>9160</v>
      </c>
    </row>
    <row r="27089">
      <c r="A27089" s="1" t="s">
        <v>41464</v>
      </c>
      <c r="B27089" s="2" t="s">
        <v>41399</v>
      </c>
      <c r="C27089" s="1" t="s">
        <v>9158</v>
      </c>
      <c r="D27089" s="1" t="s">
        <v>9160</v>
      </c>
    </row>
    <row r="27090">
      <c r="A27090" s="1" t="s">
        <v>41465</v>
      </c>
      <c r="B27090" s="2" t="s">
        <v>41401</v>
      </c>
      <c r="C27090" s="1" t="s">
        <v>9158</v>
      </c>
      <c r="D27090" s="1" t="s">
        <v>9160</v>
      </c>
    </row>
    <row r="27091">
      <c r="A27091" s="1" t="s">
        <v>41466</v>
      </c>
      <c r="B27091" s="2" t="s">
        <v>41403</v>
      </c>
      <c r="C27091" s="1" t="s">
        <v>9158</v>
      </c>
      <c r="D27091" s="1" t="s">
        <v>9160</v>
      </c>
    </row>
    <row r="27092">
      <c r="A27092" s="1" t="s">
        <v>41467</v>
      </c>
      <c r="B27092" s="2" t="s">
        <v>16202</v>
      </c>
      <c r="C27092" s="1" t="s">
        <v>9158</v>
      </c>
      <c r="D27092" s="1" t="s">
        <v>9160</v>
      </c>
    </row>
    <row r="27093">
      <c r="A27093" s="1" t="s">
        <v>41468</v>
      </c>
      <c r="B27093" s="2" t="s">
        <v>41406</v>
      </c>
      <c r="C27093" s="1" t="s">
        <v>9158</v>
      </c>
      <c r="D27093" s="1" t="s">
        <v>9160</v>
      </c>
    </row>
    <row r="27094">
      <c r="A27094" s="1" t="s">
        <v>41469</v>
      </c>
      <c r="B27094" s="2" t="s">
        <v>41408</v>
      </c>
      <c r="C27094" s="1" t="s">
        <v>9158</v>
      </c>
      <c r="D27094" s="1" t="s">
        <v>9160</v>
      </c>
    </row>
    <row r="27095">
      <c r="A27095" s="1" t="s">
        <v>41470</v>
      </c>
      <c r="B27095" s="2" t="s">
        <v>70</v>
      </c>
      <c r="C27095" s="1" t="s">
        <v>9158</v>
      </c>
      <c r="D27095" s="1" t="s">
        <v>9160</v>
      </c>
    </row>
    <row r="27096">
      <c r="A27096" s="1" t="s">
        <v>41471</v>
      </c>
      <c r="B27096" s="2" t="s">
        <v>41411</v>
      </c>
      <c r="C27096" s="1" t="s">
        <v>9158</v>
      </c>
      <c r="D27096" s="1" t="s">
        <v>9160</v>
      </c>
    </row>
    <row r="27097">
      <c r="A27097" s="1" t="s">
        <v>41472</v>
      </c>
      <c r="B27097" s="2" t="s">
        <v>41413</v>
      </c>
      <c r="C27097" s="1" t="s">
        <v>9158</v>
      </c>
      <c r="D27097" s="1" t="s">
        <v>9160</v>
      </c>
    </row>
    <row r="27098">
      <c r="A27098" s="1" t="s">
        <v>41473</v>
      </c>
      <c r="B27098" s="2" t="s">
        <v>41415</v>
      </c>
      <c r="C27098" s="1" t="s">
        <v>9158</v>
      </c>
      <c r="D27098" s="1" t="s">
        <v>9160</v>
      </c>
    </row>
    <row r="27099">
      <c r="A27099" s="1" t="s">
        <v>41474</v>
      </c>
      <c r="B27099" s="2" t="s">
        <v>16283</v>
      </c>
      <c r="C27099" s="1" t="s">
        <v>9158</v>
      </c>
      <c r="D27099" s="1" t="s">
        <v>9160</v>
      </c>
    </row>
    <row r="27100">
      <c r="A27100" s="1" t="s">
        <v>41475</v>
      </c>
      <c r="B27100" s="2" t="s">
        <v>41418</v>
      </c>
      <c r="C27100" s="1" t="s">
        <v>9158</v>
      </c>
      <c r="D27100" s="1" t="s">
        <v>9160</v>
      </c>
    </row>
    <row r="27101">
      <c r="A27101" s="1" t="s">
        <v>41476</v>
      </c>
      <c r="B27101" s="2" t="s">
        <v>41420</v>
      </c>
      <c r="C27101" s="1" t="s">
        <v>9158</v>
      </c>
      <c r="D27101" s="1" t="s">
        <v>9160</v>
      </c>
    </row>
    <row r="27102">
      <c r="A27102" s="1" t="s">
        <v>9164</v>
      </c>
      <c r="B27102" s="2" t="s">
        <v>7</v>
      </c>
      <c r="C27102" s="1" t="s">
        <v>9166</v>
      </c>
      <c r="D27102" s="1" t="s">
        <v>9168</v>
      </c>
    </row>
    <row r="27103">
      <c r="A27103" s="1" t="s">
        <v>41477</v>
      </c>
      <c r="B27103" s="2" t="s">
        <v>13</v>
      </c>
      <c r="C27103" s="1" t="s">
        <v>9166</v>
      </c>
      <c r="D27103" s="1" t="s">
        <v>9168</v>
      </c>
    </row>
    <row r="27104">
      <c r="A27104" s="1" t="s">
        <v>41478</v>
      </c>
      <c r="B27104" s="2" t="s">
        <v>41399</v>
      </c>
      <c r="C27104" s="1" t="s">
        <v>9166</v>
      </c>
      <c r="D27104" s="1" t="s">
        <v>9168</v>
      </c>
    </row>
    <row r="27105">
      <c r="A27105" s="1" t="s">
        <v>41479</v>
      </c>
      <c r="B27105" s="2" t="s">
        <v>41401</v>
      </c>
      <c r="C27105" s="1" t="s">
        <v>9166</v>
      </c>
      <c r="D27105" s="1" t="s">
        <v>9168</v>
      </c>
    </row>
    <row r="27106">
      <c r="A27106" s="1" t="s">
        <v>41480</v>
      </c>
      <c r="B27106" s="2" t="s">
        <v>41403</v>
      </c>
      <c r="C27106" s="1" t="s">
        <v>9166</v>
      </c>
      <c r="D27106" s="1" t="s">
        <v>9168</v>
      </c>
    </row>
    <row r="27107">
      <c r="A27107" s="1" t="s">
        <v>41481</v>
      </c>
      <c r="B27107" s="2" t="s">
        <v>16202</v>
      </c>
      <c r="C27107" s="1" t="s">
        <v>9166</v>
      </c>
      <c r="D27107" s="1" t="s">
        <v>9168</v>
      </c>
    </row>
    <row r="27108">
      <c r="A27108" s="1" t="s">
        <v>41482</v>
      </c>
      <c r="B27108" s="2" t="s">
        <v>41406</v>
      </c>
      <c r="C27108" s="1" t="s">
        <v>9166</v>
      </c>
      <c r="D27108" s="1" t="s">
        <v>9168</v>
      </c>
    </row>
    <row r="27109">
      <c r="A27109" s="1" t="s">
        <v>41483</v>
      </c>
      <c r="B27109" s="2" t="s">
        <v>41408</v>
      </c>
      <c r="C27109" s="1" t="s">
        <v>9166</v>
      </c>
      <c r="D27109" s="1" t="s">
        <v>9168</v>
      </c>
    </row>
    <row r="27110">
      <c r="A27110" s="1" t="s">
        <v>41484</v>
      </c>
      <c r="B27110" s="2" t="s">
        <v>70</v>
      </c>
      <c r="C27110" s="1" t="s">
        <v>9166</v>
      </c>
      <c r="D27110" s="1" t="s">
        <v>9168</v>
      </c>
    </row>
    <row r="27111">
      <c r="A27111" s="1" t="s">
        <v>41485</v>
      </c>
      <c r="B27111" s="2" t="s">
        <v>41411</v>
      </c>
      <c r="C27111" s="1" t="s">
        <v>9166</v>
      </c>
      <c r="D27111" s="1" t="s">
        <v>9168</v>
      </c>
    </row>
    <row r="27112">
      <c r="A27112" s="1" t="s">
        <v>41486</v>
      </c>
      <c r="B27112" s="2" t="s">
        <v>41413</v>
      </c>
      <c r="C27112" s="1" t="s">
        <v>9166</v>
      </c>
      <c r="D27112" s="1" t="s">
        <v>9168</v>
      </c>
    </row>
    <row r="27113">
      <c r="A27113" s="1" t="s">
        <v>41487</v>
      </c>
      <c r="B27113" s="2" t="s">
        <v>41415</v>
      </c>
      <c r="C27113" s="1" t="s">
        <v>9166</v>
      </c>
      <c r="D27113" s="1" t="s">
        <v>9168</v>
      </c>
    </row>
    <row r="27114">
      <c r="A27114" s="1" t="s">
        <v>41488</v>
      </c>
      <c r="B27114" s="2" t="s">
        <v>16283</v>
      </c>
      <c r="C27114" s="1" t="s">
        <v>9166</v>
      </c>
      <c r="D27114" s="1" t="s">
        <v>9168</v>
      </c>
    </row>
    <row r="27115">
      <c r="A27115" s="1" t="s">
        <v>41489</v>
      </c>
      <c r="B27115" s="2" t="s">
        <v>41418</v>
      </c>
      <c r="C27115" s="1" t="s">
        <v>9166</v>
      </c>
      <c r="D27115" s="1" t="s">
        <v>9168</v>
      </c>
    </row>
    <row r="27116">
      <c r="A27116" s="1" t="s">
        <v>41490</v>
      </c>
      <c r="B27116" s="2" t="s">
        <v>41420</v>
      </c>
      <c r="C27116" s="1" t="s">
        <v>9166</v>
      </c>
      <c r="D27116" s="1" t="s">
        <v>9168</v>
      </c>
    </row>
    <row r="27117">
      <c r="A27117" s="1" t="s">
        <v>9172</v>
      </c>
      <c r="B27117" s="2" t="s">
        <v>7</v>
      </c>
      <c r="C27117" s="1" t="s">
        <v>9175</v>
      </c>
      <c r="D27117" s="1" t="s">
        <v>9176</v>
      </c>
    </row>
    <row r="27118">
      <c r="A27118" s="1" t="s">
        <v>41491</v>
      </c>
      <c r="B27118" s="2" t="s">
        <v>13</v>
      </c>
      <c r="C27118" s="1" t="s">
        <v>9175</v>
      </c>
      <c r="D27118" s="1" t="s">
        <v>9176</v>
      </c>
    </row>
    <row r="27119">
      <c r="A27119" s="1" t="s">
        <v>41492</v>
      </c>
      <c r="B27119" s="2" t="s">
        <v>41399</v>
      </c>
      <c r="C27119" s="1" t="s">
        <v>9175</v>
      </c>
      <c r="D27119" s="1" t="s">
        <v>9176</v>
      </c>
    </row>
    <row r="27120">
      <c r="A27120" s="1" t="s">
        <v>41493</v>
      </c>
      <c r="B27120" s="2" t="s">
        <v>41401</v>
      </c>
      <c r="C27120" s="1" t="s">
        <v>9175</v>
      </c>
      <c r="D27120" s="1" t="s">
        <v>9176</v>
      </c>
    </row>
    <row r="27121">
      <c r="A27121" s="1" t="s">
        <v>41494</v>
      </c>
      <c r="B27121" s="2" t="s">
        <v>41403</v>
      </c>
      <c r="C27121" s="1" t="s">
        <v>9175</v>
      </c>
      <c r="D27121" s="1" t="s">
        <v>9176</v>
      </c>
    </row>
    <row r="27122">
      <c r="A27122" s="1" t="s">
        <v>41495</v>
      </c>
      <c r="B27122" s="2" t="s">
        <v>16202</v>
      </c>
      <c r="C27122" s="1" t="s">
        <v>9175</v>
      </c>
      <c r="D27122" s="1" t="s">
        <v>9176</v>
      </c>
    </row>
    <row r="27123">
      <c r="A27123" s="1" t="s">
        <v>41496</v>
      </c>
      <c r="B27123" s="2" t="s">
        <v>41406</v>
      </c>
      <c r="C27123" s="1" t="s">
        <v>9175</v>
      </c>
      <c r="D27123" s="1" t="s">
        <v>9176</v>
      </c>
    </row>
    <row r="27124">
      <c r="A27124" s="1" t="s">
        <v>41497</v>
      </c>
      <c r="B27124" s="2" t="s">
        <v>41408</v>
      </c>
      <c r="C27124" s="1" t="s">
        <v>9175</v>
      </c>
      <c r="D27124" s="1" t="s">
        <v>9176</v>
      </c>
    </row>
    <row r="27125">
      <c r="A27125" s="1" t="s">
        <v>41498</v>
      </c>
      <c r="B27125" s="2" t="s">
        <v>70</v>
      </c>
      <c r="C27125" s="1" t="s">
        <v>9175</v>
      </c>
      <c r="D27125" s="1" t="s">
        <v>9176</v>
      </c>
    </row>
    <row r="27126">
      <c r="A27126" s="1" t="s">
        <v>41499</v>
      </c>
      <c r="B27126" s="2" t="s">
        <v>41411</v>
      </c>
      <c r="C27126" s="1" t="s">
        <v>9175</v>
      </c>
      <c r="D27126" s="1" t="s">
        <v>9176</v>
      </c>
    </row>
    <row r="27127">
      <c r="A27127" s="1" t="s">
        <v>41500</v>
      </c>
      <c r="B27127" s="2" t="s">
        <v>41413</v>
      </c>
      <c r="C27127" s="1" t="s">
        <v>9175</v>
      </c>
      <c r="D27127" s="1" t="s">
        <v>9176</v>
      </c>
    </row>
    <row r="27128">
      <c r="A27128" s="1" t="s">
        <v>41501</v>
      </c>
      <c r="B27128" s="2" t="s">
        <v>41415</v>
      </c>
      <c r="C27128" s="1" t="s">
        <v>9175</v>
      </c>
      <c r="D27128" s="1" t="s">
        <v>9176</v>
      </c>
    </row>
    <row r="27129">
      <c r="A27129" s="1" t="s">
        <v>41502</v>
      </c>
      <c r="B27129" s="2" t="s">
        <v>16283</v>
      </c>
      <c r="C27129" s="1" t="s">
        <v>9175</v>
      </c>
      <c r="D27129" s="1" t="s">
        <v>9176</v>
      </c>
    </row>
    <row r="27130">
      <c r="A27130" s="1" t="s">
        <v>41503</v>
      </c>
      <c r="B27130" s="2" t="s">
        <v>41418</v>
      </c>
      <c r="C27130" s="1" t="s">
        <v>9175</v>
      </c>
      <c r="D27130" s="1" t="s">
        <v>9176</v>
      </c>
    </row>
    <row r="27131">
      <c r="A27131" s="1" t="s">
        <v>41504</v>
      </c>
      <c r="B27131" s="2" t="s">
        <v>41420</v>
      </c>
      <c r="C27131" s="1" t="s">
        <v>9175</v>
      </c>
      <c r="D27131" s="1" t="s">
        <v>9176</v>
      </c>
    </row>
    <row r="27132">
      <c r="A27132" s="1" t="s">
        <v>9179</v>
      </c>
      <c r="B27132" s="2" t="s">
        <v>7</v>
      </c>
      <c r="C27132" s="1" t="s">
        <v>9180</v>
      </c>
      <c r="D27132" s="1" t="s">
        <v>9182</v>
      </c>
    </row>
    <row r="27133">
      <c r="A27133" s="1" t="s">
        <v>41505</v>
      </c>
      <c r="B27133" s="2" t="s">
        <v>13</v>
      </c>
      <c r="C27133" s="1" t="s">
        <v>9180</v>
      </c>
      <c r="D27133" s="1" t="s">
        <v>9182</v>
      </c>
    </row>
    <row r="27134">
      <c r="A27134" s="1" t="s">
        <v>41506</v>
      </c>
      <c r="B27134" s="2" t="s">
        <v>41399</v>
      </c>
      <c r="C27134" s="1" t="s">
        <v>9180</v>
      </c>
      <c r="D27134" s="1" t="s">
        <v>9182</v>
      </c>
    </row>
    <row r="27135">
      <c r="A27135" s="1" t="s">
        <v>41507</v>
      </c>
      <c r="B27135" s="2" t="s">
        <v>41401</v>
      </c>
      <c r="C27135" s="1" t="s">
        <v>9180</v>
      </c>
      <c r="D27135" s="1" t="s">
        <v>9182</v>
      </c>
    </row>
    <row r="27136">
      <c r="A27136" s="1" t="s">
        <v>41508</v>
      </c>
      <c r="B27136" s="2" t="s">
        <v>41403</v>
      </c>
      <c r="C27136" s="1" t="s">
        <v>9180</v>
      </c>
      <c r="D27136" s="1" t="s">
        <v>9182</v>
      </c>
    </row>
    <row r="27137">
      <c r="A27137" s="1" t="s">
        <v>41509</v>
      </c>
      <c r="B27137" s="2" t="s">
        <v>16202</v>
      </c>
      <c r="C27137" s="1" t="s">
        <v>9180</v>
      </c>
      <c r="D27137" s="1" t="s">
        <v>9182</v>
      </c>
    </row>
    <row r="27138">
      <c r="A27138" s="1" t="s">
        <v>41510</v>
      </c>
      <c r="B27138" s="2" t="s">
        <v>41406</v>
      </c>
      <c r="C27138" s="1" t="s">
        <v>9180</v>
      </c>
      <c r="D27138" s="1" t="s">
        <v>9182</v>
      </c>
    </row>
    <row r="27139">
      <c r="A27139" s="1" t="s">
        <v>41511</v>
      </c>
      <c r="B27139" s="2" t="s">
        <v>41408</v>
      </c>
      <c r="C27139" s="1" t="s">
        <v>9180</v>
      </c>
      <c r="D27139" s="1" t="s">
        <v>9182</v>
      </c>
    </row>
    <row r="27140">
      <c r="A27140" s="1" t="s">
        <v>41512</v>
      </c>
      <c r="B27140" s="2" t="s">
        <v>70</v>
      </c>
      <c r="C27140" s="1" t="s">
        <v>9180</v>
      </c>
      <c r="D27140" s="1" t="s">
        <v>9182</v>
      </c>
    </row>
    <row r="27141">
      <c r="A27141" s="1" t="s">
        <v>41513</v>
      </c>
      <c r="B27141" s="2" t="s">
        <v>41411</v>
      </c>
      <c r="C27141" s="1" t="s">
        <v>9180</v>
      </c>
      <c r="D27141" s="1" t="s">
        <v>9182</v>
      </c>
    </row>
    <row r="27142">
      <c r="A27142" s="1" t="s">
        <v>41514</v>
      </c>
      <c r="B27142" s="2" t="s">
        <v>41413</v>
      </c>
      <c r="C27142" s="1" t="s">
        <v>9180</v>
      </c>
      <c r="D27142" s="1" t="s">
        <v>9182</v>
      </c>
    </row>
    <row r="27143">
      <c r="A27143" s="1" t="s">
        <v>41515</v>
      </c>
      <c r="B27143" s="2" t="s">
        <v>41415</v>
      </c>
      <c r="C27143" s="1" t="s">
        <v>9180</v>
      </c>
      <c r="D27143" s="1" t="s">
        <v>9182</v>
      </c>
    </row>
    <row r="27144">
      <c r="A27144" s="1" t="s">
        <v>41516</v>
      </c>
      <c r="B27144" s="2" t="s">
        <v>16283</v>
      </c>
      <c r="C27144" s="1" t="s">
        <v>9180</v>
      </c>
      <c r="D27144" s="1" t="s">
        <v>9182</v>
      </c>
    </row>
    <row r="27145">
      <c r="A27145" s="1" t="s">
        <v>41517</v>
      </c>
      <c r="B27145" s="2" t="s">
        <v>41418</v>
      </c>
      <c r="C27145" s="1" t="s">
        <v>9180</v>
      </c>
      <c r="D27145" s="1" t="s">
        <v>9182</v>
      </c>
    </row>
    <row r="27146">
      <c r="A27146" s="1" t="s">
        <v>41518</v>
      </c>
      <c r="B27146" s="2" t="s">
        <v>41420</v>
      </c>
      <c r="C27146" s="1" t="s">
        <v>9180</v>
      </c>
      <c r="D27146" s="1" t="s">
        <v>9182</v>
      </c>
    </row>
    <row r="27147">
      <c r="A27147" s="1" t="s">
        <v>9188</v>
      </c>
      <c r="B27147" s="2" t="s">
        <v>7</v>
      </c>
      <c r="C27147" s="1" t="s">
        <v>9190</v>
      </c>
      <c r="D27147" s="1" t="s">
        <v>9195</v>
      </c>
    </row>
    <row r="27148">
      <c r="A27148" s="1" t="s">
        <v>41519</v>
      </c>
      <c r="B27148" s="2" t="s">
        <v>13</v>
      </c>
      <c r="C27148" s="1" t="s">
        <v>9190</v>
      </c>
      <c r="D27148" s="1" t="s">
        <v>9195</v>
      </c>
    </row>
    <row r="27149">
      <c r="A27149" s="1" t="s">
        <v>41520</v>
      </c>
      <c r="B27149" s="2" t="s">
        <v>41399</v>
      </c>
      <c r="C27149" s="1" t="s">
        <v>9190</v>
      </c>
      <c r="D27149" s="1" t="s">
        <v>9195</v>
      </c>
    </row>
    <row r="27150">
      <c r="A27150" s="1" t="s">
        <v>41521</v>
      </c>
      <c r="B27150" s="2" t="s">
        <v>41401</v>
      </c>
      <c r="C27150" s="1" t="s">
        <v>9190</v>
      </c>
      <c r="D27150" s="1" t="s">
        <v>9195</v>
      </c>
    </row>
    <row r="27151">
      <c r="A27151" s="1" t="s">
        <v>41522</v>
      </c>
      <c r="B27151" s="2" t="s">
        <v>41403</v>
      </c>
      <c r="C27151" s="1" t="s">
        <v>9190</v>
      </c>
      <c r="D27151" s="1" t="s">
        <v>9195</v>
      </c>
    </row>
    <row r="27152">
      <c r="A27152" s="1" t="s">
        <v>41523</v>
      </c>
      <c r="B27152" s="2" t="s">
        <v>16202</v>
      </c>
      <c r="C27152" s="1" t="s">
        <v>9190</v>
      </c>
      <c r="D27152" s="1" t="s">
        <v>9195</v>
      </c>
    </row>
    <row r="27153">
      <c r="A27153" s="1" t="s">
        <v>41524</v>
      </c>
      <c r="B27153" s="2" t="s">
        <v>41406</v>
      </c>
      <c r="C27153" s="1" t="s">
        <v>9190</v>
      </c>
      <c r="D27153" s="1" t="s">
        <v>9195</v>
      </c>
    </row>
    <row r="27154">
      <c r="A27154" s="1" t="s">
        <v>41525</v>
      </c>
      <c r="B27154" s="2" t="s">
        <v>41408</v>
      </c>
      <c r="C27154" s="1" t="s">
        <v>9190</v>
      </c>
      <c r="D27154" s="1" t="s">
        <v>9195</v>
      </c>
    </row>
    <row r="27155">
      <c r="A27155" s="1" t="s">
        <v>41526</v>
      </c>
      <c r="B27155" s="2" t="s">
        <v>70</v>
      </c>
      <c r="C27155" s="1" t="s">
        <v>9190</v>
      </c>
      <c r="D27155" s="1" t="s">
        <v>9195</v>
      </c>
    </row>
    <row r="27156">
      <c r="A27156" s="1" t="s">
        <v>41527</v>
      </c>
      <c r="B27156" s="2" t="s">
        <v>41411</v>
      </c>
      <c r="C27156" s="1" t="s">
        <v>9190</v>
      </c>
      <c r="D27156" s="1" t="s">
        <v>9195</v>
      </c>
    </row>
    <row r="27157">
      <c r="A27157" s="1" t="s">
        <v>41528</v>
      </c>
      <c r="B27157" s="2" t="s">
        <v>41413</v>
      </c>
      <c r="C27157" s="1" t="s">
        <v>9190</v>
      </c>
      <c r="D27157" s="1" t="s">
        <v>9195</v>
      </c>
    </row>
    <row r="27158">
      <c r="A27158" s="1" t="s">
        <v>41529</v>
      </c>
      <c r="B27158" s="2" t="s">
        <v>41415</v>
      </c>
      <c r="C27158" s="1" t="s">
        <v>9190</v>
      </c>
      <c r="D27158" s="1" t="s">
        <v>9195</v>
      </c>
    </row>
    <row r="27159">
      <c r="A27159" s="1" t="s">
        <v>41530</v>
      </c>
      <c r="B27159" s="2" t="s">
        <v>16283</v>
      </c>
      <c r="C27159" s="1" t="s">
        <v>9190</v>
      </c>
      <c r="D27159" s="1" t="s">
        <v>9195</v>
      </c>
    </row>
    <row r="27160">
      <c r="A27160" s="1" t="s">
        <v>41531</v>
      </c>
      <c r="B27160" s="2" t="s">
        <v>41418</v>
      </c>
      <c r="C27160" s="1" t="s">
        <v>9190</v>
      </c>
      <c r="D27160" s="1" t="s">
        <v>9195</v>
      </c>
    </row>
    <row r="27161">
      <c r="A27161" s="1" t="s">
        <v>41532</v>
      </c>
      <c r="B27161" s="2" t="s">
        <v>41420</v>
      </c>
      <c r="C27161" s="1" t="s">
        <v>9190</v>
      </c>
      <c r="D27161" s="1" t="s">
        <v>9195</v>
      </c>
    </row>
    <row r="27162">
      <c r="A27162" s="1" t="s">
        <v>9199</v>
      </c>
      <c r="B27162" s="2" t="s">
        <v>7</v>
      </c>
      <c r="C27162" s="1" t="s">
        <v>9202</v>
      </c>
      <c r="D27162" s="1" t="s">
        <v>9203</v>
      </c>
    </row>
    <row r="27163">
      <c r="A27163" s="1" t="s">
        <v>41533</v>
      </c>
      <c r="B27163" s="2" t="s">
        <v>17038</v>
      </c>
      <c r="C27163" s="1" t="s">
        <v>9202</v>
      </c>
      <c r="D27163" s="1" t="s">
        <v>9203</v>
      </c>
    </row>
    <row r="27164">
      <c r="A27164" s="1" t="s">
        <v>41534</v>
      </c>
      <c r="B27164" s="2" t="s">
        <v>41535</v>
      </c>
      <c r="C27164" s="1" t="s">
        <v>9202</v>
      </c>
      <c r="D27164" s="1" t="s">
        <v>9203</v>
      </c>
    </row>
    <row r="27165">
      <c r="A27165" s="1" t="s">
        <v>41536</v>
      </c>
      <c r="B27165" s="2" t="s">
        <v>41537</v>
      </c>
      <c r="C27165" s="1" t="s">
        <v>9202</v>
      </c>
      <c r="D27165" s="1" t="s">
        <v>9203</v>
      </c>
    </row>
    <row r="27166">
      <c r="A27166" s="1" t="s">
        <v>41538</v>
      </c>
      <c r="B27166" s="2" t="s">
        <v>41539</v>
      </c>
      <c r="C27166" s="1" t="s">
        <v>9202</v>
      </c>
      <c r="D27166" s="1" t="s">
        <v>9203</v>
      </c>
    </row>
    <row r="27167">
      <c r="A27167" s="1" t="s">
        <v>41540</v>
      </c>
      <c r="B27167" s="2" t="s">
        <v>41541</v>
      </c>
      <c r="C27167" s="1" t="s">
        <v>9202</v>
      </c>
      <c r="D27167" s="1" t="s">
        <v>9203</v>
      </c>
    </row>
    <row r="27168">
      <c r="A27168" s="1" t="s">
        <v>41542</v>
      </c>
      <c r="B27168" s="2" t="s">
        <v>41543</v>
      </c>
      <c r="C27168" s="1" t="s">
        <v>9202</v>
      </c>
      <c r="D27168" s="1" t="s">
        <v>9203</v>
      </c>
    </row>
    <row r="27169">
      <c r="A27169" s="1" t="s">
        <v>41544</v>
      </c>
      <c r="B27169" s="2" t="s">
        <v>41545</v>
      </c>
      <c r="C27169" s="1" t="s">
        <v>9202</v>
      </c>
      <c r="D27169" s="1" t="s">
        <v>9203</v>
      </c>
    </row>
    <row r="27170">
      <c r="A27170" s="1" t="s">
        <v>41546</v>
      </c>
      <c r="B27170" s="2" t="s">
        <v>41547</v>
      </c>
      <c r="C27170" s="1" t="s">
        <v>9202</v>
      </c>
      <c r="D27170" s="1" t="s">
        <v>9203</v>
      </c>
    </row>
    <row r="27171">
      <c r="A27171" s="1" t="s">
        <v>41548</v>
      </c>
      <c r="B27171" s="2" t="s">
        <v>41549</v>
      </c>
      <c r="C27171" s="1" t="s">
        <v>9202</v>
      </c>
      <c r="D27171" s="1" t="s">
        <v>9203</v>
      </c>
    </row>
    <row r="27172">
      <c r="A27172" s="1" t="s">
        <v>41550</v>
      </c>
      <c r="B27172" s="2" t="s">
        <v>41551</v>
      </c>
      <c r="C27172" s="1" t="s">
        <v>9202</v>
      </c>
      <c r="D27172" s="1" t="s">
        <v>9203</v>
      </c>
    </row>
    <row r="27173">
      <c r="A27173" s="1" t="s">
        <v>41552</v>
      </c>
      <c r="B27173" s="2" t="s">
        <v>41553</v>
      </c>
      <c r="C27173" s="1" t="s">
        <v>9202</v>
      </c>
      <c r="D27173" s="1" t="s">
        <v>9203</v>
      </c>
    </row>
    <row r="27174">
      <c r="A27174" s="1" t="s">
        <v>41554</v>
      </c>
      <c r="B27174" s="2" t="s">
        <v>41555</v>
      </c>
      <c r="C27174" s="1" t="s">
        <v>9202</v>
      </c>
      <c r="D27174" s="1" t="s">
        <v>9203</v>
      </c>
    </row>
    <row r="27175">
      <c r="A27175" s="1" t="s">
        <v>41556</v>
      </c>
      <c r="B27175" s="2" t="s">
        <v>41557</v>
      </c>
      <c r="C27175" s="1" t="s">
        <v>9202</v>
      </c>
      <c r="D27175" s="1" t="s">
        <v>9203</v>
      </c>
    </row>
    <row r="27176">
      <c r="A27176" s="1" t="s">
        <v>41558</v>
      </c>
      <c r="B27176" s="2" t="s">
        <v>41559</v>
      </c>
      <c r="C27176" s="1" t="s">
        <v>9202</v>
      </c>
      <c r="D27176" s="1" t="s">
        <v>9203</v>
      </c>
    </row>
    <row r="27177">
      <c r="A27177" s="1" t="s">
        <v>41560</v>
      </c>
      <c r="B27177" s="2" t="s">
        <v>41561</v>
      </c>
      <c r="C27177" s="1" t="s">
        <v>9202</v>
      </c>
      <c r="D27177" s="1" t="s">
        <v>9203</v>
      </c>
    </row>
    <row r="27178">
      <c r="A27178" s="1" t="s">
        <v>41562</v>
      </c>
      <c r="B27178" s="2" t="s">
        <v>13730</v>
      </c>
      <c r="C27178" s="1" t="s">
        <v>9202</v>
      </c>
      <c r="D27178" s="1" t="s">
        <v>9203</v>
      </c>
    </row>
    <row r="27179">
      <c r="A27179" s="1" t="s">
        <v>41563</v>
      </c>
      <c r="B27179" s="2" t="s">
        <v>41564</v>
      </c>
      <c r="C27179" s="1" t="s">
        <v>9202</v>
      </c>
      <c r="D27179" s="1" t="s">
        <v>9203</v>
      </c>
    </row>
    <row r="27180">
      <c r="A27180" s="1" t="s">
        <v>41565</v>
      </c>
      <c r="B27180" s="2" t="s">
        <v>41566</v>
      </c>
      <c r="C27180" s="1" t="s">
        <v>9202</v>
      </c>
      <c r="D27180" s="1" t="s">
        <v>9203</v>
      </c>
    </row>
    <row r="27181">
      <c r="A27181" s="1" t="s">
        <v>41567</v>
      </c>
      <c r="B27181" s="2" t="s">
        <v>41568</v>
      </c>
      <c r="C27181" s="1" t="s">
        <v>9202</v>
      </c>
      <c r="D27181" s="1" t="s">
        <v>9203</v>
      </c>
    </row>
    <row r="27182">
      <c r="A27182" s="1" t="s">
        <v>41569</v>
      </c>
      <c r="B27182" s="2" t="s">
        <v>41570</v>
      </c>
      <c r="C27182" s="1" t="s">
        <v>9202</v>
      </c>
      <c r="D27182" s="1" t="s">
        <v>9203</v>
      </c>
    </row>
    <row r="27183">
      <c r="A27183" s="1" t="s">
        <v>41571</v>
      </c>
      <c r="B27183" s="2" t="s">
        <v>41572</v>
      </c>
      <c r="C27183" s="1" t="s">
        <v>9202</v>
      </c>
      <c r="D27183" s="1" t="s">
        <v>9203</v>
      </c>
    </row>
    <row r="27184">
      <c r="A27184" s="1" t="s">
        <v>41573</v>
      </c>
      <c r="B27184" s="2" t="s">
        <v>41574</v>
      </c>
      <c r="C27184" s="1" t="s">
        <v>9202</v>
      </c>
      <c r="D27184" s="1" t="s">
        <v>9203</v>
      </c>
    </row>
    <row r="27185">
      <c r="A27185" s="1" t="s">
        <v>41575</v>
      </c>
      <c r="B27185" s="2" t="s">
        <v>41576</v>
      </c>
      <c r="C27185" s="1" t="s">
        <v>9202</v>
      </c>
      <c r="D27185" s="1" t="s">
        <v>9203</v>
      </c>
    </row>
    <row r="27186">
      <c r="A27186" s="1" t="s">
        <v>41577</v>
      </c>
      <c r="B27186" s="2" t="s">
        <v>41578</v>
      </c>
      <c r="C27186" s="1" t="s">
        <v>9202</v>
      </c>
      <c r="D27186" s="1" t="s">
        <v>9203</v>
      </c>
    </row>
    <row r="27187">
      <c r="A27187" s="1" t="s">
        <v>41579</v>
      </c>
      <c r="B27187" s="2" t="s">
        <v>41580</v>
      </c>
      <c r="C27187" s="1" t="s">
        <v>9202</v>
      </c>
      <c r="D27187" s="1" t="s">
        <v>9203</v>
      </c>
    </row>
    <row r="27188">
      <c r="A27188" s="1" t="s">
        <v>41581</v>
      </c>
      <c r="B27188" s="2" t="s">
        <v>41582</v>
      </c>
      <c r="C27188" s="1" t="s">
        <v>9202</v>
      </c>
      <c r="D27188" s="1" t="s">
        <v>9203</v>
      </c>
    </row>
    <row r="27189">
      <c r="A27189" s="1" t="s">
        <v>41583</v>
      </c>
      <c r="B27189" s="2" t="s">
        <v>41584</v>
      </c>
      <c r="C27189" s="1" t="s">
        <v>9202</v>
      </c>
      <c r="D27189" s="1" t="s">
        <v>9203</v>
      </c>
    </row>
    <row r="27190">
      <c r="A27190" s="1" t="s">
        <v>41585</v>
      </c>
      <c r="B27190" s="2" t="s">
        <v>41586</v>
      </c>
      <c r="C27190" s="1" t="s">
        <v>9202</v>
      </c>
      <c r="D27190" s="1" t="s">
        <v>9203</v>
      </c>
    </row>
    <row r="27191">
      <c r="A27191" s="1" t="s">
        <v>41587</v>
      </c>
      <c r="B27191" s="2" t="s">
        <v>41588</v>
      </c>
      <c r="C27191" s="1" t="s">
        <v>9202</v>
      </c>
      <c r="D27191" s="1" t="s">
        <v>9203</v>
      </c>
    </row>
    <row r="27192">
      <c r="A27192" s="1" t="s">
        <v>41589</v>
      </c>
      <c r="B27192" s="2" t="s">
        <v>41590</v>
      </c>
      <c r="C27192" s="1" t="s">
        <v>9202</v>
      </c>
      <c r="D27192" s="1" t="s">
        <v>9203</v>
      </c>
    </row>
    <row r="27193">
      <c r="A27193" s="1" t="s">
        <v>9208</v>
      </c>
      <c r="B27193" s="2" t="s">
        <v>7</v>
      </c>
      <c r="C27193" s="1" t="s">
        <v>9210</v>
      </c>
      <c r="D27193" s="1" t="s">
        <v>9212</v>
      </c>
    </row>
    <row r="27194">
      <c r="A27194" s="1" t="s">
        <v>41591</v>
      </c>
      <c r="B27194" s="2" t="s">
        <v>13</v>
      </c>
      <c r="C27194" s="1" t="s">
        <v>9210</v>
      </c>
      <c r="D27194" s="1" t="s">
        <v>9212</v>
      </c>
    </row>
    <row r="27195">
      <c r="A27195" s="1" t="s">
        <v>41592</v>
      </c>
      <c r="B27195" s="2" t="s">
        <v>41593</v>
      </c>
      <c r="C27195" s="1" t="s">
        <v>9210</v>
      </c>
      <c r="D27195" s="1" t="s">
        <v>9212</v>
      </c>
    </row>
    <row r="27196">
      <c r="A27196" s="1" t="s">
        <v>41594</v>
      </c>
      <c r="B27196" s="2" t="s">
        <v>41595</v>
      </c>
      <c r="C27196" s="1" t="s">
        <v>9210</v>
      </c>
      <c r="D27196" s="1" t="s">
        <v>9212</v>
      </c>
    </row>
    <row r="27197">
      <c r="A27197" s="1" t="s">
        <v>41596</v>
      </c>
      <c r="B27197" s="2" t="s">
        <v>41597</v>
      </c>
      <c r="C27197" s="1" t="s">
        <v>9210</v>
      </c>
      <c r="D27197" s="1" t="s">
        <v>9212</v>
      </c>
    </row>
    <row r="27198">
      <c r="A27198" s="1" t="s">
        <v>41598</v>
      </c>
      <c r="B27198" s="2" t="s">
        <v>41599</v>
      </c>
      <c r="C27198" s="1" t="s">
        <v>9210</v>
      </c>
      <c r="D27198" s="1" t="s">
        <v>9212</v>
      </c>
    </row>
    <row r="27199">
      <c r="A27199" s="1" t="s">
        <v>41600</v>
      </c>
      <c r="B27199" s="2" t="s">
        <v>41601</v>
      </c>
      <c r="C27199" s="1" t="s">
        <v>9210</v>
      </c>
      <c r="D27199" s="1" t="s">
        <v>9212</v>
      </c>
    </row>
    <row r="27200">
      <c r="A27200" s="1" t="s">
        <v>41602</v>
      </c>
      <c r="B27200" s="2" t="s">
        <v>41603</v>
      </c>
      <c r="C27200" s="1" t="s">
        <v>9210</v>
      </c>
      <c r="D27200" s="1" t="s">
        <v>9212</v>
      </c>
    </row>
    <row r="27201">
      <c r="A27201" s="1" t="s">
        <v>41604</v>
      </c>
      <c r="B27201" s="2" t="s">
        <v>41605</v>
      </c>
      <c r="C27201" s="1" t="s">
        <v>9210</v>
      </c>
      <c r="D27201" s="1" t="s">
        <v>9212</v>
      </c>
    </row>
    <row r="27202">
      <c r="A27202" s="1" t="s">
        <v>41606</v>
      </c>
      <c r="B27202" s="2" t="s">
        <v>16202</v>
      </c>
      <c r="C27202" s="1" t="s">
        <v>9210</v>
      </c>
      <c r="D27202" s="1" t="s">
        <v>9212</v>
      </c>
    </row>
    <row r="27203">
      <c r="A27203" s="1" t="s">
        <v>41607</v>
      </c>
      <c r="B27203" s="2" t="s">
        <v>41608</v>
      </c>
      <c r="C27203" s="1" t="s">
        <v>9210</v>
      </c>
      <c r="D27203" s="1" t="s">
        <v>9212</v>
      </c>
    </row>
    <row r="27204">
      <c r="A27204" s="1" t="s">
        <v>41609</v>
      </c>
      <c r="B27204" s="2" t="s">
        <v>41610</v>
      </c>
      <c r="C27204" s="1" t="s">
        <v>9210</v>
      </c>
      <c r="D27204" s="1" t="s">
        <v>9212</v>
      </c>
    </row>
    <row r="27205">
      <c r="A27205" s="1" t="s">
        <v>41611</v>
      </c>
      <c r="B27205" s="2" t="s">
        <v>41612</v>
      </c>
      <c r="C27205" s="1" t="s">
        <v>9210</v>
      </c>
      <c r="D27205" s="1" t="s">
        <v>9212</v>
      </c>
    </row>
    <row r="27206">
      <c r="A27206" s="1" t="s">
        <v>41613</v>
      </c>
      <c r="B27206" s="2" t="s">
        <v>41614</v>
      </c>
      <c r="C27206" s="1" t="s">
        <v>9210</v>
      </c>
      <c r="D27206" s="1" t="s">
        <v>9212</v>
      </c>
    </row>
    <row r="27207">
      <c r="A27207" s="1" t="s">
        <v>41615</v>
      </c>
      <c r="B27207" s="2" t="s">
        <v>70</v>
      </c>
      <c r="C27207" s="1" t="s">
        <v>9210</v>
      </c>
      <c r="D27207" s="1" t="s">
        <v>9212</v>
      </c>
    </row>
    <row r="27208">
      <c r="A27208" s="1" t="s">
        <v>41616</v>
      </c>
      <c r="B27208" s="2" t="s">
        <v>41617</v>
      </c>
      <c r="C27208" s="1" t="s">
        <v>9210</v>
      </c>
      <c r="D27208" s="1" t="s">
        <v>9212</v>
      </c>
    </row>
    <row r="27209">
      <c r="A27209" s="1" t="s">
        <v>41618</v>
      </c>
      <c r="B27209" s="2" t="s">
        <v>41619</v>
      </c>
      <c r="C27209" s="1" t="s">
        <v>9210</v>
      </c>
      <c r="D27209" s="1" t="s">
        <v>9212</v>
      </c>
    </row>
    <row r="27210">
      <c r="A27210" s="1" t="s">
        <v>41620</v>
      </c>
      <c r="B27210" s="2" t="s">
        <v>41621</v>
      </c>
      <c r="C27210" s="1" t="s">
        <v>9210</v>
      </c>
      <c r="D27210" s="1" t="s">
        <v>9212</v>
      </c>
    </row>
    <row r="27211">
      <c r="A27211" s="1" t="s">
        <v>41622</v>
      </c>
      <c r="B27211" s="2" t="s">
        <v>41623</v>
      </c>
      <c r="C27211" s="1" t="s">
        <v>9210</v>
      </c>
      <c r="D27211" s="1" t="s">
        <v>9212</v>
      </c>
    </row>
    <row r="27212">
      <c r="A27212" s="1" t="s">
        <v>41624</v>
      </c>
      <c r="B27212" s="2" t="s">
        <v>41625</v>
      </c>
      <c r="C27212" s="1" t="s">
        <v>9210</v>
      </c>
      <c r="D27212" s="1" t="s">
        <v>9212</v>
      </c>
    </row>
    <row r="27213">
      <c r="A27213" s="1" t="s">
        <v>41626</v>
      </c>
      <c r="B27213" s="2" t="s">
        <v>41627</v>
      </c>
      <c r="C27213" s="1" t="s">
        <v>9210</v>
      </c>
      <c r="D27213" s="1" t="s">
        <v>9212</v>
      </c>
    </row>
    <row r="27214">
      <c r="A27214" s="1" t="s">
        <v>41628</v>
      </c>
      <c r="B27214" s="2" t="s">
        <v>41629</v>
      </c>
      <c r="C27214" s="1" t="s">
        <v>9210</v>
      </c>
      <c r="D27214" s="1" t="s">
        <v>9212</v>
      </c>
    </row>
    <row r="27215">
      <c r="A27215" s="1" t="s">
        <v>41630</v>
      </c>
      <c r="B27215" s="2" t="s">
        <v>16283</v>
      </c>
      <c r="C27215" s="1" t="s">
        <v>9210</v>
      </c>
      <c r="D27215" s="1" t="s">
        <v>9212</v>
      </c>
    </row>
    <row r="27216">
      <c r="A27216" s="1" t="s">
        <v>41631</v>
      </c>
      <c r="B27216" s="2" t="s">
        <v>41632</v>
      </c>
      <c r="C27216" s="1" t="s">
        <v>9210</v>
      </c>
      <c r="D27216" s="1" t="s">
        <v>9212</v>
      </c>
    </row>
    <row r="27217">
      <c r="A27217" s="1" t="s">
        <v>41633</v>
      </c>
      <c r="B27217" s="2" t="s">
        <v>41634</v>
      </c>
      <c r="C27217" s="1" t="s">
        <v>9210</v>
      </c>
      <c r="D27217" s="1" t="s">
        <v>9212</v>
      </c>
    </row>
    <row r="27218">
      <c r="A27218" s="1" t="s">
        <v>41635</v>
      </c>
      <c r="B27218" s="2" t="s">
        <v>41636</v>
      </c>
      <c r="C27218" s="1" t="s">
        <v>9210</v>
      </c>
      <c r="D27218" s="1" t="s">
        <v>9212</v>
      </c>
    </row>
    <row r="27219">
      <c r="A27219" s="1" t="s">
        <v>41637</v>
      </c>
      <c r="B27219" s="2" t="s">
        <v>41638</v>
      </c>
      <c r="C27219" s="1" t="s">
        <v>9210</v>
      </c>
      <c r="D27219" s="1" t="s">
        <v>9212</v>
      </c>
    </row>
    <row r="27220">
      <c r="A27220" s="1" t="s">
        <v>9218</v>
      </c>
      <c r="B27220" s="2" t="s">
        <v>7</v>
      </c>
      <c r="C27220" s="1" t="s">
        <v>9220</v>
      </c>
      <c r="D27220" s="1" t="s">
        <v>9222</v>
      </c>
    </row>
    <row r="27221">
      <c r="A27221" s="1" t="s">
        <v>41639</v>
      </c>
      <c r="B27221" s="2" t="s">
        <v>13</v>
      </c>
      <c r="C27221" s="1" t="s">
        <v>9220</v>
      </c>
      <c r="D27221" s="1" t="s">
        <v>9222</v>
      </c>
    </row>
    <row r="27222">
      <c r="A27222" s="1" t="s">
        <v>41640</v>
      </c>
      <c r="B27222" s="2" t="s">
        <v>41593</v>
      </c>
      <c r="C27222" s="1" t="s">
        <v>9220</v>
      </c>
      <c r="D27222" s="1" t="s">
        <v>9222</v>
      </c>
    </row>
    <row r="27223">
      <c r="A27223" s="1" t="s">
        <v>41641</v>
      </c>
      <c r="B27223" s="2" t="s">
        <v>41595</v>
      </c>
      <c r="C27223" s="1" t="s">
        <v>9220</v>
      </c>
      <c r="D27223" s="1" t="s">
        <v>9222</v>
      </c>
    </row>
    <row r="27224">
      <c r="A27224" s="1" t="s">
        <v>41642</v>
      </c>
      <c r="B27224" s="2" t="s">
        <v>41597</v>
      </c>
      <c r="C27224" s="1" t="s">
        <v>9220</v>
      </c>
      <c r="D27224" s="1" t="s">
        <v>9222</v>
      </c>
    </row>
    <row r="27225">
      <c r="A27225" s="1" t="s">
        <v>41643</v>
      </c>
      <c r="B27225" s="2" t="s">
        <v>41599</v>
      </c>
      <c r="C27225" s="1" t="s">
        <v>9220</v>
      </c>
      <c r="D27225" s="1" t="s">
        <v>9222</v>
      </c>
    </row>
    <row r="27226">
      <c r="A27226" s="1" t="s">
        <v>41644</v>
      </c>
      <c r="B27226" s="2" t="s">
        <v>41601</v>
      </c>
      <c r="C27226" s="1" t="s">
        <v>9220</v>
      </c>
      <c r="D27226" s="1" t="s">
        <v>9222</v>
      </c>
    </row>
    <row r="27227">
      <c r="A27227" s="1" t="s">
        <v>41645</v>
      </c>
      <c r="B27227" s="2" t="s">
        <v>41603</v>
      </c>
      <c r="C27227" s="1" t="s">
        <v>9220</v>
      </c>
      <c r="D27227" s="1" t="s">
        <v>9222</v>
      </c>
    </row>
    <row r="27228">
      <c r="A27228" s="1" t="s">
        <v>41646</v>
      </c>
      <c r="B27228" s="2" t="s">
        <v>41605</v>
      </c>
      <c r="C27228" s="1" t="s">
        <v>9220</v>
      </c>
      <c r="D27228" s="1" t="s">
        <v>9222</v>
      </c>
    </row>
    <row r="27229">
      <c r="A27229" s="1" t="s">
        <v>41647</v>
      </c>
      <c r="B27229" s="2" t="s">
        <v>16202</v>
      </c>
      <c r="C27229" s="1" t="s">
        <v>9220</v>
      </c>
      <c r="D27229" s="1" t="s">
        <v>9222</v>
      </c>
    </row>
    <row r="27230">
      <c r="A27230" s="1" t="s">
        <v>41648</v>
      </c>
      <c r="B27230" s="2" t="s">
        <v>41608</v>
      </c>
      <c r="C27230" s="1" t="s">
        <v>9220</v>
      </c>
      <c r="D27230" s="1" t="s">
        <v>9222</v>
      </c>
    </row>
    <row r="27231">
      <c r="A27231" s="1" t="s">
        <v>41649</v>
      </c>
      <c r="B27231" s="2" t="s">
        <v>41610</v>
      </c>
      <c r="C27231" s="1" t="s">
        <v>9220</v>
      </c>
      <c r="D27231" s="1" t="s">
        <v>9222</v>
      </c>
    </row>
    <row r="27232">
      <c r="A27232" s="1" t="s">
        <v>41650</v>
      </c>
      <c r="B27232" s="2" t="s">
        <v>41612</v>
      </c>
      <c r="C27232" s="1" t="s">
        <v>9220</v>
      </c>
      <c r="D27232" s="1" t="s">
        <v>9222</v>
      </c>
    </row>
    <row r="27233">
      <c r="A27233" s="1" t="s">
        <v>41651</v>
      </c>
      <c r="B27233" s="2" t="s">
        <v>41614</v>
      </c>
      <c r="C27233" s="1" t="s">
        <v>9220</v>
      </c>
      <c r="D27233" s="1" t="s">
        <v>9222</v>
      </c>
    </row>
    <row r="27234">
      <c r="A27234" s="1" t="s">
        <v>41652</v>
      </c>
      <c r="B27234" s="2" t="s">
        <v>70</v>
      </c>
      <c r="C27234" s="1" t="s">
        <v>9220</v>
      </c>
      <c r="D27234" s="1" t="s">
        <v>9222</v>
      </c>
    </row>
    <row r="27235">
      <c r="A27235" s="1" t="s">
        <v>41653</v>
      </c>
      <c r="B27235" s="2" t="s">
        <v>41617</v>
      </c>
      <c r="C27235" s="1" t="s">
        <v>9220</v>
      </c>
      <c r="D27235" s="1" t="s">
        <v>9222</v>
      </c>
    </row>
    <row r="27236">
      <c r="A27236" s="1" t="s">
        <v>41654</v>
      </c>
      <c r="B27236" s="2" t="s">
        <v>41619</v>
      </c>
      <c r="C27236" s="1" t="s">
        <v>9220</v>
      </c>
      <c r="D27236" s="1" t="s">
        <v>9222</v>
      </c>
    </row>
    <row r="27237">
      <c r="A27237" s="1" t="s">
        <v>41655</v>
      </c>
      <c r="B27237" s="2" t="s">
        <v>41621</v>
      </c>
      <c r="C27237" s="1" t="s">
        <v>9220</v>
      </c>
      <c r="D27237" s="1" t="s">
        <v>9222</v>
      </c>
    </row>
    <row r="27238">
      <c r="A27238" s="1" t="s">
        <v>41656</v>
      </c>
      <c r="B27238" s="2" t="s">
        <v>41623</v>
      </c>
      <c r="C27238" s="1" t="s">
        <v>9220</v>
      </c>
      <c r="D27238" s="1" t="s">
        <v>9222</v>
      </c>
    </row>
    <row r="27239">
      <c r="A27239" s="1" t="s">
        <v>41657</v>
      </c>
      <c r="B27239" s="2" t="s">
        <v>41625</v>
      </c>
      <c r="C27239" s="1" t="s">
        <v>9220</v>
      </c>
      <c r="D27239" s="1" t="s">
        <v>9222</v>
      </c>
    </row>
    <row r="27240">
      <c r="A27240" s="1" t="s">
        <v>41658</v>
      </c>
      <c r="B27240" s="2" t="s">
        <v>41627</v>
      </c>
      <c r="C27240" s="1" t="s">
        <v>9220</v>
      </c>
      <c r="D27240" s="1" t="s">
        <v>9222</v>
      </c>
    </row>
    <row r="27241">
      <c r="A27241" s="1" t="s">
        <v>41659</v>
      </c>
      <c r="B27241" s="2" t="s">
        <v>41629</v>
      </c>
      <c r="C27241" s="1" t="s">
        <v>9220</v>
      </c>
      <c r="D27241" s="1" t="s">
        <v>9222</v>
      </c>
    </row>
    <row r="27242">
      <c r="A27242" s="1" t="s">
        <v>41660</v>
      </c>
      <c r="B27242" s="2" t="s">
        <v>16283</v>
      </c>
      <c r="C27242" s="1" t="s">
        <v>9220</v>
      </c>
      <c r="D27242" s="1" t="s">
        <v>9222</v>
      </c>
    </row>
    <row r="27243">
      <c r="A27243" s="1" t="s">
        <v>41661</v>
      </c>
      <c r="B27243" s="2" t="s">
        <v>41632</v>
      </c>
      <c r="C27243" s="1" t="s">
        <v>9220</v>
      </c>
      <c r="D27243" s="1" t="s">
        <v>9222</v>
      </c>
    </row>
    <row r="27244">
      <c r="A27244" s="1" t="s">
        <v>41662</v>
      </c>
      <c r="B27244" s="2" t="s">
        <v>41634</v>
      </c>
      <c r="C27244" s="1" t="s">
        <v>9220</v>
      </c>
      <c r="D27244" s="1" t="s">
        <v>9222</v>
      </c>
    </row>
    <row r="27245">
      <c r="A27245" s="1" t="s">
        <v>41663</v>
      </c>
      <c r="B27245" s="2" t="s">
        <v>41636</v>
      </c>
      <c r="C27245" s="1" t="s">
        <v>9220</v>
      </c>
      <c r="D27245" s="1" t="s">
        <v>9222</v>
      </c>
    </row>
    <row r="27246">
      <c r="A27246" s="1" t="s">
        <v>41664</v>
      </c>
      <c r="B27246" s="2" t="s">
        <v>41638</v>
      </c>
      <c r="C27246" s="1" t="s">
        <v>9220</v>
      </c>
      <c r="D27246" s="1" t="s">
        <v>9222</v>
      </c>
    </row>
    <row r="27247">
      <c r="A27247" s="1" t="s">
        <v>9226</v>
      </c>
      <c r="B27247" s="2" t="s">
        <v>7</v>
      </c>
      <c r="C27247" s="1" t="s">
        <v>9228</v>
      </c>
      <c r="D27247" s="1" t="s">
        <v>9230</v>
      </c>
    </row>
    <row r="27248">
      <c r="A27248" s="1" t="s">
        <v>41665</v>
      </c>
      <c r="B27248" s="2" t="s">
        <v>13</v>
      </c>
      <c r="C27248" s="1" t="s">
        <v>9228</v>
      </c>
      <c r="D27248" s="1" t="s">
        <v>9230</v>
      </c>
    </row>
    <row r="27249">
      <c r="A27249" s="1" t="s">
        <v>41666</v>
      </c>
      <c r="B27249" s="2" t="s">
        <v>41593</v>
      </c>
      <c r="C27249" s="1" t="s">
        <v>9228</v>
      </c>
      <c r="D27249" s="1" t="s">
        <v>9230</v>
      </c>
    </row>
    <row r="27250">
      <c r="A27250" s="1" t="s">
        <v>41667</v>
      </c>
      <c r="B27250" s="2" t="s">
        <v>41595</v>
      </c>
      <c r="C27250" s="1" t="s">
        <v>9228</v>
      </c>
      <c r="D27250" s="1" t="s">
        <v>9230</v>
      </c>
    </row>
    <row r="27251">
      <c r="A27251" s="1" t="s">
        <v>41668</v>
      </c>
      <c r="B27251" s="2" t="s">
        <v>41597</v>
      </c>
      <c r="C27251" s="1" t="s">
        <v>9228</v>
      </c>
      <c r="D27251" s="1" t="s">
        <v>9230</v>
      </c>
    </row>
    <row r="27252">
      <c r="A27252" s="1" t="s">
        <v>41669</v>
      </c>
      <c r="B27252" s="2" t="s">
        <v>41599</v>
      </c>
      <c r="C27252" s="1" t="s">
        <v>9228</v>
      </c>
      <c r="D27252" s="1" t="s">
        <v>9230</v>
      </c>
    </row>
    <row r="27253">
      <c r="A27253" s="1" t="s">
        <v>41670</v>
      </c>
      <c r="B27253" s="2" t="s">
        <v>41601</v>
      </c>
      <c r="C27253" s="1" t="s">
        <v>9228</v>
      </c>
      <c r="D27253" s="1" t="s">
        <v>9230</v>
      </c>
    </row>
    <row r="27254">
      <c r="A27254" s="1" t="s">
        <v>41671</v>
      </c>
      <c r="B27254" s="2" t="s">
        <v>41603</v>
      </c>
      <c r="C27254" s="1" t="s">
        <v>9228</v>
      </c>
      <c r="D27254" s="1" t="s">
        <v>9230</v>
      </c>
    </row>
    <row r="27255">
      <c r="A27255" s="1" t="s">
        <v>41672</v>
      </c>
      <c r="B27255" s="2" t="s">
        <v>41605</v>
      </c>
      <c r="C27255" s="1" t="s">
        <v>9228</v>
      </c>
      <c r="D27255" s="1" t="s">
        <v>9230</v>
      </c>
    </row>
    <row r="27256">
      <c r="A27256" s="1" t="s">
        <v>41673</v>
      </c>
      <c r="B27256" s="2" t="s">
        <v>16202</v>
      </c>
      <c r="C27256" s="1" t="s">
        <v>9228</v>
      </c>
      <c r="D27256" s="1" t="s">
        <v>9230</v>
      </c>
    </row>
    <row r="27257">
      <c r="A27257" s="1" t="s">
        <v>41674</v>
      </c>
      <c r="B27257" s="2" t="s">
        <v>41608</v>
      </c>
      <c r="C27257" s="1" t="s">
        <v>9228</v>
      </c>
      <c r="D27257" s="1" t="s">
        <v>9230</v>
      </c>
    </row>
    <row r="27258">
      <c r="A27258" s="1" t="s">
        <v>41675</v>
      </c>
      <c r="B27258" s="2" t="s">
        <v>41610</v>
      </c>
      <c r="C27258" s="1" t="s">
        <v>9228</v>
      </c>
      <c r="D27258" s="1" t="s">
        <v>9230</v>
      </c>
    </row>
    <row r="27259">
      <c r="A27259" s="1" t="s">
        <v>41676</v>
      </c>
      <c r="B27259" s="2" t="s">
        <v>41612</v>
      </c>
      <c r="C27259" s="1" t="s">
        <v>9228</v>
      </c>
      <c r="D27259" s="1" t="s">
        <v>9230</v>
      </c>
    </row>
    <row r="27260">
      <c r="A27260" s="1" t="s">
        <v>41677</v>
      </c>
      <c r="B27260" s="2" t="s">
        <v>41614</v>
      </c>
      <c r="C27260" s="1" t="s">
        <v>9228</v>
      </c>
      <c r="D27260" s="1" t="s">
        <v>9230</v>
      </c>
    </row>
    <row r="27261">
      <c r="A27261" s="1" t="s">
        <v>41678</v>
      </c>
      <c r="B27261" s="2" t="s">
        <v>70</v>
      </c>
      <c r="C27261" s="1" t="s">
        <v>9228</v>
      </c>
      <c r="D27261" s="1" t="s">
        <v>9230</v>
      </c>
    </row>
    <row r="27262">
      <c r="A27262" s="1" t="s">
        <v>41679</v>
      </c>
      <c r="B27262" s="2" t="s">
        <v>41617</v>
      </c>
      <c r="C27262" s="1" t="s">
        <v>9228</v>
      </c>
      <c r="D27262" s="1" t="s">
        <v>9230</v>
      </c>
    </row>
    <row r="27263">
      <c r="A27263" s="1" t="s">
        <v>41680</v>
      </c>
      <c r="B27263" s="2" t="s">
        <v>41619</v>
      </c>
      <c r="C27263" s="1" t="s">
        <v>9228</v>
      </c>
      <c r="D27263" s="1" t="s">
        <v>9230</v>
      </c>
    </row>
    <row r="27264">
      <c r="A27264" s="1" t="s">
        <v>41681</v>
      </c>
      <c r="B27264" s="2" t="s">
        <v>41621</v>
      </c>
      <c r="C27264" s="1" t="s">
        <v>9228</v>
      </c>
      <c r="D27264" s="1" t="s">
        <v>9230</v>
      </c>
    </row>
    <row r="27265">
      <c r="A27265" s="1" t="s">
        <v>41682</v>
      </c>
      <c r="B27265" s="2" t="s">
        <v>41623</v>
      </c>
      <c r="C27265" s="1" t="s">
        <v>9228</v>
      </c>
      <c r="D27265" s="1" t="s">
        <v>9230</v>
      </c>
    </row>
    <row r="27266">
      <c r="A27266" s="1" t="s">
        <v>41683</v>
      </c>
      <c r="B27266" s="2" t="s">
        <v>41625</v>
      </c>
      <c r="C27266" s="1" t="s">
        <v>9228</v>
      </c>
      <c r="D27266" s="1" t="s">
        <v>9230</v>
      </c>
    </row>
    <row r="27267">
      <c r="A27267" s="1" t="s">
        <v>41684</v>
      </c>
      <c r="B27267" s="2" t="s">
        <v>41627</v>
      </c>
      <c r="C27267" s="1" t="s">
        <v>9228</v>
      </c>
      <c r="D27267" s="1" t="s">
        <v>9230</v>
      </c>
    </row>
    <row r="27268">
      <c r="A27268" s="1" t="s">
        <v>41685</v>
      </c>
      <c r="B27268" s="2" t="s">
        <v>41629</v>
      </c>
      <c r="C27268" s="1" t="s">
        <v>9228</v>
      </c>
      <c r="D27268" s="1" t="s">
        <v>9230</v>
      </c>
    </row>
    <row r="27269">
      <c r="A27269" s="1" t="s">
        <v>41686</v>
      </c>
      <c r="B27269" s="2" t="s">
        <v>16283</v>
      </c>
      <c r="C27269" s="1" t="s">
        <v>9228</v>
      </c>
      <c r="D27269" s="1" t="s">
        <v>9230</v>
      </c>
    </row>
    <row r="27270">
      <c r="A27270" s="1" t="s">
        <v>41687</v>
      </c>
      <c r="B27270" s="2" t="s">
        <v>41632</v>
      </c>
      <c r="C27270" s="1" t="s">
        <v>9228</v>
      </c>
      <c r="D27270" s="1" t="s">
        <v>9230</v>
      </c>
    </row>
    <row r="27271">
      <c r="A27271" s="1" t="s">
        <v>41688</v>
      </c>
      <c r="B27271" s="2" t="s">
        <v>41634</v>
      </c>
      <c r="C27271" s="1" t="s">
        <v>9228</v>
      </c>
      <c r="D27271" s="1" t="s">
        <v>9230</v>
      </c>
    </row>
    <row r="27272">
      <c r="A27272" s="1" t="s">
        <v>41689</v>
      </c>
      <c r="B27272" s="2" t="s">
        <v>41636</v>
      </c>
      <c r="C27272" s="1" t="s">
        <v>9228</v>
      </c>
      <c r="D27272" s="1" t="s">
        <v>9230</v>
      </c>
    </row>
    <row r="27273">
      <c r="A27273" s="1" t="s">
        <v>41690</v>
      </c>
      <c r="B27273" s="2" t="s">
        <v>41638</v>
      </c>
      <c r="C27273" s="1" t="s">
        <v>9228</v>
      </c>
      <c r="D27273" s="1" t="s">
        <v>9230</v>
      </c>
    </row>
    <row r="27274">
      <c r="A27274" s="1" t="s">
        <v>9235</v>
      </c>
      <c r="B27274" s="2" t="s">
        <v>7</v>
      </c>
      <c r="C27274" s="1" t="s">
        <v>9237</v>
      </c>
      <c r="D27274" s="1" t="s">
        <v>9238</v>
      </c>
    </row>
    <row r="27275">
      <c r="A27275" s="1" t="s">
        <v>41691</v>
      </c>
      <c r="B27275" s="2" t="s">
        <v>13</v>
      </c>
      <c r="C27275" s="1" t="s">
        <v>9237</v>
      </c>
      <c r="D27275" s="1" t="s">
        <v>9238</v>
      </c>
    </row>
    <row r="27276">
      <c r="A27276" s="1" t="s">
        <v>41692</v>
      </c>
      <c r="B27276" s="2" t="s">
        <v>41593</v>
      </c>
      <c r="C27276" s="1" t="s">
        <v>9237</v>
      </c>
      <c r="D27276" s="1" t="s">
        <v>9238</v>
      </c>
    </row>
    <row r="27277">
      <c r="A27277" s="1" t="s">
        <v>41693</v>
      </c>
      <c r="B27277" s="2" t="s">
        <v>41595</v>
      </c>
      <c r="C27277" s="1" t="s">
        <v>9237</v>
      </c>
      <c r="D27277" s="1" t="s">
        <v>9238</v>
      </c>
    </row>
    <row r="27278">
      <c r="A27278" s="1" t="s">
        <v>41694</v>
      </c>
      <c r="B27278" s="2" t="s">
        <v>41597</v>
      </c>
      <c r="C27278" s="1" t="s">
        <v>9237</v>
      </c>
      <c r="D27278" s="1" t="s">
        <v>9238</v>
      </c>
    </row>
    <row r="27279">
      <c r="A27279" s="1" t="s">
        <v>41695</v>
      </c>
      <c r="B27279" s="2" t="s">
        <v>41599</v>
      </c>
      <c r="C27279" s="1" t="s">
        <v>9237</v>
      </c>
      <c r="D27279" s="1" t="s">
        <v>9238</v>
      </c>
    </row>
    <row r="27280">
      <c r="A27280" s="1" t="s">
        <v>41696</v>
      </c>
      <c r="B27280" s="2" t="s">
        <v>41601</v>
      </c>
      <c r="C27280" s="1" t="s">
        <v>9237</v>
      </c>
      <c r="D27280" s="1" t="s">
        <v>9238</v>
      </c>
    </row>
    <row r="27281">
      <c r="A27281" s="1" t="s">
        <v>41697</v>
      </c>
      <c r="B27281" s="2" t="s">
        <v>41603</v>
      </c>
      <c r="C27281" s="1" t="s">
        <v>9237</v>
      </c>
      <c r="D27281" s="1" t="s">
        <v>9238</v>
      </c>
    </row>
    <row r="27282">
      <c r="A27282" s="1" t="s">
        <v>41698</v>
      </c>
      <c r="B27282" s="2" t="s">
        <v>41605</v>
      </c>
      <c r="C27282" s="1" t="s">
        <v>9237</v>
      </c>
      <c r="D27282" s="1" t="s">
        <v>9238</v>
      </c>
    </row>
    <row r="27283">
      <c r="A27283" s="1" t="s">
        <v>41699</v>
      </c>
      <c r="B27283" s="2" t="s">
        <v>16202</v>
      </c>
      <c r="C27283" s="1" t="s">
        <v>9237</v>
      </c>
      <c r="D27283" s="1" t="s">
        <v>9238</v>
      </c>
    </row>
    <row r="27284">
      <c r="A27284" s="1" t="s">
        <v>41700</v>
      </c>
      <c r="B27284" s="2" t="s">
        <v>41608</v>
      </c>
      <c r="C27284" s="1" t="s">
        <v>9237</v>
      </c>
      <c r="D27284" s="1" t="s">
        <v>9238</v>
      </c>
    </row>
    <row r="27285">
      <c r="A27285" s="1" t="s">
        <v>41701</v>
      </c>
      <c r="B27285" s="2" t="s">
        <v>41610</v>
      </c>
      <c r="C27285" s="1" t="s">
        <v>9237</v>
      </c>
      <c r="D27285" s="1" t="s">
        <v>9238</v>
      </c>
    </row>
    <row r="27286">
      <c r="A27286" s="1" t="s">
        <v>41702</v>
      </c>
      <c r="B27286" s="2" t="s">
        <v>41612</v>
      </c>
      <c r="C27286" s="1" t="s">
        <v>9237</v>
      </c>
      <c r="D27286" s="1" t="s">
        <v>9238</v>
      </c>
    </row>
    <row r="27287">
      <c r="A27287" s="1" t="s">
        <v>41703</v>
      </c>
      <c r="B27287" s="2" t="s">
        <v>41614</v>
      </c>
      <c r="C27287" s="1" t="s">
        <v>9237</v>
      </c>
      <c r="D27287" s="1" t="s">
        <v>9238</v>
      </c>
    </row>
    <row r="27288">
      <c r="A27288" s="1" t="s">
        <v>41704</v>
      </c>
      <c r="B27288" s="2" t="s">
        <v>70</v>
      </c>
      <c r="C27288" s="1" t="s">
        <v>9237</v>
      </c>
      <c r="D27288" s="1" t="s">
        <v>9238</v>
      </c>
    </row>
    <row r="27289">
      <c r="A27289" s="1" t="s">
        <v>41705</v>
      </c>
      <c r="B27289" s="2" t="s">
        <v>41617</v>
      </c>
      <c r="C27289" s="1" t="s">
        <v>9237</v>
      </c>
      <c r="D27289" s="1" t="s">
        <v>9238</v>
      </c>
    </row>
    <row r="27290">
      <c r="A27290" s="1" t="s">
        <v>41706</v>
      </c>
      <c r="B27290" s="2" t="s">
        <v>41619</v>
      </c>
      <c r="C27290" s="1" t="s">
        <v>9237</v>
      </c>
      <c r="D27290" s="1" t="s">
        <v>9238</v>
      </c>
    </row>
    <row r="27291">
      <c r="A27291" s="1" t="s">
        <v>41707</v>
      </c>
      <c r="B27291" s="2" t="s">
        <v>41621</v>
      </c>
      <c r="C27291" s="1" t="s">
        <v>9237</v>
      </c>
      <c r="D27291" s="1" t="s">
        <v>9238</v>
      </c>
    </row>
    <row r="27292">
      <c r="A27292" s="1" t="s">
        <v>41708</v>
      </c>
      <c r="B27292" s="2" t="s">
        <v>41623</v>
      </c>
      <c r="C27292" s="1" t="s">
        <v>9237</v>
      </c>
      <c r="D27292" s="1" t="s">
        <v>9238</v>
      </c>
    </row>
    <row r="27293">
      <c r="A27293" s="1" t="s">
        <v>41709</v>
      </c>
      <c r="B27293" s="2" t="s">
        <v>41625</v>
      </c>
      <c r="C27293" s="1" t="s">
        <v>9237</v>
      </c>
      <c r="D27293" s="1" t="s">
        <v>9238</v>
      </c>
    </row>
    <row r="27294">
      <c r="A27294" s="1" t="s">
        <v>41710</v>
      </c>
      <c r="B27294" s="2" t="s">
        <v>41627</v>
      </c>
      <c r="C27294" s="1" t="s">
        <v>9237</v>
      </c>
      <c r="D27294" s="1" t="s">
        <v>9238</v>
      </c>
    </row>
    <row r="27295">
      <c r="A27295" s="1" t="s">
        <v>41711</v>
      </c>
      <c r="B27295" s="2" t="s">
        <v>41629</v>
      </c>
      <c r="C27295" s="1" t="s">
        <v>9237</v>
      </c>
      <c r="D27295" s="1" t="s">
        <v>9238</v>
      </c>
    </row>
    <row r="27296">
      <c r="A27296" s="1" t="s">
        <v>41712</v>
      </c>
      <c r="B27296" s="2" t="s">
        <v>16283</v>
      </c>
      <c r="C27296" s="1" t="s">
        <v>9237</v>
      </c>
      <c r="D27296" s="1" t="s">
        <v>9238</v>
      </c>
    </row>
    <row r="27297">
      <c r="A27297" s="1" t="s">
        <v>41713</v>
      </c>
      <c r="B27297" s="2" t="s">
        <v>41632</v>
      </c>
      <c r="C27297" s="1" t="s">
        <v>9237</v>
      </c>
      <c r="D27297" s="1" t="s">
        <v>9238</v>
      </c>
    </row>
    <row r="27298">
      <c r="A27298" s="1" t="s">
        <v>41714</v>
      </c>
      <c r="B27298" s="2" t="s">
        <v>41634</v>
      </c>
      <c r="C27298" s="1" t="s">
        <v>9237</v>
      </c>
      <c r="D27298" s="1" t="s">
        <v>9238</v>
      </c>
    </row>
    <row r="27299">
      <c r="A27299" s="1" t="s">
        <v>41715</v>
      </c>
      <c r="B27299" s="2" t="s">
        <v>41636</v>
      </c>
      <c r="C27299" s="1" t="s">
        <v>9237</v>
      </c>
      <c r="D27299" s="1" t="s">
        <v>9238</v>
      </c>
    </row>
    <row r="27300">
      <c r="A27300" s="1" t="s">
        <v>41716</v>
      </c>
      <c r="B27300" s="2" t="s">
        <v>41638</v>
      </c>
      <c r="C27300" s="1" t="s">
        <v>9237</v>
      </c>
      <c r="D27300" s="1" t="s">
        <v>9238</v>
      </c>
    </row>
    <row r="27301">
      <c r="A27301" s="1" t="s">
        <v>9247</v>
      </c>
      <c r="B27301" s="2" t="s">
        <v>7</v>
      </c>
      <c r="C27301" s="1" t="s">
        <v>9249</v>
      </c>
      <c r="D27301" s="1" t="s">
        <v>9251</v>
      </c>
    </row>
    <row r="27302">
      <c r="A27302" s="1" t="s">
        <v>41717</v>
      </c>
      <c r="B27302" s="2" t="s">
        <v>13</v>
      </c>
      <c r="C27302" s="1" t="s">
        <v>9249</v>
      </c>
      <c r="D27302" s="1" t="s">
        <v>9251</v>
      </c>
    </row>
    <row r="27303">
      <c r="A27303" s="1" t="s">
        <v>41718</v>
      </c>
      <c r="B27303" s="2" t="s">
        <v>41593</v>
      </c>
      <c r="C27303" s="1" t="s">
        <v>9249</v>
      </c>
      <c r="D27303" s="1" t="s">
        <v>9251</v>
      </c>
    </row>
    <row r="27304">
      <c r="A27304" s="1" t="s">
        <v>41719</v>
      </c>
      <c r="B27304" s="2" t="s">
        <v>41595</v>
      </c>
      <c r="C27304" s="1" t="s">
        <v>9249</v>
      </c>
      <c r="D27304" s="1" t="s">
        <v>9251</v>
      </c>
    </row>
    <row r="27305">
      <c r="A27305" s="1" t="s">
        <v>41720</v>
      </c>
      <c r="B27305" s="2" t="s">
        <v>41597</v>
      </c>
      <c r="C27305" s="1" t="s">
        <v>9249</v>
      </c>
      <c r="D27305" s="1" t="s">
        <v>9251</v>
      </c>
    </row>
    <row r="27306">
      <c r="A27306" s="1" t="s">
        <v>41721</v>
      </c>
      <c r="B27306" s="2" t="s">
        <v>41599</v>
      </c>
      <c r="C27306" s="1" t="s">
        <v>9249</v>
      </c>
      <c r="D27306" s="1" t="s">
        <v>9251</v>
      </c>
    </row>
    <row r="27307">
      <c r="A27307" s="1" t="s">
        <v>41722</v>
      </c>
      <c r="B27307" s="2" t="s">
        <v>41601</v>
      </c>
      <c r="C27307" s="1" t="s">
        <v>9249</v>
      </c>
      <c r="D27307" s="1" t="s">
        <v>9251</v>
      </c>
    </row>
    <row r="27308">
      <c r="A27308" s="1" t="s">
        <v>41723</v>
      </c>
      <c r="B27308" s="2" t="s">
        <v>41603</v>
      </c>
      <c r="C27308" s="1" t="s">
        <v>9249</v>
      </c>
      <c r="D27308" s="1" t="s">
        <v>9251</v>
      </c>
    </row>
    <row r="27309">
      <c r="A27309" s="1" t="s">
        <v>41724</v>
      </c>
      <c r="B27309" s="2" t="s">
        <v>41605</v>
      </c>
      <c r="C27309" s="1" t="s">
        <v>9249</v>
      </c>
      <c r="D27309" s="1" t="s">
        <v>9251</v>
      </c>
    </row>
    <row r="27310">
      <c r="A27310" s="1" t="s">
        <v>41725</v>
      </c>
      <c r="B27310" s="2" t="s">
        <v>16202</v>
      </c>
      <c r="C27310" s="1" t="s">
        <v>9249</v>
      </c>
      <c r="D27310" s="1" t="s">
        <v>9251</v>
      </c>
    </row>
    <row r="27311">
      <c r="A27311" s="1" t="s">
        <v>41726</v>
      </c>
      <c r="B27311" s="2" t="s">
        <v>41608</v>
      </c>
      <c r="C27311" s="1" t="s">
        <v>9249</v>
      </c>
      <c r="D27311" s="1" t="s">
        <v>9251</v>
      </c>
    </row>
    <row r="27312">
      <c r="A27312" s="1" t="s">
        <v>41727</v>
      </c>
      <c r="B27312" s="2" t="s">
        <v>41610</v>
      </c>
      <c r="C27312" s="1" t="s">
        <v>9249</v>
      </c>
      <c r="D27312" s="1" t="s">
        <v>9251</v>
      </c>
    </row>
    <row r="27313">
      <c r="A27313" s="1" t="s">
        <v>41728</v>
      </c>
      <c r="B27313" s="2" t="s">
        <v>41612</v>
      </c>
      <c r="C27313" s="1" t="s">
        <v>9249</v>
      </c>
      <c r="D27313" s="1" t="s">
        <v>9251</v>
      </c>
    </row>
    <row r="27314">
      <c r="A27314" s="1" t="s">
        <v>41729</v>
      </c>
      <c r="B27314" s="2" t="s">
        <v>41614</v>
      </c>
      <c r="C27314" s="1" t="s">
        <v>9249</v>
      </c>
      <c r="D27314" s="1" t="s">
        <v>9251</v>
      </c>
    </row>
    <row r="27315">
      <c r="A27315" s="1" t="s">
        <v>41730</v>
      </c>
      <c r="B27315" s="2" t="s">
        <v>70</v>
      </c>
      <c r="C27315" s="1" t="s">
        <v>9249</v>
      </c>
      <c r="D27315" s="1" t="s">
        <v>9251</v>
      </c>
    </row>
    <row r="27316">
      <c r="A27316" s="1" t="s">
        <v>41731</v>
      </c>
      <c r="B27316" s="2" t="s">
        <v>41617</v>
      </c>
      <c r="C27316" s="1" t="s">
        <v>9249</v>
      </c>
      <c r="D27316" s="1" t="s">
        <v>9251</v>
      </c>
    </row>
    <row r="27317">
      <c r="A27317" s="1" t="s">
        <v>41732</v>
      </c>
      <c r="B27317" s="2" t="s">
        <v>41619</v>
      </c>
      <c r="C27317" s="1" t="s">
        <v>9249</v>
      </c>
      <c r="D27317" s="1" t="s">
        <v>9251</v>
      </c>
    </row>
    <row r="27318">
      <c r="A27318" s="1" t="s">
        <v>41733</v>
      </c>
      <c r="B27318" s="2" t="s">
        <v>41621</v>
      </c>
      <c r="C27318" s="1" t="s">
        <v>9249</v>
      </c>
      <c r="D27318" s="1" t="s">
        <v>9251</v>
      </c>
    </row>
    <row r="27319">
      <c r="A27319" s="1" t="s">
        <v>41734</v>
      </c>
      <c r="B27319" s="2" t="s">
        <v>41623</v>
      </c>
      <c r="C27319" s="1" t="s">
        <v>9249</v>
      </c>
      <c r="D27319" s="1" t="s">
        <v>9251</v>
      </c>
    </row>
    <row r="27320">
      <c r="A27320" s="1" t="s">
        <v>41735</v>
      </c>
      <c r="B27320" s="2" t="s">
        <v>41625</v>
      </c>
      <c r="C27320" s="1" t="s">
        <v>9249</v>
      </c>
      <c r="D27320" s="1" t="s">
        <v>9251</v>
      </c>
    </row>
    <row r="27321">
      <c r="A27321" s="1" t="s">
        <v>41736</v>
      </c>
      <c r="B27321" s="2" t="s">
        <v>41627</v>
      </c>
      <c r="C27321" s="1" t="s">
        <v>9249</v>
      </c>
      <c r="D27321" s="1" t="s">
        <v>9251</v>
      </c>
    </row>
    <row r="27322">
      <c r="A27322" s="1" t="s">
        <v>41737</v>
      </c>
      <c r="B27322" s="2" t="s">
        <v>41629</v>
      </c>
      <c r="C27322" s="1" t="s">
        <v>9249</v>
      </c>
      <c r="D27322" s="1" t="s">
        <v>9251</v>
      </c>
    </row>
    <row r="27323">
      <c r="A27323" s="1" t="s">
        <v>41738</v>
      </c>
      <c r="B27323" s="2" t="s">
        <v>16283</v>
      </c>
      <c r="C27323" s="1" t="s">
        <v>9249</v>
      </c>
      <c r="D27323" s="1" t="s">
        <v>9251</v>
      </c>
    </row>
    <row r="27324">
      <c r="A27324" s="1" t="s">
        <v>41739</v>
      </c>
      <c r="B27324" s="2" t="s">
        <v>41632</v>
      </c>
      <c r="C27324" s="1" t="s">
        <v>9249</v>
      </c>
      <c r="D27324" s="1" t="s">
        <v>9251</v>
      </c>
    </row>
    <row r="27325">
      <c r="A27325" s="1" t="s">
        <v>41740</v>
      </c>
      <c r="B27325" s="2" t="s">
        <v>41634</v>
      </c>
      <c r="C27325" s="1" t="s">
        <v>9249</v>
      </c>
      <c r="D27325" s="1" t="s">
        <v>9251</v>
      </c>
    </row>
    <row r="27326">
      <c r="A27326" s="1" t="s">
        <v>41741</v>
      </c>
      <c r="B27326" s="2" t="s">
        <v>41636</v>
      </c>
      <c r="C27326" s="1" t="s">
        <v>9249</v>
      </c>
      <c r="D27326" s="1" t="s">
        <v>9251</v>
      </c>
    </row>
    <row r="27327">
      <c r="A27327" s="1" t="s">
        <v>41742</v>
      </c>
      <c r="B27327" s="2" t="s">
        <v>41638</v>
      </c>
      <c r="C27327" s="1" t="s">
        <v>9249</v>
      </c>
      <c r="D27327" s="1" t="s">
        <v>9251</v>
      </c>
    </row>
    <row r="27328">
      <c r="A27328" s="1" t="s">
        <v>9256</v>
      </c>
      <c r="B27328" s="2" t="s">
        <v>7</v>
      </c>
      <c r="C27328" s="1" t="s">
        <v>9258</v>
      </c>
      <c r="D27328" s="1" t="s">
        <v>9260</v>
      </c>
    </row>
    <row r="27329">
      <c r="A27329" s="1" t="s">
        <v>41743</v>
      </c>
      <c r="B27329" s="2" t="s">
        <v>13</v>
      </c>
      <c r="C27329" s="1" t="s">
        <v>9258</v>
      </c>
      <c r="D27329" s="1" t="s">
        <v>9260</v>
      </c>
    </row>
    <row r="27330">
      <c r="A27330" s="1" t="s">
        <v>41744</v>
      </c>
      <c r="B27330" s="2" t="s">
        <v>41593</v>
      </c>
      <c r="C27330" s="1" t="s">
        <v>9258</v>
      </c>
      <c r="D27330" s="1" t="s">
        <v>9260</v>
      </c>
    </row>
    <row r="27331">
      <c r="A27331" s="1" t="s">
        <v>41745</v>
      </c>
      <c r="B27331" s="2" t="s">
        <v>41595</v>
      </c>
      <c r="C27331" s="1" t="s">
        <v>9258</v>
      </c>
      <c r="D27331" s="1" t="s">
        <v>9260</v>
      </c>
    </row>
    <row r="27332">
      <c r="A27332" s="1" t="s">
        <v>41746</v>
      </c>
      <c r="B27332" s="2" t="s">
        <v>41597</v>
      </c>
      <c r="C27332" s="1" t="s">
        <v>9258</v>
      </c>
      <c r="D27332" s="1" t="s">
        <v>9260</v>
      </c>
    </row>
    <row r="27333">
      <c r="A27333" s="1" t="s">
        <v>41747</v>
      </c>
      <c r="B27333" s="2" t="s">
        <v>41599</v>
      </c>
      <c r="C27333" s="1" t="s">
        <v>9258</v>
      </c>
      <c r="D27333" s="1" t="s">
        <v>9260</v>
      </c>
    </row>
    <row r="27334">
      <c r="A27334" s="1" t="s">
        <v>41748</v>
      </c>
      <c r="B27334" s="2" t="s">
        <v>41601</v>
      </c>
      <c r="C27334" s="1" t="s">
        <v>9258</v>
      </c>
      <c r="D27334" s="1" t="s">
        <v>9260</v>
      </c>
    </row>
    <row r="27335">
      <c r="A27335" s="1" t="s">
        <v>41749</v>
      </c>
      <c r="B27335" s="2" t="s">
        <v>41603</v>
      </c>
      <c r="C27335" s="1" t="s">
        <v>9258</v>
      </c>
      <c r="D27335" s="1" t="s">
        <v>9260</v>
      </c>
    </row>
    <row r="27336">
      <c r="A27336" s="1" t="s">
        <v>41750</v>
      </c>
      <c r="B27336" s="2" t="s">
        <v>41605</v>
      </c>
      <c r="C27336" s="1" t="s">
        <v>9258</v>
      </c>
      <c r="D27336" s="1" t="s">
        <v>9260</v>
      </c>
    </row>
    <row r="27337">
      <c r="A27337" s="1" t="s">
        <v>41751</v>
      </c>
      <c r="B27337" s="2" t="s">
        <v>16202</v>
      </c>
      <c r="C27337" s="1" t="s">
        <v>9258</v>
      </c>
      <c r="D27337" s="1" t="s">
        <v>9260</v>
      </c>
    </row>
    <row r="27338">
      <c r="A27338" s="1" t="s">
        <v>41752</v>
      </c>
      <c r="B27338" s="2" t="s">
        <v>41608</v>
      </c>
      <c r="C27338" s="1" t="s">
        <v>9258</v>
      </c>
      <c r="D27338" s="1" t="s">
        <v>9260</v>
      </c>
    </row>
    <row r="27339">
      <c r="A27339" s="1" t="s">
        <v>41753</v>
      </c>
      <c r="B27339" s="2" t="s">
        <v>41610</v>
      </c>
      <c r="C27339" s="1" t="s">
        <v>9258</v>
      </c>
      <c r="D27339" s="1" t="s">
        <v>9260</v>
      </c>
    </row>
    <row r="27340">
      <c r="A27340" s="1" t="s">
        <v>41754</v>
      </c>
      <c r="B27340" s="2" t="s">
        <v>41612</v>
      </c>
      <c r="C27340" s="1" t="s">
        <v>9258</v>
      </c>
      <c r="D27340" s="1" t="s">
        <v>9260</v>
      </c>
    </row>
    <row r="27341">
      <c r="A27341" s="1" t="s">
        <v>41755</v>
      </c>
      <c r="B27341" s="2" t="s">
        <v>41614</v>
      </c>
      <c r="C27341" s="1" t="s">
        <v>9258</v>
      </c>
      <c r="D27341" s="1" t="s">
        <v>9260</v>
      </c>
    </row>
    <row r="27342">
      <c r="A27342" s="1" t="s">
        <v>41756</v>
      </c>
      <c r="B27342" s="2" t="s">
        <v>70</v>
      </c>
      <c r="C27342" s="1" t="s">
        <v>9258</v>
      </c>
      <c r="D27342" s="1" t="s">
        <v>9260</v>
      </c>
    </row>
    <row r="27343">
      <c r="A27343" s="1" t="s">
        <v>41757</v>
      </c>
      <c r="B27343" s="2" t="s">
        <v>41617</v>
      </c>
      <c r="C27343" s="1" t="s">
        <v>9258</v>
      </c>
      <c r="D27343" s="1" t="s">
        <v>9260</v>
      </c>
    </row>
    <row r="27344">
      <c r="A27344" s="1" t="s">
        <v>41758</v>
      </c>
      <c r="B27344" s="2" t="s">
        <v>41619</v>
      </c>
      <c r="C27344" s="1" t="s">
        <v>9258</v>
      </c>
      <c r="D27344" s="1" t="s">
        <v>9260</v>
      </c>
    </row>
    <row r="27345">
      <c r="A27345" s="1" t="s">
        <v>41759</v>
      </c>
      <c r="B27345" s="2" t="s">
        <v>41621</v>
      </c>
      <c r="C27345" s="1" t="s">
        <v>9258</v>
      </c>
      <c r="D27345" s="1" t="s">
        <v>9260</v>
      </c>
    </row>
    <row r="27346">
      <c r="A27346" s="1" t="s">
        <v>41760</v>
      </c>
      <c r="B27346" s="2" t="s">
        <v>41623</v>
      </c>
      <c r="C27346" s="1" t="s">
        <v>9258</v>
      </c>
      <c r="D27346" s="1" t="s">
        <v>9260</v>
      </c>
    </row>
    <row r="27347">
      <c r="A27347" s="1" t="s">
        <v>41761</v>
      </c>
      <c r="B27347" s="2" t="s">
        <v>41625</v>
      </c>
      <c r="C27347" s="1" t="s">
        <v>9258</v>
      </c>
      <c r="D27347" s="1" t="s">
        <v>9260</v>
      </c>
    </row>
    <row r="27348">
      <c r="A27348" s="1" t="s">
        <v>41762</v>
      </c>
      <c r="B27348" s="2" t="s">
        <v>41627</v>
      </c>
      <c r="C27348" s="1" t="s">
        <v>9258</v>
      </c>
      <c r="D27348" s="1" t="s">
        <v>9260</v>
      </c>
    </row>
    <row r="27349">
      <c r="A27349" s="1" t="s">
        <v>41763</v>
      </c>
      <c r="B27349" s="2" t="s">
        <v>41629</v>
      </c>
      <c r="C27349" s="1" t="s">
        <v>9258</v>
      </c>
      <c r="D27349" s="1" t="s">
        <v>9260</v>
      </c>
    </row>
    <row r="27350">
      <c r="A27350" s="1" t="s">
        <v>41764</v>
      </c>
      <c r="B27350" s="2" t="s">
        <v>16283</v>
      </c>
      <c r="C27350" s="1" t="s">
        <v>9258</v>
      </c>
      <c r="D27350" s="1" t="s">
        <v>9260</v>
      </c>
    </row>
    <row r="27351">
      <c r="A27351" s="1" t="s">
        <v>41765</v>
      </c>
      <c r="B27351" s="2" t="s">
        <v>41632</v>
      </c>
      <c r="C27351" s="1" t="s">
        <v>9258</v>
      </c>
      <c r="D27351" s="1" t="s">
        <v>9260</v>
      </c>
    </row>
    <row r="27352">
      <c r="A27352" s="1" t="s">
        <v>41766</v>
      </c>
      <c r="B27352" s="2" t="s">
        <v>41634</v>
      </c>
      <c r="C27352" s="1" t="s">
        <v>9258</v>
      </c>
      <c r="D27352" s="1" t="s">
        <v>9260</v>
      </c>
    </row>
    <row r="27353">
      <c r="A27353" s="1" t="s">
        <v>41767</v>
      </c>
      <c r="B27353" s="2" t="s">
        <v>41636</v>
      </c>
      <c r="C27353" s="1" t="s">
        <v>9258</v>
      </c>
      <c r="D27353" s="1" t="s">
        <v>9260</v>
      </c>
    </row>
    <row r="27354">
      <c r="A27354" s="1" t="s">
        <v>41768</v>
      </c>
      <c r="B27354" s="2" t="s">
        <v>41638</v>
      </c>
      <c r="C27354" s="1" t="s">
        <v>9258</v>
      </c>
      <c r="D27354" s="1" t="s">
        <v>9260</v>
      </c>
    </row>
    <row r="27355">
      <c r="A27355" s="1" t="s">
        <v>9265</v>
      </c>
      <c r="B27355" s="2" t="s">
        <v>7</v>
      </c>
      <c r="C27355" s="1" t="s">
        <v>9267</v>
      </c>
      <c r="D27355" s="1" t="s">
        <v>9269</v>
      </c>
    </row>
    <row r="27356">
      <c r="A27356" s="1" t="s">
        <v>41769</v>
      </c>
      <c r="B27356" s="2" t="s">
        <v>13</v>
      </c>
      <c r="C27356" s="1" t="s">
        <v>9267</v>
      </c>
      <c r="D27356" s="1" t="s">
        <v>9269</v>
      </c>
    </row>
    <row r="27357">
      <c r="A27357" s="1" t="s">
        <v>41770</v>
      </c>
      <c r="B27357" s="2" t="s">
        <v>41593</v>
      </c>
      <c r="C27357" s="1" t="s">
        <v>9267</v>
      </c>
      <c r="D27357" s="1" t="s">
        <v>9269</v>
      </c>
    </row>
    <row r="27358">
      <c r="A27358" s="1" t="s">
        <v>41771</v>
      </c>
      <c r="B27358" s="2" t="s">
        <v>41595</v>
      </c>
      <c r="C27358" s="1" t="s">
        <v>9267</v>
      </c>
      <c r="D27358" s="1" t="s">
        <v>9269</v>
      </c>
    </row>
    <row r="27359">
      <c r="A27359" s="1" t="s">
        <v>41772</v>
      </c>
      <c r="B27359" s="2" t="s">
        <v>41597</v>
      </c>
      <c r="C27359" s="1" t="s">
        <v>9267</v>
      </c>
      <c r="D27359" s="1" t="s">
        <v>9269</v>
      </c>
    </row>
    <row r="27360">
      <c r="A27360" s="1" t="s">
        <v>41773</v>
      </c>
      <c r="B27360" s="2" t="s">
        <v>41599</v>
      </c>
      <c r="C27360" s="1" t="s">
        <v>9267</v>
      </c>
      <c r="D27360" s="1" t="s">
        <v>9269</v>
      </c>
    </row>
    <row r="27361">
      <c r="A27361" s="1" t="s">
        <v>41774</v>
      </c>
      <c r="B27361" s="2" t="s">
        <v>41601</v>
      </c>
      <c r="C27361" s="1" t="s">
        <v>9267</v>
      </c>
      <c r="D27361" s="1" t="s">
        <v>9269</v>
      </c>
    </row>
    <row r="27362">
      <c r="A27362" s="1" t="s">
        <v>41775</v>
      </c>
      <c r="B27362" s="2" t="s">
        <v>41603</v>
      </c>
      <c r="C27362" s="1" t="s">
        <v>9267</v>
      </c>
      <c r="D27362" s="1" t="s">
        <v>9269</v>
      </c>
    </row>
    <row r="27363">
      <c r="A27363" s="1" t="s">
        <v>41776</v>
      </c>
      <c r="B27363" s="2" t="s">
        <v>41605</v>
      </c>
      <c r="C27363" s="1" t="s">
        <v>9267</v>
      </c>
      <c r="D27363" s="1" t="s">
        <v>9269</v>
      </c>
    </row>
    <row r="27364">
      <c r="A27364" s="1" t="s">
        <v>41777</v>
      </c>
      <c r="B27364" s="2" t="s">
        <v>16202</v>
      </c>
      <c r="C27364" s="1" t="s">
        <v>9267</v>
      </c>
      <c r="D27364" s="1" t="s">
        <v>9269</v>
      </c>
    </row>
    <row r="27365">
      <c r="A27365" s="1" t="s">
        <v>41778</v>
      </c>
      <c r="B27365" s="2" t="s">
        <v>41608</v>
      </c>
      <c r="C27365" s="1" t="s">
        <v>9267</v>
      </c>
      <c r="D27365" s="1" t="s">
        <v>9269</v>
      </c>
    </row>
    <row r="27366">
      <c r="A27366" s="1" t="s">
        <v>41779</v>
      </c>
      <c r="B27366" s="2" t="s">
        <v>41610</v>
      </c>
      <c r="C27366" s="1" t="s">
        <v>9267</v>
      </c>
      <c r="D27366" s="1" t="s">
        <v>9269</v>
      </c>
    </row>
    <row r="27367">
      <c r="A27367" s="1" t="s">
        <v>41780</v>
      </c>
      <c r="B27367" s="2" t="s">
        <v>41612</v>
      </c>
      <c r="C27367" s="1" t="s">
        <v>9267</v>
      </c>
      <c r="D27367" s="1" t="s">
        <v>9269</v>
      </c>
    </row>
    <row r="27368">
      <c r="A27368" s="1" t="s">
        <v>41781</v>
      </c>
      <c r="B27368" s="2" t="s">
        <v>41614</v>
      </c>
      <c r="C27368" s="1" t="s">
        <v>9267</v>
      </c>
      <c r="D27368" s="1" t="s">
        <v>9269</v>
      </c>
    </row>
    <row r="27369">
      <c r="A27369" s="1" t="s">
        <v>41782</v>
      </c>
      <c r="B27369" s="2" t="s">
        <v>70</v>
      </c>
      <c r="C27369" s="1" t="s">
        <v>9267</v>
      </c>
      <c r="D27369" s="1" t="s">
        <v>9269</v>
      </c>
    </row>
    <row r="27370">
      <c r="A27370" s="1" t="s">
        <v>41783</v>
      </c>
      <c r="B27370" s="2" t="s">
        <v>41617</v>
      </c>
      <c r="C27370" s="1" t="s">
        <v>9267</v>
      </c>
      <c r="D27370" s="1" t="s">
        <v>9269</v>
      </c>
    </row>
    <row r="27371">
      <c r="A27371" s="1" t="s">
        <v>41784</v>
      </c>
      <c r="B27371" s="2" t="s">
        <v>41619</v>
      </c>
      <c r="C27371" s="1" t="s">
        <v>9267</v>
      </c>
      <c r="D27371" s="1" t="s">
        <v>9269</v>
      </c>
    </row>
    <row r="27372">
      <c r="A27372" s="1" t="s">
        <v>41785</v>
      </c>
      <c r="B27372" s="2" t="s">
        <v>41621</v>
      </c>
      <c r="C27372" s="1" t="s">
        <v>9267</v>
      </c>
      <c r="D27372" s="1" t="s">
        <v>9269</v>
      </c>
    </row>
    <row r="27373">
      <c r="A27373" s="1" t="s">
        <v>41786</v>
      </c>
      <c r="B27373" s="2" t="s">
        <v>41623</v>
      </c>
      <c r="C27373" s="1" t="s">
        <v>9267</v>
      </c>
      <c r="D27373" s="1" t="s">
        <v>9269</v>
      </c>
    </row>
    <row r="27374">
      <c r="A27374" s="1" t="s">
        <v>41787</v>
      </c>
      <c r="B27374" s="2" t="s">
        <v>41625</v>
      </c>
      <c r="C27374" s="1" t="s">
        <v>9267</v>
      </c>
      <c r="D27374" s="1" t="s">
        <v>9269</v>
      </c>
    </row>
    <row r="27375">
      <c r="A27375" s="1" t="s">
        <v>41788</v>
      </c>
      <c r="B27375" s="2" t="s">
        <v>41627</v>
      </c>
      <c r="C27375" s="1" t="s">
        <v>9267</v>
      </c>
      <c r="D27375" s="1" t="s">
        <v>9269</v>
      </c>
    </row>
    <row r="27376">
      <c r="A27376" s="1" t="s">
        <v>41789</v>
      </c>
      <c r="B27376" s="2" t="s">
        <v>41629</v>
      </c>
      <c r="C27376" s="1" t="s">
        <v>9267</v>
      </c>
      <c r="D27376" s="1" t="s">
        <v>9269</v>
      </c>
    </row>
    <row r="27377">
      <c r="A27377" s="1" t="s">
        <v>41790</v>
      </c>
      <c r="B27377" s="2" t="s">
        <v>16283</v>
      </c>
      <c r="C27377" s="1" t="s">
        <v>9267</v>
      </c>
      <c r="D27377" s="1" t="s">
        <v>9269</v>
      </c>
    </row>
    <row r="27378">
      <c r="A27378" s="1" t="s">
        <v>41791</v>
      </c>
      <c r="B27378" s="2" t="s">
        <v>41632</v>
      </c>
      <c r="C27378" s="1" t="s">
        <v>9267</v>
      </c>
      <c r="D27378" s="1" t="s">
        <v>9269</v>
      </c>
    </row>
    <row r="27379">
      <c r="A27379" s="1" t="s">
        <v>41792</v>
      </c>
      <c r="B27379" s="2" t="s">
        <v>41634</v>
      </c>
      <c r="C27379" s="1" t="s">
        <v>9267</v>
      </c>
      <c r="D27379" s="1" t="s">
        <v>9269</v>
      </c>
    </row>
    <row r="27380">
      <c r="A27380" s="1" t="s">
        <v>41793</v>
      </c>
      <c r="B27380" s="2" t="s">
        <v>41636</v>
      </c>
      <c r="C27380" s="1" t="s">
        <v>9267</v>
      </c>
      <c r="D27380" s="1" t="s">
        <v>9269</v>
      </c>
    </row>
    <row r="27381">
      <c r="A27381" s="1" t="s">
        <v>41794</v>
      </c>
      <c r="B27381" s="2" t="s">
        <v>41638</v>
      </c>
      <c r="C27381" s="1" t="s">
        <v>9267</v>
      </c>
      <c r="D27381" s="1" t="s">
        <v>9269</v>
      </c>
    </row>
    <row r="27382">
      <c r="A27382" s="1" t="s">
        <v>9272</v>
      </c>
      <c r="B27382" s="2" t="s">
        <v>7</v>
      </c>
      <c r="C27382" s="1" t="s">
        <v>9274</v>
      </c>
      <c r="D27382" s="1" t="s">
        <v>9276</v>
      </c>
    </row>
    <row r="27383">
      <c r="A27383" s="1" t="s">
        <v>41795</v>
      </c>
      <c r="B27383" s="2" t="s">
        <v>13</v>
      </c>
      <c r="C27383" s="1" t="s">
        <v>9274</v>
      </c>
      <c r="D27383" s="1" t="s">
        <v>9276</v>
      </c>
    </row>
    <row r="27384">
      <c r="A27384" s="1" t="s">
        <v>41796</v>
      </c>
      <c r="B27384" s="2" t="s">
        <v>41593</v>
      </c>
      <c r="C27384" s="1" t="s">
        <v>9274</v>
      </c>
      <c r="D27384" s="1" t="s">
        <v>9276</v>
      </c>
    </row>
    <row r="27385">
      <c r="A27385" s="1" t="s">
        <v>41797</v>
      </c>
      <c r="B27385" s="2" t="s">
        <v>41595</v>
      </c>
      <c r="C27385" s="1" t="s">
        <v>9274</v>
      </c>
      <c r="D27385" s="1" t="s">
        <v>9276</v>
      </c>
    </row>
    <row r="27386">
      <c r="A27386" s="1" t="s">
        <v>41798</v>
      </c>
      <c r="B27386" s="2" t="s">
        <v>41597</v>
      </c>
      <c r="C27386" s="1" t="s">
        <v>9274</v>
      </c>
      <c r="D27386" s="1" t="s">
        <v>9276</v>
      </c>
    </row>
    <row r="27387">
      <c r="A27387" s="1" t="s">
        <v>41799</v>
      </c>
      <c r="B27387" s="2" t="s">
        <v>41599</v>
      </c>
      <c r="C27387" s="1" t="s">
        <v>9274</v>
      </c>
      <c r="D27387" s="1" t="s">
        <v>9276</v>
      </c>
    </row>
    <row r="27388">
      <c r="A27388" s="1" t="s">
        <v>41800</v>
      </c>
      <c r="B27388" s="2" t="s">
        <v>41601</v>
      </c>
      <c r="C27388" s="1" t="s">
        <v>9274</v>
      </c>
      <c r="D27388" s="1" t="s">
        <v>9276</v>
      </c>
    </row>
    <row r="27389">
      <c r="A27389" s="1" t="s">
        <v>41801</v>
      </c>
      <c r="B27389" s="2" t="s">
        <v>41603</v>
      </c>
      <c r="C27389" s="1" t="s">
        <v>9274</v>
      </c>
      <c r="D27389" s="1" t="s">
        <v>9276</v>
      </c>
    </row>
    <row r="27390">
      <c r="A27390" s="1" t="s">
        <v>41802</v>
      </c>
      <c r="B27390" s="2" t="s">
        <v>41605</v>
      </c>
      <c r="C27390" s="1" t="s">
        <v>9274</v>
      </c>
      <c r="D27390" s="1" t="s">
        <v>9276</v>
      </c>
    </row>
    <row r="27391">
      <c r="A27391" s="1" t="s">
        <v>41803</v>
      </c>
      <c r="B27391" s="2" t="s">
        <v>16202</v>
      </c>
      <c r="C27391" s="1" t="s">
        <v>9274</v>
      </c>
      <c r="D27391" s="1" t="s">
        <v>9276</v>
      </c>
    </row>
    <row r="27392">
      <c r="A27392" s="1" t="s">
        <v>41804</v>
      </c>
      <c r="B27392" s="2" t="s">
        <v>41608</v>
      </c>
      <c r="C27392" s="1" t="s">
        <v>9274</v>
      </c>
      <c r="D27392" s="1" t="s">
        <v>9276</v>
      </c>
    </row>
    <row r="27393">
      <c r="A27393" s="1" t="s">
        <v>41805</v>
      </c>
      <c r="B27393" s="2" t="s">
        <v>41610</v>
      </c>
      <c r="C27393" s="1" t="s">
        <v>9274</v>
      </c>
      <c r="D27393" s="1" t="s">
        <v>9276</v>
      </c>
    </row>
    <row r="27394">
      <c r="A27394" s="1" t="s">
        <v>41806</v>
      </c>
      <c r="B27394" s="2" t="s">
        <v>41612</v>
      </c>
      <c r="C27394" s="1" t="s">
        <v>9274</v>
      </c>
      <c r="D27394" s="1" t="s">
        <v>9276</v>
      </c>
    </row>
    <row r="27395">
      <c r="A27395" s="1" t="s">
        <v>41807</v>
      </c>
      <c r="B27395" s="2" t="s">
        <v>41614</v>
      </c>
      <c r="C27395" s="1" t="s">
        <v>9274</v>
      </c>
      <c r="D27395" s="1" t="s">
        <v>9276</v>
      </c>
    </row>
    <row r="27396">
      <c r="A27396" s="1" t="s">
        <v>41808</v>
      </c>
      <c r="B27396" s="2" t="s">
        <v>70</v>
      </c>
      <c r="C27396" s="1" t="s">
        <v>9274</v>
      </c>
      <c r="D27396" s="1" t="s">
        <v>9276</v>
      </c>
    </row>
    <row r="27397">
      <c r="A27397" s="1" t="s">
        <v>41809</v>
      </c>
      <c r="B27397" s="2" t="s">
        <v>41617</v>
      </c>
      <c r="C27397" s="1" t="s">
        <v>9274</v>
      </c>
      <c r="D27397" s="1" t="s">
        <v>9276</v>
      </c>
    </row>
    <row r="27398">
      <c r="A27398" s="1" t="s">
        <v>41810</v>
      </c>
      <c r="B27398" s="2" t="s">
        <v>41619</v>
      </c>
      <c r="C27398" s="1" t="s">
        <v>9274</v>
      </c>
      <c r="D27398" s="1" t="s">
        <v>9276</v>
      </c>
    </row>
    <row r="27399">
      <c r="A27399" s="1" t="s">
        <v>41811</v>
      </c>
      <c r="B27399" s="2" t="s">
        <v>41621</v>
      </c>
      <c r="C27399" s="1" t="s">
        <v>9274</v>
      </c>
      <c r="D27399" s="1" t="s">
        <v>9276</v>
      </c>
    </row>
    <row r="27400">
      <c r="A27400" s="1" t="s">
        <v>41812</v>
      </c>
      <c r="B27400" s="2" t="s">
        <v>41623</v>
      </c>
      <c r="C27400" s="1" t="s">
        <v>9274</v>
      </c>
      <c r="D27400" s="1" t="s">
        <v>9276</v>
      </c>
    </row>
    <row r="27401">
      <c r="A27401" s="1" t="s">
        <v>41813</v>
      </c>
      <c r="B27401" s="2" t="s">
        <v>41625</v>
      </c>
      <c r="C27401" s="1" t="s">
        <v>9274</v>
      </c>
      <c r="D27401" s="1" t="s">
        <v>9276</v>
      </c>
    </row>
    <row r="27402">
      <c r="A27402" s="1" t="s">
        <v>41814</v>
      </c>
      <c r="B27402" s="2" t="s">
        <v>41627</v>
      </c>
      <c r="C27402" s="1" t="s">
        <v>9274</v>
      </c>
      <c r="D27402" s="1" t="s">
        <v>9276</v>
      </c>
    </row>
    <row r="27403">
      <c r="A27403" s="1" t="s">
        <v>41815</v>
      </c>
      <c r="B27403" s="2" t="s">
        <v>41629</v>
      </c>
      <c r="C27403" s="1" t="s">
        <v>9274</v>
      </c>
      <c r="D27403" s="1" t="s">
        <v>9276</v>
      </c>
    </row>
    <row r="27404">
      <c r="A27404" s="1" t="s">
        <v>41816</v>
      </c>
      <c r="B27404" s="2" t="s">
        <v>16283</v>
      </c>
      <c r="C27404" s="1" t="s">
        <v>9274</v>
      </c>
      <c r="D27404" s="1" t="s">
        <v>9276</v>
      </c>
    </row>
    <row r="27405">
      <c r="A27405" s="1" t="s">
        <v>41817</v>
      </c>
      <c r="B27405" s="2" t="s">
        <v>41632</v>
      </c>
      <c r="C27405" s="1" t="s">
        <v>9274</v>
      </c>
      <c r="D27405" s="1" t="s">
        <v>9276</v>
      </c>
    </row>
    <row r="27406">
      <c r="A27406" s="1" t="s">
        <v>41818</v>
      </c>
      <c r="B27406" s="2" t="s">
        <v>41634</v>
      </c>
      <c r="C27406" s="1" t="s">
        <v>9274</v>
      </c>
      <c r="D27406" s="1" t="s">
        <v>9276</v>
      </c>
    </row>
    <row r="27407">
      <c r="A27407" s="1" t="s">
        <v>41819</v>
      </c>
      <c r="B27407" s="2" t="s">
        <v>41636</v>
      </c>
      <c r="C27407" s="1" t="s">
        <v>9274</v>
      </c>
      <c r="D27407" s="1" t="s">
        <v>9276</v>
      </c>
    </row>
    <row r="27408">
      <c r="A27408" s="1" t="s">
        <v>41820</v>
      </c>
      <c r="B27408" s="2" t="s">
        <v>41638</v>
      </c>
      <c r="C27408" s="1" t="s">
        <v>9274</v>
      </c>
      <c r="D27408" s="1" t="s">
        <v>9276</v>
      </c>
    </row>
    <row r="27409">
      <c r="A27409" s="1" t="s">
        <v>9279</v>
      </c>
      <c r="B27409" s="2" t="s">
        <v>7</v>
      </c>
      <c r="C27409" s="1" t="s">
        <v>9281</v>
      </c>
      <c r="D27409" s="1" t="s">
        <v>9283</v>
      </c>
    </row>
    <row r="27410">
      <c r="A27410" s="1" t="s">
        <v>41821</v>
      </c>
      <c r="B27410" s="2" t="s">
        <v>13</v>
      </c>
      <c r="C27410" s="1" t="s">
        <v>9281</v>
      </c>
      <c r="D27410" s="1" t="s">
        <v>9283</v>
      </c>
    </row>
    <row r="27411">
      <c r="A27411" s="1" t="s">
        <v>41822</v>
      </c>
      <c r="B27411" s="2" t="s">
        <v>41593</v>
      </c>
      <c r="C27411" s="1" t="s">
        <v>9281</v>
      </c>
      <c r="D27411" s="1" t="s">
        <v>9283</v>
      </c>
    </row>
    <row r="27412">
      <c r="A27412" s="1" t="s">
        <v>41823</v>
      </c>
      <c r="B27412" s="2" t="s">
        <v>41595</v>
      </c>
      <c r="C27412" s="1" t="s">
        <v>9281</v>
      </c>
      <c r="D27412" s="1" t="s">
        <v>9283</v>
      </c>
    </row>
    <row r="27413">
      <c r="A27413" s="1" t="s">
        <v>41824</v>
      </c>
      <c r="B27413" s="2" t="s">
        <v>41597</v>
      </c>
      <c r="C27413" s="1" t="s">
        <v>9281</v>
      </c>
      <c r="D27413" s="1" t="s">
        <v>9283</v>
      </c>
    </row>
    <row r="27414">
      <c r="A27414" s="1" t="s">
        <v>41825</v>
      </c>
      <c r="B27414" s="2" t="s">
        <v>41599</v>
      </c>
      <c r="C27414" s="1" t="s">
        <v>9281</v>
      </c>
      <c r="D27414" s="1" t="s">
        <v>9283</v>
      </c>
    </row>
    <row r="27415">
      <c r="A27415" s="1" t="s">
        <v>41826</v>
      </c>
      <c r="B27415" s="2" t="s">
        <v>41601</v>
      </c>
      <c r="C27415" s="1" t="s">
        <v>9281</v>
      </c>
      <c r="D27415" s="1" t="s">
        <v>9283</v>
      </c>
    </row>
    <row r="27416">
      <c r="A27416" s="1" t="s">
        <v>41827</v>
      </c>
      <c r="B27416" s="2" t="s">
        <v>41603</v>
      </c>
      <c r="C27416" s="1" t="s">
        <v>9281</v>
      </c>
      <c r="D27416" s="1" t="s">
        <v>9283</v>
      </c>
    </row>
    <row r="27417">
      <c r="A27417" s="1" t="s">
        <v>41828</v>
      </c>
      <c r="B27417" s="2" t="s">
        <v>41605</v>
      </c>
      <c r="C27417" s="1" t="s">
        <v>9281</v>
      </c>
      <c r="D27417" s="1" t="s">
        <v>9283</v>
      </c>
    </row>
    <row r="27418">
      <c r="A27418" s="1" t="s">
        <v>41829</v>
      </c>
      <c r="B27418" s="2" t="s">
        <v>16202</v>
      </c>
      <c r="C27418" s="1" t="s">
        <v>9281</v>
      </c>
      <c r="D27418" s="1" t="s">
        <v>9283</v>
      </c>
    </row>
    <row r="27419">
      <c r="A27419" s="1" t="s">
        <v>41830</v>
      </c>
      <c r="B27419" s="2" t="s">
        <v>41608</v>
      </c>
      <c r="C27419" s="1" t="s">
        <v>9281</v>
      </c>
      <c r="D27419" s="1" t="s">
        <v>9283</v>
      </c>
    </row>
    <row r="27420">
      <c r="A27420" s="1" t="s">
        <v>41831</v>
      </c>
      <c r="B27420" s="2" t="s">
        <v>41610</v>
      </c>
      <c r="C27420" s="1" t="s">
        <v>9281</v>
      </c>
      <c r="D27420" s="1" t="s">
        <v>9283</v>
      </c>
    </row>
    <row r="27421">
      <c r="A27421" s="1" t="s">
        <v>41832</v>
      </c>
      <c r="B27421" s="2" t="s">
        <v>41612</v>
      </c>
      <c r="C27421" s="1" t="s">
        <v>9281</v>
      </c>
      <c r="D27421" s="1" t="s">
        <v>9283</v>
      </c>
    </row>
    <row r="27422">
      <c r="A27422" s="1" t="s">
        <v>41833</v>
      </c>
      <c r="B27422" s="2" t="s">
        <v>41614</v>
      </c>
      <c r="C27422" s="1" t="s">
        <v>9281</v>
      </c>
      <c r="D27422" s="1" t="s">
        <v>9283</v>
      </c>
    </row>
    <row r="27423">
      <c r="A27423" s="1" t="s">
        <v>41834</v>
      </c>
      <c r="B27423" s="2" t="s">
        <v>70</v>
      </c>
      <c r="C27423" s="1" t="s">
        <v>9281</v>
      </c>
      <c r="D27423" s="1" t="s">
        <v>9283</v>
      </c>
    </row>
    <row r="27424">
      <c r="A27424" s="1" t="s">
        <v>41835</v>
      </c>
      <c r="B27424" s="2" t="s">
        <v>41617</v>
      </c>
      <c r="C27424" s="1" t="s">
        <v>9281</v>
      </c>
      <c r="D27424" s="1" t="s">
        <v>9283</v>
      </c>
    </row>
    <row r="27425">
      <c r="A27425" s="1" t="s">
        <v>41836</v>
      </c>
      <c r="B27425" s="2" t="s">
        <v>41619</v>
      </c>
      <c r="C27425" s="1" t="s">
        <v>9281</v>
      </c>
      <c r="D27425" s="1" t="s">
        <v>9283</v>
      </c>
    </row>
    <row r="27426">
      <c r="A27426" s="1" t="s">
        <v>41837</v>
      </c>
      <c r="B27426" s="2" t="s">
        <v>41621</v>
      </c>
      <c r="C27426" s="1" t="s">
        <v>9281</v>
      </c>
      <c r="D27426" s="1" t="s">
        <v>9283</v>
      </c>
    </row>
    <row r="27427">
      <c r="A27427" s="1" t="s">
        <v>41838</v>
      </c>
      <c r="B27427" s="2" t="s">
        <v>41623</v>
      </c>
      <c r="C27427" s="1" t="s">
        <v>9281</v>
      </c>
      <c r="D27427" s="1" t="s">
        <v>9283</v>
      </c>
    </row>
    <row r="27428">
      <c r="A27428" s="1" t="s">
        <v>41839</v>
      </c>
      <c r="B27428" s="2" t="s">
        <v>41625</v>
      </c>
      <c r="C27428" s="1" t="s">
        <v>9281</v>
      </c>
      <c r="D27428" s="1" t="s">
        <v>9283</v>
      </c>
    </row>
    <row r="27429">
      <c r="A27429" s="1" t="s">
        <v>41840</v>
      </c>
      <c r="B27429" s="2" t="s">
        <v>41627</v>
      </c>
      <c r="C27429" s="1" t="s">
        <v>9281</v>
      </c>
      <c r="D27429" s="1" t="s">
        <v>9283</v>
      </c>
    </row>
    <row r="27430">
      <c r="A27430" s="1" t="s">
        <v>41841</v>
      </c>
      <c r="B27430" s="2" t="s">
        <v>41629</v>
      </c>
      <c r="C27430" s="1" t="s">
        <v>9281</v>
      </c>
      <c r="D27430" s="1" t="s">
        <v>9283</v>
      </c>
    </row>
    <row r="27431">
      <c r="A27431" s="1" t="s">
        <v>41842</v>
      </c>
      <c r="B27431" s="2" t="s">
        <v>16283</v>
      </c>
      <c r="C27431" s="1" t="s">
        <v>9281</v>
      </c>
      <c r="D27431" s="1" t="s">
        <v>9283</v>
      </c>
    </row>
    <row r="27432">
      <c r="A27432" s="1" t="s">
        <v>41843</v>
      </c>
      <c r="B27432" s="2" t="s">
        <v>41632</v>
      </c>
      <c r="C27432" s="1" t="s">
        <v>9281</v>
      </c>
      <c r="D27432" s="1" t="s">
        <v>9283</v>
      </c>
    </row>
    <row r="27433">
      <c r="A27433" s="1" t="s">
        <v>41844</v>
      </c>
      <c r="B27433" s="2" t="s">
        <v>41634</v>
      </c>
      <c r="C27433" s="1" t="s">
        <v>9281</v>
      </c>
      <c r="D27433" s="1" t="s">
        <v>9283</v>
      </c>
    </row>
    <row r="27434">
      <c r="A27434" s="1" t="s">
        <v>41845</v>
      </c>
      <c r="B27434" s="2" t="s">
        <v>41636</v>
      </c>
      <c r="C27434" s="1" t="s">
        <v>9281</v>
      </c>
      <c r="D27434" s="1" t="s">
        <v>9283</v>
      </c>
    </row>
    <row r="27435">
      <c r="A27435" s="1" t="s">
        <v>41846</v>
      </c>
      <c r="B27435" s="2" t="s">
        <v>41638</v>
      </c>
      <c r="C27435" s="1" t="s">
        <v>9281</v>
      </c>
      <c r="D27435" s="1" t="s">
        <v>9283</v>
      </c>
    </row>
    <row r="27436">
      <c r="A27436" s="1" t="s">
        <v>9293</v>
      </c>
      <c r="B27436" s="2" t="s">
        <v>7</v>
      </c>
      <c r="C27436" s="1" t="s">
        <v>9296</v>
      </c>
      <c r="D27436" s="1" t="s">
        <v>9297</v>
      </c>
    </row>
    <row r="27437">
      <c r="A27437" s="1" t="s">
        <v>41847</v>
      </c>
      <c r="B27437" s="2" t="s">
        <v>13</v>
      </c>
      <c r="C27437" s="1" t="s">
        <v>9296</v>
      </c>
      <c r="D27437" s="1" t="s">
        <v>9297</v>
      </c>
    </row>
    <row r="27438">
      <c r="A27438" s="1" t="s">
        <v>41848</v>
      </c>
      <c r="B27438" s="2" t="s">
        <v>41849</v>
      </c>
      <c r="C27438" s="1" t="s">
        <v>9296</v>
      </c>
      <c r="D27438" s="1" t="s">
        <v>9297</v>
      </c>
    </row>
    <row r="27439">
      <c r="A27439" s="1" t="s">
        <v>41850</v>
      </c>
      <c r="B27439" s="2" t="s">
        <v>41851</v>
      </c>
      <c r="C27439" s="1" t="s">
        <v>9296</v>
      </c>
      <c r="D27439" s="1" t="s">
        <v>9297</v>
      </c>
    </row>
    <row r="27440">
      <c r="A27440" s="1" t="s">
        <v>41852</v>
      </c>
      <c r="B27440" s="2" t="s">
        <v>41853</v>
      </c>
      <c r="C27440" s="1" t="s">
        <v>9296</v>
      </c>
      <c r="D27440" s="1" t="s">
        <v>9297</v>
      </c>
    </row>
    <row r="27441">
      <c r="A27441" s="1" t="s">
        <v>41854</v>
      </c>
      <c r="B27441" s="2" t="s">
        <v>41855</v>
      </c>
      <c r="C27441" s="1" t="s">
        <v>9296</v>
      </c>
      <c r="D27441" s="1" t="s">
        <v>9297</v>
      </c>
    </row>
    <row r="27442">
      <c r="A27442" s="1" t="s">
        <v>41856</v>
      </c>
      <c r="B27442" s="2" t="s">
        <v>41857</v>
      </c>
      <c r="C27442" s="1" t="s">
        <v>9296</v>
      </c>
      <c r="D27442" s="1" t="s">
        <v>9297</v>
      </c>
    </row>
    <row r="27443">
      <c r="A27443" s="1" t="s">
        <v>41858</v>
      </c>
      <c r="B27443" s="2" t="s">
        <v>70</v>
      </c>
      <c r="C27443" s="1" t="s">
        <v>9296</v>
      </c>
      <c r="D27443" s="1" t="s">
        <v>9297</v>
      </c>
    </row>
    <row r="27444">
      <c r="A27444" s="1" t="s">
        <v>41859</v>
      </c>
      <c r="B27444" s="2" t="s">
        <v>41860</v>
      </c>
      <c r="C27444" s="1" t="s">
        <v>9296</v>
      </c>
      <c r="D27444" s="1" t="s">
        <v>9297</v>
      </c>
    </row>
    <row r="27445">
      <c r="A27445" s="1" t="s">
        <v>41861</v>
      </c>
      <c r="B27445" s="2" t="s">
        <v>41862</v>
      </c>
      <c r="C27445" s="1" t="s">
        <v>9296</v>
      </c>
      <c r="D27445" s="1" t="s">
        <v>9297</v>
      </c>
    </row>
    <row r="27446">
      <c r="A27446" s="1" t="s">
        <v>41863</v>
      </c>
      <c r="B27446" s="2" t="s">
        <v>41864</v>
      </c>
      <c r="C27446" s="1" t="s">
        <v>9296</v>
      </c>
      <c r="D27446" s="1" t="s">
        <v>9297</v>
      </c>
    </row>
    <row r="27447">
      <c r="A27447" s="1" t="s">
        <v>41865</v>
      </c>
      <c r="B27447" s="2" t="s">
        <v>41866</v>
      </c>
      <c r="C27447" s="1" t="s">
        <v>9296</v>
      </c>
      <c r="D27447" s="1" t="s">
        <v>9297</v>
      </c>
    </row>
    <row r="27448">
      <c r="A27448" s="1" t="s">
        <v>41867</v>
      </c>
      <c r="B27448" s="2" t="s">
        <v>41868</v>
      </c>
      <c r="C27448" s="1" t="s">
        <v>9296</v>
      </c>
      <c r="D27448" s="1" t="s">
        <v>9297</v>
      </c>
    </row>
    <row r="27449">
      <c r="A27449" s="1" t="s">
        <v>9302</v>
      </c>
      <c r="B27449" s="2" t="s">
        <v>7</v>
      </c>
      <c r="C27449" s="1" t="s">
        <v>9304</v>
      </c>
      <c r="D27449" s="1" t="s">
        <v>9306</v>
      </c>
    </row>
    <row r="27450">
      <c r="A27450" s="1" t="s">
        <v>41869</v>
      </c>
      <c r="B27450" s="2" t="s">
        <v>13</v>
      </c>
      <c r="C27450" s="1" t="s">
        <v>9304</v>
      </c>
      <c r="D27450" s="1" t="s">
        <v>9306</v>
      </c>
    </row>
    <row r="27451">
      <c r="A27451" s="1" t="s">
        <v>41870</v>
      </c>
      <c r="B27451" s="2" t="s">
        <v>41849</v>
      </c>
      <c r="C27451" s="1" t="s">
        <v>9304</v>
      </c>
      <c r="D27451" s="1" t="s">
        <v>9306</v>
      </c>
    </row>
    <row r="27452">
      <c r="A27452" s="1" t="s">
        <v>41871</v>
      </c>
      <c r="B27452" s="2" t="s">
        <v>41851</v>
      </c>
      <c r="C27452" s="1" t="s">
        <v>9304</v>
      </c>
      <c r="D27452" s="1" t="s">
        <v>9306</v>
      </c>
    </row>
    <row r="27453">
      <c r="A27453" s="1" t="s">
        <v>41872</v>
      </c>
      <c r="B27453" s="2" t="s">
        <v>41853</v>
      </c>
      <c r="C27453" s="1" t="s">
        <v>9304</v>
      </c>
      <c r="D27453" s="1" t="s">
        <v>9306</v>
      </c>
    </row>
    <row r="27454">
      <c r="A27454" s="1" t="s">
        <v>41873</v>
      </c>
      <c r="B27454" s="2" t="s">
        <v>41855</v>
      </c>
      <c r="C27454" s="1" t="s">
        <v>9304</v>
      </c>
      <c r="D27454" s="1" t="s">
        <v>9306</v>
      </c>
    </row>
    <row r="27455">
      <c r="A27455" s="1" t="s">
        <v>41874</v>
      </c>
      <c r="B27455" s="2" t="s">
        <v>41857</v>
      </c>
      <c r="C27455" s="1" t="s">
        <v>9304</v>
      </c>
      <c r="D27455" s="1" t="s">
        <v>9306</v>
      </c>
    </row>
    <row r="27456">
      <c r="A27456" s="1" t="s">
        <v>41875</v>
      </c>
      <c r="B27456" s="2" t="s">
        <v>70</v>
      </c>
      <c r="C27456" s="1" t="s">
        <v>9304</v>
      </c>
      <c r="D27456" s="1" t="s">
        <v>9306</v>
      </c>
    </row>
    <row r="27457">
      <c r="A27457" s="1" t="s">
        <v>41876</v>
      </c>
      <c r="B27457" s="2" t="s">
        <v>41860</v>
      </c>
      <c r="C27457" s="1" t="s">
        <v>9304</v>
      </c>
      <c r="D27457" s="1" t="s">
        <v>9306</v>
      </c>
    </row>
    <row r="27458">
      <c r="A27458" s="1" t="s">
        <v>41877</v>
      </c>
      <c r="B27458" s="2" t="s">
        <v>41862</v>
      </c>
      <c r="C27458" s="1" t="s">
        <v>9304</v>
      </c>
      <c r="D27458" s="1" t="s">
        <v>9306</v>
      </c>
    </row>
    <row r="27459">
      <c r="A27459" s="1" t="s">
        <v>41878</v>
      </c>
      <c r="B27459" s="2" t="s">
        <v>41864</v>
      </c>
      <c r="C27459" s="1" t="s">
        <v>9304</v>
      </c>
      <c r="D27459" s="1" t="s">
        <v>9306</v>
      </c>
    </row>
    <row r="27460">
      <c r="A27460" s="1" t="s">
        <v>41879</v>
      </c>
      <c r="B27460" s="2" t="s">
        <v>41866</v>
      </c>
      <c r="C27460" s="1" t="s">
        <v>9304</v>
      </c>
      <c r="D27460" s="1" t="s">
        <v>9306</v>
      </c>
    </row>
    <row r="27461">
      <c r="A27461" s="1" t="s">
        <v>41880</v>
      </c>
      <c r="B27461" s="2" t="s">
        <v>41868</v>
      </c>
      <c r="C27461" s="1" t="s">
        <v>9304</v>
      </c>
      <c r="D27461" s="1" t="s">
        <v>9306</v>
      </c>
    </row>
    <row r="27462">
      <c r="A27462" s="1" t="s">
        <v>9309</v>
      </c>
      <c r="B27462" s="2" t="s">
        <v>7</v>
      </c>
      <c r="C27462" s="1" t="s">
        <v>9312</v>
      </c>
      <c r="D27462" s="1" t="s">
        <v>9313</v>
      </c>
    </row>
    <row r="27463">
      <c r="A27463" s="1" t="s">
        <v>41881</v>
      </c>
      <c r="B27463" s="2" t="s">
        <v>13</v>
      </c>
      <c r="C27463" s="1" t="s">
        <v>9312</v>
      </c>
      <c r="D27463" s="1" t="s">
        <v>9313</v>
      </c>
    </row>
    <row r="27464">
      <c r="A27464" s="1" t="s">
        <v>41882</v>
      </c>
      <c r="B27464" s="2" t="s">
        <v>41849</v>
      </c>
      <c r="C27464" s="1" t="s">
        <v>9312</v>
      </c>
      <c r="D27464" s="1" t="s">
        <v>9313</v>
      </c>
    </row>
    <row r="27465">
      <c r="A27465" s="1" t="s">
        <v>41883</v>
      </c>
      <c r="B27465" s="2" t="s">
        <v>41851</v>
      </c>
      <c r="C27465" s="1" t="s">
        <v>9312</v>
      </c>
      <c r="D27465" s="1" t="s">
        <v>9313</v>
      </c>
    </row>
    <row r="27466">
      <c r="A27466" s="1" t="s">
        <v>41884</v>
      </c>
      <c r="B27466" s="2" t="s">
        <v>41853</v>
      </c>
      <c r="C27466" s="1" t="s">
        <v>9312</v>
      </c>
      <c r="D27466" s="1" t="s">
        <v>9313</v>
      </c>
    </row>
    <row r="27467">
      <c r="A27467" s="1" t="s">
        <v>41885</v>
      </c>
      <c r="B27467" s="2" t="s">
        <v>41855</v>
      </c>
      <c r="C27467" s="1" t="s">
        <v>9312</v>
      </c>
      <c r="D27467" s="1" t="s">
        <v>9313</v>
      </c>
    </row>
    <row r="27468">
      <c r="A27468" s="1" t="s">
        <v>41886</v>
      </c>
      <c r="B27468" s="2" t="s">
        <v>41857</v>
      </c>
      <c r="C27468" s="1" t="s">
        <v>9312</v>
      </c>
      <c r="D27468" s="1" t="s">
        <v>9313</v>
      </c>
    </row>
    <row r="27469">
      <c r="A27469" s="1" t="s">
        <v>41887</v>
      </c>
      <c r="B27469" s="2" t="s">
        <v>70</v>
      </c>
      <c r="C27469" s="1" t="s">
        <v>9312</v>
      </c>
      <c r="D27469" s="1" t="s">
        <v>9313</v>
      </c>
    </row>
    <row r="27470">
      <c r="A27470" s="1" t="s">
        <v>41888</v>
      </c>
      <c r="B27470" s="2" t="s">
        <v>41860</v>
      </c>
      <c r="C27470" s="1" t="s">
        <v>9312</v>
      </c>
      <c r="D27470" s="1" t="s">
        <v>9313</v>
      </c>
    </row>
    <row r="27471">
      <c r="A27471" s="1" t="s">
        <v>41889</v>
      </c>
      <c r="B27471" s="2" t="s">
        <v>41862</v>
      </c>
      <c r="C27471" s="1" t="s">
        <v>9312</v>
      </c>
      <c r="D27471" s="1" t="s">
        <v>9313</v>
      </c>
    </row>
    <row r="27472">
      <c r="A27472" s="1" t="s">
        <v>41890</v>
      </c>
      <c r="B27472" s="2" t="s">
        <v>41864</v>
      </c>
      <c r="C27472" s="1" t="s">
        <v>9312</v>
      </c>
      <c r="D27472" s="1" t="s">
        <v>9313</v>
      </c>
    </row>
    <row r="27473">
      <c r="A27473" s="1" t="s">
        <v>41891</v>
      </c>
      <c r="B27473" s="2" t="s">
        <v>41866</v>
      </c>
      <c r="C27473" s="1" t="s">
        <v>9312</v>
      </c>
      <c r="D27473" s="1" t="s">
        <v>9313</v>
      </c>
    </row>
    <row r="27474">
      <c r="A27474" s="1" t="s">
        <v>41892</v>
      </c>
      <c r="B27474" s="2" t="s">
        <v>41868</v>
      </c>
      <c r="C27474" s="1" t="s">
        <v>9312</v>
      </c>
      <c r="D27474" s="1" t="s">
        <v>9313</v>
      </c>
    </row>
    <row r="27475">
      <c r="A27475" s="1" t="s">
        <v>9318</v>
      </c>
      <c r="B27475" s="2" t="s">
        <v>7</v>
      </c>
      <c r="C27475" s="1" t="s">
        <v>9327</v>
      </c>
      <c r="D27475" s="1" t="s">
        <v>9328</v>
      </c>
    </row>
    <row r="27476">
      <c r="A27476" s="1" t="s">
        <v>41893</v>
      </c>
      <c r="B27476" s="2" t="s">
        <v>13</v>
      </c>
      <c r="C27476" s="1" t="s">
        <v>9327</v>
      </c>
      <c r="D27476" s="1" t="s">
        <v>9328</v>
      </c>
    </row>
    <row r="27477">
      <c r="A27477" s="1" t="s">
        <v>41894</v>
      </c>
      <c r="B27477" s="2" t="s">
        <v>41849</v>
      </c>
      <c r="C27477" s="1" t="s">
        <v>9327</v>
      </c>
      <c r="D27477" s="1" t="s">
        <v>9328</v>
      </c>
    </row>
    <row r="27478">
      <c r="A27478" s="1" t="s">
        <v>41895</v>
      </c>
      <c r="B27478" s="2" t="s">
        <v>41851</v>
      </c>
      <c r="C27478" s="1" t="s">
        <v>9327</v>
      </c>
      <c r="D27478" s="1" t="s">
        <v>9328</v>
      </c>
    </row>
    <row r="27479">
      <c r="A27479" s="1" t="s">
        <v>41896</v>
      </c>
      <c r="B27479" s="2" t="s">
        <v>41853</v>
      </c>
      <c r="C27479" s="1" t="s">
        <v>9327</v>
      </c>
      <c r="D27479" s="1" t="s">
        <v>9328</v>
      </c>
    </row>
    <row r="27480">
      <c r="A27480" s="1" t="s">
        <v>41897</v>
      </c>
      <c r="B27480" s="2" t="s">
        <v>41855</v>
      </c>
      <c r="C27480" s="1" t="s">
        <v>9327</v>
      </c>
      <c r="D27480" s="1" t="s">
        <v>9328</v>
      </c>
    </row>
    <row r="27481">
      <c r="A27481" s="1" t="s">
        <v>41898</v>
      </c>
      <c r="B27481" s="2" t="s">
        <v>41857</v>
      </c>
      <c r="C27481" s="1" t="s">
        <v>9327</v>
      </c>
      <c r="D27481" s="1" t="s">
        <v>9328</v>
      </c>
    </row>
    <row r="27482">
      <c r="A27482" s="1" t="s">
        <v>41899</v>
      </c>
      <c r="B27482" s="2" t="s">
        <v>70</v>
      </c>
      <c r="C27482" s="1" t="s">
        <v>9327</v>
      </c>
      <c r="D27482" s="1" t="s">
        <v>9328</v>
      </c>
    </row>
    <row r="27483">
      <c r="A27483" s="1" t="s">
        <v>41900</v>
      </c>
      <c r="B27483" s="2" t="s">
        <v>41860</v>
      </c>
      <c r="C27483" s="1" t="s">
        <v>9327</v>
      </c>
      <c r="D27483" s="1" t="s">
        <v>9328</v>
      </c>
    </row>
    <row r="27484">
      <c r="A27484" s="1" t="s">
        <v>41901</v>
      </c>
      <c r="B27484" s="2" t="s">
        <v>41862</v>
      </c>
      <c r="C27484" s="1" t="s">
        <v>9327</v>
      </c>
      <c r="D27484" s="1" t="s">
        <v>9328</v>
      </c>
    </row>
    <row r="27485">
      <c r="A27485" s="1" t="s">
        <v>41902</v>
      </c>
      <c r="B27485" s="2" t="s">
        <v>41864</v>
      </c>
      <c r="C27485" s="1" t="s">
        <v>9327</v>
      </c>
      <c r="D27485" s="1" t="s">
        <v>9328</v>
      </c>
    </row>
    <row r="27486">
      <c r="A27486" s="1" t="s">
        <v>41903</v>
      </c>
      <c r="B27486" s="2" t="s">
        <v>41866</v>
      </c>
      <c r="C27486" s="1" t="s">
        <v>9327</v>
      </c>
      <c r="D27486" s="1" t="s">
        <v>9328</v>
      </c>
    </row>
    <row r="27487">
      <c r="A27487" s="1" t="s">
        <v>41904</v>
      </c>
      <c r="B27487" s="2" t="s">
        <v>41868</v>
      </c>
      <c r="C27487" s="1" t="s">
        <v>9327</v>
      </c>
      <c r="D27487" s="1" t="s">
        <v>9328</v>
      </c>
    </row>
    <row r="27488">
      <c r="A27488" s="1" t="s">
        <v>9333</v>
      </c>
      <c r="B27488" s="2" t="s">
        <v>7</v>
      </c>
      <c r="C27488" s="1" t="s">
        <v>9336</v>
      </c>
      <c r="D27488" s="1" t="s">
        <v>9337</v>
      </c>
    </row>
    <row r="27489">
      <c r="A27489" s="1" t="s">
        <v>41905</v>
      </c>
      <c r="B27489" s="2" t="s">
        <v>13</v>
      </c>
      <c r="C27489" s="1" t="s">
        <v>9336</v>
      </c>
      <c r="D27489" s="1" t="s">
        <v>9337</v>
      </c>
    </row>
    <row r="27490">
      <c r="A27490" s="1" t="s">
        <v>41906</v>
      </c>
      <c r="B27490" s="2" t="s">
        <v>41849</v>
      </c>
      <c r="C27490" s="1" t="s">
        <v>9336</v>
      </c>
      <c r="D27490" s="1" t="s">
        <v>9337</v>
      </c>
    </row>
    <row r="27491">
      <c r="A27491" s="1" t="s">
        <v>41907</v>
      </c>
      <c r="B27491" s="2" t="s">
        <v>41851</v>
      </c>
      <c r="C27491" s="1" t="s">
        <v>9336</v>
      </c>
      <c r="D27491" s="1" t="s">
        <v>9337</v>
      </c>
    </row>
    <row r="27492">
      <c r="A27492" s="1" t="s">
        <v>41908</v>
      </c>
      <c r="B27492" s="2" t="s">
        <v>41853</v>
      </c>
      <c r="C27492" s="1" t="s">
        <v>9336</v>
      </c>
      <c r="D27492" s="1" t="s">
        <v>9337</v>
      </c>
    </row>
    <row r="27493">
      <c r="A27493" s="1" t="s">
        <v>41909</v>
      </c>
      <c r="B27493" s="2" t="s">
        <v>41855</v>
      </c>
      <c r="C27493" s="1" t="s">
        <v>9336</v>
      </c>
      <c r="D27493" s="1" t="s">
        <v>9337</v>
      </c>
    </row>
    <row r="27494">
      <c r="A27494" s="1" t="s">
        <v>41910</v>
      </c>
      <c r="B27494" s="2" t="s">
        <v>41857</v>
      </c>
      <c r="C27494" s="1" t="s">
        <v>9336</v>
      </c>
      <c r="D27494" s="1" t="s">
        <v>9337</v>
      </c>
    </row>
    <row r="27495">
      <c r="A27495" s="1" t="s">
        <v>41911</v>
      </c>
      <c r="B27495" s="2" t="s">
        <v>70</v>
      </c>
      <c r="C27495" s="1" t="s">
        <v>9336</v>
      </c>
      <c r="D27495" s="1" t="s">
        <v>9337</v>
      </c>
    </row>
    <row r="27496">
      <c r="A27496" s="1" t="s">
        <v>41912</v>
      </c>
      <c r="B27496" s="2" t="s">
        <v>41860</v>
      </c>
      <c r="C27496" s="1" t="s">
        <v>9336</v>
      </c>
      <c r="D27496" s="1" t="s">
        <v>9337</v>
      </c>
    </row>
    <row r="27497">
      <c r="A27497" s="1" t="s">
        <v>41913</v>
      </c>
      <c r="B27497" s="2" t="s">
        <v>41862</v>
      </c>
      <c r="C27497" s="1" t="s">
        <v>9336</v>
      </c>
      <c r="D27497" s="1" t="s">
        <v>9337</v>
      </c>
    </row>
    <row r="27498">
      <c r="A27498" s="1" t="s">
        <v>41914</v>
      </c>
      <c r="B27498" s="2" t="s">
        <v>41864</v>
      </c>
      <c r="C27498" s="1" t="s">
        <v>9336</v>
      </c>
      <c r="D27498" s="1" t="s">
        <v>9337</v>
      </c>
    </row>
    <row r="27499">
      <c r="A27499" s="1" t="s">
        <v>41915</v>
      </c>
      <c r="B27499" s="2" t="s">
        <v>41866</v>
      </c>
      <c r="C27499" s="1" t="s">
        <v>9336</v>
      </c>
      <c r="D27499" s="1" t="s">
        <v>9337</v>
      </c>
    </row>
    <row r="27500">
      <c r="A27500" s="1" t="s">
        <v>41916</v>
      </c>
      <c r="B27500" s="2" t="s">
        <v>41868</v>
      </c>
      <c r="C27500" s="1" t="s">
        <v>9336</v>
      </c>
      <c r="D27500" s="1" t="s">
        <v>9337</v>
      </c>
    </row>
    <row r="27501">
      <c r="A27501" s="1" t="s">
        <v>9342</v>
      </c>
      <c r="B27501" s="2" t="s">
        <v>7</v>
      </c>
      <c r="C27501" s="1" t="s">
        <v>9344</v>
      </c>
      <c r="D27501" s="1" t="s">
        <v>9346</v>
      </c>
    </row>
    <row r="27502">
      <c r="A27502" s="1" t="s">
        <v>41917</v>
      </c>
      <c r="B27502" s="2" t="s">
        <v>13</v>
      </c>
      <c r="C27502" s="1" t="s">
        <v>9344</v>
      </c>
      <c r="D27502" s="1" t="s">
        <v>9346</v>
      </c>
    </row>
    <row r="27503">
      <c r="A27503" s="1" t="s">
        <v>41918</v>
      </c>
      <c r="B27503" s="2" t="s">
        <v>41849</v>
      </c>
      <c r="C27503" s="1" t="s">
        <v>9344</v>
      </c>
      <c r="D27503" s="1" t="s">
        <v>9346</v>
      </c>
    </row>
    <row r="27504">
      <c r="A27504" s="1" t="s">
        <v>41919</v>
      </c>
      <c r="B27504" s="2" t="s">
        <v>41851</v>
      </c>
      <c r="C27504" s="1" t="s">
        <v>9344</v>
      </c>
      <c r="D27504" s="1" t="s">
        <v>9346</v>
      </c>
    </row>
    <row r="27505">
      <c r="A27505" s="1" t="s">
        <v>41920</v>
      </c>
      <c r="B27505" s="2" t="s">
        <v>41853</v>
      </c>
      <c r="C27505" s="1" t="s">
        <v>9344</v>
      </c>
      <c r="D27505" s="1" t="s">
        <v>9346</v>
      </c>
    </row>
    <row r="27506">
      <c r="A27506" s="1" t="s">
        <v>41921</v>
      </c>
      <c r="B27506" s="2" t="s">
        <v>41855</v>
      </c>
      <c r="C27506" s="1" t="s">
        <v>9344</v>
      </c>
      <c r="D27506" s="1" t="s">
        <v>9346</v>
      </c>
    </row>
    <row r="27507">
      <c r="A27507" s="1" t="s">
        <v>41922</v>
      </c>
      <c r="B27507" s="2" t="s">
        <v>41857</v>
      </c>
      <c r="C27507" s="1" t="s">
        <v>9344</v>
      </c>
      <c r="D27507" s="1" t="s">
        <v>9346</v>
      </c>
    </row>
    <row r="27508">
      <c r="A27508" s="1" t="s">
        <v>41923</v>
      </c>
      <c r="B27508" s="2" t="s">
        <v>70</v>
      </c>
      <c r="C27508" s="1" t="s">
        <v>9344</v>
      </c>
      <c r="D27508" s="1" t="s">
        <v>9346</v>
      </c>
    </row>
    <row r="27509">
      <c r="A27509" s="1" t="s">
        <v>41924</v>
      </c>
      <c r="B27509" s="2" t="s">
        <v>41860</v>
      </c>
      <c r="C27509" s="1" t="s">
        <v>9344</v>
      </c>
      <c r="D27509" s="1" t="s">
        <v>9346</v>
      </c>
    </row>
    <row r="27510">
      <c r="A27510" s="1" t="s">
        <v>41925</v>
      </c>
      <c r="B27510" s="2" t="s">
        <v>41862</v>
      </c>
      <c r="C27510" s="1" t="s">
        <v>9344</v>
      </c>
      <c r="D27510" s="1" t="s">
        <v>9346</v>
      </c>
    </row>
    <row r="27511">
      <c r="A27511" s="1" t="s">
        <v>41926</v>
      </c>
      <c r="B27511" s="2" t="s">
        <v>41864</v>
      </c>
      <c r="C27511" s="1" t="s">
        <v>9344</v>
      </c>
      <c r="D27511" s="1" t="s">
        <v>9346</v>
      </c>
    </row>
    <row r="27512">
      <c r="A27512" s="1" t="s">
        <v>41927</v>
      </c>
      <c r="B27512" s="2" t="s">
        <v>41866</v>
      </c>
      <c r="C27512" s="1" t="s">
        <v>9344</v>
      </c>
      <c r="D27512" s="1" t="s">
        <v>9346</v>
      </c>
    </row>
    <row r="27513">
      <c r="A27513" s="1" t="s">
        <v>41928</v>
      </c>
      <c r="B27513" s="2" t="s">
        <v>41868</v>
      </c>
      <c r="C27513" s="1" t="s">
        <v>9344</v>
      </c>
      <c r="D27513" s="1" t="s">
        <v>9346</v>
      </c>
    </row>
    <row r="27514">
      <c r="A27514" s="1" t="s">
        <v>9350</v>
      </c>
      <c r="B27514" s="2" t="s">
        <v>7</v>
      </c>
      <c r="C27514" s="1" t="s">
        <v>9352</v>
      </c>
      <c r="D27514" s="1" t="s">
        <v>9354</v>
      </c>
    </row>
    <row r="27515">
      <c r="A27515" s="1" t="s">
        <v>41929</v>
      </c>
      <c r="B27515" s="2" t="s">
        <v>13</v>
      </c>
      <c r="C27515" s="1" t="s">
        <v>9352</v>
      </c>
      <c r="D27515" s="1" t="s">
        <v>9354</v>
      </c>
    </row>
    <row r="27516">
      <c r="A27516" s="1" t="s">
        <v>41930</v>
      </c>
      <c r="B27516" s="2" t="s">
        <v>41849</v>
      </c>
      <c r="C27516" s="1" t="s">
        <v>9352</v>
      </c>
      <c r="D27516" s="1" t="s">
        <v>9354</v>
      </c>
    </row>
    <row r="27517">
      <c r="A27517" s="1" t="s">
        <v>41931</v>
      </c>
      <c r="B27517" s="2" t="s">
        <v>41851</v>
      </c>
      <c r="C27517" s="1" t="s">
        <v>9352</v>
      </c>
      <c r="D27517" s="1" t="s">
        <v>9354</v>
      </c>
    </row>
    <row r="27518">
      <c r="A27518" s="1" t="s">
        <v>41932</v>
      </c>
      <c r="B27518" s="2" t="s">
        <v>41853</v>
      </c>
      <c r="C27518" s="1" t="s">
        <v>9352</v>
      </c>
      <c r="D27518" s="1" t="s">
        <v>9354</v>
      </c>
    </row>
    <row r="27519">
      <c r="A27519" s="1" t="s">
        <v>41933</v>
      </c>
      <c r="B27519" s="2" t="s">
        <v>41855</v>
      </c>
      <c r="C27519" s="1" t="s">
        <v>9352</v>
      </c>
      <c r="D27519" s="1" t="s">
        <v>9354</v>
      </c>
    </row>
    <row r="27520">
      <c r="A27520" s="1" t="s">
        <v>41934</v>
      </c>
      <c r="B27520" s="2" t="s">
        <v>41857</v>
      </c>
      <c r="C27520" s="1" t="s">
        <v>9352</v>
      </c>
      <c r="D27520" s="1" t="s">
        <v>9354</v>
      </c>
    </row>
    <row r="27521">
      <c r="A27521" s="1" t="s">
        <v>41935</v>
      </c>
      <c r="B27521" s="2" t="s">
        <v>70</v>
      </c>
      <c r="C27521" s="1" t="s">
        <v>9352</v>
      </c>
      <c r="D27521" s="1" t="s">
        <v>9354</v>
      </c>
    </row>
    <row r="27522">
      <c r="A27522" s="1" t="s">
        <v>41936</v>
      </c>
      <c r="B27522" s="2" t="s">
        <v>41860</v>
      </c>
      <c r="C27522" s="1" t="s">
        <v>9352</v>
      </c>
      <c r="D27522" s="1" t="s">
        <v>9354</v>
      </c>
    </row>
    <row r="27523">
      <c r="A27523" s="1" t="s">
        <v>41937</v>
      </c>
      <c r="B27523" s="2" t="s">
        <v>41862</v>
      </c>
      <c r="C27523" s="1" t="s">
        <v>9352</v>
      </c>
      <c r="D27523" s="1" t="s">
        <v>9354</v>
      </c>
    </row>
    <row r="27524">
      <c r="A27524" s="1" t="s">
        <v>41938</v>
      </c>
      <c r="B27524" s="2" t="s">
        <v>41864</v>
      </c>
      <c r="C27524" s="1" t="s">
        <v>9352</v>
      </c>
      <c r="D27524" s="1" t="s">
        <v>9354</v>
      </c>
    </row>
    <row r="27525">
      <c r="A27525" s="1" t="s">
        <v>41939</v>
      </c>
      <c r="B27525" s="2" t="s">
        <v>41866</v>
      </c>
      <c r="C27525" s="1" t="s">
        <v>9352</v>
      </c>
      <c r="D27525" s="1" t="s">
        <v>9354</v>
      </c>
    </row>
    <row r="27526">
      <c r="A27526" s="1" t="s">
        <v>41940</v>
      </c>
      <c r="B27526" s="2" t="s">
        <v>41868</v>
      </c>
      <c r="C27526" s="1" t="s">
        <v>9352</v>
      </c>
      <c r="D27526" s="1" t="s">
        <v>9354</v>
      </c>
    </row>
    <row r="27527">
      <c r="A27527" s="1" t="s">
        <v>9358</v>
      </c>
      <c r="B27527" s="2" t="s">
        <v>7</v>
      </c>
      <c r="C27527" s="1" t="s">
        <v>9361</v>
      </c>
      <c r="D27527" s="1" t="s">
        <v>9362</v>
      </c>
    </row>
    <row r="27528">
      <c r="A27528" s="1" t="s">
        <v>41941</v>
      </c>
      <c r="B27528" s="2" t="s">
        <v>13</v>
      </c>
      <c r="C27528" s="1" t="s">
        <v>9361</v>
      </c>
      <c r="D27528" s="1" t="s">
        <v>9362</v>
      </c>
    </row>
    <row r="27529">
      <c r="A27529" s="1" t="s">
        <v>41942</v>
      </c>
      <c r="B27529" s="2" t="s">
        <v>41849</v>
      </c>
      <c r="C27529" s="1" t="s">
        <v>9361</v>
      </c>
      <c r="D27529" s="1" t="s">
        <v>9362</v>
      </c>
    </row>
    <row r="27530">
      <c r="A27530" s="1" t="s">
        <v>41943</v>
      </c>
      <c r="B27530" s="2" t="s">
        <v>41851</v>
      </c>
      <c r="C27530" s="1" t="s">
        <v>9361</v>
      </c>
      <c r="D27530" s="1" t="s">
        <v>9362</v>
      </c>
    </row>
    <row r="27531">
      <c r="A27531" s="1" t="s">
        <v>41944</v>
      </c>
      <c r="B27531" s="2" t="s">
        <v>41853</v>
      </c>
      <c r="C27531" s="1" t="s">
        <v>9361</v>
      </c>
      <c r="D27531" s="1" t="s">
        <v>9362</v>
      </c>
    </row>
    <row r="27532">
      <c r="A27532" s="1" t="s">
        <v>41945</v>
      </c>
      <c r="B27532" s="2" t="s">
        <v>41855</v>
      </c>
      <c r="C27532" s="1" t="s">
        <v>9361</v>
      </c>
      <c r="D27532" s="1" t="s">
        <v>9362</v>
      </c>
    </row>
    <row r="27533">
      <c r="A27533" s="1" t="s">
        <v>41946</v>
      </c>
      <c r="B27533" s="2" t="s">
        <v>41857</v>
      </c>
      <c r="C27533" s="1" t="s">
        <v>9361</v>
      </c>
      <c r="D27533" s="1" t="s">
        <v>9362</v>
      </c>
    </row>
    <row r="27534">
      <c r="A27534" s="1" t="s">
        <v>41947</v>
      </c>
      <c r="B27534" s="2" t="s">
        <v>70</v>
      </c>
      <c r="C27534" s="1" t="s">
        <v>9361</v>
      </c>
      <c r="D27534" s="1" t="s">
        <v>9362</v>
      </c>
    </row>
    <row r="27535">
      <c r="A27535" s="1" t="s">
        <v>41948</v>
      </c>
      <c r="B27535" s="2" t="s">
        <v>41860</v>
      </c>
      <c r="C27535" s="1" t="s">
        <v>9361</v>
      </c>
      <c r="D27535" s="1" t="s">
        <v>9362</v>
      </c>
    </row>
    <row r="27536">
      <c r="A27536" s="1" t="s">
        <v>41949</v>
      </c>
      <c r="B27536" s="2" t="s">
        <v>41862</v>
      </c>
      <c r="C27536" s="1" t="s">
        <v>9361</v>
      </c>
      <c r="D27536" s="1" t="s">
        <v>9362</v>
      </c>
    </row>
    <row r="27537">
      <c r="A27537" s="1" t="s">
        <v>41950</v>
      </c>
      <c r="B27537" s="2" t="s">
        <v>41864</v>
      </c>
      <c r="C27537" s="1" t="s">
        <v>9361</v>
      </c>
      <c r="D27537" s="1" t="s">
        <v>9362</v>
      </c>
    </row>
    <row r="27538">
      <c r="A27538" s="1" t="s">
        <v>41951</v>
      </c>
      <c r="B27538" s="2" t="s">
        <v>41866</v>
      </c>
      <c r="C27538" s="1" t="s">
        <v>9361</v>
      </c>
      <c r="D27538" s="1" t="s">
        <v>9362</v>
      </c>
    </row>
    <row r="27539">
      <c r="A27539" s="1" t="s">
        <v>41952</v>
      </c>
      <c r="B27539" s="2" t="s">
        <v>41868</v>
      </c>
      <c r="C27539" s="1" t="s">
        <v>9361</v>
      </c>
      <c r="D27539" s="1" t="s">
        <v>9362</v>
      </c>
    </row>
    <row r="27540">
      <c r="A27540" s="1" t="s">
        <v>9367</v>
      </c>
      <c r="B27540" s="2" t="s">
        <v>7</v>
      </c>
      <c r="C27540" s="1" t="s">
        <v>9370</v>
      </c>
      <c r="D27540" s="1" t="s">
        <v>9371</v>
      </c>
    </row>
    <row r="27541">
      <c r="A27541" s="1" t="s">
        <v>41953</v>
      </c>
      <c r="B27541" s="2" t="s">
        <v>13</v>
      </c>
      <c r="C27541" s="1" t="s">
        <v>9370</v>
      </c>
      <c r="D27541" s="1" t="s">
        <v>9371</v>
      </c>
    </row>
    <row r="27542">
      <c r="A27542" s="1" t="s">
        <v>41954</v>
      </c>
      <c r="B27542" s="2" t="s">
        <v>41849</v>
      </c>
      <c r="C27542" s="1" t="s">
        <v>9370</v>
      </c>
      <c r="D27542" s="1" t="s">
        <v>9371</v>
      </c>
    </row>
    <row r="27543">
      <c r="A27543" s="1" t="s">
        <v>41955</v>
      </c>
      <c r="B27543" s="2" t="s">
        <v>41851</v>
      </c>
      <c r="C27543" s="1" t="s">
        <v>9370</v>
      </c>
      <c r="D27543" s="1" t="s">
        <v>9371</v>
      </c>
    </row>
    <row r="27544">
      <c r="A27544" s="1" t="s">
        <v>41956</v>
      </c>
      <c r="B27544" s="2" t="s">
        <v>41853</v>
      </c>
      <c r="C27544" s="1" t="s">
        <v>9370</v>
      </c>
      <c r="D27544" s="1" t="s">
        <v>9371</v>
      </c>
    </row>
    <row r="27545">
      <c r="A27545" s="1" t="s">
        <v>41957</v>
      </c>
      <c r="B27545" s="2" t="s">
        <v>41855</v>
      </c>
      <c r="C27545" s="1" t="s">
        <v>9370</v>
      </c>
      <c r="D27545" s="1" t="s">
        <v>9371</v>
      </c>
    </row>
    <row r="27546">
      <c r="A27546" s="1" t="s">
        <v>41958</v>
      </c>
      <c r="B27546" s="2" t="s">
        <v>41857</v>
      </c>
      <c r="C27546" s="1" t="s">
        <v>9370</v>
      </c>
      <c r="D27546" s="1" t="s">
        <v>9371</v>
      </c>
    </row>
    <row r="27547">
      <c r="A27547" s="1" t="s">
        <v>41959</v>
      </c>
      <c r="B27547" s="2" t="s">
        <v>70</v>
      </c>
      <c r="C27547" s="1" t="s">
        <v>9370</v>
      </c>
      <c r="D27547" s="1" t="s">
        <v>9371</v>
      </c>
    </row>
    <row r="27548">
      <c r="A27548" s="1" t="s">
        <v>41960</v>
      </c>
      <c r="B27548" s="2" t="s">
        <v>41860</v>
      </c>
      <c r="C27548" s="1" t="s">
        <v>9370</v>
      </c>
      <c r="D27548" s="1" t="s">
        <v>9371</v>
      </c>
    </row>
    <row r="27549">
      <c r="A27549" s="1" t="s">
        <v>41961</v>
      </c>
      <c r="B27549" s="2" t="s">
        <v>41862</v>
      </c>
      <c r="C27549" s="1" t="s">
        <v>9370</v>
      </c>
      <c r="D27549" s="1" t="s">
        <v>9371</v>
      </c>
    </row>
    <row r="27550">
      <c r="A27550" s="1" t="s">
        <v>41962</v>
      </c>
      <c r="B27550" s="2" t="s">
        <v>41864</v>
      </c>
      <c r="C27550" s="1" t="s">
        <v>9370</v>
      </c>
      <c r="D27550" s="1" t="s">
        <v>9371</v>
      </c>
    </row>
    <row r="27551">
      <c r="A27551" s="1" t="s">
        <v>41963</v>
      </c>
      <c r="B27551" s="2" t="s">
        <v>41866</v>
      </c>
      <c r="C27551" s="1" t="s">
        <v>9370</v>
      </c>
      <c r="D27551" s="1" t="s">
        <v>9371</v>
      </c>
    </row>
    <row r="27552">
      <c r="A27552" s="1" t="s">
        <v>41964</v>
      </c>
      <c r="B27552" s="2" t="s">
        <v>41868</v>
      </c>
      <c r="C27552" s="1" t="s">
        <v>9370</v>
      </c>
      <c r="D27552" s="1" t="s">
        <v>9371</v>
      </c>
    </row>
    <row r="27553">
      <c r="A27553" s="1" t="s">
        <v>9286</v>
      </c>
      <c r="B27553" s="2" t="s">
        <v>7</v>
      </c>
      <c r="C27553" s="1" t="s">
        <v>9288</v>
      </c>
      <c r="D27553" s="1" t="s">
        <v>9290</v>
      </c>
    </row>
    <row r="27554">
      <c r="A27554" s="1" t="s">
        <v>41965</v>
      </c>
      <c r="B27554" s="2" t="s">
        <v>13</v>
      </c>
      <c r="C27554" s="1" t="s">
        <v>9288</v>
      </c>
      <c r="D27554" s="1" t="s">
        <v>9290</v>
      </c>
    </row>
    <row r="27555">
      <c r="A27555" s="1" t="s">
        <v>41966</v>
      </c>
      <c r="B27555" s="2" t="s">
        <v>25358</v>
      </c>
      <c r="C27555" s="1" t="s">
        <v>9288</v>
      </c>
      <c r="D27555" s="1" t="s">
        <v>9290</v>
      </c>
    </row>
    <row r="27556">
      <c r="A27556" s="1" t="s">
        <v>41967</v>
      </c>
      <c r="B27556" s="2" t="s">
        <v>25360</v>
      </c>
      <c r="C27556" s="1" t="s">
        <v>9288</v>
      </c>
      <c r="D27556" s="1" t="s">
        <v>9290</v>
      </c>
    </row>
    <row r="27557">
      <c r="A27557" s="1" t="s">
        <v>41968</v>
      </c>
      <c r="B27557" s="2" t="s">
        <v>25362</v>
      </c>
      <c r="C27557" s="1" t="s">
        <v>9288</v>
      </c>
      <c r="D27557" s="1" t="s">
        <v>9290</v>
      </c>
    </row>
    <row r="27558">
      <c r="A27558" s="1" t="s">
        <v>41969</v>
      </c>
      <c r="B27558" s="2" t="s">
        <v>25364</v>
      </c>
      <c r="C27558" s="1" t="s">
        <v>9288</v>
      </c>
      <c r="D27558" s="1" t="s">
        <v>9290</v>
      </c>
    </row>
    <row r="27559">
      <c r="A27559" s="1" t="s">
        <v>41970</v>
      </c>
      <c r="B27559" s="2" t="s">
        <v>25366</v>
      </c>
      <c r="C27559" s="1" t="s">
        <v>9288</v>
      </c>
      <c r="D27559" s="1" t="s">
        <v>9290</v>
      </c>
    </row>
    <row r="27560">
      <c r="A27560" s="1" t="s">
        <v>41971</v>
      </c>
      <c r="B27560" s="2" t="s">
        <v>25368</v>
      </c>
      <c r="C27560" s="1" t="s">
        <v>9288</v>
      </c>
      <c r="D27560" s="1" t="s">
        <v>9290</v>
      </c>
    </row>
    <row r="27561">
      <c r="A27561" s="1" t="s">
        <v>41972</v>
      </c>
      <c r="B27561" s="2" t="s">
        <v>25370</v>
      </c>
      <c r="C27561" s="1" t="s">
        <v>9288</v>
      </c>
      <c r="D27561" s="1" t="s">
        <v>9290</v>
      </c>
    </row>
    <row r="27562">
      <c r="A27562" s="1" t="s">
        <v>41973</v>
      </c>
      <c r="B27562" s="2" t="s">
        <v>25372</v>
      </c>
      <c r="C27562" s="1" t="s">
        <v>9288</v>
      </c>
      <c r="D27562" s="1" t="s">
        <v>9290</v>
      </c>
    </row>
    <row r="27563">
      <c r="A27563" s="1" t="s">
        <v>41974</v>
      </c>
      <c r="B27563" s="2" t="s">
        <v>25374</v>
      </c>
      <c r="C27563" s="1" t="s">
        <v>9288</v>
      </c>
      <c r="D27563" s="1" t="s">
        <v>9290</v>
      </c>
    </row>
    <row r="27564">
      <c r="A27564" s="1" t="s">
        <v>41975</v>
      </c>
      <c r="B27564" s="2" t="s">
        <v>25376</v>
      </c>
      <c r="C27564" s="1" t="s">
        <v>9288</v>
      </c>
      <c r="D27564" s="1" t="s">
        <v>9290</v>
      </c>
    </row>
    <row r="27565">
      <c r="A27565" s="1" t="s">
        <v>41976</v>
      </c>
      <c r="B27565" s="2" t="s">
        <v>25378</v>
      </c>
      <c r="C27565" s="1" t="s">
        <v>9288</v>
      </c>
      <c r="D27565" s="1" t="s">
        <v>9290</v>
      </c>
    </row>
    <row r="27566">
      <c r="A27566" s="1" t="s">
        <v>41977</v>
      </c>
      <c r="B27566" s="2" t="s">
        <v>25380</v>
      </c>
      <c r="C27566" s="1" t="s">
        <v>9288</v>
      </c>
      <c r="D27566" s="1" t="s">
        <v>9290</v>
      </c>
    </row>
    <row r="27567">
      <c r="A27567" s="1" t="s">
        <v>41978</v>
      </c>
      <c r="B27567" s="2" t="s">
        <v>25382</v>
      </c>
      <c r="C27567" s="1" t="s">
        <v>9288</v>
      </c>
      <c r="D27567" s="1" t="s">
        <v>9290</v>
      </c>
    </row>
    <row r="27568">
      <c r="A27568" s="1" t="s">
        <v>41979</v>
      </c>
      <c r="B27568" s="2" t="s">
        <v>25384</v>
      </c>
      <c r="C27568" s="1" t="s">
        <v>9288</v>
      </c>
      <c r="D27568" s="1" t="s">
        <v>9290</v>
      </c>
    </row>
    <row r="27569">
      <c r="A27569" s="1" t="s">
        <v>41980</v>
      </c>
      <c r="B27569" s="2" t="s">
        <v>25386</v>
      </c>
      <c r="C27569" s="1" t="s">
        <v>9288</v>
      </c>
      <c r="D27569" s="1" t="s">
        <v>9290</v>
      </c>
    </row>
    <row r="27570">
      <c r="A27570" s="1" t="s">
        <v>41981</v>
      </c>
      <c r="B27570" s="2" t="s">
        <v>25388</v>
      </c>
      <c r="C27570" s="1" t="s">
        <v>9288</v>
      </c>
      <c r="D27570" s="1" t="s">
        <v>9290</v>
      </c>
    </row>
    <row r="27571">
      <c r="A27571" s="1" t="s">
        <v>41982</v>
      </c>
      <c r="B27571" s="2" t="s">
        <v>25390</v>
      </c>
      <c r="C27571" s="1" t="s">
        <v>9288</v>
      </c>
      <c r="D27571" s="1" t="s">
        <v>9290</v>
      </c>
    </row>
    <row r="27572">
      <c r="A27572" s="1" t="s">
        <v>41983</v>
      </c>
      <c r="B27572" s="2" t="s">
        <v>25392</v>
      </c>
      <c r="C27572" s="1" t="s">
        <v>9288</v>
      </c>
      <c r="D27572" s="1" t="s">
        <v>9290</v>
      </c>
    </row>
    <row r="27573">
      <c r="A27573" s="1" t="s">
        <v>41984</v>
      </c>
      <c r="B27573" s="2" t="s">
        <v>25394</v>
      </c>
      <c r="C27573" s="1" t="s">
        <v>9288</v>
      </c>
      <c r="D27573" s="1" t="s">
        <v>9290</v>
      </c>
    </row>
    <row r="27574">
      <c r="A27574" s="1" t="s">
        <v>41985</v>
      </c>
      <c r="B27574" s="2" t="s">
        <v>25396</v>
      </c>
      <c r="C27574" s="1" t="s">
        <v>9288</v>
      </c>
      <c r="D27574" s="1" t="s">
        <v>9290</v>
      </c>
    </row>
    <row r="27575">
      <c r="A27575" s="1" t="s">
        <v>41986</v>
      </c>
      <c r="B27575" s="2" t="s">
        <v>25398</v>
      </c>
      <c r="C27575" s="1" t="s">
        <v>9288</v>
      </c>
      <c r="D27575" s="1" t="s">
        <v>9290</v>
      </c>
    </row>
    <row r="27576">
      <c r="A27576" s="1" t="s">
        <v>41987</v>
      </c>
      <c r="B27576" s="2" t="s">
        <v>25400</v>
      </c>
      <c r="C27576" s="1" t="s">
        <v>9288</v>
      </c>
      <c r="D27576" s="1" t="s">
        <v>9290</v>
      </c>
    </row>
    <row r="27577">
      <c r="A27577" s="1" t="s">
        <v>41988</v>
      </c>
      <c r="B27577" s="2" t="s">
        <v>25402</v>
      </c>
      <c r="C27577" s="1" t="s">
        <v>9288</v>
      </c>
      <c r="D27577" s="1" t="s">
        <v>9290</v>
      </c>
    </row>
    <row r="27578">
      <c r="A27578" s="1" t="s">
        <v>41989</v>
      </c>
      <c r="B27578" s="2" t="s">
        <v>25404</v>
      </c>
      <c r="C27578" s="1" t="s">
        <v>9288</v>
      </c>
      <c r="D27578" s="1" t="s">
        <v>9290</v>
      </c>
    </row>
    <row r="27579">
      <c r="A27579" s="1" t="s">
        <v>41990</v>
      </c>
      <c r="B27579" s="2" t="s">
        <v>25406</v>
      </c>
      <c r="C27579" s="1" t="s">
        <v>9288</v>
      </c>
      <c r="D27579" s="1" t="s">
        <v>9290</v>
      </c>
    </row>
    <row r="27580">
      <c r="A27580" s="1" t="s">
        <v>41991</v>
      </c>
      <c r="B27580" s="2" t="s">
        <v>25408</v>
      </c>
      <c r="C27580" s="1" t="s">
        <v>9288</v>
      </c>
      <c r="D27580" s="1" t="s">
        <v>9290</v>
      </c>
    </row>
    <row r="27581">
      <c r="A27581" s="1" t="s">
        <v>41992</v>
      </c>
      <c r="B27581" s="2" t="s">
        <v>25410</v>
      </c>
      <c r="C27581" s="1" t="s">
        <v>9288</v>
      </c>
      <c r="D27581" s="1" t="s">
        <v>9290</v>
      </c>
    </row>
    <row r="27582">
      <c r="A27582" s="1" t="s">
        <v>41993</v>
      </c>
      <c r="B27582" s="2" t="s">
        <v>25412</v>
      </c>
      <c r="C27582" s="1" t="s">
        <v>9288</v>
      </c>
      <c r="D27582" s="1" t="s">
        <v>9290</v>
      </c>
    </row>
    <row r="27583">
      <c r="A27583" s="1" t="s">
        <v>41994</v>
      </c>
      <c r="B27583" s="2" t="s">
        <v>25414</v>
      </c>
      <c r="C27583" s="1" t="s">
        <v>9288</v>
      </c>
      <c r="D27583" s="1" t="s">
        <v>9290</v>
      </c>
    </row>
    <row r="27584">
      <c r="A27584" s="1" t="s">
        <v>41995</v>
      </c>
      <c r="B27584" s="2" t="s">
        <v>25416</v>
      </c>
      <c r="C27584" s="1" t="s">
        <v>9288</v>
      </c>
      <c r="D27584" s="1" t="s">
        <v>9290</v>
      </c>
    </row>
    <row r="27585">
      <c r="A27585" s="1" t="s">
        <v>41996</v>
      </c>
      <c r="B27585" s="2" t="s">
        <v>25418</v>
      </c>
      <c r="C27585" s="1" t="s">
        <v>9288</v>
      </c>
      <c r="D27585" s="1" t="s">
        <v>9290</v>
      </c>
    </row>
    <row r="27586">
      <c r="A27586" s="1" t="s">
        <v>41997</v>
      </c>
      <c r="B27586" s="2" t="s">
        <v>25420</v>
      </c>
      <c r="C27586" s="1" t="s">
        <v>9288</v>
      </c>
      <c r="D27586" s="1" t="s">
        <v>9290</v>
      </c>
    </row>
    <row r="27587">
      <c r="A27587" s="1" t="s">
        <v>41998</v>
      </c>
      <c r="B27587" s="2" t="s">
        <v>25422</v>
      </c>
      <c r="C27587" s="1" t="s">
        <v>9288</v>
      </c>
      <c r="D27587" s="1" t="s">
        <v>9290</v>
      </c>
    </row>
    <row r="27588">
      <c r="A27588" s="1" t="s">
        <v>41999</v>
      </c>
      <c r="B27588" s="2" t="s">
        <v>25424</v>
      </c>
      <c r="C27588" s="1" t="s">
        <v>9288</v>
      </c>
      <c r="D27588" s="1" t="s">
        <v>9290</v>
      </c>
    </row>
    <row r="27589">
      <c r="A27589" s="1" t="s">
        <v>42000</v>
      </c>
      <c r="B27589" s="2" t="s">
        <v>25426</v>
      </c>
      <c r="C27589" s="1" t="s">
        <v>9288</v>
      </c>
      <c r="D27589" s="1" t="s">
        <v>9290</v>
      </c>
    </row>
    <row r="27590">
      <c r="A27590" s="1" t="s">
        <v>42001</v>
      </c>
      <c r="B27590" s="2" t="s">
        <v>70</v>
      </c>
      <c r="C27590" s="1" t="s">
        <v>9288</v>
      </c>
      <c r="D27590" s="1" t="s">
        <v>9290</v>
      </c>
    </row>
    <row r="27591">
      <c r="A27591" s="1" t="s">
        <v>42002</v>
      </c>
      <c r="B27591" s="2" t="s">
        <v>25429</v>
      </c>
      <c r="C27591" s="1" t="s">
        <v>9288</v>
      </c>
      <c r="D27591" s="1" t="s">
        <v>9290</v>
      </c>
    </row>
    <row r="27592">
      <c r="A27592" s="1" t="s">
        <v>42003</v>
      </c>
      <c r="B27592" s="2" t="s">
        <v>25431</v>
      </c>
      <c r="C27592" s="1" t="s">
        <v>9288</v>
      </c>
      <c r="D27592" s="1" t="s">
        <v>9290</v>
      </c>
    </row>
    <row r="27593">
      <c r="A27593" s="1" t="s">
        <v>42004</v>
      </c>
      <c r="B27593" s="2" t="s">
        <v>25433</v>
      </c>
      <c r="C27593" s="1" t="s">
        <v>9288</v>
      </c>
      <c r="D27593" s="1" t="s">
        <v>9290</v>
      </c>
    </row>
    <row r="27594">
      <c r="A27594" s="1" t="s">
        <v>42005</v>
      </c>
      <c r="B27594" s="2" t="s">
        <v>25435</v>
      </c>
      <c r="C27594" s="1" t="s">
        <v>9288</v>
      </c>
      <c r="D27594" s="1" t="s">
        <v>9290</v>
      </c>
    </row>
    <row r="27595">
      <c r="A27595" s="1" t="s">
        <v>42006</v>
      </c>
      <c r="B27595" s="2" t="s">
        <v>25437</v>
      </c>
      <c r="C27595" s="1" t="s">
        <v>9288</v>
      </c>
      <c r="D27595" s="1" t="s">
        <v>9290</v>
      </c>
    </row>
    <row r="27596">
      <c r="A27596" s="1" t="s">
        <v>42007</v>
      </c>
      <c r="B27596" s="2" t="s">
        <v>25439</v>
      </c>
      <c r="C27596" s="1" t="s">
        <v>9288</v>
      </c>
      <c r="D27596" s="1" t="s">
        <v>9290</v>
      </c>
    </row>
    <row r="27597">
      <c r="A27597" s="1" t="s">
        <v>42008</v>
      </c>
      <c r="B27597" s="2" t="s">
        <v>25441</v>
      </c>
      <c r="C27597" s="1" t="s">
        <v>9288</v>
      </c>
      <c r="D27597" s="1" t="s">
        <v>9290</v>
      </c>
    </row>
    <row r="27598">
      <c r="A27598" s="1" t="s">
        <v>42009</v>
      </c>
      <c r="B27598" s="2" t="s">
        <v>25443</v>
      </c>
      <c r="C27598" s="1" t="s">
        <v>9288</v>
      </c>
      <c r="D27598" s="1" t="s">
        <v>9290</v>
      </c>
    </row>
    <row r="27599">
      <c r="A27599" s="1" t="s">
        <v>42010</v>
      </c>
      <c r="B27599" s="2" t="s">
        <v>25445</v>
      </c>
      <c r="C27599" s="1" t="s">
        <v>9288</v>
      </c>
      <c r="D27599" s="1" t="s">
        <v>9290</v>
      </c>
    </row>
    <row r="27600">
      <c r="A27600" s="1" t="s">
        <v>42011</v>
      </c>
      <c r="B27600" s="2" t="s">
        <v>25447</v>
      </c>
      <c r="C27600" s="1" t="s">
        <v>9288</v>
      </c>
      <c r="D27600" s="1" t="s">
        <v>9290</v>
      </c>
    </row>
    <row r="27601">
      <c r="A27601" s="1" t="s">
        <v>42012</v>
      </c>
      <c r="B27601" s="2" t="s">
        <v>25449</v>
      </c>
      <c r="C27601" s="1" t="s">
        <v>9288</v>
      </c>
      <c r="D27601" s="1" t="s">
        <v>9290</v>
      </c>
    </row>
    <row r="27602">
      <c r="A27602" s="1" t="s">
        <v>42013</v>
      </c>
      <c r="B27602" s="2" t="s">
        <v>25451</v>
      </c>
      <c r="C27602" s="1" t="s">
        <v>9288</v>
      </c>
      <c r="D27602" s="1" t="s">
        <v>9290</v>
      </c>
    </row>
    <row r="27603">
      <c r="A27603" s="1" t="s">
        <v>42014</v>
      </c>
      <c r="B27603" s="2" t="s">
        <v>25453</v>
      </c>
      <c r="C27603" s="1" t="s">
        <v>9288</v>
      </c>
      <c r="D27603" s="1" t="s">
        <v>9290</v>
      </c>
    </row>
    <row r="27604">
      <c r="A27604" s="1" t="s">
        <v>42015</v>
      </c>
      <c r="B27604" s="2" t="s">
        <v>25455</v>
      </c>
      <c r="C27604" s="1" t="s">
        <v>9288</v>
      </c>
      <c r="D27604" s="1" t="s">
        <v>9290</v>
      </c>
    </row>
    <row r="27605">
      <c r="A27605" s="1" t="s">
        <v>42016</v>
      </c>
      <c r="B27605" s="2" t="s">
        <v>25457</v>
      </c>
      <c r="C27605" s="1" t="s">
        <v>9288</v>
      </c>
      <c r="D27605" s="1" t="s">
        <v>9290</v>
      </c>
    </row>
    <row r="27606">
      <c r="A27606" s="1" t="s">
        <v>42017</v>
      </c>
      <c r="B27606" s="2" t="s">
        <v>25459</v>
      </c>
      <c r="C27606" s="1" t="s">
        <v>9288</v>
      </c>
      <c r="D27606" s="1" t="s">
        <v>9290</v>
      </c>
    </row>
    <row r="27607">
      <c r="A27607" s="1" t="s">
        <v>42018</v>
      </c>
      <c r="B27607" s="2" t="s">
        <v>25461</v>
      </c>
      <c r="C27607" s="1" t="s">
        <v>9288</v>
      </c>
      <c r="D27607" s="1" t="s">
        <v>9290</v>
      </c>
    </row>
    <row r="27608">
      <c r="A27608" s="1" t="s">
        <v>42019</v>
      </c>
      <c r="B27608" s="2" t="s">
        <v>25463</v>
      </c>
      <c r="C27608" s="1" t="s">
        <v>9288</v>
      </c>
      <c r="D27608" s="1" t="s">
        <v>9290</v>
      </c>
    </row>
    <row r="27609">
      <c r="A27609" s="1" t="s">
        <v>42020</v>
      </c>
      <c r="B27609" s="2" t="s">
        <v>25465</v>
      </c>
      <c r="C27609" s="1" t="s">
        <v>9288</v>
      </c>
      <c r="D27609" s="1" t="s">
        <v>9290</v>
      </c>
    </row>
    <row r="27610">
      <c r="A27610" s="1" t="s">
        <v>42021</v>
      </c>
      <c r="B27610" s="2" t="s">
        <v>25467</v>
      </c>
      <c r="C27610" s="1" t="s">
        <v>9288</v>
      </c>
      <c r="D27610" s="1" t="s">
        <v>9290</v>
      </c>
    </row>
    <row r="27611">
      <c r="A27611" s="1" t="s">
        <v>42022</v>
      </c>
      <c r="B27611" s="2" t="s">
        <v>25469</v>
      </c>
      <c r="C27611" s="1" t="s">
        <v>9288</v>
      </c>
      <c r="D27611" s="1" t="s">
        <v>9290</v>
      </c>
    </row>
    <row r="27612">
      <c r="A27612" s="1" t="s">
        <v>42023</v>
      </c>
      <c r="B27612" s="2" t="s">
        <v>25471</v>
      </c>
      <c r="C27612" s="1" t="s">
        <v>9288</v>
      </c>
      <c r="D27612" s="1" t="s">
        <v>9290</v>
      </c>
    </row>
    <row r="27613">
      <c r="A27613" s="1" t="s">
        <v>42024</v>
      </c>
      <c r="B27613" s="2" t="s">
        <v>25473</v>
      </c>
      <c r="C27613" s="1" t="s">
        <v>9288</v>
      </c>
      <c r="D27613" s="1" t="s">
        <v>9290</v>
      </c>
    </row>
    <row r="27614">
      <c r="A27614" s="1" t="s">
        <v>42025</v>
      </c>
      <c r="B27614" s="2" t="s">
        <v>25475</v>
      </c>
      <c r="C27614" s="1" t="s">
        <v>9288</v>
      </c>
      <c r="D27614" s="1" t="s">
        <v>9290</v>
      </c>
    </row>
    <row r="27615">
      <c r="A27615" s="1" t="s">
        <v>42026</v>
      </c>
      <c r="B27615" s="2" t="s">
        <v>25477</v>
      </c>
      <c r="C27615" s="1" t="s">
        <v>9288</v>
      </c>
      <c r="D27615" s="1" t="s">
        <v>9290</v>
      </c>
    </row>
    <row r="27616">
      <c r="A27616" s="1" t="s">
        <v>42027</v>
      </c>
      <c r="B27616" s="2" t="s">
        <v>25479</v>
      </c>
      <c r="C27616" s="1" t="s">
        <v>9288</v>
      </c>
      <c r="D27616" s="1" t="s">
        <v>9290</v>
      </c>
    </row>
    <row r="27617">
      <c r="A27617" s="1" t="s">
        <v>42028</v>
      </c>
      <c r="B27617" s="2" t="s">
        <v>25481</v>
      </c>
      <c r="C27617" s="1" t="s">
        <v>9288</v>
      </c>
      <c r="D27617" s="1" t="s">
        <v>9290</v>
      </c>
    </row>
    <row r="27618">
      <c r="A27618" s="1" t="s">
        <v>42029</v>
      </c>
      <c r="B27618" s="2" t="s">
        <v>25483</v>
      </c>
      <c r="C27618" s="1" t="s">
        <v>9288</v>
      </c>
      <c r="D27618" s="1" t="s">
        <v>9290</v>
      </c>
    </row>
    <row r="27619">
      <c r="A27619" s="1" t="s">
        <v>42030</v>
      </c>
      <c r="B27619" s="2" t="s">
        <v>25485</v>
      </c>
      <c r="C27619" s="1" t="s">
        <v>9288</v>
      </c>
      <c r="D27619" s="1" t="s">
        <v>9290</v>
      </c>
    </row>
    <row r="27620">
      <c r="A27620" s="1" t="s">
        <v>42031</v>
      </c>
      <c r="B27620" s="2" t="s">
        <v>25487</v>
      </c>
      <c r="C27620" s="1" t="s">
        <v>9288</v>
      </c>
      <c r="D27620" s="1" t="s">
        <v>9290</v>
      </c>
    </row>
    <row r="27621">
      <c r="A27621" s="1" t="s">
        <v>42032</v>
      </c>
      <c r="B27621" s="2" t="s">
        <v>25489</v>
      </c>
      <c r="C27621" s="1" t="s">
        <v>9288</v>
      </c>
      <c r="D27621" s="1" t="s">
        <v>9290</v>
      </c>
    </row>
    <row r="27622">
      <c r="A27622" s="1" t="s">
        <v>42033</v>
      </c>
      <c r="B27622" s="2" t="s">
        <v>25491</v>
      </c>
      <c r="C27622" s="1" t="s">
        <v>9288</v>
      </c>
      <c r="D27622" s="1" t="s">
        <v>9290</v>
      </c>
    </row>
    <row r="27623">
      <c r="A27623" s="1" t="s">
        <v>42034</v>
      </c>
      <c r="B27623" s="2" t="s">
        <v>25493</v>
      </c>
      <c r="C27623" s="1" t="s">
        <v>9288</v>
      </c>
      <c r="D27623" s="1" t="s">
        <v>9290</v>
      </c>
    </row>
    <row r="27624">
      <c r="A27624" s="1" t="s">
        <v>42035</v>
      </c>
      <c r="B27624" s="2" t="s">
        <v>25495</v>
      </c>
      <c r="C27624" s="1" t="s">
        <v>9288</v>
      </c>
      <c r="D27624" s="1" t="s">
        <v>9290</v>
      </c>
    </row>
    <row r="27625">
      <c r="A27625" s="1" t="s">
        <v>42036</v>
      </c>
      <c r="B27625" s="2" t="s">
        <v>25497</v>
      </c>
      <c r="C27625" s="1" t="s">
        <v>9288</v>
      </c>
      <c r="D27625" s="1" t="s">
        <v>9290</v>
      </c>
    </row>
    <row r="27626">
      <c r="A27626" s="1" t="s">
        <v>9376</v>
      </c>
      <c r="B27626" s="2" t="s">
        <v>7</v>
      </c>
      <c r="C27626" s="1" t="s">
        <v>9379</v>
      </c>
      <c r="D27626" s="1" t="s">
        <v>9380</v>
      </c>
    </row>
    <row r="27627">
      <c r="A27627" s="1" t="s">
        <v>42037</v>
      </c>
      <c r="B27627" s="2" t="s">
        <v>13</v>
      </c>
      <c r="C27627" s="1" t="s">
        <v>9379</v>
      </c>
      <c r="D27627" s="1" t="s">
        <v>9380</v>
      </c>
    </row>
    <row r="27628">
      <c r="A27628" s="1" t="s">
        <v>42038</v>
      </c>
      <c r="B27628" s="2" t="s">
        <v>25358</v>
      </c>
      <c r="C27628" s="1" t="s">
        <v>9379</v>
      </c>
      <c r="D27628" s="1" t="s">
        <v>9380</v>
      </c>
    </row>
    <row r="27629">
      <c r="A27629" s="1" t="s">
        <v>42039</v>
      </c>
      <c r="B27629" s="2" t="s">
        <v>25360</v>
      </c>
      <c r="C27629" s="1" t="s">
        <v>9379</v>
      </c>
      <c r="D27629" s="1" t="s">
        <v>9380</v>
      </c>
    </row>
    <row r="27630">
      <c r="A27630" s="1" t="s">
        <v>42040</v>
      </c>
      <c r="B27630" s="2" t="s">
        <v>25362</v>
      </c>
      <c r="C27630" s="1" t="s">
        <v>9379</v>
      </c>
      <c r="D27630" s="1" t="s">
        <v>9380</v>
      </c>
    </row>
    <row r="27631">
      <c r="A27631" s="1" t="s">
        <v>42041</v>
      </c>
      <c r="B27631" s="2" t="s">
        <v>25364</v>
      </c>
      <c r="C27631" s="1" t="s">
        <v>9379</v>
      </c>
      <c r="D27631" s="1" t="s">
        <v>9380</v>
      </c>
    </row>
    <row r="27632">
      <c r="A27632" s="1" t="s">
        <v>42042</v>
      </c>
      <c r="B27632" s="2" t="s">
        <v>25366</v>
      </c>
      <c r="C27632" s="1" t="s">
        <v>9379</v>
      </c>
      <c r="D27632" s="1" t="s">
        <v>9380</v>
      </c>
    </row>
    <row r="27633">
      <c r="A27633" s="1" t="s">
        <v>42043</v>
      </c>
      <c r="B27633" s="2" t="s">
        <v>25368</v>
      </c>
      <c r="C27633" s="1" t="s">
        <v>9379</v>
      </c>
      <c r="D27633" s="1" t="s">
        <v>9380</v>
      </c>
    </row>
    <row r="27634">
      <c r="A27634" s="1" t="s">
        <v>42044</v>
      </c>
      <c r="B27634" s="2" t="s">
        <v>25370</v>
      </c>
      <c r="C27634" s="1" t="s">
        <v>9379</v>
      </c>
      <c r="D27634" s="1" t="s">
        <v>9380</v>
      </c>
    </row>
    <row r="27635">
      <c r="A27635" s="1" t="s">
        <v>42045</v>
      </c>
      <c r="B27635" s="2" t="s">
        <v>25372</v>
      </c>
      <c r="C27635" s="1" t="s">
        <v>9379</v>
      </c>
      <c r="D27635" s="1" t="s">
        <v>9380</v>
      </c>
    </row>
    <row r="27636">
      <c r="A27636" s="1" t="s">
        <v>42046</v>
      </c>
      <c r="B27636" s="2" t="s">
        <v>25374</v>
      </c>
      <c r="C27636" s="1" t="s">
        <v>9379</v>
      </c>
      <c r="D27636" s="1" t="s">
        <v>9380</v>
      </c>
    </row>
    <row r="27637">
      <c r="A27637" s="1" t="s">
        <v>42047</v>
      </c>
      <c r="B27637" s="2" t="s">
        <v>25376</v>
      </c>
      <c r="C27637" s="1" t="s">
        <v>9379</v>
      </c>
      <c r="D27637" s="1" t="s">
        <v>9380</v>
      </c>
    </row>
    <row r="27638">
      <c r="A27638" s="1" t="s">
        <v>42048</v>
      </c>
      <c r="B27638" s="2" t="s">
        <v>25378</v>
      </c>
      <c r="C27638" s="1" t="s">
        <v>9379</v>
      </c>
      <c r="D27638" s="1" t="s">
        <v>9380</v>
      </c>
    </row>
    <row r="27639">
      <c r="A27639" s="1" t="s">
        <v>42049</v>
      </c>
      <c r="B27639" s="2" t="s">
        <v>25380</v>
      </c>
      <c r="C27639" s="1" t="s">
        <v>9379</v>
      </c>
      <c r="D27639" s="1" t="s">
        <v>9380</v>
      </c>
    </row>
    <row r="27640">
      <c r="A27640" s="1" t="s">
        <v>42050</v>
      </c>
      <c r="B27640" s="2" t="s">
        <v>25382</v>
      </c>
      <c r="C27640" s="1" t="s">
        <v>9379</v>
      </c>
      <c r="D27640" s="1" t="s">
        <v>9380</v>
      </c>
    </row>
    <row r="27641">
      <c r="A27641" s="1" t="s">
        <v>42051</v>
      </c>
      <c r="B27641" s="2" t="s">
        <v>25384</v>
      </c>
      <c r="C27641" s="1" t="s">
        <v>9379</v>
      </c>
      <c r="D27641" s="1" t="s">
        <v>9380</v>
      </c>
    </row>
    <row r="27642">
      <c r="A27642" s="1" t="s">
        <v>42052</v>
      </c>
      <c r="B27642" s="2" t="s">
        <v>25386</v>
      </c>
      <c r="C27642" s="1" t="s">
        <v>9379</v>
      </c>
      <c r="D27642" s="1" t="s">
        <v>9380</v>
      </c>
    </row>
    <row r="27643">
      <c r="A27643" s="1" t="s">
        <v>42053</v>
      </c>
      <c r="B27643" s="2" t="s">
        <v>25388</v>
      </c>
      <c r="C27643" s="1" t="s">
        <v>9379</v>
      </c>
      <c r="D27643" s="1" t="s">
        <v>9380</v>
      </c>
    </row>
    <row r="27644">
      <c r="A27644" s="1" t="s">
        <v>42054</v>
      </c>
      <c r="B27644" s="2" t="s">
        <v>25390</v>
      </c>
      <c r="C27644" s="1" t="s">
        <v>9379</v>
      </c>
      <c r="D27644" s="1" t="s">
        <v>9380</v>
      </c>
    </row>
    <row r="27645">
      <c r="A27645" s="1" t="s">
        <v>42055</v>
      </c>
      <c r="B27645" s="2" t="s">
        <v>25392</v>
      </c>
      <c r="C27645" s="1" t="s">
        <v>9379</v>
      </c>
      <c r="D27645" s="1" t="s">
        <v>9380</v>
      </c>
    </row>
    <row r="27646">
      <c r="A27646" s="1" t="s">
        <v>42056</v>
      </c>
      <c r="B27646" s="2" t="s">
        <v>25394</v>
      </c>
      <c r="C27646" s="1" t="s">
        <v>9379</v>
      </c>
      <c r="D27646" s="1" t="s">
        <v>9380</v>
      </c>
    </row>
    <row r="27647">
      <c r="A27647" s="1" t="s">
        <v>42057</v>
      </c>
      <c r="B27647" s="2" t="s">
        <v>25396</v>
      </c>
      <c r="C27647" s="1" t="s">
        <v>9379</v>
      </c>
      <c r="D27647" s="1" t="s">
        <v>9380</v>
      </c>
    </row>
    <row r="27648">
      <c r="A27648" s="1" t="s">
        <v>42058</v>
      </c>
      <c r="B27648" s="2" t="s">
        <v>25398</v>
      </c>
      <c r="C27648" s="1" t="s">
        <v>9379</v>
      </c>
      <c r="D27648" s="1" t="s">
        <v>9380</v>
      </c>
    </row>
    <row r="27649">
      <c r="A27649" s="1" t="s">
        <v>42059</v>
      </c>
      <c r="B27649" s="2" t="s">
        <v>25400</v>
      </c>
      <c r="C27649" s="1" t="s">
        <v>9379</v>
      </c>
      <c r="D27649" s="1" t="s">
        <v>9380</v>
      </c>
    </row>
    <row r="27650">
      <c r="A27650" s="1" t="s">
        <v>42060</v>
      </c>
      <c r="B27650" s="2" t="s">
        <v>25402</v>
      </c>
      <c r="C27650" s="1" t="s">
        <v>9379</v>
      </c>
      <c r="D27650" s="1" t="s">
        <v>9380</v>
      </c>
    </row>
    <row r="27651">
      <c r="A27651" s="1" t="s">
        <v>42061</v>
      </c>
      <c r="B27651" s="2" t="s">
        <v>25404</v>
      </c>
      <c r="C27651" s="1" t="s">
        <v>9379</v>
      </c>
      <c r="D27651" s="1" t="s">
        <v>9380</v>
      </c>
    </row>
    <row r="27652">
      <c r="A27652" s="1" t="s">
        <v>42062</v>
      </c>
      <c r="B27652" s="2" t="s">
        <v>25406</v>
      </c>
      <c r="C27652" s="1" t="s">
        <v>9379</v>
      </c>
      <c r="D27652" s="1" t="s">
        <v>9380</v>
      </c>
    </row>
    <row r="27653">
      <c r="A27653" s="1" t="s">
        <v>42063</v>
      </c>
      <c r="B27653" s="2" t="s">
        <v>25408</v>
      </c>
      <c r="C27653" s="1" t="s">
        <v>9379</v>
      </c>
      <c r="D27653" s="1" t="s">
        <v>9380</v>
      </c>
    </row>
    <row r="27654">
      <c r="A27654" s="1" t="s">
        <v>42064</v>
      </c>
      <c r="B27654" s="2" t="s">
        <v>25410</v>
      </c>
      <c r="C27654" s="1" t="s">
        <v>9379</v>
      </c>
      <c r="D27654" s="1" t="s">
        <v>9380</v>
      </c>
    </row>
    <row r="27655">
      <c r="A27655" s="1" t="s">
        <v>42065</v>
      </c>
      <c r="B27655" s="2" t="s">
        <v>25412</v>
      </c>
      <c r="C27655" s="1" t="s">
        <v>9379</v>
      </c>
      <c r="D27655" s="1" t="s">
        <v>9380</v>
      </c>
    </row>
    <row r="27656">
      <c r="A27656" s="1" t="s">
        <v>42066</v>
      </c>
      <c r="B27656" s="2" t="s">
        <v>25414</v>
      </c>
      <c r="C27656" s="1" t="s">
        <v>9379</v>
      </c>
      <c r="D27656" s="1" t="s">
        <v>9380</v>
      </c>
    </row>
    <row r="27657">
      <c r="A27657" s="1" t="s">
        <v>42067</v>
      </c>
      <c r="B27657" s="2" t="s">
        <v>25416</v>
      </c>
      <c r="C27657" s="1" t="s">
        <v>9379</v>
      </c>
      <c r="D27657" s="1" t="s">
        <v>9380</v>
      </c>
    </row>
    <row r="27658">
      <c r="A27658" s="1" t="s">
        <v>42068</v>
      </c>
      <c r="B27658" s="2" t="s">
        <v>25418</v>
      </c>
      <c r="C27658" s="1" t="s">
        <v>9379</v>
      </c>
      <c r="D27658" s="1" t="s">
        <v>9380</v>
      </c>
    </row>
    <row r="27659">
      <c r="A27659" s="1" t="s">
        <v>42069</v>
      </c>
      <c r="B27659" s="2" t="s">
        <v>25420</v>
      </c>
      <c r="C27659" s="1" t="s">
        <v>9379</v>
      </c>
      <c r="D27659" s="1" t="s">
        <v>9380</v>
      </c>
    </row>
    <row r="27660">
      <c r="A27660" s="1" t="s">
        <v>42070</v>
      </c>
      <c r="B27660" s="2" t="s">
        <v>25422</v>
      </c>
      <c r="C27660" s="1" t="s">
        <v>9379</v>
      </c>
      <c r="D27660" s="1" t="s">
        <v>9380</v>
      </c>
    </row>
    <row r="27661">
      <c r="A27661" s="1" t="s">
        <v>42071</v>
      </c>
      <c r="B27661" s="2" t="s">
        <v>25424</v>
      </c>
      <c r="C27661" s="1" t="s">
        <v>9379</v>
      </c>
      <c r="D27661" s="1" t="s">
        <v>9380</v>
      </c>
    </row>
    <row r="27662">
      <c r="A27662" s="1" t="s">
        <v>42072</v>
      </c>
      <c r="B27662" s="2" t="s">
        <v>25426</v>
      </c>
      <c r="C27662" s="1" t="s">
        <v>9379</v>
      </c>
      <c r="D27662" s="1" t="s">
        <v>9380</v>
      </c>
    </row>
    <row r="27663">
      <c r="A27663" s="1" t="s">
        <v>42073</v>
      </c>
      <c r="B27663" s="2" t="s">
        <v>70</v>
      </c>
      <c r="C27663" s="1" t="s">
        <v>9379</v>
      </c>
      <c r="D27663" s="1" t="s">
        <v>9380</v>
      </c>
    </row>
    <row r="27664">
      <c r="A27664" s="1" t="s">
        <v>42074</v>
      </c>
      <c r="B27664" s="2" t="s">
        <v>25429</v>
      </c>
      <c r="C27664" s="1" t="s">
        <v>9379</v>
      </c>
      <c r="D27664" s="1" t="s">
        <v>9380</v>
      </c>
    </row>
    <row r="27665">
      <c r="A27665" s="1" t="s">
        <v>42075</v>
      </c>
      <c r="B27665" s="2" t="s">
        <v>25431</v>
      </c>
      <c r="C27665" s="1" t="s">
        <v>9379</v>
      </c>
      <c r="D27665" s="1" t="s">
        <v>9380</v>
      </c>
    </row>
    <row r="27666">
      <c r="A27666" s="1" t="s">
        <v>42076</v>
      </c>
      <c r="B27666" s="2" t="s">
        <v>25433</v>
      </c>
      <c r="C27666" s="1" t="s">
        <v>9379</v>
      </c>
      <c r="D27666" s="1" t="s">
        <v>9380</v>
      </c>
    </row>
    <row r="27667">
      <c r="A27667" s="1" t="s">
        <v>42077</v>
      </c>
      <c r="B27667" s="2" t="s">
        <v>25435</v>
      </c>
      <c r="C27667" s="1" t="s">
        <v>9379</v>
      </c>
      <c r="D27667" s="1" t="s">
        <v>9380</v>
      </c>
    </row>
    <row r="27668">
      <c r="A27668" s="1" t="s">
        <v>42078</v>
      </c>
      <c r="B27668" s="2" t="s">
        <v>25437</v>
      </c>
      <c r="C27668" s="1" t="s">
        <v>9379</v>
      </c>
      <c r="D27668" s="1" t="s">
        <v>9380</v>
      </c>
    </row>
    <row r="27669">
      <c r="A27669" s="1" t="s">
        <v>42079</v>
      </c>
      <c r="B27669" s="2" t="s">
        <v>25439</v>
      </c>
      <c r="C27669" s="1" t="s">
        <v>9379</v>
      </c>
      <c r="D27669" s="1" t="s">
        <v>9380</v>
      </c>
    </row>
    <row r="27670">
      <c r="A27670" s="1" t="s">
        <v>42080</v>
      </c>
      <c r="B27670" s="2" t="s">
        <v>25441</v>
      </c>
      <c r="C27670" s="1" t="s">
        <v>9379</v>
      </c>
      <c r="D27670" s="1" t="s">
        <v>9380</v>
      </c>
    </row>
    <row r="27671">
      <c r="A27671" s="1" t="s">
        <v>42081</v>
      </c>
      <c r="B27671" s="2" t="s">
        <v>25443</v>
      </c>
      <c r="C27671" s="1" t="s">
        <v>9379</v>
      </c>
      <c r="D27671" s="1" t="s">
        <v>9380</v>
      </c>
    </row>
    <row r="27672">
      <c r="A27672" s="1" t="s">
        <v>42082</v>
      </c>
      <c r="B27672" s="2" t="s">
        <v>25445</v>
      </c>
      <c r="C27672" s="1" t="s">
        <v>9379</v>
      </c>
      <c r="D27672" s="1" t="s">
        <v>9380</v>
      </c>
    </row>
    <row r="27673">
      <c r="A27673" s="1" t="s">
        <v>42083</v>
      </c>
      <c r="B27673" s="2" t="s">
        <v>25447</v>
      </c>
      <c r="C27673" s="1" t="s">
        <v>9379</v>
      </c>
      <c r="D27673" s="1" t="s">
        <v>9380</v>
      </c>
    </row>
    <row r="27674">
      <c r="A27674" s="1" t="s">
        <v>42084</v>
      </c>
      <c r="B27674" s="2" t="s">
        <v>25449</v>
      </c>
      <c r="C27674" s="1" t="s">
        <v>9379</v>
      </c>
      <c r="D27674" s="1" t="s">
        <v>9380</v>
      </c>
    </row>
    <row r="27675">
      <c r="A27675" s="1" t="s">
        <v>42085</v>
      </c>
      <c r="B27675" s="2" t="s">
        <v>25451</v>
      </c>
      <c r="C27675" s="1" t="s">
        <v>9379</v>
      </c>
      <c r="D27675" s="1" t="s">
        <v>9380</v>
      </c>
    </row>
    <row r="27676">
      <c r="A27676" s="1" t="s">
        <v>42086</v>
      </c>
      <c r="B27676" s="2" t="s">
        <v>25453</v>
      </c>
      <c r="C27676" s="1" t="s">
        <v>9379</v>
      </c>
      <c r="D27676" s="1" t="s">
        <v>9380</v>
      </c>
    </row>
    <row r="27677">
      <c r="A27677" s="1" t="s">
        <v>42087</v>
      </c>
      <c r="B27677" s="2" t="s">
        <v>25455</v>
      </c>
      <c r="C27677" s="1" t="s">
        <v>9379</v>
      </c>
      <c r="D27677" s="1" t="s">
        <v>9380</v>
      </c>
    </row>
    <row r="27678">
      <c r="A27678" s="1" t="s">
        <v>42088</v>
      </c>
      <c r="B27678" s="2" t="s">
        <v>25457</v>
      </c>
      <c r="C27678" s="1" t="s">
        <v>9379</v>
      </c>
      <c r="D27678" s="1" t="s">
        <v>9380</v>
      </c>
    </row>
    <row r="27679">
      <c r="A27679" s="1" t="s">
        <v>42089</v>
      </c>
      <c r="B27679" s="2" t="s">
        <v>25459</v>
      </c>
      <c r="C27679" s="1" t="s">
        <v>9379</v>
      </c>
      <c r="D27679" s="1" t="s">
        <v>9380</v>
      </c>
    </row>
    <row r="27680">
      <c r="A27680" s="1" t="s">
        <v>42090</v>
      </c>
      <c r="B27680" s="2" t="s">
        <v>25461</v>
      </c>
      <c r="C27680" s="1" t="s">
        <v>9379</v>
      </c>
      <c r="D27680" s="1" t="s">
        <v>9380</v>
      </c>
    </row>
    <row r="27681">
      <c r="A27681" s="1" t="s">
        <v>42091</v>
      </c>
      <c r="B27681" s="2" t="s">
        <v>25463</v>
      </c>
      <c r="C27681" s="1" t="s">
        <v>9379</v>
      </c>
      <c r="D27681" s="1" t="s">
        <v>9380</v>
      </c>
    </row>
    <row r="27682">
      <c r="A27682" s="1" t="s">
        <v>42092</v>
      </c>
      <c r="B27682" s="2" t="s">
        <v>25465</v>
      </c>
      <c r="C27682" s="1" t="s">
        <v>9379</v>
      </c>
      <c r="D27682" s="1" t="s">
        <v>9380</v>
      </c>
    </row>
    <row r="27683">
      <c r="A27683" s="1" t="s">
        <v>42093</v>
      </c>
      <c r="B27683" s="2" t="s">
        <v>25467</v>
      </c>
      <c r="C27683" s="1" t="s">
        <v>9379</v>
      </c>
      <c r="D27683" s="1" t="s">
        <v>9380</v>
      </c>
    </row>
    <row r="27684">
      <c r="A27684" s="1" t="s">
        <v>42094</v>
      </c>
      <c r="B27684" s="2" t="s">
        <v>25469</v>
      </c>
      <c r="C27684" s="1" t="s">
        <v>9379</v>
      </c>
      <c r="D27684" s="1" t="s">
        <v>9380</v>
      </c>
    </row>
    <row r="27685">
      <c r="A27685" s="1" t="s">
        <v>42095</v>
      </c>
      <c r="B27685" s="2" t="s">
        <v>25471</v>
      </c>
      <c r="C27685" s="1" t="s">
        <v>9379</v>
      </c>
      <c r="D27685" s="1" t="s">
        <v>9380</v>
      </c>
    </row>
    <row r="27686">
      <c r="A27686" s="1" t="s">
        <v>42096</v>
      </c>
      <c r="B27686" s="2" t="s">
        <v>25473</v>
      </c>
      <c r="C27686" s="1" t="s">
        <v>9379</v>
      </c>
      <c r="D27686" s="1" t="s">
        <v>9380</v>
      </c>
    </row>
    <row r="27687">
      <c r="A27687" s="1" t="s">
        <v>42097</v>
      </c>
      <c r="B27687" s="2" t="s">
        <v>25475</v>
      </c>
      <c r="C27687" s="1" t="s">
        <v>9379</v>
      </c>
      <c r="D27687" s="1" t="s">
        <v>9380</v>
      </c>
    </row>
    <row r="27688">
      <c r="A27688" s="1" t="s">
        <v>42098</v>
      </c>
      <c r="B27688" s="2" t="s">
        <v>25477</v>
      </c>
      <c r="C27688" s="1" t="s">
        <v>9379</v>
      </c>
      <c r="D27688" s="1" t="s">
        <v>9380</v>
      </c>
    </row>
    <row r="27689">
      <c r="A27689" s="1" t="s">
        <v>42099</v>
      </c>
      <c r="B27689" s="2" t="s">
        <v>25479</v>
      </c>
      <c r="C27689" s="1" t="s">
        <v>9379</v>
      </c>
      <c r="D27689" s="1" t="s">
        <v>9380</v>
      </c>
    </row>
    <row r="27690">
      <c r="A27690" s="1" t="s">
        <v>42100</v>
      </c>
      <c r="B27690" s="2" t="s">
        <v>25481</v>
      </c>
      <c r="C27690" s="1" t="s">
        <v>9379</v>
      </c>
      <c r="D27690" s="1" t="s">
        <v>9380</v>
      </c>
    </row>
    <row r="27691">
      <c r="A27691" s="1" t="s">
        <v>42101</v>
      </c>
      <c r="B27691" s="2" t="s">
        <v>25483</v>
      </c>
      <c r="C27691" s="1" t="s">
        <v>9379</v>
      </c>
      <c r="D27691" s="1" t="s">
        <v>9380</v>
      </c>
    </row>
    <row r="27692">
      <c r="A27692" s="1" t="s">
        <v>42102</v>
      </c>
      <c r="B27692" s="2" t="s">
        <v>25485</v>
      </c>
      <c r="C27692" s="1" t="s">
        <v>9379</v>
      </c>
      <c r="D27692" s="1" t="s">
        <v>9380</v>
      </c>
    </row>
    <row r="27693">
      <c r="A27693" s="1" t="s">
        <v>42103</v>
      </c>
      <c r="B27693" s="2" t="s">
        <v>25487</v>
      </c>
      <c r="C27693" s="1" t="s">
        <v>9379</v>
      </c>
      <c r="D27693" s="1" t="s">
        <v>9380</v>
      </c>
    </row>
    <row r="27694">
      <c r="A27694" s="1" t="s">
        <v>42104</v>
      </c>
      <c r="B27694" s="2" t="s">
        <v>25489</v>
      </c>
      <c r="C27694" s="1" t="s">
        <v>9379</v>
      </c>
      <c r="D27694" s="1" t="s">
        <v>9380</v>
      </c>
    </row>
    <row r="27695">
      <c r="A27695" s="1" t="s">
        <v>42105</v>
      </c>
      <c r="B27695" s="2" t="s">
        <v>25491</v>
      </c>
      <c r="C27695" s="1" t="s">
        <v>9379</v>
      </c>
      <c r="D27695" s="1" t="s">
        <v>9380</v>
      </c>
    </row>
    <row r="27696">
      <c r="A27696" s="1" t="s">
        <v>42106</v>
      </c>
      <c r="B27696" s="2" t="s">
        <v>25493</v>
      </c>
      <c r="C27696" s="1" t="s">
        <v>9379</v>
      </c>
      <c r="D27696" s="1" t="s">
        <v>9380</v>
      </c>
    </row>
    <row r="27697">
      <c r="A27697" s="1" t="s">
        <v>42107</v>
      </c>
      <c r="B27697" s="2" t="s">
        <v>25495</v>
      </c>
      <c r="C27697" s="1" t="s">
        <v>9379</v>
      </c>
      <c r="D27697" s="1" t="s">
        <v>9380</v>
      </c>
    </row>
    <row r="27698">
      <c r="A27698" s="1" t="s">
        <v>42108</v>
      </c>
      <c r="B27698" s="2" t="s">
        <v>25497</v>
      </c>
      <c r="C27698" s="1" t="s">
        <v>9379</v>
      </c>
      <c r="D27698" s="1" t="s">
        <v>9380</v>
      </c>
    </row>
    <row r="27699">
      <c r="A27699" s="1" t="s">
        <v>9384</v>
      </c>
      <c r="B27699" s="2" t="s">
        <v>7</v>
      </c>
      <c r="C27699" s="1" t="s">
        <v>9386</v>
      </c>
      <c r="D27699" s="1" t="s">
        <v>9387</v>
      </c>
    </row>
    <row r="27700">
      <c r="A27700" s="1" t="s">
        <v>42109</v>
      </c>
      <c r="B27700" s="2" t="s">
        <v>13</v>
      </c>
      <c r="C27700" s="1" t="s">
        <v>9386</v>
      </c>
      <c r="D27700" s="1" t="s">
        <v>9387</v>
      </c>
    </row>
    <row r="27701">
      <c r="A27701" s="1" t="s">
        <v>42110</v>
      </c>
      <c r="B27701" s="2" t="s">
        <v>42111</v>
      </c>
      <c r="C27701" s="1" t="s">
        <v>9386</v>
      </c>
      <c r="D27701" s="1" t="s">
        <v>9387</v>
      </c>
    </row>
    <row r="27702">
      <c r="A27702" s="1" t="s">
        <v>42112</v>
      </c>
      <c r="B27702" s="2" t="s">
        <v>42113</v>
      </c>
      <c r="C27702" s="1" t="s">
        <v>9386</v>
      </c>
      <c r="D27702" s="1" t="s">
        <v>9387</v>
      </c>
    </row>
    <row r="27703">
      <c r="A27703" s="1" t="s">
        <v>42114</v>
      </c>
      <c r="B27703" s="2" t="s">
        <v>42115</v>
      </c>
      <c r="C27703" s="1" t="s">
        <v>9386</v>
      </c>
      <c r="D27703" s="1" t="s">
        <v>9387</v>
      </c>
    </row>
    <row r="27704">
      <c r="A27704" s="1" t="s">
        <v>42116</v>
      </c>
      <c r="B27704" s="2" t="s">
        <v>42117</v>
      </c>
      <c r="C27704" s="1" t="s">
        <v>9386</v>
      </c>
      <c r="D27704" s="1" t="s">
        <v>9387</v>
      </c>
    </row>
    <row r="27705">
      <c r="A27705" s="1" t="s">
        <v>42118</v>
      </c>
      <c r="B27705" s="2" t="s">
        <v>42119</v>
      </c>
      <c r="C27705" s="1" t="s">
        <v>9386</v>
      </c>
      <c r="D27705" s="1" t="s">
        <v>9387</v>
      </c>
    </row>
    <row r="27706">
      <c r="A27706" s="1" t="s">
        <v>42120</v>
      </c>
      <c r="B27706" s="2" t="s">
        <v>42121</v>
      </c>
      <c r="C27706" s="1" t="s">
        <v>9386</v>
      </c>
      <c r="D27706" s="1" t="s">
        <v>9387</v>
      </c>
    </row>
    <row r="27707">
      <c r="A27707" s="1" t="s">
        <v>42122</v>
      </c>
      <c r="B27707" s="2" t="s">
        <v>42123</v>
      </c>
      <c r="C27707" s="1" t="s">
        <v>9386</v>
      </c>
      <c r="D27707" s="1" t="s">
        <v>9387</v>
      </c>
    </row>
    <row r="27708">
      <c r="A27708" s="1" t="s">
        <v>42124</v>
      </c>
      <c r="B27708" s="2" t="s">
        <v>42125</v>
      </c>
      <c r="C27708" s="1" t="s">
        <v>9386</v>
      </c>
      <c r="D27708" s="1" t="s">
        <v>9387</v>
      </c>
    </row>
    <row r="27709">
      <c r="A27709" s="1" t="s">
        <v>42126</v>
      </c>
      <c r="B27709" s="2" t="s">
        <v>42127</v>
      </c>
      <c r="C27709" s="1" t="s">
        <v>9386</v>
      </c>
      <c r="D27709" s="1" t="s">
        <v>9387</v>
      </c>
    </row>
    <row r="27710">
      <c r="A27710" s="1" t="s">
        <v>42128</v>
      </c>
      <c r="B27710" s="2" t="s">
        <v>42129</v>
      </c>
      <c r="C27710" s="1" t="s">
        <v>9386</v>
      </c>
      <c r="D27710" s="1" t="s">
        <v>9387</v>
      </c>
    </row>
    <row r="27711">
      <c r="A27711" s="1" t="s">
        <v>42130</v>
      </c>
      <c r="B27711" s="2" t="s">
        <v>42131</v>
      </c>
      <c r="C27711" s="1" t="s">
        <v>9386</v>
      </c>
      <c r="D27711" s="1" t="s">
        <v>9387</v>
      </c>
    </row>
    <row r="27712">
      <c r="A27712" s="1" t="s">
        <v>42132</v>
      </c>
      <c r="B27712" s="2" t="s">
        <v>42133</v>
      </c>
      <c r="C27712" s="1" t="s">
        <v>9386</v>
      </c>
      <c r="D27712" s="1" t="s">
        <v>9387</v>
      </c>
    </row>
    <row r="27713">
      <c r="A27713" s="1" t="s">
        <v>42134</v>
      </c>
      <c r="B27713" s="2" t="s">
        <v>42135</v>
      </c>
      <c r="C27713" s="1" t="s">
        <v>9386</v>
      </c>
      <c r="D27713" s="1" t="s">
        <v>9387</v>
      </c>
    </row>
    <row r="27714">
      <c r="A27714" s="1" t="s">
        <v>42136</v>
      </c>
      <c r="B27714" s="2" t="s">
        <v>42137</v>
      </c>
      <c r="C27714" s="1" t="s">
        <v>9386</v>
      </c>
      <c r="D27714" s="1" t="s">
        <v>9387</v>
      </c>
    </row>
    <row r="27715">
      <c r="A27715" s="1" t="s">
        <v>42138</v>
      </c>
      <c r="B27715" s="2" t="s">
        <v>42139</v>
      </c>
      <c r="C27715" s="1" t="s">
        <v>9386</v>
      </c>
      <c r="D27715" s="1" t="s">
        <v>9387</v>
      </c>
    </row>
    <row r="27716">
      <c r="A27716" s="1" t="s">
        <v>42140</v>
      </c>
      <c r="B27716" s="2" t="s">
        <v>42141</v>
      </c>
      <c r="C27716" s="1" t="s">
        <v>9386</v>
      </c>
      <c r="D27716" s="1" t="s">
        <v>9387</v>
      </c>
    </row>
    <row r="27717">
      <c r="A27717" s="1" t="s">
        <v>42142</v>
      </c>
      <c r="B27717" s="2" t="s">
        <v>42143</v>
      </c>
      <c r="C27717" s="1" t="s">
        <v>9386</v>
      </c>
      <c r="D27717" s="1" t="s">
        <v>9387</v>
      </c>
    </row>
    <row r="27718">
      <c r="A27718" s="1" t="s">
        <v>42144</v>
      </c>
      <c r="B27718" s="2" t="s">
        <v>42145</v>
      </c>
      <c r="C27718" s="1" t="s">
        <v>9386</v>
      </c>
      <c r="D27718" s="1" t="s">
        <v>9387</v>
      </c>
    </row>
    <row r="27719">
      <c r="A27719" s="1" t="s">
        <v>42146</v>
      </c>
      <c r="B27719" s="2" t="s">
        <v>42147</v>
      </c>
      <c r="C27719" s="1" t="s">
        <v>9386</v>
      </c>
      <c r="D27719" s="1" t="s">
        <v>9387</v>
      </c>
    </row>
    <row r="27720">
      <c r="A27720" s="1" t="s">
        <v>42148</v>
      </c>
      <c r="B27720" s="2" t="s">
        <v>42149</v>
      </c>
      <c r="C27720" s="1" t="s">
        <v>9386</v>
      </c>
      <c r="D27720" s="1" t="s">
        <v>9387</v>
      </c>
    </row>
    <row r="27721">
      <c r="A27721" s="1" t="s">
        <v>42150</v>
      </c>
      <c r="B27721" s="2" t="s">
        <v>42151</v>
      </c>
      <c r="C27721" s="1" t="s">
        <v>9386</v>
      </c>
      <c r="D27721" s="1" t="s">
        <v>9387</v>
      </c>
    </row>
    <row r="27722">
      <c r="A27722" s="1" t="s">
        <v>42152</v>
      </c>
      <c r="B27722" s="2" t="s">
        <v>42153</v>
      </c>
      <c r="C27722" s="1" t="s">
        <v>9386</v>
      </c>
      <c r="D27722" s="1" t="s">
        <v>9387</v>
      </c>
    </row>
    <row r="27723">
      <c r="A27723" s="1" t="s">
        <v>42154</v>
      </c>
      <c r="B27723" s="2" t="s">
        <v>42155</v>
      </c>
      <c r="C27723" s="1" t="s">
        <v>9386</v>
      </c>
      <c r="D27723" s="1" t="s">
        <v>9387</v>
      </c>
    </row>
    <row r="27724">
      <c r="A27724" s="1" t="s">
        <v>42156</v>
      </c>
      <c r="B27724" s="2" t="s">
        <v>42157</v>
      </c>
      <c r="C27724" s="1" t="s">
        <v>9386</v>
      </c>
      <c r="D27724" s="1" t="s">
        <v>9387</v>
      </c>
    </row>
    <row r="27725">
      <c r="A27725" s="1" t="s">
        <v>42158</v>
      </c>
      <c r="B27725" s="2" t="s">
        <v>42159</v>
      </c>
      <c r="C27725" s="1" t="s">
        <v>9386</v>
      </c>
      <c r="D27725" s="1" t="s">
        <v>9387</v>
      </c>
    </row>
    <row r="27726">
      <c r="A27726" s="1" t="s">
        <v>42160</v>
      </c>
      <c r="B27726" s="2" t="s">
        <v>42161</v>
      </c>
      <c r="C27726" s="1" t="s">
        <v>9386</v>
      </c>
      <c r="D27726" s="1" t="s">
        <v>9387</v>
      </c>
    </row>
    <row r="27727">
      <c r="A27727" s="1" t="s">
        <v>42162</v>
      </c>
      <c r="B27727" s="2" t="s">
        <v>70</v>
      </c>
      <c r="C27727" s="1" t="s">
        <v>9386</v>
      </c>
      <c r="D27727" s="1" t="s">
        <v>9387</v>
      </c>
    </row>
    <row r="27728">
      <c r="A27728" s="1" t="s">
        <v>42163</v>
      </c>
      <c r="B27728" s="2" t="s">
        <v>42164</v>
      </c>
      <c r="C27728" s="1" t="s">
        <v>9386</v>
      </c>
      <c r="D27728" s="1" t="s">
        <v>9387</v>
      </c>
    </row>
    <row r="27729">
      <c r="A27729" s="1" t="s">
        <v>42165</v>
      </c>
      <c r="B27729" s="2" t="s">
        <v>42166</v>
      </c>
      <c r="C27729" s="1" t="s">
        <v>9386</v>
      </c>
      <c r="D27729" s="1" t="s">
        <v>9387</v>
      </c>
    </row>
    <row r="27730">
      <c r="A27730" s="1" t="s">
        <v>42167</v>
      </c>
      <c r="B27730" s="2" t="s">
        <v>42168</v>
      </c>
      <c r="C27730" s="1" t="s">
        <v>9386</v>
      </c>
      <c r="D27730" s="1" t="s">
        <v>9387</v>
      </c>
    </row>
    <row r="27731">
      <c r="A27731" s="1" t="s">
        <v>42169</v>
      </c>
      <c r="B27731" s="2" t="s">
        <v>42170</v>
      </c>
      <c r="C27731" s="1" t="s">
        <v>9386</v>
      </c>
      <c r="D27731" s="1" t="s">
        <v>9387</v>
      </c>
    </row>
    <row r="27732">
      <c r="A27732" s="1" t="s">
        <v>42171</v>
      </c>
      <c r="B27732" s="2" t="s">
        <v>42172</v>
      </c>
      <c r="C27732" s="1" t="s">
        <v>9386</v>
      </c>
      <c r="D27732" s="1" t="s">
        <v>9387</v>
      </c>
    </row>
    <row r="27733">
      <c r="A27733" s="1" t="s">
        <v>42173</v>
      </c>
      <c r="B27733" s="2" t="s">
        <v>42174</v>
      </c>
      <c r="C27733" s="1" t="s">
        <v>9386</v>
      </c>
      <c r="D27733" s="1" t="s">
        <v>9387</v>
      </c>
    </row>
    <row r="27734">
      <c r="A27734" s="1" t="s">
        <v>42175</v>
      </c>
      <c r="B27734" s="2" t="s">
        <v>42176</v>
      </c>
      <c r="C27734" s="1" t="s">
        <v>9386</v>
      </c>
      <c r="D27734" s="1" t="s">
        <v>9387</v>
      </c>
    </row>
    <row r="27735">
      <c r="A27735" s="1" t="s">
        <v>42177</v>
      </c>
      <c r="B27735" s="2" t="s">
        <v>42178</v>
      </c>
      <c r="C27735" s="1" t="s">
        <v>9386</v>
      </c>
      <c r="D27735" s="1" t="s">
        <v>9387</v>
      </c>
    </row>
    <row r="27736">
      <c r="A27736" s="1" t="s">
        <v>42179</v>
      </c>
      <c r="B27736" s="2" t="s">
        <v>42180</v>
      </c>
      <c r="C27736" s="1" t="s">
        <v>9386</v>
      </c>
      <c r="D27736" s="1" t="s">
        <v>9387</v>
      </c>
    </row>
    <row r="27737">
      <c r="A27737" s="1" t="s">
        <v>42181</v>
      </c>
      <c r="B27737" s="2" t="s">
        <v>42182</v>
      </c>
      <c r="C27737" s="1" t="s">
        <v>9386</v>
      </c>
      <c r="D27737" s="1" t="s">
        <v>9387</v>
      </c>
    </row>
    <row r="27738">
      <c r="A27738" s="1" t="s">
        <v>42183</v>
      </c>
      <c r="B27738" s="2" t="s">
        <v>42184</v>
      </c>
      <c r="C27738" s="1" t="s">
        <v>9386</v>
      </c>
      <c r="D27738" s="1" t="s">
        <v>9387</v>
      </c>
    </row>
    <row r="27739">
      <c r="A27739" s="1" t="s">
        <v>42185</v>
      </c>
      <c r="B27739" s="2" t="s">
        <v>42186</v>
      </c>
      <c r="C27739" s="1" t="s">
        <v>9386</v>
      </c>
      <c r="D27739" s="1" t="s">
        <v>9387</v>
      </c>
    </row>
    <row r="27740">
      <c r="A27740" s="1" t="s">
        <v>42187</v>
      </c>
      <c r="B27740" s="2" t="s">
        <v>42188</v>
      </c>
      <c r="C27740" s="1" t="s">
        <v>9386</v>
      </c>
      <c r="D27740" s="1" t="s">
        <v>9387</v>
      </c>
    </row>
    <row r="27741">
      <c r="A27741" s="1" t="s">
        <v>42189</v>
      </c>
      <c r="B27741" s="2" t="s">
        <v>42190</v>
      </c>
      <c r="C27741" s="1" t="s">
        <v>9386</v>
      </c>
      <c r="D27741" s="1" t="s">
        <v>9387</v>
      </c>
    </row>
    <row r="27742">
      <c r="A27742" s="1" t="s">
        <v>42191</v>
      </c>
      <c r="B27742" s="2" t="s">
        <v>42192</v>
      </c>
      <c r="C27742" s="1" t="s">
        <v>9386</v>
      </c>
      <c r="D27742" s="1" t="s">
        <v>9387</v>
      </c>
    </row>
    <row r="27743">
      <c r="A27743" s="1" t="s">
        <v>42193</v>
      </c>
      <c r="B27743" s="2" t="s">
        <v>42194</v>
      </c>
      <c r="C27743" s="1" t="s">
        <v>9386</v>
      </c>
      <c r="D27743" s="1" t="s">
        <v>9387</v>
      </c>
    </row>
    <row r="27744">
      <c r="A27744" s="1" t="s">
        <v>42195</v>
      </c>
      <c r="B27744" s="2" t="s">
        <v>42196</v>
      </c>
      <c r="C27744" s="1" t="s">
        <v>9386</v>
      </c>
      <c r="D27744" s="1" t="s">
        <v>9387</v>
      </c>
    </row>
    <row r="27745">
      <c r="A27745" s="1" t="s">
        <v>42197</v>
      </c>
      <c r="B27745" s="2" t="s">
        <v>42198</v>
      </c>
      <c r="C27745" s="1" t="s">
        <v>9386</v>
      </c>
      <c r="D27745" s="1" t="s">
        <v>9387</v>
      </c>
    </row>
    <row r="27746">
      <c r="A27746" s="1" t="s">
        <v>42199</v>
      </c>
      <c r="B27746" s="2" t="s">
        <v>42200</v>
      </c>
      <c r="C27746" s="1" t="s">
        <v>9386</v>
      </c>
      <c r="D27746" s="1" t="s">
        <v>9387</v>
      </c>
    </row>
    <row r="27747">
      <c r="A27747" s="1" t="s">
        <v>42201</v>
      </c>
      <c r="B27747" s="2" t="s">
        <v>42202</v>
      </c>
      <c r="C27747" s="1" t="s">
        <v>9386</v>
      </c>
      <c r="D27747" s="1" t="s">
        <v>9387</v>
      </c>
    </row>
    <row r="27748">
      <c r="A27748" s="1" t="s">
        <v>42203</v>
      </c>
      <c r="B27748" s="2" t="s">
        <v>42204</v>
      </c>
      <c r="C27748" s="1" t="s">
        <v>9386</v>
      </c>
      <c r="D27748" s="1" t="s">
        <v>9387</v>
      </c>
    </row>
    <row r="27749">
      <c r="A27749" s="1" t="s">
        <v>42205</v>
      </c>
      <c r="B27749" s="2" t="s">
        <v>42206</v>
      </c>
      <c r="C27749" s="1" t="s">
        <v>9386</v>
      </c>
      <c r="D27749" s="1" t="s">
        <v>9387</v>
      </c>
    </row>
    <row r="27750">
      <c r="A27750" s="1" t="s">
        <v>42207</v>
      </c>
      <c r="B27750" s="2" t="s">
        <v>42208</v>
      </c>
      <c r="C27750" s="1" t="s">
        <v>9386</v>
      </c>
      <c r="D27750" s="1" t="s">
        <v>9387</v>
      </c>
    </row>
    <row r="27751">
      <c r="A27751" s="1" t="s">
        <v>42209</v>
      </c>
      <c r="B27751" s="2" t="s">
        <v>42210</v>
      </c>
      <c r="C27751" s="1" t="s">
        <v>9386</v>
      </c>
      <c r="D27751" s="1" t="s">
        <v>9387</v>
      </c>
    </row>
    <row r="27752">
      <c r="A27752" s="1" t="s">
        <v>42211</v>
      </c>
      <c r="B27752" s="2" t="s">
        <v>42212</v>
      </c>
      <c r="C27752" s="1" t="s">
        <v>9386</v>
      </c>
      <c r="D27752" s="1" t="s">
        <v>9387</v>
      </c>
    </row>
    <row r="27753">
      <c r="A27753" s="1" t="s">
        <v>42213</v>
      </c>
      <c r="B27753" s="2" t="s">
        <v>42214</v>
      </c>
      <c r="C27753" s="1" t="s">
        <v>9386</v>
      </c>
      <c r="D27753" s="1" t="s">
        <v>9387</v>
      </c>
    </row>
    <row r="27754">
      <c r="A27754" s="1" t="s">
        <v>9391</v>
      </c>
      <c r="B27754" s="2" t="s">
        <v>7</v>
      </c>
      <c r="C27754" s="1" t="s">
        <v>9393</v>
      </c>
      <c r="D27754" s="1" t="s">
        <v>9394</v>
      </c>
    </row>
    <row r="27755">
      <c r="A27755" s="1" t="s">
        <v>42215</v>
      </c>
      <c r="B27755" s="2" t="s">
        <v>13</v>
      </c>
      <c r="C27755" s="1" t="s">
        <v>9393</v>
      </c>
      <c r="D27755" s="1" t="s">
        <v>9394</v>
      </c>
    </row>
    <row r="27756">
      <c r="A27756" s="1" t="s">
        <v>42216</v>
      </c>
      <c r="B27756" s="2" t="s">
        <v>42111</v>
      </c>
      <c r="C27756" s="1" t="s">
        <v>9393</v>
      </c>
      <c r="D27756" s="1" t="s">
        <v>9394</v>
      </c>
    </row>
    <row r="27757">
      <c r="A27757" s="1" t="s">
        <v>42217</v>
      </c>
      <c r="B27757" s="2" t="s">
        <v>42113</v>
      </c>
      <c r="C27757" s="1" t="s">
        <v>9393</v>
      </c>
      <c r="D27757" s="1" t="s">
        <v>9394</v>
      </c>
    </row>
    <row r="27758">
      <c r="A27758" s="1" t="s">
        <v>42218</v>
      </c>
      <c r="B27758" s="2" t="s">
        <v>42115</v>
      </c>
      <c r="C27758" s="1" t="s">
        <v>9393</v>
      </c>
      <c r="D27758" s="1" t="s">
        <v>9394</v>
      </c>
    </row>
    <row r="27759">
      <c r="A27759" s="1" t="s">
        <v>42219</v>
      </c>
      <c r="B27759" s="2" t="s">
        <v>42117</v>
      </c>
      <c r="C27759" s="1" t="s">
        <v>9393</v>
      </c>
      <c r="D27759" s="1" t="s">
        <v>9394</v>
      </c>
    </row>
    <row r="27760">
      <c r="A27760" s="1" t="s">
        <v>42220</v>
      </c>
      <c r="B27760" s="2" t="s">
        <v>42119</v>
      </c>
      <c r="C27760" s="1" t="s">
        <v>9393</v>
      </c>
      <c r="D27760" s="1" t="s">
        <v>9394</v>
      </c>
    </row>
    <row r="27761">
      <c r="A27761" s="1" t="s">
        <v>42221</v>
      </c>
      <c r="B27761" s="2" t="s">
        <v>42121</v>
      </c>
      <c r="C27761" s="1" t="s">
        <v>9393</v>
      </c>
      <c r="D27761" s="1" t="s">
        <v>9394</v>
      </c>
    </row>
    <row r="27762">
      <c r="A27762" s="1" t="s">
        <v>42222</v>
      </c>
      <c r="B27762" s="2" t="s">
        <v>42123</v>
      </c>
      <c r="C27762" s="1" t="s">
        <v>9393</v>
      </c>
      <c r="D27762" s="1" t="s">
        <v>9394</v>
      </c>
    </row>
    <row r="27763">
      <c r="A27763" s="1" t="s">
        <v>42223</v>
      </c>
      <c r="B27763" s="2" t="s">
        <v>42125</v>
      </c>
      <c r="C27763" s="1" t="s">
        <v>9393</v>
      </c>
      <c r="D27763" s="1" t="s">
        <v>9394</v>
      </c>
    </row>
    <row r="27764">
      <c r="A27764" s="1" t="s">
        <v>42224</v>
      </c>
      <c r="B27764" s="2" t="s">
        <v>42127</v>
      </c>
      <c r="C27764" s="1" t="s">
        <v>9393</v>
      </c>
      <c r="D27764" s="1" t="s">
        <v>9394</v>
      </c>
    </row>
    <row r="27765">
      <c r="A27765" s="1" t="s">
        <v>42225</v>
      </c>
      <c r="B27765" s="2" t="s">
        <v>42129</v>
      </c>
      <c r="C27765" s="1" t="s">
        <v>9393</v>
      </c>
      <c r="D27765" s="1" t="s">
        <v>9394</v>
      </c>
    </row>
    <row r="27766">
      <c r="A27766" s="1" t="s">
        <v>42226</v>
      </c>
      <c r="B27766" s="2" t="s">
        <v>42131</v>
      </c>
      <c r="C27766" s="1" t="s">
        <v>9393</v>
      </c>
      <c r="D27766" s="1" t="s">
        <v>9394</v>
      </c>
    </row>
    <row r="27767">
      <c r="A27767" s="1" t="s">
        <v>42227</v>
      </c>
      <c r="B27767" s="2" t="s">
        <v>42133</v>
      </c>
      <c r="C27767" s="1" t="s">
        <v>9393</v>
      </c>
      <c r="D27767" s="1" t="s">
        <v>9394</v>
      </c>
    </row>
    <row r="27768">
      <c r="A27768" s="1" t="s">
        <v>42228</v>
      </c>
      <c r="B27768" s="2" t="s">
        <v>42135</v>
      </c>
      <c r="C27768" s="1" t="s">
        <v>9393</v>
      </c>
      <c r="D27768" s="1" t="s">
        <v>9394</v>
      </c>
    </row>
    <row r="27769">
      <c r="A27769" s="1" t="s">
        <v>42229</v>
      </c>
      <c r="B27769" s="2" t="s">
        <v>42137</v>
      </c>
      <c r="C27769" s="1" t="s">
        <v>9393</v>
      </c>
      <c r="D27769" s="1" t="s">
        <v>9394</v>
      </c>
    </row>
    <row r="27770">
      <c r="A27770" s="1" t="s">
        <v>42230</v>
      </c>
      <c r="B27770" s="2" t="s">
        <v>42139</v>
      </c>
      <c r="C27770" s="1" t="s">
        <v>9393</v>
      </c>
      <c r="D27770" s="1" t="s">
        <v>9394</v>
      </c>
    </row>
    <row r="27771">
      <c r="A27771" s="1" t="s">
        <v>42231</v>
      </c>
      <c r="B27771" s="2" t="s">
        <v>42141</v>
      </c>
      <c r="C27771" s="1" t="s">
        <v>9393</v>
      </c>
      <c r="D27771" s="1" t="s">
        <v>9394</v>
      </c>
    </row>
    <row r="27772">
      <c r="A27772" s="1" t="s">
        <v>42232</v>
      </c>
      <c r="B27772" s="2" t="s">
        <v>42143</v>
      </c>
      <c r="C27772" s="1" t="s">
        <v>9393</v>
      </c>
      <c r="D27772" s="1" t="s">
        <v>9394</v>
      </c>
    </row>
    <row r="27773">
      <c r="A27773" s="1" t="s">
        <v>42233</v>
      </c>
      <c r="B27773" s="2" t="s">
        <v>42145</v>
      </c>
      <c r="C27773" s="1" t="s">
        <v>9393</v>
      </c>
      <c r="D27773" s="1" t="s">
        <v>9394</v>
      </c>
    </row>
    <row r="27774">
      <c r="A27774" s="1" t="s">
        <v>42234</v>
      </c>
      <c r="B27774" s="2" t="s">
        <v>42147</v>
      </c>
      <c r="C27774" s="1" t="s">
        <v>9393</v>
      </c>
      <c r="D27774" s="1" t="s">
        <v>9394</v>
      </c>
    </row>
    <row r="27775">
      <c r="A27775" s="1" t="s">
        <v>42235</v>
      </c>
      <c r="B27775" s="2" t="s">
        <v>42149</v>
      </c>
      <c r="C27775" s="1" t="s">
        <v>9393</v>
      </c>
      <c r="D27775" s="1" t="s">
        <v>9394</v>
      </c>
    </row>
    <row r="27776">
      <c r="A27776" s="1" t="s">
        <v>42236</v>
      </c>
      <c r="B27776" s="2" t="s">
        <v>42151</v>
      </c>
      <c r="C27776" s="1" t="s">
        <v>9393</v>
      </c>
      <c r="D27776" s="1" t="s">
        <v>9394</v>
      </c>
    </row>
    <row r="27777">
      <c r="A27777" s="1" t="s">
        <v>42237</v>
      </c>
      <c r="B27777" s="2" t="s">
        <v>42153</v>
      </c>
      <c r="C27777" s="1" t="s">
        <v>9393</v>
      </c>
      <c r="D27777" s="1" t="s">
        <v>9394</v>
      </c>
    </row>
    <row r="27778">
      <c r="A27778" s="1" t="s">
        <v>42238</v>
      </c>
      <c r="B27778" s="2" t="s">
        <v>42155</v>
      </c>
      <c r="C27778" s="1" t="s">
        <v>9393</v>
      </c>
      <c r="D27778" s="1" t="s">
        <v>9394</v>
      </c>
    </row>
    <row r="27779">
      <c r="A27779" s="1" t="s">
        <v>42239</v>
      </c>
      <c r="B27779" s="2" t="s">
        <v>42157</v>
      </c>
      <c r="C27779" s="1" t="s">
        <v>9393</v>
      </c>
      <c r="D27779" s="1" t="s">
        <v>9394</v>
      </c>
    </row>
    <row r="27780">
      <c r="A27780" s="1" t="s">
        <v>42240</v>
      </c>
      <c r="B27780" s="2" t="s">
        <v>42159</v>
      </c>
      <c r="C27780" s="1" t="s">
        <v>9393</v>
      </c>
      <c r="D27780" s="1" t="s">
        <v>9394</v>
      </c>
    </row>
    <row r="27781">
      <c r="A27781" s="1" t="s">
        <v>42241</v>
      </c>
      <c r="B27781" s="2" t="s">
        <v>42161</v>
      </c>
      <c r="C27781" s="1" t="s">
        <v>9393</v>
      </c>
      <c r="D27781" s="1" t="s">
        <v>9394</v>
      </c>
    </row>
    <row r="27782">
      <c r="A27782" s="1" t="s">
        <v>42242</v>
      </c>
      <c r="B27782" s="2" t="s">
        <v>70</v>
      </c>
      <c r="C27782" s="1" t="s">
        <v>9393</v>
      </c>
      <c r="D27782" s="1" t="s">
        <v>9394</v>
      </c>
    </row>
    <row r="27783">
      <c r="A27783" s="1" t="s">
        <v>42243</v>
      </c>
      <c r="B27783" s="2" t="s">
        <v>42164</v>
      </c>
      <c r="C27783" s="1" t="s">
        <v>9393</v>
      </c>
      <c r="D27783" s="1" t="s">
        <v>9394</v>
      </c>
    </row>
    <row r="27784">
      <c r="A27784" s="1" t="s">
        <v>42244</v>
      </c>
      <c r="B27784" s="2" t="s">
        <v>42166</v>
      </c>
      <c r="C27784" s="1" t="s">
        <v>9393</v>
      </c>
      <c r="D27784" s="1" t="s">
        <v>9394</v>
      </c>
    </row>
    <row r="27785">
      <c r="A27785" s="1" t="s">
        <v>42245</v>
      </c>
      <c r="B27785" s="2" t="s">
        <v>42168</v>
      </c>
      <c r="C27785" s="1" t="s">
        <v>9393</v>
      </c>
      <c r="D27785" s="1" t="s">
        <v>9394</v>
      </c>
    </row>
    <row r="27786">
      <c r="A27786" s="1" t="s">
        <v>42246</v>
      </c>
      <c r="B27786" s="2" t="s">
        <v>42170</v>
      </c>
      <c r="C27786" s="1" t="s">
        <v>9393</v>
      </c>
      <c r="D27786" s="1" t="s">
        <v>9394</v>
      </c>
    </row>
    <row r="27787">
      <c r="A27787" s="1" t="s">
        <v>42247</v>
      </c>
      <c r="B27787" s="2" t="s">
        <v>42172</v>
      </c>
      <c r="C27787" s="1" t="s">
        <v>9393</v>
      </c>
      <c r="D27787" s="1" t="s">
        <v>9394</v>
      </c>
    </row>
    <row r="27788">
      <c r="A27788" s="1" t="s">
        <v>42248</v>
      </c>
      <c r="B27788" s="2" t="s">
        <v>42174</v>
      </c>
      <c r="C27788" s="1" t="s">
        <v>9393</v>
      </c>
      <c r="D27788" s="1" t="s">
        <v>9394</v>
      </c>
    </row>
    <row r="27789">
      <c r="A27789" s="1" t="s">
        <v>42249</v>
      </c>
      <c r="B27789" s="2" t="s">
        <v>42176</v>
      </c>
      <c r="C27789" s="1" t="s">
        <v>9393</v>
      </c>
      <c r="D27789" s="1" t="s">
        <v>9394</v>
      </c>
    </row>
    <row r="27790">
      <c r="A27790" s="1" t="s">
        <v>42250</v>
      </c>
      <c r="B27790" s="2" t="s">
        <v>42178</v>
      </c>
      <c r="C27790" s="1" t="s">
        <v>9393</v>
      </c>
      <c r="D27790" s="1" t="s">
        <v>9394</v>
      </c>
    </row>
    <row r="27791">
      <c r="A27791" s="1" t="s">
        <v>42251</v>
      </c>
      <c r="B27791" s="2" t="s">
        <v>42180</v>
      </c>
      <c r="C27791" s="1" t="s">
        <v>9393</v>
      </c>
      <c r="D27791" s="1" t="s">
        <v>9394</v>
      </c>
    </row>
    <row r="27792">
      <c r="A27792" s="1" t="s">
        <v>42252</v>
      </c>
      <c r="B27792" s="2" t="s">
        <v>42182</v>
      </c>
      <c r="C27792" s="1" t="s">
        <v>9393</v>
      </c>
      <c r="D27792" s="1" t="s">
        <v>9394</v>
      </c>
    </row>
    <row r="27793">
      <c r="A27793" s="1" t="s">
        <v>42253</v>
      </c>
      <c r="B27793" s="2" t="s">
        <v>42184</v>
      </c>
      <c r="C27793" s="1" t="s">
        <v>9393</v>
      </c>
      <c r="D27793" s="1" t="s">
        <v>9394</v>
      </c>
    </row>
    <row r="27794">
      <c r="A27794" s="1" t="s">
        <v>42254</v>
      </c>
      <c r="B27794" s="2" t="s">
        <v>42186</v>
      </c>
      <c r="C27794" s="1" t="s">
        <v>9393</v>
      </c>
      <c r="D27794" s="1" t="s">
        <v>9394</v>
      </c>
    </row>
    <row r="27795">
      <c r="A27795" s="1" t="s">
        <v>42255</v>
      </c>
      <c r="B27795" s="2" t="s">
        <v>42188</v>
      </c>
      <c r="C27795" s="1" t="s">
        <v>9393</v>
      </c>
      <c r="D27795" s="1" t="s">
        <v>9394</v>
      </c>
    </row>
    <row r="27796">
      <c r="A27796" s="1" t="s">
        <v>42256</v>
      </c>
      <c r="B27796" s="2" t="s">
        <v>42190</v>
      </c>
      <c r="C27796" s="1" t="s">
        <v>9393</v>
      </c>
      <c r="D27796" s="1" t="s">
        <v>9394</v>
      </c>
    </row>
    <row r="27797">
      <c r="A27797" s="1" t="s">
        <v>42257</v>
      </c>
      <c r="B27797" s="2" t="s">
        <v>42192</v>
      </c>
      <c r="C27797" s="1" t="s">
        <v>9393</v>
      </c>
      <c r="D27797" s="1" t="s">
        <v>9394</v>
      </c>
    </row>
    <row r="27798">
      <c r="A27798" s="1" t="s">
        <v>42258</v>
      </c>
      <c r="B27798" s="2" t="s">
        <v>42194</v>
      </c>
      <c r="C27798" s="1" t="s">
        <v>9393</v>
      </c>
      <c r="D27798" s="1" t="s">
        <v>9394</v>
      </c>
    </row>
    <row r="27799">
      <c r="A27799" s="1" t="s">
        <v>42259</v>
      </c>
      <c r="B27799" s="2" t="s">
        <v>42196</v>
      </c>
      <c r="C27799" s="1" t="s">
        <v>9393</v>
      </c>
      <c r="D27799" s="1" t="s">
        <v>9394</v>
      </c>
    </row>
    <row r="27800">
      <c r="A27800" s="1" t="s">
        <v>42260</v>
      </c>
      <c r="B27800" s="2" t="s">
        <v>42198</v>
      </c>
      <c r="C27800" s="1" t="s">
        <v>9393</v>
      </c>
      <c r="D27800" s="1" t="s">
        <v>9394</v>
      </c>
    </row>
    <row r="27801">
      <c r="A27801" s="1" t="s">
        <v>42261</v>
      </c>
      <c r="B27801" s="2" t="s">
        <v>42200</v>
      </c>
      <c r="C27801" s="1" t="s">
        <v>9393</v>
      </c>
      <c r="D27801" s="1" t="s">
        <v>9394</v>
      </c>
    </row>
    <row r="27802">
      <c r="A27802" s="1" t="s">
        <v>42262</v>
      </c>
      <c r="B27802" s="2" t="s">
        <v>42202</v>
      </c>
      <c r="C27802" s="1" t="s">
        <v>9393</v>
      </c>
      <c r="D27802" s="1" t="s">
        <v>9394</v>
      </c>
    </row>
    <row r="27803">
      <c r="A27803" s="1" t="s">
        <v>42263</v>
      </c>
      <c r="B27803" s="2" t="s">
        <v>42204</v>
      </c>
      <c r="C27803" s="1" t="s">
        <v>9393</v>
      </c>
      <c r="D27803" s="1" t="s">
        <v>9394</v>
      </c>
    </row>
    <row r="27804">
      <c r="A27804" s="1" t="s">
        <v>42264</v>
      </c>
      <c r="B27804" s="2" t="s">
        <v>42206</v>
      </c>
      <c r="C27804" s="1" t="s">
        <v>9393</v>
      </c>
      <c r="D27804" s="1" t="s">
        <v>9394</v>
      </c>
    </row>
    <row r="27805">
      <c r="A27805" s="1" t="s">
        <v>42265</v>
      </c>
      <c r="B27805" s="2" t="s">
        <v>42208</v>
      </c>
      <c r="C27805" s="1" t="s">
        <v>9393</v>
      </c>
      <c r="D27805" s="1" t="s">
        <v>9394</v>
      </c>
    </row>
    <row r="27806">
      <c r="A27806" s="1" t="s">
        <v>42266</v>
      </c>
      <c r="B27806" s="2" t="s">
        <v>42210</v>
      </c>
      <c r="C27806" s="1" t="s">
        <v>9393</v>
      </c>
      <c r="D27806" s="1" t="s">
        <v>9394</v>
      </c>
    </row>
    <row r="27807">
      <c r="A27807" s="1" t="s">
        <v>42267</v>
      </c>
      <c r="B27807" s="2" t="s">
        <v>42212</v>
      </c>
      <c r="C27807" s="1" t="s">
        <v>9393</v>
      </c>
      <c r="D27807" s="1" t="s">
        <v>9394</v>
      </c>
    </row>
    <row r="27808">
      <c r="A27808" s="1" t="s">
        <v>42268</v>
      </c>
      <c r="B27808" s="2" t="s">
        <v>42214</v>
      </c>
      <c r="C27808" s="1" t="s">
        <v>9393</v>
      </c>
      <c r="D27808" s="1" t="s">
        <v>9394</v>
      </c>
    </row>
    <row r="27809">
      <c r="A27809" s="1" t="s">
        <v>9399</v>
      </c>
      <c r="B27809" s="2" t="s">
        <v>7</v>
      </c>
      <c r="C27809" s="1" t="s">
        <v>161</v>
      </c>
      <c r="D27809" s="1" t="s">
        <v>9402</v>
      </c>
    </row>
    <row r="27810">
      <c r="A27810" s="1" t="s">
        <v>42269</v>
      </c>
      <c r="B27810" s="2" t="s">
        <v>11419</v>
      </c>
      <c r="C27810" s="1" t="s">
        <v>161</v>
      </c>
      <c r="D27810" s="1" t="s">
        <v>9402</v>
      </c>
    </row>
    <row r="27811">
      <c r="A27811" s="1" t="s">
        <v>42270</v>
      </c>
      <c r="B27811" s="2" t="s">
        <v>11421</v>
      </c>
      <c r="C27811" s="1" t="s">
        <v>161</v>
      </c>
      <c r="D27811" s="1" t="s">
        <v>9402</v>
      </c>
    </row>
    <row r="27812">
      <c r="A27812" s="1" t="s">
        <v>42271</v>
      </c>
      <c r="B27812" s="2" t="s">
        <v>11423</v>
      </c>
      <c r="C27812" s="1" t="s">
        <v>161</v>
      </c>
      <c r="D27812" s="1" t="s">
        <v>9402</v>
      </c>
    </row>
    <row r="27813">
      <c r="A27813" s="1" t="s">
        <v>42272</v>
      </c>
      <c r="B27813" s="2" t="s">
        <v>11425</v>
      </c>
      <c r="C27813" s="1" t="s">
        <v>161</v>
      </c>
      <c r="D27813" s="1" t="s">
        <v>9402</v>
      </c>
    </row>
    <row r="27814">
      <c r="A27814" s="1" t="s">
        <v>42273</v>
      </c>
      <c r="B27814" s="2" t="s">
        <v>11427</v>
      </c>
      <c r="C27814" s="1" t="s">
        <v>161</v>
      </c>
      <c r="D27814" s="1" t="s">
        <v>9402</v>
      </c>
    </row>
    <row r="27815">
      <c r="A27815" s="1" t="s">
        <v>42274</v>
      </c>
      <c r="B27815" s="2" t="s">
        <v>11429</v>
      </c>
      <c r="C27815" s="1" t="s">
        <v>161</v>
      </c>
      <c r="D27815" s="1" t="s">
        <v>9402</v>
      </c>
    </row>
    <row r="27816">
      <c r="A27816" s="1" t="s">
        <v>42275</v>
      </c>
      <c r="B27816" s="2" t="s">
        <v>11431</v>
      </c>
      <c r="C27816" s="1" t="s">
        <v>161</v>
      </c>
      <c r="D27816" s="1" t="s">
        <v>9402</v>
      </c>
    </row>
    <row r="27817">
      <c r="A27817" s="1" t="s">
        <v>42276</v>
      </c>
      <c r="B27817" s="2" t="s">
        <v>42277</v>
      </c>
      <c r="C27817" s="1" t="s">
        <v>161</v>
      </c>
      <c r="D27817" s="1" t="s">
        <v>9402</v>
      </c>
    </row>
    <row r="27818">
      <c r="A27818" s="1" t="s">
        <v>42278</v>
      </c>
      <c r="B27818" s="2" t="s">
        <v>42279</v>
      </c>
      <c r="C27818" s="1" t="s">
        <v>161</v>
      </c>
      <c r="D27818" s="1" t="s">
        <v>9402</v>
      </c>
    </row>
    <row r="27819">
      <c r="A27819" s="1" t="s">
        <v>42280</v>
      </c>
      <c r="B27819" s="2" t="s">
        <v>11437</v>
      </c>
      <c r="C27819" s="1" t="s">
        <v>161</v>
      </c>
      <c r="D27819" s="1" t="s">
        <v>9402</v>
      </c>
    </row>
    <row r="27820">
      <c r="A27820" s="1" t="s">
        <v>42281</v>
      </c>
      <c r="B27820" s="2" t="s">
        <v>11439</v>
      </c>
      <c r="C27820" s="1" t="s">
        <v>161</v>
      </c>
      <c r="D27820" s="1" t="s">
        <v>9402</v>
      </c>
    </row>
    <row r="27821">
      <c r="A27821" s="1" t="s">
        <v>42282</v>
      </c>
      <c r="B27821" s="2" t="s">
        <v>25649</v>
      </c>
      <c r="C27821" s="1" t="s">
        <v>161</v>
      </c>
      <c r="D27821" s="1" t="s">
        <v>9402</v>
      </c>
    </row>
    <row r="27822">
      <c r="A27822" s="1" t="s">
        <v>42283</v>
      </c>
      <c r="B27822" s="2" t="s">
        <v>11443</v>
      </c>
      <c r="C27822" s="1" t="s">
        <v>161</v>
      </c>
      <c r="D27822" s="1" t="s">
        <v>9402</v>
      </c>
    </row>
    <row r="27823">
      <c r="A27823" s="1" t="s">
        <v>42284</v>
      </c>
      <c r="B27823" s="2" t="s">
        <v>25287</v>
      </c>
      <c r="C27823" s="1" t="s">
        <v>161</v>
      </c>
      <c r="D27823" s="1" t="s">
        <v>9402</v>
      </c>
    </row>
    <row r="27824">
      <c r="A27824" s="1" t="s">
        <v>42285</v>
      </c>
      <c r="B27824" s="2" t="s">
        <v>42286</v>
      </c>
      <c r="C27824" s="1" t="s">
        <v>161</v>
      </c>
      <c r="D27824" s="1" t="s">
        <v>9402</v>
      </c>
    </row>
    <row r="27825">
      <c r="A27825" s="1" t="s">
        <v>42287</v>
      </c>
      <c r="B27825" s="2" t="s">
        <v>42288</v>
      </c>
      <c r="C27825" s="1" t="s">
        <v>161</v>
      </c>
      <c r="D27825" s="1" t="s">
        <v>9402</v>
      </c>
    </row>
    <row r="27826">
      <c r="A27826" s="1" t="s">
        <v>42289</v>
      </c>
      <c r="B27826" s="2" t="s">
        <v>42290</v>
      </c>
      <c r="C27826" s="1" t="s">
        <v>161</v>
      </c>
      <c r="D27826" s="1" t="s">
        <v>9402</v>
      </c>
    </row>
    <row r="27827">
      <c r="A27827" s="1" t="s">
        <v>42291</v>
      </c>
      <c r="B27827" s="2" t="s">
        <v>42292</v>
      </c>
      <c r="C27827" s="1" t="s">
        <v>161</v>
      </c>
      <c r="D27827" s="1" t="s">
        <v>9402</v>
      </c>
    </row>
    <row r="27828">
      <c r="A27828" s="1" t="s">
        <v>42293</v>
      </c>
      <c r="B27828" s="2" t="s">
        <v>42294</v>
      </c>
      <c r="C27828" s="1" t="s">
        <v>161</v>
      </c>
      <c r="D27828" s="1" t="s">
        <v>9402</v>
      </c>
    </row>
    <row r="27829">
      <c r="A27829" s="1" t="s">
        <v>42295</v>
      </c>
      <c r="B27829" s="2" t="s">
        <v>42296</v>
      </c>
      <c r="C27829" s="1" t="s">
        <v>161</v>
      </c>
      <c r="D27829" s="1" t="s">
        <v>9402</v>
      </c>
    </row>
    <row r="27830">
      <c r="A27830" s="1" t="s">
        <v>42297</v>
      </c>
      <c r="B27830" s="2" t="s">
        <v>42298</v>
      </c>
      <c r="C27830" s="1" t="s">
        <v>161</v>
      </c>
      <c r="D27830" s="1" t="s">
        <v>9402</v>
      </c>
    </row>
    <row r="27831">
      <c r="A27831" s="1" t="s">
        <v>42299</v>
      </c>
      <c r="B27831" s="2" t="s">
        <v>42300</v>
      </c>
      <c r="C27831" s="1" t="s">
        <v>161</v>
      </c>
      <c r="D27831" s="1" t="s">
        <v>9402</v>
      </c>
    </row>
    <row r="27832">
      <c r="A27832" s="1" t="s">
        <v>42301</v>
      </c>
      <c r="B27832" s="2" t="s">
        <v>42302</v>
      </c>
      <c r="C27832" s="1" t="s">
        <v>161</v>
      </c>
      <c r="D27832" s="1" t="s">
        <v>9402</v>
      </c>
    </row>
    <row r="27833">
      <c r="A27833" s="1" t="s">
        <v>42303</v>
      </c>
      <c r="B27833" s="2" t="s">
        <v>42304</v>
      </c>
      <c r="C27833" s="1" t="s">
        <v>161</v>
      </c>
      <c r="D27833" s="1" t="s">
        <v>9402</v>
      </c>
    </row>
    <row r="27834">
      <c r="A27834" s="1" t="s">
        <v>42305</v>
      </c>
      <c r="B27834" s="2" t="s">
        <v>42306</v>
      </c>
      <c r="C27834" s="1" t="s">
        <v>161</v>
      </c>
      <c r="D27834" s="1" t="s">
        <v>9402</v>
      </c>
    </row>
    <row r="27835">
      <c r="A27835" s="1" t="s">
        <v>42307</v>
      </c>
      <c r="B27835" s="2" t="s">
        <v>42308</v>
      </c>
      <c r="C27835" s="1" t="s">
        <v>161</v>
      </c>
      <c r="D27835" s="1" t="s">
        <v>9402</v>
      </c>
    </row>
    <row r="27836">
      <c r="A27836" s="1" t="s">
        <v>42309</v>
      </c>
      <c r="B27836" s="2" t="s">
        <v>42310</v>
      </c>
      <c r="C27836" s="1" t="s">
        <v>161</v>
      </c>
      <c r="D27836" s="1" t="s">
        <v>9402</v>
      </c>
    </row>
    <row r="27837">
      <c r="A27837" s="1" t="s">
        <v>42311</v>
      </c>
      <c r="B27837" s="2" t="s">
        <v>25319</v>
      </c>
      <c r="C27837" s="1" t="s">
        <v>161</v>
      </c>
      <c r="D27837" s="1" t="s">
        <v>9402</v>
      </c>
    </row>
    <row r="27838">
      <c r="A27838" s="1" t="s">
        <v>42312</v>
      </c>
      <c r="B27838" s="2" t="s">
        <v>42313</v>
      </c>
      <c r="C27838" s="1" t="s">
        <v>161</v>
      </c>
      <c r="D27838" s="1" t="s">
        <v>9402</v>
      </c>
    </row>
    <row r="27839">
      <c r="A27839" s="1" t="s">
        <v>42314</v>
      </c>
      <c r="B27839" s="2" t="s">
        <v>42315</v>
      </c>
      <c r="C27839" s="1" t="s">
        <v>161</v>
      </c>
      <c r="D27839" s="1" t="s">
        <v>9402</v>
      </c>
    </row>
    <row r="27840">
      <c r="A27840" s="1" t="s">
        <v>42316</v>
      </c>
      <c r="B27840" s="2" t="s">
        <v>42317</v>
      </c>
      <c r="C27840" s="1" t="s">
        <v>161</v>
      </c>
      <c r="D27840" s="1" t="s">
        <v>9402</v>
      </c>
    </row>
    <row r="27841">
      <c r="A27841" s="1" t="s">
        <v>42318</v>
      </c>
      <c r="B27841" s="2" t="s">
        <v>42319</v>
      </c>
      <c r="C27841" s="1" t="s">
        <v>161</v>
      </c>
      <c r="D27841" s="1" t="s">
        <v>9402</v>
      </c>
    </row>
    <row r="27842">
      <c r="A27842" s="1" t="s">
        <v>42320</v>
      </c>
      <c r="B27842" s="2" t="s">
        <v>42321</v>
      </c>
      <c r="C27842" s="1" t="s">
        <v>161</v>
      </c>
      <c r="D27842" s="1" t="s">
        <v>9402</v>
      </c>
    </row>
    <row r="27843">
      <c r="A27843" s="1" t="s">
        <v>42322</v>
      </c>
      <c r="B27843" s="2" t="s">
        <v>42323</v>
      </c>
      <c r="C27843" s="1" t="s">
        <v>161</v>
      </c>
      <c r="D27843" s="1" t="s">
        <v>9402</v>
      </c>
    </row>
    <row r="27844">
      <c r="A27844" s="1" t="s">
        <v>42324</v>
      </c>
      <c r="B27844" s="2" t="s">
        <v>42325</v>
      </c>
      <c r="C27844" s="1" t="s">
        <v>161</v>
      </c>
      <c r="D27844" s="1" t="s">
        <v>9402</v>
      </c>
    </row>
    <row r="27845">
      <c r="A27845" s="1" t="s">
        <v>42326</v>
      </c>
      <c r="B27845" s="2" t="s">
        <v>42327</v>
      </c>
      <c r="C27845" s="1" t="s">
        <v>161</v>
      </c>
      <c r="D27845" s="1" t="s">
        <v>9402</v>
      </c>
    </row>
    <row r="27846">
      <c r="A27846" s="1" t="s">
        <v>42328</v>
      </c>
      <c r="B27846" s="2" t="s">
        <v>42329</v>
      </c>
      <c r="C27846" s="1" t="s">
        <v>161</v>
      </c>
      <c r="D27846" s="1" t="s">
        <v>9402</v>
      </c>
    </row>
    <row r="27847">
      <c r="A27847" s="1" t="s">
        <v>42330</v>
      </c>
      <c r="B27847" s="2" t="s">
        <v>42331</v>
      </c>
      <c r="C27847" s="1" t="s">
        <v>161</v>
      </c>
      <c r="D27847" s="1" t="s">
        <v>9402</v>
      </c>
    </row>
    <row r="27848">
      <c r="A27848" s="1" t="s">
        <v>42332</v>
      </c>
      <c r="B27848" s="2" t="s">
        <v>42333</v>
      </c>
      <c r="C27848" s="1" t="s">
        <v>161</v>
      </c>
      <c r="D27848" s="1" t="s">
        <v>9402</v>
      </c>
    </row>
    <row r="27849">
      <c r="A27849" s="1" t="s">
        <v>42334</v>
      </c>
      <c r="B27849" s="2" t="s">
        <v>42335</v>
      </c>
      <c r="C27849" s="1" t="s">
        <v>161</v>
      </c>
      <c r="D27849" s="1" t="s">
        <v>9402</v>
      </c>
    </row>
    <row r="27850">
      <c r="A27850" s="1" t="s">
        <v>42336</v>
      </c>
      <c r="B27850" s="2" t="s">
        <v>42337</v>
      </c>
      <c r="C27850" s="1" t="s">
        <v>161</v>
      </c>
      <c r="D27850" s="1" t="s">
        <v>9402</v>
      </c>
    </row>
    <row r="27851">
      <c r="A27851" s="1" t="s">
        <v>42338</v>
      </c>
      <c r="B27851" s="2" t="s">
        <v>25335</v>
      </c>
      <c r="C27851" s="1" t="s">
        <v>161</v>
      </c>
      <c r="D27851" s="1" t="s">
        <v>9402</v>
      </c>
    </row>
    <row r="27852">
      <c r="A27852" s="1" t="s">
        <v>42339</v>
      </c>
      <c r="B27852" s="2" t="s">
        <v>42340</v>
      </c>
      <c r="C27852" s="1" t="s">
        <v>161</v>
      </c>
      <c r="D27852" s="1" t="s">
        <v>9402</v>
      </c>
    </row>
    <row r="27853">
      <c r="A27853" s="1" t="s">
        <v>42341</v>
      </c>
      <c r="B27853" s="2" t="s">
        <v>42342</v>
      </c>
      <c r="C27853" s="1" t="s">
        <v>161</v>
      </c>
      <c r="D27853" s="1" t="s">
        <v>9402</v>
      </c>
    </row>
    <row r="27854">
      <c r="A27854" s="1" t="s">
        <v>42343</v>
      </c>
      <c r="B27854" s="2" t="s">
        <v>42344</v>
      </c>
      <c r="C27854" s="1" t="s">
        <v>161</v>
      </c>
      <c r="D27854" s="1" t="s">
        <v>9402</v>
      </c>
    </row>
    <row r="27855">
      <c r="A27855" s="1" t="s">
        <v>42345</v>
      </c>
      <c r="B27855" s="2" t="s">
        <v>42346</v>
      </c>
      <c r="C27855" s="1" t="s">
        <v>161</v>
      </c>
      <c r="D27855" s="1" t="s">
        <v>9402</v>
      </c>
    </row>
    <row r="27856">
      <c r="A27856" s="1" t="s">
        <v>42347</v>
      </c>
      <c r="B27856" s="2" t="s">
        <v>42348</v>
      </c>
      <c r="C27856" s="1" t="s">
        <v>161</v>
      </c>
      <c r="D27856" s="1" t="s">
        <v>9402</v>
      </c>
    </row>
    <row r="27857">
      <c r="A27857" s="1" t="s">
        <v>42349</v>
      </c>
      <c r="B27857" s="2" t="s">
        <v>42350</v>
      </c>
      <c r="C27857" s="1" t="s">
        <v>161</v>
      </c>
      <c r="D27857" s="1" t="s">
        <v>9402</v>
      </c>
    </row>
    <row r="27858">
      <c r="A27858" s="1" t="s">
        <v>42351</v>
      </c>
      <c r="B27858" s="2" t="s">
        <v>42352</v>
      </c>
      <c r="C27858" s="1" t="s">
        <v>161</v>
      </c>
      <c r="D27858" s="1" t="s">
        <v>9402</v>
      </c>
    </row>
    <row r="27859">
      <c r="A27859" s="1" t="s">
        <v>42353</v>
      </c>
      <c r="B27859" s="2" t="s">
        <v>42354</v>
      </c>
      <c r="C27859" s="1" t="s">
        <v>161</v>
      </c>
      <c r="D27859" s="1" t="s">
        <v>9402</v>
      </c>
    </row>
    <row r="27860">
      <c r="A27860" s="1" t="s">
        <v>42355</v>
      </c>
      <c r="B27860" s="2" t="s">
        <v>42356</v>
      </c>
      <c r="C27860" s="1" t="s">
        <v>161</v>
      </c>
      <c r="D27860" s="1" t="s">
        <v>9402</v>
      </c>
    </row>
    <row r="27861">
      <c r="A27861" s="1" t="s">
        <v>42357</v>
      </c>
      <c r="B27861" s="2" t="s">
        <v>42358</v>
      </c>
      <c r="C27861" s="1" t="s">
        <v>161</v>
      </c>
      <c r="D27861" s="1" t="s">
        <v>9402</v>
      </c>
    </row>
    <row r="27862">
      <c r="A27862" s="1" t="s">
        <v>42359</v>
      </c>
      <c r="B27862" s="2" t="s">
        <v>42360</v>
      </c>
      <c r="C27862" s="1" t="s">
        <v>161</v>
      </c>
      <c r="D27862" s="1" t="s">
        <v>9402</v>
      </c>
    </row>
    <row r="27863">
      <c r="A27863" s="1" t="s">
        <v>42361</v>
      </c>
      <c r="B27863" s="2" t="s">
        <v>42362</v>
      </c>
      <c r="C27863" s="1" t="s">
        <v>161</v>
      </c>
      <c r="D27863" s="1" t="s">
        <v>9402</v>
      </c>
    </row>
    <row r="27864">
      <c r="A27864" s="1" t="s">
        <v>42363</v>
      </c>
      <c r="B27864" s="2" t="s">
        <v>42364</v>
      </c>
      <c r="C27864" s="1" t="s">
        <v>161</v>
      </c>
      <c r="D27864" s="1" t="s">
        <v>9402</v>
      </c>
    </row>
    <row r="27865">
      <c r="A27865" s="1" t="s">
        <v>42365</v>
      </c>
      <c r="B27865" s="2" t="s">
        <v>25341</v>
      </c>
      <c r="C27865" s="1" t="s">
        <v>161</v>
      </c>
      <c r="D27865" s="1" t="s">
        <v>9402</v>
      </c>
    </row>
    <row r="27866">
      <c r="A27866" s="1" t="s">
        <v>42366</v>
      </c>
      <c r="B27866" s="2" t="s">
        <v>42367</v>
      </c>
      <c r="C27866" s="1" t="s">
        <v>161</v>
      </c>
      <c r="D27866" s="1" t="s">
        <v>9402</v>
      </c>
    </row>
    <row r="27867">
      <c r="A27867" s="1" t="s">
        <v>42368</v>
      </c>
      <c r="B27867" s="2" t="s">
        <v>42369</v>
      </c>
      <c r="C27867" s="1" t="s">
        <v>161</v>
      </c>
      <c r="D27867" s="1" t="s">
        <v>9402</v>
      </c>
    </row>
    <row r="27868">
      <c r="A27868" s="1" t="s">
        <v>42370</v>
      </c>
      <c r="B27868" s="2" t="s">
        <v>42371</v>
      </c>
      <c r="C27868" s="1" t="s">
        <v>161</v>
      </c>
      <c r="D27868" s="1" t="s">
        <v>9402</v>
      </c>
    </row>
    <row r="27869">
      <c r="A27869" s="1" t="s">
        <v>42372</v>
      </c>
      <c r="B27869" s="2" t="s">
        <v>42373</v>
      </c>
      <c r="C27869" s="1" t="s">
        <v>161</v>
      </c>
      <c r="D27869" s="1" t="s">
        <v>9402</v>
      </c>
    </row>
    <row r="27870">
      <c r="A27870" s="1" t="s">
        <v>42374</v>
      </c>
      <c r="B27870" s="2" t="s">
        <v>42375</v>
      </c>
      <c r="C27870" s="1" t="s">
        <v>161</v>
      </c>
      <c r="D27870" s="1" t="s">
        <v>9402</v>
      </c>
    </row>
    <row r="27871">
      <c r="A27871" s="1" t="s">
        <v>42376</v>
      </c>
      <c r="B27871" s="2" t="s">
        <v>42377</v>
      </c>
      <c r="C27871" s="1" t="s">
        <v>161</v>
      </c>
      <c r="D27871" s="1" t="s">
        <v>9402</v>
      </c>
    </row>
    <row r="27872">
      <c r="A27872" s="1" t="s">
        <v>42378</v>
      </c>
      <c r="B27872" s="2" t="s">
        <v>42379</v>
      </c>
      <c r="C27872" s="1" t="s">
        <v>161</v>
      </c>
      <c r="D27872" s="1" t="s">
        <v>9402</v>
      </c>
    </row>
    <row r="27873">
      <c r="A27873" s="1" t="s">
        <v>42380</v>
      </c>
      <c r="B27873" s="2" t="s">
        <v>42381</v>
      </c>
      <c r="C27873" s="1" t="s">
        <v>161</v>
      </c>
      <c r="D27873" s="1" t="s">
        <v>9402</v>
      </c>
    </row>
    <row r="27874">
      <c r="A27874" s="1" t="s">
        <v>42382</v>
      </c>
      <c r="B27874" s="2" t="s">
        <v>42383</v>
      </c>
      <c r="C27874" s="1" t="s">
        <v>161</v>
      </c>
      <c r="D27874" s="1" t="s">
        <v>9402</v>
      </c>
    </row>
    <row r="27875">
      <c r="A27875" s="1" t="s">
        <v>42384</v>
      </c>
      <c r="B27875" s="2" t="s">
        <v>42385</v>
      </c>
      <c r="C27875" s="1" t="s">
        <v>161</v>
      </c>
      <c r="D27875" s="1" t="s">
        <v>9402</v>
      </c>
    </row>
    <row r="27876">
      <c r="A27876" s="1" t="s">
        <v>42386</v>
      </c>
      <c r="B27876" s="2" t="s">
        <v>42387</v>
      </c>
      <c r="C27876" s="1" t="s">
        <v>161</v>
      </c>
      <c r="D27876" s="1" t="s">
        <v>9402</v>
      </c>
    </row>
    <row r="27877">
      <c r="A27877" s="1" t="s">
        <v>42388</v>
      </c>
      <c r="B27877" s="2" t="s">
        <v>42389</v>
      </c>
      <c r="C27877" s="1" t="s">
        <v>161</v>
      </c>
      <c r="D27877" s="1" t="s">
        <v>9402</v>
      </c>
    </row>
    <row r="27878">
      <c r="A27878" s="1" t="s">
        <v>42390</v>
      </c>
      <c r="B27878" s="2" t="s">
        <v>42391</v>
      </c>
      <c r="C27878" s="1" t="s">
        <v>161</v>
      </c>
      <c r="D27878" s="1" t="s">
        <v>9402</v>
      </c>
    </row>
    <row r="27879">
      <c r="A27879" s="1" t="s">
        <v>42392</v>
      </c>
      <c r="B27879" s="2" t="s">
        <v>25349</v>
      </c>
      <c r="C27879" s="1" t="s">
        <v>161</v>
      </c>
      <c r="D27879" s="1" t="s">
        <v>9402</v>
      </c>
    </row>
    <row r="27880">
      <c r="A27880" s="1" t="s">
        <v>42393</v>
      </c>
      <c r="B27880" s="2" t="s">
        <v>42394</v>
      </c>
      <c r="C27880" s="1" t="s">
        <v>161</v>
      </c>
      <c r="D27880" s="1" t="s">
        <v>9402</v>
      </c>
    </row>
    <row r="27881">
      <c r="A27881" s="1" t="s">
        <v>42395</v>
      </c>
      <c r="B27881" s="2" t="s">
        <v>42396</v>
      </c>
      <c r="C27881" s="1" t="s">
        <v>161</v>
      </c>
      <c r="D27881" s="1" t="s">
        <v>9402</v>
      </c>
    </row>
    <row r="27882">
      <c r="A27882" s="1" t="s">
        <v>42397</v>
      </c>
      <c r="B27882" s="2" t="s">
        <v>42398</v>
      </c>
      <c r="C27882" s="1" t="s">
        <v>161</v>
      </c>
      <c r="D27882" s="1" t="s">
        <v>9402</v>
      </c>
    </row>
    <row r="27883">
      <c r="A27883" s="1" t="s">
        <v>42399</v>
      </c>
      <c r="B27883" s="2" t="s">
        <v>42400</v>
      </c>
      <c r="C27883" s="1" t="s">
        <v>161</v>
      </c>
      <c r="D27883" s="1" t="s">
        <v>9402</v>
      </c>
    </row>
    <row r="27884">
      <c r="A27884" s="1" t="s">
        <v>42401</v>
      </c>
      <c r="B27884" s="2" t="s">
        <v>42402</v>
      </c>
      <c r="C27884" s="1" t="s">
        <v>161</v>
      </c>
      <c r="D27884" s="1" t="s">
        <v>9402</v>
      </c>
    </row>
    <row r="27885">
      <c r="A27885" s="1" t="s">
        <v>42403</v>
      </c>
      <c r="B27885" s="2" t="s">
        <v>42404</v>
      </c>
      <c r="C27885" s="1" t="s">
        <v>161</v>
      </c>
      <c r="D27885" s="1" t="s">
        <v>9402</v>
      </c>
    </row>
    <row r="27886">
      <c r="A27886" s="1" t="s">
        <v>42405</v>
      </c>
      <c r="B27886" s="2" t="s">
        <v>42406</v>
      </c>
      <c r="C27886" s="1" t="s">
        <v>161</v>
      </c>
      <c r="D27886" s="1" t="s">
        <v>9402</v>
      </c>
    </row>
    <row r="27887">
      <c r="A27887" s="1" t="s">
        <v>42407</v>
      </c>
      <c r="B27887" s="2" t="s">
        <v>42408</v>
      </c>
      <c r="C27887" s="1" t="s">
        <v>161</v>
      </c>
      <c r="D27887" s="1" t="s">
        <v>9402</v>
      </c>
    </row>
    <row r="27888">
      <c r="A27888" s="1" t="s">
        <v>42409</v>
      </c>
      <c r="B27888" s="2" t="s">
        <v>42410</v>
      </c>
      <c r="C27888" s="1" t="s">
        <v>161</v>
      </c>
      <c r="D27888" s="1" t="s">
        <v>9402</v>
      </c>
    </row>
    <row r="27889">
      <c r="A27889" s="1" t="s">
        <v>42411</v>
      </c>
      <c r="B27889" s="2" t="s">
        <v>42412</v>
      </c>
      <c r="C27889" s="1" t="s">
        <v>161</v>
      </c>
      <c r="D27889" s="1" t="s">
        <v>9402</v>
      </c>
    </row>
    <row r="27890">
      <c r="A27890" s="1" t="s">
        <v>42413</v>
      </c>
      <c r="B27890" s="2" t="s">
        <v>42414</v>
      </c>
      <c r="C27890" s="1" t="s">
        <v>161</v>
      </c>
      <c r="D27890" s="1" t="s">
        <v>9402</v>
      </c>
    </row>
    <row r="27891">
      <c r="A27891" s="1" t="s">
        <v>42415</v>
      </c>
      <c r="B27891" s="2" t="s">
        <v>42416</v>
      </c>
      <c r="C27891" s="1" t="s">
        <v>161</v>
      </c>
      <c r="D27891" s="1" t="s">
        <v>9402</v>
      </c>
    </row>
    <row r="27892">
      <c r="A27892" s="1" t="s">
        <v>42417</v>
      </c>
      <c r="B27892" s="2" t="s">
        <v>42418</v>
      </c>
      <c r="C27892" s="1" t="s">
        <v>161</v>
      </c>
      <c r="D27892" s="1" t="s">
        <v>9402</v>
      </c>
    </row>
    <row r="27893">
      <c r="A27893" s="1" t="s">
        <v>9408</v>
      </c>
      <c r="B27893" s="2" t="s">
        <v>7</v>
      </c>
      <c r="C27893" s="1" t="s">
        <v>9410</v>
      </c>
      <c r="D27893" s="1" t="s">
        <v>9412</v>
      </c>
    </row>
    <row r="27894">
      <c r="A27894" s="1" t="s">
        <v>42419</v>
      </c>
      <c r="B27894" s="2" t="s">
        <v>11329</v>
      </c>
      <c r="C27894" s="1" t="s">
        <v>9410</v>
      </c>
      <c r="D27894" s="1" t="s">
        <v>9412</v>
      </c>
    </row>
    <row r="27895">
      <c r="A27895" s="1" t="s">
        <v>42420</v>
      </c>
      <c r="B27895" s="2" t="s">
        <v>11331</v>
      </c>
      <c r="C27895" s="1" t="s">
        <v>9410</v>
      </c>
      <c r="D27895" s="1" t="s">
        <v>9412</v>
      </c>
    </row>
    <row r="27896">
      <c r="A27896" s="1" t="s">
        <v>42421</v>
      </c>
      <c r="B27896" s="2" t="s">
        <v>11333</v>
      </c>
      <c r="C27896" s="1" t="s">
        <v>9410</v>
      </c>
      <c r="D27896" s="1" t="s">
        <v>9412</v>
      </c>
    </row>
    <row r="27897">
      <c r="A27897" s="1" t="s">
        <v>42422</v>
      </c>
      <c r="B27897" s="2" t="s">
        <v>11335</v>
      </c>
      <c r="C27897" s="1" t="s">
        <v>9410</v>
      </c>
      <c r="D27897" s="1" t="s">
        <v>9412</v>
      </c>
    </row>
    <row r="27898">
      <c r="A27898" s="1" t="s">
        <v>42423</v>
      </c>
      <c r="B27898" s="2" t="s">
        <v>11337</v>
      </c>
      <c r="C27898" s="1" t="s">
        <v>9410</v>
      </c>
      <c r="D27898" s="1" t="s">
        <v>9412</v>
      </c>
    </row>
    <row r="27899">
      <c r="A27899" s="1" t="s">
        <v>42424</v>
      </c>
      <c r="B27899" s="2" t="s">
        <v>42425</v>
      </c>
      <c r="C27899" s="1" t="s">
        <v>9410</v>
      </c>
      <c r="D27899" s="1" t="s">
        <v>9412</v>
      </c>
    </row>
    <row r="27900">
      <c r="A27900" s="1" t="s">
        <v>42426</v>
      </c>
      <c r="B27900" s="2" t="s">
        <v>42427</v>
      </c>
      <c r="C27900" s="1" t="s">
        <v>9410</v>
      </c>
      <c r="D27900" s="1" t="s">
        <v>9412</v>
      </c>
    </row>
    <row r="27901">
      <c r="A27901" s="1" t="s">
        <v>42428</v>
      </c>
      <c r="B27901" s="2" t="s">
        <v>42429</v>
      </c>
      <c r="C27901" s="1" t="s">
        <v>9410</v>
      </c>
      <c r="D27901" s="1" t="s">
        <v>9412</v>
      </c>
    </row>
    <row r="27902">
      <c r="A27902" s="1" t="s">
        <v>42430</v>
      </c>
      <c r="B27902" s="2" t="s">
        <v>42431</v>
      </c>
      <c r="C27902" s="1" t="s">
        <v>9410</v>
      </c>
      <c r="D27902" s="1" t="s">
        <v>9412</v>
      </c>
    </row>
    <row r="27903">
      <c r="A27903" s="1" t="s">
        <v>42432</v>
      </c>
      <c r="B27903" s="2" t="s">
        <v>42433</v>
      </c>
      <c r="C27903" s="1" t="s">
        <v>9410</v>
      </c>
      <c r="D27903" s="1" t="s">
        <v>9412</v>
      </c>
    </row>
    <row r="27904">
      <c r="A27904" s="1" t="s">
        <v>42434</v>
      </c>
      <c r="B27904" s="2" t="s">
        <v>42435</v>
      </c>
      <c r="C27904" s="1" t="s">
        <v>9410</v>
      </c>
      <c r="D27904" s="1" t="s">
        <v>9412</v>
      </c>
    </row>
    <row r="27905">
      <c r="A27905" s="1" t="s">
        <v>42436</v>
      </c>
      <c r="B27905" s="2" t="s">
        <v>42437</v>
      </c>
      <c r="C27905" s="1" t="s">
        <v>9410</v>
      </c>
      <c r="D27905" s="1" t="s">
        <v>9412</v>
      </c>
    </row>
    <row r="27906">
      <c r="A27906" s="1" t="s">
        <v>42438</v>
      </c>
      <c r="B27906" s="2" t="s">
        <v>42439</v>
      </c>
      <c r="C27906" s="1" t="s">
        <v>9410</v>
      </c>
      <c r="D27906" s="1" t="s">
        <v>9412</v>
      </c>
    </row>
    <row r="27907">
      <c r="A27907" s="1" t="s">
        <v>42440</v>
      </c>
      <c r="B27907" s="2" t="s">
        <v>42441</v>
      </c>
      <c r="C27907" s="1" t="s">
        <v>9410</v>
      </c>
      <c r="D27907" s="1" t="s">
        <v>9412</v>
      </c>
    </row>
    <row r="27908">
      <c r="A27908" s="1" t="s">
        <v>42442</v>
      </c>
      <c r="B27908" s="2" t="s">
        <v>42443</v>
      </c>
      <c r="C27908" s="1" t="s">
        <v>9410</v>
      </c>
      <c r="D27908" s="1" t="s">
        <v>9412</v>
      </c>
    </row>
    <row r="27909">
      <c r="A27909" s="1" t="s">
        <v>42444</v>
      </c>
      <c r="B27909" s="2" t="s">
        <v>42445</v>
      </c>
      <c r="C27909" s="1" t="s">
        <v>9410</v>
      </c>
      <c r="D27909" s="1" t="s">
        <v>9412</v>
      </c>
    </row>
    <row r="27910">
      <c r="A27910" s="1" t="s">
        <v>42446</v>
      </c>
      <c r="B27910" s="2" t="s">
        <v>42447</v>
      </c>
      <c r="C27910" s="1" t="s">
        <v>9410</v>
      </c>
      <c r="D27910" s="1" t="s">
        <v>9412</v>
      </c>
    </row>
    <row r="27911">
      <c r="A27911" s="1" t="s">
        <v>42448</v>
      </c>
      <c r="B27911" s="2" t="s">
        <v>42449</v>
      </c>
      <c r="C27911" s="1" t="s">
        <v>9410</v>
      </c>
      <c r="D27911" s="1" t="s">
        <v>9412</v>
      </c>
    </row>
    <row r="27912">
      <c r="A27912" s="1" t="s">
        <v>42450</v>
      </c>
      <c r="B27912" s="2" t="s">
        <v>42451</v>
      </c>
      <c r="C27912" s="1" t="s">
        <v>9410</v>
      </c>
      <c r="D27912" s="1" t="s">
        <v>9412</v>
      </c>
    </row>
    <row r="27913">
      <c r="A27913" s="1" t="s">
        <v>42452</v>
      </c>
      <c r="B27913" s="2" t="s">
        <v>42453</v>
      </c>
      <c r="C27913" s="1" t="s">
        <v>9410</v>
      </c>
      <c r="D27913" s="1" t="s">
        <v>9412</v>
      </c>
    </row>
    <row r="27914">
      <c r="A27914" s="1" t="s">
        <v>42454</v>
      </c>
      <c r="B27914" s="2" t="s">
        <v>42455</v>
      </c>
      <c r="C27914" s="1" t="s">
        <v>9410</v>
      </c>
      <c r="D27914" s="1" t="s">
        <v>9412</v>
      </c>
    </row>
    <row r="27915">
      <c r="A27915" s="1" t="s">
        <v>42456</v>
      </c>
      <c r="B27915" s="2" t="s">
        <v>42457</v>
      </c>
      <c r="C27915" s="1" t="s">
        <v>9410</v>
      </c>
      <c r="D27915" s="1" t="s">
        <v>9412</v>
      </c>
    </row>
    <row r="27916">
      <c r="A27916" s="1" t="s">
        <v>42458</v>
      </c>
      <c r="B27916" s="2" t="s">
        <v>42459</v>
      </c>
      <c r="C27916" s="1" t="s">
        <v>9410</v>
      </c>
      <c r="D27916" s="1" t="s">
        <v>9412</v>
      </c>
    </row>
    <row r="27917">
      <c r="A27917" s="1" t="s">
        <v>42460</v>
      </c>
      <c r="B27917" s="2" t="s">
        <v>42461</v>
      </c>
      <c r="C27917" s="1" t="s">
        <v>9410</v>
      </c>
      <c r="D27917" s="1" t="s">
        <v>9412</v>
      </c>
    </row>
    <row r="27918">
      <c r="A27918" s="1" t="s">
        <v>42462</v>
      </c>
      <c r="B27918" s="2" t="s">
        <v>42463</v>
      </c>
      <c r="C27918" s="1" t="s">
        <v>9410</v>
      </c>
      <c r="D27918" s="1" t="s">
        <v>9412</v>
      </c>
    </row>
    <row r="27919">
      <c r="A27919" s="1" t="s">
        <v>42464</v>
      </c>
      <c r="B27919" s="2" t="s">
        <v>42465</v>
      </c>
      <c r="C27919" s="1" t="s">
        <v>9410</v>
      </c>
      <c r="D27919" s="1" t="s">
        <v>9412</v>
      </c>
    </row>
    <row r="27920">
      <c r="A27920" s="1" t="s">
        <v>42466</v>
      </c>
      <c r="B27920" s="2" t="s">
        <v>42467</v>
      </c>
      <c r="C27920" s="1" t="s">
        <v>9410</v>
      </c>
      <c r="D27920" s="1" t="s">
        <v>9412</v>
      </c>
    </row>
    <row r="27921">
      <c r="A27921" s="1" t="s">
        <v>42468</v>
      </c>
      <c r="B27921" s="2" t="s">
        <v>42469</v>
      </c>
      <c r="C27921" s="1" t="s">
        <v>9410</v>
      </c>
      <c r="D27921" s="1" t="s">
        <v>9412</v>
      </c>
    </row>
    <row r="27922">
      <c r="A27922" s="1" t="s">
        <v>42470</v>
      </c>
      <c r="B27922" s="2" t="s">
        <v>42471</v>
      </c>
      <c r="C27922" s="1" t="s">
        <v>9410</v>
      </c>
      <c r="D27922" s="1" t="s">
        <v>9412</v>
      </c>
    </row>
    <row r="27923">
      <c r="A27923" s="1" t="s">
        <v>42472</v>
      </c>
      <c r="B27923" s="2" t="s">
        <v>42473</v>
      </c>
      <c r="C27923" s="1" t="s">
        <v>9410</v>
      </c>
      <c r="D27923" s="1" t="s">
        <v>9412</v>
      </c>
    </row>
    <row r="27924">
      <c r="A27924" s="1" t="s">
        <v>42474</v>
      </c>
      <c r="B27924" s="2" t="s">
        <v>42475</v>
      </c>
      <c r="C27924" s="1" t="s">
        <v>9410</v>
      </c>
      <c r="D27924" s="1" t="s">
        <v>9412</v>
      </c>
    </row>
    <row r="27925">
      <c r="A27925" s="1" t="s">
        <v>42476</v>
      </c>
      <c r="B27925" s="2" t="s">
        <v>42477</v>
      </c>
      <c r="C27925" s="1" t="s">
        <v>9410</v>
      </c>
      <c r="D27925" s="1" t="s">
        <v>9412</v>
      </c>
    </row>
    <row r="27926">
      <c r="A27926" s="1" t="s">
        <v>42478</v>
      </c>
      <c r="B27926" s="2" t="s">
        <v>42479</v>
      </c>
      <c r="C27926" s="1" t="s">
        <v>9410</v>
      </c>
      <c r="D27926" s="1" t="s">
        <v>9412</v>
      </c>
    </row>
    <row r="27927">
      <c r="A27927" s="1" t="s">
        <v>42480</v>
      </c>
      <c r="B27927" s="2" t="s">
        <v>42481</v>
      </c>
      <c r="C27927" s="1" t="s">
        <v>9410</v>
      </c>
      <c r="D27927" s="1" t="s">
        <v>9412</v>
      </c>
    </row>
    <row r="27928">
      <c r="A27928" s="1" t="s">
        <v>42482</v>
      </c>
      <c r="B27928" s="2" t="s">
        <v>42483</v>
      </c>
      <c r="C27928" s="1" t="s">
        <v>9410</v>
      </c>
      <c r="D27928" s="1" t="s">
        <v>9412</v>
      </c>
    </row>
    <row r="27929">
      <c r="A27929" s="1" t="s">
        <v>9418</v>
      </c>
      <c r="B27929" s="2" t="s">
        <v>7</v>
      </c>
      <c r="C27929" s="1" t="s">
        <v>9419</v>
      </c>
      <c r="D27929" s="1" t="s">
        <v>9420</v>
      </c>
    </row>
    <row r="27930">
      <c r="A27930" s="1" t="s">
        <v>42484</v>
      </c>
      <c r="B27930" s="2" t="s">
        <v>11419</v>
      </c>
      <c r="C27930" s="1" t="s">
        <v>9419</v>
      </c>
      <c r="D27930" s="1" t="s">
        <v>9420</v>
      </c>
    </row>
    <row r="27931">
      <c r="A27931" s="1" t="s">
        <v>42485</v>
      </c>
      <c r="B27931" s="2" t="s">
        <v>11421</v>
      </c>
      <c r="C27931" s="1" t="s">
        <v>9419</v>
      </c>
      <c r="D27931" s="1" t="s">
        <v>9420</v>
      </c>
    </row>
    <row r="27932">
      <c r="A27932" s="1" t="s">
        <v>42486</v>
      </c>
      <c r="B27932" s="2" t="s">
        <v>11423</v>
      </c>
      <c r="C27932" s="1" t="s">
        <v>9419</v>
      </c>
      <c r="D27932" s="1" t="s">
        <v>9420</v>
      </c>
    </row>
    <row r="27933">
      <c r="A27933" s="1" t="s">
        <v>42487</v>
      </c>
      <c r="B27933" s="2" t="s">
        <v>11425</v>
      </c>
      <c r="C27933" s="1" t="s">
        <v>9419</v>
      </c>
      <c r="D27933" s="1" t="s">
        <v>9420</v>
      </c>
    </row>
    <row r="27934">
      <c r="A27934" s="1" t="s">
        <v>42488</v>
      </c>
      <c r="B27934" s="2" t="s">
        <v>11427</v>
      </c>
      <c r="C27934" s="1" t="s">
        <v>9419</v>
      </c>
      <c r="D27934" s="1" t="s">
        <v>9420</v>
      </c>
    </row>
    <row r="27935">
      <c r="A27935" s="1" t="s">
        <v>42489</v>
      </c>
      <c r="B27935" s="2" t="s">
        <v>11429</v>
      </c>
      <c r="C27935" s="1" t="s">
        <v>9419</v>
      </c>
      <c r="D27935" s="1" t="s">
        <v>9420</v>
      </c>
    </row>
    <row r="27936">
      <c r="A27936" s="1" t="s">
        <v>42490</v>
      </c>
      <c r="B27936" s="2" t="s">
        <v>11431</v>
      </c>
      <c r="C27936" s="1" t="s">
        <v>9419</v>
      </c>
      <c r="D27936" s="1" t="s">
        <v>9420</v>
      </c>
    </row>
    <row r="27937">
      <c r="A27937" s="1" t="s">
        <v>42491</v>
      </c>
      <c r="B27937" s="2" t="s">
        <v>42277</v>
      </c>
      <c r="C27937" s="1" t="s">
        <v>9419</v>
      </c>
      <c r="D27937" s="1" t="s">
        <v>9420</v>
      </c>
    </row>
    <row r="27938">
      <c r="A27938" s="1" t="s">
        <v>42492</v>
      </c>
      <c r="B27938" s="2" t="s">
        <v>42279</v>
      </c>
      <c r="C27938" s="1" t="s">
        <v>9419</v>
      </c>
      <c r="D27938" s="1" t="s">
        <v>9420</v>
      </c>
    </row>
    <row r="27939">
      <c r="A27939" s="1" t="s">
        <v>42493</v>
      </c>
      <c r="B27939" s="2" t="s">
        <v>11437</v>
      </c>
      <c r="C27939" s="1" t="s">
        <v>9419</v>
      </c>
      <c r="D27939" s="1" t="s">
        <v>9420</v>
      </c>
    </row>
    <row r="27940">
      <c r="A27940" s="1" t="s">
        <v>42494</v>
      </c>
      <c r="B27940" s="2" t="s">
        <v>11439</v>
      </c>
      <c r="C27940" s="1" t="s">
        <v>9419</v>
      </c>
      <c r="D27940" s="1" t="s">
        <v>9420</v>
      </c>
    </row>
    <row r="27941">
      <c r="A27941" s="1" t="s">
        <v>42495</v>
      </c>
      <c r="B27941" s="2" t="s">
        <v>25649</v>
      </c>
      <c r="C27941" s="1" t="s">
        <v>9419</v>
      </c>
      <c r="D27941" s="1" t="s">
        <v>9420</v>
      </c>
    </row>
    <row r="27942">
      <c r="A27942" s="1" t="s">
        <v>42496</v>
      </c>
      <c r="B27942" s="2" t="s">
        <v>11443</v>
      </c>
      <c r="C27942" s="1" t="s">
        <v>9419</v>
      </c>
      <c r="D27942" s="1" t="s">
        <v>9420</v>
      </c>
    </row>
    <row r="27943">
      <c r="A27943" s="1" t="s">
        <v>42497</v>
      </c>
      <c r="B27943" s="2" t="s">
        <v>42425</v>
      </c>
      <c r="C27943" s="1" t="s">
        <v>9419</v>
      </c>
      <c r="D27943" s="1" t="s">
        <v>9420</v>
      </c>
    </row>
    <row r="27944">
      <c r="A27944" s="1" t="s">
        <v>42498</v>
      </c>
      <c r="B27944" s="2" t="s">
        <v>42499</v>
      </c>
      <c r="C27944" s="1" t="s">
        <v>9419</v>
      </c>
      <c r="D27944" s="1" t="s">
        <v>9420</v>
      </c>
    </row>
    <row r="27945">
      <c r="A27945" s="1" t="s">
        <v>42500</v>
      </c>
      <c r="B27945" s="2" t="s">
        <v>42501</v>
      </c>
      <c r="C27945" s="1" t="s">
        <v>9419</v>
      </c>
      <c r="D27945" s="1" t="s">
        <v>9420</v>
      </c>
    </row>
    <row r="27946">
      <c r="A27946" s="1" t="s">
        <v>42502</v>
      </c>
      <c r="B27946" s="2" t="s">
        <v>42503</v>
      </c>
      <c r="C27946" s="1" t="s">
        <v>9419</v>
      </c>
      <c r="D27946" s="1" t="s">
        <v>9420</v>
      </c>
    </row>
    <row r="27947">
      <c r="A27947" s="1" t="s">
        <v>42504</v>
      </c>
      <c r="B27947" s="2" t="s">
        <v>42505</v>
      </c>
      <c r="C27947" s="1" t="s">
        <v>9419</v>
      </c>
      <c r="D27947" s="1" t="s">
        <v>9420</v>
      </c>
    </row>
    <row r="27948">
      <c r="A27948" s="1" t="s">
        <v>42506</v>
      </c>
      <c r="B27948" s="2" t="s">
        <v>42507</v>
      </c>
      <c r="C27948" s="1" t="s">
        <v>9419</v>
      </c>
      <c r="D27948" s="1" t="s">
        <v>9420</v>
      </c>
    </row>
    <row r="27949">
      <c r="A27949" s="1" t="s">
        <v>42508</v>
      </c>
      <c r="B27949" s="2" t="s">
        <v>42509</v>
      </c>
      <c r="C27949" s="1" t="s">
        <v>9419</v>
      </c>
      <c r="D27949" s="1" t="s">
        <v>9420</v>
      </c>
    </row>
    <row r="27950">
      <c r="A27950" s="1" t="s">
        <v>42510</v>
      </c>
      <c r="B27950" s="2" t="s">
        <v>42511</v>
      </c>
      <c r="C27950" s="1" t="s">
        <v>9419</v>
      </c>
      <c r="D27950" s="1" t="s">
        <v>9420</v>
      </c>
    </row>
    <row r="27951">
      <c r="A27951" s="1" t="s">
        <v>42512</v>
      </c>
      <c r="B27951" s="2" t="s">
        <v>42513</v>
      </c>
      <c r="C27951" s="1" t="s">
        <v>9419</v>
      </c>
      <c r="D27951" s="1" t="s">
        <v>9420</v>
      </c>
    </row>
    <row r="27952">
      <c r="A27952" s="1" t="s">
        <v>42514</v>
      </c>
      <c r="B27952" s="2" t="s">
        <v>42515</v>
      </c>
      <c r="C27952" s="1" t="s">
        <v>9419</v>
      </c>
      <c r="D27952" s="1" t="s">
        <v>9420</v>
      </c>
    </row>
    <row r="27953">
      <c r="A27953" s="1" t="s">
        <v>42516</v>
      </c>
      <c r="B27953" s="2" t="s">
        <v>42517</v>
      </c>
      <c r="C27953" s="1" t="s">
        <v>9419</v>
      </c>
      <c r="D27953" s="1" t="s">
        <v>9420</v>
      </c>
    </row>
    <row r="27954">
      <c r="A27954" s="1" t="s">
        <v>42518</v>
      </c>
      <c r="B27954" s="2" t="s">
        <v>42519</v>
      </c>
      <c r="C27954" s="1" t="s">
        <v>9419</v>
      </c>
      <c r="D27954" s="1" t="s">
        <v>9420</v>
      </c>
    </row>
    <row r="27955">
      <c r="A27955" s="1" t="s">
        <v>42520</v>
      </c>
      <c r="B27955" s="2" t="s">
        <v>42521</v>
      </c>
      <c r="C27955" s="1" t="s">
        <v>9419</v>
      </c>
      <c r="D27955" s="1" t="s">
        <v>9420</v>
      </c>
    </row>
    <row r="27956">
      <c r="A27956" s="1" t="s">
        <v>42522</v>
      </c>
      <c r="B27956" s="2" t="s">
        <v>42523</v>
      </c>
      <c r="C27956" s="1" t="s">
        <v>9419</v>
      </c>
      <c r="D27956" s="1" t="s">
        <v>9420</v>
      </c>
    </row>
    <row r="27957">
      <c r="A27957" s="1" t="s">
        <v>42524</v>
      </c>
      <c r="B27957" s="2" t="s">
        <v>42437</v>
      </c>
      <c r="C27957" s="1" t="s">
        <v>9419</v>
      </c>
      <c r="D27957" s="1" t="s">
        <v>9420</v>
      </c>
    </row>
    <row r="27958">
      <c r="A27958" s="1" t="s">
        <v>42525</v>
      </c>
      <c r="B27958" s="2" t="s">
        <v>42526</v>
      </c>
      <c r="C27958" s="1" t="s">
        <v>9419</v>
      </c>
      <c r="D27958" s="1" t="s">
        <v>9420</v>
      </c>
    </row>
    <row r="27959">
      <c r="A27959" s="1" t="s">
        <v>42527</v>
      </c>
      <c r="B27959" s="2" t="s">
        <v>42528</v>
      </c>
      <c r="C27959" s="1" t="s">
        <v>9419</v>
      </c>
      <c r="D27959" s="1" t="s">
        <v>9420</v>
      </c>
    </row>
    <row r="27960">
      <c r="A27960" s="1" t="s">
        <v>42529</v>
      </c>
      <c r="B27960" s="2" t="s">
        <v>42530</v>
      </c>
      <c r="C27960" s="1" t="s">
        <v>9419</v>
      </c>
      <c r="D27960" s="1" t="s">
        <v>9420</v>
      </c>
    </row>
    <row r="27961">
      <c r="A27961" s="1" t="s">
        <v>42531</v>
      </c>
      <c r="B27961" s="2" t="s">
        <v>42532</v>
      </c>
      <c r="C27961" s="1" t="s">
        <v>9419</v>
      </c>
      <c r="D27961" s="1" t="s">
        <v>9420</v>
      </c>
    </row>
    <row r="27962">
      <c r="A27962" s="1" t="s">
        <v>42533</v>
      </c>
      <c r="B27962" s="2" t="s">
        <v>42534</v>
      </c>
      <c r="C27962" s="1" t="s">
        <v>9419</v>
      </c>
      <c r="D27962" s="1" t="s">
        <v>9420</v>
      </c>
    </row>
    <row r="27963">
      <c r="A27963" s="1" t="s">
        <v>42535</v>
      </c>
      <c r="B27963" s="2" t="s">
        <v>42536</v>
      </c>
      <c r="C27963" s="1" t="s">
        <v>9419</v>
      </c>
      <c r="D27963" s="1" t="s">
        <v>9420</v>
      </c>
    </row>
    <row r="27964">
      <c r="A27964" s="1" t="s">
        <v>42537</v>
      </c>
      <c r="B27964" s="2" t="s">
        <v>42538</v>
      </c>
      <c r="C27964" s="1" t="s">
        <v>9419</v>
      </c>
      <c r="D27964" s="1" t="s">
        <v>9420</v>
      </c>
    </row>
    <row r="27965">
      <c r="A27965" s="1" t="s">
        <v>42539</v>
      </c>
      <c r="B27965" s="2" t="s">
        <v>42540</v>
      </c>
      <c r="C27965" s="1" t="s">
        <v>9419</v>
      </c>
      <c r="D27965" s="1" t="s">
        <v>9420</v>
      </c>
    </row>
    <row r="27966">
      <c r="A27966" s="1" t="s">
        <v>42541</v>
      </c>
      <c r="B27966" s="2" t="s">
        <v>42542</v>
      </c>
      <c r="C27966" s="1" t="s">
        <v>9419</v>
      </c>
      <c r="D27966" s="1" t="s">
        <v>9420</v>
      </c>
    </row>
    <row r="27967">
      <c r="A27967" s="1" t="s">
        <v>42543</v>
      </c>
      <c r="B27967" s="2" t="s">
        <v>42544</v>
      </c>
      <c r="C27967" s="1" t="s">
        <v>9419</v>
      </c>
      <c r="D27967" s="1" t="s">
        <v>9420</v>
      </c>
    </row>
    <row r="27968">
      <c r="A27968" s="1" t="s">
        <v>42545</v>
      </c>
      <c r="B27968" s="2" t="s">
        <v>42546</v>
      </c>
      <c r="C27968" s="1" t="s">
        <v>9419</v>
      </c>
      <c r="D27968" s="1" t="s">
        <v>9420</v>
      </c>
    </row>
    <row r="27969">
      <c r="A27969" s="1" t="s">
        <v>42547</v>
      </c>
      <c r="B27969" s="2" t="s">
        <v>42548</v>
      </c>
      <c r="C27969" s="1" t="s">
        <v>9419</v>
      </c>
      <c r="D27969" s="1" t="s">
        <v>9420</v>
      </c>
    </row>
    <row r="27970">
      <c r="A27970" s="1" t="s">
        <v>42549</v>
      </c>
      <c r="B27970" s="2" t="s">
        <v>42550</v>
      </c>
      <c r="C27970" s="1" t="s">
        <v>9419</v>
      </c>
      <c r="D27970" s="1" t="s">
        <v>9420</v>
      </c>
    </row>
    <row r="27971">
      <c r="A27971" s="1" t="s">
        <v>42551</v>
      </c>
      <c r="B27971" s="2" t="s">
        <v>42449</v>
      </c>
      <c r="C27971" s="1" t="s">
        <v>9419</v>
      </c>
      <c r="D27971" s="1" t="s">
        <v>9420</v>
      </c>
    </row>
    <row r="27972">
      <c r="A27972" s="1" t="s">
        <v>42552</v>
      </c>
      <c r="B27972" s="2" t="s">
        <v>42553</v>
      </c>
      <c r="C27972" s="1" t="s">
        <v>9419</v>
      </c>
      <c r="D27972" s="1" t="s">
        <v>9420</v>
      </c>
    </row>
    <row r="27973">
      <c r="A27973" s="1" t="s">
        <v>42554</v>
      </c>
      <c r="B27973" s="2" t="s">
        <v>42555</v>
      </c>
      <c r="C27973" s="1" t="s">
        <v>9419</v>
      </c>
      <c r="D27973" s="1" t="s">
        <v>9420</v>
      </c>
    </row>
    <row r="27974">
      <c r="A27974" s="1" t="s">
        <v>42556</v>
      </c>
      <c r="B27974" s="2" t="s">
        <v>42557</v>
      </c>
      <c r="C27974" s="1" t="s">
        <v>9419</v>
      </c>
      <c r="D27974" s="1" t="s">
        <v>9420</v>
      </c>
    </row>
    <row r="27975">
      <c r="A27975" s="1" t="s">
        <v>42558</v>
      </c>
      <c r="B27975" s="2" t="s">
        <v>42559</v>
      </c>
      <c r="C27975" s="1" t="s">
        <v>9419</v>
      </c>
      <c r="D27975" s="1" t="s">
        <v>9420</v>
      </c>
    </row>
    <row r="27976">
      <c r="A27976" s="1" t="s">
        <v>42560</v>
      </c>
      <c r="B27976" s="2" t="s">
        <v>42561</v>
      </c>
      <c r="C27976" s="1" t="s">
        <v>9419</v>
      </c>
      <c r="D27976" s="1" t="s">
        <v>9420</v>
      </c>
    </row>
    <row r="27977">
      <c r="A27977" s="1" t="s">
        <v>42562</v>
      </c>
      <c r="B27977" s="2" t="s">
        <v>42563</v>
      </c>
      <c r="C27977" s="1" t="s">
        <v>9419</v>
      </c>
      <c r="D27977" s="1" t="s">
        <v>9420</v>
      </c>
    </row>
    <row r="27978">
      <c r="A27978" s="1" t="s">
        <v>42564</v>
      </c>
      <c r="B27978" s="2" t="s">
        <v>42565</v>
      </c>
      <c r="C27978" s="1" t="s">
        <v>9419</v>
      </c>
      <c r="D27978" s="1" t="s">
        <v>9420</v>
      </c>
    </row>
    <row r="27979">
      <c r="A27979" s="1" t="s">
        <v>42566</v>
      </c>
      <c r="B27979" s="2" t="s">
        <v>42567</v>
      </c>
      <c r="C27979" s="1" t="s">
        <v>9419</v>
      </c>
      <c r="D27979" s="1" t="s">
        <v>9420</v>
      </c>
    </row>
    <row r="27980">
      <c r="A27980" s="1" t="s">
        <v>42568</v>
      </c>
      <c r="B27980" s="2" t="s">
        <v>42569</v>
      </c>
      <c r="C27980" s="1" t="s">
        <v>9419</v>
      </c>
      <c r="D27980" s="1" t="s">
        <v>9420</v>
      </c>
    </row>
    <row r="27981">
      <c r="A27981" s="1" t="s">
        <v>42570</v>
      </c>
      <c r="B27981" s="2" t="s">
        <v>42571</v>
      </c>
      <c r="C27981" s="1" t="s">
        <v>9419</v>
      </c>
      <c r="D27981" s="1" t="s">
        <v>9420</v>
      </c>
    </row>
    <row r="27982">
      <c r="A27982" s="1" t="s">
        <v>42572</v>
      </c>
      <c r="B27982" s="2" t="s">
        <v>42573</v>
      </c>
      <c r="C27982" s="1" t="s">
        <v>9419</v>
      </c>
      <c r="D27982" s="1" t="s">
        <v>9420</v>
      </c>
    </row>
    <row r="27983">
      <c r="A27983" s="1" t="s">
        <v>42574</v>
      </c>
      <c r="B27983" s="2" t="s">
        <v>42575</v>
      </c>
      <c r="C27983" s="1" t="s">
        <v>9419</v>
      </c>
      <c r="D27983" s="1" t="s">
        <v>9420</v>
      </c>
    </row>
    <row r="27984">
      <c r="A27984" s="1" t="s">
        <v>42576</v>
      </c>
      <c r="B27984" s="2" t="s">
        <v>42577</v>
      </c>
      <c r="C27984" s="1" t="s">
        <v>9419</v>
      </c>
      <c r="D27984" s="1" t="s">
        <v>9420</v>
      </c>
    </row>
    <row r="27985">
      <c r="A27985" s="1" t="s">
        <v>42578</v>
      </c>
      <c r="B27985" s="2" t="s">
        <v>42461</v>
      </c>
      <c r="C27985" s="1" t="s">
        <v>9419</v>
      </c>
      <c r="D27985" s="1" t="s">
        <v>9420</v>
      </c>
    </row>
    <row r="27986">
      <c r="A27986" s="1" t="s">
        <v>42579</v>
      </c>
      <c r="B27986" s="2" t="s">
        <v>42580</v>
      </c>
      <c r="C27986" s="1" t="s">
        <v>9419</v>
      </c>
      <c r="D27986" s="1" t="s">
        <v>9420</v>
      </c>
    </row>
    <row r="27987">
      <c r="A27987" s="1" t="s">
        <v>42581</v>
      </c>
      <c r="B27987" s="2" t="s">
        <v>42582</v>
      </c>
      <c r="C27987" s="1" t="s">
        <v>9419</v>
      </c>
      <c r="D27987" s="1" t="s">
        <v>9420</v>
      </c>
    </row>
    <row r="27988">
      <c r="A27988" s="1" t="s">
        <v>42583</v>
      </c>
      <c r="B27988" s="2" t="s">
        <v>42584</v>
      </c>
      <c r="C27988" s="1" t="s">
        <v>9419</v>
      </c>
      <c r="D27988" s="1" t="s">
        <v>9420</v>
      </c>
    </row>
    <row r="27989">
      <c r="A27989" s="1" t="s">
        <v>42585</v>
      </c>
      <c r="B27989" s="2" t="s">
        <v>42586</v>
      </c>
      <c r="C27989" s="1" t="s">
        <v>9419</v>
      </c>
      <c r="D27989" s="1" t="s">
        <v>9420</v>
      </c>
    </row>
    <row r="27990">
      <c r="A27990" s="1" t="s">
        <v>42587</v>
      </c>
      <c r="B27990" s="2" t="s">
        <v>42588</v>
      </c>
      <c r="C27990" s="1" t="s">
        <v>9419</v>
      </c>
      <c r="D27990" s="1" t="s">
        <v>9420</v>
      </c>
    </row>
    <row r="27991">
      <c r="A27991" s="1" t="s">
        <v>42589</v>
      </c>
      <c r="B27991" s="2" t="s">
        <v>42590</v>
      </c>
      <c r="C27991" s="1" t="s">
        <v>9419</v>
      </c>
      <c r="D27991" s="1" t="s">
        <v>9420</v>
      </c>
    </row>
    <row r="27992">
      <c r="A27992" s="1" t="s">
        <v>42591</v>
      </c>
      <c r="B27992" s="2" t="s">
        <v>42592</v>
      </c>
      <c r="C27992" s="1" t="s">
        <v>9419</v>
      </c>
      <c r="D27992" s="1" t="s">
        <v>9420</v>
      </c>
    </row>
    <row r="27993">
      <c r="A27993" s="1" t="s">
        <v>42593</v>
      </c>
      <c r="B27993" s="2" t="s">
        <v>42594</v>
      </c>
      <c r="C27993" s="1" t="s">
        <v>9419</v>
      </c>
      <c r="D27993" s="1" t="s">
        <v>9420</v>
      </c>
    </row>
    <row r="27994">
      <c r="A27994" s="1" t="s">
        <v>42595</v>
      </c>
      <c r="B27994" s="2" t="s">
        <v>42596</v>
      </c>
      <c r="C27994" s="1" t="s">
        <v>9419</v>
      </c>
      <c r="D27994" s="1" t="s">
        <v>9420</v>
      </c>
    </row>
    <row r="27995">
      <c r="A27995" s="1" t="s">
        <v>42597</v>
      </c>
      <c r="B27995" s="2" t="s">
        <v>42598</v>
      </c>
      <c r="C27995" s="1" t="s">
        <v>9419</v>
      </c>
      <c r="D27995" s="1" t="s">
        <v>9420</v>
      </c>
    </row>
    <row r="27996">
      <c r="A27996" s="1" t="s">
        <v>42599</v>
      </c>
      <c r="B27996" s="2" t="s">
        <v>42600</v>
      </c>
      <c r="C27996" s="1" t="s">
        <v>9419</v>
      </c>
      <c r="D27996" s="1" t="s">
        <v>9420</v>
      </c>
    </row>
    <row r="27997">
      <c r="A27997" s="1" t="s">
        <v>42601</v>
      </c>
      <c r="B27997" s="2" t="s">
        <v>42602</v>
      </c>
      <c r="C27997" s="1" t="s">
        <v>9419</v>
      </c>
      <c r="D27997" s="1" t="s">
        <v>9420</v>
      </c>
    </row>
    <row r="27998">
      <c r="A27998" s="1" t="s">
        <v>42603</v>
      </c>
      <c r="B27998" s="2" t="s">
        <v>42604</v>
      </c>
      <c r="C27998" s="1" t="s">
        <v>9419</v>
      </c>
      <c r="D27998" s="1" t="s">
        <v>9420</v>
      </c>
    </row>
    <row r="27999">
      <c r="A27999" s="1" t="s">
        <v>42605</v>
      </c>
      <c r="B27999" s="2" t="s">
        <v>42473</v>
      </c>
      <c r="C27999" s="1" t="s">
        <v>9419</v>
      </c>
      <c r="D27999" s="1" t="s">
        <v>9420</v>
      </c>
    </row>
    <row r="28000">
      <c r="A28000" s="1" t="s">
        <v>42606</v>
      </c>
      <c r="B28000" s="2" t="s">
        <v>42607</v>
      </c>
      <c r="C28000" s="1" t="s">
        <v>9419</v>
      </c>
      <c r="D28000" s="1" t="s">
        <v>9420</v>
      </c>
    </row>
    <row r="28001">
      <c r="A28001" s="1" t="s">
        <v>42608</v>
      </c>
      <c r="B28001" s="2" t="s">
        <v>42609</v>
      </c>
      <c r="C28001" s="1" t="s">
        <v>9419</v>
      </c>
      <c r="D28001" s="1" t="s">
        <v>9420</v>
      </c>
    </row>
    <row r="28002">
      <c r="A28002" s="1" t="s">
        <v>42610</v>
      </c>
      <c r="B28002" s="2" t="s">
        <v>42611</v>
      </c>
      <c r="C28002" s="1" t="s">
        <v>9419</v>
      </c>
      <c r="D28002" s="1" t="s">
        <v>9420</v>
      </c>
    </row>
    <row r="28003">
      <c r="A28003" s="1" t="s">
        <v>42612</v>
      </c>
      <c r="B28003" s="2" t="s">
        <v>42613</v>
      </c>
      <c r="C28003" s="1" t="s">
        <v>9419</v>
      </c>
      <c r="D28003" s="1" t="s">
        <v>9420</v>
      </c>
    </row>
    <row r="28004">
      <c r="A28004" s="1" t="s">
        <v>42614</v>
      </c>
      <c r="B28004" s="2" t="s">
        <v>42615</v>
      </c>
      <c r="C28004" s="1" t="s">
        <v>9419</v>
      </c>
      <c r="D28004" s="1" t="s">
        <v>9420</v>
      </c>
    </row>
    <row r="28005">
      <c r="A28005" s="1" t="s">
        <v>42616</v>
      </c>
      <c r="B28005" s="2" t="s">
        <v>42617</v>
      </c>
      <c r="C28005" s="1" t="s">
        <v>9419</v>
      </c>
      <c r="D28005" s="1" t="s">
        <v>9420</v>
      </c>
    </row>
    <row r="28006">
      <c r="A28006" s="1" t="s">
        <v>42618</v>
      </c>
      <c r="B28006" s="2" t="s">
        <v>42619</v>
      </c>
      <c r="C28006" s="1" t="s">
        <v>9419</v>
      </c>
      <c r="D28006" s="1" t="s">
        <v>9420</v>
      </c>
    </row>
    <row r="28007">
      <c r="A28007" s="1" t="s">
        <v>42620</v>
      </c>
      <c r="B28007" s="2" t="s">
        <v>42621</v>
      </c>
      <c r="C28007" s="1" t="s">
        <v>9419</v>
      </c>
      <c r="D28007" s="1" t="s">
        <v>9420</v>
      </c>
    </row>
    <row r="28008">
      <c r="A28008" s="1" t="s">
        <v>42622</v>
      </c>
      <c r="B28008" s="2" t="s">
        <v>42623</v>
      </c>
      <c r="C28008" s="1" t="s">
        <v>9419</v>
      </c>
      <c r="D28008" s="1" t="s">
        <v>9420</v>
      </c>
    </row>
    <row r="28009">
      <c r="A28009" s="1" t="s">
        <v>42624</v>
      </c>
      <c r="B28009" s="2" t="s">
        <v>42625</v>
      </c>
      <c r="C28009" s="1" t="s">
        <v>9419</v>
      </c>
      <c r="D28009" s="1" t="s">
        <v>9420</v>
      </c>
    </row>
    <row r="28010">
      <c r="A28010" s="1" t="s">
        <v>42626</v>
      </c>
      <c r="B28010" s="2" t="s">
        <v>42627</v>
      </c>
      <c r="C28010" s="1" t="s">
        <v>9419</v>
      </c>
      <c r="D28010" s="1" t="s">
        <v>9420</v>
      </c>
    </row>
    <row r="28011">
      <c r="A28011" s="1" t="s">
        <v>42628</v>
      </c>
      <c r="B28011" s="2" t="s">
        <v>42629</v>
      </c>
      <c r="C28011" s="1" t="s">
        <v>9419</v>
      </c>
      <c r="D28011" s="1" t="s">
        <v>9420</v>
      </c>
    </row>
    <row r="28012">
      <c r="A28012" s="1" t="s">
        <v>42630</v>
      </c>
      <c r="B28012" s="2" t="s">
        <v>42631</v>
      </c>
      <c r="C28012" s="1" t="s">
        <v>9419</v>
      </c>
      <c r="D28012" s="1" t="s">
        <v>9420</v>
      </c>
    </row>
    <row r="28013">
      <c r="A28013" s="1" t="s">
        <v>9423</v>
      </c>
      <c r="B28013" s="2" t="s">
        <v>7</v>
      </c>
      <c r="C28013" s="1" t="s">
        <v>9425</v>
      </c>
      <c r="D28013" s="1" t="s">
        <v>9426</v>
      </c>
    </row>
    <row r="28014">
      <c r="A28014" s="1" t="s">
        <v>42632</v>
      </c>
      <c r="B28014" s="2" t="s">
        <v>20728</v>
      </c>
      <c r="C28014" s="1" t="s">
        <v>9425</v>
      </c>
      <c r="D28014" s="1" t="s">
        <v>9426</v>
      </c>
    </row>
    <row r="28015">
      <c r="A28015" s="1" t="s">
        <v>42633</v>
      </c>
      <c r="B28015" s="2" t="s">
        <v>42634</v>
      </c>
      <c r="C28015" s="1" t="s">
        <v>9425</v>
      </c>
      <c r="D28015" s="1" t="s">
        <v>9426</v>
      </c>
    </row>
    <row r="28016">
      <c r="A28016" s="1" t="s">
        <v>42635</v>
      </c>
      <c r="B28016" s="2" t="s">
        <v>39804</v>
      </c>
      <c r="C28016" s="1" t="s">
        <v>9425</v>
      </c>
      <c r="D28016" s="1" t="s">
        <v>9426</v>
      </c>
    </row>
    <row r="28017">
      <c r="A28017" s="1" t="s">
        <v>42636</v>
      </c>
      <c r="B28017" s="2" t="s">
        <v>20750</v>
      </c>
      <c r="C28017" s="1" t="s">
        <v>9425</v>
      </c>
      <c r="D28017" s="1" t="s">
        <v>9426</v>
      </c>
    </row>
    <row r="28018">
      <c r="A28018" s="1" t="s">
        <v>42637</v>
      </c>
      <c r="B28018" s="2" t="s">
        <v>42638</v>
      </c>
      <c r="C28018" s="1" t="s">
        <v>9425</v>
      </c>
      <c r="D28018" s="1" t="s">
        <v>9426</v>
      </c>
    </row>
    <row r="28019">
      <c r="A28019" s="1" t="s">
        <v>42639</v>
      </c>
      <c r="B28019" s="2" t="s">
        <v>42640</v>
      </c>
      <c r="C28019" s="1" t="s">
        <v>9425</v>
      </c>
      <c r="D28019" s="1" t="s">
        <v>9426</v>
      </c>
    </row>
    <row r="28020">
      <c r="A28020" s="1" t="s">
        <v>42641</v>
      </c>
      <c r="B28020" s="2" t="s">
        <v>13730</v>
      </c>
      <c r="C28020" s="1" t="s">
        <v>9425</v>
      </c>
      <c r="D28020" s="1" t="s">
        <v>9426</v>
      </c>
    </row>
    <row r="28021">
      <c r="A28021" s="1" t="s">
        <v>42642</v>
      </c>
      <c r="B28021" s="2" t="s">
        <v>42643</v>
      </c>
      <c r="C28021" s="1" t="s">
        <v>9425</v>
      </c>
      <c r="D28021" s="1" t="s">
        <v>9426</v>
      </c>
    </row>
    <row r="28022">
      <c r="A28022" s="1" t="s">
        <v>42644</v>
      </c>
      <c r="B28022" s="2" t="s">
        <v>39900</v>
      </c>
      <c r="C28022" s="1" t="s">
        <v>9425</v>
      </c>
      <c r="D28022" s="1" t="s">
        <v>9426</v>
      </c>
    </row>
    <row r="28023">
      <c r="A28023" s="1" t="s">
        <v>9430</v>
      </c>
      <c r="B28023" s="2" t="s">
        <v>7</v>
      </c>
      <c r="C28023" s="1" t="s">
        <v>9432</v>
      </c>
      <c r="D28023" s="1" t="s">
        <v>9433</v>
      </c>
    </row>
    <row r="28024">
      <c r="A28024" s="1" t="s">
        <v>42645</v>
      </c>
      <c r="B28024" s="2" t="s">
        <v>20728</v>
      </c>
      <c r="C28024" s="1" t="s">
        <v>9432</v>
      </c>
      <c r="D28024" s="1" t="s">
        <v>9433</v>
      </c>
    </row>
    <row r="28025">
      <c r="A28025" s="1" t="s">
        <v>42646</v>
      </c>
      <c r="B28025" s="2" t="s">
        <v>42634</v>
      </c>
      <c r="C28025" s="1" t="s">
        <v>9432</v>
      </c>
      <c r="D28025" s="1" t="s">
        <v>9433</v>
      </c>
    </row>
    <row r="28026">
      <c r="A28026" s="1" t="s">
        <v>42647</v>
      </c>
      <c r="B28026" s="2" t="s">
        <v>39804</v>
      </c>
      <c r="C28026" s="1" t="s">
        <v>9432</v>
      </c>
      <c r="D28026" s="1" t="s">
        <v>9433</v>
      </c>
    </row>
    <row r="28027">
      <c r="A28027" s="1" t="s">
        <v>42648</v>
      </c>
      <c r="B28027" s="2" t="s">
        <v>20750</v>
      </c>
      <c r="C28027" s="1" t="s">
        <v>9432</v>
      </c>
      <c r="D28027" s="1" t="s">
        <v>9433</v>
      </c>
    </row>
    <row r="28028">
      <c r="A28028" s="1" t="s">
        <v>42649</v>
      </c>
      <c r="B28028" s="2" t="s">
        <v>42638</v>
      </c>
      <c r="C28028" s="1" t="s">
        <v>9432</v>
      </c>
      <c r="D28028" s="1" t="s">
        <v>9433</v>
      </c>
    </row>
    <row r="28029">
      <c r="A28029" s="1" t="s">
        <v>42650</v>
      </c>
      <c r="B28029" s="2" t="s">
        <v>42640</v>
      </c>
      <c r="C28029" s="1" t="s">
        <v>9432</v>
      </c>
      <c r="D28029" s="1" t="s">
        <v>9433</v>
      </c>
    </row>
    <row r="28030">
      <c r="A28030" s="1" t="s">
        <v>42651</v>
      </c>
      <c r="B28030" s="2" t="s">
        <v>13730</v>
      </c>
      <c r="C28030" s="1" t="s">
        <v>9432</v>
      </c>
      <c r="D28030" s="1" t="s">
        <v>9433</v>
      </c>
    </row>
    <row r="28031">
      <c r="A28031" s="1" t="s">
        <v>42652</v>
      </c>
      <c r="B28031" s="2" t="s">
        <v>42643</v>
      </c>
      <c r="C28031" s="1" t="s">
        <v>9432</v>
      </c>
      <c r="D28031" s="1" t="s">
        <v>9433</v>
      </c>
    </row>
    <row r="28032">
      <c r="A28032" s="1" t="s">
        <v>42653</v>
      </c>
      <c r="B28032" s="2" t="s">
        <v>39900</v>
      </c>
      <c r="C28032" s="1" t="s">
        <v>9432</v>
      </c>
      <c r="D28032" s="1" t="s">
        <v>9433</v>
      </c>
    </row>
    <row r="28033">
      <c r="A28033" s="1" t="s">
        <v>9436</v>
      </c>
      <c r="B28033" s="2" t="s">
        <v>7</v>
      </c>
      <c r="C28033" s="1" t="s">
        <v>9438</v>
      </c>
      <c r="D28033" s="1" t="s">
        <v>9440</v>
      </c>
    </row>
    <row r="28034">
      <c r="A28034" s="1" t="s">
        <v>42654</v>
      </c>
      <c r="B28034" s="2" t="s">
        <v>20728</v>
      </c>
      <c r="C28034" s="1" t="s">
        <v>9438</v>
      </c>
      <c r="D28034" s="1" t="s">
        <v>9440</v>
      </c>
    </row>
    <row r="28035">
      <c r="A28035" s="1" t="s">
        <v>42655</v>
      </c>
      <c r="B28035" s="2" t="s">
        <v>42634</v>
      </c>
      <c r="C28035" s="1" t="s">
        <v>9438</v>
      </c>
      <c r="D28035" s="1" t="s">
        <v>9440</v>
      </c>
    </row>
    <row r="28036">
      <c r="A28036" s="1" t="s">
        <v>42656</v>
      </c>
      <c r="B28036" s="2" t="s">
        <v>39804</v>
      </c>
      <c r="C28036" s="1" t="s">
        <v>9438</v>
      </c>
      <c r="D28036" s="1" t="s">
        <v>9440</v>
      </c>
    </row>
    <row r="28037">
      <c r="A28037" s="1" t="s">
        <v>42657</v>
      </c>
      <c r="B28037" s="2" t="s">
        <v>20750</v>
      </c>
      <c r="C28037" s="1" t="s">
        <v>9438</v>
      </c>
      <c r="D28037" s="1" t="s">
        <v>9440</v>
      </c>
    </row>
    <row r="28038">
      <c r="A28038" s="1" t="s">
        <v>42658</v>
      </c>
      <c r="B28038" s="2" t="s">
        <v>42638</v>
      </c>
      <c r="C28038" s="1" t="s">
        <v>9438</v>
      </c>
      <c r="D28038" s="1" t="s">
        <v>9440</v>
      </c>
    </row>
    <row r="28039">
      <c r="A28039" s="1" t="s">
        <v>42659</v>
      </c>
      <c r="B28039" s="2" t="s">
        <v>42640</v>
      </c>
      <c r="C28039" s="1" t="s">
        <v>9438</v>
      </c>
      <c r="D28039" s="1" t="s">
        <v>9440</v>
      </c>
    </row>
    <row r="28040">
      <c r="A28040" s="1" t="s">
        <v>42660</v>
      </c>
      <c r="B28040" s="2" t="s">
        <v>13730</v>
      </c>
      <c r="C28040" s="1" t="s">
        <v>9438</v>
      </c>
      <c r="D28040" s="1" t="s">
        <v>9440</v>
      </c>
    </row>
    <row r="28041">
      <c r="A28041" s="1" t="s">
        <v>42661</v>
      </c>
      <c r="B28041" s="2" t="s">
        <v>42643</v>
      </c>
      <c r="C28041" s="1" t="s">
        <v>9438</v>
      </c>
      <c r="D28041" s="1" t="s">
        <v>9440</v>
      </c>
    </row>
    <row r="28042">
      <c r="A28042" s="1" t="s">
        <v>42662</v>
      </c>
      <c r="B28042" s="2" t="s">
        <v>39900</v>
      </c>
      <c r="C28042" s="1" t="s">
        <v>9438</v>
      </c>
      <c r="D28042" s="1" t="s">
        <v>9440</v>
      </c>
    </row>
    <row r="28043">
      <c r="A28043" s="1" t="s">
        <v>9441</v>
      </c>
      <c r="B28043" s="2" t="s">
        <v>7</v>
      </c>
      <c r="C28043" s="1" t="s">
        <v>9443</v>
      </c>
      <c r="D28043" s="1" t="s">
        <v>9444</v>
      </c>
    </row>
    <row r="28044">
      <c r="A28044" s="1" t="s">
        <v>42663</v>
      </c>
      <c r="B28044" s="2" t="s">
        <v>20728</v>
      </c>
      <c r="C28044" s="1" t="s">
        <v>9443</v>
      </c>
      <c r="D28044" s="1" t="s">
        <v>9444</v>
      </c>
    </row>
    <row r="28045">
      <c r="A28045" s="1" t="s">
        <v>42664</v>
      </c>
      <c r="B28045" s="2" t="s">
        <v>42634</v>
      </c>
      <c r="C28045" s="1" t="s">
        <v>9443</v>
      </c>
      <c r="D28045" s="1" t="s">
        <v>9444</v>
      </c>
    </row>
    <row r="28046">
      <c r="A28046" s="1" t="s">
        <v>42665</v>
      </c>
      <c r="B28046" s="2" t="s">
        <v>39804</v>
      </c>
      <c r="C28046" s="1" t="s">
        <v>9443</v>
      </c>
      <c r="D28046" s="1" t="s">
        <v>9444</v>
      </c>
    </row>
    <row r="28047">
      <c r="A28047" s="1" t="s">
        <v>42666</v>
      </c>
      <c r="B28047" s="2" t="s">
        <v>20750</v>
      </c>
      <c r="C28047" s="1" t="s">
        <v>9443</v>
      </c>
      <c r="D28047" s="1" t="s">
        <v>9444</v>
      </c>
    </row>
    <row r="28048">
      <c r="A28048" s="1" t="s">
        <v>42667</v>
      </c>
      <c r="B28048" s="2" t="s">
        <v>42638</v>
      </c>
      <c r="C28048" s="1" t="s">
        <v>9443</v>
      </c>
      <c r="D28048" s="1" t="s">
        <v>9444</v>
      </c>
    </row>
    <row r="28049">
      <c r="A28049" s="1" t="s">
        <v>42668</v>
      </c>
      <c r="B28049" s="2" t="s">
        <v>42640</v>
      </c>
      <c r="C28049" s="1" t="s">
        <v>9443</v>
      </c>
      <c r="D28049" s="1" t="s">
        <v>9444</v>
      </c>
    </row>
    <row r="28050">
      <c r="A28050" s="1" t="s">
        <v>42669</v>
      </c>
      <c r="B28050" s="2" t="s">
        <v>13730</v>
      </c>
      <c r="C28050" s="1" t="s">
        <v>9443</v>
      </c>
      <c r="D28050" s="1" t="s">
        <v>9444</v>
      </c>
    </row>
    <row r="28051">
      <c r="A28051" s="1" t="s">
        <v>42670</v>
      </c>
      <c r="B28051" s="2" t="s">
        <v>42643</v>
      </c>
      <c r="C28051" s="1" t="s">
        <v>9443</v>
      </c>
      <c r="D28051" s="1" t="s">
        <v>9444</v>
      </c>
    </row>
    <row r="28052">
      <c r="A28052" s="1" t="s">
        <v>42671</v>
      </c>
      <c r="B28052" s="2" t="s">
        <v>39900</v>
      </c>
      <c r="C28052" s="1" t="s">
        <v>9443</v>
      </c>
      <c r="D28052" s="1" t="s">
        <v>9444</v>
      </c>
    </row>
    <row r="28053">
      <c r="A28053" s="1" t="s">
        <v>9445</v>
      </c>
      <c r="B28053" s="2" t="s">
        <v>7</v>
      </c>
      <c r="C28053" s="1" t="s">
        <v>9446</v>
      </c>
      <c r="D28053" s="1" t="s">
        <v>9447</v>
      </c>
    </row>
    <row r="28054">
      <c r="A28054" s="1" t="s">
        <v>42672</v>
      </c>
      <c r="B28054" s="2" t="s">
        <v>20728</v>
      </c>
      <c r="C28054" s="1" t="s">
        <v>9446</v>
      </c>
      <c r="D28054" s="1" t="s">
        <v>9447</v>
      </c>
    </row>
    <row r="28055">
      <c r="A28055" s="1" t="s">
        <v>42673</v>
      </c>
      <c r="B28055" s="2" t="s">
        <v>42634</v>
      </c>
      <c r="C28055" s="1" t="s">
        <v>9446</v>
      </c>
      <c r="D28055" s="1" t="s">
        <v>9447</v>
      </c>
    </row>
    <row r="28056">
      <c r="A28056" s="1" t="s">
        <v>42674</v>
      </c>
      <c r="B28056" s="2" t="s">
        <v>39804</v>
      </c>
      <c r="C28056" s="1" t="s">
        <v>9446</v>
      </c>
      <c r="D28056" s="1" t="s">
        <v>9447</v>
      </c>
    </row>
    <row r="28057">
      <c r="A28057" s="1" t="s">
        <v>42675</v>
      </c>
      <c r="B28057" s="2" t="s">
        <v>20750</v>
      </c>
      <c r="C28057" s="1" t="s">
        <v>9446</v>
      </c>
      <c r="D28057" s="1" t="s">
        <v>9447</v>
      </c>
    </row>
    <row r="28058">
      <c r="A28058" s="1" t="s">
        <v>42676</v>
      </c>
      <c r="B28058" s="2" t="s">
        <v>42638</v>
      </c>
      <c r="C28058" s="1" t="s">
        <v>9446</v>
      </c>
      <c r="D28058" s="1" t="s">
        <v>9447</v>
      </c>
    </row>
    <row r="28059">
      <c r="A28059" s="1" t="s">
        <v>42677</v>
      </c>
      <c r="B28059" s="2" t="s">
        <v>42640</v>
      </c>
      <c r="C28059" s="1" t="s">
        <v>9446</v>
      </c>
      <c r="D28059" s="1" t="s">
        <v>9447</v>
      </c>
    </row>
    <row r="28060">
      <c r="A28060" s="1" t="s">
        <v>42678</v>
      </c>
      <c r="B28060" s="2" t="s">
        <v>13730</v>
      </c>
      <c r="C28060" s="1" t="s">
        <v>9446</v>
      </c>
      <c r="D28060" s="1" t="s">
        <v>9447</v>
      </c>
    </row>
    <row r="28061">
      <c r="A28061" s="1" t="s">
        <v>42679</v>
      </c>
      <c r="B28061" s="2" t="s">
        <v>42643</v>
      </c>
      <c r="C28061" s="1" t="s">
        <v>9446</v>
      </c>
      <c r="D28061" s="1" t="s">
        <v>9447</v>
      </c>
    </row>
    <row r="28062">
      <c r="A28062" s="1" t="s">
        <v>42680</v>
      </c>
      <c r="B28062" s="2" t="s">
        <v>39900</v>
      </c>
      <c r="C28062" s="1" t="s">
        <v>9446</v>
      </c>
      <c r="D28062" s="1" t="s">
        <v>9447</v>
      </c>
    </row>
    <row r="28063">
      <c r="A28063" s="1" t="s">
        <v>9449</v>
      </c>
      <c r="B28063" s="2" t="s">
        <v>7</v>
      </c>
      <c r="C28063" s="1" t="s">
        <v>9451</v>
      </c>
      <c r="D28063" s="1" t="s">
        <v>9452</v>
      </c>
    </row>
    <row r="28064">
      <c r="A28064" s="1" t="s">
        <v>42681</v>
      </c>
      <c r="B28064" s="2" t="s">
        <v>20728</v>
      </c>
      <c r="C28064" s="1" t="s">
        <v>9451</v>
      </c>
      <c r="D28064" s="1" t="s">
        <v>9452</v>
      </c>
    </row>
    <row r="28065">
      <c r="A28065" s="1" t="s">
        <v>42682</v>
      </c>
      <c r="B28065" s="2" t="s">
        <v>42634</v>
      </c>
      <c r="C28065" s="1" t="s">
        <v>9451</v>
      </c>
      <c r="D28065" s="1" t="s">
        <v>9452</v>
      </c>
    </row>
    <row r="28066">
      <c r="A28066" s="1" t="s">
        <v>42683</v>
      </c>
      <c r="B28066" s="2" t="s">
        <v>39804</v>
      </c>
      <c r="C28066" s="1" t="s">
        <v>9451</v>
      </c>
      <c r="D28066" s="1" t="s">
        <v>9452</v>
      </c>
    </row>
    <row r="28067">
      <c r="A28067" s="1" t="s">
        <v>42684</v>
      </c>
      <c r="B28067" s="2" t="s">
        <v>20750</v>
      </c>
      <c r="C28067" s="1" t="s">
        <v>9451</v>
      </c>
      <c r="D28067" s="1" t="s">
        <v>9452</v>
      </c>
    </row>
    <row r="28068">
      <c r="A28068" s="1" t="s">
        <v>42685</v>
      </c>
      <c r="B28068" s="2" t="s">
        <v>42638</v>
      </c>
      <c r="C28068" s="1" t="s">
        <v>9451</v>
      </c>
      <c r="D28068" s="1" t="s">
        <v>9452</v>
      </c>
    </row>
    <row r="28069">
      <c r="A28069" s="1" t="s">
        <v>42686</v>
      </c>
      <c r="B28069" s="2" t="s">
        <v>42640</v>
      </c>
      <c r="C28069" s="1" t="s">
        <v>9451</v>
      </c>
      <c r="D28069" s="1" t="s">
        <v>9452</v>
      </c>
    </row>
    <row r="28070">
      <c r="A28070" s="1" t="s">
        <v>42687</v>
      </c>
      <c r="B28070" s="2" t="s">
        <v>13730</v>
      </c>
      <c r="C28070" s="1" t="s">
        <v>9451</v>
      </c>
      <c r="D28070" s="1" t="s">
        <v>9452</v>
      </c>
    </row>
    <row r="28071">
      <c r="A28071" s="1" t="s">
        <v>42688</v>
      </c>
      <c r="B28071" s="2" t="s">
        <v>42643</v>
      </c>
      <c r="C28071" s="1" t="s">
        <v>9451</v>
      </c>
      <c r="D28071" s="1" t="s">
        <v>9452</v>
      </c>
    </row>
    <row r="28072">
      <c r="A28072" s="1" t="s">
        <v>42689</v>
      </c>
      <c r="B28072" s="2" t="s">
        <v>39900</v>
      </c>
      <c r="C28072" s="1" t="s">
        <v>9451</v>
      </c>
      <c r="D28072" s="1" t="s">
        <v>9452</v>
      </c>
    </row>
    <row r="28073">
      <c r="A28073" s="1" t="s">
        <v>9454</v>
      </c>
      <c r="B28073" s="2" t="s">
        <v>7</v>
      </c>
      <c r="C28073" s="1" t="s">
        <v>9456</v>
      </c>
      <c r="D28073" s="1" t="s">
        <v>9457</v>
      </c>
    </row>
    <row r="28074">
      <c r="A28074" s="1" t="s">
        <v>42690</v>
      </c>
      <c r="B28074" s="2" t="s">
        <v>20728</v>
      </c>
      <c r="C28074" s="1" t="s">
        <v>9456</v>
      </c>
      <c r="D28074" s="1" t="s">
        <v>9457</v>
      </c>
    </row>
    <row r="28075">
      <c r="A28075" s="1" t="s">
        <v>42691</v>
      </c>
      <c r="B28075" s="2" t="s">
        <v>42634</v>
      </c>
      <c r="C28075" s="1" t="s">
        <v>9456</v>
      </c>
      <c r="D28075" s="1" t="s">
        <v>9457</v>
      </c>
    </row>
    <row r="28076">
      <c r="A28076" s="1" t="s">
        <v>42692</v>
      </c>
      <c r="B28076" s="2" t="s">
        <v>39804</v>
      </c>
      <c r="C28076" s="1" t="s">
        <v>9456</v>
      </c>
      <c r="D28076" s="1" t="s">
        <v>9457</v>
      </c>
    </row>
    <row r="28077">
      <c r="A28077" s="1" t="s">
        <v>42693</v>
      </c>
      <c r="B28077" s="2" t="s">
        <v>20750</v>
      </c>
      <c r="C28077" s="1" t="s">
        <v>9456</v>
      </c>
      <c r="D28077" s="1" t="s">
        <v>9457</v>
      </c>
    </row>
    <row r="28078">
      <c r="A28078" s="1" t="s">
        <v>42694</v>
      </c>
      <c r="B28078" s="2" t="s">
        <v>42638</v>
      </c>
      <c r="C28078" s="1" t="s">
        <v>9456</v>
      </c>
      <c r="D28078" s="1" t="s">
        <v>9457</v>
      </c>
    </row>
    <row r="28079">
      <c r="A28079" s="1" t="s">
        <v>42695</v>
      </c>
      <c r="B28079" s="2" t="s">
        <v>42640</v>
      </c>
      <c r="C28079" s="1" t="s">
        <v>9456</v>
      </c>
      <c r="D28079" s="1" t="s">
        <v>9457</v>
      </c>
    </row>
    <row r="28080">
      <c r="A28080" s="1" t="s">
        <v>42696</v>
      </c>
      <c r="B28080" s="2" t="s">
        <v>13730</v>
      </c>
      <c r="C28080" s="1" t="s">
        <v>9456</v>
      </c>
      <c r="D28080" s="1" t="s">
        <v>9457</v>
      </c>
    </row>
    <row r="28081">
      <c r="A28081" s="1" t="s">
        <v>42697</v>
      </c>
      <c r="B28081" s="2" t="s">
        <v>42643</v>
      </c>
      <c r="C28081" s="1" t="s">
        <v>9456</v>
      </c>
      <c r="D28081" s="1" t="s">
        <v>9457</v>
      </c>
    </row>
    <row r="28082">
      <c r="A28082" s="1" t="s">
        <v>42698</v>
      </c>
      <c r="B28082" s="2" t="s">
        <v>39900</v>
      </c>
      <c r="C28082" s="1" t="s">
        <v>9456</v>
      </c>
      <c r="D28082" s="1" t="s">
        <v>9457</v>
      </c>
    </row>
    <row r="28083">
      <c r="A28083" s="1" t="s">
        <v>9459</v>
      </c>
      <c r="B28083" s="2" t="s">
        <v>7</v>
      </c>
      <c r="C28083" s="1" t="s">
        <v>9461</v>
      </c>
      <c r="D28083" s="1" t="s">
        <v>9462</v>
      </c>
    </row>
    <row r="28084">
      <c r="A28084" s="1" t="s">
        <v>42699</v>
      </c>
      <c r="B28084" s="2" t="s">
        <v>20728</v>
      </c>
      <c r="C28084" s="1" t="s">
        <v>9461</v>
      </c>
      <c r="D28084" s="1" t="s">
        <v>9462</v>
      </c>
    </row>
    <row r="28085">
      <c r="A28085" s="1" t="s">
        <v>42700</v>
      </c>
      <c r="B28085" s="2" t="s">
        <v>42634</v>
      </c>
      <c r="C28085" s="1" t="s">
        <v>9461</v>
      </c>
      <c r="D28085" s="1" t="s">
        <v>9462</v>
      </c>
    </row>
    <row r="28086">
      <c r="A28086" s="1" t="s">
        <v>42701</v>
      </c>
      <c r="B28086" s="2" t="s">
        <v>39804</v>
      </c>
      <c r="C28086" s="1" t="s">
        <v>9461</v>
      </c>
      <c r="D28086" s="1" t="s">
        <v>9462</v>
      </c>
    </row>
    <row r="28087">
      <c r="A28087" s="1" t="s">
        <v>42702</v>
      </c>
      <c r="B28087" s="2" t="s">
        <v>20750</v>
      </c>
      <c r="C28087" s="1" t="s">
        <v>9461</v>
      </c>
      <c r="D28087" s="1" t="s">
        <v>9462</v>
      </c>
    </row>
    <row r="28088">
      <c r="A28088" s="1" t="s">
        <v>42703</v>
      </c>
      <c r="B28088" s="2" t="s">
        <v>42638</v>
      </c>
      <c r="C28088" s="1" t="s">
        <v>9461</v>
      </c>
      <c r="D28088" s="1" t="s">
        <v>9462</v>
      </c>
    </row>
    <row r="28089">
      <c r="A28089" s="1" t="s">
        <v>42704</v>
      </c>
      <c r="B28089" s="2" t="s">
        <v>42640</v>
      </c>
      <c r="C28089" s="1" t="s">
        <v>9461</v>
      </c>
      <c r="D28089" s="1" t="s">
        <v>9462</v>
      </c>
    </row>
    <row r="28090">
      <c r="A28090" s="1" t="s">
        <v>42705</v>
      </c>
      <c r="B28090" s="2" t="s">
        <v>13730</v>
      </c>
      <c r="C28090" s="1" t="s">
        <v>9461</v>
      </c>
      <c r="D28090" s="1" t="s">
        <v>9462</v>
      </c>
    </row>
    <row r="28091">
      <c r="A28091" s="1" t="s">
        <v>42706</v>
      </c>
      <c r="B28091" s="2" t="s">
        <v>42643</v>
      </c>
      <c r="C28091" s="1" t="s">
        <v>9461</v>
      </c>
      <c r="D28091" s="1" t="s">
        <v>9462</v>
      </c>
    </row>
    <row r="28092">
      <c r="A28092" s="1" t="s">
        <v>42707</v>
      </c>
      <c r="B28092" s="2" t="s">
        <v>39900</v>
      </c>
      <c r="C28092" s="1" t="s">
        <v>9461</v>
      </c>
      <c r="D28092" s="1" t="s">
        <v>9462</v>
      </c>
    </row>
    <row r="28093">
      <c r="A28093" s="1" t="s">
        <v>9465</v>
      </c>
      <c r="B28093" s="2" t="s">
        <v>7</v>
      </c>
      <c r="C28093" s="1" t="s">
        <v>9466</v>
      </c>
      <c r="D28093" s="1" t="s">
        <v>9467</v>
      </c>
    </row>
    <row r="28094">
      <c r="A28094" s="1" t="s">
        <v>42708</v>
      </c>
      <c r="B28094" s="2" t="s">
        <v>20728</v>
      </c>
      <c r="C28094" s="1" t="s">
        <v>9466</v>
      </c>
      <c r="D28094" s="1" t="s">
        <v>9467</v>
      </c>
    </row>
    <row r="28095">
      <c r="A28095" s="1" t="s">
        <v>42709</v>
      </c>
      <c r="B28095" s="2" t="s">
        <v>42634</v>
      </c>
      <c r="C28095" s="1" t="s">
        <v>9466</v>
      </c>
      <c r="D28095" s="1" t="s">
        <v>9467</v>
      </c>
    </row>
    <row r="28096">
      <c r="A28096" s="1" t="s">
        <v>42710</v>
      </c>
      <c r="B28096" s="2" t="s">
        <v>39804</v>
      </c>
      <c r="C28096" s="1" t="s">
        <v>9466</v>
      </c>
      <c r="D28096" s="1" t="s">
        <v>9467</v>
      </c>
    </row>
    <row r="28097">
      <c r="A28097" s="1" t="s">
        <v>42711</v>
      </c>
      <c r="B28097" s="2" t="s">
        <v>20750</v>
      </c>
      <c r="C28097" s="1" t="s">
        <v>9466</v>
      </c>
      <c r="D28097" s="1" t="s">
        <v>9467</v>
      </c>
    </row>
    <row r="28098">
      <c r="A28098" s="1" t="s">
        <v>42712</v>
      </c>
      <c r="B28098" s="2" t="s">
        <v>42638</v>
      </c>
      <c r="C28098" s="1" t="s">
        <v>9466</v>
      </c>
      <c r="D28098" s="1" t="s">
        <v>9467</v>
      </c>
    </row>
    <row r="28099">
      <c r="A28099" s="1" t="s">
        <v>42713</v>
      </c>
      <c r="B28099" s="2" t="s">
        <v>42640</v>
      </c>
      <c r="C28099" s="1" t="s">
        <v>9466</v>
      </c>
      <c r="D28099" s="1" t="s">
        <v>9467</v>
      </c>
    </row>
    <row r="28100">
      <c r="A28100" s="1" t="s">
        <v>42714</v>
      </c>
      <c r="B28100" s="2" t="s">
        <v>13730</v>
      </c>
      <c r="C28100" s="1" t="s">
        <v>9466</v>
      </c>
      <c r="D28100" s="1" t="s">
        <v>9467</v>
      </c>
    </row>
    <row r="28101">
      <c r="A28101" s="1" t="s">
        <v>42715</v>
      </c>
      <c r="B28101" s="2" t="s">
        <v>42643</v>
      </c>
      <c r="C28101" s="1" t="s">
        <v>9466</v>
      </c>
      <c r="D28101" s="1" t="s">
        <v>9467</v>
      </c>
    </row>
    <row r="28102">
      <c r="A28102" s="1" t="s">
        <v>42716</v>
      </c>
      <c r="B28102" s="2" t="s">
        <v>39900</v>
      </c>
      <c r="C28102" s="1" t="s">
        <v>9466</v>
      </c>
      <c r="D28102" s="1" t="s">
        <v>9467</v>
      </c>
    </row>
    <row r="28103">
      <c r="A28103" s="1" t="s">
        <v>9470</v>
      </c>
      <c r="B28103" s="2" t="s">
        <v>7</v>
      </c>
      <c r="C28103" s="1" t="s">
        <v>9471</v>
      </c>
      <c r="D28103" s="1" t="s">
        <v>9472</v>
      </c>
    </row>
    <row r="28104">
      <c r="A28104" s="1" t="s">
        <v>42717</v>
      </c>
      <c r="B28104" s="2" t="s">
        <v>13</v>
      </c>
      <c r="C28104" s="1" t="s">
        <v>9471</v>
      </c>
      <c r="D28104" s="1" t="s">
        <v>9472</v>
      </c>
    </row>
    <row r="28105">
      <c r="A28105" s="1" t="s">
        <v>42718</v>
      </c>
      <c r="B28105" s="2" t="s">
        <v>42719</v>
      </c>
      <c r="C28105" s="1" t="s">
        <v>9471</v>
      </c>
      <c r="D28105" s="1" t="s">
        <v>9472</v>
      </c>
    </row>
    <row r="28106">
      <c r="A28106" s="1" t="s">
        <v>42720</v>
      </c>
      <c r="B28106" s="2" t="s">
        <v>42721</v>
      </c>
      <c r="C28106" s="1" t="s">
        <v>9471</v>
      </c>
      <c r="D28106" s="1" t="s">
        <v>9472</v>
      </c>
    </row>
    <row r="28107">
      <c r="A28107" s="1" t="s">
        <v>42722</v>
      </c>
      <c r="B28107" s="2" t="s">
        <v>42723</v>
      </c>
      <c r="C28107" s="1" t="s">
        <v>9471</v>
      </c>
      <c r="D28107" s="1" t="s">
        <v>9472</v>
      </c>
    </row>
    <row r="28108">
      <c r="A28108" s="1" t="s">
        <v>42724</v>
      </c>
      <c r="B28108" s="2" t="s">
        <v>42725</v>
      </c>
      <c r="C28108" s="1" t="s">
        <v>9471</v>
      </c>
      <c r="D28108" s="1" t="s">
        <v>9472</v>
      </c>
    </row>
    <row r="28109">
      <c r="A28109" s="1" t="s">
        <v>42726</v>
      </c>
      <c r="B28109" s="2" t="s">
        <v>42727</v>
      </c>
      <c r="C28109" s="1" t="s">
        <v>9471</v>
      </c>
      <c r="D28109" s="1" t="s">
        <v>9472</v>
      </c>
    </row>
    <row r="28110">
      <c r="A28110" s="1" t="s">
        <v>42728</v>
      </c>
      <c r="B28110" s="2" t="s">
        <v>42729</v>
      </c>
      <c r="C28110" s="1" t="s">
        <v>9471</v>
      </c>
      <c r="D28110" s="1" t="s">
        <v>9472</v>
      </c>
    </row>
    <row r="28111">
      <c r="A28111" s="1" t="s">
        <v>42730</v>
      </c>
      <c r="B28111" s="2" t="s">
        <v>16202</v>
      </c>
      <c r="C28111" s="1" t="s">
        <v>9471</v>
      </c>
      <c r="D28111" s="1" t="s">
        <v>9472</v>
      </c>
    </row>
    <row r="28112">
      <c r="A28112" s="1" t="s">
        <v>42731</v>
      </c>
      <c r="B28112" s="2" t="s">
        <v>42732</v>
      </c>
      <c r="C28112" s="1" t="s">
        <v>9471</v>
      </c>
      <c r="D28112" s="1" t="s">
        <v>9472</v>
      </c>
    </row>
    <row r="28113">
      <c r="A28113" s="1" t="s">
        <v>42733</v>
      </c>
      <c r="B28113" s="2" t="s">
        <v>42734</v>
      </c>
      <c r="C28113" s="1" t="s">
        <v>9471</v>
      </c>
      <c r="D28113" s="1" t="s">
        <v>9472</v>
      </c>
    </row>
    <row r="28114">
      <c r="A28114" s="1" t="s">
        <v>42735</v>
      </c>
      <c r="B28114" s="2" t="s">
        <v>70</v>
      </c>
      <c r="C28114" s="1" t="s">
        <v>9471</v>
      </c>
      <c r="D28114" s="1" t="s">
        <v>9472</v>
      </c>
    </row>
    <row r="28115">
      <c r="A28115" s="1" t="s">
        <v>42736</v>
      </c>
      <c r="B28115" s="2" t="s">
        <v>42737</v>
      </c>
      <c r="C28115" s="1" t="s">
        <v>9471</v>
      </c>
      <c r="D28115" s="1" t="s">
        <v>9472</v>
      </c>
    </row>
    <row r="28116">
      <c r="A28116" s="1" t="s">
        <v>42738</v>
      </c>
      <c r="B28116" s="2" t="s">
        <v>42739</v>
      </c>
      <c r="C28116" s="1" t="s">
        <v>9471</v>
      </c>
      <c r="D28116" s="1" t="s">
        <v>9472</v>
      </c>
    </row>
    <row r="28117">
      <c r="A28117" s="1" t="s">
        <v>42740</v>
      </c>
      <c r="B28117" s="2" t="s">
        <v>42741</v>
      </c>
      <c r="C28117" s="1" t="s">
        <v>9471</v>
      </c>
      <c r="D28117" s="1" t="s">
        <v>9472</v>
      </c>
    </row>
    <row r="28118">
      <c r="A28118" s="1" t="s">
        <v>42742</v>
      </c>
      <c r="B28118" s="2" t="s">
        <v>42743</v>
      </c>
      <c r="C28118" s="1" t="s">
        <v>9471</v>
      </c>
      <c r="D28118" s="1" t="s">
        <v>9472</v>
      </c>
    </row>
    <row r="28119">
      <c r="A28119" s="1" t="s">
        <v>42744</v>
      </c>
      <c r="B28119" s="2" t="s">
        <v>42745</v>
      </c>
      <c r="C28119" s="1" t="s">
        <v>9471</v>
      </c>
      <c r="D28119" s="1" t="s">
        <v>9472</v>
      </c>
    </row>
    <row r="28120">
      <c r="A28120" s="1" t="s">
        <v>42746</v>
      </c>
      <c r="B28120" s="2" t="s">
        <v>42747</v>
      </c>
      <c r="C28120" s="1" t="s">
        <v>9471</v>
      </c>
      <c r="D28120" s="1" t="s">
        <v>9472</v>
      </c>
    </row>
    <row r="28121">
      <c r="A28121" s="1" t="s">
        <v>42748</v>
      </c>
      <c r="B28121" s="2" t="s">
        <v>16283</v>
      </c>
      <c r="C28121" s="1" t="s">
        <v>9471</v>
      </c>
      <c r="D28121" s="1" t="s">
        <v>9472</v>
      </c>
    </row>
    <row r="28122">
      <c r="A28122" s="1" t="s">
        <v>42749</v>
      </c>
      <c r="B28122" s="2" t="s">
        <v>42750</v>
      </c>
      <c r="C28122" s="1" t="s">
        <v>9471</v>
      </c>
      <c r="D28122" s="1" t="s">
        <v>9472</v>
      </c>
    </row>
    <row r="28123">
      <c r="A28123" s="1" t="s">
        <v>42751</v>
      </c>
      <c r="B28123" s="2" t="s">
        <v>42752</v>
      </c>
      <c r="C28123" s="1" t="s">
        <v>9471</v>
      </c>
      <c r="D28123" s="1" t="s">
        <v>9472</v>
      </c>
    </row>
    <row r="28124">
      <c r="A28124" s="1" t="s">
        <v>9475</v>
      </c>
      <c r="B28124" s="2" t="s">
        <v>7</v>
      </c>
      <c r="C28124" s="1" t="s">
        <v>9476</v>
      </c>
      <c r="D28124" s="1" t="s">
        <v>9478</v>
      </c>
    </row>
    <row r="28125">
      <c r="A28125" s="1" t="s">
        <v>42753</v>
      </c>
      <c r="B28125" s="2" t="s">
        <v>13</v>
      </c>
      <c r="C28125" s="1" t="s">
        <v>9476</v>
      </c>
      <c r="D28125" s="1" t="s">
        <v>9478</v>
      </c>
    </row>
    <row r="28126">
      <c r="A28126" s="1" t="s">
        <v>42754</v>
      </c>
      <c r="B28126" s="2" t="s">
        <v>42719</v>
      </c>
      <c r="C28126" s="1" t="s">
        <v>9476</v>
      </c>
      <c r="D28126" s="1" t="s">
        <v>9478</v>
      </c>
    </row>
    <row r="28127">
      <c r="A28127" s="1" t="s">
        <v>42755</v>
      </c>
      <c r="B28127" s="2" t="s">
        <v>42756</v>
      </c>
      <c r="C28127" s="1" t="s">
        <v>9476</v>
      </c>
      <c r="D28127" s="1" t="s">
        <v>9478</v>
      </c>
    </row>
    <row r="28128">
      <c r="A28128" s="1" t="s">
        <v>42757</v>
      </c>
      <c r="B28128" s="2" t="s">
        <v>42758</v>
      </c>
      <c r="C28128" s="1" t="s">
        <v>9476</v>
      </c>
      <c r="D28128" s="1" t="s">
        <v>9478</v>
      </c>
    </row>
    <row r="28129">
      <c r="A28129" s="1" t="s">
        <v>42759</v>
      </c>
      <c r="B28129" s="2" t="s">
        <v>42725</v>
      </c>
      <c r="C28129" s="1" t="s">
        <v>9476</v>
      </c>
      <c r="D28129" s="1" t="s">
        <v>9478</v>
      </c>
    </row>
    <row r="28130">
      <c r="A28130" s="1" t="s">
        <v>42760</v>
      </c>
      <c r="B28130" s="2" t="s">
        <v>42761</v>
      </c>
      <c r="C28130" s="1" t="s">
        <v>9476</v>
      </c>
      <c r="D28130" s="1" t="s">
        <v>9478</v>
      </c>
    </row>
    <row r="28131">
      <c r="A28131" s="1" t="s">
        <v>42762</v>
      </c>
      <c r="B28131" s="2" t="s">
        <v>42763</v>
      </c>
      <c r="C28131" s="1" t="s">
        <v>9476</v>
      </c>
      <c r="D28131" s="1" t="s">
        <v>9478</v>
      </c>
    </row>
    <row r="28132">
      <c r="A28132" s="1" t="s">
        <v>42764</v>
      </c>
      <c r="B28132" s="2" t="s">
        <v>16202</v>
      </c>
      <c r="C28132" s="1" t="s">
        <v>9476</v>
      </c>
      <c r="D28132" s="1" t="s">
        <v>9478</v>
      </c>
    </row>
    <row r="28133">
      <c r="A28133" s="1" t="s">
        <v>42765</v>
      </c>
      <c r="B28133" s="2" t="s">
        <v>42766</v>
      </c>
      <c r="C28133" s="1" t="s">
        <v>9476</v>
      </c>
      <c r="D28133" s="1" t="s">
        <v>9478</v>
      </c>
    </row>
    <row r="28134">
      <c r="A28134" s="1" t="s">
        <v>42767</v>
      </c>
      <c r="B28134" s="2" t="s">
        <v>42768</v>
      </c>
      <c r="C28134" s="1" t="s">
        <v>9476</v>
      </c>
      <c r="D28134" s="1" t="s">
        <v>9478</v>
      </c>
    </row>
    <row r="28135">
      <c r="A28135" s="1" t="s">
        <v>42769</v>
      </c>
      <c r="B28135" s="2" t="s">
        <v>70</v>
      </c>
      <c r="C28135" s="1" t="s">
        <v>9476</v>
      </c>
      <c r="D28135" s="1" t="s">
        <v>9478</v>
      </c>
    </row>
    <row r="28136">
      <c r="A28136" s="1" t="s">
        <v>42770</v>
      </c>
      <c r="B28136" s="2" t="s">
        <v>42737</v>
      </c>
      <c r="C28136" s="1" t="s">
        <v>9476</v>
      </c>
      <c r="D28136" s="1" t="s">
        <v>9478</v>
      </c>
    </row>
    <row r="28137">
      <c r="A28137" s="1" t="s">
        <v>42771</v>
      </c>
      <c r="B28137" s="2" t="s">
        <v>42772</v>
      </c>
      <c r="C28137" s="1" t="s">
        <v>9476</v>
      </c>
      <c r="D28137" s="1" t="s">
        <v>9478</v>
      </c>
    </row>
    <row r="28138">
      <c r="A28138" s="1" t="s">
        <v>42773</v>
      </c>
      <c r="B28138" s="2" t="s">
        <v>42774</v>
      </c>
      <c r="C28138" s="1" t="s">
        <v>9476</v>
      </c>
      <c r="D28138" s="1" t="s">
        <v>9478</v>
      </c>
    </row>
    <row r="28139">
      <c r="A28139" s="1" t="s">
        <v>42775</v>
      </c>
      <c r="B28139" s="2" t="s">
        <v>42743</v>
      </c>
      <c r="C28139" s="1" t="s">
        <v>9476</v>
      </c>
      <c r="D28139" s="1" t="s">
        <v>9478</v>
      </c>
    </row>
    <row r="28140">
      <c r="A28140" s="1" t="s">
        <v>42776</v>
      </c>
      <c r="B28140" s="2" t="s">
        <v>42777</v>
      </c>
      <c r="C28140" s="1" t="s">
        <v>9476</v>
      </c>
      <c r="D28140" s="1" t="s">
        <v>9478</v>
      </c>
    </row>
    <row r="28141">
      <c r="A28141" s="1" t="s">
        <v>42778</v>
      </c>
      <c r="B28141" s="2" t="s">
        <v>42779</v>
      </c>
      <c r="C28141" s="1" t="s">
        <v>9476</v>
      </c>
      <c r="D28141" s="1" t="s">
        <v>9478</v>
      </c>
    </row>
    <row r="28142">
      <c r="A28142" s="1" t="s">
        <v>42780</v>
      </c>
      <c r="B28142" s="2" t="s">
        <v>16283</v>
      </c>
      <c r="C28142" s="1" t="s">
        <v>9476</v>
      </c>
      <c r="D28142" s="1" t="s">
        <v>9478</v>
      </c>
    </row>
    <row r="28143">
      <c r="A28143" s="1" t="s">
        <v>42781</v>
      </c>
      <c r="B28143" s="2" t="s">
        <v>42782</v>
      </c>
      <c r="C28143" s="1" t="s">
        <v>9476</v>
      </c>
      <c r="D28143" s="1" t="s">
        <v>9478</v>
      </c>
    </row>
    <row r="28144">
      <c r="A28144" s="1" t="s">
        <v>42783</v>
      </c>
      <c r="B28144" s="2" t="s">
        <v>42784</v>
      </c>
      <c r="C28144" s="1" t="s">
        <v>9476</v>
      </c>
      <c r="D28144" s="1" t="s">
        <v>9478</v>
      </c>
    </row>
    <row r="28145">
      <c r="A28145" s="1" t="s">
        <v>9480</v>
      </c>
      <c r="B28145" s="2" t="s">
        <v>7</v>
      </c>
      <c r="C28145" s="1" t="s">
        <v>124</v>
      </c>
      <c r="D28145" s="1" t="s">
        <v>9482</v>
      </c>
    </row>
    <row r="28146">
      <c r="A28146" s="1" t="s">
        <v>42785</v>
      </c>
      <c r="B28146" s="2" t="s">
        <v>13</v>
      </c>
      <c r="C28146" s="1" t="s">
        <v>124</v>
      </c>
      <c r="D28146" s="1" t="s">
        <v>9482</v>
      </c>
    </row>
    <row r="28147">
      <c r="A28147" s="1" t="s">
        <v>42786</v>
      </c>
      <c r="B28147" s="2" t="s">
        <v>42719</v>
      </c>
      <c r="C28147" s="1" t="s">
        <v>124</v>
      </c>
      <c r="D28147" s="1" t="s">
        <v>9482</v>
      </c>
    </row>
    <row r="28148">
      <c r="A28148" s="1" t="s">
        <v>42787</v>
      </c>
      <c r="B28148" s="2" t="s">
        <v>42788</v>
      </c>
      <c r="C28148" s="1" t="s">
        <v>124</v>
      </c>
      <c r="D28148" s="1" t="s">
        <v>9482</v>
      </c>
    </row>
    <row r="28149">
      <c r="A28149" s="1" t="s">
        <v>42789</v>
      </c>
      <c r="B28149" s="2" t="s">
        <v>42790</v>
      </c>
      <c r="C28149" s="1" t="s">
        <v>124</v>
      </c>
      <c r="D28149" s="1" t="s">
        <v>9482</v>
      </c>
    </row>
    <row r="28150">
      <c r="A28150" s="1" t="s">
        <v>42791</v>
      </c>
      <c r="B28150" s="2" t="s">
        <v>42725</v>
      </c>
      <c r="C28150" s="1" t="s">
        <v>124</v>
      </c>
      <c r="D28150" s="1" t="s">
        <v>9482</v>
      </c>
    </row>
    <row r="28151">
      <c r="A28151" s="1" t="s">
        <v>42792</v>
      </c>
      <c r="B28151" s="2" t="s">
        <v>42793</v>
      </c>
      <c r="C28151" s="1" t="s">
        <v>124</v>
      </c>
      <c r="D28151" s="1" t="s">
        <v>9482</v>
      </c>
    </row>
    <row r="28152">
      <c r="A28152" s="1" t="s">
        <v>42794</v>
      </c>
      <c r="B28152" s="2" t="s">
        <v>42795</v>
      </c>
      <c r="C28152" s="1" t="s">
        <v>124</v>
      </c>
      <c r="D28152" s="1" t="s">
        <v>9482</v>
      </c>
    </row>
    <row r="28153">
      <c r="A28153" s="1" t="s">
        <v>42796</v>
      </c>
      <c r="B28153" s="2" t="s">
        <v>16202</v>
      </c>
      <c r="C28153" s="1" t="s">
        <v>124</v>
      </c>
      <c r="D28153" s="1" t="s">
        <v>9482</v>
      </c>
    </row>
    <row r="28154">
      <c r="A28154" s="1" t="s">
        <v>42797</v>
      </c>
      <c r="B28154" s="2" t="s">
        <v>42798</v>
      </c>
      <c r="C28154" s="1" t="s">
        <v>124</v>
      </c>
      <c r="D28154" s="1" t="s">
        <v>9482</v>
      </c>
    </row>
    <row r="28155">
      <c r="A28155" s="1" t="s">
        <v>42799</v>
      </c>
      <c r="B28155" s="2" t="s">
        <v>42800</v>
      </c>
      <c r="C28155" s="1" t="s">
        <v>124</v>
      </c>
      <c r="D28155" s="1" t="s">
        <v>9482</v>
      </c>
    </row>
    <row r="28156">
      <c r="A28156" s="1" t="s">
        <v>42801</v>
      </c>
      <c r="B28156" s="2" t="s">
        <v>70</v>
      </c>
      <c r="C28156" s="1" t="s">
        <v>124</v>
      </c>
      <c r="D28156" s="1" t="s">
        <v>9482</v>
      </c>
    </row>
    <row r="28157">
      <c r="A28157" s="1" t="s">
        <v>42802</v>
      </c>
      <c r="B28157" s="2" t="s">
        <v>42737</v>
      </c>
      <c r="C28157" s="1" t="s">
        <v>124</v>
      </c>
      <c r="D28157" s="1" t="s">
        <v>9482</v>
      </c>
    </row>
    <row r="28158">
      <c r="A28158" s="1" t="s">
        <v>42803</v>
      </c>
      <c r="B28158" s="2" t="s">
        <v>42804</v>
      </c>
      <c r="C28158" s="1" t="s">
        <v>124</v>
      </c>
      <c r="D28158" s="1" t="s">
        <v>9482</v>
      </c>
    </row>
    <row r="28159">
      <c r="A28159" s="1" t="s">
        <v>42805</v>
      </c>
      <c r="B28159" s="2" t="s">
        <v>42806</v>
      </c>
      <c r="C28159" s="1" t="s">
        <v>124</v>
      </c>
      <c r="D28159" s="1" t="s">
        <v>9482</v>
      </c>
    </row>
    <row r="28160">
      <c r="A28160" s="1" t="s">
        <v>42807</v>
      </c>
      <c r="B28160" s="2" t="s">
        <v>42743</v>
      </c>
      <c r="C28160" s="1" t="s">
        <v>124</v>
      </c>
      <c r="D28160" s="1" t="s">
        <v>9482</v>
      </c>
    </row>
    <row r="28161">
      <c r="A28161" s="1" t="s">
        <v>42808</v>
      </c>
      <c r="B28161" s="2" t="s">
        <v>42809</v>
      </c>
      <c r="C28161" s="1" t="s">
        <v>124</v>
      </c>
      <c r="D28161" s="1" t="s">
        <v>9482</v>
      </c>
    </row>
    <row r="28162">
      <c r="A28162" s="1" t="s">
        <v>42810</v>
      </c>
      <c r="B28162" s="2" t="s">
        <v>42811</v>
      </c>
      <c r="C28162" s="1" t="s">
        <v>124</v>
      </c>
      <c r="D28162" s="1" t="s">
        <v>9482</v>
      </c>
    </row>
    <row r="28163">
      <c r="A28163" s="1" t="s">
        <v>42812</v>
      </c>
      <c r="B28163" s="2" t="s">
        <v>16283</v>
      </c>
      <c r="C28163" s="1" t="s">
        <v>124</v>
      </c>
      <c r="D28163" s="1" t="s">
        <v>9482</v>
      </c>
    </row>
    <row r="28164">
      <c r="A28164" s="1" t="s">
        <v>42813</v>
      </c>
      <c r="B28164" s="2" t="s">
        <v>42814</v>
      </c>
      <c r="C28164" s="1" t="s">
        <v>124</v>
      </c>
      <c r="D28164" s="1" t="s">
        <v>9482</v>
      </c>
    </row>
    <row r="28165">
      <c r="A28165" s="1" t="s">
        <v>42815</v>
      </c>
      <c r="B28165" s="2" t="s">
        <v>42816</v>
      </c>
      <c r="C28165" s="1" t="s">
        <v>124</v>
      </c>
      <c r="D28165" s="1" t="s">
        <v>9482</v>
      </c>
    </row>
    <row r="28166">
      <c r="A28166" s="1" t="s">
        <v>9484</v>
      </c>
      <c r="B28166" s="2" t="s">
        <v>7</v>
      </c>
      <c r="C28166" s="1" t="s">
        <v>9486</v>
      </c>
      <c r="D28166" s="1" t="s">
        <v>9487</v>
      </c>
    </row>
    <row r="28167">
      <c r="A28167" s="1" t="s">
        <v>42817</v>
      </c>
      <c r="B28167" s="2" t="s">
        <v>13</v>
      </c>
      <c r="C28167" s="1" t="s">
        <v>9486</v>
      </c>
      <c r="D28167" s="1" t="s">
        <v>9487</v>
      </c>
    </row>
    <row r="28168">
      <c r="A28168" s="1" t="s">
        <v>42818</v>
      </c>
      <c r="B28168" s="2" t="s">
        <v>42719</v>
      </c>
      <c r="C28168" s="1" t="s">
        <v>9486</v>
      </c>
      <c r="D28168" s="1" t="s">
        <v>9487</v>
      </c>
    </row>
    <row r="28169">
      <c r="A28169" s="1" t="s">
        <v>42819</v>
      </c>
      <c r="B28169" s="2" t="s">
        <v>42820</v>
      </c>
      <c r="C28169" s="1" t="s">
        <v>9486</v>
      </c>
      <c r="D28169" s="1" t="s">
        <v>9487</v>
      </c>
    </row>
    <row r="28170">
      <c r="A28170" s="1" t="s">
        <v>42821</v>
      </c>
      <c r="B28170" s="2" t="s">
        <v>42822</v>
      </c>
      <c r="C28170" s="1" t="s">
        <v>9486</v>
      </c>
      <c r="D28170" s="1" t="s">
        <v>9487</v>
      </c>
    </row>
    <row r="28171">
      <c r="A28171" s="1" t="s">
        <v>42823</v>
      </c>
      <c r="B28171" s="2" t="s">
        <v>42725</v>
      </c>
      <c r="C28171" s="1" t="s">
        <v>9486</v>
      </c>
      <c r="D28171" s="1" t="s">
        <v>9487</v>
      </c>
    </row>
    <row r="28172">
      <c r="A28172" s="1" t="s">
        <v>42824</v>
      </c>
      <c r="B28172" s="2" t="s">
        <v>42825</v>
      </c>
      <c r="C28172" s="1" t="s">
        <v>9486</v>
      </c>
      <c r="D28172" s="1" t="s">
        <v>9487</v>
      </c>
    </row>
    <row r="28173">
      <c r="A28173" s="1" t="s">
        <v>42826</v>
      </c>
      <c r="B28173" s="2" t="s">
        <v>42827</v>
      </c>
      <c r="C28173" s="1" t="s">
        <v>9486</v>
      </c>
      <c r="D28173" s="1" t="s">
        <v>9487</v>
      </c>
    </row>
    <row r="28174">
      <c r="A28174" s="1" t="s">
        <v>42828</v>
      </c>
      <c r="B28174" s="2" t="s">
        <v>16202</v>
      </c>
      <c r="C28174" s="1" t="s">
        <v>9486</v>
      </c>
      <c r="D28174" s="1" t="s">
        <v>9487</v>
      </c>
    </row>
    <row r="28175">
      <c r="A28175" s="1" t="s">
        <v>42829</v>
      </c>
      <c r="B28175" s="2" t="s">
        <v>42830</v>
      </c>
      <c r="C28175" s="1" t="s">
        <v>9486</v>
      </c>
      <c r="D28175" s="1" t="s">
        <v>9487</v>
      </c>
    </row>
    <row r="28176">
      <c r="A28176" s="1" t="s">
        <v>42831</v>
      </c>
      <c r="B28176" s="2" t="s">
        <v>42832</v>
      </c>
      <c r="C28176" s="1" t="s">
        <v>9486</v>
      </c>
      <c r="D28176" s="1" t="s">
        <v>9487</v>
      </c>
    </row>
    <row r="28177">
      <c r="A28177" s="1" t="s">
        <v>42833</v>
      </c>
      <c r="B28177" s="2" t="s">
        <v>70</v>
      </c>
      <c r="C28177" s="1" t="s">
        <v>9486</v>
      </c>
      <c r="D28177" s="1" t="s">
        <v>9487</v>
      </c>
    </row>
    <row r="28178">
      <c r="A28178" s="1" t="s">
        <v>42834</v>
      </c>
      <c r="B28178" s="2" t="s">
        <v>42737</v>
      </c>
      <c r="C28178" s="1" t="s">
        <v>9486</v>
      </c>
      <c r="D28178" s="1" t="s">
        <v>9487</v>
      </c>
    </row>
    <row r="28179">
      <c r="A28179" s="1" t="s">
        <v>42835</v>
      </c>
      <c r="B28179" s="2" t="s">
        <v>42836</v>
      </c>
      <c r="C28179" s="1" t="s">
        <v>9486</v>
      </c>
      <c r="D28179" s="1" t="s">
        <v>9487</v>
      </c>
    </row>
    <row r="28180">
      <c r="A28180" s="1" t="s">
        <v>42837</v>
      </c>
      <c r="B28180" s="2" t="s">
        <v>42838</v>
      </c>
      <c r="C28180" s="1" t="s">
        <v>9486</v>
      </c>
      <c r="D28180" s="1" t="s">
        <v>9487</v>
      </c>
    </row>
    <row r="28181">
      <c r="A28181" s="1" t="s">
        <v>42839</v>
      </c>
      <c r="B28181" s="2" t="s">
        <v>42743</v>
      </c>
      <c r="C28181" s="1" t="s">
        <v>9486</v>
      </c>
      <c r="D28181" s="1" t="s">
        <v>9487</v>
      </c>
    </row>
    <row r="28182">
      <c r="A28182" s="1" t="s">
        <v>42840</v>
      </c>
      <c r="B28182" s="2" t="s">
        <v>42841</v>
      </c>
      <c r="C28182" s="1" t="s">
        <v>9486</v>
      </c>
      <c r="D28182" s="1" t="s">
        <v>9487</v>
      </c>
    </row>
    <row r="28183">
      <c r="A28183" s="1" t="s">
        <v>42842</v>
      </c>
      <c r="B28183" s="2" t="s">
        <v>42843</v>
      </c>
      <c r="C28183" s="1" t="s">
        <v>9486</v>
      </c>
      <c r="D28183" s="1" t="s">
        <v>9487</v>
      </c>
    </row>
    <row r="28184">
      <c r="A28184" s="1" t="s">
        <v>42844</v>
      </c>
      <c r="B28184" s="2" t="s">
        <v>16283</v>
      </c>
      <c r="C28184" s="1" t="s">
        <v>9486</v>
      </c>
      <c r="D28184" s="1" t="s">
        <v>9487</v>
      </c>
    </row>
    <row r="28185">
      <c r="A28185" s="1" t="s">
        <v>42845</v>
      </c>
      <c r="B28185" s="2" t="s">
        <v>42846</v>
      </c>
      <c r="C28185" s="1" t="s">
        <v>9486</v>
      </c>
      <c r="D28185" s="1" t="s">
        <v>9487</v>
      </c>
    </row>
    <row r="28186">
      <c r="A28186" s="1" t="s">
        <v>42847</v>
      </c>
      <c r="B28186" s="2" t="s">
        <v>42848</v>
      </c>
      <c r="C28186" s="1" t="s">
        <v>9486</v>
      </c>
      <c r="D28186" s="1" t="s">
        <v>9487</v>
      </c>
    </row>
    <row r="28187">
      <c r="A28187" s="1" t="s">
        <v>9489</v>
      </c>
      <c r="B28187" s="2" t="s">
        <v>7</v>
      </c>
      <c r="C28187" s="1" t="s">
        <v>106</v>
      </c>
      <c r="D28187" s="1" t="s">
        <v>9491</v>
      </c>
    </row>
    <row r="28188">
      <c r="A28188" s="1" t="s">
        <v>42849</v>
      </c>
      <c r="B28188" s="2" t="s">
        <v>13</v>
      </c>
      <c r="C28188" s="1" t="s">
        <v>106</v>
      </c>
      <c r="D28188" s="1" t="s">
        <v>9491</v>
      </c>
    </row>
    <row r="28189">
      <c r="A28189" s="1" t="s">
        <v>42850</v>
      </c>
      <c r="B28189" s="2" t="s">
        <v>42719</v>
      </c>
      <c r="C28189" s="1" t="s">
        <v>106</v>
      </c>
      <c r="D28189" s="1" t="s">
        <v>9491</v>
      </c>
    </row>
    <row r="28190">
      <c r="A28190" s="1" t="s">
        <v>42851</v>
      </c>
      <c r="B28190" s="2" t="s">
        <v>42852</v>
      </c>
      <c r="C28190" s="1" t="s">
        <v>106</v>
      </c>
      <c r="D28190" s="1" t="s">
        <v>9491</v>
      </c>
    </row>
    <row r="28191">
      <c r="A28191" s="1" t="s">
        <v>42853</v>
      </c>
      <c r="B28191" s="2" t="s">
        <v>42854</v>
      </c>
      <c r="C28191" s="1" t="s">
        <v>106</v>
      </c>
      <c r="D28191" s="1" t="s">
        <v>9491</v>
      </c>
    </row>
    <row r="28192">
      <c r="A28192" s="1" t="s">
        <v>42855</v>
      </c>
      <c r="B28192" s="2" t="s">
        <v>42725</v>
      </c>
      <c r="C28192" s="1" t="s">
        <v>106</v>
      </c>
      <c r="D28192" s="1" t="s">
        <v>9491</v>
      </c>
    </row>
    <row r="28193">
      <c r="A28193" s="1" t="s">
        <v>42856</v>
      </c>
      <c r="B28193" s="2" t="s">
        <v>42857</v>
      </c>
      <c r="C28193" s="1" t="s">
        <v>106</v>
      </c>
      <c r="D28193" s="1" t="s">
        <v>9491</v>
      </c>
    </row>
    <row r="28194">
      <c r="A28194" s="1" t="s">
        <v>42858</v>
      </c>
      <c r="B28194" s="2" t="s">
        <v>42859</v>
      </c>
      <c r="C28194" s="1" t="s">
        <v>106</v>
      </c>
      <c r="D28194" s="1" t="s">
        <v>9491</v>
      </c>
    </row>
    <row r="28195">
      <c r="A28195" s="1" t="s">
        <v>42860</v>
      </c>
      <c r="B28195" s="2" t="s">
        <v>16202</v>
      </c>
      <c r="C28195" s="1" t="s">
        <v>106</v>
      </c>
      <c r="D28195" s="1" t="s">
        <v>9491</v>
      </c>
    </row>
    <row r="28196">
      <c r="A28196" s="1" t="s">
        <v>42861</v>
      </c>
      <c r="B28196" s="2" t="s">
        <v>42862</v>
      </c>
      <c r="C28196" s="1" t="s">
        <v>106</v>
      </c>
      <c r="D28196" s="1" t="s">
        <v>9491</v>
      </c>
    </row>
    <row r="28197">
      <c r="A28197" s="1" t="s">
        <v>42863</v>
      </c>
      <c r="B28197" s="2" t="s">
        <v>42864</v>
      </c>
      <c r="C28197" s="1" t="s">
        <v>106</v>
      </c>
      <c r="D28197" s="1" t="s">
        <v>9491</v>
      </c>
    </row>
    <row r="28198">
      <c r="A28198" s="1" t="s">
        <v>42865</v>
      </c>
      <c r="B28198" s="2" t="s">
        <v>70</v>
      </c>
      <c r="C28198" s="1" t="s">
        <v>106</v>
      </c>
      <c r="D28198" s="1" t="s">
        <v>9491</v>
      </c>
    </row>
    <row r="28199">
      <c r="A28199" s="1" t="s">
        <v>42866</v>
      </c>
      <c r="B28199" s="2" t="s">
        <v>42737</v>
      </c>
      <c r="C28199" s="1" t="s">
        <v>106</v>
      </c>
      <c r="D28199" s="1" t="s">
        <v>9491</v>
      </c>
    </row>
    <row r="28200">
      <c r="A28200" s="1" t="s">
        <v>42867</v>
      </c>
      <c r="B28200" s="2" t="s">
        <v>42868</v>
      </c>
      <c r="C28200" s="1" t="s">
        <v>106</v>
      </c>
      <c r="D28200" s="1" t="s">
        <v>9491</v>
      </c>
    </row>
    <row r="28201">
      <c r="A28201" s="1" t="s">
        <v>42869</v>
      </c>
      <c r="B28201" s="2" t="s">
        <v>42870</v>
      </c>
      <c r="C28201" s="1" t="s">
        <v>106</v>
      </c>
      <c r="D28201" s="1" t="s">
        <v>9491</v>
      </c>
    </row>
    <row r="28202">
      <c r="A28202" s="1" t="s">
        <v>42871</v>
      </c>
      <c r="B28202" s="2" t="s">
        <v>42743</v>
      </c>
      <c r="C28202" s="1" t="s">
        <v>106</v>
      </c>
      <c r="D28202" s="1" t="s">
        <v>9491</v>
      </c>
    </row>
    <row r="28203">
      <c r="A28203" s="1" t="s">
        <v>42872</v>
      </c>
      <c r="B28203" s="2" t="s">
        <v>42873</v>
      </c>
      <c r="C28203" s="1" t="s">
        <v>106</v>
      </c>
      <c r="D28203" s="1" t="s">
        <v>9491</v>
      </c>
    </row>
    <row r="28204">
      <c r="A28204" s="1" t="s">
        <v>42874</v>
      </c>
      <c r="B28204" s="2" t="s">
        <v>42875</v>
      </c>
      <c r="C28204" s="1" t="s">
        <v>106</v>
      </c>
      <c r="D28204" s="1" t="s">
        <v>9491</v>
      </c>
    </row>
    <row r="28205">
      <c r="A28205" s="1" t="s">
        <v>42876</v>
      </c>
      <c r="B28205" s="2" t="s">
        <v>16283</v>
      </c>
      <c r="C28205" s="1" t="s">
        <v>106</v>
      </c>
      <c r="D28205" s="1" t="s">
        <v>9491</v>
      </c>
    </row>
    <row r="28206">
      <c r="A28206" s="1" t="s">
        <v>42877</v>
      </c>
      <c r="B28206" s="2" t="s">
        <v>42878</v>
      </c>
      <c r="C28206" s="1" t="s">
        <v>106</v>
      </c>
      <c r="D28206" s="1" t="s">
        <v>9491</v>
      </c>
    </row>
    <row r="28207">
      <c r="A28207" s="1" t="s">
        <v>42879</v>
      </c>
      <c r="B28207" s="2" t="s">
        <v>42880</v>
      </c>
      <c r="C28207" s="1" t="s">
        <v>106</v>
      </c>
      <c r="D28207" s="1" t="s">
        <v>9491</v>
      </c>
    </row>
    <row r="28208">
      <c r="A28208" s="1" t="s">
        <v>9493</v>
      </c>
      <c r="B28208" s="2" t="s">
        <v>7</v>
      </c>
      <c r="C28208" s="1" t="s">
        <v>9496</v>
      </c>
      <c r="D28208" s="1" t="s">
        <v>9497</v>
      </c>
    </row>
    <row r="28209">
      <c r="A28209" s="1" t="s">
        <v>42881</v>
      </c>
      <c r="B28209" s="2" t="s">
        <v>13</v>
      </c>
      <c r="C28209" s="1" t="s">
        <v>9496</v>
      </c>
      <c r="D28209" s="1" t="s">
        <v>9497</v>
      </c>
    </row>
    <row r="28210">
      <c r="A28210" s="1" t="s">
        <v>42882</v>
      </c>
      <c r="B28210" s="2" t="s">
        <v>42719</v>
      </c>
      <c r="C28210" s="1" t="s">
        <v>9496</v>
      </c>
      <c r="D28210" s="1" t="s">
        <v>9497</v>
      </c>
    </row>
    <row r="28211">
      <c r="A28211" s="1" t="s">
        <v>42883</v>
      </c>
      <c r="B28211" s="2" t="s">
        <v>42884</v>
      </c>
      <c r="C28211" s="1" t="s">
        <v>9496</v>
      </c>
      <c r="D28211" s="1" t="s">
        <v>9497</v>
      </c>
    </row>
    <row r="28212">
      <c r="A28212" s="1" t="s">
        <v>42885</v>
      </c>
      <c r="B28212" s="2" t="s">
        <v>42886</v>
      </c>
      <c r="C28212" s="1" t="s">
        <v>9496</v>
      </c>
      <c r="D28212" s="1" t="s">
        <v>9497</v>
      </c>
    </row>
    <row r="28213">
      <c r="A28213" s="1" t="s">
        <v>42887</v>
      </c>
      <c r="B28213" s="2" t="s">
        <v>42725</v>
      </c>
      <c r="C28213" s="1" t="s">
        <v>9496</v>
      </c>
      <c r="D28213" s="1" t="s">
        <v>9497</v>
      </c>
    </row>
    <row r="28214">
      <c r="A28214" s="1" t="s">
        <v>42888</v>
      </c>
      <c r="B28214" s="2" t="s">
        <v>42889</v>
      </c>
      <c r="C28214" s="1" t="s">
        <v>9496</v>
      </c>
      <c r="D28214" s="1" t="s">
        <v>9497</v>
      </c>
    </row>
    <row r="28215">
      <c r="A28215" s="1" t="s">
        <v>42890</v>
      </c>
      <c r="B28215" s="2" t="s">
        <v>42891</v>
      </c>
      <c r="C28215" s="1" t="s">
        <v>9496</v>
      </c>
      <c r="D28215" s="1" t="s">
        <v>9497</v>
      </c>
    </row>
    <row r="28216">
      <c r="A28216" s="1" t="s">
        <v>42892</v>
      </c>
      <c r="B28216" s="2" t="s">
        <v>16202</v>
      </c>
      <c r="C28216" s="1" t="s">
        <v>9496</v>
      </c>
      <c r="D28216" s="1" t="s">
        <v>9497</v>
      </c>
    </row>
    <row r="28217">
      <c r="A28217" s="1" t="s">
        <v>42893</v>
      </c>
      <c r="B28217" s="2" t="s">
        <v>42894</v>
      </c>
      <c r="C28217" s="1" t="s">
        <v>9496</v>
      </c>
      <c r="D28217" s="1" t="s">
        <v>9497</v>
      </c>
    </row>
    <row r="28218">
      <c r="A28218" s="1" t="s">
        <v>42895</v>
      </c>
      <c r="B28218" s="2" t="s">
        <v>42896</v>
      </c>
      <c r="C28218" s="1" t="s">
        <v>9496</v>
      </c>
      <c r="D28218" s="1" t="s">
        <v>9497</v>
      </c>
    </row>
    <row r="28219">
      <c r="A28219" s="1" t="s">
        <v>42897</v>
      </c>
      <c r="B28219" s="2" t="s">
        <v>70</v>
      </c>
      <c r="C28219" s="1" t="s">
        <v>9496</v>
      </c>
      <c r="D28219" s="1" t="s">
        <v>9497</v>
      </c>
    </row>
    <row r="28220">
      <c r="A28220" s="1" t="s">
        <v>42898</v>
      </c>
      <c r="B28220" s="2" t="s">
        <v>42737</v>
      </c>
      <c r="C28220" s="1" t="s">
        <v>9496</v>
      </c>
      <c r="D28220" s="1" t="s">
        <v>9497</v>
      </c>
    </row>
    <row r="28221">
      <c r="A28221" s="1" t="s">
        <v>42899</v>
      </c>
      <c r="B28221" s="2" t="s">
        <v>42900</v>
      </c>
      <c r="C28221" s="1" t="s">
        <v>9496</v>
      </c>
      <c r="D28221" s="1" t="s">
        <v>9497</v>
      </c>
    </row>
    <row r="28222">
      <c r="A28222" s="1" t="s">
        <v>42901</v>
      </c>
      <c r="B28222" s="2" t="s">
        <v>42902</v>
      </c>
      <c r="C28222" s="1" t="s">
        <v>9496</v>
      </c>
      <c r="D28222" s="1" t="s">
        <v>9497</v>
      </c>
    </row>
    <row r="28223">
      <c r="A28223" s="1" t="s">
        <v>42903</v>
      </c>
      <c r="B28223" s="2" t="s">
        <v>42743</v>
      </c>
      <c r="C28223" s="1" t="s">
        <v>9496</v>
      </c>
      <c r="D28223" s="1" t="s">
        <v>9497</v>
      </c>
    </row>
    <row r="28224">
      <c r="A28224" s="1" t="s">
        <v>42904</v>
      </c>
      <c r="B28224" s="2" t="s">
        <v>42905</v>
      </c>
      <c r="C28224" s="1" t="s">
        <v>9496</v>
      </c>
      <c r="D28224" s="1" t="s">
        <v>9497</v>
      </c>
    </row>
    <row r="28225">
      <c r="A28225" s="1" t="s">
        <v>42906</v>
      </c>
      <c r="B28225" s="2" t="s">
        <v>42907</v>
      </c>
      <c r="C28225" s="1" t="s">
        <v>9496</v>
      </c>
      <c r="D28225" s="1" t="s">
        <v>9497</v>
      </c>
    </row>
    <row r="28226">
      <c r="A28226" s="1" t="s">
        <v>42908</v>
      </c>
      <c r="B28226" s="2" t="s">
        <v>16283</v>
      </c>
      <c r="C28226" s="1" t="s">
        <v>9496</v>
      </c>
      <c r="D28226" s="1" t="s">
        <v>9497</v>
      </c>
    </row>
    <row r="28227">
      <c r="A28227" s="1" t="s">
        <v>42909</v>
      </c>
      <c r="B28227" s="2" t="s">
        <v>42910</v>
      </c>
      <c r="C28227" s="1" t="s">
        <v>9496</v>
      </c>
      <c r="D28227" s="1" t="s">
        <v>9497</v>
      </c>
    </row>
    <row r="28228">
      <c r="A28228" s="1" t="s">
        <v>42911</v>
      </c>
      <c r="B28228" s="2" t="s">
        <v>42912</v>
      </c>
      <c r="C28228" s="1" t="s">
        <v>9496</v>
      </c>
      <c r="D28228" s="1" t="s">
        <v>9497</v>
      </c>
    </row>
    <row r="28229">
      <c r="A28229" s="1" t="s">
        <v>9501</v>
      </c>
      <c r="B28229" s="2" t="s">
        <v>7</v>
      </c>
      <c r="C28229" s="1" t="s">
        <v>9503</v>
      </c>
      <c r="D28229" s="1" t="s">
        <v>9504</v>
      </c>
    </row>
    <row r="28230">
      <c r="A28230" s="1" t="s">
        <v>42913</v>
      </c>
      <c r="B28230" s="2" t="s">
        <v>42914</v>
      </c>
      <c r="C28230" s="1" t="s">
        <v>9503</v>
      </c>
      <c r="D28230" s="1" t="s">
        <v>9504</v>
      </c>
    </row>
    <row r="28231">
      <c r="A28231" s="1" t="s">
        <v>42915</v>
      </c>
      <c r="B28231" s="2" t="s">
        <v>42916</v>
      </c>
      <c r="C28231" s="1" t="s">
        <v>9503</v>
      </c>
      <c r="D28231" s="1" t="s">
        <v>9504</v>
      </c>
    </row>
    <row r="28232">
      <c r="A28232" s="1" t="s">
        <v>42917</v>
      </c>
      <c r="B28232" s="2" t="s">
        <v>42918</v>
      </c>
      <c r="C28232" s="1" t="s">
        <v>9503</v>
      </c>
      <c r="D28232" s="1" t="s">
        <v>9504</v>
      </c>
    </row>
    <row r="28233">
      <c r="A28233" s="1" t="s">
        <v>42919</v>
      </c>
      <c r="B28233" s="2" t="s">
        <v>42920</v>
      </c>
      <c r="C28233" s="1" t="s">
        <v>9503</v>
      </c>
      <c r="D28233" s="1" t="s">
        <v>9504</v>
      </c>
    </row>
    <row r="28234">
      <c r="A28234" s="1" t="s">
        <v>42921</v>
      </c>
      <c r="B28234" s="2" t="s">
        <v>42922</v>
      </c>
      <c r="C28234" s="1" t="s">
        <v>9503</v>
      </c>
      <c r="D28234" s="1" t="s">
        <v>9504</v>
      </c>
    </row>
    <row r="28235">
      <c r="A28235" s="1" t="s">
        <v>42923</v>
      </c>
      <c r="B28235" s="2" t="s">
        <v>42924</v>
      </c>
      <c r="C28235" s="1" t="s">
        <v>9503</v>
      </c>
      <c r="D28235" s="1" t="s">
        <v>9504</v>
      </c>
    </row>
    <row r="28236">
      <c r="A28236" s="1" t="s">
        <v>42925</v>
      </c>
      <c r="B28236" s="2" t="s">
        <v>42926</v>
      </c>
      <c r="C28236" s="1" t="s">
        <v>9503</v>
      </c>
      <c r="D28236" s="1" t="s">
        <v>9504</v>
      </c>
    </row>
    <row r="28237">
      <c r="A28237" s="1" t="s">
        <v>42927</v>
      </c>
      <c r="B28237" s="2" t="s">
        <v>42928</v>
      </c>
      <c r="C28237" s="1" t="s">
        <v>9503</v>
      </c>
      <c r="D28237" s="1" t="s">
        <v>9504</v>
      </c>
    </row>
    <row r="28238">
      <c r="A28238" s="1" t="s">
        <v>42929</v>
      </c>
      <c r="B28238" s="2" t="s">
        <v>42930</v>
      </c>
      <c r="C28238" s="1" t="s">
        <v>9503</v>
      </c>
      <c r="D28238" s="1" t="s">
        <v>9504</v>
      </c>
    </row>
    <row r="28239">
      <c r="A28239" s="1" t="s">
        <v>42931</v>
      </c>
      <c r="B28239" s="2" t="s">
        <v>42932</v>
      </c>
      <c r="C28239" s="1" t="s">
        <v>9503</v>
      </c>
      <c r="D28239" s="1" t="s">
        <v>9504</v>
      </c>
    </row>
    <row r="28240">
      <c r="A28240" s="1" t="s">
        <v>42933</v>
      </c>
      <c r="B28240" s="2" t="s">
        <v>42934</v>
      </c>
      <c r="C28240" s="1" t="s">
        <v>9503</v>
      </c>
      <c r="D28240" s="1" t="s">
        <v>9504</v>
      </c>
    </row>
    <row r="28241">
      <c r="A28241" s="1" t="s">
        <v>42935</v>
      </c>
      <c r="B28241" s="2" t="s">
        <v>42936</v>
      </c>
      <c r="C28241" s="1" t="s">
        <v>9503</v>
      </c>
      <c r="D28241" s="1" t="s">
        <v>9504</v>
      </c>
    </row>
    <row r="28242">
      <c r="A28242" s="1" t="s">
        <v>42937</v>
      </c>
      <c r="B28242" s="2" t="s">
        <v>42938</v>
      </c>
      <c r="C28242" s="1" t="s">
        <v>9503</v>
      </c>
      <c r="D28242" s="1" t="s">
        <v>9504</v>
      </c>
    </row>
    <row r="28243">
      <c r="A28243" s="1" t="s">
        <v>42939</v>
      </c>
      <c r="B28243" s="2" t="s">
        <v>42940</v>
      </c>
      <c r="C28243" s="1" t="s">
        <v>9503</v>
      </c>
      <c r="D28243" s="1" t="s">
        <v>9504</v>
      </c>
    </row>
    <row r="28244">
      <c r="A28244" s="1" t="s">
        <v>42941</v>
      </c>
      <c r="B28244" s="2" t="s">
        <v>41326</v>
      </c>
      <c r="C28244" s="1" t="s">
        <v>9503</v>
      </c>
      <c r="D28244" s="1" t="s">
        <v>9504</v>
      </c>
    </row>
    <row r="28245">
      <c r="A28245" s="1" t="s">
        <v>42942</v>
      </c>
      <c r="B28245" s="2" t="s">
        <v>42943</v>
      </c>
      <c r="C28245" s="1" t="s">
        <v>9503</v>
      </c>
      <c r="D28245" s="1" t="s">
        <v>9504</v>
      </c>
    </row>
    <row r="28246">
      <c r="A28246" s="1" t="s">
        <v>42944</v>
      </c>
      <c r="B28246" s="2" t="s">
        <v>42945</v>
      </c>
      <c r="C28246" s="1" t="s">
        <v>9503</v>
      </c>
      <c r="D28246" s="1" t="s">
        <v>9504</v>
      </c>
    </row>
    <row r="28247">
      <c r="A28247" s="1" t="s">
        <v>42946</v>
      </c>
      <c r="B28247" s="2" t="s">
        <v>42947</v>
      </c>
      <c r="C28247" s="1" t="s">
        <v>9503</v>
      </c>
      <c r="D28247" s="1" t="s">
        <v>9504</v>
      </c>
    </row>
    <row r="28248">
      <c r="A28248" s="1" t="s">
        <v>42948</v>
      </c>
      <c r="B28248" s="2" t="s">
        <v>42949</v>
      </c>
      <c r="C28248" s="1" t="s">
        <v>9503</v>
      </c>
      <c r="D28248" s="1" t="s">
        <v>9504</v>
      </c>
    </row>
    <row r="28249">
      <c r="A28249" s="1" t="s">
        <v>42950</v>
      </c>
      <c r="B28249" s="2" t="s">
        <v>42951</v>
      </c>
      <c r="C28249" s="1" t="s">
        <v>9503</v>
      </c>
      <c r="D28249" s="1" t="s">
        <v>9504</v>
      </c>
    </row>
    <row r="28250">
      <c r="A28250" s="1" t="s">
        <v>42952</v>
      </c>
      <c r="B28250" s="2" t="s">
        <v>42953</v>
      </c>
      <c r="C28250" s="1" t="s">
        <v>9503</v>
      </c>
      <c r="D28250" s="1" t="s">
        <v>9504</v>
      </c>
    </row>
    <row r="28251">
      <c r="A28251" s="1" t="s">
        <v>9508</v>
      </c>
      <c r="B28251" s="2" t="s">
        <v>7</v>
      </c>
      <c r="C28251" s="1" t="s">
        <v>9510</v>
      </c>
      <c r="D28251" s="1" t="s">
        <v>9511</v>
      </c>
    </row>
    <row r="28252">
      <c r="A28252" s="1" t="s">
        <v>42954</v>
      </c>
      <c r="B28252" s="2" t="s">
        <v>42914</v>
      </c>
      <c r="C28252" s="1" t="s">
        <v>9510</v>
      </c>
      <c r="D28252" s="1" t="s">
        <v>9511</v>
      </c>
    </row>
    <row r="28253">
      <c r="A28253" s="1" t="s">
        <v>42955</v>
      </c>
      <c r="B28253" s="2" t="s">
        <v>42956</v>
      </c>
      <c r="C28253" s="1" t="s">
        <v>9510</v>
      </c>
      <c r="D28253" s="1" t="s">
        <v>9511</v>
      </c>
    </row>
    <row r="28254">
      <c r="A28254" s="1" t="s">
        <v>42957</v>
      </c>
      <c r="B28254" s="2" t="s">
        <v>42958</v>
      </c>
      <c r="C28254" s="1" t="s">
        <v>9510</v>
      </c>
      <c r="D28254" s="1" t="s">
        <v>9511</v>
      </c>
    </row>
    <row r="28255">
      <c r="A28255" s="1" t="s">
        <v>42959</v>
      </c>
      <c r="B28255" s="2" t="s">
        <v>42928</v>
      </c>
      <c r="C28255" s="1" t="s">
        <v>9510</v>
      </c>
      <c r="D28255" s="1" t="s">
        <v>9511</v>
      </c>
    </row>
    <row r="28256">
      <c r="A28256" s="1" t="s">
        <v>42960</v>
      </c>
      <c r="B28256" s="2" t="s">
        <v>42961</v>
      </c>
      <c r="C28256" s="1" t="s">
        <v>9510</v>
      </c>
      <c r="D28256" s="1" t="s">
        <v>9511</v>
      </c>
    </row>
    <row r="28257">
      <c r="A28257" s="1" t="s">
        <v>42962</v>
      </c>
      <c r="B28257" s="2" t="s">
        <v>42963</v>
      </c>
      <c r="C28257" s="1" t="s">
        <v>9510</v>
      </c>
      <c r="D28257" s="1" t="s">
        <v>9511</v>
      </c>
    </row>
    <row r="28258">
      <c r="A28258" s="1" t="s">
        <v>42964</v>
      </c>
      <c r="B28258" s="2" t="s">
        <v>41326</v>
      </c>
      <c r="C28258" s="1" t="s">
        <v>9510</v>
      </c>
      <c r="D28258" s="1" t="s">
        <v>9511</v>
      </c>
    </row>
    <row r="28259">
      <c r="A28259" s="1" t="s">
        <v>42965</v>
      </c>
      <c r="B28259" s="2" t="s">
        <v>42966</v>
      </c>
      <c r="C28259" s="1" t="s">
        <v>9510</v>
      </c>
      <c r="D28259" s="1" t="s">
        <v>9511</v>
      </c>
    </row>
    <row r="28260">
      <c r="A28260" s="1" t="s">
        <v>42967</v>
      </c>
      <c r="B28260" s="2" t="s">
        <v>42968</v>
      </c>
      <c r="C28260" s="1" t="s">
        <v>9510</v>
      </c>
      <c r="D28260" s="1" t="s">
        <v>9511</v>
      </c>
    </row>
    <row r="28261">
      <c r="A28261" s="1" t="s">
        <v>9513</v>
      </c>
      <c r="B28261" s="2" t="s">
        <v>7</v>
      </c>
      <c r="C28261" s="1" t="s">
        <v>9515</v>
      </c>
      <c r="D28261" s="1" t="s">
        <v>9516</v>
      </c>
    </row>
    <row r="28262">
      <c r="A28262" s="1" t="s">
        <v>42969</v>
      </c>
      <c r="B28262" s="2" t="s">
        <v>42914</v>
      </c>
      <c r="C28262" s="1" t="s">
        <v>9515</v>
      </c>
      <c r="D28262" s="1" t="s">
        <v>9516</v>
      </c>
    </row>
    <row r="28263">
      <c r="A28263" s="1" t="s">
        <v>42970</v>
      </c>
      <c r="B28263" s="2" t="s">
        <v>42971</v>
      </c>
      <c r="C28263" s="1" t="s">
        <v>9515</v>
      </c>
      <c r="D28263" s="1" t="s">
        <v>9516</v>
      </c>
    </row>
    <row r="28264">
      <c r="A28264" s="1" t="s">
        <v>42972</v>
      </c>
      <c r="B28264" s="2" t="s">
        <v>42973</v>
      </c>
      <c r="C28264" s="1" t="s">
        <v>9515</v>
      </c>
      <c r="D28264" s="1" t="s">
        <v>9516</v>
      </c>
    </row>
    <row r="28265">
      <c r="A28265" s="1" t="s">
        <v>42974</v>
      </c>
      <c r="B28265" s="2" t="s">
        <v>42928</v>
      </c>
      <c r="C28265" s="1" t="s">
        <v>9515</v>
      </c>
      <c r="D28265" s="1" t="s">
        <v>9516</v>
      </c>
    </row>
    <row r="28266">
      <c r="A28266" s="1" t="s">
        <v>42975</v>
      </c>
      <c r="B28266" s="2" t="s">
        <v>42976</v>
      </c>
      <c r="C28266" s="1" t="s">
        <v>9515</v>
      </c>
      <c r="D28266" s="1" t="s">
        <v>9516</v>
      </c>
    </row>
    <row r="28267">
      <c r="A28267" s="1" t="s">
        <v>42977</v>
      </c>
      <c r="B28267" s="2" t="s">
        <v>42978</v>
      </c>
      <c r="C28267" s="1" t="s">
        <v>9515</v>
      </c>
      <c r="D28267" s="1" t="s">
        <v>9516</v>
      </c>
    </row>
    <row r="28268">
      <c r="A28268" s="1" t="s">
        <v>42979</v>
      </c>
      <c r="B28268" s="2" t="s">
        <v>41326</v>
      </c>
      <c r="C28268" s="1" t="s">
        <v>9515</v>
      </c>
      <c r="D28268" s="1" t="s">
        <v>9516</v>
      </c>
    </row>
    <row r="28269">
      <c r="A28269" s="1" t="s">
        <v>42980</v>
      </c>
      <c r="B28269" s="2" t="s">
        <v>42981</v>
      </c>
      <c r="C28269" s="1" t="s">
        <v>9515</v>
      </c>
      <c r="D28269" s="1" t="s">
        <v>9516</v>
      </c>
    </row>
    <row r="28270">
      <c r="A28270" s="1" t="s">
        <v>42982</v>
      </c>
      <c r="B28270" s="2" t="s">
        <v>42983</v>
      </c>
      <c r="C28270" s="1" t="s">
        <v>9515</v>
      </c>
      <c r="D28270" s="1" t="s">
        <v>9516</v>
      </c>
    </row>
    <row r="28271">
      <c r="A28271" s="1" t="s">
        <v>9520</v>
      </c>
      <c r="B28271" s="2" t="s">
        <v>7</v>
      </c>
      <c r="C28271" s="1" t="s">
        <v>9522</v>
      </c>
      <c r="D28271" s="1" t="s">
        <v>9524</v>
      </c>
    </row>
    <row r="28272">
      <c r="A28272" s="1" t="s">
        <v>42984</v>
      </c>
      <c r="B28272" s="2" t="s">
        <v>42985</v>
      </c>
      <c r="C28272" s="1" t="s">
        <v>9522</v>
      </c>
      <c r="D28272" s="1" t="s">
        <v>9524</v>
      </c>
    </row>
    <row r="28273">
      <c r="A28273" s="1" t="s">
        <v>42986</v>
      </c>
      <c r="B28273" s="2" t="s">
        <v>42987</v>
      </c>
      <c r="C28273" s="1" t="s">
        <v>9522</v>
      </c>
      <c r="D28273" s="1" t="s">
        <v>9524</v>
      </c>
    </row>
    <row r="28274">
      <c r="A28274" s="1" t="s">
        <v>42988</v>
      </c>
      <c r="B28274" s="2" t="s">
        <v>42989</v>
      </c>
      <c r="C28274" s="1" t="s">
        <v>9522</v>
      </c>
      <c r="D28274" s="1" t="s">
        <v>9524</v>
      </c>
    </row>
    <row r="28275">
      <c r="A28275" s="1" t="s">
        <v>42990</v>
      </c>
      <c r="B28275" s="2" t="s">
        <v>42991</v>
      </c>
      <c r="C28275" s="1" t="s">
        <v>9522</v>
      </c>
      <c r="D28275" s="1" t="s">
        <v>9524</v>
      </c>
    </row>
    <row r="28276">
      <c r="A28276" s="1" t="s">
        <v>42992</v>
      </c>
      <c r="B28276" s="2" t="s">
        <v>42993</v>
      </c>
      <c r="C28276" s="1" t="s">
        <v>9522</v>
      </c>
      <c r="D28276" s="1" t="s">
        <v>9524</v>
      </c>
    </row>
    <row r="28277">
      <c r="A28277" s="1" t="s">
        <v>42994</v>
      </c>
      <c r="B28277" s="2" t="s">
        <v>42995</v>
      </c>
      <c r="C28277" s="1" t="s">
        <v>9522</v>
      </c>
      <c r="D28277" s="1" t="s">
        <v>9524</v>
      </c>
    </row>
    <row r="28278">
      <c r="A28278" s="1" t="s">
        <v>42996</v>
      </c>
      <c r="B28278" s="2" t="s">
        <v>42997</v>
      </c>
      <c r="C28278" s="1" t="s">
        <v>9522</v>
      </c>
      <c r="D28278" s="1" t="s">
        <v>9524</v>
      </c>
    </row>
    <row r="28279">
      <c r="A28279" s="1" t="s">
        <v>42998</v>
      </c>
      <c r="B28279" s="2" t="s">
        <v>42999</v>
      </c>
      <c r="C28279" s="1" t="s">
        <v>9522</v>
      </c>
      <c r="D28279" s="1" t="s">
        <v>9524</v>
      </c>
    </row>
    <row r="28280">
      <c r="A28280" s="1" t="s">
        <v>43000</v>
      </c>
      <c r="B28280" s="2" t="s">
        <v>43001</v>
      </c>
      <c r="C28280" s="1" t="s">
        <v>9522</v>
      </c>
      <c r="D28280" s="1" t="s">
        <v>9524</v>
      </c>
    </row>
    <row r="28281">
      <c r="A28281" s="1" t="s">
        <v>43002</v>
      </c>
      <c r="B28281" s="2" t="s">
        <v>43003</v>
      </c>
      <c r="C28281" s="1" t="s">
        <v>9522</v>
      </c>
      <c r="D28281" s="1" t="s">
        <v>9524</v>
      </c>
    </row>
    <row r="28282">
      <c r="A28282" s="1" t="s">
        <v>43004</v>
      </c>
      <c r="B28282" s="2" t="s">
        <v>43005</v>
      </c>
      <c r="C28282" s="1" t="s">
        <v>9522</v>
      </c>
      <c r="D28282" s="1" t="s">
        <v>9524</v>
      </c>
    </row>
    <row r="28283">
      <c r="A28283" s="1" t="s">
        <v>43006</v>
      </c>
      <c r="B28283" s="2" t="s">
        <v>43007</v>
      </c>
      <c r="C28283" s="1" t="s">
        <v>9522</v>
      </c>
      <c r="D28283" s="1" t="s">
        <v>9524</v>
      </c>
    </row>
    <row r="28284">
      <c r="A28284" s="1" t="s">
        <v>43008</v>
      </c>
      <c r="B28284" s="2" t="s">
        <v>43009</v>
      </c>
      <c r="C28284" s="1" t="s">
        <v>9522</v>
      </c>
      <c r="D28284" s="1" t="s">
        <v>9524</v>
      </c>
    </row>
    <row r="28285">
      <c r="A28285" s="1" t="s">
        <v>43010</v>
      </c>
      <c r="B28285" s="2" t="s">
        <v>43011</v>
      </c>
      <c r="C28285" s="1" t="s">
        <v>9522</v>
      </c>
      <c r="D28285" s="1" t="s">
        <v>9524</v>
      </c>
    </row>
    <row r="28286">
      <c r="A28286" s="1" t="s">
        <v>43012</v>
      </c>
      <c r="B28286" s="2" t="s">
        <v>43013</v>
      </c>
      <c r="C28286" s="1" t="s">
        <v>9522</v>
      </c>
      <c r="D28286" s="1" t="s">
        <v>9524</v>
      </c>
    </row>
    <row r="28287">
      <c r="A28287" s="1" t="s">
        <v>43014</v>
      </c>
      <c r="B28287" s="2" t="s">
        <v>43015</v>
      </c>
      <c r="C28287" s="1" t="s">
        <v>9522</v>
      </c>
      <c r="D28287" s="1" t="s">
        <v>9524</v>
      </c>
    </row>
    <row r="28288">
      <c r="A28288" s="1" t="s">
        <v>43016</v>
      </c>
      <c r="B28288" s="2" t="s">
        <v>43017</v>
      </c>
      <c r="C28288" s="1" t="s">
        <v>9522</v>
      </c>
      <c r="D28288" s="1" t="s">
        <v>9524</v>
      </c>
    </row>
    <row r="28289">
      <c r="A28289" s="1" t="s">
        <v>43018</v>
      </c>
      <c r="B28289" s="2" t="s">
        <v>43019</v>
      </c>
      <c r="C28289" s="1" t="s">
        <v>9522</v>
      </c>
      <c r="D28289" s="1" t="s">
        <v>9524</v>
      </c>
    </row>
    <row r="28290">
      <c r="A28290" s="1" t="s">
        <v>43020</v>
      </c>
      <c r="B28290" s="2" t="s">
        <v>43021</v>
      </c>
      <c r="C28290" s="1" t="s">
        <v>9522</v>
      </c>
      <c r="D28290" s="1" t="s">
        <v>9524</v>
      </c>
    </row>
    <row r="28291">
      <c r="A28291" s="1" t="s">
        <v>43022</v>
      </c>
      <c r="B28291" s="2" t="s">
        <v>43023</v>
      </c>
      <c r="C28291" s="1" t="s">
        <v>9522</v>
      </c>
      <c r="D28291" s="1" t="s">
        <v>9524</v>
      </c>
    </row>
    <row r="28292">
      <c r="A28292" s="1" t="s">
        <v>43024</v>
      </c>
      <c r="B28292" s="2" t="s">
        <v>43025</v>
      </c>
      <c r="C28292" s="1" t="s">
        <v>9522</v>
      </c>
      <c r="D28292" s="1" t="s">
        <v>9524</v>
      </c>
    </row>
    <row r="28293">
      <c r="A28293" s="1" t="s">
        <v>43026</v>
      </c>
      <c r="B28293" s="2" t="s">
        <v>43027</v>
      </c>
      <c r="C28293" s="1" t="s">
        <v>9522</v>
      </c>
      <c r="D28293" s="1" t="s">
        <v>9524</v>
      </c>
    </row>
    <row r="28294">
      <c r="A28294" s="1" t="s">
        <v>43028</v>
      </c>
      <c r="B28294" s="2" t="s">
        <v>43029</v>
      </c>
      <c r="C28294" s="1" t="s">
        <v>9522</v>
      </c>
      <c r="D28294" s="1" t="s">
        <v>9524</v>
      </c>
    </row>
    <row r="28295">
      <c r="A28295" s="1" t="s">
        <v>43030</v>
      </c>
      <c r="B28295" s="2" t="s">
        <v>43031</v>
      </c>
      <c r="C28295" s="1" t="s">
        <v>9522</v>
      </c>
      <c r="D28295" s="1" t="s">
        <v>9524</v>
      </c>
    </row>
    <row r="28296">
      <c r="A28296" s="1" t="s">
        <v>43032</v>
      </c>
      <c r="B28296" s="2" t="s">
        <v>43033</v>
      </c>
      <c r="C28296" s="1" t="s">
        <v>9522</v>
      </c>
      <c r="D28296" s="1" t="s">
        <v>9524</v>
      </c>
    </row>
    <row r="28297">
      <c r="A28297" s="1" t="s">
        <v>43034</v>
      </c>
      <c r="B28297" s="2" t="s">
        <v>43035</v>
      </c>
      <c r="C28297" s="1" t="s">
        <v>9522</v>
      </c>
      <c r="D28297" s="1" t="s">
        <v>9524</v>
      </c>
    </row>
    <row r="28298">
      <c r="A28298" s="1" t="s">
        <v>43036</v>
      </c>
      <c r="B28298" s="2" t="s">
        <v>43037</v>
      </c>
      <c r="C28298" s="1" t="s">
        <v>9522</v>
      </c>
      <c r="D28298" s="1" t="s">
        <v>9524</v>
      </c>
    </row>
    <row r="28299">
      <c r="A28299" s="1" t="s">
        <v>43038</v>
      </c>
      <c r="B28299" s="2" t="s">
        <v>43039</v>
      </c>
      <c r="C28299" s="1" t="s">
        <v>9522</v>
      </c>
      <c r="D28299" s="1" t="s">
        <v>9524</v>
      </c>
    </row>
    <row r="28300">
      <c r="A28300" s="1" t="s">
        <v>43040</v>
      </c>
      <c r="B28300" s="2" t="s">
        <v>43041</v>
      </c>
      <c r="C28300" s="1" t="s">
        <v>9522</v>
      </c>
      <c r="D28300" s="1" t="s">
        <v>9524</v>
      </c>
    </row>
    <row r="28301">
      <c r="A28301" s="1" t="s">
        <v>43042</v>
      </c>
      <c r="B28301" s="2" t="s">
        <v>43043</v>
      </c>
      <c r="C28301" s="1" t="s">
        <v>9522</v>
      </c>
      <c r="D28301" s="1" t="s">
        <v>9524</v>
      </c>
    </row>
    <row r="28302">
      <c r="A28302" s="1" t="s">
        <v>43044</v>
      </c>
      <c r="B28302" s="2" t="s">
        <v>43045</v>
      </c>
      <c r="C28302" s="1" t="s">
        <v>9522</v>
      </c>
      <c r="D28302" s="1" t="s">
        <v>9524</v>
      </c>
    </row>
    <row r="28303">
      <c r="A28303" s="1" t="s">
        <v>43046</v>
      </c>
      <c r="B28303" s="2" t="s">
        <v>43047</v>
      </c>
      <c r="C28303" s="1" t="s">
        <v>9522</v>
      </c>
      <c r="D28303" s="1" t="s">
        <v>9524</v>
      </c>
    </row>
    <row r="28304">
      <c r="A28304" s="1" t="s">
        <v>43048</v>
      </c>
      <c r="B28304" s="2" t="s">
        <v>43049</v>
      </c>
      <c r="C28304" s="1" t="s">
        <v>9522</v>
      </c>
      <c r="D28304" s="1" t="s">
        <v>9524</v>
      </c>
    </row>
    <row r="28305">
      <c r="A28305" s="1" t="s">
        <v>43050</v>
      </c>
      <c r="B28305" s="2" t="s">
        <v>43051</v>
      </c>
      <c r="C28305" s="1" t="s">
        <v>9522</v>
      </c>
      <c r="D28305" s="1" t="s">
        <v>9524</v>
      </c>
    </row>
    <row r="28306">
      <c r="A28306" s="1" t="s">
        <v>43052</v>
      </c>
      <c r="B28306" s="2" t="s">
        <v>43053</v>
      </c>
      <c r="C28306" s="1" t="s">
        <v>9522</v>
      </c>
      <c r="D28306" s="1" t="s">
        <v>9524</v>
      </c>
    </row>
    <row r="28307">
      <c r="A28307" s="1" t="s">
        <v>43054</v>
      </c>
      <c r="B28307" s="2" t="s">
        <v>43055</v>
      </c>
      <c r="C28307" s="1" t="s">
        <v>9522</v>
      </c>
      <c r="D28307" s="1" t="s">
        <v>9524</v>
      </c>
    </row>
    <row r="28308">
      <c r="A28308" s="1" t="s">
        <v>43056</v>
      </c>
      <c r="B28308" s="2" t="s">
        <v>43057</v>
      </c>
      <c r="C28308" s="1" t="s">
        <v>9522</v>
      </c>
      <c r="D28308" s="1" t="s">
        <v>9524</v>
      </c>
    </row>
    <row r="28309">
      <c r="A28309" s="1" t="s">
        <v>43058</v>
      </c>
      <c r="B28309" s="2" t="s">
        <v>43059</v>
      </c>
      <c r="C28309" s="1" t="s">
        <v>9522</v>
      </c>
      <c r="D28309" s="1" t="s">
        <v>9524</v>
      </c>
    </row>
    <row r="28310">
      <c r="A28310" s="1" t="s">
        <v>43060</v>
      </c>
      <c r="B28310" s="2" t="s">
        <v>43061</v>
      </c>
      <c r="C28310" s="1" t="s">
        <v>9522</v>
      </c>
      <c r="D28310" s="1" t="s">
        <v>9524</v>
      </c>
    </row>
    <row r="28311">
      <c r="A28311" s="1" t="s">
        <v>43062</v>
      </c>
      <c r="B28311" s="2" t="s">
        <v>43063</v>
      </c>
      <c r="C28311" s="1" t="s">
        <v>9522</v>
      </c>
      <c r="D28311" s="1" t="s">
        <v>9524</v>
      </c>
    </row>
    <row r="28312">
      <c r="A28312" s="1" t="s">
        <v>43064</v>
      </c>
      <c r="B28312" s="2" t="s">
        <v>43065</v>
      </c>
      <c r="C28312" s="1" t="s">
        <v>9522</v>
      </c>
      <c r="D28312" s="1" t="s">
        <v>9524</v>
      </c>
    </row>
    <row r="28313">
      <c r="A28313" s="1" t="s">
        <v>43066</v>
      </c>
      <c r="B28313" s="2" t="s">
        <v>43067</v>
      </c>
      <c r="C28313" s="1" t="s">
        <v>9522</v>
      </c>
      <c r="D28313" s="1" t="s">
        <v>9524</v>
      </c>
    </row>
    <row r="28314">
      <c r="A28314" s="1" t="s">
        <v>43068</v>
      </c>
      <c r="B28314" s="2" t="s">
        <v>43069</v>
      </c>
      <c r="C28314" s="1" t="s">
        <v>9522</v>
      </c>
      <c r="D28314" s="1" t="s">
        <v>9524</v>
      </c>
    </row>
    <row r="28315">
      <c r="A28315" s="1" t="s">
        <v>43070</v>
      </c>
      <c r="B28315" s="2" t="s">
        <v>43071</v>
      </c>
      <c r="C28315" s="1" t="s">
        <v>9522</v>
      </c>
      <c r="D28315" s="1" t="s">
        <v>9524</v>
      </c>
    </row>
    <row r="28316">
      <c r="A28316" s="1" t="s">
        <v>43072</v>
      </c>
      <c r="B28316" s="2" t="s">
        <v>43073</v>
      </c>
      <c r="C28316" s="1" t="s">
        <v>9522</v>
      </c>
      <c r="D28316" s="1" t="s">
        <v>9524</v>
      </c>
    </row>
    <row r="28317">
      <c r="A28317" s="1" t="s">
        <v>43074</v>
      </c>
      <c r="B28317" s="2" t="s">
        <v>43075</v>
      </c>
      <c r="C28317" s="1" t="s">
        <v>9522</v>
      </c>
      <c r="D28317" s="1" t="s">
        <v>9524</v>
      </c>
    </row>
    <row r="28318">
      <c r="A28318" s="1" t="s">
        <v>43076</v>
      </c>
      <c r="B28318" s="2" t="s">
        <v>43077</v>
      </c>
      <c r="C28318" s="1" t="s">
        <v>9522</v>
      </c>
      <c r="D28318" s="1" t="s">
        <v>9524</v>
      </c>
    </row>
    <row r="28319">
      <c r="A28319" s="1" t="s">
        <v>43078</v>
      </c>
      <c r="B28319" s="2" t="s">
        <v>43079</v>
      </c>
      <c r="C28319" s="1" t="s">
        <v>9522</v>
      </c>
      <c r="D28319" s="1" t="s">
        <v>9524</v>
      </c>
    </row>
    <row r="28320">
      <c r="A28320" s="1" t="s">
        <v>43080</v>
      </c>
      <c r="B28320" s="2" t="s">
        <v>43081</v>
      </c>
      <c r="C28320" s="1" t="s">
        <v>9522</v>
      </c>
      <c r="D28320" s="1" t="s">
        <v>9524</v>
      </c>
    </row>
    <row r="28321">
      <c r="A28321" s="1" t="s">
        <v>43082</v>
      </c>
      <c r="B28321" s="2" t="s">
        <v>43083</v>
      </c>
      <c r="C28321" s="1" t="s">
        <v>9522</v>
      </c>
      <c r="D28321" s="1" t="s">
        <v>9524</v>
      </c>
    </row>
    <row r="28322">
      <c r="A28322" s="1" t="s">
        <v>9528</v>
      </c>
      <c r="B28322" s="2" t="s">
        <v>7</v>
      </c>
      <c r="C28322" s="1" t="s">
        <v>9530</v>
      </c>
      <c r="D28322" s="1" t="s">
        <v>9531</v>
      </c>
    </row>
    <row r="28323">
      <c r="A28323" s="1" t="s">
        <v>43084</v>
      </c>
      <c r="B28323" s="2" t="s">
        <v>42985</v>
      </c>
      <c r="C28323" s="1" t="s">
        <v>9530</v>
      </c>
      <c r="D28323" s="1" t="s">
        <v>9531</v>
      </c>
    </row>
    <row r="28324">
      <c r="A28324" s="1" t="s">
        <v>43085</v>
      </c>
      <c r="B28324" s="2" t="s">
        <v>42987</v>
      </c>
      <c r="C28324" s="1" t="s">
        <v>9530</v>
      </c>
      <c r="D28324" s="1" t="s">
        <v>9531</v>
      </c>
    </row>
    <row r="28325">
      <c r="A28325" s="1" t="s">
        <v>43086</v>
      </c>
      <c r="B28325" s="2" t="s">
        <v>43087</v>
      </c>
      <c r="C28325" s="1" t="s">
        <v>9530</v>
      </c>
      <c r="D28325" s="1" t="s">
        <v>9531</v>
      </c>
    </row>
    <row r="28326">
      <c r="A28326" s="1" t="s">
        <v>43088</v>
      </c>
      <c r="B28326" s="2" t="s">
        <v>43089</v>
      </c>
      <c r="C28326" s="1" t="s">
        <v>9530</v>
      </c>
      <c r="D28326" s="1" t="s">
        <v>9531</v>
      </c>
    </row>
    <row r="28327">
      <c r="A28327" s="1" t="s">
        <v>43090</v>
      </c>
      <c r="B28327" s="2" t="s">
        <v>42993</v>
      </c>
      <c r="C28327" s="1" t="s">
        <v>9530</v>
      </c>
      <c r="D28327" s="1" t="s">
        <v>9531</v>
      </c>
    </row>
    <row r="28328">
      <c r="A28328" s="1" t="s">
        <v>43091</v>
      </c>
      <c r="B28328" s="2" t="s">
        <v>43092</v>
      </c>
      <c r="C28328" s="1" t="s">
        <v>9530</v>
      </c>
      <c r="D28328" s="1" t="s">
        <v>9531</v>
      </c>
    </row>
    <row r="28329">
      <c r="A28329" s="1" t="s">
        <v>43093</v>
      </c>
      <c r="B28329" s="2" t="s">
        <v>43094</v>
      </c>
      <c r="C28329" s="1" t="s">
        <v>9530</v>
      </c>
      <c r="D28329" s="1" t="s">
        <v>9531</v>
      </c>
    </row>
    <row r="28330">
      <c r="A28330" s="1" t="s">
        <v>43095</v>
      </c>
      <c r="B28330" s="2" t="s">
        <v>42999</v>
      </c>
      <c r="C28330" s="1" t="s">
        <v>9530</v>
      </c>
      <c r="D28330" s="1" t="s">
        <v>9531</v>
      </c>
    </row>
    <row r="28331">
      <c r="A28331" s="1" t="s">
        <v>43096</v>
      </c>
      <c r="B28331" s="2" t="s">
        <v>43097</v>
      </c>
      <c r="C28331" s="1" t="s">
        <v>9530</v>
      </c>
      <c r="D28331" s="1" t="s">
        <v>9531</v>
      </c>
    </row>
    <row r="28332">
      <c r="A28332" s="1" t="s">
        <v>43098</v>
      </c>
      <c r="B28332" s="2" t="s">
        <v>43099</v>
      </c>
      <c r="C28332" s="1" t="s">
        <v>9530</v>
      </c>
      <c r="D28332" s="1" t="s">
        <v>9531</v>
      </c>
    </row>
    <row r="28333">
      <c r="A28333" s="1" t="s">
        <v>43100</v>
      </c>
      <c r="B28333" s="2" t="s">
        <v>43005</v>
      </c>
      <c r="C28333" s="1" t="s">
        <v>9530</v>
      </c>
      <c r="D28333" s="1" t="s">
        <v>9531</v>
      </c>
    </row>
    <row r="28334">
      <c r="A28334" s="1" t="s">
        <v>43101</v>
      </c>
      <c r="B28334" s="2" t="s">
        <v>43007</v>
      </c>
      <c r="C28334" s="1" t="s">
        <v>9530</v>
      </c>
      <c r="D28334" s="1" t="s">
        <v>9531</v>
      </c>
    </row>
    <row r="28335">
      <c r="A28335" s="1" t="s">
        <v>43102</v>
      </c>
      <c r="B28335" s="2" t="s">
        <v>43103</v>
      </c>
      <c r="C28335" s="1" t="s">
        <v>9530</v>
      </c>
      <c r="D28335" s="1" t="s">
        <v>9531</v>
      </c>
    </row>
    <row r="28336">
      <c r="A28336" s="1" t="s">
        <v>43104</v>
      </c>
      <c r="B28336" s="2" t="s">
        <v>43105</v>
      </c>
      <c r="C28336" s="1" t="s">
        <v>9530</v>
      </c>
      <c r="D28336" s="1" t="s">
        <v>9531</v>
      </c>
    </row>
    <row r="28337">
      <c r="A28337" s="1" t="s">
        <v>43106</v>
      </c>
      <c r="B28337" s="2" t="s">
        <v>43013</v>
      </c>
      <c r="C28337" s="1" t="s">
        <v>9530</v>
      </c>
      <c r="D28337" s="1" t="s">
        <v>9531</v>
      </c>
    </row>
    <row r="28338">
      <c r="A28338" s="1" t="s">
        <v>43107</v>
      </c>
      <c r="B28338" s="2" t="s">
        <v>43108</v>
      </c>
      <c r="C28338" s="1" t="s">
        <v>9530</v>
      </c>
      <c r="D28338" s="1" t="s">
        <v>9531</v>
      </c>
    </row>
    <row r="28339">
      <c r="A28339" s="1" t="s">
        <v>43109</v>
      </c>
      <c r="B28339" s="2" t="s">
        <v>43110</v>
      </c>
      <c r="C28339" s="1" t="s">
        <v>9530</v>
      </c>
      <c r="D28339" s="1" t="s">
        <v>9531</v>
      </c>
    </row>
    <row r="28340">
      <c r="A28340" s="1" t="s">
        <v>43111</v>
      </c>
      <c r="B28340" s="2" t="s">
        <v>43019</v>
      </c>
      <c r="C28340" s="1" t="s">
        <v>9530</v>
      </c>
      <c r="D28340" s="1" t="s">
        <v>9531</v>
      </c>
    </row>
    <row r="28341">
      <c r="A28341" s="1" t="s">
        <v>43112</v>
      </c>
      <c r="B28341" s="2" t="s">
        <v>43113</v>
      </c>
      <c r="C28341" s="1" t="s">
        <v>9530</v>
      </c>
      <c r="D28341" s="1" t="s">
        <v>9531</v>
      </c>
    </row>
    <row r="28342">
      <c r="A28342" s="1" t="s">
        <v>43114</v>
      </c>
      <c r="B28342" s="2" t="s">
        <v>43115</v>
      </c>
      <c r="C28342" s="1" t="s">
        <v>9530</v>
      </c>
      <c r="D28342" s="1" t="s">
        <v>9531</v>
      </c>
    </row>
    <row r="28343">
      <c r="A28343" s="1" t="s">
        <v>43116</v>
      </c>
      <c r="B28343" s="2" t="s">
        <v>43025</v>
      </c>
      <c r="C28343" s="1" t="s">
        <v>9530</v>
      </c>
      <c r="D28343" s="1" t="s">
        <v>9531</v>
      </c>
    </row>
    <row r="28344">
      <c r="A28344" s="1" t="s">
        <v>43117</v>
      </c>
      <c r="B28344" s="2" t="s">
        <v>43027</v>
      </c>
      <c r="C28344" s="1" t="s">
        <v>9530</v>
      </c>
      <c r="D28344" s="1" t="s">
        <v>9531</v>
      </c>
    </row>
    <row r="28345">
      <c r="A28345" s="1" t="s">
        <v>43118</v>
      </c>
      <c r="B28345" s="2" t="s">
        <v>43119</v>
      </c>
      <c r="C28345" s="1" t="s">
        <v>9530</v>
      </c>
      <c r="D28345" s="1" t="s">
        <v>9531</v>
      </c>
    </row>
    <row r="28346">
      <c r="A28346" s="1" t="s">
        <v>43120</v>
      </c>
      <c r="B28346" s="2" t="s">
        <v>43121</v>
      </c>
      <c r="C28346" s="1" t="s">
        <v>9530</v>
      </c>
      <c r="D28346" s="1" t="s">
        <v>9531</v>
      </c>
    </row>
    <row r="28347">
      <c r="A28347" s="1" t="s">
        <v>43122</v>
      </c>
      <c r="B28347" s="2" t="s">
        <v>43033</v>
      </c>
      <c r="C28347" s="1" t="s">
        <v>9530</v>
      </c>
      <c r="D28347" s="1" t="s">
        <v>9531</v>
      </c>
    </row>
    <row r="28348">
      <c r="A28348" s="1" t="s">
        <v>43123</v>
      </c>
      <c r="B28348" s="2" t="s">
        <v>43124</v>
      </c>
      <c r="C28348" s="1" t="s">
        <v>9530</v>
      </c>
      <c r="D28348" s="1" t="s">
        <v>9531</v>
      </c>
    </row>
    <row r="28349">
      <c r="A28349" s="1" t="s">
        <v>43125</v>
      </c>
      <c r="B28349" s="2" t="s">
        <v>43126</v>
      </c>
      <c r="C28349" s="1" t="s">
        <v>9530</v>
      </c>
      <c r="D28349" s="1" t="s">
        <v>9531</v>
      </c>
    </row>
    <row r="28350">
      <c r="A28350" s="1" t="s">
        <v>43127</v>
      </c>
      <c r="B28350" s="2" t="s">
        <v>43039</v>
      </c>
      <c r="C28350" s="1" t="s">
        <v>9530</v>
      </c>
      <c r="D28350" s="1" t="s">
        <v>9531</v>
      </c>
    </row>
    <row r="28351">
      <c r="A28351" s="1" t="s">
        <v>43128</v>
      </c>
      <c r="B28351" s="2" t="s">
        <v>43129</v>
      </c>
      <c r="C28351" s="1" t="s">
        <v>9530</v>
      </c>
      <c r="D28351" s="1" t="s">
        <v>9531</v>
      </c>
    </row>
    <row r="28352">
      <c r="A28352" s="1" t="s">
        <v>43130</v>
      </c>
      <c r="B28352" s="2" t="s">
        <v>43131</v>
      </c>
      <c r="C28352" s="1" t="s">
        <v>9530</v>
      </c>
      <c r="D28352" s="1" t="s">
        <v>9531</v>
      </c>
    </row>
    <row r="28353">
      <c r="A28353" s="1" t="s">
        <v>43132</v>
      </c>
      <c r="B28353" s="2" t="s">
        <v>43045</v>
      </c>
      <c r="C28353" s="1" t="s">
        <v>9530</v>
      </c>
      <c r="D28353" s="1" t="s">
        <v>9531</v>
      </c>
    </row>
    <row r="28354">
      <c r="A28354" s="1" t="s">
        <v>43133</v>
      </c>
      <c r="B28354" s="2" t="s">
        <v>43047</v>
      </c>
      <c r="C28354" s="1" t="s">
        <v>9530</v>
      </c>
      <c r="D28354" s="1" t="s">
        <v>9531</v>
      </c>
    </row>
    <row r="28355">
      <c r="A28355" s="1" t="s">
        <v>43134</v>
      </c>
      <c r="B28355" s="2" t="s">
        <v>43135</v>
      </c>
      <c r="C28355" s="1" t="s">
        <v>9530</v>
      </c>
      <c r="D28355" s="1" t="s">
        <v>9531</v>
      </c>
    </row>
    <row r="28356">
      <c r="A28356" s="1" t="s">
        <v>43136</v>
      </c>
      <c r="B28356" s="2" t="s">
        <v>43137</v>
      </c>
      <c r="C28356" s="1" t="s">
        <v>9530</v>
      </c>
      <c r="D28356" s="1" t="s">
        <v>9531</v>
      </c>
    </row>
    <row r="28357">
      <c r="A28357" s="1" t="s">
        <v>43138</v>
      </c>
      <c r="B28357" s="2" t="s">
        <v>43053</v>
      </c>
      <c r="C28357" s="1" t="s">
        <v>9530</v>
      </c>
      <c r="D28357" s="1" t="s">
        <v>9531</v>
      </c>
    </row>
    <row r="28358">
      <c r="A28358" s="1" t="s">
        <v>43139</v>
      </c>
      <c r="B28358" s="2" t="s">
        <v>43140</v>
      </c>
      <c r="C28358" s="1" t="s">
        <v>9530</v>
      </c>
      <c r="D28358" s="1" t="s">
        <v>9531</v>
      </c>
    </row>
    <row r="28359">
      <c r="A28359" s="1" t="s">
        <v>43141</v>
      </c>
      <c r="B28359" s="2" t="s">
        <v>43142</v>
      </c>
      <c r="C28359" s="1" t="s">
        <v>9530</v>
      </c>
      <c r="D28359" s="1" t="s">
        <v>9531</v>
      </c>
    </row>
    <row r="28360">
      <c r="A28360" s="1" t="s">
        <v>43143</v>
      </c>
      <c r="B28360" s="2" t="s">
        <v>43059</v>
      </c>
      <c r="C28360" s="1" t="s">
        <v>9530</v>
      </c>
      <c r="D28360" s="1" t="s">
        <v>9531</v>
      </c>
    </row>
    <row r="28361">
      <c r="A28361" s="1" t="s">
        <v>43144</v>
      </c>
      <c r="B28361" s="2" t="s">
        <v>43145</v>
      </c>
      <c r="C28361" s="1" t="s">
        <v>9530</v>
      </c>
      <c r="D28361" s="1" t="s">
        <v>9531</v>
      </c>
    </row>
    <row r="28362">
      <c r="A28362" s="1" t="s">
        <v>43146</v>
      </c>
      <c r="B28362" s="2" t="s">
        <v>43147</v>
      </c>
      <c r="C28362" s="1" t="s">
        <v>9530</v>
      </c>
      <c r="D28362" s="1" t="s">
        <v>9531</v>
      </c>
    </row>
    <row r="28363">
      <c r="A28363" s="1" t="s">
        <v>43148</v>
      </c>
      <c r="B28363" s="2" t="s">
        <v>43065</v>
      </c>
      <c r="C28363" s="1" t="s">
        <v>9530</v>
      </c>
      <c r="D28363" s="1" t="s">
        <v>9531</v>
      </c>
    </row>
    <row r="28364">
      <c r="A28364" s="1" t="s">
        <v>43149</v>
      </c>
      <c r="B28364" s="2" t="s">
        <v>43067</v>
      </c>
      <c r="C28364" s="1" t="s">
        <v>9530</v>
      </c>
      <c r="D28364" s="1" t="s">
        <v>9531</v>
      </c>
    </row>
    <row r="28365">
      <c r="A28365" s="1" t="s">
        <v>43150</v>
      </c>
      <c r="B28365" s="2" t="s">
        <v>43151</v>
      </c>
      <c r="C28365" s="1" t="s">
        <v>9530</v>
      </c>
      <c r="D28365" s="1" t="s">
        <v>9531</v>
      </c>
    </row>
    <row r="28366">
      <c r="A28366" s="1" t="s">
        <v>43152</v>
      </c>
      <c r="B28366" s="2" t="s">
        <v>43153</v>
      </c>
      <c r="C28366" s="1" t="s">
        <v>9530</v>
      </c>
      <c r="D28366" s="1" t="s">
        <v>9531</v>
      </c>
    </row>
    <row r="28367">
      <c r="A28367" s="1" t="s">
        <v>43154</v>
      </c>
      <c r="B28367" s="2" t="s">
        <v>43073</v>
      </c>
      <c r="C28367" s="1" t="s">
        <v>9530</v>
      </c>
      <c r="D28367" s="1" t="s">
        <v>9531</v>
      </c>
    </row>
    <row r="28368">
      <c r="A28368" s="1" t="s">
        <v>43155</v>
      </c>
      <c r="B28368" s="2" t="s">
        <v>43156</v>
      </c>
      <c r="C28368" s="1" t="s">
        <v>9530</v>
      </c>
      <c r="D28368" s="1" t="s">
        <v>9531</v>
      </c>
    </row>
    <row r="28369">
      <c r="A28369" s="1" t="s">
        <v>43157</v>
      </c>
      <c r="B28369" s="2" t="s">
        <v>43158</v>
      </c>
      <c r="C28369" s="1" t="s">
        <v>9530</v>
      </c>
      <c r="D28369" s="1" t="s">
        <v>9531</v>
      </c>
    </row>
    <row r="28370">
      <c r="A28370" s="1" t="s">
        <v>43159</v>
      </c>
      <c r="B28370" s="2" t="s">
        <v>43079</v>
      </c>
      <c r="C28370" s="1" t="s">
        <v>9530</v>
      </c>
      <c r="D28370" s="1" t="s">
        <v>9531</v>
      </c>
    </row>
    <row r="28371">
      <c r="A28371" s="1" t="s">
        <v>43160</v>
      </c>
      <c r="B28371" s="2" t="s">
        <v>43161</v>
      </c>
      <c r="C28371" s="1" t="s">
        <v>9530</v>
      </c>
      <c r="D28371" s="1" t="s">
        <v>9531</v>
      </c>
    </row>
    <row r="28372">
      <c r="A28372" s="1" t="s">
        <v>43162</v>
      </c>
      <c r="B28372" s="2" t="s">
        <v>43163</v>
      </c>
      <c r="C28372" s="1" t="s">
        <v>9530</v>
      </c>
      <c r="D28372" s="1" t="s">
        <v>9531</v>
      </c>
    </row>
    <row r="28373">
      <c r="A28373" s="1" t="s">
        <v>9534</v>
      </c>
      <c r="B28373" s="2" t="s">
        <v>7</v>
      </c>
      <c r="C28373" s="1" t="s">
        <v>9535</v>
      </c>
      <c r="D28373" s="1" t="s">
        <v>9537</v>
      </c>
    </row>
    <row r="28374">
      <c r="A28374" s="1" t="s">
        <v>43164</v>
      </c>
      <c r="B28374" s="2" t="s">
        <v>42985</v>
      </c>
      <c r="C28374" s="1" t="s">
        <v>9535</v>
      </c>
      <c r="D28374" s="1" t="s">
        <v>9537</v>
      </c>
    </row>
    <row r="28375">
      <c r="A28375" s="1" t="s">
        <v>43165</v>
      </c>
      <c r="B28375" s="2" t="s">
        <v>42987</v>
      </c>
      <c r="C28375" s="1" t="s">
        <v>9535</v>
      </c>
      <c r="D28375" s="1" t="s">
        <v>9537</v>
      </c>
    </row>
    <row r="28376">
      <c r="A28376" s="1" t="s">
        <v>43166</v>
      </c>
      <c r="B28376" s="2" t="s">
        <v>43167</v>
      </c>
      <c r="C28376" s="1" t="s">
        <v>9535</v>
      </c>
      <c r="D28376" s="1" t="s">
        <v>9537</v>
      </c>
    </row>
    <row r="28377">
      <c r="A28377" s="1" t="s">
        <v>43168</v>
      </c>
      <c r="B28377" s="2" t="s">
        <v>43169</v>
      </c>
      <c r="C28377" s="1" t="s">
        <v>9535</v>
      </c>
      <c r="D28377" s="1" t="s">
        <v>9537</v>
      </c>
    </row>
    <row r="28378">
      <c r="A28378" s="1" t="s">
        <v>43170</v>
      </c>
      <c r="B28378" s="2" t="s">
        <v>42993</v>
      </c>
      <c r="C28378" s="1" t="s">
        <v>9535</v>
      </c>
      <c r="D28378" s="1" t="s">
        <v>9537</v>
      </c>
    </row>
    <row r="28379">
      <c r="A28379" s="1" t="s">
        <v>43171</v>
      </c>
      <c r="B28379" s="2" t="s">
        <v>43172</v>
      </c>
      <c r="C28379" s="1" t="s">
        <v>9535</v>
      </c>
      <c r="D28379" s="1" t="s">
        <v>9537</v>
      </c>
    </row>
    <row r="28380">
      <c r="A28380" s="1" t="s">
        <v>43173</v>
      </c>
      <c r="B28380" s="2" t="s">
        <v>43174</v>
      </c>
      <c r="C28380" s="1" t="s">
        <v>9535</v>
      </c>
      <c r="D28380" s="1" t="s">
        <v>9537</v>
      </c>
    </row>
    <row r="28381">
      <c r="A28381" s="1" t="s">
        <v>43175</v>
      </c>
      <c r="B28381" s="2" t="s">
        <v>42999</v>
      </c>
      <c r="C28381" s="1" t="s">
        <v>9535</v>
      </c>
      <c r="D28381" s="1" t="s">
        <v>9537</v>
      </c>
    </row>
    <row r="28382">
      <c r="A28382" s="1" t="s">
        <v>43176</v>
      </c>
      <c r="B28382" s="2" t="s">
        <v>43177</v>
      </c>
      <c r="C28382" s="1" t="s">
        <v>9535</v>
      </c>
      <c r="D28382" s="1" t="s">
        <v>9537</v>
      </c>
    </row>
    <row r="28383">
      <c r="A28383" s="1" t="s">
        <v>43178</v>
      </c>
      <c r="B28383" s="2" t="s">
        <v>43179</v>
      </c>
      <c r="C28383" s="1" t="s">
        <v>9535</v>
      </c>
      <c r="D28383" s="1" t="s">
        <v>9537</v>
      </c>
    </row>
    <row r="28384">
      <c r="A28384" s="1" t="s">
        <v>43180</v>
      </c>
      <c r="B28384" s="2" t="s">
        <v>43005</v>
      </c>
      <c r="C28384" s="1" t="s">
        <v>9535</v>
      </c>
      <c r="D28384" s="1" t="s">
        <v>9537</v>
      </c>
    </row>
    <row r="28385">
      <c r="A28385" s="1" t="s">
        <v>43181</v>
      </c>
      <c r="B28385" s="2" t="s">
        <v>43007</v>
      </c>
      <c r="C28385" s="1" t="s">
        <v>9535</v>
      </c>
      <c r="D28385" s="1" t="s">
        <v>9537</v>
      </c>
    </row>
    <row r="28386">
      <c r="A28386" s="1" t="s">
        <v>43182</v>
      </c>
      <c r="B28386" s="2" t="s">
        <v>43183</v>
      </c>
      <c r="C28386" s="1" t="s">
        <v>9535</v>
      </c>
      <c r="D28386" s="1" t="s">
        <v>9537</v>
      </c>
    </row>
    <row r="28387">
      <c r="A28387" s="1" t="s">
        <v>43184</v>
      </c>
      <c r="B28387" s="2" t="s">
        <v>43185</v>
      </c>
      <c r="C28387" s="1" t="s">
        <v>9535</v>
      </c>
      <c r="D28387" s="1" t="s">
        <v>9537</v>
      </c>
    </row>
    <row r="28388">
      <c r="A28388" s="1" t="s">
        <v>43186</v>
      </c>
      <c r="B28388" s="2" t="s">
        <v>43013</v>
      </c>
      <c r="C28388" s="1" t="s">
        <v>9535</v>
      </c>
      <c r="D28388" s="1" t="s">
        <v>9537</v>
      </c>
    </row>
    <row r="28389">
      <c r="A28389" s="1" t="s">
        <v>43187</v>
      </c>
      <c r="B28389" s="2" t="s">
        <v>43188</v>
      </c>
      <c r="C28389" s="1" t="s">
        <v>9535</v>
      </c>
      <c r="D28389" s="1" t="s">
        <v>9537</v>
      </c>
    </row>
    <row r="28390">
      <c r="A28390" s="1" t="s">
        <v>43189</v>
      </c>
      <c r="B28390" s="2" t="s">
        <v>43190</v>
      </c>
      <c r="C28390" s="1" t="s">
        <v>9535</v>
      </c>
      <c r="D28390" s="1" t="s">
        <v>9537</v>
      </c>
    </row>
    <row r="28391">
      <c r="A28391" s="1" t="s">
        <v>43191</v>
      </c>
      <c r="B28391" s="2" t="s">
        <v>43019</v>
      </c>
      <c r="C28391" s="1" t="s">
        <v>9535</v>
      </c>
      <c r="D28391" s="1" t="s">
        <v>9537</v>
      </c>
    </row>
    <row r="28392">
      <c r="A28392" s="1" t="s">
        <v>43192</v>
      </c>
      <c r="B28392" s="2" t="s">
        <v>43193</v>
      </c>
      <c r="C28392" s="1" t="s">
        <v>9535</v>
      </c>
      <c r="D28392" s="1" t="s">
        <v>9537</v>
      </c>
    </row>
    <row r="28393">
      <c r="A28393" s="1" t="s">
        <v>43194</v>
      </c>
      <c r="B28393" s="2" t="s">
        <v>43195</v>
      </c>
      <c r="C28393" s="1" t="s">
        <v>9535</v>
      </c>
      <c r="D28393" s="1" t="s">
        <v>9537</v>
      </c>
    </row>
    <row r="28394">
      <c r="A28394" s="1" t="s">
        <v>43196</v>
      </c>
      <c r="B28394" s="2" t="s">
        <v>43025</v>
      </c>
      <c r="C28394" s="1" t="s">
        <v>9535</v>
      </c>
      <c r="D28394" s="1" t="s">
        <v>9537</v>
      </c>
    </row>
    <row r="28395">
      <c r="A28395" s="1" t="s">
        <v>43197</v>
      </c>
      <c r="B28395" s="2" t="s">
        <v>43027</v>
      </c>
      <c r="C28395" s="1" t="s">
        <v>9535</v>
      </c>
      <c r="D28395" s="1" t="s">
        <v>9537</v>
      </c>
    </row>
    <row r="28396">
      <c r="A28396" s="1" t="s">
        <v>43198</v>
      </c>
      <c r="B28396" s="2" t="s">
        <v>43199</v>
      </c>
      <c r="C28396" s="1" t="s">
        <v>9535</v>
      </c>
      <c r="D28396" s="1" t="s">
        <v>9537</v>
      </c>
    </row>
    <row r="28397">
      <c r="A28397" s="1" t="s">
        <v>43200</v>
      </c>
      <c r="B28397" s="2" t="s">
        <v>43201</v>
      </c>
      <c r="C28397" s="1" t="s">
        <v>9535</v>
      </c>
      <c r="D28397" s="1" t="s">
        <v>9537</v>
      </c>
    </row>
    <row r="28398">
      <c r="A28398" s="1" t="s">
        <v>43202</v>
      </c>
      <c r="B28398" s="2" t="s">
        <v>43033</v>
      </c>
      <c r="C28398" s="1" t="s">
        <v>9535</v>
      </c>
      <c r="D28398" s="1" t="s">
        <v>9537</v>
      </c>
    </row>
    <row r="28399">
      <c r="A28399" s="1" t="s">
        <v>43203</v>
      </c>
      <c r="B28399" s="2" t="s">
        <v>43204</v>
      </c>
      <c r="C28399" s="1" t="s">
        <v>9535</v>
      </c>
      <c r="D28399" s="1" t="s">
        <v>9537</v>
      </c>
    </row>
    <row r="28400">
      <c r="A28400" s="1" t="s">
        <v>43205</v>
      </c>
      <c r="B28400" s="2" t="s">
        <v>43206</v>
      </c>
      <c r="C28400" s="1" t="s">
        <v>9535</v>
      </c>
      <c r="D28400" s="1" t="s">
        <v>9537</v>
      </c>
    </row>
    <row r="28401">
      <c r="A28401" s="1" t="s">
        <v>43207</v>
      </c>
      <c r="B28401" s="2" t="s">
        <v>43039</v>
      </c>
      <c r="C28401" s="1" t="s">
        <v>9535</v>
      </c>
      <c r="D28401" s="1" t="s">
        <v>9537</v>
      </c>
    </row>
    <row r="28402">
      <c r="A28402" s="1" t="s">
        <v>43208</v>
      </c>
      <c r="B28402" s="2" t="s">
        <v>43209</v>
      </c>
      <c r="C28402" s="1" t="s">
        <v>9535</v>
      </c>
      <c r="D28402" s="1" t="s">
        <v>9537</v>
      </c>
    </row>
    <row r="28403">
      <c r="A28403" s="1" t="s">
        <v>43210</v>
      </c>
      <c r="B28403" s="2" t="s">
        <v>43211</v>
      </c>
      <c r="C28403" s="1" t="s">
        <v>9535</v>
      </c>
      <c r="D28403" s="1" t="s">
        <v>9537</v>
      </c>
    </row>
    <row r="28404">
      <c r="A28404" s="1" t="s">
        <v>43212</v>
      </c>
      <c r="B28404" s="2" t="s">
        <v>43045</v>
      </c>
      <c r="C28404" s="1" t="s">
        <v>9535</v>
      </c>
      <c r="D28404" s="1" t="s">
        <v>9537</v>
      </c>
    </row>
    <row r="28405">
      <c r="A28405" s="1" t="s">
        <v>43213</v>
      </c>
      <c r="B28405" s="2" t="s">
        <v>43047</v>
      </c>
      <c r="C28405" s="1" t="s">
        <v>9535</v>
      </c>
      <c r="D28405" s="1" t="s">
        <v>9537</v>
      </c>
    </row>
    <row r="28406">
      <c r="A28406" s="1" t="s">
        <v>43214</v>
      </c>
      <c r="B28406" s="2" t="s">
        <v>43215</v>
      </c>
      <c r="C28406" s="1" t="s">
        <v>9535</v>
      </c>
      <c r="D28406" s="1" t="s">
        <v>9537</v>
      </c>
    </row>
    <row r="28407">
      <c r="A28407" s="1" t="s">
        <v>43216</v>
      </c>
      <c r="B28407" s="2" t="s">
        <v>43217</v>
      </c>
      <c r="C28407" s="1" t="s">
        <v>9535</v>
      </c>
      <c r="D28407" s="1" t="s">
        <v>9537</v>
      </c>
    </row>
    <row r="28408">
      <c r="A28408" s="1" t="s">
        <v>43218</v>
      </c>
      <c r="B28408" s="2" t="s">
        <v>43053</v>
      </c>
      <c r="C28408" s="1" t="s">
        <v>9535</v>
      </c>
      <c r="D28408" s="1" t="s">
        <v>9537</v>
      </c>
    </row>
    <row r="28409">
      <c r="A28409" s="1" t="s">
        <v>43219</v>
      </c>
      <c r="B28409" s="2" t="s">
        <v>43220</v>
      </c>
      <c r="C28409" s="1" t="s">
        <v>9535</v>
      </c>
      <c r="D28409" s="1" t="s">
        <v>9537</v>
      </c>
    </row>
    <row r="28410">
      <c r="A28410" s="1" t="s">
        <v>43221</v>
      </c>
      <c r="B28410" s="2" t="s">
        <v>43222</v>
      </c>
      <c r="C28410" s="1" t="s">
        <v>9535</v>
      </c>
      <c r="D28410" s="1" t="s">
        <v>9537</v>
      </c>
    </row>
    <row r="28411">
      <c r="A28411" s="1" t="s">
        <v>43223</v>
      </c>
      <c r="B28411" s="2" t="s">
        <v>43059</v>
      </c>
      <c r="C28411" s="1" t="s">
        <v>9535</v>
      </c>
      <c r="D28411" s="1" t="s">
        <v>9537</v>
      </c>
    </row>
    <row r="28412">
      <c r="A28412" s="1" t="s">
        <v>43224</v>
      </c>
      <c r="B28412" s="2" t="s">
        <v>43225</v>
      </c>
      <c r="C28412" s="1" t="s">
        <v>9535</v>
      </c>
      <c r="D28412" s="1" t="s">
        <v>9537</v>
      </c>
    </row>
    <row r="28413">
      <c r="A28413" s="1" t="s">
        <v>43226</v>
      </c>
      <c r="B28413" s="2" t="s">
        <v>43227</v>
      </c>
      <c r="C28413" s="1" t="s">
        <v>9535</v>
      </c>
      <c r="D28413" s="1" t="s">
        <v>9537</v>
      </c>
    </row>
    <row r="28414">
      <c r="A28414" s="1" t="s">
        <v>43228</v>
      </c>
      <c r="B28414" s="2" t="s">
        <v>43065</v>
      </c>
      <c r="C28414" s="1" t="s">
        <v>9535</v>
      </c>
      <c r="D28414" s="1" t="s">
        <v>9537</v>
      </c>
    </row>
    <row r="28415">
      <c r="A28415" s="1" t="s">
        <v>43229</v>
      </c>
      <c r="B28415" s="2" t="s">
        <v>43067</v>
      </c>
      <c r="C28415" s="1" t="s">
        <v>9535</v>
      </c>
      <c r="D28415" s="1" t="s">
        <v>9537</v>
      </c>
    </row>
    <row r="28416">
      <c r="A28416" s="1" t="s">
        <v>43230</v>
      </c>
      <c r="B28416" s="2" t="s">
        <v>43231</v>
      </c>
      <c r="C28416" s="1" t="s">
        <v>9535</v>
      </c>
      <c r="D28416" s="1" t="s">
        <v>9537</v>
      </c>
    </row>
    <row r="28417">
      <c r="A28417" s="1" t="s">
        <v>43232</v>
      </c>
      <c r="B28417" s="2" t="s">
        <v>43233</v>
      </c>
      <c r="C28417" s="1" t="s">
        <v>9535</v>
      </c>
      <c r="D28417" s="1" t="s">
        <v>9537</v>
      </c>
    </row>
    <row r="28418">
      <c r="A28418" s="1" t="s">
        <v>43234</v>
      </c>
      <c r="B28418" s="2" t="s">
        <v>43073</v>
      </c>
      <c r="C28418" s="1" t="s">
        <v>9535</v>
      </c>
      <c r="D28418" s="1" t="s">
        <v>9537</v>
      </c>
    </row>
    <row r="28419">
      <c r="A28419" s="1" t="s">
        <v>43235</v>
      </c>
      <c r="B28419" s="2" t="s">
        <v>43236</v>
      </c>
      <c r="C28419" s="1" t="s">
        <v>9535</v>
      </c>
      <c r="D28419" s="1" t="s">
        <v>9537</v>
      </c>
    </row>
    <row r="28420">
      <c r="A28420" s="1" t="s">
        <v>43237</v>
      </c>
      <c r="B28420" s="2" t="s">
        <v>43238</v>
      </c>
      <c r="C28420" s="1" t="s">
        <v>9535</v>
      </c>
      <c r="D28420" s="1" t="s">
        <v>9537</v>
      </c>
    </row>
    <row r="28421">
      <c r="A28421" s="1" t="s">
        <v>43239</v>
      </c>
      <c r="B28421" s="2" t="s">
        <v>43079</v>
      </c>
      <c r="C28421" s="1" t="s">
        <v>9535</v>
      </c>
      <c r="D28421" s="1" t="s">
        <v>9537</v>
      </c>
    </row>
    <row r="28422">
      <c r="A28422" s="1" t="s">
        <v>43240</v>
      </c>
      <c r="B28422" s="2" t="s">
        <v>43241</v>
      </c>
      <c r="C28422" s="1" t="s">
        <v>9535</v>
      </c>
      <c r="D28422" s="1" t="s">
        <v>9537</v>
      </c>
    </row>
    <row r="28423">
      <c r="A28423" s="1" t="s">
        <v>43242</v>
      </c>
      <c r="B28423" s="2" t="s">
        <v>43243</v>
      </c>
      <c r="C28423" s="1" t="s">
        <v>9535</v>
      </c>
      <c r="D28423" s="1" t="s">
        <v>9537</v>
      </c>
    </row>
    <row r="28424">
      <c r="A28424" s="1" t="s">
        <v>9542</v>
      </c>
      <c r="B28424" s="2" t="s">
        <v>7</v>
      </c>
      <c r="C28424" s="1" t="s">
        <v>9544</v>
      </c>
      <c r="D28424" s="1" t="s">
        <v>9546</v>
      </c>
    </row>
    <row r="28425">
      <c r="A28425" s="1" t="s">
        <v>43244</v>
      </c>
      <c r="B28425" s="2" t="s">
        <v>14104</v>
      </c>
      <c r="C28425" s="1" t="s">
        <v>9544</v>
      </c>
      <c r="D28425" s="1" t="s">
        <v>9546</v>
      </c>
    </row>
    <row r="28426">
      <c r="A28426" s="1" t="s">
        <v>43245</v>
      </c>
      <c r="B28426" s="2" t="s">
        <v>43246</v>
      </c>
      <c r="C28426" s="1" t="s">
        <v>9544</v>
      </c>
      <c r="D28426" s="1" t="s">
        <v>9546</v>
      </c>
    </row>
    <row r="28427">
      <c r="A28427" s="1" t="s">
        <v>43247</v>
      </c>
      <c r="B28427" s="2" t="s">
        <v>43248</v>
      </c>
      <c r="C28427" s="1" t="s">
        <v>9544</v>
      </c>
      <c r="D28427" s="1" t="s">
        <v>9546</v>
      </c>
    </row>
    <row r="28428">
      <c r="A28428" s="1" t="s">
        <v>43249</v>
      </c>
      <c r="B28428" s="2" t="s">
        <v>43250</v>
      </c>
      <c r="C28428" s="1" t="s">
        <v>9544</v>
      </c>
      <c r="D28428" s="1" t="s">
        <v>9546</v>
      </c>
    </row>
    <row r="28429">
      <c r="A28429" s="1" t="s">
        <v>43251</v>
      </c>
      <c r="B28429" s="2" t="s">
        <v>43252</v>
      </c>
      <c r="C28429" s="1" t="s">
        <v>9544</v>
      </c>
      <c r="D28429" s="1" t="s">
        <v>9546</v>
      </c>
    </row>
    <row r="28430">
      <c r="A28430" s="1" t="s">
        <v>43253</v>
      </c>
      <c r="B28430" s="2" t="s">
        <v>43254</v>
      </c>
      <c r="C28430" s="1" t="s">
        <v>9544</v>
      </c>
      <c r="D28430" s="1" t="s">
        <v>9546</v>
      </c>
    </row>
    <row r="28431">
      <c r="A28431" s="1" t="s">
        <v>43255</v>
      </c>
      <c r="B28431" s="2" t="s">
        <v>43256</v>
      </c>
      <c r="C28431" s="1" t="s">
        <v>9544</v>
      </c>
      <c r="D28431" s="1" t="s">
        <v>9546</v>
      </c>
    </row>
    <row r="28432">
      <c r="A28432" s="1" t="s">
        <v>43257</v>
      </c>
      <c r="B28432" s="2" t="s">
        <v>43258</v>
      </c>
      <c r="C28432" s="1" t="s">
        <v>9544</v>
      </c>
      <c r="D28432" s="1" t="s">
        <v>9546</v>
      </c>
    </row>
    <row r="28433">
      <c r="A28433" s="1" t="s">
        <v>43259</v>
      </c>
      <c r="B28433" s="2" t="s">
        <v>43260</v>
      </c>
      <c r="C28433" s="1" t="s">
        <v>9544</v>
      </c>
      <c r="D28433" s="1" t="s">
        <v>9546</v>
      </c>
    </row>
    <row r="28434">
      <c r="A28434" s="1" t="s">
        <v>43261</v>
      </c>
      <c r="B28434" s="2" t="s">
        <v>43262</v>
      </c>
      <c r="C28434" s="1" t="s">
        <v>9544</v>
      </c>
      <c r="D28434" s="1" t="s">
        <v>9546</v>
      </c>
    </row>
    <row r="28435">
      <c r="A28435" s="1" t="s">
        <v>43263</v>
      </c>
      <c r="B28435" s="2" t="s">
        <v>43264</v>
      </c>
      <c r="C28435" s="1" t="s">
        <v>9544</v>
      </c>
      <c r="D28435" s="1" t="s">
        <v>9546</v>
      </c>
    </row>
    <row r="28436">
      <c r="A28436" s="1" t="s">
        <v>43265</v>
      </c>
      <c r="B28436" s="2" t="s">
        <v>43266</v>
      </c>
      <c r="C28436" s="1" t="s">
        <v>9544</v>
      </c>
      <c r="D28436" s="1" t="s">
        <v>9546</v>
      </c>
    </row>
    <row r="28437">
      <c r="A28437" s="1" t="s">
        <v>43267</v>
      </c>
      <c r="B28437" s="2" t="s">
        <v>43268</v>
      </c>
      <c r="C28437" s="1" t="s">
        <v>9544</v>
      </c>
      <c r="D28437" s="1" t="s">
        <v>9546</v>
      </c>
    </row>
    <row r="28438">
      <c r="A28438" s="1" t="s">
        <v>43269</v>
      </c>
      <c r="B28438" s="2" t="s">
        <v>43270</v>
      </c>
      <c r="C28438" s="1" t="s">
        <v>9544</v>
      </c>
      <c r="D28438" s="1" t="s">
        <v>9546</v>
      </c>
    </row>
    <row r="28439">
      <c r="A28439" s="11"/>
      <c r="C28439" s="11"/>
      <c r="D28439" s="11"/>
    </row>
    <row r="28440">
      <c r="A28440" s="11"/>
      <c r="C28440" s="11"/>
      <c r="D2844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98.38"/>
    <col customWidth="1" min="5" max="5" width="45.5"/>
  </cols>
  <sheetData>
    <row r="1">
      <c r="A1" s="2" t="s">
        <v>0</v>
      </c>
      <c r="B1" s="2" t="s">
        <v>2</v>
      </c>
      <c r="C1" s="5" t="s">
        <v>4</v>
      </c>
      <c r="D1" s="2" t="s">
        <v>5</v>
      </c>
      <c r="E1" s="2" t="s">
        <v>32</v>
      </c>
      <c r="F1" s="2" t="s">
        <v>36</v>
      </c>
    </row>
    <row r="2">
      <c r="A2" s="6" t="s">
        <v>40</v>
      </c>
      <c r="B2" s="6" t="s">
        <v>7</v>
      </c>
      <c r="C2" s="7" t="s">
        <v>48</v>
      </c>
      <c r="D2" s="6" t="s">
        <v>51</v>
      </c>
      <c r="E2" s="8" t="s">
        <v>11</v>
      </c>
      <c r="F2" s="2" t="s">
        <v>71</v>
      </c>
    </row>
    <row r="3">
      <c r="A3" s="6" t="s">
        <v>6</v>
      </c>
      <c r="B3" s="6" t="s">
        <v>7</v>
      </c>
      <c r="C3" s="7" t="s">
        <v>8</v>
      </c>
      <c r="D3" s="6" t="s">
        <v>9</v>
      </c>
      <c r="E3" s="8" t="s">
        <v>78</v>
      </c>
      <c r="F3" s="6"/>
    </row>
    <row r="4">
      <c r="A4" s="6" t="s">
        <v>84</v>
      </c>
      <c r="B4" s="6" t="s">
        <v>7</v>
      </c>
      <c r="C4" s="7" t="s">
        <v>87</v>
      </c>
      <c r="D4" s="6" t="s">
        <v>88</v>
      </c>
      <c r="E4" s="8" t="s">
        <v>78</v>
      </c>
      <c r="F4" s="6"/>
    </row>
    <row r="5">
      <c r="A5" s="6" t="s">
        <v>98</v>
      </c>
      <c r="B5" s="6" t="s">
        <v>7</v>
      </c>
      <c r="C5" s="7" t="s">
        <v>102</v>
      </c>
      <c r="D5" s="6" t="s">
        <v>104</v>
      </c>
      <c r="E5" s="8" t="s">
        <v>78</v>
      </c>
      <c r="F5" s="6"/>
    </row>
    <row r="6">
      <c r="A6" s="6" t="s">
        <v>113</v>
      </c>
      <c r="B6" s="6" t="s">
        <v>7</v>
      </c>
      <c r="C6" s="7" t="s">
        <v>117</v>
      </c>
      <c r="D6" s="6" t="s">
        <v>119</v>
      </c>
      <c r="E6" s="8" t="s">
        <v>78</v>
      </c>
      <c r="F6" s="6"/>
    </row>
    <row r="7">
      <c r="A7" s="6" t="s">
        <v>128</v>
      </c>
      <c r="B7" s="6" t="s">
        <v>7</v>
      </c>
      <c r="C7" s="7" t="s">
        <v>134</v>
      </c>
      <c r="D7" s="6" t="s">
        <v>136</v>
      </c>
      <c r="E7" s="8" t="s">
        <v>78</v>
      </c>
      <c r="F7" s="2" t="s">
        <v>71</v>
      </c>
    </row>
    <row r="8">
      <c r="A8" s="6" t="s">
        <v>145</v>
      </c>
      <c r="B8" s="6" t="s">
        <v>7</v>
      </c>
      <c r="C8" s="7" t="s">
        <v>146</v>
      </c>
      <c r="D8" s="6" t="s">
        <v>149</v>
      </c>
      <c r="E8" s="8" t="s">
        <v>78</v>
      </c>
      <c r="F8" s="6"/>
    </row>
    <row r="9">
      <c r="A9" s="6" t="s">
        <v>156</v>
      </c>
      <c r="B9" s="6" t="s">
        <v>7</v>
      </c>
      <c r="C9" s="7" t="s">
        <v>157</v>
      </c>
      <c r="D9" s="6" t="s">
        <v>159</v>
      </c>
      <c r="E9" s="8" t="s">
        <v>78</v>
      </c>
      <c r="F9" s="6"/>
    </row>
    <row r="10">
      <c r="A10" s="6" t="s">
        <v>164</v>
      </c>
      <c r="B10" s="6" t="s">
        <v>7</v>
      </c>
      <c r="C10" s="7" t="s">
        <v>165</v>
      </c>
      <c r="D10" s="6" t="s">
        <v>166</v>
      </c>
      <c r="E10" s="8" t="s">
        <v>78</v>
      </c>
      <c r="F10" s="6"/>
    </row>
    <row r="11">
      <c r="A11" s="6" t="s">
        <v>169</v>
      </c>
      <c r="B11" s="6" t="s">
        <v>7</v>
      </c>
      <c r="C11" s="7" t="s">
        <v>170</v>
      </c>
      <c r="D11" s="6" t="s">
        <v>171</v>
      </c>
      <c r="E11" s="8" t="s">
        <v>78</v>
      </c>
      <c r="F11" s="6"/>
    </row>
    <row r="12">
      <c r="A12" s="6" t="s">
        <v>175</v>
      </c>
      <c r="B12" s="6" t="s">
        <v>176</v>
      </c>
      <c r="C12" s="7" t="s">
        <v>177</v>
      </c>
      <c r="D12" s="6" t="s">
        <v>178</v>
      </c>
      <c r="E12" s="8" t="s">
        <v>11</v>
      </c>
      <c r="F12" s="6"/>
    </row>
    <row r="13">
      <c r="A13" s="6" t="s">
        <v>182</v>
      </c>
      <c r="B13" s="6" t="s">
        <v>176</v>
      </c>
      <c r="C13" s="5" t="s">
        <v>183</v>
      </c>
      <c r="D13" s="6" t="s">
        <v>184</v>
      </c>
      <c r="E13" s="8" t="s">
        <v>78</v>
      </c>
      <c r="F13" s="6"/>
    </row>
    <row r="14">
      <c r="A14" s="6" t="s">
        <v>189</v>
      </c>
      <c r="B14" s="6" t="s">
        <v>176</v>
      </c>
      <c r="C14" s="7" t="s">
        <v>190</v>
      </c>
      <c r="D14" s="6" t="s">
        <v>191</v>
      </c>
      <c r="E14" s="8" t="s">
        <v>78</v>
      </c>
      <c r="F14" s="6"/>
    </row>
    <row r="15">
      <c r="A15" s="6" t="s">
        <v>194</v>
      </c>
      <c r="B15" s="6" t="s">
        <v>176</v>
      </c>
      <c r="C15" s="7" t="s">
        <v>195</v>
      </c>
      <c r="D15" s="6" t="s">
        <v>197</v>
      </c>
      <c r="E15" s="8" t="s">
        <v>78</v>
      </c>
      <c r="F15" s="6"/>
    </row>
    <row r="16">
      <c r="A16" s="6" t="s">
        <v>200</v>
      </c>
      <c r="B16" s="6" t="s">
        <v>176</v>
      </c>
      <c r="C16" s="7" t="s">
        <v>203</v>
      </c>
      <c r="D16" s="6" t="s">
        <v>204</v>
      </c>
      <c r="E16" s="8" t="s">
        <v>78</v>
      </c>
      <c r="F16" s="6"/>
    </row>
    <row r="17">
      <c r="A17" s="6" t="s">
        <v>207</v>
      </c>
      <c r="B17" s="6" t="s">
        <v>176</v>
      </c>
      <c r="C17" s="7" t="s">
        <v>209</v>
      </c>
      <c r="D17" s="6" t="s">
        <v>211</v>
      </c>
      <c r="E17" s="8" t="s">
        <v>78</v>
      </c>
      <c r="F17" s="6"/>
    </row>
    <row r="18">
      <c r="A18" s="6" t="s">
        <v>212</v>
      </c>
      <c r="B18" s="6" t="s">
        <v>176</v>
      </c>
      <c r="C18" s="7" t="s">
        <v>213</v>
      </c>
      <c r="D18" s="6" t="s">
        <v>215</v>
      </c>
      <c r="E18" s="8" t="s">
        <v>78</v>
      </c>
      <c r="F18" s="6"/>
    </row>
    <row r="19">
      <c r="A19" s="6" t="s">
        <v>218</v>
      </c>
      <c r="B19" s="6" t="s">
        <v>176</v>
      </c>
      <c r="C19" s="7" t="s">
        <v>219</v>
      </c>
      <c r="D19" s="6" t="s">
        <v>220</v>
      </c>
      <c r="E19" s="8" t="s">
        <v>78</v>
      </c>
      <c r="F19" s="6"/>
    </row>
    <row r="20">
      <c r="A20" s="6" t="s">
        <v>223</v>
      </c>
      <c r="B20" s="6" t="s">
        <v>176</v>
      </c>
      <c r="C20" s="7" t="s">
        <v>224</v>
      </c>
      <c r="D20" s="6" t="s">
        <v>225</v>
      </c>
      <c r="E20" s="8" t="s">
        <v>78</v>
      </c>
      <c r="F20" s="6"/>
    </row>
    <row r="21">
      <c r="A21" s="6" t="s">
        <v>227</v>
      </c>
      <c r="B21" s="6" t="s">
        <v>176</v>
      </c>
      <c r="C21" s="7" t="s">
        <v>229</v>
      </c>
      <c r="D21" s="6" t="s">
        <v>230</v>
      </c>
      <c r="E21" s="8" t="s">
        <v>78</v>
      </c>
      <c r="F21" s="6"/>
    </row>
    <row r="22">
      <c r="A22" s="6" t="s">
        <v>232</v>
      </c>
      <c r="B22" s="6" t="s">
        <v>234</v>
      </c>
      <c r="C22" s="7" t="s">
        <v>91</v>
      </c>
      <c r="D22" s="6" t="s">
        <v>235</v>
      </c>
      <c r="E22" s="8" t="s">
        <v>11</v>
      </c>
      <c r="F22" s="2" t="s">
        <v>71</v>
      </c>
    </row>
    <row r="23">
      <c r="A23" s="6" t="s">
        <v>238</v>
      </c>
      <c r="B23" s="6" t="s">
        <v>7</v>
      </c>
      <c r="C23" s="7" t="s">
        <v>18</v>
      </c>
      <c r="D23" s="6" t="s">
        <v>240</v>
      </c>
      <c r="E23" s="8" t="s">
        <v>241</v>
      </c>
      <c r="F23" s="2" t="s">
        <v>71</v>
      </c>
    </row>
    <row r="24">
      <c r="A24" s="6" t="s">
        <v>243</v>
      </c>
      <c r="B24" s="6" t="s">
        <v>7</v>
      </c>
      <c r="C24" s="7" t="s">
        <v>245</v>
      </c>
      <c r="D24" s="6" t="s">
        <v>246</v>
      </c>
      <c r="E24" s="8" t="s">
        <v>11</v>
      </c>
      <c r="F24" s="6"/>
    </row>
    <row r="25">
      <c r="A25" s="6" t="s">
        <v>249</v>
      </c>
      <c r="B25" s="6" t="s">
        <v>7</v>
      </c>
      <c r="C25" s="7" t="s">
        <v>250</v>
      </c>
      <c r="D25" s="6" t="s">
        <v>251</v>
      </c>
      <c r="E25" s="8" t="s">
        <v>253</v>
      </c>
      <c r="F25" s="6"/>
    </row>
    <row r="26">
      <c r="A26" s="6" t="s">
        <v>255</v>
      </c>
      <c r="B26" s="6" t="s">
        <v>7</v>
      </c>
      <c r="C26" s="7" t="s">
        <v>256</v>
      </c>
      <c r="D26" s="6" t="s">
        <v>258</v>
      </c>
      <c r="E26" s="8" t="s">
        <v>253</v>
      </c>
      <c r="F26" s="6"/>
    </row>
    <row r="27">
      <c r="A27" s="6" t="s">
        <v>261</v>
      </c>
      <c r="B27" s="6" t="s">
        <v>7</v>
      </c>
      <c r="C27" s="7" t="s">
        <v>262</v>
      </c>
      <c r="D27" s="6" t="s">
        <v>263</v>
      </c>
      <c r="E27" s="8" t="s">
        <v>253</v>
      </c>
      <c r="F27" s="6"/>
    </row>
    <row r="28">
      <c r="A28" s="6" t="s">
        <v>266</v>
      </c>
      <c r="B28" s="6" t="s">
        <v>7</v>
      </c>
      <c r="C28" s="7" t="s">
        <v>267</v>
      </c>
      <c r="D28" s="6" t="s">
        <v>269</v>
      </c>
      <c r="E28" s="8" t="s">
        <v>241</v>
      </c>
      <c r="F28" s="6"/>
    </row>
    <row r="29">
      <c r="A29" s="6" t="s">
        <v>271</v>
      </c>
      <c r="B29" s="6" t="s">
        <v>7</v>
      </c>
      <c r="C29" s="7" t="s">
        <v>272</v>
      </c>
      <c r="D29" s="6" t="s">
        <v>274</v>
      </c>
      <c r="E29" s="8" t="s">
        <v>241</v>
      </c>
      <c r="F29" s="6"/>
    </row>
    <row r="30">
      <c r="A30" s="6" t="s">
        <v>277</v>
      </c>
      <c r="B30" s="6" t="s">
        <v>7</v>
      </c>
      <c r="C30" s="7" t="s">
        <v>278</v>
      </c>
      <c r="D30" s="6" t="s">
        <v>280</v>
      </c>
      <c r="E30" s="8" t="s">
        <v>253</v>
      </c>
      <c r="F30" s="6"/>
    </row>
    <row r="31">
      <c r="A31" s="6" t="s">
        <v>283</v>
      </c>
      <c r="B31" s="6" t="s">
        <v>7</v>
      </c>
      <c r="C31" s="7" t="s">
        <v>285</v>
      </c>
      <c r="D31" s="6" t="s">
        <v>286</v>
      </c>
      <c r="E31" s="8" t="s">
        <v>241</v>
      </c>
      <c r="F31" s="6"/>
    </row>
    <row r="32">
      <c r="A32" s="6" t="s">
        <v>289</v>
      </c>
      <c r="B32" s="6" t="s">
        <v>290</v>
      </c>
      <c r="C32" s="7" t="s">
        <v>292</v>
      </c>
      <c r="D32" s="6" t="s">
        <v>293</v>
      </c>
      <c r="E32" s="8" t="s">
        <v>253</v>
      </c>
      <c r="F32" s="6"/>
    </row>
    <row r="33">
      <c r="A33" s="6" t="s">
        <v>295</v>
      </c>
      <c r="B33" s="6" t="s">
        <v>290</v>
      </c>
      <c r="C33" s="7" t="s">
        <v>297</v>
      </c>
      <c r="D33" s="6" t="s">
        <v>298</v>
      </c>
      <c r="E33" s="8" t="s">
        <v>241</v>
      </c>
      <c r="F33" s="6"/>
    </row>
    <row r="34">
      <c r="A34" s="6" t="s">
        <v>301</v>
      </c>
      <c r="B34" s="6" t="s">
        <v>7</v>
      </c>
      <c r="C34" s="7" t="s">
        <v>302</v>
      </c>
      <c r="D34" s="6" t="s">
        <v>304</v>
      </c>
      <c r="E34" s="8" t="s">
        <v>253</v>
      </c>
      <c r="F34" s="6"/>
    </row>
    <row r="35">
      <c r="A35" s="6" t="s">
        <v>305</v>
      </c>
      <c r="B35" s="6" t="s">
        <v>290</v>
      </c>
      <c r="C35" s="7" t="s">
        <v>306</v>
      </c>
      <c r="D35" s="6" t="s">
        <v>307</v>
      </c>
      <c r="E35" s="8" t="s">
        <v>253</v>
      </c>
      <c r="F35" s="6"/>
    </row>
    <row r="36">
      <c r="A36" s="6" t="s">
        <v>308</v>
      </c>
      <c r="B36" s="6" t="s">
        <v>7</v>
      </c>
      <c r="C36" s="7" t="s">
        <v>309</v>
      </c>
      <c r="D36" s="6" t="s">
        <v>311</v>
      </c>
      <c r="E36" s="8" t="s">
        <v>78</v>
      </c>
      <c r="F36" s="6"/>
    </row>
    <row r="37">
      <c r="A37" s="6" t="s">
        <v>314</v>
      </c>
      <c r="B37" s="6" t="s">
        <v>7</v>
      </c>
      <c r="C37" s="7" t="s">
        <v>315</v>
      </c>
      <c r="D37" s="6" t="s">
        <v>317</v>
      </c>
      <c r="E37" s="8" t="s">
        <v>253</v>
      </c>
      <c r="F37" s="6"/>
    </row>
    <row r="38">
      <c r="A38" s="6" t="s">
        <v>320</v>
      </c>
      <c r="B38" s="6" t="s">
        <v>290</v>
      </c>
      <c r="C38" s="7" t="s">
        <v>321</v>
      </c>
      <c r="D38" s="6" t="s">
        <v>323</v>
      </c>
      <c r="E38" s="8" t="s">
        <v>78</v>
      </c>
      <c r="F38" s="6"/>
    </row>
    <row r="39">
      <c r="A39" s="6" t="s">
        <v>326</v>
      </c>
      <c r="B39" s="6" t="s">
        <v>290</v>
      </c>
      <c r="C39" s="7" t="s">
        <v>328</v>
      </c>
      <c r="D39" s="6" t="s">
        <v>329</v>
      </c>
      <c r="E39" s="8" t="s">
        <v>253</v>
      </c>
      <c r="F39" s="6"/>
    </row>
    <row r="40">
      <c r="A40" s="6" t="s">
        <v>332</v>
      </c>
      <c r="B40" s="6" t="s">
        <v>7</v>
      </c>
      <c r="C40" s="7" t="s">
        <v>333</v>
      </c>
      <c r="D40" s="6" t="s">
        <v>335</v>
      </c>
      <c r="E40" s="8" t="s">
        <v>337</v>
      </c>
      <c r="F40" s="6"/>
    </row>
    <row r="41">
      <c r="A41" s="6" t="s">
        <v>339</v>
      </c>
      <c r="B41" s="6" t="s">
        <v>7</v>
      </c>
      <c r="C41" s="7" t="s">
        <v>340</v>
      </c>
      <c r="D41" s="6" t="s">
        <v>342</v>
      </c>
      <c r="E41" s="8" t="s">
        <v>241</v>
      </c>
      <c r="F41" s="2" t="s">
        <v>71</v>
      </c>
    </row>
    <row r="42">
      <c r="A42" s="6" t="s">
        <v>345</v>
      </c>
      <c r="B42" s="6" t="s">
        <v>7</v>
      </c>
      <c r="C42" s="7" t="s">
        <v>96</v>
      </c>
      <c r="D42" s="6" t="s">
        <v>347</v>
      </c>
      <c r="E42" s="8" t="s">
        <v>241</v>
      </c>
      <c r="F42" s="2" t="s">
        <v>71</v>
      </c>
    </row>
    <row r="43">
      <c r="A43" s="6" t="s">
        <v>349</v>
      </c>
      <c r="B43" s="6" t="s">
        <v>7</v>
      </c>
      <c r="C43" s="7" t="s">
        <v>351</v>
      </c>
      <c r="D43" s="6" t="s">
        <v>352</v>
      </c>
      <c r="E43" s="8" t="s">
        <v>78</v>
      </c>
      <c r="F43" s="6"/>
    </row>
    <row r="44">
      <c r="A44" s="6" t="s">
        <v>355</v>
      </c>
      <c r="B44" s="6" t="s">
        <v>7</v>
      </c>
      <c r="C44" s="7" t="s">
        <v>356</v>
      </c>
      <c r="D44" s="6" t="s">
        <v>358</v>
      </c>
      <c r="E44" s="8" t="s">
        <v>78</v>
      </c>
      <c r="F44" s="6"/>
    </row>
    <row r="45">
      <c r="A45" s="6" t="s">
        <v>360</v>
      </c>
      <c r="B45" s="6" t="s">
        <v>7</v>
      </c>
      <c r="C45" s="7" t="s">
        <v>361</v>
      </c>
      <c r="D45" s="6" t="s">
        <v>362</v>
      </c>
      <c r="E45" s="8" t="s">
        <v>78</v>
      </c>
      <c r="F45" s="6"/>
    </row>
    <row r="46">
      <c r="A46" s="6" t="s">
        <v>364</v>
      </c>
      <c r="B46" s="6" t="s">
        <v>7</v>
      </c>
      <c r="C46" s="7" t="s">
        <v>366</v>
      </c>
      <c r="D46" s="6" t="s">
        <v>367</v>
      </c>
      <c r="E46" s="8" t="s">
        <v>253</v>
      </c>
      <c r="F46" s="6"/>
    </row>
    <row r="47">
      <c r="A47" s="6" t="s">
        <v>370</v>
      </c>
      <c r="B47" s="6" t="s">
        <v>7</v>
      </c>
      <c r="C47" s="7" t="s">
        <v>143</v>
      </c>
      <c r="D47" s="6" t="s">
        <v>372</v>
      </c>
      <c r="E47" s="8" t="s">
        <v>11</v>
      </c>
      <c r="F47" s="2" t="s">
        <v>71</v>
      </c>
    </row>
    <row r="48">
      <c r="A48" s="6" t="s">
        <v>374</v>
      </c>
      <c r="B48" s="6" t="s">
        <v>7</v>
      </c>
      <c r="C48" s="7" t="s">
        <v>376</v>
      </c>
      <c r="D48" s="6" t="s">
        <v>377</v>
      </c>
      <c r="E48" s="8" t="s">
        <v>11</v>
      </c>
      <c r="F48" s="6"/>
    </row>
    <row r="49">
      <c r="A49" s="6" t="s">
        <v>380</v>
      </c>
      <c r="B49" s="6" t="s">
        <v>7</v>
      </c>
      <c r="C49" s="7" t="s">
        <v>150</v>
      </c>
      <c r="D49" s="6" t="s">
        <v>382</v>
      </c>
      <c r="E49" s="8" t="s">
        <v>384</v>
      </c>
      <c r="F49" s="2" t="s">
        <v>71</v>
      </c>
    </row>
    <row r="50">
      <c r="A50" s="6" t="s">
        <v>386</v>
      </c>
      <c r="B50" s="6" t="s">
        <v>7</v>
      </c>
      <c r="C50" s="7" t="s">
        <v>387</v>
      </c>
      <c r="D50" s="6" t="s">
        <v>389</v>
      </c>
      <c r="E50" s="8" t="s">
        <v>390</v>
      </c>
      <c r="F50" s="2" t="s">
        <v>71</v>
      </c>
    </row>
    <row r="51">
      <c r="A51" s="6" t="s">
        <v>392</v>
      </c>
      <c r="B51" s="6" t="s">
        <v>7</v>
      </c>
      <c r="C51" s="7" t="s">
        <v>394</v>
      </c>
      <c r="D51" s="6" t="s">
        <v>395</v>
      </c>
      <c r="E51" s="8" t="s">
        <v>390</v>
      </c>
      <c r="F51" s="6"/>
    </row>
    <row r="52">
      <c r="A52" s="6" t="s">
        <v>398</v>
      </c>
      <c r="B52" s="6" t="s">
        <v>7</v>
      </c>
      <c r="C52" s="7" t="s">
        <v>399</v>
      </c>
      <c r="D52" s="6" t="s">
        <v>401</v>
      </c>
      <c r="E52" s="8" t="s">
        <v>390</v>
      </c>
      <c r="F52" s="6"/>
    </row>
    <row r="53">
      <c r="A53" s="6" t="s">
        <v>403</v>
      </c>
      <c r="B53" s="6" t="s">
        <v>7</v>
      </c>
      <c r="C53" s="7" t="s">
        <v>404</v>
      </c>
      <c r="D53" s="6" t="s">
        <v>405</v>
      </c>
      <c r="E53" s="8" t="s">
        <v>390</v>
      </c>
      <c r="F53" s="6"/>
    </row>
    <row r="54">
      <c r="A54" s="6" t="s">
        <v>429</v>
      </c>
      <c r="B54" s="6" t="s">
        <v>7</v>
      </c>
      <c r="C54" s="7" t="s">
        <v>431</v>
      </c>
      <c r="D54" s="6" t="s">
        <v>433</v>
      </c>
      <c r="E54" s="8" t="s">
        <v>390</v>
      </c>
      <c r="F54" s="6"/>
    </row>
    <row r="55">
      <c r="A55" s="6" t="s">
        <v>437</v>
      </c>
      <c r="B55" s="6" t="s">
        <v>7</v>
      </c>
      <c r="C55" s="7" t="s">
        <v>438</v>
      </c>
      <c r="D55" s="6" t="s">
        <v>440</v>
      </c>
      <c r="E55" s="8" t="s">
        <v>390</v>
      </c>
      <c r="F55" s="6"/>
    </row>
    <row r="56">
      <c r="A56" s="6" t="s">
        <v>442</v>
      </c>
      <c r="B56" s="6" t="s">
        <v>7</v>
      </c>
      <c r="C56" s="7" t="s">
        <v>444</v>
      </c>
      <c r="D56" s="6" t="s">
        <v>445</v>
      </c>
      <c r="E56" s="8" t="s">
        <v>390</v>
      </c>
      <c r="F56" s="6"/>
    </row>
    <row r="57">
      <c r="A57" s="6" t="s">
        <v>448</v>
      </c>
      <c r="B57" s="6" t="s">
        <v>7</v>
      </c>
      <c r="C57" s="7" t="s">
        <v>450</v>
      </c>
      <c r="D57" s="6" t="s">
        <v>451</v>
      </c>
      <c r="E57" s="8" t="s">
        <v>390</v>
      </c>
      <c r="F57" s="6"/>
    </row>
    <row r="58">
      <c r="A58" s="6" t="s">
        <v>454</v>
      </c>
      <c r="B58" s="6" t="s">
        <v>7</v>
      </c>
      <c r="C58" s="7" t="s">
        <v>455</v>
      </c>
      <c r="D58" s="6" t="s">
        <v>457</v>
      </c>
      <c r="E58" s="8" t="s">
        <v>390</v>
      </c>
      <c r="F58" s="6"/>
    </row>
    <row r="59">
      <c r="A59" s="6" t="s">
        <v>460</v>
      </c>
      <c r="B59" s="6" t="s">
        <v>7</v>
      </c>
      <c r="C59" s="7" t="s">
        <v>462</v>
      </c>
      <c r="D59" s="6" t="s">
        <v>463</v>
      </c>
      <c r="E59" s="8" t="s">
        <v>390</v>
      </c>
      <c r="F59" s="6"/>
    </row>
    <row r="60">
      <c r="A60" s="6" t="s">
        <v>465</v>
      </c>
      <c r="B60" s="6" t="s">
        <v>7</v>
      </c>
      <c r="C60" s="7" t="s">
        <v>466</v>
      </c>
      <c r="D60" s="6" t="s">
        <v>468</v>
      </c>
      <c r="E60" s="8" t="s">
        <v>11</v>
      </c>
      <c r="F60" s="6"/>
    </row>
    <row r="61">
      <c r="A61" s="6" t="s">
        <v>471</v>
      </c>
      <c r="B61" s="6" t="s">
        <v>7</v>
      </c>
      <c r="C61" s="7" t="s">
        <v>473</v>
      </c>
      <c r="D61" s="6" t="s">
        <v>474</v>
      </c>
      <c r="E61" s="8" t="s">
        <v>476</v>
      </c>
      <c r="F61" s="2" t="s">
        <v>71</v>
      </c>
    </row>
    <row r="62">
      <c r="A62" s="6" t="s">
        <v>479</v>
      </c>
      <c r="B62" s="6" t="s">
        <v>7</v>
      </c>
      <c r="C62" s="7" t="s">
        <v>480</v>
      </c>
      <c r="D62" s="6" t="s">
        <v>482</v>
      </c>
      <c r="E62" s="8" t="s">
        <v>476</v>
      </c>
      <c r="F62" s="6"/>
    </row>
    <row r="63">
      <c r="A63" s="6" t="s">
        <v>485</v>
      </c>
      <c r="B63" s="6" t="s">
        <v>7</v>
      </c>
      <c r="C63" s="7" t="s">
        <v>486</v>
      </c>
      <c r="D63" s="6" t="s">
        <v>487</v>
      </c>
      <c r="E63" s="8" t="s">
        <v>384</v>
      </c>
      <c r="F63" s="6"/>
    </row>
    <row r="64">
      <c r="A64" s="6" t="s">
        <v>489</v>
      </c>
      <c r="B64" s="6" t="s">
        <v>7</v>
      </c>
      <c r="C64" s="7" t="s">
        <v>491</v>
      </c>
      <c r="D64" s="6" t="s">
        <v>492</v>
      </c>
      <c r="E64" s="8" t="s">
        <v>384</v>
      </c>
      <c r="F64" s="6"/>
    </row>
    <row r="65">
      <c r="A65" s="6" t="s">
        <v>494</v>
      </c>
      <c r="B65" s="6" t="s">
        <v>7</v>
      </c>
      <c r="C65" s="7" t="s">
        <v>496</v>
      </c>
      <c r="D65" s="6" t="s">
        <v>497</v>
      </c>
      <c r="E65" s="8" t="s">
        <v>384</v>
      </c>
      <c r="F65" s="6"/>
    </row>
    <row r="66">
      <c r="A66" s="6" t="s">
        <v>499</v>
      </c>
      <c r="B66" s="6" t="s">
        <v>7</v>
      </c>
      <c r="C66" s="7" t="s">
        <v>501</v>
      </c>
      <c r="D66" s="6" t="s">
        <v>502</v>
      </c>
      <c r="E66" s="8" t="s">
        <v>11</v>
      </c>
      <c r="F66" s="6"/>
    </row>
    <row r="67">
      <c r="A67" s="6" t="s">
        <v>504</v>
      </c>
      <c r="B67" s="6" t="s">
        <v>7</v>
      </c>
      <c r="C67" s="7" t="s">
        <v>506</v>
      </c>
      <c r="D67" s="6" t="s">
        <v>507</v>
      </c>
      <c r="E67" s="8" t="s">
        <v>11</v>
      </c>
      <c r="F67" s="6"/>
    </row>
    <row r="68">
      <c r="A68" s="6" t="s">
        <v>509</v>
      </c>
      <c r="B68" s="6" t="s">
        <v>7</v>
      </c>
      <c r="C68" s="7" t="s">
        <v>511</v>
      </c>
      <c r="D68" s="6" t="s">
        <v>512</v>
      </c>
      <c r="E68" s="8" t="s">
        <v>514</v>
      </c>
      <c r="F68" s="2" t="s">
        <v>71</v>
      </c>
    </row>
    <row r="69">
      <c r="A69" s="6" t="s">
        <v>516</v>
      </c>
      <c r="B69" s="6" t="s">
        <v>7</v>
      </c>
      <c r="C69" s="7" t="s">
        <v>517</v>
      </c>
      <c r="D69" s="6" t="s">
        <v>519</v>
      </c>
      <c r="E69" s="8" t="s">
        <v>476</v>
      </c>
      <c r="F69" s="6"/>
    </row>
    <row r="70">
      <c r="A70" s="6" t="s">
        <v>527</v>
      </c>
      <c r="B70" s="6" t="s">
        <v>7</v>
      </c>
      <c r="C70" s="7" t="s">
        <v>529</v>
      </c>
      <c r="D70" s="6" t="s">
        <v>530</v>
      </c>
      <c r="E70" s="8" t="s">
        <v>11</v>
      </c>
      <c r="F70" s="6"/>
    </row>
    <row r="71">
      <c r="A71" s="6" t="s">
        <v>532</v>
      </c>
      <c r="B71" s="6" t="s">
        <v>7</v>
      </c>
      <c r="C71" s="7" t="s">
        <v>534</v>
      </c>
      <c r="D71" s="6" t="s">
        <v>535</v>
      </c>
      <c r="E71" s="8" t="s">
        <v>11</v>
      </c>
      <c r="F71" s="6"/>
    </row>
    <row r="72">
      <c r="A72" s="6" t="s">
        <v>537</v>
      </c>
      <c r="B72" s="6" t="s">
        <v>7</v>
      </c>
      <c r="C72" s="7" t="s">
        <v>539</v>
      </c>
      <c r="D72" s="6" t="s">
        <v>540</v>
      </c>
      <c r="E72" s="8" t="s">
        <v>384</v>
      </c>
      <c r="F72" s="6"/>
    </row>
    <row r="73">
      <c r="A73" s="2" t="s">
        <v>543</v>
      </c>
      <c r="B73" s="2" t="s">
        <v>7</v>
      </c>
      <c r="C73" s="5" t="s">
        <v>539</v>
      </c>
      <c r="D73" s="2" t="s">
        <v>545</v>
      </c>
      <c r="E73" s="2" t="s">
        <v>384</v>
      </c>
      <c r="F73" s="6"/>
    </row>
    <row r="74">
      <c r="A74" s="6" t="s">
        <v>547</v>
      </c>
      <c r="B74" s="6" t="s">
        <v>7</v>
      </c>
      <c r="C74" s="7" t="s">
        <v>549</v>
      </c>
      <c r="D74" s="6" t="s">
        <v>550</v>
      </c>
      <c r="E74" s="8" t="s">
        <v>384</v>
      </c>
      <c r="F74" s="6"/>
    </row>
    <row r="75">
      <c r="A75" s="6" t="s">
        <v>553</v>
      </c>
      <c r="B75" s="6" t="s">
        <v>7</v>
      </c>
      <c r="C75" s="7" t="s">
        <v>555</v>
      </c>
      <c r="D75" s="6" t="s">
        <v>556</v>
      </c>
      <c r="E75" s="8" t="s">
        <v>11</v>
      </c>
      <c r="F75" s="6"/>
    </row>
    <row r="76">
      <c r="A76" s="6" t="s">
        <v>558</v>
      </c>
      <c r="B76" s="6" t="s">
        <v>7</v>
      </c>
      <c r="C76" s="7" t="s">
        <v>560</v>
      </c>
      <c r="D76" s="6" t="s">
        <v>561</v>
      </c>
      <c r="E76" s="8" t="s">
        <v>11</v>
      </c>
      <c r="F76" s="6"/>
    </row>
    <row r="77">
      <c r="A77" s="6" t="s">
        <v>564</v>
      </c>
      <c r="B77" s="6" t="s">
        <v>176</v>
      </c>
      <c r="C77" s="7" t="s">
        <v>565</v>
      </c>
      <c r="D77" s="6" t="s">
        <v>566</v>
      </c>
      <c r="E77" s="8" t="s">
        <v>11</v>
      </c>
      <c r="F77" s="6"/>
    </row>
    <row r="78">
      <c r="A78" s="6" t="s">
        <v>569</v>
      </c>
      <c r="B78" s="6" t="s">
        <v>176</v>
      </c>
      <c r="C78" s="7" t="s">
        <v>570</v>
      </c>
      <c r="D78" s="6" t="s">
        <v>571</v>
      </c>
      <c r="E78" s="8" t="s">
        <v>11</v>
      </c>
      <c r="F78" s="6"/>
    </row>
    <row r="79">
      <c r="A79" s="6" t="s">
        <v>574</v>
      </c>
      <c r="B79" s="6" t="s">
        <v>7</v>
      </c>
      <c r="C79" s="7" t="s">
        <v>576</v>
      </c>
      <c r="D79" s="6" t="s">
        <v>577</v>
      </c>
      <c r="E79" s="8" t="s">
        <v>11</v>
      </c>
      <c r="F79" s="6"/>
    </row>
    <row r="80">
      <c r="A80" s="6" t="s">
        <v>579</v>
      </c>
      <c r="B80" s="6" t="s">
        <v>7</v>
      </c>
      <c r="C80" s="7" t="s">
        <v>581</v>
      </c>
      <c r="D80" s="6" t="s">
        <v>582</v>
      </c>
      <c r="E80" s="8" t="s">
        <v>11</v>
      </c>
      <c r="F80" s="6"/>
    </row>
    <row r="81">
      <c r="A81" s="6" t="s">
        <v>585</v>
      </c>
      <c r="B81" s="6" t="s">
        <v>7</v>
      </c>
      <c r="C81" s="7" t="s">
        <v>586</v>
      </c>
      <c r="D81" s="6" t="s">
        <v>587</v>
      </c>
      <c r="E81" s="8" t="s">
        <v>78</v>
      </c>
      <c r="F81" s="6"/>
    </row>
    <row r="82">
      <c r="A82" s="6" t="s">
        <v>591</v>
      </c>
      <c r="B82" s="6" t="s">
        <v>7</v>
      </c>
      <c r="C82" s="7" t="s">
        <v>593</v>
      </c>
      <c r="D82" s="6" t="s">
        <v>594</v>
      </c>
      <c r="E82" s="8" t="s">
        <v>78</v>
      </c>
      <c r="F82" s="6"/>
    </row>
    <row r="83">
      <c r="A83" s="6" t="s">
        <v>595</v>
      </c>
      <c r="B83" s="6" t="s">
        <v>7</v>
      </c>
      <c r="C83" s="7" t="s">
        <v>597</v>
      </c>
      <c r="D83" s="6" t="s">
        <v>598</v>
      </c>
      <c r="E83" s="8" t="s">
        <v>78</v>
      </c>
      <c r="F83" s="6"/>
    </row>
    <row r="84">
      <c r="A84" s="6" t="s">
        <v>600</v>
      </c>
      <c r="B84" s="6" t="s">
        <v>7</v>
      </c>
      <c r="C84" s="7" t="s">
        <v>602</v>
      </c>
      <c r="D84" s="6" t="s">
        <v>603</v>
      </c>
      <c r="E84" s="8" t="s">
        <v>78</v>
      </c>
      <c r="F84" s="6"/>
    </row>
    <row r="85">
      <c r="A85" s="6" t="s">
        <v>606</v>
      </c>
      <c r="B85" s="6" t="s">
        <v>7</v>
      </c>
      <c r="C85" s="7" t="s">
        <v>608</v>
      </c>
      <c r="D85" s="6" t="s">
        <v>609</v>
      </c>
      <c r="E85" s="8" t="s">
        <v>78</v>
      </c>
      <c r="F85" s="6"/>
    </row>
    <row r="86">
      <c r="A86" s="6" t="s">
        <v>612</v>
      </c>
      <c r="B86" s="6" t="s">
        <v>7</v>
      </c>
      <c r="C86" s="7" t="s">
        <v>613</v>
      </c>
      <c r="D86" s="6" t="s">
        <v>615</v>
      </c>
      <c r="E86" s="8" t="s">
        <v>78</v>
      </c>
      <c r="F86" s="6"/>
    </row>
    <row r="87">
      <c r="A87" s="6" t="s">
        <v>618</v>
      </c>
      <c r="B87" s="6" t="s">
        <v>7</v>
      </c>
      <c r="C87" s="7" t="s">
        <v>620</v>
      </c>
      <c r="D87" s="6" t="s">
        <v>621</v>
      </c>
      <c r="E87" s="8" t="s">
        <v>78</v>
      </c>
      <c r="F87" s="6"/>
    </row>
    <row r="88">
      <c r="A88" s="6" t="s">
        <v>624</v>
      </c>
      <c r="B88" s="6" t="s">
        <v>7</v>
      </c>
      <c r="C88" s="7" t="s">
        <v>626</v>
      </c>
      <c r="D88" s="6" t="s">
        <v>627</v>
      </c>
      <c r="E88" s="8" t="s">
        <v>78</v>
      </c>
      <c r="F88" s="6"/>
    </row>
    <row r="89">
      <c r="A89" s="6" t="s">
        <v>630</v>
      </c>
      <c r="B89" s="6" t="s">
        <v>7</v>
      </c>
      <c r="C89" s="7" t="s">
        <v>632</v>
      </c>
      <c r="D89" s="6" t="s">
        <v>633</v>
      </c>
      <c r="E89" s="8" t="s">
        <v>78</v>
      </c>
      <c r="F89" s="6"/>
    </row>
    <row r="90">
      <c r="A90" s="6" t="s">
        <v>637</v>
      </c>
      <c r="B90" s="6" t="s">
        <v>7</v>
      </c>
      <c r="C90" s="7" t="s">
        <v>638</v>
      </c>
      <c r="D90" s="6" t="s">
        <v>640</v>
      </c>
      <c r="E90" s="8" t="s">
        <v>78</v>
      </c>
      <c r="F90" s="6"/>
    </row>
    <row r="91">
      <c r="A91" s="6" t="s">
        <v>643</v>
      </c>
      <c r="B91" s="6" t="s">
        <v>7</v>
      </c>
      <c r="C91" s="7" t="s">
        <v>644</v>
      </c>
      <c r="D91" s="6" t="s">
        <v>645</v>
      </c>
      <c r="E91" s="8" t="s">
        <v>78</v>
      </c>
      <c r="F91" s="6"/>
    </row>
    <row r="92">
      <c r="A92" s="6" t="s">
        <v>648</v>
      </c>
      <c r="B92" s="6" t="s">
        <v>7</v>
      </c>
      <c r="C92" s="7" t="s">
        <v>650</v>
      </c>
      <c r="D92" s="6" t="s">
        <v>651</v>
      </c>
      <c r="E92" s="8" t="s">
        <v>78</v>
      </c>
      <c r="F92" s="6"/>
    </row>
    <row r="93">
      <c r="A93" s="6" t="s">
        <v>653</v>
      </c>
      <c r="B93" s="6" t="s">
        <v>7</v>
      </c>
      <c r="C93" s="7" t="s">
        <v>655</v>
      </c>
      <c r="D93" s="6" t="s">
        <v>656</v>
      </c>
      <c r="E93" s="8" t="s">
        <v>78</v>
      </c>
      <c r="F93" s="6"/>
    </row>
    <row r="94">
      <c r="A94" s="6" t="s">
        <v>658</v>
      </c>
      <c r="B94" s="6" t="s">
        <v>7</v>
      </c>
      <c r="C94" s="7" t="s">
        <v>660</v>
      </c>
      <c r="D94" s="6" t="s">
        <v>661</v>
      </c>
      <c r="E94" s="8" t="s">
        <v>78</v>
      </c>
      <c r="F94" s="6"/>
    </row>
    <row r="95">
      <c r="A95" s="6" t="s">
        <v>664</v>
      </c>
      <c r="B95" s="6" t="s">
        <v>7</v>
      </c>
      <c r="C95" s="7" t="s">
        <v>666</v>
      </c>
      <c r="D95" s="6" t="s">
        <v>667</v>
      </c>
      <c r="E95" s="8" t="s">
        <v>78</v>
      </c>
      <c r="F95" s="6"/>
    </row>
    <row r="96">
      <c r="A96" s="6" t="s">
        <v>676</v>
      </c>
      <c r="B96" s="6" t="s">
        <v>7</v>
      </c>
      <c r="C96" s="7" t="s">
        <v>678</v>
      </c>
      <c r="D96" s="6" t="s">
        <v>679</v>
      </c>
      <c r="E96" s="8" t="s">
        <v>78</v>
      </c>
      <c r="F96" s="6"/>
    </row>
    <row r="97">
      <c r="A97" s="6" t="s">
        <v>683</v>
      </c>
      <c r="B97" s="6" t="s">
        <v>7</v>
      </c>
      <c r="C97" s="7" t="s">
        <v>686</v>
      </c>
      <c r="D97" s="6" t="s">
        <v>687</v>
      </c>
      <c r="E97" s="8" t="s">
        <v>78</v>
      </c>
      <c r="F97" s="6"/>
    </row>
    <row r="98">
      <c r="A98" s="6" t="s">
        <v>692</v>
      </c>
      <c r="B98" s="6" t="s">
        <v>7</v>
      </c>
      <c r="C98" s="7" t="s">
        <v>695</v>
      </c>
      <c r="D98" s="6" t="s">
        <v>696</v>
      </c>
      <c r="E98" s="8" t="s">
        <v>78</v>
      </c>
      <c r="F98" s="6"/>
    </row>
    <row r="99">
      <c r="A99" s="6" t="s">
        <v>701</v>
      </c>
      <c r="B99" s="6" t="s">
        <v>7</v>
      </c>
      <c r="C99" s="7" t="s">
        <v>706</v>
      </c>
      <c r="D99" s="6" t="s">
        <v>707</v>
      </c>
      <c r="E99" s="8" t="s">
        <v>710</v>
      </c>
      <c r="F99" s="6"/>
    </row>
    <row r="100">
      <c r="A100" s="6" t="s">
        <v>714</v>
      </c>
      <c r="B100" s="6" t="s">
        <v>7</v>
      </c>
      <c r="C100" s="7" t="s">
        <v>716</v>
      </c>
      <c r="D100" s="6" t="s">
        <v>718</v>
      </c>
      <c r="E100" s="8" t="s">
        <v>710</v>
      </c>
      <c r="F100" s="6"/>
    </row>
    <row r="101">
      <c r="A101" s="6" t="s">
        <v>721</v>
      </c>
      <c r="B101" s="6" t="s">
        <v>7</v>
      </c>
      <c r="C101" s="7" t="s">
        <v>723</v>
      </c>
      <c r="D101" s="6" t="s">
        <v>724</v>
      </c>
      <c r="E101" s="8" t="s">
        <v>11</v>
      </c>
      <c r="F101" s="6"/>
    </row>
    <row r="102">
      <c r="A102" s="6" t="s">
        <v>727</v>
      </c>
      <c r="B102" s="6" t="s">
        <v>7</v>
      </c>
      <c r="C102" s="7" t="s">
        <v>729</v>
      </c>
      <c r="D102" s="6" t="s">
        <v>730</v>
      </c>
      <c r="E102" s="8" t="s">
        <v>11</v>
      </c>
      <c r="F102" s="6"/>
    </row>
    <row r="103">
      <c r="A103" s="6" t="s">
        <v>735</v>
      </c>
      <c r="B103" s="6" t="s">
        <v>7</v>
      </c>
      <c r="C103" s="7" t="s">
        <v>738</v>
      </c>
      <c r="D103" s="6" t="s">
        <v>739</v>
      </c>
      <c r="E103" s="8" t="s">
        <v>741</v>
      </c>
      <c r="F103" s="2" t="s">
        <v>71</v>
      </c>
    </row>
    <row r="104">
      <c r="A104" s="6" t="s">
        <v>745</v>
      </c>
      <c r="B104" s="6" t="s">
        <v>7</v>
      </c>
      <c r="C104" s="7" t="s">
        <v>748</v>
      </c>
      <c r="D104" s="6" t="s">
        <v>750</v>
      </c>
      <c r="E104" s="8" t="s">
        <v>741</v>
      </c>
      <c r="F104" s="6"/>
    </row>
    <row r="105">
      <c r="A105" s="6" t="s">
        <v>756</v>
      </c>
      <c r="B105" s="6" t="s">
        <v>7</v>
      </c>
      <c r="C105" s="7" t="s">
        <v>759</v>
      </c>
      <c r="D105" s="6" t="s">
        <v>760</v>
      </c>
      <c r="E105" s="8" t="s">
        <v>763</v>
      </c>
      <c r="F105" s="6"/>
    </row>
    <row r="106">
      <c r="A106" s="6" t="s">
        <v>768</v>
      </c>
      <c r="B106" s="6" t="s">
        <v>7</v>
      </c>
      <c r="C106" s="7" t="s">
        <v>769</v>
      </c>
      <c r="D106" s="6" t="s">
        <v>770</v>
      </c>
      <c r="E106" s="8" t="s">
        <v>763</v>
      </c>
      <c r="F106" s="6"/>
    </row>
    <row r="107">
      <c r="A107" s="6" t="s">
        <v>771</v>
      </c>
      <c r="B107" s="6" t="s">
        <v>772</v>
      </c>
      <c r="C107" s="7" t="s">
        <v>773</v>
      </c>
      <c r="D107" s="6" t="s">
        <v>774</v>
      </c>
      <c r="E107" s="8" t="s">
        <v>20</v>
      </c>
      <c r="F107" s="6"/>
    </row>
    <row r="108">
      <c r="A108" s="6" t="s">
        <v>777</v>
      </c>
      <c r="B108" s="6" t="s">
        <v>772</v>
      </c>
      <c r="C108" s="7" t="s">
        <v>779</v>
      </c>
      <c r="D108" s="6" t="s">
        <v>781</v>
      </c>
      <c r="E108" s="8" t="s">
        <v>20</v>
      </c>
      <c r="F108" s="6"/>
    </row>
    <row r="109">
      <c r="A109" s="6" t="s">
        <v>787</v>
      </c>
      <c r="B109" s="6" t="s">
        <v>7</v>
      </c>
      <c r="C109" s="7" t="s">
        <v>789</v>
      </c>
      <c r="D109" s="6" t="s">
        <v>790</v>
      </c>
      <c r="E109" s="8" t="s">
        <v>793</v>
      </c>
      <c r="F109" s="6"/>
    </row>
    <row r="110">
      <c r="A110" s="6" t="s">
        <v>794</v>
      </c>
      <c r="B110" s="6" t="s">
        <v>7</v>
      </c>
      <c r="C110" s="7" t="s">
        <v>795</v>
      </c>
      <c r="D110" s="6" t="s">
        <v>796</v>
      </c>
      <c r="E110" s="8" t="s">
        <v>793</v>
      </c>
      <c r="F110" s="6"/>
    </row>
    <row r="111">
      <c r="A111" s="6" t="s">
        <v>799</v>
      </c>
      <c r="B111" s="6" t="s">
        <v>7</v>
      </c>
      <c r="C111" s="7" t="s">
        <v>800</v>
      </c>
      <c r="D111" s="6" t="s">
        <v>801</v>
      </c>
      <c r="E111" s="8" t="s">
        <v>802</v>
      </c>
      <c r="F111" s="6"/>
    </row>
    <row r="112">
      <c r="A112" s="6" t="s">
        <v>803</v>
      </c>
      <c r="B112" s="6" t="s">
        <v>7</v>
      </c>
      <c r="C112" s="7" t="s">
        <v>804</v>
      </c>
      <c r="D112" s="6" t="s">
        <v>805</v>
      </c>
      <c r="E112" s="8" t="s">
        <v>802</v>
      </c>
      <c r="F112" s="6"/>
    </row>
    <row r="113">
      <c r="A113" s="6" t="s">
        <v>808</v>
      </c>
      <c r="B113" s="6" t="s">
        <v>176</v>
      </c>
      <c r="C113" s="7" t="s">
        <v>809</v>
      </c>
      <c r="D113" s="6" t="s">
        <v>810</v>
      </c>
      <c r="E113" s="8" t="s">
        <v>811</v>
      </c>
      <c r="F113" s="6"/>
    </row>
    <row r="114">
      <c r="A114" s="6" t="s">
        <v>813</v>
      </c>
      <c r="B114" s="6" t="s">
        <v>176</v>
      </c>
      <c r="C114" s="7" t="s">
        <v>814</v>
      </c>
      <c r="D114" s="6" t="s">
        <v>816</v>
      </c>
      <c r="E114" s="8" t="s">
        <v>811</v>
      </c>
      <c r="F114" s="6"/>
    </row>
    <row r="115">
      <c r="A115" s="6" t="s">
        <v>817</v>
      </c>
      <c r="B115" s="6" t="s">
        <v>7</v>
      </c>
      <c r="C115" s="7" t="s">
        <v>819</v>
      </c>
      <c r="D115" s="6" t="s">
        <v>820</v>
      </c>
      <c r="E115" s="8" t="s">
        <v>802</v>
      </c>
      <c r="F115" s="6"/>
    </row>
    <row r="116">
      <c r="A116" s="6" t="s">
        <v>822</v>
      </c>
      <c r="B116" s="6" t="s">
        <v>7</v>
      </c>
      <c r="C116" s="7" t="s">
        <v>823</v>
      </c>
      <c r="D116" s="6" t="s">
        <v>825</v>
      </c>
      <c r="E116" s="8" t="s">
        <v>802</v>
      </c>
      <c r="F116" s="6"/>
    </row>
    <row r="117">
      <c r="A117" s="6" t="s">
        <v>827</v>
      </c>
      <c r="B117" s="6" t="s">
        <v>7</v>
      </c>
      <c r="C117" s="7" t="s">
        <v>828</v>
      </c>
      <c r="D117" s="6" t="s">
        <v>830</v>
      </c>
      <c r="E117" s="8" t="s">
        <v>831</v>
      </c>
      <c r="F117" s="6"/>
    </row>
    <row r="118">
      <c r="A118" s="6" t="s">
        <v>833</v>
      </c>
      <c r="B118" s="6" t="s">
        <v>7</v>
      </c>
      <c r="C118" s="7" t="s">
        <v>834</v>
      </c>
      <c r="D118" s="6" t="s">
        <v>836</v>
      </c>
      <c r="E118" s="8" t="s">
        <v>831</v>
      </c>
      <c r="F118" s="6"/>
    </row>
    <row r="119">
      <c r="A119" s="6" t="s">
        <v>838</v>
      </c>
      <c r="B119" s="6" t="s">
        <v>7</v>
      </c>
      <c r="C119" s="7" t="s">
        <v>840</v>
      </c>
      <c r="D119" s="6" t="s">
        <v>841</v>
      </c>
      <c r="E119" s="8" t="s">
        <v>831</v>
      </c>
      <c r="F119" s="6"/>
    </row>
    <row r="120">
      <c r="A120" s="6" t="s">
        <v>843</v>
      </c>
      <c r="B120" s="6" t="s">
        <v>7</v>
      </c>
      <c r="C120" s="7" t="s">
        <v>844</v>
      </c>
      <c r="D120" s="6" t="s">
        <v>846</v>
      </c>
      <c r="E120" s="8" t="s">
        <v>831</v>
      </c>
      <c r="F120" s="6"/>
    </row>
    <row r="121">
      <c r="A121" s="6" t="s">
        <v>848</v>
      </c>
      <c r="B121" s="6" t="s">
        <v>7</v>
      </c>
      <c r="C121" s="7" t="s">
        <v>849</v>
      </c>
      <c r="D121" s="6" t="s">
        <v>850</v>
      </c>
      <c r="E121" s="8" t="s">
        <v>831</v>
      </c>
      <c r="F121" s="6"/>
    </row>
    <row r="122">
      <c r="A122" s="6" t="s">
        <v>855</v>
      </c>
      <c r="B122" s="6" t="s">
        <v>7</v>
      </c>
      <c r="C122" s="7" t="s">
        <v>857</v>
      </c>
      <c r="D122" s="6" t="s">
        <v>859</v>
      </c>
      <c r="E122" s="8" t="s">
        <v>831</v>
      </c>
      <c r="F122" s="6"/>
    </row>
    <row r="123">
      <c r="A123" s="6" t="s">
        <v>864</v>
      </c>
      <c r="B123" s="6" t="s">
        <v>7</v>
      </c>
      <c r="C123" s="7" t="s">
        <v>867</v>
      </c>
      <c r="D123" s="6" t="s">
        <v>868</v>
      </c>
      <c r="E123" s="8" t="s">
        <v>831</v>
      </c>
      <c r="F123" s="6"/>
    </row>
    <row r="124">
      <c r="A124" s="6" t="s">
        <v>873</v>
      </c>
      <c r="B124" s="6" t="s">
        <v>7</v>
      </c>
      <c r="C124" s="7" t="s">
        <v>876</v>
      </c>
      <c r="D124" s="6" t="s">
        <v>877</v>
      </c>
      <c r="E124" s="8" t="s">
        <v>831</v>
      </c>
      <c r="F124" s="6"/>
    </row>
    <row r="125">
      <c r="A125" s="6" t="s">
        <v>878</v>
      </c>
      <c r="B125" s="6" t="s">
        <v>7</v>
      </c>
      <c r="C125" s="7" t="s">
        <v>879</v>
      </c>
      <c r="D125" s="6" t="s">
        <v>880</v>
      </c>
      <c r="E125" s="8" t="s">
        <v>831</v>
      </c>
      <c r="F125" s="6"/>
    </row>
    <row r="126">
      <c r="A126" s="6" t="s">
        <v>881</v>
      </c>
      <c r="B126" s="6" t="s">
        <v>7</v>
      </c>
      <c r="C126" s="7" t="s">
        <v>882</v>
      </c>
      <c r="D126" s="6" t="s">
        <v>883</v>
      </c>
      <c r="E126" s="8" t="s">
        <v>831</v>
      </c>
      <c r="F126" s="6"/>
    </row>
    <row r="127">
      <c r="A127" s="6" t="s">
        <v>894</v>
      </c>
      <c r="B127" s="6" t="s">
        <v>7</v>
      </c>
      <c r="C127" s="7" t="s">
        <v>896</v>
      </c>
      <c r="D127" s="6" t="s">
        <v>898</v>
      </c>
      <c r="E127" s="8" t="s">
        <v>831</v>
      </c>
      <c r="F127" s="6"/>
    </row>
    <row r="128">
      <c r="A128" s="6" t="s">
        <v>901</v>
      </c>
      <c r="B128" s="6" t="s">
        <v>7</v>
      </c>
      <c r="C128" s="7" t="s">
        <v>902</v>
      </c>
      <c r="D128" s="6" t="s">
        <v>904</v>
      </c>
      <c r="E128" s="8" t="s">
        <v>831</v>
      </c>
      <c r="F128" s="6"/>
    </row>
    <row r="129">
      <c r="A129" s="6" t="s">
        <v>908</v>
      </c>
      <c r="B129" s="6" t="s">
        <v>7</v>
      </c>
      <c r="C129" s="7" t="s">
        <v>910</v>
      </c>
      <c r="D129" s="6" t="s">
        <v>912</v>
      </c>
      <c r="E129" s="8" t="s">
        <v>831</v>
      </c>
      <c r="F129" s="6"/>
    </row>
    <row r="130">
      <c r="A130" s="6" t="s">
        <v>915</v>
      </c>
      <c r="B130" s="6" t="s">
        <v>7</v>
      </c>
      <c r="C130" s="7" t="s">
        <v>916</v>
      </c>
      <c r="D130" s="6" t="s">
        <v>917</v>
      </c>
      <c r="E130" s="8" t="s">
        <v>831</v>
      </c>
      <c r="F130" s="6"/>
    </row>
    <row r="131">
      <c r="A131" s="6" t="s">
        <v>918</v>
      </c>
      <c r="B131" s="6" t="s">
        <v>7</v>
      </c>
      <c r="C131" s="7" t="s">
        <v>919</v>
      </c>
      <c r="D131" s="6" t="s">
        <v>920</v>
      </c>
      <c r="E131" s="8" t="s">
        <v>831</v>
      </c>
      <c r="F131" s="6"/>
    </row>
    <row r="132">
      <c r="A132" s="6" t="s">
        <v>921</v>
      </c>
      <c r="B132" s="6" t="s">
        <v>7</v>
      </c>
      <c r="C132" s="7" t="s">
        <v>922</v>
      </c>
      <c r="D132" s="6" t="s">
        <v>923</v>
      </c>
      <c r="E132" s="8" t="s">
        <v>831</v>
      </c>
      <c r="F132" s="6"/>
    </row>
    <row r="133">
      <c r="A133" s="6" t="s">
        <v>924</v>
      </c>
      <c r="B133" s="6" t="s">
        <v>7</v>
      </c>
      <c r="C133" s="7" t="s">
        <v>925</v>
      </c>
      <c r="D133" s="6" t="s">
        <v>926</v>
      </c>
      <c r="E133" s="8" t="s">
        <v>831</v>
      </c>
      <c r="F133" s="6"/>
    </row>
    <row r="134">
      <c r="A134" s="6" t="s">
        <v>927</v>
      </c>
      <c r="B134" s="6" t="s">
        <v>7</v>
      </c>
      <c r="C134" s="7" t="s">
        <v>928</v>
      </c>
      <c r="D134" s="6" t="s">
        <v>929</v>
      </c>
      <c r="E134" s="8" t="s">
        <v>831</v>
      </c>
      <c r="F134" s="6"/>
    </row>
    <row r="135">
      <c r="A135" s="6" t="s">
        <v>930</v>
      </c>
      <c r="B135" s="6" t="s">
        <v>7</v>
      </c>
      <c r="C135" s="7" t="s">
        <v>931</v>
      </c>
      <c r="D135" s="6" t="s">
        <v>932</v>
      </c>
      <c r="E135" s="8" t="s">
        <v>802</v>
      </c>
      <c r="F135" s="6"/>
    </row>
    <row r="136">
      <c r="A136" s="6" t="s">
        <v>933</v>
      </c>
      <c r="B136" s="6" t="s">
        <v>7</v>
      </c>
      <c r="C136" s="7" t="s">
        <v>934</v>
      </c>
      <c r="D136" s="6" t="s">
        <v>935</v>
      </c>
      <c r="E136" s="8" t="s">
        <v>802</v>
      </c>
      <c r="F136" s="6"/>
    </row>
    <row r="137">
      <c r="A137" s="6" t="s">
        <v>936</v>
      </c>
      <c r="B137" s="6" t="s">
        <v>7</v>
      </c>
      <c r="C137" s="7" t="s">
        <v>937</v>
      </c>
      <c r="D137" s="6" t="s">
        <v>938</v>
      </c>
      <c r="E137" s="8" t="s">
        <v>802</v>
      </c>
      <c r="F137" s="6"/>
    </row>
    <row r="138">
      <c r="A138" s="6" t="s">
        <v>939</v>
      </c>
      <c r="B138" s="6" t="s">
        <v>7</v>
      </c>
      <c r="C138" s="7" t="s">
        <v>940</v>
      </c>
      <c r="D138" s="6" t="s">
        <v>941</v>
      </c>
      <c r="E138" s="8" t="s">
        <v>802</v>
      </c>
      <c r="F138" s="6"/>
    </row>
    <row r="139">
      <c r="A139" s="6" t="s">
        <v>946</v>
      </c>
      <c r="B139" s="6" t="s">
        <v>7</v>
      </c>
      <c r="C139" s="7" t="s">
        <v>949</v>
      </c>
      <c r="D139" s="6" t="s">
        <v>954</v>
      </c>
      <c r="E139" s="8" t="s">
        <v>957</v>
      </c>
      <c r="F139" s="6"/>
    </row>
    <row r="140">
      <c r="A140" s="6" t="s">
        <v>960</v>
      </c>
      <c r="B140" s="6" t="s">
        <v>7</v>
      </c>
      <c r="C140" s="7" t="s">
        <v>962</v>
      </c>
      <c r="D140" s="6" t="s">
        <v>964</v>
      </c>
      <c r="E140" s="8" t="s">
        <v>957</v>
      </c>
      <c r="F140" s="6"/>
    </row>
    <row r="141">
      <c r="A141" s="6" t="s">
        <v>969</v>
      </c>
      <c r="B141" s="6" t="s">
        <v>7</v>
      </c>
      <c r="C141" s="7" t="s">
        <v>971</v>
      </c>
      <c r="D141" s="6" t="s">
        <v>973</v>
      </c>
      <c r="E141" s="8" t="s">
        <v>975</v>
      </c>
      <c r="F141" s="6"/>
    </row>
    <row r="142">
      <c r="A142" s="6" t="s">
        <v>979</v>
      </c>
      <c r="B142" s="6" t="s">
        <v>7</v>
      </c>
      <c r="C142" s="7" t="s">
        <v>982</v>
      </c>
      <c r="D142" s="6" t="s">
        <v>983</v>
      </c>
      <c r="E142" s="8" t="s">
        <v>975</v>
      </c>
      <c r="F142" s="6"/>
    </row>
    <row r="143">
      <c r="A143" s="6" t="s">
        <v>988</v>
      </c>
      <c r="B143" s="6" t="s">
        <v>772</v>
      </c>
      <c r="C143" s="7" t="s">
        <v>990</v>
      </c>
      <c r="D143" s="6" t="s">
        <v>992</v>
      </c>
      <c r="E143" s="8" t="s">
        <v>994</v>
      </c>
      <c r="F143" s="6"/>
    </row>
    <row r="144">
      <c r="A144" s="6" t="s">
        <v>998</v>
      </c>
      <c r="B144" s="6" t="s">
        <v>772</v>
      </c>
      <c r="C144" s="7" t="s">
        <v>1001</v>
      </c>
      <c r="D144" s="6" t="s">
        <v>1002</v>
      </c>
      <c r="E144" s="8" t="s">
        <v>994</v>
      </c>
      <c r="F144" s="6"/>
    </row>
    <row r="145">
      <c r="A145" s="6" t="s">
        <v>1007</v>
      </c>
      <c r="B145" s="6" t="s">
        <v>7</v>
      </c>
      <c r="C145" s="7" t="s">
        <v>1008</v>
      </c>
      <c r="D145" s="6" t="s">
        <v>1009</v>
      </c>
      <c r="E145" s="8" t="s">
        <v>975</v>
      </c>
      <c r="F145" s="6"/>
    </row>
    <row r="146">
      <c r="A146" s="6" t="s">
        <v>1010</v>
      </c>
      <c r="B146" s="6" t="s">
        <v>7</v>
      </c>
      <c r="C146" s="7" t="s">
        <v>1011</v>
      </c>
      <c r="D146" s="6" t="s">
        <v>1012</v>
      </c>
      <c r="E146" s="8" t="s">
        <v>975</v>
      </c>
      <c r="F146" s="6"/>
    </row>
    <row r="147">
      <c r="A147" s="6" t="s">
        <v>1013</v>
      </c>
      <c r="B147" s="6" t="s">
        <v>7</v>
      </c>
      <c r="C147" s="7" t="s">
        <v>1015</v>
      </c>
      <c r="D147" s="6" t="s">
        <v>1017</v>
      </c>
      <c r="E147" s="8" t="s">
        <v>1018</v>
      </c>
      <c r="F147" s="6"/>
    </row>
    <row r="148">
      <c r="A148" s="6" t="s">
        <v>1020</v>
      </c>
      <c r="B148" s="6" t="s">
        <v>7</v>
      </c>
      <c r="C148" s="7" t="s">
        <v>1022</v>
      </c>
      <c r="D148" s="6" t="s">
        <v>1024</v>
      </c>
      <c r="E148" s="8" t="s">
        <v>1018</v>
      </c>
      <c r="F148" s="6"/>
    </row>
    <row r="149">
      <c r="A149" s="6" t="s">
        <v>1029</v>
      </c>
      <c r="B149" s="6" t="s">
        <v>7</v>
      </c>
      <c r="C149" s="7" t="s">
        <v>1031</v>
      </c>
      <c r="D149" s="6" t="s">
        <v>1033</v>
      </c>
      <c r="E149" s="8" t="s">
        <v>1035</v>
      </c>
      <c r="F149" s="6"/>
    </row>
    <row r="150">
      <c r="A150" s="6" t="s">
        <v>1040</v>
      </c>
      <c r="B150" s="6" t="s">
        <v>7</v>
      </c>
      <c r="C150" s="7" t="s">
        <v>80</v>
      </c>
      <c r="D150" s="6" t="s">
        <v>1043</v>
      </c>
      <c r="E150" s="8" t="s">
        <v>1018</v>
      </c>
      <c r="F150" s="2" t="s">
        <v>1048</v>
      </c>
    </row>
    <row r="151">
      <c r="A151" s="6" t="s">
        <v>1051</v>
      </c>
      <c r="B151" s="6" t="s">
        <v>7</v>
      </c>
      <c r="C151" s="7" t="s">
        <v>1053</v>
      </c>
      <c r="D151" s="6" t="s">
        <v>1055</v>
      </c>
      <c r="E151" s="8" t="s">
        <v>1018</v>
      </c>
      <c r="F151" s="2" t="s">
        <v>1048</v>
      </c>
    </row>
    <row r="152">
      <c r="A152" s="6" t="s">
        <v>1058</v>
      </c>
      <c r="B152" s="6" t="s">
        <v>7</v>
      </c>
      <c r="C152" s="7" t="s">
        <v>100</v>
      </c>
      <c r="D152" s="6" t="s">
        <v>1061</v>
      </c>
      <c r="E152" s="8" t="s">
        <v>1018</v>
      </c>
      <c r="F152" s="2" t="s">
        <v>1048</v>
      </c>
    </row>
    <row r="153">
      <c r="A153" s="6" t="s">
        <v>1067</v>
      </c>
      <c r="B153" s="6" t="s">
        <v>7</v>
      </c>
      <c r="C153" s="7" t="s">
        <v>1069</v>
      </c>
      <c r="D153" s="6" t="s">
        <v>1071</v>
      </c>
      <c r="E153" s="8" t="s">
        <v>1018</v>
      </c>
      <c r="F153" s="6"/>
    </row>
    <row r="154">
      <c r="A154" s="6" t="s">
        <v>1078</v>
      </c>
      <c r="B154" s="6" t="s">
        <v>7</v>
      </c>
      <c r="C154" s="7" t="s">
        <v>118</v>
      </c>
      <c r="D154" s="6" t="s">
        <v>1081</v>
      </c>
      <c r="E154" s="8" t="s">
        <v>1018</v>
      </c>
      <c r="F154" s="2" t="s">
        <v>1048</v>
      </c>
    </row>
    <row r="155">
      <c r="A155" s="6" t="s">
        <v>1087</v>
      </c>
      <c r="B155" s="6" t="s">
        <v>7</v>
      </c>
      <c r="C155" s="7" t="s">
        <v>1089</v>
      </c>
      <c r="D155" s="6" t="s">
        <v>1091</v>
      </c>
      <c r="E155" s="8" t="s">
        <v>1018</v>
      </c>
      <c r="F155" s="6"/>
    </row>
    <row r="156">
      <c r="A156" s="6" t="s">
        <v>1096</v>
      </c>
      <c r="B156" s="6" t="s">
        <v>7</v>
      </c>
      <c r="C156" s="7" t="s">
        <v>133</v>
      </c>
      <c r="D156" s="6" t="s">
        <v>1099</v>
      </c>
      <c r="E156" s="8" t="s">
        <v>1018</v>
      </c>
      <c r="F156" s="2" t="s">
        <v>1048</v>
      </c>
    </row>
    <row r="157">
      <c r="A157" s="6" t="s">
        <v>1103</v>
      </c>
      <c r="B157" s="6" t="s">
        <v>7</v>
      </c>
      <c r="C157" s="7" t="s">
        <v>1105</v>
      </c>
      <c r="D157" s="6" t="s">
        <v>1107</v>
      </c>
      <c r="E157" s="8" t="s">
        <v>1018</v>
      </c>
      <c r="F157" s="6"/>
    </row>
    <row r="158">
      <c r="A158" s="6" t="s">
        <v>1113</v>
      </c>
      <c r="B158" s="6" t="s">
        <v>1114</v>
      </c>
      <c r="C158" s="7" t="s">
        <v>1115</v>
      </c>
      <c r="D158" s="6" t="s">
        <v>1117</v>
      </c>
      <c r="E158" s="8" t="s">
        <v>802</v>
      </c>
      <c r="F158" s="6"/>
    </row>
    <row r="159">
      <c r="A159" s="6" t="s">
        <v>1121</v>
      </c>
      <c r="B159" s="6" t="s">
        <v>1114</v>
      </c>
      <c r="C159" s="7" t="s">
        <v>1124</v>
      </c>
      <c r="D159" s="6" t="s">
        <v>1125</v>
      </c>
      <c r="E159" s="8" t="s">
        <v>802</v>
      </c>
      <c r="F159" s="6"/>
    </row>
    <row r="160">
      <c r="A160" s="6" t="s">
        <v>1128</v>
      </c>
      <c r="B160" s="6" t="s">
        <v>1130</v>
      </c>
      <c r="C160" s="7" t="s">
        <v>1132</v>
      </c>
      <c r="D160" s="6" t="s">
        <v>1133</v>
      </c>
      <c r="E160" s="8" t="s">
        <v>811</v>
      </c>
      <c r="F160" s="6"/>
    </row>
    <row r="161">
      <c r="A161" s="6" t="s">
        <v>1138</v>
      </c>
      <c r="B161" s="6" t="s">
        <v>1130</v>
      </c>
      <c r="C161" s="7" t="s">
        <v>1141</v>
      </c>
      <c r="D161" s="6" t="s">
        <v>1142</v>
      </c>
      <c r="E161" s="8" t="s">
        <v>811</v>
      </c>
      <c r="F161" s="6"/>
    </row>
    <row r="162">
      <c r="A162" s="6" t="s">
        <v>1147</v>
      </c>
      <c r="B162" s="6" t="s">
        <v>1114</v>
      </c>
      <c r="C162" s="7" t="s">
        <v>1150</v>
      </c>
      <c r="D162" s="6" t="s">
        <v>1151</v>
      </c>
      <c r="E162" s="8" t="s">
        <v>802</v>
      </c>
      <c r="F162" s="6"/>
    </row>
    <row r="163">
      <c r="A163" s="6" t="s">
        <v>1156</v>
      </c>
      <c r="B163" s="6" t="s">
        <v>1114</v>
      </c>
      <c r="C163" s="7" t="s">
        <v>1157</v>
      </c>
      <c r="D163" s="6" t="s">
        <v>1158</v>
      </c>
      <c r="E163" s="8" t="s">
        <v>802</v>
      </c>
      <c r="F163" s="6"/>
    </row>
    <row r="164">
      <c r="A164" s="6" t="s">
        <v>1162</v>
      </c>
      <c r="B164" s="6" t="s">
        <v>1114</v>
      </c>
      <c r="C164" s="7" t="s">
        <v>1164</v>
      </c>
      <c r="D164" s="6" t="s">
        <v>1166</v>
      </c>
      <c r="E164" s="8" t="s">
        <v>831</v>
      </c>
      <c r="F164" s="6"/>
    </row>
    <row r="165">
      <c r="A165" s="6" t="s">
        <v>1172</v>
      </c>
      <c r="B165" s="6" t="s">
        <v>1114</v>
      </c>
      <c r="C165" s="7" t="s">
        <v>1175</v>
      </c>
      <c r="D165" s="6" t="s">
        <v>1176</v>
      </c>
      <c r="E165" s="8" t="s">
        <v>831</v>
      </c>
      <c r="F165" s="6"/>
    </row>
    <row r="166">
      <c r="A166" s="6" t="s">
        <v>1181</v>
      </c>
      <c r="B166" s="6" t="s">
        <v>1114</v>
      </c>
      <c r="C166" s="7" t="s">
        <v>1184</v>
      </c>
      <c r="D166" s="6" t="s">
        <v>1185</v>
      </c>
      <c r="E166" s="8" t="s">
        <v>831</v>
      </c>
      <c r="F166" s="6"/>
    </row>
    <row r="167">
      <c r="A167" s="6" t="s">
        <v>1190</v>
      </c>
      <c r="B167" s="6" t="s">
        <v>1114</v>
      </c>
      <c r="C167" s="7" t="s">
        <v>1193</v>
      </c>
      <c r="D167" s="6" t="s">
        <v>1194</v>
      </c>
      <c r="E167" s="8" t="s">
        <v>831</v>
      </c>
      <c r="F167" s="6"/>
    </row>
    <row r="168">
      <c r="A168" s="6" t="s">
        <v>1198</v>
      </c>
      <c r="B168" s="6" t="s">
        <v>1114</v>
      </c>
      <c r="C168" s="7" t="s">
        <v>1200</v>
      </c>
      <c r="D168" s="6" t="s">
        <v>1202</v>
      </c>
      <c r="E168" s="8" t="s">
        <v>831</v>
      </c>
      <c r="F168" s="6"/>
    </row>
    <row r="169">
      <c r="A169" s="6" t="s">
        <v>1207</v>
      </c>
      <c r="B169" s="6" t="s">
        <v>1114</v>
      </c>
      <c r="C169" s="7" t="s">
        <v>1209</v>
      </c>
      <c r="D169" s="6" t="s">
        <v>1211</v>
      </c>
      <c r="E169" s="8" t="s">
        <v>831</v>
      </c>
      <c r="F169" s="6"/>
    </row>
    <row r="170">
      <c r="A170" s="6" t="s">
        <v>1216</v>
      </c>
      <c r="B170" s="6" t="s">
        <v>1114</v>
      </c>
      <c r="C170" s="7" t="s">
        <v>1218</v>
      </c>
      <c r="D170" s="6" t="s">
        <v>1219</v>
      </c>
      <c r="E170" s="8" t="s">
        <v>831</v>
      </c>
      <c r="F170" s="6"/>
    </row>
    <row r="171">
      <c r="A171" s="6" t="s">
        <v>1224</v>
      </c>
      <c r="B171" s="6" t="s">
        <v>1114</v>
      </c>
      <c r="C171" s="7" t="s">
        <v>1225</v>
      </c>
      <c r="D171" s="6" t="s">
        <v>1227</v>
      </c>
      <c r="E171" s="8" t="s">
        <v>831</v>
      </c>
      <c r="F171" s="6"/>
    </row>
    <row r="172">
      <c r="A172" s="6" t="s">
        <v>1231</v>
      </c>
      <c r="B172" s="6" t="s">
        <v>1114</v>
      </c>
      <c r="C172" s="7" t="s">
        <v>1232</v>
      </c>
      <c r="D172" s="6" t="s">
        <v>1234</v>
      </c>
      <c r="E172" s="8" t="s">
        <v>831</v>
      </c>
      <c r="F172" s="6"/>
    </row>
    <row r="173">
      <c r="A173" s="6" t="s">
        <v>1238</v>
      </c>
      <c r="B173" s="6" t="s">
        <v>1114</v>
      </c>
      <c r="C173" s="7" t="s">
        <v>1239</v>
      </c>
      <c r="D173" s="6" t="s">
        <v>1241</v>
      </c>
      <c r="E173" s="8" t="s">
        <v>831</v>
      </c>
      <c r="F173" s="6"/>
    </row>
    <row r="174">
      <c r="A174" s="6" t="s">
        <v>1244</v>
      </c>
      <c r="B174" s="6" t="s">
        <v>1114</v>
      </c>
      <c r="C174" s="7" t="s">
        <v>1245</v>
      </c>
      <c r="D174" s="6" t="s">
        <v>1246</v>
      </c>
      <c r="E174" s="8" t="s">
        <v>831</v>
      </c>
      <c r="F174" s="6"/>
    </row>
    <row r="175">
      <c r="A175" s="6" t="s">
        <v>1248</v>
      </c>
      <c r="B175" s="6" t="s">
        <v>1114</v>
      </c>
      <c r="C175" s="7" t="s">
        <v>1250</v>
      </c>
      <c r="D175" s="6" t="s">
        <v>1252</v>
      </c>
      <c r="E175" s="8" t="s">
        <v>831</v>
      </c>
      <c r="F175" s="6"/>
    </row>
    <row r="176">
      <c r="A176" s="6" t="s">
        <v>1255</v>
      </c>
      <c r="B176" s="6" t="s">
        <v>1114</v>
      </c>
      <c r="C176" s="7" t="s">
        <v>1257</v>
      </c>
      <c r="D176" s="6" t="s">
        <v>1259</v>
      </c>
      <c r="E176" s="8" t="s">
        <v>831</v>
      </c>
      <c r="F176" s="6"/>
    </row>
    <row r="177">
      <c r="A177" s="6" t="s">
        <v>1262</v>
      </c>
      <c r="B177" s="6" t="s">
        <v>1114</v>
      </c>
      <c r="C177" s="7" t="s">
        <v>1264</v>
      </c>
      <c r="D177" s="6" t="s">
        <v>1266</v>
      </c>
      <c r="E177" s="8" t="s">
        <v>831</v>
      </c>
      <c r="F177" s="6"/>
    </row>
    <row r="178">
      <c r="A178" s="6" t="s">
        <v>1269</v>
      </c>
      <c r="B178" s="6" t="s">
        <v>1114</v>
      </c>
      <c r="C178" s="7" t="s">
        <v>1270</v>
      </c>
      <c r="D178" s="6" t="s">
        <v>1272</v>
      </c>
      <c r="E178" s="8" t="s">
        <v>831</v>
      </c>
      <c r="F178" s="6"/>
    </row>
    <row r="179">
      <c r="A179" s="6" t="s">
        <v>1276</v>
      </c>
      <c r="B179" s="6" t="s">
        <v>1114</v>
      </c>
      <c r="C179" s="7" t="s">
        <v>1278</v>
      </c>
      <c r="D179" s="6" t="s">
        <v>1280</v>
      </c>
      <c r="E179" s="8" t="s">
        <v>831</v>
      </c>
      <c r="F179" s="6"/>
    </row>
    <row r="180">
      <c r="A180" s="6" t="s">
        <v>1285</v>
      </c>
      <c r="B180" s="6" t="s">
        <v>1114</v>
      </c>
      <c r="C180" s="7" t="s">
        <v>1287</v>
      </c>
      <c r="D180" s="6" t="s">
        <v>1289</v>
      </c>
      <c r="E180" s="8" t="s">
        <v>831</v>
      </c>
      <c r="F180" s="6"/>
    </row>
    <row r="181">
      <c r="A181" s="6" t="s">
        <v>1304</v>
      </c>
      <c r="B181" s="6" t="s">
        <v>1114</v>
      </c>
      <c r="C181" s="7" t="s">
        <v>1307</v>
      </c>
      <c r="D181" s="6" t="s">
        <v>1308</v>
      </c>
      <c r="E181" s="8" t="s">
        <v>831</v>
      </c>
      <c r="F181" s="6"/>
    </row>
    <row r="182">
      <c r="A182" s="6" t="s">
        <v>1315</v>
      </c>
      <c r="B182" s="6" t="s">
        <v>1114</v>
      </c>
      <c r="C182" s="7" t="s">
        <v>1318</v>
      </c>
      <c r="D182" s="6" t="s">
        <v>1319</v>
      </c>
      <c r="E182" s="8" t="s">
        <v>802</v>
      </c>
      <c r="F182" s="6"/>
    </row>
    <row r="183">
      <c r="A183" s="6" t="s">
        <v>1322</v>
      </c>
      <c r="B183" s="6" t="s">
        <v>1114</v>
      </c>
      <c r="C183" s="7" t="s">
        <v>1325</v>
      </c>
      <c r="D183" s="6" t="s">
        <v>1326</v>
      </c>
      <c r="E183" s="8" t="s">
        <v>802</v>
      </c>
      <c r="F183" s="6"/>
    </row>
    <row r="184">
      <c r="A184" s="6" t="s">
        <v>1331</v>
      </c>
      <c r="B184" s="6" t="s">
        <v>1114</v>
      </c>
      <c r="C184" s="7" t="s">
        <v>1333</v>
      </c>
      <c r="D184" s="6" t="s">
        <v>1335</v>
      </c>
      <c r="E184" s="8" t="s">
        <v>802</v>
      </c>
      <c r="F184" s="6"/>
    </row>
    <row r="185">
      <c r="A185" s="6" t="s">
        <v>1339</v>
      </c>
      <c r="B185" s="6" t="s">
        <v>1114</v>
      </c>
      <c r="C185" s="7" t="s">
        <v>1341</v>
      </c>
      <c r="D185" s="6" t="s">
        <v>1342</v>
      </c>
      <c r="E185" s="8" t="s">
        <v>802</v>
      </c>
      <c r="F185" s="6"/>
    </row>
    <row r="186">
      <c r="A186" s="6" t="s">
        <v>1347</v>
      </c>
      <c r="B186" s="6" t="s">
        <v>1114</v>
      </c>
      <c r="C186" s="7" t="s">
        <v>1350</v>
      </c>
      <c r="D186" s="6" t="s">
        <v>1351</v>
      </c>
      <c r="E186" s="8" t="s">
        <v>957</v>
      </c>
      <c r="F186" s="6"/>
    </row>
    <row r="187">
      <c r="A187" s="6" t="s">
        <v>1356</v>
      </c>
      <c r="B187" s="6" t="s">
        <v>1114</v>
      </c>
      <c r="C187" s="7" t="s">
        <v>1359</v>
      </c>
      <c r="D187" s="6" t="s">
        <v>1360</v>
      </c>
      <c r="E187" s="8" t="s">
        <v>957</v>
      </c>
      <c r="F187" s="6"/>
    </row>
    <row r="188">
      <c r="A188" s="6" t="s">
        <v>1365</v>
      </c>
      <c r="B188" s="6" t="s">
        <v>1114</v>
      </c>
      <c r="C188" s="7" t="s">
        <v>1368</v>
      </c>
      <c r="D188" s="6" t="s">
        <v>1369</v>
      </c>
      <c r="E188" s="8" t="s">
        <v>975</v>
      </c>
      <c r="F188" s="6"/>
    </row>
    <row r="189">
      <c r="A189" s="6" t="s">
        <v>1377</v>
      </c>
      <c r="B189" s="6" t="s">
        <v>1114</v>
      </c>
      <c r="C189" s="7" t="s">
        <v>1380</v>
      </c>
      <c r="D189" s="6" t="s">
        <v>1382</v>
      </c>
      <c r="E189" s="8" t="s">
        <v>975</v>
      </c>
      <c r="F189" s="6"/>
    </row>
    <row r="190">
      <c r="A190" s="6" t="s">
        <v>1386</v>
      </c>
      <c r="B190" s="6" t="s">
        <v>1388</v>
      </c>
      <c r="C190" s="7" t="s">
        <v>1391</v>
      </c>
      <c r="D190" s="6" t="s">
        <v>1392</v>
      </c>
      <c r="E190" s="8" t="s">
        <v>994</v>
      </c>
      <c r="F190" s="6"/>
    </row>
    <row r="191">
      <c r="A191" s="6" t="s">
        <v>1396</v>
      </c>
      <c r="B191" s="6" t="s">
        <v>1388</v>
      </c>
      <c r="C191" s="7" t="s">
        <v>1398</v>
      </c>
      <c r="D191" s="6" t="s">
        <v>1399</v>
      </c>
      <c r="E191" s="8" t="s">
        <v>994</v>
      </c>
      <c r="F191" s="6"/>
    </row>
    <row r="192">
      <c r="A192" s="6" t="s">
        <v>1402</v>
      </c>
      <c r="B192" s="6" t="s">
        <v>1114</v>
      </c>
      <c r="C192" s="7" t="s">
        <v>1405</v>
      </c>
      <c r="D192" s="6" t="s">
        <v>1406</v>
      </c>
      <c r="E192" s="8" t="s">
        <v>975</v>
      </c>
      <c r="F192" s="6"/>
    </row>
    <row r="193">
      <c r="A193" s="6" t="s">
        <v>1409</v>
      </c>
      <c r="B193" s="6" t="s">
        <v>1114</v>
      </c>
      <c r="C193" s="7" t="s">
        <v>1412</v>
      </c>
      <c r="D193" s="6" t="s">
        <v>1413</v>
      </c>
      <c r="E193" s="8" t="s">
        <v>975</v>
      </c>
      <c r="F193" s="6"/>
    </row>
    <row r="194">
      <c r="A194" s="6" t="s">
        <v>1416</v>
      </c>
      <c r="B194" s="6" t="s">
        <v>1114</v>
      </c>
      <c r="C194" s="7" t="s">
        <v>1419</v>
      </c>
      <c r="D194" s="6" t="s">
        <v>1420</v>
      </c>
      <c r="E194" s="8" t="s">
        <v>1018</v>
      </c>
      <c r="F194" s="6"/>
    </row>
    <row r="195">
      <c r="A195" s="6" t="s">
        <v>1422</v>
      </c>
      <c r="B195" s="6" t="s">
        <v>1114</v>
      </c>
      <c r="C195" s="7" t="s">
        <v>1424</v>
      </c>
      <c r="D195" s="6" t="s">
        <v>1425</v>
      </c>
      <c r="E195" s="8" t="s">
        <v>1018</v>
      </c>
      <c r="F195" s="6"/>
    </row>
    <row r="196">
      <c r="A196" s="6" t="s">
        <v>1429</v>
      </c>
      <c r="B196" s="6" t="s">
        <v>7</v>
      </c>
      <c r="C196" s="7" t="s">
        <v>1431</v>
      </c>
      <c r="D196" s="6" t="s">
        <v>1432</v>
      </c>
      <c r="E196" s="8" t="s">
        <v>11</v>
      </c>
      <c r="F196" s="6"/>
    </row>
    <row r="197">
      <c r="A197" s="6" t="s">
        <v>1436</v>
      </c>
      <c r="B197" s="6" t="s">
        <v>7</v>
      </c>
      <c r="C197" s="7" t="s">
        <v>1438</v>
      </c>
      <c r="D197" s="6" t="s">
        <v>1439</v>
      </c>
      <c r="E197" s="8" t="s">
        <v>11</v>
      </c>
      <c r="F197" s="6"/>
    </row>
    <row r="198">
      <c r="A198" s="6" t="s">
        <v>1482</v>
      </c>
      <c r="B198" s="6" t="s">
        <v>7</v>
      </c>
      <c r="C198" s="7" t="s">
        <v>1485</v>
      </c>
      <c r="D198" s="6" t="s">
        <v>1488</v>
      </c>
      <c r="E198" s="8" t="s">
        <v>11</v>
      </c>
      <c r="F198" s="6"/>
    </row>
    <row r="199">
      <c r="A199" s="6" t="s">
        <v>1493</v>
      </c>
      <c r="B199" s="6" t="s">
        <v>7</v>
      </c>
      <c r="C199" s="7" t="s">
        <v>1496</v>
      </c>
      <c r="D199" s="6" t="s">
        <v>1498</v>
      </c>
      <c r="E199" s="8" t="s">
        <v>11</v>
      </c>
      <c r="F199" s="6"/>
    </row>
    <row r="200">
      <c r="A200" s="6" t="s">
        <v>1504</v>
      </c>
      <c r="B200" s="6" t="s">
        <v>7</v>
      </c>
      <c r="C200" s="7" t="s">
        <v>1506</v>
      </c>
      <c r="D200" s="6" t="s">
        <v>1508</v>
      </c>
      <c r="E200" s="8" t="s">
        <v>11</v>
      </c>
      <c r="F200" s="6"/>
    </row>
    <row r="201">
      <c r="A201" s="6" t="s">
        <v>1513</v>
      </c>
      <c r="B201" s="6" t="s">
        <v>7</v>
      </c>
      <c r="C201" s="7" t="s">
        <v>1516</v>
      </c>
      <c r="D201" s="6" t="s">
        <v>1517</v>
      </c>
      <c r="E201" s="8" t="s">
        <v>11</v>
      </c>
      <c r="F201" s="6"/>
    </row>
    <row r="202">
      <c r="A202" s="6" t="s">
        <v>1523</v>
      </c>
      <c r="B202" s="6" t="s">
        <v>1524</v>
      </c>
      <c r="C202" s="7" t="s">
        <v>1526</v>
      </c>
      <c r="D202" s="6" t="s">
        <v>1527</v>
      </c>
      <c r="E202" s="8" t="s">
        <v>1530</v>
      </c>
      <c r="F202" s="6"/>
    </row>
    <row r="203">
      <c r="A203" s="6" t="s">
        <v>1534</v>
      </c>
      <c r="B203" s="6" t="s">
        <v>7</v>
      </c>
      <c r="C203" s="7" t="s">
        <v>1536</v>
      </c>
      <c r="D203" s="6" t="s">
        <v>1537</v>
      </c>
      <c r="E203" s="8" t="s">
        <v>1538</v>
      </c>
      <c r="F203" s="6"/>
    </row>
    <row r="204">
      <c r="A204" s="6" t="s">
        <v>1540</v>
      </c>
      <c r="B204" s="6" t="s">
        <v>1541</v>
      </c>
      <c r="C204" s="7" t="s">
        <v>1542</v>
      </c>
      <c r="D204" s="6" t="s">
        <v>1543</v>
      </c>
      <c r="E204" s="8" t="s">
        <v>1545</v>
      </c>
      <c r="F204" s="6"/>
    </row>
    <row r="205">
      <c r="A205" s="6" t="s">
        <v>1549</v>
      </c>
      <c r="B205" s="6" t="s">
        <v>7</v>
      </c>
      <c r="C205" s="7" t="s">
        <v>1551</v>
      </c>
      <c r="D205" s="6" t="s">
        <v>1553</v>
      </c>
      <c r="E205" s="8" t="s">
        <v>1556</v>
      </c>
      <c r="F205" s="6"/>
    </row>
    <row r="206">
      <c r="A206" s="6" t="s">
        <v>1560</v>
      </c>
      <c r="B206" s="6" t="s">
        <v>7</v>
      </c>
      <c r="C206" s="7" t="s">
        <v>1562</v>
      </c>
      <c r="D206" s="6" t="s">
        <v>1564</v>
      </c>
      <c r="E206" s="8" t="s">
        <v>1556</v>
      </c>
      <c r="F206" s="6"/>
    </row>
    <row r="207">
      <c r="A207" s="6" t="s">
        <v>1569</v>
      </c>
      <c r="B207" s="6" t="s">
        <v>7</v>
      </c>
      <c r="C207" s="7" t="s">
        <v>1572</v>
      </c>
      <c r="D207" s="6" t="s">
        <v>1573</v>
      </c>
      <c r="E207" s="8" t="s">
        <v>1556</v>
      </c>
      <c r="F207" s="6"/>
    </row>
    <row r="208">
      <c r="A208" s="6" t="s">
        <v>1578</v>
      </c>
      <c r="B208" s="6" t="s">
        <v>7</v>
      </c>
      <c r="C208" s="7" t="s">
        <v>1581</v>
      </c>
      <c r="D208" s="6" t="s">
        <v>1582</v>
      </c>
      <c r="E208" s="8" t="s">
        <v>1530</v>
      </c>
      <c r="F208" s="6"/>
    </row>
    <row r="209">
      <c r="A209" s="6" t="s">
        <v>1588</v>
      </c>
      <c r="B209" s="6" t="s">
        <v>176</v>
      </c>
      <c r="C209" s="7" t="s">
        <v>1589</v>
      </c>
      <c r="D209" s="6" t="s">
        <v>1591</v>
      </c>
      <c r="E209" s="8" t="s">
        <v>1530</v>
      </c>
      <c r="F209" s="6"/>
    </row>
    <row r="210">
      <c r="A210" s="6" t="s">
        <v>1596</v>
      </c>
      <c r="B210" s="6" t="s">
        <v>7</v>
      </c>
      <c r="C210" s="7" t="s">
        <v>1599</v>
      </c>
      <c r="D210" s="6" t="s">
        <v>1600</v>
      </c>
      <c r="E210" s="8" t="s">
        <v>1603</v>
      </c>
      <c r="F210" s="6"/>
    </row>
    <row r="211">
      <c r="A211" s="6" t="s">
        <v>1604</v>
      </c>
      <c r="B211" s="6" t="s">
        <v>7</v>
      </c>
      <c r="C211" s="7" t="s">
        <v>1606</v>
      </c>
      <c r="D211" s="6" t="s">
        <v>1608</v>
      </c>
      <c r="E211" s="8" t="s">
        <v>1603</v>
      </c>
      <c r="F211" s="6"/>
    </row>
    <row r="212">
      <c r="A212" s="6" t="s">
        <v>1613</v>
      </c>
      <c r="B212" s="6" t="s">
        <v>7</v>
      </c>
      <c r="C212" s="7" t="s">
        <v>1615</v>
      </c>
      <c r="D212" s="6" t="s">
        <v>1617</v>
      </c>
      <c r="E212" s="8" t="s">
        <v>1603</v>
      </c>
      <c r="F212" s="6"/>
    </row>
    <row r="213">
      <c r="A213" s="6" t="s">
        <v>1622</v>
      </c>
      <c r="B213" s="6" t="s">
        <v>7</v>
      </c>
      <c r="C213" s="7" t="s">
        <v>1624</v>
      </c>
      <c r="D213" s="6" t="s">
        <v>1626</v>
      </c>
      <c r="E213" s="8" t="s">
        <v>1603</v>
      </c>
      <c r="F213" s="6"/>
    </row>
    <row r="214">
      <c r="A214" s="6" t="s">
        <v>1631</v>
      </c>
      <c r="B214" s="6" t="s">
        <v>7</v>
      </c>
      <c r="C214" s="7" t="s">
        <v>1633</v>
      </c>
      <c r="D214" s="6" t="s">
        <v>1635</v>
      </c>
      <c r="E214" s="8" t="s">
        <v>1603</v>
      </c>
      <c r="F214" s="6"/>
    </row>
    <row r="215">
      <c r="A215" s="6" t="s">
        <v>1640</v>
      </c>
      <c r="B215" s="6" t="s">
        <v>7</v>
      </c>
      <c r="C215" s="7" t="s">
        <v>1642</v>
      </c>
      <c r="D215" s="6" t="s">
        <v>1644</v>
      </c>
      <c r="E215" s="8" t="s">
        <v>1603</v>
      </c>
      <c r="F215" s="6"/>
    </row>
    <row r="216">
      <c r="A216" s="6" t="s">
        <v>1649</v>
      </c>
      <c r="B216" s="6" t="s">
        <v>7</v>
      </c>
      <c r="C216" s="7" t="s">
        <v>1651</v>
      </c>
      <c r="D216" s="6" t="s">
        <v>1653</v>
      </c>
      <c r="E216" s="8" t="s">
        <v>1603</v>
      </c>
      <c r="F216" s="6"/>
    </row>
    <row r="217">
      <c r="A217" s="6" t="s">
        <v>1658</v>
      </c>
      <c r="B217" s="6" t="s">
        <v>7</v>
      </c>
      <c r="C217" s="7" t="s">
        <v>1661</v>
      </c>
      <c r="D217" s="6" t="s">
        <v>1663</v>
      </c>
      <c r="E217" s="8" t="s">
        <v>1603</v>
      </c>
      <c r="F217" s="6"/>
    </row>
    <row r="218">
      <c r="A218" s="6" t="s">
        <v>1667</v>
      </c>
      <c r="B218" s="6" t="s">
        <v>7</v>
      </c>
      <c r="C218" s="7" t="s">
        <v>1668</v>
      </c>
      <c r="D218" s="6" t="s">
        <v>1669</v>
      </c>
      <c r="E218" s="8" t="s">
        <v>1603</v>
      </c>
      <c r="F218" s="6"/>
    </row>
    <row r="219">
      <c r="A219" s="6" t="s">
        <v>1674</v>
      </c>
      <c r="B219" s="6" t="s">
        <v>7</v>
      </c>
      <c r="C219" s="7" t="s">
        <v>1677</v>
      </c>
      <c r="D219" s="6" t="s">
        <v>1678</v>
      </c>
      <c r="E219" s="8" t="s">
        <v>1530</v>
      </c>
      <c r="F219" s="6"/>
    </row>
    <row r="220">
      <c r="A220" s="6" t="s">
        <v>1683</v>
      </c>
      <c r="B220" s="6" t="s">
        <v>7</v>
      </c>
      <c r="C220" s="7" t="s">
        <v>1686</v>
      </c>
      <c r="D220" s="6" t="s">
        <v>1687</v>
      </c>
      <c r="E220" s="8" t="s">
        <v>1690</v>
      </c>
      <c r="F220" s="6"/>
    </row>
    <row r="221">
      <c r="A221" s="6" t="s">
        <v>1693</v>
      </c>
      <c r="B221" s="6" t="s">
        <v>7</v>
      </c>
      <c r="C221" s="7" t="s">
        <v>1696</v>
      </c>
      <c r="D221" s="6" t="s">
        <v>1697</v>
      </c>
      <c r="E221" s="8" t="s">
        <v>1700</v>
      </c>
      <c r="F221" s="6"/>
    </row>
    <row r="222">
      <c r="A222" s="6" t="s">
        <v>1703</v>
      </c>
      <c r="B222" s="6" t="s">
        <v>1705</v>
      </c>
      <c r="C222" s="7" t="s">
        <v>1707</v>
      </c>
      <c r="D222" s="6" t="s">
        <v>1708</v>
      </c>
      <c r="E222" s="8" t="s">
        <v>20</v>
      </c>
      <c r="F222" s="6"/>
    </row>
    <row r="223">
      <c r="A223" s="6" t="s">
        <v>1714</v>
      </c>
      <c r="B223" s="6" t="s">
        <v>7</v>
      </c>
      <c r="C223" s="7" t="s">
        <v>1716</v>
      </c>
      <c r="D223" s="6" t="s">
        <v>1718</v>
      </c>
      <c r="E223" s="8" t="s">
        <v>1700</v>
      </c>
      <c r="F223" s="6"/>
    </row>
    <row r="224">
      <c r="A224" s="6" t="s">
        <v>1724</v>
      </c>
      <c r="B224" s="6" t="s">
        <v>7</v>
      </c>
      <c r="C224" s="7" t="s">
        <v>1725</v>
      </c>
      <c r="D224" s="6" t="s">
        <v>1727</v>
      </c>
      <c r="E224" s="8" t="s">
        <v>1530</v>
      </c>
      <c r="F224" s="6"/>
    </row>
    <row r="225">
      <c r="A225" s="6" t="s">
        <v>1733</v>
      </c>
      <c r="B225" s="6" t="s">
        <v>7</v>
      </c>
      <c r="C225" s="7" t="s">
        <v>1734</v>
      </c>
      <c r="D225" s="6" t="s">
        <v>1736</v>
      </c>
      <c r="E225" s="8" t="s">
        <v>1530</v>
      </c>
      <c r="F225" s="6"/>
    </row>
    <row r="226">
      <c r="A226" s="6" t="s">
        <v>1742</v>
      </c>
      <c r="B226" s="6" t="s">
        <v>7</v>
      </c>
      <c r="C226" s="7" t="s">
        <v>1745</v>
      </c>
      <c r="D226" s="6" t="s">
        <v>1746</v>
      </c>
      <c r="E226" s="8" t="s">
        <v>1530</v>
      </c>
      <c r="F226" s="6"/>
    </row>
    <row r="227">
      <c r="A227" s="6" t="s">
        <v>1751</v>
      </c>
      <c r="B227" s="6" t="s">
        <v>7</v>
      </c>
      <c r="C227" s="7" t="s">
        <v>1754</v>
      </c>
      <c r="D227" s="6" t="s">
        <v>1755</v>
      </c>
      <c r="E227" s="8" t="s">
        <v>1700</v>
      </c>
      <c r="F227" s="6"/>
    </row>
    <row r="228">
      <c r="A228" s="6" t="s">
        <v>1760</v>
      </c>
      <c r="B228" s="6" t="s">
        <v>1524</v>
      </c>
      <c r="C228" s="7" t="s">
        <v>1763</v>
      </c>
      <c r="D228" s="6" t="s">
        <v>1765</v>
      </c>
      <c r="E228" s="8" t="s">
        <v>24</v>
      </c>
      <c r="F228" s="6"/>
    </row>
    <row r="229">
      <c r="A229" s="6" t="s">
        <v>1771</v>
      </c>
      <c r="B229" s="6" t="s">
        <v>7</v>
      </c>
      <c r="C229" s="7" t="s">
        <v>1773</v>
      </c>
      <c r="D229" s="6" t="s">
        <v>1775</v>
      </c>
      <c r="E229" s="8" t="s">
        <v>1700</v>
      </c>
      <c r="F229" s="6"/>
    </row>
    <row r="230">
      <c r="A230" s="6" t="s">
        <v>1780</v>
      </c>
      <c r="B230" s="6" t="s">
        <v>1524</v>
      </c>
      <c r="C230" s="7" t="s">
        <v>1782</v>
      </c>
      <c r="D230" s="6" t="s">
        <v>1784</v>
      </c>
      <c r="E230" s="8" t="s">
        <v>24</v>
      </c>
      <c r="F230" s="6"/>
    </row>
    <row r="231">
      <c r="A231" s="6" t="s">
        <v>1789</v>
      </c>
      <c r="B231" s="6" t="s">
        <v>7</v>
      </c>
      <c r="C231" s="7" t="s">
        <v>1790</v>
      </c>
      <c r="D231" s="6" t="s">
        <v>1792</v>
      </c>
      <c r="E231" s="8" t="s">
        <v>1700</v>
      </c>
      <c r="F231" s="6"/>
    </row>
    <row r="232">
      <c r="A232" s="6" t="s">
        <v>1797</v>
      </c>
      <c r="B232" s="6" t="s">
        <v>1524</v>
      </c>
      <c r="C232" s="7" t="s">
        <v>1799</v>
      </c>
      <c r="D232" s="6" t="s">
        <v>1801</v>
      </c>
      <c r="E232" s="8" t="s">
        <v>24</v>
      </c>
      <c r="F232" s="6"/>
    </row>
    <row r="233">
      <c r="A233" s="6" t="s">
        <v>1807</v>
      </c>
      <c r="B233" s="6" t="s">
        <v>1524</v>
      </c>
      <c r="C233" s="7" t="s">
        <v>1809</v>
      </c>
      <c r="D233" s="6" t="s">
        <v>1811</v>
      </c>
      <c r="E233" s="8" t="s">
        <v>24</v>
      </c>
      <c r="F233" s="6"/>
    </row>
    <row r="234">
      <c r="A234" s="6" t="s">
        <v>1816</v>
      </c>
      <c r="B234" s="6" t="s">
        <v>7</v>
      </c>
      <c r="C234" s="7" t="s">
        <v>1818</v>
      </c>
      <c r="D234" s="6" t="s">
        <v>1820</v>
      </c>
      <c r="E234" s="8" t="s">
        <v>1823</v>
      </c>
      <c r="F234" s="6"/>
    </row>
    <row r="235">
      <c r="A235" s="6" t="s">
        <v>1826</v>
      </c>
      <c r="B235" s="6" t="s">
        <v>7</v>
      </c>
      <c r="C235" s="7" t="s">
        <v>1829</v>
      </c>
      <c r="D235" s="6" t="s">
        <v>1830</v>
      </c>
      <c r="E235" s="8" t="s">
        <v>1700</v>
      </c>
      <c r="F235" s="6"/>
    </row>
    <row r="236">
      <c r="A236" s="6" t="s">
        <v>1835</v>
      </c>
      <c r="B236" s="6" t="s">
        <v>7</v>
      </c>
      <c r="C236" s="7" t="s">
        <v>1837</v>
      </c>
      <c r="D236" s="6" t="s">
        <v>1839</v>
      </c>
      <c r="E236" s="8" t="s">
        <v>1840</v>
      </c>
      <c r="F236" s="6"/>
    </row>
    <row r="237">
      <c r="A237" s="6" t="s">
        <v>1841</v>
      </c>
      <c r="B237" s="6" t="s">
        <v>7</v>
      </c>
      <c r="C237" s="7" t="s">
        <v>1842</v>
      </c>
      <c r="D237" s="6" t="s">
        <v>1843</v>
      </c>
      <c r="E237" s="8" t="s">
        <v>1846</v>
      </c>
      <c r="F237" s="6"/>
    </row>
    <row r="238">
      <c r="A238" s="6" t="s">
        <v>1849</v>
      </c>
      <c r="B238" s="6" t="s">
        <v>7</v>
      </c>
      <c r="C238" s="7" t="s">
        <v>1854</v>
      </c>
      <c r="D238" s="6" t="s">
        <v>1855</v>
      </c>
      <c r="E238" s="8" t="s">
        <v>1858</v>
      </c>
      <c r="F238" s="6"/>
    </row>
    <row r="239">
      <c r="A239" s="6" t="s">
        <v>1861</v>
      </c>
      <c r="B239" s="6" t="s">
        <v>7</v>
      </c>
      <c r="C239" s="7" t="s">
        <v>82</v>
      </c>
      <c r="D239" s="6" t="s">
        <v>1864</v>
      </c>
      <c r="E239" s="8" t="s">
        <v>24</v>
      </c>
      <c r="F239" s="2" t="s">
        <v>71</v>
      </c>
    </row>
    <row r="240">
      <c r="A240" s="6" t="s">
        <v>1867</v>
      </c>
      <c r="B240" s="6" t="s">
        <v>7</v>
      </c>
      <c r="C240" s="7" t="s">
        <v>1870</v>
      </c>
      <c r="D240" s="6" t="s">
        <v>1871</v>
      </c>
      <c r="E240" s="8" t="s">
        <v>11</v>
      </c>
      <c r="F240" s="6"/>
    </row>
    <row r="241">
      <c r="A241" s="6" t="s">
        <v>1876</v>
      </c>
      <c r="B241" s="6" t="s">
        <v>7</v>
      </c>
      <c r="C241" s="7" t="s">
        <v>103</v>
      </c>
      <c r="D241" s="6" t="s">
        <v>1879</v>
      </c>
      <c r="E241" s="8" t="s">
        <v>24</v>
      </c>
      <c r="F241" s="2" t="s">
        <v>1048</v>
      </c>
    </row>
    <row r="242">
      <c r="A242" s="6" t="s">
        <v>1886</v>
      </c>
      <c r="B242" s="6" t="s">
        <v>7</v>
      </c>
      <c r="C242" s="7" t="s">
        <v>1888</v>
      </c>
      <c r="D242" s="6" t="s">
        <v>1890</v>
      </c>
      <c r="E242" s="8" t="s">
        <v>11</v>
      </c>
      <c r="F242" s="6"/>
    </row>
    <row r="243">
      <c r="A243" s="6" t="s">
        <v>1895</v>
      </c>
      <c r="B243" s="6" t="s">
        <v>7</v>
      </c>
      <c r="C243" s="7" t="s">
        <v>1898</v>
      </c>
      <c r="D243" s="6" t="s">
        <v>1899</v>
      </c>
      <c r="E243" s="8" t="s">
        <v>11</v>
      </c>
      <c r="F243" s="6"/>
    </row>
    <row r="244">
      <c r="A244" s="6" t="s">
        <v>1902</v>
      </c>
      <c r="B244" s="6" t="s">
        <v>7</v>
      </c>
      <c r="C244" s="7" t="s">
        <v>1903</v>
      </c>
      <c r="D244" s="6" t="s">
        <v>1905</v>
      </c>
      <c r="E244" s="8" t="s">
        <v>1530</v>
      </c>
      <c r="F244" s="6"/>
    </row>
    <row r="245">
      <c r="A245" s="6" t="s">
        <v>1911</v>
      </c>
      <c r="B245" s="6" t="s">
        <v>176</v>
      </c>
      <c r="C245" s="7" t="s">
        <v>1913</v>
      </c>
      <c r="D245" s="6" t="s">
        <v>1915</v>
      </c>
      <c r="E245" s="8" t="s">
        <v>1530</v>
      </c>
      <c r="F245" s="6"/>
    </row>
    <row r="246">
      <c r="A246" s="6" t="s">
        <v>1920</v>
      </c>
      <c r="B246" s="6" t="s">
        <v>7</v>
      </c>
      <c r="C246" s="7" t="s">
        <v>1922</v>
      </c>
      <c r="D246" s="6" t="s">
        <v>1924</v>
      </c>
      <c r="E246" s="8" t="s">
        <v>1927</v>
      </c>
      <c r="F246" s="6"/>
    </row>
    <row r="247">
      <c r="A247" s="6" t="s">
        <v>1930</v>
      </c>
      <c r="B247" s="6" t="s">
        <v>7</v>
      </c>
      <c r="C247" s="7" t="s">
        <v>1933</v>
      </c>
      <c r="D247" s="6" t="s">
        <v>1934</v>
      </c>
      <c r="E247" s="8" t="s">
        <v>1927</v>
      </c>
      <c r="F247" s="6"/>
    </row>
    <row r="248">
      <c r="A248" s="6" t="s">
        <v>1939</v>
      </c>
      <c r="B248" s="6" t="s">
        <v>7</v>
      </c>
      <c r="C248" s="7" t="s">
        <v>1942</v>
      </c>
      <c r="D248" s="6" t="s">
        <v>1943</v>
      </c>
      <c r="E248" s="8" t="s">
        <v>1927</v>
      </c>
      <c r="F248" s="6"/>
    </row>
    <row r="249">
      <c r="A249" s="6" t="s">
        <v>1948</v>
      </c>
      <c r="B249" s="6" t="s">
        <v>7</v>
      </c>
      <c r="C249" s="7" t="s">
        <v>1951</v>
      </c>
      <c r="D249" s="6" t="s">
        <v>1952</v>
      </c>
      <c r="E249" s="8" t="s">
        <v>1927</v>
      </c>
      <c r="F249" s="6"/>
    </row>
    <row r="250">
      <c r="A250" s="6" t="s">
        <v>1958</v>
      </c>
      <c r="B250" s="6" t="s">
        <v>7</v>
      </c>
      <c r="C250" s="7" t="s">
        <v>1960</v>
      </c>
      <c r="D250" s="6" t="s">
        <v>1962</v>
      </c>
      <c r="E250" s="8" t="s">
        <v>1927</v>
      </c>
      <c r="F250" s="6"/>
    </row>
    <row r="251">
      <c r="A251" s="6" t="s">
        <v>1968</v>
      </c>
      <c r="B251" s="6" t="s">
        <v>7</v>
      </c>
      <c r="C251" s="7" t="s">
        <v>1971</v>
      </c>
      <c r="D251" s="6" t="s">
        <v>1972</v>
      </c>
      <c r="E251" s="8" t="s">
        <v>1927</v>
      </c>
      <c r="F251" s="6"/>
    </row>
    <row r="252">
      <c r="A252" s="6" t="s">
        <v>1977</v>
      </c>
      <c r="B252" s="6" t="s">
        <v>7</v>
      </c>
      <c r="C252" s="7" t="s">
        <v>1980</v>
      </c>
      <c r="D252" s="6" t="s">
        <v>1986</v>
      </c>
      <c r="E252" s="8" t="s">
        <v>1927</v>
      </c>
      <c r="F252" s="6"/>
    </row>
    <row r="253">
      <c r="A253" s="6" t="s">
        <v>1990</v>
      </c>
      <c r="B253" s="6" t="s">
        <v>7</v>
      </c>
      <c r="C253" s="7" t="s">
        <v>1992</v>
      </c>
      <c r="D253" s="6" t="s">
        <v>1994</v>
      </c>
      <c r="E253" s="8" t="s">
        <v>1927</v>
      </c>
      <c r="F253" s="6"/>
    </row>
    <row r="254">
      <c r="A254" s="6" t="s">
        <v>1999</v>
      </c>
      <c r="B254" s="6" t="s">
        <v>7</v>
      </c>
      <c r="C254" s="7" t="s">
        <v>2001</v>
      </c>
      <c r="D254" s="6" t="s">
        <v>2003</v>
      </c>
      <c r="E254" s="8" t="s">
        <v>1927</v>
      </c>
      <c r="F254" s="6"/>
    </row>
    <row r="255">
      <c r="A255" s="6" t="s">
        <v>2009</v>
      </c>
      <c r="B255" s="6" t="s">
        <v>7</v>
      </c>
      <c r="C255" s="7" t="s">
        <v>2011</v>
      </c>
      <c r="D255" s="6" t="s">
        <v>2013</v>
      </c>
      <c r="E255" s="8" t="s">
        <v>1530</v>
      </c>
      <c r="F255" s="6"/>
    </row>
    <row r="256">
      <c r="A256" s="6" t="s">
        <v>2030</v>
      </c>
      <c r="B256" s="6" t="s">
        <v>7</v>
      </c>
      <c r="C256" s="7" t="s">
        <v>2036</v>
      </c>
      <c r="D256" s="6" t="s">
        <v>2038</v>
      </c>
      <c r="E256" s="8" t="s">
        <v>1690</v>
      </c>
      <c r="F256" s="6"/>
    </row>
    <row r="257">
      <c r="A257" s="6" t="s">
        <v>2044</v>
      </c>
      <c r="B257" s="6" t="s">
        <v>7</v>
      </c>
      <c r="C257" s="7" t="s">
        <v>2047</v>
      </c>
      <c r="D257" s="6" t="s">
        <v>2048</v>
      </c>
      <c r="E257" s="8" t="s">
        <v>1700</v>
      </c>
      <c r="F257" s="6"/>
    </row>
    <row r="258">
      <c r="A258" s="6" t="s">
        <v>2051</v>
      </c>
      <c r="B258" s="6" t="s">
        <v>1705</v>
      </c>
      <c r="C258" s="7" t="s">
        <v>2054</v>
      </c>
      <c r="D258" s="6" t="s">
        <v>2055</v>
      </c>
      <c r="E258" s="8" t="s">
        <v>20</v>
      </c>
      <c r="F258" s="6"/>
    </row>
    <row r="259">
      <c r="A259" s="6" t="s">
        <v>2060</v>
      </c>
      <c r="B259" s="6" t="s">
        <v>7</v>
      </c>
      <c r="C259" s="7" t="s">
        <v>2062</v>
      </c>
      <c r="D259" s="6" t="s">
        <v>2070</v>
      </c>
      <c r="E259" s="8" t="s">
        <v>1700</v>
      </c>
      <c r="F259" s="6"/>
    </row>
    <row r="260">
      <c r="A260" s="6" t="s">
        <v>2077</v>
      </c>
      <c r="B260" s="6" t="s">
        <v>7</v>
      </c>
      <c r="C260" s="7" t="s">
        <v>2079</v>
      </c>
      <c r="D260" s="6" t="s">
        <v>2081</v>
      </c>
      <c r="E260" s="8" t="s">
        <v>24</v>
      </c>
      <c r="F260" s="6"/>
    </row>
    <row r="261">
      <c r="A261" s="6" t="s">
        <v>2086</v>
      </c>
      <c r="B261" s="6" t="s">
        <v>7</v>
      </c>
      <c r="C261" s="7" t="s">
        <v>2088</v>
      </c>
      <c r="D261" s="6" t="s">
        <v>2090</v>
      </c>
      <c r="E261" s="8" t="s">
        <v>1530</v>
      </c>
      <c r="F261" s="6"/>
    </row>
    <row r="262">
      <c r="A262" s="6" t="s">
        <v>2095</v>
      </c>
      <c r="B262" s="6" t="s">
        <v>7</v>
      </c>
      <c r="C262" s="7" t="s">
        <v>2096</v>
      </c>
      <c r="D262" s="6" t="s">
        <v>2098</v>
      </c>
      <c r="E262" s="8" t="s">
        <v>1530</v>
      </c>
      <c r="F262" s="6"/>
    </row>
    <row r="263">
      <c r="A263" s="6" t="s">
        <v>2104</v>
      </c>
      <c r="B263" s="6" t="s">
        <v>7</v>
      </c>
      <c r="C263" s="7" t="s">
        <v>2106</v>
      </c>
      <c r="D263" s="6" t="s">
        <v>2108</v>
      </c>
      <c r="E263" s="8" t="s">
        <v>1700</v>
      </c>
      <c r="F263" s="6"/>
    </row>
    <row r="264">
      <c r="A264" s="6" t="s">
        <v>2113</v>
      </c>
      <c r="B264" s="6" t="s">
        <v>7</v>
      </c>
      <c r="C264" s="7" t="s">
        <v>2115</v>
      </c>
      <c r="D264" s="6" t="s">
        <v>2117</v>
      </c>
      <c r="E264" s="8" t="s">
        <v>1700</v>
      </c>
      <c r="F264" s="6"/>
    </row>
    <row r="265">
      <c r="A265" s="6" t="s">
        <v>2122</v>
      </c>
      <c r="B265" s="6" t="s">
        <v>1524</v>
      </c>
      <c r="C265" s="7" t="s">
        <v>2125</v>
      </c>
      <c r="D265" s="6" t="s">
        <v>2126</v>
      </c>
      <c r="E265" s="8" t="s">
        <v>24</v>
      </c>
      <c r="F265" s="6"/>
    </row>
    <row r="266">
      <c r="A266" s="6" t="s">
        <v>2129</v>
      </c>
      <c r="B266" s="6" t="s">
        <v>7</v>
      </c>
      <c r="C266" s="7" t="s">
        <v>2130</v>
      </c>
      <c r="D266" s="6" t="s">
        <v>2131</v>
      </c>
      <c r="E266" s="8" t="s">
        <v>1823</v>
      </c>
      <c r="F266" s="6"/>
    </row>
    <row r="267">
      <c r="A267" s="6" t="s">
        <v>2137</v>
      </c>
      <c r="B267" s="6" t="s">
        <v>7</v>
      </c>
      <c r="C267" s="7" t="s">
        <v>2141</v>
      </c>
      <c r="D267" s="6" t="s">
        <v>2142</v>
      </c>
      <c r="E267" s="8" t="s">
        <v>1700</v>
      </c>
      <c r="F267" s="6"/>
    </row>
    <row r="268">
      <c r="A268" s="6" t="s">
        <v>2147</v>
      </c>
      <c r="B268" s="6" t="s">
        <v>7</v>
      </c>
      <c r="C268" s="7" t="s">
        <v>2150</v>
      </c>
      <c r="D268" s="6" t="s">
        <v>2151</v>
      </c>
      <c r="E268" s="8" t="s">
        <v>1927</v>
      </c>
      <c r="F268" s="6"/>
    </row>
    <row r="269">
      <c r="A269" s="6" t="s">
        <v>2157</v>
      </c>
      <c r="B269" s="6" t="s">
        <v>7</v>
      </c>
      <c r="C269" s="7" t="s">
        <v>2159</v>
      </c>
      <c r="D269" s="6" t="s">
        <v>2161</v>
      </c>
      <c r="E269" s="8" t="s">
        <v>24</v>
      </c>
      <c r="F269" s="6"/>
    </row>
    <row r="270">
      <c r="A270" s="6" t="s">
        <v>2166</v>
      </c>
      <c r="B270" s="6" t="s">
        <v>7</v>
      </c>
      <c r="C270" s="7" t="s">
        <v>2168</v>
      </c>
      <c r="D270" s="6" t="s">
        <v>2170</v>
      </c>
      <c r="E270" s="8" t="s">
        <v>24</v>
      </c>
      <c r="F270" s="6"/>
    </row>
    <row r="271">
      <c r="A271" s="6" t="s">
        <v>2175</v>
      </c>
      <c r="B271" s="6" t="s">
        <v>7</v>
      </c>
      <c r="C271" s="7" t="s">
        <v>2177</v>
      </c>
      <c r="D271" s="6" t="s">
        <v>2178</v>
      </c>
      <c r="E271" s="8" t="s">
        <v>24</v>
      </c>
      <c r="F271" s="6"/>
    </row>
    <row r="272">
      <c r="A272" s="6" t="s">
        <v>2183</v>
      </c>
      <c r="B272" s="6" t="s">
        <v>7</v>
      </c>
      <c r="C272" s="7" t="s">
        <v>2186</v>
      </c>
      <c r="D272" s="6" t="s">
        <v>2187</v>
      </c>
      <c r="E272" s="8" t="s">
        <v>11</v>
      </c>
      <c r="F272" s="6"/>
    </row>
    <row r="273">
      <c r="A273" s="6" t="s">
        <v>2192</v>
      </c>
      <c r="B273" s="6" t="s">
        <v>7</v>
      </c>
      <c r="C273" s="7" t="s">
        <v>2197</v>
      </c>
      <c r="D273" s="6" t="s">
        <v>2198</v>
      </c>
      <c r="E273" s="8" t="s">
        <v>11</v>
      </c>
      <c r="F273" s="6"/>
    </row>
    <row r="274">
      <c r="A274" s="6" t="s">
        <v>2207</v>
      </c>
      <c r="B274" s="6" t="s">
        <v>7</v>
      </c>
      <c r="C274" s="7" t="s">
        <v>2210</v>
      </c>
      <c r="D274" s="6" t="s">
        <v>2211</v>
      </c>
      <c r="E274" s="8" t="s">
        <v>2278</v>
      </c>
      <c r="F274" s="6"/>
    </row>
    <row r="275">
      <c r="A275" s="6" t="s">
        <v>2305</v>
      </c>
      <c r="B275" s="6" t="s">
        <v>7</v>
      </c>
      <c r="C275" s="7" t="s">
        <v>85</v>
      </c>
      <c r="D275" s="6" t="s">
        <v>2310</v>
      </c>
      <c r="E275" s="8" t="s">
        <v>27</v>
      </c>
      <c r="F275" s="2" t="s">
        <v>1048</v>
      </c>
    </row>
    <row r="276">
      <c r="A276" s="6" t="s">
        <v>2315</v>
      </c>
      <c r="B276" s="6" t="s">
        <v>7</v>
      </c>
      <c r="C276" s="7" t="s">
        <v>2317</v>
      </c>
      <c r="D276" s="6" t="s">
        <v>2318</v>
      </c>
      <c r="E276" s="8" t="s">
        <v>2320</v>
      </c>
      <c r="F276" s="6"/>
    </row>
    <row r="277">
      <c r="A277" s="6" t="s">
        <v>2324</v>
      </c>
      <c r="B277" s="6" t="s">
        <v>7</v>
      </c>
      <c r="C277" s="7" t="s">
        <v>2326</v>
      </c>
      <c r="D277" s="6" t="s">
        <v>2327</v>
      </c>
      <c r="E277" s="8" t="s">
        <v>2278</v>
      </c>
      <c r="F277" s="6"/>
    </row>
    <row r="278">
      <c r="A278" s="6" t="s">
        <v>2331</v>
      </c>
      <c r="B278" s="6" t="s">
        <v>7</v>
      </c>
      <c r="C278" s="7" t="s">
        <v>2332</v>
      </c>
      <c r="D278" s="6" t="s">
        <v>2334</v>
      </c>
      <c r="E278" s="8" t="s">
        <v>2320</v>
      </c>
      <c r="F278" s="6"/>
    </row>
    <row r="279">
      <c r="A279" s="6" t="s">
        <v>2338</v>
      </c>
      <c r="B279" s="6" t="s">
        <v>7</v>
      </c>
      <c r="C279" s="7" t="s">
        <v>2340</v>
      </c>
      <c r="D279" s="6" t="s">
        <v>2341</v>
      </c>
      <c r="E279" s="8" t="s">
        <v>2278</v>
      </c>
      <c r="F279" s="6"/>
    </row>
    <row r="280">
      <c r="A280" s="6" t="s">
        <v>2345</v>
      </c>
      <c r="B280" s="6" t="s">
        <v>7</v>
      </c>
      <c r="C280" s="7" t="s">
        <v>2347</v>
      </c>
      <c r="D280" s="6" t="s">
        <v>2348</v>
      </c>
      <c r="E280" s="8" t="s">
        <v>2350</v>
      </c>
      <c r="F280" s="6"/>
    </row>
    <row r="281">
      <c r="A281" s="6" t="s">
        <v>2353</v>
      </c>
      <c r="B281" s="6" t="s">
        <v>7</v>
      </c>
      <c r="C281" s="7" t="s">
        <v>2355</v>
      </c>
      <c r="D281" s="6" t="s">
        <v>2356</v>
      </c>
      <c r="E281" s="8" t="s">
        <v>2350</v>
      </c>
      <c r="F281" s="6"/>
    </row>
    <row r="282">
      <c r="A282" s="6" t="s">
        <v>2359</v>
      </c>
      <c r="B282" s="6" t="s">
        <v>2361</v>
      </c>
      <c r="C282" s="7" t="s">
        <v>2363</v>
      </c>
      <c r="D282" s="6" t="s">
        <v>2364</v>
      </c>
      <c r="E282" s="8" t="s">
        <v>2366</v>
      </c>
      <c r="F282" s="6"/>
    </row>
    <row r="283">
      <c r="A283" s="6" t="s">
        <v>2368</v>
      </c>
      <c r="B283" s="6" t="s">
        <v>7</v>
      </c>
      <c r="C283" s="7" t="s">
        <v>2370</v>
      </c>
      <c r="D283" s="6" t="s">
        <v>2371</v>
      </c>
      <c r="E283" s="8" t="s">
        <v>2350</v>
      </c>
      <c r="F283" s="6"/>
    </row>
    <row r="284">
      <c r="A284" s="6" t="s">
        <v>2374</v>
      </c>
      <c r="B284" s="6" t="s">
        <v>7</v>
      </c>
      <c r="C284" s="7" t="s">
        <v>2376</v>
      </c>
      <c r="D284" s="6" t="s">
        <v>2377</v>
      </c>
      <c r="E284" s="8" t="s">
        <v>2350</v>
      </c>
      <c r="F284" s="6"/>
    </row>
    <row r="285">
      <c r="A285" s="6" t="s">
        <v>2380</v>
      </c>
      <c r="B285" s="6" t="s">
        <v>7</v>
      </c>
      <c r="C285" s="7" t="s">
        <v>2382</v>
      </c>
      <c r="D285" s="6" t="s">
        <v>2383</v>
      </c>
      <c r="E285" s="8" t="s">
        <v>2350</v>
      </c>
      <c r="F285" s="6"/>
    </row>
    <row r="286">
      <c r="A286" s="6" t="s">
        <v>2386</v>
      </c>
      <c r="B286" s="6" t="s">
        <v>7</v>
      </c>
      <c r="C286" s="7" t="s">
        <v>2388</v>
      </c>
      <c r="D286" s="6" t="s">
        <v>2390</v>
      </c>
      <c r="E286" s="8" t="s">
        <v>2392</v>
      </c>
      <c r="F286" s="6"/>
    </row>
    <row r="287">
      <c r="A287" s="6" t="s">
        <v>2394</v>
      </c>
      <c r="B287" s="6" t="s">
        <v>7</v>
      </c>
      <c r="C287" s="7" t="s">
        <v>2396</v>
      </c>
      <c r="D287" s="6" t="s">
        <v>2397</v>
      </c>
      <c r="E287" s="8" t="s">
        <v>2392</v>
      </c>
      <c r="F287" s="6"/>
    </row>
    <row r="288">
      <c r="A288" s="6" t="s">
        <v>2401</v>
      </c>
      <c r="B288" s="6" t="s">
        <v>7</v>
      </c>
      <c r="C288" s="7" t="s">
        <v>2403</v>
      </c>
      <c r="D288" s="6" t="s">
        <v>2405</v>
      </c>
      <c r="E288" s="8" t="s">
        <v>2392</v>
      </c>
      <c r="F288" s="6"/>
    </row>
    <row r="289">
      <c r="A289" s="6" t="s">
        <v>2408</v>
      </c>
      <c r="B289" s="6" t="s">
        <v>7</v>
      </c>
      <c r="C289" s="7" t="s">
        <v>2410</v>
      </c>
      <c r="D289" s="6" t="s">
        <v>2411</v>
      </c>
      <c r="E289" s="8" t="s">
        <v>2392</v>
      </c>
      <c r="F289" s="6"/>
    </row>
    <row r="290">
      <c r="A290" s="6" t="s">
        <v>2418</v>
      </c>
      <c r="B290" s="6" t="s">
        <v>7</v>
      </c>
      <c r="C290" s="7" t="s">
        <v>2419</v>
      </c>
      <c r="D290" s="6" t="s">
        <v>2421</v>
      </c>
      <c r="E290" s="8" t="s">
        <v>2392</v>
      </c>
      <c r="F290" s="6"/>
    </row>
    <row r="291">
      <c r="A291" s="6" t="s">
        <v>2423</v>
      </c>
      <c r="B291" s="6" t="s">
        <v>7</v>
      </c>
      <c r="C291" s="7" t="s">
        <v>2425</v>
      </c>
      <c r="D291" s="6" t="s">
        <v>2427</v>
      </c>
      <c r="E291" s="8" t="s">
        <v>2392</v>
      </c>
      <c r="F291" s="6"/>
    </row>
    <row r="292">
      <c r="A292" s="6" t="s">
        <v>2430</v>
      </c>
      <c r="B292" s="6" t="s">
        <v>7</v>
      </c>
      <c r="C292" s="7" t="s">
        <v>2432</v>
      </c>
      <c r="D292" s="6" t="s">
        <v>2433</v>
      </c>
      <c r="E292" s="8" t="s">
        <v>2392</v>
      </c>
      <c r="F292" s="6"/>
    </row>
    <row r="293">
      <c r="A293" s="6" t="s">
        <v>2436</v>
      </c>
      <c r="B293" s="6" t="s">
        <v>7</v>
      </c>
      <c r="C293" s="7" t="s">
        <v>2438</v>
      </c>
      <c r="D293" s="6" t="s">
        <v>2439</v>
      </c>
      <c r="E293" s="8" t="s">
        <v>2392</v>
      </c>
      <c r="F293" s="6"/>
    </row>
    <row r="294">
      <c r="A294" s="6" t="s">
        <v>2442</v>
      </c>
      <c r="B294" s="6" t="s">
        <v>7</v>
      </c>
      <c r="C294" s="7" t="s">
        <v>2444</v>
      </c>
      <c r="D294" s="6" t="s">
        <v>2445</v>
      </c>
      <c r="E294" s="8" t="s">
        <v>2447</v>
      </c>
      <c r="F294" s="6"/>
    </row>
    <row r="295">
      <c r="A295" s="6" t="s">
        <v>2449</v>
      </c>
      <c r="B295" s="6" t="s">
        <v>7</v>
      </c>
      <c r="C295" s="7" t="s">
        <v>2450</v>
      </c>
      <c r="D295" s="6" t="s">
        <v>2451</v>
      </c>
      <c r="E295" s="8" t="s">
        <v>2447</v>
      </c>
      <c r="F295" s="6"/>
    </row>
    <row r="296">
      <c r="A296" s="6" t="s">
        <v>2452</v>
      </c>
      <c r="B296" s="6" t="s">
        <v>7</v>
      </c>
      <c r="C296" s="7" t="s">
        <v>2454</v>
      </c>
      <c r="D296" s="6" t="s">
        <v>2455</v>
      </c>
      <c r="E296" s="8" t="s">
        <v>2457</v>
      </c>
      <c r="F296" s="6"/>
    </row>
    <row r="297">
      <c r="A297" s="6" t="s">
        <v>2464</v>
      </c>
      <c r="B297" s="6" t="s">
        <v>7</v>
      </c>
      <c r="C297" s="7" t="s">
        <v>2465</v>
      </c>
      <c r="D297" s="6" t="s">
        <v>2466</v>
      </c>
      <c r="E297" s="8" t="s">
        <v>11</v>
      </c>
      <c r="F297" s="6"/>
    </row>
    <row r="298">
      <c r="A298" s="6" t="s">
        <v>2470</v>
      </c>
      <c r="B298" s="6" t="s">
        <v>7</v>
      </c>
      <c r="C298" s="7" t="s">
        <v>2472</v>
      </c>
      <c r="D298" s="6" t="s">
        <v>2473</v>
      </c>
      <c r="E298" s="8" t="s">
        <v>2350</v>
      </c>
      <c r="F298" s="6"/>
    </row>
    <row r="299">
      <c r="A299" s="6" t="s">
        <v>2476</v>
      </c>
      <c r="B299" s="6" t="s">
        <v>7</v>
      </c>
      <c r="C299" s="7" t="s">
        <v>2477</v>
      </c>
      <c r="D299" s="6" t="s">
        <v>2479</v>
      </c>
      <c r="E299" s="8" t="s">
        <v>1530</v>
      </c>
      <c r="F299" s="6"/>
    </row>
    <row r="300">
      <c r="A300" s="6" t="s">
        <v>2481</v>
      </c>
      <c r="B300" s="6" t="s">
        <v>7</v>
      </c>
      <c r="C300" s="7" t="s">
        <v>2484</v>
      </c>
      <c r="D300" s="6" t="s">
        <v>2485</v>
      </c>
      <c r="E300" s="8" t="s">
        <v>2487</v>
      </c>
      <c r="F300" s="6"/>
    </row>
    <row r="301">
      <c r="A301" s="6" t="s">
        <v>2489</v>
      </c>
      <c r="B301" s="6" t="s">
        <v>7</v>
      </c>
      <c r="C301" s="7" t="s">
        <v>2491</v>
      </c>
      <c r="D301" s="6" t="s">
        <v>2492</v>
      </c>
      <c r="E301" s="8" t="s">
        <v>2494</v>
      </c>
      <c r="F301" s="6"/>
    </row>
    <row r="302">
      <c r="A302" s="6" t="s">
        <v>2496</v>
      </c>
      <c r="B302" s="6" t="s">
        <v>7</v>
      </c>
      <c r="C302" s="7" t="s">
        <v>77</v>
      </c>
      <c r="D302" s="6" t="s">
        <v>2498</v>
      </c>
      <c r="E302" s="8" t="s">
        <v>2500</v>
      </c>
      <c r="F302" s="2" t="s">
        <v>71</v>
      </c>
    </row>
    <row r="303">
      <c r="A303" s="6" t="s">
        <v>2502</v>
      </c>
      <c r="B303" s="6" t="s">
        <v>7</v>
      </c>
      <c r="C303" s="7" t="s">
        <v>2504</v>
      </c>
      <c r="D303" s="6" t="s">
        <v>2505</v>
      </c>
      <c r="E303" s="8" t="s">
        <v>2507</v>
      </c>
      <c r="F303" s="6"/>
    </row>
    <row r="304">
      <c r="A304" s="6" t="s">
        <v>2508</v>
      </c>
      <c r="B304" s="6" t="s">
        <v>7</v>
      </c>
      <c r="C304" s="7" t="s">
        <v>2510</v>
      </c>
      <c r="D304" s="6" t="s">
        <v>2511</v>
      </c>
      <c r="E304" s="8" t="s">
        <v>2507</v>
      </c>
      <c r="F304" s="6"/>
    </row>
    <row r="305">
      <c r="A305" s="6" t="s">
        <v>2514</v>
      </c>
      <c r="B305" s="6" t="s">
        <v>7</v>
      </c>
      <c r="C305" s="7" t="s">
        <v>2516</v>
      </c>
      <c r="D305" s="6" t="s">
        <v>2517</v>
      </c>
      <c r="E305" s="8" t="s">
        <v>2507</v>
      </c>
      <c r="F305" s="6"/>
    </row>
    <row r="306">
      <c r="A306" s="6" t="s">
        <v>2520</v>
      </c>
      <c r="B306" s="6" t="s">
        <v>7</v>
      </c>
      <c r="C306" s="7" t="s">
        <v>2522</v>
      </c>
      <c r="D306" s="6" t="s">
        <v>2523</v>
      </c>
      <c r="E306" s="8" t="s">
        <v>2507</v>
      </c>
      <c r="F306" s="6"/>
    </row>
    <row r="307">
      <c r="A307" s="6" t="s">
        <v>2525</v>
      </c>
      <c r="B307" s="6" t="s">
        <v>7</v>
      </c>
      <c r="C307" s="7" t="s">
        <v>2526</v>
      </c>
      <c r="D307" s="6" t="s">
        <v>2527</v>
      </c>
      <c r="E307" s="8" t="s">
        <v>2507</v>
      </c>
      <c r="F307" s="6"/>
    </row>
    <row r="308">
      <c r="A308" s="6" t="s">
        <v>2530</v>
      </c>
      <c r="B308" s="6" t="s">
        <v>7</v>
      </c>
      <c r="C308" s="7" t="s">
        <v>2532</v>
      </c>
      <c r="D308" s="6" t="s">
        <v>2533</v>
      </c>
      <c r="E308" s="8" t="s">
        <v>2507</v>
      </c>
      <c r="F308" s="6"/>
    </row>
    <row r="309">
      <c r="A309" s="6" t="s">
        <v>2536</v>
      </c>
      <c r="B309" s="6" t="s">
        <v>7</v>
      </c>
      <c r="C309" s="7" t="s">
        <v>2538</v>
      </c>
      <c r="D309" s="6" t="s">
        <v>2539</v>
      </c>
      <c r="E309" s="8" t="s">
        <v>2507</v>
      </c>
      <c r="F309" s="6"/>
    </row>
    <row r="310">
      <c r="A310" s="6" t="s">
        <v>2542</v>
      </c>
      <c r="B310" s="6" t="s">
        <v>7</v>
      </c>
      <c r="C310" s="7" t="s">
        <v>2544</v>
      </c>
      <c r="D310" s="6" t="s">
        <v>2545</v>
      </c>
      <c r="E310" s="8" t="s">
        <v>2507</v>
      </c>
      <c r="F310" s="6"/>
    </row>
    <row r="311">
      <c r="A311" s="6" t="s">
        <v>2548</v>
      </c>
      <c r="B311" s="6" t="s">
        <v>7</v>
      </c>
      <c r="C311" s="7" t="s">
        <v>2550</v>
      </c>
      <c r="D311" s="6" t="s">
        <v>2551</v>
      </c>
      <c r="E311" s="8" t="s">
        <v>2507</v>
      </c>
      <c r="F311" s="6"/>
    </row>
    <row r="312">
      <c r="A312" s="6" t="s">
        <v>2554</v>
      </c>
      <c r="B312" s="6" t="s">
        <v>7</v>
      </c>
      <c r="C312" s="7" t="s">
        <v>2555</v>
      </c>
      <c r="D312" s="6" t="s">
        <v>2556</v>
      </c>
      <c r="E312" s="8" t="s">
        <v>2278</v>
      </c>
      <c r="F312" s="6"/>
    </row>
    <row r="313">
      <c r="A313" s="6" t="s">
        <v>2559</v>
      </c>
      <c r="B313" s="6" t="s">
        <v>7</v>
      </c>
      <c r="C313" s="7" t="s">
        <v>2561</v>
      </c>
      <c r="D313" s="6" t="s">
        <v>2562</v>
      </c>
      <c r="E313" s="8" t="s">
        <v>2564</v>
      </c>
      <c r="F313" s="6"/>
    </row>
    <row r="314">
      <c r="A314" s="6" t="s">
        <v>2566</v>
      </c>
      <c r="B314" s="6" t="s">
        <v>7</v>
      </c>
      <c r="C314" s="7" t="s">
        <v>2568</v>
      </c>
      <c r="D314" s="6" t="s">
        <v>2569</v>
      </c>
      <c r="E314" s="8" t="s">
        <v>2564</v>
      </c>
      <c r="F314" s="6"/>
    </row>
    <row r="315">
      <c r="A315" s="6" t="s">
        <v>2573</v>
      </c>
      <c r="B315" s="6" t="s">
        <v>7</v>
      </c>
      <c r="C315" s="7" t="s">
        <v>2574</v>
      </c>
      <c r="D315" s="6" t="s">
        <v>2576</v>
      </c>
      <c r="E315" s="8" t="s">
        <v>2564</v>
      </c>
      <c r="F315" s="6"/>
    </row>
    <row r="316">
      <c r="A316" s="6" t="s">
        <v>2578</v>
      </c>
      <c r="B316" s="6" t="s">
        <v>7</v>
      </c>
      <c r="C316" s="7" t="s">
        <v>2580</v>
      </c>
      <c r="D316" s="6" t="s">
        <v>2581</v>
      </c>
      <c r="E316" s="8" t="s">
        <v>2564</v>
      </c>
      <c r="F316" s="6"/>
    </row>
    <row r="317">
      <c r="A317" s="6" t="s">
        <v>2584</v>
      </c>
      <c r="B317" s="6" t="s">
        <v>7</v>
      </c>
      <c r="C317" s="7" t="s">
        <v>2586</v>
      </c>
      <c r="D317" s="6" t="s">
        <v>2587</v>
      </c>
      <c r="E317" s="8" t="s">
        <v>2564</v>
      </c>
      <c r="F317" s="6"/>
    </row>
    <row r="318">
      <c r="A318" s="6" t="s">
        <v>2590</v>
      </c>
      <c r="B318" s="6" t="s">
        <v>7</v>
      </c>
      <c r="C318" s="7" t="s">
        <v>2591</v>
      </c>
      <c r="D318" s="6" t="s">
        <v>2592</v>
      </c>
      <c r="E318" s="8" t="s">
        <v>2564</v>
      </c>
      <c r="F318" s="6"/>
    </row>
    <row r="319">
      <c r="A319" s="6" t="s">
        <v>2595</v>
      </c>
      <c r="B319" s="6" t="s">
        <v>7</v>
      </c>
      <c r="C319" s="7" t="s">
        <v>2596</v>
      </c>
      <c r="D319" s="6" t="s">
        <v>2598</v>
      </c>
      <c r="E319" s="8" t="s">
        <v>2564</v>
      </c>
      <c r="F319" s="6"/>
    </row>
    <row r="320">
      <c r="A320" s="6" t="s">
        <v>2601</v>
      </c>
      <c r="B320" s="6" t="s">
        <v>7</v>
      </c>
      <c r="C320" s="7" t="s">
        <v>2603</v>
      </c>
      <c r="D320" s="6" t="s">
        <v>2604</v>
      </c>
      <c r="E320" s="8" t="s">
        <v>2564</v>
      </c>
      <c r="F320" s="6"/>
    </row>
    <row r="321">
      <c r="A321" s="6" t="s">
        <v>2607</v>
      </c>
      <c r="B321" s="6" t="s">
        <v>7</v>
      </c>
      <c r="C321" s="7" t="s">
        <v>2608</v>
      </c>
      <c r="D321" s="6" t="s">
        <v>2609</v>
      </c>
      <c r="E321" s="8" t="s">
        <v>2564</v>
      </c>
      <c r="F321" s="6"/>
    </row>
    <row r="322">
      <c r="A322" s="6" t="s">
        <v>2613</v>
      </c>
      <c r="B322" s="6" t="s">
        <v>7</v>
      </c>
      <c r="C322" s="7" t="s">
        <v>2615</v>
      </c>
      <c r="D322" s="6" t="s">
        <v>2616</v>
      </c>
      <c r="E322" s="8" t="s">
        <v>11</v>
      </c>
      <c r="F322" s="6"/>
    </row>
    <row r="323">
      <c r="A323" s="6" t="s">
        <v>2619</v>
      </c>
      <c r="B323" s="6" t="s">
        <v>7</v>
      </c>
      <c r="C323" s="7" t="s">
        <v>2620</v>
      </c>
      <c r="D323" s="6" t="s">
        <v>2621</v>
      </c>
      <c r="E323" s="8" t="s">
        <v>11</v>
      </c>
      <c r="F323" s="6"/>
    </row>
    <row r="324">
      <c r="A324" s="6" t="s">
        <v>2622</v>
      </c>
      <c r="B324" s="6" t="s">
        <v>7</v>
      </c>
      <c r="C324" s="7" t="s">
        <v>2623</v>
      </c>
      <c r="D324" s="6" t="s">
        <v>2624</v>
      </c>
      <c r="E324" s="8" t="s">
        <v>2278</v>
      </c>
      <c r="F324" s="6"/>
    </row>
    <row r="325">
      <c r="A325" s="6" t="s">
        <v>2627</v>
      </c>
      <c r="B325" s="6" t="s">
        <v>7</v>
      </c>
      <c r="C325" s="7" t="s">
        <v>2629</v>
      </c>
      <c r="D325" s="6" t="s">
        <v>2630</v>
      </c>
      <c r="E325" s="8" t="s">
        <v>2278</v>
      </c>
      <c r="F325" s="6"/>
    </row>
    <row r="326">
      <c r="A326" s="6" t="s">
        <v>2633</v>
      </c>
      <c r="B326" s="6" t="s">
        <v>7</v>
      </c>
      <c r="C326" s="7" t="s">
        <v>2635</v>
      </c>
      <c r="D326" s="6" t="s">
        <v>2636</v>
      </c>
      <c r="E326" s="8" t="s">
        <v>2278</v>
      </c>
      <c r="F326" s="6"/>
    </row>
    <row r="327">
      <c r="A327" s="6" t="s">
        <v>2639</v>
      </c>
      <c r="B327" s="6" t="s">
        <v>7</v>
      </c>
      <c r="C327" s="7" t="s">
        <v>2640</v>
      </c>
      <c r="D327" s="6" t="s">
        <v>2642</v>
      </c>
      <c r="E327" s="8" t="s">
        <v>2500</v>
      </c>
      <c r="F327" s="6"/>
    </row>
    <row r="328">
      <c r="A328" s="6" t="s">
        <v>2645</v>
      </c>
      <c r="B328" s="6" t="s">
        <v>7</v>
      </c>
      <c r="C328" s="7" t="s">
        <v>2647</v>
      </c>
      <c r="D328" s="6" t="s">
        <v>2648</v>
      </c>
      <c r="E328" s="8" t="s">
        <v>2500</v>
      </c>
      <c r="F328" s="6"/>
    </row>
    <row r="329">
      <c r="A329" s="6" t="s">
        <v>2651</v>
      </c>
      <c r="B329" s="6" t="s">
        <v>7</v>
      </c>
      <c r="C329" s="7" t="s">
        <v>2652</v>
      </c>
      <c r="D329" s="6" t="s">
        <v>2654</v>
      </c>
      <c r="E329" s="8" t="s">
        <v>2278</v>
      </c>
      <c r="F329" s="6"/>
    </row>
    <row r="330">
      <c r="A330" s="6" t="s">
        <v>2656</v>
      </c>
      <c r="B330" s="6" t="s">
        <v>7</v>
      </c>
      <c r="C330" s="7" t="s">
        <v>2657</v>
      </c>
      <c r="D330" s="6" t="s">
        <v>2659</v>
      </c>
      <c r="E330" s="8" t="s">
        <v>2500</v>
      </c>
      <c r="F330" s="6"/>
    </row>
    <row r="331">
      <c r="A331" s="6" t="s">
        <v>2660</v>
      </c>
      <c r="B331" s="6" t="s">
        <v>7</v>
      </c>
      <c r="C331" s="7" t="s">
        <v>2661</v>
      </c>
      <c r="D331" s="6" t="s">
        <v>2663</v>
      </c>
      <c r="E331" s="8" t="s">
        <v>2278</v>
      </c>
      <c r="F331" s="6"/>
    </row>
    <row r="332">
      <c r="A332" s="6" t="s">
        <v>2665</v>
      </c>
      <c r="B332" s="6" t="s">
        <v>7</v>
      </c>
      <c r="C332" s="7" t="s">
        <v>2667</v>
      </c>
      <c r="D332" s="6" t="s">
        <v>2668</v>
      </c>
      <c r="E332" s="8" t="s">
        <v>2500</v>
      </c>
      <c r="F332" s="6"/>
    </row>
    <row r="333">
      <c r="A333" s="6" t="s">
        <v>2674</v>
      </c>
      <c r="B333" s="6" t="s">
        <v>7</v>
      </c>
      <c r="C333" s="7" t="s">
        <v>2675</v>
      </c>
      <c r="D333" s="6" t="s">
        <v>2677</v>
      </c>
      <c r="E333" s="8" t="s">
        <v>11</v>
      </c>
      <c r="F333" s="6"/>
    </row>
    <row r="334">
      <c r="A334" s="6" t="s">
        <v>2679</v>
      </c>
      <c r="B334" s="6" t="s">
        <v>7</v>
      </c>
      <c r="C334" s="7" t="s">
        <v>2681</v>
      </c>
      <c r="D334" s="6" t="s">
        <v>2682</v>
      </c>
      <c r="E334" s="8" t="s">
        <v>2278</v>
      </c>
      <c r="F334" s="6"/>
    </row>
    <row r="335">
      <c r="A335" s="6" t="s">
        <v>2685</v>
      </c>
      <c r="B335" s="6" t="s">
        <v>7</v>
      </c>
      <c r="C335" s="7" t="s">
        <v>2686</v>
      </c>
      <c r="D335" s="6" t="s">
        <v>2687</v>
      </c>
      <c r="E335" s="8" t="s">
        <v>2278</v>
      </c>
      <c r="F335" s="6"/>
    </row>
    <row r="336">
      <c r="A336" s="6" t="s">
        <v>2691</v>
      </c>
      <c r="B336" s="6" t="s">
        <v>7</v>
      </c>
      <c r="C336" s="7" t="s">
        <v>2692</v>
      </c>
      <c r="D336" s="6" t="s">
        <v>2694</v>
      </c>
      <c r="E336" s="8" t="s">
        <v>11</v>
      </c>
      <c r="F336" s="6"/>
    </row>
    <row r="337">
      <c r="A337" s="6" t="s">
        <v>2697</v>
      </c>
      <c r="B337" s="6" t="s">
        <v>7</v>
      </c>
      <c r="C337" s="7" t="s">
        <v>2698</v>
      </c>
      <c r="D337" s="6" t="s">
        <v>2700</v>
      </c>
      <c r="E337" s="8" t="s">
        <v>78</v>
      </c>
      <c r="F337" s="6"/>
    </row>
    <row r="338">
      <c r="A338" s="6" t="s">
        <v>2703</v>
      </c>
      <c r="B338" s="6" t="s">
        <v>7</v>
      </c>
      <c r="C338" s="7" t="s">
        <v>2704</v>
      </c>
      <c r="D338" s="6" t="s">
        <v>2705</v>
      </c>
      <c r="E338" s="8" t="s">
        <v>78</v>
      </c>
      <c r="F338" s="6"/>
    </row>
    <row r="339">
      <c r="A339" s="6" t="s">
        <v>2708</v>
      </c>
      <c r="B339" s="6" t="s">
        <v>7</v>
      </c>
      <c r="C339" s="7" t="s">
        <v>2709</v>
      </c>
      <c r="D339" s="6" t="s">
        <v>2711</v>
      </c>
      <c r="E339" s="8" t="s">
        <v>78</v>
      </c>
      <c r="F339" s="6"/>
    </row>
    <row r="340">
      <c r="A340" s="6" t="s">
        <v>2713</v>
      </c>
      <c r="B340" s="6" t="s">
        <v>7</v>
      </c>
      <c r="C340" s="7" t="s">
        <v>2715</v>
      </c>
      <c r="D340" s="6" t="s">
        <v>2716</v>
      </c>
      <c r="E340" s="8" t="s">
        <v>78</v>
      </c>
      <c r="F340" s="6"/>
    </row>
    <row r="341">
      <c r="A341" s="6" t="s">
        <v>2719</v>
      </c>
      <c r="B341" s="6" t="s">
        <v>7</v>
      </c>
      <c r="C341" s="7" t="s">
        <v>2720</v>
      </c>
      <c r="D341" s="6" t="s">
        <v>2721</v>
      </c>
      <c r="E341" s="8" t="s">
        <v>78</v>
      </c>
      <c r="F341" s="6"/>
    </row>
    <row r="342">
      <c r="A342" s="6" t="s">
        <v>2724</v>
      </c>
      <c r="B342" s="6" t="s">
        <v>7</v>
      </c>
      <c r="C342" s="7" t="s">
        <v>2725</v>
      </c>
      <c r="D342" s="6" t="s">
        <v>2727</v>
      </c>
      <c r="E342" s="8" t="s">
        <v>78</v>
      </c>
      <c r="F342" s="6"/>
    </row>
    <row r="343">
      <c r="A343" s="6" t="s">
        <v>2731</v>
      </c>
      <c r="B343" s="6" t="s">
        <v>7</v>
      </c>
      <c r="C343" s="7" t="s">
        <v>2732</v>
      </c>
      <c r="D343" s="6" t="s">
        <v>2733</v>
      </c>
      <c r="E343" s="8" t="s">
        <v>78</v>
      </c>
      <c r="F343" s="6"/>
    </row>
    <row r="344">
      <c r="A344" s="6" t="s">
        <v>2736</v>
      </c>
      <c r="B344" s="6" t="s">
        <v>7</v>
      </c>
      <c r="C344" s="7" t="s">
        <v>2737</v>
      </c>
      <c r="D344" s="6" t="s">
        <v>2739</v>
      </c>
      <c r="E344" s="8" t="s">
        <v>78</v>
      </c>
      <c r="F344" s="6"/>
    </row>
    <row r="345">
      <c r="A345" s="6" t="s">
        <v>2741</v>
      </c>
      <c r="B345" s="6" t="s">
        <v>7</v>
      </c>
      <c r="C345" s="7" t="s">
        <v>2742</v>
      </c>
      <c r="D345" s="6" t="s">
        <v>2744</v>
      </c>
      <c r="E345" s="8" t="s">
        <v>78</v>
      </c>
      <c r="F345" s="6"/>
    </row>
    <row r="346">
      <c r="A346" s="6" t="s">
        <v>2746</v>
      </c>
      <c r="B346" s="6" t="s">
        <v>7</v>
      </c>
      <c r="C346" s="7" t="s">
        <v>2747</v>
      </c>
      <c r="D346" s="6" t="s">
        <v>2749</v>
      </c>
      <c r="E346" s="8" t="s">
        <v>78</v>
      </c>
      <c r="F346" s="6"/>
    </row>
    <row r="347">
      <c r="A347" s="6" t="s">
        <v>2751</v>
      </c>
      <c r="B347" s="6" t="s">
        <v>7</v>
      </c>
      <c r="C347" s="7" t="s">
        <v>2753</v>
      </c>
      <c r="D347" s="6" t="s">
        <v>2754</v>
      </c>
      <c r="E347" s="8" t="s">
        <v>78</v>
      </c>
      <c r="F347" s="6"/>
    </row>
    <row r="348">
      <c r="A348" s="6" t="s">
        <v>2756</v>
      </c>
      <c r="B348" s="6" t="s">
        <v>7</v>
      </c>
      <c r="C348" s="7" t="s">
        <v>2759</v>
      </c>
      <c r="D348" s="6" t="s">
        <v>2760</v>
      </c>
      <c r="E348" s="8" t="s">
        <v>1556</v>
      </c>
      <c r="F348" s="6"/>
    </row>
    <row r="349">
      <c r="A349" s="6" t="s">
        <v>2761</v>
      </c>
      <c r="B349" s="6" t="s">
        <v>2763</v>
      </c>
      <c r="C349" s="7" t="s">
        <v>2765</v>
      </c>
      <c r="D349" s="6" t="s">
        <v>2766</v>
      </c>
      <c r="E349" s="8" t="s">
        <v>11</v>
      </c>
      <c r="F349" s="6"/>
    </row>
    <row r="350">
      <c r="A350" s="6" t="s">
        <v>2770</v>
      </c>
      <c r="B350" s="6" t="s">
        <v>2763</v>
      </c>
      <c r="C350" s="7" t="s">
        <v>2772</v>
      </c>
      <c r="D350" s="6" t="s">
        <v>2773</v>
      </c>
      <c r="E350" s="8" t="s">
        <v>11</v>
      </c>
      <c r="F350" s="6"/>
    </row>
    <row r="351">
      <c r="A351" s="6" t="s">
        <v>2776</v>
      </c>
      <c r="B351" s="6" t="s">
        <v>2763</v>
      </c>
      <c r="C351" s="7" t="s">
        <v>2777</v>
      </c>
      <c r="D351" s="6" t="s">
        <v>2779</v>
      </c>
      <c r="E351" s="8" t="s">
        <v>78</v>
      </c>
      <c r="F351" s="6"/>
    </row>
    <row r="352">
      <c r="A352" s="6" t="s">
        <v>2783</v>
      </c>
      <c r="B352" s="6" t="s">
        <v>2763</v>
      </c>
      <c r="C352" s="7" t="s">
        <v>2784</v>
      </c>
      <c r="D352" s="6" t="s">
        <v>2785</v>
      </c>
      <c r="E352" s="8" t="s">
        <v>78</v>
      </c>
      <c r="F352" s="6"/>
    </row>
    <row r="353">
      <c r="A353" s="6" t="s">
        <v>2790</v>
      </c>
      <c r="B353" s="6" t="s">
        <v>2763</v>
      </c>
      <c r="C353" s="7" t="s">
        <v>2791</v>
      </c>
      <c r="D353" s="6" t="s">
        <v>2793</v>
      </c>
      <c r="E353" s="8" t="s">
        <v>78</v>
      </c>
      <c r="F353" s="6"/>
    </row>
    <row r="354">
      <c r="A354" s="6" t="s">
        <v>2797</v>
      </c>
      <c r="B354" s="6" t="s">
        <v>2763</v>
      </c>
      <c r="C354" s="7" t="s">
        <v>2798</v>
      </c>
      <c r="D354" s="6" t="s">
        <v>2800</v>
      </c>
      <c r="E354" s="8" t="s">
        <v>78</v>
      </c>
      <c r="F354" s="6"/>
    </row>
    <row r="355">
      <c r="A355" s="6" t="s">
        <v>2802</v>
      </c>
      <c r="B355" s="6" t="s">
        <v>2763</v>
      </c>
      <c r="C355" s="7" t="s">
        <v>2804</v>
      </c>
      <c r="D355" s="6" t="s">
        <v>2806</v>
      </c>
      <c r="E355" s="8" t="s">
        <v>78</v>
      </c>
      <c r="F355" s="6"/>
    </row>
    <row r="356">
      <c r="A356" s="6" t="s">
        <v>2809</v>
      </c>
      <c r="B356" s="6" t="s">
        <v>2763</v>
      </c>
      <c r="C356" s="7" t="s">
        <v>2811</v>
      </c>
      <c r="D356" s="6" t="s">
        <v>2812</v>
      </c>
      <c r="E356" s="8" t="s">
        <v>78</v>
      </c>
      <c r="F356" s="6"/>
    </row>
    <row r="357">
      <c r="A357" s="6" t="s">
        <v>2815</v>
      </c>
      <c r="B357" s="6" t="s">
        <v>2763</v>
      </c>
      <c r="C357" s="7" t="s">
        <v>2816</v>
      </c>
      <c r="D357" s="6" t="s">
        <v>2817</v>
      </c>
      <c r="E357" s="8" t="s">
        <v>11</v>
      </c>
      <c r="F357" s="6"/>
    </row>
    <row r="358">
      <c r="A358" s="6" t="s">
        <v>2819</v>
      </c>
      <c r="B358" s="6" t="s">
        <v>2763</v>
      </c>
      <c r="C358" s="7" t="s">
        <v>2821</v>
      </c>
      <c r="D358" s="6" t="s">
        <v>2822</v>
      </c>
      <c r="E358" s="8" t="s">
        <v>78</v>
      </c>
      <c r="F358" s="6"/>
    </row>
    <row r="359">
      <c r="A359" s="6" t="s">
        <v>2826</v>
      </c>
      <c r="B359" s="6" t="s">
        <v>7</v>
      </c>
      <c r="C359" s="7" t="s">
        <v>2828</v>
      </c>
      <c r="D359" s="6" t="s">
        <v>2829</v>
      </c>
      <c r="E359" s="8" t="s">
        <v>11</v>
      </c>
      <c r="F359" s="6"/>
    </row>
    <row r="360">
      <c r="A360" s="6" t="s">
        <v>2833</v>
      </c>
      <c r="B360" s="6" t="s">
        <v>7</v>
      </c>
      <c r="C360" s="7" t="s">
        <v>2835</v>
      </c>
      <c r="D360" s="6" t="s">
        <v>2836</v>
      </c>
      <c r="E360" s="8" t="s">
        <v>11</v>
      </c>
      <c r="F360" s="6"/>
    </row>
    <row r="361">
      <c r="A361" s="6" t="s">
        <v>2840</v>
      </c>
      <c r="B361" s="6" t="s">
        <v>7</v>
      </c>
      <c r="C361" s="7" t="s">
        <v>2842</v>
      </c>
      <c r="D361" s="6" t="s">
        <v>2843</v>
      </c>
      <c r="E361" s="8" t="s">
        <v>11</v>
      </c>
      <c r="F361" s="6"/>
    </row>
    <row r="362">
      <c r="A362" s="6" t="s">
        <v>2847</v>
      </c>
      <c r="B362" s="6" t="s">
        <v>7</v>
      </c>
      <c r="C362" s="7" t="s">
        <v>2850</v>
      </c>
      <c r="D362" s="6" t="s">
        <v>2852</v>
      </c>
      <c r="E362" s="8" t="s">
        <v>11</v>
      </c>
      <c r="F362" s="6"/>
    </row>
    <row r="363">
      <c r="A363" s="6" t="s">
        <v>2855</v>
      </c>
      <c r="B363" s="6" t="s">
        <v>7</v>
      </c>
      <c r="C363" s="7" t="s">
        <v>2857</v>
      </c>
      <c r="D363" s="6" t="s">
        <v>2859</v>
      </c>
      <c r="E363" s="8" t="s">
        <v>11</v>
      </c>
      <c r="F363" s="6"/>
    </row>
    <row r="364">
      <c r="A364" s="6" t="s">
        <v>2862</v>
      </c>
      <c r="B364" s="6" t="s">
        <v>7</v>
      </c>
      <c r="C364" s="7" t="s">
        <v>2864</v>
      </c>
      <c r="D364" s="6" t="s">
        <v>2866</v>
      </c>
      <c r="E364" s="8" t="s">
        <v>11</v>
      </c>
      <c r="F364" s="6"/>
    </row>
    <row r="365">
      <c r="A365" s="6" t="s">
        <v>2869</v>
      </c>
      <c r="B365" s="6" t="s">
        <v>7</v>
      </c>
      <c r="C365" s="7" t="s">
        <v>2871</v>
      </c>
      <c r="D365" s="6" t="s">
        <v>2872</v>
      </c>
      <c r="E365" s="8" t="s">
        <v>78</v>
      </c>
      <c r="F365" s="6"/>
    </row>
    <row r="366">
      <c r="A366" s="6" t="s">
        <v>2873</v>
      </c>
      <c r="B366" s="6" t="s">
        <v>7</v>
      </c>
      <c r="C366" s="7" t="s">
        <v>2874</v>
      </c>
      <c r="D366" s="6" t="s">
        <v>2875</v>
      </c>
      <c r="E366" s="8" t="s">
        <v>78</v>
      </c>
      <c r="F366" s="6"/>
    </row>
    <row r="367">
      <c r="A367" s="6" t="s">
        <v>2877</v>
      </c>
      <c r="B367" s="6" t="s">
        <v>7</v>
      </c>
      <c r="C367" s="7" t="s">
        <v>2878</v>
      </c>
      <c r="D367" s="6" t="s">
        <v>2879</v>
      </c>
      <c r="E367" s="8" t="s">
        <v>78</v>
      </c>
      <c r="F367" s="6"/>
    </row>
    <row r="368">
      <c r="A368" s="6" t="s">
        <v>2883</v>
      </c>
      <c r="B368" s="6" t="s">
        <v>7</v>
      </c>
      <c r="C368" s="7" t="s">
        <v>2885</v>
      </c>
      <c r="D368" s="6" t="s">
        <v>2886</v>
      </c>
      <c r="E368" s="8" t="s">
        <v>78</v>
      </c>
      <c r="F368" s="6"/>
    </row>
    <row r="369">
      <c r="A369" s="6" t="s">
        <v>2889</v>
      </c>
      <c r="B369" s="6" t="s">
        <v>7</v>
      </c>
      <c r="C369" s="7" t="s">
        <v>2892</v>
      </c>
      <c r="D369" s="6" t="s">
        <v>2893</v>
      </c>
      <c r="E369" s="8" t="s">
        <v>78</v>
      </c>
      <c r="F369" s="6"/>
    </row>
    <row r="370">
      <c r="A370" s="6" t="s">
        <v>2896</v>
      </c>
      <c r="B370" s="6" t="s">
        <v>7</v>
      </c>
      <c r="C370" s="7" t="s">
        <v>2899</v>
      </c>
      <c r="D370" s="6" t="s">
        <v>2900</v>
      </c>
      <c r="E370" s="8" t="s">
        <v>78</v>
      </c>
      <c r="F370" s="6"/>
    </row>
    <row r="371">
      <c r="A371" s="6" t="s">
        <v>2903</v>
      </c>
      <c r="B371" s="6" t="s">
        <v>7</v>
      </c>
      <c r="C371" s="7" t="s">
        <v>2906</v>
      </c>
      <c r="D371" s="6" t="s">
        <v>2907</v>
      </c>
      <c r="E371" s="8" t="s">
        <v>78</v>
      </c>
      <c r="F371" s="6"/>
    </row>
    <row r="372">
      <c r="A372" s="6" t="s">
        <v>2911</v>
      </c>
      <c r="B372" s="6" t="s">
        <v>7</v>
      </c>
      <c r="C372" s="7" t="s">
        <v>2913</v>
      </c>
      <c r="D372" s="6" t="s">
        <v>2914</v>
      </c>
      <c r="E372" s="8" t="s">
        <v>78</v>
      </c>
      <c r="F372" s="6"/>
    </row>
    <row r="373">
      <c r="A373" s="6" t="s">
        <v>2915</v>
      </c>
      <c r="B373" s="6" t="s">
        <v>7</v>
      </c>
      <c r="C373" s="7" t="s">
        <v>2917</v>
      </c>
      <c r="D373" s="6" t="s">
        <v>2918</v>
      </c>
      <c r="E373" s="8" t="s">
        <v>78</v>
      </c>
      <c r="F373" s="6"/>
    </row>
    <row r="374">
      <c r="A374" s="6" t="s">
        <v>2921</v>
      </c>
      <c r="B374" s="6" t="s">
        <v>7</v>
      </c>
      <c r="C374" s="7" t="s">
        <v>2924</v>
      </c>
      <c r="D374" s="6" t="s">
        <v>2925</v>
      </c>
      <c r="E374" s="8" t="s">
        <v>11</v>
      </c>
      <c r="F374" s="6"/>
    </row>
    <row r="375">
      <c r="A375" s="6" t="s">
        <v>2930</v>
      </c>
      <c r="B375" s="6" t="s">
        <v>7</v>
      </c>
      <c r="C375" s="7" t="s">
        <v>2931</v>
      </c>
      <c r="D375" s="6" t="s">
        <v>2933</v>
      </c>
      <c r="E375" s="8" t="s">
        <v>384</v>
      </c>
      <c r="F375" s="6"/>
    </row>
    <row r="376">
      <c r="A376" s="6" t="s">
        <v>2937</v>
      </c>
      <c r="B376" s="6" t="s">
        <v>7</v>
      </c>
      <c r="C376" s="7" t="s">
        <v>2939</v>
      </c>
      <c r="D376" s="6" t="s">
        <v>2941</v>
      </c>
      <c r="E376" s="8" t="s">
        <v>11</v>
      </c>
      <c r="F376" s="6"/>
    </row>
    <row r="377">
      <c r="A377" s="6" t="s">
        <v>2944</v>
      </c>
      <c r="B377" s="6" t="s">
        <v>7</v>
      </c>
      <c r="C377" s="7" t="s">
        <v>2946</v>
      </c>
      <c r="D377" s="6" t="s">
        <v>2948</v>
      </c>
      <c r="E377" s="8" t="s">
        <v>1530</v>
      </c>
      <c r="F377" s="6"/>
    </row>
    <row r="378">
      <c r="A378" s="6" t="s">
        <v>2951</v>
      </c>
      <c r="B378" s="6" t="s">
        <v>7</v>
      </c>
      <c r="C378" s="7" t="s">
        <v>2953</v>
      </c>
      <c r="D378" s="6" t="s">
        <v>2954</v>
      </c>
      <c r="E378" s="8" t="s">
        <v>741</v>
      </c>
      <c r="F378" s="6"/>
    </row>
    <row r="379">
      <c r="A379" s="6" t="s">
        <v>2958</v>
      </c>
      <c r="B379" s="6" t="s">
        <v>7</v>
      </c>
      <c r="C379" s="7" t="s">
        <v>2960</v>
      </c>
      <c r="D379" s="6" t="s">
        <v>2961</v>
      </c>
      <c r="E379" s="8" t="s">
        <v>11</v>
      </c>
      <c r="F379" s="6"/>
    </row>
    <row r="380">
      <c r="A380" s="6" t="s">
        <v>2965</v>
      </c>
      <c r="B380" s="6" t="s">
        <v>7</v>
      </c>
      <c r="C380" s="7" t="s">
        <v>2967</v>
      </c>
      <c r="D380" s="6" t="s">
        <v>2968</v>
      </c>
      <c r="E380" s="8" t="s">
        <v>11</v>
      </c>
      <c r="F380" s="6"/>
    </row>
    <row r="381">
      <c r="A381" s="6" t="s">
        <v>2973</v>
      </c>
      <c r="B381" s="6" t="s">
        <v>7</v>
      </c>
      <c r="C381" s="7" t="s">
        <v>79</v>
      </c>
      <c r="D381" s="6" t="s">
        <v>2975</v>
      </c>
      <c r="E381" s="8" t="s">
        <v>2977</v>
      </c>
      <c r="F381" s="2" t="s">
        <v>71</v>
      </c>
    </row>
    <row r="382">
      <c r="A382" s="6" t="s">
        <v>2980</v>
      </c>
      <c r="B382" s="6" t="s">
        <v>7</v>
      </c>
      <c r="C382" s="7" t="s">
        <v>2983</v>
      </c>
      <c r="D382" s="6" t="s">
        <v>2984</v>
      </c>
      <c r="E382" s="8" t="s">
        <v>2986</v>
      </c>
      <c r="F382" s="6"/>
    </row>
    <row r="383">
      <c r="A383" s="6" t="s">
        <v>2988</v>
      </c>
      <c r="B383" s="6" t="s">
        <v>7</v>
      </c>
      <c r="C383" s="7" t="s">
        <v>2989</v>
      </c>
      <c r="D383" s="6" t="s">
        <v>2990</v>
      </c>
      <c r="E383" s="8" t="s">
        <v>2986</v>
      </c>
      <c r="F383" s="6"/>
    </row>
    <row r="384">
      <c r="A384" s="6" t="s">
        <v>2993</v>
      </c>
      <c r="B384" s="6" t="s">
        <v>7</v>
      </c>
      <c r="C384" s="7" t="s">
        <v>2994</v>
      </c>
      <c r="D384" s="6" t="s">
        <v>2996</v>
      </c>
      <c r="E384" s="8" t="s">
        <v>2997</v>
      </c>
      <c r="F384" s="6"/>
    </row>
    <row r="385">
      <c r="A385" s="6" t="s">
        <v>2999</v>
      </c>
      <c r="B385" s="6" t="s">
        <v>7</v>
      </c>
      <c r="C385" s="7" t="s">
        <v>3001</v>
      </c>
      <c r="D385" s="6" t="s">
        <v>3002</v>
      </c>
      <c r="E385" s="8" t="s">
        <v>2986</v>
      </c>
      <c r="F385" s="6"/>
    </row>
    <row r="386">
      <c r="A386" s="6" t="s">
        <v>3005</v>
      </c>
      <c r="B386" s="6" t="s">
        <v>7</v>
      </c>
      <c r="C386" s="7" t="s">
        <v>3006</v>
      </c>
      <c r="D386" s="6" t="s">
        <v>3007</v>
      </c>
      <c r="E386" s="8" t="s">
        <v>3009</v>
      </c>
      <c r="F386" s="6"/>
    </row>
    <row r="387">
      <c r="A387" s="6" t="s">
        <v>3011</v>
      </c>
      <c r="B387" s="6" t="s">
        <v>7</v>
      </c>
      <c r="C387" s="7" t="s">
        <v>3012</v>
      </c>
      <c r="D387" s="6" t="s">
        <v>3013</v>
      </c>
      <c r="E387" s="8" t="s">
        <v>2977</v>
      </c>
      <c r="F387" s="6"/>
    </row>
    <row r="388">
      <c r="A388" s="6" t="s">
        <v>3016</v>
      </c>
      <c r="B388" s="6" t="s">
        <v>7</v>
      </c>
      <c r="C388" s="7" t="s">
        <v>3017</v>
      </c>
      <c r="D388" s="6" t="s">
        <v>3019</v>
      </c>
      <c r="E388" s="8" t="s">
        <v>3020</v>
      </c>
      <c r="F388" s="6"/>
    </row>
    <row r="389">
      <c r="A389" s="6" t="s">
        <v>3022</v>
      </c>
      <c r="B389" s="6" t="s">
        <v>7</v>
      </c>
      <c r="C389" s="7" t="s">
        <v>3024</v>
      </c>
      <c r="D389" s="6" t="s">
        <v>3025</v>
      </c>
      <c r="E389" s="8" t="s">
        <v>3020</v>
      </c>
      <c r="F389" s="6"/>
    </row>
    <row r="390">
      <c r="A390" s="6" t="s">
        <v>3028</v>
      </c>
      <c r="B390" s="6" t="s">
        <v>7</v>
      </c>
      <c r="C390" s="7" t="s">
        <v>3030</v>
      </c>
      <c r="D390" s="6" t="s">
        <v>3031</v>
      </c>
      <c r="E390" s="8" t="s">
        <v>3020</v>
      </c>
      <c r="F390" s="6"/>
    </row>
    <row r="391">
      <c r="A391" s="6" t="s">
        <v>3033</v>
      </c>
      <c r="B391" s="6" t="s">
        <v>7</v>
      </c>
      <c r="C391" s="7" t="s">
        <v>3035</v>
      </c>
      <c r="D391" s="6" t="s">
        <v>3036</v>
      </c>
      <c r="E391" s="8" t="s">
        <v>3020</v>
      </c>
      <c r="F391" s="6"/>
    </row>
    <row r="392">
      <c r="A392" s="6" t="s">
        <v>3039</v>
      </c>
      <c r="B392" s="6" t="s">
        <v>7</v>
      </c>
      <c r="C392" s="7" t="s">
        <v>3041</v>
      </c>
      <c r="D392" s="6" t="s">
        <v>3042</v>
      </c>
      <c r="E392" s="8" t="s">
        <v>3020</v>
      </c>
      <c r="F392" s="6"/>
    </row>
    <row r="393">
      <c r="A393" s="6" t="s">
        <v>3043</v>
      </c>
      <c r="B393" s="6" t="s">
        <v>7</v>
      </c>
      <c r="C393" s="7" t="s">
        <v>3045</v>
      </c>
      <c r="D393" s="6" t="s">
        <v>3046</v>
      </c>
      <c r="E393" s="8" t="s">
        <v>3020</v>
      </c>
      <c r="F393" s="6"/>
    </row>
    <row r="394">
      <c r="A394" s="6" t="s">
        <v>3049</v>
      </c>
      <c r="B394" s="6" t="s">
        <v>7</v>
      </c>
      <c r="C394" s="7" t="s">
        <v>3050</v>
      </c>
      <c r="D394" s="6" t="s">
        <v>3051</v>
      </c>
      <c r="E394" s="8" t="s">
        <v>3020</v>
      </c>
      <c r="F394" s="6"/>
    </row>
    <row r="395">
      <c r="A395" s="6" t="s">
        <v>3054</v>
      </c>
      <c r="B395" s="6" t="s">
        <v>7</v>
      </c>
      <c r="C395" s="7" t="s">
        <v>3055</v>
      </c>
      <c r="D395" s="6" t="s">
        <v>3057</v>
      </c>
      <c r="E395" s="8" t="s">
        <v>3020</v>
      </c>
      <c r="F395" s="6"/>
    </row>
    <row r="396">
      <c r="A396" s="6" t="s">
        <v>3059</v>
      </c>
      <c r="B396" s="6" t="s">
        <v>7</v>
      </c>
      <c r="C396" s="7" t="s">
        <v>3060</v>
      </c>
      <c r="D396" s="6" t="s">
        <v>3062</v>
      </c>
      <c r="E396" s="8" t="s">
        <v>3020</v>
      </c>
      <c r="F396" s="6"/>
    </row>
    <row r="397">
      <c r="A397" s="6" t="s">
        <v>3064</v>
      </c>
      <c r="B397" s="6" t="s">
        <v>7</v>
      </c>
      <c r="C397" s="7" t="s">
        <v>3065</v>
      </c>
      <c r="D397" s="6" t="s">
        <v>3067</v>
      </c>
      <c r="E397" s="8" t="s">
        <v>741</v>
      </c>
      <c r="F397" s="6"/>
    </row>
    <row r="398">
      <c r="A398" s="6" t="s">
        <v>3069</v>
      </c>
      <c r="B398" s="6" t="s">
        <v>7</v>
      </c>
      <c r="C398" s="7" t="s">
        <v>95</v>
      </c>
      <c r="D398" s="6" t="s">
        <v>3071</v>
      </c>
      <c r="E398" s="8" t="s">
        <v>741</v>
      </c>
      <c r="F398" s="2" t="s">
        <v>71</v>
      </c>
    </row>
    <row r="399">
      <c r="A399" s="6" t="s">
        <v>3078</v>
      </c>
      <c r="B399" s="6" t="s">
        <v>7</v>
      </c>
      <c r="C399" s="7" t="s">
        <v>115</v>
      </c>
      <c r="D399" s="6" t="s">
        <v>3082</v>
      </c>
      <c r="E399" s="8" t="s">
        <v>2986</v>
      </c>
      <c r="F399" s="2" t="s">
        <v>71</v>
      </c>
    </row>
    <row r="400">
      <c r="A400" s="6" t="s">
        <v>3086</v>
      </c>
      <c r="B400" s="6" t="s">
        <v>7</v>
      </c>
      <c r="C400" s="7" t="s">
        <v>3088</v>
      </c>
      <c r="D400" s="6" t="s">
        <v>3090</v>
      </c>
      <c r="E400" s="8" t="s">
        <v>741</v>
      </c>
      <c r="F400" s="6"/>
    </row>
    <row r="401">
      <c r="A401" s="6" t="s">
        <v>3094</v>
      </c>
      <c r="B401" s="6" t="s">
        <v>7</v>
      </c>
      <c r="C401" s="7" t="s">
        <v>3095</v>
      </c>
      <c r="D401" s="6" t="s">
        <v>3096</v>
      </c>
      <c r="E401" s="8" t="s">
        <v>2977</v>
      </c>
      <c r="F401" s="6"/>
    </row>
    <row r="402">
      <c r="A402" s="6" t="s">
        <v>3099</v>
      </c>
      <c r="B402" s="6" t="s">
        <v>7</v>
      </c>
      <c r="C402" s="7" t="s">
        <v>3101</v>
      </c>
      <c r="D402" s="6" t="s">
        <v>3103</v>
      </c>
      <c r="E402" s="8" t="s">
        <v>3105</v>
      </c>
      <c r="F402" s="6"/>
    </row>
    <row r="403">
      <c r="A403" s="6" t="s">
        <v>3108</v>
      </c>
      <c r="B403" s="6" t="s">
        <v>7</v>
      </c>
      <c r="C403" s="7" t="s">
        <v>3109</v>
      </c>
      <c r="D403" s="6" t="s">
        <v>3111</v>
      </c>
      <c r="E403" s="8" t="s">
        <v>2986</v>
      </c>
      <c r="F403" s="6"/>
    </row>
    <row r="404">
      <c r="A404" s="6" t="s">
        <v>3114</v>
      </c>
      <c r="B404" s="6" t="s">
        <v>7</v>
      </c>
      <c r="C404" s="7" t="s">
        <v>81</v>
      </c>
      <c r="D404" s="6" t="s">
        <v>3116</v>
      </c>
      <c r="E404" s="8" t="s">
        <v>3118</v>
      </c>
      <c r="F404" s="2" t="s">
        <v>71</v>
      </c>
    </row>
    <row r="405">
      <c r="A405" s="6" t="s">
        <v>3121</v>
      </c>
      <c r="B405" s="6" t="s">
        <v>7</v>
      </c>
      <c r="C405" s="7" t="s">
        <v>3122</v>
      </c>
      <c r="D405" s="6" t="s">
        <v>3124</v>
      </c>
      <c r="E405" s="8" t="s">
        <v>3125</v>
      </c>
      <c r="F405" s="6"/>
    </row>
    <row r="406">
      <c r="A406" s="6" t="s">
        <v>3127</v>
      </c>
      <c r="B406" s="6" t="s">
        <v>7</v>
      </c>
      <c r="C406" s="7" t="s">
        <v>3130</v>
      </c>
      <c r="D406" s="6" t="s">
        <v>3131</v>
      </c>
      <c r="E406" s="2" t="s">
        <v>3133</v>
      </c>
      <c r="F406" s="6"/>
    </row>
    <row r="407">
      <c r="A407" s="6" t="s">
        <v>3135</v>
      </c>
      <c r="B407" s="6" t="s">
        <v>7</v>
      </c>
      <c r="C407" s="7" t="s">
        <v>3137</v>
      </c>
      <c r="D407" s="6" t="s">
        <v>3138</v>
      </c>
      <c r="E407" s="2" t="s">
        <v>3133</v>
      </c>
      <c r="F407" s="6"/>
    </row>
    <row r="408">
      <c r="A408" s="6" t="s">
        <v>3142</v>
      </c>
      <c r="B408" s="6" t="s">
        <v>7</v>
      </c>
      <c r="C408" s="7" t="s">
        <v>3144</v>
      </c>
      <c r="D408" s="6" t="s">
        <v>3145</v>
      </c>
      <c r="E408" s="8" t="s">
        <v>3118</v>
      </c>
      <c r="F408" s="6"/>
    </row>
    <row r="409">
      <c r="A409" s="6" t="s">
        <v>3148</v>
      </c>
      <c r="B409" s="6" t="s">
        <v>7</v>
      </c>
      <c r="C409" s="7" t="s">
        <v>3150</v>
      </c>
      <c r="D409" s="6" t="s">
        <v>3151</v>
      </c>
      <c r="E409" s="8" t="s">
        <v>3153</v>
      </c>
      <c r="F409" s="6"/>
    </row>
    <row r="410">
      <c r="A410" s="6" t="s">
        <v>3156</v>
      </c>
      <c r="B410" s="6" t="s">
        <v>7</v>
      </c>
      <c r="C410" s="7" t="s">
        <v>3157</v>
      </c>
      <c r="D410" s="6" t="s">
        <v>3159</v>
      </c>
      <c r="E410" s="8" t="s">
        <v>3153</v>
      </c>
      <c r="F410" s="6"/>
    </row>
    <row r="411">
      <c r="A411" s="6" t="s">
        <v>3162</v>
      </c>
      <c r="B411" s="6" t="s">
        <v>7</v>
      </c>
      <c r="C411" s="7" t="s">
        <v>3164</v>
      </c>
      <c r="D411" s="6" t="s">
        <v>3165</v>
      </c>
      <c r="E411" s="8" t="s">
        <v>3153</v>
      </c>
      <c r="F411" s="6"/>
    </row>
    <row r="412">
      <c r="A412" s="6" t="s">
        <v>3168</v>
      </c>
      <c r="B412" s="6" t="s">
        <v>7</v>
      </c>
      <c r="C412" s="7" t="s">
        <v>3169</v>
      </c>
      <c r="D412" s="6" t="s">
        <v>3170</v>
      </c>
      <c r="E412" s="8" t="s">
        <v>3153</v>
      </c>
      <c r="F412" s="6"/>
    </row>
    <row r="413">
      <c r="A413" s="6" t="s">
        <v>3174</v>
      </c>
      <c r="B413" s="6" t="s">
        <v>7</v>
      </c>
      <c r="C413" s="7" t="s">
        <v>3176</v>
      </c>
      <c r="D413" s="6" t="s">
        <v>3177</v>
      </c>
      <c r="E413" s="8" t="s">
        <v>3153</v>
      </c>
      <c r="F413" s="6"/>
    </row>
    <row r="414">
      <c r="A414" s="6" t="s">
        <v>3180</v>
      </c>
      <c r="B414" s="6" t="s">
        <v>7</v>
      </c>
      <c r="C414" s="7" t="s">
        <v>3182</v>
      </c>
      <c r="D414" s="6" t="s">
        <v>3183</v>
      </c>
      <c r="E414" s="8" t="s">
        <v>3153</v>
      </c>
      <c r="F414" s="6"/>
    </row>
    <row r="415">
      <c r="A415" s="6" t="s">
        <v>3187</v>
      </c>
      <c r="B415" s="6" t="s">
        <v>7</v>
      </c>
      <c r="C415" s="7" t="s">
        <v>3188</v>
      </c>
      <c r="D415" s="6" t="s">
        <v>3190</v>
      </c>
      <c r="E415" s="8" t="s">
        <v>3153</v>
      </c>
      <c r="F415" s="6"/>
    </row>
    <row r="416">
      <c r="A416" s="6" t="s">
        <v>3199</v>
      </c>
      <c r="B416" s="6" t="s">
        <v>7</v>
      </c>
      <c r="C416" s="7" t="s">
        <v>3201</v>
      </c>
      <c r="D416" s="6" t="s">
        <v>3203</v>
      </c>
      <c r="E416" s="8" t="s">
        <v>3153</v>
      </c>
      <c r="F416" s="6"/>
    </row>
    <row r="417">
      <c r="A417" s="6" t="s">
        <v>3205</v>
      </c>
      <c r="B417" s="6" t="s">
        <v>7</v>
      </c>
      <c r="C417" s="7" t="s">
        <v>3207</v>
      </c>
      <c r="D417" s="6" t="s">
        <v>3208</v>
      </c>
      <c r="E417" s="8" t="s">
        <v>3153</v>
      </c>
      <c r="F417" s="6"/>
    </row>
    <row r="418">
      <c r="A418" s="6" t="s">
        <v>3211</v>
      </c>
      <c r="B418" s="6" t="s">
        <v>7</v>
      </c>
      <c r="C418" s="7" t="s">
        <v>3213</v>
      </c>
      <c r="D418" s="6" t="s">
        <v>3215</v>
      </c>
      <c r="E418" s="8" t="s">
        <v>3153</v>
      </c>
      <c r="F418" s="6"/>
    </row>
    <row r="419">
      <c r="A419" s="6" t="s">
        <v>3220</v>
      </c>
      <c r="B419" s="6" t="s">
        <v>7</v>
      </c>
      <c r="C419" s="7" t="s">
        <v>3222</v>
      </c>
      <c r="D419" s="6" t="s">
        <v>3223</v>
      </c>
      <c r="E419" s="2" t="s">
        <v>3133</v>
      </c>
      <c r="F419" s="6"/>
    </row>
    <row r="420">
      <c r="A420" s="6" t="s">
        <v>3227</v>
      </c>
      <c r="B420" s="6" t="s">
        <v>7</v>
      </c>
      <c r="C420" s="7" t="s">
        <v>3229</v>
      </c>
      <c r="D420" s="6" t="s">
        <v>3230</v>
      </c>
      <c r="E420" s="8" t="s">
        <v>710</v>
      </c>
      <c r="F420" s="6"/>
    </row>
    <row r="421">
      <c r="A421" s="6" t="s">
        <v>3234</v>
      </c>
      <c r="B421" s="6" t="s">
        <v>7</v>
      </c>
      <c r="C421" s="7" t="s">
        <v>3235</v>
      </c>
      <c r="D421" s="6" t="s">
        <v>3237</v>
      </c>
      <c r="E421" s="8" t="s">
        <v>3239</v>
      </c>
      <c r="F421" s="6"/>
    </row>
    <row r="422">
      <c r="A422" s="6" t="s">
        <v>3242</v>
      </c>
      <c r="B422" s="6" t="s">
        <v>7</v>
      </c>
      <c r="C422" s="7" t="s">
        <v>3244</v>
      </c>
      <c r="D422" s="6" t="s">
        <v>3245</v>
      </c>
      <c r="E422" s="8" t="s">
        <v>3246</v>
      </c>
      <c r="F422" s="6"/>
    </row>
    <row r="423">
      <c r="A423" s="6" t="s">
        <v>3249</v>
      </c>
      <c r="B423" s="6" t="s">
        <v>7</v>
      </c>
      <c r="C423" s="7" t="s">
        <v>3250</v>
      </c>
      <c r="D423" s="6" t="s">
        <v>3251</v>
      </c>
      <c r="E423" s="8" t="s">
        <v>2487</v>
      </c>
      <c r="F423" s="6"/>
    </row>
    <row r="424">
      <c r="A424" s="6" t="s">
        <v>3255</v>
      </c>
      <c r="B424" s="6" t="s">
        <v>7</v>
      </c>
      <c r="C424" s="7" t="s">
        <v>3257</v>
      </c>
      <c r="D424" s="6" t="s">
        <v>3258</v>
      </c>
      <c r="E424" s="8" t="s">
        <v>3261</v>
      </c>
      <c r="F424" s="6"/>
    </row>
    <row r="425">
      <c r="A425" s="6" t="s">
        <v>3263</v>
      </c>
      <c r="B425" s="6" t="s">
        <v>7</v>
      </c>
      <c r="C425" s="7" t="s">
        <v>3265</v>
      </c>
      <c r="D425" s="6" t="s">
        <v>3266</v>
      </c>
      <c r="E425" s="8" t="s">
        <v>3261</v>
      </c>
      <c r="F425" s="6"/>
    </row>
    <row r="426">
      <c r="A426" s="6" t="s">
        <v>3269</v>
      </c>
      <c r="B426" s="6" t="s">
        <v>7</v>
      </c>
      <c r="C426" s="7" t="s">
        <v>3271</v>
      </c>
      <c r="D426" s="6" t="s">
        <v>3272</v>
      </c>
      <c r="E426" s="8" t="s">
        <v>3261</v>
      </c>
      <c r="F426" s="6"/>
    </row>
    <row r="427">
      <c r="A427" s="6" t="s">
        <v>3277</v>
      </c>
      <c r="B427" s="6" t="s">
        <v>7</v>
      </c>
      <c r="C427" s="7" t="s">
        <v>3279</v>
      </c>
      <c r="D427" s="6" t="s">
        <v>3280</v>
      </c>
      <c r="E427" s="8" t="s">
        <v>3261</v>
      </c>
      <c r="F427" s="6"/>
    </row>
    <row r="428">
      <c r="A428" s="6" t="s">
        <v>3284</v>
      </c>
      <c r="B428" s="6" t="s">
        <v>7</v>
      </c>
      <c r="C428" s="7" t="s">
        <v>3286</v>
      </c>
      <c r="D428" s="6" t="s">
        <v>3287</v>
      </c>
      <c r="E428" s="8" t="s">
        <v>3261</v>
      </c>
      <c r="F428" s="6"/>
    </row>
    <row r="429">
      <c r="A429" s="6" t="s">
        <v>3291</v>
      </c>
      <c r="B429" s="6" t="s">
        <v>7</v>
      </c>
      <c r="C429" s="7" t="s">
        <v>3293</v>
      </c>
      <c r="D429" s="6" t="s">
        <v>3294</v>
      </c>
      <c r="E429" s="8" t="s">
        <v>3261</v>
      </c>
      <c r="F429" s="6"/>
    </row>
    <row r="430">
      <c r="A430" s="6" t="s">
        <v>3298</v>
      </c>
      <c r="B430" s="6" t="s">
        <v>7</v>
      </c>
      <c r="C430" s="7" t="s">
        <v>3300</v>
      </c>
      <c r="D430" s="6" t="s">
        <v>3302</v>
      </c>
      <c r="E430" s="8" t="s">
        <v>3261</v>
      </c>
      <c r="F430" s="6"/>
    </row>
    <row r="431">
      <c r="A431" s="6" t="s">
        <v>3304</v>
      </c>
      <c r="B431" s="6" t="s">
        <v>7</v>
      </c>
      <c r="C431" s="7" t="s">
        <v>3306</v>
      </c>
      <c r="D431" s="6" t="s">
        <v>3307</v>
      </c>
      <c r="E431" s="8" t="s">
        <v>3261</v>
      </c>
      <c r="F431" s="6"/>
    </row>
    <row r="432">
      <c r="A432" s="6" t="s">
        <v>3312</v>
      </c>
      <c r="B432" s="6" t="s">
        <v>7</v>
      </c>
      <c r="C432" s="7" t="s">
        <v>3313</v>
      </c>
      <c r="D432" s="6" t="s">
        <v>3314</v>
      </c>
      <c r="E432" s="8" t="s">
        <v>3261</v>
      </c>
      <c r="F432" s="6"/>
    </row>
    <row r="433">
      <c r="A433" s="6" t="s">
        <v>3317</v>
      </c>
      <c r="B433" s="6" t="s">
        <v>7</v>
      </c>
      <c r="C433" s="7" t="s">
        <v>3319</v>
      </c>
      <c r="D433" s="6" t="s">
        <v>3320</v>
      </c>
      <c r="E433" s="8" t="s">
        <v>3322</v>
      </c>
      <c r="F433" s="6"/>
    </row>
    <row r="434">
      <c r="A434" s="6" t="s">
        <v>3324</v>
      </c>
      <c r="B434" s="6" t="s">
        <v>7</v>
      </c>
      <c r="C434" s="7" t="s">
        <v>3326</v>
      </c>
      <c r="D434" s="6" t="s">
        <v>3327</v>
      </c>
      <c r="E434" s="8" t="s">
        <v>1700</v>
      </c>
      <c r="F434" s="6"/>
    </row>
    <row r="435">
      <c r="A435" s="6" t="s">
        <v>3329</v>
      </c>
      <c r="B435" s="6" t="s">
        <v>7</v>
      </c>
      <c r="C435" s="7" t="s">
        <v>3331</v>
      </c>
      <c r="D435" s="6" t="s">
        <v>3332</v>
      </c>
      <c r="E435" s="8" t="s">
        <v>1700</v>
      </c>
      <c r="F435" s="6"/>
    </row>
    <row r="436">
      <c r="A436" s="6" t="s">
        <v>3336</v>
      </c>
      <c r="B436" s="6" t="s">
        <v>7</v>
      </c>
      <c r="C436" s="7" t="s">
        <v>3338</v>
      </c>
      <c r="D436" s="6" t="s">
        <v>3339</v>
      </c>
      <c r="E436" s="8" t="s">
        <v>2487</v>
      </c>
      <c r="F436" s="6"/>
    </row>
    <row r="437">
      <c r="A437" s="6" t="s">
        <v>3343</v>
      </c>
      <c r="B437" s="6" t="s">
        <v>7</v>
      </c>
      <c r="C437" s="7" t="s">
        <v>3344</v>
      </c>
      <c r="D437" s="6" t="s">
        <v>3346</v>
      </c>
      <c r="E437" s="8" t="s">
        <v>2487</v>
      </c>
      <c r="F437" s="6"/>
    </row>
    <row r="438">
      <c r="A438" s="6" t="s">
        <v>3350</v>
      </c>
      <c r="B438" s="6" t="s">
        <v>3351</v>
      </c>
      <c r="C438" s="7" t="s">
        <v>3353</v>
      </c>
      <c r="D438" s="6" t="s">
        <v>3354</v>
      </c>
      <c r="E438" s="8" t="s">
        <v>3356</v>
      </c>
      <c r="F438" s="6"/>
    </row>
    <row r="439">
      <c r="A439" s="6" t="s">
        <v>3359</v>
      </c>
      <c r="B439" s="6" t="s">
        <v>7</v>
      </c>
      <c r="C439" s="7" t="s">
        <v>3361</v>
      </c>
      <c r="D439" s="6" t="s">
        <v>3362</v>
      </c>
      <c r="E439" s="8" t="s">
        <v>3322</v>
      </c>
      <c r="F439" s="6"/>
    </row>
    <row r="440">
      <c r="A440" s="6" t="s">
        <v>3366</v>
      </c>
      <c r="B440" s="6" t="s">
        <v>7</v>
      </c>
      <c r="C440" s="7" t="s">
        <v>3368</v>
      </c>
      <c r="D440" s="6" t="s">
        <v>3369</v>
      </c>
      <c r="E440" s="8" t="s">
        <v>2487</v>
      </c>
      <c r="F440" s="6"/>
    </row>
    <row r="441">
      <c r="A441" s="6" t="s">
        <v>3371</v>
      </c>
      <c r="B441" s="6" t="s">
        <v>7</v>
      </c>
      <c r="C441" s="7" t="s">
        <v>3375</v>
      </c>
      <c r="D441" s="6" t="s">
        <v>3377</v>
      </c>
      <c r="E441" s="8" t="s">
        <v>3261</v>
      </c>
      <c r="F441" s="6"/>
    </row>
    <row r="442">
      <c r="A442" s="6" t="s">
        <v>3382</v>
      </c>
      <c r="B442" s="6" t="s">
        <v>7</v>
      </c>
      <c r="C442" s="7" t="s">
        <v>3384</v>
      </c>
      <c r="D442" s="6" t="s">
        <v>3386</v>
      </c>
      <c r="E442" s="8" t="s">
        <v>3261</v>
      </c>
      <c r="F442" s="6"/>
    </row>
    <row r="443">
      <c r="A443" s="6" t="s">
        <v>3389</v>
      </c>
      <c r="B443" s="6" t="s">
        <v>7</v>
      </c>
      <c r="C443" s="7" t="s">
        <v>3391</v>
      </c>
      <c r="D443" s="6" t="s">
        <v>3393</v>
      </c>
      <c r="E443" s="8" t="s">
        <v>3261</v>
      </c>
      <c r="F443" s="6"/>
    </row>
    <row r="444">
      <c r="A444" s="6" t="s">
        <v>3397</v>
      </c>
      <c r="B444" s="6" t="s">
        <v>7</v>
      </c>
      <c r="C444" s="7" t="s">
        <v>3399</v>
      </c>
      <c r="D444" s="6" t="s">
        <v>3401</v>
      </c>
      <c r="E444" s="8" t="s">
        <v>3261</v>
      </c>
      <c r="F444" s="6"/>
    </row>
    <row r="445">
      <c r="A445" s="6" t="s">
        <v>3407</v>
      </c>
      <c r="B445" s="6" t="s">
        <v>7</v>
      </c>
      <c r="C445" s="7" t="s">
        <v>3410</v>
      </c>
      <c r="D445" s="6" t="s">
        <v>3411</v>
      </c>
      <c r="E445" s="8" t="s">
        <v>3261</v>
      </c>
      <c r="F445" s="6"/>
    </row>
    <row r="446">
      <c r="A446" s="6" t="s">
        <v>3416</v>
      </c>
      <c r="B446" s="6" t="s">
        <v>7</v>
      </c>
      <c r="C446" s="7" t="s">
        <v>3418</v>
      </c>
      <c r="D446" s="6" t="s">
        <v>3420</v>
      </c>
      <c r="E446" s="8" t="s">
        <v>3261</v>
      </c>
      <c r="F446" s="6"/>
    </row>
    <row r="447">
      <c r="A447" s="6" t="s">
        <v>3425</v>
      </c>
      <c r="B447" s="6" t="s">
        <v>7</v>
      </c>
      <c r="C447" s="7" t="s">
        <v>3428</v>
      </c>
      <c r="D447" s="6" t="s">
        <v>3431</v>
      </c>
      <c r="E447" s="8" t="s">
        <v>3261</v>
      </c>
      <c r="F447" s="6"/>
    </row>
    <row r="448">
      <c r="A448" s="6" t="s">
        <v>3436</v>
      </c>
      <c r="B448" s="6" t="s">
        <v>7</v>
      </c>
      <c r="C448" s="7" t="s">
        <v>3439</v>
      </c>
      <c r="D448" s="6" t="s">
        <v>3440</v>
      </c>
      <c r="E448" s="8" t="s">
        <v>3261</v>
      </c>
      <c r="F448" s="6"/>
    </row>
    <row r="449">
      <c r="A449" s="6" t="s">
        <v>3447</v>
      </c>
      <c r="B449" s="6" t="s">
        <v>7</v>
      </c>
      <c r="C449" s="7" t="s">
        <v>3450</v>
      </c>
      <c r="D449" s="6" t="s">
        <v>3451</v>
      </c>
      <c r="E449" s="8" t="s">
        <v>3261</v>
      </c>
      <c r="F449" s="6"/>
    </row>
    <row r="450">
      <c r="A450" s="6" t="s">
        <v>3458</v>
      </c>
      <c r="B450" s="6" t="s">
        <v>3460</v>
      </c>
      <c r="C450" s="7" t="s">
        <v>3462</v>
      </c>
      <c r="D450" s="6" t="s">
        <v>3464</v>
      </c>
      <c r="E450" s="8" t="s">
        <v>20</v>
      </c>
      <c r="F450" s="6"/>
    </row>
    <row r="451">
      <c r="A451" s="6" t="s">
        <v>3468</v>
      </c>
      <c r="B451" s="6" t="s">
        <v>7</v>
      </c>
      <c r="C451" s="7" t="s">
        <v>3470</v>
      </c>
      <c r="D451" s="6" t="s">
        <v>3471</v>
      </c>
      <c r="E451" s="8" t="s">
        <v>2487</v>
      </c>
      <c r="F451" s="6"/>
    </row>
    <row r="452">
      <c r="A452" s="6" t="s">
        <v>3475</v>
      </c>
      <c r="B452" s="6" t="s">
        <v>7</v>
      </c>
      <c r="C452" s="7" t="s">
        <v>3477</v>
      </c>
      <c r="D452" s="6" t="s">
        <v>3479</v>
      </c>
      <c r="E452" s="8" t="s">
        <v>2487</v>
      </c>
      <c r="F452" s="6"/>
    </row>
    <row r="453">
      <c r="A453" s="6" t="s">
        <v>3482</v>
      </c>
      <c r="B453" s="6" t="s">
        <v>7</v>
      </c>
      <c r="C453" s="7" t="s">
        <v>3484</v>
      </c>
      <c r="D453" s="6" t="s">
        <v>3486</v>
      </c>
      <c r="E453" s="8" t="s">
        <v>2487</v>
      </c>
      <c r="F453" s="6"/>
    </row>
    <row r="454">
      <c r="A454" s="6" t="s">
        <v>3489</v>
      </c>
      <c r="B454" s="6" t="s">
        <v>7</v>
      </c>
      <c r="C454" s="7" t="s">
        <v>3491</v>
      </c>
      <c r="D454" s="6" t="s">
        <v>3493</v>
      </c>
      <c r="E454" s="8" t="s">
        <v>3495</v>
      </c>
      <c r="F454" s="6"/>
    </row>
    <row r="455">
      <c r="A455" s="6" t="s">
        <v>3497</v>
      </c>
      <c r="B455" s="6" t="s">
        <v>7</v>
      </c>
      <c r="C455" s="7" t="s">
        <v>3499</v>
      </c>
      <c r="D455" s="6" t="s">
        <v>3501</v>
      </c>
      <c r="E455" s="8" t="s">
        <v>994</v>
      </c>
      <c r="F455" s="6"/>
    </row>
    <row r="456">
      <c r="A456" s="6" t="s">
        <v>3504</v>
      </c>
      <c r="B456" s="6" t="s">
        <v>7</v>
      </c>
      <c r="C456" s="7" t="s">
        <v>3506</v>
      </c>
      <c r="D456" s="6" t="s">
        <v>3508</v>
      </c>
      <c r="E456" s="8" t="s">
        <v>2487</v>
      </c>
      <c r="F456" s="6"/>
    </row>
    <row r="457">
      <c r="A457" s="6" t="s">
        <v>3517</v>
      </c>
      <c r="B457" s="6" t="s">
        <v>7</v>
      </c>
      <c r="C457" s="7" t="s">
        <v>3520</v>
      </c>
      <c r="D457" s="6" t="s">
        <v>3521</v>
      </c>
      <c r="E457" s="8" t="s">
        <v>3009</v>
      </c>
      <c r="F457" s="6"/>
    </row>
    <row r="458">
      <c r="A458" s="6" t="s">
        <v>3528</v>
      </c>
      <c r="B458" s="6" t="s">
        <v>7</v>
      </c>
      <c r="C458" s="7" t="s">
        <v>3529</v>
      </c>
      <c r="D458" s="6" t="s">
        <v>3530</v>
      </c>
      <c r="E458" s="8" t="s">
        <v>3322</v>
      </c>
      <c r="F458" s="6"/>
    </row>
    <row r="459">
      <c r="A459" s="6" t="s">
        <v>3535</v>
      </c>
      <c r="B459" s="6" t="s">
        <v>7</v>
      </c>
      <c r="C459" s="7" t="s">
        <v>3541</v>
      </c>
      <c r="D459" s="6" t="s">
        <v>3543</v>
      </c>
      <c r="E459" s="8" t="s">
        <v>994</v>
      </c>
      <c r="F459" s="6"/>
    </row>
    <row r="460">
      <c r="A460" s="6" t="s">
        <v>3550</v>
      </c>
      <c r="B460" s="6" t="s">
        <v>7</v>
      </c>
      <c r="C460" s="7" t="s">
        <v>3553</v>
      </c>
      <c r="D460" s="6" t="s">
        <v>3554</v>
      </c>
      <c r="E460" s="8" t="s">
        <v>3556</v>
      </c>
      <c r="F460" s="6"/>
    </row>
    <row r="461">
      <c r="A461" s="6" t="s">
        <v>3558</v>
      </c>
      <c r="B461" s="6" t="s">
        <v>7</v>
      </c>
      <c r="C461" s="7" t="s">
        <v>3561</v>
      </c>
      <c r="D461" s="6" t="s">
        <v>3562</v>
      </c>
      <c r="E461" s="8" t="s">
        <v>3556</v>
      </c>
      <c r="F461" s="6"/>
    </row>
    <row r="462">
      <c r="A462" s="6" t="s">
        <v>3567</v>
      </c>
      <c r="B462" s="6" t="s">
        <v>7</v>
      </c>
      <c r="C462" s="7" t="s">
        <v>3568</v>
      </c>
      <c r="D462" s="6" t="s">
        <v>3570</v>
      </c>
      <c r="E462" s="8" t="s">
        <v>3556</v>
      </c>
      <c r="F462" s="6"/>
    </row>
    <row r="463">
      <c r="A463" s="6" t="s">
        <v>3574</v>
      </c>
      <c r="B463" s="6" t="s">
        <v>7</v>
      </c>
      <c r="C463" s="7" t="s">
        <v>3577</v>
      </c>
      <c r="D463" s="6" t="s">
        <v>3578</v>
      </c>
      <c r="E463" s="8" t="s">
        <v>3556</v>
      </c>
      <c r="F463" s="6"/>
    </row>
    <row r="464">
      <c r="A464" s="6" t="s">
        <v>3583</v>
      </c>
      <c r="B464" s="6" t="s">
        <v>7</v>
      </c>
      <c r="C464" s="7" t="s">
        <v>3585</v>
      </c>
      <c r="D464" s="6" t="s">
        <v>3587</v>
      </c>
      <c r="E464" s="8" t="s">
        <v>3556</v>
      </c>
      <c r="F464" s="6"/>
    </row>
    <row r="465">
      <c r="A465" s="6" t="s">
        <v>3590</v>
      </c>
      <c r="B465" s="6" t="s">
        <v>7</v>
      </c>
      <c r="C465" s="7" t="s">
        <v>3593</v>
      </c>
      <c r="D465" s="6" t="s">
        <v>3594</v>
      </c>
      <c r="E465" s="8" t="s">
        <v>3556</v>
      </c>
      <c r="F465" s="6"/>
    </row>
    <row r="466">
      <c r="A466" s="6" t="s">
        <v>3598</v>
      </c>
      <c r="B466" s="6" t="s">
        <v>7</v>
      </c>
      <c r="C466" s="7" t="s">
        <v>3600</v>
      </c>
      <c r="D466" s="6" t="s">
        <v>3601</v>
      </c>
      <c r="E466" s="8" t="s">
        <v>3556</v>
      </c>
      <c r="F466" s="6"/>
    </row>
    <row r="467">
      <c r="A467" s="6" t="s">
        <v>3606</v>
      </c>
      <c r="B467" s="6" t="s">
        <v>7</v>
      </c>
      <c r="C467" s="7" t="s">
        <v>3608</v>
      </c>
      <c r="D467" s="6" t="s">
        <v>3610</v>
      </c>
      <c r="E467" s="8" t="s">
        <v>3556</v>
      </c>
      <c r="F467" s="6"/>
    </row>
    <row r="468">
      <c r="A468" s="6" t="s">
        <v>3619</v>
      </c>
      <c r="B468" s="6" t="s">
        <v>7</v>
      </c>
      <c r="C468" s="7" t="s">
        <v>3622</v>
      </c>
      <c r="D468" s="6" t="s">
        <v>3623</v>
      </c>
      <c r="E468" s="8" t="s">
        <v>3556</v>
      </c>
      <c r="F468" s="6"/>
    </row>
    <row r="469">
      <c r="A469" s="6" t="s">
        <v>3628</v>
      </c>
      <c r="B469" s="6" t="s">
        <v>7</v>
      </c>
      <c r="C469" s="7" t="s">
        <v>3629</v>
      </c>
      <c r="D469" s="6" t="s">
        <v>3631</v>
      </c>
      <c r="E469" s="8" t="s">
        <v>2487</v>
      </c>
      <c r="F469" s="6"/>
    </row>
    <row r="470">
      <c r="A470" s="6" t="s">
        <v>3635</v>
      </c>
      <c r="B470" s="6" t="s">
        <v>7</v>
      </c>
      <c r="C470" s="7" t="s">
        <v>3638</v>
      </c>
      <c r="D470" s="6" t="s">
        <v>3639</v>
      </c>
      <c r="E470" s="8" t="s">
        <v>3356</v>
      </c>
      <c r="F470" s="6"/>
    </row>
    <row r="471">
      <c r="A471" s="6" t="s">
        <v>3641</v>
      </c>
      <c r="B471" s="6" t="s">
        <v>7</v>
      </c>
      <c r="C471" s="7" t="s">
        <v>3642</v>
      </c>
      <c r="D471" s="6" t="s">
        <v>3643</v>
      </c>
      <c r="E471" s="8" t="s">
        <v>2487</v>
      </c>
      <c r="F471" s="6"/>
    </row>
    <row r="472">
      <c r="A472" s="6" t="s">
        <v>3646</v>
      </c>
      <c r="B472" s="6" t="s">
        <v>7</v>
      </c>
      <c r="C472" s="7" t="s">
        <v>3649</v>
      </c>
      <c r="D472" s="6" t="s">
        <v>3650</v>
      </c>
      <c r="E472" s="8" t="s">
        <v>3651</v>
      </c>
      <c r="F472" s="6"/>
    </row>
    <row r="473">
      <c r="A473" s="6" t="s">
        <v>3654</v>
      </c>
      <c r="B473" s="6" t="s">
        <v>7</v>
      </c>
      <c r="C473" s="7" t="s">
        <v>3656</v>
      </c>
      <c r="D473" s="6" t="s">
        <v>3658</v>
      </c>
      <c r="E473" s="8" t="s">
        <v>2487</v>
      </c>
      <c r="F473" s="6"/>
    </row>
    <row r="474">
      <c r="A474" s="6" t="s">
        <v>3661</v>
      </c>
      <c r="B474" s="6" t="s">
        <v>7</v>
      </c>
      <c r="C474" s="7" t="s">
        <v>3663</v>
      </c>
      <c r="D474" s="6" t="s">
        <v>3664</v>
      </c>
      <c r="E474" s="8" t="s">
        <v>20</v>
      </c>
      <c r="F474" s="6"/>
    </row>
    <row r="475">
      <c r="A475" s="6" t="s">
        <v>3670</v>
      </c>
      <c r="B475" s="6" t="s">
        <v>7</v>
      </c>
      <c r="C475" s="7" t="s">
        <v>135</v>
      </c>
      <c r="D475" s="6" t="s">
        <v>3673</v>
      </c>
      <c r="E475" s="8" t="s">
        <v>3322</v>
      </c>
      <c r="F475" s="2" t="s">
        <v>71</v>
      </c>
    </row>
    <row r="476">
      <c r="A476" s="6" t="s">
        <v>3678</v>
      </c>
      <c r="B476" s="6" t="s">
        <v>7</v>
      </c>
      <c r="C476" s="7" t="s">
        <v>108</v>
      </c>
      <c r="D476" s="6" t="s">
        <v>3679</v>
      </c>
      <c r="E476" s="8" t="s">
        <v>2350</v>
      </c>
      <c r="F476" s="2" t="s">
        <v>71</v>
      </c>
    </row>
    <row r="477">
      <c r="A477" s="6" t="s">
        <v>3681</v>
      </c>
      <c r="B477" s="6" t="s">
        <v>7</v>
      </c>
      <c r="C477" s="7" t="s">
        <v>3682</v>
      </c>
      <c r="D477" s="6" t="s">
        <v>3683</v>
      </c>
      <c r="E477" s="8" t="s">
        <v>3684</v>
      </c>
      <c r="F477" s="6"/>
    </row>
    <row r="478">
      <c r="A478" s="6" t="s">
        <v>3686</v>
      </c>
      <c r="B478" s="6" t="s">
        <v>7</v>
      </c>
      <c r="C478" s="7" t="s">
        <v>3687</v>
      </c>
      <c r="D478" s="6" t="s">
        <v>3689</v>
      </c>
      <c r="E478" s="8" t="s">
        <v>3684</v>
      </c>
      <c r="F478" s="6"/>
    </row>
    <row r="479">
      <c r="A479" s="6" t="s">
        <v>3692</v>
      </c>
      <c r="B479" s="6" t="s">
        <v>7</v>
      </c>
      <c r="C479" s="7" t="s">
        <v>3694</v>
      </c>
      <c r="D479" s="6" t="s">
        <v>3695</v>
      </c>
      <c r="E479" s="8" t="s">
        <v>3684</v>
      </c>
      <c r="F479" s="6"/>
    </row>
    <row r="480">
      <c r="A480" s="6" t="s">
        <v>3699</v>
      </c>
      <c r="B480" s="6" t="s">
        <v>7</v>
      </c>
      <c r="C480" s="7" t="s">
        <v>3701</v>
      </c>
      <c r="D480" s="6" t="s">
        <v>3702</v>
      </c>
      <c r="E480" s="8" t="s">
        <v>3684</v>
      </c>
      <c r="F480" s="6"/>
    </row>
    <row r="481">
      <c r="A481" s="6" t="s">
        <v>3707</v>
      </c>
      <c r="B481" s="6" t="s">
        <v>7</v>
      </c>
      <c r="C481" s="7" t="s">
        <v>3709</v>
      </c>
      <c r="D481" s="6" t="s">
        <v>3710</v>
      </c>
      <c r="E481" s="8" t="s">
        <v>3684</v>
      </c>
      <c r="F481" s="6"/>
    </row>
    <row r="482">
      <c r="A482" s="6" t="s">
        <v>3713</v>
      </c>
      <c r="B482" s="6" t="s">
        <v>7</v>
      </c>
      <c r="C482" s="7" t="s">
        <v>3716</v>
      </c>
      <c r="D482" s="6" t="s">
        <v>3717</v>
      </c>
      <c r="E482" s="8" t="s">
        <v>3684</v>
      </c>
      <c r="F482" s="6"/>
    </row>
    <row r="483">
      <c r="A483" s="6" t="s">
        <v>3720</v>
      </c>
      <c r="B483" s="6" t="s">
        <v>7</v>
      </c>
      <c r="C483" s="7" t="s">
        <v>3722</v>
      </c>
      <c r="D483" s="6" t="s">
        <v>3724</v>
      </c>
      <c r="E483" s="8" t="s">
        <v>3684</v>
      </c>
      <c r="F483" s="6"/>
    </row>
    <row r="484">
      <c r="A484" s="6" t="s">
        <v>3726</v>
      </c>
      <c r="B484" s="6" t="s">
        <v>7</v>
      </c>
      <c r="C484" s="7" t="s">
        <v>3728</v>
      </c>
      <c r="D484" s="6" t="s">
        <v>3729</v>
      </c>
      <c r="E484" s="8" t="s">
        <v>3684</v>
      </c>
      <c r="F484" s="6"/>
    </row>
    <row r="485">
      <c r="A485" s="6" t="s">
        <v>3733</v>
      </c>
      <c r="B485" s="6" t="s">
        <v>7</v>
      </c>
      <c r="C485" s="7" t="s">
        <v>3735</v>
      </c>
      <c r="D485" s="6" t="s">
        <v>3736</v>
      </c>
      <c r="E485" s="8" t="s">
        <v>3684</v>
      </c>
      <c r="F485" s="6"/>
    </row>
    <row r="486">
      <c r="A486" s="6" t="s">
        <v>3740</v>
      </c>
      <c r="B486" s="6" t="s">
        <v>7</v>
      </c>
      <c r="C486" s="7" t="s">
        <v>3742</v>
      </c>
      <c r="D486" s="6" t="s">
        <v>3743</v>
      </c>
      <c r="E486" s="8" t="s">
        <v>2350</v>
      </c>
      <c r="F486" s="6"/>
    </row>
    <row r="487">
      <c r="A487" s="6" t="s">
        <v>3746</v>
      </c>
      <c r="B487" s="6" t="s">
        <v>7</v>
      </c>
      <c r="C487" s="7" t="s">
        <v>3749</v>
      </c>
      <c r="D487" s="6" t="s">
        <v>3750</v>
      </c>
      <c r="E487" s="8" t="s">
        <v>2350</v>
      </c>
      <c r="F487" s="6"/>
    </row>
    <row r="488">
      <c r="A488" s="6" t="s">
        <v>3753</v>
      </c>
      <c r="B488" s="6" t="s">
        <v>7</v>
      </c>
      <c r="C488" s="7" t="s">
        <v>3756</v>
      </c>
      <c r="D488" s="6" t="s">
        <v>3757</v>
      </c>
      <c r="E488" s="8" t="s">
        <v>2350</v>
      </c>
      <c r="F488" s="6"/>
    </row>
    <row r="489">
      <c r="A489" s="6" t="s">
        <v>3761</v>
      </c>
      <c r="B489" s="6" t="s">
        <v>7</v>
      </c>
      <c r="C489" s="7" t="s">
        <v>3763</v>
      </c>
      <c r="D489" s="6" t="s">
        <v>3764</v>
      </c>
      <c r="E489" s="8" t="s">
        <v>2350</v>
      </c>
      <c r="F489" s="6"/>
    </row>
    <row r="490">
      <c r="A490" s="6" t="s">
        <v>3769</v>
      </c>
      <c r="B490" s="6" t="s">
        <v>7</v>
      </c>
      <c r="C490" s="7" t="s">
        <v>3770</v>
      </c>
      <c r="D490" s="6" t="s">
        <v>3772</v>
      </c>
      <c r="E490" s="8" t="s">
        <v>2350</v>
      </c>
      <c r="F490" s="6"/>
    </row>
    <row r="491">
      <c r="A491" s="6" t="s">
        <v>3776</v>
      </c>
      <c r="B491" s="6" t="s">
        <v>7</v>
      </c>
      <c r="C491" s="7" t="s">
        <v>3779</v>
      </c>
      <c r="D491" s="6" t="s">
        <v>3780</v>
      </c>
      <c r="E491" s="8" t="s">
        <v>2350</v>
      </c>
      <c r="F491" s="6"/>
    </row>
    <row r="492">
      <c r="A492" s="6" t="s">
        <v>3785</v>
      </c>
      <c r="B492" s="6" t="s">
        <v>7</v>
      </c>
      <c r="C492" s="7" t="s">
        <v>3789</v>
      </c>
      <c r="D492" s="6" t="s">
        <v>3790</v>
      </c>
      <c r="E492" s="8" t="s">
        <v>2350</v>
      </c>
      <c r="F492" s="6"/>
    </row>
    <row r="493">
      <c r="A493" s="6" t="s">
        <v>3793</v>
      </c>
      <c r="B493" s="6" t="s">
        <v>7</v>
      </c>
      <c r="C493" s="7" t="s">
        <v>3795</v>
      </c>
      <c r="D493" s="6" t="s">
        <v>3796</v>
      </c>
      <c r="E493" s="8" t="s">
        <v>2366</v>
      </c>
      <c r="F493" s="6"/>
    </row>
    <row r="494">
      <c r="A494" s="6" t="s">
        <v>3802</v>
      </c>
      <c r="B494" s="6" t="s">
        <v>7</v>
      </c>
      <c r="C494" s="7" t="s">
        <v>3803</v>
      </c>
      <c r="D494" s="6" t="s">
        <v>3806</v>
      </c>
      <c r="E494" s="8" t="s">
        <v>3808</v>
      </c>
      <c r="F494" s="2" t="s">
        <v>71</v>
      </c>
    </row>
    <row r="495">
      <c r="A495" s="6" t="s">
        <v>3812</v>
      </c>
      <c r="B495" s="6" t="s">
        <v>7</v>
      </c>
      <c r="C495" s="7" t="s">
        <v>3814</v>
      </c>
      <c r="D495" s="6" t="s">
        <v>3816</v>
      </c>
      <c r="E495" s="8" t="s">
        <v>3819</v>
      </c>
      <c r="F495" s="6"/>
    </row>
    <row r="496">
      <c r="A496" s="6" t="s">
        <v>3822</v>
      </c>
      <c r="B496" s="6" t="s">
        <v>7</v>
      </c>
      <c r="C496" s="7" t="s">
        <v>3825</v>
      </c>
      <c r="D496" s="6" t="s">
        <v>3826</v>
      </c>
      <c r="E496" s="8" t="s">
        <v>3819</v>
      </c>
      <c r="F496" s="6"/>
    </row>
    <row r="497">
      <c r="A497" s="6" t="s">
        <v>3831</v>
      </c>
      <c r="B497" s="6" t="s">
        <v>7</v>
      </c>
      <c r="C497" s="7" t="s">
        <v>3832</v>
      </c>
      <c r="D497" s="6" t="s">
        <v>3834</v>
      </c>
      <c r="E497" s="8" t="s">
        <v>3819</v>
      </c>
      <c r="F497" s="6"/>
    </row>
    <row r="498">
      <c r="A498" s="6" t="s">
        <v>3840</v>
      </c>
      <c r="B498" s="6" t="s">
        <v>7</v>
      </c>
      <c r="C498" s="7" t="s">
        <v>3842</v>
      </c>
      <c r="D498" s="6" t="s">
        <v>3844</v>
      </c>
      <c r="E498" s="8" t="s">
        <v>3819</v>
      </c>
      <c r="F498" s="6"/>
    </row>
    <row r="499">
      <c r="A499" s="6" t="s">
        <v>3849</v>
      </c>
      <c r="B499" s="6" t="s">
        <v>7</v>
      </c>
      <c r="C499" s="7" t="s">
        <v>3852</v>
      </c>
      <c r="D499" s="6" t="s">
        <v>3853</v>
      </c>
      <c r="E499" s="8" t="s">
        <v>3819</v>
      </c>
      <c r="F499" s="6"/>
    </row>
    <row r="500">
      <c r="A500" s="6" t="s">
        <v>3858</v>
      </c>
      <c r="B500" s="6" t="s">
        <v>7</v>
      </c>
      <c r="C500" s="7" t="s">
        <v>3861</v>
      </c>
      <c r="D500" s="6" t="s">
        <v>3862</v>
      </c>
      <c r="E500" s="8" t="s">
        <v>3819</v>
      </c>
      <c r="F500" s="6"/>
    </row>
    <row r="501">
      <c r="A501" s="6" t="s">
        <v>3867</v>
      </c>
      <c r="B501" s="6" t="s">
        <v>7</v>
      </c>
      <c r="C501" s="7" t="s">
        <v>3870</v>
      </c>
      <c r="D501" s="6" t="s">
        <v>3871</v>
      </c>
      <c r="E501" s="8" t="s">
        <v>3819</v>
      </c>
      <c r="F501" s="6"/>
    </row>
    <row r="502">
      <c r="A502" s="6" t="s">
        <v>3876</v>
      </c>
      <c r="B502" s="6" t="s">
        <v>7</v>
      </c>
      <c r="C502" s="7" t="s">
        <v>3879</v>
      </c>
      <c r="D502" s="6" t="s">
        <v>3880</v>
      </c>
      <c r="E502" s="8" t="s">
        <v>3819</v>
      </c>
      <c r="F502" s="6"/>
    </row>
    <row r="503">
      <c r="A503" s="6" t="s">
        <v>3885</v>
      </c>
      <c r="B503" s="6" t="s">
        <v>7</v>
      </c>
      <c r="C503" s="7" t="s">
        <v>3888</v>
      </c>
      <c r="D503" s="6" t="s">
        <v>3889</v>
      </c>
      <c r="E503" s="8" t="s">
        <v>3819</v>
      </c>
      <c r="F503" s="6"/>
    </row>
    <row r="504">
      <c r="A504" s="6" t="s">
        <v>3893</v>
      </c>
      <c r="B504" s="6" t="s">
        <v>3895</v>
      </c>
      <c r="C504" s="7" t="s">
        <v>3896</v>
      </c>
      <c r="D504" s="6" t="s">
        <v>3897</v>
      </c>
      <c r="E504" s="8" t="s">
        <v>20</v>
      </c>
      <c r="F504" s="2" t="s">
        <v>71</v>
      </c>
    </row>
    <row r="505">
      <c r="A505" s="6" t="s">
        <v>3908</v>
      </c>
      <c r="B505" s="6" t="s">
        <v>3895</v>
      </c>
      <c r="C505" s="7" t="s">
        <v>3911</v>
      </c>
      <c r="D505" s="6" t="s">
        <v>3912</v>
      </c>
      <c r="E505" s="8" t="s">
        <v>3915</v>
      </c>
      <c r="F505" s="6"/>
    </row>
    <row r="506">
      <c r="A506" s="6" t="s">
        <v>3919</v>
      </c>
      <c r="B506" s="6" t="s">
        <v>3895</v>
      </c>
      <c r="C506" s="7" t="s">
        <v>3922</v>
      </c>
      <c r="D506" s="6" t="s">
        <v>3924</v>
      </c>
      <c r="E506" s="8" t="s">
        <v>3915</v>
      </c>
      <c r="F506" s="6"/>
    </row>
    <row r="507">
      <c r="A507" s="6" t="s">
        <v>3946</v>
      </c>
      <c r="B507" s="6" t="s">
        <v>3895</v>
      </c>
      <c r="C507" s="7" t="s">
        <v>3949</v>
      </c>
      <c r="D507" s="6" t="s">
        <v>3950</v>
      </c>
      <c r="E507" s="8" t="s">
        <v>3915</v>
      </c>
      <c r="F507" s="6"/>
    </row>
    <row r="508">
      <c r="A508" s="6" t="s">
        <v>3956</v>
      </c>
      <c r="B508" s="6" t="s">
        <v>3895</v>
      </c>
      <c r="C508" s="7" t="s">
        <v>3959</v>
      </c>
      <c r="D508" s="6" t="s">
        <v>3961</v>
      </c>
      <c r="E508" s="8" t="s">
        <v>3915</v>
      </c>
      <c r="F508" s="6"/>
    </row>
    <row r="509">
      <c r="A509" s="6" t="s">
        <v>3966</v>
      </c>
      <c r="B509" s="6" t="s">
        <v>3895</v>
      </c>
      <c r="C509" s="7" t="s">
        <v>3969</v>
      </c>
      <c r="D509" s="6" t="s">
        <v>3970</v>
      </c>
      <c r="E509" s="8" t="s">
        <v>3915</v>
      </c>
      <c r="F509" s="6"/>
    </row>
    <row r="510">
      <c r="A510" s="6" t="s">
        <v>3975</v>
      </c>
      <c r="B510" s="6" t="s">
        <v>3895</v>
      </c>
      <c r="C510" s="7" t="s">
        <v>3978</v>
      </c>
      <c r="D510" s="6" t="s">
        <v>3979</v>
      </c>
      <c r="E510" s="8" t="s">
        <v>3915</v>
      </c>
      <c r="F510" s="6"/>
    </row>
    <row r="511">
      <c r="A511" s="6" t="s">
        <v>3985</v>
      </c>
      <c r="B511" s="6" t="s">
        <v>3895</v>
      </c>
      <c r="C511" s="7" t="s">
        <v>3987</v>
      </c>
      <c r="D511" s="6" t="s">
        <v>3989</v>
      </c>
      <c r="E511" s="8" t="s">
        <v>3915</v>
      </c>
      <c r="F511" s="6"/>
    </row>
    <row r="512">
      <c r="A512" s="6" t="s">
        <v>3994</v>
      </c>
      <c r="B512" s="6" t="s">
        <v>3895</v>
      </c>
      <c r="C512" s="7" t="s">
        <v>3996</v>
      </c>
      <c r="D512" s="6" t="s">
        <v>3998</v>
      </c>
      <c r="E512" s="8" t="s">
        <v>3915</v>
      </c>
      <c r="F512" s="6"/>
    </row>
    <row r="513">
      <c r="A513" s="6" t="s">
        <v>4003</v>
      </c>
      <c r="B513" s="6" t="s">
        <v>3895</v>
      </c>
      <c r="C513" s="7" t="s">
        <v>4005</v>
      </c>
      <c r="D513" s="6" t="s">
        <v>4007</v>
      </c>
      <c r="E513" s="8" t="s">
        <v>3915</v>
      </c>
      <c r="F513" s="6"/>
    </row>
    <row r="514">
      <c r="A514" s="6" t="s">
        <v>4012</v>
      </c>
      <c r="B514" s="6" t="s">
        <v>7</v>
      </c>
      <c r="C514" s="7" t="s">
        <v>4014</v>
      </c>
      <c r="D514" s="6" t="s">
        <v>4016</v>
      </c>
      <c r="E514" s="8" t="s">
        <v>20</v>
      </c>
      <c r="F514" s="6"/>
    </row>
    <row r="515">
      <c r="A515" s="6" t="s">
        <v>4020</v>
      </c>
      <c r="B515" s="6" t="s">
        <v>4023</v>
      </c>
      <c r="C515" s="7" t="s">
        <v>4024</v>
      </c>
      <c r="D515" s="6" t="s">
        <v>4025</v>
      </c>
      <c r="E515" s="2" t="s">
        <v>3808</v>
      </c>
      <c r="F515" s="6"/>
    </row>
    <row r="516">
      <c r="A516" s="6" t="s">
        <v>4030</v>
      </c>
      <c r="B516" s="6" t="s">
        <v>4023</v>
      </c>
      <c r="C516" s="7" t="s">
        <v>4033</v>
      </c>
      <c r="D516" s="6" t="s">
        <v>4034</v>
      </c>
      <c r="E516" s="2" t="s">
        <v>3819</v>
      </c>
      <c r="F516" s="6"/>
    </row>
    <row r="517">
      <c r="A517" s="6" t="s">
        <v>4039</v>
      </c>
      <c r="B517" s="6" t="s">
        <v>4023</v>
      </c>
      <c r="C517" s="7" t="s">
        <v>4042</v>
      </c>
      <c r="D517" s="6" t="s">
        <v>4044</v>
      </c>
      <c r="E517" s="2" t="s">
        <v>3819</v>
      </c>
      <c r="F517" s="6"/>
    </row>
    <row r="518">
      <c r="A518" s="6" t="s">
        <v>4047</v>
      </c>
      <c r="B518" s="6" t="s">
        <v>4023</v>
      </c>
      <c r="C518" s="7" t="s">
        <v>4049</v>
      </c>
      <c r="D518" s="6" t="s">
        <v>4050</v>
      </c>
      <c r="E518" s="2" t="s">
        <v>3819</v>
      </c>
      <c r="F518" s="6"/>
    </row>
    <row r="519">
      <c r="A519" s="6" t="s">
        <v>4054</v>
      </c>
      <c r="B519" s="6" t="s">
        <v>4023</v>
      </c>
      <c r="C519" s="7" t="s">
        <v>4057</v>
      </c>
      <c r="D519" s="6" t="s">
        <v>4058</v>
      </c>
      <c r="E519" s="2" t="s">
        <v>3819</v>
      </c>
      <c r="F519" s="6"/>
    </row>
    <row r="520">
      <c r="A520" s="6" t="s">
        <v>4063</v>
      </c>
      <c r="B520" s="6" t="s">
        <v>4023</v>
      </c>
      <c r="C520" s="7" t="s">
        <v>4064</v>
      </c>
      <c r="D520" s="6" t="s">
        <v>4066</v>
      </c>
      <c r="E520" s="2" t="s">
        <v>3819</v>
      </c>
      <c r="F520" s="6"/>
    </row>
    <row r="521">
      <c r="A521" s="6" t="s">
        <v>4069</v>
      </c>
      <c r="B521" s="6" t="s">
        <v>4023</v>
      </c>
      <c r="C521" s="7" t="s">
        <v>4070</v>
      </c>
      <c r="D521" s="6" t="s">
        <v>4071</v>
      </c>
      <c r="E521" s="2" t="s">
        <v>3819</v>
      </c>
      <c r="F521" s="6"/>
    </row>
    <row r="522">
      <c r="A522" s="6" t="s">
        <v>4072</v>
      </c>
      <c r="B522" s="6" t="s">
        <v>4023</v>
      </c>
      <c r="C522" s="7" t="s">
        <v>4075</v>
      </c>
      <c r="D522" s="6" t="s">
        <v>4076</v>
      </c>
      <c r="E522" s="2" t="s">
        <v>3819</v>
      </c>
      <c r="F522" s="6"/>
    </row>
    <row r="523">
      <c r="A523" s="6" t="s">
        <v>4081</v>
      </c>
      <c r="B523" s="6" t="s">
        <v>4023</v>
      </c>
      <c r="C523" s="7" t="s">
        <v>4083</v>
      </c>
      <c r="D523" s="6" t="s">
        <v>4085</v>
      </c>
      <c r="E523" s="2" t="s">
        <v>3819</v>
      </c>
      <c r="F523" s="6"/>
    </row>
    <row r="524">
      <c r="A524" s="6" t="s">
        <v>4089</v>
      </c>
      <c r="B524" s="6" t="s">
        <v>4023</v>
      </c>
      <c r="C524" s="7" t="s">
        <v>4090</v>
      </c>
      <c r="D524" s="6" t="s">
        <v>4092</v>
      </c>
      <c r="E524" s="2" t="s">
        <v>3819</v>
      </c>
      <c r="F524" s="6"/>
    </row>
    <row r="525">
      <c r="A525" s="6" t="s">
        <v>4096</v>
      </c>
      <c r="B525" s="6" t="s">
        <v>7</v>
      </c>
      <c r="C525" s="7" t="s">
        <v>4097</v>
      </c>
      <c r="D525" s="6" t="s">
        <v>4098</v>
      </c>
      <c r="E525" s="8" t="s">
        <v>4100</v>
      </c>
      <c r="F525" s="6"/>
    </row>
    <row r="526">
      <c r="A526" s="6" t="s">
        <v>4103</v>
      </c>
      <c r="B526" s="6" t="s">
        <v>7</v>
      </c>
      <c r="C526" s="7" t="s">
        <v>4104</v>
      </c>
      <c r="D526" s="6" t="s">
        <v>4106</v>
      </c>
      <c r="E526" s="8" t="s">
        <v>4100</v>
      </c>
      <c r="F526" s="6"/>
    </row>
    <row r="527">
      <c r="A527" s="6" t="s">
        <v>4111</v>
      </c>
      <c r="B527" s="6" t="s">
        <v>7</v>
      </c>
      <c r="C527" s="7" t="s">
        <v>4112</v>
      </c>
      <c r="D527" s="6" t="s">
        <v>4114</v>
      </c>
      <c r="E527" s="8" t="s">
        <v>4100</v>
      </c>
      <c r="F527" s="6"/>
    </row>
    <row r="528">
      <c r="A528" s="6" t="s">
        <v>4118</v>
      </c>
      <c r="B528" s="6" t="s">
        <v>7</v>
      </c>
      <c r="C528" s="7" t="s">
        <v>4121</v>
      </c>
      <c r="D528" s="6" t="s">
        <v>4123</v>
      </c>
      <c r="E528" s="8" t="s">
        <v>4100</v>
      </c>
      <c r="F528" s="6"/>
    </row>
    <row r="529">
      <c r="A529" s="6" t="s">
        <v>4126</v>
      </c>
      <c r="B529" s="6" t="s">
        <v>7</v>
      </c>
      <c r="C529" s="7" t="s">
        <v>4129</v>
      </c>
      <c r="D529" s="6" t="s">
        <v>4131</v>
      </c>
      <c r="E529" s="8" t="s">
        <v>4100</v>
      </c>
      <c r="F529" s="6"/>
    </row>
    <row r="530">
      <c r="A530" s="6" t="s">
        <v>4135</v>
      </c>
      <c r="B530" s="6" t="s">
        <v>7</v>
      </c>
      <c r="C530" s="7" t="s">
        <v>4137</v>
      </c>
      <c r="D530" s="6" t="s">
        <v>4139</v>
      </c>
      <c r="E530" s="8" t="s">
        <v>4100</v>
      </c>
      <c r="F530" s="6"/>
    </row>
    <row r="531">
      <c r="A531" s="6" t="s">
        <v>4145</v>
      </c>
      <c r="B531" s="6" t="s">
        <v>7</v>
      </c>
      <c r="C531" s="7" t="s">
        <v>4146</v>
      </c>
      <c r="D531" s="6" t="s">
        <v>4147</v>
      </c>
      <c r="E531" s="8" t="s">
        <v>4100</v>
      </c>
      <c r="F531" s="6"/>
    </row>
    <row r="532">
      <c r="A532" s="6" t="s">
        <v>4152</v>
      </c>
      <c r="B532" s="6" t="s">
        <v>7</v>
      </c>
      <c r="C532" s="7" t="s">
        <v>4155</v>
      </c>
      <c r="D532" s="6" t="s">
        <v>4156</v>
      </c>
      <c r="E532" s="8" t="s">
        <v>4100</v>
      </c>
      <c r="F532" s="6"/>
    </row>
    <row r="533">
      <c r="A533" s="6" t="s">
        <v>4161</v>
      </c>
      <c r="B533" s="6" t="s">
        <v>7</v>
      </c>
      <c r="C533" s="7" t="s">
        <v>4163</v>
      </c>
      <c r="D533" s="6" t="s">
        <v>4164</v>
      </c>
      <c r="E533" s="8" t="s">
        <v>4100</v>
      </c>
      <c r="F533" s="6"/>
    </row>
    <row r="534">
      <c r="A534" s="6" t="s">
        <v>4170</v>
      </c>
      <c r="B534" s="6" t="s">
        <v>7</v>
      </c>
      <c r="C534" s="7" t="s">
        <v>4173</v>
      </c>
      <c r="D534" s="6" t="s">
        <v>4174</v>
      </c>
      <c r="E534" s="8" t="s">
        <v>4100</v>
      </c>
      <c r="F534" s="6"/>
    </row>
    <row r="535">
      <c r="A535" s="6" t="s">
        <v>4180</v>
      </c>
      <c r="B535" s="6" t="s">
        <v>4181</v>
      </c>
      <c r="C535" s="7" t="s">
        <v>4184</v>
      </c>
      <c r="D535" s="6" t="s">
        <v>4185</v>
      </c>
      <c r="E535" s="8" t="s">
        <v>763</v>
      </c>
      <c r="F535" s="6"/>
    </row>
    <row r="536">
      <c r="A536" s="6" t="s">
        <v>4192</v>
      </c>
      <c r="B536" s="6" t="s">
        <v>4194</v>
      </c>
      <c r="C536" s="7" t="s">
        <v>4196</v>
      </c>
      <c r="D536" s="6" t="s">
        <v>4197</v>
      </c>
      <c r="E536" s="8" t="s">
        <v>4206</v>
      </c>
      <c r="F536" s="6"/>
    </row>
    <row r="537">
      <c r="A537" s="6" t="s">
        <v>4210</v>
      </c>
      <c r="B537" s="6" t="s">
        <v>7</v>
      </c>
      <c r="C537" s="7" t="s">
        <v>4213</v>
      </c>
      <c r="D537" s="6" t="s">
        <v>4214</v>
      </c>
      <c r="E537" s="8" t="s">
        <v>20</v>
      </c>
      <c r="F537" s="6"/>
    </row>
    <row r="538">
      <c r="A538" s="6" t="s">
        <v>4220</v>
      </c>
      <c r="B538" s="6" t="s">
        <v>7</v>
      </c>
      <c r="C538" s="7" t="s">
        <v>122</v>
      </c>
      <c r="D538" s="6" t="s">
        <v>4224</v>
      </c>
      <c r="E538" s="8" t="s">
        <v>20</v>
      </c>
      <c r="F538" s="2" t="s">
        <v>71</v>
      </c>
    </row>
    <row r="539">
      <c r="A539" s="6" t="s">
        <v>4231</v>
      </c>
      <c r="B539" s="6" t="s">
        <v>7</v>
      </c>
      <c r="C539" s="7" t="s">
        <v>4234</v>
      </c>
      <c r="D539" s="6" t="s">
        <v>4236</v>
      </c>
      <c r="E539" s="8" t="s">
        <v>994</v>
      </c>
      <c r="F539" s="6"/>
    </row>
    <row r="540">
      <c r="A540" s="6" t="s">
        <v>4242</v>
      </c>
      <c r="B540" s="6" t="s">
        <v>7</v>
      </c>
      <c r="C540" s="7" t="s">
        <v>4245</v>
      </c>
      <c r="D540" s="6" t="s">
        <v>4247</v>
      </c>
      <c r="E540" s="8" t="s">
        <v>24</v>
      </c>
      <c r="F540" s="6"/>
    </row>
    <row r="541">
      <c r="A541" s="6" t="s">
        <v>4253</v>
      </c>
      <c r="B541" s="6" t="s">
        <v>7</v>
      </c>
      <c r="C541" s="7" t="s">
        <v>4254</v>
      </c>
      <c r="D541" s="6" t="s">
        <v>4256</v>
      </c>
      <c r="E541" s="8" t="s">
        <v>994</v>
      </c>
      <c r="F541" s="6"/>
    </row>
    <row r="542">
      <c r="A542" s="6" t="s">
        <v>4260</v>
      </c>
      <c r="B542" s="6" t="s">
        <v>7</v>
      </c>
      <c r="C542" s="7" t="s">
        <v>4263</v>
      </c>
      <c r="D542" s="6" t="s">
        <v>4264</v>
      </c>
      <c r="E542" s="8" t="s">
        <v>20</v>
      </c>
      <c r="F542" s="6"/>
    </row>
    <row r="543">
      <c r="A543" s="6" t="s">
        <v>4269</v>
      </c>
      <c r="B543" s="6" t="s">
        <v>7</v>
      </c>
      <c r="C543" s="7" t="s">
        <v>4272</v>
      </c>
      <c r="D543" s="6" t="s">
        <v>4274</v>
      </c>
      <c r="E543" s="8" t="s">
        <v>27</v>
      </c>
      <c r="F543" s="6"/>
    </row>
    <row r="544">
      <c r="A544" s="6" t="s">
        <v>4280</v>
      </c>
      <c r="B544" s="6" t="s">
        <v>7</v>
      </c>
      <c r="C544" s="7" t="s">
        <v>4283</v>
      </c>
      <c r="D544" s="6" t="s">
        <v>4284</v>
      </c>
      <c r="E544" s="8" t="s">
        <v>27</v>
      </c>
      <c r="F544" s="2" t="s">
        <v>71</v>
      </c>
    </row>
    <row r="545">
      <c r="A545" s="6" t="s">
        <v>4291</v>
      </c>
      <c r="B545" s="6" t="s">
        <v>7</v>
      </c>
      <c r="C545" s="7" t="s">
        <v>4294</v>
      </c>
      <c r="D545" s="6" t="s">
        <v>4296</v>
      </c>
      <c r="E545" s="8" t="s">
        <v>20</v>
      </c>
      <c r="F545" s="6"/>
    </row>
    <row r="546">
      <c r="A546" s="6" t="s">
        <v>4302</v>
      </c>
      <c r="B546" s="6" t="s">
        <v>7</v>
      </c>
      <c r="C546" s="7" t="s">
        <v>4305</v>
      </c>
      <c r="D546" s="6" t="s">
        <v>4306</v>
      </c>
      <c r="E546" s="8" t="s">
        <v>20</v>
      </c>
      <c r="F546" s="6"/>
    </row>
    <row r="547">
      <c r="A547" s="6" t="s">
        <v>4313</v>
      </c>
      <c r="B547" s="6" t="s">
        <v>4315</v>
      </c>
      <c r="C547" s="7" t="s">
        <v>4317</v>
      </c>
      <c r="D547" s="6" t="s">
        <v>4318</v>
      </c>
      <c r="E547" s="8" t="s">
        <v>4322</v>
      </c>
      <c r="F547" s="6"/>
    </row>
    <row r="548">
      <c r="A548" s="6" t="s">
        <v>4326</v>
      </c>
      <c r="B548" s="6" t="s">
        <v>4328</v>
      </c>
      <c r="C548" s="7" t="s">
        <v>4330</v>
      </c>
      <c r="D548" s="6" t="s">
        <v>4332</v>
      </c>
      <c r="E548" s="8" t="s">
        <v>4322</v>
      </c>
      <c r="F548" s="6"/>
    </row>
    <row r="549">
      <c r="A549" s="6" t="s">
        <v>4338</v>
      </c>
      <c r="B549" s="6" t="s">
        <v>4340</v>
      </c>
      <c r="C549" s="7" t="s">
        <v>4342</v>
      </c>
      <c r="D549" s="6" t="s">
        <v>4343</v>
      </c>
      <c r="E549" s="8" t="s">
        <v>1858</v>
      </c>
      <c r="F549" s="6"/>
    </row>
    <row r="550">
      <c r="A550" s="6" t="s">
        <v>4350</v>
      </c>
      <c r="B550" s="6" t="s">
        <v>4351</v>
      </c>
      <c r="C550" s="7" t="s">
        <v>4354</v>
      </c>
      <c r="D550" s="6" t="s">
        <v>4355</v>
      </c>
      <c r="E550" s="8" t="s">
        <v>4322</v>
      </c>
      <c r="F550" s="6"/>
    </row>
    <row r="551">
      <c r="A551" s="6" t="s">
        <v>4362</v>
      </c>
      <c r="B551" s="6" t="s">
        <v>4363</v>
      </c>
      <c r="C551" s="7" t="s">
        <v>4366</v>
      </c>
      <c r="D551" s="6" t="s">
        <v>4367</v>
      </c>
      <c r="E551" s="8" t="s">
        <v>4322</v>
      </c>
      <c r="F551" s="6"/>
    </row>
    <row r="552">
      <c r="A552" s="6" t="s">
        <v>4380</v>
      </c>
      <c r="B552" s="6" t="s">
        <v>4383</v>
      </c>
      <c r="C552" s="7" t="s">
        <v>4384</v>
      </c>
      <c r="D552" s="6" t="s">
        <v>4387</v>
      </c>
      <c r="E552" s="8" t="s">
        <v>4322</v>
      </c>
      <c r="F552" s="6"/>
    </row>
    <row r="553">
      <c r="A553" s="6" t="s">
        <v>4399</v>
      </c>
      <c r="B553" s="6" t="s">
        <v>4401</v>
      </c>
      <c r="C553" s="7" t="s">
        <v>4404</v>
      </c>
      <c r="D553" s="6" t="s">
        <v>4405</v>
      </c>
      <c r="E553" s="8" t="s">
        <v>4409</v>
      </c>
      <c r="F553" s="6"/>
    </row>
    <row r="554">
      <c r="A554" s="6" t="s">
        <v>4413</v>
      </c>
      <c r="B554" s="6" t="s">
        <v>4414</v>
      </c>
      <c r="C554" s="7" t="s">
        <v>4416</v>
      </c>
      <c r="D554" s="6" t="s">
        <v>4418</v>
      </c>
      <c r="E554" s="8" t="s">
        <v>3808</v>
      </c>
      <c r="F554" s="6"/>
    </row>
    <row r="555">
      <c r="A555" s="6" t="s">
        <v>4423</v>
      </c>
      <c r="B555" s="6" t="s">
        <v>4424</v>
      </c>
      <c r="C555" s="7" t="s">
        <v>4426</v>
      </c>
      <c r="D555" s="6" t="s">
        <v>4428</v>
      </c>
      <c r="E555" s="8" t="s">
        <v>4322</v>
      </c>
      <c r="F555" s="6"/>
    </row>
    <row r="556">
      <c r="A556" s="6" t="s">
        <v>4437</v>
      </c>
      <c r="B556" s="6" t="s">
        <v>4438</v>
      </c>
      <c r="C556" s="7" t="s">
        <v>4440</v>
      </c>
      <c r="D556" s="6" t="s">
        <v>4441</v>
      </c>
      <c r="E556" s="8" t="s">
        <v>4444</v>
      </c>
      <c r="F556" s="6"/>
    </row>
    <row r="557">
      <c r="A557" s="6" t="s">
        <v>4447</v>
      </c>
      <c r="B557" s="6" t="s">
        <v>4449</v>
      </c>
      <c r="C557" s="7" t="s">
        <v>4451</v>
      </c>
      <c r="D557" s="6" t="s">
        <v>4452</v>
      </c>
      <c r="E557" s="8" t="s">
        <v>4444</v>
      </c>
      <c r="F557" s="6"/>
    </row>
    <row r="558">
      <c r="A558" s="6" t="s">
        <v>4458</v>
      </c>
      <c r="B558" s="6" t="s">
        <v>4460</v>
      </c>
      <c r="C558" s="7" t="s">
        <v>4461</v>
      </c>
      <c r="D558" s="6" t="s">
        <v>4463</v>
      </c>
      <c r="E558" s="8" t="s">
        <v>2500</v>
      </c>
      <c r="F558" s="6"/>
    </row>
    <row r="559">
      <c r="A559" s="6" t="s">
        <v>4468</v>
      </c>
      <c r="B559" s="6" t="s">
        <v>4470</v>
      </c>
      <c r="C559" s="7" t="s">
        <v>144</v>
      </c>
      <c r="D559" s="6" t="s">
        <v>4472</v>
      </c>
      <c r="E559" s="8" t="s">
        <v>994</v>
      </c>
      <c r="F559" s="2" t="s">
        <v>71</v>
      </c>
    </row>
    <row r="560">
      <c r="A560" s="6" t="s">
        <v>4478</v>
      </c>
      <c r="B560" s="6" t="s">
        <v>7</v>
      </c>
      <c r="C560" s="7" t="s">
        <v>4480</v>
      </c>
      <c r="D560" s="6" t="s">
        <v>4482</v>
      </c>
      <c r="E560" s="8" t="s">
        <v>20</v>
      </c>
      <c r="F560" s="6"/>
    </row>
    <row r="561">
      <c r="A561" s="6" t="s">
        <v>4487</v>
      </c>
      <c r="B561" s="6" t="s">
        <v>7</v>
      </c>
      <c r="C561" s="7" t="s">
        <v>4489</v>
      </c>
      <c r="D561" s="6" t="s">
        <v>4491</v>
      </c>
      <c r="E561" s="8" t="s">
        <v>3915</v>
      </c>
      <c r="F561" s="6"/>
    </row>
    <row r="562">
      <c r="A562" s="6" t="s">
        <v>4496</v>
      </c>
      <c r="B562" s="6" t="s">
        <v>7</v>
      </c>
      <c r="C562" s="7" t="s">
        <v>4499</v>
      </c>
      <c r="D562" s="6" t="s">
        <v>4500</v>
      </c>
      <c r="E562" s="8" t="s">
        <v>3915</v>
      </c>
      <c r="F562" s="6"/>
    </row>
    <row r="563">
      <c r="A563" s="6" t="s">
        <v>4504</v>
      </c>
      <c r="B563" s="6" t="s">
        <v>7</v>
      </c>
      <c r="C563" s="7" t="s">
        <v>4506</v>
      </c>
      <c r="D563" s="6" t="s">
        <v>4507</v>
      </c>
      <c r="E563" s="8" t="s">
        <v>3915</v>
      </c>
      <c r="F563" s="6"/>
    </row>
    <row r="564">
      <c r="A564" s="6" t="s">
        <v>4511</v>
      </c>
      <c r="B564" s="6" t="s">
        <v>7</v>
      </c>
      <c r="C564" s="7" t="s">
        <v>4513</v>
      </c>
      <c r="D564" s="6" t="s">
        <v>4514</v>
      </c>
      <c r="E564" s="8" t="s">
        <v>3915</v>
      </c>
      <c r="F564" s="6"/>
    </row>
    <row r="565">
      <c r="A565" s="6" t="s">
        <v>4518</v>
      </c>
      <c r="B565" s="6" t="s">
        <v>7</v>
      </c>
      <c r="C565" s="7" t="s">
        <v>4520</v>
      </c>
      <c r="D565" s="6" t="s">
        <v>4521</v>
      </c>
      <c r="E565" s="8" t="s">
        <v>3915</v>
      </c>
      <c r="F565" s="6"/>
    </row>
    <row r="566">
      <c r="A566" s="6" t="s">
        <v>4524</v>
      </c>
      <c r="B566" s="6" t="s">
        <v>7</v>
      </c>
      <c r="C566" s="7" t="s">
        <v>4525</v>
      </c>
      <c r="D566" s="6" t="s">
        <v>4526</v>
      </c>
      <c r="E566" s="8" t="s">
        <v>3915</v>
      </c>
      <c r="F566" s="6"/>
    </row>
    <row r="567">
      <c r="A567" s="6" t="s">
        <v>4527</v>
      </c>
      <c r="B567" s="6" t="s">
        <v>7</v>
      </c>
      <c r="C567" s="7" t="s">
        <v>4528</v>
      </c>
      <c r="D567" s="6" t="s">
        <v>4529</v>
      </c>
      <c r="E567" s="8" t="s">
        <v>3915</v>
      </c>
      <c r="F567" s="6"/>
    </row>
    <row r="568">
      <c r="A568" s="6" t="s">
        <v>4530</v>
      </c>
      <c r="B568" s="6" t="s">
        <v>7</v>
      </c>
      <c r="C568" s="7" t="s">
        <v>4531</v>
      </c>
      <c r="D568" s="6" t="s">
        <v>4532</v>
      </c>
      <c r="E568" s="8" t="s">
        <v>3915</v>
      </c>
      <c r="F568" s="6"/>
    </row>
    <row r="569">
      <c r="A569" s="6" t="s">
        <v>4533</v>
      </c>
      <c r="B569" s="6" t="s">
        <v>7</v>
      </c>
      <c r="C569" s="7" t="s">
        <v>4534</v>
      </c>
      <c r="D569" s="6" t="s">
        <v>4535</v>
      </c>
      <c r="E569" s="8" t="s">
        <v>3915</v>
      </c>
      <c r="F569" s="6"/>
    </row>
    <row r="570">
      <c r="A570" s="6" t="s">
        <v>4536</v>
      </c>
      <c r="B570" s="6" t="s">
        <v>4537</v>
      </c>
      <c r="C570" s="7" t="s">
        <v>4539</v>
      </c>
      <c r="D570" s="6" t="s">
        <v>4541</v>
      </c>
      <c r="E570" s="8" t="s">
        <v>20</v>
      </c>
      <c r="F570" s="6"/>
    </row>
    <row r="571">
      <c r="A571" s="6" t="s">
        <v>4545</v>
      </c>
      <c r="B571" s="6" t="s">
        <v>4537</v>
      </c>
      <c r="C571" s="7" t="s">
        <v>4547</v>
      </c>
      <c r="D571" s="6" t="s">
        <v>4549</v>
      </c>
      <c r="E571" s="8" t="s">
        <v>3915</v>
      </c>
      <c r="F571" s="6"/>
    </row>
    <row r="572">
      <c r="A572" s="6" t="s">
        <v>4553</v>
      </c>
      <c r="B572" s="6" t="s">
        <v>4537</v>
      </c>
      <c r="C572" s="7" t="s">
        <v>4556</v>
      </c>
      <c r="D572" s="6" t="s">
        <v>4557</v>
      </c>
      <c r="E572" s="8" t="s">
        <v>3915</v>
      </c>
      <c r="F572" s="6"/>
    </row>
    <row r="573">
      <c r="A573" s="6" t="s">
        <v>4561</v>
      </c>
      <c r="B573" s="6" t="s">
        <v>4537</v>
      </c>
      <c r="C573" s="7" t="s">
        <v>4564</v>
      </c>
      <c r="D573" s="6" t="s">
        <v>4565</v>
      </c>
      <c r="E573" s="8" t="s">
        <v>3915</v>
      </c>
      <c r="F573" s="6"/>
    </row>
    <row r="574">
      <c r="A574" s="6" t="s">
        <v>4570</v>
      </c>
      <c r="B574" s="6" t="s">
        <v>4537</v>
      </c>
      <c r="C574" s="7" t="s">
        <v>4573</v>
      </c>
      <c r="D574" s="6" t="s">
        <v>4574</v>
      </c>
      <c r="E574" s="8" t="s">
        <v>3915</v>
      </c>
      <c r="F574" s="6"/>
    </row>
    <row r="575">
      <c r="A575" s="6" t="s">
        <v>4579</v>
      </c>
      <c r="B575" s="6" t="s">
        <v>4537</v>
      </c>
      <c r="C575" s="7" t="s">
        <v>4582</v>
      </c>
      <c r="D575" s="6" t="s">
        <v>4583</v>
      </c>
      <c r="E575" s="8" t="s">
        <v>3915</v>
      </c>
      <c r="F575" s="6"/>
    </row>
    <row r="576">
      <c r="A576" s="6" t="s">
        <v>4588</v>
      </c>
      <c r="B576" s="6" t="s">
        <v>4537</v>
      </c>
      <c r="C576" s="7" t="s">
        <v>4590</v>
      </c>
      <c r="D576" s="6" t="s">
        <v>4592</v>
      </c>
      <c r="E576" s="8" t="s">
        <v>3915</v>
      </c>
      <c r="F576" s="6"/>
    </row>
    <row r="577">
      <c r="A577" s="6" t="s">
        <v>4596</v>
      </c>
      <c r="B577" s="6" t="s">
        <v>4537</v>
      </c>
      <c r="C577" s="7" t="s">
        <v>4598</v>
      </c>
      <c r="D577" s="6" t="s">
        <v>4600</v>
      </c>
      <c r="E577" s="8" t="s">
        <v>3915</v>
      </c>
      <c r="F577" s="6"/>
    </row>
    <row r="578">
      <c r="A578" s="6" t="s">
        <v>4605</v>
      </c>
      <c r="B578" s="6" t="s">
        <v>4537</v>
      </c>
      <c r="C578" s="7" t="s">
        <v>4607</v>
      </c>
      <c r="D578" s="6" t="s">
        <v>4609</v>
      </c>
      <c r="E578" s="8" t="s">
        <v>3915</v>
      </c>
      <c r="F578" s="6"/>
    </row>
    <row r="579">
      <c r="A579" s="6" t="s">
        <v>4619</v>
      </c>
      <c r="B579" s="6" t="s">
        <v>4537</v>
      </c>
      <c r="C579" s="7" t="s">
        <v>4621</v>
      </c>
      <c r="D579" s="6" t="s">
        <v>4623</v>
      </c>
      <c r="E579" s="8" t="s">
        <v>3915</v>
      </c>
      <c r="F579" s="6"/>
    </row>
    <row r="580">
      <c r="A580" s="6" t="s">
        <v>4628</v>
      </c>
      <c r="B580" s="6" t="s">
        <v>7</v>
      </c>
      <c r="C580" s="7" t="s">
        <v>4630</v>
      </c>
      <c r="D580" s="6" t="s">
        <v>4632</v>
      </c>
      <c r="E580" s="8" t="s">
        <v>20</v>
      </c>
      <c r="F580" s="6"/>
    </row>
    <row r="581">
      <c r="A581" s="6" t="s">
        <v>4637</v>
      </c>
      <c r="B581" s="6" t="s">
        <v>7</v>
      </c>
      <c r="C581" s="7" t="s">
        <v>4639</v>
      </c>
      <c r="D581" s="6" t="s">
        <v>4641</v>
      </c>
      <c r="E581" s="8" t="s">
        <v>20</v>
      </c>
      <c r="F581" s="6"/>
    </row>
    <row r="582">
      <c r="A582" s="6" t="s">
        <v>4645</v>
      </c>
      <c r="B582" s="6" t="s">
        <v>7</v>
      </c>
      <c r="C582" s="7" t="s">
        <v>4647</v>
      </c>
      <c r="D582" s="6" t="s">
        <v>4649</v>
      </c>
      <c r="E582" s="8" t="s">
        <v>994</v>
      </c>
      <c r="F582" s="6"/>
    </row>
    <row r="583">
      <c r="A583" s="6" t="s">
        <v>4653</v>
      </c>
      <c r="B583" s="6" t="s">
        <v>7</v>
      </c>
      <c r="C583" s="7" t="s">
        <v>4656</v>
      </c>
      <c r="D583" s="6" t="s">
        <v>4657</v>
      </c>
      <c r="E583" s="8" t="s">
        <v>27</v>
      </c>
      <c r="F583" s="6"/>
    </row>
    <row r="584">
      <c r="A584" s="6" t="s">
        <v>4660</v>
      </c>
      <c r="B584" s="6" t="s">
        <v>7</v>
      </c>
      <c r="C584" s="7" t="s">
        <v>4663</v>
      </c>
      <c r="D584" s="6" t="s">
        <v>4664</v>
      </c>
      <c r="E584" s="8" t="s">
        <v>20</v>
      </c>
      <c r="F584" s="6"/>
    </row>
    <row r="585">
      <c r="A585" s="6" t="s">
        <v>4669</v>
      </c>
      <c r="B585" s="6" t="s">
        <v>4670</v>
      </c>
      <c r="C585" s="7" t="s">
        <v>4672</v>
      </c>
      <c r="D585" s="6" t="s">
        <v>4674</v>
      </c>
      <c r="E585" s="8" t="s">
        <v>20</v>
      </c>
      <c r="F585" s="6"/>
    </row>
    <row r="586">
      <c r="A586" s="6" t="s">
        <v>4679</v>
      </c>
      <c r="B586" s="6" t="s">
        <v>4681</v>
      </c>
      <c r="C586" s="7" t="s">
        <v>4683</v>
      </c>
      <c r="D586" s="6" t="s">
        <v>4684</v>
      </c>
      <c r="E586" s="8" t="s">
        <v>20</v>
      </c>
      <c r="F586" s="6"/>
    </row>
    <row r="587">
      <c r="A587" s="6" t="s">
        <v>4689</v>
      </c>
      <c r="B587" s="6" t="s">
        <v>4691</v>
      </c>
      <c r="C587" s="7" t="s">
        <v>4693</v>
      </c>
      <c r="D587" s="6" t="s">
        <v>4696</v>
      </c>
      <c r="E587" s="8" t="s">
        <v>763</v>
      </c>
      <c r="F587" s="6"/>
    </row>
    <row r="588">
      <c r="A588" s="6" t="s">
        <v>4701</v>
      </c>
      <c r="B588" s="6" t="s">
        <v>4691</v>
      </c>
      <c r="C588" s="7" t="s">
        <v>4704</v>
      </c>
      <c r="D588" s="6" t="s">
        <v>4706</v>
      </c>
      <c r="E588" s="8" t="s">
        <v>763</v>
      </c>
      <c r="F588" s="6"/>
    </row>
    <row r="589">
      <c r="A589" s="6" t="s">
        <v>4710</v>
      </c>
      <c r="B589" s="6" t="s">
        <v>4691</v>
      </c>
      <c r="C589" s="7" t="s">
        <v>4713</v>
      </c>
      <c r="D589" s="6" t="s">
        <v>4714</v>
      </c>
      <c r="E589" s="8" t="s">
        <v>4717</v>
      </c>
      <c r="F589" s="6"/>
    </row>
    <row r="590">
      <c r="A590" s="6" t="s">
        <v>4722</v>
      </c>
      <c r="B590" s="6" t="s">
        <v>7</v>
      </c>
      <c r="C590" s="7" t="s">
        <v>4725</v>
      </c>
      <c r="D590" s="6" t="s">
        <v>4726</v>
      </c>
      <c r="E590" s="8" t="s">
        <v>763</v>
      </c>
      <c r="F590" s="6"/>
    </row>
    <row r="591">
      <c r="A591" s="6" t="s">
        <v>4731</v>
      </c>
      <c r="B591" s="6" t="s">
        <v>7</v>
      </c>
      <c r="C591" s="7" t="s">
        <v>4734</v>
      </c>
      <c r="D591" s="6" t="s">
        <v>4735</v>
      </c>
      <c r="E591" s="8" t="s">
        <v>20</v>
      </c>
      <c r="F591" s="6"/>
    </row>
    <row r="592">
      <c r="A592" s="6" t="s">
        <v>4741</v>
      </c>
      <c r="B592" s="6" t="s">
        <v>4743</v>
      </c>
      <c r="C592" s="7" t="s">
        <v>4744</v>
      </c>
      <c r="D592" s="6" t="s">
        <v>4747</v>
      </c>
      <c r="E592" s="8" t="s">
        <v>994</v>
      </c>
      <c r="F592" s="6"/>
    </row>
    <row r="593">
      <c r="A593" s="6" t="s">
        <v>4752</v>
      </c>
      <c r="B593" s="6" t="s">
        <v>4743</v>
      </c>
      <c r="C593" s="7" t="s">
        <v>4755</v>
      </c>
      <c r="D593" s="6" t="s">
        <v>4757</v>
      </c>
      <c r="E593" s="8" t="s">
        <v>3556</v>
      </c>
      <c r="F593" s="6"/>
    </row>
    <row r="594">
      <c r="A594" s="6" t="s">
        <v>4763</v>
      </c>
      <c r="B594" s="6" t="s">
        <v>4743</v>
      </c>
      <c r="C594" s="7" t="s">
        <v>4767</v>
      </c>
      <c r="D594" s="6" t="s">
        <v>4769</v>
      </c>
      <c r="E594" s="8" t="s">
        <v>3556</v>
      </c>
      <c r="F594" s="6"/>
    </row>
    <row r="595">
      <c r="A595" s="6" t="s">
        <v>4771</v>
      </c>
      <c r="B595" s="6" t="s">
        <v>4743</v>
      </c>
      <c r="C595" s="7" t="s">
        <v>4773</v>
      </c>
      <c r="D595" s="6" t="s">
        <v>4775</v>
      </c>
      <c r="E595" s="8" t="s">
        <v>3556</v>
      </c>
      <c r="F595" s="6"/>
    </row>
    <row r="596">
      <c r="A596" s="6" t="s">
        <v>4779</v>
      </c>
      <c r="B596" s="6" t="s">
        <v>4743</v>
      </c>
      <c r="C596" s="7" t="s">
        <v>4782</v>
      </c>
      <c r="D596" s="6" t="s">
        <v>4783</v>
      </c>
      <c r="E596" s="8" t="s">
        <v>3556</v>
      </c>
      <c r="F596" s="6"/>
    </row>
    <row r="597">
      <c r="A597" s="6" t="s">
        <v>4788</v>
      </c>
      <c r="B597" s="6" t="s">
        <v>4743</v>
      </c>
      <c r="C597" s="7" t="s">
        <v>4791</v>
      </c>
      <c r="D597" s="6" t="s">
        <v>4792</v>
      </c>
      <c r="E597" s="8" t="s">
        <v>3556</v>
      </c>
      <c r="F597" s="6"/>
    </row>
    <row r="598">
      <c r="A598" s="6" t="s">
        <v>4797</v>
      </c>
      <c r="B598" s="6" t="s">
        <v>4743</v>
      </c>
      <c r="C598" s="7" t="s">
        <v>4799</v>
      </c>
      <c r="D598" s="6" t="s">
        <v>4801</v>
      </c>
      <c r="E598" s="8" t="s">
        <v>3556</v>
      </c>
      <c r="F598" s="6"/>
    </row>
    <row r="599">
      <c r="A599" s="6" t="s">
        <v>4805</v>
      </c>
      <c r="B599" s="6" t="s">
        <v>4743</v>
      </c>
      <c r="C599" s="7" t="s">
        <v>4807</v>
      </c>
      <c r="D599" s="6" t="s">
        <v>4810</v>
      </c>
      <c r="E599" s="8" t="s">
        <v>3556</v>
      </c>
      <c r="F599" s="6"/>
    </row>
    <row r="600">
      <c r="A600" s="6" t="s">
        <v>4815</v>
      </c>
      <c r="B600" s="6" t="s">
        <v>4743</v>
      </c>
      <c r="C600" s="7" t="s">
        <v>4818</v>
      </c>
      <c r="D600" s="6" t="s">
        <v>4820</v>
      </c>
      <c r="E600" s="8" t="s">
        <v>3556</v>
      </c>
      <c r="F600" s="6"/>
    </row>
    <row r="601">
      <c r="A601" s="6" t="s">
        <v>4822</v>
      </c>
      <c r="B601" s="6" t="s">
        <v>4743</v>
      </c>
      <c r="C601" s="7" t="s">
        <v>4825</v>
      </c>
      <c r="D601" s="6" t="s">
        <v>4826</v>
      </c>
      <c r="E601" s="8" t="s">
        <v>3556</v>
      </c>
      <c r="F601" s="6"/>
    </row>
    <row r="602">
      <c r="A602" s="6" t="s">
        <v>4832</v>
      </c>
      <c r="B602" s="6" t="s">
        <v>4834</v>
      </c>
      <c r="C602" s="7" t="s">
        <v>4835</v>
      </c>
      <c r="D602" s="6" t="s">
        <v>4838</v>
      </c>
      <c r="E602" s="8" t="s">
        <v>4322</v>
      </c>
      <c r="F602" s="6"/>
    </row>
    <row r="603">
      <c r="A603" s="6" t="s">
        <v>4843</v>
      </c>
      <c r="B603" s="6" t="s">
        <v>4844</v>
      </c>
      <c r="C603" s="7" t="s">
        <v>4845</v>
      </c>
      <c r="D603" s="6" t="s">
        <v>4846</v>
      </c>
      <c r="E603" s="8" t="s">
        <v>994</v>
      </c>
      <c r="F603" s="6"/>
    </row>
    <row r="604">
      <c r="A604" s="6" t="s">
        <v>4850</v>
      </c>
      <c r="B604" s="6" t="s">
        <v>4853</v>
      </c>
      <c r="C604" s="7" t="s">
        <v>4854</v>
      </c>
      <c r="D604" s="6" t="s">
        <v>4856</v>
      </c>
      <c r="E604" s="8" t="s">
        <v>4859</v>
      </c>
      <c r="F604" s="6"/>
    </row>
    <row r="605">
      <c r="A605" s="6" t="s">
        <v>4862</v>
      </c>
      <c r="B605" s="6" t="s">
        <v>4864</v>
      </c>
      <c r="C605" s="7" t="s">
        <v>151</v>
      </c>
      <c r="D605" s="6" t="s">
        <v>4867</v>
      </c>
      <c r="E605" s="8" t="s">
        <v>4322</v>
      </c>
      <c r="F605" s="2" t="s">
        <v>71</v>
      </c>
    </row>
    <row r="606">
      <c r="A606" s="6" t="s">
        <v>4872</v>
      </c>
      <c r="B606" s="6" t="s">
        <v>4864</v>
      </c>
      <c r="C606" s="7" t="s">
        <v>4873</v>
      </c>
      <c r="D606" s="6" t="s">
        <v>4875</v>
      </c>
      <c r="E606" s="8" t="s">
        <v>4877</v>
      </c>
      <c r="F606" s="6"/>
    </row>
    <row r="607">
      <c r="A607" s="6" t="s">
        <v>4880</v>
      </c>
      <c r="B607" s="6" t="s">
        <v>4864</v>
      </c>
      <c r="C607" s="7" t="s">
        <v>4881</v>
      </c>
      <c r="D607" s="6" t="s">
        <v>4883</v>
      </c>
      <c r="E607" s="8" t="s">
        <v>4877</v>
      </c>
      <c r="F607" s="6"/>
    </row>
    <row r="608">
      <c r="A608" s="6" t="s">
        <v>4885</v>
      </c>
      <c r="B608" s="6" t="s">
        <v>4864</v>
      </c>
      <c r="C608" s="7" t="s">
        <v>4886</v>
      </c>
      <c r="D608" s="6" t="s">
        <v>4887</v>
      </c>
      <c r="E608" s="8" t="s">
        <v>4877</v>
      </c>
      <c r="F608" s="6"/>
    </row>
    <row r="609">
      <c r="A609" s="6" t="s">
        <v>4890</v>
      </c>
      <c r="B609" s="6" t="s">
        <v>4864</v>
      </c>
      <c r="C609" s="7" t="s">
        <v>4892</v>
      </c>
      <c r="D609" s="6" t="s">
        <v>4893</v>
      </c>
      <c r="E609" s="8" t="s">
        <v>4877</v>
      </c>
      <c r="F609" s="6"/>
    </row>
    <row r="610">
      <c r="A610" s="6" t="s">
        <v>4896</v>
      </c>
      <c r="B610" s="6" t="s">
        <v>4864</v>
      </c>
      <c r="C610" s="7" t="s">
        <v>4898</v>
      </c>
      <c r="D610" s="6" t="s">
        <v>4899</v>
      </c>
      <c r="E610" s="8" t="s">
        <v>4877</v>
      </c>
      <c r="F610" s="6"/>
    </row>
    <row r="611">
      <c r="A611" s="6" t="s">
        <v>4902</v>
      </c>
      <c r="B611" s="6" t="s">
        <v>4864</v>
      </c>
      <c r="C611" s="7" t="s">
        <v>4903</v>
      </c>
      <c r="D611" s="6" t="s">
        <v>4904</v>
      </c>
      <c r="E611" s="8" t="s">
        <v>4877</v>
      </c>
      <c r="F611" s="6"/>
    </row>
    <row r="612">
      <c r="A612" s="6" t="s">
        <v>4907</v>
      </c>
      <c r="B612" s="6" t="s">
        <v>4864</v>
      </c>
      <c r="C612" s="7" t="s">
        <v>4909</v>
      </c>
      <c r="D612" s="6" t="s">
        <v>4910</v>
      </c>
      <c r="E612" s="8" t="s">
        <v>4877</v>
      </c>
      <c r="F612" s="6"/>
    </row>
    <row r="613">
      <c r="A613" s="6" t="s">
        <v>4913</v>
      </c>
      <c r="B613" s="6" t="s">
        <v>4864</v>
      </c>
      <c r="C613" s="7" t="s">
        <v>4915</v>
      </c>
      <c r="D613" s="6" t="s">
        <v>4916</v>
      </c>
      <c r="E613" s="8" t="s">
        <v>4877</v>
      </c>
      <c r="F613" s="6"/>
    </row>
    <row r="614">
      <c r="A614" s="6" t="s">
        <v>4920</v>
      </c>
      <c r="B614" s="6" t="s">
        <v>4864</v>
      </c>
      <c r="C614" s="7" t="s">
        <v>4922</v>
      </c>
      <c r="D614" s="6" t="s">
        <v>4924</v>
      </c>
      <c r="E614" s="8" t="s">
        <v>4877</v>
      </c>
      <c r="F614" s="6"/>
    </row>
    <row r="615">
      <c r="A615" s="6" t="s">
        <v>4926</v>
      </c>
      <c r="B615" s="6" t="s">
        <v>4928</v>
      </c>
      <c r="C615" s="7" t="s">
        <v>4929</v>
      </c>
      <c r="D615" s="6" t="s">
        <v>4930</v>
      </c>
      <c r="E615" s="8" t="s">
        <v>20</v>
      </c>
      <c r="F615" s="6"/>
    </row>
    <row r="616">
      <c r="A616" s="6" t="s">
        <v>4933</v>
      </c>
      <c r="B616" s="6" t="s">
        <v>4928</v>
      </c>
      <c r="C616" s="7" t="s">
        <v>4935</v>
      </c>
      <c r="D616" s="6" t="s">
        <v>4936</v>
      </c>
      <c r="E616" s="8" t="s">
        <v>3915</v>
      </c>
      <c r="F616" s="6"/>
    </row>
    <row r="617">
      <c r="A617" s="6" t="s">
        <v>4939</v>
      </c>
      <c r="B617" s="6" t="s">
        <v>4928</v>
      </c>
      <c r="C617" s="7" t="s">
        <v>4941</v>
      </c>
      <c r="D617" s="6" t="s">
        <v>4943</v>
      </c>
      <c r="E617" s="8" t="s">
        <v>3915</v>
      </c>
      <c r="F617" s="6"/>
    </row>
    <row r="618">
      <c r="A618" s="6" t="s">
        <v>4946</v>
      </c>
      <c r="B618" s="6" t="s">
        <v>4928</v>
      </c>
      <c r="C618" s="7" t="s">
        <v>4947</v>
      </c>
      <c r="D618" s="6" t="s">
        <v>4949</v>
      </c>
      <c r="E618" s="8" t="s">
        <v>3915</v>
      </c>
      <c r="F618" s="6"/>
    </row>
    <row r="619">
      <c r="A619" s="6" t="s">
        <v>4952</v>
      </c>
      <c r="B619" s="6" t="s">
        <v>4928</v>
      </c>
      <c r="C619" s="7" t="s">
        <v>4954</v>
      </c>
      <c r="D619" s="6" t="s">
        <v>4955</v>
      </c>
      <c r="E619" s="8" t="s">
        <v>3915</v>
      </c>
      <c r="F619" s="6"/>
    </row>
    <row r="620">
      <c r="A620" s="6" t="s">
        <v>4958</v>
      </c>
      <c r="B620" s="6" t="s">
        <v>4928</v>
      </c>
      <c r="C620" s="7" t="s">
        <v>4959</v>
      </c>
      <c r="D620" s="6" t="s">
        <v>4960</v>
      </c>
      <c r="E620" s="8" t="s">
        <v>3915</v>
      </c>
      <c r="F620" s="6"/>
    </row>
    <row r="621">
      <c r="A621" s="6" t="s">
        <v>4961</v>
      </c>
      <c r="B621" s="6" t="s">
        <v>4928</v>
      </c>
      <c r="C621" s="7" t="s">
        <v>4962</v>
      </c>
      <c r="D621" s="6" t="s">
        <v>4963</v>
      </c>
      <c r="E621" s="8" t="s">
        <v>3915</v>
      </c>
      <c r="F621" s="6"/>
    </row>
    <row r="622">
      <c r="A622" s="6" t="s">
        <v>4965</v>
      </c>
      <c r="B622" s="6" t="s">
        <v>4928</v>
      </c>
      <c r="C622" s="7" t="s">
        <v>4968</v>
      </c>
      <c r="D622" s="6" t="s">
        <v>4970</v>
      </c>
      <c r="E622" s="8" t="s">
        <v>3915</v>
      </c>
      <c r="F622" s="6"/>
    </row>
    <row r="623">
      <c r="A623" s="6" t="s">
        <v>4973</v>
      </c>
      <c r="B623" s="6" t="s">
        <v>4928</v>
      </c>
      <c r="C623" s="7" t="s">
        <v>4974</v>
      </c>
      <c r="D623" s="6" t="s">
        <v>4975</v>
      </c>
      <c r="E623" s="8" t="s">
        <v>3915</v>
      </c>
      <c r="F623" s="6"/>
    </row>
    <row r="624">
      <c r="A624" s="6" t="s">
        <v>4978</v>
      </c>
      <c r="B624" s="6" t="s">
        <v>4928</v>
      </c>
      <c r="C624" s="7" t="s">
        <v>4981</v>
      </c>
      <c r="D624" s="6" t="s">
        <v>4983</v>
      </c>
      <c r="E624" s="8" t="s">
        <v>3915</v>
      </c>
      <c r="F624" s="6"/>
    </row>
    <row r="625">
      <c r="A625" s="6" t="s">
        <v>4988</v>
      </c>
      <c r="B625" s="6" t="s">
        <v>7</v>
      </c>
      <c r="C625" s="7" t="s">
        <v>4991</v>
      </c>
      <c r="D625" s="6" t="s">
        <v>4992</v>
      </c>
      <c r="E625" s="8" t="s">
        <v>3651</v>
      </c>
      <c r="F625" s="6"/>
    </row>
    <row r="626">
      <c r="A626" s="6" t="s">
        <v>4997</v>
      </c>
      <c r="B626" s="6" t="s">
        <v>5000</v>
      </c>
      <c r="C626" s="7" t="s">
        <v>5001</v>
      </c>
      <c r="D626" s="6" t="s">
        <v>5004</v>
      </c>
      <c r="E626" s="8" t="s">
        <v>20</v>
      </c>
      <c r="F626" s="6"/>
    </row>
    <row r="627">
      <c r="A627" s="6" t="s">
        <v>5008</v>
      </c>
      <c r="B627" s="6" t="s">
        <v>7</v>
      </c>
      <c r="C627" s="7" t="s">
        <v>5011</v>
      </c>
      <c r="D627" s="6" t="s">
        <v>5014</v>
      </c>
      <c r="E627" s="8" t="s">
        <v>3356</v>
      </c>
      <c r="F627" s="6"/>
    </row>
    <row r="628">
      <c r="A628" s="6" t="s">
        <v>5019</v>
      </c>
      <c r="B628" s="6" t="s">
        <v>5022</v>
      </c>
      <c r="C628" s="7" t="s">
        <v>5024</v>
      </c>
      <c r="D628" s="6" t="s">
        <v>5026</v>
      </c>
      <c r="E628" s="8" t="s">
        <v>20</v>
      </c>
      <c r="F628" s="6"/>
    </row>
    <row r="629">
      <c r="A629" s="6" t="s">
        <v>5029</v>
      </c>
      <c r="B629" s="6" t="s">
        <v>5030</v>
      </c>
      <c r="C629" s="7" t="s">
        <v>5033</v>
      </c>
      <c r="D629" s="6" t="s">
        <v>5034</v>
      </c>
      <c r="E629" s="8" t="s">
        <v>763</v>
      </c>
      <c r="F629" s="6"/>
    </row>
    <row r="630">
      <c r="A630" s="6" t="s">
        <v>5039</v>
      </c>
      <c r="B630" s="6" t="s">
        <v>7</v>
      </c>
      <c r="C630" s="7" t="s">
        <v>5041</v>
      </c>
      <c r="D630" s="6" t="s">
        <v>5043</v>
      </c>
      <c r="E630" s="8" t="s">
        <v>5045</v>
      </c>
      <c r="F630" s="2" t="s">
        <v>71</v>
      </c>
    </row>
    <row r="631">
      <c r="A631" s="6" t="s">
        <v>5049</v>
      </c>
      <c r="B631" s="6" t="s">
        <v>7</v>
      </c>
      <c r="C631" s="7" t="s">
        <v>5051</v>
      </c>
      <c r="D631" s="6" t="s">
        <v>5053</v>
      </c>
      <c r="E631" s="8" t="s">
        <v>5056</v>
      </c>
      <c r="F631" s="6"/>
    </row>
    <row r="632">
      <c r="A632" s="6" t="s">
        <v>5057</v>
      </c>
      <c r="B632" s="6" t="s">
        <v>7</v>
      </c>
      <c r="C632" s="7" t="s">
        <v>5060</v>
      </c>
      <c r="D632" s="6" t="s">
        <v>5061</v>
      </c>
      <c r="E632" s="8" t="s">
        <v>3651</v>
      </c>
      <c r="F632" s="6"/>
    </row>
    <row r="633">
      <c r="A633" s="6" t="s">
        <v>5066</v>
      </c>
      <c r="B633" s="6" t="s">
        <v>7</v>
      </c>
      <c r="C633" s="7" t="s">
        <v>5069</v>
      </c>
      <c r="D633" s="6" t="s">
        <v>5070</v>
      </c>
      <c r="E633" s="8" t="s">
        <v>5056</v>
      </c>
      <c r="F633" s="6"/>
    </row>
    <row r="634">
      <c r="A634" s="6" t="s">
        <v>5076</v>
      </c>
      <c r="B634" s="6" t="s">
        <v>7</v>
      </c>
      <c r="C634" s="7" t="s">
        <v>5079</v>
      </c>
      <c r="D634" s="6" t="s">
        <v>5081</v>
      </c>
      <c r="E634" s="8" t="s">
        <v>5056</v>
      </c>
      <c r="F634" s="6"/>
    </row>
    <row r="635">
      <c r="A635" s="6" t="s">
        <v>5086</v>
      </c>
      <c r="B635" s="6" t="s">
        <v>7</v>
      </c>
      <c r="C635" s="7" t="s">
        <v>5088</v>
      </c>
      <c r="D635" s="6" t="s">
        <v>5090</v>
      </c>
      <c r="E635" s="8" t="s">
        <v>5056</v>
      </c>
      <c r="F635" s="6"/>
    </row>
    <row r="636">
      <c r="A636" s="6" t="s">
        <v>5095</v>
      </c>
      <c r="B636" s="6" t="s">
        <v>7</v>
      </c>
      <c r="C636" s="7" t="s">
        <v>5097</v>
      </c>
      <c r="D636" s="6" t="s">
        <v>5099</v>
      </c>
      <c r="E636" s="8" t="s">
        <v>5056</v>
      </c>
      <c r="F636" s="6"/>
    </row>
    <row r="637">
      <c r="A637" s="6" t="s">
        <v>5100</v>
      </c>
      <c r="B637" s="6" t="s">
        <v>7</v>
      </c>
      <c r="C637" s="7" t="s">
        <v>5103</v>
      </c>
      <c r="D637" s="6" t="s">
        <v>5104</v>
      </c>
      <c r="E637" s="8" t="s">
        <v>5056</v>
      </c>
      <c r="F637" s="6"/>
    </row>
    <row r="638">
      <c r="A638" s="6" t="s">
        <v>5109</v>
      </c>
      <c r="B638" s="6" t="s">
        <v>7</v>
      </c>
      <c r="C638" s="7" t="s">
        <v>5112</v>
      </c>
      <c r="D638" s="6" t="s">
        <v>5113</v>
      </c>
      <c r="E638" s="8" t="s">
        <v>5056</v>
      </c>
      <c r="F638" s="6"/>
    </row>
    <row r="639">
      <c r="A639" s="6" t="s">
        <v>5118</v>
      </c>
      <c r="B639" s="6" t="s">
        <v>7</v>
      </c>
      <c r="C639" s="7" t="s">
        <v>5121</v>
      </c>
      <c r="D639" s="6" t="s">
        <v>5122</v>
      </c>
      <c r="E639" s="8" t="s">
        <v>5056</v>
      </c>
      <c r="F639" s="6"/>
    </row>
    <row r="640">
      <c r="A640" s="6" t="s">
        <v>5125</v>
      </c>
      <c r="B640" s="6" t="s">
        <v>7</v>
      </c>
      <c r="C640" s="7" t="s">
        <v>5128</v>
      </c>
      <c r="D640" s="6" t="s">
        <v>5129</v>
      </c>
      <c r="E640" s="8" t="s">
        <v>5056</v>
      </c>
      <c r="F640" s="6"/>
    </row>
    <row r="641">
      <c r="A641" s="6" t="s">
        <v>5134</v>
      </c>
      <c r="B641" s="6" t="s">
        <v>5135</v>
      </c>
      <c r="C641" s="7" t="s">
        <v>5138</v>
      </c>
      <c r="D641" s="6" t="s">
        <v>5139</v>
      </c>
      <c r="E641" s="8" t="s">
        <v>20</v>
      </c>
      <c r="F641" s="6"/>
    </row>
    <row r="642">
      <c r="A642" s="6" t="s">
        <v>5142</v>
      </c>
      <c r="B642" s="6" t="s">
        <v>5022</v>
      </c>
      <c r="C642" s="7" t="s">
        <v>5143</v>
      </c>
      <c r="D642" s="6" t="s">
        <v>5144</v>
      </c>
      <c r="E642" s="8" t="s">
        <v>3915</v>
      </c>
      <c r="F642" s="6"/>
    </row>
    <row r="643">
      <c r="A643" s="6" t="s">
        <v>5149</v>
      </c>
      <c r="B643" s="6" t="s">
        <v>5022</v>
      </c>
      <c r="C643" s="7" t="s">
        <v>5152</v>
      </c>
      <c r="D643" s="6" t="s">
        <v>5153</v>
      </c>
      <c r="E643" s="8" t="s">
        <v>3915</v>
      </c>
      <c r="F643" s="6"/>
    </row>
    <row r="644">
      <c r="A644" s="6" t="s">
        <v>5158</v>
      </c>
      <c r="B644" s="6" t="s">
        <v>5022</v>
      </c>
      <c r="C644" s="7" t="s">
        <v>5160</v>
      </c>
      <c r="D644" s="6" t="s">
        <v>5162</v>
      </c>
      <c r="E644" s="8" t="s">
        <v>3915</v>
      </c>
      <c r="F644" s="6"/>
    </row>
    <row r="645">
      <c r="A645" s="6" t="s">
        <v>5167</v>
      </c>
      <c r="B645" s="6" t="s">
        <v>5022</v>
      </c>
      <c r="C645" s="7" t="s">
        <v>5169</v>
      </c>
      <c r="D645" s="6" t="s">
        <v>5171</v>
      </c>
      <c r="E645" s="8" t="s">
        <v>3915</v>
      </c>
      <c r="F645" s="6"/>
    </row>
    <row r="646">
      <c r="A646" s="6" t="s">
        <v>5176</v>
      </c>
      <c r="B646" s="6" t="s">
        <v>5022</v>
      </c>
      <c r="C646" s="7" t="s">
        <v>5179</v>
      </c>
      <c r="D646" s="6" t="s">
        <v>5180</v>
      </c>
      <c r="E646" s="8" t="s">
        <v>3915</v>
      </c>
      <c r="F646" s="6"/>
    </row>
    <row r="647">
      <c r="A647" s="6" t="s">
        <v>5184</v>
      </c>
      <c r="B647" s="6" t="s">
        <v>5022</v>
      </c>
      <c r="C647" s="7" t="s">
        <v>5186</v>
      </c>
      <c r="D647" s="6" t="s">
        <v>5188</v>
      </c>
      <c r="E647" s="8" t="s">
        <v>3915</v>
      </c>
      <c r="F647" s="6"/>
    </row>
    <row r="648">
      <c r="A648" s="6" t="s">
        <v>5193</v>
      </c>
      <c r="B648" s="6" t="s">
        <v>5022</v>
      </c>
      <c r="C648" s="7" t="s">
        <v>5195</v>
      </c>
      <c r="D648" s="6" t="s">
        <v>5197</v>
      </c>
      <c r="E648" s="8" t="s">
        <v>3915</v>
      </c>
      <c r="F648" s="6"/>
    </row>
    <row r="649">
      <c r="A649" s="6" t="s">
        <v>5203</v>
      </c>
      <c r="B649" s="6" t="s">
        <v>5022</v>
      </c>
      <c r="C649" s="7" t="s">
        <v>5205</v>
      </c>
      <c r="D649" s="6" t="s">
        <v>5207</v>
      </c>
      <c r="E649" s="8" t="s">
        <v>3915</v>
      </c>
      <c r="F649" s="6"/>
    </row>
    <row r="650">
      <c r="A650" s="6" t="s">
        <v>5211</v>
      </c>
      <c r="B650" s="6" t="s">
        <v>5022</v>
      </c>
      <c r="C650" s="7" t="s">
        <v>5213</v>
      </c>
      <c r="D650" s="6" t="s">
        <v>5215</v>
      </c>
      <c r="E650" s="8" t="s">
        <v>3915</v>
      </c>
      <c r="F650" s="6"/>
    </row>
    <row r="651">
      <c r="A651" s="6" t="s">
        <v>5219</v>
      </c>
      <c r="B651" s="6" t="s">
        <v>5221</v>
      </c>
      <c r="C651" s="7" t="s">
        <v>5223</v>
      </c>
      <c r="D651" s="6" t="s">
        <v>5224</v>
      </c>
      <c r="E651" s="8" t="s">
        <v>20</v>
      </c>
      <c r="F651" s="6"/>
    </row>
    <row r="652">
      <c r="A652" s="6" t="s">
        <v>5229</v>
      </c>
      <c r="B652" s="6" t="s">
        <v>7</v>
      </c>
      <c r="C652" s="7" t="s">
        <v>138</v>
      </c>
      <c r="D652" s="6" t="s">
        <v>5232</v>
      </c>
      <c r="E652" s="8" t="s">
        <v>2350</v>
      </c>
      <c r="F652" s="2" t="s">
        <v>71</v>
      </c>
    </row>
    <row r="653">
      <c r="A653" s="6" t="s">
        <v>5237</v>
      </c>
      <c r="B653" s="6" t="s">
        <v>7</v>
      </c>
      <c r="C653" s="7" t="s">
        <v>5240</v>
      </c>
      <c r="D653" s="6" t="s">
        <v>5241</v>
      </c>
      <c r="E653" s="8" t="s">
        <v>11</v>
      </c>
      <c r="F653" s="6"/>
    </row>
    <row r="654">
      <c r="A654" s="6" t="s">
        <v>5246</v>
      </c>
      <c r="B654" s="6" t="s">
        <v>7</v>
      </c>
      <c r="C654" s="7" t="s">
        <v>5249</v>
      </c>
      <c r="D654" s="6" t="s">
        <v>5257</v>
      </c>
      <c r="E654" s="8" t="s">
        <v>741</v>
      </c>
      <c r="F654" s="6"/>
    </row>
    <row r="655">
      <c r="A655" s="6" t="s">
        <v>5262</v>
      </c>
      <c r="B655" s="6" t="s">
        <v>5264</v>
      </c>
      <c r="C655" s="7" t="s">
        <v>5266</v>
      </c>
      <c r="D655" s="6" t="s">
        <v>5268</v>
      </c>
      <c r="E655" s="8" t="s">
        <v>763</v>
      </c>
      <c r="F655" s="6"/>
    </row>
    <row r="656">
      <c r="A656" s="6" t="s">
        <v>5273</v>
      </c>
      <c r="B656" s="6" t="s">
        <v>7</v>
      </c>
      <c r="C656" s="7" t="s">
        <v>5276</v>
      </c>
      <c r="D656" s="6" t="s">
        <v>5277</v>
      </c>
      <c r="E656" s="8" t="s">
        <v>3651</v>
      </c>
      <c r="F656" s="6"/>
    </row>
    <row r="657">
      <c r="A657" s="6" t="s">
        <v>5282</v>
      </c>
      <c r="B657" s="6" t="s">
        <v>7</v>
      </c>
      <c r="C657" s="7" t="s">
        <v>5284</v>
      </c>
      <c r="D657" s="6" t="s">
        <v>5286</v>
      </c>
      <c r="E657" s="8" t="s">
        <v>2447</v>
      </c>
      <c r="F657" s="6"/>
    </row>
    <row r="658">
      <c r="A658" s="6" t="s">
        <v>5290</v>
      </c>
      <c r="B658" s="6" t="s">
        <v>7</v>
      </c>
      <c r="C658" s="7" t="s">
        <v>5292</v>
      </c>
      <c r="D658" s="6" t="s">
        <v>5293</v>
      </c>
      <c r="E658" s="8" t="s">
        <v>27</v>
      </c>
      <c r="F658" s="6"/>
    </row>
    <row r="659">
      <c r="A659" s="6" t="s">
        <v>5298</v>
      </c>
      <c r="B659" s="6" t="s">
        <v>7</v>
      </c>
      <c r="C659" s="7" t="s">
        <v>5300</v>
      </c>
      <c r="D659" s="6" t="s">
        <v>5302</v>
      </c>
      <c r="E659" s="8" t="s">
        <v>27</v>
      </c>
      <c r="F659" s="6"/>
    </row>
    <row r="660">
      <c r="A660" s="6" t="s">
        <v>5305</v>
      </c>
      <c r="B660" s="6" t="s">
        <v>7</v>
      </c>
      <c r="C660" s="7" t="s">
        <v>5306</v>
      </c>
      <c r="D660" s="6" t="s">
        <v>5307</v>
      </c>
      <c r="E660" s="8" t="s">
        <v>27</v>
      </c>
      <c r="F660" s="6"/>
    </row>
    <row r="661">
      <c r="A661" s="6" t="s">
        <v>5310</v>
      </c>
      <c r="B661" s="6" t="s">
        <v>7</v>
      </c>
      <c r="C661" s="7" t="s">
        <v>5312</v>
      </c>
      <c r="D661" s="6" t="s">
        <v>5313</v>
      </c>
      <c r="E661" s="8" t="s">
        <v>5315</v>
      </c>
      <c r="F661" s="6"/>
    </row>
    <row r="662">
      <c r="A662" s="6" t="s">
        <v>5316</v>
      </c>
      <c r="B662" s="6" t="s">
        <v>7</v>
      </c>
      <c r="C662" s="7" t="s">
        <v>5318</v>
      </c>
      <c r="D662" s="6" t="s">
        <v>5319</v>
      </c>
      <c r="E662" s="8" t="s">
        <v>5315</v>
      </c>
      <c r="F662" s="6"/>
    </row>
    <row r="663">
      <c r="A663" s="6" t="s">
        <v>5322</v>
      </c>
      <c r="B663" s="6" t="s">
        <v>7</v>
      </c>
      <c r="C663" s="7" t="s">
        <v>5323</v>
      </c>
      <c r="D663" s="6" t="s">
        <v>5324</v>
      </c>
      <c r="E663" s="8" t="s">
        <v>27</v>
      </c>
      <c r="F663" s="6"/>
    </row>
    <row r="664">
      <c r="A664" s="6" t="s">
        <v>5327</v>
      </c>
      <c r="B664" s="6" t="s">
        <v>7</v>
      </c>
      <c r="C664" s="7" t="s">
        <v>5328</v>
      </c>
      <c r="D664" s="6" t="s">
        <v>5329</v>
      </c>
      <c r="E664" s="8" t="s">
        <v>5315</v>
      </c>
      <c r="F664" s="6"/>
    </row>
    <row r="665">
      <c r="A665" s="6" t="s">
        <v>5331</v>
      </c>
      <c r="B665" s="6" t="s">
        <v>7</v>
      </c>
      <c r="C665" s="7" t="s">
        <v>5333</v>
      </c>
      <c r="D665" s="6" t="s">
        <v>5334</v>
      </c>
      <c r="E665" s="8" t="s">
        <v>5315</v>
      </c>
      <c r="F665" s="6"/>
    </row>
    <row r="666">
      <c r="A666" s="6" t="s">
        <v>5337</v>
      </c>
      <c r="B666" s="6" t="s">
        <v>7</v>
      </c>
      <c r="C666" s="7" t="s">
        <v>5340</v>
      </c>
      <c r="D666" s="6" t="s">
        <v>5341</v>
      </c>
      <c r="E666" s="8" t="s">
        <v>5315</v>
      </c>
      <c r="F666" s="6"/>
    </row>
    <row r="667">
      <c r="A667" s="6" t="s">
        <v>5345</v>
      </c>
      <c r="B667" s="6" t="s">
        <v>7</v>
      </c>
      <c r="C667" s="7" t="s">
        <v>5347</v>
      </c>
      <c r="D667" s="6" t="s">
        <v>5348</v>
      </c>
      <c r="E667" s="8" t="s">
        <v>5315</v>
      </c>
      <c r="F667" s="6"/>
    </row>
    <row r="668">
      <c r="A668" s="6" t="s">
        <v>5353</v>
      </c>
      <c r="B668" s="6" t="s">
        <v>7</v>
      </c>
      <c r="C668" s="7" t="s">
        <v>5355</v>
      </c>
      <c r="D668" s="6" t="s">
        <v>5357</v>
      </c>
      <c r="E668" s="8" t="s">
        <v>5315</v>
      </c>
      <c r="F668" s="6"/>
    </row>
    <row r="669">
      <c r="A669" s="6" t="s">
        <v>5360</v>
      </c>
      <c r="B669" s="6" t="s">
        <v>7</v>
      </c>
      <c r="C669" s="7" t="s">
        <v>5363</v>
      </c>
      <c r="D669" s="6" t="s">
        <v>5364</v>
      </c>
      <c r="E669" s="8" t="s">
        <v>5315</v>
      </c>
      <c r="F669" s="6"/>
    </row>
    <row r="670">
      <c r="A670" s="6" t="s">
        <v>5369</v>
      </c>
      <c r="B670" s="6" t="s">
        <v>7</v>
      </c>
      <c r="C670" s="7" t="s">
        <v>5370</v>
      </c>
      <c r="D670" s="6" t="s">
        <v>5372</v>
      </c>
      <c r="E670" s="8" t="s">
        <v>27</v>
      </c>
      <c r="F670" s="6"/>
    </row>
    <row r="671">
      <c r="A671" s="6" t="s">
        <v>5376</v>
      </c>
      <c r="B671" s="6" t="s">
        <v>5377</v>
      </c>
      <c r="C671" s="7" t="s">
        <v>5379</v>
      </c>
      <c r="D671" s="6" t="s">
        <v>5380</v>
      </c>
      <c r="E671" s="8" t="s">
        <v>2366</v>
      </c>
      <c r="F671" s="6"/>
    </row>
    <row r="672">
      <c r="A672" s="6" t="s">
        <v>5384</v>
      </c>
      <c r="B672" s="6" t="s">
        <v>7</v>
      </c>
      <c r="C672" s="7" t="s">
        <v>5386</v>
      </c>
      <c r="D672" s="6" t="s">
        <v>5387</v>
      </c>
      <c r="E672" s="8" t="s">
        <v>27</v>
      </c>
      <c r="F672" s="6"/>
    </row>
    <row r="673">
      <c r="A673" s="6" t="s">
        <v>5391</v>
      </c>
      <c r="B673" s="6" t="s">
        <v>7</v>
      </c>
      <c r="C673" s="7" t="s">
        <v>5393</v>
      </c>
      <c r="D673" s="6" t="s">
        <v>5395</v>
      </c>
      <c r="E673" s="8" t="s">
        <v>1556</v>
      </c>
      <c r="F673" s="2" t="s">
        <v>71</v>
      </c>
    </row>
    <row r="674">
      <c r="A674" s="6" t="s">
        <v>5399</v>
      </c>
      <c r="B674" s="6" t="s">
        <v>7</v>
      </c>
      <c r="C674" s="7" t="s">
        <v>5401</v>
      </c>
      <c r="D674" s="6" t="s">
        <v>5403</v>
      </c>
      <c r="E674" s="8" t="s">
        <v>1556</v>
      </c>
      <c r="F674" s="6"/>
    </row>
    <row r="675">
      <c r="A675" s="6" t="s">
        <v>5408</v>
      </c>
      <c r="B675" s="6" t="s">
        <v>7</v>
      </c>
      <c r="C675" s="7" t="s">
        <v>5410</v>
      </c>
      <c r="D675" s="6" t="s">
        <v>5412</v>
      </c>
      <c r="E675" s="8" t="s">
        <v>5414</v>
      </c>
      <c r="F675" s="2" t="s">
        <v>71</v>
      </c>
    </row>
    <row r="676">
      <c r="A676" s="6" t="s">
        <v>5418</v>
      </c>
      <c r="B676" s="6" t="s">
        <v>7</v>
      </c>
      <c r="C676" s="7" t="s">
        <v>5420</v>
      </c>
      <c r="D676" s="6" t="s">
        <v>5422</v>
      </c>
      <c r="E676" s="8" t="s">
        <v>1556</v>
      </c>
      <c r="F676" s="6"/>
    </row>
    <row r="677">
      <c r="A677" s="6" t="s">
        <v>5427</v>
      </c>
      <c r="B677" s="6" t="s">
        <v>7</v>
      </c>
      <c r="C677" s="7" t="s">
        <v>5430</v>
      </c>
      <c r="D677" s="6" t="s">
        <v>5432</v>
      </c>
      <c r="E677" s="8" t="s">
        <v>5435</v>
      </c>
      <c r="F677" s="6"/>
    </row>
    <row r="678">
      <c r="A678" s="6" t="s">
        <v>5439</v>
      </c>
      <c r="B678" s="6" t="s">
        <v>7</v>
      </c>
      <c r="C678" s="7" t="s">
        <v>5442</v>
      </c>
      <c r="D678" s="6" t="s">
        <v>5444</v>
      </c>
      <c r="E678" s="8" t="s">
        <v>1556</v>
      </c>
      <c r="F678" s="6"/>
    </row>
    <row r="679">
      <c r="A679" s="6" t="s">
        <v>5449</v>
      </c>
      <c r="B679" s="6" t="s">
        <v>7</v>
      </c>
      <c r="C679" s="7" t="s">
        <v>5451</v>
      </c>
      <c r="D679" s="6" t="s">
        <v>5452</v>
      </c>
      <c r="E679" s="8" t="s">
        <v>1556</v>
      </c>
      <c r="F679" s="6"/>
    </row>
    <row r="680">
      <c r="A680" s="6" t="s">
        <v>5455</v>
      </c>
      <c r="B680" s="6" t="s">
        <v>5457</v>
      </c>
      <c r="C680" s="7" t="s">
        <v>5458</v>
      </c>
      <c r="D680" s="6" t="s">
        <v>5460</v>
      </c>
      <c r="E680" s="8" t="s">
        <v>1556</v>
      </c>
      <c r="F680" s="6"/>
    </row>
    <row r="681">
      <c r="A681" s="6" t="s">
        <v>5463</v>
      </c>
      <c r="B681" s="6" t="s">
        <v>5464</v>
      </c>
      <c r="C681" s="7" t="s">
        <v>5466</v>
      </c>
      <c r="D681" s="6" t="s">
        <v>5467</v>
      </c>
      <c r="E681" s="8" t="s">
        <v>1530</v>
      </c>
      <c r="F681" s="6"/>
    </row>
    <row r="682">
      <c r="A682" s="6" t="s">
        <v>5470</v>
      </c>
      <c r="B682" s="6" t="s">
        <v>5472</v>
      </c>
      <c r="C682" s="7" t="s">
        <v>5473</v>
      </c>
      <c r="D682" s="6" t="s">
        <v>5475</v>
      </c>
      <c r="E682" s="8" t="s">
        <v>1700</v>
      </c>
      <c r="F682" s="6"/>
    </row>
    <row r="683">
      <c r="A683" s="6" t="s">
        <v>5477</v>
      </c>
      <c r="B683" s="6" t="s">
        <v>7</v>
      </c>
      <c r="C683" s="7" t="s">
        <v>5480</v>
      </c>
      <c r="D683" s="6" t="s">
        <v>5482</v>
      </c>
      <c r="E683" s="8" t="s">
        <v>1556</v>
      </c>
      <c r="F683" s="6"/>
    </row>
    <row r="684">
      <c r="A684" s="6" t="s">
        <v>5487</v>
      </c>
      <c r="B684" s="6" t="s">
        <v>7</v>
      </c>
      <c r="C684" s="7" t="s">
        <v>5488</v>
      </c>
      <c r="D684" s="6" t="s">
        <v>5489</v>
      </c>
      <c r="E684" s="8" t="s">
        <v>3495</v>
      </c>
      <c r="F684" s="6"/>
    </row>
    <row r="685">
      <c r="A685" s="6" t="s">
        <v>5496</v>
      </c>
      <c r="B685" s="6" t="s">
        <v>7</v>
      </c>
      <c r="C685" s="7" t="s">
        <v>155</v>
      </c>
      <c r="D685" s="6" t="s">
        <v>5498</v>
      </c>
      <c r="E685" s="8" t="s">
        <v>5499</v>
      </c>
      <c r="F685" s="2" t="s">
        <v>71</v>
      </c>
    </row>
    <row r="686">
      <c r="A686" s="6" t="s">
        <v>5502</v>
      </c>
      <c r="B686" s="6" t="s">
        <v>7</v>
      </c>
      <c r="C686" s="7" t="s">
        <v>5503</v>
      </c>
      <c r="D686" s="6" t="s">
        <v>5505</v>
      </c>
      <c r="E686" s="8" t="s">
        <v>1556</v>
      </c>
      <c r="F686" s="6"/>
    </row>
    <row r="687">
      <c r="A687" s="6" t="s">
        <v>5509</v>
      </c>
      <c r="B687" s="6" t="s">
        <v>7</v>
      </c>
      <c r="C687" s="7" t="s">
        <v>5512</v>
      </c>
      <c r="D687" s="6" t="s">
        <v>5513</v>
      </c>
      <c r="E687" s="8" t="s">
        <v>1530</v>
      </c>
      <c r="F687" s="6"/>
    </row>
    <row r="688">
      <c r="A688" s="6" t="s">
        <v>5520</v>
      </c>
      <c r="B688" s="6" t="s">
        <v>7</v>
      </c>
      <c r="C688" s="7" t="s">
        <v>5522</v>
      </c>
      <c r="D688" s="6" t="s">
        <v>5524</v>
      </c>
      <c r="E688" s="8" t="s">
        <v>3322</v>
      </c>
      <c r="F688" s="6"/>
    </row>
    <row r="689">
      <c r="A689" s="6" t="s">
        <v>5529</v>
      </c>
      <c r="B689" s="6" t="s">
        <v>7</v>
      </c>
      <c r="C689" s="7" t="s">
        <v>5531</v>
      </c>
      <c r="D689" s="6" t="s">
        <v>5533</v>
      </c>
      <c r="E689" s="8" t="s">
        <v>763</v>
      </c>
      <c r="F689" s="6"/>
    </row>
    <row r="690">
      <c r="A690" s="6" t="s">
        <v>5535</v>
      </c>
      <c r="B690" s="6" t="s">
        <v>7</v>
      </c>
      <c r="C690" s="7" t="s">
        <v>5537</v>
      </c>
      <c r="D690" s="6" t="s">
        <v>5539</v>
      </c>
      <c r="E690" s="8" t="s">
        <v>3322</v>
      </c>
      <c r="F690" s="6"/>
    </row>
    <row r="691">
      <c r="A691" s="6" t="s">
        <v>5543</v>
      </c>
      <c r="B691" s="6" t="s">
        <v>7</v>
      </c>
      <c r="C691" s="7" t="s">
        <v>5546</v>
      </c>
      <c r="D691" s="6" t="s">
        <v>5547</v>
      </c>
      <c r="E691" s="8" t="s">
        <v>763</v>
      </c>
      <c r="F691" s="6"/>
    </row>
    <row r="692">
      <c r="A692" s="6" t="s">
        <v>5553</v>
      </c>
      <c r="B692" s="6" t="s">
        <v>7</v>
      </c>
      <c r="C692" s="7" t="s">
        <v>5556</v>
      </c>
      <c r="D692" s="6" t="s">
        <v>5557</v>
      </c>
      <c r="E692" s="8" t="s">
        <v>24</v>
      </c>
      <c r="F692" s="6"/>
    </row>
    <row r="693">
      <c r="A693" s="6" t="s">
        <v>5561</v>
      </c>
      <c r="B693" s="6" t="s">
        <v>5563</v>
      </c>
      <c r="C693" s="7" t="s">
        <v>5564</v>
      </c>
      <c r="D693" s="6" t="s">
        <v>5566</v>
      </c>
      <c r="E693" s="8" t="s">
        <v>3651</v>
      </c>
      <c r="F693" s="6"/>
    </row>
    <row r="694">
      <c r="A694" s="6" t="s">
        <v>5568</v>
      </c>
      <c r="B694" s="6" t="s">
        <v>7</v>
      </c>
      <c r="C694" s="7" t="s">
        <v>5570</v>
      </c>
      <c r="D694" s="6" t="s">
        <v>5572</v>
      </c>
      <c r="E694" s="8" t="s">
        <v>24</v>
      </c>
      <c r="F694" s="6"/>
    </row>
    <row r="695">
      <c r="A695" s="6" t="s">
        <v>5578</v>
      </c>
      <c r="B695" s="6" t="s">
        <v>5563</v>
      </c>
      <c r="C695" s="7" t="s">
        <v>5586</v>
      </c>
      <c r="D695" s="6" t="s">
        <v>5587</v>
      </c>
      <c r="E695" s="8" t="s">
        <v>3651</v>
      </c>
      <c r="F695" s="6"/>
    </row>
    <row r="696">
      <c r="A696" s="6" t="s">
        <v>5588</v>
      </c>
      <c r="B696" s="6" t="s">
        <v>7</v>
      </c>
      <c r="C696" s="7" t="s">
        <v>5590</v>
      </c>
      <c r="D696" s="6" t="s">
        <v>5591</v>
      </c>
      <c r="E696" s="8" t="s">
        <v>1556</v>
      </c>
      <c r="F696" s="6"/>
    </row>
    <row r="697">
      <c r="A697" s="6" t="s">
        <v>5595</v>
      </c>
      <c r="B697" s="6" t="s">
        <v>7</v>
      </c>
      <c r="C697" s="7" t="s">
        <v>5596</v>
      </c>
      <c r="D697" s="6" t="s">
        <v>5597</v>
      </c>
      <c r="E697" s="8" t="s">
        <v>5599</v>
      </c>
      <c r="F697" s="6"/>
    </row>
    <row r="698">
      <c r="A698" s="6" t="s">
        <v>5601</v>
      </c>
      <c r="B698" s="6" t="s">
        <v>5563</v>
      </c>
      <c r="C698" s="7" t="s">
        <v>5603</v>
      </c>
      <c r="D698" s="6" t="s">
        <v>5604</v>
      </c>
      <c r="E698" s="8" t="s">
        <v>3356</v>
      </c>
      <c r="F698" s="6"/>
    </row>
    <row r="699">
      <c r="A699" s="6" t="s">
        <v>5607</v>
      </c>
      <c r="B699" s="6" t="s">
        <v>7</v>
      </c>
      <c r="C699" s="7" t="s">
        <v>5609</v>
      </c>
      <c r="D699" s="6" t="s">
        <v>5610</v>
      </c>
      <c r="E699" s="8" t="s">
        <v>1556</v>
      </c>
      <c r="F699" s="6"/>
    </row>
    <row r="700">
      <c r="A700" s="6" t="s">
        <v>5613</v>
      </c>
      <c r="B700" s="6" t="s">
        <v>7</v>
      </c>
      <c r="C700" s="7" t="s">
        <v>5615</v>
      </c>
      <c r="D700" s="6" t="s">
        <v>5616</v>
      </c>
      <c r="E700" s="8" t="s">
        <v>5599</v>
      </c>
      <c r="F700" s="6"/>
    </row>
    <row r="701">
      <c r="A701" s="6" t="s">
        <v>5620</v>
      </c>
      <c r="B701" s="6" t="s">
        <v>5563</v>
      </c>
      <c r="C701" s="7" t="s">
        <v>5621</v>
      </c>
      <c r="D701" s="6" t="s">
        <v>5622</v>
      </c>
      <c r="E701" s="8" t="s">
        <v>3356</v>
      </c>
      <c r="F701" s="6"/>
    </row>
    <row r="702">
      <c r="A702" s="6" t="s">
        <v>5626</v>
      </c>
      <c r="B702" s="6" t="s">
        <v>7</v>
      </c>
      <c r="C702" s="7" t="s">
        <v>5628</v>
      </c>
      <c r="D702" s="6" t="s">
        <v>5629</v>
      </c>
      <c r="E702" s="8" t="s">
        <v>1556</v>
      </c>
      <c r="F702" s="6"/>
    </row>
    <row r="703">
      <c r="A703" s="6" t="s">
        <v>5632</v>
      </c>
      <c r="B703" s="6" t="s">
        <v>7</v>
      </c>
      <c r="C703" s="7" t="s">
        <v>5634</v>
      </c>
      <c r="D703" s="6" t="s">
        <v>5635</v>
      </c>
      <c r="E703" s="8" t="s">
        <v>1556</v>
      </c>
      <c r="F703" s="6"/>
    </row>
    <row r="704">
      <c r="A704" s="6" t="s">
        <v>5638</v>
      </c>
      <c r="B704" s="6" t="s">
        <v>7</v>
      </c>
      <c r="C704" s="7" t="s">
        <v>5640</v>
      </c>
      <c r="D704" s="6" t="s">
        <v>5641</v>
      </c>
      <c r="E704" s="8" t="s">
        <v>1556</v>
      </c>
      <c r="F704" s="6"/>
    </row>
    <row r="705">
      <c r="A705" s="6" t="s">
        <v>5644</v>
      </c>
      <c r="B705" s="6" t="s">
        <v>7</v>
      </c>
      <c r="C705" s="7" t="s">
        <v>5646</v>
      </c>
      <c r="D705" s="6" t="s">
        <v>5647</v>
      </c>
      <c r="E705" s="8" t="s">
        <v>3651</v>
      </c>
      <c r="F705" s="6"/>
    </row>
    <row r="706">
      <c r="A706" s="6" t="s">
        <v>5651</v>
      </c>
      <c r="B706" s="6" t="s">
        <v>7</v>
      </c>
      <c r="C706" s="7" t="s">
        <v>5652</v>
      </c>
      <c r="D706" s="6" t="s">
        <v>5653</v>
      </c>
      <c r="E706" s="8" t="s">
        <v>3651</v>
      </c>
      <c r="F706" s="6"/>
    </row>
    <row r="707">
      <c r="A707" s="6" t="s">
        <v>5656</v>
      </c>
      <c r="B707" s="6" t="s">
        <v>7</v>
      </c>
      <c r="C707" s="7" t="s">
        <v>5658</v>
      </c>
      <c r="D707" s="6" t="s">
        <v>5659</v>
      </c>
      <c r="E707" s="8" t="s">
        <v>3651</v>
      </c>
      <c r="F707" s="6"/>
    </row>
    <row r="708">
      <c r="A708" s="6" t="s">
        <v>5661</v>
      </c>
      <c r="B708" s="6" t="s">
        <v>7</v>
      </c>
      <c r="C708" s="7" t="s">
        <v>5662</v>
      </c>
      <c r="D708" s="6" t="s">
        <v>5664</v>
      </c>
      <c r="E708" s="8" t="s">
        <v>1556</v>
      </c>
      <c r="F708" s="6"/>
    </row>
    <row r="709">
      <c r="A709" s="6" t="s">
        <v>5667</v>
      </c>
      <c r="B709" s="6" t="s">
        <v>7</v>
      </c>
      <c r="C709" s="7" t="s">
        <v>5669</v>
      </c>
      <c r="D709" s="6" t="s">
        <v>5670</v>
      </c>
      <c r="E709" s="8" t="s">
        <v>1556</v>
      </c>
      <c r="F709" s="6"/>
    </row>
    <row r="710">
      <c r="A710" s="6" t="s">
        <v>5672</v>
      </c>
      <c r="B710" s="6" t="s">
        <v>7</v>
      </c>
      <c r="C710" s="7" t="s">
        <v>5674</v>
      </c>
      <c r="D710" s="6" t="s">
        <v>5675</v>
      </c>
      <c r="E710" s="8" t="s">
        <v>1556</v>
      </c>
      <c r="F710" s="6"/>
    </row>
    <row r="711">
      <c r="A711" s="6" t="s">
        <v>5678</v>
      </c>
      <c r="B711" s="6" t="s">
        <v>234</v>
      </c>
      <c r="C711" s="7" t="s">
        <v>5679</v>
      </c>
      <c r="D711" s="6" t="s">
        <v>5681</v>
      </c>
      <c r="E711" s="8" t="s">
        <v>1556</v>
      </c>
      <c r="F711" s="2" t="s">
        <v>1048</v>
      </c>
    </row>
    <row r="712">
      <c r="A712" s="6" t="s">
        <v>5684</v>
      </c>
      <c r="B712" s="6" t="s">
        <v>234</v>
      </c>
      <c r="C712" s="7" t="s">
        <v>5686</v>
      </c>
      <c r="D712" s="6" t="s">
        <v>5687</v>
      </c>
      <c r="E712" s="8" t="s">
        <v>1556</v>
      </c>
      <c r="F712" s="6"/>
    </row>
    <row r="713">
      <c r="A713" s="6" t="s">
        <v>5690</v>
      </c>
      <c r="B713" s="6" t="s">
        <v>234</v>
      </c>
      <c r="C713" s="7" t="s">
        <v>5692</v>
      </c>
      <c r="D713" s="6" t="s">
        <v>5693</v>
      </c>
      <c r="E713" s="8" t="s">
        <v>1556</v>
      </c>
      <c r="F713" s="6"/>
    </row>
    <row r="714">
      <c r="A714" s="6" t="s">
        <v>5696</v>
      </c>
      <c r="B714" s="6" t="s">
        <v>234</v>
      </c>
      <c r="C714" s="7" t="s">
        <v>94</v>
      </c>
      <c r="D714" s="6" t="s">
        <v>5698</v>
      </c>
      <c r="E714" s="8" t="s">
        <v>2500</v>
      </c>
      <c r="F714" s="2" t="s">
        <v>71</v>
      </c>
    </row>
    <row r="715">
      <c r="A715" s="6" t="s">
        <v>5701</v>
      </c>
      <c r="B715" s="6" t="s">
        <v>7</v>
      </c>
      <c r="C715" s="7" t="s">
        <v>5702</v>
      </c>
      <c r="D715" s="6" t="s">
        <v>5703</v>
      </c>
      <c r="E715" s="8" t="s">
        <v>811</v>
      </c>
      <c r="F715" s="6"/>
    </row>
    <row r="716">
      <c r="A716" s="6" t="s">
        <v>5707</v>
      </c>
      <c r="B716" s="6" t="s">
        <v>7</v>
      </c>
      <c r="C716" s="7" t="s">
        <v>111</v>
      </c>
      <c r="D716" s="6" t="s">
        <v>5709</v>
      </c>
      <c r="E716" s="8" t="s">
        <v>2500</v>
      </c>
      <c r="F716" s="2" t="s">
        <v>71</v>
      </c>
    </row>
    <row r="717">
      <c r="A717" s="6" t="s">
        <v>5711</v>
      </c>
      <c r="B717" s="6" t="s">
        <v>7</v>
      </c>
      <c r="C717" s="7" t="s">
        <v>5713</v>
      </c>
      <c r="D717" s="6" t="s">
        <v>5714</v>
      </c>
      <c r="E717" s="8" t="s">
        <v>2507</v>
      </c>
      <c r="F717" s="6"/>
    </row>
    <row r="718">
      <c r="A718" s="6" t="s">
        <v>5717</v>
      </c>
      <c r="B718" s="6" t="s">
        <v>7</v>
      </c>
      <c r="C718" s="7" t="s">
        <v>5718</v>
      </c>
      <c r="D718" s="6" t="s">
        <v>5719</v>
      </c>
      <c r="E718" s="8" t="s">
        <v>2507</v>
      </c>
      <c r="F718" s="6"/>
    </row>
    <row r="719">
      <c r="A719" s="6" t="s">
        <v>5724</v>
      </c>
      <c r="B719" s="6" t="s">
        <v>7</v>
      </c>
      <c r="C719" s="7" t="s">
        <v>5725</v>
      </c>
      <c r="D719" s="6" t="s">
        <v>5727</v>
      </c>
      <c r="E719" s="8" t="s">
        <v>2507</v>
      </c>
      <c r="F719" s="6"/>
    </row>
    <row r="720">
      <c r="A720" s="6" t="s">
        <v>5752</v>
      </c>
      <c r="B720" s="6" t="s">
        <v>7</v>
      </c>
      <c r="C720" s="7" t="s">
        <v>5754</v>
      </c>
      <c r="D720" s="6" t="s">
        <v>5756</v>
      </c>
      <c r="E720" s="8" t="s">
        <v>2507</v>
      </c>
      <c r="F720" s="6"/>
    </row>
    <row r="721">
      <c r="A721" s="6" t="s">
        <v>5761</v>
      </c>
      <c r="B721" s="6" t="s">
        <v>7</v>
      </c>
      <c r="C721" s="7" t="s">
        <v>5763</v>
      </c>
      <c r="D721" s="6" t="s">
        <v>5765</v>
      </c>
      <c r="E721" s="8" t="s">
        <v>2507</v>
      </c>
      <c r="F721" s="6"/>
    </row>
    <row r="722">
      <c r="A722" s="6" t="s">
        <v>5770</v>
      </c>
      <c r="B722" s="6" t="s">
        <v>7</v>
      </c>
      <c r="C722" s="7" t="s">
        <v>5772</v>
      </c>
      <c r="D722" s="6" t="s">
        <v>5774</v>
      </c>
      <c r="E722" s="8" t="s">
        <v>2507</v>
      </c>
      <c r="F722" s="6"/>
    </row>
    <row r="723">
      <c r="A723" s="6" t="s">
        <v>5779</v>
      </c>
      <c r="B723" s="6" t="s">
        <v>7</v>
      </c>
      <c r="C723" s="7" t="s">
        <v>5782</v>
      </c>
      <c r="D723" s="6" t="s">
        <v>5783</v>
      </c>
      <c r="E723" s="8" t="s">
        <v>2507</v>
      </c>
      <c r="F723" s="6"/>
    </row>
    <row r="724">
      <c r="A724" s="6" t="s">
        <v>5788</v>
      </c>
      <c r="B724" s="6" t="s">
        <v>7</v>
      </c>
      <c r="C724" s="7" t="s">
        <v>5791</v>
      </c>
      <c r="D724" s="6" t="s">
        <v>5792</v>
      </c>
      <c r="E724" s="8" t="s">
        <v>2507</v>
      </c>
      <c r="F724" s="6"/>
    </row>
    <row r="725">
      <c r="A725" s="6" t="s">
        <v>5797</v>
      </c>
      <c r="B725" s="6" t="s">
        <v>7</v>
      </c>
      <c r="C725" s="7" t="s">
        <v>5799</v>
      </c>
      <c r="D725" s="6" t="s">
        <v>5800</v>
      </c>
      <c r="E725" s="8" t="s">
        <v>2507</v>
      </c>
      <c r="F725" s="6"/>
    </row>
    <row r="726">
      <c r="A726" s="6" t="s">
        <v>5805</v>
      </c>
      <c r="B726" s="6" t="s">
        <v>7</v>
      </c>
      <c r="C726" s="7" t="s">
        <v>5808</v>
      </c>
      <c r="D726" s="6" t="s">
        <v>5809</v>
      </c>
      <c r="E726" s="8" t="s">
        <v>2500</v>
      </c>
      <c r="F726" s="6"/>
    </row>
    <row r="727">
      <c r="A727" s="6" t="s">
        <v>5814</v>
      </c>
      <c r="B727" s="6" t="s">
        <v>7</v>
      </c>
      <c r="C727" s="7" t="s">
        <v>5817</v>
      </c>
      <c r="D727" s="6" t="s">
        <v>5819</v>
      </c>
      <c r="E727" s="8" t="s">
        <v>2500</v>
      </c>
      <c r="F727" s="6"/>
    </row>
    <row r="728">
      <c r="A728" s="6" t="s">
        <v>5822</v>
      </c>
      <c r="B728" s="6" t="s">
        <v>7</v>
      </c>
      <c r="C728" s="7" t="s">
        <v>5823</v>
      </c>
      <c r="D728" s="6" t="s">
        <v>5825</v>
      </c>
      <c r="E728" s="8" t="s">
        <v>241</v>
      </c>
      <c r="F728" s="6"/>
    </row>
    <row r="729">
      <c r="A729" s="6" t="s">
        <v>5828</v>
      </c>
      <c r="B729" s="6" t="s">
        <v>7</v>
      </c>
      <c r="C729" s="7" t="s">
        <v>5830</v>
      </c>
      <c r="D729" s="6" t="s">
        <v>5831</v>
      </c>
      <c r="E729" s="8" t="s">
        <v>2500</v>
      </c>
      <c r="F729" s="6"/>
    </row>
    <row r="730">
      <c r="A730" s="6" t="s">
        <v>5834</v>
      </c>
      <c r="B730" s="6" t="s">
        <v>7</v>
      </c>
      <c r="C730" s="7" t="s">
        <v>129</v>
      </c>
      <c r="D730" s="6" t="s">
        <v>5836</v>
      </c>
      <c r="E730" s="8" t="s">
        <v>2500</v>
      </c>
      <c r="F730" s="2" t="s">
        <v>71</v>
      </c>
    </row>
    <row r="731">
      <c r="A731" s="6" t="s">
        <v>5842</v>
      </c>
      <c r="B731" s="6" t="s">
        <v>7</v>
      </c>
      <c r="C731" s="7" t="s">
        <v>5844</v>
      </c>
      <c r="D731" s="6" t="s">
        <v>5846</v>
      </c>
      <c r="E731" s="8" t="s">
        <v>2507</v>
      </c>
      <c r="F731" s="6"/>
    </row>
    <row r="732">
      <c r="A732" s="6" t="s">
        <v>5851</v>
      </c>
      <c r="B732" s="6" t="s">
        <v>7</v>
      </c>
      <c r="C732" s="7" t="s">
        <v>5853</v>
      </c>
      <c r="D732" s="6" t="s">
        <v>5855</v>
      </c>
      <c r="E732" s="8" t="s">
        <v>2507</v>
      </c>
      <c r="F732" s="6"/>
    </row>
    <row r="733">
      <c r="A733" s="6" t="s">
        <v>5859</v>
      </c>
      <c r="B733" s="6" t="s">
        <v>7</v>
      </c>
      <c r="C733" s="7" t="s">
        <v>5861</v>
      </c>
      <c r="D733" s="6" t="s">
        <v>5863</v>
      </c>
      <c r="E733" s="8" t="s">
        <v>2507</v>
      </c>
      <c r="F733" s="6"/>
    </row>
    <row r="734">
      <c r="A734" s="6" t="s">
        <v>5868</v>
      </c>
      <c r="B734" s="6" t="s">
        <v>7</v>
      </c>
      <c r="C734" s="7" t="s">
        <v>5870</v>
      </c>
      <c r="D734" s="6" t="s">
        <v>5871</v>
      </c>
      <c r="E734" s="8" t="s">
        <v>2507</v>
      </c>
      <c r="F734" s="6"/>
    </row>
    <row r="735">
      <c r="A735" s="6" t="s">
        <v>5876</v>
      </c>
      <c r="B735" s="6" t="s">
        <v>7</v>
      </c>
      <c r="C735" s="7" t="s">
        <v>5879</v>
      </c>
      <c r="D735" s="6" t="s">
        <v>5880</v>
      </c>
      <c r="E735" s="8" t="s">
        <v>2507</v>
      </c>
      <c r="F735" s="6"/>
    </row>
    <row r="736">
      <c r="A736" s="6" t="s">
        <v>5884</v>
      </c>
      <c r="B736" s="6" t="s">
        <v>7</v>
      </c>
      <c r="C736" s="7" t="s">
        <v>5886</v>
      </c>
      <c r="D736" s="6" t="s">
        <v>5888</v>
      </c>
      <c r="E736" s="8" t="s">
        <v>2507</v>
      </c>
      <c r="F736" s="6"/>
    </row>
    <row r="737">
      <c r="A737" s="6" t="s">
        <v>5893</v>
      </c>
      <c r="B737" s="6" t="s">
        <v>7</v>
      </c>
      <c r="C737" s="7" t="s">
        <v>5895</v>
      </c>
      <c r="D737" s="6" t="s">
        <v>5897</v>
      </c>
      <c r="E737" s="8" t="s">
        <v>2507</v>
      </c>
      <c r="F737" s="6"/>
    </row>
    <row r="738">
      <c r="A738" s="6" t="s">
        <v>5902</v>
      </c>
      <c r="B738" s="6" t="s">
        <v>7</v>
      </c>
      <c r="C738" s="7" t="s">
        <v>5904</v>
      </c>
      <c r="D738" s="6" t="s">
        <v>5906</v>
      </c>
      <c r="E738" s="8" t="s">
        <v>2507</v>
      </c>
      <c r="F738" s="6"/>
    </row>
    <row r="739">
      <c r="A739" s="6" t="s">
        <v>5908</v>
      </c>
      <c r="B739" s="6" t="s">
        <v>7</v>
      </c>
      <c r="C739" s="7" t="s">
        <v>5910</v>
      </c>
      <c r="D739" s="6" t="s">
        <v>5911</v>
      </c>
      <c r="E739" s="8" t="s">
        <v>2507</v>
      </c>
      <c r="F739" s="6"/>
    </row>
    <row r="740">
      <c r="A740" s="6" t="s">
        <v>5914</v>
      </c>
      <c r="B740" s="6" t="s">
        <v>7</v>
      </c>
      <c r="C740" s="7" t="s">
        <v>5916</v>
      </c>
      <c r="D740" s="6" t="s">
        <v>5917</v>
      </c>
      <c r="E740" s="8" t="s">
        <v>2500</v>
      </c>
      <c r="F740" s="6"/>
    </row>
    <row r="741">
      <c r="A741" s="6" t="s">
        <v>5919</v>
      </c>
      <c r="B741" s="6" t="s">
        <v>5920</v>
      </c>
      <c r="C741" s="7" t="s">
        <v>5923</v>
      </c>
      <c r="D741" s="6" t="s">
        <v>5924</v>
      </c>
      <c r="E741" s="8" t="s">
        <v>2500</v>
      </c>
      <c r="F741" s="6"/>
    </row>
    <row r="742">
      <c r="A742" s="6" t="s">
        <v>5929</v>
      </c>
      <c r="B742" s="6" t="s">
        <v>5920</v>
      </c>
      <c r="C742" s="7" t="s">
        <v>5931</v>
      </c>
      <c r="D742" s="6" t="s">
        <v>5933</v>
      </c>
      <c r="E742" s="8" t="s">
        <v>2507</v>
      </c>
      <c r="F742" s="6"/>
    </row>
    <row r="743">
      <c r="A743" s="6" t="s">
        <v>5937</v>
      </c>
      <c r="B743" s="6" t="s">
        <v>5920</v>
      </c>
      <c r="C743" s="7" t="s">
        <v>5938</v>
      </c>
      <c r="D743" s="6" t="s">
        <v>5940</v>
      </c>
      <c r="E743" s="8" t="s">
        <v>2507</v>
      </c>
      <c r="F743" s="6"/>
    </row>
    <row r="744">
      <c r="A744" s="6" t="s">
        <v>5945</v>
      </c>
      <c r="B744" s="6" t="s">
        <v>5920</v>
      </c>
      <c r="C744" s="7" t="s">
        <v>5947</v>
      </c>
      <c r="D744" s="6" t="s">
        <v>5949</v>
      </c>
      <c r="E744" s="8" t="s">
        <v>2507</v>
      </c>
      <c r="F744" s="6"/>
    </row>
    <row r="745">
      <c r="A745" s="6" t="s">
        <v>5954</v>
      </c>
      <c r="B745" s="6" t="s">
        <v>5920</v>
      </c>
      <c r="C745" s="7" t="s">
        <v>5955</v>
      </c>
      <c r="D745" s="6" t="s">
        <v>5957</v>
      </c>
      <c r="E745" s="8" t="s">
        <v>2507</v>
      </c>
      <c r="F745" s="6"/>
    </row>
    <row r="746">
      <c r="A746" s="6" t="s">
        <v>5963</v>
      </c>
      <c r="B746" s="6" t="s">
        <v>5920</v>
      </c>
      <c r="C746" s="7" t="s">
        <v>5966</v>
      </c>
      <c r="D746" s="6" t="s">
        <v>5967</v>
      </c>
      <c r="E746" s="8" t="s">
        <v>2507</v>
      </c>
      <c r="F746" s="6"/>
    </row>
    <row r="747">
      <c r="A747" s="6" t="s">
        <v>5971</v>
      </c>
      <c r="B747" s="6" t="s">
        <v>5920</v>
      </c>
      <c r="C747" s="7" t="s">
        <v>5974</v>
      </c>
      <c r="D747" s="6" t="s">
        <v>5975</v>
      </c>
      <c r="E747" s="8" t="s">
        <v>2507</v>
      </c>
      <c r="F747" s="6"/>
    </row>
    <row r="748">
      <c r="A748" s="6" t="s">
        <v>5980</v>
      </c>
      <c r="B748" s="6" t="s">
        <v>5920</v>
      </c>
      <c r="C748" s="7" t="s">
        <v>5983</v>
      </c>
      <c r="D748" s="6" t="s">
        <v>5984</v>
      </c>
      <c r="E748" s="8" t="s">
        <v>2507</v>
      </c>
      <c r="F748" s="6"/>
    </row>
    <row r="749">
      <c r="A749" s="6" t="s">
        <v>6001</v>
      </c>
      <c r="B749" s="6" t="s">
        <v>5920</v>
      </c>
      <c r="C749" s="7" t="s">
        <v>6003</v>
      </c>
      <c r="D749" s="6" t="s">
        <v>6005</v>
      </c>
      <c r="E749" s="8" t="s">
        <v>2507</v>
      </c>
      <c r="F749" s="6"/>
    </row>
    <row r="750">
      <c r="A750" s="6" t="s">
        <v>6012</v>
      </c>
      <c r="B750" s="6" t="s">
        <v>5920</v>
      </c>
      <c r="C750" s="7" t="s">
        <v>6014</v>
      </c>
      <c r="D750" s="6" t="s">
        <v>6016</v>
      </c>
      <c r="E750" s="8" t="s">
        <v>2507</v>
      </c>
      <c r="F750" s="6"/>
    </row>
    <row r="751">
      <c r="A751" s="6" t="s">
        <v>6021</v>
      </c>
      <c r="B751" s="6" t="s">
        <v>7</v>
      </c>
      <c r="C751" s="7" t="s">
        <v>6023</v>
      </c>
      <c r="D751" s="6" t="s">
        <v>6025</v>
      </c>
      <c r="E751" s="8" t="s">
        <v>2500</v>
      </c>
      <c r="F751" s="6"/>
    </row>
    <row r="752">
      <c r="A752" s="6" t="s">
        <v>6031</v>
      </c>
      <c r="B752" s="6" t="s">
        <v>7</v>
      </c>
      <c r="C752" s="7" t="s">
        <v>6033</v>
      </c>
      <c r="D752" s="6" t="s">
        <v>6035</v>
      </c>
      <c r="E752" s="8" t="s">
        <v>2500</v>
      </c>
      <c r="F752" s="6"/>
    </row>
    <row r="753">
      <c r="A753" s="6" t="s">
        <v>6039</v>
      </c>
      <c r="B753" s="6" t="s">
        <v>7</v>
      </c>
      <c r="C753" s="7" t="s">
        <v>6041</v>
      </c>
      <c r="D753" s="6" t="s">
        <v>6043</v>
      </c>
      <c r="E753" s="8" t="s">
        <v>2500</v>
      </c>
      <c r="F753" s="6"/>
    </row>
    <row r="754">
      <c r="A754" s="6" t="s">
        <v>6047</v>
      </c>
      <c r="B754" s="6" t="s">
        <v>7</v>
      </c>
      <c r="C754" s="7" t="s">
        <v>6050</v>
      </c>
      <c r="D754" s="6" t="s">
        <v>6051</v>
      </c>
      <c r="E754" s="8" t="s">
        <v>2500</v>
      </c>
      <c r="F754" s="6"/>
    </row>
    <row r="755">
      <c r="A755" s="6" t="s">
        <v>6055</v>
      </c>
      <c r="B755" s="6" t="s">
        <v>7</v>
      </c>
      <c r="C755" s="7" t="s">
        <v>6056</v>
      </c>
      <c r="D755" s="6" t="s">
        <v>6057</v>
      </c>
      <c r="E755" s="8" t="s">
        <v>6068</v>
      </c>
      <c r="F755" s="6"/>
    </row>
    <row r="756">
      <c r="A756" s="6" t="s">
        <v>6071</v>
      </c>
      <c r="B756" s="6" t="s">
        <v>7</v>
      </c>
      <c r="C756" s="7" t="s">
        <v>6073</v>
      </c>
      <c r="D756" s="6" t="s">
        <v>6074</v>
      </c>
      <c r="E756" s="8" t="s">
        <v>6068</v>
      </c>
      <c r="F756" s="6"/>
    </row>
    <row r="757">
      <c r="A757" s="6" t="s">
        <v>6078</v>
      </c>
      <c r="B757" s="6" t="s">
        <v>7</v>
      </c>
      <c r="C757" s="7" t="s">
        <v>6080</v>
      </c>
      <c r="D757" s="6" t="s">
        <v>6082</v>
      </c>
      <c r="E757" s="8" t="s">
        <v>6068</v>
      </c>
      <c r="F757" s="6"/>
    </row>
    <row r="758">
      <c r="A758" s="6" t="s">
        <v>6086</v>
      </c>
      <c r="B758" s="6" t="s">
        <v>7</v>
      </c>
      <c r="C758" s="7" t="s">
        <v>6088</v>
      </c>
      <c r="D758" s="6" t="s">
        <v>6089</v>
      </c>
      <c r="E758" s="8" t="s">
        <v>6068</v>
      </c>
      <c r="F758" s="6"/>
    </row>
    <row r="759">
      <c r="A759" s="6" t="s">
        <v>6093</v>
      </c>
      <c r="B759" s="6" t="s">
        <v>7</v>
      </c>
      <c r="C759" s="7" t="s">
        <v>6095</v>
      </c>
      <c r="D759" s="6" t="s">
        <v>6096</v>
      </c>
      <c r="E759" s="8" t="s">
        <v>6068</v>
      </c>
      <c r="F759" s="6"/>
    </row>
    <row r="760">
      <c r="A760" s="6" t="s">
        <v>6099</v>
      </c>
      <c r="B760" s="6" t="s">
        <v>7</v>
      </c>
      <c r="C760" s="7" t="s">
        <v>6101</v>
      </c>
      <c r="D760" s="6" t="s">
        <v>6102</v>
      </c>
      <c r="E760" s="8" t="s">
        <v>6068</v>
      </c>
      <c r="F760" s="6"/>
    </row>
    <row r="761">
      <c r="A761" s="6" t="s">
        <v>6105</v>
      </c>
      <c r="B761" s="6" t="s">
        <v>7</v>
      </c>
      <c r="C761" s="7" t="s">
        <v>6108</v>
      </c>
      <c r="D761" s="6" t="s">
        <v>6109</v>
      </c>
      <c r="E761" s="8" t="s">
        <v>6068</v>
      </c>
      <c r="F761" s="6"/>
    </row>
    <row r="762">
      <c r="A762" s="6" t="s">
        <v>6112</v>
      </c>
      <c r="B762" s="6" t="s">
        <v>7</v>
      </c>
      <c r="C762" s="7" t="s">
        <v>6115</v>
      </c>
      <c r="D762" s="6" t="s">
        <v>6116</v>
      </c>
      <c r="E762" s="8" t="s">
        <v>6068</v>
      </c>
      <c r="F762" s="6"/>
    </row>
    <row r="763">
      <c r="A763" s="6" t="s">
        <v>6118</v>
      </c>
      <c r="B763" s="6" t="s">
        <v>7</v>
      </c>
      <c r="C763" s="7" t="s">
        <v>6119</v>
      </c>
      <c r="D763" s="6" t="s">
        <v>6121</v>
      </c>
      <c r="E763" s="8" t="s">
        <v>6068</v>
      </c>
      <c r="F763" s="6"/>
    </row>
    <row r="764">
      <c r="A764" s="6" t="s">
        <v>6125</v>
      </c>
      <c r="B764" s="6" t="s">
        <v>7</v>
      </c>
      <c r="C764" s="7" t="s">
        <v>6126</v>
      </c>
      <c r="D764" s="6" t="s">
        <v>6128</v>
      </c>
      <c r="E764" s="8" t="s">
        <v>2500</v>
      </c>
      <c r="F764" s="6"/>
    </row>
    <row r="765">
      <c r="A765" s="6" t="s">
        <v>6132</v>
      </c>
      <c r="B765" s="6" t="s">
        <v>7</v>
      </c>
      <c r="C765" s="7" t="s">
        <v>6133</v>
      </c>
      <c r="D765" s="6" t="s">
        <v>6135</v>
      </c>
      <c r="E765" s="8" t="s">
        <v>2500</v>
      </c>
      <c r="F765" s="6"/>
    </row>
    <row r="766">
      <c r="A766" s="6" t="s">
        <v>6138</v>
      </c>
      <c r="B766" s="6" t="s">
        <v>7</v>
      </c>
      <c r="C766" s="7" t="s">
        <v>6139</v>
      </c>
      <c r="D766" s="6" t="s">
        <v>6140</v>
      </c>
      <c r="E766" s="8" t="s">
        <v>2500</v>
      </c>
      <c r="F766" s="6"/>
    </row>
    <row r="767">
      <c r="A767" s="6" t="s">
        <v>6143</v>
      </c>
      <c r="B767" s="6" t="s">
        <v>6148</v>
      </c>
      <c r="C767" s="7" t="s">
        <v>6152</v>
      </c>
      <c r="D767" s="6" t="s">
        <v>6154</v>
      </c>
      <c r="E767" s="8" t="s">
        <v>2500</v>
      </c>
      <c r="F767" s="6"/>
    </row>
    <row r="768">
      <c r="A768" s="6" t="s">
        <v>6167</v>
      </c>
      <c r="B768" s="6" t="s">
        <v>6168</v>
      </c>
      <c r="C768" s="7" t="s">
        <v>6171</v>
      </c>
      <c r="D768" s="6" t="s">
        <v>6173</v>
      </c>
      <c r="E768" s="8" t="s">
        <v>2500</v>
      </c>
      <c r="F768" s="6"/>
    </row>
    <row r="769">
      <c r="A769" s="6" t="s">
        <v>6178</v>
      </c>
      <c r="B769" s="6" t="s">
        <v>7</v>
      </c>
      <c r="C769" s="7" t="s">
        <v>6180</v>
      </c>
      <c r="D769" s="6" t="s">
        <v>6182</v>
      </c>
      <c r="E769" s="8" t="s">
        <v>2500</v>
      </c>
      <c r="F769" s="6"/>
    </row>
    <row r="770">
      <c r="A770" s="6" t="s">
        <v>6187</v>
      </c>
      <c r="B770" s="6" t="s">
        <v>6189</v>
      </c>
      <c r="C770" s="7" t="s">
        <v>6191</v>
      </c>
      <c r="D770" s="6" t="s">
        <v>6192</v>
      </c>
      <c r="E770" s="8" t="s">
        <v>2500</v>
      </c>
      <c r="F770" s="6"/>
    </row>
    <row r="771">
      <c r="A771" s="6" t="s">
        <v>6196</v>
      </c>
      <c r="B771" s="6" t="s">
        <v>6197</v>
      </c>
      <c r="C771" s="7" t="s">
        <v>6200</v>
      </c>
      <c r="D771" s="6" t="s">
        <v>6201</v>
      </c>
      <c r="E771" s="8" t="s">
        <v>2500</v>
      </c>
      <c r="F771" s="6"/>
    </row>
    <row r="772">
      <c r="A772" s="6" t="s">
        <v>6206</v>
      </c>
      <c r="B772" s="6" t="s">
        <v>7</v>
      </c>
      <c r="C772" s="7" t="s">
        <v>142</v>
      </c>
      <c r="D772" s="6" t="s">
        <v>6209</v>
      </c>
      <c r="E772" s="8" t="s">
        <v>2500</v>
      </c>
      <c r="F772" s="2" t="s">
        <v>71</v>
      </c>
    </row>
    <row r="773">
      <c r="A773" s="6" t="s">
        <v>6213</v>
      </c>
      <c r="B773" s="6" t="s">
        <v>6215</v>
      </c>
      <c r="C773" s="7" t="s">
        <v>6216</v>
      </c>
      <c r="D773" s="6" t="s">
        <v>6218</v>
      </c>
      <c r="E773" s="8" t="s">
        <v>2500</v>
      </c>
      <c r="F773" s="6"/>
    </row>
    <row r="774">
      <c r="A774" s="6" t="s">
        <v>6220</v>
      </c>
      <c r="B774" s="6" t="s">
        <v>7</v>
      </c>
      <c r="C774" s="7" t="s">
        <v>6221</v>
      </c>
      <c r="D774" s="6" t="s">
        <v>6222</v>
      </c>
      <c r="E774" s="8" t="s">
        <v>6224</v>
      </c>
      <c r="F774" s="6"/>
    </row>
    <row r="775">
      <c r="A775" s="6" t="s">
        <v>6227</v>
      </c>
      <c r="B775" s="6" t="s">
        <v>6229</v>
      </c>
      <c r="C775" s="7" t="s">
        <v>6230</v>
      </c>
      <c r="D775" s="6" t="s">
        <v>6231</v>
      </c>
      <c r="E775" s="8" t="s">
        <v>20</v>
      </c>
      <c r="F775" s="6"/>
    </row>
    <row r="776">
      <c r="A776" s="6" t="s">
        <v>6236</v>
      </c>
      <c r="B776" s="6" t="s">
        <v>7</v>
      </c>
      <c r="C776" s="7" t="s">
        <v>6237</v>
      </c>
      <c r="D776" s="6" t="s">
        <v>6239</v>
      </c>
      <c r="E776" s="8" t="s">
        <v>2500</v>
      </c>
      <c r="F776" s="6"/>
    </row>
    <row r="777">
      <c r="A777" s="6" t="s">
        <v>6243</v>
      </c>
      <c r="B777" s="6" t="s">
        <v>7</v>
      </c>
      <c r="C777" s="7" t="s">
        <v>6244</v>
      </c>
      <c r="D777" s="6" t="s">
        <v>6246</v>
      </c>
      <c r="E777" s="8" t="s">
        <v>2507</v>
      </c>
      <c r="F777" s="6"/>
    </row>
    <row r="778">
      <c r="A778" s="6" t="s">
        <v>6250</v>
      </c>
      <c r="B778" s="6" t="s">
        <v>7</v>
      </c>
      <c r="C778" s="7" t="s">
        <v>6251</v>
      </c>
      <c r="D778" s="6" t="s">
        <v>6253</v>
      </c>
      <c r="E778" s="8" t="s">
        <v>2507</v>
      </c>
      <c r="F778" s="6"/>
    </row>
    <row r="779">
      <c r="A779" s="6" t="s">
        <v>6257</v>
      </c>
      <c r="B779" s="6" t="s">
        <v>7</v>
      </c>
      <c r="C779" s="7" t="s">
        <v>6258</v>
      </c>
      <c r="D779" s="6" t="s">
        <v>6259</v>
      </c>
      <c r="E779" s="8" t="s">
        <v>2507</v>
      </c>
      <c r="F779" s="6"/>
    </row>
    <row r="780">
      <c r="A780" s="6" t="s">
        <v>6263</v>
      </c>
      <c r="B780" s="6" t="s">
        <v>7</v>
      </c>
      <c r="C780" s="7" t="s">
        <v>6264</v>
      </c>
      <c r="D780" s="6" t="s">
        <v>6265</v>
      </c>
      <c r="E780" s="8" t="s">
        <v>2507</v>
      </c>
      <c r="F780" s="6"/>
    </row>
    <row r="781">
      <c r="A781" s="6" t="s">
        <v>6270</v>
      </c>
      <c r="B781" s="6" t="s">
        <v>7</v>
      </c>
      <c r="C781" s="7" t="s">
        <v>6273</v>
      </c>
      <c r="D781" s="6" t="s">
        <v>6274</v>
      </c>
      <c r="E781" s="8" t="s">
        <v>2507</v>
      </c>
      <c r="F781" s="6"/>
    </row>
    <row r="782">
      <c r="A782" s="6" t="s">
        <v>6292</v>
      </c>
      <c r="B782" s="6" t="s">
        <v>7</v>
      </c>
      <c r="C782" s="7" t="s">
        <v>6294</v>
      </c>
      <c r="D782" s="6" t="s">
        <v>6296</v>
      </c>
      <c r="E782" s="8" t="s">
        <v>2507</v>
      </c>
      <c r="F782" s="6"/>
    </row>
    <row r="783">
      <c r="A783" s="6" t="s">
        <v>6299</v>
      </c>
      <c r="B783" s="6" t="s">
        <v>7</v>
      </c>
      <c r="C783" s="7" t="s">
        <v>6300</v>
      </c>
      <c r="D783" s="6" t="s">
        <v>6302</v>
      </c>
      <c r="E783" s="8" t="s">
        <v>2507</v>
      </c>
      <c r="F783" s="6"/>
    </row>
    <row r="784">
      <c r="A784" s="6" t="s">
        <v>6306</v>
      </c>
      <c r="B784" s="6" t="s">
        <v>7</v>
      </c>
      <c r="C784" s="7" t="s">
        <v>6307</v>
      </c>
      <c r="D784" s="6" t="s">
        <v>6308</v>
      </c>
      <c r="E784" s="8" t="s">
        <v>2507</v>
      </c>
      <c r="F784" s="6"/>
    </row>
    <row r="785">
      <c r="A785" s="6" t="s">
        <v>6313</v>
      </c>
      <c r="B785" s="6" t="s">
        <v>7</v>
      </c>
      <c r="C785" s="7" t="s">
        <v>6314</v>
      </c>
      <c r="D785" s="6" t="s">
        <v>6316</v>
      </c>
      <c r="E785" s="8" t="s">
        <v>2507</v>
      </c>
      <c r="F785" s="6"/>
    </row>
    <row r="786">
      <c r="A786" s="6" t="s">
        <v>6320</v>
      </c>
      <c r="B786" s="6" t="s">
        <v>7</v>
      </c>
      <c r="C786" s="7" t="s">
        <v>6322</v>
      </c>
      <c r="D786" s="6" t="s">
        <v>6323</v>
      </c>
      <c r="E786" s="8" t="s">
        <v>2500</v>
      </c>
      <c r="F786" s="6"/>
    </row>
    <row r="787">
      <c r="A787" s="6" t="s">
        <v>6330</v>
      </c>
      <c r="B787" s="6" t="s">
        <v>7</v>
      </c>
      <c r="C787" s="7" t="s">
        <v>6332</v>
      </c>
      <c r="D787" s="6" t="s">
        <v>6334</v>
      </c>
      <c r="E787" s="8" t="s">
        <v>2500</v>
      </c>
      <c r="F787" s="2" t="s">
        <v>71</v>
      </c>
    </row>
    <row r="788">
      <c r="A788" s="6" t="s">
        <v>6339</v>
      </c>
      <c r="B788" s="6" t="s">
        <v>6340</v>
      </c>
      <c r="C788" s="7" t="s">
        <v>6342</v>
      </c>
      <c r="D788" s="6" t="s">
        <v>6344</v>
      </c>
      <c r="E788" s="8" t="s">
        <v>811</v>
      </c>
      <c r="F788" s="6"/>
    </row>
    <row r="789">
      <c r="A789" s="6" t="s">
        <v>6349</v>
      </c>
      <c r="B789" s="6" t="s">
        <v>7</v>
      </c>
      <c r="C789" s="7" t="s">
        <v>6350</v>
      </c>
      <c r="D789" s="6" t="s">
        <v>6352</v>
      </c>
      <c r="E789" s="8" t="s">
        <v>2500</v>
      </c>
      <c r="F789" s="6"/>
    </row>
    <row r="790">
      <c r="A790" s="6" t="s">
        <v>6356</v>
      </c>
      <c r="B790" s="6" t="s">
        <v>6358</v>
      </c>
      <c r="C790" s="7" t="s">
        <v>6359</v>
      </c>
      <c r="D790" s="6" t="s">
        <v>6360</v>
      </c>
      <c r="E790" s="8" t="s">
        <v>811</v>
      </c>
      <c r="F790" s="6"/>
    </row>
    <row r="791">
      <c r="A791" s="6" t="s">
        <v>6366</v>
      </c>
      <c r="B791" s="6" t="s">
        <v>7</v>
      </c>
      <c r="C791" s="7" t="s">
        <v>6368</v>
      </c>
      <c r="D791" s="6" t="s">
        <v>6370</v>
      </c>
      <c r="E791" s="8" t="s">
        <v>2500</v>
      </c>
      <c r="F791" s="6"/>
    </row>
    <row r="792">
      <c r="A792" s="6" t="s">
        <v>6376</v>
      </c>
      <c r="B792" s="6" t="s">
        <v>6377</v>
      </c>
      <c r="C792" s="7" t="s">
        <v>6379</v>
      </c>
      <c r="D792" s="6" t="s">
        <v>6381</v>
      </c>
      <c r="E792" s="8" t="s">
        <v>811</v>
      </c>
      <c r="F792" s="6"/>
    </row>
    <row r="793">
      <c r="A793" s="6" t="s">
        <v>6386</v>
      </c>
      <c r="B793" s="6" t="s">
        <v>7</v>
      </c>
      <c r="C793" s="7" t="s">
        <v>6387</v>
      </c>
      <c r="D793" s="6" t="s">
        <v>6388</v>
      </c>
      <c r="E793" s="8" t="s">
        <v>811</v>
      </c>
      <c r="F793" s="2" t="s">
        <v>71</v>
      </c>
    </row>
    <row r="794">
      <c r="A794" s="6" t="s">
        <v>6391</v>
      </c>
      <c r="B794" s="6" t="s">
        <v>7</v>
      </c>
      <c r="C794" s="7" t="s">
        <v>6393</v>
      </c>
      <c r="D794" s="6" t="s">
        <v>6394</v>
      </c>
      <c r="E794" s="8" t="s">
        <v>2500</v>
      </c>
      <c r="F794" s="6"/>
    </row>
    <row r="795">
      <c r="A795" s="6" t="s">
        <v>6398</v>
      </c>
      <c r="B795" s="6" t="s">
        <v>7</v>
      </c>
      <c r="C795" s="7" t="s">
        <v>6399</v>
      </c>
      <c r="D795" s="6" t="s">
        <v>6400</v>
      </c>
      <c r="E795" s="8" t="s">
        <v>2500</v>
      </c>
      <c r="F795" s="6"/>
    </row>
    <row r="796">
      <c r="A796" s="6" t="s">
        <v>6403</v>
      </c>
      <c r="B796" s="6" t="s">
        <v>7</v>
      </c>
      <c r="C796" s="7" t="s">
        <v>6405</v>
      </c>
      <c r="D796" s="6" t="s">
        <v>6406</v>
      </c>
      <c r="E796" s="8" t="s">
        <v>2500</v>
      </c>
      <c r="F796" s="6"/>
    </row>
    <row r="797">
      <c r="A797" s="6" t="s">
        <v>6409</v>
      </c>
      <c r="B797" s="6" t="s">
        <v>7</v>
      </c>
      <c r="C797" s="7" t="s">
        <v>6411</v>
      </c>
      <c r="D797" s="6" t="s">
        <v>6412</v>
      </c>
      <c r="E797" s="8" t="s">
        <v>2500</v>
      </c>
      <c r="F797" s="6"/>
    </row>
    <row r="798">
      <c r="A798" s="6" t="s">
        <v>6462</v>
      </c>
      <c r="B798" s="6" t="s">
        <v>7</v>
      </c>
      <c r="C798" s="7" t="s">
        <v>6465</v>
      </c>
      <c r="D798" s="6" t="s">
        <v>6466</v>
      </c>
      <c r="E798" s="8" t="s">
        <v>2500</v>
      </c>
      <c r="F798" s="6"/>
    </row>
    <row r="799">
      <c r="A799" s="6" t="s">
        <v>6472</v>
      </c>
      <c r="B799" s="6" t="s">
        <v>6474</v>
      </c>
      <c r="C799" s="7" t="s">
        <v>6475</v>
      </c>
      <c r="D799" s="6" t="s">
        <v>6476</v>
      </c>
      <c r="E799" s="8" t="s">
        <v>1840</v>
      </c>
      <c r="F799" s="6"/>
    </row>
    <row r="800">
      <c r="A800" s="6" t="s">
        <v>6481</v>
      </c>
      <c r="B800" s="6" t="s">
        <v>7</v>
      </c>
      <c r="C800" s="7" t="s">
        <v>6482</v>
      </c>
      <c r="D800" s="6" t="s">
        <v>6483</v>
      </c>
      <c r="E800" s="8" t="s">
        <v>2500</v>
      </c>
      <c r="F800" s="6"/>
    </row>
    <row r="801">
      <c r="A801" s="6" t="s">
        <v>6486</v>
      </c>
      <c r="B801" s="6" t="s">
        <v>7</v>
      </c>
      <c r="C801" s="7" t="s">
        <v>6488</v>
      </c>
      <c r="D801" s="6" t="s">
        <v>6489</v>
      </c>
      <c r="E801" s="8" t="s">
        <v>2500</v>
      </c>
      <c r="F801" s="6"/>
    </row>
    <row r="802">
      <c r="A802" s="6" t="s">
        <v>6492</v>
      </c>
      <c r="B802" s="6" t="s">
        <v>7</v>
      </c>
      <c r="C802" s="7" t="s">
        <v>6494</v>
      </c>
      <c r="D802" s="6" t="s">
        <v>6495</v>
      </c>
      <c r="E802" s="8" t="s">
        <v>2500</v>
      </c>
      <c r="F802" s="6"/>
    </row>
    <row r="803">
      <c r="A803" s="6" t="s">
        <v>6498</v>
      </c>
      <c r="B803" s="6" t="s">
        <v>7</v>
      </c>
      <c r="C803" s="7" t="s">
        <v>6500</v>
      </c>
      <c r="D803" s="6" t="s">
        <v>6501</v>
      </c>
      <c r="E803" s="8" t="s">
        <v>2500</v>
      </c>
      <c r="F803" s="6"/>
    </row>
    <row r="804">
      <c r="A804" s="6" t="s">
        <v>6504</v>
      </c>
      <c r="B804" s="6" t="s">
        <v>7</v>
      </c>
      <c r="C804" s="7" t="s">
        <v>6505</v>
      </c>
      <c r="D804" s="6" t="s">
        <v>6506</v>
      </c>
      <c r="E804" s="8" t="s">
        <v>811</v>
      </c>
      <c r="F804" s="6"/>
    </row>
    <row r="805">
      <c r="A805" s="6" t="s">
        <v>6510</v>
      </c>
      <c r="B805" s="6" t="s">
        <v>7</v>
      </c>
      <c r="C805" s="7" t="s">
        <v>6512</v>
      </c>
      <c r="D805" s="6" t="s">
        <v>6514</v>
      </c>
      <c r="E805" s="8" t="s">
        <v>811</v>
      </c>
      <c r="F805" s="6"/>
    </row>
    <row r="806">
      <c r="A806" s="6" t="s">
        <v>6518</v>
      </c>
      <c r="B806" s="6" t="s">
        <v>7</v>
      </c>
      <c r="C806" s="7" t="s">
        <v>6519</v>
      </c>
      <c r="D806" s="6" t="s">
        <v>6520</v>
      </c>
      <c r="E806" s="8" t="s">
        <v>2500</v>
      </c>
      <c r="F806" s="6"/>
    </row>
    <row r="807">
      <c r="A807" s="6" t="s">
        <v>6524</v>
      </c>
      <c r="B807" s="6" t="s">
        <v>7</v>
      </c>
      <c r="C807" s="7" t="s">
        <v>6525</v>
      </c>
      <c r="D807" s="6" t="s">
        <v>6526</v>
      </c>
      <c r="E807" s="8" t="s">
        <v>811</v>
      </c>
      <c r="F807" s="6"/>
    </row>
    <row r="808">
      <c r="A808" s="6" t="s">
        <v>6530</v>
      </c>
      <c r="B808" s="6" t="s">
        <v>7</v>
      </c>
      <c r="C808" s="7" t="s">
        <v>6531</v>
      </c>
      <c r="D808" s="6" t="s">
        <v>6532</v>
      </c>
      <c r="E808" s="8" t="s">
        <v>2278</v>
      </c>
      <c r="F808" s="6"/>
    </row>
    <row r="809">
      <c r="A809" s="6" t="s">
        <v>6533</v>
      </c>
      <c r="B809" s="6" t="s">
        <v>7</v>
      </c>
      <c r="C809" s="7" t="s">
        <v>6535</v>
      </c>
      <c r="D809" s="6" t="s">
        <v>6536</v>
      </c>
      <c r="E809" s="8" t="s">
        <v>811</v>
      </c>
      <c r="F809" s="6"/>
    </row>
    <row r="810">
      <c r="A810" s="6" t="s">
        <v>6540</v>
      </c>
      <c r="B810" s="6" t="s">
        <v>6541</v>
      </c>
      <c r="C810" s="7" t="s">
        <v>6543</v>
      </c>
      <c r="D810" s="6" t="s">
        <v>6545</v>
      </c>
      <c r="E810" s="8" t="s">
        <v>6547</v>
      </c>
      <c r="F810" s="6"/>
    </row>
    <row r="811">
      <c r="A811" s="6" t="s">
        <v>6550</v>
      </c>
      <c r="B811" s="6" t="s">
        <v>6551</v>
      </c>
      <c r="C811" s="7" t="s">
        <v>6553</v>
      </c>
      <c r="D811" s="6" t="s">
        <v>6555</v>
      </c>
      <c r="E811" s="8" t="s">
        <v>811</v>
      </c>
      <c r="F811" s="6"/>
    </row>
    <row r="812">
      <c r="A812" s="6" t="s">
        <v>6559</v>
      </c>
      <c r="B812" s="6" t="s">
        <v>6560</v>
      </c>
      <c r="C812" s="7" t="s">
        <v>6561</v>
      </c>
      <c r="D812" s="6" t="s">
        <v>6563</v>
      </c>
      <c r="E812" s="8" t="s">
        <v>811</v>
      </c>
      <c r="F812" s="6"/>
    </row>
    <row r="813">
      <c r="A813" s="6" t="s">
        <v>6567</v>
      </c>
      <c r="B813" s="6" t="s">
        <v>6570</v>
      </c>
      <c r="C813" s="7" t="s">
        <v>6571</v>
      </c>
      <c r="D813" s="6" t="s">
        <v>6573</v>
      </c>
      <c r="E813" s="8" t="s">
        <v>811</v>
      </c>
      <c r="F813" s="6"/>
    </row>
    <row r="814">
      <c r="A814" s="6" t="s">
        <v>6576</v>
      </c>
      <c r="B814" s="6" t="s">
        <v>7</v>
      </c>
      <c r="C814" s="7" t="s">
        <v>6577</v>
      </c>
      <c r="D814" s="6" t="s">
        <v>6578</v>
      </c>
      <c r="E814" s="8" t="s">
        <v>811</v>
      </c>
      <c r="F814" s="6"/>
    </row>
    <row r="815">
      <c r="A815" s="6" t="s">
        <v>6579</v>
      </c>
      <c r="B815" s="6" t="s">
        <v>6580</v>
      </c>
      <c r="C815" s="7" t="s">
        <v>6581</v>
      </c>
      <c r="D815" s="6" t="s">
        <v>6582</v>
      </c>
      <c r="E815" s="8" t="s">
        <v>811</v>
      </c>
      <c r="F815" s="6"/>
    </row>
    <row r="816">
      <c r="A816" s="6" t="s">
        <v>6583</v>
      </c>
      <c r="B816" s="6" t="s">
        <v>7</v>
      </c>
      <c r="C816" s="7" t="s">
        <v>148</v>
      </c>
      <c r="D816" s="6" t="s">
        <v>6586</v>
      </c>
      <c r="E816" s="8" t="s">
        <v>811</v>
      </c>
      <c r="F816" s="2" t="s">
        <v>71</v>
      </c>
    </row>
    <row r="817">
      <c r="A817" s="6" t="s">
        <v>6590</v>
      </c>
      <c r="B817" s="6" t="s">
        <v>6592</v>
      </c>
      <c r="C817" s="7" t="s">
        <v>6594</v>
      </c>
      <c r="D817" s="6" t="s">
        <v>6595</v>
      </c>
      <c r="E817" s="8" t="s">
        <v>20</v>
      </c>
      <c r="F817" s="6"/>
    </row>
    <row r="818">
      <c r="A818" s="6" t="s">
        <v>6600</v>
      </c>
      <c r="B818" s="6" t="s">
        <v>6601</v>
      </c>
      <c r="C818" s="7" t="s">
        <v>6602</v>
      </c>
      <c r="D818" s="6" t="s">
        <v>6603</v>
      </c>
      <c r="E818" s="2" t="s">
        <v>811</v>
      </c>
      <c r="F818" s="6"/>
    </row>
    <row r="819">
      <c r="A819" s="6" t="s">
        <v>6606</v>
      </c>
      <c r="B819" s="6" t="s">
        <v>6607</v>
      </c>
      <c r="C819" s="7" t="s">
        <v>6609</v>
      </c>
      <c r="D819" s="6" t="s">
        <v>6610</v>
      </c>
      <c r="E819" s="2" t="s">
        <v>811</v>
      </c>
      <c r="F819" s="6"/>
    </row>
    <row r="820">
      <c r="A820" s="6" t="s">
        <v>6614</v>
      </c>
      <c r="B820" s="6" t="s">
        <v>6607</v>
      </c>
      <c r="C820" s="7" t="s">
        <v>6616</v>
      </c>
      <c r="D820" s="6" t="s">
        <v>6618</v>
      </c>
      <c r="E820" s="2" t="s">
        <v>811</v>
      </c>
      <c r="F820" s="6"/>
    </row>
    <row r="821">
      <c r="A821" s="6" t="s">
        <v>6621</v>
      </c>
      <c r="B821" s="6" t="s">
        <v>7</v>
      </c>
      <c r="C821" s="7" t="s">
        <v>6623</v>
      </c>
      <c r="D821" s="6" t="s">
        <v>6624</v>
      </c>
      <c r="E821" s="8" t="s">
        <v>811</v>
      </c>
      <c r="F821" s="6"/>
    </row>
    <row r="822">
      <c r="A822" s="6" t="s">
        <v>6628</v>
      </c>
      <c r="B822" s="6" t="s">
        <v>7</v>
      </c>
      <c r="C822" s="7" t="s">
        <v>6630</v>
      </c>
      <c r="D822" s="6" t="s">
        <v>6631</v>
      </c>
      <c r="E822" s="8" t="s">
        <v>811</v>
      </c>
      <c r="F822" s="6"/>
    </row>
    <row r="823">
      <c r="A823" s="6" t="s">
        <v>6635</v>
      </c>
      <c r="B823" s="6" t="s">
        <v>7</v>
      </c>
      <c r="C823" s="7" t="s">
        <v>6636</v>
      </c>
      <c r="D823" s="6" t="s">
        <v>6637</v>
      </c>
      <c r="E823" s="8" t="s">
        <v>6640</v>
      </c>
      <c r="F823" s="6"/>
    </row>
    <row r="824">
      <c r="A824" s="6" t="s">
        <v>6642</v>
      </c>
      <c r="B824" s="6" t="s">
        <v>6643</v>
      </c>
      <c r="C824" s="7" t="s">
        <v>6645</v>
      </c>
      <c r="D824" s="6" t="s">
        <v>6646</v>
      </c>
      <c r="E824" s="8" t="s">
        <v>20</v>
      </c>
      <c r="F824" s="6"/>
    </row>
    <row r="825">
      <c r="A825" s="6" t="s">
        <v>6649</v>
      </c>
      <c r="B825" s="6" t="s">
        <v>7</v>
      </c>
      <c r="C825" s="7" t="s">
        <v>6651</v>
      </c>
      <c r="D825" s="6" t="s">
        <v>6652</v>
      </c>
      <c r="E825" s="8" t="s">
        <v>6654</v>
      </c>
      <c r="F825" s="6"/>
    </row>
    <row r="826">
      <c r="A826" s="6" t="s">
        <v>6655</v>
      </c>
      <c r="B826" s="6" t="s">
        <v>7</v>
      </c>
      <c r="C826" s="7" t="s">
        <v>6657</v>
      </c>
      <c r="D826" s="6" t="s">
        <v>6658</v>
      </c>
      <c r="E826" s="8" t="s">
        <v>3808</v>
      </c>
      <c r="F826" s="6"/>
    </row>
    <row r="827">
      <c r="A827" s="6" t="s">
        <v>6660</v>
      </c>
      <c r="B827" s="6" t="s">
        <v>7</v>
      </c>
      <c r="C827" s="7" t="s">
        <v>153</v>
      </c>
      <c r="D827" s="6" t="s">
        <v>6661</v>
      </c>
      <c r="E827" s="8" t="s">
        <v>811</v>
      </c>
      <c r="F827" s="2" t="s">
        <v>71</v>
      </c>
    </row>
    <row r="828">
      <c r="A828" s="6" t="s">
        <v>6665</v>
      </c>
      <c r="B828" s="6" t="s">
        <v>6666</v>
      </c>
      <c r="C828" s="7" t="s">
        <v>6667</v>
      </c>
      <c r="D828" s="6" t="s">
        <v>6668</v>
      </c>
      <c r="E828" s="8" t="s">
        <v>6547</v>
      </c>
      <c r="F828" s="6"/>
    </row>
    <row r="829">
      <c r="A829" s="6" t="s">
        <v>6672</v>
      </c>
      <c r="B829" s="6" t="s">
        <v>6674</v>
      </c>
      <c r="C829" s="7" t="s">
        <v>6675</v>
      </c>
      <c r="D829" s="6" t="s">
        <v>6676</v>
      </c>
      <c r="E829" s="8" t="s">
        <v>811</v>
      </c>
      <c r="F829" s="2" t="s">
        <v>71</v>
      </c>
    </row>
    <row r="830">
      <c r="A830" s="6" t="s">
        <v>6681</v>
      </c>
      <c r="B830" s="6" t="s">
        <v>6674</v>
      </c>
      <c r="C830" s="7" t="s">
        <v>6682</v>
      </c>
      <c r="D830" s="6" t="s">
        <v>6684</v>
      </c>
      <c r="E830" s="8" t="s">
        <v>6068</v>
      </c>
      <c r="F830" s="6"/>
    </row>
    <row r="831">
      <c r="A831" s="6" t="s">
        <v>6688</v>
      </c>
      <c r="B831" s="6" t="s">
        <v>6674</v>
      </c>
      <c r="C831" s="7" t="s">
        <v>6689</v>
      </c>
      <c r="D831" s="6" t="s">
        <v>6691</v>
      </c>
      <c r="E831" s="8" t="s">
        <v>6068</v>
      </c>
      <c r="F831" s="6"/>
    </row>
    <row r="832">
      <c r="A832" s="6" t="s">
        <v>6695</v>
      </c>
      <c r="B832" s="6" t="s">
        <v>6674</v>
      </c>
      <c r="C832" s="7" t="s">
        <v>6696</v>
      </c>
      <c r="D832" s="6" t="s">
        <v>6697</v>
      </c>
      <c r="E832" s="8" t="s">
        <v>6068</v>
      </c>
      <c r="F832" s="6"/>
    </row>
    <row r="833">
      <c r="A833" s="6" t="s">
        <v>6700</v>
      </c>
      <c r="B833" s="6" t="s">
        <v>6674</v>
      </c>
      <c r="C833" s="7" t="s">
        <v>6702</v>
      </c>
      <c r="D833" s="6" t="s">
        <v>6703</v>
      </c>
      <c r="E833" s="8" t="s">
        <v>6068</v>
      </c>
      <c r="F833" s="6"/>
    </row>
    <row r="834">
      <c r="A834" s="6" t="s">
        <v>6708</v>
      </c>
      <c r="B834" s="6" t="s">
        <v>6674</v>
      </c>
      <c r="C834" s="7" t="s">
        <v>6709</v>
      </c>
      <c r="D834" s="6" t="s">
        <v>6710</v>
      </c>
      <c r="E834" s="8" t="s">
        <v>6068</v>
      </c>
      <c r="F834" s="6"/>
    </row>
    <row r="835">
      <c r="A835" s="6" t="s">
        <v>6714</v>
      </c>
      <c r="B835" s="6" t="s">
        <v>6674</v>
      </c>
      <c r="C835" s="7" t="s">
        <v>6715</v>
      </c>
      <c r="D835" s="6" t="s">
        <v>6716</v>
      </c>
      <c r="E835" s="8" t="s">
        <v>6068</v>
      </c>
      <c r="F835" s="6"/>
    </row>
    <row r="836">
      <c r="A836" s="6" t="s">
        <v>6719</v>
      </c>
      <c r="B836" s="6" t="s">
        <v>6674</v>
      </c>
      <c r="C836" s="7" t="s">
        <v>6722</v>
      </c>
      <c r="D836" s="6" t="s">
        <v>6723</v>
      </c>
      <c r="E836" s="8" t="s">
        <v>6068</v>
      </c>
      <c r="F836" s="6"/>
    </row>
    <row r="837">
      <c r="A837" s="6" t="s">
        <v>6727</v>
      </c>
      <c r="B837" s="6" t="s">
        <v>6674</v>
      </c>
      <c r="C837" s="7" t="s">
        <v>6729</v>
      </c>
      <c r="D837" s="6" t="s">
        <v>6730</v>
      </c>
      <c r="E837" s="8" t="s">
        <v>6068</v>
      </c>
      <c r="F837" s="6"/>
    </row>
    <row r="838">
      <c r="A838" s="6" t="s">
        <v>6734</v>
      </c>
      <c r="B838" s="6" t="s">
        <v>6674</v>
      </c>
      <c r="C838" s="7" t="s">
        <v>6736</v>
      </c>
      <c r="D838" s="6" t="s">
        <v>6737</v>
      </c>
      <c r="E838" s="8" t="s">
        <v>6068</v>
      </c>
      <c r="F838" s="6"/>
    </row>
    <row r="839">
      <c r="A839" s="6" t="s">
        <v>6741</v>
      </c>
      <c r="B839" s="6" t="s">
        <v>6743</v>
      </c>
      <c r="C839" s="7" t="s">
        <v>6744</v>
      </c>
      <c r="D839" s="6" t="s">
        <v>6745</v>
      </c>
      <c r="E839" s="8" t="s">
        <v>811</v>
      </c>
      <c r="F839" s="6"/>
    </row>
    <row r="840">
      <c r="A840" s="6" t="s">
        <v>6749</v>
      </c>
      <c r="B840" s="6" t="s">
        <v>6750</v>
      </c>
      <c r="C840" s="7" t="s">
        <v>6752</v>
      </c>
      <c r="D840" s="6" t="s">
        <v>6753</v>
      </c>
      <c r="E840" s="8" t="s">
        <v>6755</v>
      </c>
      <c r="F840" s="6"/>
    </row>
    <row r="841">
      <c r="A841" s="6" t="s">
        <v>6758</v>
      </c>
      <c r="B841" s="6" t="s">
        <v>6750</v>
      </c>
      <c r="C841" s="7" t="s">
        <v>6760</v>
      </c>
      <c r="D841" s="6" t="s">
        <v>6761</v>
      </c>
      <c r="E841" s="8" t="s">
        <v>811</v>
      </c>
      <c r="F841" s="6"/>
    </row>
    <row r="842">
      <c r="A842" s="6" t="s">
        <v>6766</v>
      </c>
      <c r="B842" s="6" t="s">
        <v>7</v>
      </c>
      <c r="C842" s="7" t="s">
        <v>6769</v>
      </c>
      <c r="D842" s="6" t="s">
        <v>6770</v>
      </c>
      <c r="E842" s="8" t="s">
        <v>6773</v>
      </c>
      <c r="F842" s="6"/>
    </row>
    <row r="843">
      <c r="A843" s="6" t="s">
        <v>6775</v>
      </c>
      <c r="B843" s="6" t="s">
        <v>6750</v>
      </c>
      <c r="C843" s="7" t="s">
        <v>6777</v>
      </c>
      <c r="D843" s="6" t="s">
        <v>6778</v>
      </c>
      <c r="E843" s="8" t="s">
        <v>811</v>
      </c>
      <c r="F843" s="6"/>
    </row>
    <row r="844">
      <c r="A844" s="6" t="s">
        <v>6782</v>
      </c>
      <c r="B844" s="6" t="s">
        <v>6674</v>
      </c>
      <c r="C844" s="7" t="s">
        <v>6784</v>
      </c>
      <c r="D844" s="6" t="s">
        <v>6786</v>
      </c>
      <c r="E844" s="8" t="s">
        <v>811</v>
      </c>
      <c r="F844" s="6"/>
    </row>
    <row r="845">
      <c r="A845" s="6" t="s">
        <v>6790</v>
      </c>
      <c r="B845" s="6" t="s">
        <v>7</v>
      </c>
      <c r="C845" s="7" t="s">
        <v>6793</v>
      </c>
      <c r="D845" s="6" t="s">
        <v>6794</v>
      </c>
      <c r="E845" s="8" t="s">
        <v>811</v>
      </c>
      <c r="F845" s="6"/>
    </row>
    <row r="846">
      <c r="A846" s="6" t="s">
        <v>6799</v>
      </c>
      <c r="B846" s="6" t="s">
        <v>6800</v>
      </c>
      <c r="C846" s="7" t="s">
        <v>6802</v>
      </c>
      <c r="D846" s="6" t="s">
        <v>6804</v>
      </c>
      <c r="E846" s="8" t="s">
        <v>811</v>
      </c>
      <c r="F846" s="6"/>
    </row>
    <row r="847">
      <c r="A847" s="6" t="s">
        <v>6809</v>
      </c>
      <c r="B847" s="6" t="s">
        <v>7</v>
      </c>
      <c r="C847" s="7" t="s">
        <v>6810</v>
      </c>
      <c r="D847" s="6" t="s">
        <v>6812</v>
      </c>
      <c r="E847" s="8" t="s">
        <v>6773</v>
      </c>
      <c r="F847" s="6"/>
    </row>
    <row r="848">
      <c r="A848" s="6" t="s">
        <v>6818</v>
      </c>
      <c r="B848" s="6" t="s">
        <v>6819</v>
      </c>
      <c r="C848" s="7" t="s">
        <v>6821</v>
      </c>
      <c r="D848" s="6" t="s">
        <v>6823</v>
      </c>
      <c r="E848" s="8" t="s">
        <v>2500</v>
      </c>
      <c r="F848" s="6"/>
    </row>
    <row r="849">
      <c r="A849" s="6" t="s">
        <v>6828</v>
      </c>
      <c r="B849" s="6" t="s">
        <v>6829</v>
      </c>
      <c r="C849" s="7" t="s">
        <v>6832</v>
      </c>
      <c r="D849" s="6" t="s">
        <v>6833</v>
      </c>
      <c r="E849" s="8" t="s">
        <v>6773</v>
      </c>
      <c r="F849" s="6"/>
    </row>
    <row r="850">
      <c r="A850" s="6" t="s">
        <v>6838</v>
      </c>
      <c r="B850" s="6" t="s">
        <v>6839</v>
      </c>
      <c r="C850" s="7" t="s">
        <v>6841</v>
      </c>
      <c r="D850" s="6" t="s">
        <v>6843</v>
      </c>
      <c r="E850" s="8" t="s">
        <v>811</v>
      </c>
      <c r="F850" s="6"/>
    </row>
    <row r="851">
      <c r="A851" s="6" t="s">
        <v>6848</v>
      </c>
      <c r="B851" s="6" t="s">
        <v>7</v>
      </c>
      <c r="C851" s="7" t="s">
        <v>6850</v>
      </c>
      <c r="D851" s="6" t="s">
        <v>6852</v>
      </c>
      <c r="E851" s="8" t="s">
        <v>1858</v>
      </c>
      <c r="F851" s="6"/>
    </row>
    <row r="852">
      <c r="A852" s="6" t="s">
        <v>6857</v>
      </c>
      <c r="B852" s="6" t="s">
        <v>6858</v>
      </c>
      <c r="C852" s="7" t="s">
        <v>6860</v>
      </c>
      <c r="D852" s="6" t="s">
        <v>6862</v>
      </c>
      <c r="E852" s="8" t="s">
        <v>2500</v>
      </c>
      <c r="F852" s="6"/>
    </row>
    <row r="853">
      <c r="A853" s="6" t="s">
        <v>6867</v>
      </c>
      <c r="B853" s="6" t="s">
        <v>7</v>
      </c>
      <c r="C853" s="7" t="s">
        <v>6869</v>
      </c>
      <c r="D853" s="6" t="s">
        <v>6871</v>
      </c>
      <c r="E853" s="8" t="s">
        <v>4206</v>
      </c>
      <c r="F853" s="6"/>
    </row>
    <row r="854">
      <c r="A854" s="6" t="s">
        <v>6876</v>
      </c>
      <c r="B854" s="6" t="s">
        <v>7</v>
      </c>
      <c r="C854" s="7" t="s">
        <v>6878</v>
      </c>
      <c r="D854" s="6" t="s">
        <v>6880</v>
      </c>
      <c r="E854" s="8" t="s">
        <v>24</v>
      </c>
      <c r="F854" s="6"/>
    </row>
    <row r="855">
      <c r="A855" s="6" t="s">
        <v>6884</v>
      </c>
      <c r="B855" s="6" t="s">
        <v>7</v>
      </c>
      <c r="C855" s="7" t="s">
        <v>6886</v>
      </c>
      <c r="D855" s="6" t="s">
        <v>6888</v>
      </c>
      <c r="E855" s="8" t="s">
        <v>3819</v>
      </c>
      <c r="F855" s="6"/>
    </row>
    <row r="856">
      <c r="A856" s="6" t="s">
        <v>6893</v>
      </c>
      <c r="B856" s="6" t="s">
        <v>7</v>
      </c>
      <c r="C856" s="7" t="s">
        <v>6895</v>
      </c>
      <c r="D856" s="6" t="s">
        <v>6897</v>
      </c>
      <c r="E856" s="8" t="s">
        <v>1858</v>
      </c>
      <c r="F856" s="6"/>
    </row>
    <row r="857">
      <c r="A857" s="6" t="s">
        <v>6903</v>
      </c>
      <c r="B857" s="6" t="s">
        <v>6904</v>
      </c>
      <c r="C857" s="7" t="s">
        <v>6905</v>
      </c>
      <c r="D857" s="6" t="s">
        <v>6907</v>
      </c>
      <c r="E857" s="8" t="s">
        <v>1858</v>
      </c>
      <c r="F857" s="6"/>
    </row>
    <row r="858">
      <c r="A858" s="6" t="s">
        <v>6911</v>
      </c>
      <c r="B858" s="6" t="s">
        <v>7</v>
      </c>
      <c r="C858" s="7" t="s">
        <v>6913</v>
      </c>
      <c r="D858" s="6" t="s">
        <v>6915</v>
      </c>
      <c r="E858" s="8" t="s">
        <v>1858</v>
      </c>
      <c r="F858" s="6"/>
    </row>
    <row r="859">
      <c r="A859" s="6" t="s">
        <v>6918</v>
      </c>
      <c r="B859" s="6" t="s">
        <v>6920</v>
      </c>
      <c r="C859" s="7" t="s">
        <v>6922</v>
      </c>
      <c r="D859" s="6" t="s">
        <v>6923</v>
      </c>
      <c r="E859" s="8" t="s">
        <v>1858</v>
      </c>
      <c r="F859" s="6"/>
    </row>
    <row r="860">
      <c r="A860" s="6" t="s">
        <v>6927</v>
      </c>
      <c r="B860" s="6" t="s">
        <v>7</v>
      </c>
      <c r="C860" s="7" t="s">
        <v>6929</v>
      </c>
      <c r="D860" s="6" t="s">
        <v>6930</v>
      </c>
      <c r="E860" s="8" t="s">
        <v>1858</v>
      </c>
      <c r="F860" s="6"/>
    </row>
    <row r="861">
      <c r="A861" s="6" t="s">
        <v>6935</v>
      </c>
      <c r="B861" s="6" t="s">
        <v>7</v>
      </c>
      <c r="C861" s="7" t="s">
        <v>6937</v>
      </c>
      <c r="D861" s="6" t="s">
        <v>6939</v>
      </c>
      <c r="E861" s="8" t="s">
        <v>1858</v>
      </c>
      <c r="F861" s="6"/>
    </row>
    <row r="862">
      <c r="A862" s="6" t="s">
        <v>6943</v>
      </c>
      <c r="B862" s="6" t="s">
        <v>7</v>
      </c>
      <c r="C862" s="7" t="s">
        <v>6945</v>
      </c>
      <c r="D862" s="6" t="s">
        <v>6946</v>
      </c>
      <c r="E862" s="8" t="s">
        <v>1858</v>
      </c>
      <c r="F862" s="6"/>
    </row>
    <row r="863">
      <c r="A863" s="6" t="s">
        <v>6951</v>
      </c>
      <c r="B863" s="6" t="s">
        <v>6952</v>
      </c>
      <c r="C863" s="7" t="s">
        <v>6953</v>
      </c>
      <c r="D863" s="6" t="s">
        <v>6955</v>
      </c>
      <c r="E863" s="8" t="s">
        <v>1858</v>
      </c>
      <c r="F863" s="6"/>
    </row>
    <row r="864">
      <c r="A864" s="6" t="s">
        <v>6959</v>
      </c>
      <c r="B864" s="6" t="s">
        <v>7</v>
      </c>
      <c r="C864" s="7" t="s">
        <v>6960</v>
      </c>
      <c r="D864" s="6" t="s">
        <v>6961</v>
      </c>
      <c r="E864" s="8" t="s">
        <v>24</v>
      </c>
      <c r="F864" s="6"/>
    </row>
    <row r="865">
      <c r="A865" s="6" t="s">
        <v>6966</v>
      </c>
      <c r="B865" s="6" t="s">
        <v>6969</v>
      </c>
      <c r="C865" s="7" t="s">
        <v>6970</v>
      </c>
      <c r="D865" s="6" t="s">
        <v>6972</v>
      </c>
      <c r="E865" s="8" t="s">
        <v>4322</v>
      </c>
      <c r="F865" s="6"/>
    </row>
    <row r="866">
      <c r="A866" s="6" t="s">
        <v>6978</v>
      </c>
      <c r="B866" s="6" t="s">
        <v>7</v>
      </c>
      <c r="C866" s="7" t="s">
        <v>6979</v>
      </c>
      <c r="D866" s="6" t="s">
        <v>6980</v>
      </c>
      <c r="E866" s="8" t="s">
        <v>2500</v>
      </c>
      <c r="F866" s="6"/>
    </row>
    <row r="867">
      <c r="A867" s="6" t="s">
        <v>6984</v>
      </c>
      <c r="B867" s="6" t="s">
        <v>6904</v>
      </c>
      <c r="C867" s="7" t="s">
        <v>6986</v>
      </c>
      <c r="D867" s="6" t="s">
        <v>6987</v>
      </c>
      <c r="E867" s="8" t="s">
        <v>811</v>
      </c>
      <c r="F867" s="6"/>
    </row>
    <row r="868">
      <c r="A868" s="6" t="s">
        <v>6991</v>
      </c>
      <c r="B868" s="6" t="s">
        <v>6750</v>
      </c>
      <c r="C868" s="7" t="s">
        <v>6992</v>
      </c>
      <c r="D868" s="6" t="s">
        <v>6994</v>
      </c>
      <c r="E868" s="8" t="s">
        <v>811</v>
      </c>
      <c r="F868" s="6"/>
    </row>
    <row r="869">
      <c r="A869" s="6" t="s">
        <v>6998</v>
      </c>
      <c r="B869" s="6" t="s">
        <v>6904</v>
      </c>
      <c r="C869" s="7" t="s">
        <v>6999</v>
      </c>
      <c r="D869" s="6" t="s">
        <v>7001</v>
      </c>
      <c r="E869" s="8" t="s">
        <v>811</v>
      </c>
      <c r="F869" s="6"/>
    </row>
    <row r="870">
      <c r="A870" s="6" t="s">
        <v>7004</v>
      </c>
      <c r="B870" s="6" t="s">
        <v>6750</v>
      </c>
      <c r="C870" s="7" t="s">
        <v>7006</v>
      </c>
      <c r="D870" s="6" t="s">
        <v>7008</v>
      </c>
      <c r="E870" s="8" t="s">
        <v>811</v>
      </c>
      <c r="F870" s="6"/>
    </row>
    <row r="871">
      <c r="A871" s="6" t="s">
        <v>7011</v>
      </c>
      <c r="B871" s="6" t="s">
        <v>6229</v>
      </c>
      <c r="C871" s="7" t="s">
        <v>7013</v>
      </c>
      <c r="D871" s="6" t="s">
        <v>7014</v>
      </c>
      <c r="E871" s="8" t="s">
        <v>20</v>
      </c>
      <c r="F871" s="6"/>
    </row>
    <row r="872">
      <c r="A872" s="6" t="s">
        <v>7018</v>
      </c>
      <c r="B872" s="6" t="s">
        <v>7019</v>
      </c>
      <c r="C872" s="7" t="s">
        <v>7020</v>
      </c>
      <c r="D872" s="6" t="s">
        <v>7022</v>
      </c>
      <c r="E872" s="2" t="s">
        <v>811</v>
      </c>
      <c r="F872" s="6"/>
    </row>
    <row r="873">
      <c r="A873" s="6" t="s">
        <v>7025</v>
      </c>
      <c r="B873" s="6" t="s">
        <v>6229</v>
      </c>
      <c r="C873" s="7" t="s">
        <v>7027</v>
      </c>
      <c r="D873" s="6" t="s">
        <v>7028</v>
      </c>
      <c r="E873" s="8" t="s">
        <v>20</v>
      </c>
      <c r="F873" s="6"/>
    </row>
    <row r="874">
      <c r="A874" s="6" t="s">
        <v>7031</v>
      </c>
      <c r="B874" s="6" t="s">
        <v>6607</v>
      </c>
      <c r="C874" s="7" t="s">
        <v>7033</v>
      </c>
      <c r="D874" s="6" t="s">
        <v>7034</v>
      </c>
      <c r="E874" s="2" t="s">
        <v>811</v>
      </c>
      <c r="F874" s="6"/>
    </row>
    <row r="875">
      <c r="A875" s="6" t="s">
        <v>7039</v>
      </c>
      <c r="B875" s="6" t="s">
        <v>7</v>
      </c>
      <c r="C875" s="7" t="s">
        <v>7041</v>
      </c>
      <c r="D875" s="6" t="s">
        <v>7043</v>
      </c>
      <c r="E875" s="8" t="s">
        <v>2500</v>
      </c>
      <c r="F875" s="6"/>
    </row>
    <row r="876">
      <c r="A876" s="6" t="s">
        <v>7048</v>
      </c>
      <c r="B876" s="6" t="s">
        <v>7</v>
      </c>
      <c r="C876" s="7" t="s">
        <v>7051</v>
      </c>
      <c r="D876" s="6" t="s">
        <v>7052</v>
      </c>
      <c r="E876" s="8" t="s">
        <v>2500</v>
      </c>
      <c r="F876" s="6"/>
    </row>
    <row r="877">
      <c r="A877" s="6" t="s">
        <v>7059</v>
      </c>
      <c r="B877" s="6" t="s">
        <v>7</v>
      </c>
      <c r="C877" s="7" t="s">
        <v>7066</v>
      </c>
      <c r="D877" s="6" t="s">
        <v>7067</v>
      </c>
      <c r="E877" s="8" t="s">
        <v>2500</v>
      </c>
      <c r="F877" s="6"/>
    </row>
    <row r="878">
      <c r="A878" s="6" t="s">
        <v>7073</v>
      </c>
      <c r="B878" s="6" t="s">
        <v>7</v>
      </c>
      <c r="C878" s="7" t="s">
        <v>7075</v>
      </c>
      <c r="D878" s="6" t="s">
        <v>7078</v>
      </c>
      <c r="E878" s="8" t="s">
        <v>2500</v>
      </c>
      <c r="F878" s="6"/>
    </row>
    <row r="879">
      <c r="A879" s="6" t="s">
        <v>7083</v>
      </c>
      <c r="B879" s="6" t="s">
        <v>4181</v>
      </c>
      <c r="C879" s="7" t="s">
        <v>7086</v>
      </c>
      <c r="D879" s="6" t="s">
        <v>7087</v>
      </c>
      <c r="E879" s="8" t="s">
        <v>4322</v>
      </c>
      <c r="F879" s="6"/>
    </row>
    <row r="880">
      <c r="A880" s="6" t="s">
        <v>7092</v>
      </c>
      <c r="B880" s="6" t="s">
        <v>4194</v>
      </c>
      <c r="C880" s="7" t="s">
        <v>7095</v>
      </c>
      <c r="D880" s="6" t="s">
        <v>7098</v>
      </c>
      <c r="E880" s="8" t="s">
        <v>3808</v>
      </c>
      <c r="F880" s="6"/>
    </row>
    <row r="881">
      <c r="A881" s="6" t="s">
        <v>7107</v>
      </c>
      <c r="B881" s="6" t="s">
        <v>7</v>
      </c>
      <c r="C881" s="7" t="s">
        <v>7110</v>
      </c>
      <c r="D881" s="6" t="s">
        <v>7111</v>
      </c>
      <c r="E881" s="8" t="s">
        <v>3808</v>
      </c>
      <c r="F881" s="6"/>
    </row>
    <row r="882">
      <c r="A882" s="6" t="s">
        <v>7116</v>
      </c>
      <c r="B882" s="6" t="s">
        <v>7</v>
      </c>
      <c r="C882" s="7" t="s">
        <v>160</v>
      </c>
      <c r="D882" s="6" t="s">
        <v>7120</v>
      </c>
      <c r="E882" s="8" t="s">
        <v>3808</v>
      </c>
      <c r="F882" s="2" t="s">
        <v>71</v>
      </c>
    </row>
    <row r="883">
      <c r="A883" s="6" t="s">
        <v>7126</v>
      </c>
      <c r="B883" s="6" t="s">
        <v>7</v>
      </c>
      <c r="C883" s="7" t="s">
        <v>7129</v>
      </c>
      <c r="D883" s="6" t="s">
        <v>7130</v>
      </c>
      <c r="E883" s="8" t="s">
        <v>2500</v>
      </c>
      <c r="F883" s="6"/>
    </row>
    <row r="884">
      <c r="A884" s="6" t="s">
        <v>7135</v>
      </c>
      <c r="B884" s="6" t="s">
        <v>7</v>
      </c>
      <c r="C884" s="7" t="s">
        <v>7138</v>
      </c>
      <c r="D884" s="6" t="s">
        <v>7139</v>
      </c>
      <c r="E884" s="8" t="s">
        <v>2500</v>
      </c>
      <c r="F884" s="6"/>
    </row>
    <row r="885">
      <c r="A885" s="6" t="s">
        <v>7152</v>
      </c>
      <c r="B885" s="6" t="s">
        <v>7</v>
      </c>
      <c r="C885" s="7" t="s">
        <v>7155</v>
      </c>
      <c r="D885" s="6" t="s">
        <v>7156</v>
      </c>
      <c r="E885" s="8" t="s">
        <v>2500</v>
      </c>
      <c r="F885" s="6"/>
    </row>
    <row r="886">
      <c r="A886" s="6" t="s">
        <v>7161</v>
      </c>
      <c r="B886" s="6" t="s">
        <v>7</v>
      </c>
      <c r="C886" s="7" t="s">
        <v>7164</v>
      </c>
      <c r="D886" s="6" t="s">
        <v>7165</v>
      </c>
      <c r="E886" s="8" t="s">
        <v>2500</v>
      </c>
      <c r="F886" s="6"/>
    </row>
    <row r="887">
      <c r="A887" s="6" t="s">
        <v>7172</v>
      </c>
      <c r="B887" s="6" t="s">
        <v>7</v>
      </c>
      <c r="C887" s="7" t="s">
        <v>7173</v>
      </c>
      <c r="D887" s="6" t="s">
        <v>7174</v>
      </c>
      <c r="E887" s="8" t="s">
        <v>2500</v>
      </c>
      <c r="F887" s="6"/>
    </row>
    <row r="888">
      <c r="A888" s="6" t="s">
        <v>7177</v>
      </c>
      <c r="B888" s="6" t="s">
        <v>7</v>
      </c>
      <c r="C888" s="7" t="s">
        <v>7180</v>
      </c>
      <c r="D888" s="6" t="s">
        <v>7181</v>
      </c>
      <c r="E888" s="8" t="s">
        <v>2500</v>
      </c>
      <c r="F888" s="6"/>
    </row>
    <row r="889">
      <c r="A889" s="6" t="s">
        <v>7186</v>
      </c>
      <c r="B889" s="6" t="s">
        <v>7</v>
      </c>
      <c r="C889" s="7" t="s">
        <v>7189</v>
      </c>
      <c r="D889" s="6" t="s">
        <v>7191</v>
      </c>
      <c r="E889" s="8" t="s">
        <v>2500</v>
      </c>
      <c r="F889" s="6"/>
    </row>
    <row r="890">
      <c r="A890" s="6" t="s">
        <v>7197</v>
      </c>
      <c r="B890" s="6" t="s">
        <v>234</v>
      </c>
      <c r="C890" s="7" t="s">
        <v>7200</v>
      </c>
      <c r="D890" s="6" t="s">
        <v>7203</v>
      </c>
      <c r="E890" s="8" t="s">
        <v>24</v>
      </c>
      <c r="F890" s="6"/>
    </row>
    <row r="891">
      <c r="A891" s="6" t="s">
        <v>7208</v>
      </c>
      <c r="B891" s="6" t="s">
        <v>234</v>
      </c>
      <c r="C891" s="7" t="s">
        <v>7211</v>
      </c>
      <c r="D891" s="6" t="s">
        <v>7212</v>
      </c>
      <c r="E891" s="8" t="s">
        <v>24</v>
      </c>
      <c r="F891" s="6"/>
    </row>
    <row r="892">
      <c r="A892" s="6" t="s">
        <v>7215</v>
      </c>
      <c r="B892" s="6" t="s">
        <v>234</v>
      </c>
      <c r="C892" s="7" t="s">
        <v>7218</v>
      </c>
      <c r="D892" s="6" t="s">
        <v>7219</v>
      </c>
      <c r="E892" s="8" t="s">
        <v>811</v>
      </c>
      <c r="F892" s="6"/>
    </row>
    <row r="893">
      <c r="A893" s="6" t="s">
        <v>7225</v>
      </c>
      <c r="B893" s="6" t="s">
        <v>234</v>
      </c>
      <c r="C893" s="7" t="s">
        <v>7227</v>
      </c>
      <c r="D893" s="6" t="s">
        <v>7228</v>
      </c>
      <c r="E893" s="8" t="s">
        <v>24</v>
      </c>
      <c r="F893" s="6"/>
    </row>
    <row r="894">
      <c r="A894" s="6" t="s">
        <v>7230</v>
      </c>
      <c r="B894" s="6" t="s">
        <v>7231</v>
      </c>
      <c r="C894" s="7" t="s">
        <v>7233</v>
      </c>
      <c r="D894" s="6" t="s">
        <v>7234</v>
      </c>
      <c r="E894" s="8" t="s">
        <v>2500</v>
      </c>
      <c r="F894" s="6"/>
    </row>
    <row r="895">
      <c r="A895" s="6" t="s">
        <v>7235</v>
      </c>
      <c r="B895" s="6" t="s">
        <v>7231</v>
      </c>
      <c r="C895" s="7" t="s">
        <v>7236</v>
      </c>
      <c r="D895" s="6" t="s">
        <v>7238</v>
      </c>
      <c r="E895" s="8" t="s">
        <v>2500</v>
      </c>
      <c r="F895" s="6"/>
    </row>
    <row r="896">
      <c r="A896" s="6" t="s">
        <v>7241</v>
      </c>
      <c r="B896" s="6" t="s">
        <v>7242</v>
      </c>
      <c r="C896" s="7" t="s">
        <v>7243</v>
      </c>
      <c r="D896" s="6" t="s">
        <v>7244</v>
      </c>
      <c r="E896" s="8" t="s">
        <v>6547</v>
      </c>
      <c r="F896" s="6"/>
    </row>
    <row r="897">
      <c r="A897" s="6" t="s">
        <v>7247</v>
      </c>
      <c r="B897" s="6" t="s">
        <v>7249</v>
      </c>
      <c r="C897" s="7" t="s">
        <v>7251</v>
      </c>
      <c r="D897" s="6" t="s">
        <v>7252</v>
      </c>
      <c r="E897" s="8" t="s">
        <v>811</v>
      </c>
      <c r="F897" s="6"/>
    </row>
    <row r="898">
      <c r="A898" s="6" t="s">
        <v>7255</v>
      </c>
      <c r="B898" s="6" t="s">
        <v>7</v>
      </c>
      <c r="C898" s="7" t="s">
        <v>163</v>
      </c>
      <c r="D898" s="6" t="s">
        <v>7256</v>
      </c>
      <c r="E898" s="8" t="s">
        <v>6640</v>
      </c>
      <c r="F898" s="2" t="s">
        <v>71</v>
      </c>
    </row>
    <row r="899">
      <c r="A899" s="6" t="s">
        <v>7259</v>
      </c>
      <c r="B899" s="6" t="s">
        <v>7</v>
      </c>
      <c r="C899" s="7" t="s">
        <v>7261</v>
      </c>
      <c r="D899" s="6" t="s">
        <v>7262</v>
      </c>
      <c r="E899" s="8" t="s">
        <v>7264</v>
      </c>
      <c r="F899" s="6"/>
    </row>
    <row r="900">
      <c r="A900" s="6" t="s">
        <v>7268</v>
      </c>
      <c r="B900" s="6" t="s">
        <v>7</v>
      </c>
      <c r="C900" s="7" t="s">
        <v>7270</v>
      </c>
      <c r="D900" s="6" t="s">
        <v>7271</v>
      </c>
      <c r="E900" s="8" t="s">
        <v>7264</v>
      </c>
      <c r="F900" s="6"/>
    </row>
    <row r="901">
      <c r="A901" s="6" t="s">
        <v>7282</v>
      </c>
      <c r="B901" s="6" t="s">
        <v>7</v>
      </c>
      <c r="C901" s="7" t="s">
        <v>7283</v>
      </c>
      <c r="D901" s="6" t="s">
        <v>7284</v>
      </c>
      <c r="E901" s="8" t="s">
        <v>7264</v>
      </c>
      <c r="F901" s="6"/>
    </row>
    <row r="902">
      <c r="A902" s="6" t="s">
        <v>7288</v>
      </c>
      <c r="B902" s="6" t="s">
        <v>7</v>
      </c>
      <c r="C902" s="7" t="s">
        <v>7290</v>
      </c>
      <c r="D902" s="6" t="s">
        <v>7291</v>
      </c>
      <c r="E902" s="8" t="s">
        <v>7264</v>
      </c>
      <c r="F902" s="6"/>
    </row>
    <row r="903">
      <c r="A903" s="6" t="s">
        <v>7293</v>
      </c>
      <c r="B903" s="6" t="s">
        <v>7</v>
      </c>
      <c r="C903" s="7" t="s">
        <v>7296</v>
      </c>
      <c r="D903" s="6" t="s">
        <v>7297</v>
      </c>
      <c r="E903" s="8" t="s">
        <v>7264</v>
      </c>
      <c r="F903" s="6"/>
    </row>
    <row r="904">
      <c r="A904" s="6" t="s">
        <v>7300</v>
      </c>
      <c r="B904" s="6" t="s">
        <v>7</v>
      </c>
      <c r="C904" s="7" t="s">
        <v>7301</v>
      </c>
      <c r="D904" s="6" t="s">
        <v>7302</v>
      </c>
      <c r="E904" s="8" t="s">
        <v>7264</v>
      </c>
      <c r="F904" s="6"/>
    </row>
    <row r="905">
      <c r="A905" s="6" t="s">
        <v>7304</v>
      </c>
      <c r="B905" s="6" t="s">
        <v>7</v>
      </c>
      <c r="C905" s="7" t="s">
        <v>7306</v>
      </c>
      <c r="D905" s="6" t="s">
        <v>7307</v>
      </c>
      <c r="E905" s="8" t="s">
        <v>7264</v>
      </c>
      <c r="F905" s="6"/>
    </row>
    <row r="906">
      <c r="A906" s="6" t="s">
        <v>7310</v>
      </c>
      <c r="B906" s="6" t="s">
        <v>7</v>
      </c>
      <c r="C906" s="7" t="s">
        <v>7312</v>
      </c>
      <c r="D906" s="6" t="s">
        <v>7313</v>
      </c>
      <c r="E906" s="8" t="s">
        <v>7264</v>
      </c>
      <c r="F906" s="6"/>
    </row>
    <row r="907">
      <c r="A907" s="6" t="s">
        <v>7317</v>
      </c>
      <c r="B907" s="6" t="s">
        <v>7</v>
      </c>
      <c r="C907" s="7" t="s">
        <v>7319</v>
      </c>
      <c r="D907" s="6" t="s">
        <v>7321</v>
      </c>
      <c r="E907" s="8" t="s">
        <v>7264</v>
      </c>
      <c r="F907" s="6"/>
    </row>
    <row r="908">
      <c r="A908" s="6" t="s">
        <v>7323</v>
      </c>
      <c r="B908" s="6" t="s">
        <v>7</v>
      </c>
      <c r="C908" s="7" t="s">
        <v>7325</v>
      </c>
      <c r="D908" s="6" t="s">
        <v>7327</v>
      </c>
      <c r="E908" s="8" t="s">
        <v>2500</v>
      </c>
      <c r="F908" s="6"/>
    </row>
    <row r="909">
      <c r="A909" s="6" t="s">
        <v>7330</v>
      </c>
      <c r="B909" s="6" t="s">
        <v>7</v>
      </c>
      <c r="C909" s="7" t="s">
        <v>179</v>
      </c>
      <c r="D909" s="6" t="s">
        <v>7332</v>
      </c>
      <c r="E909" s="8" t="s">
        <v>2500</v>
      </c>
      <c r="F909" s="2" t="s">
        <v>71</v>
      </c>
    </row>
    <row r="910">
      <c r="A910" s="6" t="s">
        <v>7336</v>
      </c>
      <c r="B910" s="6" t="s">
        <v>7</v>
      </c>
      <c r="C910" s="7" t="s">
        <v>7338</v>
      </c>
      <c r="D910" s="6" t="s">
        <v>7339</v>
      </c>
      <c r="E910" s="8" t="s">
        <v>1846</v>
      </c>
      <c r="F910" s="6"/>
    </row>
    <row r="911">
      <c r="A911" s="6" t="s">
        <v>7341</v>
      </c>
      <c r="B911" s="6" t="s">
        <v>176</v>
      </c>
      <c r="C911" s="7" t="s">
        <v>7344</v>
      </c>
      <c r="D911" s="6" t="s">
        <v>7345</v>
      </c>
      <c r="E911" s="8" t="s">
        <v>11</v>
      </c>
      <c r="F911" s="6"/>
    </row>
    <row r="912">
      <c r="A912" s="6" t="s">
        <v>7348</v>
      </c>
      <c r="B912" s="6" t="s">
        <v>7</v>
      </c>
      <c r="C912" s="7" t="s">
        <v>168</v>
      </c>
      <c r="D912" s="6" t="s">
        <v>7349</v>
      </c>
      <c r="E912" s="8" t="s">
        <v>2500</v>
      </c>
      <c r="F912" s="2" t="s">
        <v>71</v>
      </c>
    </row>
    <row r="913">
      <c r="A913" s="6" t="s">
        <v>7352</v>
      </c>
      <c r="B913" s="6" t="s">
        <v>7</v>
      </c>
      <c r="C913" s="7" t="s">
        <v>7355</v>
      </c>
      <c r="D913" s="6" t="s">
        <v>7356</v>
      </c>
      <c r="E913" s="8" t="s">
        <v>2507</v>
      </c>
      <c r="F913" s="6"/>
    </row>
    <row r="914">
      <c r="A914" s="6" t="s">
        <v>7359</v>
      </c>
      <c r="B914" s="6" t="s">
        <v>7</v>
      </c>
      <c r="C914" s="7" t="s">
        <v>7362</v>
      </c>
      <c r="D914" s="6" t="s">
        <v>7363</v>
      </c>
      <c r="E914" s="8" t="s">
        <v>2507</v>
      </c>
      <c r="F914" s="6"/>
    </row>
    <row r="915">
      <c r="A915" s="6" t="s">
        <v>7372</v>
      </c>
      <c r="B915" s="6" t="s">
        <v>7</v>
      </c>
      <c r="C915" s="7" t="s">
        <v>7374</v>
      </c>
      <c r="D915" s="6" t="s">
        <v>7375</v>
      </c>
      <c r="E915" s="8" t="s">
        <v>2507</v>
      </c>
      <c r="F915" s="6"/>
    </row>
    <row r="916">
      <c r="A916" s="6" t="s">
        <v>7378</v>
      </c>
      <c r="B916" s="6" t="s">
        <v>7</v>
      </c>
      <c r="C916" s="7" t="s">
        <v>7379</v>
      </c>
      <c r="D916" s="6" t="s">
        <v>7380</v>
      </c>
      <c r="E916" s="8" t="s">
        <v>2507</v>
      </c>
      <c r="F916" s="6"/>
    </row>
    <row r="917">
      <c r="A917" s="6" t="s">
        <v>7383</v>
      </c>
      <c r="B917" s="6" t="s">
        <v>7</v>
      </c>
      <c r="C917" s="7" t="s">
        <v>7384</v>
      </c>
      <c r="D917" s="6" t="s">
        <v>7385</v>
      </c>
      <c r="E917" s="8" t="s">
        <v>2507</v>
      </c>
      <c r="F917" s="6"/>
    </row>
    <row r="918">
      <c r="A918" s="6" t="s">
        <v>7388</v>
      </c>
      <c r="B918" s="6" t="s">
        <v>7</v>
      </c>
      <c r="C918" s="7" t="s">
        <v>7389</v>
      </c>
      <c r="D918" s="6" t="s">
        <v>7390</v>
      </c>
      <c r="E918" s="8" t="s">
        <v>2507</v>
      </c>
      <c r="F918" s="6"/>
    </row>
    <row r="919">
      <c r="A919" s="6" t="s">
        <v>7392</v>
      </c>
      <c r="B919" s="6" t="s">
        <v>7</v>
      </c>
      <c r="C919" s="7" t="s">
        <v>7393</v>
      </c>
      <c r="D919" s="6" t="s">
        <v>7394</v>
      </c>
      <c r="E919" s="8" t="s">
        <v>2507</v>
      </c>
      <c r="F919" s="6"/>
    </row>
    <row r="920">
      <c r="A920" s="6" t="s">
        <v>7396</v>
      </c>
      <c r="B920" s="6" t="s">
        <v>7</v>
      </c>
      <c r="C920" s="7" t="s">
        <v>7398</v>
      </c>
      <c r="D920" s="6" t="s">
        <v>7399</v>
      </c>
      <c r="E920" s="8" t="s">
        <v>2507</v>
      </c>
      <c r="F920" s="6"/>
    </row>
    <row r="921">
      <c r="A921" s="6" t="s">
        <v>7401</v>
      </c>
      <c r="B921" s="6" t="s">
        <v>7</v>
      </c>
      <c r="C921" s="7" t="s">
        <v>7403</v>
      </c>
      <c r="D921" s="6" t="s">
        <v>7404</v>
      </c>
      <c r="E921" s="8" t="s">
        <v>2507</v>
      </c>
      <c r="F921" s="6"/>
    </row>
    <row r="922">
      <c r="A922" s="6" t="s">
        <v>7406</v>
      </c>
      <c r="B922" s="6" t="s">
        <v>7</v>
      </c>
      <c r="C922" s="7" t="s">
        <v>7407</v>
      </c>
      <c r="D922" s="6" t="s">
        <v>7408</v>
      </c>
      <c r="E922" s="8" t="s">
        <v>1846</v>
      </c>
      <c r="F922" s="6"/>
    </row>
    <row r="923">
      <c r="A923" s="6" t="s">
        <v>7411</v>
      </c>
      <c r="B923" s="6" t="s">
        <v>7</v>
      </c>
      <c r="C923" s="7" t="s">
        <v>7412</v>
      </c>
      <c r="D923" s="6" t="s">
        <v>7413</v>
      </c>
      <c r="E923" s="8" t="s">
        <v>7415</v>
      </c>
      <c r="F923" s="6"/>
    </row>
    <row r="924">
      <c r="A924" s="6" t="s">
        <v>7417</v>
      </c>
      <c r="B924" s="6" t="s">
        <v>7</v>
      </c>
      <c r="C924" s="7" t="s">
        <v>7419</v>
      </c>
      <c r="D924" s="6" t="s">
        <v>7420</v>
      </c>
      <c r="E924" s="8" t="s">
        <v>7421</v>
      </c>
      <c r="F924" s="6"/>
    </row>
    <row r="925">
      <c r="A925" s="6" t="s">
        <v>7423</v>
      </c>
      <c r="B925" s="6" t="s">
        <v>7</v>
      </c>
      <c r="C925" s="7" t="s">
        <v>7425</v>
      </c>
      <c r="D925" s="6" t="s">
        <v>7426</v>
      </c>
      <c r="E925" s="8" t="s">
        <v>1846</v>
      </c>
      <c r="F925" s="6"/>
    </row>
    <row r="926">
      <c r="A926" s="6" t="s">
        <v>7429</v>
      </c>
      <c r="B926" s="6" t="s">
        <v>7</v>
      </c>
      <c r="C926" s="7" t="s">
        <v>7431</v>
      </c>
      <c r="D926" s="6" t="s">
        <v>7432</v>
      </c>
      <c r="E926" s="8" t="s">
        <v>2494</v>
      </c>
      <c r="F926" s="6"/>
    </row>
    <row r="927">
      <c r="A927" s="6" t="s">
        <v>7436</v>
      </c>
      <c r="B927" s="6" t="s">
        <v>7</v>
      </c>
      <c r="C927" s="7" t="s">
        <v>7438</v>
      </c>
      <c r="D927" s="6" t="s">
        <v>7439</v>
      </c>
      <c r="E927" s="8" t="s">
        <v>3808</v>
      </c>
      <c r="F927" s="6"/>
    </row>
    <row r="928">
      <c r="A928" s="6" t="s">
        <v>7441</v>
      </c>
      <c r="B928" s="6" t="s">
        <v>7</v>
      </c>
      <c r="C928" s="7" t="s">
        <v>7443</v>
      </c>
      <c r="D928" s="6" t="s">
        <v>7444</v>
      </c>
      <c r="E928" s="8" t="s">
        <v>3808</v>
      </c>
      <c r="F928" s="6"/>
    </row>
    <row r="929">
      <c r="A929" s="6" t="s">
        <v>7448</v>
      </c>
      <c r="B929" s="6" t="s">
        <v>7</v>
      </c>
      <c r="C929" s="7" t="s">
        <v>7449</v>
      </c>
      <c r="D929" s="6" t="s">
        <v>7450</v>
      </c>
      <c r="E929" s="8" t="s">
        <v>1846</v>
      </c>
      <c r="F929" s="6"/>
    </row>
    <row r="930">
      <c r="A930" s="6" t="s">
        <v>7452</v>
      </c>
      <c r="B930" s="6" t="s">
        <v>7</v>
      </c>
      <c r="C930" s="7" t="s">
        <v>7453</v>
      </c>
      <c r="D930" s="6" t="s">
        <v>7454</v>
      </c>
      <c r="E930" s="8" t="s">
        <v>7456</v>
      </c>
      <c r="F930" s="6"/>
    </row>
    <row r="931">
      <c r="A931" s="6" t="s">
        <v>7457</v>
      </c>
      <c r="B931" s="6" t="s">
        <v>7</v>
      </c>
      <c r="C931" s="7" t="s">
        <v>7459</v>
      </c>
      <c r="D931" s="6" t="s">
        <v>7460</v>
      </c>
      <c r="E931" s="8" t="s">
        <v>7462</v>
      </c>
      <c r="F931" s="6"/>
    </row>
    <row r="932">
      <c r="A932" s="6" t="s">
        <v>7464</v>
      </c>
      <c r="B932" s="6" t="s">
        <v>7</v>
      </c>
      <c r="C932" s="7" t="s">
        <v>7465</v>
      </c>
      <c r="D932" s="6" t="s">
        <v>7467</v>
      </c>
      <c r="E932" s="8" t="s">
        <v>7462</v>
      </c>
      <c r="F932" s="6"/>
    </row>
    <row r="933">
      <c r="A933" s="6" t="s">
        <v>7468</v>
      </c>
      <c r="B933" s="6" t="s">
        <v>7</v>
      </c>
      <c r="C933" s="7" t="s">
        <v>7470</v>
      </c>
      <c r="D933" s="6" t="s">
        <v>7471</v>
      </c>
      <c r="E933" s="8" t="s">
        <v>7462</v>
      </c>
      <c r="F933" s="6"/>
    </row>
    <row r="934">
      <c r="A934" s="6" t="s">
        <v>7474</v>
      </c>
      <c r="B934" s="6" t="s">
        <v>7</v>
      </c>
      <c r="C934" s="7" t="s">
        <v>7476</v>
      </c>
      <c r="D934" s="6" t="s">
        <v>7477</v>
      </c>
      <c r="E934" s="8" t="s">
        <v>3808</v>
      </c>
      <c r="F934" s="6"/>
    </row>
    <row r="935">
      <c r="A935" s="6" t="s">
        <v>7479</v>
      </c>
      <c r="B935" s="6" t="s">
        <v>1705</v>
      </c>
      <c r="C935" s="7" t="s">
        <v>7481</v>
      </c>
      <c r="D935" s="6" t="s">
        <v>7482</v>
      </c>
      <c r="E935" s="8" t="s">
        <v>20</v>
      </c>
      <c r="F935" s="6"/>
    </row>
    <row r="936">
      <c r="A936" s="6" t="s">
        <v>7485</v>
      </c>
      <c r="B936" s="6" t="s">
        <v>7487</v>
      </c>
      <c r="C936" s="7" t="s">
        <v>7488</v>
      </c>
      <c r="D936" s="6" t="s">
        <v>7489</v>
      </c>
      <c r="E936" s="8" t="s">
        <v>7491</v>
      </c>
      <c r="F936" s="6"/>
    </row>
    <row r="937">
      <c r="A937" s="6" t="s">
        <v>7492</v>
      </c>
      <c r="B937" s="6" t="s">
        <v>7</v>
      </c>
      <c r="C937" s="7" t="s">
        <v>7494</v>
      </c>
      <c r="D937" s="6" t="s">
        <v>7495</v>
      </c>
      <c r="E937" s="8" t="s">
        <v>1846</v>
      </c>
      <c r="F937" s="6"/>
    </row>
    <row r="938">
      <c r="A938" s="6" t="s">
        <v>7498</v>
      </c>
      <c r="B938" s="6" t="s">
        <v>176</v>
      </c>
      <c r="C938" s="7" t="s">
        <v>7500</v>
      </c>
      <c r="D938" s="6" t="s">
        <v>7502</v>
      </c>
      <c r="E938" s="8" t="s">
        <v>11</v>
      </c>
      <c r="F938" s="6"/>
    </row>
    <row r="939">
      <c r="A939" s="6" t="s">
        <v>7503</v>
      </c>
      <c r="B939" s="6" t="s">
        <v>7</v>
      </c>
      <c r="C939" s="7" t="s">
        <v>173</v>
      </c>
      <c r="D939" s="6" t="s">
        <v>7505</v>
      </c>
      <c r="E939" s="8" t="s">
        <v>3808</v>
      </c>
      <c r="F939" s="2" t="s">
        <v>71</v>
      </c>
    </row>
    <row r="940">
      <c r="A940" s="6" t="s">
        <v>7509</v>
      </c>
      <c r="B940" s="6" t="s">
        <v>7</v>
      </c>
      <c r="C940" s="7" t="s">
        <v>7511</v>
      </c>
      <c r="D940" s="6" t="s">
        <v>7512</v>
      </c>
      <c r="E940" s="8" t="s">
        <v>3819</v>
      </c>
      <c r="F940" s="6"/>
    </row>
    <row r="941">
      <c r="A941" s="6" t="s">
        <v>7513</v>
      </c>
      <c r="B941" s="6" t="s">
        <v>7</v>
      </c>
      <c r="C941" s="7" t="s">
        <v>7515</v>
      </c>
      <c r="D941" s="6" t="s">
        <v>7516</v>
      </c>
      <c r="E941" s="8" t="s">
        <v>3819</v>
      </c>
      <c r="F941" s="6"/>
    </row>
    <row r="942">
      <c r="A942" s="6" t="s">
        <v>7519</v>
      </c>
      <c r="B942" s="6" t="s">
        <v>7</v>
      </c>
      <c r="C942" s="7" t="s">
        <v>7522</v>
      </c>
      <c r="D942" s="6" t="s">
        <v>7523</v>
      </c>
      <c r="E942" s="8" t="s">
        <v>3819</v>
      </c>
      <c r="F942" s="6"/>
    </row>
    <row r="943">
      <c r="A943" s="6" t="s">
        <v>7526</v>
      </c>
      <c r="B943" s="6" t="s">
        <v>7</v>
      </c>
      <c r="C943" s="7" t="s">
        <v>7527</v>
      </c>
      <c r="D943" s="6" t="s">
        <v>7529</v>
      </c>
      <c r="E943" s="8" t="s">
        <v>3819</v>
      </c>
      <c r="F943" s="6"/>
    </row>
    <row r="944">
      <c r="A944" s="6" t="s">
        <v>7531</v>
      </c>
      <c r="B944" s="6" t="s">
        <v>7</v>
      </c>
      <c r="C944" s="7" t="s">
        <v>7532</v>
      </c>
      <c r="D944" s="6" t="s">
        <v>7534</v>
      </c>
      <c r="E944" s="8" t="s">
        <v>3819</v>
      </c>
      <c r="F944" s="6"/>
    </row>
    <row r="945">
      <c r="A945" s="6" t="s">
        <v>7535</v>
      </c>
      <c r="B945" s="6" t="s">
        <v>7</v>
      </c>
      <c r="C945" s="7" t="s">
        <v>7537</v>
      </c>
      <c r="D945" s="6" t="s">
        <v>7538</v>
      </c>
      <c r="E945" s="8" t="s">
        <v>3819</v>
      </c>
      <c r="F945" s="6"/>
    </row>
    <row r="946">
      <c r="A946" s="6" t="s">
        <v>7541</v>
      </c>
      <c r="B946" s="6" t="s">
        <v>7</v>
      </c>
      <c r="C946" s="7" t="s">
        <v>7542</v>
      </c>
      <c r="D946" s="6" t="s">
        <v>7543</v>
      </c>
      <c r="E946" s="8" t="s">
        <v>3819</v>
      </c>
      <c r="F946" s="6"/>
    </row>
    <row r="947">
      <c r="A947" s="6" t="s">
        <v>7546</v>
      </c>
      <c r="B947" s="6" t="s">
        <v>7</v>
      </c>
      <c r="C947" s="7" t="s">
        <v>7547</v>
      </c>
      <c r="D947" s="6" t="s">
        <v>7548</v>
      </c>
      <c r="E947" s="8" t="s">
        <v>3819</v>
      </c>
      <c r="F947" s="6"/>
    </row>
    <row r="948">
      <c r="A948" s="6" t="s">
        <v>7551</v>
      </c>
      <c r="B948" s="6" t="s">
        <v>7</v>
      </c>
      <c r="C948" s="7" t="s">
        <v>7552</v>
      </c>
      <c r="D948" s="6" t="s">
        <v>7554</v>
      </c>
      <c r="E948" s="8" t="s">
        <v>3819</v>
      </c>
      <c r="F948" s="6"/>
    </row>
    <row r="949">
      <c r="A949" s="6" t="s">
        <v>7556</v>
      </c>
      <c r="B949" s="6" t="s">
        <v>7</v>
      </c>
      <c r="C949" s="7" t="s">
        <v>7558</v>
      </c>
      <c r="D949" s="6" t="s">
        <v>7559</v>
      </c>
      <c r="E949" s="8" t="s">
        <v>1846</v>
      </c>
      <c r="F949" s="6"/>
    </row>
    <row r="950">
      <c r="A950" s="6" t="s">
        <v>7560</v>
      </c>
      <c r="B950" s="6" t="s">
        <v>7</v>
      </c>
      <c r="C950" s="7" t="s">
        <v>7562</v>
      </c>
      <c r="D950" s="6" t="s">
        <v>7563</v>
      </c>
      <c r="E950" s="8" t="s">
        <v>7415</v>
      </c>
      <c r="F950" s="6"/>
    </row>
    <row r="951">
      <c r="A951" s="6" t="s">
        <v>7566</v>
      </c>
      <c r="B951" s="6" t="s">
        <v>7</v>
      </c>
      <c r="C951" s="7" t="s">
        <v>7567</v>
      </c>
      <c r="D951" s="6" t="s">
        <v>7569</v>
      </c>
      <c r="E951" s="8" t="s">
        <v>7415</v>
      </c>
      <c r="F951" s="6"/>
    </row>
    <row r="952">
      <c r="A952" s="6" t="s">
        <v>7571</v>
      </c>
      <c r="B952" s="6" t="s">
        <v>7</v>
      </c>
      <c r="C952" s="7" t="s">
        <v>7572</v>
      </c>
      <c r="D952" s="6" t="s">
        <v>7573</v>
      </c>
      <c r="E952" s="8" t="s">
        <v>1846</v>
      </c>
      <c r="F952" s="6"/>
    </row>
    <row r="953">
      <c r="A953" s="6" t="s">
        <v>7576</v>
      </c>
      <c r="B953" s="6" t="s">
        <v>7</v>
      </c>
      <c r="C953" s="7" t="s">
        <v>7578</v>
      </c>
      <c r="D953" s="6" t="s">
        <v>7580</v>
      </c>
      <c r="E953" s="8" t="s">
        <v>7582</v>
      </c>
      <c r="F953" s="6"/>
    </row>
    <row r="954">
      <c r="A954" s="6" t="s">
        <v>7585</v>
      </c>
      <c r="B954" s="6" t="s">
        <v>7</v>
      </c>
      <c r="C954" s="7" t="s">
        <v>7587</v>
      </c>
      <c r="D954" s="6" t="s">
        <v>7589</v>
      </c>
      <c r="E954" s="8" t="s">
        <v>3808</v>
      </c>
      <c r="F954" s="6"/>
    </row>
    <row r="955">
      <c r="A955" s="6" t="s">
        <v>7593</v>
      </c>
      <c r="B955" s="6" t="s">
        <v>7</v>
      </c>
      <c r="C955" s="7" t="s">
        <v>7595</v>
      </c>
      <c r="D955" s="6" t="s">
        <v>7597</v>
      </c>
      <c r="E955" s="8" t="s">
        <v>1846</v>
      </c>
      <c r="F955" s="6"/>
    </row>
    <row r="956">
      <c r="A956" s="6" t="s">
        <v>7601</v>
      </c>
      <c r="B956" s="6" t="s">
        <v>7</v>
      </c>
      <c r="C956" s="7" t="s">
        <v>7603</v>
      </c>
      <c r="D956" s="6" t="s">
        <v>7605</v>
      </c>
      <c r="E956" s="8" t="s">
        <v>7607</v>
      </c>
      <c r="F956" s="6"/>
    </row>
    <row r="957">
      <c r="A957" s="6" t="s">
        <v>7611</v>
      </c>
      <c r="B957" s="6" t="s">
        <v>7</v>
      </c>
      <c r="C957" s="7" t="s">
        <v>7613</v>
      </c>
      <c r="D957" s="6" t="s">
        <v>7615</v>
      </c>
      <c r="E957" s="8" t="s">
        <v>7617</v>
      </c>
      <c r="F957" s="6"/>
    </row>
    <row r="958">
      <c r="A958" s="6" t="s">
        <v>7620</v>
      </c>
      <c r="B958" s="6" t="s">
        <v>7</v>
      </c>
      <c r="C958" s="7" t="s">
        <v>7622</v>
      </c>
      <c r="D958" s="6" t="s">
        <v>7624</v>
      </c>
      <c r="E958" s="8" t="s">
        <v>7456</v>
      </c>
      <c r="F958" s="6"/>
    </row>
    <row r="959">
      <c r="A959" s="6" t="s">
        <v>7629</v>
      </c>
      <c r="B959" s="6" t="s">
        <v>7</v>
      </c>
      <c r="C959" s="7" t="s">
        <v>7631</v>
      </c>
      <c r="D959" s="6" t="s">
        <v>7633</v>
      </c>
      <c r="E959" s="8" t="s">
        <v>7462</v>
      </c>
      <c r="F959" s="6"/>
    </row>
    <row r="960">
      <c r="A960" s="6" t="s">
        <v>7635</v>
      </c>
      <c r="B960" s="6" t="s">
        <v>7</v>
      </c>
      <c r="C960" s="7" t="s">
        <v>7636</v>
      </c>
      <c r="D960" s="6" t="s">
        <v>7637</v>
      </c>
      <c r="E960" s="8" t="s">
        <v>7462</v>
      </c>
      <c r="F960" s="6"/>
    </row>
    <row r="961">
      <c r="A961" s="6" t="s">
        <v>7638</v>
      </c>
      <c r="B961" s="6" t="s">
        <v>7</v>
      </c>
      <c r="C961" s="7" t="s">
        <v>7639</v>
      </c>
      <c r="D961" s="6" t="s">
        <v>7640</v>
      </c>
      <c r="E961" s="8" t="s">
        <v>3808</v>
      </c>
      <c r="F961" s="6"/>
    </row>
    <row r="962">
      <c r="A962" s="6" t="s">
        <v>7645</v>
      </c>
      <c r="B962" s="6" t="s">
        <v>7</v>
      </c>
      <c r="C962" s="7" t="s">
        <v>7647</v>
      </c>
      <c r="D962" s="6" t="s">
        <v>7649</v>
      </c>
      <c r="E962" s="8" t="s">
        <v>1846</v>
      </c>
      <c r="F962" s="6"/>
    </row>
    <row r="963">
      <c r="A963" s="6" t="s">
        <v>7653</v>
      </c>
      <c r="B963" s="6" t="s">
        <v>7</v>
      </c>
      <c r="C963" s="7" t="s">
        <v>7655</v>
      </c>
      <c r="D963" s="6" t="s">
        <v>7657</v>
      </c>
      <c r="E963" s="8" t="s">
        <v>3808</v>
      </c>
      <c r="F963" s="6"/>
    </row>
    <row r="964">
      <c r="A964" s="6" t="s">
        <v>7661</v>
      </c>
      <c r="B964" s="6" t="s">
        <v>1705</v>
      </c>
      <c r="C964" s="7" t="s">
        <v>7662</v>
      </c>
      <c r="D964" s="6" t="s">
        <v>7664</v>
      </c>
      <c r="E964" s="8" t="s">
        <v>20</v>
      </c>
      <c r="F964" s="6"/>
    </row>
    <row r="965">
      <c r="A965" s="6" t="s">
        <v>7667</v>
      </c>
      <c r="B965" s="6" t="s">
        <v>7487</v>
      </c>
      <c r="C965" s="7" t="s">
        <v>7668</v>
      </c>
      <c r="D965" s="6" t="s">
        <v>7670</v>
      </c>
      <c r="E965" s="8" t="s">
        <v>7582</v>
      </c>
      <c r="F965" s="6"/>
    </row>
    <row r="966">
      <c r="A966" s="6" t="s">
        <v>7673</v>
      </c>
      <c r="B966" s="6" t="s">
        <v>7</v>
      </c>
      <c r="C966" s="7" t="s">
        <v>83</v>
      </c>
      <c r="D966" s="6" t="s">
        <v>7675</v>
      </c>
      <c r="E966" s="8" t="s">
        <v>7677</v>
      </c>
      <c r="F966" s="2" t="s">
        <v>71</v>
      </c>
    </row>
    <row r="967">
      <c r="A967" s="6" t="s">
        <v>7679</v>
      </c>
      <c r="B967" s="6" t="s">
        <v>7</v>
      </c>
      <c r="C967" s="7" t="s">
        <v>7681</v>
      </c>
      <c r="D967" s="6" t="s">
        <v>7682</v>
      </c>
      <c r="E967" s="8" t="s">
        <v>7685</v>
      </c>
      <c r="F967" s="6"/>
    </row>
    <row r="968">
      <c r="A968" s="6" t="s">
        <v>7688</v>
      </c>
      <c r="B968" s="6" t="s">
        <v>7</v>
      </c>
      <c r="C968" s="7" t="s">
        <v>7691</v>
      </c>
      <c r="D968" s="6" t="s">
        <v>7692</v>
      </c>
      <c r="E968" s="8" t="s">
        <v>7695</v>
      </c>
      <c r="F968" s="6"/>
    </row>
    <row r="969">
      <c r="A969" s="6" t="s">
        <v>7697</v>
      </c>
      <c r="B969" s="6" t="s">
        <v>7</v>
      </c>
      <c r="C969" s="7" t="s">
        <v>7700</v>
      </c>
      <c r="D969" s="6" t="s">
        <v>7701</v>
      </c>
      <c r="E969" s="8" t="s">
        <v>7704</v>
      </c>
      <c r="F969" s="6"/>
    </row>
    <row r="970">
      <c r="A970" s="6" t="s">
        <v>7708</v>
      </c>
      <c r="B970" s="6" t="s">
        <v>7</v>
      </c>
      <c r="C970" s="7" t="s">
        <v>7710</v>
      </c>
      <c r="D970" s="6" t="s">
        <v>7712</v>
      </c>
      <c r="E970" s="8" t="s">
        <v>7685</v>
      </c>
      <c r="F970" s="6"/>
    </row>
    <row r="971">
      <c r="A971" s="6" t="s">
        <v>7715</v>
      </c>
      <c r="B971" s="6" t="s">
        <v>7</v>
      </c>
      <c r="C971" s="7" t="s">
        <v>7718</v>
      </c>
      <c r="D971" s="6" t="s">
        <v>7719</v>
      </c>
      <c r="E971" s="8" t="s">
        <v>7722</v>
      </c>
      <c r="F971" s="6"/>
    </row>
    <row r="972">
      <c r="A972" s="6" t="s">
        <v>7725</v>
      </c>
      <c r="B972" s="6" t="s">
        <v>7</v>
      </c>
      <c r="C972" s="7" t="s">
        <v>7727</v>
      </c>
      <c r="D972" s="6" t="s">
        <v>7728</v>
      </c>
      <c r="E972" s="8" t="s">
        <v>7738</v>
      </c>
      <c r="F972" s="6"/>
    </row>
    <row r="973">
      <c r="A973" s="6" t="s">
        <v>7741</v>
      </c>
      <c r="B973" s="6" t="s">
        <v>7</v>
      </c>
      <c r="C973" s="7" t="s">
        <v>7743</v>
      </c>
      <c r="D973" s="6" t="s">
        <v>7744</v>
      </c>
      <c r="E973" s="8" t="s">
        <v>7677</v>
      </c>
      <c r="F973" s="6"/>
    </row>
    <row r="974">
      <c r="A974" s="6" t="s">
        <v>7749</v>
      </c>
      <c r="B974" s="6" t="s">
        <v>7</v>
      </c>
      <c r="C974" s="7" t="s">
        <v>7751</v>
      </c>
      <c r="D974" s="6" t="s">
        <v>7753</v>
      </c>
      <c r="E974" s="8" t="s">
        <v>7677</v>
      </c>
      <c r="F974" s="6"/>
    </row>
    <row r="975">
      <c r="A975" s="6" t="s">
        <v>7758</v>
      </c>
      <c r="B975" s="6" t="s">
        <v>7</v>
      </c>
      <c r="C975" s="7" t="s">
        <v>7760</v>
      </c>
      <c r="D975" s="6" t="s">
        <v>7762</v>
      </c>
      <c r="E975" s="8" t="s">
        <v>7677</v>
      </c>
      <c r="F975" s="6"/>
    </row>
    <row r="976">
      <c r="A976" s="6" t="s">
        <v>7764</v>
      </c>
      <c r="B976" s="6" t="s">
        <v>7</v>
      </c>
      <c r="C976" s="7" t="s">
        <v>7767</v>
      </c>
      <c r="D976" s="6" t="s">
        <v>7768</v>
      </c>
      <c r="E976" s="8" t="s">
        <v>7770</v>
      </c>
      <c r="F976" s="6"/>
    </row>
    <row r="977">
      <c r="A977" s="6" t="s">
        <v>7772</v>
      </c>
      <c r="B977" s="6" t="s">
        <v>7</v>
      </c>
      <c r="C977" s="7" t="s">
        <v>7775</v>
      </c>
      <c r="D977" s="6" t="s">
        <v>7776</v>
      </c>
      <c r="E977" s="8" t="s">
        <v>7770</v>
      </c>
      <c r="F977" s="6"/>
    </row>
    <row r="978">
      <c r="A978" s="6" t="s">
        <v>7781</v>
      </c>
      <c r="B978" s="6" t="s">
        <v>7</v>
      </c>
      <c r="C978" s="7" t="s">
        <v>7783</v>
      </c>
      <c r="D978" s="6" t="s">
        <v>7784</v>
      </c>
      <c r="E978" s="8" t="s">
        <v>7770</v>
      </c>
      <c r="F978" s="6"/>
    </row>
    <row r="979">
      <c r="A979" s="6" t="s">
        <v>7788</v>
      </c>
      <c r="B979" s="6" t="s">
        <v>7</v>
      </c>
      <c r="C979" s="7" t="s">
        <v>7790</v>
      </c>
      <c r="D979" s="6" t="s">
        <v>7792</v>
      </c>
      <c r="E979" s="8" t="s">
        <v>3819</v>
      </c>
      <c r="F979" s="6"/>
    </row>
    <row r="980">
      <c r="A980" s="6" t="s">
        <v>7797</v>
      </c>
      <c r="B980" s="6" t="s">
        <v>7</v>
      </c>
      <c r="C980" s="7" t="s">
        <v>7799</v>
      </c>
      <c r="D980" s="6" t="s">
        <v>7801</v>
      </c>
      <c r="E980" s="8" t="s">
        <v>7802</v>
      </c>
      <c r="F980" s="6"/>
    </row>
    <row r="981">
      <c r="A981" s="6" t="s">
        <v>7806</v>
      </c>
      <c r="B981" s="6" t="s">
        <v>7</v>
      </c>
      <c r="C981" s="7" t="s">
        <v>7808</v>
      </c>
      <c r="D981" s="6" t="s">
        <v>7810</v>
      </c>
      <c r="E981" s="8" t="s">
        <v>7812</v>
      </c>
      <c r="F981" s="6"/>
    </row>
    <row r="982">
      <c r="A982" s="6" t="s">
        <v>7816</v>
      </c>
      <c r="B982" s="6" t="s">
        <v>7</v>
      </c>
      <c r="C982" s="7" t="s">
        <v>7818</v>
      </c>
      <c r="D982" s="6" t="s">
        <v>7820</v>
      </c>
      <c r="E982" s="8" t="s">
        <v>7822</v>
      </c>
      <c r="F982" s="6"/>
    </row>
    <row r="983">
      <c r="A983" s="2" t="s">
        <v>7826</v>
      </c>
      <c r="B983" s="2" t="s">
        <v>7</v>
      </c>
      <c r="C983" s="5" t="s">
        <v>7783</v>
      </c>
      <c r="D983" s="2" t="s">
        <v>7829</v>
      </c>
      <c r="E983" s="2" t="s">
        <v>7770</v>
      </c>
      <c r="F983" s="6"/>
    </row>
    <row r="984">
      <c r="A984" s="6" t="s">
        <v>7834</v>
      </c>
      <c r="B984" s="6" t="s">
        <v>7</v>
      </c>
      <c r="C984" s="7" t="s">
        <v>7835</v>
      </c>
      <c r="D984" s="6" t="s">
        <v>7836</v>
      </c>
      <c r="E984" s="8" t="s">
        <v>7838</v>
      </c>
      <c r="F984" s="6"/>
    </row>
    <row r="985">
      <c r="A985" s="6" t="s">
        <v>7841</v>
      </c>
      <c r="B985" s="6" t="s">
        <v>7</v>
      </c>
      <c r="C985" s="7" t="s">
        <v>7842</v>
      </c>
      <c r="D985" s="6" t="s">
        <v>7844</v>
      </c>
      <c r="E985" s="8" t="s">
        <v>7838</v>
      </c>
      <c r="F985" s="6"/>
    </row>
    <row r="986">
      <c r="A986" s="6" t="s">
        <v>7847</v>
      </c>
      <c r="B986" s="6" t="s">
        <v>7</v>
      </c>
      <c r="C986" s="7" t="s">
        <v>7849</v>
      </c>
      <c r="D986" s="6" t="s">
        <v>7850</v>
      </c>
      <c r="E986" s="8" t="s">
        <v>7838</v>
      </c>
      <c r="F986" s="6"/>
    </row>
    <row r="987">
      <c r="A987" s="6" t="s">
        <v>7853</v>
      </c>
      <c r="B987" s="6" t="s">
        <v>7</v>
      </c>
      <c r="C987" s="7" t="s">
        <v>7855</v>
      </c>
      <c r="D987" s="6" t="s">
        <v>7856</v>
      </c>
      <c r="E987" s="8" t="s">
        <v>7838</v>
      </c>
      <c r="F987" s="6"/>
    </row>
    <row r="988">
      <c r="A988" s="6" t="s">
        <v>7859</v>
      </c>
      <c r="B988" s="6" t="s">
        <v>7</v>
      </c>
      <c r="C988" s="7" t="s">
        <v>7862</v>
      </c>
      <c r="D988" s="6" t="s">
        <v>7863</v>
      </c>
      <c r="E988" s="8" t="s">
        <v>7838</v>
      </c>
      <c r="F988" s="6"/>
    </row>
    <row r="989">
      <c r="A989" s="6" t="s">
        <v>7868</v>
      </c>
      <c r="B989" s="6" t="s">
        <v>7</v>
      </c>
      <c r="C989" s="7" t="s">
        <v>7870</v>
      </c>
      <c r="D989" s="6" t="s">
        <v>7872</v>
      </c>
      <c r="E989" s="8" t="s">
        <v>7838</v>
      </c>
      <c r="F989" s="6"/>
    </row>
    <row r="990">
      <c r="A990" s="6" t="s">
        <v>7876</v>
      </c>
      <c r="B990" s="6" t="s">
        <v>7</v>
      </c>
      <c r="C990" s="7" t="s">
        <v>7877</v>
      </c>
      <c r="D990" s="6" t="s">
        <v>7879</v>
      </c>
      <c r="E990" s="8" t="s">
        <v>7838</v>
      </c>
      <c r="F990" s="6"/>
    </row>
    <row r="991">
      <c r="A991" s="6" t="s">
        <v>7884</v>
      </c>
      <c r="B991" s="6" t="s">
        <v>7</v>
      </c>
      <c r="C991" s="7" t="s">
        <v>7885</v>
      </c>
      <c r="D991" s="6" t="s">
        <v>7886</v>
      </c>
      <c r="E991" s="8" t="s">
        <v>7838</v>
      </c>
      <c r="F991" s="6"/>
    </row>
    <row r="992">
      <c r="A992" s="6" t="s">
        <v>7931</v>
      </c>
      <c r="B992" s="6" t="s">
        <v>7</v>
      </c>
      <c r="C992" s="7" t="s">
        <v>7932</v>
      </c>
      <c r="D992" s="6" t="s">
        <v>7935</v>
      </c>
      <c r="E992" s="8" t="s">
        <v>7838</v>
      </c>
      <c r="F992" s="6"/>
    </row>
    <row r="993">
      <c r="A993" s="6" t="s">
        <v>7940</v>
      </c>
      <c r="B993" s="6" t="s">
        <v>7</v>
      </c>
      <c r="C993" s="7" t="s">
        <v>7942</v>
      </c>
      <c r="D993" s="6" t="s">
        <v>7944</v>
      </c>
      <c r="E993" s="8" t="s">
        <v>7946</v>
      </c>
      <c r="F993" s="6"/>
    </row>
    <row r="994">
      <c r="A994" s="6" t="s">
        <v>7949</v>
      </c>
      <c r="B994" s="6" t="s">
        <v>7</v>
      </c>
      <c r="C994" s="7" t="s">
        <v>7951</v>
      </c>
      <c r="D994" s="6" t="s">
        <v>7953</v>
      </c>
      <c r="E994" s="8" t="s">
        <v>7770</v>
      </c>
      <c r="F994" s="6"/>
    </row>
    <row r="995">
      <c r="A995" s="6" t="s">
        <v>7958</v>
      </c>
      <c r="B995" s="6" t="s">
        <v>7</v>
      </c>
      <c r="C995" s="7" t="s">
        <v>7960</v>
      </c>
      <c r="D995" s="6" t="s">
        <v>7962</v>
      </c>
      <c r="E995" s="2" t="s">
        <v>1538</v>
      </c>
      <c r="F995" s="2"/>
    </row>
    <row r="996">
      <c r="A996" s="6" t="s">
        <v>7967</v>
      </c>
      <c r="B996" s="6" t="s">
        <v>7</v>
      </c>
      <c r="C996" s="7" t="s">
        <v>7969</v>
      </c>
      <c r="D996" s="6" t="s">
        <v>7971</v>
      </c>
      <c r="E996" s="8" t="s">
        <v>11</v>
      </c>
      <c r="F996" s="6"/>
    </row>
    <row r="997">
      <c r="A997" s="6" t="s">
        <v>7976</v>
      </c>
      <c r="B997" s="6" t="s">
        <v>7</v>
      </c>
      <c r="C997" s="7" t="s">
        <v>7978</v>
      </c>
      <c r="D997" s="6" t="s">
        <v>7979</v>
      </c>
      <c r="E997" s="8" t="s">
        <v>741</v>
      </c>
      <c r="F997" s="6"/>
    </row>
    <row r="998">
      <c r="A998" s="6" t="s">
        <v>7984</v>
      </c>
      <c r="B998" s="6" t="s">
        <v>7</v>
      </c>
      <c r="C998" s="7" t="s">
        <v>7986</v>
      </c>
      <c r="D998" s="6" t="s">
        <v>7988</v>
      </c>
      <c r="E998" s="8" t="s">
        <v>3651</v>
      </c>
      <c r="F998" s="6"/>
    </row>
    <row r="999">
      <c r="A999" s="6" t="s">
        <v>7993</v>
      </c>
      <c r="B999" s="6" t="s">
        <v>3895</v>
      </c>
      <c r="C999" s="7" t="s">
        <v>7996</v>
      </c>
      <c r="D999" s="6" t="s">
        <v>7998</v>
      </c>
      <c r="E999" s="8" t="s">
        <v>20</v>
      </c>
      <c r="F999" s="6"/>
    </row>
    <row r="1000">
      <c r="A1000" s="6" t="s">
        <v>8000</v>
      </c>
      <c r="B1000" s="6" t="s">
        <v>8001</v>
      </c>
      <c r="C1000" s="7" t="s">
        <v>8002</v>
      </c>
      <c r="D1000" s="6" t="s">
        <v>8004</v>
      </c>
      <c r="E1000" s="8" t="s">
        <v>8005</v>
      </c>
      <c r="F1000" s="6"/>
    </row>
    <row r="1001">
      <c r="A1001" s="6" t="s">
        <v>8008</v>
      </c>
      <c r="B1001" s="6" t="s">
        <v>8009</v>
      </c>
      <c r="C1001" s="7" t="s">
        <v>8010</v>
      </c>
      <c r="D1001" s="6" t="s">
        <v>8012</v>
      </c>
      <c r="E1001" s="8" t="s">
        <v>8014</v>
      </c>
      <c r="F1001" s="6"/>
    </row>
    <row r="1002">
      <c r="A1002" s="6" t="s">
        <v>8016</v>
      </c>
      <c r="B1002" s="6" t="s">
        <v>8017</v>
      </c>
      <c r="C1002" s="7" t="s">
        <v>8019</v>
      </c>
      <c r="D1002" s="6" t="s">
        <v>8020</v>
      </c>
      <c r="E1002" s="8" t="s">
        <v>8014</v>
      </c>
      <c r="F1002" s="6"/>
    </row>
    <row r="1003">
      <c r="A1003" s="6" t="s">
        <v>8023</v>
      </c>
      <c r="B1003" s="6" t="s">
        <v>234</v>
      </c>
      <c r="C1003" s="7" t="s">
        <v>8025</v>
      </c>
      <c r="D1003" s="6" t="s">
        <v>8026</v>
      </c>
      <c r="E1003" s="8" t="s">
        <v>8028</v>
      </c>
      <c r="F1003" s="6"/>
    </row>
    <row r="1004">
      <c r="A1004" s="6" t="s">
        <v>8031</v>
      </c>
      <c r="B1004" s="6" t="s">
        <v>7</v>
      </c>
      <c r="C1004" s="7" t="s">
        <v>8033</v>
      </c>
      <c r="D1004" s="6" t="s">
        <v>8035</v>
      </c>
      <c r="E1004" s="8" t="s">
        <v>11</v>
      </c>
      <c r="F1004" s="6"/>
    </row>
    <row r="1005">
      <c r="A1005" s="6" t="s">
        <v>8040</v>
      </c>
      <c r="B1005" s="6" t="s">
        <v>7</v>
      </c>
      <c r="C1005" s="7" t="s">
        <v>8042</v>
      </c>
      <c r="D1005" s="6" t="s">
        <v>8044</v>
      </c>
      <c r="E1005" s="8" t="s">
        <v>11</v>
      </c>
      <c r="F1005" s="6"/>
    </row>
    <row r="1006">
      <c r="A1006" s="6" t="s">
        <v>8048</v>
      </c>
      <c r="B1006" s="6" t="s">
        <v>234</v>
      </c>
      <c r="C1006" s="7" t="s">
        <v>8050</v>
      </c>
      <c r="D1006" s="6" t="s">
        <v>8052</v>
      </c>
      <c r="E1006" s="8" t="s">
        <v>8028</v>
      </c>
      <c r="F1006" s="6"/>
    </row>
    <row r="1007">
      <c r="A1007" s="6" t="s">
        <v>8057</v>
      </c>
      <c r="B1007" s="6" t="s">
        <v>8058</v>
      </c>
      <c r="C1007" s="7" t="s">
        <v>8060</v>
      </c>
      <c r="D1007" s="6" t="s">
        <v>8062</v>
      </c>
      <c r="E1007" s="8" t="s">
        <v>8028</v>
      </c>
      <c r="F1007" s="6"/>
    </row>
    <row r="1008">
      <c r="A1008" s="6" t="s">
        <v>8066</v>
      </c>
      <c r="B1008" s="6" t="s">
        <v>8058</v>
      </c>
      <c r="C1008" s="7" t="s">
        <v>8067</v>
      </c>
      <c r="D1008" s="6" t="s">
        <v>8068</v>
      </c>
      <c r="E1008" s="8" t="s">
        <v>8028</v>
      </c>
      <c r="F1008" s="6"/>
    </row>
    <row r="1009">
      <c r="A1009" s="6" t="s">
        <v>8071</v>
      </c>
      <c r="B1009" s="6" t="s">
        <v>234</v>
      </c>
      <c r="C1009" s="7" t="s">
        <v>8074</v>
      </c>
      <c r="D1009" s="6" t="s">
        <v>8075</v>
      </c>
      <c r="E1009" s="8" t="s">
        <v>8078</v>
      </c>
      <c r="F1009" s="6"/>
    </row>
    <row r="1010">
      <c r="A1010" s="6" t="s">
        <v>8081</v>
      </c>
      <c r="B1010" s="6" t="s">
        <v>234</v>
      </c>
      <c r="C1010" s="7" t="s">
        <v>8083</v>
      </c>
      <c r="D1010" s="6" t="s">
        <v>8084</v>
      </c>
      <c r="E1010" s="8" t="s">
        <v>2500</v>
      </c>
      <c r="F1010" s="6"/>
    </row>
    <row r="1011">
      <c r="A1011" s="6" t="s">
        <v>8089</v>
      </c>
      <c r="B1011" s="6" t="s">
        <v>7</v>
      </c>
      <c r="C1011" s="7" t="s">
        <v>8092</v>
      </c>
      <c r="D1011" s="6" t="s">
        <v>8093</v>
      </c>
      <c r="E1011" s="8" t="s">
        <v>11</v>
      </c>
      <c r="F1011" s="6"/>
    </row>
    <row r="1012">
      <c r="A1012" s="6" t="s">
        <v>8098</v>
      </c>
      <c r="B1012" s="6" t="s">
        <v>7</v>
      </c>
      <c r="C1012" s="7" t="s">
        <v>8099</v>
      </c>
      <c r="D1012" s="6" t="s">
        <v>8100</v>
      </c>
      <c r="E1012" s="8" t="s">
        <v>11</v>
      </c>
      <c r="F1012" s="6"/>
    </row>
    <row r="1013">
      <c r="A1013" s="6" t="s">
        <v>8103</v>
      </c>
      <c r="B1013" s="6" t="s">
        <v>7</v>
      </c>
      <c r="C1013" s="7" t="s">
        <v>8104</v>
      </c>
      <c r="D1013" s="6" t="s">
        <v>8106</v>
      </c>
      <c r="E1013" s="8" t="s">
        <v>241</v>
      </c>
      <c r="F1013" s="6"/>
    </row>
    <row r="1014">
      <c r="A1014" s="6" t="s">
        <v>8108</v>
      </c>
      <c r="B1014" s="6" t="s">
        <v>7</v>
      </c>
      <c r="C1014" s="7" t="s">
        <v>8110</v>
      </c>
      <c r="D1014" s="6" t="s">
        <v>8111</v>
      </c>
      <c r="E1014" s="8" t="s">
        <v>253</v>
      </c>
      <c r="F1014" s="6"/>
    </row>
    <row r="1015">
      <c r="A1015" s="6" t="s">
        <v>8114</v>
      </c>
      <c r="B1015" s="6" t="s">
        <v>7</v>
      </c>
      <c r="C1015" s="7" t="s">
        <v>8116</v>
      </c>
      <c r="D1015" s="6" t="s">
        <v>8117</v>
      </c>
      <c r="E1015" s="8" t="s">
        <v>11</v>
      </c>
      <c r="F1015" s="6"/>
    </row>
    <row r="1016">
      <c r="A1016" s="6" t="s">
        <v>8120</v>
      </c>
      <c r="B1016" s="6" t="s">
        <v>7</v>
      </c>
      <c r="C1016" s="7" t="s">
        <v>8122</v>
      </c>
      <c r="D1016" s="6" t="s">
        <v>8123</v>
      </c>
      <c r="E1016" s="8" t="s">
        <v>476</v>
      </c>
      <c r="F1016" s="6"/>
    </row>
    <row r="1017">
      <c r="A1017" s="6" t="s">
        <v>8128</v>
      </c>
      <c r="B1017" s="6" t="s">
        <v>7</v>
      </c>
      <c r="C1017" s="7" t="s">
        <v>8130</v>
      </c>
      <c r="D1017" s="6" t="s">
        <v>8132</v>
      </c>
      <c r="E1017" s="8" t="s">
        <v>476</v>
      </c>
      <c r="F1017" s="6"/>
    </row>
    <row r="1018">
      <c r="A1018" s="6" t="s">
        <v>8137</v>
      </c>
      <c r="B1018" s="6" t="s">
        <v>7</v>
      </c>
      <c r="C1018" s="7" t="s">
        <v>8138</v>
      </c>
      <c r="D1018" s="6" t="s">
        <v>8140</v>
      </c>
      <c r="E1018" s="8" t="s">
        <v>476</v>
      </c>
      <c r="F1018" s="6"/>
    </row>
    <row r="1019">
      <c r="A1019" s="6" t="s">
        <v>8144</v>
      </c>
      <c r="B1019" s="6" t="s">
        <v>7</v>
      </c>
      <c r="C1019" s="7" t="s">
        <v>8147</v>
      </c>
      <c r="D1019" s="6" t="s">
        <v>8148</v>
      </c>
      <c r="E1019" s="8" t="s">
        <v>11</v>
      </c>
      <c r="F1019" s="6"/>
    </row>
    <row r="1020">
      <c r="A1020" s="6" t="s">
        <v>8153</v>
      </c>
      <c r="B1020" s="6" t="s">
        <v>7</v>
      </c>
      <c r="C1020" s="7" t="s">
        <v>8154</v>
      </c>
      <c r="D1020" s="6" t="s">
        <v>8156</v>
      </c>
      <c r="E1020" s="8" t="s">
        <v>27</v>
      </c>
      <c r="F1020" s="6"/>
    </row>
    <row r="1021">
      <c r="A1021" s="6" t="s">
        <v>8160</v>
      </c>
      <c r="B1021" s="6" t="s">
        <v>7</v>
      </c>
      <c r="C1021" s="7" t="s">
        <v>8162</v>
      </c>
      <c r="D1021" s="6" t="s">
        <v>8163</v>
      </c>
      <c r="E1021" s="8" t="s">
        <v>2278</v>
      </c>
      <c r="F1021" s="6"/>
    </row>
    <row r="1022">
      <c r="A1022" s="6" t="s">
        <v>8168</v>
      </c>
      <c r="B1022" s="6" t="s">
        <v>7</v>
      </c>
      <c r="C1022" s="7" t="s">
        <v>8171</v>
      </c>
      <c r="D1022" s="6" t="s">
        <v>8172</v>
      </c>
      <c r="E1022" s="8" t="s">
        <v>24</v>
      </c>
      <c r="F1022" s="6"/>
    </row>
    <row r="1023">
      <c r="A1023" s="6" t="s">
        <v>8177</v>
      </c>
      <c r="B1023" s="6" t="s">
        <v>7</v>
      </c>
      <c r="C1023" s="7" t="s">
        <v>8179</v>
      </c>
      <c r="D1023" s="6" t="s">
        <v>8181</v>
      </c>
      <c r="E1023" s="8" t="s">
        <v>24</v>
      </c>
      <c r="F1023" s="6"/>
    </row>
    <row r="1024">
      <c r="A1024" s="6" t="s">
        <v>8185</v>
      </c>
      <c r="B1024" s="6" t="s">
        <v>7</v>
      </c>
      <c r="C1024" s="7" t="s">
        <v>8188</v>
      </c>
      <c r="D1024" s="6" t="s">
        <v>8190</v>
      </c>
      <c r="E1024" s="8" t="s">
        <v>7770</v>
      </c>
      <c r="F1024" s="6"/>
    </row>
    <row r="1025">
      <c r="A1025" s="6" t="s">
        <v>8196</v>
      </c>
      <c r="B1025" s="6" t="s">
        <v>7</v>
      </c>
      <c r="C1025" s="7" t="s">
        <v>8199</v>
      </c>
      <c r="D1025" s="6" t="s">
        <v>8200</v>
      </c>
      <c r="E1025" s="8" t="s">
        <v>24</v>
      </c>
      <c r="F1025" s="6"/>
    </row>
    <row r="1026">
      <c r="A1026" s="6" t="s">
        <v>8201</v>
      </c>
      <c r="B1026" s="6" t="s">
        <v>7</v>
      </c>
      <c r="C1026" s="7" t="s">
        <v>8202</v>
      </c>
      <c r="D1026" s="6" t="s">
        <v>8204</v>
      </c>
      <c r="E1026" s="8" t="s">
        <v>24</v>
      </c>
      <c r="F1026" s="6"/>
    </row>
    <row r="1027">
      <c r="A1027" s="6" t="s">
        <v>8208</v>
      </c>
      <c r="B1027" s="6" t="s">
        <v>7</v>
      </c>
      <c r="C1027" s="7" t="s">
        <v>8209</v>
      </c>
      <c r="D1027" s="6" t="s">
        <v>8211</v>
      </c>
      <c r="E1027" s="8" t="s">
        <v>8213</v>
      </c>
      <c r="F1027" s="6"/>
    </row>
    <row r="1028">
      <c r="A1028" s="6" t="s">
        <v>8216</v>
      </c>
      <c r="B1028" s="6" t="s">
        <v>7</v>
      </c>
      <c r="C1028" s="7" t="s">
        <v>8219</v>
      </c>
      <c r="D1028" s="6" t="s">
        <v>8220</v>
      </c>
      <c r="E1028" s="8" t="s">
        <v>24</v>
      </c>
      <c r="F1028" s="6"/>
    </row>
    <row r="1029">
      <c r="A1029" s="6" t="s">
        <v>8224</v>
      </c>
      <c r="B1029" s="6" t="s">
        <v>7</v>
      </c>
      <c r="C1029" s="7" t="s">
        <v>8225</v>
      </c>
      <c r="D1029" s="6" t="s">
        <v>8226</v>
      </c>
      <c r="E1029" s="8" t="s">
        <v>24</v>
      </c>
      <c r="F1029" s="6"/>
    </row>
    <row r="1030">
      <c r="A1030" s="6" t="s">
        <v>8230</v>
      </c>
      <c r="B1030" s="6" t="s">
        <v>7</v>
      </c>
      <c r="C1030" s="7" t="s">
        <v>8232</v>
      </c>
      <c r="D1030" s="6" t="s">
        <v>8233</v>
      </c>
      <c r="E1030" s="8" t="s">
        <v>24</v>
      </c>
      <c r="F1030" s="6"/>
    </row>
    <row r="1031">
      <c r="A1031" s="6" t="s">
        <v>8236</v>
      </c>
      <c r="B1031" s="6" t="s">
        <v>7</v>
      </c>
      <c r="C1031" s="7" t="s">
        <v>8239</v>
      </c>
      <c r="D1031" s="6" t="s">
        <v>8240</v>
      </c>
      <c r="E1031" s="8" t="s">
        <v>8213</v>
      </c>
      <c r="F1031" s="6"/>
    </row>
    <row r="1032">
      <c r="A1032" s="6" t="s">
        <v>8243</v>
      </c>
      <c r="B1032" s="6" t="s">
        <v>7</v>
      </c>
      <c r="C1032" s="7" t="s">
        <v>8244</v>
      </c>
      <c r="D1032" s="6" t="s">
        <v>8246</v>
      </c>
      <c r="E1032" s="8" t="s">
        <v>11</v>
      </c>
      <c r="F1032" s="6"/>
    </row>
    <row r="1033">
      <c r="A1033" s="6" t="s">
        <v>8250</v>
      </c>
      <c r="B1033" s="6" t="s">
        <v>7</v>
      </c>
      <c r="C1033" s="7" t="s">
        <v>8252</v>
      </c>
      <c r="D1033" s="6" t="s">
        <v>8254</v>
      </c>
      <c r="E1033" s="8" t="s">
        <v>2320</v>
      </c>
      <c r="F1033" s="6"/>
    </row>
    <row r="1034">
      <c r="A1034" s="6" t="s">
        <v>8258</v>
      </c>
      <c r="B1034" s="6" t="s">
        <v>7</v>
      </c>
      <c r="C1034" s="7" t="s">
        <v>8260</v>
      </c>
      <c r="D1034" s="6" t="s">
        <v>8262</v>
      </c>
      <c r="E1034" s="8" t="s">
        <v>11</v>
      </c>
      <c r="F1034" s="6"/>
    </row>
    <row r="1035">
      <c r="A1035" s="6" t="s">
        <v>8265</v>
      </c>
      <c r="B1035" s="6" t="s">
        <v>7</v>
      </c>
      <c r="C1035" s="7" t="s">
        <v>8268</v>
      </c>
      <c r="D1035" s="6" t="s">
        <v>8269</v>
      </c>
      <c r="E1035" s="8" t="s">
        <v>11</v>
      </c>
      <c r="F1035" s="6"/>
    </row>
    <row r="1036">
      <c r="A1036" s="6" t="s">
        <v>8274</v>
      </c>
      <c r="B1036" s="6" t="s">
        <v>7</v>
      </c>
      <c r="C1036" s="7" t="s">
        <v>8277</v>
      </c>
      <c r="D1036" s="6" t="s">
        <v>8278</v>
      </c>
      <c r="E1036" s="8" t="s">
        <v>11</v>
      </c>
      <c r="F1036" s="6"/>
    </row>
    <row r="1037">
      <c r="A1037" s="6" t="s">
        <v>8283</v>
      </c>
      <c r="B1037" s="6" t="s">
        <v>7</v>
      </c>
      <c r="C1037" s="7" t="s">
        <v>8286</v>
      </c>
      <c r="D1037" s="6" t="s">
        <v>8287</v>
      </c>
      <c r="E1037" s="8" t="s">
        <v>11</v>
      </c>
      <c r="F1037" s="6"/>
    </row>
    <row r="1038">
      <c r="A1038" s="6" t="s">
        <v>8292</v>
      </c>
      <c r="B1038" s="6" t="s">
        <v>7</v>
      </c>
      <c r="C1038" s="7" t="s">
        <v>8293</v>
      </c>
      <c r="D1038" s="6" t="s">
        <v>8294</v>
      </c>
      <c r="E1038" s="8" t="s">
        <v>11</v>
      </c>
      <c r="F1038" s="6"/>
    </row>
    <row r="1039">
      <c r="A1039" s="6" t="s">
        <v>8297</v>
      </c>
      <c r="B1039" s="6" t="s">
        <v>7</v>
      </c>
      <c r="C1039" s="7" t="s">
        <v>8298</v>
      </c>
      <c r="D1039" s="6" t="s">
        <v>8300</v>
      </c>
      <c r="E1039" s="8" t="s">
        <v>11</v>
      </c>
      <c r="F1039" s="6"/>
    </row>
    <row r="1040">
      <c r="A1040" s="6" t="s">
        <v>8303</v>
      </c>
      <c r="B1040" s="6" t="s">
        <v>7</v>
      </c>
      <c r="C1040" s="7" t="s">
        <v>8304</v>
      </c>
      <c r="D1040" s="6" t="s">
        <v>8306</v>
      </c>
      <c r="E1040" s="8" t="s">
        <v>11</v>
      </c>
      <c r="F1040" s="6"/>
    </row>
    <row r="1041">
      <c r="A1041" s="6" t="s">
        <v>8308</v>
      </c>
      <c r="B1041" s="6" t="s">
        <v>7</v>
      </c>
      <c r="C1041" s="7" t="s">
        <v>8310</v>
      </c>
      <c r="D1041" s="6" t="s">
        <v>8311</v>
      </c>
      <c r="E1041" s="8" t="s">
        <v>11</v>
      </c>
      <c r="F1041" s="6"/>
    </row>
    <row r="1042">
      <c r="A1042" s="6" t="s">
        <v>8314</v>
      </c>
      <c r="B1042" s="6" t="s">
        <v>7</v>
      </c>
      <c r="C1042" s="7" t="s">
        <v>8316</v>
      </c>
      <c r="D1042" s="6" t="s">
        <v>8317</v>
      </c>
      <c r="E1042" s="8" t="s">
        <v>11</v>
      </c>
      <c r="F1042" s="6"/>
    </row>
    <row r="1043">
      <c r="A1043" s="6" t="s">
        <v>8320</v>
      </c>
      <c r="B1043" s="6" t="s">
        <v>7</v>
      </c>
      <c r="C1043" s="7" t="s">
        <v>8322</v>
      </c>
      <c r="D1043" s="6" t="s">
        <v>8323</v>
      </c>
      <c r="E1043" s="8" t="s">
        <v>11</v>
      </c>
      <c r="F1043" s="6"/>
    </row>
    <row r="1044">
      <c r="A1044" s="6" t="s">
        <v>8326</v>
      </c>
      <c r="B1044" s="6" t="s">
        <v>7</v>
      </c>
      <c r="C1044" s="7" t="s">
        <v>8328</v>
      </c>
      <c r="D1044" s="6" t="s">
        <v>8329</v>
      </c>
      <c r="E1044" s="8" t="s">
        <v>2986</v>
      </c>
      <c r="F1044" s="6"/>
    </row>
    <row r="1045">
      <c r="A1045" s="6" t="s">
        <v>8332</v>
      </c>
      <c r="B1045" s="6" t="s">
        <v>7</v>
      </c>
      <c r="C1045" s="7" t="s">
        <v>8334</v>
      </c>
      <c r="D1045" s="6" t="s">
        <v>8335</v>
      </c>
      <c r="E1045" s="8" t="s">
        <v>2986</v>
      </c>
      <c r="F1045" s="6"/>
    </row>
    <row r="1046">
      <c r="A1046" s="6" t="s">
        <v>8338</v>
      </c>
      <c r="B1046" s="6" t="s">
        <v>7</v>
      </c>
      <c r="C1046" s="7" t="s">
        <v>8340</v>
      </c>
      <c r="D1046" s="6" t="s">
        <v>8342</v>
      </c>
      <c r="E1046" s="8" t="s">
        <v>2986</v>
      </c>
      <c r="F1046" s="6"/>
    </row>
    <row r="1047">
      <c r="A1047" s="6" t="s">
        <v>8346</v>
      </c>
      <c r="B1047" s="6" t="s">
        <v>7</v>
      </c>
      <c r="C1047" s="7" t="s">
        <v>8348</v>
      </c>
      <c r="D1047" s="6" t="s">
        <v>8350</v>
      </c>
      <c r="E1047" s="8" t="s">
        <v>741</v>
      </c>
      <c r="F1047" s="6"/>
    </row>
    <row r="1048">
      <c r="A1048" s="6" t="s">
        <v>8354</v>
      </c>
      <c r="B1048" s="6" t="s">
        <v>7</v>
      </c>
      <c r="C1048" s="7" t="s">
        <v>8357</v>
      </c>
      <c r="D1048" s="6" t="s">
        <v>8358</v>
      </c>
      <c r="E1048" s="8" t="s">
        <v>710</v>
      </c>
      <c r="F1048" s="6"/>
    </row>
    <row r="1049">
      <c r="A1049" s="6" t="s">
        <v>8363</v>
      </c>
      <c r="B1049" s="6" t="s">
        <v>7</v>
      </c>
      <c r="C1049" s="7" t="s">
        <v>8365</v>
      </c>
      <c r="D1049" s="6" t="s">
        <v>8367</v>
      </c>
      <c r="E1049" s="8" t="s">
        <v>3118</v>
      </c>
      <c r="F1049" s="6"/>
    </row>
    <row r="1050">
      <c r="A1050" s="6" t="s">
        <v>8371</v>
      </c>
      <c r="B1050" s="6" t="s">
        <v>7</v>
      </c>
      <c r="C1050" s="7" t="s">
        <v>8372</v>
      </c>
      <c r="D1050" s="6" t="s">
        <v>8373</v>
      </c>
      <c r="E1050" s="8" t="s">
        <v>3118</v>
      </c>
      <c r="F1050" s="6"/>
    </row>
    <row r="1051">
      <c r="A1051" s="6" t="s">
        <v>8378</v>
      </c>
      <c r="B1051" s="6" t="s">
        <v>7</v>
      </c>
      <c r="C1051" s="7" t="s">
        <v>8380</v>
      </c>
      <c r="D1051" s="6" t="s">
        <v>8382</v>
      </c>
      <c r="E1051" s="8" t="s">
        <v>1700</v>
      </c>
      <c r="F1051" s="6"/>
    </row>
    <row r="1052">
      <c r="A1052" s="6" t="s">
        <v>8387</v>
      </c>
      <c r="B1052" s="6" t="s">
        <v>7</v>
      </c>
      <c r="C1052" s="7" t="s">
        <v>8389</v>
      </c>
      <c r="D1052" s="6" t="s">
        <v>8391</v>
      </c>
      <c r="E1052" s="8" t="s">
        <v>1700</v>
      </c>
      <c r="F1052" s="6"/>
    </row>
    <row r="1053">
      <c r="A1053" s="6" t="s">
        <v>8395</v>
      </c>
      <c r="B1053" s="6" t="s">
        <v>7</v>
      </c>
      <c r="C1053" s="7" t="s">
        <v>8397</v>
      </c>
      <c r="D1053" s="6" t="s">
        <v>8398</v>
      </c>
      <c r="E1053" s="8" t="s">
        <v>27</v>
      </c>
      <c r="F1053" s="6"/>
    </row>
    <row r="1054">
      <c r="A1054" s="6" t="s">
        <v>8399</v>
      </c>
      <c r="B1054" s="6" t="s">
        <v>7</v>
      </c>
      <c r="C1054" s="7" t="s">
        <v>8400</v>
      </c>
      <c r="D1054" s="6" t="s">
        <v>8401</v>
      </c>
      <c r="E1054" s="8" t="s">
        <v>27</v>
      </c>
      <c r="F1054" s="6"/>
    </row>
    <row r="1055">
      <c r="A1055" s="6" t="s">
        <v>8403</v>
      </c>
      <c r="B1055" s="6" t="s">
        <v>7</v>
      </c>
      <c r="C1055" s="7" t="s">
        <v>8405</v>
      </c>
      <c r="D1055" s="6" t="s">
        <v>8406</v>
      </c>
      <c r="E1055" s="8" t="s">
        <v>8409</v>
      </c>
      <c r="F1055" s="6"/>
    </row>
    <row r="1056">
      <c r="A1056" s="6" t="s">
        <v>8411</v>
      </c>
      <c r="B1056" s="6" t="s">
        <v>7</v>
      </c>
      <c r="C1056" s="7" t="s">
        <v>8414</v>
      </c>
      <c r="D1056" s="6" t="s">
        <v>8415</v>
      </c>
      <c r="E1056" s="8" t="s">
        <v>2447</v>
      </c>
      <c r="F1056" s="6"/>
    </row>
    <row r="1057">
      <c r="A1057" s="6" t="s">
        <v>8420</v>
      </c>
      <c r="B1057" s="6" t="s">
        <v>7</v>
      </c>
      <c r="C1057" s="7" t="s">
        <v>8423</v>
      </c>
      <c r="D1057" s="6" t="s">
        <v>8424</v>
      </c>
      <c r="E1057" s="8" t="s">
        <v>2447</v>
      </c>
      <c r="F1057" s="6"/>
    </row>
    <row r="1058">
      <c r="A1058" s="6" t="s">
        <v>8429</v>
      </c>
      <c r="B1058" s="6" t="s">
        <v>7</v>
      </c>
      <c r="C1058" s="7" t="s">
        <v>8431</v>
      </c>
      <c r="D1058" s="6" t="s">
        <v>8433</v>
      </c>
      <c r="E1058" s="8" t="s">
        <v>27</v>
      </c>
      <c r="F1058" s="6"/>
    </row>
    <row r="1059">
      <c r="A1059" s="6" t="s">
        <v>8437</v>
      </c>
      <c r="B1059" s="6" t="s">
        <v>7</v>
      </c>
      <c r="C1059" s="7" t="s">
        <v>8439</v>
      </c>
      <c r="D1059" s="6" t="s">
        <v>8441</v>
      </c>
      <c r="E1059" s="8" t="s">
        <v>11</v>
      </c>
      <c r="F1059" s="6"/>
    </row>
    <row r="1060">
      <c r="A1060" s="6" t="s">
        <v>8444</v>
      </c>
      <c r="B1060" s="6" t="s">
        <v>7</v>
      </c>
      <c r="C1060" s="7" t="s">
        <v>8447</v>
      </c>
      <c r="D1060" s="6" t="s">
        <v>8448</v>
      </c>
      <c r="E1060" s="8" t="s">
        <v>763</v>
      </c>
      <c r="F1060" s="6"/>
    </row>
    <row r="1061">
      <c r="A1061" s="6" t="s">
        <v>8453</v>
      </c>
      <c r="B1061" s="6" t="s">
        <v>7</v>
      </c>
      <c r="C1061" s="7" t="s">
        <v>8456</v>
      </c>
      <c r="D1061" s="6" t="s">
        <v>8457</v>
      </c>
      <c r="E1061" s="8" t="s">
        <v>4322</v>
      </c>
      <c r="F1061" s="6"/>
    </row>
    <row r="1062">
      <c r="A1062" s="6" t="s">
        <v>8462</v>
      </c>
      <c r="B1062" s="6" t="s">
        <v>7</v>
      </c>
      <c r="C1062" s="7" t="s">
        <v>8465</v>
      </c>
      <c r="D1062" s="6" t="s">
        <v>8466</v>
      </c>
      <c r="E1062" s="8" t="s">
        <v>20</v>
      </c>
      <c r="F1062" s="6"/>
    </row>
    <row r="1063">
      <c r="A1063" s="6" t="s">
        <v>8471</v>
      </c>
      <c r="B1063" s="6" t="s">
        <v>7</v>
      </c>
      <c r="C1063" s="7" t="s">
        <v>8474</v>
      </c>
      <c r="D1063" s="6" t="s">
        <v>8475</v>
      </c>
      <c r="E1063" s="8" t="s">
        <v>3808</v>
      </c>
      <c r="F1063" s="6"/>
    </row>
    <row r="1064">
      <c r="A1064" s="6" t="s">
        <v>8478</v>
      </c>
      <c r="B1064" s="6" t="s">
        <v>7</v>
      </c>
      <c r="C1064" s="7" t="s">
        <v>8481</v>
      </c>
      <c r="D1064" s="6" t="s">
        <v>8482</v>
      </c>
      <c r="E1064" s="8" t="s">
        <v>763</v>
      </c>
      <c r="F1064" s="6"/>
    </row>
    <row r="1065">
      <c r="A1065" s="6" t="s">
        <v>8487</v>
      </c>
      <c r="B1065" s="6" t="s">
        <v>7</v>
      </c>
      <c r="C1065" s="7" t="s">
        <v>8489</v>
      </c>
      <c r="D1065" s="6" t="s">
        <v>8491</v>
      </c>
      <c r="E1065" s="8" t="s">
        <v>11</v>
      </c>
      <c r="F1065" s="6"/>
    </row>
    <row r="1066">
      <c r="A1066" s="6" t="s">
        <v>8492</v>
      </c>
      <c r="B1066" s="6" t="s">
        <v>7</v>
      </c>
      <c r="C1066" s="7" t="s">
        <v>8493</v>
      </c>
      <c r="D1066" s="6" t="s">
        <v>8494</v>
      </c>
      <c r="E1066" s="8" t="s">
        <v>11</v>
      </c>
      <c r="F1066" s="6"/>
    </row>
    <row r="1067">
      <c r="A1067" s="6" t="s">
        <v>8498</v>
      </c>
      <c r="B1067" s="6" t="s">
        <v>7</v>
      </c>
      <c r="C1067" s="7" t="s">
        <v>8500</v>
      </c>
      <c r="D1067" s="6" t="s">
        <v>8502</v>
      </c>
      <c r="E1067" s="8" t="s">
        <v>27</v>
      </c>
      <c r="F1067" s="2" t="s">
        <v>1048</v>
      </c>
    </row>
    <row r="1068">
      <c r="A1068" s="6" t="s">
        <v>8507</v>
      </c>
      <c r="B1068" s="6" t="s">
        <v>7</v>
      </c>
      <c r="C1068" s="7" t="s">
        <v>8508</v>
      </c>
      <c r="D1068" s="6" t="s">
        <v>8509</v>
      </c>
      <c r="E1068" s="8" t="s">
        <v>1530</v>
      </c>
      <c r="F1068" s="6"/>
    </row>
    <row r="1069">
      <c r="A1069" s="6" t="s">
        <v>8512</v>
      </c>
      <c r="B1069" s="6" t="s">
        <v>7</v>
      </c>
      <c r="C1069" s="7" t="s">
        <v>8514</v>
      </c>
      <c r="D1069" s="6" t="s">
        <v>8515</v>
      </c>
      <c r="E1069" s="8" t="s">
        <v>1556</v>
      </c>
      <c r="F1069" s="6"/>
    </row>
    <row r="1070">
      <c r="A1070" s="6" t="s">
        <v>8545</v>
      </c>
      <c r="B1070" s="6" t="s">
        <v>7</v>
      </c>
      <c r="C1070" s="7" t="s">
        <v>8548</v>
      </c>
      <c r="D1070" s="6" t="s">
        <v>8550</v>
      </c>
      <c r="E1070" s="8" t="s">
        <v>1556</v>
      </c>
      <c r="F1070" s="6"/>
    </row>
    <row r="1071">
      <c r="A1071" s="6" t="s">
        <v>8554</v>
      </c>
      <c r="B1071" s="6" t="s">
        <v>7</v>
      </c>
      <c r="C1071" s="7" t="s">
        <v>8555</v>
      </c>
      <c r="D1071" s="6" t="s">
        <v>8556</v>
      </c>
      <c r="E1071" s="8" t="s">
        <v>1556</v>
      </c>
      <c r="F1071" s="6"/>
    </row>
    <row r="1072">
      <c r="A1072" s="6" t="s">
        <v>8559</v>
      </c>
      <c r="B1072" s="6" t="s">
        <v>7</v>
      </c>
      <c r="C1072" s="7" t="s">
        <v>8561</v>
      </c>
      <c r="D1072" s="6" t="s">
        <v>8562</v>
      </c>
      <c r="E1072" s="8" t="s">
        <v>1530</v>
      </c>
      <c r="F1072" s="6"/>
    </row>
    <row r="1073">
      <c r="A1073" s="6" t="s">
        <v>8565</v>
      </c>
      <c r="B1073" s="6" t="s">
        <v>7</v>
      </c>
      <c r="C1073" s="7" t="s">
        <v>8567</v>
      </c>
      <c r="D1073" s="6" t="s">
        <v>8568</v>
      </c>
      <c r="E1073" s="8" t="s">
        <v>1530</v>
      </c>
      <c r="F1073" s="6"/>
    </row>
    <row r="1074">
      <c r="A1074" s="6" t="s">
        <v>8571</v>
      </c>
      <c r="B1074" s="6" t="s">
        <v>7</v>
      </c>
      <c r="C1074" s="7" t="s">
        <v>8572</v>
      </c>
      <c r="D1074" s="6" t="s">
        <v>8574</v>
      </c>
      <c r="E1074" s="8" t="s">
        <v>1556</v>
      </c>
      <c r="F1074" s="6"/>
    </row>
    <row r="1075">
      <c r="A1075" s="6" t="s">
        <v>8578</v>
      </c>
      <c r="B1075" s="6" t="s">
        <v>7</v>
      </c>
      <c r="C1075" s="7" t="s">
        <v>8581</v>
      </c>
      <c r="D1075" s="6" t="s">
        <v>8582</v>
      </c>
      <c r="E1075" s="8" t="s">
        <v>1530</v>
      </c>
      <c r="F1075" s="6"/>
    </row>
    <row r="1076">
      <c r="A1076" s="6" t="s">
        <v>8586</v>
      </c>
      <c r="B1076" s="6" t="s">
        <v>7</v>
      </c>
      <c r="C1076" s="7" t="s">
        <v>8589</v>
      </c>
      <c r="D1076" s="6" t="s">
        <v>8590</v>
      </c>
      <c r="E1076" s="8" t="s">
        <v>1530</v>
      </c>
      <c r="F1076" s="6"/>
    </row>
    <row r="1077">
      <c r="A1077" s="6" t="s">
        <v>8594</v>
      </c>
      <c r="B1077" s="6" t="s">
        <v>7</v>
      </c>
      <c r="C1077" s="7" t="s">
        <v>8596</v>
      </c>
      <c r="D1077" s="6" t="s">
        <v>8598</v>
      </c>
      <c r="E1077" s="8" t="s">
        <v>1530</v>
      </c>
      <c r="F1077" s="6"/>
    </row>
    <row r="1078">
      <c r="A1078" s="6" t="s">
        <v>8601</v>
      </c>
      <c r="B1078" s="6" t="s">
        <v>7</v>
      </c>
      <c r="C1078" s="7" t="s">
        <v>8602</v>
      </c>
      <c r="D1078" s="6" t="s">
        <v>8604</v>
      </c>
      <c r="E1078" s="8" t="s">
        <v>2500</v>
      </c>
      <c r="F1078" s="6"/>
    </row>
    <row r="1079">
      <c r="A1079" s="6" t="s">
        <v>8618</v>
      </c>
      <c r="B1079" s="6" t="s">
        <v>7</v>
      </c>
      <c r="C1079" s="7" t="s">
        <v>8620</v>
      </c>
      <c r="D1079" s="6" t="s">
        <v>8622</v>
      </c>
      <c r="E1079" s="8" t="s">
        <v>2500</v>
      </c>
      <c r="F1079" s="6"/>
    </row>
    <row r="1080">
      <c r="A1080" s="6" t="s">
        <v>8626</v>
      </c>
      <c r="B1080" s="6" t="s">
        <v>7</v>
      </c>
      <c r="C1080" s="7" t="s">
        <v>8627</v>
      </c>
      <c r="D1080" s="6" t="s">
        <v>8629</v>
      </c>
      <c r="E1080" s="8" t="s">
        <v>7770</v>
      </c>
      <c r="F1080" s="6"/>
    </row>
    <row r="1081">
      <c r="A1081" s="6" t="s">
        <v>8633</v>
      </c>
      <c r="B1081" s="6" t="s">
        <v>7</v>
      </c>
      <c r="C1081" s="7" t="s">
        <v>8635</v>
      </c>
      <c r="D1081" s="6" t="s">
        <v>8636</v>
      </c>
      <c r="E1081" s="8" t="s">
        <v>7770</v>
      </c>
      <c r="F1081" s="6"/>
    </row>
    <row r="1082">
      <c r="A1082" s="6" t="s">
        <v>8646</v>
      </c>
      <c r="B1082" s="6" t="s">
        <v>7</v>
      </c>
      <c r="C1082" s="7" t="s">
        <v>8648</v>
      </c>
      <c r="D1082" s="6" t="s">
        <v>8649</v>
      </c>
      <c r="E1082" s="8" t="s">
        <v>2500</v>
      </c>
      <c r="F1082" s="6"/>
    </row>
    <row r="1083">
      <c r="A1083" s="6" t="s">
        <v>8654</v>
      </c>
      <c r="B1083" s="6" t="s">
        <v>7</v>
      </c>
      <c r="C1083" s="7" t="s">
        <v>8655</v>
      </c>
      <c r="D1083" s="6" t="s">
        <v>8656</v>
      </c>
      <c r="E1083" s="8" t="s">
        <v>2500</v>
      </c>
      <c r="F1083" s="6"/>
    </row>
    <row r="1084">
      <c r="A1084" s="6" t="s">
        <v>8659</v>
      </c>
      <c r="B1084" s="6" t="s">
        <v>7</v>
      </c>
      <c r="C1084" s="7" t="s">
        <v>8661</v>
      </c>
      <c r="D1084" s="6" t="s">
        <v>8662</v>
      </c>
      <c r="E1084" s="8" t="s">
        <v>2500</v>
      </c>
      <c r="F1084" s="6"/>
    </row>
    <row r="1085">
      <c r="A1085" s="6" t="s">
        <v>8665</v>
      </c>
      <c r="B1085" s="6" t="s">
        <v>7</v>
      </c>
      <c r="C1085" s="7" t="s">
        <v>8667</v>
      </c>
      <c r="D1085" s="6" t="s">
        <v>8668</v>
      </c>
      <c r="E1085" s="8" t="s">
        <v>2500</v>
      </c>
      <c r="F1085" s="6"/>
    </row>
    <row r="1086">
      <c r="A1086" s="6" t="s">
        <v>8673</v>
      </c>
      <c r="B1086" s="6" t="s">
        <v>7</v>
      </c>
      <c r="C1086" s="7" t="s">
        <v>8675</v>
      </c>
      <c r="D1086" s="6" t="s">
        <v>8676</v>
      </c>
      <c r="E1086" s="8" t="s">
        <v>2500</v>
      </c>
      <c r="F1086" s="6"/>
    </row>
    <row r="1087">
      <c r="A1087" s="6" t="s">
        <v>8681</v>
      </c>
      <c r="B1087" s="6" t="s">
        <v>7</v>
      </c>
      <c r="C1087" s="7" t="s">
        <v>8683</v>
      </c>
      <c r="D1087" s="6" t="s">
        <v>8684</v>
      </c>
      <c r="E1087" s="8" t="s">
        <v>2500</v>
      </c>
      <c r="F1087" s="6"/>
    </row>
    <row r="1088">
      <c r="A1088" s="6" t="s">
        <v>8689</v>
      </c>
      <c r="B1088" s="6" t="s">
        <v>7</v>
      </c>
      <c r="C1088" s="7" t="s">
        <v>8691</v>
      </c>
      <c r="D1088" s="6" t="s">
        <v>8692</v>
      </c>
      <c r="E1088" s="8" t="s">
        <v>2500</v>
      </c>
      <c r="F1088" s="6"/>
    </row>
    <row r="1089">
      <c r="A1089" s="6" t="s">
        <v>8697</v>
      </c>
      <c r="B1089" s="6" t="s">
        <v>7</v>
      </c>
      <c r="C1089" s="7" t="s">
        <v>8698</v>
      </c>
      <c r="D1089" s="6" t="s">
        <v>8699</v>
      </c>
      <c r="E1089" s="8" t="s">
        <v>2500</v>
      </c>
      <c r="F1089" s="6"/>
    </row>
    <row r="1090">
      <c r="A1090" s="6" t="s">
        <v>8702</v>
      </c>
      <c r="B1090" s="6" t="s">
        <v>7</v>
      </c>
      <c r="C1090" s="7" t="s">
        <v>8704</v>
      </c>
      <c r="D1090" s="6" t="s">
        <v>8706</v>
      </c>
      <c r="E1090" s="8" t="s">
        <v>811</v>
      </c>
      <c r="F1090" s="6"/>
    </row>
    <row r="1091">
      <c r="A1091" s="6" t="s">
        <v>8711</v>
      </c>
      <c r="B1091" s="6" t="s">
        <v>7</v>
      </c>
      <c r="C1091" s="7" t="s">
        <v>8714</v>
      </c>
      <c r="D1091" s="6" t="s">
        <v>8715</v>
      </c>
      <c r="E1091" s="8" t="s">
        <v>2500</v>
      </c>
      <c r="F1091" s="6"/>
    </row>
    <row r="1092">
      <c r="A1092" s="6" t="s">
        <v>8720</v>
      </c>
      <c r="B1092" s="6" t="s">
        <v>7</v>
      </c>
      <c r="C1092" s="7" t="s">
        <v>8723</v>
      </c>
      <c r="D1092" s="6" t="s">
        <v>8724</v>
      </c>
      <c r="E1092" s="8" t="s">
        <v>11</v>
      </c>
      <c r="F1092" s="6"/>
    </row>
    <row r="1093">
      <c r="A1093" s="6" t="s">
        <v>8729</v>
      </c>
      <c r="B1093" s="6" t="s">
        <v>7</v>
      </c>
      <c r="C1093" s="7" t="s">
        <v>8730</v>
      </c>
      <c r="D1093" s="6" t="s">
        <v>8732</v>
      </c>
      <c r="E1093" s="8" t="s">
        <v>2500</v>
      </c>
      <c r="F1093" s="6"/>
    </row>
    <row r="1094">
      <c r="A1094" s="6" t="s">
        <v>8736</v>
      </c>
      <c r="B1094" s="6" t="s">
        <v>7</v>
      </c>
      <c r="C1094" s="7" t="s">
        <v>8739</v>
      </c>
      <c r="D1094" s="6" t="s">
        <v>8740</v>
      </c>
      <c r="E1094" s="8" t="s">
        <v>2500</v>
      </c>
      <c r="F1094" s="6"/>
    </row>
    <row r="1095">
      <c r="A1095" s="6" t="s">
        <v>8745</v>
      </c>
      <c r="B1095" s="6" t="s">
        <v>7</v>
      </c>
      <c r="C1095" s="7" t="s">
        <v>8746</v>
      </c>
      <c r="D1095" s="6" t="s">
        <v>8747</v>
      </c>
      <c r="E1095" s="8" t="s">
        <v>2500</v>
      </c>
      <c r="F1095" s="6"/>
    </row>
    <row r="1096">
      <c r="A1096" s="6" t="s">
        <v>8751</v>
      </c>
      <c r="B1096" s="6" t="s">
        <v>7</v>
      </c>
      <c r="C1096" s="7" t="s">
        <v>8753</v>
      </c>
      <c r="D1096" s="6" t="s">
        <v>8754</v>
      </c>
      <c r="E1096" s="8" t="s">
        <v>2500</v>
      </c>
      <c r="F1096" s="6"/>
    </row>
    <row r="1097">
      <c r="A1097" s="6" t="s">
        <v>8759</v>
      </c>
      <c r="B1097" s="6" t="s">
        <v>7</v>
      </c>
      <c r="C1097" s="7" t="s">
        <v>8762</v>
      </c>
      <c r="D1097" s="6" t="s">
        <v>8763</v>
      </c>
      <c r="E1097" s="8" t="s">
        <v>2500</v>
      </c>
      <c r="F1097" s="6"/>
    </row>
    <row r="1098">
      <c r="A1098" s="6" t="s">
        <v>8768</v>
      </c>
      <c r="B1098" s="6" t="s">
        <v>7</v>
      </c>
      <c r="C1098" s="7" t="s">
        <v>8770</v>
      </c>
      <c r="D1098" s="6" t="s">
        <v>8772</v>
      </c>
      <c r="E1098" s="8" t="s">
        <v>2500</v>
      </c>
      <c r="F1098" s="6"/>
    </row>
    <row r="1099">
      <c r="A1099" s="6" t="s">
        <v>8777</v>
      </c>
      <c r="B1099" s="6" t="s">
        <v>7</v>
      </c>
      <c r="C1099" s="7" t="s">
        <v>8779</v>
      </c>
      <c r="D1099" s="6" t="s">
        <v>8781</v>
      </c>
      <c r="E1099" s="8" t="s">
        <v>7704</v>
      </c>
      <c r="F1099" s="6"/>
    </row>
    <row r="1100">
      <c r="A1100" s="6" t="s">
        <v>8785</v>
      </c>
      <c r="B1100" s="6" t="s">
        <v>7</v>
      </c>
      <c r="C1100" s="7" t="s">
        <v>8787</v>
      </c>
      <c r="D1100" s="6" t="s">
        <v>8788</v>
      </c>
      <c r="E1100" s="8" t="s">
        <v>7704</v>
      </c>
      <c r="F1100" s="6"/>
    </row>
    <row r="1101">
      <c r="A1101" s="6" t="s">
        <v>8793</v>
      </c>
      <c r="B1101" s="6" t="s">
        <v>7</v>
      </c>
      <c r="C1101" s="7" t="s">
        <v>8794</v>
      </c>
      <c r="D1101" s="6" t="s">
        <v>8796</v>
      </c>
      <c r="E1101" s="8" t="s">
        <v>7704</v>
      </c>
      <c r="F1101" s="6"/>
    </row>
    <row r="1102">
      <c r="A1102" s="6" t="s">
        <v>8800</v>
      </c>
      <c r="B1102" s="6" t="s">
        <v>7</v>
      </c>
      <c r="C1102" s="7" t="s">
        <v>8801</v>
      </c>
      <c r="D1102" s="6" t="s">
        <v>8803</v>
      </c>
      <c r="E1102" s="8" t="s">
        <v>8805</v>
      </c>
      <c r="F1102" s="6"/>
    </row>
    <row r="1103">
      <c r="A1103" s="6" t="s">
        <v>8809</v>
      </c>
      <c r="B1103" s="6" t="s">
        <v>7</v>
      </c>
      <c r="C1103" s="7" t="s">
        <v>8811</v>
      </c>
      <c r="D1103" s="6" t="s">
        <v>8813</v>
      </c>
      <c r="E1103" s="8" t="s">
        <v>7704</v>
      </c>
      <c r="F1103" s="6"/>
    </row>
    <row r="1104">
      <c r="A1104" s="6" t="s">
        <v>8818</v>
      </c>
      <c r="B1104" s="6" t="s">
        <v>7</v>
      </c>
      <c r="C1104" s="7" t="s">
        <v>8820</v>
      </c>
      <c r="D1104" s="6" t="s">
        <v>8822</v>
      </c>
      <c r="E1104" s="8" t="s">
        <v>8409</v>
      </c>
      <c r="F1104" s="6"/>
    </row>
    <row r="1105">
      <c r="A1105" s="6" t="s">
        <v>8827</v>
      </c>
      <c r="B1105" s="6" t="s">
        <v>7</v>
      </c>
      <c r="C1105" s="7" t="s">
        <v>8829</v>
      </c>
      <c r="D1105" s="6" t="s">
        <v>8831</v>
      </c>
      <c r="E1105" s="8" t="s">
        <v>8409</v>
      </c>
      <c r="F1105" s="6"/>
    </row>
    <row r="1106">
      <c r="A1106" s="6" t="s">
        <v>8835</v>
      </c>
      <c r="B1106" s="6" t="s">
        <v>7</v>
      </c>
      <c r="C1106" s="7" t="s">
        <v>8837</v>
      </c>
      <c r="D1106" s="6" t="s">
        <v>8839</v>
      </c>
      <c r="E1106" s="8" t="s">
        <v>7704</v>
      </c>
      <c r="F1106" s="6"/>
    </row>
    <row r="1107">
      <c r="A1107" s="6" t="s">
        <v>8842</v>
      </c>
      <c r="B1107" s="6" t="s">
        <v>7</v>
      </c>
      <c r="C1107" s="7" t="s">
        <v>8844</v>
      </c>
      <c r="D1107" s="6" t="s">
        <v>8846</v>
      </c>
      <c r="E1107" s="8" t="s">
        <v>7704</v>
      </c>
      <c r="F1107" s="6"/>
    </row>
    <row r="1108">
      <c r="A1108" s="6" t="s">
        <v>8849</v>
      </c>
      <c r="B1108" s="6" t="s">
        <v>7</v>
      </c>
      <c r="C1108" s="7" t="s">
        <v>8852</v>
      </c>
      <c r="D1108" s="6" t="s">
        <v>8853</v>
      </c>
      <c r="E1108" s="8" t="s">
        <v>1840</v>
      </c>
      <c r="F1108" s="6"/>
    </row>
    <row r="1109">
      <c r="A1109" s="6" t="s">
        <v>8858</v>
      </c>
      <c r="B1109" s="6" t="s">
        <v>7</v>
      </c>
      <c r="C1109" s="7" t="s">
        <v>8861</v>
      </c>
      <c r="D1109" s="6" t="s">
        <v>8862</v>
      </c>
      <c r="E1109" s="8" t="s">
        <v>1840</v>
      </c>
      <c r="F1109" s="6"/>
    </row>
    <row r="1110">
      <c r="A1110" s="6" t="s">
        <v>8867</v>
      </c>
      <c r="B1110" s="6" t="s">
        <v>7</v>
      </c>
      <c r="C1110" s="7" t="s">
        <v>8869</v>
      </c>
      <c r="D1110" s="6" t="s">
        <v>8871</v>
      </c>
      <c r="E1110" s="8" t="s">
        <v>1840</v>
      </c>
      <c r="F1110" s="6"/>
    </row>
    <row r="1111">
      <c r="A1111" s="6" t="s">
        <v>8876</v>
      </c>
      <c r="B1111" s="6" t="s">
        <v>7</v>
      </c>
      <c r="C1111" s="7" t="s">
        <v>116</v>
      </c>
      <c r="D1111" s="6" t="s">
        <v>8879</v>
      </c>
      <c r="E1111" s="8" t="s">
        <v>241</v>
      </c>
      <c r="F1111" s="2" t="s">
        <v>71</v>
      </c>
    </row>
    <row r="1112">
      <c r="A1112" s="2" t="s">
        <v>8884</v>
      </c>
      <c r="B1112" s="2" t="s">
        <v>7</v>
      </c>
      <c r="C1112" s="5" t="s">
        <v>278</v>
      </c>
      <c r="D1112" s="2" t="s">
        <v>8886</v>
      </c>
      <c r="E1112" s="2" t="s">
        <v>253</v>
      </c>
      <c r="F1112" s="6"/>
    </row>
    <row r="1113">
      <c r="A1113" s="2" t="s">
        <v>8891</v>
      </c>
      <c r="B1113" s="2" t="s">
        <v>7</v>
      </c>
      <c r="C1113" s="5" t="s">
        <v>285</v>
      </c>
      <c r="D1113" s="2" t="s">
        <v>8894</v>
      </c>
      <c r="E1113" s="2" t="s">
        <v>241</v>
      </c>
      <c r="F1113" s="6"/>
    </row>
    <row r="1114">
      <c r="A1114" s="2" t="s">
        <v>8899</v>
      </c>
      <c r="B1114" s="2" t="s">
        <v>7</v>
      </c>
      <c r="C1114" s="5" t="s">
        <v>302</v>
      </c>
      <c r="D1114" s="2" t="s">
        <v>8902</v>
      </c>
      <c r="E1114" s="2" t="s">
        <v>253</v>
      </c>
      <c r="F1114" s="6"/>
    </row>
    <row r="1115">
      <c r="A1115" s="2" t="s">
        <v>8907</v>
      </c>
      <c r="B1115" s="2" t="s">
        <v>7</v>
      </c>
      <c r="C1115" s="5" t="s">
        <v>309</v>
      </c>
      <c r="D1115" s="2" t="s">
        <v>8909</v>
      </c>
      <c r="E1115" s="2" t="s">
        <v>78</v>
      </c>
      <c r="F1115" s="6"/>
    </row>
    <row r="1116">
      <c r="A1116" s="2" t="s">
        <v>8913</v>
      </c>
      <c r="B1116" s="2" t="s">
        <v>7</v>
      </c>
      <c r="C1116" s="5" t="s">
        <v>315</v>
      </c>
      <c r="D1116" s="2" t="s">
        <v>8916</v>
      </c>
      <c r="E1116" s="2" t="s">
        <v>253</v>
      </c>
      <c r="F1116" s="6"/>
    </row>
    <row r="1117">
      <c r="A1117" s="6" t="s">
        <v>8921</v>
      </c>
      <c r="B1117" s="6" t="s">
        <v>7</v>
      </c>
      <c r="C1117" s="7" t="s">
        <v>8924</v>
      </c>
      <c r="D1117" s="6" t="s">
        <v>8925</v>
      </c>
      <c r="E1117" s="8" t="s">
        <v>741</v>
      </c>
      <c r="F1117" s="6"/>
    </row>
    <row r="1118">
      <c r="A1118" s="6" t="s">
        <v>8930</v>
      </c>
      <c r="B1118" s="6" t="s">
        <v>7</v>
      </c>
      <c r="C1118" s="7" t="s">
        <v>8933</v>
      </c>
      <c r="D1118" s="6" t="s">
        <v>8934</v>
      </c>
      <c r="E1118" s="8" t="s">
        <v>8937</v>
      </c>
      <c r="F1118" s="6"/>
    </row>
    <row r="1119">
      <c r="A1119" s="6" t="s">
        <v>8940</v>
      </c>
      <c r="B1119" s="6" t="s">
        <v>7</v>
      </c>
      <c r="C1119" s="7" t="s">
        <v>8942</v>
      </c>
      <c r="D1119" s="6" t="s">
        <v>8944</v>
      </c>
      <c r="E1119" s="8" t="s">
        <v>8937</v>
      </c>
      <c r="F1119" s="6"/>
    </row>
    <row r="1120">
      <c r="A1120" s="6" t="s">
        <v>8945</v>
      </c>
      <c r="B1120" s="6" t="s">
        <v>7</v>
      </c>
      <c r="C1120" s="7" t="s">
        <v>8947</v>
      </c>
      <c r="D1120" s="6" t="s">
        <v>8948</v>
      </c>
      <c r="E1120" s="8" t="s">
        <v>8937</v>
      </c>
      <c r="F1120" s="6"/>
    </row>
    <row r="1121">
      <c r="A1121" s="6" t="s">
        <v>8951</v>
      </c>
      <c r="B1121" s="6" t="s">
        <v>7</v>
      </c>
      <c r="C1121" s="7" t="s">
        <v>8954</v>
      </c>
      <c r="D1121" s="6" t="s">
        <v>8955</v>
      </c>
      <c r="E1121" s="8" t="s">
        <v>8937</v>
      </c>
      <c r="F1121" s="6"/>
    </row>
    <row r="1122">
      <c r="A1122" s="6" t="s">
        <v>8960</v>
      </c>
      <c r="B1122" s="6" t="s">
        <v>7</v>
      </c>
      <c r="C1122" s="7" t="s">
        <v>8961</v>
      </c>
      <c r="D1122" s="6" t="s">
        <v>8963</v>
      </c>
      <c r="E1122" s="8" t="s">
        <v>8937</v>
      </c>
      <c r="F1122" s="6"/>
    </row>
    <row r="1123">
      <c r="A1123" s="6" t="s">
        <v>8967</v>
      </c>
      <c r="B1123" s="6" t="s">
        <v>7</v>
      </c>
      <c r="C1123" s="7" t="s">
        <v>8970</v>
      </c>
      <c r="D1123" s="6" t="s">
        <v>8971</v>
      </c>
      <c r="E1123" s="8" t="s">
        <v>8937</v>
      </c>
      <c r="F1123" s="6"/>
    </row>
    <row r="1124">
      <c r="A1124" s="6" t="s">
        <v>8975</v>
      </c>
      <c r="B1124" s="6" t="s">
        <v>7</v>
      </c>
      <c r="C1124" s="7" t="s">
        <v>8977</v>
      </c>
      <c r="D1124" s="6" t="s">
        <v>8978</v>
      </c>
      <c r="E1124" s="8" t="s">
        <v>8937</v>
      </c>
      <c r="F1124" s="6"/>
    </row>
    <row r="1125">
      <c r="A1125" s="6" t="s">
        <v>8982</v>
      </c>
      <c r="B1125" s="6" t="s">
        <v>7</v>
      </c>
      <c r="C1125" s="7" t="s">
        <v>8984</v>
      </c>
      <c r="D1125" s="6" t="s">
        <v>8986</v>
      </c>
      <c r="E1125" s="8" t="s">
        <v>8937</v>
      </c>
      <c r="F1125" s="6"/>
    </row>
    <row r="1126">
      <c r="A1126" s="6" t="s">
        <v>8987</v>
      </c>
      <c r="B1126" s="6" t="s">
        <v>7</v>
      </c>
      <c r="C1126" s="7" t="s">
        <v>131</v>
      </c>
      <c r="D1126" s="6" t="s">
        <v>8989</v>
      </c>
      <c r="E1126" s="8" t="s">
        <v>2986</v>
      </c>
      <c r="F1126" s="2" t="s">
        <v>71</v>
      </c>
    </row>
    <row r="1127">
      <c r="A1127" s="6" t="s">
        <v>8994</v>
      </c>
      <c r="B1127" s="6" t="s">
        <v>7</v>
      </c>
      <c r="C1127" s="7" t="s">
        <v>8996</v>
      </c>
      <c r="D1127" s="6" t="s">
        <v>8997</v>
      </c>
      <c r="E1127" s="8" t="s">
        <v>9000</v>
      </c>
      <c r="F1127" s="6"/>
    </row>
    <row r="1128">
      <c r="A1128" s="6" t="s">
        <v>9003</v>
      </c>
      <c r="B1128" s="6" t="s">
        <v>7</v>
      </c>
      <c r="C1128" s="7" t="s">
        <v>9004</v>
      </c>
      <c r="D1128" s="6" t="s">
        <v>9006</v>
      </c>
      <c r="E1128" s="8" t="s">
        <v>9000</v>
      </c>
      <c r="F1128" s="6"/>
    </row>
    <row r="1129">
      <c r="A1129" s="6" t="s">
        <v>9009</v>
      </c>
      <c r="B1129" s="6" t="s">
        <v>7</v>
      </c>
      <c r="C1129" s="7" t="s">
        <v>9011</v>
      </c>
      <c r="D1129" s="6" t="s">
        <v>9013</v>
      </c>
      <c r="E1129" s="8" t="s">
        <v>9000</v>
      </c>
      <c r="F1129" s="6"/>
    </row>
    <row r="1130">
      <c r="A1130" s="6" t="s">
        <v>9015</v>
      </c>
      <c r="B1130" s="6" t="s">
        <v>7</v>
      </c>
      <c r="C1130" s="7" t="s">
        <v>9016</v>
      </c>
      <c r="D1130" s="6" t="s">
        <v>9017</v>
      </c>
      <c r="E1130" s="8" t="s">
        <v>9000</v>
      </c>
      <c r="F1130" s="6"/>
    </row>
    <row r="1131">
      <c r="A1131" s="6" t="s">
        <v>9019</v>
      </c>
      <c r="B1131" s="6" t="s">
        <v>7</v>
      </c>
      <c r="C1131" s="7" t="s">
        <v>9021</v>
      </c>
      <c r="D1131" s="6" t="s">
        <v>9022</v>
      </c>
      <c r="E1131" s="8" t="s">
        <v>9000</v>
      </c>
      <c r="F1131" s="6"/>
    </row>
    <row r="1132">
      <c r="A1132" s="6" t="s">
        <v>9025</v>
      </c>
      <c r="B1132" s="6" t="s">
        <v>7</v>
      </c>
      <c r="C1132" s="7" t="s">
        <v>9026</v>
      </c>
      <c r="D1132" s="6" t="s">
        <v>9027</v>
      </c>
      <c r="E1132" s="8" t="s">
        <v>9000</v>
      </c>
      <c r="F1132" s="6"/>
    </row>
    <row r="1133">
      <c r="A1133" s="6" t="s">
        <v>9030</v>
      </c>
      <c r="B1133" s="6" t="s">
        <v>7</v>
      </c>
      <c r="C1133" s="7" t="s">
        <v>9032</v>
      </c>
      <c r="D1133" s="6" t="s">
        <v>9033</v>
      </c>
      <c r="E1133" s="8" t="s">
        <v>9000</v>
      </c>
      <c r="F1133" s="6"/>
    </row>
    <row r="1134">
      <c r="A1134" s="6" t="s">
        <v>9037</v>
      </c>
      <c r="B1134" s="6" t="s">
        <v>7</v>
      </c>
      <c r="C1134" s="7" t="s">
        <v>9040</v>
      </c>
      <c r="D1134" s="6" t="s">
        <v>9041</v>
      </c>
      <c r="E1134" s="8" t="s">
        <v>9000</v>
      </c>
      <c r="F1134" s="6"/>
    </row>
    <row r="1135">
      <c r="A1135" s="6" t="s">
        <v>9045</v>
      </c>
      <c r="B1135" s="6" t="s">
        <v>7</v>
      </c>
      <c r="C1135" s="7" t="s">
        <v>9047</v>
      </c>
      <c r="D1135" s="6" t="s">
        <v>9049</v>
      </c>
      <c r="E1135" s="8" t="s">
        <v>9000</v>
      </c>
      <c r="F1135" s="6"/>
    </row>
    <row r="1136">
      <c r="A1136" s="6" t="s">
        <v>9053</v>
      </c>
      <c r="B1136" s="6" t="s">
        <v>7</v>
      </c>
      <c r="C1136" s="7" t="s">
        <v>101</v>
      </c>
      <c r="D1136" s="6" t="s">
        <v>9055</v>
      </c>
      <c r="E1136" s="8" t="s">
        <v>3118</v>
      </c>
      <c r="F1136" s="2" t="s">
        <v>71</v>
      </c>
    </row>
    <row r="1137">
      <c r="A1137" s="6" t="s">
        <v>9057</v>
      </c>
      <c r="B1137" s="6" t="s">
        <v>7</v>
      </c>
      <c r="C1137" s="7" t="s">
        <v>121</v>
      </c>
      <c r="D1137" s="6" t="s">
        <v>9059</v>
      </c>
      <c r="E1137" s="8" t="s">
        <v>7456</v>
      </c>
      <c r="F1137" s="2" t="s">
        <v>71</v>
      </c>
    </row>
    <row r="1138">
      <c r="A1138" s="6" t="s">
        <v>9062</v>
      </c>
      <c r="B1138" s="6" t="s">
        <v>7</v>
      </c>
      <c r="C1138" s="7" t="s">
        <v>9065</v>
      </c>
      <c r="D1138" s="6" t="s">
        <v>9066</v>
      </c>
      <c r="E1138" s="8" t="s">
        <v>20</v>
      </c>
      <c r="F1138" s="6"/>
    </row>
    <row r="1139">
      <c r="A1139" s="6" t="s">
        <v>9069</v>
      </c>
      <c r="B1139" s="6" t="s">
        <v>7</v>
      </c>
      <c r="C1139" s="7" t="s">
        <v>125</v>
      </c>
      <c r="D1139" s="6" t="s">
        <v>9071</v>
      </c>
      <c r="E1139" s="8" t="s">
        <v>2350</v>
      </c>
      <c r="F1139" s="2" t="s">
        <v>71</v>
      </c>
    </row>
    <row r="1140">
      <c r="A1140" s="6" t="s">
        <v>9073</v>
      </c>
      <c r="B1140" s="6" t="s">
        <v>7</v>
      </c>
      <c r="C1140" s="7" t="s">
        <v>9075</v>
      </c>
      <c r="D1140" s="6" t="s">
        <v>9076</v>
      </c>
      <c r="E1140" s="8" t="s">
        <v>5499</v>
      </c>
      <c r="F1140" s="6"/>
    </row>
    <row r="1141">
      <c r="A1141" s="6" t="s">
        <v>9079</v>
      </c>
      <c r="B1141" s="6" t="s">
        <v>7</v>
      </c>
      <c r="C1141" s="7" t="s">
        <v>9085</v>
      </c>
      <c r="D1141" s="6" t="s">
        <v>9086</v>
      </c>
      <c r="E1141" s="8" t="s">
        <v>24</v>
      </c>
      <c r="F1141" s="6"/>
    </row>
    <row r="1142">
      <c r="A1142" s="6" t="s">
        <v>9088</v>
      </c>
      <c r="B1142" s="6" t="s">
        <v>7</v>
      </c>
      <c r="C1142" s="7" t="s">
        <v>9090</v>
      </c>
      <c r="D1142" s="6" t="s">
        <v>9091</v>
      </c>
      <c r="E1142" s="8" t="s">
        <v>9093</v>
      </c>
      <c r="F1142" s="6"/>
    </row>
    <row r="1143">
      <c r="A1143" s="6" t="s">
        <v>9096</v>
      </c>
      <c r="B1143" s="6" t="s">
        <v>7</v>
      </c>
      <c r="C1143" s="7" t="s">
        <v>9098</v>
      </c>
      <c r="D1143" s="6" t="s">
        <v>9100</v>
      </c>
      <c r="E1143" s="8" t="s">
        <v>763</v>
      </c>
      <c r="F1143" s="6"/>
    </row>
    <row r="1144">
      <c r="A1144" s="6" t="s">
        <v>9104</v>
      </c>
      <c r="B1144" s="6" t="s">
        <v>7</v>
      </c>
      <c r="C1144" s="7" t="s">
        <v>9106</v>
      </c>
      <c r="D1144" s="6" t="s">
        <v>9108</v>
      </c>
      <c r="E1144" s="8" t="s">
        <v>2392</v>
      </c>
      <c r="F1144" s="6"/>
    </row>
    <row r="1145">
      <c r="A1145" s="6" t="s">
        <v>9113</v>
      </c>
      <c r="B1145" s="6" t="s">
        <v>7</v>
      </c>
      <c r="C1145" s="7" t="s">
        <v>9114</v>
      </c>
      <c r="D1145" s="6" t="s">
        <v>9116</v>
      </c>
      <c r="E1145" s="8" t="s">
        <v>2392</v>
      </c>
      <c r="F1145" s="6"/>
    </row>
    <row r="1146">
      <c r="A1146" s="6" t="s">
        <v>9120</v>
      </c>
      <c r="B1146" s="6" t="s">
        <v>7</v>
      </c>
      <c r="C1146" s="7" t="s">
        <v>9123</v>
      </c>
      <c r="D1146" s="6" t="s">
        <v>9124</v>
      </c>
      <c r="E1146" s="8" t="s">
        <v>2392</v>
      </c>
      <c r="F1146" s="6"/>
    </row>
    <row r="1147">
      <c r="A1147" s="6" t="s">
        <v>9145</v>
      </c>
      <c r="B1147" s="6" t="s">
        <v>7</v>
      </c>
      <c r="C1147" s="7" t="s">
        <v>9148</v>
      </c>
      <c r="D1147" s="6" t="s">
        <v>9149</v>
      </c>
      <c r="E1147" s="8" t="s">
        <v>2392</v>
      </c>
      <c r="F1147" s="6"/>
    </row>
    <row r="1148">
      <c r="A1148" s="6" t="s">
        <v>9156</v>
      </c>
      <c r="B1148" s="6" t="s">
        <v>7</v>
      </c>
      <c r="C1148" s="7" t="s">
        <v>9158</v>
      </c>
      <c r="D1148" s="6" t="s">
        <v>9160</v>
      </c>
      <c r="E1148" s="8" t="s">
        <v>2392</v>
      </c>
      <c r="F1148" s="6"/>
    </row>
    <row r="1149">
      <c r="A1149" s="6" t="s">
        <v>9164</v>
      </c>
      <c r="B1149" s="6" t="s">
        <v>7</v>
      </c>
      <c r="C1149" s="7" t="s">
        <v>9166</v>
      </c>
      <c r="D1149" s="6" t="s">
        <v>9168</v>
      </c>
      <c r="E1149" s="8" t="s">
        <v>2392</v>
      </c>
      <c r="F1149" s="6"/>
    </row>
    <row r="1150">
      <c r="A1150" s="6" t="s">
        <v>9172</v>
      </c>
      <c r="B1150" s="6" t="s">
        <v>7</v>
      </c>
      <c r="C1150" s="7" t="s">
        <v>9175</v>
      </c>
      <c r="D1150" s="6" t="s">
        <v>9176</v>
      </c>
      <c r="E1150" s="8" t="s">
        <v>2392</v>
      </c>
      <c r="F1150" s="6"/>
    </row>
    <row r="1151">
      <c r="A1151" s="6" t="s">
        <v>9179</v>
      </c>
      <c r="B1151" s="6" t="s">
        <v>7</v>
      </c>
      <c r="C1151" s="7" t="s">
        <v>9180</v>
      </c>
      <c r="D1151" s="6" t="s">
        <v>9182</v>
      </c>
      <c r="E1151" s="8" t="s">
        <v>2392</v>
      </c>
      <c r="F1151" s="6"/>
    </row>
    <row r="1152">
      <c r="A1152" s="6" t="s">
        <v>9188</v>
      </c>
      <c r="B1152" s="6" t="s">
        <v>7</v>
      </c>
      <c r="C1152" s="7" t="s">
        <v>9190</v>
      </c>
      <c r="D1152" s="6" t="s">
        <v>9195</v>
      </c>
      <c r="E1152" s="8" t="s">
        <v>2392</v>
      </c>
      <c r="F1152" s="6"/>
    </row>
    <row r="1153">
      <c r="A1153" s="6" t="s">
        <v>9199</v>
      </c>
      <c r="B1153" s="6" t="s">
        <v>7</v>
      </c>
      <c r="C1153" s="7" t="s">
        <v>9202</v>
      </c>
      <c r="D1153" s="6" t="s">
        <v>9203</v>
      </c>
      <c r="E1153" s="8" t="s">
        <v>2350</v>
      </c>
      <c r="F1153" s="6"/>
    </row>
    <row r="1154">
      <c r="A1154" s="6" t="s">
        <v>9208</v>
      </c>
      <c r="B1154" s="6" t="s">
        <v>7</v>
      </c>
      <c r="C1154" s="7" t="s">
        <v>9210</v>
      </c>
      <c r="D1154" s="6" t="s">
        <v>9212</v>
      </c>
      <c r="E1154" s="8" t="s">
        <v>9215</v>
      </c>
      <c r="F1154" s="6"/>
    </row>
    <row r="1155">
      <c r="A1155" s="6" t="s">
        <v>9218</v>
      </c>
      <c r="B1155" s="6" t="s">
        <v>7</v>
      </c>
      <c r="C1155" s="7" t="s">
        <v>9220</v>
      </c>
      <c r="D1155" s="6" t="s">
        <v>9222</v>
      </c>
      <c r="E1155" s="8" t="s">
        <v>9215</v>
      </c>
      <c r="F1155" s="6"/>
    </row>
    <row r="1156">
      <c r="A1156" s="6" t="s">
        <v>9226</v>
      </c>
      <c r="B1156" s="6" t="s">
        <v>7</v>
      </c>
      <c r="C1156" s="7" t="s">
        <v>9228</v>
      </c>
      <c r="D1156" s="6" t="s">
        <v>9230</v>
      </c>
      <c r="E1156" s="8" t="s">
        <v>9215</v>
      </c>
      <c r="F1156" s="6"/>
    </row>
    <row r="1157">
      <c r="A1157" s="6" t="s">
        <v>9235</v>
      </c>
      <c r="B1157" s="6" t="s">
        <v>7</v>
      </c>
      <c r="C1157" s="7" t="s">
        <v>9237</v>
      </c>
      <c r="D1157" s="6" t="s">
        <v>9238</v>
      </c>
      <c r="E1157" s="8" t="s">
        <v>9215</v>
      </c>
      <c r="F1157" s="6"/>
    </row>
    <row r="1158">
      <c r="A1158" s="6" t="s">
        <v>9247</v>
      </c>
      <c r="B1158" s="6" t="s">
        <v>7</v>
      </c>
      <c r="C1158" s="7" t="s">
        <v>9249</v>
      </c>
      <c r="D1158" s="6" t="s">
        <v>9251</v>
      </c>
      <c r="E1158" s="8" t="s">
        <v>9215</v>
      </c>
      <c r="F1158" s="6"/>
    </row>
    <row r="1159">
      <c r="A1159" s="6" t="s">
        <v>9256</v>
      </c>
      <c r="B1159" s="6" t="s">
        <v>7</v>
      </c>
      <c r="C1159" s="7" t="s">
        <v>9258</v>
      </c>
      <c r="D1159" s="6" t="s">
        <v>9260</v>
      </c>
      <c r="E1159" s="8" t="s">
        <v>9215</v>
      </c>
      <c r="F1159" s="6"/>
    </row>
    <row r="1160">
      <c r="A1160" s="6" t="s">
        <v>9265</v>
      </c>
      <c r="B1160" s="6" t="s">
        <v>7</v>
      </c>
      <c r="C1160" s="7" t="s">
        <v>9267</v>
      </c>
      <c r="D1160" s="6" t="s">
        <v>9269</v>
      </c>
      <c r="E1160" s="8" t="s">
        <v>9215</v>
      </c>
      <c r="F1160" s="6"/>
    </row>
    <row r="1161">
      <c r="A1161" s="6" t="s">
        <v>9272</v>
      </c>
      <c r="B1161" s="6" t="s">
        <v>7</v>
      </c>
      <c r="C1161" s="7" t="s">
        <v>9274</v>
      </c>
      <c r="D1161" s="6" t="s">
        <v>9276</v>
      </c>
      <c r="E1161" s="8" t="s">
        <v>9215</v>
      </c>
      <c r="F1161" s="6"/>
    </row>
    <row r="1162">
      <c r="A1162" s="6" t="s">
        <v>9279</v>
      </c>
      <c r="B1162" s="6" t="s">
        <v>7</v>
      </c>
      <c r="C1162" s="7" t="s">
        <v>9281</v>
      </c>
      <c r="D1162" s="6" t="s">
        <v>9283</v>
      </c>
      <c r="E1162" s="8" t="s">
        <v>9215</v>
      </c>
      <c r="F1162" s="6"/>
    </row>
    <row r="1163">
      <c r="A1163" s="6" t="s">
        <v>9286</v>
      </c>
      <c r="B1163" s="6" t="s">
        <v>7</v>
      </c>
      <c r="C1163" s="7" t="s">
        <v>9288</v>
      </c>
      <c r="D1163" s="6" t="s">
        <v>9290</v>
      </c>
      <c r="E1163" s="8" t="s">
        <v>1556</v>
      </c>
      <c r="F1163" s="6"/>
    </row>
    <row r="1164">
      <c r="A1164" s="6" t="s">
        <v>9293</v>
      </c>
      <c r="B1164" s="6" t="s">
        <v>7</v>
      </c>
      <c r="C1164" s="7" t="s">
        <v>9296</v>
      </c>
      <c r="D1164" s="6" t="s">
        <v>9297</v>
      </c>
      <c r="E1164" s="8" t="s">
        <v>9215</v>
      </c>
      <c r="F1164" s="6"/>
    </row>
    <row r="1165">
      <c r="A1165" s="6" t="s">
        <v>9302</v>
      </c>
      <c r="B1165" s="6" t="s">
        <v>7</v>
      </c>
      <c r="C1165" s="7" t="s">
        <v>9304</v>
      </c>
      <c r="D1165" s="6" t="s">
        <v>9306</v>
      </c>
      <c r="E1165" s="8" t="s">
        <v>9215</v>
      </c>
      <c r="F1165" s="6"/>
    </row>
    <row r="1166">
      <c r="A1166" s="6" t="s">
        <v>9309</v>
      </c>
      <c r="B1166" s="6" t="s">
        <v>7</v>
      </c>
      <c r="C1166" s="7" t="s">
        <v>9312</v>
      </c>
      <c r="D1166" s="6" t="s">
        <v>9313</v>
      </c>
      <c r="E1166" s="8" t="s">
        <v>9215</v>
      </c>
      <c r="F1166" s="6"/>
    </row>
    <row r="1167">
      <c r="A1167" s="6" t="s">
        <v>9318</v>
      </c>
      <c r="B1167" s="6" t="s">
        <v>7</v>
      </c>
      <c r="C1167" s="7" t="s">
        <v>9327</v>
      </c>
      <c r="D1167" s="6" t="s">
        <v>9328</v>
      </c>
      <c r="E1167" s="8" t="s">
        <v>9215</v>
      </c>
      <c r="F1167" s="6"/>
    </row>
    <row r="1168">
      <c r="A1168" s="6" t="s">
        <v>9333</v>
      </c>
      <c r="B1168" s="6" t="s">
        <v>7</v>
      </c>
      <c r="C1168" s="7" t="s">
        <v>9336</v>
      </c>
      <c r="D1168" s="6" t="s">
        <v>9337</v>
      </c>
      <c r="E1168" s="8" t="s">
        <v>9215</v>
      </c>
      <c r="F1168" s="6"/>
    </row>
    <row r="1169">
      <c r="A1169" s="6" t="s">
        <v>9342</v>
      </c>
      <c r="B1169" s="6" t="s">
        <v>7</v>
      </c>
      <c r="C1169" s="7" t="s">
        <v>9344</v>
      </c>
      <c r="D1169" s="6" t="s">
        <v>9346</v>
      </c>
      <c r="E1169" s="8" t="s">
        <v>9215</v>
      </c>
      <c r="F1169" s="6"/>
    </row>
    <row r="1170">
      <c r="A1170" s="6" t="s">
        <v>9350</v>
      </c>
      <c r="B1170" s="6" t="s">
        <v>7</v>
      </c>
      <c r="C1170" s="7" t="s">
        <v>9352</v>
      </c>
      <c r="D1170" s="6" t="s">
        <v>9354</v>
      </c>
      <c r="E1170" s="8" t="s">
        <v>9215</v>
      </c>
      <c r="F1170" s="6"/>
    </row>
    <row r="1171">
      <c r="A1171" s="6" t="s">
        <v>9358</v>
      </c>
      <c r="B1171" s="6" t="s">
        <v>7</v>
      </c>
      <c r="C1171" s="7" t="s">
        <v>9361</v>
      </c>
      <c r="D1171" s="6" t="s">
        <v>9362</v>
      </c>
      <c r="E1171" s="8" t="s">
        <v>9215</v>
      </c>
      <c r="F1171" s="6"/>
    </row>
    <row r="1172">
      <c r="A1172" s="6" t="s">
        <v>9367</v>
      </c>
      <c r="B1172" s="6" t="s">
        <v>7</v>
      </c>
      <c r="C1172" s="7" t="s">
        <v>9370</v>
      </c>
      <c r="D1172" s="6" t="s">
        <v>9371</v>
      </c>
      <c r="E1172" s="8" t="s">
        <v>9215</v>
      </c>
      <c r="F1172" s="6"/>
    </row>
    <row r="1173">
      <c r="A1173" s="6" t="s">
        <v>9376</v>
      </c>
      <c r="B1173" s="6" t="s">
        <v>7</v>
      </c>
      <c r="C1173" s="7" t="s">
        <v>9379</v>
      </c>
      <c r="D1173" s="6" t="s">
        <v>9380</v>
      </c>
      <c r="E1173" s="8" t="s">
        <v>1556</v>
      </c>
      <c r="F1173" s="6"/>
    </row>
    <row r="1174">
      <c r="A1174" s="6" t="s">
        <v>9384</v>
      </c>
      <c r="B1174" s="6" t="s">
        <v>7</v>
      </c>
      <c r="C1174" s="7" t="s">
        <v>9386</v>
      </c>
      <c r="D1174" s="6" t="s">
        <v>9387</v>
      </c>
      <c r="E1174" s="8" t="s">
        <v>1556</v>
      </c>
      <c r="F1174" s="6"/>
    </row>
    <row r="1175">
      <c r="A1175" s="6" t="s">
        <v>9391</v>
      </c>
      <c r="B1175" s="6" t="s">
        <v>7</v>
      </c>
      <c r="C1175" s="7" t="s">
        <v>9393</v>
      </c>
      <c r="D1175" s="6" t="s">
        <v>9394</v>
      </c>
      <c r="E1175" s="8" t="s">
        <v>1556</v>
      </c>
      <c r="F1175" s="6"/>
    </row>
    <row r="1176">
      <c r="A1176" s="6" t="s">
        <v>9399</v>
      </c>
      <c r="B1176" s="6" t="s">
        <v>7</v>
      </c>
      <c r="C1176" s="7" t="s">
        <v>161</v>
      </c>
      <c r="D1176" s="6" t="s">
        <v>9402</v>
      </c>
      <c r="E1176" s="8" t="s">
        <v>24</v>
      </c>
      <c r="F1176" s="2" t="s">
        <v>71</v>
      </c>
    </row>
    <row r="1177">
      <c r="A1177" s="6" t="s">
        <v>9408</v>
      </c>
      <c r="B1177" s="6" t="s">
        <v>7</v>
      </c>
      <c r="C1177" s="7" t="s">
        <v>9410</v>
      </c>
      <c r="D1177" s="6" t="s">
        <v>9412</v>
      </c>
      <c r="E1177" s="8" t="s">
        <v>6640</v>
      </c>
      <c r="F1177" s="6"/>
    </row>
    <row r="1178">
      <c r="A1178" s="6" t="s">
        <v>9418</v>
      </c>
      <c r="B1178" s="6" t="s">
        <v>7</v>
      </c>
      <c r="C1178" s="7" t="s">
        <v>9419</v>
      </c>
      <c r="D1178" s="6" t="s">
        <v>9420</v>
      </c>
      <c r="E1178" s="8" t="s">
        <v>1530</v>
      </c>
      <c r="F1178" s="6"/>
    </row>
    <row r="1179">
      <c r="A1179" s="6" t="s">
        <v>9423</v>
      </c>
      <c r="B1179" s="6" t="s">
        <v>7</v>
      </c>
      <c r="C1179" s="7" t="s">
        <v>9425</v>
      </c>
      <c r="D1179" s="6" t="s">
        <v>9426</v>
      </c>
      <c r="E1179" s="8" t="s">
        <v>9428</v>
      </c>
      <c r="F1179" s="6"/>
    </row>
    <row r="1180">
      <c r="A1180" s="6" t="s">
        <v>9430</v>
      </c>
      <c r="B1180" s="6" t="s">
        <v>7</v>
      </c>
      <c r="C1180" s="7" t="s">
        <v>9432</v>
      </c>
      <c r="D1180" s="6" t="s">
        <v>9433</v>
      </c>
      <c r="E1180" s="8" t="s">
        <v>9428</v>
      </c>
      <c r="F1180" s="6"/>
    </row>
    <row r="1181">
      <c r="A1181" s="6" t="s">
        <v>9436</v>
      </c>
      <c r="B1181" s="6" t="s">
        <v>7</v>
      </c>
      <c r="C1181" s="7" t="s">
        <v>9438</v>
      </c>
      <c r="D1181" s="6" t="s">
        <v>9440</v>
      </c>
      <c r="E1181" s="8" t="s">
        <v>9428</v>
      </c>
      <c r="F1181" s="6"/>
    </row>
    <row r="1182">
      <c r="A1182" s="6" t="s">
        <v>9441</v>
      </c>
      <c r="B1182" s="6" t="s">
        <v>7</v>
      </c>
      <c r="C1182" s="7" t="s">
        <v>9443</v>
      </c>
      <c r="D1182" s="6" t="s">
        <v>9444</v>
      </c>
      <c r="E1182" s="8" t="s">
        <v>9428</v>
      </c>
      <c r="F1182" s="6"/>
    </row>
    <row r="1183">
      <c r="A1183" s="6" t="s">
        <v>9445</v>
      </c>
      <c r="B1183" s="6" t="s">
        <v>7</v>
      </c>
      <c r="C1183" s="7" t="s">
        <v>9446</v>
      </c>
      <c r="D1183" s="6" t="s">
        <v>9447</v>
      </c>
      <c r="E1183" s="8" t="s">
        <v>9428</v>
      </c>
      <c r="F1183" s="6"/>
    </row>
    <row r="1184">
      <c r="A1184" s="6" t="s">
        <v>9449</v>
      </c>
      <c r="B1184" s="6" t="s">
        <v>7</v>
      </c>
      <c r="C1184" s="7" t="s">
        <v>9451</v>
      </c>
      <c r="D1184" s="6" t="s">
        <v>9452</v>
      </c>
      <c r="E1184" s="8" t="s">
        <v>9428</v>
      </c>
      <c r="F1184" s="6"/>
    </row>
    <row r="1185">
      <c r="A1185" s="6" t="s">
        <v>9454</v>
      </c>
      <c r="B1185" s="6" t="s">
        <v>7</v>
      </c>
      <c r="C1185" s="7" t="s">
        <v>9456</v>
      </c>
      <c r="D1185" s="6" t="s">
        <v>9457</v>
      </c>
      <c r="E1185" s="8" t="s">
        <v>9428</v>
      </c>
      <c r="F1185" s="6"/>
    </row>
    <row r="1186">
      <c r="A1186" s="6" t="s">
        <v>9459</v>
      </c>
      <c r="B1186" s="6" t="s">
        <v>7</v>
      </c>
      <c r="C1186" s="7" t="s">
        <v>9461</v>
      </c>
      <c r="D1186" s="6" t="s">
        <v>9462</v>
      </c>
      <c r="E1186" s="8" t="s">
        <v>9428</v>
      </c>
      <c r="F1186" s="6"/>
    </row>
    <row r="1187">
      <c r="A1187" s="6" t="s">
        <v>9465</v>
      </c>
      <c r="B1187" s="6" t="s">
        <v>7</v>
      </c>
      <c r="C1187" s="7" t="s">
        <v>9466</v>
      </c>
      <c r="D1187" s="6" t="s">
        <v>9467</v>
      </c>
      <c r="E1187" s="8" t="s">
        <v>9428</v>
      </c>
      <c r="F1187" s="6"/>
    </row>
    <row r="1188">
      <c r="A1188" s="6" t="s">
        <v>9470</v>
      </c>
      <c r="B1188" s="6" t="s">
        <v>7</v>
      </c>
      <c r="C1188" s="7" t="s">
        <v>9471</v>
      </c>
      <c r="D1188" s="6" t="s">
        <v>9472</v>
      </c>
      <c r="E1188" s="8" t="s">
        <v>7677</v>
      </c>
      <c r="F1188" s="6"/>
    </row>
    <row r="1189">
      <c r="A1189" s="6" t="s">
        <v>9475</v>
      </c>
      <c r="B1189" s="6" t="s">
        <v>7</v>
      </c>
      <c r="C1189" s="7" t="s">
        <v>9476</v>
      </c>
      <c r="D1189" s="6" t="s">
        <v>9478</v>
      </c>
      <c r="E1189" s="8" t="s">
        <v>7677</v>
      </c>
      <c r="F1189" s="6"/>
    </row>
    <row r="1190">
      <c r="A1190" s="6" t="s">
        <v>9480</v>
      </c>
      <c r="B1190" s="6" t="s">
        <v>7</v>
      </c>
      <c r="C1190" s="7" t="s">
        <v>124</v>
      </c>
      <c r="D1190" s="6" t="s">
        <v>9482</v>
      </c>
      <c r="E1190" s="8" t="s">
        <v>7677</v>
      </c>
      <c r="F1190" s="2" t="s">
        <v>71</v>
      </c>
    </row>
    <row r="1191">
      <c r="A1191" s="6" t="s">
        <v>9484</v>
      </c>
      <c r="B1191" s="6" t="s">
        <v>7</v>
      </c>
      <c r="C1191" s="7" t="s">
        <v>9486</v>
      </c>
      <c r="D1191" s="6" t="s">
        <v>9487</v>
      </c>
      <c r="E1191" s="8" t="s">
        <v>7677</v>
      </c>
      <c r="F1191" s="6"/>
    </row>
    <row r="1192">
      <c r="A1192" s="6" t="s">
        <v>9489</v>
      </c>
      <c r="B1192" s="6" t="s">
        <v>7</v>
      </c>
      <c r="C1192" s="7" t="s">
        <v>106</v>
      </c>
      <c r="D1192" s="6" t="s">
        <v>9491</v>
      </c>
      <c r="E1192" s="8" t="s">
        <v>7704</v>
      </c>
      <c r="F1192" s="2" t="s">
        <v>71</v>
      </c>
    </row>
    <row r="1193">
      <c r="A1193" s="6" t="s">
        <v>9493</v>
      </c>
      <c r="B1193" s="6" t="s">
        <v>7</v>
      </c>
      <c r="C1193" s="7" t="s">
        <v>9496</v>
      </c>
      <c r="D1193" s="6" t="s">
        <v>9497</v>
      </c>
      <c r="E1193" s="8" t="s">
        <v>7677</v>
      </c>
      <c r="F1193" s="6"/>
    </row>
    <row r="1194">
      <c r="A1194" s="6" t="s">
        <v>9501</v>
      </c>
      <c r="B1194" s="6" t="s">
        <v>7</v>
      </c>
      <c r="C1194" s="7" t="s">
        <v>9503</v>
      </c>
      <c r="D1194" s="6" t="s">
        <v>9504</v>
      </c>
      <c r="E1194" s="8" t="s">
        <v>7722</v>
      </c>
      <c r="F1194" s="6"/>
    </row>
    <row r="1195">
      <c r="A1195" s="6" t="s">
        <v>9508</v>
      </c>
      <c r="B1195" s="6" t="s">
        <v>7</v>
      </c>
      <c r="C1195" s="7" t="s">
        <v>9510</v>
      </c>
      <c r="D1195" s="6" t="s">
        <v>9511</v>
      </c>
      <c r="E1195" s="8" t="s">
        <v>7685</v>
      </c>
      <c r="F1195" s="6"/>
    </row>
    <row r="1196">
      <c r="A1196" s="6" t="s">
        <v>9513</v>
      </c>
      <c r="B1196" s="6" t="s">
        <v>7</v>
      </c>
      <c r="C1196" s="7" t="s">
        <v>9515</v>
      </c>
      <c r="D1196" s="6" t="s">
        <v>9516</v>
      </c>
      <c r="E1196" s="8" t="s">
        <v>9518</v>
      </c>
      <c r="F1196" s="6"/>
    </row>
    <row r="1197">
      <c r="A1197" s="6" t="s">
        <v>9520</v>
      </c>
      <c r="B1197" s="6" t="s">
        <v>7</v>
      </c>
      <c r="C1197" s="7" t="s">
        <v>9522</v>
      </c>
      <c r="D1197" s="6" t="s">
        <v>9524</v>
      </c>
      <c r="E1197" s="8" t="s">
        <v>9525</v>
      </c>
      <c r="F1197" s="6"/>
    </row>
    <row r="1198">
      <c r="A1198" s="6" t="s">
        <v>9528</v>
      </c>
      <c r="B1198" s="6" t="s">
        <v>7</v>
      </c>
      <c r="C1198" s="7" t="s">
        <v>9530</v>
      </c>
      <c r="D1198" s="6" t="s">
        <v>9531</v>
      </c>
      <c r="E1198" s="8" t="s">
        <v>9533</v>
      </c>
      <c r="F1198" s="6"/>
    </row>
    <row r="1199">
      <c r="A1199" s="6" t="s">
        <v>9534</v>
      </c>
      <c r="B1199" s="6" t="s">
        <v>7</v>
      </c>
      <c r="C1199" s="7" t="s">
        <v>9535</v>
      </c>
      <c r="D1199" s="6" t="s">
        <v>9537</v>
      </c>
      <c r="E1199" s="8" t="s">
        <v>9539</v>
      </c>
      <c r="F1199" s="6"/>
    </row>
    <row r="1200">
      <c r="A1200" s="6" t="s">
        <v>9542</v>
      </c>
      <c r="B1200" s="6" t="s">
        <v>7</v>
      </c>
      <c r="C1200" s="7" t="s">
        <v>9544</v>
      </c>
      <c r="D1200" s="6" t="s">
        <v>9546</v>
      </c>
      <c r="E1200" s="8" t="s">
        <v>9428</v>
      </c>
      <c r="F1200" s="6"/>
    </row>
  </sheetData>
  <autoFilter ref="$F$1:$F$1200"/>
  <dataValidations>
    <dataValidation type="list" allowBlank="1" showErrorMessage="1" sqref="E2:E1200">
      <formula1>"education,housing,economy,income,health,environment,justice,race,language,demographic,human services,tech,immigration,meta"</formula1>
    </dataValidation>
    <dataValidation type="list" allowBlank="1" showErrorMessage="1" sqref="F2:F1200">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75"/>
    <col customWidth="1" min="3" max="3" width="28.0"/>
    <col customWidth="1" min="4" max="4" width="71.25"/>
    <col customWidth="1" min="5" max="5" width="55.63"/>
    <col customWidth="1" min="6" max="6" width="22.88"/>
    <col customWidth="1" min="7" max="7" width="103.5"/>
    <col customWidth="1" min="8" max="8" width="37.13"/>
    <col customWidth="1" min="9" max="9" width="48.38"/>
    <col customWidth="1" min="10" max="10" width="38.38"/>
    <col customWidth="1" min="11" max="11" width="31.75"/>
  </cols>
  <sheetData>
    <row r="1">
      <c r="A1" s="2" t="s">
        <v>1</v>
      </c>
      <c r="B1" s="3" t="s">
        <v>3</v>
      </c>
      <c r="C1" s="2" t="s">
        <v>12</v>
      </c>
      <c r="D1" s="2" t="s">
        <v>14</v>
      </c>
      <c r="E1" s="2" t="s">
        <v>16</v>
      </c>
      <c r="F1" s="2" t="s">
        <v>18</v>
      </c>
      <c r="G1" s="2" t="s">
        <v>19</v>
      </c>
      <c r="H1" s="2" t="s">
        <v>21</v>
      </c>
      <c r="I1" s="2" t="s">
        <v>23</v>
      </c>
      <c r="J1" s="2" t="s">
        <v>26</v>
      </c>
      <c r="K1" s="2" t="s">
        <v>28</v>
      </c>
    </row>
    <row r="2">
      <c r="A2" s="9" t="str">
        <f>IFERROR(__xludf.DUMMYFUNCTION("FILTER('Variable Coding'!C2:C1000, 'Variable Coding'!F2:F1000=""yes"")"),"Sex by Age")</f>
        <v>Sex by Age</v>
      </c>
      <c r="B2" s="10"/>
      <c r="C2" s="2" t="s">
        <v>48</v>
      </c>
      <c r="D2" s="6" t="s">
        <v>77</v>
      </c>
      <c r="E2" s="6" t="s">
        <v>79</v>
      </c>
      <c r="F2" s="2" t="s">
        <v>18</v>
      </c>
      <c r="G2" s="6" t="s">
        <v>80</v>
      </c>
      <c r="H2" s="6" t="s">
        <v>81</v>
      </c>
      <c r="I2" s="6" t="s">
        <v>82</v>
      </c>
      <c r="J2" s="6" t="s">
        <v>83</v>
      </c>
      <c r="K2" s="6" t="s">
        <v>85</v>
      </c>
    </row>
    <row r="3">
      <c r="A3" s="9" t="str">
        <f>IFERROR(__xludf.DUMMYFUNCTION("""COMPUTED_VALUE"""),"Sex by Age (Native Hawaiian and Other Pacific Islander Alone)")</f>
        <v>Sex by Age (Native Hawaiian and Other Pacific Islander Alone)</v>
      </c>
      <c r="B3" s="10"/>
      <c r="C3" s="6" t="s">
        <v>91</v>
      </c>
      <c r="D3" s="6" t="s">
        <v>94</v>
      </c>
      <c r="E3" s="6" t="s">
        <v>95</v>
      </c>
      <c r="F3" s="2" t="s">
        <v>96</v>
      </c>
      <c r="G3" s="6" t="s">
        <v>100</v>
      </c>
      <c r="H3" s="6" t="s">
        <v>101</v>
      </c>
      <c r="I3" s="6" t="s">
        <v>103</v>
      </c>
      <c r="J3" s="6" t="s">
        <v>106</v>
      </c>
      <c r="K3" s="7" t="s">
        <v>108</v>
      </c>
    </row>
    <row r="4">
      <c r="A4" s="6" t="str">
        <f>IFERROR(__xludf.DUMMYFUNCTION("""COMPUTED_VALUE"""),"Total Population")</f>
        <v>Total Population</v>
      </c>
      <c r="B4" s="10"/>
      <c r="D4" s="6" t="s">
        <v>111</v>
      </c>
      <c r="E4" s="6" t="s">
        <v>115</v>
      </c>
      <c r="F4" s="6" t="s">
        <v>116</v>
      </c>
      <c r="G4" s="6" t="s">
        <v>118</v>
      </c>
      <c r="H4" s="6" t="s">
        <v>121</v>
      </c>
      <c r="I4" s="6" t="s">
        <v>122</v>
      </c>
      <c r="J4" s="6" t="s">
        <v>124</v>
      </c>
      <c r="K4" s="6" t="s">
        <v>125</v>
      </c>
    </row>
    <row r="5">
      <c r="A5" s="6" t="str">
        <f>IFERROR(__xludf.DUMMYFUNCTION("""COMPUTED_VALUE"""),"Race")</f>
        <v>Race</v>
      </c>
      <c r="B5" s="10"/>
      <c r="D5" s="6" t="s">
        <v>129</v>
      </c>
      <c r="E5" s="6" t="s">
        <v>131</v>
      </c>
      <c r="G5" s="6" t="s">
        <v>133</v>
      </c>
      <c r="I5" s="7" t="s">
        <v>135</v>
      </c>
      <c r="K5" s="6" t="s">
        <v>138</v>
      </c>
    </row>
    <row r="6">
      <c r="A6" s="6" t="str">
        <f>IFERROR(__xludf.DUMMYFUNCTION("""COMPUTED_VALUE"""),"Hispanic or Latino Origin by Race")</f>
        <v>Hispanic or Latino Origin by Race</v>
      </c>
      <c r="B6" s="10"/>
      <c r="D6" s="6" t="s">
        <v>142</v>
      </c>
      <c r="G6" s="6" t="s">
        <v>143</v>
      </c>
      <c r="I6" s="6" t="s">
        <v>144</v>
      </c>
    </row>
    <row r="7">
      <c r="A7" s="6" t="str">
        <f>IFERROR(__xludf.DUMMYFUNCTION("""COMPUTED_VALUE"""),"Hispanic or Latino Origin")</f>
        <v>Hispanic or Latino Origin</v>
      </c>
      <c r="B7" s="10"/>
      <c r="D7" s="6" t="s">
        <v>148</v>
      </c>
      <c r="G7" s="6" t="s">
        <v>150</v>
      </c>
      <c r="I7" s="6" t="s">
        <v>151</v>
      </c>
    </row>
    <row r="8">
      <c r="A8" s="6" t="str">
        <f>IFERROR(__xludf.DUMMYFUNCTION("""COMPUTED_VALUE"""),"Nativity and Citizenship Status in the United States")</f>
        <v>Nativity and Citizenship Status in the United States</v>
      </c>
      <c r="B8" s="10"/>
      <c r="D8" s="6" t="s">
        <v>153</v>
      </c>
      <c r="I8" s="6" t="s">
        <v>155</v>
      </c>
    </row>
    <row r="9">
      <c r="A9" s="6" t="str">
        <f>IFERROR(__xludf.DUMMYFUNCTION("""COMPUTED_VALUE"""),"Place of Birth by Nativity and Citizenship Status")</f>
        <v>Place of Birth by Nativity and Citizenship Status</v>
      </c>
      <c r="B9" s="10"/>
      <c r="D9" s="6" t="s">
        <v>160</v>
      </c>
      <c r="I9" s="6" t="s">
        <v>161</v>
      </c>
    </row>
    <row r="10">
      <c r="A10" s="6" t="str">
        <f>IFERROR(__xludf.DUMMYFUNCTION("""COMPUTED_VALUE"""),"Sex by Age by Nativity and Citizenship Status")</f>
        <v>Sex by Age by Nativity and Citizenship Status</v>
      </c>
      <c r="B10" s="10"/>
      <c r="D10" s="6" t="s">
        <v>163</v>
      </c>
    </row>
    <row r="11">
      <c r="A11" s="6" t="str">
        <f>IFERROR(__xludf.DUMMYFUNCTION("""COMPUTED_VALUE"""),"Period of Entry by Nativity and Citizenship Status in the United States")</f>
        <v>Period of Entry by Nativity and Citizenship Status in the United States</v>
      </c>
      <c r="B11" s="10"/>
      <c r="D11" s="6" t="s">
        <v>168</v>
      </c>
    </row>
    <row r="12">
      <c r="A12" s="6" t="str">
        <f>IFERROR(__xludf.DUMMYFUNCTION("""COMPUTED_VALUE"""),"Ratio of Income to Poverty Level in the Past 12 Months by Nativity of Children Under 18 Years in Families and Subfamilies by Living Arrangements and Nativity of Parents")</f>
        <v>Ratio of Income to Poverty Level in the Past 12 Months by Nativity of Children Under 18 Years in Families and Subfamilies by Living Arrangements and Nativity of Parents</v>
      </c>
      <c r="B12" s="10"/>
      <c r="D12" s="6" t="s">
        <v>173</v>
      </c>
    </row>
    <row r="13">
      <c r="A13" s="6" t="str">
        <f>IFERROR(__xludf.DUMMYFUNCTION("""COMPUTED_VALUE"""),"Place of Birth by Educational Attainment in the United States")</f>
        <v>Place of Birth by Educational Attainment in the United States</v>
      </c>
      <c r="B13" s="10"/>
      <c r="D13" s="6" t="s">
        <v>179</v>
      </c>
    </row>
    <row r="14">
      <c r="A14" s="6" t="str">
        <f>IFERROR(__xludf.DUMMYFUNCTION("""COMPUTED_VALUE"""),"Means of Transportation to Work")</f>
        <v>Means of Transportation to Work</v>
      </c>
      <c r="B14" s="10"/>
    </row>
    <row r="15">
      <c r="A15" s="6" t="str">
        <f>IFERROR(__xludf.DUMMYFUNCTION("""COMPUTED_VALUE"""),"Household Type (Including Living Alone)")</f>
        <v>Household Type (Including Living Alone)</v>
      </c>
      <c r="B15" s="10"/>
    </row>
    <row r="16">
      <c r="A16" s="6" t="str">
        <f>IFERROR(__xludf.DUMMYFUNCTION("""COMPUTED_VALUE"""),"School Enrollment by Level of School for the Population 3 Years and Over")</f>
        <v>School Enrollment by Level of School for the Population 3 Years and Over</v>
      </c>
      <c r="B16" s="10"/>
    </row>
    <row r="17">
      <c r="A17" s="6" t="str">
        <f>IFERROR(__xludf.DUMMYFUNCTION("""COMPUTED_VALUE"""),"Sex by Educational Attainment for the Population 25 Years and Over")</f>
        <v>Sex by Educational Attainment for the Population 25 Years and Over</v>
      </c>
      <c r="B17" s="10"/>
    </row>
    <row r="18">
      <c r="A18" s="6" t="str">
        <f>IFERROR(__xludf.DUMMYFUNCTION("""COMPUTED_VALUE"""),"Educational Attainment for the Population 25 Years and Over")</f>
        <v>Educational Attainment for the Population 25 Years and Over</v>
      </c>
      <c r="B18" s="10"/>
    </row>
    <row r="19">
      <c r="A19" s="6" t="str">
        <f>IFERROR(__xludf.DUMMYFUNCTION("""COMPUTED_VALUE"""),"Language Spoken at Home by Ability to Speak English for the Population 5 Years and Over")</f>
        <v>Language Spoken at Home by Ability to Speak English for the Population 5 Years and Over</v>
      </c>
      <c r="B19" s="10"/>
    </row>
    <row r="20">
      <c r="A20" s="6" t="str">
        <f>IFERROR(__xludf.DUMMYFUNCTION("""COMPUTED_VALUE"""),"Poverty Status in the Past 12 Months of People in Housing Units")</f>
        <v>Poverty Status in the Past 12 Months of People in Housing Units</v>
      </c>
      <c r="B20" s="10"/>
    </row>
    <row r="21">
      <c r="A21" s="6" t="str">
        <f>IFERROR(__xludf.DUMMYFUNCTION("""COMPUTED_VALUE"""),"Sex by Age by Disability Status")</f>
        <v>Sex by Age by Disability Status</v>
      </c>
      <c r="B21" s="10"/>
    </row>
    <row r="22">
      <c r="A22" s="6" t="str">
        <f>IFERROR(__xludf.DUMMYFUNCTION("""COMPUTED_VALUE"""),"Household Income in the Past 12 Months (in 2024 Inflation-Adjusted Dollars)")</f>
        <v>Household Income in the Past 12 Months (in 2024 Inflation-Adjusted Dollars)</v>
      </c>
      <c r="B22" s="10"/>
    </row>
    <row r="23">
      <c r="A23" s="6" t="str">
        <f>IFERROR(__xludf.DUMMYFUNCTION("""COMPUTED_VALUE"""),"Median Household Income in the Past 12 Months (in 2024 Inflation-Adjusted Dollars)")</f>
        <v>Median Household Income in the Past 12 Months (in 2024 Inflation-Adjusted Dollars)</v>
      </c>
      <c r="B23" s="10"/>
    </row>
    <row r="24">
      <c r="A24" s="6" t="str">
        <f>IFERROR(__xludf.DUMMYFUNCTION("""COMPUTED_VALUE"""),"Wage or Salary Income in the Past 12 Months for Households")</f>
        <v>Wage or Salary Income in the Past 12 Months for Households</v>
      </c>
      <c r="B24" s="10"/>
    </row>
    <row r="25">
      <c r="A25" s="6" t="str">
        <f>IFERROR(__xludf.DUMMYFUNCTION("""COMPUTED_VALUE"""),"Public Assistance Income or Food Stamps/SNAP in the Past 12 Months for Households")</f>
        <v>Public Assistance Income or Food Stamps/SNAP in the Past 12 Months for Households</v>
      </c>
      <c r="B25" s="10"/>
    </row>
    <row r="26">
      <c r="A26" s="6" t="str">
        <f>IFERROR(__xludf.DUMMYFUNCTION("""COMPUTED_VALUE"""),"Gini Index of Income Inequality")</f>
        <v>Gini Index of Income Inequality</v>
      </c>
      <c r="B26" s="10"/>
    </row>
    <row r="27">
      <c r="A27" s="6" t="str">
        <f>IFERROR(__xludf.DUMMYFUNCTION("""COMPUTED_VALUE"""),"Per Capita Income in the Past 12 Months (in 2024 Inflation-Adjusted Dollars)")</f>
        <v>Per Capita Income in the Past 12 Months (in 2024 Inflation-Adjusted Dollars)</v>
      </c>
      <c r="B27" s="10"/>
    </row>
    <row r="28">
      <c r="A28" s="6" t="str">
        <f>IFERROR(__xludf.DUMMYFUNCTION("""COMPUTED_VALUE"""),"Median Earnings in the Past 12 Months (in 2024 Inflation-Adjusted Dollars) by Sex by Educational Attainment for the Population 25 Years and Over")</f>
        <v>Median Earnings in the Past 12 Months (in 2024 Inflation-Adjusted Dollars) by Sex by Educational Attainment for the Population 25 Years and Over</v>
      </c>
      <c r="B28" s="10"/>
    </row>
    <row r="29">
      <c r="A29" s="6" t="str">
        <f>IFERROR(__xludf.DUMMYFUNCTION("""COMPUTED_VALUE"""),"Sex by Age by Veteran Status for the Civilian Population 18 Years and Over")</f>
        <v>Sex by Age by Veteran Status for the Civilian Population 18 Years and Over</v>
      </c>
      <c r="B29" s="10"/>
    </row>
    <row r="30">
      <c r="A30" s="6" t="str">
        <f>IFERROR(__xludf.DUMMYFUNCTION("""COMPUTED_VALUE"""),"Sex by Age by Employment Status for the Population 16 Years and Over")</f>
        <v>Sex by Age by Employment Status for the Population 16 Years and Over</v>
      </c>
      <c r="B30" s="10"/>
    </row>
    <row r="31">
      <c r="A31" s="6" t="str">
        <f>IFERROR(__xludf.DUMMYFUNCTION("""COMPUTED_VALUE"""),"Educational Attainment by Employment Status for the Population 25 to 64 Years")</f>
        <v>Educational Attainment by Employment Status for the Population 25 to 64 Years</v>
      </c>
      <c r="B31" s="10"/>
    </row>
    <row r="32">
      <c r="A32" s="6" t="str">
        <f>IFERROR(__xludf.DUMMYFUNCTION("""COMPUTED_VALUE"""),"Employment Status for the Population 16 Years and Over")</f>
        <v>Employment Status for the Population 16 Years and Over</v>
      </c>
      <c r="B32" s="10"/>
    </row>
    <row r="33">
      <c r="A33" s="6" t="str">
        <f>IFERROR(__xludf.DUMMYFUNCTION("""COMPUTED_VALUE"""),"Housing Units")</f>
        <v>Housing Units</v>
      </c>
      <c r="B33" s="10"/>
    </row>
    <row r="34">
      <c r="A34" s="6" t="str">
        <f>IFERROR(__xludf.DUMMYFUNCTION("""COMPUTED_VALUE"""),"Tenure")</f>
        <v>Tenure</v>
      </c>
      <c r="B34" s="10"/>
    </row>
    <row r="35">
      <c r="A35" s="6" t="str">
        <f>IFERROR(__xludf.DUMMYFUNCTION("""COMPUTED_VALUE"""),"Total Population in Occupied Housing Units by Tenure")</f>
        <v>Total Population in Occupied Housing Units by Tenure</v>
      </c>
      <c r="B35" s="10"/>
    </row>
    <row r="36">
      <c r="A36" s="6" t="str">
        <f>IFERROR(__xludf.DUMMYFUNCTION("""COMPUTED_VALUE"""),"Units in Structure")</f>
        <v>Units in Structure</v>
      </c>
      <c r="B36" s="10"/>
    </row>
    <row r="37">
      <c r="A37" s="6" t="str">
        <f>IFERROR(__xludf.DUMMYFUNCTION("""COMPUTED_VALUE"""),"Year Structure Built")</f>
        <v>Year Structure Built</v>
      </c>
      <c r="B37" s="10"/>
    </row>
    <row r="38">
      <c r="A38" s="6" t="str">
        <f>IFERROR(__xludf.DUMMYFUNCTION("""COMPUTED_VALUE"""),"House Heating Fuel")</f>
        <v>House Heating Fuel</v>
      </c>
      <c r="B38" s="10"/>
    </row>
    <row r="39">
      <c r="A39" s="6" t="str">
        <f>IFERROR(__xludf.DUMMYFUNCTION("""COMPUTED_VALUE"""),"Gross Rent")</f>
        <v>Gross Rent</v>
      </c>
      <c r="B39" s="10"/>
    </row>
    <row r="40">
      <c r="A40" s="6" t="str">
        <f>IFERROR(__xludf.DUMMYFUNCTION("""COMPUTED_VALUE"""),"Value")</f>
        <v>Value</v>
      </c>
      <c r="B40" s="10"/>
    </row>
    <row r="41">
      <c r="A41" s="6" t="str">
        <f>IFERROR(__xludf.DUMMYFUNCTION("""COMPUTED_VALUE"""),"Median Value (Dollars)")</f>
        <v>Median Value (Dollars)</v>
      </c>
      <c r="B41" s="10"/>
    </row>
    <row r="42">
      <c r="A42" s="6" t="str">
        <f>IFERROR(__xludf.DUMMYFUNCTION("""COMPUTED_VALUE"""),"Household Income in the Past 12 Months (in 2024 Inflation-Adjusted Dollars) by Gross Rent")</f>
        <v>Household Income in the Past 12 Months (in 2024 Inflation-Adjusted Dollars) by Gross Rent</v>
      </c>
      <c r="B42" s="10"/>
    </row>
    <row r="43">
      <c r="A43" s="6" t="str">
        <f>IFERROR(__xludf.DUMMYFUNCTION("""COMPUTED_VALUE"""),"Housing Costs as a Percentage of Household Income in the Past 12 Months")</f>
        <v>Housing Costs as a Percentage of Household Income in the Past 12 Months</v>
      </c>
      <c r="B43" s="10"/>
    </row>
    <row r="44">
      <c r="A44" s="6" t="str">
        <f>IFERROR(__xludf.DUMMYFUNCTION("""COMPUTED_VALUE"""),"Group Quarters Population")</f>
        <v>Group Quarters Population</v>
      </c>
      <c r="B44" s="10"/>
    </row>
    <row r="45">
      <c r="A45" s="6" t="str">
        <f>IFERROR(__xludf.DUMMYFUNCTION("""COMPUTED_VALUE"""),"Group Quarters Type (3 Types)")</f>
        <v>Group Quarters Type (3 Types)</v>
      </c>
      <c r="B45" s="10"/>
    </row>
    <row r="46">
      <c r="A46" s="6" t="str">
        <f>IFERROR(__xludf.DUMMYFUNCTION("""COMPUTED_VALUE"""),"Group Quarters Type (5 Types)")</f>
        <v>Group Quarters Type (5 Types)</v>
      </c>
      <c r="B46" s="10"/>
    </row>
    <row r="47">
      <c r="A47" s="6" t="str">
        <f>IFERROR(__xludf.DUMMYFUNCTION("""COMPUTED_VALUE"""),"Health Insurance Coverage Status by Sex by Age")</f>
        <v>Health Insurance Coverage Status by Sex by Age</v>
      </c>
      <c r="B47" s="10"/>
    </row>
    <row r="48">
      <c r="A48" s="6" t="str">
        <f>IFERROR(__xludf.DUMMYFUNCTION("""COMPUTED_VALUE"""),"Detailed Race")</f>
        <v>Detailed Race</v>
      </c>
      <c r="B48" s="10"/>
    </row>
    <row r="49">
      <c r="A49" s="6" t="str">
        <f>IFERROR(__xludf.DUMMYFUNCTION("""COMPUTED_VALUE"""),"Field of Bachelor's Degree for First Major for the Population 25 Years and Over")</f>
        <v>Field of Bachelor's Degree for First Major for the Population 25 Years and Over</v>
      </c>
      <c r="B49" s="10"/>
    </row>
    <row r="50">
      <c r="A50" s="6" t="str">
        <f>IFERROR(__xludf.DUMMYFUNCTION("""COMPUTED_VALUE"""),"Language Spoken at Home for the Population 5 Years and Over")</f>
        <v>Language Spoken at Home for the Population 5 Years and Over</v>
      </c>
      <c r="B50" s="10"/>
    </row>
    <row r="51">
      <c r="A51" s="6" t="str">
        <f>IFERROR(__xludf.DUMMYFUNCTION("""COMPUTED_VALUE"""),"Household Language by Household Limited English Speaking Status")</f>
        <v>Household Language by Household Limited English Speaking Status</v>
      </c>
      <c r="B51" s="10"/>
    </row>
    <row r="52">
      <c r="A52" s="6" t="str">
        <f>IFERROR(__xludf.DUMMYFUNCTION("""COMPUTED_VALUE"""),"Age by Number of Disabilities")</f>
        <v>Age by Number of Disabilities</v>
      </c>
      <c r="B52" s="10"/>
    </row>
    <row r="53">
      <c r="A53" s="6" t="str">
        <f>IFERROR(__xludf.DUMMYFUNCTION("""COMPUTED_VALUE"""),"Industry by Occupation for the Civilian Employed Population 16 Years and Over")</f>
        <v>Industry by Occupation for the Civilian Employed Population 16 Years and Over</v>
      </c>
      <c r="B53" s="10"/>
    </row>
    <row r="54">
      <c r="A54" s="6" t="str">
        <f>IFERROR(__xludf.DUMMYFUNCTION("""COMPUTED_VALUE"""),"Medicare Coverage by Sex by Age")</f>
        <v>Medicare Coverage by Sex by Age</v>
      </c>
      <c r="B54" s="10"/>
    </row>
    <row r="55">
      <c r="A55" s="6" t="str">
        <f>IFERROR(__xludf.DUMMYFUNCTION("""COMPUTED_VALUE"""),"TRICARE/Military Health Coverage by Sex by Age")</f>
        <v>TRICARE/Military Health Coverage by Sex by Age</v>
      </c>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7.25"/>
    <col customWidth="1" min="3" max="3" width="15.75"/>
  </cols>
  <sheetData>
    <row r="1">
      <c r="A1" s="4" t="s">
        <v>11</v>
      </c>
      <c r="B1" s="4" t="s">
        <v>20</v>
      </c>
      <c r="C1" s="4" t="s">
        <v>24</v>
      </c>
      <c r="D1" s="4" t="s">
        <v>27</v>
      </c>
    </row>
    <row r="2">
      <c r="A2" s="2" t="s">
        <v>31</v>
      </c>
    </row>
    <row r="3">
      <c r="A3" s="2" t="s">
        <v>35</v>
      </c>
    </row>
    <row r="4">
      <c r="A4" s="2" t="s">
        <v>38</v>
      </c>
    </row>
    <row r="5">
      <c r="A5" s="2" t="s">
        <v>41</v>
      </c>
      <c r="D5" s="2" t="s">
        <v>43</v>
      </c>
    </row>
    <row r="6">
      <c r="A6" s="2" t="s">
        <v>45</v>
      </c>
    </row>
    <row r="7">
      <c r="B7" s="2" t="s">
        <v>49</v>
      </c>
      <c r="C7" s="2" t="s">
        <v>49</v>
      </c>
    </row>
    <row r="8">
      <c r="B8" s="2" t="s">
        <v>52</v>
      </c>
      <c r="C8" s="2" t="s">
        <v>54</v>
      </c>
    </row>
    <row r="9">
      <c r="D9" s="2" t="s">
        <v>56</v>
      </c>
    </row>
    <row r="10">
      <c r="D10" s="2" t="s">
        <v>58</v>
      </c>
    </row>
  </sheetData>
  <drawing r:id="rId1"/>
</worksheet>
</file>